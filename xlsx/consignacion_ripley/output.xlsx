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420" tabRatio="600" firstSheet="0" activeTab="1" autoFilterDateGrouping="1"/>
  </bookViews>
  <sheets>
    <sheet name="DETALLE" sheetId="1" state="visible" r:id="rId1"/>
    <sheet name="LIQUIDACION" sheetId="2" state="visible" r:id="rId2"/>
    <sheet name="OFERTAS" sheetId="3" state="visible" r:id="rId3"/>
    <sheet name="REGULARIZACION" sheetId="4" state="visible" r:id="rId4"/>
  </sheets>
  <definedNames/>
  <calcPr calcId="92512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_(&quot;S/&quot;* #,##0.00_);_(&quot;S/&quot;* -#,##0.00_);_(&quot;S/&quot;* &quot;-&quot;??_);_(@_)"/>
  </numFmts>
  <fonts count="8">
    <font>
      <name val="Arial"/>
      <sz val="10"/>
    </font>
    <font>
      <name val="Arial"/>
      <family val="2"/>
      <b val="1"/>
      <color indexed="9"/>
      <sz val="8"/>
    </font>
    <font>
      <name val="Arial"/>
      <family val="2"/>
      <b val="1"/>
      <color indexed="10"/>
      <sz val="14"/>
    </font>
    <font>
      <name val="Arial"/>
      <family val="2"/>
      <b val="1"/>
      <color indexed="18"/>
      <sz val="8"/>
    </font>
    <font>
      <name val="Calibri"/>
      <family val="2"/>
      <color theme="1"/>
      <sz val="11"/>
      <scheme val="minor"/>
    </font>
    <font>
      <name val="Arial"/>
      <family val="2"/>
      <b val="1"/>
      <sz val="10"/>
    </font>
    <font>
      <color rgb="00FFFFFF"/>
      <sz val="10"/>
    </font>
    <font>
      <b val="1"/>
      <color rgb="00000000"/>
      <sz val="8"/>
    </font>
  </fonts>
  <fills count="5">
    <fill>
      <patternFill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rgb="00E26B0A"/>
        <bgColor rgb="00E26B0A"/>
      </patternFill>
    </fill>
    <fill>
      <patternFill patternType="solid">
        <fgColor rgb="00B7DEE8"/>
        <bgColor rgb="00B7DEE8"/>
      </patternFill>
    </fill>
  </fills>
  <borders count="2">
    <border>
      <left/>
      <right/>
      <top/>
      <bottom/>
      <diagonal/>
    </border>
    <border>
      <left/>
      <right/>
      <top style="double">
        <color indexed="64"/>
      </top>
      <bottom/>
      <diagonal/>
    </border>
  </borders>
  <cellStyleXfs count="2">
    <xf numFmtId="0" fontId="0" fillId="0" borderId="0"/>
    <xf numFmtId="0" fontId="4" fillId="0" borderId="0"/>
  </cellStyleXfs>
  <cellXfs count="28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2" fontId="1" fillId="2" borderId="0" applyAlignment="1" pivotButton="0" quotePrefix="0" xfId="0">
      <alignment horizontal="center"/>
    </xf>
    <xf numFmtId="49" fontId="1" fillId="2" borderId="0" applyAlignment="1" pivotButton="0" quotePrefix="0" xfId="0">
      <alignment horizontal="center"/>
    </xf>
    <xf numFmtId="49" fontId="0" fillId="0" borderId="0" pivotButton="0" quotePrefix="0" xfId="0"/>
    <xf numFmtId="0" fontId="1" fillId="2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4" fontId="1" fillId="2" borderId="0" applyAlignment="1" pivotButton="0" quotePrefix="0" xfId="0">
      <alignment horizontal="center"/>
    </xf>
    <xf numFmtId="4" fontId="0" fillId="0" borderId="0" applyAlignment="1" pivotButton="0" quotePrefix="0" xfId="0">
      <alignment horizontal="right"/>
    </xf>
    <xf numFmtId="4" fontId="0" fillId="0" borderId="0" pivotButton="0" quotePrefix="0" xfId="0"/>
    <xf numFmtId="15" fontId="0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49" fontId="5" fillId="0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horizontal="right"/>
    </xf>
    <xf numFmtId="4" fontId="5" fillId="0" borderId="1" applyAlignment="1" pivotButton="0" quotePrefix="0" xfId="0">
      <alignment horizontal="right"/>
    </xf>
    <xf numFmtId="4" fontId="5" fillId="0" borderId="1" pivotButton="0" quotePrefix="0" xfId="0"/>
    <xf numFmtId="9" fontId="0" fillId="0" borderId="0" pivotButton="0" quotePrefix="0" xfId="0"/>
    <xf numFmtId="2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164" fontId="0" fillId="0" borderId="0" pivotButton="0" quotePrefix="0" xfId="0"/>
    <xf numFmtId="0" fontId="6" fillId="3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7" fillId="4" borderId="0" applyAlignment="1" pivotButton="0" quotePrefix="0" xfId="0">
      <alignment horizontal="center" vertical="center" wrapText="1"/>
    </xf>
  </cellXfs>
  <cellStyles count="2">
    <cellStyle name="Normal" xfId="0" builtinId="0"/>
    <cellStyle name="Normal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Tabla" displayName="Tabla" ref="A1:I141" headerRowCount="1">
  <autoFilter ref="A1:I141"/>
  <tableColumns count="9">
    <tableColumn id="1" name="SKU RIPLEY"/>
    <tableColumn id="2" name="DESCRIPCIÓN RIPLEY"/>
    <tableColumn id="3" name="PRECIO MASTER"/>
    <tableColumn id="4" name="PRECIO PROMO HOT SALES"/>
    <tableColumn id="5" name="FECHA INICIO"/>
    <tableColumn id="6" name="FECHA FIN"/>
    <tableColumn id="7" name="STOCK UND"/>
    <tableColumn id="8" name="RECO PROVEEDOR (SIN IGV)"/>
    <tableColumn id="9" name="% DSCTO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236"/>
  <sheetViews>
    <sheetView zoomScale="90" workbookViewId="0">
      <selection activeCell="A1" sqref="A1"/>
    </sheetView>
  </sheetViews>
  <sheetFormatPr baseColWidth="10" defaultRowHeight="12.5"/>
  <cols>
    <col width="11.1796875" customWidth="1" style="1" min="1" max="1"/>
    <col width="6.81640625" customWidth="1" style="1" min="2" max="3"/>
    <col width="7.81640625" customWidth="1" style="1" min="4" max="4"/>
    <col width="12" customWidth="1" style="1" min="5" max="5"/>
    <col width="32.1796875" customWidth="1" style="5" min="6" max="6"/>
    <col width="8.453125" customWidth="1" min="7" max="7"/>
    <col width="8.7265625" customWidth="1" style="7" min="8" max="8"/>
    <col width="10.54296875" customWidth="1" style="7" min="9" max="9"/>
    <col width="12.54296875" customWidth="1" style="7" min="10" max="10"/>
    <col width="12" customWidth="1" style="9" min="11" max="11"/>
    <col width="10" customWidth="1" style="10" min="12" max="12"/>
    <col width="7.7265625" customWidth="1" style="10" min="13" max="13"/>
    <col width="7.7265625" customWidth="1" min="14" max="14"/>
    <col width="7" customWidth="1" min="15" max="15"/>
    <col width="9.81640625" customWidth="1" min="16" max="16"/>
  </cols>
  <sheetData>
    <row r="1"/>
    <row r="2" ht="18" customHeight="1">
      <c r="A2" s="22" t="inlineStr">
        <is>
          <t>Liquidación de Consignación</t>
        </is>
      </c>
    </row>
    <row r="3">
      <c r="A3" s="23" t="inlineStr">
        <is>
          <t>PROVEEDOR: 20600768043, INTEK PERU SAC</t>
        </is>
      </c>
    </row>
    <row r="4">
      <c r="A4" s="23" t="inlineStr">
        <is>
          <t>FECHA: DESDE 01 jul 2026 HASTA 31 jul 2026</t>
        </is>
      </c>
    </row>
    <row r="5"/>
    <row r="6" customFormat="1" s="1">
      <c r="A6" s="2" t="inlineStr">
        <is>
          <t>Fecha</t>
        </is>
      </c>
      <c r="B6" s="2" t="inlineStr">
        <is>
          <t>Suc.</t>
        </is>
      </c>
      <c r="C6" s="2" t="inlineStr">
        <is>
          <t>Caja</t>
        </is>
      </c>
      <c r="D6" s="2" t="inlineStr">
        <is>
          <t>Ticket</t>
        </is>
      </c>
      <c r="E6" s="2" t="inlineStr">
        <is>
          <t>Art.</t>
        </is>
      </c>
      <c r="F6" s="4" t="inlineStr">
        <is>
          <t>Descripción</t>
        </is>
      </c>
      <c r="G6" s="2" t="inlineStr">
        <is>
          <t>Unid.</t>
        </is>
      </c>
      <c r="H6" s="6" t="inlineStr">
        <is>
          <t>Venta</t>
        </is>
      </c>
      <c r="I6" s="6" t="inlineStr">
        <is>
          <t>Dscto_Item</t>
        </is>
      </c>
      <c r="J6" s="6" t="inlineStr">
        <is>
          <t>Dscto_Ticket</t>
        </is>
      </c>
      <c r="K6" s="8" t="inlineStr">
        <is>
          <t>Dscto_Total</t>
        </is>
      </c>
      <c r="L6" s="8" t="inlineStr">
        <is>
          <t>Monto S/.</t>
        </is>
      </c>
      <c r="M6" s="8" t="inlineStr">
        <is>
          <t>Markup</t>
        </is>
      </c>
      <c r="N6" s="3" t="inlineStr">
        <is>
          <t>Tipo doc</t>
        </is>
      </c>
      <c r="O6" s="3" t="inlineStr">
        <is>
          <t xml:space="preserve">Tran. </t>
        </is>
      </c>
      <c r="P6" s="3" t="inlineStr">
        <is>
          <t>Vend.</t>
        </is>
      </c>
      <c r="Q6" s="27" t="inlineStr">
        <is>
          <t>MASTER</t>
        </is>
      </c>
      <c r="R6" s="27" t="inlineStr">
        <is>
          <t>Precio Master Total</t>
        </is>
      </c>
      <c r="S6" s="27" t="inlineStr">
        <is>
          <t>costo</t>
        </is>
      </c>
      <c r="T6" s="27" t="inlineStr">
        <is>
          <t>ASUME PROVEEDOR</t>
        </is>
      </c>
      <c r="U6" s="27" t="inlineStr">
        <is>
          <t>DESCTO. AUTORIZADO</t>
        </is>
      </c>
      <c r="V6" s="27" t="inlineStr">
        <is>
          <t>PAGO NETO (DEBEN PAGAR)</t>
        </is>
      </c>
      <c r="W6" s="27" t="inlineStr">
        <is>
          <t>POR REGULARIZAR</t>
        </is>
      </c>
    </row>
    <row r="7">
      <c r="A7" s="11" t="n">
        <v>46204</v>
      </c>
      <c r="B7" s="1" t="n">
        <v>20021</v>
      </c>
      <c r="C7" s="1" t="inlineStr">
        <is>
          <t>055</t>
        </is>
      </c>
      <c r="D7" s="1" t="inlineStr">
        <is>
          <t>153954</t>
        </is>
      </c>
      <c r="E7" s="1" t="inlineStr">
        <is>
          <t xml:space="preserve">32457111       </t>
        </is>
      </c>
      <c r="F7" s="5" t="inlineStr">
        <is>
          <t>TMZ BEAST MACHINES MONSTER JAWS A FRICCION PACK DE</t>
        </is>
      </c>
      <c r="G7" t="n">
        <v>1</v>
      </c>
      <c r="H7" s="7" t="n">
        <v>74.90000000000001</v>
      </c>
      <c r="I7" s="7" t="n">
        <v>0</v>
      </c>
      <c r="J7" s="7" t="n">
        <v>0</v>
      </c>
      <c r="K7" s="9" t="n">
        <v>0</v>
      </c>
      <c r="L7" s="10" t="n">
        <v>44.43</v>
      </c>
      <c r="M7" s="10" t="n">
        <v>1.43</v>
      </c>
      <c r="N7" t="inlineStr">
        <is>
          <t>1</t>
        </is>
      </c>
      <c r="O7" t="inlineStr">
        <is>
          <t>16</t>
        </is>
      </c>
      <c r="P7" t="inlineStr">
        <is>
          <t xml:space="preserve">12097   </t>
        </is>
      </c>
      <c r="Q7" s="26" t="n">
        <v>74.90000000000001</v>
      </c>
      <c r="R7" s="26">
        <f>Q7*G7</f>
        <v/>
      </c>
      <c r="S7" t="n">
        <v>44.43</v>
      </c>
      <c r="T7" s="18">
        <f>1 - V7/S7</f>
        <v/>
      </c>
      <c r="U7" s="18" t="n">
        <v>0.2670226969292391</v>
      </c>
      <c r="V7" s="26" t="n">
        <v>31.92406779661017</v>
      </c>
      <c r="W7" s="26">
        <f>V7 - L7</f>
        <v/>
      </c>
    </row>
    <row r="8">
      <c r="A8" s="11" t="n">
        <v>46204</v>
      </c>
      <c r="B8" s="1" t="n">
        <v>20021</v>
      </c>
      <c r="C8" s="1" t="inlineStr">
        <is>
          <t>055</t>
        </is>
      </c>
      <c r="D8" s="1" t="inlineStr">
        <is>
          <t>153962</t>
        </is>
      </c>
      <c r="E8" s="1" t="inlineStr">
        <is>
          <t xml:space="preserve">28194768       </t>
        </is>
      </c>
      <c r="F8" s="5" t="inlineStr">
        <is>
          <t>AUTO COLOR CHANGE TEAMSTERZ SURTIDO</t>
        </is>
      </c>
      <c r="G8" t="n">
        <v>1</v>
      </c>
      <c r="H8" s="7" t="n">
        <v>14.9</v>
      </c>
      <c r="I8" s="7" t="n">
        <v>0</v>
      </c>
      <c r="J8" s="7" t="n">
        <v>0</v>
      </c>
      <c r="K8" s="9" t="n">
        <v>0</v>
      </c>
      <c r="L8" s="10" t="n">
        <v>8.84</v>
      </c>
      <c r="M8" s="10" t="n">
        <v>1.43</v>
      </c>
      <c r="N8" t="inlineStr">
        <is>
          <t>1</t>
        </is>
      </c>
      <c r="O8" t="inlineStr">
        <is>
          <t>16</t>
        </is>
      </c>
      <c r="P8" t="inlineStr">
        <is>
          <t xml:space="preserve">12097   </t>
        </is>
      </c>
      <c r="Q8" s="26" t="n">
        <v>14.9</v>
      </c>
      <c r="R8" s="26">
        <f>Q8*G8</f>
        <v/>
      </c>
      <c r="S8" t="n">
        <v>8.84</v>
      </c>
      <c r="T8" s="18">
        <f>1 - V8/S8</f>
        <v/>
      </c>
      <c r="U8" s="18" t="n">
        <v>0</v>
      </c>
      <c r="V8" s="26" t="n">
        <v>8.84</v>
      </c>
      <c r="W8" s="26">
        <f>V8 - L8</f>
        <v/>
      </c>
    </row>
    <row r="9">
      <c r="A9" s="11" t="n">
        <v>46204</v>
      </c>
      <c r="B9" s="1" t="n">
        <v>20021</v>
      </c>
      <c r="C9" s="1" t="inlineStr">
        <is>
          <t>079</t>
        </is>
      </c>
      <c r="D9" s="1" t="inlineStr">
        <is>
          <t>132699</t>
        </is>
      </c>
      <c r="E9" s="1" t="inlineStr">
        <is>
          <t xml:space="preserve">35685067       </t>
        </is>
      </c>
      <c r="F9" s="5" t="inlineStr">
        <is>
          <t>HOT WHEELS POWER SET 3 EN 1</t>
        </is>
      </c>
      <c r="G9" t="n">
        <v>1</v>
      </c>
      <c r="H9" s="7" t="n">
        <v>49.9</v>
      </c>
      <c r="I9" s="7" t="n">
        <v>0</v>
      </c>
      <c r="J9" s="7" t="n">
        <v>0</v>
      </c>
      <c r="K9" s="9" t="n">
        <v>0</v>
      </c>
      <c r="L9" s="10" t="n">
        <v>29.6</v>
      </c>
      <c r="M9" s="10" t="n">
        <v>1.43</v>
      </c>
      <c r="N9" t="inlineStr">
        <is>
          <t>1</t>
        </is>
      </c>
      <c r="O9" t="inlineStr">
        <is>
          <t>16</t>
        </is>
      </c>
      <c r="P9" t="inlineStr">
        <is>
          <t xml:space="preserve">202106  </t>
        </is>
      </c>
      <c r="Q9" s="26" t="n">
        <v>49.9</v>
      </c>
      <c r="R9" s="26">
        <f>Q9*G9</f>
        <v/>
      </c>
      <c r="S9" t="n">
        <v>29.6</v>
      </c>
      <c r="T9" s="18">
        <f>1 - V9/S9</f>
        <v/>
      </c>
      <c r="U9" s="18" t="n">
        <v>0</v>
      </c>
      <c r="V9" s="26" t="n">
        <v>29.6</v>
      </c>
      <c r="W9" s="26">
        <f>V9 - L9</f>
        <v/>
      </c>
    </row>
    <row r="10">
      <c r="A10" s="11" t="n">
        <v>46204</v>
      </c>
      <c r="B10" s="1" t="n">
        <v>20021</v>
      </c>
      <c r="C10" s="1" t="inlineStr">
        <is>
          <t>080</t>
        </is>
      </c>
      <c r="D10" s="1" t="inlineStr">
        <is>
          <t>309181</t>
        </is>
      </c>
      <c r="E10" s="1" t="inlineStr">
        <is>
          <t xml:space="preserve">28194765       </t>
        </is>
      </c>
      <c r="F10" s="5" t="inlineStr">
        <is>
          <t>PLAYSET COLOR CHANGE TIBURN TEAMSTERZ  1 AUTITO</t>
        </is>
      </c>
      <c r="G10" t="n">
        <v>1</v>
      </c>
      <c r="H10" s="7" t="n">
        <v>79.90000000000001</v>
      </c>
      <c r="I10" s="7" t="n">
        <v>0</v>
      </c>
      <c r="J10" s="7" t="n">
        <v>0</v>
      </c>
      <c r="K10" s="9" t="n">
        <v>0</v>
      </c>
      <c r="L10" s="10" t="n">
        <v>47.4</v>
      </c>
      <c r="M10" s="10" t="n">
        <v>1.43</v>
      </c>
      <c r="N10" t="inlineStr">
        <is>
          <t>1</t>
        </is>
      </c>
      <c r="O10" t="inlineStr">
        <is>
          <t xml:space="preserve">3 </t>
        </is>
      </c>
      <c r="P10" t="inlineStr">
        <is>
          <t xml:space="preserve">239723  </t>
        </is>
      </c>
      <c r="Q10" s="26" t="n">
        <v>79.90000000000001</v>
      </c>
      <c r="R10" s="26">
        <f>Q10*G10</f>
        <v/>
      </c>
      <c r="S10" t="n">
        <v>47.4</v>
      </c>
      <c r="T10" s="18">
        <f>1 - V10/S10</f>
        <v/>
      </c>
      <c r="U10" s="18" t="n">
        <v>0</v>
      </c>
      <c r="V10" s="26" t="n">
        <v>47.4</v>
      </c>
      <c r="W10" s="26">
        <f>V10 - L10</f>
        <v/>
      </c>
    </row>
    <row r="11">
      <c r="A11" s="11" t="n">
        <v>46204</v>
      </c>
      <c r="B11" s="1" t="n">
        <v>20021</v>
      </c>
      <c r="C11" s="1" t="inlineStr">
        <is>
          <t>080</t>
        </is>
      </c>
      <c r="D11" s="1" t="inlineStr">
        <is>
          <t>309181</t>
        </is>
      </c>
      <c r="E11" s="1" t="inlineStr">
        <is>
          <t xml:space="preserve">32457111       </t>
        </is>
      </c>
      <c r="F11" s="5" t="inlineStr">
        <is>
          <t>TMZ BEAST MACHINES MONSTER JAWS A FRICCION PACK DE</t>
        </is>
      </c>
      <c r="G11" t="n">
        <v>1</v>
      </c>
      <c r="H11" s="7" t="n">
        <v>74.90000000000001</v>
      </c>
      <c r="I11" s="7" t="n">
        <v>0</v>
      </c>
      <c r="J11" s="7" t="n">
        <v>0</v>
      </c>
      <c r="K11" s="9" t="n">
        <v>0</v>
      </c>
      <c r="L11" s="10" t="n">
        <v>44.43</v>
      </c>
      <c r="M11" s="10" t="n">
        <v>1.43</v>
      </c>
      <c r="N11" t="inlineStr">
        <is>
          <t>1</t>
        </is>
      </c>
      <c r="O11" t="inlineStr">
        <is>
          <t xml:space="preserve">3 </t>
        </is>
      </c>
      <c r="P11" t="inlineStr">
        <is>
          <t xml:space="preserve">239723  </t>
        </is>
      </c>
      <c r="Q11" s="26" t="n">
        <v>74.90000000000001</v>
      </c>
      <c r="R11" s="26">
        <f>Q11*G11</f>
        <v/>
      </c>
      <c r="S11" t="n">
        <v>44.43</v>
      </c>
      <c r="T11" s="18">
        <f>1 - V11/S11</f>
        <v/>
      </c>
      <c r="U11" s="18" t="n">
        <v>0.2670226969292391</v>
      </c>
      <c r="V11" s="26" t="n">
        <v>31.92406779661017</v>
      </c>
      <c r="W11" s="26">
        <f>V11 - L11</f>
        <v/>
      </c>
    </row>
    <row r="12">
      <c r="A12" s="11" t="n">
        <v>46204</v>
      </c>
      <c r="B12" s="1" t="n">
        <v>20023</v>
      </c>
      <c r="C12" s="1" t="inlineStr">
        <is>
          <t>079</t>
        </is>
      </c>
      <c r="D12" s="1" t="inlineStr">
        <is>
          <t>288155</t>
        </is>
      </c>
      <c r="E12" s="1" t="inlineStr">
        <is>
          <t xml:space="preserve">28194780       </t>
        </is>
      </c>
      <c r="F12" s="5" t="inlineStr">
        <is>
          <t>TROMPO BATALLA INFINITY NADO PLSTICO SURTIDO</t>
        </is>
      </c>
      <c r="G12" t="n">
        <v>1</v>
      </c>
      <c r="H12" s="7" t="n">
        <v>19.9</v>
      </c>
      <c r="I12" s="7" t="n">
        <v>0</v>
      </c>
      <c r="J12" s="7" t="n">
        <v>0</v>
      </c>
      <c r="K12" s="9" t="n">
        <v>0</v>
      </c>
      <c r="L12" s="10" t="n">
        <v>11.8</v>
      </c>
      <c r="M12" s="10" t="n">
        <v>1.43</v>
      </c>
      <c r="N12" t="inlineStr">
        <is>
          <t>1</t>
        </is>
      </c>
      <c r="O12" t="inlineStr">
        <is>
          <t xml:space="preserve">6 </t>
        </is>
      </c>
      <c r="P12" t="inlineStr">
        <is>
          <t xml:space="preserve">23508   </t>
        </is>
      </c>
      <c r="Q12" s="26" t="n">
        <v>19.9</v>
      </c>
      <c r="R12" s="26">
        <f>Q12*G12</f>
        <v/>
      </c>
      <c r="S12" t="n">
        <v>11.81</v>
      </c>
      <c r="T12" s="18">
        <f>1 - V12/S12</f>
        <v/>
      </c>
      <c r="U12" s="18" t="n">
        <v>0</v>
      </c>
      <c r="V12" s="26" t="n">
        <v>11.81</v>
      </c>
      <c r="W12" s="26">
        <f>V12 - L12</f>
        <v/>
      </c>
    </row>
    <row r="13">
      <c r="A13" s="11" t="n">
        <v>46204</v>
      </c>
      <c r="B13" s="1" t="n">
        <v>20023</v>
      </c>
      <c r="C13" s="1" t="inlineStr">
        <is>
          <t>079</t>
        </is>
      </c>
      <c r="D13" s="1" t="inlineStr">
        <is>
          <t>288155</t>
        </is>
      </c>
      <c r="E13" s="1" t="inlineStr">
        <is>
          <t xml:space="preserve">28194780       </t>
        </is>
      </c>
      <c r="F13" s="5" t="inlineStr">
        <is>
          <t>TROMPO BATALLA INFINITY NADO PLSTICO SURTIDO</t>
        </is>
      </c>
      <c r="G13" t="n">
        <v>1</v>
      </c>
      <c r="H13" s="7" t="n">
        <v>19.9</v>
      </c>
      <c r="I13" s="7" t="n">
        <v>0</v>
      </c>
      <c r="J13" s="7" t="n">
        <v>0</v>
      </c>
      <c r="K13" s="9" t="n">
        <v>0</v>
      </c>
      <c r="L13" s="10" t="n">
        <v>11.8</v>
      </c>
      <c r="M13" s="10" t="n">
        <v>1.43</v>
      </c>
      <c r="N13" t="inlineStr">
        <is>
          <t>1</t>
        </is>
      </c>
      <c r="O13" t="inlineStr">
        <is>
          <t xml:space="preserve">6 </t>
        </is>
      </c>
      <c r="P13" t="inlineStr">
        <is>
          <t xml:space="preserve">23508   </t>
        </is>
      </c>
      <c r="Q13" s="26" t="n">
        <v>19.9</v>
      </c>
      <c r="R13" s="26">
        <f>Q13*G13</f>
        <v/>
      </c>
      <c r="S13" t="n">
        <v>11.81</v>
      </c>
      <c r="T13" s="18">
        <f>1 - V13/S13</f>
        <v/>
      </c>
      <c r="U13" s="18" t="n">
        <v>0</v>
      </c>
      <c r="V13" s="26" t="n">
        <v>11.81</v>
      </c>
      <c r="W13" s="26">
        <f>V13 - L13</f>
        <v/>
      </c>
    </row>
    <row r="14">
      <c r="A14" s="11" t="n">
        <v>46204</v>
      </c>
      <c r="B14" s="1" t="n">
        <v>20023</v>
      </c>
      <c r="C14" s="1" t="inlineStr">
        <is>
          <t>105</t>
        </is>
      </c>
      <c r="D14" s="1" t="inlineStr">
        <is>
          <t xml:space="preserve">90054 </t>
        </is>
      </c>
      <c r="E14" s="1" t="inlineStr">
        <is>
          <t xml:space="preserve">30141766       </t>
        </is>
      </c>
      <c r="F14" s="5" t="inlineStr">
        <is>
          <t>TMZ BEAST MACHINES AUTOS DE METAL BLISTER X 1</t>
        </is>
      </c>
      <c r="G14" t="n">
        <v>1</v>
      </c>
      <c r="H14" s="7" t="n">
        <v>7.9</v>
      </c>
      <c r="I14" s="7" t="n">
        <v>0</v>
      </c>
      <c r="J14" s="7" t="n">
        <v>0</v>
      </c>
      <c r="K14" s="9" t="n">
        <v>0</v>
      </c>
      <c r="L14" s="10" t="n">
        <v>4.68</v>
      </c>
      <c r="M14" s="10" t="n">
        <v>1.43</v>
      </c>
      <c r="N14" t="inlineStr">
        <is>
          <t>1</t>
        </is>
      </c>
      <c r="O14" t="inlineStr">
        <is>
          <t xml:space="preserve">2 </t>
        </is>
      </c>
      <c r="P14" t="inlineStr">
        <is>
          <t xml:space="preserve">20173   </t>
        </is>
      </c>
      <c r="Q14" s="26" t="n">
        <v>7.9</v>
      </c>
      <c r="R14" s="26">
        <f>Q14*G14</f>
        <v/>
      </c>
      <c r="S14" t="n">
        <v>4.69</v>
      </c>
      <c r="T14" s="18">
        <f>1 - V14/S14</f>
        <v/>
      </c>
      <c r="U14" s="18" t="n">
        <v>0</v>
      </c>
      <c r="V14" s="26" t="n">
        <v>4.69</v>
      </c>
      <c r="W14" s="26">
        <f>V14 - L14</f>
        <v/>
      </c>
    </row>
    <row r="15">
      <c r="A15" s="11" t="n">
        <v>46204</v>
      </c>
      <c r="B15" s="1" t="n">
        <v>20023</v>
      </c>
      <c r="C15" s="1" t="inlineStr">
        <is>
          <t>105</t>
        </is>
      </c>
      <c r="D15" s="1" t="inlineStr">
        <is>
          <t xml:space="preserve">90054 </t>
        </is>
      </c>
      <c r="E15" s="1" t="inlineStr">
        <is>
          <t xml:space="preserve">30141766       </t>
        </is>
      </c>
      <c r="F15" s="5" t="inlineStr">
        <is>
          <t>TMZ BEAST MACHINES AUTOS DE METAL BLISTER X 1</t>
        </is>
      </c>
      <c r="G15" t="n">
        <v>1</v>
      </c>
      <c r="H15" s="7" t="n">
        <v>7.9</v>
      </c>
      <c r="I15" s="7" t="n">
        <v>0</v>
      </c>
      <c r="J15" s="7" t="n">
        <v>0</v>
      </c>
      <c r="K15" s="9" t="n">
        <v>0</v>
      </c>
      <c r="L15" s="10" t="n">
        <v>4.68</v>
      </c>
      <c r="M15" s="10" t="n">
        <v>1.43</v>
      </c>
      <c r="N15" t="inlineStr">
        <is>
          <t>1</t>
        </is>
      </c>
      <c r="O15" t="inlineStr">
        <is>
          <t xml:space="preserve">2 </t>
        </is>
      </c>
      <c r="P15" t="inlineStr">
        <is>
          <t xml:space="preserve">20173   </t>
        </is>
      </c>
      <c r="Q15" s="26" t="n">
        <v>7.9</v>
      </c>
      <c r="R15" s="26">
        <f>Q15*G15</f>
        <v/>
      </c>
      <c r="S15" t="n">
        <v>4.69</v>
      </c>
      <c r="T15" s="18">
        <f>1 - V15/S15</f>
        <v/>
      </c>
      <c r="U15" s="18" t="n">
        <v>0</v>
      </c>
      <c r="V15" s="26" t="n">
        <v>4.69</v>
      </c>
      <c r="W15" s="26">
        <f>V15 - L15</f>
        <v/>
      </c>
    </row>
    <row r="16">
      <c r="A16" s="11" t="n">
        <v>46204</v>
      </c>
      <c r="B16" s="1" t="n">
        <v>20028</v>
      </c>
      <c r="C16" s="1" t="inlineStr">
        <is>
          <t>040</t>
        </is>
      </c>
      <c r="D16" s="1" t="inlineStr">
        <is>
          <t>204429</t>
        </is>
      </c>
      <c r="E16" s="1" t="inlineStr">
        <is>
          <t xml:space="preserve">29235707       </t>
        </is>
      </c>
      <c r="F16" s="5" t="inlineStr">
        <is>
          <t>TEAMSTERZ AUTO DE METAL 3  PACK DE 5</t>
        </is>
      </c>
      <c r="G16" t="n">
        <v>1</v>
      </c>
      <c r="H16" s="7" t="n">
        <v>34.5</v>
      </c>
      <c r="I16" s="7" t="n">
        <v>0</v>
      </c>
      <c r="J16" s="7" t="n">
        <v>0</v>
      </c>
      <c r="K16" s="9" t="n">
        <v>0</v>
      </c>
      <c r="L16" s="10" t="n">
        <v>20.47</v>
      </c>
      <c r="M16" s="10" t="n">
        <v>1.43</v>
      </c>
      <c r="N16" t="inlineStr">
        <is>
          <t>1</t>
        </is>
      </c>
      <c r="O16" t="inlineStr">
        <is>
          <t xml:space="preserve">3 </t>
        </is>
      </c>
      <c r="P16" t="inlineStr">
        <is>
          <t xml:space="preserve">23644   </t>
        </is>
      </c>
      <c r="Q16" s="26" t="n">
        <v>34.5</v>
      </c>
      <c r="R16" s="26">
        <f>Q16*G16</f>
        <v/>
      </c>
      <c r="S16" t="n">
        <v>20.47</v>
      </c>
      <c r="T16" s="18">
        <f>1 - V16/S16</f>
        <v/>
      </c>
      <c r="U16" s="18" t="n">
        <v>0</v>
      </c>
      <c r="V16" s="26" t="n">
        <v>20.47</v>
      </c>
      <c r="W16" s="26">
        <f>V16 - L16</f>
        <v/>
      </c>
    </row>
    <row r="17">
      <c r="A17" s="11" t="n">
        <v>46204</v>
      </c>
      <c r="B17" s="1" t="n">
        <v>20030</v>
      </c>
      <c r="C17" s="1" t="inlineStr">
        <is>
          <t>067</t>
        </is>
      </c>
      <c r="D17" s="1" t="inlineStr">
        <is>
          <t>273121</t>
        </is>
      </c>
      <c r="E17" s="1" t="inlineStr">
        <is>
          <t xml:space="preserve">28194770       </t>
        </is>
      </c>
      <c r="F17" s="5" t="inlineStr">
        <is>
          <t>AUTOS DE METAL 3 TEAMSTERZ EN BLISTER</t>
        </is>
      </c>
      <c r="G17" t="n">
        <v>1</v>
      </c>
      <c r="H17" s="7" t="n">
        <v>6.9</v>
      </c>
      <c r="I17" s="7" t="n">
        <v>0</v>
      </c>
      <c r="J17" s="7" t="n">
        <v>0</v>
      </c>
      <c r="K17" s="9" t="n">
        <v>0</v>
      </c>
      <c r="L17" s="10" t="n">
        <v>4.1</v>
      </c>
      <c r="M17" s="10" t="n">
        <v>1.43</v>
      </c>
      <c r="N17" t="inlineStr">
        <is>
          <t>1</t>
        </is>
      </c>
      <c r="O17" t="inlineStr">
        <is>
          <t xml:space="preserve">2 </t>
        </is>
      </c>
      <c r="P17" t="inlineStr">
        <is>
          <t xml:space="preserve">50377   </t>
        </is>
      </c>
      <c r="Q17" s="26" t="n">
        <v>6.9</v>
      </c>
      <c r="R17" s="26">
        <f>Q17*G17</f>
        <v/>
      </c>
      <c r="S17" t="n">
        <v>4.09</v>
      </c>
      <c r="T17" s="18">
        <f>1 - V17/S17</f>
        <v/>
      </c>
      <c r="U17" s="18" t="n">
        <v>0</v>
      </c>
      <c r="V17" s="26" t="n">
        <v>4.09</v>
      </c>
      <c r="W17" s="26">
        <f>V17 - L17</f>
        <v/>
      </c>
    </row>
    <row r="18">
      <c r="A18" s="11" t="n">
        <v>46204</v>
      </c>
      <c r="B18" s="1" t="n">
        <v>20030</v>
      </c>
      <c r="C18" s="1" t="inlineStr">
        <is>
          <t>067</t>
        </is>
      </c>
      <c r="D18" s="1" t="inlineStr">
        <is>
          <t>273121</t>
        </is>
      </c>
      <c r="E18" s="1" t="inlineStr">
        <is>
          <t xml:space="preserve">28194770       </t>
        </is>
      </c>
      <c r="F18" s="5" t="inlineStr">
        <is>
          <t>AUTOS DE METAL 3 TEAMSTERZ EN BLISTER</t>
        </is>
      </c>
      <c r="G18" t="n">
        <v>1</v>
      </c>
      <c r="H18" s="7" t="n">
        <v>6.9</v>
      </c>
      <c r="I18" s="7" t="n">
        <v>0</v>
      </c>
      <c r="J18" s="7" t="n">
        <v>0</v>
      </c>
      <c r="K18" s="9" t="n">
        <v>0</v>
      </c>
      <c r="L18" s="10" t="n">
        <v>4.1</v>
      </c>
      <c r="M18" s="10" t="n">
        <v>1.43</v>
      </c>
      <c r="N18" t="inlineStr">
        <is>
          <t>1</t>
        </is>
      </c>
      <c r="O18" t="inlineStr">
        <is>
          <t xml:space="preserve">2 </t>
        </is>
      </c>
      <c r="P18" t="inlineStr">
        <is>
          <t xml:space="preserve">50377   </t>
        </is>
      </c>
      <c r="Q18" s="26" t="n">
        <v>6.9</v>
      </c>
      <c r="R18" s="26">
        <f>Q18*G18</f>
        <v/>
      </c>
      <c r="S18" t="n">
        <v>4.09</v>
      </c>
      <c r="T18" s="18">
        <f>1 - V18/S18</f>
        <v/>
      </c>
      <c r="U18" s="18" t="n">
        <v>0</v>
      </c>
      <c r="V18" s="26" t="n">
        <v>4.09</v>
      </c>
      <c r="W18" s="26">
        <f>V18 - L18</f>
        <v/>
      </c>
    </row>
    <row r="19">
      <c r="A19" s="11" t="n">
        <v>46204</v>
      </c>
      <c r="B19" s="1" t="n">
        <v>20040</v>
      </c>
      <c r="C19" s="1" t="inlineStr">
        <is>
          <t>072</t>
        </is>
      </c>
      <c r="D19" s="1" t="inlineStr">
        <is>
          <t>250735</t>
        </is>
      </c>
      <c r="E19" s="1" t="inlineStr">
        <is>
          <t xml:space="preserve">28194769       </t>
        </is>
      </c>
      <c r="F19" s="5" t="inlineStr">
        <is>
          <t>AUTOS DE METAL 3 TEAMSTERZ PACK DE 2</t>
        </is>
      </c>
      <c r="G19" t="n">
        <v>1</v>
      </c>
      <c r="H19" s="7" t="n">
        <v>13.8</v>
      </c>
      <c r="I19" s="7" t="n">
        <v>0</v>
      </c>
      <c r="J19" s="7" t="n">
        <v>0</v>
      </c>
      <c r="K19" s="9" t="n">
        <v>0</v>
      </c>
      <c r="L19" s="10" t="n">
        <v>8.18</v>
      </c>
      <c r="M19" s="10" t="n">
        <v>1.43</v>
      </c>
      <c r="N19" t="inlineStr">
        <is>
          <t>1</t>
        </is>
      </c>
      <c r="O19" t="inlineStr">
        <is>
          <t>16</t>
        </is>
      </c>
      <c r="P19" t="inlineStr">
        <is>
          <t xml:space="preserve">52786   </t>
        </is>
      </c>
      <c r="Q19" s="26" t="n">
        <v>13.8</v>
      </c>
      <c r="R19" s="26">
        <f>Q19*G19</f>
        <v/>
      </c>
      <c r="S19" t="n">
        <v>8.19</v>
      </c>
      <c r="T19" s="18">
        <f>1 - V19/S19</f>
        <v/>
      </c>
      <c r="U19" s="18" t="n">
        <v>0</v>
      </c>
      <c r="V19" s="26" t="n">
        <v>8.19</v>
      </c>
      <c r="W19" s="26">
        <f>V19 - L19</f>
        <v/>
      </c>
    </row>
    <row r="20">
      <c r="A20" s="11" t="n">
        <v>46204</v>
      </c>
      <c r="B20" s="1" t="n">
        <v>20040</v>
      </c>
      <c r="C20" s="1" t="inlineStr">
        <is>
          <t>072</t>
        </is>
      </c>
      <c r="D20" s="1" t="inlineStr">
        <is>
          <t>250735</t>
        </is>
      </c>
      <c r="E20" s="1" t="inlineStr">
        <is>
          <t xml:space="preserve">28194769       </t>
        </is>
      </c>
      <c r="F20" s="5" t="inlineStr">
        <is>
          <t>AUTOS DE METAL 3 TEAMSTERZ PACK DE 2</t>
        </is>
      </c>
      <c r="G20" t="n">
        <v>1</v>
      </c>
      <c r="H20" s="7" t="n">
        <v>13.8</v>
      </c>
      <c r="I20" s="7" t="n">
        <v>0</v>
      </c>
      <c r="J20" s="7" t="n">
        <v>0</v>
      </c>
      <c r="K20" s="9" t="n">
        <v>0</v>
      </c>
      <c r="L20" s="10" t="n">
        <v>8.18</v>
      </c>
      <c r="M20" s="10" t="n">
        <v>1.43</v>
      </c>
      <c r="N20" t="inlineStr">
        <is>
          <t>1</t>
        </is>
      </c>
      <c r="O20" t="inlineStr">
        <is>
          <t>16</t>
        </is>
      </c>
      <c r="P20" t="inlineStr">
        <is>
          <t xml:space="preserve">52786   </t>
        </is>
      </c>
      <c r="Q20" s="26" t="n">
        <v>13.8</v>
      </c>
      <c r="R20" s="26">
        <f>Q20*G20</f>
        <v/>
      </c>
      <c r="S20" t="n">
        <v>8.19</v>
      </c>
      <c r="T20" s="18">
        <f>1 - V20/S20</f>
        <v/>
      </c>
      <c r="U20" s="18" t="n">
        <v>0</v>
      </c>
      <c r="V20" s="26" t="n">
        <v>8.19</v>
      </c>
      <c r="W20" s="26">
        <f>V20 - L20</f>
        <v/>
      </c>
    </row>
    <row r="21">
      <c r="A21" s="11" t="n">
        <v>46204</v>
      </c>
      <c r="B21" s="1" t="n">
        <v>20040</v>
      </c>
      <c r="C21" s="1" t="inlineStr">
        <is>
          <t>083</t>
        </is>
      </c>
      <c r="D21" s="1" t="inlineStr">
        <is>
          <t>158793</t>
        </is>
      </c>
      <c r="E21" s="1" t="inlineStr">
        <is>
          <t xml:space="preserve">29235701       </t>
        </is>
      </c>
      <c r="F21" s="5" t="inlineStr">
        <is>
          <t>INFINITY NADO TROMPO DE BATALLA - METAL EN CAJA</t>
        </is>
      </c>
      <c r="G21" t="n">
        <v>1</v>
      </c>
      <c r="H21" s="7" t="n">
        <v>39.9</v>
      </c>
      <c r="I21" s="7" t="n">
        <v>0</v>
      </c>
      <c r="J21" s="7" t="n">
        <v>0</v>
      </c>
      <c r="K21" s="9" t="n">
        <v>0</v>
      </c>
      <c r="L21" s="10" t="n">
        <v>23.67</v>
      </c>
      <c r="M21" s="10" t="n">
        <v>1.43</v>
      </c>
      <c r="N21" t="inlineStr">
        <is>
          <t>1</t>
        </is>
      </c>
      <c r="O21" t="inlineStr">
        <is>
          <t>16</t>
        </is>
      </c>
      <c r="P21" t="inlineStr">
        <is>
          <t xml:space="preserve">250392  </t>
        </is>
      </c>
      <c r="Q21" s="26" t="n">
        <v>39.9</v>
      </c>
      <c r="R21" s="26">
        <f>Q21*G21</f>
        <v/>
      </c>
      <c r="S21" t="n">
        <v>23.67</v>
      </c>
      <c r="T21" s="18">
        <f>1 - V21/S21</f>
        <v/>
      </c>
      <c r="U21" s="18" t="n">
        <v>0.2506265664160401</v>
      </c>
      <c r="V21" s="26" t="n">
        <v>19.00423728813559</v>
      </c>
      <c r="W21" s="26">
        <f>V21 - L21</f>
        <v/>
      </c>
    </row>
    <row r="22">
      <c r="A22" s="11" t="n">
        <v>46204</v>
      </c>
      <c r="B22" s="1" t="n">
        <v>20040</v>
      </c>
      <c r="C22" s="1" t="inlineStr">
        <is>
          <t>083</t>
        </is>
      </c>
      <c r="D22" s="1" t="inlineStr">
        <is>
          <t>158813</t>
        </is>
      </c>
      <c r="E22" s="1" t="inlineStr">
        <is>
          <t xml:space="preserve">28194769       </t>
        </is>
      </c>
      <c r="F22" s="5" t="inlineStr">
        <is>
          <t>AUTOS DE METAL 3 TEAMSTERZ PACK DE 2</t>
        </is>
      </c>
      <c r="G22" t="n">
        <v>1</v>
      </c>
      <c r="H22" s="7" t="n">
        <v>13.8</v>
      </c>
      <c r="I22" s="7" t="n">
        <v>0</v>
      </c>
      <c r="J22" s="7" t="n">
        <v>0</v>
      </c>
      <c r="K22" s="9" t="n">
        <v>0</v>
      </c>
      <c r="L22" s="10" t="n">
        <v>8.18</v>
      </c>
      <c r="M22" s="10" t="n">
        <v>1.43</v>
      </c>
      <c r="N22" t="inlineStr">
        <is>
          <t>1</t>
        </is>
      </c>
      <c r="O22" t="inlineStr">
        <is>
          <t xml:space="preserve">2 </t>
        </is>
      </c>
      <c r="P22" t="inlineStr">
        <is>
          <t xml:space="preserve">250040  </t>
        </is>
      </c>
      <c r="Q22" s="26" t="n">
        <v>13.8</v>
      </c>
      <c r="R22" s="26">
        <f>Q22*G22</f>
        <v/>
      </c>
      <c r="S22" t="n">
        <v>8.19</v>
      </c>
      <c r="T22" s="18">
        <f>1 - V22/S22</f>
        <v/>
      </c>
      <c r="U22" s="18" t="n">
        <v>0</v>
      </c>
      <c r="V22" s="26" t="n">
        <v>8.19</v>
      </c>
      <c r="W22" s="26">
        <f>V22 - L22</f>
        <v/>
      </c>
    </row>
    <row r="23">
      <c r="A23" s="11" t="n">
        <v>46204</v>
      </c>
      <c r="B23" s="1" t="n">
        <v>20040</v>
      </c>
      <c r="C23" s="1" t="inlineStr">
        <is>
          <t>083</t>
        </is>
      </c>
      <c r="D23" s="1" t="inlineStr">
        <is>
          <t>158813</t>
        </is>
      </c>
      <c r="E23" s="1" t="inlineStr">
        <is>
          <t xml:space="preserve">28194769       </t>
        </is>
      </c>
      <c r="F23" s="5" t="inlineStr">
        <is>
          <t>AUTOS DE METAL 3 TEAMSTERZ PACK DE 2</t>
        </is>
      </c>
      <c r="G23" t="n">
        <v>1</v>
      </c>
      <c r="H23" s="7" t="n">
        <v>13.8</v>
      </c>
      <c r="I23" s="7" t="n">
        <v>0</v>
      </c>
      <c r="J23" s="7" t="n">
        <v>0</v>
      </c>
      <c r="K23" s="9" t="n">
        <v>0</v>
      </c>
      <c r="L23" s="10" t="n">
        <v>8.18</v>
      </c>
      <c r="M23" s="10" t="n">
        <v>1.43</v>
      </c>
      <c r="N23" t="inlineStr">
        <is>
          <t>1</t>
        </is>
      </c>
      <c r="O23" t="inlineStr">
        <is>
          <t xml:space="preserve">2 </t>
        </is>
      </c>
      <c r="P23" t="inlineStr">
        <is>
          <t xml:space="preserve">250040  </t>
        </is>
      </c>
      <c r="Q23" s="26" t="n">
        <v>13.8</v>
      </c>
      <c r="R23" s="26">
        <f>Q23*G23</f>
        <v/>
      </c>
      <c r="S23" t="n">
        <v>8.19</v>
      </c>
      <c r="T23" s="18">
        <f>1 - V23/S23</f>
        <v/>
      </c>
      <c r="U23" s="18" t="n">
        <v>0</v>
      </c>
      <c r="V23" s="26" t="n">
        <v>8.19</v>
      </c>
      <c r="W23" s="26">
        <f>V23 - L23</f>
        <v/>
      </c>
    </row>
    <row r="24">
      <c r="A24" s="11" t="n">
        <v>46204</v>
      </c>
      <c r="B24" s="1" t="n">
        <v>20040</v>
      </c>
      <c r="C24" s="1" t="inlineStr">
        <is>
          <t>083</t>
        </is>
      </c>
      <c r="D24" s="1" t="inlineStr">
        <is>
          <t>158824</t>
        </is>
      </c>
      <c r="E24" s="1" t="inlineStr">
        <is>
          <t xml:space="preserve">28194769       </t>
        </is>
      </c>
      <c r="F24" s="5" t="inlineStr">
        <is>
          <t>AUTOS DE METAL 3 TEAMSTERZ PACK DE 2</t>
        </is>
      </c>
      <c r="G24" t="n">
        <v>1</v>
      </c>
      <c r="H24" s="7" t="n">
        <v>13.8</v>
      </c>
      <c r="I24" s="7" t="n">
        <v>0</v>
      </c>
      <c r="J24" s="7" t="n">
        <v>0</v>
      </c>
      <c r="K24" s="9" t="n">
        <v>0</v>
      </c>
      <c r="L24" s="10" t="n">
        <v>8.18</v>
      </c>
      <c r="M24" s="10" t="n">
        <v>1.43</v>
      </c>
      <c r="N24" t="inlineStr">
        <is>
          <t>1</t>
        </is>
      </c>
      <c r="O24" t="inlineStr">
        <is>
          <t>16</t>
        </is>
      </c>
      <c r="P24" t="inlineStr">
        <is>
          <t xml:space="preserve">250040  </t>
        </is>
      </c>
      <c r="Q24" s="26" t="n">
        <v>13.8</v>
      </c>
      <c r="R24" s="26">
        <f>Q24*G24</f>
        <v/>
      </c>
      <c r="S24" t="n">
        <v>8.19</v>
      </c>
      <c r="T24" s="18">
        <f>1 - V24/S24</f>
        <v/>
      </c>
      <c r="U24" s="18" t="n">
        <v>0</v>
      </c>
      <c r="V24" s="26" t="n">
        <v>8.19</v>
      </c>
      <c r="W24" s="26">
        <f>V24 - L24</f>
        <v/>
      </c>
    </row>
    <row r="25">
      <c r="A25" s="11" t="n">
        <v>46204</v>
      </c>
      <c r="B25" s="1" t="n">
        <v>20040</v>
      </c>
      <c r="C25" s="1" t="inlineStr">
        <is>
          <t>083</t>
        </is>
      </c>
      <c r="D25" s="1" t="inlineStr">
        <is>
          <t>158832</t>
        </is>
      </c>
      <c r="E25" s="1" t="inlineStr">
        <is>
          <t xml:space="preserve">28194780       </t>
        </is>
      </c>
      <c r="F25" s="5" t="inlineStr">
        <is>
          <t>TROMPO BATALLA INFINITY NADO PLSTICO SURTIDO</t>
        </is>
      </c>
      <c r="G25" t="n">
        <v>1</v>
      </c>
      <c r="H25" s="7" t="n">
        <v>19.9</v>
      </c>
      <c r="I25" s="7" t="n">
        <v>0</v>
      </c>
      <c r="J25" s="7" t="n">
        <v>0</v>
      </c>
      <c r="K25" s="9" t="n">
        <v>0</v>
      </c>
      <c r="L25" s="10" t="n">
        <v>11.8</v>
      </c>
      <c r="M25" s="10" t="n">
        <v>1.43</v>
      </c>
      <c r="N25" t="inlineStr">
        <is>
          <t>1</t>
        </is>
      </c>
      <c r="O25" t="inlineStr">
        <is>
          <t xml:space="preserve">2 </t>
        </is>
      </c>
      <c r="P25" t="inlineStr">
        <is>
          <t xml:space="preserve">250040  </t>
        </is>
      </c>
      <c r="Q25" s="26" t="n">
        <v>19.9</v>
      </c>
      <c r="R25" s="26">
        <f>Q25*G25</f>
        <v/>
      </c>
      <c r="S25" t="n">
        <v>11.81</v>
      </c>
      <c r="T25" s="18">
        <f>1 - V25/S25</f>
        <v/>
      </c>
      <c r="U25" s="18" t="n">
        <v>0</v>
      </c>
      <c r="V25" s="26" t="n">
        <v>11.81</v>
      </c>
      <c r="W25" s="26">
        <f>V25 - L25</f>
        <v/>
      </c>
    </row>
    <row r="26">
      <c r="A26" s="11" t="n">
        <v>46204</v>
      </c>
      <c r="B26" s="1" t="n">
        <v>20041</v>
      </c>
      <c r="C26" s="1" t="inlineStr">
        <is>
          <t>016</t>
        </is>
      </c>
      <c r="D26" s="1" t="inlineStr">
        <is>
          <t>214285</t>
        </is>
      </c>
      <c r="E26" s="1" t="inlineStr">
        <is>
          <t xml:space="preserve">28194769       </t>
        </is>
      </c>
      <c r="F26" s="5" t="inlineStr">
        <is>
          <t>AUTOS DE METAL 3 TEAMSTERZ PACK DE 2</t>
        </is>
      </c>
      <c r="G26" t="n">
        <v>1</v>
      </c>
      <c r="H26" s="7" t="n">
        <v>13.8</v>
      </c>
      <c r="I26" s="7" t="n">
        <v>0</v>
      </c>
      <c r="J26" s="7" t="n">
        <v>0</v>
      </c>
      <c r="K26" s="9" t="n">
        <v>0</v>
      </c>
      <c r="L26" s="10" t="n">
        <v>8.18</v>
      </c>
      <c r="M26" s="10" t="n">
        <v>1.43</v>
      </c>
      <c r="N26" t="inlineStr">
        <is>
          <t>1</t>
        </is>
      </c>
      <c r="O26" t="inlineStr">
        <is>
          <t>16</t>
        </is>
      </c>
      <c r="P26" t="inlineStr">
        <is>
          <t xml:space="preserve">46327   </t>
        </is>
      </c>
      <c r="Q26" s="26" t="n">
        <v>13.8</v>
      </c>
      <c r="R26" s="26">
        <f>Q26*G26</f>
        <v/>
      </c>
      <c r="S26" t="n">
        <v>8.19</v>
      </c>
      <c r="T26" s="18">
        <f>1 - V26/S26</f>
        <v/>
      </c>
      <c r="U26" s="18" t="n">
        <v>0</v>
      </c>
      <c r="V26" s="26" t="n">
        <v>8.19</v>
      </c>
      <c r="W26" s="26">
        <f>V26 - L26</f>
        <v/>
      </c>
    </row>
    <row r="27">
      <c r="A27" s="11" t="n">
        <v>46204</v>
      </c>
      <c r="B27" s="1" t="n">
        <v>20041</v>
      </c>
      <c r="C27" s="1" t="inlineStr">
        <is>
          <t>020</t>
        </is>
      </c>
      <c r="D27" s="1" t="inlineStr">
        <is>
          <t>365390</t>
        </is>
      </c>
      <c r="E27" s="1" t="inlineStr">
        <is>
          <t xml:space="preserve">28194770       </t>
        </is>
      </c>
      <c r="F27" s="5" t="inlineStr">
        <is>
          <t>AUTOS DE METAL 3 TEAMSTERZ EN BLISTER</t>
        </is>
      </c>
      <c r="G27" t="n">
        <v>1</v>
      </c>
      <c r="H27" s="7" t="n">
        <v>6.9</v>
      </c>
      <c r="I27" s="7" t="n">
        <v>0</v>
      </c>
      <c r="J27" s="7" t="n">
        <v>0</v>
      </c>
      <c r="K27" s="9" t="n">
        <v>0</v>
      </c>
      <c r="L27" s="10" t="n">
        <v>4.1</v>
      </c>
      <c r="M27" s="10" t="n">
        <v>1.43</v>
      </c>
      <c r="N27" t="inlineStr">
        <is>
          <t>1</t>
        </is>
      </c>
      <c r="O27" t="inlineStr">
        <is>
          <t>16</t>
        </is>
      </c>
      <c r="P27" t="inlineStr">
        <is>
          <t xml:space="preserve">53218   </t>
        </is>
      </c>
      <c r="Q27" s="26" t="n">
        <v>6.9</v>
      </c>
      <c r="R27" s="26">
        <f>Q27*G27</f>
        <v/>
      </c>
      <c r="S27" t="n">
        <v>4.09</v>
      </c>
      <c r="T27" s="18">
        <f>1 - V27/S27</f>
        <v/>
      </c>
      <c r="U27" s="18" t="n">
        <v>0</v>
      </c>
      <c r="V27" s="26" t="n">
        <v>4.09</v>
      </c>
      <c r="W27" s="26">
        <f>V27 - L27</f>
        <v/>
      </c>
    </row>
    <row r="28">
      <c r="A28" s="11" t="n">
        <v>46204</v>
      </c>
      <c r="B28" s="1" t="n">
        <v>20041</v>
      </c>
      <c r="C28" s="1" t="inlineStr">
        <is>
          <t>037</t>
        </is>
      </c>
      <c r="D28" s="1" t="inlineStr">
        <is>
          <t>188788</t>
        </is>
      </c>
      <c r="E28" s="1" t="inlineStr">
        <is>
          <t xml:space="preserve">28194769       </t>
        </is>
      </c>
      <c r="F28" s="5" t="inlineStr">
        <is>
          <t>AUTOS DE METAL 3 TEAMSTERZ PACK DE 2</t>
        </is>
      </c>
      <c r="G28" t="n">
        <v>1</v>
      </c>
      <c r="H28" s="7" t="n">
        <v>13.8</v>
      </c>
      <c r="I28" s="7" t="n">
        <v>0</v>
      </c>
      <c r="J28" s="7" t="n">
        <v>0</v>
      </c>
      <c r="K28" s="9" t="n">
        <v>0</v>
      </c>
      <c r="L28" s="10" t="n">
        <v>8.18</v>
      </c>
      <c r="M28" s="10" t="n">
        <v>1.43</v>
      </c>
      <c r="N28" t="inlineStr">
        <is>
          <t>1</t>
        </is>
      </c>
      <c r="O28" t="inlineStr">
        <is>
          <t>16</t>
        </is>
      </c>
      <c r="P28" t="inlineStr">
        <is>
          <t xml:space="preserve">92331   </t>
        </is>
      </c>
      <c r="Q28" s="26" t="n">
        <v>13.8</v>
      </c>
      <c r="R28" s="26">
        <f>Q28*G28</f>
        <v/>
      </c>
      <c r="S28" t="n">
        <v>8.19</v>
      </c>
      <c r="T28" s="18">
        <f>1 - V28/S28</f>
        <v/>
      </c>
      <c r="U28" s="18" t="n">
        <v>0</v>
      </c>
      <c r="V28" s="26" t="n">
        <v>8.19</v>
      </c>
      <c r="W28" s="26">
        <f>V28 - L28</f>
        <v/>
      </c>
    </row>
    <row r="29">
      <c r="A29" s="11" t="n">
        <v>46204</v>
      </c>
      <c r="B29" s="1" t="n">
        <v>20041</v>
      </c>
      <c r="C29" s="1" t="inlineStr">
        <is>
          <t>037</t>
        </is>
      </c>
      <c r="D29" s="1" t="inlineStr">
        <is>
          <t>188818</t>
        </is>
      </c>
      <c r="E29" s="1" t="inlineStr">
        <is>
          <t xml:space="preserve">28194770       </t>
        </is>
      </c>
      <c r="F29" s="5" t="inlineStr">
        <is>
          <t>AUTOS DE METAL 3 TEAMSTERZ EN BLISTER</t>
        </is>
      </c>
      <c r="G29" t="n">
        <v>1</v>
      </c>
      <c r="H29" s="7" t="n">
        <v>6.9</v>
      </c>
      <c r="I29" s="7" t="n">
        <v>0</v>
      </c>
      <c r="J29" s="7" t="n">
        <v>0</v>
      </c>
      <c r="K29" s="9" t="n">
        <v>0</v>
      </c>
      <c r="L29" s="10" t="n">
        <v>4.1</v>
      </c>
      <c r="M29" s="10" t="n">
        <v>1.43</v>
      </c>
      <c r="N29" t="inlineStr">
        <is>
          <t>1</t>
        </is>
      </c>
      <c r="O29" t="inlineStr">
        <is>
          <t>16</t>
        </is>
      </c>
      <c r="P29" t="inlineStr">
        <is>
          <t xml:space="preserve">243698  </t>
        </is>
      </c>
      <c r="Q29" s="26" t="n">
        <v>6.9</v>
      </c>
      <c r="R29" s="26">
        <f>Q29*G29</f>
        <v/>
      </c>
      <c r="S29" t="n">
        <v>4.09</v>
      </c>
      <c r="T29" s="18">
        <f>1 - V29/S29</f>
        <v/>
      </c>
      <c r="U29" s="18" t="n">
        <v>0</v>
      </c>
      <c r="V29" s="26" t="n">
        <v>4.09</v>
      </c>
      <c r="W29" s="26">
        <f>V29 - L29</f>
        <v/>
      </c>
    </row>
    <row r="30">
      <c r="A30" s="11" t="n">
        <v>46204</v>
      </c>
      <c r="B30" s="1" t="n">
        <v>20041</v>
      </c>
      <c r="C30" s="1" t="inlineStr">
        <is>
          <t>043</t>
        </is>
      </c>
      <c r="D30" s="1" t="inlineStr">
        <is>
          <t xml:space="preserve">75437 </t>
        </is>
      </c>
      <c r="E30" s="1" t="inlineStr">
        <is>
          <t xml:space="preserve">28194770       </t>
        </is>
      </c>
      <c r="F30" s="5" t="inlineStr">
        <is>
          <t>AUTOS DE METAL 3 TEAMSTERZ EN BLISTER</t>
        </is>
      </c>
      <c r="G30" t="n">
        <v>1</v>
      </c>
      <c r="H30" s="7" t="n">
        <v>6.9</v>
      </c>
      <c r="I30" s="7" t="n">
        <v>0</v>
      </c>
      <c r="J30" s="7" t="n">
        <v>0</v>
      </c>
      <c r="K30" s="9" t="n">
        <v>0</v>
      </c>
      <c r="L30" s="10" t="n">
        <v>4.1</v>
      </c>
      <c r="M30" s="10" t="n">
        <v>1.43</v>
      </c>
      <c r="N30" t="inlineStr">
        <is>
          <t>1</t>
        </is>
      </c>
      <c r="O30" t="inlineStr">
        <is>
          <t xml:space="preserve">3 </t>
        </is>
      </c>
      <c r="P30" t="inlineStr">
        <is>
          <t xml:space="preserve">244965  </t>
        </is>
      </c>
      <c r="Q30" s="26" t="n">
        <v>6.9</v>
      </c>
      <c r="R30" s="26">
        <f>Q30*G30</f>
        <v/>
      </c>
      <c r="S30" t="n">
        <v>4.09</v>
      </c>
      <c r="T30" s="18">
        <f>1 - V30/S30</f>
        <v/>
      </c>
      <c r="U30" s="18" t="n">
        <v>0</v>
      </c>
      <c r="V30" s="26" t="n">
        <v>4.09</v>
      </c>
      <c r="W30" s="26">
        <f>V30 - L30</f>
        <v/>
      </c>
    </row>
    <row r="31">
      <c r="A31" s="11" t="n">
        <v>46204</v>
      </c>
      <c r="B31" s="1" t="n">
        <v>20041</v>
      </c>
      <c r="C31" s="1" t="inlineStr">
        <is>
          <t>043</t>
        </is>
      </c>
      <c r="D31" s="1" t="inlineStr">
        <is>
          <t xml:space="preserve">75437 </t>
        </is>
      </c>
      <c r="E31" s="1" t="inlineStr">
        <is>
          <t xml:space="preserve">28194770       </t>
        </is>
      </c>
      <c r="F31" s="5" t="inlineStr">
        <is>
          <t>AUTOS DE METAL 3 TEAMSTERZ EN BLISTER</t>
        </is>
      </c>
      <c r="G31" t="n">
        <v>1</v>
      </c>
      <c r="H31" s="7" t="n">
        <v>6.9</v>
      </c>
      <c r="I31" s="7" t="n">
        <v>0</v>
      </c>
      <c r="J31" s="7" t="n">
        <v>0</v>
      </c>
      <c r="K31" s="9" t="n">
        <v>0</v>
      </c>
      <c r="L31" s="10" t="n">
        <v>4.1</v>
      </c>
      <c r="M31" s="10" t="n">
        <v>1.43</v>
      </c>
      <c r="N31" t="inlineStr">
        <is>
          <t>1</t>
        </is>
      </c>
      <c r="O31" t="inlineStr">
        <is>
          <t xml:space="preserve">3 </t>
        </is>
      </c>
      <c r="P31" t="inlineStr">
        <is>
          <t xml:space="preserve">244965  </t>
        </is>
      </c>
      <c r="Q31" s="26" t="n">
        <v>6.9</v>
      </c>
      <c r="R31" s="26">
        <f>Q31*G31</f>
        <v/>
      </c>
      <c r="S31" t="n">
        <v>4.09</v>
      </c>
      <c r="T31" s="18">
        <f>1 - V31/S31</f>
        <v/>
      </c>
      <c r="U31" s="18" t="n">
        <v>0</v>
      </c>
      <c r="V31" s="26" t="n">
        <v>4.09</v>
      </c>
      <c r="W31" s="26">
        <f>V31 - L31</f>
        <v/>
      </c>
    </row>
    <row r="32">
      <c r="A32" s="11" t="n">
        <v>46204</v>
      </c>
      <c r="B32" s="1" t="n">
        <v>20048</v>
      </c>
      <c r="C32" s="1" t="inlineStr">
        <is>
          <t>013</t>
        </is>
      </c>
      <c r="D32" s="1" t="inlineStr">
        <is>
          <t>223608</t>
        </is>
      </c>
      <c r="E32" s="1" t="inlineStr">
        <is>
          <t xml:space="preserve">28194770       </t>
        </is>
      </c>
      <c r="F32" s="5" t="inlineStr">
        <is>
          <t>AUTOS DE METAL 3 TEAMSTERZ EN BLISTER</t>
        </is>
      </c>
      <c r="G32" t="n">
        <v>1</v>
      </c>
      <c r="H32" s="7" t="n">
        <v>6.9</v>
      </c>
      <c r="I32" s="7" t="n">
        <v>0</v>
      </c>
      <c r="J32" s="7" t="n">
        <v>0</v>
      </c>
      <c r="K32" s="9" t="n">
        <v>0</v>
      </c>
      <c r="L32" s="10" t="n">
        <v>4.1</v>
      </c>
      <c r="M32" s="10" t="n">
        <v>1.43</v>
      </c>
      <c r="N32" t="inlineStr">
        <is>
          <t>1</t>
        </is>
      </c>
      <c r="O32" t="inlineStr">
        <is>
          <t>16</t>
        </is>
      </c>
      <c r="P32" t="inlineStr">
        <is>
          <t xml:space="preserve">85763   </t>
        </is>
      </c>
      <c r="Q32" s="26" t="n">
        <v>6.9</v>
      </c>
      <c r="R32" s="26">
        <f>Q32*G32</f>
        <v/>
      </c>
      <c r="S32" t="n">
        <v>4.09</v>
      </c>
      <c r="T32" s="18">
        <f>1 - V32/S32</f>
        <v/>
      </c>
      <c r="U32" s="18" t="n">
        <v>0</v>
      </c>
      <c r="V32" s="26" t="n">
        <v>4.09</v>
      </c>
      <c r="W32" s="26">
        <f>V32 - L32</f>
        <v/>
      </c>
    </row>
    <row r="33">
      <c r="A33" s="11" t="n">
        <v>46204</v>
      </c>
      <c r="B33" s="1" t="n">
        <v>20048</v>
      </c>
      <c r="C33" s="1" t="inlineStr">
        <is>
          <t>017</t>
        </is>
      </c>
      <c r="D33" s="1" t="inlineStr">
        <is>
          <t>165726</t>
        </is>
      </c>
      <c r="E33" s="1" t="inlineStr">
        <is>
          <t xml:space="preserve">28194782       </t>
        </is>
      </c>
      <c r="F33" s="5" t="inlineStr">
        <is>
          <t>TROMPO BATALLA INFINITY NADO SERIE V ORIGINAL SURT</t>
        </is>
      </c>
      <c r="G33" t="n">
        <v>1</v>
      </c>
      <c r="H33" s="7" t="n">
        <v>44.91</v>
      </c>
      <c r="I33" s="7" t="n">
        <v>0</v>
      </c>
      <c r="J33" s="7" t="n">
        <v>0</v>
      </c>
      <c r="K33" s="9" t="n">
        <v>0</v>
      </c>
      <c r="L33" s="10" t="n">
        <v>26.64</v>
      </c>
      <c r="M33" s="10" t="n">
        <v>1.43</v>
      </c>
      <c r="N33" t="inlineStr">
        <is>
          <t>1</t>
        </is>
      </c>
      <c r="O33" t="inlineStr">
        <is>
          <t xml:space="preserve">6 </t>
        </is>
      </c>
      <c r="P33" t="inlineStr">
        <is>
          <t xml:space="preserve">33648   </t>
        </is>
      </c>
      <c r="Q33" s="26" t="n">
        <v>69.90000000000001</v>
      </c>
      <c r="R33" s="26">
        <f>Q33*G33</f>
        <v/>
      </c>
      <c r="S33" t="n">
        <v>41.47</v>
      </c>
      <c r="T33" s="18">
        <f>1 - V33/S33</f>
        <v/>
      </c>
      <c r="U33" s="18" t="n">
        <v>0.2861230329041489</v>
      </c>
      <c r="V33" s="26" t="n">
        <v>31.71610169491525</v>
      </c>
      <c r="W33" s="26">
        <f>V33 - L33</f>
        <v/>
      </c>
    </row>
    <row r="34">
      <c r="A34" s="11" t="n">
        <v>46204</v>
      </c>
      <c r="B34" s="1" t="n">
        <v>20048</v>
      </c>
      <c r="C34" s="1" t="inlineStr">
        <is>
          <t>017</t>
        </is>
      </c>
      <c r="D34" s="1" t="inlineStr">
        <is>
          <t xml:space="preserve">8476  </t>
        </is>
      </c>
      <c r="E34" s="1" t="inlineStr">
        <is>
          <t xml:space="preserve">28194782       </t>
        </is>
      </c>
      <c r="F34" s="5" t="inlineStr">
        <is>
          <t>TROMPO BATALLA INFINITY NADO SERIE V ORIGINAL SURT</t>
        </is>
      </c>
      <c r="G34" t="n">
        <v>-1</v>
      </c>
      <c r="H34" s="7" t="n">
        <v>-44.91</v>
      </c>
      <c r="I34" s="7" t="n">
        <v>0</v>
      </c>
      <c r="J34" s="7" t="n">
        <v>0</v>
      </c>
      <c r="K34" s="9" t="n">
        <v>0</v>
      </c>
      <c r="L34" s="10" t="n">
        <v>-26.64</v>
      </c>
      <c r="M34" s="10" t="n">
        <v>0</v>
      </c>
      <c r="N34" t="inlineStr">
        <is>
          <t>3</t>
        </is>
      </c>
      <c r="O34" t="inlineStr">
        <is>
          <t>26</t>
        </is>
      </c>
      <c r="P34" t="inlineStr">
        <is>
          <t xml:space="preserve">33648   </t>
        </is>
      </c>
      <c r="Q34" s="26" t="n">
        <v>69.90000000000001</v>
      </c>
      <c r="R34" s="26">
        <f>Q34*G34</f>
        <v/>
      </c>
      <c r="S34" t="n">
        <v>-41.47</v>
      </c>
      <c r="T34" s="18">
        <f>1 - V34/S34</f>
        <v/>
      </c>
      <c r="U34" s="18" t="n">
        <v>0.2861230329041489</v>
      </c>
      <c r="V34" s="26" t="n">
        <v>-31.71610169491525</v>
      </c>
      <c r="W34" s="26">
        <f>V34 - L34</f>
        <v/>
      </c>
    </row>
    <row r="35">
      <c r="A35" s="11" t="n">
        <v>46204</v>
      </c>
      <c r="B35" s="1" t="n">
        <v>20048</v>
      </c>
      <c r="C35" s="1" t="inlineStr">
        <is>
          <t>018</t>
        </is>
      </c>
      <c r="D35" s="1" t="inlineStr">
        <is>
          <t xml:space="preserve">45588 </t>
        </is>
      </c>
      <c r="E35" s="1" t="inlineStr">
        <is>
          <t xml:space="preserve">28194770       </t>
        </is>
      </c>
      <c r="F35" s="5" t="inlineStr">
        <is>
          <t>AUTOS DE METAL 3 TEAMSTERZ EN BLISTER</t>
        </is>
      </c>
      <c r="G35" t="n">
        <v>1</v>
      </c>
      <c r="H35" s="7" t="n">
        <v>6.9</v>
      </c>
      <c r="I35" s="7" t="n">
        <v>0</v>
      </c>
      <c r="J35" s="7" t="n">
        <v>0</v>
      </c>
      <c r="K35" s="9" t="n">
        <v>0</v>
      </c>
      <c r="L35" s="10" t="n">
        <v>4.1</v>
      </c>
      <c r="M35" s="10" t="n">
        <v>1.43</v>
      </c>
      <c r="N35" t="inlineStr">
        <is>
          <t>1</t>
        </is>
      </c>
      <c r="O35" t="inlineStr">
        <is>
          <t>16</t>
        </is>
      </c>
      <c r="P35" t="inlineStr">
        <is>
          <t xml:space="preserve">248416  </t>
        </is>
      </c>
      <c r="Q35" s="26" t="n">
        <v>6.9</v>
      </c>
      <c r="R35" s="26">
        <f>Q35*G35</f>
        <v/>
      </c>
      <c r="S35" t="n">
        <v>4.09</v>
      </c>
      <c r="T35" s="18">
        <f>1 - V35/S35</f>
        <v/>
      </c>
      <c r="U35" s="18" t="n">
        <v>0</v>
      </c>
      <c r="V35" s="26" t="n">
        <v>4.09</v>
      </c>
      <c r="W35" s="26">
        <f>V35 - L35</f>
        <v/>
      </c>
    </row>
    <row r="36">
      <c r="A36" s="11" t="n">
        <v>46204</v>
      </c>
      <c r="B36" s="1" t="n">
        <v>20048</v>
      </c>
      <c r="C36" s="1" t="inlineStr">
        <is>
          <t>800</t>
        </is>
      </c>
      <c r="D36" s="1" t="inlineStr">
        <is>
          <t xml:space="preserve">3196  </t>
        </is>
      </c>
      <c r="E36" s="1" t="inlineStr">
        <is>
          <t xml:space="preserve">28194770       </t>
        </is>
      </c>
      <c r="F36" s="5" t="inlineStr">
        <is>
          <t>AUTOS DE METAL 3 TEAMSTERZ EN BLISTER</t>
        </is>
      </c>
      <c r="G36" t="n">
        <v>3</v>
      </c>
      <c r="H36" s="7" t="n">
        <v>20.7</v>
      </c>
      <c r="I36" s="7" t="n">
        <v>0</v>
      </c>
      <c r="J36" s="7" t="n">
        <v>0</v>
      </c>
      <c r="K36" s="9" t="n">
        <v>0</v>
      </c>
      <c r="L36" s="10" t="n">
        <v>12.27</v>
      </c>
      <c r="M36" s="10" t="n">
        <v>1.43</v>
      </c>
      <c r="N36" t="inlineStr">
        <is>
          <t>1</t>
        </is>
      </c>
      <c r="O36" t="inlineStr">
        <is>
          <t>16</t>
        </is>
      </c>
      <c r="P36" t="inlineStr">
        <is>
          <t xml:space="preserve">234984  </t>
        </is>
      </c>
      <c r="Q36" s="26" t="n">
        <v>6.9</v>
      </c>
      <c r="R36" s="26">
        <f>Q36*G36</f>
        <v/>
      </c>
      <c r="S36" t="n">
        <v>12.27</v>
      </c>
      <c r="T36" s="18">
        <f>1 - V36/S36</f>
        <v/>
      </c>
      <c r="U36" s="18" t="n">
        <v>0</v>
      </c>
      <c r="V36" s="26" t="n">
        <v>12.27</v>
      </c>
      <c r="W36" s="26">
        <f>V36 - L36</f>
        <v/>
      </c>
    </row>
    <row r="37">
      <c r="A37" s="11" t="n">
        <v>46204</v>
      </c>
      <c r="B37" s="1" t="n">
        <v>20048</v>
      </c>
      <c r="C37" s="1" t="inlineStr">
        <is>
          <t>800</t>
        </is>
      </c>
      <c r="D37" s="1" t="inlineStr">
        <is>
          <t xml:space="preserve">3234  </t>
        </is>
      </c>
      <c r="E37" s="1" t="inlineStr">
        <is>
          <t xml:space="preserve">31417427       </t>
        </is>
      </c>
      <c r="F37" s="5" t="inlineStr">
        <is>
          <t>MUNECA EVI LOVE AMIGA DE MASCOTAS SURTIDO</t>
        </is>
      </c>
      <c r="G37" t="n">
        <v>1</v>
      </c>
      <c r="H37" s="7" t="n">
        <v>19.9</v>
      </c>
      <c r="I37" s="7" t="n">
        <v>0</v>
      </c>
      <c r="J37" s="7" t="n">
        <v>0</v>
      </c>
      <c r="K37" s="9" t="n">
        <v>0</v>
      </c>
      <c r="L37" s="10" t="n">
        <v>11.8</v>
      </c>
      <c r="M37" s="10" t="n">
        <v>1.43</v>
      </c>
      <c r="N37" t="inlineStr">
        <is>
          <t>1</t>
        </is>
      </c>
      <c r="O37" t="inlineStr">
        <is>
          <t>16</t>
        </is>
      </c>
      <c r="P37" t="inlineStr">
        <is>
          <t xml:space="preserve">234984  </t>
        </is>
      </c>
      <c r="Q37" s="26" t="n">
        <v>19.9</v>
      </c>
      <c r="R37" s="26">
        <f>Q37*G37</f>
        <v/>
      </c>
      <c r="S37" t="n">
        <v>11.81</v>
      </c>
      <c r="T37" s="18">
        <f>1 - V37/S37</f>
        <v/>
      </c>
      <c r="U37" s="18" t="n">
        <v>0.4</v>
      </c>
      <c r="V37" s="26" t="n">
        <v>9.106779661016949</v>
      </c>
      <c r="W37" s="26">
        <f>V37 - L37</f>
        <v/>
      </c>
    </row>
    <row r="38">
      <c r="A38" s="11" t="n">
        <v>46204</v>
      </c>
      <c r="B38" s="1" t="n">
        <v>20048</v>
      </c>
      <c r="C38" s="1" t="inlineStr">
        <is>
          <t>800</t>
        </is>
      </c>
      <c r="D38" s="1" t="inlineStr">
        <is>
          <t xml:space="preserve">3234  </t>
        </is>
      </c>
      <c r="E38" s="1" t="inlineStr">
        <is>
          <t xml:space="preserve">33483119       </t>
        </is>
      </c>
      <c r="F38" s="5" t="inlineStr">
        <is>
          <t>MUNECA EVI LOVE TRAJE TIPICO CON ALPACA</t>
        </is>
      </c>
      <c r="G38" t="n">
        <v>1</v>
      </c>
      <c r="H38" s="7" t="n">
        <v>29.9</v>
      </c>
      <c r="I38" s="7" t="n">
        <v>0</v>
      </c>
      <c r="J38" s="7" t="n">
        <v>0</v>
      </c>
      <c r="K38" s="9" t="n">
        <v>0</v>
      </c>
      <c r="L38" s="10" t="n">
        <v>17.74</v>
      </c>
      <c r="M38" s="10" t="n">
        <v>1.43</v>
      </c>
      <c r="N38" t="inlineStr">
        <is>
          <t>1</t>
        </is>
      </c>
      <c r="O38" t="inlineStr">
        <is>
          <t>16</t>
        </is>
      </c>
      <c r="P38" t="inlineStr">
        <is>
          <t xml:space="preserve">234984  </t>
        </is>
      </c>
      <c r="Q38" s="26" t="n">
        <v>29.9</v>
      </c>
      <c r="R38" s="26">
        <f>Q38*G38</f>
        <v/>
      </c>
      <c r="S38" t="n">
        <v>17.74</v>
      </c>
      <c r="T38" s="18">
        <f>1 - V38/S38</f>
        <v/>
      </c>
      <c r="U38" s="18" t="n">
        <v>0.4</v>
      </c>
      <c r="V38" s="26" t="n">
        <v>13.68305084745763</v>
      </c>
      <c r="W38" s="26">
        <f>V38 - L38</f>
        <v/>
      </c>
    </row>
    <row r="39">
      <c r="A39" s="11" t="n">
        <v>46204</v>
      </c>
      <c r="B39" s="1" t="n">
        <v>20048</v>
      </c>
      <c r="C39" s="1" t="inlineStr">
        <is>
          <t>800</t>
        </is>
      </c>
      <c r="D39" s="1" t="inlineStr">
        <is>
          <t xml:space="preserve">3249  </t>
        </is>
      </c>
      <c r="E39" s="1" t="inlineStr">
        <is>
          <t xml:space="preserve">34840551       </t>
        </is>
      </c>
      <c r="F39" s="5" t="inlineStr">
        <is>
          <t>TMZ HELI BOMBERO CON LUCES Y SONIDOS</t>
        </is>
      </c>
      <c r="G39" t="n">
        <v>1</v>
      </c>
      <c r="H39" s="7" t="n">
        <v>79.90000000000001</v>
      </c>
      <c r="I39" s="7" t="n">
        <v>0</v>
      </c>
      <c r="J39" s="7" t="n">
        <v>0</v>
      </c>
      <c r="K39" s="9" t="n">
        <v>0</v>
      </c>
      <c r="L39" s="10" t="n">
        <v>47.4</v>
      </c>
      <c r="M39" s="10" t="n">
        <v>1.43</v>
      </c>
      <c r="N39" t="inlineStr">
        <is>
          <t>1</t>
        </is>
      </c>
      <c r="O39" t="inlineStr">
        <is>
          <t>16</t>
        </is>
      </c>
      <c r="P39" t="inlineStr">
        <is>
          <t xml:space="preserve">234984  </t>
        </is>
      </c>
      <c r="Q39" s="26" t="n">
        <v>79.90000000000002</v>
      </c>
      <c r="R39" s="26">
        <f>Q39*G39</f>
        <v/>
      </c>
      <c r="S39" t="n">
        <v>47.4</v>
      </c>
      <c r="T39" s="18">
        <f>1 - V39/S39</f>
        <v/>
      </c>
      <c r="U39" s="18" t="n">
        <v>0</v>
      </c>
      <c r="V39" s="26" t="n">
        <v>47.4</v>
      </c>
      <c r="W39" s="26">
        <f>V39 - L39</f>
        <v/>
      </c>
    </row>
    <row r="40">
      <c r="A40" s="11" t="n">
        <v>46204</v>
      </c>
      <c r="B40" s="1" t="n">
        <v>20048</v>
      </c>
      <c r="C40" s="1" t="inlineStr">
        <is>
          <t>800</t>
        </is>
      </c>
      <c r="D40" s="1" t="inlineStr">
        <is>
          <t xml:space="preserve">3249  </t>
        </is>
      </c>
      <c r="E40" s="1" t="inlineStr">
        <is>
          <t xml:space="preserve">35685067       </t>
        </is>
      </c>
      <c r="F40" s="5" t="inlineStr">
        <is>
          <t>HOT WHEELS POWER SET 3 EN 1</t>
        </is>
      </c>
      <c r="G40" t="n">
        <v>1</v>
      </c>
      <c r="H40" s="7" t="n">
        <v>49.9</v>
      </c>
      <c r="I40" s="7" t="n">
        <v>0</v>
      </c>
      <c r="J40" s="7" t="n">
        <v>0</v>
      </c>
      <c r="K40" s="9" t="n">
        <v>0</v>
      </c>
      <c r="L40" s="10" t="n">
        <v>29.6</v>
      </c>
      <c r="M40" s="10" t="n">
        <v>1.43</v>
      </c>
      <c r="N40" t="inlineStr">
        <is>
          <t>1</t>
        </is>
      </c>
      <c r="O40" t="inlineStr">
        <is>
          <t>16</t>
        </is>
      </c>
      <c r="P40" t="inlineStr">
        <is>
          <t xml:space="preserve">234984  </t>
        </is>
      </c>
      <c r="Q40" s="26" t="n">
        <v>49.9</v>
      </c>
      <c r="R40" s="26">
        <f>Q40*G40</f>
        <v/>
      </c>
      <c r="S40" t="n">
        <v>29.6</v>
      </c>
      <c r="T40" s="18">
        <f>1 - V40/S40</f>
        <v/>
      </c>
      <c r="U40" s="18" t="n">
        <v>0</v>
      </c>
      <c r="V40" s="26" t="n">
        <v>29.6</v>
      </c>
      <c r="W40" s="26">
        <f>V40 - L40</f>
        <v/>
      </c>
    </row>
    <row r="41">
      <c r="A41" s="11" t="n">
        <v>46204</v>
      </c>
      <c r="B41" s="1" t="n">
        <v>20049</v>
      </c>
      <c r="C41" s="1" t="inlineStr">
        <is>
          <t>025</t>
        </is>
      </c>
      <c r="D41" s="1" t="inlineStr">
        <is>
          <t xml:space="preserve">32797 </t>
        </is>
      </c>
      <c r="E41" s="1" t="inlineStr">
        <is>
          <t xml:space="preserve">29235700       </t>
        </is>
      </c>
      <c r="F41" s="5" t="inlineStr">
        <is>
          <t>HOT WHEELS CASE METALICO PARA GUARDAR 18 CARRITOS</t>
        </is>
      </c>
      <c r="G41" t="n">
        <v>1</v>
      </c>
      <c r="H41" s="7" t="n">
        <v>49.9</v>
      </c>
      <c r="I41" s="7" t="n">
        <v>0</v>
      </c>
      <c r="J41" s="7" t="n">
        <v>0</v>
      </c>
      <c r="K41" s="9" t="n">
        <v>0</v>
      </c>
      <c r="L41" s="10" t="n">
        <v>29.6</v>
      </c>
      <c r="M41" s="10" t="n">
        <v>1.43</v>
      </c>
      <c r="N41" t="inlineStr">
        <is>
          <t>1</t>
        </is>
      </c>
      <c r="O41" t="inlineStr">
        <is>
          <t>16</t>
        </is>
      </c>
      <c r="P41" t="inlineStr">
        <is>
          <t xml:space="preserve">249970  </t>
        </is>
      </c>
      <c r="Q41" s="26" t="n">
        <v>49.90000000000001</v>
      </c>
      <c r="R41" s="26">
        <f>Q41*G41</f>
        <v/>
      </c>
      <c r="S41" t="n">
        <v>29.6</v>
      </c>
      <c r="T41" s="18">
        <f>1 - V41/S41</f>
        <v/>
      </c>
      <c r="U41" s="18" t="n">
        <v>0</v>
      </c>
      <c r="V41" s="26" t="n">
        <v>29.6</v>
      </c>
      <c r="W41" s="26">
        <f>V41 - L41</f>
        <v/>
      </c>
    </row>
    <row r="42">
      <c r="A42" s="11" t="n">
        <v>46204</v>
      </c>
      <c r="B42" s="1" t="n">
        <v>20049</v>
      </c>
      <c r="C42" s="1" t="inlineStr">
        <is>
          <t>030</t>
        </is>
      </c>
      <c r="D42" s="1" t="inlineStr">
        <is>
          <t xml:space="preserve">3917  </t>
        </is>
      </c>
      <c r="E42" s="1" t="inlineStr">
        <is>
          <t xml:space="preserve">28194760       </t>
        </is>
      </c>
      <c r="F42" s="5" t="inlineStr">
        <is>
          <t>CAR CASE MULTIMODULAR HOT WHEELS POR 18 PCS</t>
        </is>
      </c>
      <c r="G42" t="n">
        <v>1</v>
      </c>
      <c r="H42" s="7" t="n">
        <v>69.90000000000001</v>
      </c>
      <c r="I42" s="7" t="n">
        <v>0</v>
      </c>
      <c r="J42" s="7" t="n">
        <v>0</v>
      </c>
      <c r="K42" s="9" t="n">
        <v>0</v>
      </c>
      <c r="L42" s="10" t="n">
        <v>41.47</v>
      </c>
      <c r="M42" s="10" t="n">
        <v>1.43</v>
      </c>
      <c r="N42" t="inlineStr">
        <is>
          <t>1</t>
        </is>
      </c>
      <c r="O42" t="inlineStr">
        <is>
          <t xml:space="preserve">2 </t>
        </is>
      </c>
      <c r="P42" t="inlineStr">
        <is>
          <t xml:space="preserve">250144  </t>
        </is>
      </c>
      <c r="Q42" s="26" t="n">
        <v>69.90000000000001</v>
      </c>
      <c r="R42" s="26">
        <f>Q42*G42</f>
        <v/>
      </c>
      <c r="S42" t="n">
        <v>41.47</v>
      </c>
      <c r="T42" s="18">
        <f>1 - V42/S42</f>
        <v/>
      </c>
      <c r="U42" s="18" t="n">
        <v>0</v>
      </c>
      <c r="V42" s="26" t="n">
        <v>41.47</v>
      </c>
      <c r="W42" s="26">
        <f>V42 - L42</f>
        <v/>
      </c>
    </row>
    <row r="43">
      <c r="A43" s="11" t="n">
        <v>46204</v>
      </c>
      <c r="B43" s="1" t="n">
        <v>20049</v>
      </c>
      <c r="C43" s="1" t="inlineStr">
        <is>
          <t>030</t>
        </is>
      </c>
      <c r="D43" s="1" t="inlineStr">
        <is>
          <t xml:space="preserve">3917  </t>
        </is>
      </c>
      <c r="E43" s="1" t="inlineStr">
        <is>
          <t xml:space="preserve">29235702       </t>
        </is>
      </c>
      <c r="F43" s="5" t="inlineStr">
        <is>
          <t>INFINITY NADO TROMPO DE BATALLA - METAL C/ ANILLO</t>
        </is>
      </c>
      <c r="G43" t="n">
        <v>1</v>
      </c>
      <c r="H43" s="7" t="n">
        <v>69.90000000000001</v>
      </c>
      <c r="I43" s="7" t="n">
        <v>0</v>
      </c>
      <c r="J43" s="7" t="n">
        <v>0</v>
      </c>
      <c r="K43" s="9" t="n">
        <v>0</v>
      </c>
      <c r="L43" s="10" t="n">
        <v>41.47</v>
      </c>
      <c r="M43" s="10" t="n">
        <v>1.43</v>
      </c>
      <c r="N43" t="inlineStr">
        <is>
          <t>1</t>
        </is>
      </c>
      <c r="O43" t="inlineStr">
        <is>
          <t xml:space="preserve">2 </t>
        </is>
      </c>
      <c r="P43" t="inlineStr">
        <is>
          <t xml:space="preserve">250144  </t>
        </is>
      </c>
      <c r="Q43" s="26" t="n">
        <v>69.90000000000001</v>
      </c>
      <c r="R43" s="26">
        <f>Q43*G43</f>
        <v/>
      </c>
      <c r="S43" t="n">
        <v>41.47</v>
      </c>
      <c r="T43" s="18">
        <f>1 - V43/S43</f>
        <v/>
      </c>
      <c r="U43" s="18" t="n">
        <v>0.2861230329041489</v>
      </c>
      <c r="V43" s="26" t="n">
        <v>31.71610169491525</v>
      </c>
      <c r="W43" s="26">
        <f>V43 - L43</f>
        <v/>
      </c>
    </row>
    <row r="44">
      <c r="A44" s="11" t="n">
        <v>46204</v>
      </c>
      <c r="B44" s="1" t="n">
        <v>20056</v>
      </c>
      <c r="C44" s="1" t="inlineStr">
        <is>
          <t>021</t>
        </is>
      </c>
      <c r="D44" s="1" t="inlineStr">
        <is>
          <t xml:space="preserve">51833 </t>
        </is>
      </c>
      <c r="E44" s="1" t="inlineStr">
        <is>
          <t xml:space="preserve">28194769       </t>
        </is>
      </c>
      <c r="F44" s="5" t="inlineStr">
        <is>
          <t>AUTOS DE METAL 3 TEAMSTERZ PACK DE 2</t>
        </is>
      </c>
      <c r="G44" t="n">
        <v>1</v>
      </c>
      <c r="H44" s="7" t="n">
        <v>13.8</v>
      </c>
      <c r="I44" s="7" t="n">
        <v>0</v>
      </c>
      <c r="J44" s="7" t="n">
        <v>0</v>
      </c>
      <c r="K44" s="9" t="n">
        <v>0</v>
      </c>
      <c r="L44" s="10" t="n">
        <v>8.18</v>
      </c>
      <c r="M44" s="10" t="n">
        <v>1.43</v>
      </c>
      <c r="N44" t="inlineStr">
        <is>
          <t>1</t>
        </is>
      </c>
      <c r="O44" t="inlineStr">
        <is>
          <t xml:space="preserve">2 </t>
        </is>
      </c>
      <c r="P44" t="inlineStr">
        <is>
          <t xml:space="preserve">248464  </t>
        </is>
      </c>
      <c r="Q44" s="26" t="n">
        <v>13.8</v>
      </c>
      <c r="R44" s="26">
        <f>Q44*G44</f>
        <v/>
      </c>
      <c r="S44" t="n">
        <v>8.19</v>
      </c>
      <c r="T44" s="18">
        <f>1 - V44/S44</f>
        <v/>
      </c>
      <c r="U44" s="18" t="n">
        <v>0</v>
      </c>
      <c r="V44" s="26" t="n">
        <v>8.19</v>
      </c>
      <c r="W44" s="26">
        <f>V44 - L44</f>
        <v/>
      </c>
    </row>
    <row r="45">
      <c r="A45" s="11" t="n">
        <v>46204</v>
      </c>
      <c r="B45" s="1" t="n">
        <v>20056</v>
      </c>
      <c r="C45" s="1" t="inlineStr">
        <is>
          <t>022</t>
        </is>
      </c>
      <c r="D45" s="1" t="inlineStr">
        <is>
          <t xml:space="preserve">54567 </t>
        </is>
      </c>
      <c r="E45" s="1" t="inlineStr">
        <is>
          <t xml:space="preserve">31959956       </t>
        </is>
      </c>
      <c r="F45" s="5" t="inlineStr">
        <is>
          <t>TEAMSTERZ CAMION TRANSPORTA ANIMALES SURTIDO</t>
        </is>
      </c>
      <c r="G45" t="n">
        <v>1</v>
      </c>
      <c r="H45" s="7" t="n">
        <v>17.9</v>
      </c>
      <c r="I45" s="7" t="n">
        <v>0</v>
      </c>
      <c r="J45" s="7" t="n">
        <v>0</v>
      </c>
      <c r="K45" s="9" t="n">
        <v>0</v>
      </c>
      <c r="L45" s="10" t="n">
        <v>10.62</v>
      </c>
      <c r="M45" s="10" t="n">
        <v>1.43</v>
      </c>
      <c r="N45" t="inlineStr">
        <is>
          <t>1</t>
        </is>
      </c>
      <c r="O45" t="inlineStr">
        <is>
          <t>16</t>
        </is>
      </c>
      <c r="P45" t="inlineStr">
        <is>
          <t xml:space="preserve">244178  </t>
        </is>
      </c>
      <c r="Q45" s="26" t="n">
        <v>17.9</v>
      </c>
      <c r="R45" s="26">
        <f>Q45*G45</f>
        <v/>
      </c>
      <c r="S45" t="n">
        <v>10.62</v>
      </c>
      <c r="T45" s="18">
        <f>1 - V45/S45</f>
        <v/>
      </c>
      <c r="U45" s="18" t="n">
        <v>0</v>
      </c>
      <c r="V45" s="26" t="n">
        <v>10.62</v>
      </c>
      <c r="W45" s="26">
        <f>V45 - L45</f>
        <v/>
      </c>
    </row>
    <row r="46">
      <c r="A46" s="11" t="n">
        <v>46204</v>
      </c>
      <c r="B46" s="1" t="n">
        <v>20057</v>
      </c>
      <c r="C46" s="1" t="inlineStr">
        <is>
          <t>032</t>
        </is>
      </c>
      <c r="D46" s="1" t="inlineStr">
        <is>
          <t xml:space="preserve">73534 </t>
        </is>
      </c>
      <c r="E46" s="1" t="inlineStr">
        <is>
          <t xml:space="preserve">29854052       </t>
        </is>
      </c>
      <c r="F46" s="5" t="inlineStr">
        <is>
          <t>PLAYSET CAMBIA DE COLOR CROC BITE</t>
        </is>
      </c>
      <c r="G46" t="n">
        <v>1</v>
      </c>
      <c r="H46" s="7" t="n">
        <v>79.90000000000001</v>
      </c>
      <c r="I46" s="7" t="n">
        <v>0</v>
      </c>
      <c r="J46" s="7" t="n">
        <v>0</v>
      </c>
      <c r="K46" s="9" t="n">
        <v>0</v>
      </c>
      <c r="L46" s="10" t="n">
        <v>47.4</v>
      </c>
      <c r="M46" s="10" t="n">
        <v>1.43</v>
      </c>
      <c r="N46" t="inlineStr">
        <is>
          <t>1</t>
        </is>
      </c>
      <c r="O46" t="inlineStr">
        <is>
          <t xml:space="preserve">2 </t>
        </is>
      </c>
      <c r="P46" t="inlineStr">
        <is>
          <t xml:space="preserve">240012  </t>
        </is>
      </c>
      <c r="Q46" s="26" t="n">
        <v>79.90000000000001</v>
      </c>
      <c r="R46" s="26">
        <f>Q46*G46</f>
        <v/>
      </c>
      <c r="S46" t="n">
        <v>47.4</v>
      </c>
      <c r="T46" s="18">
        <f>1 - V46/S46</f>
        <v/>
      </c>
      <c r="U46" s="18" t="n">
        <v>0</v>
      </c>
      <c r="V46" s="26" t="n">
        <v>47.4</v>
      </c>
      <c r="W46" s="26">
        <f>V46 - L46</f>
        <v/>
      </c>
    </row>
    <row r="47">
      <c r="A47" s="11" t="n">
        <v>46204</v>
      </c>
      <c r="B47" s="1" t="n">
        <v>20057</v>
      </c>
      <c r="C47" s="1" t="inlineStr">
        <is>
          <t>032</t>
        </is>
      </c>
      <c r="D47" s="1" t="inlineStr">
        <is>
          <t xml:space="preserve">73584 </t>
        </is>
      </c>
      <c r="E47" s="1" t="inlineStr">
        <is>
          <t xml:space="preserve">28194770       </t>
        </is>
      </c>
      <c r="F47" s="5" t="inlineStr">
        <is>
          <t>AUTOS DE METAL 3 TEAMSTERZ EN BLISTER</t>
        </is>
      </c>
      <c r="G47" t="n">
        <v>1</v>
      </c>
      <c r="H47" s="7" t="n">
        <v>6.9</v>
      </c>
      <c r="I47" s="7" t="n">
        <v>0</v>
      </c>
      <c r="J47" s="7" t="n">
        <v>0</v>
      </c>
      <c r="K47" s="9" t="n">
        <v>0</v>
      </c>
      <c r="L47" s="10" t="n">
        <v>4.1</v>
      </c>
      <c r="M47" s="10" t="n">
        <v>1.43</v>
      </c>
      <c r="N47" t="inlineStr">
        <is>
          <t>1</t>
        </is>
      </c>
      <c r="O47" t="inlineStr">
        <is>
          <t>16</t>
        </is>
      </c>
      <c r="P47" t="inlineStr">
        <is>
          <t xml:space="preserve">240012  </t>
        </is>
      </c>
      <c r="Q47" s="26" t="n">
        <v>6.9</v>
      </c>
      <c r="R47" s="26">
        <f>Q47*G47</f>
        <v/>
      </c>
      <c r="S47" t="n">
        <v>4.09</v>
      </c>
      <c r="T47" s="18">
        <f>1 - V47/S47</f>
        <v/>
      </c>
      <c r="U47" s="18" t="n">
        <v>0</v>
      </c>
      <c r="V47" s="26" t="n">
        <v>4.09</v>
      </c>
      <c r="W47" s="26">
        <f>V47 - L47</f>
        <v/>
      </c>
    </row>
    <row r="48">
      <c r="A48" s="11" t="n">
        <v>46204</v>
      </c>
      <c r="B48" s="1" t="n">
        <v>20057</v>
      </c>
      <c r="C48" s="1" t="inlineStr">
        <is>
          <t>033</t>
        </is>
      </c>
      <c r="D48" s="1" t="inlineStr">
        <is>
          <t xml:space="preserve">66009 </t>
        </is>
      </c>
      <c r="E48" s="1" t="inlineStr">
        <is>
          <t xml:space="preserve">28194769       </t>
        </is>
      </c>
      <c r="F48" s="5" t="inlineStr">
        <is>
          <t>AUTOS DE METAL 3 TEAMSTERZ PACK DE 2</t>
        </is>
      </c>
      <c r="G48" t="n">
        <v>1</v>
      </c>
      <c r="H48" s="7" t="n">
        <v>13.8</v>
      </c>
      <c r="I48" s="7" t="n">
        <v>0</v>
      </c>
      <c r="J48" s="7" t="n">
        <v>0</v>
      </c>
      <c r="K48" s="9" t="n">
        <v>0</v>
      </c>
      <c r="L48" s="10" t="n">
        <v>8.18</v>
      </c>
      <c r="M48" s="10" t="n">
        <v>1.43</v>
      </c>
      <c r="N48" t="inlineStr">
        <is>
          <t>1</t>
        </is>
      </c>
      <c r="O48" t="inlineStr">
        <is>
          <t>16</t>
        </is>
      </c>
      <c r="P48" t="inlineStr">
        <is>
          <t xml:space="preserve">203426  </t>
        </is>
      </c>
      <c r="Q48" s="26" t="n">
        <v>13.8</v>
      </c>
      <c r="R48" s="26">
        <f>Q48*G48</f>
        <v/>
      </c>
      <c r="S48" t="n">
        <v>8.19</v>
      </c>
      <c r="T48" s="18">
        <f>1 - V48/S48</f>
        <v/>
      </c>
      <c r="U48" s="18" t="n">
        <v>0</v>
      </c>
      <c r="V48" s="26" t="n">
        <v>8.19</v>
      </c>
      <c r="W48" s="26">
        <f>V48 - L48</f>
        <v/>
      </c>
    </row>
    <row r="49">
      <c r="A49" s="11" t="n">
        <v>46204</v>
      </c>
      <c r="B49" s="1" t="n">
        <v>20057</v>
      </c>
      <c r="C49" s="1" t="inlineStr">
        <is>
          <t>861</t>
        </is>
      </c>
      <c r="D49" s="1" t="inlineStr">
        <is>
          <t xml:space="preserve">518   </t>
        </is>
      </c>
      <c r="E49" s="1" t="inlineStr">
        <is>
          <t xml:space="preserve">28194769       </t>
        </is>
      </c>
      <c r="F49" s="5" t="inlineStr">
        <is>
          <t>AUTOS DE METAL 3 TEAMSTERZ PACK DE 2</t>
        </is>
      </c>
      <c r="G49" t="n">
        <v>1</v>
      </c>
      <c r="H49" s="7" t="n">
        <v>13.8</v>
      </c>
      <c r="I49" s="7" t="n">
        <v>0</v>
      </c>
      <c r="J49" s="7" t="n">
        <v>0</v>
      </c>
      <c r="K49" s="9" t="n">
        <v>0</v>
      </c>
      <c r="L49" s="10" t="n">
        <v>8.18</v>
      </c>
      <c r="M49" s="10" t="n">
        <v>1.43</v>
      </c>
      <c r="N49" t="inlineStr">
        <is>
          <t>1</t>
        </is>
      </c>
      <c r="O49" t="inlineStr">
        <is>
          <t>16</t>
        </is>
      </c>
      <c r="P49" t="inlineStr">
        <is>
          <t xml:space="preserve">0       </t>
        </is>
      </c>
      <c r="Q49" s="26" t="n">
        <v>13.8</v>
      </c>
      <c r="R49" s="26">
        <f>Q49*G49</f>
        <v/>
      </c>
      <c r="S49" t="n">
        <v>8.19</v>
      </c>
      <c r="T49" s="18">
        <f>1 - V49/S49</f>
        <v/>
      </c>
      <c r="U49" s="18" t="n">
        <v>0</v>
      </c>
      <c r="V49" s="26" t="n">
        <v>8.19</v>
      </c>
      <c r="W49" s="26">
        <f>V49 - L49</f>
        <v/>
      </c>
    </row>
    <row r="50">
      <c r="A50" s="11" t="n">
        <v>46204</v>
      </c>
      <c r="B50" s="1" t="n">
        <v>20057</v>
      </c>
      <c r="C50" s="1" t="inlineStr">
        <is>
          <t>861</t>
        </is>
      </c>
      <c r="D50" s="1" t="inlineStr">
        <is>
          <t xml:space="preserve">518   </t>
        </is>
      </c>
      <c r="E50" s="1" t="inlineStr">
        <is>
          <t xml:space="preserve">28194770       </t>
        </is>
      </c>
      <c r="F50" s="5" t="inlineStr">
        <is>
          <t>AUTOS DE METAL 3 TEAMSTERZ EN BLISTER</t>
        </is>
      </c>
      <c r="G50" t="n">
        <v>1</v>
      </c>
      <c r="H50" s="7" t="n">
        <v>6.9</v>
      </c>
      <c r="I50" s="7" t="n">
        <v>0</v>
      </c>
      <c r="J50" s="7" t="n">
        <v>0</v>
      </c>
      <c r="K50" s="9" t="n">
        <v>0</v>
      </c>
      <c r="L50" s="10" t="n">
        <v>4.1</v>
      </c>
      <c r="M50" s="10" t="n">
        <v>1.43</v>
      </c>
      <c r="N50" t="inlineStr">
        <is>
          <t>1</t>
        </is>
      </c>
      <c r="O50" t="inlineStr">
        <is>
          <t>16</t>
        </is>
      </c>
      <c r="P50" t="inlineStr">
        <is>
          <t xml:space="preserve">0       </t>
        </is>
      </c>
      <c r="Q50" s="26" t="n">
        <v>6.9</v>
      </c>
      <c r="R50" s="26">
        <f>Q50*G50</f>
        <v/>
      </c>
      <c r="S50" t="n">
        <v>4.09</v>
      </c>
      <c r="T50" s="18">
        <f>1 - V50/S50</f>
        <v/>
      </c>
      <c r="U50" s="18" t="n">
        <v>0</v>
      </c>
      <c r="V50" s="26" t="n">
        <v>4.09</v>
      </c>
      <c r="W50" s="26">
        <f>V50 - L50</f>
        <v/>
      </c>
    </row>
    <row r="51">
      <c r="A51" s="11" t="n">
        <v>46204</v>
      </c>
      <c r="B51" s="1" t="n">
        <v>20058</v>
      </c>
      <c r="C51" s="1" t="inlineStr">
        <is>
          <t>038</t>
        </is>
      </c>
      <c r="D51" s="1" t="inlineStr">
        <is>
          <t>208071</t>
        </is>
      </c>
      <c r="E51" s="1" t="inlineStr">
        <is>
          <t xml:space="preserve">28194770       </t>
        </is>
      </c>
      <c r="F51" s="5" t="inlineStr">
        <is>
          <t>AUTOS DE METAL 3 TEAMSTERZ EN BLISTER</t>
        </is>
      </c>
      <c r="G51" t="n">
        <v>1</v>
      </c>
      <c r="H51" s="7" t="n">
        <v>6.9</v>
      </c>
      <c r="I51" s="7" t="n">
        <v>0</v>
      </c>
      <c r="J51" s="7" t="n">
        <v>0</v>
      </c>
      <c r="K51" s="9" t="n">
        <v>0</v>
      </c>
      <c r="L51" s="10" t="n">
        <v>4.1</v>
      </c>
      <c r="M51" s="10" t="n">
        <v>1.43</v>
      </c>
      <c r="N51" t="inlineStr">
        <is>
          <t>1</t>
        </is>
      </c>
      <c r="O51" t="inlineStr">
        <is>
          <t>16</t>
        </is>
      </c>
      <c r="P51" t="inlineStr">
        <is>
          <t xml:space="preserve">97366   </t>
        </is>
      </c>
      <c r="Q51" s="26" t="n">
        <v>6.9</v>
      </c>
      <c r="R51" s="26">
        <f>Q51*G51</f>
        <v/>
      </c>
      <c r="S51" t="n">
        <v>4.09</v>
      </c>
      <c r="T51" s="18">
        <f>1 - V51/S51</f>
        <v/>
      </c>
      <c r="U51" s="18" t="n">
        <v>0</v>
      </c>
      <c r="V51" s="26" t="n">
        <v>4.09</v>
      </c>
      <c r="W51" s="26">
        <f>V51 - L51</f>
        <v/>
      </c>
    </row>
    <row r="52">
      <c r="A52" s="11" t="n">
        <v>46204</v>
      </c>
      <c r="B52" s="1" t="n">
        <v>20058</v>
      </c>
      <c r="C52" s="1" t="inlineStr">
        <is>
          <t>038</t>
        </is>
      </c>
      <c r="D52" s="1" t="inlineStr">
        <is>
          <t>208103</t>
        </is>
      </c>
      <c r="E52" s="1" t="inlineStr">
        <is>
          <t xml:space="preserve">28194768       </t>
        </is>
      </c>
      <c r="F52" s="5" t="inlineStr">
        <is>
          <t>AUTO COLOR CHANGE TEAMSTERZ SURTIDO</t>
        </is>
      </c>
      <c r="G52" t="n">
        <v>1</v>
      </c>
      <c r="H52" s="7" t="n">
        <v>14.9</v>
      </c>
      <c r="I52" s="7" t="n">
        <v>0</v>
      </c>
      <c r="J52" s="7" t="n">
        <v>0</v>
      </c>
      <c r="K52" s="9" t="n">
        <v>0</v>
      </c>
      <c r="L52" s="10" t="n">
        <v>8.84</v>
      </c>
      <c r="M52" s="10" t="n">
        <v>1.43</v>
      </c>
      <c r="N52" t="inlineStr">
        <is>
          <t>1</t>
        </is>
      </c>
      <c r="O52" t="inlineStr">
        <is>
          <t>16</t>
        </is>
      </c>
      <c r="P52" t="inlineStr">
        <is>
          <t xml:space="preserve">97366   </t>
        </is>
      </c>
      <c r="Q52" s="26" t="n">
        <v>14.9</v>
      </c>
      <c r="R52" s="26">
        <f>Q52*G52</f>
        <v/>
      </c>
      <c r="S52" t="n">
        <v>8.84</v>
      </c>
      <c r="T52" s="18">
        <f>1 - V52/S52</f>
        <v/>
      </c>
      <c r="U52" s="18" t="n">
        <v>0</v>
      </c>
      <c r="V52" s="26" t="n">
        <v>8.84</v>
      </c>
      <c r="W52" s="26">
        <f>V52 - L52</f>
        <v/>
      </c>
    </row>
    <row r="53">
      <c r="A53" s="11" t="n">
        <v>46204</v>
      </c>
      <c r="B53" s="1" t="n">
        <v>20058</v>
      </c>
      <c r="C53" s="1" t="inlineStr">
        <is>
          <t>038</t>
        </is>
      </c>
      <c r="D53" s="1" t="inlineStr">
        <is>
          <t>208109</t>
        </is>
      </c>
      <c r="E53" s="1" t="inlineStr">
        <is>
          <t xml:space="preserve">32656523       </t>
        </is>
      </c>
      <c r="F53" s="5" t="inlineStr">
        <is>
          <t>TMZ BEAST MACHINES TRANSPORT. T-REX ELECTR. + ACCE</t>
        </is>
      </c>
      <c r="G53" t="n">
        <v>1</v>
      </c>
      <c r="H53" s="7" t="n">
        <v>179</v>
      </c>
      <c r="I53" s="7" t="n">
        <v>0</v>
      </c>
      <c r="J53" s="7" t="n">
        <v>0</v>
      </c>
      <c r="K53" s="9" t="n">
        <v>0</v>
      </c>
      <c r="L53" s="10" t="n">
        <v>106.18</v>
      </c>
      <c r="M53" s="10" t="n">
        <v>1.43</v>
      </c>
      <c r="N53" t="inlineStr">
        <is>
          <t>1</t>
        </is>
      </c>
      <c r="O53" t="inlineStr">
        <is>
          <t>16</t>
        </is>
      </c>
      <c r="P53" t="inlineStr">
        <is>
          <t xml:space="preserve">97366   </t>
        </is>
      </c>
      <c r="Q53" s="26" t="n">
        <v>179</v>
      </c>
      <c r="R53" s="26">
        <f>Q53*G53</f>
        <v/>
      </c>
      <c r="S53" t="n">
        <v>106.19</v>
      </c>
      <c r="T53" s="18">
        <f>1 - V53/S53</f>
        <v/>
      </c>
      <c r="U53" s="18" t="n">
        <v>0</v>
      </c>
      <c r="V53" s="26" t="n">
        <v>106.19</v>
      </c>
      <c r="W53" s="26">
        <f>V53 - L53</f>
        <v/>
      </c>
    </row>
    <row r="54">
      <c r="A54" s="11" t="n">
        <v>46204</v>
      </c>
      <c r="B54" s="1" t="n">
        <v>20058</v>
      </c>
      <c r="C54" s="1" t="inlineStr">
        <is>
          <t>191</t>
        </is>
      </c>
      <c r="D54" s="1" t="inlineStr">
        <is>
          <t xml:space="preserve">5044  </t>
        </is>
      </c>
      <c r="E54" s="1" t="inlineStr">
        <is>
          <t xml:space="preserve">28194770       </t>
        </is>
      </c>
      <c r="F54" s="5" t="inlineStr">
        <is>
          <t>AUTOS DE METAL 3 TEAMSTERZ EN BLISTER</t>
        </is>
      </c>
      <c r="G54" t="n">
        <v>1</v>
      </c>
      <c r="H54" s="7" t="n">
        <v>6.9</v>
      </c>
      <c r="I54" s="7" t="n">
        <v>0</v>
      </c>
      <c r="J54" s="7" t="n">
        <v>0</v>
      </c>
      <c r="K54" s="9" t="n">
        <v>0</v>
      </c>
      <c r="L54" s="10" t="n">
        <v>4.1</v>
      </c>
      <c r="M54" s="10" t="n">
        <v>1.43</v>
      </c>
      <c r="N54" t="inlineStr">
        <is>
          <t>1</t>
        </is>
      </c>
      <c r="O54" t="inlineStr">
        <is>
          <t>16</t>
        </is>
      </c>
      <c r="P54" t="inlineStr">
        <is>
          <t xml:space="preserve">250305  </t>
        </is>
      </c>
      <c r="Q54" s="26" t="n">
        <v>6.9</v>
      </c>
      <c r="R54" s="26">
        <f>Q54*G54</f>
        <v/>
      </c>
      <c r="S54" t="n">
        <v>4.09</v>
      </c>
      <c r="T54" s="18">
        <f>1 - V54/S54</f>
        <v/>
      </c>
      <c r="U54" s="18" t="n">
        <v>0</v>
      </c>
      <c r="V54" s="26" t="n">
        <v>4.09</v>
      </c>
      <c r="W54" s="26">
        <f>V54 - L54</f>
        <v/>
      </c>
    </row>
    <row r="55">
      <c r="A55" s="11" t="n">
        <v>46204</v>
      </c>
      <c r="B55" s="1" t="n">
        <v>20062</v>
      </c>
      <c r="C55" s="1" t="inlineStr">
        <is>
          <t>053</t>
        </is>
      </c>
      <c r="D55" s="1" t="inlineStr">
        <is>
          <t>242280</t>
        </is>
      </c>
      <c r="E55" s="1" t="inlineStr">
        <is>
          <t xml:space="preserve">28194770       </t>
        </is>
      </c>
      <c r="F55" s="5" t="inlineStr">
        <is>
          <t>AUTOS DE METAL 3 TEAMSTERZ EN BLISTER</t>
        </is>
      </c>
      <c r="G55" t="n">
        <v>1</v>
      </c>
      <c r="H55" s="7" t="n">
        <v>6.9</v>
      </c>
      <c r="I55" s="7" t="n">
        <v>0</v>
      </c>
      <c r="J55" s="7" t="n">
        <v>0</v>
      </c>
      <c r="K55" s="9" t="n">
        <v>0</v>
      </c>
      <c r="L55" s="10" t="n">
        <v>4.1</v>
      </c>
      <c r="M55" s="10" t="n">
        <v>1.43</v>
      </c>
      <c r="N55" t="inlineStr">
        <is>
          <t>1</t>
        </is>
      </c>
      <c r="O55" t="inlineStr">
        <is>
          <t xml:space="preserve">3 </t>
        </is>
      </c>
      <c r="P55" t="inlineStr">
        <is>
          <t xml:space="preserve">88849   </t>
        </is>
      </c>
      <c r="Q55" s="26" t="n">
        <v>6.9</v>
      </c>
      <c r="R55" s="26">
        <f>Q55*G55</f>
        <v/>
      </c>
      <c r="S55" t="n">
        <v>4.09</v>
      </c>
      <c r="T55" s="18">
        <f>1 - V55/S55</f>
        <v/>
      </c>
      <c r="U55" s="18" t="n">
        <v>0</v>
      </c>
      <c r="V55" s="26" t="n">
        <v>4.09</v>
      </c>
      <c r="W55" s="26">
        <f>V55 - L55</f>
        <v/>
      </c>
    </row>
    <row r="56">
      <c r="A56" s="11" t="n">
        <v>46204</v>
      </c>
      <c r="B56" s="1" t="n">
        <v>20062</v>
      </c>
      <c r="C56" s="1" t="inlineStr">
        <is>
          <t>053</t>
        </is>
      </c>
      <c r="D56" s="1" t="inlineStr">
        <is>
          <t>242280</t>
        </is>
      </c>
      <c r="E56" s="1" t="inlineStr">
        <is>
          <t xml:space="preserve">28194770       </t>
        </is>
      </c>
      <c r="F56" s="5" t="inlineStr">
        <is>
          <t>AUTOS DE METAL 3 TEAMSTERZ EN BLISTER</t>
        </is>
      </c>
      <c r="G56" t="n">
        <v>1</v>
      </c>
      <c r="H56" s="7" t="n">
        <v>6.9</v>
      </c>
      <c r="I56" s="7" t="n">
        <v>0</v>
      </c>
      <c r="J56" s="7" t="n">
        <v>0</v>
      </c>
      <c r="K56" s="9" t="n">
        <v>0</v>
      </c>
      <c r="L56" s="10" t="n">
        <v>4.1</v>
      </c>
      <c r="M56" s="10" t="n">
        <v>1.43</v>
      </c>
      <c r="N56" t="inlineStr">
        <is>
          <t>1</t>
        </is>
      </c>
      <c r="O56" t="inlineStr">
        <is>
          <t xml:space="preserve">3 </t>
        </is>
      </c>
      <c r="P56" t="inlineStr">
        <is>
          <t xml:space="preserve">88849   </t>
        </is>
      </c>
      <c r="Q56" s="26" t="n">
        <v>6.9</v>
      </c>
      <c r="R56" s="26">
        <f>Q56*G56</f>
        <v/>
      </c>
      <c r="S56" t="n">
        <v>4.09</v>
      </c>
      <c r="T56" s="18">
        <f>1 - V56/S56</f>
        <v/>
      </c>
      <c r="U56" s="18" t="n">
        <v>0</v>
      </c>
      <c r="V56" s="26" t="n">
        <v>4.09</v>
      </c>
      <c r="W56" s="26">
        <f>V56 - L56</f>
        <v/>
      </c>
    </row>
    <row r="57">
      <c r="A57" s="11" t="n">
        <v>46204</v>
      </c>
      <c r="B57" s="1" t="n">
        <v>20062</v>
      </c>
      <c r="C57" s="1" t="inlineStr">
        <is>
          <t>053</t>
        </is>
      </c>
      <c r="D57" s="1" t="inlineStr">
        <is>
          <t>242280</t>
        </is>
      </c>
      <c r="E57" s="1" t="inlineStr">
        <is>
          <t xml:space="preserve">28194770       </t>
        </is>
      </c>
      <c r="F57" s="5" t="inlineStr">
        <is>
          <t>AUTOS DE METAL 3 TEAMSTERZ EN BLISTER</t>
        </is>
      </c>
      <c r="G57" t="n">
        <v>1</v>
      </c>
      <c r="H57" s="7" t="n">
        <v>6.9</v>
      </c>
      <c r="I57" s="7" t="n">
        <v>0</v>
      </c>
      <c r="J57" s="7" t="n">
        <v>0</v>
      </c>
      <c r="K57" s="9" t="n">
        <v>0</v>
      </c>
      <c r="L57" s="10" t="n">
        <v>4.1</v>
      </c>
      <c r="M57" s="10" t="n">
        <v>1.43</v>
      </c>
      <c r="N57" t="inlineStr">
        <is>
          <t>1</t>
        </is>
      </c>
      <c r="O57" t="inlineStr">
        <is>
          <t xml:space="preserve">3 </t>
        </is>
      </c>
      <c r="P57" t="inlineStr">
        <is>
          <t xml:space="preserve">88849   </t>
        </is>
      </c>
      <c r="Q57" s="26" t="n">
        <v>6.9</v>
      </c>
      <c r="R57" s="26">
        <f>Q57*G57</f>
        <v/>
      </c>
      <c r="S57" t="n">
        <v>4.09</v>
      </c>
      <c r="T57" s="18">
        <f>1 - V57/S57</f>
        <v/>
      </c>
      <c r="U57" s="18" t="n">
        <v>0</v>
      </c>
      <c r="V57" s="26" t="n">
        <v>4.09</v>
      </c>
      <c r="W57" s="26">
        <f>V57 - L57</f>
        <v/>
      </c>
    </row>
    <row r="58">
      <c r="A58" s="11" t="n">
        <v>46204</v>
      </c>
      <c r="B58" s="1" t="n">
        <v>20066</v>
      </c>
      <c r="C58" s="1" t="inlineStr">
        <is>
          <t>057</t>
        </is>
      </c>
      <c r="D58" s="1" t="inlineStr">
        <is>
          <t>492915</t>
        </is>
      </c>
      <c r="E58" s="1" t="inlineStr">
        <is>
          <t xml:space="preserve">28194770       </t>
        </is>
      </c>
      <c r="F58" s="5" t="inlineStr">
        <is>
          <t>AUTOS DE METAL 3 TEAMSTERZ EN BLISTER</t>
        </is>
      </c>
      <c r="G58" t="n">
        <v>1</v>
      </c>
      <c r="H58" s="7" t="n">
        <v>6.9</v>
      </c>
      <c r="I58" s="7" t="n">
        <v>0</v>
      </c>
      <c r="J58" s="7" t="n">
        <v>0</v>
      </c>
      <c r="K58" s="9" t="n">
        <v>0</v>
      </c>
      <c r="L58" s="10" t="n">
        <v>4.1</v>
      </c>
      <c r="M58" s="10" t="n">
        <v>1.43</v>
      </c>
      <c r="N58" t="inlineStr">
        <is>
          <t>1</t>
        </is>
      </c>
      <c r="O58" t="inlineStr">
        <is>
          <t>16</t>
        </is>
      </c>
      <c r="P58" t="inlineStr">
        <is>
          <t xml:space="preserve">43713   </t>
        </is>
      </c>
      <c r="Q58" s="26" t="n">
        <v>6.9</v>
      </c>
      <c r="R58" s="26">
        <f>Q58*G58</f>
        <v/>
      </c>
      <c r="S58" t="n">
        <v>4.09</v>
      </c>
      <c r="T58" s="18">
        <f>1 - V58/S58</f>
        <v/>
      </c>
      <c r="U58" s="18" t="n">
        <v>0</v>
      </c>
      <c r="V58" s="26" t="n">
        <v>4.09</v>
      </c>
      <c r="W58" s="26">
        <f>V58 - L58</f>
        <v/>
      </c>
    </row>
    <row r="59">
      <c r="A59" s="11" t="n">
        <v>46204</v>
      </c>
      <c r="B59" s="1" t="n">
        <v>20066</v>
      </c>
      <c r="C59" s="1" t="inlineStr">
        <is>
          <t>061</t>
        </is>
      </c>
      <c r="D59" s="1" t="inlineStr">
        <is>
          <t xml:space="preserve">34200 </t>
        </is>
      </c>
      <c r="E59" s="1" t="inlineStr">
        <is>
          <t xml:space="preserve">32457106       </t>
        </is>
      </c>
      <c r="F59" s="5" t="inlineStr">
        <is>
          <t>TMZ BEAST MACHINES PLAYSET DESASTRE DRAGON + 1 AUT</t>
        </is>
      </c>
      <c r="G59" t="n">
        <v>1</v>
      </c>
      <c r="H59" s="7" t="n">
        <v>69.90000000000001</v>
      </c>
      <c r="I59" s="7" t="n">
        <v>0</v>
      </c>
      <c r="J59" s="7" t="n">
        <v>0</v>
      </c>
      <c r="K59" s="9" t="n">
        <v>0</v>
      </c>
      <c r="L59" s="10" t="n">
        <v>41.47</v>
      </c>
      <c r="M59" s="10" t="n">
        <v>1.43</v>
      </c>
      <c r="N59" t="inlineStr">
        <is>
          <t>1</t>
        </is>
      </c>
      <c r="O59" t="inlineStr">
        <is>
          <t>16</t>
        </is>
      </c>
      <c r="P59" t="inlineStr">
        <is>
          <t xml:space="preserve">52700   </t>
        </is>
      </c>
      <c r="Q59" s="26" t="n">
        <v>69.90000000000001</v>
      </c>
      <c r="R59" s="26">
        <f>Q59*G59</f>
        <v/>
      </c>
      <c r="S59" t="n">
        <v>41.47</v>
      </c>
      <c r="T59" s="18">
        <f>1 - V59/S59</f>
        <v/>
      </c>
      <c r="U59" s="18" t="n">
        <v>0.2861230329041489</v>
      </c>
      <c r="V59" s="26" t="n">
        <v>31.71610169491525</v>
      </c>
      <c r="W59" s="26">
        <f>V59 - L59</f>
        <v/>
      </c>
    </row>
    <row r="60">
      <c r="A60" s="11" t="n">
        <v>46204</v>
      </c>
      <c r="B60" s="1" t="n">
        <v>20069</v>
      </c>
      <c r="C60" s="1" t="inlineStr">
        <is>
          <t>024</t>
        </is>
      </c>
      <c r="D60" s="1" t="inlineStr">
        <is>
          <t>103493</t>
        </is>
      </c>
      <c r="E60" s="1" t="inlineStr">
        <is>
          <t xml:space="preserve">28194770       </t>
        </is>
      </c>
      <c r="F60" s="5" t="inlineStr">
        <is>
          <t>AUTOS DE METAL 3 TEAMSTERZ EN BLISTER</t>
        </is>
      </c>
      <c r="G60" t="n">
        <v>1</v>
      </c>
      <c r="H60" s="7" t="n">
        <v>6.9</v>
      </c>
      <c r="I60" s="7" t="n">
        <v>0</v>
      </c>
      <c r="J60" s="7" t="n">
        <v>0</v>
      </c>
      <c r="K60" s="9" t="n">
        <v>0</v>
      </c>
      <c r="L60" s="10" t="n">
        <v>4.1</v>
      </c>
      <c r="M60" s="10" t="n">
        <v>1.43</v>
      </c>
      <c r="N60" t="inlineStr">
        <is>
          <t>1</t>
        </is>
      </c>
      <c r="O60" t="inlineStr">
        <is>
          <t xml:space="preserve">2 </t>
        </is>
      </c>
      <c r="P60" t="inlineStr">
        <is>
          <t xml:space="preserve">248423  </t>
        </is>
      </c>
      <c r="Q60" s="26" t="n">
        <v>6.9</v>
      </c>
      <c r="R60" s="26">
        <f>Q60*G60</f>
        <v/>
      </c>
      <c r="S60" t="n">
        <v>4.09</v>
      </c>
      <c r="T60" s="18">
        <f>1 - V60/S60</f>
        <v/>
      </c>
      <c r="U60" s="18" t="n">
        <v>0</v>
      </c>
      <c r="V60" s="26" t="n">
        <v>4.09</v>
      </c>
      <c r="W60" s="26">
        <f>V60 - L60</f>
        <v/>
      </c>
    </row>
    <row r="61">
      <c r="A61" s="11" t="n">
        <v>46204</v>
      </c>
      <c r="B61" s="1" t="n">
        <v>20069</v>
      </c>
      <c r="C61" s="1" t="inlineStr">
        <is>
          <t>026</t>
        </is>
      </c>
      <c r="D61" s="1" t="inlineStr">
        <is>
          <t>358451</t>
        </is>
      </c>
      <c r="E61" s="1" t="inlineStr">
        <is>
          <t xml:space="preserve">28194770       </t>
        </is>
      </c>
      <c r="F61" s="5" t="inlineStr">
        <is>
          <t>AUTOS DE METAL 3 TEAMSTERZ EN BLISTER</t>
        </is>
      </c>
      <c r="G61" t="n">
        <v>1</v>
      </c>
      <c r="H61" s="7" t="n">
        <v>6.9</v>
      </c>
      <c r="I61" s="7" t="n">
        <v>0</v>
      </c>
      <c r="J61" s="7" t="n">
        <v>0</v>
      </c>
      <c r="K61" s="9" t="n">
        <v>0</v>
      </c>
      <c r="L61" s="10" t="n">
        <v>4.1</v>
      </c>
      <c r="M61" s="10" t="n">
        <v>1.43</v>
      </c>
      <c r="N61" t="inlineStr">
        <is>
          <t>1</t>
        </is>
      </c>
      <c r="O61" t="inlineStr">
        <is>
          <t>16</t>
        </is>
      </c>
      <c r="P61" t="inlineStr">
        <is>
          <t xml:space="preserve">250750  </t>
        </is>
      </c>
      <c r="Q61" s="26" t="n">
        <v>6.9</v>
      </c>
      <c r="R61" s="26">
        <f>Q61*G61</f>
        <v/>
      </c>
      <c r="S61" t="n">
        <v>4.09</v>
      </c>
      <c r="T61" s="18">
        <f>1 - V61/S61</f>
        <v/>
      </c>
      <c r="U61" s="18" t="n">
        <v>0</v>
      </c>
      <c r="V61" s="26" t="n">
        <v>4.09</v>
      </c>
      <c r="W61" s="26">
        <f>V61 - L61</f>
        <v/>
      </c>
    </row>
    <row r="62">
      <c r="A62" s="11" t="n">
        <v>46204</v>
      </c>
      <c r="B62" s="1" t="n">
        <v>20073</v>
      </c>
      <c r="C62" s="1" t="inlineStr">
        <is>
          <t>022</t>
        </is>
      </c>
      <c r="D62" s="1" t="inlineStr">
        <is>
          <t>293568</t>
        </is>
      </c>
      <c r="E62" s="1" t="inlineStr">
        <is>
          <t xml:space="preserve">28194768       </t>
        </is>
      </c>
      <c r="F62" s="5" t="inlineStr">
        <is>
          <t>AUTO COLOR CHANGE TEAMSTERZ SURTIDO</t>
        </is>
      </c>
      <c r="G62" t="n">
        <v>1</v>
      </c>
      <c r="H62" s="7" t="n">
        <v>14.9</v>
      </c>
      <c r="I62" s="7" t="n">
        <v>0</v>
      </c>
      <c r="J62" s="7" t="n">
        <v>0</v>
      </c>
      <c r="K62" s="9" t="n">
        <v>0</v>
      </c>
      <c r="L62" s="10" t="n">
        <v>8.84</v>
      </c>
      <c r="M62" s="10" t="n">
        <v>1.43</v>
      </c>
      <c r="N62" t="inlineStr">
        <is>
          <t>1</t>
        </is>
      </c>
      <c r="O62" t="inlineStr">
        <is>
          <t>16</t>
        </is>
      </c>
      <c r="P62" t="inlineStr">
        <is>
          <t xml:space="preserve">102492  </t>
        </is>
      </c>
      <c r="Q62" s="26" t="n">
        <v>14.9</v>
      </c>
      <c r="R62" s="26">
        <f>Q62*G62</f>
        <v/>
      </c>
      <c r="S62" t="n">
        <v>8.84</v>
      </c>
      <c r="T62" s="18">
        <f>1 - V62/S62</f>
        <v/>
      </c>
      <c r="U62" s="18" t="n">
        <v>0</v>
      </c>
      <c r="V62" s="26" t="n">
        <v>8.84</v>
      </c>
      <c r="W62" s="26">
        <f>V62 - L62</f>
        <v/>
      </c>
    </row>
    <row r="63">
      <c r="A63" s="11" t="n">
        <v>46204</v>
      </c>
      <c r="B63" s="1" t="n">
        <v>20073</v>
      </c>
      <c r="C63" s="1" t="inlineStr">
        <is>
          <t>022</t>
        </is>
      </c>
      <c r="D63" s="1" t="inlineStr">
        <is>
          <t>293568</t>
        </is>
      </c>
      <c r="E63" s="1" t="inlineStr">
        <is>
          <t xml:space="preserve">28194768       </t>
        </is>
      </c>
      <c r="F63" s="5" t="inlineStr">
        <is>
          <t>AUTO COLOR CHANGE TEAMSTERZ SURTIDO</t>
        </is>
      </c>
      <c r="G63" t="n">
        <v>1</v>
      </c>
      <c r="H63" s="7" t="n">
        <v>14.9</v>
      </c>
      <c r="I63" s="7" t="n">
        <v>0</v>
      </c>
      <c r="J63" s="7" t="n">
        <v>0</v>
      </c>
      <c r="K63" s="9" t="n">
        <v>0</v>
      </c>
      <c r="L63" s="10" t="n">
        <v>8.84</v>
      </c>
      <c r="M63" s="10" t="n">
        <v>1.43</v>
      </c>
      <c r="N63" t="inlineStr">
        <is>
          <t>1</t>
        </is>
      </c>
      <c r="O63" t="inlineStr">
        <is>
          <t>16</t>
        </is>
      </c>
      <c r="P63" t="inlineStr">
        <is>
          <t xml:space="preserve">102492  </t>
        </is>
      </c>
      <c r="Q63" s="26" t="n">
        <v>14.9</v>
      </c>
      <c r="R63" s="26">
        <f>Q63*G63</f>
        <v/>
      </c>
      <c r="S63" t="n">
        <v>8.84</v>
      </c>
      <c r="T63" s="18">
        <f>1 - V63/S63</f>
        <v/>
      </c>
      <c r="U63" s="18" t="n">
        <v>0</v>
      </c>
      <c r="V63" s="26" t="n">
        <v>8.84</v>
      </c>
      <c r="W63" s="26">
        <f>V63 - L63</f>
        <v/>
      </c>
    </row>
    <row r="64">
      <c r="A64" s="11" t="n">
        <v>46204</v>
      </c>
      <c r="B64" s="1" t="n">
        <v>20073</v>
      </c>
      <c r="C64" s="1" t="inlineStr">
        <is>
          <t>022</t>
        </is>
      </c>
      <c r="D64" s="1" t="inlineStr">
        <is>
          <t>293616</t>
        </is>
      </c>
      <c r="E64" s="1" t="inlineStr">
        <is>
          <t xml:space="preserve">30141766       </t>
        </is>
      </c>
      <c r="F64" s="5" t="inlineStr">
        <is>
          <t>TMZ BEAST MACHINES AUTOS DE METAL BLISTER X 1</t>
        </is>
      </c>
      <c r="G64" t="n">
        <v>1</v>
      </c>
      <c r="H64" s="7" t="n">
        <v>7.9</v>
      </c>
      <c r="I64" s="7" t="n">
        <v>0</v>
      </c>
      <c r="J64" s="7" t="n">
        <v>0</v>
      </c>
      <c r="K64" s="9" t="n">
        <v>0</v>
      </c>
      <c r="L64" s="10" t="n">
        <v>4.68</v>
      </c>
      <c r="M64" s="10" t="n">
        <v>1.43</v>
      </c>
      <c r="N64" t="inlineStr">
        <is>
          <t>1</t>
        </is>
      </c>
      <c r="O64" t="inlineStr">
        <is>
          <t xml:space="preserve">2 </t>
        </is>
      </c>
      <c r="P64" t="inlineStr">
        <is>
          <t xml:space="preserve">102492  </t>
        </is>
      </c>
      <c r="Q64" s="26" t="n">
        <v>7.9</v>
      </c>
      <c r="R64" s="26">
        <f>Q64*G64</f>
        <v/>
      </c>
      <c r="S64" t="n">
        <v>4.69</v>
      </c>
      <c r="T64" s="18">
        <f>1 - V64/S64</f>
        <v/>
      </c>
      <c r="U64" s="18" t="n">
        <v>0</v>
      </c>
      <c r="V64" s="26" t="n">
        <v>4.69</v>
      </c>
      <c r="W64" s="26">
        <f>V64 - L64</f>
        <v/>
      </c>
    </row>
    <row r="65">
      <c r="A65" s="11" t="n">
        <v>46204</v>
      </c>
      <c r="B65" s="1" t="n">
        <v>20073</v>
      </c>
      <c r="C65" s="1" t="inlineStr">
        <is>
          <t>037</t>
        </is>
      </c>
      <c r="D65" s="1" t="inlineStr">
        <is>
          <t>294812</t>
        </is>
      </c>
      <c r="E65" s="1" t="inlineStr">
        <is>
          <t xml:space="preserve">31675352       </t>
        </is>
      </c>
      <c r="F65" s="5" t="inlineStr">
        <is>
          <t>MI PEQUENO NENUCO</t>
        </is>
      </c>
      <c r="G65" t="n">
        <v>1</v>
      </c>
      <c r="H65" s="7" t="n">
        <v>69.90000000000001</v>
      </c>
      <c r="I65" s="7" t="n">
        <v>0</v>
      </c>
      <c r="J65" s="7" t="n">
        <v>0</v>
      </c>
      <c r="K65" s="9" t="n">
        <v>0</v>
      </c>
      <c r="L65" s="10" t="n">
        <v>41.47</v>
      </c>
      <c r="M65" s="10" t="n">
        <v>1.43</v>
      </c>
      <c r="N65" t="inlineStr">
        <is>
          <t>1</t>
        </is>
      </c>
      <c r="O65" t="inlineStr">
        <is>
          <t xml:space="preserve">2 </t>
        </is>
      </c>
      <c r="P65" t="inlineStr">
        <is>
          <t xml:space="preserve">13762   </t>
        </is>
      </c>
      <c r="Q65" s="26" t="n">
        <v>69.90000000000001</v>
      </c>
      <c r="R65" s="26">
        <f>Q65*G65</f>
        <v/>
      </c>
      <c r="S65" t="n">
        <v>41.47</v>
      </c>
      <c r="T65" s="18">
        <f>1 - V65/S65</f>
        <v/>
      </c>
      <c r="U65" s="18" t="n">
        <v>0.2861230329041489</v>
      </c>
      <c r="V65" s="26" t="n">
        <v>31.71610169491525</v>
      </c>
      <c r="W65" s="26">
        <f>V65 - L65</f>
        <v/>
      </c>
    </row>
    <row r="66">
      <c r="A66" s="11" t="n">
        <v>46204</v>
      </c>
      <c r="B66" s="1" t="n">
        <v>20074</v>
      </c>
      <c r="C66" s="1" t="inlineStr">
        <is>
          <t>015</t>
        </is>
      </c>
      <c r="D66" s="1" t="inlineStr">
        <is>
          <t>227049</t>
        </is>
      </c>
      <c r="E66" s="1" t="inlineStr">
        <is>
          <t xml:space="preserve">28194768       </t>
        </is>
      </c>
      <c r="F66" s="5" t="inlineStr">
        <is>
          <t>AUTO COLOR CHANGE TEAMSTERZ SURTIDO</t>
        </is>
      </c>
      <c r="G66" t="n">
        <v>1</v>
      </c>
      <c r="H66" s="7" t="n">
        <v>14.9</v>
      </c>
      <c r="I66" s="7" t="n">
        <v>0</v>
      </c>
      <c r="J66" s="7" t="n">
        <v>0</v>
      </c>
      <c r="K66" s="9" t="n">
        <v>0</v>
      </c>
      <c r="L66" s="10" t="n">
        <v>8.84</v>
      </c>
      <c r="M66" s="10" t="n">
        <v>1.43</v>
      </c>
      <c r="N66" t="inlineStr">
        <is>
          <t>1</t>
        </is>
      </c>
      <c r="O66" t="inlineStr">
        <is>
          <t xml:space="preserve">3 </t>
        </is>
      </c>
      <c r="P66" t="inlineStr">
        <is>
          <t xml:space="preserve">90017   </t>
        </is>
      </c>
      <c r="Q66" s="26" t="n">
        <v>14.9</v>
      </c>
      <c r="R66" s="26">
        <f>Q66*G66</f>
        <v/>
      </c>
      <c r="S66" t="n">
        <v>8.84</v>
      </c>
      <c r="T66" s="18">
        <f>1 - V66/S66</f>
        <v/>
      </c>
      <c r="U66" s="18" t="n">
        <v>0</v>
      </c>
      <c r="V66" s="26" t="n">
        <v>8.84</v>
      </c>
      <c r="W66" s="26">
        <f>V66 - L66</f>
        <v/>
      </c>
    </row>
    <row r="67">
      <c r="A67" s="11" t="n">
        <v>46204</v>
      </c>
      <c r="B67" s="1" t="n">
        <v>20074</v>
      </c>
      <c r="C67" s="1" t="inlineStr">
        <is>
          <t>015</t>
        </is>
      </c>
      <c r="D67" s="1" t="inlineStr">
        <is>
          <t>227076</t>
        </is>
      </c>
      <c r="E67" s="1" t="inlineStr">
        <is>
          <t xml:space="preserve">28194770       </t>
        </is>
      </c>
      <c r="F67" s="5" t="inlineStr">
        <is>
          <t>AUTOS DE METAL 3 TEAMSTERZ EN BLISTER</t>
        </is>
      </c>
      <c r="G67" t="n">
        <v>1</v>
      </c>
      <c r="H67" s="7" t="n">
        <v>6.9</v>
      </c>
      <c r="I67" s="7" t="n">
        <v>0</v>
      </c>
      <c r="J67" s="7" t="n">
        <v>0</v>
      </c>
      <c r="K67" s="9" t="n">
        <v>0</v>
      </c>
      <c r="L67" s="10" t="n">
        <v>4.1</v>
      </c>
      <c r="M67" s="10" t="n">
        <v>1.43</v>
      </c>
      <c r="N67" t="inlineStr">
        <is>
          <t>1</t>
        </is>
      </c>
      <c r="O67" t="inlineStr">
        <is>
          <t xml:space="preserve">3 </t>
        </is>
      </c>
      <c r="P67" t="inlineStr">
        <is>
          <t xml:space="preserve">90017   </t>
        </is>
      </c>
      <c r="Q67" s="26" t="n">
        <v>6.9</v>
      </c>
      <c r="R67" s="26">
        <f>Q67*G67</f>
        <v/>
      </c>
      <c r="S67" t="n">
        <v>4.09</v>
      </c>
      <c r="T67" s="18">
        <f>1 - V67/S67</f>
        <v/>
      </c>
      <c r="U67" s="18" t="n">
        <v>0</v>
      </c>
      <c r="V67" s="26" t="n">
        <v>4.09</v>
      </c>
      <c r="W67" s="26">
        <f>V67 - L67</f>
        <v/>
      </c>
    </row>
    <row r="68">
      <c r="A68" s="11" t="n">
        <v>46204</v>
      </c>
      <c r="B68" s="1" t="n">
        <v>20074</v>
      </c>
      <c r="C68" s="1" t="inlineStr">
        <is>
          <t>015</t>
        </is>
      </c>
      <c r="D68" s="1" t="inlineStr">
        <is>
          <t>227085</t>
        </is>
      </c>
      <c r="E68" s="1" t="inlineStr">
        <is>
          <t xml:space="preserve">32457106       </t>
        </is>
      </c>
      <c r="F68" s="5" t="inlineStr">
        <is>
          <t>TMZ BEAST MACHINES PLAYSET DESASTRE DRAGON + 1 AUT</t>
        </is>
      </c>
      <c r="G68" t="n">
        <v>1</v>
      </c>
      <c r="H68" s="7" t="n">
        <v>69.90000000000001</v>
      </c>
      <c r="I68" s="7" t="n">
        <v>20</v>
      </c>
      <c r="J68" s="7" t="n">
        <v>0</v>
      </c>
      <c r="K68" s="9" t="n">
        <v>20</v>
      </c>
      <c r="L68" s="10" t="n">
        <v>29.6</v>
      </c>
      <c r="M68" s="10" t="n">
        <v>1.43</v>
      </c>
      <c r="N68" t="inlineStr">
        <is>
          <t>1</t>
        </is>
      </c>
      <c r="O68" t="inlineStr">
        <is>
          <t xml:space="preserve">2 </t>
        </is>
      </c>
      <c r="P68" t="inlineStr">
        <is>
          <t xml:space="preserve">90017   </t>
        </is>
      </c>
      <c r="Q68" s="26" t="n">
        <v>69.90000000000001</v>
      </c>
      <c r="R68" s="26">
        <f>Q68*G68</f>
        <v/>
      </c>
      <c r="S68" t="n">
        <v>41.47</v>
      </c>
      <c r="T68" s="18">
        <f>1 - V68/S68</f>
        <v/>
      </c>
      <c r="U68" s="18" t="n">
        <v>0.2861230329041489</v>
      </c>
      <c r="V68" s="26" t="n">
        <v>31.71610169491525</v>
      </c>
      <c r="W68" s="26">
        <f>V68 - L68</f>
        <v/>
      </c>
    </row>
    <row r="69">
      <c r="A69" s="11" t="n">
        <v>46204</v>
      </c>
      <c r="B69" s="1" t="n">
        <v>20077</v>
      </c>
      <c r="C69" s="1" t="inlineStr">
        <is>
          <t>030</t>
        </is>
      </c>
      <c r="D69" s="1" t="inlineStr">
        <is>
          <t xml:space="preserve">39912 </t>
        </is>
      </c>
      <c r="E69" s="1" t="inlineStr">
        <is>
          <t xml:space="preserve">28194770       </t>
        </is>
      </c>
      <c r="F69" s="5" t="inlineStr">
        <is>
          <t>AUTOS DE METAL 3 TEAMSTERZ EN BLISTER</t>
        </is>
      </c>
      <c r="G69" t="n">
        <v>1</v>
      </c>
      <c r="H69" s="7" t="n">
        <v>6.9</v>
      </c>
      <c r="I69" s="7" t="n">
        <v>0</v>
      </c>
      <c r="J69" s="7" t="n">
        <v>0</v>
      </c>
      <c r="K69" s="9" t="n">
        <v>0</v>
      </c>
      <c r="L69" s="10" t="n">
        <v>4.1</v>
      </c>
      <c r="M69" s="10" t="n">
        <v>1.43</v>
      </c>
      <c r="N69" t="inlineStr">
        <is>
          <t>1</t>
        </is>
      </c>
      <c r="O69" t="inlineStr">
        <is>
          <t>16</t>
        </is>
      </c>
      <c r="P69" t="inlineStr">
        <is>
          <t xml:space="preserve">62762   </t>
        </is>
      </c>
      <c r="Q69" s="26" t="n">
        <v>6.9</v>
      </c>
      <c r="R69" s="26">
        <f>Q69*G69</f>
        <v/>
      </c>
      <c r="S69" t="n">
        <v>4.09</v>
      </c>
      <c r="T69" s="18">
        <f>1 - V69/S69</f>
        <v/>
      </c>
      <c r="U69" s="18" t="n">
        <v>0</v>
      </c>
      <c r="V69" s="26" t="n">
        <v>4.09</v>
      </c>
      <c r="W69" s="26">
        <f>V69 - L69</f>
        <v/>
      </c>
    </row>
    <row r="70">
      <c r="A70" s="11" t="n">
        <v>46204</v>
      </c>
      <c r="B70" s="1" t="n">
        <v>20077</v>
      </c>
      <c r="C70" s="1" t="inlineStr">
        <is>
          <t>030</t>
        </is>
      </c>
      <c r="D70" s="1" t="inlineStr">
        <is>
          <t xml:space="preserve">39916 </t>
        </is>
      </c>
      <c r="E70" s="1" t="inlineStr">
        <is>
          <t xml:space="preserve">28194770       </t>
        </is>
      </c>
      <c r="F70" s="5" t="inlineStr">
        <is>
          <t>AUTOS DE METAL 3 TEAMSTERZ EN BLISTER</t>
        </is>
      </c>
      <c r="G70" t="n">
        <v>1</v>
      </c>
      <c r="H70" s="7" t="n">
        <v>6.9</v>
      </c>
      <c r="I70" s="7" t="n">
        <v>0</v>
      </c>
      <c r="J70" s="7" t="n">
        <v>0</v>
      </c>
      <c r="K70" s="9" t="n">
        <v>0</v>
      </c>
      <c r="L70" s="10" t="n">
        <v>4.1</v>
      </c>
      <c r="M70" s="10" t="n">
        <v>1.43</v>
      </c>
      <c r="N70" t="inlineStr">
        <is>
          <t>1</t>
        </is>
      </c>
      <c r="O70" t="inlineStr">
        <is>
          <t xml:space="preserve">2 </t>
        </is>
      </c>
      <c r="P70" t="inlineStr">
        <is>
          <t xml:space="preserve">62762   </t>
        </is>
      </c>
      <c r="Q70" s="26" t="n">
        <v>6.9</v>
      </c>
      <c r="R70" s="26">
        <f>Q70*G70</f>
        <v/>
      </c>
      <c r="S70" t="n">
        <v>4.09</v>
      </c>
      <c r="T70" s="18">
        <f>1 - V70/S70</f>
        <v/>
      </c>
      <c r="U70" s="18" t="n">
        <v>0</v>
      </c>
      <c r="V70" s="26" t="n">
        <v>4.09</v>
      </c>
      <c r="W70" s="26">
        <f>V70 - L70</f>
        <v/>
      </c>
    </row>
    <row r="71">
      <c r="A71" s="11" t="n">
        <v>46204</v>
      </c>
      <c r="B71" s="1" t="n">
        <v>20077</v>
      </c>
      <c r="C71" s="1" t="inlineStr">
        <is>
          <t>039</t>
        </is>
      </c>
      <c r="D71" s="1" t="inlineStr">
        <is>
          <t>278447</t>
        </is>
      </c>
      <c r="E71" s="1" t="inlineStr">
        <is>
          <t xml:space="preserve">28194768       </t>
        </is>
      </c>
      <c r="F71" s="5" t="inlineStr">
        <is>
          <t>AUTO COLOR CHANGE TEAMSTERZ SURTIDO</t>
        </is>
      </c>
      <c r="G71" t="n">
        <v>1</v>
      </c>
      <c r="H71" s="7" t="n">
        <v>14.9</v>
      </c>
      <c r="I71" s="7" t="n">
        <v>0</v>
      </c>
      <c r="J71" s="7" t="n">
        <v>0</v>
      </c>
      <c r="K71" s="9" t="n">
        <v>0</v>
      </c>
      <c r="L71" s="10" t="n">
        <v>8.84</v>
      </c>
      <c r="M71" s="10" t="n">
        <v>1.43</v>
      </c>
      <c r="N71" t="inlineStr">
        <is>
          <t>1</t>
        </is>
      </c>
      <c r="O71" t="inlineStr">
        <is>
          <t xml:space="preserve">2 </t>
        </is>
      </c>
      <c r="P71" t="inlineStr">
        <is>
          <t xml:space="preserve">62621   </t>
        </is>
      </c>
      <c r="Q71" s="26" t="n">
        <v>14.9</v>
      </c>
      <c r="R71" s="26">
        <f>Q71*G71</f>
        <v/>
      </c>
      <c r="S71" t="n">
        <v>8.84</v>
      </c>
      <c r="T71" s="18">
        <f>1 - V71/S71</f>
        <v/>
      </c>
      <c r="U71" s="18" t="n">
        <v>0</v>
      </c>
      <c r="V71" s="26" t="n">
        <v>8.84</v>
      </c>
      <c r="W71" s="26">
        <f>V71 - L71</f>
        <v/>
      </c>
    </row>
    <row r="72">
      <c r="A72" s="11" t="n">
        <v>46204</v>
      </c>
      <c r="B72" s="1" t="n">
        <v>20079</v>
      </c>
      <c r="C72" s="1" t="inlineStr">
        <is>
          <t>045</t>
        </is>
      </c>
      <c r="D72" s="1" t="inlineStr">
        <is>
          <t>331229</t>
        </is>
      </c>
      <c r="E72" s="1" t="inlineStr">
        <is>
          <t xml:space="preserve">28194770       </t>
        </is>
      </c>
      <c r="F72" s="5" t="inlineStr">
        <is>
          <t>AUTOS DE METAL 3 TEAMSTERZ EN BLISTER</t>
        </is>
      </c>
      <c r="G72" t="n">
        <v>1</v>
      </c>
      <c r="H72" s="7" t="n">
        <v>6.9</v>
      </c>
      <c r="I72" s="7" t="n">
        <v>0</v>
      </c>
      <c r="J72" s="7" t="n">
        <v>0</v>
      </c>
      <c r="K72" s="9" t="n">
        <v>0</v>
      </c>
      <c r="L72" s="10" t="n">
        <v>4.1</v>
      </c>
      <c r="M72" s="10" t="n">
        <v>1.43</v>
      </c>
      <c r="N72" t="inlineStr">
        <is>
          <t>1</t>
        </is>
      </c>
      <c r="O72" t="inlineStr">
        <is>
          <t>16</t>
        </is>
      </c>
      <c r="P72" t="inlineStr">
        <is>
          <t xml:space="preserve">41082   </t>
        </is>
      </c>
      <c r="Q72" s="26" t="n">
        <v>6.9</v>
      </c>
      <c r="R72" s="26">
        <f>Q72*G72</f>
        <v/>
      </c>
      <c r="S72" t="n">
        <v>4.09</v>
      </c>
      <c r="T72" s="18">
        <f>1 - V72/S72</f>
        <v/>
      </c>
      <c r="U72" s="18" t="n">
        <v>0</v>
      </c>
      <c r="V72" s="26" t="n">
        <v>4.09</v>
      </c>
      <c r="W72" s="26">
        <f>V72 - L72</f>
        <v/>
      </c>
    </row>
    <row r="73">
      <c r="A73" s="11" t="n">
        <v>46204</v>
      </c>
      <c r="B73" s="1" t="n">
        <v>20079</v>
      </c>
      <c r="C73" s="1" t="inlineStr">
        <is>
          <t>045</t>
        </is>
      </c>
      <c r="D73" s="1" t="inlineStr">
        <is>
          <t>331229</t>
        </is>
      </c>
      <c r="E73" s="1" t="inlineStr">
        <is>
          <t xml:space="preserve">28194770       </t>
        </is>
      </c>
      <c r="F73" s="5" t="inlineStr">
        <is>
          <t>AUTOS DE METAL 3 TEAMSTERZ EN BLISTER</t>
        </is>
      </c>
      <c r="G73" t="n">
        <v>1</v>
      </c>
      <c r="H73" s="7" t="n">
        <v>6.9</v>
      </c>
      <c r="I73" s="7" t="n">
        <v>0</v>
      </c>
      <c r="J73" s="7" t="n">
        <v>0</v>
      </c>
      <c r="K73" s="9" t="n">
        <v>0</v>
      </c>
      <c r="L73" s="10" t="n">
        <v>4.1</v>
      </c>
      <c r="M73" s="10" t="n">
        <v>1.43</v>
      </c>
      <c r="N73" t="inlineStr">
        <is>
          <t>1</t>
        </is>
      </c>
      <c r="O73" t="inlineStr">
        <is>
          <t>16</t>
        </is>
      </c>
      <c r="P73" t="inlineStr">
        <is>
          <t xml:space="preserve">41082   </t>
        </is>
      </c>
      <c r="Q73" s="26" t="n">
        <v>6.9</v>
      </c>
      <c r="R73" s="26">
        <f>Q73*G73</f>
        <v/>
      </c>
      <c r="S73" t="n">
        <v>4.09</v>
      </c>
      <c r="T73" s="18">
        <f>1 - V73/S73</f>
        <v/>
      </c>
      <c r="U73" s="18" t="n">
        <v>0</v>
      </c>
      <c r="V73" s="26" t="n">
        <v>4.09</v>
      </c>
      <c r="W73" s="26">
        <f>V73 - L73</f>
        <v/>
      </c>
    </row>
    <row r="74">
      <c r="A74" s="11" t="n">
        <v>46204</v>
      </c>
      <c r="B74" s="1" t="n">
        <v>20079</v>
      </c>
      <c r="C74" s="1" t="inlineStr">
        <is>
          <t>045</t>
        </is>
      </c>
      <c r="D74" s="1" t="inlineStr">
        <is>
          <t>331255</t>
        </is>
      </c>
      <c r="E74" s="1" t="inlineStr">
        <is>
          <t xml:space="preserve">32457099       </t>
        </is>
      </c>
      <c r="F74" s="5" t="inlineStr">
        <is>
          <t>TMZ BEAST MACHINES MONSTER JAWS A FRICCION BLISTER</t>
        </is>
      </c>
      <c r="G74" t="n">
        <v>1</v>
      </c>
      <c r="H74" s="7" t="n">
        <v>19.9</v>
      </c>
      <c r="I74" s="7" t="n">
        <v>0</v>
      </c>
      <c r="J74" s="7" t="n">
        <v>0</v>
      </c>
      <c r="K74" s="9" t="n">
        <v>0</v>
      </c>
      <c r="L74" s="10" t="n">
        <v>11.8</v>
      </c>
      <c r="M74" s="10" t="n">
        <v>1.43</v>
      </c>
      <c r="N74" t="inlineStr">
        <is>
          <t>1</t>
        </is>
      </c>
      <c r="O74" t="inlineStr">
        <is>
          <t xml:space="preserve">3 </t>
        </is>
      </c>
      <c r="P74" t="inlineStr">
        <is>
          <t xml:space="preserve">41082   </t>
        </is>
      </c>
      <c r="Q74" s="26" t="n">
        <v>19.9</v>
      </c>
      <c r="R74" s="26">
        <f>Q74*G74</f>
        <v/>
      </c>
      <c r="S74" t="n">
        <v>11.81</v>
      </c>
      <c r="T74" s="18">
        <f>1 - V74/S74</f>
        <v/>
      </c>
      <c r="U74" s="18" t="n">
        <v>0.1005025125628141</v>
      </c>
      <c r="V74" s="26" t="n">
        <v>8.417118644067797</v>
      </c>
      <c r="W74" s="26">
        <f>V74 - L74</f>
        <v/>
      </c>
    </row>
    <row r="75">
      <c r="A75" s="11" t="n">
        <v>46204</v>
      </c>
      <c r="B75" s="1" t="n">
        <v>20079</v>
      </c>
      <c r="C75" s="1" t="inlineStr">
        <is>
          <t>045</t>
        </is>
      </c>
      <c r="D75" s="1" t="inlineStr">
        <is>
          <t>331275</t>
        </is>
      </c>
      <c r="E75" s="1" t="inlineStr">
        <is>
          <t xml:space="preserve">32457099       </t>
        </is>
      </c>
      <c r="F75" s="5" t="inlineStr">
        <is>
          <t>TMZ BEAST MACHINES MONSTER JAWS A FRICCION BLISTER</t>
        </is>
      </c>
      <c r="G75" t="n">
        <v>1</v>
      </c>
      <c r="H75" s="7" t="n">
        <v>19.9</v>
      </c>
      <c r="I75" s="7" t="n">
        <v>0</v>
      </c>
      <c r="J75" s="7" t="n">
        <v>0</v>
      </c>
      <c r="K75" s="9" t="n">
        <v>0</v>
      </c>
      <c r="L75" s="10" t="n">
        <v>11.8</v>
      </c>
      <c r="M75" s="10" t="n">
        <v>1.43</v>
      </c>
      <c r="N75" t="inlineStr">
        <is>
          <t>1</t>
        </is>
      </c>
      <c r="O75" t="inlineStr">
        <is>
          <t>16</t>
        </is>
      </c>
      <c r="P75" t="inlineStr">
        <is>
          <t xml:space="preserve">41082   </t>
        </is>
      </c>
      <c r="Q75" s="26" t="n">
        <v>19.9</v>
      </c>
      <c r="R75" s="26">
        <f>Q75*G75</f>
        <v/>
      </c>
      <c r="S75" t="n">
        <v>11.81</v>
      </c>
      <c r="T75" s="18">
        <f>1 - V75/S75</f>
        <v/>
      </c>
      <c r="U75" s="18" t="n">
        <v>0.1005025125628141</v>
      </c>
      <c r="V75" s="26" t="n">
        <v>8.417118644067797</v>
      </c>
      <c r="W75" s="26">
        <f>V75 - L75</f>
        <v/>
      </c>
    </row>
    <row r="76">
      <c r="A76" s="11" t="n">
        <v>46204</v>
      </c>
      <c r="B76" s="1" t="n">
        <v>20080</v>
      </c>
      <c r="C76" s="1" t="inlineStr">
        <is>
          <t>026</t>
        </is>
      </c>
      <c r="D76" s="1" t="inlineStr">
        <is>
          <t>208465</t>
        </is>
      </c>
      <c r="E76" s="1" t="inlineStr">
        <is>
          <t xml:space="preserve">32457099       </t>
        </is>
      </c>
      <c r="F76" s="5" t="inlineStr">
        <is>
          <t>TMZ BEAST MACHINES MONSTER JAWS A FRICCION BLISTER</t>
        </is>
      </c>
      <c r="G76" t="n">
        <v>1</v>
      </c>
      <c r="H76" s="7" t="n">
        <v>19.9</v>
      </c>
      <c r="I76" s="7" t="n">
        <v>0</v>
      </c>
      <c r="J76" s="7" t="n">
        <v>0</v>
      </c>
      <c r="K76" s="9" t="n">
        <v>0</v>
      </c>
      <c r="L76" s="10" t="n">
        <v>11.8</v>
      </c>
      <c r="M76" s="10" t="n">
        <v>1.43</v>
      </c>
      <c r="N76" t="inlineStr">
        <is>
          <t>1</t>
        </is>
      </c>
      <c r="O76" t="inlineStr">
        <is>
          <t xml:space="preserve">3 </t>
        </is>
      </c>
      <c r="P76" t="inlineStr">
        <is>
          <t xml:space="preserve">247625  </t>
        </is>
      </c>
      <c r="Q76" s="26" t="n">
        <v>19.9</v>
      </c>
      <c r="R76" s="26">
        <f>Q76*G76</f>
        <v/>
      </c>
      <c r="S76" t="n">
        <v>11.81</v>
      </c>
      <c r="T76" s="18">
        <f>1 - V76/S76</f>
        <v/>
      </c>
      <c r="U76" s="18" t="n">
        <v>0.1005025125628141</v>
      </c>
      <c r="V76" s="26" t="n">
        <v>8.417118644067797</v>
      </c>
      <c r="W76" s="26">
        <f>V76 - L76</f>
        <v/>
      </c>
    </row>
    <row r="77">
      <c r="A77" s="11" t="n">
        <v>46204</v>
      </c>
      <c r="B77" s="1" t="n">
        <v>20080</v>
      </c>
      <c r="C77" s="1" t="inlineStr">
        <is>
          <t>029</t>
        </is>
      </c>
      <c r="D77" s="1" t="inlineStr">
        <is>
          <t>224422</t>
        </is>
      </c>
      <c r="E77" s="1" t="inlineStr">
        <is>
          <t xml:space="preserve">28194783       </t>
        </is>
      </c>
      <c r="F77" s="5" t="inlineStr">
        <is>
          <t>SET DE BATALLA INFINITY NADO CON 2 TROMPOS</t>
        </is>
      </c>
      <c r="G77" t="n">
        <v>1</v>
      </c>
      <c r="H77" s="7" t="n">
        <v>159</v>
      </c>
      <c r="I77" s="7" t="n">
        <v>20</v>
      </c>
      <c r="J77" s="7" t="n">
        <v>0</v>
      </c>
      <c r="K77" s="9" t="n">
        <v>20</v>
      </c>
      <c r="L77" s="10" t="n">
        <v>82.45999999999999</v>
      </c>
      <c r="M77" s="10" t="n">
        <v>1.43</v>
      </c>
      <c r="N77" t="inlineStr">
        <is>
          <t>1</t>
        </is>
      </c>
      <c r="O77" t="inlineStr">
        <is>
          <t>16</t>
        </is>
      </c>
      <c r="P77" t="inlineStr">
        <is>
          <t xml:space="preserve">79951   </t>
        </is>
      </c>
      <c r="Q77" s="26" t="n">
        <v>159</v>
      </c>
      <c r="R77" s="26">
        <f>Q77*G77</f>
        <v/>
      </c>
      <c r="S77" t="n">
        <v>94.31999999999999</v>
      </c>
      <c r="T77" s="18">
        <f>1 - V77/S77</f>
        <v/>
      </c>
      <c r="U77" s="18" t="n">
        <v>0.1886792452830188</v>
      </c>
      <c r="V77" s="26" t="n">
        <v>81.99152542372882</v>
      </c>
      <c r="W77" s="26">
        <f>V77 - L77</f>
        <v/>
      </c>
    </row>
    <row r="78">
      <c r="A78" s="11" t="n">
        <v>46204</v>
      </c>
      <c r="B78" s="1" t="n">
        <v>20088</v>
      </c>
      <c r="C78" s="1" t="inlineStr">
        <is>
          <t>019</t>
        </is>
      </c>
      <c r="D78" s="1" t="inlineStr">
        <is>
          <t xml:space="preserve">8857  </t>
        </is>
      </c>
      <c r="E78" s="1" t="inlineStr">
        <is>
          <t xml:space="preserve">32457099       </t>
        </is>
      </c>
      <c r="F78" s="5" t="inlineStr">
        <is>
          <t>TMZ BEAST MACHINES MONSTER JAWS A FRICCION BLISTER</t>
        </is>
      </c>
      <c r="G78" t="n">
        <v>1</v>
      </c>
      <c r="H78" s="7" t="n">
        <v>17.9</v>
      </c>
      <c r="I78" s="7" t="n">
        <v>0</v>
      </c>
      <c r="J78" s="7" t="n">
        <v>0</v>
      </c>
      <c r="K78" s="9" t="n">
        <v>0</v>
      </c>
      <c r="L78" s="10" t="n">
        <v>10.62</v>
      </c>
      <c r="M78" s="10" t="n">
        <v>1.43</v>
      </c>
      <c r="N78" t="inlineStr">
        <is>
          <t>1</t>
        </is>
      </c>
      <c r="O78" t="inlineStr">
        <is>
          <t xml:space="preserve">2 </t>
        </is>
      </c>
      <c r="P78" t="inlineStr">
        <is>
          <t xml:space="preserve">235264  </t>
        </is>
      </c>
      <c r="Q78" s="26" t="n">
        <v>19.9</v>
      </c>
      <c r="R78" s="26">
        <f>Q78*G78</f>
        <v/>
      </c>
      <c r="S78" t="n">
        <v>11.81</v>
      </c>
      <c r="T78" s="18">
        <f>1 - V78/S78</f>
        <v/>
      </c>
      <c r="U78" s="18" t="n">
        <v>0.1005025125628141</v>
      </c>
      <c r="V78" s="26" t="n">
        <v>8.417118644067797</v>
      </c>
      <c r="W78" s="26">
        <f>V78 - L78</f>
        <v/>
      </c>
    </row>
    <row r="79">
      <c r="A79" s="11" t="n">
        <v>46204</v>
      </c>
      <c r="B79" s="1" t="n">
        <v>20088</v>
      </c>
      <c r="C79" s="1" t="inlineStr">
        <is>
          <t>802</t>
        </is>
      </c>
      <c r="D79" s="1" t="inlineStr">
        <is>
          <t xml:space="preserve">7620  </t>
        </is>
      </c>
      <c r="E79" s="1" t="inlineStr">
        <is>
          <t xml:space="preserve">31675354       </t>
        </is>
      </c>
      <c r="F79" s="5" t="inlineStr">
        <is>
          <t>NENUCO LLORON CON ACCESORIOS</t>
        </is>
      </c>
      <c r="G79" t="n">
        <v>1</v>
      </c>
      <c r="H79" s="7" t="n">
        <v>89.90000000000001</v>
      </c>
      <c r="I79" s="7" t="n">
        <v>0</v>
      </c>
      <c r="J79" s="7" t="n">
        <v>0</v>
      </c>
      <c r="K79" s="9" t="n">
        <v>0</v>
      </c>
      <c r="L79" s="10" t="n">
        <v>53.33</v>
      </c>
      <c r="M79" s="10" t="n">
        <v>1.43</v>
      </c>
      <c r="N79" t="inlineStr">
        <is>
          <t>1</t>
        </is>
      </c>
      <c r="O79" t="inlineStr">
        <is>
          <t>16</t>
        </is>
      </c>
      <c r="P79" t="inlineStr">
        <is>
          <t xml:space="preserve">0       </t>
        </is>
      </c>
      <c r="Q79" s="26" t="n">
        <v>89.90000000000001</v>
      </c>
      <c r="R79" s="26">
        <f>Q79*G79</f>
        <v/>
      </c>
      <c r="S79" t="n">
        <v>53.33</v>
      </c>
      <c r="T79" s="18">
        <f>1 - V79/S79</f>
        <v/>
      </c>
      <c r="U79" s="18" t="n">
        <v>0.2224694104560623</v>
      </c>
      <c r="V79" s="26" t="n">
        <v>44.42796610169492</v>
      </c>
      <c r="W79" s="26">
        <f>V79 - L79</f>
        <v/>
      </c>
    </row>
    <row r="80">
      <c r="A80" s="11" t="n">
        <v>46204</v>
      </c>
      <c r="B80" s="1" t="n">
        <v>20089</v>
      </c>
      <c r="C80" s="1" t="inlineStr">
        <is>
          <t>026</t>
        </is>
      </c>
      <c r="D80" s="1" t="inlineStr">
        <is>
          <t xml:space="preserve">87097 </t>
        </is>
      </c>
      <c r="E80" s="1" t="inlineStr">
        <is>
          <t xml:space="preserve">28194769       </t>
        </is>
      </c>
      <c r="F80" s="5" t="inlineStr">
        <is>
          <t>AUTOS DE METAL 3 TEAMSTERZ PACK DE 2</t>
        </is>
      </c>
      <c r="G80" t="n">
        <v>1</v>
      </c>
      <c r="H80" s="7" t="n">
        <v>13.8</v>
      </c>
      <c r="I80" s="7" t="n">
        <v>0</v>
      </c>
      <c r="J80" s="7" t="n">
        <v>0</v>
      </c>
      <c r="K80" s="9" t="n">
        <v>0</v>
      </c>
      <c r="L80" s="10" t="n">
        <v>8.18</v>
      </c>
      <c r="M80" s="10" t="n">
        <v>1.43</v>
      </c>
      <c r="N80" t="inlineStr">
        <is>
          <t>1</t>
        </is>
      </c>
      <c r="O80" t="inlineStr">
        <is>
          <t>16</t>
        </is>
      </c>
      <c r="P80" t="inlineStr">
        <is>
          <t xml:space="preserve">109709  </t>
        </is>
      </c>
      <c r="Q80" s="26" t="n">
        <v>13.8</v>
      </c>
      <c r="R80" s="26">
        <f>Q80*G80</f>
        <v/>
      </c>
      <c r="S80" t="n">
        <v>8.19</v>
      </c>
      <c r="T80" s="18">
        <f>1 - V80/S80</f>
        <v/>
      </c>
      <c r="U80" s="18" t="n">
        <v>0</v>
      </c>
      <c r="V80" s="26" t="n">
        <v>8.19</v>
      </c>
      <c r="W80" s="26">
        <f>V80 - L80</f>
        <v/>
      </c>
    </row>
    <row r="81">
      <c r="A81" s="11" t="n">
        <v>46204</v>
      </c>
      <c r="B81" s="1" t="n">
        <v>20089</v>
      </c>
      <c r="C81" s="1" t="inlineStr">
        <is>
          <t>026</t>
        </is>
      </c>
      <c r="D81" s="1" t="inlineStr">
        <is>
          <t xml:space="preserve">87100 </t>
        </is>
      </c>
      <c r="E81" s="1" t="inlineStr">
        <is>
          <t xml:space="preserve">32457099       </t>
        </is>
      </c>
      <c r="F81" s="5" t="inlineStr">
        <is>
          <t>TMZ BEAST MACHINES MONSTER JAWS A FRICCION BLISTER</t>
        </is>
      </c>
      <c r="G81" t="n">
        <v>1</v>
      </c>
      <c r="H81" s="7" t="n">
        <v>19.9</v>
      </c>
      <c r="I81" s="7" t="n">
        <v>0</v>
      </c>
      <c r="J81" s="7" t="n">
        <v>0</v>
      </c>
      <c r="K81" s="9" t="n">
        <v>0</v>
      </c>
      <c r="L81" s="10" t="n">
        <v>11.8</v>
      </c>
      <c r="M81" s="10" t="n">
        <v>1.43</v>
      </c>
      <c r="N81" t="inlineStr">
        <is>
          <t>1</t>
        </is>
      </c>
      <c r="O81" t="inlineStr">
        <is>
          <t>16</t>
        </is>
      </c>
      <c r="P81" t="inlineStr">
        <is>
          <t xml:space="preserve">109709  </t>
        </is>
      </c>
      <c r="Q81" s="26" t="n">
        <v>19.9</v>
      </c>
      <c r="R81" s="26">
        <f>Q81*G81</f>
        <v/>
      </c>
      <c r="S81" t="n">
        <v>11.81</v>
      </c>
      <c r="T81" s="18">
        <f>1 - V81/S81</f>
        <v/>
      </c>
      <c r="U81" s="18" t="n">
        <v>0.1005025125628141</v>
      </c>
      <c r="V81" s="26" t="n">
        <v>8.417118644067797</v>
      </c>
      <c r="W81" s="26">
        <f>V81 - L81</f>
        <v/>
      </c>
    </row>
    <row r="82">
      <c r="A82" s="11" t="n">
        <v>46204</v>
      </c>
      <c r="B82" s="1" t="n">
        <v>20089</v>
      </c>
      <c r="C82" s="1" t="inlineStr">
        <is>
          <t>029</t>
        </is>
      </c>
      <c r="D82" s="1" t="inlineStr">
        <is>
          <t xml:space="preserve">2804  </t>
        </is>
      </c>
      <c r="E82" s="1" t="inlineStr">
        <is>
          <t xml:space="preserve">34840553       </t>
        </is>
      </c>
      <c r="F82" s="5" t="inlineStr">
        <is>
          <t>TMZ AUTO LUZ Y SONIDO ESQUELET DINO T-REX</t>
        </is>
      </c>
      <c r="G82" t="n">
        <v>1</v>
      </c>
      <c r="H82" s="7" t="n">
        <v>79.90000000000001</v>
      </c>
      <c r="I82" s="7" t="n">
        <v>0</v>
      </c>
      <c r="J82" s="7" t="n">
        <v>0</v>
      </c>
      <c r="K82" s="9" t="n">
        <v>0</v>
      </c>
      <c r="L82" s="10" t="n">
        <v>47.4</v>
      </c>
      <c r="M82" s="10" t="n">
        <v>1.43</v>
      </c>
      <c r="N82" t="inlineStr">
        <is>
          <t>1</t>
        </is>
      </c>
      <c r="O82" t="inlineStr">
        <is>
          <t>16</t>
        </is>
      </c>
      <c r="P82" t="inlineStr">
        <is>
          <t xml:space="preserve">250455  </t>
        </is>
      </c>
      <c r="Q82" s="26" t="n">
        <v>79.90000000000002</v>
      </c>
      <c r="R82" s="26">
        <f>Q82*G82</f>
        <v/>
      </c>
      <c r="S82" t="n">
        <v>47.4</v>
      </c>
      <c r="T82" s="18">
        <f>1 - V82/S82</f>
        <v/>
      </c>
      <c r="U82" s="18" t="n">
        <v>0</v>
      </c>
      <c r="V82" s="26" t="n">
        <v>47.4</v>
      </c>
      <c r="W82" s="26">
        <f>V82 - L82</f>
        <v/>
      </c>
    </row>
    <row r="83">
      <c r="A83" s="11" t="n">
        <v>46204</v>
      </c>
      <c r="B83" s="1" t="n">
        <v>20089</v>
      </c>
      <c r="C83" s="1" t="inlineStr">
        <is>
          <t>860</t>
        </is>
      </c>
      <c r="D83" s="1" t="inlineStr">
        <is>
          <t xml:space="preserve">9255  </t>
        </is>
      </c>
      <c r="E83" s="1" t="inlineStr">
        <is>
          <t xml:space="preserve">28194770       </t>
        </is>
      </c>
      <c r="F83" s="5" t="inlineStr">
        <is>
          <t>AUTOS DE METAL 3 TEAMSTERZ EN BLISTER</t>
        </is>
      </c>
      <c r="G83" t="n">
        <v>1</v>
      </c>
      <c r="H83" s="7" t="n">
        <v>6.9</v>
      </c>
      <c r="I83" s="7" t="n">
        <v>0</v>
      </c>
      <c r="J83" s="7" t="n">
        <v>0</v>
      </c>
      <c r="K83" s="9" t="n">
        <v>0</v>
      </c>
      <c r="L83" s="10" t="n">
        <v>4.1</v>
      </c>
      <c r="M83" s="10" t="n">
        <v>1.43</v>
      </c>
      <c r="N83" t="inlineStr">
        <is>
          <t>1</t>
        </is>
      </c>
      <c r="O83" t="inlineStr">
        <is>
          <t>16</t>
        </is>
      </c>
      <c r="P83" t="inlineStr">
        <is>
          <t xml:space="preserve">0       </t>
        </is>
      </c>
      <c r="Q83" s="26" t="n">
        <v>6.9</v>
      </c>
      <c r="R83" s="26">
        <f>Q83*G83</f>
        <v/>
      </c>
      <c r="S83" t="n">
        <v>4.09</v>
      </c>
      <c r="T83" s="18">
        <f>1 - V83/S83</f>
        <v/>
      </c>
      <c r="U83" s="18" t="n">
        <v>0</v>
      </c>
      <c r="V83" s="26" t="n">
        <v>4.09</v>
      </c>
      <c r="W83" s="26">
        <f>V83 - L83</f>
        <v/>
      </c>
    </row>
    <row r="84">
      <c r="A84" s="11" t="n">
        <v>46204</v>
      </c>
      <c r="B84" s="1" t="n">
        <v>20089</v>
      </c>
      <c r="C84" s="1" t="inlineStr">
        <is>
          <t>862</t>
        </is>
      </c>
      <c r="D84" s="1" t="inlineStr">
        <is>
          <t xml:space="preserve">8108  </t>
        </is>
      </c>
      <c r="E84" s="1" t="inlineStr">
        <is>
          <t xml:space="preserve">28194769       </t>
        </is>
      </c>
      <c r="F84" s="5" t="inlineStr">
        <is>
          <t>AUTOS DE METAL 3 TEAMSTERZ PACK DE 2</t>
        </is>
      </c>
      <c r="G84" t="n">
        <v>1</v>
      </c>
      <c r="H84" s="7" t="n">
        <v>13.8</v>
      </c>
      <c r="I84" s="7" t="n">
        <v>0</v>
      </c>
      <c r="J84" s="7" t="n">
        <v>0</v>
      </c>
      <c r="K84" s="9" t="n">
        <v>0</v>
      </c>
      <c r="L84" s="10" t="n">
        <v>8.18</v>
      </c>
      <c r="M84" s="10" t="n">
        <v>1.43</v>
      </c>
      <c r="N84" t="inlineStr">
        <is>
          <t>1</t>
        </is>
      </c>
      <c r="O84" t="inlineStr">
        <is>
          <t>16</t>
        </is>
      </c>
      <c r="P84" t="inlineStr">
        <is>
          <t xml:space="preserve">0       </t>
        </is>
      </c>
      <c r="Q84" s="26" t="n">
        <v>13.8</v>
      </c>
      <c r="R84" s="26">
        <f>Q84*G84</f>
        <v/>
      </c>
      <c r="S84" t="n">
        <v>8.19</v>
      </c>
      <c r="T84" s="18">
        <f>1 - V84/S84</f>
        <v/>
      </c>
      <c r="U84" s="18" t="n">
        <v>0</v>
      </c>
      <c r="V84" s="26" t="n">
        <v>8.19</v>
      </c>
      <c r="W84" s="26">
        <f>V84 - L84</f>
        <v/>
      </c>
    </row>
    <row r="85">
      <c r="A85" s="11" t="n">
        <v>46204</v>
      </c>
      <c r="B85" s="1" t="n">
        <v>20095</v>
      </c>
      <c r="C85" s="1" t="inlineStr">
        <is>
          <t>016</t>
        </is>
      </c>
      <c r="D85" s="1" t="inlineStr">
        <is>
          <t xml:space="preserve">39114 </t>
        </is>
      </c>
      <c r="E85" s="1" t="inlineStr">
        <is>
          <t xml:space="preserve">29235700       </t>
        </is>
      </c>
      <c r="F85" s="5" t="inlineStr">
        <is>
          <t>HOT WHEELS CASE METALICO PARA GUARDAR 18 CARRITOS</t>
        </is>
      </c>
      <c r="G85" t="n">
        <v>1</v>
      </c>
      <c r="H85" s="7" t="n">
        <v>49.9</v>
      </c>
      <c r="I85" s="7" t="n">
        <v>0</v>
      </c>
      <c r="J85" s="7" t="n">
        <v>0</v>
      </c>
      <c r="K85" s="9" t="n">
        <v>0</v>
      </c>
      <c r="L85" s="10" t="n">
        <v>29.6</v>
      </c>
      <c r="M85" s="10" t="n">
        <v>1.43</v>
      </c>
      <c r="N85" t="inlineStr">
        <is>
          <t>1</t>
        </is>
      </c>
      <c r="O85" t="inlineStr">
        <is>
          <t>16</t>
        </is>
      </c>
      <c r="P85" t="inlineStr">
        <is>
          <t xml:space="preserve">246365  </t>
        </is>
      </c>
      <c r="Q85" s="26" t="n">
        <v>49.90000000000001</v>
      </c>
      <c r="R85" s="26">
        <f>Q85*G85</f>
        <v/>
      </c>
      <c r="S85" t="n">
        <v>29.6</v>
      </c>
      <c r="T85" s="18">
        <f>1 - V85/S85</f>
        <v/>
      </c>
      <c r="U85" s="18" t="n">
        <v>0</v>
      </c>
      <c r="V85" s="26" t="n">
        <v>29.6</v>
      </c>
      <c r="W85" s="26">
        <f>V85 - L85</f>
        <v/>
      </c>
    </row>
    <row r="86">
      <c r="A86" s="11" t="n">
        <v>46204</v>
      </c>
      <c r="B86" s="1" t="n">
        <v>20095</v>
      </c>
      <c r="C86" s="1" t="inlineStr">
        <is>
          <t>016</t>
        </is>
      </c>
      <c r="D86" s="1" t="inlineStr">
        <is>
          <t xml:space="preserve">39114 </t>
        </is>
      </c>
      <c r="E86" s="1" t="inlineStr">
        <is>
          <t xml:space="preserve">29854051       </t>
        </is>
      </c>
      <c r="F86" s="5" t="inlineStr">
        <is>
          <t>TEAMSTERZ AUTO DE METAL PACK 10 AUTOS</t>
        </is>
      </c>
      <c r="G86" t="n">
        <v>1</v>
      </c>
      <c r="H86" s="7" t="n">
        <v>69</v>
      </c>
      <c r="I86" s="7" t="n">
        <v>0</v>
      </c>
      <c r="J86" s="7" t="n">
        <v>0</v>
      </c>
      <c r="K86" s="9" t="n">
        <v>0</v>
      </c>
      <c r="L86" s="10" t="n">
        <v>40.93</v>
      </c>
      <c r="M86" s="10" t="n">
        <v>1.43</v>
      </c>
      <c r="N86" t="inlineStr">
        <is>
          <t>1</t>
        </is>
      </c>
      <c r="O86" t="inlineStr">
        <is>
          <t>16</t>
        </is>
      </c>
      <c r="P86" t="inlineStr">
        <is>
          <t xml:space="preserve">246365  </t>
        </is>
      </c>
      <c r="Q86" s="26" t="n">
        <v>69</v>
      </c>
      <c r="R86" s="26">
        <f>Q86*G86</f>
        <v/>
      </c>
      <c r="S86" t="n">
        <v>40.93</v>
      </c>
      <c r="T86" s="18">
        <f>1 - V86/S86</f>
        <v/>
      </c>
      <c r="U86" s="18" t="n">
        <v>0</v>
      </c>
      <c r="V86" s="26" t="n">
        <v>40.93</v>
      </c>
      <c r="W86" s="26">
        <f>V86 - L86</f>
        <v/>
      </c>
    </row>
    <row r="87">
      <c r="A87" s="11" t="n">
        <v>46204</v>
      </c>
      <c r="B87" s="1" t="n">
        <v>20095</v>
      </c>
      <c r="C87" s="1" t="inlineStr">
        <is>
          <t>016</t>
        </is>
      </c>
      <c r="D87" s="1" t="inlineStr">
        <is>
          <t xml:space="preserve">39114 </t>
        </is>
      </c>
      <c r="E87" s="1" t="inlineStr">
        <is>
          <t xml:space="preserve">32457111       </t>
        </is>
      </c>
      <c r="F87" s="5" t="inlineStr">
        <is>
          <t>TMZ BEAST MACHINES MONSTER JAWS A FRICCION PACK DE</t>
        </is>
      </c>
      <c r="G87" t="n">
        <v>1</v>
      </c>
      <c r="H87" s="7" t="n">
        <v>74.90000000000001</v>
      </c>
      <c r="I87" s="7" t="n">
        <v>0</v>
      </c>
      <c r="J87" s="7" t="n">
        <v>0</v>
      </c>
      <c r="K87" s="9" t="n">
        <v>0</v>
      </c>
      <c r="L87" s="10" t="n">
        <v>44.43</v>
      </c>
      <c r="M87" s="10" t="n">
        <v>1.43</v>
      </c>
      <c r="N87" t="inlineStr">
        <is>
          <t>1</t>
        </is>
      </c>
      <c r="O87" t="inlineStr">
        <is>
          <t>16</t>
        </is>
      </c>
      <c r="P87" t="inlineStr">
        <is>
          <t xml:space="preserve">246365  </t>
        </is>
      </c>
      <c r="Q87" s="26" t="n">
        <v>74.90000000000001</v>
      </c>
      <c r="R87" s="26">
        <f>Q87*G87</f>
        <v/>
      </c>
      <c r="S87" t="n">
        <v>44.43</v>
      </c>
      <c r="T87" s="18">
        <f>1 - V87/S87</f>
        <v/>
      </c>
      <c r="U87" s="18" t="n">
        <v>0.2670226969292391</v>
      </c>
      <c r="V87" s="26" t="n">
        <v>31.92406779661017</v>
      </c>
      <c r="W87" s="26">
        <f>V87 - L87</f>
        <v/>
      </c>
    </row>
    <row r="88">
      <c r="A88" s="11" t="n">
        <v>46204</v>
      </c>
      <c r="B88" s="1" t="n">
        <v>20095</v>
      </c>
      <c r="C88" s="1" t="inlineStr">
        <is>
          <t>043</t>
        </is>
      </c>
      <c r="D88" s="1" t="inlineStr">
        <is>
          <t>107167</t>
        </is>
      </c>
      <c r="E88" s="1" t="inlineStr">
        <is>
          <t xml:space="preserve">28194769       </t>
        </is>
      </c>
      <c r="F88" s="5" t="inlineStr">
        <is>
          <t>AUTOS DE METAL 3 TEAMSTERZ PACK DE 2</t>
        </is>
      </c>
      <c r="G88" t="n">
        <v>1</v>
      </c>
      <c r="H88" s="7" t="n">
        <v>13.8</v>
      </c>
      <c r="I88" s="7" t="n">
        <v>0</v>
      </c>
      <c r="J88" s="7" t="n">
        <v>0</v>
      </c>
      <c r="K88" s="9" t="n">
        <v>0</v>
      </c>
      <c r="L88" s="10" t="n">
        <v>8.18</v>
      </c>
      <c r="M88" s="10" t="n">
        <v>1.43</v>
      </c>
      <c r="N88" t="inlineStr">
        <is>
          <t>1</t>
        </is>
      </c>
      <c r="O88" t="inlineStr">
        <is>
          <t>16</t>
        </is>
      </c>
      <c r="P88" t="inlineStr">
        <is>
          <t xml:space="preserve">57461   </t>
        </is>
      </c>
      <c r="Q88" s="26" t="n">
        <v>13.8</v>
      </c>
      <c r="R88" s="26">
        <f>Q88*G88</f>
        <v/>
      </c>
      <c r="S88" t="n">
        <v>8.19</v>
      </c>
      <c r="T88" s="18">
        <f>1 - V88/S88</f>
        <v/>
      </c>
      <c r="U88" s="18" t="n">
        <v>0</v>
      </c>
      <c r="V88" s="26" t="n">
        <v>8.19</v>
      </c>
      <c r="W88" s="26">
        <f>V88 - L88</f>
        <v/>
      </c>
    </row>
    <row r="89">
      <c r="A89" s="11" t="n">
        <v>46204</v>
      </c>
      <c r="B89" s="1" t="n">
        <v>20095</v>
      </c>
      <c r="C89" s="1" t="inlineStr">
        <is>
          <t>043</t>
        </is>
      </c>
      <c r="D89" s="1" t="inlineStr">
        <is>
          <t>107186</t>
        </is>
      </c>
      <c r="E89" s="1" t="inlineStr">
        <is>
          <t xml:space="preserve">28194770       </t>
        </is>
      </c>
      <c r="F89" s="5" t="inlineStr">
        <is>
          <t>AUTOS DE METAL 3 TEAMSTERZ EN BLISTER</t>
        </is>
      </c>
      <c r="G89" t="n">
        <v>1</v>
      </c>
      <c r="H89" s="7" t="n">
        <v>6.9</v>
      </c>
      <c r="I89" s="7" t="n">
        <v>0</v>
      </c>
      <c r="J89" s="7" t="n">
        <v>0</v>
      </c>
      <c r="K89" s="9" t="n">
        <v>0</v>
      </c>
      <c r="L89" s="10" t="n">
        <v>4.1</v>
      </c>
      <c r="M89" s="10" t="n">
        <v>1.43</v>
      </c>
      <c r="N89" t="inlineStr">
        <is>
          <t>1</t>
        </is>
      </c>
      <c r="O89" t="inlineStr">
        <is>
          <t>16</t>
        </is>
      </c>
      <c r="P89" t="inlineStr">
        <is>
          <t xml:space="preserve">57461   </t>
        </is>
      </c>
      <c r="Q89" s="26" t="n">
        <v>6.9</v>
      </c>
      <c r="R89" s="26">
        <f>Q89*G89</f>
        <v/>
      </c>
      <c r="S89" t="n">
        <v>4.09</v>
      </c>
      <c r="T89" s="18">
        <f>1 - V89/S89</f>
        <v/>
      </c>
      <c r="U89" s="18" t="n">
        <v>0</v>
      </c>
      <c r="V89" s="26" t="n">
        <v>4.09</v>
      </c>
      <c r="W89" s="26">
        <f>V89 - L89</f>
        <v/>
      </c>
    </row>
    <row r="90">
      <c r="A90" s="11" t="n">
        <v>46205</v>
      </c>
      <c r="B90" s="1" t="n">
        <v>20021</v>
      </c>
      <c r="C90" s="1" t="inlineStr">
        <is>
          <t>051</t>
        </is>
      </c>
      <c r="D90" s="1" t="inlineStr">
        <is>
          <t xml:space="preserve">7430  </t>
        </is>
      </c>
      <c r="E90" s="1" t="inlineStr">
        <is>
          <t xml:space="preserve">30141766       </t>
        </is>
      </c>
      <c r="F90" s="5" t="inlineStr">
        <is>
          <t>TMZ BEAST MACHINES AUTOS DE METAL BLISTER X 1</t>
        </is>
      </c>
      <c r="G90" t="n">
        <v>1</v>
      </c>
      <c r="H90" s="7" t="n">
        <v>7.9</v>
      </c>
      <c r="I90" s="7" t="n">
        <v>0</v>
      </c>
      <c r="J90" s="7" t="n">
        <v>0</v>
      </c>
      <c r="K90" s="9" t="n">
        <v>0</v>
      </c>
      <c r="L90" s="10" t="n">
        <v>4.68</v>
      </c>
      <c r="M90" s="10" t="n">
        <v>1.43</v>
      </c>
      <c r="N90" t="inlineStr">
        <is>
          <t>1</t>
        </is>
      </c>
      <c r="O90" t="inlineStr">
        <is>
          <t>16</t>
        </is>
      </c>
      <c r="P90" t="inlineStr">
        <is>
          <t xml:space="preserve">42929   </t>
        </is>
      </c>
      <c r="Q90" s="26" t="n">
        <v>7.9</v>
      </c>
      <c r="R90" s="26">
        <f>Q90*G90</f>
        <v/>
      </c>
      <c r="S90" t="n">
        <v>4.69</v>
      </c>
      <c r="T90" s="18">
        <f>1 - V90/S90</f>
        <v/>
      </c>
      <c r="U90" s="18" t="n">
        <v>0</v>
      </c>
      <c r="V90" s="26" t="n">
        <v>4.69</v>
      </c>
      <c r="W90" s="26">
        <f>V90 - L90</f>
        <v/>
      </c>
    </row>
    <row r="91">
      <c r="A91" s="11" t="n">
        <v>46205</v>
      </c>
      <c r="B91" s="1" t="n">
        <v>20021</v>
      </c>
      <c r="C91" s="1" t="inlineStr">
        <is>
          <t>055</t>
        </is>
      </c>
      <c r="D91" s="1" t="inlineStr">
        <is>
          <t>153976</t>
        </is>
      </c>
      <c r="E91" s="1" t="inlineStr">
        <is>
          <t xml:space="preserve">30141766       </t>
        </is>
      </c>
      <c r="F91" s="5" t="inlineStr">
        <is>
          <t>TMZ BEAST MACHINES AUTOS DE METAL BLISTER X 1</t>
        </is>
      </c>
      <c r="G91" t="n">
        <v>1</v>
      </c>
      <c r="H91" s="7" t="n">
        <v>7.9</v>
      </c>
      <c r="I91" s="7" t="n">
        <v>0</v>
      </c>
      <c r="J91" s="7" t="n">
        <v>0</v>
      </c>
      <c r="K91" s="9" t="n">
        <v>0</v>
      </c>
      <c r="L91" s="10" t="n">
        <v>4.68</v>
      </c>
      <c r="M91" s="10" t="n">
        <v>1.43</v>
      </c>
      <c r="N91" t="inlineStr">
        <is>
          <t>1</t>
        </is>
      </c>
      <c r="O91" t="inlineStr">
        <is>
          <t xml:space="preserve">2 </t>
        </is>
      </c>
      <c r="P91" t="inlineStr">
        <is>
          <t xml:space="preserve">243383  </t>
        </is>
      </c>
      <c r="Q91" s="26" t="n">
        <v>7.9</v>
      </c>
      <c r="R91" s="26">
        <f>Q91*G91</f>
        <v/>
      </c>
      <c r="S91" t="n">
        <v>4.69</v>
      </c>
      <c r="T91" s="18">
        <f>1 - V91/S91</f>
        <v/>
      </c>
      <c r="U91" s="18" t="n">
        <v>0</v>
      </c>
      <c r="V91" s="26" t="n">
        <v>4.69</v>
      </c>
      <c r="W91" s="26">
        <f>V91 - L91</f>
        <v/>
      </c>
    </row>
    <row r="92">
      <c r="A92" s="11" t="n">
        <v>46205</v>
      </c>
      <c r="B92" s="1" t="n">
        <v>20021</v>
      </c>
      <c r="C92" s="1" t="inlineStr">
        <is>
          <t>055</t>
        </is>
      </c>
      <c r="D92" s="1" t="inlineStr">
        <is>
          <t>154045</t>
        </is>
      </c>
      <c r="E92" s="1" t="inlineStr">
        <is>
          <t xml:space="preserve">35685067       </t>
        </is>
      </c>
      <c r="F92" s="5" t="inlineStr">
        <is>
          <t>HOT WHEELS POWER SET 3 EN 1</t>
        </is>
      </c>
      <c r="G92" t="n">
        <v>1</v>
      </c>
      <c r="H92" s="7" t="n">
        <v>49.9</v>
      </c>
      <c r="I92" s="7" t="n">
        <v>0</v>
      </c>
      <c r="J92" s="7" t="n">
        <v>0</v>
      </c>
      <c r="K92" s="9" t="n">
        <v>0</v>
      </c>
      <c r="L92" s="10" t="n">
        <v>29.6</v>
      </c>
      <c r="M92" s="10" t="n">
        <v>1.43</v>
      </c>
      <c r="N92" t="inlineStr">
        <is>
          <t>1</t>
        </is>
      </c>
      <c r="O92" t="inlineStr">
        <is>
          <t xml:space="preserve">3 </t>
        </is>
      </c>
      <c r="P92" t="inlineStr">
        <is>
          <t xml:space="preserve">81066   </t>
        </is>
      </c>
      <c r="Q92" s="26" t="n">
        <v>49.9</v>
      </c>
      <c r="R92" s="26">
        <f>Q92*G92</f>
        <v/>
      </c>
      <c r="S92" t="n">
        <v>29.6</v>
      </c>
      <c r="T92" s="18">
        <f>1 - V92/S92</f>
        <v/>
      </c>
      <c r="U92" s="18" t="n">
        <v>0</v>
      </c>
      <c r="V92" s="26" t="n">
        <v>29.6</v>
      </c>
      <c r="W92" s="26">
        <f>V92 - L92</f>
        <v/>
      </c>
    </row>
    <row r="93">
      <c r="A93" s="11" t="n">
        <v>46205</v>
      </c>
      <c r="B93" s="1" t="n">
        <v>20021</v>
      </c>
      <c r="C93" s="1" t="inlineStr">
        <is>
          <t>081</t>
        </is>
      </c>
      <c r="D93" s="1" t="inlineStr">
        <is>
          <t>175319</t>
        </is>
      </c>
      <c r="E93" s="1" t="inlineStr">
        <is>
          <t xml:space="preserve">32656416       </t>
        </is>
      </c>
      <c r="F93" s="5" t="inlineStr">
        <is>
          <t>EL PISO ES LAVA</t>
        </is>
      </c>
      <c r="G93" t="n">
        <v>1</v>
      </c>
      <c r="H93" s="7" t="n">
        <v>79.90000000000001</v>
      </c>
      <c r="I93" s="7" t="n">
        <v>0</v>
      </c>
      <c r="J93" s="7" t="n">
        <v>0</v>
      </c>
      <c r="K93" s="9" t="n">
        <v>0</v>
      </c>
      <c r="L93" s="10" t="n">
        <v>47.4</v>
      </c>
      <c r="M93" s="10" t="n">
        <v>1.43</v>
      </c>
      <c r="N93" t="inlineStr">
        <is>
          <t>1</t>
        </is>
      </c>
      <c r="O93" t="inlineStr">
        <is>
          <t>16</t>
        </is>
      </c>
      <c r="P93" t="inlineStr">
        <is>
          <t xml:space="preserve">22701   </t>
        </is>
      </c>
      <c r="Q93" s="26" t="n">
        <v>79.90000000000001</v>
      </c>
      <c r="R93" s="26">
        <f>Q93*G93</f>
        <v/>
      </c>
      <c r="S93" t="n">
        <v>47.4</v>
      </c>
      <c r="T93" s="18">
        <f>1 - V93/S93</f>
        <v/>
      </c>
      <c r="U93" s="18" t="n">
        <v>0.5632040050062579</v>
      </c>
      <c r="V93" s="26" t="n">
        <v>28.10169491525424</v>
      </c>
      <c r="W93" s="26">
        <f>V93 - L93</f>
        <v/>
      </c>
    </row>
    <row r="94">
      <c r="A94" s="11" t="n">
        <v>46205</v>
      </c>
      <c r="B94" s="1" t="n">
        <v>20023</v>
      </c>
      <c r="C94" s="1" t="inlineStr">
        <is>
          <t>105</t>
        </is>
      </c>
      <c r="D94" s="1" t="inlineStr">
        <is>
          <t xml:space="preserve">90096 </t>
        </is>
      </c>
      <c r="E94" s="1" t="inlineStr">
        <is>
          <t xml:space="preserve">31754675       </t>
        </is>
      </c>
      <c r="F94" s="5" t="inlineStr">
        <is>
          <t>INFINITY NADO SERIE 6 STARTER PACK - 4 MODELOS</t>
        </is>
      </c>
      <c r="G94" t="n">
        <v>1</v>
      </c>
      <c r="H94" s="7" t="n">
        <v>69.90000000000001</v>
      </c>
      <c r="I94" s="7" t="n">
        <v>0</v>
      </c>
      <c r="J94" s="7" t="n">
        <v>0</v>
      </c>
      <c r="K94" s="9" t="n">
        <v>0</v>
      </c>
      <c r="L94" s="10" t="n">
        <v>41.47</v>
      </c>
      <c r="M94" s="10" t="n">
        <v>1.43</v>
      </c>
      <c r="N94" t="inlineStr">
        <is>
          <t>1</t>
        </is>
      </c>
      <c r="O94" t="inlineStr">
        <is>
          <t>16</t>
        </is>
      </c>
      <c r="P94" t="inlineStr">
        <is>
          <t xml:space="preserve">38444   </t>
        </is>
      </c>
      <c r="Q94" s="26" t="n">
        <v>69.90000000000001</v>
      </c>
      <c r="R94" s="26">
        <f>Q94*G94</f>
        <v/>
      </c>
      <c r="S94" t="n">
        <v>41.47</v>
      </c>
      <c r="T94" s="18">
        <f>1 - V94/S94</f>
        <v/>
      </c>
      <c r="U94" s="18" t="n">
        <v>0.2861230329041489</v>
      </c>
      <c r="V94" s="26" t="n">
        <v>31.71610169491525</v>
      </c>
      <c r="W94" s="26">
        <f>V94 - L94</f>
        <v/>
      </c>
    </row>
    <row r="95">
      <c r="A95" s="11" t="n">
        <v>46205</v>
      </c>
      <c r="B95" s="1" t="n">
        <v>20024</v>
      </c>
      <c r="C95" s="1" t="inlineStr">
        <is>
          <t>038</t>
        </is>
      </c>
      <c r="D95" s="1" t="inlineStr">
        <is>
          <t xml:space="preserve">24523 </t>
        </is>
      </c>
      <c r="E95" s="1" t="inlineStr">
        <is>
          <t xml:space="preserve">28194780       </t>
        </is>
      </c>
      <c r="F95" s="5" t="inlineStr">
        <is>
          <t>TROMPO BATALLA INFINITY NADO PLSTICO SURTIDO</t>
        </is>
      </c>
      <c r="G95" t="n">
        <v>1</v>
      </c>
      <c r="H95" s="7" t="n">
        <v>19.9</v>
      </c>
      <c r="I95" s="7" t="n">
        <v>3.98</v>
      </c>
      <c r="J95" s="7" t="n">
        <v>0</v>
      </c>
      <c r="K95" s="9" t="n">
        <v>3.98</v>
      </c>
      <c r="L95" s="10" t="n">
        <v>9.44</v>
      </c>
      <c r="M95" s="10" t="n">
        <v>1.43</v>
      </c>
      <c r="N95" t="inlineStr">
        <is>
          <t>1</t>
        </is>
      </c>
      <c r="O95" t="inlineStr">
        <is>
          <t xml:space="preserve">2 </t>
        </is>
      </c>
      <c r="P95" t="inlineStr">
        <is>
          <t xml:space="preserve">71372   </t>
        </is>
      </c>
      <c r="Q95" s="26" t="n">
        <v>19.9</v>
      </c>
      <c r="R95" s="26">
        <f>Q95*G95</f>
        <v/>
      </c>
      <c r="S95" t="n">
        <v>11.81</v>
      </c>
      <c r="T95" s="18">
        <f>1 - V95/S95</f>
        <v/>
      </c>
      <c r="U95" s="18" t="n">
        <v>0</v>
      </c>
      <c r="V95" s="26" t="n">
        <v>11.81</v>
      </c>
      <c r="W95" s="26">
        <f>V95 - L95</f>
        <v/>
      </c>
    </row>
    <row r="96">
      <c r="A96" s="11" t="n">
        <v>46205</v>
      </c>
      <c r="B96" s="1" t="n">
        <v>20024</v>
      </c>
      <c r="C96" s="1" t="inlineStr">
        <is>
          <t>038</t>
        </is>
      </c>
      <c r="D96" s="1" t="inlineStr">
        <is>
          <t xml:space="preserve">24560 </t>
        </is>
      </c>
      <c r="E96" s="1" t="inlineStr">
        <is>
          <t xml:space="preserve">28194769       </t>
        </is>
      </c>
      <c r="F96" s="5" t="inlineStr">
        <is>
          <t>AUTOS DE METAL 3 TEAMSTERZ PACK DE 2</t>
        </is>
      </c>
      <c r="G96" t="n">
        <v>1</v>
      </c>
      <c r="H96" s="7" t="n">
        <v>13.8</v>
      </c>
      <c r="I96" s="7" t="n">
        <v>0</v>
      </c>
      <c r="J96" s="7" t="n">
        <v>0</v>
      </c>
      <c r="K96" s="9" t="n">
        <v>0</v>
      </c>
      <c r="L96" s="10" t="n">
        <v>8.18</v>
      </c>
      <c r="M96" s="10" t="n">
        <v>1.43</v>
      </c>
      <c r="N96" t="inlineStr">
        <is>
          <t>1</t>
        </is>
      </c>
      <c r="O96" t="inlineStr">
        <is>
          <t>16</t>
        </is>
      </c>
      <c r="P96" t="inlineStr">
        <is>
          <t xml:space="preserve">71372   </t>
        </is>
      </c>
      <c r="Q96" s="26" t="n">
        <v>13.8</v>
      </c>
      <c r="R96" s="26">
        <f>Q96*G96</f>
        <v/>
      </c>
      <c r="S96" t="n">
        <v>8.19</v>
      </c>
      <c r="T96" s="18">
        <f>1 - V96/S96</f>
        <v/>
      </c>
      <c r="U96" s="18" t="n">
        <v>0</v>
      </c>
      <c r="V96" s="26" t="n">
        <v>8.19</v>
      </c>
      <c r="W96" s="26">
        <f>V96 - L96</f>
        <v/>
      </c>
    </row>
    <row r="97">
      <c r="A97" s="11" t="n">
        <v>46205</v>
      </c>
      <c r="B97" s="1" t="n">
        <v>20024</v>
      </c>
      <c r="C97" s="1" t="inlineStr">
        <is>
          <t>088</t>
        </is>
      </c>
      <c r="D97" s="1" t="inlineStr">
        <is>
          <t xml:space="preserve">21594 </t>
        </is>
      </c>
      <c r="E97" s="1" t="inlineStr">
        <is>
          <t xml:space="preserve">32457103       </t>
        </is>
      </c>
      <c r="F97" s="5" t="inlineStr">
        <is>
          <t>TMZ BEAST MACHINES MONSTER JAWS A FRICCION PACK DE</t>
        </is>
      </c>
      <c r="G97" t="n">
        <v>1</v>
      </c>
      <c r="H97" s="7" t="n">
        <v>37.9</v>
      </c>
      <c r="I97" s="7" t="n">
        <v>0</v>
      </c>
      <c r="J97" s="7" t="n">
        <v>0</v>
      </c>
      <c r="K97" s="9" t="n">
        <v>0</v>
      </c>
      <c r="L97" s="10" t="n">
        <v>22.48</v>
      </c>
      <c r="M97" s="10" t="n">
        <v>1.43</v>
      </c>
      <c r="N97" t="inlineStr">
        <is>
          <t>1</t>
        </is>
      </c>
      <c r="O97" t="inlineStr">
        <is>
          <t>16</t>
        </is>
      </c>
      <c r="P97" t="inlineStr">
        <is>
          <t xml:space="preserve">242829  </t>
        </is>
      </c>
      <c r="Q97" s="26" t="n">
        <v>37.9</v>
      </c>
      <c r="R97" s="26">
        <f>Q97*G97</f>
        <v/>
      </c>
      <c r="S97" t="n">
        <v>22.48</v>
      </c>
      <c r="T97" s="18">
        <f>1 - V97/S97</f>
        <v/>
      </c>
      <c r="U97" s="18" t="n">
        <v>0.1319261213720316</v>
      </c>
      <c r="V97" s="26" t="n">
        <v>16.75101694915254</v>
      </c>
      <c r="W97" s="26">
        <f>V97 - L97</f>
        <v/>
      </c>
    </row>
    <row r="98">
      <c r="A98" s="11" t="n">
        <v>46205</v>
      </c>
      <c r="B98" s="1" t="n">
        <v>20025</v>
      </c>
      <c r="C98" s="1" t="inlineStr">
        <is>
          <t>074</t>
        </is>
      </c>
      <c r="D98" s="1" t="inlineStr">
        <is>
          <t xml:space="preserve">82237 </t>
        </is>
      </c>
      <c r="E98" s="1" t="inlineStr">
        <is>
          <t xml:space="preserve">31959961       </t>
        </is>
      </c>
      <c r="F98" s="5" t="inlineStr">
        <is>
          <t>TEAMSTERZ CAMBIA DE COLOR PACK DE 3 AUTOS</t>
        </is>
      </c>
      <c r="G98" t="n">
        <v>1</v>
      </c>
      <c r="H98" s="7" t="n">
        <v>49.9</v>
      </c>
      <c r="I98" s="7" t="n">
        <v>0</v>
      </c>
      <c r="J98" s="7" t="n">
        <v>0</v>
      </c>
      <c r="K98" s="9" t="n">
        <v>0</v>
      </c>
      <c r="L98" s="10" t="n">
        <v>29.6</v>
      </c>
      <c r="M98" s="10" t="n">
        <v>1.43</v>
      </c>
      <c r="N98" t="inlineStr">
        <is>
          <t>1</t>
        </is>
      </c>
      <c r="O98" t="inlineStr">
        <is>
          <t>16</t>
        </is>
      </c>
      <c r="P98" t="inlineStr">
        <is>
          <t xml:space="preserve">250254  </t>
        </is>
      </c>
      <c r="Q98" s="26" t="n">
        <v>49.9</v>
      </c>
      <c r="R98" s="26">
        <f>Q98*G98</f>
        <v/>
      </c>
      <c r="S98" t="n">
        <v>29.6</v>
      </c>
      <c r="T98" s="18">
        <f>1 - V98/S98</f>
        <v/>
      </c>
      <c r="U98" s="18" t="n">
        <v>0</v>
      </c>
      <c r="V98" s="26" t="n">
        <v>29.6</v>
      </c>
      <c r="W98" s="26">
        <f>V98 - L98</f>
        <v/>
      </c>
    </row>
    <row r="99">
      <c r="A99" s="11" t="n">
        <v>46205</v>
      </c>
      <c r="B99" s="1" t="n">
        <v>20025</v>
      </c>
      <c r="C99" s="1" t="inlineStr">
        <is>
          <t>074</t>
        </is>
      </c>
      <c r="D99" s="1" t="inlineStr">
        <is>
          <t xml:space="preserve">82240 </t>
        </is>
      </c>
      <c r="E99" s="1" t="inlineStr">
        <is>
          <t xml:space="preserve">30141767       </t>
        </is>
      </c>
      <c r="F99" s="5" t="inlineStr">
        <is>
          <t>TMZ BEAST MACHINES AUTOS DE METAL PACK 5 AUTOS</t>
        </is>
      </c>
      <c r="G99" t="n">
        <v>1</v>
      </c>
      <c r="H99" s="7" t="n">
        <v>39.5</v>
      </c>
      <c r="I99" s="7" t="n">
        <v>0</v>
      </c>
      <c r="J99" s="7" t="n">
        <v>0</v>
      </c>
      <c r="K99" s="9" t="n">
        <v>0</v>
      </c>
      <c r="L99" s="10" t="n">
        <v>23.43</v>
      </c>
      <c r="M99" s="10" t="n">
        <v>1.43</v>
      </c>
      <c r="N99" t="inlineStr">
        <is>
          <t>1</t>
        </is>
      </c>
      <c r="O99" t="inlineStr">
        <is>
          <t>16</t>
        </is>
      </c>
      <c r="P99" t="inlineStr">
        <is>
          <t xml:space="preserve">250254  </t>
        </is>
      </c>
      <c r="Q99" s="26" t="n">
        <v>39.5</v>
      </c>
      <c r="R99" s="26">
        <f>Q99*G99</f>
        <v/>
      </c>
      <c r="S99" t="n">
        <v>23.43</v>
      </c>
      <c r="T99" s="18">
        <f>1 - V99/S99</f>
        <v/>
      </c>
      <c r="U99" s="18" t="n">
        <v>0.2430379746835444</v>
      </c>
      <c r="V99" s="26" t="n">
        <v>19.00423728813559</v>
      </c>
      <c r="W99" s="26">
        <f>V99 - L99</f>
        <v/>
      </c>
    </row>
    <row r="100">
      <c r="A100" s="11" t="n">
        <v>46205</v>
      </c>
      <c r="B100" s="1" t="n">
        <v>20028</v>
      </c>
      <c r="C100" s="1" t="inlineStr">
        <is>
          <t>088</t>
        </is>
      </c>
      <c r="D100" s="1" t="inlineStr">
        <is>
          <t>340162</t>
        </is>
      </c>
      <c r="E100" s="1" t="inlineStr">
        <is>
          <t xml:space="preserve">29235701       </t>
        </is>
      </c>
      <c r="F100" s="5" t="inlineStr">
        <is>
          <t>INFINITY NADO TROMPO DE BATALLA - METAL EN CAJA</t>
        </is>
      </c>
      <c r="G100" t="n">
        <v>1</v>
      </c>
      <c r="H100" s="7" t="n">
        <v>39.9</v>
      </c>
      <c r="I100" s="7" t="n">
        <v>0</v>
      </c>
      <c r="J100" s="7" t="n">
        <v>0</v>
      </c>
      <c r="K100" s="9" t="n">
        <v>0</v>
      </c>
      <c r="L100" s="10" t="n">
        <v>23.67</v>
      </c>
      <c r="M100" s="10" t="n">
        <v>1.43</v>
      </c>
      <c r="N100" t="inlineStr">
        <is>
          <t>1</t>
        </is>
      </c>
      <c r="O100" t="inlineStr">
        <is>
          <t xml:space="preserve">3 </t>
        </is>
      </c>
      <c r="P100" t="inlineStr">
        <is>
          <t xml:space="preserve">69117   </t>
        </is>
      </c>
      <c r="Q100" s="26" t="n">
        <v>39.9</v>
      </c>
      <c r="R100" s="26">
        <f>Q100*G100</f>
        <v/>
      </c>
      <c r="S100" t="n">
        <v>23.67</v>
      </c>
      <c r="T100" s="18">
        <f>1 - V100/S100</f>
        <v/>
      </c>
      <c r="U100" s="18" t="n">
        <v>0.2506265664160401</v>
      </c>
      <c r="V100" s="26" t="n">
        <v>19.00423728813559</v>
      </c>
      <c r="W100" s="26">
        <f>V100 - L100</f>
        <v/>
      </c>
    </row>
    <row r="101">
      <c r="A101" s="11" t="n">
        <v>46205</v>
      </c>
      <c r="B101" s="1" t="n">
        <v>20030</v>
      </c>
      <c r="C101" s="1" t="inlineStr">
        <is>
          <t>023</t>
        </is>
      </c>
      <c r="D101" s="1" t="inlineStr">
        <is>
          <t>415270</t>
        </is>
      </c>
      <c r="E101" s="1" t="inlineStr">
        <is>
          <t xml:space="preserve">28194769       </t>
        </is>
      </c>
      <c r="F101" s="5" t="inlineStr">
        <is>
          <t>AUTOS DE METAL 3 TEAMSTERZ PACK DE 2</t>
        </is>
      </c>
      <c r="G101" t="n">
        <v>1</v>
      </c>
      <c r="H101" s="7" t="n">
        <v>13.8</v>
      </c>
      <c r="I101" s="7" t="n">
        <v>0</v>
      </c>
      <c r="J101" s="7" t="n">
        <v>0</v>
      </c>
      <c r="K101" s="9" t="n">
        <v>0</v>
      </c>
      <c r="L101" s="10" t="n">
        <v>8.18</v>
      </c>
      <c r="M101" s="10" t="n">
        <v>1.43</v>
      </c>
      <c r="N101" t="inlineStr">
        <is>
          <t>1</t>
        </is>
      </c>
      <c r="O101" t="inlineStr">
        <is>
          <t xml:space="preserve">3 </t>
        </is>
      </c>
      <c r="P101" t="inlineStr">
        <is>
          <t xml:space="preserve">39099   </t>
        </is>
      </c>
      <c r="Q101" s="26" t="n">
        <v>13.8</v>
      </c>
      <c r="R101" s="26">
        <f>Q101*G101</f>
        <v/>
      </c>
      <c r="S101" t="n">
        <v>8.19</v>
      </c>
      <c r="T101" s="18">
        <f>1 - V101/S101</f>
        <v/>
      </c>
      <c r="U101" s="18" t="n">
        <v>0</v>
      </c>
      <c r="V101" s="26" t="n">
        <v>8.19</v>
      </c>
      <c r="W101" s="26">
        <f>V101 - L101</f>
        <v/>
      </c>
    </row>
    <row r="102">
      <c r="A102" s="11" t="n">
        <v>46205</v>
      </c>
      <c r="B102" s="1" t="n">
        <v>20030</v>
      </c>
      <c r="C102" s="1" t="inlineStr">
        <is>
          <t>077</t>
        </is>
      </c>
      <c r="D102" s="1" t="inlineStr">
        <is>
          <t>231631</t>
        </is>
      </c>
      <c r="E102" s="1" t="inlineStr">
        <is>
          <t xml:space="preserve">29854051       </t>
        </is>
      </c>
      <c r="F102" s="5" t="inlineStr">
        <is>
          <t>TEAMSTERZ AUTO DE METAL PACK 10 AUTOS</t>
        </is>
      </c>
      <c r="G102" t="n">
        <v>1</v>
      </c>
      <c r="H102" s="7" t="n">
        <v>69</v>
      </c>
      <c r="I102" s="7" t="n">
        <v>0</v>
      </c>
      <c r="J102" s="7" t="n">
        <v>0</v>
      </c>
      <c r="K102" s="9" t="n">
        <v>0</v>
      </c>
      <c r="L102" s="10" t="n">
        <v>40.93</v>
      </c>
      <c r="M102" s="10" t="n">
        <v>1.43</v>
      </c>
      <c r="N102" t="inlineStr">
        <is>
          <t>1</t>
        </is>
      </c>
      <c r="O102" t="inlineStr">
        <is>
          <t>16</t>
        </is>
      </c>
      <c r="P102" t="inlineStr">
        <is>
          <t xml:space="preserve">47899   </t>
        </is>
      </c>
      <c r="Q102" s="26" t="n">
        <v>69</v>
      </c>
      <c r="R102" s="26">
        <f>Q102*G102</f>
        <v/>
      </c>
      <c r="S102" t="n">
        <v>40.93</v>
      </c>
      <c r="T102" s="18">
        <f>1 - V102/S102</f>
        <v/>
      </c>
      <c r="U102" s="18" t="n">
        <v>0</v>
      </c>
      <c r="V102" s="26" t="n">
        <v>40.93</v>
      </c>
      <c r="W102" s="26">
        <f>V102 - L102</f>
        <v/>
      </c>
    </row>
    <row r="103">
      <c r="A103" s="11" t="n">
        <v>46205</v>
      </c>
      <c r="B103" s="1" t="n">
        <v>20030</v>
      </c>
      <c r="C103" s="1" t="inlineStr">
        <is>
          <t>077</t>
        </is>
      </c>
      <c r="D103" s="1" t="inlineStr">
        <is>
          <t>231631</t>
        </is>
      </c>
      <c r="E103" s="1" t="inlineStr">
        <is>
          <t xml:space="preserve">33661538       </t>
        </is>
      </c>
      <c r="F103" s="5" t="inlineStr">
        <is>
          <t>HOT WHEELS CASE GARAGE RUEDA METAL EN LLAMAS X 29</t>
        </is>
      </c>
      <c r="G103" t="n">
        <v>1</v>
      </c>
      <c r="H103" s="7" t="n">
        <v>69.90000000000001</v>
      </c>
      <c r="I103" s="7" t="n">
        <v>0</v>
      </c>
      <c r="J103" s="7" t="n">
        <v>0</v>
      </c>
      <c r="K103" s="9" t="n">
        <v>0</v>
      </c>
      <c r="L103" s="10" t="n">
        <v>41.47</v>
      </c>
      <c r="M103" s="10" t="n">
        <v>1.43</v>
      </c>
      <c r="N103" t="inlineStr">
        <is>
          <t>1</t>
        </is>
      </c>
      <c r="O103" t="inlineStr">
        <is>
          <t>16</t>
        </is>
      </c>
      <c r="P103" t="inlineStr">
        <is>
          <t xml:space="preserve">47899   </t>
        </is>
      </c>
      <c r="Q103" s="26" t="n">
        <v>69.90000000000001</v>
      </c>
      <c r="R103" s="26">
        <f>Q103*G103</f>
        <v/>
      </c>
      <c r="S103" t="n">
        <v>41.47</v>
      </c>
      <c r="T103" s="18">
        <f>1 - V103/S103</f>
        <v/>
      </c>
      <c r="U103" s="18" t="n">
        <v>0</v>
      </c>
      <c r="V103" s="26" t="n">
        <v>41.47</v>
      </c>
      <c r="W103" s="26">
        <f>V103 - L103</f>
        <v/>
      </c>
    </row>
    <row r="104">
      <c r="A104" s="11" t="n">
        <v>46205</v>
      </c>
      <c r="B104" s="1" t="n">
        <v>20040</v>
      </c>
      <c r="C104" s="1" t="inlineStr">
        <is>
          <t>072</t>
        </is>
      </c>
      <c r="D104" s="1" t="inlineStr">
        <is>
          <t>250807</t>
        </is>
      </c>
      <c r="E104" s="1" t="inlineStr">
        <is>
          <t xml:space="preserve">33661538       </t>
        </is>
      </c>
      <c r="F104" s="5" t="inlineStr">
        <is>
          <t>HOT WHEELS CASE GARAGE RUEDA METAL EN LLAMAS X 29</t>
        </is>
      </c>
      <c r="G104" t="n">
        <v>1</v>
      </c>
      <c r="H104" s="7" t="n">
        <v>69.90000000000001</v>
      </c>
      <c r="I104" s="7" t="n">
        <v>0</v>
      </c>
      <c r="J104" s="7" t="n">
        <v>0</v>
      </c>
      <c r="K104" s="9" t="n">
        <v>0</v>
      </c>
      <c r="L104" s="10" t="n">
        <v>41.47</v>
      </c>
      <c r="M104" s="10" t="n">
        <v>1.43</v>
      </c>
      <c r="N104" t="inlineStr">
        <is>
          <t>1</t>
        </is>
      </c>
      <c r="O104" t="inlineStr">
        <is>
          <t>16</t>
        </is>
      </c>
      <c r="P104" t="inlineStr">
        <is>
          <t xml:space="preserve">61602   </t>
        </is>
      </c>
      <c r="Q104" s="26" t="n">
        <v>69.90000000000001</v>
      </c>
      <c r="R104" s="26">
        <f>Q104*G104</f>
        <v/>
      </c>
      <c r="S104" t="n">
        <v>41.47</v>
      </c>
      <c r="T104" s="18">
        <f>1 - V104/S104</f>
        <v/>
      </c>
      <c r="U104" s="18" t="n">
        <v>0</v>
      </c>
      <c r="V104" s="26" t="n">
        <v>41.47</v>
      </c>
      <c r="W104" s="26">
        <f>V104 - L104</f>
        <v/>
      </c>
    </row>
    <row r="105">
      <c r="A105" s="11" t="n">
        <v>46205</v>
      </c>
      <c r="B105" s="1" t="n">
        <v>20040</v>
      </c>
      <c r="C105" s="1" t="inlineStr">
        <is>
          <t>072</t>
        </is>
      </c>
      <c r="D105" s="1" t="inlineStr">
        <is>
          <t>250807</t>
        </is>
      </c>
      <c r="E105" s="1" t="inlineStr">
        <is>
          <t xml:space="preserve">35685067       </t>
        </is>
      </c>
      <c r="F105" s="5" t="inlineStr">
        <is>
          <t>HOT WHEELS POWER SET 3 EN 1</t>
        </is>
      </c>
      <c r="G105" t="n">
        <v>1</v>
      </c>
      <c r="H105" s="7" t="n">
        <v>49.9</v>
      </c>
      <c r="I105" s="7" t="n">
        <v>0</v>
      </c>
      <c r="J105" s="7" t="n">
        <v>0</v>
      </c>
      <c r="K105" s="9" t="n">
        <v>0</v>
      </c>
      <c r="L105" s="10" t="n">
        <v>29.6</v>
      </c>
      <c r="M105" s="10" t="n">
        <v>1.43</v>
      </c>
      <c r="N105" t="inlineStr">
        <is>
          <t>1</t>
        </is>
      </c>
      <c r="O105" t="inlineStr">
        <is>
          <t>16</t>
        </is>
      </c>
      <c r="P105" t="inlineStr">
        <is>
          <t xml:space="preserve">61602   </t>
        </is>
      </c>
      <c r="Q105" s="26" t="n">
        <v>49.9</v>
      </c>
      <c r="R105" s="26">
        <f>Q105*G105</f>
        <v/>
      </c>
      <c r="S105" t="n">
        <v>29.6</v>
      </c>
      <c r="T105" s="18">
        <f>1 - V105/S105</f>
        <v/>
      </c>
      <c r="U105" s="18" t="n">
        <v>0</v>
      </c>
      <c r="V105" s="26" t="n">
        <v>29.6</v>
      </c>
      <c r="W105" s="26">
        <f>V105 - L105</f>
        <v/>
      </c>
    </row>
    <row r="106">
      <c r="A106" s="11" t="n">
        <v>46205</v>
      </c>
      <c r="B106" s="1" t="n">
        <v>20040</v>
      </c>
      <c r="C106" s="1" t="inlineStr">
        <is>
          <t>083</t>
        </is>
      </c>
      <c r="D106" s="1" t="inlineStr">
        <is>
          <t>158907</t>
        </is>
      </c>
      <c r="E106" s="1" t="inlineStr">
        <is>
          <t xml:space="preserve">28194780       </t>
        </is>
      </c>
      <c r="F106" s="5" t="inlineStr">
        <is>
          <t>TROMPO BATALLA INFINITY NADO PLSTICO SURTIDO</t>
        </is>
      </c>
      <c r="G106" t="n">
        <v>1</v>
      </c>
      <c r="H106" s="7" t="n">
        <v>19.9</v>
      </c>
      <c r="I106" s="7" t="n">
        <v>0</v>
      </c>
      <c r="J106" s="7" t="n">
        <v>0</v>
      </c>
      <c r="K106" s="9" t="n">
        <v>0</v>
      </c>
      <c r="L106" s="10" t="n">
        <v>11.8</v>
      </c>
      <c r="M106" s="10" t="n">
        <v>1.43</v>
      </c>
      <c r="N106" t="inlineStr">
        <is>
          <t>1</t>
        </is>
      </c>
      <c r="O106" t="inlineStr">
        <is>
          <t>16</t>
        </is>
      </c>
      <c r="P106" t="inlineStr">
        <is>
          <t xml:space="preserve">248842  </t>
        </is>
      </c>
      <c r="Q106" s="26" t="n">
        <v>19.9</v>
      </c>
      <c r="R106" s="26">
        <f>Q106*G106</f>
        <v/>
      </c>
      <c r="S106" t="n">
        <v>11.81</v>
      </c>
      <c r="T106" s="18">
        <f>1 - V106/S106</f>
        <v/>
      </c>
      <c r="U106" s="18" t="n">
        <v>0</v>
      </c>
      <c r="V106" s="26" t="n">
        <v>11.81</v>
      </c>
      <c r="W106" s="26">
        <f>V106 - L106</f>
        <v/>
      </c>
    </row>
    <row r="107">
      <c r="A107" s="11" t="n">
        <v>46205</v>
      </c>
      <c r="B107" s="1" t="n">
        <v>20040</v>
      </c>
      <c r="C107" s="1" t="inlineStr">
        <is>
          <t>190</t>
        </is>
      </c>
      <c r="D107" s="1" t="inlineStr">
        <is>
          <t>367445</t>
        </is>
      </c>
      <c r="E107" s="1" t="inlineStr">
        <is>
          <t xml:space="preserve">30232284       </t>
        </is>
      </c>
      <c r="F107" s="5" t="inlineStr">
        <is>
          <t>INFINITY NADO TROMPO DE BATALLA - METAL C/PUNTA DE</t>
        </is>
      </c>
      <c r="G107" t="n">
        <v>1</v>
      </c>
      <c r="H107" s="7" t="n">
        <v>49.9</v>
      </c>
      <c r="I107" s="7" t="n">
        <v>0</v>
      </c>
      <c r="J107" s="7" t="n">
        <v>0</v>
      </c>
      <c r="K107" s="9" t="n">
        <v>0</v>
      </c>
      <c r="L107" s="10" t="n">
        <v>29.6</v>
      </c>
      <c r="M107" s="10" t="n">
        <v>1.43</v>
      </c>
      <c r="N107" t="inlineStr">
        <is>
          <t>1</t>
        </is>
      </c>
      <c r="O107" t="inlineStr">
        <is>
          <t>16</t>
        </is>
      </c>
      <c r="P107" t="inlineStr">
        <is>
          <t xml:space="preserve">250039  </t>
        </is>
      </c>
      <c r="Q107" s="26" t="n">
        <v>49.9</v>
      </c>
      <c r="R107" s="26">
        <f>Q107*G107</f>
        <v/>
      </c>
      <c r="S107" t="n">
        <v>29.6</v>
      </c>
      <c r="T107" s="18">
        <f>1 - V107/S107</f>
        <v/>
      </c>
      <c r="U107" s="18" t="n">
        <v>0.3006012024048096</v>
      </c>
      <c r="V107" s="26" t="n">
        <v>22.18220338983051</v>
      </c>
      <c r="W107" s="26">
        <f>V107 - L107</f>
        <v/>
      </c>
    </row>
    <row r="108">
      <c r="A108" s="11" t="n">
        <v>46205</v>
      </c>
      <c r="B108" s="1" t="n">
        <v>20040</v>
      </c>
      <c r="C108" s="1" t="inlineStr">
        <is>
          <t>190</t>
        </is>
      </c>
      <c r="D108" s="1" t="inlineStr">
        <is>
          <t>367472</t>
        </is>
      </c>
      <c r="E108" s="1" t="inlineStr">
        <is>
          <t xml:space="preserve">28194768       </t>
        </is>
      </c>
      <c r="F108" s="5" t="inlineStr">
        <is>
          <t>AUTO COLOR CHANGE TEAMSTERZ SURTIDO</t>
        </is>
      </c>
      <c r="G108" t="n">
        <v>1</v>
      </c>
      <c r="H108" s="7" t="n">
        <v>14.9</v>
      </c>
      <c r="I108" s="7" t="n">
        <v>0</v>
      </c>
      <c r="J108" s="7" t="n">
        <v>0</v>
      </c>
      <c r="K108" s="9" t="n">
        <v>0</v>
      </c>
      <c r="L108" s="10" t="n">
        <v>8.84</v>
      </c>
      <c r="M108" s="10" t="n">
        <v>1.43</v>
      </c>
      <c r="N108" t="inlineStr">
        <is>
          <t>1</t>
        </is>
      </c>
      <c r="O108" t="inlineStr">
        <is>
          <t>16</t>
        </is>
      </c>
      <c r="P108" t="inlineStr">
        <is>
          <t xml:space="preserve">243237  </t>
        </is>
      </c>
      <c r="Q108" s="26" t="n">
        <v>14.9</v>
      </c>
      <c r="R108" s="26">
        <f>Q108*G108</f>
        <v/>
      </c>
      <c r="S108" t="n">
        <v>8.84</v>
      </c>
      <c r="T108" s="18">
        <f>1 - V108/S108</f>
        <v/>
      </c>
      <c r="U108" s="18" t="n">
        <v>0</v>
      </c>
      <c r="V108" s="26" t="n">
        <v>8.84</v>
      </c>
      <c r="W108" s="26">
        <f>V108 - L108</f>
        <v/>
      </c>
    </row>
    <row r="109">
      <c r="A109" s="11" t="n">
        <v>46205</v>
      </c>
      <c r="B109" s="1" t="n">
        <v>20040</v>
      </c>
      <c r="C109" s="1" t="inlineStr">
        <is>
          <t>832</t>
        </is>
      </c>
      <c r="D109" s="1" t="inlineStr">
        <is>
          <t xml:space="preserve">2751  </t>
        </is>
      </c>
      <c r="E109" s="1" t="inlineStr">
        <is>
          <t xml:space="preserve">32457099       </t>
        </is>
      </c>
      <c r="F109" s="5" t="inlineStr">
        <is>
          <t>TMZ BEAST MACHINES MONSTER JAWS A FRICCION BLISTER</t>
        </is>
      </c>
      <c r="G109" t="n">
        <v>1</v>
      </c>
      <c r="H109" s="7" t="n">
        <v>19.9</v>
      </c>
      <c r="I109" s="7" t="n">
        <v>0</v>
      </c>
      <c r="J109" s="7" t="n">
        <v>0</v>
      </c>
      <c r="K109" s="9" t="n">
        <v>0</v>
      </c>
      <c r="L109" s="10" t="n">
        <v>11.8</v>
      </c>
      <c r="M109" s="10" t="n">
        <v>1.43</v>
      </c>
      <c r="N109" t="inlineStr">
        <is>
          <t>1</t>
        </is>
      </c>
      <c r="O109" t="inlineStr">
        <is>
          <t>16</t>
        </is>
      </c>
      <c r="P109" t="inlineStr">
        <is>
          <t xml:space="preserve">0       </t>
        </is>
      </c>
      <c r="Q109" s="26" t="n">
        <v>19.9</v>
      </c>
      <c r="R109" s="26">
        <f>Q109*G109</f>
        <v/>
      </c>
      <c r="S109" t="n">
        <v>11.81</v>
      </c>
      <c r="T109" s="18">
        <f>1 - V109/S109</f>
        <v/>
      </c>
      <c r="U109" s="18" t="n">
        <v>0.1005025125628141</v>
      </c>
      <c r="V109" s="26" t="n">
        <v>8.417118644067797</v>
      </c>
      <c r="W109" s="26">
        <f>V109 - L109</f>
        <v/>
      </c>
    </row>
    <row r="110">
      <c r="A110" s="11" t="n">
        <v>46205</v>
      </c>
      <c r="B110" s="1" t="n">
        <v>20041</v>
      </c>
      <c r="C110" s="1" t="inlineStr">
        <is>
          <t>016</t>
        </is>
      </c>
      <c r="D110" s="1" t="inlineStr">
        <is>
          <t>214428</t>
        </is>
      </c>
      <c r="E110" s="1" t="inlineStr">
        <is>
          <t xml:space="preserve">28194770       </t>
        </is>
      </c>
      <c r="F110" s="5" t="inlineStr">
        <is>
          <t>AUTOS DE METAL 3 TEAMSTERZ EN BLISTER</t>
        </is>
      </c>
      <c r="G110" t="n">
        <v>1</v>
      </c>
      <c r="H110" s="7" t="n">
        <v>6.9</v>
      </c>
      <c r="I110" s="7" t="n">
        <v>0</v>
      </c>
      <c r="J110" s="7" t="n">
        <v>0</v>
      </c>
      <c r="K110" s="9" t="n">
        <v>0</v>
      </c>
      <c r="L110" s="10" t="n">
        <v>4.1</v>
      </c>
      <c r="M110" s="10" t="n">
        <v>1.43</v>
      </c>
      <c r="N110" t="inlineStr">
        <is>
          <t>1</t>
        </is>
      </c>
      <c r="O110" t="inlineStr">
        <is>
          <t xml:space="preserve">2 </t>
        </is>
      </c>
      <c r="P110" t="inlineStr">
        <is>
          <t xml:space="preserve">91630   </t>
        </is>
      </c>
      <c r="Q110" s="26" t="n">
        <v>6.9</v>
      </c>
      <c r="R110" s="26">
        <f>Q110*G110</f>
        <v/>
      </c>
      <c r="S110" t="n">
        <v>4.09</v>
      </c>
      <c r="T110" s="18">
        <f>1 - V110/S110</f>
        <v/>
      </c>
      <c r="U110" s="18" t="n">
        <v>0</v>
      </c>
      <c r="V110" s="26" t="n">
        <v>4.09</v>
      </c>
      <c r="W110" s="26">
        <f>V110 - L110</f>
        <v/>
      </c>
    </row>
    <row r="111">
      <c r="A111" s="11" t="n">
        <v>46205</v>
      </c>
      <c r="B111" s="1" t="n">
        <v>20041</v>
      </c>
      <c r="C111" s="1" t="inlineStr">
        <is>
          <t>016</t>
        </is>
      </c>
      <c r="D111" s="1" t="inlineStr">
        <is>
          <t>214464</t>
        </is>
      </c>
      <c r="E111" s="1" t="inlineStr">
        <is>
          <t xml:space="preserve">32656410       </t>
        </is>
      </c>
      <c r="F111" s="5" t="inlineStr">
        <is>
          <t>VIP PETS S5 GEMAS DE GLAMOUR SURTIDO</t>
        </is>
      </c>
      <c r="G111" t="n">
        <v>1</v>
      </c>
      <c r="H111" s="7" t="n">
        <v>69.90000000000001</v>
      </c>
      <c r="I111" s="7" t="n">
        <v>0</v>
      </c>
      <c r="J111" s="7" t="n">
        <v>0</v>
      </c>
      <c r="K111" s="9" t="n">
        <v>0</v>
      </c>
      <c r="L111" s="10" t="n">
        <v>41.47</v>
      </c>
      <c r="M111" s="10" t="n">
        <v>1.43</v>
      </c>
      <c r="N111" t="inlineStr">
        <is>
          <t>1</t>
        </is>
      </c>
      <c r="O111" t="inlineStr">
        <is>
          <t xml:space="preserve">3 </t>
        </is>
      </c>
      <c r="P111" t="inlineStr">
        <is>
          <t xml:space="preserve">91630   </t>
        </is>
      </c>
      <c r="Q111" s="26" t="n">
        <v>69.90000000000001</v>
      </c>
      <c r="R111" s="26">
        <f>Q111*G111</f>
        <v/>
      </c>
      <c r="S111" t="n">
        <v>41.47</v>
      </c>
      <c r="T111" s="18">
        <f>1 - V111/S111</f>
        <v/>
      </c>
      <c r="U111" s="18" t="n">
        <v>0.4000000000000001</v>
      </c>
      <c r="V111" s="26" t="n">
        <v>30.21389830508475</v>
      </c>
      <c r="W111" s="26">
        <f>V111 - L111</f>
        <v/>
      </c>
    </row>
    <row r="112">
      <c r="A112" s="11" t="n">
        <v>46205</v>
      </c>
      <c r="B112" s="1" t="n">
        <v>20041</v>
      </c>
      <c r="C112" s="1" t="inlineStr">
        <is>
          <t>016</t>
        </is>
      </c>
      <c r="D112" s="1" t="inlineStr">
        <is>
          <t>214464</t>
        </is>
      </c>
      <c r="E112" s="1" t="inlineStr">
        <is>
          <t xml:space="preserve">32656410       </t>
        </is>
      </c>
      <c r="F112" s="5" t="inlineStr">
        <is>
          <t>VIP PETS S5 GEMAS DE GLAMOUR SURTIDO</t>
        </is>
      </c>
      <c r="G112" t="n">
        <v>1</v>
      </c>
      <c r="H112" s="7" t="n">
        <v>69.90000000000001</v>
      </c>
      <c r="I112" s="7" t="n">
        <v>0</v>
      </c>
      <c r="J112" s="7" t="n">
        <v>0</v>
      </c>
      <c r="K112" s="9" t="n">
        <v>0</v>
      </c>
      <c r="L112" s="10" t="n">
        <v>41.47</v>
      </c>
      <c r="M112" s="10" t="n">
        <v>1.43</v>
      </c>
      <c r="N112" t="inlineStr">
        <is>
          <t>1</t>
        </is>
      </c>
      <c r="O112" t="inlineStr">
        <is>
          <t xml:space="preserve">3 </t>
        </is>
      </c>
      <c r="P112" t="inlineStr">
        <is>
          <t xml:space="preserve">91630   </t>
        </is>
      </c>
      <c r="Q112" s="26" t="n">
        <v>69.90000000000001</v>
      </c>
      <c r="R112" s="26">
        <f>Q112*G112</f>
        <v/>
      </c>
      <c r="S112" t="n">
        <v>41.47</v>
      </c>
      <c r="T112" s="18">
        <f>1 - V112/S112</f>
        <v/>
      </c>
      <c r="U112" s="18" t="n">
        <v>0.4000000000000001</v>
      </c>
      <c r="V112" s="26" t="n">
        <v>30.21389830508475</v>
      </c>
      <c r="W112" s="26">
        <f>V112 - L112</f>
        <v/>
      </c>
    </row>
    <row r="113">
      <c r="A113" s="11" t="n">
        <v>46205</v>
      </c>
      <c r="B113" s="1" t="n">
        <v>20041</v>
      </c>
      <c r="C113" s="1" t="inlineStr">
        <is>
          <t>043</t>
        </is>
      </c>
      <c r="D113" s="1" t="inlineStr">
        <is>
          <t xml:space="preserve">75529 </t>
        </is>
      </c>
      <c r="E113" s="1" t="inlineStr">
        <is>
          <t xml:space="preserve">28194770       </t>
        </is>
      </c>
      <c r="F113" s="5" t="inlineStr">
        <is>
          <t>AUTOS DE METAL 3 TEAMSTERZ EN BLISTER</t>
        </is>
      </c>
      <c r="G113" t="n">
        <v>1</v>
      </c>
      <c r="H113" s="7" t="n">
        <v>6.9</v>
      </c>
      <c r="I113" s="7" t="n">
        <v>0</v>
      </c>
      <c r="J113" s="7" t="n">
        <v>0</v>
      </c>
      <c r="K113" s="9" t="n">
        <v>0</v>
      </c>
      <c r="L113" s="10" t="n">
        <v>4.1</v>
      </c>
      <c r="M113" s="10" t="n">
        <v>1.43</v>
      </c>
      <c r="N113" t="inlineStr">
        <is>
          <t>1</t>
        </is>
      </c>
      <c r="O113" t="inlineStr">
        <is>
          <t xml:space="preserve">2 </t>
        </is>
      </c>
      <c r="P113" t="inlineStr">
        <is>
          <t xml:space="preserve">243698  </t>
        </is>
      </c>
      <c r="Q113" s="26" t="n">
        <v>6.9</v>
      </c>
      <c r="R113" s="26">
        <f>Q113*G113</f>
        <v/>
      </c>
      <c r="S113" t="n">
        <v>4.09</v>
      </c>
      <c r="T113" s="18">
        <f>1 - V113/S113</f>
        <v/>
      </c>
      <c r="U113" s="18" t="n">
        <v>0</v>
      </c>
      <c r="V113" s="26" t="n">
        <v>4.09</v>
      </c>
      <c r="W113" s="26">
        <f>V113 - L113</f>
        <v/>
      </c>
    </row>
    <row r="114">
      <c r="A114" s="11" t="n">
        <v>46205</v>
      </c>
      <c r="B114" s="1" t="n">
        <v>20043</v>
      </c>
      <c r="C114" s="1" t="inlineStr">
        <is>
          <t>051</t>
        </is>
      </c>
      <c r="D114" s="1" t="inlineStr">
        <is>
          <t>105381</t>
        </is>
      </c>
      <c r="E114" s="1" t="inlineStr">
        <is>
          <t xml:space="preserve">28194783       </t>
        </is>
      </c>
      <c r="F114" s="5" t="inlineStr">
        <is>
          <t>SET DE BATALLA INFINITY NADO CON 2 TROMPOS</t>
        </is>
      </c>
      <c r="G114" t="n">
        <v>1</v>
      </c>
      <c r="H114" s="7" t="n">
        <v>159</v>
      </c>
      <c r="I114" s="7" t="n">
        <v>0</v>
      </c>
      <c r="J114" s="7" t="n">
        <v>0</v>
      </c>
      <c r="K114" s="9" t="n">
        <v>0</v>
      </c>
      <c r="L114" s="10" t="n">
        <v>94.33</v>
      </c>
      <c r="M114" s="10" t="n">
        <v>1.43</v>
      </c>
      <c r="N114" t="inlineStr">
        <is>
          <t>1</t>
        </is>
      </c>
      <c r="O114" t="inlineStr">
        <is>
          <t xml:space="preserve">2 </t>
        </is>
      </c>
      <c r="P114" t="inlineStr">
        <is>
          <t xml:space="preserve">244243  </t>
        </is>
      </c>
      <c r="Q114" s="26" t="n">
        <v>159</v>
      </c>
      <c r="R114" s="26">
        <f>Q114*G114</f>
        <v/>
      </c>
      <c r="S114" t="n">
        <v>94.31999999999999</v>
      </c>
      <c r="T114" s="18">
        <f>1 - V114/S114</f>
        <v/>
      </c>
      <c r="U114" s="18" t="n">
        <v>0.1886792452830188</v>
      </c>
      <c r="V114" s="26" t="n">
        <v>81.99152542372882</v>
      </c>
      <c r="W114" s="26">
        <f>V114 - L114</f>
        <v/>
      </c>
    </row>
    <row r="115">
      <c r="A115" s="11" t="n">
        <v>46205</v>
      </c>
      <c r="B115" s="1" t="n">
        <v>20043</v>
      </c>
      <c r="C115" s="1" t="inlineStr">
        <is>
          <t>051</t>
        </is>
      </c>
      <c r="D115" s="1" t="inlineStr">
        <is>
          <t>105399</t>
        </is>
      </c>
      <c r="E115" s="1" t="inlineStr">
        <is>
          <t xml:space="preserve">28194770       </t>
        </is>
      </c>
      <c r="F115" s="5" t="inlineStr">
        <is>
          <t>AUTOS DE METAL 3 TEAMSTERZ EN BLISTER</t>
        </is>
      </c>
      <c r="G115" t="n">
        <v>1</v>
      </c>
      <c r="H115" s="7" t="n">
        <v>6.9</v>
      </c>
      <c r="I115" s="7" t="n">
        <v>0</v>
      </c>
      <c r="J115" s="7" t="n">
        <v>0</v>
      </c>
      <c r="K115" s="9" t="n">
        <v>0</v>
      </c>
      <c r="L115" s="10" t="n">
        <v>4.1</v>
      </c>
      <c r="M115" s="10" t="n">
        <v>1.43</v>
      </c>
      <c r="N115" t="inlineStr">
        <is>
          <t>1</t>
        </is>
      </c>
      <c r="O115" t="inlineStr">
        <is>
          <t>16</t>
        </is>
      </c>
      <c r="P115" t="inlineStr">
        <is>
          <t xml:space="preserve">244243  </t>
        </is>
      </c>
      <c r="Q115" s="26" t="n">
        <v>6.9</v>
      </c>
      <c r="R115" s="26">
        <f>Q115*G115</f>
        <v/>
      </c>
      <c r="S115" t="n">
        <v>4.09</v>
      </c>
      <c r="T115" s="18">
        <f>1 - V115/S115</f>
        <v/>
      </c>
      <c r="U115" s="18" t="n">
        <v>0</v>
      </c>
      <c r="V115" s="26" t="n">
        <v>4.09</v>
      </c>
      <c r="W115" s="26">
        <f>V115 - L115</f>
        <v/>
      </c>
    </row>
    <row r="116">
      <c r="A116" s="11" t="n">
        <v>46205</v>
      </c>
      <c r="B116" s="1" t="n">
        <v>20048</v>
      </c>
      <c r="C116" s="1" t="inlineStr">
        <is>
          <t>013</t>
        </is>
      </c>
      <c r="D116" s="1" t="inlineStr">
        <is>
          <t>223765</t>
        </is>
      </c>
      <c r="E116" s="1" t="inlineStr">
        <is>
          <t xml:space="preserve">34840534       </t>
        </is>
      </c>
      <c r="F116" s="5" t="inlineStr">
        <is>
          <t>PINYPON TENEBROSA SERIE 14 CDU 24X2</t>
        </is>
      </c>
      <c r="G116" t="n">
        <v>1</v>
      </c>
      <c r="H116" s="7" t="n">
        <v>17.9</v>
      </c>
      <c r="I116" s="7" t="n">
        <v>0</v>
      </c>
      <c r="J116" s="7" t="n">
        <v>0</v>
      </c>
      <c r="K116" s="9" t="n">
        <v>0</v>
      </c>
      <c r="L116" s="10" t="n">
        <v>10.62</v>
      </c>
      <c r="M116" s="10" t="n">
        <v>1.43</v>
      </c>
      <c r="N116" t="inlineStr">
        <is>
          <t>1</t>
        </is>
      </c>
      <c r="O116" t="inlineStr">
        <is>
          <t xml:space="preserve">2 </t>
        </is>
      </c>
      <c r="P116" t="inlineStr">
        <is>
          <t xml:space="preserve">45117   </t>
        </is>
      </c>
      <c r="Q116" s="26" t="n">
        <v>17.9</v>
      </c>
      <c r="R116" s="26">
        <f>Q116*G116</f>
        <v/>
      </c>
      <c r="S116" t="n">
        <v>10.62</v>
      </c>
      <c r="T116" s="18">
        <f>1 - V116/S116</f>
        <v/>
      </c>
      <c r="U116" s="18" t="n">
        <v>0.3999999999999999</v>
      </c>
      <c r="V116" s="26" t="n">
        <v>7.281355932203391</v>
      </c>
      <c r="W116" s="26">
        <f>V116 - L116</f>
        <v/>
      </c>
    </row>
    <row r="117">
      <c r="A117" s="11" t="n">
        <v>46205</v>
      </c>
      <c r="B117" s="1" t="n">
        <v>20048</v>
      </c>
      <c r="C117" s="1" t="inlineStr">
        <is>
          <t>800</t>
        </is>
      </c>
      <c r="D117" s="1" t="inlineStr">
        <is>
          <t xml:space="preserve">3285  </t>
        </is>
      </c>
      <c r="E117" s="1" t="inlineStr">
        <is>
          <t xml:space="preserve">32457099       </t>
        </is>
      </c>
      <c r="F117" s="5" t="inlineStr">
        <is>
          <t>TMZ BEAST MACHINES MONSTER JAWS A FRICCION BLISTER</t>
        </is>
      </c>
      <c r="G117" t="n">
        <v>1</v>
      </c>
      <c r="H117" s="7" t="n">
        <v>19.9</v>
      </c>
      <c r="I117" s="7" t="n">
        <v>0</v>
      </c>
      <c r="J117" s="7" t="n">
        <v>0</v>
      </c>
      <c r="K117" s="9" t="n">
        <v>0</v>
      </c>
      <c r="L117" s="10" t="n">
        <v>11.8</v>
      </c>
      <c r="M117" s="10" t="n">
        <v>1.43</v>
      </c>
      <c r="N117" t="inlineStr">
        <is>
          <t>1</t>
        </is>
      </c>
      <c r="O117" t="inlineStr">
        <is>
          <t>16</t>
        </is>
      </c>
      <c r="P117" t="inlineStr">
        <is>
          <t xml:space="preserve">234984  </t>
        </is>
      </c>
      <c r="Q117" s="26" t="n">
        <v>19.9</v>
      </c>
      <c r="R117" s="26">
        <f>Q117*G117</f>
        <v/>
      </c>
      <c r="S117" t="n">
        <v>11.81</v>
      </c>
      <c r="T117" s="18">
        <f>1 - V117/S117</f>
        <v/>
      </c>
      <c r="U117" s="18" t="n">
        <v>0.1005025125628141</v>
      </c>
      <c r="V117" s="26" t="n">
        <v>8.417118644067797</v>
      </c>
      <c r="W117" s="26">
        <f>V117 - L117</f>
        <v/>
      </c>
    </row>
    <row r="118">
      <c r="A118" s="11" t="n">
        <v>46205</v>
      </c>
      <c r="B118" s="1" t="n">
        <v>20048</v>
      </c>
      <c r="C118" s="1" t="inlineStr">
        <is>
          <t>800</t>
        </is>
      </c>
      <c r="D118" s="1" t="inlineStr">
        <is>
          <t xml:space="preserve">3350  </t>
        </is>
      </c>
      <c r="E118" s="1" t="inlineStr">
        <is>
          <t xml:space="preserve">29235700       </t>
        </is>
      </c>
      <c r="F118" s="5" t="inlineStr">
        <is>
          <t>HOT WHEELS CASE METALICO PARA GUARDAR 18 CARRITOS</t>
        </is>
      </c>
      <c r="G118" t="n">
        <v>1</v>
      </c>
      <c r="H118" s="7" t="n">
        <v>49.9</v>
      </c>
      <c r="I118" s="7" t="n">
        <v>0</v>
      </c>
      <c r="J118" s="7" t="n">
        <v>0</v>
      </c>
      <c r="K118" s="9" t="n">
        <v>0</v>
      </c>
      <c r="L118" s="10" t="n">
        <v>29.6</v>
      </c>
      <c r="M118" s="10" t="n">
        <v>1.43</v>
      </c>
      <c r="N118" t="inlineStr">
        <is>
          <t>1</t>
        </is>
      </c>
      <c r="O118" t="inlineStr">
        <is>
          <t>16</t>
        </is>
      </c>
      <c r="P118" t="inlineStr">
        <is>
          <t xml:space="preserve">234984  </t>
        </is>
      </c>
      <c r="Q118" s="26" t="n">
        <v>49.90000000000001</v>
      </c>
      <c r="R118" s="26">
        <f>Q118*G118</f>
        <v/>
      </c>
      <c r="S118" t="n">
        <v>29.6</v>
      </c>
      <c r="T118" s="18">
        <f>1 - V118/S118</f>
        <v/>
      </c>
      <c r="U118" s="18" t="n">
        <v>0</v>
      </c>
      <c r="V118" s="26" t="n">
        <v>29.6</v>
      </c>
      <c r="W118" s="26">
        <f>V118 - L118</f>
        <v/>
      </c>
    </row>
    <row r="119">
      <c r="A119" s="11" t="n">
        <v>46205</v>
      </c>
      <c r="B119" s="1" t="n">
        <v>20048</v>
      </c>
      <c r="C119" s="1" t="inlineStr">
        <is>
          <t>801</t>
        </is>
      </c>
      <c r="D119" s="1" t="inlineStr">
        <is>
          <t xml:space="preserve">5692  </t>
        </is>
      </c>
      <c r="E119" s="1" t="inlineStr">
        <is>
          <t xml:space="preserve">31754676       </t>
        </is>
      </c>
      <c r="F119" s="5" t="inlineStr">
        <is>
          <t>INFINITY NADO SERIE 6 STD PACK LANZ ESPAD ANILLO M</t>
        </is>
      </c>
      <c r="G119" t="n">
        <v>1</v>
      </c>
      <c r="H119" s="7" t="n">
        <v>79.90000000000001</v>
      </c>
      <c r="I119" s="7" t="n">
        <v>0</v>
      </c>
      <c r="J119" s="7" t="n">
        <v>0</v>
      </c>
      <c r="K119" s="9" t="n">
        <v>0</v>
      </c>
      <c r="L119" s="10" t="n">
        <v>47.4</v>
      </c>
      <c r="M119" s="10" t="n">
        <v>1.43</v>
      </c>
      <c r="N119" t="inlineStr">
        <is>
          <t>1</t>
        </is>
      </c>
      <c r="O119" t="inlineStr">
        <is>
          <t>16</t>
        </is>
      </c>
      <c r="P119" t="inlineStr">
        <is>
          <t xml:space="preserve">234984  </t>
        </is>
      </c>
      <c r="Q119" s="26" t="n">
        <v>79.90000000000001</v>
      </c>
      <c r="R119" s="26">
        <f>Q119*G119</f>
        <v/>
      </c>
      <c r="S119" t="n">
        <v>47.4</v>
      </c>
      <c r="T119" s="18">
        <f>1 - V119/S119</f>
        <v/>
      </c>
      <c r="U119" s="18" t="n">
        <v>0.2503128911138924</v>
      </c>
      <c r="V119" s="26" t="n">
        <v>38.07203389830509</v>
      </c>
      <c r="W119" s="26">
        <f>V119 - L119</f>
        <v/>
      </c>
    </row>
    <row r="120">
      <c r="A120" s="11" t="n">
        <v>46205</v>
      </c>
      <c r="B120" s="1" t="n">
        <v>20048</v>
      </c>
      <c r="C120" s="1" t="inlineStr">
        <is>
          <t>801</t>
        </is>
      </c>
      <c r="D120" s="1" t="inlineStr">
        <is>
          <t xml:space="preserve">5696  </t>
        </is>
      </c>
      <c r="E120" s="1" t="inlineStr">
        <is>
          <t xml:space="preserve">34840550       </t>
        </is>
      </c>
      <c r="F120" s="5" t="inlineStr">
        <is>
          <t>TEAMSTERZ M/MOVERZ TRANSPORTA GORILA</t>
        </is>
      </c>
      <c r="G120" t="n">
        <v>1</v>
      </c>
      <c r="H120" s="7" t="n">
        <v>129</v>
      </c>
      <c r="I120" s="7" t="n">
        <v>0</v>
      </c>
      <c r="J120" s="7" t="n">
        <v>0</v>
      </c>
      <c r="K120" s="9" t="n">
        <v>0</v>
      </c>
      <c r="L120" s="10" t="n">
        <v>76.52</v>
      </c>
      <c r="M120" s="10" t="n">
        <v>1.43</v>
      </c>
      <c r="N120" t="inlineStr">
        <is>
          <t>1</t>
        </is>
      </c>
      <c r="O120" t="inlineStr">
        <is>
          <t>16</t>
        </is>
      </c>
      <c r="P120" t="inlineStr">
        <is>
          <t xml:space="preserve">234984  </t>
        </is>
      </c>
      <c r="Q120" s="26" t="n">
        <v>129</v>
      </c>
      <c r="R120" s="26">
        <f>Q120*G120</f>
        <v/>
      </c>
      <c r="S120" t="n">
        <v>76.53</v>
      </c>
      <c r="T120" s="18">
        <f>1 - V120/S120</f>
        <v/>
      </c>
      <c r="U120" s="18" t="n">
        <v>0</v>
      </c>
      <c r="V120" s="26" t="n">
        <v>76.53</v>
      </c>
      <c r="W120" s="26">
        <f>V120 - L120</f>
        <v/>
      </c>
    </row>
    <row r="121">
      <c r="A121" s="11" t="n">
        <v>46205</v>
      </c>
      <c r="B121" s="1" t="n">
        <v>20048</v>
      </c>
      <c r="C121" s="1" t="inlineStr">
        <is>
          <t>801</t>
        </is>
      </c>
      <c r="D121" s="1" t="inlineStr">
        <is>
          <t xml:space="preserve">5696  </t>
        </is>
      </c>
      <c r="E121" s="1" t="inlineStr">
        <is>
          <t xml:space="preserve">34840553       </t>
        </is>
      </c>
      <c r="F121" s="5" t="inlineStr">
        <is>
          <t>TMZ AUTO LUZ Y SONIDO ESQUELET DINO T-REX</t>
        </is>
      </c>
      <c r="G121" t="n">
        <v>1</v>
      </c>
      <c r="H121" s="7" t="n">
        <v>79.90000000000001</v>
      </c>
      <c r="I121" s="7" t="n">
        <v>0</v>
      </c>
      <c r="J121" s="7" t="n">
        <v>0</v>
      </c>
      <c r="K121" s="9" t="n">
        <v>0</v>
      </c>
      <c r="L121" s="10" t="n">
        <v>47.4</v>
      </c>
      <c r="M121" s="10" t="n">
        <v>1.43</v>
      </c>
      <c r="N121" t="inlineStr">
        <is>
          <t>1</t>
        </is>
      </c>
      <c r="O121" t="inlineStr">
        <is>
          <t>16</t>
        </is>
      </c>
      <c r="P121" t="inlineStr">
        <is>
          <t xml:space="preserve">234984  </t>
        </is>
      </c>
      <c r="Q121" s="26" t="n">
        <v>79.90000000000002</v>
      </c>
      <c r="R121" s="26">
        <f>Q121*G121</f>
        <v/>
      </c>
      <c r="S121" t="n">
        <v>47.4</v>
      </c>
      <c r="T121" s="18">
        <f>1 - V121/S121</f>
        <v/>
      </c>
      <c r="U121" s="18" t="n">
        <v>0</v>
      </c>
      <c r="V121" s="26" t="n">
        <v>47.4</v>
      </c>
      <c r="W121" s="26">
        <f>V121 - L121</f>
        <v/>
      </c>
    </row>
    <row r="122">
      <c r="A122" s="11" t="n">
        <v>46205</v>
      </c>
      <c r="B122" s="1" t="n">
        <v>20049</v>
      </c>
      <c r="C122" s="1" t="inlineStr">
        <is>
          <t>025</t>
        </is>
      </c>
      <c r="D122" s="1" t="inlineStr">
        <is>
          <t xml:space="preserve">32829 </t>
        </is>
      </c>
      <c r="E122" s="1" t="inlineStr">
        <is>
          <t xml:space="preserve">30141766       </t>
        </is>
      </c>
      <c r="F122" s="5" t="inlineStr">
        <is>
          <t>TMZ BEAST MACHINES AUTOS DE METAL BLISTER X 1</t>
        </is>
      </c>
      <c r="G122" t="n">
        <v>1</v>
      </c>
      <c r="H122" s="7" t="n">
        <v>7.9</v>
      </c>
      <c r="I122" s="7" t="n">
        <v>0</v>
      </c>
      <c r="J122" s="7" t="n">
        <v>0</v>
      </c>
      <c r="K122" s="9" t="n">
        <v>0</v>
      </c>
      <c r="L122" s="10" t="n">
        <v>4.68</v>
      </c>
      <c r="M122" s="10" t="n">
        <v>1.43</v>
      </c>
      <c r="N122" t="inlineStr">
        <is>
          <t>1</t>
        </is>
      </c>
      <c r="O122" t="inlineStr">
        <is>
          <t>16</t>
        </is>
      </c>
      <c r="P122" t="inlineStr">
        <is>
          <t xml:space="preserve">245485  </t>
        </is>
      </c>
      <c r="Q122" s="26" t="n">
        <v>7.9</v>
      </c>
      <c r="R122" s="26">
        <f>Q122*G122</f>
        <v/>
      </c>
      <c r="S122" t="n">
        <v>4.69</v>
      </c>
      <c r="T122" s="18">
        <f>1 - V122/S122</f>
        <v/>
      </c>
      <c r="U122" s="18" t="n">
        <v>0</v>
      </c>
      <c r="V122" s="26" t="n">
        <v>4.69</v>
      </c>
      <c r="W122" s="26">
        <f>V122 - L122</f>
        <v/>
      </c>
    </row>
    <row r="123">
      <c r="A123" s="11" t="n">
        <v>46205</v>
      </c>
      <c r="B123" s="1" t="n">
        <v>20049</v>
      </c>
      <c r="C123" s="1" t="inlineStr">
        <is>
          <t>025</t>
        </is>
      </c>
      <c r="D123" s="1" t="inlineStr">
        <is>
          <t xml:space="preserve">32829 </t>
        </is>
      </c>
      <c r="E123" s="1" t="inlineStr">
        <is>
          <t xml:space="preserve">32457099       </t>
        </is>
      </c>
      <c r="F123" s="5" t="inlineStr">
        <is>
          <t>TMZ BEAST MACHINES MONSTER JAWS A FRICCION BLISTER</t>
        </is>
      </c>
      <c r="G123" t="n">
        <v>1</v>
      </c>
      <c r="H123" s="7" t="n">
        <v>19.9</v>
      </c>
      <c r="I123" s="7" t="n">
        <v>0</v>
      </c>
      <c r="J123" s="7" t="n">
        <v>0</v>
      </c>
      <c r="K123" s="9" t="n">
        <v>0</v>
      </c>
      <c r="L123" s="10" t="n">
        <v>11.8</v>
      </c>
      <c r="M123" s="10" t="n">
        <v>1.43</v>
      </c>
      <c r="N123" t="inlineStr">
        <is>
          <t>1</t>
        </is>
      </c>
      <c r="O123" t="inlineStr">
        <is>
          <t>16</t>
        </is>
      </c>
      <c r="P123" t="inlineStr">
        <is>
          <t xml:space="preserve">245485  </t>
        </is>
      </c>
      <c r="Q123" s="26" t="n">
        <v>19.9</v>
      </c>
      <c r="R123" s="26">
        <f>Q123*G123</f>
        <v/>
      </c>
      <c r="S123" t="n">
        <v>11.81</v>
      </c>
      <c r="T123" s="18">
        <f>1 - V123/S123</f>
        <v/>
      </c>
      <c r="U123" s="18" t="n">
        <v>0.1005025125628141</v>
      </c>
      <c r="V123" s="26" t="n">
        <v>8.417118644067797</v>
      </c>
      <c r="W123" s="26">
        <f>V123 - L123</f>
        <v/>
      </c>
    </row>
    <row r="124">
      <c r="A124" s="11" t="n">
        <v>46205</v>
      </c>
      <c r="B124" s="1" t="n">
        <v>20049</v>
      </c>
      <c r="C124" s="1" t="inlineStr">
        <is>
          <t>031</t>
        </is>
      </c>
      <c r="D124" s="1" t="inlineStr">
        <is>
          <t>120564</t>
        </is>
      </c>
      <c r="E124" s="1" t="inlineStr">
        <is>
          <t xml:space="preserve">28194770       </t>
        </is>
      </c>
      <c r="F124" s="5" t="inlineStr">
        <is>
          <t>AUTOS DE METAL 3 TEAMSTERZ EN BLISTER</t>
        </is>
      </c>
      <c r="G124" t="n">
        <v>1</v>
      </c>
      <c r="H124" s="7" t="n">
        <v>6.9</v>
      </c>
      <c r="I124" s="7" t="n">
        <v>0</v>
      </c>
      <c r="J124" s="7" t="n">
        <v>0</v>
      </c>
      <c r="K124" s="9" t="n">
        <v>0</v>
      </c>
      <c r="L124" s="10" t="n">
        <v>4.1</v>
      </c>
      <c r="M124" s="10" t="n">
        <v>1.43</v>
      </c>
      <c r="N124" t="inlineStr">
        <is>
          <t>1</t>
        </is>
      </c>
      <c r="O124" t="inlineStr">
        <is>
          <t xml:space="preserve">2 </t>
        </is>
      </c>
      <c r="P124" t="inlineStr">
        <is>
          <t xml:space="preserve">108879  </t>
        </is>
      </c>
      <c r="Q124" s="26" t="n">
        <v>6.9</v>
      </c>
      <c r="R124" s="26">
        <f>Q124*G124</f>
        <v/>
      </c>
      <c r="S124" t="n">
        <v>4.09</v>
      </c>
      <c r="T124" s="18">
        <f>1 - V124/S124</f>
        <v/>
      </c>
      <c r="U124" s="18" t="n">
        <v>0</v>
      </c>
      <c r="V124" s="26" t="n">
        <v>4.09</v>
      </c>
      <c r="W124" s="26">
        <f>V124 - L124</f>
        <v/>
      </c>
    </row>
    <row r="125">
      <c r="A125" s="11" t="n">
        <v>46205</v>
      </c>
      <c r="B125" s="1" t="n">
        <v>20049</v>
      </c>
      <c r="C125" s="1" t="inlineStr">
        <is>
          <t>031</t>
        </is>
      </c>
      <c r="D125" s="1" t="inlineStr">
        <is>
          <t>120564</t>
        </is>
      </c>
      <c r="E125" s="1" t="inlineStr">
        <is>
          <t xml:space="preserve">28194770       </t>
        </is>
      </c>
      <c r="F125" s="5" t="inlineStr">
        <is>
          <t>AUTOS DE METAL 3 TEAMSTERZ EN BLISTER</t>
        </is>
      </c>
      <c r="G125" t="n">
        <v>1</v>
      </c>
      <c r="H125" s="7" t="n">
        <v>6.9</v>
      </c>
      <c r="I125" s="7" t="n">
        <v>0</v>
      </c>
      <c r="J125" s="7" t="n">
        <v>0</v>
      </c>
      <c r="K125" s="9" t="n">
        <v>0</v>
      </c>
      <c r="L125" s="10" t="n">
        <v>4.1</v>
      </c>
      <c r="M125" s="10" t="n">
        <v>1.43</v>
      </c>
      <c r="N125" t="inlineStr">
        <is>
          <t>1</t>
        </is>
      </c>
      <c r="O125" t="inlineStr">
        <is>
          <t xml:space="preserve">2 </t>
        </is>
      </c>
      <c r="P125" t="inlineStr">
        <is>
          <t xml:space="preserve">108879  </t>
        </is>
      </c>
      <c r="Q125" s="26" t="n">
        <v>6.9</v>
      </c>
      <c r="R125" s="26">
        <f>Q125*G125</f>
        <v/>
      </c>
      <c r="S125" t="n">
        <v>4.09</v>
      </c>
      <c r="T125" s="18">
        <f>1 - V125/S125</f>
        <v/>
      </c>
      <c r="U125" s="18" t="n">
        <v>0</v>
      </c>
      <c r="V125" s="26" t="n">
        <v>4.09</v>
      </c>
      <c r="W125" s="26">
        <f>V125 - L125</f>
        <v/>
      </c>
    </row>
    <row r="126">
      <c r="A126" s="11" t="n">
        <v>46205</v>
      </c>
      <c r="B126" s="1" t="n">
        <v>20058</v>
      </c>
      <c r="C126" s="1" t="inlineStr">
        <is>
          <t>039</t>
        </is>
      </c>
      <c r="D126" s="1" t="inlineStr">
        <is>
          <t>229154</t>
        </is>
      </c>
      <c r="E126" s="1" t="inlineStr">
        <is>
          <t xml:space="preserve">34840555       </t>
        </is>
      </c>
      <c r="F126" s="5" t="inlineStr">
        <is>
          <t>TMZ BEAST MACH. TRANSPORT TIBURON +ACCS</t>
        </is>
      </c>
      <c r="G126" t="n">
        <v>1</v>
      </c>
      <c r="H126" s="7" t="n">
        <v>79.90000000000001</v>
      </c>
      <c r="I126" s="7" t="n">
        <v>0</v>
      </c>
      <c r="J126" s="7" t="n">
        <v>0</v>
      </c>
      <c r="K126" s="9" t="n">
        <v>0</v>
      </c>
      <c r="L126" s="10" t="n">
        <v>47.4</v>
      </c>
      <c r="M126" s="10" t="n">
        <v>1.43</v>
      </c>
      <c r="N126" t="inlineStr">
        <is>
          <t>1</t>
        </is>
      </c>
      <c r="O126" t="inlineStr">
        <is>
          <t xml:space="preserve">6 </t>
        </is>
      </c>
      <c r="P126" t="inlineStr">
        <is>
          <t xml:space="preserve">246156  </t>
        </is>
      </c>
      <c r="Q126" s="26" t="n">
        <v>79.90000000000002</v>
      </c>
      <c r="R126" s="26">
        <f>Q126*G126</f>
        <v/>
      </c>
      <c r="S126" t="n">
        <v>47.4</v>
      </c>
      <c r="T126" s="18">
        <f>1 - V126/S126</f>
        <v/>
      </c>
      <c r="U126" s="18" t="n">
        <v>0.2503128911138924</v>
      </c>
      <c r="V126" s="26" t="n">
        <v>38.07203389830509</v>
      </c>
      <c r="W126" s="26">
        <f>V126 - L126</f>
        <v/>
      </c>
    </row>
    <row r="127">
      <c r="A127" s="11" t="n">
        <v>46205</v>
      </c>
      <c r="B127" s="1" t="n">
        <v>20062</v>
      </c>
      <c r="C127" s="1" t="inlineStr">
        <is>
          <t>017</t>
        </is>
      </c>
      <c r="D127" s="1" t="inlineStr">
        <is>
          <t>234804</t>
        </is>
      </c>
      <c r="E127" s="1" t="inlineStr">
        <is>
          <t xml:space="preserve">29235700       </t>
        </is>
      </c>
      <c r="F127" s="5" t="inlineStr">
        <is>
          <t>HOT WHEELS CASE METALICO PARA GUARDAR 18 CARRITOS</t>
        </is>
      </c>
      <c r="G127" t="n">
        <v>1</v>
      </c>
      <c r="H127" s="7" t="n">
        <v>49.9</v>
      </c>
      <c r="I127" s="7" t="n">
        <v>0</v>
      </c>
      <c r="J127" s="7" t="n">
        <v>0</v>
      </c>
      <c r="K127" s="9" t="n">
        <v>0</v>
      </c>
      <c r="L127" s="10" t="n">
        <v>29.6</v>
      </c>
      <c r="M127" s="10" t="n">
        <v>1.43</v>
      </c>
      <c r="N127" t="inlineStr">
        <is>
          <t>1</t>
        </is>
      </c>
      <c r="O127" t="inlineStr">
        <is>
          <t xml:space="preserve">3 </t>
        </is>
      </c>
      <c r="P127" t="inlineStr">
        <is>
          <t xml:space="preserve">88849   </t>
        </is>
      </c>
      <c r="Q127" s="26" t="n">
        <v>49.90000000000001</v>
      </c>
      <c r="R127" s="26">
        <f>Q127*G127</f>
        <v/>
      </c>
      <c r="S127" t="n">
        <v>29.6</v>
      </c>
      <c r="T127" s="18">
        <f>1 - V127/S127</f>
        <v/>
      </c>
      <c r="U127" s="18" t="n">
        <v>0</v>
      </c>
      <c r="V127" s="26" t="n">
        <v>29.6</v>
      </c>
      <c r="W127" s="26">
        <f>V127 - L127</f>
        <v/>
      </c>
    </row>
    <row r="128">
      <c r="A128" s="11" t="n">
        <v>46205</v>
      </c>
      <c r="B128" s="1" t="n">
        <v>20062</v>
      </c>
      <c r="C128" s="1" t="inlineStr">
        <is>
          <t>038</t>
        </is>
      </c>
      <c r="D128" s="1" t="inlineStr">
        <is>
          <t>172560</t>
        </is>
      </c>
      <c r="E128" s="1" t="inlineStr">
        <is>
          <t xml:space="preserve">29235700       </t>
        </is>
      </c>
      <c r="F128" s="5" t="inlineStr">
        <is>
          <t>HOT WHEELS CASE METALICO PARA GUARDAR 18 CARRITOS</t>
        </is>
      </c>
      <c r="G128" t="n">
        <v>1</v>
      </c>
      <c r="H128" s="7" t="n">
        <v>49.9</v>
      </c>
      <c r="I128" s="7" t="n">
        <v>0</v>
      </c>
      <c r="J128" s="7" t="n">
        <v>0</v>
      </c>
      <c r="K128" s="9" t="n">
        <v>0</v>
      </c>
      <c r="L128" s="10" t="n">
        <v>29.6</v>
      </c>
      <c r="M128" s="10" t="n">
        <v>1.43</v>
      </c>
      <c r="N128" t="inlineStr">
        <is>
          <t>1</t>
        </is>
      </c>
      <c r="O128" t="inlineStr">
        <is>
          <t>16</t>
        </is>
      </c>
      <c r="P128" t="inlineStr">
        <is>
          <t xml:space="preserve">249957  </t>
        </is>
      </c>
      <c r="Q128" s="26" t="n">
        <v>49.90000000000001</v>
      </c>
      <c r="R128" s="26">
        <f>Q128*G128</f>
        <v/>
      </c>
      <c r="S128" t="n">
        <v>29.6</v>
      </c>
      <c r="T128" s="18">
        <f>1 - V128/S128</f>
        <v/>
      </c>
      <c r="U128" s="18" t="n">
        <v>0</v>
      </c>
      <c r="V128" s="26" t="n">
        <v>29.6</v>
      </c>
      <c r="W128" s="26">
        <f>V128 - L128</f>
        <v/>
      </c>
    </row>
    <row r="129">
      <c r="A129" s="11" t="n">
        <v>46205</v>
      </c>
      <c r="B129" s="1" t="n">
        <v>20066</v>
      </c>
      <c r="C129" s="1" t="inlineStr">
        <is>
          <t>057</t>
        </is>
      </c>
      <c r="D129" s="1" t="inlineStr">
        <is>
          <t>492970</t>
        </is>
      </c>
      <c r="E129" s="1" t="inlineStr">
        <is>
          <t xml:space="preserve">28194770       </t>
        </is>
      </c>
      <c r="F129" s="5" t="inlineStr">
        <is>
          <t>AUTOS DE METAL 3 TEAMSTERZ EN BLISTER</t>
        </is>
      </c>
      <c r="G129" t="n">
        <v>1</v>
      </c>
      <c r="H129" s="7" t="n">
        <v>6.9</v>
      </c>
      <c r="I129" s="7" t="n">
        <v>0</v>
      </c>
      <c r="J129" s="7" t="n">
        <v>0</v>
      </c>
      <c r="K129" s="9" t="n">
        <v>0</v>
      </c>
      <c r="L129" s="10" t="n">
        <v>4.1</v>
      </c>
      <c r="M129" s="10" t="n">
        <v>1.43</v>
      </c>
      <c r="N129" t="inlineStr">
        <is>
          <t>1</t>
        </is>
      </c>
      <c r="O129" t="inlineStr">
        <is>
          <t xml:space="preserve">2 </t>
        </is>
      </c>
      <c r="P129" t="inlineStr">
        <is>
          <t xml:space="preserve">43274   </t>
        </is>
      </c>
      <c r="Q129" s="26" t="n">
        <v>6.9</v>
      </c>
      <c r="R129" s="26">
        <f>Q129*G129</f>
        <v/>
      </c>
      <c r="S129" t="n">
        <v>4.09</v>
      </c>
      <c r="T129" s="18">
        <f>1 - V129/S129</f>
        <v/>
      </c>
      <c r="U129" s="18" t="n">
        <v>0</v>
      </c>
      <c r="V129" s="26" t="n">
        <v>4.09</v>
      </c>
      <c r="W129" s="26">
        <f>V129 - L129</f>
        <v/>
      </c>
    </row>
    <row r="130">
      <c r="A130" s="11" t="n">
        <v>46205</v>
      </c>
      <c r="B130" s="1" t="n">
        <v>20066</v>
      </c>
      <c r="C130" s="1" t="inlineStr">
        <is>
          <t>057</t>
        </is>
      </c>
      <c r="D130" s="1" t="inlineStr">
        <is>
          <t>492970</t>
        </is>
      </c>
      <c r="E130" s="1" t="inlineStr">
        <is>
          <t xml:space="preserve">28194770       </t>
        </is>
      </c>
      <c r="F130" s="5" t="inlineStr">
        <is>
          <t>AUTOS DE METAL 3 TEAMSTERZ EN BLISTER</t>
        </is>
      </c>
      <c r="G130" t="n">
        <v>1</v>
      </c>
      <c r="H130" s="7" t="n">
        <v>6.9</v>
      </c>
      <c r="I130" s="7" t="n">
        <v>0</v>
      </c>
      <c r="J130" s="7" t="n">
        <v>0</v>
      </c>
      <c r="K130" s="9" t="n">
        <v>0</v>
      </c>
      <c r="L130" s="10" t="n">
        <v>4.1</v>
      </c>
      <c r="M130" s="10" t="n">
        <v>1.43</v>
      </c>
      <c r="N130" t="inlineStr">
        <is>
          <t>1</t>
        </is>
      </c>
      <c r="O130" t="inlineStr">
        <is>
          <t xml:space="preserve">2 </t>
        </is>
      </c>
      <c r="P130" t="inlineStr">
        <is>
          <t xml:space="preserve">43274   </t>
        </is>
      </c>
      <c r="Q130" s="26" t="n">
        <v>6.9</v>
      </c>
      <c r="R130" s="26">
        <f>Q130*G130</f>
        <v/>
      </c>
      <c r="S130" t="n">
        <v>4.09</v>
      </c>
      <c r="T130" s="18">
        <f>1 - V130/S130</f>
        <v/>
      </c>
      <c r="U130" s="18" t="n">
        <v>0</v>
      </c>
      <c r="V130" s="26" t="n">
        <v>4.09</v>
      </c>
      <c r="W130" s="26">
        <f>V130 - L130</f>
        <v/>
      </c>
    </row>
    <row r="131">
      <c r="A131" s="11" t="n">
        <v>46205</v>
      </c>
      <c r="B131" s="1" t="n">
        <v>20066</v>
      </c>
      <c r="C131" s="1" t="inlineStr">
        <is>
          <t>057</t>
        </is>
      </c>
      <c r="D131" s="1" t="inlineStr">
        <is>
          <t>492970</t>
        </is>
      </c>
      <c r="E131" s="1" t="inlineStr">
        <is>
          <t xml:space="preserve">28194770       </t>
        </is>
      </c>
      <c r="F131" s="5" t="inlineStr">
        <is>
          <t>AUTOS DE METAL 3 TEAMSTERZ EN BLISTER</t>
        </is>
      </c>
      <c r="G131" t="n">
        <v>1</v>
      </c>
      <c r="H131" s="7" t="n">
        <v>6.9</v>
      </c>
      <c r="I131" s="7" t="n">
        <v>0</v>
      </c>
      <c r="J131" s="7" t="n">
        <v>0</v>
      </c>
      <c r="K131" s="9" t="n">
        <v>0</v>
      </c>
      <c r="L131" s="10" t="n">
        <v>4.1</v>
      </c>
      <c r="M131" s="10" t="n">
        <v>1.43</v>
      </c>
      <c r="N131" t="inlineStr">
        <is>
          <t>1</t>
        </is>
      </c>
      <c r="O131" t="inlineStr">
        <is>
          <t xml:space="preserve">2 </t>
        </is>
      </c>
      <c r="P131" t="inlineStr">
        <is>
          <t xml:space="preserve">43274   </t>
        </is>
      </c>
      <c r="Q131" s="26" t="n">
        <v>6.9</v>
      </c>
      <c r="R131" s="26">
        <f>Q131*G131</f>
        <v/>
      </c>
      <c r="S131" t="n">
        <v>4.09</v>
      </c>
      <c r="T131" s="18">
        <f>1 - V131/S131</f>
        <v/>
      </c>
      <c r="U131" s="18" t="n">
        <v>0</v>
      </c>
      <c r="V131" s="26" t="n">
        <v>4.09</v>
      </c>
      <c r="W131" s="26">
        <f>V131 - L131</f>
        <v/>
      </c>
    </row>
    <row r="132">
      <c r="A132" s="11" t="n">
        <v>46205</v>
      </c>
      <c r="B132" s="1" t="n">
        <v>20073</v>
      </c>
      <c r="C132" s="1" t="inlineStr">
        <is>
          <t>804</t>
        </is>
      </c>
      <c r="D132" s="1" t="inlineStr">
        <is>
          <t xml:space="preserve">9909  </t>
        </is>
      </c>
      <c r="E132" s="1" t="inlineStr">
        <is>
          <t xml:space="preserve">28194769       </t>
        </is>
      </c>
      <c r="F132" s="5" t="inlineStr">
        <is>
          <t>AUTOS DE METAL 3 TEAMSTERZ PACK DE 2</t>
        </is>
      </c>
      <c r="G132" t="n">
        <v>1</v>
      </c>
      <c r="H132" s="7" t="n">
        <v>13.8</v>
      </c>
      <c r="I132" s="7" t="n">
        <v>0</v>
      </c>
      <c r="J132" s="7" t="n">
        <v>0</v>
      </c>
      <c r="K132" s="9" t="n">
        <v>0</v>
      </c>
      <c r="L132" s="10" t="n">
        <v>8.18</v>
      </c>
      <c r="M132" s="10" t="n">
        <v>1.43</v>
      </c>
      <c r="N132" t="inlineStr">
        <is>
          <t>1</t>
        </is>
      </c>
      <c r="O132" t="inlineStr">
        <is>
          <t>16</t>
        </is>
      </c>
      <c r="P132" t="inlineStr">
        <is>
          <t xml:space="preserve">0       </t>
        </is>
      </c>
      <c r="Q132" s="26" t="n">
        <v>13.8</v>
      </c>
      <c r="R132" s="26">
        <f>Q132*G132</f>
        <v/>
      </c>
      <c r="S132" t="n">
        <v>8.19</v>
      </c>
      <c r="T132" s="18">
        <f>1 - V132/S132</f>
        <v/>
      </c>
      <c r="U132" s="18" t="n">
        <v>0</v>
      </c>
      <c r="V132" s="26" t="n">
        <v>8.19</v>
      </c>
      <c r="W132" s="26">
        <f>V132 - L132</f>
        <v/>
      </c>
    </row>
    <row r="133">
      <c r="A133" s="11" t="n">
        <v>46205</v>
      </c>
      <c r="B133" s="1" t="n">
        <v>20074</v>
      </c>
      <c r="C133" s="1" t="inlineStr">
        <is>
          <t>015</t>
        </is>
      </c>
      <c r="D133" s="1" t="inlineStr">
        <is>
          <t>227135</t>
        </is>
      </c>
      <c r="E133" s="1" t="inlineStr">
        <is>
          <t xml:space="preserve">28194768       </t>
        </is>
      </c>
      <c r="F133" s="5" t="inlineStr">
        <is>
          <t>AUTO COLOR CHANGE TEAMSTERZ SURTIDO</t>
        </is>
      </c>
      <c r="G133" t="n">
        <v>1</v>
      </c>
      <c r="H133" s="7" t="n">
        <v>14.9</v>
      </c>
      <c r="I133" s="7" t="n">
        <v>0</v>
      </c>
      <c r="J133" s="7" t="n">
        <v>0</v>
      </c>
      <c r="K133" s="9" t="n">
        <v>0</v>
      </c>
      <c r="L133" s="10" t="n">
        <v>8.84</v>
      </c>
      <c r="M133" s="10" t="n">
        <v>1.43</v>
      </c>
      <c r="N133" t="inlineStr">
        <is>
          <t>1</t>
        </is>
      </c>
      <c r="O133" t="inlineStr">
        <is>
          <t>16</t>
        </is>
      </c>
      <c r="P133" t="inlineStr">
        <is>
          <t xml:space="preserve">251008  </t>
        </is>
      </c>
      <c r="Q133" s="26" t="n">
        <v>14.9</v>
      </c>
      <c r="R133" s="26">
        <f>Q133*G133</f>
        <v/>
      </c>
      <c r="S133" t="n">
        <v>8.84</v>
      </c>
      <c r="T133" s="18">
        <f>1 - V133/S133</f>
        <v/>
      </c>
      <c r="U133" s="18" t="n">
        <v>0</v>
      </c>
      <c r="V133" s="26" t="n">
        <v>8.84</v>
      </c>
      <c r="W133" s="26">
        <f>V133 - L133</f>
        <v/>
      </c>
    </row>
    <row r="134">
      <c r="A134" s="11" t="n">
        <v>46205</v>
      </c>
      <c r="B134" s="1" t="n">
        <v>20074</v>
      </c>
      <c r="C134" s="1" t="inlineStr">
        <is>
          <t>048</t>
        </is>
      </c>
      <c r="D134" s="1" t="inlineStr">
        <is>
          <t>144206</t>
        </is>
      </c>
      <c r="E134" s="1" t="inlineStr">
        <is>
          <t xml:space="preserve">28194770       </t>
        </is>
      </c>
      <c r="F134" s="5" t="inlineStr">
        <is>
          <t>AUTOS DE METAL 3 TEAMSTERZ EN BLISTER</t>
        </is>
      </c>
      <c r="G134" t="n">
        <v>1</v>
      </c>
      <c r="H134" s="7" t="n">
        <v>6.9</v>
      </c>
      <c r="I134" s="7" t="n">
        <v>0</v>
      </c>
      <c r="J134" s="7" t="n">
        <v>0</v>
      </c>
      <c r="K134" s="9" t="n">
        <v>0</v>
      </c>
      <c r="L134" s="10" t="n">
        <v>4.1</v>
      </c>
      <c r="M134" s="10" t="n">
        <v>1.43</v>
      </c>
      <c r="N134" t="inlineStr">
        <is>
          <t>1</t>
        </is>
      </c>
      <c r="O134" t="inlineStr">
        <is>
          <t>16</t>
        </is>
      </c>
      <c r="P134" t="inlineStr">
        <is>
          <t xml:space="preserve">104416  </t>
        </is>
      </c>
      <c r="Q134" s="26" t="n">
        <v>6.9</v>
      </c>
      <c r="R134" s="26">
        <f>Q134*G134</f>
        <v/>
      </c>
      <c r="S134" t="n">
        <v>4.09</v>
      </c>
      <c r="T134" s="18">
        <f>1 - V134/S134</f>
        <v/>
      </c>
      <c r="U134" s="18" t="n">
        <v>0</v>
      </c>
      <c r="V134" s="26" t="n">
        <v>4.09</v>
      </c>
      <c r="W134" s="26">
        <f>V134 - L134</f>
        <v/>
      </c>
    </row>
    <row r="135">
      <c r="A135" s="11" t="n">
        <v>46205</v>
      </c>
      <c r="B135" s="1" t="n">
        <v>20077</v>
      </c>
      <c r="C135" s="1" t="inlineStr">
        <is>
          <t>016</t>
        </is>
      </c>
      <c r="D135" s="1" t="inlineStr">
        <is>
          <t>120511</t>
        </is>
      </c>
      <c r="E135" s="1" t="inlineStr">
        <is>
          <t xml:space="preserve">34840526       </t>
        </is>
      </c>
      <c r="F135" s="5" t="inlineStr">
        <is>
          <t>NENUCO ABRACITOS</t>
        </is>
      </c>
      <c r="G135" t="n">
        <v>1</v>
      </c>
      <c r="H135" s="7" t="n">
        <v>119</v>
      </c>
      <c r="I135" s="7" t="n">
        <v>0</v>
      </c>
      <c r="J135" s="7" t="n">
        <v>0</v>
      </c>
      <c r="K135" s="9" t="n">
        <v>0</v>
      </c>
      <c r="L135" s="10" t="n">
        <v>70.59999999999999</v>
      </c>
      <c r="M135" s="10" t="n">
        <v>1.43</v>
      </c>
      <c r="N135" t="inlineStr">
        <is>
          <t>1</t>
        </is>
      </c>
      <c r="O135" t="inlineStr">
        <is>
          <t xml:space="preserve">3 </t>
        </is>
      </c>
      <c r="P135" t="inlineStr">
        <is>
          <t xml:space="preserve">44367   </t>
        </is>
      </c>
      <c r="Q135" s="26" t="n">
        <v>119</v>
      </c>
      <c r="R135" s="26">
        <f>Q135*G135</f>
        <v/>
      </c>
      <c r="S135" t="n">
        <v>70.59</v>
      </c>
      <c r="T135" s="18">
        <f>1 - V135/S135</f>
        <v/>
      </c>
      <c r="U135" s="18" t="n">
        <v>0.2445378151260503</v>
      </c>
      <c r="V135" s="26" t="n">
        <v>60.94915254237289</v>
      </c>
      <c r="W135" s="26">
        <f>V135 - L135</f>
        <v/>
      </c>
    </row>
    <row r="136">
      <c r="A136" s="11" t="n">
        <v>46205</v>
      </c>
      <c r="B136" s="1" t="n">
        <v>20077</v>
      </c>
      <c r="C136" s="1" t="inlineStr">
        <is>
          <t>029</t>
        </is>
      </c>
      <c r="D136" s="1" t="inlineStr">
        <is>
          <t>155660</t>
        </is>
      </c>
      <c r="E136" s="1" t="inlineStr">
        <is>
          <t xml:space="preserve">28194780       </t>
        </is>
      </c>
      <c r="F136" s="5" t="inlineStr">
        <is>
          <t>TROMPO BATALLA INFINITY NADO PLSTICO SURTIDO</t>
        </is>
      </c>
      <c r="G136" t="n">
        <v>1</v>
      </c>
      <c r="H136" s="7" t="n">
        <v>19.9</v>
      </c>
      <c r="I136" s="7" t="n">
        <v>0</v>
      </c>
      <c r="J136" s="7" t="n">
        <v>0</v>
      </c>
      <c r="K136" s="9" t="n">
        <v>0</v>
      </c>
      <c r="L136" s="10" t="n">
        <v>11.8</v>
      </c>
      <c r="M136" s="10" t="n">
        <v>1.43</v>
      </c>
      <c r="N136" t="inlineStr">
        <is>
          <t>1</t>
        </is>
      </c>
      <c r="O136" t="inlineStr">
        <is>
          <t>16</t>
        </is>
      </c>
      <c r="P136" t="inlineStr">
        <is>
          <t xml:space="preserve">250382  </t>
        </is>
      </c>
      <c r="Q136" s="26" t="n">
        <v>19.9</v>
      </c>
      <c r="R136" s="26">
        <f>Q136*G136</f>
        <v/>
      </c>
      <c r="S136" t="n">
        <v>11.81</v>
      </c>
      <c r="T136" s="18">
        <f>1 - V136/S136</f>
        <v/>
      </c>
      <c r="U136" s="18" t="n">
        <v>0</v>
      </c>
      <c r="V136" s="26" t="n">
        <v>11.81</v>
      </c>
      <c r="W136" s="26">
        <f>V136 - L136</f>
        <v/>
      </c>
    </row>
    <row r="137">
      <c r="A137" s="11" t="n">
        <v>46205</v>
      </c>
      <c r="B137" s="1" t="n">
        <v>20077</v>
      </c>
      <c r="C137" s="1" t="inlineStr">
        <is>
          <t>029</t>
        </is>
      </c>
      <c r="D137" s="1" t="inlineStr">
        <is>
          <t>155660</t>
        </is>
      </c>
      <c r="E137" s="1" t="inlineStr">
        <is>
          <t xml:space="preserve">29235701       </t>
        </is>
      </c>
      <c r="F137" s="5" t="inlineStr">
        <is>
          <t>INFINITY NADO TROMPO DE BATALLA - METAL EN CAJA</t>
        </is>
      </c>
      <c r="G137" t="n">
        <v>1</v>
      </c>
      <c r="H137" s="7" t="n">
        <v>39.9</v>
      </c>
      <c r="I137" s="7" t="n">
        <v>0</v>
      </c>
      <c r="J137" s="7" t="n">
        <v>0</v>
      </c>
      <c r="K137" s="9" t="n">
        <v>0</v>
      </c>
      <c r="L137" s="10" t="n">
        <v>23.67</v>
      </c>
      <c r="M137" s="10" t="n">
        <v>1.43</v>
      </c>
      <c r="N137" t="inlineStr">
        <is>
          <t>1</t>
        </is>
      </c>
      <c r="O137" t="inlineStr">
        <is>
          <t>16</t>
        </is>
      </c>
      <c r="P137" t="inlineStr">
        <is>
          <t xml:space="preserve">250382  </t>
        </is>
      </c>
      <c r="Q137" s="26" t="n">
        <v>39.9</v>
      </c>
      <c r="R137" s="26">
        <f>Q137*G137</f>
        <v/>
      </c>
      <c r="S137" t="n">
        <v>23.67</v>
      </c>
      <c r="T137" s="18">
        <f>1 - V137/S137</f>
        <v/>
      </c>
      <c r="U137" s="18" t="n">
        <v>0.2506265664160401</v>
      </c>
      <c r="V137" s="26" t="n">
        <v>19.00423728813559</v>
      </c>
      <c r="W137" s="26">
        <f>V137 - L137</f>
        <v/>
      </c>
    </row>
    <row r="138">
      <c r="A138" s="11" t="n">
        <v>46205</v>
      </c>
      <c r="B138" s="1" t="n">
        <v>20077</v>
      </c>
      <c r="C138" s="1" t="inlineStr">
        <is>
          <t>801</t>
        </is>
      </c>
      <c r="D138" s="1" t="inlineStr">
        <is>
          <t xml:space="preserve">1547  </t>
        </is>
      </c>
      <c r="E138" s="1" t="inlineStr">
        <is>
          <t xml:space="preserve">28194770       </t>
        </is>
      </c>
      <c r="F138" s="5" t="inlineStr">
        <is>
          <t>AUTOS DE METAL 3 TEAMSTERZ EN BLISTER</t>
        </is>
      </c>
      <c r="G138" t="n">
        <v>2</v>
      </c>
      <c r="H138" s="7" t="n">
        <v>13.8</v>
      </c>
      <c r="I138" s="7" t="n">
        <v>0</v>
      </c>
      <c r="J138" s="7" t="n">
        <v>0</v>
      </c>
      <c r="K138" s="9" t="n">
        <v>0</v>
      </c>
      <c r="L138" s="10" t="n">
        <v>8.18</v>
      </c>
      <c r="M138" s="10" t="n">
        <v>1.43</v>
      </c>
      <c r="N138" t="inlineStr">
        <is>
          <t>1</t>
        </is>
      </c>
      <c r="O138" t="inlineStr">
        <is>
          <t>16</t>
        </is>
      </c>
      <c r="P138" t="inlineStr">
        <is>
          <t xml:space="preserve">55315   </t>
        </is>
      </c>
      <c r="Q138" s="26" t="n">
        <v>6.9</v>
      </c>
      <c r="R138" s="26">
        <f>Q138*G138</f>
        <v/>
      </c>
      <c r="S138" t="n">
        <v>8.18</v>
      </c>
      <c r="T138" s="18">
        <f>1 - V138/S138</f>
        <v/>
      </c>
      <c r="U138" s="18" t="n">
        <v>0</v>
      </c>
      <c r="V138" s="26" t="n">
        <v>8.18</v>
      </c>
      <c r="W138" s="26">
        <f>V138 - L138</f>
        <v/>
      </c>
    </row>
    <row r="139">
      <c r="A139" s="11" t="n">
        <v>46205</v>
      </c>
      <c r="B139" s="1" t="n">
        <v>20080</v>
      </c>
      <c r="C139" s="1" t="inlineStr">
        <is>
          <t>013</t>
        </is>
      </c>
      <c r="D139" s="1" t="inlineStr">
        <is>
          <t>128429</t>
        </is>
      </c>
      <c r="E139" s="1" t="inlineStr">
        <is>
          <t xml:space="preserve">31959957       </t>
        </is>
      </c>
      <c r="F139" s="5" t="inlineStr">
        <is>
          <t>TEAMSTERZ PLAYSET RESCATE EN EL MAR</t>
        </is>
      </c>
      <c r="G139" t="n">
        <v>1</v>
      </c>
      <c r="H139" s="7" t="n">
        <v>19.9</v>
      </c>
      <c r="I139" s="7" t="n">
        <v>0</v>
      </c>
      <c r="J139" s="7" t="n">
        <v>0</v>
      </c>
      <c r="K139" s="9" t="n">
        <v>0</v>
      </c>
      <c r="L139" s="10" t="n">
        <v>11.8</v>
      </c>
      <c r="M139" s="10" t="n">
        <v>1.43</v>
      </c>
      <c r="N139" t="inlineStr">
        <is>
          <t>1</t>
        </is>
      </c>
      <c r="O139" t="inlineStr">
        <is>
          <t>16</t>
        </is>
      </c>
      <c r="P139" t="inlineStr">
        <is>
          <t xml:space="preserve">66628   </t>
        </is>
      </c>
      <c r="Q139" s="26" t="n">
        <v>19.9</v>
      </c>
      <c r="R139" s="26">
        <f>Q139*G139</f>
        <v/>
      </c>
      <c r="S139" t="n">
        <v>11.81</v>
      </c>
      <c r="T139" s="18">
        <f>1 - V139/S139</f>
        <v/>
      </c>
      <c r="U139" s="18" t="n">
        <v>0</v>
      </c>
      <c r="V139" s="26" t="n">
        <v>11.81</v>
      </c>
      <c r="W139" s="26">
        <f>V139 - L139</f>
        <v/>
      </c>
    </row>
    <row r="140">
      <c r="A140" s="11" t="n">
        <v>46205</v>
      </c>
      <c r="B140" s="1" t="n">
        <v>20080</v>
      </c>
      <c r="C140" s="1" t="inlineStr">
        <is>
          <t>026</t>
        </is>
      </c>
      <c r="D140" s="1" t="inlineStr">
        <is>
          <t>208517</t>
        </is>
      </c>
      <c r="E140" s="1" t="inlineStr">
        <is>
          <t xml:space="preserve">30141766       </t>
        </is>
      </c>
      <c r="F140" s="5" t="inlineStr">
        <is>
          <t>TMZ BEAST MACHINES AUTOS DE METAL BLISTER X 1</t>
        </is>
      </c>
      <c r="G140" t="n">
        <v>1</v>
      </c>
      <c r="H140" s="7" t="n">
        <v>7.9</v>
      </c>
      <c r="I140" s="7" t="n">
        <v>0</v>
      </c>
      <c r="J140" s="7" t="n">
        <v>0</v>
      </c>
      <c r="K140" s="9" t="n">
        <v>0</v>
      </c>
      <c r="L140" s="10" t="n">
        <v>4.68</v>
      </c>
      <c r="M140" s="10" t="n">
        <v>1.43</v>
      </c>
      <c r="N140" t="inlineStr">
        <is>
          <t>1</t>
        </is>
      </c>
      <c r="O140" t="inlineStr">
        <is>
          <t xml:space="preserve">2 </t>
        </is>
      </c>
      <c r="P140" t="inlineStr">
        <is>
          <t xml:space="preserve">247625  </t>
        </is>
      </c>
      <c r="Q140" s="26" t="n">
        <v>7.9</v>
      </c>
      <c r="R140" s="26">
        <f>Q140*G140</f>
        <v/>
      </c>
      <c r="S140" t="n">
        <v>4.69</v>
      </c>
      <c r="T140" s="18">
        <f>1 - V140/S140</f>
        <v/>
      </c>
      <c r="U140" s="18" t="n">
        <v>0</v>
      </c>
      <c r="V140" s="26" t="n">
        <v>4.69</v>
      </c>
      <c r="W140" s="26">
        <f>V140 - L140</f>
        <v/>
      </c>
    </row>
    <row r="141">
      <c r="A141" s="11" t="n">
        <v>46205</v>
      </c>
      <c r="B141" s="1" t="n">
        <v>20080</v>
      </c>
      <c r="C141" s="1" t="inlineStr">
        <is>
          <t>026</t>
        </is>
      </c>
      <c r="D141" s="1" t="inlineStr">
        <is>
          <t>208517</t>
        </is>
      </c>
      <c r="E141" s="1" t="inlineStr">
        <is>
          <t xml:space="preserve">30141766       </t>
        </is>
      </c>
      <c r="F141" s="5" t="inlineStr">
        <is>
          <t>TMZ BEAST MACHINES AUTOS DE METAL BLISTER X 1</t>
        </is>
      </c>
      <c r="G141" t="n">
        <v>1</v>
      </c>
      <c r="H141" s="7" t="n">
        <v>7.9</v>
      </c>
      <c r="I141" s="7" t="n">
        <v>0</v>
      </c>
      <c r="J141" s="7" t="n">
        <v>0</v>
      </c>
      <c r="K141" s="9" t="n">
        <v>0</v>
      </c>
      <c r="L141" s="10" t="n">
        <v>4.68</v>
      </c>
      <c r="M141" s="10" t="n">
        <v>1.43</v>
      </c>
      <c r="N141" t="inlineStr">
        <is>
          <t>1</t>
        </is>
      </c>
      <c r="O141" t="inlineStr">
        <is>
          <t xml:space="preserve">2 </t>
        </is>
      </c>
      <c r="P141" t="inlineStr">
        <is>
          <t xml:space="preserve">247625  </t>
        </is>
      </c>
      <c r="Q141" s="26" t="n">
        <v>7.9</v>
      </c>
      <c r="R141" s="26">
        <f>Q141*G141</f>
        <v/>
      </c>
      <c r="S141" t="n">
        <v>4.69</v>
      </c>
      <c r="T141" s="18">
        <f>1 - V141/S141</f>
        <v/>
      </c>
      <c r="U141" s="18" t="n">
        <v>0</v>
      </c>
      <c r="V141" s="26" t="n">
        <v>4.69</v>
      </c>
      <c r="W141" s="26">
        <f>V141 - L141</f>
        <v/>
      </c>
    </row>
    <row r="142">
      <c r="A142" s="11" t="n">
        <v>46205</v>
      </c>
      <c r="B142" s="1" t="n">
        <v>20080</v>
      </c>
      <c r="C142" s="1" t="inlineStr">
        <is>
          <t>026</t>
        </is>
      </c>
      <c r="D142" s="1" t="inlineStr">
        <is>
          <t>208534</t>
        </is>
      </c>
      <c r="E142" s="1" t="inlineStr">
        <is>
          <t xml:space="preserve">30141769       </t>
        </is>
      </c>
      <c r="F142" s="5" t="inlineStr">
        <is>
          <t>TMZ BEAST MACHINES TRANSPORTE DINOSAURIO + 3 AUTOS</t>
        </is>
      </c>
      <c r="G142" t="n">
        <v>1</v>
      </c>
      <c r="H142" s="7" t="n">
        <v>79.90000000000001</v>
      </c>
      <c r="I142" s="7" t="n">
        <v>0</v>
      </c>
      <c r="J142" s="7" t="n">
        <v>0</v>
      </c>
      <c r="K142" s="9" t="n">
        <v>0</v>
      </c>
      <c r="L142" s="10" t="n">
        <v>47.4</v>
      </c>
      <c r="M142" s="10" t="n">
        <v>1.43</v>
      </c>
      <c r="N142" t="inlineStr">
        <is>
          <t>1</t>
        </is>
      </c>
      <c r="O142" t="inlineStr">
        <is>
          <t>16</t>
        </is>
      </c>
      <c r="P142" t="inlineStr">
        <is>
          <t xml:space="preserve">247625  </t>
        </is>
      </c>
      <c r="Q142" s="26" t="n">
        <v>79.90000000000001</v>
      </c>
      <c r="R142" s="26">
        <f>Q142*G142</f>
        <v/>
      </c>
      <c r="S142" t="n">
        <v>47.4</v>
      </c>
      <c r="T142" s="18">
        <f>1 - V142/S142</f>
        <v/>
      </c>
      <c r="U142" s="18" t="n">
        <v>0.2503128911138924</v>
      </c>
      <c r="V142" s="26" t="n">
        <v>38.07203389830509</v>
      </c>
      <c r="W142" s="26">
        <f>V142 - L142</f>
        <v/>
      </c>
    </row>
    <row r="143">
      <c r="A143" s="11" t="n">
        <v>46205</v>
      </c>
      <c r="B143" s="1" t="n">
        <v>20080</v>
      </c>
      <c r="C143" s="1" t="inlineStr">
        <is>
          <t>026</t>
        </is>
      </c>
      <c r="D143" s="1" t="inlineStr">
        <is>
          <t>208534</t>
        </is>
      </c>
      <c r="E143" s="1" t="inlineStr">
        <is>
          <t xml:space="preserve">33483119       </t>
        </is>
      </c>
      <c r="F143" s="5" t="inlineStr">
        <is>
          <t>MUNECA EVI LOVE TRAJE TIPICO CON ALPACA</t>
        </is>
      </c>
      <c r="G143" t="n">
        <v>1</v>
      </c>
      <c r="H143" s="7" t="n">
        <v>29.9</v>
      </c>
      <c r="I143" s="7" t="n">
        <v>0</v>
      </c>
      <c r="J143" s="7" t="n">
        <v>0</v>
      </c>
      <c r="K143" s="9" t="n">
        <v>0</v>
      </c>
      <c r="L143" s="10" t="n">
        <v>17.74</v>
      </c>
      <c r="M143" s="10" t="n">
        <v>1.43</v>
      </c>
      <c r="N143" t="inlineStr">
        <is>
          <t>1</t>
        </is>
      </c>
      <c r="O143" t="inlineStr">
        <is>
          <t>16</t>
        </is>
      </c>
      <c r="P143" t="inlineStr">
        <is>
          <t xml:space="preserve">247625  </t>
        </is>
      </c>
      <c r="Q143" s="26" t="n">
        <v>29.9</v>
      </c>
      <c r="R143" s="26">
        <f>Q143*G143</f>
        <v/>
      </c>
      <c r="S143" t="n">
        <v>17.74</v>
      </c>
      <c r="T143" s="18">
        <f>1 - V143/S143</f>
        <v/>
      </c>
      <c r="U143" s="18" t="n">
        <v>0.4</v>
      </c>
      <c r="V143" s="26" t="n">
        <v>13.68305084745763</v>
      </c>
      <c r="W143" s="26">
        <f>V143 - L143</f>
        <v/>
      </c>
    </row>
    <row r="144">
      <c r="A144" s="11" t="n">
        <v>46205</v>
      </c>
      <c r="B144" s="1" t="n">
        <v>20080</v>
      </c>
      <c r="C144" s="1" t="inlineStr">
        <is>
          <t>026</t>
        </is>
      </c>
      <c r="D144" s="1" t="inlineStr">
        <is>
          <t>208535</t>
        </is>
      </c>
      <c r="E144" s="1" t="inlineStr">
        <is>
          <t xml:space="preserve">32457099       </t>
        </is>
      </c>
      <c r="F144" s="5" t="inlineStr">
        <is>
          <t>TMZ BEAST MACHINES MONSTER JAWS A FRICCION BLISTER</t>
        </is>
      </c>
      <c r="G144" t="n">
        <v>1</v>
      </c>
      <c r="H144" s="7" t="n">
        <v>19.9</v>
      </c>
      <c r="I144" s="7" t="n">
        <v>0</v>
      </c>
      <c r="J144" s="7" t="n">
        <v>0</v>
      </c>
      <c r="K144" s="9" t="n">
        <v>0</v>
      </c>
      <c r="L144" s="10" t="n">
        <v>11.8</v>
      </c>
      <c r="M144" s="10" t="n">
        <v>1.43</v>
      </c>
      <c r="N144" t="inlineStr">
        <is>
          <t>1</t>
        </is>
      </c>
      <c r="O144" t="inlineStr">
        <is>
          <t xml:space="preserve">3 </t>
        </is>
      </c>
      <c r="P144" t="inlineStr">
        <is>
          <t xml:space="preserve">247625  </t>
        </is>
      </c>
      <c r="Q144" s="26" t="n">
        <v>19.9</v>
      </c>
      <c r="R144" s="26">
        <f>Q144*G144</f>
        <v/>
      </c>
      <c r="S144" t="n">
        <v>11.81</v>
      </c>
      <c r="T144" s="18">
        <f>1 - V144/S144</f>
        <v/>
      </c>
      <c r="U144" s="18" t="n">
        <v>0.1005025125628141</v>
      </c>
      <c r="V144" s="26" t="n">
        <v>8.417118644067797</v>
      </c>
      <c r="W144" s="26">
        <f>V144 - L144</f>
        <v/>
      </c>
    </row>
    <row r="145">
      <c r="A145" s="11" t="n">
        <v>46205</v>
      </c>
      <c r="B145" s="1" t="n">
        <v>20080</v>
      </c>
      <c r="C145" s="1" t="inlineStr">
        <is>
          <t>029</t>
        </is>
      </c>
      <c r="D145" s="1" t="inlineStr">
        <is>
          <t>224442</t>
        </is>
      </c>
      <c r="E145" s="1" t="inlineStr">
        <is>
          <t xml:space="preserve">33483123       </t>
        </is>
      </c>
      <c r="F145" s="5" t="inlineStr">
        <is>
          <t>NENUCO DISFRACES</t>
        </is>
      </c>
      <c r="G145" t="n">
        <v>1</v>
      </c>
      <c r="H145" s="7" t="n">
        <v>89.90000000000001</v>
      </c>
      <c r="I145" s="7" t="n">
        <v>0</v>
      </c>
      <c r="J145" s="7" t="n">
        <v>0</v>
      </c>
      <c r="K145" s="9" t="n">
        <v>0</v>
      </c>
      <c r="L145" s="10" t="n">
        <v>53.33</v>
      </c>
      <c r="M145" s="10" t="n">
        <v>1.43</v>
      </c>
      <c r="N145" t="inlineStr">
        <is>
          <t>1</t>
        </is>
      </c>
      <c r="O145" t="inlineStr">
        <is>
          <t xml:space="preserve">2 </t>
        </is>
      </c>
      <c r="P145" t="inlineStr">
        <is>
          <t xml:space="preserve">66621   </t>
        </is>
      </c>
      <c r="Q145" s="26" t="n">
        <v>89.90000000000001</v>
      </c>
      <c r="R145" s="26">
        <f>Q145*G145</f>
        <v/>
      </c>
      <c r="S145" t="n">
        <v>53.33</v>
      </c>
      <c r="T145" s="18">
        <f>1 - V145/S145</f>
        <v/>
      </c>
      <c r="U145" s="18" t="n">
        <v>0.2224694104560623</v>
      </c>
      <c r="V145" s="26" t="n">
        <v>44.42796610169492</v>
      </c>
      <c r="W145" s="26">
        <f>V145 - L145</f>
        <v/>
      </c>
    </row>
    <row r="146">
      <c r="A146" s="11" t="n">
        <v>46205</v>
      </c>
      <c r="B146" s="1" t="n">
        <v>20080</v>
      </c>
      <c r="C146" s="1" t="inlineStr">
        <is>
          <t>029</t>
        </is>
      </c>
      <c r="D146" s="1" t="inlineStr">
        <is>
          <t>224499</t>
        </is>
      </c>
      <c r="E146" s="1" t="inlineStr">
        <is>
          <t xml:space="preserve">28194780       </t>
        </is>
      </c>
      <c r="F146" s="5" t="inlineStr">
        <is>
          <t>TROMPO BATALLA INFINITY NADO PLSTICO SURTIDO</t>
        </is>
      </c>
      <c r="G146" t="n">
        <v>1</v>
      </c>
      <c r="H146" s="7" t="n">
        <v>19.9</v>
      </c>
      <c r="I146" s="7" t="n">
        <v>0</v>
      </c>
      <c r="J146" s="7" t="n">
        <v>0</v>
      </c>
      <c r="K146" s="9" t="n">
        <v>0</v>
      </c>
      <c r="L146" s="10" t="n">
        <v>11.8</v>
      </c>
      <c r="M146" s="10" t="n">
        <v>1.43</v>
      </c>
      <c r="N146" t="inlineStr">
        <is>
          <t>1</t>
        </is>
      </c>
      <c r="O146" t="inlineStr">
        <is>
          <t xml:space="preserve">2 </t>
        </is>
      </c>
      <c r="P146" t="inlineStr">
        <is>
          <t xml:space="preserve">66621   </t>
        </is>
      </c>
      <c r="Q146" s="26" t="n">
        <v>19.9</v>
      </c>
      <c r="R146" s="26">
        <f>Q146*G146</f>
        <v/>
      </c>
      <c r="S146" t="n">
        <v>11.81</v>
      </c>
      <c r="T146" s="18">
        <f>1 - V146/S146</f>
        <v/>
      </c>
      <c r="U146" s="18" t="n">
        <v>0</v>
      </c>
      <c r="V146" s="26" t="n">
        <v>11.81</v>
      </c>
      <c r="W146" s="26">
        <f>V146 - L146</f>
        <v/>
      </c>
    </row>
    <row r="147">
      <c r="A147" s="11" t="n">
        <v>46205</v>
      </c>
      <c r="B147" s="1" t="n">
        <v>20080</v>
      </c>
      <c r="C147" s="1" t="inlineStr">
        <is>
          <t>029</t>
        </is>
      </c>
      <c r="D147" s="1" t="inlineStr">
        <is>
          <t>224539</t>
        </is>
      </c>
      <c r="E147" s="1" t="inlineStr">
        <is>
          <t xml:space="preserve">28194770       </t>
        </is>
      </c>
      <c r="F147" s="5" t="inlineStr">
        <is>
          <t>AUTOS DE METAL 3 TEAMSTERZ EN BLISTER</t>
        </is>
      </c>
      <c r="G147" t="n">
        <v>1</v>
      </c>
      <c r="H147" s="7" t="n">
        <v>6.9</v>
      </c>
      <c r="I147" s="7" t="n">
        <v>1.38</v>
      </c>
      <c r="J147" s="7" t="n">
        <v>0</v>
      </c>
      <c r="K147" s="9" t="n">
        <v>1.38</v>
      </c>
      <c r="L147" s="10" t="n">
        <v>3.28</v>
      </c>
      <c r="M147" s="10" t="n">
        <v>1.43</v>
      </c>
      <c r="N147" t="inlineStr">
        <is>
          <t>1</t>
        </is>
      </c>
      <c r="O147" t="inlineStr">
        <is>
          <t xml:space="preserve">2 </t>
        </is>
      </c>
      <c r="P147" t="inlineStr">
        <is>
          <t xml:space="preserve">66621   </t>
        </is>
      </c>
      <c r="Q147" s="26" t="n">
        <v>6.9</v>
      </c>
      <c r="R147" s="26">
        <f>Q147*G147</f>
        <v/>
      </c>
      <c r="S147" t="n">
        <v>4.09</v>
      </c>
      <c r="T147" s="18">
        <f>1 - V147/S147</f>
        <v/>
      </c>
      <c r="U147" s="18" t="n">
        <v>0</v>
      </c>
      <c r="V147" s="26" t="n">
        <v>4.09</v>
      </c>
      <c r="W147" s="26">
        <f>V147 - L147</f>
        <v/>
      </c>
    </row>
    <row r="148">
      <c r="A148" s="11" t="n">
        <v>46205</v>
      </c>
      <c r="B148" s="1" t="n">
        <v>20088</v>
      </c>
      <c r="C148" s="1" t="inlineStr">
        <is>
          <t>023</t>
        </is>
      </c>
      <c r="D148" s="1" t="inlineStr">
        <is>
          <t>126294</t>
        </is>
      </c>
      <c r="E148" s="1" t="inlineStr">
        <is>
          <t xml:space="preserve">28194769       </t>
        </is>
      </c>
      <c r="F148" s="5" t="inlineStr">
        <is>
          <t>AUTOS DE METAL 3 TEAMSTERZ PACK DE 2</t>
        </is>
      </c>
      <c r="G148" t="n">
        <v>1</v>
      </c>
      <c r="H148" s="7" t="n">
        <v>13.8</v>
      </c>
      <c r="I148" s="7" t="n">
        <v>0</v>
      </c>
      <c r="J148" s="7" t="n">
        <v>0</v>
      </c>
      <c r="K148" s="9" t="n">
        <v>0</v>
      </c>
      <c r="L148" s="10" t="n">
        <v>8.18</v>
      </c>
      <c r="M148" s="10" t="n">
        <v>1.43</v>
      </c>
      <c r="N148" t="inlineStr">
        <is>
          <t>1</t>
        </is>
      </c>
      <c r="O148" t="inlineStr">
        <is>
          <t>16</t>
        </is>
      </c>
      <c r="P148" t="inlineStr">
        <is>
          <t xml:space="preserve">235264  </t>
        </is>
      </c>
      <c r="Q148" s="26" t="n">
        <v>13.8</v>
      </c>
      <c r="R148" s="26">
        <f>Q148*G148</f>
        <v/>
      </c>
      <c r="S148" t="n">
        <v>8.19</v>
      </c>
      <c r="T148" s="18">
        <f>1 - V148/S148</f>
        <v/>
      </c>
      <c r="U148" s="18" t="n">
        <v>0</v>
      </c>
      <c r="V148" s="26" t="n">
        <v>8.19</v>
      </c>
      <c r="W148" s="26">
        <f>V148 - L148</f>
        <v/>
      </c>
    </row>
    <row r="149">
      <c r="A149" s="11" t="n">
        <v>46205</v>
      </c>
      <c r="B149" s="1" t="n">
        <v>20089</v>
      </c>
      <c r="C149" s="1" t="inlineStr">
        <is>
          <t>802</t>
        </is>
      </c>
      <c r="D149" s="1" t="inlineStr">
        <is>
          <t xml:space="preserve">9826  </t>
        </is>
      </c>
      <c r="E149" s="1" t="inlineStr">
        <is>
          <t xml:space="preserve">31754675       </t>
        </is>
      </c>
      <c r="F149" s="5" t="inlineStr">
        <is>
          <t>INFINITY NADO SERIE 6 STARTER PACK - 4 MODELOS</t>
        </is>
      </c>
      <c r="G149" t="n">
        <v>1</v>
      </c>
      <c r="H149" s="7" t="n">
        <v>69.90000000000001</v>
      </c>
      <c r="I149" s="7" t="n">
        <v>0</v>
      </c>
      <c r="J149" s="7" t="n">
        <v>0</v>
      </c>
      <c r="K149" s="9" t="n">
        <v>0</v>
      </c>
      <c r="L149" s="10" t="n">
        <v>41.47</v>
      </c>
      <c r="M149" s="10" t="n">
        <v>1.43</v>
      </c>
      <c r="N149" t="inlineStr">
        <is>
          <t>1</t>
        </is>
      </c>
      <c r="O149" t="inlineStr">
        <is>
          <t>16</t>
        </is>
      </c>
      <c r="P149" t="inlineStr">
        <is>
          <t xml:space="preserve">0       </t>
        </is>
      </c>
      <c r="Q149" s="26" t="n">
        <v>69.90000000000001</v>
      </c>
      <c r="R149" s="26">
        <f>Q149*G149</f>
        <v/>
      </c>
      <c r="S149" t="n">
        <v>41.47</v>
      </c>
      <c r="T149" s="18">
        <f>1 - V149/S149</f>
        <v/>
      </c>
      <c r="U149" s="18" t="n">
        <v>0.2861230329041489</v>
      </c>
      <c r="V149" s="26" t="n">
        <v>31.71610169491525</v>
      </c>
      <c r="W149" s="26">
        <f>V149 - L149</f>
        <v/>
      </c>
    </row>
    <row r="150">
      <c r="A150" s="11" t="n">
        <v>46205</v>
      </c>
      <c r="B150" s="1" t="n">
        <v>20095</v>
      </c>
      <c r="C150" s="1" t="inlineStr">
        <is>
          <t>043</t>
        </is>
      </c>
      <c r="D150" s="1" t="inlineStr">
        <is>
          <t>107251</t>
        </is>
      </c>
      <c r="E150" s="1" t="inlineStr">
        <is>
          <t xml:space="preserve">30141766       </t>
        </is>
      </c>
      <c r="F150" s="5" t="inlineStr">
        <is>
          <t>TMZ BEAST MACHINES AUTOS DE METAL BLISTER X 1</t>
        </is>
      </c>
      <c r="G150" t="n">
        <v>1</v>
      </c>
      <c r="H150" s="7" t="n">
        <v>7.9</v>
      </c>
      <c r="I150" s="7" t="n">
        <v>0</v>
      </c>
      <c r="J150" s="7" t="n">
        <v>0</v>
      </c>
      <c r="K150" s="9" t="n">
        <v>0</v>
      </c>
      <c r="L150" s="10" t="n">
        <v>4.68</v>
      </c>
      <c r="M150" s="10" t="n">
        <v>1.43</v>
      </c>
      <c r="N150" t="inlineStr">
        <is>
          <t>1</t>
        </is>
      </c>
      <c r="O150" t="inlineStr">
        <is>
          <t xml:space="preserve">3 </t>
        </is>
      </c>
      <c r="P150" t="inlineStr">
        <is>
          <t xml:space="preserve">246365  </t>
        </is>
      </c>
      <c r="Q150" s="26" t="n">
        <v>7.9</v>
      </c>
      <c r="R150" s="26">
        <f>Q150*G150</f>
        <v/>
      </c>
      <c r="S150" t="n">
        <v>4.69</v>
      </c>
      <c r="T150" s="18">
        <f>1 - V150/S150</f>
        <v/>
      </c>
      <c r="U150" s="18" t="n">
        <v>0</v>
      </c>
      <c r="V150" s="26" t="n">
        <v>4.69</v>
      </c>
      <c r="W150" s="26">
        <f>V150 - L150</f>
        <v/>
      </c>
    </row>
    <row r="151">
      <c r="A151" s="11" t="n">
        <v>46205</v>
      </c>
      <c r="B151" s="1" t="n">
        <v>20095</v>
      </c>
      <c r="C151" s="1" t="inlineStr">
        <is>
          <t>043</t>
        </is>
      </c>
      <c r="D151" s="1" t="inlineStr">
        <is>
          <t>107252</t>
        </is>
      </c>
      <c r="E151" s="1" t="inlineStr">
        <is>
          <t xml:space="preserve">30141766       </t>
        </is>
      </c>
      <c r="F151" s="5" t="inlineStr">
        <is>
          <t>TMZ BEAST MACHINES AUTOS DE METAL BLISTER X 1</t>
        </is>
      </c>
      <c r="G151" t="n">
        <v>1</v>
      </c>
      <c r="H151" s="7" t="n">
        <v>7.9</v>
      </c>
      <c r="I151" s="7" t="n">
        <v>0</v>
      </c>
      <c r="J151" s="7" t="n">
        <v>0</v>
      </c>
      <c r="K151" s="9" t="n">
        <v>0</v>
      </c>
      <c r="L151" s="10" t="n">
        <v>4.68</v>
      </c>
      <c r="M151" s="10" t="n">
        <v>1.43</v>
      </c>
      <c r="N151" t="inlineStr">
        <is>
          <t>1</t>
        </is>
      </c>
      <c r="O151" t="inlineStr">
        <is>
          <t>16</t>
        </is>
      </c>
      <c r="P151" t="inlineStr">
        <is>
          <t xml:space="preserve">246365  </t>
        </is>
      </c>
      <c r="Q151" s="26" t="n">
        <v>7.9</v>
      </c>
      <c r="R151" s="26">
        <f>Q151*G151</f>
        <v/>
      </c>
      <c r="S151" t="n">
        <v>4.69</v>
      </c>
      <c r="T151" s="18">
        <f>1 - V151/S151</f>
        <v/>
      </c>
      <c r="U151" s="18" t="n">
        <v>0</v>
      </c>
      <c r="V151" s="26" t="n">
        <v>4.69</v>
      </c>
      <c r="W151" s="26">
        <f>V151 - L151</f>
        <v/>
      </c>
    </row>
    <row r="152">
      <c r="A152" s="11" t="n">
        <v>46205</v>
      </c>
      <c r="B152" s="1" t="n">
        <v>20095</v>
      </c>
      <c r="C152" s="1" t="inlineStr">
        <is>
          <t>044</t>
        </is>
      </c>
      <c r="D152" s="1" t="inlineStr">
        <is>
          <t xml:space="preserve">92697 </t>
        </is>
      </c>
      <c r="E152" s="1" t="inlineStr">
        <is>
          <t xml:space="preserve">28194768       </t>
        </is>
      </c>
      <c r="F152" s="5" t="inlineStr">
        <is>
          <t>AUTO COLOR CHANGE TEAMSTERZ SURTIDO</t>
        </is>
      </c>
      <c r="G152" t="n">
        <v>1</v>
      </c>
      <c r="H152" s="7" t="n">
        <v>14.9</v>
      </c>
      <c r="I152" s="7" t="n">
        <v>0</v>
      </c>
      <c r="J152" s="7" t="n">
        <v>0</v>
      </c>
      <c r="K152" s="9" t="n">
        <v>0</v>
      </c>
      <c r="L152" s="10" t="n">
        <v>8.84</v>
      </c>
      <c r="M152" s="10" t="n">
        <v>1.43</v>
      </c>
      <c r="N152" t="inlineStr">
        <is>
          <t>1</t>
        </is>
      </c>
      <c r="O152" t="inlineStr">
        <is>
          <t xml:space="preserve">3 </t>
        </is>
      </c>
      <c r="P152" t="inlineStr">
        <is>
          <t xml:space="preserve">248989  </t>
        </is>
      </c>
      <c r="Q152" s="26" t="n">
        <v>14.9</v>
      </c>
      <c r="R152" s="26">
        <f>Q152*G152</f>
        <v/>
      </c>
      <c r="S152" t="n">
        <v>8.84</v>
      </c>
      <c r="T152" s="18">
        <f>1 - V152/S152</f>
        <v/>
      </c>
      <c r="U152" s="18" t="n">
        <v>0</v>
      </c>
      <c r="V152" s="26" t="n">
        <v>8.84</v>
      </c>
      <c r="W152" s="26">
        <f>V152 - L152</f>
        <v/>
      </c>
    </row>
    <row r="153">
      <c r="A153" s="11" t="n">
        <v>46206</v>
      </c>
      <c r="B153" s="1" t="n">
        <v>20021</v>
      </c>
      <c r="C153" s="1" t="inlineStr">
        <is>
          <t>055</t>
        </is>
      </c>
      <c r="D153" s="1" t="inlineStr">
        <is>
          <t>154051</t>
        </is>
      </c>
      <c r="E153" s="1" t="inlineStr">
        <is>
          <t xml:space="preserve">30141766       </t>
        </is>
      </c>
      <c r="F153" s="5" t="inlineStr">
        <is>
          <t>TMZ BEAST MACHINES AUTOS DE METAL BLISTER X 1</t>
        </is>
      </c>
      <c r="G153" t="n">
        <v>1</v>
      </c>
      <c r="H153" s="7" t="n">
        <v>7.9</v>
      </c>
      <c r="I153" s="7" t="n">
        <v>0</v>
      </c>
      <c r="J153" s="7" t="n">
        <v>0</v>
      </c>
      <c r="K153" s="9" t="n">
        <v>0</v>
      </c>
      <c r="L153" s="10" t="n">
        <v>4.68</v>
      </c>
      <c r="M153" s="10" t="n">
        <v>1.43</v>
      </c>
      <c r="N153" t="inlineStr">
        <is>
          <t>1</t>
        </is>
      </c>
      <c r="O153" t="inlineStr">
        <is>
          <t xml:space="preserve">3 </t>
        </is>
      </c>
      <c r="P153" t="inlineStr">
        <is>
          <t xml:space="preserve">42929   </t>
        </is>
      </c>
      <c r="Q153" s="26" t="n">
        <v>7.9</v>
      </c>
      <c r="R153" s="26">
        <f>Q153*G153</f>
        <v/>
      </c>
      <c r="S153" t="n">
        <v>4.69</v>
      </c>
      <c r="T153" s="18">
        <f>1 - V153/S153</f>
        <v/>
      </c>
      <c r="U153" s="18" t="n">
        <v>0</v>
      </c>
      <c r="V153" s="26" t="n">
        <v>4.69</v>
      </c>
      <c r="W153" s="26">
        <f>V153 - L153</f>
        <v/>
      </c>
    </row>
    <row r="154">
      <c r="A154" s="11" t="n">
        <v>46206</v>
      </c>
      <c r="B154" s="1" t="n">
        <v>20021</v>
      </c>
      <c r="C154" s="1" t="inlineStr">
        <is>
          <t>055</t>
        </is>
      </c>
      <c r="D154" s="1" t="inlineStr">
        <is>
          <t>154089</t>
        </is>
      </c>
      <c r="E154" s="1" t="inlineStr">
        <is>
          <t xml:space="preserve">28194770       </t>
        </is>
      </c>
      <c r="F154" s="5" t="inlineStr">
        <is>
          <t>AUTOS DE METAL 3 TEAMSTERZ EN BLISTER</t>
        </is>
      </c>
      <c r="G154" t="n">
        <v>1</v>
      </c>
      <c r="H154" s="7" t="n">
        <v>6.9</v>
      </c>
      <c r="I154" s="7" t="n">
        <v>0</v>
      </c>
      <c r="J154" s="7" t="n">
        <v>0</v>
      </c>
      <c r="K154" s="9" t="n">
        <v>0</v>
      </c>
      <c r="L154" s="10" t="n">
        <v>4.1</v>
      </c>
      <c r="M154" s="10" t="n">
        <v>1.43</v>
      </c>
      <c r="N154" t="inlineStr">
        <is>
          <t>1</t>
        </is>
      </c>
      <c r="O154" t="inlineStr">
        <is>
          <t>16</t>
        </is>
      </c>
      <c r="P154" t="inlineStr">
        <is>
          <t xml:space="preserve">42929   </t>
        </is>
      </c>
      <c r="Q154" s="26" t="n">
        <v>6.9</v>
      </c>
      <c r="R154" s="26">
        <f>Q154*G154</f>
        <v/>
      </c>
      <c r="S154" t="n">
        <v>4.09</v>
      </c>
      <c r="T154" s="18">
        <f>1 - V154/S154</f>
        <v/>
      </c>
      <c r="U154" s="18" t="n">
        <v>0</v>
      </c>
      <c r="V154" s="26" t="n">
        <v>4.09</v>
      </c>
      <c r="W154" s="26">
        <f>V154 - L154</f>
        <v/>
      </c>
    </row>
    <row r="155">
      <c r="A155" s="11" t="n">
        <v>46206</v>
      </c>
      <c r="B155" s="1" t="n">
        <v>20021</v>
      </c>
      <c r="C155" s="1" t="inlineStr">
        <is>
          <t>064</t>
        </is>
      </c>
      <c r="D155" s="1" t="inlineStr">
        <is>
          <t>145987</t>
        </is>
      </c>
      <c r="E155" s="1" t="inlineStr">
        <is>
          <t xml:space="preserve">29235707       </t>
        </is>
      </c>
      <c r="F155" s="5" t="inlineStr">
        <is>
          <t>TEAMSTERZ AUTO DE METAL 3  PACK DE 5</t>
        </is>
      </c>
      <c r="G155" t="n">
        <v>1</v>
      </c>
      <c r="H155" s="7" t="n">
        <v>34.5</v>
      </c>
      <c r="I155" s="7" t="n">
        <v>0</v>
      </c>
      <c r="J155" s="7" t="n">
        <v>0</v>
      </c>
      <c r="K155" s="9" t="n">
        <v>0</v>
      </c>
      <c r="L155" s="10" t="n">
        <v>20.47</v>
      </c>
      <c r="M155" s="10" t="n">
        <v>1.43</v>
      </c>
      <c r="N155" t="inlineStr">
        <is>
          <t>1</t>
        </is>
      </c>
      <c r="O155" t="inlineStr">
        <is>
          <t xml:space="preserve">2 </t>
        </is>
      </c>
      <c r="P155" t="inlineStr">
        <is>
          <t xml:space="preserve">16716   </t>
        </is>
      </c>
      <c r="Q155" s="26" t="n">
        <v>34.5</v>
      </c>
      <c r="R155" s="26">
        <f>Q155*G155</f>
        <v/>
      </c>
      <c r="S155" t="n">
        <v>20.47</v>
      </c>
      <c r="T155" s="18">
        <f>1 - V155/S155</f>
        <v/>
      </c>
      <c r="U155" s="18" t="n">
        <v>0</v>
      </c>
      <c r="V155" s="26" t="n">
        <v>20.47</v>
      </c>
      <c r="W155" s="26">
        <f>V155 - L155</f>
        <v/>
      </c>
    </row>
    <row r="156">
      <c r="A156" s="11" t="n">
        <v>46206</v>
      </c>
      <c r="B156" s="1" t="n">
        <v>20021</v>
      </c>
      <c r="C156" s="1" t="inlineStr">
        <is>
          <t>078</t>
        </is>
      </c>
      <c r="D156" s="1" t="inlineStr">
        <is>
          <t>100045</t>
        </is>
      </c>
      <c r="E156" s="1" t="inlineStr">
        <is>
          <t xml:space="preserve">28194769       </t>
        </is>
      </c>
      <c r="F156" s="5" t="inlineStr">
        <is>
          <t>AUTOS DE METAL 3 TEAMSTERZ PACK DE 2</t>
        </is>
      </c>
      <c r="G156" t="n">
        <v>1</v>
      </c>
      <c r="H156" s="7" t="n">
        <v>13.8</v>
      </c>
      <c r="I156" s="7" t="n">
        <v>0</v>
      </c>
      <c r="J156" s="7" t="n">
        <v>0</v>
      </c>
      <c r="K156" s="9" t="n">
        <v>0</v>
      </c>
      <c r="L156" s="10" t="n">
        <v>8.18</v>
      </c>
      <c r="M156" s="10" t="n">
        <v>1.43</v>
      </c>
      <c r="N156" t="inlineStr">
        <is>
          <t>1</t>
        </is>
      </c>
      <c r="O156" t="inlineStr">
        <is>
          <t xml:space="preserve">6 </t>
        </is>
      </c>
      <c r="P156" t="inlineStr">
        <is>
          <t xml:space="preserve">42152   </t>
        </is>
      </c>
      <c r="Q156" s="26" t="n">
        <v>13.8</v>
      </c>
      <c r="R156" s="26">
        <f>Q156*G156</f>
        <v/>
      </c>
      <c r="S156" t="n">
        <v>8.19</v>
      </c>
      <c r="T156" s="18">
        <f>1 - V156/S156</f>
        <v/>
      </c>
      <c r="U156" s="18" t="n">
        <v>0</v>
      </c>
      <c r="V156" s="26" t="n">
        <v>8.19</v>
      </c>
      <c r="W156" s="26">
        <f>V156 - L156</f>
        <v/>
      </c>
    </row>
    <row r="157">
      <c r="A157" s="11" t="n">
        <v>46206</v>
      </c>
      <c r="B157" s="1" t="n">
        <v>20021</v>
      </c>
      <c r="C157" s="1" t="inlineStr">
        <is>
          <t>078</t>
        </is>
      </c>
      <c r="D157" s="1" t="inlineStr">
        <is>
          <t>100055</t>
        </is>
      </c>
      <c r="E157" s="1" t="inlineStr">
        <is>
          <t xml:space="preserve">28194770       </t>
        </is>
      </c>
      <c r="F157" s="5" t="inlineStr">
        <is>
          <t>AUTOS DE METAL 3 TEAMSTERZ EN BLISTER</t>
        </is>
      </c>
      <c r="G157" t="n">
        <v>1</v>
      </c>
      <c r="H157" s="7" t="n">
        <v>6.9</v>
      </c>
      <c r="I157" s="7" t="n">
        <v>0</v>
      </c>
      <c r="J157" s="7" t="n">
        <v>0</v>
      </c>
      <c r="K157" s="9" t="n">
        <v>0</v>
      </c>
      <c r="L157" s="10" t="n">
        <v>4.1</v>
      </c>
      <c r="M157" s="10" t="n">
        <v>1.43</v>
      </c>
      <c r="N157" t="inlineStr">
        <is>
          <t>1</t>
        </is>
      </c>
      <c r="O157" t="inlineStr">
        <is>
          <t>16</t>
        </is>
      </c>
      <c r="P157" t="inlineStr">
        <is>
          <t xml:space="preserve">42152   </t>
        </is>
      </c>
      <c r="Q157" s="26" t="n">
        <v>6.9</v>
      </c>
      <c r="R157" s="26">
        <f>Q157*G157</f>
        <v/>
      </c>
      <c r="S157" t="n">
        <v>4.09</v>
      </c>
      <c r="T157" s="18">
        <f>1 - V157/S157</f>
        <v/>
      </c>
      <c r="U157" s="18" t="n">
        <v>0</v>
      </c>
      <c r="V157" s="26" t="n">
        <v>4.09</v>
      </c>
      <c r="W157" s="26">
        <f>V157 - L157</f>
        <v/>
      </c>
    </row>
    <row r="158">
      <c r="A158" s="11" t="n">
        <v>46206</v>
      </c>
      <c r="B158" s="1" t="n">
        <v>20021</v>
      </c>
      <c r="C158" s="1" t="inlineStr">
        <is>
          <t>080</t>
        </is>
      </c>
      <c r="D158" s="1" t="inlineStr">
        <is>
          <t>309256</t>
        </is>
      </c>
      <c r="E158" s="1" t="inlineStr">
        <is>
          <t xml:space="preserve">34840555       </t>
        </is>
      </c>
      <c r="F158" s="5" t="inlineStr">
        <is>
          <t>TMZ BEAST MACH. TRANSPORT TIBURON +ACCS</t>
        </is>
      </c>
      <c r="G158" t="n">
        <v>1</v>
      </c>
      <c r="H158" s="7" t="n">
        <v>79.90000000000001</v>
      </c>
      <c r="I158" s="7" t="n">
        <v>0</v>
      </c>
      <c r="J158" s="7" t="n">
        <v>0</v>
      </c>
      <c r="K158" s="9" t="n">
        <v>0</v>
      </c>
      <c r="L158" s="10" t="n">
        <v>47.4</v>
      </c>
      <c r="M158" s="10" t="n">
        <v>1.43</v>
      </c>
      <c r="N158" t="inlineStr">
        <is>
          <t>1</t>
        </is>
      </c>
      <c r="O158" t="inlineStr">
        <is>
          <t xml:space="preserve">3 </t>
        </is>
      </c>
      <c r="P158" t="inlineStr">
        <is>
          <t xml:space="preserve">109073  </t>
        </is>
      </c>
      <c r="Q158" s="26" t="n">
        <v>79.90000000000002</v>
      </c>
      <c r="R158" s="26">
        <f>Q158*G158</f>
        <v/>
      </c>
      <c r="S158" t="n">
        <v>47.4</v>
      </c>
      <c r="T158" s="18">
        <f>1 - V158/S158</f>
        <v/>
      </c>
      <c r="U158" s="18" t="n">
        <v>0.2503128911138924</v>
      </c>
      <c r="V158" s="26" t="n">
        <v>38.07203389830509</v>
      </c>
      <c r="W158" s="26">
        <f>V158 - L158</f>
        <v/>
      </c>
    </row>
    <row r="159">
      <c r="A159" s="11" t="n">
        <v>46206</v>
      </c>
      <c r="B159" s="1" t="n">
        <v>20021</v>
      </c>
      <c r="C159" s="1" t="inlineStr">
        <is>
          <t>504</t>
        </is>
      </c>
      <c r="D159" s="1" t="inlineStr">
        <is>
          <t xml:space="preserve">6939  </t>
        </is>
      </c>
      <c r="E159" s="1" t="inlineStr">
        <is>
          <t xml:space="preserve">31754676       </t>
        </is>
      </c>
      <c r="F159" s="5" t="inlineStr">
        <is>
          <t>INFINITY NADO SERIE 6 STD PACK LANZ ESPAD ANILLO M</t>
        </is>
      </c>
      <c r="G159" t="n">
        <v>1</v>
      </c>
      <c r="H159" s="7" t="n">
        <v>79.90000000000001</v>
      </c>
      <c r="I159" s="7" t="n">
        <v>0</v>
      </c>
      <c r="J159" s="7" t="n">
        <v>0</v>
      </c>
      <c r="K159" s="9" t="n">
        <v>0</v>
      </c>
      <c r="L159" s="10" t="n">
        <v>47.4</v>
      </c>
      <c r="M159" s="10" t="n">
        <v>1.43</v>
      </c>
      <c r="N159" t="inlineStr">
        <is>
          <t>1</t>
        </is>
      </c>
      <c r="O159" t="inlineStr">
        <is>
          <t>16</t>
        </is>
      </c>
      <c r="P159" t="inlineStr">
        <is>
          <t xml:space="preserve">108348  </t>
        </is>
      </c>
      <c r="Q159" s="26" t="n">
        <v>79.90000000000001</v>
      </c>
      <c r="R159" s="26">
        <f>Q159*G159</f>
        <v/>
      </c>
      <c r="S159" t="n">
        <v>47.4</v>
      </c>
      <c r="T159" s="18">
        <f>1 - V159/S159</f>
        <v/>
      </c>
      <c r="U159" s="18" t="n">
        <v>0.2503128911138924</v>
      </c>
      <c r="V159" s="26" t="n">
        <v>38.07203389830509</v>
      </c>
      <c r="W159" s="26">
        <f>V159 - L159</f>
        <v/>
      </c>
    </row>
    <row r="160">
      <c r="A160" s="11" t="n">
        <v>46206</v>
      </c>
      <c r="B160" s="1" t="n">
        <v>20023</v>
      </c>
      <c r="C160" s="1" t="inlineStr">
        <is>
          <t>015</t>
        </is>
      </c>
      <c r="D160" s="1" t="inlineStr">
        <is>
          <t>239109</t>
        </is>
      </c>
      <c r="E160" s="1" t="inlineStr">
        <is>
          <t xml:space="preserve">29235701       </t>
        </is>
      </c>
      <c r="F160" s="5" t="inlineStr">
        <is>
          <t>INFINITY NADO TROMPO DE BATALLA - METAL EN CAJA</t>
        </is>
      </c>
      <c r="G160" t="n">
        <v>1</v>
      </c>
      <c r="H160" s="7" t="n">
        <v>39.9</v>
      </c>
      <c r="I160" s="7" t="n">
        <v>0</v>
      </c>
      <c r="J160" s="7" t="n">
        <v>0</v>
      </c>
      <c r="K160" s="9" t="n">
        <v>0</v>
      </c>
      <c r="L160" s="10" t="n">
        <v>23.67</v>
      </c>
      <c r="M160" s="10" t="n">
        <v>1.43</v>
      </c>
      <c r="N160" t="inlineStr">
        <is>
          <t>1</t>
        </is>
      </c>
      <c r="O160" t="inlineStr">
        <is>
          <t>16</t>
        </is>
      </c>
      <c r="P160" t="inlineStr">
        <is>
          <t xml:space="preserve">32926   </t>
        </is>
      </c>
      <c r="Q160" s="26" t="n">
        <v>39.9</v>
      </c>
      <c r="R160" s="26">
        <f>Q160*G160</f>
        <v/>
      </c>
      <c r="S160" t="n">
        <v>23.67</v>
      </c>
      <c r="T160" s="18">
        <f>1 - V160/S160</f>
        <v/>
      </c>
      <c r="U160" s="18" t="n">
        <v>0.2506265664160401</v>
      </c>
      <c r="V160" s="26" t="n">
        <v>19.00423728813559</v>
      </c>
      <c r="W160" s="26">
        <f>V160 - L160</f>
        <v/>
      </c>
    </row>
    <row r="161">
      <c r="A161" s="11" t="n">
        <v>46206</v>
      </c>
      <c r="B161" s="1" t="n">
        <v>20023</v>
      </c>
      <c r="C161" s="1" t="inlineStr">
        <is>
          <t>079</t>
        </is>
      </c>
      <c r="D161" s="1" t="inlineStr">
        <is>
          <t>288272</t>
        </is>
      </c>
      <c r="E161" s="1" t="inlineStr">
        <is>
          <t xml:space="preserve">28194781       </t>
        </is>
      </c>
      <c r="F161" s="5" t="inlineStr">
        <is>
          <t>TROMPO BATALLA INFINITY NADO SERIE V CLASICA SURTI</t>
        </is>
      </c>
      <c r="G161" t="n">
        <v>1</v>
      </c>
      <c r="H161" s="7" t="n">
        <v>59.9</v>
      </c>
      <c r="I161" s="7" t="n">
        <v>0</v>
      </c>
      <c r="J161" s="7" t="n">
        <v>0</v>
      </c>
      <c r="K161" s="9" t="n">
        <v>0</v>
      </c>
      <c r="L161" s="10" t="n">
        <v>35.53</v>
      </c>
      <c r="M161" s="10" t="n">
        <v>1.43</v>
      </c>
      <c r="N161" t="inlineStr">
        <is>
          <t>1</t>
        </is>
      </c>
      <c r="O161" t="inlineStr">
        <is>
          <t xml:space="preserve">6 </t>
        </is>
      </c>
      <c r="P161" t="inlineStr">
        <is>
          <t xml:space="preserve">38466   </t>
        </is>
      </c>
      <c r="Q161" s="26" t="n">
        <v>59.9</v>
      </c>
      <c r="R161" s="26">
        <f>Q161*G161</f>
        <v/>
      </c>
      <c r="S161" t="n">
        <v>35.53</v>
      </c>
      <c r="T161" s="18">
        <f>1 - V161/S161</f>
        <v/>
      </c>
      <c r="U161" s="18" t="n">
        <v>0.333889816360601</v>
      </c>
      <c r="V161" s="26" t="n">
        <v>25.36016949152542</v>
      </c>
      <c r="W161" s="26">
        <f>V161 - L161</f>
        <v/>
      </c>
    </row>
    <row r="162">
      <c r="A162" s="11" t="n">
        <v>46206</v>
      </c>
      <c r="B162" s="1" t="n">
        <v>20027</v>
      </c>
      <c r="C162" s="1" t="inlineStr">
        <is>
          <t>103</t>
        </is>
      </c>
      <c r="D162" s="1" t="inlineStr">
        <is>
          <t xml:space="preserve">26790 </t>
        </is>
      </c>
      <c r="E162" s="1" t="inlineStr">
        <is>
          <t xml:space="preserve">34840553       </t>
        </is>
      </c>
      <c r="F162" s="5" t="inlineStr">
        <is>
          <t>TMZ AUTO LUZ Y SONIDO ESQUELET DINO T-REX</t>
        </is>
      </c>
      <c r="G162" t="n">
        <v>1</v>
      </c>
      <c r="H162" s="7" t="n">
        <v>79.90000000000001</v>
      </c>
      <c r="I162" s="7" t="n">
        <v>0</v>
      </c>
      <c r="J162" s="7" t="n">
        <v>0</v>
      </c>
      <c r="K162" s="9" t="n">
        <v>0</v>
      </c>
      <c r="L162" s="10" t="n">
        <v>47.4</v>
      </c>
      <c r="M162" s="10" t="n">
        <v>1.43</v>
      </c>
      <c r="N162" t="inlineStr">
        <is>
          <t>1</t>
        </is>
      </c>
      <c r="O162" t="inlineStr">
        <is>
          <t>16</t>
        </is>
      </c>
      <c r="P162" t="inlineStr">
        <is>
          <t xml:space="preserve">42102   </t>
        </is>
      </c>
      <c r="Q162" s="26" t="n">
        <v>79.90000000000002</v>
      </c>
      <c r="R162" s="26">
        <f>Q162*G162</f>
        <v/>
      </c>
      <c r="S162" t="n">
        <v>47.4</v>
      </c>
      <c r="T162" s="18">
        <f>1 - V162/S162</f>
        <v/>
      </c>
      <c r="U162" s="18" t="n">
        <v>0</v>
      </c>
      <c r="V162" s="26" t="n">
        <v>47.4</v>
      </c>
      <c r="W162" s="26">
        <f>V162 - L162</f>
        <v/>
      </c>
    </row>
    <row r="163">
      <c r="A163" s="11" t="n">
        <v>46206</v>
      </c>
      <c r="B163" s="1" t="n">
        <v>20028</v>
      </c>
      <c r="C163" s="1" t="inlineStr">
        <is>
          <t>012</t>
        </is>
      </c>
      <c r="D163" s="1" t="inlineStr">
        <is>
          <t xml:space="preserve">27852 </t>
        </is>
      </c>
      <c r="E163" s="1" t="inlineStr">
        <is>
          <t xml:space="preserve">28194770       </t>
        </is>
      </c>
      <c r="F163" s="5" t="inlineStr">
        <is>
          <t>AUTOS DE METAL 3 TEAMSTERZ EN BLISTER</t>
        </is>
      </c>
      <c r="G163" t="n">
        <v>1</v>
      </c>
      <c r="H163" s="7" t="n">
        <v>6.9</v>
      </c>
      <c r="I163" s="7" t="n">
        <v>0</v>
      </c>
      <c r="J163" s="7" t="n">
        <v>0</v>
      </c>
      <c r="K163" s="9" t="n">
        <v>0</v>
      </c>
      <c r="L163" s="10" t="n">
        <v>4.1</v>
      </c>
      <c r="M163" s="10" t="n">
        <v>1.43</v>
      </c>
      <c r="N163" t="inlineStr">
        <is>
          <t>1</t>
        </is>
      </c>
      <c r="O163" t="inlineStr">
        <is>
          <t xml:space="preserve">2 </t>
        </is>
      </c>
      <c r="P163" t="inlineStr">
        <is>
          <t xml:space="preserve">245445  </t>
        </is>
      </c>
      <c r="Q163" s="26" t="n">
        <v>6.9</v>
      </c>
      <c r="R163" s="26">
        <f>Q163*G163</f>
        <v/>
      </c>
      <c r="S163" t="n">
        <v>4.09</v>
      </c>
      <c r="T163" s="18">
        <f>1 - V163/S163</f>
        <v/>
      </c>
      <c r="U163" s="18" t="n">
        <v>0</v>
      </c>
      <c r="V163" s="26" t="n">
        <v>4.09</v>
      </c>
      <c r="W163" s="26">
        <f>V163 - L163</f>
        <v/>
      </c>
    </row>
    <row r="164">
      <c r="A164" s="11" t="n">
        <v>46206</v>
      </c>
      <c r="B164" s="1" t="n">
        <v>20028</v>
      </c>
      <c r="C164" s="1" t="inlineStr">
        <is>
          <t>088</t>
        </is>
      </c>
      <c r="D164" s="1" t="inlineStr">
        <is>
          <t>340176</t>
        </is>
      </c>
      <c r="E164" s="1" t="inlineStr">
        <is>
          <t xml:space="preserve">35685067       </t>
        </is>
      </c>
      <c r="F164" s="5" t="inlineStr">
        <is>
          <t>HOT WHEELS POWER SET 3 EN 1</t>
        </is>
      </c>
      <c r="G164" t="n">
        <v>1</v>
      </c>
      <c r="H164" s="7" t="n">
        <v>49.9</v>
      </c>
      <c r="I164" s="7" t="n">
        <v>0</v>
      </c>
      <c r="J164" s="7" t="n">
        <v>0</v>
      </c>
      <c r="K164" s="9" t="n">
        <v>0</v>
      </c>
      <c r="L164" s="10" t="n">
        <v>29.6</v>
      </c>
      <c r="M164" s="10" t="n">
        <v>1.43</v>
      </c>
      <c r="N164" t="inlineStr">
        <is>
          <t>1</t>
        </is>
      </c>
      <c r="O164" t="inlineStr">
        <is>
          <t>16</t>
        </is>
      </c>
      <c r="P164" t="inlineStr">
        <is>
          <t xml:space="preserve">69765   </t>
        </is>
      </c>
      <c r="Q164" s="26" t="n">
        <v>49.9</v>
      </c>
      <c r="R164" s="26">
        <f>Q164*G164</f>
        <v/>
      </c>
      <c r="S164" t="n">
        <v>29.6</v>
      </c>
      <c r="T164" s="18">
        <f>1 - V164/S164</f>
        <v/>
      </c>
      <c r="U164" s="18" t="n">
        <v>0</v>
      </c>
      <c r="V164" s="26" t="n">
        <v>29.6</v>
      </c>
      <c r="W164" s="26">
        <f>V164 - L164</f>
        <v/>
      </c>
    </row>
    <row r="165">
      <c r="A165" s="11" t="n">
        <v>46206</v>
      </c>
      <c r="B165" s="1" t="n">
        <v>20030</v>
      </c>
      <c r="C165" s="1" t="inlineStr">
        <is>
          <t>067</t>
        </is>
      </c>
      <c r="D165" s="1" t="inlineStr">
        <is>
          <t>273231</t>
        </is>
      </c>
      <c r="E165" s="1" t="inlineStr">
        <is>
          <t xml:space="preserve">34840519       </t>
        </is>
      </c>
      <c r="F165" s="5" t="inlineStr">
        <is>
          <t>MUNECA EVI LOVE CARRUAJE CON CABALLO</t>
        </is>
      </c>
      <c r="G165" t="n">
        <v>1</v>
      </c>
      <c r="H165" s="7" t="n">
        <v>69.90000000000001</v>
      </c>
      <c r="I165" s="7" t="n">
        <v>0</v>
      </c>
      <c r="J165" s="7" t="n">
        <v>0</v>
      </c>
      <c r="K165" s="9" t="n">
        <v>0</v>
      </c>
      <c r="L165" s="10" t="n">
        <v>41.47</v>
      </c>
      <c r="M165" s="10" t="n">
        <v>1.43</v>
      </c>
      <c r="N165" t="inlineStr">
        <is>
          <t>1</t>
        </is>
      </c>
      <c r="O165" t="inlineStr">
        <is>
          <t>16</t>
        </is>
      </c>
      <c r="P165" t="inlineStr">
        <is>
          <t xml:space="preserve">48628   </t>
        </is>
      </c>
      <c r="Q165" s="26" t="n">
        <v>69.90000000000002</v>
      </c>
      <c r="R165" s="26">
        <f>Q165*G165</f>
        <v/>
      </c>
      <c r="S165" t="n">
        <v>41.47</v>
      </c>
      <c r="T165" s="18">
        <f>1 - V165/S165</f>
        <v/>
      </c>
      <c r="U165" s="18" t="n">
        <v>0.4</v>
      </c>
      <c r="V165" s="26" t="n">
        <v>31.98813559322035</v>
      </c>
      <c r="W165" s="26">
        <f>V165 - L165</f>
        <v/>
      </c>
    </row>
    <row r="166">
      <c r="A166" s="11" t="n">
        <v>46206</v>
      </c>
      <c r="B166" s="1" t="n">
        <v>20030</v>
      </c>
      <c r="C166" s="1" t="inlineStr">
        <is>
          <t>067</t>
        </is>
      </c>
      <c r="D166" s="1" t="inlineStr">
        <is>
          <t>273239</t>
        </is>
      </c>
      <c r="E166" s="1" t="inlineStr">
        <is>
          <t xml:space="preserve">32457103       </t>
        </is>
      </c>
      <c r="F166" s="5" t="inlineStr">
        <is>
          <t>TMZ BEAST MACHINES MONSTER JAWS A FRICCION PACK DE</t>
        </is>
      </c>
      <c r="G166" t="n">
        <v>1</v>
      </c>
      <c r="H166" s="7" t="n">
        <v>37.9</v>
      </c>
      <c r="I166" s="7" t="n">
        <v>0</v>
      </c>
      <c r="J166" s="7" t="n">
        <v>0</v>
      </c>
      <c r="K166" s="9" t="n">
        <v>0</v>
      </c>
      <c r="L166" s="10" t="n">
        <v>22.48</v>
      </c>
      <c r="M166" s="10" t="n">
        <v>1.43</v>
      </c>
      <c r="N166" t="inlineStr">
        <is>
          <t>1</t>
        </is>
      </c>
      <c r="O166" t="inlineStr">
        <is>
          <t>16</t>
        </is>
      </c>
      <c r="P166" t="inlineStr">
        <is>
          <t xml:space="preserve">48628   </t>
        </is>
      </c>
      <c r="Q166" s="26" t="n">
        <v>37.9</v>
      </c>
      <c r="R166" s="26">
        <f>Q166*G166</f>
        <v/>
      </c>
      <c r="S166" t="n">
        <v>22.48</v>
      </c>
      <c r="T166" s="18">
        <f>1 - V166/S166</f>
        <v/>
      </c>
      <c r="U166" s="18" t="n">
        <v>0.1319261213720316</v>
      </c>
      <c r="V166" s="26" t="n">
        <v>16.75101694915254</v>
      </c>
      <c r="W166" s="26">
        <f>V166 - L166</f>
        <v/>
      </c>
    </row>
    <row r="167">
      <c r="A167" s="11" t="n">
        <v>46206</v>
      </c>
      <c r="B167" s="1" t="n">
        <v>20030</v>
      </c>
      <c r="C167" s="1" t="inlineStr">
        <is>
          <t>077</t>
        </is>
      </c>
      <c r="D167" s="1" t="inlineStr">
        <is>
          <t>231703</t>
        </is>
      </c>
      <c r="E167" s="1" t="inlineStr">
        <is>
          <t xml:space="preserve">28194770       </t>
        </is>
      </c>
      <c r="F167" s="5" t="inlineStr">
        <is>
          <t>AUTOS DE METAL 3 TEAMSTERZ EN BLISTER</t>
        </is>
      </c>
      <c r="G167" t="n">
        <v>1</v>
      </c>
      <c r="H167" s="7" t="n">
        <v>6.9</v>
      </c>
      <c r="I167" s="7" t="n">
        <v>0</v>
      </c>
      <c r="J167" s="7" t="n">
        <v>0</v>
      </c>
      <c r="K167" s="9" t="n">
        <v>0</v>
      </c>
      <c r="L167" s="10" t="n">
        <v>4.1</v>
      </c>
      <c r="M167" s="10" t="n">
        <v>1.43</v>
      </c>
      <c r="N167" t="inlineStr">
        <is>
          <t>1</t>
        </is>
      </c>
      <c r="O167" t="inlineStr">
        <is>
          <t>16</t>
        </is>
      </c>
      <c r="P167" t="inlineStr">
        <is>
          <t xml:space="preserve">99737   </t>
        </is>
      </c>
      <c r="Q167" s="26" t="n">
        <v>6.9</v>
      </c>
      <c r="R167" s="26">
        <f>Q167*G167</f>
        <v/>
      </c>
      <c r="S167" t="n">
        <v>4.09</v>
      </c>
      <c r="T167" s="18">
        <f>1 - V167/S167</f>
        <v/>
      </c>
      <c r="U167" s="18" t="n">
        <v>0</v>
      </c>
      <c r="V167" s="26" t="n">
        <v>4.09</v>
      </c>
      <c r="W167" s="26">
        <f>V167 - L167</f>
        <v/>
      </c>
    </row>
    <row r="168">
      <c r="A168" s="11" t="n">
        <v>46206</v>
      </c>
      <c r="B168" s="1" t="n">
        <v>20030</v>
      </c>
      <c r="C168" s="1" t="inlineStr">
        <is>
          <t>077</t>
        </is>
      </c>
      <c r="D168" s="1" t="inlineStr">
        <is>
          <t>231714</t>
        </is>
      </c>
      <c r="E168" s="1" t="inlineStr">
        <is>
          <t xml:space="preserve">34840525       </t>
        </is>
      </c>
      <c r="F168" s="5" t="inlineStr">
        <is>
          <t>NENUCO VAMOS DE PASEO</t>
        </is>
      </c>
      <c r="G168" t="n">
        <v>1</v>
      </c>
      <c r="H168" s="7" t="n">
        <v>99</v>
      </c>
      <c r="I168" s="7" t="n">
        <v>0</v>
      </c>
      <c r="J168" s="7" t="n">
        <v>0</v>
      </c>
      <c r="K168" s="9" t="n">
        <v>0</v>
      </c>
      <c r="L168" s="10" t="n">
        <v>58.73</v>
      </c>
      <c r="M168" s="10" t="n">
        <v>1.43</v>
      </c>
      <c r="N168" t="inlineStr">
        <is>
          <t>1</t>
        </is>
      </c>
      <c r="O168" t="inlineStr">
        <is>
          <t>16</t>
        </is>
      </c>
      <c r="P168" t="inlineStr">
        <is>
          <t xml:space="preserve">99737   </t>
        </is>
      </c>
      <c r="Q168" s="26" t="n">
        <v>99</v>
      </c>
      <c r="R168" s="26">
        <f>Q168*G168</f>
        <v/>
      </c>
      <c r="S168" t="n">
        <v>58.73</v>
      </c>
      <c r="T168" s="18">
        <f>1 - V168/S168</f>
        <v/>
      </c>
      <c r="U168" s="18" t="n">
        <v>0.1929292929292928</v>
      </c>
      <c r="V168" s="26" t="n">
        <v>50.78389830508475</v>
      </c>
      <c r="W168" s="26">
        <f>V168 - L168</f>
        <v/>
      </c>
    </row>
    <row r="169">
      <c r="A169" s="11" t="n">
        <v>46206</v>
      </c>
      <c r="B169" s="1" t="n">
        <v>20030</v>
      </c>
      <c r="C169" s="1" t="inlineStr">
        <is>
          <t>077</t>
        </is>
      </c>
      <c r="D169" s="1" t="inlineStr">
        <is>
          <t>231730</t>
        </is>
      </c>
      <c r="E169" s="1" t="inlineStr">
        <is>
          <t xml:space="preserve">28194770       </t>
        </is>
      </c>
      <c r="F169" s="5" t="inlineStr">
        <is>
          <t>AUTOS DE METAL 3 TEAMSTERZ EN BLISTER</t>
        </is>
      </c>
      <c r="G169" t="n">
        <v>1</v>
      </c>
      <c r="H169" s="7" t="n">
        <v>6.9</v>
      </c>
      <c r="I169" s="7" t="n">
        <v>0</v>
      </c>
      <c r="J169" s="7" t="n">
        <v>0</v>
      </c>
      <c r="K169" s="9" t="n">
        <v>0</v>
      </c>
      <c r="L169" s="10" t="n">
        <v>4.1</v>
      </c>
      <c r="M169" s="10" t="n">
        <v>1.43</v>
      </c>
      <c r="N169" t="inlineStr">
        <is>
          <t>1</t>
        </is>
      </c>
      <c r="O169" t="inlineStr">
        <is>
          <t xml:space="preserve">2 </t>
        </is>
      </c>
      <c r="P169" t="inlineStr">
        <is>
          <t xml:space="preserve">99737   </t>
        </is>
      </c>
      <c r="Q169" s="26" t="n">
        <v>6.9</v>
      </c>
      <c r="R169" s="26">
        <f>Q169*G169</f>
        <v/>
      </c>
      <c r="S169" t="n">
        <v>4.09</v>
      </c>
      <c r="T169" s="18">
        <f>1 - V169/S169</f>
        <v/>
      </c>
      <c r="U169" s="18" t="n">
        <v>0</v>
      </c>
      <c r="V169" s="26" t="n">
        <v>4.09</v>
      </c>
      <c r="W169" s="26">
        <f>V169 - L169</f>
        <v/>
      </c>
    </row>
    <row r="170">
      <c r="A170" s="11" t="n">
        <v>46206</v>
      </c>
      <c r="B170" s="1" t="n">
        <v>20030</v>
      </c>
      <c r="C170" s="1" t="inlineStr">
        <is>
          <t>077</t>
        </is>
      </c>
      <c r="D170" s="1" t="inlineStr">
        <is>
          <t>231730</t>
        </is>
      </c>
      <c r="E170" s="1" t="inlineStr">
        <is>
          <t xml:space="preserve">28194770       </t>
        </is>
      </c>
      <c r="F170" s="5" t="inlineStr">
        <is>
          <t>AUTOS DE METAL 3 TEAMSTERZ EN BLISTER</t>
        </is>
      </c>
      <c r="G170" t="n">
        <v>1</v>
      </c>
      <c r="H170" s="7" t="n">
        <v>6.9</v>
      </c>
      <c r="I170" s="7" t="n">
        <v>0</v>
      </c>
      <c r="J170" s="7" t="n">
        <v>0</v>
      </c>
      <c r="K170" s="9" t="n">
        <v>0</v>
      </c>
      <c r="L170" s="10" t="n">
        <v>4.1</v>
      </c>
      <c r="M170" s="10" t="n">
        <v>1.43</v>
      </c>
      <c r="N170" t="inlineStr">
        <is>
          <t>1</t>
        </is>
      </c>
      <c r="O170" t="inlineStr">
        <is>
          <t xml:space="preserve">2 </t>
        </is>
      </c>
      <c r="P170" t="inlineStr">
        <is>
          <t xml:space="preserve">99737   </t>
        </is>
      </c>
      <c r="Q170" s="26" t="n">
        <v>6.9</v>
      </c>
      <c r="R170" s="26">
        <f>Q170*G170</f>
        <v/>
      </c>
      <c r="S170" t="n">
        <v>4.09</v>
      </c>
      <c r="T170" s="18">
        <f>1 - V170/S170</f>
        <v/>
      </c>
      <c r="U170" s="18" t="n">
        <v>0</v>
      </c>
      <c r="V170" s="26" t="n">
        <v>4.09</v>
      </c>
      <c r="W170" s="26">
        <f>V170 - L170</f>
        <v/>
      </c>
    </row>
    <row r="171">
      <c r="A171" s="11" t="n">
        <v>46206</v>
      </c>
      <c r="B171" s="1" t="n">
        <v>20030</v>
      </c>
      <c r="C171" s="1" t="inlineStr">
        <is>
          <t>077</t>
        </is>
      </c>
      <c r="D171" s="1" t="inlineStr">
        <is>
          <t>231736</t>
        </is>
      </c>
      <c r="E171" s="1" t="inlineStr">
        <is>
          <t xml:space="preserve">28194769       </t>
        </is>
      </c>
      <c r="F171" s="5" t="inlineStr">
        <is>
          <t>AUTOS DE METAL 3 TEAMSTERZ PACK DE 2</t>
        </is>
      </c>
      <c r="G171" t="n">
        <v>1</v>
      </c>
      <c r="H171" s="7" t="n">
        <v>13.8</v>
      </c>
      <c r="I171" s="7" t="n">
        <v>0</v>
      </c>
      <c r="J171" s="7" t="n">
        <v>0</v>
      </c>
      <c r="K171" s="9" t="n">
        <v>0</v>
      </c>
      <c r="L171" s="10" t="n">
        <v>8.18</v>
      </c>
      <c r="M171" s="10" t="n">
        <v>1.43</v>
      </c>
      <c r="N171" t="inlineStr">
        <is>
          <t>1</t>
        </is>
      </c>
      <c r="O171" t="inlineStr">
        <is>
          <t>16</t>
        </is>
      </c>
      <c r="P171" t="inlineStr">
        <is>
          <t xml:space="preserve">99737   </t>
        </is>
      </c>
      <c r="Q171" s="26" t="n">
        <v>13.8</v>
      </c>
      <c r="R171" s="26">
        <f>Q171*G171</f>
        <v/>
      </c>
      <c r="S171" t="n">
        <v>8.19</v>
      </c>
      <c r="T171" s="18">
        <f>1 - V171/S171</f>
        <v/>
      </c>
      <c r="U171" s="18" t="n">
        <v>0</v>
      </c>
      <c r="V171" s="26" t="n">
        <v>8.19</v>
      </c>
      <c r="W171" s="26">
        <f>V171 - L171</f>
        <v/>
      </c>
    </row>
    <row r="172">
      <c r="A172" s="11" t="n">
        <v>46206</v>
      </c>
      <c r="B172" s="1" t="n">
        <v>20030</v>
      </c>
      <c r="C172" s="1" t="inlineStr">
        <is>
          <t>077</t>
        </is>
      </c>
      <c r="D172" s="1" t="inlineStr">
        <is>
          <t>231736</t>
        </is>
      </c>
      <c r="E172" s="1" t="inlineStr">
        <is>
          <t xml:space="preserve">28194770       </t>
        </is>
      </c>
      <c r="F172" s="5" t="inlineStr">
        <is>
          <t>AUTOS DE METAL 3 TEAMSTERZ EN BLISTER</t>
        </is>
      </c>
      <c r="G172" t="n">
        <v>1</v>
      </c>
      <c r="H172" s="7" t="n">
        <v>6.9</v>
      </c>
      <c r="I172" s="7" t="n">
        <v>0</v>
      </c>
      <c r="J172" s="7" t="n">
        <v>0</v>
      </c>
      <c r="K172" s="9" t="n">
        <v>0</v>
      </c>
      <c r="L172" s="10" t="n">
        <v>4.1</v>
      </c>
      <c r="M172" s="10" t="n">
        <v>1.43</v>
      </c>
      <c r="N172" t="inlineStr">
        <is>
          <t>1</t>
        </is>
      </c>
      <c r="O172" t="inlineStr">
        <is>
          <t>16</t>
        </is>
      </c>
      <c r="P172" t="inlineStr">
        <is>
          <t xml:space="preserve">99737   </t>
        </is>
      </c>
      <c r="Q172" s="26" t="n">
        <v>6.9</v>
      </c>
      <c r="R172" s="26">
        <f>Q172*G172</f>
        <v/>
      </c>
      <c r="S172" t="n">
        <v>4.09</v>
      </c>
      <c r="T172" s="18">
        <f>1 - V172/S172</f>
        <v/>
      </c>
      <c r="U172" s="18" t="n">
        <v>0</v>
      </c>
      <c r="V172" s="26" t="n">
        <v>4.09</v>
      </c>
      <c r="W172" s="26">
        <f>V172 - L172</f>
        <v/>
      </c>
    </row>
    <row r="173">
      <c r="A173" s="11" t="n">
        <v>46206</v>
      </c>
      <c r="B173" s="1" t="n">
        <v>20040</v>
      </c>
      <c r="C173" s="1" t="inlineStr">
        <is>
          <t>073</t>
        </is>
      </c>
      <c r="D173" s="1" t="inlineStr">
        <is>
          <t>253883</t>
        </is>
      </c>
      <c r="E173" s="1" t="inlineStr">
        <is>
          <t xml:space="preserve">31675354       </t>
        </is>
      </c>
      <c r="F173" s="5" t="inlineStr">
        <is>
          <t>NENUCO LLORON CON ACCESORIOS</t>
        </is>
      </c>
      <c r="G173" t="n">
        <v>1</v>
      </c>
      <c r="H173" s="7" t="n">
        <v>89.90000000000001</v>
      </c>
      <c r="I173" s="7" t="n">
        <v>0</v>
      </c>
      <c r="J173" s="7" t="n">
        <v>0</v>
      </c>
      <c r="K173" s="9" t="n">
        <v>0</v>
      </c>
      <c r="L173" s="10" t="n">
        <v>53.33</v>
      </c>
      <c r="M173" s="10" t="n">
        <v>1.43</v>
      </c>
      <c r="N173" t="inlineStr">
        <is>
          <t>1</t>
        </is>
      </c>
      <c r="O173" t="inlineStr">
        <is>
          <t xml:space="preserve">2 </t>
        </is>
      </c>
      <c r="P173" t="inlineStr">
        <is>
          <t xml:space="preserve">243636  </t>
        </is>
      </c>
      <c r="Q173" s="26" t="n">
        <v>89.90000000000001</v>
      </c>
      <c r="R173" s="26">
        <f>Q173*G173</f>
        <v/>
      </c>
      <c r="S173" t="n">
        <v>53.33</v>
      </c>
      <c r="T173" s="18">
        <f>1 - V173/S173</f>
        <v/>
      </c>
      <c r="U173" s="18" t="n">
        <v>0.2224694104560623</v>
      </c>
      <c r="V173" s="26" t="n">
        <v>44.42796610169492</v>
      </c>
      <c r="W173" s="26">
        <f>V173 - L173</f>
        <v/>
      </c>
    </row>
    <row r="174">
      <c r="A174" s="11" t="n">
        <v>46206</v>
      </c>
      <c r="B174" s="1" t="n">
        <v>20040</v>
      </c>
      <c r="C174" s="1" t="inlineStr">
        <is>
          <t>083</t>
        </is>
      </c>
      <c r="D174" s="1" t="inlineStr">
        <is>
          <t>158944</t>
        </is>
      </c>
      <c r="E174" s="1" t="inlineStr">
        <is>
          <t xml:space="preserve">29235710       </t>
        </is>
      </c>
      <c r="F174" s="5" t="inlineStr">
        <is>
          <t>TEAMSTERZ PLAYSET GRANDES CONSTRUCCIONES</t>
        </is>
      </c>
      <c r="G174" t="n">
        <v>1</v>
      </c>
      <c r="H174" s="7" t="n">
        <v>19.9</v>
      </c>
      <c r="I174" s="7" t="n">
        <v>0</v>
      </c>
      <c r="J174" s="7" t="n">
        <v>0</v>
      </c>
      <c r="K174" s="9" t="n">
        <v>0</v>
      </c>
      <c r="L174" s="10" t="n">
        <v>11.8</v>
      </c>
      <c r="M174" s="10" t="n">
        <v>1.43</v>
      </c>
      <c r="N174" t="inlineStr">
        <is>
          <t>1</t>
        </is>
      </c>
      <c r="O174" t="inlineStr">
        <is>
          <t xml:space="preserve">3 </t>
        </is>
      </c>
      <c r="P174" t="inlineStr">
        <is>
          <t xml:space="preserve">248589  </t>
        </is>
      </c>
      <c r="Q174" s="26" t="n">
        <v>19.9</v>
      </c>
      <c r="R174" s="26">
        <f>Q174*G174</f>
        <v/>
      </c>
      <c r="S174" t="n">
        <v>11.81</v>
      </c>
      <c r="T174" s="18">
        <f>1 - V174/S174</f>
        <v/>
      </c>
      <c r="U174" s="18" t="n">
        <v>0</v>
      </c>
      <c r="V174" s="26" t="n">
        <v>11.81</v>
      </c>
      <c r="W174" s="26">
        <f>V174 - L174</f>
        <v/>
      </c>
    </row>
    <row r="175">
      <c r="A175" s="11" t="n">
        <v>46206</v>
      </c>
      <c r="B175" s="1" t="n">
        <v>20040</v>
      </c>
      <c r="C175" s="1" t="inlineStr">
        <is>
          <t>083</t>
        </is>
      </c>
      <c r="D175" s="1" t="inlineStr">
        <is>
          <t>158972</t>
        </is>
      </c>
      <c r="E175" s="1" t="inlineStr">
        <is>
          <t xml:space="preserve">28194768       </t>
        </is>
      </c>
      <c r="F175" s="5" t="inlineStr">
        <is>
          <t>AUTO COLOR CHANGE TEAMSTERZ SURTIDO</t>
        </is>
      </c>
      <c r="G175" t="n">
        <v>1</v>
      </c>
      <c r="H175" s="7" t="n">
        <v>14.9</v>
      </c>
      <c r="I175" s="7" t="n">
        <v>0</v>
      </c>
      <c r="J175" s="7" t="n">
        <v>0</v>
      </c>
      <c r="K175" s="9" t="n">
        <v>0</v>
      </c>
      <c r="L175" s="10" t="n">
        <v>8.84</v>
      </c>
      <c r="M175" s="10" t="n">
        <v>1.43</v>
      </c>
      <c r="N175" t="inlineStr">
        <is>
          <t>1</t>
        </is>
      </c>
      <c r="O175" t="inlineStr">
        <is>
          <t xml:space="preserve">2 </t>
        </is>
      </c>
      <c r="P175" t="inlineStr">
        <is>
          <t xml:space="preserve">241887  </t>
        </is>
      </c>
      <c r="Q175" s="26" t="n">
        <v>14.9</v>
      </c>
      <c r="R175" s="26">
        <f>Q175*G175</f>
        <v/>
      </c>
      <c r="S175" t="n">
        <v>8.84</v>
      </c>
      <c r="T175" s="18">
        <f>1 - V175/S175</f>
        <v/>
      </c>
      <c r="U175" s="18" t="n">
        <v>0</v>
      </c>
      <c r="V175" s="26" t="n">
        <v>8.84</v>
      </c>
      <c r="W175" s="26">
        <f>V175 - L175</f>
        <v/>
      </c>
    </row>
    <row r="176">
      <c r="A176" s="11" t="n">
        <v>46206</v>
      </c>
      <c r="B176" s="1" t="n">
        <v>20040</v>
      </c>
      <c r="C176" s="1" t="inlineStr">
        <is>
          <t>083</t>
        </is>
      </c>
      <c r="D176" s="1" t="inlineStr">
        <is>
          <t>159011</t>
        </is>
      </c>
      <c r="E176" s="1" t="inlineStr">
        <is>
          <t xml:space="preserve">29773844       </t>
        </is>
      </c>
      <c r="F176" s="5" t="inlineStr">
        <is>
          <t>INFINITY NADO MALETIN DE TROMPO DE BATALLA DE META</t>
        </is>
      </c>
      <c r="G176" t="n">
        <v>1</v>
      </c>
      <c r="H176" s="7" t="n">
        <v>99</v>
      </c>
      <c r="I176" s="7" t="n">
        <v>0</v>
      </c>
      <c r="J176" s="7" t="n">
        <v>0</v>
      </c>
      <c r="K176" s="9" t="n">
        <v>0</v>
      </c>
      <c r="L176" s="10" t="n">
        <v>58.73</v>
      </c>
      <c r="M176" s="10" t="n">
        <v>1.43</v>
      </c>
      <c r="N176" t="inlineStr">
        <is>
          <t>1</t>
        </is>
      </c>
      <c r="O176" t="inlineStr">
        <is>
          <t xml:space="preserve">2 </t>
        </is>
      </c>
      <c r="P176" t="inlineStr">
        <is>
          <t xml:space="preserve">241887  </t>
        </is>
      </c>
      <c r="Q176" s="26" t="n">
        <v>99</v>
      </c>
      <c r="R176" s="26">
        <f>Q176*G176</f>
        <v/>
      </c>
      <c r="S176" t="n">
        <v>58.73</v>
      </c>
      <c r="T176" s="18">
        <f>1 - V176/S176</f>
        <v/>
      </c>
      <c r="U176" s="18" t="n">
        <v>0.1929292929292928</v>
      </c>
      <c r="V176" s="26" t="n">
        <v>50.78389830508475</v>
      </c>
      <c r="W176" s="26">
        <f>V176 - L176</f>
        <v/>
      </c>
    </row>
    <row r="177">
      <c r="A177" s="11" t="n">
        <v>46206</v>
      </c>
      <c r="B177" s="1" t="n">
        <v>20040</v>
      </c>
      <c r="C177" s="1" t="inlineStr">
        <is>
          <t>190</t>
        </is>
      </c>
      <c r="D177" s="1" t="inlineStr">
        <is>
          <t>367499</t>
        </is>
      </c>
      <c r="E177" s="1" t="inlineStr">
        <is>
          <t xml:space="preserve">33661538       </t>
        </is>
      </c>
      <c r="F177" s="5" t="inlineStr">
        <is>
          <t>HOT WHEELS CASE GARAGE RUEDA METAL EN LLAMAS X 29</t>
        </is>
      </c>
      <c r="G177" t="n">
        <v>1</v>
      </c>
      <c r="H177" s="7" t="n">
        <v>69.90000000000001</v>
      </c>
      <c r="I177" s="7" t="n">
        <v>0</v>
      </c>
      <c r="J177" s="7" t="n">
        <v>0</v>
      </c>
      <c r="K177" s="9" t="n">
        <v>0</v>
      </c>
      <c r="L177" s="10" t="n">
        <v>41.47</v>
      </c>
      <c r="M177" s="10" t="n">
        <v>1.43</v>
      </c>
      <c r="N177" t="inlineStr">
        <is>
          <t>1</t>
        </is>
      </c>
      <c r="O177" t="inlineStr">
        <is>
          <t xml:space="preserve">3 </t>
        </is>
      </c>
      <c r="P177" t="inlineStr">
        <is>
          <t xml:space="preserve">247177  </t>
        </is>
      </c>
      <c r="Q177" s="26" t="n">
        <v>69.90000000000001</v>
      </c>
      <c r="R177" s="26">
        <f>Q177*G177</f>
        <v/>
      </c>
      <c r="S177" t="n">
        <v>41.47</v>
      </c>
      <c r="T177" s="18">
        <f>1 - V177/S177</f>
        <v/>
      </c>
      <c r="U177" s="18" t="n">
        <v>0</v>
      </c>
      <c r="V177" s="26" t="n">
        <v>41.47</v>
      </c>
      <c r="W177" s="26">
        <f>V177 - L177</f>
        <v/>
      </c>
    </row>
    <row r="178">
      <c r="A178" s="11" t="n">
        <v>46206</v>
      </c>
      <c r="B178" s="1" t="n">
        <v>20041</v>
      </c>
      <c r="C178" s="1" t="inlineStr">
        <is>
          <t>012</t>
        </is>
      </c>
      <c r="D178" s="1" t="inlineStr">
        <is>
          <t>323360</t>
        </is>
      </c>
      <c r="E178" s="1" t="inlineStr">
        <is>
          <t xml:space="preserve">28194770       </t>
        </is>
      </c>
      <c r="F178" s="5" t="inlineStr">
        <is>
          <t>AUTOS DE METAL 3 TEAMSTERZ EN BLISTER</t>
        </is>
      </c>
      <c r="G178" t="n">
        <v>1</v>
      </c>
      <c r="H178" s="7" t="n">
        <v>6.9</v>
      </c>
      <c r="I178" s="7" t="n">
        <v>0</v>
      </c>
      <c r="J178" s="7" t="n">
        <v>0</v>
      </c>
      <c r="K178" s="9" t="n">
        <v>0</v>
      </c>
      <c r="L178" s="10" t="n">
        <v>4.1</v>
      </c>
      <c r="M178" s="10" t="n">
        <v>1.43</v>
      </c>
      <c r="N178" t="inlineStr">
        <is>
          <t>1</t>
        </is>
      </c>
      <c r="O178" t="inlineStr">
        <is>
          <t>16</t>
        </is>
      </c>
      <c r="P178" t="inlineStr">
        <is>
          <t xml:space="preserve">36128   </t>
        </is>
      </c>
      <c r="Q178" s="26" t="n">
        <v>6.9</v>
      </c>
      <c r="R178" s="26">
        <f>Q178*G178</f>
        <v/>
      </c>
      <c r="S178" t="n">
        <v>4.09</v>
      </c>
      <c r="T178" s="18">
        <f>1 - V178/S178</f>
        <v/>
      </c>
      <c r="U178" s="18" t="n">
        <v>0</v>
      </c>
      <c r="V178" s="26" t="n">
        <v>4.09</v>
      </c>
      <c r="W178" s="26">
        <f>V178 - L178</f>
        <v/>
      </c>
    </row>
    <row r="179">
      <c r="A179" s="11" t="n">
        <v>46206</v>
      </c>
      <c r="B179" s="1" t="n">
        <v>20041</v>
      </c>
      <c r="C179" s="1" t="inlineStr">
        <is>
          <t>012</t>
        </is>
      </c>
      <c r="D179" s="1" t="inlineStr">
        <is>
          <t>323360</t>
        </is>
      </c>
      <c r="E179" s="1" t="inlineStr">
        <is>
          <t xml:space="preserve">28194770       </t>
        </is>
      </c>
      <c r="F179" s="5" t="inlineStr">
        <is>
          <t>AUTOS DE METAL 3 TEAMSTERZ EN BLISTER</t>
        </is>
      </c>
      <c r="G179" t="n">
        <v>1</v>
      </c>
      <c r="H179" s="7" t="n">
        <v>6.9</v>
      </c>
      <c r="I179" s="7" t="n">
        <v>0</v>
      </c>
      <c r="J179" s="7" t="n">
        <v>0</v>
      </c>
      <c r="K179" s="9" t="n">
        <v>0</v>
      </c>
      <c r="L179" s="10" t="n">
        <v>4.1</v>
      </c>
      <c r="M179" s="10" t="n">
        <v>1.43</v>
      </c>
      <c r="N179" t="inlineStr">
        <is>
          <t>1</t>
        </is>
      </c>
      <c r="O179" t="inlineStr">
        <is>
          <t>16</t>
        </is>
      </c>
      <c r="P179" t="inlineStr">
        <is>
          <t xml:space="preserve">36128   </t>
        </is>
      </c>
      <c r="Q179" s="26" t="n">
        <v>6.9</v>
      </c>
      <c r="R179" s="26">
        <f>Q179*G179</f>
        <v/>
      </c>
      <c r="S179" t="n">
        <v>4.09</v>
      </c>
      <c r="T179" s="18">
        <f>1 - V179/S179</f>
        <v/>
      </c>
      <c r="U179" s="18" t="n">
        <v>0</v>
      </c>
      <c r="V179" s="26" t="n">
        <v>4.09</v>
      </c>
      <c r="W179" s="26">
        <f>V179 - L179</f>
        <v/>
      </c>
    </row>
    <row r="180">
      <c r="A180" s="11" t="n">
        <v>46206</v>
      </c>
      <c r="B180" s="1" t="n">
        <v>20041</v>
      </c>
      <c r="C180" s="1" t="inlineStr">
        <is>
          <t>018</t>
        </is>
      </c>
      <c r="D180" s="1" t="inlineStr">
        <is>
          <t xml:space="preserve">55084 </t>
        </is>
      </c>
      <c r="E180" s="1" t="inlineStr">
        <is>
          <t xml:space="preserve">28194770       </t>
        </is>
      </c>
      <c r="F180" s="5" t="inlineStr">
        <is>
          <t>AUTOS DE METAL 3 TEAMSTERZ EN BLISTER</t>
        </is>
      </c>
      <c r="G180" t="n">
        <v>1</v>
      </c>
      <c r="H180" s="7" t="n">
        <v>6.9</v>
      </c>
      <c r="I180" s="7" t="n">
        <v>0</v>
      </c>
      <c r="J180" s="7" t="n">
        <v>0</v>
      </c>
      <c r="K180" s="9" t="n">
        <v>0</v>
      </c>
      <c r="L180" s="10" t="n">
        <v>4.1</v>
      </c>
      <c r="M180" s="10" t="n">
        <v>1.43</v>
      </c>
      <c r="N180" t="inlineStr">
        <is>
          <t>1</t>
        </is>
      </c>
      <c r="O180" t="inlineStr">
        <is>
          <t xml:space="preserve">2 </t>
        </is>
      </c>
      <c r="P180" t="inlineStr">
        <is>
          <t xml:space="preserve">57146   </t>
        </is>
      </c>
      <c r="Q180" s="26" t="n">
        <v>6.9</v>
      </c>
      <c r="R180" s="26">
        <f>Q180*G180</f>
        <v/>
      </c>
      <c r="S180" t="n">
        <v>4.09</v>
      </c>
      <c r="T180" s="18">
        <f>1 - V180/S180</f>
        <v/>
      </c>
      <c r="U180" s="18" t="n">
        <v>0</v>
      </c>
      <c r="V180" s="26" t="n">
        <v>4.09</v>
      </c>
      <c r="W180" s="26">
        <f>V180 - L180</f>
        <v/>
      </c>
    </row>
    <row r="181">
      <c r="A181" s="11" t="n">
        <v>46206</v>
      </c>
      <c r="B181" s="1" t="n">
        <v>20041</v>
      </c>
      <c r="C181" s="1" t="inlineStr">
        <is>
          <t>037</t>
        </is>
      </c>
      <c r="D181" s="1" t="inlineStr">
        <is>
          <t>188900</t>
        </is>
      </c>
      <c r="E181" s="1" t="inlineStr">
        <is>
          <t xml:space="preserve">28194769       </t>
        </is>
      </c>
      <c r="F181" s="5" t="inlineStr">
        <is>
          <t>AUTOS DE METAL 3 TEAMSTERZ PACK DE 2</t>
        </is>
      </c>
      <c r="G181" t="n">
        <v>1</v>
      </c>
      <c r="H181" s="7" t="n">
        <v>13.8</v>
      </c>
      <c r="I181" s="7" t="n">
        <v>0</v>
      </c>
      <c r="J181" s="7" t="n">
        <v>0</v>
      </c>
      <c r="K181" s="9" t="n">
        <v>0</v>
      </c>
      <c r="L181" s="10" t="n">
        <v>8.18</v>
      </c>
      <c r="M181" s="10" t="n">
        <v>1.43</v>
      </c>
      <c r="N181" t="inlineStr">
        <is>
          <t>1</t>
        </is>
      </c>
      <c r="O181" t="inlineStr">
        <is>
          <t xml:space="preserve">2 </t>
        </is>
      </c>
      <c r="P181" t="inlineStr">
        <is>
          <t xml:space="preserve">240974  </t>
        </is>
      </c>
      <c r="Q181" s="26" t="n">
        <v>13.8</v>
      </c>
      <c r="R181" s="26">
        <f>Q181*G181</f>
        <v/>
      </c>
      <c r="S181" t="n">
        <v>8.19</v>
      </c>
      <c r="T181" s="18">
        <f>1 - V181/S181</f>
        <v/>
      </c>
      <c r="U181" s="18" t="n">
        <v>0</v>
      </c>
      <c r="V181" s="26" t="n">
        <v>8.19</v>
      </c>
      <c r="W181" s="26">
        <f>V181 - L181</f>
        <v/>
      </c>
    </row>
    <row r="182">
      <c r="A182" s="11" t="n">
        <v>46206</v>
      </c>
      <c r="B182" s="1" t="n">
        <v>20041</v>
      </c>
      <c r="C182" s="1" t="inlineStr">
        <is>
          <t>037</t>
        </is>
      </c>
      <c r="D182" s="1" t="inlineStr">
        <is>
          <t>188900</t>
        </is>
      </c>
      <c r="E182" s="1" t="inlineStr">
        <is>
          <t xml:space="preserve">28194769       </t>
        </is>
      </c>
      <c r="F182" s="5" t="inlineStr">
        <is>
          <t>AUTOS DE METAL 3 TEAMSTERZ PACK DE 2</t>
        </is>
      </c>
      <c r="G182" t="n">
        <v>1</v>
      </c>
      <c r="H182" s="7" t="n">
        <v>13.8</v>
      </c>
      <c r="I182" s="7" t="n">
        <v>0</v>
      </c>
      <c r="J182" s="7" t="n">
        <v>0</v>
      </c>
      <c r="K182" s="9" t="n">
        <v>0</v>
      </c>
      <c r="L182" s="10" t="n">
        <v>8.18</v>
      </c>
      <c r="M182" s="10" t="n">
        <v>1.43</v>
      </c>
      <c r="N182" t="inlineStr">
        <is>
          <t>1</t>
        </is>
      </c>
      <c r="O182" t="inlineStr">
        <is>
          <t xml:space="preserve">2 </t>
        </is>
      </c>
      <c r="P182" t="inlineStr">
        <is>
          <t xml:space="preserve">240974  </t>
        </is>
      </c>
      <c r="Q182" s="26" t="n">
        <v>13.8</v>
      </c>
      <c r="R182" s="26">
        <f>Q182*G182</f>
        <v/>
      </c>
      <c r="S182" t="n">
        <v>8.19</v>
      </c>
      <c r="T182" s="18">
        <f>1 - V182/S182</f>
        <v/>
      </c>
      <c r="U182" s="18" t="n">
        <v>0</v>
      </c>
      <c r="V182" s="26" t="n">
        <v>8.19</v>
      </c>
      <c r="W182" s="26">
        <f>V182 - L182</f>
        <v/>
      </c>
    </row>
    <row r="183">
      <c r="A183" s="11" t="n">
        <v>46206</v>
      </c>
      <c r="B183" s="1" t="n">
        <v>20041</v>
      </c>
      <c r="C183" s="1" t="inlineStr">
        <is>
          <t>037</t>
        </is>
      </c>
      <c r="D183" s="1" t="inlineStr">
        <is>
          <t>188907</t>
        </is>
      </c>
      <c r="E183" s="1" t="inlineStr">
        <is>
          <t xml:space="preserve">28194769       </t>
        </is>
      </c>
      <c r="F183" s="5" t="inlineStr">
        <is>
          <t>AUTOS DE METAL 3 TEAMSTERZ PACK DE 2</t>
        </is>
      </c>
      <c r="G183" t="n">
        <v>1</v>
      </c>
      <c r="H183" s="7" t="n">
        <v>13.8</v>
      </c>
      <c r="I183" s="7" t="n">
        <v>0</v>
      </c>
      <c r="J183" s="7" t="n">
        <v>0</v>
      </c>
      <c r="K183" s="9" t="n">
        <v>0</v>
      </c>
      <c r="L183" s="10" t="n">
        <v>8.18</v>
      </c>
      <c r="M183" s="10" t="n">
        <v>1.43</v>
      </c>
      <c r="N183" t="inlineStr">
        <is>
          <t>1</t>
        </is>
      </c>
      <c r="O183" t="inlineStr">
        <is>
          <t>16</t>
        </is>
      </c>
      <c r="P183" t="inlineStr">
        <is>
          <t xml:space="preserve">240974  </t>
        </is>
      </c>
      <c r="Q183" s="26" t="n">
        <v>13.8</v>
      </c>
      <c r="R183" s="26">
        <f>Q183*G183</f>
        <v/>
      </c>
      <c r="S183" t="n">
        <v>8.19</v>
      </c>
      <c r="T183" s="18">
        <f>1 - V183/S183</f>
        <v/>
      </c>
      <c r="U183" s="18" t="n">
        <v>0</v>
      </c>
      <c r="V183" s="26" t="n">
        <v>8.19</v>
      </c>
      <c r="W183" s="26">
        <f>V183 - L183</f>
        <v/>
      </c>
    </row>
    <row r="184">
      <c r="A184" s="11" t="n">
        <v>46206</v>
      </c>
      <c r="B184" s="1" t="n">
        <v>20041</v>
      </c>
      <c r="C184" s="1" t="inlineStr">
        <is>
          <t>037</t>
        </is>
      </c>
      <c r="D184" s="1" t="inlineStr">
        <is>
          <t>188907</t>
        </is>
      </c>
      <c r="E184" s="1" t="inlineStr">
        <is>
          <t xml:space="preserve">28194770       </t>
        </is>
      </c>
      <c r="F184" s="5" t="inlineStr">
        <is>
          <t>AUTOS DE METAL 3 TEAMSTERZ EN BLISTER</t>
        </is>
      </c>
      <c r="G184" t="n">
        <v>1</v>
      </c>
      <c r="H184" s="7" t="n">
        <v>6.9</v>
      </c>
      <c r="I184" s="7" t="n">
        <v>0</v>
      </c>
      <c r="J184" s="7" t="n">
        <v>0</v>
      </c>
      <c r="K184" s="9" t="n">
        <v>0</v>
      </c>
      <c r="L184" s="10" t="n">
        <v>4.1</v>
      </c>
      <c r="M184" s="10" t="n">
        <v>1.43</v>
      </c>
      <c r="N184" t="inlineStr">
        <is>
          <t>1</t>
        </is>
      </c>
      <c r="O184" t="inlineStr">
        <is>
          <t>16</t>
        </is>
      </c>
      <c r="P184" t="inlineStr">
        <is>
          <t xml:space="preserve">240974  </t>
        </is>
      </c>
      <c r="Q184" s="26" t="n">
        <v>6.9</v>
      </c>
      <c r="R184" s="26">
        <f>Q184*G184</f>
        <v/>
      </c>
      <c r="S184" t="n">
        <v>4.09</v>
      </c>
      <c r="T184" s="18">
        <f>1 - V184/S184</f>
        <v/>
      </c>
      <c r="U184" s="18" t="n">
        <v>0</v>
      </c>
      <c r="V184" s="26" t="n">
        <v>4.09</v>
      </c>
      <c r="W184" s="26">
        <f>V184 - L184</f>
        <v/>
      </c>
    </row>
    <row r="185">
      <c r="A185" s="11" t="n">
        <v>46206</v>
      </c>
      <c r="B185" s="1" t="n">
        <v>20041</v>
      </c>
      <c r="C185" s="1" t="inlineStr">
        <is>
          <t>037</t>
        </is>
      </c>
      <c r="D185" s="1" t="inlineStr">
        <is>
          <t>188907</t>
        </is>
      </c>
      <c r="E185" s="1" t="inlineStr">
        <is>
          <t xml:space="preserve">28194770       </t>
        </is>
      </c>
      <c r="F185" s="5" t="inlineStr">
        <is>
          <t>AUTOS DE METAL 3 TEAMSTERZ EN BLISTER</t>
        </is>
      </c>
      <c r="G185" t="n">
        <v>1</v>
      </c>
      <c r="H185" s="7" t="n">
        <v>6.9</v>
      </c>
      <c r="I185" s="7" t="n">
        <v>0</v>
      </c>
      <c r="J185" s="7" t="n">
        <v>0</v>
      </c>
      <c r="K185" s="9" t="n">
        <v>0</v>
      </c>
      <c r="L185" s="10" t="n">
        <v>4.1</v>
      </c>
      <c r="M185" s="10" t="n">
        <v>1.43</v>
      </c>
      <c r="N185" t="inlineStr">
        <is>
          <t>1</t>
        </is>
      </c>
      <c r="O185" t="inlineStr">
        <is>
          <t>16</t>
        </is>
      </c>
      <c r="P185" t="inlineStr">
        <is>
          <t xml:space="preserve">240974  </t>
        </is>
      </c>
      <c r="Q185" s="26" t="n">
        <v>6.9</v>
      </c>
      <c r="R185" s="26">
        <f>Q185*G185</f>
        <v/>
      </c>
      <c r="S185" t="n">
        <v>4.09</v>
      </c>
      <c r="T185" s="18">
        <f>1 - V185/S185</f>
        <v/>
      </c>
      <c r="U185" s="18" t="n">
        <v>0</v>
      </c>
      <c r="V185" s="26" t="n">
        <v>4.09</v>
      </c>
      <c r="W185" s="26">
        <f>V185 - L185</f>
        <v/>
      </c>
    </row>
    <row r="186">
      <c r="A186" s="11" t="n">
        <v>46206</v>
      </c>
      <c r="B186" s="1" t="n">
        <v>20041</v>
      </c>
      <c r="C186" s="1" t="inlineStr">
        <is>
          <t>037</t>
        </is>
      </c>
      <c r="D186" s="1" t="inlineStr">
        <is>
          <t>188907</t>
        </is>
      </c>
      <c r="E186" s="1" t="inlineStr">
        <is>
          <t xml:space="preserve">28194770       </t>
        </is>
      </c>
      <c r="F186" s="5" t="inlineStr">
        <is>
          <t>AUTOS DE METAL 3 TEAMSTERZ EN BLISTER</t>
        </is>
      </c>
      <c r="G186" t="n">
        <v>1</v>
      </c>
      <c r="H186" s="7" t="n">
        <v>6.9</v>
      </c>
      <c r="I186" s="7" t="n">
        <v>0</v>
      </c>
      <c r="J186" s="7" t="n">
        <v>0</v>
      </c>
      <c r="K186" s="9" t="n">
        <v>0</v>
      </c>
      <c r="L186" s="10" t="n">
        <v>4.1</v>
      </c>
      <c r="M186" s="10" t="n">
        <v>1.43</v>
      </c>
      <c r="N186" t="inlineStr">
        <is>
          <t>1</t>
        </is>
      </c>
      <c r="O186" t="inlineStr">
        <is>
          <t>16</t>
        </is>
      </c>
      <c r="P186" t="inlineStr">
        <is>
          <t xml:space="preserve">240974  </t>
        </is>
      </c>
      <c r="Q186" s="26" t="n">
        <v>6.9</v>
      </c>
      <c r="R186" s="26">
        <f>Q186*G186</f>
        <v/>
      </c>
      <c r="S186" t="n">
        <v>4.09</v>
      </c>
      <c r="T186" s="18">
        <f>1 - V186/S186</f>
        <v/>
      </c>
      <c r="U186" s="18" t="n">
        <v>0</v>
      </c>
      <c r="V186" s="26" t="n">
        <v>4.09</v>
      </c>
      <c r="W186" s="26">
        <f>V186 - L186</f>
        <v/>
      </c>
    </row>
    <row r="187">
      <c r="A187" s="11" t="n">
        <v>46206</v>
      </c>
      <c r="B187" s="1" t="n">
        <v>20041</v>
      </c>
      <c r="C187" s="1" t="inlineStr">
        <is>
          <t>037</t>
        </is>
      </c>
      <c r="D187" s="1" t="inlineStr">
        <is>
          <t>188907</t>
        </is>
      </c>
      <c r="E187" s="1" t="inlineStr">
        <is>
          <t xml:space="preserve">28194770       </t>
        </is>
      </c>
      <c r="F187" s="5" t="inlineStr">
        <is>
          <t>AUTOS DE METAL 3 TEAMSTERZ EN BLISTER</t>
        </is>
      </c>
      <c r="G187" t="n">
        <v>1</v>
      </c>
      <c r="H187" s="7" t="n">
        <v>6.9</v>
      </c>
      <c r="I187" s="7" t="n">
        <v>0</v>
      </c>
      <c r="J187" s="7" t="n">
        <v>0</v>
      </c>
      <c r="K187" s="9" t="n">
        <v>0</v>
      </c>
      <c r="L187" s="10" t="n">
        <v>4.1</v>
      </c>
      <c r="M187" s="10" t="n">
        <v>1.43</v>
      </c>
      <c r="N187" t="inlineStr">
        <is>
          <t>1</t>
        </is>
      </c>
      <c r="O187" t="inlineStr">
        <is>
          <t>16</t>
        </is>
      </c>
      <c r="P187" t="inlineStr">
        <is>
          <t xml:space="preserve">240974  </t>
        </is>
      </c>
      <c r="Q187" s="26" t="n">
        <v>6.9</v>
      </c>
      <c r="R187" s="26">
        <f>Q187*G187</f>
        <v/>
      </c>
      <c r="S187" t="n">
        <v>4.09</v>
      </c>
      <c r="T187" s="18">
        <f>1 - V187/S187</f>
        <v/>
      </c>
      <c r="U187" s="18" t="n">
        <v>0</v>
      </c>
      <c r="V187" s="26" t="n">
        <v>4.09</v>
      </c>
      <c r="W187" s="26">
        <f>V187 - L187</f>
        <v/>
      </c>
    </row>
    <row r="188">
      <c r="A188" s="11" t="n">
        <v>46206</v>
      </c>
      <c r="B188" s="1" t="n">
        <v>20043</v>
      </c>
      <c r="C188" s="1" t="inlineStr">
        <is>
          <t>051</t>
        </is>
      </c>
      <c r="D188" s="1" t="inlineStr">
        <is>
          <t>105436</t>
        </is>
      </c>
      <c r="E188" s="1" t="inlineStr">
        <is>
          <t xml:space="preserve">28194770       </t>
        </is>
      </c>
      <c r="F188" s="5" t="inlineStr">
        <is>
          <t>AUTOS DE METAL 3 TEAMSTERZ EN BLISTER</t>
        </is>
      </c>
      <c r="G188" t="n">
        <v>1</v>
      </c>
      <c r="H188" s="7" t="n">
        <v>6.9</v>
      </c>
      <c r="I188" s="7" t="n">
        <v>0</v>
      </c>
      <c r="J188" s="7" t="n">
        <v>0</v>
      </c>
      <c r="K188" s="9" t="n">
        <v>0</v>
      </c>
      <c r="L188" s="10" t="n">
        <v>4.1</v>
      </c>
      <c r="M188" s="10" t="n">
        <v>1.43</v>
      </c>
      <c r="N188" t="inlineStr">
        <is>
          <t>1</t>
        </is>
      </c>
      <c r="O188" t="inlineStr">
        <is>
          <t>16</t>
        </is>
      </c>
      <c r="P188" t="inlineStr">
        <is>
          <t xml:space="preserve">248955  </t>
        </is>
      </c>
      <c r="Q188" s="26" t="n">
        <v>6.9</v>
      </c>
      <c r="R188" s="26">
        <f>Q188*G188</f>
        <v/>
      </c>
      <c r="S188" t="n">
        <v>4.09</v>
      </c>
      <c r="T188" s="18">
        <f>1 - V188/S188</f>
        <v/>
      </c>
      <c r="U188" s="18" t="n">
        <v>0</v>
      </c>
      <c r="V188" s="26" t="n">
        <v>4.09</v>
      </c>
      <c r="W188" s="26">
        <f>V188 - L188</f>
        <v/>
      </c>
    </row>
    <row r="189">
      <c r="A189" s="11" t="n">
        <v>46206</v>
      </c>
      <c r="B189" s="1" t="n">
        <v>20047</v>
      </c>
      <c r="C189" s="1" t="inlineStr">
        <is>
          <t>012</t>
        </is>
      </c>
      <c r="D189" s="1" t="inlineStr">
        <is>
          <t>331030</t>
        </is>
      </c>
      <c r="E189" s="1" t="inlineStr">
        <is>
          <t xml:space="preserve">32656417       </t>
        </is>
      </c>
      <c r="F189" s="5" t="inlineStr">
        <is>
          <t>NO DESPIERTES A PAPA</t>
        </is>
      </c>
      <c r="G189" t="n">
        <v>1</v>
      </c>
      <c r="H189" s="7" t="n">
        <v>89.90000000000001</v>
      </c>
      <c r="I189" s="7" t="n">
        <v>0</v>
      </c>
      <c r="J189" s="7" t="n">
        <v>0</v>
      </c>
      <c r="K189" s="9" t="n">
        <v>0</v>
      </c>
      <c r="L189" s="10" t="n">
        <v>53.33</v>
      </c>
      <c r="M189" s="10" t="n">
        <v>1.43</v>
      </c>
      <c r="N189" t="inlineStr">
        <is>
          <t>1</t>
        </is>
      </c>
      <c r="O189" t="inlineStr">
        <is>
          <t xml:space="preserve">2 </t>
        </is>
      </c>
      <c r="P189" t="inlineStr">
        <is>
          <t xml:space="preserve">245862  </t>
        </is>
      </c>
      <c r="Q189" s="26" t="n">
        <v>89.90000000000001</v>
      </c>
      <c r="R189" s="26">
        <f>Q189*G189</f>
        <v/>
      </c>
      <c r="S189" t="n">
        <v>53.33</v>
      </c>
      <c r="T189" s="18">
        <f>1 - V189/S189</f>
        <v/>
      </c>
      <c r="U189" s="18" t="n">
        <v>0.5561735261401557</v>
      </c>
      <c r="V189" s="26" t="n">
        <v>32.11949152542373</v>
      </c>
      <c r="W189" s="26">
        <f>V189 - L189</f>
        <v/>
      </c>
    </row>
    <row r="190">
      <c r="A190" s="11" t="n">
        <v>46206</v>
      </c>
      <c r="B190" s="1" t="n">
        <v>20047</v>
      </c>
      <c r="C190" s="1" t="inlineStr">
        <is>
          <t>191</t>
        </is>
      </c>
      <c r="D190" s="1" t="inlineStr">
        <is>
          <t>460192</t>
        </is>
      </c>
      <c r="E190" s="1" t="inlineStr">
        <is>
          <t xml:space="preserve">28194770       </t>
        </is>
      </c>
      <c r="F190" s="5" t="inlineStr">
        <is>
          <t>AUTOS DE METAL 3 TEAMSTERZ EN BLISTER</t>
        </is>
      </c>
      <c r="G190" t="n">
        <v>1</v>
      </c>
      <c r="H190" s="7" t="n">
        <v>6.9</v>
      </c>
      <c r="I190" s="7" t="n">
        <v>0</v>
      </c>
      <c r="J190" s="7" t="n">
        <v>0</v>
      </c>
      <c r="K190" s="9" t="n">
        <v>0</v>
      </c>
      <c r="L190" s="10" t="n">
        <v>4.1</v>
      </c>
      <c r="M190" s="10" t="n">
        <v>1.43</v>
      </c>
      <c r="N190" t="inlineStr">
        <is>
          <t>1</t>
        </is>
      </c>
      <c r="O190" t="inlineStr">
        <is>
          <t xml:space="preserve">3 </t>
        </is>
      </c>
      <c r="P190" t="inlineStr">
        <is>
          <t xml:space="preserve">245257  </t>
        </is>
      </c>
      <c r="Q190" s="26" t="n">
        <v>6.9</v>
      </c>
      <c r="R190" s="26">
        <f>Q190*G190</f>
        <v/>
      </c>
      <c r="S190" t="n">
        <v>4.09</v>
      </c>
      <c r="T190" s="18">
        <f>1 - V190/S190</f>
        <v/>
      </c>
      <c r="U190" s="18" t="n">
        <v>0</v>
      </c>
      <c r="V190" s="26" t="n">
        <v>4.09</v>
      </c>
      <c r="W190" s="26">
        <f>V190 - L190</f>
        <v/>
      </c>
    </row>
    <row r="191">
      <c r="A191" s="11" t="n">
        <v>46206</v>
      </c>
      <c r="B191" s="1" t="n">
        <v>20048</v>
      </c>
      <c r="C191" s="1" t="inlineStr">
        <is>
          <t>013</t>
        </is>
      </c>
      <c r="D191" s="1" t="inlineStr">
        <is>
          <t>223844</t>
        </is>
      </c>
      <c r="E191" s="1" t="inlineStr">
        <is>
          <t xml:space="preserve">35685067       </t>
        </is>
      </c>
      <c r="F191" s="5" t="inlineStr">
        <is>
          <t>HOT WHEELS POWER SET 3 EN 1</t>
        </is>
      </c>
      <c r="G191" t="n">
        <v>1</v>
      </c>
      <c r="H191" s="7" t="n">
        <v>49.9</v>
      </c>
      <c r="I191" s="7" t="n">
        <v>0</v>
      </c>
      <c r="J191" s="7" t="n">
        <v>0</v>
      </c>
      <c r="K191" s="9" t="n">
        <v>0</v>
      </c>
      <c r="L191" s="10" t="n">
        <v>29.6</v>
      </c>
      <c r="M191" s="10" t="n">
        <v>1.43</v>
      </c>
      <c r="N191" t="inlineStr">
        <is>
          <t>1</t>
        </is>
      </c>
      <c r="O191" t="inlineStr">
        <is>
          <t xml:space="preserve">2 </t>
        </is>
      </c>
      <c r="P191" t="inlineStr">
        <is>
          <t xml:space="preserve">85763   </t>
        </is>
      </c>
      <c r="Q191" s="26" t="n">
        <v>49.9</v>
      </c>
      <c r="R191" s="26">
        <f>Q191*G191</f>
        <v/>
      </c>
      <c r="S191" t="n">
        <v>29.6</v>
      </c>
      <c r="T191" s="18">
        <f>1 - V191/S191</f>
        <v/>
      </c>
      <c r="U191" s="18" t="n">
        <v>0</v>
      </c>
      <c r="V191" s="26" t="n">
        <v>29.6</v>
      </c>
      <c r="W191" s="26">
        <f>V191 - L191</f>
        <v/>
      </c>
    </row>
    <row r="192">
      <c r="A192" s="11" t="n">
        <v>46206</v>
      </c>
      <c r="B192" s="1" t="n">
        <v>20048</v>
      </c>
      <c r="C192" s="1" t="inlineStr">
        <is>
          <t>013</t>
        </is>
      </c>
      <c r="D192" s="1" t="inlineStr">
        <is>
          <t>223864</t>
        </is>
      </c>
      <c r="E192" s="1" t="inlineStr">
        <is>
          <t xml:space="preserve">33483123       </t>
        </is>
      </c>
      <c r="F192" s="5" t="inlineStr">
        <is>
          <t>NENUCO DISFRACES</t>
        </is>
      </c>
      <c r="G192" t="n">
        <v>1</v>
      </c>
      <c r="H192" s="7" t="n">
        <v>89.90000000000001</v>
      </c>
      <c r="I192" s="7" t="n">
        <v>0</v>
      </c>
      <c r="J192" s="7" t="n">
        <v>0</v>
      </c>
      <c r="K192" s="9" t="n">
        <v>0</v>
      </c>
      <c r="L192" s="10" t="n">
        <v>53.33</v>
      </c>
      <c r="M192" s="10" t="n">
        <v>1.43</v>
      </c>
      <c r="N192" t="inlineStr">
        <is>
          <t>1</t>
        </is>
      </c>
      <c r="O192" t="inlineStr">
        <is>
          <t>16</t>
        </is>
      </c>
      <c r="P192" t="inlineStr">
        <is>
          <t xml:space="preserve">85763   </t>
        </is>
      </c>
      <c r="Q192" s="26" t="n">
        <v>89.90000000000001</v>
      </c>
      <c r="R192" s="26">
        <f>Q192*G192</f>
        <v/>
      </c>
      <c r="S192" t="n">
        <v>53.33</v>
      </c>
      <c r="T192" s="18">
        <f>1 - V192/S192</f>
        <v/>
      </c>
      <c r="U192" s="18" t="n">
        <v>0.2224694104560623</v>
      </c>
      <c r="V192" s="26" t="n">
        <v>44.42796610169492</v>
      </c>
      <c r="W192" s="26">
        <f>V192 - L192</f>
        <v/>
      </c>
    </row>
    <row r="193">
      <c r="A193" s="11" t="n">
        <v>46206</v>
      </c>
      <c r="B193" s="1" t="n">
        <v>20048</v>
      </c>
      <c r="C193" s="1" t="inlineStr">
        <is>
          <t>013</t>
        </is>
      </c>
      <c r="D193" s="1" t="inlineStr">
        <is>
          <t>223906</t>
        </is>
      </c>
      <c r="E193" s="1" t="inlineStr">
        <is>
          <t xml:space="preserve">28194769       </t>
        </is>
      </c>
      <c r="F193" s="5" t="inlineStr">
        <is>
          <t>AUTOS DE METAL 3 TEAMSTERZ PACK DE 2</t>
        </is>
      </c>
      <c r="G193" t="n">
        <v>1</v>
      </c>
      <c r="H193" s="7" t="n">
        <v>13.8</v>
      </c>
      <c r="I193" s="7" t="n">
        <v>0</v>
      </c>
      <c r="J193" s="7" t="n">
        <v>0</v>
      </c>
      <c r="K193" s="9" t="n">
        <v>0</v>
      </c>
      <c r="L193" s="10" t="n">
        <v>8.18</v>
      </c>
      <c r="M193" s="10" t="n">
        <v>1.43</v>
      </c>
      <c r="N193" t="inlineStr">
        <is>
          <t>1</t>
        </is>
      </c>
      <c r="O193" t="inlineStr">
        <is>
          <t xml:space="preserve">3 </t>
        </is>
      </c>
      <c r="P193" t="inlineStr">
        <is>
          <t xml:space="preserve">249916  </t>
        </is>
      </c>
      <c r="Q193" s="26" t="n">
        <v>13.8</v>
      </c>
      <c r="R193" s="26">
        <f>Q193*G193</f>
        <v/>
      </c>
      <c r="S193" t="n">
        <v>8.19</v>
      </c>
      <c r="T193" s="18">
        <f>1 - V193/S193</f>
        <v/>
      </c>
      <c r="U193" s="18" t="n">
        <v>0</v>
      </c>
      <c r="V193" s="26" t="n">
        <v>8.19</v>
      </c>
      <c r="W193" s="26">
        <f>V193 - L193</f>
        <v/>
      </c>
    </row>
    <row r="194">
      <c r="A194" s="11" t="n">
        <v>46206</v>
      </c>
      <c r="B194" s="1" t="n">
        <v>20048</v>
      </c>
      <c r="C194" s="1" t="inlineStr">
        <is>
          <t>017</t>
        </is>
      </c>
      <c r="D194" s="1" t="inlineStr">
        <is>
          <t>165882</t>
        </is>
      </c>
      <c r="E194" s="1" t="inlineStr">
        <is>
          <t xml:space="preserve">28194770       </t>
        </is>
      </c>
      <c r="F194" s="5" t="inlineStr">
        <is>
          <t>AUTOS DE METAL 3 TEAMSTERZ EN BLISTER</t>
        </is>
      </c>
      <c r="G194" t="n">
        <v>1</v>
      </c>
      <c r="H194" s="7" t="n">
        <v>6.9</v>
      </c>
      <c r="I194" s="7" t="n">
        <v>0</v>
      </c>
      <c r="J194" s="7" t="n">
        <v>0</v>
      </c>
      <c r="K194" s="9" t="n">
        <v>0</v>
      </c>
      <c r="L194" s="10" t="n">
        <v>4.1</v>
      </c>
      <c r="M194" s="10" t="n">
        <v>1.43</v>
      </c>
      <c r="N194" t="inlineStr">
        <is>
          <t>1</t>
        </is>
      </c>
      <c r="O194" t="inlineStr">
        <is>
          <t xml:space="preserve">2 </t>
        </is>
      </c>
      <c r="P194" t="inlineStr">
        <is>
          <t xml:space="preserve">243717  </t>
        </is>
      </c>
      <c r="Q194" s="26" t="n">
        <v>6.9</v>
      </c>
      <c r="R194" s="26">
        <f>Q194*G194</f>
        <v/>
      </c>
      <c r="S194" t="n">
        <v>4.09</v>
      </c>
      <c r="T194" s="18">
        <f>1 - V194/S194</f>
        <v/>
      </c>
      <c r="U194" s="18" t="n">
        <v>0</v>
      </c>
      <c r="V194" s="26" t="n">
        <v>4.09</v>
      </c>
      <c r="W194" s="26">
        <f>V194 - L194</f>
        <v/>
      </c>
    </row>
    <row r="195">
      <c r="A195" s="11" t="n">
        <v>46206</v>
      </c>
      <c r="B195" s="1" t="n">
        <v>20048</v>
      </c>
      <c r="C195" s="1" t="inlineStr">
        <is>
          <t>017</t>
        </is>
      </c>
      <c r="D195" s="1" t="inlineStr">
        <is>
          <t>165888</t>
        </is>
      </c>
      <c r="E195" s="1" t="inlineStr">
        <is>
          <t xml:space="preserve">28194769       </t>
        </is>
      </c>
      <c r="F195" s="5" t="inlineStr">
        <is>
          <t>AUTOS DE METAL 3 TEAMSTERZ PACK DE 2</t>
        </is>
      </c>
      <c r="G195" t="n">
        <v>1</v>
      </c>
      <c r="H195" s="7" t="n">
        <v>13.8</v>
      </c>
      <c r="I195" s="7" t="n">
        <v>0</v>
      </c>
      <c r="J195" s="7" t="n">
        <v>0</v>
      </c>
      <c r="K195" s="9" t="n">
        <v>0</v>
      </c>
      <c r="L195" s="10" t="n">
        <v>8.18</v>
      </c>
      <c r="M195" s="10" t="n">
        <v>1.43</v>
      </c>
      <c r="N195" t="inlineStr">
        <is>
          <t>1</t>
        </is>
      </c>
      <c r="O195" t="inlineStr">
        <is>
          <t>16</t>
        </is>
      </c>
      <c r="P195" t="inlineStr">
        <is>
          <t xml:space="preserve">243717  </t>
        </is>
      </c>
      <c r="Q195" s="26" t="n">
        <v>13.8</v>
      </c>
      <c r="R195" s="26">
        <f>Q195*G195</f>
        <v/>
      </c>
      <c r="S195" t="n">
        <v>8.19</v>
      </c>
      <c r="T195" s="18">
        <f>1 - V195/S195</f>
        <v/>
      </c>
      <c r="U195" s="18" t="n">
        <v>0</v>
      </c>
      <c r="V195" s="26" t="n">
        <v>8.19</v>
      </c>
      <c r="W195" s="26">
        <f>V195 - L195</f>
        <v/>
      </c>
    </row>
    <row r="196">
      <c r="A196" s="11" t="n">
        <v>46206</v>
      </c>
      <c r="B196" s="1" t="n">
        <v>20048</v>
      </c>
      <c r="C196" s="1" t="inlineStr">
        <is>
          <t>017</t>
        </is>
      </c>
      <c r="D196" s="1" t="inlineStr">
        <is>
          <t>165979</t>
        </is>
      </c>
      <c r="E196" s="1" t="inlineStr">
        <is>
          <t xml:space="preserve">32457103       </t>
        </is>
      </c>
      <c r="F196" s="5" t="inlineStr">
        <is>
          <t>TMZ BEAST MACHINES MONSTER JAWS A FRICCION PACK DE</t>
        </is>
      </c>
      <c r="G196" t="n">
        <v>1</v>
      </c>
      <c r="H196" s="7" t="n">
        <v>37.9</v>
      </c>
      <c r="I196" s="7" t="n">
        <v>0</v>
      </c>
      <c r="J196" s="7" t="n">
        <v>0</v>
      </c>
      <c r="K196" s="9" t="n">
        <v>0</v>
      </c>
      <c r="L196" s="10" t="n">
        <v>22.48</v>
      </c>
      <c r="M196" s="10" t="n">
        <v>1.43</v>
      </c>
      <c r="N196" t="inlineStr">
        <is>
          <t>1</t>
        </is>
      </c>
      <c r="O196" t="inlineStr">
        <is>
          <t>16</t>
        </is>
      </c>
      <c r="P196" t="inlineStr">
        <is>
          <t xml:space="preserve">248416  </t>
        </is>
      </c>
      <c r="Q196" s="26" t="n">
        <v>37.9</v>
      </c>
      <c r="R196" s="26">
        <f>Q196*G196</f>
        <v/>
      </c>
      <c r="S196" t="n">
        <v>22.48</v>
      </c>
      <c r="T196" s="18">
        <f>1 - V196/S196</f>
        <v/>
      </c>
      <c r="U196" s="18" t="n">
        <v>0.1319261213720316</v>
      </c>
      <c r="V196" s="26" t="n">
        <v>16.75101694915254</v>
      </c>
      <c r="W196" s="26">
        <f>V196 - L196</f>
        <v/>
      </c>
    </row>
    <row r="197">
      <c r="A197" s="11" t="n">
        <v>46206</v>
      </c>
      <c r="B197" s="1" t="n">
        <v>20048</v>
      </c>
      <c r="C197" s="1" t="inlineStr">
        <is>
          <t>018</t>
        </is>
      </c>
      <c r="D197" s="1" t="inlineStr">
        <is>
          <t xml:space="preserve">45759 </t>
        </is>
      </c>
      <c r="E197" s="1" t="inlineStr">
        <is>
          <t xml:space="preserve">30141766       </t>
        </is>
      </c>
      <c r="F197" s="5" t="inlineStr">
        <is>
          <t>TMZ BEAST MACHINES AUTOS DE METAL BLISTER X 1</t>
        </is>
      </c>
      <c r="G197" t="n">
        <v>1</v>
      </c>
      <c r="H197" s="7" t="n">
        <v>7.9</v>
      </c>
      <c r="I197" s="7" t="n">
        <v>0</v>
      </c>
      <c r="J197" s="7" t="n">
        <v>0</v>
      </c>
      <c r="K197" s="9" t="n">
        <v>0</v>
      </c>
      <c r="L197" s="10" t="n">
        <v>4.68</v>
      </c>
      <c r="M197" s="10" t="n">
        <v>1.43</v>
      </c>
      <c r="N197" t="inlineStr">
        <is>
          <t>1</t>
        </is>
      </c>
      <c r="O197" t="inlineStr">
        <is>
          <t>16</t>
        </is>
      </c>
      <c r="P197" t="inlineStr">
        <is>
          <t xml:space="preserve">200219  </t>
        </is>
      </c>
      <c r="Q197" s="26" t="n">
        <v>7.9</v>
      </c>
      <c r="R197" s="26">
        <f>Q197*G197</f>
        <v/>
      </c>
      <c r="S197" t="n">
        <v>4.69</v>
      </c>
      <c r="T197" s="18">
        <f>1 - V197/S197</f>
        <v/>
      </c>
      <c r="U197" s="18" t="n">
        <v>0</v>
      </c>
      <c r="V197" s="26" t="n">
        <v>4.69</v>
      </c>
      <c r="W197" s="26">
        <f>V197 - L197</f>
        <v/>
      </c>
    </row>
    <row r="198">
      <c r="A198" s="11" t="n">
        <v>46206</v>
      </c>
      <c r="B198" s="1" t="n">
        <v>20048</v>
      </c>
      <c r="C198" s="1" t="inlineStr">
        <is>
          <t>018</t>
        </is>
      </c>
      <c r="D198" s="1" t="inlineStr">
        <is>
          <t xml:space="preserve">45759 </t>
        </is>
      </c>
      <c r="E198" s="1" t="inlineStr">
        <is>
          <t xml:space="preserve">30141766       </t>
        </is>
      </c>
      <c r="F198" s="5" t="inlineStr">
        <is>
          <t>TMZ BEAST MACHINES AUTOS DE METAL BLISTER X 1</t>
        </is>
      </c>
      <c r="G198" t="n">
        <v>1</v>
      </c>
      <c r="H198" s="7" t="n">
        <v>7.9</v>
      </c>
      <c r="I198" s="7" t="n">
        <v>0</v>
      </c>
      <c r="J198" s="7" t="n">
        <v>0</v>
      </c>
      <c r="K198" s="9" t="n">
        <v>0</v>
      </c>
      <c r="L198" s="10" t="n">
        <v>4.68</v>
      </c>
      <c r="M198" s="10" t="n">
        <v>1.43</v>
      </c>
      <c r="N198" t="inlineStr">
        <is>
          <t>1</t>
        </is>
      </c>
      <c r="O198" t="inlineStr">
        <is>
          <t>16</t>
        </is>
      </c>
      <c r="P198" t="inlineStr">
        <is>
          <t xml:space="preserve">200219  </t>
        </is>
      </c>
      <c r="Q198" s="26" t="n">
        <v>7.9</v>
      </c>
      <c r="R198" s="26">
        <f>Q198*G198</f>
        <v/>
      </c>
      <c r="S198" t="n">
        <v>4.69</v>
      </c>
      <c r="T198" s="18">
        <f>1 - V198/S198</f>
        <v/>
      </c>
      <c r="U198" s="18" t="n">
        <v>0</v>
      </c>
      <c r="V198" s="26" t="n">
        <v>4.69</v>
      </c>
      <c r="W198" s="26">
        <f>V198 - L198</f>
        <v/>
      </c>
    </row>
    <row r="199">
      <c r="A199" s="11" t="n">
        <v>46206</v>
      </c>
      <c r="B199" s="1" t="n">
        <v>20048</v>
      </c>
      <c r="C199" s="1" t="inlineStr">
        <is>
          <t>018</t>
        </is>
      </c>
      <c r="D199" s="1" t="inlineStr">
        <is>
          <t xml:space="preserve">45759 </t>
        </is>
      </c>
      <c r="E199" s="1" t="inlineStr">
        <is>
          <t xml:space="preserve">30141766       </t>
        </is>
      </c>
      <c r="F199" s="5" t="inlineStr">
        <is>
          <t>TMZ BEAST MACHINES AUTOS DE METAL BLISTER X 1</t>
        </is>
      </c>
      <c r="G199" t="n">
        <v>1</v>
      </c>
      <c r="H199" s="7" t="n">
        <v>7.9</v>
      </c>
      <c r="I199" s="7" t="n">
        <v>0</v>
      </c>
      <c r="J199" s="7" t="n">
        <v>0</v>
      </c>
      <c r="K199" s="9" t="n">
        <v>0</v>
      </c>
      <c r="L199" s="10" t="n">
        <v>4.68</v>
      </c>
      <c r="M199" s="10" t="n">
        <v>1.43</v>
      </c>
      <c r="N199" t="inlineStr">
        <is>
          <t>1</t>
        </is>
      </c>
      <c r="O199" t="inlineStr">
        <is>
          <t>16</t>
        </is>
      </c>
      <c r="P199" t="inlineStr">
        <is>
          <t xml:space="preserve">200219  </t>
        </is>
      </c>
      <c r="Q199" s="26" t="n">
        <v>7.9</v>
      </c>
      <c r="R199" s="26">
        <f>Q199*G199</f>
        <v/>
      </c>
      <c r="S199" t="n">
        <v>4.69</v>
      </c>
      <c r="T199" s="18">
        <f>1 - V199/S199</f>
        <v/>
      </c>
      <c r="U199" s="18" t="n">
        <v>0</v>
      </c>
      <c r="V199" s="26" t="n">
        <v>4.69</v>
      </c>
      <c r="W199" s="26">
        <f>V199 - L199</f>
        <v/>
      </c>
    </row>
    <row r="200">
      <c r="A200" s="11" t="n">
        <v>46206</v>
      </c>
      <c r="B200" s="1" t="n">
        <v>20049</v>
      </c>
      <c r="C200" s="1" t="inlineStr">
        <is>
          <t>013</t>
        </is>
      </c>
      <c r="D200" s="1" t="inlineStr">
        <is>
          <t>234977</t>
        </is>
      </c>
      <c r="E200" s="1" t="inlineStr">
        <is>
          <t xml:space="preserve">29854052       </t>
        </is>
      </c>
      <c r="F200" s="5" t="inlineStr">
        <is>
          <t>PLAYSET CAMBIA DE COLOR CROC BITE</t>
        </is>
      </c>
      <c r="G200" t="n">
        <v>1</v>
      </c>
      <c r="H200" s="7" t="n">
        <v>79.90000000000001</v>
      </c>
      <c r="I200" s="7" t="n">
        <v>0</v>
      </c>
      <c r="J200" s="7" t="n">
        <v>0</v>
      </c>
      <c r="K200" s="9" t="n">
        <v>0</v>
      </c>
      <c r="L200" s="10" t="n">
        <v>47.4</v>
      </c>
      <c r="M200" s="10" t="n">
        <v>1.43</v>
      </c>
      <c r="N200" t="inlineStr">
        <is>
          <t>1</t>
        </is>
      </c>
      <c r="O200" t="inlineStr">
        <is>
          <t xml:space="preserve">3 </t>
        </is>
      </c>
      <c r="P200" t="inlineStr">
        <is>
          <t xml:space="preserve">244725  </t>
        </is>
      </c>
      <c r="Q200" s="26" t="n">
        <v>79.90000000000001</v>
      </c>
      <c r="R200" s="26">
        <f>Q200*G200</f>
        <v/>
      </c>
      <c r="S200" t="n">
        <v>47.4</v>
      </c>
      <c r="T200" s="18">
        <f>1 - V200/S200</f>
        <v/>
      </c>
      <c r="U200" s="18" t="n">
        <v>0</v>
      </c>
      <c r="V200" s="26" t="n">
        <v>47.4</v>
      </c>
      <c r="W200" s="26">
        <f>V200 - L200</f>
        <v/>
      </c>
    </row>
    <row r="201">
      <c r="A201" s="11" t="n">
        <v>46206</v>
      </c>
      <c r="B201" s="1" t="n">
        <v>20049</v>
      </c>
      <c r="C201" s="1" t="inlineStr">
        <is>
          <t>013</t>
        </is>
      </c>
      <c r="D201" s="1" t="inlineStr">
        <is>
          <t>235025</t>
        </is>
      </c>
      <c r="E201" s="1" t="inlineStr">
        <is>
          <t xml:space="preserve">28194783       </t>
        </is>
      </c>
      <c r="F201" s="5" t="inlineStr">
        <is>
          <t>SET DE BATALLA INFINITY NADO CON 2 TROMPOS</t>
        </is>
      </c>
      <c r="G201" t="n">
        <v>1</v>
      </c>
      <c r="H201" s="7" t="n">
        <v>159</v>
      </c>
      <c r="I201" s="7" t="n">
        <v>0</v>
      </c>
      <c r="J201" s="7" t="n">
        <v>0</v>
      </c>
      <c r="K201" s="9" t="n">
        <v>0</v>
      </c>
      <c r="L201" s="10" t="n">
        <v>94.33</v>
      </c>
      <c r="M201" s="10" t="n">
        <v>1.43</v>
      </c>
      <c r="N201" t="inlineStr">
        <is>
          <t>1</t>
        </is>
      </c>
      <c r="O201" t="inlineStr">
        <is>
          <t>16</t>
        </is>
      </c>
      <c r="P201" t="inlineStr">
        <is>
          <t xml:space="preserve">245485  </t>
        </is>
      </c>
      <c r="Q201" s="26" t="n">
        <v>159</v>
      </c>
      <c r="R201" s="26">
        <f>Q201*G201</f>
        <v/>
      </c>
      <c r="S201" t="n">
        <v>94.31999999999999</v>
      </c>
      <c r="T201" s="18">
        <f>1 - V201/S201</f>
        <v/>
      </c>
      <c r="U201" s="18" t="n">
        <v>0.1886792452830188</v>
      </c>
      <c r="V201" s="26" t="n">
        <v>81.99152542372882</v>
      </c>
      <c r="W201" s="26">
        <f>V201 - L201</f>
        <v/>
      </c>
    </row>
    <row r="202">
      <c r="A202" s="11" t="n">
        <v>46206</v>
      </c>
      <c r="B202" s="1" t="n">
        <v>20049</v>
      </c>
      <c r="C202" s="1" t="inlineStr">
        <is>
          <t>025</t>
        </is>
      </c>
      <c r="D202" s="1" t="inlineStr">
        <is>
          <t xml:space="preserve">32883 </t>
        </is>
      </c>
      <c r="E202" s="1" t="inlineStr">
        <is>
          <t xml:space="preserve">28194784       </t>
        </is>
      </c>
      <c r="F202" s="5" t="inlineStr">
        <is>
          <t>SET DE ACROBACIAS INFINITY NADO CON TROMPO</t>
        </is>
      </c>
      <c r="G202" t="n">
        <v>1</v>
      </c>
      <c r="H202" s="7" t="n">
        <v>179</v>
      </c>
      <c r="I202" s="7" t="n">
        <v>0</v>
      </c>
      <c r="J202" s="7" t="n">
        <v>0</v>
      </c>
      <c r="K202" s="9" t="n">
        <v>0</v>
      </c>
      <c r="L202" s="10" t="n">
        <v>106.18</v>
      </c>
      <c r="M202" s="10" t="n">
        <v>1.43</v>
      </c>
      <c r="N202" t="inlineStr">
        <is>
          <t>1</t>
        </is>
      </c>
      <c r="O202" t="inlineStr">
        <is>
          <t xml:space="preserve">2 </t>
        </is>
      </c>
      <c r="P202" t="inlineStr">
        <is>
          <t xml:space="preserve">249970  </t>
        </is>
      </c>
      <c r="Q202" s="26" t="n">
        <v>179</v>
      </c>
      <c r="R202" s="26">
        <f>Q202*G202</f>
        <v/>
      </c>
      <c r="S202" t="n">
        <v>106.19</v>
      </c>
      <c r="T202" s="18">
        <f>1 - V202/S202</f>
        <v/>
      </c>
      <c r="U202" s="18" t="n">
        <v>0.223463687150838</v>
      </c>
      <c r="V202" s="26" t="n">
        <v>88.34745762711864</v>
      </c>
      <c r="W202" s="26">
        <f>V202 - L202</f>
        <v/>
      </c>
    </row>
    <row r="203">
      <c r="A203" s="11" t="n">
        <v>46206</v>
      </c>
      <c r="B203" s="1" t="n">
        <v>20056</v>
      </c>
      <c r="C203" s="1" t="inlineStr">
        <is>
          <t>021</t>
        </is>
      </c>
      <c r="D203" s="1" t="inlineStr">
        <is>
          <t xml:space="preserve">51902 </t>
        </is>
      </c>
      <c r="E203" s="1" t="inlineStr">
        <is>
          <t xml:space="preserve">31754678       </t>
        </is>
      </c>
      <c r="F203" s="5" t="inlineStr">
        <is>
          <t>PINYPON CELEBRACION DE CUMPLEANOS + ACCESS.</t>
        </is>
      </c>
      <c r="G203" t="n">
        <v>1</v>
      </c>
      <c r="H203" s="7" t="n">
        <v>69.90000000000001</v>
      </c>
      <c r="I203" s="7" t="n">
        <v>0</v>
      </c>
      <c r="J203" s="7" t="n">
        <v>0</v>
      </c>
      <c r="K203" s="9" t="n">
        <v>0</v>
      </c>
      <c r="L203" s="10" t="n">
        <v>41.47</v>
      </c>
      <c r="M203" s="10" t="n">
        <v>1.43</v>
      </c>
      <c r="N203" t="inlineStr">
        <is>
          <t>1</t>
        </is>
      </c>
      <c r="O203" t="inlineStr">
        <is>
          <t xml:space="preserve">2 </t>
        </is>
      </c>
      <c r="P203" t="inlineStr">
        <is>
          <t xml:space="preserve">250152  </t>
        </is>
      </c>
      <c r="Q203" s="26" t="n">
        <v>69.90000000000001</v>
      </c>
      <c r="R203" s="26">
        <f>Q203*G203</f>
        <v/>
      </c>
      <c r="S203" t="n">
        <v>41.47</v>
      </c>
      <c r="T203" s="18">
        <f>1 - V203/S203</f>
        <v/>
      </c>
      <c r="U203" s="18" t="n">
        <v>0.4000000000000001</v>
      </c>
      <c r="V203" s="26" t="n">
        <v>28.43389830508475</v>
      </c>
      <c r="W203" s="26">
        <f>V203 - L203</f>
        <v/>
      </c>
    </row>
    <row r="204">
      <c r="A204" s="11" t="n">
        <v>46206</v>
      </c>
      <c r="B204" s="1" t="n">
        <v>20057</v>
      </c>
      <c r="C204" s="1" t="inlineStr">
        <is>
          <t>032</t>
        </is>
      </c>
      <c r="D204" s="1" t="inlineStr">
        <is>
          <t xml:space="preserve">73740 </t>
        </is>
      </c>
      <c r="E204" s="1" t="inlineStr">
        <is>
          <t xml:space="preserve">28194770       </t>
        </is>
      </c>
      <c r="F204" s="5" t="inlineStr">
        <is>
          <t>AUTOS DE METAL 3 TEAMSTERZ EN BLISTER</t>
        </is>
      </c>
      <c r="G204" t="n">
        <v>1</v>
      </c>
      <c r="H204" s="7" t="n">
        <v>6.9</v>
      </c>
      <c r="I204" s="7" t="n">
        <v>1.05</v>
      </c>
      <c r="J204" s="7" t="n">
        <v>0</v>
      </c>
      <c r="K204" s="9" t="n">
        <v>1.05</v>
      </c>
      <c r="L204" s="10" t="n">
        <v>3.47</v>
      </c>
      <c r="M204" s="10" t="n">
        <v>1.43</v>
      </c>
      <c r="N204" t="inlineStr">
        <is>
          <t>1</t>
        </is>
      </c>
      <c r="O204" t="inlineStr">
        <is>
          <t>16</t>
        </is>
      </c>
      <c r="P204" t="inlineStr">
        <is>
          <t xml:space="preserve">243704  </t>
        </is>
      </c>
      <c r="Q204" s="26" t="n">
        <v>6.9</v>
      </c>
      <c r="R204" s="26">
        <f>Q204*G204</f>
        <v/>
      </c>
      <c r="S204" t="n">
        <v>4.09</v>
      </c>
      <c r="T204" s="18">
        <f>1 - V204/S204</f>
        <v/>
      </c>
      <c r="U204" s="18" t="n">
        <v>0</v>
      </c>
      <c r="V204" s="26" t="n">
        <v>4.09</v>
      </c>
      <c r="W204" s="26">
        <f>V204 - L204</f>
        <v/>
      </c>
    </row>
    <row r="205">
      <c r="A205" s="11" t="n">
        <v>46206</v>
      </c>
      <c r="B205" s="1" t="n">
        <v>20057</v>
      </c>
      <c r="C205" s="1" t="inlineStr">
        <is>
          <t>032</t>
        </is>
      </c>
      <c r="D205" s="1" t="inlineStr">
        <is>
          <t xml:space="preserve">73789 </t>
        </is>
      </c>
      <c r="E205" s="1" t="inlineStr">
        <is>
          <t xml:space="preserve">28194770       </t>
        </is>
      </c>
      <c r="F205" s="5" t="inlineStr">
        <is>
          <t>AUTOS DE METAL 3 TEAMSTERZ EN BLISTER</t>
        </is>
      </c>
      <c r="G205" t="n">
        <v>1</v>
      </c>
      <c r="H205" s="7" t="n">
        <v>6.9</v>
      </c>
      <c r="I205" s="7" t="n">
        <v>0</v>
      </c>
      <c r="J205" s="7" t="n">
        <v>0</v>
      </c>
      <c r="K205" s="9" t="n">
        <v>0</v>
      </c>
      <c r="L205" s="10" t="n">
        <v>4.1</v>
      </c>
      <c r="M205" s="10" t="n">
        <v>1.43</v>
      </c>
      <c r="N205" t="inlineStr">
        <is>
          <t>1</t>
        </is>
      </c>
      <c r="O205" t="inlineStr">
        <is>
          <t>16</t>
        </is>
      </c>
      <c r="P205" t="inlineStr">
        <is>
          <t xml:space="preserve">243704  </t>
        </is>
      </c>
      <c r="Q205" s="26" t="n">
        <v>6.9</v>
      </c>
      <c r="R205" s="26">
        <f>Q205*G205</f>
        <v/>
      </c>
      <c r="S205" t="n">
        <v>4.09</v>
      </c>
      <c r="T205" s="18">
        <f>1 - V205/S205</f>
        <v/>
      </c>
      <c r="U205" s="18" t="n">
        <v>0</v>
      </c>
      <c r="V205" s="26" t="n">
        <v>4.09</v>
      </c>
      <c r="W205" s="26">
        <f>V205 - L205</f>
        <v/>
      </c>
    </row>
    <row r="206">
      <c r="A206" s="11" t="n">
        <v>46206</v>
      </c>
      <c r="B206" s="1" t="n">
        <v>20057</v>
      </c>
      <c r="C206" s="1" t="inlineStr">
        <is>
          <t>832</t>
        </is>
      </c>
      <c r="D206" s="1" t="inlineStr">
        <is>
          <t xml:space="preserve">7281  </t>
        </is>
      </c>
      <c r="E206" s="1" t="inlineStr">
        <is>
          <t xml:space="preserve">28194770       </t>
        </is>
      </c>
      <c r="F206" s="5" t="inlineStr">
        <is>
          <t>AUTOS DE METAL 3 TEAMSTERZ EN BLISTER</t>
        </is>
      </c>
      <c r="G206" t="n">
        <v>1</v>
      </c>
      <c r="H206" s="7" t="n">
        <v>6.9</v>
      </c>
      <c r="I206" s="7" t="n">
        <v>0</v>
      </c>
      <c r="J206" s="7" t="n">
        <v>0</v>
      </c>
      <c r="K206" s="9" t="n">
        <v>0</v>
      </c>
      <c r="L206" s="10" t="n">
        <v>4.1</v>
      </c>
      <c r="M206" s="10" t="n">
        <v>1.43</v>
      </c>
      <c r="N206" t="inlineStr">
        <is>
          <t>1</t>
        </is>
      </c>
      <c r="O206" t="inlineStr">
        <is>
          <t>16</t>
        </is>
      </c>
      <c r="P206" t="inlineStr">
        <is>
          <t xml:space="preserve">0       </t>
        </is>
      </c>
      <c r="Q206" s="26" t="n">
        <v>6.9</v>
      </c>
      <c r="R206" s="26">
        <f>Q206*G206</f>
        <v/>
      </c>
      <c r="S206" t="n">
        <v>4.09</v>
      </c>
      <c r="T206" s="18">
        <f>1 - V206/S206</f>
        <v/>
      </c>
      <c r="U206" s="18" t="n">
        <v>0</v>
      </c>
      <c r="V206" s="26" t="n">
        <v>4.09</v>
      </c>
      <c r="W206" s="26">
        <f>V206 - L206</f>
        <v/>
      </c>
    </row>
    <row r="207">
      <c r="A207" s="11" t="n">
        <v>46206</v>
      </c>
      <c r="B207" s="1" t="n">
        <v>20058</v>
      </c>
      <c r="C207" s="1" t="inlineStr">
        <is>
          <t>011</t>
        </is>
      </c>
      <c r="D207" s="1" t="inlineStr">
        <is>
          <t>185049</t>
        </is>
      </c>
      <c r="E207" s="1" t="inlineStr">
        <is>
          <t xml:space="preserve">28194770       </t>
        </is>
      </c>
      <c r="F207" s="5" t="inlineStr">
        <is>
          <t>AUTOS DE METAL 3 TEAMSTERZ EN BLISTER</t>
        </is>
      </c>
      <c r="G207" t="n">
        <v>1</v>
      </c>
      <c r="H207" s="7" t="n">
        <v>6.9</v>
      </c>
      <c r="I207" s="7" t="n">
        <v>0</v>
      </c>
      <c r="J207" s="7" t="n">
        <v>0</v>
      </c>
      <c r="K207" s="9" t="n">
        <v>0</v>
      </c>
      <c r="L207" s="10" t="n">
        <v>4.1</v>
      </c>
      <c r="M207" s="10" t="n">
        <v>1.43</v>
      </c>
      <c r="N207" t="inlineStr">
        <is>
          <t>1</t>
        </is>
      </c>
      <c r="O207" t="inlineStr">
        <is>
          <t>16</t>
        </is>
      </c>
      <c r="P207" t="inlineStr">
        <is>
          <t xml:space="preserve">244733  </t>
        </is>
      </c>
      <c r="Q207" s="26" t="n">
        <v>6.9</v>
      </c>
      <c r="R207" s="26">
        <f>Q207*G207</f>
        <v/>
      </c>
      <c r="S207" t="n">
        <v>4.09</v>
      </c>
      <c r="T207" s="18">
        <f>1 - V207/S207</f>
        <v/>
      </c>
      <c r="U207" s="18" t="n">
        <v>0</v>
      </c>
      <c r="V207" s="26" t="n">
        <v>4.09</v>
      </c>
      <c r="W207" s="26">
        <f>V207 - L207</f>
        <v/>
      </c>
    </row>
    <row r="208">
      <c r="A208" s="11" t="n">
        <v>46206</v>
      </c>
      <c r="B208" s="1" t="n">
        <v>20058</v>
      </c>
      <c r="C208" s="1" t="inlineStr">
        <is>
          <t>038</t>
        </is>
      </c>
      <c r="D208" s="1" t="inlineStr">
        <is>
          <t>208145</t>
        </is>
      </c>
      <c r="E208" s="1" t="inlineStr">
        <is>
          <t xml:space="preserve">28194769       </t>
        </is>
      </c>
      <c r="F208" s="5" t="inlineStr">
        <is>
          <t>AUTOS DE METAL 3 TEAMSTERZ PACK DE 2</t>
        </is>
      </c>
      <c r="G208" t="n">
        <v>1</v>
      </c>
      <c r="H208" s="7" t="n">
        <v>13.8</v>
      </c>
      <c r="I208" s="7" t="n">
        <v>0</v>
      </c>
      <c r="J208" s="7" t="n">
        <v>0</v>
      </c>
      <c r="K208" s="9" t="n">
        <v>0</v>
      </c>
      <c r="L208" s="10" t="n">
        <v>8.18</v>
      </c>
      <c r="M208" s="10" t="n">
        <v>1.43</v>
      </c>
      <c r="N208" t="inlineStr">
        <is>
          <t>1</t>
        </is>
      </c>
      <c r="O208" t="inlineStr">
        <is>
          <t xml:space="preserve">2 </t>
        </is>
      </c>
      <c r="P208" t="inlineStr">
        <is>
          <t xml:space="preserve">249637  </t>
        </is>
      </c>
      <c r="Q208" s="26" t="n">
        <v>13.8</v>
      </c>
      <c r="R208" s="26">
        <f>Q208*G208</f>
        <v/>
      </c>
      <c r="S208" t="n">
        <v>8.19</v>
      </c>
      <c r="T208" s="18">
        <f>1 - V208/S208</f>
        <v/>
      </c>
      <c r="U208" s="18" t="n">
        <v>0</v>
      </c>
      <c r="V208" s="26" t="n">
        <v>8.19</v>
      </c>
      <c r="W208" s="26">
        <f>V208 - L208</f>
        <v/>
      </c>
    </row>
    <row r="209">
      <c r="A209" s="11" t="n">
        <v>46206</v>
      </c>
      <c r="B209" s="1" t="n">
        <v>20058</v>
      </c>
      <c r="C209" s="1" t="inlineStr">
        <is>
          <t>038</t>
        </is>
      </c>
      <c r="D209" s="1" t="inlineStr">
        <is>
          <t>208167</t>
        </is>
      </c>
      <c r="E209" s="1" t="inlineStr">
        <is>
          <t xml:space="preserve">28194767       </t>
        </is>
      </c>
      <c r="F209" s="5" t="inlineStr">
        <is>
          <t>CAMIONES TEAMSTERZ DE EMERGENCIA</t>
        </is>
      </c>
      <c r="G209" t="n">
        <v>1</v>
      </c>
      <c r="H209" s="7" t="n">
        <v>17.9</v>
      </c>
      <c r="I209" s="7" t="n">
        <v>0</v>
      </c>
      <c r="J209" s="7" t="n">
        <v>0</v>
      </c>
      <c r="K209" s="9" t="n">
        <v>0</v>
      </c>
      <c r="L209" s="10" t="n">
        <v>10.62</v>
      </c>
      <c r="M209" s="10" t="n">
        <v>1.43</v>
      </c>
      <c r="N209" t="inlineStr">
        <is>
          <t>1</t>
        </is>
      </c>
      <c r="O209" t="inlineStr">
        <is>
          <t>16</t>
        </is>
      </c>
      <c r="P209" t="inlineStr">
        <is>
          <t xml:space="preserve">249637  </t>
        </is>
      </c>
      <c r="Q209" s="26" t="n">
        <v>17.9</v>
      </c>
      <c r="R209" s="26">
        <f>Q209*G209</f>
        <v/>
      </c>
      <c r="S209" t="n">
        <v>10.62</v>
      </c>
      <c r="T209" s="18">
        <f>1 - V209/S209</f>
        <v/>
      </c>
      <c r="U209" s="18" t="n">
        <v>0</v>
      </c>
      <c r="V209" s="26" t="n">
        <v>10.62</v>
      </c>
      <c r="W209" s="26">
        <f>V209 - L209</f>
        <v/>
      </c>
    </row>
    <row r="210">
      <c r="A210" s="11" t="n">
        <v>46206</v>
      </c>
      <c r="B210" s="1" t="n">
        <v>20058</v>
      </c>
      <c r="C210" s="1" t="inlineStr">
        <is>
          <t>038</t>
        </is>
      </c>
      <c r="D210" s="1" t="inlineStr">
        <is>
          <t>208182</t>
        </is>
      </c>
      <c r="E210" s="1" t="inlineStr">
        <is>
          <t xml:space="preserve">31675354       </t>
        </is>
      </c>
      <c r="F210" s="5" t="inlineStr">
        <is>
          <t>NENUCO LLORON CON ACCESORIOS</t>
        </is>
      </c>
      <c r="G210" t="n">
        <v>1</v>
      </c>
      <c r="H210" s="7" t="n">
        <v>89.90000000000001</v>
      </c>
      <c r="I210" s="7" t="n">
        <v>0</v>
      </c>
      <c r="J210" s="7" t="n">
        <v>0</v>
      </c>
      <c r="K210" s="9" t="n">
        <v>0</v>
      </c>
      <c r="L210" s="10" t="n">
        <v>53.33</v>
      </c>
      <c r="M210" s="10" t="n">
        <v>1.43</v>
      </c>
      <c r="N210" t="inlineStr">
        <is>
          <t>1</t>
        </is>
      </c>
      <c r="O210" t="inlineStr">
        <is>
          <t xml:space="preserve">2 </t>
        </is>
      </c>
      <c r="P210" t="inlineStr">
        <is>
          <t xml:space="preserve">249637  </t>
        </is>
      </c>
      <c r="Q210" s="26" t="n">
        <v>89.90000000000001</v>
      </c>
      <c r="R210" s="26">
        <f>Q210*G210</f>
        <v/>
      </c>
      <c r="S210" t="n">
        <v>53.33</v>
      </c>
      <c r="T210" s="18">
        <f>1 - V210/S210</f>
        <v/>
      </c>
      <c r="U210" s="18" t="n">
        <v>0.2224694104560623</v>
      </c>
      <c r="V210" s="26" t="n">
        <v>44.42796610169492</v>
      </c>
      <c r="W210" s="26">
        <f>V210 - L210</f>
        <v/>
      </c>
    </row>
    <row r="211">
      <c r="A211" s="11" t="n">
        <v>46206</v>
      </c>
      <c r="B211" s="1" t="n">
        <v>20058</v>
      </c>
      <c r="C211" s="1" t="inlineStr">
        <is>
          <t>038</t>
        </is>
      </c>
      <c r="D211" s="1" t="inlineStr">
        <is>
          <t>208184</t>
        </is>
      </c>
      <c r="E211" s="1" t="inlineStr">
        <is>
          <t xml:space="preserve">28194769       </t>
        </is>
      </c>
      <c r="F211" s="5" t="inlineStr">
        <is>
          <t>AUTOS DE METAL 3 TEAMSTERZ PACK DE 2</t>
        </is>
      </c>
      <c r="G211" t="n">
        <v>1</v>
      </c>
      <c r="H211" s="7" t="n">
        <v>13.8</v>
      </c>
      <c r="I211" s="7" t="n">
        <v>0</v>
      </c>
      <c r="J211" s="7" t="n">
        <v>0</v>
      </c>
      <c r="K211" s="9" t="n">
        <v>0</v>
      </c>
      <c r="L211" s="10" t="n">
        <v>8.18</v>
      </c>
      <c r="M211" s="10" t="n">
        <v>1.43</v>
      </c>
      <c r="N211" t="inlineStr">
        <is>
          <t>1</t>
        </is>
      </c>
      <c r="O211" t="inlineStr">
        <is>
          <t>16</t>
        </is>
      </c>
      <c r="P211" t="inlineStr">
        <is>
          <t xml:space="preserve">249637  </t>
        </is>
      </c>
      <c r="Q211" s="26" t="n">
        <v>13.8</v>
      </c>
      <c r="R211" s="26">
        <f>Q211*G211</f>
        <v/>
      </c>
      <c r="S211" t="n">
        <v>8.19</v>
      </c>
      <c r="T211" s="18">
        <f>1 - V211/S211</f>
        <v/>
      </c>
      <c r="U211" s="18" t="n">
        <v>0</v>
      </c>
      <c r="V211" s="26" t="n">
        <v>8.19</v>
      </c>
      <c r="W211" s="26">
        <f>V211 - L211</f>
        <v/>
      </c>
    </row>
    <row r="212">
      <c r="A212" s="11" t="n">
        <v>46206</v>
      </c>
      <c r="B212" s="1" t="n">
        <v>20058</v>
      </c>
      <c r="C212" s="1" t="inlineStr">
        <is>
          <t>039</t>
        </is>
      </c>
      <c r="D212" s="1" t="inlineStr">
        <is>
          <t>229325</t>
        </is>
      </c>
      <c r="E212" s="1" t="inlineStr">
        <is>
          <t xml:space="preserve">28194770       </t>
        </is>
      </c>
      <c r="F212" s="5" t="inlineStr">
        <is>
          <t>AUTOS DE METAL 3 TEAMSTERZ EN BLISTER</t>
        </is>
      </c>
      <c r="G212" t="n">
        <v>1</v>
      </c>
      <c r="H212" s="7" t="n">
        <v>6.9</v>
      </c>
      <c r="I212" s="7" t="n">
        <v>0</v>
      </c>
      <c r="J212" s="7" t="n">
        <v>0</v>
      </c>
      <c r="K212" s="9" t="n">
        <v>0</v>
      </c>
      <c r="L212" s="10" t="n">
        <v>4.1</v>
      </c>
      <c r="M212" s="10" t="n">
        <v>1.43</v>
      </c>
      <c r="N212" t="inlineStr">
        <is>
          <t>1</t>
        </is>
      </c>
      <c r="O212" t="inlineStr">
        <is>
          <t>16</t>
        </is>
      </c>
      <c r="P212" t="inlineStr">
        <is>
          <t xml:space="preserve">244952  </t>
        </is>
      </c>
      <c r="Q212" s="26" t="n">
        <v>6.9</v>
      </c>
      <c r="R212" s="26">
        <f>Q212*G212</f>
        <v/>
      </c>
      <c r="S212" t="n">
        <v>4.09</v>
      </c>
      <c r="T212" s="18">
        <f>1 - V212/S212</f>
        <v/>
      </c>
      <c r="U212" s="18" t="n">
        <v>0</v>
      </c>
      <c r="V212" s="26" t="n">
        <v>4.09</v>
      </c>
      <c r="W212" s="26">
        <f>V212 - L212</f>
        <v/>
      </c>
    </row>
    <row r="213">
      <c r="A213" s="11" t="n">
        <v>46206</v>
      </c>
      <c r="B213" s="1" t="n">
        <v>20058</v>
      </c>
      <c r="C213" s="1" t="inlineStr">
        <is>
          <t>039</t>
        </is>
      </c>
      <c r="D213" s="1" t="inlineStr">
        <is>
          <t>229325</t>
        </is>
      </c>
      <c r="E213" s="1" t="inlineStr">
        <is>
          <t xml:space="preserve">28194770       </t>
        </is>
      </c>
      <c r="F213" s="5" t="inlineStr">
        <is>
          <t>AUTOS DE METAL 3 TEAMSTERZ EN BLISTER</t>
        </is>
      </c>
      <c r="G213" t="n">
        <v>1</v>
      </c>
      <c r="H213" s="7" t="n">
        <v>6.9</v>
      </c>
      <c r="I213" s="7" t="n">
        <v>0</v>
      </c>
      <c r="J213" s="7" t="n">
        <v>0</v>
      </c>
      <c r="K213" s="9" t="n">
        <v>0</v>
      </c>
      <c r="L213" s="10" t="n">
        <v>4.1</v>
      </c>
      <c r="M213" s="10" t="n">
        <v>1.43</v>
      </c>
      <c r="N213" t="inlineStr">
        <is>
          <t>1</t>
        </is>
      </c>
      <c r="O213" t="inlineStr">
        <is>
          <t>16</t>
        </is>
      </c>
      <c r="P213" t="inlineStr">
        <is>
          <t xml:space="preserve">244952  </t>
        </is>
      </c>
      <c r="Q213" s="26" t="n">
        <v>6.9</v>
      </c>
      <c r="R213" s="26">
        <f>Q213*G213</f>
        <v/>
      </c>
      <c r="S213" t="n">
        <v>4.09</v>
      </c>
      <c r="T213" s="18">
        <f>1 - V213/S213</f>
        <v/>
      </c>
      <c r="U213" s="18" t="n">
        <v>0</v>
      </c>
      <c r="V213" s="26" t="n">
        <v>4.09</v>
      </c>
      <c r="W213" s="26">
        <f>V213 - L213</f>
        <v/>
      </c>
    </row>
    <row r="214">
      <c r="A214" s="11" t="n">
        <v>46206</v>
      </c>
      <c r="B214" s="1" t="n">
        <v>20058</v>
      </c>
      <c r="C214" s="1" t="inlineStr">
        <is>
          <t>198</t>
        </is>
      </c>
      <c r="D214" s="1" t="inlineStr">
        <is>
          <t xml:space="preserve">17822 </t>
        </is>
      </c>
      <c r="E214" s="1" t="inlineStr">
        <is>
          <t xml:space="preserve">28194770       </t>
        </is>
      </c>
      <c r="F214" s="5" t="inlineStr">
        <is>
          <t>AUTOS DE METAL 3 TEAMSTERZ EN BLISTER</t>
        </is>
      </c>
      <c r="G214" t="n">
        <v>1</v>
      </c>
      <c r="H214" s="7" t="n">
        <v>6.9</v>
      </c>
      <c r="I214" s="7" t="n">
        <v>0</v>
      </c>
      <c r="J214" s="7" t="n">
        <v>0</v>
      </c>
      <c r="K214" s="9" t="n">
        <v>0</v>
      </c>
      <c r="L214" s="10" t="n">
        <v>4.1</v>
      </c>
      <c r="M214" s="10" t="n">
        <v>1.43</v>
      </c>
      <c r="N214" t="inlineStr">
        <is>
          <t>1</t>
        </is>
      </c>
      <c r="O214" t="inlineStr">
        <is>
          <t xml:space="preserve">2 </t>
        </is>
      </c>
      <c r="P214" t="inlineStr">
        <is>
          <t xml:space="preserve">231899  </t>
        </is>
      </c>
      <c r="Q214" s="26" t="n">
        <v>6.9</v>
      </c>
      <c r="R214" s="26">
        <f>Q214*G214</f>
        <v/>
      </c>
      <c r="S214" t="n">
        <v>4.09</v>
      </c>
      <c r="T214" s="18">
        <f>1 - V214/S214</f>
        <v/>
      </c>
      <c r="U214" s="18" t="n">
        <v>0</v>
      </c>
      <c r="V214" s="26" t="n">
        <v>4.09</v>
      </c>
      <c r="W214" s="26">
        <f>V214 - L214</f>
        <v/>
      </c>
    </row>
    <row r="215">
      <c r="A215" s="11" t="n">
        <v>46206</v>
      </c>
      <c r="B215" s="1" t="n">
        <v>20058</v>
      </c>
      <c r="C215" s="1" t="inlineStr">
        <is>
          <t>198</t>
        </is>
      </c>
      <c r="D215" s="1" t="inlineStr">
        <is>
          <t xml:space="preserve">17823 </t>
        </is>
      </c>
      <c r="E215" s="1" t="inlineStr">
        <is>
          <t xml:space="preserve">28194770       </t>
        </is>
      </c>
      <c r="F215" s="5" t="inlineStr">
        <is>
          <t>AUTOS DE METAL 3 TEAMSTERZ EN BLISTER</t>
        </is>
      </c>
      <c r="G215" t="n">
        <v>1</v>
      </c>
      <c r="H215" s="7" t="n">
        <v>6.9</v>
      </c>
      <c r="I215" s="7" t="n">
        <v>0</v>
      </c>
      <c r="J215" s="7" t="n">
        <v>0</v>
      </c>
      <c r="K215" s="9" t="n">
        <v>0</v>
      </c>
      <c r="L215" s="10" t="n">
        <v>4.1</v>
      </c>
      <c r="M215" s="10" t="n">
        <v>1.43</v>
      </c>
      <c r="N215" t="inlineStr">
        <is>
          <t>1</t>
        </is>
      </c>
      <c r="O215" t="inlineStr">
        <is>
          <t xml:space="preserve">2 </t>
        </is>
      </c>
      <c r="P215" t="inlineStr">
        <is>
          <t xml:space="preserve">231899  </t>
        </is>
      </c>
      <c r="Q215" s="26" t="n">
        <v>6.9</v>
      </c>
      <c r="R215" s="26">
        <f>Q215*G215</f>
        <v/>
      </c>
      <c r="S215" t="n">
        <v>4.09</v>
      </c>
      <c r="T215" s="18">
        <f>1 - V215/S215</f>
        <v/>
      </c>
      <c r="U215" s="18" t="n">
        <v>0</v>
      </c>
      <c r="V215" s="26" t="n">
        <v>4.09</v>
      </c>
      <c r="W215" s="26">
        <f>V215 - L215</f>
        <v/>
      </c>
    </row>
    <row r="216">
      <c r="A216" s="11" t="n">
        <v>46206</v>
      </c>
      <c r="B216" s="1" t="n">
        <v>20058</v>
      </c>
      <c r="C216" s="1" t="inlineStr">
        <is>
          <t>514</t>
        </is>
      </c>
      <c r="D216" s="1" t="inlineStr">
        <is>
          <t xml:space="preserve">5310  </t>
        </is>
      </c>
      <c r="E216" s="1" t="inlineStr">
        <is>
          <t xml:space="preserve">28194769       </t>
        </is>
      </c>
      <c r="F216" s="5" t="inlineStr">
        <is>
          <t>AUTOS DE METAL 3 TEAMSTERZ PACK DE 2</t>
        </is>
      </c>
      <c r="G216" t="n">
        <v>1</v>
      </c>
      <c r="H216" s="7" t="n">
        <v>13.8</v>
      </c>
      <c r="I216" s="7" t="n">
        <v>0</v>
      </c>
      <c r="J216" s="7" t="n">
        <v>0</v>
      </c>
      <c r="K216" s="9" t="n">
        <v>0</v>
      </c>
      <c r="L216" s="10" t="n">
        <v>8.18</v>
      </c>
      <c r="M216" s="10" t="n">
        <v>1.43</v>
      </c>
      <c r="N216" t="inlineStr">
        <is>
          <t>1</t>
        </is>
      </c>
      <c r="O216" t="inlineStr">
        <is>
          <t>16</t>
        </is>
      </c>
      <c r="P216" t="inlineStr">
        <is>
          <t xml:space="preserve">246464  </t>
        </is>
      </c>
      <c r="Q216" s="26" t="n">
        <v>13.8</v>
      </c>
      <c r="R216" s="26">
        <f>Q216*G216</f>
        <v/>
      </c>
      <c r="S216" t="n">
        <v>8.19</v>
      </c>
      <c r="T216" s="18">
        <f>1 - V216/S216</f>
        <v/>
      </c>
      <c r="U216" s="18" t="n">
        <v>0</v>
      </c>
      <c r="V216" s="26" t="n">
        <v>8.19</v>
      </c>
      <c r="W216" s="26">
        <f>V216 - L216</f>
        <v/>
      </c>
    </row>
    <row r="217">
      <c r="A217" s="11" t="n">
        <v>46206</v>
      </c>
      <c r="B217" s="1" t="n">
        <v>20060</v>
      </c>
      <c r="C217" s="1" t="inlineStr">
        <is>
          <t>302</t>
        </is>
      </c>
      <c r="D217" s="1" t="inlineStr">
        <is>
          <t xml:space="preserve">1276  </t>
        </is>
      </c>
      <c r="E217" s="1" t="inlineStr">
        <is>
          <t xml:space="preserve">32656408       </t>
        </is>
      </c>
      <c r="F217" s="5" t="inlineStr">
        <is>
          <t>VIP PETS INFLUENCER</t>
        </is>
      </c>
      <c r="G217" t="n">
        <v>-1</v>
      </c>
      <c r="H217" s="7" t="n">
        <v>-77.40000000000001</v>
      </c>
      <c r="I217" s="7" t="n">
        <v>0</v>
      </c>
      <c r="J217" s="7" t="n">
        <v>0</v>
      </c>
      <c r="K217" s="9" t="n">
        <v>0</v>
      </c>
      <c r="L217" s="10" t="n">
        <v>-45.91</v>
      </c>
      <c r="M217" s="10" t="n">
        <v>0</v>
      </c>
      <c r="N217" t="inlineStr">
        <is>
          <t>3</t>
        </is>
      </c>
      <c r="O217" t="inlineStr">
        <is>
          <t>36</t>
        </is>
      </c>
      <c r="P217" t="inlineStr">
        <is>
          <t>82807346</t>
        </is>
      </c>
      <c r="Q217" s="26" t="n">
        <v>129</v>
      </c>
      <c r="R217" s="26">
        <f>Q217*G217</f>
        <v/>
      </c>
      <c r="S217" t="n">
        <v>-76.53</v>
      </c>
      <c r="T217" s="18">
        <f>1 - V217/S217</f>
        <v/>
      </c>
      <c r="U217" s="18" t="n">
        <v>0.3999999999999999</v>
      </c>
      <c r="V217" s="26" t="n">
        <v>-55.75457627118644</v>
      </c>
      <c r="W217" s="26">
        <f>V217 - L217</f>
        <v/>
      </c>
    </row>
    <row r="218">
      <c r="A218" s="11" t="n">
        <v>46206</v>
      </c>
      <c r="B218" s="1" t="n">
        <v>20062</v>
      </c>
      <c r="C218" s="1" t="inlineStr">
        <is>
          <t>014</t>
        </is>
      </c>
      <c r="D218" s="1" t="inlineStr">
        <is>
          <t>227570</t>
        </is>
      </c>
      <c r="E218" s="1" t="inlineStr">
        <is>
          <t xml:space="preserve">34840515       </t>
        </is>
      </c>
      <c r="F218" s="5" t="inlineStr">
        <is>
          <t>MUNECA EVI LOVE PRINCESA + UNICORNIO</t>
        </is>
      </c>
      <c r="G218" t="n">
        <v>1</v>
      </c>
      <c r="H218" s="7" t="n">
        <v>32.9</v>
      </c>
      <c r="I218" s="7" t="n">
        <v>0</v>
      </c>
      <c r="J218" s="7" t="n">
        <v>0</v>
      </c>
      <c r="K218" s="9" t="n">
        <v>0</v>
      </c>
      <c r="L218" s="10" t="n">
        <v>19.52</v>
      </c>
      <c r="M218" s="10" t="n">
        <v>1.43</v>
      </c>
      <c r="N218" t="inlineStr">
        <is>
          <t>1</t>
        </is>
      </c>
      <c r="O218" t="inlineStr">
        <is>
          <t xml:space="preserve">2 </t>
        </is>
      </c>
      <c r="P218" t="inlineStr">
        <is>
          <t xml:space="preserve">57106   </t>
        </is>
      </c>
      <c r="Q218" s="26" t="n">
        <v>32.89999999999998</v>
      </c>
      <c r="R218" s="26">
        <f>Q218*G218</f>
        <v/>
      </c>
      <c r="S218" t="n">
        <v>19.52</v>
      </c>
      <c r="T218" s="18">
        <f>1 - V218/S218</f>
        <v/>
      </c>
      <c r="U218" s="18" t="n">
        <v>0.4</v>
      </c>
      <c r="V218" s="26" t="n">
        <v>15.05593220338983</v>
      </c>
      <c r="W218" s="26">
        <f>V218 - L218</f>
        <v/>
      </c>
    </row>
    <row r="219">
      <c r="A219" s="11" t="n">
        <v>46206</v>
      </c>
      <c r="B219" s="1" t="n">
        <v>20062</v>
      </c>
      <c r="C219" s="1" t="inlineStr">
        <is>
          <t>038</t>
        </is>
      </c>
      <c r="D219" s="1" t="inlineStr">
        <is>
          <t>172589</t>
        </is>
      </c>
      <c r="E219" s="1" t="inlineStr">
        <is>
          <t xml:space="preserve">31754677       </t>
        </is>
      </c>
      <c r="F219" s="5" t="inlineStr">
        <is>
          <t>INFINITY NADO SERIE 6 SET DE BATALL</t>
        </is>
      </c>
      <c r="G219" t="n">
        <v>1</v>
      </c>
      <c r="H219" s="7" t="n">
        <v>189</v>
      </c>
      <c r="I219" s="7" t="n">
        <v>0</v>
      </c>
      <c r="J219" s="7" t="n">
        <v>0</v>
      </c>
      <c r="K219" s="9" t="n">
        <v>0</v>
      </c>
      <c r="L219" s="10" t="n">
        <v>112.12</v>
      </c>
      <c r="M219" s="10" t="n">
        <v>1.43</v>
      </c>
      <c r="N219" t="inlineStr">
        <is>
          <t>1</t>
        </is>
      </c>
      <c r="O219" t="inlineStr">
        <is>
          <t>16</t>
        </is>
      </c>
      <c r="P219" t="inlineStr">
        <is>
          <t xml:space="preserve">43396   </t>
        </is>
      </c>
      <c r="Q219" s="26" t="n">
        <v>189</v>
      </c>
      <c r="R219" s="26">
        <f>Q219*G219</f>
        <v/>
      </c>
      <c r="S219" t="n">
        <v>112.12</v>
      </c>
      <c r="T219" s="18">
        <f>1 - V219/S219</f>
        <v/>
      </c>
      <c r="U219" s="18" t="n">
        <v>0.2116402116402116</v>
      </c>
      <c r="V219" s="26" t="n">
        <v>94.70338983050848</v>
      </c>
      <c r="W219" s="26">
        <f>V219 - L219</f>
        <v/>
      </c>
    </row>
    <row r="220">
      <c r="A220" s="11" t="n">
        <v>46206</v>
      </c>
      <c r="B220" s="1" t="n">
        <v>20062</v>
      </c>
      <c r="C220" s="1" t="inlineStr">
        <is>
          <t>038</t>
        </is>
      </c>
      <c r="D220" s="1" t="inlineStr">
        <is>
          <t>172628</t>
        </is>
      </c>
      <c r="E220" s="1" t="inlineStr">
        <is>
          <t xml:space="preserve">34840553       </t>
        </is>
      </c>
      <c r="F220" s="5" t="inlineStr">
        <is>
          <t>TMZ AUTO LUZ Y SONIDO ESQUELET DINO T-REX</t>
        </is>
      </c>
      <c r="G220" t="n">
        <v>1</v>
      </c>
      <c r="H220" s="7" t="n">
        <v>79.90000000000001</v>
      </c>
      <c r="I220" s="7" t="n">
        <v>0</v>
      </c>
      <c r="J220" s="7" t="n">
        <v>0</v>
      </c>
      <c r="K220" s="9" t="n">
        <v>0</v>
      </c>
      <c r="L220" s="10" t="n">
        <v>47.4</v>
      </c>
      <c r="M220" s="10" t="n">
        <v>1.43</v>
      </c>
      <c r="N220" t="inlineStr">
        <is>
          <t>1</t>
        </is>
      </c>
      <c r="O220" t="inlineStr">
        <is>
          <t>16</t>
        </is>
      </c>
      <c r="P220" t="inlineStr">
        <is>
          <t xml:space="preserve">43396   </t>
        </is>
      </c>
      <c r="Q220" s="26" t="n">
        <v>79.90000000000002</v>
      </c>
      <c r="R220" s="26">
        <f>Q220*G220</f>
        <v/>
      </c>
      <c r="S220" t="n">
        <v>47.4</v>
      </c>
      <c r="T220" s="18">
        <f>1 - V220/S220</f>
        <v/>
      </c>
      <c r="U220" s="18" t="n">
        <v>0</v>
      </c>
      <c r="V220" s="26" t="n">
        <v>47.4</v>
      </c>
      <c r="W220" s="26">
        <f>V220 - L220</f>
        <v/>
      </c>
    </row>
    <row r="221">
      <c r="A221" s="11" t="n">
        <v>46206</v>
      </c>
      <c r="B221" s="1" t="n">
        <v>20066</v>
      </c>
      <c r="C221" s="1" t="inlineStr">
        <is>
          <t>057</t>
        </is>
      </c>
      <c r="D221" s="1" t="inlineStr">
        <is>
          <t>493067</t>
        </is>
      </c>
      <c r="E221" s="1" t="inlineStr">
        <is>
          <t xml:space="preserve">28194770       </t>
        </is>
      </c>
      <c r="F221" s="5" t="inlineStr">
        <is>
          <t>AUTOS DE METAL 3 TEAMSTERZ EN BLISTER</t>
        </is>
      </c>
      <c r="G221" t="n">
        <v>1</v>
      </c>
      <c r="H221" s="7" t="n">
        <v>6.9</v>
      </c>
      <c r="I221" s="7" t="n">
        <v>0</v>
      </c>
      <c r="J221" s="7" t="n">
        <v>0</v>
      </c>
      <c r="K221" s="9" t="n">
        <v>0</v>
      </c>
      <c r="L221" s="10" t="n">
        <v>4.1</v>
      </c>
      <c r="M221" s="10" t="n">
        <v>1.43</v>
      </c>
      <c r="N221" t="inlineStr">
        <is>
          <t>1</t>
        </is>
      </c>
      <c r="O221" t="inlineStr">
        <is>
          <t xml:space="preserve">2 </t>
        </is>
      </c>
      <c r="P221" t="inlineStr">
        <is>
          <t xml:space="preserve">43276   </t>
        </is>
      </c>
      <c r="Q221" s="26" t="n">
        <v>6.9</v>
      </c>
      <c r="R221" s="26">
        <f>Q221*G221</f>
        <v/>
      </c>
      <c r="S221" t="n">
        <v>4.09</v>
      </c>
      <c r="T221" s="18">
        <f>1 - V221/S221</f>
        <v/>
      </c>
      <c r="U221" s="18" t="n">
        <v>0</v>
      </c>
      <c r="V221" s="26" t="n">
        <v>4.09</v>
      </c>
      <c r="W221" s="26">
        <f>V221 - L221</f>
        <v/>
      </c>
    </row>
    <row r="222">
      <c r="A222" s="11" t="n">
        <v>46206</v>
      </c>
      <c r="B222" s="1" t="n">
        <v>20066</v>
      </c>
      <c r="C222" s="1" t="inlineStr">
        <is>
          <t>057</t>
        </is>
      </c>
      <c r="D222" s="1" t="inlineStr">
        <is>
          <t>493067</t>
        </is>
      </c>
      <c r="E222" s="1" t="inlineStr">
        <is>
          <t xml:space="preserve">30141766       </t>
        </is>
      </c>
      <c r="F222" s="5" t="inlineStr">
        <is>
          <t>TMZ BEAST MACHINES AUTOS DE METAL BLISTER X 1</t>
        </is>
      </c>
      <c r="G222" t="n">
        <v>1</v>
      </c>
      <c r="H222" s="7" t="n">
        <v>7.9</v>
      </c>
      <c r="I222" s="7" t="n">
        <v>0</v>
      </c>
      <c r="J222" s="7" t="n">
        <v>0</v>
      </c>
      <c r="K222" s="9" t="n">
        <v>0</v>
      </c>
      <c r="L222" s="10" t="n">
        <v>4.68</v>
      </c>
      <c r="M222" s="10" t="n">
        <v>1.43</v>
      </c>
      <c r="N222" t="inlineStr">
        <is>
          <t>1</t>
        </is>
      </c>
      <c r="O222" t="inlineStr">
        <is>
          <t xml:space="preserve">2 </t>
        </is>
      </c>
      <c r="P222" t="inlineStr">
        <is>
          <t xml:space="preserve">43276   </t>
        </is>
      </c>
      <c r="Q222" s="26" t="n">
        <v>7.9</v>
      </c>
      <c r="R222" s="26">
        <f>Q222*G222</f>
        <v/>
      </c>
      <c r="S222" t="n">
        <v>4.69</v>
      </c>
      <c r="T222" s="18">
        <f>1 - V222/S222</f>
        <v/>
      </c>
      <c r="U222" s="18" t="n">
        <v>0</v>
      </c>
      <c r="V222" s="26" t="n">
        <v>4.69</v>
      </c>
      <c r="W222" s="26">
        <f>V222 - L222</f>
        <v/>
      </c>
    </row>
    <row r="223">
      <c r="A223" s="11" t="n">
        <v>46206</v>
      </c>
      <c r="B223" s="1" t="n">
        <v>20066</v>
      </c>
      <c r="C223" s="1" t="inlineStr">
        <is>
          <t>057</t>
        </is>
      </c>
      <c r="D223" s="1" t="inlineStr">
        <is>
          <t>493095</t>
        </is>
      </c>
      <c r="E223" s="1" t="inlineStr">
        <is>
          <t xml:space="preserve">28194770       </t>
        </is>
      </c>
      <c r="F223" s="5" t="inlineStr">
        <is>
          <t>AUTOS DE METAL 3 TEAMSTERZ EN BLISTER</t>
        </is>
      </c>
      <c r="G223" t="n">
        <v>1</v>
      </c>
      <c r="H223" s="7" t="n">
        <v>6.9</v>
      </c>
      <c r="I223" s="7" t="n">
        <v>0</v>
      </c>
      <c r="J223" s="7" t="n">
        <v>0</v>
      </c>
      <c r="K223" s="9" t="n">
        <v>0</v>
      </c>
      <c r="L223" s="10" t="n">
        <v>4.1</v>
      </c>
      <c r="M223" s="10" t="n">
        <v>1.43</v>
      </c>
      <c r="N223" t="inlineStr">
        <is>
          <t>1</t>
        </is>
      </c>
      <c r="O223" t="inlineStr">
        <is>
          <t xml:space="preserve">2 </t>
        </is>
      </c>
      <c r="P223" t="inlineStr">
        <is>
          <t xml:space="preserve">43276   </t>
        </is>
      </c>
      <c r="Q223" s="26" t="n">
        <v>6.9</v>
      </c>
      <c r="R223" s="26">
        <f>Q223*G223</f>
        <v/>
      </c>
      <c r="S223" t="n">
        <v>4.09</v>
      </c>
      <c r="T223" s="18">
        <f>1 - V223/S223</f>
        <v/>
      </c>
      <c r="U223" s="18" t="n">
        <v>0</v>
      </c>
      <c r="V223" s="26" t="n">
        <v>4.09</v>
      </c>
      <c r="W223" s="26">
        <f>V223 - L223</f>
        <v/>
      </c>
    </row>
    <row r="224">
      <c r="A224" s="11" t="n">
        <v>46206</v>
      </c>
      <c r="B224" s="1" t="n">
        <v>20066</v>
      </c>
      <c r="C224" s="1" t="inlineStr">
        <is>
          <t>058</t>
        </is>
      </c>
      <c r="D224" s="1" t="inlineStr">
        <is>
          <t xml:space="preserve">59601 </t>
        </is>
      </c>
      <c r="E224" s="1" t="inlineStr">
        <is>
          <t xml:space="preserve">28194770       </t>
        </is>
      </c>
      <c r="F224" s="5" t="inlineStr">
        <is>
          <t>AUTOS DE METAL 3 TEAMSTERZ EN BLISTER</t>
        </is>
      </c>
      <c r="G224" t="n">
        <v>1</v>
      </c>
      <c r="H224" s="7" t="n">
        <v>6.9</v>
      </c>
      <c r="I224" s="7" t="n">
        <v>0</v>
      </c>
      <c r="J224" s="7" t="n">
        <v>0</v>
      </c>
      <c r="K224" s="9" t="n">
        <v>0</v>
      </c>
      <c r="L224" s="10" t="n">
        <v>4.1</v>
      </c>
      <c r="M224" s="10" t="n">
        <v>1.43</v>
      </c>
      <c r="N224" t="inlineStr">
        <is>
          <t>1</t>
        </is>
      </c>
      <c r="O224" t="inlineStr">
        <is>
          <t xml:space="preserve">6 </t>
        </is>
      </c>
      <c r="P224" t="inlineStr">
        <is>
          <t xml:space="preserve">49848   </t>
        </is>
      </c>
      <c r="Q224" s="26" t="n">
        <v>6.9</v>
      </c>
      <c r="R224" s="26">
        <f>Q224*G224</f>
        <v/>
      </c>
      <c r="S224" t="n">
        <v>4.09</v>
      </c>
      <c r="T224" s="18">
        <f>1 - V224/S224</f>
        <v/>
      </c>
      <c r="U224" s="18" t="n">
        <v>0</v>
      </c>
      <c r="V224" s="26" t="n">
        <v>4.09</v>
      </c>
      <c r="W224" s="26">
        <f>V224 - L224</f>
        <v/>
      </c>
    </row>
    <row r="225">
      <c r="A225" s="11" t="n">
        <v>46206</v>
      </c>
      <c r="B225" s="1" t="n">
        <v>20069</v>
      </c>
      <c r="C225" s="1" t="inlineStr">
        <is>
          <t>013</t>
        </is>
      </c>
      <c r="D225" s="1" t="inlineStr">
        <is>
          <t>247798</t>
        </is>
      </c>
      <c r="E225" s="1" t="inlineStr">
        <is>
          <t xml:space="preserve">28194769       </t>
        </is>
      </c>
      <c r="F225" s="5" t="inlineStr">
        <is>
          <t>AUTOS DE METAL 3 TEAMSTERZ PACK DE 2</t>
        </is>
      </c>
      <c r="G225" t="n">
        <v>1</v>
      </c>
      <c r="H225" s="7" t="n">
        <v>13.8</v>
      </c>
      <c r="I225" s="7" t="n">
        <v>0</v>
      </c>
      <c r="J225" s="7" t="n">
        <v>0</v>
      </c>
      <c r="K225" s="9" t="n">
        <v>0</v>
      </c>
      <c r="L225" s="10" t="n">
        <v>8.18</v>
      </c>
      <c r="M225" s="10" t="n">
        <v>1.43</v>
      </c>
      <c r="N225" t="inlineStr">
        <is>
          <t>1</t>
        </is>
      </c>
      <c r="O225" t="inlineStr">
        <is>
          <t>16</t>
        </is>
      </c>
      <c r="P225" t="inlineStr">
        <is>
          <t xml:space="preserve">249779  </t>
        </is>
      </c>
      <c r="Q225" s="26" t="n">
        <v>13.8</v>
      </c>
      <c r="R225" s="26">
        <f>Q225*G225</f>
        <v/>
      </c>
      <c r="S225" t="n">
        <v>8.19</v>
      </c>
      <c r="T225" s="18">
        <f>1 - V225/S225</f>
        <v/>
      </c>
      <c r="U225" s="18" t="n">
        <v>0</v>
      </c>
      <c r="V225" s="26" t="n">
        <v>8.19</v>
      </c>
      <c r="W225" s="26">
        <f>V225 - L225</f>
        <v/>
      </c>
    </row>
    <row r="226">
      <c r="A226" s="11" t="n">
        <v>46206</v>
      </c>
      <c r="B226" s="1" t="n">
        <v>20073</v>
      </c>
      <c r="C226" s="1" t="inlineStr">
        <is>
          <t>020</t>
        </is>
      </c>
      <c r="D226" s="1" t="inlineStr">
        <is>
          <t>282790</t>
        </is>
      </c>
      <c r="E226" s="1" t="inlineStr">
        <is>
          <t xml:space="preserve">30141766       </t>
        </is>
      </c>
      <c r="F226" s="5" t="inlineStr">
        <is>
          <t>TMZ BEAST MACHINES AUTOS DE METAL BLISTER X 1</t>
        </is>
      </c>
      <c r="G226" t="n">
        <v>1</v>
      </c>
      <c r="H226" s="7" t="n">
        <v>7.9</v>
      </c>
      <c r="I226" s="7" t="n">
        <v>0</v>
      </c>
      <c r="J226" s="7" t="n">
        <v>0</v>
      </c>
      <c r="K226" s="9" t="n">
        <v>0</v>
      </c>
      <c r="L226" s="10" t="n">
        <v>4.68</v>
      </c>
      <c r="M226" s="10" t="n">
        <v>1.43</v>
      </c>
      <c r="N226" t="inlineStr">
        <is>
          <t>1</t>
        </is>
      </c>
      <c r="O226" t="inlineStr">
        <is>
          <t xml:space="preserve">3 </t>
        </is>
      </c>
      <c r="P226" t="inlineStr">
        <is>
          <t xml:space="preserve">249001  </t>
        </is>
      </c>
      <c r="Q226" s="26" t="n">
        <v>7.9</v>
      </c>
      <c r="R226" s="26">
        <f>Q226*G226</f>
        <v/>
      </c>
      <c r="S226" t="n">
        <v>4.69</v>
      </c>
      <c r="T226" s="18">
        <f>1 - V226/S226</f>
        <v/>
      </c>
      <c r="U226" s="18" t="n">
        <v>0</v>
      </c>
      <c r="V226" s="26" t="n">
        <v>4.69</v>
      </c>
      <c r="W226" s="26">
        <f>V226 - L226</f>
        <v/>
      </c>
    </row>
    <row r="227">
      <c r="A227" s="11" t="n">
        <v>46206</v>
      </c>
      <c r="B227" s="1" t="n">
        <v>20073</v>
      </c>
      <c r="C227" s="1" t="inlineStr">
        <is>
          <t>020</t>
        </is>
      </c>
      <c r="D227" s="1" t="inlineStr">
        <is>
          <t>282790</t>
        </is>
      </c>
      <c r="E227" s="1" t="inlineStr">
        <is>
          <t xml:space="preserve">30141766       </t>
        </is>
      </c>
      <c r="F227" s="5" t="inlineStr">
        <is>
          <t>TMZ BEAST MACHINES AUTOS DE METAL BLISTER X 1</t>
        </is>
      </c>
      <c r="G227" t="n">
        <v>1</v>
      </c>
      <c r="H227" s="7" t="n">
        <v>7.9</v>
      </c>
      <c r="I227" s="7" t="n">
        <v>0</v>
      </c>
      <c r="J227" s="7" t="n">
        <v>0</v>
      </c>
      <c r="K227" s="9" t="n">
        <v>0</v>
      </c>
      <c r="L227" s="10" t="n">
        <v>4.68</v>
      </c>
      <c r="M227" s="10" t="n">
        <v>1.43</v>
      </c>
      <c r="N227" t="inlineStr">
        <is>
          <t>1</t>
        </is>
      </c>
      <c r="O227" t="inlineStr">
        <is>
          <t xml:space="preserve">3 </t>
        </is>
      </c>
      <c r="P227" t="inlineStr">
        <is>
          <t xml:space="preserve">249001  </t>
        </is>
      </c>
      <c r="Q227" s="26" t="n">
        <v>7.9</v>
      </c>
      <c r="R227" s="26">
        <f>Q227*G227</f>
        <v/>
      </c>
      <c r="S227" t="n">
        <v>4.69</v>
      </c>
      <c r="T227" s="18">
        <f>1 - V227/S227</f>
        <v/>
      </c>
      <c r="U227" s="18" t="n">
        <v>0</v>
      </c>
      <c r="V227" s="26" t="n">
        <v>4.69</v>
      </c>
      <c r="W227" s="26">
        <f>V227 - L227</f>
        <v/>
      </c>
    </row>
    <row r="228">
      <c r="A228" s="11" t="n">
        <v>46206</v>
      </c>
      <c r="B228" s="1" t="n">
        <v>20073</v>
      </c>
      <c r="C228" s="1" t="inlineStr">
        <is>
          <t>020</t>
        </is>
      </c>
      <c r="D228" s="1" t="inlineStr">
        <is>
          <t>282790</t>
        </is>
      </c>
      <c r="E228" s="1" t="inlineStr">
        <is>
          <t xml:space="preserve">30141766       </t>
        </is>
      </c>
      <c r="F228" s="5" t="inlineStr">
        <is>
          <t>TMZ BEAST MACHINES AUTOS DE METAL BLISTER X 1</t>
        </is>
      </c>
      <c r="G228" t="n">
        <v>1</v>
      </c>
      <c r="H228" s="7" t="n">
        <v>7.9</v>
      </c>
      <c r="I228" s="7" t="n">
        <v>0</v>
      </c>
      <c r="J228" s="7" t="n">
        <v>0</v>
      </c>
      <c r="K228" s="9" t="n">
        <v>0</v>
      </c>
      <c r="L228" s="10" t="n">
        <v>4.68</v>
      </c>
      <c r="M228" s="10" t="n">
        <v>1.43</v>
      </c>
      <c r="N228" t="inlineStr">
        <is>
          <t>1</t>
        </is>
      </c>
      <c r="O228" t="inlineStr">
        <is>
          <t xml:space="preserve">3 </t>
        </is>
      </c>
      <c r="P228" t="inlineStr">
        <is>
          <t xml:space="preserve">249001  </t>
        </is>
      </c>
      <c r="Q228" s="26" t="n">
        <v>7.9</v>
      </c>
      <c r="R228" s="26">
        <f>Q228*G228</f>
        <v/>
      </c>
      <c r="S228" t="n">
        <v>4.69</v>
      </c>
      <c r="T228" s="18">
        <f>1 - V228/S228</f>
        <v/>
      </c>
      <c r="U228" s="18" t="n">
        <v>0</v>
      </c>
      <c r="V228" s="26" t="n">
        <v>4.69</v>
      </c>
      <c r="W228" s="26">
        <f>V228 - L228</f>
        <v/>
      </c>
    </row>
    <row r="229">
      <c r="A229" s="11" t="n">
        <v>46206</v>
      </c>
      <c r="B229" s="1" t="n">
        <v>20073</v>
      </c>
      <c r="C229" s="1" t="inlineStr">
        <is>
          <t>020</t>
        </is>
      </c>
      <c r="D229" s="1" t="inlineStr">
        <is>
          <t>282790</t>
        </is>
      </c>
      <c r="E229" s="1" t="inlineStr">
        <is>
          <t xml:space="preserve">30141766       </t>
        </is>
      </c>
      <c r="F229" s="5" t="inlineStr">
        <is>
          <t>TMZ BEAST MACHINES AUTOS DE METAL BLISTER X 1</t>
        </is>
      </c>
      <c r="G229" t="n">
        <v>1</v>
      </c>
      <c r="H229" s="7" t="n">
        <v>7.9</v>
      </c>
      <c r="I229" s="7" t="n">
        <v>0</v>
      </c>
      <c r="J229" s="7" t="n">
        <v>0</v>
      </c>
      <c r="K229" s="9" t="n">
        <v>0</v>
      </c>
      <c r="L229" s="10" t="n">
        <v>4.68</v>
      </c>
      <c r="M229" s="10" t="n">
        <v>1.43</v>
      </c>
      <c r="N229" t="inlineStr">
        <is>
          <t>1</t>
        </is>
      </c>
      <c r="O229" t="inlineStr">
        <is>
          <t xml:space="preserve">3 </t>
        </is>
      </c>
      <c r="P229" t="inlineStr">
        <is>
          <t xml:space="preserve">249001  </t>
        </is>
      </c>
      <c r="Q229" s="26" t="n">
        <v>7.9</v>
      </c>
      <c r="R229" s="26">
        <f>Q229*G229</f>
        <v/>
      </c>
      <c r="S229" t="n">
        <v>4.69</v>
      </c>
      <c r="T229" s="18">
        <f>1 - V229/S229</f>
        <v/>
      </c>
      <c r="U229" s="18" t="n">
        <v>0</v>
      </c>
      <c r="V229" s="26" t="n">
        <v>4.69</v>
      </c>
      <c r="W229" s="26">
        <f>V229 - L229</f>
        <v/>
      </c>
    </row>
    <row r="230">
      <c r="A230" s="11" t="n">
        <v>46206</v>
      </c>
      <c r="B230" s="1" t="n">
        <v>20073</v>
      </c>
      <c r="C230" s="1" t="inlineStr">
        <is>
          <t>020</t>
        </is>
      </c>
      <c r="D230" s="1" t="inlineStr">
        <is>
          <t>282790</t>
        </is>
      </c>
      <c r="E230" s="1" t="inlineStr">
        <is>
          <t xml:space="preserve">30141766       </t>
        </is>
      </c>
      <c r="F230" s="5" t="inlineStr">
        <is>
          <t>TMZ BEAST MACHINES AUTOS DE METAL BLISTER X 1</t>
        </is>
      </c>
      <c r="G230" t="n">
        <v>1</v>
      </c>
      <c r="H230" s="7" t="n">
        <v>7.9</v>
      </c>
      <c r="I230" s="7" t="n">
        <v>0</v>
      </c>
      <c r="J230" s="7" t="n">
        <v>0</v>
      </c>
      <c r="K230" s="9" t="n">
        <v>0</v>
      </c>
      <c r="L230" s="10" t="n">
        <v>4.68</v>
      </c>
      <c r="M230" s="10" t="n">
        <v>1.43</v>
      </c>
      <c r="N230" t="inlineStr">
        <is>
          <t>1</t>
        </is>
      </c>
      <c r="O230" t="inlineStr">
        <is>
          <t xml:space="preserve">3 </t>
        </is>
      </c>
      <c r="P230" t="inlineStr">
        <is>
          <t xml:space="preserve">249001  </t>
        </is>
      </c>
      <c r="Q230" s="26" t="n">
        <v>7.9</v>
      </c>
      <c r="R230" s="26">
        <f>Q230*G230</f>
        <v/>
      </c>
      <c r="S230" t="n">
        <v>4.69</v>
      </c>
      <c r="T230" s="18">
        <f>1 - V230/S230</f>
        <v/>
      </c>
      <c r="U230" s="18" t="n">
        <v>0</v>
      </c>
      <c r="V230" s="26" t="n">
        <v>4.69</v>
      </c>
      <c r="W230" s="26">
        <f>V230 - L230</f>
        <v/>
      </c>
    </row>
    <row r="231">
      <c r="A231" s="11" t="n">
        <v>46206</v>
      </c>
      <c r="B231" s="1" t="n">
        <v>20073</v>
      </c>
      <c r="C231" s="1" t="inlineStr">
        <is>
          <t>034</t>
        </is>
      </c>
      <c r="D231" s="1" t="inlineStr">
        <is>
          <t>343759</t>
        </is>
      </c>
      <c r="E231" s="1" t="inlineStr">
        <is>
          <t xml:space="preserve">29625604       </t>
        </is>
      </c>
      <c r="F231" s="5" t="inlineStr">
        <is>
          <t>PINYPON FIGURAS DE CUENTOS</t>
        </is>
      </c>
      <c r="G231" t="n">
        <v>1</v>
      </c>
      <c r="H231" s="7" t="n">
        <v>32.9</v>
      </c>
      <c r="I231" s="7" t="n">
        <v>0</v>
      </c>
      <c r="J231" s="7" t="n">
        <v>0</v>
      </c>
      <c r="K231" s="9" t="n">
        <v>0</v>
      </c>
      <c r="L231" s="10" t="n">
        <v>19.52</v>
      </c>
      <c r="M231" s="10" t="n">
        <v>1.43</v>
      </c>
      <c r="N231" t="inlineStr">
        <is>
          <t>1</t>
        </is>
      </c>
      <c r="O231" t="inlineStr">
        <is>
          <t>16</t>
        </is>
      </c>
      <c r="P231" t="inlineStr">
        <is>
          <t xml:space="preserve">69796   </t>
        </is>
      </c>
      <c r="Q231" s="26" t="n">
        <v>32.9</v>
      </c>
      <c r="R231" s="26">
        <f>Q231*G231</f>
        <v/>
      </c>
      <c r="S231" t="n">
        <v>19.52</v>
      </c>
      <c r="T231" s="18">
        <f>1 - V231/S231</f>
        <v/>
      </c>
      <c r="U231" s="18" t="n">
        <v>0.4</v>
      </c>
      <c r="V231" s="26" t="n">
        <v>13.38305084745763</v>
      </c>
      <c r="W231" s="26">
        <f>V231 - L231</f>
        <v/>
      </c>
    </row>
    <row r="232">
      <c r="A232" s="11" t="n">
        <v>46206</v>
      </c>
      <c r="B232" s="1" t="n">
        <v>20077</v>
      </c>
      <c r="C232" s="1" t="inlineStr">
        <is>
          <t>029</t>
        </is>
      </c>
      <c r="D232" s="1" t="inlineStr">
        <is>
          <t>155668</t>
        </is>
      </c>
      <c r="E232" s="1" t="inlineStr">
        <is>
          <t xml:space="preserve">35685067       </t>
        </is>
      </c>
      <c r="F232" s="5" t="inlineStr">
        <is>
          <t>HOT WHEELS POWER SET 3 EN 1</t>
        </is>
      </c>
      <c r="G232" t="n">
        <v>1</v>
      </c>
      <c r="H232" s="7" t="n">
        <v>49.9</v>
      </c>
      <c r="I232" s="7" t="n">
        <v>0</v>
      </c>
      <c r="J232" s="7" t="n">
        <v>0</v>
      </c>
      <c r="K232" s="9" t="n">
        <v>0</v>
      </c>
      <c r="L232" s="10" t="n">
        <v>29.6</v>
      </c>
      <c r="M232" s="10" t="n">
        <v>1.43</v>
      </c>
      <c r="N232" t="inlineStr">
        <is>
          <t>1</t>
        </is>
      </c>
      <c r="O232" t="inlineStr">
        <is>
          <t>16</t>
        </is>
      </c>
      <c r="P232" t="inlineStr">
        <is>
          <t xml:space="preserve">250382  </t>
        </is>
      </c>
      <c r="Q232" s="26" t="n">
        <v>49.9</v>
      </c>
      <c r="R232" s="26">
        <f>Q232*G232</f>
        <v/>
      </c>
      <c r="S232" t="n">
        <v>29.6</v>
      </c>
      <c r="T232" s="18">
        <f>1 - V232/S232</f>
        <v/>
      </c>
      <c r="U232" s="18" t="n">
        <v>0</v>
      </c>
      <c r="V232" s="26" t="n">
        <v>29.6</v>
      </c>
      <c r="W232" s="26">
        <f>V232 - L232</f>
        <v/>
      </c>
    </row>
    <row r="233">
      <c r="A233" s="11" t="n">
        <v>46206</v>
      </c>
      <c r="B233" s="1" t="n">
        <v>20079</v>
      </c>
      <c r="C233" s="1" t="inlineStr">
        <is>
          <t>045</t>
        </is>
      </c>
      <c r="D233" s="1" t="inlineStr">
        <is>
          <t>331397</t>
        </is>
      </c>
      <c r="E233" s="1" t="inlineStr">
        <is>
          <t xml:space="preserve">34840551       </t>
        </is>
      </c>
      <c r="F233" s="5" t="inlineStr">
        <is>
          <t>TMZ HELI BOMBERO CON LUCES Y SONIDOS</t>
        </is>
      </c>
      <c r="G233" t="n">
        <v>1</v>
      </c>
      <c r="H233" s="7" t="n">
        <v>79.90000000000001</v>
      </c>
      <c r="I233" s="7" t="n">
        <v>0</v>
      </c>
      <c r="J233" s="7" t="n">
        <v>0</v>
      </c>
      <c r="K233" s="9" t="n">
        <v>0</v>
      </c>
      <c r="L233" s="10" t="n">
        <v>47.4</v>
      </c>
      <c r="M233" s="10" t="n">
        <v>1.43</v>
      </c>
      <c r="N233" t="inlineStr">
        <is>
          <t>1</t>
        </is>
      </c>
      <c r="O233" t="inlineStr">
        <is>
          <t>16</t>
        </is>
      </c>
      <c r="P233" t="inlineStr">
        <is>
          <t xml:space="preserve">47373   </t>
        </is>
      </c>
      <c r="Q233" s="26" t="n">
        <v>79.90000000000002</v>
      </c>
      <c r="R233" s="26">
        <f>Q233*G233</f>
        <v/>
      </c>
      <c r="S233" t="n">
        <v>47.4</v>
      </c>
      <c r="T233" s="18">
        <f>1 - V233/S233</f>
        <v/>
      </c>
      <c r="U233" s="18" t="n">
        <v>0</v>
      </c>
      <c r="V233" s="26" t="n">
        <v>47.4</v>
      </c>
      <c r="W233" s="26">
        <f>V233 - L233</f>
        <v/>
      </c>
    </row>
    <row r="234">
      <c r="A234" s="11" t="n">
        <v>46206</v>
      </c>
      <c r="B234" s="1" t="n">
        <v>20079</v>
      </c>
      <c r="C234" s="1" t="inlineStr">
        <is>
          <t>045</t>
        </is>
      </c>
      <c r="D234" s="1" t="inlineStr">
        <is>
          <t>331444</t>
        </is>
      </c>
      <c r="E234" s="1" t="inlineStr">
        <is>
          <t xml:space="preserve">32457099       </t>
        </is>
      </c>
      <c r="F234" s="5" t="inlineStr">
        <is>
          <t>TMZ BEAST MACHINES MONSTER JAWS A FRICCION BLISTER</t>
        </is>
      </c>
      <c r="G234" t="n">
        <v>1</v>
      </c>
      <c r="H234" s="7" t="n">
        <v>19.9</v>
      </c>
      <c r="I234" s="7" t="n">
        <v>0</v>
      </c>
      <c r="J234" s="7" t="n">
        <v>0</v>
      </c>
      <c r="K234" s="9" t="n">
        <v>0</v>
      </c>
      <c r="L234" s="10" t="n">
        <v>11.8</v>
      </c>
      <c r="M234" s="10" t="n">
        <v>1.43</v>
      </c>
      <c r="N234" t="inlineStr">
        <is>
          <t>1</t>
        </is>
      </c>
      <c r="O234" t="inlineStr">
        <is>
          <t>16</t>
        </is>
      </c>
      <c r="P234" t="inlineStr">
        <is>
          <t xml:space="preserve">47373   </t>
        </is>
      </c>
      <c r="Q234" s="26" t="n">
        <v>19.9</v>
      </c>
      <c r="R234" s="26">
        <f>Q234*G234</f>
        <v/>
      </c>
      <c r="S234" t="n">
        <v>11.81</v>
      </c>
      <c r="T234" s="18">
        <f>1 - V234/S234</f>
        <v/>
      </c>
      <c r="U234" s="18" t="n">
        <v>0.1005025125628141</v>
      </c>
      <c r="V234" s="26" t="n">
        <v>8.417118644067797</v>
      </c>
      <c r="W234" s="26">
        <f>V234 - L234</f>
        <v/>
      </c>
    </row>
    <row r="235">
      <c r="A235" s="11" t="n">
        <v>46206</v>
      </c>
      <c r="B235" s="1" t="n">
        <v>20079</v>
      </c>
      <c r="C235" s="1" t="inlineStr">
        <is>
          <t>045</t>
        </is>
      </c>
      <c r="D235" s="1" t="inlineStr">
        <is>
          <t>331448</t>
        </is>
      </c>
      <c r="E235" s="1" t="inlineStr">
        <is>
          <t xml:space="preserve">30141766       </t>
        </is>
      </c>
      <c r="F235" s="5" t="inlineStr">
        <is>
          <t>TMZ BEAST MACHINES AUTOS DE METAL BLISTER X 1</t>
        </is>
      </c>
      <c r="G235" t="n">
        <v>1</v>
      </c>
      <c r="H235" s="7" t="n">
        <v>7.9</v>
      </c>
      <c r="I235" s="7" t="n">
        <v>0</v>
      </c>
      <c r="J235" s="7" t="n">
        <v>0</v>
      </c>
      <c r="K235" s="9" t="n">
        <v>0</v>
      </c>
      <c r="L235" s="10" t="n">
        <v>4.68</v>
      </c>
      <c r="M235" s="10" t="n">
        <v>1.43</v>
      </c>
      <c r="N235" t="inlineStr">
        <is>
          <t>1</t>
        </is>
      </c>
      <c r="O235" t="inlineStr">
        <is>
          <t>16</t>
        </is>
      </c>
      <c r="P235" t="inlineStr">
        <is>
          <t xml:space="preserve">47373   </t>
        </is>
      </c>
      <c r="Q235" s="26" t="n">
        <v>7.9</v>
      </c>
      <c r="R235" s="26">
        <f>Q235*G235</f>
        <v/>
      </c>
      <c r="S235" t="n">
        <v>4.69</v>
      </c>
      <c r="T235" s="18">
        <f>1 - V235/S235</f>
        <v/>
      </c>
      <c r="U235" s="18" t="n">
        <v>0</v>
      </c>
      <c r="V235" s="26" t="n">
        <v>4.69</v>
      </c>
      <c r="W235" s="26">
        <f>V235 - L235</f>
        <v/>
      </c>
    </row>
    <row r="236">
      <c r="A236" s="11" t="n">
        <v>46206</v>
      </c>
      <c r="B236" s="1" t="n">
        <v>20079</v>
      </c>
      <c r="C236" s="1" t="inlineStr">
        <is>
          <t>051</t>
        </is>
      </c>
      <c r="D236" s="1" t="inlineStr">
        <is>
          <t>234980</t>
        </is>
      </c>
      <c r="E236" s="1" t="inlineStr">
        <is>
          <t xml:space="preserve">33483123       </t>
        </is>
      </c>
      <c r="F236" s="5" t="inlineStr">
        <is>
          <t>NENUCO DISFRACES</t>
        </is>
      </c>
      <c r="G236" t="n">
        <v>1</v>
      </c>
      <c r="H236" s="7" t="n">
        <v>89.90000000000001</v>
      </c>
      <c r="I236" s="7" t="n">
        <v>0</v>
      </c>
      <c r="J236" s="7" t="n">
        <v>0</v>
      </c>
      <c r="K236" s="9" t="n">
        <v>0</v>
      </c>
      <c r="L236" s="10" t="n">
        <v>53.33</v>
      </c>
      <c r="M236" s="10" t="n">
        <v>1.43</v>
      </c>
      <c r="N236" t="inlineStr">
        <is>
          <t>1</t>
        </is>
      </c>
      <c r="O236" t="inlineStr">
        <is>
          <t>16</t>
        </is>
      </c>
      <c r="P236" t="inlineStr">
        <is>
          <t xml:space="preserve">70970   </t>
        </is>
      </c>
      <c r="Q236" s="26" t="n">
        <v>89.90000000000001</v>
      </c>
      <c r="R236" s="26">
        <f>Q236*G236</f>
        <v/>
      </c>
      <c r="S236" t="n">
        <v>53.33</v>
      </c>
      <c r="T236" s="18">
        <f>1 - V236/S236</f>
        <v/>
      </c>
      <c r="U236" s="18" t="n">
        <v>0.2224694104560623</v>
      </c>
      <c r="V236" s="26" t="n">
        <v>44.42796610169492</v>
      </c>
      <c r="W236" s="26">
        <f>V236 - L236</f>
        <v/>
      </c>
    </row>
    <row r="237">
      <c r="A237" s="11" t="n">
        <v>46206</v>
      </c>
      <c r="B237" s="1" t="n">
        <v>20080</v>
      </c>
      <c r="C237" s="1" t="inlineStr">
        <is>
          <t>012</t>
        </is>
      </c>
      <c r="D237" s="1" t="inlineStr">
        <is>
          <t xml:space="preserve">57765 </t>
        </is>
      </c>
      <c r="E237" s="1" t="inlineStr">
        <is>
          <t xml:space="preserve">32656416       </t>
        </is>
      </c>
      <c r="F237" s="5" t="inlineStr">
        <is>
          <t>EL PISO ES LAVA</t>
        </is>
      </c>
      <c r="G237" t="n">
        <v>1</v>
      </c>
      <c r="H237" s="7" t="n">
        <v>79.90000000000001</v>
      </c>
      <c r="I237" s="7" t="n">
        <v>45</v>
      </c>
      <c r="J237" s="7" t="n">
        <v>0</v>
      </c>
      <c r="K237" s="9" t="n">
        <v>45</v>
      </c>
      <c r="L237" s="10" t="n">
        <v>20.71</v>
      </c>
      <c r="M237" s="10" t="n">
        <v>1.43</v>
      </c>
      <c r="N237" t="inlineStr">
        <is>
          <t>1</t>
        </is>
      </c>
      <c r="O237" t="inlineStr">
        <is>
          <t>16</t>
        </is>
      </c>
      <c r="P237" t="inlineStr">
        <is>
          <t xml:space="preserve">79951   </t>
        </is>
      </c>
      <c r="Q237" s="26" t="n">
        <v>79.90000000000001</v>
      </c>
      <c r="R237" s="26">
        <f>Q237*G237</f>
        <v/>
      </c>
      <c r="S237" t="n">
        <v>47.4</v>
      </c>
      <c r="T237" s="18">
        <f>1 - V237/S237</f>
        <v/>
      </c>
      <c r="U237" s="18" t="n">
        <v>0.5632040050062579</v>
      </c>
      <c r="V237" s="26" t="n">
        <v>28.10169491525424</v>
      </c>
      <c r="W237" s="26">
        <f>V237 - L237</f>
        <v/>
      </c>
    </row>
    <row r="238">
      <c r="A238" s="11" t="n">
        <v>46206</v>
      </c>
      <c r="B238" s="1" t="n">
        <v>20080</v>
      </c>
      <c r="C238" s="1" t="inlineStr">
        <is>
          <t>012</t>
        </is>
      </c>
      <c r="D238" s="1" t="inlineStr">
        <is>
          <t xml:space="preserve">57765 </t>
        </is>
      </c>
      <c r="E238" s="1" t="inlineStr">
        <is>
          <t xml:space="preserve">32656417       </t>
        </is>
      </c>
      <c r="F238" s="5" t="inlineStr">
        <is>
          <t>NO DESPIERTES A PAPA</t>
        </is>
      </c>
      <c r="G238" t="n">
        <v>1</v>
      </c>
      <c r="H238" s="7" t="n">
        <v>89.90000000000001</v>
      </c>
      <c r="I238" s="7" t="n">
        <v>50</v>
      </c>
      <c r="J238" s="7" t="n">
        <v>0</v>
      </c>
      <c r="K238" s="9" t="n">
        <v>50</v>
      </c>
      <c r="L238" s="10" t="n">
        <v>23.67</v>
      </c>
      <c r="M238" s="10" t="n">
        <v>1.43</v>
      </c>
      <c r="N238" t="inlineStr">
        <is>
          <t>1</t>
        </is>
      </c>
      <c r="O238" t="inlineStr">
        <is>
          <t>16</t>
        </is>
      </c>
      <c r="P238" t="inlineStr">
        <is>
          <t xml:space="preserve">79951   </t>
        </is>
      </c>
      <c r="Q238" s="26" t="n">
        <v>89.90000000000001</v>
      </c>
      <c r="R238" s="26">
        <f>Q238*G238</f>
        <v/>
      </c>
      <c r="S238" t="n">
        <v>53.33</v>
      </c>
      <c r="T238" s="18">
        <f>1 - V238/S238</f>
        <v/>
      </c>
      <c r="U238" s="18" t="n">
        <v>0.5561735261401557</v>
      </c>
      <c r="V238" s="26" t="n">
        <v>32.11949152542373</v>
      </c>
      <c r="W238" s="26">
        <f>V238 - L238</f>
        <v/>
      </c>
    </row>
    <row r="239">
      <c r="A239" s="11" t="n">
        <v>46206</v>
      </c>
      <c r="B239" s="1" t="n">
        <v>20080</v>
      </c>
      <c r="C239" s="1" t="inlineStr">
        <is>
          <t>026</t>
        </is>
      </c>
      <c r="D239" s="1" t="inlineStr">
        <is>
          <t>208553</t>
        </is>
      </c>
      <c r="E239" s="1" t="inlineStr">
        <is>
          <t xml:space="preserve">30141768       </t>
        </is>
      </c>
      <c r="F239" s="5" t="inlineStr">
        <is>
          <t>TMZ BEAST MACHINES AUTOS DE METAL PACK 10 AUTOS</t>
        </is>
      </c>
      <c r="G239" t="n">
        <v>1</v>
      </c>
      <c r="H239" s="7" t="n">
        <v>79</v>
      </c>
      <c r="I239" s="7" t="n">
        <v>0</v>
      </c>
      <c r="J239" s="7" t="n">
        <v>0</v>
      </c>
      <c r="K239" s="9" t="n">
        <v>0</v>
      </c>
      <c r="L239" s="10" t="n">
        <v>46.87</v>
      </c>
      <c r="M239" s="10" t="n">
        <v>1.43</v>
      </c>
      <c r="N239" t="inlineStr">
        <is>
          <t>1</t>
        </is>
      </c>
      <c r="O239" t="inlineStr">
        <is>
          <t>16</t>
        </is>
      </c>
      <c r="P239" t="inlineStr">
        <is>
          <t xml:space="preserve">66628   </t>
        </is>
      </c>
      <c r="Q239" s="26" t="n">
        <v>79</v>
      </c>
      <c r="R239" s="26">
        <f>Q239*G239</f>
        <v/>
      </c>
      <c r="S239" t="n">
        <v>46.86</v>
      </c>
      <c r="T239" s="18">
        <f>1 - V239/S239</f>
        <v/>
      </c>
      <c r="U239" s="18" t="n">
        <v>0.1265822784810127</v>
      </c>
      <c r="V239" s="26" t="n">
        <v>43.85593220338983</v>
      </c>
      <c r="W239" s="26">
        <f>V239 - L239</f>
        <v/>
      </c>
    </row>
    <row r="240">
      <c r="A240" s="11" t="n">
        <v>46206</v>
      </c>
      <c r="B240" s="1" t="n">
        <v>20080</v>
      </c>
      <c r="C240" s="1" t="inlineStr">
        <is>
          <t>026</t>
        </is>
      </c>
      <c r="D240" s="1" t="inlineStr">
        <is>
          <t>208553</t>
        </is>
      </c>
      <c r="E240" s="1" t="inlineStr">
        <is>
          <t xml:space="preserve">32457104       </t>
        </is>
      </c>
      <c r="F240" s="5" t="inlineStr">
        <is>
          <t>TMZ BEAST MACHINES PLAYSET DESASTRE REPTIL + 1 AUT</t>
        </is>
      </c>
      <c r="G240" t="n">
        <v>1</v>
      </c>
      <c r="H240" s="7" t="n">
        <v>69.90000000000001</v>
      </c>
      <c r="I240" s="7" t="n">
        <v>0</v>
      </c>
      <c r="J240" s="7" t="n">
        <v>0</v>
      </c>
      <c r="K240" s="9" t="n">
        <v>0</v>
      </c>
      <c r="L240" s="10" t="n">
        <v>41.47</v>
      </c>
      <c r="M240" s="10" t="n">
        <v>1.43</v>
      </c>
      <c r="N240" t="inlineStr">
        <is>
          <t>1</t>
        </is>
      </c>
      <c r="O240" t="inlineStr">
        <is>
          <t>16</t>
        </is>
      </c>
      <c r="P240" t="inlineStr">
        <is>
          <t xml:space="preserve">66628   </t>
        </is>
      </c>
      <c r="Q240" s="26" t="n">
        <v>69.90000000000001</v>
      </c>
      <c r="R240" s="26">
        <f>Q240*G240</f>
        <v/>
      </c>
      <c r="S240" t="n">
        <v>41.47</v>
      </c>
      <c r="T240" s="18">
        <f>1 - V240/S240</f>
        <v/>
      </c>
      <c r="U240" s="18" t="n">
        <v>0.2861230329041489</v>
      </c>
      <c r="V240" s="26" t="n">
        <v>31.71610169491525</v>
      </c>
      <c r="W240" s="26">
        <f>V240 - L240</f>
        <v/>
      </c>
    </row>
    <row r="241">
      <c r="A241" s="11" t="n">
        <v>46206</v>
      </c>
      <c r="B241" s="1" t="n">
        <v>20080</v>
      </c>
      <c r="C241" s="1" t="inlineStr">
        <is>
          <t>026</t>
        </is>
      </c>
      <c r="D241" s="1" t="inlineStr">
        <is>
          <t>208574</t>
        </is>
      </c>
      <c r="E241" s="1" t="inlineStr">
        <is>
          <t xml:space="preserve">28194780       </t>
        </is>
      </c>
      <c r="F241" s="5" t="inlineStr">
        <is>
          <t>TROMPO BATALLA INFINITY NADO PLSTICO SURTIDO</t>
        </is>
      </c>
      <c r="G241" t="n">
        <v>1</v>
      </c>
      <c r="H241" s="7" t="n">
        <v>19.9</v>
      </c>
      <c r="I241" s="7" t="n">
        <v>0</v>
      </c>
      <c r="J241" s="7" t="n">
        <v>0</v>
      </c>
      <c r="K241" s="9" t="n">
        <v>0</v>
      </c>
      <c r="L241" s="10" t="n">
        <v>11.8</v>
      </c>
      <c r="M241" s="10" t="n">
        <v>1.43</v>
      </c>
      <c r="N241" t="inlineStr">
        <is>
          <t>1</t>
        </is>
      </c>
      <c r="O241" t="inlineStr">
        <is>
          <t>16</t>
        </is>
      </c>
      <c r="P241" t="inlineStr">
        <is>
          <t xml:space="preserve">66628   </t>
        </is>
      </c>
      <c r="Q241" s="26" t="n">
        <v>19.9</v>
      </c>
      <c r="R241" s="26">
        <f>Q241*G241</f>
        <v/>
      </c>
      <c r="S241" t="n">
        <v>11.81</v>
      </c>
      <c r="T241" s="18">
        <f>1 - V241/S241</f>
        <v/>
      </c>
      <c r="U241" s="18" t="n">
        <v>0</v>
      </c>
      <c r="V241" s="26" t="n">
        <v>11.81</v>
      </c>
      <c r="W241" s="26">
        <f>V241 - L241</f>
        <v/>
      </c>
    </row>
    <row r="242">
      <c r="A242" s="11" t="n">
        <v>46206</v>
      </c>
      <c r="B242" s="1" t="n">
        <v>20080</v>
      </c>
      <c r="C242" s="1" t="inlineStr">
        <is>
          <t>026</t>
        </is>
      </c>
      <c r="D242" s="1" t="inlineStr">
        <is>
          <t>208574</t>
        </is>
      </c>
      <c r="E242" s="1" t="inlineStr">
        <is>
          <t xml:space="preserve">30232284       </t>
        </is>
      </c>
      <c r="F242" s="5" t="inlineStr">
        <is>
          <t>INFINITY NADO TROMPO DE BATALLA - METAL C/PUNTA DE</t>
        </is>
      </c>
      <c r="G242" t="n">
        <v>1</v>
      </c>
      <c r="H242" s="7" t="n">
        <v>49.9</v>
      </c>
      <c r="I242" s="7" t="n">
        <v>0</v>
      </c>
      <c r="J242" s="7" t="n">
        <v>0</v>
      </c>
      <c r="K242" s="9" t="n">
        <v>0</v>
      </c>
      <c r="L242" s="10" t="n">
        <v>29.6</v>
      </c>
      <c r="M242" s="10" t="n">
        <v>1.43</v>
      </c>
      <c r="N242" t="inlineStr">
        <is>
          <t>1</t>
        </is>
      </c>
      <c r="O242" t="inlineStr">
        <is>
          <t>16</t>
        </is>
      </c>
      <c r="P242" t="inlineStr">
        <is>
          <t xml:space="preserve">66628   </t>
        </is>
      </c>
      <c r="Q242" s="26" t="n">
        <v>49.9</v>
      </c>
      <c r="R242" s="26">
        <f>Q242*G242</f>
        <v/>
      </c>
      <c r="S242" t="n">
        <v>29.6</v>
      </c>
      <c r="T242" s="18">
        <f>1 - V242/S242</f>
        <v/>
      </c>
      <c r="U242" s="18" t="n">
        <v>0.3006012024048096</v>
      </c>
      <c r="V242" s="26" t="n">
        <v>22.18220338983051</v>
      </c>
      <c r="W242" s="26">
        <f>V242 - L242</f>
        <v/>
      </c>
    </row>
    <row r="243">
      <c r="A243" s="11" t="n">
        <v>46206</v>
      </c>
      <c r="B243" s="1" t="n">
        <v>20080</v>
      </c>
      <c r="C243" s="1" t="inlineStr">
        <is>
          <t>029</t>
        </is>
      </c>
      <c r="D243" s="1" t="inlineStr">
        <is>
          <t>224560</t>
        </is>
      </c>
      <c r="E243" s="1" t="inlineStr">
        <is>
          <t xml:space="preserve">28194770       </t>
        </is>
      </c>
      <c r="F243" s="5" t="inlineStr">
        <is>
          <t>AUTOS DE METAL 3 TEAMSTERZ EN BLISTER</t>
        </is>
      </c>
      <c r="G243" t="n">
        <v>1</v>
      </c>
      <c r="H243" s="7" t="n">
        <v>6.9</v>
      </c>
      <c r="I243" s="7" t="n">
        <v>0</v>
      </c>
      <c r="J243" s="7" t="n">
        <v>0</v>
      </c>
      <c r="K243" s="9" t="n">
        <v>0</v>
      </c>
      <c r="L243" s="10" t="n">
        <v>4.1</v>
      </c>
      <c r="M243" s="10" t="n">
        <v>1.43</v>
      </c>
      <c r="N243" t="inlineStr">
        <is>
          <t>1</t>
        </is>
      </c>
      <c r="O243" t="inlineStr">
        <is>
          <t xml:space="preserve">3 </t>
        </is>
      </c>
      <c r="P243" t="inlineStr">
        <is>
          <t xml:space="preserve">251454  </t>
        </is>
      </c>
      <c r="Q243" s="26" t="n">
        <v>6.9</v>
      </c>
      <c r="R243" s="26">
        <f>Q243*G243</f>
        <v/>
      </c>
      <c r="S243" t="n">
        <v>4.09</v>
      </c>
      <c r="T243" s="18">
        <f>1 - V243/S243</f>
        <v/>
      </c>
      <c r="U243" s="18" t="n">
        <v>0</v>
      </c>
      <c r="V243" s="26" t="n">
        <v>4.09</v>
      </c>
      <c r="W243" s="26">
        <f>V243 - L243</f>
        <v/>
      </c>
    </row>
    <row r="244">
      <c r="A244" s="11" t="n">
        <v>46206</v>
      </c>
      <c r="B244" s="1" t="n">
        <v>20080</v>
      </c>
      <c r="C244" s="1" t="inlineStr">
        <is>
          <t>029</t>
        </is>
      </c>
      <c r="D244" s="1" t="inlineStr">
        <is>
          <t>224561</t>
        </is>
      </c>
      <c r="E244" s="1" t="inlineStr">
        <is>
          <t xml:space="preserve">32457099       </t>
        </is>
      </c>
      <c r="F244" s="5" t="inlineStr">
        <is>
          <t>TMZ BEAST MACHINES MONSTER JAWS A FRICCION BLISTER</t>
        </is>
      </c>
      <c r="G244" t="n">
        <v>1</v>
      </c>
      <c r="H244" s="7" t="n">
        <v>19.9</v>
      </c>
      <c r="I244" s="7" t="n">
        <v>0</v>
      </c>
      <c r="J244" s="7" t="n">
        <v>0</v>
      </c>
      <c r="K244" s="9" t="n">
        <v>0</v>
      </c>
      <c r="L244" s="10" t="n">
        <v>11.8</v>
      </c>
      <c r="M244" s="10" t="n">
        <v>1.43</v>
      </c>
      <c r="N244" t="inlineStr">
        <is>
          <t>1</t>
        </is>
      </c>
      <c r="O244" t="inlineStr">
        <is>
          <t>16</t>
        </is>
      </c>
      <c r="P244" t="inlineStr">
        <is>
          <t xml:space="preserve">251454  </t>
        </is>
      </c>
      <c r="Q244" s="26" t="n">
        <v>19.9</v>
      </c>
      <c r="R244" s="26">
        <f>Q244*G244</f>
        <v/>
      </c>
      <c r="S244" t="n">
        <v>11.81</v>
      </c>
      <c r="T244" s="18">
        <f>1 - V244/S244</f>
        <v/>
      </c>
      <c r="U244" s="18" t="n">
        <v>0.1005025125628141</v>
      </c>
      <c r="V244" s="26" t="n">
        <v>8.417118644067797</v>
      </c>
      <c r="W244" s="26">
        <f>V244 - L244</f>
        <v/>
      </c>
    </row>
    <row r="245">
      <c r="A245" s="11" t="n">
        <v>46206</v>
      </c>
      <c r="B245" s="1" t="n">
        <v>20086</v>
      </c>
      <c r="C245" s="1" t="inlineStr">
        <is>
          <t>192</t>
        </is>
      </c>
      <c r="D245" s="1" t="inlineStr">
        <is>
          <t>128831</t>
        </is>
      </c>
      <c r="E245" s="1" t="inlineStr">
        <is>
          <t xml:space="preserve">28194769       </t>
        </is>
      </c>
      <c r="F245" s="5" t="inlineStr">
        <is>
          <t>AUTOS DE METAL 3 TEAMSTERZ PACK DE 2</t>
        </is>
      </c>
      <c r="G245" t="n">
        <v>1</v>
      </c>
      <c r="H245" s="7" t="n">
        <v>13.8</v>
      </c>
      <c r="I245" s="7" t="n">
        <v>0</v>
      </c>
      <c r="J245" s="7" t="n">
        <v>0</v>
      </c>
      <c r="K245" s="9" t="n">
        <v>0</v>
      </c>
      <c r="L245" s="10" t="n">
        <v>8.18</v>
      </c>
      <c r="M245" s="10" t="n">
        <v>1.43</v>
      </c>
      <c r="N245" t="inlineStr">
        <is>
          <t>1</t>
        </is>
      </c>
      <c r="O245" t="inlineStr">
        <is>
          <t xml:space="preserve">2 </t>
        </is>
      </c>
      <c r="P245" t="inlineStr">
        <is>
          <t xml:space="preserve">95768   </t>
        </is>
      </c>
      <c r="Q245" s="26" t="n">
        <v>13.8</v>
      </c>
      <c r="R245" s="26">
        <f>Q245*G245</f>
        <v/>
      </c>
      <c r="S245" t="n">
        <v>8.19</v>
      </c>
      <c r="T245" s="18">
        <f>1 - V245/S245</f>
        <v/>
      </c>
      <c r="U245" s="18" t="n">
        <v>0</v>
      </c>
      <c r="V245" s="26" t="n">
        <v>8.19</v>
      </c>
      <c r="W245" s="26">
        <f>V245 - L245</f>
        <v/>
      </c>
    </row>
    <row r="246">
      <c r="A246" s="11" t="n">
        <v>46206</v>
      </c>
      <c r="B246" s="1" t="n">
        <v>20086</v>
      </c>
      <c r="C246" s="1" t="inlineStr">
        <is>
          <t>501</t>
        </is>
      </c>
      <c r="D246" s="1" t="inlineStr">
        <is>
          <t xml:space="preserve">4606  </t>
        </is>
      </c>
      <c r="E246" s="1" t="inlineStr">
        <is>
          <t xml:space="preserve">28194769       </t>
        </is>
      </c>
      <c r="F246" s="5" t="inlineStr">
        <is>
          <t>AUTOS DE METAL 3 TEAMSTERZ PACK DE 2</t>
        </is>
      </c>
      <c r="G246" t="n">
        <v>1</v>
      </c>
      <c r="H246" s="7" t="n">
        <v>13.8</v>
      </c>
      <c r="I246" s="7" t="n">
        <v>0</v>
      </c>
      <c r="J246" s="7" t="n">
        <v>0</v>
      </c>
      <c r="K246" s="9" t="n">
        <v>0</v>
      </c>
      <c r="L246" s="10" t="n">
        <v>8.18</v>
      </c>
      <c r="M246" s="10" t="n">
        <v>1.43</v>
      </c>
      <c r="N246" t="inlineStr">
        <is>
          <t>1</t>
        </is>
      </c>
      <c r="O246" t="inlineStr">
        <is>
          <t>16</t>
        </is>
      </c>
      <c r="P246" t="inlineStr">
        <is>
          <t xml:space="preserve">239143  </t>
        </is>
      </c>
      <c r="Q246" s="26" t="n">
        <v>13.8</v>
      </c>
      <c r="R246" s="26">
        <f>Q246*G246</f>
        <v/>
      </c>
      <c r="S246" t="n">
        <v>8.19</v>
      </c>
      <c r="T246" s="18">
        <f>1 - V246/S246</f>
        <v/>
      </c>
      <c r="U246" s="18" t="n">
        <v>0</v>
      </c>
      <c r="V246" s="26" t="n">
        <v>8.19</v>
      </c>
      <c r="W246" s="26">
        <f>V246 - L246</f>
        <v/>
      </c>
    </row>
    <row r="247">
      <c r="A247" s="11" t="n">
        <v>46206</v>
      </c>
      <c r="B247" s="1" t="n">
        <v>20088</v>
      </c>
      <c r="C247" s="1" t="inlineStr">
        <is>
          <t>013</t>
        </is>
      </c>
      <c r="D247" s="1" t="inlineStr">
        <is>
          <t xml:space="preserve">40725 </t>
        </is>
      </c>
      <c r="E247" s="1" t="inlineStr">
        <is>
          <t xml:space="preserve">29235706       </t>
        </is>
      </c>
      <c r="F247" s="5" t="inlineStr">
        <is>
          <t>TEAMSTERZ CAMION PARA GUARDAR 12 AUTOS INCL 4 AUTO</t>
        </is>
      </c>
      <c r="G247" t="n">
        <v>1</v>
      </c>
      <c r="H247" s="7" t="n">
        <v>59.9</v>
      </c>
      <c r="I247" s="7" t="n">
        <v>0</v>
      </c>
      <c r="J247" s="7" t="n">
        <v>0</v>
      </c>
      <c r="K247" s="9" t="n">
        <v>0</v>
      </c>
      <c r="L247" s="10" t="n">
        <v>35.53</v>
      </c>
      <c r="M247" s="10" t="n">
        <v>1.43</v>
      </c>
      <c r="N247" t="inlineStr">
        <is>
          <t>1</t>
        </is>
      </c>
      <c r="O247" t="inlineStr">
        <is>
          <t xml:space="preserve">2 </t>
        </is>
      </c>
      <c r="P247" t="inlineStr">
        <is>
          <t xml:space="preserve">234665  </t>
        </is>
      </c>
      <c r="Q247" s="26" t="n">
        <v>59.90000000000001</v>
      </c>
      <c r="R247" s="26">
        <f>Q247*G247</f>
        <v/>
      </c>
      <c r="S247" t="n">
        <v>35.53</v>
      </c>
      <c r="T247" s="18">
        <f>1 - V247/S247</f>
        <v/>
      </c>
      <c r="U247" s="18" t="n">
        <v>0</v>
      </c>
      <c r="V247" s="26" t="n">
        <v>35.53</v>
      </c>
      <c r="W247" s="26">
        <f>V247 - L247</f>
        <v/>
      </c>
    </row>
    <row r="248">
      <c r="A248" s="11" t="n">
        <v>46206</v>
      </c>
      <c r="B248" s="1" t="n">
        <v>20088</v>
      </c>
      <c r="C248" s="1" t="inlineStr">
        <is>
          <t>028</t>
        </is>
      </c>
      <c r="D248" s="1" t="inlineStr">
        <is>
          <t xml:space="preserve">55407 </t>
        </is>
      </c>
      <c r="E248" s="1" t="inlineStr">
        <is>
          <t xml:space="preserve">28194768       </t>
        </is>
      </c>
      <c r="F248" s="5" t="inlineStr">
        <is>
          <t>AUTO COLOR CHANGE TEAMSTERZ SURTIDO</t>
        </is>
      </c>
      <c r="G248" t="n">
        <v>1</v>
      </c>
      <c r="H248" s="7" t="n">
        <v>14.9</v>
      </c>
      <c r="I248" s="7" t="n">
        <v>0</v>
      </c>
      <c r="J248" s="7" t="n">
        <v>0</v>
      </c>
      <c r="K248" s="9" t="n">
        <v>0</v>
      </c>
      <c r="L248" s="10" t="n">
        <v>8.84</v>
      </c>
      <c r="M248" s="10" t="n">
        <v>1.43</v>
      </c>
      <c r="N248" t="inlineStr">
        <is>
          <t>1</t>
        </is>
      </c>
      <c r="O248" t="inlineStr">
        <is>
          <t xml:space="preserve">3 </t>
        </is>
      </c>
      <c r="P248" t="inlineStr">
        <is>
          <t xml:space="preserve">242181  </t>
        </is>
      </c>
      <c r="Q248" s="26" t="n">
        <v>14.9</v>
      </c>
      <c r="R248" s="26">
        <f>Q248*G248</f>
        <v/>
      </c>
      <c r="S248" t="n">
        <v>8.84</v>
      </c>
      <c r="T248" s="18">
        <f>1 - V248/S248</f>
        <v/>
      </c>
      <c r="U248" s="18" t="n">
        <v>0</v>
      </c>
      <c r="V248" s="26" t="n">
        <v>8.84</v>
      </c>
      <c r="W248" s="26">
        <f>V248 - L248</f>
        <v/>
      </c>
    </row>
    <row r="249">
      <c r="A249" s="11" t="n">
        <v>46206</v>
      </c>
      <c r="B249" s="1" t="n">
        <v>20088</v>
      </c>
      <c r="C249" s="1" t="inlineStr">
        <is>
          <t>028</t>
        </is>
      </c>
      <c r="D249" s="1" t="inlineStr">
        <is>
          <t xml:space="preserve">55407 </t>
        </is>
      </c>
      <c r="E249" s="1" t="inlineStr">
        <is>
          <t xml:space="preserve">28194768       </t>
        </is>
      </c>
      <c r="F249" s="5" t="inlineStr">
        <is>
          <t>AUTO COLOR CHANGE TEAMSTERZ SURTIDO</t>
        </is>
      </c>
      <c r="G249" t="n">
        <v>1</v>
      </c>
      <c r="H249" s="7" t="n">
        <v>14.9</v>
      </c>
      <c r="I249" s="7" t="n">
        <v>0</v>
      </c>
      <c r="J249" s="7" t="n">
        <v>0</v>
      </c>
      <c r="K249" s="9" t="n">
        <v>0</v>
      </c>
      <c r="L249" s="10" t="n">
        <v>8.84</v>
      </c>
      <c r="M249" s="10" t="n">
        <v>1.43</v>
      </c>
      <c r="N249" t="inlineStr">
        <is>
          <t>1</t>
        </is>
      </c>
      <c r="O249" t="inlineStr">
        <is>
          <t xml:space="preserve">3 </t>
        </is>
      </c>
      <c r="P249" t="inlineStr">
        <is>
          <t xml:space="preserve">242181  </t>
        </is>
      </c>
      <c r="Q249" s="26" t="n">
        <v>14.9</v>
      </c>
      <c r="R249" s="26">
        <f>Q249*G249</f>
        <v/>
      </c>
      <c r="S249" t="n">
        <v>8.84</v>
      </c>
      <c r="T249" s="18">
        <f>1 - V249/S249</f>
        <v/>
      </c>
      <c r="U249" s="18" t="n">
        <v>0</v>
      </c>
      <c r="V249" s="26" t="n">
        <v>8.84</v>
      </c>
      <c r="W249" s="26">
        <f>V249 - L249</f>
        <v/>
      </c>
    </row>
    <row r="250">
      <c r="A250" s="11" t="n">
        <v>46206</v>
      </c>
      <c r="B250" s="1" t="n">
        <v>20088</v>
      </c>
      <c r="C250" s="1" t="inlineStr">
        <is>
          <t>034</t>
        </is>
      </c>
      <c r="D250" s="1" t="inlineStr">
        <is>
          <t xml:space="preserve">15472 </t>
        </is>
      </c>
      <c r="E250" s="1" t="inlineStr">
        <is>
          <t xml:space="preserve">28194768       </t>
        </is>
      </c>
      <c r="F250" s="5" t="inlineStr">
        <is>
          <t>AUTO COLOR CHANGE TEAMSTERZ SURTIDO</t>
        </is>
      </c>
      <c r="G250" t="n">
        <v>1</v>
      </c>
      <c r="H250" s="7" t="n">
        <v>14.9</v>
      </c>
      <c r="I250" s="7" t="n">
        <v>0</v>
      </c>
      <c r="J250" s="7" t="n">
        <v>0</v>
      </c>
      <c r="K250" s="9" t="n">
        <v>0</v>
      </c>
      <c r="L250" s="10" t="n">
        <v>8.84</v>
      </c>
      <c r="M250" s="10" t="n">
        <v>1.43</v>
      </c>
      <c r="N250" t="inlineStr">
        <is>
          <t>1</t>
        </is>
      </c>
      <c r="O250" t="inlineStr">
        <is>
          <t>16</t>
        </is>
      </c>
      <c r="P250" t="inlineStr">
        <is>
          <t xml:space="preserve">90566   </t>
        </is>
      </c>
      <c r="Q250" s="26" t="n">
        <v>14.9</v>
      </c>
      <c r="R250" s="26">
        <f>Q250*G250</f>
        <v/>
      </c>
      <c r="S250" t="n">
        <v>8.84</v>
      </c>
      <c r="T250" s="18">
        <f>1 - V250/S250</f>
        <v/>
      </c>
      <c r="U250" s="18" t="n">
        <v>0</v>
      </c>
      <c r="V250" s="26" t="n">
        <v>8.84</v>
      </c>
      <c r="W250" s="26">
        <f>V250 - L250</f>
        <v/>
      </c>
    </row>
    <row r="251">
      <c r="A251" s="11" t="n">
        <v>46206</v>
      </c>
      <c r="B251" s="1" t="n">
        <v>20089</v>
      </c>
      <c r="C251" s="1" t="inlineStr">
        <is>
          <t>025</t>
        </is>
      </c>
      <c r="D251" s="1" t="inlineStr">
        <is>
          <t>121075</t>
        </is>
      </c>
      <c r="E251" s="1" t="inlineStr">
        <is>
          <t xml:space="preserve">28194770       </t>
        </is>
      </c>
      <c r="F251" s="5" t="inlineStr">
        <is>
          <t>AUTOS DE METAL 3 TEAMSTERZ EN BLISTER</t>
        </is>
      </c>
      <c r="G251" t="n">
        <v>1</v>
      </c>
      <c r="H251" s="7" t="n">
        <v>6.9</v>
      </c>
      <c r="I251" s="7" t="n">
        <v>0</v>
      </c>
      <c r="J251" s="7" t="n">
        <v>0</v>
      </c>
      <c r="K251" s="9" t="n">
        <v>0</v>
      </c>
      <c r="L251" s="10" t="n">
        <v>4.1</v>
      </c>
      <c r="M251" s="10" t="n">
        <v>1.43</v>
      </c>
      <c r="N251" t="inlineStr">
        <is>
          <t>1</t>
        </is>
      </c>
      <c r="O251" t="inlineStr">
        <is>
          <t>16</t>
        </is>
      </c>
      <c r="P251" t="inlineStr">
        <is>
          <t xml:space="preserve">82992   </t>
        </is>
      </c>
      <c r="Q251" s="26" t="n">
        <v>6.9</v>
      </c>
      <c r="R251" s="26">
        <f>Q251*G251</f>
        <v/>
      </c>
      <c r="S251" t="n">
        <v>4.09</v>
      </c>
      <c r="T251" s="18">
        <f>1 - V251/S251</f>
        <v/>
      </c>
      <c r="U251" s="18" t="n">
        <v>0</v>
      </c>
      <c r="V251" s="26" t="n">
        <v>4.09</v>
      </c>
      <c r="W251" s="26">
        <f>V251 - L251</f>
        <v/>
      </c>
    </row>
    <row r="252">
      <c r="A252" s="11" t="n">
        <v>46206</v>
      </c>
      <c r="B252" s="1" t="n">
        <v>20089</v>
      </c>
      <c r="C252" s="1" t="inlineStr">
        <is>
          <t>025</t>
        </is>
      </c>
      <c r="D252" s="1" t="inlineStr">
        <is>
          <t>121092</t>
        </is>
      </c>
      <c r="E252" s="1" t="inlineStr">
        <is>
          <t xml:space="preserve">28194768       </t>
        </is>
      </c>
      <c r="F252" s="5" t="inlineStr">
        <is>
          <t>AUTO COLOR CHANGE TEAMSTERZ SURTIDO</t>
        </is>
      </c>
      <c r="G252" t="n">
        <v>1</v>
      </c>
      <c r="H252" s="7" t="n">
        <v>14.9</v>
      </c>
      <c r="I252" s="7" t="n">
        <v>0</v>
      </c>
      <c r="J252" s="7" t="n">
        <v>0</v>
      </c>
      <c r="K252" s="9" t="n">
        <v>0</v>
      </c>
      <c r="L252" s="10" t="n">
        <v>8.84</v>
      </c>
      <c r="M252" s="10" t="n">
        <v>1.43</v>
      </c>
      <c r="N252" t="inlineStr">
        <is>
          <t>1</t>
        </is>
      </c>
      <c r="O252" t="inlineStr">
        <is>
          <t>16</t>
        </is>
      </c>
      <c r="P252" t="inlineStr">
        <is>
          <t xml:space="preserve">82992   </t>
        </is>
      </c>
      <c r="Q252" s="26" t="n">
        <v>14.9</v>
      </c>
      <c r="R252" s="26">
        <f>Q252*G252</f>
        <v/>
      </c>
      <c r="S252" t="n">
        <v>8.84</v>
      </c>
      <c r="T252" s="18">
        <f>1 - V252/S252</f>
        <v/>
      </c>
      <c r="U252" s="18" t="n">
        <v>0</v>
      </c>
      <c r="V252" s="26" t="n">
        <v>8.84</v>
      </c>
      <c r="W252" s="26">
        <f>V252 - L252</f>
        <v/>
      </c>
    </row>
    <row r="253">
      <c r="A253" s="11" t="n">
        <v>46206</v>
      </c>
      <c r="B253" s="1" t="n">
        <v>20089</v>
      </c>
      <c r="C253" s="1" t="inlineStr">
        <is>
          <t>026</t>
        </is>
      </c>
      <c r="D253" s="1" t="inlineStr">
        <is>
          <t xml:space="preserve">87174 </t>
        </is>
      </c>
      <c r="E253" s="1" t="inlineStr">
        <is>
          <t xml:space="preserve">30141766       </t>
        </is>
      </c>
      <c r="F253" s="5" t="inlineStr">
        <is>
          <t>TMZ BEAST MACHINES AUTOS DE METAL BLISTER X 1</t>
        </is>
      </c>
      <c r="G253" t="n">
        <v>1</v>
      </c>
      <c r="H253" s="7" t="n">
        <v>7.9</v>
      </c>
      <c r="I253" s="7" t="n">
        <v>0</v>
      </c>
      <c r="J253" s="7" t="n">
        <v>0</v>
      </c>
      <c r="K253" s="9" t="n">
        <v>0</v>
      </c>
      <c r="L253" s="10" t="n">
        <v>4.68</v>
      </c>
      <c r="M253" s="10" t="n">
        <v>1.43</v>
      </c>
      <c r="N253" t="inlineStr">
        <is>
          <t>1</t>
        </is>
      </c>
      <c r="O253" t="inlineStr">
        <is>
          <t xml:space="preserve">2 </t>
        </is>
      </c>
      <c r="P253" t="inlineStr">
        <is>
          <t xml:space="preserve">232968  </t>
        </is>
      </c>
      <c r="Q253" s="26" t="n">
        <v>7.9</v>
      </c>
      <c r="R253" s="26">
        <f>Q253*G253</f>
        <v/>
      </c>
      <c r="S253" t="n">
        <v>4.69</v>
      </c>
      <c r="T253" s="18">
        <f>1 - V253/S253</f>
        <v/>
      </c>
      <c r="U253" s="18" t="n">
        <v>0</v>
      </c>
      <c r="V253" s="26" t="n">
        <v>4.69</v>
      </c>
      <c r="W253" s="26">
        <f>V253 - L253</f>
        <v/>
      </c>
    </row>
    <row r="254">
      <c r="A254" s="11" t="n">
        <v>46206</v>
      </c>
      <c r="B254" s="1" t="n">
        <v>20089</v>
      </c>
      <c r="C254" s="1" t="inlineStr">
        <is>
          <t>026</t>
        </is>
      </c>
      <c r="D254" s="1" t="inlineStr">
        <is>
          <t xml:space="preserve">87196 </t>
        </is>
      </c>
      <c r="E254" s="1" t="inlineStr">
        <is>
          <t xml:space="preserve">28194769       </t>
        </is>
      </c>
      <c r="F254" s="5" t="inlineStr">
        <is>
          <t>AUTOS DE METAL 3 TEAMSTERZ PACK DE 2</t>
        </is>
      </c>
      <c r="G254" t="n">
        <v>1</v>
      </c>
      <c r="H254" s="7" t="n">
        <v>13.8</v>
      </c>
      <c r="I254" s="7" t="n">
        <v>0</v>
      </c>
      <c r="J254" s="7" t="n">
        <v>0</v>
      </c>
      <c r="K254" s="9" t="n">
        <v>0</v>
      </c>
      <c r="L254" s="10" t="n">
        <v>8.18</v>
      </c>
      <c r="M254" s="10" t="n">
        <v>1.43</v>
      </c>
      <c r="N254" t="inlineStr">
        <is>
          <t>1</t>
        </is>
      </c>
      <c r="O254" t="inlineStr">
        <is>
          <t xml:space="preserve">2 </t>
        </is>
      </c>
      <c r="P254" t="inlineStr">
        <is>
          <t xml:space="preserve">232968  </t>
        </is>
      </c>
      <c r="Q254" s="26" t="n">
        <v>13.8</v>
      </c>
      <c r="R254" s="26">
        <f>Q254*G254</f>
        <v/>
      </c>
      <c r="S254" t="n">
        <v>8.19</v>
      </c>
      <c r="T254" s="18">
        <f>1 - V254/S254</f>
        <v/>
      </c>
      <c r="U254" s="18" t="n">
        <v>0</v>
      </c>
      <c r="V254" s="26" t="n">
        <v>8.19</v>
      </c>
      <c r="W254" s="26">
        <f>V254 - L254</f>
        <v/>
      </c>
    </row>
    <row r="255">
      <c r="A255" s="11" t="n">
        <v>46206</v>
      </c>
      <c r="B255" s="1" t="n">
        <v>20089</v>
      </c>
      <c r="C255" s="1" t="inlineStr">
        <is>
          <t>026</t>
        </is>
      </c>
      <c r="D255" s="1" t="inlineStr">
        <is>
          <t xml:space="preserve">87196 </t>
        </is>
      </c>
      <c r="E255" s="1" t="inlineStr">
        <is>
          <t xml:space="preserve">28194769       </t>
        </is>
      </c>
      <c r="F255" s="5" t="inlineStr">
        <is>
          <t>AUTOS DE METAL 3 TEAMSTERZ PACK DE 2</t>
        </is>
      </c>
      <c r="G255" t="n">
        <v>1</v>
      </c>
      <c r="H255" s="7" t="n">
        <v>13.8</v>
      </c>
      <c r="I255" s="7" t="n">
        <v>0</v>
      </c>
      <c r="J255" s="7" t="n">
        <v>0</v>
      </c>
      <c r="K255" s="9" t="n">
        <v>0</v>
      </c>
      <c r="L255" s="10" t="n">
        <v>8.18</v>
      </c>
      <c r="M255" s="10" t="n">
        <v>1.43</v>
      </c>
      <c r="N255" t="inlineStr">
        <is>
          <t>1</t>
        </is>
      </c>
      <c r="O255" t="inlineStr">
        <is>
          <t xml:space="preserve">2 </t>
        </is>
      </c>
      <c r="P255" t="inlineStr">
        <is>
          <t xml:space="preserve">232968  </t>
        </is>
      </c>
      <c r="Q255" s="26" t="n">
        <v>13.8</v>
      </c>
      <c r="R255" s="26">
        <f>Q255*G255</f>
        <v/>
      </c>
      <c r="S255" t="n">
        <v>8.19</v>
      </c>
      <c r="T255" s="18">
        <f>1 - V255/S255</f>
        <v/>
      </c>
      <c r="U255" s="18" t="n">
        <v>0</v>
      </c>
      <c r="V255" s="26" t="n">
        <v>8.19</v>
      </c>
      <c r="W255" s="26">
        <f>V255 - L255</f>
        <v/>
      </c>
    </row>
    <row r="256">
      <c r="A256" s="11" t="n">
        <v>46206</v>
      </c>
      <c r="B256" s="1" t="n">
        <v>20089</v>
      </c>
      <c r="C256" s="1" t="inlineStr">
        <is>
          <t>027</t>
        </is>
      </c>
      <c r="D256" s="1" t="inlineStr">
        <is>
          <t xml:space="preserve">15535 </t>
        </is>
      </c>
      <c r="E256" s="1" t="inlineStr">
        <is>
          <t xml:space="preserve">30141766       </t>
        </is>
      </c>
      <c r="F256" s="5" t="inlineStr">
        <is>
          <t>TMZ BEAST MACHINES AUTOS DE METAL BLISTER X 1</t>
        </is>
      </c>
      <c r="G256" t="n">
        <v>1</v>
      </c>
      <c r="H256" s="7" t="n">
        <v>7.9</v>
      </c>
      <c r="I256" s="7" t="n">
        <v>0</v>
      </c>
      <c r="J256" s="7" t="n">
        <v>0</v>
      </c>
      <c r="K256" s="9" t="n">
        <v>0</v>
      </c>
      <c r="L256" s="10" t="n">
        <v>4.68</v>
      </c>
      <c r="M256" s="10" t="n">
        <v>1.43</v>
      </c>
      <c r="N256" t="inlineStr">
        <is>
          <t>1</t>
        </is>
      </c>
      <c r="O256" t="inlineStr">
        <is>
          <t>16</t>
        </is>
      </c>
      <c r="P256" t="inlineStr">
        <is>
          <t xml:space="preserve">251100  </t>
        </is>
      </c>
      <c r="Q256" s="26" t="n">
        <v>7.9</v>
      </c>
      <c r="R256" s="26">
        <f>Q256*G256</f>
        <v/>
      </c>
      <c r="S256" t="n">
        <v>4.69</v>
      </c>
      <c r="T256" s="18">
        <f>1 - V256/S256</f>
        <v/>
      </c>
      <c r="U256" s="18" t="n">
        <v>0</v>
      </c>
      <c r="V256" s="26" t="n">
        <v>4.69</v>
      </c>
      <c r="W256" s="26">
        <f>V256 - L256</f>
        <v/>
      </c>
    </row>
    <row r="257">
      <c r="A257" s="11" t="n">
        <v>46206</v>
      </c>
      <c r="B257" s="1" t="n">
        <v>20089</v>
      </c>
      <c r="C257" s="1" t="inlineStr">
        <is>
          <t>032</t>
        </is>
      </c>
      <c r="D257" s="1" t="inlineStr">
        <is>
          <t>162307</t>
        </is>
      </c>
      <c r="E257" s="1" t="inlineStr">
        <is>
          <t xml:space="preserve">28194780       </t>
        </is>
      </c>
      <c r="F257" s="5" t="inlineStr">
        <is>
          <t>TROMPO BATALLA INFINITY NADO PLSTICO SURTIDO</t>
        </is>
      </c>
      <c r="G257" t="n">
        <v>1</v>
      </c>
      <c r="H257" s="7" t="n">
        <v>19.9</v>
      </c>
      <c r="I257" s="7" t="n">
        <v>0</v>
      </c>
      <c r="J257" s="7" t="n">
        <v>0</v>
      </c>
      <c r="K257" s="9" t="n">
        <v>0</v>
      </c>
      <c r="L257" s="10" t="n">
        <v>11.8</v>
      </c>
      <c r="M257" s="10" t="n">
        <v>1.43</v>
      </c>
      <c r="N257" t="inlineStr">
        <is>
          <t>1</t>
        </is>
      </c>
      <c r="O257" t="inlineStr">
        <is>
          <t>16</t>
        </is>
      </c>
      <c r="P257" t="inlineStr">
        <is>
          <t xml:space="preserve">246525  </t>
        </is>
      </c>
      <c r="Q257" s="26" t="n">
        <v>19.9</v>
      </c>
      <c r="R257" s="26">
        <f>Q257*G257</f>
        <v/>
      </c>
      <c r="S257" t="n">
        <v>11.81</v>
      </c>
      <c r="T257" s="18">
        <f>1 - V257/S257</f>
        <v/>
      </c>
      <c r="U257" s="18" t="n">
        <v>0</v>
      </c>
      <c r="V257" s="26" t="n">
        <v>11.81</v>
      </c>
      <c r="W257" s="26">
        <f>V257 - L257</f>
        <v/>
      </c>
    </row>
    <row r="258">
      <c r="A258" s="11" t="n">
        <v>46206</v>
      </c>
      <c r="B258" s="1" t="n">
        <v>20089</v>
      </c>
      <c r="C258" s="1" t="inlineStr">
        <is>
          <t>032</t>
        </is>
      </c>
      <c r="D258" s="1" t="inlineStr">
        <is>
          <t>162307</t>
        </is>
      </c>
      <c r="E258" s="1" t="inlineStr">
        <is>
          <t xml:space="preserve">28194780       </t>
        </is>
      </c>
      <c r="F258" s="5" t="inlineStr">
        <is>
          <t>TROMPO BATALLA INFINITY NADO PLSTICO SURTIDO</t>
        </is>
      </c>
      <c r="G258" t="n">
        <v>1</v>
      </c>
      <c r="H258" s="7" t="n">
        <v>19.9</v>
      </c>
      <c r="I258" s="7" t="n">
        <v>0</v>
      </c>
      <c r="J258" s="7" t="n">
        <v>0</v>
      </c>
      <c r="K258" s="9" t="n">
        <v>0</v>
      </c>
      <c r="L258" s="10" t="n">
        <v>11.8</v>
      </c>
      <c r="M258" s="10" t="n">
        <v>1.43</v>
      </c>
      <c r="N258" t="inlineStr">
        <is>
          <t>1</t>
        </is>
      </c>
      <c r="O258" t="inlineStr">
        <is>
          <t>16</t>
        </is>
      </c>
      <c r="P258" t="inlineStr">
        <is>
          <t xml:space="preserve">246525  </t>
        </is>
      </c>
      <c r="Q258" s="26" t="n">
        <v>19.9</v>
      </c>
      <c r="R258" s="26">
        <f>Q258*G258</f>
        <v/>
      </c>
      <c r="S258" t="n">
        <v>11.81</v>
      </c>
      <c r="T258" s="18">
        <f>1 - V258/S258</f>
        <v/>
      </c>
      <c r="U258" s="18" t="n">
        <v>0</v>
      </c>
      <c r="V258" s="26" t="n">
        <v>11.81</v>
      </c>
      <c r="W258" s="26">
        <f>V258 - L258</f>
        <v/>
      </c>
    </row>
    <row r="259">
      <c r="A259" s="11" t="n">
        <v>46206</v>
      </c>
      <c r="B259" s="1" t="n">
        <v>20089</v>
      </c>
      <c r="C259" s="1" t="inlineStr">
        <is>
          <t>862</t>
        </is>
      </c>
      <c r="D259" s="1" t="inlineStr">
        <is>
          <t xml:space="preserve">8144  </t>
        </is>
      </c>
      <c r="E259" s="1" t="inlineStr">
        <is>
          <t xml:space="preserve">30141766       </t>
        </is>
      </c>
      <c r="F259" s="5" t="inlineStr">
        <is>
          <t>TMZ BEAST MACHINES AUTOS DE METAL BLISTER X 1</t>
        </is>
      </c>
      <c r="G259" t="n">
        <v>1</v>
      </c>
      <c r="H259" s="7" t="n">
        <v>7.9</v>
      </c>
      <c r="I259" s="7" t="n">
        <v>0</v>
      </c>
      <c r="J259" s="7" t="n">
        <v>0</v>
      </c>
      <c r="K259" s="9" t="n">
        <v>0</v>
      </c>
      <c r="L259" s="10" t="n">
        <v>4.68</v>
      </c>
      <c r="M259" s="10" t="n">
        <v>1.43</v>
      </c>
      <c r="N259" t="inlineStr">
        <is>
          <t>1</t>
        </is>
      </c>
      <c r="O259" t="inlineStr">
        <is>
          <t>16</t>
        </is>
      </c>
      <c r="P259" t="inlineStr">
        <is>
          <t xml:space="preserve">0       </t>
        </is>
      </c>
      <c r="Q259" s="26" t="n">
        <v>7.9</v>
      </c>
      <c r="R259" s="26">
        <f>Q259*G259</f>
        <v/>
      </c>
      <c r="S259" t="n">
        <v>4.69</v>
      </c>
      <c r="T259" s="18">
        <f>1 - V259/S259</f>
        <v/>
      </c>
      <c r="U259" s="18" t="n">
        <v>0</v>
      </c>
      <c r="V259" s="26" t="n">
        <v>4.69</v>
      </c>
      <c r="W259" s="26">
        <f>V259 - L259</f>
        <v/>
      </c>
    </row>
    <row r="260">
      <c r="A260" s="11" t="n">
        <v>46206</v>
      </c>
      <c r="B260" s="1" t="n">
        <v>20089</v>
      </c>
      <c r="C260" s="1" t="inlineStr">
        <is>
          <t>862</t>
        </is>
      </c>
      <c r="D260" s="1" t="inlineStr">
        <is>
          <t xml:space="preserve">8152  </t>
        </is>
      </c>
      <c r="E260" s="1" t="inlineStr">
        <is>
          <t xml:space="preserve">28194769       </t>
        </is>
      </c>
      <c r="F260" s="5" t="inlineStr">
        <is>
          <t>AUTOS DE METAL 3 TEAMSTERZ PACK DE 2</t>
        </is>
      </c>
      <c r="G260" t="n">
        <v>1</v>
      </c>
      <c r="H260" s="7" t="n">
        <v>13.8</v>
      </c>
      <c r="I260" s="7" t="n">
        <v>0</v>
      </c>
      <c r="J260" s="7" t="n">
        <v>0</v>
      </c>
      <c r="K260" s="9" t="n">
        <v>0</v>
      </c>
      <c r="L260" s="10" t="n">
        <v>8.18</v>
      </c>
      <c r="M260" s="10" t="n">
        <v>1.43</v>
      </c>
      <c r="N260" t="inlineStr">
        <is>
          <t>1</t>
        </is>
      </c>
      <c r="O260" t="inlineStr">
        <is>
          <t>16</t>
        </is>
      </c>
      <c r="P260" t="inlineStr">
        <is>
          <t xml:space="preserve">0       </t>
        </is>
      </c>
      <c r="Q260" s="26" t="n">
        <v>13.8</v>
      </c>
      <c r="R260" s="26">
        <f>Q260*G260</f>
        <v/>
      </c>
      <c r="S260" t="n">
        <v>8.19</v>
      </c>
      <c r="T260" s="18">
        <f>1 - V260/S260</f>
        <v/>
      </c>
      <c r="U260" s="18" t="n">
        <v>0</v>
      </c>
      <c r="V260" s="26" t="n">
        <v>8.19</v>
      </c>
      <c r="W260" s="26">
        <f>V260 - L260</f>
        <v/>
      </c>
    </row>
    <row r="261">
      <c r="A261" s="11" t="n">
        <v>46206</v>
      </c>
      <c r="B261" s="1" t="n">
        <v>20095</v>
      </c>
      <c r="C261" s="1" t="inlineStr">
        <is>
          <t>044</t>
        </is>
      </c>
      <c r="D261" s="1" t="inlineStr">
        <is>
          <t xml:space="preserve">92762 </t>
        </is>
      </c>
      <c r="E261" s="1" t="inlineStr">
        <is>
          <t xml:space="preserve">28194767       </t>
        </is>
      </c>
      <c r="F261" s="5" t="inlineStr">
        <is>
          <t>CAMIONES TEAMSTERZ DE EMERGENCIA</t>
        </is>
      </c>
      <c r="G261" t="n">
        <v>1</v>
      </c>
      <c r="H261" s="7" t="n">
        <v>17.9</v>
      </c>
      <c r="I261" s="7" t="n">
        <v>0</v>
      </c>
      <c r="J261" s="7" t="n">
        <v>0</v>
      </c>
      <c r="K261" s="9" t="n">
        <v>0</v>
      </c>
      <c r="L261" s="10" t="n">
        <v>10.62</v>
      </c>
      <c r="M261" s="10" t="n">
        <v>1.43</v>
      </c>
      <c r="N261" t="inlineStr">
        <is>
          <t>1</t>
        </is>
      </c>
      <c r="O261" t="inlineStr">
        <is>
          <t xml:space="preserve">2 </t>
        </is>
      </c>
      <c r="P261" t="inlineStr">
        <is>
          <t xml:space="preserve">250453  </t>
        </is>
      </c>
      <c r="Q261" s="26" t="n">
        <v>17.9</v>
      </c>
      <c r="R261" s="26">
        <f>Q261*G261</f>
        <v/>
      </c>
      <c r="S261" t="n">
        <v>10.62</v>
      </c>
      <c r="T261" s="18">
        <f>1 - V261/S261</f>
        <v/>
      </c>
      <c r="U261" s="18" t="n">
        <v>0</v>
      </c>
      <c r="V261" s="26" t="n">
        <v>10.62</v>
      </c>
      <c r="W261" s="26">
        <f>V261 - L261</f>
        <v/>
      </c>
    </row>
    <row r="262">
      <c r="A262" s="11" t="n">
        <v>46207</v>
      </c>
      <c r="B262" s="1" t="n">
        <v>20021</v>
      </c>
      <c r="C262" s="1" t="inlineStr">
        <is>
          <t>055</t>
        </is>
      </c>
      <c r="D262" s="1" t="inlineStr">
        <is>
          <t>154181</t>
        </is>
      </c>
      <c r="E262" s="1" t="inlineStr">
        <is>
          <t xml:space="preserve">31959961       </t>
        </is>
      </c>
      <c r="F262" s="5" t="inlineStr">
        <is>
          <t>TEAMSTERZ CAMBIA DE COLOR PACK DE 3 AUTOS</t>
        </is>
      </c>
      <c r="G262" t="n">
        <v>1</v>
      </c>
      <c r="H262" s="7" t="n">
        <v>49.9</v>
      </c>
      <c r="I262" s="7" t="n">
        <v>0</v>
      </c>
      <c r="J262" s="7" t="n">
        <v>0</v>
      </c>
      <c r="K262" s="9" t="n">
        <v>0</v>
      </c>
      <c r="L262" s="10" t="n">
        <v>29.6</v>
      </c>
      <c r="M262" s="10" t="n">
        <v>1.43</v>
      </c>
      <c r="N262" t="inlineStr">
        <is>
          <t>1</t>
        </is>
      </c>
      <c r="O262" t="inlineStr">
        <is>
          <t>16</t>
        </is>
      </c>
      <c r="P262" t="inlineStr">
        <is>
          <t xml:space="preserve">36042   </t>
        </is>
      </c>
      <c r="Q262" s="26" t="n">
        <v>49.9</v>
      </c>
      <c r="R262" s="26">
        <f>Q262*G262</f>
        <v/>
      </c>
      <c r="S262" t="n">
        <v>29.6</v>
      </c>
      <c r="T262" s="18">
        <f>1 - V262/S262</f>
        <v/>
      </c>
      <c r="U262" s="18" t="n">
        <v>0</v>
      </c>
      <c r="V262" s="26" t="n">
        <v>29.6</v>
      </c>
      <c r="W262" s="26">
        <f>V262 - L262</f>
        <v/>
      </c>
    </row>
    <row r="263">
      <c r="A263" s="11" t="n">
        <v>46207</v>
      </c>
      <c r="B263" s="1" t="n">
        <v>20021</v>
      </c>
      <c r="C263" s="1" t="inlineStr">
        <is>
          <t>055</t>
        </is>
      </c>
      <c r="D263" s="1" t="inlineStr">
        <is>
          <t>154214</t>
        </is>
      </c>
      <c r="E263" s="1" t="inlineStr">
        <is>
          <t xml:space="preserve">30141766       </t>
        </is>
      </c>
      <c r="F263" s="5" t="inlineStr">
        <is>
          <t>TMZ BEAST MACHINES AUTOS DE METAL BLISTER X 1</t>
        </is>
      </c>
      <c r="G263" t="n">
        <v>1</v>
      </c>
      <c r="H263" s="7" t="n">
        <v>7.9</v>
      </c>
      <c r="I263" s="7" t="n">
        <v>0</v>
      </c>
      <c r="J263" s="7" t="n">
        <v>0</v>
      </c>
      <c r="K263" s="9" t="n">
        <v>0</v>
      </c>
      <c r="L263" s="10" t="n">
        <v>4.68</v>
      </c>
      <c r="M263" s="10" t="n">
        <v>1.43</v>
      </c>
      <c r="N263" t="inlineStr">
        <is>
          <t>1</t>
        </is>
      </c>
      <c r="O263" t="inlineStr">
        <is>
          <t xml:space="preserve">3 </t>
        </is>
      </c>
      <c r="P263" t="inlineStr">
        <is>
          <t xml:space="preserve">36042   </t>
        </is>
      </c>
      <c r="Q263" s="26" t="n">
        <v>7.9</v>
      </c>
      <c r="R263" s="26">
        <f>Q263*G263</f>
        <v/>
      </c>
      <c r="S263" t="n">
        <v>4.69</v>
      </c>
      <c r="T263" s="18">
        <f>1 - V263/S263</f>
        <v/>
      </c>
      <c r="U263" s="18" t="n">
        <v>0</v>
      </c>
      <c r="V263" s="26" t="n">
        <v>4.69</v>
      </c>
      <c r="W263" s="26">
        <f>V263 - L263</f>
        <v/>
      </c>
    </row>
    <row r="264">
      <c r="A264" s="11" t="n">
        <v>46207</v>
      </c>
      <c r="B264" s="1" t="n">
        <v>20021</v>
      </c>
      <c r="C264" s="1" t="inlineStr">
        <is>
          <t>078</t>
        </is>
      </c>
      <c r="D264" s="1" t="inlineStr">
        <is>
          <t>100160</t>
        </is>
      </c>
      <c r="E264" s="1" t="inlineStr">
        <is>
          <t xml:space="preserve">29235707       </t>
        </is>
      </c>
      <c r="F264" s="5" t="inlineStr">
        <is>
          <t>TEAMSTERZ AUTO DE METAL 3  PACK DE 5</t>
        </is>
      </c>
      <c r="G264" t="n">
        <v>1</v>
      </c>
      <c r="H264" s="7" t="n">
        <v>34.5</v>
      </c>
      <c r="I264" s="7" t="n">
        <v>0</v>
      </c>
      <c r="J264" s="7" t="n">
        <v>0</v>
      </c>
      <c r="K264" s="9" t="n">
        <v>0</v>
      </c>
      <c r="L264" s="10" t="n">
        <v>20.47</v>
      </c>
      <c r="M264" s="10" t="n">
        <v>1.43</v>
      </c>
      <c r="N264" t="inlineStr">
        <is>
          <t>1</t>
        </is>
      </c>
      <c r="O264" t="inlineStr">
        <is>
          <t>16</t>
        </is>
      </c>
      <c r="P264" t="inlineStr">
        <is>
          <t xml:space="preserve">12097   </t>
        </is>
      </c>
      <c r="Q264" s="26" t="n">
        <v>34.5</v>
      </c>
      <c r="R264" s="26">
        <f>Q264*G264</f>
        <v/>
      </c>
      <c r="S264" t="n">
        <v>20.47</v>
      </c>
      <c r="T264" s="18">
        <f>1 - V264/S264</f>
        <v/>
      </c>
      <c r="U264" s="18" t="n">
        <v>0</v>
      </c>
      <c r="V264" s="26" t="n">
        <v>20.47</v>
      </c>
      <c r="W264" s="26">
        <f>V264 - L264</f>
        <v/>
      </c>
    </row>
    <row r="265">
      <c r="A265" s="11" t="n">
        <v>46207</v>
      </c>
      <c r="B265" s="1" t="n">
        <v>20023</v>
      </c>
      <c r="C265" s="1" t="inlineStr">
        <is>
          <t>105</t>
        </is>
      </c>
      <c r="D265" s="1" t="inlineStr">
        <is>
          <t xml:space="preserve">90217 </t>
        </is>
      </c>
      <c r="E265" s="1" t="inlineStr">
        <is>
          <t xml:space="preserve">32457099       </t>
        </is>
      </c>
      <c r="F265" s="5" t="inlineStr">
        <is>
          <t>TMZ BEAST MACHINES MONSTER JAWS A FRICCION BLISTER</t>
        </is>
      </c>
      <c r="G265" t="n">
        <v>1</v>
      </c>
      <c r="H265" s="7" t="n">
        <v>19.9</v>
      </c>
      <c r="I265" s="7" t="n">
        <v>0</v>
      </c>
      <c r="J265" s="7" t="n">
        <v>0</v>
      </c>
      <c r="K265" s="9" t="n">
        <v>0</v>
      </c>
      <c r="L265" s="10" t="n">
        <v>11.8</v>
      </c>
      <c r="M265" s="10" t="n">
        <v>1.43</v>
      </c>
      <c r="N265" t="inlineStr">
        <is>
          <t>1</t>
        </is>
      </c>
      <c r="O265" t="inlineStr">
        <is>
          <t>16</t>
        </is>
      </c>
      <c r="P265" t="inlineStr">
        <is>
          <t xml:space="preserve">17213   </t>
        </is>
      </c>
      <c r="Q265" s="26" t="n">
        <v>19.9</v>
      </c>
      <c r="R265" s="26">
        <f>Q265*G265</f>
        <v/>
      </c>
      <c r="S265" t="n">
        <v>11.81</v>
      </c>
      <c r="T265" s="18">
        <f>1 - V265/S265</f>
        <v/>
      </c>
      <c r="U265" s="18" t="n">
        <v>0.1005025125628141</v>
      </c>
      <c r="V265" s="26" t="n">
        <v>8.417118644067797</v>
      </c>
      <c r="W265" s="26">
        <f>V265 - L265</f>
        <v/>
      </c>
    </row>
    <row r="266">
      <c r="A266" s="11" t="n">
        <v>46207</v>
      </c>
      <c r="B266" s="1" t="n">
        <v>20023</v>
      </c>
      <c r="C266" s="1" t="inlineStr">
        <is>
          <t>105</t>
        </is>
      </c>
      <c r="D266" s="1" t="inlineStr">
        <is>
          <t xml:space="preserve">90263 </t>
        </is>
      </c>
      <c r="E266" s="1" t="inlineStr">
        <is>
          <t xml:space="preserve">32457099       </t>
        </is>
      </c>
      <c r="F266" s="5" t="inlineStr">
        <is>
          <t>TMZ BEAST MACHINES MONSTER JAWS A FRICCION BLISTER</t>
        </is>
      </c>
      <c r="G266" t="n">
        <v>1</v>
      </c>
      <c r="H266" s="7" t="n">
        <v>19.9</v>
      </c>
      <c r="I266" s="7" t="n">
        <v>0</v>
      </c>
      <c r="J266" s="7" t="n">
        <v>0</v>
      </c>
      <c r="K266" s="9" t="n">
        <v>0</v>
      </c>
      <c r="L266" s="10" t="n">
        <v>11.8</v>
      </c>
      <c r="M266" s="10" t="n">
        <v>1.43</v>
      </c>
      <c r="N266" t="inlineStr">
        <is>
          <t>1</t>
        </is>
      </c>
      <c r="O266" t="inlineStr">
        <is>
          <t>16</t>
        </is>
      </c>
      <c r="P266" t="inlineStr">
        <is>
          <t xml:space="preserve">17213   </t>
        </is>
      </c>
      <c r="Q266" s="26" t="n">
        <v>19.9</v>
      </c>
      <c r="R266" s="26">
        <f>Q266*G266</f>
        <v/>
      </c>
      <c r="S266" t="n">
        <v>11.81</v>
      </c>
      <c r="T266" s="18">
        <f>1 - V266/S266</f>
        <v/>
      </c>
      <c r="U266" s="18" t="n">
        <v>0.1005025125628141</v>
      </c>
      <c r="V266" s="26" t="n">
        <v>8.417118644067797</v>
      </c>
      <c r="W266" s="26">
        <f>V266 - L266</f>
        <v/>
      </c>
    </row>
    <row r="267">
      <c r="A267" s="11" t="n">
        <v>46207</v>
      </c>
      <c r="B267" s="1" t="n">
        <v>20024</v>
      </c>
      <c r="C267" s="1" t="inlineStr">
        <is>
          <t>020</t>
        </is>
      </c>
      <c r="D267" s="1" t="inlineStr">
        <is>
          <t>253698</t>
        </is>
      </c>
      <c r="E267" s="1" t="inlineStr">
        <is>
          <t xml:space="preserve">28194781       </t>
        </is>
      </c>
      <c r="F267" s="5" t="inlineStr">
        <is>
          <t>TROMPO BATALLA INFINITY NADO SERIE V CLASICA SURTI</t>
        </is>
      </c>
      <c r="G267" t="n">
        <v>1</v>
      </c>
      <c r="H267" s="7" t="n">
        <v>59.9</v>
      </c>
      <c r="I267" s="7" t="n">
        <v>0</v>
      </c>
      <c r="J267" s="7" t="n">
        <v>0</v>
      </c>
      <c r="K267" s="9" t="n">
        <v>0</v>
      </c>
      <c r="L267" s="10" t="n">
        <v>35.53</v>
      </c>
      <c r="M267" s="10" t="n">
        <v>1.43</v>
      </c>
      <c r="N267" t="inlineStr">
        <is>
          <t>1</t>
        </is>
      </c>
      <c r="O267" t="inlineStr">
        <is>
          <t>16</t>
        </is>
      </c>
      <c r="P267" t="inlineStr">
        <is>
          <t xml:space="preserve">57844   </t>
        </is>
      </c>
      <c r="Q267" s="26" t="n">
        <v>59.9</v>
      </c>
      <c r="R267" s="26">
        <f>Q267*G267</f>
        <v/>
      </c>
      <c r="S267" t="n">
        <v>35.53</v>
      </c>
      <c r="T267" s="18">
        <f>1 - V267/S267</f>
        <v/>
      </c>
      <c r="U267" s="18" t="n">
        <v>0.333889816360601</v>
      </c>
      <c r="V267" s="26" t="n">
        <v>25.36016949152542</v>
      </c>
      <c r="W267" s="26">
        <f>V267 - L267</f>
        <v/>
      </c>
    </row>
    <row r="268">
      <c r="A268" s="11" t="n">
        <v>46207</v>
      </c>
      <c r="B268" s="1" t="n">
        <v>20024</v>
      </c>
      <c r="C268" s="1" t="inlineStr">
        <is>
          <t>021</t>
        </is>
      </c>
      <c r="D268" s="1" t="inlineStr">
        <is>
          <t>215276</t>
        </is>
      </c>
      <c r="E268" s="1" t="inlineStr">
        <is>
          <t xml:space="preserve">28194769       </t>
        </is>
      </c>
      <c r="F268" s="5" t="inlineStr">
        <is>
          <t>AUTOS DE METAL 3 TEAMSTERZ PACK DE 2</t>
        </is>
      </c>
      <c r="G268" t="n">
        <v>1</v>
      </c>
      <c r="H268" s="7" t="n">
        <v>13.8</v>
      </c>
      <c r="I268" s="7" t="n">
        <v>0</v>
      </c>
      <c r="J268" s="7" t="n">
        <v>0</v>
      </c>
      <c r="K268" s="9" t="n">
        <v>0</v>
      </c>
      <c r="L268" s="10" t="n">
        <v>8.18</v>
      </c>
      <c r="M268" s="10" t="n">
        <v>1.43</v>
      </c>
      <c r="N268" t="inlineStr">
        <is>
          <t>1</t>
        </is>
      </c>
      <c r="O268" t="inlineStr">
        <is>
          <t xml:space="preserve">2 </t>
        </is>
      </c>
      <c r="P268" t="inlineStr">
        <is>
          <t xml:space="preserve">38672   </t>
        </is>
      </c>
      <c r="Q268" s="26" t="n">
        <v>13.8</v>
      </c>
      <c r="R268" s="26">
        <f>Q268*G268</f>
        <v/>
      </c>
      <c r="S268" t="n">
        <v>8.19</v>
      </c>
      <c r="T268" s="18">
        <f>1 - V268/S268</f>
        <v/>
      </c>
      <c r="U268" s="18" t="n">
        <v>0</v>
      </c>
      <c r="V268" s="26" t="n">
        <v>8.19</v>
      </c>
      <c r="W268" s="26">
        <f>V268 - L268</f>
        <v/>
      </c>
    </row>
    <row r="269">
      <c r="A269" s="11" t="n">
        <v>46207</v>
      </c>
      <c r="B269" s="1" t="n">
        <v>20024</v>
      </c>
      <c r="C269" s="1" t="inlineStr">
        <is>
          <t>060</t>
        </is>
      </c>
      <c r="D269" s="1" t="inlineStr">
        <is>
          <t xml:space="preserve">95402 </t>
        </is>
      </c>
      <c r="E269" s="1" t="inlineStr">
        <is>
          <t xml:space="preserve">29235706       </t>
        </is>
      </c>
      <c r="F269" s="5" t="inlineStr">
        <is>
          <t>TEAMSTERZ CAMION PARA GUARDAR 12 AUTOS INCL 4 AUTO</t>
        </is>
      </c>
      <c r="G269" t="n">
        <v>1</v>
      </c>
      <c r="H269" s="7" t="n">
        <v>59.9</v>
      </c>
      <c r="I269" s="7" t="n">
        <v>0</v>
      </c>
      <c r="J269" s="7" t="n">
        <v>0</v>
      </c>
      <c r="K269" s="9" t="n">
        <v>0</v>
      </c>
      <c r="L269" s="10" t="n">
        <v>35.53</v>
      </c>
      <c r="M269" s="10" t="n">
        <v>1.43</v>
      </c>
      <c r="N269" t="inlineStr">
        <is>
          <t>1</t>
        </is>
      </c>
      <c r="O269" t="inlineStr">
        <is>
          <t xml:space="preserve">6 </t>
        </is>
      </c>
      <c r="P269" t="inlineStr">
        <is>
          <t xml:space="preserve">251741  </t>
        </is>
      </c>
      <c r="Q269" s="26" t="n">
        <v>59.90000000000001</v>
      </c>
      <c r="R269" s="26">
        <f>Q269*G269</f>
        <v/>
      </c>
      <c r="S269" t="n">
        <v>35.53</v>
      </c>
      <c r="T269" s="18">
        <f>1 - V269/S269</f>
        <v/>
      </c>
      <c r="U269" s="18" t="n">
        <v>0</v>
      </c>
      <c r="V269" s="26" t="n">
        <v>35.53</v>
      </c>
      <c r="W269" s="26">
        <f>V269 - L269</f>
        <v/>
      </c>
    </row>
    <row r="270">
      <c r="A270" s="11" t="n">
        <v>46207</v>
      </c>
      <c r="B270" s="1" t="n">
        <v>20024</v>
      </c>
      <c r="C270" s="1" t="inlineStr">
        <is>
          <t>520</t>
        </is>
      </c>
      <c r="D270" s="1" t="inlineStr">
        <is>
          <t xml:space="preserve">271   </t>
        </is>
      </c>
      <c r="E270" s="1" t="inlineStr">
        <is>
          <t xml:space="preserve">28194770       </t>
        </is>
      </c>
      <c r="F270" s="5" t="inlineStr">
        <is>
          <t>AUTOS DE METAL 3 TEAMSTERZ EN BLISTER</t>
        </is>
      </c>
      <c r="G270" t="n">
        <v>2</v>
      </c>
      <c r="H270" s="7" t="n">
        <v>13.8</v>
      </c>
      <c r="I270" s="7" t="n">
        <v>0</v>
      </c>
      <c r="J270" s="7" t="n">
        <v>0</v>
      </c>
      <c r="K270" s="9" t="n">
        <v>0</v>
      </c>
      <c r="L270" s="10" t="n">
        <v>8.18</v>
      </c>
      <c r="M270" s="10" t="n">
        <v>1.43</v>
      </c>
      <c r="N270" t="inlineStr">
        <is>
          <t>1</t>
        </is>
      </c>
      <c r="O270" t="inlineStr">
        <is>
          <t>16</t>
        </is>
      </c>
      <c r="P270" t="inlineStr">
        <is>
          <t xml:space="preserve">250403  </t>
        </is>
      </c>
      <c r="Q270" s="26" t="n">
        <v>6.9</v>
      </c>
      <c r="R270" s="26">
        <f>Q270*G270</f>
        <v/>
      </c>
      <c r="S270" t="n">
        <v>8.18</v>
      </c>
      <c r="T270" s="18">
        <f>1 - V270/S270</f>
        <v/>
      </c>
      <c r="U270" s="18" t="n">
        <v>0</v>
      </c>
      <c r="V270" s="26" t="n">
        <v>8.18</v>
      </c>
      <c r="W270" s="26">
        <f>V270 - L270</f>
        <v/>
      </c>
    </row>
    <row r="271">
      <c r="A271" s="11" t="n">
        <v>46207</v>
      </c>
      <c r="B271" s="1" t="n">
        <v>20024</v>
      </c>
      <c r="C271" s="1" t="inlineStr">
        <is>
          <t>524</t>
        </is>
      </c>
      <c r="D271" s="1" t="inlineStr">
        <is>
          <t xml:space="preserve">8973  </t>
        </is>
      </c>
      <c r="E271" s="1" t="inlineStr">
        <is>
          <t xml:space="preserve">34840556       </t>
        </is>
      </c>
      <c r="F271" s="5" t="inlineStr">
        <is>
          <t>TMZ BEAST MACH. TRANSPORT DINO +ACCS</t>
        </is>
      </c>
      <c r="G271" t="n">
        <v>1</v>
      </c>
      <c r="H271" s="7" t="n">
        <v>79.90000000000001</v>
      </c>
      <c r="I271" s="7" t="n">
        <v>0</v>
      </c>
      <c r="J271" s="7" t="n">
        <v>0</v>
      </c>
      <c r="K271" s="9" t="n">
        <v>0</v>
      </c>
      <c r="L271" s="10" t="n">
        <v>47.4</v>
      </c>
      <c r="M271" s="10" t="n">
        <v>1.43</v>
      </c>
      <c r="N271" t="inlineStr">
        <is>
          <t>1</t>
        </is>
      </c>
      <c r="O271" t="inlineStr">
        <is>
          <t>16</t>
        </is>
      </c>
      <c r="P271" t="inlineStr">
        <is>
          <t xml:space="preserve">246042  </t>
        </is>
      </c>
      <c r="Q271" s="26" t="n">
        <v>79.90000000000002</v>
      </c>
      <c r="R271" s="26">
        <f>Q271*G271</f>
        <v/>
      </c>
      <c r="S271" t="n">
        <v>47.4</v>
      </c>
      <c r="T271" s="18">
        <f>1 - V271/S271</f>
        <v/>
      </c>
      <c r="U271" s="18" t="n">
        <v>0.2503128911138924</v>
      </c>
      <c r="V271" s="26" t="n">
        <v>38.07203389830509</v>
      </c>
      <c r="W271" s="26">
        <f>V271 - L271</f>
        <v/>
      </c>
    </row>
    <row r="272">
      <c r="A272" s="11" t="n">
        <v>46207</v>
      </c>
      <c r="B272" s="1" t="n">
        <v>20025</v>
      </c>
      <c r="C272" s="1" t="inlineStr">
        <is>
          <t>074</t>
        </is>
      </c>
      <c r="D272" s="1" t="inlineStr">
        <is>
          <t xml:space="preserve">82400 </t>
        </is>
      </c>
      <c r="E272" s="1" t="inlineStr">
        <is>
          <t xml:space="preserve">29235700       </t>
        </is>
      </c>
      <c r="F272" s="5" t="inlineStr">
        <is>
          <t>HOT WHEELS CASE METALICO PARA GUARDAR 18 CARRITOS</t>
        </is>
      </c>
      <c r="G272" t="n">
        <v>1</v>
      </c>
      <c r="H272" s="7" t="n">
        <v>49.9</v>
      </c>
      <c r="I272" s="7" t="n">
        <v>0</v>
      </c>
      <c r="J272" s="7" t="n">
        <v>0</v>
      </c>
      <c r="K272" s="9" t="n">
        <v>0</v>
      </c>
      <c r="L272" s="10" t="n">
        <v>29.6</v>
      </c>
      <c r="M272" s="10" t="n">
        <v>1.43</v>
      </c>
      <c r="N272" t="inlineStr">
        <is>
          <t>1</t>
        </is>
      </c>
      <c r="O272" t="inlineStr">
        <is>
          <t>16</t>
        </is>
      </c>
      <c r="P272" t="inlineStr">
        <is>
          <t xml:space="preserve">57293   </t>
        </is>
      </c>
      <c r="Q272" s="26" t="n">
        <v>49.90000000000001</v>
      </c>
      <c r="R272" s="26">
        <f>Q272*G272</f>
        <v/>
      </c>
      <c r="S272" t="n">
        <v>29.6</v>
      </c>
      <c r="T272" s="18">
        <f>1 - V272/S272</f>
        <v/>
      </c>
      <c r="U272" s="18" t="n">
        <v>0</v>
      </c>
      <c r="V272" s="26" t="n">
        <v>29.6</v>
      </c>
      <c r="W272" s="26">
        <f>V272 - L272</f>
        <v/>
      </c>
    </row>
    <row r="273">
      <c r="A273" s="11" t="n">
        <v>46207</v>
      </c>
      <c r="B273" s="1" t="n">
        <v>20025</v>
      </c>
      <c r="C273" s="1" t="inlineStr">
        <is>
          <t>076</t>
        </is>
      </c>
      <c r="D273" s="1" t="inlineStr">
        <is>
          <t xml:space="preserve">12180 </t>
        </is>
      </c>
      <c r="E273" s="1" t="inlineStr">
        <is>
          <t xml:space="preserve">33483121       </t>
        </is>
      </c>
      <c r="F273" s="5" t="inlineStr">
        <is>
          <t>HOT WHEELS ESTUCHE PARA 15 AUTOS SURTIDO</t>
        </is>
      </c>
      <c r="G273" t="n">
        <v>1</v>
      </c>
      <c r="H273" s="7" t="n">
        <v>34.9</v>
      </c>
      <c r="I273" s="7" t="n">
        <v>0</v>
      </c>
      <c r="J273" s="7" t="n">
        <v>0</v>
      </c>
      <c r="K273" s="9" t="n">
        <v>0</v>
      </c>
      <c r="L273" s="10" t="n">
        <v>20.71</v>
      </c>
      <c r="M273" s="10" t="n">
        <v>1.43</v>
      </c>
      <c r="N273" t="inlineStr">
        <is>
          <t>1</t>
        </is>
      </c>
      <c r="O273" t="inlineStr">
        <is>
          <t>16</t>
        </is>
      </c>
      <c r="P273" t="inlineStr">
        <is>
          <t xml:space="preserve">62409   </t>
        </is>
      </c>
      <c r="Q273" s="26" t="n">
        <v>34.9</v>
      </c>
      <c r="R273" s="26">
        <f>Q273*G273</f>
        <v/>
      </c>
      <c r="S273" t="n">
        <v>20.7</v>
      </c>
      <c r="T273" s="18">
        <f>1 - V273/S273</f>
        <v/>
      </c>
      <c r="U273" s="18" t="n">
        <v>0</v>
      </c>
      <c r="V273" s="26" t="n">
        <v>20.7</v>
      </c>
      <c r="W273" s="26">
        <f>V273 - L273</f>
        <v/>
      </c>
    </row>
    <row r="274">
      <c r="A274" s="11" t="n">
        <v>46207</v>
      </c>
      <c r="B274" s="1" t="n">
        <v>20025</v>
      </c>
      <c r="C274" s="1" t="inlineStr">
        <is>
          <t>076</t>
        </is>
      </c>
      <c r="D274" s="1" t="inlineStr">
        <is>
          <t>146848</t>
        </is>
      </c>
      <c r="E274" s="1" t="inlineStr">
        <is>
          <t xml:space="preserve">33483120       </t>
        </is>
      </c>
      <c r="F274" s="5" t="inlineStr">
        <is>
          <t>HOT WHEELS 2 EN 1 AUTO DE CARRERAS + GUARDA AUTOS</t>
        </is>
      </c>
      <c r="G274" t="n">
        <v>1</v>
      </c>
      <c r="H274" s="7" t="n">
        <v>79.90000000000001</v>
      </c>
      <c r="I274" s="7" t="n">
        <v>0</v>
      </c>
      <c r="J274" s="7" t="n">
        <v>0</v>
      </c>
      <c r="K274" s="9" t="n">
        <v>0</v>
      </c>
      <c r="L274" s="10" t="n">
        <v>47.4</v>
      </c>
      <c r="M274" s="10" t="n">
        <v>1.43</v>
      </c>
      <c r="N274" t="inlineStr">
        <is>
          <t>1</t>
        </is>
      </c>
      <c r="O274" t="inlineStr">
        <is>
          <t>16</t>
        </is>
      </c>
      <c r="P274" t="inlineStr">
        <is>
          <t xml:space="preserve">62409   </t>
        </is>
      </c>
      <c r="Q274" s="26" t="n">
        <v>79.90000000000001</v>
      </c>
      <c r="R274" s="26">
        <f>Q274*G274</f>
        <v/>
      </c>
      <c r="S274" t="n">
        <v>47.4</v>
      </c>
      <c r="T274" s="18">
        <f>1 - V274/S274</f>
        <v/>
      </c>
      <c r="U274" s="18" t="n">
        <v>0</v>
      </c>
      <c r="V274" s="26" t="n">
        <v>47.4</v>
      </c>
      <c r="W274" s="26">
        <f>V274 - L274</f>
        <v/>
      </c>
    </row>
    <row r="275">
      <c r="A275" s="11" t="n">
        <v>46207</v>
      </c>
      <c r="B275" s="1" t="n">
        <v>20025</v>
      </c>
      <c r="C275" s="1" t="inlineStr">
        <is>
          <t>081</t>
        </is>
      </c>
      <c r="D275" s="1" t="inlineStr">
        <is>
          <t>265665</t>
        </is>
      </c>
      <c r="E275" s="1" t="inlineStr">
        <is>
          <t xml:space="preserve">35685067       </t>
        </is>
      </c>
      <c r="F275" s="5" t="inlineStr">
        <is>
          <t>HOT WHEELS POWER SET 3 EN 1</t>
        </is>
      </c>
      <c r="G275" t="n">
        <v>1</v>
      </c>
      <c r="H275" s="7" t="n">
        <v>49.9</v>
      </c>
      <c r="I275" s="7" t="n">
        <v>0</v>
      </c>
      <c r="J275" s="7" t="n">
        <v>0</v>
      </c>
      <c r="K275" s="9" t="n">
        <v>0</v>
      </c>
      <c r="L275" s="10" t="n">
        <v>29.6</v>
      </c>
      <c r="M275" s="10" t="n">
        <v>1.43</v>
      </c>
      <c r="N275" t="inlineStr">
        <is>
          <t>1</t>
        </is>
      </c>
      <c r="O275" t="inlineStr">
        <is>
          <t xml:space="preserve">2 </t>
        </is>
      </c>
      <c r="P275" t="inlineStr">
        <is>
          <t xml:space="preserve">22848   </t>
        </is>
      </c>
      <c r="Q275" s="26" t="n">
        <v>49.9</v>
      </c>
      <c r="R275" s="26">
        <f>Q275*G275</f>
        <v/>
      </c>
      <c r="S275" t="n">
        <v>29.6</v>
      </c>
      <c r="T275" s="18">
        <f>1 - V275/S275</f>
        <v/>
      </c>
      <c r="U275" s="18" t="n">
        <v>0</v>
      </c>
      <c r="V275" s="26" t="n">
        <v>29.6</v>
      </c>
      <c r="W275" s="26">
        <f>V275 - L275</f>
        <v/>
      </c>
    </row>
    <row r="276">
      <c r="A276" s="11" t="n">
        <v>46207</v>
      </c>
      <c r="B276" s="1" t="n">
        <v>20028</v>
      </c>
      <c r="C276" s="1" t="inlineStr">
        <is>
          <t>021</t>
        </is>
      </c>
      <c r="D276" s="1" t="inlineStr">
        <is>
          <t>185609</t>
        </is>
      </c>
      <c r="E276" s="1" t="inlineStr">
        <is>
          <t xml:space="preserve">32457099       </t>
        </is>
      </c>
      <c r="F276" s="5" t="inlineStr">
        <is>
          <t>TMZ BEAST MACHINES MONSTER JAWS A FRICCION BLISTER</t>
        </is>
      </c>
      <c r="G276" t="n">
        <v>1</v>
      </c>
      <c r="H276" s="7" t="n">
        <v>19.9</v>
      </c>
      <c r="I276" s="7" t="n">
        <v>0</v>
      </c>
      <c r="J276" s="7" t="n">
        <v>0</v>
      </c>
      <c r="K276" s="9" t="n">
        <v>0</v>
      </c>
      <c r="L276" s="10" t="n">
        <v>11.8</v>
      </c>
      <c r="M276" s="10" t="n">
        <v>1.43</v>
      </c>
      <c r="N276" t="inlineStr">
        <is>
          <t>1</t>
        </is>
      </c>
      <c r="O276" t="inlineStr">
        <is>
          <t>16</t>
        </is>
      </c>
      <c r="P276" t="inlineStr">
        <is>
          <t xml:space="preserve">23685   </t>
        </is>
      </c>
      <c r="Q276" s="26" t="n">
        <v>19.9</v>
      </c>
      <c r="R276" s="26">
        <f>Q276*G276</f>
        <v/>
      </c>
      <c r="S276" t="n">
        <v>11.81</v>
      </c>
      <c r="T276" s="18">
        <f>1 - V276/S276</f>
        <v/>
      </c>
      <c r="U276" s="18" t="n">
        <v>0.1005025125628141</v>
      </c>
      <c r="V276" s="26" t="n">
        <v>8.417118644067797</v>
      </c>
      <c r="W276" s="26">
        <f>V276 - L276</f>
        <v/>
      </c>
    </row>
    <row r="277">
      <c r="A277" s="11" t="n">
        <v>46207</v>
      </c>
      <c r="B277" s="1" t="n">
        <v>20028</v>
      </c>
      <c r="C277" s="1" t="inlineStr">
        <is>
          <t>021</t>
        </is>
      </c>
      <c r="D277" s="1" t="inlineStr">
        <is>
          <t>185633</t>
        </is>
      </c>
      <c r="E277" s="1" t="inlineStr">
        <is>
          <t xml:space="preserve">32457099       </t>
        </is>
      </c>
      <c r="F277" s="5" t="inlineStr">
        <is>
          <t>TMZ BEAST MACHINES MONSTER JAWS A FRICCION BLISTER</t>
        </is>
      </c>
      <c r="G277" t="n">
        <v>1</v>
      </c>
      <c r="H277" s="7" t="n">
        <v>19.9</v>
      </c>
      <c r="I277" s="7" t="n">
        <v>0</v>
      </c>
      <c r="J277" s="7" t="n">
        <v>0</v>
      </c>
      <c r="K277" s="9" t="n">
        <v>0</v>
      </c>
      <c r="L277" s="10" t="n">
        <v>11.8</v>
      </c>
      <c r="M277" s="10" t="n">
        <v>1.43</v>
      </c>
      <c r="N277" t="inlineStr">
        <is>
          <t>1</t>
        </is>
      </c>
      <c r="O277" t="inlineStr">
        <is>
          <t xml:space="preserve">2 </t>
        </is>
      </c>
      <c r="P277" t="inlineStr">
        <is>
          <t xml:space="preserve">23685   </t>
        </is>
      </c>
      <c r="Q277" s="26" t="n">
        <v>19.9</v>
      </c>
      <c r="R277" s="26">
        <f>Q277*G277</f>
        <v/>
      </c>
      <c r="S277" t="n">
        <v>11.81</v>
      </c>
      <c r="T277" s="18">
        <f>1 - V277/S277</f>
        <v/>
      </c>
      <c r="U277" s="18" t="n">
        <v>0.1005025125628141</v>
      </c>
      <c r="V277" s="26" t="n">
        <v>8.417118644067797</v>
      </c>
      <c r="W277" s="26">
        <f>V277 - L277</f>
        <v/>
      </c>
    </row>
    <row r="278">
      <c r="A278" s="11" t="n">
        <v>46207</v>
      </c>
      <c r="B278" s="1" t="n">
        <v>20028</v>
      </c>
      <c r="C278" s="1" t="inlineStr">
        <is>
          <t>021</t>
        </is>
      </c>
      <c r="D278" s="1" t="inlineStr">
        <is>
          <t>185633</t>
        </is>
      </c>
      <c r="E278" s="1" t="inlineStr">
        <is>
          <t xml:space="preserve">32457099       </t>
        </is>
      </c>
      <c r="F278" s="5" t="inlineStr">
        <is>
          <t>TMZ BEAST MACHINES MONSTER JAWS A FRICCION BLISTER</t>
        </is>
      </c>
      <c r="G278" t="n">
        <v>1</v>
      </c>
      <c r="H278" s="7" t="n">
        <v>19.9</v>
      </c>
      <c r="I278" s="7" t="n">
        <v>0</v>
      </c>
      <c r="J278" s="7" t="n">
        <v>0</v>
      </c>
      <c r="K278" s="9" t="n">
        <v>0</v>
      </c>
      <c r="L278" s="10" t="n">
        <v>11.8</v>
      </c>
      <c r="M278" s="10" t="n">
        <v>1.43</v>
      </c>
      <c r="N278" t="inlineStr">
        <is>
          <t>1</t>
        </is>
      </c>
      <c r="O278" t="inlineStr">
        <is>
          <t xml:space="preserve">2 </t>
        </is>
      </c>
      <c r="P278" t="inlineStr">
        <is>
          <t xml:space="preserve">23685   </t>
        </is>
      </c>
      <c r="Q278" s="26" t="n">
        <v>19.9</v>
      </c>
      <c r="R278" s="26">
        <f>Q278*G278</f>
        <v/>
      </c>
      <c r="S278" t="n">
        <v>11.81</v>
      </c>
      <c r="T278" s="18">
        <f>1 - V278/S278</f>
        <v/>
      </c>
      <c r="U278" s="18" t="n">
        <v>0.1005025125628141</v>
      </c>
      <c r="V278" s="26" t="n">
        <v>8.417118644067797</v>
      </c>
      <c r="W278" s="26">
        <f>V278 - L278</f>
        <v/>
      </c>
    </row>
    <row r="279">
      <c r="A279" s="11" t="n">
        <v>46207</v>
      </c>
      <c r="B279" s="1" t="n">
        <v>20028</v>
      </c>
      <c r="C279" s="1" t="inlineStr">
        <is>
          <t>021</t>
        </is>
      </c>
      <c r="D279" s="1" t="inlineStr">
        <is>
          <t>185648</t>
        </is>
      </c>
      <c r="E279" s="1" t="inlineStr">
        <is>
          <t xml:space="preserve">28194770       </t>
        </is>
      </c>
      <c r="F279" s="5" t="inlineStr">
        <is>
          <t>AUTOS DE METAL 3 TEAMSTERZ EN BLISTER</t>
        </is>
      </c>
      <c r="G279" t="n">
        <v>1</v>
      </c>
      <c r="H279" s="7" t="n">
        <v>6.9</v>
      </c>
      <c r="I279" s="7" t="n">
        <v>0</v>
      </c>
      <c r="J279" s="7" t="n">
        <v>0</v>
      </c>
      <c r="K279" s="9" t="n">
        <v>0</v>
      </c>
      <c r="L279" s="10" t="n">
        <v>4.1</v>
      </c>
      <c r="M279" s="10" t="n">
        <v>1.43</v>
      </c>
      <c r="N279" t="inlineStr">
        <is>
          <t>1</t>
        </is>
      </c>
      <c r="O279" t="inlineStr">
        <is>
          <t xml:space="preserve">2 </t>
        </is>
      </c>
      <c r="P279" t="inlineStr">
        <is>
          <t xml:space="preserve">23685   </t>
        </is>
      </c>
      <c r="Q279" s="26" t="n">
        <v>6.9</v>
      </c>
      <c r="R279" s="26">
        <f>Q279*G279</f>
        <v/>
      </c>
      <c r="S279" t="n">
        <v>4.09</v>
      </c>
      <c r="T279" s="18">
        <f>1 - V279/S279</f>
        <v/>
      </c>
      <c r="U279" s="18" t="n">
        <v>0</v>
      </c>
      <c r="V279" s="26" t="n">
        <v>4.09</v>
      </c>
      <c r="W279" s="26">
        <f>V279 - L279</f>
        <v/>
      </c>
    </row>
    <row r="280">
      <c r="A280" s="11" t="n">
        <v>46207</v>
      </c>
      <c r="B280" s="1" t="n">
        <v>20030</v>
      </c>
      <c r="C280" s="1" t="inlineStr">
        <is>
          <t>021</t>
        </is>
      </c>
      <c r="D280" s="1" t="inlineStr">
        <is>
          <t xml:space="preserve">2785  </t>
        </is>
      </c>
      <c r="E280" s="1" t="inlineStr">
        <is>
          <t xml:space="preserve">29854052       </t>
        </is>
      </c>
      <c r="F280" s="5" t="inlineStr">
        <is>
          <t>PLAYSET CAMBIA DE COLOR CROC BITE</t>
        </is>
      </c>
      <c r="G280" t="n">
        <v>1</v>
      </c>
      <c r="H280" s="7" t="n">
        <v>79.90000000000001</v>
      </c>
      <c r="I280" s="7" t="n">
        <v>0</v>
      </c>
      <c r="J280" s="7" t="n">
        <v>0</v>
      </c>
      <c r="K280" s="9" t="n">
        <v>0</v>
      </c>
      <c r="L280" s="10" t="n">
        <v>47.4</v>
      </c>
      <c r="M280" s="10" t="n">
        <v>1.43</v>
      </c>
      <c r="N280" t="inlineStr">
        <is>
          <t>1</t>
        </is>
      </c>
      <c r="O280" t="inlineStr">
        <is>
          <t>16</t>
        </is>
      </c>
      <c r="P280" t="inlineStr">
        <is>
          <t xml:space="preserve">50936   </t>
        </is>
      </c>
      <c r="Q280" s="26" t="n">
        <v>79.90000000000001</v>
      </c>
      <c r="R280" s="26">
        <f>Q280*G280</f>
        <v/>
      </c>
      <c r="S280" t="n">
        <v>47.4</v>
      </c>
      <c r="T280" s="18">
        <f>1 - V280/S280</f>
        <v/>
      </c>
      <c r="U280" s="18" t="n">
        <v>0</v>
      </c>
      <c r="V280" s="26" t="n">
        <v>47.4</v>
      </c>
      <c r="W280" s="26">
        <f>V280 - L280</f>
        <v/>
      </c>
    </row>
    <row r="281">
      <c r="A281" s="11" t="n">
        <v>46207</v>
      </c>
      <c r="B281" s="1" t="n">
        <v>20030</v>
      </c>
      <c r="C281" s="1" t="inlineStr">
        <is>
          <t>067</t>
        </is>
      </c>
      <c r="D281" s="1" t="inlineStr">
        <is>
          <t>273264</t>
        </is>
      </c>
      <c r="E281" s="1" t="inlineStr">
        <is>
          <t xml:space="preserve">28194770       </t>
        </is>
      </c>
      <c r="F281" s="5" t="inlineStr">
        <is>
          <t>AUTOS DE METAL 3 TEAMSTERZ EN BLISTER</t>
        </is>
      </c>
      <c r="G281" t="n">
        <v>1</v>
      </c>
      <c r="H281" s="7" t="n">
        <v>6.9</v>
      </c>
      <c r="I281" s="7" t="n">
        <v>0</v>
      </c>
      <c r="J281" s="7" t="n">
        <v>0</v>
      </c>
      <c r="K281" s="9" t="n">
        <v>0</v>
      </c>
      <c r="L281" s="10" t="n">
        <v>4.1</v>
      </c>
      <c r="M281" s="10" t="n">
        <v>1.43</v>
      </c>
      <c r="N281" t="inlineStr">
        <is>
          <t>1</t>
        </is>
      </c>
      <c r="O281" t="inlineStr">
        <is>
          <t xml:space="preserve">2 </t>
        </is>
      </c>
      <c r="P281" t="inlineStr">
        <is>
          <t xml:space="preserve">44915   </t>
        </is>
      </c>
      <c r="Q281" s="26" t="n">
        <v>6.9</v>
      </c>
      <c r="R281" s="26">
        <f>Q281*G281</f>
        <v/>
      </c>
      <c r="S281" t="n">
        <v>4.09</v>
      </c>
      <c r="T281" s="18">
        <f>1 - V281/S281</f>
        <v/>
      </c>
      <c r="U281" s="18" t="n">
        <v>0</v>
      </c>
      <c r="V281" s="26" t="n">
        <v>4.09</v>
      </c>
      <c r="W281" s="26">
        <f>V281 - L281</f>
        <v/>
      </c>
    </row>
    <row r="282">
      <c r="A282" s="11" t="n">
        <v>46207</v>
      </c>
      <c r="B282" s="1" t="n">
        <v>20030</v>
      </c>
      <c r="C282" s="1" t="inlineStr">
        <is>
          <t>067</t>
        </is>
      </c>
      <c r="D282" s="1" t="inlineStr">
        <is>
          <t>273304</t>
        </is>
      </c>
      <c r="E282" s="1" t="inlineStr">
        <is>
          <t xml:space="preserve">28194770       </t>
        </is>
      </c>
      <c r="F282" s="5" t="inlineStr">
        <is>
          <t>AUTOS DE METAL 3 TEAMSTERZ EN BLISTER</t>
        </is>
      </c>
      <c r="G282" t="n">
        <v>5</v>
      </c>
      <c r="H282" s="7" t="n">
        <v>34.5</v>
      </c>
      <c r="I282" s="7" t="n">
        <v>0</v>
      </c>
      <c r="J282" s="7" t="n">
        <v>0</v>
      </c>
      <c r="K282" s="9" t="n">
        <v>0</v>
      </c>
      <c r="L282" s="10" t="n">
        <v>20.45</v>
      </c>
      <c r="M282" s="10" t="n">
        <v>1.43</v>
      </c>
      <c r="N282" t="inlineStr">
        <is>
          <t>1</t>
        </is>
      </c>
      <c r="O282" t="inlineStr">
        <is>
          <t xml:space="preserve">3 </t>
        </is>
      </c>
      <c r="P282" t="inlineStr">
        <is>
          <t xml:space="preserve">44915   </t>
        </is>
      </c>
      <c r="Q282" s="26" t="n">
        <v>6.9</v>
      </c>
      <c r="R282" s="26">
        <f>Q282*G282</f>
        <v/>
      </c>
      <c r="S282" t="n">
        <v>20.45</v>
      </c>
      <c r="T282" s="18">
        <f>1 - V282/S282</f>
        <v/>
      </c>
      <c r="U282" s="18" t="n">
        <v>0</v>
      </c>
      <c r="V282" s="26" t="n">
        <v>20.45</v>
      </c>
      <c r="W282" s="26">
        <f>V282 - L282</f>
        <v/>
      </c>
    </row>
    <row r="283">
      <c r="A283" s="11" t="n">
        <v>46207</v>
      </c>
      <c r="B283" s="1" t="n">
        <v>20030</v>
      </c>
      <c r="C283" s="1" t="inlineStr">
        <is>
          <t>077</t>
        </is>
      </c>
      <c r="D283" s="1" t="inlineStr">
        <is>
          <t>231751</t>
        </is>
      </c>
      <c r="E283" s="1" t="inlineStr">
        <is>
          <t xml:space="preserve">33661538       </t>
        </is>
      </c>
      <c r="F283" s="5" t="inlineStr">
        <is>
          <t>HOT WHEELS CASE GARAGE RUEDA METAL EN LLAMAS X 29</t>
        </is>
      </c>
      <c r="G283" t="n">
        <v>1</v>
      </c>
      <c r="H283" s="7" t="n">
        <v>69.90000000000001</v>
      </c>
      <c r="I283" s="7" t="n">
        <v>0</v>
      </c>
      <c r="J283" s="7" t="n">
        <v>0</v>
      </c>
      <c r="K283" s="9" t="n">
        <v>0</v>
      </c>
      <c r="L283" s="10" t="n">
        <v>41.47</v>
      </c>
      <c r="M283" s="10" t="n">
        <v>1.43</v>
      </c>
      <c r="N283" t="inlineStr">
        <is>
          <t>1</t>
        </is>
      </c>
      <c r="O283" t="inlineStr">
        <is>
          <t>16</t>
        </is>
      </c>
      <c r="P283" t="inlineStr">
        <is>
          <t xml:space="preserve">22672   </t>
        </is>
      </c>
      <c r="Q283" s="26" t="n">
        <v>69.90000000000001</v>
      </c>
      <c r="R283" s="26">
        <f>Q283*G283</f>
        <v/>
      </c>
      <c r="S283" t="n">
        <v>41.47</v>
      </c>
      <c r="T283" s="18">
        <f>1 - V283/S283</f>
        <v/>
      </c>
      <c r="U283" s="18" t="n">
        <v>0</v>
      </c>
      <c r="V283" s="26" t="n">
        <v>41.47</v>
      </c>
      <c r="W283" s="26">
        <f>V283 - L283</f>
        <v/>
      </c>
    </row>
    <row r="284">
      <c r="A284" s="11" t="n">
        <v>46207</v>
      </c>
      <c r="B284" s="1" t="n">
        <v>20030</v>
      </c>
      <c r="C284" s="1" t="inlineStr">
        <is>
          <t>077</t>
        </is>
      </c>
      <c r="D284" s="1" t="inlineStr">
        <is>
          <t>231775</t>
        </is>
      </c>
      <c r="E284" s="1" t="inlineStr">
        <is>
          <t xml:space="preserve">28194770       </t>
        </is>
      </c>
      <c r="F284" s="5" t="inlineStr">
        <is>
          <t>AUTOS DE METAL 3 TEAMSTERZ EN BLISTER</t>
        </is>
      </c>
      <c r="G284" t="n">
        <v>1</v>
      </c>
      <c r="H284" s="7" t="n">
        <v>6.9</v>
      </c>
      <c r="I284" s="7" t="n">
        <v>0</v>
      </c>
      <c r="J284" s="7" t="n">
        <v>0</v>
      </c>
      <c r="K284" s="9" t="n">
        <v>0</v>
      </c>
      <c r="L284" s="10" t="n">
        <v>4.1</v>
      </c>
      <c r="M284" s="10" t="n">
        <v>1.43</v>
      </c>
      <c r="N284" t="inlineStr">
        <is>
          <t>1</t>
        </is>
      </c>
      <c r="O284" t="inlineStr">
        <is>
          <t>16</t>
        </is>
      </c>
      <c r="P284" t="inlineStr">
        <is>
          <t xml:space="preserve">22672   </t>
        </is>
      </c>
      <c r="Q284" s="26" t="n">
        <v>6.9</v>
      </c>
      <c r="R284" s="26">
        <f>Q284*G284</f>
        <v/>
      </c>
      <c r="S284" t="n">
        <v>4.09</v>
      </c>
      <c r="T284" s="18">
        <f>1 - V284/S284</f>
        <v/>
      </c>
      <c r="U284" s="18" t="n">
        <v>0</v>
      </c>
      <c r="V284" s="26" t="n">
        <v>4.09</v>
      </c>
      <c r="W284" s="26">
        <f>V284 - L284</f>
        <v/>
      </c>
    </row>
    <row r="285">
      <c r="A285" s="11" t="n">
        <v>46207</v>
      </c>
      <c r="B285" s="1" t="n">
        <v>20030</v>
      </c>
      <c r="C285" s="1" t="inlineStr">
        <is>
          <t>077</t>
        </is>
      </c>
      <c r="D285" s="1" t="inlineStr">
        <is>
          <t>231799</t>
        </is>
      </c>
      <c r="E285" s="1" t="inlineStr">
        <is>
          <t xml:space="preserve">28194770       </t>
        </is>
      </c>
      <c r="F285" s="5" t="inlineStr">
        <is>
          <t>AUTOS DE METAL 3 TEAMSTERZ EN BLISTER</t>
        </is>
      </c>
      <c r="G285" t="n">
        <v>1</v>
      </c>
      <c r="H285" s="7" t="n">
        <v>6.9</v>
      </c>
      <c r="I285" s="7" t="n">
        <v>0</v>
      </c>
      <c r="J285" s="7" t="n">
        <v>0</v>
      </c>
      <c r="K285" s="9" t="n">
        <v>0</v>
      </c>
      <c r="L285" s="10" t="n">
        <v>4.1</v>
      </c>
      <c r="M285" s="10" t="n">
        <v>1.43</v>
      </c>
      <c r="N285" t="inlineStr">
        <is>
          <t>1</t>
        </is>
      </c>
      <c r="O285" t="inlineStr">
        <is>
          <t>16</t>
        </is>
      </c>
      <c r="P285" t="inlineStr">
        <is>
          <t xml:space="preserve">22672   </t>
        </is>
      </c>
      <c r="Q285" s="26" t="n">
        <v>6.9</v>
      </c>
      <c r="R285" s="26">
        <f>Q285*G285</f>
        <v/>
      </c>
      <c r="S285" t="n">
        <v>4.09</v>
      </c>
      <c r="T285" s="18">
        <f>1 - V285/S285</f>
        <v/>
      </c>
      <c r="U285" s="18" t="n">
        <v>0</v>
      </c>
      <c r="V285" s="26" t="n">
        <v>4.09</v>
      </c>
      <c r="W285" s="26">
        <f>V285 - L285</f>
        <v/>
      </c>
    </row>
    <row r="286">
      <c r="A286" s="11" t="n">
        <v>46207</v>
      </c>
      <c r="B286" s="1" t="n">
        <v>20040</v>
      </c>
      <c r="C286" s="1" t="inlineStr">
        <is>
          <t>072</t>
        </is>
      </c>
      <c r="D286" s="1" t="inlineStr">
        <is>
          <t>251006</t>
        </is>
      </c>
      <c r="E286" s="1" t="inlineStr">
        <is>
          <t xml:space="preserve">28194769       </t>
        </is>
      </c>
      <c r="F286" s="5" t="inlineStr">
        <is>
          <t>AUTOS DE METAL 3 TEAMSTERZ PACK DE 2</t>
        </is>
      </c>
      <c r="G286" t="n">
        <v>1</v>
      </c>
      <c r="H286" s="7" t="n">
        <v>13.8</v>
      </c>
      <c r="I286" s="7" t="n">
        <v>0</v>
      </c>
      <c r="J286" s="7" t="n">
        <v>0</v>
      </c>
      <c r="K286" s="9" t="n">
        <v>0</v>
      </c>
      <c r="L286" s="10" t="n">
        <v>8.18</v>
      </c>
      <c r="M286" s="10" t="n">
        <v>1.43</v>
      </c>
      <c r="N286" t="inlineStr">
        <is>
          <t>1</t>
        </is>
      </c>
      <c r="O286" t="inlineStr">
        <is>
          <t xml:space="preserve">6 </t>
        </is>
      </c>
      <c r="P286" t="inlineStr">
        <is>
          <t xml:space="preserve">250193  </t>
        </is>
      </c>
      <c r="Q286" s="26" t="n">
        <v>13.8</v>
      </c>
      <c r="R286" s="26">
        <f>Q286*G286</f>
        <v/>
      </c>
      <c r="S286" t="n">
        <v>8.19</v>
      </c>
      <c r="T286" s="18">
        <f>1 - V286/S286</f>
        <v/>
      </c>
      <c r="U286" s="18" t="n">
        <v>0</v>
      </c>
      <c r="V286" s="26" t="n">
        <v>8.19</v>
      </c>
      <c r="W286" s="26">
        <f>V286 - L286</f>
        <v/>
      </c>
    </row>
    <row r="287">
      <c r="A287" s="11" t="n">
        <v>46207</v>
      </c>
      <c r="B287" s="1" t="n">
        <v>20040</v>
      </c>
      <c r="C287" s="1" t="inlineStr">
        <is>
          <t>072</t>
        </is>
      </c>
      <c r="D287" s="1" t="inlineStr">
        <is>
          <t>251006</t>
        </is>
      </c>
      <c r="E287" s="1" t="inlineStr">
        <is>
          <t xml:space="preserve">28194769       </t>
        </is>
      </c>
      <c r="F287" s="5" t="inlineStr">
        <is>
          <t>AUTOS DE METAL 3 TEAMSTERZ PACK DE 2</t>
        </is>
      </c>
      <c r="G287" t="n">
        <v>1</v>
      </c>
      <c r="H287" s="7" t="n">
        <v>13.8</v>
      </c>
      <c r="I287" s="7" t="n">
        <v>0</v>
      </c>
      <c r="J287" s="7" t="n">
        <v>0</v>
      </c>
      <c r="K287" s="9" t="n">
        <v>0</v>
      </c>
      <c r="L287" s="10" t="n">
        <v>8.18</v>
      </c>
      <c r="M287" s="10" t="n">
        <v>1.43</v>
      </c>
      <c r="N287" t="inlineStr">
        <is>
          <t>1</t>
        </is>
      </c>
      <c r="O287" t="inlineStr">
        <is>
          <t xml:space="preserve">6 </t>
        </is>
      </c>
      <c r="P287" t="inlineStr">
        <is>
          <t xml:space="preserve">250193  </t>
        </is>
      </c>
      <c r="Q287" s="26" t="n">
        <v>13.8</v>
      </c>
      <c r="R287" s="26">
        <f>Q287*G287</f>
        <v/>
      </c>
      <c r="S287" t="n">
        <v>8.19</v>
      </c>
      <c r="T287" s="18">
        <f>1 - V287/S287</f>
        <v/>
      </c>
      <c r="U287" s="18" t="n">
        <v>0</v>
      </c>
      <c r="V287" s="26" t="n">
        <v>8.19</v>
      </c>
      <c r="W287" s="26">
        <f>V287 - L287</f>
        <v/>
      </c>
    </row>
    <row r="288">
      <c r="A288" s="11" t="n">
        <v>46207</v>
      </c>
      <c r="B288" s="1" t="n">
        <v>20040</v>
      </c>
      <c r="C288" s="1" t="inlineStr">
        <is>
          <t>073</t>
        </is>
      </c>
      <c r="D288" s="1" t="inlineStr">
        <is>
          <t>254070</t>
        </is>
      </c>
      <c r="E288" s="1" t="inlineStr">
        <is>
          <t xml:space="preserve">29854052       </t>
        </is>
      </c>
      <c r="F288" s="5" t="inlineStr">
        <is>
          <t>PLAYSET CAMBIA DE COLOR CROC BITE</t>
        </is>
      </c>
      <c r="G288" t="n">
        <v>1</v>
      </c>
      <c r="H288" s="7" t="n">
        <v>79.90000000000001</v>
      </c>
      <c r="I288" s="7" t="n">
        <v>0</v>
      </c>
      <c r="J288" s="7" t="n">
        <v>0</v>
      </c>
      <c r="K288" s="9" t="n">
        <v>0</v>
      </c>
      <c r="L288" s="10" t="n">
        <v>47.4</v>
      </c>
      <c r="M288" s="10" t="n">
        <v>1.43</v>
      </c>
      <c r="N288" t="inlineStr">
        <is>
          <t>1</t>
        </is>
      </c>
      <c r="O288" t="inlineStr">
        <is>
          <t xml:space="preserve">2 </t>
        </is>
      </c>
      <c r="P288" t="inlineStr">
        <is>
          <t xml:space="preserve">250040  </t>
        </is>
      </c>
      <c r="Q288" s="26" t="n">
        <v>79.90000000000001</v>
      </c>
      <c r="R288" s="26">
        <f>Q288*G288</f>
        <v/>
      </c>
      <c r="S288" t="n">
        <v>47.4</v>
      </c>
      <c r="T288" s="18">
        <f>1 - V288/S288</f>
        <v/>
      </c>
      <c r="U288" s="18" t="n">
        <v>0</v>
      </c>
      <c r="V288" s="26" t="n">
        <v>47.4</v>
      </c>
      <c r="W288" s="26">
        <f>V288 - L288</f>
        <v/>
      </c>
    </row>
    <row r="289">
      <c r="A289" s="11" t="n">
        <v>46207</v>
      </c>
      <c r="B289" s="1" t="n">
        <v>20041</v>
      </c>
      <c r="C289" s="1" t="inlineStr">
        <is>
          <t>016</t>
        </is>
      </c>
      <c r="D289" s="1" t="inlineStr">
        <is>
          <t>214706</t>
        </is>
      </c>
      <c r="E289" s="1" t="inlineStr">
        <is>
          <t xml:space="preserve">28194770       </t>
        </is>
      </c>
      <c r="F289" s="5" t="inlineStr">
        <is>
          <t>AUTOS DE METAL 3 TEAMSTERZ EN BLISTER</t>
        </is>
      </c>
      <c r="G289" t="n">
        <v>1</v>
      </c>
      <c r="H289" s="7" t="n">
        <v>6.9</v>
      </c>
      <c r="I289" s="7" t="n">
        <v>0</v>
      </c>
      <c r="J289" s="7" t="n">
        <v>0</v>
      </c>
      <c r="K289" s="9" t="n">
        <v>0</v>
      </c>
      <c r="L289" s="10" t="n">
        <v>4.1</v>
      </c>
      <c r="M289" s="10" t="n">
        <v>1.43</v>
      </c>
      <c r="N289" t="inlineStr">
        <is>
          <t>1</t>
        </is>
      </c>
      <c r="O289" t="inlineStr">
        <is>
          <t xml:space="preserve">2 </t>
        </is>
      </c>
      <c r="P289" t="inlineStr">
        <is>
          <t xml:space="preserve">49695   </t>
        </is>
      </c>
      <c r="Q289" s="26" t="n">
        <v>6.9</v>
      </c>
      <c r="R289" s="26">
        <f>Q289*G289</f>
        <v/>
      </c>
      <c r="S289" t="n">
        <v>4.09</v>
      </c>
      <c r="T289" s="18">
        <f>1 - V289/S289</f>
        <v/>
      </c>
      <c r="U289" s="18" t="n">
        <v>0</v>
      </c>
      <c r="V289" s="26" t="n">
        <v>4.09</v>
      </c>
      <c r="W289" s="26">
        <f>V289 - L289</f>
        <v/>
      </c>
    </row>
    <row r="290">
      <c r="A290" s="11" t="n">
        <v>46207</v>
      </c>
      <c r="B290" s="1" t="n">
        <v>20041</v>
      </c>
      <c r="C290" s="1" t="inlineStr">
        <is>
          <t>018</t>
        </is>
      </c>
      <c r="D290" s="1" t="inlineStr">
        <is>
          <t xml:space="preserve">55278 </t>
        </is>
      </c>
      <c r="E290" s="1" t="inlineStr">
        <is>
          <t xml:space="preserve">28194770       </t>
        </is>
      </c>
      <c r="F290" s="5" t="inlineStr">
        <is>
          <t>AUTOS DE METAL 3 TEAMSTERZ EN BLISTER</t>
        </is>
      </c>
      <c r="G290" t="n">
        <v>1</v>
      </c>
      <c r="H290" s="7" t="n">
        <v>6.9</v>
      </c>
      <c r="I290" s="7" t="n">
        <v>0</v>
      </c>
      <c r="J290" s="7" t="n">
        <v>0</v>
      </c>
      <c r="K290" s="9" t="n">
        <v>0</v>
      </c>
      <c r="L290" s="10" t="n">
        <v>4.1</v>
      </c>
      <c r="M290" s="10" t="n">
        <v>1.43</v>
      </c>
      <c r="N290" t="inlineStr">
        <is>
          <t>1</t>
        </is>
      </c>
      <c r="O290" t="inlineStr">
        <is>
          <t>16</t>
        </is>
      </c>
      <c r="P290" t="inlineStr">
        <is>
          <t xml:space="preserve">36180   </t>
        </is>
      </c>
      <c r="Q290" s="26" t="n">
        <v>6.9</v>
      </c>
      <c r="R290" s="26">
        <f>Q290*G290</f>
        <v/>
      </c>
      <c r="S290" t="n">
        <v>4.09</v>
      </c>
      <c r="T290" s="18">
        <f>1 - V290/S290</f>
        <v/>
      </c>
      <c r="U290" s="18" t="n">
        <v>0</v>
      </c>
      <c r="V290" s="26" t="n">
        <v>4.09</v>
      </c>
      <c r="W290" s="26">
        <f>V290 - L290</f>
        <v/>
      </c>
    </row>
    <row r="291">
      <c r="A291" s="11" t="n">
        <v>46207</v>
      </c>
      <c r="B291" s="1" t="n">
        <v>20041</v>
      </c>
      <c r="C291" s="1" t="inlineStr">
        <is>
          <t>020</t>
        </is>
      </c>
      <c r="D291" s="1" t="inlineStr">
        <is>
          <t>365679</t>
        </is>
      </c>
      <c r="E291" s="1" t="inlineStr">
        <is>
          <t xml:space="preserve">28194766       </t>
        </is>
      </c>
      <c r="F291" s="5" t="inlineStr">
        <is>
          <t>CAMIONES TEAMSTERZ DE CIUDAD</t>
        </is>
      </c>
      <c r="G291" t="n">
        <v>1</v>
      </c>
      <c r="H291" s="7" t="n">
        <v>17.9</v>
      </c>
      <c r="I291" s="7" t="n">
        <v>0</v>
      </c>
      <c r="J291" s="7" t="n">
        <v>0</v>
      </c>
      <c r="K291" s="9" t="n">
        <v>0</v>
      </c>
      <c r="L291" s="10" t="n">
        <v>10.62</v>
      </c>
      <c r="M291" s="10" t="n">
        <v>1.43</v>
      </c>
      <c r="N291" t="inlineStr">
        <is>
          <t>1</t>
        </is>
      </c>
      <c r="O291" t="inlineStr">
        <is>
          <t>16</t>
        </is>
      </c>
      <c r="P291" t="inlineStr">
        <is>
          <t xml:space="preserve">57146   </t>
        </is>
      </c>
      <c r="Q291" s="26" t="n">
        <v>17.9</v>
      </c>
      <c r="R291" s="26">
        <f>Q291*G291</f>
        <v/>
      </c>
      <c r="S291" t="n">
        <v>10.62</v>
      </c>
      <c r="T291" s="18">
        <f>1 - V291/S291</f>
        <v/>
      </c>
      <c r="U291" s="18" t="n">
        <v>0</v>
      </c>
      <c r="V291" s="26" t="n">
        <v>10.62</v>
      </c>
      <c r="W291" s="26">
        <f>V291 - L291</f>
        <v/>
      </c>
    </row>
    <row r="292">
      <c r="A292" s="11" t="n">
        <v>46207</v>
      </c>
      <c r="B292" s="1" t="n">
        <v>20041</v>
      </c>
      <c r="C292" s="1" t="inlineStr">
        <is>
          <t>020</t>
        </is>
      </c>
      <c r="D292" s="1" t="inlineStr">
        <is>
          <t>365679</t>
        </is>
      </c>
      <c r="E292" s="1" t="inlineStr">
        <is>
          <t xml:space="preserve">28194770       </t>
        </is>
      </c>
      <c r="F292" s="5" t="inlineStr">
        <is>
          <t>AUTOS DE METAL 3 TEAMSTERZ EN BLISTER</t>
        </is>
      </c>
      <c r="G292" t="n">
        <v>1</v>
      </c>
      <c r="H292" s="7" t="n">
        <v>6.9</v>
      </c>
      <c r="I292" s="7" t="n">
        <v>0</v>
      </c>
      <c r="J292" s="7" t="n">
        <v>0</v>
      </c>
      <c r="K292" s="9" t="n">
        <v>0</v>
      </c>
      <c r="L292" s="10" t="n">
        <v>4.1</v>
      </c>
      <c r="M292" s="10" t="n">
        <v>1.43</v>
      </c>
      <c r="N292" t="inlineStr">
        <is>
          <t>1</t>
        </is>
      </c>
      <c r="O292" t="inlineStr">
        <is>
          <t>16</t>
        </is>
      </c>
      <c r="P292" t="inlineStr">
        <is>
          <t xml:space="preserve">57146   </t>
        </is>
      </c>
      <c r="Q292" s="26" t="n">
        <v>6.9</v>
      </c>
      <c r="R292" s="26">
        <f>Q292*G292</f>
        <v/>
      </c>
      <c r="S292" t="n">
        <v>4.09</v>
      </c>
      <c r="T292" s="18">
        <f>1 - V292/S292</f>
        <v/>
      </c>
      <c r="U292" s="18" t="n">
        <v>0</v>
      </c>
      <c r="V292" s="26" t="n">
        <v>4.09</v>
      </c>
      <c r="W292" s="26">
        <f>V292 - L292</f>
        <v/>
      </c>
    </row>
    <row r="293">
      <c r="A293" s="11" t="n">
        <v>46207</v>
      </c>
      <c r="B293" s="1" t="n">
        <v>20041</v>
      </c>
      <c r="C293" s="1" t="inlineStr">
        <is>
          <t>037</t>
        </is>
      </c>
      <c r="D293" s="1" t="inlineStr">
        <is>
          <t>188971</t>
        </is>
      </c>
      <c r="E293" s="1" t="inlineStr">
        <is>
          <t xml:space="preserve">28194769       </t>
        </is>
      </c>
      <c r="F293" s="5" t="inlineStr">
        <is>
          <t>AUTOS DE METAL 3 TEAMSTERZ PACK DE 2</t>
        </is>
      </c>
      <c r="G293" t="n">
        <v>1</v>
      </c>
      <c r="H293" s="7" t="n">
        <v>13.8</v>
      </c>
      <c r="I293" s="7" t="n">
        <v>0</v>
      </c>
      <c r="J293" s="7" t="n">
        <v>0</v>
      </c>
      <c r="K293" s="9" t="n">
        <v>0</v>
      </c>
      <c r="L293" s="10" t="n">
        <v>8.18</v>
      </c>
      <c r="M293" s="10" t="n">
        <v>1.43</v>
      </c>
      <c r="N293" t="inlineStr">
        <is>
          <t>1</t>
        </is>
      </c>
      <c r="O293" t="inlineStr">
        <is>
          <t>16</t>
        </is>
      </c>
      <c r="P293" t="inlineStr">
        <is>
          <t xml:space="preserve">242748  </t>
        </is>
      </c>
      <c r="Q293" s="26" t="n">
        <v>13.8</v>
      </c>
      <c r="R293" s="26">
        <f>Q293*G293</f>
        <v/>
      </c>
      <c r="S293" t="n">
        <v>8.19</v>
      </c>
      <c r="T293" s="18">
        <f>1 - V293/S293</f>
        <v/>
      </c>
      <c r="U293" s="18" t="n">
        <v>0</v>
      </c>
      <c r="V293" s="26" t="n">
        <v>8.19</v>
      </c>
      <c r="W293" s="26">
        <f>V293 - L293</f>
        <v/>
      </c>
    </row>
    <row r="294">
      <c r="A294" s="11" t="n">
        <v>46207</v>
      </c>
      <c r="B294" s="1" t="n">
        <v>20041</v>
      </c>
      <c r="C294" s="1" t="inlineStr">
        <is>
          <t>037</t>
        </is>
      </c>
      <c r="D294" s="1" t="inlineStr">
        <is>
          <t>188971</t>
        </is>
      </c>
      <c r="E294" s="1" t="inlineStr">
        <is>
          <t xml:space="preserve">28194769       </t>
        </is>
      </c>
      <c r="F294" s="5" t="inlineStr">
        <is>
          <t>AUTOS DE METAL 3 TEAMSTERZ PACK DE 2</t>
        </is>
      </c>
      <c r="G294" t="n">
        <v>1</v>
      </c>
      <c r="H294" s="7" t="n">
        <v>13.8</v>
      </c>
      <c r="I294" s="7" t="n">
        <v>0</v>
      </c>
      <c r="J294" s="7" t="n">
        <v>0</v>
      </c>
      <c r="K294" s="9" t="n">
        <v>0</v>
      </c>
      <c r="L294" s="10" t="n">
        <v>8.18</v>
      </c>
      <c r="M294" s="10" t="n">
        <v>1.43</v>
      </c>
      <c r="N294" t="inlineStr">
        <is>
          <t>1</t>
        </is>
      </c>
      <c r="O294" t="inlineStr">
        <is>
          <t>16</t>
        </is>
      </c>
      <c r="P294" t="inlineStr">
        <is>
          <t xml:space="preserve">242748  </t>
        </is>
      </c>
      <c r="Q294" s="26" t="n">
        <v>13.8</v>
      </c>
      <c r="R294" s="26">
        <f>Q294*G294</f>
        <v/>
      </c>
      <c r="S294" t="n">
        <v>8.19</v>
      </c>
      <c r="T294" s="18">
        <f>1 - V294/S294</f>
        <v/>
      </c>
      <c r="U294" s="18" t="n">
        <v>0</v>
      </c>
      <c r="V294" s="26" t="n">
        <v>8.19</v>
      </c>
      <c r="W294" s="26">
        <f>V294 - L294</f>
        <v/>
      </c>
    </row>
    <row r="295">
      <c r="A295" s="11" t="n">
        <v>46207</v>
      </c>
      <c r="B295" s="1" t="n">
        <v>20041</v>
      </c>
      <c r="C295" s="1" t="inlineStr">
        <is>
          <t>037</t>
        </is>
      </c>
      <c r="D295" s="1" t="inlineStr">
        <is>
          <t>189018</t>
        </is>
      </c>
      <c r="E295" s="1" t="inlineStr">
        <is>
          <t xml:space="preserve">28194770       </t>
        </is>
      </c>
      <c r="F295" s="5" t="inlineStr">
        <is>
          <t>AUTOS DE METAL 3 TEAMSTERZ EN BLISTER</t>
        </is>
      </c>
      <c r="G295" t="n">
        <v>1</v>
      </c>
      <c r="H295" s="7" t="n">
        <v>6.9</v>
      </c>
      <c r="I295" s="7" t="n">
        <v>0</v>
      </c>
      <c r="J295" s="7" t="n">
        <v>0</v>
      </c>
      <c r="K295" s="9" t="n">
        <v>0</v>
      </c>
      <c r="L295" s="10" t="n">
        <v>4.1</v>
      </c>
      <c r="M295" s="10" t="n">
        <v>1.43</v>
      </c>
      <c r="N295" t="inlineStr">
        <is>
          <t>1</t>
        </is>
      </c>
      <c r="O295" t="inlineStr">
        <is>
          <t xml:space="preserve">3 </t>
        </is>
      </c>
      <c r="P295" t="inlineStr">
        <is>
          <t xml:space="preserve">242748  </t>
        </is>
      </c>
      <c r="Q295" s="26" t="n">
        <v>6.9</v>
      </c>
      <c r="R295" s="26">
        <f>Q295*G295</f>
        <v/>
      </c>
      <c r="S295" t="n">
        <v>4.09</v>
      </c>
      <c r="T295" s="18">
        <f>1 - V295/S295</f>
        <v/>
      </c>
      <c r="U295" s="18" t="n">
        <v>0</v>
      </c>
      <c r="V295" s="26" t="n">
        <v>4.09</v>
      </c>
      <c r="W295" s="26">
        <f>V295 - L295</f>
        <v/>
      </c>
    </row>
    <row r="296">
      <c r="A296" s="11" t="n">
        <v>46207</v>
      </c>
      <c r="B296" s="1" t="n">
        <v>20041</v>
      </c>
      <c r="C296" s="1" t="inlineStr">
        <is>
          <t>037</t>
        </is>
      </c>
      <c r="D296" s="1" t="inlineStr">
        <is>
          <t>189023</t>
        </is>
      </c>
      <c r="E296" s="1" t="inlineStr">
        <is>
          <t xml:space="preserve">28194770       </t>
        </is>
      </c>
      <c r="F296" s="5" t="inlineStr">
        <is>
          <t>AUTOS DE METAL 3 TEAMSTERZ EN BLISTER</t>
        </is>
      </c>
      <c r="G296" t="n">
        <v>1</v>
      </c>
      <c r="H296" s="7" t="n">
        <v>6.9</v>
      </c>
      <c r="I296" s="7" t="n">
        <v>0</v>
      </c>
      <c r="J296" s="7" t="n">
        <v>0</v>
      </c>
      <c r="K296" s="9" t="n">
        <v>0</v>
      </c>
      <c r="L296" s="10" t="n">
        <v>4.1</v>
      </c>
      <c r="M296" s="10" t="n">
        <v>1.43</v>
      </c>
      <c r="N296" t="inlineStr">
        <is>
          <t>1</t>
        </is>
      </c>
      <c r="O296" t="inlineStr">
        <is>
          <t xml:space="preserve">3 </t>
        </is>
      </c>
      <c r="P296" t="inlineStr">
        <is>
          <t xml:space="preserve">242748  </t>
        </is>
      </c>
      <c r="Q296" s="26" t="n">
        <v>6.9</v>
      </c>
      <c r="R296" s="26">
        <f>Q296*G296</f>
        <v/>
      </c>
      <c r="S296" t="n">
        <v>4.09</v>
      </c>
      <c r="T296" s="18">
        <f>1 - V296/S296</f>
        <v/>
      </c>
      <c r="U296" s="18" t="n">
        <v>0</v>
      </c>
      <c r="V296" s="26" t="n">
        <v>4.09</v>
      </c>
      <c r="W296" s="26">
        <f>V296 - L296</f>
        <v/>
      </c>
    </row>
    <row r="297">
      <c r="A297" s="11" t="n">
        <v>46207</v>
      </c>
      <c r="B297" s="1" t="n">
        <v>20041</v>
      </c>
      <c r="C297" s="1" t="inlineStr">
        <is>
          <t>037</t>
        </is>
      </c>
      <c r="D297" s="1" t="inlineStr">
        <is>
          <t>189023</t>
        </is>
      </c>
      <c r="E297" s="1" t="inlineStr">
        <is>
          <t xml:space="preserve">28194770       </t>
        </is>
      </c>
      <c r="F297" s="5" t="inlineStr">
        <is>
          <t>AUTOS DE METAL 3 TEAMSTERZ EN BLISTER</t>
        </is>
      </c>
      <c r="G297" t="n">
        <v>1</v>
      </c>
      <c r="H297" s="7" t="n">
        <v>6.9</v>
      </c>
      <c r="I297" s="7" t="n">
        <v>0</v>
      </c>
      <c r="J297" s="7" t="n">
        <v>0</v>
      </c>
      <c r="K297" s="9" t="n">
        <v>0</v>
      </c>
      <c r="L297" s="10" t="n">
        <v>4.1</v>
      </c>
      <c r="M297" s="10" t="n">
        <v>1.43</v>
      </c>
      <c r="N297" t="inlineStr">
        <is>
          <t>1</t>
        </is>
      </c>
      <c r="O297" t="inlineStr">
        <is>
          <t xml:space="preserve">3 </t>
        </is>
      </c>
      <c r="P297" t="inlineStr">
        <is>
          <t xml:space="preserve">242748  </t>
        </is>
      </c>
      <c r="Q297" s="26" t="n">
        <v>6.9</v>
      </c>
      <c r="R297" s="26">
        <f>Q297*G297</f>
        <v/>
      </c>
      <c r="S297" t="n">
        <v>4.09</v>
      </c>
      <c r="T297" s="18">
        <f>1 - V297/S297</f>
        <v/>
      </c>
      <c r="U297" s="18" t="n">
        <v>0</v>
      </c>
      <c r="V297" s="26" t="n">
        <v>4.09</v>
      </c>
      <c r="W297" s="26">
        <f>V297 - L297</f>
        <v/>
      </c>
    </row>
    <row r="298">
      <c r="A298" s="11" t="n">
        <v>46207</v>
      </c>
      <c r="B298" s="1" t="n">
        <v>20041</v>
      </c>
      <c r="C298" s="1" t="inlineStr">
        <is>
          <t>037</t>
        </is>
      </c>
      <c r="D298" s="1" t="inlineStr">
        <is>
          <t>189023</t>
        </is>
      </c>
      <c r="E298" s="1" t="inlineStr">
        <is>
          <t xml:space="preserve">28194770       </t>
        </is>
      </c>
      <c r="F298" s="5" t="inlineStr">
        <is>
          <t>AUTOS DE METAL 3 TEAMSTERZ EN BLISTER</t>
        </is>
      </c>
      <c r="G298" t="n">
        <v>1</v>
      </c>
      <c r="H298" s="7" t="n">
        <v>6.9</v>
      </c>
      <c r="I298" s="7" t="n">
        <v>0</v>
      </c>
      <c r="J298" s="7" t="n">
        <v>0</v>
      </c>
      <c r="K298" s="9" t="n">
        <v>0</v>
      </c>
      <c r="L298" s="10" t="n">
        <v>4.1</v>
      </c>
      <c r="M298" s="10" t="n">
        <v>1.43</v>
      </c>
      <c r="N298" t="inlineStr">
        <is>
          <t>1</t>
        </is>
      </c>
      <c r="O298" t="inlineStr">
        <is>
          <t xml:space="preserve">3 </t>
        </is>
      </c>
      <c r="P298" t="inlineStr">
        <is>
          <t xml:space="preserve">242748  </t>
        </is>
      </c>
      <c r="Q298" s="26" t="n">
        <v>6.9</v>
      </c>
      <c r="R298" s="26">
        <f>Q298*G298</f>
        <v/>
      </c>
      <c r="S298" t="n">
        <v>4.09</v>
      </c>
      <c r="T298" s="18">
        <f>1 - V298/S298</f>
        <v/>
      </c>
      <c r="U298" s="18" t="n">
        <v>0</v>
      </c>
      <c r="V298" s="26" t="n">
        <v>4.09</v>
      </c>
      <c r="W298" s="26">
        <f>V298 - L298</f>
        <v/>
      </c>
    </row>
    <row r="299">
      <c r="A299" s="11" t="n">
        <v>46207</v>
      </c>
      <c r="B299" s="1" t="n">
        <v>20041</v>
      </c>
      <c r="C299" s="1" t="inlineStr">
        <is>
          <t>037</t>
        </is>
      </c>
      <c r="D299" s="1" t="inlineStr">
        <is>
          <t>189024</t>
        </is>
      </c>
      <c r="E299" s="1" t="inlineStr">
        <is>
          <t xml:space="preserve">28194770       </t>
        </is>
      </c>
      <c r="F299" s="5" t="inlineStr">
        <is>
          <t>AUTOS DE METAL 3 TEAMSTERZ EN BLISTER</t>
        </is>
      </c>
      <c r="G299" t="n">
        <v>1</v>
      </c>
      <c r="H299" s="7" t="n">
        <v>6.9</v>
      </c>
      <c r="I299" s="7" t="n">
        <v>0</v>
      </c>
      <c r="J299" s="7" t="n">
        <v>0</v>
      </c>
      <c r="K299" s="9" t="n">
        <v>0</v>
      </c>
      <c r="L299" s="10" t="n">
        <v>4.1</v>
      </c>
      <c r="M299" s="10" t="n">
        <v>1.43</v>
      </c>
      <c r="N299" t="inlineStr">
        <is>
          <t>1</t>
        </is>
      </c>
      <c r="O299" t="inlineStr">
        <is>
          <t>16</t>
        </is>
      </c>
      <c r="P299" t="inlineStr">
        <is>
          <t xml:space="preserve">242748  </t>
        </is>
      </c>
      <c r="Q299" s="26" t="n">
        <v>6.9</v>
      </c>
      <c r="R299" s="26">
        <f>Q299*G299</f>
        <v/>
      </c>
      <c r="S299" t="n">
        <v>4.09</v>
      </c>
      <c r="T299" s="18">
        <f>1 - V299/S299</f>
        <v/>
      </c>
      <c r="U299" s="18" t="n">
        <v>0</v>
      </c>
      <c r="V299" s="26" t="n">
        <v>4.09</v>
      </c>
      <c r="W299" s="26">
        <f>V299 - L299</f>
        <v/>
      </c>
    </row>
    <row r="300">
      <c r="A300" s="11" t="n">
        <v>46207</v>
      </c>
      <c r="B300" s="1" t="n">
        <v>20041</v>
      </c>
      <c r="C300" s="1" t="inlineStr">
        <is>
          <t>037</t>
        </is>
      </c>
      <c r="D300" s="1" t="inlineStr">
        <is>
          <t>189046</t>
        </is>
      </c>
      <c r="E300" s="1" t="inlineStr">
        <is>
          <t xml:space="preserve">28194770       </t>
        </is>
      </c>
      <c r="F300" s="5" t="inlineStr">
        <is>
          <t>AUTOS DE METAL 3 TEAMSTERZ EN BLISTER</t>
        </is>
      </c>
      <c r="G300" t="n">
        <v>1</v>
      </c>
      <c r="H300" s="7" t="n">
        <v>6.9</v>
      </c>
      <c r="I300" s="7" t="n">
        <v>0</v>
      </c>
      <c r="J300" s="7" t="n">
        <v>0</v>
      </c>
      <c r="K300" s="9" t="n">
        <v>0</v>
      </c>
      <c r="L300" s="10" t="n">
        <v>4.1</v>
      </c>
      <c r="M300" s="10" t="n">
        <v>1.43</v>
      </c>
      <c r="N300" t="inlineStr">
        <is>
          <t>1</t>
        </is>
      </c>
      <c r="O300" t="inlineStr">
        <is>
          <t xml:space="preserve">6 </t>
        </is>
      </c>
      <c r="P300" t="inlineStr">
        <is>
          <t xml:space="preserve">242746  </t>
        </is>
      </c>
      <c r="Q300" s="26" t="n">
        <v>6.9</v>
      </c>
      <c r="R300" s="26">
        <f>Q300*G300</f>
        <v/>
      </c>
      <c r="S300" t="n">
        <v>4.09</v>
      </c>
      <c r="T300" s="18">
        <f>1 - V300/S300</f>
        <v/>
      </c>
      <c r="U300" s="18" t="n">
        <v>0</v>
      </c>
      <c r="V300" s="26" t="n">
        <v>4.09</v>
      </c>
      <c r="W300" s="26">
        <f>V300 - L300</f>
        <v/>
      </c>
    </row>
    <row r="301">
      <c r="A301" s="11" t="n">
        <v>46207</v>
      </c>
      <c r="B301" s="1" t="n">
        <v>20041</v>
      </c>
      <c r="C301" s="1" t="inlineStr">
        <is>
          <t>037</t>
        </is>
      </c>
      <c r="D301" s="1" t="inlineStr">
        <is>
          <t>189049</t>
        </is>
      </c>
      <c r="E301" s="1" t="inlineStr">
        <is>
          <t xml:space="preserve">28194770       </t>
        </is>
      </c>
      <c r="F301" s="5" t="inlineStr">
        <is>
          <t>AUTOS DE METAL 3 TEAMSTERZ EN BLISTER</t>
        </is>
      </c>
      <c r="G301" t="n">
        <v>1</v>
      </c>
      <c r="H301" s="7" t="n">
        <v>6.9</v>
      </c>
      <c r="I301" s="7" t="n">
        <v>0</v>
      </c>
      <c r="J301" s="7" t="n">
        <v>0</v>
      </c>
      <c r="K301" s="9" t="n">
        <v>0</v>
      </c>
      <c r="L301" s="10" t="n">
        <v>4.1</v>
      </c>
      <c r="M301" s="10" t="n">
        <v>1.43</v>
      </c>
      <c r="N301" t="inlineStr">
        <is>
          <t>1</t>
        </is>
      </c>
      <c r="O301" t="inlineStr">
        <is>
          <t xml:space="preserve">2 </t>
        </is>
      </c>
      <c r="P301" t="inlineStr">
        <is>
          <t xml:space="preserve">242746  </t>
        </is>
      </c>
      <c r="Q301" s="26" t="n">
        <v>6.9</v>
      </c>
      <c r="R301" s="26">
        <f>Q301*G301</f>
        <v/>
      </c>
      <c r="S301" t="n">
        <v>4.09</v>
      </c>
      <c r="T301" s="18">
        <f>1 - V301/S301</f>
        <v/>
      </c>
      <c r="U301" s="18" t="n">
        <v>0</v>
      </c>
      <c r="V301" s="26" t="n">
        <v>4.09</v>
      </c>
      <c r="W301" s="26">
        <f>V301 - L301</f>
        <v/>
      </c>
    </row>
    <row r="302">
      <c r="A302" s="11" t="n">
        <v>46207</v>
      </c>
      <c r="B302" s="1" t="n">
        <v>20041</v>
      </c>
      <c r="C302" s="1" t="inlineStr">
        <is>
          <t>037</t>
        </is>
      </c>
      <c r="D302" s="1" t="inlineStr">
        <is>
          <t>189067</t>
        </is>
      </c>
      <c r="E302" s="1" t="inlineStr">
        <is>
          <t xml:space="preserve">28194770       </t>
        </is>
      </c>
      <c r="F302" s="5" t="inlineStr">
        <is>
          <t>AUTOS DE METAL 3 TEAMSTERZ EN BLISTER</t>
        </is>
      </c>
      <c r="G302" t="n">
        <v>1</v>
      </c>
      <c r="H302" s="7" t="n">
        <v>6.9</v>
      </c>
      <c r="I302" s="7" t="n">
        <v>0</v>
      </c>
      <c r="J302" s="7" t="n">
        <v>0</v>
      </c>
      <c r="K302" s="9" t="n">
        <v>0</v>
      </c>
      <c r="L302" s="10" t="n">
        <v>4.1</v>
      </c>
      <c r="M302" s="10" t="n">
        <v>1.43</v>
      </c>
      <c r="N302" t="inlineStr">
        <is>
          <t>1</t>
        </is>
      </c>
      <c r="O302" t="inlineStr">
        <is>
          <t xml:space="preserve">2 </t>
        </is>
      </c>
      <c r="P302" t="inlineStr">
        <is>
          <t xml:space="preserve">242746  </t>
        </is>
      </c>
      <c r="Q302" s="26" t="n">
        <v>6.9</v>
      </c>
      <c r="R302" s="26">
        <f>Q302*G302</f>
        <v/>
      </c>
      <c r="S302" t="n">
        <v>4.09</v>
      </c>
      <c r="T302" s="18">
        <f>1 - V302/S302</f>
        <v/>
      </c>
      <c r="U302" s="18" t="n">
        <v>0</v>
      </c>
      <c r="V302" s="26" t="n">
        <v>4.09</v>
      </c>
      <c r="W302" s="26">
        <f>V302 - L302</f>
        <v/>
      </c>
    </row>
    <row r="303">
      <c r="A303" s="11" t="n">
        <v>46207</v>
      </c>
      <c r="B303" s="1" t="n">
        <v>20041</v>
      </c>
      <c r="C303" s="1" t="inlineStr">
        <is>
          <t>037</t>
        </is>
      </c>
      <c r="D303" s="1" t="inlineStr">
        <is>
          <t>189067</t>
        </is>
      </c>
      <c r="E303" s="1" t="inlineStr">
        <is>
          <t xml:space="preserve">28194770       </t>
        </is>
      </c>
      <c r="F303" s="5" t="inlineStr">
        <is>
          <t>AUTOS DE METAL 3 TEAMSTERZ EN BLISTER</t>
        </is>
      </c>
      <c r="G303" t="n">
        <v>1</v>
      </c>
      <c r="H303" s="7" t="n">
        <v>6.9</v>
      </c>
      <c r="I303" s="7" t="n">
        <v>0</v>
      </c>
      <c r="J303" s="7" t="n">
        <v>0</v>
      </c>
      <c r="K303" s="9" t="n">
        <v>0</v>
      </c>
      <c r="L303" s="10" t="n">
        <v>4.1</v>
      </c>
      <c r="M303" s="10" t="n">
        <v>1.43</v>
      </c>
      <c r="N303" t="inlineStr">
        <is>
          <t>1</t>
        </is>
      </c>
      <c r="O303" t="inlineStr">
        <is>
          <t xml:space="preserve">2 </t>
        </is>
      </c>
      <c r="P303" t="inlineStr">
        <is>
          <t xml:space="preserve">242746  </t>
        </is>
      </c>
      <c r="Q303" s="26" t="n">
        <v>6.9</v>
      </c>
      <c r="R303" s="26">
        <f>Q303*G303</f>
        <v/>
      </c>
      <c r="S303" t="n">
        <v>4.09</v>
      </c>
      <c r="T303" s="18">
        <f>1 - V303/S303</f>
        <v/>
      </c>
      <c r="U303" s="18" t="n">
        <v>0</v>
      </c>
      <c r="V303" s="26" t="n">
        <v>4.09</v>
      </c>
      <c r="W303" s="26">
        <f>V303 - L303</f>
        <v/>
      </c>
    </row>
    <row r="304">
      <c r="A304" s="11" t="n">
        <v>46207</v>
      </c>
      <c r="B304" s="1" t="n">
        <v>20041</v>
      </c>
      <c r="C304" s="1" t="inlineStr">
        <is>
          <t>037</t>
        </is>
      </c>
      <c r="D304" s="1" t="inlineStr">
        <is>
          <t>189067</t>
        </is>
      </c>
      <c r="E304" s="1" t="inlineStr">
        <is>
          <t xml:space="preserve">29235700       </t>
        </is>
      </c>
      <c r="F304" s="5" t="inlineStr">
        <is>
          <t>HOT WHEELS CASE METALICO PARA GUARDAR 18 CARRITOS</t>
        </is>
      </c>
      <c r="G304" t="n">
        <v>1</v>
      </c>
      <c r="H304" s="7" t="n">
        <v>49.9</v>
      </c>
      <c r="I304" s="7" t="n">
        <v>0</v>
      </c>
      <c r="J304" s="7" t="n">
        <v>0</v>
      </c>
      <c r="K304" s="9" t="n">
        <v>0</v>
      </c>
      <c r="L304" s="10" t="n">
        <v>29.6</v>
      </c>
      <c r="M304" s="10" t="n">
        <v>1.43</v>
      </c>
      <c r="N304" t="inlineStr">
        <is>
          <t>1</t>
        </is>
      </c>
      <c r="O304" t="inlineStr">
        <is>
          <t xml:space="preserve">2 </t>
        </is>
      </c>
      <c r="P304" t="inlineStr">
        <is>
          <t xml:space="preserve">242746  </t>
        </is>
      </c>
      <c r="Q304" s="26" t="n">
        <v>49.90000000000001</v>
      </c>
      <c r="R304" s="26">
        <f>Q304*G304</f>
        <v/>
      </c>
      <c r="S304" t="n">
        <v>29.6</v>
      </c>
      <c r="T304" s="18">
        <f>1 - V304/S304</f>
        <v/>
      </c>
      <c r="U304" s="18" t="n">
        <v>0</v>
      </c>
      <c r="V304" s="26" t="n">
        <v>29.6</v>
      </c>
      <c r="W304" s="26">
        <f>V304 - L304</f>
        <v/>
      </c>
    </row>
    <row r="305">
      <c r="A305" s="11" t="n">
        <v>46207</v>
      </c>
      <c r="B305" s="1" t="n">
        <v>20041</v>
      </c>
      <c r="C305" s="1" t="inlineStr">
        <is>
          <t>037</t>
        </is>
      </c>
      <c r="D305" s="1" t="inlineStr">
        <is>
          <t>189083</t>
        </is>
      </c>
      <c r="E305" s="1" t="inlineStr">
        <is>
          <t xml:space="preserve">28194770       </t>
        </is>
      </c>
      <c r="F305" s="5" t="inlineStr">
        <is>
          <t>AUTOS DE METAL 3 TEAMSTERZ EN BLISTER</t>
        </is>
      </c>
      <c r="G305" t="n">
        <v>1</v>
      </c>
      <c r="H305" s="7" t="n">
        <v>6.9</v>
      </c>
      <c r="I305" s="7" t="n">
        <v>0</v>
      </c>
      <c r="J305" s="7" t="n">
        <v>0</v>
      </c>
      <c r="K305" s="9" t="n">
        <v>0</v>
      </c>
      <c r="L305" s="10" t="n">
        <v>4.1</v>
      </c>
      <c r="M305" s="10" t="n">
        <v>1.43</v>
      </c>
      <c r="N305" t="inlineStr">
        <is>
          <t>1</t>
        </is>
      </c>
      <c r="O305" t="inlineStr">
        <is>
          <t xml:space="preserve">2 </t>
        </is>
      </c>
      <c r="P305" t="inlineStr">
        <is>
          <t xml:space="preserve">242746  </t>
        </is>
      </c>
      <c r="Q305" s="26" t="n">
        <v>6.9</v>
      </c>
      <c r="R305" s="26">
        <f>Q305*G305</f>
        <v/>
      </c>
      <c r="S305" t="n">
        <v>4.09</v>
      </c>
      <c r="T305" s="18">
        <f>1 - V305/S305</f>
        <v/>
      </c>
      <c r="U305" s="18" t="n">
        <v>0</v>
      </c>
      <c r="V305" s="26" t="n">
        <v>4.09</v>
      </c>
      <c r="W305" s="26">
        <f>V305 - L305</f>
        <v/>
      </c>
    </row>
    <row r="306">
      <c r="A306" s="11" t="n">
        <v>46207</v>
      </c>
      <c r="B306" s="1" t="n">
        <v>20041</v>
      </c>
      <c r="C306" s="1" t="inlineStr">
        <is>
          <t>043</t>
        </is>
      </c>
      <c r="D306" s="1" t="inlineStr">
        <is>
          <t xml:space="preserve">75643 </t>
        </is>
      </c>
      <c r="E306" s="1" t="inlineStr">
        <is>
          <t xml:space="preserve">28194766       </t>
        </is>
      </c>
      <c r="F306" s="5" t="inlineStr">
        <is>
          <t>CAMIONES TEAMSTERZ DE CIUDAD</t>
        </is>
      </c>
      <c r="G306" t="n">
        <v>1</v>
      </c>
      <c r="H306" s="7" t="n">
        <v>17.9</v>
      </c>
      <c r="I306" s="7" t="n">
        <v>0</v>
      </c>
      <c r="J306" s="7" t="n">
        <v>0</v>
      </c>
      <c r="K306" s="9" t="n">
        <v>0</v>
      </c>
      <c r="L306" s="10" t="n">
        <v>10.62</v>
      </c>
      <c r="M306" s="10" t="n">
        <v>1.43</v>
      </c>
      <c r="N306" t="inlineStr">
        <is>
          <t>1</t>
        </is>
      </c>
      <c r="O306" t="inlineStr">
        <is>
          <t>16</t>
        </is>
      </c>
      <c r="P306" t="inlineStr">
        <is>
          <t xml:space="preserve">91630   </t>
        </is>
      </c>
      <c r="Q306" s="26" t="n">
        <v>17.9</v>
      </c>
      <c r="R306" s="26">
        <f>Q306*G306</f>
        <v/>
      </c>
      <c r="S306" t="n">
        <v>10.62</v>
      </c>
      <c r="T306" s="18">
        <f>1 - V306/S306</f>
        <v/>
      </c>
      <c r="U306" s="18" t="n">
        <v>0</v>
      </c>
      <c r="V306" s="26" t="n">
        <v>10.62</v>
      </c>
      <c r="W306" s="26">
        <f>V306 - L306</f>
        <v/>
      </c>
    </row>
    <row r="307">
      <c r="A307" s="11" t="n">
        <v>46207</v>
      </c>
      <c r="B307" s="1" t="n">
        <v>20041</v>
      </c>
      <c r="C307" s="1" t="inlineStr">
        <is>
          <t>043</t>
        </is>
      </c>
      <c r="D307" s="1" t="inlineStr">
        <is>
          <t xml:space="preserve">75643 </t>
        </is>
      </c>
      <c r="E307" s="1" t="inlineStr">
        <is>
          <t xml:space="preserve">28194770       </t>
        </is>
      </c>
      <c r="F307" s="5" t="inlineStr">
        <is>
          <t>AUTOS DE METAL 3 TEAMSTERZ EN BLISTER</t>
        </is>
      </c>
      <c r="G307" t="n">
        <v>1</v>
      </c>
      <c r="H307" s="7" t="n">
        <v>6.9</v>
      </c>
      <c r="I307" s="7" t="n">
        <v>0</v>
      </c>
      <c r="J307" s="7" t="n">
        <v>0</v>
      </c>
      <c r="K307" s="9" t="n">
        <v>0</v>
      </c>
      <c r="L307" s="10" t="n">
        <v>4.1</v>
      </c>
      <c r="M307" s="10" t="n">
        <v>1.43</v>
      </c>
      <c r="N307" t="inlineStr">
        <is>
          <t>1</t>
        </is>
      </c>
      <c r="O307" t="inlineStr">
        <is>
          <t>16</t>
        </is>
      </c>
      <c r="P307" t="inlineStr">
        <is>
          <t xml:space="preserve">91630   </t>
        </is>
      </c>
      <c r="Q307" s="26" t="n">
        <v>6.9</v>
      </c>
      <c r="R307" s="26">
        <f>Q307*G307</f>
        <v/>
      </c>
      <c r="S307" t="n">
        <v>4.09</v>
      </c>
      <c r="T307" s="18">
        <f>1 - V307/S307</f>
        <v/>
      </c>
      <c r="U307" s="18" t="n">
        <v>0</v>
      </c>
      <c r="V307" s="26" t="n">
        <v>4.09</v>
      </c>
      <c r="W307" s="26">
        <f>V307 - L307</f>
        <v/>
      </c>
    </row>
    <row r="308">
      <c r="A308" s="11" t="n">
        <v>46207</v>
      </c>
      <c r="B308" s="1" t="n">
        <v>20041</v>
      </c>
      <c r="C308" s="1" t="inlineStr">
        <is>
          <t>043</t>
        </is>
      </c>
      <c r="D308" s="1" t="inlineStr">
        <is>
          <t xml:space="preserve">75695 </t>
        </is>
      </c>
      <c r="E308" s="1" t="inlineStr">
        <is>
          <t xml:space="preserve">28194769       </t>
        </is>
      </c>
      <c r="F308" s="5" t="inlineStr">
        <is>
          <t>AUTOS DE METAL 3 TEAMSTERZ PACK DE 2</t>
        </is>
      </c>
      <c r="G308" t="n">
        <v>1</v>
      </c>
      <c r="H308" s="7" t="n">
        <v>13.8</v>
      </c>
      <c r="I308" s="7" t="n">
        <v>0</v>
      </c>
      <c r="J308" s="7" t="n">
        <v>0</v>
      </c>
      <c r="K308" s="9" t="n">
        <v>0</v>
      </c>
      <c r="L308" s="10" t="n">
        <v>8.18</v>
      </c>
      <c r="M308" s="10" t="n">
        <v>1.43</v>
      </c>
      <c r="N308" t="inlineStr">
        <is>
          <t>1</t>
        </is>
      </c>
      <c r="O308" t="inlineStr">
        <is>
          <t xml:space="preserve">2 </t>
        </is>
      </c>
      <c r="P308" t="inlineStr">
        <is>
          <t xml:space="preserve">91630   </t>
        </is>
      </c>
      <c r="Q308" s="26" t="n">
        <v>13.8</v>
      </c>
      <c r="R308" s="26">
        <f>Q308*G308</f>
        <v/>
      </c>
      <c r="S308" t="n">
        <v>8.19</v>
      </c>
      <c r="T308" s="18">
        <f>1 - V308/S308</f>
        <v/>
      </c>
      <c r="U308" s="18" t="n">
        <v>0</v>
      </c>
      <c r="V308" s="26" t="n">
        <v>8.19</v>
      </c>
      <c r="W308" s="26">
        <f>V308 - L308</f>
        <v/>
      </c>
    </row>
    <row r="309">
      <c r="A309" s="11" t="n">
        <v>46207</v>
      </c>
      <c r="B309" s="1" t="n">
        <v>20041</v>
      </c>
      <c r="C309" s="1" t="inlineStr">
        <is>
          <t>503</t>
        </is>
      </c>
      <c r="D309" s="1" t="inlineStr">
        <is>
          <t xml:space="preserve">7221  </t>
        </is>
      </c>
      <c r="E309" s="1" t="inlineStr">
        <is>
          <t xml:space="preserve">28194770       </t>
        </is>
      </c>
      <c r="F309" s="5" t="inlineStr">
        <is>
          <t>AUTOS DE METAL 3 TEAMSTERZ EN BLISTER</t>
        </is>
      </c>
      <c r="G309" t="n">
        <v>1</v>
      </c>
      <c r="H309" s="7" t="n">
        <v>6.9</v>
      </c>
      <c r="I309" s="7" t="n">
        <v>0</v>
      </c>
      <c r="J309" s="7" t="n">
        <v>0</v>
      </c>
      <c r="K309" s="9" t="n">
        <v>0</v>
      </c>
      <c r="L309" s="10" t="n">
        <v>4.1</v>
      </c>
      <c r="M309" s="10" t="n">
        <v>1.43</v>
      </c>
      <c r="N309" t="inlineStr">
        <is>
          <t>1</t>
        </is>
      </c>
      <c r="O309" t="inlineStr">
        <is>
          <t>16</t>
        </is>
      </c>
      <c r="P309" t="inlineStr">
        <is>
          <t xml:space="preserve">250798  </t>
        </is>
      </c>
      <c r="Q309" s="26" t="n">
        <v>6.9</v>
      </c>
      <c r="R309" s="26">
        <f>Q309*G309</f>
        <v/>
      </c>
      <c r="S309" t="n">
        <v>4.09</v>
      </c>
      <c r="T309" s="18">
        <f>1 - V309/S309</f>
        <v/>
      </c>
      <c r="U309" s="18" t="n">
        <v>0</v>
      </c>
      <c r="V309" s="26" t="n">
        <v>4.09</v>
      </c>
      <c r="W309" s="26">
        <f>V309 - L309</f>
        <v/>
      </c>
    </row>
    <row r="310">
      <c r="A310" s="11" t="n">
        <v>46207</v>
      </c>
      <c r="B310" s="1" t="n">
        <v>20041</v>
      </c>
      <c r="C310" s="1" t="inlineStr">
        <is>
          <t>512</t>
        </is>
      </c>
      <c r="D310" s="1" t="inlineStr">
        <is>
          <t xml:space="preserve">5033  </t>
        </is>
      </c>
      <c r="E310" s="1" t="inlineStr">
        <is>
          <t xml:space="preserve">28194769       </t>
        </is>
      </c>
      <c r="F310" s="5" t="inlineStr">
        <is>
          <t>AUTOS DE METAL 3 TEAMSTERZ PACK DE 2</t>
        </is>
      </c>
      <c r="G310" t="n">
        <v>1</v>
      </c>
      <c r="H310" s="7" t="n">
        <v>13.8</v>
      </c>
      <c r="I310" s="7" t="n">
        <v>0</v>
      </c>
      <c r="J310" s="7" t="n">
        <v>0</v>
      </c>
      <c r="K310" s="9" t="n">
        <v>0</v>
      </c>
      <c r="L310" s="10" t="n">
        <v>8.18</v>
      </c>
      <c r="M310" s="10" t="n">
        <v>1.43</v>
      </c>
      <c r="N310" t="inlineStr">
        <is>
          <t>1</t>
        </is>
      </c>
      <c r="O310" t="inlineStr">
        <is>
          <t>16</t>
        </is>
      </c>
      <c r="P310" t="inlineStr">
        <is>
          <t xml:space="preserve">40560   </t>
        </is>
      </c>
      <c r="Q310" s="26" t="n">
        <v>13.8</v>
      </c>
      <c r="R310" s="26">
        <f>Q310*G310</f>
        <v/>
      </c>
      <c r="S310" t="n">
        <v>8.19</v>
      </c>
      <c r="T310" s="18">
        <f>1 - V310/S310</f>
        <v/>
      </c>
      <c r="U310" s="18" t="n">
        <v>0</v>
      </c>
      <c r="V310" s="26" t="n">
        <v>8.19</v>
      </c>
      <c r="W310" s="26">
        <f>V310 - L310</f>
        <v/>
      </c>
    </row>
    <row r="311">
      <c r="A311" s="11" t="n">
        <v>46207</v>
      </c>
      <c r="B311" s="1" t="n">
        <v>20041</v>
      </c>
      <c r="C311" s="1" t="inlineStr">
        <is>
          <t>512</t>
        </is>
      </c>
      <c r="D311" s="1" t="inlineStr">
        <is>
          <t xml:space="preserve">5033  </t>
        </is>
      </c>
      <c r="E311" s="1" t="inlineStr">
        <is>
          <t xml:space="preserve">28194770       </t>
        </is>
      </c>
      <c r="F311" s="5" t="inlineStr">
        <is>
          <t>AUTOS DE METAL 3 TEAMSTERZ EN BLISTER</t>
        </is>
      </c>
      <c r="G311" t="n">
        <v>1</v>
      </c>
      <c r="H311" s="7" t="n">
        <v>6.9</v>
      </c>
      <c r="I311" s="7" t="n">
        <v>0</v>
      </c>
      <c r="J311" s="7" t="n">
        <v>0</v>
      </c>
      <c r="K311" s="9" t="n">
        <v>0</v>
      </c>
      <c r="L311" s="10" t="n">
        <v>4.1</v>
      </c>
      <c r="M311" s="10" t="n">
        <v>1.43</v>
      </c>
      <c r="N311" t="inlineStr">
        <is>
          <t>1</t>
        </is>
      </c>
      <c r="O311" t="inlineStr">
        <is>
          <t>16</t>
        </is>
      </c>
      <c r="P311" t="inlineStr">
        <is>
          <t xml:space="preserve">40560   </t>
        </is>
      </c>
      <c r="Q311" s="26" t="n">
        <v>6.9</v>
      </c>
      <c r="R311" s="26">
        <f>Q311*G311</f>
        <v/>
      </c>
      <c r="S311" t="n">
        <v>4.09</v>
      </c>
      <c r="T311" s="18">
        <f>1 - V311/S311</f>
        <v/>
      </c>
      <c r="U311" s="18" t="n">
        <v>0</v>
      </c>
      <c r="V311" s="26" t="n">
        <v>4.09</v>
      </c>
      <c r="W311" s="26">
        <f>V311 - L311</f>
        <v/>
      </c>
    </row>
    <row r="312">
      <c r="A312" s="11" t="n">
        <v>46207</v>
      </c>
      <c r="B312" s="1" t="n">
        <v>20043</v>
      </c>
      <c r="C312" s="1" t="inlineStr">
        <is>
          <t>014</t>
        </is>
      </c>
      <c r="D312" s="1" t="inlineStr">
        <is>
          <t>137037</t>
        </is>
      </c>
      <c r="E312" s="1" t="inlineStr">
        <is>
          <t xml:space="preserve">31754676       </t>
        </is>
      </c>
      <c r="F312" s="5" t="inlineStr">
        <is>
          <t>INFINITY NADO SERIE 6 STD PACK LANZ ESPAD ANILLO M</t>
        </is>
      </c>
      <c r="G312" t="n">
        <v>1</v>
      </c>
      <c r="H312" s="7" t="n">
        <v>79.90000000000001</v>
      </c>
      <c r="I312" s="7" t="n">
        <v>0</v>
      </c>
      <c r="J312" s="7" t="n">
        <v>0</v>
      </c>
      <c r="K312" s="9" t="n">
        <v>0</v>
      </c>
      <c r="L312" s="10" t="n">
        <v>47.4</v>
      </c>
      <c r="M312" s="10" t="n">
        <v>1.43</v>
      </c>
      <c r="N312" t="inlineStr">
        <is>
          <t>1</t>
        </is>
      </c>
      <c r="O312" t="inlineStr">
        <is>
          <t>16</t>
        </is>
      </c>
      <c r="P312" t="inlineStr">
        <is>
          <t xml:space="preserve">16988   </t>
        </is>
      </c>
      <c r="Q312" s="26" t="n">
        <v>79.90000000000001</v>
      </c>
      <c r="R312" s="26">
        <f>Q312*G312</f>
        <v/>
      </c>
      <c r="S312" t="n">
        <v>47.4</v>
      </c>
      <c r="T312" s="18">
        <f>1 - V312/S312</f>
        <v/>
      </c>
      <c r="U312" s="18" t="n">
        <v>0.2503128911138924</v>
      </c>
      <c r="V312" s="26" t="n">
        <v>38.07203389830509</v>
      </c>
      <c r="W312" s="26">
        <f>V312 - L312</f>
        <v/>
      </c>
    </row>
    <row r="313">
      <c r="A313" s="11" t="n">
        <v>46207</v>
      </c>
      <c r="B313" s="1" t="n">
        <v>20047</v>
      </c>
      <c r="C313" s="1" t="inlineStr">
        <is>
          <t>012</t>
        </is>
      </c>
      <c r="D313" s="1" t="inlineStr">
        <is>
          <t>331140</t>
        </is>
      </c>
      <c r="E313" s="1" t="inlineStr">
        <is>
          <t xml:space="preserve">28194766       </t>
        </is>
      </c>
      <c r="F313" s="5" t="inlineStr">
        <is>
          <t>CAMIONES TEAMSTERZ DE CIUDAD</t>
        </is>
      </c>
      <c r="G313" t="n">
        <v>1</v>
      </c>
      <c r="H313" s="7" t="n">
        <v>17.9</v>
      </c>
      <c r="I313" s="7" t="n">
        <v>0</v>
      </c>
      <c r="J313" s="7" t="n">
        <v>0</v>
      </c>
      <c r="K313" s="9" t="n">
        <v>0</v>
      </c>
      <c r="L313" s="10" t="n">
        <v>10.62</v>
      </c>
      <c r="M313" s="10" t="n">
        <v>1.43</v>
      </c>
      <c r="N313" t="inlineStr">
        <is>
          <t>1</t>
        </is>
      </c>
      <c r="O313" t="inlineStr">
        <is>
          <t xml:space="preserve">2 </t>
        </is>
      </c>
      <c r="P313" t="inlineStr">
        <is>
          <t xml:space="preserve">245862  </t>
        </is>
      </c>
      <c r="Q313" s="26" t="n">
        <v>17.9</v>
      </c>
      <c r="R313" s="26">
        <f>Q313*G313</f>
        <v/>
      </c>
      <c r="S313" t="n">
        <v>10.62</v>
      </c>
      <c r="T313" s="18">
        <f>1 - V313/S313</f>
        <v/>
      </c>
      <c r="U313" s="18" t="n">
        <v>0</v>
      </c>
      <c r="V313" s="26" t="n">
        <v>10.62</v>
      </c>
      <c r="W313" s="26">
        <f>V313 - L313</f>
        <v/>
      </c>
    </row>
    <row r="314">
      <c r="A314" s="11" t="n">
        <v>46207</v>
      </c>
      <c r="B314" s="1" t="n">
        <v>20047</v>
      </c>
      <c r="C314" s="1" t="inlineStr">
        <is>
          <t>012</t>
        </is>
      </c>
      <c r="D314" s="1" t="inlineStr">
        <is>
          <t>331201</t>
        </is>
      </c>
      <c r="E314" s="1" t="inlineStr">
        <is>
          <t xml:space="preserve">28194770       </t>
        </is>
      </c>
      <c r="F314" s="5" t="inlineStr">
        <is>
          <t>AUTOS DE METAL 3 TEAMSTERZ EN BLISTER</t>
        </is>
      </c>
      <c r="G314" t="n">
        <v>1</v>
      </c>
      <c r="H314" s="7" t="n">
        <v>6.9</v>
      </c>
      <c r="I314" s="7" t="n">
        <v>0</v>
      </c>
      <c r="J314" s="7" t="n">
        <v>0</v>
      </c>
      <c r="K314" s="9" t="n">
        <v>0</v>
      </c>
      <c r="L314" s="10" t="n">
        <v>4.1</v>
      </c>
      <c r="M314" s="10" t="n">
        <v>1.43</v>
      </c>
      <c r="N314" t="inlineStr">
        <is>
          <t>1</t>
        </is>
      </c>
      <c r="O314" t="inlineStr">
        <is>
          <t>16</t>
        </is>
      </c>
      <c r="P314" t="inlineStr">
        <is>
          <t xml:space="preserve">245257  </t>
        </is>
      </c>
      <c r="Q314" s="26" t="n">
        <v>6.9</v>
      </c>
      <c r="R314" s="26">
        <f>Q314*G314</f>
        <v/>
      </c>
      <c r="S314" t="n">
        <v>4.09</v>
      </c>
      <c r="T314" s="18">
        <f>1 - V314/S314</f>
        <v/>
      </c>
      <c r="U314" s="18" t="n">
        <v>0</v>
      </c>
      <c r="V314" s="26" t="n">
        <v>4.09</v>
      </c>
      <c r="W314" s="26">
        <f>V314 - L314</f>
        <v/>
      </c>
    </row>
    <row r="315">
      <c r="A315" s="11" t="n">
        <v>46207</v>
      </c>
      <c r="B315" s="1" t="n">
        <v>20047</v>
      </c>
      <c r="C315" s="1" t="inlineStr">
        <is>
          <t>191</t>
        </is>
      </c>
      <c r="D315" s="1" t="inlineStr">
        <is>
          <t>460247</t>
        </is>
      </c>
      <c r="E315" s="1" t="inlineStr">
        <is>
          <t xml:space="preserve">28194769       </t>
        </is>
      </c>
      <c r="F315" s="5" t="inlineStr">
        <is>
          <t>AUTOS DE METAL 3 TEAMSTERZ PACK DE 2</t>
        </is>
      </c>
      <c r="G315" t="n">
        <v>1</v>
      </c>
      <c r="H315" s="7" t="n">
        <v>13.8</v>
      </c>
      <c r="I315" s="7" t="n">
        <v>0</v>
      </c>
      <c r="J315" s="7" t="n">
        <v>0</v>
      </c>
      <c r="K315" s="9" t="n">
        <v>0</v>
      </c>
      <c r="L315" s="10" t="n">
        <v>8.18</v>
      </c>
      <c r="M315" s="10" t="n">
        <v>1.43</v>
      </c>
      <c r="N315" t="inlineStr">
        <is>
          <t>1</t>
        </is>
      </c>
      <c r="O315" t="inlineStr">
        <is>
          <t xml:space="preserve">2 </t>
        </is>
      </c>
      <c r="P315" t="inlineStr">
        <is>
          <t xml:space="preserve">245862  </t>
        </is>
      </c>
      <c r="Q315" s="26" t="n">
        <v>13.8</v>
      </c>
      <c r="R315" s="26">
        <f>Q315*G315</f>
        <v/>
      </c>
      <c r="S315" t="n">
        <v>8.19</v>
      </c>
      <c r="T315" s="18">
        <f>1 - V315/S315</f>
        <v/>
      </c>
      <c r="U315" s="18" t="n">
        <v>0</v>
      </c>
      <c r="V315" s="26" t="n">
        <v>8.19</v>
      </c>
      <c r="W315" s="26">
        <f>V315 - L315</f>
        <v/>
      </c>
    </row>
    <row r="316">
      <c r="A316" s="11" t="n">
        <v>46207</v>
      </c>
      <c r="B316" s="1" t="n">
        <v>20047</v>
      </c>
      <c r="C316" s="1" t="inlineStr">
        <is>
          <t>191</t>
        </is>
      </c>
      <c r="D316" s="1" t="inlineStr">
        <is>
          <t>460247</t>
        </is>
      </c>
      <c r="E316" s="1" t="inlineStr">
        <is>
          <t xml:space="preserve">31675353       </t>
        </is>
      </c>
      <c r="F316" s="5" t="inlineStr">
        <is>
          <t>NENUCO CON BIBERON Y SONAJERO</t>
        </is>
      </c>
      <c r="G316" t="n">
        <v>1</v>
      </c>
      <c r="H316" s="7" t="n">
        <v>79.90000000000001</v>
      </c>
      <c r="I316" s="7" t="n">
        <v>0</v>
      </c>
      <c r="J316" s="7" t="n">
        <v>0</v>
      </c>
      <c r="K316" s="9" t="n">
        <v>0</v>
      </c>
      <c r="L316" s="10" t="n">
        <v>47.4</v>
      </c>
      <c r="M316" s="10" t="n">
        <v>1.43</v>
      </c>
      <c r="N316" t="inlineStr">
        <is>
          <t>1</t>
        </is>
      </c>
      <c r="O316" t="inlineStr">
        <is>
          <t xml:space="preserve">2 </t>
        </is>
      </c>
      <c r="P316" t="inlineStr">
        <is>
          <t xml:space="preserve">245862  </t>
        </is>
      </c>
      <c r="Q316" s="26" t="n">
        <v>79.90000000000001</v>
      </c>
      <c r="R316" s="26">
        <f>Q316*G316</f>
        <v/>
      </c>
      <c r="S316" t="n">
        <v>47.4</v>
      </c>
      <c r="T316" s="18">
        <f>1 - V316/S316</f>
        <v/>
      </c>
      <c r="U316" s="18" t="n">
        <v>0.2503128911138924</v>
      </c>
      <c r="V316" s="26" t="n">
        <v>38.07203389830509</v>
      </c>
      <c r="W316" s="26">
        <f>V316 - L316</f>
        <v/>
      </c>
    </row>
    <row r="317">
      <c r="A317" s="11" t="n">
        <v>46207</v>
      </c>
      <c r="B317" s="1" t="n">
        <v>20048</v>
      </c>
      <c r="C317" s="1" t="inlineStr">
        <is>
          <t>018</t>
        </is>
      </c>
      <c r="D317" s="1" t="inlineStr">
        <is>
          <t xml:space="preserve">45777 </t>
        </is>
      </c>
      <c r="E317" s="1" t="inlineStr">
        <is>
          <t xml:space="preserve">28194767       </t>
        </is>
      </c>
      <c r="F317" s="5" t="inlineStr">
        <is>
          <t>CAMIONES TEAMSTERZ DE EMERGENCIA</t>
        </is>
      </c>
      <c r="G317" t="n">
        <v>1</v>
      </c>
      <c r="H317" s="7" t="n">
        <v>17.9</v>
      </c>
      <c r="I317" s="7" t="n">
        <v>0</v>
      </c>
      <c r="J317" s="7" t="n">
        <v>0</v>
      </c>
      <c r="K317" s="9" t="n">
        <v>0</v>
      </c>
      <c r="L317" s="10" t="n">
        <v>10.62</v>
      </c>
      <c r="M317" s="10" t="n">
        <v>1.43</v>
      </c>
      <c r="N317" t="inlineStr">
        <is>
          <t>1</t>
        </is>
      </c>
      <c r="O317" t="inlineStr">
        <is>
          <t xml:space="preserve">2 </t>
        </is>
      </c>
      <c r="P317" t="inlineStr">
        <is>
          <t xml:space="preserve">45117   </t>
        </is>
      </c>
      <c r="Q317" s="26" t="n">
        <v>17.9</v>
      </c>
      <c r="R317" s="26">
        <f>Q317*G317</f>
        <v/>
      </c>
      <c r="S317" t="n">
        <v>10.62</v>
      </c>
      <c r="T317" s="18">
        <f>1 - V317/S317</f>
        <v/>
      </c>
      <c r="U317" s="18" t="n">
        <v>0</v>
      </c>
      <c r="V317" s="26" t="n">
        <v>10.62</v>
      </c>
      <c r="W317" s="26">
        <f>V317 - L317</f>
        <v/>
      </c>
    </row>
    <row r="318">
      <c r="A318" s="11" t="n">
        <v>46207</v>
      </c>
      <c r="B318" s="1" t="n">
        <v>20048</v>
      </c>
      <c r="C318" s="1" t="inlineStr">
        <is>
          <t>018</t>
        </is>
      </c>
      <c r="D318" s="1" t="inlineStr">
        <is>
          <t xml:space="preserve">45787 </t>
        </is>
      </c>
      <c r="E318" s="1" t="inlineStr">
        <is>
          <t xml:space="preserve">31675354       </t>
        </is>
      </c>
      <c r="F318" s="5" t="inlineStr">
        <is>
          <t>NENUCO LLORON CON ACCESORIOS</t>
        </is>
      </c>
      <c r="G318" t="n">
        <v>1</v>
      </c>
      <c r="H318" s="7" t="n">
        <v>89.90000000000001</v>
      </c>
      <c r="I318" s="7" t="n">
        <v>0</v>
      </c>
      <c r="J318" s="7" t="n">
        <v>0</v>
      </c>
      <c r="K318" s="9" t="n">
        <v>0</v>
      </c>
      <c r="L318" s="10" t="n">
        <v>53.33</v>
      </c>
      <c r="M318" s="10" t="n">
        <v>1.43</v>
      </c>
      <c r="N318" t="inlineStr">
        <is>
          <t>1</t>
        </is>
      </c>
      <c r="O318" t="inlineStr">
        <is>
          <t xml:space="preserve">3 </t>
        </is>
      </c>
      <c r="P318" t="inlineStr">
        <is>
          <t xml:space="preserve">45117   </t>
        </is>
      </c>
      <c r="Q318" s="26" t="n">
        <v>89.90000000000001</v>
      </c>
      <c r="R318" s="26">
        <f>Q318*G318</f>
        <v/>
      </c>
      <c r="S318" t="n">
        <v>53.33</v>
      </c>
      <c r="T318" s="18">
        <f>1 - V318/S318</f>
        <v/>
      </c>
      <c r="U318" s="18" t="n">
        <v>0.2224694104560623</v>
      </c>
      <c r="V318" s="26" t="n">
        <v>44.42796610169492</v>
      </c>
      <c r="W318" s="26">
        <f>V318 - L318</f>
        <v/>
      </c>
    </row>
    <row r="319">
      <c r="A319" s="11" t="n">
        <v>46207</v>
      </c>
      <c r="B319" s="1" t="n">
        <v>20048</v>
      </c>
      <c r="C319" s="1" t="inlineStr">
        <is>
          <t>018</t>
        </is>
      </c>
      <c r="D319" s="1" t="inlineStr">
        <is>
          <t xml:space="preserve">45807 </t>
        </is>
      </c>
      <c r="E319" s="1" t="inlineStr">
        <is>
          <t xml:space="preserve">29235706       </t>
        </is>
      </c>
      <c r="F319" s="5" t="inlineStr">
        <is>
          <t>TEAMSTERZ CAMION PARA GUARDAR 12 AUTOS INCL 4 AUTO</t>
        </is>
      </c>
      <c r="G319" t="n">
        <v>1</v>
      </c>
      <c r="H319" s="7" t="n">
        <v>59.9</v>
      </c>
      <c r="I319" s="7" t="n">
        <v>0</v>
      </c>
      <c r="J319" s="7" t="n">
        <v>0</v>
      </c>
      <c r="K319" s="9" t="n">
        <v>0</v>
      </c>
      <c r="L319" s="10" t="n">
        <v>35.53</v>
      </c>
      <c r="M319" s="10" t="n">
        <v>1.43</v>
      </c>
      <c r="N319" t="inlineStr">
        <is>
          <t>1</t>
        </is>
      </c>
      <c r="O319" t="inlineStr">
        <is>
          <t>16</t>
        </is>
      </c>
      <c r="P319" t="inlineStr">
        <is>
          <t xml:space="preserve">45117   </t>
        </is>
      </c>
      <c r="Q319" s="26" t="n">
        <v>59.90000000000001</v>
      </c>
      <c r="R319" s="26">
        <f>Q319*G319</f>
        <v/>
      </c>
      <c r="S319" t="n">
        <v>35.53</v>
      </c>
      <c r="T319" s="18">
        <f>1 - V319/S319</f>
        <v/>
      </c>
      <c r="U319" s="18" t="n">
        <v>0</v>
      </c>
      <c r="V319" s="26" t="n">
        <v>35.53</v>
      </c>
      <c r="W319" s="26">
        <f>V319 - L319</f>
        <v/>
      </c>
    </row>
    <row r="320">
      <c r="A320" s="11" t="n">
        <v>46207</v>
      </c>
      <c r="B320" s="1" t="n">
        <v>20048</v>
      </c>
      <c r="C320" s="1" t="inlineStr">
        <is>
          <t>018</t>
        </is>
      </c>
      <c r="D320" s="1" t="inlineStr">
        <is>
          <t xml:space="preserve">45827 </t>
        </is>
      </c>
      <c r="E320" s="1" t="inlineStr">
        <is>
          <t xml:space="preserve">28194769       </t>
        </is>
      </c>
      <c r="F320" s="5" t="inlineStr">
        <is>
          <t>AUTOS DE METAL 3 TEAMSTERZ PACK DE 2</t>
        </is>
      </c>
      <c r="G320" t="n">
        <v>1</v>
      </c>
      <c r="H320" s="7" t="n">
        <v>13.8</v>
      </c>
      <c r="I320" s="7" t="n">
        <v>0</v>
      </c>
      <c r="J320" s="7" t="n">
        <v>0</v>
      </c>
      <c r="K320" s="9" t="n">
        <v>0</v>
      </c>
      <c r="L320" s="10" t="n">
        <v>8.18</v>
      </c>
      <c r="M320" s="10" t="n">
        <v>1.43</v>
      </c>
      <c r="N320" t="inlineStr">
        <is>
          <t>1</t>
        </is>
      </c>
      <c r="O320" t="inlineStr">
        <is>
          <t xml:space="preserve">2 </t>
        </is>
      </c>
      <c r="P320" t="inlineStr">
        <is>
          <t xml:space="preserve">45117   </t>
        </is>
      </c>
      <c r="Q320" s="26" t="n">
        <v>13.8</v>
      </c>
      <c r="R320" s="26">
        <f>Q320*G320</f>
        <v/>
      </c>
      <c r="S320" t="n">
        <v>8.19</v>
      </c>
      <c r="T320" s="18">
        <f>1 - V320/S320</f>
        <v/>
      </c>
      <c r="U320" s="18" t="n">
        <v>0</v>
      </c>
      <c r="V320" s="26" t="n">
        <v>8.19</v>
      </c>
      <c r="W320" s="26">
        <f>V320 - L320</f>
        <v/>
      </c>
    </row>
    <row r="321">
      <c r="A321" s="11" t="n">
        <v>46207</v>
      </c>
      <c r="B321" s="1" t="n">
        <v>20048</v>
      </c>
      <c r="C321" s="1" t="inlineStr">
        <is>
          <t>027</t>
        </is>
      </c>
      <c r="D321" s="1" t="inlineStr">
        <is>
          <t>321875</t>
        </is>
      </c>
      <c r="E321" s="1" t="inlineStr">
        <is>
          <t xml:space="preserve">33661538       </t>
        </is>
      </c>
      <c r="F321" s="5" t="inlineStr">
        <is>
          <t>HOT WHEELS CASE GARAGE RUEDA METAL EN LLAMAS X 29</t>
        </is>
      </c>
      <c r="G321" t="n">
        <v>1</v>
      </c>
      <c r="H321" s="7" t="n">
        <v>69.90000000000001</v>
      </c>
      <c r="I321" s="7" t="n">
        <v>0</v>
      </c>
      <c r="J321" s="7" t="n">
        <v>0</v>
      </c>
      <c r="K321" s="9" t="n">
        <v>0</v>
      </c>
      <c r="L321" s="10" t="n">
        <v>41.47</v>
      </c>
      <c r="M321" s="10" t="n">
        <v>1.43</v>
      </c>
      <c r="N321" t="inlineStr">
        <is>
          <t>1</t>
        </is>
      </c>
      <c r="O321" t="inlineStr">
        <is>
          <t xml:space="preserve">2 </t>
        </is>
      </c>
      <c r="P321" t="inlineStr">
        <is>
          <t xml:space="preserve">200219  </t>
        </is>
      </c>
      <c r="Q321" s="26" t="n">
        <v>69.90000000000001</v>
      </c>
      <c r="R321" s="26">
        <f>Q321*G321</f>
        <v/>
      </c>
      <c r="S321" t="n">
        <v>41.47</v>
      </c>
      <c r="T321" s="18">
        <f>1 - V321/S321</f>
        <v/>
      </c>
      <c r="U321" s="18" t="n">
        <v>0</v>
      </c>
      <c r="V321" s="26" t="n">
        <v>41.47</v>
      </c>
      <c r="W321" s="26">
        <f>V321 - L321</f>
        <v/>
      </c>
    </row>
    <row r="322">
      <c r="A322" s="11" t="n">
        <v>46207</v>
      </c>
      <c r="B322" s="1" t="n">
        <v>20048</v>
      </c>
      <c r="C322" s="1" t="inlineStr">
        <is>
          <t>194</t>
        </is>
      </c>
      <c r="D322" s="1" t="inlineStr">
        <is>
          <t>191544</t>
        </is>
      </c>
      <c r="E322" s="1" t="inlineStr">
        <is>
          <t xml:space="preserve">28194770       </t>
        </is>
      </c>
      <c r="F322" s="5" t="inlineStr">
        <is>
          <t>AUTOS DE METAL 3 TEAMSTERZ EN BLISTER</t>
        </is>
      </c>
      <c r="G322" t="n">
        <v>1</v>
      </c>
      <c r="H322" s="7" t="n">
        <v>6.9</v>
      </c>
      <c r="I322" s="7" t="n">
        <v>0</v>
      </c>
      <c r="J322" s="7" t="n">
        <v>0</v>
      </c>
      <c r="K322" s="9" t="n">
        <v>0</v>
      </c>
      <c r="L322" s="10" t="n">
        <v>4.1</v>
      </c>
      <c r="M322" s="10" t="n">
        <v>1.43</v>
      </c>
      <c r="N322" t="inlineStr">
        <is>
          <t>1</t>
        </is>
      </c>
      <c r="O322" t="inlineStr">
        <is>
          <t xml:space="preserve">2 </t>
        </is>
      </c>
      <c r="P322" t="inlineStr">
        <is>
          <t xml:space="preserve">249966  </t>
        </is>
      </c>
      <c r="Q322" s="26" t="n">
        <v>6.9</v>
      </c>
      <c r="R322" s="26">
        <f>Q322*G322</f>
        <v/>
      </c>
      <c r="S322" t="n">
        <v>4.09</v>
      </c>
      <c r="T322" s="18">
        <f>1 - V322/S322</f>
        <v/>
      </c>
      <c r="U322" s="18" t="n">
        <v>0</v>
      </c>
      <c r="V322" s="26" t="n">
        <v>4.09</v>
      </c>
      <c r="W322" s="26">
        <f>V322 - L322</f>
        <v/>
      </c>
    </row>
    <row r="323">
      <c r="A323" s="11" t="n">
        <v>46207</v>
      </c>
      <c r="B323" s="1" t="n">
        <v>20048</v>
      </c>
      <c r="C323" s="1" t="inlineStr">
        <is>
          <t>515</t>
        </is>
      </c>
      <c r="D323" s="1" t="inlineStr">
        <is>
          <t xml:space="preserve">1413  </t>
        </is>
      </c>
      <c r="E323" s="1" t="inlineStr">
        <is>
          <t xml:space="preserve">34840536       </t>
        </is>
      </c>
      <c r="F323" s="5" t="inlineStr">
        <is>
          <t>PINYPON ACADEMIA TENEBROSA</t>
        </is>
      </c>
      <c r="G323" t="n">
        <v>1</v>
      </c>
      <c r="H323" s="7" t="n">
        <v>139</v>
      </c>
      <c r="I323" s="7" t="n">
        <v>0</v>
      </c>
      <c r="J323" s="7" t="n">
        <v>0</v>
      </c>
      <c r="K323" s="9" t="n">
        <v>0</v>
      </c>
      <c r="L323" s="10" t="n">
        <v>82.45999999999999</v>
      </c>
      <c r="M323" s="10" t="n">
        <v>1.43</v>
      </c>
      <c r="N323" t="inlineStr">
        <is>
          <t>1</t>
        </is>
      </c>
      <c r="O323" t="inlineStr">
        <is>
          <t>16</t>
        </is>
      </c>
      <c r="P323" t="inlineStr">
        <is>
          <t xml:space="preserve">102671  </t>
        </is>
      </c>
      <c r="Q323" s="26" t="n">
        <v>139</v>
      </c>
      <c r="R323" s="26">
        <f>Q323*G323</f>
        <v/>
      </c>
      <c r="S323" t="n">
        <v>82.45999999999999</v>
      </c>
      <c r="T323" s="18">
        <f>1 - V323/S323</f>
        <v/>
      </c>
      <c r="U323" s="18" t="n">
        <v>0.3999999999999999</v>
      </c>
      <c r="V323" s="26" t="n">
        <v>56.54237288135592</v>
      </c>
      <c r="W323" s="26">
        <f>V323 - L323</f>
        <v/>
      </c>
    </row>
    <row r="324">
      <c r="A324" s="11" t="n">
        <v>46207</v>
      </c>
      <c r="B324" s="1" t="n">
        <v>20048</v>
      </c>
      <c r="C324" s="1" t="inlineStr">
        <is>
          <t>800</t>
        </is>
      </c>
      <c r="D324" s="1" t="inlineStr">
        <is>
          <t xml:space="preserve">3464  </t>
        </is>
      </c>
      <c r="E324" s="1" t="inlineStr">
        <is>
          <t xml:space="preserve">32457103       </t>
        </is>
      </c>
      <c r="F324" s="5" t="inlineStr">
        <is>
          <t>TMZ BEAST MACHINES MONSTER JAWS A FRICCION PACK DE</t>
        </is>
      </c>
      <c r="G324" t="n">
        <v>1</v>
      </c>
      <c r="H324" s="7" t="n">
        <v>37.9</v>
      </c>
      <c r="I324" s="7" t="n">
        <v>0</v>
      </c>
      <c r="J324" s="7" t="n">
        <v>0</v>
      </c>
      <c r="K324" s="9" t="n">
        <v>0</v>
      </c>
      <c r="L324" s="10" t="n">
        <v>22.48</v>
      </c>
      <c r="M324" s="10" t="n">
        <v>1.43</v>
      </c>
      <c r="N324" t="inlineStr">
        <is>
          <t>1</t>
        </is>
      </c>
      <c r="O324" t="inlineStr">
        <is>
          <t>16</t>
        </is>
      </c>
      <c r="P324" t="inlineStr">
        <is>
          <t xml:space="preserve">234984  </t>
        </is>
      </c>
      <c r="Q324" s="26" t="n">
        <v>37.9</v>
      </c>
      <c r="R324" s="26">
        <f>Q324*G324</f>
        <v/>
      </c>
      <c r="S324" t="n">
        <v>22.48</v>
      </c>
      <c r="T324" s="18">
        <f>1 - V324/S324</f>
        <v/>
      </c>
      <c r="U324" s="18" t="n">
        <v>0.1319261213720316</v>
      </c>
      <c r="V324" s="26" t="n">
        <v>16.75101694915254</v>
      </c>
      <c r="W324" s="26">
        <f>V324 - L324</f>
        <v/>
      </c>
    </row>
    <row r="325">
      <c r="A325" s="11" t="n">
        <v>46207</v>
      </c>
      <c r="B325" s="1" t="n">
        <v>20048</v>
      </c>
      <c r="C325" s="1" t="inlineStr">
        <is>
          <t>800</t>
        </is>
      </c>
      <c r="D325" s="1" t="inlineStr">
        <is>
          <t xml:space="preserve">3497  </t>
        </is>
      </c>
      <c r="E325" s="1" t="inlineStr">
        <is>
          <t xml:space="preserve">28194781       </t>
        </is>
      </c>
      <c r="F325" s="5" t="inlineStr">
        <is>
          <t>TROMPO BATALLA INFINITY NADO SERIE V CLASICA SURTI</t>
        </is>
      </c>
      <c r="G325" t="n">
        <v>1</v>
      </c>
      <c r="H325" s="7" t="n">
        <v>59.9</v>
      </c>
      <c r="I325" s="7" t="n">
        <v>0</v>
      </c>
      <c r="J325" s="7" t="n">
        <v>0</v>
      </c>
      <c r="K325" s="9" t="n">
        <v>0</v>
      </c>
      <c r="L325" s="10" t="n">
        <v>35.53</v>
      </c>
      <c r="M325" s="10" t="n">
        <v>1.43</v>
      </c>
      <c r="N325" t="inlineStr">
        <is>
          <t>1</t>
        </is>
      </c>
      <c r="O325" t="inlineStr">
        <is>
          <t>16</t>
        </is>
      </c>
      <c r="P325" t="inlineStr">
        <is>
          <t xml:space="preserve">234984  </t>
        </is>
      </c>
      <c r="Q325" s="26" t="n">
        <v>59.9</v>
      </c>
      <c r="R325" s="26">
        <f>Q325*G325</f>
        <v/>
      </c>
      <c r="S325" t="n">
        <v>35.53</v>
      </c>
      <c r="T325" s="18">
        <f>1 - V325/S325</f>
        <v/>
      </c>
      <c r="U325" s="18" t="n">
        <v>0.333889816360601</v>
      </c>
      <c r="V325" s="26" t="n">
        <v>25.36016949152542</v>
      </c>
      <c r="W325" s="26">
        <f>V325 - L325</f>
        <v/>
      </c>
    </row>
    <row r="326">
      <c r="A326" s="11" t="n">
        <v>46207</v>
      </c>
      <c r="B326" s="1" t="n">
        <v>20048</v>
      </c>
      <c r="C326" s="1" t="inlineStr">
        <is>
          <t>800</t>
        </is>
      </c>
      <c r="D326" s="1" t="inlineStr">
        <is>
          <t xml:space="preserve">3523  </t>
        </is>
      </c>
      <c r="E326" s="1" t="inlineStr">
        <is>
          <t xml:space="preserve">28194783       </t>
        </is>
      </c>
      <c r="F326" s="5" t="inlineStr">
        <is>
          <t>SET DE BATALLA INFINITY NADO CON 2 TROMPOS</t>
        </is>
      </c>
      <c r="G326" t="n">
        <v>1</v>
      </c>
      <c r="H326" s="7" t="n">
        <v>159</v>
      </c>
      <c r="I326" s="7" t="n">
        <v>0</v>
      </c>
      <c r="J326" s="7" t="n">
        <v>0</v>
      </c>
      <c r="K326" s="9" t="n">
        <v>0</v>
      </c>
      <c r="L326" s="10" t="n">
        <v>94.33</v>
      </c>
      <c r="M326" s="10" t="n">
        <v>1.43</v>
      </c>
      <c r="N326" t="inlineStr">
        <is>
          <t>1</t>
        </is>
      </c>
      <c r="O326" t="inlineStr">
        <is>
          <t>16</t>
        </is>
      </c>
      <c r="P326" t="inlineStr">
        <is>
          <t xml:space="preserve">234984  </t>
        </is>
      </c>
      <c r="Q326" s="26" t="n">
        <v>159</v>
      </c>
      <c r="R326" s="26">
        <f>Q326*G326</f>
        <v/>
      </c>
      <c r="S326" t="n">
        <v>94.31999999999999</v>
      </c>
      <c r="T326" s="18">
        <f>1 - V326/S326</f>
        <v/>
      </c>
      <c r="U326" s="18" t="n">
        <v>0.1886792452830188</v>
      </c>
      <c r="V326" s="26" t="n">
        <v>81.99152542372882</v>
      </c>
      <c r="W326" s="26">
        <f>V326 - L326</f>
        <v/>
      </c>
    </row>
    <row r="327">
      <c r="A327" s="11" t="n">
        <v>46207</v>
      </c>
      <c r="B327" s="1" t="n">
        <v>20049</v>
      </c>
      <c r="C327" s="1" t="inlineStr">
        <is>
          <t>013</t>
        </is>
      </c>
      <c r="D327" s="1" t="inlineStr">
        <is>
          <t>235119</t>
        </is>
      </c>
      <c r="E327" s="1" t="inlineStr">
        <is>
          <t xml:space="preserve">28194769       </t>
        </is>
      </c>
      <c r="F327" s="5" t="inlineStr">
        <is>
          <t>AUTOS DE METAL 3 TEAMSTERZ PACK DE 2</t>
        </is>
      </c>
      <c r="G327" t="n">
        <v>1</v>
      </c>
      <c r="H327" s="7" t="n">
        <v>13.8</v>
      </c>
      <c r="I327" s="7" t="n">
        <v>0</v>
      </c>
      <c r="J327" s="7" t="n">
        <v>0</v>
      </c>
      <c r="K327" s="9" t="n">
        <v>0</v>
      </c>
      <c r="L327" s="10" t="n">
        <v>8.18</v>
      </c>
      <c r="M327" s="10" t="n">
        <v>1.43</v>
      </c>
      <c r="N327" t="inlineStr">
        <is>
          <t>1</t>
        </is>
      </c>
      <c r="O327" t="inlineStr">
        <is>
          <t xml:space="preserve">2 </t>
        </is>
      </c>
      <c r="P327" t="inlineStr">
        <is>
          <t xml:space="preserve">48754   </t>
        </is>
      </c>
      <c r="Q327" s="26" t="n">
        <v>13.8</v>
      </c>
      <c r="R327" s="26">
        <f>Q327*G327</f>
        <v/>
      </c>
      <c r="S327" t="n">
        <v>8.19</v>
      </c>
      <c r="T327" s="18">
        <f>1 - V327/S327</f>
        <v/>
      </c>
      <c r="U327" s="18" t="n">
        <v>0</v>
      </c>
      <c r="V327" s="26" t="n">
        <v>8.19</v>
      </c>
      <c r="W327" s="26">
        <f>V327 - L327</f>
        <v/>
      </c>
    </row>
    <row r="328">
      <c r="A328" s="11" t="n">
        <v>46207</v>
      </c>
      <c r="B328" s="1" t="n">
        <v>20049</v>
      </c>
      <c r="C328" s="1" t="inlineStr">
        <is>
          <t>013</t>
        </is>
      </c>
      <c r="D328" s="1" t="inlineStr">
        <is>
          <t>235195</t>
        </is>
      </c>
      <c r="E328" s="1" t="inlineStr">
        <is>
          <t xml:space="preserve">32656523       </t>
        </is>
      </c>
      <c r="F328" s="5" t="inlineStr">
        <is>
          <t>TMZ BEAST MACHINES TRANSPORT. T-REX ELECTR. + ACCE</t>
        </is>
      </c>
      <c r="G328" t="n">
        <v>1</v>
      </c>
      <c r="H328" s="7" t="n">
        <v>179</v>
      </c>
      <c r="I328" s="7" t="n">
        <v>0</v>
      </c>
      <c r="J328" s="7" t="n">
        <v>0</v>
      </c>
      <c r="K328" s="9" t="n">
        <v>0</v>
      </c>
      <c r="L328" s="10" t="n">
        <v>106.18</v>
      </c>
      <c r="M328" s="10" t="n">
        <v>1.43</v>
      </c>
      <c r="N328" t="inlineStr">
        <is>
          <t>1</t>
        </is>
      </c>
      <c r="O328" t="inlineStr">
        <is>
          <t xml:space="preserve">2 </t>
        </is>
      </c>
      <c r="P328" t="inlineStr">
        <is>
          <t xml:space="preserve">48754   </t>
        </is>
      </c>
      <c r="Q328" s="26" t="n">
        <v>179</v>
      </c>
      <c r="R328" s="26">
        <f>Q328*G328</f>
        <v/>
      </c>
      <c r="S328" t="n">
        <v>106.19</v>
      </c>
      <c r="T328" s="18">
        <f>1 - V328/S328</f>
        <v/>
      </c>
      <c r="U328" s="18" t="n">
        <v>0</v>
      </c>
      <c r="V328" s="26" t="n">
        <v>106.19</v>
      </c>
      <c r="W328" s="26">
        <f>V328 - L328</f>
        <v/>
      </c>
    </row>
    <row r="329">
      <c r="A329" s="11" t="n">
        <v>46207</v>
      </c>
      <c r="B329" s="1" t="n">
        <v>20049</v>
      </c>
      <c r="C329" s="1" t="inlineStr">
        <is>
          <t>013</t>
        </is>
      </c>
      <c r="D329" s="1" t="inlineStr">
        <is>
          <t>235223</t>
        </is>
      </c>
      <c r="E329" s="1" t="inlineStr">
        <is>
          <t xml:space="preserve">32457101       </t>
        </is>
      </c>
      <c r="F329" s="5" t="inlineStr">
        <is>
          <t>TMZ BEAST MACHINES TRANSPORTE PESADO + 2 AUTOS SUR</t>
        </is>
      </c>
      <c r="G329" t="n">
        <v>1</v>
      </c>
      <c r="H329" s="7" t="n">
        <v>37.9</v>
      </c>
      <c r="I329" s="7" t="n">
        <v>3</v>
      </c>
      <c r="J329" s="7" t="n">
        <v>0</v>
      </c>
      <c r="K329" s="9" t="n">
        <v>3</v>
      </c>
      <c r="L329" s="10" t="n">
        <v>20.71</v>
      </c>
      <c r="M329" s="10" t="n">
        <v>1.43</v>
      </c>
      <c r="N329" t="inlineStr">
        <is>
          <t>1</t>
        </is>
      </c>
      <c r="O329" t="inlineStr">
        <is>
          <t>16</t>
        </is>
      </c>
      <c r="P329" t="inlineStr">
        <is>
          <t xml:space="preserve">48754   </t>
        </is>
      </c>
      <c r="Q329" s="26" t="n">
        <v>37.9</v>
      </c>
      <c r="R329" s="26">
        <f>Q329*G329</f>
        <v/>
      </c>
      <c r="S329" t="n">
        <v>22.48</v>
      </c>
      <c r="T329" s="18">
        <f>1 - V329/S329</f>
        <v/>
      </c>
      <c r="U329" s="18" t="n">
        <v>0.5277044854881267</v>
      </c>
      <c r="V329" s="26" t="n">
        <v>12.88694915254237</v>
      </c>
      <c r="W329" s="26">
        <f>V329 - L329</f>
        <v/>
      </c>
    </row>
    <row r="330">
      <c r="A330" s="11" t="n">
        <v>46207</v>
      </c>
      <c r="B330" s="1" t="n">
        <v>20049</v>
      </c>
      <c r="C330" s="1" t="inlineStr">
        <is>
          <t>025</t>
        </is>
      </c>
      <c r="D330" s="1" t="inlineStr">
        <is>
          <t xml:space="preserve">32905 </t>
        </is>
      </c>
      <c r="E330" s="1" t="inlineStr">
        <is>
          <t xml:space="preserve">30141769       </t>
        </is>
      </c>
      <c r="F330" s="5" t="inlineStr">
        <is>
          <t>TMZ BEAST MACHINES TRANSPORTE DINOSAURIO + 3 AUTOS</t>
        </is>
      </c>
      <c r="G330" t="n">
        <v>1</v>
      </c>
      <c r="H330" s="7" t="n">
        <v>79.90000000000001</v>
      </c>
      <c r="I330" s="7" t="n">
        <v>0</v>
      </c>
      <c r="J330" s="7" t="n">
        <v>0</v>
      </c>
      <c r="K330" s="9" t="n">
        <v>0</v>
      </c>
      <c r="L330" s="10" t="n">
        <v>47.4</v>
      </c>
      <c r="M330" s="10" t="n">
        <v>1.43</v>
      </c>
      <c r="N330" t="inlineStr">
        <is>
          <t>1</t>
        </is>
      </c>
      <c r="O330" t="inlineStr">
        <is>
          <t xml:space="preserve">3 </t>
        </is>
      </c>
      <c r="P330" t="inlineStr">
        <is>
          <t xml:space="preserve">250381  </t>
        </is>
      </c>
      <c r="Q330" s="26" t="n">
        <v>79.90000000000001</v>
      </c>
      <c r="R330" s="26">
        <f>Q330*G330</f>
        <v/>
      </c>
      <c r="S330" t="n">
        <v>47.4</v>
      </c>
      <c r="T330" s="18">
        <f>1 - V330/S330</f>
        <v/>
      </c>
      <c r="U330" s="18" t="n">
        <v>0.2503128911138924</v>
      </c>
      <c r="V330" s="26" t="n">
        <v>38.07203389830509</v>
      </c>
      <c r="W330" s="26">
        <f>V330 - L330</f>
        <v/>
      </c>
    </row>
    <row r="331">
      <c r="A331" s="11" t="n">
        <v>46207</v>
      </c>
      <c r="B331" s="1" t="n">
        <v>20049</v>
      </c>
      <c r="C331" s="1" t="inlineStr">
        <is>
          <t>025</t>
        </is>
      </c>
      <c r="D331" s="1" t="inlineStr">
        <is>
          <t xml:space="preserve">32911 </t>
        </is>
      </c>
      <c r="E331" s="1" t="inlineStr">
        <is>
          <t xml:space="preserve">34840568       </t>
        </is>
      </c>
      <c r="F331" s="5" t="inlineStr">
        <is>
          <t>VIP MUNECAS ESCUELA DE PEINADOS SURTIDO</t>
        </is>
      </c>
      <c r="G331" t="n">
        <v>1</v>
      </c>
      <c r="H331" s="7" t="n">
        <v>79.90000000000001</v>
      </c>
      <c r="I331" s="7" t="n">
        <v>0</v>
      </c>
      <c r="J331" s="7" t="n">
        <v>0</v>
      </c>
      <c r="K331" s="9" t="n">
        <v>0</v>
      </c>
      <c r="L331" s="10" t="n">
        <v>47.4</v>
      </c>
      <c r="M331" s="10" t="n">
        <v>1.43</v>
      </c>
      <c r="N331" t="inlineStr">
        <is>
          <t>1</t>
        </is>
      </c>
      <c r="O331" t="inlineStr">
        <is>
          <t>16</t>
        </is>
      </c>
      <c r="P331" t="inlineStr">
        <is>
          <t xml:space="preserve">250381  </t>
        </is>
      </c>
      <c r="Q331" s="26" t="n">
        <v>79.90000000000001</v>
      </c>
      <c r="R331" s="26">
        <f>Q331*G331</f>
        <v/>
      </c>
      <c r="S331" t="n">
        <v>47.4</v>
      </c>
      <c r="T331" s="18">
        <f>1 - V331/S331</f>
        <v/>
      </c>
      <c r="U331" s="18" t="n">
        <v>0.4</v>
      </c>
      <c r="V331" s="26" t="n">
        <v>34.53169491525423</v>
      </c>
      <c r="W331" s="26">
        <f>V331 - L331</f>
        <v/>
      </c>
    </row>
    <row r="332">
      <c r="A332" s="11" t="n">
        <v>46207</v>
      </c>
      <c r="B332" s="1" t="n">
        <v>20049</v>
      </c>
      <c r="C332" s="1" t="inlineStr">
        <is>
          <t>025</t>
        </is>
      </c>
      <c r="D332" s="1" t="inlineStr">
        <is>
          <t xml:space="preserve">32911 </t>
        </is>
      </c>
      <c r="E332" s="1" t="inlineStr">
        <is>
          <t xml:space="preserve">34840568       </t>
        </is>
      </c>
      <c r="F332" s="5" t="inlineStr">
        <is>
          <t>VIP MUNECAS ESCUELA DE PEINADOS SURTIDO</t>
        </is>
      </c>
      <c r="G332" t="n">
        <v>1</v>
      </c>
      <c r="H332" s="7" t="n">
        <v>79.90000000000001</v>
      </c>
      <c r="I332" s="7" t="n">
        <v>0</v>
      </c>
      <c r="J332" s="7" t="n">
        <v>0</v>
      </c>
      <c r="K332" s="9" t="n">
        <v>0</v>
      </c>
      <c r="L332" s="10" t="n">
        <v>47.4</v>
      </c>
      <c r="M332" s="10" t="n">
        <v>1.43</v>
      </c>
      <c r="N332" t="inlineStr">
        <is>
          <t>1</t>
        </is>
      </c>
      <c r="O332" t="inlineStr">
        <is>
          <t>16</t>
        </is>
      </c>
      <c r="P332" t="inlineStr">
        <is>
          <t xml:space="preserve">250381  </t>
        </is>
      </c>
      <c r="Q332" s="26" t="n">
        <v>79.90000000000001</v>
      </c>
      <c r="R332" s="26">
        <f>Q332*G332</f>
        <v/>
      </c>
      <c r="S332" t="n">
        <v>47.4</v>
      </c>
      <c r="T332" s="18">
        <f>1 - V332/S332</f>
        <v/>
      </c>
      <c r="U332" s="18" t="n">
        <v>0.4</v>
      </c>
      <c r="V332" s="26" t="n">
        <v>34.53169491525423</v>
      </c>
      <c r="W332" s="26">
        <f>V332 - L332</f>
        <v/>
      </c>
    </row>
    <row r="333">
      <c r="A333" s="11" t="n">
        <v>46207</v>
      </c>
      <c r="B333" s="1" t="n">
        <v>20049</v>
      </c>
      <c r="C333" s="1" t="inlineStr">
        <is>
          <t>025</t>
        </is>
      </c>
      <c r="D333" s="1" t="inlineStr">
        <is>
          <t xml:space="preserve">32911 </t>
        </is>
      </c>
      <c r="E333" s="1" t="inlineStr">
        <is>
          <t xml:space="preserve">34840568       </t>
        </is>
      </c>
      <c r="F333" s="5" t="inlineStr">
        <is>
          <t>VIP MUNECAS ESCUELA DE PEINADOS SURTIDO</t>
        </is>
      </c>
      <c r="G333" t="n">
        <v>1</v>
      </c>
      <c r="H333" s="7" t="n">
        <v>79.90000000000001</v>
      </c>
      <c r="I333" s="7" t="n">
        <v>0</v>
      </c>
      <c r="J333" s="7" t="n">
        <v>0</v>
      </c>
      <c r="K333" s="9" t="n">
        <v>0</v>
      </c>
      <c r="L333" s="10" t="n">
        <v>47.4</v>
      </c>
      <c r="M333" s="10" t="n">
        <v>1.43</v>
      </c>
      <c r="N333" t="inlineStr">
        <is>
          <t>1</t>
        </is>
      </c>
      <c r="O333" t="inlineStr">
        <is>
          <t>16</t>
        </is>
      </c>
      <c r="P333" t="inlineStr">
        <is>
          <t xml:space="preserve">250381  </t>
        </is>
      </c>
      <c r="Q333" s="26" t="n">
        <v>79.90000000000001</v>
      </c>
      <c r="R333" s="26">
        <f>Q333*G333</f>
        <v/>
      </c>
      <c r="S333" t="n">
        <v>47.4</v>
      </c>
      <c r="T333" s="18">
        <f>1 - V333/S333</f>
        <v/>
      </c>
      <c r="U333" s="18" t="n">
        <v>0.4</v>
      </c>
      <c r="V333" s="26" t="n">
        <v>34.53169491525423</v>
      </c>
      <c r="W333" s="26">
        <f>V333 - L333</f>
        <v/>
      </c>
    </row>
    <row r="334">
      <c r="A334" s="11" t="n">
        <v>46207</v>
      </c>
      <c r="B334" s="1" t="n">
        <v>20049</v>
      </c>
      <c r="C334" s="1" t="inlineStr">
        <is>
          <t>803</t>
        </is>
      </c>
      <c r="D334" s="1" t="inlineStr">
        <is>
          <t xml:space="preserve">5186  </t>
        </is>
      </c>
      <c r="E334" s="1" t="inlineStr">
        <is>
          <t xml:space="preserve">29235706       </t>
        </is>
      </c>
      <c r="F334" s="5" t="inlineStr">
        <is>
          <t>TEAMSTERZ CAMION PARA GUARDAR 12 AUTOS INCL 4 AUTO</t>
        </is>
      </c>
      <c r="G334" t="n">
        <v>1</v>
      </c>
      <c r="H334" s="7" t="n">
        <v>59.9</v>
      </c>
      <c r="I334" s="7" t="n">
        <v>0</v>
      </c>
      <c r="J334" s="7" t="n">
        <v>0</v>
      </c>
      <c r="K334" s="9" t="n">
        <v>0</v>
      </c>
      <c r="L334" s="10" t="n">
        <v>35.53</v>
      </c>
      <c r="M334" s="10" t="n">
        <v>1.43</v>
      </c>
      <c r="N334" t="inlineStr">
        <is>
          <t>1</t>
        </is>
      </c>
      <c r="O334" t="inlineStr">
        <is>
          <t>16</t>
        </is>
      </c>
      <c r="P334" t="inlineStr">
        <is>
          <t xml:space="preserve">0       </t>
        </is>
      </c>
      <c r="Q334" s="26" t="n">
        <v>59.90000000000001</v>
      </c>
      <c r="R334" s="26">
        <f>Q334*G334</f>
        <v/>
      </c>
      <c r="S334" t="n">
        <v>35.53</v>
      </c>
      <c r="T334" s="18">
        <f>1 - V334/S334</f>
        <v/>
      </c>
      <c r="U334" s="18" t="n">
        <v>0</v>
      </c>
      <c r="V334" s="26" t="n">
        <v>35.53</v>
      </c>
      <c r="W334" s="26">
        <f>V334 - L334</f>
        <v/>
      </c>
    </row>
    <row r="335">
      <c r="A335" s="11" t="n">
        <v>46207</v>
      </c>
      <c r="B335" s="1" t="n">
        <v>20056</v>
      </c>
      <c r="C335" s="1" t="inlineStr">
        <is>
          <t>020</t>
        </is>
      </c>
      <c r="D335" s="1" t="inlineStr">
        <is>
          <t xml:space="preserve">21554 </t>
        </is>
      </c>
      <c r="E335" s="1" t="inlineStr">
        <is>
          <t xml:space="preserve">28194769       </t>
        </is>
      </c>
      <c r="F335" s="5" t="inlineStr">
        <is>
          <t>AUTOS DE METAL 3 TEAMSTERZ PACK DE 2</t>
        </is>
      </c>
      <c r="G335" t="n">
        <v>1</v>
      </c>
      <c r="H335" s="7" t="n">
        <v>13.8</v>
      </c>
      <c r="I335" s="7" t="n">
        <v>0</v>
      </c>
      <c r="J335" s="7" t="n">
        <v>0</v>
      </c>
      <c r="K335" s="9" t="n">
        <v>0</v>
      </c>
      <c r="L335" s="10" t="n">
        <v>8.18</v>
      </c>
      <c r="M335" s="10" t="n">
        <v>1.43</v>
      </c>
      <c r="N335" t="inlineStr">
        <is>
          <t>1</t>
        </is>
      </c>
      <c r="O335" t="inlineStr">
        <is>
          <t xml:space="preserve">3 </t>
        </is>
      </c>
      <c r="P335" t="inlineStr">
        <is>
          <t xml:space="preserve">244417  </t>
        </is>
      </c>
      <c r="Q335" s="26" t="n">
        <v>13.8</v>
      </c>
      <c r="R335" s="26">
        <f>Q335*G335</f>
        <v/>
      </c>
      <c r="S335" t="n">
        <v>8.19</v>
      </c>
      <c r="T335" s="18">
        <f>1 - V335/S335</f>
        <v/>
      </c>
      <c r="U335" s="18" t="n">
        <v>0</v>
      </c>
      <c r="V335" s="26" t="n">
        <v>8.19</v>
      </c>
      <c r="W335" s="26">
        <f>V335 - L335</f>
        <v/>
      </c>
    </row>
    <row r="336">
      <c r="A336" s="11" t="n">
        <v>46207</v>
      </c>
      <c r="B336" s="1" t="n">
        <v>20056</v>
      </c>
      <c r="C336" s="1" t="inlineStr">
        <is>
          <t>021</t>
        </is>
      </c>
      <c r="D336" s="1" t="inlineStr">
        <is>
          <t xml:space="preserve">51909 </t>
        </is>
      </c>
      <c r="E336" s="1" t="inlineStr">
        <is>
          <t xml:space="preserve">29235708       </t>
        </is>
      </c>
      <c r="F336" s="5" t="inlineStr">
        <is>
          <t>TEAMSTERZ RESCATE POR AIRE Y MAR</t>
        </is>
      </c>
      <c r="G336" t="n">
        <v>1</v>
      </c>
      <c r="H336" s="7" t="n">
        <v>39.9</v>
      </c>
      <c r="I336" s="7" t="n">
        <v>0</v>
      </c>
      <c r="J336" s="7" t="n">
        <v>0</v>
      </c>
      <c r="K336" s="9" t="n">
        <v>0</v>
      </c>
      <c r="L336" s="10" t="n">
        <v>23.67</v>
      </c>
      <c r="M336" s="10" t="n">
        <v>1.43</v>
      </c>
      <c r="N336" t="inlineStr">
        <is>
          <t>1</t>
        </is>
      </c>
      <c r="O336" t="inlineStr">
        <is>
          <t>16</t>
        </is>
      </c>
      <c r="P336" t="inlineStr">
        <is>
          <t xml:space="preserve">248464  </t>
        </is>
      </c>
      <c r="Q336" s="26" t="n">
        <v>39.9</v>
      </c>
      <c r="R336" s="26">
        <f>Q336*G336</f>
        <v/>
      </c>
      <c r="S336" t="n">
        <v>23.67</v>
      </c>
      <c r="T336" s="18">
        <f>1 - V336/S336</f>
        <v/>
      </c>
      <c r="U336" s="18" t="n">
        <v>0</v>
      </c>
      <c r="V336" s="26" t="n">
        <v>23.67</v>
      </c>
      <c r="W336" s="26">
        <f>V336 - L336</f>
        <v/>
      </c>
    </row>
    <row r="337">
      <c r="A337" s="11" t="n">
        <v>46207</v>
      </c>
      <c r="B337" s="1" t="n">
        <v>20056</v>
      </c>
      <c r="C337" s="1" t="inlineStr">
        <is>
          <t>021</t>
        </is>
      </c>
      <c r="D337" s="1" t="inlineStr">
        <is>
          <t xml:space="preserve">51909 </t>
        </is>
      </c>
      <c r="E337" s="1" t="inlineStr">
        <is>
          <t xml:space="preserve">30232284       </t>
        </is>
      </c>
      <c r="F337" s="5" t="inlineStr">
        <is>
          <t>INFINITY NADO TROMPO DE BATALLA - METAL C/PUNTA DE</t>
        </is>
      </c>
      <c r="G337" t="n">
        <v>1</v>
      </c>
      <c r="H337" s="7" t="n">
        <v>49.9</v>
      </c>
      <c r="I337" s="7" t="n">
        <v>0</v>
      </c>
      <c r="J337" s="7" t="n">
        <v>0</v>
      </c>
      <c r="K337" s="9" t="n">
        <v>0</v>
      </c>
      <c r="L337" s="10" t="n">
        <v>29.6</v>
      </c>
      <c r="M337" s="10" t="n">
        <v>1.43</v>
      </c>
      <c r="N337" t="inlineStr">
        <is>
          <t>1</t>
        </is>
      </c>
      <c r="O337" t="inlineStr">
        <is>
          <t>16</t>
        </is>
      </c>
      <c r="P337" t="inlineStr">
        <is>
          <t xml:space="preserve">248464  </t>
        </is>
      </c>
      <c r="Q337" s="26" t="n">
        <v>49.9</v>
      </c>
      <c r="R337" s="26">
        <f>Q337*G337</f>
        <v/>
      </c>
      <c r="S337" t="n">
        <v>29.6</v>
      </c>
      <c r="T337" s="18">
        <f>1 - V337/S337</f>
        <v/>
      </c>
      <c r="U337" s="18" t="n">
        <v>0.3006012024048096</v>
      </c>
      <c r="V337" s="26" t="n">
        <v>22.18220338983051</v>
      </c>
      <c r="W337" s="26">
        <f>V337 - L337</f>
        <v/>
      </c>
    </row>
    <row r="338">
      <c r="A338" s="11" t="n">
        <v>46207</v>
      </c>
      <c r="B338" s="1" t="n">
        <v>20056</v>
      </c>
      <c r="C338" s="1" t="inlineStr">
        <is>
          <t>021</t>
        </is>
      </c>
      <c r="D338" s="1" t="inlineStr">
        <is>
          <t xml:space="preserve">51979 </t>
        </is>
      </c>
      <c r="E338" s="1" t="inlineStr">
        <is>
          <t xml:space="preserve">28194770       </t>
        </is>
      </c>
      <c r="F338" s="5" t="inlineStr">
        <is>
          <t>AUTOS DE METAL 3 TEAMSTERZ EN BLISTER</t>
        </is>
      </c>
      <c r="G338" t="n">
        <v>1</v>
      </c>
      <c r="H338" s="7" t="n">
        <v>6.9</v>
      </c>
      <c r="I338" s="7" t="n">
        <v>0</v>
      </c>
      <c r="J338" s="7" t="n">
        <v>0</v>
      </c>
      <c r="K338" s="9" t="n">
        <v>0</v>
      </c>
      <c r="L338" s="10" t="n">
        <v>4.1</v>
      </c>
      <c r="M338" s="10" t="n">
        <v>1.43</v>
      </c>
      <c r="N338" t="inlineStr">
        <is>
          <t>1</t>
        </is>
      </c>
      <c r="O338" t="inlineStr">
        <is>
          <t xml:space="preserve">2 </t>
        </is>
      </c>
      <c r="P338" t="inlineStr">
        <is>
          <t xml:space="preserve">248464  </t>
        </is>
      </c>
      <c r="Q338" s="26" t="n">
        <v>6.9</v>
      </c>
      <c r="R338" s="26">
        <f>Q338*G338</f>
        <v/>
      </c>
      <c r="S338" t="n">
        <v>4.09</v>
      </c>
      <c r="T338" s="18">
        <f>1 - V338/S338</f>
        <v/>
      </c>
      <c r="U338" s="18" t="n">
        <v>0</v>
      </c>
      <c r="V338" s="26" t="n">
        <v>4.09</v>
      </c>
      <c r="W338" s="26">
        <f>V338 - L338</f>
        <v/>
      </c>
    </row>
    <row r="339">
      <c r="A339" s="11" t="n">
        <v>46207</v>
      </c>
      <c r="B339" s="1" t="n">
        <v>20057</v>
      </c>
      <c r="C339" s="1" t="inlineStr">
        <is>
          <t>014</t>
        </is>
      </c>
      <c r="D339" s="1" t="inlineStr">
        <is>
          <t xml:space="preserve">44721 </t>
        </is>
      </c>
      <c r="E339" s="1" t="inlineStr">
        <is>
          <t xml:space="preserve">31959956       </t>
        </is>
      </c>
      <c r="F339" s="5" t="inlineStr">
        <is>
          <t>TEAMSTERZ CAMION TRANSPORTA ANIMALES SURTIDO</t>
        </is>
      </c>
      <c r="G339" t="n">
        <v>1</v>
      </c>
      <c r="H339" s="7" t="n">
        <v>17.9</v>
      </c>
      <c r="I339" s="7" t="n">
        <v>0</v>
      </c>
      <c r="J339" s="7" t="n">
        <v>0</v>
      </c>
      <c r="K339" s="9" t="n">
        <v>0</v>
      </c>
      <c r="L339" s="10" t="n">
        <v>10.62</v>
      </c>
      <c r="M339" s="10" t="n">
        <v>1.43</v>
      </c>
      <c r="N339" t="inlineStr">
        <is>
          <t>1</t>
        </is>
      </c>
      <c r="O339" t="inlineStr">
        <is>
          <t>16</t>
        </is>
      </c>
      <c r="P339" t="inlineStr">
        <is>
          <t xml:space="preserve">62973   </t>
        </is>
      </c>
      <c r="Q339" s="26" t="n">
        <v>17.9</v>
      </c>
      <c r="R339" s="26">
        <f>Q339*G339</f>
        <v/>
      </c>
      <c r="S339" t="n">
        <v>10.62</v>
      </c>
      <c r="T339" s="18">
        <f>1 - V339/S339</f>
        <v/>
      </c>
      <c r="U339" s="18" t="n">
        <v>0</v>
      </c>
      <c r="V339" s="26" t="n">
        <v>10.62</v>
      </c>
      <c r="W339" s="26">
        <f>V339 - L339</f>
        <v/>
      </c>
    </row>
    <row r="340">
      <c r="A340" s="11" t="n">
        <v>46207</v>
      </c>
      <c r="B340" s="1" t="n">
        <v>20057</v>
      </c>
      <c r="C340" s="1" t="inlineStr">
        <is>
          <t>014</t>
        </is>
      </c>
      <c r="D340" s="1" t="inlineStr">
        <is>
          <t xml:space="preserve">44721 </t>
        </is>
      </c>
      <c r="E340" s="1" t="inlineStr">
        <is>
          <t xml:space="preserve">31959956       </t>
        </is>
      </c>
      <c r="F340" s="5" t="inlineStr">
        <is>
          <t>TEAMSTERZ CAMION TRANSPORTA ANIMALES SURTIDO</t>
        </is>
      </c>
      <c r="G340" t="n">
        <v>1</v>
      </c>
      <c r="H340" s="7" t="n">
        <v>17.9</v>
      </c>
      <c r="I340" s="7" t="n">
        <v>0</v>
      </c>
      <c r="J340" s="7" t="n">
        <v>0</v>
      </c>
      <c r="K340" s="9" t="n">
        <v>0</v>
      </c>
      <c r="L340" s="10" t="n">
        <v>10.62</v>
      </c>
      <c r="M340" s="10" t="n">
        <v>1.43</v>
      </c>
      <c r="N340" t="inlineStr">
        <is>
          <t>1</t>
        </is>
      </c>
      <c r="O340" t="inlineStr">
        <is>
          <t>16</t>
        </is>
      </c>
      <c r="P340" t="inlineStr">
        <is>
          <t xml:space="preserve">62973   </t>
        </is>
      </c>
      <c r="Q340" s="26" t="n">
        <v>17.9</v>
      </c>
      <c r="R340" s="26">
        <f>Q340*G340</f>
        <v/>
      </c>
      <c r="S340" t="n">
        <v>10.62</v>
      </c>
      <c r="T340" s="18">
        <f>1 - V340/S340</f>
        <v/>
      </c>
      <c r="U340" s="18" t="n">
        <v>0</v>
      </c>
      <c r="V340" s="26" t="n">
        <v>10.62</v>
      </c>
      <c r="W340" s="26">
        <f>V340 - L340</f>
        <v/>
      </c>
    </row>
    <row r="341">
      <c r="A341" s="11" t="n">
        <v>46207</v>
      </c>
      <c r="B341" s="1" t="n">
        <v>20057</v>
      </c>
      <c r="C341" s="1" t="inlineStr">
        <is>
          <t>014</t>
        </is>
      </c>
      <c r="D341" s="1" t="inlineStr">
        <is>
          <t xml:space="preserve">44721 </t>
        </is>
      </c>
      <c r="E341" s="1" t="inlineStr">
        <is>
          <t xml:space="preserve">31959956       </t>
        </is>
      </c>
      <c r="F341" s="5" t="inlineStr">
        <is>
          <t>TEAMSTERZ CAMION TRANSPORTA ANIMALES SURTIDO</t>
        </is>
      </c>
      <c r="G341" t="n">
        <v>1</v>
      </c>
      <c r="H341" s="7" t="n">
        <v>17.9</v>
      </c>
      <c r="I341" s="7" t="n">
        <v>0</v>
      </c>
      <c r="J341" s="7" t="n">
        <v>0</v>
      </c>
      <c r="K341" s="9" t="n">
        <v>0</v>
      </c>
      <c r="L341" s="10" t="n">
        <v>10.62</v>
      </c>
      <c r="M341" s="10" t="n">
        <v>1.43</v>
      </c>
      <c r="N341" t="inlineStr">
        <is>
          <t>1</t>
        </is>
      </c>
      <c r="O341" t="inlineStr">
        <is>
          <t>16</t>
        </is>
      </c>
      <c r="P341" t="inlineStr">
        <is>
          <t xml:space="preserve">62973   </t>
        </is>
      </c>
      <c r="Q341" s="26" t="n">
        <v>17.9</v>
      </c>
      <c r="R341" s="26">
        <f>Q341*G341</f>
        <v/>
      </c>
      <c r="S341" t="n">
        <v>10.62</v>
      </c>
      <c r="T341" s="18">
        <f>1 - V341/S341</f>
        <v/>
      </c>
      <c r="U341" s="18" t="n">
        <v>0</v>
      </c>
      <c r="V341" s="26" t="n">
        <v>10.62</v>
      </c>
      <c r="W341" s="26">
        <f>V341 - L341</f>
        <v/>
      </c>
    </row>
    <row r="342">
      <c r="A342" s="11" t="n">
        <v>46207</v>
      </c>
      <c r="B342" s="1" t="n">
        <v>20057</v>
      </c>
      <c r="C342" s="1" t="inlineStr">
        <is>
          <t>032</t>
        </is>
      </c>
      <c r="D342" s="1" t="inlineStr">
        <is>
          <t xml:space="preserve">73823 </t>
        </is>
      </c>
      <c r="E342" s="1" t="inlineStr">
        <is>
          <t xml:space="preserve">28194770       </t>
        </is>
      </c>
      <c r="F342" s="5" t="inlineStr">
        <is>
          <t>AUTOS DE METAL 3 TEAMSTERZ EN BLISTER</t>
        </is>
      </c>
      <c r="G342" t="n">
        <v>1</v>
      </c>
      <c r="H342" s="7" t="n">
        <v>6.9</v>
      </c>
      <c r="I342" s="7" t="n">
        <v>0</v>
      </c>
      <c r="J342" s="7" t="n">
        <v>0</v>
      </c>
      <c r="K342" s="9" t="n">
        <v>0</v>
      </c>
      <c r="L342" s="10" t="n">
        <v>4.1</v>
      </c>
      <c r="M342" s="10" t="n">
        <v>1.43</v>
      </c>
      <c r="N342" t="inlineStr">
        <is>
          <t>1</t>
        </is>
      </c>
      <c r="O342" t="inlineStr">
        <is>
          <t>16</t>
        </is>
      </c>
      <c r="P342" t="inlineStr">
        <is>
          <t xml:space="preserve">250316  </t>
        </is>
      </c>
      <c r="Q342" s="26" t="n">
        <v>6.9</v>
      </c>
      <c r="R342" s="26">
        <f>Q342*G342</f>
        <v/>
      </c>
      <c r="S342" t="n">
        <v>4.09</v>
      </c>
      <c r="T342" s="18">
        <f>1 - V342/S342</f>
        <v/>
      </c>
      <c r="U342" s="18" t="n">
        <v>0</v>
      </c>
      <c r="V342" s="26" t="n">
        <v>4.09</v>
      </c>
      <c r="W342" s="26">
        <f>V342 - L342</f>
        <v/>
      </c>
    </row>
    <row r="343">
      <c r="A343" s="11" t="n">
        <v>46207</v>
      </c>
      <c r="B343" s="1" t="n">
        <v>20057</v>
      </c>
      <c r="C343" s="1" t="inlineStr">
        <is>
          <t>032</t>
        </is>
      </c>
      <c r="D343" s="1" t="inlineStr">
        <is>
          <t xml:space="preserve">73874 </t>
        </is>
      </c>
      <c r="E343" s="1" t="inlineStr">
        <is>
          <t xml:space="preserve">28194770       </t>
        </is>
      </c>
      <c r="F343" s="5" t="inlineStr">
        <is>
          <t>AUTOS DE METAL 3 TEAMSTERZ EN BLISTER</t>
        </is>
      </c>
      <c r="G343" t="n">
        <v>1</v>
      </c>
      <c r="H343" s="7" t="n">
        <v>6.9</v>
      </c>
      <c r="I343" s="7" t="n">
        <v>0</v>
      </c>
      <c r="J343" s="7" t="n">
        <v>0</v>
      </c>
      <c r="K343" s="9" t="n">
        <v>0</v>
      </c>
      <c r="L343" s="10" t="n">
        <v>4.1</v>
      </c>
      <c r="M343" s="10" t="n">
        <v>1.43</v>
      </c>
      <c r="N343" t="inlineStr">
        <is>
          <t>1</t>
        </is>
      </c>
      <c r="O343" t="inlineStr">
        <is>
          <t>16</t>
        </is>
      </c>
      <c r="P343" t="inlineStr">
        <is>
          <t xml:space="preserve">250316  </t>
        </is>
      </c>
      <c r="Q343" s="26" t="n">
        <v>6.9</v>
      </c>
      <c r="R343" s="26">
        <f>Q343*G343</f>
        <v/>
      </c>
      <c r="S343" t="n">
        <v>4.09</v>
      </c>
      <c r="T343" s="18">
        <f>1 - V343/S343</f>
        <v/>
      </c>
      <c r="U343" s="18" t="n">
        <v>0</v>
      </c>
      <c r="V343" s="26" t="n">
        <v>4.09</v>
      </c>
      <c r="W343" s="26">
        <f>V343 - L343</f>
        <v/>
      </c>
    </row>
    <row r="344">
      <c r="A344" s="11" t="n">
        <v>46207</v>
      </c>
      <c r="B344" s="1" t="n">
        <v>20057</v>
      </c>
      <c r="C344" s="1" t="inlineStr">
        <is>
          <t>033</t>
        </is>
      </c>
      <c r="D344" s="1" t="inlineStr">
        <is>
          <t xml:space="preserve">66130 </t>
        </is>
      </c>
      <c r="E344" s="1" t="inlineStr">
        <is>
          <t xml:space="preserve">28194769       </t>
        </is>
      </c>
      <c r="F344" s="5" t="inlineStr">
        <is>
          <t>AUTOS DE METAL 3 TEAMSTERZ PACK DE 2</t>
        </is>
      </c>
      <c r="G344" t="n">
        <v>1</v>
      </c>
      <c r="H344" s="7" t="n">
        <v>13.8</v>
      </c>
      <c r="I344" s="7" t="n">
        <v>2.76</v>
      </c>
      <c r="J344" s="7" t="n">
        <v>0</v>
      </c>
      <c r="K344" s="9" t="n">
        <v>2.76</v>
      </c>
      <c r="L344" s="10" t="n">
        <v>6.55</v>
      </c>
      <c r="M344" s="10" t="n">
        <v>1.43</v>
      </c>
      <c r="N344" t="inlineStr">
        <is>
          <t>1</t>
        </is>
      </c>
      <c r="O344" t="inlineStr">
        <is>
          <t xml:space="preserve">6 </t>
        </is>
      </c>
      <c r="P344" t="inlineStr">
        <is>
          <t xml:space="preserve">238606  </t>
        </is>
      </c>
      <c r="Q344" s="26" t="n">
        <v>13.8</v>
      </c>
      <c r="R344" s="26">
        <f>Q344*G344</f>
        <v/>
      </c>
      <c r="S344" t="n">
        <v>8.19</v>
      </c>
      <c r="T344" s="18">
        <f>1 - V344/S344</f>
        <v/>
      </c>
      <c r="U344" s="18" t="n">
        <v>0</v>
      </c>
      <c r="V344" s="26" t="n">
        <v>8.19</v>
      </c>
      <c r="W344" s="26">
        <f>V344 - L344</f>
        <v/>
      </c>
    </row>
    <row r="345">
      <c r="A345" s="11" t="n">
        <v>46207</v>
      </c>
      <c r="B345" s="1" t="n">
        <v>20057</v>
      </c>
      <c r="C345" s="1" t="inlineStr">
        <is>
          <t>033</t>
        </is>
      </c>
      <c r="D345" s="1" t="inlineStr">
        <is>
          <t xml:space="preserve">66187 </t>
        </is>
      </c>
      <c r="E345" s="1" t="inlineStr">
        <is>
          <t xml:space="preserve">28194770       </t>
        </is>
      </c>
      <c r="F345" s="5" t="inlineStr">
        <is>
          <t>AUTOS DE METAL 3 TEAMSTERZ EN BLISTER</t>
        </is>
      </c>
      <c r="G345" t="n">
        <v>1</v>
      </c>
      <c r="H345" s="7" t="n">
        <v>6.9</v>
      </c>
      <c r="I345" s="7" t="n">
        <v>0</v>
      </c>
      <c r="J345" s="7" t="n">
        <v>0</v>
      </c>
      <c r="K345" s="9" t="n">
        <v>0</v>
      </c>
      <c r="L345" s="10" t="n">
        <v>4.1</v>
      </c>
      <c r="M345" s="10" t="n">
        <v>1.43</v>
      </c>
      <c r="N345" t="inlineStr">
        <is>
          <t>1</t>
        </is>
      </c>
      <c r="O345" t="inlineStr">
        <is>
          <t>16</t>
        </is>
      </c>
      <c r="P345" t="inlineStr">
        <is>
          <t xml:space="preserve">238606  </t>
        </is>
      </c>
      <c r="Q345" s="26" t="n">
        <v>6.9</v>
      </c>
      <c r="R345" s="26">
        <f>Q345*G345</f>
        <v/>
      </c>
      <c r="S345" t="n">
        <v>4.09</v>
      </c>
      <c r="T345" s="18">
        <f>1 - V345/S345</f>
        <v/>
      </c>
      <c r="U345" s="18" t="n">
        <v>0</v>
      </c>
      <c r="V345" s="26" t="n">
        <v>4.09</v>
      </c>
      <c r="W345" s="26">
        <f>V345 - L345</f>
        <v/>
      </c>
    </row>
    <row r="346">
      <c r="A346" s="11" t="n">
        <v>46207</v>
      </c>
      <c r="B346" s="1" t="n">
        <v>20057</v>
      </c>
      <c r="C346" s="1" t="inlineStr">
        <is>
          <t>033</t>
        </is>
      </c>
      <c r="D346" s="1" t="inlineStr">
        <is>
          <t xml:space="preserve">66202 </t>
        </is>
      </c>
      <c r="E346" s="1" t="inlineStr">
        <is>
          <t xml:space="preserve">29854052       </t>
        </is>
      </c>
      <c r="F346" s="5" t="inlineStr">
        <is>
          <t>PLAYSET CAMBIA DE COLOR CROC BITE</t>
        </is>
      </c>
      <c r="G346" t="n">
        <v>1</v>
      </c>
      <c r="H346" s="7" t="n">
        <v>79.90000000000001</v>
      </c>
      <c r="I346" s="7" t="n">
        <v>0</v>
      </c>
      <c r="J346" s="7" t="n">
        <v>0</v>
      </c>
      <c r="K346" s="9" t="n">
        <v>0</v>
      </c>
      <c r="L346" s="10" t="n">
        <v>47.4</v>
      </c>
      <c r="M346" s="10" t="n">
        <v>1.43</v>
      </c>
      <c r="N346" t="inlineStr">
        <is>
          <t>1</t>
        </is>
      </c>
      <c r="O346" t="inlineStr">
        <is>
          <t>16</t>
        </is>
      </c>
      <c r="P346" t="inlineStr">
        <is>
          <t xml:space="preserve">238606  </t>
        </is>
      </c>
      <c r="Q346" s="26" t="n">
        <v>79.90000000000001</v>
      </c>
      <c r="R346" s="26">
        <f>Q346*G346</f>
        <v/>
      </c>
      <c r="S346" t="n">
        <v>47.4</v>
      </c>
      <c r="T346" s="18">
        <f>1 - V346/S346</f>
        <v/>
      </c>
      <c r="U346" s="18" t="n">
        <v>0</v>
      </c>
      <c r="V346" s="26" t="n">
        <v>47.4</v>
      </c>
      <c r="W346" s="26">
        <f>V346 - L346</f>
        <v/>
      </c>
    </row>
    <row r="347">
      <c r="A347" s="11" t="n">
        <v>46207</v>
      </c>
      <c r="B347" s="1" t="n">
        <v>20057</v>
      </c>
      <c r="C347" s="1" t="inlineStr">
        <is>
          <t>033</t>
        </is>
      </c>
      <c r="D347" s="1" t="inlineStr">
        <is>
          <t xml:space="preserve">66237 </t>
        </is>
      </c>
      <c r="E347" s="1" t="inlineStr">
        <is>
          <t xml:space="preserve">32656523       </t>
        </is>
      </c>
      <c r="F347" s="5" t="inlineStr">
        <is>
          <t>TMZ BEAST MACHINES TRANSPORT. T-REX ELECTR. + ACCE</t>
        </is>
      </c>
      <c r="G347" t="n">
        <v>1</v>
      </c>
      <c r="H347" s="7" t="n">
        <v>179</v>
      </c>
      <c r="I347" s="7" t="n">
        <v>0</v>
      </c>
      <c r="J347" s="7" t="n">
        <v>0</v>
      </c>
      <c r="K347" s="9" t="n">
        <v>0</v>
      </c>
      <c r="L347" s="10" t="n">
        <v>106.18</v>
      </c>
      <c r="M347" s="10" t="n">
        <v>1.43</v>
      </c>
      <c r="N347" t="inlineStr">
        <is>
          <t>1</t>
        </is>
      </c>
      <c r="O347" t="inlineStr">
        <is>
          <t>16</t>
        </is>
      </c>
      <c r="P347" t="inlineStr">
        <is>
          <t xml:space="preserve">242831  </t>
        </is>
      </c>
      <c r="Q347" s="26" t="n">
        <v>179</v>
      </c>
      <c r="R347" s="26">
        <f>Q347*G347</f>
        <v/>
      </c>
      <c r="S347" t="n">
        <v>106.19</v>
      </c>
      <c r="T347" s="18">
        <f>1 - V347/S347</f>
        <v/>
      </c>
      <c r="U347" s="18" t="n">
        <v>0</v>
      </c>
      <c r="V347" s="26" t="n">
        <v>106.19</v>
      </c>
      <c r="W347" s="26">
        <f>V347 - L347</f>
        <v/>
      </c>
    </row>
    <row r="348">
      <c r="A348" s="11" t="n">
        <v>46207</v>
      </c>
      <c r="B348" s="1" t="n">
        <v>20057</v>
      </c>
      <c r="C348" s="1" t="inlineStr">
        <is>
          <t>530</t>
        </is>
      </c>
      <c r="D348" s="1" t="inlineStr">
        <is>
          <t xml:space="preserve">3401  </t>
        </is>
      </c>
      <c r="E348" s="1" t="inlineStr">
        <is>
          <t xml:space="preserve">29235702       </t>
        </is>
      </c>
      <c r="F348" s="5" t="inlineStr">
        <is>
          <t>INFINITY NADO TROMPO DE BATALLA - METAL C/ ANILLO</t>
        </is>
      </c>
      <c r="G348" t="n">
        <v>1</v>
      </c>
      <c r="H348" s="7" t="n">
        <v>69.90000000000001</v>
      </c>
      <c r="I348" s="7" t="n">
        <v>0</v>
      </c>
      <c r="J348" s="7" t="n">
        <v>0</v>
      </c>
      <c r="K348" s="9" t="n">
        <v>0</v>
      </c>
      <c r="L348" s="10" t="n">
        <v>41.47</v>
      </c>
      <c r="M348" s="10" t="n">
        <v>1.43</v>
      </c>
      <c r="N348" t="inlineStr">
        <is>
          <t>1</t>
        </is>
      </c>
      <c r="O348" t="inlineStr">
        <is>
          <t>16</t>
        </is>
      </c>
      <c r="P348" t="inlineStr">
        <is>
          <t xml:space="preserve">242357  </t>
        </is>
      </c>
      <c r="Q348" s="26" t="n">
        <v>69.90000000000001</v>
      </c>
      <c r="R348" s="26">
        <f>Q348*G348</f>
        <v/>
      </c>
      <c r="S348" t="n">
        <v>41.47</v>
      </c>
      <c r="T348" s="18">
        <f>1 - V348/S348</f>
        <v/>
      </c>
      <c r="U348" s="18" t="n">
        <v>0.2861230329041489</v>
      </c>
      <c r="V348" s="26" t="n">
        <v>31.71610169491525</v>
      </c>
      <c r="W348" s="26">
        <f>V348 - L348</f>
        <v/>
      </c>
    </row>
    <row r="349">
      <c r="A349" s="11" t="n">
        <v>46207</v>
      </c>
      <c r="B349" s="1" t="n">
        <v>20058</v>
      </c>
      <c r="C349" s="1" t="inlineStr">
        <is>
          <t>038</t>
        </is>
      </c>
      <c r="D349" s="1" t="inlineStr">
        <is>
          <t>208261</t>
        </is>
      </c>
      <c r="E349" s="1" t="inlineStr">
        <is>
          <t xml:space="preserve">28194770       </t>
        </is>
      </c>
      <c r="F349" s="5" t="inlineStr">
        <is>
          <t>AUTOS DE METAL 3 TEAMSTERZ EN BLISTER</t>
        </is>
      </c>
      <c r="G349" t="n">
        <v>1</v>
      </c>
      <c r="H349" s="7" t="n">
        <v>6.9</v>
      </c>
      <c r="I349" s="7" t="n">
        <v>0</v>
      </c>
      <c r="J349" s="7" t="n">
        <v>0</v>
      </c>
      <c r="K349" s="9" t="n">
        <v>0</v>
      </c>
      <c r="L349" s="10" t="n">
        <v>4.1</v>
      </c>
      <c r="M349" s="10" t="n">
        <v>1.43</v>
      </c>
      <c r="N349" t="inlineStr">
        <is>
          <t>1</t>
        </is>
      </c>
      <c r="O349" t="inlineStr">
        <is>
          <t>16</t>
        </is>
      </c>
      <c r="P349" t="inlineStr">
        <is>
          <t xml:space="preserve">246156  </t>
        </is>
      </c>
      <c r="Q349" s="26" t="n">
        <v>6.9</v>
      </c>
      <c r="R349" s="26">
        <f>Q349*G349</f>
        <v/>
      </c>
      <c r="S349" t="n">
        <v>4.09</v>
      </c>
      <c r="T349" s="18">
        <f>1 - V349/S349</f>
        <v/>
      </c>
      <c r="U349" s="18" t="n">
        <v>0</v>
      </c>
      <c r="V349" s="26" t="n">
        <v>4.09</v>
      </c>
      <c r="W349" s="26">
        <f>V349 - L349</f>
        <v/>
      </c>
    </row>
    <row r="350">
      <c r="A350" s="11" t="n">
        <v>46207</v>
      </c>
      <c r="B350" s="1" t="n">
        <v>20058</v>
      </c>
      <c r="C350" s="1" t="inlineStr">
        <is>
          <t>038</t>
        </is>
      </c>
      <c r="D350" s="1" t="inlineStr">
        <is>
          <t>208285</t>
        </is>
      </c>
      <c r="E350" s="1" t="inlineStr">
        <is>
          <t xml:space="preserve">28194780       </t>
        </is>
      </c>
      <c r="F350" s="5" t="inlineStr">
        <is>
          <t>TROMPO BATALLA INFINITY NADO PLSTICO SURTIDO</t>
        </is>
      </c>
      <c r="G350" t="n">
        <v>1</v>
      </c>
      <c r="H350" s="7" t="n">
        <v>19.9</v>
      </c>
      <c r="I350" s="7" t="n">
        <v>0</v>
      </c>
      <c r="J350" s="7" t="n">
        <v>0</v>
      </c>
      <c r="K350" s="9" t="n">
        <v>0</v>
      </c>
      <c r="L350" s="10" t="n">
        <v>11.8</v>
      </c>
      <c r="M350" s="10" t="n">
        <v>1.43</v>
      </c>
      <c r="N350" t="inlineStr">
        <is>
          <t>1</t>
        </is>
      </c>
      <c r="O350" t="inlineStr">
        <is>
          <t>16</t>
        </is>
      </c>
      <c r="P350" t="inlineStr">
        <is>
          <t xml:space="preserve">246156  </t>
        </is>
      </c>
      <c r="Q350" s="26" t="n">
        <v>19.9</v>
      </c>
      <c r="R350" s="26">
        <f>Q350*G350</f>
        <v/>
      </c>
      <c r="S350" t="n">
        <v>11.81</v>
      </c>
      <c r="T350" s="18">
        <f>1 - V350/S350</f>
        <v/>
      </c>
      <c r="U350" s="18" t="n">
        <v>0</v>
      </c>
      <c r="V350" s="26" t="n">
        <v>11.81</v>
      </c>
      <c r="W350" s="26">
        <f>V350 - L350</f>
        <v/>
      </c>
    </row>
    <row r="351">
      <c r="A351" s="11" t="n">
        <v>46207</v>
      </c>
      <c r="B351" s="1" t="n">
        <v>20058</v>
      </c>
      <c r="C351" s="1" t="inlineStr">
        <is>
          <t>039</t>
        </is>
      </c>
      <c r="D351" s="1" t="inlineStr">
        <is>
          <t>229420</t>
        </is>
      </c>
      <c r="E351" s="1" t="inlineStr">
        <is>
          <t xml:space="preserve">28194770       </t>
        </is>
      </c>
      <c r="F351" s="5" t="inlineStr">
        <is>
          <t>AUTOS DE METAL 3 TEAMSTERZ EN BLISTER</t>
        </is>
      </c>
      <c r="G351" t="n">
        <v>1</v>
      </c>
      <c r="H351" s="7" t="n">
        <v>6.9</v>
      </c>
      <c r="I351" s="7" t="n">
        <v>0</v>
      </c>
      <c r="J351" s="7" t="n">
        <v>0</v>
      </c>
      <c r="K351" s="9" t="n">
        <v>0</v>
      </c>
      <c r="L351" s="10" t="n">
        <v>4.1</v>
      </c>
      <c r="M351" s="10" t="n">
        <v>1.43</v>
      </c>
      <c r="N351" t="inlineStr">
        <is>
          <t>1</t>
        </is>
      </c>
      <c r="O351" t="inlineStr">
        <is>
          <t xml:space="preserve">3 </t>
        </is>
      </c>
      <c r="P351" t="inlineStr">
        <is>
          <t xml:space="preserve">90744   </t>
        </is>
      </c>
      <c r="Q351" s="26" t="n">
        <v>6.9</v>
      </c>
      <c r="R351" s="26">
        <f>Q351*G351</f>
        <v/>
      </c>
      <c r="S351" t="n">
        <v>4.09</v>
      </c>
      <c r="T351" s="18">
        <f>1 - V351/S351</f>
        <v/>
      </c>
      <c r="U351" s="18" t="n">
        <v>0</v>
      </c>
      <c r="V351" s="26" t="n">
        <v>4.09</v>
      </c>
      <c r="W351" s="26">
        <f>V351 - L351</f>
        <v/>
      </c>
    </row>
    <row r="352">
      <c r="A352" s="11" t="n">
        <v>46207</v>
      </c>
      <c r="B352" s="1" t="n">
        <v>20058</v>
      </c>
      <c r="C352" s="1" t="inlineStr">
        <is>
          <t>039</t>
        </is>
      </c>
      <c r="D352" s="1" t="inlineStr">
        <is>
          <t>229443</t>
        </is>
      </c>
      <c r="E352" s="1" t="inlineStr">
        <is>
          <t xml:space="preserve">28194770       </t>
        </is>
      </c>
      <c r="F352" s="5" t="inlineStr">
        <is>
          <t>AUTOS DE METAL 3 TEAMSTERZ EN BLISTER</t>
        </is>
      </c>
      <c r="G352" t="n">
        <v>1</v>
      </c>
      <c r="H352" s="7" t="n">
        <v>6.9</v>
      </c>
      <c r="I352" s="7" t="n">
        <v>0</v>
      </c>
      <c r="J352" s="7" t="n">
        <v>0</v>
      </c>
      <c r="K352" s="9" t="n">
        <v>0</v>
      </c>
      <c r="L352" s="10" t="n">
        <v>4.1</v>
      </c>
      <c r="M352" s="10" t="n">
        <v>1.43</v>
      </c>
      <c r="N352" t="inlineStr">
        <is>
          <t>1</t>
        </is>
      </c>
      <c r="O352" t="inlineStr">
        <is>
          <t xml:space="preserve">2 </t>
        </is>
      </c>
      <c r="P352" t="inlineStr">
        <is>
          <t xml:space="preserve">90744   </t>
        </is>
      </c>
      <c r="Q352" s="26" t="n">
        <v>6.9</v>
      </c>
      <c r="R352" s="26">
        <f>Q352*G352</f>
        <v/>
      </c>
      <c r="S352" t="n">
        <v>4.09</v>
      </c>
      <c r="T352" s="18">
        <f>1 - V352/S352</f>
        <v/>
      </c>
      <c r="U352" s="18" t="n">
        <v>0</v>
      </c>
      <c r="V352" s="26" t="n">
        <v>4.09</v>
      </c>
      <c r="W352" s="26">
        <f>V352 - L352</f>
        <v/>
      </c>
    </row>
    <row r="353">
      <c r="A353" s="11" t="n">
        <v>46207</v>
      </c>
      <c r="B353" s="1" t="n">
        <v>20058</v>
      </c>
      <c r="C353" s="1" t="inlineStr">
        <is>
          <t>039</t>
        </is>
      </c>
      <c r="D353" s="1" t="inlineStr">
        <is>
          <t>229443</t>
        </is>
      </c>
      <c r="E353" s="1" t="inlineStr">
        <is>
          <t xml:space="preserve">28194770       </t>
        </is>
      </c>
      <c r="F353" s="5" t="inlineStr">
        <is>
          <t>AUTOS DE METAL 3 TEAMSTERZ EN BLISTER</t>
        </is>
      </c>
      <c r="G353" t="n">
        <v>1</v>
      </c>
      <c r="H353" s="7" t="n">
        <v>6.9</v>
      </c>
      <c r="I353" s="7" t="n">
        <v>0</v>
      </c>
      <c r="J353" s="7" t="n">
        <v>0</v>
      </c>
      <c r="K353" s="9" t="n">
        <v>0</v>
      </c>
      <c r="L353" s="10" t="n">
        <v>4.1</v>
      </c>
      <c r="M353" s="10" t="n">
        <v>1.43</v>
      </c>
      <c r="N353" t="inlineStr">
        <is>
          <t>1</t>
        </is>
      </c>
      <c r="O353" t="inlineStr">
        <is>
          <t xml:space="preserve">2 </t>
        </is>
      </c>
      <c r="P353" t="inlineStr">
        <is>
          <t xml:space="preserve">90744   </t>
        </is>
      </c>
      <c r="Q353" s="26" t="n">
        <v>6.9</v>
      </c>
      <c r="R353" s="26">
        <f>Q353*G353</f>
        <v/>
      </c>
      <c r="S353" t="n">
        <v>4.09</v>
      </c>
      <c r="T353" s="18">
        <f>1 - V353/S353</f>
        <v/>
      </c>
      <c r="U353" s="18" t="n">
        <v>0</v>
      </c>
      <c r="V353" s="26" t="n">
        <v>4.09</v>
      </c>
      <c r="W353" s="26">
        <f>V353 - L353</f>
        <v/>
      </c>
    </row>
    <row r="354">
      <c r="A354" s="11" t="n">
        <v>46207</v>
      </c>
      <c r="B354" s="1" t="n">
        <v>20058</v>
      </c>
      <c r="C354" s="1" t="inlineStr">
        <is>
          <t>039</t>
        </is>
      </c>
      <c r="D354" s="1" t="inlineStr">
        <is>
          <t>229444</t>
        </is>
      </c>
      <c r="E354" s="1" t="inlineStr">
        <is>
          <t xml:space="preserve">28194767       </t>
        </is>
      </c>
      <c r="F354" s="5" t="inlineStr">
        <is>
          <t>CAMIONES TEAMSTERZ DE EMERGENCIA</t>
        </is>
      </c>
      <c r="G354" t="n">
        <v>1</v>
      </c>
      <c r="H354" s="7" t="n">
        <v>17.9</v>
      </c>
      <c r="I354" s="7" t="n">
        <v>0</v>
      </c>
      <c r="J354" s="7" t="n">
        <v>0</v>
      </c>
      <c r="K354" s="9" t="n">
        <v>0</v>
      </c>
      <c r="L354" s="10" t="n">
        <v>10.62</v>
      </c>
      <c r="M354" s="10" t="n">
        <v>1.43</v>
      </c>
      <c r="N354" t="inlineStr">
        <is>
          <t>1</t>
        </is>
      </c>
      <c r="O354" t="inlineStr">
        <is>
          <t>16</t>
        </is>
      </c>
      <c r="P354" t="inlineStr">
        <is>
          <t xml:space="preserve">90744   </t>
        </is>
      </c>
      <c r="Q354" s="26" t="n">
        <v>17.9</v>
      </c>
      <c r="R354" s="26">
        <f>Q354*G354</f>
        <v/>
      </c>
      <c r="S354" t="n">
        <v>10.62</v>
      </c>
      <c r="T354" s="18">
        <f>1 - V354/S354</f>
        <v/>
      </c>
      <c r="U354" s="18" t="n">
        <v>0</v>
      </c>
      <c r="V354" s="26" t="n">
        <v>10.62</v>
      </c>
      <c r="W354" s="26">
        <f>V354 - L354</f>
        <v/>
      </c>
    </row>
    <row r="355">
      <c r="A355" s="11" t="n">
        <v>46207</v>
      </c>
      <c r="B355" s="1" t="n">
        <v>20058</v>
      </c>
      <c r="C355" s="1" t="inlineStr">
        <is>
          <t>197</t>
        </is>
      </c>
      <c r="D355" s="1" t="inlineStr">
        <is>
          <t>169728</t>
        </is>
      </c>
      <c r="E355" s="1" t="inlineStr">
        <is>
          <t xml:space="preserve">28194769       </t>
        </is>
      </c>
      <c r="F355" s="5" t="inlineStr">
        <is>
          <t>AUTOS DE METAL 3 TEAMSTERZ PACK DE 2</t>
        </is>
      </c>
      <c r="G355" t="n">
        <v>1</v>
      </c>
      <c r="H355" s="7" t="n">
        <v>13.8</v>
      </c>
      <c r="I355" s="7" t="n">
        <v>0</v>
      </c>
      <c r="J355" s="7" t="n">
        <v>0</v>
      </c>
      <c r="K355" s="9" t="n">
        <v>0</v>
      </c>
      <c r="L355" s="10" t="n">
        <v>8.18</v>
      </c>
      <c r="M355" s="10" t="n">
        <v>1.43</v>
      </c>
      <c r="N355" t="inlineStr">
        <is>
          <t>1</t>
        </is>
      </c>
      <c r="O355" t="inlineStr">
        <is>
          <t>16</t>
        </is>
      </c>
      <c r="P355" t="inlineStr">
        <is>
          <t xml:space="preserve">250714  </t>
        </is>
      </c>
      <c r="Q355" s="26" t="n">
        <v>13.8</v>
      </c>
      <c r="R355" s="26">
        <f>Q355*G355</f>
        <v/>
      </c>
      <c r="S355" t="n">
        <v>8.19</v>
      </c>
      <c r="T355" s="18">
        <f>1 - V355/S355</f>
        <v/>
      </c>
      <c r="U355" s="18" t="n">
        <v>0</v>
      </c>
      <c r="V355" s="26" t="n">
        <v>8.19</v>
      </c>
      <c r="W355" s="26">
        <f>V355 - L355</f>
        <v/>
      </c>
    </row>
    <row r="356">
      <c r="A356" s="11" t="n">
        <v>46207</v>
      </c>
      <c r="B356" s="1" t="n">
        <v>20058</v>
      </c>
      <c r="C356" s="1" t="inlineStr">
        <is>
          <t>197</t>
        </is>
      </c>
      <c r="D356" s="1" t="inlineStr">
        <is>
          <t>169744</t>
        </is>
      </c>
      <c r="E356" s="1" t="inlineStr">
        <is>
          <t xml:space="preserve">33661538       </t>
        </is>
      </c>
      <c r="F356" s="5" t="inlineStr">
        <is>
          <t>HOT WHEELS CASE GARAGE RUEDA METAL EN LLAMAS X 29</t>
        </is>
      </c>
      <c r="G356" t="n">
        <v>1</v>
      </c>
      <c r="H356" s="7" t="n">
        <v>69.90000000000001</v>
      </c>
      <c r="I356" s="7" t="n">
        <v>0</v>
      </c>
      <c r="J356" s="7" t="n">
        <v>0</v>
      </c>
      <c r="K356" s="9" t="n">
        <v>0</v>
      </c>
      <c r="L356" s="10" t="n">
        <v>41.47</v>
      </c>
      <c r="M356" s="10" t="n">
        <v>1.43</v>
      </c>
      <c r="N356" t="inlineStr">
        <is>
          <t>1</t>
        </is>
      </c>
      <c r="O356" t="inlineStr">
        <is>
          <t>16</t>
        </is>
      </c>
      <c r="P356" t="inlineStr">
        <is>
          <t xml:space="preserve">250714  </t>
        </is>
      </c>
      <c r="Q356" s="26" t="n">
        <v>69.90000000000001</v>
      </c>
      <c r="R356" s="26">
        <f>Q356*G356</f>
        <v/>
      </c>
      <c r="S356" t="n">
        <v>41.47</v>
      </c>
      <c r="T356" s="18">
        <f>1 - V356/S356</f>
        <v/>
      </c>
      <c r="U356" s="18" t="n">
        <v>0</v>
      </c>
      <c r="V356" s="26" t="n">
        <v>41.47</v>
      </c>
      <c r="W356" s="26">
        <f>V356 - L356</f>
        <v/>
      </c>
    </row>
    <row r="357">
      <c r="A357" s="11" t="n">
        <v>46207</v>
      </c>
      <c r="B357" s="1" t="n">
        <v>20058</v>
      </c>
      <c r="C357" s="1" t="inlineStr">
        <is>
          <t>800</t>
        </is>
      </c>
      <c r="D357" s="1" t="inlineStr">
        <is>
          <t xml:space="preserve">8550  </t>
        </is>
      </c>
      <c r="E357" s="1" t="inlineStr">
        <is>
          <t xml:space="preserve">28194769       </t>
        </is>
      </c>
      <c r="F357" s="5" t="inlineStr">
        <is>
          <t>AUTOS DE METAL 3 TEAMSTERZ PACK DE 2</t>
        </is>
      </c>
      <c r="G357" t="n">
        <v>1</v>
      </c>
      <c r="H357" s="7" t="n">
        <v>13.8</v>
      </c>
      <c r="I357" s="7" t="n">
        <v>0</v>
      </c>
      <c r="J357" s="7" t="n">
        <v>0</v>
      </c>
      <c r="K357" s="9" t="n">
        <v>0</v>
      </c>
      <c r="L357" s="10" t="n">
        <v>8.18</v>
      </c>
      <c r="M357" s="10" t="n">
        <v>1.43</v>
      </c>
      <c r="N357" t="inlineStr">
        <is>
          <t>1</t>
        </is>
      </c>
      <c r="O357" t="inlineStr">
        <is>
          <t>16</t>
        </is>
      </c>
      <c r="P357" t="inlineStr">
        <is>
          <t xml:space="preserve">0       </t>
        </is>
      </c>
      <c r="Q357" s="26" t="n">
        <v>13.8</v>
      </c>
      <c r="R357" s="26">
        <f>Q357*G357</f>
        <v/>
      </c>
      <c r="S357" t="n">
        <v>8.19</v>
      </c>
      <c r="T357" s="18">
        <f>1 - V357/S357</f>
        <v/>
      </c>
      <c r="U357" s="18" t="n">
        <v>0</v>
      </c>
      <c r="V357" s="26" t="n">
        <v>8.19</v>
      </c>
      <c r="W357" s="26">
        <f>V357 - L357</f>
        <v/>
      </c>
    </row>
    <row r="358">
      <c r="A358" s="11" t="n">
        <v>46207</v>
      </c>
      <c r="B358" s="1" t="n">
        <v>20058</v>
      </c>
      <c r="C358" s="1" t="inlineStr">
        <is>
          <t>802</t>
        </is>
      </c>
      <c r="D358" s="1" t="inlineStr">
        <is>
          <t xml:space="preserve">678   </t>
        </is>
      </c>
      <c r="E358" s="1" t="inlineStr">
        <is>
          <t xml:space="preserve">28194770       </t>
        </is>
      </c>
      <c r="F358" s="5" t="inlineStr">
        <is>
          <t>AUTOS DE METAL 3 TEAMSTERZ EN BLISTER</t>
        </is>
      </c>
      <c r="G358" t="n">
        <v>2</v>
      </c>
      <c r="H358" s="7" t="n">
        <v>13.8</v>
      </c>
      <c r="I358" s="7" t="n">
        <v>0</v>
      </c>
      <c r="J358" s="7" t="n">
        <v>0</v>
      </c>
      <c r="K358" s="9" t="n">
        <v>0</v>
      </c>
      <c r="L358" s="10" t="n">
        <v>8.18</v>
      </c>
      <c r="M358" s="10" t="n">
        <v>1.43</v>
      </c>
      <c r="N358" t="inlineStr">
        <is>
          <t>1</t>
        </is>
      </c>
      <c r="O358" t="inlineStr">
        <is>
          <t>16</t>
        </is>
      </c>
      <c r="P358" t="inlineStr">
        <is>
          <t xml:space="preserve">0       </t>
        </is>
      </c>
      <c r="Q358" s="26" t="n">
        <v>6.9</v>
      </c>
      <c r="R358" s="26">
        <f>Q358*G358</f>
        <v/>
      </c>
      <c r="S358" t="n">
        <v>8.18</v>
      </c>
      <c r="T358" s="18">
        <f>1 - V358/S358</f>
        <v/>
      </c>
      <c r="U358" s="18" t="n">
        <v>0</v>
      </c>
      <c r="V358" s="26" t="n">
        <v>8.18</v>
      </c>
      <c r="W358" s="26">
        <f>V358 - L358</f>
        <v/>
      </c>
    </row>
    <row r="359">
      <c r="A359" s="11" t="n">
        <v>46207</v>
      </c>
      <c r="B359" s="1" t="n">
        <v>20060</v>
      </c>
      <c r="C359" s="1" t="inlineStr">
        <is>
          <t>302</t>
        </is>
      </c>
      <c r="D359" s="1" t="inlineStr">
        <is>
          <t xml:space="preserve">2905  </t>
        </is>
      </c>
      <c r="E359" s="1" t="inlineStr">
        <is>
          <t xml:space="preserve">32457103       </t>
        </is>
      </c>
      <c r="F359" s="5" t="inlineStr">
        <is>
          <t>TMZ BEAST MACHINES MONSTER JAWS A FRICCION PACK DE</t>
        </is>
      </c>
      <c r="G359" t="n">
        <v>2</v>
      </c>
      <c r="H359" s="7" t="n">
        <v>67.8</v>
      </c>
      <c r="I359" s="7" t="n">
        <v>0</v>
      </c>
      <c r="J359" s="7" t="n">
        <v>0</v>
      </c>
      <c r="K359" s="9" t="n">
        <v>0</v>
      </c>
      <c r="L359" s="10" t="n">
        <v>40.22</v>
      </c>
      <c r="M359" s="10" t="n">
        <v>1.43</v>
      </c>
      <c r="N359" t="inlineStr">
        <is>
          <t>1</t>
        </is>
      </c>
      <c r="O359" t="inlineStr">
        <is>
          <t>16</t>
        </is>
      </c>
      <c r="P359" t="inlineStr">
        <is>
          <t>82807346</t>
        </is>
      </c>
      <c r="Q359" s="26" t="n">
        <v>37.9</v>
      </c>
      <c r="R359" s="26">
        <f>Q359*G359</f>
        <v/>
      </c>
      <c r="S359" t="n">
        <v>44.96</v>
      </c>
      <c r="T359" s="18">
        <f>1 - V359/S359</f>
        <v/>
      </c>
      <c r="U359" s="18" t="n">
        <v>0.1319261213720316</v>
      </c>
      <c r="V359" s="26" t="n">
        <v>33.50203389830509</v>
      </c>
      <c r="W359" s="26">
        <f>V359 - L359</f>
        <v/>
      </c>
    </row>
    <row r="360">
      <c r="A360" s="11" t="n">
        <v>46207</v>
      </c>
      <c r="B360" s="1" t="n">
        <v>20062</v>
      </c>
      <c r="C360" s="1" t="inlineStr">
        <is>
          <t>017</t>
        </is>
      </c>
      <c r="D360" s="1" t="inlineStr">
        <is>
          <t>234948</t>
        </is>
      </c>
      <c r="E360" s="1" t="inlineStr">
        <is>
          <t xml:space="preserve">33483121       </t>
        </is>
      </c>
      <c r="F360" s="5" t="inlineStr">
        <is>
          <t>HOT WHEELS ESTUCHE PARA 15 AUTOS SURTIDO</t>
        </is>
      </c>
      <c r="G360" t="n">
        <v>1</v>
      </c>
      <c r="H360" s="7" t="n">
        <v>34.9</v>
      </c>
      <c r="I360" s="7" t="n">
        <v>0</v>
      </c>
      <c r="J360" s="7" t="n">
        <v>0</v>
      </c>
      <c r="K360" s="9" t="n">
        <v>0</v>
      </c>
      <c r="L360" s="10" t="n">
        <v>20.71</v>
      </c>
      <c r="M360" s="10" t="n">
        <v>1.43</v>
      </c>
      <c r="N360" t="inlineStr">
        <is>
          <t>1</t>
        </is>
      </c>
      <c r="O360" t="inlineStr">
        <is>
          <t>16</t>
        </is>
      </c>
      <c r="P360" t="inlineStr">
        <is>
          <t xml:space="preserve">43458   </t>
        </is>
      </c>
      <c r="Q360" s="26" t="n">
        <v>34.9</v>
      </c>
      <c r="R360" s="26">
        <f>Q360*G360</f>
        <v/>
      </c>
      <c r="S360" t="n">
        <v>20.7</v>
      </c>
      <c r="T360" s="18">
        <f>1 - V360/S360</f>
        <v/>
      </c>
      <c r="U360" s="18" t="n">
        <v>0</v>
      </c>
      <c r="V360" s="26" t="n">
        <v>20.7</v>
      </c>
      <c r="W360" s="26">
        <f>V360 - L360</f>
        <v/>
      </c>
    </row>
    <row r="361">
      <c r="A361" s="11" t="n">
        <v>46207</v>
      </c>
      <c r="B361" s="1" t="n">
        <v>20062</v>
      </c>
      <c r="C361" s="1" t="inlineStr">
        <is>
          <t>017</t>
        </is>
      </c>
      <c r="D361" s="1" t="inlineStr">
        <is>
          <t>234948</t>
        </is>
      </c>
      <c r="E361" s="1" t="inlineStr">
        <is>
          <t xml:space="preserve">33483121       </t>
        </is>
      </c>
      <c r="F361" s="5" t="inlineStr">
        <is>
          <t>HOT WHEELS ESTUCHE PARA 15 AUTOS SURTIDO</t>
        </is>
      </c>
      <c r="G361" t="n">
        <v>1</v>
      </c>
      <c r="H361" s="7" t="n">
        <v>34.9</v>
      </c>
      <c r="I361" s="7" t="n">
        <v>0</v>
      </c>
      <c r="J361" s="7" t="n">
        <v>0</v>
      </c>
      <c r="K361" s="9" t="n">
        <v>0</v>
      </c>
      <c r="L361" s="10" t="n">
        <v>20.71</v>
      </c>
      <c r="M361" s="10" t="n">
        <v>1.43</v>
      </c>
      <c r="N361" t="inlineStr">
        <is>
          <t>1</t>
        </is>
      </c>
      <c r="O361" t="inlineStr">
        <is>
          <t>16</t>
        </is>
      </c>
      <c r="P361" t="inlineStr">
        <is>
          <t xml:space="preserve">43458   </t>
        </is>
      </c>
      <c r="Q361" s="26" t="n">
        <v>34.9</v>
      </c>
      <c r="R361" s="26">
        <f>Q361*G361</f>
        <v/>
      </c>
      <c r="S361" t="n">
        <v>20.7</v>
      </c>
      <c r="T361" s="18">
        <f>1 - V361/S361</f>
        <v/>
      </c>
      <c r="U361" s="18" t="n">
        <v>0</v>
      </c>
      <c r="V361" s="26" t="n">
        <v>20.7</v>
      </c>
      <c r="W361" s="26">
        <f>V361 - L361</f>
        <v/>
      </c>
    </row>
    <row r="362">
      <c r="A362" s="11" t="n">
        <v>46207</v>
      </c>
      <c r="B362" s="1" t="n">
        <v>20062</v>
      </c>
      <c r="C362" s="1" t="inlineStr">
        <is>
          <t>053</t>
        </is>
      </c>
      <c r="D362" s="1" t="inlineStr">
        <is>
          <t>242454</t>
        </is>
      </c>
      <c r="E362" s="1" t="inlineStr">
        <is>
          <t xml:space="preserve">31754675       </t>
        </is>
      </c>
      <c r="F362" s="5" t="inlineStr">
        <is>
          <t>INFINITY NADO SERIE 6 STARTER PACK - 4 MODELOS</t>
        </is>
      </c>
      <c r="G362" t="n">
        <v>1</v>
      </c>
      <c r="H362" s="7" t="n">
        <v>69.90000000000001</v>
      </c>
      <c r="I362" s="7" t="n">
        <v>0</v>
      </c>
      <c r="J362" s="7" t="n">
        <v>0</v>
      </c>
      <c r="K362" s="9" t="n">
        <v>0</v>
      </c>
      <c r="L362" s="10" t="n">
        <v>41.47</v>
      </c>
      <c r="M362" s="10" t="n">
        <v>1.43</v>
      </c>
      <c r="N362" t="inlineStr">
        <is>
          <t>1</t>
        </is>
      </c>
      <c r="O362" t="inlineStr">
        <is>
          <t>16</t>
        </is>
      </c>
      <c r="P362" t="inlineStr">
        <is>
          <t xml:space="preserve">250430  </t>
        </is>
      </c>
      <c r="Q362" s="26" t="n">
        <v>69.90000000000001</v>
      </c>
      <c r="R362" s="26">
        <f>Q362*G362</f>
        <v/>
      </c>
      <c r="S362" t="n">
        <v>41.47</v>
      </c>
      <c r="T362" s="18">
        <f>1 - V362/S362</f>
        <v/>
      </c>
      <c r="U362" s="18" t="n">
        <v>0.2861230329041489</v>
      </c>
      <c r="V362" s="26" t="n">
        <v>31.71610169491525</v>
      </c>
      <c r="W362" s="26">
        <f>V362 - L362</f>
        <v/>
      </c>
    </row>
    <row r="363">
      <c r="A363" s="11" t="n">
        <v>46207</v>
      </c>
      <c r="B363" s="1" t="n">
        <v>20062</v>
      </c>
      <c r="C363" s="1" t="inlineStr">
        <is>
          <t>830</t>
        </is>
      </c>
      <c r="D363" s="1" t="inlineStr">
        <is>
          <t xml:space="preserve">4834  </t>
        </is>
      </c>
      <c r="E363" s="1" t="inlineStr">
        <is>
          <t xml:space="preserve">31754675       </t>
        </is>
      </c>
      <c r="F363" s="5" t="inlineStr">
        <is>
          <t>INFINITY NADO SERIE 6 STARTER PACK - 4 MODELOS</t>
        </is>
      </c>
      <c r="G363" t="n">
        <v>1</v>
      </c>
      <c r="H363" s="7" t="n">
        <v>69.90000000000001</v>
      </c>
      <c r="I363" s="7" t="n">
        <v>0</v>
      </c>
      <c r="J363" s="7" t="n">
        <v>0</v>
      </c>
      <c r="K363" s="9" t="n">
        <v>0</v>
      </c>
      <c r="L363" s="10" t="n">
        <v>41.47</v>
      </c>
      <c r="M363" s="10" t="n">
        <v>1.43</v>
      </c>
      <c r="N363" t="inlineStr">
        <is>
          <t>1</t>
        </is>
      </c>
      <c r="O363" t="inlineStr">
        <is>
          <t>16</t>
        </is>
      </c>
      <c r="P363" t="inlineStr">
        <is>
          <t xml:space="preserve">250430  </t>
        </is>
      </c>
      <c r="Q363" s="26" t="n">
        <v>69.90000000000001</v>
      </c>
      <c r="R363" s="26">
        <f>Q363*G363</f>
        <v/>
      </c>
      <c r="S363" t="n">
        <v>41.47</v>
      </c>
      <c r="T363" s="18">
        <f>1 - V363/S363</f>
        <v/>
      </c>
      <c r="U363" s="18" t="n">
        <v>0.2861230329041489</v>
      </c>
      <c r="V363" s="26" t="n">
        <v>31.71610169491525</v>
      </c>
      <c r="W363" s="26">
        <f>V363 - L363</f>
        <v/>
      </c>
    </row>
    <row r="364">
      <c r="A364" s="11" t="n">
        <v>46207</v>
      </c>
      <c r="B364" s="1" t="n">
        <v>20066</v>
      </c>
      <c r="C364" s="1" t="inlineStr">
        <is>
          <t>058</t>
        </is>
      </c>
      <c r="D364" s="1" t="inlineStr">
        <is>
          <t xml:space="preserve">59761 </t>
        </is>
      </c>
      <c r="E364" s="1" t="inlineStr">
        <is>
          <t xml:space="preserve">28194770       </t>
        </is>
      </c>
      <c r="F364" s="5" t="inlineStr">
        <is>
          <t>AUTOS DE METAL 3 TEAMSTERZ EN BLISTER</t>
        </is>
      </c>
      <c r="G364" t="n">
        <v>1</v>
      </c>
      <c r="H364" s="7" t="n">
        <v>6.9</v>
      </c>
      <c r="I364" s="7" t="n">
        <v>0</v>
      </c>
      <c r="J364" s="7" t="n">
        <v>0</v>
      </c>
      <c r="K364" s="9" t="n">
        <v>0</v>
      </c>
      <c r="L364" s="10" t="n">
        <v>4.1</v>
      </c>
      <c r="M364" s="10" t="n">
        <v>1.43</v>
      </c>
      <c r="N364" t="inlineStr">
        <is>
          <t>1</t>
        </is>
      </c>
      <c r="O364" t="inlineStr">
        <is>
          <t xml:space="preserve">2 </t>
        </is>
      </c>
      <c r="P364" t="inlineStr">
        <is>
          <t xml:space="preserve">52700   </t>
        </is>
      </c>
      <c r="Q364" s="26" t="n">
        <v>6.9</v>
      </c>
      <c r="R364" s="26">
        <f>Q364*G364</f>
        <v/>
      </c>
      <c r="S364" t="n">
        <v>4.09</v>
      </c>
      <c r="T364" s="18">
        <f>1 - V364/S364</f>
        <v/>
      </c>
      <c r="U364" s="18" t="n">
        <v>0</v>
      </c>
      <c r="V364" s="26" t="n">
        <v>4.09</v>
      </c>
      <c r="W364" s="26">
        <f>V364 - L364</f>
        <v/>
      </c>
    </row>
    <row r="365">
      <c r="A365" s="11" t="n">
        <v>46207</v>
      </c>
      <c r="B365" s="1" t="n">
        <v>20066</v>
      </c>
      <c r="C365" s="1" t="inlineStr">
        <is>
          <t>501</t>
        </is>
      </c>
      <c r="D365" s="1" t="inlineStr">
        <is>
          <t xml:space="preserve">7071  </t>
        </is>
      </c>
      <c r="E365" s="1" t="inlineStr">
        <is>
          <t xml:space="preserve">28194770       </t>
        </is>
      </c>
      <c r="F365" s="5" t="inlineStr">
        <is>
          <t>AUTOS DE METAL 3 TEAMSTERZ EN BLISTER</t>
        </is>
      </c>
      <c r="G365" t="n">
        <v>1</v>
      </c>
      <c r="H365" s="7" t="n">
        <v>6.9</v>
      </c>
      <c r="I365" s="7" t="n">
        <v>0</v>
      </c>
      <c r="J365" s="7" t="n">
        <v>0</v>
      </c>
      <c r="K365" s="9" t="n">
        <v>0</v>
      </c>
      <c r="L365" s="10" t="n">
        <v>4.1</v>
      </c>
      <c r="M365" s="10" t="n">
        <v>1.43</v>
      </c>
      <c r="N365" t="inlineStr">
        <is>
          <t>1</t>
        </is>
      </c>
      <c r="O365" t="inlineStr">
        <is>
          <t>16</t>
        </is>
      </c>
      <c r="P365" t="inlineStr">
        <is>
          <t xml:space="preserve">104839  </t>
        </is>
      </c>
      <c r="Q365" s="26" t="n">
        <v>6.9</v>
      </c>
      <c r="R365" s="26">
        <f>Q365*G365</f>
        <v/>
      </c>
      <c r="S365" t="n">
        <v>4.09</v>
      </c>
      <c r="T365" s="18">
        <f>1 - V365/S365</f>
        <v/>
      </c>
      <c r="U365" s="18" t="n">
        <v>0</v>
      </c>
      <c r="V365" s="26" t="n">
        <v>4.09</v>
      </c>
      <c r="W365" s="26">
        <f>V365 - L365</f>
        <v/>
      </c>
    </row>
    <row r="366">
      <c r="A366" s="11" t="n">
        <v>46207</v>
      </c>
      <c r="B366" s="1" t="n">
        <v>20069</v>
      </c>
      <c r="C366" s="1" t="inlineStr">
        <is>
          <t>011</t>
        </is>
      </c>
      <c r="D366" s="1" t="inlineStr">
        <is>
          <t>193753</t>
        </is>
      </c>
      <c r="E366" s="1" t="inlineStr">
        <is>
          <t xml:space="preserve">32457101       </t>
        </is>
      </c>
      <c r="F366" s="5" t="inlineStr">
        <is>
          <t>TMZ BEAST MACHINES TRANSPORTE PESADO + 2 AUTOS SUR</t>
        </is>
      </c>
      <c r="G366" t="n">
        <v>1</v>
      </c>
      <c r="H366" s="7" t="n">
        <v>37.9</v>
      </c>
      <c r="I366" s="7" t="n">
        <v>0</v>
      </c>
      <c r="J366" s="7" t="n">
        <v>0</v>
      </c>
      <c r="K366" s="9" t="n">
        <v>0</v>
      </c>
      <c r="L366" s="10" t="n">
        <v>22.48</v>
      </c>
      <c r="M366" s="10" t="n">
        <v>1.43</v>
      </c>
      <c r="N366" t="inlineStr">
        <is>
          <t>1</t>
        </is>
      </c>
      <c r="O366" t="inlineStr">
        <is>
          <t>16</t>
        </is>
      </c>
      <c r="P366" t="inlineStr">
        <is>
          <t xml:space="preserve">247842  </t>
        </is>
      </c>
      <c r="Q366" s="26" t="n">
        <v>37.9</v>
      </c>
      <c r="R366" s="26">
        <f>Q366*G366</f>
        <v/>
      </c>
      <c r="S366" t="n">
        <v>22.48</v>
      </c>
      <c r="T366" s="18">
        <f>1 - V366/S366</f>
        <v/>
      </c>
      <c r="U366" s="18" t="n">
        <v>0.5277044854881267</v>
      </c>
      <c r="V366" s="26" t="n">
        <v>12.88694915254237</v>
      </c>
      <c r="W366" s="26">
        <f>V366 - L366</f>
        <v/>
      </c>
    </row>
    <row r="367">
      <c r="A367" s="11" t="n">
        <v>46207</v>
      </c>
      <c r="B367" s="1" t="n">
        <v>20069</v>
      </c>
      <c r="C367" s="1" t="inlineStr">
        <is>
          <t>013</t>
        </is>
      </c>
      <c r="D367" s="1" t="inlineStr">
        <is>
          <t>247873</t>
        </is>
      </c>
      <c r="E367" s="1" t="inlineStr">
        <is>
          <t xml:space="preserve">31959957       </t>
        </is>
      </c>
      <c r="F367" s="5" t="inlineStr">
        <is>
          <t>TEAMSTERZ PLAYSET RESCATE EN EL MAR</t>
        </is>
      </c>
      <c r="G367" t="n">
        <v>1</v>
      </c>
      <c r="H367" s="7" t="n">
        <v>19.9</v>
      </c>
      <c r="I367" s="7" t="n">
        <v>0</v>
      </c>
      <c r="J367" s="7" t="n">
        <v>0</v>
      </c>
      <c r="K367" s="9" t="n">
        <v>0</v>
      </c>
      <c r="L367" s="10" t="n">
        <v>11.8</v>
      </c>
      <c r="M367" s="10" t="n">
        <v>1.43</v>
      </c>
      <c r="N367" t="inlineStr">
        <is>
          <t>1</t>
        </is>
      </c>
      <c r="O367" t="inlineStr">
        <is>
          <t>16</t>
        </is>
      </c>
      <c r="P367" t="inlineStr">
        <is>
          <t xml:space="preserve">247845  </t>
        </is>
      </c>
      <c r="Q367" s="26" t="n">
        <v>19.9</v>
      </c>
      <c r="R367" s="26">
        <f>Q367*G367</f>
        <v/>
      </c>
      <c r="S367" t="n">
        <v>11.81</v>
      </c>
      <c r="T367" s="18">
        <f>1 - V367/S367</f>
        <v/>
      </c>
      <c r="U367" s="18" t="n">
        <v>0</v>
      </c>
      <c r="V367" s="26" t="n">
        <v>11.81</v>
      </c>
      <c r="W367" s="26">
        <f>V367 - L367</f>
        <v/>
      </c>
    </row>
    <row r="368">
      <c r="A368" s="11" t="n">
        <v>46207</v>
      </c>
      <c r="B368" s="1" t="n">
        <v>20069</v>
      </c>
      <c r="C368" s="1" t="inlineStr">
        <is>
          <t>024</t>
        </is>
      </c>
      <c r="D368" s="1" t="inlineStr">
        <is>
          <t>103774</t>
        </is>
      </c>
      <c r="E368" s="1" t="inlineStr">
        <is>
          <t xml:space="preserve">31959958       </t>
        </is>
      </c>
      <c r="F368" s="5" t="inlineStr">
        <is>
          <t>TMZ BEAST MACHINE AUTOS DE METAL PACK 3 AUTOS</t>
        </is>
      </c>
      <c r="G368" t="n">
        <v>1</v>
      </c>
      <c r="H368" s="7" t="n">
        <v>23.7</v>
      </c>
      <c r="I368" s="7" t="n">
        <v>0</v>
      </c>
      <c r="J368" s="7" t="n">
        <v>0</v>
      </c>
      <c r="K368" s="9" t="n">
        <v>0</v>
      </c>
      <c r="L368" s="10" t="n">
        <v>14.06</v>
      </c>
      <c r="M368" s="10" t="n">
        <v>1.43</v>
      </c>
      <c r="N368" t="inlineStr">
        <is>
          <t>1</t>
        </is>
      </c>
      <c r="O368" t="inlineStr">
        <is>
          <t xml:space="preserve">2 </t>
        </is>
      </c>
      <c r="P368" t="inlineStr">
        <is>
          <t xml:space="preserve">249236  </t>
        </is>
      </c>
      <c r="Q368" s="26" t="n">
        <v>23.7</v>
      </c>
      <c r="R368" s="26">
        <f>Q368*G368</f>
        <v/>
      </c>
      <c r="S368" t="n">
        <v>14.06</v>
      </c>
      <c r="T368" s="18">
        <f>1 - V368/S368</f>
        <v/>
      </c>
      <c r="U368" s="18" t="n">
        <v>0</v>
      </c>
      <c r="V368" s="26" t="n">
        <v>14.06</v>
      </c>
      <c r="W368" s="26">
        <f>V368 - L368</f>
        <v/>
      </c>
    </row>
    <row r="369">
      <c r="A369" s="11" t="n">
        <v>46207</v>
      </c>
      <c r="B369" s="1" t="n">
        <v>20069</v>
      </c>
      <c r="C369" s="1" t="inlineStr">
        <is>
          <t>190</t>
        </is>
      </c>
      <c r="D369" s="1" t="inlineStr">
        <is>
          <t>298446</t>
        </is>
      </c>
      <c r="E369" s="1" t="inlineStr">
        <is>
          <t xml:space="preserve">28194769       </t>
        </is>
      </c>
      <c r="F369" s="5" t="inlineStr">
        <is>
          <t>AUTOS DE METAL 3 TEAMSTERZ PACK DE 2</t>
        </is>
      </c>
      <c r="G369" t="n">
        <v>1</v>
      </c>
      <c r="H369" s="7" t="n">
        <v>13.8</v>
      </c>
      <c r="I369" s="7" t="n">
        <v>0</v>
      </c>
      <c r="J369" s="7" t="n">
        <v>0</v>
      </c>
      <c r="K369" s="9" t="n">
        <v>0</v>
      </c>
      <c r="L369" s="10" t="n">
        <v>8.18</v>
      </c>
      <c r="M369" s="10" t="n">
        <v>1.43</v>
      </c>
      <c r="N369" t="inlineStr">
        <is>
          <t>1</t>
        </is>
      </c>
      <c r="O369" t="inlineStr">
        <is>
          <t xml:space="preserve">2 </t>
        </is>
      </c>
      <c r="P369" t="inlineStr">
        <is>
          <t xml:space="preserve">250750  </t>
        </is>
      </c>
      <c r="Q369" s="26" t="n">
        <v>13.8</v>
      </c>
      <c r="R369" s="26">
        <f>Q369*G369</f>
        <v/>
      </c>
      <c r="S369" t="n">
        <v>8.19</v>
      </c>
      <c r="T369" s="18">
        <f>1 - V369/S369</f>
        <v/>
      </c>
      <c r="U369" s="18" t="n">
        <v>0</v>
      </c>
      <c r="V369" s="26" t="n">
        <v>8.19</v>
      </c>
      <c r="W369" s="26">
        <f>V369 - L369</f>
        <v/>
      </c>
    </row>
    <row r="370">
      <c r="A370" s="11" t="n">
        <v>46207</v>
      </c>
      <c r="B370" s="1" t="n">
        <v>20073</v>
      </c>
      <c r="C370" s="1" t="inlineStr">
        <is>
          <t>016</t>
        </is>
      </c>
      <c r="D370" s="1" t="inlineStr">
        <is>
          <t xml:space="preserve">14150 </t>
        </is>
      </c>
      <c r="E370" s="1" t="inlineStr">
        <is>
          <t xml:space="preserve">30141766       </t>
        </is>
      </c>
      <c r="F370" s="5" t="inlineStr">
        <is>
          <t>TMZ BEAST MACHINES AUTOS DE METAL BLISTER X 1</t>
        </is>
      </c>
      <c r="G370" t="n">
        <v>1</v>
      </c>
      <c r="H370" s="7" t="n">
        <v>7.9</v>
      </c>
      <c r="I370" s="7" t="n">
        <v>0</v>
      </c>
      <c r="J370" s="7" t="n">
        <v>0</v>
      </c>
      <c r="K370" s="9" t="n">
        <v>0</v>
      </c>
      <c r="L370" s="10" t="n">
        <v>4.68</v>
      </c>
      <c r="M370" s="10" t="n">
        <v>1.43</v>
      </c>
      <c r="N370" t="inlineStr">
        <is>
          <t>1</t>
        </is>
      </c>
      <c r="O370" t="inlineStr">
        <is>
          <t>16</t>
        </is>
      </c>
      <c r="P370" t="inlineStr">
        <is>
          <t xml:space="preserve">91372   </t>
        </is>
      </c>
      <c r="Q370" s="26" t="n">
        <v>7.9</v>
      </c>
      <c r="R370" s="26">
        <f>Q370*G370</f>
        <v/>
      </c>
      <c r="S370" t="n">
        <v>4.69</v>
      </c>
      <c r="T370" s="18">
        <f>1 - V370/S370</f>
        <v/>
      </c>
      <c r="U370" s="18" t="n">
        <v>0</v>
      </c>
      <c r="V370" s="26" t="n">
        <v>4.69</v>
      </c>
      <c r="W370" s="26">
        <f>V370 - L370</f>
        <v/>
      </c>
    </row>
    <row r="371">
      <c r="A371" s="11" t="n">
        <v>46207</v>
      </c>
      <c r="B371" s="1" t="n">
        <v>20073</v>
      </c>
      <c r="C371" s="1" t="inlineStr">
        <is>
          <t>016</t>
        </is>
      </c>
      <c r="D371" s="1" t="inlineStr">
        <is>
          <t xml:space="preserve">14150 </t>
        </is>
      </c>
      <c r="E371" s="1" t="inlineStr">
        <is>
          <t xml:space="preserve">30141766       </t>
        </is>
      </c>
      <c r="F371" s="5" t="inlineStr">
        <is>
          <t>TMZ BEAST MACHINES AUTOS DE METAL BLISTER X 1</t>
        </is>
      </c>
      <c r="G371" t="n">
        <v>1</v>
      </c>
      <c r="H371" s="7" t="n">
        <v>7.9</v>
      </c>
      <c r="I371" s="7" t="n">
        <v>0</v>
      </c>
      <c r="J371" s="7" t="n">
        <v>0</v>
      </c>
      <c r="K371" s="9" t="n">
        <v>0</v>
      </c>
      <c r="L371" s="10" t="n">
        <v>4.68</v>
      </c>
      <c r="M371" s="10" t="n">
        <v>1.43</v>
      </c>
      <c r="N371" t="inlineStr">
        <is>
          <t>1</t>
        </is>
      </c>
      <c r="O371" t="inlineStr">
        <is>
          <t>16</t>
        </is>
      </c>
      <c r="P371" t="inlineStr">
        <is>
          <t xml:space="preserve">91372   </t>
        </is>
      </c>
      <c r="Q371" s="26" t="n">
        <v>7.9</v>
      </c>
      <c r="R371" s="26">
        <f>Q371*G371</f>
        <v/>
      </c>
      <c r="S371" t="n">
        <v>4.69</v>
      </c>
      <c r="T371" s="18">
        <f>1 - V371/S371</f>
        <v/>
      </c>
      <c r="U371" s="18" t="n">
        <v>0</v>
      </c>
      <c r="V371" s="26" t="n">
        <v>4.69</v>
      </c>
      <c r="W371" s="26">
        <f>V371 - L371</f>
        <v/>
      </c>
    </row>
    <row r="372">
      <c r="A372" s="11" t="n">
        <v>46207</v>
      </c>
      <c r="B372" s="1" t="n">
        <v>20073</v>
      </c>
      <c r="C372" s="1" t="inlineStr">
        <is>
          <t>016</t>
        </is>
      </c>
      <c r="D372" s="1" t="inlineStr">
        <is>
          <t xml:space="preserve">14150 </t>
        </is>
      </c>
      <c r="E372" s="1" t="inlineStr">
        <is>
          <t xml:space="preserve">30141766       </t>
        </is>
      </c>
      <c r="F372" s="5" t="inlineStr">
        <is>
          <t>TMZ BEAST MACHINES AUTOS DE METAL BLISTER X 1</t>
        </is>
      </c>
      <c r="G372" t="n">
        <v>1</v>
      </c>
      <c r="H372" s="7" t="n">
        <v>7.9</v>
      </c>
      <c r="I372" s="7" t="n">
        <v>0</v>
      </c>
      <c r="J372" s="7" t="n">
        <v>0</v>
      </c>
      <c r="K372" s="9" t="n">
        <v>0</v>
      </c>
      <c r="L372" s="10" t="n">
        <v>4.68</v>
      </c>
      <c r="M372" s="10" t="n">
        <v>1.43</v>
      </c>
      <c r="N372" t="inlineStr">
        <is>
          <t>1</t>
        </is>
      </c>
      <c r="O372" t="inlineStr">
        <is>
          <t>16</t>
        </is>
      </c>
      <c r="P372" t="inlineStr">
        <is>
          <t xml:space="preserve">91372   </t>
        </is>
      </c>
      <c r="Q372" s="26" t="n">
        <v>7.9</v>
      </c>
      <c r="R372" s="26">
        <f>Q372*G372</f>
        <v/>
      </c>
      <c r="S372" t="n">
        <v>4.69</v>
      </c>
      <c r="T372" s="18">
        <f>1 - V372/S372</f>
        <v/>
      </c>
      <c r="U372" s="18" t="n">
        <v>0</v>
      </c>
      <c r="V372" s="26" t="n">
        <v>4.69</v>
      </c>
      <c r="W372" s="26">
        <f>V372 - L372</f>
        <v/>
      </c>
    </row>
    <row r="373">
      <c r="A373" s="11" t="n">
        <v>46207</v>
      </c>
      <c r="B373" s="1" t="n">
        <v>20073</v>
      </c>
      <c r="C373" s="1" t="inlineStr">
        <is>
          <t>022</t>
        </is>
      </c>
      <c r="D373" s="1" t="inlineStr">
        <is>
          <t>293759</t>
        </is>
      </c>
      <c r="E373" s="1" t="inlineStr">
        <is>
          <t xml:space="preserve">31754675       </t>
        </is>
      </c>
      <c r="F373" s="5" t="inlineStr">
        <is>
          <t>INFINITY NADO SERIE 6 STARTER PACK - 4 MODELOS</t>
        </is>
      </c>
      <c r="G373" t="n">
        <v>1</v>
      </c>
      <c r="H373" s="7" t="n">
        <v>69.90000000000001</v>
      </c>
      <c r="I373" s="7" t="n">
        <v>0</v>
      </c>
      <c r="J373" s="7" t="n">
        <v>0</v>
      </c>
      <c r="K373" s="9" t="n">
        <v>0</v>
      </c>
      <c r="L373" s="10" t="n">
        <v>41.47</v>
      </c>
      <c r="M373" s="10" t="n">
        <v>1.43</v>
      </c>
      <c r="N373" t="inlineStr">
        <is>
          <t>1</t>
        </is>
      </c>
      <c r="O373" t="inlineStr">
        <is>
          <t>16</t>
        </is>
      </c>
      <c r="P373" t="inlineStr">
        <is>
          <t xml:space="preserve">61458   </t>
        </is>
      </c>
      <c r="Q373" s="26" t="n">
        <v>69.90000000000001</v>
      </c>
      <c r="R373" s="26">
        <f>Q373*G373</f>
        <v/>
      </c>
      <c r="S373" t="n">
        <v>41.47</v>
      </c>
      <c r="T373" s="18">
        <f>1 - V373/S373</f>
        <v/>
      </c>
      <c r="U373" s="18" t="n">
        <v>0.2861230329041489</v>
      </c>
      <c r="V373" s="26" t="n">
        <v>31.71610169491525</v>
      </c>
      <c r="W373" s="26">
        <f>V373 - L373</f>
        <v/>
      </c>
    </row>
    <row r="374">
      <c r="A374" s="11" t="n">
        <v>46207</v>
      </c>
      <c r="B374" s="1" t="n">
        <v>20073</v>
      </c>
      <c r="C374" s="1" t="inlineStr">
        <is>
          <t>045</t>
        </is>
      </c>
      <c r="D374" s="1" t="inlineStr">
        <is>
          <t>149295</t>
        </is>
      </c>
      <c r="E374" s="1" t="inlineStr">
        <is>
          <t xml:space="preserve">28194770       </t>
        </is>
      </c>
      <c r="F374" s="5" t="inlineStr">
        <is>
          <t>AUTOS DE METAL 3 TEAMSTERZ EN BLISTER</t>
        </is>
      </c>
      <c r="G374" t="n">
        <v>1</v>
      </c>
      <c r="H374" s="7" t="n">
        <v>6.9</v>
      </c>
      <c r="I374" s="7" t="n">
        <v>0</v>
      </c>
      <c r="J374" s="7" t="n">
        <v>0</v>
      </c>
      <c r="K374" s="9" t="n">
        <v>0</v>
      </c>
      <c r="L374" s="10" t="n">
        <v>4.1</v>
      </c>
      <c r="M374" s="10" t="n">
        <v>1.43</v>
      </c>
      <c r="N374" t="inlineStr">
        <is>
          <t>1</t>
        </is>
      </c>
      <c r="O374" t="inlineStr">
        <is>
          <t>16</t>
        </is>
      </c>
      <c r="P374" t="inlineStr">
        <is>
          <t xml:space="preserve">73225   </t>
        </is>
      </c>
      <c r="Q374" s="26" t="n">
        <v>6.9</v>
      </c>
      <c r="R374" s="26">
        <f>Q374*G374</f>
        <v/>
      </c>
      <c r="S374" t="n">
        <v>4.09</v>
      </c>
      <c r="T374" s="18">
        <f>1 - V374/S374</f>
        <v/>
      </c>
      <c r="U374" s="18" t="n">
        <v>0</v>
      </c>
      <c r="V374" s="26" t="n">
        <v>4.09</v>
      </c>
      <c r="W374" s="26">
        <f>V374 - L374</f>
        <v/>
      </c>
    </row>
    <row r="375">
      <c r="A375" s="11" t="n">
        <v>46207</v>
      </c>
      <c r="B375" s="1" t="n">
        <v>20073</v>
      </c>
      <c r="C375" s="1" t="inlineStr">
        <is>
          <t>045</t>
        </is>
      </c>
      <c r="D375" s="1" t="inlineStr">
        <is>
          <t>149301</t>
        </is>
      </c>
      <c r="E375" s="1" t="inlineStr">
        <is>
          <t xml:space="preserve">28194769       </t>
        </is>
      </c>
      <c r="F375" s="5" t="inlineStr">
        <is>
          <t>AUTOS DE METAL 3 TEAMSTERZ PACK DE 2</t>
        </is>
      </c>
      <c r="G375" t="n">
        <v>1</v>
      </c>
      <c r="H375" s="7" t="n">
        <v>13.8</v>
      </c>
      <c r="I375" s="7" t="n">
        <v>0</v>
      </c>
      <c r="J375" s="7" t="n">
        <v>0</v>
      </c>
      <c r="K375" s="9" t="n">
        <v>0</v>
      </c>
      <c r="L375" s="10" t="n">
        <v>8.18</v>
      </c>
      <c r="M375" s="10" t="n">
        <v>1.43</v>
      </c>
      <c r="N375" t="inlineStr">
        <is>
          <t>1</t>
        </is>
      </c>
      <c r="O375" t="inlineStr">
        <is>
          <t>16</t>
        </is>
      </c>
      <c r="P375" t="inlineStr">
        <is>
          <t xml:space="preserve">73225   </t>
        </is>
      </c>
      <c r="Q375" s="26" t="n">
        <v>13.8</v>
      </c>
      <c r="R375" s="26">
        <f>Q375*G375</f>
        <v/>
      </c>
      <c r="S375" t="n">
        <v>8.19</v>
      </c>
      <c r="T375" s="18">
        <f>1 - V375/S375</f>
        <v/>
      </c>
      <c r="U375" s="18" t="n">
        <v>0</v>
      </c>
      <c r="V375" s="26" t="n">
        <v>8.19</v>
      </c>
      <c r="W375" s="26">
        <f>V375 - L375</f>
        <v/>
      </c>
    </row>
    <row r="376">
      <c r="A376" s="11" t="n">
        <v>46207</v>
      </c>
      <c r="B376" s="1" t="n">
        <v>20073</v>
      </c>
      <c r="C376" s="1" t="inlineStr">
        <is>
          <t>507</t>
        </is>
      </c>
      <c r="D376" s="1" t="inlineStr">
        <is>
          <t xml:space="preserve">7415  </t>
        </is>
      </c>
      <c r="E376" s="1" t="inlineStr">
        <is>
          <t xml:space="preserve">30141766       </t>
        </is>
      </c>
      <c r="F376" s="5" t="inlineStr">
        <is>
          <t>TMZ BEAST MACHINES AUTOS DE METAL BLISTER X 1</t>
        </is>
      </c>
      <c r="G376" t="n">
        <v>2</v>
      </c>
      <c r="H376" s="7" t="n">
        <v>15.8</v>
      </c>
      <c r="I376" s="7" t="n">
        <v>0</v>
      </c>
      <c r="J376" s="7" t="n">
        <v>0</v>
      </c>
      <c r="K376" s="9" t="n">
        <v>0</v>
      </c>
      <c r="L376" s="10" t="n">
        <v>9.380000000000001</v>
      </c>
      <c r="M376" s="10" t="n">
        <v>1.43</v>
      </c>
      <c r="N376" t="inlineStr">
        <is>
          <t>1</t>
        </is>
      </c>
      <c r="O376" t="inlineStr">
        <is>
          <t>16</t>
        </is>
      </c>
      <c r="P376" t="inlineStr">
        <is>
          <t xml:space="preserve">247569  </t>
        </is>
      </c>
      <c r="Q376" s="26" t="n">
        <v>7.9</v>
      </c>
      <c r="R376" s="26">
        <f>Q376*G376</f>
        <v/>
      </c>
      <c r="S376" t="n">
        <v>9.380000000000001</v>
      </c>
      <c r="T376" s="18">
        <f>1 - V376/S376</f>
        <v/>
      </c>
      <c r="U376" s="18" t="n">
        <v>0</v>
      </c>
      <c r="V376" s="26" t="n">
        <v>9.380000000000001</v>
      </c>
      <c r="W376" s="26">
        <f>V376 - L376</f>
        <v/>
      </c>
    </row>
    <row r="377">
      <c r="A377" s="11" t="n">
        <v>46207</v>
      </c>
      <c r="B377" s="1" t="n">
        <v>20073</v>
      </c>
      <c r="C377" s="1" t="inlineStr">
        <is>
          <t>802</t>
        </is>
      </c>
      <c r="D377" s="1" t="inlineStr">
        <is>
          <t xml:space="preserve">10    </t>
        </is>
      </c>
      <c r="E377" s="1" t="inlineStr">
        <is>
          <t xml:space="preserve">31675352       </t>
        </is>
      </c>
      <c r="F377" s="5" t="inlineStr">
        <is>
          <t>MI PEQUENO NENUCO</t>
        </is>
      </c>
      <c r="G377" t="n">
        <v>1</v>
      </c>
      <c r="H377" s="7" t="n">
        <v>69.90000000000001</v>
      </c>
      <c r="I377" s="7" t="n">
        <v>0</v>
      </c>
      <c r="J377" s="7" t="n">
        <v>0</v>
      </c>
      <c r="K377" s="9" t="n">
        <v>0</v>
      </c>
      <c r="L377" s="10" t="n">
        <v>41.47</v>
      </c>
      <c r="M377" s="10" t="n">
        <v>1.43</v>
      </c>
      <c r="N377" t="inlineStr">
        <is>
          <t>1</t>
        </is>
      </c>
      <c r="O377" t="inlineStr">
        <is>
          <t>16</t>
        </is>
      </c>
      <c r="P377" t="inlineStr">
        <is>
          <t xml:space="preserve">0       </t>
        </is>
      </c>
      <c r="Q377" s="26" t="n">
        <v>69.90000000000001</v>
      </c>
      <c r="R377" s="26">
        <f>Q377*G377</f>
        <v/>
      </c>
      <c r="S377" t="n">
        <v>41.47</v>
      </c>
      <c r="T377" s="18">
        <f>1 - V377/S377</f>
        <v/>
      </c>
      <c r="U377" s="18" t="n">
        <v>0.2861230329041489</v>
      </c>
      <c r="V377" s="26" t="n">
        <v>31.71610169491525</v>
      </c>
      <c r="W377" s="26">
        <f>V377 - L377</f>
        <v/>
      </c>
    </row>
    <row r="378">
      <c r="A378" s="11" t="n">
        <v>46207</v>
      </c>
      <c r="B378" s="1" t="n">
        <v>20074</v>
      </c>
      <c r="C378" s="1" t="inlineStr">
        <is>
          <t>048</t>
        </is>
      </c>
      <c r="D378" s="1" t="inlineStr">
        <is>
          <t>144317</t>
        </is>
      </c>
      <c r="E378" s="1" t="inlineStr">
        <is>
          <t xml:space="preserve">28194782       </t>
        </is>
      </c>
      <c r="F378" s="5" t="inlineStr">
        <is>
          <t>TROMPO BATALLA INFINITY NADO SERIE V ORIGINAL SURT</t>
        </is>
      </c>
      <c r="G378" t="n">
        <v>1</v>
      </c>
      <c r="H378" s="7" t="n">
        <v>69.90000000000001</v>
      </c>
      <c r="I378" s="7" t="n">
        <v>0</v>
      </c>
      <c r="J378" s="7" t="n">
        <v>0</v>
      </c>
      <c r="K378" s="9" t="n">
        <v>0</v>
      </c>
      <c r="L378" s="10" t="n">
        <v>41.47</v>
      </c>
      <c r="M378" s="10" t="n">
        <v>1.43</v>
      </c>
      <c r="N378" t="inlineStr">
        <is>
          <t>1</t>
        </is>
      </c>
      <c r="O378" t="inlineStr">
        <is>
          <t>16</t>
        </is>
      </c>
      <c r="P378" t="inlineStr">
        <is>
          <t xml:space="preserve">250385  </t>
        </is>
      </c>
      <c r="Q378" s="26" t="n">
        <v>69.90000000000001</v>
      </c>
      <c r="R378" s="26">
        <f>Q378*G378</f>
        <v/>
      </c>
      <c r="S378" t="n">
        <v>41.47</v>
      </c>
      <c r="T378" s="18">
        <f>1 - V378/S378</f>
        <v/>
      </c>
      <c r="U378" s="18" t="n">
        <v>0.2861230329041489</v>
      </c>
      <c r="V378" s="26" t="n">
        <v>31.71610169491525</v>
      </c>
      <c r="W378" s="26">
        <f>V378 - L378</f>
        <v/>
      </c>
    </row>
    <row r="379">
      <c r="A379" s="11" t="n">
        <v>46207</v>
      </c>
      <c r="B379" s="1" t="n">
        <v>20077</v>
      </c>
      <c r="C379" s="1" t="inlineStr">
        <is>
          <t>016</t>
        </is>
      </c>
      <c r="D379" s="1" t="inlineStr">
        <is>
          <t>120818</t>
        </is>
      </c>
      <c r="E379" s="1" t="inlineStr">
        <is>
          <t xml:space="preserve">32457099       </t>
        </is>
      </c>
      <c r="F379" s="5" t="inlineStr">
        <is>
          <t>TMZ BEAST MACHINES MONSTER JAWS A FRICCION BLISTER</t>
        </is>
      </c>
      <c r="G379" t="n">
        <v>1</v>
      </c>
      <c r="H379" s="7" t="n">
        <v>19.9</v>
      </c>
      <c r="I379" s="7" t="n">
        <v>0</v>
      </c>
      <c r="J379" s="7" t="n">
        <v>0</v>
      </c>
      <c r="K379" s="9" t="n">
        <v>0</v>
      </c>
      <c r="L379" s="10" t="n">
        <v>11.8</v>
      </c>
      <c r="M379" s="10" t="n">
        <v>1.43</v>
      </c>
      <c r="N379" t="inlineStr">
        <is>
          <t>1</t>
        </is>
      </c>
      <c r="O379" t="inlineStr">
        <is>
          <t xml:space="preserve">3 </t>
        </is>
      </c>
      <c r="P379" t="inlineStr">
        <is>
          <t xml:space="preserve">250449  </t>
        </is>
      </c>
      <c r="Q379" s="26" t="n">
        <v>19.9</v>
      </c>
      <c r="R379" s="26">
        <f>Q379*G379</f>
        <v/>
      </c>
      <c r="S379" t="n">
        <v>11.81</v>
      </c>
      <c r="T379" s="18">
        <f>1 - V379/S379</f>
        <v/>
      </c>
      <c r="U379" s="18" t="n">
        <v>0.1005025125628141</v>
      </c>
      <c r="V379" s="26" t="n">
        <v>8.417118644067797</v>
      </c>
      <c r="W379" s="26">
        <f>V379 - L379</f>
        <v/>
      </c>
    </row>
    <row r="380">
      <c r="A380" s="11" t="n">
        <v>46207</v>
      </c>
      <c r="B380" s="1" t="n">
        <v>20077</v>
      </c>
      <c r="C380" s="1" t="inlineStr">
        <is>
          <t>030</t>
        </is>
      </c>
      <c r="D380" s="1" t="inlineStr">
        <is>
          <t xml:space="preserve">40013 </t>
        </is>
      </c>
      <c r="E380" s="1" t="inlineStr">
        <is>
          <t xml:space="preserve">28194769       </t>
        </is>
      </c>
      <c r="F380" s="5" t="inlineStr">
        <is>
          <t>AUTOS DE METAL 3 TEAMSTERZ PACK DE 2</t>
        </is>
      </c>
      <c r="G380" t="n">
        <v>1</v>
      </c>
      <c r="H380" s="7" t="n">
        <v>13.8</v>
      </c>
      <c r="I380" s="7" t="n">
        <v>0</v>
      </c>
      <c r="J380" s="7" t="n">
        <v>0</v>
      </c>
      <c r="K380" s="9" t="n">
        <v>0</v>
      </c>
      <c r="L380" s="10" t="n">
        <v>8.18</v>
      </c>
      <c r="M380" s="10" t="n">
        <v>1.43</v>
      </c>
      <c r="N380" t="inlineStr">
        <is>
          <t>1</t>
        </is>
      </c>
      <c r="O380" t="inlineStr">
        <is>
          <t>16</t>
        </is>
      </c>
      <c r="P380" t="inlineStr">
        <is>
          <t xml:space="preserve">50264   </t>
        </is>
      </c>
      <c r="Q380" s="26" t="n">
        <v>13.8</v>
      </c>
      <c r="R380" s="26">
        <f>Q380*G380</f>
        <v/>
      </c>
      <c r="S380" t="n">
        <v>8.19</v>
      </c>
      <c r="T380" s="18">
        <f>1 - V380/S380</f>
        <v/>
      </c>
      <c r="U380" s="18" t="n">
        <v>0</v>
      </c>
      <c r="V380" s="26" t="n">
        <v>8.19</v>
      </c>
      <c r="W380" s="26">
        <f>V380 - L380</f>
        <v/>
      </c>
    </row>
    <row r="381">
      <c r="A381" s="11" t="n">
        <v>46207</v>
      </c>
      <c r="B381" s="1" t="n">
        <v>20077</v>
      </c>
      <c r="C381" s="1" t="inlineStr">
        <is>
          <t>030</t>
        </is>
      </c>
      <c r="D381" s="1" t="inlineStr">
        <is>
          <t xml:space="preserve">40043 </t>
        </is>
      </c>
      <c r="E381" s="1" t="inlineStr">
        <is>
          <t xml:space="preserve">28194768       </t>
        </is>
      </c>
      <c r="F381" s="5" t="inlineStr">
        <is>
          <t>AUTO COLOR CHANGE TEAMSTERZ SURTIDO</t>
        </is>
      </c>
      <c r="G381" t="n">
        <v>1</v>
      </c>
      <c r="H381" s="7" t="n">
        <v>14.9</v>
      </c>
      <c r="I381" s="7" t="n">
        <v>0</v>
      </c>
      <c r="J381" s="7" t="n">
        <v>0</v>
      </c>
      <c r="K381" s="9" t="n">
        <v>0</v>
      </c>
      <c r="L381" s="10" t="n">
        <v>8.84</v>
      </c>
      <c r="M381" s="10" t="n">
        <v>1.43</v>
      </c>
      <c r="N381" t="inlineStr">
        <is>
          <t>1</t>
        </is>
      </c>
      <c r="O381" t="inlineStr">
        <is>
          <t xml:space="preserve">3 </t>
        </is>
      </c>
      <c r="P381" t="inlineStr">
        <is>
          <t xml:space="preserve">50264   </t>
        </is>
      </c>
      <c r="Q381" s="26" t="n">
        <v>14.9</v>
      </c>
      <c r="R381" s="26">
        <f>Q381*G381</f>
        <v/>
      </c>
      <c r="S381" t="n">
        <v>8.84</v>
      </c>
      <c r="T381" s="18">
        <f>1 - V381/S381</f>
        <v/>
      </c>
      <c r="U381" s="18" t="n">
        <v>0</v>
      </c>
      <c r="V381" s="26" t="n">
        <v>8.84</v>
      </c>
      <c r="W381" s="26">
        <f>V381 - L381</f>
        <v/>
      </c>
    </row>
    <row r="382">
      <c r="A382" s="11" t="n">
        <v>46207</v>
      </c>
      <c r="B382" s="1" t="n">
        <v>20077</v>
      </c>
      <c r="C382" s="1" t="inlineStr">
        <is>
          <t>030</t>
        </is>
      </c>
      <c r="D382" s="1" t="inlineStr">
        <is>
          <t xml:space="preserve">40045 </t>
        </is>
      </c>
      <c r="E382" s="1" t="inlineStr">
        <is>
          <t xml:space="preserve">28194770       </t>
        </is>
      </c>
      <c r="F382" s="5" t="inlineStr">
        <is>
          <t>AUTOS DE METAL 3 TEAMSTERZ EN BLISTER</t>
        </is>
      </c>
      <c r="G382" t="n">
        <v>1</v>
      </c>
      <c r="H382" s="7" t="n">
        <v>6.9</v>
      </c>
      <c r="I382" s="7" t="n">
        <v>0</v>
      </c>
      <c r="J382" s="7" t="n">
        <v>0</v>
      </c>
      <c r="K382" s="9" t="n">
        <v>0</v>
      </c>
      <c r="L382" s="10" t="n">
        <v>4.1</v>
      </c>
      <c r="M382" s="10" t="n">
        <v>1.43</v>
      </c>
      <c r="N382" t="inlineStr">
        <is>
          <t>1</t>
        </is>
      </c>
      <c r="O382" t="inlineStr">
        <is>
          <t>16</t>
        </is>
      </c>
      <c r="P382" t="inlineStr">
        <is>
          <t xml:space="preserve">50264   </t>
        </is>
      </c>
      <c r="Q382" s="26" t="n">
        <v>6.9</v>
      </c>
      <c r="R382" s="26">
        <f>Q382*G382</f>
        <v/>
      </c>
      <c r="S382" t="n">
        <v>4.09</v>
      </c>
      <c r="T382" s="18">
        <f>1 - V382/S382</f>
        <v/>
      </c>
      <c r="U382" s="18" t="n">
        <v>0</v>
      </c>
      <c r="V382" s="26" t="n">
        <v>4.09</v>
      </c>
      <c r="W382" s="26">
        <f>V382 - L382</f>
        <v/>
      </c>
    </row>
    <row r="383">
      <c r="A383" s="11" t="n">
        <v>46207</v>
      </c>
      <c r="B383" s="1" t="n">
        <v>20077</v>
      </c>
      <c r="C383" s="1" t="inlineStr">
        <is>
          <t>030</t>
        </is>
      </c>
      <c r="D383" s="1" t="inlineStr">
        <is>
          <t xml:space="preserve">40093 </t>
        </is>
      </c>
      <c r="E383" s="1" t="inlineStr">
        <is>
          <t xml:space="preserve">28194770       </t>
        </is>
      </c>
      <c r="F383" s="5" t="inlineStr">
        <is>
          <t>AUTOS DE METAL 3 TEAMSTERZ EN BLISTER</t>
        </is>
      </c>
      <c r="G383" t="n">
        <v>1</v>
      </c>
      <c r="H383" s="7" t="n">
        <v>6.9</v>
      </c>
      <c r="I383" s="7" t="n">
        <v>0</v>
      </c>
      <c r="J383" s="7" t="n">
        <v>0</v>
      </c>
      <c r="K383" s="9" t="n">
        <v>0</v>
      </c>
      <c r="L383" s="10" t="n">
        <v>4.1</v>
      </c>
      <c r="M383" s="10" t="n">
        <v>1.43</v>
      </c>
      <c r="N383" t="inlineStr">
        <is>
          <t>1</t>
        </is>
      </c>
      <c r="O383" t="inlineStr">
        <is>
          <t xml:space="preserve">2 </t>
        </is>
      </c>
      <c r="P383" t="inlineStr">
        <is>
          <t xml:space="preserve">50264   </t>
        </is>
      </c>
      <c r="Q383" s="26" t="n">
        <v>6.9</v>
      </c>
      <c r="R383" s="26">
        <f>Q383*G383</f>
        <v/>
      </c>
      <c r="S383" t="n">
        <v>4.09</v>
      </c>
      <c r="T383" s="18">
        <f>1 - V383/S383</f>
        <v/>
      </c>
      <c r="U383" s="18" t="n">
        <v>0</v>
      </c>
      <c r="V383" s="26" t="n">
        <v>4.09</v>
      </c>
      <c r="W383" s="26">
        <f>V383 - L383</f>
        <v/>
      </c>
    </row>
    <row r="384">
      <c r="A384" s="11" t="n">
        <v>46207</v>
      </c>
      <c r="B384" s="1" t="n">
        <v>20077</v>
      </c>
      <c r="C384" s="1" t="inlineStr">
        <is>
          <t>030</t>
        </is>
      </c>
      <c r="D384" s="1" t="inlineStr">
        <is>
          <t xml:space="preserve">40118 </t>
        </is>
      </c>
      <c r="E384" s="1" t="inlineStr">
        <is>
          <t xml:space="preserve">31675354       </t>
        </is>
      </c>
      <c r="F384" s="5" t="inlineStr">
        <is>
          <t>NENUCO LLORON CON ACCESORIOS</t>
        </is>
      </c>
      <c r="G384" t="n">
        <v>1</v>
      </c>
      <c r="H384" s="7" t="n">
        <v>89.90000000000001</v>
      </c>
      <c r="I384" s="7" t="n">
        <v>0</v>
      </c>
      <c r="J384" s="7" t="n">
        <v>0</v>
      </c>
      <c r="K384" s="9" t="n">
        <v>0</v>
      </c>
      <c r="L384" s="10" t="n">
        <v>53.33</v>
      </c>
      <c r="M384" s="10" t="n">
        <v>1.43</v>
      </c>
      <c r="N384" t="inlineStr">
        <is>
          <t>1</t>
        </is>
      </c>
      <c r="O384" t="inlineStr">
        <is>
          <t xml:space="preserve">2 </t>
        </is>
      </c>
      <c r="P384" t="inlineStr">
        <is>
          <t xml:space="preserve">50264   </t>
        </is>
      </c>
      <c r="Q384" s="26" t="n">
        <v>89.90000000000001</v>
      </c>
      <c r="R384" s="26">
        <f>Q384*G384</f>
        <v/>
      </c>
      <c r="S384" t="n">
        <v>53.33</v>
      </c>
      <c r="T384" s="18">
        <f>1 - V384/S384</f>
        <v/>
      </c>
      <c r="U384" s="18" t="n">
        <v>0.2224694104560623</v>
      </c>
      <c r="V384" s="26" t="n">
        <v>44.42796610169492</v>
      </c>
      <c r="W384" s="26">
        <f>V384 - L384</f>
        <v/>
      </c>
    </row>
    <row r="385">
      <c r="A385" s="11" t="n">
        <v>46207</v>
      </c>
      <c r="B385" s="1" t="n">
        <v>20077</v>
      </c>
      <c r="C385" s="1" t="inlineStr">
        <is>
          <t>037</t>
        </is>
      </c>
      <c r="D385" s="1" t="inlineStr">
        <is>
          <t xml:space="preserve">61841 </t>
        </is>
      </c>
      <c r="E385" s="1" t="inlineStr">
        <is>
          <t xml:space="preserve">30232284       </t>
        </is>
      </c>
      <c r="F385" s="5" t="inlineStr">
        <is>
          <t>INFINITY NADO TROMPO DE BATALLA - METAL C/PUNTA DE</t>
        </is>
      </c>
      <c r="G385" t="n">
        <v>1</v>
      </c>
      <c r="H385" s="7" t="n">
        <v>49.9</v>
      </c>
      <c r="I385" s="7" t="n">
        <v>15</v>
      </c>
      <c r="J385" s="7" t="n">
        <v>0</v>
      </c>
      <c r="K385" s="9" t="n">
        <v>15</v>
      </c>
      <c r="L385" s="10" t="n">
        <v>20.71</v>
      </c>
      <c r="M385" s="10" t="n">
        <v>1.43</v>
      </c>
      <c r="N385" t="inlineStr">
        <is>
          <t>1</t>
        </is>
      </c>
      <c r="O385" t="inlineStr">
        <is>
          <t>16</t>
        </is>
      </c>
      <c r="P385" t="inlineStr">
        <is>
          <t xml:space="preserve">48922   </t>
        </is>
      </c>
      <c r="Q385" s="26" t="n">
        <v>49.9</v>
      </c>
      <c r="R385" s="26">
        <f>Q385*G385</f>
        <v/>
      </c>
      <c r="S385" t="n">
        <v>29.6</v>
      </c>
      <c r="T385" s="18">
        <f>1 - V385/S385</f>
        <v/>
      </c>
      <c r="U385" s="18" t="n">
        <v>0.3006012024048096</v>
      </c>
      <c r="V385" s="26" t="n">
        <v>22.18220338983051</v>
      </c>
      <c r="W385" s="26">
        <f>V385 - L385</f>
        <v/>
      </c>
    </row>
    <row r="386">
      <c r="A386" s="11" t="n">
        <v>46207</v>
      </c>
      <c r="B386" s="1" t="n">
        <v>20077</v>
      </c>
      <c r="C386" s="1" t="inlineStr">
        <is>
          <t>038</t>
        </is>
      </c>
      <c r="D386" s="1" t="inlineStr">
        <is>
          <t>110763</t>
        </is>
      </c>
      <c r="E386" s="1" t="inlineStr">
        <is>
          <t xml:space="preserve">29235706       </t>
        </is>
      </c>
      <c r="F386" s="5" t="inlineStr">
        <is>
          <t>TEAMSTERZ CAMION PARA GUARDAR 12 AUTOS INCL 4 AUTO</t>
        </is>
      </c>
      <c r="G386" t="n">
        <v>1</v>
      </c>
      <c r="H386" s="7" t="n">
        <v>59.9</v>
      </c>
      <c r="I386" s="7" t="n">
        <v>11.98</v>
      </c>
      <c r="J386" s="7" t="n">
        <v>0</v>
      </c>
      <c r="K386" s="9" t="n">
        <v>11.98</v>
      </c>
      <c r="L386" s="10" t="n">
        <v>28.43</v>
      </c>
      <c r="M386" s="10" t="n">
        <v>1.43</v>
      </c>
      <c r="N386" t="inlineStr">
        <is>
          <t>1</t>
        </is>
      </c>
      <c r="O386" t="inlineStr">
        <is>
          <t xml:space="preserve">3 </t>
        </is>
      </c>
      <c r="P386" t="inlineStr">
        <is>
          <t xml:space="preserve">55311   </t>
        </is>
      </c>
      <c r="Q386" s="26" t="n">
        <v>59.90000000000001</v>
      </c>
      <c r="R386" s="26">
        <f>Q386*G386</f>
        <v/>
      </c>
      <c r="S386" t="n">
        <v>35.53</v>
      </c>
      <c r="T386" s="18">
        <f>1 - V386/S386</f>
        <v/>
      </c>
      <c r="U386" s="18" t="n">
        <v>0</v>
      </c>
      <c r="V386" s="26" t="n">
        <v>35.53</v>
      </c>
      <c r="W386" s="26">
        <f>V386 - L386</f>
        <v/>
      </c>
    </row>
    <row r="387">
      <c r="A387" s="11" t="n">
        <v>46207</v>
      </c>
      <c r="B387" s="1" t="n">
        <v>20077</v>
      </c>
      <c r="C387" s="1" t="inlineStr">
        <is>
          <t>538</t>
        </is>
      </c>
      <c r="D387" s="1" t="inlineStr">
        <is>
          <t xml:space="preserve">2913  </t>
        </is>
      </c>
      <c r="E387" s="1" t="inlineStr">
        <is>
          <t xml:space="preserve">32457099       </t>
        </is>
      </c>
      <c r="F387" s="5" t="inlineStr">
        <is>
          <t>TMZ BEAST MACHINES MONSTER JAWS A FRICCION BLISTER</t>
        </is>
      </c>
      <c r="G387" t="n">
        <v>1</v>
      </c>
      <c r="H387" s="7" t="n">
        <v>19.9</v>
      </c>
      <c r="I387" s="7" t="n">
        <v>0</v>
      </c>
      <c r="J387" s="7" t="n">
        <v>0</v>
      </c>
      <c r="K387" s="9" t="n">
        <v>0</v>
      </c>
      <c r="L387" s="10" t="n">
        <v>11.8</v>
      </c>
      <c r="M387" s="10" t="n">
        <v>1.43</v>
      </c>
      <c r="N387" t="inlineStr">
        <is>
          <t>1</t>
        </is>
      </c>
      <c r="O387" t="inlineStr">
        <is>
          <t>16</t>
        </is>
      </c>
      <c r="P387" t="inlineStr">
        <is>
          <t xml:space="preserve">249583  </t>
        </is>
      </c>
      <c r="Q387" s="26" t="n">
        <v>19.9</v>
      </c>
      <c r="R387" s="26">
        <f>Q387*G387</f>
        <v/>
      </c>
      <c r="S387" t="n">
        <v>11.81</v>
      </c>
      <c r="T387" s="18">
        <f>1 - V387/S387</f>
        <v/>
      </c>
      <c r="U387" s="18" t="n">
        <v>0.1005025125628141</v>
      </c>
      <c r="V387" s="26" t="n">
        <v>8.417118644067797</v>
      </c>
      <c r="W387" s="26">
        <f>V387 - L387</f>
        <v/>
      </c>
    </row>
    <row r="388">
      <c r="A388" s="11" t="n">
        <v>46207</v>
      </c>
      <c r="B388" s="1" t="n">
        <v>20079</v>
      </c>
      <c r="C388" s="1" t="inlineStr">
        <is>
          <t>011</t>
        </is>
      </c>
      <c r="D388" s="1" t="inlineStr">
        <is>
          <t>301375</t>
        </is>
      </c>
      <c r="E388" s="1" t="inlineStr">
        <is>
          <t xml:space="preserve">34840524       </t>
        </is>
      </c>
      <c r="F388" s="5" t="inlineStr">
        <is>
          <t>NENUCO 5 FUNCIONES INTERACTIVAS</t>
        </is>
      </c>
      <c r="G388" t="n">
        <v>1</v>
      </c>
      <c r="H388" s="7" t="n">
        <v>89.90000000000001</v>
      </c>
      <c r="I388" s="7" t="n">
        <v>0</v>
      </c>
      <c r="J388" s="7" t="n">
        <v>0</v>
      </c>
      <c r="K388" s="9" t="n">
        <v>0</v>
      </c>
      <c r="L388" s="10" t="n">
        <v>53.33</v>
      </c>
      <c r="M388" s="10" t="n">
        <v>1.43</v>
      </c>
      <c r="N388" t="inlineStr">
        <is>
          <t>1</t>
        </is>
      </c>
      <c r="O388" t="inlineStr">
        <is>
          <t>16</t>
        </is>
      </c>
      <c r="P388" t="inlineStr">
        <is>
          <t xml:space="preserve">75771   </t>
        </is>
      </c>
      <c r="Q388" s="26" t="n">
        <v>89.90000000000003</v>
      </c>
      <c r="R388" s="26">
        <f>Q388*G388</f>
        <v/>
      </c>
      <c r="S388" t="n">
        <v>53.33</v>
      </c>
      <c r="T388" s="18">
        <f>1 - V388/S388</f>
        <v/>
      </c>
      <c r="U388" s="18" t="n">
        <v>0.2224694104560623</v>
      </c>
      <c r="V388" s="26" t="n">
        <v>44.42796610169492</v>
      </c>
      <c r="W388" s="26">
        <f>V388 - L388</f>
        <v/>
      </c>
    </row>
    <row r="389">
      <c r="A389" s="11" t="n">
        <v>46207</v>
      </c>
      <c r="B389" s="1" t="n">
        <v>20079</v>
      </c>
      <c r="C389" s="1" t="inlineStr">
        <is>
          <t>015</t>
        </is>
      </c>
      <c r="D389" s="1" t="inlineStr">
        <is>
          <t xml:space="preserve">41814 </t>
        </is>
      </c>
      <c r="E389" s="1" t="inlineStr">
        <is>
          <t xml:space="preserve">32457099       </t>
        </is>
      </c>
      <c r="F389" s="5" t="inlineStr">
        <is>
          <t>TMZ BEAST MACHINES MONSTER JAWS A FRICCION BLISTER</t>
        </is>
      </c>
      <c r="G389" t="n">
        <v>1</v>
      </c>
      <c r="H389" s="7" t="n">
        <v>19.9</v>
      </c>
      <c r="I389" s="7" t="n">
        <v>0</v>
      </c>
      <c r="J389" s="7" t="n">
        <v>0</v>
      </c>
      <c r="K389" s="9" t="n">
        <v>0</v>
      </c>
      <c r="L389" s="10" t="n">
        <v>11.8</v>
      </c>
      <c r="M389" s="10" t="n">
        <v>1.43</v>
      </c>
      <c r="N389" t="inlineStr">
        <is>
          <t>1</t>
        </is>
      </c>
      <c r="O389" t="inlineStr">
        <is>
          <t>16</t>
        </is>
      </c>
      <c r="P389" t="inlineStr">
        <is>
          <t xml:space="preserve">55412   </t>
        </is>
      </c>
      <c r="Q389" s="26" t="n">
        <v>19.9</v>
      </c>
      <c r="R389" s="26">
        <f>Q389*G389</f>
        <v/>
      </c>
      <c r="S389" t="n">
        <v>11.81</v>
      </c>
      <c r="T389" s="18">
        <f>1 - V389/S389</f>
        <v/>
      </c>
      <c r="U389" s="18" t="n">
        <v>0.1005025125628141</v>
      </c>
      <c r="V389" s="26" t="n">
        <v>8.417118644067797</v>
      </c>
      <c r="W389" s="26">
        <f>V389 - L389</f>
        <v/>
      </c>
    </row>
    <row r="390">
      <c r="A390" s="11" t="n">
        <v>46207</v>
      </c>
      <c r="B390" s="1" t="n">
        <v>20079</v>
      </c>
      <c r="C390" s="1" t="inlineStr">
        <is>
          <t>045</t>
        </is>
      </c>
      <c r="D390" s="1" t="inlineStr">
        <is>
          <t>331466</t>
        </is>
      </c>
      <c r="E390" s="1" t="inlineStr">
        <is>
          <t xml:space="preserve">32656523       </t>
        </is>
      </c>
      <c r="F390" s="5" t="inlineStr">
        <is>
          <t>TMZ BEAST MACHINES TRANSPORT. T-REX ELECTR. + ACCE</t>
        </is>
      </c>
      <c r="G390" t="n">
        <v>1</v>
      </c>
      <c r="H390" s="7" t="n">
        <v>179</v>
      </c>
      <c r="I390" s="7" t="n">
        <v>0</v>
      </c>
      <c r="J390" s="7" t="n">
        <v>0</v>
      </c>
      <c r="K390" s="9" t="n">
        <v>0</v>
      </c>
      <c r="L390" s="10" t="n">
        <v>106.18</v>
      </c>
      <c r="M390" s="10" t="n">
        <v>1.43</v>
      </c>
      <c r="N390" t="inlineStr">
        <is>
          <t>1</t>
        </is>
      </c>
      <c r="O390" t="inlineStr">
        <is>
          <t>16</t>
        </is>
      </c>
      <c r="P390" t="inlineStr">
        <is>
          <t xml:space="preserve">38146   </t>
        </is>
      </c>
      <c r="Q390" s="26" t="n">
        <v>179</v>
      </c>
      <c r="R390" s="26">
        <f>Q390*G390</f>
        <v/>
      </c>
      <c r="S390" t="n">
        <v>106.19</v>
      </c>
      <c r="T390" s="18">
        <f>1 - V390/S390</f>
        <v/>
      </c>
      <c r="U390" s="18" t="n">
        <v>0</v>
      </c>
      <c r="V390" s="26" t="n">
        <v>106.19</v>
      </c>
      <c r="W390" s="26">
        <f>V390 - L390</f>
        <v/>
      </c>
    </row>
    <row r="391">
      <c r="A391" s="11" t="n">
        <v>46207</v>
      </c>
      <c r="B391" s="1" t="n">
        <v>20079</v>
      </c>
      <c r="C391" s="1" t="inlineStr">
        <is>
          <t>045</t>
        </is>
      </c>
      <c r="D391" s="1" t="inlineStr">
        <is>
          <t>331502</t>
        </is>
      </c>
      <c r="E391" s="1" t="inlineStr">
        <is>
          <t xml:space="preserve">34840552       </t>
        </is>
      </c>
      <c r="F391" s="5" t="inlineStr">
        <is>
          <t>TMZ HELI POLICIA CON LUCES Y SONIDOS</t>
        </is>
      </c>
      <c r="G391" t="n">
        <v>1</v>
      </c>
      <c r="H391" s="7" t="n">
        <v>79.90000000000001</v>
      </c>
      <c r="I391" s="7" t="n">
        <v>0</v>
      </c>
      <c r="J391" s="7" t="n">
        <v>0</v>
      </c>
      <c r="K391" s="9" t="n">
        <v>0</v>
      </c>
      <c r="L391" s="10" t="n">
        <v>47.4</v>
      </c>
      <c r="M391" s="10" t="n">
        <v>1.43</v>
      </c>
      <c r="N391" t="inlineStr">
        <is>
          <t>1</t>
        </is>
      </c>
      <c r="O391" t="inlineStr">
        <is>
          <t>16</t>
        </is>
      </c>
      <c r="P391" t="inlineStr">
        <is>
          <t xml:space="preserve">38146   </t>
        </is>
      </c>
      <c r="Q391" s="26" t="n">
        <v>79.90000000000002</v>
      </c>
      <c r="R391" s="26">
        <f>Q391*G391</f>
        <v/>
      </c>
      <c r="S391" t="n">
        <v>47.4</v>
      </c>
      <c r="T391" s="18">
        <f>1 - V391/S391</f>
        <v/>
      </c>
      <c r="U391" s="18" t="n">
        <v>0</v>
      </c>
      <c r="V391" s="26" t="n">
        <v>47.4</v>
      </c>
      <c r="W391" s="26">
        <f>V391 - L391</f>
        <v/>
      </c>
    </row>
    <row r="392">
      <c r="A392" s="11" t="n">
        <v>46207</v>
      </c>
      <c r="B392" s="1" t="n">
        <v>20079</v>
      </c>
      <c r="C392" s="1" t="inlineStr">
        <is>
          <t>045</t>
        </is>
      </c>
      <c r="D392" s="1" t="inlineStr">
        <is>
          <t>331555</t>
        </is>
      </c>
      <c r="E392" s="1" t="inlineStr">
        <is>
          <t xml:space="preserve">31754675       </t>
        </is>
      </c>
      <c r="F392" s="5" t="inlineStr">
        <is>
          <t>INFINITY NADO SERIE 6 STARTER PACK - 4 MODELOS</t>
        </is>
      </c>
      <c r="G392" t="n">
        <v>1</v>
      </c>
      <c r="H392" s="7" t="n">
        <v>69.90000000000001</v>
      </c>
      <c r="I392" s="7" t="n">
        <v>0</v>
      </c>
      <c r="J392" s="7" t="n">
        <v>0</v>
      </c>
      <c r="K392" s="9" t="n">
        <v>0</v>
      </c>
      <c r="L392" s="10" t="n">
        <v>41.47</v>
      </c>
      <c r="M392" s="10" t="n">
        <v>1.43</v>
      </c>
      <c r="N392" t="inlineStr">
        <is>
          <t>1</t>
        </is>
      </c>
      <c r="O392" t="inlineStr">
        <is>
          <t>16</t>
        </is>
      </c>
      <c r="P392" t="inlineStr">
        <is>
          <t xml:space="preserve">38146   </t>
        </is>
      </c>
      <c r="Q392" s="26" t="n">
        <v>69.90000000000001</v>
      </c>
      <c r="R392" s="26">
        <f>Q392*G392</f>
        <v/>
      </c>
      <c r="S392" t="n">
        <v>41.47</v>
      </c>
      <c r="T392" s="18">
        <f>1 - V392/S392</f>
        <v/>
      </c>
      <c r="U392" s="18" t="n">
        <v>0.2861230329041489</v>
      </c>
      <c r="V392" s="26" t="n">
        <v>31.71610169491525</v>
      </c>
      <c r="W392" s="26">
        <f>V392 - L392</f>
        <v/>
      </c>
    </row>
    <row r="393">
      <c r="A393" s="11" t="n">
        <v>46207</v>
      </c>
      <c r="B393" s="1" t="n">
        <v>20079</v>
      </c>
      <c r="C393" s="1" t="inlineStr">
        <is>
          <t>045</t>
        </is>
      </c>
      <c r="D393" s="1" t="inlineStr">
        <is>
          <t>331555</t>
        </is>
      </c>
      <c r="E393" s="1" t="inlineStr">
        <is>
          <t xml:space="preserve">31754676       </t>
        </is>
      </c>
      <c r="F393" s="5" t="inlineStr">
        <is>
          <t>INFINITY NADO SERIE 6 STD PACK LANZ ESPAD ANILLO M</t>
        </is>
      </c>
      <c r="G393" t="n">
        <v>1</v>
      </c>
      <c r="H393" s="7" t="n">
        <v>79.90000000000001</v>
      </c>
      <c r="I393" s="7" t="n">
        <v>0</v>
      </c>
      <c r="J393" s="7" t="n">
        <v>0</v>
      </c>
      <c r="K393" s="9" t="n">
        <v>0</v>
      </c>
      <c r="L393" s="10" t="n">
        <v>47.4</v>
      </c>
      <c r="M393" s="10" t="n">
        <v>1.43</v>
      </c>
      <c r="N393" t="inlineStr">
        <is>
          <t>1</t>
        </is>
      </c>
      <c r="O393" t="inlineStr">
        <is>
          <t>16</t>
        </is>
      </c>
      <c r="P393" t="inlineStr">
        <is>
          <t xml:space="preserve">38146   </t>
        </is>
      </c>
      <c r="Q393" s="26" t="n">
        <v>79.90000000000001</v>
      </c>
      <c r="R393" s="26">
        <f>Q393*G393</f>
        <v/>
      </c>
      <c r="S393" t="n">
        <v>47.4</v>
      </c>
      <c r="T393" s="18">
        <f>1 - V393/S393</f>
        <v/>
      </c>
      <c r="U393" s="18" t="n">
        <v>0.2503128911138924</v>
      </c>
      <c r="V393" s="26" t="n">
        <v>38.07203389830509</v>
      </c>
      <c r="W393" s="26">
        <f>V393 - L393</f>
        <v/>
      </c>
    </row>
    <row r="394">
      <c r="A394" s="11" t="n">
        <v>46207</v>
      </c>
      <c r="B394" s="1" t="n">
        <v>20080</v>
      </c>
      <c r="C394" s="1" t="inlineStr">
        <is>
          <t>029</t>
        </is>
      </c>
      <c r="D394" s="1" t="inlineStr">
        <is>
          <t>224590</t>
        </is>
      </c>
      <c r="E394" s="1" t="inlineStr">
        <is>
          <t xml:space="preserve">32457103       </t>
        </is>
      </c>
      <c r="F394" s="5" t="inlineStr">
        <is>
          <t>TMZ BEAST MACHINES MONSTER JAWS A FRICCION PACK DE</t>
        </is>
      </c>
      <c r="G394" t="n">
        <v>1</v>
      </c>
      <c r="H394" s="7" t="n">
        <v>37.9</v>
      </c>
      <c r="I394" s="7" t="n">
        <v>0</v>
      </c>
      <c r="J394" s="7" t="n">
        <v>0</v>
      </c>
      <c r="K394" s="9" t="n">
        <v>0</v>
      </c>
      <c r="L394" s="10" t="n">
        <v>22.48</v>
      </c>
      <c r="M394" s="10" t="n">
        <v>1.43</v>
      </c>
      <c r="N394" t="inlineStr">
        <is>
          <t>1</t>
        </is>
      </c>
      <c r="O394" t="inlineStr">
        <is>
          <t xml:space="preserve">2 </t>
        </is>
      </c>
      <c r="P394" t="inlineStr">
        <is>
          <t xml:space="preserve">79951   </t>
        </is>
      </c>
      <c r="Q394" s="26" t="n">
        <v>37.9</v>
      </c>
      <c r="R394" s="26">
        <f>Q394*G394</f>
        <v/>
      </c>
      <c r="S394" t="n">
        <v>22.48</v>
      </c>
      <c r="T394" s="18">
        <f>1 - V394/S394</f>
        <v/>
      </c>
      <c r="U394" s="18" t="n">
        <v>0.1319261213720316</v>
      </c>
      <c r="V394" s="26" t="n">
        <v>16.75101694915254</v>
      </c>
      <c r="W394" s="26">
        <f>V394 - L394</f>
        <v/>
      </c>
    </row>
    <row r="395">
      <c r="A395" s="11" t="n">
        <v>46207</v>
      </c>
      <c r="B395" s="1" t="n">
        <v>20080</v>
      </c>
      <c r="C395" s="1" t="inlineStr">
        <is>
          <t>029</t>
        </is>
      </c>
      <c r="D395" s="1" t="inlineStr">
        <is>
          <t>224632</t>
        </is>
      </c>
      <c r="E395" s="1" t="inlineStr">
        <is>
          <t xml:space="preserve">30141766       </t>
        </is>
      </c>
      <c r="F395" s="5" t="inlineStr">
        <is>
          <t>TMZ BEAST MACHINES AUTOS DE METAL BLISTER X 1</t>
        </is>
      </c>
      <c r="G395" t="n">
        <v>1</v>
      </c>
      <c r="H395" s="7" t="n">
        <v>7.9</v>
      </c>
      <c r="I395" s="7" t="n">
        <v>0</v>
      </c>
      <c r="J395" s="7" t="n">
        <v>0</v>
      </c>
      <c r="K395" s="9" t="n">
        <v>0</v>
      </c>
      <c r="L395" s="10" t="n">
        <v>4.68</v>
      </c>
      <c r="M395" s="10" t="n">
        <v>1.43</v>
      </c>
      <c r="N395" t="inlineStr">
        <is>
          <t>1</t>
        </is>
      </c>
      <c r="O395" t="inlineStr">
        <is>
          <t>16</t>
        </is>
      </c>
      <c r="P395" t="inlineStr">
        <is>
          <t xml:space="preserve">237824  </t>
        </is>
      </c>
      <c r="Q395" s="26" t="n">
        <v>7.9</v>
      </c>
      <c r="R395" s="26">
        <f>Q395*G395</f>
        <v/>
      </c>
      <c r="S395" t="n">
        <v>4.69</v>
      </c>
      <c r="T395" s="18">
        <f>1 - V395/S395</f>
        <v/>
      </c>
      <c r="U395" s="18" t="n">
        <v>0</v>
      </c>
      <c r="V395" s="26" t="n">
        <v>4.69</v>
      </c>
      <c r="W395" s="26">
        <f>V395 - L395</f>
        <v/>
      </c>
    </row>
    <row r="396">
      <c r="A396" s="11" t="n">
        <v>46207</v>
      </c>
      <c r="B396" s="1" t="n">
        <v>20080</v>
      </c>
      <c r="C396" s="1" t="inlineStr">
        <is>
          <t>029</t>
        </is>
      </c>
      <c r="D396" s="1" t="inlineStr">
        <is>
          <t>224632</t>
        </is>
      </c>
      <c r="E396" s="1" t="inlineStr">
        <is>
          <t xml:space="preserve">30141766       </t>
        </is>
      </c>
      <c r="F396" s="5" t="inlineStr">
        <is>
          <t>TMZ BEAST MACHINES AUTOS DE METAL BLISTER X 1</t>
        </is>
      </c>
      <c r="G396" t="n">
        <v>1</v>
      </c>
      <c r="H396" s="7" t="n">
        <v>7.9</v>
      </c>
      <c r="I396" s="7" t="n">
        <v>0</v>
      </c>
      <c r="J396" s="7" t="n">
        <v>0</v>
      </c>
      <c r="K396" s="9" t="n">
        <v>0</v>
      </c>
      <c r="L396" s="10" t="n">
        <v>4.68</v>
      </c>
      <c r="M396" s="10" t="n">
        <v>1.43</v>
      </c>
      <c r="N396" t="inlineStr">
        <is>
          <t>1</t>
        </is>
      </c>
      <c r="O396" t="inlineStr">
        <is>
          <t>16</t>
        </is>
      </c>
      <c r="P396" t="inlineStr">
        <is>
          <t xml:space="preserve">237824  </t>
        </is>
      </c>
      <c r="Q396" s="26" t="n">
        <v>7.9</v>
      </c>
      <c r="R396" s="26">
        <f>Q396*G396</f>
        <v/>
      </c>
      <c r="S396" t="n">
        <v>4.69</v>
      </c>
      <c r="T396" s="18">
        <f>1 - V396/S396</f>
        <v/>
      </c>
      <c r="U396" s="18" t="n">
        <v>0</v>
      </c>
      <c r="V396" s="26" t="n">
        <v>4.69</v>
      </c>
      <c r="W396" s="26">
        <f>V396 - L396</f>
        <v/>
      </c>
    </row>
    <row r="397">
      <c r="A397" s="11" t="n">
        <v>46207</v>
      </c>
      <c r="B397" s="1" t="n">
        <v>20080</v>
      </c>
      <c r="C397" s="1" t="inlineStr">
        <is>
          <t>029</t>
        </is>
      </c>
      <c r="D397" s="1" t="inlineStr">
        <is>
          <t>224651</t>
        </is>
      </c>
      <c r="E397" s="1" t="inlineStr">
        <is>
          <t xml:space="preserve">32457099       </t>
        </is>
      </c>
      <c r="F397" s="5" t="inlineStr">
        <is>
          <t>TMZ BEAST MACHINES MONSTER JAWS A FRICCION BLISTER</t>
        </is>
      </c>
      <c r="G397" t="n">
        <v>1</v>
      </c>
      <c r="H397" s="7" t="n">
        <v>19.9</v>
      </c>
      <c r="I397" s="7" t="n">
        <v>0</v>
      </c>
      <c r="J397" s="7" t="n">
        <v>0</v>
      </c>
      <c r="K397" s="9" t="n">
        <v>0</v>
      </c>
      <c r="L397" s="10" t="n">
        <v>11.8</v>
      </c>
      <c r="M397" s="10" t="n">
        <v>1.43</v>
      </c>
      <c r="N397" t="inlineStr">
        <is>
          <t>1</t>
        </is>
      </c>
      <c r="O397" t="inlineStr">
        <is>
          <t>16</t>
        </is>
      </c>
      <c r="P397" t="inlineStr">
        <is>
          <t xml:space="preserve">79951   </t>
        </is>
      </c>
      <c r="Q397" s="26" t="n">
        <v>19.9</v>
      </c>
      <c r="R397" s="26">
        <f>Q397*G397</f>
        <v/>
      </c>
      <c r="S397" t="n">
        <v>11.81</v>
      </c>
      <c r="T397" s="18">
        <f>1 - V397/S397</f>
        <v/>
      </c>
      <c r="U397" s="18" t="n">
        <v>0.1005025125628141</v>
      </c>
      <c r="V397" s="26" t="n">
        <v>8.417118644067797</v>
      </c>
      <c r="W397" s="26">
        <f>V397 - L397</f>
        <v/>
      </c>
    </row>
    <row r="398">
      <c r="A398" s="11" t="n">
        <v>46207</v>
      </c>
      <c r="B398" s="1" t="n">
        <v>20080</v>
      </c>
      <c r="C398" s="1" t="inlineStr">
        <is>
          <t>029</t>
        </is>
      </c>
      <c r="D398" s="1" t="inlineStr">
        <is>
          <t>224660</t>
        </is>
      </c>
      <c r="E398" s="1" t="inlineStr">
        <is>
          <t xml:space="preserve">31959957       </t>
        </is>
      </c>
      <c r="F398" s="5" t="inlineStr">
        <is>
          <t>TEAMSTERZ PLAYSET RESCATE EN EL MAR</t>
        </is>
      </c>
      <c r="G398" t="n">
        <v>1</v>
      </c>
      <c r="H398" s="7" t="n">
        <v>19.9</v>
      </c>
      <c r="I398" s="7" t="n">
        <v>0</v>
      </c>
      <c r="J398" s="7" t="n">
        <v>0</v>
      </c>
      <c r="K398" s="9" t="n">
        <v>0</v>
      </c>
      <c r="L398" s="10" t="n">
        <v>11.8</v>
      </c>
      <c r="M398" s="10" t="n">
        <v>1.43</v>
      </c>
      <c r="N398" t="inlineStr">
        <is>
          <t>1</t>
        </is>
      </c>
      <c r="O398" t="inlineStr">
        <is>
          <t>16</t>
        </is>
      </c>
      <c r="P398" t="inlineStr">
        <is>
          <t xml:space="preserve">79951   </t>
        </is>
      </c>
      <c r="Q398" s="26" t="n">
        <v>19.9</v>
      </c>
      <c r="R398" s="26">
        <f>Q398*G398</f>
        <v/>
      </c>
      <c r="S398" t="n">
        <v>11.81</v>
      </c>
      <c r="T398" s="18">
        <f>1 - V398/S398</f>
        <v/>
      </c>
      <c r="U398" s="18" t="n">
        <v>0</v>
      </c>
      <c r="V398" s="26" t="n">
        <v>11.81</v>
      </c>
      <c r="W398" s="26">
        <f>V398 - L398</f>
        <v/>
      </c>
    </row>
    <row r="399">
      <c r="A399" s="11" t="n">
        <v>46207</v>
      </c>
      <c r="B399" s="1" t="n">
        <v>20080</v>
      </c>
      <c r="C399" s="1" t="inlineStr">
        <is>
          <t>029</t>
        </is>
      </c>
      <c r="D399" s="1" t="inlineStr">
        <is>
          <t>224681</t>
        </is>
      </c>
      <c r="E399" s="1" t="inlineStr">
        <is>
          <t xml:space="preserve">28194769       </t>
        </is>
      </c>
      <c r="F399" s="5" t="inlineStr">
        <is>
          <t>AUTOS DE METAL 3 TEAMSTERZ PACK DE 2</t>
        </is>
      </c>
      <c r="G399" t="n">
        <v>1</v>
      </c>
      <c r="H399" s="7" t="n">
        <v>13.8</v>
      </c>
      <c r="I399" s="7" t="n">
        <v>0</v>
      </c>
      <c r="J399" s="7" t="n">
        <v>0</v>
      </c>
      <c r="K399" s="9" t="n">
        <v>0</v>
      </c>
      <c r="L399" s="10" t="n">
        <v>8.18</v>
      </c>
      <c r="M399" s="10" t="n">
        <v>1.43</v>
      </c>
      <c r="N399" t="inlineStr">
        <is>
          <t>1</t>
        </is>
      </c>
      <c r="O399" t="inlineStr">
        <is>
          <t xml:space="preserve">2 </t>
        </is>
      </c>
      <c r="P399" t="inlineStr">
        <is>
          <t xml:space="preserve">247625  </t>
        </is>
      </c>
      <c r="Q399" s="26" t="n">
        <v>13.8</v>
      </c>
      <c r="R399" s="26">
        <f>Q399*G399</f>
        <v/>
      </c>
      <c r="S399" t="n">
        <v>8.19</v>
      </c>
      <c r="T399" s="18">
        <f>1 - V399/S399</f>
        <v/>
      </c>
      <c r="U399" s="18" t="n">
        <v>0</v>
      </c>
      <c r="V399" s="26" t="n">
        <v>8.19</v>
      </c>
      <c r="W399" s="26">
        <f>V399 - L399</f>
        <v/>
      </c>
    </row>
    <row r="400">
      <c r="A400" s="11" t="n">
        <v>46207</v>
      </c>
      <c r="B400" s="1" t="n">
        <v>20086</v>
      </c>
      <c r="C400" s="1" t="inlineStr">
        <is>
          <t>192</t>
        </is>
      </c>
      <c r="D400" s="1" t="inlineStr">
        <is>
          <t>128870</t>
        </is>
      </c>
      <c r="E400" s="1" t="inlineStr">
        <is>
          <t xml:space="preserve">28194770       </t>
        </is>
      </c>
      <c r="F400" s="5" t="inlineStr">
        <is>
          <t>AUTOS DE METAL 3 TEAMSTERZ EN BLISTER</t>
        </is>
      </c>
      <c r="G400" t="n">
        <v>1</v>
      </c>
      <c r="H400" s="7" t="n">
        <v>6.9</v>
      </c>
      <c r="I400" s="7" t="n">
        <v>0</v>
      </c>
      <c r="J400" s="7" t="n">
        <v>0</v>
      </c>
      <c r="K400" s="9" t="n">
        <v>0</v>
      </c>
      <c r="L400" s="10" t="n">
        <v>4.1</v>
      </c>
      <c r="M400" s="10" t="n">
        <v>1.43</v>
      </c>
      <c r="N400" t="inlineStr">
        <is>
          <t>1</t>
        </is>
      </c>
      <c r="O400" t="inlineStr">
        <is>
          <t xml:space="preserve">2 </t>
        </is>
      </c>
      <c r="P400" t="inlineStr">
        <is>
          <t xml:space="preserve">74931   </t>
        </is>
      </c>
      <c r="Q400" s="26" t="n">
        <v>6.9</v>
      </c>
      <c r="R400" s="26">
        <f>Q400*G400</f>
        <v/>
      </c>
      <c r="S400" t="n">
        <v>4.09</v>
      </c>
      <c r="T400" s="18">
        <f>1 - V400/S400</f>
        <v/>
      </c>
      <c r="U400" s="18" t="n">
        <v>0</v>
      </c>
      <c r="V400" s="26" t="n">
        <v>4.09</v>
      </c>
      <c r="W400" s="26">
        <f>V400 - L400</f>
        <v/>
      </c>
    </row>
    <row r="401">
      <c r="A401" s="11" t="n">
        <v>46207</v>
      </c>
      <c r="B401" s="1" t="n">
        <v>20086</v>
      </c>
      <c r="C401" s="1" t="inlineStr">
        <is>
          <t>192</t>
        </is>
      </c>
      <c r="D401" s="1" t="inlineStr">
        <is>
          <t>128870</t>
        </is>
      </c>
      <c r="E401" s="1" t="inlineStr">
        <is>
          <t xml:space="preserve">28194770       </t>
        </is>
      </c>
      <c r="F401" s="5" t="inlineStr">
        <is>
          <t>AUTOS DE METAL 3 TEAMSTERZ EN BLISTER</t>
        </is>
      </c>
      <c r="G401" t="n">
        <v>1</v>
      </c>
      <c r="H401" s="7" t="n">
        <v>6.9</v>
      </c>
      <c r="I401" s="7" t="n">
        <v>0</v>
      </c>
      <c r="J401" s="7" t="n">
        <v>0</v>
      </c>
      <c r="K401" s="9" t="n">
        <v>0</v>
      </c>
      <c r="L401" s="10" t="n">
        <v>4.1</v>
      </c>
      <c r="M401" s="10" t="n">
        <v>1.43</v>
      </c>
      <c r="N401" t="inlineStr">
        <is>
          <t>1</t>
        </is>
      </c>
      <c r="O401" t="inlineStr">
        <is>
          <t xml:space="preserve">2 </t>
        </is>
      </c>
      <c r="P401" t="inlineStr">
        <is>
          <t xml:space="preserve">74931   </t>
        </is>
      </c>
      <c r="Q401" s="26" t="n">
        <v>6.9</v>
      </c>
      <c r="R401" s="26">
        <f>Q401*G401</f>
        <v/>
      </c>
      <c r="S401" t="n">
        <v>4.09</v>
      </c>
      <c r="T401" s="18">
        <f>1 - V401/S401</f>
        <v/>
      </c>
      <c r="U401" s="18" t="n">
        <v>0</v>
      </c>
      <c r="V401" s="26" t="n">
        <v>4.09</v>
      </c>
      <c r="W401" s="26">
        <f>V401 - L401</f>
        <v/>
      </c>
    </row>
    <row r="402">
      <c r="A402" s="11" t="n">
        <v>46207</v>
      </c>
      <c r="B402" s="1" t="n">
        <v>20086</v>
      </c>
      <c r="C402" s="1" t="inlineStr">
        <is>
          <t>192</t>
        </is>
      </c>
      <c r="D402" s="1" t="inlineStr">
        <is>
          <t>128872</t>
        </is>
      </c>
      <c r="E402" s="1" t="inlineStr">
        <is>
          <t xml:space="preserve">28194769       </t>
        </is>
      </c>
      <c r="F402" s="5" t="inlineStr">
        <is>
          <t>AUTOS DE METAL 3 TEAMSTERZ PACK DE 2</t>
        </is>
      </c>
      <c r="G402" t="n">
        <v>1</v>
      </c>
      <c r="H402" s="7" t="n">
        <v>13.8</v>
      </c>
      <c r="I402" s="7" t="n">
        <v>0</v>
      </c>
      <c r="J402" s="7" t="n">
        <v>0</v>
      </c>
      <c r="K402" s="9" t="n">
        <v>0</v>
      </c>
      <c r="L402" s="10" t="n">
        <v>8.18</v>
      </c>
      <c r="M402" s="10" t="n">
        <v>1.43</v>
      </c>
      <c r="N402" t="inlineStr">
        <is>
          <t>1</t>
        </is>
      </c>
      <c r="O402" t="inlineStr">
        <is>
          <t xml:space="preserve">2 </t>
        </is>
      </c>
      <c r="P402" t="inlineStr">
        <is>
          <t xml:space="preserve">74931   </t>
        </is>
      </c>
      <c r="Q402" s="26" t="n">
        <v>13.8</v>
      </c>
      <c r="R402" s="26">
        <f>Q402*G402</f>
        <v/>
      </c>
      <c r="S402" t="n">
        <v>8.19</v>
      </c>
      <c r="T402" s="18">
        <f>1 - V402/S402</f>
        <v/>
      </c>
      <c r="U402" s="18" t="n">
        <v>0</v>
      </c>
      <c r="V402" s="26" t="n">
        <v>8.19</v>
      </c>
      <c r="W402" s="26">
        <f>V402 - L402</f>
        <v/>
      </c>
    </row>
    <row r="403">
      <c r="A403" s="11" t="n">
        <v>46207</v>
      </c>
      <c r="B403" s="1" t="n">
        <v>20086</v>
      </c>
      <c r="C403" s="1" t="inlineStr">
        <is>
          <t>500</t>
        </is>
      </c>
      <c r="D403" s="1" t="inlineStr">
        <is>
          <t xml:space="preserve">4281  </t>
        </is>
      </c>
      <c r="E403" s="1" t="inlineStr">
        <is>
          <t xml:space="preserve">28194770       </t>
        </is>
      </c>
      <c r="F403" s="5" t="inlineStr">
        <is>
          <t>AUTOS DE METAL 3 TEAMSTERZ EN BLISTER</t>
        </is>
      </c>
      <c r="G403" t="n">
        <v>1</v>
      </c>
      <c r="H403" s="7" t="n">
        <v>6.9</v>
      </c>
      <c r="I403" s="7" t="n">
        <v>0</v>
      </c>
      <c r="J403" s="7" t="n">
        <v>0</v>
      </c>
      <c r="K403" s="9" t="n">
        <v>0</v>
      </c>
      <c r="L403" s="10" t="n">
        <v>4.1</v>
      </c>
      <c r="M403" s="10" t="n">
        <v>1.43</v>
      </c>
      <c r="N403" t="inlineStr">
        <is>
          <t>1</t>
        </is>
      </c>
      <c r="O403" t="inlineStr">
        <is>
          <t>16</t>
        </is>
      </c>
      <c r="P403" t="inlineStr">
        <is>
          <t xml:space="preserve">243254  </t>
        </is>
      </c>
      <c r="Q403" s="26" t="n">
        <v>6.9</v>
      </c>
      <c r="R403" s="26">
        <f>Q403*G403</f>
        <v/>
      </c>
      <c r="S403" t="n">
        <v>4.09</v>
      </c>
      <c r="T403" s="18">
        <f>1 - V403/S403</f>
        <v/>
      </c>
      <c r="U403" s="18" t="n">
        <v>0</v>
      </c>
      <c r="V403" s="26" t="n">
        <v>4.09</v>
      </c>
      <c r="W403" s="26">
        <f>V403 - L403</f>
        <v/>
      </c>
    </row>
    <row r="404">
      <c r="A404" s="11" t="n">
        <v>46207</v>
      </c>
      <c r="B404" s="1" t="n">
        <v>20088</v>
      </c>
      <c r="C404" s="1" t="inlineStr">
        <is>
          <t>013</t>
        </is>
      </c>
      <c r="D404" s="1" t="inlineStr">
        <is>
          <t xml:space="preserve">40803 </t>
        </is>
      </c>
      <c r="E404" s="1" t="inlineStr">
        <is>
          <t xml:space="preserve">32457099       </t>
        </is>
      </c>
      <c r="F404" s="5" t="inlineStr">
        <is>
          <t>TMZ BEAST MACHINES MONSTER JAWS A FRICCION BLISTER</t>
        </is>
      </c>
      <c r="G404" t="n">
        <v>1</v>
      </c>
      <c r="H404" s="7" t="n">
        <v>17.9</v>
      </c>
      <c r="I404" s="7" t="n">
        <v>0</v>
      </c>
      <c r="J404" s="7" t="n">
        <v>0</v>
      </c>
      <c r="K404" s="9" t="n">
        <v>0</v>
      </c>
      <c r="L404" s="10" t="n">
        <v>10.62</v>
      </c>
      <c r="M404" s="10" t="n">
        <v>1.43</v>
      </c>
      <c r="N404" t="inlineStr">
        <is>
          <t>1</t>
        </is>
      </c>
      <c r="O404" t="inlineStr">
        <is>
          <t xml:space="preserve">2 </t>
        </is>
      </c>
      <c r="P404" t="inlineStr">
        <is>
          <t xml:space="preserve">232153  </t>
        </is>
      </c>
      <c r="Q404" s="26" t="n">
        <v>19.9</v>
      </c>
      <c r="R404" s="26">
        <f>Q404*G404</f>
        <v/>
      </c>
      <c r="S404" t="n">
        <v>11.81</v>
      </c>
      <c r="T404" s="18">
        <f>1 - V404/S404</f>
        <v/>
      </c>
      <c r="U404" s="18" t="n">
        <v>0.1005025125628141</v>
      </c>
      <c r="V404" s="26" t="n">
        <v>8.417118644067797</v>
      </c>
      <c r="W404" s="26">
        <f>V404 - L404</f>
        <v/>
      </c>
    </row>
    <row r="405">
      <c r="A405" s="11" t="n">
        <v>46207</v>
      </c>
      <c r="B405" s="1" t="n">
        <v>20088</v>
      </c>
      <c r="C405" s="1" t="inlineStr">
        <is>
          <t>021</t>
        </is>
      </c>
      <c r="D405" s="1" t="inlineStr">
        <is>
          <t xml:space="preserve">48090 </t>
        </is>
      </c>
      <c r="E405" s="1" t="inlineStr">
        <is>
          <t xml:space="preserve">28194768       </t>
        </is>
      </c>
      <c r="F405" s="5" t="inlineStr">
        <is>
          <t>AUTO COLOR CHANGE TEAMSTERZ SURTIDO</t>
        </is>
      </c>
      <c r="G405" t="n">
        <v>1</v>
      </c>
      <c r="H405" s="7" t="n">
        <v>14.9</v>
      </c>
      <c r="I405" s="7" t="n">
        <v>0</v>
      </c>
      <c r="J405" s="7" t="n">
        <v>0</v>
      </c>
      <c r="K405" s="9" t="n">
        <v>0</v>
      </c>
      <c r="L405" s="10" t="n">
        <v>8.84</v>
      </c>
      <c r="M405" s="10" t="n">
        <v>1.43</v>
      </c>
      <c r="N405" t="inlineStr">
        <is>
          <t>1</t>
        </is>
      </c>
      <c r="O405" t="inlineStr">
        <is>
          <t xml:space="preserve">3 </t>
        </is>
      </c>
      <c r="P405" t="inlineStr">
        <is>
          <t xml:space="preserve">242181  </t>
        </is>
      </c>
      <c r="Q405" s="26" t="n">
        <v>14.9</v>
      </c>
      <c r="R405" s="26">
        <f>Q405*G405</f>
        <v/>
      </c>
      <c r="S405" t="n">
        <v>8.84</v>
      </c>
      <c r="T405" s="18">
        <f>1 - V405/S405</f>
        <v/>
      </c>
      <c r="U405" s="18" t="n">
        <v>0</v>
      </c>
      <c r="V405" s="26" t="n">
        <v>8.84</v>
      </c>
      <c r="W405" s="26">
        <f>V405 - L405</f>
        <v/>
      </c>
    </row>
    <row r="406">
      <c r="A406" s="11" t="n">
        <v>46207</v>
      </c>
      <c r="B406" s="1" t="n">
        <v>20088</v>
      </c>
      <c r="C406" s="1" t="inlineStr">
        <is>
          <t>021</t>
        </is>
      </c>
      <c r="D406" s="1" t="inlineStr">
        <is>
          <t xml:space="preserve">48090 </t>
        </is>
      </c>
      <c r="E406" s="1" t="inlineStr">
        <is>
          <t xml:space="preserve">28194768       </t>
        </is>
      </c>
      <c r="F406" s="5" t="inlineStr">
        <is>
          <t>AUTO COLOR CHANGE TEAMSTERZ SURTIDO</t>
        </is>
      </c>
      <c r="G406" t="n">
        <v>1</v>
      </c>
      <c r="H406" s="7" t="n">
        <v>14.9</v>
      </c>
      <c r="I406" s="7" t="n">
        <v>0</v>
      </c>
      <c r="J406" s="7" t="n">
        <v>0</v>
      </c>
      <c r="K406" s="9" t="n">
        <v>0</v>
      </c>
      <c r="L406" s="10" t="n">
        <v>8.84</v>
      </c>
      <c r="M406" s="10" t="n">
        <v>1.43</v>
      </c>
      <c r="N406" t="inlineStr">
        <is>
          <t>1</t>
        </is>
      </c>
      <c r="O406" t="inlineStr">
        <is>
          <t xml:space="preserve">3 </t>
        </is>
      </c>
      <c r="P406" t="inlineStr">
        <is>
          <t xml:space="preserve">242181  </t>
        </is>
      </c>
      <c r="Q406" s="26" t="n">
        <v>14.9</v>
      </c>
      <c r="R406" s="26">
        <f>Q406*G406</f>
        <v/>
      </c>
      <c r="S406" t="n">
        <v>8.84</v>
      </c>
      <c r="T406" s="18">
        <f>1 - V406/S406</f>
        <v/>
      </c>
      <c r="U406" s="18" t="n">
        <v>0</v>
      </c>
      <c r="V406" s="26" t="n">
        <v>8.84</v>
      </c>
      <c r="W406" s="26">
        <f>V406 - L406</f>
        <v/>
      </c>
    </row>
    <row r="407">
      <c r="A407" s="11" t="n">
        <v>46207</v>
      </c>
      <c r="B407" s="1" t="n">
        <v>20088</v>
      </c>
      <c r="C407" s="1" t="inlineStr">
        <is>
          <t>021</t>
        </is>
      </c>
      <c r="D407" s="1" t="inlineStr">
        <is>
          <t xml:space="preserve">48090 </t>
        </is>
      </c>
      <c r="E407" s="1" t="inlineStr">
        <is>
          <t xml:space="preserve">31959961       </t>
        </is>
      </c>
      <c r="F407" s="5" t="inlineStr">
        <is>
          <t>TEAMSTERZ CAMBIA DE COLOR PACK DE 3 AUTOS</t>
        </is>
      </c>
      <c r="G407" t="n">
        <v>1</v>
      </c>
      <c r="H407" s="7" t="n">
        <v>49.9</v>
      </c>
      <c r="I407" s="7" t="n">
        <v>0</v>
      </c>
      <c r="J407" s="7" t="n">
        <v>0</v>
      </c>
      <c r="K407" s="9" t="n">
        <v>0</v>
      </c>
      <c r="L407" s="10" t="n">
        <v>29.6</v>
      </c>
      <c r="M407" s="10" t="n">
        <v>1.43</v>
      </c>
      <c r="N407" t="inlineStr">
        <is>
          <t>1</t>
        </is>
      </c>
      <c r="O407" t="inlineStr">
        <is>
          <t xml:space="preserve">3 </t>
        </is>
      </c>
      <c r="P407" t="inlineStr">
        <is>
          <t xml:space="preserve">242181  </t>
        </is>
      </c>
      <c r="Q407" s="26" t="n">
        <v>49.9</v>
      </c>
      <c r="R407" s="26">
        <f>Q407*G407</f>
        <v/>
      </c>
      <c r="S407" t="n">
        <v>29.6</v>
      </c>
      <c r="T407" s="18">
        <f>1 - V407/S407</f>
        <v/>
      </c>
      <c r="U407" s="18" t="n">
        <v>0</v>
      </c>
      <c r="V407" s="26" t="n">
        <v>29.6</v>
      </c>
      <c r="W407" s="26">
        <f>V407 - L407</f>
        <v/>
      </c>
    </row>
    <row r="408">
      <c r="A408" s="11" t="n">
        <v>46207</v>
      </c>
      <c r="B408" s="1" t="n">
        <v>20088</v>
      </c>
      <c r="C408" s="1" t="inlineStr">
        <is>
          <t>021</t>
        </is>
      </c>
      <c r="D408" s="1" t="inlineStr">
        <is>
          <t xml:space="preserve">48111 </t>
        </is>
      </c>
      <c r="E408" s="1" t="inlineStr">
        <is>
          <t xml:space="preserve">31675354       </t>
        </is>
      </c>
      <c r="F408" s="5" t="inlineStr">
        <is>
          <t>NENUCO LLORON CON ACCESORIOS</t>
        </is>
      </c>
      <c r="G408" t="n">
        <v>1</v>
      </c>
      <c r="H408" s="7" t="n">
        <v>69.90000000000001</v>
      </c>
      <c r="I408" s="7" t="n">
        <v>0</v>
      </c>
      <c r="J408" s="7" t="n">
        <v>0</v>
      </c>
      <c r="K408" s="9" t="n">
        <v>0</v>
      </c>
      <c r="L408" s="10" t="n">
        <v>41.47</v>
      </c>
      <c r="M408" s="10" t="n">
        <v>1.43</v>
      </c>
      <c r="N408" t="inlineStr">
        <is>
          <t>1</t>
        </is>
      </c>
      <c r="O408" t="inlineStr">
        <is>
          <t>16</t>
        </is>
      </c>
      <c r="P408" t="inlineStr">
        <is>
          <t xml:space="preserve">242181  </t>
        </is>
      </c>
      <c r="Q408" s="26" t="n">
        <v>89.90000000000001</v>
      </c>
      <c r="R408" s="26">
        <f>Q408*G408</f>
        <v/>
      </c>
      <c r="S408" t="n">
        <v>53.33</v>
      </c>
      <c r="T408" s="18">
        <f>1 - V408/S408</f>
        <v/>
      </c>
      <c r="U408" s="18" t="n">
        <v>0.2224694104560623</v>
      </c>
      <c r="V408" s="26" t="n">
        <v>44.42796610169492</v>
      </c>
      <c r="W408" s="26">
        <f>V408 - L408</f>
        <v/>
      </c>
    </row>
    <row r="409">
      <c r="A409" s="11" t="n">
        <v>46207</v>
      </c>
      <c r="B409" s="1" t="n">
        <v>20088</v>
      </c>
      <c r="C409" s="1" t="inlineStr">
        <is>
          <t>021</t>
        </is>
      </c>
      <c r="D409" s="1" t="inlineStr">
        <is>
          <t xml:space="preserve">48124 </t>
        </is>
      </c>
      <c r="E409" s="1" t="inlineStr">
        <is>
          <t xml:space="preserve">28194781       </t>
        </is>
      </c>
      <c r="F409" s="5" t="inlineStr">
        <is>
          <t>TROMPO BATALLA INFINITY NADO SERIE V CLASICA SURTI</t>
        </is>
      </c>
      <c r="G409" t="n">
        <v>1</v>
      </c>
      <c r="H409" s="7" t="n">
        <v>39.9</v>
      </c>
      <c r="I409" s="7" t="n">
        <v>0</v>
      </c>
      <c r="J409" s="7" t="n">
        <v>0</v>
      </c>
      <c r="K409" s="9" t="n">
        <v>0</v>
      </c>
      <c r="L409" s="10" t="n">
        <v>23.67</v>
      </c>
      <c r="M409" s="10" t="n">
        <v>1.43</v>
      </c>
      <c r="N409" t="inlineStr">
        <is>
          <t>1</t>
        </is>
      </c>
      <c r="O409" t="inlineStr">
        <is>
          <t xml:space="preserve">2 </t>
        </is>
      </c>
      <c r="P409" t="inlineStr">
        <is>
          <t xml:space="preserve">242181  </t>
        </is>
      </c>
      <c r="Q409" s="26" t="n">
        <v>59.9</v>
      </c>
      <c r="R409" s="26">
        <f>Q409*G409</f>
        <v/>
      </c>
      <c r="S409" t="n">
        <v>35.53</v>
      </c>
      <c r="T409" s="18">
        <f>1 - V409/S409</f>
        <v/>
      </c>
      <c r="U409" s="18" t="n">
        <v>0.333889816360601</v>
      </c>
      <c r="V409" s="26" t="n">
        <v>25.36016949152542</v>
      </c>
      <c r="W409" s="26">
        <f>V409 - L409</f>
        <v/>
      </c>
    </row>
    <row r="410">
      <c r="A410" s="11" t="n">
        <v>46207</v>
      </c>
      <c r="B410" s="1" t="n">
        <v>20088</v>
      </c>
      <c r="C410" s="1" t="inlineStr">
        <is>
          <t>022</t>
        </is>
      </c>
      <c r="D410" s="1" t="inlineStr">
        <is>
          <t xml:space="preserve">84532 </t>
        </is>
      </c>
      <c r="E410" s="1" t="inlineStr">
        <is>
          <t xml:space="preserve">30141766       </t>
        </is>
      </c>
      <c r="F410" s="5" t="inlineStr">
        <is>
          <t>TMZ BEAST MACHINES AUTOS DE METAL BLISTER X 1</t>
        </is>
      </c>
      <c r="G410" t="n">
        <v>1</v>
      </c>
      <c r="H410" s="7" t="n">
        <v>7.9</v>
      </c>
      <c r="I410" s="7" t="n">
        <v>0</v>
      </c>
      <c r="J410" s="7" t="n">
        <v>0</v>
      </c>
      <c r="K410" s="9" t="n">
        <v>0</v>
      </c>
      <c r="L410" s="10" t="n">
        <v>4.68</v>
      </c>
      <c r="M410" s="10" t="n">
        <v>1.43</v>
      </c>
      <c r="N410" t="inlineStr">
        <is>
          <t>1</t>
        </is>
      </c>
      <c r="O410" t="inlineStr">
        <is>
          <t>16</t>
        </is>
      </c>
      <c r="P410" t="inlineStr">
        <is>
          <t xml:space="preserve">233525  </t>
        </is>
      </c>
      <c r="Q410" s="26" t="n">
        <v>7.9</v>
      </c>
      <c r="R410" s="26">
        <f>Q410*G410</f>
        <v/>
      </c>
      <c r="S410" t="n">
        <v>4.69</v>
      </c>
      <c r="T410" s="18">
        <f>1 - V410/S410</f>
        <v/>
      </c>
      <c r="U410" s="18" t="n">
        <v>0</v>
      </c>
      <c r="V410" s="26" t="n">
        <v>4.69</v>
      </c>
      <c r="W410" s="26">
        <f>V410 - L410</f>
        <v/>
      </c>
    </row>
    <row r="411">
      <c r="A411" s="11" t="n">
        <v>46207</v>
      </c>
      <c r="B411" s="1" t="n">
        <v>20088</v>
      </c>
      <c r="C411" s="1" t="inlineStr">
        <is>
          <t>022</t>
        </is>
      </c>
      <c r="D411" s="1" t="inlineStr">
        <is>
          <t xml:space="preserve">84583 </t>
        </is>
      </c>
      <c r="E411" s="1" t="inlineStr">
        <is>
          <t xml:space="preserve">28194769       </t>
        </is>
      </c>
      <c r="F411" s="5" t="inlineStr">
        <is>
          <t>AUTOS DE METAL 3 TEAMSTERZ PACK DE 2</t>
        </is>
      </c>
      <c r="G411" t="n">
        <v>1</v>
      </c>
      <c r="H411" s="7" t="n">
        <v>13.8</v>
      </c>
      <c r="I411" s="7" t="n">
        <v>0</v>
      </c>
      <c r="J411" s="7" t="n">
        <v>0</v>
      </c>
      <c r="K411" s="9" t="n">
        <v>0</v>
      </c>
      <c r="L411" s="10" t="n">
        <v>8.18</v>
      </c>
      <c r="M411" s="10" t="n">
        <v>1.43</v>
      </c>
      <c r="N411" t="inlineStr">
        <is>
          <t>1</t>
        </is>
      </c>
      <c r="O411" t="inlineStr">
        <is>
          <t>16</t>
        </is>
      </c>
      <c r="P411" t="inlineStr">
        <is>
          <t xml:space="preserve">233525  </t>
        </is>
      </c>
      <c r="Q411" s="26" t="n">
        <v>13.8</v>
      </c>
      <c r="R411" s="26">
        <f>Q411*G411</f>
        <v/>
      </c>
      <c r="S411" t="n">
        <v>8.19</v>
      </c>
      <c r="T411" s="18">
        <f>1 - V411/S411</f>
        <v/>
      </c>
      <c r="U411" s="18" t="n">
        <v>0</v>
      </c>
      <c r="V411" s="26" t="n">
        <v>8.19</v>
      </c>
      <c r="W411" s="26">
        <f>V411 - L411</f>
        <v/>
      </c>
    </row>
    <row r="412">
      <c r="A412" s="11" t="n">
        <v>46207</v>
      </c>
      <c r="B412" s="1" t="n">
        <v>20088</v>
      </c>
      <c r="C412" s="1" t="inlineStr">
        <is>
          <t>023</t>
        </is>
      </c>
      <c r="D412" s="1" t="inlineStr">
        <is>
          <t>126417</t>
        </is>
      </c>
      <c r="E412" s="1" t="inlineStr">
        <is>
          <t xml:space="preserve">28194770       </t>
        </is>
      </c>
      <c r="F412" s="5" t="inlineStr">
        <is>
          <t>AUTOS DE METAL 3 TEAMSTERZ EN BLISTER</t>
        </is>
      </c>
      <c r="G412" t="n">
        <v>1</v>
      </c>
      <c r="H412" s="7" t="n">
        <v>6.9</v>
      </c>
      <c r="I412" s="7" t="n">
        <v>0</v>
      </c>
      <c r="J412" s="7" t="n">
        <v>0</v>
      </c>
      <c r="K412" s="9" t="n">
        <v>0</v>
      </c>
      <c r="L412" s="10" t="n">
        <v>4.1</v>
      </c>
      <c r="M412" s="10" t="n">
        <v>1.43</v>
      </c>
      <c r="N412" t="inlineStr">
        <is>
          <t>1</t>
        </is>
      </c>
      <c r="O412" t="inlineStr">
        <is>
          <t>16</t>
        </is>
      </c>
      <c r="P412" t="inlineStr">
        <is>
          <t xml:space="preserve">235264  </t>
        </is>
      </c>
      <c r="Q412" s="26" t="n">
        <v>6.9</v>
      </c>
      <c r="R412" s="26">
        <f>Q412*G412</f>
        <v/>
      </c>
      <c r="S412" t="n">
        <v>4.09</v>
      </c>
      <c r="T412" s="18">
        <f>1 - V412/S412</f>
        <v/>
      </c>
      <c r="U412" s="18" t="n">
        <v>0</v>
      </c>
      <c r="V412" s="26" t="n">
        <v>4.09</v>
      </c>
      <c r="W412" s="26">
        <f>V412 - L412</f>
        <v/>
      </c>
    </row>
    <row r="413">
      <c r="A413" s="11" t="n">
        <v>46207</v>
      </c>
      <c r="B413" s="1" t="n">
        <v>20088</v>
      </c>
      <c r="C413" s="1" t="inlineStr">
        <is>
          <t>023</t>
        </is>
      </c>
      <c r="D413" s="1" t="inlineStr">
        <is>
          <t>126422</t>
        </is>
      </c>
      <c r="E413" s="1" t="inlineStr">
        <is>
          <t xml:space="preserve">28194770       </t>
        </is>
      </c>
      <c r="F413" s="5" t="inlineStr">
        <is>
          <t>AUTOS DE METAL 3 TEAMSTERZ EN BLISTER</t>
        </is>
      </c>
      <c r="G413" t="n">
        <v>1</v>
      </c>
      <c r="H413" s="7" t="n">
        <v>6.9</v>
      </c>
      <c r="I413" s="7" t="n">
        <v>0</v>
      </c>
      <c r="J413" s="7" t="n">
        <v>0</v>
      </c>
      <c r="K413" s="9" t="n">
        <v>0</v>
      </c>
      <c r="L413" s="10" t="n">
        <v>4.1</v>
      </c>
      <c r="M413" s="10" t="n">
        <v>1.43</v>
      </c>
      <c r="N413" t="inlineStr">
        <is>
          <t>1</t>
        </is>
      </c>
      <c r="O413" t="inlineStr">
        <is>
          <t>16</t>
        </is>
      </c>
      <c r="P413" t="inlineStr">
        <is>
          <t xml:space="preserve">235264  </t>
        </is>
      </c>
      <c r="Q413" s="26" t="n">
        <v>6.9</v>
      </c>
      <c r="R413" s="26">
        <f>Q413*G413</f>
        <v/>
      </c>
      <c r="S413" t="n">
        <v>4.09</v>
      </c>
      <c r="T413" s="18">
        <f>1 - V413/S413</f>
        <v/>
      </c>
      <c r="U413" s="18" t="n">
        <v>0</v>
      </c>
      <c r="V413" s="26" t="n">
        <v>4.09</v>
      </c>
      <c r="W413" s="26">
        <f>V413 - L413</f>
        <v/>
      </c>
    </row>
    <row r="414">
      <c r="A414" s="11" t="n">
        <v>46207</v>
      </c>
      <c r="B414" s="1" t="n">
        <v>20088</v>
      </c>
      <c r="C414" s="1" t="inlineStr">
        <is>
          <t>023</t>
        </is>
      </c>
      <c r="D414" s="1" t="inlineStr">
        <is>
          <t>126452</t>
        </is>
      </c>
      <c r="E414" s="1" t="inlineStr">
        <is>
          <t xml:space="preserve">28194769       </t>
        </is>
      </c>
      <c r="F414" s="5" t="inlineStr">
        <is>
          <t>AUTOS DE METAL 3 TEAMSTERZ PACK DE 2</t>
        </is>
      </c>
      <c r="G414" t="n">
        <v>1</v>
      </c>
      <c r="H414" s="7" t="n">
        <v>13.8</v>
      </c>
      <c r="I414" s="7" t="n">
        <v>0</v>
      </c>
      <c r="J414" s="7" t="n">
        <v>0</v>
      </c>
      <c r="K414" s="9" t="n">
        <v>0</v>
      </c>
      <c r="L414" s="10" t="n">
        <v>8.18</v>
      </c>
      <c r="M414" s="10" t="n">
        <v>1.43</v>
      </c>
      <c r="N414" t="inlineStr">
        <is>
          <t>1</t>
        </is>
      </c>
      <c r="O414" t="inlineStr">
        <is>
          <t>16</t>
        </is>
      </c>
      <c r="P414" t="inlineStr">
        <is>
          <t xml:space="preserve">235264  </t>
        </is>
      </c>
      <c r="Q414" s="26" t="n">
        <v>13.8</v>
      </c>
      <c r="R414" s="26">
        <f>Q414*G414</f>
        <v/>
      </c>
      <c r="S414" t="n">
        <v>8.19</v>
      </c>
      <c r="T414" s="18">
        <f>1 - V414/S414</f>
        <v/>
      </c>
      <c r="U414" s="18" t="n">
        <v>0</v>
      </c>
      <c r="V414" s="26" t="n">
        <v>8.19</v>
      </c>
      <c r="W414" s="26">
        <f>V414 - L414</f>
        <v/>
      </c>
    </row>
    <row r="415">
      <c r="A415" s="11" t="n">
        <v>46207</v>
      </c>
      <c r="B415" s="1" t="n">
        <v>20088</v>
      </c>
      <c r="C415" s="1" t="inlineStr">
        <is>
          <t>802</t>
        </is>
      </c>
      <c r="D415" s="1" t="inlineStr">
        <is>
          <t xml:space="preserve">7688  </t>
        </is>
      </c>
      <c r="E415" s="1" t="inlineStr">
        <is>
          <t xml:space="preserve">31675354       </t>
        </is>
      </c>
      <c r="F415" s="5" t="inlineStr">
        <is>
          <t>NENUCO LLORON CON ACCESORIOS</t>
        </is>
      </c>
      <c r="G415" t="n">
        <v>1</v>
      </c>
      <c r="H415" s="7" t="n">
        <v>89.90000000000001</v>
      </c>
      <c r="I415" s="7" t="n">
        <v>0</v>
      </c>
      <c r="J415" s="7" t="n">
        <v>0</v>
      </c>
      <c r="K415" s="9" t="n">
        <v>0</v>
      </c>
      <c r="L415" s="10" t="n">
        <v>53.33</v>
      </c>
      <c r="M415" s="10" t="n">
        <v>1.43</v>
      </c>
      <c r="N415" t="inlineStr">
        <is>
          <t>1</t>
        </is>
      </c>
      <c r="O415" t="inlineStr">
        <is>
          <t>16</t>
        </is>
      </c>
      <c r="P415" t="inlineStr">
        <is>
          <t xml:space="preserve">0       </t>
        </is>
      </c>
      <c r="Q415" s="26" t="n">
        <v>89.90000000000001</v>
      </c>
      <c r="R415" s="26">
        <f>Q415*G415</f>
        <v/>
      </c>
      <c r="S415" t="n">
        <v>53.33</v>
      </c>
      <c r="T415" s="18">
        <f>1 - V415/S415</f>
        <v/>
      </c>
      <c r="U415" s="18" t="n">
        <v>0.2224694104560623</v>
      </c>
      <c r="V415" s="26" t="n">
        <v>44.42796610169492</v>
      </c>
      <c r="W415" s="26">
        <f>V415 - L415</f>
        <v/>
      </c>
    </row>
    <row r="416">
      <c r="A416" s="11" t="n">
        <v>46207</v>
      </c>
      <c r="B416" s="1" t="n">
        <v>20089</v>
      </c>
      <c r="C416" s="1" t="inlineStr">
        <is>
          <t>019</t>
        </is>
      </c>
      <c r="D416" s="1" t="inlineStr">
        <is>
          <t xml:space="preserve">21992 </t>
        </is>
      </c>
      <c r="E416" s="1" t="inlineStr">
        <is>
          <t xml:space="preserve">30141766       </t>
        </is>
      </c>
      <c r="F416" s="5" t="inlineStr">
        <is>
          <t>TMZ BEAST MACHINES AUTOS DE METAL BLISTER X 1</t>
        </is>
      </c>
      <c r="G416" t="n">
        <v>1</v>
      </c>
      <c r="H416" s="7" t="n">
        <v>7.9</v>
      </c>
      <c r="I416" s="7" t="n">
        <v>0</v>
      </c>
      <c r="J416" s="7" t="n">
        <v>0</v>
      </c>
      <c r="K416" s="9" t="n">
        <v>0</v>
      </c>
      <c r="L416" s="10" t="n">
        <v>4.68</v>
      </c>
      <c r="M416" s="10" t="n">
        <v>1.43</v>
      </c>
      <c r="N416" t="inlineStr">
        <is>
          <t>1</t>
        </is>
      </c>
      <c r="O416" t="inlineStr">
        <is>
          <t>16</t>
        </is>
      </c>
      <c r="P416" t="inlineStr">
        <is>
          <t xml:space="preserve">249986  </t>
        </is>
      </c>
      <c r="Q416" s="26" t="n">
        <v>7.9</v>
      </c>
      <c r="R416" s="26">
        <f>Q416*G416</f>
        <v/>
      </c>
      <c r="S416" t="n">
        <v>4.69</v>
      </c>
      <c r="T416" s="18">
        <f>1 - V416/S416</f>
        <v/>
      </c>
      <c r="U416" s="18" t="n">
        <v>0</v>
      </c>
      <c r="V416" s="26" t="n">
        <v>4.69</v>
      </c>
      <c r="W416" s="26">
        <f>V416 - L416</f>
        <v/>
      </c>
    </row>
    <row r="417">
      <c r="A417" s="11" t="n">
        <v>46207</v>
      </c>
      <c r="B417" s="1" t="n">
        <v>20089</v>
      </c>
      <c r="C417" s="1" t="inlineStr">
        <is>
          <t>025</t>
        </is>
      </c>
      <c r="D417" s="1" t="inlineStr">
        <is>
          <t>121126</t>
        </is>
      </c>
      <c r="E417" s="1" t="inlineStr">
        <is>
          <t xml:space="preserve">28194769       </t>
        </is>
      </c>
      <c r="F417" s="5" t="inlineStr">
        <is>
          <t>AUTOS DE METAL 3 TEAMSTERZ PACK DE 2</t>
        </is>
      </c>
      <c r="G417" t="n">
        <v>1</v>
      </c>
      <c r="H417" s="7" t="n">
        <v>13.8</v>
      </c>
      <c r="I417" s="7" t="n">
        <v>0</v>
      </c>
      <c r="J417" s="7" t="n">
        <v>0</v>
      </c>
      <c r="K417" s="9" t="n">
        <v>0</v>
      </c>
      <c r="L417" s="10" t="n">
        <v>8.18</v>
      </c>
      <c r="M417" s="10" t="n">
        <v>1.43</v>
      </c>
      <c r="N417" t="inlineStr">
        <is>
          <t>1</t>
        </is>
      </c>
      <c r="O417" t="inlineStr">
        <is>
          <t xml:space="preserve">3 </t>
        </is>
      </c>
      <c r="P417" t="inlineStr">
        <is>
          <t xml:space="preserve">109709  </t>
        </is>
      </c>
      <c r="Q417" s="26" t="n">
        <v>13.8</v>
      </c>
      <c r="R417" s="26">
        <f>Q417*G417</f>
        <v/>
      </c>
      <c r="S417" t="n">
        <v>8.19</v>
      </c>
      <c r="T417" s="18">
        <f>1 - V417/S417</f>
        <v/>
      </c>
      <c r="U417" s="18" t="n">
        <v>0</v>
      </c>
      <c r="V417" s="26" t="n">
        <v>8.19</v>
      </c>
      <c r="W417" s="26">
        <f>V417 - L417</f>
        <v/>
      </c>
    </row>
    <row r="418">
      <c r="A418" s="11" t="n">
        <v>46207</v>
      </c>
      <c r="B418" s="1" t="n">
        <v>20089</v>
      </c>
      <c r="C418" s="1" t="inlineStr">
        <is>
          <t>025</t>
        </is>
      </c>
      <c r="D418" s="1" t="inlineStr">
        <is>
          <t>121151</t>
        </is>
      </c>
      <c r="E418" s="1" t="inlineStr">
        <is>
          <t xml:space="preserve">30141766       </t>
        </is>
      </c>
      <c r="F418" s="5" t="inlineStr">
        <is>
          <t>TMZ BEAST MACHINES AUTOS DE METAL BLISTER X 1</t>
        </is>
      </c>
      <c r="G418" t="n">
        <v>1</v>
      </c>
      <c r="H418" s="7" t="n">
        <v>7.9</v>
      </c>
      <c r="I418" s="7" t="n">
        <v>0</v>
      </c>
      <c r="J418" s="7" t="n">
        <v>0</v>
      </c>
      <c r="K418" s="9" t="n">
        <v>0</v>
      </c>
      <c r="L418" s="10" t="n">
        <v>4.68</v>
      </c>
      <c r="M418" s="10" t="n">
        <v>1.43</v>
      </c>
      <c r="N418" t="inlineStr">
        <is>
          <t>1</t>
        </is>
      </c>
      <c r="O418" t="inlineStr">
        <is>
          <t>16</t>
        </is>
      </c>
      <c r="P418" t="inlineStr">
        <is>
          <t xml:space="preserve">109709  </t>
        </is>
      </c>
      <c r="Q418" s="26" t="n">
        <v>7.9</v>
      </c>
      <c r="R418" s="26">
        <f>Q418*G418</f>
        <v/>
      </c>
      <c r="S418" t="n">
        <v>4.69</v>
      </c>
      <c r="T418" s="18">
        <f>1 - V418/S418</f>
        <v/>
      </c>
      <c r="U418" s="18" t="n">
        <v>0</v>
      </c>
      <c r="V418" s="26" t="n">
        <v>4.69</v>
      </c>
      <c r="W418" s="26">
        <f>V418 - L418</f>
        <v/>
      </c>
    </row>
    <row r="419">
      <c r="A419" s="11" t="n">
        <v>46207</v>
      </c>
      <c r="B419" s="1" t="n">
        <v>20089</v>
      </c>
      <c r="C419" s="1" t="inlineStr">
        <is>
          <t>025</t>
        </is>
      </c>
      <c r="D419" s="1" t="inlineStr">
        <is>
          <t>121151</t>
        </is>
      </c>
      <c r="E419" s="1" t="inlineStr">
        <is>
          <t xml:space="preserve">30141766       </t>
        </is>
      </c>
      <c r="F419" s="5" t="inlineStr">
        <is>
          <t>TMZ BEAST MACHINES AUTOS DE METAL BLISTER X 1</t>
        </is>
      </c>
      <c r="G419" t="n">
        <v>1</v>
      </c>
      <c r="H419" s="7" t="n">
        <v>7.9</v>
      </c>
      <c r="I419" s="7" t="n">
        <v>0</v>
      </c>
      <c r="J419" s="7" t="n">
        <v>0</v>
      </c>
      <c r="K419" s="9" t="n">
        <v>0</v>
      </c>
      <c r="L419" s="10" t="n">
        <v>4.68</v>
      </c>
      <c r="M419" s="10" t="n">
        <v>1.43</v>
      </c>
      <c r="N419" t="inlineStr">
        <is>
          <t>1</t>
        </is>
      </c>
      <c r="O419" t="inlineStr">
        <is>
          <t>16</t>
        </is>
      </c>
      <c r="P419" t="inlineStr">
        <is>
          <t xml:space="preserve">109709  </t>
        </is>
      </c>
      <c r="Q419" s="26" t="n">
        <v>7.9</v>
      </c>
      <c r="R419" s="26">
        <f>Q419*G419</f>
        <v/>
      </c>
      <c r="S419" t="n">
        <v>4.69</v>
      </c>
      <c r="T419" s="18">
        <f>1 - V419/S419</f>
        <v/>
      </c>
      <c r="U419" s="18" t="n">
        <v>0</v>
      </c>
      <c r="V419" s="26" t="n">
        <v>4.69</v>
      </c>
      <c r="W419" s="26">
        <f>V419 - L419</f>
        <v/>
      </c>
    </row>
    <row r="420">
      <c r="A420" s="11" t="n">
        <v>46207</v>
      </c>
      <c r="B420" s="1" t="n">
        <v>20089</v>
      </c>
      <c r="C420" s="1" t="inlineStr">
        <is>
          <t>025</t>
        </is>
      </c>
      <c r="D420" s="1" t="inlineStr">
        <is>
          <t>121158</t>
        </is>
      </c>
      <c r="E420" s="1" t="inlineStr">
        <is>
          <t xml:space="preserve">30232284       </t>
        </is>
      </c>
      <c r="F420" s="5" t="inlineStr">
        <is>
          <t>INFINITY NADO TROMPO DE BATALLA - METAL C/PUNTA DE</t>
        </is>
      </c>
      <c r="G420" t="n">
        <v>1</v>
      </c>
      <c r="H420" s="7" t="n">
        <v>49.9</v>
      </c>
      <c r="I420" s="7" t="n">
        <v>0</v>
      </c>
      <c r="J420" s="7" t="n">
        <v>0</v>
      </c>
      <c r="K420" s="9" t="n">
        <v>0</v>
      </c>
      <c r="L420" s="10" t="n">
        <v>29.6</v>
      </c>
      <c r="M420" s="10" t="n">
        <v>1.43</v>
      </c>
      <c r="N420" t="inlineStr">
        <is>
          <t>1</t>
        </is>
      </c>
      <c r="O420" t="inlineStr">
        <is>
          <t>16</t>
        </is>
      </c>
      <c r="P420" t="inlineStr">
        <is>
          <t xml:space="preserve">109709  </t>
        </is>
      </c>
      <c r="Q420" s="26" t="n">
        <v>49.9</v>
      </c>
      <c r="R420" s="26">
        <f>Q420*G420</f>
        <v/>
      </c>
      <c r="S420" t="n">
        <v>29.6</v>
      </c>
      <c r="T420" s="18">
        <f>1 - V420/S420</f>
        <v/>
      </c>
      <c r="U420" s="18" t="n">
        <v>0.3006012024048096</v>
      </c>
      <c r="V420" s="26" t="n">
        <v>22.18220338983051</v>
      </c>
      <c r="W420" s="26">
        <f>V420 - L420</f>
        <v/>
      </c>
    </row>
    <row r="421">
      <c r="A421" s="11" t="n">
        <v>46207</v>
      </c>
      <c r="B421" s="1" t="n">
        <v>20089</v>
      </c>
      <c r="C421" s="1" t="inlineStr">
        <is>
          <t>025</t>
        </is>
      </c>
      <c r="D421" s="1" t="inlineStr">
        <is>
          <t>121159</t>
        </is>
      </c>
      <c r="E421" s="1" t="inlineStr">
        <is>
          <t xml:space="preserve">34840552       </t>
        </is>
      </c>
      <c r="F421" s="5" t="inlineStr">
        <is>
          <t>TMZ HELI POLICIA CON LUCES Y SONIDOS</t>
        </is>
      </c>
      <c r="G421" t="n">
        <v>1</v>
      </c>
      <c r="H421" s="7" t="n">
        <v>79.90000000000001</v>
      </c>
      <c r="I421" s="7" t="n">
        <v>0</v>
      </c>
      <c r="J421" s="7" t="n">
        <v>0</v>
      </c>
      <c r="K421" s="9" t="n">
        <v>0</v>
      </c>
      <c r="L421" s="10" t="n">
        <v>47.4</v>
      </c>
      <c r="M421" s="10" t="n">
        <v>1.43</v>
      </c>
      <c r="N421" t="inlineStr">
        <is>
          <t>1</t>
        </is>
      </c>
      <c r="O421" t="inlineStr">
        <is>
          <t>16</t>
        </is>
      </c>
      <c r="P421" t="inlineStr">
        <is>
          <t xml:space="preserve">109709  </t>
        </is>
      </c>
      <c r="Q421" s="26" t="n">
        <v>79.90000000000002</v>
      </c>
      <c r="R421" s="26">
        <f>Q421*G421</f>
        <v/>
      </c>
      <c r="S421" t="n">
        <v>47.4</v>
      </c>
      <c r="T421" s="18">
        <f>1 - V421/S421</f>
        <v/>
      </c>
      <c r="U421" s="18" t="n">
        <v>0</v>
      </c>
      <c r="V421" s="26" t="n">
        <v>47.4</v>
      </c>
      <c r="W421" s="26">
        <f>V421 - L421</f>
        <v/>
      </c>
    </row>
    <row r="422">
      <c r="A422" s="11" t="n">
        <v>46207</v>
      </c>
      <c r="B422" s="1" t="n">
        <v>20089</v>
      </c>
      <c r="C422" s="1" t="inlineStr">
        <is>
          <t>025</t>
        </is>
      </c>
      <c r="D422" s="1" t="inlineStr">
        <is>
          <t>121172</t>
        </is>
      </c>
      <c r="E422" s="1" t="inlineStr">
        <is>
          <t xml:space="preserve">28194770       </t>
        </is>
      </c>
      <c r="F422" s="5" t="inlineStr">
        <is>
          <t>AUTOS DE METAL 3 TEAMSTERZ EN BLISTER</t>
        </is>
      </c>
      <c r="G422" t="n">
        <v>1</v>
      </c>
      <c r="H422" s="7" t="n">
        <v>6.9</v>
      </c>
      <c r="I422" s="7" t="n">
        <v>0</v>
      </c>
      <c r="J422" s="7" t="n">
        <v>0</v>
      </c>
      <c r="K422" s="9" t="n">
        <v>0</v>
      </c>
      <c r="L422" s="10" t="n">
        <v>4.1</v>
      </c>
      <c r="M422" s="10" t="n">
        <v>1.43</v>
      </c>
      <c r="N422" t="inlineStr">
        <is>
          <t>1</t>
        </is>
      </c>
      <c r="O422" t="inlineStr">
        <is>
          <t>16</t>
        </is>
      </c>
      <c r="P422" t="inlineStr">
        <is>
          <t xml:space="preserve">109709  </t>
        </is>
      </c>
      <c r="Q422" s="26" t="n">
        <v>6.9</v>
      </c>
      <c r="R422" s="26">
        <f>Q422*G422</f>
        <v/>
      </c>
      <c r="S422" t="n">
        <v>4.09</v>
      </c>
      <c r="T422" s="18">
        <f>1 - V422/S422</f>
        <v/>
      </c>
      <c r="U422" s="18" t="n">
        <v>0</v>
      </c>
      <c r="V422" s="26" t="n">
        <v>4.09</v>
      </c>
      <c r="W422" s="26">
        <f>V422 - L422</f>
        <v/>
      </c>
    </row>
    <row r="423">
      <c r="A423" s="11" t="n">
        <v>46207</v>
      </c>
      <c r="B423" s="1" t="n">
        <v>20089</v>
      </c>
      <c r="C423" s="1" t="inlineStr">
        <is>
          <t>025</t>
        </is>
      </c>
      <c r="D423" s="1" t="inlineStr">
        <is>
          <t>121205</t>
        </is>
      </c>
      <c r="E423" s="1" t="inlineStr">
        <is>
          <t xml:space="preserve">28194770       </t>
        </is>
      </c>
      <c r="F423" s="5" t="inlineStr">
        <is>
          <t>AUTOS DE METAL 3 TEAMSTERZ EN BLISTER</t>
        </is>
      </c>
      <c r="G423" t="n">
        <v>1</v>
      </c>
      <c r="H423" s="7" t="n">
        <v>6.9</v>
      </c>
      <c r="I423" s="7" t="n">
        <v>0</v>
      </c>
      <c r="J423" s="7" t="n">
        <v>0</v>
      </c>
      <c r="K423" s="9" t="n">
        <v>0</v>
      </c>
      <c r="L423" s="10" t="n">
        <v>4.1</v>
      </c>
      <c r="M423" s="10" t="n">
        <v>1.43</v>
      </c>
      <c r="N423" t="inlineStr">
        <is>
          <t>1</t>
        </is>
      </c>
      <c r="O423" t="inlineStr">
        <is>
          <t>16</t>
        </is>
      </c>
      <c r="P423" t="inlineStr">
        <is>
          <t xml:space="preserve">109709  </t>
        </is>
      </c>
      <c r="Q423" s="26" t="n">
        <v>6.9</v>
      </c>
      <c r="R423" s="26">
        <f>Q423*G423</f>
        <v/>
      </c>
      <c r="S423" t="n">
        <v>4.09</v>
      </c>
      <c r="T423" s="18">
        <f>1 - V423/S423</f>
        <v/>
      </c>
      <c r="U423" s="18" t="n">
        <v>0</v>
      </c>
      <c r="V423" s="26" t="n">
        <v>4.09</v>
      </c>
      <c r="W423" s="26">
        <f>V423 - L423</f>
        <v/>
      </c>
    </row>
    <row r="424">
      <c r="A424" s="11" t="n">
        <v>46207</v>
      </c>
      <c r="B424" s="1" t="n">
        <v>20089</v>
      </c>
      <c r="C424" s="1" t="inlineStr">
        <is>
          <t>025</t>
        </is>
      </c>
      <c r="D424" s="1" t="inlineStr">
        <is>
          <t>121205</t>
        </is>
      </c>
      <c r="E424" s="1" t="inlineStr">
        <is>
          <t xml:space="preserve">28194770       </t>
        </is>
      </c>
      <c r="F424" s="5" t="inlineStr">
        <is>
          <t>AUTOS DE METAL 3 TEAMSTERZ EN BLISTER</t>
        </is>
      </c>
      <c r="G424" t="n">
        <v>1</v>
      </c>
      <c r="H424" s="7" t="n">
        <v>6.9</v>
      </c>
      <c r="I424" s="7" t="n">
        <v>0</v>
      </c>
      <c r="J424" s="7" t="n">
        <v>0</v>
      </c>
      <c r="K424" s="9" t="n">
        <v>0</v>
      </c>
      <c r="L424" s="10" t="n">
        <v>4.1</v>
      </c>
      <c r="M424" s="10" t="n">
        <v>1.43</v>
      </c>
      <c r="N424" t="inlineStr">
        <is>
          <t>1</t>
        </is>
      </c>
      <c r="O424" t="inlineStr">
        <is>
          <t>16</t>
        </is>
      </c>
      <c r="P424" t="inlineStr">
        <is>
          <t xml:space="preserve">109709  </t>
        </is>
      </c>
      <c r="Q424" s="26" t="n">
        <v>6.9</v>
      </c>
      <c r="R424" s="26">
        <f>Q424*G424</f>
        <v/>
      </c>
      <c r="S424" t="n">
        <v>4.09</v>
      </c>
      <c r="T424" s="18">
        <f>1 - V424/S424</f>
        <v/>
      </c>
      <c r="U424" s="18" t="n">
        <v>0</v>
      </c>
      <c r="V424" s="26" t="n">
        <v>4.09</v>
      </c>
      <c r="W424" s="26">
        <f>V424 - L424</f>
        <v/>
      </c>
    </row>
    <row r="425">
      <c r="A425" s="11" t="n">
        <v>46207</v>
      </c>
      <c r="B425" s="1" t="n">
        <v>20089</v>
      </c>
      <c r="C425" s="1" t="inlineStr">
        <is>
          <t>026</t>
        </is>
      </c>
      <c r="D425" s="1" t="inlineStr">
        <is>
          <t xml:space="preserve">87239 </t>
        </is>
      </c>
      <c r="E425" s="1" t="inlineStr">
        <is>
          <t xml:space="preserve">28194770       </t>
        </is>
      </c>
      <c r="F425" s="5" t="inlineStr">
        <is>
          <t>AUTOS DE METAL 3 TEAMSTERZ EN BLISTER</t>
        </is>
      </c>
      <c r="G425" t="n">
        <v>1</v>
      </c>
      <c r="H425" s="7" t="n">
        <v>6.9</v>
      </c>
      <c r="I425" s="7" t="n">
        <v>0</v>
      </c>
      <c r="J425" s="7" t="n">
        <v>0</v>
      </c>
      <c r="K425" s="9" t="n">
        <v>0</v>
      </c>
      <c r="L425" s="10" t="n">
        <v>4.1</v>
      </c>
      <c r="M425" s="10" t="n">
        <v>1.43</v>
      </c>
      <c r="N425" t="inlineStr">
        <is>
          <t>1</t>
        </is>
      </c>
      <c r="O425" t="inlineStr">
        <is>
          <t xml:space="preserve">2 </t>
        </is>
      </c>
      <c r="P425" t="inlineStr">
        <is>
          <t xml:space="preserve">94948   </t>
        </is>
      </c>
      <c r="Q425" s="26" t="n">
        <v>6.9</v>
      </c>
      <c r="R425" s="26">
        <f>Q425*G425</f>
        <v/>
      </c>
      <c r="S425" t="n">
        <v>4.09</v>
      </c>
      <c r="T425" s="18">
        <f>1 - V425/S425</f>
        <v/>
      </c>
      <c r="U425" s="18" t="n">
        <v>0</v>
      </c>
      <c r="V425" s="26" t="n">
        <v>4.09</v>
      </c>
      <c r="W425" s="26">
        <f>V425 - L425</f>
        <v/>
      </c>
    </row>
    <row r="426">
      <c r="A426" s="11" t="n">
        <v>46207</v>
      </c>
      <c r="B426" s="1" t="n">
        <v>20089</v>
      </c>
      <c r="C426" s="1" t="inlineStr">
        <is>
          <t>026</t>
        </is>
      </c>
      <c r="D426" s="1" t="inlineStr">
        <is>
          <t xml:space="preserve">87239 </t>
        </is>
      </c>
      <c r="E426" s="1" t="inlineStr">
        <is>
          <t xml:space="preserve">28194770       </t>
        </is>
      </c>
      <c r="F426" s="5" t="inlineStr">
        <is>
          <t>AUTOS DE METAL 3 TEAMSTERZ EN BLISTER</t>
        </is>
      </c>
      <c r="G426" t="n">
        <v>1</v>
      </c>
      <c r="H426" s="7" t="n">
        <v>6.9</v>
      </c>
      <c r="I426" s="7" t="n">
        <v>0</v>
      </c>
      <c r="J426" s="7" t="n">
        <v>0</v>
      </c>
      <c r="K426" s="9" t="n">
        <v>0</v>
      </c>
      <c r="L426" s="10" t="n">
        <v>4.1</v>
      </c>
      <c r="M426" s="10" t="n">
        <v>1.43</v>
      </c>
      <c r="N426" t="inlineStr">
        <is>
          <t>1</t>
        </is>
      </c>
      <c r="O426" t="inlineStr">
        <is>
          <t xml:space="preserve">2 </t>
        </is>
      </c>
      <c r="P426" t="inlineStr">
        <is>
          <t xml:space="preserve">94948   </t>
        </is>
      </c>
      <c r="Q426" s="26" t="n">
        <v>6.9</v>
      </c>
      <c r="R426" s="26">
        <f>Q426*G426</f>
        <v/>
      </c>
      <c r="S426" t="n">
        <v>4.09</v>
      </c>
      <c r="T426" s="18">
        <f>1 - V426/S426</f>
        <v/>
      </c>
      <c r="U426" s="18" t="n">
        <v>0</v>
      </c>
      <c r="V426" s="26" t="n">
        <v>4.09</v>
      </c>
      <c r="W426" s="26">
        <f>V426 - L426</f>
        <v/>
      </c>
    </row>
    <row r="427">
      <c r="A427" s="11" t="n">
        <v>46207</v>
      </c>
      <c r="B427" s="1" t="n">
        <v>20089</v>
      </c>
      <c r="C427" s="1" t="inlineStr">
        <is>
          <t>026</t>
        </is>
      </c>
      <c r="D427" s="1" t="inlineStr">
        <is>
          <t xml:space="preserve">87244 </t>
        </is>
      </c>
      <c r="E427" s="1" t="inlineStr">
        <is>
          <t xml:space="preserve">28194770       </t>
        </is>
      </c>
      <c r="F427" s="5" t="inlineStr">
        <is>
          <t>AUTOS DE METAL 3 TEAMSTERZ EN BLISTER</t>
        </is>
      </c>
      <c r="G427" t="n">
        <v>1</v>
      </c>
      <c r="H427" s="7" t="n">
        <v>6.9</v>
      </c>
      <c r="I427" s="7" t="n">
        <v>0</v>
      </c>
      <c r="J427" s="7" t="n">
        <v>0</v>
      </c>
      <c r="K427" s="9" t="n">
        <v>0</v>
      </c>
      <c r="L427" s="10" t="n">
        <v>4.1</v>
      </c>
      <c r="M427" s="10" t="n">
        <v>1.43</v>
      </c>
      <c r="N427" t="inlineStr">
        <is>
          <t>1</t>
        </is>
      </c>
      <c r="O427" t="inlineStr">
        <is>
          <t>16</t>
        </is>
      </c>
      <c r="P427" t="inlineStr">
        <is>
          <t xml:space="preserve">94948   </t>
        </is>
      </c>
      <c r="Q427" s="26" t="n">
        <v>6.9</v>
      </c>
      <c r="R427" s="26">
        <f>Q427*G427</f>
        <v/>
      </c>
      <c r="S427" t="n">
        <v>4.09</v>
      </c>
      <c r="T427" s="18">
        <f>1 - V427/S427</f>
        <v/>
      </c>
      <c r="U427" s="18" t="n">
        <v>0</v>
      </c>
      <c r="V427" s="26" t="n">
        <v>4.09</v>
      </c>
      <c r="W427" s="26">
        <f>V427 - L427</f>
        <v/>
      </c>
    </row>
    <row r="428">
      <c r="A428" s="11" t="n">
        <v>46207</v>
      </c>
      <c r="B428" s="1" t="n">
        <v>20089</v>
      </c>
      <c r="C428" s="1" t="inlineStr">
        <is>
          <t>026</t>
        </is>
      </c>
      <c r="D428" s="1" t="inlineStr">
        <is>
          <t xml:space="preserve">87246 </t>
        </is>
      </c>
      <c r="E428" s="1" t="inlineStr">
        <is>
          <t xml:space="preserve">28194769       </t>
        </is>
      </c>
      <c r="F428" s="5" t="inlineStr">
        <is>
          <t>AUTOS DE METAL 3 TEAMSTERZ PACK DE 2</t>
        </is>
      </c>
      <c r="G428" t="n">
        <v>1</v>
      </c>
      <c r="H428" s="7" t="n">
        <v>13.8</v>
      </c>
      <c r="I428" s="7" t="n">
        <v>0</v>
      </c>
      <c r="J428" s="7" t="n">
        <v>0</v>
      </c>
      <c r="K428" s="9" t="n">
        <v>0</v>
      </c>
      <c r="L428" s="10" t="n">
        <v>8.18</v>
      </c>
      <c r="M428" s="10" t="n">
        <v>1.43</v>
      </c>
      <c r="N428" t="inlineStr">
        <is>
          <t>1</t>
        </is>
      </c>
      <c r="O428" t="inlineStr">
        <is>
          <t xml:space="preserve">2 </t>
        </is>
      </c>
      <c r="P428" t="inlineStr">
        <is>
          <t xml:space="preserve">94948   </t>
        </is>
      </c>
      <c r="Q428" s="26" t="n">
        <v>13.8</v>
      </c>
      <c r="R428" s="26">
        <f>Q428*G428</f>
        <v/>
      </c>
      <c r="S428" t="n">
        <v>8.19</v>
      </c>
      <c r="T428" s="18">
        <f>1 - V428/S428</f>
        <v/>
      </c>
      <c r="U428" s="18" t="n">
        <v>0</v>
      </c>
      <c r="V428" s="26" t="n">
        <v>8.19</v>
      </c>
      <c r="W428" s="26">
        <f>V428 - L428</f>
        <v/>
      </c>
    </row>
    <row r="429">
      <c r="A429" s="11" t="n">
        <v>46207</v>
      </c>
      <c r="B429" s="1" t="n">
        <v>20089</v>
      </c>
      <c r="C429" s="1" t="inlineStr">
        <is>
          <t>026</t>
        </is>
      </c>
      <c r="D429" s="1" t="inlineStr">
        <is>
          <t xml:space="preserve">87262 </t>
        </is>
      </c>
      <c r="E429" s="1" t="inlineStr">
        <is>
          <t xml:space="preserve">28194769       </t>
        </is>
      </c>
      <c r="F429" s="5" t="inlineStr">
        <is>
          <t>AUTOS DE METAL 3 TEAMSTERZ PACK DE 2</t>
        </is>
      </c>
      <c r="G429" t="n">
        <v>1</v>
      </c>
      <c r="H429" s="7" t="n">
        <v>13.8</v>
      </c>
      <c r="I429" s="7" t="n">
        <v>0</v>
      </c>
      <c r="J429" s="7" t="n">
        <v>0</v>
      </c>
      <c r="K429" s="9" t="n">
        <v>0</v>
      </c>
      <c r="L429" s="10" t="n">
        <v>8.18</v>
      </c>
      <c r="M429" s="10" t="n">
        <v>1.43</v>
      </c>
      <c r="N429" t="inlineStr">
        <is>
          <t>1</t>
        </is>
      </c>
      <c r="O429" t="inlineStr">
        <is>
          <t xml:space="preserve">2 </t>
        </is>
      </c>
      <c r="P429" t="inlineStr">
        <is>
          <t xml:space="preserve">94948   </t>
        </is>
      </c>
      <c r="Q429" s="26" t="n">
        <v>13.8</v>
      </c>
      <c r="R429" s="26">
        <f>Q429*G429</f>
        <v/>
      </c>
      <c r="S429" t="n">
        <v>8.19</v>
      </c>
      <c r="T429" s="18">
        <f>1 - V429/S429</f>
        <v/>
      </c>
      <c r="U429" s="18" t="n">
        <v>0</v>
      </c>
      <c r="V429" s="26" t="n">
        <v>8.19</v>
      </c>
      <c r="W429" s="26">
        <f>V429 - L429</f>
        <v/>
      </c>
    </row>
    <row r="430">
      <c r="A430" s="11" t="n">
        <v>46207</v>
      </c>
      <c r="B430" s="1" t="n">
        <v>20089</v>
      </c>
      <c r="C430" s="1" t="inlineStr">
        <is>
          <t>026</t>
        </is>
      </c>
      <c r="D430" s="1" t="inlineStr">
        <is>
          <t xml:space="preserve">87293 </t>
        </is>
      </c>
      <c r="E430" s="1" t="inlineStr">
        <is>
          <t xml:space="preserve">33661538       </t>
        </is>
      </c>
      <c r="F430" s="5" t="inlineStr">
        <is>
          <t>HOT WHEELS CASE GARAGE RUEDA METAL EN LLAMAS X 29</t>
        </is>
      </c>
      <c r="G430" t="n">
        <v>1</v>
      </c>
      <c r="H430" s="7" t="n">
        <v>69.90000000000001</v>
      </c>
      <c r="I430" s="7" t="n">
        <v>0</v>
      </c>
      <c r="J430" s="7" t="n">
        <v>0</v>
      </c>
      <c r="K430" s="9" t="n">
        <v>0</v>
      </c>
      <c r="L430" s="10" t="n">
        <v>41.47</v>
      </c>
      <c r="M430" s="10" t="n">
        <v>1.43</v>
      </c>
      <c r="N430" t="inlineStr">
        <is>
          <t>1</t>
        </is>
      </c>
      <c r="O430" t="inlineStr">
        <is>
          <t>16</t>
        </is>
      </c>
      <c r="P430" t="inlineStr">
        <is>
          <t xml:space="preserve">94948   </t>
        </is>
      </c>
      <c r="Q430" s="26" t="n">
        <v>69.90000000000001</v>
      </c>
      <c r="R430" s="26">
        <f>Q430*G430</f>
        <v/>
      </c>
      <c r="S430" t="n">
        <v>41.47</v>
      </c>
      <c r="T430" s="18">
        <f>1 - V430/S430</f>
        <v/>
      </c>
      <c r="U430" s="18" t="n">
        <v>0</v>
      </c>
      <c r="V430" s="26" t="n">
        <v>41.47</v>
      </c>
      <c r="W430" s="26">
        <f>V430 - L430</f>
        <v/>
      </c>
    </row>
    <row r="431">
      <c r="A431" s="11" t="n">
        <v>46207</v>
      </c>
      <c r="B431" s="1" t="n">
        <v>20089</v>
      </c>
      <c r="C431" s="1" t="inlineStr">
        <is>
          <t>026</t>
        </is>
      </c>
      <c r="D431" s="1" t="inlineStr">
        <is>
          <t xml:space="preserve">87304 </t>
        </is>
      </c>
      <c r="E431" s="1" t="inlineStr">
        <is>
          <t xml:space="preserve">29854051       </t>
        </is>
      </c>
      <c r="F431" s="5" t="inlineStr">
        <is>
          <t>TEAMSTERZ AUTO DE METAL PACK 10 AUTOS</t>
        </is>
      </c>
      <c r="G431" t="n">
        <v>1</v>
      </c>
      <c r="H431" s="7" t="n">
        <v>69</v>
      </c>
      <c r="I431" s="7" t="n">
        <v>0</v>
      </c>
      <c r="J431" s="7" t="n">
        <v>0</v>
      </c>
      <c r="K431" s="9" t="n">
        <v>0</v>
      </c>
      <c r="L431" s="10" t="n">
        <v>40.93</v>
      </c>
      <c r="M431" s="10" t="n">
        <v>1.43</v>
      </c>
      <c r="N431" t="inlineStr">
        <is>
          <t>1</t>
        </is>
      </c>
      <c r="O431" t="inlineStr">
        <is>
          <t>16</t>
        </is>
      </c>
      <c r="P431" t="inlineStr">
        <is>
          <t xml:space="preserve">94948   </t>
        </is>
      </c>
      <c r="Q431" s="26" t="n">
        <v>69</v>
      </c>
      <c r="R431" s="26">
        <f>Q431*G431</f>
        <v/>
      </c>
      <c r="S431" t="n">
        <v>40.93</v>
      </c>
      <c r="T431" s="18">
        <f>1 - V431/S431</f>
        <v/>
      </c>
      <c r="U431" s="18" t="n">
        <v>0</v>
      </c>
      <c r="V431" s="26" t="n">
        <v>40.93</v>
      </c>
      <c r="W431" s="26">
        <f>V431 - L431</f>
        <v/>
      </c>
    </row>
    <row r="432">
      <c r="A432" s="11" t="n">
        <v>46207</v>
      </c>
      <c r="B432" s="1" t="n">
        <v>20089</v>
      </c>
      <c r="C432" s="1" t="inlineStr">
        <is>
          <t>029</t>
        </is>
      </c>
      <c r="D432" s="1" t="inlineStr">
        <is>
          <t xml:space="preserve">2843  </t>
        </is>
      </c>
      <c r="E432" s="1" t="inlineStr">
        <is>
          <t xml:space="preserve">31959961       </t>
        </is>
      </c>
      <c r="F432" s="5" t="inlineStr">
        <is>
          <t>TEAMSTERZ CAMBIA DE COLOR PACK DE 3 AUTOS</t>
        </is>
      </c>
      <c r="G432" t="n">
        <v>1</v>
      </c>
      <c r="H432" s="7" t="n">
        <v>49.9</v>
      </c>
      <c r="I432" s="7" t="n">
        <v>0</v>
      </c>
      <c r="J432" s="7" t="n">
        <v>0</v>
      </c>
      <c r="K432" s="9" t="n">
        <v>0</v>
      </c>
      <c r="L432" s="10" t="n">
        <v>29.6</v>
      </c>
      <c r="M432" s="10" t="n">
        <v>1.43</v>
      </c>
      <c r="N432" t="inlineStr">
        <is>
          <t>1</t>
        </is>
      </c>
      <c r="O432" t="inlineStr">
        <is>
          <t>16</t>
        </is>
      </c>
      <c r="P432" t="inlineStr">
        <is>
          <t xml:space="preserve">250455  </t>
        </is>
      </c>
      <c r="Q432" s="26" t="n">
        <v>49.9</v>
      </c>
      <c r="R432" s="26">
        <f>Q432*G432</f>
        <v/>
      </c>
      <c r="S432" t="n">
        <v>29.6</v>
      </c>
      <c r="T432" s="18">
        <f>1 - V432/S432</f>
        <v/>
      </c>
      <c r="U432" s="18" t="n">
        <v>0</v>
      </c>
      <c r="V432" s="26" t="n">
        <v>29.6</v>
      </c>
      <c r="W432" s="26">
        <f>V432 - L432</f>
        <v/>
      </c>
    </row>
    <row r="433">
      <c r="A433" s="11" t="n">
        <v>46207</v>
      </c>
      <c r="B433" s="1" t="n">
        <v>20089</v>
      </c>
      <c r="C433" s="1" t="inlineStr">
        <is>
          <t>029</t>
        </is>
      </c>
      <c r="D433" s="1" t="inlineStr">
        <is>
          <t xml:space="preserve">2843  </t>
        </is>
      </c>
      <c r="E433" s="1" t="inlineStr">
        <is>
          <t xml:space="preserve">31959961       </t>
        </is>
      </c>
      <c r="F433" s="5" t="inlineStr">
        <is>
          <t>TEAMSTERZ CAMBIA DE COLOR PACK DE 3 AUTOS</t>
        </is>
      </c>
      <c r="G433" t="n">
        <v>1</v>
      </c>
      <c r="H433" s="7" t="n">
        <v>49.9</v>
      </c>
      <c r="I433" s="7" t="n">
        <v>0</v>
      </c>
      <c r="J433" s="7" t="n">
        <v>0</v>
      </c>
      <c r="K433" s="9" t="n">
        <v>0</v>
      </c>
      <c r="L433" s="10" t="n">
        <v>29.6</v>
      </c>
      <c r="M433" s="10" t="n">
        <v>1.43</v>
      </c>
      <c r="N433" t="inlineStr">
        <is>
          <t>1</t>
        </is>
      </c>
      <c r="O433" t="inlineStr">
        <is>
          <t>16</t>
        </is>
      </c>
      <c r="P433" t="inlineStr">
        <is>
          <t xml:space="preserve">250455  </t>
        </is>
      </c>
      <c r="Q433" s="26" t="n">
        <v>49.9</v>
      </c>
      <c r="R433" s="26">
        <f>Q433*G433</f>
        <v/>
      </c>
      <c r="S433" t="n">
        <v>29.6</v>
      </c>
      <c r="T433" s="18">
        <f>1 - V433/S433</f>
        <v/>
      </c>
      <c r="U433" s="18" t="n">
        <v>0</v>
      </c>
      <c r="V433" s="26" t="n">
        <v>29.6</v>
      </c>
      <c r="W433" s="26">
        <f>V433 - L433</f>
        <v/>
      </c>
    </row>
    <row r="434">
      <c r="A434" s="11" t="n">
        <v>46207</v>
      </c>
      <c r="B434" s="1" t="n">
        <v>20089</v>
      </c>
      <c r="C434" s="1" t="inlineStr">
        <is>
          <t>860</t>
        </is>
      </c>
      <c r="D434" s="1" t="inlineStr">
        <is>
          <t xml:space="preserve">9309  </t>
        </is>
      </c>
      <c r="E434" s="1" t="inlineStr">
        <is>
          <t xml:space="preserve">28194768       </t>
        </is>
      </c>
      <c r="F434" s="5" t="inlineStr">
        <is>
          <t>AUTO COLOR CHANGE TEAMSTERZ SURTIDO</t>
        </is>
      </c>
      <c r="G434" t="n">
        <v>1</v>
      </c>
      <c r="H434" s="7" t="n">
        <v>14.9</v>
      </c>
      <c r="I434" s="7" t="n">
        <v>0</v>
      </c>
      <c r="J434" s="7" t="n">
        <v>0</v>
      </c>
      <c r="K434" s="9" t="n">
        <v>0</v>
      </c>
      <c r="L434" s="10" t="n">
        <v>8.84</v>
      </c>
      <c r="M434" s="10" t="n">
        <v>1.43</v>
      </c>
      <c r="N434" t="inlineStr">
        <is>
          <t>1</t>
        </is>
      </c>
      <c r="O434" t="inlineStr">
        <is>
          <t>16</t>
        </is>
      </c>
      <c r="P434" t="inlineStr">
        <is>
          <t xml:space="preserve">0       </t>
        </is>
      </c>
      <c r="Q434" s="26" t="n">
        <v>14.9</v>
      </c>
      <c r="R434" s="26">
        <f>Q434*G434</f>
        <v/>
      </c>
      <c r="S434" t="n">
        <v>8.84</v>
      </c>
      <c r="T434" s="18">
        <f>1 - V434/S434</f>
        <v/>
      </c>
      <c r="U434" s="18" t="n">
        <v>0</v>
      </c>
      <c r="V434" s="26" t="n">
        <v>8.84</v>
      </c>
      <c r="W434" s="26">
        <f>V434 - L434</f>
        <v/>
      </c>
    </row>
    <row r="435">
      <c r="A435" s="11" t="n">
        <v>46207</v>
      </c>
      <c r="B435" s="1" t="n">
        <v>20089</v>
      </c>
      <c r="C435" s="1" t="inlineStr">
        <is>
          <t>860</t>
        </is>
      </c>
      <c r="D435" s="1" t="inlineStr">
        <is>
          <t xml:space="preserve">9321  </t>
        </is>
      </c>
      <c r="E435" s="1" t="inlineStr">
        <is>
          <t xml:space="preserve">28194781       </t>
        </is>
      </c>
      <c r="F435" s="5" t="inlineStr">
        <is>
          <t>TROMPO BATALLA INFINITY NADO SERIE V CLASICA SURTI</t>
        </is>
      </c>
      <c r="G435" t="n">
        <v>1</v>
      </c>
      <c r="H435" s="7" t="n">
        <v>59.9</v>
      </c>
      <c r="I435" s="7" t="n">
        <v>0</v>
      </c>
      <c r="J435" s="7" t="n">
        <v>0</v>
      </c>
      <c r="K435" s="9" t="n">
        <v>0</v>
      </c>
      <c r="L435" s="10" t="n">
        <v>35.53</v>
      </c>
      <c r="M435" s="10" t="n">
        <v>1.43</v>
      </c>
      <c r="N435" t="inlineStr">
        <is>
          <t>1</t>
        </is>
      </c>
      <c r="O435" t="inlineStr">
        <is>
          <t>16</t>
        </is>
      </c>
      <c r="P435" t="inlineStr">
        <is>
          <t xml:space="preserve">0       </t>
        </is>
      </c>
      <c r="Q435" s="26" t="n">
        <v>59.9</v>
      </c>
      <c r="R435" s="26">
        <f>Q435*G435</f>
        <v/>
      </c>
      <c r="S435" t="n">
        <v>35.53</v>
      </c>
      <c r="T435" s="18">
        <f>1 - V435/S435</f>
        <v/>
      </c>
      <c r="U435" s="18" t="n">
        <v>0.333889816360601</v>
      </c>
      <c r="V435" s="26" t="n">
        <v>25.36016949152542</v>
      </c>
      <c r="W435" s="26">
        <f>V435 - L435</f>
        <v/>
      </c>
    </row>
    <row r="436">
      <c r="A436" s="11" t="n">
        <v>46207</v>
      </c>
      <c r="B436" s="1" t="n">
        <v>20095</v>
      </c>
      <c r="C436" s="1" t="inlineStr">
        <is>
          <t>028</t>
        </is>
      </c>
      <c r="D436" s="1" t="inlineStr">
        <is>
          <t xml:space="preserve">39603 </t>
        </is>
      </c>
      <c r="E436" s="1" t="inlineStr">
        <is>
          <t xml:space="preserve">34840526       </t>
        </is>
      </c>
      <c r="F436" s="5" t="inlineStr">
        <is>
          <t>NENUCO ABRACITOS</t>
        </is>
      </c>
      <c r="G436" t="n">
        <v>1</v>
      </c>
      <c r="H436" s="7" t="n">
        <v>119</v>
      </c>
      <c r="I436" s="7" t="n">
        <v>0</v>
      </c>
      <c r="J436" s="7" t="n">
        <v>0</v>
      </c>
      <c r="K436" s="9" t="n">
        <v>0</v>
      </c>
      <c r="L436" s="10" t="n">
        <v>70.59999999999999</v>
      </c>
      <c r="M436" s="10" t="n">
        <v>1.43</v>
      </c>
      <c r="N436" t="inlineStr">
        <is>
          <t>1</t>
        </is>
      </c>
      <c r="O436" t="inlineStr">
        <is>
          <t xml:space="preserve">2 </t>
        </is>
      </c>
      <c r="P436" t="inlineStr">
        <is>
          <t xml:space="preserve">57461   </t>
        </is>
      </c>
      <c r="Q436" s="26" t="n">
        <v>119</v>
      </c>
      <c r="R436" s="26">
        <f>Q436*G436</f>
        <v/>
      </c>
      <c r="S436" t="n">
        <v>70.59</v>
      </c>
      <c r="T436" s="18">
        <f>1 - V436/S436</f>
        <v/>
      </c>
      <c r="U436" s="18" t="n">
        <v>0.2445378151260503</v>
      </c>
      <c r="V436" s="26" t="n">
        <v>60.94915254237289</v>
      </c>
      <c r="W436" s="26">
        <f>V436 - L436</f>
        <v/>
      </c>
    </row>
    <row r="437">
      <c r="A437" s="11" t="n">
        <v>46207</v>
      </c>
      <c r="B437" s="1" t="n">
        <v>20095</v>
      </c>
      <c r="C437" s="1" t="inlineStr">
        <is>
          <t>043</t>
        </is>
      </c>
      <c r="D437" s="1" t="inlineStr">
        <is>
          <t>107273</t>
        </is>
      </c>
      <c r="E437" s="1" t="inlineStr">
        <is>
          <t xml:space="preserve">31675354       </t>
        </is>
      </c>
      <c r="F437" s="5" t="inlineStr">
        <is>
          <t>NENUCO LLORON CON ACCESORIOS</t>
        </is>
      </c>
      <c r="G437" t="n">
        <v>1</v>
      </c>
      <c r="H437" s="7" t="n">
        <v>89.90000000000001</v>
      </c>
      <c r="I437" s="7" t="n">
        <v>0</v>
      </c>
      <c r="J437" s="7" t="n">
        <v>0</v>
      </c>
      <c r="K437" s="9" t="n">
        <v>0</v>
      </c>
      <c r="L437" s="10" t="n">
        <v>53.33</v>
      </c>
      <c r="M437" s="10" t="n">
        <v>1.43</v>
      </c>
      <c r="N437" t="inlineStr">
        <is>
          <t>1</t>
        </is>
      </c>
      <c r="O437" t="inlineStr">
        <is>
          <t xml:space="preserve">2 </t>
        </is>
      </c>
      <c r="P437" t="inlineStr">
        <is>
          <t xml:space="preserve">250454  </t>
        </is>
      </c>
      <c r="Q437" s="26" t="n">
        <v>89.90000000000001</v>
      </c>
      <c r="R437" s="26">
        <f>Q437*G437</f>
        <v/>
      </c>
      <c r="S437" t="n">
        <v>53.33</v>
      </c>
      <c r="T437" s="18">
        <f>1 - V437/S437</f>
        <v/>
      </c>
      <c r="U437" s="18" t="n">
        <v>0.2224694104560623</v>
      </c>
      <c r="V437" s="26" t="n">
        <v>44.42796610169492</v>
      </c>
      <c r="W437" s="26">
        <f>V437 - L437</f>
        <v/>
      </c>
    </row>
    <row r="438">
      <c r="A438" s="11" t="n">
        <v>46207</v>
      </c>
      <c r="B438" s="1" t="n">
        <v>20095</v>
      </c>
      <c r="C438" s="1" t="inlineStr">
        <is>
          <t>043</t>
        </is>
      </c>
      <c r="D438" s="1" t="inlineStr">
        <is>
          <t>107305</t>
        </is>
      </c>
      <c r="E438" s="1" t="inlineStr">
        <is>
          <t xml:space="preserve">35685067       </t>
        </is>
      </c>
      <c r="F438" s="5" t="inlineStr">
        <is>
          <t>HOT WHEELS POWER SET 3 EN 1</t>
        </is>
      </c>
      <c r="G438" t="n">
        <v>1</v>
      </c>
      <c r="H438" s="7" t="n">
        <v>49.9</v>
      </c>
      <c r="I438" s="7" t="n">
        <v>0</v>
      </c>
      <c r="J438" s="7" t="n">
        <v>0</v>
      </c>
      <c r="K438" s="9" t="n">
        <v>0</v>
      </c>
      <c r="L438" s="10" t="n">
        <v>29.6</v>
      </c>
      <c r="M438" s="10" t="n">
        <v>1.43</v>
      </c>
      <c r="N438" t="inlineStr">
        <is>
          <t>1</t>
        </is>
      </c>
      <c r="O438" t="inlineStr">
        <is>
          <t>16</t>
        </is>
      </c>
      <c r="P438" t="inlineStr">
        <is>
          <t xml:space="preserve">250454  </t>
        </is>
      </c>
      <c r="Q438" s="26" t="n">
        <v>49.9</v>
      </c>
      <c r="R438" s="26">
        <f>Q438*G438</f>
        <v/>
      </c>
      <c r="S438" t="n">
        <v>29.6</v>
      </c>
      <c r="T438" s="18">
        <f>1 - V438/S438</f>
        <v/>
      </c>
      <c r="U438" s="18" t="n">
        <v>0</v>
      </c>
      <c r="V438" s="26" t="n">
        <v>29.6</v>
      </c>
      <c r="W438" s="26">
        <f>V438 - L438</f>
        <v/>
      </c>
    </row>
    <row r="439">
      <c r="A439" s="11" t="n">
        <v>46207</v>
      </c>
      <c r="B439" s="1" t="n">
        <v>20095</v>
      </c>
      <c r="C439" s="1" t="inlineStr">
        <is>
          <t>043</t>
        </is>
      </c>
      <c r="D439" s="1" t="inlineStr">
        <is>
          <t>107310</t>
        </is>
      </c>
      <c r="E439" s="1" t="inlineStr">
        <is>
          <t xml:space="preserve">30141766       </t>
        </is>
      </c>
      <c r="F439" s="5" t="inlineStr">
        <is>
          <t>TMZ BEAST MACHINES AUTOS DE METAL BLISTER X 1</t>
        </is>
      </c>
      <c r="G439" t="n">
        <v>1</v>
      </c>
      <c r="H439" s="7" t="n">
        <v>7.9</v>
      </c>
      <c r="I439" s="7" t="n">
        <v>0</v>
      </c>
      <c r="J439" s="7" t="n">
        <v>0</v>
      </c>
      <c r="K439" s="9" t="n">
        <v>0</v>
      </c>
      <c r="L439" s="10" t="n">
        <v>4.68</v>
      </c>
      <c r="M439" s="10" t="n">
        <v>1.43</v>
      </c>
      <c r="N439" t="inlineStr">
        <is>
          <t>1</t>
        </is>
      </c>
      <c r="O439" t="inlineStr">
        <is>
          <t>16</t>
        </is>
      </c>
      <c r="P439" t="inlineStr">
        <is>
          <t xml:space="preserve">250454  </t>
        </is>
      </c>
      <c r="Q439" s="26" t="n">
        <v>7.9</v>
      </c>
      <c r="R439" s="26">
        <f>Q439*G439</f>
        <v/>
      </c>
      <c r="S439" t="n">
        <v>4.69</v>
      </c>
      <c r="T439" s="18">
        <f>1 - V439/S439</f>
        <v/>
      </c>
      <c r="U439" s="18" t="n">
        <v>0</v>
      </c>
      <c r="V439" s="26" t="n">
        <v>4.69</v>
      </c>
      <c r="W439" s="26">
        <f>V439 - L439</f>
        <v/>
      </c>
    </row>
    <row r="440">
      <c r="A440" s="11" t="n">
        <v>46207</v>
      </c>
      <c r="B440" s="1" t="n">
        <v>20095</v>
      </c>
      <c r="C440" s="1" t="inlineStr">
        <is>
          <t>043</t>
        </is>
      </c>
      <c r="D440" s="1" t="inlineStr">
        <is>
          <t>107322</t>
        </is>
      </c>
      <c r="E440" s="1" t="inlineStr">
        <is>
          <t xml:space="preserve">28194770       </t>
        </is>
      </c>
      <c r="F440" s="5" t="inlineStr">
        <is>
          <t>AUTOS DE METAL 3 TEAMSTERZ EN BLISTER</t>
        </is>
      </c>
      <c r="G440" t="n">
        <v>1</v>
      </c>
      <c r="H440" s="7" t="n">
        <v>6.9</v>
      </c>
      <c r="I440" s="7" t="n">
        <v>0</v>
      </c>
      <c r="J440" s="7" t="n">
        <v>0</v>
      </c>
      <c r="K440" s="9" t="n">
        <v>0</v>
      </c>
      <c r="L440" s="10" t="n">
        <v>4.1</v>
      </c>
      <c r="M440" s="10" t="n">
        <v>1.43</v>
      </c>
      <c r="N440" t="inlineStr">
        <is>
          <t>1</t>
        </is>
      </c>
      <c r="O440" t="inlineStr">
        <is>
          <t xml:space="preserve">2 </t>
        </is>
      </c>
      <c r="P440" t="inlineStr">
        <is>
          <t xml:space="preserve">250454  </t>
        </is>
      </c>
      <c r="Q440" s="26" t="n">
        <v>6.9</v>
      </c>
      <c r="R440" s="26">
        <f>Q440*G440</f>
        <v/>
      </c>
      <c r="S440" t="n">
        <v>4.09</v>
      </c>
      <c r="T440" s="18">
        <f>1 - V440/S440</f>
        <v/>
      </c>
      <c r="U440" s="18" t="n">
        <v>0</v>
      </c>
      <c r="V440" s="26" t="n">
        <v>4.09</v>
      </c>
      <c r="W440" s="26">
        <f>V440 - L440</f>
        <v/>
      </c>
    </row>
    <row r="441">
      <c r="A441" s="11" t="n">
        <v>46207</v>
      </c>
      <c r="B441" s="1" t="n">
        <v>20095</v>
      </c>
      <c r="C441" s="1" t="inlineStr">
        <is>
          <t>043</t>
        </is>
      </c>
      <c r="D441" s="1" t="inlineStr">
        <is>
          <t>107346</t>
        </is>
      </c>
      <c r="E441" s="1" t="inlineStr">
        <is>
          <t xml:space="preserve">30141766       </t>
        </is>
      </c>
      <c r="F441" s="5" t="inlineStr">
        <is>
          <t>TMZ BEAST MACHINES AUTOS DE METAL BLISTER X 1</t>
        </is>
      </c>
      <c r="G441" t="n">
        <v>1</v>
      </c>
      <c r="H441" s="7" t="n">
        <v>7.9</v>
      </c>
      <c r="I441" s="7" t="n">
        <v>0</v>
      </c>
      <c r="J441" s="7" t="n">
        <v>0</v>
      </c>
      <c r="K441" s="9" t="n">
        <v>0</v>
      </c>
      <c r="L441" s="10" t="n">
        <v>4.68</v>
      </c>
      <c r="M441" s="10" t="n">
        <v>1.43</v>
      </c>
      <c r="N441" t="inlineStr">
        <is>
          <t>1</t>
        </is>
      </c>
      <c r="O441" t="inlineStr">
        <is>
          <t xml:space="preserve">2 </t>
        </is>
      </c>
      <c r="P441" t="inlineStr">
        <is>
          <t xml:space="preserve">250454  </t>
        </is>
      </c>
      <c r="Q441" s="26" t="n">
        <v>7.9</v>
      </c>
      <c r="R441" s="26">
        <f>Q441*G441</f>
        <v/>
      </c>
      <c r="S441" t="n">
        <v>4.69</v>
      </c>
      <c r="T441" s="18">
        <f>1 - V441/S441</f>
        <v/>
      </c>
      <c r="U441" s="18" t="n">
        <v>0</v>
      </c>
      <c r="V441" s="26" t="n">
        <v>4.69</v>
      </c>
      <c r="W441" s="26">
        <f>V441 - L441</f>
        <v/>
      </c>
    </row>
    <row r="442">
      <c r="A442" s="11" t="n">
        <v>46207</v>
      </c>
      <c r="B442" s="1" t="n">
        <v>20095</v>
      </c>
      <c r="C442" s="1" t="inlineStr">
        <is>
          <t>044</t>
        </is>
      </c>
      <c r="D442" s="1" t="inlineStr">
        <is>
          <t xml:space="preserve">92873 </t>
        </is>
      </c>
      <c r="E442" s="1" t="inlineStr">
        <is>
          <t xml:space="preserve">28194770       </t>
        </is>
      </c>
      <c r="F442" s="5" t="inlineStr">
        <is>
          <t>AUTOS DE METAL 3 TEAMSTERZ EN BLISTER</t>
        </is>
      </c>
      <c r="G442" t="n">
        <v>1</v>
      </c>
      <c r="H442" s="7" t="n">
        <v>6.9</v>
      </c>
      <c r="I442" s="7" t="n">
        <v>0</v>
      </c>
      <c r="J442" s="7" t="n">
        <v>0</v>
      </c>
      <c r="K442" s="9" t="n">
        <v>0</v>
      </c>
      <c r="L442" s="10" t="n">
        <v>4.1</v>
      </c>
      <c r="M442" s="10" t="n">
        <v>1.43</v>
      </c>
      <c r="N442" t="inlineStr">
        <is>
          <t>1</t>
        </is>
      </c>
      <c r="O442" t="inlineStr">
        <is>
          <t>16</t>
        </is>
      </c>
      <c r="P442" t="inlineStr">
        <is>
          <t xml:space="preserve">57866   </t>
        </is>
      </c>
      <c r="Q442" s="26" t="n">
        <v>6.9</v>
      </c>
      <c r="R442" s="26">
        <f>Q442*G442</f>
        <v/>
      </c>
      <c r="S442" t="n">
        <v>4.09</v>
      </c>
      <c r="T442" s="18">
        <f>1 - V442/S442</f>
        <v/>
      </c>
      <c r="U442" s="18" t="n">
        <v>0</v>
      </c>
      <c r="V442" s="26" t="n">
        <v>4.09</v>
      </c>
      <c r="W442" s="26">
        <f>V442 - L442</f>
        <v/>
      </c>
    </row>
    <row r="443">
      <c r="A443" s="11" t="n">
        <v>46208</v>
      </c>
      <c r="B443" s="1" t="n">
        <v>20021</v>
      </c>
      <c r="C443" s="1" t="inlineStr">
        <is>
          <t>055</t>
        </is>
      </c>
      <c r="D443" s="1" t="inlineStr">
        <is>
          <t>154307</t>
        </is>
      </c>
      <c r="E443" s="1" t="inlineStr">
        <is>
          <t xml:space="preserve">28194770       </t>
        </is>
      </c>
      <c r="F443" s="5" t="inlineStr">
        <is>
          <t>AUTOS DE METAL 3 TEAMSTERZ EN BLISTER</t>
        </is>
      </c>
      <c r="G443" t="n">
        <v>1</v>
      </c>
      <c r="H443" s="7" t="n">
        <v>6.9</v>
      </c>
      <c r="I443" s="7" t="n">
        <v>0</v>
      </c>
      <c r="J443" s="7" t="n">
        <v>0</v>
      </c>
      <c r="K443" s="9" t="n">
        <v>0</v>
      </c>
      <c r="L443" s="10" t="n">
        <v>4.1</v>
      </c>
      <c r="M443" s="10" t="n">
        <v>1.43</v>
      </c>
      <c r="N443" t="inlineStr">
        <is>
          <t>1</t>
        </is>
      </c>
      <c r="O443" t="inlineStr">
        <is>
          <t xml:space="preserve">2 </t>
        </is>
      </c>
      <c r="P443" t="inlineStr">
        <is>
          <t xml:space="preserve">42929   </t>
        </is>
      </c>
      <c r="Q443" s="26" t="n">
        <v>6.9</v>
      </c>
      <c r="R443" s="26">
        <f>Q443*G443</f>
        <v/>
      </c>
      <c r="S443" t="n">
        <v>4.09</v>
      </c>
      <c r="T443" s="18">
        <f>1 - V443/S443</f>
        <v/>
      </c>
      <c r="U443" s="18" t="n">
        <v>0</v>
      </c>
      <c r="V443" s="26" t="n">
        <v>4.09</v>
      </c>
      <c r="W443" s="26">
        <f>V443 - L443</f>
        <v/>
      </c>
    </row>
    <row r="444">
      <c r="A444" s="11" t="n">
        <v>46208</v>
      </c>
      <c r="B444" s="1" t="n">
        <v>20021</v>
      </c>
      <c r="C444" s="1" t="inlineStr">
        <is>
          <t>055</t>
        </is>
      </c>
      <c r="D444" s="1" t="inlineStr">
        <is>
          <t>154307</t>
        </is>
      </c>
      <c r="E444" s="1" t="inlineStr">
        <is>
          <t xml:space="preserve">28194770       </t>
        </is>
      </c>
      <c r="F444" s="5" t="inlineStr">
        <is>
          <t>AUTOS DE METAL 3 TEAMSTERZ EN BLISTER</t>
        </is>
      </c>
      <c r="G444" t="n">
        <v>1</v>
      </c>
      <c r="H444" s="7" t="n">
        <v>6.9</v>
      </c>
      <c r="I444" s="7" t="n">
        <v>0</v>
      </c>
      <c r="J444" s="7" t="n">
        <v>0</v>
      </c>
      <c r="K444" s="9" t="n">
        <v>0</v>
      </c>
      <c r="L444" s="10" t="n">
        <v>4.1</v>
      </c>
      <c r="M444" s="10" t="n">
        <v>1.43</v>
      </c>
      <c r="N444" t="inlineStr">
        <is>
          <t>1</t>
        </is>
      </c>
      <c r="O444" t="inlineStr">
        <is>
          <t xml:space="preserve">2 </t>
        </is>
      </c>
      <c r="P444" t="inlineStr">
        <is>
          <t xml:space="preserve">42929   </t>
        </is>
      </c>
      <c r="Q444" s="26" t="n">
        <v>6.9</v>
      </c>
      <c r="R444" s="26">
        <f>Q444*G444</f>
        <v/>
      </c>
      <c r="S444" t="n">
        <v>4.09</v>
      </c>
      <c r="T444" s="18">
        <f>1 - V444/S444</f>
        <v/>
      </c>
      <c r="U444" s="18" t="n">
        <v>0</v>
      </c>
      <c r="V444" s="26" t="n">
        <v>4.09</v>
      </c>
      <c r="W444" s="26">
        <f>V444 - L444</f>
        <v/>
      </c>
    </row>
    <row r="445">
      <c r="A445" s="11" t="n">
        <v>46208</v>
      </c>
      <c r="B445" s="1" t="n">
        <v>20021</v>
      </c>
      <c r="C445" s="1" t="inlineStr">
        <is>
          <t>078</t>
        </is>
      </c>
      <c r="D445" s="1" t="inlineStr">
        <is>
          <t>100204</t>
        </is>
      </c>
      <c r="E445" s="1" t="inlineStr">
        <is>
          <t xml:space="preserve">28194768       </t>
        </is>
      </c>
      <c r="F445" s="5" t="inlineStr">
        <is>
          <t>AUTO COLOR CHANGE TEAMSTERZ SURTIDO</t>
        </is>
      </c>
      <c r="G445" t="n">
        <v>1</v>
      </c>
      <c r="H445" s="7" t="n">
        <v>14.9</v>
      </c>
      <c r="I445" s="7" t="n">
        <v>0</v>
      </c>
      <c r="J445" s="7" t="n">
        <v>0</v>
      </c>
      <c r="K445" s="9" t="n">
        <v>0</v>
      </c>
      <c r="L445" s="10" t="n">
        <v>8.84</v>
      </c>
      <c r="M445" s="10" t="n">
        <v>1.43</v>
      </c>
      <c r="N445" t="inlineStr">
        <is>
          <t>1</t>
        </is>
      </c>
      <c r="O445" t="inlineStr">
        <is>
          <t>16</t>
        </is>
      </c>
      <c r="P445" t="inlineStr">
        <is>
          <t xml:space="preserve">249983  </t>
        </is>
      </c>
      <c r="Q445" s="26" t="n">
        <v>14.9</v>
      </c>
      <c r="R445" s="26">
        <f>Q445*G445</f>
        <v/>
      </c>
      <c r="S445" t="n">
        <v>8.84</v>
      </c>
      <c r="T445" s="18">
        <f>1 - V445/S445</f>
        <v/>
      </c>
      <c r="U445" s="18" t="n">
        <v>0</v>
      </c>
      <c r="V445" s="26" t="n">
        <v>8.84</v>
      </c>
      <c r="W445" s="26">
        <f>V445 - L445</f>
        <v/>
      </c>
    </row>
    <row r="446">
      <c r="A446" s="11" t="n">
        <v>46208</v>
      </c>
      <c r="B446" s="1" t="n">
        <v>20021</v>
      </c>
      <c r="C446" s="1" t="inlineStr">
        <is>
          <t>078</t>
        </is>
      </c>
      <c r="D446" s="1" t="inlineStr">
        <is>
          <t>100247</t>
        </is>
      </c>
      <c r="E446" s="1" t="inlineStr">
        <is>
          <t xml:space="preserve">30141766       </t>
        </is>
      </c>
      <c r="F446" s="5" t="inlineStr">
        <is>
          <t>TMZ BEAST MACHINES AUTOS DE METAL BLISTER X 1</t>
        </is>
      </c>
      <c r="G446" t="n">
        <v>1</v>
      </c>
      <c r="H446" s="7" t="n">
        <v>7.9</v>
      </c>
      <c r="I446" s="7" t="n">
        <v>0</v>
      </c>
      <c r="J446" s="7" t="n">
        <v>0</v>
      </c>
      <c r="K446" s="9" t="n">
        <v>0</v>
      </c>
      <c r="L446" s="10" t="n">
        <v>4.68</v>
      </c>
      <c r="M446" s="10" t="n">
        <v>1.43</v>
      </c>
      <c r="N446" t="inlineStr">
        <is>
          <t>1</t>
        </is>
      </c>
      <c r="O446" t="inlineStr">
        <is>
          <t xml:space="preserve">2 </t>
        </is>
      </c>
      <c r="P446" t="inlineStr">
        <is>
          <t xml:space="preserve">81066   </t>
        </is>
      </c>
      <c r="Q446" s="26" t="n">
        <v>7.9</v>
      </c>
      <c r="R446" s="26">
        <f>Q446*G446</f>
        <v/>
      </c>
      <c r="S446" t="n">
        <v>4.69</v>
      </c>
      <c r="T446" s="18">
        <f>1 - V446/S446</f>
        <v/>
      </c>
      <c r="U446" s="18" t="n">
        <v>0</v>
      </c>
      <c r="V446" s="26" t="n">
        <v>4.69</v>
      </c>
      <c r="W446" s="26">
        <f>V446 - L446</f>
        <v/>
      </c>
    </row>
    <row r="447">
      <c r="A447" s="11" t="n">
        <v>46208</v>
      </c>
      <c r="B447" s="1" t="n">
        <v>20021</v>
      </c>
      <c r="C447" s="1" t="inlineStr">
        <is>
          <t>080</t>
        </is>
      </c>
      <c r="D447" s="1" t="inlineStr">
        <is>
          <t>309369</t>
        </is>
      </c>
      <c r="E447" s="1" t="inlineStr">
        <is>
          <t xml:space="preserve">35685067       </t>
        </is>
      </c>
      <c r="F447" s="5" t="inlineStr">
        <is>
          <t>HOT WHEELS POWER SET 3 EN 1</t>
        </is>
      </c>
      <c r="G447" t="n">
        <v>1</v>
      </c>
      <c r="H447" s="7" t="n">
        <v>49.9</v>
      </c>
      <c r="I447" s="7" t="n">
        <v>0</v>
      </c>
      <c r="J447" s="7" t="n">
        <v>0</v>
      </c>
      <c r="K447" s="9" t="n">
        <v>0</v>
      </c>
      <c r="L447" s="10" t="n">
        <v>29.6</v>
      </c>
      <c r="M447" s="10" t="n">
        <v>1.43</v>
      </c>
      <c r="N447" t="inlineStr">
        <is>
          <t>1</t>
        </is>
      </c>
      <c r="O447" t="inlineStr">
        <is>
          <t>16</t>
        </is>
      </c>
      <c r="P447" t="inlineStr">
        <is>
          <t xml:space="preserve">250202  </t>
        </is>
      </c>
      <c r="Q447" s="26" t="n">
        <v>49.9</v>
      </c>
      <c r="R447" s="26">
        <f>Q447*G447</f>
        <v/>
      </c>
      <c r="S447" t="n">
        <v>29.6</v>
      </c>
      <c r="T447" s="18">
        <f>1 - V447/S447</f>
        <v/>
      </c>
      <c r="U447" s="18" t="n">
        <v>0</v>
      </c>
      <c r="V447" s="26" t="n">
        <v>29.6</v>
      </c>
      <c r="W447" s="26">
        <f>V447 - L447</f>
        <v/>
      </c>
    </row>
    <row r="448">
      <c r="A448" s="11" t="n">
        <v>46208</v>
      </c>
      <c r="B448" s="1" t="n">
        <v>20021</v>
      </c>
      <c r="C448" s="1" t="inlineStr">
        <is>
          <t>080</t>
        </is>
      </c>
      <c r="D448" s="1" t="inlineStr">
        <is>
          <t>309384</t>
        </is>
      </c>
      <c r="E448" s="1" t="inlineStr">
        <is>
          <t xml:space="preserve">28194767       </t>
        </is>
      </c>
      <c r="F448" s="5" t="inlineStr">
        <is>
          <t>CAMIONES TEAMSTERZ DE EMERGENCIA</t>
        </is>
      </c>
      <c r="G448" t="n">
        <v>1</v>
      </c>
      <c r="H448" s="7" t="n">
        <v>17.9</v>
      </c>
      <c r="I448" s="7" t="n">
        <v>0</v>
      </c>
      <c r="J448" s="7" t="n">
        <v>0</v>
      </c>
      <c r="K448" s="9" t="n">
        <v>0</v>
      </c>
      <c r="L448" s="10" t="n">
        <v>10.62</v>
      </c>
      <c r="M448" s="10" t="n">
        <v>1.43</v>
      </c>
      <c r="N448" t="inlineStr">
        <is>
          <t>1</t>
        </is>
      </c>
      <c r="O448" t="inlineStr">
        <is>
          <t xml:space="preserve">3 </t>
        </is>
      </c>
      <c r="P448" t="inlineStr">
        <is>
          <t xml:space="preserve">250202  </t>
        </is>
      </c>
      <c r="Q448" s="26" t="n">
        <v>17.9</v>
      </c>
      <c r="R448" s="26">
        <f>Q448*G448</f>
        <v/>
      </c>
      <c r="S448" t="n">
        <v>10.62</v>
      </c>
      <c r="T448" s="18">
        <f>1 - V448/S448</f>
        <v/>
      </c>
      <c r="U448" s="18" t="n">
        <v>0</v>
      </c>
      <c r="V448" s="26" t="n">
        <v>10.62</v>
      </c>
      <c r="W448" s="26">
        <f>V448 - L448</f>
        <v/>
      </c>
    </row>
    <row r="449">
      <c r="A449" s="11" t="n">
        <v>46208</v>
      </c>
      <c r="B449" s="1" t="n">
        <v>20023</v>
      </c>
      <c r="C449" s="1" t="inlineStr">
        <is>
          <t>105</t>
        </is>
      </c>
      <c r="D449" s="1" t="inlineStr">
        <is>
          <t xml:space="preserve">90403 </t>
        </is>
      </c>
      <c r="E449" s="1" t="inlineStr">
        <is>
          <t xml:space="preserve">31754676       </t>
        </is>
      </c>
      <c r="F449" s="5" t="inlineStr">
        <is>
          <t>INFINITY NADO SERIE 6 STD PACK LANZ ESPAD ANILLO M</t>
        </is>
      </c>
      <c r="G449" t="n">
        <v>1</v>
      </c>
      <c r="H449" s="7" t="n">
        <v>79.90000000000001</v>
      </c>
      <c r="I449" s="7" t="n">
        <v>0</v>
      </c>
      <c r="J449" s="7" t="n">
        <v>0</v>
      </c>
      <c r="K449" s="9" t="n">
        <v>0</v>
      </c>
      <c r="L449" s="10" t="n">
        <v>47.4</v>
      </c>
      <c r="M449" s="10" t="n">
        <v>1.43</v>
      </c>
      <c r="N449" t="inlineStr">
        <is>
          <t>1</t>
        </is>
      </c>
      <c r="O449" t="inlineStr">
        <is>
          <t>16</t>
        </is>
      </c>
      <c r="P449" t="inlineStr">
        <is>
          <t xml:space="preserve">22759   </t>
        </is>
      </c>
      <c r="Q449" s="26" t="n">
        <v>79.90000000000001</v>
      </c>
      <c r="R449" s="26">
        <f>Q449*G449</f>
        <v/>
      </c>
      <c r="S449" t="n">
        <v>47.4</v>
      </c>
      <c r="T449" s="18">
        <f>1 - V449/S449</f>
        <v/>
      </c>
      <c r="U449" s="18" t="n">
        <v>0.2503128911138924</v>
      </c>
      <c r="V449" s="26" t="n">
        <v>38.07203389830509</v>
      </c>
      <c r="W449" s="26">
        <f>V449 - L449</f>
        <v/>
      </c>
    </row>
    <row r="450">
      <c r="A450" s="11" t="n">
        <v>46208</v>
      </c>
      <c r="B450" s="1" t="n">
        <v>20023</v>
      </c>
      <c r="C450" s="1" t="inlineStr">
        <is>
          <t>191</t>
        </is>
      </c>
      <c r="D450" s="1" t="inlineStr">
        <is>
          <t xml:space="preserve">6522  </t>
        </is>
      </c>
      <c r="E450" s="1" t="inlineStr">
        <is>
          <t xml:space="preserve">30141766       </t>
        </is>
      </c>
      <c r="F450" s="5" t="inlineStr">
        <is>
          <t>TMZ BEAST MACHINES AUTOS DE METAL BLISTER X 1</t>
        </is>
      </c>
      <c r="G450" t="n">
        <v>1</v>
      </c>
      <c r="H450" s="7" t="n">
        <v>7.9</v>
      </c>
      <c r="I450" s="7" t="n">
        <v>0</v>
      </c>
      <c r="J450" s="7" t="n">
        <v>0</v>
      </c>
      <c r="K450" s="9" t="n">
        <v>0</v>
      </c>
      <c r="L450" s="10" t="n">
        <v>4.68</v>
      </c>
      <c r="M450" s="10" t="n">
        <v>1.43</v>
      </c>
      <c r="N450" t="inlineStr">
        <is>
          <t>1</t>
        </is>
      </c>
      <c r="O450" t="inlineStr">
        <is>
          <t xml:space="preserve">2 </t>
        </is>
      </c>
      <c r="P450" t="inlineStr">
        <is>
          <t xml:space="preserve">70445   </t>
        </is>
      </c>
      <c r="Q450" s="26" t="n">
        <v>7.9</v>
      </c>
      <c r="R450" s="26">
        <f>Q450*G450</f>
        <v/>
      </c>
      <c r="S450" t="n">
        <v>4.69</v>
      </c>
      <c r="T450" s="18">
        <f>1 - V450/S450</f>
        <v/>
      </c>
      <c r="U450" s="18" t="n">
        <v>0</v>
      </c>
      <c r="V450" s="26" t="n">
        <v>4.69</v>
      </c>
      <c r="W450" s="26">
        <f>V450 - L450</f>
        <v/>
      </c>
    </row>
    <row r="451">
      <c r="A451" s="11" t="n">
        <v>46208</v>
      </c>
      <c r="B451" s="1" t="n">
        <v>20023</v>
      </c>
      <c r="C451" s="1" t="inlineStr">
        <is>
          <t>191</t>
        </is>
      </c>
      <c r="D451" s="1" t="inlineStr">
        <is>
          <t xml:space="preserve">6533  </t>
        </is>
      </c>
      <c r="E451" s="1" t="inlineStr">
        <is>
          <t xml:space="preserve">28194770       </t>
        </is>
      </c>
      <c r="F451" s="5" t="inlineStr">
        <is>
          <t>AUTOS DE METAL 3 TEAMSTERZ EN BLISTER</t>
        </is>
      </c>
      <c r="G451" t="n">
        <v>1</v>
      </c>
      <c r="H451" s="7" t="n">
        <v>6.9</v>
      </c>
      <c r="I451" s="7" t="n">
        <v>0</v>
      </c>
      <c r="J451" s="7" t="n">
        <v>0</v>
      </c>
      <c r="K451" s="9" t="n">
        <v>0</v>
      </c>
      <c r="L451" s="10" t="n">
        <v>4.1</v>
      </c>
      <c r="M451" s="10" t="n">
        <v>1.43</v>
      </c>
      <c r="N451" t="inlineStr">
        <is>
          <t>1</t>
        </is>
      </c>
      <c r="O451" t="inlineStr">
        <is>
          <t>16</t>
        </is>
      </c>
      <c r="P451" t="inlineStr">
        <is>
          <t xml:space="preserve">70445   </t>
        </is>
      </c>
      <c r="Q451" s="26" t="n">
        <v>6.9</v>
      </c>
      <c r="R451" s="26">
        <f>Q451*G451</f>
        <v/>
      </c>
      <c r="S451" t="n">
        <v>4.09</v>
      </c>
      <c r="T451" s="18">
        <f>1 - V451/S451</f>
        <v/>
      </c>
      <c r="U451" s="18" t="n">
        <v>0</v>
      </c>
      <c r="V451" s="26" t="n">
        <v>4.09</v>
      </c>
      <c r="W451" s="26">
        <f>V451 - L451</f>
        <v/>
      </c>
    </row>
    <row r="452">
      <c r="A452" s="11" t="n">
        <v>46208</v>
      </c>
      <c r="B452" s="1" t="n">
        <v>20024</v>
      </c>
      <c r="C452" s="1" t="inlineStr">
        <is>
          <t>017</t>
        </is>
      </c>
      <c r="D452" s="1" t="inlineStr">
        <is>
          <t>263870</t>
        </is>
      </c>
      <c r="E452" s="1" t="inlineStr">
        <is>
          <t xml:space="preserve">28194768       </t>
        </is>
      </c>
      <c r="F452" s="5" t="inlineStr">
        <is>
          <t>AUTO COLOR CHANGE TEAMSTERZ SURTIDO</t>
        </is>
      </c>
      <c r="G452" t="n">
        <v>1</v>
      </c>
      <c r="H452" s="7" t="n">
        <v>14.9</v>
      </c>
      <c r="I452" s="7" t="n">
        <v>0</v>
      </c>
      <c r="J452" s="7" t="n">
        <v>0</v>
      </c>
      <c r="K452" s="9" t="n">
        <v>0</v>
      </c>
      <c r="L452" s="10" t="n">
        <v>8.84</v>
      </c>
      <c r="M452" s="10" t="n">
        <v>1.43</v>
      </c>
      <c r="N452" t="inlineStr">
        <is>
          <t>1</t>
        </is>
      </c>
      <c r="O452" t="inlineStr">
        <is>
          <t xml:space="preserve">2 </t>
        </is>
      </c>
      <c r="P452" t="inlineStr">
        <is>
          <t xml:space="preserve">47217   </t>
        </is>
      </c>
      <c r="Q452" s="26" t="n">
        <v>14.9</v>
      </c>
      <c r="R452" s="26">
        <f>Q452*G452</f>
        <v/>
      </c>
      <c r="S452" t="n">
        <v>8.84</v>
      </c>
      <c r="T452" s="18">
        <f>1 - V452/S452</f>
        <v/>
      </c>
      <c r="U452" s="18" t="n">
        <v>0</v>
      </c>
      <c r="V452" s="26" t="n">
        <v>8.84</v>
      </c>
      <c r="W452" s="26">
        <f>V452 - L452</f>
        <v/>
      </c>
    </row>
    <row r="453">
      <c r="A453" s="11" t="n">
        <v>46208</v>
      </c>
      <c r="B453" s="1" t="n">
        <v>20024</v>
      </c>
      <c r="C453" s="1" t="inlineStr">
        <is>
          <t>021</t>
        </is>
      </c>
      <c r="D453" s="1" t="inlineStr">
        <is>
          <t>215296</t>
        </is>
      </c>
      <c r="E453" s="1" t="inlineStr">
        <is>
          <t xml:space="preserve">32457099       </t>
        </is>
      </c>
      <c r="F453" s="5" t="inlineStr">
        <is>
          <t>TMZ BEAST MACHINES MONSTER JAWS A FRICCION BLISTER</t>
        </is>
      </c>
      <c r="G453" t="n">
        <v>1</v>
      </c>
      <c r="H453" s="7" t="n">
        <v>19.9</v>
      </c>
      <c r="I453" s="7" t="n">
        <v>0</v>
      </c>
      <c r="J453" s="7" t="n">
        <v>0</v>
      </c>
      <c r="K453" s="9" t="n">
        <v>0</v>
      </c>
      <c r="L453" s="10" t="n">
        <v>11.8</v>
      </c>
      <c r="M453" s="10" t="n">
        <v>1.43</v>
      </c>
      <c r="N453" t="inlineStr">
        <is>
          <t>1</t>
        </is>
      </c>
      <c r="O453" t="inlineStr">
        <is>
          <t xml:space="preserve">2 </t>
        </is>
      </c>
      <c r="P453" t="inlineStr">
        <is>
          <t xml:space="preserve">71372   </t>
        </is>
      </c>
      <c r="Q453" s="26" t="n">
        <v>19.9</v>
      </c>
      <c r="R453" s="26">
        <f>Q453*G453</f>
        <v/>
      </c>
      <c r="S453" t="n">
        <v>11.81</v>
      </c>
      <c r="T453" s="18">
        <f>1 - V453/S453</f>
        <v/>
      </c>
      <c r="U453" s="18" t="n">
        <v>0.1005025125628141</v>
      </c>
      <c r="V453" s="26" t="n">
        <v>8.417118644067797</v>
      </c>
      <c r="W453" s="26">
        <f>V453 - L453</f>
        <v/>
      </c>
    </row>
    <row r="454">
      <c r="A454" s="11" t="n">
        <v>46208</v>
      </c>
      <c r="B454" s="1" t="n">
        <v>20024</v>
      </c>
      <c r="C454" s="1" t="inlineStr">
        <is>
          <t>032</t>
        </is>
      </c>
      <c r="D454" s="1" t="inlineStr">
        <is>
          <t>363991</t>
        </is>
      </c>
      <c r="E454" s="1" t="inlineStr">
        <is>
          <t xml:space="preserve">29625609       </t>
        </is>
      </c>
      <c r="F454" s="5" t="inlineStr">
        <is>
          <t>SUPER WINGS FIGURAS SUPERCARGADAS</t>
        </is>
      </c>
      <c r="G454" t="n">
        <v>1</v>
      </c>
      <c r="H454" s="7" t="n">
        <v>104.9</v>
      </c>
      <c r="I454" s="7" t="n">
        <v>0</v>
      </c>
      <c r="J454" s="7" t="n">
        <v>0</v>
      </c>
      <c r="K454" s="9" t="n">
        <v>0</v>
      </c>
      <c r="L454" s="10" t="n">
        <v>62.23</v>
      </c>
      <c r="M454" s="10" t="n">
        <v>1.43</v>
      </c>
      <c r="N454" t="inlineStr">
        <is>
          <t>1</t>
        </is>
      </c>
      <c r="O454" t="inlineStr">
        <is>
          <t>16</t>
        </is>
      </c>
      <c r="P454" t="inlineStr">
        <is>
          <t xml:space="preserve">23821   </t>
        </is>
      </c>
      <c r="Q454" s="26" t="n">
        <v>94.90000000000001</v>
      </c>
      <c r="R454" s="26">
        <f>Q454*G454</f>
        <v/>
      </c>
      <c r="S454" t="n">
        <v>56.3</v>
      </c>
      <c r="T454" s="18">
        <f>1 - V454/S454</f>
        <v/>
      </c>
      <c r="U454" s="18" t="n">
        <v>0.2999999999999999</v>
      </c>
      <c r="V454" s="26" t="n">
        <v>42.22338983050847</v>
      </c>
      <c r="W454" s="26">
        <f>V454 - L454</f>
        <v/>
      </c>
    </row>
    <row r="455">
      <c r="A455" s="11" t="n">
        <v>46208</v>
      </c>
      <c r="B455" s="1" t="n">
        <v>20024</v>
      </c>
      <c r="C455" s="1" t="inlineStr">
        <is>
          <t>032</t>
        </is>
      </c>
      <c r="D455" s="1" t="inlineStr">
        <is>
          <t>364044</t>
        </is>
      </c>
      <c r="E455" s="1" t="inlineStr">
        <is>
          <t xml:space="preserve">28194767       </t>
        </is>
      </c>
      <c r="F455" s="5" t="inlineStr">
        <is>
          <t>CAMIONES TEAMSTERZ DE EMERGENCIA</t>
        </is>
      </c>
      <c r="G455" t="n">
        <v>1</v>
      </c>
      <c r="H455" s="7" t="n">
        <v>17.9</v>
      </c>
      <c r="I455" s="7" t="n">
        <v>0</v>
      </c>
      <c r="J455" s="7" t="n">
        <v>0</v>
      </c>
      <c r="K455" s="9" t="n">
        <v>0</v>
      </c>
      <c r="L455" s="10" t="n">
        <v>10.62</v>
      </c>
      <c r="M455" s="10" t="n">
        <v>1.43</v>
      </c>
      <c r="N455" t="inlineStr">
        <is>
          <t>1</t>
        </is>
      </c>
      <c r="O455" t="inlineStr">
        <is>
          <t xml:space="preserve">2 </t>
        </is>
      </c>
      <c r="P455" t="inlineStr">
        <is>
          <t xml:space="preserve">246109  </t>
        </is>
      </c>
      <c r="Q455" s="26" t="n">
        <v>17.9</v>
      </c>
      <c r="R455" s="26">
        <f>Q455*G455</f>
        <v/>
      </c>
      <c r="S455" t="n">
        <v>10.62</v>
      </c>
      <c r="T455" s="18">
        <f>1 - V455/S455</f>
        <v/>
      </c>
      <c r="U455" s="18" t="n">
        <v>0</v>
      </c>
      <c r="V455" s="26" t="n">
        <v>10.62</v>
      </c>
      <c r="W455" s="26">
        <f>V455 - L455</f>
        <v/>
      </c>
    </row>
    <row r="456">
      <c r="A456" s="11" t="n">
        <v>46208</v>
      </c>
      <c r="B456" s="1" t="n">
        <v>20024</v>
      </c>
      <c r="C456" s="1" t="inlineStr">
        <is>
          <t>118</t>
        </is>
      </c>
      <c r="D456" s="1" t="inlineStr">
        <is>
          <t>254662</t>
        </is>
      </c>
      <c r="E456" s="1" t="inlineStr">
        <is>
          <t xml:space="preserve">31959961       </t>
        </is>
      </c>
      <c r="F456" s="5" t="inlineStr">
        <is>
          <t>TEAMSTERZ CAMBIA DE COLOR PACK DE 3 AUTOS</t>
        </is>
      </c>
      <c r="G456" t="n">
        <v>1</v>
      </c>
      <c r="H456" s="7" t="n">
        <v>49.9</v>
      </c>
      <c r="I456" s="7" t="n">
        <v>0</v>
      </c>
      <c r="J456" s="7" t="n">
        <v>0</v>
      </c>
      <c r="K456" s="9" t="n">
        <v>0</v>
      </c>
      <c r="L456" s="10" t="n">
        <v>29.6</v>
      </c>
      <c r="M456" s="10" t="n">
        <v>1.43</v>
      </c>
      <c r="N456" t="inlineStr">
        <is>
          <t>1</t>
        </is>
      </c>
      <c r="O456" t="inlineStr">
        <is>
          <t xml:space="preserve">2 </t>
        </is>
      </c>
      <c r="P456" t="inlineStr">
        <is>
          <t xml:space="preserve">251741  </t>
        </is>
      </c>
      <c r="Q456" s="26" t="n">
        <v>49.9</v>
      </c>
      <c r="R456" s="26">
        <f>Q456*G456</f>
        <v/>
      </c>
      <c r="S456" t="n">
        <v>29.6</v>
      </c>
      <c r="T456" s="18">
        <f>1 - V456/S456</f>
        <v/>
      </c>
      <c r="U456" s="18" t="n">
        <v>0</v>
      </c>
      <c r="V456" s="26" t="n">
        <v>29.6</v>
      </c>
      <c r="W456" s="26">
        <f>V456 - L456</f>
        <v/>
      </c>
    </row>
    <row r="457">
      <c r="A457" s="11" t="n">
        <v>46208</v>
      </c>
      <c r="B457" s="1" t="n">
        <v>20025</v>
      </c>
      <c r="C457" s="1" t="inlineStr">
        <is>
          <t>076</t>
        </is>
      </c>
      <c r="D457" s="1" t="inlineStr">
        <is>
          <t>146986</t>
        </is>
      </c>
      <c r="E457" s="1" t="inlineStr">
        <is>
          <t xml:space="preserve">28194770       </t>
        </is>
      </c>
      <c r="F457" s="5" t="inlineStr">
        <is>
          <t>AUTOS DE METAL 3 TEAMSTERZ EN BLISTER</t>
        </is>
      </c>
      <c r="G457" t="n">
        <v>1</v>
      </c>
      <c r="H457" s="7" t="n">
        <v>6.9</v>
      </c>
      <c r="I457" s="7" t="n">
        <v>0</v>
      </c>
      <c r="J457" s="7" t="n">
        <v>0</v>
      </c>
      <c r="K457" s="9" t="n">
        <v>0</v>
      </c>
      <c r="L457" s="10" t="n">
        <v>4.1</v>
      </c>
      <c r="M457" s="10" t="n">
        <v>1.43</v>
      </c>
      <c r="N457" t="inlineStr">
        <is>
          <t>1</t>
        </is>
      </c>
      <c r="O457" t="inlineStr">
        <is>
          <t xml:space="preserve">2 </t>
        </is>
      </c>
      <c r="P457" t="inlineStr">
        <is>
          <t xml:space="preserve">18871   </t>
        </is>
      </c>
      <c r="Q457" s="26" t="n">
        <v>6.9</v>
      </c>
      <c r="R457" s="26">
        <f>Q457*G457</f>
        <v/>
      </c>
      <c r="S457" t="n">
        <v>4.09</v>
      </c>
      <c r="T457" s="18">
        <f>1 - V457/S457</f>
        <v/>
      </c>
      <c r="U457" s="18" t="n">
        <v>0</v>
      </c>
      <c r="V457" s="26" t="n">
        <v>4.09</v>
      </c>
      <c r="W457" s="26">
        <f>V457 - L457</f>
        <v/>
      </c>
    </row>
    <row r="458">
      <c r="A458" s="11" t="n">
        <v>46208</v>
      </c>
      <c r="B458" s="1" t="n">
        <v>20025</v>
      </c>
      <c r="C458" s="1" t="inlineStr">
        <is>
          <t>076</t>
        </is>
      </c>
      <c r="D458" s="1" t="inlineStr">
        <is>
          <t>146986</t>
        </is>
      </c>
      <c r="E458" s="1" t="inlineStr">
        <is>
          <t xml:space="preserve">28194770       </t>
        </is>
      </c>
      <c r="F458" s="5" t="inlineStr">
        <is>
          <t>AUTOS DE METAL 3 TEAMSTERZ EN BLISTER</t>
        </is>
      </c>
      <c r="G458" t="n">
        <v>1</v>
      </c>
      <c r="H458" s="7" t="n">
        <v>6.9</v>
      </c>
      <c r="I458" s="7" t="n">
        <v>0</v>
      </c>
      <c r="J458" s="7" t="n">
        <v>0</v>
      </c>
      <c r="K458" s="9" t="n">
        <v>0</v>
      </c>
      <c r="L458" s="10" t="n">
        <v>4.1</v>
      </c>
      <c r="M458" s="10" t="n">
        <v>1.43</v>
      </c>
      <c r="N458" t="inlineStr">
        <is>
          <t>1</t>
        </is>
      </c>
      <c r="O458" t="inlineStr">
        <is>
          <t xml:space="preserve">2 </t>
        </is>
      </c>
      <c r="P458" t="inlineStr">
        <is>
          <t xml:space="preserve">18871   </t>
        </is>
      </c>
      <c r="Q458" s="26" t="n">
        <v>6.9</v>
      </c>
      <c r="R458" s="26">
        <f>Q458*G458</f>
        <v/>
      </c>
      <c r="S458" t="n">
        <v>4.09</v>
      </c>
      <c r="T458" s="18">
        <f>1 - V458/S458</f>
        <v/>
      </c>
      <c r="U458" s="18" t="n">
        <v>0</v>
      </c>
      <c r="V458" s="26" t="n">
        <v>4.09</v>
      </c>
      <c r="W458" s="26">
        <f>V458 - L458</f>
        <v/>
      </c>
    </row>
    <row r="459">
      <c r="A459" s="11" t="n">
        <v>46208</v>
      </c>
      <c r="B459" s="1" t="n">
        <v>20025</v>
      </c>
      <c r="C459" s="1" t="inlineStr">
        <is>
          <t>114</t>
        </is>
      </c>
      <c r="D459" s="1" t="inlineStr">
        <is>
          <t>118369</t>
        </is>
      </c>
      <c r="E459" s="1" t="inlineStr">
        <is>
          <t xml:space="preserve">29235708       </t>
        </is>
      </c>
      <c r="F459" s="5" t="inlineStr">
        <is>
          <t>TEAMSTERZ RESCATE POR AIRE Y MAR</t>
        </is>
      </c>
      <c r="G459" t="n">
        <v>1</v>
      </c>
      <c r="H459" s="7" t="n">
        <v>39.9</v>
      </c>
      <c r="I459" s="7" t="n">
        <v>0</v>
      </c>
      <c r="J459" s="7" t="n">
        <v>0</v>
      </c>
      <c r="K459" s="9" t="n">
        <v>0</v>
      </c>
      <c r="L459" s="10" t="n">
        <v>23.67</v>
      </c>
      <c r="M459" s="10" t="n">
        <v>1.43</v>
      </c>
      <c r="N459" t="inlineStr">
        <is>
          <t>1</t>
        </is>
      </c>
      <c r="O459" t="inlineStr">
        <is>
          <t>16</t>
        </is>
      </c>
      <c r="P459" t="inlineStr">
        <is>
          <t xml:space="preserve">250254  </t>
        </is>
      </c>
      <c r="Q459" s="26" t="n">
        <v>39.9</v>
      </c>
      <c r="R459" s="26">
        <f>Q459*G459</f>
        <v/>
      </c>
      <c r="S459" t="n">
        <v>23.67</v>
      </c>
      <c r="T459" s="18">
        <f>1 - V459/S459</f>
        <v/>
      </c>
      <c r="U459" s="18" t="n">
        <v>0</v>
      </c>
      <c r="V459" s="26" t="n">
        <v>23.67</v>
      </c>
      <c r="W459" s="26">
        <f>V459 - L459</f>
        <v/>
      </c>
    </row>
    <row r="460">
      <c r="A460" s="11" t="n">
        <v>46208</v>
      </c>
      <c r="B460" s="1" t="n">
        <v>20028</v>
      </c>
      <c r="C460" s="1" t="inlineStr">
        <is>
          <t>021</t>
        </is>
      </c>
      <c r="D460" s="1" t="inlineStr">
        <is>
          <t>185704</t>
        </is>
      </c>
      <c r="E460" s="1" t="inlineStr">
        <is>
          <t xml:space="preserve">28194770       </t>
        </is>
      </c>
      <c r="F460" s="5" t="inlineStr">
        <is>
          <t>AUTOS DE METAL 3 TEAMSTERZ EN BLISTER</t>
        </is>
      </c>
      <c r="G460" t="n">
        <v>1</v>
      </c>
      <c r="H460" s="7" t="n">
        <v>6.9</v>
      </c>
      <c r="I460" s="7" t="n">
        <v>0</v>
      </c>
      <c r="J460" s="7" t="n">
        <v>0</v>
      </c>
      <c r="K460" s="9" t="n">
        <v>0</v>
      </c>
      <c r="L460" s="10" t="n">
        <v>4.1</v>
      </c>
      <c r="M460" s="10" t="n">
        <v>1.43</v>
      </c>
      <c r="N460" t="inlineStr">
        <is>
          <t>1</t>
        </is>
      </c>
      <c r="O460" t="inlineStr">
        <is>
          <t xml:space="preserve">2 </t>
        </is>
      </c>
      <c r="P460" t="inlineStr">
        <is>
          <t xml:space="preserve">35540   </t>
        </is>
      </c>
      <c r="Q460" s="26" t="n">
        <v>6.9</v>
      </c>
      <c r="R460" s="26">
        <f>Q460*G460</f>
        <v/>
      </c>
      <c r="S460" t="n">
        <v>4.09</v>
      </c>
      <c r="T460" s="18">
        <f>1 - V460/S460</f>
        <v/>
      </c>
      <c r="U460" s="18" t="n">
        <v>0</v>
      </c>
      <c r="V460" s="26" t="n">
        <v>4.09</v>
      </c>
      <c r="W460" s="26">
        <f>V460 - L460</f>
        <v/>
      </c>
    </row>
    <row r="461">
      <c r="A461" s="11" t="n">
        <v>46208</v>
      </c>
      <c r="B461" s="1" t="n">
        <v>20028</v>
      </c>
      <c r="C461" s="1" t="inlineStr">
        <is>
          <t>021</t>
        </is>
      </c>
      <c r="D461" s="1" t="inlineStr">
        <is>
          <t>185704</t>
        </is>
      </c>
      <c r="E461" s="1" t="inlineStr">
        <is>
          <t xml:space="preserve">28194770       </t>
        </is>
      </c>
      <c r="F461" s="5" t="inlineStr">
        <is>
          <t>AUTOS DE METAL 3 TEAMSTERZ EN BLISTER</t>
        </is>
      </c>
      <c r="G461" t="n">
        <v>1</v>
      </c>
      <c r="H461" s="7" t="n">
        <v>6.9</v>
      </c>
      <c r="I461" s="7" t="n">
        <v>0</v>
      </c>
      <c r="J461" s="7" t="n">
        <v>0</v>
      </c>
      <c r="K461" s="9" t="n">
        <v>0</v>
      </c>
      <c r="L461" s="10" t="n">
        <v>4.1</v>
      </c>
      <c r="M461" s="10" t="n">
        <v>1.43</v>
      </c>
      <c r="N461" t="inlineStr">
        <is>
          <t>1</t>
        </is>
      </c>
      <c r="O461" t="inlineStr">
        <is>
          <t xml:space="preserve">2 </t>
        </is>
      </c>
      <c r="P461" t="inlineStr">
        <is>
          <t xml:space="preserve">35540   </t>
        </is>
      </c>
      <c r="Q461" s="26" t="n">
        <v>6.9</v>
      </c>
      <c r="R461" s="26">
        <f>Q461*G461</f>
        <v/>
      </c>
      <c r="S461" t="n">
        <v>4.09</v>
      </c>
      <c r="T461" s="18">
        <f>1 - V461/S461</f>
        <v/>
      </c>
      <c r="U461" s="18" t="n">
        <v>0</v>
      </c>
      <c r="V461" s="26" t="n">
        <v>4.09</v>
      </c>
      <c r="W461" s="26">
        <f>V461 - L461</f>
        <v/>
      </c>
    </row>
    <row r="462">
      <c r="A462" s="11" t="n">
        <v>46208</v>
      </c>
      <c r="B462" s="1" t="n">
        <v>20028</v>
      </c>
      <c r="C462" s="1" t="inlineStr">
        <is>
          <t>021</t>
        </is>
      </c>
      <c r="D462" s="1" t="inlineStr">
        <is>
          <t>185704</t>
        </is>
      </c>
      <c r="E462" s="1" t="inlineStr">
        <is>
          <t xml:space="preserve">30141766       </t>
        </is>
      </c>
      <c r="F462" s="5" t="inlineStr">
        <is>
          <t>TMZ BEAST MACHINES AUTOS DE METAL BLISTER X 1</t>
        </is>
      </c>
      <c r="G462" t="n">
        <v>1</v>
      </c>
      <c r="H462" s="7" t="n">
        <v>7.9</v>
      </c>
      <c r="I462" s="7" t="n">
        <v>0</v>
      </c>
      <c r="J462" s="7" t="n">
        <v>0</v>
      </c>
      <c r="K462" s="9" t="n">
        <v>0</v>
      </c>
      <c r="L462" s="10" t="n">
        <v>4.68</v>
      </c>
      <c r="M462" s="10" t="n">
        <v>1.43</v>
      </c>
      <c r="N462" t="inlineStr">
        <is>
          <t>1</t>
        </is>
      </c>
      <c r="O462" t="inlineStr">
        <is>
          <t xml:space="preserve">2 </t>
        </is>
      </c>
      <c r="P462" t="inlineStr">
        <is>
          <t xml:space="preserve">35540   </t>
        </is>
      </c>
      <c r="Q462" s="26" t="n">
        <v>7.9</v>
      </c>
      <c r="R462" s="26">
        <f>Q462*G462</f>
        <v/>
      </c>
      <c r="S462" t="n">
        <v>4.69</v>
      </c>
      <c r="T462" s="18">
        <f>1 - V462/S462</f>
        <v/>
      </c>
      <c r="U462" s="18" t="n">
        <v>0</v>
      </c>
      <c r="V462" s="26" t="n">
        <v>4.69</v>
      </c>
      <c r="W462" s="26">
        <f>V462 - L462</f>
        <v/>
      </c>
    </row>
    <row r="463">
      <c r="A463" s="11" t="n">
        <v>46208</v>
      </c>
      <c r="B463" s="1" t="n">
        <v>20028</v>
      </c>
      <c r="C463" s="1" t="inlineStr">
        <is>
          <t>088</t>
        </is>
      </c>
      <c r="D463" s="1" t="inlineStr">
        <is>
          <t>340272</t>
        </is>
      </c>
      <c r="E463" s="1" t="inlineStr">
        <is>
          <t xml:space="preserve">34840552       </t>
        </is>
      </c>
      <c r="F463" s="5" t="inlineStr">
        <is>
          <t>TMZ HELI POLICIA CON LUCES Y SONIDOS</t>
        </is>
      </c>
      <c r="G463" t="n">
        <v>1</v>
      </c>
      <c r="H463" s="7" t="n">
        <v>79.90000000000001</v>
      </c>
      <c r="I463" s="7" t="n">
        <v>0</v>
      </c>
      <c r="J463" s="7" t="n">
        <v>0</v>
      </c>
      <c r="K463" s="9" t="n">
        <v>0</v>
      </c>
      <c r="L463" s="10" t="n">
        <v>47.4</v>
      </c>
      <c r="M463" s="10" t="n">
        <v>1.43</v>
      </c>
      <c r="N463" t="inlineStr">
        <is>
          <t>1</t>
        </is>
      </c>
      <c r="O463" t="inlineStr">
        <is>
          <t>16</t>
        </is>
      </c>
      <c r="P463" t="inlineStr">
        <is>
          <t xml:space="preserve">31171   </t>
        </is>
      </c>
      <c r="Q463" s="26" t="n">
        <v>79.90000000000002</v>
      </c>
      <c r="R463" s="26">
        <f>Q463*G463</f>
        <v/>
      </c>
      <c r="S463" t="n">
        <v>47.4</v>
      </c>
      <c r="T463" s="18">
        <f>1 - V463/S463</f>
        <v/>
      </c>
      <c r="U463" s="18" t="n">
        <v>0</v>
      </c>
      <c r="V463" s="26" t="n">
        <v>47.4</v>
      </c>
      <c r="W463" s="26">
        <f>V463 - L463</f>
        <v/>
      </c>
    </row>
    <row r="464">
      <c r="A464" s="11" t="n">
        <v>46208</v>
      </c>
      <c r="B464" s="1" t="n">
        <v>20028</v>
      </c>
      <c r="C464" s="1" t="inlineStr">
        <is>
          <t>088</t>
        </is>
      </c>
      <c r="D464" s="1" t="inlineStr">
        <is>
          <t xml:space="preserve">3953  </t>
        </is>
      </c>
      <c r="E464" s="1" t="inlineStr">
        <is>
          <t xml:space="preserve">31675353       </t>
        </is>
      </c>
      <c r="F464" s="5" t="inlineStr">
        <is>
          <t>NENUCO CON BIBERON Y SONAJERO</t>
        </is>
      </c>
      <c r="G464" t="n">
        <v>1</v>
      </c>
      <c r="H464" s="7" t="n">
        <v>79.90000000000001</v>
      </c>
      <c r="I464" s="7" t="n">
        <v>0</v>
      </c>
      <c r="J464" s="7" t="n">
        <v>0</v>
      </c>
      <c r="K464" s="9" t="n">
        <v>0</v>
      </c>
      <c r="L464" s="10" t="n">
        <v>47.4</v>
      </c>
      <c r="M464" s="10" t="n">
        <v>1.43</v>
      </c>
      <c r="N464" t="inlineStr">
        <is>
          <t>1</t>
        </is>
      </c>
      <c r="O464" t="inlineStr">
        <is>
          <t xml:space="preserve">3 </t>
        </is>
      </c>
      <c r="P464" t="inlineStr">
        <is>
          <t xml:space="preserve">23741   </t>
        </is>
      </c>
      <c r="Q464" s="26" t="n">
        <v>79.90000000000001</v>
      </c>
      <c r="R464" s="26">
        <f>Q464*G464</f>
        <v/>
      </c>
      <c r="S464" t="n">
        <v>47.4</v>
      </c>
      <c r="T464" s="18">
        <f>1 - V464/S464</f>
        <v/>
      </c>
      <c r="U464" s="18" t="n">
        <v>0.2503128911138924</v>
      </c>
      <c r="V464" s="26" t="n">
        <v>38.07203389830509</v>
      </c>
      <c r="W464" s="26">
        <f>V464 - L464</f>
        <v/>
      </c>
    </row>
    <row r="465">
      <c r="A465" s="11" t="n">
        <v>46208</v>
      </c>
      <c r="B465" s="1" t="n">
        <v>20028</v>
      </c>
      <c r="C465" s="1" t="inlineStr">
        <is>
          <t>121</t>
        </is>
      </c>
      <c r="D465" s="1" t="inlineStr">
        <is>
          <t xml:space="preserve">905   </t>
        </is>
      </c>
      <c r="E465" s="1" t="inlineStr">
        <is>
          <t xml:space="preserve">30141780       </t>
        </is>
      </c>
      <c r="F465" s="5" t="inlineStr">
        <is>
          <t>RELOJ DIGITAL PEPPA PIG</t>
        </is>
      </c>
      <c r="G465" t="n">
        <v>1</v>
      </c>
      <c r="H465" s="7" t="n">
        <v>18.9</v>
      </c>
      <c r="I465" s="7" t="n">
        <v>0</v>
      </c>
      <c r="J465" s="7" t="n">
        <v>0</v>
      </c>
      <c r="K465" s="9" t="n">
        <v>0</v>
      </c>
      <c r="L465" s="10" t="n">
        <v>11.21</v>
      </c>
      <c r="M465" s="10" t="n">
        <v>1.43</v>
      </c>
      <c r="N465" t="inlineStr">
        <is>
          <t>1</t>
        </is>
      </c>
      <c r="O465" t="inlineStr">
        <is>
          <t>16</t>
        </is>
      </c>
      <c r="P465" t="inlineStr">
        <is>
          <t xml:space="preserve">54001   </t>
        </is>
      </c>
      <c r="Q465" s="26" t="n">
        <v>18.9</v>
      </c>
      <c r="R465" s="26">
        <f>Q465*G465</f>
        <v/>
      </c>
      <c r="S465" t="n">
        <v>11.21</v>
      </c>
      <c r="T465" s="18">
        <f>1 - V465/S465</f>
        <v/>
      </c>
      <c r="U465" s="18" t="n">
        <v>0</v>
      </c>
      <c r="V465" s="26" t="n">
        <v>11.21</v>
      </c>
      <c r="W465" s="26">
        <f>V465 - L465</f>
        <v/>
      </c>
    </row>
    <row r="466">
      <c r="A466" s="11" t="n">
        <v>46208</v>
      </c>
      <c r="B466" s="1" t="n">
        <v>20030</v>
      </c>
      <c r="C466" s="1" t="inlineStr">
        <is>
          <t>039</t>
        </is>
      </c>
      <c r="D466" s="1" t="inlineStr">
        <is>
          <t>293176</t>
        </is>
      </c>
      <c r="E466" s="1" t="inlineStr">
        <is>
          <t xml:space="preserve">33661538       </t>
        </is>
      </c>
      <c r="F466" s="5" t="inlineStr">
        <is>
          <t>HOT WHEELS CASE GARAGE RUEDA METAL EN LLAMAS X 29</t>
        </is>
      </c>
      <c r="G466" t="n">
        <v>1</v>
      </c>
      <c r="H466" s="7" t="n">
        <v>69.90000000000001</v>
      </c>
      <c r="I466" s="7" t="n">
        <v>0</v>
      </c>
      <c r="J466" s="7" t="n">
        <v>0</v>
      </c>
      <c r="K466" s="9" t="n">
        <v>0</v>
      </c>
      <c r="L466" s="10" t="n">
        <v>41.47</v>
      </c>
      <c r="M466" s="10" t="n">
        <v>1.43</v>
      </c>
      <c r="N466" t="inlineStr">
        <is>
          <t>1</t>
        </is>
      </c>
      <c r="O466" t="inlineStr">
        <is>
          <t xml:space="preserve">2 </t>
        </is>
      </c>
      <c r="P466" t="inlineStr">
        <is>
          <t xml:space="preserve">18149   </t>
        </is>
      </c>
      <c r="Q466" s="26" t="n">
        <v>69.90000000000001</v>
      </c>
      <c r="R466" s="26">
        <f>Q466*G466</f>
        <v/>
      </c>
      <c r="S466" t="n">
        <v>41.47</v>
      </c>
      <c r="T466" s="18">
        <f>1 - V466/S466</f>
        <v/>
      </c>
      <c r="U466" s="18" t="n">
        <v>0</v>
      </c>
      <c r="V466" s="26" t="n">
        <v>41.47</v>
      </c>
      <c r="W466" s="26">
        <f>V466 - L466</f>
        <v/>
      </c>
    </row>
    <row r="467">
      <c r="A467" s="11" t="n">
        <v>46208</v>
      </c>
      <c r="B467" s="1" t="n">
        <v>20030</v>
      </c>
      <c r="C467" s="1" t="inlineStr">
        <is>
          <t>056</t>
        </is>
      </c>
      <c r="D467" s="1" t="inlineStr">
        <is>
          <t>210461</t>
        </is>
      </c>
      <c r="E467" s="1" t="inlineStr">
        <is>
          <t xml:space="preserve">32457111       </t>
        </is>
      </c>
      <c r="F467" s="5" t="inlineStr">
        <is>
          <t>TMZ BEAST MACHINES MONSTER JAWS A FRICCION PACK DE</t>
        </is>
      </c>
      <c r="G467" t="n">
        <v>1</v>
      </c>
      <c r="H467" s="7" t="n">
        <v>74.90000000000001</v>
      </c>
      <c r="I467" s="7" t="n">
        <v>0</v>
      </c>
      <c r="J467" s="7" t="n">
        <v>0</v>
      </c>
      <c r="K467" s="9" t="n">
        <v>0</v>
      </c>
      <c r="L467" s="10" t="n">
        <v>44.43</v>
      </c>
      <c r="M467" s="10" t="n">
        <v>1.43</v>
      </c>
      <c r="N467" t="inlineStr">
        <is>
          <t>1</t>
        </is>
      </c>
      <c r="O467" t="inlineStr">
        <is>
          <t>16</t>
        </is>
      </c>
      <c r="P467" t="inlineStr">
        <is>
          <t xml:space="preserve">47736   </t>
        </is>
      </c>
      <c r="Q467" s="26" t="n">
        <v>74.90000000000001</v>
      </c>
      <c r="R467" s="26">
        <f>Q467*G467</f>
        <v/>
      </c>
      <c r="S467" t="n">
        <v>44.43</v>
      </c>
      <c r="T467" s="18">
        <f>1 - V467/S467</f>
        <v/>
      </c>
      <c r="U467" s="18" t="n">
        <v>0.2670226969292391</v>
      </c>
      <c r="V467" s="26" t="n">
        <v>31.92406779661017</v>
      </c>
      <c r="W467" s="26">
        <f>V467 - L467</f>
        <v/>
      </c>
    </row>
    <row r="468">
      <c r="A468" s="11" t="n">
        <v>46208</v>
      </c>
      <c r="B468" s="1" t="n">
        <v>20030</v>
      </c>
      <c r="C468" s="1" t="inlineStr">
        <is>
          <t>067</t>
        </is>
      </c>
      <c r="D468" s="1" t="inlineStr">
        <is>
          <t>273405</t>
        </is>
      </c>
      <c r="E468" s="1" t="inlineStr">
        <is>
          <t xml:space="preserve">28194769       </t>
        </is>
      </c>
      <c r="F468" s="5" t="inlineStr">
        <is>
          <t>AUTOS DE METAL 3 TEAMSTERZ PACK DE 2</t>
        </is>
      </c>
      <c r="G468" t="n">
        <v>1</v>
      </c>
      <c r="H468" s="7" t="n">
        <v>13.8</v>
      </c>
      <c r="I468" s="7" t="n">
        <v>0</v>
      </c>
      <c r="J468" s="7" t="n">
        <v>0</v>
      </c>
      <c r="K468" s="9" t="n">
        <v>0</v>
      </c>
      <c r="L468" s="10" t="n">
        <v>8.18</v>
      </c>
      <c r="M468" s="10" t="n">
        <v>1.43</v>
      </c>
      <c r="N468" t="inlineStr">
        <is>
          <t>1</t>
        </is>
      </c>
      <c r="O468" t="inlineStr">
        <is>
          <t xml:space="preserve">3 </t>
        </is>
      </c>
      <c r="P468" t="inlineStr">
        <is>
          <t xml:space="preserve">47899   </t>
        </is>
      </c>
      <c r="Q468" s="26" t="n">
        <v>13.8</v>
      </c>
      <c r="R468" s="26">
        <f>Q468*G468</f>
        <v/>
      </c>
      <c r="S468" t="n">
        <v>8.19</v>
      </c>
      <c r="T468" s="18">
        <f>1 - V468/S468</f>
        <v/>
      </c>
      <c r="U468" s="18" t="n">
        <v>0</v>
      </c>
      <c r="V468" s="26" t="n">
        <v>8.19</v>
      </c>
      <c r="W468" s="26">
        <f>V468 - L468</f>
        <v/>
      </c>
    </row>
    <row r="469">
      <c r="A469" s="11" t="n">
        <v>46208</v>
      </c>
      <c r="B469" s="1" t="n">
        <v>20030</v>
      </c>
      <c r="C469" s="1" t="inlineStr">
        <is>
          <t>067</t>
        </is>
      </c>
      <c r="D469" s="1" t="inlineStr">
        <is>
          <t>273439</t>
        </is>
      </c>
      <c r="E469" s="1" t="inlineStr">
        <is>
          <t xml:space="preserve">31959961       </t>
        </is>
      </c>
      <c r="F469" s="5" t="inlineStr">
        <is>
          <t>TEAMSTERZ CAMBIA DE COLOR PACK DE 3 AUTOS</t>
        </is>
      </c>
      <c r="G469" t="n">
        <v>1</v>
      </c>
      <c r="H469" s="7" t="n">
        <v>49.9</v>
      </c>
      <c r="I469" s="7" t="n">
        <v>0</v>
      </c>
      <c r="J469" s="7" t="n">
        <v>0</v>
      </c>
      <c r="K469" s="9" t="n">
        <v>0</v>
      </c>
      <c r="L469" s="10" t="n">
        <v>29.6</v>
      </c>
      <c r="M469" s="10" t="n">
        <v>1.43</v>
      </c>
      <c r="N469" t="inlineStr">
        <is>
          <t>1</t>
        </is>
      </c>
      <c r="O469" t="inlineStr">
        <is>
          <t xml:space="preserve">3 </t>
        </is>
      </c>
      <c r="P469" t="inlineStr">
        <is>
          <t xml:space="preserve">47899   </t>
        </is>
      </c>
      <c r="Q469" s="26" t="n">
        <v>49.9</v>
      </c>
      <c r="R469" s="26">
        <f>Q469*G469</f>
        <v/>
      </c>
      <c r="S469" t="n">
        <v>29.6</v>
      </c>
      <c r="T469" s="18">
        <f>1 - V469/S469</f>
        <v/>
      </c>
      <c r="U469" s="18" t="n">
        <v>0</v>
      </c>
      <c r="V469" s="26" t="n">
        <v>29.6</v>
      </c>
      <c r="W469" s="26">
        <f>V469 - L469</f>
        <v/>
      </c>
    </row>
    <row r="470">
      <c r="A470" s="11" t="n">
        <v>46208</v>
      </c>
      <c r="B470" s="1" t="n">
        <v>20040</v>
      </c>
      <c r="C470" s="1" t="inlineStr">
        <is>
          <t>031</t>
        </is>
      </c>
      <c r="D470" s="1" t="inlineStr">
        <is>
          <t xml:space="preserve">36478 </t>
        </is>
      </c>
      <c r="E470" s="1" t="inlineStr">
        <is>
          <t xml:space="preserve">32457096       </t>
        </is>
      </c>
      <c r="F470" s="5" t="inlineStr">
        <is>
          <t>PINYPON AUTO DEPORT / SCOOTER + FIGURA SURT</t>
        </is>
      </c>
      <c r="G470" t="n">
        <v>1</v>
      </c>
      <c r="H470" s="7" t="n">
        <v>69.90000000000001</v>
      </c>
      <c r="I470" s="7" t="n">
        <v>0</v>
      </c>
      <c r="J470" s="7" t="n">
        <v>0</v>
      </c>
      <c r="K470" s="9" t="n">
        <v>0</v>
      </c>
      <c r="L470" s="10" t="n">
        <v>41.47</v>
      </c>
      <c r="M470" s="10" t="n">
        <v>1.43</v>
      </c>
      <c r="N470" t="inlineStr">
        <is>
          <t>1</t>
        </is>
      </c>
      <c r="O470" t="inlineStr">
        <is>
          <t>16</t>
        </is>
      </c>
      <c r="P470" t="inlineStr">
        <is>
          <t xml:space="preserve">242658  </t>
        </is>
      </c>
      <c r="Q470" s="26" t="n">
        <v>69.90000000000001</v>
      </c>
      <c r="R470" s="26">
        <f>Q470*G470</f>
        <v/>
      </c>
      <c r="S470" t="n">
        <v>41.47</v>
      </c>
      <c r="T470" s="18">
        <f>1 - V470/S470</f>
        <v/>
      </c>
      <c r="U470" s="18" t="n">
        <v>0.4000000000000001</v>
      </c>
      <c r="V470" s="26" t="n">
        <v>28.43389830508475</v>
      </c>
      <c r="W470" s="26">
        <f>V470 - L470</f>
        <v/>
      </c>
    </row>
    <row r="471">
      <c r="A471" s="11" t="n">
        <v>46208</v>
      </c>
      <c r="B471" s="1" t="n">
        <v>20040</v>
      </c>
      <c r="C471" s="1" t="inlineStr">
        <is>
          <t>072</t>
        </is>
      </c>
      <c r="D471" s="1" t="inlineStr">
        <is>
          <t>251092</t>
        </is>
      </c>
      <c r="E471" s="1" t="inlineStr">
        <is>
          <t xml:space="preserve">32457099       </t>
        </is>
      </c>
      <c r="F471" s="5" t="inlineStr">
        <is>
          <t>TMZ BEAST MACHINES MONSTER JAWS A FRICCION BLISTER</t>
        </is>
      </c>
      <c r="G471" t="n">
        <v>1</v>
      </c>
      <c r="H471" s="7" t="n">
        <v>19.9</v>
      </c>
      <c r="I471" s="7" t="n">
        <v>0</v>
      </c>
      <c r="J471" s="7" t="n">
        <v>0</v>
      </c>
      <c r="K471" s="9" t="n">
        <v>0</v>
      </c>
      <c r="L471" s="10" t="n">
        <v>11.8</v>
      </c>
      <c r="M471" s="10" t="n">
        <v>1.43</v>
      </c>
      <c r="N471" t="inlineStr">
        <is>
          <t>1</t>
        </is>
      </c>
      <c r="O471" t="inlineStr">
        <is>
          <t xml:space="preserve">3 </t>
        </is>
      </c>
      <c r="P471" t="inlineStr">
        <is>
          <t xml:space="preserve">61602   </t>
        </is>
      </c>
      <c r="Q471" s="26" t="n">
        <v>19.9</v>
      </c>
      <c r="R471" s="26">
        <f>Q471*G471</f>
        <v/>
      </c>
      <c r="S471" t="n">
        <v>11.81</v>
      </c>
      <c r="T471" s="18">
        <f>1 - V471/S471</f>
        <v/>
      </c>
      <c r="U471" s="18" t="n">
        <v>0.1005025125628141</v>
      </c>
      <c r="V471" s="26" t="n">
        <v>8.417118644067797</v>
      </c>
      <c r="W471" s="26">
        <f>V471 - L471</f>
        <v/>
      </c>
    </row>
    <row r="472">
      <c r="A472" s="11" t="n">
        <v>46208</v>
      </c>
      <c r="B472" s="1" t="n">
        <v>20040</v>
      </c>
      <c r="C472" s="1" t="inlineStr">
        <is>
          <t>072</t>
        </is>
      </c>
      <c r="D472" s="1" t="inlineStr">
        <is>
          <t>251111</t>
        </is>
      </c>
      <c r="E472" s="1" t="inlineStr">
        <is>
          <t xml:space="preserve">28194768       </t>
        </is>
      </c>
      <c r="F472" s="5" t="inlineStr">
        <is>
          <t>AUTO COLOR CHANGE TEAMSTERZ SURTIDO</t>
        </is>
      </c>
      <c r="G472" t="n">
        <v>1</v>
      </c>
      <c r="H472" s="7" t="n">
        <v>14.9</v>
      </c>
      <c r="I472" s="7" t="n">
        <v>0</v>
      </c>
      <c r="J472" s="7" t="n">
        <v>0</v>
      </c>
      <c r="K472" s="9" t="n">
        <v>0</v>
      </c>
      <c r="L472" s="10" t="n">
        <v>8.84</v>
      </c>
      <c r="M472" s="10" t="n">
        <v>1.43</v>
      </c>
      <c r="N472" t="inlineStr">
        <is>
          <t>1</t>
        </is>
      </c>
      <c r="O472" t="inlineStr">
        <is>
          <t xml:space="preserve">2 </t>
        </is>
      </c>
      <c r="P472" t="inlineStr">
        <is>
          <t xml:space="preserve">61602   </t>
        </is>
      </c>
      <c r="Q472" s="26" t="n">
        <v>14.9</v>
      </c>
      <c r="R472" s="26">
        <f>Q472*G472</f>
        <v/>
      </c>
      <c r="S472" t="n">
        <v>8.84</v>
      </c>
      <c r="T472" s="18">
        <f>1 - V472/S472</f>
        <v/>
      </c>
      <c r="U472" s="18" t="n">
        <v>0</v>
      </c>
      <c r="V472" s="26" t="n">
        <v>8.84</v>
      </c>
      <c r="W472" s="26">
        <f>V472 - L472</f>
        <v/>
      </c>
    </row>
    <row r="473">
      <c r="A473" s="11" t="n">
        <v>46208</v>
      </c>
      <c r="B473" s="1" t="n">
        <v>20040</v>
      </c>
      <c r="C473" s="1" t="inlineStr">
        <is>
          <t>073</t>
        </is>
      </c>
      <c r="D473" s="1" t="inlineStr">
        <is>
          <t>254128</t>
        </is>
      </c>
      <c r="E473" s="1" t="inlineStr">
        <is>
          <t xml:space="preserve">28194769       </t>
        </is>
      </c>
      <c r="F473" s="5" t="inlineStr">
        <is>
          <t>AUTOS DE METAL 3 TEAMSTERZ PACK DE 2</t>
        </is>
      </c>
      <c r="G473" t="n">
        <v>1</v>
      </c>
      <c r="H473" s="7" t="n">
        <v>13.8</v>
      </c>
      <c r="I473" s="7" t="n">
        <v>0</v>
      </c>
      <c r="J473" s="7" t="n">
        <v>0</v>
      </c>
      <c r="K473" s="9" t="n">
        <v>0</v>
      </c>
      <c r="L473" s="10" t="n">
        <v>8.18</v>
      </c>
      <c r="M473" s="10" t="n">
        <v>1.43</v>
      </c>
      <c r="N473" t="inlineStr">
        <is>
          <t>1</t>
        </is>
      </c>
      <c r="O473" t="inlineStr">
        <is>
          <t xml:space="preserve">3 </t>
        </is>
      </c>
      <c r="P473" t="inlineStr">
        <is>
          <t xml:space="preserve">52786   </t>
        </is>
      </c>
      <c r="Q473" s="26" t="n">
        <v>13.8</v>
      </c>
      <c r="R473" s="26">
        <f>Q473*G473</f>
        <v/>
      </c>
      <c r="S473" t="n">
        <v>8.19</v>
      </c>
      <c r="T473" s="18">
        <f>1 - V473/S473</f>
        <v/>
      </c>
      <c r="U473" s="18" t="n">
        <v>0</v>
      </c>
      <c r="V473" s="26" t="n">
        <v>8.19</v>
      </c>
      <c r="W473" s="26">
        <f>V473 - L473</f>
        <v/>
      </c>
    </row>
    <row r="474">
      <c r="A474" s="11" t="n">
        <v>46208</v>
      </c>
      <c r="B474" s="1" t="n">
        <v>20040</v>
      </c>
      <c r="C474" s="1" t="inlineStr">
        <is>
          <t>073</t>
        </is>
      </c>
      <c r="D474" s="1" t="inlineStr">
        <is>
          <t>254128</t>
        </is>
      </c>
      <c r="E474" s="1" t="inlineStr">
        <is>
          <t xml:space="preserve">28194769       </t>
        </is>
      </c>
      <c r="F474" s="5" t="inlineStr">
        <is>
          <t>AUTOS DE METAL 3 TEAMSTERZ PACK DE 2</t>
        </is>
      </c>
      <c r="G474" t="n">
        <v>1</v>
      </c>
      <c r="H474" s="7" t="n">
        <v>13.8</v>
      </c>
      <c r="I474" s="7" t="n">
        <v>0</v>
      </c>
      <c r="J474" s="7" t="n">
        <v>0</v>
      </c>
      <c r="K474" s="9" t="n">
        <v>0</v>
      </c>
      <c r="L474" s="10" t="n">
        <v>8.18</v>
      </c>
      <c r="M474" s="10" t="n">
        <v>1.43</v>
      </c>
      <c r="N474" t="inlineStr">
        <is>
          <t>1</t>
        </is>
      </c>
      <c r="O474" t="inlineStr">
        <is>
          <t xml:space="preserve">3 </t>
        </is>
      </c>
      <c r="P474" t="inlineStr">
        <is>
          <t xml:space="preserve">52786   </t>
        </is>
      </c>
      <c r="Q474" s="26" t="n">
        <v>13.8</v>
      </c>
      <c r="R474" s="26">
        <f>Q474*G474</f>
        <v/>
      </c>
      <c r="S474" t="n">
        <v>8.19</v>
      </c>
      <c r="T474" s="18">
        <f>1 - V474/S474</f>
        <v/>
      </c>
      <c r="U474" s="18" t="n">
        <v>0</v>
      </c>
      <c r="V474" s="26" t="n">
        <v>8.19</v>
      </c>
      <c r="W474" s="26">
        <f>V474 - L474</f>
        <v/>
      </c>
    </row>
    <row r="475">
      <c r="A475" s="11" t="n">
        <v>46208</v>
      </c>
      <c r="B475" s="1" t="n">
        <v>20040</v>
      </c>
      <c r="C475" s="1" t="inlineStr">
        <is>
          <t>073</t>
        </is>
      </c>
      <c r="D475" s="1" t="inlineStr">
        <is>
          <t>254128</t>
        </is>
      </c>
      <c r="E475" s="1" t="inlineStr">
        <is>
          <t xml:space="preserve">29235700       </t>
        </is>
      </c>
      <c r="F475" s="5" t="inlineStr">
        <is>
          <t>HOT WHEELS CASE METALICO PARA GUARDAR 18 CARRITOS</t>
        </is>
      </c>
      <c r="G475" t="n">
        <v>1</v>
      </c>
      <c r="H475" s="7" t="n">
        <v>49.9</v>
      </c>
      <c r="I475" s="7" t="n">
        <v>0</v>
      </c>
      <c r="J475" s="7" t="n">
        <v>0</v>
      </c>
      <c r="K475" s="9" t="n">
        <v>0</v>
      </c>
      <c r="L475" s="10" t="n">
        <v>29.6</v>
      </c>
      <c r="M475" s="10" t="n">
        <v>1.43</v>
      </c>
      <c r="N475" t="inlineStr">
        <is>
          <t>1</t>
        </is>
      </c>
      <c r="O475" t="inlineStr">
        <is>
          <t xml:space="preserve">3 </t>
        </is>
      </c>
      <c r="P475" t="inlineStr">
        <is>
          <t xml:space="preserve">52786   </t>
        </is>
      </c>
      <c r="Q475" s="26" t="n">
        <v>49.90000000000001</v>
      </c>
      <c r="R475" s="26">
        <f>Q475*G475</f>
        <v/>
      </c>
      <c r="S475" t="n">
        <v>29.6</v>
      </c>
      <c r="T475" s="18">
        <f>1 - V475/S475</f>
        <v/>
      </c>
      <c r="U475" s="18" t="n">
        <v>0</v>
      </c>
      <c r="V475" s="26" t="n">
        <v>29.6</v>
      </c>
      <c r="W475" s="26">
        <f>V475 - L475</f>
        <v/>
      </c>
    </row>
    <row r="476">
      <c r="A476" s="11" t="n">
        <v>46208</v>
      </c>
      <c r="B476" s="1" t="n">
        <v>20040</v>
      </c>
      <c r="C476" s="1" t="inlineStr">
        <is>
          <t>073</t>
        </is>
      </c>
      <c r="D476" s="1" t="inlineStr">
        <is>
          <t>254128</t>
        </is>
      </c>
      <c r="E476" s="1" t="inlineStr">
        <is>
          <t xml:space="preserve">29235700       </t>
        </is>
      </c>
      <c r="F476" s="5" t="inlineStr">
        <is>
          <t>HOT WHEELS CASE METALICO PARA GUARDAR 18 CARRITOS</t>
        </is>
      </c>
      <c r="G476" t="n">
        <v>1</v>
      </c>
      <c r="H476" s="7" t="n">
        <v>49.9</v>
      </c>
      <c r="I476" s="7" t="n">
        <v>0</v>
      </c>
      <c r="J476" s="7" t="n">
        <v>0</v>
      </c>
      <c r="K476" s="9" t="n">
        <v>0</v>
      </c>
      <c r="L476" s="10" t="n">
        <v>29.6</v>
      </c>
      <c r="M476" s="10" t="n">
        <v>1.43</v>
      </c>
      <c r="N476" t="inlineStr">
        <is>
          <t>1</t>
        </is>
      </c>
      <c r="O476" t="inlineStr">
        <is>
          <t xml:space="preserve">3 </t>
        </is>
      </c>
      <c r="P476" t="inlineStr">
        <is>
          <t xml:space="preserve">52786   </t>
        </is>
      </c>
      <c r="Q476" s="26" t="n">
        <v>49.90000000000001</v>
      </c>
      <c r="R476" s="26">
        <f>Q476*G476</f>
        <v/>
      </c>
      <c r="S476" t="n">
        <v>29.6</v>
      </c>
      <c r="T476" s="18">
        <f>1 - V476/S476</f>
        <v/>
      </c>
      <c r="U476" s="18" t="n">
        <v>0</v>
      </c>
      <c r="V476" s="26" t="n">
        <v>29.6</v>
      </c>
      <c r="W476" s="26">
        <f>V476 - L476</f>
        <v/>
      </c>
    </row>
    <row r="477">
      <c r="A477" s="11" t="n">
        <v>46208</v>
      </c>
      <c r="B477" s="1" t="n">
        <v>20040</v>
      </c>
      <c r="C477" s="1" t="inlineStr">
        <is>
          <t>083</t>
        </is>
      </c>
      <c r="D477" s="1" t="inlineStr">
        <is>
          <t>159138</t>
        </is>
      </c>
      <c r="E477" s="1" t="inlineStr">
        <is>
          <t xml:space="preserve">31754675       </t>
        </is>
      </c>
      <c r="F477" s="5" t="inlineStr">
        <is>
          <t>INFINITY NADO SERIE 6 STARTER PACK - 4 MODELOS</t>
        </is>
      </c>
      <c r="G477" t="n">
        <v>1</v>
      </c>
      <c r="H477" s="7" t="n">
        <v>69.90000000000001</v>
      </c>
      <c r="I477" s="7" t="n">
        <v>0</v>
      </c>
      <c r="J477" s="7" t="n">
        <v>0</v>
      </c>
      <c r="K477" s="9" t="n">
        <v>0</v>
      </c>
      <c r="L477" s="10" t="n">
        <v>41.47</v>
      </c>
      <c r="M477" s="10" t="n">
        <v>1.43</v>
      </c>
      <c r="N477" t="inlineStr">
        <is>
          <t>1</t>
        </is>
      </c>
      <c r="O477" t="inlineStr">
        <is>
          <t>16</t>
        </is>
      </c>
      <c r="P477" t="inlineStr">
        <is>
          <t xml:space="preserve">248589  </t>
        </is>
      </c>
      <c r="Q477" s="26" t="n">
        <v>69.90000000000001</v>
      </c>
      <c r="R477" s="26">
        <f>Q477*G477</f>
        <v/>
      </c>
      <c r="S477" t="n">
        <v>41.47</v>
      </c>
      <c r="T477" s="18">
        <f>1 - V477/S477</f>
        <v/>
      </c>
      <c r="U477" s="18" t="n">
        <v>0.2861230329041489</v>
      </c>
      <c r="V477" s="26" t="n">
        <v>31.71610169491525</v>
      </c>
      <c r="W477" s="26">
        <f>V477 - L477</f>
        <v/>
      </c>
    </row>
    <row r="478">
      <c r="A478" s="11" t="n">
        <v>46208</v>
      </c>
      <c r="B478" s="1" t="n">
        <v>20040</v>
      </c>
      <c r="C478" s="1" t="inlineStr">
        <is>
          <t>083</t>
        </is>
      </c>
      <c r="D478" s="1" t="inlineStr">
        <is>
          <t>159139</t>
        </is>
      </c>
      <c r="E478" s="1" t="inlineStr">
        <is>
          <t xml:space="preserve">29235706       </t>
        </is>
      </c>
      <c r="F478" s="5" t="inlineStr">
        <is>
          <t>TEAMSTERZ CAMION PARA GUARDAR 12 AUTOS INCL 4 AUTO</t>
        </is>
      </c>
      <c r="G478" t="n">
        <v>1</v>
      </c>
      <c r="H478" s="7" t="n">
        <v>59.9</v>
      </c>
      <c r="I478" s="7" t="n">
        <v>0</v>
      </c>
      <c r="J478" s="7" t="n">
        <v>0</v>
      </c>
      <c r="K478" s="9" t="n">
        <v>0</v>
      </c>
      <c r="L478" s="10" t="n">
        <v>35.53</v>
      </c>
      <c r="M478" s="10" t="n">
        <v>1.43</v>
      </c>
      <c r="N478" t="inlineStr">
        <is>
          <t>1</t>
        </is>
      </c>
      <c r="O478" t="inlineStr">
        <is>
          <t>16</t>
        </is>
      </c>
      <c r="P478" t="inlineStr">
        <is>
          <t xml:space="preserve">248589  </t>
        </is>
      </c>
      <c r="Q478" s="26" t="n">
        <v>59.90000000000001</v>
      </c>
      <c r="R478" s="26">
        <f>Q478*G478</f>
        <v/>
      </c>
      <c r="S478" t="n">
        <v>35.53</v>
      </c>
      <c r="T478" s="18">
        <f>1 - V478/S478</f>
        <v/>
      </c>
      <c r="U478" s="18" t="n">
        <v>0</v>
      </c>
      <c r="V478" s="26" t="n">
        <v>35.53</v>
      </c>
      <c r="W478" s="26">
        <f>V478 - L478</f>
        <v/>
      </c>
    </row>
    <row r="479">
      <c r="A479" s="11" t="n">
        <v>46208</v>
      </c>
      <c r="B479" s="1" t="n">
        <v>20040</v>
      </c>
      <c r="C479" s="1" t="inlineStr">
        <is>
          <t>514</t>
        </is>
      </c>
      <c r="D479" s="1" t="inlineStr">
        <is>
          <t xml:space="preserve">1323  </t>
        </is>
      </c>
      <c r="E479" s="1" t="inlineStr">
        <is>
          <t xml:space="preserve">31675354       </t>
        </is>
      </c>
      <c r="F479" s="5" t="inlineStr">
        <is>
          <t>NENUCO LLORON CON ACCESORIOS</t>
        </is>
      </c>
      <c r="G479" t="n">
        <v>1</v>
      </c>
      <c r="H479" s="7" t="n">
        <v>89.90000000000001</v>
      </c>
      <c r="I479" s="7" t="n">
        <v>0</v>
      </c>
      <c r="J479" s="7" t="n">
        <v>0</v>
      </c>
      <c r="K479" s="9" t="n">
        <v>0</v>
      </c>
      <c r="L479" s="10" t="n">
        <v>53.33</v>
      </c>
      <c r="M479" s="10" t="n">
        <v>1.43</v>
      </c>
      <c r="N479" t="inlineStr">
        <is>
          <t>1</t>
        </is>
      </c>
      <c r="O479" t="inlineStr">
        <is>
          <t>16</t>
        </is>
      </c>
      <c r="P479" t="inlineStr">
        <is>
          <t xml:space="preserve">235897  </t>
        </is>
      </c>
      <c r="Q479" s="26" t="n">
        <v>89.90000000000001</v>
      </c>
      <c r="R479" s="26">
        <f>Q479*G479</f>
        <v/>
      </c>
      <c r="S479" t="n">
        <v>53.33</v>
      </c>
      <c r="T479" s="18">
        <f>1 - V479/S479</f>
        <v/>
      </c>
      <c r="U479" s="18" t="n">
        <v>0.2224694104560623</v>
      </c>
      <c r="V479" s="26" t="n">
        <v>44.42796610169492</v>
      </c>
      <c r="W479" s="26">
        <f>V479 - L479</f>
        <v/>
      </c>
    </row>
    <row r="480">
      <c r="A480" s="11" t="n">
        <v>46208</v>
      </c>
      <c r="B480" s="1" t="n">
        <v>20040</v>
      </c>
      <c r="C480" s="1" t="inlineStr">
        <is>
          <t>520</t>
        </is>
      </c>
      <c r="D480" s="1" t="inlineStr">
        <is>
          <t xml:space="preserve">4878  </t>
        </is>
      </c>
      <c r="E480" s="1" t="inlineStr">
        <is>
          <t xml:space="preserve">28194768       </t>
        </is>
      </c>
      <c r="F480" s="5" t="inlineStr">
        <is>
          <t>AUTO COLOR CHANGE TEAMSTERZ SURTIDO</t>
        </is>
      </c>
      <c r="G480" t="n">
        <v>1</v>
      </c>
      <c r="H480" s="7" t="n">
        <v>14.9</v>
      </c>
      <c r="I480" s="7" t="n">
        <v>0</v>
      </c>
      <c r="J480" s="7" t="n">
        <v>0</v>
      </c>
      <c r="K480" s="9" t="n">
        <v>0</v>
      </c>
      <c r="L480" s="10" t="n">
        <v>8.84</v>
      </c>
      <c r="M480" s="10" t="n">
        <v>1.43</v>
      </c>
      <c r="N480" t="inlineStr">
        <is>
          <t>1</t>
        </is>
      </c>
      <c r="O480" t="inlineStr">
        <is>
          <t>16</t>
        </is>
      </c>
      <c r="P480" t="inlineStr">
        <is>
          <t xml:space="preserve">86916   </t>
        </is>
      </c>
      <c r="Q480" s="26" t="n">
        <v>14.9</v>
      </c>
      <c r="R480" s="26">
        <f>Q480*G480</f>
        <v/>
      </c>
      <c r="S480" t="n">
        <v>8.84</v>
      </c>
      <c r="T480" s="18">
        <f>1 - V480/S480</f>
        <v/>
      </c>
      <c r="U480" s="18" t="n">
        <v>0</v>
      </c>
      <c r="V480" s="26" t="n">
        <v>8.84</v>
      </c>
      <c r="W480" s="26">
        <f>V480 - L480</f>
        <v/>
      </c>
    </row>
    <row r="481">
      <c r="A481" s="11" t="n">
        <v>46208</v>
      </c>
      <c r="B481" s="1" t="n">
        <v>20040</v>
      </c>
      <c r="C481" s="1" t="inlineStr">
        <is>
          <t>533</t>
        </is>
      </c>
      <c r="D481" s="1" t="inlineStr">
        <is>
          <t xml:space="preserve">7682  </t>
        </is>
      </c>
      <c r="E481" s="1" t="inlineStr">
        <is>
          <t xml:space="preserve">29235702       </t>
        </is>
      </c>
      <c r="F481" s="5" t="inlineStr">
        <is>
          <t>INFINITY NADO TROMPO DE BATALLA - METAL C/ ANILLO</t>
        </is>
      </c>
      <c r="G481" t="n">
        <v>1</v>
      </c>
      <c r="H481" s="7" t="n">
        <v>69.90000000000001</v>
      </c>
      <c r="I481" s="7" t="n">
        <v>0</v>
      </c>
      <c r="J481" s="7" t="n">
        <v>0</v>
      </c>
      <c r="K481" s="9" t="n">
        <v>0</v>
      </c>
      <c r="L481" s="10" t="n">
        <v>41.47</v>
      </c>
      <c r="M481" s="10" t="n">
        <v>1.43</v>
      </c>
      <c r="N481" t="inlineStr">
        <is>
          <t>1</t>
        </is>
      </c>
      <c r="O481" t="inlineStr">
        <is>
          <t>16</t>
        </is>
      </c>
      <c r="P481" t="inlineStr">
        <is>
          <t xml:space="preserve">250221  </t>
        </is>
      </c>
      <c r="Q481" s="26" t="n">
        <v>69.90000000000001</v>
      </c>
      <c r="R481" s="26">
        <f>Q481*G481</f>
        <v/>
      </c>
      <c r="S481" t="n">
        <v>41.47</v>
      </c>
      <c r="T481" s="18">
        <f>1 - V481/S481</f>
        <v/>
      </c>
      <c r="U481" s="18" t="n">
        <v>0.2861230329041489</v>
      </c>
      <c r="V481" s="26" t="n">
        <v>31.71610169491525</v>
      </c>
      <c r="W481" s="26">
        <f>V481 - L481</f>
        <v/>
      </c>
    </row>
    <row r="482">
      <c r="A482" s="11" t="n">
        <v>46208</v>
      </c>
      <c r="B482" s="1" t="n">
        <v>20040</v>
      </c>
      <c r="C482" s="1" t="inlineStr">
        <is>
          <t>831</t>
        </is>
      </c>
      <c r="D482" s="1" t="inlineStr">
        <is>
          <t xml:space="preserve">8650  </t>
        </is>
      </c>
      <c r="E482" s="1" t="inlineStr">
        <is>
          <t xml:space="preserve">29235706       </t>
        </is>
      </c>
      <c r="F482" s="5" t="inlineStr">
        <is>
          <t>TEAMSTERZ CAMION PARA GUARDAR 12 AUTOS INCL 4 AUTO</t>
        </is>
      </c>
      <c r="G482" t="n">
        <v>1</v>
      </c>
      <c r="H482" s="7" t="n">
        <v>59.9</v>
      </c>
      <c r="I482" s="7" t="n">
        <v>0</v>
      </c>
      <c r="J482" s="7" t="n">
        <v>0</v>
      </c>
      <c r="K482" s="9" t="n">
        <v>0</v>
      </c>
      <c r="L482" s="10" t="n">
        <v>35.53</v>
      </c>
      <c r="M482" s="10" t="n">
        <v>1.43</v>
      </c>
      <c r="N482" t="inlineStr">
        <is>
          <t>1</t>
        </is>
      </c>
      <c r="O482" t="inlineStr">
        <is>
          <t>16</t>
        </is>
      </c>
      <c r="P482" t="inlineStr">
        <is>
          <t xml:space="preserve">0       </t>
        </is>
      </c>
      <c r="Q482" s="26" t="n">
        <v>59.90000000000001</v>
      </c>
      <c r="R482" s="26">
        <f>Q482*G482</f>
        <v/>
      </c>
      <c r="S482" t="n">
        <v>35.53</v>
      </c>
      <c r="T482" s="18">
        <f>1 - V482/S482</f>
        <v/>
      </c>
      <c r="U482" s="18" t="n">
        <v>0</v>
      </c>
      <c r="V482" s="26" t="n">
        <v>35.53</v>
      </c>
      <c r="W482" s="26">
        <f>V482 - L482</f>
        <v/>
      </c>
    </row>
    <row r="483">
      <c r="A483" s="11" t="n">
        <v>46208</v>
      </c>
      <c r="B483" s="1" t="n">
        <v>20040</v>
      </c>
      <c r="C483" s="1" t="inlineStr">
        <is>
          <t>832</t>
        </is>
      </c>
      <c r="D483" s="1" t="inlineStr">
        <is>
          <t xml:space="preserve">2862  </t>
        </is>
      </c>
      <c r="E483" s="1" t="inlineStr">
        <is>
          <t xml:space="preserve">35685067       </t>
        </is>
      </c>
      <c r="F483" s="5" t="inlineStr">
        <is>
          <t>HOT WHEELS POWER SET 3 EN 1</t>
        </is>
      </c>
      <c r="G483" t="n">
        <v>1</v>
      </c>
      <c r="H483" s="7" t="n">
        <v>49.9</v>
      </c>
      <c r="I483" s="7" t="n">
        <v>0</v>
      </c>
      <c r="J483" s="7" t="n">
        <v>0</v>
      </c>
      <c r="K483" s="9" t="n">
        <v>0</v>
      </c>
      <c r="L483" s="10" t="n">
        <v>29.6</v>
      </c>
      <c r="M483" s="10" t="n">
        <v>1.43</v>
      </c>
      <c r="N483" t="inlineStr">
        <is>
          <t>1</t>
        </is>
      </c>
      <c r="O483" t="inlineStr">
        <is>
          <t>16</t>
        </is>
      </c>
      <c r="P483" t="inlineStr">
        <is>
          <t xml:space="preserve">0       </t>
        </is>
      </c>
      <c r="Q483" s="26" t="n">
        <v>49.9</v>
      </c>
      <c r="R483" s="26">
        <f>Q483*G483</f>
        <v/>
      </c>
      <c r="S483" t="n">
        <v>29.6</v>
      </c>
      <c r="T483" s="18">
        <f>1 - V483/S483</f>
        <v/>
      </c>
      <c r="U483" s="18" t="n">
        <v>0</v>
      </c>
      <c r="V483" s="26" t="n">
        <v>29.6</v>
      </c>
      <c r="W483" s="26">
        <f>V483 - L483</f>
        <v/>
      </c>
    </row>
    <row r="484">
      <c r="A484" s="11" t="n">
        <v>46208</v>
      </c>
      <c r="B484" s="1" t="n">
        <v>20041</v>
      </c>
      <c r="C484" s="1" t="inlineStr">
        <is>
          <t>013</t>
        </is>
      </c>
      <c r="D484" s="1" t="inlineStr">
        <is>
          <t>458187</t>
        </is>
      </c>
      <c r="E484" s="1" t="inlineStr">
        <is>
          <t xml:space="preserve">28194770       </t>
        </is>
      </c>
      <c r="F484" s="5" t="inlineStr">
        <is>
          <t>AUTOS DE METAL 3 TEAMSTERZ EN BLISTER</t>
        </is>
      </c>
      <c r="G484" t="n">
        <v>1</v>
      </c>
      <c r="H484" s="7" t="n">
        <v>6.9</v>
      </c>
      <c r="I484" s="7" t="n">
        <v>0</v>
      </c>
      <c r="J484" s="7" t="n">
        <v>0</v>
      </c>
      <c r="K484" s="9" t="n">
        <v>0</v>
      </c>
      <c r="L484" s="10" t="n">
        <v>4.1</v>
      </c>
      <c r="M484" s="10" t="n">
        <v>1.43</v>
      </c>
      <c r="N484" t="inlineStr">
        <is>
          <t>1</t>
        </is>
      </c>
      <c r="O484" t="inlineStr">
        <is>
          <t xml:space="preserve">2 </t>
        </is>
      </c>
      <c r="P484" t="inlineStr">
        <is>
          <t xml:space="preserve">36144   </t>
        </is>
      </c>
      <c r="Q484" s="26" t="n">
        <v>6.9</v>
      </c>
      <c r="R484" s="26">
        <f>Q484*G484</f>
        <v/>
      </c>
      <c r="S484" t="n">
        <v>4.09</v>
      </c>
      <c r="T484" s="18">
        <f>1 - V484/S484</f>
        <v/>
      </c>
      <c r="U484" s="18" t="n">
        <v>0</v>
      </c>
      <c r="V484" s="26" t="n">
        <v>4.09</v>
      </c>
      <c r="W484" s="26">
        <f>V484 - L484</f>
        <v/>
      </c>
    </row>
    <row r="485">
      <c r="A485" s="11" t="n">
        <v>46208</v>
      </c>
      <c r="B485" s="1" t="n">
        <v>20041</v>
      </c>
      <c r="C485" s="1" t="inlineStr">
        <is>
          <t>036</t>
        </is>
      </c>
      <c r="D485" s="1" t="inlineStr">
        <is>
          <t>318978</t>
        </is>
      </c>
      <c r="E485" s="1" t="inlineStr">
        <is>
          <t xml:space="preserve">35685067       </t>
        </is>
      </c>
      <c r="F485" s="5" t="inlineStr">
        <is>
          <t>HOT WHEELS POWER SET 3 EN 1</t>
        </is>
      </c>
      <c r="G485" t="n">
        <v>1</v>
      </c>
      <c r="H485" s="7" t="n">
        <v>49.9</v>
      </c>
      <c r="I485" s="7" t="n">
        <v>0</v>
      </c>
      <c r="J485" s="7" t="n">
        <v>0</v>
      </c>
      <c r="K485" s="9" t="n">
        <v>0</v>
      </c>
      <c r="L485" s="10" t="n">
        <v>29.6</v>
      </c>
      <c r="M485" s="10" t="n">
        <v>1.43</v>
      </c>
      <c r="N485" t="inlineStr">
        <is>
          <t>1</t>
        </is>
      </c>
      <c r="O485" t="inlineStr">
        <is>
          <t>16</t>
        </is>
      </c>
      <c r="P485" t="inlineStr">
        <is>
          <t xml:space="preserve">91630   </t>
        </is>
      </c>
      <c r="Q485" s="26" t="n">
        <v>49.9</v>
      </c>
      <c r="R485" s="26">
        <f>Q485*G485</f>
        <v/>
      </c>
      <c r="S485" t="n">
        <v>29.6</v>
      </c>
      <c r="T485" s="18">
        <f>1 - V485/S485</f>
        <v/>
      </c>
      <c r="U485" s="18" t="n">
        <v>0</v>
      </c>
      <c r="V485" s="26" t="n">
        <v>29.6</v>
      </c>
      <c r="W485" s="26">
        <f>V485 - L485</f>
        <v/>
      </c>
    </row>
    <row r="486">
      <c r="A486" s="11" t="n">
        <v>46208</v>
      </c>
      <c r="B486" s="1" t="n">
        <v>20041</v>
      </c>
      <c r="C486" s="1" t="inlineStr">
        <is>
          <t>043</t>
        </is>
      </c>
      <c r="D486" s="1" t="inlineStr">
        <is>
          <t xml:space="preserve">75712 </t>
        </is>
      </c>
      <c r="E486" s="1" t="inlineStr">
        <is>
          <t xml:space="preserve">28194769       </t>
        </is>
      </c>
      <c r="F486" s="5" t="inlineStr">
        <is>
          <t>AUTOS DE METAL 3 TEAMSTERZ PACK DE 2</t>
        </is>
      </c>
      <c r="G486" t="n">
        <v>1</v>
      </c>
      <c r="H486" s="7" t="n">
        <v>13.8</v>
      </c>
      <c r="I486" s="7" t="n">
        <v>0</v>
      </c>
      <c r="J486" s="7" t="n">
        <v>0</v>
      </c>
      <c r="K486" s="9" t="n">
        <v>0</v>
      </c>
      <c r="L486" s="10" t="n">
        <v>8.18</v>
      </c>
      <c r="M486" s="10" t="n">
        <v>1.43</v>
      </c>
      <c r="N486" t="inlineStr">
        <is>
          <t>1</t>
        </is>
      </c>
      <c r="O486" t="inlineStr">
        <is>
          <t xml:space="preserve">2 </t>
        </is>
      </c>
      <c r="P486" t="inlineStr">
        <is>
          <t xml:space="preserve">241916  </t>
        </is>
      </c>
      <c r="Q486" s="26" t="n">
        <v>13.8</v>
      </c>
      <c r="R486" s="26">
        <f>Q486*G486</f>
        <v/>
      </c>
      <c r="S486" t="n">
        <v>8.19</v>
      </c>
      <c r="T486" s="18">
        <f>1 - V486/S486</f>
        <v/>
      </c>
      <c r="U486" s="18" t="n">
        <v>0</v>
      </c>
      <c r="V486" s="26" t="n">
        <v>8.19</v>
      </c>
      <c r="W486" s="26">
        <f>V486 - L486</f>
        <v/>
      </c>
    </row>
    <row r="487">
      <c r="A487" s="11" t="n">
        <v>46208</v>
      </c>
      <c r="B487" s="1" t="n">
        <v>20041</v>
      </c>
      <c r="C487" s="1" t="inlineStr">
        <is>
          <t>043</t>
        </is>
      </c>
      <c r="D487" s="1" t="inlineStr">
        <is>
          <t xml:space="preserve">75712 </t>
        </is>
      </c>
      <c r="E487" s="1" t="inlineStr">
        <is>
          <t xml:space="preserve">28194770       </t>
        </is>
      </c>
      <c r="F487" s="5" t="inlineStr">
        <is>
          <t>AUTOS DE METAL 3 TEAMSTERZ EN BLISTER</t>
        </is>
      </c>
      <c r="G487" t="n">
        <v>1</v>
      </c>
      <c r="H487" s="7" t="n">
        <v>6.9</v>
      </c>
      <c r="I487" s="7" t="n">
        <v>0</v>
      </c>
      <c r="J487" s="7" t="n">
        <v>0</v>
      </c>
      <c r="K487" s="9" t="n">
        <v>0</v>
      </c>
      <c r="L487" s="10" t="n">
        <v>4.1</v>
      </c>
      <c r="M487" s="10" t="n">
        <v>1.43</v>
      </c>
      <c r="N487" t="inlineStr">
        <is>
          <t>1</t>
        </is>
      </c>
      <c r="O487" t="inlineStr">
        <is>
          <t xml:space="preserve">2 </t>
        </is>
      </c>
      <c r="P487" t="inlineStr">
        <is>
          <t xml:space="preserve">241916  </t>
        </is>
      </c>
      <c r="Q487" s="26" t="n">
        <v>6.9</v>
      </c>
      <c r="R487" s="26">
        <f>Q487*G487</f>
        <v/>
      </c>
      <c r="S487" t="n">
        <v>4.09</v>
      </c>
      <c r="T487" s="18">
        <f>1 - V487/S487</f>
        <v/>
      </c>
      <c r="U487" s="18" t="n">
        <v>0</v>
      </c>
      <c r="V487" s="26" t="n">
        <v>4.09</v>
      </c>
      <c r="W487" s="26">
        <f>V487 - L487</f>
        <v/>
      </c>
    </row>
    <row r="488">
      <c r="A488" s="11" t="n">
        <v>46208</v>
      </c>
      <c r="B488" s="1" t="n">
        <v>20041</v>
      </c>
      <c r="C488" s="1" t="inlineStr">
        <is>
          <t>043</t>
        </is>
      </c>
      <c r="D488" s="1" t="inlineStr">
        <is>
          <t xml:space="preserve">75715 </t>
        </is>
      </c>
      <c r="E488" s="1" t="inlineStr">
        <is>
          <t xml:space="preserve">28194770       </t>
        </is>
      </c>
      <c r="F488" s="5" t="inlineStr">
        <is>
          <t>AUTOS DE METAL 3 TEAMSTERZ EN BLISTER</t>
        </is>
      </c>
      <c r="G488" t="n">
        <v>1</v>
      </c>
      <c r="H488" s="7" t="n">
        <v>6.9</v>
      </c>
      <c r="I488" s="7" t="n">
        <v>0</v>
      </c>
      <c r="J488" s="7" t="n">
        <v>0</v>
      </c>
      <c r="K488" s="9" t="n">
        <v>0</v>
      </c>
      <c r="L488" s="10" t="n">
        <v>4.1</v>
      </c>
      <c r="M488" s="10" t="n">
        <v>1.43</v>
      </c>
      <c r="N488" t="inlineStr">
        <is>
          <t>1</t>
        </is>
      </c>
      <c r="O488" t="inlineStr">
        <is>
          <t>16</t>
        </is>
      </c>
      <c r="P488" t="inlineStr">
        <is>
          <t xml:space="preserve">241916  </t>
        </is>
      </c>
      <c r="Q488" s="26" t="n">
        <v>6.9</v>
      </c>
      <c r="R488" s="26">
        <f>Q488*G488</f>
        <v/>
      </c>
      <c r="S488" t="n">
        <v>4.09</v>
      </c>
      <c r="T488" s="18">
        <f>1 - V488/S488</f>
        <v/>
      </c>
      <c r="U488" s="18" t="n">
        <v>0</v>
      </c>
      <c r="V488" s="26" t="n">
        <v>4.09</v>
      </c>
      <c r="W488" s="26">
        <f>V488 - L488</f>
        <v/>
      </c>
    </row>
    <row r="489">
      <c r="A489" s="11" t="n">
        <v>46208</v>
      </c>
      <c r="B489" s="1" t="n">
        <v>20043</v>
      </c>
      <c r="C489" s="1" t="inlineStr">
        <is>
          <t>014</t>
        </is>
      </c>
      <c r="D489" s="1" t="inlineStr">
        <is>
          <t>137192</t>
        </is>
      </c>
      <c r="E489" s="1" t="inlineStr">
        <is>
          <t xml:space="preserve">32457099       </t>
        </is>
      </c>
      <c r="F489" s="5" t="inlineStr">
        <is>
          <t>TMZ BEAST MACHINES MONSTER JAWS A FRICCION BLISTER</t>
        </is>
      </c>
      <c r="G489" t="n">
        <v>1</v>
      </c>
      <c r="H489" s="7" t="n">
        <v>19.9</v>
      </c>
      <c r="I489" s="7" t="n">
        <v>0</v>
      </c>
      <c r="J489" s="7" t="n">
        <v>0</v>
      </c>
      <c r="K489" s="9" t="n">
        <v>0</v>
      </c>
      <c r="L489" s="10" t="n">
        <v>11.8</v>
      </c>
      <c r="M489" s="10" t="n">
        <v>1.43</v>
      </c>
      <c r="N489" t="inlineStr">
        <is>
          <t>1</t>
        </is>
      </c>
      <c r="O489" t="inlineStr">
        <is>
          <t>16</t>
        </is>
      </c>
      <c r="P489" t="inlineStr">
        <is>
          <t xml:space="preserve">20505   </t>
        </is>
      </c>
      <c r="Q489" s="26" t="n">
        <v>19.9</v>
      </c>
      <c r="R489" s="26">
        <f>Q489*G489</f>
        <v/>
      </c>
      <c r="S489" t="n">
        <v>11.81</v>
      </c>
      <c r="T489" s="18">
        <f>1 - V489/S489</f>
        <v/>
      </c>
      <c r="U489" s="18" t="n">
        <v>0.1005025125628141</v>
      </c>
      <c r="V489" s="26" t="n">
        <v>8.417118644067797</v>
      </c>
      <c r="W489" s="26">
        <f>V489 - L489</f>
        <v/>
      </c>
    </row>
    <row r="490">
      <c r="A490" s="11" t="n">
        <v>46208</v>
      </c>
      <c r="B490" s="1" t="n">
        <v>20043</v>
      </c>
      <c r="C490" s="1" t="inlineStr">
        <is>
          <t>051</t>
        </is>
      </c>
      <c r="D490" s="1" t="inlineStr">
        <is>
          <t>105576</t>
        </is>
      </c>
      <c r="E490" s="1" t="inlineStr">
        <is>
          <t xml:space="preserve">28194770       </t>
        </is>
      </c>
      <c r="F490" s="5" t="inlineStr">
        <is>
          <t>AUTOS DE METAL 3 TEAMSTERZ EN BLISTER</t>
        </is>
      </c>
      <c r="G490" t="n">
        <v>1</v>
      </c>
      <c r="H490" s="7" t="n">
        <v>6.9</v>
      </c>
      <c r="I490" s="7" t="n">
        <v>0</v>
      </c>
      <c r="J490" s="7" t="n">
        <v>0</v>
      </c>
      <c r="K490" s="9" t="n">
        <v>0</v>
      </c>
      <c r="L490" s="10" t="n">
        <v>4.1</v>
      </c>
      <c r="M490" s="10" t="n">
        <v>1.43</v>
      </c>
      <c r="N490" t="inlineStr">
        <is>
          <t>1</t>
        </is>
      </c>
      <c r="O490" t="inlineStr">
        <is>
          <t xml:space="preserve">3 </t>
        </is>
      </c>
      <c r="P490" t="inlineStr">
        <is>
          <t xml:space="preserve">30705   </t>
        </is>
      </c>
      <c r="Q490" s="26" t="n">
        <v>6.9</v>
      </c>
      <c r="R490" s="26">
        <f>Q490*G490</f>
        <v/>
      </c>
      <c r="S490" t="n">
        <v>4.09</v>
      </c>
      <c r="T490" s="18">
        <f>1 - V490/S490</f>
        <v/>
      </c>
      <c r="U490" s="18" t="n">
        <v>0</v>
      </c>
      <c r="V490" s="26" t="n">
        <v>4.09</v>
      </c>
      <c r="W490" s="26">
        <f>V490 - L490</f>
        <v/>
      </c>
    </row>
    <row r="491">
      <c r="A491" s="11" t="n">
        <v>46208</v>
      </c>
      <c r="B491" s="1" t="n">
        <v>20043</v>
      </c>
      <c r="C491" s="1" t="inlineStr">
        <is>
          <t>072</t>
        </is>
      </c>
      <c r="D491" s="1" t="inlineStr">
        <is>
          <t xml:space="preserve">61556 </t>
        </is>
      </c>
      <c r="E491" s="1" t="inlineStr">
        <is>
          <t xml:space="preserve">28194768       </t>
        </is>
      </c>
      <c r="F491" s="5" t="inlineStr">
        <is>
          <t>AUTO COLOR CHANGE TEAMSTERZ SURTIDO</t>
        </is>
      </c>
      <c r="G491" t="n">
        <v>1</v>
      </c>
      <c r="H491" s="7" t="n">
        <v>14.9</v>
      </c>
      <c r="I491" s="7" t="n">
        <v>0</v>
      </c>
      <c r="J491" s="7" t="n">
        <v>0</v>
      </c>
      <c r="K491" s="9" t="n">
        <v>0</v>
      </c>
      <c r="L491" s="10" t="n">
        <v>8.84</v>
      </c>
      <c r="M491" s="10" t="n">
        <v>1.43</v>
      </c>
      <c r="N491" t="inlineStr">
        <is>
          <t>1</t>
        </is>
      </c>
      <c r="O491" t="inlineStr">
        <is>
          <t>16</t>
        </is>
      </c>
      <c r="P491" t="inlineStr">
        <is>
          <t xml:space="preserve">16988   </t>
        </is>
      </c>
      <c r="Q491" s="26" t="n">
        <v>14.9</v>
      </c>
      <c r="R491" s="26">
        <f>Q491*G491</f>
        <v/>
      </c>
      <c r="S491" t="n">
        <v>8.84</v>
      </c>
      <c r="T491" s="18">
        <f>1 - V491/S491</f>
        <v/>
      </c>
      <c r="U491" s="18" t="n">
        <v>0</v>
      </c>
      <c r="V491" s="26" t="n">
        <v>8.84</v>
      </c>
      <c r="W491" s="26">
        <f>V491 - L491</f>
        <v/>
      </c>
    </row>
    <row r="492">
      <c r="A492" s="11" t="n">
        <v>46208</v>
      </c>
      <c r="B492" s="1" t="n">
        <v>20047</v>
      </c>
      <c r="C492" s="1" t="inlineStr">
        <is>
          <t>012</t>
        </is>
      </c>
      <c r="D492" s="1" t="inlineStr">
        <is>
          <t>331228</t>
        </is>
      </c>
      <c r="E492" s="1" t="inlineStr">
        <is>
          <t xml:space="preserve">28194770       </t>
        </is>
      </c>
      <c r="F492" s="5" t="inlineStr">
        <is>
          <t>AUTOS DE METAL 3 TEAMSTERZ EN BLISTER</t>
        </is>
      </c>
      <c r="G492" t="n">
        <v>1</v>
      </c>
      <c r="H492" s="7" t="n">
        <v>6.9</v>
      </c>
      <c r="I492" s="7" t="n">
        <v>0</v>
      </c>
      <c r="J492" s="7" t="n">
        <v>0</v>
      </c>
      <c r="K492" s="9" t="n">
        <v>0</v>
      </c>
      <c r="L492" s="10" t="n">
        <v>4.1</v>
      </c>
      <c r="M492" s="10" t="n">
        <v>1.43</v>
      </c>
      <c r="N492" t="inlineStr">
        <is>
          <t>1</t>
        </is>
      </c>
      <c r="O492" t="inlineStr">
        <is>
          <t xml:space="preserve">2 </t>
        </is>
      </c>
      <c r="P492" t="inlineStr">
        <is>
          <t xml:space="preserve">78210   </t>
        </is>
      </c>
      <c r="Q492" s="26" t="n">
        <v>6.9</v>
      </c>
      <c r="R492" s="26">
        <f>Q492*G492</f>
        <v/>
      </c>
      <c r="S492" t="n">
        <v>4.09</v>
      </c>
      <c r="T492" s="18">
        <f>1 - V492/S492</f>
        <v/>
      </c>
      <c r="U492" s="18" t="n">
        <v>0</v>
      </c>
      <c r="V492" s="26" t="n">
        <v>4.09</v>
      </c>
      <c r="W492" s="26">
        <f>V492 - L492</f>
        <v/>
      </c>
    </row>
    <row r="493">
      <c r="A493" s="11" t="n">
        <v>46208</v>
      </c>
      <c r="B493" s="1" t="n">
        <v>20047</v>
      </c>
      <c r="C493" s="1" t="inlineStr">
        <is>
          <t>012</t>
        </is>
      </c>
      <c r="D493" s="1" t="inlineStr">
        <is>
          <t>331228</t>
        </is>
      </c>
      <c r="E493" s="1" t="inlineStr">
        <is>
          <t xml:space="preserve">28194770       </t>
        </is>
      </c>
      <c r="F493" s="5" t="inlineStr">
        <is>
          <t>AUTOS DE METAL 3 TEAMSTERZ EN BLISTER</t>
        </is>
      </c>
      <c r="G493" t="n">
        <v>1</v>
      </c>
      <c r="H493" s="7" t="n">
        <v>6.9</v>
      </c>
      <c r="I493" s="7" t="n">
        <v>0</v>
      </c>
      <c r="J493" s="7" t="n">
        <v>0</v>
      </c>
      <c r="K493" s="9" t="n">
        <v>0</v>
      </c>
      <c r="L493" s="10" t="n">
        <v>4.1</v>
      </c>
      <c r="M493" s="10" t="n">
        <v>1.43</v>
      </c>
      <c r="N493" t="inlineStr">
        <is>
          <t>1</t>
        </is>
      </c>
      <c r="O493" t="inlineStr">
        <is>
          <t xml:space="preserve">2 </t>
        </is>
      </c>
      <c r="P493" t="inlineStr">
        <is>
          <t xml:space="preserve">78210   </t>
        </is>
      </c>
      <c r="Q493" s="26" t="n">
        <v>6.9</v>
      </c>
      <c r="R493" s="26">
        <f>Q493*G493</f>
        <v/>
      </c>
      <c r="S493" t="n">
        <v>4.09</v>
      </c>
      <c r="T493" s="18">
        <f>1 - V493/S493</f>
        <v/>
      </c>
      <c r="U493" s="18" t="n">
        <v>0</v>
      </c>
      <c r="V493" s="26" t="n">
        <v>4.09</v>
      </c>
      <c r="W493" s="26">
        <f>V493 - L493</f>
        <v/>
      </c>
    </row>
    <row r="494">
      <c r="A494" s="11" t="n">
        <v>46208</v>
      </c>
      <c r="B494" s="1" t="n">
        <v>20047</v>
      </c>
      <c r="C494" s="1" t="inlineStr">
        <is>
          <t>012</t>
        </is>
      </c>
      <c r="D494" s="1" t="inlineStr">
        <is>
          <t>331228</t>
        </is>
      </c>
      <c r="E494" s="1" t="inlineStr">
        <is>
          <t xml:space="preserve">28194770       </t>
        </is>
      </c>
      <c r="F494" s="5" t="inlineStr">
        <is>
          <t>AUTOS DE METAL 3 TEAMSTERZ EN BLISTER</t>
        </is>
      </c>
      <c r="G494" t="n">
        <v>1</v>
      </c>
      <c r="H494" s="7" t="n">
        <v>6.9</v>
      </c>
      <c r="I494" s="7" t="n">
        <v>0</v>
      </c>
      <c r="J494" s="7" t="n">
        <v>0</v>
      </c>
      <c r="K494" s="9" t="n">
        <v>0</v>
      </c>
      <c r="L494" s="10" t="n">
        <v>4.1</v>
      </c>
      <c r="M494" s="10" t="n">
        <v>1.43</v>
      </c>
      <c r="N494" t="inlineStr">
        <is>
          <t>1</t>
        </is>
      </c>
      <c r="O494" t="inlineStr">
        <is>
          <t xml:space="preserve">2 </t>
        </is>
      </c>
      <c r="P494" t="inlineStr">
        <is>
          <t xml:space="preserve">78210   </t>
        </is>
      </c>
      <c r="Q494" s="26" t="n">
        <v>6.9</v>
      </c>
      <c r="R494" s="26">
        <f>Q494*G494</f>
        <v/>
      </c>
      <c r="S494" t="n">
        <v>4.09</v>
      </c>
      <c r="T494" s="18">
        <f>1 - V494/S494</f>
        <v/>
      </c>
      <c r="U494" s="18" t="n">
        <v>0</v>
      </c>
      <c r="V494" s="26" t="n">
        <v>4.09</v>
      </c>
      <c r="W494" s="26">
        <f>V494 - L494</f>
        <v/>
      </c>
    </row>
    <row r="495">
      <c r="A495" s="11" t="n">
        <v>46208</v>
      </c>
      <c r="B495" s="1" t="n">
        <v>20047</v>
      </c>
      <c r="C495" s="1" t="inlineStr">
        <is>
          <t>502</t>
        </is>
      </c>
      <c r="D495" s="1" t="inlineStr">
        <is>
          <t xml:space="preserve">3992  </t>
        </is>
      </c>
      <c r="E495" s="1" t="inlineStr">
        <is>
          <t xml:space="preserve">28194770       </t>
        </is>
      </c>
      <c r="F495" s="5" t="inlineStr">
        <is>
          <t>AUTOS DE METAL 3 TEAMSTERZ EN BLISTER</t>
        </is>
      </c>
      <c r="G495" t="n">
        <v>2</v>
      </c>
      <c r="H495" s="7" t="n">
        <v>13.8</v>
      </c>
      <c r="I495" s="7" t="n">
        <v>0</v>
      </c>
      <c r="J495" s="7" t="n">
        <v>0</v>
      </c>
      <c r="K495" s="9" t="n">
        <v>0</v>
      </c>
      <c r="L495" s="10" t="n">
        <v>8.18</v>
      </c>
      <c r="M495" s="10" t="n">
        <v>1.43</v>
      </c>
      <c r="N495" t="inlineStr">
        <is>
          <t>1</t>
        </is>
      </c>
      <c r="O495" t="inlineStr">
        <is>
          <t>16</t>
        </is>
      </c>
      <c r="P495" t="inlineStr">
        <is>
          <t xml:space="preserve">249995  </t>
        </is>
      </c>
      <c r="Q495" s="26" t="n">
        <v>6.9</v>
      </c>
      <c r="R495" s="26">
        <f>Q495*G495</f>
        <v/>
      </c>
      <c r="S495" t="n">
        <v>8.18</v>
      </c>
      <c r="T495" s="18">
        <f>1 - V495/S495</f>
        <v/>
      </c>
      <c r="U495" s="18" t="n">
        <v>0</v>
      </c>
      <c r="V495" s="26" t="n">
        <v>8.18</v>
      </c>
      <c r="W495" s="26">
        <f>V495 - L495</f>
        <v/>
      </c>
    </row>
    <row r="496">
      <c r="A496" s="11" t="n">
        <v>46208</v>
      </c>
      <c r="B496" s="1" t="n">
        <v>20048</v>
      </c>
      <c r="C496" s="1" t="inlineStr">
        <is>
          <t>017</t>
        </is>
      </c>
      <c r="D496" s="1" t="inlineStr">
        <is>
          <t>166146</t>
        </is>
      </c>
      <c r="E496" s="1" t="inlineStr">
        <is>
          <t xml:space="preserve">28194769       </t>
        </is>
      </c>
      <c r="F496" s="5" t="inlineStr">
        <is>
          <t>AUTOS DE METAL 3 TEAMSTERZ PACK DE 2</t>
        </is>
      </c>
      <c r="G496" t="n">
        <v>1</v>
      </c>
      <c r="H496" s="7" t="n">
        <v>13.8</v>
      </c>
      <c r="I496" s="7" t="n">
        <v>0</v>
      </c>
      <c r="J496" s="7" t="n">
        <v>0</v>
      </c>
      <c r="K496" s="9" t="n">
        <v>0</v>
      </c>
      <c r="L496" s="10" t="n">
        <v>8.18</v>
      </c>
      <c r="M496" s="10" t="n">
        <v>1.43</v>
      </c>
      <c r="N496" t="inlineStr">
        <is>
          <t>1</t>
        </is>
      </c>
      <c r="O496" t="inlineStr">
        <is>
          <t>16</t>
        </is>
      </c>
      <c r="P496" t="inlineStr">
        <is>
          <t xml:space="preserve">80084   </t>
        </is>
      </c>
      <c r="Q496" s="26" t="n">
        <v>13.8</v>
      </c>
      <c r="R496" s="26">
        <f>Q496*G496</f>
        <v/>
      </c>
      <c r="S496" t="n">
        <v>8.19</v>
      </c>
      <c r="T496" s="18">
        <f>1 - V496/S496</f>
        <v/>
      </c>
      <c r="U496" s="18" t="n">
        <v>0</v>
      </c>
      <c r="V496" s="26" t="n">
        <v>8.19</v>
      </c>
      <c r="W496" s="26">
        <f>V496 - L496</f>
        <v/>
      </c>
    </row>
    <row r="497">
      <c r="A497" s="11" t="n">
        <v>46208</v>
      </c>
      <c r="B497" s="1" t="n">
        <v>20048</v>
      </c>
      <c r="C497" s="1" t="inlineStr">
        <is>
          <t>017</t>
        </is>
      </c>
      <c r="D497" s="1" t="inlineStr">
        <is>
          <t>166146</t>
        </is>
      </c>
      <c r="E497" s="1" t="inlineStr">
        <is>
          <t xml:space="preserve">28194769       </t>
        </is>
      </c>
      <c r="F497" s="5" t="inlineStr">
        <is>
          <t>AUTOS DE METAL 3 TEAMSTERZ PACK DE 2</t>
        </is>
      </c>
      <c r="G497" t="n">
        <v>1</v>
      </c>
      <c r="H497" s="7" t="n">
        <v>13.8</v>
      </c>
      <c r="I497" s="7" t="n">
        <v>0</v>
      </c>
      <c r="J497" s="7" t="n">
        <v>0</v>
      </c>
      <c r="K497" s="9" t="n">
        <v>0</v>
      </c>
      <c r="L497" s="10" t="n">
        <v>8.18</v>
      </c>
      <c r="M497" s="10" t="n">
        <v>1.43</v>
      </c>
      <c r="N497" t="inlineStr">
        <is>
          <t>1</t>
        </is>
      </c>
      <c r="O497" t="inlineStr">
        <is>
          <t>16</t>
        </is>
      </c>
      <c r="P497" t="inlineStr">
        <is>
          <t xml:space="preserve">80084   </t>
        </is>
      </c>
      <c r="Q497" s="26" t="n">
        <v>13.8</v>
      </c>
      <c r="R497" s="26">
        <f>Q497*G497</f>
        <v/>
      </c>
      <c r="S497" t="n">
        <v>8.19</v>
      </c>
      <c r="T497" s="18">
        <f>1 - V497/S497</f>
        <v/>
      </c>
      <c r="U497" s="18" t="n">
        <v>0</v>
      </c>
      <c r="V497" s="26" t="n">
        <v>8.19</v>
      </c>
      <c r="W497" s="26">
        <f>V497 - L497</f>
        <v/>
      </c>
    </row>
    <row r="498">
      <c r="A498" s="11" t="n">
        <v>46208</v>
      </c>
      <c r="B498" s="1" t="n">
        <v>20048</v>
      </c>
      <c r="C498" s="1" t="inlineStr">
        <is>
          <t>027</t>
        </is>
      </c>
      <c r="D498" s="1" t="inlineStr">
        <is>
          <t>321981</t>
        </is>
      </c>
      <c r="E498" s="1" t="inlineStr">
        <is>
          <t xml:space="preserve">32457099       </t>
        </is>
      </c>
      <c r="F498" s="5" t="inlineStr">
        <is>
          <t>TMZ BEAST MACHINES MONSTER JAWS A FRICCION BLISTER</t>
        </is>
      </c>
      <c r="G498" t="n">
        <v>1</v>
      </c>
      <c r="H498" s="7" t="n">
        <v>19.9</v>
      </c>
      <c r="I498" s="7" t="n">
        <v>0</v>
      </c>
      <c r="J498" s="7" t="n">
        <v>0</v>
      </c>
      <c r="K498" s="9" t="n">
        <v>0</v>
      </c>
      <c r="L498" s="10" t="n">
        <v>11.8</v>
      </c>
      <c r="M498" s="10" t="n">
        <v>1.43</v>
      </c>
      <c r="N498" t="inlineStr">
        <is>
          <t>1</t>
        </is>
      </c>
      <c r="O498" t="inlineStr">
        <is>
          <t>16</t>
        </is>
      </c>
      <c r="P498" t="inlineStr">
        <is>
          <t xml:space="preserve">45117   </t>
        </is>
      </c>
      <c r="Q498" s="26" t="n">
        <v>19.9</v>
      </c>
      <c r="R498" s="26">
        <f>Q498*G498</f>
        <v/>
      </c>
      <c r="S498" t="n">
        <v>11.81</v>
      </c>
      <c r="T498" s="18">
        <f>1 - V498/S498</f>
        <v/>
      </c>
      <c r="U498" s="18" t="n">
        <v>0.1005025125628141</v>
      </c>
      <c r="V498" s="26" t="n">
        <v>8.417118644067797</v>
      </c>
      <c r="W498" s="26">
        <f>V498 - L498</f>
        <v/>
      </c>
    </row>
    <row r="499">
      <c r="A499" s="11" t="n">
        <v>46208</v>
      </c>
      <c r="B499" s="1" t="n">
        <v>20048</v>
      </c>
      <c r="C499" s="1" t="inlineStr">
        <is>
          <t>515</t>
        </is>
      </c>
      <c r="D499" s="1" t="inlineStr">
        <is>
          <t xml:space="preserve">1421  </t>
        </is>
      </c>
      <c r="E499" s="1" t="inlineStr">
        <is>
          <t xml:space="preserve">28194783       </t>
        </is>
      </c>
      <c r="F499" s="5" t="inlineStr">
        <is>
          <t>SET DE BATALLA INFINITY NADO CON 2 TROMPOS</t>
        </is>
      </c>
      <c r="G499" t="n">
        <v>1</v>
      </c>
      <c r="H499" s="7" t="n">
        <v>159</v>
      </c>
      <c r="I499" s="7" t="n">
        <v>0</v>
      </c>
      <c r="J499" s="7" t="n">
        <v>0</v>
      </c>
      <c r="K499" s="9" t="n">
        <v>0</v>
      </c>
      <c r="L499" s="10" t="n">
        <v>94.33</v>
      </c>
      <c r="M499" s="10" t="n">
        <v>1.43</v>
      </c>
      <c r="N499" t="inlineStr">
        <is>
          <t>1</t>
        </is>
      </c>
      <c r="O499" t="inlineStr">
        <is>
          <t>16</t>
        </is>
      </c>
      <c r="P499" t="inlineStr">
        <is>
          <t xml:space="preserve">102671  </t>
        </is>
      </c>
      <c r="Q499" s="26" t="n">
        <v>159</v>
      </c>
      <c r="R499" s="26">
        <f>Q499*G499</f>
        <v/>
      </c>
      <c r="S499" t="n">
        <v>94.31999999999999</v>
      </c>
      <c r="T499" s="18">
        <f>1 - V499/S499</f>
        <v/>
      </c>
      <c r="U499" s="18" t="n">
        <v>0.1886792452830188</v>
      </c>
      <c r="V499" s="26" t="n">
        <v>81.99152542372882</v>
      </c>
      <c r="W499" s="26">
        <f>V499 - L499</f>
        <v/>
      </c>
    </row>
    <row r="500">
      <c r="A500" s="11" t="n">
        <v>46208</v>
      </c>
      <c r="B500" s="1" t="n">
        <v>20048</v>
      </c>
      <c r="C500" s="1" t="inlineStr">
        <is>
          <t>800</t>
        </is>
      </c>
      <c r="D500" s="1" t="inlineStr">
        <is>
          <t xml:space="preserve">3573  </t>
        </is>
      </c>
      <c r="E500" s="1" t="inlineStr">
        <is>
          <t xml:space="preserve">28194770       </t>
        </is>
      </c>
      <c r="F500" s="5" t="inlineStr">
        <is>
          <t>AUTOS DE METAL 3 TEAMSTERZ EN BLISTER</t>
        </is>
      </c>
      <c r="G500" t="n">
        <v>1</v>
      </c>
      <c r="H500" s="7" t="n">
        <v>6.9</v>
      </c>
      <c r="I500" s="7" t="n">
        <v>0</v>
      </c>
      <c r="J500" s="7" t="n">
        <v>0</v>
      </c>
      <c r="K500" s="9" t="n">
        <v>0</v>
      </c>
      <c r="L500" s="10" t="n">
        <v>4.1</v>
      </c>
      <c r="M500" s="10" t="n">
        <v>1.43</v>
      </c>
      <c r="N500" t="inlineStr">
        <is>
          <t>1</t>
        </is>
      </c>
      <c r="O500" t="inlineStr">
        <is>
          <t>16</t>
        </is>
      </c>
      <c r="P500" t="inlineStr">
        <is>
          <t xml:space="preserve">0       </t>
        </is>
      </c>
      <c r="Q500" s="26" t="n">
        <v>6.9</v>
      </c>
      <c r="R500" s="26">
        <f>Q500*G500</f>
        <v/>
      </c>
      <c r="S500" t="n">
        <v>4.09</v>
      </c>
      <c r="T500" s="18">
        <f>1 - V500/S500</f>
        <v/>
      </c>
      <c r="U500" s="18" t="n">
        <v>0</v>
      </c>
      <c r="V500" s="26" t="n">
        <v>4.09</v>
      </c>
      <c r="W500" s="26">
        <f>V500 - L500</f>
        <v/>
      </c>
    </row>
    <row r="501">
      <c r="A501" s="11" t="n">
        <v>46208</v>
      </c>
      <c r="B501" s="1" t="n">
        <v>20048</v>
      </c>
      <c r="C501" s="1" t="inlineStr">
        <is>
          <t>800</t>
        </is>
      </c>
      <c r="D501" s="1" t="inlineStr">
        <is>
          <t xml:space="preserve">3573  </t>
        </is>
      </c>
      <c r="E501" s="1" t="inlineStr">
        <is>
          <t xml:space="preserve">28194770       </t>
        </is>
      </c>
      <c r="F501" s="5" t="inlineStr">
        <is>
          <t>AUTOS DE METAL 3 TEAMSTERZ EN BLISTER</t>
        </is>
      </c>
      <c r="G501" t="n">
        <v>1</v>
      </c>
      <c r="H501" s="7" t="n">
        <v>6.9</v>
      </c>
      <c r="I501" s="7" t="n">
        <v>0</v>
      </c>
      <c r="J501" s="7" t="n">
        <v>0</v>
      </c>
      <c r="K501" s="9" t="n">
        <v>0</v>
      </c>
      <c r="L501" s="10" t="n">
        <v>4.1</v>
      </c>
      <c r="M501" s="10" t="n">
        <v>1.43</v>
      </c>
      <c r="N501" t="inlineStr">
        <is>
          <t>1</t>
        </is>
      </c>
      <c r="O501" t="inlineStr">
        <is>
          <t>16</t>
        </is>
      </c>
      <c r="P501" t="inlineStr">
        <is>
          <t xml:space="preserve">0       </t>
        </is>
      </c>
      <c r="Q501" s="26" t="n">
        <v>6.9</v>
      </c>
      <c r="R501" s="26">
        <f>Q501*G501</f>
        <v/>
      </c>
      <c r="S501" t="n">
        <v>4.09</v>
      </c>
      <c r="T501" s="18">
        <f>1 - V501/S501</f>
        <v/>
      </c>
      <c r="U501" s="18" t="n">
        <v>0</v>
      </c>
      <c r="V501" s="26" t="n">
        <v>4.09</v>
      </c>
      <c r="W501" s="26">
        <f>V501 - L501</f>
        <v/>
      </c>
    </row>
    <row r="502">
      <c r="A502" s="11" t="n">
        <v>46208</v>
      </c>
      <c r="B502" s="1" t="n">
        <v>20048</v>
      </c>
      <c r="C502" s="1" t="inlineStr">
        <is>
          <t>800</t>
        </is>
      </c>
      <c r="D502" s="1" t="inlineStr">
        <is>
          <t xml:space="preserve">3573  </t>
        </is>
      </c>
      <c r="E502" s="1" t="inlineStr">
        <is>
          <t xml:space="preserve">32457111       </t>
        </is>
      </c>
      <c r="F502" s="5" t="inlineStr">
        <is>
          <t>TMZ BEAST MACHINES MONSTER JAWS A FRICCION PACK DE</t>
        </is>
      </c>
      <c r="G502" t="n">
        <v>1</v>
      </c>
      <c r="H502" s="7" t="n">
        <v>74.90000000000001</v>
      </c>
      <c r="I502" s="7" t="n">
        <v>0</v>
      </c>
      <c r="J502" s="7" t="n">
        <v>0</v>
      </c>
      <c r="K502" s="9" t="n">
        <v>0</v>
      </c>
      <c r="L502" s="10" t="n">
        <v>44.43</v>
      </c>
      <c r="M502" s="10" t="n">
        <v>1.43</v>
      </c>
      <c r="N502" t="inlineStr">
        <is>
          <t>1</t>
        </is>
      </c>
      <c r="O502" t="inlineStr">
        <is>
          <t>16</t>
        </is>
      </c>
      <c r="P502" t="inlineStr">
        <is>
          <t xml:space="preserve">0       </t>
        </is>
      </c>
      <c r="Q502" s="26" t="n">
        <v>74.90000000000001</v>
      </c>
      <c r="R502" s="26">
        <f>Q502*G502</f>
        <v/>
      </c>
      <c r="S502" t="n">
        <v>44.43</v>
      </c>
      <c r="T502" s="18">
        <f>1 - V502/S502</f>
        <v/>
      </c>
      <c r="U502" s="18" t="n">
        <v>0.2670226969292391</v>
      </c>
      <c r="V502" s="26" t="n">
        <v>31.92406779661017</v>
      </c>
      <c r="W502" s="26">
        <f>V502 - L502</f>
        <v/>
      </c>
    </row>
    <row r="503">
      <c r="A503" s="11" t="n">
        <v>46208</v>
      </c>
      <c r="B503" s="1" t="n">
        <v>20048</v>
      </c>
      <c r="C503" s="1" t="inlineStr">
        <is>
          <t>800</t>
        </is>
      </c>
      <c r="D503" s="1" t="inlineStr">
        <is>
          <t xml:space="preserve">3648  </t>
        </is>
      </c>
      <c r="E503" s="1" t="inlineStr">
        <is>
          <t xml:space="preserve">28194769       </t>
        </is>
      </c>
      <c r="F503" s="5" t="inlineStr">
        <is>
          <t>AUTOS DE METAL 3 TEAMSTERZ PACK DE 2</t>
        </is>
      </c>
      <c r="G503" t="n">
        <v>1</v>
      </c>
      <c r="H503" s="7" t="n">
        <v>13.8</v>
      </c>
      <c r="I503" s="7" t="n">
        <v>0</v>
      </c>
      <c r="J503" s="7" t="n">
        <v>0</v>
      </c>
      <c r="K503" s="9" t="n">
        <v>0</v>
      </c>
      <c r="L503" s="10" t="n">
        <v>8.18</v>
      </c>
      <c r="M503" s="10" t="n">
        <v>1.43</v>
      </c>
      <c r="N503" t="inlineStr">
        <is>
          <t>1</t>
        </is>
      </c>
      <c r="O503" t="inlineStr">
        <is>
          <t>16</t>
        </is>
      </c>
      <c r="P503" t="inlineStr">
        <is>
          <t xml:space="preserve">234984  </t>
        </is>
      </c>
      <c r="Q503" s="26" t="n">
        <v>13.8</v>
      </c>
      <c r="R503" s="26">
        <f>Q503*G503</f>
        <v/>
      </c>
      <c r="S503" t="n">
        <v>8.19</v>
      </c>
      <c r="T503" s="18">
        <f>1 - V503/S503</f>
        <v/>
      </c>
      <c r="U503" s="18" t="n">
        <v>0</v>
      </c>
      <c r="V503" s="26" t="n">
        <v>8.19</v>
      </c>
      <c r="W503" s="26">
        <f>V503 - L503</f>
        <v/>
      </c>
    </row>
    <row r="504">
      <c r="A504" s="11" t="n">
        <v>46208</v>
      </c>
      <c r="B504" s="1" t="n">
        <v>20049</v>
      </c>
      <c r="C504" s="1" t="inlineStr">
        <is>
          <t>017</t>
        </is>
      </c>
      <c r="D504" s="1" t="inlineStr">
        <is>
          <t>238021</t>
        </is>
      </c>
      <c r="E504" s="1" t="inlineStr">
        <is>
          <t xml:space="preserve">29235710       </t>
        </is>
      </c>
      <c r="F504" s="5" t="inlineStr">
        <is>
          <t>TEAMSTERZ PLAYSET GRANDES CONSTRUCCIONES</t>
        </is>
      </c>
      <c r="G504" t="n">
        <v>1</v>
      </c>
      <c r="H504" s="7" t="n">
        <v>19.9</v>
      </c>
      <c r="I504" s="7" t="n">
        <v>0</v>
      </c>
      <c r="J504" s="7" t="n">
        <v>0</v>
      </c>
      <c r="K504" s="9" t="n">
        <v>0</v>
      </c>
      <c r="L504" s="10" t="n">
        <v>11.8</v>
      </c>
      <c r="M504" s="10" t="n">
        <v>1.43</v>
      </c>
      <c r="N504" t="inlineStr">
        <is>
          <t>1</t>
        </is>
      </c>
      <c r="O504" t="inlineStr">
        <is>
          <t xml:space="preserve">3 </t>
        </is>
      </c>
      <c r="P504" t="inlineStr">
        <is>
          <t xml:space="preserve">108879  </t>
        </is>
      </c>
      <c r="Q504" s="26" t="n">
        <v>19.9</v>
      </c>
      <c r="R504" s="26">
        <f>Q504*G504</f>
        <v/>
      </c>
      <c r="S504" t="n">
        <v>11.81</v>
      </c>
      <c r="T504" s="18">
        <f>1 - V504/S504</f>
        <v/>
      </c>
      <c r="U504" s="18" t="n">
        <v>0</v>
      </c>
      <c r="V504" s="26" t="n">
        <v>11.81</v>
      </c>
      <c r="W504" s="26">
        <f>V504 - L504</f>
        <v/>
      </c>
    </row>
    <row r="505">
      <c r="A505" s="11" t="n">
        <v>46208</v>
      </c>
      <c r="B505" s="1" t="n">
        <v>20049</v>
      </c>
      <c r="C505" s="1" t="inlineStr">
        <is>
          <t>017</t>
        </is>
      </c>
      <c r="D505" s="1" t="inlineStr">
        <is>
          <t>238070</t>
        </is>
      </c>
      <c r="E505" s="1" t="inlineStr">
        <is>
          <t xml:space="preserve">28194765       </t>
        </is>
      </c>
      <c r="F505" s="5" t="inlineStr">
        <is>
          <t>PLAYSET COLOR CHANGE TIBURN TEAMSTERZ  1 AUTITO</t>
        </is>
      </c>
      <c r="G505" t="n">
        <v>1</v>
      </c>
      <c r="H505" s="7" t="n">
        <v>79.90000000000001</v>
      </c>
      <c r="I505" s="7" t="n">
        <v>0</v>
      </c>
      <c r="J505" s="7" t="n">
        <v>0</v>
      </c>
      <c r="K505" s="9" t="n">
        <v>0</v>
      </c>
      <c r="L505" s="10" t="n">
        <v>47.4</v>
      </c>
      <c r="M505" s="10" t="n">
        <v>1.43</v>
      </c>
      <c r="N505" t="inlineStr">
        <is>
          <t>1</t>
        </is>
      </c>
      <c r="O505" t="inlineStr">
        <is>
          <t>16</t>
        </is>
      </c>
      <c r="P505" t="inlineStr">
        <is>
          <t xml:space="preserve">108879  </t>
        </is>
      </c>
      <c r="Q505" s="26" t="n">
        <v>79.90000000000001</v>
      </c>
      <c r="R505" s="26">
        <f>Q505*G505</f>
        <v/>
      </c>
      <c r="S505" t="n">
        <v>47.4</v>
      </c>
      <c r="T505" s="18">
        <f>1 - V505/S505</f>
        <v/>
      </c>
      <c r="U505" s="18" t="n">
        <v>0</v>
      </c>
      <c r="V505" s="26" t="n">
        <v>47.4</v>
      </c>
      <c r="W505" s="26">
        <f>V505 - L505</f>
        <v/>
      </c>
    </row>
    <row r="506">
      <c r="A506" s="11" t="n">
        <v>46208</v>
      </c>
      <c r="B506" s="1" t="n">
        <v>20049</v>
      </c>
      <c r="C506" s="1" t="inlineStr">
        <is>
          <t>026</t>
        </is>
      </c>
      <c r="D506" s="1" t="inlineStr">
        <is>
          <t>232978</t>
        </is>
      </c>
      <c r="E506" s="1" t="inlineStr">
        <is>
          <t xml:space="preserve">32457099       </t>
        </is>
      </c>
      <c r="F506" s="5" t="inlineStr">
        <is>
          <t>TMZ BEAST MACHINES MONSTER JAWS A FRICCION BLISTER</t>
        </is>
      </c>
      <c r="G506" t="n">
        <v>1</v>
      </c>
      <c r="H506" s="7" t="n">
        <v>19.9</v>
      </c>
      <c r="I506" s="7" t="n">
        <v>0</v>
      </c>
      <c r="J506" s="7" t="n">
        <v>0</v>
      </c>
      <c r="K506" s="9" t="n">
        <v>0</v>
      </c>
      <c r="L506" s="10" t="n">
        <v>11.8</v>
      </c>
      <c r="M506" s="10" t="n">
        <v>1.43</v>
      </c>
      <c r="N506" t="inlineStr">
        <is>
          <t>1</t>
        </is>
      </c>
      <c r="O506" t="inlineStr">
        <is>
          <t xml:space="preserve">3 </t>
        </is>
      </c>
      <c r="P506" t="inlineStr">
        <is>
          <t xml:space="preserve">250381  </t>
        </is>
      </c>
      <c r="Q506" s="26" t="n">
        <v>19.9</v>
      </c>
      <c r="R506" s="26">
        <f>Q506*G506</f>
        <v/>
      </c>
      <c r="S506" t="n">
        <v>11.81</v>
      </c>
      <c r="T506" s="18">
        <f>1 - V506/S506</f>
        <v/>
      </c>
      <c r="U506" s="18" t="n">
        <v>0.1005025125628141</v>
      </c>
      <c r="V506" s="26" t="n">
        <v>8.417118644067797</v>
      </c>
      <c r="W506" s="26">
        <f>V506 - L506</f>
        <v/>
      </c>
    </row>
    <row r="507">
      <c r="A507" s="11" t="n">
        <v>46208</v>
      </c>
      <c r="B507" s="1" t="n">
        <v>20049</v>
      </c>
      <c r="C507" s="1" t="inlineStr">
        <is>
          <t>502</t>
        </is>
      </c>
      <c r="D507" s="1" t="inlineStr">
        <is>
          <t xml:space="preserve">9307  </t>
        </is>
      </c>
      <c r="E507" s="1" t="inlineStr">
        <is>
          <t xml:space="preserve">32457101       </t>
        </is>
      </c>
      <c r="F507" s="5" t="inlineStr">
        <is>
          <t>TMZ BEAST MACHINES TRANSPORTE PESADO + 2 AUTOS SUR</t>
        </is>
      </c>
      <c r="G507" t="n">
        <v>1</v>
      </c>
      <c r="H507" s="7" t="n">
        <v>37.9</v>
      </c>
      <c r="I507" s="7" t="n">
        <v>0</v>
      </c>
      <c r="J507" s="7" t="n">
        <v>0</v>
      </c>
      <c r="K507" s="9" t="n">
        <v>0</v>
      </c>
      <c r="L507" s="10" t="n">
        <v>22.48</v>
      </c>
      <c r="M507" s="10" t="n">
        <v>1.43</v>
      </c>
      <c r="N507" t="inlineStr">
        <is>
          <t>1</t>
        </is>
      </c>
      <c r="O507" t="inlineStr">
        <is>
          <t>16</t>
        </is>
      </c>
      <c r="P507" t="inlineStr">
        <is>
          <t xml:space="preserve">247094  </t>
        </is>
      </c>
      <c r="Q507" s="26" t="n">
        <v>37.9</v>
      </c>
      <c r="R507" s="26">
        <f>Q507*G507</f>
        <v/>
      </c>
      <c r="S507" t="n">
        <v>22.48</v>
      </c>
      <c r="T507" s="18">
        <f>1 - V507/S507</f>
        <v/>
      </c>
      <c r="U507" s="18" t="n">
        <v>0.5277044854881267</v>
      </c>
      <c r="V507" s="26" t="n">
        <v>12.88694915254237</v>
      </c>
      <c r="W507" s="26">
        <f>V507 - L507</f>
        <v/>
      </c>
    </row>
    <row r="508">
      <c r="A508" s="11" t="n">
        <v>46208</v>
      </c>
      <c r="B508" s="1" t="n">
        <v>20049</v>
      </c>
      <c r="C508" s="1" t="inlineStr">
        <is>
          <t>803</t>
        </is>
      </c>
      <c r="D508" s="1" t="inlineStr">
        <is>
          <t xml:space="preserve">5206  </t>
        </is>
      </c>
      <c r="E508" s="1" t="inlineStr">
        <is>
          <t xml:space="preserve">35685067       </t>
        </is>
      </c>
      <c r="F508" s="5" t="inlineStr">
        <is>
          <t>HOT WHEELS POWER SET 3 EN 1</t>
        </is>
      </c>
      <c r="G508" t="n">
        <v>1</v>
      </c>
      <c r="H508" s="7" t="n">
        <v>49.9</v>
      </c>
      <c r="I508" s="7" t="n">
        <v>0</v>
      </c>
      <c r="J508" s="7" t="n">
        <v>0</v>
      </c>
      <c r="K508" s="9" t="n">
        <v>0</v>
      </c>
      <c r="L508" s="10" t="n">
        <v>29.6</v>
      </c>
      <c r="M508" s="10" t="n">
        <v>1.43</v>
      </c>
      <c r="N508" t="inlineStr">
        <is>
          <t>1</t>
        </is>
      </c>
      <c r="O508" t="inlineStr">
        <is>
          <t>16</t>
        </is>
      </c>
      <c r="P508" t="inlineStr">
        <is>
          <t xml:space="preserve">0       </t>
        </is>
      </c>
      <c r="Q508" s="26" t="n">
        <v>49.9</v>
      </c>
      <c r="R508" s="26">
        <f>Q508*G508</f>
        <v/>
      </c>
      <c r="S508" t="n">
        <v>29.6</v>
      </c>
      <c r="T508" s="18">
        <f>1 - V508/S508</f>
        <v/>
      </c>
      <c r="U508" s="18" t="n">
        <v>0</v>
      </c>
      <c r="V508" s="26" t="n">
        <v>29.6</v>
      </c>
      <c r="W508" s="26">
        <f>V508 - L508</f>
        <v/>
      </c>
    </row>
    <row r="509">
      <c r="A509" s="11" t="n">
        <v>46208</v>
      </c>
      <c r="B509" s="1" t="n">
        <v>20056</v>
      </c>
      <c r="C509" s="1" t="inlineStr">
        <is>
          <t>020</t>
        </is>
      </c>
      <c r="D509" s="1" t="inlineStr">
        <is>
          <t xml:space="preserve">21615 </t>
        </is>
      </c>
      <c r="E509" s="1" t="inlineStr">
        <is>
          <t xml:space="preserve">31959957       </t>
        </is>
      </c>
      <c r="F509" s="5" t="inlineStr">
        <is>
          <t>TEAMSTERZ PLAYSET RESCATE EN EL MAR</t>
        </is>
      </c>
      <c r="G509" t="n">
        <v>1</v>
      </c>
      <c r="H509" s="7" t="n">
        <v>19.9</v>
      </c>
      <c r="I509" s="7" t="n">
        <v>0</v>
      </c>
      <c r="J509" s="7" t="n">
        <v>0</v>
      </c>
      <c r="K509" s="9" t="n">
        <v>0</v>
      </c>
      <c r="L509" s="10" t="n">
        <v>11.8</v>
      </c>
      <c r="M509" s="10" t="n">
        <v>1.43</v>
      </c>
      <c r="N509" t="inlineStr">
        <is>
          <t>1</t>
        </is>
      </c>
      <c r="O509" t="inlineStr">
        <is>
          <t>16</t>
        </is>
      </c>
      <c r="P509" t="inlineStr">
        <is>
          <t xml:space="preserve">250152  </t>
        </is>
      </c>
      <c r="Q509" s="26" t="n">
        <v>19.9</v>
      </c>
      <c r="R509" s="26">
        <f>Q509*G509</f>
        <v/>
      </c>
      <c r="S509" t="n">
        <v>11.81</v>
      </c>
      <c r="T509" s="18">
        <f>1 - V509/S509</f>
        <v/>
      </c>
      <c r="U509" s="18" t="n">
        <v>0</v>
      </c>
      <c r="V509" s="26" t="n">
        <v>11.81</v>
      </c>
      <c r="W509" s="26">
        <f>V509 - L509</f>
        <v/>
      </c>
    </row>
    <row r="510">
      <c r="A510" s="11" t="n">
        <v>46208</v>
      </c>
      <c r="B510" s="1" t="n">
        <v>20056</v>
      </c>
      <c r="C510" s="1" t="inlineStr">
        <is>
          <t>021</t>
        </is>
      </c>
      <c r="D510" s="1" t="inlineStr">
        <is>
          <t xml:space="preserve">52024 </t>
        </is>
      </c>
      <c r="E510" s="1" t="inlineStr">
        <is>
          <t xml:space="preserve">28194768       </t>
        </is>
      </c>
      <c r="F510" s="5" t="inlineStr">
        <is>
          <t>AUTO COLOR CHANGE TEAMSTERZ SURTIDO</t>
        </is>
      </c>
      <c r="G510" t="n">
        <v>1</v>
      </c>
      <c r="H510" s="7" t="n">
        <v>14.9</v>
      </c>
      <c r="I510" s="7" t="n">
        <v>0</v>
      </c>
      <c r="J510" s="7" t="n">
        <v>0</v>
      </c>
      <c r="K510" s="9" t="n">
        <v>0</v>
      </c>
      <c r="L510" s="10" t="n">
        <v>8.84</v>
      </c>
      <c r="M510" s="10" t="n">
        <v>1.43</v>
      </c>
      <c r="N510" t="inlineStr">
        <is>
          <t>1</t>
        </is>
      </c>
      <c r="O510" t="inlineStr">
        <is>
          <t xml:space="preserve">2 </t>
        </is>
      </c>
      <c r="P510" t="inlineStr">
        <is>
          <t xml:space="preserve">248464  </t>
        </is>
      </c>
      <c r="Q510" s="26" t="n">
        <v>14.9</v>
      </c>
      <c r="R510" s="26">
        <f>Q510*G510</f>
        <v/>
      </c>
      <c r="S510" t="n">
        <v>8.84</v>
      </c>
      <c r="T510" s="18">
        <f>1 - V510/S510</f>
        <v/>
      </c>
      <c r="U510" s="18" t="n">
        <v>0</v>
      </c>
      <c r="V510" s="26" t="n">
        <v>8.84</v>
      </c>
      <c r="W510" s="26">
        <f>V510 - L510</f>
        <v/>
      </c>
    </row>
    <row r="511">
      <c r="A511" s="11" t="n">
        <v>46208</v>
      </c>
      <c r="B511" s="1" t="n">
        <v>20056</v>
      </c>
      <c r="C511" s="1" t="inlineStr">
        <is>
          <t>504</t>
        </is>
      </c>
      <c r="D511" s="1" t="inlineStr">
        <is>
          <t xml:space="preserve">3568  </t>
        </is>
      </c>
      <c r="E511" s="1" t="inlineStr">
        <is>
          <t xml:space="preserve">32457096       </t>
        </is>
      </c>
      <c r="F511" s="5" t="inlineStr">
        <is>
          <t>PINYPON AUTO DEPORT / SCOOTER + FIGURA SURT</t>
        </is>
      </c>
      <c r="G511" t="n">
        <v>1</v>
      </c>
      <c r="H511" s="7" t="n">
        <v>69.90000000000001</v>
      </c>
      <c r="I511" s="7" t="n">
        <v>0</v>
      </c>
      <c r="J511" s="7" t="n">
        <v>0</v>
      </c>
      <c r="K511" s="9" t="n">
        <v>0</v>
      </c>
      <c r="L511" s="10" t="n">
        <v>41.47</v>
      </c>
      <c r="M511" s="10" t="n">
        <v>1.43</v>
      </c>
      <c r="N511" t="inlineStr">
        <is>
          <t>1</t>
        </is>
      </c>
      <c r="O511" t="inlineStr">
        <is>
          <t>16</t>
        </is>
      </c>
      <c r="P511" t="inlineStr">
        <is>
          <t xml:space="preserve">241218  </t>
        </is>
      </c>
      <c r="Q511" s="26" t="n">
        <v>69.90000000000001</v>
      </c>
      <c r="R511" s="26">
        <f>Q511*G511</f>
        <v/>
      </c>
      <c r="S511" t="n">
        <v>41.47</v>
      </c>
      <c r="T511" s="18">
        <f>1 - V511/S511</f>
        <v/>
      </c>
      <c r="U511" s="18" t="n">
        <v>0.4000000000000001</v>
      </c>
      <c r="V511" s="26" t="n">
        <v>28.43389830508475</v>
      </c>
      <c r="W511" s="26">
        <f>V511 - L511</f>
        <v/>
      </c>
    </row>
    <row r="512">
      <c r="A512" s="11" t="n">
        <v>46208</v>
      </c>
      <c r="B512" s="1" t="n">
        <v>20057</v>
      </c>
      <c r="C512" s="1" t="inlineStr">
        <is>
          <t>031</t>
        </is>
      </c>
      <c r="D512" s="1" t="inlineStr">
        <is>
          <t xml:space="preserve">40067 </t>
        </is>
      </c>
      <c r="E512" s="1" t="inlineStr">
        <is>
          <t xml:space="preserve">34840556       </t>
        </is>
      </c>
      <c r="F512" s="5" t="inlineStr">
        <is>
          <t>TMZ BEAST MACH. TRANSPORT DINO +ACCS</t>
        </is>
      </c>
      <c r="G512" t="n">
        <v>1</v>
      </c>
      <c r="H512" s="7" t="n">
        <v>79.90000000000001</v>
      </c>
      <c r="I512" s="7" t="n">
        <v>0</v>
      </c>
      <c r="J512" s="7" t="n">
        <v>0</v>
      </c>
      <c r="K512" s="9" t="n">
        <v>0</v>
      </c>
      <c r="L512" s="10" t="n">
        <v>47.4</v>
      </c>
      <c r="M512" s="10" t="n">
        <v>1.43</v>
      </c>
      <c r="N512" t="inlineStr">
        <is>
          <t>1</t>
        </is>
      </c>
      <c r="O512" t="inlineStr">
        <is>
          <t>16</t>
        </is>
      </c>
      <c r="P512" t="inlineStr">
        <is>
          <t xml:space="preserve">248132  </t>
        </is>
      </c>
      <c r="Q512" s="26" t="n">
        <v>79.90000000000002</v>
      </c>
      <c r="R512" s="26">
        <f>Q512*G512</f>
        <v/>
      </c>
      <c r="S512" t="n">
        <v>47.4</v>
      </c>
      <c r="T512" s="18">
        <f>1 - V512/S512</f>
        <v/>
      </c>
      <c r="U512" s="18" t="n">
        <v>0.2503128911138924</v>
      </c>
      <c r="V512" s="26" t="n">
        <v>38.07203389830509</v>
      </c>
      <c r="W512" s="26">
        <f>V512 - L512</f>
        <v/>
      </c>
    </row>
    <row r="513">
      <c r="A513" s="11" t="n">
        <v>46208</v>
      </c>
      <c r="B513" s="1" t="n">
        <v>20057</v>
      </c>
      <c r="C513" s="1" t="inlineStr">
        <is>
          <t>031</t>
        </is>
      </c>
      <c r="D513" s="1" t="inlineStr">
        <is>
          <t xml:space="preserve">40086 </t>
        </is>
      </c>
      <c r="E513" s="1" t="inlineStr">
        <is>
          <t xml:space="preserve">28194770       </t>
        </is>
      </c>
      <c r="F513" s="5" t="inlineStr">
        <is>
          <t>AUTOS DE METAL 3 TEAMSTERZ EN BLISTER</t>
        </is>
      </c>
      <c r="G513" t="n">
        <v>1</v>
      </c>
      <c r="H513" s="7" t="n">
        <v>6.9</v>
      </c>
      <c r="I513" s="7" t="n">
        <v>0</v>
      </c>
      <c r="J513" s="7" t="n">
        <v>0</v>
      </c>
      <c r="K513" s="9" t="n">
        <v>0</v>
      </c>
      <c r="L513" s="10" t="n">
        <v>4.1</v>
      </c>
      <c r="M513" s="10" t="n">
        <v>1.43</v>
      </c>
      <c r="N513" t="inlineStr">
        <is>
          <t>1</t>
        </is>
      </c>
      <c r="O513" t="inlineStr">
        <is>
          <t xml:space="preserve">6 </t>
        </is>
      </c>
      <c r="P513" t="inlineStr">
        <is>
          <t xml:space="preserve">248132  </t>
        </is>
      </c>
      <c r="Q513" s="26" t="n">
        <v>6.9</v>
      </c>
      <c r="R513" s="26">
        <f>Q513*G513</f>
        <v/>
      </c>
      <c r="S513" t="n">
        <v>4.09</v>
      </c>
      <c r="T513" s="18">
        <f>1 - V513/S513</f>
        <v/>
      </c>
      <c r="U513" s="18" t="n">
        <v>0</v>
      </c>
      <c r="V513" s="26" t="n">
        <v>4.09</v>
      </c>
      <c r="W513" s="26">
        <f>V513 - L513</f>
        <v/>
      </c>
    </row>
    <row r="514">
      <c r="A514" s="11" t="n">
        <v>46208</v>
      </c>
      <c r="B514" s="1" t="n">
        <v>20057</v>
      </c>
      <c r="C514" s="1" t="inlineStr">
        <is>
          <t>031</t>
        </is>
      </c>
      <c r="D514" s="1" t="inlineStr">
        <is>
          <t xml:space="preserve">40111 </t>
        </is>
      </c>
      <c r="E514" s="1" t="inlineStr">
        <is>
          <t xml:space="preserve">28194770       </t>
        </is>
      </c>
      <c r="F514" s="5" t="inlineStr">
        <is>
          <t>AUTOS DE METAL 3 TEAMSTERZ EN BLISTER</t>
        </is>
      </c>
      <c r="G514" t="n">
        <v>1</v>
      </c>
      <c r="H514" s="7" t="n">
        <v>6.9</v>
      </c>
      <c r="I514" s="7" t="n">
        <v>0</v>
      </c>
      <c r="J514" s="7" t="n">
        <v>0</v>
      </c>
      <c r="K514" s="9" t="n">
        <v>0</v>
      </c>
      <c r="L514" s="10" t="n">
        <v>4.1</v>
      </c>
      <c r="M514" s="10" t="n">
        <v>1.43</v>
      </c>
      <c r="N514" t="inlineStr">
        <is>
          <t>1</t>
        </is>
      </c>
      <c r="O514" t="inlineStr">
        <is>
          <t xml:space="preserve">3 </t>
        </is>
      </c>
      <c r="P514" t="inlineStr">
        <is>
          <t xml:space="preserve">248132  </t>
        </is>
      </c>
      <c r="Q514" s="26" t="n">
        <v>6.9</v>
      </c>
      <c r="R514" s="26">
        <f>Q514*G514</f>
        <v/>
      </c>
      <c r="S514" t="n">
        <v>4.09</v>
      </c>
      <c r="T514" s="18">
        <f>1 - V514/S514</f>
        <v/>
      </c>
      <c r="U514" s="18" t="n">
        <v>0</v>
      </c>
      <c r="V514" s="26" t="n">
        <v>4.09</v>
      </c>
      <c r="W514" s="26">
        <f>V514 - L514</f>
        <v/>
      </c>
    </row>
    <row r="515">
      <c r="A515" s="11" t="n">
        <v>46208</v>
      </c>
      <c r="B515" s="1" t="n">
        <v>20057</v>
      </c>
      <c r="C515" s="1" t="inlineStr">
        <is>
          <t>032</t>
        </is>
      </c>
      <c r="D515" s="1" t="inlineStr">
        <is>
          <t xml:space="preserve">73930 </t>
        </is>
      </c>
      <c r="E515" s="1" t="inlineStr">
        <is>
          <t xml:space="preserve">34840524       </t>
        </is>
      </c>
      <c r="F515" s="5" t="inlineStr">
        <is>
          <t>NENUCO 5 FUNCIONES INTERACTIVAS</t>
        </is>
      </c>
      <c r="G515" t="n">
        <v>1</v>
      </c>
      <c r="H515" s="7" t="n">
        <v>89.90000000000001</v>
      </c>
      <c r="I515" s="7" t="n">
        <v>0</v>
      </c>
      <c r="J515" s="7" t="n">
        <v>0</v>
      </c>
      <c r="K515" s="9" t="n">
        <v>0</v>
      </c>
      <c r="L515" s="10" t="n">
        <v>53.33</v>
      </c>
      <c r="M515" s="10" t="n">
        <v>1.43</v>
      </c>
      <c r="N515" t="inlineStr">
        <is>
          <t>1</t>
        </is>
      </c>
      <c r="O515" t="inlineStr">
        <is>
          <t>16</t>
        </is>
      </c>
      <c r="P515" t="inlineStr">
        <is>
          <t xml:space="preserve">203426  </t>
        </is>
      </c>
      <c r="Q515" s="26" t="n">
        <v>89.90000000000003</v>
      </c>
      <c r="R515" s="26">
        <f>Q515*G515</f>
        <v/>
      </c>
      <c r="S515" t="n">
        <v>53.33</v>
      </c>
      <c r="T515" s="18">
        <f>1 - V515/S515</f>
        <v/>
      </c>
      <c r="U515" s="18" t="n">
        <v>0.2224694104560623</v>
      </c>
      <c r="V515" s="26" t="n">
        <v>44.42796610169492</v>
      </c>
      <c r="W515" s="26">
        <f>V515 - L515</f>
        <v/>
      </c>
    </row>
    <row r="516">
      <c r="A516" s="11" t="n">
        <v>46208</v>
      </c>
      <c r="B516" s="1" t="n">
        <v>20057</v>
      </c>
      <c r="C516" s="1" t="inlineStr">
        <is>
          <t>032</t>
        </is>
      </c>
      <c r="D516" s="1" t="inlineStr">
        <is>
          <t xml:space="preserve">73945 </t>
        </is>
      </c>
      <c r="E516" s="1" t="inlineStr">
        <is>
          <t xml:space="preserve">28194770       </t>
        </is>
      </c>
      <c r="F516" s="5" t="inlineStr">
        <is>
          <t>AUTOS DE METAL 3 TEAMSTERZ EN BLISTER</t>
        </is>
      </c>
      <c r="G516" t="n">
        <v>1</v>
      </c>
      <c r="H516" s="7" t="n">
        <v>6.9</v>
      </c>
      <c r="I516" s="7" t="n">
        <v>0</v>
      </c>
      <c r="J516" s="7" t="n">
        <v>0</v>
      </c>
      <c r="K516" s="9" t="n">
        <v>0</v>
      </c>
      <c r="L516" s="10" t="n">
        <v>4.1</v>
      </c>
      <c r="M516" s="10" t="n">
        <v>1.43</v>
      </c>
      <c r="N516" t="inlineStr">
        <is>
          <t>1</t>
        </is>
      </c>
      <c r="O516" t="inlineStr">
        <is>
          <t>16</t>
        </is>
      </c>
      <c r="P516" t="inlineStr">
        <is>
          <t xml:space="preserve">250464  </t>
        </is>
      </c>
      <c r="Q516" s="26" t="n">
        <v>6.9</v>
      </c>
      <c r="R516" s="26">
        <f>Q516*G516</f>
        <v/>
      </c>
      <c r="S516" t="n">
        <v>4.09</v>
      </c>
      <c r="T516" s="18">
        <f>1 - V516/S516</f>
        <v/>
      </c>
      <c r="U516" s="18" t="n">
        <v>0</v>
      </c>
      <c r="V516" s="26" t="n">
        <v>4.09</v>
      </c>
      <c r="W516" s="26">
        <f>V516 - L516</f>
        <v/>
      </c>
    </row>
    <row r="517">
      <c r="A517" s="11" t="n">
        <v>46208</v>
      </c>
      <c r="B517" s="1" t="n">
        <v>20057</v>
      </c>
      <c r="C517" s="1" t="inlineStr">
        <is>
          <t>033</t>
        </is>
      </c>
      <c r="D517" s="1" t="inlineStr">
        <is>
          <t xml:space="preserve">66349 </t>
        </is>
      </c>
      <c r="E517" s="1" t="inlineStr">
        <is>
          <t xml:space="preserve">28194770       </t>
        </is>
      </c>
      <c r="F517" s="5" t="inlineStr">
        <is>
          <t>AUTOS DE METAL 3 TEAMSTERZ EN BLISTER</t>
        </is>
      </c>
      <c r="G517" t="n">
        <v>1</v>
      </c>
      <c r="H517" s="7" t="n">
        <v>6.9</v>
      </c>
      <c r="I517" s="7" t="n">
        <v>0</v>
      </c>
      <c r="J517" s="7" t="n">
        <v>0</v>
      </c>
      <c r="K517" s="9" t="n">
        <v>0</v>
      </c>
      <c r="L517" s="10" t="n">
        <v>4.1</v>
      </c>
      <c r="M517" s="10" t="n">
        <v>1.43</v>
      </c>
      <c r="N517" t="inlineStr">
        <is>
          <t>1</t>
        </is>
      </c>
      <c r="O517" t="inlineStr">
        <is>
          <t>16</t>
        </is>
      </c>
      <c r="P517" t="inlineStr">
        <is>
          <t xml:space="preserve">235719  </t>
        </is>
      </c>
      <c r="Q517" s="26" t="n">
        <v>6.9</v>
      </c>
      <c r="R517" s="26">
        <f>Q517*G517</f>
        <v/>
      </c>
      <c r="S517" t="n">
        <v>4.09</v>
      </c>
      <c r="T517" s="18">
        <f>1 - V517/S517</f>
        <v/>
      </c>
      <c r="U517" s="18" t="n">
        <v>0</v>
      </c>
      <c r="V517" s="26" t="n">
        <v>4.09</v>
      </c>
      <c r="W517" s="26">
        <f>V517 - L517</f>
        <v/>
      </c>
    </row>
    <row r="518">
      <c r="A518" s="11" t="n">
        <v>46208</v>
      </c>
      <c r="B518" s="1" t="n">
        <v>20057</v>
      </c>
      <c r="C518" s="1" t="inlineStr">
        <is>
          <t>033</t>
        </is>
      </c>
      <c r="D518" s="1" t="inlineStr">
        <is>
          <t xml:space="preserve">66379 </t>
        </is>
      </c>
      <c r="E518" s="1" t="inlineStr">
        <is>
          <t xml:space="preserve">28194770       </t>
        </is>
      </c>
      <c r="F518" s="5" t="inlineStr">
        <is>
          <t>AUTOS DE METAL 3 TEAMSTERZ EN BLISTER</t>
        </is>
      </c>
      <c r="G518" t="n">
        <v>1</v>
      </c>
      <c r="H518" s="7" t="n">
        <v>6.9</v>
      </c>
      <c r="I518" s="7" t="n">
        <v>0</v>
      </c>
      <c r="J518" s="7" t="n">
        <v>0</v>
      </c>
      <c r="K518" s="9" t="n">
        <v>0</v>
      </c>
      <c r="L518" s="10" t="n">
        <v>4.1</v>
      </c>
      <c r="M518" s="10" t="n">
        <v>1.43</v>
      </c>
      <c r="N518" t="inlineStr">
        <is>
          <t>1</t>
        </is>
      </c>
      <c r="O518" t="inlineStr">
        <is>
          <t xml:space="preserve">3 </t>
        </is>
      </c>
      <c r="P518" t="inlineStr">
        <is>
          <t xml:space="preserve">241530  </t>
        </is>
      </c>
      <c r="Q518" s="26" t="n">
        <v>6.9</v>
      </c>
      <c r="R518" s="26">
        <f>Q518*G518</f>
        <v/>
      </c>
      <c r="S518" t="n">
        <v>4.09</v>
      </c>
      <c r="T518" s="18">
        <f>1 - V518/S518</f>
        <v/>
      </c>
      <c r="U518" s="18" t="n">
        <v>0</v>
      </c>
      <c r="V518" s="26" t="n">
        <v>4.09</v>
      </c>
      <c r="W518" s="26">
        <f>V518 - L518</f>
        <v/>
      </c>
    </row>
    <row r="519">
      <c r="A519" s="11" t="n">
        <v>46208</v>
      </c>
      <c r="B519" s="1" t="n">
        <v>20057</v>
      </c>
      <c r="C519" s="1" t="inlineStr">
        <is>
          <t>034</t>
        </is>
      </c>
      <c r="D519" s="1" t="inlineStr">
        <is>
          <t xml:space="preserve">10305 </t>
        </is>
      </c>
      <c r="E519" s="1" t="inlineStr">
        <is>
          <t xml:space="preserve">31959956       </t>
        </is>
      </c>
      <c r="F519" s="5" t="inlineStr">
        <is>
          <t>TEAMSTERZ CAMION TRANSPORTA ANIMALES SURTIDO</t>
        </is>
      </c>
      <c r="G519" t="n">
        <v>1</v>
      </c>
      <c r="H519" s="7" t="n">
        <v>17.9</v>
      </c>
      <c r="I519" s="7" t="n">
        <v>0</v>
      </c>
      <c r="J519" s="7" t="n">
        <v>0</v>
      </c>
      <c r="K519" s="9" t="n">
        <v>0</v>
      </c>
      <c r="L519" s="10" t="n">
        <v>10.62</v>
      </c>
      <c r="M519" s="10" t="n">
        <v>1.43</v>
      </c>
      <c r="N519" t="inlineStr">
        <is>
          <t>1</t>
        </is>
      </c>
      <c r="O519" t="inlineStr">
        <is>
          <t xml:space="preserve">6 </t>
        </is>
      </c>
      <c r="P519" t="inlineStr">
        <is>
          <t xml:space="preserve">250464  </t>
        </is>
      </c>
      <c r="Q519" s="26" t="n">
        <v>17.9</v>
      </c>
      <c r="R519" s="26">
        <f>Q519*G519</f>
        <v/>
      </c>
      <c r="S519" t="n">
        <v>10.62</v>
      </c>
      <c r="T519" s="18">
        <f>1 - V519/S519</f>
        <v/>
      </c>
      <c r="U519" s="18" t="n">
        <v>0</v>
      </c>
      <c r="V519" s="26" t="n">
        <v>10.62</v>
      </c>
      <c r="W519" s="26">
        <f>V519 - L519</f>
        <v/>
      </c>
    </row>
    <row r="520">
      <c r="A520" s="11" t="n">
        <v>46208</v>
      </c>
      <c r="B520" s="1" t="n">
        <v>20057</v>
      </c>
      <c r="C520" s="1" t="inlineStr">
        <is>
          <t>518</t>
        </is>
      </c>
      <c r="D520" s="1" t="inlineStr">
        <is>
          <t xml:space="preserve">3053  </t>
        </is>
      </c>
      <c r="E520" s="1" t="inlineStr">
        <is>
          <t xml:space="preserve">28194770       </t>
        </is>
      </c>
      <c r="F520" s="5" t="inlineStr">
        <is>
          <t>AUTOS DE METAL 3 TEAMSTERZ EN BLISTER</t>
        </is>
      </c>
      <c r="G520" t="n">
        <v>2</v>
      </c>
      <c r="H520" s="7" t="n">
        <v>13.8</v>
      </c>
      <c r="I520" s="7" t="n">
        <v>0</v>
      </c>
      <c r="J520" s="7" t="n">
        <v>0</v>
      </c>
      <c r="K520" s="9" t="n">
        <v>0</v>
      </c>
      <c r="L520" s="10" t="n">
        <v>8.18</v>
      </c>
      <c r="M520" s="10" t="n">
        <v>1.43</v>
      </c>
      <c r="N520" t="inlineStr">
        <is>
          <t>1</t>
        </is>
      </c>
      <c r="O520" t="inlineStr">
        <is>
          <t>16</t>
        </is>
      </c>
      <c r="P520" t="inlineStr">
        <is>
          <t xml:space="preserve">106404  </t>
        </is>
      </c>
      <c r="Q520" s="26" t="n">
        <v>6.9</v>
      </c>
      <c r="R520" s="26">
        <f>Q520*G520</f>
        <v/>
      </c>
      <c r="S520" t="n">
        <v>8.18</v>
      </c>
      <c r="T520" s="18">
        <f>1 - V520/S520</f>
        <v/>
      </c>
      <c r="U520" s="18" t="n">
        <v>0</v>
      </c>
      <c r="V520" s="26" t="n">
        <v>8.18</v>
      </c>
      <c r="W520" s="26">
        <f>V520 - L520</f>
        <v/>
      </c>
    </row>
    <row r="521">
      <c r="A521" s="11" t="n">
        <v>46208</v>
      </c>
      <c r="B521" s="1" t="n">
        <v>20057</v>
      </c>
      <c r="C521" s="1" t="inlineStr">
        <is>
          <t>861</t>
        </is>
      </c>
      <c r="D521" s="1" t="inlineStr">
        <is>
          <t xml:space="preserve">583   </t>
        </is>
      </c>
      <c r="E521" s="1" t="inlineStr">
        <is>
          <t xml:space="preserve">28194765       </t>
        </is>
      </c>
      <c r="F521" s="5" t="inlineStr">
        <is>
          <t>PLAYSET COLOR CHANGE TIBURN TEAMSTERZ  1 AUTITO</t>
        </is>
      </c>
      <c r="G521" t="n">
        <v>1</v>
      </c>
      <c r="H521" s="7" t="n">
        <v>79.90000000000001</v>
      </c>
      <c r="I521" s="7" t="n">
        <v>0</v>
      </c>
      <c r="J521" s="7" t="n">
        <v>0</v>
      </c>
      <c r="K521" s="9" t="n">
        <v>0</v>
      </c>
      <c r="L521" s="10" t="n">
        <v>47.4</v>
      </c>
      <c r="M521" s="10" t="n">
        <v>1.43</v>
      </c>
      <c r="N521" t="inlineStr">
        <is>
          <t>1</t>
        </is>
      </c>
      <c r="O521" t="inlineStr">
        <is>
          <t>16</t>
        </is>
      </c>
      <c r="P521" t="inlineStr">
        <is>
          <t xml:space="preserve">0       </t>
        </is>
      </c>
      <c r="Q521" s="26" t="n">
        <v>79.90000000000001</v>
      </c>
      <c r="R521" s="26">
        <f>Q521*G521</f>
        <v/>
      </c>
      <c r="S521" t="n">
        <v>47.4</v>
      </c>
      <c r="T521" s="18">
        <f>1 - V521/S521</f>
        <v/>
      </c>
      <c r="U521" s="18" t="n">
        <v>0</v>
      </c>
      <c r="V521" s="26" t="n">
        <v>47.4</v>
      </c>
      <c r="W521" s="26">
        <f>V521 - L521</f>
        <v/>
      </c>
    </row>
    <row r="522">
      <c r="A522" s="11" t="n">
        <v>46208</v>
      </c>
      <c r="B522" s="1" t="n">
        <v>20057</v>
      </c>
      <c r="C522" s="1" t="inlineStr">
        <is>
          <t>861</t>
        </is>
      </c>
      <c r="D522" s="1" t="inlineStr">
        <is>
          <t xml:space="preserve">587   </t>
        </is>
      </c>
      <c r="E522" s="1" t="inlineStr">
        <is>
          <t xml:space="preserve">28194770       </t>
        </is>
      </c>
      <c r="F522" s="5" t="inlineStr">
        <is>
          <t>AUTOS DE METAL 3 TEAMSTERZ EN BLISTER</t>
        </is>
      </c>
      <c r="G522" t="n">
        <v>1</v>
      </c>
      <c r="H522" s="7" t="n">
        <v>6.9</v>
      </c>
      <c r="I522" s="7" t="n">
        <v>0</v>
      </c>
      <c r="J522" s="7" t="n">
        <v>0</v>
      </c>
      <c r="K522" s="9" t="n">
        <v>0</v>
      </c>
      <c r="L522" s="10" t="n">
        <v>4.1</v>
      </c>
      <c r="M522" s="10" t="n">
        <v>1.43</v>
      </c>
      <c r="N522" t="inlineStr">
        <is>
          <t>1</t>
        </is>
      </c>
      <c r="O522" t="inlineStr">
        <is>
          <t>16</t>
        </is>
      </c>
      <c r="P522" t="inlineStr">
        <is>
          <t xml:space="preserve">0       </t>
        </is>
      </c>
      <c r="Q522" s="26" t="n">
        <v>6.9</v>
      </c>
      <c r="R522" s="26">
        <f>Q522*G522</f>
        <v/>
      </c>
      <c r="S522" t="n">
        <v>4.09</v>
      </c>
      <c r="T522" s="18">
        <f>1 - V522/S522</f>
        <v/>
      </c>
      <c r="U522" s="18" t="n">
        <v>0</v>
      </c>
      <c r="V522" s="26" t="n">
        <v>4.09</v>
      </c>
      <c r="W522" s="26">
        <f>V522 - L522</f>
        <v/>
      </c>
    </row>
    <row r="523">
      <c r="A523" s="11" t="n">
        <v>46208</v>
      </c>
      <c r="B523" s="1" t="n">
        <v>20057</v>
      </c>
      <c r="C523" s="1" t="inlineStr">
        <is>
          <t>863</t>
        </is>
      </c>
      <c r="D523" s="1" t="inlineStr">
        <is>
          <t xml:space="preserve">4755  </t>
        </is>
      </c>
      <c r="E523" s="1" t="inlineStr">
        <is>
          <t xml:space="preserve">28194780       </t>
        </is>
      </c>
      <c r="F523" s="5" t="inlineStr">
        <is>
          <t>TROMPO BATALLA INFINITY NADO PLSTICO SURTIDO</t>
        </is>
      </c>
      <c r="G523" t="n">
        <v>1</v>
      </c>
      <c r="H523" s="7" t="n">
        <v>19.9</v>
      </c>
      <c r="I523" s="7" t="n">
        <v>0</v>
      </c>
      <c r="J523" s="7" t="n">
        <v>0</v>
      </c>
      <c r="K523" s="9" t="n">
        <v>0</v>
      </c>
      <c r="L523" s="10" t="n">
        <v>11.8</v>
      </c>
      <c r="M523" s="10" t="n">
        <v>1.43</v>
      </c>
      <c r="N523" t="inlineStr">
        <is>
          <t>1</t>
        </is>
      </c>
      <c r="O523" t="inlineStr">
        <is>
          <t>16</t>
        </is>
      </c>
      <c r="P523" t="inlineStr">
        <is>
          <t xml:space="preserve">0       </t>
        </is>
      </c>
      <c r="Q523" s="26" t="n">
        <v>19.9</v>
      </c>
      <c r="R523" s="26">
        <f>Q523*G523</f>
        <v/>
      </c>
      <c r="S523" t="n">
        <v>11.81</v>
      </c>
      <c r="T523" s="18">
        <f>1 - V523/S523</f>
        <v/>
      </c>
      <c r="U523" s="18" t="n">
        <v>0</v>
      </c>
      <c r="V523" s="26" t="n">
        <v>11.81</v>
      </c>
      <c r="W523" s="26">
        <f>V523 - L523</f>
        <v/>
      </c>
    </row>
    <row r="524">
      <c r="A524" s="11" t="n">
        <v>46208</v>
      </c>
      <c r="B524" s="1" t="n">
        <v>20058</v>
      </c>
      <c r="C524" s="1" t="inlineStr">
        <is>
          <t>030</t>
        </is>
      </c>
      <c r="D524" s="1" t="inlineStr">
        <is>
          <t xml:space="preserve">47175 </t>
        </is>
      </c>
      <c r="E524" s="1" t="inlineStr">
        <is>
          <t xml:space="preserve">28194770       </t>
        </is>
      </c>
      <c r="F524" s="5" t="inlineStr">
        <is>
          <t>AUTOS DE METAL 3 TEAMSTERZ EN BLISTER</t>
        </is>
      </c>
      <c r="G524" t="n">
        <v>1</v>
      </c>
      <c r="H524" s="7" t="n">
        <v>6.9</v>
      </c>
      <c r="I524" s="7" t="n">
        <v>0</v>
      </c>
      <c r="J524" s="7" t="n">
        <v>0</v>
      </c>
      <c r="K524" s="9" t="n">
        <v>0</v>
      </c>
      <c r="L524" s="10" t="n">
        <v>4.1</v>
      </c>
      <c r="M524" s="10" t="n">
        <v>1.43</v>
      </c>
      <c r="N524" t="inlineStr">
        <is>
          <t>1</t>
        </is>
      </c>
      <c r="O524" t="inlineStr">
        <is>
          <t xml:space="preserve">2 </t>
        </is>
      </c>
      <c r="P524" t="inlineStr">
        <is>
          <t xml:space="preserve">80570   </t>
        </is>
      </c>
      <c r="Q524" s="26" t="n">
        <v>6.9</v>
      </c>
      <c r="R524" s="26">
        <f>Q524*G524</f>
        <v/>
      </c>
      <c r="S524" t="n">
        <v>4.09</v>
      </c>
      <c r="T524" s="18">
        <f>1 - V524/S524</f>
        <v/>
      </c>
      <c r="U524" s="18" t="n">
        <v>0</v>
      </c>
      <c r="V524" s="26" t="n">
        <v>4.09</v>
      </c>
      <c r="W524" s="26">
        <f>V524 - L524</f>
        <v/>
      </c>
    </row>
    <row r="525">
      <c r="A525" s="11" t="n">
        <v>46208</v>
      </c>
      <c r="B525" s="1" t="n">
        <v>20058</v>
      </c>
      <c r="C525" s="1" t="inlineStr">
        <is>
          <t>038</t>
        </is>
      </c>
      <c r="D525" s="1" t="inlineStr">
        <is>
          <t>208423</t>
        </is>
      </c>
      <c r="E525" s="1" t="inlineStr">
        <is>
          <t xml:space="preserve">28194769       </t>
        </is>
      </c>
      <c r="F525" s="5" t="inlineStr">
        <is>
          <t>AUTOS DE METAL 3 TEAMSTERZ PACK DE 2</t>
        </is>
      </c>
      <c r="G525" t="n">
        <v>1</v>
      </c>
      <c r="H525" s="7" t="n">
        <v>13.8</v>
      </c>
      <c r="I525" s="7" t="n">
        <v>0</v>
      </c>
      <c r="J525" s="7" t="n">
        <v>0</v>
      </c>
      <c r="K525" s="9" t="n">
        <v>0</v>
      </c>
      <c r="L525" s="10" t="n">
        <v>8.18</v>
      </c>
      <c r="M525" s="10" t="n">
        <v>1.43</v>
      </c>
      <c r="N525" t="inlineStr">
        <is>
          <t>1</t>
        </is>
      </c>
      <c r="O525" t="inlineStr">
        <is>
          <t>16</t>
        </is>
      </c>
      <c r="P525" t="inlineStr">
        <is>
          <t xml:space="preserve">94051   </t>
        </is>
      </c>
      <c r="Q525" s="26" t="n">
        <v>13.8</v>
      </c>
      <c r="R525" s="26">
        <f>Q525*G525</f>
        <v/>
      </c>
      <c r="S525" t="n">
        <v>8.19</v>
      </c>
      <c r="T525" s="18">
        <f>1 - V525/S525</f>
        <v/>
      </c>
      <c r="U525" s="18" t="n">
        <v>0</v>
      </c>
      <c r="V525" s="26" t="n">
        <v>8.19</v>
      </c>
      <c r="W525" s="26">
        <f>V525 - L525</f>
        <v/>
      </c>
    </row>
    <row r="526">
      <c r="A526" s="11" t="n">
        <v>46208</v>
      </c>
      <c r="B526" s="1" t="n">
        <v>20058</v>
      </c>
      <c r="C526" s="1" t="inlineStr">
        <is>
          <t>039</t>
        </is>
      </c>
      <c r="D526" s="1" t="inlineStr">
        <is>
          <t>229457</t>
        </is>
      </c>
      <c r="E526" s="1" t="inlineStr">
        <is>
          <t xml:space="preserve">34840552       </t>
        </is>
      </c>
      <c r="F526" s="5" t="inlineStr">
        <is>
          <t>TMZ HELI POLICIA CON LUCES Y SONIDOS</t>
        </is>
      </c>
      <c r="G526" t="n">
        <v>1</v>
      </c>
      <c r="H526" s="7" t="n">
        <v>79.90000000000001</v>
      </c>
      <c r="I526" s="7" t="n">
        <v>0</v>
      </c>
      <c r="J526" s="7" t="n">
        <v>0</v>
      </c>
      <c r="K526" s="9" t="n">
        <v>0</v>
      </c>
      <c r="L526" s="10" t="n">
        <v>47.4</v>
      </c>
      <c r="M526" s="10" t="n">
        <v>1.43</v>
      </c>
      <c r="N526" t="inlineStr">
        <is>
          <t>1</t>
        </is>
      </c>
      <c r="O526" t="inlineStr">
        <is>
          <t xml:space="preserve">2 </t>
        </is>
      </c>
      <c r="P526" t="inlineStr">
        <is>
          <t xml:space="preserve">246011  </t>
        </is>
      </c>
      <c r="Q526" s="26" t="n">
        <v>79.90000000000002</v>
      </c>
      <c r="R526" s="26">
        <f>Q526*G526</f>
        <v/>
      </c>
      <c r="S526" t="n">
        <v>47.4</v>
      </c>
      <c r="T526" s="18">
        <f>1 - V526/S526</f>
        <v/>
      </c>
      <c r="U526" s="18" t="n">
        <v>0</v>
      </c>
      <c r="V526" s="26" t="n">
        <v>47.4</v>
      </c>
      <c r="W526" s="26">
        <f>V526 - L526</f>
        <v/>
      </c>
    </row>
    <row r="527">
      <c r="A527" s="11" t="n">
        <v>46208</v>
      </c>
      <c r="B527" s="1" t="n">
        <v>20058</v>
      </c>
      <c r="C527" s="1" t="inlineStr">
        <is>
          <t>039</t>
        </is>
      </c>
      <c r="D527" s="1" t="inlineStr">
        <is>
          <t>229542</t>
        </is>
      </c>
      <c r="E527" s="1" t="inlineStr">
        <is>
          <t xml:space="preserve">28194770       </t>
        </is>
      </c>
      <c r="F527" s="5" t="inlineStr">
        <is>
          <t>AUTOS DE METAL 3 TEAMSTERZ EN BLISTER</t>
        </is>
      </c>
      <c r="G527" t="n">
        <v>1</v>
      </c>
      <c r="H527" s="7" t="n">
        <v>6.9</v>
      </c>
      <c r="I527" s="7" t="n">
        <v>0</v>
      </c>
      <c r="J527" s="7" t="n">
        <v>0</v>
      </c>
      <c r="K527" s="9" t="n">
        <v>0</v>
      </c>
      <c r="L527" s="10" t="n">
        <v>4.1</v>
      </c>
      <c r="M527" s="10" t="n">
        <v>1.43</v>
      </c>
      <c r="N527" t="inlineStr">
        <is>
          <t>1</t>
        </is>
      </c>
      <c r="O527" t="inlineStr">
        <is>
          <t>16</t>
        </is>
      </c>
      <c r="P527" t="inlineStr">
        <is>
          <t xml:space="preserve">90759   </t>
        </is>
      </c>
      <c r="Q527" s="26" t="n">
        <v>6.9</v>
      </c>
      <c r="R527" s="26">
        <f>Q527*G527</f>
        <v/>
      </c>
      <c r="S527" t="n">
        <v>4.09</v>
      </c>
      <c r="T527" s="18">
        <f>1 - V527/S527</f>
        <v/>
      </c>
      <c r="U527" s="18" t="n">
        <v>0</v>
      </c>
      <c r="V527" s="26" t="n">
        <v>4.09</v>
      </c>
      <c r="W527" s="26">
        <f>V527 - L527</f>
        <v/>
      </c>
    </row>
    <row r="528">
      <c r="A528" s="11" t="n">
        <v>46208</v>
      </c>
      <c r="B528" s="1" t="n">
        <v>20058</v>
      </c>
      <c r="C528" s="1" t="inlineStr">
        <is>
          <t>039</t>
        </is>
      </c>
      <c r="D528" s="1" t="inlineStr">
        <is>
          <t>229567</t>
        </is>
      </c>
      <c r="E528" s="1" t="inlineStr">
        <is>
          <t xml:space="preserve">28194770       </t>
        </is>
      </c>
      <c r="F528" s="5" t="inlineStr">
        <is>
          <t>AUTOS DE METAL 3 TEAMSTERZ EN BLISTER</t>
        </is>
      </c>
      <c r="G528" t="n">
        <v>1</v>
      </c>
      <c r="H528" s="7" t="n">
        <v>6.9</v>
      </c>
      <c r="I528" s="7" t="n">
        <v>0</v>
      </c>
      <c r="J528" s="7" t="n">
        <v>0</v>
      </c>
      <c r="K528" s="9" t="n">
        <v>0</v>
      </c>
      <c r="L528" s="10" t="n">
        <v>4.1</v>
      </c>
      <c r="M528" s="10" t="n">
        <v>1.43</v>
      </c>
      <c r="N528" t="inlineStr">
        <is>
          <t>1</t>
        </is>
      </c>
      <c r="O528" t="inlineStr">
        <is>
          <t xml:space="preserve">2 </t>
        </is>
      </c>
      <c r="P528" t="inlineStr">
        <is>
          <t xml:space="preserve">90759   </t>
        </is>
      </c>
      <c r="Q528" s="26" t="n">
        <v>6.9</v>
      </c>
      <c r="R528" s="26">
        <f>Q528*G528</f>
        <v/>
      </c>
      <c r="S528" t="n">
        <v>4.09</v>
      </c>
      <c r="T528" s="18">
        <f>1 - V528/S528</f>
        <v/>
      </c>
      <c r="U528" s="18" t="n">
        <v>0</v>
      </c>
      <c r="V528" s="26" t="n">
        <v>4.09</v>
      </c>
      <c r="W528" s="26">
        <f>V528 - L528</f>
        <v/>
      </c>
    </row>
    <row r="529">
      <c r="A529" s="11" t="n">
        <v>46208</v>
      </c>
      <c r="B529" s="1" t="n">
        <v>20058</v>
      </c>
      <c r="C529" s="1" t="inlineStr">
        <is>
          <t>039</t>
        </is>
      </c>
      <c r="D529" s="1" t="inlineStr">
        <is>
          <t>229567</t>
        </is>
      </c>
      <c r="E529" s="1" t="inlineStr">
        <is>
          <t xml:space="preserve">33483121       </t>
        </is>
      </c>
      <c r="F529" s="5" t="inlineStr">
        <is>
          <t>HOT WHEELS ESTUCHE PARA 15 AUTOS SURTIDO</t>
        </is>
      </c>
      <c r="G529" t="n">
        <v>1</v>
      </c>
      <c r="H529" s="7" t="n">
        <v>34.9</v>
      </c>
      <c r="I529" s="7" t="n">
        <v>0</v>
      </c>
      <c r="J529" s="7" t="n">
        <v>0</v>
      </c>
      <c r="K529" s="9" t="n">
        <v>0</v>
      </c>
      <c r="L529" s="10" t="n">
        <v>20.71</v>
      </c>
      <c r="M529" s="10" t="n">
        <v>1.43</v>
      </c>
      <c r="N529" t="inlineStr">
        <is>
          <t>1</t>
        </is>
      </c>
      <c r="O529" t="inlineStr">
        <is>
          <t xml:space="preserve">2 </t>
        </is>
      </c>
      <c r="P529" t="inlineStr">
        <is>
          <t xml:space="preserve">90759   </t>
        </is>
      </c>
      <c r="Q529" s="26" t="n">
        <v>34.9</v>
      </c>
      <c r="R529" s="26">
        <f>Q529*G529</f>
        <v/>
      </c>
      <c r="S529" t="n">
        <v>20.7</v>
      </c>
      <c r="T529" s="18">
        <f>1 - V529/S529</f>
        <v/>
      </c>
      <c r="U529" s="18" t="n">
        <v>0</v>
      </c>
      <c r="V529" s="26" t="n">
        <v>20.7</v>
      </c>
      <c r="W529" s="26">
        <f>V529 - L529</f>
        <v/>
      </c>
    </row>
    <row r="530">
      <c r="A530" s="11" t="n">
        <v>46208</v>
      </c>
      <c r="B530" s="1" t="n">
        <v>20058</v>
      </c>
      <c r="C530" s="1" t="inlineStr">
        <is>
          <t>039</t>
        </is>
      </c>
      <c r="D530" s="1" t="inlineStr">
        <is>
          <t xml:space="preserve">4427  </t>
        </is>
      </c>
      <c r="E530" s="1" t="inlineStr">
        <is>
          <t xml:space="preserve">28194769       </t>
        </is>
      </c>
      <c r="F530" s="5" t="inlineStr">
        <is>
          <t>AUTOS DE METAL 3 TEAMSTERZ PACK DE 2</t>
        </is>
      </c>
      <c r="G530" t="n">
        <v>1</v>
      </c>
      <c r="H530" s="7" t="n">
        <v>13.8</v>
      </c>
      <c r="I530" s="7" t="n">
        <v>0</v>
      </c>
      <c r="J530" s="7" t="n">
        <v>0</v>
      </c>
      <c r="K530" s="9" t="n">
        <v>0</v>
      </c>
      <c r="L530" s="10" t="n">
        <v>8.18</v>
      </c>
      <c r="M530" s="10" t="n">
        <v>1.43</v>
      </c>
      <c r="N530" t="inlineStr">
        <is>
          <t>1</t>
        </is>
      </c>
      <c r="O530" t="inlineStr">
        <is>
          <t>16</t>
        </is>
      </c>
      <c r="P530" t="inlineStr">
        <is>
          <t xml:space="preserve">246011  </t>
        </is>
      </c>
      <c r="Q530" s="26" t="n">
        <v>13.8</v>
      </c>
      <c r="R530" s="26">
        <f>Q530*G530</f>
        <v/>
      </c>
      <c r="S530" t="n">
        <v>8.19</v>
      </c>
      <c r="T530" s="18">
        <f>1 - V530/S530</f>
        <v/>
      </c>
      <c r="U530" s="18" t="n">
        <v>0</v>
      </c>
      <c r="V530" s="26" t="n">
        <v>8.19</v>
      </c>
      <c r="W530" s="26">
        <f>V530 - L530</f>
        <v/>
      </c>
    </row>
    <row r="531">
      <c r="A531" s="11" t="n">
        <v>46208</v>
      </c>
      <c r="B531" s="1" t="n">
        <v>20058</v>
      </c>
      <c r="C531" s="1" t="inlineStr">
        <is>
          <t>191</t>
        </is>
      </c>
      <c r="D531" s="1" t="inlineStr">
        <is>
          <t xml:space="preserve">5451  </t>
        </is>
      </c>
      <c r="E531" s="1" t="inlineStr">
        <is>
          <t xml:space="preserve">28194769       </t>
        </is>
      </c>
      <c r="F531" s="5" t="inlineStr">
        <is>
          <t>AUTOS DE METAL 3 TEAMSTERZ PACK DE 2</t>
        </is>
      </c>
      <c r="G531" t="n">
        <v>1</v>
      </c>
      <c r="H531" s="7" t="n">
        <v>13.8</v>
      </c>
      <c r="I531" s="7" t="n">
        <v>0</v>
      </c>
      <c r="J531" s="7" t="n">
        <v>0</v>
      </c>
      <c r="K531" s="9" t="n">
        <v>0</v>
      </c>
      <c r="L531" s="10" t="n">
        <v>8.18</v>
      </c>
      <c r="M531" s="10" t="n">
        <v>1.43</v>
      </c>
      <c r="N531" t="inlineStr">
        <is>
          <t>1</t>
        </is>
      </c>
      <c r="O531" t="inlineStr">
        <is>
          <t>16</t>
        </is>
      </c>
      <c r="P531" t="inlineStr">
        <is>
          <t xml:space="preserve">61785   </t>
        </is>
      </c>
      <c r="Q531" s="26" t="n">
        <v>13.8</v>
      </c>
      <c r="R531" s="26">
        <f>Q531*G531</f>
        <v/>
      </c>
      <c r="S531" t="n">
        <v>8.19</v>
      </c>
      <c r="T531" s="18">
        <f>1 - V531/S531</f>
        <v/>
      </c>
      <c r="U531" s="18" t="n">
        <v>0</v>
      </c>
      <c r="V531" s="26" t="n">
        <v>8.19</v>
      </c>
      <c r="W531" s="26">
        <f>V531 - L531</f>
        <v/>
      </c>
    </row>
    <row r="532">
      <c r="A532" s="11" t="n">
        <v>46208</v>
      </c>
      <c r="B532" s="1" t="n">
        <v>20058</v>
      </c>
      <c r="C532" s="1" t="inlineStr">
        <is>
          <t>198</t>
        </is>
      </c>
      <c r="D532" s="1" t="inlineStr">
        <is>
          <t xml:space="preserve">17968 </t>
        </is>
      </c>
      <c r="E532" s="1" t="inlineStr">
        <is>
          <t xml:space="preserve">28194783       </t>
        </is>
      </c>
      <c r="F532" s="5" t="inlineStr">
        <is>
          <t>SET DE BATALLA INFINITY NADO CON 2 TROMPOS</t>
        </is>
      </c>
      <c r="G532" t="n">
        <v>1</v>
      </c>
      <c r="H532" s="7" t="n">
        <v>159</v>
      </c>
      <c r="I532" s="7" t="n">
        <v>0</v>
      </c>
      <c r="J532" s="7" t="n">
        <v>0</v>
      </c>
      <c r="K532" s="9" t="n">
        <v>0</v>
      </c>
      <c r="L532" s="10" t="n">
        <v>94.33</v>
      </c>
      <c r="M532" s="10" t="n">
        <v>1.43</v>
      </c>
      <c r="N532" t="inlineStr">
        <is>
          <t>1</t>
        </is>
      </c>
      <c r="O532" t="inlineStr">
        <is>
          <t xml:space="preserve">2 </t>
        </is>
      </c>
      <c r="P532" t="inlineStr">
        <is>
          <t xml:space="preserve">231899  </t>
        </is>
      </c>
      <c r="Q532" s="26" t="n">
        <v>159</v>
      </c>
      <c r="R532" s="26">
        <f>Q532*G532</f>
        <v/>
      </c>
      <c r="S532" t="n">
        <v>94.31999999999999</v>
      </c>
      <c r="T532" s="18">
        <f>1 - V532/S532</f>
        <v/>
      </c>
      <c r="U532" s="18" t="n">
        <v>0.1886792452830188</v>
      </c>
      <c r="V532" s="26" t="n">
        <v>81.99152542372882</v>
      </c>
      <c r="W532" s="26">
        <f>V532 - L532</f>
        <v/>
      </c>
    </row>
    <row r="533">
      <c r="A533" s="11" t="n">
        <v>46208</v>
      </c>
      <c r="B533" s="1" t="n">
        <v>20058</v>
      </c>
      <c r="C533" s="1" t="inlineStr">
        <is>
          <t>502</t>
        </is>
      </c>
      <c r="D533" s="1" t="inlineStr">
        <is>
          <t xml:space="preserve">8964  </t>
        </is>
      </c>
      <c r="E533" s="1" t="inlineStr">
        <is>
          <t xml:space="preserve">29235700       </t>
        </is>
      </c>
      <c r="F533" s="5" t="inlineStr">
        <is>
          <t>HOT WHEELS CASE METALICO PARA GUARDAR 18 CARRITOS</t>
        </is>
      </c>
      <c r="G533" t="n">
        <v>1</v>
      </c>
      <c r="H533" s="7" t="n">
        <v>49.9</v>
      </c>
      <c r="I533" s="7" t="n">
        <v>0</v>
      </c>
      <c r="J533" s="7" t="n">
        <v>0</v>
      </c>
      <c r="K533" s="9" t="n">
        <v>0</v>
      </c>
      <c r="L533" s="10" t="n">
        <v>29.6</v>
      </c>
      <c r="M533" s="10" t="n">
        <v>1.43</v>
      </c>
      <c r="N533" t="inlineStr">
        <is>
          <t>1</t>
        </is>
      </c>
      <c r="O533" t="inlineStr">
        <is>
          <t>16</t>
        </is>
      </c>
      <c r="P533" t="inlineStr">
        <is>
          <t xml:space="preserve">246464  </t>
        </is>
      </c>
      <c r="Q533" s="26" t="n">
        <v>49.90000000000001</v>
      </c>
      <c r="R533" s="26">
        <f>Q533*G533</f>
        <v/>
      </c>
      <c r="S533" t="n">
        <v>29.6</v>
      </c>
      <c r="T533" s="18">
        <f>1 - V533/S533</f>
        <v/>
      </c>
      <c r="U533" s="18" t="n">
        <v>0</v>
      </c>
      <c r="V533" s="26" t="n">
        <v>29.6</v>
      </c>
      <c r="W533" s="26">
        <f>V533 - L533</f>
        <v/>
      </c>
    </row>
    <row r="534">
      <c r="A534" s="11" t="n">
        <v>46208</v>
      </c>
      <c r="B534" s="1" t="n">
        <v>20058</v>
      </c>
      <c r="C534" s="1" t="inlineStr">
        <is>
          <t>803</t>
        </is>
      </c>
      <c r="D534" s="1" t="inlineStr">
        <is>
          <t xml:space="preserve">1626  </t>
        </is>
      </c>
      <c r="E534" s="1" t="inlineStr">
        <is>
          <t xml:space="preserve">28194770       </t>
        </is>
      </c>
      <c r="F534" s="5" t="inlineStr">
        <is>
          <t>AUTOS DE METAL 3 TEAMSTERZ EN BLISTER</t>
        </is>
      </c>
      <c r="G534" t="n">
        <v>1</v>
      </c>
      <c r="H534" s="7" t="n">
        <v>6.9</v>
      </c>
      <c r="I534" s="7" t="n">
        <v>0</v>
      </c>
      <c r="J534" s="7" t="n">
        <v>0</v>
      </c>
      <c r="K534" s="9" t="n">
        <v>0</v>
      </c>
      <c r="L534" s="10" t="n">
        <v>4.1</v>
      </c>
      <c r="M534" s="10" t="n">
        <v>1.43</v>
      </c>
      <c r="N534" t="inlineStr">
        <is>
          <t>1</t>
        </is>
      </c>
      <c r="O534" t="inlineStr">
        <is>
          <t>16</t>
        </is>
      </c>
      <c r="P534" t="inlineStr">
        <is>
          <t xml:space="preserve">249637  </t>
        </is>
      </c>
      <c r="Q534" s="26" t="n">
        <v>6.9</v>
      </c>
      <c r="R534" s="26">
        <f>Q534*G534</f>
        <v/>
      </c>
      <c r="S534" t="n">
        <v>4.09</v>
      </c>
      <c r="T534" s="18">
        <f>1 - V534/S534</f>
        <v/>
      </c>
      <c r="U534" s="18" t="n">
        <v>0</v>
      </c>
      <c r="V534" s="26" t="n">
        <v>4.09</v>
      </c>
      <c r="W534" s="26">
        <f>V534 - L534</f>
        <v/>
      </c>
    </row>
    <row r="535">
      <c r="A535" s="11" t="n">
        <v>46208</v>
      </c>
      <c r="B535" s="1" t="n">
        <v>20062</v>
      </c>
      <c r="C535" s="1" t="inlineStr">
        <is>
          <t>017</t>
        </is>
      </c>
      <c r="D535" s="1" t="inlineStr">
        <is>
          <t>235085</t>
        </is>
      </c>
      <c r="E535" s="1" t="inlineStr">
        <is>
          <t xml:space="preserve">32457117       </t>
        </is>
      </c>
      <c r="F535" s="5" t="inlineStr">
        <is>
          <t>MUNECA EVI LOVE CON PERRITO + CASA Y ACCES.</t>
        </is>
      </c>
      <c r="G535" t="n">
        <v>1</v>
      </c>
      <c r="H535" s="7" t="n">
        <v>34.9</v>
      </c>
      <c r="I535" s="7" t="n">
        <v>0</v>
      </c>
      <c r="J535" s="7" t="n">
        <v>0</v>
      </c>
      <c r="K535" s="9" t="n">
        <v>0</v>
      </c>
      <c r="L535" s="10" t="n">
        <v>20.71</v>
      </c>
      <c r="M535" s="10" t="n">
        <v>1.43</v>
      </c>
      <c r="N535" t="inlineStr">
        <is>
          <t>1</t>
        </is>
      </c>
      <c r="O535" t="inlineStr">
        <is>
          <t xml:space="preserve">3 </t>
        </is>
      </c>
      <c r="P535" t="inlineStr">
        <is>
          <t xml:space="preserve">247900  </t>
        </is>
      </c>
      <c r="Q535" s="26" t="n">
        <v>34.9</v>
      </c>
      <c r="R535" s="26">
        <f>Q535*G535</f>
        <v/>
      </c>
      <c r="S535" t="n">
        <v>20.7</v>
      </c>
      <c r="T535" s="18">
        <f>1 - V535/S535</f>
        <v/>
      </c>
      <c r="U535" s="18" t="n">
        <v>0.4</v>
      </c>
      <c r="V535" s="26" t="n">
        <v>15.97118644067796</v>
      </c>
      <c r="W535" s="26">
        <f>V535 - L535</f>
        <v/>
      </c>
    </row>
    <row r="536">
      <c r="A536" s="11" t="n">
        <v>46208</v>
      </c>
      <c r="B536" s="1" t="n">
        <v>20062</v>
      </c>
      <c r="C536" s="1" t="inlineStr">
        <is>
          <t>017</t>
        </is>
      </c>
      <c r="D536" s="1" t="inlineStr">
        <is>
          <t>235098</t>
        </is>
      </c>
      <c r="E536" s="1" t="inlineStr">
        <is>
          <t xml:space="preserve">28194781       </t>
        </is>
      </c>
      <c r="F536" s="5" t="inlineStr">
        <is>
          <t>TROMPO BATALLA INFINITY NADO SERIE V CLASICA SURTI</t>
        </is>
      </c>
      <c r="G536" t="n">
        <v>1</v>
      </c>
      <c r="H536" s="7" t="n">
        <v>59.9</v>
      </c>
      <c r="I536" s="7" t="n">
        <v>0</v>
      </c>
      <c r="J536" s="7" t="n">
        <v>0</v>
      </c>
      <c r="K536" s="9" t="n">
        <v>0</v>
      </c>
      <c r="L536" s="10" t="n">
        <v>35.53</v>
      </c>
      <c r="M536" s="10" t="n">
        <v>1.43</v>
      </c>
      <c r="N536" t="inlineStr">
        <is>
          <t>1</t>
        </is>
      </c>
      <c r="O536" t="inlineStr">
        <is>
          <t>16</t>
        </is>
      </c>
      <c r="P536" t="inlineStr">
        <is>
          <t xml:space="preserve">244467  </t>
        </is>
      </c>
      <c r="Q536" s="26" t="n">
        <v>59.9</v>
      </c>
      <c r="R536" s="26">
        <f>Q536*G536</f>
        <v/>
      </c>
      <c r="S536" t="n">
        <v>35.53</v>
      </c>
      <c r="T536" s="18">
        <f>1 - V536/S536</f>
        <v/>
      </c>
      <c r="U536" s="18" t="n">
        <v>0.333889816360601</v>
      </c>
      <c r="V536" s="26" t="n">
        <v>25.36016949152542</v>
      </c>
      <c r="W536" s="26">
        <f>V536 - L536</f>
        <v/>
      </c>
    </row>
    <row r="537">
      <c r="A537" s="11" t="n">
        <v>46208</v>
      </c>
      <c r="B537" s="1" t="n">
        <v>20062</v>
      </c>
      <c r="C537" s="1" t="inlineStr">
        <is>
          <t>053</t>
        </is>
      </c>
      <c r="D537" s="1" t="inlineStr">
        <is>
          <t>242594</t>
        </is>
      </c>
      <c r="E537" s="1" t="inlineStr">
        <is>
          <t xml:space="preserve">32457118       </t>
        </is>
      </c>
      <c r="F537" s="5" t="inlineStr">
        <is>
          <t>MUNECA EVI LOVE CAMAROTE + 2 MUNECAS</t>
        </is>
      </c>
      <c r="G537" t="n">
        <v>1</v>
      </c>
      <c r="H537" s="7" t="n">
        <v>49.9</v>
      </c>
      <c r="I537" s="7" t="n">
        <v>0</v>
      </c>
      <c r="J537" s="7" t="n">
        <v>0</v>
      </c>
      <c r="K537" s="9" t="n">
        <v>0</v>
      </c>
      <c r="L537" s="10" t="n">
        <v>29.6</v>
      </c>
      <c r="M537" s="10" t="n">
        <v>1.43</v>
      </c>
      <c r="N537" t="inlineStr">
        <is>
          <t>1</t>
        </is>
      </c>
      <c r="O537" t="inlineStr">
        <is>
          <t>16</t>
        </is>
      </c>
      <c r="P537" t="inlineStr">
        <is>
          <t xml:space="preserve">88849   </t>
        </is>
      </c>
      <c r="Q537" s="26" t="n">
        <v>49.9</v>
      </c>
      <c r="R537" s="26">
        <f>Q537*G537</f>
        <v/>
      </c>
      <c r="S537" t="n">
        <v>29.6</v>
      </c>
      <c r="T537" s="18">
        <f>1 - V537/S537</f>
        <v/>
      </c>
      <c r="U537" s="18" t="n">
        <v>0.4</v>
      </c>
      <c r="V537" s="26" t="n">
        <v>22.83559322033899</v>
      </c>
      <c r="W537" s="26">
        <f>V537 - L537</f>
        <v/>
      </c>
    </row>
    <row r="538">
      <c r="A538" s="11" t="n">
        <v>46208</v>
      </c>
      <c r="B538" s="1" t="n">
        <v>20062</v>
      </c>
      <c r="C538" s="1" t="inlineStr">
        <is>
          <t>830</t>
        </is>
      </c>
      <c r="D538" s="1" t="inlineStr">
        <is>
          <t xml:space="preserve">4895  </t>
        </is>
      </c>
      <c r="E538" s="1" t="inlineStr">
        <is>
          <t xml:space="preserve">28194770       </t>
        </is>
      </c>
      <c r="F538" s="5" t="inlineStr">
        <is>
          <t>AUTOS DE METAL 3 TEAMSTERZ EN BLISTER</t>
        </is>
      </c>
      <c r="G538" t="n">
        <v>1</v>
      </c>
      <c r="H538" s="7" t="n">
        <v>6.9</v>
      </c>
      <c r="I538" s="7" t="n">
        <v>0</v>
      </c>
      <c r="J538" s="7" t="n">
        <v>0</v>
      </c>
      <c r="K538" s="9" t="n">
        <v>0</v>
      </c>
      <c r="L538" s="10" t="n">
        <v>4.1</v>
      </c>
      <c r="M538" s="10" t="n">
        <v>1.43</v>
      </c>
      <c r="N538" t="inlineStr">
        <is>
          <t>1</t>
        </is>
      </c>
      <c r="O538" t="inlineStr">
        <is>
          <t>16</t>
        </is>
      </c>
      <c r="P538" t="inlineStr">
        <is>
          <t xml:space="preserve">0       </t>
        </is>
      </c>
      <c r="Q538" s="26" t="n">
        <v>6.9</v>
      </c>
      <c r="R538" s="26">
        <f>Q538*G538</f>
        <v/>
      </c>
      <c r="S538" t="n">
        <v>4.09</v>
      </c>
      <c r="T538" s="18">
        <f>1 - V538/S538</f>
        <v/>
      </c>
      <c r="U538" s="18" t="n">
        <v>0</v>
      </c>
      <c r="V538" s="26" t="n">
        <v>4.09</v>
      </c>
      <c r="W538" s="26">
        <f>V538 - L538</f>
        <v/>
      </c>
    </row>
    <row r="539">
      <c r="A539" s="11" t="n">
        <v>46208</v>
      </c>
      <c r="B539" s="1" t="n">
        <v>20062</v>
      </c>
      <c r="C539" s="1" t="inlineStr">
        <is>
          <t>831</t>
        </is>
      </c>
      <c r="D539" s="1" t="inlineStr">
        <is>
          <t xml:space="preserve">1311  </t>
        </is>
      </c>
      <c r="E539" s="1" t="inlineStr">
        <is>
          <t xml:space="preserve">31754678       </t>
        </is>
      </c>
      <c r="F539" s="5" t="inlineStr">
        <is>
          <t>PINYPON CELEBRACION DE CUMPLEANOS + ACCESS.</t>
        </is>
      </c>
      <c r="G539" t="n">
        <v>1</v>
      </c>
      <c r="H539" s="7" t="n">
        <v>69.90000000000001</v>
      </c>
      <c r="I539" s="7" t="n">
        <v>0</v>
      </c>
      <c r="J539" s="7" t="n">
        <v>0</v>
      </c>
      <c r="K539" s="9" t="n">
        <v>0</v>
      </c>
      <c r="L539" s="10" t="n">
        <v>41.47</v>
      </c>
      <c r="M539" s="10" t="n">
        <v>1.43</v>
      </c>
      <c r="N539" t="inlineStr">
        <is>
          <t>1</t>
        </is>
      </c>
      <c r="O539" t="inlineStr">
        <is>
          <t>16</t>
        </is>
      </c>
      <c r="P539" t="inlineStr">
        <is>
          <t xml:space="preserve">0       </t>
        </is>
      </c>
      <c r="Q539" s="26" t="n">
        <v>69.90000000000001</v>
      </c>
      <c r="R539" s="26">
        <f>Q539*G539</f>
        <v/>
      </c>
      <c r="S539" t="n">
        <v>41.47</v>
      </c>
      <c r="T539" s="18">
        <f>1 - V539/S539</f>
        <v/>
      </c>
      <c r="U539" s="18" t="n">
        <v>0.4000000000000001</v>
      </c>
      <c r="V539" s="26" t="n">
        <v>28.43389830508475</v>
      </c>
      <c r="W539" s="26">
        <f>V539 - L539</f>
        <v/>
      </c>
    </row>
    <row r="540">
      <c r="A540" s="11" t="n">
        <v>46208</v>
      </c>
      <c r="B540" s="1" t="n">
        <v>20066</v>
      </c>
      <c r="C540" s="1" t="inlineStr">
        <is>
          <t>057</t>
        </is>
      </c>
      <c r="D540" s="1" t="inlineStr">
        <is>
          <t>493289</t>
        </is>
      </c>
      <c r="E540" s="1" t="inlineStr">
        <is>
          <t xml:space="preserve">28194770       </t>
        </is>
      </c>
      <c r="F540" s="5" t="inlineStr">
        <is>
          <t>AUTOS DE METAL 3 TEAMSTERZ EN BLISTER</t>
        </is>
      </c>
      <c r="G540" t="n">
        <v>1</v>
      </c>
      <c r="H540" s="7" t="n">
        <v>6.9</v>
      </c>
      <c r="I540" s="7" t="n">
        <v>0</v>
      </c>
      <c r="J540" s="7" t="n">
        <v>0</v>
      </c>
      <c r="K540" s="9" t="n">
        <v>0</v>
      </c>
      <c r="L540" s="10" t="n">
        <v>4.1</v>
      </c>
      <c r="M540" s="10" t="n">
        <v>1.43</v>
      </c>
      <c r="N540" t="inlineStr">
        <is>
          <t>1</t>
        </is>
      </c>
      <c r="O540" t="inlineStr">
        <is>
          <t>16</t>
        </is>
      </c>
      <c r="P540" t="inlineStr">
        <is>
          <t xml:space="preserve">49848   </t>
        </is>
      </c>
      <c r="Q540" s="26" t="n">
        <v>6.9</v>
      </c>
      <c r="R540" s="26">
        <f>Q540*G540</f>
        <v/>
      </c>
      <c r="S540" t="n">
        <v>4.09</v>
      </c>
      <c r="T540" s="18">
        <f>1 - V540/S540</f>
        <v/>
      </c>
      <c r="U540" s="18" t="n">
        <v>0</v>
      </c>
      <c r="V540" s="26" t="n">
        <v>4.09</v>
      </c>
      <c r="W540" s="26">
        <f>V540 - L540</f>
        <v/>
      </c>
    </row>
    <row r="541">
      <c r="A541" s="11" t="n">
        <v>46208</v>
      </c>
      <c r="B541" s="1" t="n">
        <v>20066</v>
      </c>
      <c r="C541" s="1" t="inlineStr">
        <is>
          <t>057</t>
        </is>
      </c>
      <c r="D541" s="1" t="inlineStr">
        <is>
          <t>493289</t>
        </is>
      </c>
      <c r="E541" s="1" t="inlineStr">
        <is>
          <t xml:space="preserve">28194770       </t>
        </is>
      </c>
      <c r="F541" s="5" t="inlineStr">
        <is>
          <t>AUTOS DE METAL 3 TEAMSTERZ EN BLISTER</t>
        </is>
      </c>
      <c r="G541" t="n">
        <v>1</v>
      </c>
      <c r="H541" s="7" t="n">
        <v>6.9</v>
      </c>
      <c r="I541" s="7" t="n">
        <v>0</v>
      </c>
      <c r="J541" s="7" t="n">
        <v>0</v>
      </c>
      <c r="K541" s="9" t="n">
        <v>0</v>
      </c>
      <c r="L541" s="10" t="n">
        <v>4.1</v>
      </c>
      <c r="M541" s="10" t="n">
        <v>1.43</v>
      </c>
      <c r="N541" t="inlineStr">
        <is>
          <t>1</t>
        </is>
      </c>
      <c r="O541" t="inlineStr">
        <is>
          <t>16</t>
        </is>
      </c>
      <c r="P541" t="inlineStr">
        <is>
          <t xml:space="preserve">49848   </t>
        </is>
      </c>
      <c r="Q541" s="26" t="n">
        <v>6.9</v>
      </c>
      <c r="R541" s="26">
        <f>Q541*G541</f>
        <v/>
      </c>
      <c r="S541" t="n">
        <v>4.09</v>
      </c>
      <c r="T541" s="18">
        <f>1 - V541/S541</f>
        <v/>
      </c>
      <c r="U541" s="18" t="n">
        <v>0</v>
      </c>
      <c r="V541" s="26" t="n">
        <v>4.09</v>
      </c>
      <c r="W541" s="26">
        <f>V541 - L541</f>
        <v/>
      </c>
    </row>
    <row r="542">
      <c r="A542" s="11" t="n">
        <v>46208</v>
      </c>
      <c r="B542" s="1" t="n">
        <v>20066</v>
      </c>
      <c r="C542" s="1" t="inlineStr">
        <is>
          <t>057</t>
        </is>
      </c>
      <c r="D542" s="1" t="inlineStr">
        <is>
          <t>493321</t>
        </is>
      </c>
      <c r="E542" s="1" t="inlineStr">
        <is>
          <t xml:space="preserve">28194770       </t>
        </is>
      </c>
      <c r="F542" s="5" t="inlineStr">
        <is>
          <t>AUTOS DE METAL 3 TEAMSTERZ EN BLISTER</t>
        </is>
      </c>
      <c r="G542" t="n">
        <v>1</v>
      </c>
      <c r="H542" s="7" t="n">
        <v>6.9</v>
      </c>
      <c r="I542" s="7" t="n">
        <v>0</v>
      </c>
      <c r="J542" s="7" t="n">
        <v>0</v>
      </c>
      <c r="K542" s="9" t="n">
        <v>0</v>
      </c>
      <c r="L542" s="10" t="n">
        <v>4.1</v>
      </c>
      <c r="M542" s="10" t="n">
        <v>1.43</v>
      </c>
      <c r="N542" t="inlineStr">
        <is>
          <t>1</t>
        </is>
      </c>
      <c r="O542" t="inlineStr">
        <is>
          <t xml:space="preserve">2 </t>
        </is>
      </c>
      <c r="P542" t="inlineStr">
        <is>
          <t xml:space="preserve">49848   </t>
        </is>
      </c>
      <c r="Q542" s="26" t="n">
        <v>6.9</v>
      </c>
      <c r="R542" s="26">
        <f>Q542*G542</f>
        <v/>
      </c>
      <c r="S542" t="n">
        <v>4.09</v>
      </c>
      <c r="T542" s="18">
        <f>1 - V542/S542</f>
        <v/>
      </c>
      <c r="U542" s="18" t="n">
        <v>0</v>
      </c>
      <c r="V542" s="26" t="n">
        <v>4.09</v>
      </c>
      <c r="W542" s="26">
        <f>V542 - L542</f>
        <v/>
      </c>
    </row>
    <row r="543">
      <c r="A543" s="11" t="n">
        <v>46208</v>
      </c>
      <c r="B543" s="1" t="n">
        <v>20066</v>
      </c>
      <c r="C543" s="1" t="inlineStr">
        <is>
          <t>058</t>
        </is>
      </c>
      <c r="D543" s="1" t="inlineStr">
        <is>
          <t xml:space="preserve">59788 </t>
        </is>
      </c>
      <c r="E543" s="1" t="inlineStr">
        <is>
          <t xml:space="preserve">32656416       </t>
        </is>
      </c>
      <c r="F543" s="5" t="inlineStr">
        <is>
          <t>EL PISO ES LAVA</t>
        </is>
      </c>
      <c r="G543" t="n">
        <v>1</v>
      </c>
      <c r="H543" s="7" t="n">
        <v>79.90000000000001</v>
      </c>
      <c r="I543" s="7" t="n">
        <v>45</v>
      </c>
      <c r="J543" s="7" t="n">
        <v>0</v>
      </c>
      <c r="K543" s="9" t="n">
        <v>45</v>
      </c>
      <c r="L543" s="10" t="n">
        <v>20.71</v>
      </c>
      <c r="M543" s="10" t="n">
        <v>1.43</v>
      </c>
      <c r="N543" t="inlineStr">
        <is>
          <t>1</t>
        </is>
      </c>
      <c r="O543" t="inlineStr">
        <is>
          <t xml:space="preserve">3 </t>
        </is>
      </c>
      <c r="P543" t="inlineStr">
        <is>
          <t xml:space="preserve">62683   </t>
        </is>
      </c>
      <c r="Q543" s="26" t="n">
        <v>79.90000000000001</v>
      </c>
      <c r="R543" s="26">
        <f>Q543*G543</f>
        <v/>
      </c>
      <c r="S543" t="n">
        <v>47.4</v>
      </c>
      <c r="T543" s="18">
        <f>1 - V543/S543</f>
        <v/>
      </c>
      <c r="U543" s="18" t="n">
        <v>0.5632040050062579</v>
      </c>
      <c r="V543" s="26" t="n">
        <v>28.10169491525424</v>
      </c>
      <c r="W543" s="26">
        <f>V543 - L543</f>
        <v/>
      </c>
    </row>
    <row r="544">
      <c r="A544" s="11" t="n">
        <v>46208</v>
      </c>
      <c r="B544" s="1" t="n">
        <v>20066</v>
      </c>
      <c r="C544" s="1" t="inlineStr">
        <is>
          <t>058</t>
        </is>
      </c>
      <c r="D544" s="1" t="inlineStr">
        <is>
          <t xml:space="preserve">59900 </t>
        </is>
      </c>
      <c r="E544" s="1" t="inlineStr">
        <is>
          <t xml:space="preserve">28194770       </t>
        </is>
      </c>
      <c r="F544" s="5" t="inlineStr">
        <is>
          <t>AUTOS DE METAL 3 TEAMSTERZ EN BLISTER</t>
        </is>
      </c>
      <c r="G544" t="n">
        <v>1</v>
      </c>
      <c r="H544" s="7" t="n">
        <v>6.9</v>
      </c>
      <c r="I544" s="7" t="n">
        <v>0</v>
      </c>
      <c r="J544" s="7" t="n">
        <v>0</v>
      </c>
      <c r="K544" s="9" t="n">
        <v>0</v>
      </c>
      <c r="L544" s="10" t="n">
        <v>4.1</v>
      </c>
      <c r="M544" s="10" t="n">
        <v>1.43</v>
      </c>
      <c r="N544" t="inlineStr">
        <is>
          <t>1</t>
        </is>
      </c>
      <c r="O544" t="inlineStr">
        <is>
          <t xml:space="preserve">3 </t>
        </is>
      </c>
      <c r="P544" t="inlineStr">
        <is>
          <t xml:space="preserve">62683   </t>
        </is>
      </c>
      <c r="Q544" s="26" t="n">
        <v>6.9</v>
      </c>
      <c r="R544" s="26">
        <f>Q544*G544</f>
        <v/>
      </c>
      <c r="S544" t="n">
        <v>4.09</v>
      </c>
      <c r="T544" s="18">
        <f>1 - V544/S544</f>
        <v/>
      </c>
      <c r="U544" s="18" t="n">
        <v>0</v>
      </c>
      <c r="V544" s="26" t="n">
        <v>4.09</v>
      </c>
      <c r="W544" s="26">
        <f>V544 - L544</f>
        <v/>
      </c>
    </row>
    <row r="545">
      <c r="A545" s="11" t="n">
        <v>46208</v>
      </c>
      <c r="B545" s="1" t="n">
        <v>20066</v>
      </c>
      <c r="C545" s="1" t="inlineStr">
        <is>
          <t>833</t>
        </is>
      </c>
      <c r="D545" s="1" t="inlineStr">
        <is>
          <t xml:space="preserve">3320  </t>
        </is>
      </c>
      <c r="E545" s="1" t="inlineStr">
        <is>
          <t xml:space="preserve">28194769       </t>
        </is>
      </c>
      <c r="F545" s="5" t="inlineStr">
        <is>
          <t>AUTOS DE METAL 3 TEAMSTERZ PACK DE 2</t>
        </is>
      </c>
      <c r="G545" t="n">
        <v>1</v>
      </c>
      <c r="H545" s="7" t="n">
        <v>13.8</v>
      </c>
      <c r="I545" s="7" t="n">
        <v>0</v>
      </c>
      <c r="J545" s="7" t="n">
        <v>0</v>
      </c>
      <c r="K545" s="9" t="n">
        <v>0</v>
      </c>
      <c r="L545" s="10" t="n">
        <v>8.18</v>
      </c>
      <c r="M545" s="10" t="n">
        <v>1.43</v>
      </c>
      <c r="N545" t="inlineStr">
        <is>
          <t>1</t>
        </is>
      </c>
      <c r="O545" t="inlineStr">
        <is>
          <t>16</t>
        </is>
      </c>
      <c r="P545" t="inlineStr">
        <is>
          <t xml:space="preserve">0       </t>
        </is>
      </c>
      <c r="Q545" s="26" t="n">
        <v>13.8</v>
      </c>
      <c r="R545" s="26">
        <f>Q545*G545</f>
        <v/>
      </c>
      <c r="S545" t="n">
        <v>8.19</v>
      </c>
      <c r="T545" s="18">
        <f>1 - V545/S545</f>
        <v/>
      </c>
      <c r="U545" s="18" t="n">
        <v>0</v>
      </c>
      <c r="V545" s="26" t="n">
        <v>8.19</v>
      </c>
      <c r="W545" s="26">
        <f>V545 - L545</f>
        <v/>
      </c>
    </row>
    <row r="546">
      <c r="A546" s="11" t="n">
        <v>46208</v>
      </c>
      <c r="B546" s="1" t="n">
        <v>20066</v>
      </c>
      <c r="C546" s="1" t="inlineStr">
        <is>
          <t>833</t>
        </is>
      </c>
      <c r="D546" s="1" t="inlineStr">
        <is>
          <t xml:space="preserve">3336  </t>
        </is>
      </c>
      <c r="E546" s="1" t="inlineStr">
        <is>
          <t xml:space="preserve">28194769       </t>
        </is>
      </c>
      <c r="F546" s="5" t="inlineStr">
        <is>
          <t>AUTOS DE METAL 3 TEAMSTERZ PACK DE 2</t>
        </is>
      </c>
      <c r="G546" t="n">
        <v>1</v>
      </c>
      <c r="H546" s="7" t="n">
        <v>13.8</v>
      </c>
      <c r="I546" s="7" t="n">
        <v>0</v>
      </c>
      <c r="J546" s="7" t="n">
        <v>0</v>
      </c>
      <c r="K546" s="9" t="n">
        <v>0</v>
      </c>
      <c r="L546" s="10" t="n">
        <v>8.18</v>
      </c>
      <c r="M546" s="10" t="n">
        <v>1.43</v>
      </c>
      <c r="N546" t="inlineStr">
        <is>
          <t>1</t>
        </is>
      </c>
      <c r="O546" t="inlineStr">
        <is>
          <t>16</t>
        </is>
      </c>
      <c r="P546" t="inlineStr">
        <is>
          <t xml:space="preserve">0       </t>
        </is>
      </c>
      <c r="Q546" s="26" t="n">
        <v>13.8</v>
      </c>
      <c r="R546" s="26">
        <f>Q546*G546</f>
        <v/>
      </c>
      <c r="S546" t="n">
        <v>8.19</v>
      </c>
      <c r="T546" s="18">
        <f>1 - V546/S546</f>
        <v/>
      </c>
      <c r="U546" s="18" t="n">
        <v>0</v>
      </c>
      <c r="V546" s="26" t="n">
        <v>8.19</v>
      </c>
      <c r="W546" s="26">
        <f>V546 - L546</f>
        <v/>
      </c>
    </row>
    <row r="547">
      <c r="A547" s="11" t="n">
        <v>46208</v>
      </c>
      <c r="B547" s="1" t="n">
        <v>20069</v>
      </c>
      <c r="C547" s="1" t="inlineStr">
        <is>
          <t>011</t>
        </is>
      </c>
      <c r="D547" s="1" t="inlineStr">
        <is>
          <t>193836</t>
        </is>
      </c>
      <c r="E547" s="1" t="inlineStr">
        <is>
          <t xml:space="preserve">29625610       </t>
        </is>
      </c>
      <c r="F547" s="5" t="inlineStr">
        <is>
          <t>SUPER WINGS FIGURAS DE ACCION ARTICULADA</t>
        </is>
      </c>
      <c r="G547" t="n">
        <v>1</v>
      </c>
      <c r="H547" s="7" t="n">
        <v>34.9</v>
      </c>
      <c r="I547" s="7" t="n">
        <v>0</v>
      </c>
      <c r="J547" s="7" t="n">
        <v>0</v>
      </c>
      <c r="K547" s="9" t="n">
        <v>0</v>
      </c>
      <c r="L547" s="10" t="n">
        <v>20.71</v>
      </c>
      <c r="M547" s="10" t="n">
        <v>1.43</v>
      </c>
      <c r="N547" t="inlineStr">
        <is>
          <t>1</t>
        </is>
      </c>
      <c r="O547" t="inlineStr">
        <is>
          <t>16</t>
        </is>
      </c>
      <c r="P547" t="inlineStr">
        <is>
          <t xml:space="preserve">248423  </t>
        </is>
      </c>
      <c r="Q547" s="26" t="n">
        <v>29.9</v>
      </c>
      <c r="R547" s="26">
        <f>Q547*G547</f>
        <v/>
      </c>
      <c r="S547" t="n">
        <v>17.74</v>
      </c>
      <c r="T547" s="18">
        <f>1 - V547/S547</f>
        <v/>
      </c>
      <c r="U547" s="18" t="n">
        <v>0.2999999999999999</v>
      </c>
      <c r="V547" s="26" t="n">
        <v>13.30271186440678</v>
      </c>
      <c r="W547" s="26">
        <f>V547 - L547</f>
        <v/>
      </c>
    </row>
    <row r="548">
      <c r="A548" s="11" t="n">
        <v>46208</v>
      </c>
      <c r="B548" s="1" t="n">
        <v>20073</v>
      </c>
      <c r="C548" s="1" t="inlineStr">
        <is>
          <t>016</t>
        </is>
      </c>
      <c r="D548" s="1" t="inlineStr">
        <is>
          <t xml:space="preserve">14207 </t>
        </is>
      </c>
      <c r="E548" s="1" t="inlineStr">
        <is>
          <t xml:space="preserve">28194770       </t>
        </is>
      </c>
      <c r="F548" s="5" t="inlineStr">
        <is>
          <t>AUTOS DE METAL 3 TEAMSTERZ EN BLISTER</t>
        </is>
      </c>
      <c r="G548" t="n">
        <v>1</v>
      </c>
      <c r="H548" s="7" t="n">
        <v>6.9</v>
      </c>
      <c r="I548" s="7" t="n">
        <v>0</v>
      </c>
      <c r="J548" s="7" t="n">
        <v>0</v>
      </c>
      <c r="K548" s="9" t="n">
        <v>0</v>
      </c>
      <c r="L548" s="10" t="n">
        <v>4.1</v>
      </c>
      <c r="M548" s="10" t="n">
        <v>1.43</v>
      </c>
      <c r="N548" t="inlineStr">
        <is>
          <t>1</t>
        </is>
      </c>
      <c r="O548" t="inlineStr">
        <is>
          <t>16</t>
        </is>
      </c>
      <c r="P548" t="inlineStr">
        <is>
          <t xml:space="preserve">91372   </t>
        </is>
      </c>
      <c r="Q548" s="26" t="n">
        <v>6.9</v>
      </c>
      <c r="R548" s="26">
        <f>Q548*G548</f>
        <v/>
      </c>
      <c r="S548" t="n">
        <v>4.09</v>
      </c>
      <c r="T548" s="18">
        <f>1 - V548/S548</f>
        <v/>
      </c>
      <c r="U548" s="18" t="n">
        <v>0</v>
      </c>
      <c r="V548" s="26" t="n">
        <v>4.09</v>
      </c>
      <c r="W548" s="26">
        <f>V548 - L548</f>
        <v/>
      </c>
    </row>
    <row r="549">
      <c r="A549" s="11" t="n">
        <v>46208</v>
      </c>
      <c r="B549" s="1" t="n">
        <v>20073</v>
      </c>
      <c r="C549" s="1" t="inlineStr">
        <is>
          <t>016</t>
        </is>
      </c>
      <c r="D549" s="1" t="inlineStr">
        <is>
          <t xml:space="preserve">14208 </t>
        </is>
      </c>
      <c r="E549" s="1" t="inlineStr">
        <is>
          <t xml:space="preserve">28194770       </t>
        </is>
      </c>
      <c r="F549" s="5" t="inlineStr">
        <is>
          <t>AUTOS DE METAL 3 TEAMSTERZ EN BLISTER</t>
        </is>
      </c>
      <c r="G549" t="n">
        <v>1</v>
      </c>
      <c r="H549" s="7" t="n">
        <v>6.9</v>
      </c>
      <c r="I549" s="7" t="n">
        <v>0</v>
      </c>
      <c r="J549" s="7" t="n">
        <v>0</v>
      </c>
      <c r="K549" s="9" t="n">
        <v>0</v>
      </c>
      <c r="L549" s="10" t="n">
        <v>4.1</v>
      </c>
      <c r="M549" s="10" t="n">
        <v>1.43</v>
      </c>
      <c r="N549" t="inlineStr">
        <is>
          <t>1</t>
        </is>
      </c>
      <c r="O549" t="inlineStr">
        <is>
          <t xml:space="preserve">6 </t>
        </is>
      </c>
      <c r="P549" t="inlineStr">
        <is>
          <t xml:space="preserve">91372   </t>
        </is>
      </c>
      <c r="Q549" s="26" t="n">
        <v>6.9</v>
      </c>
      <c r="R549" s="26">
        <f>Q549*G549</f>
        <v/>
      </c>
      <c r="S549" t="n">
        <v>4.09</v>
      </c>
      <c r="T549" s="18">
        <f>1 - V549/S549</f>
        <v/>
      </c>
      <c r="U549" s="18" t="n">
        <v>0</v>
      </c>
      <c r="V549" s="26" t="n">
        <v>4.09</v>
      </c>
      <c r="W549" s="26">
        <f>V549 - L549</f>
        <v/>
      </c>
    </row>
    <row r="550">
      <c r="A550" s="11" t="n">
        <v>46208</v>
      </c>
      <c r="B550" s="1" t="n">
        <v>20073</v>
      </c>
      <c r="C550" s="1" t="inlineStr">
        <is>
          <t>016</t>
        </is>
      </c>
      <c r="D550" s="1" t="inlineStr">
        <is>
          <t xml:space="preserve">14208 </t>
        </is>
      </c>
      <c r="E550" s="1" t="inlineStr">
        <is>
          <t xml:space="preserve">28194770       </t>
        </is>
      </c>
      <c r="F550" s="5" t="inlineStr">
        <is>
          <t>AUTOS DE METAL 3 TEAMSTERZ EN BLISTER</t>
        </is>
      </c>
      <c r="G550" t="n">
        <v>1</v>
      </c>
      <c r="H550" s="7" t="n">
        <v>6.9</v>
      </c>
      <c r="I550" s="7" t="n">
        <v>0</v>
      </c>
      <c r="J550" s="7" t="n">
        <v>0</v>
      </c>
      <c r="K550" s="9" t="n">
        <v>0</v>
      </c>
      <c r="L550" s="10" t="n">
        <v>4.1</v>
      </c>
      <c r="M550" s="10" t="n">
        <v>1.43</v>
      </c>
      <c r="N550" t="inlineStr">
        <is>
          <t>1</t>
        </is>
      </c>
      <c r="O550" t="inlineStr">
        <is>
          <t xml:space="preserve">6 </t>
        </is>
      </c>
      <c r="P550" t="inlineStr">
        <is>
          <t xml:space="preserve">91372   </t>
        </is>
      </c>
      <c r="Q550" s="26" t="n">
        <v>6.9</v>
      </c>
      <c r="R550" s="26">
        <f>Q550*G550</f>
        <v/>
      </c>
      <c r="S550" t="n">
        <v>4.09</v>
      </c>
      <c r="T550" s="18">
        <f>1 - V550/S550</f>
        <v/>
      </c>
      <c r="U550" s="18" t="n">
        <v>0</v>
      </c>
      <c r="V550" s="26" t="n">
        <v>4.09</v>
      </c>
      <c r="W550" s="26">
        <f>V550 - L550</f>
        <v/>
      </c>
    </row>
    <row r="551">
      <c r="A551" s="11" t="n">
        <v>46208</v>
      </c>
      <c r="B551" s="1" t="n">
        <v>20073</v>
      </c>
      <c r="C551" s="1" t="inlineStr">
        <is>
          <t>016</t>
        </is>
      </c>
      <c r="D551" s="1" t="inlineStr">
        <is>
          <t xml:space="preserve">893   </t>
        </is>
      </c>
      <c r="E551" s="1" t="inlineStr">
        <is>
          <t xml:space="preserve">28194770       </t>
        </is>
      </c>
      <c r="F551" s="5" t="inlineStr">
        <is>
          <t>AUTOS DE METAL 3 TEAMSTERZ EN BLISTER</t>
        </is>
      </c>
      <c r="G551" t="n">
        <v>-1</v>
      </c>
      <c r="H551" s="7" t="n">
        <v>-6.9</v>
      </c>
      <c r="I551" s="7" t="n">
        <v>0</v>
      </c>
      <c r="J551" s="7" t="n">
        <v>0</v>
      </c>
      <c r="K551" s="9" t="n">
        <v>0</v>
      </c>
      <c r="L551" s="10" t="n">
        <v>-4.1</v>
      </c>
      <c r="M551" s="10" t="n">
        <v>0</v>
      </c>
      <c r="N551" t="inlineStr">
        <is>
          <t>3</t>
        </is>
      </c>
      <c r="O551" t="inlineStr">
        <is>
          <t>26</t>
        </is>
      </c>
      <c r="P551" t="inlineStr">
        <is>
          <t xml:space="preserve">72263   </t>
        </is>
      </c>
      <c r="Q551" s="26" t="n">
        <v>6.9</v>
      </c>
      <c r="R551" s="26">
        <f>Q551*G551</f>
        <v/>
      </c>
      <c r="S551" t="n">
        <v>-4.09</v>
      </c>
      <c r="T551" s="18">
        <f>1 - V551/S551</f>
        <v/>
      </c>
      <c r="U551" s="18" t="n">
        <v>0</v>
      </c>
      <c r="V551" s="26" t="n">
        <v>-4.09</v>
      </c>
      <c r="W551" s="26">
        <f>V551 - L551</f>
        <v/>
      </c>
    </row>
    <row r="552">
      <c r="A552" s="11" t="n">
        <v>46208</v>
      </c>
      <c r="B552" s="1" t="n">
        <v>20073</v>
      </c>
      <c r="C552" s="1" t="inlineStr">
        <is>
          <t>020</t>
        </is>
      </c>
      <c r="D552" s="1" t="inlineStr">
        <is>
          <t>282880</t>
        </is>
      </c>
      <c r="E552" s="1" t="inlineStr">
        <is>
          <t xml:space="preserve">28194769       </t>
        </is>
      </c>
      <c r="F552" s="5" t="inlineStr">
        <is>
          <t>AUTOS DE METAL 3 TEAMSTERZ PACK DE 2</t>
        </is>
      </c>
      <c r="G552" t="n">
        <v>1</v>
      </c>
      <c r="H552" s="7" t="n">
        <v>13.8</v>
      </c>
      <c r="I552" s="7" t="n">
        <v>0</v>
      </c>
      <c r="J552" s="7" t="n">
        <v>0</v>
      </c>
      <c r="K552" s="9" t="n">
        <v>0</v>
      </c>
      <c r="L552" s="10" t="n">
        <v>8.18</v>
      </c>
      <c r="M552" s="10" t="n">
        <v>1.43</v>
      </c>
      <c r="N552" t="inlineStr">
        <is>
          <t>1</t>
        </is>
      </c>
      <c r="O552" t="inlineStr">
        <is>
          <t xml:space="preserve">3 </t>
        </is>
      </c>
      <c r="P552" t="inlineStr">
        <is>
          <t xml:space="preserve">250460  </t>
        </is>
      </c>
      <c r="Q552" s="26" t="n">
        <v>13.8</v>
      </c>
      <c r="R552" s="26">
        <f>Q552*G552</f>
        <v/>
      </c>
      <c r="S552" t="n">
        <v>8.19</v>
      </c>
      <c r="T552" s="18">
        <f>1 - V552/S552</f>
        <v/>
      </c>
      <c r="U552" s="18" t="n">
        <v>0</v>
      </c>
      <c r="V552" s="26" t="n">
        <v>8.19</v>
      </c>
      <c r="W552" s="26">
        <f>V552 - L552</f>
        <v/>
      </c>
    </row>
    <row r="553">
      <c r="A553" s="11" t="n">
        <v>46208</v>
      </c>
      <c r="B553" s="1" t="n">
        <v>20073</v>
      </c>
      <c r="C553" s="1" t="inlineStr">
        <is>
          <t>020</t>
        </is>
      </c>
      <c r="D553" s="1" t="inlineStr">
        <is>
          <t>282880</t>
        </is>
      </c>
      <c r="E553" s="1" t="inlineStr">
        <is>
          <t xml:space="preserve">28194769       </t>
        </is>
      </c>
      <c r="F553" s="5" t="inlineStr">
        <is>
          <t>AUTOS DE METAL 3 TEAMSTERZ PACK DE 2</t>
        </is>
      </c>
      <c r="G553" t="n">
        <v>1</v>
      </c>
      <c r="H553" s="7" t="n">
        <v>13.8</v>
      </c>
      <c r="I553" s="7" t="n">
        <v>0</v>
      </c>
      <c r="J553" s="7" t="n">
        <v>0</v>
      </c>
      <c r="K553" s="9" t="n">
        <v>0</v>
      </c>
      <c r="L553" s="10" t="n">
        <v>8.18</v>
      </c>
      <c r="M553" s="10" t="n">
        <v>1.43</v>
      </c>
      <c r="N553" t="inlineStr">
        <is>
          <t>1</t>
        </is>
      </c>
      <c r="O553" t="inlineStr">
        <is>
          <t xml:space="preserve">3 </t>
        </is>
      </c>
      <c r="P553" t="inlineStr">
        <is>
          <t xml:space="preserve">250460  </t>
        </is>
      </c>
      <c r="Q553" s="26" t="n">
        <v>13.8</v>
      </c>
      <c r="R553" s="26">
        <f>Q553*G553</f>
        <v/>
      </c>
      <c r="S553" t="n">
        <v>8.19</v>
      </c>
      <c r="T553" s="18">
        <f>1 - V553/S553</f>
        <v/>
      </c>
      <c r="U553" s="18" t="n">
        <v>0</v>
      </c>
      <c r="V553" s="26" t="n">
        <v>8.19</v>
      </c>
      <c r="W553" s="26">
        <f>V553 - L553</f>
        <v/>
      </c>
    </row>
    <row r="554">
      <c r="A554" s="11" t="n">
        <v>46208</v>
      </c>
      <c r="B554" s="1" t="n">
        <v>20073</v>
      </c>
      <c r="C554" s="1" t="inlineStr">
        <is>
          <t>032</t>
        </is>
      </c>
      <c r="D554" s="1" t="inlineStr">
        <is>
          <t>379191</t>
        </is>
      </c>
      <c r="E554" s="1" t="inlineStr">
        <is>
          <t xml:space="preserve">28194769       </t>
        </is>
      </c>
      <c r="F554" s="5" t="inlineStr">
        <is>
          <t>AUTOS DE METAL 3 TEAMSTERZ PACK DE 2</t>
        </is>
      </c>
      <c r="G554" t="n">
        <v>1</v>
      </c>
      <c r="H554" s="7" t="n">
        <v>13.8</v>
      </c>
      <c r="I554" s="7" t="n">
        <v>0</v>
      </c>
      <c r="J554" s="7" t="n">
        <v>0</v>
      </c>
      <c r="K554" s="9" t="n">
        <v>0</v>
      </c>
      <c r="L554" s="10" t="n">
        <v>8.18</v>
      </c>
      <c r="M554" s="10" t="n">
        <v>1.43</v>
      </c>
      <c r="N554" t="inlineStr">
        <is>
          <t>1</t>
        </is>
      </c>
      <c r="O554" t="inlineStr">
        <is>
          <t>16</t>
        </is>
      </c>
      <c r="P554" t="inlineStr">
        <is>
          <t xml:space="preserve">57881   </t>
        </is>
      </c>
      <c r="Q554" s="26" t="n">
        <v>13.8</v>
      </c>
      <c r="R554" s="26">
        <f>Q554*G554</f>
        <v/>
      </c>
      <c r="S554" t="n">
        <v>8.19</v>
      </c>
      <c r="T554" s="18">
        <f>1 - V554/S554</f>
        <v/>
      </c>
      <c r="U554" s="18" t="n">
        <v>0</v>
      </c>
      <c r="V554" s="26" t="n">
        <v>8.19</v>
      </c>
      <c r="W554" s="26">
        <f>V554 - L554</f>
        <v/>
      </c>
    </row>
    <row r="555">
      <c r="A555" s="11" t="n">
        <v>46208</v>
      </c>
      <c r="B555" s="1" t="n">
        <v>20073</v>
      </c>
      <c r="C555" s="1" t="inlineStr">
        <is>
          <t>033</t>
        </is>
      </c>
      <c r="D555" s="1" t="inlineStr">
        <is>
          <t>313425</t>
        </is>
      </c>
      <c r="E555" s="1" t="inlineStr">
        <is>
          <t xml:space="preserve">28194768       </t>
        </is>
      </c>
      <c r="F555" s="5" t="inlineStr">
        <is>
          <t>AUTO COLOR CHANGE TEAMSTERZ SURTIDO</t>
        </is>
      </c>
      <c r="G555" t="n">
        <v>1</v>
      </c>
      <c r="H555" s="7" t="n">
        <v>14.9</v>
      </c>
      <c r="I555" s="7" t="n">
        <v>0</v>
      </c>
      <c r="J555" s="7" t="n">
        <v>0</v>
      </c>
      <c r="K555" s="9" t="n">
        <v>0</v>
      </c>
      <c r="L555" s="10" t="n">
        <v>8.84</v>
      </c>
      <c r="M555" s="10" t="n">
        <v>1.43</v>
      </c>
      <c r="N555" t="inlineStr">
        <is>
          <t>1</t>
        </is>
      </c>
      <c r="O555" t="inlineStr">
        <is>
          <t xml:space="preserve">2 </t>
        </is>
      </c>
      <c r="P555" t="inlineStr">
        <is>
          <t xml:space="preserve">57916   </t>
        </is>
      </c>
      <c r="Q555" s="26" t="n">
        <v>14.9</v>
      </c>
      <c r="R555" s="26">
        <f>Q555*G555</f>
        <v/>
      </c>
      <c r="S555" t="n">
        <v>8.84</v>
      </c>
      <c r="T555" s="18">
        <f>1 - V555/S555</f>
        <v/>
      </c>
      <c r="U555" s="18" t="n">
        <v>0</v>
      </c>
      <c r="V555" s="26" t="n">
        <v>8.84</v>
      </c>
      <c r="W555" s="26">
        <f>V555 - L555</f>
        <v/>
      </c>
    </row>
    <row r="556">
      <c r="A556" s="11" t="n">
        <v>46208</v>
      </c>
      <c r="B556" s="1" t="n">
        <v>20073</v>
      </c>
      <c r="C556" s="1" t="inlineStr">
        <is>
          <t>034</t>
        </is>
      </c>
      <c r="D556" s="1" t="inlineStr">
        <is>
          <t>343970</t>
        </is>
      </c>
      <c r="E556" s="1" t="inlineStr">
        <is>
          <t xml:space="preserve">28194770       </t>
        </is>
      </c>
      <c r="F556" s="5" t="inlineStr">
        <is>
          <t>AUTOS DE METAL 3 TEAMSTERZ EN BLISTER</t>
        </is>
      </c>
      <c r="G556" t="n">
        <v>1</v>
      </c>
      <c r="H556" s="7" t="n">
        <v>6.9</v>
      </c>
      <c r="I556" s="7" t="n">
        <v>0</v>
      </c>
      <c r="J556" s="7" t="n">
        <v>0</v>
      </c>
      <c r="K556" s="9" t="n">
        <v>0</v>
      </c>
      <c r="L556" s="10" t="n">
        <v>4.1</v>
      </c>
      <c r="M556" s="10" t="n">
        <v>1.43</v>
      </c>
      <c r="N556" t="inlineStr">
        <is>
          <t>1</t>
        </is>
      </c>
      <c r="O556" t="inlineStr">
        <is>
          <t xml:space="preserve">3 </t>
        </is>
      </c>
      <c r="P556" t="inlineStr">
        <is>
          <t xml:space="preserve">57881   </t>
        </is>
      </c>
      <c r="Q556" s="26" t="n">
        <v>6.9</v>
      </c>
      <c r="R556" s="26">
        <f>Q556*G556</f>
        <v/>
      </c>
      <c r="S556" t="n">
        <v>4.09</v>
      </c>
      <c r="T556" s="18">
        <f>1 - V556/S556</f>
        <v/>
      </c>
      <c r="U556" s="18" t="n">
        <v>0</v>
      </c>
      <c r="V556" s="26" t="n">
        <v>4.09</v>
      </c>
      <c r="W556" s="26">
        <f>V556 - L556</f>
        <v/>
      </c>
    </row>
    <row r="557">
      <c r="A557" s="11" t="n">
        <v>46208</v>
      </c>
      <c r="B557" s="1" t="n">
        <v>20073</v>
      </c>
      <c r="C557" s="1" t="inlineStr">
        <is>
          <t>034</t>
        </is>
      </c>
      <c r="D557" s="1" t="inlineStr">
        <is>
          <t>343970</t>
        </is>
      </c>
      <c r="E557" s="1" t="inlineStr">
        <is>
          <t xml:space="preserve">28194770       </t>
        </is>
      </c>
      <c r="F557" s="5" t="inlineStr">
        <is>
          <t>AUTOS DE METAL 3 TEAMSTERZ EN BLISTER</t>
        </is>
      </c>
      <c r="G557" t="n">
        <v>1</v>
      </c>
      <c r="H557" s="7" t="n">
        <v>6.9</v>
      </c>
      <c r="I557" s="7" t="n">
        <v>0</v>
      </c>
      <c r="J557" s="7" t="n">
        <v>0</v>
      </c>
      <c r="K557" s="9" t="n">
        <v>0</v>
      </c>
      <c r="L557" s="10" t="n">
        <v>4.1</v>
      </c>
      <c r="M557" s="10" t="n">
        <v>1.43</v>
      </c>
      <c r="N557" t="inlineStr">
        <is>
          <t>1</t>
        </is>
      </c>
      <c r="O557" t="inlineStr">
        <is>
          <t xml:space="preserve">3 </t>
        </is>
      </c>
      <c r="P557" t="inlineStr">
        <is>
          <t xml:space="preserve">57881   </t>
        </is>
      </c>
      <c r="Q557" s="26" t="n">
        <v>6.9</v>
      </c>
      <c r="R557" s="26">
        <f>Q557*G557</f>
        <v/>
      </c>
      <c r="S557" t="n">
        <v>4.09</v>
      </c>
      <c r="T557" s="18">
        <f>1 - V557/S557</f>
        <v/>
      </c>
      <c r="U557" s="18" t="n">
        <v>0</v>
      </c>
      <c r="V557" s="26" t="n">
        <v>4.09</v>
      </c>
      <c r="W557" s="26">
        <f>V557 - L557</f>
        <v/>
      </c>
    </row>
    <row r="558">
      <c r="A558" s="11" t="n">
        <v>46208</v>
      </c>
      <c r="B558" s="1" t="n">
        <v>20073</v>
      </c>
      <c r="C558" s="1" t="inlineStr">
        <is>
          <t>045</t>
        </is>
      </c>
      <c r="D558" s="1" t="inlineStr">
        <is>
          <t>149349</t>
        </is>
      </c>
      <c r="E558" s="1" t="inlineStr">
        <is>
          <t xml:space="preserve">28194769       </t>
        </is>
      </c>
      <c r="F558" s="5" t="inlineStr">
        <is>
          <t>AUTOS DE METAL 3 TEAMSTERZ PACK DE 2</t>
        </is>
      </c>
      <c r="G558" t="n">
        <v>1</v>
      </c>
      <c r="H558" s="7" t="n">
        <v>13.8</v>
      </c>
      <c r="I558" s="7" t="n">
        <v>0</v>
      </c>
      <c r="J558" s="7" t="n">
        <v>0</v>
      </c>
      <c r="K558" s="9" t="n">
        <v>0</v>
      </c>
      <c r="L558" s="10" t="n">
        <v>8.18</v>
      </c>
      <c r="M558" s="10" t="n">
        <v>1.43</v>
      </c>
      <c r="N558" t="inlineStr">
        <is>
          <t>1</t>
        </is>
      </c>
      <c r="O558" t="inlineStr">
        <is>
          <t>16</t>
        </is>
      </c>
      <c r="P558" t="inlineStr">
        <is>
          <t xml:space="preserve">74879   </t>
        </is>
      </c>
      <c r="Q558" s="26" t="n">
        <v>13.8</v>
      </c>
      <c r="R558" s="26">
        <f>Q558*G558</f>
        <v/>
      </c>
      <c r="S558" t="n">
        <v>8.19</v>
      </c>
      <c r="T558" s="18">
        <f>1 - V558/S558</f>
        <v/>
      </c>
      <c r="U558" s="18" t="n">
        <v>0</v>
      </c>
      <c r="V558" s="26" t="n">
        <v>8.19</v>
      </c>
      <c r="W558" s="26">
        <f>V558 - L558</f>
        <v/>
      </c>
    </row>
    <row r="559">
      <c r="A559" s="11" t="n">
        <v>46208</v>
      </c>
      <c r="B559" s="1" t="n">
        <v>20073</v>
      </c>
      <c r="C559" s="1" t="inlineStr">
        <is>
          <t>045</t>
        </is>
      </c>
      <c r="D559" s="1" t="inlineStr">
        <is>
          <t>149368</t>
        </is>
      </c>
      <c r="E559" s="1" t="inlineStr">
        <is>
          <t xml:space="preserve">28194768       </t>
        </is>
      </c>
      <c r="F559" s="5" t="inlineStr">
        <is>
          <t>AUTO COLOR CHANGE TEAMSTERZ SURTIDO</t>
        </is>
      </c>
      <c r="G559" t="n">
        <v>1</v>
      </c>
      <c r="H559" s="7" t="n">
        <v>14.9</v>
      </c>
      <c r="I559" s="7" t="n">
        <v>0</v>
      </c>
      <c r="J559" s="7" t="n">
        <v>0</v>
      </c>
      <c r="K559" s="9" t="n">
        <v>0</v>
      </c>
      <c r="L559" s="10" t="n">
        <v>8.84</v>
      </c>
      <c r="M559" s="10" t="n">
        <v>1.43</v>
      </c>
      <c r="N559" t="inlineStr">
        <is>
          <t>1</t>
        </is>
      </c>
      <c r="O559" t="inlineStr">
        <is>
          <t xml:space="preserve">2 </t>
        </is>
      </c>
      <c r="P559" t="inlineStr">
        <is>
          <t xml:space="preserve">74879   </t>
        </is>
      </c>
      <c r="Q559" s="26" t="n">
        <v>14.9</v>
      </c>
      <c r="R559" s="26">
        <f>Q559*G559</f>
        <v/>
      </c>
      <c r="S559" t="n">
        <v>8.84</v>
      </c>
      <c r="T559" s="18">
        <f>1 - V559/S559</f>
        <v/>
      </c>
      <c r="U559" s="18" t="n">
        <v>0</v>
      </c>
      <c r="V559" s="26" t="n">
        <v>8.84</v>
      </c>
      <c r="W559" s="26">
        <f>V559 - L559</f>
        <v/>
      </c>
    </row>
    <row r="560">
      <c r="A560" s="11" t="n">
        <v>46208</v>
      </c>
      <c r="B560" s="1" t="n">
        <v>20073</v>
      </c>
      <c r="C560" s="1" t="inlineStr">
        <is>
          <t>045</t>
        </is>
      </c>
      <c r="D560" s="1" t="inlineStr">
        <is>
          <t>149373</t>
        </is>
      </c>
      <c r="E560" s="1" t="inlineStr">
        <is>
          <t xml:space="preserve">28194769       </t>
        </is>
      </c>
      <c r="F560" s="5" t="inlineStr">
        <is>
          <t>AUTOS DE METAL 3 TEAMSTERZ PACK DE 2</t>
        </is>
      </c>
      <c r="G560" t="n">
        <v>1</v>
      </c>
      <c r="H560" s="7" t="n">
        <v>13.8</v>
      </c>
      <c r="I560" s="7" t="n">
        <v>0</v>
      </c>
      <c r="J560" s="7" t="n">
        <v>0</v>
      </c>
      <c r="K560" s="9" t="n">
        <v>0</v>
      </c>
      <c r="L560" s="10" t="n">
        <v>8.18</v>
      </c>
      <c r="M560" s="10" t="n">
        <v>1.43</v>
      </c>
      <c r="N560" t="inlineStr">
        <is>
          <t>1</t>
        </is>
      </c>
      <c r="O560" t="inlineStr">
        <is>
          <t>16</t>
        </is>
      </c>
      <c r="P560" t="inlineStr">
        <is>
          <t xml:space="preserve">74879   </t>
        </is>
      </c>
      <c r="Q560" s="26" t="n">
        <v>13.8</v>
      </c>
      <c r="R560" s="26">
        <f>Q560*G560</f>
        <v/>
      </c>
      <c r="S560" t="n">
        <v>8.19</v>
      </c>
      <c r="T560" s="18">
        <f>1 - V560/S560</f>
        <v/>
      </c>
      <c r="U560" s="18" t="n">
        <v>0</v>
      </c>
      <c r="V560" s="26" t="n">
        <v>8.19</v>
      </c>
      <c r="W560" s="26">
        <f>V560 - L560</f>
        <v/>
      </c>
    </row>
    <row r="561">
      <c r="A561" s="11" t="n">
        <v>46208</v>
      </c>
      <c r="B561" s="1" t="n">
        <v>20073</v>
      </c>
      <c r="C561" s="1" t="inlineStr">
        <is>
          <t>045</t>
        </is>
      </c>
      <c r="D561" s="1" t="inlineStr">
        <is>
          <t>149373</t>
        </is>
      </c>
      <c r="E561" s="1" t="inlineStr">
        <is>
          <t xml:space="preserve">28194770       </t>
        </is>
      </c>
      <c r="F561" s="5" t="inlineStr">
        <is>
          <t>AUTOS DE METAL 3 TEAMSTERZ EN BLISTER</t>
        </is>
      </c>
      <c r="G561" t="n">
        <v>1</v>
      </c>
      <c r="H561" s="7" t="n">
        <v>6.9</v>
      </c>
      <c r="I561" s="7" t="n">
        <v>0</v>
      </c>
      <c r="J561" s="7" t="n">
        <v>0</v>
      </c>
      <c r="K561" s="9" t="n">
        <v>0</v>
      </c>
      <c r="L561" s="10" t="n">
        <v>4.1</v>
      </c>
      <c r="M561" s="10" t="n">
        <v>1.43</v>
      </c>
      <c r="N561" t="inlineStr">
        <is>
          <t>1</t>
        </is>
      </c>
      <c r="O561" t="inlineStr">
        <is>
          <t>16</t>
        </is>
      </c>
      <c r="P561" t="inlineStr">
        <is>
          <t xml:space="preserve">74879   </t>
        </is>
      </c>
      <c r="Q561" s="26" t="n">
        <v>6.9</v>
      </c>
      <c r="R561" s="26">
        <f>Q561*G561</f>
        <v/>
      </c>
      <c r="S561" t="n">
        <v>4.09</v>
      </c>
      <c r="T561" s="18">
        <f>1 - V561/S561</f>
        <v/>
      </c>
      <c r="U561" s="18" t="n">
        <v>0</v>
      </c>
      <c r="V561" s="26" t="n">
        <v>4.09</v>
      </c>
      <c r="W561" s="26">
        <f>V561 - L561</f>
        <v/>
      </c>
    </row>
    <row r="562">
      <c r="A562" s="11" t="n">
        <v>46208</v>
      </c>
      <c r="B562" s="1" t="n">
        <v>20073</v>
      </c>
      <c r="C562" s="1" t="inlineStr">
        <is>
          <t>045</t>
        </is>
      </c>
      <c r="D562" s="1" t="inlineStr">
        <is>
          <t>149373</t>
        </is>
      </c>
      <c r="E562" s="1" t="inlineStr">
        <is>
          <t xml:space="preserve">28194770       </t>
        </is>
      </c>
      <c r="F562" s="5" t="inlineStr">
        <is>
          <t>AUTOS DE METAL 3 TEAMSTERZ EN BLISTER</t>
        </is>
      </c>
      <c r="G562" t="n">
        <v>1</v>
      </c>
      <c r="H562" s="7" t="n">
        <v>6.9</v>
      </c>
      <c r="I562" s="7" t="n">
        <v>0</v>
      </c>
      <c r="J562" s="7" t="n">
        <v>0</v>
      </c>
      <c r="K562" s="9" t="n">
        <v>0</v>
      </c>
      <c r="L562" s="10" t="n">
        <v>4.1</v>
      </c>
      <c r="M562" s="10" t="n">
        <v>1.43</v>
      </c>
      <c r="N562" t="inlineStr">
        <is>
          <t>1</t>
        </is>
      </c>
      <c r="O562" t="inlineStr">
        <is>
          <t>16</t>
        </is>
      </c>
      <c r="P562" t="inlineStr">
        <is>
          <t xml:space="preserve">74879   </t>
        </is>
      </c>
      <c r="Q562" s="26" t="n">
        <v>6.9</v>
      </c>
      <c r="R562" s="26">
        <f>Q562*G562</f>
        <v/>
      </c>
      <c r="S562" t="n">
        <v>4.09</v>
      </c>
      <c r="T562" s="18">
        <f>1 - V562/S562</f>
        <v/>
      </c>
      <c r="U562" s="18" t="n">
        <v>0</v>
      </c>
      <c r="V562" s="26" t="n">
        <v>4.09</v>
      </c>
      <c r="W562" s="26">
        <f>V562 - L562</f>
        <v/>
      </c>
    </row>
    <row r="563">
      <c r="A563" s="11" t="n">
        <v>46208</v>
      </c>
      <c r="B563" s="1" t="n">
        <v>20073</v>
      </c>
      <c r="C563" s="1" t="inlineStr">
        <is>
          <t>045</t>
        </is>
      </c>
      <c r="D563" s="1" t="inlineStr">
        <is>
          <t>149373</t>
        </is>
      </c>
      <c r="E563" s="1" t="inlineStr">
        <is>
          <t xml:space="preserve">29235706       </t>
        </is>
      </c>
      <c r="F563" s="5" t="inlineStr">
        <is>
          <t>TEAMSTERZ CAMION PARA GUARDAR 12 AUTOS INCL 4 AUTO</t>
        </is>
      </c>
      <c r="G563" t="n">
        <v>1</v>
      </c>
      <c r="H563" s="7" t="n">
        <v>59.9</v>
      </c>
      <c r="I563" s="7" t="n">
        <v>0</v>
      </c>
      <c r="J563" s="7" t="n">
        <v>0</v>
      </c>
      <c r="K563" s="9" t="n">
        <v>0</v>
      </c>
      <c r="L563" s="10" t="n">
        <v>35.53</v>
      </c>
      <c r="M563" s="10" t="n">
        <v>1.43</v>
      </c>
      <c r="N563" t="inlineStr">
        <is>
          <t>1</t>
        </is>
      </c>
      <c r="O563" t="inlineStr">
        <is>
          <t>16</t>
        </is>
      </c>
      <c r="P563" t="inlineStr">
        <is>
          <t xml:space="preserve">74879   </t>
        </is>
      </c>
      <c r="Q563" s="26" t="n">
        <v>59.90000000000001</v>
      </c>
      <c r="R563" s="26">
        <f>Q563*G563</f>
        <v/>
      </c>
      <c r="S563" t="n">
        <v>35.53</v>
      </c>
      <c r="T563" s="18">
        <f>1 - V563/S563</f>
        <v/>
      </c>
      <c r="U563" s="18" t="n">
        <v>0</v>
      </c>
      <c r="V563" s="26" t="n">
        <v>35.53</v>
      </c>
      <c r="W563" s="26">
        <f>V563 - L563</f>
        <v/>
      </c>
    </row>
    <row r="564">
      <c r="A564" s="11" t="n">
        <v>46208</v>
      </c>
      <c r="B564" s="1" t="n">
        <v>20073</v>
      </c>
      <c r="C564" s="1" t="inlineStr">
        <is>
          <t>046</t>
        </is>
      </c>
      <c r="D564" s="1" t="inlineStr">
        <is>
          <t>207365</t>
        </is>
      </c>
      <c r="E564" s="1" t="inlineStr">
        <is>
          <t xml:space="preserve">28194768       </t>
        </is>
      </c>
      <c r="F564" s="5" t="inlineStr">
        <is>
          <t>AUTO COLOR CHANGE TEAMSTERZ SURTIDO</t>
        </is>
      </c>
      <c r="G564" t="n">
        <v>1</v>
      </c>
      <c r="H564" s="7" t="n">
        <v>14.9</v>
      </c>
      <c r="I564" s="7" t="n">
        <v>0</v>
      </c>
      <c r="J564" s="7" t="n">
        <v>0</v>
      </c>
      <c r="K564" s="9" t="n">
        <v>0</v>
      </c>
      <c r="L564" s="10" t="n">
        <v>8.84</v>
      </c>
      <c r="M564" s="10" t="n">
        <v>1.43</v>
      </c>
      <c r="N564" t="inlineStr">
        <is>
          <t>1</t>
        </is>
      </c>
      <c r="O564" t="inlineStr">
        <is>
          <t>16</t>
        </is>
      </c>
      <c r="P564" t="inlineStr">
        <is>
          <t xml:space="preserve">61458   </t>
        </is>
      </c>
      <c r="Q564" s="26" t="n">
        <v>14.9</v>
      </c>
      <c r="R564" s="26">
        <f>Q564*G564</f>
        <v/>
      </c>
      <c r="S564" t="n">
        <v>8.84</v>
      </c>
      <c r="T564" s="18">
        <f>1 - V564/S564</f>
        <v/>
      </c>
      <c r="U564" s="18" t="n">
        <v>0</v>
      </c>
      <c r="V564" s="26" t="n">
        <v>8.84</v>
      </c>
      <c r="W564" s="26">
        <f>V564 - L564</f>
        <v/>
      </c>
    </row>
    <row r="565">
      <c r="A565" s="11" t="n">
        <v>46208</v>
      </c>
      <c r="B565" s="1" t="n">
        <v>20073</v>
      </c>
      <c r="C565" s="1" t="inlineStr">
        <is>
          <t>046</t>
        </is>
      </c>
      <c r="D565" s="1" t="inlineStr">
        <is>
          <t>207366</t>
        </is>
      </c>
      <c r="E565" s="1" t="inlineStr">
        <is>
          <t xml:space="preserve">28194770       </t>
        </is>
      </c>
      <c r="F565" s="5" t="inlineStr">
        <is>
          <t>AUTOS DE METAL 3 TEAMSTERZ EN BLISTER</t>
        </is>
      </c>
      <c r="G565" t="n">
        <v>1</v>
      </c>
      <c r="H565" s="7" t="n">
        <v>6.9</v>
      </c>
      <c r="I565" s="7" t="n">
        <v>0</v>
      </c>
      <c r="J565" s="7" t="n">
        <v>0</v>
      </c>
      <c r="K565" s="9" t="n">
        <v>0</v>
      </c>
      <c r="L565" s="10" t="n">
        <v>4.1</v>
      </c>
      <c r="M565" s="10" t="n">
        <v>1.43</v>
      </c>
      <c r="N565" t="inlineStr">
        <is>
          <t>1</t>
        </is>
      </c>
      <c r="O565" t="inlineStr">
        <is>
          <t>16</t>
        </is>
      </c>
      <c r="P565" t="inlineStr">
        <is>
          <t xml:space="preserve">61458   </t>
        </is>
      </c>
      <c r="Q565" s="26" t="n">
        <v>6.9</v>
      </c>
      <c r="R565" s="26">
        <f>Q565*G565</f>
        <v/>
      </c>
      <c r="S565" t="n">
        <v>4.09</v>
      </c>
      <c r="T565" s="18">
        <f>1 - V565/S565</f>
        <v/>
      </c>
      <c r="U565" s="18" t="n">
        <v>0</v>
      </c>
      <c r="V565" s="26" t="n">
        <v>4.09</v>
      </c>
      <c r="W565" s="26">
        <f>V565 - L565</f>
        <v/>
      </c>
    </row>
    <row r="566">
      <c r="A566" s="11" t="n">
        <v>46208</v>
      </c>
      <c r="B566" s="1" t="n">
        <v>20074</v>
      </c>
      <c r="C566" s="1" t="inlineStr">
        <is>
          <t>015</t>
        </is>
      </c>
      <c r="D566" s="1" t="inlineStr">
        <is>
          <t>227299</t>
        </is>
      </c>
      <c r="E566" s="1" t="inlineStr">
        <is>
          <t xml:space="preserve">28194765       </t>
        </is>
      </c>
      <c r="F566" s="5" t="inlineStr">
        <is>
          <t>PLAYSET COLOR CHANGE TIBURN TEAMSTERZ  1 AUTITO</t>
        </is>
      </c>
      <c r="G566" t="n">
        <v>1</v>
      </c>
      <c r="H566" s="7" t="n">
        <v>79.90000000000001</v>
      </c>
      <c r="I566" s="7" t="n">
        <v>0</v>
      </c>
      <c r="J566" s="7" t="n">
        <v>0</v>
      </c>
      <c r="K566" s="9" t="n">
        <v>0</v>
      </c>
      <c r="L566" s="10" t="n">
        <v>47.4</v>
      </c>
      <c r="M566" s="10" t="n">
        <v>1.43</v>
      </c>
      <c r="N566" t="inlineStr">
        <is>
          <t>1</t>
        </is>
      </c>
      <c r="O566" t="inlineStr">
        <is>
          <t>16</t>
        </is>
      </c>
      <c r="P566" t="inlineStr">
        <is>
          <t xml:space="preserve">251008  </t>
        </is>
      </c>
      <c r="Q566" s="26" t="n">
        <v>79.90000000000001</v>
      </c>
      <c r="R566" s="26">
        <f>Q566*G566</f>
        <v/>
      </c>
      <c r="S566" t="n">
        <v>47.4</v>
      </c>
      <c r="T566" s="18">
        <f>1 - V566/S566</f>
        <v/>
      </c>
      <c r="U566" s="18" t="n">
        <v>0</v>
      </c>
      <c r="V566" s="26" t="n">
        <v>47.4</v>
      </c>
      <c r="W566" s="26">
        <f>V566 - L566</f>
        <v/>
      </c>
    </row>
    <row r="567">
      <c r="A567" s="11" t="n">
        <v>46208</v>
      </c>
      <c r="B567" s="1" t="n">
        <v>20077</v>
      </c>
      <c r="C567" s="1" t="inlineStr">
        <is>
          <t>011</t>
        </is>
      </c>
      <c r="D567" s="1" t="inlineStr">
        <is>
          <t xml:space="preserve">83303 </t>
        </is>
      </c>
      <c r="E567" s="1" t="inlineStr">
        <is>
          <t xml:space="preserve">28194769       </t>
        </is>
      </c>
      <c r="F567" s="5" t="inlineStr">
        <is>
          <t>AUTOS DE METAL 3 TEAMSTERZ PACK DE 2</t>
        </is>
      </c>
      <c r="G567" t="n">
        <v>1</v>
      </c>
      <c r="H567" s="7" t="n">
        <v>13.8</v>
      </c>
      <c r="I567" s="7" t="n">
        <v>0</v>
      </c>
      <c r="J567" s="7" t="n">
        <v>0</v>
      </c>
      <c r="K567" s="9" t="n">
        <v>0</v>
      </c>
      <c r="L567" s="10" t="n">
        <v>8.18</v>
      </c>
      <c r="M567" s="10" t="n">
        <v>1.43</v>
      </c>
      <c r="N567" t="inlineStr">
        <is>
          <t>1</t>
        </is>
      </c>
      <c r="O567" t="inlineStr">
        <is>
          <t>16</t>
        </is>
      </c>
      <c r="P567" t="inlineStr">
        <is>
          <t xml:space="preserve">61615   </t>
        </is>
      </c>
      <c r="Q567" s="26" t="n">
        <v>13.8</v>
      </c>
      <c r="R567" s="26">
        <f>Q567*G567</f>
        <v/>
      </c>
      <c r="S567" t="n">
        <v>8.19</v>
      </c>
      <c r="T567" s="18">
        <f>1 - V567/S567</f>
        <v/>
      </c>
      <c r="U567" s="18" t="n">
        <v>0</v>
      </c>
      <c r="V567" s="26" t="n">
        <v>8.19</v>
      </c>
      <c r="W567" s="26">
        <f>V567 - L567</f>
        <v/>
      </c>
    </row>
    <row r="568">
      <c r="A568" s="11" t="n">
        <v>46208</v>
      </c>
      <c r="B568" s="1" t="n">
        <v>20077</v>
      </c>
      <c r="C568" s="1" t="inlineStr">
        <is>
          <t>026</t>
        </is>
      </c>
      <c r="D568" s="1" t="inlineStr">
        <is>
          <t>107285</t>
        </is>
      </c>
      <c r="E568" s="1" t="inlineStr">
        <is>
          <t xml:space="preserve">29235701       </t>
        </is>
      </c>
      <c r="F568" s="5" t="inlineStr">
        <is>
          <t>INFINITY NADO TROMPO DE BATALLA - METAL EN CAJA</t>
        </is>
      </c>
      <c r="G568" t="n">
        <v>1</v>
      </c>
      <c r="H568" s="7" t="n">
        <v>39.9</v>
      </c>
      <c r="I568" s="7" t="n">
        <v>0</v>
      </c>
      <c r="J568" s="7" t="n">
        <v>0</v>
      </c>
      <c r="K568" s="9" t="n">
        <v>0</v>
      </c>
      <c r="L568" s="10" t="n">
        <v>23.67</v>
      </c>
      <c r="M568" s="10" t="n">
        <v>1.43</v>
      </c>
      <c r="N568" t="inlineStr">
        <is>
          <t>1</t>
        </is>
      </c>
      <c r="O568" t="inlineStr">
        <is>
          <t xml:space="preserve">2 </t>
        </is>
      </c>
      <c r="P568" t="inlineStr">
        <is>
          <t xml:space="preserve">62762   </t>
        </is>
      </c>
      <c r="Q568" s="26" t="n">
        <v>39.9</v>
      </c>
      <c r="R568" s="26">
        <f>Q568*G568</f>
        <v/>
      </c>
      <c r="S568" t="n">
        <v>23.67</v>
      </c>
      <c r="T568" s="18">
        <f>1 - V568/S568</f>
        <v/>
      </c>
      <c r="U568" s="18" t="n">
        <v>0.2506265664160401</v>
      </c>
      <c r="V568" s="26" t="n">
        <v>19.00423728813559</v>
      </c>
      <c r="W568" s="26">
        <f>V568 - L568</f>
        <v/>
      </c>
    </row>
    <row r="569">
      <c r="A569" s="11" t="n">
        <v>46208</v>
      </c>
      <c r="B569" s="1" t="n">
        <v>20077</v>
      </c>
      <c r="C569" s="1" t="inlineStr">
        <is>
          <t>026</t>
        </is>
      </c>
      <c r="D569" s="1" t="inlineStr">
        <is>
          <t>107386</t>
        </is>
      </c>
      <c r="E569" s="1" t="inlineStr">
        <is>
          <t xml:space="preserve">35685067       </t>
        </is>
      </c>
      <c r="F569" s="5" t="inlineStr">
        <is>
          <t>HOT WHEELS POWER SET 3 EN 1</t>
        </is>
      </c>
      <c r="G569" t="n">
        <v>1</v>
      </c>
      <c r="H569" s="7" t="n">
        <v>49.9</v>
      </c>
      <c r="I569" s="7" t="n">
        <v>0</v>
      </c>
      <c r="J569" s="7" t="n">
        <v>0</v>
      </c>
      <c r="K569" s="9" t="n">
        <v>0</v>
      </c>
      <c r="L569" s="10" t="n">
        <v>29.6</v>
      </c>
      <c r="M569" s="10" t="n">
        <v>1.43</v>
      </c>
      <c r="N569" t="inlineStr">
        <is>
          <t>1</t>
        </is>
      </c>
      <c r="O569" t="inlineStr">
        <is>
          <t>16</t>
        </is>
      </c>
      <c r="P569" t="inlineStr">
        <is>
          <t xml:space="preserve">62762   </t>
        </is>
      </c>
      <c r="Q569" s="26" t="n">
        <v>49.9</v>
      </c>
      <c r="R569" s="26">
        <f>Q569*G569</f>
        <v/>
      </c>
      <c r="S569" t="n">
        <v>29.6</v>
      </c>
      <c r="T569" s="18">
        <f>1 - V569/S569</f>
        <v/>
      </c>
      <c r="U569" s="18" t="n">
        <v>0</v>
      </c>
      <c r="V569" s="26" t="n">
        <v>29.6</v>
      </c>
      <c r="W569" s="26">
        <f>V569 - L569</f>
        <v/>
      </c>
    </row>
    <row r="570">
      <c r="A570" s="11" t="n">
        <v>46208</v>
      </c>
      <c r="B570" s="1" t="n">
        <v>20077</v>
      </c>
      <c r="C570" s="1" t="inlineStr">
        <is>
          <t>030</t>
        </is>
      </c>
      <c r="D570" s="1" t="inlineStr">
        <is>
          <t xml:space="preserve">40121 </t>
        </is>
      </c>
      <c r="E570" s="1" t="inlineStr">
        <is>
          <t xml:space="preserve">32457099       </t>
        </is>
      </c>
      <c r="F570" s="5" t="inlineStr">
        <is>
          <t>TMZ BEAST MACHINES MONSTER JAWS A FRICCION BLISTER</t>
        </is>
      </c>
      <c r="G570" t="n">
        <v>1</v>
      </c>
      <c r="H570" s="7" t="n">
        <v>19.9</v>
      </c>
      <c r="I570" s="7" t="n">
        <v>0</v>
      </c>
      <c r="J570" s="7" t="n">
        <v>0</v>
      </c>
      <c r="K570" s="9" t="n">
        <v>0</v>
      </c>
      <c r="L570" s="10" t="n">
        <v>11.8</v>
      </c>
      <c r="M570" s="10" t="n">
        <v>1.43</v>
      </c>
      <c r="N570" t="inlineStr">
        <is>
          <t>1</t>
        </is>
      </c>
      <c r="O570" t="inlineStr">
        <is>
          <t xml:space="preserve">3 </t>
        </is>
      </c>
      <c r="P570" t="inlineStr">
        <is>
          <t xml:space="preserve">244089  </t>
        </is>
      </c>
      <c r="Q570" s="26" t="n">
        <v>19.9</v>
      </c>
      <c r="R570" s="26">
        <f>Q570*G570</f>
        <v/>
      </c>
      <c r="S570" t="n">
        <v>11.81</v>
      </c>
      <c r="T570" s="18">
        <f>1 - V570/S570</f>
        <v/>
      </c>
      <c r="U570" s="18" t="n">
        <v>0.1005025125628141</v>
      </c>
      <c r="V570" s="26" t="n">
        <v>8.417118644067797</v>
      </c>
      <c r="W570" s="26">
        <f>V570 - L570</f>
        <v/>
      </c>
    </row>
    <row r="571">
      <c r="A571" s="11" t="n">
        <v>46208</v>
      </c>
      <c r="B571" s="1" t="n">
        <v>20077</v>
      </c>
      <c r="C571" s="1" t="inlineStr">
        <is>
          <t>030</t>
        </is>
      </c>
      <c r="D571" s="1" t="inlineStr">
        <is>
          <t xml:space="preserve">40178 </t>
        </is>
      </c>
      <c r="E571" s="1" t="inlineStr">
        <is>
          <t xml:space="preserve">30141766       </t>
        </is>
      </c>
      <c r="F571" s="5" t="inlineStr">
        <is>
          <t>TMZ BEAST MACHINES AUTOS DE METAL BLISTER X 1</t>
        </is>
      </c>
      <c r="G571" t="n">
        <v>1</v>
      </c>
      <c r="H571" s="7" t="n">
        <v>7.9</v>
      </c>
      <c r="I571" s="7" t="n">
        <v>0</v>
      </c>
      <c r="J571" s="7" t="n">
        <v>0</v>
      </c>
      <c r="K571" s="9" t="n">
        <v>0</v>
      </c>
      <c r="L571" s="10" t="n">
        <v>4.68</v>
      </c>
      <c r="M571" s="10" t="n">
        <v>1.43</v>
      </c>
      <c r="N571" t="inlineStr">
        <is>
          <t>1</t>
        </is>
      </c>
      <c r="O571" t="inlineStr">
        <is>
          <t xml:space="preserve">2 </t>
        </is>
      </c>
      <c r="P571" t="inlineStr">
        <is>
          <t xml:space="preserve">244089  </t>
        </is>
      </c>
      <c r="Q571" s="26" t="n">
        <v>7.9</v>
      </c>
      <c r="R571" s="26">
        <f>Q571*G571</f>
        <v/>
      </c>
      <c r="S571" t="n">
        <v>4.69</v>
      </c>
      <c r="T571" s="18">
        <f>1 - V571/S571</f>
        <v/>
      </c>
      <c r="U571" s="18" t="n">
        <v>0</v>
      </c>
      <c r="V571" s="26" t="n">
        <v>4.69</v>
      </c>
      <c r="W571" s="26">
        <f>V571 - L571</f>
        <v/>
      </c>
    </row>
    <row r="572">
      <c r="A572" s="11" t="n">
        <v>46208</v>
      </c>
      <c r="B572" s="1" t="n">
        <v>20077</v>
      </c>
      <c r="C572" s="1" t="inlineStr">
        <is>
          <t>039</t>
        </is>
      </c>
      <c r="D572" s="1" t="inlineStr">
        <is>
          <t>278612</t>
        </is>
      </c>
      <c r="E572" s="1" t="inlineStr">
        <is>
          <t xml:space="preserve">30141766       </t>
        </is>
      </c>
      <c r="F572" s="5" t="inlineStr">
        <is>
          <t>TMZ BEAST MACHINES AUTOS DE METAL BLISTER X 1</t>
        </is>
      </c>
      <c r="G572" t="n">
        <v>1</v>
      </c>
      <c r="H572" s="7" t="n">
        <v>7.9</v>
      </c>
      <c r="I572" s="7" t="n">
        <v>0</v>
      </c>
      <c r="J572" s="7" t="n">
        <v>0</v>
      </c>
      <c r="K572" s="9" t="n">
        <v>0</v>
      </c>
      <c r="L572" s="10" t="n">
        <v>4.68</v>
      </c>
      <c r="M572" s="10" t="n">
        <v>1.43</v>
      </c>
      <c r="N572" t="inlineStr">
        <is>
          <t>1</t>
        </is>
      </c>
      <c r="O572" t="inlineStr">
        <is>
          <t>16</t>
        </is>
      </c>
      <c r="P572" t="inlineStr">
        <is>
          <t xml:space="preserve">108370  </t>
        </is>
      </c>
      <c r="Q572" s="26" t="n">
        <v>7.9</v>
      </c>
      <c r="R572" s="26">
        <f>Q572*G572</f>
        <v/>
      </c>
      <c r="S572" t="n">
        <v>4.69</v>
      </c>
      <c r="T572" s="18">
        <f>1 - V572/S572</f>
        <v/>
      </c>
      <c r="U572" s="18" t="n">
        <v>0</v>
      </c>
      <c r="V572" s="26" t="n">
        <v>4.69</v>
      </c>
      <c r="W572" s="26">
        <f>V572 - L572</f>
        <v/>
      </c>
    </row>
    <row r="573">
      <c r="A573" s="11" t="n">
        <v>46208</v>
      </c>
      <c r="B573" s="1" t="n">
        <v>20079</v>
      </c>
      <c r="C573" s="1" t="inlineStr">
        <is>
          <t>030</t>
        </is>
      </c>
      <c r="D573" s="1" t="inlineStr">
        <is>
          <t>193508</t>
        </is>
      </c>
      <c r="E573" s="1" t="inlineStr">
        <is>
          <t xml:space="preserve">33483123       </t>
        </is>
      </c>
      <c r="F573" s="5" t="inlineStr">
        <is>
          <t>NENUCO DISFRACES</t>
        </is>
      </c>
      <c r="G573" t="n">
        <v>1</v>
      </c>
      <c r="H573" s="7" t="n">
        <v>89.90000000000001</v>
      </c>
      <c r="I573" s="7" t="n">
        <v>0</v>
      </c>
      <c r="J573" s="7" t="n">
        <v>0</v>
      </c>
      <c r="K573" s="9" t="n">
        <v>0</v>
      </c>
      <c r="L573" s="10" t="n">
        <v>53.33</v>
      </c>
      <c r="M573" s="10" t="n">
        <v>1.43</v>
      </c>
      <c r="N573" t="inlineStr">
        <is>
          <t>1</t>
        </is>
      </c>
      <c r="O573" t="inlineStr">
        <is>
          <t xml:space="preserve">2 </t>
        </is>
      </c>
      <c r="P573" t="inlineStr">
        <is>
          <t xml:space="preserve">71010   </t>
        </is>
      </c>
      <c r="Q573" s="26" t="n">
        <v>89.90000000000001</v>
      </c>
      <c r="R573" s="26">
        <f>Q573*G573</f>
        <v/>
      </c>
      <c r="S573" t="n">
        <v>53.33</v>
      </c>
      <c r="T573" s="18">
        <f>1 - V573/S573</f>
        <v/>
      </c>
      <c r="U573" s="18" t="n">
        <v>0.2224694104560623</v>
      </c>
      <c r="V573" s="26" t="n">
        <v>44.42796610169492</v>
      </c>
      <c r="W573" s="26">
        <f>V573 - L573</f>
        <v/>
      </c>
    </row>
    <row r="574">
      <c r="A574" s="11" t="n">
        <v>46208</v>
      </c>
      <c r="B574" s="1" t="n">
        <v>20079</v>
      </c>
      <c r="C574" s="1" t="inlineStr">
        <is>
          <t>045</t>
        </is>
      </c>
      <c r="D574" s="1" t="inlineStr">
        <is>
          <t>331583</t>
        </is>
      </c>
      <c r="E574" s="1" t="inlineStr">
        <is>
          <t xml:space="preserve">34840552       </t>
        </is>
      </c>
      <c r="F574" s="5" t="inlineStr">
        <is>
          <t>TMZ HELI POLICIA CON LUCES Y SONIDOS</t>
        </is>
      </c>
      <c r="G574" t="n">
        <v>1</v>
      </c>
      <c r="H574" s="7" t="n">
        <v>79.90000000000001</v>
      </c>
      <c r="I574" s="7" t="n">
        <v>0</v>
      </c>
      <c r="J574" s="7" t="n">
        <v>0</v>
      </c>
      <c r="K574" s="9" t="n">
        <v>0</v>
      </c>
      <c r="L574" s="10" t="n">
        <v>47.4</v>
      </c>
      <c r="M574" s="10" t="n">
        <v>1.43</v>
      </c>
      <c r="N574" t="inlineStr">
        <is>
          <t>1</t>
        </is>
      </c>
      <c r="O574" t="inlineStr">
        <is>
          <t>16</t>
        </is>
      </c>
      <c r="P574" t="inlineStr">
        <is>
          <t xml:space="preserve">97404   </t>
        </is>
      </c>
      <c r="Q574" s="26" t="n">
        <v>79.90000000000002</v>
      </c>
      <c r="R574" s="26">
        <f>Q574*G574</f>
        <v/>
      </c>
      <c r="S574" t="n">
        <v>47.4</v>
      </c>
      <c r="T574" s="18">
        <f>1 - V574/S574</f>
        <v/>
      </c>
      <c r="U574" s="18" t="n">
        <v>0</v>
      </c>
      <c r="V574" s="26" t="n">
        <v>47.4</v>
      </c>
      <c r="W574" s="26">
        <f>V574 - L574</f>
        <v/>
      </c>
    </row>
    <row r="575">
      <c r="A575" s="11" t="n">
        <v>46208</v>
      </c>
      <c r="B575" s="1" t="n">
        <v>20080</v>
      </c>
      <c r="C575" s="1" t="inlineStr">
        <is>
          <t>029</t>
        </is>
      </c>
      <c r="D575" s="1" t="inlineStr">
        <is>
          <t>224769</t>
        </is>
      </c>
      <c r="E575" s="1" t="inlineStr">
        <is>
          <t xml:space="preserve">30141766       </t>
        </is>
      </c>
      <c r="F575" s="5" t="inlineStr">
        <is>
          <t>TMZ BEAST MACHINES AUTOS DE METAL BLISTER X 1</t>
        </is>
      </c>
      <c r="G575" t="n">
        <v>1</v>
      </c>
      <c r="H575" s="7" t="n">
        <v>7.9</v>
      </c>
      <c r="I575" s="7" t="n">
        <v>0</v>
      </c>
      <c r="J575" s="7" t="n">
        <v>0</v>
      </c>
      <c r="K575" s="9" t="n">
        <v>0</v>
      </c>
      <c r="L575" s="10" t="n">
        <v>4.68</v>
      </c>
      <c r="M575" s="10" t="n">
        <v>1.43</v>
      </c>
      <c r="N575" t="inlineStr">
        <is>
          <t>1</t>
        </is>
      </c>
      <c r="O575" t="inlineStr">
        <is>
          <t xml:space="preserve">3 </t>
        </is>
      </c>
      <c r="P575" t="inlineStr">
        <is>
          <t xml:space="preserve">79951   </t>
        </is>
      </c>
      <c r="Q575" s="26" t="n">
        <v>7.9</v>
      </c>
      <c r="R575" s="26">
        <f>Q575*G575</f>
        <v/>
      </c>
      <c r="S575" t="n">
        <v>4.69</v>
      </c>
      <c r="T575" s="18">
        <f>1 - V575/S575</f>
        <v/>
      </c>
      <c r="U575" s="18" t="n">
        <v>0</v>
      </c>
      <c r="V575" s="26" t="n">
        <v>4.69</v>
      </c>
      <c r="W575" s="26">
        <f>V575 - L575</f>
        <v/>
      </c>
    </row>
    <row r="576">
      <c r="A576" s="11" t="n">
        <v>46208</v>
      </c>
      <c r="B576" s="1" t="n">
        <v>20080</v>
      </c>
      <c r="C576" s="1" t="inlineStr">
        <is>
          <t>506</t>
        </is>
      </c>
      <c r="D576" s="1" t="inlineStr">
        <is>
          <t xml:space="preserve">4602  </t>
        </is>
      </c>
      <c r="E576" s="1" t="inlineStr">
        <is>
          <t xml:space="preserve">28194780       </t>
        </is>
      </c>
      <c r="F576" s="5" t="inlineStr">
        <is>
          <t>TROMPO BATALLA INFINITY NADO PLSTICO SURTIDO</t>
        </is>
      </c>
      <c r="G576" t="n">
        <v>1</v>
      </c>
      <c r="H576" s="7" t="n">
        <v>19.9</v>
      </c>
      <c r="I576" s="7" t="n">
        <v>0</v>
      </c>
      <c r="J576" s="7" t="n">
        <v>0</v>
      </c>
      <c r="K576" s="9" t="n">
        <v>0</v>
      </c>
      <c r="L576" s="10" t="n">
        <v>11.8</v>
      </c>
      <c r="M576" s="10" t="n">
        <v>1.43</v>
      </c>
      <c r="N576" t="inlineStr">
        <is>
          <t>1</t>
        </is>
      </c>
      <c r="O576" t="inlineStr">
        <is>
          <t>16</t>
        </is>
      </c>
      <c r="P576" t="inlineStr">
        <is>
          <t xml:space="preserve">66868   </t>
        </is>
      </c>
      <c r="Q576" s="26" t="n">
        <v>19.9</v>
      </c>
      <c r="R576" s="26">
        <f>Q576*G576</f>
        <v/>
      </c>
      <c r="S576" t="n">
        <v>11.81</v>
      </c>
      <c r="T576" s="18">
        <f>1 - V576/S576</f>
        <v/>
      </c>
      <c r="U576" s="18" t="n">
        <v>0</v>
      </c>
      <c r="V576" s="26" t="n">
        <v>11.81</v>
      </c>
      <c r="W576" s="26">
        <f>V576 - L576</f>
        <v/>
      </c>
    </row>
    <row r="577">
      <c r="A577" s="11" t="n">
        <v>46208</v>
      </c>
      <c r="B577" s="1" t="n">
        <v>20086</v>
      </c>
      <c r="C577" s="1" t="inlineStr">
        <is>
          <t>023</t>
        </is>
      </c>
      <c r="D577" s="1" t="inlineStr">
        <is>
          <t xml:space="preserve">47562 </t>
        </is>
      </c>
      <c r="E577" s="1" t="inlineStr">
        <is>
          <t xml:space="preserve">28194769       </t>
        </is>
      </c>
      <c r="F577" s="5" t="inlineStr">
        <is>
          <t>AUTOS DE METAL 3 TEAMSTERZ PACK DE 2</t>
        </is>
      </c>
      <c r="G577" t="n">
        <v>1</v>
      </c>
      <c r="H577" s="7" t="n">
        <v>13.8</v>
      </c>
      <c r="I577" s="7" t="n">
        <v>0</v>
      </c>
      <c r="J577" s="7" t="n">
        <v>0</v>
      </c>
      <c r="K577" s="9" t="n">
        <v>0</v>
      </c>
      <c r="L577" s="10" t="n">
        <v>8.18</v>
      </c>
      <c r="M577" s="10" t="n">
        <v>1.43</v>
      </c>
      <c r="N577" t="inlineStr">
        <is>
          <t>1</t>
        </is>
      </c>
      <c r="O577" t="inlineStr">
        <is>
          <t>16</t>
        </is>
      </c>
      <c r="P577" t="inlineStr">
        <is>
          <t xml:space="preserve">250452  </t>
        </is>
      </c>
      <c r="Q577" s="26" t="n">
        <v>13.8</v>
      </c>
      <c r="R577" s="26">
        <f>Q577*G577</f>
        <v/>
      </c>
      <c r="S577" t="n">
        <v>8.19</v>
      </c>
      <c r="T577" s="18">
        <f>1 - V577/S577</f>
        <v/>
      </c>
      <c r="U577" s="18" t="n">
        <v>0</v>
      </c>
      <c r="V577" s="26" t="n">
        <v>8.19</v>
      </c>
      <c r="W577" s="26">
        <f>V577 - L577</f>
        <v/>
      </c>
    </row>
    <row r="578">
      <c r="A578" s="11" t="n">
        <v>46208</v>
      </c>
      <c r="B578" s="1" t="n">
        <v>20086</v>
      </c>
      <c r="C578" s="1" t="inlineStr">
        <is>
          <t>023</t>
        </is>
      </c>
      <c r="D578" s="1" t="inlineStr">
        <is>
          <t xml:space="preserve">47562 </t>
        </is>
      </c>
      <c r="E578" s="1" t="inlineStr">
        <is>
          <t xml:space="preserve">28194770       </t>
        </is>
      </c>
      <c r="F578" s="5" t="inlineStr">
        <is>
          <t>AUTOS DE METAL 3 TEAMSTERZ EN BLISTER</t>
        </is>
      </c>
      <c r="G578" t="n">
        <v>1</v>
      </c>
      <c r="H578" s="7" t="n">
        <v>6.9</v>
      </c>
      <c r="I578" s="7" t="n">
        <v>0</v>
      </c>
      <c r="J578" s="7" t="n">
        <v>0</v>
      </c>
      <c r="K578" s="9" t="n">
        <v>0</v>
      </c>
      <c r="L578" s="10" t="n">
        <v>4.1</v>
      </c>
      <c r="M578" s="10" t="n">
        <v>1.43</v>
      </c>
      <c r="N578" t="inlineStr">
        <is>
          <t>1</t>
        </is>
      </c>
      <c r="O578" t="inlineStr">
        <is>
          <t>16</t>
        </is>
      </c>
      <c r="P578" t="inlineStr">
        <is>
          <t xml:space="preserve">250452  </t>
        </is>
      </c>
      <c r="Q578" s="26" t="n">
        <v>6.9</v>
      </c>
      <c r="R578" s="26">
        <f>Q578*G578</f>
        <v/>
      </c>
      <c r="S578" t="n">
        <v>4.09</v>
      </c>
      <c r="T578" s="18">
        <f>1 - V578/S578</f>
        <v/>
      </c>
      <c r="U578" s="18" t="n">
        <v>0</v>
      </c>
      <c r="V578" s="26" t="n">
        <v>4.09</v>
      </c>
      <c r="W578" s="26">
        <f>V578 - L578</f>
        <v/>
      </c>
    </row>
    <row r="579">
      <c r="A579" s="11" t="n">
        <v>46208</v>
      </c>
      <c r="B579" s="1" t="n">
        <v>20086</v>
      </c>
      <c r="C579" s="1" t="inlineStr">
        <is>
          <t>023</t>
        </is>
      </c>
      <c r="D579" s="1" t="inlineStr">
        <is>
          <t xml:space="preserve">47572 </t>
        </is>
      </c>
      <c r="E579" s="1" t="inlineStr">
        <is>
          <t xml:space="preserve">28194769       </t>
        </is>
      </c>
      <c r="F579" s="5" t="inlineStr">
        <is>
          <t>AUTOS DE METAL 3 TEAMSTERZ PACK DE 2</t>
        </is>
      </c>
      <c r="G579" t="n">
        <v>1</v>
      </c>
      <c r="H579" s="7" t="n">
        <v>13.8</v>
      </c>
      <c r="I579" s="7" t="n">
        <v>0</v>
      </c>
      <c r="J579" s="7" t="n">
        <v>0</v>
      </c>
      <c r="K579" s="9" t="n">
        <v>0</v>
      </c>
      <c r="L579" s="10" t="n">
        <v>8.18</v>
      </c>
      <c r="M579" s="10" t="n">
        <v>1.43</v>
      </c>
      <c r="N579" t="inlineStr">
        <is>
          <t>1</t>
        </is>
      </c>
      <c r="O579" t="inlineStr">
        <is>
          <t xml:space="preserve">2 </t>
        </is>
      </c>
      <c r="P579" t="inlineStr">
        <is>
          <t xml:space="preserve">250452  </t>
        </is>
      </c>
      <c r="Q579" s="26" t="n">
        <v>13.8</v>
      </c>
      <c r="R579" s="26">
        <f>Q579*G579</f>
        <v/>
      </c>
      <c r="S579" t="n">
        <v>8.19</v>
      </c>
      <c r="T579" s="18">
        <f>1 - V579/S579</f>
        <v/>
      </c>
      <c r="U579" s="18" t="n">
        <v>0</v>
      </c>
      <c r="V579" s="26" t="n">
        <v>8.19</v>
      </c>
      <c r="W579" s="26">
        <f>V579 - L579</f>
        <v/>
      </c>
    </row>
    <row r="580">
      <c r="A580" s="11" t="n">
        <v>46208</v>
      </c>
      <c r="B580" s="1" t="n">
        <v>20086</v>
      </c>
      <c r="C580" s="1" t="inlineStr">
        <is>
          <t>023</t>
        </is>
      </c>
      <c r="D580" s="1" t="inlineStr">
        <is>
          <t xml:space="preserve">47573 </t>
        </is>
      </c>
      <c r="E580" s="1" t="inlineStr">
        <is>
          <t xml:space="preserve">28194769       </t>
        </is>
      </c>
      <c r="F580" s="5" t="inlineStr">
        <is>
          <t>AUTOS DE METAL 3 TEAMSTERZ PACK DE 2</t>
        </is>
      </c>
      <c r="G580" t="n">
        <v>1</v>
      </c>
      <c r="H580" s="7" t="n">
        <v>13.8</v>
      </c>
      <c r="I580" s="7" t="n">
        <v>0</v>
      </c>
      <c r="J580" s="7" t="n">
        <v>0</v>
      </c>
      <c r="K580" s="9" t="n">
        <v>0</v>
      </c>
      <c r="L580" s="10" t="n">
        <v>8.18</v>
      </c>
      <c r="M580" s="10" t="n">
        <v>1.43</v>
      </c>
      <c r="N580" t="inlineStr">
        <is>
          <t>1</t>
        </is>
      </c>
      <c r="O580" t="inlineStr">
        <is>
          <t xml:space="preserve">3 </t>
        </is>
      </c>
      <c r="P580" t="inlineStr">
        <is>
          <t xml:space="preserve">250452  </t>
        </is>
      </c>
      <c r="Q580" s="26" t="n">
        <v>13.8</v>
      </c>
      <c r="R580" s="26">
        <f>Q580*G580</f>
        <v/>
      </c>
      <c r="S580" t="n">
        <v>8.19</v>
      </c>
      <c r="T580" s="18">
        <f>1 - V580/S580</f>
        <v/>
      </c>
      <c r="U580" s="18" t="n">
        <v>0</v>
      </c>
      <c r="V580" s="26" t="n">
        <v>8.19</v>
      </c>
      <c r="W580" s="26">
        <f>V580 - L580</f>
        <v/>
      </c>
    </row>
    <row r="581">
      <c r="A581" s="11" t="n">
        <v>46208</v>
      </c>
      <c r="B581" s="1" t="n">
        <v>20086</v>
      </c>
      <c r="C581" s="1" t="inlineStr">
        <is>
          <t>192</t>
        </is>
      </c>
      <c r="D581" s="1" t="inlineStr">
        <is>
          <t>128929</t>
        </is>
      </c>
      <c r="E581" s="1" t="inlineStr">
        <is>
          <t xml:space="preserve">28194770       </t>
        </is>
      </c>
      <c r="F581" s="5" t="inlineStr">
        <is>
          <t>AUTOS DE METAL 3 TEAMSTERZ EN BLISTER</t>
        </is>
      </c>
      <c r="G581" t="n">
        <v>1</v>
      </c>
      <c r="H581" s="7" t="n">
        <v>6.9</v>
      </c>
      <c r="I581" s="7" t="n">
        <v>0</v>
      </c>
      <c r="J581" s="7" t="n">
        <v>0</v>
      </c>
      <c r="K581" s="9" t="n">
        <v>0</v>
      </c>
      <c r="L581" s="10" t="n">
        <v>4.1</v>
      </c>
      <c r="M581" s="10" t="n">
        <v>1.43</v>
      </c>
      <c r="N581" t="inlineStr">
        <is>
          <t>1</t>
        </is>
      </c>
      <c r="O581" t="inlineStr">
        <is>
          <t>16</t>
        </is>
      </c>
      <c r="P581" t="inlineStr">
        <is>
          <t xml:space="preserve">74697   </t>
        </is>
      </c>
      <c r="Q581" s="26" t="n">
        <v>6.9</v>
      </c>
      <c r="R581" s="26">
        <f>Q581*G581</f>
        <v/>
      </c>
      <c r="S581" t="n">
        <v>4.09</v>
      </c>
      <c r="T581" s="18">
        <f>1 - V581/S581</f>
        <v/>
      </c>
      <c r="U581" s="18" t="n">
        <v>0</v>
      </c>
      <c r="V581" s="26" t="n">
        <v>4.09</v>
      </c>
      <c r="W581" s="26">
        <f>V581 - L581</f>
        <v/>
      </c>
    </row>
    <row r="582">
      <c r="A582" s="11" t="n">
        <v>46208</v>
      </c>
      <c r="B582" s="1" t="n">
        <v>20086</v>
      </c>
      <c r="C582" s="1" t="inlineStr">
        <is>
          <t>192</t>
        </is>
      </c>
      <c r="D582" s="1" t="inlineStr">
        <is>
          <t>128936</t>
        </is>
      </c>
      <c r="E582" s="1" t="inlineStr">
        <is>
          <t xml:space="preserve">28194769       </t>
        </is>
      </c>
      <c r="F582" s="5" t="inlineStr">
        <is>
          <t>AUTOS DE METAL 3 TEAMSTERZ PACK DE 2</t>
        </is>
      </c>
      <c r="G582" t="n">
        <v>1</v>
      </c>
      <c r="H582" s="7" t="n">
        <v>13.8</v>
      </c>
      <c r="I582" s="7" t="n">
        <v>0</v>
      </c>
      <c r="J582" s="7" t="n">
        <v>0</v>
      </c>
      <c r="K582" s="9" t="n">
        <v>0</v>
      </c>
      <c r="L582" s="10" t="n">
        <v>8.18</v>
      </c>
      <c r="M582" s="10" t="n">
        <v>1.43</v>
      </c>
      <c r="N582" t="inlineStr">
        <is>
          <t>1</t>
        </is>
      </c>
      <c r="O582" t="inlineStr">
        <is>
          <t xml:space="preserve">3 </t>
        </is>
      </c>
      <c r="P582" t="inlineStr">
        <is>
          <t xml:space="preserve">74697   </t>
        </is>
      </c>
      <c r="Q582" s="26" t="n">
        <v>13.8</v>
      </c>
      <c r="R582" s="26">
        <f>Q582*G582</f>
        <v/>
      </c>
      <c r="S582" t="n">
        <v>8.19</v>
      </c>
      <c r="T582" s="18">
        <f>1 - V582/S582</f>
        <v/>
      </c>
      <c r="U582" s="18" t="n">
        <v>0</v>
      </c>
      <c r="V582" s="26" t="n">
        <v>8.19</v>
      </c>
      <c r="W582" s="26">
        <f>V582 - L582</f>
        <v/>
      </c>
    </row>
    <row r="583">
      <c r="A583" s="11" t="n">
        <v>46208</v>
      </c>
      <c r="B583" s="1" t="n">
        <v>20086</v>
      </c>
      <c r="C583" s="1" t="inlineStr">
        <is>
          <t>192</t>
        </is>
      </c>
      <c r="D583" s="1" t="inlineStr">
        <is>
          <t>128939</t>
        </is>
      </c>
      <c r="E583" s="1" t="inlineStr">
        <is>
          <t xml:space="preserve">28194769       </t>
        </is>
      </c>
      <c r="F583" s="5" t="inlineStr">
        <is>
          <t>AUTOS DE METAL 3 TEAMSTERZ PACK DE 2</t>
        </is>
      </c>
      <c r="G583" t="n">
        <v>1</v>
      </c>
      <c r="H583" s="7" t="n">
        <v>13.8</v>
      </c>
      <c r="I583" s="7" t="n">
        <v>0</v>
      </c>
      <c r="J583" s="7" t="n">
        <v>0</v>
      </c>
      <c r="K583" s="9" t="n">
        <v>0</v>
      </c>
      <c r="L583" s="10" t="n">
        <v>8.18</v>
      </c>
      <c r="M583" s="10" t="n">
        <v>1.43</v>
      </c>
      <c r="N583" t="inlineStr">
        <is>
          <t>1</t>
        </is>
      </c>
      <c r="O583" t="inlineStr">
        <is>
          <t xml:space="preserve">3 </t>
        </is>
      </c>
      <c r="P583" t="inlineStr">
        <is>
          <t xml:space="preserve">74697   </t>
        </is>
      </c>
      <c r="Q583" s="26" t="n">
        <v>13.8</v>
      </c>
      <c r="R583" s="26">
        <f>Q583*G583</f>
        <v/>
      </c>
      <c r="S583" t="n">
        <v>8.19</v>
      </c>
      <c r="T583" s="18">
        <f>1 - V583/S583</f>
        <v/>
      </c>
      <c r="U583" s="18" t="n">
        <v>0</v>
      </c>
      <c r="V583" s="26" t="n">
        <v>8.19</v>
      </c>
      <c r="W583" s="26">
        <f>V583 - L583</f>
        <v/>
      </c>
    </row>
    <row r="584">
      <c r="A584" s="11" t="n">
        <v>46208</v>
      </c>
      <c r="B584" s="1" t="n">
        <v>20086</v>
      </c>
      <c r="C584" s="1" t="inlineStr">
        <is>
          <t>192</t>
        </is>
      </c>
      <c r="D584" s="1" t="inlineStr">
        <is>
          <t>128967</t>
        </is>
      </c>
      <c r="E584" s="1" t="inlineStr">
        <is>
          <t xml:space="preserve">28194770       </t>
        </is>
      </c>
      <c r="F584" s="5" t="inlineStr">
        <is>
          <t>AUTOS DE METAL 3 TEAMSTERZ EN BLISTER</t>
        </is>
      </c>
      <c r="G584" t="n">
        <v>1</v>
      </c>
      <c r="H584" s="7" t="n">
        <v>6.9</v>
      </c>
      <c r="I584" s="7" t="n">
        <v>0</v>
      </c>
      <c r="J584" s="7" t="n">
        <v>0</v>
      </c>
      <c r="K584" s="9" t="n">
        <v>0</v>
      </c>
      <c r="L584" s="10" t="n">
        <v>4.1</v>
      </c>
      <c r="M584" s="10" t="n">
        <v>1.43</v>
      </c>
      <c r="N584" t="inlineStr">
        <is>
          <t>1</t>
        </is>
      </c>
      <c r="O584" t="inlineStr">
        <is>
          <t>16</t>
        </is>
      </c>
      <c r="P584" t="inlineStr">
        <is>
          <t xml:space="preserve">74697   </t>
        </is>
      </c>
      <c r="Q584" s="26" t="n">
        <v>6.9</v>
      </c>
      <c r="R584" s="26">
        <f>Q584*G584</f>
        <v/>
      </c>
      <c r="S584" t="n">
        <v>4.09</v>
      </c>
      <c r="T584" s="18">
        <f>1 - V584/S584</f>
        <v/>
      </c>
      <c r="U584" s="18" t="n">
        <v>0</v>
      </c>
      <c r="V584" s="26" t="n">
        <v>4.09</v>
      </c>
      <c r="W584" s="26">
        <f>V584 - L584</f>
        <v/>
      </c>
    </row>
    <row r="585">
      <c r="A585" s="11" t="n">
        <v>46208</v>
      </c>
      <c r="B585" s="1" t="n">
        <v>20086</v>
      </c>
      <c r="C585" s="1" t="inlineStr">
        <is>
          <t>192</t>
        </is>
      </c>
      <c r="D585" s="1" t="inlineStr">
        <is>
          <t>128968</t>
        </is>
      </c>
      <c r="E585" s="1" t="inlineStr">
        <is>
          <t xml:space="preserve">28194769       </t>
        </is>
      </c>
      <c r="F585" s="5" t="inlineStr">
        <is>
          <t>AUTOS DE METAL 3 TEAMSTERZ PACK DE 2</t>
        </is>
      </c>
      <c r="G585" t="n">
        <v>1</v>
      </c>
      <c r="H585" s="7" t="n">
        <v>13.8</v>
      </c>
      <c r="I585" s="7" t="n">
        <v>0</v>
      </c>
      <c r="J585" s="7" t="n">
        <v>0</v>
      </c>
      <c r="K585" s="9" t="n">
        <v>0</v>
      </c>
      <c r="L585" s="10" t="n">
        <v>8.18</v>
      </c>
      <c r="M585" s="10" t="n">
        <v>1.43</v>
      </c>
      <c r="N585" t="inlineStr">
        <is>
          <t>1</t>
        </is>
      </c>
      <c r="O585" t="inlineStr">
        <is>
          <t>16</t>
        </is>
      </c>
      <c r="P585" t="inlineStr">
        <is>
          <t xml:space="preserve">74697   </t>
        </is>
      </c>
      <c r="Q585" s="26" t="n">
        <v>13.8</v>
      </c>
      <c r="R585" s="26">
        <f>Q585*G585</f>
        <v/>
      </c>
      <c r="S585" t="n">
        <v>8.19</v>
      </c>
      <c r="T585" s="18">
        <f>1 - V585/S585</f>
        <v/>
      </c>
      <c r="U585" s="18" t="n">
        <v>0</v>
      </c>
      <c r="V585" s="26" t="n">
        <v>8.19</v>
      </c>
      <c r="W585" s="26">
        <f>V585 - L585</f>
        <v/>
      </c>
    </row>
    <row r="586">
      <c r="A586" s="11" t="n">
        <v>46208</v>
      </c>
      <c r="B586" s="1" t="n">
        <v>20088</v>
      </c>
      <c r="C586" s="1" t="inlineStr">
        <is>
          <t>018</t>
        </is>
      </c>
      <c r="D586" s="1" t="inlineStr">
        <is>
          <t>165813</t>
        </is>
      </c>
      <c r="E586" s="1" t="inlineStr">
        <is>
          <t xml:space="preserve">34840551       </t>
        </is>
      </c>
      <c r="F586" s="5" t="inlineStr">
        <is>
          <t>TMZ HELI BOMBERO CON LUCES Y SONIDOS</t>
        </is>
      </c>
      <c r="G586" t="n">
        <v>1</v>
      </c>
      <c r="H586" s="7" t="n">
        <v>79.90000000000001</v>
      </c>
      <c r="I586" s="7" t="n">
        <v>0</v>
      </c>
      <c r="J586" s="7" t="n">
        <v>0</v>
      </c>
      <c r="K586" s="9" t="n">
        <v>0</v>
      </c>
      <c r="L586" s="10" t="n">
        <v>47.4</v>
      </c>
      <c r="M586" s="10" t="n">
        <v>1.43</v>
      </c>
      <c r="N586" t="inlineStr">
        <is>
          <t>1</t>
        </is>
      </c>
      <c r="O586" t="inlineStr">
        <is>
          <t xml:space="preserve">2 </t>
        </is>
      </c>
      <c r="P586" t="inlineStr">
        <is>
          <t xml:space="preserve">249601  </t>
        </is>
      </c>
      <c r="Q586" s="26" t="n">
        <v>79.90000000000002</v>
      </c>
      <c r="R586" s="26">
        <f>Q586*G586</f>
        <v/>
      </c>
      <c r="S586" t="n">
        <v>47.4</v>
      </c>
      <c r="T586" s="18">
        <f>1 - V586/S586</f>
        <v/>
      </c>
      <c r="U586" s="18" t="n">
        <v>0</v>
      </c>
      <c r="V586" s="26" t="n">
        <v>47.4</v>
      </c>
      <c r="W586" s="26">
        <f>V586 - L586</f>
        <v/>
      </c>
    </row>
    <row r="587">
      <c r="A587" s="11" t="n">
        <v>46208</v>
      </c>
      <c r="B587" s="1" t="n">
        <v>20088</v>
      </c>
      <c r="C587" s="1" t="inlineStr">
        <is>
          <t>018</t>
        </is>
      </c>
      <c r="D587" s="1" t="inlineStr">
        <is>
          <t>165839</t>
        </is>
      </c>
      <c r="E587" s="1" t="inlineStr">
        <is>
          <t xml:space="preserve">28194780       </t>
        </is>
      </c>
      <c r="F587" s="5" t="inlineStr">
        <is>
          <t>TROMPO BATALLA INFINITY NADO PLSTICO SURTIDO</t>
        </is>
      </c>
      <c r="G587" t="n">
        <v>1</v>
      </c>
      <c r="H587" s="7" t="n">
        <v>19.9</v>
      </c>
      <c r="I587" s="7" t="n">
        <v>0</v>
      </c>
      <c r="J587" s="7" t="n">
        <v>0</v>
      </c>
      <c r="K587" s="9" t="n">
        <v>0</v>
      </c>
      <c r="L587" s="10" t="n">
        <v>11.8</v>
      </c>
      <c r="M587" s="10" t="n">
        <v>1.43</v>
      </c>
      <c r="N587" t="inlineStr">
        <is>
          <t>1</t>
        </is>
      </c>
      <c r="O587" t="inlineStr">
        <is>
          <t>16</t>
        </is>
      </c>
      <c r="P587" t="inlineStr">
        <is>
          <t xml:space="preserve">249601  </t>
        </is>
      </c>
      <c r="Q587" s="26" t="n">
        <v>19.9</v>
      </c>
      <c r="R587" s="26">
        <f>Q587*G587</f>
        <v/>
      </c>
      <c r="S587" t="n">
        <v>11.81</v>
      </c>
      <c r="T587" s="18">
        <f>1 - V587/S587</f>
        <v/>
      </c>
      <c r="U587" s="18" t="n">
        <v>0</v>
      </c>
      <c r="V587" s="26" t="n">
        <v>11.81</v>
      </c>
      <c r="W587" s="26">
        <f>V587 - L587</f>
        <v/>
      </c>
    </row>
    <row r="588">
      <c r="A588" s="11" t="n">
        <v>46208</v>
      </c>
      <c r="B588" s="1" t="n">
        <v>20088</v>
      </c>
      <c r="C588" s="1" t="inlineStr">
        <is>
          <t>021</t>
        </is>
      </c>
      <c r="D588" s="1" t="inlineStr">
        <is>
          <t xml:space="preserve">48167 </t>
        </is>
      </c>
      <c r="E588" s="1" t="inlineStr">
        <is>
          <t xml:space="preserve">32457099       </t>
        </is>
      </c>
      <c r="F588" s="5" t="inlineStr">
        <is>
          <t>TMZ BEAST MACHINES MONSTER JAWS A FRICCION BLISTER</t>
        </is>
      </c>
      <c r="G588" t="n">
        <v>1</v>
      </c>
      <c r="H588" s="7" t="n">
        <v>17.9</v>
      </c>
      <c r="I588" s="7" t="n">
        <v>0</v>
      </c>
      <c r="J588" s="7" t="n">
        <v>0</v>
      </c>
      <c r="K588" s="9" t="n">
        <v>0</v>
      </c>
      <c r="L588" s="10" t="n">
        <v>10.62</v>
      </c>
      <c r="M588" s="10" t="n">
        <v>1.43</v>
      </c>
      <c r="N588" t="inlineStr">
        <is>
          <t>1</t>
        </is>
      </c>
      <c r="O588" t="inlineStr">
        <is>
          <t xml:space="preserve">3 </t>
        </is>
      </c>
      <c r="P588" t="inlineStr">
        <is>
          <t xml:space="preserve">232153  </t>
        </is>
      </c>
      <c r="Q588" s="26" t="n">
        <v>19.9</v>
      </c>
      <c r="R588" s="26">
        <f>Q588*G588</f>
        <v/>
      </c>
      <c r="S588" t="n">
        <v>11.81</v>
      </c>
      <c r="T588" s="18">
        <f>1 - V588/S588</f>
        <v/>
      </c>
      <c r="U588" s="18" t="n">
        <v>0.1005025125628141</v>
      </c>
      <c r="V588" s="26" t="n">
        <v>8.417118644067797</v>
      </c>
      <c r="W588" s="26">
        <f>V588 - L588</f>
        <v/>
      </c>
    </row>
    <row r="589">
      <c r="A589" s="11" t="n">
        <v>46208</v>
      </c>
      <c r="B589" s="1" t="n">
        <v>20088</v>
      </c>
      <c r="C589" s="1" t="inlineStr">
        <is>
          <t>021</t>
        </is>
      </c>
      <c r="D589" s="1" t="inlineStr">
        <is>
          <t xml:space="preserve">48167 </t>
        </is>
      </c>
      <c r="E589" s="1" t="inlineStr">
        <is>
          <t xml:space="preserve">32457099       </t>
        </is>
      </c>
      <c r="F589" s="5" t="inlineStr">
        <is>
          <t>TMZ BEAST MACHINES MONSTER JAWS A FRICCION BLISTER</t>
        </is>
      </c>
      <c r="G589" t="n">
        <v>1</v>
      </c>
      <c r="H589" s="7" t="n">
        <v>17.9</v>
      </c>
      <c r="I589" s="7" t="n">
        <v>0</v>
      </c>
      <c r="J589" s="7" t="n">
        <v>0</v>
      </c>
      <c r="K589" s="9" t="n">
        <v>0</v>
      </c>
      <c r="L589" s="10" t="n">
        <v>10.62</v>
      </c>
      <c r="M589" s="10" t="n">
        <v>1.43</v>
      </c>
      <c r="N589" t="inlineStr">
        <is>
          <t>1</t>
        </is>
      </c>
      <c r="O589" t="inlineStr">
        <is>
          <t xml:space="preserve">3 </t>
        </is>
      </c>
      <c r="P589" t="inlineStr">
        <is>
          <t xml:space="preserve">232153  </t>
        </is>
      </c>
      <c r="Q589" s="26" t="n">
        <v>19.9</v>
      </c>
      <c r="R589" s="26">
        <f>Q589*G589</f>
        <v/>
      </c>
      <c r="S589" t="n">
        <v>11.81</v>
      </c>
      <c r="T589" s="18">
        <f>1 - V589/S589</f>
        <v/>
      </c>
      <c r="U589" s="18" t="n">
        <v>0.1005025125628141</v>
      </c>
      <c r="V589" s="26" t="n">
        <v>8.417118644067797</v>
      </c>
      <c r="W589" s="26">
        <f>V589 - L589</f>
        <v/>
      </c>
    </row>
    <row r="590">
      <c r="A590" s="11" t="n">
        <v>46208</v>
      </c>
      <c r="B590" s="1" t="n">
        <v>20088</v>
      </c>
      <c r="C590" s="1" t="inlineStr">
        <is>
          <t>023</t>
        </is>
      </c>
      <c r="D590" s="1" t="inlineStr">
        <is>
          <t>126508</t>
        </is>
      </c>
      <c r="E590" s="1" t="inlineStr">
        <is>
          <t xml:space="preserve">28194770       </t>
        </is>
      </c>
      <c r="F590" s="5" t="inlineStr">
        <is>
          <t>AUTOS DE METAL 3 TEAMSTERZ EN BLISTER</t>
        </is>
      </c>
      <c r="G590" t="n">
        <v>1</v>
      </c>
      <c r="H590" s="7" t="n">
        <v>6.9</v>
      </c>
      <c r="I590" s="7" t="n">
        <v>0</v>
      </c>
      <c r="J590" s="7" t="n">
        <v>0</v>
      </c>
      <c r="K590" s="9" t="n">
        <v>0</v>
      </c>
      <c r="L590" s="10" t="n">
        <v>4.1</v>
      </c>
      <c r="M590" s="10" t="n">
        <v>1.43</v>
      </c>
      <c r="N590" t="inlineStr">
        <is>
          <t>1</t>
        </is>
      </c>
      <c r="O590" t="inlineStr">
        <is>
          <t>16</t>
        </is>
      </c>
      <c r="P590" t="inlineStr">
        <is>
          <t xml:space="preserve">233525  </t>
        </is>
      </c>
      <c r="Q590" s="26" t="n">
        <v>6.9</v>
      </c>
      <c r="R590" s="26">
        <f>Q590*G590</f>
        <v/>
      </c>
      <c r="S590" t="n">
        <v>4.09</v>
      </c>
      <c r="T590" s="18">
        <f>1 - V590/S590</f>
        <v/>
      </c>
      <c r="U590" s="18" t="n">
        <v>0</v>
      </c>
      <c r="V590" s="26" t="n">
        <v>4.09</v>
      </c>
      <c r="W590" s="26">
        <f>V590 - L590</f>
        <v/>
      </c>
    </row>
    <row r="591">
      <c r="A591" s="11" t="n">
        <v>46208</v>
      </c>
      <c r="B591" s="1" t="n">
        <v>20088</v>
      </c>
      <c r="C591" s="1" t="inlineStr">
        <is>
          <t>023</t>
        </is>
      </c>
      <c r="D591" s="1" t="inlineStr">
        <is>
          <t>126542</t>
        </is>
      </c>
      <c r="E591" s="1" t="inlineStr">
        <is>
          <t xml:space="preserve">28194769       </t>
        </is>
      </c>
      <c r="F591" s="5" t="inlineStr">
        <is>
          <t>AUTOS DE METAL 3 TEAMSTERZ PACK DE 2</t>
        </is>
      </c>
      <c r="G591" t="n">
        <v>1</v>
      </c>
      <c r="H591" s="7" t="n">
        <v>13.8</v>
      </c>
      <c r="I591" s="7" t="n">
        <v>0</v>
      </c>
      <c r="J591" s="7" t="n">
        <v>0</v>
      </c>
      <c r="K591" s="9" t="n">
        <v>0</v>
      </c>
      <c r="L591" s="10" t="n">
        <v>8.18</v>
      </c>
      <c r="M591" s="10" t="n">
        <v>1.43</v>
      </c>
      <c r="N591" t="inlineStr">
        <is>
          <t>1</t>
        </is>
      </c>
      <c r="O591" t="inlineStr">
        <is>
          <t xml:space="preserve">2 </t>
        </is>
      </c>
      <c r="P591" t="inlineStr">
        <is>
          <t xml:space="preserve">233525  </t>
        </is>
      </c>
      <c r="Q591" s="26" t="n">
        <v>13.8</v>
      </c>
      <c r="R591" s="26">
        <f>Q591*G591</f>
        <v/>
      </c>
      <c r="S591" t="n">
        <v>8.19</v>
      </c>
      <c r="T591" s="18">
        <f>1 - V591/S591</f>
        <v/>
      </c>
      <c r="U591" s="18" t="n">
        <v>0</v>
      </c>
      <c r="V591" s="26" t="n">
        <v>8.19</v>
      </c>
      <c r="W591" s="26">
        <f>V591 - L591</f>
        <v/>
      </c>
    </row>
    <row r="592">
      <c r="A592" s="11" t="n">
        <v>46208</v>
      </c>
      <c r="B592" s="1" t="n">
        <v>20088</v>
      </c>
      <c r="C592" s="1" t="inlineStr">
        <is>
          <t>024</t>
        </is>
      </c>
      <c r="D592" s="1" t="inlineStr">
        <is>
          <t xml:space="preserve">49644 </t>
        </is>
      </c>
      <c r="E592" s="1" t="inlineStr">
        <is>
          <t xml:space="preserve">28194781       </t>
        </is>
      </c>
      <c r="F592" s="5" t="inlineStr">
        <is>
          <t>TROMPO BATALLA INFINITY NADO SERIE V CLASICA SURTI</t>
        </is>
      </c>
      <c r="G592" t="n">
        <v>1</v>
      </c>
      <c r="H592" s="7" t="n">
        <v>39.9</v>
      </c>
      <c r="I592" s="7" t="n">
        <v>0</v>
      </c>
      <c r="J592" s="7" t="n">
        <v>0</v>
      </c>
      <c r="K592" s="9" t="n">
        <v>0</v>
      </c>
      <c r="L592" s="10" t="n">
        <v>23.67</v>
      </c>
      <c r="M592" s="10" t="n">
        <v>1.43</v>
      </c>
      <c r="N592" t="inlineStr">
        <is>
          <t>1</t>
        </is>
      </c>
      <c r="O592" t="inlineStr">
        <is>
          <t>16</t>
        </is>
      </c>
      <c r="P592" t="inlineStr">
        <is>
          <t xml:space="preserve">233525  </t>
        </is>
      </c>
      <c r="Q592" s="26" t="n">
        <v>59.9</v>
      </c>
      <c r="R592" s="26">
        <f>Q592*G592</f>
        <v/>
      </c>
      <c r="S592" t="n">
        <v>35.53</v>
      </c>
      <c r="T592" s="18">
        <f>1 - V592/S592</f>
        <v/>
      </c>
      <c r="U592" s="18" t="n">
        <v>0.333889816360601</v>
      </c>
      <c r="V592" s="26" t="n">
        <v>25.36016949152542</v>
      </c>
      <c r="W592" s="26">
        <f>V592 - L592</f>
        <v/>
      </c>
    </row>
    <row r="593">
      <c r="A593" s="11" t="n">
        <v>46208</v>
      </c>
      <c r="B593" s="1" t="n">
        <v>20088</v>
      </c>
      <c r="C593" s="1" t="inlineStr">
        <is>
          <t>801</t>
        </is>
      </c>
      <c r="D593" s="1" t="inlineStr">
        <is>
          <t xml:space="preserve">6492  </t>
        </is>
      </c>
      <c r="E593" s="1" t="inlineStr">
        <is>
          <t xml:space="preserve">28194769       </t>
        </is>
      </c>
      <c r="F593" s="5" t="inlineStr">
        <is>
          <t>AUTOS DE METAL 3 TEAMSTERZ PACK DE 2</t>
        </is>
      </c>
      <c r="G593" t="n">
        <v>1</v>
      </c>
      <c r="H593" s="7" t="n">
        <v>13.8</v>
      </c>
      <c r="I593" s="7" t="n">
        <v>0</v>
      </c>
      <c r="J593" s="7" t="n">
        <v>0</v>
      </c>
      <c r="K593" s="9" t="n">
        <v>0</v>
      </c>
      <c r="L593" s="10" t="n">
        <v>8.18</v>
      </c>
      <c r="M593" s="10" t="n">
        <v>1.43</v>
      </c>
      <c r="N593" t="inlineStr">
        <is>
          <t>1</t>
        </is>
      </c>
      <c r="O593" t="inlineStr">
        <is>
          <t>16</t>
        </is>
      </c>
      <c r="P593" t="inlineStr">
        <is>
          <t xml:space="preserve">0       </t>
        </is>
      </c>
      <c r="Q593" s="26" t="n">
        <v>13.8</v>
      </c>
      <c r="R593" s="26">
        <f>Q593*G593</f>
        <v/>
      </c>
      <c r="S593" t="n">
        <v>8.19</v>
      </c>
      <c r="T593" s="18">
        <f>1 - V593/S593</f>
        <v/>
      </c>
      <c r="U593" s="18" t="n">
        <v>0</v>
      </c>
      <c r="V593" s="26" t="n">
        <v>8.19</v>
      </c>
      <c r="W593" s="26">
        <f>V593 - L593</f>
        <v/>
      </c>
    </row>
    <row r="594">
      <c r="A594" s="11" t="n">
        <v>46208</v>
      </c>
      <c r="B594" s="1" t="n">
        <v>20088</v>
      </c>
      <c r="C594" s="1" t="inlineStr">
        <is>
          <t>801</t>
        </is>
      </c>
      <c r="D594" s="1" t="inlineStr">
        <is>
          <t xml:space="preserve">6492  </t>
        </is>
      </c>
      <c r="E594" s="1" t="inlineStr">
        <is>
          <t xml:space="preserve">28194770       </t>
        </is>
      </c>
      <c r="F594" s="5" t="inlineStr">
        <is>
          <t>AUTOS DE METAL 3 TEAMSTERZ EN BLISTER</t>
        </is>
      </c>
      <c r="G594" t="n">
        <v>1</v>
      </c>
      <c r="H594" s="7" t="n">
        <v>6.9</v>
      </c>
      <c r="I594" s="7" t="n">
        <v>0</v>
      </c>
      <c r="J594" s="7" t="n">
        <v>0</v>
      </c>
      <c r="K594" s="9" t="n">
        <v>0</v>
      </c>
      <c r="L594" s="10" t="n">
        <v>4.1</v>
      </c>
      <c r="M594" s="10" t="n">
        <v>1.43</v>
      </c>
      <c r="N594" t="inlineStr">
        <is>
          <t>1</t>
        </is>
      </c>
      <c r="O594" t="inlineStr">
        <is>
          <t>16</t>
        </is>
      </c>
      <c r="P594" t="inlineStr">
        <is>
          <t xml:space="preserve">0       </t>
        </is>
      </c>
      <c r="Q594" s="26" t="n">
        <v>6.9</v>
      </c>
      <c r="R594" s="26">
        <f>Q594*G594</f>
        <v/>
      </c>
      <c r="S594" t="n">
        <v>4.09</v>
      </c>
      <c r="T594" s="18">
        <f>1 - V594/S594</f>
        <v/>
      </c>
      <c r="U594" s="18" t="n">
        <v>0</v>
      </c>
      <c r="V594" s="26" t="n">
        <v>4.09</v>
      </c>
      <c r="W594" s="26">
        <f>V594 - L594</f>
        <v/>
      </c>
    </row>
    <row r="595">
      <c r="A595" s="11" t="n">
        <v>46208</v>
      </c>
      <c r="B595" s="1" t="n">
        <v>20088</v>
      </c>
      <c r="C595" s="1" t="inlineStr">
        <is>
          <t>802</t>
        </is>
      </c>
      <c r="D595" s="1" t="inlineStr">
        <is>
          <t xml:space="preserve">7735  </t>
        </is>
      </c>
      <c r="E595" s="1" t="inlineStr">
        <is>
          <t xml:space="preserve">28194769       </t>
        </is>
      </c>
      <c r="F595" s="5" t="inlineStr">
        <is>
          <t>AUTOS DE METAL 3 TEAMSTERZ PACK DE 2</t>
        </is>
      </c>
      <c r="G595" t="n">
        <v>1</v>
      </c>
      <c r="H595" s="7" t="n">
        <v>13.8</v>
      </c>
      <c r="I595" s="7" t="n">
        <v>0</v>
      </c>
      <c r="J595" s="7" t="n">
        <v>0</v>
      </c>
      <c r="K595" s="9" t="n">
        <v>0</v>
      </c>
      <c r="L595" s="10" t="n">
        <v>8.18</v>
      </c>
      <c r="M595" s="10" t="n">
        <v>1.43</v>
      </c>
      <c r="N595" t="inlineStr">
        <is>
          <t>1</t>
        </is>
      </c>
      <c r="O595" t="inlineStr">
        <is>
          <t>16</t>
        </is>
      </c>
      <c r="P595" t="inlineStr">
        <is>
          <t xml:space="preserve">0       </t>
        </is>
      </c>
      <c r="Q595" s="26" t="n">
        <v>13.8</v>
      </c>
      <c r="R595" s="26">
        <f>Q595*G595</f>
        <v/>
      </c>
      <c r="S595" t="n">
        <v>8.19</v>
      </c>
      <c r="T595" s="18">
        <f>1 - V595/S595</f>
        <v/>
      </c>
      <c r="U595" s="18" t="n">
        <v>0</v>
      </c>
      <c r="V595" s="26" t="n">
        <v>8.19</v>
      </c>
      <c r="W595" s="26">
        <f>V595 - L595</f>
        <v/>
      </c>
    </row>
    <row r="596">
      <c r="A596" s="11" t="n">
        <v>46208</v>
      </c>
      <c r="B596" s="1" t="n">
        <v>20089</v>
      </c>
      <c r="C596" s="1" t="inlineStr">
        <is>
          <t>025</t>
        </is>
      </c>
      <c r="D596" s="1" t="inlineStr">
        <is>
          <t>121277</t>
        </is>
      </c>
      <c r="E596" s="1" t="inlineStr">
        <is>
          <t xml:space="preserve">32457099       </t>
        </is>
      </c>
      <c r="F596" s="5" t="inlineStr">
        <is>
          <t>TMZ BEAST MACHINES MONSTER JAWS A FRICCION BLISTER</t>
        </is>
      </c>
      <c r="G596" t="n">
        <v>1</v>
      </c>
      <c r="H596" s="7" t="n">
        <v>19.9</v>
      </c>
      <c r="I596" s="7" t="n">
        <v>0</v>
      </c>
      <c r="J596" s="7" t="n">
        <v>0</v>
      </c>
      <c r="K596" s="9" t="n">
        <v>0</v>
      </c>
      <c r="L596" s="10" t="n">
        <v>11.8</v>
      </c>
      <c r="M596" s="10" t="n">
        <v>1.43</v>
      </c>
      <c r="N596" t="inlineStr">
        <is>
          <t>1</t>
        </is>
      </c>
      <c r="O596" t="inlineStr">
        <is>
          <t xml:space="preserve">2 </t>
        </is>
      </c>
      <c r="P596" t="inlineStr">
        <is>
          <t xml:space="preserve">101864  </t>
        </is>
      </c>
      <c r="Q596" s="26" t="n">
        <v>19.9</v>
      </c>
      <c r="R596" s="26">
        <f>Q596*G596</f>
        <v/>
      </c>
      <c r="S596" t="n">
        <v>11.81</v>
      </c>
      <c r="T596" s="18">
        <f>1 - V596/S596</f>
        <v/>
      </c>
      <c r="U596" s="18" t="n">
        <v>0.1005025125628141</v>
      </c>
      <c r="V596" s="26" t="n">
        <v>8.417118644067797</v>
      </c>
      <c r="W596" s="26">
        <f>V596 - L596</f>
        <v/>
      </c>
    </row>
    <row r="597">
      <c r="A597" s="11" t="n">
        <v>46208</v>
      </c>
      <c r="B597" s="1" t="n">
        <v>20089</v>
      </c>
      <c r="C597" s="1" t="inlineStr">
        <is>
          <t>026</t>
        </is>
      </c>
      <c r="D597" s="1" t="inlineStr">
        <is>
          <t xml:space="preserve">87330 </t>
        </is>
      </c>
      <c r="E597" s="1" t="inlineStr">
        <is>
          <t xml:space="preserve">28194769       </t>
        </is>
      </c>
      <c r="F597" s="5" t="inlineStr">
        <is>
          <t>AUTOS DE METAL 3 TEAMSTERZ PACK DE 2</t>
        </is>
      </c>
      <c r="G597" t="n">
        <v>1</v>
      </c>
      <c r="H597" s="7" t="n">
        <v>13.8</v>
      </c>
      <c r="I597" s="7" t="n">
        <v>0</v>
      </c>
      <c r="J597" s="7" t="n">
        <v>0</v>
      </c>
      <c r="K597" s="9" t="n">
        <v>0</v>
      </c>
      <c r="L597" s="10" t="n">
        <v>8.18</v>
      </c>
      <c r="M597" s="10" t="n">
        <v>1.43</v>
      </c>
      <c r="N597" t="inlineStr">
        <is>
          <t>1</t>
        </is>
      </c>
      <c r="O597" t="inlineStr">
        <is>
          <t>16</t>
        </is>
      </c>
      <c r="P597" t="inlineStr">
        <is>
          <t xml:space="preserve">69718   </t>
        </is>
      </c>
      <c r="Q597" s="26" t="n">
        <v>13.8</v>
      </c>
      <c r="R597" s="26">
        <f>Q597*G597</f>
        <v/>
      </c>
      <c r="S597" t="n">
        <v>8.19</v>
      </c>
      <c r="T597" s="18">
        <f>1 - V597/S597</f>
        <v/>
      </c>
      <c r="U597" s="18" t="n">
        <v>0</v>
      </c>
      <c r="V597" s="26" t="n">
        <v>8.19</v>
      </c>
      <c r="W597" s="26">
        <f>V597 - L597</f>
        <v/>
      </c>
    </row>
    <row r="598">
      <c r="A598" s="11" t="n">
        <v>46208</v>
      </c>
      <c r="B598" s="1" t="n">
        <v>20089</v>
      </c>
      <c r="C598" s="1" t="inlineStr">
        <is>
          <t>026</t>
        </is>
      </c>
      <c r="D598" s="1" t="inlineStr">
        <is>
          <t xml:space="preserve">87362 </t>
        </is>
      </c>
      <c r="E598" s="1" t="inlineStr">
        <is>
          <t xml:space="preserve">28194770       </t>
        </is>
      </c>
      <c r="F598" s="5" t="inlineStr">
        <is>
          <t>AUTOS DE METAL 3 TEAMSTERZ EN BLISTER</t>
        </is>
      </c>
      <c r="G598" t="n">
        <v>1</v>
      </c>
      <c r="H598" s="7" t="n">
        <v>6.9</v>
      </c>
      <c r="I598" s="7" t="n">
        <v>0</v>
      </c>
      <c r="J598" s="7" t="n">
        <v>0</v>
      </c>
      <c r="K598" s="9" t="n">
        <v>0</v>
      </c>
      <c r="L598" s="10" t="n">
        <v>4.1</v>
      </c>
      <c r="M598" s="10" t="n">
        <v>1.43</v>
      </c>
      <c r="N598" t="inlineStr">
        <is>
          <t>1</t>
        </is>
      </c>
      <c r="O598" t="inlineStr">
        <is>
          <t xml:space="preserve">6 </t>
        </is>
      </c>
      <c r="P598" t="inlineStr">
        <is>
          <t xml:space="preserve">69718   </t>
        </is>
      </c>
      <c r="Q598" s="26" t="n">
        <v>6.9</v>
      </c>
      <c r="R598" s="26">
        <f>Q598*G598</f>
        <v/>
      </c>
      <c r="S598" t="n">
        <v>4.09</v>
      </c>
      <c r="T598" s="18">
        <f>1 - V598/S598</f>
        <v/>
      </c>
      <c r="U598" s="18" t="n">
        <v>0</v>
      </c>
      <c r="V598" s="26" t="n">
        <v>4.09</v>
      </c>
      <c r="W598" s="26">
        <f>V598 - L598</f>
        <v/>
      </c>
    </row>
    <row r="599">
      <c r="A599" s="11" t="n">
        <v>46208</v>
      </c>
      <c r="B599" s="1" t="n">
        <v>20089</v>
      </c>
      <c r="C599" s="1" t="inlineStr">
        <is>
          <t>026</t>
        </is>
      </c>
      <c r="D599" s="1" t="inlineStr">
        <is>
          <t xml:space="preserve">87365 </t>
        </is>
      </c>
      <c r="E599" s="1" t="inlineStr">
        <is>
          <t xml:space="preserve">28194770       </t>
        </is>
      </c>
      <c r="F599" s="5" t="inlineStr">
        <is>
          <t>AUTOS DE METAL 3 TEAMSTERZ EN BLISTER</t>
        </is>
      </c>
      <c r="G599" t="n">
        <v>1</v>
      </c>
      <c r="H599" s="7" t="n">
        <v>6.9</v>
      </c>
      <c r="I599" s="7" t="n">
        <v>0</v>
      </c>
      <c r="J599" s="7" t="n">
        <v>0</v>
      </c>
      <c r="K599" s="9" t="n">
        <v>0</v>
      </c>
      <c r="L599" s="10" t="n">
        <v>4.1</v>
      </c>
      <c r="M599" s="10" t="n">
        <v>1.43</v>
      </c>
      <c r="N599" t="inlineStr">
        <is>
          <t>1</t>
        </is>
      </c>
      <c r="O599" t="inlineStr">
        <is>
          <t>16</t>
        </is>
      </c>
      <c r="P599" t="inlineStr">
        <is>
          <t xml:space="preserve">69718   </t>
        </is>
      </c>
      <c r="Q599" s="26" t="n">
        <v>6.9</v>
      </c>
      <c r="R599" s="26">
        <f>Q599*G599</f>
        <v/>
      </c>
      <c r="S599" t="n">
        <v>4.09</v>
      </c>
      <c r="T599" s="18">
        <f>1 - V599/S599</f>
        <v/>
      </c>
      <c r="U599" s="18" t="n">
        <v>0</v>
      </c>
      <c r="V599" s="26" t="n">
        <v>4.09</v>
      </c>
      <c r="W599" s="26">
        <f>V599 - L599</f>
        <v/>
      </c>
    </row>
    <row r="600">
      <c r="A600" s="11" t="n">
        <v>46208</v>
      </c>
      <c r="B600" s="1" t="n">
        <v>20089</v>
      </c>
      <c r="C600" s="1" t="inlineStr">
        <is>
          <t>026</t>
        </is>
      </c>
      <c r="D600" s="1" t="inlineStr">
        <is>
          <t xml:space="preserve">87365 </t>
        </is>
      </c>
      <c r="E600" s="1" t="inlineStr">
        <is>
          <t xml:space="preserve">28194770       </t>
        </is>
      </c>
      <c r="F600" s="5" t="inlineStr">
        <is>
          <t>AUTOS DE METAL 3 TEAMSTERZ EN BLISTER</t>
        </is>
      </c>
      <c r="G600" t="n">
        <v>1</v>
      </c>
      <c r="H600" s="7" t="n">
        <v>6.9</v>
      </c>
      <c r="I600" s="7" t="n">
        <v>0</v>
      </c>
      <c r="J600" s="7" t="n">
        <v>0</v>
      </c>
      <c r="K600" s="9" t="n">
        <v>0</v>
      </c>
      <c r="L600" s="10" t="n">
        <v>4.1</v>
      </c>
      <c r="M600" s="10" t="n">
        <v>1.43</v>
      </c>
      <c r="N600" t="inlineStr">
        <is>
          <t>1</t>
        </is>
      </c>
      <c r="O600" t="inlineStr">
        <is>
          <t>16</t>
        </is>
      </c>
      <c r="P600" t="inlineStr">
        <is>
          <t xml:space="preserve">69718   </t>
        </is>
      </c>
      <c r="Q600" s="26" t="n">
        <v>6.9</v>
      </c>
      <c r="R600" s="26">
        <f>Q600*G600</f>
        <v/>
      </c>
      <c r="S600" t="n">
        <v>4.09</v>
      </c>
      <c r="T600" s="18">
        <f>1 - V600/S600</f>
        <v/>
      </c>
      <c r="U600" s="18" t="n">
        <v>0</v>
      </c>
      <c r="V600" s="26" t="n">
        <v>4.09</v>
      </c>
      <c r="W600" s="26">
        <f>V600 - L600</f>
        <v/>
      </c>
    </row>
    <row r="601">
      <c r="A601" s="11" t="n">
        <v>46208</v>
      </c>
      <c r="B601" s="1" t="n">
        <v>20089</v>
      </c>
      <c r="C601" s="1" t="inlineStr">
        <is>
          <t>027</t>
        </is>
      </c>
      <c r="D601" s="1" t="inlineStr">
        <is>
          <t xml:space="preserve">15593 </t>
        </is>
      </c>
      <c r="E601" s="1" t="inlineStr">
        <is>
          <t xml:space="preserve">30141768       </t>
        </is>
      </c>
      <c r="F601" s="5" t="inlineStr">
        <is>
          <t>TMZ BEAST MACHINES AUTOS DE METAL PACK 10 AUTOS</t>
        </is>
      </c>
      <c r="G601" t="n">
        <v>1</v>
      </c>
      <c r="H601" s="7" t="n">
        <v>79</v>
      </c>
      <c r="I601" s="7" t="n">
        <v>0</v>
      </c>
      <c r="J601" s="7" t="n">
        <v>0</v>
      </c>
      <c r="K601" s="9" t="n">
        <v>0</v>
      </c>
      <c r="L601" s="10" t="n">
        <v>46.87</v>
      </c>
      <c r="M601" s="10" t="n">
        <v>1.43</v>
      </c>
      <c r="N601" t="inlineStr">
        <is>
          <t>1</t>
        </is>
      </c>
      <c r="O601" t="inlineStr">
        <is>
          <t>16</t>
        </is>
      </c>
      <c r="P601" t="inlineStr">
        <is>
          <t xml:space="preserve">248223  </t>
        </is>
      </c>
      <c r="Q601" s="26" t="n">
        <v>79</v>
      </c>
      <c r="R601" s="26">
        <f>Q601*G601</f>
        <v/>
      </c>
      <c r="S601" t="n">
        <v>46.86</v>
      </c>
      <c r="T601" s="18">
        <f>1 - V601/S601</f>
        <v/>
      </c>
      <c r="U601" s="18" t="n">
        <v>0.1265822784810127</v>
      </c>
      <c r="V601" s="26" t="n">
        <v>43.85593220338983</v>
      </c>
      <c r="W601" s="26">
        <f>V601 - L601</f>
        <v/>
      </c>
    </row>
    <row r="602">
      <c r="A602" s="11" t="n">
        <v>46208</v>
      </c>
      <c r="B602" s="1" t="n">
        <v>20089</v>
      </c>
      <c r="C602" s="1" t="inlineStr">
        <is>
          <t>525</t>
        </is>
      </c>
      <c r="D602" s="1" t="inlineStr">
        <is>
          <t xml:space="preserve">3961  </t>
        </is>
      </c>
      <c r="E602" s="1" t="inlineStr">
        <is>
          <t xml:space="preserve">28194769       </t>
        </is>
      </c>
      <c r="F602" s="5" t="inlineStr">
        <is>
          <t>AUTOS DE METAL 3 TEAMSTERZ PACK DE 2</t>
        </is>
      </c>
      <c r="G602" t="n">
        <v>1</v>
      </c>
      <c r="H602" s="7" t="n">
        <v>13.8</v>
      </c>
      <c r="I602" s="7" t="n">
        <v>0</v>
      </c>
      <c r="J602" s="7" t="n">
        <v>0</v>
      </c>
      <c r="K602" s="9" t="n">
        <v>0</v>
      </c>
      <c r="L602" s="10" t="n">
        <v>8.18</v>
      </c>
      <c r="M602" s="10" t="n">
        <v>1.43</v>
      </c>
      <c r="N602" t="inlineStr">
        <is>
          <t>1</t>
        </is>
      </c>
      <c r="O602" t="inlineStr">
        <is>
          <t>16</t>
        </is>
      </c>
      <c r="P602" t="inlineStr">
        <is>
          <t xml:space="preserve">96037   </t>
        </is>
      </c>
      <c r="Q602" s="26" t="n">
        <v>13.8</v>
      </c>
      <c r="R602" s="26">
        <f>Q602*G602</f>
        <v/>
      </c>
      <c r="S602" t="n">
        <v>8.19</v>
      </c>
      <c r="T602" s="18">
        <f>1 - V602/S602</f>
        <v/>
      </c>
      <c r="U602" s="18" t="n">
        <v>0</v>
      </c>
      <c r="V602" s="26" t="n">
        <v>8.19</v>
      </c>
      <c r="W602" s="26">
        <f>V602 - L602</f>
        <v/>
      </c>
    </row>
    <row r="603">
      <c r="A603" s="11" t="n">
        <v>46208</v>
      </c>
      <c r="B603" s="1" t="n">
        <v>20095</v>
      </c>
      <c r="C603" s="1" t="inlineStr">
        <is>
          <t>043</t>
        </is>
      </c>
      <c r="D603" s="1" t="inlineStr">
        <is>
          <t>107407</t>
        </is>
      </c>
      <c r="E603" s="1" t="inlineStr">
        <is>
          <t xml:space="preserve">28194769       </t>
        </is>
      </c>
      <c r="F603" s="5" t="inlineStr">
        <is>
          <t>AUTOS DE METAL 3 TEAMSTERZ PACK DE 2</t>
        </is>
      </c>
      <c r="G603" t="n">
        <v>1</v>
      </c>
      <c r="H603" s="7" t="n">
        <v>13.8</v>
      </c>
      <c r="I603" s="7" t="n">
        <v>0</v>
      </c>
      <c r="J603" s="7" t="n">
        <v>0</v>
      </c>
      <c r="K603" s="9" t="n">
        <v>0</v>
      </c>
      <c r="L603" s="10" t="n">
        <v>8.18</v>
      </c>
      <c r="M603" s="10" t="n">
        <v>1.43</v>
      </c>
      <c r="N603" t="inlineStr">
        <is>
          <t>1</t>
        </is>
      </c>
      <c r="O603" t="inlineStr">
        <is>
          <t>16</t>
        </is>
      </c>
      <c r="P603" t="inlineStr">
        <is>
          <t xml:space="preserve">241955  </t>
        </is>
      </c>
      <c r="Q603" s="26" t="n">
        <v>13.8</v>
      </c>
      <c r="R603" s="26">
        <f>Q603*G603</f>
        <v/>
      </c>
      <c r="S603" t="n">
        <v>8.19</v>
      </c>
      <c r="T603" s="18">
        <f>1 - V603/S603</f>
        <v/>
      </c>
      <c r="U603" s="18" t="n">
        <v>0</v>
      </c>
      <c r="V603" s="26" t="n">
        <v>8.19</v>
      </c>
      <c r="W603" s="26">
        <f>V603 - L603</f>
        <v/>
      </c>
    </row>
    <row r="604">
      <c r="A604" s="11" t="n">
        <v>46208</v>
      </c>
      <c r="B604" s="1" t="n">
        <v>20095</v>
      </c>
      <c r="C604" s="1" t="inlineStr">
        <is>
          <t>043</t>
        </is>
      </c>
      <c r="D604" s="1" t="inlineStr">
        <is>
          <t>107410</t>
        </is>
      </c>
      <c r="E604" s="1" t="inlineStr">
        <is>
          <t xml:space="preserve">28194769       </t>
        </is>
      </c>
      <c r="F604" s="5" t="inlineStr">
        <is>
          <t>AUTOS DE METAL 3 TEAMSTERZ PACK DE 2</t>
        </is>
      </c>
      <c r="G604" t="n">
        <v>1</v>
      </c>
      <c r="H604" s="7" t="n">
        <v>13.8</v>
      </c>
      <c r="I604" s="7" t="n">
        <v>0</v>
      </c>
      <c r="J604" s="7" t="n">
        <v>0</v>
      </c>
      <c r="K604" s="9" t="n">
        <v>0</v>
      </c>
      <c r="L604" s="10" t="n">
        <v>8.18</v>
      </c>
      <c r="M604" s="10" t="n">
        <v>1.43</v>
      </c>
      <c r="N604" t="inlineStr">
        <is>
          <t>1</t>
        </is>
      </c>
      <c r="O604" t="inlineStr">
        <is>
          <t xml:space="preserve">2 </t>
        </is>
      </c>
      <c r="P604" t="inlineStr">
        <is>
          <t xml:space="preserve">241955  </t>
        </is>
      </c>
      <c r="Q604" s="26" t="n">
        <v>13.8</v>
      </c>
      <c r="R604" s="26">
        <f>Q604*G604</f>
        <v/>
      </c>
      <c r="S604" t="n">
        <v>8.19</v>
      </c>
      <c r="T604" s="18">
        <f>1 - V604/S604</f>
        <v/>
      </c>
      <c r="U604" s="18" t="n">
        <v>0</v>
      </c>
      <c r="V604" s="26" t="n">
        <v>8.19</v>
      </c>
      <c r="W604" s="26">
        <f>V604 - L604</f>
        <v/>
      </c>
    </row>
    <row r="605">
      <c r="A605" s="11" t="n">
        <v>46208</v>
      </c>
      <c r="B605" s="1" t="n">
        <v>20095</v>
      </c>
      <c r="C605" s="1" t="inlineStr">
        <is>
          <t>043</t>
        </is>
      </c>
      <c r="D605" s="1" t="inlineStr">
        <is>
          <t>107413</t>
        </is>
      </c>
      <c r="E605" s="1" t="inlineStr">
        <is>
          <t xml:space="preserve">28194770       </t>
        </is>
      </c>
      <c r="F605" s="5" t="inlineStr">
        <is>
          <t>AUTOS DE METAL 3 TEAMSTERZ EN BLISTER</t>
        </is>
      </c>
      <c r="G605" t="n">
        <v>1</v>
      </c>
      <c r="H605" s="7" t="n">
        <v>6.9</v>
      </c>
      <c r="I605" s="7" t="n">
        <v>0</v>
      </c>
      <c r="J605" s="7" t="n">
        <v>0</v>
      </c>
      <c r="K605" s="9" t="n">
        <v>0</v>
      </c>
      <c r="L605" s="10" t="n">
        <v>4.1</v>
      </c>
      <c r="M605" s="10" t="n">
        <v>1.43</v>
      </c>
      <c r="N605" t="inlineStr">
        <is>
          <t>1</t>
        </is>
      </c>
      <c r="O605" t="inlineStr">
        <is>
          <t xml:space="preserve">2 </t>
        </is>
      </c>
      <c r="P605" t="inlineStr">
        <is>
          <t xml:space="preserve">241955  </t>
        </is>
      </c>
      <c r="Q605" s="26" t="n">
        <v>6.9</v>
      </c>
      <c r="R605" s="26">
        <f>Q605*G605</f>
        <v/>
      </c>
      <c r="S605" t="n">
        <v>4.09</v>
      </c>
      <c r="T605" s="18">
        <f>1 - V605/S605</f>
        <v/>
      </c>
      <c r="U605" s="18" t="n">
        <v>0</v>
      </c>
      <c r="V605" s="26" t="n">
        <v>4.09</v>
      </c>
      <c r="W605" s="26">
        <f>V605 - L605</f>
        <v/>
      </c>
    </row>
    <row r="606">
      <c r="A606" s="11" t="n">
        <v>46208</v>
      </c>
      <c r="B606" s="1" t="n">
        <v>20095</v>
      </c>
      <c r="C606" s="1" t="inlineStr">
        <is>
          <t>043</t>
        </is>
      </c>
      <c r="D606" s="1" t="inlineStr">
        <is>
          <t>107422</t>
        </is>
      </c>
      <c r="E606" s="1" t="inlineStr">
        <is>
          <t xml:space="preserve">35685067       </t>
        </is>
      </c>
      <c r="F606" s="5" t="inlineStr">
        <is>
          <t>HOT WHEELS POWER SET 3 EN 1</t>
        </is>
      </c>
      <c r="G606" t="n">
        <v>1</v>
      </c>
      <c r="H606" s="7" t="n">
        <v>49.9</v>
      </c>
      <c r="I606" s="7" t="n">
        <v>0</v>
      </c>
      <c r="J606" s="7" t="n">
        <v>0</v>
      </c>
      <c r="K606" s="9" t="n">
        <v>0</v>
      </c>
      <c r="L606" s="10" t="n">
        <v>29.6</v>
      </c>
      <c r="M606" s="10" t="n">
        <v>1.43</v>
      </c>
      <c r="N606" t="inlineStr">
        <is>
          <t>1</t>
        </is>
      </c>
      <c r="O606" t="inlineStr">
        <is>
          <t>16</t>
        </is>
      </c>
      <c r="P606" t="inlineStr">
        <is>
          <t xml:space="preserve">241955  </t>
        </is>
      </c>
      <c r="Q606" s="26" t="n">
        <v>49.9</v>
      </c>
      <c r="R606" s="26">
        <f>Q606*G606</f>
        <v/>
      </c>
      <c r="S606" t="n">
        <v>29.6</v>
      </c>
      <c r="T606" s="18">
        <f>1 - V606/S606</f>
        <v/>
      </c>
      <c r="U606" s="18" t="n">
        <v>0</v>
      </c>
      <c r="V606" s="26" t="n">
        <v>29.6</v>
      </c>
      <c r="W606" s="26">
        <f>V606 - L606</f>
        <v/>
      </c>
    </row>
    <row r="607">
      <c r="A607" s="11" t="n">
        <v>46208</v>
      </c>
      <c r="B607" s="1" t="n">
        <v>20095</v>
      </c>
      <c r="C607" s="1" t="inlineStr">
        <is>
          <t>043</t>
        </is>
      </c>
      <c r="D607" s="1" t="inlineStr">
        <is>
          <t>107444</t>
        </is>
      </c>
      <c r="E607" s="1" t="inlineStr">
        <is>
          <t xml:space="preserve">30141766       </t>
        </is>
      </c>
      <c r="F607" s="5" t="inlineStr">
        <is>
          <t>TMZ BEAST MACHINES AUTOS DE METAL BLISTER X 1</t>
        </is>
      </c>
      <c r="G607" t="n">
        <v>1</v>
      </c>
      <c r="H607" s="7" t="n">
        <v>7.9</v>
      </c>
      <c r="I607" s="7" t="n">
        <v>0</v>
      </c>
      <c r="J607" s="7" t="n">
        <v>0</v>
      </c>
      <c r="K607" s="9" t="n">
        <v>0</v>
      </c>
      <c r="L607" s="10" t="n">
        <v>4.68</v>
      </c>
      <c r="M607" s="10" t="n">
        <v>1.43</v>
      </c>
      <c r="N607" t="inlineStr">
        <is>
          <t>1</t>
        </is>
      </c>
      <c r="O607" t="inlineStr">
        <is>
          <t xml:space="preserve">3 </t>
        </is>
      </c>
      <c r="P607" t="inlineStr">
        <is>
          <t xml:space="preserve">241955  </t>
        </is>
      </c>
      <c r="Q607" s="26" t="n">
        <v>7.9</v>
      </c>
      <c r="R607" s="26">
        <f>Q607*G607</f>
        <v/>
      </c>
      <c r="S607" t="n">
        <v>4.69</v>
      </c>
      <c r="T607" s="18">
        <f>1 - V607/S607</f>
        <v/>
      </c>
      <c r="U607" s="18" t="n">
        <v>0</v>
      </c>
      <c r="V607" s="26" t="n">
        <v>4.69</v>
      </c>
      <c r="W607" s="26">
        <f>V607 - L607</f>
        <v/>
      </c>
    </row>
    <row r="608">
      <c r="A608" s="11" t="n">
        <v>46208</v>
      </c>
      <c r="B608" s="1" t="n">
        <v>20095</v>
      </c>
      <c r="C608" s="1" t="inlineStr">
        <is>
          <t>044</t>
        </is>
      </c>
      <c r="D608" s="1" t="inlineStr">
        <is>
          <t xml:space="preserve">92924 </t>
        </is>
      </c>
      <c r="E608" s="1" t="inlineStr">
        <is>
          <t xml:space="preserve">30141766       </t>
        </is>
      </c>
      <c r="F608" s="5" t="inlineStr">
        <is>
          <t>TMZ BEAST MACHINES AUTOS DE METAL BLISTER X 1</t>
        </is>
      </c>
      <c r="G608" t="n">
        <v>1</v>
      </c>
      <c r="H608" s="7" t="n">
        <v>7.9</v>
      </c>
      <c r="I608" s="7" t="n">
        <v>0</v>
      </c>
      <c r="J608" s="7" t="n">
        <v>0</v>
      </c>
      <c r="K608" s="9" t="n">
        <v>0</v>
      </c>
      <c r="L608" s="10" t="n">
        <v>4.68</v>
      </c>
      <c r="M608" s="10" t="n">
        <v>1.43</v>
      </c>
      <c r="N608" t="inlineStr">
        <is>
          <t>1</t>
        </is>
      </c>
      <c r="O608" t="inlineStr">
        <is>
          <t>16</t>
        </is>
      </c>
      <c r="P608" t="inlineStr">
        <is>
          <t xml:space="preserve">57866   </t>
        </is>
      </c>
      <c r="Q608" s="26" t="n">
        <v>7.9</v>
      </c>
      <c r="R608" s="26">
        <f>Q608*G608</f>
        <v/>
      </c>
      <c r="S608" t="n">
        <v>4.69</v>
      </c>
      <c r="T608" s="18">
        <f>1 - V608/S608</f>
        <v/>
      </c>
      <c r="U608" s="18" t="n">
        <v>0</v>
      </c>
      <c r="V608" s="26" t="n">
        <v>4.69</v>
      </c>
      <c r="W608" s="26">
        <f>V608 - L608</f>
        <v/>
      </c>
    </row>
    <row r="609">
      <c r="A609" s="11" t="n">
        <v>46208</v>
      </c>
      <c r="B609" s="1" t="n">
        <v>20095</v>
      </c>
      <c r="C609" s="1" t="inlineStr">
        <is>
          <t>044</t>
        </is>
      </c>
      <c r="D609" s="1" t="inlineStr">
        <is>
          <t xml:space="preserve">92973 </t>
        </is>
      </c>
      <c r="E609" s="1" t="inlineStr">
        <is>
          <t xml:space="preserve">32457111       </t>
        </is>
      </c>
      <c r="F609" s="5" t="inlineStr">
        <is>
          <t>TMZ BEAST MACHINES MONSTER JAWS A FRICCION PACK DE</t>
        </is>
      </c>
      <c r="G609" t="n">
        <v>1</v>
      </c>
      <c r="H609" s="7" t="n">
        <v>74.90000000000001</v>
      </c>
      <c r="I609" s="7" t="n">
        <v>0</v>
      </c>
      <c r="J609" s="7" t="n">
        <v>0</v>
      </c>
      <c r="K609" s="9" t="n">
        <v>0</v>
      </c>
      <c r="L609" s="10" t="n">
        <v>44.43</v>
      </c>
      <c r="M609" s="10" t="n">
        <v>1.43</v>
      </c>
      <c r="N609" t="inlineStr">
        <is>
          <t>1</t>
        </is>
      </c>
      <c r="O609" t="inlineStr">
        <is>
          <t xml:space="preserve">3 </t>
        </is>
      </c>
      <c r="P609" t="inlineStr">
        <is>
          <t xml:space="preserve">57866   </t>
        </is>
      </c>
      <c r="Q609" s="26" t="n">
        <v>74.90000000000001</v>
      </c>
      <c r="R609" s="26">
        <f>Q609*G609</f>
        <v/>
      </c>
      <c r="S609" t="n">
        <v>44.43</v>
      </c>
      <c r="T609" s="18">
        <f>1 - V609/S609</f>
        <v/>
      </c>
      <c r="U609" s="18" t="n">
        <v>0.2670226969292391</v>
      </c>
      <c r="V609" s="26" t="n">
        <v>31.92406779661017</v>
      </c>
      <c r="W609" s="26">
        <f>V609 - L609</f>
        <v/>
      </c>
    </row>
    <row r="610">
      <c r="A610" s="11" t="n">
        <v>46208</v>
      </c>
      <c r="B610" s="1" t="n">
        <v>20095</v>
      </c>
      <c r="C610" s="1" t="inlineStr">
        <is>
          <t>044</t>
        </is>
      </c>
      <c r="D610" s="1" t="inlineStr">
        <is>
          <t xml:space="preserve">92993 </t>
        </is>
      </c>
      <c r="E610" s="1" t="inlineStr">
        <is>
          <t xml:space="preserve">28194769       </t>
        </is>
      </c>
      <c r="F610" s="5" t="inlineStr">
        <is>
          <t>AUTOS DE METAL 3 TEAMSTERZ PACK DE 2</t>
        </is>
      </c>
      <c r="G610" t="n">
        <v>1</v>
      </c>
      <c r="H610" s="7" t="n">
        <v>13.8</v>
      </c>
      <c r="I610" s="7" t="n">
        <v>0</v>
      </c>
      <c r="J610" s="7" t="n">
        <v>0</v>
      </c>
      <c r="K610" s="9" t="n">
        <v>0</v>
      </c>
      <c r="L610" s="10" t="n">
        <v>8.18</v>
      </c>
      <c r="M610" s="10" t="n">
        <v>1.43</v>
      </c>
      <c r="N610" t="inlineStr">
        <is>
          <t>1</t>
        </is>
      </c>
      <c r="O610" t="inlineStr">
        <is>
          <t xml:space="preserve">2 </t>
        </is>
      </c>
      <c r="P610" t="inlineStr">
        <is>
          <t xml:space="preserve">57866   </t>
        </is>
      </c>
      <c r="Q610" s="26" t="n">
        <v>13.8</v>
      </c>
      <c r="R610" s="26">
        <f>Q610*G610</f>
        <v/>
      </c>
      <c r="S610" t="n">
        <v>8.19</v>
      </c>
      <c r="T610" s="18">
        <f>1 - V610/S610</f>
        <v/>
      </c>
      <c r="U610" s="18" t="n">
        <v>0</v>
      </c>
      <c r="V610" s="26" t="n">
        <v>8.19</v>
      </c>
      <c r="W610" s="26">
        <f>V610 - L610</f>
        <v/>
      </c>
    </row>
    <row r="611">
      <c r="A611" s="11" t="n">
        <v>46208</v>
      </c>
      <c r="B611" s="1" t="n">
        <v>20095</v>
      </c>
      <c r="C611" s="1" t="inlineStr">
        <is>
          <t>044</t>
        </is>
      </c>
      <c r="D611" s="1" t="inlineStr">
        <is>
          <t xml:space="preserve">92997 </t>
        </is>
      </c>
      <c r="E611" s="1" t="inlineStr">
        <is>
          <t xml:space="preserve">30141766       </t>
        </is>
      </c>
      <c r="F611" s="5" t="inlineStr">
        <is>
          <t>TMZ BEAST MACHINES AUTOS DE METAL BLISTER X 1</t>
        </is>
      </c>
      <c r="G611" t="n">
        <v>1</v>
      </c>
      <c r="H611" s="7" t="n">
        <v>7.9</v>
      </c>
      <c r="I611" s="7" t="n">
        <v>0</v>
      </c>
      <c r="J611" s="7" t="n">
        <v>0</v>
      </c>
      <c r="K611" s="9" t="n">
        <v>0</v>
      </c>
      <c r="L611" s="10" t="n">
        <v>4.68</v>
      </c>
      <c r="M611" s="10" t="n">
        <v>1.43</v>
      </c>
      <c r="N611" t="inlineStr">
        <is>
          <t>1</t>
        </is>
      </c>
      <c r="O611" t="inlineStr">
        <is>
          <t xml:space="preserve">3 </t>
        </is>
      </c>
      <c r="P611" t="inlineStr">
        <is>
          <t xml:space="preserve">57866   </t>
        </is>
      </c>
      <c r="Q611" s="26" t="n">
        <v>7.9</v>
      </c>
      <c r="R611" s="26">
        <f>Q611*G611</f>
        <v/>
      </c>
      <c r="S611" t="n">
        <v>4.69</v>
      </c>
      <c r="T611" s="18">
        <f>1 - V611/S611</f>
        <v/>
      </c>
      <c r="U611" s="18" t="n">
        <v>0</v>
      </c>
      <c r="V611" s="26" t="n">
        <v>4.69</v>
      </c>
      <c r="W611" s="26">
        <f>V611 - L611</f>
        <v/>
      </c>
    </row>
    <row r="612">
      <c r="A612" s="11" t="n">
        <v>46208</v>
      </c>
      <c r="B612" s="1" t="n">
        <v>20095</v>
      </c>
      <c r="C612" s="1" t="inlineStr">
        <is>
          <t>044</t>
        </is>
      </c>
      <c r="D612" s="1" t="inlineStr">
        <is>
          <t xml:space="preserve">93000 </t>
        </is>
      </c>
      <c r="E612" s="1" t="inlineStr">
        <is>
          <t xml:space="preserve">28194768       </t>
        </is>
      </c>
      <c r="F612" s="5" t="inlineStr">
        <is>
          <t>AUTO COLOR CHANGE TEAMSTERZ SURTIDO</t>
        </is>
      </c>
      <c r="G612" t="n">
        <v>1</v>
      </c>
      <c r="H612" s="7" t="n">
        <v>14.9</v>
      </c>
      <c r="I612" s="7" t="n">
        <v>0</v>
      </c>
      <c r="J612" s="7" t="n">
        <v>0</v>
      </c>
      <c r="K612" s="9" t="n">
        <v>0</v>
      </c>
      <c r="L612" s="10" t="n">
        <v>8.84</v>
      </c>
      <c r="M612" s="10" t="n">
        <v>1.43</v>
      </c>
      <c r="N612" t="inlineStr">
        <is>
          <t>1</t>
        </is>
      </c>
      <c r="O612" t="inlineStr">
        <is>
          <t>16</t>
        </is>
      </c>
      <c r="P612" t="inlineStr">
        <is>
          <t xml:space="preserve">57866   </t>
        </is>
      </c>
      <c r="Q612" s="26" t="n">
        <v>14.9</v>
      </c>
      <c r="R612" s="26">
        <f>Q612*G612</f>
        <v/>
      </c>
      <c r="S612" t="n">
        <v>8.84</v>
      </c>
      <c r="T612" s="18">
        <f>1 - V612/S612</f>
        <v/>
      </c>
      <c r="U612" s="18" t="n">
        <v>0</v>
      </c>
      <c r="V612" s="26" t="n">
        <v>8.84</v>
      </c>
      <c r="W612" s="26">
        <f>V612 - L612</f>
        <v/>
      </c>
    </row>
    <row r="613">
      <c r="A613" s="11" t="n">
        <v>46209</v>
      </c>
      <c r="B613" s="1" t="n">
        <v>20021</v>
      </c>
      <c r="C613" s="1" t="inlineStr">
        <is>
          <t>045</t>
        </is>
      </c>
      <c r="D613" s="1" t="inlineStr">
        <is>
          <t>106999</t>
        </is>
      </c>
      <c r="E613" s="1" t="inlineStr">
        <is>
          <t xml:space="preserve">28194780       </t>
        </is>
      </c>
      <c r="F613" s="5" t="inlineStr">
        <is>
          <t>TROMPO BATALLA INFINITY NADO PLSTICO SURTIDO</t>
        </is>
      </c>
      <c r="G613" t="n">
        <v>1</v>
      </c>
      <c r="H613" s="7" t="n">
        <v>19.9</v>
      </c>
      <c r="I613" s="7" t="n">
        <v>0</v>
      </c>
      <c r="J613" s="7" t="n">
        <v>0</v>
      </c>
      <c r="K613" s="9" t="n">
        <v>0</v>
      </c>
      <c r="L613" s="10" t="n">
        <v>11.8</v>
      </c>
      <c r="M613" s="10" t="n">
        <v>1.43</v>
      </c>
      <c r="N613" t="inlineStr">
        <is>
          <t>1</t>
        </is>
      </c>
      <c r="O613" t="inlineStr">
        <is>
          <t>16</t>
        </is>
      </c>
      <c r="P613" t="inlineStr">
        <is>
          <t xml:space="preserve">57914   </t>
        </is>
      </c>
      <c r="Q613" s="26" t="n">
        <v>19.9</v>
      </c>
      <c r="R613" s="26">
        <f>Q613*G613</f>
        <v/>
      </c>
      <c r="S613" t="n">
        <v>11.81</v>
      </c>
      <c r="T613" s="18">
        <f>1 - V613/S613</f>
        <v/>
      </c>
      <c r="U613" s="18" t="n">
        <v>0</v>
      </c>
      <c r="V613" s="26" t="n">
        <v>11.81</v>
      </c>
      <c r="W613" s="26">
        <f>V613 - L613</f>
        <v/>
      </c>
    </row>
    <row r="614">
      <c r="A614" s="11" t="n">
        <v>46209</v>
      </c>
      <c r="B614" s="1" t="n">
        <v>20021</v>
      </c>
      <c r="C614" s="1" t="inlineStr">
        <is>
          <t>080</t>
        </is>
      </c>
      <c r="D614" s="1" t="inlineStr">
        <is>
          <t>309411</t>
        </is>
      </c>
      <c r="E614" s="1" t="inlineStr">
        <is>
          <t xml:space="preserve">28194769       </t>
        </is>
      </c>
      <c r="F614" s="5" t="inlineStr">
        <is>
          <t>AUTOS DE METAL 3 TEAMSTERZ PACK DE 2</t>
        </is>
      </c>
      <c r="G614" t="n">
        <v>1</v>
      </c>
      <c r="H614" s="7" t="n">
        <v>13.8</v>
      </c>
      <c r="I614" s="7" t="n">
        <v>0</v>
      </c>
      <c r="J614" s="7" t="n">
        <v>0</v>
      </c>
      <c r="K614" s="9" t="n">
        <v>0</v>
      </c>
      <c r="L614" s="10" t="n">
        <v>8.18</v>
      </c>
      <c r="M614" s="10" t="n">
        <v>1.43</v>
      </c>
      <c r="N614" t="inlineStr">
        <is>
          <t>1</t>
        </is>
      </c>
      <c r="O614" t="inlineStr">
        <is>
          <t xml:space="preserve">2 </t>
        </is>
      </c>
      <c r="P614" t="inlineStr">
        <is>
          <t xml:space="preserve">81066   </t>
        </is>
      </c>
      <c r="Q614" s="26" t="n">
        <v>13.8</v>
      </c>
      <c r="R614" s="26">
        <f>Q614*G614</f>
        <v/>
      </c>
      <c r="S614" t="n">
        <v>8.19</v>
      </c>
      <c r="T614" s="18">
        <f>1 - V614/S614</f>
        <v/>
      </c>
      <c r="U614" s="18" t="n">
        <v>0</v>
      </c>
      <c r="V614" s="26" t="n">
        <v>8.19</v>
      </c>
      <c r="W614" s="26">
        <f>V614 - L614</f>
        <v/>
      </c>
    </row>
    <row r="615">
      <c r="A615" s="11" t="n">
        <v>46209</v>
      </c>
      <c r="B615" s="1" t="n">
        <v>20023</v>
      </c>
      <c r="C615" s="1" t="inlineStr">
        <is>
          <t>079</t>
        </is>
      </c>
      <c r="D615" s="1" t="inlineStr">
        <is>
          <t>288541</t>
        </is>
      </c>
      <c r="E615" s="1" t="inlineStr">
        <is>
          <t xml:space="preserve">34840550       </t>
        </is>
      </c>
      <c r="F615" s="5" t="inlineStr">
        <is>
          <t>TEAMSTERZ M/MOVERZ TRANSPORTA GORILA</t>
        </is>
      </c>
      <c r="G615" t="n">
        <v>1</v>
      </c>
      <c r="H615" s="7" t="n">
        <v>129</v>
      </c>
      <c r="I615" s="7" t="n">
        <v>0</v>
      </c>
      <c r="J615" s="7" t="n">
        <v>0</v>
      </c>
      <c r="K615" s="9" t="n">
        <v>0</v>
      </c>
      <c r="L615" s="10" t="n">
        <v>76.52</v>
      </c>
      <c r="M615" s="10" t="n">
        <v>1.43</v>
      </c>
      <c r="N615" t="inlineStr">
        <is>
          <t>1</t>
        </is>
      </c>
      <c r="O615" t="inlineStr">
        <is>
          <t>16</t>
        </is>
      </c>
      <c r="P615" t="inlineStr">
        <is>
          <t xml:space="preserve">23478   </t>
        </is>
      </c>
      <c r="Q615" s="26" t="n">
        <v>129</v>
      </c>
      <c r="R615" s="26">
        <f>Q615*G615</f>
        <v/>
      </c>
      <c r="S615" t="n">
        <v>76.53</v>
      </c>
      <c r="T615" s="18">
        <f>1 - V615/S615</f>
        <v/>
      </c>
      <c r="U615" s="18" t="n">
        <v>0</v>
      </c>
      <c r="V615" s="26" t="n">
        <v>76.53</v>
      </c>
      <c r="W615" s="26">
        <f>V615 - L615</f>
        <v/>
      </c>
    </row>
    <row r="616">
      <c r="A616" s="11" t="n">
        <v>46209</v>
      </c>
      <c r="B616" s="1" t="n">
        <v>20024</v>
      </c>
      <c r="C616" s="1" t="inlineStr">
        <is>
          <t>118</t>
        </is>
      </c>
      <c r="D616" s="1" t="inlineStr">
        <is>
          <t>254727</t>
        </is>
      </c>
      <c r="E616" s="1" t="inlineStr">
        <is>
          <t xml:space="preserve">34840526       </t>
        </is>
      </c>
      <c r="F616" s="5" t="inlineStr">
        <is>
          <t>NENUCO ABRACITOS</t>
        </is>
      </c>
      <c r="G616" t="n">
        <v>1</v>
      </c>
      <c r="H616" s="7" t="n">
        <v>119</v>
      </c>
      <c r="I616" s="7" t="n">
        <v>0</v>
      </c>
      <c r="J616" s="7" t="n">
        <v>0</v>
      </c>
      <c r="K616" s="9" t="n">
        <v>0</v>
      </c>
      <c r="L616" s="10" t="n">
        <v>70.59999999999999</v>
      </c>
      <c r="M616" s="10" t="n">
        <v>1.43</v>
      </c>
      <c r="N616" t="inlineStr">
        <is>
          <t>1</t>
        </is>
      </c>
      <c r="O616" t="inlineStr">
        <is>
          <t>16</t>
        </is>
      </c>
      <c r="P616" t="inlineStr">
        <is>
          <t xml:space="preserve">240224  </t>
        </is>
      </c>
      <c r="Q616" s="26" t="n">
        <v>119</v>
      </c>
      <c r="R616" s="26">
        <f>Q616*G616</f>
        <v/>
      </c>
      <c r="S616" t="n">
        <v>70.59</v>
      </c>
      <c r="T616" s="18">
        <f>1 - V616/S616</f>
        <v/>
      </c>
      <c r="U616" s="18" t="n">
        <v>0.2445378151260503</v>
      </c>
      <c r="V616" s="26" t="n">
        <v>60.94915254237289</v>
      </c>
      <c r="W616" s="26">
        <f>V616 - L616</f>
        <v/>
      </c>
    </row>
    <row r="617">
      <c r="A617" s="11" t="n">
        <v>46209</v>
      </c>
      <c r="B617" s="1" t="n">
        <v>20025</v>
      </c>
      <c r="C617" s="1" t="inlineStr">
        <is>
          <t>074</t>
        </is>
      </c>
      <c r="D617" s="1" t="inlineStr">
        <is>
          <t xml:space="preserve">82476 </t>
        </is>
      </c>
      <c r="E617" s="1" t="inlineStr">
        <is>
          <t xml:space="preserve">34840558       </t>
        </is>
      </c>
      <c r="F617" s="5" t="inlineStr">
        <is>
          <t>TMZ CAMBIA DE COLOR PLAYSET CALAVERA + 1 AUTO</t>
        </is>
      </c>
      <c r="G617" t="n">
        <v>1</v>
      </c>
      <c r="H617" s="7" t="n">
        <v>99</v>
      </c>
      <c r="I617" s="7" t="n">
        <v>0</v>
      </c>
      <c r="J617" s="7" t="n">
        <v>0</v>
      </c>
      <c r="K617" s="9" t="n">
        <v>0</v>
      </c>
      <c r="L617" s="10" t="n">
        <v>58.73</v>
      </c>
      <c r="M617" s="10" t="n">
        <v>1.43</v>
      </c>
      <c r="N617" t="inlineStr">
        <is>
          <t>1</t>
        </is>
      </c>
      <c r="O617" t="inlineStr">
        <is>
          <t>16</t>
        </is>
      </c>
      <c r="P617" t="inlineStr">
        <is>
          <t xml:space="preserve">251044  </t>
        </is>
      </c>
      <c r="Q617" s="26" t="n">
        <v>99</v>
      </c>
      <c r="R617" s="26">
        <f>Q617*G617</f>
        <v/>
      </c>
      <c r="S617" t="n">
        <v>58.73</v>
      </c>
      <c r="T617" s="18">
        <f>1 - V617/S617</f>
        <v/>
      </c>
      <c r="U617" s="18" t="n">
        <v>0.3949494949494949</v>
      </c>
      <c r="V617" s="26" t="n">
        <v>40.61016949152543</v>
      </c>
      <c r="W617" s="26">
        <f>V617 - L617</f>
        <v/>
      </c>
    </row>
    <row r="618">
      <c r="A618" s="11" t="n">
        <v>46209</v>
      </c>
      <c r="B618" s="1" t="n">
        <v>20025</v>
      </c>
      <c r="C618" s="1" t="inlineStr">
        <is>
          <t>076</t>
        </is>
      </c>
      <c r="D618" s="1" t="inlineStr">
        <is>
          <t>147101</t>
        </is>
      </c>
      <c r="E618" s="1" t="inlineStr">
        <is>
          <t xml:space="preserve">28194769       </t>
        </is>
      </c>
      <c r="F618" s="5" t="inlineStr">
        <is>
          <t>AUTOS DE METAL 3 TEAMSTERZ PACK DE 2</t>
        </is>
      </c>
      <c r="G618" t="n">
        <v>1</v>
      </c>
      <c r="H618" s="7" t="n">
        <v>13.8</v>
      </c>
      <c r="I618" s="7" t="n">
        <v>0</v>
      </c>
      <c r="J618" s="7" t="n">
        <v>0</v>
      </c>
      <c r="K618" s="9" t="n">
        <v>0</v>
      </c>
      <c r="L618" s="10" t="n">
        <v>8.18</v>
      </c>
      <c r="M618" s="10" t="n">
        <v>1.43</v>
      </c>
      <c r="N618" t="inlineStr">
        <is>
          <t>1</t>
        </is>
      </c>
      <c r="O618" t="inlineStr">
        <is>
          <t xml:space="preserve">2 </t>
        </is>
      </c>
      <c r="P618" t="inlineStr">
        <is>
          <t xml:space="preserve">15644   </t>
        </is>
      </c>
      <c r="Q618" s="26" t="n">
        <v>13.8</v>
      </c>
      <c r="R618" s="26">
        <f>Q618*G618</f>
        <v/>
      </c>
      <c r="S618" t="n">
        <v>8.19</v>
      </c>
      <c r="T618" s="18">
        <f>1 - V618/S618</f>
        <v/>
      </c>
      <c r="U618" s="18" t="n">
        <v>0</v>
      </c>
      <c r="V618" s="26" t="n">
        <v>8.19</v>
      </c>
      <c r="W618" s="26">
        <f>V618 - L618</f>
        <v/>
      </c>
    </row>
    <row r="619">
      <c r="A619" s="11" t="n">
        <v>46209</v>
      </c>
      <c r="B619" s="1" t="n">
        <v>20027</v>
      </c>
      <c r="C619" s="1" t="inlineStr">
        <is>
          <t>064</t>
        </is>
      </c>
      <c r="D619" s="1" t="inlineStr">
        <is>
          <t xml:space="preserve">31464 </t>
        </is>
      </c>
      <c r="E619" s="1" t="inlineStr">
        <is>
          <t xml:space="preserve">34840524       </t>
        </is>
      </c>
      <c r="F619" s="5" t="inlineStr">
        <is>
          <t>NENUCO 5 FUNCIONES INTERACTIVAS</t>
        </is>
      </c>
      <c r="G619" t="n">
        <v>1</v>
      </c>
      <c r="H619" s="7" t="n">
        <v>89.90000000000001</v>
      </c>
      <c r="I619" s="7" t="n">
        <v>17.98</v>
      </c>
      <c r="J619" s="7" t="n">
        <v>0</v>
      </c>
      <c r="K619" s="9" t="n">
        <v>17.98</v>
      </c>
      <c r="L619" s="10" t="n">
        <v>42.67</v>
      </c>
      <c r="M619" s="10" t="n">
        <v>1.43</v>
      </c>
      <c r="N619" t="inlineStr">
        <is>
          <t>1</t>
        </is>
      </c>
      <c r="O619" t="inlineStr">
        <is>
          <t xml:space="preserve">3 </t>
        </is>
      </c>
      <c r="P619" t="inlineStr">
        <is>
          <t xml:space="preserve">30333   </t>
        </is>
      </c>
      <c r="Q619" s="26" t="n">
        <v>89.90000000000003</v>
      </c>
      <c r="R619" s="26">
        <f>Q619*G619</f>
        <v/>
      </c>
      <c r="S619" t="n">
        <v>53.33</v>
      </c>
      <c r="T619" s="18">
        <f>1 - V619/S619</f>
        <v/>
      </c>
      <c r="U619" s="18" t="n">
        <v>0.2224694104560623</v>
      </c>
      <c r="V619" s="26" t="n">
        <v>44.42796610169492</v>
      </c>
      <c r="W619" s="26">
        <f>V619 - L619</f>
        <v/>
      </c>
    </row>
    <row r="620">
      <c r="A620" s="11" t="n">
        <v>46209</v>
      </c>
      <c r="B620" s="1" t="n">
        <v>20028</v>
      </c>
      <c r="C620" s="1" t="inlineStr">
        <is>
          <t>021</t>
        </is>
      </c>
      <c r="D620" s="1" t="inlineStr">
        <is>
          <t>185742</t>
        </is>
      </c>
      <c r="E620" s="1" t="inlineStr">
        <is>
          <t xml:space="preserve">31754675       </t>
        </is>
      </c>
      <c r="F620" s="5" t="inlineStr">
        <is>
          <t>INFINITY NADO SERIE 6 STARTER PACK - 4 MODELOS</t>
        </is>
      </c>
      <c r="G620" t="n">
        <v>1</v>
      </c>
      <c r="H620" s="7" t="n">
        <v>69.90000000000001</v>
      </c>
      <c r="I620" s="7" t="n">
        <v>0</v>
      </c>
      <c r="J620" s="7" t="n">
        <v>0</v>
      </c>
      <c r="K620" s="9" t="n">
        <v>0</v>
      </c>
      <c r="L620" s="10" t="n">
        <v>41.47</v>
      </c>
      <c r="M620" s="10" t="n">
        <v>1.43</v>
      </c>
      <c r="N620" t="inlineStr">
        <is>
          <t>1</t>
        </is>
      </c>
      <c r="O620" t="inlineStr">
        <is>
          <t>16</t>
        </is>
      </c>
      <c r="P620" t="inlineStr">
        <is>
          <t xml:space="preserve">74495   </t>
        </is>
      </c>
      <c r="Q620" s="26" t="n">
        <v>69.90000000000001</v>
      </c>
      <c r="R620" s="26">
        <f>Q620*G620</f>
        <v/>
      </c>
      <c r="S620" t="n">
        <v>41.47</v>
      </c>
      <c r="T620" s="18">
        <f>1 - V620/S620</f>
        <v/>
      </c>
      <c r="U620" s="18" t="n">
        <v>0.2861230329041489</v>
      </c>
      <c r="V620" s="26" t="n">
        <v>31.71610169491525</v>
      </c>
      <c r="W620" s="26">
        <f>V620 - L620</f>
        <v/>
      </c>
    </row>
    <row r="621">
      <c r="A621" s="11" t="n">
        <v>46209</v>
      </c>
      <c r="B621" s="1" t="n">
        <v>20028</v>
      </c>
      <c r="C621" s="1" t="inlineStr">
        <is>
          <t>021</t>
        </is>
      </c>
      <c r="D621" s="1" t="inlineStr">
        <is>
          <t>185742</t>
        </is>
      </c>
      <c r="E621" s="1" t="inlineStr">
        <is>
          <t xml:space="preserve">31754675       </t>
        </is>
      </c>
      <c r="F621" s="5" t="inlineStr">
        <is>
          <t>INFINITY NADO SERIE 6 STARTER PACK - 4 MODELOS</t>
        </is>
      </c>
      <c r="G621" t="n">
        <v>1</v>
      </c>
      <c r="H621" s="7" t="n">
        <v>69.90000000000001</v>
      </c>
      <c r="I621" s="7" t="n">
        <v>0</v>
      </c>
      <c r="J621" s="7" t="n">
        <v>0</v>
      </c>
      <c r="K621" s="9" t="n">
        <v>0</v>
      </c>
      <c r="L621" s="10" t="n">
        <v>41.47</v>
      </c>
      <c r="M621" s="10" t="n">
        <v>1.43</v>
      </c>
      <c r="N621" t="inlineStr">
        <is>
          <t>1</t>
        </is>
      </c>
      <c r="O621" t="inlineStr">
        <is>
          <t>16</t>
        </is>
      </c>
      <c r="P621" t="inlineStr">
        <is>
          <t xml:space="preserve">74495   </t>
        </is>
      </c>
      <c r="Q621" s="26" t="n">
        <v>69.90000000000001</v>
      </c>
      <c r="R621" s="26">
        <f>Q621*G621</f>
        <v/>
      </c>
      <c r="S621" t="n">
        <v>41.47</v>
      </c>
      <c r="T621" s="18">
        <f>1 - V621/S621</f>
        <v/>
      </c>
      <c r="U621" s="18" t="n">
        <v>0.2861230329041489</v>
      </c>
      <c r="V621" s="26" t="n">
        <v>31.71610169491525</v>
      </c>
      <c r="W621" s="26">
        <f>V621 - L621</f>
        <v/>
      </c>
    </row>
    <row r="622">
      <c r="A622" s="11" t="n">
        <v>46209</v>
      </c>
      <c r="B622" s="1" t="n">
        <v>20030</v>
      </c>
      <c r="C622" s="1" t="inlineStr">
        <is>
          <t>067</t>
        </is>
      </c>
      <c r="D622" s="1" t="inlineStr">
        <is>
          <t>273477</t>
        </is>
      </c>
      <c r="E622" s="1" t="inlineStr">
        <is>
          <t xml:space="preserve">35685067       </t>
        </is>
      </c>
      <c r="F622" s="5" t="inlineStr">
        <is>
          <t>HOT WHEELS POWER SET 3 EN 1</t>
        </is>
      </c>
      <c r="G622" t="n">
        <v>1</v>
      </c>
      <c r="H622" s="7" t="n">
        <v>49.9</v>
      </c>
      <c r="I622" s="7" t="n">
        <v>0</v>
      </c>
      <c r="J622" s="7" t="n">
        <v>0</v>
      </c>
      <c r="K622" s="9" t="n">
        <v>0</v>
      </c>
      <c r="L622" s="10" t="n">
        <v>29.6</v>
      </c>
      <c r="M622" s="10" t="n">
        <v>1.43</v>
      </c>
      <c r="N622" t="inlineStr">
        <is>
          <t>1</t>
        </is>
      </c>
      <c r="O622" t="inlineStr">
        <is>
          <t>16</t>
        </is>
      </c>
      <c r="P622" t="inlineStr">
        <is>
          <t xml:space="preserve">39099   </t>
        </is>
      </c>
      <c r="Q622" s="26" t="n">
        <v>49.9</v>
      </c>
      <c r="R622" s="26">
        <f>Q622*G622</f>
        <v/>
      </c>
      <c r="S622" t="n">
        <v>29.6</v>
      </c>
      <c r="T622" s="18">
        <f>1 - V622/S622</f>
        <v/>
      </c>
      <c r="U622" s="18" t="n">
        <v>0</v>
      </c>
      <c r="V622" s="26" t="n">
        <v>29.6</v>
      </c>
      <c r="W622" s="26">
        <f>V622 - L622</f>
        <v/>
      </c>
    </row>
    <row r="623">
      <c r="A623" s="11" t="n">
        <v>46209</v>
      </c>
      <c r="B623" s="1" t="n">
        <v>20030</v>
      </c>
      <c r="C623" s="1" t="inlineStr">
        <is>
          <t>067</t>
        </is>
      </c>
      <c r="D623" s="1" t="inlineStr">
        <is>
          <t>273500</t>
        </is>
      </c>
      <c r="E623" s="1" t="inlineStr">
        <is>
          <t xml:space="preserve">28194770       </t>
        </is>
      </c>
      <c r="F623" s="5" t="inlineStr">
        <is>
          <t>AUTOS DE METAL 3 TEAMSTERZ EN BLISTER</t>
        </is>
      </c>
      <c r="G623" t="n">
        <v>1</v>
      </c>
      <c r="H623" s="7" t="n">
        <v>6.9</v>
      </c>
      <c r="I623" s="7" t="n">
        <v>0</v>
      </c>
      <c r="J623" s="7" t="n">
        <v>0</v>
      </c>
      <c r="K623" s="9" t="n">
        <v>0</v>
      </c>
      <c r="L623" s="10" t="n">
        <v>4.1</v>
      </c>
      <c r="M623" s="10" t="n">
        <v>1.43</v>
      </c>
      <c r="N623" t="inlineStr">
        <is>
          <t>1</t>
        </is>
      </c>
      <c r="O623" t="inlineStr">
        <is>
          <t>16</t>
        </is>
      </c>
      <c r="P623" t="inlineStr">
        <is>
          <t xml:space="preserve">39099   </t>
        </is>
      </c>
      <c r="Q623" s="26" t="n">
        <v>6.9</v>
      </c>
      <c r="R623" s="26">
        <f>Q623*G623</f>
        <v/>
      </c>
      <c r="S623" t="n">
        <v>4.09</v>
      </c>
      <c r="T623" s="18">
        <f>1 - V623/S623</f>
        <v/>
      </c>
      <c r="U623" s="18" t="n">
        <v>0</v>
      </c>
      <c r="V623" s="26" t="n">
        <v>4.09</v>
      </c>
      <c r="W623" s="26">
        <f>V623 - L623</f>
        <v/>
      </c>
    </row>
    <row r="624">
      <c r="A624" s="11" t="n">
        <v>46209</v>
      </c>
      <c r="B624" s="1" t="n">
        <v>20040</v>
      </c>
      <c r="C624" s="1" t="inlineStr">
        <is>
          <t>072</t>
        </is>
      </c>
      <c r="D624" s="1" t="inlineStr">
        <is>
          <t>251234</t>
        </is>
      </c>
      <c r="E624" s="1" t="inlineStr">
        <is>
          <t xml:space="preserve">33483123       </t>
        </is>
      </c>
      <c r="F624" s="5" t="inlineStr">
        <is>
          <t>NENUCO DISFRACES</t>
        </is>
      </c>
      <c r="G624" t="n">
        <v>1</v>
      </c>
      <c r="H624" s="7" t="n">
        <v>89.90000000000001</v>
      </c>
      <c r="I624" s="7" t="n">
        <v>0</v>
      </c>
      <c r="J624" s="7" t="n">
        <v>0</v>
      </c>
      <c r="K624" s="9" t="n">
        <v>0</v>
      </c>
      <c r="L624" s="10" t="n">
        <v>53.33</v>
      </c>
      <c r="M624" s="10" t="n">
        <v>1.43</v>
      </c>
      <c r="N624" t="inlineStr">
        <is>
          <t>1</t>
        </is>
      </c>
      <c r="O624" t="inlineStr">
        <is>
          <t>16</t>
        </is>
      </c>
      <c r="P624" t="inlineStr">
        <is>
          <t xml:space="preserve">250193  </t>
        </is>
      </c>
      <c r="Q624" s="26" t="n">
        <v>89.90000000000001</v>
      </c>
      <c r="R624" s="26">
        <f>Q624*G624</f>
        <v/>
      </c>
      <c r="S624" t="n">
        <v>53.33</v>
      </c>
      <c r="T624" s="18">
        <f>1 - V624/S624</f>
        <v/>
      </c>
      <c r="U624" s="18" t="n">
        <v>0.2224694104560623</v>
      </c>
      <c r="V624" s="26" t="n">
        <v>44.42796610169492</v>
      </c>
      <c r="W624" s="26">
        <f>V624 - L624</f>
        <v/>
      </c>
    </row>
    <row r="625">
      <c r="A625" s="11" t="n">
        <v>46209</v>
      </c>
      <c r="B625" s="1" t="n">
        <v>20040</v>
      </c>
      <c r="C625" s="1" t="inlineStr">
        <is>
          <t>073</t>
        </is>
      </c>
      <c r="D625" s="1" t="inlineStr">
        <is>
          <t>254210</t>
        </is>
      </c>
      <c r="E625" s="1" t="inlineStr">
        <is>
          <t xml:space="preserve">28194769       </t>
        </is>
      </c>
      <c r="F625" s="5" t="inlineStr">
        <is>
          <t>AUTOS DE METAL 3 TEAMSTERZ PACK DE 2</t>
        </is>
      </c>
      <c r="G625" t="n">
        <v>1</v>
      </c>
      <c r="H625" s="7" t="n">
        <v>13.8</v>
      </c>
      <c r="I625" s="7" t="n">
        <v>0</v>
      </c>
      <c r="J625" s="7" t="n">
        <v>0</v>
      </c>
      <c r="K625" s="9" t="n">
        <v>0</v>
      </c>
      <c r="L625" s="10" t="n">
        <v>8.18</v>
      </c>
      <c r="M625" s="10" t="n">
        <v>1.43</v>
      </c>
      <c r="N625" t="inlineStr">
        <is>
          <t>1</t>
        </is>
      </c>
      <c r="O625" t="inlineStr">
        <is>
          <t xml:space="preserve">3 </t>
        </is>
      </c>
      <c r="P625" t="inlineStr">
        <is>
          <t xml:space="preserve">242509  </t>
        </is>
      </c>
      <c r="Q625" s="26" t="n">
        <v>13.8</v>
      </c>
      <c r="R625" s="26">
        <f>Q625*G625</f>
        <v/>
      </c>
      <c r="S625" t="n">
        <v>8.19</v>
      </c>
      <c r="T625" s="18">
        <f>1 - V625/S625</f>
        <v/>
      </c>
      <c r="U625" s="18" t="n">
        <v>0</v>
      </c>
      <c r="V625" s="26" t="n">
        <v>8.19</v>
      </c>
      <c r="W625" s="26">
        <f>V625 - L625</f>
        <v/>
      </c>
    </row>
    <row r="626">
      <c r="A626" s="11" t="n">
        <v>46209</v>
      </c>
      <c r="B626" s="1" t="n">
        <v>20040</v>
      </c>
      <c r="C626" s="1" t="inlineStr">
        <is>
          <t>831</t>
        </is>
      </c>
      <c r="D626" s="1" t="inlineStr">
        <is>
          <t xml:space="preserve">8682  </t>
        </is>
      </c>
      <c r="E626" s="1" t="inlineStr">
        <is>
          <t xml:space="preserve">29854051       </t>
        </is>
      </c>
      <c r="F626" s="5" t="inlineStr">
        <is>
          <t>TEAMSTERZ AUTO DE METAL PACK 10 AUTOS</t>
        </is>
      </c>
      <c r="G626" t="n">
        <v>1</v>
      </c>
      <c r="H626" s="7" t="n">
        <v>69</v>
      </c>
      <c r="I626" s="7" t="n">
        <v>0</v>
      </c>
      <c r="J626" s="7" t="n">
        <v>0</v>
      </c>
      <c r="K626" s="9" t="n">
        <v>0</v>
      </c>
      <c r="L626" s="10" t="n">
        <v>40.93</v>
      </c>
      <c r="M626" s="10" t="n">
        <v>1.43</v>
      </c>
      <c r="N626" t="inlineStr">
        <is>
          <t>1</t>
        </is>
      </c>
      <c r="O626" t="inlineStr">
        <is>
          <t>16</t>
        </is>
      </c>
      <c r="P626" t="inlineStr">
        <is>
          <t xml:space="preserve">0       </t>
        </is>
      </c>
      <c r="Q626" s="26" t="n">
        <v>69</v>
      </c>
      <c r="R626" s="26">
        <f>Q626*G626</f>
        <v/>
      </c>
      <c r="S626" t="n">
        <v>40.93</v>
      </c>
      <c r="T626" s="18">
        <f>1 - V626/S626</f>
        <v/>
      </c>
      <c r="U626" s="18" t="n">
        <v>0</v>
      </c>
      <c r="V626" s="26" t="n">
        <v>40.93</v>
      </c>
      <c r="W626" s="26">
        <f>V626 - L626</f>
        <v/>
      </c>
    </row>
    <row r="627">
      <c r="A627" s="11" t="n">
        <v>46209</v>
      </c>
      <c r="B627" s="1" t="n">
        <v>20041</v>
      </c>
      <c r="C627" s="1" t="inlineStr">
        <is>
          <t>016</t>
        </is>
      </c>
      <c r="D627" s="1" t="inlineStr">
        <is>
          <t>214961</t>
        </is>
      </c>
      <c r="E627" s="1" t="inlineStr">
        <is>
          <t xml:space="preserve">28194770       </t>
        </is>
      </c>
      <c r="F627" s="5" t="inlineStr">
        <is>
          <t>AUTOS DE METAL 3 TEAMSTERZ EN BLISTER</t>
        </is>
      </c>
      <c r="G627" t="n">
        <v>1</v>
      </c>
      <c r="H627" s="7" t="n">
        <v>6.9</v>
      </c>
      <c r="I627" s="7" t="n">
        <v>0</v>
      </c>
      <c r="J627" s="7" t="n">
        <v>0</v>
      </c>
      <c r="K627" s="9" t="n">
        <v>0</v>
      </c>
      <c r="L627" s="10" t="n">
        <v>4.1</v>
      </c>
      <c r="M627" s="10" t="n">
        <v>1.43</v>
      </c>
      <c r="N627" t="inlineStr">
        <is>
          <t>1</t>
        </is>
      </c>
      <c r="O627" t="inlineStr">
        <is>
          <t>16</t>
        </is>
      </c>
      <c r="P627" t="inlineStr">
        <is>
          <t xml:space="preserve">36767   </t>
        </is>
      </c>
      <c r="Q627" s="26" t="n">
        <v>6.9</v>
      </c>
      <c r="R627" s="26">
        <f>Q627*G627</f>
        <v/>
      </c>
      <c r="S627" t="n">
        <v>4.09</v>
      </c>
      <c r="T627" s="18">
        <f>1 - V627/S627</f>
        <v/>
      </c>
      <c r="U627" s="18" t="n">
        <v>0</v>
      </c>
      <c r="V627" s="26" t="n">
        <v>4.09</v>
      </c>
      <c r="W627" s="26">
        <f>V627 - L627</f>
        <v/>
      </c>
    </row>
    <row r="628">
      <c r="A628" s="11" t="n">
        <v>46209</v>
      </c>
      <c r="B628" s="1" t="n">
        <v>20041</v>
      </c>
      <c r="C628" s="1" t="inlineStr">
        <is>
          <t>037</t>
        </is>
      </c>
      <c r="D628" s="1" t="inlineStr">
        <is>
          <t>189106</t>
        </is>
      </c>
      <c r="E628" s="1" t="inlineStr">
        <is>
          <t xml:space="preserve">28194770       </t>
        </is>
      </c>
      <c r="F628" s="5" t="inlineStr">
        <is>
          <t>AUTOS DE METAL 3 TEAMSTERZ EN BLISTER</t>
        </is>
      </c>
      <c r="G628" t="n">
        <v>1</v>
      </c>
      <c r="H628" s="7" t="n">
        <v>6.9</v>
      </c>
      <c r="I628" s="7" t="n">
        <v>0</v>
      </c>
      <c r="J628" s="7" t="n">
        <v>0</v>
      </c>
      <c r="K628" s="9" t="n">
        <v>0</v>
      </c>
      <c r="L628" s="10" t="n">
        <v>4.1</v>
      </c>
      <c r="M628" s="10" t="n">
        <v>1.43</v>
      </c>
      <c r="N628" t="inlineStr">
        <is>
          <t>1</t>
        </is>
      </c>
      <c r="O628" t="inlineStr">
        <is>
          <t xml:space="preserve">2 </t>
        </is>
      </c>
      <c r="P628" t="inlineStr">
        <is>
          <t xml:space="preserve">92331   </t>
        </is>
      </c>
      <c r="Q628" s="26" t="n">
        <v>6.9</v>
      </c>
      <c r="R628" s="26">
        <f>Q628*G628</f>
        <v/>
      </c>
      <c r="S628" t="n">
        <v>4.09</v>
      </c>
      <c r="T628" s="18">
        <f>1 - V628/S628</f>
        <v/>
      </c>
      <c r="U628" s="18" t="n">
        <v>0</v>
      </c>
      <c r="V628" s="26" t="n">
        <v>4.09</v>
      </c>
      <c r="W628" s="26">
        <f>V628 - L628</f>
        <v/>
      </c>
    </row>
    <row r="629">
      <c r="A629" s="11" t="n">
        <v>46209</v>
      </c>
      <c r="B629" s="1" t="n">
        <v>20041</v>
      </c>
      <c r="C629" s="1" t="inlineStr">
        <is>
          <t>504</t>
        </is>
      </c>
      <c r="D629" s="1" t="inlineStr">
        <is>
          <t xml:space="preserve">6120  </t>
        </is>
      </c>
      <c r="E629" s="1" t="inlineStr">
        <is>
          <t xml:space="preserve">28194770       </t>
        </is>
      </c>
      <c r="F629" s="5" t="inlineStr">
        <is>
          <t>AUTOS DE METAL 3 TEAMSTERZ EN BLISTER</t>
        </is>
      </c>
      <c r="G629" t="n">
        <v>1</v>
      </c>
      <c r="H629" s="7" t="n">
        <v>6.9</v>
      </c>
      <c r="I629" s="7" t="n">
        <v>0</v>
      </c>
      <c r="J629" s="7" t="n">
        <v>0</v>
      </c>
      <c r="K629" s="9" t="n">
        <v>0</v>
      </c>
      <c r="L629" s="10" t="n">
        <v>4.1</v>
      </c>
      <c r="M629" s="10" t="n">
        <v>1.43</v>
      </c>
      <c r="N629" t="inlineStr">
        <is>
          <t>1</t>
        </is>
      </c>
      <c r="O629" t="inlineStr">
        <is>
          <t>16</t>
        </is>
      </c>
      <c r="P629" t="inlineStr">
        <is>
          <t xml:space="preserve">251379  </t>
        </is>
      </c>
      <c r="Q629" s="26" t="n">
        <v>6.9</v>
      </c>
      <c r="R629" s="26">
        <f>Q629*G629</f>
        <v/>
      </c>
      <c r="S629" t="n">
        <v>4.09</v>
      </c>
      <c r="T629" s="18">
        <f>1 - V629/S629</f>
        <v/>
      </c>
      <c r="U629" s="18" t="n">
        <v>0</v>
      </c>
      <c r="V629" s="26" t="n">
        <v>4.09</v>
      </c>
      <c r="W629" s="26">
        <f>V629 - L629</f>
        <v/>
      </c>
    </row>
    <row r="630">
      <c r="A630" s="11" t="n">
        <v>46209</v>
      </c>
      <c r="B630" s="1" t="n">
        <v>20047</v>
      </c>
      <c r="C630" s="1" t="inlineStr">
        <is>
          <t>012</t>
        </is>
      </c>
      <c r="D630" s="1" t="inlineStr">
        <is>
          <t>331336</t>
        </is>
      </c>
      <c r="E630" s="1" t="inlineStr">
        <is>
          <t xml:space="preserve">28194770       </t>
        </is>
      </c>
      <c r="F630" s="5" t="inlineStr">
        <is>
          <t>AUTOS DE METAL 3 TEAMSTERZ EN BLISTER</t>
        </is>
      </c>
      <c r="G630" t="n">
        <v>1</v>
      </c>
      <c r="H630" s="7" t="n">
        <v>6.9</v>
      </c>
      <c r="I630" s="7" t="n">
        <v>0</v>
      </c>
      <c r="J630" s="7" t="n">
        <v>0</v>
      </c>
      <c r="K630" s="9" t="n">
        <v>0</v>
      </c>
      <c r="L630" s="10" t="n">
        <v>4.1</v>
      </c>
      <c r="M630" s="10" t="n">
        <v>1.43</v>
      </c>
      <c r="N630" t="inlineStr">
        <is>
          <t>1</t>
        </is>
      </c>
      <c r="O630" t="inlineStr">
        <is>
          <t xml:space="preserve">2 </t>
        </is>
      </c>
      <c r="P630" t="inlineStr">
        <is>
          <t xml:space="preserve">78210   </t>
        </is>
      </c>
      <c r="Q630" s="26" t="n">
        <v>6.9</v>
      </c>
      <c r="R630" s="26">
        <f>Q630*G630</f>
        <v/>
      </c>
      <c r="S630" t="n">
        <v>4.09</v>
      </c>
      <c r="T630" s="18">
        <f>1 - V630/S630</f>
        <v/>
      </c>
      <c r="U630" s="18" t="n">
        <v>0</v>
      </c>
      <c r="V630" s="26" t="n">
        <v>4.09</v>
      </c>
      <c r="W630" s="26">
        <f>V630 - L630</f>
        <v/>
      </c>
    </row>
    <row r="631">
      <c r="A631" s="11" t="n">
        <v>46209</v>
      </c>
      <c r="B631" s="1" t="n">
        <v>20047</v>
      </c>
      <c r="C631" s="1" t="inlineStr">
        <is>
          <t>191</t>
        </is>
      </c>
      <c r="D631" s="1" t="inlineStr">
        <is>
          <t>460641</t>
        </is>
      </c>
      <c r="E631" s="1" t="inlineStr">
        <is>
          <t xml:space="preserve">28194770       </t>
        </is>
      </c>
      <c r="F631" s="5" t="inlineStr">
        <is>
          <t>AUTOS DE METAL 3 TEAMSTERZ EN BLISTER</t>
        </is>
      </c>
      <c r="G631" t="n">
        <v>1</v>
      </c>
      <c r="H631" s="7" t="n">
        <v>6.9</v>
      </c>
      <c r="I631" s="7" t="n">
        <v>0</v>
      </c>
      <c r="J631" s="7" t="n">
        <v>0</v>
      </c>
      <c r="K631" s="9" t="n">
        <v>0</v>
      </c>
      <c r="L631" s="10" t="n">
        <v>4.1</v>
      </c>
      <c r="M631" s="10" t="n">
        <v>1.43</v>
      </c>
      <c r="N631" t="inlineStr">
        <is>
          <t>1</t>
        </is>
      </c>
      <c r="O631" t="inlineStr">
        <is>
          <t xml:space="preserve">3 </t>
        </is>
      </c>
      <c r="P631" t="inlineStr">
        <is>
          <t xml:space="preserve">245862  </t>
        </is>
      </c>
      <c r="Q631" s="26" t="n">
        <v>6.9</v>
      </c>
      <c r="R631" s="26">
        <f>Q631*G631</f>
        <v/>
      </c>
      <c r="S631" t="n">
        <v>4.09</v>
      </c>
      <c r="T631" s="18">
        <f>1 - V631/S631</f>
        <v/>
      </c>
      <c r="U631" s="18" t="n">
        <v>0</v>
      </c>
      <c r="V631" s="26" t="n">
        <v>4.09</v>
      </c>
      <c r="W631" s="26">
        <f>V631 - L631</f>
        <v/>
      </c>
    </row>
    <row r="632">
      <c r="A632" s="11" t="n">
        <v>46209</v>
      </c>
      <c r="B632" s="1" t="n">
        <v>20047</v>
      </c>
      <c r="C632" s="1" t="inlineStr">
        <is>
          <t>191</t>
        </is>
      </c>
      <c r="D632" s="1" t="inlineStr">
        <is>
          <t>460664</t>
        </is>
      </c>
      <c r="E632" s="1" t="inlineStr">
        <is>
          <t xml:space="preserve">28194770       </t>
        </is>
      </c>
      <c r="F632" s="5" t="inlineStr">
        <is>
          <t>AUTOS DE METAL 3 TEAMSTERZ EN BLISTER</t>
        </is>
      </c>
      <c r="G632" t="n">
        <v>1</v>
      </c>
      <c r="H632" s="7" t="n">
        <v>6.9</v>
      </c>
      <c r="I632" s="7" t="n">
        <v>0</v>
      </c>
      <c r="J632" s="7" t="n">
        <v>0</v>
      </c>
      <c r="K632" s="9" t="n">
        <v>0</v>
      </c>
      <c r="L632" s="10" t="n">
        <v>4.1</v>
      </c>
      <c r="M632" s="10" t="n">
        <v>1.43</v>
      </c>
      <c r="N632" t="inlineStr">
        <is>
          <t>1</t>
        </is>
      </c>
      <c r="O632" t="inlineStr">
        <is>
          <t>16</t>
        </is>
      </c>
      <c r="P632" t="inlineStr">
        <is>
          <t xml:space="preserve">245862  </t>
        </is>
      </c>
      <c r="Q632" s="26" t="n">
        <v>6.9</v>
      </c>
      <c r="R632" s="26">
        <f>Q632*G632</f>
        <v/>
      </c>
      <c r="S632" t="n">
        <v>4.09</v>
      </c>
      <c r="T632" s="18">
        <f>1 - V632/S632</f>
        <v/>
      </c>
      <c r="U632" s="18" t="n">
        <v>0</v>
      </c>
      <c r="V632" s="26" t="n">
        <v>4.09</v>
      </c>
      <c r="W632" s="26">
        <f>V632 - L632</f>
        <v/>
      </c>
    </row>
    <row r="633">
      <c r="A633" s="11" t="n">
        <v>46209</v>
      </c>
      <c r="B633" s="1" t="n">
        <v>20047</v>
      </c>
      <c r="C633" s="1" t="inlineStr">
        <is>
          <t>191</t>
        </is>
      </c>
      <c r="D633" s="1" t="inlineStr">
        <is>
          <t>460747</t>
        </is>
      </c>
      <c r="E633" s="1" t="inlineStr">
        <is>
          <t xml:space="preserve">34840554       </t>
        </is>
      </c>
      <c r="F633" s="5" t="inlineStr">
        <is>
          <t>TMZ AUTO LUZ Y SONIDO ESQUELET DINO TRICE</t>
        </is>
      </c>
      <c r="G633" t="n">
        <v>1</v>
      </c>
      <c r="H633" s="7" t="n">
        <v>79.90000000000001</v>
      </c>
      <c r="I633" s="7" t="n">
        <v>0</v>
      </c>
      <c r="J633" s="7" t="n">
        <v>0</v>
      </c>
      <c r="K633" s="9" t="n">
        <v>0</v>
      </c>
      <c r="L633" s="10" t="n">
        <v>47.4</v>
      </c>
      <c r="M633" s="10" t="n">
        <v>1.43</v>
      </c>
      <c r="N633" t="inlineStr">
        <is>
          <t>1</t>
        </is>
      </c>
      <c r="O633" t="inlineStr">
        <is>
          <t xml:space="preserve">2 </t>
        </is>
      </c>
      <c r="P633" t="inlineStr">
        <is>
          <t xml:space="preserve">248817  </t>
        </is>
      </c>
      <c r="Q633" s="26" t="n">
        <v>79.90000000000002</v>
      </c>
      <c r="R633" s="26">
        <f>Q633*G633</f>
        <v/>
      </c>
      <c r="S633" t="n">
        <v>47.4</v>
      </c>
      <c r="T633" s="18">
        <f>1 - V633/S633</f>
        <v/>
      </c>
      <c r="U633" s="18" t="n">
        <v>0</v>
      </c>
      <c r="V633" s="26" t="n">
        <v>47.4</v>
      </c>
      <c r="W633" s="26">
        <f>V633 - L633</f>
        <v/>
      </c>
    </row>
    <row r="634">
      <c r="A634" s="11" t="n">
        <v>46209</v>
      </c>
      <c r="B634" s="1" t="n">
        <v>20048</v>
      </c>
      <c r="C634" s="1" t="inlineStr">
        <is>
          <t>013</t>
        </is>
      </c>
      <c r="D634" s="1" t="inlineStr">
        <is>
          <t>224288</t>
        </is>
      </c>
      <c r="E634" s="1" t="inlineStr">
        <is>
          <t xml:space="preserve">33661538       </t>
        </is>
      </c>
      <c r="F634" s="5" t="inlineStr">
        <is>
          <t>HOT WHEELS CASE GARAGE RUEDA METAL EN LLAMAS X 29</t>
        </is>
      </c>
      <c r="G634" t="n">
        <v>1</v>
      </c>
      <c r="H634" s="7" t="n">
        <v>69.90000000000001</v>
      </c>
      <c r="I634" s="7" t="n">
        <v>0</v>
      </c>
      <c r="J634" s="7" t="n">
        <v>0</v>
      </c>
      <c r="K634" s="9" t="n">
        <v>0</v>
      </c>
      <c r="L634" s="10" t="n">
        <v>41.47</v>
      </c>
      <c r="M634" s="10" t="n">
        <v>1.43</v>
      </c>
      <c r="N634" t="inlineStr">
        <is>
          <t>1</t>
        </is>
      </c>
      <c r="O634" t="inlineStr">
        <is>
          <t>16</t>
        </is>
      </c>
      <c r="P634" t="inlineStr">
        <is>
          <t xml:space="preserve">85763   </t>
        </is>
      </c>
      <c r="Q634" s="26" t="n">
        <v>69.90000000000001</v>
      </c>
      <c r="R634" s="26">
        <f>Q634*G634</f>
        <v/>
      </c>
      <c r="S634" t="n">
        <v>41.47</v>
      </c>
      <c r="T634" s="18">
        <f>1 - V634/S634</f>
        <v/>
      </c>
      <c r="U634" s="18" t="n">
        <v>0</v>
      </c>
      <c r="V634" s="26" t="n">
        <v>41.47</v>
      </c>
      <c r="W634" s="26">
        <f>V634 - L634</f>
        <v/>
      </c>
    </row>
    <row r="635">
      <c r="A635" s="11" t="n">
        <v>46209</v>
      </c>
      <c r="B635" s="1" t="n">
        <v>20048</v>
      </c>
      <c r="C635" s="1" t="inlineStr">
        <is>
          <t>013</t>
        </is>
      </c>
      <c r="D635" s="1" t="inlineStr">
        <is>
          <t>224290</t>
        </is>
      </c>
      <c r="E635" s="1" t="inlineStr">
        <is>
          <t xml:space="preserve">34840557       </t>
        </is>
      </c>
      <c r="F635" s="5" t="inlineStr">
        <is>
          <t>TMZ BEAST MACH. PLAYSET GARAGE DE SERPIENTE + 2 AU</t>
        </is>
      </c>
      <c r="G635" t="n">
        <v>1</v>
      </c>
      <c r="H635" s="7" t="n">
        <v>79.90000000000001</v>
      </c>
      <c r="I635" s="7" t="n">
        <v>0</v>
      </c>
      <c r="J635" s="7" t="n">
        <v>0</v>
      </c>
      <c r="K635" s="9" t="n">
        <v>0</v>
      </c>
      <c r="L635" s="10" t="n">
        <v>47.4</v>
      </c>
      <c r="M635" s="10" t="n">
        <v>1.43</v>
      </c>
      <c r="N635" t="inlineStr">
        <is>
          <t>1</t>
        </is>
      </c>
      <c r="O635" t="inlineStr">
        <is>
          <t>16</t>
        </is>
      </c>
      <c r="P635" t="inlineStr">
        <is>
          <t xml:space="preserve">85763   </t>
        </is>
      </c>
      <c r="Q635" s="26" t="n">
        <v>79.90000000000002</v>
      </c>
      <c r="R635" s="26">
        <f>Q635*G635</f>
        <v/>
      </c>
      <c r="S635" t="n">
        <v>47.4</v>
      </c>
      <c r="T635" s="18">
        <f>1 - V635/S635</f>
        <v/>
      </c>
      <c r="U635" s="18" t="n">
        <v>0.3754693366708386</v>
      </c>
      <c r="V635" s="26" t="n">
        <v>33.83050847457627</v>
      </c>
      <c r="W635" s="26">
        <f>V635 - L635</f>
        <v/>
      </c>
    </row>
    <row r="636">
      <c r="A636" s="11" t="n">
        <v>46209</v>
      </c>
      <c r="B636" s="1" t="n">
        <v>20048</v>
      </c>
      <c r="C636" s="1" t="inlineStr">
        <is>
          <t>800</t>
        </is>
      </c>
      <c r="D636" s="1" t="inlineStr">
        <is>
          <t xml:space="preserve">3696  </t>
        </is>
      </c>
      <c r="E636" s="1" t="inlineStr">
        <is>
          <t xml:space="preserve">32457099       </t>
        </is>
      </c>
      <c r="F636" s="5" t="inlineStr">
        <is>
          <t>TMZ BEAST MACHINES MONSTER JAWS A FRICCION BLISTER</t>
        </is>
      </c>
      <c r="G636" t="n">
        <v>1</v>
      </c>
      <c r="H636" s="7" t="n">
        <v>19.9</v>
      </c>
      <c r="I636" s="7" t="n">
        <v>0</v>
      </c>
      <c r="J636" s="7" t="n">
        <v>0</v>
      </c>
      <c r="K636" s="9" t="n">
        <v>0</v>
      </c>
      <c r="L636" s="10" t="n">
        <v>11.8</v>
      </c>
      <c r="M636" s="10" t="n">
        <v>1.43</v>
      </c>
      <c r="N636" t="inlineStr">
        <is>
          <t>1</t>
        </is>
      </c>
      <c r="O636" t="inlineStr">
        <is>
          <t>16</t>
        </is>
      </c>
      <c r="P636" t="inlineStr">
        <is>
          <t xml:space="preserve">0       </t>
        </is>
      </c>
      <c r="Q636" s="26" t="n">
        <v>19.9</v>
      </c>
      <c r="R636" s="26">
        <f>Q636*G636</f>
        <v/>
      </c>
      <c r="S636" t="n">
        <v>11.81</v>
      </c>
      <c r="T636" s="18">
        <f>1 - V636/S636</f>
        <v/>
      </c>
      <c r="U636" s="18" t="n">
        <v>0.1005025125628141</v>
      </c>
      <c r="V636" s="26" t="n">
        <v>8.417118644067797</v>
      </c>
      <c r="W636" s="26">
        <f>V636 - L636</f>
        <v/>
      </c>
    </row>
    <row r="637">
      <c r="A637" s="11" t="n">
        <v>46209</v>
      </c>
      <c r="B637" s="1" t="n">
        <v>20048</v>
      </c>
      <c r="C637" s="1" t="inlineStr">
        <is>
          <t>801</t>
        </is>
      </c>
      <c r="D637" s="1" t="inlineStr">
        <is>
          <t xml:space="preserve">5970  </t>
        </is>
      </c>
      <c r="E637" s="1" t="inlineStr">
        <is>
          <t xml:space="preserve">28194768       </t>
        </is>
      </c>
      <c r="F637" s="5" t="inlineStr">
        <is>
          <t>AUTO COLOR CHANGE TEAMSTERZ SURTIDO</t>
        </is>
      </c>
      <c r="G637" t="n">
        <v>1</v>
      </c>
      <c r="H637" s="7" t="n">
        <v>14.9</v>
      </c>
      <c r="I637" s="7" t="n">
        <v>0</v>
      </c>
      <c r="J637" s="7" t="n">
        <v>0</v>
      </c>
      <c r="K637" s="9" t="n">
        <v>0</v>
      </c>
      <c r="L637" s="10" t="n">
        <v>8.84</v>
      </c>
      <c r="M637" s="10" t="n">
        <v>1.43</v>
      </c>
      <c r="N637" t="inlineStr">
        <is>
          <t>1</t>
        </is>
      </c>
      <c r="O637" t="inlineStr">
        <is>
          <t>16</t>
        </is>
      </c>
      <c r="P637" t="inlineStr">
        <is>
          <t xml:space="preserve">0       </t>
        </is>
      </c>
      <c r="Q637" s="26" t="n">
        <v>14.9</v>
      </c>
      <c r="R637" s="26">
        <f>Q637*G637</f>
        <v/>
      </c>
      <c r="S637" t="n">
        <v>8.84</v>
      </c>
      <c r="T637" s="18">
        <f>1 - V637/S637</f>
        <v/>
      </c>
      <c r="U637" s="18" t="n">
        <v>0</v>
      </c>
      <c r="V637" s="26" t="n">
        <v>8.84</v>
      </c>
      <c r="W637" s="26">
        <f>V637 - L637</f>
        <v/>
      </c>
    </row>
    <row r="638">
      <c r="A638" s="11" t="n">
        <v>46209</v>
      </c>
      <c r="B638" s="1" t="n">
        <v>20049</v>
      </c>
      <c r="C638" s="1" t="inlineStr">
        <is>
          <t>017</t>
        </is>
      </c>
      <c r="D638" s="1" t="inlineStr">
        <is>
          <t>238177</t>
        </is>
      </c>
      <c r="E638" s="1" t="inlineStr">
        <is>
          <t xml:space="preserve">35685068       </t>
        </is>
      </c>
      <c r="F638" s="5" t="inlineStr">
        <is>
          <t>BARBIE FASHION SET 3 EN 1</t>
        </is>
      </c>
      <c r="G638" t="n">
        <v>1</v>
      </c>
      <c r="H638" s="7" t="n">
        <v>49.9</v>
      </c>
      <c r="I638" s="7" t="n">
        <v>0</v>
      </c>
      <c r="J638" s="7" t="n">
        <v>0</v>
      </c>
      <c r="K638" s="9" t="n">
        <v>0</v>
      </c>
      <c r="L638" s="10" t="n">
        <v>29.6</v>
      </c>
      <c r="M638" s="10" t="n">
        <v>1.43</v>
      </c>
      <c r="N638" t="inlineStr">
        <is>
          <t>1</t>
        </is>
      </c>
      <c r="O638" t="inlineStr">
        <is>
          <t xml:space="preserve">2 </t>
        </is>
      </c>
      <c r="P638" t="inlineStr">
        <is>
          <t xml:space="preserve">108879  </t>
        </is>
      </c>
      <c r="Q638" s="26" t="n">
        <v>49.9</v>
      </c>
      <c r="R638" s="26">
        <f>Q638*G638</f>
        <v/>
      </c>
      <c r="S638" t="n">
        <v>29.6</v>
      </c>
      <c r="T638" s="18">
        <f>1 - V638/S638</f>
        <v/>
      </c>
      <c r="U638" s="18" t="n">
        <v>0</v>
      </c>
      <c r="V638" s="26" t="n">
        <v>29.6</v>
      </c>
      <c r="W638" s="26">
        <f>V638 - L638</f>
        <v/>
      </c>
    </row>
    <row r="639">
      <c r="A639" s="11" t="n">
        <v>46209</v>
      </c>
      <c r="B639" s="1" t="n">
        <v>20049</v>
      </c>
      <c r="C639" s="1" t="inlineStr">
        <is>
          <t>025</t>
        </is>
      </c>
      <c r="D639" s="1" t="inlineStr">
        <is>
          <t xml:space="preserve">33084 </t>
        </is>
      </c>
      <c r="E639" s="1" t="inlineStr">
        <is>
          <t xml:space="preserve">28194770       </t>
        </is>
      </c>
      <c r="F639" s="5" t="inlineStr">
        <is>
          <t>AUTOS DE METAL 3 TEAMSTERZ EN BLISTER</t>
        </is>
      </c>
      <c r="G639" t="n">
        <v>1</v>
      </c>
      <c r="H639" s="7" t="n">
        <v>6.9</v>
      </c>
      <c r="I639" s="7" t="n">
        <v>0</v>
      </c>
      <c r="J639" s="7" t="n">
        <v>0</v>
      </c>
      <c r="K639" s="9" t="n">
        <v>0</v>
      </c>
      <c r="L639" s="10" t="n">
        <v>4.1</v>
      </c>
      <c r="M639" s="10" t="n">
        <v>1.43</v>
      </c>
      <c r="N639" t="inlineStr">
        <is>
          <t>1</t>
        </is>
      </c>
      <c r="O639" t="inlineStr">
        <is>
          <t xml:space="preserve">2 </t>
        </is>
      </c>
      <c r="P639" t="inlineStr">
        <is>
          <t xml:space="preserve">245485  </t>
        </is>
      </c>
      <c r="Q639" s="26" t="n">
        <v>6.9</v>
      </c>
      <c r="R639" s="26">
        <f>Q639*G639</f>
        <v/>
      </c>
      <c r="S639" t="n">
        <v>4.09</v>
      </c>
      <c r="T639" s="18">
        <f>1 - V639/S639</f>
        <v/>
      </c>
      <c r="U639" s="18" t="n">
        <v>0</v>
      </c>
      <c r="V639" s="26" t="n">
        <v>4.09</v>
      </c>
      <c r="W639" s="26">
        <f>V639 - L639</f>
        <v/>
      </c>
    </row>
    <row r="640">
      <c r="A640" s="11" t="n">
        <v>46209</v>
      </c>
      <c r="B640" s="1" t="n">
        <v>20049</v>
      </c>
      <c r="C640" s="1" t="inlineStr">
        <is>
          <t>025</t>
        </is>
      </c>
      <c r="D640" s="1" t="inlineStr">
        <is>
          <t xml:space="preserve">33114 </t>
        </is>
      </c>
      <c r="E640" s="1" t="inlineStr">
        <is>
          <t xml:space="preserve">29235710       </t>
        </is>
      </c>
      <c r="F640" s="5" t="inlineStr">
        <is>
          <t>TEAMSTERZ PLAYSET GRANDES CONSTRUCCIONES</t>
        </is>
      </c>
      <c r="G640" t="n">
        <v>1</v>
      </c>
      <c r="H640" s="7" t="n">
        <v>19.9</v>
      </c>
      <c r="I640" s="7" t="n">
        <v>0</v>
      </c>
      <c r="J640" s="7" t="n">
        <v>0</v>
      </c>
      <c r="K640" s="9" t="n">
        <v>0</v>
      </c>
      <c r="L640" s="10" t="n">
        <v>11.8</v>
      </c>
      <c r="M640" s="10" t="n">
        <v>1.43</v>
      </c>
      <c r="N640" t="inlineStr">
        <is>
          <t>1</t>
        </is>
      </c>
      <c r="O640" t="inlineStr">
        <is>
          <t>16</t>
        </is>
      </c>
      <c r="P640" t="inlineStr">
        <is>
          <t xml:space="preserve">245485  </t>
        </is>
      </c>
      <c r="Q640" s="26" t="n">
        <v>19.9</v>
      </c>
      <c r="R640" s="26">
        <f>Q640*G640</f>
        <v/>
      </c>
      <c r="S640" t="n">
        <v>11.81</v>
      </c>
      <c r="T640" s="18">
        <f>1 - V640/S640</f>
        <v/>
      </c>
      <c r="U640" s="18" t="n">
        <v>0</v>
      </c>
      <c r="V640" s="26" t="n">
        <v>11.81</v>
      </c>
      <c r="W640" s="26">
        <f>V640 - L640</f>
        <v/>
      </c>
    </row>
    <row r="641">
      <c r="A641" s="11" t="n">
        <v>46209</v>
      </c>
      <c r="B641" s="1" t="n">
        <v>20049</v>
      </c>
      <c r="C641" s="1" t="inlineStr">
        <is>
          <t>025</t>
        </is>
      </c>
      <c r="D641" s="1" t="inlineStr">
        <is>
          <t xml:space="preserve">33114 </t>
        </is>
      </c>
      <c r="E641" s="1" t="inlineStr">
        <is>
          <t xml:space="preserve">29235710       </t>
        </is>
      </c>
      <c r="F641" s="5" t="inlineStr">
        <is>
          <t>TEAMSTERZ PLAYSET GRANDES CONSTRUCCIONES</t>
        </is>
      </c>
      <c r="G641" t="n">
        <v>1</v>
      </c>
      <c r="H641" s="7" t="n">
        <v>19.9</v>
      </c>
      <c r="I641" s="7" t="n">
        <v>0</v>
      </c>
      <c r="J641" s="7" t="n">
        <v>0</v>
      </c>
      <c r="K641" s="9" t="n">
        <v>0</v>
      </c>
      <c r="L641" s="10" t="n">
        <v>11.8</v>
      </c>
      <c r="M641" s="10" t="n">
        <v>1.43</v>
      </c>
      <c r="N641" t="inlineStr">
        <is>
          <t>1</t>
        </is>
      </c>
      <c r="O641" t="inlineStr">
        <is>
          <t>16</t>
        </is>
      </c>
      <c r="P641" t="inlineStr">
        <is>
          <t xml:space="preserve">245485  </t>
        </is>
      </c>
      <c r="Q641" s="26" t="n">
        <v>19.9</v>
      </c>
      <c r="R641" s="26">
        <f>Q641*G641</f>
        <v/>
      </c>
      <c r="S641" t="n">
        <v>11.81</v>
      </c>
      <c r="T641" s="18">
        <f>1 - V641/S641</f>
        <v/>
      </c>
      <c r="U641" s="18" t="n">
        <v>0</v>
      </c>
      <c r="V641" s="26" t="n">
        <v>11.81</v>
      </c>
      <c r="W641" s="26">
        <f>V641 - L641</f>
        <v/>
      </c>
    </row>
    <row r="642">
      <c r="A642" s="11" t="n">
        <v>46209</v>
      </c>
      <c r="B642" s="1" t="n">
        <v>20049</v>
      </c>
      <c r="C642" s="1" t="inlineStr">
        <is>
          <t>031</t>
        </is>
      </c>
      <c r="D642" s="1" t="inlineStr">
        <is>
          <t>120726</t>
        </is>
      </c>
      <c r="E642" s="1" t="inlineStr">
        <is>
          <t xml:space="preserve">34840551       </t>
        </is>
      </c>
      <c r="F642" s="5" t="inlineStr">
        <is>
          <t>TMZ HELI BOMBERO CON LUCES Y SONIDOS</t>
        </is>
      </c>
      <c r="G642" t="n">
        <v>1</v>
      </c>
      <c r="H642" s="7" t="n">
        <v>79.90000000000001</v>
      </c>
      <c r="I642" s="7" t="n">
        <v>0</v>
      </c>
      <c r="J642" s="7" t="n">
        <v>0</v>
      </c>
      <c r="K642" s="9" t="n">
        <v>0</v>
      </c>
      <c r="L642" s="10" t="n">
        <v>47.4</v>
      </c>
      <c r="M642" s="10" t="n">
        <v>1.43</v>
      </c>
      <c r="N642" t="inlineStr">
        <is>
          <t>1</t>
        </is>
      </c>
      <c r="O642" t="inlineStr">
        <is>
          <t>16</t>
        </is>
      </c>
      <c r="P642" t="inlineStr">
        <is>
          <t xml:space="preserve">251234  </t>
        </is>
      </c>
      <c r="Q642" s="26" t="n">
        <v>79.90000000000002</v>
      </c>
      <c r="R642" s="26">
        <f>Q642*G642</f>
        <v/>
      </c>
      <c r="S642" t="n">
        <v>47.4</v>
      </c>
      <c r="T642" s="18">
        <f>1 - V642/S642</f>
        <v/>
      </c>
      <c r="U642" s="18" t="n">
        <v>0</v>
      </c>
      <c r="V642" s="26" t="n">
        <v>47.4</v>
      </c>
      <c r="W642" s="26">
        <f>V642 - L642</f>
        <v/>
      </c>
    </row>
    <row r="643">
      <c r="A643" s="11" t="n">
        <v>46209</v>
      </c>
      <c r="B643" s="1" t="n">
        <v>20056</v>
      </c>
      <c r="C643" s="1" t="inlineStr">
        <is>
          <t>022</t>
        </is>
      </c>
      <c r="D643" s="1" t="inlineStr">
        <is>
          <t xml:space="preserve">54707 </t>
        </is>
      </c>
      <c r="E643" s="1" t="inlineStr">
        <is>
          <t xml:space="preserve">31800861       </t>
        </is>
      </c>
      <c r="F643" s="5" t="inlineStr">
        <is>
          <t>DART ZONE MASCARA TACTICA DE PROTECCION</t>
        </is>
      </c>
      <c r="G643" t="n">
        <v>1</v>
      </c>
      <c r="H643" s="7" t="n">
        <v>59.9</v>
      </c>
      <c r="I643" s="7" t="n">
        <v>0</v>
      </c>
      <c r="J643" s="7" t="n">
        <v>0</v>
      </c>
      <c r="K643" s="9" t="n">
        <v>0</v>
      </c>
      <c r="L643" s="10" t="n">
        <v>35.53</v>
      </c>
      <c r="M643" s="10" t="n">
        <v>1.43</v>
      </c>
      <c r="N643" t="inlineStr">
        <is>
          <t>1</t>
        </is>
      </c>
      <c r="O643" t="inlineStr">
        <is>
          <t xml:space="preserve">2 </t>
        </is>
      </c>
      <c r="P643" t="inlineStr">
        <is>
          <t xml:space="preserve">248464  </t>
        </is>
      </c>
      <c r="Q643" s="26" t="n">
        <v>59.9</v>
      </c>
      <c r="R643" s="26">
        <f>Q643*G643</f>
        <v/>
      </c>
      <c r="S643" t="n">
        <v>35.53</v>
      </c>
      <c r="T643" s="18">
        <f>1 - V643/S643</f>
        <v/>
      </c>
      <c r="U643" s="18" t="n">
        <v>0.5</v>
      </c>
      <c r="V643" s="26" t="n">
        <v>22.83610169491525</v>
      </c>
      <c r="W643" s="26">
        <f>V643 - L643</f>
        <v/>
      </c>
    </row>
    <row r="644">
      <c r="A644" s="11" t="n">
        <v>46209</v>
      </c>
      <c r="B644" s="1" t="n">
        <v>20058</v>
      </c>
      <c r="C644" s="1" t="inlineStr">
        <is>
          <t>038</t>
        </is>
      </c>
      <c r="D644" s="1" t="inlineStr">
        <is>
          <t>208595</t>
        </is>
      </c>
      <c r="E644" s="1" t="inlineStr">
        <is>
          <t xml:space="preserve">28194770       </t>
        </is>
      </c>
      <c r="F644" s="5" t="inlineStr">
        <is>
          <t>AUTOS DE METAL 3 TEAMSTERZ EN BLISTER</t>
        </is>
      </c>
      <c r="G644" t="n">
        <v>1</v>
      </c>
      <c r="H644" s="7" t="n">
        <v>6.9</v>
      </c>
      <c r="I644" s="7" t="n">
        <v>0</v>
      </c>
      <c r="J644" s="7" t="n">
        <v>0</v>
      </c>
      <c r="K644" s="9" t="n">
        <v>0</v>
      </c>
      <c r="L644" s="10" t="n">
        <v>4.1</v>
      </c>
      <c r="M644" s="10" t="n">
        <v>1.43</v>
      </c>
      <c r="N644" t="inlineStr">
        <is>
          <t>1</t>
        </is>
      </c>
      <c r="O644" t="inlineStr">
        <is>
          <t>16</t>
        </is>
      </c>
      <c r="P644" t="inlineStr">
        <is>
          <t xml:space="preserve">94557   </t>
        </is>
      </c>
      <c r="Q644" s="26" t="n">
        <v>6.9</v>
      </c>
      <c r="R644" s="26">
        <f>Q644*G644</f>
        <v/>
      </c>
      <c r="S644" t="n">
        <v>4.09</v>
      </c>
      <c r="T644" s="18">
        <f>1 - V644/S644</f>
        <v/>
      </c>
      <c r="U644" s="18" t="n">
        <v>0</v>
      </c>
      <c r="V644" s="26" t="n">
        <v>4.09</v>
      </c>
      <c r="W644" s="26">
        <f>V644 - L644</f>
        <v/>
      </c>
    </row>
    <row r="645">
      <c r="A645" s="11" t="n">
        <v>46209</v>
      </c>
      <c r="B645" s="1" t="n">
        <v>20058</v>
      </c>
      <c r="C645" s="1" t="inlineStr">
        <is>
          <t>039</t>
        </is>
      </c>
      <c r="D645" s="1" t="inlineStr">
        <is>
          <t>229671</t>
        </is>
      </c>
      <c r="E645" s="1" t="inlineStr">
        <is>
          <t xml:space="preserve">28194770       </t>
        </is>
      </c>
      <c r="F645" s="5" t="inlineStr">
        <is>
          <t>AUTOS DE METAL 3 TEAMSTERZ EN BLISTER</t>
        </is>
      </c>
      <c r="G645" t="n">
        <v>1</v>
      </c>
      <c r="H645" s="7" t="n">
        <v>6.9</v>
      </c>
      <c r="I645" s="7" t="n">
        <v>0</v>
      </c>
      <c r="J645" s="7" t="n">
        <v>0</v>
      </c>
      <c r="K645" s="9" t="n">
        <v>0</v>
      </c>
      <c r="L645" s="10" t="n">
        <v>4.1</v>
      </c>
      <c r="M645" s="10" t="n">
        <v>1.43</v>
      </c>
      <c r="N645" t="inlineStr">
        <is>
          <t>1</t>
        </is>
      </c>
      <c r="O645" t="inlineStr">
        <is>
          <t xml:space="preserve">2 </t>
        </is>
      </c>
      <c r="P645" t="inlineStr">
        <is>
          <t xml:space="preserve">236703  </t>
        </is>
      </c>
      <c r="Q645" s="26" t="n">
        <v>6.9</v>
      </c>
      <c r="R645" s="26">
        <f>Q645*G645</f>
        <v/>
      </c>
      <c r="S645" t="n">
        <v>4.09</v>
      </c>
      <c r="T645" s="18">
        <f>1 - V645/S645</f>
        <v/>
      </c>
      <c r="U645" s="18" t="n">
        <v>0</v>
      </c>
      <c r="V645" s="26" t="n">
        <v>4.09</v>
      </c>
      <c r="W645" s="26">
        <f>V645 - L645</f>
        <v/>
      </c>
    </row>
    <row r="646">
      <c r="A646" s="11" t="n">
        <v>46209</v>
      </c>
      <c r="B646" s="1" t="n">
        <v>20058</v>
      </c>
      <c r="C646" s="1" t="inlineStr">
        <is>
          <t>039</t>
        </is>
      </c>
      <c r="D646" s="1" t="inlineStr">
        <is>
          <t>229704</t>
        </is>
      </c>
      <c r="E646" s="1" t="inlineStr">
        <is>
          <t xml:space="preserve">28194770       </t>
        </is>
      </c>
      <c r="F646" s="5" t="inlineStr">
        <is>
          <t>AUTOS DE METAL 3 TEAMSTERZ EN BLISTER</t>
        </is>
      </c>
      <c r="G646" t="n">
        <v>1</v>
      </c>
      <c r="H646" s="7" t="n">
        <v>6.9</v>
      </c>
      <c r="I646" s="7" t="n">
        <v>0</v>
      </c>
      <c r="J646" s="7" t="n">
        <v>0</v>
      </c>
      <c r="K646" s="9" t="n">
        <v>0</v>
      </c>
      <c r="L646" s="10" t="n">
        <v>4.1</v>
      </c>
      <c r="M646" s="10" t="n">
        <v>1.43</v>
      </c>
      <c r="N646" t="inlineStr">
        <is>
          <t>1</t>
        </is>
      </c>
      <c r="O646" t="inlineStr">
        <is>
          <t>16</t>
        </is>
      </c>
      <c r="P646" t="inlineStr">
        <is>
          <t xml:space="preserve">249014  </t>
        </is>
      </c>
      <c r="Q646" s="26" t="n">
        <v>6.9</v>
      </c>
      <c r="R646" s="26">
        <f>Q646*G646</f>
        <v/>
      </c>
      <c r="S646" t="n">
        <v>4.09</v>
      </c>
      <c r="T646" s="18">
        <f>1 - V646/S646</f>
        <v/>
      </c>
      <c r="U646" s="18" t="n">
        <v>0</v>
      </c>
      <c r="V646" s="26" t="n">
        <v>4.09</v>
      </c>
      <c r="W646" s="26">
        <f>V646 - L646</f>
        <v/>
      </c>
    </row>
    <row r="647">
      <c r="A647" s="11" t="n">
        <v>46209</v>
      </c>
      <c r="B647" s="1" t="n">
        <v>20058</v>
      </c>
      <c r="C647" s="1" t="inlineStr">
        <is>
          <t>039</t>
        </is>
      </c>
      <c r="D647" s="1" t="inlineStr">
        <is>
          <t>229704</t>
        </is>
      </c>
      <c r="E647" s="1" t="inlineStr">
        <is>
          <t xml:space="preserve">28194770       </t>
        </is>
      </c>
      <c r="F647" s="5" t="inlineStr">
        <is>
          <t>AUTOS DE METAL 3 TEAMSTERZ EN BLISTER</t>
        </is>
      </c>
      <c r="G647" t="n">
        <v>1</v>
      </c>
      <c r="H647" s="7" t="n">
        <v>6.9</v>
      </c>
      <c r="I647" s="7" t="n">
        <v>0</v>
      </c>
      <c r="J647" s="7" t="n">
        <v>0</v>
      </c>
      <c r="K647" s="9" t="n">
        <v>0</v>
      </c>
      <c r="L647" s="10" t="n">
        <v>4.1</v>
      </c>
      <c r="M647" s="10" t="n">
        <v>1.43</v>
      </c>
      <c r="N647" t="inlineStr">
        <is>
          <t>1</t>
        </is>
      </c>
      <c r="O647" t="inlineStr">
        <is>
          <t>16</t>
        </is>
      </c>
      <c r="P647" t="inlineStr">
        <is>
          <t xml:space="preserve">249014  </t>
        </is>
      </c>
      <c r="Q647" s="26" t="n">
        <v>6.9</v>
      </c>
      <c r="R647" s="26">
        <f>Q647*G647</f>
        <v/>
      </c>
      <c r="S647" t="n">
        <v>4.09</v>
      </c>
      <c r="T647" s="18">
        <f>1 - V647/S647</f>
        <v/>
      </c>
      <c r="U647" s="18" t="n">
        <v>0</v>
      </c>
      <c r="V647" s="26" t="n">
        <v>4.09</v>
      </c>
      <c r="W647" s="26">
        <f>V647 - L647</f>
        <v/>
      </c>
    </row>
    <row r="648">
      <c r="A648" s="11" t="n">
        <v>46209</v>
      </c>
      <c r="B648" s="1" t="n">
        <v>20058</v>
      </c>
      <c r="C648" s="1" t="inlineStr">
        <is>
          <t>039</t>
        </is>
      </c>
      <c r="D648" s="1" t="inlineStr">
        <is>
          <t>229733</t>
        </is>
      </c>
      <c r="E648" s="1" t="inlineStr">
        <is>
          <t xml:space="preserve">28194770       </t>
        </is>
      </c>
      <c r="F648" s="5" t="inlineStr">
        <is>
          <t>AUTOS DE METAL 3 TEAMSTERZ EN BLISTER</t>
        </is>
      </c>
      <c r="G648" t="n">
        <v>1</v>
      </c>
      <c r="H648" s="7" t="n">
        <v>6.9</v>
      </c>
      <c r="I648" s="7" t="n">
        <v>0</v>
      </c>
      <c r="J648" s="7" t="n">
        <v>0</v>
      </c>
      <c r="K648" s="9" t="n">
        <v>0</v>
      </c>
      <c r="L648" s="10" t="n">
        <v>4.1</v>
      </c>
      <c r="M648" s="10" t="n">
        <v>1.43</v>
      </c>
      <c r="N648" t="inlineStr">
        <is>
          <t>1</t>
        </is>
      </c>
      <c r="O648" t="inlineStr">
        <is>
          <t>16</t>
        </is>
      </c>
      <c r="P648" t="inlineStr">
        <is>
          <t xml:space="preserve">249014  </t>
        </is>
      </c>
      <c r="Q648" s="26" t="n">
        <v>6.9</v>
      </c>
      <c r="R648" s="26">
        <f>Q648*G648</f>
        <v/>
      </c>
      <c r="S648" t="n">
        <v>4.09</v>
      </c>
      <c r="T648" s="18">
        <f>1 - V648/S648</f>
        <v/>
      </c>
      <c r="U648" s="18" t="n">
        <v>0</v>
      </c>
      <c r="V648" s="26" t="n">
        <v>4.09</v>
      </c>
      <c r="W648" s="26">
        <f>V648 - L648</f>
        <v/>
      </c>
    </row>
    <row r="649">
      <c r="A649" s="11" t="n">
        <v>46209</v>
      </c>
      <c r="B649" s="1" t="n">
        <v>20062</v>
      </c>
      <c r="C649" s="1" t="inlineStr">
        <is>
          <t>017</t>
        </is>
      </c>
      <c r="D649" s="1" t="inlineStr">
        <is>
          <t>235239</t>
        </is>
      </c>
      <c r="E649" s="1" t="inlineStr">
        <is>
          <t xml:space="preserve">28194780       </t>
        </is>
      </c>
      <c r="F649" s="5" t="inlineStr">
        <is>
          <t>TROMPO BATALLA INFINITY NADO PLSTICO SURTIDO</t>
        </is>
      </c>
      <c r="G649" t="n">
        <v>1</v>
      </c>
      <c r="H649" s="7" t="n">
        <v>19.9</v>
      </c>
      <c r="I649" s="7" t="n">
        <v>0</v>
      </c>
      <c r="J649" s="7" t="n">
        <v>0</v>
      </c>
      <c r="K649" s="9" t="n">
        <v>0</v>
      </c>
      <c r="L649" s="10" t="n">
        <v>11.8</v>
      </c>
      <c r="M649" s="10" t="n">
        <v>1.43</v>
      </c>
      <c r="N649" t="inlineStr">
        <is>
          <t>1</t>
        </is>
      </c>
      <c r="O649" t="inlineStr">
        <is>
          <t xml:space="preserve">2 </t>
        </is>
      </c>
      <c r="P649" t="inlineStr">
        <is>
          <t xml:space="preserve">43396   </t>
        </is>
      </c>
      <c r="Q649" s="26" t="n">
        <v>19.9</v>
      </c>
      <c r="R649" s="26">
        <f>Q649*G649</f>
        <v/>
      </c>
      <c r="S649" t="n">
        <v>11.81</v>
      </c>
      <c r="T649" s="18">
        <f>1 - V649/S649</f>
        <v/>
      </c>
      <c r="U649" s="18" t="n">
        <v>0</v>
      </c>
      <c r="V649" s="26" t="n">
        <v>11.81</v>
      </c>
      <c r="W649" s="26">
        <f>V649 - L649</f>
        <v/>
      </c>
    </row>
    <row r="650">
      <c r="A650" s="11" t="n">
        <v>46209</v>
      </c>
      <c r="B650" s="1" t="n">
        <v>20062</v>
      </c>
      <c r="C650" s="1" t="inlineStr">
        <is>
          <t>506</t>
        </is>
      </c>
      <c r="D650" s="1" t="inlineStr">
        <is>
          <t xml:space="preserve">1323  </t>
        </is>
      </c>
      <c r="E650" s="1" t="inlineStr">
        <is>
          <t xml:space="preserve">28194770       </t>
        </is>
      </c>
      <c r="F650" s="5" t="inlineStr">
        <is>
          <t>AUTOS DE METAL 3 TEAMSTERZ EN BLISTER</t>
        </is>
      </c>
      <c r="G650" t="n">
        <v>1</v>
      </c>
      <c r="H650" s="7" t="n">
        <v>6.9</v>
      </c>
      <c r="I650" s="7" t="n">
        <v>0</v>
      </c>
      <c r="J650" s="7" t="n">
        <v>0</v>
      </c>
      <c r="K650" s="9" t="n">
        <v>0</v>
      </c>
      <c r="L650" s="10" t="n">
        <v>4.1</v>
      </c>
      <c r="M650" s="10" t="n">
        <v>1.43</v>
      </c>
      <c r="N650" t="inlineStr">
        <is>
          <t>1</t>
        </is>
      </c>
      <c r="O650" t="inlineStr">
        <is>
          <t>16</t>
        </is>
      </c>
      <c r="P650" t="inlineStr">
        <is>
          <t xml:space="preserve">95102   </t>
        </is>
      </c>
      <c r="Q650" s="26" t="n">
        <v>6.9</v>
      </c>
      <c r="R650" s="26">
        <f>Q650*G650</f>
        <v/>
      </c>
      <c r="S650" t="n">
        <v>4.09</v>
      </c>
      <c r="T650" s="18">
        <f>1 - V650/S650</f>
        <v/>
      </c>
      <c r="U650" s="18" t="n">
        <v>0</v>
      </c>
      <c r="V650" s="26" t="n">
        <v>4.09</v>
      </c>
      <c r="W650" s="26">
        <f>V650 - L650</f>
        <v/>
      </c>
    </row>
    <row r="651">
      <c r="A651" s="11" t="n">
        <v>46209</v>
      </c>
      <c r="B651" s="1" t="n">
        <v>20062</v>
      </c>
      <c r="C651" s="1" t="inlineStr">
        <is>
          <t>830</t>
        </is>
      </c>
      <c r="D651" s="1" t="inlineStr">
        <is>
          <t xml:space="preserve">4939  </t>
        </is>
      </c>
      <c r="E651" s="1" t="inlineStr">
        <is>
          <t xml:space="preserve">29235711       </t>
        </is>
      </c>
      <c r="F651" s="5" t="inlineStr">
        <is>
          <t>TEAMSTERZ DISPARADORES TIBURON INCL. 1 AUTO</t>
        </is>
      </c>
      <c r="G651" t="n">
        <v>1</v>
      </c>
      <c r="H651" s="7" t="n">
        <v>29.9</v>
      </c>
      <c r="I651" s="7" t="n">
        <v>0</v>
      </c>
      <c r="J651" s="7" t="n">
        <v>0</v>
      </c>
      <c r="K651" s="9" t="n">
        <v>0</v>
      </c>
      <c r="L651" s="10" t="n">
        <v>17.74</v>
      </c>
      <c r="M651" s="10" t="n">
        <v>1.43</v>
      </c>
      <c r="N651" t="inlineStr">
        <is>
          <t>1</t>
        </is>
      </c>
      <c r="O651" t="inlineStr">
        <is>
          <t>16</t>
        </is>
      </c>
      <c r="P651" t="inlineStr">
        <is>
          <t xml:space="preserve">250430  </t>
        </is>
      </c>
      <c r="Q651" s="26" t="n">
        <v>29.9</v>
      </c>
      <c r="R651" s="26">
        <f>Q651*G651</f>
        <v/>
      </c>
      <c r="S651" t="n">
        <v>17.74</v>
      </c>
      <c r="T651" s="18">
        <f>1 - V651/S651</f>
        <v/>
      </c>
      <c r="U651" s="18" t="n">
        <v>0</v>
      </c>
      <c r="V651" s="26" t="n">
        <v>17.74</v>
      </c>
      <c r="W651" s="26">
        <f>V651 - L651</f>
        <v/>
      </c>
    </row>
    <row r="652">
      <c r="A652" s="11" t="n">
        <v>46209</v>
      </c>
      <c r="B652" s="1" t="n">
        <v>20062</v>
      </c>
      <c r="C652" s="1" t="inlineStr">
        <is>
          <t>830</t>
        </is>
      </c>
      <c r="D652" s="1" t="inlineStr">
        <is>
          <t xml:space="preserve">4939  </t>
        </is>
      </c>
      <c r="E652" s="1" t="inlineStr">
        <is>
          <t xml:space="preserve">29235711       </t>
        </is>
      </c>
      <c r="F652" s="5" t="inlineStr">
        <is>
          <t>TEAMSTERZ DISPARADORES TIBURON INCL. 1 AUTO</t>
        </is>
      </c>
      <c r="G652" t="n">
        <v>1</v>
      </c>
      <c r="H652" s="7" t="n">
        <v>29.9</v>
      </c>
      <c r="I652" s="7" t="n">
        <v>0</v>
      </c>
      <c r="J652" s="7" t="n">
        <v>0</v>
      </c>
      <c r="K652" s="9" t="n">
        <v>0</v>
      </c>
      <c r="L652" s="10" t="n">
        <v>17.74</v>
      </c>
      <c r="M652" s="10" t="n">
        <v>1.43</v>
      </c>
      <c r="N652" t="inlineStr">
        <is>
          <t>1</t>
        </is>
      </c>
      <c r="O652" t="inlineStr">
        <is>
          <t>16</t>
        </is>
      </c>
      <c r="P652" t="inlineStr">
        <is>
          <t xml:space="preserve">250430  </t>
        </is>
      </c>
      <c r="Q652" s="26" t="n">
        <v>29.9</v>
      </c>
      <c r="R652" s="26">
        <f>Q652*G652</f>
        <v/>
      </c>
      <c r="S652" t="n">
        <v>17.74</v>
      </c>
      <c r="T652" s="18">
        <f>1 - V652/S652</f>
        <v/>
      </c>
      <c r="U652" s="18" t="n">
        <v>0</v>
      </c>
      <c r="V652" s="26" t="n">
        <v>17.74</v>
      </c>
      <c r="W652" s="26">
        <f>V652 - L652</f>
        <v/>
      </c>
    </row>
    <row r="653">
      <c r="A653" s="11" t="n">
        <v>46209</v>
      </c>
      <c r="B653" s="1" t="n">
        <v>20066</v>
      </c>
      <c r="C653" s="1" t="inlineStr">
        <is>
          <t>058</t>
        </is>
      </c>
      <c r="D653" s="1" t="inlineStr">
        <is>
          <t xml:space="preserve">59926 </t>
        </is>
      </c>
      <c r="E653" s="1" t="inlineStr">
        <is>
          <t xml:space="preserve">29235702       </t>
        </is>
      </c>
      <c r="F653" s="5" t="inlineStr">
        <is>
          <t>INFINITY NADO TROMPO DE BATALLA - METAL C/ ANILLO</t>
        </is>
      </c>
      <c r="G653" t="n">
        <v>1</v>
      </c>
      <c r="H653" s="7" t="n">
        <v>69.90000000000001</v>
      </c>
      <c r="I653" s="7" t="n">
        <v>0</v>
      </c>
      <c r="J653" s="7" t="n">
        <v>0</v>
      </c>
      <c r="K653" s="9" t="n">
        <v>0</v>
      </c>
      <c r="L653" s="10" t="n">
        <v>41.47</v>
      </c>
      <c r="M653" s="10" t="n">
        <v>1.43</v>
      </c>
      <c r="N653" t="inlineStr">
        <is>
          <t>1</t>
        </is>
      </c>
      <c r="O653" t="inlineStr">
        <is>
          <t>16</t>
        </is>
      </c>
      <c r="P653" t="inlineStr">
        <is>
          <t xml:space="preserve">43713   </t>
        </is>
      </c>
      <c r="Q653" s="26" t="n">
        <v>69.90000000000001</v>
      </c>
      <c r="R653" s="26">
        <f>Q653*G653</f>
        <v/>
      </c>
      <c r="S653" t="n">
        <v>41.47</v>
      </c>
      <c r="T653" s="18">
        <f>1 - V653/S653</f>
        <v/>
      </c>
      <c r="U653" s="18" t="n">
        <v>0.2861230329041489</v>
      </c>
      <c r="V653" s="26" t="n">
        <v>31.71610169491525</v>
      </c>
      <c r="W653" s="26">
        <f>V653 - L653</f>
        <v/>
      </c>
    </row>
    <row r="654">
      <c r="A654" s="11" t="n">
        <v>46209</v>
      </c>
      <c r="B654" s="1" t="n">
        <v>20066</v>
      </c>
      <c r="C654" s="1" t="inlineStr">
        <is>
          <t>058</t>
        </is>
      </c>
      <c r="D654" s="1" t="inlineStr">
        <is>
          <t xml:space="preserve">59926 </t>
        </is>
      </c>
      <c r="E654" s="1" t="inlineStr">
        <is>
          <t xml:space="preserve">31754675       </t>
        </is>
      </c>
      <c r="F654" s="5" t="inlineStr">
        <is>
          <t>INFINITY NADO SERIE 6 STARTER PACK - 4 MODELOS</t>
        </is>
      </c>
      <c r="G654" t="n">
        <v>1</v>
      </c>
      <c r="H654" s="7" t="n">
        <v>69.90000000000001</v>
      </c>
      <c r="I654" s="7" t="n">
        <v>0</v>
      </c>
      <c r="J654" s="7" t="n">
        <v>0</v>
      </c>
      <c r="K654" s="9" t="n">
        <v>0</v>
      </c>
      <c r="L654" s="10" t="n">
        <v>41.47</v>
      </c>
      <c r="M654" s="10" t="n">
        <v>1.43</v>
      </c>
      <c r="N654" t="inlineStr">
        <is>
          <t>1</t>
        </is>
      </c>
      <c r="O654" t="inlineStr">
        <is>
          <t>16</t>
        </is>
      </c>
      <c r="P654" t="inlineStr">
        <is>
          <t xml:space="preserve">43713   </t>
        </is>
      </c>
      <c r="Q654" s="26" t="n">
        <v>69.90000000000001</v>
      </c>
      <c r="R654" s="26">
        <f>Q654*G654</f>
        <v/>
      </c>
      <c r="S654" t="n">
        <v>41.47</v>
      </c>
      <c r="T654" s="18">
        <f>1 - V654/S654</f>
        <v/>
      </c>
      <c r="U654" s="18" t="n">
        <v>0.2861230329041489</v>
      </c>
      <c r="V654" s="26" t="n">
        <v>31.71610169491525</v>
      </c>
      <c r="W654" s="26">
        <f>V654 - L654</f>
        <v/>
      </c>
    </row>
    <row r="655">
      <c r="A655" s="11" t="n">
        <v>46209</v>
      </c>
      <c r="B655" s="1" t="n">
        <v>20066</v>
      </c>
      <c r="C655" s="1" t="inlineStr">
        <is>
          <t>065</t>
        </is>
      </c>
      <c r="D655" s="1" t="inlineStr">
        <is>
          <t xml:space="preserve">18677 </t>
        </is>
      </c>
      <c r="E655" s="1" t="inlineStr">
        <is>
          <t xml:space="preserve">28194770       </t>
        </is>
      </c>
      <c r="F655" s="5" t="inlineStr">
        <is>
          <t>AUTOS DE METAL 3 TEAMSTERZ EN BLISTER</t>
        </is>
      </c>
      <c r="G655" t="n">
        <v>1</v>
      </c>
      <c r="H655" s="7" t="n">
        <v>6.9</v>
      </c>
      <c r="I655" s="7" t="n">
        <v>0</v>
      </c>
      <c r="J655" s="7" t="n">
        <v>0</v>
      </c>
      <c r="K655" s="9" t="n">
        <v>0</v>
      </c>
      <c r="L655" s="10" t="n">
        <v>4.1</v>
      </c>
      <c r="M655" s="10" t="n">
        <v>1.43</v>
      </c>
      <c r="N655" t="inlineStr">
        <is>
          <t>1</t>
        </is>
      </c>
      <c r="O655" t="inlineStr">
        <is>
          <t xml:space="preserve">3 </t>
        </is>
      </c>
      <c r="P655" t="inlineStr">
        <is>
          <t xml:space="preserve">43276   </t>
        </is>
      </c>
      <c r="Q655" s="26" t="n">
        <v>6.9</v>
      </c>
      <c r="R655" s="26">
        <f>Q655*G655</f>
        <v/>
      </c>
      <c r="S655" t="n">
        <v>4.09</v>
      </c>
      <c r="T655" s="18">
        <f>1 - V655/S655</f>
        <v/>
      </c>
      <c r="U655" s="18" t="n">
        <v>0</v>
      </c>
      <c r="V655" s="26" t="n">
        <v>4.09</v>
      </c>
      <c r="W655" s="26">
        <f>V655 - L655</f>
        <v/>
      </c>
    </row>
    <row r="656">
      <c r="A656" s="11" t="n">
        <v>46209</v>
      </c>
      <c r="B656" s="1" t="n">
        <v>20066</v>
      </c>
      <c r="C656" s="1" t="inlineStr">
        <is>
          <t>065</t>
        </is>
      </c>
      <c r="D656" s="1" t="inlineStr">
        <is>
          <t xml:space="preserve">18677 </t>
        </is>
      </c>
      <c r="E656" s="1" t="inlineStr">
        <is>
          <t xml:space="preserve">28194770       </t>
        </is>
      </c>
      <c r="F656" s="5" t="inlineStr">
        <is>
          <t>AUTOS DE METAL 3 TEAMSTERZ EN BLISTER</t>
        </is>
      </c>
      <c r="G656" t="n">
        <v>1</v>
      </c>
      <c r="H656" s="7" t="n">
        <v>6.9</v>
      </c>
      <c r="I656" s="7" t="n">
        <v>0</v>
      </c>
      <c r="J656" s="7" t="n">
        <v>0</v>
      </c>
      <c r="K656" s="9" t="n">
        <v>0</v>
      </c>
      <c r="L656" s="10" t="n">
        <v>4.1</v>
      </c>
      <c r="M656" s="10" t="n">
        <v>1.43</v>
      </c>
      <c r="N656" t="inlineStr">
        <is>
          <t>1</t>
        </is>
      </c>
      <c r="O656" t="inlineStr">
        <is>
          <t xml:space="preserve">3 </t>
        </is>
      </c>
      <c r="P656" t="inlineStr">
        <is>
          <t xml:space="preserve">43276   </t>
        </is>
      </c>
      <c r="Q656" s="26" t="n">
        <v>6.9</v>
      </c>
      <c r="R656" s="26">
        <f>Q656*G656</f>
        <v/>
      </c>
      <c r="S656" t="n">
        <v>4.09</v>
      </c>
      <c r="T656" s="18">
        <f>1 - V656/S656</f>
        <v/>
      </c>
      <c r="U656" s="18" t="n">
        <v>0</v>
      </c>
      <c r="V656" s="26" t="n">
        <v>4.09</v>
      </c>
      <c r="W656" s="26">
        <f>V656 - L656</f>
        <v/>
      </c>
    </row>
    <row r="657">
      <c r="A657" s="11" t="n">
        <v>46209</v>
      </c>
      <c r="B657" s="1" t="n">
        <v>20066</v>
      </c>
      <c r="C657" s="1" t="inlineStr">
        <is>
          <t>507</t>
        </is>
      </c>
      <c r="D657" s="1" t="inlineStr">
        <is>
          <t xml:space="preserve">9129  </t>
        </is>
      </c>
      <c r="E657" s="1" t="inlineStr">
        <is>
          <t xml:space="preserve">28194770       </t>
        </is>
      </c>
      <c r="F657" s="5" t="inlineStr">
        <is>
          <t>AUTOS DE METAL 3 TEAMSTERZ EN BLISTER</t>
        </is>
      </c>
      <c r="G657" t="n">
        <v>1</v>
      </c>
      <c r="H657" s="7" t="n">
        <v>6.9</v>
      </c>
      <c r="I657" s="7" t="n">
        <v>0</v>
      </c>
      <c r="J657" s="7" t="n">
        <v>0</v>
      </c>
      <c r="K657" s="9" t="n">
        <v>0</v>
      </c>
      <c r="L657" s="10" t="n">
        <v>4.1</v>
      </c>
      <c r="M657" s="10" t="n">
        <v>1.43</v>
      </c>
      <c r="N657" t="inlineStr">
        <is>
          <t>1</t>
        </is>
      </c>
      <c r="O657" t="inlineStr">
        <is>
          <t>16</t>
        </is>
      </c>
      <c r="P657" t="inlineStr">
        <is>
          <t xml:space="preserve">247912  </t>
        </is>
      </c>
      <c r="Q657" s="26" t="n">
        <v>6.9</v>
      </c>
      <c r="R657" s="26">
        <f>Q657*G657</f>
        <v/>
      </c>
      <c r="S657" t="n">
        <v>4.09</v>
      </c>
      <c r="T657" s="18">
        <f>1 - V657/S657</f>
        <v/>
      </c>
      <c r="U657" s="18" t="n">
        <v>0</v>
      </c>
      <c r="V657" s="26" t="n">
        <v>4.09</v>
      </c>
      <c r="W657" s="26">
        <f>V657 - L657</f>
        <v/>
      </c>
    </row>
    <row r="658">
      <c r="A658" s="11" t="n">
        <v>46209</v>
      </c>
      <c r="B658" s="1" t="n">
        <v>20069</v>
      </c>
      <c r="C658" s="1" t="inlineStr">
        <is>
          <t>026</t>
        </is>
      </c>
      <c r="D658" s="1" t="inlineStr">
        <is>
          <t>358722</t>
        </is>
      </c>
      <c r="E658" s="1" t="inlineStr">
        <is>
          <t xml:space="preserve">28194770       </t>
        </is>
      </c>
      <c r="F658" s="5" t="inlineStr">
        <is>
          <t>AUTOS DE METAL 3 TEAMSTERZ EN BLISTER</t>
        </is>
      </c>
      <c r="G658" t="n">
        <v>1</v>
      </c>
      <c r="H658" s="7" t="n">
        <v>6.9</v>
      </c>
      <c r="I658" s="7" t="n">
        <v>0</v>
      </c>
      <c r="J658" s="7" t="n">
        <v>0</v>
      </c>
      <c r="K658" s="9" t="n">
        <v>0</v>
      </c>
      <c r="L658" s="10" t="n">
        <v>4.1</v>
      </c>
      <c r="M658" s="10" t="n">
        <v>1.43</v>
      </c>
      <c r="N658" t="inlineStr">
        <is>
          <t>1</t>
        </is>
      </c>
      <c r="O658" t="inlineStr">
        <is>
          <t xml:space="preserve">2 </t>
        </is>
      </c>
      <c r="P658" t="inlineStr">
        <is>
          <t xml:space="preserve">249236  </t>
        </is>
      </c>
      <c r="Q658" s="26" t="n">
        <v>6.9</v>
      </c>
      <c r="R658" s="26">
        <f>Q658*G658</f>
        <v/>
      </c>
      <c r="S658" t="n">
        <v>4.09</v>
      </c>
      <c r="T658" s="18">
        <f>1 - V658/S658</f>
        <v/>
      </c>
      <c r="U658" s="18" t="n">
        <v>0</v>
      </c>
      <c r="V658" s="26" t="n">
        <v>4.09</v>
      </c>
      <c r="W658" s="26">
        <f>V658 - L658</f>
        <v/>
      </c>
    </row>
    <row r="659">
      <c r="A659" s="11" t="n">
        <v>46209</v>
      </c>
      <c r="B659" s="1" t="n">
        <v>20069</v>
      </c>
      <c r="C659" s="1" t="inlineStr">
        <is>
          <t>026</t>
        </is>
      </c>
      <c r="D659" s="1" t="inlineStr">
        <is>
          <t>358722</t>
        </is>
      </c>
      <c r="E659" s="1" t="inlineStr">
        <is>
          <t xml:space="preserve">28194770       </t>
        </is>
      </c>
      <c r="F659" s="5" t="inlineStr">
        <is>
          <t>AUTOS DE METAL 3 TEAMSTERZ EN BLISTER</t>
        </is>
      </c>
      <c r="G659" t="n">
        <v>1</v>
      </c>
      <c r="H659" s="7" t="n">
        <v>6.9</v>
      </c>
      <c r="I659" s="7" t="n">
        <v>0</v>
      </c>
      <c r="J659" s="7" t="n">
        <v>0</v>
      </c>
      <c r="K659" s="9" t="n">
        <v>0</v>
      </c>
      <c r="L659" s="10" t="n">
        <v>4.1</v>
      </c>
      <c r="M659" s="10" t="n">
        <v>1.43</v>
      </c>
      <c r="N659" t="inlineStr">
        <is>
          <t>1</t>
        </is>
      </c>
      <c r="O659" t="inlineStr">
        <is>
          <t xml:space="preserve">2 </t>
        </is>
      </c>
      <c r="P659" t="inlineStr">
        <is>
          <t xml:space="preserve">249236  </t>
        </is>
      </c>
      <c r="Q659" s="26" t="n">
        <v>6.9</v>
      </c>
      <c r="R659" s="26">
        <f>Q659*G659</f>
        <v/>
      </c>
      <c r="S659" t="n">
        <v>4.09</v>
      </c>
      <c r="T659" s="18">
        <f>1 - V659/S659</f>
        <v/>
      </c>
      <c r="U659" s="18" t="n">
        <v>0</v>
      </c>
      <c r="V659" s="26" t="n">
        <v>4.09</v>
      </c>
      <c r="W659" s="26">
        <f>V659 - L659</f>
        <v/>
      </c>
    </row>
    <row r="660">
      <c r="A660" s="11" t="n">
        <v>46209</v>
      </c>
      <c r="B660" s="1" t="n">
        <v>20069</v>
      </c>
      <c r="C660" s="1" t="inlineStr">
        <is>
          <t>026</t>
        </is>
      </c>
      <c r="D660" s="1" t="inlineStr">
        <is>
          <t>358722</t>
        </is>
      </c>
      <c r="E660" s="1" t="inlineStr">
        <is>
          <t xml:space="preserve">28194770       </t>
        </is>
      </c>
      <c r="F660" s="5" t="inlineStr">
        <is>
          <t>AUTOS DE METAL 3 TEAMSTERZ EN BLISTER</t>
        </is>
      </c>
      <c r="G660" t="n">
        <v>1</v>
      </c>
      <c r="H660" s="7" t="n">
        <v>6.9</v>
      </c>
      <c r="I660" s="7" t="n">
        <v>0</v>
      </c>
      <c r="J660" s="7" t="n">
        <v>0</v>
      </c>
      <c r="K660" s="9" t="n">
        <v>0</v>
      </c>
      <c r="L660" s="10" t="n">
        <v>4.1</v>
      </c>
      <c r="M660" s="10" t="n">
        <v>1.43</v>
      </c>
      <c r="N660" t="inlineStr">
        <is>
          <t>1</t>
        </is>
      </c>
      <c r="O660" t="inlineStr">
        <is>
          <t xml:space="preserve">2 </t>
        </is>
      </c>
      <c r="P660" t="inlineStr">
        <is>
          <t xml:space="preserve">249236  </t>
        </is>
      </c>
      <c r="Q660" s="26" t="n">
        <v>6.9</v>
      </c>
      <c r="R660" s="26">
        <f>Q660*G660</f>
        <v/>
      </c>
      <c r="S660" t="n">
        <v>4.09</v>
      </c>
      <c r="T660" s="18">
        <f>1 - V660/S660</f>
        <v/>
      </c>
      <c r="U660" s="18" t="n">
        <v>0</v>
      </c>
      <c r="V660" s="26" t="n">
        <v>4.09</v>
      </c>
      <c r="W660" s="26">
        <f>V660 - L660</f>
        <v/>
      </c>
    </row>
    <row r="661">
      <c r="A661" s="11" t="n">
        <v>46209</v>
      </c>
      <c r="B661" s="1" t="n">
        <v>20069</v>
      </c>
      <c r="C661" s="1" t="inlineStr">
        <is>
          <t>026</t>
        </is>
      </c>
      <c r="D661" s="1" t="inlineStr">
        <is>
          <t>358722</t>
        </is>
      </c>
      <c r="E661" s="1" t="inlineStr">
        <is>
          <t xml:space="preserve">28194770       </t>
        </is>
      </c>
      <c r="F661" s="5" t="inlineStr">
        <is>
          <t>AUTOS DE METAL 3 TEAMSTERZ EN BLISTER</t>
        </is>
      </c>
      <c r="G661" t="n">
        <v>1</v>
      </c>
      <c r="H661" s="7" t="n">
        <v>6.9</v>
      </c>
      <c r="I661" s="7" t="n">
        <v>0</v>
      </c>
      <c r="J661" s="7" t="n">
        <v>0</v>
      </c>
      <c r="K661" s="9" t="n">
        <v>0</v>
      </c>
      <c r="L661" s="10" t="n">
        <v>4.1</v>
      </c>
      <c r="M661" s="10" t="n">
        <v>1.43</v>
      </c>
      <c r="N661" t="inlineStr">
        <is>
          <t>1</t>
        </is>
      </c>
      <c r="O661" t="inlineStr">
        <is>
          <t xml:space="preserve">2 </t>
        </is>
      </c>
      <c r="P661" t="inlineStr">
        <is>
          <t xml:space="preserve">249236  </t>
        </is>
      </c>
      <c r="Q661" s="26" t="n">
        <v>6.9</v>
      </c>
      <c r="R661" s="26">
        <f>Q661*G661</f>
        <v/>
      </c>
      <c r="S661" t="n">
        <v>4.09</v>
      </c>
      <c r="T661" s="18">
        <f>1 - V661/S661</f>
        <v/>
      </c>
      <c r="U661" s="18" t="n">
        <v>0</v>
      </c>
      <c r="V661" s="26" t="n">
        <v>4.09</v>
      </c>
      <c r="W661" s="26">
        <f>V661 - L661</f>
        <v/>
      </c>
    </row>
    <row r="662">
      <c r="A662" s="11" t="n">
        <v>46209</v>
      </c>
      <c r="B662" s="1" t="n">
        <v>20073</v>
      </c>
      <c r="C662" s="1" t="inlineStr">
        <is>
          <t>022</t>
        </is>
      </c>
      <c r="D662" s="1" t="inlineStr">
        <is>
          <t>293993</t>
        </is>
      </c>
      <c r="E662" s="1" t="inlineStr">
        <is>
          <t xml:space="preserve">28194770       </t>
        </is>
      </c>
      <c r="F662" s="5" t="inlineStr">
        <is>
          <t>AUTOS DE METAL 3 TEAMSTERZ EN BLISTER</t>
        </is>
      </c>
      <c r="G662" t="n">
        <v>1</v>
      </c>
      <c r="H662" s="7" t="n">
        <v>6.9</v>
      </c>
      <c r="I662" s="7" t="n">
        <v>0</v>
      </c>
      <c r="J662" s="7" t="n">
        <v>0</v>
      </c>
      <c r="K662" s="9" t="n">
        <v>0</v>
      </c>
      <c r="L662" s="10" t="n">
        <v>4.1</v>
      </c>
      <c r="M662" s="10" t="n">
        <v>1.43</v>
      </c>
      <c r="N662" t="inlineStr">
        <is>
          <t>1</t>
        </is>
      </c>
      <c r="O662" t="inlineStr">
        <is>
          <t xml:space="preserve">2 </t>
        </is>
      </c>
      <c r="P662" t="inlineStr">
        <is>
          <t xml:space="preserve">73225   </t>
        </is>
      </c>
      <c r="Q662" s="26" t="n">
        <v>6.9</v>
      </c>
      <c r="R662" s="26">
        <f>Q662*G662</f>
        <v/>
      </c>
      <c r="S662" t="n">
        <v>4.09</v>
      </c>
      <c r="T662" s="18">
        <f>1 - V662/S662</f>
        <v/>
      </c>
      <c r="U662" s="18" t="n">
        <v>0</v>
      </c>
      <c r="V662" s="26" t="n">
        <v>4.09</v>
      </c>
      <c r="W662" s="26">
        <f>V662 - L662</f>
        <v/>
      </c>
    </row>
    <row r="663">
      <c r="A663" s="11" t="n">
        <v>46209</v>
      </c>
      <c r="B663" s="1" t="n">
        <v>20073</v>
      </c>
      <c r="C663" s="1" t="inlineStr">
        <is>
          <t>045</t>
        </is>
      </c>
      <c r="D663" s="1" t="inlineStr">
        <is>
          <t>149395</t>
        </is>
      </c>
      <c r="E663" s="1" t="inlineStr">
        <is>
          <t xml:space="preserve">28194770       </t>
        </is>
      </c>
      <c r="F663" s="5" t="inlineStr">
        <is>
          <t>AUTOS DE METAL 3 TEAMSTERZ EN BLISTER</t>
        </is>
      </c>
      <c r="G663" t="n">
        <v>1</v>
      </c>
      <c r="H663" s="7" t="n">
        <v>6.9</v>
      </c>
      <c r="I663" s="7" t="n">
        <v>0</v>
      </c>
      <c r="J663" s="7" t="n">
        <v>0</v>
      </c>
      <c r="K663" s="9" t="n">
        <v>0</v>
      </c>
      <c r="L663" s="10" t="n">
        <v>4.1</v>
      </c>
      <c r="M663" s="10" t="n">
        <v>1.43</v>
      </c>
      <c r="N663" t="inlineStr">
        <is>
          <t>1</t>
        </is>
      </c>
      <c r="O663" t="inlineStr">
        <is>
          <t>16</t>
        </is>
      </c>
      <c r="P663" t="inlineStr">
        <is>
          <t xml:space="preserve">57893   </t>
        </is>
      </c>
      <c r="Q663" s="26" t="n">
        <v>6.9</v>
      </c>
      <c r="R663" s="26">
        <f>Q663*G663</f>
        <v/>
      </c>
      <c r="S663" t="n">
        <v>4.09</v>
      </c>
      <c r="T663" s="18">
        <f>1 - V663/S663</f>
        <v/>
      </c>
      <c r="U663" s="18" t="n">
        <v>0</v>
      </c>
      <c r="V663" s="26" t="n">
        <v>4.09</v>
      </c>
      <c r="W663" s="26">
        <f>V663 - L663</f>
        <v/>
      </c>
    </row>
    <row r="664">
      <c r="A664" s="11" t="n">
        <v>46209</v>
      </c>
      <c r="B664" s="1" t="n">
        <v>20073</v>
      </c>
      <c r="C664" s="1" t="inlineStr">
        <is>
          <t>046</t>
        </is>
      </c>
      <c r="D664" s="1" t="inlineStr">
        <is>
          <t>207407</t>
        </is>
      </c>
      <c r="E664" s="1" t="inlineStr">
        <is>
          <t xml:space="preserve">31754675       </t>
        </is>
      </c>
      <c r="F664" s="5" t="inlineStr">
        <is>
          <t>INFINITY NADO SERIE 6 STARTER PACK - 4 MODELOS</t>
        </is>
      </c>
      <c r="G664" t="n">
        <v>1</v>
      </c>
      <c r="H664" s="7" t="n">
        <v>69.90000000000001</v>
      </c>
      <c r="I664" s="7" t="n">
        <v>0</v>
      </c>
      <c r="J664" s="7" t="n">
        <v>0</v>
      </c>
      <c r="K664" s="9" t="n">
        <v>0</v>
      </c>
      <c r="L664" s="10" t="n">
        <v>41.47</v>
      </c>
      <c r="M664" s="10" t="n">
        <v>1.43</v>
      </c>
      <c r="N664" t="inlineStr">
        <is>
          <t>1</t>
        </is>
      </c>
      <c r="O664" t="inlineStr">
        <is>
          <t>16</t>
        </is>
      </c>
      <c r="P664" t="inlineStr">
        <is>
          <t xml:space="preserve">250462  </t>
        </is>
      </c>
      <c r="Q664" s="26" t="n">
        <v>69.90000000000001</v>
      </c>
      <c r="R664" s="26">
        <f>Q664*G664</f>
        <v/>
      </c>
      <c r="S664" t="n">
        <v>41.47</v>
      </c>
      <c r="T664" s="18">
        <f>1 - V664/S664</f>
        <v/>
      </c>
      <c r="U664" s="18" t="n">
        <v>0.2861230329041489</v>
      </c>
      <c r="V664" s="26" t="n">
        <v>31.71610169491525</v>
      </c>
      <c r="W664" s="26">
        <f>V664 - L664</f>
        <v/>
      </c>
    </row>
    <row r="665">
      <c r="A665" s="11" t="n">
        <v>46209</v>
      </c>
      <c r="B665" s="1" t="n">
        <v>20073</v>
      </c>
      <c r="C665" s="1" t="inlineStr">
        <is>
          <t>046</t>
        </is>
      </c>
      <c r="D665" s="1" t="inlineStr">
        <is>
          <t>207419</t>
        </is>
      </c>
      <c r="E665" s="1" t="inlineStr">
        <is>
          <t xml:space="preserve">31754677       </t>
        </is>
      </c>
      <c r="F665" s="5" t="inlineStr">
        <is>
          <t>INFINITY NADO SERIE 6 SET DE BATALL</t>
        </is>
      </c>
      <c r="G665" t="n">
        <v>1</v>
      </c>
      <c r="H665" s="7" t="n">
        <v>189</v>
      </c>
      <c r="I665" s="7" t="n">
        <v>0</v>
      </c>
      <c r="J665" s="7" t="n">
        <v>0</v>
      </c>
      <c r="K665" s="9" t="n">
        <v>0</v>
      </c>
      <c r="L665" s="10" t="n">
        <v>112.12</v>
      </c>
      <c r="M665" s="10" t="n">
        <v>1.43</v>
      </c>
      <c r="N665" t="inlineStr">
        <is>
          <t>1</t>
        </is>
      </c>
      <c r="O665" t="inlineStr">
        <is>
          <t>16</t>
        </is>
      </c>
      <c r="P665" t="inlineStr">
        <is>
          <t xml:space="preserve">250462  </t>
        </is>
      </c>
      <c r="Q665" s="26" t="n">
        <v>189</v>
      </c>
      <c r="R665" s="26">
        <f>Q665*G665</f>
        <v/>
      </c>
      <c r="S665" t="n">
        <v>112.12</v>
      </c>
      <c r="T665" s="18">
        <f>1 - V665/S665</f>
        <v/>
      </c>
      <c r="U665" s="18" t="n">
        <v>0.2116402116402116</v>
      </c>
      <c r="V665" s="26" t="n">
        <v>94.70338983050848</v>
      </c>
      <c r="W665" s="26">
        <f>V665 - L665</f>
        <v/>
      </c>
    </row>
    <row r="666">
      <c r="A666" s="11" t="n">
        <v>46209</v>
      </c>
      <c r="B666" s="1" t="n">
        <v>20073</v>
      </c>
      <c r="C666" s="1" t="inlineStr">
        <is>
          <t>510</t>
        </is>
      </c>
      <c r="D666" s="1" t="inlineStr">
        <is>
          <t xml:space="preserve">7333  </t>
        </is>
      </c>
      <c r="E666" s="1" t="inlineStr">
        <is>
          <t xml:space="preserve">33483121       </t>
        </is>
      </c>
      <c r="F666" s="5" t="inlineStr">
        <is>
          <t>HOT WHEELS ESTUCHE PARA 15 AUTOS SURTIDO</t>
        </is>
      </c>
      <c r="G666" t="n">
        <v>1</v>
      </c>
      <c r="H666" s="7" t="n">
        <v>34.9</v>
      </c>
      <c r="I666" s="7" t="n">
        <v>0</v>
      </c>
      <c r="J666" s="7" t="n">
        <v>0</v>
      </c>
      <c r="K666" s="9" t="n">
        <v>0</v>
      </c>
      <c r="L666" s="10" t="n">
        <v>20.71</v>
      </c>
      <c r="M666" s="10" t="n">
        <v>1.43</v>
      </c>
      <c r="N666" t="inlineStr">
        <is>
          <t>1</t>
        </is>
      </c>
      <c r="O666" t="inlineStr">
        <is>
          <t>16</t>
        </is>
      </c>
      <c r="P666" t="inlineStr">
        <is>
          <t xml:space="preserve">106648  </t>
        </is>
      </c>
      <c r="Q666" s="26" t="n">
        <v>34.9</v>
      </c>
      <c r="R666" s="26">
        <f>Q666*G666</f>
        <v/>
      </c>
      <c r="S666" t="n">
        <v>20.7</v>
      </c>
      <c r="T666" s="18">
        <f>1 - V666/S666</f>
        <v/>
      </c>
      <c r="U666" s="18" t="n">
        <v>0</v>
      </c>
      <c r="V666" s="26" t="n">
        <v>20.7</v>
      </c>
      <c r="W666" s="26">
        <f>V666 - L666</f>
        <v/>
      </c>
    </row>
    <row r="667">
      <c r="A667" s="11" t="n">
        <v>46209</v>
      </c>
      <c r="B667" s="1" t="n">
        <v>20077</v>
      </c>
      <c r="C667" s="1" t="inlineStr">
        <is>
          <t>026</t>
        </is>
      </c>
      <c r="D667" s="1" t="inlineStr">
        <is>
          <t>107482</t>
        </is>
      </c>
      <c r="E667" s="1" t="inlineStr">
        <is>
          <t xml:space="preserve">28194770       </t>
        </is>
      </c>
      <c r="F667" s="5" t="inlineStr">
        <is>
          <t>AUTOS DE METAL 3 TEAMSTERZ EN BLISTER</t>
        </is>
      </c>
      <c r="G667" t="n">
        <v>1</v>
      </c>
      <c r="H667" s="7" t="n">
        <v>6.9</v>
      </c>
      <c r="I667" s="7" t="n">
        <v>0</v>
      </c>
      <c r="J667" s="7" t="n">
        <v>0</v>
      </c>
      <c r="K667" s="9" t="n">
        <v>0</v>
      </c>
      <c r="L667" s="10" t="n">
        <v>4.1</v>
      </c>
      <c r="M667" s="10" t="n">
        <v>1.43</v>
      </c>
      <c r="N667" t="inlineStr">
        <is>
          <t>1</t>
        </is>
      </c>
      <c r="O667" t="inlineStr">
        <is>
          <t xml:space="preserve">2 </t>
        </is>
      </c>
      <c r="P667" t="inlineStr">
        <is>
          <t xml:space="preserve">43639   </t>
        </is>
      </c>
      <c r="Q667" s="26" t="n">
        <v>6.9</v>
      </c>
      <c r="R667" s="26">
        <f>Q667*G667</f>
        <v/>
      </c>
      <c r="S667" t="n">
        <v>4.09</v>
      </c>
      <c r="T667" s="18">
        <f>1 - V667/S667</f>
        <v/>
      </c>
      <c r="U667" s="18" t="n">
        <v>0</v>
      </c>
      <c r="V667" s="26" t="n">
        <v>4.09</v>
      </c>
      <c r="W667" s="26">
        <f>V667 - L667</f>
        <v/>
      </c>
    </row>
    <row r="668">
      <c r="A668" s="11" t="n">
        <v>46209</v>
      </c>
      <c r="B668" s="1" t="n">
        <v>20077</v>
      </c>
      <c r="C668" s="1" t="inlineStr">
        <is>
          <t>030</t>
        </is>
      </c>
      <c r="D668" s="1" t="inlineStr">
        <is>
          <t xml:space="preserve">1085  </t>
        </is>
      </c>
      <c r="E668" s="1" t="inlineStr">
        <is>
          <t xml:space="preserve">28194765       </t>
        </is>
      </c>
      <c r="F668" s="5" t="inlineStr">
        <is>
          <t>PLAYSET COLOR CHANGE TIBURN TEAMSTERZ  1 AUTITO</t>
        </is>
      </c>
      <c r="G668" t="n">
        <v>1</v>
      </c>
      <c r="H668" s="7" t="n">
        <v>79.90000000000001</v>
      </c>
      <c r="I668" s="7" t="n">
        <v>0</v>
      </c>
      <c r="J668" s="7" t="n">
        <v>0</v>
      </c>
      <c r="K668" s="9" t="n">
        <v>0</v>
      </c>
      <c r="L668" s="10" t="n">
        <v>47.4</v>
      </c>
      <c r="M668" s="10" t="n">
        <v>1.43</v>
      </c>
      <c r="N668" t="inlineStr">
        <is>
          <t>1</t>
        </is>
      </c>
      <c r="O668" t="inlineStr">
        <is>
          <t>16</t>
        </is>
      </c>
      <c r="P668" t="inlineStr">
        <is>
          <t xml:space="preserve">62762   </t>
        </is>
      </c>
      <c r="Q668" s="26" t="n">
        <v>79.90000000000001</v>
      </c>
      <c r="R668" s="26">
        <f>Q668*G668</f>
        <v/>
      </c>
      <c r="S668" t="n">
        <v>47.4</v>
      </c>
      <c r="T668" s="18">
        <f>1 - V668/S668</f>
        <v/>
      </c>
      <c r="U668" s="18" t="n">
        <v>0</v>
      </c>
      <c r="V668" s="26" t="n">
        <v>47.4</v>
      </c>
      <c r="W668" s="26">
        <f>V668 - L668</f>
        <v/>
      </c>
    </row>
    <row r="669">
      <c r="A669" s="11" t="n">
        <v>46209</v>
      </c>
      <c r="B669" s="1" t="n">
        <v>20077</v>
      </c>
      <c r="C669" s="1" t="inlineStr">
        <is>
          <t>030</t>
        </is>
      </c>
      <c r="D669" s="1" t="inlineStr">
        <is>
          <t xml:space="preserve">40216 </t>
        </is>
      </c>
      <c r="E669" s="1" t="inlineStr">
        <is>
          <t xml:space="preserve">28194770       </t>
        </is>
      </c>
      <c r="F669" s="5" t="inlineStr">
        <is>
          <t>AUTOS DE METAL 3 TEAMSTERZ EN BLISTER</t>
        </is>
      </c>
      <c r="G669" t="n">
        <v>1</v>
      </c>
      <c r="H669" s="7" t="n">
        <v>6.9</v>
      </c>
      <c r="I669" s="7" t="n">
        <v>0</v>
      </c>
      <c r="J669" s="7" t="n">
        <v>0</v>
      </c>
      <c r="K669" s="9" t="n">
        <v>0</v>
      </c>
      <c r="L669" s="10" t="n">
        <v>4.1</v>
      </c>
      <c r="M669" s="10" t="n">
        <v>1.43</v>
      </c>
      <c r="N669" t="inlineStr">
        <is>
          <t>1</t>
        </is>
      </c>
      <c r="O669" t="inlineStr">
        <is>
          <t xml:space="preserve">2 </t>
        </is>
      </c>
      <c r="P669" t="inlineStr">
        <is>
          <t xml:space="preserve">62762   </t>
        </is>
      </c>
      <c r="Q669" s="26" t="n">
        <v>6.9</v>
      </c>
      <c r="R669" s="26">
        <f>Q669*G669</f>
        <v/>
      </c>
      <c r="S669" t="n">
        <v>4.09</v>
      </c>
      <c r="T669" s="18">
        <f>1 - V669/S669</f>
        <v/>
      </c>
      <c r="U669" s="18" t="n">
        <v>0</v>
      </c>
      <c r="V669" s="26" t="n">
        <v>4.09</v>
      </c>
      <c r="W669" s="26">
        <f>V669 - L669</f>
        <v/>
      </c>
    </row>
    <row r="670">
      <c r="A670" s="11" t="n">
        <v>46209</v>
      </c>
      <c r="B670" s="1" t="n">
        <v>20077</v>
      </c>
      <c r="C670" s="1" t="inlineStr">
        <is>
          <t>030</t>
        </is>
      </c>
      <c r="D670" s="1" t="inlineStr">
        <is>
          <t xml:space="preserve">40216 </t>
        </is>
      </c>
      <c r="E670" s="1" t="inlineStr">
        <is>
          <t xml:space="preserve">28194770       </t>
        </is>
      </c>
      <c r="F670" s="5" t="inlineStr">
        <is>
          <t>AUTOS DE METAL 3 TEAMSTERZ EN BLISTER</t>
        </is>
      </c>
      <c r="G670" t="n">
        <v>1</v>
      </c>
      <c r="H670" s="7" t="n">
        <v>6.9</v>
      </c>
      <c r="I670" s="7" t="n">
        <v>0</v>
      </c>
      <c r="J670" s="7" t="n">
        <v>0</v>
      </c>
      <c r="K670" s="9" t="n">
        <v>0</v>
      </c>
      <c r="L670" s="10" t="n">
        <v>4.1</v>
      </c>
      <c r="M670" s="10" t="n">
        <v>1.43</v>
      </c>
      <c r="N670" t="inlineStr">
        <is>
          <t>1</t>
        </is>
      </c>
      <c r="O670" t="inlineStr">
        <is>
          <t xml:space="preserve">2 </t>
        </is>
      </c>
      <c r="P670" t="inlineStr">
        <is>
          <t xml:space="preserve">62762   </t>
        </is>
      </c>
      <c r="Q670" s="26" t="n">
        <v>6.9</v>
      </c>
      <c r="R670" s="26">
        <f>Q670*G670</f>
        <v/>
      </c>
      <c r="S670" t="n">
        <v>4.09</v>
      </c>
      <c r="T670" s="18">
        <f>1 - V670/S670</f>
        <v/>
      </c>
      <c r="U670" s="18" t="n">
        <v>0</v>
      </c>
      <c r="V670" s="26" t="n">
        <v>4.09</v>
      </c>
      <c r="W670" s="26">
        <f>V670 - L670</f>
        <v/>
      </c>
    </row>
    <row r="671">
      <c r="A671" s="11" t="n">
        <v>46209</v>
      </c>
      <c r="B671" s="1" t="n">
        <v>20077</v>
      </c>
      <c r="C671" s="1" t="inlineStr">
        <is>
          <t>037</t>
        </is>
      </c>
      <c r="D671" s="1" t="inlineStr">
        <is>
          <t xml:space="preserve">61931 </t>
        </is>
      </c>
      <c r="E671" s="1" t="inlineStr">
        <is>
          <t xml:space="preserve">32457099       </t>
        </is>
      </c>
      <c r="F671" s="5" t="inlineStr">
        <is>
          <t>TMZ BEAST MACHINES MONSTER JAWS A FRICCION BLISTER</t>
        </is>
      </c>
      <c r="G671" t="n">
        <v>1</v>
      </c>
      <c r="H671" s="7" t="n">
        <v>19.9</v>
      </c>
      <c r="I671" s="7" t="n">
        <v>0</v>
      </c>
      <c r="J671" s="7" t="n">
        <v>0</v>
      </c>
      <c r="K671" s="9" t="n">
        <v>0</v>
      </c>
      <c r="L671" s="10" t="n">
        <v>11.8</v>
      </c>
      <c r="M671" s="10" t="n">
        <v>1.43</v>
      </c>
      <c r="N671" t="inlineStr">
        <is>
          <t>1</t>
        </is>
      </c>
      <c r="O671" t="inlineStr">
        <is>
          <t xml:space="preserve">3 </t>
        </is>
      </c>
      <c r="P671" t="inlineStr">
        <is>
          <t xml:space="preserve">250382  </t>
        </is>
      </c>
      <c r="Q671" s="26" t="n">
        <v>19.9</v>
      </c>
      <c r="R671" s="26">
        <f>Q671*G671</f>
        <v/>
      </c>
      <c r="S671" t="n">
        <v>11.81</v>
      </c>
      <c r="T671" s="18">
        <f>1 - V671/S671</f>
        <v/>
      </c>
      <c r="U671" s="18" t="n">
        <v>0.1005025125628141</v>
      </c>
      <c r="V671" s="26" t="n">
        <v>8.417118644067797</v>
      </c>
      <c r="W671" s="26">
        <f>V671 - L671</f>
        <v/>
      </c>
    </row>
    <row r="672">
      <c r="A672" s="11" t="n">
        <v>46209</v>
      </c>
      <c r="B672" s="1" t="n">
        <v>20077</v>
      </c>
      <c r="C672" s="1" t="inlineStr">
        <is>
          <t>037</t>
        </is>
      </c>
      <c r="D672" s="1" t="inlineStr">
        <is>
          <t xml:space="preserve">61931 </t>
        </is>
      </c>
      <c r="E672" s="1" t="inlineStr">
        <is>
          <t xml:space="preserve">32457099       </t>
        </is>
      </c>
      <c r="F672" s="5" t="inlineStr">
        <is>
          <t>TMZ BEAST MACHINES MONSTER JAWS A FRICCION BLISTER</t>
        </is>
      </c>
      <c r="G672" t="n">
        <v>1</v>
      </c>
      <c r="H672" s="7" t="n">
        <v>19.9</v>
      </c>
      <c r="I672" s="7" t="n">
        <v>0</v>
      </c>
      <c r="J672" s="7" t="n">
        <v>0</v>
      </c>
      <c r="K672" s="9" t="n">
        <v>0</v>
      </c>
      <c r="L672" s="10" t="n">
        <v>11.8</v>
      </c>
      <c r="M672" s="10" t="n">
        <v>1.43</v>
      </c>
      <c r="N672" t="inlineStr">
        <is>
          <t>1</t>
        </is>
      </c>
      <c r="O672" t="inlineStr">
        <is>
          <t xml:space="preserve">3 </t>
        </is>
      </c>
      <c r="P672" t="inlineStr">
        <is>
          <t xml:space="preserve">250382  </t>
        </is>
      </c>
      <c r="Q672" s="26" t="n">
        <v>19.9</v>
      </c>
      <c r="R672" s="26">
        <f>Q672*G672</f>
        <v/>
      </c>
      <c r="S672" t="n">
        <v>11.81</v>
      </c>
      <c r="T672" s="18">
        <f>1 - V672/S672</f>
        <v/>
      </c>
      <c r="U672" s="18" t="n">
        <v>0.1005025125628141</v>
      </c>
      <c r="V672" s="26" t="n">
        <v>8.417118644067797</v>
      </c>
      <c r="W672" s="26">
        <f>V672 - L672</f>
        <v/>
      </c>
    </row>
    <row r="673">
      <c r="A673" s="11" t="n">
        <v>46209</v>
      </c>
      <c r="B673" s="1" t="n">
        <v>20077</v>
      </c>
      <c r="C673" s="1" t="inlineStr">
        <is>
          <t>037</t>
        </is>
      </c>
      <c r="D673" s="1" t="inlineStr">
        <is>
          <t xml:space="preserve">61931 </t>
        </is>
      </c>
      <c r="E673" s="1" t="inlineStr">
        <is>
          <t xml:space="preserve">32457099       </t>
        </is>
      </c>
      <c r="F673" s="5" t="inlineStr">
        <is>
          <t>TMZ BEAST MACHINES MONSTER JAWS A FRICCION BLISTER</t>
        </is>
      </c>
      <c r="G673" t="n">
        <v>1</v>
      </c>
      <c r="H673" s="7" t="n">
        <v>19.9</v>
      </c>
      <c r="I673" s="7" t="n">
        <v>0</v>
      </c>
      <c r="J673" s="7" t="n">
        <v>0</v>
      </c>
      <c r="K673" s="9" t="n">
        <v>0</v>
      </c>
      <c r="L673" s="10" t="n">
        <v>11.8</v>
      </c>
      <c r="M673" s="10" t="n">
        <v>1.43</v>
      </c>
      <c r="N673" t="inlineStr">
        <is>
          <t>1</t>
        </is>
      </c>
      <c r="O673" t="inlineStr">
        <is>
          <t xml:space="preserve">3 </t>
        </is>
      </c>
      <c r="P673" t="inlineStr">
        <is>
          <t xml:space="preserve">250382  </t>
        </is>
      </c>
      <c r="Q673" s="26" t="n">
        <v>19.9</v>
      </c>
      <c r="R673" s="26">
        <f>Q673*G673</f>
        <v/>
      </c>
      <c r="S673" t="n">
        <v>11.81</v>
      </c>
      <c r="T673" s="18">
        <f>1 - V673/S673</f>
        <v/>
      </c>
      <c r="U673" s="18" t="n">
        <v>0.1005025125628141</v>
      </c>
      <c r="V673" s="26" t="n">
        <v>8.417118644067797</v>
      </c>
      <c r="W673" s="26">
        <f>V673 - L673</f>
        <v/>
      </c>
    </row>
    <row r="674">
      <c r="A674" s="11" t="n">
        <v>46209</v>
      </c>
      <c r="B674" s="1" t="n">
        <v>20077</v>
      </c>
      <c r="C674" s="1" t="inlineStr">
        <is>
          <t>539</t>
        </is>
      </c>
      <c r="D674" s="1" t="inlineStr">
        <is>
          <t xml:space="preserve">3803  </t>
        </is>
      </c>
      <c r="E674" s="1" t="inlineStr">
        <is>
          <t xml:space="preserve">31959957       </t>
        </is>
      </c>
      <c r="F674" s="5" t="inlineStr">
        <is>
          <t>TEAMSTERZ PLAYSET RESCATE EN EL MAR</t>
        </is>
      </c>
      <c r="G674" t="n">
        <v>1</v>
      </c>
      <c r="H674" s="7" t="n">
        <v>19.9</v>
      </c>
      <c r="I674" s="7" t="n">
        <v>0</v>
      </c>
      <c r="J674" s="7" t="n">
        <v>0</v>
      </c>
      <c r="K674" s="9" t="n">
        <v>0</v>
      </c>
      <c r="L674" s="10" t="n">
        <v>11.8</v>
      </c>
      <c r="M674" s="10" t="n">
        <v>1.43</v>
      </c>
      <c r="N674" t="inlineStr">
        <is>
          <t>1</t>
        </is>
      </c>
      <c r="O674" t="inlineStr">
        <is>
          <t>16</t>
        </is>
      </c>
      <c r="P674" t="inlineStr">
        <is>
          <t xml:space="preserve">233797  </t>
        </is>
      </c>
      <c r="Q674" s="26" t="n">
        <v>19.9</v>
      </c>
      <c r="R674" s="26">
        <f>Q674*G674</f>
        <v/>
      </c>
      <c r="S674" t="n">
        <v>11.81</v>
      </c>
      <c r="T674" s="18">
        <f>1 - V674/S674</f>
        <v/>
      </c>
      <c r="U674" s="18" t="n">
        <v>0</v>
      </c>
      <c r="V674" s="26" t="n">
        <v>11.81</v>
      </c>
      <c r="W674" s="26">
        <f>V674 - L674</f>
        <v/>
      </c>
    </row>
    <row r="675">
      <c r="A675" s="11" t="n">
        <v>46209</v>
      </c>
      <c r="B675" s="1" t="n">
        <v>20079</v>
      </c>
      <c r="C675" s="1" t="inlineStr">
        <is>
          <t>045</t>
        </is>
      </c>
      <c r="D675" s="1" t="inlineStr">
        <is>
          <t>331701</t>
        </is>
      </c>
      <c r="E675" s="1" t="inlineStr">
        <is>
          <t xml:space="preserve">28194781       </t>
        </is>
      </c>
      <c r="F675" s="5" t="inlineStr">
        <is>
          <t>TROMPO BATALLA INFINITY NADO SERIE V CLASICA SURTI</t>
        </is>
      </c>
      <c r="G675" t="n">
        <v>1</v>
      </c>
      <c r="H675" s="7" t="n">
        <v>59.9</v>
      </c>
      <c r="I675" s="7" t="n">
        <v>0</v>
      </c>
      <c r="J675" s="7" t="n">
        <v>0</v>
      </c>
      <c r="K675" s="9" t="n">
        <v>0</v>
      </c>
      <c r="L675" s="10" t="n">
        <v>35.53</v>
      </c>
      <c r="M675" s="10" t="n">
        <v>1.43</v>
      </c>
      <c r="N675" t="inlineStr">
        <is>
          <t>1</t>
        </is>
      </c>
      <c r="O675" t="inlineStr">
        <is>
          <t xml:space="preserve">2 </t>
        </is>
      </c>
      <c r="P675" t="inlineStr">
        <is>
          <t xml:space="preserve">55412   </t>
        </is>
      </c>
      <c r="Q675" s="26" t="n">
        <v>59.9</v>
      </c>
      <c r="R675" s="26">
        <f>Q675*G675</f>
        <v/>
      </c>
      <c r="S675" t="n">
        <v>35.53</v>
      </c>
      <c r="T675" s="18">
        <f>1 - V675/S675</f>
        <v/>
      </c>
      <c r="U675" s="18" t="n">
        <v>0.333889816360601</v>
      </c>
      <c r="V675" s="26" t="n">
        <v>25.36016949152542</v>
      </c>
      <c r="W675" s="26">
        <f>V675 - L675</f>
        <v/>
      </c>
    </row>
    <row r="676">
      <c r="A676" s="11" t="n">
        <v>46209</v>
      </c>
      <c r="B676" s="1" t="n">
        <v>20080</v>
      </c>
      <c r="C676" s="1" t="inlineStr">
        <is>
          <t>012</t>
        </is>
      </c>
      <c r="D676" s="1" t="inlineStr">
        <is>
          <t xml:space="preserve">58141 </t>
        </is>
      </c>
      <c r="E676" s="1" t="inlineStr">
        <is>
          <t xml:space="preserve">30141766       </t>
        </is>
      </c>
      <c r="F676" s="5" t="inlineStr">
        <is>
          <t>TMZ BEAST MACHINES AUTOS DE METAL BLISTER X 1</t>
        </is>
      </c>
      <c r="G676" t="n">
        <v>1</v>
      </c>
      <c r="H676" s="7" t="n">
        <v>7.9</v>
      </c>
      <c r="I676" s="7" t="n">
        <v>0</v>
      </c>
      <c r="J676" s="7" t="n">
        <v>0</v>
      </c>
      <c r="K676" s="9" t="n">
        <v>0</v>
      </c>
      <c r="L676" s="10" t="n">
        <v>4.68</v>
      </c>
      <c r="M676" s="10" t="n">
        <v>1.43</v>
      </c>
      <c r="N676" t="inlineStr">
        <is>
          <t>1</t>
        </is>
      </c>
      <c r="O676" t="inlineStr">
        <is>
          <t>16</t>
        </is>
      </c>
      <c r="P676" t="inlineStr">
        <is>
          <t xml:space="preserve">81033   </t>
        </is>
      </c>
      <c r="Q676" s="26" t="n">
        <v>7.9</v>
      </c>
      <c r="R676" s="26">
        <f>Q676*G676</f>
        <v/>
      </c>
      <c r="S676" t="n">
        <v>4.69</v>
      </c>
      <c r="T676" s="18">
        <f>1 - V676/S676</f>
        <v/>
      </c>
      <c r="U676" s="18" t="n">
        <v>0</v>
      </c>
      <c r="V676" s="26" t="n">
        <v>4.69</v>
      </c>
      <c r="W676" s="26">
        <f>V676 - L676</f>
        <v/>
      </c>
    </row>
    <row r="677">
      <c r="A677" s="11" t="n">
        <v>46209</v>
      </c>
      <c r="B677" s="1" t="n">
        <v>20080</v>
      </c>
      <c r="C677" s="1" t="inlineStr">
        <is>
          <t>026</t>
        </is>
      </c>
      <c r="D677" s="1" t="inlineStr">
        <is>
          <t>208678</t>
        </is>
      </c>
      <c r="E677" s="1" t="inlineStr">
        <is>
          <t xml:space="preserve">30141767       </t>
        </is>
      </c>
      <c r="F677" s="5" t="inlineStr">
        <is>
          <t>TMZ BEAST MACHINES AUTOS DE METAL PACK 5 AUTOS</t>
        </is>
      </c>
      <c r="G677" t="n">
        <v>1</v>
      </c>
      <c r="H677" s="7" t="n">
        <v>39.5</v>
      </c>
      <c r="I677" s="7" t="n">
        <v>0</v>
      </c>
      <c r="J677" s="7" t="n">
        <v>0</v>
      </c>
      <c r="K677" s="9" t="n">
        <v>0</v>
      </c>
      <c r="L677" s="10" t="n">
        <v>23.43</v>
      </c>
      <c r="M677" s="10" t="n">
        <v>1.43</v>
      </c>
      <c r="N677" t="inlineStr">
        <is>
          <t>1</t>
        </is>
      </c>
      <c r="O677" t="inlineStr">
        <is>
          <t xml:space="preserve">2 </t>
        </is>
      </c>
      <c r="P677" t="inlineStr">
        <is>
          <t xml:space="preserve">251454  </t>
        </is>
      </c>
      <c r="Q677" s="26" t="n">
        <v>39.5</v>
      </c>
      <c r="R677" s="26">
        <f>Q677*G677</f>
        <v/>
      </c>
      <c r="S677" t="n">
        <v>23.43</v>
      </c>
      <c r="T677" s="18">
        <f>1 - V677/S677</f>
        <v/>
      </c>
      <c r="U677" s="18" t="n">
        <v>0.2430379746835444</v>
      </c>
      <c r="V677" s="26" t="n">
        <v>19.00423728813559</v>
      </c>
      <c r="W677" s="26">
        <f>V677 - L677</f>
        <v/>
      </c>
    </row>
    <row r="678">
      <c r="A678" s="11" t="n">
        <v>46209</v>
      </c>
      <c r="B678" s="1" t="n">
        <v>20080</v>
      </c>
      <c r="C678" s="1" t="inlineStr">
        <is>
          <t>029</t>
        </is>
      </c>
      <c r="D678" s="1" t="inlineStr">
        <is>
          <t>224927</t>
        </is>
      </c>
      <c r="E678" s="1" t="inlineStr">
        <is>
          <t xml:space="preserve">32656416       </t>
        </is>
      </c>
      <c r="F678" s="5" t="inlineStr">
        <is>
          <t>EL PISO ES LAVA</t>
        </is>
      </c>
      <c r="G678" t="n">
        <v>1</v>
      </c>
      <c r="H678" s="7" t="n">
        <v>79.90000000000001</v>
      </c>
      <c r="I678" s="7" t="n">
        <v>0</v>
      </c>
      <c r="J678" s="7" t="n">
        <v>0</v>
      </c>
      <c r="K678" s="9" t="n">
        <v>0</v>
      </c>
      <c r="L678" s="10" t="n">
        <v>47.4</v>
      </c>
      <c r="M678" s="10" t="n">
        <v>1.43</v>
      </c>
      <c r="N678" t="inlineStr">
        <is>
          <t>1</t>
        </is>
      </c>
      <c r="O678" t="inlineStr">
        <is>
          <t>16</t>
        </is>
      </c>
      <c r="P678" t="inlineStr">
        <is>
          <t xml:space="preserve">79951   </t>
        </is>
      </c>
      <c r="Q678" s="26" t="n">
        <v>79.90000000000001</v>
      </c>
      <c r="R678" s="26">
        <f>Q678*G678</f>
        <v/>
      </c>
      <c r="S678" t="n">
        <v>47.4</v>
      </c>
      <c r="T678" s="18">
        <f>1 - V678/S678</f>
        <v/>
      </c>
      <c r="U678" s="18" t="n">
        <v>0.5632040050062579</v>
      </c>
      <c r="V678" s="26" t="n">
        <v>28.10169491525424</v>
      </c>
      <c r="W678" s="26">
        <f>V678 - L678</f>
        <v/>
      </c>
    </row>
    <row r="679">
      <c r="A679" s="11" t="n">
        <v>46209</v>
      </c>
      <c r="B679" s="1" t="n">
        <v>20086</v>
      </c>
      <c r="C679" s="1" t="inlineStr">
        <is>
          <t>191</t>
        </is>
      </c>
      <c r="D679" s="1" t="inlineStr">
        <is>
          <t>291259</t>
        </is>
      </c>
      <c r="E679" s="1" t="inlineStr">
        <is>
          <t xml:space="preserve">30141768       </t>
        </is>
      </c>
      <c r="F679" s="5" t="inlineStr">
        <is>
          <t>TMZ BEAST MACHINES AUTOS DE METAL PACK 10 AUTOS</t>
        </is>
      </c>
      <c r="G679" t="n">
        <v>1</v>
      </c>
      <c r="H679" s="7" t="n">
        <v>79</v>
      </c>
      <c r="I679" s="7" t="n">
        <v>0</v>
      </c>
      <c r="J679" s="7" t="n">
        <v>0</v>
      </c>
      <c r="K679" s="9" t="n">
        <v>0</v>
      </c>
      <c r="L679" s="10" t="n">
        <v>46.87</v>
      </c>
      <c r="M679" s="10" t="n">
        <v>1.43</v>
      </c>
      <c r="N679" t="inlineStr">
        <is>
          <t>1</t>
        </is>
      </c>
      <c r="O679" t="inlineStr">
        <is>
          <t xml:space="preserve">2 </t>
        </is>
      </c>
      <c r="P679" t="inlineStr">
        <is>
          <t xml:space="preserve">250782  </t>
        </is>
      </c>
      <c r="Q679" s="26" t="n">
        <v>79</v>
      </c>
      <c r="R679" s="26">
        <f>Q679*G679</f>
        <v/>
      </c>
      <c r="S679" t="n">
        <v>46.86</v>
      </c>
      <c r="T679" s="18">
        <f>1 - V679/S679</f>
        <v/>
      </c>
      <c r="U679" s="18" t="n">
        <v>0.1265822784810127</v>
      </c>
      <c r="V679" s="26" t="n">
        <v>43.85593220338983</v>
      </c>
      <c r="W679" s="26">
        <f>V679 - L679</f>
        <v/>
      </c>
    </row>
    <row r="680">
      <c r="A680" s="11" t="n">
        <v>46209</v>
      </c>
      <c r="B680" s="1" t="n">
        <v>20086</v>
      </c>
      <c r="C680" s="1" t="inlineStr">
        <is>
          <t>501</t>
        </is>
      </c>
      <c r="D680" s="1" t="inlineStr">
        <is>
          <t xml:space="preserve">4636  </t>
        </is>
      </c>
      <c r="E680" s="1" t="inlineStr">
        <is>
          <t xml:space="preserve">28194770       </t>
        </is>
      </c>
      <c r="F680" s="5" t="inlineStr">
        <is>
          <t>AUTOS DE METAL 3 TEAMSTERZ EN BLISTER</t>
        </is>
      </c>
      <c r="G680" t="n">
        <v>1</v>
      </c>
      <c r="H680" s="7" t="n">
        <v>6.9</v>
      </c>
      <c r="I680" s="7" t="n">
        <v>0</v>
      </c>
      <c r="J680" s="7" t="n">
        <v>0</v>
      </c>
      <c r="K680" s="9" t="n">
        <v>0</v>
      </c>
      <c r="L680" s="10" t="n">
        <v>4.1</v>
      </c>
      <c r="M680" s="10" t="n">
        <v>1.43</v>
      </c>
      <c r="N680" t="inlineStr">
        <is>
          <t>1</t>
        </is>
      </c>
      <c r="O680" t="inlineStr">
        <is>
          <t>16</t>
        </is>
      </c>
      <c r="P680" t="inlineStr">
        <is>
          <t xml:space="preserve">239143  </t>
        </is>
      </c>
      <c r="Q680" s="26" t="n">
        <v>6.9</v>
      </c>
      <c r="R680" s="26">
        <f>Q680*G680</f>
        <v/>
      </c>
      <c r="S680" t="n">
        <v>4.09</v>
      </c>
      <c r="T680" s="18">
        <f>1 - V680/S680</f>
        <v/>
      </c>
      <c r="U680" s="18" t="n">
        <v>0</v>
      </c>
      <c r="V680" s="26" t="n">
        <v>4.09</v>
      </c>
      <c r="W680" s="26">
        <f>V680 - L680</f>
        <v/>
      </c>
    </row>
    <row r="681">
      <c r="A681" s="11" t="n">
        <v>46209</v>
      </c>
      <c r="B681" s="1" t="n">
        <v>20088</v>
      </c>
      <c r="C681" s="1" t="inlineStr">
        <is>
          <t>021</t>
        </is>
      </c>
      <c r="D681" s="1" t="inlineStr">
        <is>
          <t xml:space="preserve">48324 </t>
        </is>
      </c>
      <c r="E681" s="1" t="inlineStr">
        <is>
          <t xml:space="preserve">28194780       </t>
        </is>
      </c>
      <c r="F681" s="5" t="inlineStr">
        <is>
          <t>TROMPO BATALLA INFINITY NADO PLSTICO SURTIDO</t>
        </is>
      </c>
      <c r="G681" t="n">
        <v>1</v>
      </c>
      <c r="H681" s="7" t="n">
        <v>19.9</v>
      </c>
      <c r="I681" s="7" t="n">
        <v>0</v>
      </c>
      <c r="J681" s="7" t="n">
        <v>0</v>
      </c>
      <c r="K681" s="9" t="n">
        <v>0</v>
      </c>
      <c r="L681" s="10" t="n">
        <v>11.8</v>
      </c>
      <c r="M681" s="10" t="n">
        <v>1.43</v>
      </c>
      <c r="N681" t="inlineStr">
        <is>
          <t>1</t>
        </is>
      </c>
      <c r="O681" t="inlineStr">
        <is>
          <t>16</t>
        </is>
      </c>
      <c r="P681" t="inlineStr">
        <is>
          <t xml:space="preserve">234665  </t>
        </is>
      </c>
      <c r="Q681" s="26" t="n">
        <v>19.9</v>
      </c>
      <c r="R681" s="26">
        <f>Q681*G681</f>
        <v/>
      </c>
      <c r="S681" t="n">
        <v>11.81</v>
      </c>
      <c r="T681" s="18">
        <f>1 - V681/S681</f>
        <v/>
      </c>
      <c r="U681" s="18" t="n">
        <v>0</v>
      </c>
      <c r="V681" s="26" t="n">
        <v>11.81</v>
      </c>
      <c r="W681" s="26">
        <f>V681 - L681</f>
        <v/>
      </c>
    </row>
    <row r="682">
      <c r="A682" s="11" t="n">
        <v>46209</v>
      </c>
      <c r="B682" s="1" t="n">
        <v>20088</v>
      </c>
      <c r="C682" s="1" t="inlineStr">
        <is>
          <t>021</t>
        </is>
      </c>
      <c r="D682" s="1" t="inlineStr">
        <is>
          <t xml:space="preserve">48381 </t>
        </is>
      </c>
      <c r="E682" s="1" t="inlineStr">
        <is>
          <t xml:space="preserve">28194770       </t>
        </is>
      </c>
      <c r="F682" s="5" t="inlineStr">
        <is>
          <t>AUTOS DE METAL 3 TEAMSTERZ EN BLISTER</t>
        </is>
      </c>
      <c r="G682" t="n">
        <v>1</v>
      </c>
      <c r="H682" s="7" t="n">
        <v>6.9</v>
      </c>
      <c r="I682" s="7" t="n">
        <v>0</v>
      </c>
      <c r="J682" s="7" t="n">
        <v>0</v>
      </c>
      <c r="K682" s="9" t="n">
        <v>0</v>
      </c>
      <c r="L682" s="10" t="n">
        <v>4.1</v>
      </c>
      <c r="M682" s="10" t="n">
        <v>1.43</v>
      </c>
      <c r="N682" t="inlineStr">
        <is>
          <t>1</t>
        </is>
      </c>
      <c r="O682" t="inlineStr">
        <is>
          <t>16</t>
        </is>
      </c>
      <c r="P682" t="inlineStr">
        <is>
          <t xml:space="preserve">234665  </t>
        </is>
      </c>
      <c r="Q682" s="26" t="n">
        <v>6.9</v>
      </c>
      <c r="R682" s="26">
        <f>Q682*G682</f>
        <v/>
      </c>
      <c r="S682" t="n">
        <v>4.09</v>
      </c>
      <c r="T682" s="18">
        <f>1 - V682/S682</f>
        <v/>
      </c>
      <c r="U682" s="18" t="n">
        <v>0</v>
      </c>
      <c r="V682" s="26" t="n">
        <v>4.09</v>
      </c>
      <c r="W682" s="26">
        <f>V682 - L682</f>
        <v/>
      </c>
    </row>
    <row r="683">
      <c r="A683" s="11" t="n">
        <v>46209</v>
      </c>
      <c r="B683" s="1" t="n">
        <v>20088</v>
      </c>
      <c r="C683" s="1" t="inlineStr">
        <is>
          <t>023</t>
        </is>
      </c>
      <c r="D683" s="1" t="inlineStr">
        <is>
          <t>126581</t>
        </is>
      </c>
      <c r="E683" s="1" t="inlineStr">
        <is>
          <t xml:space="preserve">28194769       </t>
        </is>
      </c>
      <c r="F683" s="5" t="inlineStr">
        <is>
          <t>AUTOS DE METAL 3 TEAMSTERZ PACK DE 2</t>
        </is>
      </c>
      <c r="G683" t="n">
        <v>1</v>
      </c>
      <c r="H683" s="7" t="n">
        <v>13.8</v>
      </c>
      <c r="I683" s="7" t="n">
        <v>0</v>
      </c>
      <c r="J683" s="7" t="n">
        <v>0</v>
      </c>
      <c r="K683" s="9" t="n">
        <v>0</v>
      </c>
      <c r="L683" s="10" t="n">
        <v>8.18</v>
      </c>
      <c r="M683" s="10" t="n">
        <v>1.43</v>
      </c>
      <c r="N683" t="inlineStr">
        <is>
          <t>1</t>
        </is>
      </c>
      <c r="O683" t="inlineStr">
        <is>
          <t>16</t>
        </is>
      </c>
      <c r="P683" t="inlineStr">
        <is>
          <t xml:space="preserve">248960  </t>
        </is>
      </c>
      <c r="Q683" s="26" t="n">
        <v>13.8</v>
      </c>
      <c r="R683" s="26">
        <f>Q683*G683</f>
        <v/>
      </c>
      <c r="S683" t="n">
        <v>8.19</v>
      </c>
      <c r="T683" s="18">
        <f>1 - V683/S683</f>
        <v/>
      </c>
      <c r="U683" s="18" t="n">
        <v>0</v>
      </c>
      <c r="V683" s="26" t="n">
        <v>8.19</v>
      </c>
      <c r="W683" s="26">
        <f>V683 - L683</f>
        <v/>
      </c>
    </row>
    <row r="684">
      <c r="A684" s="11" t="n">
        <v>46209</v>
      </c>
      <c r="B684" s="1" t="n">
        <v>20088</v>
      </c>
      <c r="C684" s="1" t="inlineStr">
        <is>
          <t>023</t>
        </is>
      </c>
      <c r="D684" s="1" t="inlineStr">
        <is>
          <t>126616</t>
        </is>
      </c>
      <c r="E684" s="1" t="inlineStr">
        <is>
          <t xml:space="preserve">28194770       </t>
        </is>
      </c>
      <c r="F684" s="5" t="inlineStr">
        <is>
          <t>AUTOS DE METAL 3 TEAMSTERZ EN BLISTER</t>
        </is>
      </c>
      <c r="G684" t="n">
        <v>1</v>
      </c>
      <c r="H684" s="7" t="n">
        <v>6.9</v>
      </c>
      <c r="I684" s="7" t="n">
        <v>0</v>
      </c>
      <c r="J684" s="7" t="n">
        <v>0</v>
      </c>
      <c r="K684" s="9" t="n">
        <v>0</v>
      </c>
      <c r="L684" s="10" t="n">
        <v>4.1</v>
      </c>
      <c r="M684" s="10" t="n">
        <v>1.43</v>
      </c>
      <c r="N684" t="inlineStr">
        <is>
          <t>1</t>
        </is>
      </c>
      <c r="O684" t="inlineStr">
        <is>
          <t xml:space="preserve">2 </t>
        </is>
      </c>
      <c r="P684" t="inlineStr">
        <is>
          <t xml:space="preserve">248960  </t>
        </is>
      </c>
      <c r="Q684" s="26" t="n">
        <v>6.9</v>
      </c>
      <c r="R684" s="26">
        <f>Q684*G684</f>
        <v/>
      </c>
      <c r="S684" t="n">
        <v>4.09</v>
      </c>
      <c r="T684" s="18">
        <f>1 - V684/S684</f>
        <v/>
      </c>
      <c r="U684" s="18" t="n">
        <v>0</v>
      </c>
      <c r="V684" s="26" t="n">
        <v>4.09</v>
      </c>
      <c r="W684" s="26">
        <f>V684 - L684</f>
        <v/>
      </c>
    </row>
    <row r="685">
      <c r="A685" s="11" t="n">
        <v>46209</v>
      </c>
      <c r="B685" s="1" t="n">
        <v>20088</v>
      </c>
      <c r="C685" s="1" t="inlineStr">
        <is>
          <t>023</t>
        </is>
      </c>
      <c r="D685" s="1" t="inlineStr">
        <is>
          <t>126616</t>
        </is>
      </c>
      <c r="E685" s="1" t="inlineStr">
        <is>
          <t xml:space="preserve">28194770       </t>
        </is>
      </c>
      <c r="F685" s="5" t="inlineStr">
        <is>
          <t>AUTOS DE METAL 3 TEAMSTERZ EN BLISTER</t>
        </is>
      </c>
      <c r="G685" t="n">
        <v>1</v>
      </c>
      <c r="H685" s="7" t="n">
        <v>6.9</v>
      </c>
      <c r="I685" s="7" t="n">
        <v>0</v>
      </c>
      <c r="J685" s="7" t="n">
        <v>0</v>
      </c>
      <c r="K685" s="9" t="n">
        <v>0</v>
      </c>
      <c r="L685" s="10" t="n">
        <v>4.1</v>
      </c>
      <c r="M685" s="10" t="n">
        <v>1.43</v>
      </c>
      <c r="N685" t="inlineStr">
        <is>
          <t>1</t>
        </is>
      </c>
      <c r="O685" t="inlineStr">
        <is>
          <t xml:space="preserve">2 </t>
        </is>
      </c>
      <c r="P685" t="inlineStr">
        <is>
          <t xml:space="preserve">248960  </t>
        </is>
      </c>
      <c r="Q685" s="26" t="n">
        <v>6.9</v>
      </c>
      <c r="R685" s="26">
        <f>Q685*G685</f>
        <v/>
      </c>
      <c r="S685" t="n">
        <v>4.09</v>
      </c>
      <c r="T685" s="18">
        <f>1 - V685/S685</f>
        <v/>
      </c>
      <c r="U685" s="18" t="n">
        <v>0</v>
      </c>
      <c r="V685" s="26" t="n">
        <v>4.09</v>
      </c>
      <c r="W685" s="26">
        <f>V685 - L685</f>
        <v/>
      </c>
    </row>
    <row r="686">
      <c r="A686" s="11" t="n">
        <v>46209</v>
      </c>
      <c r="B686" s="1" t="n">
        <v>20089</v>
      </c>
      <c r="C686" s="1" t="inlineStr">
        <is>
          <t>010</t>
        </is>
      </c>
      <c r="D686" s="1" t="inlineStr">
        <is>
          <t xml:space="preserve">73757 </t>
        </is>
      </c>
      <c r="E686" s="1" t="inlineStr">
        <is>
          <t xml:space="preserve">30141766       </t>
        </is>
      </c>
      <c r="F686" s="5" t="inlineStr">
        <is>
          <t>TMZ BEAST MACHINES AUTOS DE METAL BLISTER X 1</t>
        </is>
      </c>
      <c r="G686" t="n">
        <v>4</v>
      </c>
      <c r="H686" s="7" t="n">
        <v>31.6</v>
      </c>
      <c r="I686" s="7" t="n">
        <v>0</v>
      </c>
      <c r="J686" s="7" t="n">
        <v>0</v>
      </c>
      <c r="K686" s="9" t="n">
        <v>0</v>
      </c>
      <c r="L686" s="10" t="n">
        <v>18.76</v>
      </c>
      <c r="M686" s="10" t="n">
        <v>1.43</v>
      </c>
      <c r="N686" t="inlineStr">
        <is>
          <t>1</t>
        </is>
      </c>
      <c r="O686" t="inlineStr">
        <is>
          <t>16</t>
        </is>
      </c>
      <c r="P686" t="inlineStr">
        <is>
          <t xml:space="preserve">69718   </t>
        </is>
      </c>
      <c r="Q686" s="26" t="n">
        <v>7.9</v>
      </c>
      <c r="R686" s="26">
        <f>Q686*G686</f>
        <v/>
      </c>
      <c r="S686" t="n">
        <v>18.76</v>
      </c>
      <c r="T686" s="18">
        <f>1 - V686/S686</f>
        <v/>
      </c>
      <c r="U686" s="18" t="n">
        <v>0</v>
      </c>
      <c r="V686" s="26" t="n">
        <v>18.76</v>
      </c>
      <c r="W686" s="26">
        <f>V686 - L686</f>
        <v/>
      </c>
    </row>
    <row r="687">
      <c r="A687" s="11" t="n">
        <v>46209</v>
      </c>
      <c r="B687" s="1" t="n">
        <v>20089</v>
      </c>
      <c r="C687" s="1" t="inlineStr">
        <is>
          <t>026</t>
        </is>
      </c>
      <c r="D687" s="1" t="inlineStr">
        <is>
          <t xml:space="preserve">87410 </t>
        </is>
      </c>
      <c r="E687" s="1" t="inlineStr">
        <is>
          <t xml:space="preserve">28194770       </t>
        </is>
      </c>
      <c r="F687" s="5" t="inlineStr">
        <is>
          <t>AUTOS DE METAL 3 TEAMSTERZ EN BLISTER</t>
        </is>
      </c>
      <c r="G687" t="n">
        <v>1</v>
      </c>
      <c r="H687" s="7" t="n">
        <v>6.9</v>
      </c>
      <c r="I687" s="7" t="n">
        <v>0</v>
      </c>
      <c r="J687" s="7" t="n">
        <v>0</v>
      </c>
      <c r="K687" s="9" t="n">
        <v>0</v>
      </c>
      <c r="L687" s="10" t="n">
        <v>4.1</v>
      </c>
      <c r="M687" s="10" t="n">
        <v>1.43</v>
      </c>
      <c r="N687" t="inlineStr">
        <is>
          <t>1</t>
        </is>
      </c>
      <c r="O687" t="inlineStr">
        <is>
          <t>16</t>
        </is>
      </c>
      <c r="P687" t="inlineStr">
        <is>
          <t xml:space="preserve">233031  </t>
        </is>
      </c>
      <c r="Q687" s="26" t="n">
        <v>6.9</v>
      </c>
      <c r="R687" s="26">
        <f>Q687*G687</f>
        <v/>
      </c>
      <c r="S687" t="n">
        <v>4.09</v>
      </c>
      <c r="T687" s="18">
        <f>1 - V687/S687</f>
        <v/>
      </c>
      <c r="U687" s="18" t="n">
        <v>0</v>
      </c>
      <c r="V687" s="26" t="n">
        <v>4.09</v>
      </c>
      <c r="W687" s="26">
        <f>V687 - L687</f>
        <v/>
      </c>
    </row>
    <row r="688">
      <c r="A688" s="11" t="n">
        <v>46209</v>
      </c>
      <c r="B688" s="1" t="n">
        <v>20089</v>
      </c>
      <c r="C688" s="1" t="inlineStr">
        <is>
          <t>027</t>
        </is>
      </c>
      <c r="D688" s="1" t="inlineStr">
        <is>
          <t xml:space="preserve">15667 </t>
        </is>
      </c>
      <c r="E688" s="1" t="inlineStr">
        <is>
          <t xml:space="preserve">28194765       </t>
        </is>
      </c>
      <c r="F688" s="5" t="inlineStr">
        <is>
          <t>PLAYSET COLOR CHANGE TIBURN TEAMSTERZ  1 AUTITO</t>
        </is>
      </c>
      <c r="G688" t="n">
        <v>1</v>
      </c>
      <c r="H688" s="7" t="n">
        <v>79.90000000000001</v>
      </c>
      <c r="I688" s="7" t="n">
        <v>0</v>
      </c>
      <c r="J688" s="7" t="n">
        <v>0</v>
      </c>
      <c r="K688" s="9" t="n">
        <v>0</v>
      </c>
      <c r="L688" s="10" t="n">
        <v>47.4</v>
      </c>
      <c r="M688" s="10" t="n">
        <v>1.43</v>
      </c>
      <c r="N688" t="inlineStr">
        <is>
          <t>1</t>
        </is>
      </c>
      <c r="O688" t="inlineStr">
        <is>
          <t>16</t>
        </is>
      </c>
      <c r="P688" t="inlineStr">
        <is>
          <t xml:space="preserve">249671  </t>
        </is>
      </c>
      <c r="Q688" s="26" t="n">
        <v>79.90000000000001</v>
      </c>
      <c r="R688" s="26">
        <f>Q688*G688</f>
        <v/>
      </c>
      <c r="S688" t="n">
        <v>47.4</v>
      </c>
      <c r="T688" s="18">
        <f>1 - V688/S688</f>
        <v/>
      </c>
      <c r="U688" s="18" t="n">
        <v>0</v>
      </c>
      <c r="V688" s="26" t="n">
        <v>47.4</v>
      </c>
      <c r="W688" s="26">
        <f>V688 - L688</f>
        <v/>
      </c>
    </row>
    <row r="689">
      <c r="A689" s="11" t="n">
        <v>46209</v>
      </c>
      <c r="B689" s="1" t="n">
        <v>20089</v>
      </c>
      <c r="C689" s="1" t="inlineStr">
        <is>
          <t>027</t>
        </is>
      </c>
      <c r="D689" s="1" t="inlineStr">
        <is>
          <t xml:space="preserve">15673 </t>
        </is>
      </c>
      <c r="E689" s="1" t="inlineStr">
        <is>
          <t xml:space="preserve">28194770       </t>
        </is>
      </c>
      <c r="F689" s="5" t="inlineStr">
        <is>
          <t>AUTOS DE METAL 3 TEAMSTERZ EN BLISTER</t>
        </is>
      </c>
      <c r="G689" t="n">
        <v>1</v>
      </c>
      <c r="H689" s="7" t="n">
        <v>6.9</v>
      </c>
      <c r="I689" s="7" t="n">
        <v>0</v>
      </c>
      <c r="J689" s="7" t="n">
        <v>0</v>
      </c>
      <c r="K689" s="9" t="n">
        <v>0</v>
      </c>
      <c r="L689" s="10" t="n">
        <v>4.1</v>
      </c>
      <c r="M689" s="10" t="n">
        <v>1.43</v>
      </c>
      <c r="N689" t="inlineStr">
        <is>
          <t>1</t>
        </is>
      </c>
      <c r="O689" t="inlineStr">
        <is>
          <t>16</t>
        </is>
      </c>
      <c r="P689" t="inlineStr">
        <is>
          <t xml:space="preserve">249671  </t>
        </is>
      </c>
      <c r="Q689" s="26" t="n">
        <v>6.9</v>
      </c>
      <c r="R689" s="26">
        <f>Q689*G689</f>
        <v/>
      </c>
      <c r="S689" t="n">
        <v>4.09</v>
      </c>
      <c r="T689" s="18">
        <f>1 - V689/S689</f>
        <v/>
      </c>
      <c r="U689" s="18" t="n">
        <v>0</v>
      </c>
      <c r="V689" s="26" t="n">
        <v>4.09</v>
      </c>
      <c r="W689" s="26">
        <f>V689 - L689</f>
        <v/>
      </c>
    </row>
    <row r="690">
      <c r="A690" s="11" t="n">
        <v>46209</v>
      </c>
      <c r="B690" s="1" t="n">
        <v>20089</v>
      </c>
      <c r="C690" s="1" t="inlineStr">
        <is>
          <t>860</t>
        </is>
      </c>
      <c r="D690" s="1" t="inlineStr">
        <is>
          <t xml:space="preserve">9379  </t>
        </is>
      </c>
      <c r="E690" s="1" t="inlineStr">
        <is>
          <t xml:space="preserve">34840550       </t>
        </is>
      </c>
      <c r="F690" s="5" t="inlineStr">
        <is>
          <t>TEAMSTERZ M/MOVERZ TRANSPORTA GORILA</t>
        </is>
      </c>
      <c r="G690" t="n">
        <v>1</v>
      </c>
      <c r="H690" s="7" t="n">
        <v>129</v>
      </c>
      <c r="I690" s="7" t="n">
        <v>0</v>
      </c>
      <c r="J690" s="7" t="n">
        <v>0</v>
      </c>
      <c r="K690" s="9" t="n">
        <v>0</v>
      </c>
      <c r="L690" s="10" t="n">
        <v>76.52</v>
      </c>
      <c r="M690" s="10" t="n">
        <v>1.43</v>
      </c>
      <c r="N690" t="inlineStr">
        <is>
          <t>1</t>
        </is>
      </c>
      <c r="O690" t="inlineStr">
        <is>
          <t>16</t>
        </is>
      </c>
      <c r="P690" t="inlineStr">
        <is>
          <t xml:space="preserve">0       </t>
        </is>
      </c>
      <c r="Q690" s="26" t="n">
        <v>129</v>
      </c>
      <c r="R690" s="26">
        <f>Q690*G690</f>
        <v/>
      </c>
      <c r="S690" t="n">
        <v>76.53</v>
      </c>
      <c r="T690" s="18">
        <f>1 - V690/S690</f>
        <v/>
      </c>
      <c r="U690" s="18" t="n">
        <v>0</v>
      </c>
      <c r="V690" s="26" t="n">
        <v>76.53</v>
      </c>
      <c r="W690" s="26">
        <f>V690 - L690</f>
        <v/>
      </c>
    </row>
    <row r="691">
      <c r="A691" s="11" t="n">
        <v>46209</v>
      </c>
      <c r="B691" s="1" t="n">
        <v>20095</v>
      </c>
      <c r="C691" s="1" t="inlineStr">
        <is>
          <t>043</t>
        </is>
      </c>
      <c r="D691" s="1" t="inlineStr">
        <is>
          <t>107488</t>
        </is>
      </c>
      <c r="E691" s="1" t="inlineStr">
        <is>
          <t xml:space="preserve">28194770       </t>
        </is>
      </c>
      <c r="F691" s="5" t="inlineStr">
        <is>
          <t>AUTOS DE METAL 3 TEAMSTERZ EN BLISTER</t>
        </is>
      </c>
      <c r="G691" t="n">
        <v>1</v>
      </c>
      <c r="H691" s="7" t="n">
        <v>6.9</v>
      </c>
      <c r="I691" s="7" t="n">
        <v>0</v>
      </c>
      <c r="J691" s="7" t="n">
        <v>0</v>
      </c>
      <c r="K691" s="9" t="n">
        <v>0</v>
      </c>
      <c r="L691" s="10" t="n">
        <v>4.1</v>
      </c>
      <c r="M691" s="10" t="n">
        <v>1.43</v>
      </c>
      <c r="N691" t="inlineStr">
        <is>
          <t>1</t>
        </is>
      </c>
      <c r="O691" t="inlineStr">
        <is>
          <t xml:space="preserve">3 </t>
        </is>
      </c>
      <c r="P691" t="inlineStr">
        <is>
          <t xml:space="preserve">57866   </t>
        </is>
      </c>
      <c r="Q691" s="26" t="n">
        <v>6.9</v>
      </c>
      <c r="R691" s="26">
        <f>Q691*G691</f>
        <v/>
      </c>
      <c r="S691" t="n">
        <v>4.09</v>
      </c>
      <c r="T691" s="18">
        <f>1 - V691/S691</f>
        <v/>
      </c>
      <c r="U691" s="18" t="n">
        <v>0</v>
      </c>
      <c r="V691" s="26" t="n">
        <v>4.09</v>
      </c>
      <c r="W691" s="26">
        <f>V691 - L691</f>
        <v/>
      </c>
    </row>
    <row r="692">
      <c r="A692" s="11" t="n">
        <v>46209</v>
      </c>
      <c r="B692" s="1" t="n">
        <v>20095</v>
      </c>
      <c r="C692" s="1" t="inlineStr">
        <is>
          <t>044</t>
        </is>
      </c>
      <c r="D692" s="1" t="inlineStr">
        <is>
          <t xml:space="preserve">93015 </t>
        </is>
      </c>
      <c r="E692" s="1" t="inlineStr">
        <is>
          <t xml:space="preserve">28194769       </t>
        </is>
      </c>
      <c r="F692" s="5" t="inlineStr">
        <is>
          <t>AUTOS DE METAL 3 TEAMSTERZ PACK DE 2</t>
        </is>
      </c>
      <c r="G692" t="n">
        <v>1</v>
      </c>
      <c r="H692" s="7" t="n">
        <v>13.8</v>
      </c>
      <c r="I692" s="7" t="n">
        <v>0</v>
      </c>
      <c r="J692" s="7" t="n">
        <v>0</v>
      </c>
      <c r="K692" s="9" t="n">
        <v>0</v>
      </c>
      <c r="L692" s="10" t="n">
        <v>8.18</v>
      </c>
      <c r="M692" s="10" t="n">
        <v>1.43</v>
      </c>
      <c r="N692" t="inlineStr">
        <is>
          <t>1</t>
        </is>
      </c>
      <c r="O692" t="inlineStr">
        <is>
          <t>16</t>
        </is>
      </c>
      <c r="P692" t="inlineStr">
        <is>
          <t xml:space="preserve">248421  </t>
        </is>
      </c>
      <c r="Q692" s="26" t="n">
        <v>13.8</v>
      </c>
      <c r="R692" s="26">
        <f>Q692*G692</f>
        <v/>
      </c>
      <c r="S692" t="n">
        <v>8.19</v>
      </c>
      <c r="T692" s="18">
        <f>1 - V692/S692</f>
        <v/>
      </c>
      <c r="U692" s="18" t="n">
        <v>0</v>
      </c>
      <c r="V692" s="26" t="n">
        <v>8.19</v>
      </c>
      <c r="W692" s="26">
        <f>V692 - L692</f>
        <v/>
      </c>
    </row>
    <row r="693">
      <c r="A693" s="11" t="n">
        <v>46209</v>
      </c>
      <c r="B693" s="1" t="n">
        <v>20095</v>
      </c>
      <c r="C693" s="1" t="inlineStr">
        <is>
          <t>044</t>
        </is>
      </c>
      <c r="D693" s="1" t="inlineStr">
        <is>
          <t xml:space="preserve">93062 </t>
        </is>
      </c>
      <c r="E693" s="1" t="inlineStr">
        <is>
          <t xml:space="preserve">28194781       </t>
        </is>
      </c>
      <c r="F693" s="5" t="inlineStr">
        <is>
          <t>TROMPO BATALLA INFINITY NADO SERIE V CLASICA SURTI</t>
        </is>
      </c>
      <c r="G693" t="n">
        <v>1</v>
      </c>
      <c r="H693" s="7" t="n">
        <v>59.9</v>
      </c>
      <c r="I693" s="7" t="n">
        <v>0</v>
      </c>
      <c r="J693" s="7" t="n">
        <v>0</v>
      </c>
      <c r="K693" s="9" t="n">
        <v>0</v>
      </c>
      <c r="L693" s="10" t="n">
        <v>35.53</v>
      </c>
      <c r="M693" s="10" t="n">
        <v>1.43</v>
      </c>
      <c r="N693" t="inlineStr">
        <is>
          <t>1</t>
        </is>
      </c>
      <c r="O693" t="inlineStr">
        <is>
          <t>16</t>
        </is>
      </c>
      <c r="P693" t="inlineStr">
        <is>
          <t xml:space="preserve">248421  </t>
        </is>
      </c>
      <c r="Q693" s="26" t="n">
        <v>59.9</v>
      </c>
      <c r="R693" s="26">
        <f>Q693*G693</f>
        <v/>
      </c>
      <c r="S693" t="n">
        <v>35.53</v>
      </c>
      <c r="T693" s="18">
        <f>1 - V693/S693</f>
        <v/>
      </c>
      <c r="U693" s="18" t="n">
        <v>0.333889816360601</v>
      </c>
      <c r="V693" s="26" t="n">
        <v>25.36016949152542</v>
      </c>
      <c r="W693" s="26">
        <f>V693 - L693</f>
        <v/>
      </c>
    </row>
    <row r="694">
      <c r="A694" s="11" t="n">
        <v>46210</v>
      </c>
      <c r="B694" s="1" t="n">
        <v>20021</v>
      </c>
      <c r="C694" s="1" t="inlineStr">
        <is>
          <t>055</t>
        </is>
      </c>
      <c r="D694" s="1" t="inlineStr">
        <is>
          <t>154407</t>
        </is>
      </c>
      <c r="E694" s="1" t="inlineStr">
        <is>
          <t xml:space="preserve">28194767       </t>
        </is>
      </c>
      <c r="F694" s="5" t="inlineStr">
        <is>
          <t>CAMIONES TEAMSTERZ DE EMERGENCIA</t>
        </is>
      </c>
      <c r="G694" t="n">
        <v>1</v>
      </c>
      <c r="H694" s="7" t="n">
        <v>17.9</v>
      </c>
      <c r="I694" s="7" t="n">
        <v>0</v>
      </c>
      <c r="J694" s="7" t="n">
        <v>0</v>
      </c>
      <c r="K694" s="9" t="n">
        <v>0</v>
      </c>
      <c r="L694" s="10" t="n">
        <v>10.62</v>
      </c>
      <c r="M694" s="10" t="n">
        <v>1.43</v>
      </c>
      <c r="N694" t="inlineStr">
        <is>
          <t>1</t>
        </is>
      </c>
      <c r="O694" t="inlineStr">
        <is>
          <t>16</t>
        </is>
      </c>
      <c r="P694" t="inlineStr">
        <is>
          <t xml:space="preserve">36042   </t>
        </is>
      </c>
      <c r="Q694" s="26" t="n">
        <v>17.9</v>
      </c>
      <c r="R694" s="26">
        <f>Q694*G694</f>
        <v/>
      </c>
      <c r="S694" t="n">
        <v>10.62</v>
      </c>
      <c r="T694" s="18">
        <f>1 - V694/S694</f>
        <v/>
      </c>
      <c r="U694" s="18" t="n">
        <v>0</v>
      </c>
      <c r="V694" s="26" t="n">
        <v>10.62</v>
      </c>
      <c r="W694" s="26">
        <f>V694 - L694</f>
        <v/>
      </c>
    </row>
    <row r="695">
      <c r="A695" s="11" t="n">
        <v>46210</v>
      </c>
      <c r="B695" s="1" t="n">
        <v>20021</v>
      </c>
      <c r="C695" s="1" t="inlineStr">
        <is>
          <t>063</t>
        </is>
      </c>
      <c r="D695" s="1" t="inlineStr">
        <is>
          <t>153014</t>
        </is>
      </c>
      <c r="E695" s="1" t="inlineStr">
        <is>
          <t xml:space="preserve">33661538       </t>
        </is>
      </c>
      <c r="F695" s="5" t="inlineStr">
        <is>
          <t>HOT WHEELS CASE GARAGE RUEDA METAL EN LLAMAS X 29</t>
        </is>
      </c>
      <c r="G695" t="n">
        <v>1</v>
      </c>
      <c r="H695" s="7" t="n">
        <v>69.90000000000001</v>
      </c>
      <c r="I695" s="7" t="n">
        <v>0</v>
      </c>
      <c r="J695" s="7" t="n">
        <v>0</v>
      </c>
      <c r="K695" s="9" t="n">
        <v>0</v>
      </c>
      <c r="L695" s="10" t="n">
        <v>41.47</v>
      </c>
      <c r="M695" s="10" t="n">
        <v>1.43</v>
      </c>
      <c r="N695" t="inlineStr">
        <is>
          <t>1</t>
        </is>
      </c>
      <c r="O695" t="inlineStr">
        <is>
          <t>16</t>
        </is>
      </c>
      <c r="P695" t="inlineStr">
        <is>
          <t xml:space="preserve">32209   </t>
        </is>
      </c>
      <c r="Q695" s="26" t="n">
        <v>69.90000000000001</v>
      </c>
      <c r="R695" s="26">
        <f>Q695*G695</f>
        <v/>
      </c>
      <c r="S695" t="n">
        <v>41.47</v>
      </c>
      <c r="T695" s="18">
        <f>1 - V695/S695</f>
        <v/>
      </c>
      <c r="U695" s="18" t="n">
        <v>0</v>
      </c>
      <c r="V695" s="26" t="n">
        <v>41.47</v>
      </c>
      <c r="W695" s="26">
        <f>V695 - L695</f>
        <v/>
      </c>
    </row>
    <row r="696">
      <c r="A696" s="11" t="n">
        <v>46210</v>
      </c>
      <c r="B696" s="1" t="n">
        <v>20021</v>
      </c>
      <c r="C696" s="1" t="inlineStr">
        <is>
          <t>069</t>
        </is>
      </c>
      <c r="D696" s="1" t="inlineStr">
        <is>
          <t>129224</t>
        </is>
      </c>
      <c r="E696" s="1" t="inlineStr">
        <is>
          <t xml:space="preserve">28194768       </t>
        </is>
      </c>
      <c r="F696" s="5" t="inlineStr">
        <is>
          <t>AUTO COLOR CHANGE TEAMSTERZ SURTIDO</t>
        </is>
      </c>
      <c r="G696" t="n">
        <v>1</v>
      </c>
      <c r="H696" s="7" t="n">
        <v>14.9</v>
      </c>
      <c r="I696" s="7" t="n">
        <v>0</v>
      </c>
      <c r="J696" s="7" t="n">
        <v>0</v>
      </c>
      <c r="K696" s="9" t="n">
        <v>0</v>
      </c>
      <c r="L696" s="10" t="n">
        <v>8.84</v>
      </c>
      <c r="M696" s="10" t="n">
        <v>1.43</v>
      </c>
      <c r="N696" t="inlineStr">
        <is>
          <t>1</t>
        </is>
      </c>
      <c r="O696" t="inlineStr">
        <is>
          <t xml:space="preserve">2 </t>
        </is>
      </c>
      <c r="P696" t="inlineStr">
        <is>
          <t xml:space="preserve">235838  </t>
        </is>
      </c>
      <c r="Q696" s="26" t="n">
        <v>14.9</v>
      </c>
      <c r="R696" s="26">
        <f>Q696*G696</f>
        <v/>
      </c>
      <c r="S696" t="n">
        <v>8.84</v>
      </c>
      <c r="T696" s="18">
        <f>1 - V696/S696</f>
        <v/>
      </c>
      <c r="U696" s="18" t="n">
        <v>0</v>
      </c>
      <c r="V696" s="26" t="n">
        <v>8.84</v>
      </c>
      <c r="W696" s="26">
        <f>V696 - L696</f>
        <v/>
      </c>
    </row>
    <row r="697">
      <c r="A697" s="11" t="n">
        <v>46210</v>
      </c>
      <c r="B697" s="1" t="n">
        <v>20021</v>
      </c>
      <c r="C697" s="1" t="inlineStr">
        <is>
          <t>069</t>
        </is>
      </c>
      <c r="D697" s="1" t="inlineStr">
        <is>
          <t>129224</t>
        </is>
      </c>
      <c r="E697" s="1" t="inlineStr">
        <is>
          <t xml:space="preserve">35685067       </t>
        </is>
      </c>
      <c r="F697" s="5" t="inlineStr">
        <is>
          <t>HOT WHEELS POWER SET 3 EN 1</t>
        </is>
      </c>
      <c r="G697" t="n">
        <v>1</v>
      </c>
      <c r="H697" s="7" t="n">
        <v>49.9</v>
      </c>
      <c r="I697" s="7" t="n">
        <v>0</v>
      </c>
      <c r="J697" s="7" t="n">
        <v>0</v>
      </c>
      <c r="K697" s="9" t="n">
        <v>0</v>
      </c>
      <c r="L697" s="10" t="n">
        <v>29.6</v>
      </c>
      <c r="M697" s="10" t="n">
        <v>1.43</v>
      </c>
      <c r="N697" t="inlineStr">
        <is>
          <t>1</t>
        </is>
      </c>
      <c r="O697" t="inlineStr">
        <is>
          <t xml:space="preserve">2 </t>
        </is>
      </c>
      <c r="P697" t="inlineStr">
        <is>
          <t xml:space="preserve">235838  </t>
        </is>
      </c>
      <c r="Q697" s="26" t="n">
        <v>49.9</v>
      </c>
      <c r="R697" s="26">
        <f>Q697*G697</f>
        <v/>
      </c>
      <c r="S697" t="n">
        <v>29.6</v>
      </c>
      <c r="T697" s="18">
        <f>1 - V697/S697</f>
        <v/>
      </c>
      <c r="U697" s="18" t="n">
        <v>0</v>
      </c>
      <c r="V697" s="26" t="n">
        <v>29.6</v>
      </c>
      <c r="W697" s="26">
        <f>V697 - L697</f>
        <v/>
      </c>
    </row>
    <row r="698">
      <c r="A698" s="11" t="n">
        <v>46210</v>
      </c>
      <c r="B698" s="1" t="n">
        <v>20021</v>
      </c>
      <c r="C698" s="1" t="inlineStr">
        <is>
          <t>080</t>
        </is>
      </c>
      <c r="D698" s="1" t="inlineStr">
        <is>
          <t>309422</t>
        </is>
      </c>
      <c r="E698" s="1" t="inlineStr">
        <is>
          <t xml:space="preserve">30232281       </t>
        </is>
      </c>
      <c r="F698" s="5" t="inlineStr">
        <is>
          <t>ANTON EL CERDITO COMELON</t>
        </is>
      </c>
      <c r="G698" t="n">
        <v>1</v>
      </c>
      <c r="H698" s="7" t="n">
        <v>129</v>
      </c>
      <c r="I698" s="7" t="n">
        <v>0</v>
      </c>
      <c r="J698" s="7" t="n">
        <v>0</v>
      </c>
      <c r="K698" s="9" t="n">
        <v>0</v>
      </c>
      <c r="L698" s="10" t="n">
        <v>76.52</v>
      </c>
      <c r="M698" s="10" t="n">
        <v>1.43</v>
      </c>
      <c r="N698" t="inlineStr">
        <is>
          <t>1</t>
        </is>
      </c>
      <c r="O698" t="inlineStr">
        <is>
          <t xml:space="preserve">3 </t>
        </is>
      </c>
      <c r="P698" t="inlineStr">
        <is>
          <t xml:space="preserve">250202  </t>
        </is>
      </c>
      <c r="Q698" s="26" t="n">
        <v>129</v>
      </c>
      <c r="R698" s="26">
        <f>Q698*G698</f>
        <v/>
      </c>
      <c r="S698" t="n">
        <v>76.53</v>
      </c>
      <c r="T698" s="18">
        <f>1 - V698/S698</f>
        <v/>
      </c>
      <c r="U698" s="18" t="n">
        <v>0</v>
      </c>
      <c r="V698" s="26" t="n">
        <v>76.53</v>
      </c>
      <c r="W698" s="26">
        <f>V698 - L698</f>
        <v/>
      </c>
    </row>
    <row r="699">
      <c r="A699" s="11" t="n">
        <v>46210</v>
      </c>
      <c r="B699" s="1" t="n">
        <v>20027</v>
      </c>
      <c r="C699" s="1" t="inlineStr">
        <is>
          <t>043</t>
        </is>
      </c>
      <c r="D699" s="1" t="inlineStr">
        <is>
          <t>201608</t>
        </is>
      </c>
      <c r="E699" s="1" t="inlineStr">
        <is>
          <t xml:space="preserve">28194769       </t>
        </is>
      </c>
      <c r="F699" s="5" t="inlineStr">
        <is>
          <t>AUTOS DE METAL 3 TEAMSTERZ PACK DE 2</t>
        </is>
      </c>
      <c r="G699" t="n">
        <v>1</v>
      </c>
      <c r="H699" s="7" t="n">
        <v>13.8</v>
      </c>
      <c r="I699" s="7" t="n">
        <v>0</v>
      </c>
      <c r="J699" s="7" t="n">
        <v>0</v>
      </c>
      <c r="K699" s="9" t="n">
        <v>0</v>
      </c>
      <c r="L699" s="10" t="n">
        <v>8.18</v>
      </c>
      <c r="M699" s="10" t="n">
        <v>1.43</v>
      </c>
      <c r="N699" t="inlineStr">
        <is>
          <t>1</t>
        </is>
      </c>
      <c r="O699" t="inlineStr">
        <is>
          <t>16</t>
        </is>
      </c>
      <c r="P699" t="inlineStr">
        <is>
          <t xml:space="preserve">65829   </t>
        </is>
      </c>
      <c r="Q699" s="26" t="n">
        <v>13.8</v>
      </c>
      <c r="R699" s="26">
        <f>Q699*G699</f>
        <v/>
      </c>
      <c r="S699" t="n">
        <v>8.19</v>
      </c>
      <c r="T699" s="18">
        <f>1 - V699/S699</f>
        <v/>
      </c>
      <c r="U699" s="18" t="n">
        <v>0</v>
      </c>
      <c r="V699" s="26" t="n">
        <v>8.19</v>
      </c>
      <c r="W699" s="26">
        <f>V699 - L699</f>
        <v/>
      </c>
    </row>
    <row r="700">
      <c r="A700" s="11" t="n">
        <v>46210</v>
      </c>
      <c r="B700" s="1" t="n">
        <v>20027</v>
      </c>
      <c r="C700" s="1" t="inlineStr">
        <is>
          <t>064</t>
        </is>
      </c>
      <c r="D700" s="1" t="inlineStr">
        <is>
          <t xml:space="preserve">31569 </t>
        </is>
      </c>
      <c r="E700" s="1" t="inlineStr">
        <is>
          <t xml:space="preserve">28194770       </t>
        </is>
      </c>
      <c r="F700" s="5" t="inlineStr">
        <is>
          <t>AUTOS DE METAL 3 TEAMSTERZ EN BLISTER</t>
        </is>
      </c>
      <c r="G700" t="n">
        <v>1</v>
      </c>
      <c r="H700" s="7" t="n">
        <v>6.9</v>
      </c>
      <c r="I700" s="7" t="n">
        <v>0</v>
      </c>
      <c r="J700" s="7" t="n">
        <v>0</v>
      </c>
      <c r="K700" s="9" t="n">
        <v>0</v>
      </c>
      <c r="L700" s="10" t="n">
        <v>4.1</v>
      </c>
      <c r="M700" s="10" t="n">
        <v>1.43</v>
      </c>
      <c r="N700" t="inlineStr">
        <is>
          <t>1</t>
        </is>
      </c>
      <c r="O700" t="inlineStr">
        <is>
          <t>16</t>
        </is>
      </c>
      <c r="P700" t="inlineStr">
        <is>
          <t xml:space="preserve">38978   </t>
        </is>
      </c>
      <c r="Q700" s="26" t="n">
        <v>6.9</v>
      </c>
      <c r="R700" s="26">
        <f>Q700*G700</f>
        <v/>
      </c>
      <c r="S700" t="n">
        <v>4.09</v>
      </c>
      <c r="T700" s="18">
        <f>1 - V700/S700</f>
        <v/>
      </c>
      <c r="U700" s="18" t="n">
        <v>0</v>
      </c>
      <c r="V700" s="26" t="n">
        <v>4.09</v>
      </c>
      <c r="W700" s="26">
        <f>V700 - L700</f>
        <v/>
      </c>
    </row>
    <row r="701">
      <c r="A701" s="11" t="n">
        <v>46210</v>
      </c>
      <c r="B701" s="1" t="n">
        <v>20027</v>
      </c>
      <c r="C701" s="1" t="inlineStr">
        <is>
          <t>064</t>
        </is>
      </c>
      <c r="D701" s="1" t="inlineStr">
        <is>
          <t xml:space="preserve">31569 </t>
        </is>
      </c>
      <c r="E701" s="1" t="inlineStr">
        <is>
          <t xml:space="preserve">28194770       </t>
        </is>
      </c>
      <c r="F701" s="5" t="inlineStr">
        <is>
          <t>AUTOS DE METAL 3 TEAMSTERZ EN BLISTER</t>
        </is>
      </c>
      <c r="G701" t="n">
        <v>1</v>
      </c>
      <c r="H701" s="7" t="n">
        <v>6.9</v>
      </c>
      <c r="I701" s="7" t="n">
        <v>0</v>
      </c>
      <c r="J701" s="7" t="n">
        <v>0</v>
      </c>
      <c r="K701" s="9" t="n">
        <v>0</v>
      </c>
      <c r="L701" s="10" t="n">
        <v>4.1</v>
      </c>
      <c r="M701" s="10" t="n">
        <v>1.43</v>
      </c>
      <c r="N701" t="inlineStr">
        <is>
          <t>1</t>
        </is>
      </c>
      <c r="O701" t="inlineStr">
        <is>
          <t>16</t>
        </is>
      </c>
      <c r="P701" t="inlineStr">
        <is>
          <t xml:space="preserve">38978   </t>
        </is>
      </c>
      <c r="Q701" s="26" t="n">
        <v>6.9</v>
      </c>
      <c r="R701" s="26">
        <f>Q701*G701</f>
        <v/>
      </c>
      <c r="S701" t="n">
        <v>4.09</v>
      </c>
      <c r="T701" s="18">
        <f>1 - V701/S701</f>
        <v/>
      </c>
      <c r="U701" s="18" t="n">
        <v>0</v>
      </c>
      <c r="V701" s="26" t="n">
        <v>4.09</v>
      </c>
      <c r="W701" s="26">
        <f>V701 - L701</f>
        <v/>
      </c>
    </row>
    <row r="702">
      <c r="A702" s="11" t="n">
        <v>46210</v>
      </c>
      <c r="B702" s="1" t="n">
        <v>20028</v>
      </c>
      <c r="C702" s="1" t="inlineStr">
        <is>
          <t>106</t>
        </is>
      </c>
      <c r="D702" s="1" t="inlineStr">
        <is>
          <t>222635</t>
        </is>
      </c>
      <c r="E702" s="1" t="inlineStr">
        <is>
          <t xml:space="preserve">32457101       </t>
        </is>
      </c>
      <c r="F702" s="5" t="inlineStr">
        <is>
          <t>TMZ BEAST MACHINES TRANSPORTE PESADO + 2 AUTOS SUR</t>
        </is>
      </c>
      <c r="G702" t="n">
        <v>1</v>
      </c>
      <c r="H702" s="7" t="n">
        <v>37.9</v>
      </c>
      <c r="I702" s="7" t="n">
        <v>0</v>
      </c>
      <c r="J702" s="7" t="n">
        <v>0</v>
      </c>
      <c r="K702" s="9" t="n">
        <v>0</v>
      </c>
      <c r="L702" s="10" t="n">
        <v>22.48</v>
      </c>
      <c r="M702" s="10" t="n">
        <v>1.43</v>
      </c>
      <c r="N702" t="inlineStr">
        <is>
          <t>1</t>
        </is>
      </c>
      <c r="O702" t="inlineStr">
        <is>
          <t>16</t>
        </is>
      </c>
      <c r="P702" t="inlineStr">
        <is>
          <t xml:space="preserve">67574   </t>
        </is>
      </c>
      <c r="Q702" s="26" t="n">
        <v>37.9</v>
      </c>
      <c r="R702" s="26">
        <f>Q702*G702</f>
        <v/>
      </c>
      <c r="S702" t="n">
        <v>22.48</v>
      </c>
      <c r="T702" s="18">
        <f>1 - V702/S702</f>
        <v/>
      </c>
      <c r="U702" s="18" t="n">
        <v>0.5277044854881267</v>
      </c>
      <c r="V702" s="26" t="n">
        <v>12.88694915254237</v>
      </c>
      <c r="W702" s="26">
        <f>V702 - L702</f>
        <v/>
      </c>
    </row>
    <row r="703">
      <c r="A703" s="11" t="n">
        <v>46210</v>
      </c>
      <c r="B703" s="1" t="n">
        <v>20030</v>
      </c>
      <c r="C703" s="1" t="inlineStr">
        <is>
          <t>077</t>
        </is>
      </c>
      <c r="D703" s="1" t="inlineStr">
        <is>
          <t>231952</t>
        </is>
      </c>
      <c r="E703" s="1" t="inlineStr">
        <is>
          <t xml:space="preserve">28194770       </t>
        </is>
      </c>
      <c r="F703" s="5" t="inlineStr">
        <is>
          <t>AUTOS DE METAL 3 TEAMSTERZ EN BLISTER</t>
        </is>
      </c>
      <c r="G703" t="n">
        <v>1</v>
      </c>
      <c r="H703" s="7" t="n">
        <v>6.9</v>
      </c>
      <c r="I703" s="7" t="n">
        <v>0</v>
      </c>
      <c r="J703" s="7" t="n">
        <v>0</v>
      </c>
      <c r="K703" s="9" t="n">
        <v>0</v>
      </c>
      <c r="L703" s="10" t="n">
        <v>4.1</v>
      </c>
      <c r="M703" s="10" t="n">
        <v>1.43</v>
      </c>
      <c r="N703" t="inlineStr">
        <is>
          <t>1</t>
        </is>
      </c>
      <c r="O703" t="inlineStr">
        <is>
          <t>16</t>
        </is>
      </c>
      <c r="P703" t="inlineStr">
        <is>
          <t xml:space="preserve">47352   </t>
        </is>
      </c>
      <c r="Q703" s="26" t="n">
        <v>6.9</v>
      </c>
      <c r="R703" s="26">
        <f>Q703*G703</f>
        <v/>
      </c>
      <c r="S703" t="n">
        <v>4.09</v>
      </c>
      <c r="T703" s="18">
        <f>1 - V703/S703</f>
        <v/>
      </c>
      <c r="U703" s="18" t="n">
        <v>0</v>
      </c>
      <c r="V703" s="26" t="n">
        <v>4.09</v>
      </c>
      <c r="W703" s="26">
        <f>V703 - L703</f>
        <v/>
      </c>
    </row>
    <row r="704">
      <c r="A704" s="11" t="n">
        <v>46210</v>
      </c>
      <c r="B704" s="1" t="n">
        <v>20040</v>
      </c>
      <c r="C704" s="1" t="inlineStr">
        <is>
          <t>190</t>
        </is>
      </c>
      <c r="D704" s="1" t="inlineStr">
        <is>
          <t>367702</t>
        </is>
      </c>
      <c r="E704" s="1" t="inlineStr">
        <is>
          <t xml:space="preserve">28194768       </t>
        </is>
      </c>
      <c r="F704" s="5" t="inlineStr">
        <is>
          <t>AUTO COLOR CHANGE TEAMSTERZ SURTIDO</t>
        </is>
      </c>
      <c r="G704" t="n">
        <v>1</v>
      </c>
      <c r="H704" s="7" t="n">
        <v>14.9</v>
      </c>
      <c r="I704" s="7" t="n">
        <v>0</v>
      </c>
      <c r="J704" s="7" t="n">
        <v>0</v>
      </c>
      <c r="K704" s="9" t="n">
        <v>0</v>
      </c>
      <c r="L704" s="10" t="n">
        <v>8.84</v>
      </c>
      <c r="M704" s="10" t="n">
        <v>1.43</v>
      </c>
      <c r="N704" t="inlineStr">
        <is>
          <t>1</t>
        </is>
      </c>
      <c r="O704" t="inlineStr">
        <is>
          <t>16</t>
        </is>
      </c>
      <c r="P704" t="inlineStr">
        <is>
          <t xml:space="preserve">248840  </t>
        </is>
      </c>
      <c r="Q704" s="26" t="n">
        <v>14.9</v>
      </c>
      <c r="R704" s="26">
        <f>Q704*G704</f>
        <v/>
      </c>
      <c r="S704" t="n">
        <v>8.84</v>
      </c>
      <c r="T704" s="18">
        <f>1 - V704/S704</f>
        <v/>
      </c>
      <c r="U704" s="18" t="n">
        <v>0</v>
      </c>
      <c r="V704" s="26" t="n">
        <v>8.84</v>
      </c>
      <c r="W704" s="26">
        <f>V704 - L704</f>
        <v/>
      </c>
    </row>
    <row r="705">
      <c r="A705" s="11" t="n">
        <v>46210</v>
      </c>
      <c r="B705" s="1" t="n">
        <v>20041</v>
      </c>
      <c r="C705" s="1" t="inlineStr">
        <is>
          <t>016</t>
        </is>
      </c>
      <c r="D705" s="1" t="inlineStr">
        <is>
          <t>215021</t>
        </is>
      </c>
      <c r="E705" s="1" t="inlineStr">
        <is>
          <t xml:space="preserve">28194770       </t>
        </is>
      </c>
      <c r="F705" s="5" t="inlineStr">
        <is>
          <t>AUTOS DE METAL 3 TEAMSTERZ EN BLISTER</t>
        </is>
      </c>
      <c r="G705" t="n">
        <v>1</v>
      </c>
      <c r="H705" s="7" t="n">
        <v>6.9</v>
      </c>
      <c r="I705" s="7" t="n">
        <v>0</v>
      </c>
      <c r="J705" s="7" t="n">
        <v>0</v>
      </c>
      <c r="K705" s="9" t="n">
        <v>0</v>
      </c>
      <c r="L705" s="10" t="n">
        <v>4.1</v>
      </c>
      <c r="M705" s="10" t="n">
        <v>1.43</v>
      </c>
      <c r="N705" t="inlineStr">
        <is>
          <t>1</t>
        </is>
      </c>
      <c r="O705" t="inlineStr">
        <is>
          <t>16</t>
        </is>
      </c>
      <c r="P705" t="inlineStr">
        <is>
          <t xml:space="preserve">53218   </t>
        </is>
      </c>
      <c r="Q705" s="26" t="n">
        <v>6.9</v>
      </c>
      <c r="R705" s="26">
        <f>Q705*G705</f>
        <v/>
      </c>
      <c r="S705" t="n">
        <v>4.09</v>
      </c>
      <c r="T705" s="18">
        <f>1 - V705/S705</f>
        <v/>
      </c>
      <c r="U705" s="18" t="n">
        <v>0</v>
      </c>
      <c r="V705" s="26" t="n">
        <v>4.09</v>
      </c>
      <c r="W705" s="26">
        <f>V705 - L705</f>
        <v/>
      </c>
    </row>
    <row r="706">
      <c r="A706" s="11" t="n">
        <v>46210</v>
      </c>
      <c r="B706" s="1" t="n">
        <v>20043</v>
      </c>
      <c r="C706" s="1" t="inlineStr">
        <is>
          <t>051</t>
        </is>
      </c>
      <c r="D706" s="1" t="inlineStr">
        <is>
          <t>105623</t>
        </is>
      </c>
      <c r="E706" s="1" t="inlineStr">
        <is>
          <t xml:space="preserve">28194769       </t>
        </is>
      </c>
      <c r="F706" s="5" t="inlineStr">
        <is>
          <t>AUTOS DE METAL 3 TEAMSTERZ PACK DE 2</t>
        </is>
      </c>
      <c r="G706" t="n">
        <v>1</v>
      </c>
      <c r="H706" s="7" t="n">
        <v>13.8</v>
      </c>
      <c r="I706" s="7" t="n">
        <v>0</v>
      </c>
      <c r="J706" s="7" t="n">
        <v>0</v>
      </c>
      <c r="K706" s="9" t="n">
        <v>0</v>
      </c>
      <c r="L706" s="10" t="n">
        <v>8.18</v>
      </c>
      <c r="M706" s="10" t="n">
        <v>1.43</v>
      </c>
      <c r="N706" t="inlineStr">
        <is>
          <t>1</t>
        </is>
      </c>
      <c r="O706" t="inlineStr">
        <is>
          <t>16</t>
        </is>
      </c>
      <c r="P706" t="inlineStr">
        <is>
          <t xml:space="preserve">52184   </t>
        </is>
      </c>
      <c r="Q706" s="26" t="n">
        <v>13.8</v>
      </c>
      <c r="R706" s="26">
        <f>Q706*G706</f>
        <v/>
      </c>
      <c r="S706" t="n">
        <v>8.19</v>
      </c>
      <c r="T706" s="18">
        <f>1 - V706/S706</f>
        <v/>
      </c>
      <c r="U706" s="18" t="n">
        <v>0</v>
      </c>
      <c r="V706" s="26" t="n">
        <v>8.19</v>
      </c>
      <c r="W706" s="26">
        <f>V706 - L706</f>
        <v/>
      </c>
    </row>
    <row r="707">
      <c r="A707" s="11" t="n">
        <v>46210</v>
      </c>
      <c r="B707" s="1" t="n">
        <v>20043</v>
      </c>
      <c r="C707" s="1" t="inlineStr">
        <is>
          <t>051</t>
        </is>
      </c>
      <c r="D707" s="1" t="inlineStr">
        <is>
          <t>105626</t>
        </is>
      </c>
      <c r="E707" s="1" t="inlineStr">
        <is>
          <t xml:space="preserve">28194770       </t>
        </is>
      </c>
      <c r="F707" s="5" t="inlineStr">
        <is>
          <t>AUTOS DE METAL 3 TEAMSTERZ EN BLISTER</t>
        </is>
      </c>
      <c r="G707" t="n">
        <v>1</v>
      </c>
      <c r="H707" s="7" t="n">
        <v>6.9</v>
      </c>
      <c r="I707" s="7" t="n">
        <v>0</v>
      </c>
      <c r="J707" s="7" t="n">
        <v>0</v>
      </c>
      <c r="K707" s="9" t="n">
        <v>0</v>
      </c>
      <c r="L707" s="10" t="n">
        <v>4.1</v>
      </c>
      <c r="M707" s="10" t="n">
        <v>1.43</v>
      </c>
      <c r="N707" t="inlineStr">
        <is>
          <t>1</t>
        </is>
      </c>
      <c r="O707" t="inlineStr">
        <is>
          <t>16</t>
        </is>
      </c>
      <c r="P707" t="inlineStr">
        <is>
          <t xml:space="preserve">52184   </t>
        </is>
      </c>
      <c r="Q707" s="26" t="n">
        <v>6.9</v>
      </c>
      <c r="R707" s="26">
        <f>Q707*G707</f>
        <v/>
      </c>
      <c r="S707" t="n">
        <v>4.09</v>
      </c>
      <c r="T707" s="18">
        <f>1 - V707/S707</f>
        <v/>
      </c>
      <c r="U707" s="18" t="n">
        <v>0</v>
      </c>
      <c r="V707" s="26" t="n">
        <v>4.09</v>
      </c>
      <c r="W707" s="26">
        <f>V707 - L707</f>
        <v/>
      </c>
    </row>
    <row r="708">
      <c r="A708" s="11" t="n">
        <v>46210</v>
      </c>
      <c r="B708" s="1" t="n">
        <v>20047</v>
      </c>
      <c r="C708" s="1" t="inlineStr">
        <is>
          <t>012</t>
        </is>
      </c>
      <c r="D708" s="1" t="inlineStr">
        <is>
          <t>331573</t>
        </is>
      </c>
      <c r="E708" s="1" t="inlineStr">
        <is>
          <t xml:space="preserve">28194770       </t>
        </is>
      </c>
      <c r="F708" s="5" t="inlineStr">
        <is>
          <t>AUTOS DE METAL 3 TEAMSTERZ EN BLISTER</t>
        </is>
      </c>
      <c r="G708" t="n">
        <v>1</v>
      </c>
      <c r="H708" s="7" t="n">
        <v>6.9</v>
      </c>
      <c r="I708" s="7" t="n">
        <v>0</v>
      </c>
      <c r="J708" s="7" t="n">
        <v>0</v>
      </c>
      <c r="K708" s="9" t="n">
        <v>0</v>
      </c>
      <c r="L708" s="10" t="n">
        <v>4.1</v>
      </c>
      <c r="M708" s="10" t="n">
        <v>1.43</v>
      </c>
      <c r="N708" t="inlineStr">
        <is>
          <t>1</t>
        </is>
      </c>
      <c r="O708" t="inlineStr">
        <is>
          <t xml:space="preserve">2 </t>
        </is>
      </c>
      <c r="P708" t="inlineStr">
        <is>
          <t xml:space="preserve">248424  </t>
        </is>
      </c>
      <c r="Q708" s="26" t="n">
        <v>6.9</v>
      </c>
      <c r="R708" s="26">
        <f>Q708*G708</f>
        <v/>
      </c>
      <c r="S708" t="n">
        <v>4.09</v>
      </c>
      <c r="T708" s="18">
        <f>1 - V708/S708</f>
        <v/>
      </c>
      <c r="U708" s="18" t="n">
        <v>0</v>
      </c>
      <c r="V708" s="26" t="n">
        <v>4.09</v>
      </c>
      <c r="W708" s="26">
        <f>V708 - L708</f>
        <v/>
      </c>
    </row>
    <row r="709">
      <c r="A709" s="11" t="n">
        <v>46210</v>
      </c>
      <c r="B709" s="1" t="n">
        <v>20047</v>
      </c>
      <c r="C709" s="1" t="inlineStr">
        <is>
          <t>191</t>
        </is>
      </c>
      <c r="D709" s="1" t="inlineStr">
        <is>
          <t>460853</t>
        </is>
      </c>
      <c r="E709" s="1" t="inlineStr">
        <is>
          <t xml:space="preserve">28194770       </t>
        </is>
      </c>
      <c r="F709" s="5" t="inlineStr">
        <is>
          <t>AUTOS DE METAL 3 TEAMSTERZ EN BLISTER</t>
        </is>
      </c>
      <c r="G709" t="n">
        <v>1</v>
      </c>
      <c r="H709" s="7" t="n">
        <v>6.9</v>
      </c>
      <c r="I709" s="7" t="n">
        <v>0</v>
      </c>
      <c r="J709" s="7" t="n">
        <v>0</v>
      </c>
      <c r="K709" s="9" t="n">
        <v>0</v>
      </c>
      <c r="L709" s="10" t="n">
        <v>4.1</v>
      </c>
      <c r="M709" s="10" t="n">
        <v>1.43</v>
      </c>
      <c r="N709" t="inlineStr">
        <is>
          <t>1</t>
        </is>
      </c>
      <c r="O709" t="inlineStr">
        <is>
          <t xml:space="preserve">2 </t>
        </is>
      </c>
      <c r="P709" t="inlineStr">
        <is>
          <t xml:space="preserve">248817  </t>
        </is>
      </c>
      <c r="Q709" s="26" t="n">
        <v>6.9</v>
      </c>
      <c r="R709" s="26">
        <f>Q709*G709</f>
        <v/>
      </c>
      <c r="S709" t="n">
        <v>4.09</v>
      </c>
      <c r="T709" s="18">
        <f>1 - V709/S709</f>
        <v/>
      </c>
      <c r="U709" s="18" t="n">
        <v>0</v>
      </c>
      <c r="V709" s="26" t="n">
        <v>4.09</v>
      </c>
      <c r="W709" s="26">
        <f>V709 - L709</f>
        <v/>
      </c>
    </row>
    <row r="710">
      <c r="A710" s="11" t="n">
        <v>46210</v>
      </c>
      <c r="B710" s="1" t="n">
        <v>20047</v>
      </c>
      <c r="C710" s="1" t="inlineStr">
        <is>
          <t>507</t>
        </is>
      </c>
      <c r="D710" s="1" t="inlineStr">
        <is>
          <t xml:space="preserve">3524  </t>
        </is>
      </c>
      <c r="E710" s="1" t="inlineStr">
        <is>
          <t xml:space="preserve">28194770       </t>
        </is>
      </c>
      <c r="F710" s="5" t="inlineStr">
        <is>
          <t>AUTOS DE METAL 3 TEAMSTERZ EN BLISTER</t>
        </is>
      </c>
      <c r="G710" t="n">
        <v>1</v>
      </c>
      <c r="H710" s="7" t="n">
        <v>6.9</v>
      </c>
      <c r="I710" s="7" t="n">
        <v>0</v>
      </c>
      <c r="J710" s="7" t="n">
        <v>0</v>
      </c>
      <c r="K710" s="9" t="n">
        <v>0</v>
      </c>
      <c r="L710" s="10" t="n">
        <v>4.1</v>
      </c>
      <c r="M710" s="10" t="n">
        <v>1.43</v>
      </c>
      <c r="N710" t="inlineStr">
        <is>
          <t>1</t>
        </is>
      </c>
      <c r="O710" t="inlineStr">
        <is>
          <t>16</t>
        </is>
      </c>
      <c r="P710" t="inlineStr">
        <is>
          <t xml:space="preserve">248125  </t>
        </is>
      </c>
      <c r="Q710" s="26" t="n">
        <v>6.9</v>
      </c>
      <c r="R710" s="26">
        <f>Q710*G710</f>
        <v/>
      </c>
      <c r="S710" t="n">
        <v>4.09</v>
      </c>
      <c r="T710" s="18">
        <f>1 - V710/S710</f>
        <v/>
      </c>
      <c r="U710" s="18" t="n">
        <v>0</v>
      </c>
      <c r="V710" s="26" t="n">
        <v>4.09</v>
      </c>
      <c r="W710" s="26">
        <f>V710 - L710</f>
        <v/>
      </c>
    </row>
    <row r="711">
      <c r="A711" s="11" t="n">
        <v>46210</v>
      </c>
      <c r="B711" s="1" t="n">
        <v>20048</v>
      </c>
      <c r="C711" s="1" t="inlineStr">
        <is>
          <t>013</t>
        </is>
      </c>
      <c r="D711" s="1" t="inlineStr">
        <is>
          <t>224344</t>
        </is>
      </c>
      <c r="E711" s="1" t="inlineStr">
        <is>
          <t xml:space="preserve">28194768       </t>
        </is>
      </c>
      <c r="F711" s="5" t="inlineStr">
        <is>
          <t>AUTO COLOR CHANGE TEAMSTERZ SURTIDO</t>
        </is>
      </c>
      <c r="G711" t="n">
        <v>1</v>
      </c>
      <c r="H711" s="7" t="n">
        <v>14.9</v>
      </c>
      <c r="I711" s="7" t="n">
        <v>0</v>
      </c>
      <c r="J711" s="7" t="n">
        <v>0</v>
      </c>
      <c r="K711" s="9" t="n">
        <v>0</v>
      </c>
      <c r="L711" s="10" t="n">
        <v>8.84</v>
      </c>
      <c r="M711" s="10" t="n">
        <v>1.43</v>
      </c>
      <c r="N711" t="inlineStr">
        <is>
          <t>1</t>
        </is>
      </c>
      <c r="O711" t="inlineStr">
        <is>
          <t xml:space="preserve">2 </t>
        </is>
      </c>
      <c r="P711" t="inlineStr">
        <is>
          <t xml:space="preserve">80084   </t>
        </is>
      </c>
      <c r="Q711" s="26" t="n">
        <v>14.9</v>
      </c>
      <c r="R711" s="26">
        <f>Q711*G711</f>
        <v/>
      </c>
      <c r="S711" t="n">
        <v>8.84</v>
      </c>
      <c r="T711" s="18">
        <f>1 - V711/S711</f>
        <v/>
      </c>
      <c r="U711" s="18" t="n">
        <v>0</v>
      </c>
      <c r="V711" s="26" t="n">
        <v>8.84</v>
      </c>
      <c r="W711" s="26">
        <f>V711 - L711</f>
        <v/>
      </c>
    </row>
    <row r="712">
      <c r="A712" s="11" t="n">
        <v>46210</v>
      </c>
      <c r="B712" s="1" t="n">
        <v>20048</v>
      </c>
      <c r="C712" s="1" t="inlineStr">
        <is>
          <t>013</t>
        </is>
      </c>
      <c r="D712" s="1" t="inlineStr">
        <is>
          <t>224344</t>
        </is>
      </c>
      <c r="E712" s="1" t="inlineStr">
        <is>
          <t xml:space="preserve">28194768       </t>
        </is>
      </c>
      <c r="F712" s="5" t="inlineStr">
        <is>
          <t>AUTO COLOR CHANGE TEAMSTERZ SURTIDO</t>
        </is>
      </c>
      <c r="G712" t="n">
        <v>1</v>
      </c>
      <c r="H712" s="7" t="n">
        <v>14.9</v>
      </c>
      <c r="I712" s="7" t="n">
        <v>0</v>
      </c>
      <c r="J712" s="7" t="n">
        <v>0</v>
      </c>
      <c r="K712" s="9" t="n">
        <v>0</v>
      </c>
      <c r="L712" s="10" t="n">
        <v>8.84</v>
      </c>
      <c r="M712" s="10" t="n">
        <v>1.43</v>
      </c>
      <c r="N712" t="inlineStr">
        <is>
          <t>1</t>
        </is>
      </c>
      <c r="O712" t="inlineStr">
        <is>
          <t xml:space="preserve">2 </t>
        </is>
      </c>
      <c r="P712" t="inlineStr">
        <is>
          <t xml:space="preserve">80084   </t>
        </is>
      </c>
      <c r="Q712" s="26" t="n">
        <v>14.9</v>
      </c>
      <c r="R712" s="26">
        <f>Q712*G712</f>
        <v/>
      </c>
      <c r="S712" t="n">
        <v>8.84</v>
      </c>
      <c r="T712" s="18">
        <f>1 - V712/S712</f>
        <v/>
      </c>
      <c r="U712" s="18" t="n">
        <v>0</v>
      </c>
      <c r="V712" s="26" t="n">
        <v>8.84</v>
      </c>
      <c r="W712" s="26">
        <f>V712 - L712</f>
        <v/>
      </c>
    </row>
    <row r="713">
      <c r="A713" s="11" t="n">
        <v>46210</v>
      </c>
      <c r="B713" s="1" t="n">
        <v>20048</v>
      </c>
      <c r="C713" s="1" t="inlineStr">
        <is>
          <t>013</t>
        </is>
      </c>
      <c r="D713" s="1" t="inlineStr">
        <is>
          <t>224344</t>
        </is>
      </c>
      <c r="E713" s="1" t="inlineStr">
        <is>
          <t xml:space="preserve">28194768       </t>
        </is>
      </c>
      <c r="F713" s="5" t="inlineStr">
        <is>
          <t>AUTO COLOR CHANGE TEAMSTERZ SURTIDO</t>
        </is>
      </c>
      <c r="G713" t="n">
        <v>1</v>
      </c>
      <c r="H713" s="7" t="n">
        <v>14.9</v>
      </c>
      <c r="I713" s="7" t="n">
        <v>0</v>
      </c>
      <c r="J713" s="7" t="n">
        <v>0</v>
      </c>
      <c r="K713" s="9" t="n">
        <v>0</v>
      </c>
      <c r="L713" s="10" t="n">
        <v>8.84</v>
      </c>
      <c r="M713" s="10" t="n">
        <v>1.43</v>
      </c>
      <c r="N713" t="inlineStr">
        <is>
          <t>1</t>
        </is>
      </c>
      <c r="O713" t="inlineStr">
        <is>
          <t xml:space="preserve">2 </t>
        </is>
      </c>
      <c r="P713" t="inlineStr">
        <is>
          <t xml:space="preserve">80084   </t>
        </is>
      </c>
      <c r="Q713" s="26" t="n">
        <v>14.9</v>
      </c>
      <c r="R713" s="26">
        <f>Q713*G713</f>
        <v/>
      </c>
      <c r="S713" t="n">
        <v>8.84</v>
      </c>
      <c r="T713" s="18">
        <f>1 - V713/S713</f>
        <v/>
      </c>
      <c r="U713" s="18" t="n">
        <v>0</v>
      </c>
      <c r="V713" s="26" t="n">
        <v>8.84</v>
      </c>
      <c r="W713" s="26">
        <f>V713 - L713</f>
        <v/>
      </c>
    </row>
    <row r="714">
      <c r="A714" s="11" t="n">
        <v>46210</v>
      </c>
      <c r="B714" s="1" t="n">
        <v>20048</v>
      </c>
      <c r="C714" s="1" t="inlineStr">
        <is>
          <t>018</t>
        </is>
      </c>
      <c r="D714" s="1" t="inlineStr">
        <is>
          <t xml:space="preserve">46116 </t>
        </is>
      </c>
      <c r="E714" s="1" t="inlineStr">
        <is>
          <t xml:space="preserve">28194783       </t>
        </is>
      </c>
      <c r="F714" s="5" t="inlineStr">
        <is>
          <t>SET DE BATALLA INFINITY NADO CON 2 TROMPOS</t>
        </is>
      </c>
      <c r="G714" t="n">
        <v>1</v>
      </c>
      <c r="H714" s="7" t="n">
        <v>159</v>
      </c>
      <c r="I714" s="7" t="n">
        <v>0</v>
      </c>
      <c r="J714" s="7" t="n">
        <v>0</v>
      </c>
      <c r="K714" s="9" t="n">
        <v>0</v>
      </c>
      <c r="L714" s="10" t="n">
        <v>94.33</v>
      </c>
      <c r="M714" s="10" t="n">
        <v>1.43</v>
      </c>
      <c r="N714" t="inlineStr">
        <is>
          <t>1</t>
        </is>
      </c>
      <c r="O714" t="inlineStr">
        <is>
          <t>16</t>
        </is>
      </c>
      <c r="P714" t="inlineStr">
        <is>
          <t xml:space="preserve">82617   </t>
        </is>
      </c>
      <c r="Q714" s="26" t="n">
        <v>159</v>
      </c>
      <c r="R714" s="26">
        <f>Q714*G714</f>
        <v/>
      </c>
      <c r="S714" t="n">
        <v>94.31999999999999</v>
      </c>
      <c r="T714" s="18">
        <f>1 - V714/S714</f>
        <v/>
      </c>
      <c r="U714" s="18" t="n">
        <v>0.1886792452830188</v>
      </c>
      <c r="V714" s="26" t="n">
        <v>81.99152542372882</v>
      </c>
      <c r="W714" s="26">
        <f>V714 - L714</f>
        <v/>
      </c>
    </row>
    <row r="715">
      <c r="A715" s="11" t="n">
        <v>46210</v>
      </c>
      <c r="B715" s="1" t="n">
        <v>20048</v>
      </c>
      <c r="C715" s="1" t="inlineStr">
        <is>
          <t>801</t>
        </is>
      </c>
      <c r="D715" s="1" t="inlineStr">
        <is>
          <t xml:space="preserve">5989  </t>
        </is>
      </c>
      <c r="E715" s="1" t="inlineStr">
        <is>
          <t xml:space="preserve">30141766       </t>
        </is>
      </c>
      <c r="F715" s="5" t="inlineStr">
        <is>
          <t>TMZ BEAST MACHINES AUTOS DE METAL BLISTER X 1</t>
        </is>
      </c>
      <c r="G715" t="n">
        <v>1</v>
      </c>
      <c r="H715" s="7" t="n">
        <v>7.9</v>
      </c>
      <c r="I715" s="7" t="n">
        <v>0</v>
      </c>
      <c r="J715" s="7" t="n">
        <v>0</v>
      </c>
      <c r="K715" s="9" t="n">
        <v>0</v>
      </c>
      <c r="L715" s="10" t="n">
        <v>4.68</v>
      </c>
      <c r="M715" s="10" t="n">
        <v>1.43</v>
      </c>
      <c r="N715" t="inlineStr">
        <is>
          <t>1</t>
        </is>
      </c>
      <c r="O715" t="inlineStr">
        <is>
          <t>16</t>
        </is>
      </c>
      <c r="P715" t="inlineStr">
        <is>
          <t xml:space="preserve">248417  </t>
        </is>
      </c>
      <c r="Q715" s="26" t="n">
        <v>7.9</v>
      </c>
      <c r="R715" s="26">
        <f>Q715*G715</f>
        <v/>
      </c>
      <c r="S715" t="n">
        <v>4.69</v>
      </c>
      <c r="T715" s="18">
        <f>1 - V715/S715</f>
        <v/>
      </c>
      <c r="U715" s="18" t="n">
        <v>0</v>
      </c>
      <c r="V715" s="26" t="n">
        <v>4.69</v>
      </c>
      <c r="W715" s="26">
        <f>V715 - L715</f>
        <v/>
      </c>
    </row>
    <row r="716">
      <c r="A716" s="11" t="n">
        <v>46210</v>
      </c>
      <c r="B716" s="1" t="n">
        <v>20049</v>
      </c>
      <c r="C716" s="1" t="inlineStr">
        <is>
          <t>013</t>
        </is>
      </c>
      <c r="D716" s="1" t="inlineStr">
        <is>
          <t>235434</t>
        </is>
      </c>
      <c r="E716" s="1" t="inlineStr">
        <is>
          <t xml:space="preserve">33483118       </t>
        </is>
      </c>
      <c r="F716" s="5" t="inlineStr">
        <is>
          <t>MUNECA EVI LOVE SET CUIDADO DE PERROS + ACC.</t>
        </is>
      </c>
      <c r="G716" t="n">
        <v>1</v>
      </c>
      <c r="H716" s="7" t="n">
        <v>39.9</v>
      </c>
      <c r="I716" s="7" t="n">
        <v>0</v>
      </c>
      <c r="J716" s="7" t="n">
        <v>0</v>
      </c>
      <c r="K716" s="9" t="n">
        <v>0</v>
      </c>
      <c r="L716" s="10" t="n">
        <v>23.67</v>
      </c>
      <c r="M716" s="10" t="n">
        <v>1.43</v>
      </c>
      <c r="N716" t="inlineStr">
        <is>
          <t>1</t>
        </is>
      </c>
      <c r="O716" t="inlineStr">
        <is>
          <t>16</t>
        </is>
      </c>
      <c r="P716" t="inlineStr">
        <is>
          <t xml:space="preserve">234411  </t>
        </is>
      </c>
      <c r="Q716" s="26" t="n">
        <v>39.9</v>
      </c>
      <c r="R716" s="26">
        <f>Q716*G716</f>
        <v/>
      </c>
      <c r="S716" t="n">
        <v>23.67</v>
      </c>
      <c r="T716" s="18">
        <f>1 - V716/S716</f>
        <v/>
      </c>
      <c r="U716" s="18" t="n">
        <v>0.4</v>
      </c>
      <c r="V716" s="26" t="n">
        <v>18.25932203389831</v>
      </c>
      <c r="W716" s="26">
        <f>V716 - L716</f>
        <v/>
      </c>
    </row>
    <row r="717">
      <c r="A717" s="11" t="n">
        <v>46210</v>
      </c>
      <c r="B717" s="1" t="n">
        <v>20049</v>
      </c>
      <c r="C717" s="1" t="inlineStr">
        <is>
          <t>017</t>
        </is>
      </c>
      <c r="D717" s="1" t="inlineStr">
        <is>
          <t>238193</t>
        </is>
      </c>
      <c r="E717" s="1" t="inlineStr">
        <is>
          <t xml:space="preserve">35685067       </t>
        </is>
      </c>
      <c r="F717" s="5" t="inlineStr">
        <is>
          <t>HOT WHEELS POWER SET 3 EN 1</t>
        </is>
      </c>
      <c r="G717" t="n">
        <v>1</v>
      </c>
      <c r="H717" s="7" t="n">
        <v>49.9</v>
      </c>
      <c r="I717" s="7" t="n">
        <v>0</v>
      </c>
      <c r="J717" s="7" t="n">
        <v>0</v>
      </c>
      <c r="K717" s="9" t="n">
        <v>0</v>
      </c>
      <c r="L717" s="10" t="n">
        <v>29.6</v>
      </c>
      <c r="M717" s="10" t="n">
        <v>1.43</v>
      </c>
      <c r="N717" t="inlineStr">
        <is>
          <t>1</t>
        </is>
      </c>
      <c r="O717" t="inlineStr">
        <is>
          <t>16</t>
        </is>
      </c>
      <c r="P717" t="inlineStr">
        <is>
          <t xml:space="preserve">109185  </t>
        </is>
      </c>
      <c r="Q717" s="26" t="n">
        <v>49.9</v>
      </c>
      <c r="R717" s="26">
        <f>Q717*G717</f>
        <v/>
      </c>
      <c r="S717" t="n">
        <v>29.6</v>
      </c>
      <c r="T717" s="18">
        <f>1 - V717/S717</f>
        <v/>
      </c>
      <c r="U717" s="18" t="n">
        <v>0</v>
      </c>
      <c r="V717" s="26" t="n">
        <v>29.6</v>
      </c>
      <c r="W717" s="26">
        <f>V717 - L717</f>
        <v/>
      </c>
    </row>
    <row r="718">
      <c r="A718" s="11" t="n">
        <v>46210</v>
      </c>
      <c r="B718" s="1" t="n">
        <v>20056</v>
      </c>
      <c r="C718" s="1" t="inlineStr">
        <is>
          <t>512</t>
        </is>
      </c>
      <c r="D718" s="1" t="inlineStr">
        <is>
          <t xml:space="preserve">2333  </t>
        </is>
      </c>
      <c r="E718" s="1" t="inlineStr">
        <is>
          <t xml:space="preserve">33483120       </t>
        </is>
      </c>
      <c r="F718" s="5" t="inlineStr">
        <is>
          <t>HOT WHEELS 2 EN 1 AUTO DE CARRERAS + GUARDA AUTOS</t>
        </is>
      </c>
      <c r="G718" t="n">
        <v>1</v>
      </c>
      <c r="H718" s="7" t="n">
        <v>79.90000000000001</v>
      </c>
      <c r="I718" s="7" t="n">
        <v>0</v>
      </c>
      <c r="J718" s="7" t="n">
        <v>0</v>
      </c>
      <c r="K718" s="9" t="n">
        <v>0</v>
      </c>
      <c r="L718" s="10" t="n">
        <v>47.4</v>
      </c>
      <c r="M718" s="10" t="n">
        <v>1.43</v>
      </c>
      <c r="N718" t="inlineStr">
        <is>
          <t>1</t>
        </is>
      </c>
      <c r="O718" t="inlineStr">
        <is>
          <t>16</t>
        </is>
      </c>
      <c r="P718" t="inlineStr">
        <is>
          <t xml:space="preserve">246478  </t>
        </is>
      </c>
      <c r="Q718" s="26" t="n">
        <v>79.90000000000001</v>
      </c>
      <c r="R718" s="26">
        <f>Q718*G718</f>
        <v/>
      </c>
      <c r="S718" t="n">
        <v>47.4</v>
      </c>
      <c r="T718" s="18">
        <f>1 - V718/S718</f>
        <v/>
      </c>
      <c r="U718" s="18" t="n">
        <v>0</v>
      </c>
      <c r="V718" s="26" t="n">
        <v>47.4</v>
      </c>
      <c r="W718" s="26">
        <f>V718 - L718</f>
        <v/>
      </c>
    </row>
    <row r="719">
      <c r="A719" s="11" t="n">
        <v>46210</v>
      </c>
      <c r="B719" s="1" t="n">
        <v>20056</v>
      </c>
      <c r="C719" s="1" t="inlineStr">
        <is>
          <t>512</t>
        </is>
      </c>
      <c r="D719" s="1" t="inlineStr">
        <is>
          <t xml:space="preserve">2337  </t>
        </is>
      </c>
      <c r="E719" s="1" t="inlineStr">
        <is>
          <t xml:space="preserve">33483123       </t>
        </is>
      </c>
      <c r="F719" s="5" t="inlineStr">
        <is>
          <t>NENUCO DISFRACES</t>
        </is>
      </c>
      <c r="G719" t="n">
        <v>1</v>
      </c>
      <c r="H719" s="7" t="n">
        <v>89.90000000000001</v>
      </c>
      <c r="I719" s="7" t="n">
        <v>0</v>
      </c>
      <c r="J719" s="7" t="n">
        <v>0</v>
      </c>
      <c r="K719" s="9" t="n">
        <v>0</v>
      </c>
      <c r="L719" s="10" t="n">
        <v>53.33</v>
      </c>
      <c r="M719" s="10" t="n">
        <v>1.43</v>
      </c>
      <c r="N719" t="inlineStr">
        <is>
          <t>1</t>
        </is>
      </c>
      <c r="O719" t="inlineStr">
        <is>
          <t>16</t>
        </is>
      </c>
      <c r="P719" t="inlineStr">
        <is>
          <t xml:space="preserve">246478  </t>
        </is>
      </c>
      <c r="Q719" s="26" t="n">
        <v>89.90000000000001</v>
      </c>
      <c r="R719" s="26">
        <f>Q719*G719</f>
        <v/>
      </c>
      <c r="S719" t="n">
        <v>53.33</v>
      </c>
      <c r="T719" s="18">
        <f>1 - V719/S719</f>
        <v/>
      </c>
      <c r="U719" s="18" t="n">
        <v>0.2224694104560623</v>
      </c>
      <c r="V719" s="26" t="n">
        <v>44.42796610169492</v>
      </c>
      <c r="W719" s="26">
        <f>V719 - L719</f>
        <v/>
      </c>
    </row>
    <row r="720">
      <c r="A720" s="11" t="n">
        <v>46210</v>
      </c>
      <c r="B720" s="1" t="n">
        <v>20057</v>
      </c>
      <c r="C720" s="1" t="inlineStr">
        <is>
          <t>032</t>
        </is>
      </c>
      <c r="D720" s="1" t="inlineStr">
        <is>
          <t xml:space="preserve">74058 </t>
        </is>
      </c>
      <c r="E720" s="1" t="inlineStr">
        <is>
          <t xml:space="preserve">28194770       </t>
        </is>
      </c>
      <c r="F720" s="5" t="inlineStr">
        <is>
          <t>AUTOS DE METAL 3 TEAMSTERZ EN BLISTER</t>
        </is>
      </c>
      <c r="G720" t="n">
        <v>1</v>
      </c>
      <c r="H720" s="7" t="n">
        <v>6.9</v>
      </c>
      <c r="I720" s="7" t="n">
        <v>0</v>
      </c>
      <c r="J720" s="7" t="n">
        <v>0</v>
      </c>
      <c r="K720" s="9" t="n">
        <v>0</v>
      </c>
      <c r="L720" s="10" t="n">
        <v>4.1</v>
      </c>
      <c r="M720" s="10" t="n">
        <v>1.43</v>
      </c>
      <c r="N720" t="inlineStr">
        <is>
          <t>1</t>
        </is>
      </c>
      <c r="O720" t="inlineStr">
        <is>
          <t xml:space="preserve">2 </t>
        </is>
      </c>
      <c r="P720" t="inlineStr">
        <is>
          <t xml:space="preserve">203426  </t>
        </is>
      </c>
      <c r="Q720" s="26" t="n">
        <v>6.9</v>
      </c>
      <c r="R720" s="26">
        <f>Q720*G720</f>
        <v/>
      </c>
      <c r="S720" t="n">
        <v>4.09</v>
      </c>
      <c r="T720" s="18">
        <f>1 - V720/S720</f>
        <v/>
      </c>
      <c r="U720" s="18" t="n">
        <v>0</v>
      </c>
      <c r="V720" s="26" t="n">
        <v>4.09</v>
      </c>
      <c r="W720" s="26">
        <f>V720 - L720</f>
        <v/>
      </c>
    </row>
    <row r="721">
      <c r="A721" s="11" t="n">
        <v>46210</v>
      </c>
      <c r="B721" s="1" t="n">
        <v>20058</v>
      </c>
      <c r="C721" s="1" t="inlineStr">
        <is>
          <t>016</t>
        </is>
      </c>
      <c r="D721" s="1" t="inlineStr">
        <is>
          <t>167734</t>
        </is>
      </c>
      <c r="E721" s="1" t="inlineStr">
        <is>
          <t xml:space="preserve">28194770       </t>
        </is>
      </c>
      <c r="F721" s="5" t="inlineStr">
        <is>
          <t>AUTOS DE METAL 3 TEAMSTERZ EN BLISTER</t>
        </is>
      </c>
      <c r="G721" t="n">
        <v>1</v>
      </c>
      <c r="H721" s="7" t="n">
        <v>6.9</v>
      </c>
      <c r="I721" s="7" t="n">
        <v>0</v>
      </c>
      <c r="J721" s="7" t="n">
        <v>0</v>
      </c>
      <c r="K721" s="9" t="n">
        <v>0</v>
      </c>
      <c r="L721" s="10" t="n">
        <v>4.1</v>
      </c>
      <c r="M721" s="10" t="n">
        <v>1.43</v>
      </c>
      <c r="N721" t="inlineStr">
        <is>
          <t>1</t>
        </is>
      </c>
      <c r="O721" t="inlineStr">
        <is>
          <t xml:space="preserve">3 </t>
        </is>
      </c>
      <c r="P721" t="inlineStr">
        <is>
          <t xml:space="preserve">246011  </t>
        </is>
      </c>
      <c r="Q721" s="26" t="n">
        <v>6.9</v>
      </c>
      <c r="R721" s="26">
        <f>Q721*G721</f>
        <v/>
      </c>
      <c r="S721" t="n">
        <v>4.09</v>
      </c>
      <c r="T721" s="18">
        <f>1 - V721/S721</f>
        <v/>
      </c>
      <c r="U721" s="18" t="n">
        <v>0</v>
      </c>
      <c r="V721" s="26" t="n">
        <v>4.09</v>
      </c>
      <c r="W721" s="26">
        <f>V721 - L721</f>
        <v/>
      </c>
    </row>
    <row r="722">
      <c r="A722" s="11" t="n">
        <v>46210</v>
      </c>
      <c r="B722" s="1" t="n">
        <v>20058</v>
      </c>
      <c r="C722" s="1" t="inlineStr">
        <is>
          <t>039</t>
        </is>
      </c>
      <c r="D722" s="1" t="inlineStr">
        <is>
          <t>229806</t>
        </is>
      </c>
      <c r="E722" s="1" t="inlineStr">
        <is>
          <t xml:space="preserve">32457099       </t>
        </is>
      </c>
      <c r="F722" s="5" t="inlineStr">
        <is>
          <t>TMZ BEAST MACHINES MONSTER JAWS A FRICCION BLISTER</t>
        </is>
      </c>
      <c r="G722" t="n">
        <v>1</v>
      </c>
      <c r="H722" s="7" t="n">
        <v>19.9</v>
      </c>
      <c r="I722" s="7" t="n">
        <v>0</v>
      </c>
      <c r="J722" s="7" t="n">
        <v>0</v>
      </c>
      <c r="K722" s="9" t="n">
        <v>0</v>
      </c>
      <c r="L722" s="10" t="n">
        <v>11.8</v>
      </c>
      <c r="M722" s="10" t="n">
        <v>1.43</v>
      </c>
      <c r="N722" t="inlineStr">
        <is>
          <t>1</t>
        </is>
      </c>
      <c r="O722" t="inlineStr">
        <is>
          <t xml:space="preserve">2 </t>
        </is>
      </c>
      <c r="P722" t="inlineStr">
        <is>
          <t xml:space="preserve">244700  </t>
        </is>
      </c>
      <c r="Q722" s="26" t="n">
        <v>19.9</v>
      </c>
      <c r="R722" s="26">
        <f>Q722*G722</f>
        <v/>
      </c>
      <c r="S722" t="n">
        <v>11.81</v>
      </c>
      <c r="T722" s="18">
        <f>1 - V722/S722</f>
        <v/>
      </c>
      <c r="U722" s="18" t="n">
        <v>0.1005025125628141</v>
      </c>
      <c r="V722" s="26" t="n">
        <v>8.417118644067797</v>
      </c>
      <c r="W722" s="26">
        <f>V722 - L722</f>
        <v/>
      </c>
    </row>
    <row r="723">
      <c r="A723" s="11" t="n">
        <v>46210</v>
      </c>
      <c r="B723" s="1" t="n">
        <v>20058</v>
      </c>
      <c r="C723" s="1" t="inlineStr">
        <is>
          <t>039</t>
        </is>
      </c>
      <c r="D723" s="1" t="inlineStr">
        <is>
          <t>229831</t>
        </is>
      </c>
      <c r="E723" s="1" t="inlineStr">
        <is>
          <t xml:space="preserve">31754676       </t>
        </is>
      </c>
      <c r="F723" s="5" t="inlineStr">
        <is>
          <t>INFINITY NADO SERIE 6 STD PACK LANZ ESPAD ANILLO M</t>
        </is>
      </c>
      <c r="G723" t="n">
        <v>1</v>
      </c>
      <c r="H723" s="7" t="n">
        <v>79.90000000000001</v>
      </c>
      <c r="I723" s="7" t="n">
        <v>0</v>
      </c>
      <c r="J723" s="7" t="n">
        <v>0</v>
      </c>
      <c r="K723" s="9" t="n">
        <v>0</v>
      </c>
      <c r="L723" s="10" t="n">
        <v>47.4</v>
      </c>
      <c r="M723" s="10" t="n">
        <v>1.43</v>
      </c>
      <c r="N723" t="inlineStr">
        <is>
          <t>1</t>
        </is>
      </c>
      <c r="O723" t="inlineStr">
        <is>
          <t xml:space="preserve">2 </t>
        </is>
      </c>
      <c r="P723" t="inlineStr">
        <is>
          <t xml:space="preserve">244700  </t>
        </is>
      </c>
      <c r="Q723" s="26" t="n">
        <v>79.90000000000001</v>
      </c>
      <c r="R723" s="26">
        <f>Q723*G723</f>
        <v/>
      </c>
      <c r="S723" t="n">
        <v>47.4</v>
      </c>
      <c r="T723" s="18">
        <f>1 - V723/S723</f>
        <v/>
      </c>
      <c r="U723" s="18" t="n">
        <v>0.2503128911138924</v>
      </c>
      <c r="V723" s="26" t="n">
        <v>38.07203389830509</v>
      </c>
      <c r="W723" s="26">
        <f>V723 - L723</f>
        <v/>
      </c>
    </row>
    <row r="724">
      <c r="A724" s="11" t="n">
        <v>46210</v>
      </c>
      <c r="B724" s="1" t="n">
        <v>20062</v>
      </c>
      <c r="C724" s="1" t="inlineStr">
        <is>
          <t>014</t>
        </is>
      </c>
      <c r="D724" s="1" t="inlineStr">
        <is>
          <t>227813</t>
        </is>
      </c>
      <c r="E724" s="1" t="inlineStr">
        <is>
          <t xml:space="preserve">33661538       </t>
        </is>
      </c>
      <c r="F724" s="5" t="inlineStr">
        <is>
          <t>HOT WHEELS CASE GARAGE RUEDA METAL EN LLAMAS X 29</t>
        </is>
      </c>
      <c r="G724" t="n">
        <v>1</v>
      </c>
      <c r="H724" s="7" t="n">
        <v>69.90000000000001</v>
      </c>
      <c r="I724" s="7" t="n">
        <v>0</v>
      </c>
      <c r="J724" s="7" t="n">
        <v>0</v>
      </c>
      <c r="K724" s="9" t="n">
        <v>0</v>
      </c>
      <c r="L724" s="10" t="n">
        <v>41.47</v>
      </c>
      <c r="M724" s="10" t="n">
        <v>1.43</v>
      </c>
      <c r="N724" t="inlineStr">
        <is>
          <t>1</t>
        </is>
      </c>
      <c r="O724" t="inlineStr">
        <is>
          <t>16</t>
        </is>
      </c>
      <c r="P724" t="inlineStr">
        <is>
          <t xml:space="preserve">244379  </t>
        </is>
      </c>
      <c r="Q724" s="26" t="n">
        <v>69.90000000000001</v>
      </c>
      <c r="R724" s="26">
        <f>Q724*G724</f>
        <v/>
      </c>
      <c r="S724" t="n">
        <v>41.47</v>
      </c>
      <c r="T724" s="18">
        <f>1 - V724/S724</f>
        <v/>
      </c>
      <c r="U724" s="18" t="n">
        <v>0</v>
      </c>
      <c r="V724" s="26" t="n">
        <v>41.47</v>
      </c>
      <c r="W724" s="26">
        <f>V724 - L724</f>
        <v/>
      </c>
    </row>
    <row r="725">
      <c r="A725" s="11" t="n">
        <v>46210</v>
      </c>
      <c r="B725" s="1" t="n">
        <v>20062</v>
      </c>
      <c r="C725" s="1" t="inlineStr">
        <is>
          <t>038</t>
        </is>
      </c>
      <c r="D725" s="1" t="inlineStr">
        <is>
          <t>172970</t>
        </is>
      </c>
      <c r="E725" s="1" t="inlineStr">
        <is>
          <t xml:space="preserve">34840553       </t>
        </is>
      </c>
      <c r="F725" s="5" t="inlineStr">
        <is>
          <t>TMZ AUTO LUZ Y SONIDO ESQUELET DINO T-REX</t>
        </is>
      </c>
      <c r="G725" t="n">
        <v>1</v>
      </c>
      <c r="H725" s="7" t="n">
        <v>79.90000000000001</v>
      </c>
      <c r="I725" s="7" t="n">
        <v>0</v>
      </c>
      <c r="J725" s="7" t="n">
        <v>0</v>
      </c>
      <c r="K725" s="9" t="n">
        <v>0</v>
      </c>
      <c r="L725" s="10" t="n">
        <v>47.4</v>
      </c>
      <c r="M725" s="10" t="n">
        <v>1.43</v>
      </c>
      <c r="N725" t="inlineStr">
        <is>
          <t>1</t>
        </is>
      </c>
      <c r="O725" t="inlineStr">
        <is>
          <t>16</t>
        </is>
      </c>
      <c r="P725" t="inlineStr">
        <is>
          <t xml:space="preserve">251762  </t>
        </is>
      </c>
      <c r="Q725" s="26" t="n">
        <v>79.90000000000002</v>
      </c>
      <c r="R725" s="26">
        <f>Q725*G725</f>
        <v/>
      </c>
      <c r="S725" t="n">
        <v>47.4</v>
      </c>
      <c r="T725" s="18">
        <f>1 - V725/S725</f>
        <v/>
      </c>
      <c r="U725" s="18" t="n">
        <v>0</v>
      </c>
      <c r="V725" s="26" t="n">
        <v>47.4</v>
      </c>
      <c r="W725" s="26">
        <f>V725 - L725</f>
        <v/>
      </c>
    </row>
    <row r="726">
      <c r="A726" s="11" t="n">
        <v>46210</v>
      </c>
      <c r="B726" s="1" t="n">
        <v>20062</v>
      </c>
      <c r="C726" s="1" t="inlineStr">
        <is>
          <t>053</t>
        </is>
      </c>
      <c r="D726" s="1" t="inlineStr">
        <is>
          <t>242730</t>
        </is>
      </c>
      <c r="E726" s="1" t="inlineStr">
        <is>
          <t xml:space="preserve">33483126       </t>
        </is>
      </c>
      <c r="F726" s="5" t="inlineStr">
        <is>
          <t>MUNECA STEFFI LOVE ANIMAL FELIZ SURT. + ACC.</t>
        </is>
      </c>
      <c r="G726" t="n">
        <v>1</v>
      </c>
      <c r="H726" s="7" t="n">
        <v>79.90000000000001</v>
      </c>
      <c r="I726" s="7" t="n">
        <v>0</v>
      </c>
      <c r="J726" s="7" t="n">
        <v>0</v>
      </c>
      <c r="K726" s="9" t="n">
        <v>0</v>
      </c>
      <c r="L726" s="10" t="n">
        <v>47.4</v>
      </c>
      <c r="M726" s="10" t="n">
        <v>1.43</v>
      </c>
      <c r="N726" t="inlineStr">
        <is>
          <t>1</t>
        </is>
      </c>
      <c r="O726" t="inlineStr">
        <is>
          <t xml:space="preserve">2 </t>
        </is>
      </c>
      <c r="P726" t="inlineStr">
        <is>
          <t xml:space="preserve">237521  </t>
        </is>
      </c>
      <c r="Q726" s="26" t="n">
        <v>79.90000000000001</v>
      </c>
      <c r="R726" s="26">
        <f>Q726*G726</f>
        <v/>
      </c>
      <c r="S726" t="n">
        <v>47.4</v>
      </c>
      <c r="T726" s="18">
        <f>1 - V726/S726</f>
        <v/>
      </c>
      <c r="U726" s="18" t="n">
        <v>0.4</v>
      </c>
      <c r="V726" s="26" t="n">
        <v>34.53803389830508</v>
      </c>
      <c r="W726" s="26">
        <f>V726 - L726</f>
        <v/>
      </c>
    </row>
    <row r="727">
      <c r="A727" s="11" t="n">
        <v>46210</v>
      </c>
      <c r="B727" s="1" t="n">
        <v>20062</v>
      </c>
      <c r="C727" s="1" t="inlineStr">
        <is>
          <t>053</t>
        </is>
      </c>
      <c r="D727" s="1" t="inlineStr">
        <is>
          <t>242740</t>
        </is>
      </c>
      <c r="E727" s="1" t="inlineStr">
        <is>
          <t xml:space="preserve">28194780       </t>
        </is>
      </c>
      <c r="F727" s="5" t="inlineStr">
        <is>
          <t>TROMPO BATALLA INFINITY NADO PLSTICO SURTIDO</t>
        </is>
      </c>
      <c r="G727" t="n">
        <v>1</v>
      </c>
      <c r="H727" s="7" t="n">
        <v>19.9</v>
      </c>
      <c r="I727" s="7" t="n">
        <v>0</v>
      </c>
      <c r="J727" s="7" t="n">
        <v>0</v>
      </c>
      <c r="K727" s="9" t="n">
        <v>0</v>
      </c>
      <c r="L727" s="10" t="n">
        <v>11.8</v>
      </c>
      <c r="M727" s="10" t="n">
        <v>1.43</v>
      </c>
      <c r="N727" t="inlineStr">
        <is>
          <t>1</t>
        </is>
      </c>
      <c r="O727" t="inlineStr">
        <is>
          <t xml:space="preserve">3 </t>
        </is>
      </c>
      <c r="P727" t="inlineStr">
        <is>
          <t xml:space="preserve">237521  </t>
        </is>
      </c>
      <c r="Q727" s="26" t="n">
        <v>19.9</v>
      </c>
      <c r="R727" s="26">
        <f>Q727*G727</f>
        <v/>
      </c>
      <c r="S727" t="n">
        <v>11.81</v>
      </c>
      <c r="T727" s="18">
        <f>1 - V727/S727</f>
        <v/>
      </c>
      <c r="U727" s="18" t="n">
        <v>0</v>
      </c>
      <c r="V727" s="26" t="n">
        <v>11.81</v>
      </c>
      <c r="W727" s="26">
        <f>V727 - L727</f>
        <v/>
      </c>
    </row>
    <row r="728">
      <c r="A728" s="11" t="n">
        <v>46210</v>
      </c>
      <c r="B728" s="1" t="n">
        <v>20066</v>
      </c>
      <c r="C728" s="1" t="inlineStr">
        <is>
          <t>061</t>
        </is>
      </c>
      <c r="D728" s="1" t="inlineStr">
        <is>
          <t xml:space="preserve">34600 </t>
        </is>
      </c>
      <c r="E728" s="1" t="inlineStr">
        <is>
          <t xml:space="preserve">28194770       </t>
        </is>
      </c>
      <c r="F728" s="5" t="inlineStr">
        <is>
          <t>AUTOS DE METAL 3 TEAMSTERZ EN BLISTER</t>
        </is>
      </c>
      <c r="G728" t="n">
        <v>1</v>
      </c>
      <c r="H728" s="7" t="n">
        <v>6.9</v>
      </c>
      <c r="I728" s="7" t="n">
        <v>0</v>
      </c>
      <c r="J728" s="7" t="n">
        <v>0</v>
      </c>
      <c r="K728" s="9" t="n">
        <v>0</v>
      </c>
      <c r="L728" s="10" t="n">
        <v>4.1</v>
      </c>
      <c r="M728" s="10" t="n">
        <v>1.43</v>
      </c>
      <c r="N728" t="inlineStr">
        <is>
          <t>1</t>
        </is>
      </c>
      <c r="O728" t="inlineStr">
        <is>
          <t>16</t>
        </is>
      </c>
      <c r="P728" t="inlineStr">
        <is>
          <t xml:space="preserve">57030   </t>
        </is>
      </c>
      <c r="Q728" s="26" t="n">
        <v>6.9</v>
      </c>
      <c r="R728" s="26">
        <f>Q728*G728</f>
        <v/>
      </c>
      <c r="S728" t="n">
        <v>4.09</v>
      </c>
      <c r="T728" s="18">
        <f>1 - V728/S728</f>
        <v/>
      </c>
      <c r="U728" s="18" t="n">
        <v>0</v>
      </c>
      <c r="V728" s="26" t="n">
        <v>4.09</v>
      </c>
      <c r="W728" s="26">
        <f>V728 - L728</f>
        <v/>
      </c>
    </row>
    <row r="729">
      <c r="A729" s="11" t="n">
        <v>46210</v>
      </c>
      <c r="B729" s="1" t="n">
        <v>20073</v>
      </c>
      <c r="C729" s="1" t="inlineStr">
        <is>
          <t>033</t>
        </is>
      </c>
      <c r="D729" s="1" t="inlineStr">
        <is>
          <t>313509</t>
        </is>
      </c>
      <c r="E729" s="1" t="inlineStr">
        <is>
          <t xml:space="preserve">28194769       </t>
        </is>
      </c>
      <c r="F729" s="5" t="inlineStr">
        <is>
          <t>AUTOS DE METAL 3 TEAMSTERZ PACK DE 2</t>
        </is>
      </c>
      <c r="G729" t="n">
        <v>1</v>
      </c>
      <c r="H729" s="7" t="n">
        <v>13.8</v>
      </c>
      <c r="I729" s="7" t="n">
        <v>0</v>
      </c>
      <c r="J729" s="7" t="n">
        <v>0</v>
      </c>
      <c r="K729" s="9" t="n">
        <v>0</v>
      </c>
      <c r="L729" s="10" t="n">
        <v>8.18</v>
      </c>
      <c r="M729" s="10" t="n">
        <v>1.43</v>
      </c>
      <c r="N729" t="inlineStr">
        <is>
          <t>1</t>
        </is>
      </c>
      <c r="O729" t="inlineStr">
        <is>
          <t>16</t>
        </is>
      </c>
      <c r="P729" t="inlineStr">
        <is>
          <t xml:space="preserve">57886   </t>
        </is>
      </c>
      <c r="Q729" s="26" t="n">
        <v>13.8</v>
      </c>
      <c r="R729" s="26">
        <f>Q729*G729</f>
        <v/>
      </c>
      <c r="S729" t="n">
        <v>8.19</v>
      </c>
      <c r="T729" s="18">
        <f>1 - V729/S729</f>
        <v/>
      </c>
      <c r="U729" s="18" t="n">
        <v>0</v>
      </c>
      <c r="V729" s="26" t="n">
        <v>8.19</v>
      </c>
      <c r="W729" s="26">
        <f>V729 - L729</f>
        <v/>
      </c>
    </row>
    <row r="730">
      <c r="A730" s="11" t="n">
        <v>46210</v>
      </c>
      <c r="B730" s="1" t="n">
        <v>20074</v>
      </c>
      <c r="C730" s="1" t="inlineStr">
        <is>
          <t>015</t>
        </is>
      </c>
      <c r="D730" s="1" t="inlineStr">
        <is>
          <t>227407</t>
        </is>
      </c>
      <c r="E730" s="1" t="inlineStr">
        <is>
          <t xml:space="preserve">30141780       </t>
        </is>
      </c>
      <c r="F730" s="5" t="inlineStr">
        <is>
          <t>RELOJ DIGITAL PEPPA PIG</t>
        </is>
      </c>
      <c r="G730" t="n">
        <v>1</v>
      </c>
      <c r="H730" s="7" t="n">
        <v>18.9</v>
      </c>
      <c r="I730" s="7" t="n">
        <v>0</v>
      </c>
      <c r="J730" s="7" t="n">
        <v>0</v>
      </c>
      <c r="K730" s="9" t="n">
        <v>0</v>
      </c>
      <c r="L730" s="10" t="n">
        <v>11.21</v>
      </c>
      <c r="M730" s="10" t="n">
        <v>1.43</v>
      </c>
      <c r="N730" t="inlineStr">
        <is>
          <t>1</t>
        </is>
      </c>
      <c r="O730" t="inlineStr">
        <is>
          <t>16</t>
        </is>
      </c>
      <c r="P730" t="inlineStr">
        <is>
          <t xml:space="preserve">90017   </t>
        </is>
      </c>
      <c r="Q730" s="26" t="n">
        <v>18.9</v>
      </c>
      <c r="R730" s="26">
        <f>Q730*G730</f>
        <v/>
      </c>
      <c r="S730" t="n">
        <v>11.21</v>
      </c>
      <c r="T730" s="18">
        <f>1 - V730/S730</f>
        <v/>
      </c>
      <c r="U730" s="18" t="n">
        <v>0</v>
      </c>
      <c r="V730" s="26" t="n">
        <v>11.21</v>
      </c>
      <c r="W730" s="26">
        <f>V730 - L730</f>
        <v/>
      </c>
    </row>
    <row r="731">
      <c r="A731" s="11" t="n">
        <v>46210</v>
      </c>
      <c r="B731" s="1" t="n">
        <v>20074</v>
      </c>
      <c r="C731" s="1" t="inlineStr">
        <is>
          <t>024</t>
        </is>
      </c>
      <c r="D731" s="1" t="inlineStr">
        <is>
          <t>364031</t>
        </is>
      </c>
      <c r="E731" s="1" t="inlineStr">
        <is>
          <t xml:space="preserve">28194770       </t>
        </is>
      </c>
      <c r="F731" s="5" t="inlineStr">
        <is>
          <t>AUTOS DE METAL 3 TEAMSTERZ EN BLISTER</t>
        </is>
      </c>
      <c r="G731" t="n">
        <v>1</v>
      </c>
      <c r="H731" s="7" t="n">
        <v>6.9</v>
      </c>
      <c r="I731" s="7" t="n">
        <v>0</v>
      </c>
      <c r="J731" s="7" t="n">
        <v>0</v>
      </c>
      <c r="K731" s="9" t="n">
        <v>0</v>
      </c>
      <c r="L731" s="10" t="n">
        <v>4.1</v>
      </c>
      <c r="M731" s="10" t="n">
        <v>1.43</v>
      </c>
      <c r="N731" t="inlineStr">
        <is>
          <t>1</t>
        </is>
      </c>
      <c r="O731" t="inlineStr">
        <is>
          <t>16</t>
        </is>
      </c>
      <c r="P731" t="inlineStr">
        <is>
          <t xml:space="preserve">250386  </t>
        </is>
      </c>
      <c r="Q731" s="26" t="n">
        <v>6.9</v>
      </c>
      <c r="R731" s="26">
        <f>Q731*G731</f>
        <v/>
      </c>
      <c r="S731" t="n">
        <v>4.09</v>
      </c>
      <c r="T731" s="18">
        <f>1 - V731/S731</f>
        <v/>
      </c>
      <c r="U731" s="18" t="n">
        <v>0</v>
      </c>
      <c r="V731" s="26" t="n">
        <v>4.09</v>
      </c>
      <c r="W731" s="26">
        <f>V731 - L731</f>
        <v/>
      </c>
    </row>
    <row r="732">
      <c r="A732" s="11" t="n">
        <v>46210</v>
      </c>
      <c r="B732" s="1" t="n">
        <v>20074</v>
      </c>
      <c r="C732" s="1" t="inlineStr">
        <is>
          <t>024</t>
        </is>
      </c>
      <c r="D732" s="1" t="inlineStr">
        <is>
          <t>364031</t>
        </is>
      </c>
      <c r="E732" s="1" t="inlineStr">
        <is>
          <t xml:space="preserve">28194770       </t>
        </is>
      </c>
      <c r="F732" s="5" t="inlineStr">
        <is>
          <t>AUTOS DE METAL 3 TEAMSTERZ EN BLISTER</t>
        </is>
      </c>
      <c r="G732" t="n">
        <v>1</v>
      </c>
      <c r="H732" s="7" t="n">
        <v>6.9</v>
      </c>
      <c r="I732" s="7" t="n">
        <v>0</v>
      </c>
      <c r="J732" s="7" t="n">
        <v>0</v>
      </c>
      <c r="K732" s="9" t="n">
        <v>0</v>
      </c>
      <c r="L732" s="10" t="n">
        <v>4.1</v>
      </c>
      <c r="M732" s="10" t="n">
        <v>1.43</v>
      </c>
      <c r="N732" t="inlineStr">
        <is>
          <t>1</t>
        </is>
      </c>
      <c r="O732" t="inlineStr">
        <is>
          <t>16</t>
        </is>
      </c>
      <c r="P732" t="inlineStr">
        <is>
          <t xml:space="preserve">250386  </t>
        </is>
      </c>
      <c r="Q732" s="26" t="n">
        <v>6.9</v>
      </c>
      <c r="R732" s="26">
        <f>Q732*G732</f>
        <v/>
      </c>
      <c r="S732" t="n">
        <v>4.09</v>
      </c>
      <c r="T732" s="18">
        <f>1 - V732/S732</f>
        <v/>
      </c>
      <c r="U732" s="18" t="n">
        <v>0</v>
      </c>
      <c r="V732" s="26" t="n">
        <v>4.09</v>
      </c>
      <c r="W732" s="26">
        <f>V732 - L732</f>
        <v/>
      </c>
    </row>
    <row r="733">
      <c r="A733" s="11" t="n">
        <v>46210</v>
      </c>
      <c r="B733" s="1" t="n">
        <v>20074</v>
      </c>
      <c r="C733" s="1" t="inlineStr">
        <is>
          <t>025</t>
        </is>
      </c>
      <c r="D733" s="1" t="inlineStr">
        <is>
          <t xml:space="preserve">27287 </t>
        </is>
      </c>
      <c r="E733" s="1" t="inlineStr">
        <is>
          <t xml:space="preserve">30232282       </t>
        </is>
      </c>
      <c r="F733" s="5" t="inlineStr">
        <is>
          <t>MANDIBULAS JUEGO DE PESCA</t>
        </is>
      </c>
      <c r="G733" t="n">
        <v>1</v>
      </c>
      <c r="H733" s="7" t="n">
        <v>119</v>
      </c>
      <c r="I733" s="7" t="n">
        <v>0</v>
      </c>
      <c r="J733" s="7" t="n">
        <v>0</v>
      </c>
      <c r="K733" s="9" t="n">
        <v>0</v>
      </c>
      <c r="L733" s="10" t="n">
        <v>70.59999999999999</v>
      </c>
      <c r="M733" s="10" t="n">
        <v>1.43</v>
      </c>
      <c r="N733" t="inlineStr">
        <is>
          <t>1</t>
        </is>
      </c>
      <c r="O733" t="inlineStr">
        <is>
          <t>16</t>
        </is>
      </c>
      <c r="P733" t="inlineStr">
        <is>
          <t xml:space="preserve">102135  </t>
        </is>
      </c>
      <c r="Q733" s="26" t="n">
        <v>119</v>
      </c>
      <c r="R733" s="26">
        <f>Q733*G733</f>
        <v/>
      </c>
      <c r="S733" t="n">
        <v>70.59</v>
      </c>
      <c r="T733" s="18">
        <f>1 - V733/S733</f>
        <v/>
      </c>
      <c r="U733" s="18" t="n">
        <v>0</v>
      </c>
      <c r="V733" s="26" t="n">
        <v>70.59</v>
      </c>
      <c r="W733" s="26">
        <f>V733 - L733</f>
        <v/>
      </c>
    </row>
    <row r="734">
      <c r="A734" s="11" t="n">
        <v>46210</v>
      </c>
      <c r="B734" s="1" t="n">
        <v>20074</v>
      </c>
      <c r="C734" s="1" t="inlineStr">
        <is>
          <t>048</t>
        </is>
      </c>
      <c r="D734" s="1" t="inlineStr">
        <is>
          <t>144606</t>
        </is>
      </c>
      <c r="E734" s="1" t="inlineStr">
        <is>
          <t xml:space="preserve">28194770       </t>
        </is>
      </c>
      <c r="F734" s="5" t="inlineStr">
        <is>
          <t>AUTOS DE METAL 3 TEAMSTERZ EN BLISTER</t>
        </is>
      </c>
      <c r="G734" t="n">
        <v>1</v>
      </c>
      <c r="H734" s="7" t="n">
        <v>6.9</v>
      </c>
      <c r="I734" s="7" t="n">
        <v>0</v>
      </c>
      <c r="J734" s="7" t="n">
        <v>0</v>
      </c>
      <c r="K734" s="9" t="n">
        <v>0</v>
      </c>
      <c r="L734" s="10" t="n">
        <v>4.1</v>
      </c>
      <c r="M734" s="10" t="n">
        <v>1.43</v>
      </c>
      <c r="N734" t="inlineStr">
        <is>
          <t>1</t>
        </is>
      </c>
      <c r="O734" t="inlineStr">
        <is>
          <t>16</t>
        </is>
      </c>
      <c r="P734" t="inlineStr">
        <is>
          <t xml:space="preserve">233574  </t>
        </is>
      </c>
      <c r="Q734" s="26" t="n">
        <v>6.9</v>
      </c>
      <c r="R734" s="26">
        <f>Q734*G734</f>
        <v/>
      </c>
      <c r="S734" t="n">
        <v>4.09</v>
      </c>
      <c r="T734" s="18">
        <f>1 - V734/S734</f>
        <v/>
      </c>
      <c r="U734" s="18" t="n">
        <v>0</v>
      </c>
      <c r="V734" s="26" t="n">
        <v>4.09</v>
      </c>
      <c r="W734" s="26">
        <f>V734 - L734</f>
        <v/>
      </c>
    </row>
    <row r="735">
      <c r="A735" s="11" t="n">
        <v>46210</v>
      </c>
      <c r="B735" s="1" t="n">
        <v>20077</v>
      </c>
      <c r="C735" s="1" t="inlineStr">
        <is>
          <t>011</t>
        </is>
      </c>
      <c r="D735" s="1" t="inlineStr">
        <is>
          <t xml:space="preserve">83389 </t>
        </is>
      </c>
      <c r="E735" s="1" t="inlineStr">
        <is>
          <t xml:space="preserve">31675352       </t>
        </is>
      </c>
      <c r="F735" s="5" t="inlineStr">
        <is>
          <t>MI PEQUENO NENUCO</t>
        </is>
      </c>
      <c r="G735" t="n">
        <v>1</v>
      </c>
      <c r="H735" s="7" t="n">
        <v>69.90000000000001</v>
      </c>
      <c r="I735" s="7" t="n">
        <v>0</v>
      </c>
      <c r="J735" s="7" t="n">
        <v>0</v>
      </c>
      <c r="K735" s="9" t="n">
        <v>0</v>
      </c>
      <c r="L735" s="10" t="n">
        <v>41.47</v>
      </c>
      <c r="M735" s="10" t="n">
        <v>1.43</v>
      </c>
      <c r="N735" t="inlineStr">
        <is>
          <t>1</t>
        </is>
      </c>
      <c r="O735" t="inlineStr">
        <is>
          <t xml:space="preserve">2 </t>
        </is>
      </c>
      <c r="P735" t="inlineStr">
        <is>
          <t xml:space="preserve">62762   </t>
        </is>
      </c>
      <c r="Q735" s="26" t="n">
        <v>69.90000000000001</v>
      </c>
      <c r="R735" s="26">
        <f>Q735*G735</f>
        <v/>
      </c>
      <c r="S735" t="n">
        <v>41.47</v>
      </c>
      <c r="T735" s="18">
        <f>1 - V735/S735</f>
        <v/>
      </c>
      <c r="U735" s="18" t="n">
        <v>0.2861230329041489</v>
      </c>
      <c r="V735" s="26" t="n">
        <v>31.71610169491525</v>
      </c>
      <c r="W735" s="26">
        <f>V735 - L735</f>
        <v/>
      </c>
    </row>
    <row r="736">
      <c r="A736" s="11" t="n">
        <v>46210</v>
      </c>
      <c r="B736" s="1" t="n">
        <v>20077</v>
      </c>
      <c r="C736" s="1" t="inlineStr">
        <is>
          <t>011</t>
        </is>
      </c>
      <c r="D736" s="1" t="inlineStr">
        <is>
          <t xml:space="preserve">83464 </t>
        </is>
      </c>
      <c r="E736" s="1" t="inlineStr">
        <is>
          <t xml:space="preserve">30232284       </t>
        </is>
      </c>
      <c r="F736" s="5" t="inlineStr">
        <is>
          <t>INFINITY NADO TROMPO DE BATALLA - METAL C/PUNTA DE</t>
        </is>
      </c>
      <c r="G736" t="n">
        <v>1</v>
      </c>
      <c r="H736" s="7" t="n">
        <v>49.9</v>
      </c>
      <c r="I736" s="7" t="n">
        <v>0</v>
      </c>
      <c r="J736" s="7" t="n">
        <v>0</v>
      </c>
      <c r="K736" s="9" t="n">
        <v>0</v>
      </c>
      <c r="L736" s="10" t="n">
        <v>29.6</v>
      </c>
      <c r="M736" s="10" t="n">
        <v>1.43</v>
      </c>
      <c r="N736" t="inlineStr">
        <is>
          <t>1</t>
        </is>
      </c>
      <c r="O736" t="inlineStr">
        <is>
          <t xml:space="preserve">2 </t>
        </is>
      </c>
      <c r="P736" t="inlineStr">
        <is>
          <t xml:space="preserve">62762   </t>
        </is>
      </c>
      <c r="Q736" s="26" t="n">
        <v>49.9</v>
      </c>
      <c r="R736" s="26">
        <f>Q736*G736</f>
        <v/>
      </c>
      <c r="S736" t="n">
        <v>29.6</v>
      </c>
      <c r="T736" s="18">
        <f>1 - V736/S736</f>
        <v/>
      </c>
      <c r="U736" s="18" t="n">
        <v>0.3006012024048096</v>
      </c>
      <c r="V736" s="26" t="n">
        <v>22.18220338983051</v>
      </c>
      <c r="W736" s="26">
        <f>V736 - L736</f>
        <v/>
      </c>
    </row>
    <row r="737">
      <c r="A737" s="11" t="n">
        <v>46210</v>
      </c>
      <c r="B737" s="1" t="n">
        <v>20077</v>
      </c>
      <c r="C737" s="1" t="inlineStr">
        <is>
          <t>031</t>
        </is>
      </c>
      <c r="D737" s="1" t="inlineStr">
        <is>
          <t>186238</t>
        </is>
      </c>
      <c r="E737" s="1" t="inlineStr">
        <is>
          <t xml:space="preserve">28194770       </t>
        </is>
      </c>
      <c r="F737" s="5" t="inlineStr">
        <is>
          <t>AUTOS DE METAL 3 TEAMSTERZ EN BLISTER</t>
        </is>
      </c>
      <c r="G737" t="n">
        <v>1</v>
      </c>
      <c r="H737" s="7" t="n">
        <v>6.9</v>
      </c>
      <c r="I737" s="7" t="n">
        <v>0</v>
      </c>
      <c r="J737" s="7" t="n">
        <v>0</v>
      </c>
      <c r="K737" s="9" t="n">
        <v>0</v>
      </c>
      <c r="L737" s="10" t="n">
        <v>4.1</v>
      </c>
      <c r="M737" s="10" t="n">
        <v>1.43</v>
      </c>
      <c r="N737" t="inlineStr">
        <is>
          <t>1</t>
        </is>
      </c>
      <c r="O737" t="inlineStr">
        <is>
          <t>16</t>
        </is>
      </c>
      <c r="P737" t="inlineStr">
        <is>
          <t xml:space="preserve">238746  </t>
        </is>
      </c>
      <c r="Q737" s="26" t="n">
        <v>6.9</v>
      </c>
      <c r="R737" s="26">
        <f>Q737*G737</f>
        <v/>
      </c>
      <c r="S737" t="n">
        <v>4.09</v>
      </c>
      <c r="T737" s="18">
        <f>1 - V737/S737</f>
        <v/>
      </c>
      <c r="U737" s="18" t="n">
        <v>0</v>
      </c>
      <c r="V737" s="26" t="n">
        <v>4.09</v>
      </c>
      <c r="W737" s="26">
        <f>V737 - L737</f>
        <v/>
      </c>
    </row>
    <row r="738">
      <c r="A738" s="11" t="n">
        <v>46210</v>
      </c>
      <c r="B738" s="1" t="n">
        <v>20077</v>
      </c>
      <c r="C738" s="1" t="inlineStr">
        <is>
          <t>031</t>
        </is>
      </c>
      <c r="D738" s="1" t="inlineStr">
        <is>
          <t xml:space="preserve">2051  </t>
        </is>
      </c>
      <c r="E738" s="1" t="inlineStr">
        <is>
          <t xml:space="preserve">28194770       </t>
        </is>
      </c>
      <c r="F738" s="5" t="inlineStr">
        <is>
          <t>AUTOS DE METAL 3 TEAMSTERZ EN BLISTER</t>
        </is>
      </c>
      <c r="G738" t="n">
        <v>1</v>
      </c>
      <c r="H738" s="7" t="n">
        <v>6.9</v>
      </c>
      <c r="I738" s="7" t="n">
        <v>0</v>
      </c>
      <c r="J738" s="7" t="n">
        <v>0</v>
      </c>
      <c r="K738" s="9" t="n">
        <v>0</v>
      </c>
      <c r="L738" s="10" t="n">
        <v>4.1</v>
      </c>
      <c r="M738" s="10" t="n">
        <v>1.43</v>
      </c>
      <c r="N738" t="inlineStr">
        <is>
          <t>1</t>
        </is>
      </c>
      <c r="O738" t="inlineStr">
        <is>
          <t xml:space="preserve">3 </t>
        </is>
      </c>
      <c r="P738" t="inlineStr">
        <is>
          <t xml:space="preserve">238746  </t>
        </is>
      </c>
      <c r="Q738" s="26" t="n">
        <v>6.9</v>
      </c>
      <c r="R738" s="26">
        <f>Q738*G738</f>
        <v/>
      </c>
      <c r="S738" t="n">
        <v>4.09</v>
      </c>
      <c r="T738" s="18">
        <f>1 - V738/S738</f>
        <v/>
      </c>
      <c r="U738" s="18" t="n">
        <v>0</v>
      </c>
      <c r="V738" s="26" t="n">
        <v>4.09</v>
      </c>
      <c r="W738" s="26">
        <f>V738 - L738</f>
        <v/>
      </c>
    </row>
    <row r="739">
      <c r="A739" s="11" t="n">
        <v>46210</v>
      </c>
      <c r="B739" s="1" t="n">
        <v>20077</v>
      </c>
      <c r="C739" s="1" t="inlineStr">
        <is>
          <t>031</t>
        </is>
      </c>
      <c r="D739" s="1" t="inlineStr">
        <is>
          <t xml:space="preserve">2051  </t>
        </is>
      </c>
      <c r="E739" s="1" t="inlineStr">
        <is>
          <t xml:space="preserve">28194770       </t>
        </is>
      </c>
      <c r="F739" s="5" t="inlineStr">
        <is>
          <t>AUTOS DE METAL 3 TEAMSTERZ EN BLISTER</t>
        </is>
      </c>
      <c r="G739" t="n">
        <v>1</v>
      </c>
      <c r="H739" s="7" t="n">
        <v>6.9</v>
      </c>
      <c r="I739" s="7" t="n">
        <v>0</v>
      </c>
      <c r="J739" s="7" t="n">
        <v>0</v>
      </c>
      <c r="K739" s="9" t="n">
        <v>0</v>
      </c>
      <c r="L739" s="10" t="n">
        <v>4.1</v>
      </c>
      <c r="M739" s="10" t="n">
        <v>1.43</v>
      </c>
      <c r="N739" t="inlineStr">
        <is>
          <t>1</t>
        </is>
      </c>
      <c r="O739" t="inlineStr">
        <is>
          <t xml:space="preserve">3 </t>
        </is>
      </c>
      <c r="P739" t="inlineStr">
        <is>
          <t xml:space="preserve">238746  </t>
        </is>
      </c>
      <c r="Q739" s="26" t="n">
        <v>6.9</v>
      </c>
      <c r="R739" s="26">
        <f>Q739*G739</f>
        <v/>
      </c>
      <c r="S739" t="n">
        <v>4.09</v>
      </c>
      <c r="T739" s="18">
        <f>1 - V739/S739</f>
        <v/>
      </c>
      <c r="U739" s="18" t="n">
        <v>0</v>
      </c>
      <c r="V739" s="26" t="n">
        <v>4.09</v>
      </c>
      <c r="W739" s="26">
        <f>V739 - L739</f>
        <v/>
      </c>
    </row>
    <row r="740">
      <c r="A740" s="11" t="n">
        <v>46210</v>
      </c>
      <c r="B740" s="1" t="n">
        <v>20077</v>
      </c>
      <c r="C740" s="1" t="inlineStr">
        <is>
          <t>514</t>
        </is>
      </c>
      <c r="D740" s="1" t="inlineStr">
        <is>
          <t xml:space="preserve">4847  </t>
        </is>
      </c>
      <c r="E740" s="1" t="inlineStr">
        <is>
          <t xml:space="preserve">28194780       </t>
        </is>
      </c>
      <c r="F740" s="5" t="inlineStr">
        <is>
          <t>TROMPO BATALLA INFINITY NADO PLSTICO SURTIDO</t>
        </is>
      </c>
      <c r="G740" t="n">
        <v>1</v>
      </c>
      <c r="H740" s="7" t="n">
        <v>19.9</v>
      </c>
      <c r="I740" s="7" t="n">
        <v>0</v>
      </c>
      <c r="J740" s="7" t="n">
        <v>0</v>
      </c>
      <c r="K740" s="9" t="n">
        <v>0</v>
      </c>
      <c r="L740" s="10" t="n">
        <v>11.8</v>
      </c>
      <c r="M740" s="10" t="n">
        <v>1.43</v>
      </c>
      <c r="N740" t="inlineStr">
        <is>
          <t>1</t>
        </is>
      </c>
      <c r="O740" t="inlineStr">
        <is>
          <t>16</t>
        </is>
      </c>
      <c r="P740" t="inlineStr">
        <is>
          <t xml:space="preserve">251066  </t>
        </is>
      </c>
      <c r="Q740" s="26" t="n">
        <v>19.9</v>
      </c>
      <c r="R740" s="26">
        <f>Q740*G740</f>
        <v/>
      </c>
      <c r="S740" t="n">
        <v>11.81</v>
      </c>
      <c r="T740" s="18">
        <f>1 - V740/S740</f>
        <v/>
      </c>
      <c r="U740" s="18" t="n">
        <v>0</v>
      </c>
      <c r="V740" s="26" t="n">
        <v>11.81</v>
      </c>
      <c r="W740" s="26">
        <f>V740 - L740</f>
        <v/>
      </c>
    </row>
    <row r="741">
      <c r="A741" s="11" t="n">
        <v>46210</v>
      </c>
      <c r="B741" s="1" t="n">
        <v>20080</v>
      </c>
      <c r="C741" s="1" t="inlineStr">
        <is>
          <t>029</t>
        </is>
      </c>
      <c r="D741" s="1" t="inlineStr">
        <is>
          <t>224972</t>
        </is>
      </c>
      <c r="E741" s="1" t="inlineStr">
        <is>
          <t xml:space="preserve">31754675       </t>
        </is>
      </c>
      <c r="F741" s="5" t="inlineStr">
        <is>
          <t>INFINITY NADO SERIE 6 STARTER PACK - 4 MODELOS</t>
        </is>
      </c>
      <c r="G741" t="n">
        <v>1</v>
      </c>
      <c r="H741" s="7" t="n">
        <v>69.90000000000001</v>
      </c>
      <c r="I741" s="7" t="n">
        <v>0</v>
      </c>
      <c r="J741" s="7" t="n">
        <v>0</v>
      </c>
      <c r="K741" s="9" t="n">
        <v>0</v>
      </c>
      <c r="L741" s="10" t="n">
        <v>41.47</v>
      </c>
      <c r="M741" s="10" t="n">
        <v>1.43</v>
      </c>
      <c r="N741" t="inlineStr">
        <is>
          <t>1</t>
        </is>
      </c>
      <c r="O741" t="inlineStr">
        <is>
          <t>16</t>
        </is>
      </c>
      <c r="P741" t="inlineStr">
        <is>
          <t xml:space="preserve">66621   </t>
        </is>
      </c>
      <c r="Q741" s="26" t="n">
        <v>69.90000000000001</v>
      </c>
      <c r="R741" s="26">
        <f>Q741*G741</f>
        <v/>
      </c>
      <c r="S741" t="n">
        <v>41.47</v>
      </c>
      <c r="T741" s="18">
        <f>1 - V741/S741</f>
        <v/>
      </c>
      <c r="U741" s="18" t="n">
        <v>0.2861230329041489</v>
      </c>
      <c r="V741" s="26" t="n">
        <v>31.71610169491525</v>
      </c>
      <c r="W741" s="26">
        <f>V741 - L741</f>
        <v/>
      </c>
    </row>
    <row r="742">
      <c r="A742" s="11" t="n">
        <v>46210</v>
      </c>
      <c r="B742" s="1" t="n">
        <v>20088</v>
      </c>
      <c r="C742" s="1" t="inlineStr">
        <is>
          <t>021</t>
        </is>
      </c>
      <c r="D742" s="1" t="inlineStr">
        <is>
          <t xml:space="preserve">48428 </t>
        </is>
      </c>
      <c r="E742" s="1" t="inlineStr">
        <is>
          <t xml:space="preserve">29235706       </t>
        </is>
      </c>
      <c r="F742" s="5" t="inlineStr">
        <is>
          <t>TEAMSTERZ CAMION PARA GUARDAR 12 AUTOS INCL 4 AUTO</t>
        </is>
      </c>
      <c r="G742" t="n">
        <v>1</v>
      </c>
      <c r="H742" s="7" t="n">
        <v>59.9</v>
      </c>
      <c r="I742" s="7" t="n">
        <v>0</v>
      </c>
      <c r="J742" s="7" t="n">
        <v>0</v>
      </c>
      <c r="K742" s="9" t="n">
        <v>0</v>
      </c>
      <c r="L742" s="10" t="n">
        <v>35.53</v>
      </c>
      <c r="M742" s="10" t="n">
        <v>1.43</v>
      </c>
      <c r="N742" t="inlineStr">
        <is>
          <t>1</t>
        </is>
      </c>
      <c r="O742" t="inlineStr">
        <is>
          <t>16</t>
        </is>
      </c>
      <c r="P742" t="inlineStr">
        <is>
          <t xml:space="preserve">233525  </t>
        </is>
      </c>
      <c r="Q742" s="26" t="n">
        <v>59.90000000000001</v>
      </c>
      <c r="R742" s="26">
        <f>Q742*G742</f>
        <v/>
      </c>
      <c r="S742" t="n">
        <v>35.53</v>
      </c>
      <c r="T742" s="18">
        <f>1 - V742/S742</f>
        <v/>
      </c>
      <c r="U742" s="18" t="n">
        <v>0</v>
      </c>
      <c r="V742" s="26" t="n">
        <v>35.53</v>
      </c>
      <c r="W742" s="26">
        <f>V742 - L742</f>
        <v/>
      </c>
    </row>
    <row r="743">
      <c r="A743" s="11" t="n">
        <v>46210</v>
      </c>
      <c r="B743" s="1" t="n">
        <v>20088</v>
      </c>
      <c r="C743" s="1" t="inlineStr">
        <is>
          <t>021</t>
        </is>
      </c>
      <c r="D743" s="1" t="inlineStr">
        <is>
          <t xml:space="preserve">48455 </t>
        </is>
      </c>
      <c r="E743" s="1" t="inlineStr">
        <is>
          <t xml:space="preserve">31754676       </t>
        </is>
      </c>
      <c r="F743" s="5" t="inlineStr">
        <is>
          <t>INFINITY NADO SERIE 6 STD PACK LANZ ESPAD ANILLO M</t>
        </is>
      </c>
      <c r="G743" t="n">
        <v>1</v>
      </c>
      <c r="H743" s="7" t="n">
        <v>59.9</v>
      </c>
      <c r="I743" s="7" t="n">
        <v>0</v>
      </c>
      <c r="J743" s="7" t="n">
        <v>0</v>
      </c>
      <c r="K743" s="9" t="n">
        <v>0</v>
      </c>
      <c r="L743" s="10" t="n">
        <v>35.53</v>
      </c>
      <c r="M743" s="10" t="n">
        <v>1.43</v>
      </c>
      <c r="N743" t="inlineStr">
        <is>
          <t>1</t>
        </is>
      </c>
      <c r="O743" t="inlineStr">
        <is>
          <t xml:space="preserve">3 </t>
        </is>
      </c>
      <c r="P743" t="inlineStr">
        <is>
          <t xml:space="preserve">233525  </t>
        </is>
      </c>
      <c r="Q743" s="26" t="n">
        <v>79.90000000000001</v>
      </c>
      <c r="R743" s="26">
        <f>Q743*G743</f>
        <v/>
      </c>
      <c r="S743" t="n">
        <v>47.4</v>
      </c>
      <c r="T743" s="18">
        <f>1 - V743/S743</f>
        <v/>
      </c>
      <c r="U743" s="18" t="n">
        <v>0.2503128911138924</v>
      </c>
      <c r="V743" s="26" t="n">
        <v>38.07203389830509</v>
      </c>
      <c r="W743" s="26">
        <f>V743 - L743</f>
        <v/>
      </c>
    </row>
    <row r="744">
      <c r="A744" s="11" t="n">
        <v>46210</v>
      </c>
      <c r="B744" s="1" t="n">
        <v>20088</v>
      </c>
      <c r="C744" s="1" t="inlineStr">
        <is>
          <t>034</t>
        </is>
      </c>
      <c r="D744" s="1" t="inlineStr">
        <is>
          <t xml:space="preserve">15686 </t>
        </is>
      </c>
      <c r="E744" s="1" t="inlineStr">
        <is>
          <t xml:space="preserve">30141766       </t>
        </is>
      </c>
      <c r="F744" s="5" t="inlineStr">
        <is>
          <t>TMZ BEAST MACHINES AUTOS DE METAL BLISTER X 1</t>
        </is>
      </c>
      <c r="G744" t="n">
        <v>1</v>
      </c>
      <c r="H744" s="7" t="n">
        <v>7.9</v>
      </c>
      <c r="I744" s="7" t="n">
        <v>0</v>
      </c>
      <c r="J744" s="7" t="n">
        <v>0</v>
      </c>
      <c r="K744" s="9" t="n">
        <v>0</v>
      </c>
      <c r="L744" s="10" t="n">
        <v>4.68</v>
      </c>
      <c r="M744" s="10" t="n">
        <v>1.43</v>
      </c>
      <c r="N744" t="inlineStr">
        <is>
          <t>1</t>
        </is>
      </c>
      <c r="O744" t="inlineStr">
        <is>
          <t xml:space="preserve">2 </t>
        </is>
      </c>
      <c r="P744" t="inlineStr">
        <is>
          <t xml:space="preserve">41294   </t>
        </is>
      </c>
      <c r="Q744" s="26" t="n">
        <v>7.9</v>
      </c>
      <c r="R744" s="26">
        <f>Q744*G744</f>
        <v/>
      </c>
      <c r="S744" t="n">
        <v>4.69</v>
      </c>
      <c r="T744" s="18">
        <f>1 - V744/S744</f>
        <v/>
      </c>
      <c r="U744" s="18" t="n">
        <v>0</v>
      </c>
      <c r="V744" s="26" t="n">
        <v>4.69</v>
      </c>
      <c r="W744" s="26">
        <f>V744 - L744</f>
        <v/>
      </c>
    </row>
    <row r="745">
      <c r="A745" s="11" t="n">
        <v>46210</v>
      </c>
      <c r="B745" s="1" t="n">
        <v>20088</v>
      </c>
      <c r="C745" s="1" t="inlineStr">
        <is>
          <t>034</t>
        </is>
      </c>
      <c r="D745" s="1" t="inlineStr">
        <is>
          <t xml:space="preserve">15686 </t>
        </is>
      </c>
      <c r="E745" s="1" t="inlineStr">
        <is>
          <t xml:space="preserve">30141766       </t>
        </is>
      </c>
      <c r="F745" s="5" t="inlineStr">
        <is>
          <t>TMZ BEAST MACHINES AUTOS DE METAL BLISTER X 1</t>
        </is>
      </c>
      <c r="G745" t="n">
        <v>1</v>
      </c>
      <c r="H745" s="7" t="n">
        <v>7.9</v>
      </c>
      <c r="I745" s="7" t="n">
        <v>0</v>
      </c>
      <c r="J745" s="7" t="n">
        <v>0</v>
      </c>
      <c r="K745" s="9" t="n">
        <v>0</v>
      </c>
      <c r="L745" s="10" t="n">
        <v>4.68</v>
      </c>
      <c r="M745" s="10" t="n">
        <v>1.43</v>
      </c>
      <c r="N745" t="inlineStr">
        <is>
          <t>1</t>
        </is>
      </c>
      <c r="O745" t="inlineStr">
        <is>
          <t xml:space="preserve">2 </t>
        </is>
      </c>
      <c r="P745" t="inlineStr">
        <is>
          <t xml:space="preserve">41294   </t>
        </is>
      </c>
      <c r="Q745" s="26" t="n">
        <v>7.9</v>
      </c>
      <c r="R745" s="26">
        <f>Q745*G745</f>
        <v/>
      </c>
      <c r="S745" t="n">
        <v>4.69</v>
      </c>
      <c r="T745" s="18">
        <f>1 - V745/S745</f>
        <v/>
      </c>
      <c r="U745" s="18" t="n">
        <v>0</v>
      </c>
      <c r="V745" s="26" t="n">
        <v>4.69</v>
      </c>
      <c r="W745" s="26">
        <f>V745 - L745</f>
        <v/>
      </c>
    </row>
    <row r="746">
      <c r="A746" s="11" t="n">
        <v>46210</v>
      </c>
      <c r="B746" s="1" t="n">
        <v>20089</v>
      </c>
      <c r="C746" s="1" t="inlineStr">
        <is>
          <t>025</t>
        </is>
      </c>
      <c r="D746" s="1" t="inlineStr">
        <is>
          <t>121394</t>
        </is>
      </c>
      <c r="E746" s="1" t="inlineStr">
        <is>
          <t xml:space="preserve">33661538       </t>
        </is>
      </c>
      <c r="F746" s="5" t="inlineStr">
        <is>
          <t>HOT WHEELS CASE GARAGE RUEDA METAL EN LLAMAS X 29</t>
        </is>
      </c>
      <c r="G746" t="n">
        <v>1</v>
      </c>
      <c r="H746" s="7" t="n">
        <v>69.90000000000001</v>
      </c>
      <c r="I746" s="7" t="n">
        <v>0</v>
      </c>
      <c r="J746" s="7" t="n">
        <v>0</v>
      </c>
      <c r="K746" s="9" t="n">
        <v>0</v>
      </c>
      <c r="L746" s="10" t="n">
        <v>41.47</v>
      </c>
      <c r="M746" s="10" t="n">
        <v>1.43</v>
      </c>
      <c r="N746" t="inlineStr">
        <is>
          <t>1</t>
        </is>
      </c>
      <c r="O746" t="inlineStr">
        <is>
          <t>16</t>
        </is>
      </c>
      <c r="P746" t="inlineStr">
        <is>
          <t xml:space="preserve">94948   </t>
        </is>
      </c>
      <c r="Q746" s="26" t="n">
        <v>69.90000000000001</v>
      </c>
      <c r="R746" s="26">
        <f>Q746*G746</f>
        <v/>
      </c>
      <c r="S746" t="n">
        <v>41.47</v>
      </c>
      <c r="T746" s="18">
        <f>1 - V746/S746</f>
        <v/>
      </c>
      <c r="U746" s="18" t="n">
        <v>0</v>
      </c>
      <c r="V746" s="26" t="n">
        <v>41.47</v>
      </c>
      <c r="W746" s="26">
        <f>V746 - L746</f>
        <v/>
      </c>
    </row>
    <row r="747">
      <c r="A747" s="11" t="n">
        <v>46210</v>
      </c>
      <c r="B747" s="1" t="n">
        <v>20089</v>
      </c>
      <c r="C747" s="1" t="inlineStr">
        <is>
          <t>026</t>
        </is>
      </c>
      <c r="D747" s="1" t="inlineStr">
        <is>
          <t xml:space="preserve">1993  </t>
        </is>
      </c>
      <c r="E747" s="1" t="inlineStr">
        <is>
          <t xml:space="preserve">28194770       </t>
        </is>
      </c>
      <c r="F747" s="5" t="inlineStr">
        <is>
          <t>AUTOS DE METAL 3 TEAMSTERZ EN BLISTER</t>
        </is>
      </c>
      <c r="G747" t="n">
        <v>1</v>
      </c>
      <c r="H747" s="7" t="n">
        <v>6.9</v>
      </c>
      <c r="I747" s="7" t="n">
        <v>0</v>
      </c>
      <c r="J747" s="7" t="n">
        <v>0</v>
      </c>
      <c r="K747" s="9" t="n">
        <v>0</v>
      </c>
      <c r="L747" s="10" t="n">
        <v>4.1</v>
      </c>
      <c r="M747" s="10" t="n">
        <v>1.43</v>
      </c>
      <c r="N747" t="inlineStr">
        <is>
          <t>1</t>
        </is>
      </c>
      <c r="O747" t="inlineStr">
        <is>
          <t>16</t>
        </is>
      </c>
      <c r="P747" t="inlineStr">
        <is>
          <t xml:space="preserve">238367  </t>
        </is>
      </c>
      <c r="Q747" s="26" t="n">
        <v>6.9</v>
      </c>
      <c r="R747" s="26">
        <f>Q747*G747</f>
        <v/>
      </c>
      <c r="S747" t="n">
        <v>4.09</v>
      </c>
      <c r="T747" s="18">
        <f>1 - V747/S747</f>
        <v/>
      </c>
      <c r="U747" s="18" t="n">
        <v>0</v>
      </c>
      <c r="V747" s="26" t="n">
        <v>4.09</v>
      </c>
      <c r="W747" s="26">
        <f>V747 - L747</f>
        <v/>
      </c>
    </row>
    <row r="748">
      <c r="A748" s="11" t="n">
        <v>46210</v>
      </c>
      <c r="B748" s="1" t="n">
        <v>20089</v>
      </c>
      <c r="C748" s="1" t="inlineStr">
        <is>
          <t>026</t>
        </is>
      </c>
      <c r="D748" s="1" t="inlineStr">
        <is>
          <t xml:space="preserve">87462 </t>
        </is>
      </c>
      <c r="E748" s="1" t="inlineStr">
        <is>
          <t xml:space="preserve">28194770       </t>
        </is>
      </c>
      <c r="F748" s="5" t="inlineStr">
        <is>
          <t>AUTOS DE METAL 3 TEAMSTERZ EN BLISTER</t>
        </is>
      </c>
      <c r="G748" t="n">
        <v>1</v>
      </c>
      <c r="H748" s="7" t="n">
        <v>6.9</v>
      </c>
      <c r="I748" s="7" t="n">
        <v>0</v>
      </c>
      <c r="J748" s="7" t="n">
        <v>0</v>
      </c>
      <c r="K748" s="9" t="n">
        <v>0</v>
      </c>
      <c r="L748" s="10" t="n">
        <v>4.1</v>
      </c>
      <c r="M748" s="10" t="n">
        <v>1.43</v>
      </c>
      <c r="N748" t="inlineStr">
        <is>
          <t>1</t>
        </is>
      </c>
      <c r="O748" t="inlineStr">
        <is>
          <t>16</t>
        </is>
      </c>
      <c r="P748" t="inlineStr">
        <is>
          <t xml:space="preserve">238367  </t>
        </is>
      </c>
      <c r="Q748" s="26" t="n">
        <v>6.9</v>
      </c>
      <c r="R748" s="26">
        <f>Q748*G748</f>
        <v/>
      </c>
      <c r="S748" t="n">
        <v>4.09</v>
      </c>
      <c r="T748" s="18">
        <f>1 - V748/S748</f>
        <v/>
      </c>
      <c r="U748" s="18" t="n">
        <v>0</v>
      </c>
      <c r="V748" s="26" t="n">
        <v>4.09</v>
      </c>
      <c r="W748" s="26">
        <f>V748 - L748</f>
        <v/>
      </c>
    </row>
    <row r="749">
      <c r="A749" s="11" t="n">
        <v>46210</v>
      </c>
      <c r="B749" s="1" t="n">
        <v>20089</v>
      </c>
      <c r="C749" s="1" t="inlineStr">
        <is>
          <t>860</t>
        </is>
      </c>
      <c r="D749" s="1" t="inlineStr">
        <is>
          <t xml:space="preserve">9396  </t>
        </is>
      </c>
      <c r="E749" s="1" t="inlineStr">
        <is>
          <t xml:space="preserve">32457103       </t>
        </is>
      </c>
      <c r="F749" s="5" t="inlineStr">
        <is>
          <t>TMZ BEAST MACHINES MONSTER JAWS A FRICCION PACK DE</t>
        </is>
      </c>
      <c r="G749" t="n">
        <v>1</v>
      </c>
      <c r="H749" s="7" t="n">
        <v>37.9</v>
      </c>
      <c r="I749" s="7" t="n">
        <v>0</v>
      </c>
      <c r="J749" s="7" t="n">
        <v>0</v>
      </c>
      <c r="K749" s="9" t="n">
        <v>0</v>
      </c>
      <c r="L749" s="10" t="n">
        <v>22.48</v>
      </c>
      <c r="M749" s="10" t="n">
        <v>1.43</v>
      </c>
      <c r="N749" t="inlineStr">
        <is>
          <t>1</t>
        </is>
      </c>
      <c r="O749" t="inlineStr">
        <is>
          <t>16</t>
        </is>
      </c>
      <c r="P749" t="inlineStr">
        <is>
          <t xml:space="preserve">0       </t>
        </is>
      </c>
      <c r="Q749" s="26" t="n">
        <v>37.9</v>
      </c>
      <c r="R749" s="26">
        <f>Q749*G749</f>
        <v/>
      </c>
      <c r="S749" t="n">
        <v>22.48</v>
      </c>
      <c r="T749" s="18">
        <f>1 - V749/S749</f>
        <v/>
      </c>
      <c r="U749" s="18" t="n">
        <v>0.1319261213720316</v>
      </c>
      <c r="V749" s="26" t="n">
        <v>16.75101694915254</v>
      </c>
      <c r="W749" s="26">
        <f>V749 - L749</f>
        <v/>
      </c>
    </row>
    <row r="750">
      <c r="A750" s="11" t="n">
        <v>46210</v>
      </c>
      <c r="B750" s="1" t="n">
        <v>20095</v>
      </c>
      <c r="C750" s="1" t="inlineStr">
        <is>
          <t>043</t>
        </is>
      </c>
      <c r="D750" s="1" t="inlineStr">
        <is>
          <t>107507</t>
        </is>
      </c>
      <c r="E750" s="1" t="inlineStr">
        <is>
          <t xml:space="preserve">30232284       </t>
        </is>
      </c>
      <c r="F750" s="5" t="inlineStr">
        <is>
          <t>INFINITY NADO TROMPO DE BATALLA - METAL C/PUNTA DE</t>
        </is>
      </c>
      <c r="G750" t="n">
        <v>1</v>
      </c>
      <c r="H750" s="7" t="n">
        <v>49.9</v>
      </c>
      <c r="I750" s="7" t="n">
        <v>0</v>
      </c>
      <c r="J750" s="7" t="n">
        <v>0</v>
      </c>
      <c r="K750" s="9" t="n">
        <v>0</v>
      </c>
      <c r="L750" s="10" t="n">
        <v>29.6</v>
      </c>
      <c r="M750" s="10" t="n">
        <v>1.43</v>
      </c>
      <c r="N750" t="inlineStr">
        <is>
          <t>1</t>
        </is>
      </c>
      <c r="O750" t="inlineStr">
        <is>
          <t xml:space="preserve">2 </t>
        </is>
      </c>
      <c r="P750" t="inlineStr">
        <is>
          <t xml:space="preserve">248388  </t>
        </is>
      </c>
      <c r="Q750" s="26" t="n">
        <v>49.9</v>
      </c>
      <c r="R750" s="26">
        <f>Q750*G750</f>
        <v/>
      </c>
      <c r="S750" t="n">
        <v>29.6</v>
      </c>
      <c r="T750" s="18">
        <f>1 - V750/S750</f>
        <v/>
      </c>
      <c r="U750" s="18" t="n">
        <v>0.3006012024048096</v>
      </c>
      <c r="V750" s="26" t="n">
        <v>22.18220338983051</v>
      </c>
      <c r="W750" s="26">
        <f>V750 - L750</f>
        <v/>
      </c>
    </row>
    <row r="751">
      <c r="A751" s="11" t="n">
        <v>46210</v>
      </c>
      <c r="B751" s="1" t="n">
        <v>20095</v>
      </c>
      <c r="C751" s="1" t="inlineStr">
        <is>
          <t>043</t>
        </is>
      </c>
      <c r="D751" s="1" t="inlineStr">
        <is>
          <t>107512</t>
        </is>
      </c>
      <c r="E751" s="1" t="inlineStr">
        <is>
          <t xml:space="preserve">31675354       </t>
        </is>
      </c>
      <c r="F751" s="5" t="inlineStr">
        <is>
          <t>NENUCO LLORON CON ACCESORIOS</t>
        </is>
      </c>
      <c r="G751" t="n">
        <v>1</v>
      </c>
      <c r="H751" s="7" t="n">
        <v>89.90000000000001</v>
      </c>
      <c r="I751" s="7" t="n">
        <v>0</v>
      </c>
      <c r="J751" s="7" t="n">
        <v>0</v>
      </c>
      <c r="K751" s="9" t="n">
        <v>0</v>
      </c>
      <c r="L751" s="10" t="n">
        <v>53.33</v>
      </c>
      <c r="M751" s="10" t="n">
        <v>1.43</v>
      </c>
      <c r="N751" t="inlineStr">
        <is>
          <t>1</t>
        </is>
      </c>
      <c r="O751" t="inlineStr">
        <is>
          <t>16</t>
        </is>
      </c>
      <c r="P751" t="inlineStr">
        <is>
          <t xml:space="preserve">248388  </t>
        </is>
      </c>
      <c r="Q751" s="26" t="n">
        <v>89.90000000000001</v>
      </c>
      <c r="R751" s="26">
        <f>Q751*G751</f>
        <v/>
      </c>
      <c r="S751" t="n">
        <v>53.33</v>
      </c>
      <c r="T751" s="18">
        <f>1 - V751/S751</f>
        <v/>
      </c>
      <c r="U751" s="18" t="n">
        <v>0.2224694104560623</v>
      </c>
      <c r="V751" s="26" t="n">
        <v>44.42796610169492</v>
      </c>
      <c r="W751" s="26">
        <f>V751 - L751</f>
        <v/>
      </c>
    </row>
    <row r="752">
      <c r="A752" s="11" t="n">
        <v>46210</v>
      </c>
      <c r="B752" s="1" t="n">
        <v>20095</v>
      </c>
      <c r="C752" s="1" t="inlineStr">
        <is>
          <t>044</t>
        </is>
      </c>
      <c r="D752" s="1" t="inlineStr">
        <is>
          <t xml:space="preserve">93113 </t>
        </is>
      </c>
      <c r="E752" s="1" t="inlineStr">
        <is>
          <t xml:space="preserve">28194770       </t>
        </is>
      </c>
      <c r="F752" s="5" t="inlineStr">
        <is>
          <t>AUTOS DE METAL 3 TEAMSTERZ EN BLISTER</t>
        </is>
      </c>
      <c r="G752" t="n">
        <v>1</v>
      </c>
      <c r="H752" s="7" t="n">
        <v>6.9</v>
      </c>
      <c r="I752" s="7" t="n">
        <v>0</v>
      </c>
      <c r="J752" s="7" t="n">
        <v>0</v>
      </c>
      <c r="K752" s="9" t="n">
        <v>0</v>
      </c>
      <c r="L752" s="10" t="n">
        <v>4.1</v>
      </c>
      <c r="M752" s="10" t="n">
        <v>1.43</v>
      </c>
      <c r="N752" t="inlineStr">
        <is>
          <t>1</t>
        </is>
      </c>
      <c r="O752" t="inlineStr">
        <is>
          <t xml:space="preserve">3 </t>
        </is>
      </c>
      <c r="P752" t="inlineStr">
        <is>
          <t xml:space="preserve">248294  </t>
        </is>
      </c>
      <c r="Q752" s="26" t="n">
        <v>6.9</v>
      </c>
      <c r="R752" s="26">
        <f>Q752*G752</f>
        <v/>
      </c>
      <c r="S752" t="n">
        <v>4.09</v>
      </c>
      <c r="T752" s="18">
        <f>1 - V752/S752</f>
        <v/>
      </c>
      <c r="U752" s="18" t="n">
        <v>0</v>
      </c>
      <c r="V752" s="26" t="n">
        <v>4.09</v>
      </c>
      <c r="W752" s="26">
        <f>V752 - L752</f>
        <v/>
      </c>
    </row>
    <row r="753">
      <c r="A753" s="11" t="n">
        <v>46210</v>
      </c>
      <c r="B753" s="1" t="n">
        <v>20095</v>
      </c>
      <c r="C753" s="1" t="inlineStr">
        <is>
          <t>044</t>
        </is>
      </c>
      <c r="D753" s="1" t="inlineStr">
        <is>
          <t xml:space="preserve">93130 </t>
        </is>
      </c>
      <c r="E753" s="1" t="inlineStr">
        <is>
          <t xml:space="preserve">28194780       </t>
        </is>
      </c>
      <c r="F753" s="5" t="inlineStr">
        <is>
          <t>TROMPO BATALLA INFINITY NADO PLSTICO SURTIDO</t>
        </is>
      </c>
      <c r="G753" t="n">
        <v>1</v>
      </c>
      <c r="H753" s="7" t="n">
        <v>19.9</v>
      </c>
      <c r="I753" s="7" t="n">
        <v>0</v>
      </c>
      <c r="J753" s="7" t="n">
        <v>0</v>
      </c>
      <c r="K753" s="9" t="n">
        <v>0</v>
      </c>
      <c r="L753" s="10" t="n">
        <v>11.8</v>
      </c>
      <c r="M753" s="10" t="n">
        <v>1.43</v>
      </c>
      <c r="N753" t="inlineStr">
        <is>
          <t>1</t>
        </is>
      </c>
      <c r="O753" t="inlineStr">
        <is>
          <t>16</t>
        </is>
      </c>
      <c r="P753" t="inlineStr">
        <is>
          <t xml:space="preserve">248294  </t>
        </is>
      </c>
      <c r="Q753" s="26" t="n">
        <v>19.9</v>
      </c>
      <c r="R753" s="26">
        <f>Q753*G753</f>
        <v/>
      </c>
      <c r="S753" t="n">
        <v>11.81</v>
      </c>
      <c r="T753" s="18">
        <f>1 - V753/S753</f>
        <v/>
      </c>
      <c r="U753" s="18" t="n">
        <v>0</v>
      </c>
      <c r="V753" s="26" t="n">
        <v>11.81</v>
      </c>
      <c r="W753" s="26">
        <f>V753 - L753</f>
        <v/>
      </c>
    </row>
    <row r="754">
      <c r="A754" s="11" t="n">
        <v>46210</v>
      </c>
      <c r="B754" s="1" t="n">
        <v>20095</v>
      </c>
      <c r="C754" s="1" t="inlineStr">
        <is>
          <t>044</t>
        </is>
      </c>
      <c r="D754" s="1" t="inlineStr">
        <is>
          <t xml:space="preserve">93130 </t>
        </is>
      </c>
      <c r="E754" s="1" t="inlineStr">
        <is>
          <t xml:space="preserve">28194780       </t>
        </is>
      </c>
      <c r="F754" s="5" t="inlineStr">
        <is>
          <t>TROMPO BATALLA INFINITY NADO PLSTICO SURTIDO</t>
        </is>
      </c>
      <c r="G754" t="n">
        <v>1</v>
      </c>
      <c r="H754" s="7" t="n">
        <v>19.9</v>
      </c>
      <c r="I754" s="7" t="n">
        <v>0</v>
      </c>
      <c r="J754" s="7" t="n">
        <v>0</v>
      </c>
      <c r="K754" s="9" t="n">
        <v>0</v>
      </c>
      <c r="L754" s="10" t="n">
        <v>11.8</v>
      </c>
      <c r="M754" s="10" t="n">
        <v>1.43</v>
      </c>
      <c r="N754" t="inlineStr">
        <is>
          <t>1</t>
        </is>
      </c>
      <c r="O754" t="inlineStr">
        <is>
          <t>16</t>
        </is>
      </c>
      <c r="P754" t="inlineStr">
        <is>
          <t xml:space="preserve">248294  </t>
        </is>
      </c>
      <c r="Q754" s="26" t="n">
        <v>19.9</v>
      </c>
      <c r="R754" s="26">
        <f>Q754*G754</f>
        <v/>
      </c>
      <c r="S754" t="n">
        <v>11.81</v>
      </c>
      <c r="T754" s="18">
        <f>1 - V754/S754</f>
        <v/>
      </c>
      <c r="U754" s="18" t="n">
        <v>0</v>
      </c>
      <c r="V754" s="26" t="n">
        <v>11.81</v>
      </c>
      <c r="W754" s="26">
        <f>V754 - L754</f>
        <v/>
      </c>
    </row>
    <row r="755">
      <c r="A755" s="11" t="n">
        <v>46210</v>
      </c>
      <c r="B755" s="1" t="n">
        <v>20095</v>
      </c>
      <c r="C755" s="1" t="inlineStr">
        <is>
          <t>044</t>
        </is>
      </c>
      <c r="D755" s="1" t="inlineStr">
        <is>
          <t xml:space="preserve">93130 </t>
        </is>
      </c>
      <c r="E755" s="1" t="inlineStr">
        <is>
          <t xml:space="preserve">28194784       </t>
        </is>
      </c>
      <c r="F755" s="5" t="inlineStr">
        <is>
          <t>SET DE ACROBACIAS INFINITY NADO CON TROMPO</t>
        </is>
      </c>
      <c r="G755" t="n">
        <v>1</v>
      </c>
      <c r="H755" s="7" t="n">
        <v>179</v>
      </c>
      <c r="I755" s="7" t="n">
        <v>0</v>
      </c>
      <c r="J755" s="7" t="n">
        <v>0</v>
      </c>
      <c r="K755" s="9" t="n">
        <v>0</v>
      </c>
      <c r="L755" s="10" t="n">
        <v>106.18</v>
      </c>
      <c r="M755" s="10" t="n">
        <v>1.43</v>
      </c>
      <c r="N755" t="inlineStr">
        <is>
          <t>1</t>
        </is>
      </c>
      <c r="O755" t="inlineStr">
        <is>
          <t>16</t>
        </is>
      </c>
      <c r="P755" t="inlineStr">
        <is>
          <t xml:space="preserve">248294  </t>
        </is>
      </c>
      <c r="Q755" s="26" t="n">
        <v>179</v>
      </c>
      <c r="R755" s="26">
        <f>Q755*G755</f>
        <v/>
      </c>
      <c r="S755" t="n">
        <v>106.19</v>
      </c>
      <c r="T755" s="18">
        <f>1 - V755/S755</f>
        <v/>
      </c>
      <c r="U755" s="18" t="n">
        <v>0.223463687150838</v>
      </c>
      <c r="V755" s="26" t="n">
        <v>88.34745762711864</v>
      </c>
      <c r="W755" s="26">
        <f>V755 - L755</f>
        <v/>
      </c>
    </row>
    <row r="756">
      <c r="A756" s="11" t="n">
        <v>46211</v>
      </c>
      <c r="B756" s="1" t="n">
        <v>20024</v>
      </c>
      <c r="C756" s="1" t="inlineStr">
        <is>
          <t>535</t>
        </is>
      </c>
      <c r="D756" s="1" t="inlineStr">
        <is>
          <t xml:space="preserve">1775  </t>
        </is>
      </c>
      <c r="E756" s="1" t="inlineStr">
        <is>
          <t xml:space="preserve">31959961       </t>
        </is>
      </c>
      <c r="F756" s="5" t="inlineStr">
        <is>
          <t>TEAMSTERZ CAMBIA DE COLOR PACK DE 3 AUTOS</t>
        </is>
      </c>
      <c r="G756" t="n">
        <v>1</v>
      </c>
      <c r="H756" s="7" t="n">
        <v>49.9</v>
      </c>
      <c r="I756" s="7" t="n">
        <v>0</v>
      </c>
      <c r="J756" s="7" t="n">
        <v>0</v>
      </c>
      <c r="K756" s="9" t="n">
        <v>0</v>
      </c>
      <c r="L756" s="10" t="n">
        <v>29.6</v>
      </c>
      <c r="M756" s="10" t="n">
        <v>1.43</v>
      </c>
      <c r="N756" t="inlineStr">
        <is>
          <t>1</t>
        </is>
      </c>
      <c r="O756" t="inlineStr">
        <is>
          <t>16</t>
        </is>
      </c>
      <c r="P756" t="inlineStr">
        <is>
          <t xml:space="preserve">82556   </t>
        </is>
      </c>
      <c r="Q756" s="26" t="n">
        <v>49.9</v>
      </c>
      <c r="R756" s="26">
        <f>Q756*G756</f>
        <v/>
      </c>
      <c r="S756" t="n">
        <v>29.6</v>
      </c>
      <c r="T756" s="18">
        <f>1 - V756/S756</f>
        <v/>
      </c>
      <c r="U756" s="18" t="n">
        <v>0</v>
      </c>
      <c r="V756" s="26" t="n">
        <v>29.6</v>
      </c>
      <c r="W756" s="26">
        <f>V756 - L756</f>
        <v/>
      </c>
    </row>
    <row r="757">
      <c r="A757" s="11" t="n">
        <v>46211</v>
      </c>
      <c r="B757" s="1" t="n">
        <v>20024</v>
      </c>
      <c r="C757" s="1" t="inlineStr">
        <is>
          <t>807</t>
        </is>
      </c>
      <c r="D757" s="1" t="inlineStr">
        <is>
          <t xml:space="preserve">4011  </t>
        </is>
      </c>
      <c r="E757" s="1" t="inlineStr">
        <is>
          <t xml:space="preserve">35685067       </t>
        </is>
      </c>
      <c r="F757" s="5" t="inlineStr">
        <is>
          <t>HOT WHEELS POWER SET 3 EN 1</t>
        </is>
      </c>
      <c r="G757" t="n">
        <v>1</v>
      </c>
      <c r="H757" s="7" t="n">
        <v>49.9</v>
      </c>
      <c r="I757" s="7" t="n">
        <v>0</v>
      </c>
      <c r="J757" s="7" t="n">
        <v>0</v>
      </c>
      <c r="K757" s="9" t="n">
        <v>0</v>
      </c>
      <c r="L757" s="10" t="n">
        <v>29.6</v>
      </c>
      <c r="M757" s="10" t="n">
        <v>1.43</v>
      </c>
      <c r="N757" t="inlineStr">
        <is>
          <t>1</t>
        </is>
      </c>
      <c r="O757" t="inlineStr">
        <is>
          <t>16</t>
        </is>
      </c>
      <c r="P757" t="inlineStr">
        <is>
          <t xml:space="preserve">0       </t>
        </is>
      </c>
      <c r="Q757" s="26" t="n">
        <v>49.9</v>
      </c>
      <c r="R757" s="26">
        <f>Q757*G757</f>
        <v/>
      </c>
      <c r="S757" t="n">
        <v>29.6</v>
      </c>
      <c r="T757" s="18">
        <f>1 - V757/S757</f>
        <v/>
      </c>
      <c r="U757" s="18" t="n">
        <v>0</v>
      </c>
      <c r="V757" s="26" t="n">
        <v>29.6</v>
      </c>
      <c r="W757" s="26">
        <f>V757 - L757</f>
        <v/>
      </c>
    </row>
    <row r="758">
      <c r="A758" s="11" t="n">
        <v>46211</v>
      </c>
      <c r="B758" s="1" t="n">
        <v>20028</v>
      </c>
      <c r="C758" s="1" t="inlineStr">
        <is>
          <t>021</t>
        </is>
      </c>
      <c r="D758" s="1" t="inlineStr">
        <is>
          <t>185785</t>
        </is>
      </c>
      <c r="E758" s="1" t="inlineStr">
        <is>
          <t xml:space="preserve">28194770       </t>
        </is>
      </c>
      <c r="F758" s="5" t="inlineStr">
        <is>
          <t>AUTOS DE METAL 3 TEAMSTERZ EN BLISTER</t>
        </is>
      </c>
      <c r="G758" t="n">
        <v>1</v>
      </c>
      <c r="H758" s="7" t="n">
        <v>6.9</v>
      </c>
      <c r="I758" s="7" t="n">
        <v>0</v>
      </c>
      <c r="J758" s="7" t="n">
        <v>0</v>
      </c>
      <c r="K758" s="9" t="n">
        <v>0</v>
      </c>
      <c r="L758" s="10" t="n">
        <v>4.1</v>
      </c>
      <c r="M758" s="10" t="n">
        <v>1.43</v>
      </c>
      <c r="N758" t="inlineStr">
        <is>
          <t>1</t>
        </is>
      </c>
      <c r="O758" t="inlineStr">
        <is>
          <t>16</t>
        </is>
      </c>
      <c r="P758" t="inlineStr">
        <is>
          <t xml:space="preserve">23685   </t>
        </is>
      </c>
      <c r="Q758" s="26" t="n">
        <v>6.9</v>
      </c>
      <c r="R758" s="26">
        <f>Q758*G758</f>
        <v/>
      </c>
      <c r="S758" t="n">
        <v>4.09</v>
      </c>
      <c r="T758" s="18">
        <f>1 - V758/S758</f>
        <v/>
      </c>
      <c r="U758" s="18" t="n">
        <v>0</v>
      </c>
      <c r="V758" s="26" t="n">
        <v>4.09</v>
      </c>
      <c r="W758" s="26">
        <f>V758 - L758</f>
        <v/>
      </c>
    </row>
    <row r="759">
      <c r="A759" s="11" t="n">
        <v>46211</v>
      </c>
      <c r="B759" s="1" t="n">
        <v>20040</v>
      </c>
      <c r="C759" s="1" t="inlineStr">
        <is>
          <t>072</t>
        </is>
      </c>
      <c r="D759" s="1" t="inlineStr">
        <is>
          <t>251323</t>
        </is>
      </c>
      <c r="E759" s="1" t="inlineStr">
        <is>
          <t xml:space="preserve">28194780       </t>
        </is>
      </c>
      <c r="F759" s="5" t="inlineStr">
        <is>
          <t>TROMPO BATALLA INFINITY NADO PLSTICO SURTIDO</t>
        </is>
      </c>
      <c r="G759" t="n">
        <v>1</v>
      </c>
      <c r="H759" s="7" t="n">
        <v>19.9</v>
      </c>
      <c r="I759" s="7" t="n">
        <v>0</v>
      </c>
      <c r="J759" s="7" t="n">
        <v>0</v>
      </c>
      <c r="K759" s="9" t="n">
        <v>0</v>
      </c>
      <c r="L759" s="10" t="n">
        <v>11.8</v>
      </c>
      <c r="M759" s="10" t="n">
        <v>1.43</v>
      </c>
      <c r="N759" t="inlineStr">
        <is>
          <t>1</t>
        </is>
      </c>
      <c r="O759" t="inlineStr">
        <is>
          <t xml:space="preserve">2 </t>
        </is>
      </c>
      <c r="P759" t="inlineStr">
        <is>
          <t xml:space="preserve">52786   </t>
        </is>
      </c>
      <c r="Q759" s="26" t="n">
        <v>19.9</v>
      </c>
      <c r="R759" s="26">
        <f>Q759*G759</f>
        <v/>
      </c>
      <c r="S759" t="n">
        <v>11.81</v>
      </c>
      <c r="T759" s="18">
        <f>1 - V759/S759</f>
        <v/>
      </c>
      <c r="U759" s="18" t="n">
        <v>0</v>
      </c>
      <c r="V759" s="26" t="n">
        <v>11.81</v>
      </c>
      <c r="W759" s="26">
        <f>V759 - L759</f>
        <v/>
      </c>
    </row>
    <row r="760">
      <c r="A760" s="11" t="n">
        <v>46211</v>
      </c>
      <c r="B760" s="1" t="n">
        <v>20040</v>
      </c>
      <c r="C760" s="1" t="inlineStr">
        <is>
          <t>072</t>
        </is>
      </c>
      <c r="D760" s="1" t="inlineStr">
        <is>
          <t>251323</t>
        </is>
      </c>
      <c r="E760" s="1" t="inlineStr">
        <is>
          <t xml:space="preserve">28194780       </t>
        </is>
      </c>
      <c r="F760" s="5" t="inlineStr">
        <is>
          <t>TROMPO BATALLA INFINITY NADO PLSTICO SURTIDO</t>
        </is>
      </c>
      <c r="G760" t="n">
        <v>1</v>
      </c>
      <c r="H760" s="7" t="n">
        <v>19.9</v>
      </c>
      <c r="I760" s="7" t="n">
        <v>0</v>
      </c>
      <c r="J760" s="7" t="n">
        <v>0</v>
      </c>
      <c r="K760" s="9" t="n">
        <v>0</v>
      </c>
      <c r="L760" s="10" t="n">
        <v>11.8</v>
      </c>
      <c r="M760" s="10" t="n">
        <v>1.43</v>
      </c>
      <c r="N760" t="inlineStr">
        <is>
          <t>1</t>
        </is>
      </c>
      <c r="O760" t="inlineStr">
        <is>
          <t xml:space="preserve">2 </t>
        </is>
      </c>
      <c r="P760" t="inlineStr">
        <is>
          <t xml:space="preserve">52786   </t>
        </is>
      </c>
      <c r="Q760" s="26" t="n">
        <v>19.9</v>
      </c>
      <c r="R760" s="26">
        <f>Q760*G760</f>
        <v/>
      </c>
      <c r="S760" t="n">
        <v>11.81</v>
      </c>
      <c r="T760" s="18">
        <f>1 - V760/S760</f>
        <v/>
      </c>
      <c r="U760" s="18" t="n">
        <v>0</v>
      </c>
      <c r="V760" s="26" t="n">
        <v>11.81</v>
      </c>
      <c r="W760" s="26">
        <f>V760 - L760</f>
        <v/>
      </c>
    </row>
    <row r="761">
      <c r="A761" s="11" t="n">
        <v>46211</v>
      </c>
      <c r="B761" s="1" t="n">
        <v>20040</v>
      </c>
      <c r="C761" s="1" t="inlineStr">
        <is>
          <t>072</t>
        </is>
      </c>
      <c r="D761" s="1" t="inlineStr">
        <is>
          <t>251354</t>
        </is>
      </c>
      <c r="E761" s="1" t="inlineStr">
        <is>
          <t xml:space="preserve">28194784       </t>
        </is>
      </c>
      <c r="F761" s="5" t="inlineStr">
        <is>
          <t>SET DE ACROBACIAS INFINITY NADO CON TROMPO</t>
        </is>
      </c>
      <c r="G761" t="n">
        <v>1</v>
      </c>
      <c r="H761" s="7" t="n">
        <v>179</v>
      </c>
      <c r="I761" s="7" t="n">
        <v>0</v>
      </c>
      <c r="J761" s="7" t="n">
        <v>0</v>
      </c>
      <c r="K761" s="9" t="n">
        <v>0</v>
      </c>
      <c r="L761" s="10" t="n">
        <v>106.18</v>
      </c>
      <c r="M761" s="10" t="n">
        <v>1.43</v>
      </c>
      <c r="N761" t="inlineStr">
        <is>
          <t>1</t>
        </is>
      </c>
      <c r="O761" t="inlineStr">
        <is>
          <t xml:space="preserve">3 </t>
        </is>
      </c>
      <c r="P761" t="inlineStr">
        <is>
          <t xml:space="preserve">52786   </t>
        </is>
      </c>
      <c r="Q761" s="26" t="n">
        <v>179</v>
      </c>
      <c r="R761" s="26">
        <f>Q761*G761</f>
        <v/>
      </c>
      <c r="S761" t="n">
        <v>106.19</v>
      </c>
      <c r="T761" s="18">
        <f>1 - V761/S761</f>
        <v/>
      </c>
      <c r="U761" s="18" t="n">
        <v>0.223463687150838</v>
      </c>
      <c r="V761" s="26" t="n">
        <v>88.34745762711864</v>
      </c>
      <c r="W761" s="26">
        <f>V761 - L761</f>
        <v/>
      </c>
    </row>
    <row r="762">
      <c r="A762" s="11" t="n">
        <v>46211</v>
      </c>
      <c r="B762" s="1" t="n">
        <v>20040</v>
      </c>
      <c r="C762" s="1" t="inlineStr">
        <is>
          <t>072</t>
        </is>
      </c>
      <c r="D762" s="1" t="inlineStr">
        <is>
          <t>251358</t>
        </is>
      </c>
      <c r="E762" s="1" t="inlineStr">
        <is>
          <t xml:space="preserve">30141768       </t>
        </is>
      </c>
      <c r="F762" s="5" t="inlineStr">
        <is>
          <t>TMZ BEAST MACHINES AUTOS DE METAL PACK 10 AUTOS</t>
        </is>
      </c>
      <c r="G762" t="n">
        <v>1</v>
      </c>
      <c r="H762" s="7" t="n">
        <v>79</v>
      </c>
      <c r="I762" s="7" t="n">
        <v>0</v>
      </c>
      <c r="J762" s="7" t="n">
        <v>0</v>
      </c>
      <c r="K762" s="9" t="n">
        <v>0</v>
      </c>
      <c r="L762" s="10" t="n">
        <v>46.87</v>
      </c>
      <c r="M762" s="10" t="n">
        <v>1.43</v>
      </c>
      <c r="N762" t="inlineStr">
        <is>
          <t>1</t>
        </is>
      </c>
      <c r="O762" t="inlineStr">
        <is>
          <t>16</t>
        </is>
      </c>
      <c r="P762" t="inlineStr">
        <is>
          <t xml:space="preserve">52786   </t>
        </is>
      </c>
      <c r="Q762" s="26" t="n">
        <v>79</v>
      </c>
      <c r="R762" s="26">
        <f>Q762*G762</f>
        <v/>
      </c>
      <c r="S762" t="n">
        <v>46.86</v>
      </c>
      <c r="T762" s="18">
        <f>1 - V762/S762</f>
        <v/>
      </c>
      <c r="U762" s="18" t="n">
        <v>0.1265822784810127</v>
      </c>
      <c r="V762" s="26" t="n">
        <v>43.85593220338983</v>
      </c>
      <c r="W762" s="26">
        <f>V762 - L762</f>
        <v/>
      </c>
    </row>
    <row r="763">
      <c r="A763" s="11" t="n">
        <v>46211</v>
      </c>
      <c r="B763" s="1" t="n">
        <v>20040</v>
      </c>
      <c r="C763" s="1" t="inlineStr">
        <is>
          <t>190</t>
        </is>
      </c>
      <c r="D763" s="1" t="inlineStr">
        <is>
          <t>367775</t>
        </is>
      </c>
      <c r="E763" s="1" t="inlineStr">
        <is>
          <t xml:space="preserve">34840556       </t>
        </is>
      </c>
      <c r="F763" s="5" t="inlineStr">
        <is>
          <t>TMZ BEAST MACH. TRANSPORT DINO +ACCS</t>
        </is>
      </c>
      <c r="G763" t="n">
        <v>1</v>
      </c>
      <c r="H763" s="7" t="n">
        <v>79.90000000000001</v>
      </c>
      <c r="I763" s="7" t="n">
        <v>0</v>
      </c>
      <c r="J763" s="7" t="n">
        <v>0</v>
      </c>
      <c r="K763" s="9" t="n">
        <v>0</v>
      </c>
      <c r="L763" s="10" t="n">
        <v>47.4</v>
      </c>
      <c r="M763" s="10" t="n">
        <v>1.43</v>
      </c>
      <c r="N763" t="inlineStr">
        <is>
          <t>1</t>
        </is>
      </c>
      <c r="O763" t="inlineStr">
        <is>
          <t>16</t>
        </is>
      </c>
      <c r="P763" t="inlineStr">
        <is>
          <t xml:space="preserve">61602   </t>
        </is>
      </c>
      <c r="Q763" s="26" t="n">
        <v>79.90000000000002</v>
      </c>
      <c r="R763" s="26">
        <f>Q763*G763</f>
        <v/>
      </c>
      <c r="S763" t="n">
        <v>47.4</v>
      </c>
      <c r="T763" s="18">
        <f>1 - V763/S763</f>
        <v/>
      </c>
      <c r="U763" s="18" t="n">
        <v>0.2503128911138924</v>
      </c>
      <c r="V763" s="26" t="n">
        <v>38.07203389830509</v>
      </c>
      <c r="W763" s="26">
        <f>V763 - L763</f>
        <v/>
      </c>
    </row>
    <row r="764">
      <c r="A764" s="11" t="n">
        <v>46211</v>
      </c>
      <c r="B764" s="1" t="n">
        <v>20041</v>
      </c>
      <c r="C764" s="1" t="inlineStr">
        <is>
          <t>031</t>
        </is>
      </c>
      <c r="D764" s="1" t="inlineStr">
        <is>
          <t>165150</t>
        </is>
      </c>
      <c r="E764" s="1" t="inlineStr">
        <is>
          <t xml:space="preserve">28194770       </t>
        </is>
      </c>
      <c r="F764" s="5" t="inlineStr">
        <is>
          <t>AUTOS DE METAL 3 TEAMSTERZ EN BLISTER</t>
        </is>
      </c>
      <c r="G764" t="n">
        <v>1</v>
      </c>
      <c r="H764" s="7" t="n">
        <v>6.9</v>
      </c>
      <c r="I764" s="7" t="n">
        <v>0</v>
      </c>
      <c r="J764" s="7" t="n">
        <v>0</v>
      </c>
      <c r="K764" s="9" t="n">
        <v>0</v>
      </c>
      <c r="L764" s="10" t="n">
        <v>4.1</v>
      </c>
      <c r="M764" s="10" t="n">
        <v>1.43</v>
      </c>
      <c r="N764" t="inlineStr">
        <is>
          <t>1</t>
        </is>
      </c>
      <c r="O764" t="inlineStr">
        <is>
          <t xml:space="preserve">2 </t>
        </is>
      </c>
      <c r="P764" t="inlineStr">
        <is>
          <t xml:space="preserve">245842  </t>
        </is>
      </c>
      <c r="Q764" s="26" t="n">
        <v>6.9</v>
      </c>
      <c r="R764" s="26">
        <f>Q764*G764</f>
        <v/>
      </c>
      <c r="S764" t="n">
        <v>4.09</v>
      </c>
      <c r="T764" s="18">
        <f>1 - V764/S764</f>
        <v/>
      </c>
      <c r="U764" s="18" t="n">
        <v>0</v>
      </c>
      <c r="V764" s="26" t="n">
        <v>4.09</v>
      </c>
      <c r="W764" s="26">
        <f>V764 - L764</f>
        <v/>
      </c>
    </row>
    <row r="765">
      <c r="A765" s="11" t="n">
        <v>46211</v>
      </c>
      <c r="B765" s="1" t="n">
        <v>20041</v>
      </c>
      <c r="C765" s="1" t="inlineStr">
        <is>
          <t>031</t>
        </is>
      </c>
      <c r="D765" s="1" t="inlineStr">
        <is>
          <t>165150</t>
        </is>
      </c>
      <c r="E765" s="1" t="inlineStr">
        <is>
          <t xml:space="preserve">28194770       </t>
        </is>
      </c>
      <c r="F765" s="5" t="inlineStr">
        <is>
          <t>AUTOS DE METAL 3 TEAMSTERZ EN BLISTER</t>
        </is>
      </c>
      <c r="G765" t="n">
        <v>1</v>
      </c>
      <c r="H765" s="7" t="n">
        <v>6.9</v>
      </c>
      <c r="I765" s="7" t="n">
        <v>0</v>
      </c>
      <c r="J765" s="7" t="n">
        <v>0</v>
      </c>
      <c r="K765" s="9" t="n">
        <v>0</v>
      </c>
      <c r="L765" s="10" t="n">
        <v>4.1</v>
      </c>
      <c r="M765" s="10" t="n">
        <v>1.43</v>
      </c>
      <c r="N765" t="inlineStr">
        <is>
          <t>1</t>
        </is>
      </c>
      <c r="O765" t="inlineStr">
        <is>
          <t xml:space="preserve">2 </t>
        </is>
      </c>
      <c r="P765" t="inlineStr">
        <is>
          <t xml:space="preserve">245842  </t>
        </is>
      </c>
      <c r="Q765" s="26" t="n">
        <v>6.9</v>
      </c>
      <c r="R765" s="26">
        <f>Q765*G765</f>
        <v/>
      </c>
      <c r="S765" t="n">
        <v>4.09</v>
      </c>
      <c r="T765" s="18">
        <f>1 - V765/S765</f>
        <v/>
      </c>
      <c r="U765" s="18" t="n">
        <v>0</v>
      </c>
      <c r="V765" s="26" t="n">
        <v>4.09</v>
      </c>
      <c r="W765" s="26">
        <f>V765 - L765</f>
        <v/>
      </c>
    </row>
    <row r="766">
      <c r="A766" s="11" t="n">
        <v>46211</v>
      </c>
      <c r="B766" s="1" t="n">
        <v>20041</v>
      </c>
      <c r="C766" s="1" t="inlineStr">
        <is>
          <t>036</t>
        </is>
      </c>
      <c r="D766" s="1" t="inlineStr">
        <is>
          <t>319200</t>
        </is>
      </c>
      <c r="E766" s="1" t="inlineStr">
        <is>
          <t xml:space="preserve">28194780       </t>
        </is>
      </c>
      <c r="F766" s="5" t="inlineStr">
        <is>
          <t>TROMPO BATALLA INFINITY NADO PLSTICO SURTIDO</t>
        </is>
      </c>
      <c r="G766" t="n">
        <v>2</v>
      </c>
      <c r="H766" s="7" t="n">
        <v>39.8</v>
      </c>
      <c r="I766" s="7" t="n">
        <v>0</v>
      </c>
      <c r="J766" s="7" t="n">
        <v>0</v>
      </c>
      <c r="K766" s="9" t="n">
        <v>0</v>
      </c>
      <c r="L766" s="10" t="n">
        <v>23.62</v>
      </c>
      <c r="M766" s="10" t="n">
        <v>1.43</v>
      </c>
      <c r="N766" t="inlineStr">
        <is>
          <t>1</t>
        </is>
      </c>
      <c r="O766" t="inlineStr">
        <is>
          <t xml:space="preserve">3 </t>
        </is>
      </c>
      <c r="P766" t="inlineStr">
        <is>
          <t xml:space="preserve">57146   </t>
        </is>
      </c>
      <c r="Q766" s="26" t="n">
        <v>19.9</v>
      </c>
      <c r="R766" s="26">
        <f>Q766*G766</f>
        <v/>
      </c>
      <c r="S766" t="n">
        <v>23.62</v>
      </c>
      <c r="T766" s="18">
        <f>1 - V766/S766</f>
        <v/>
      </c>
      <c r="U766" s="18" t="n">
        <v>0</v>
      </c>
      <c r="V766" s="26" t="n">
        <v>23.62</v>
      </c>
      <c r="W766" s="26">
        <f>V766 - L766</f>
        <v/>
      </c>
    </row>
    <row r="767">
      <c r="A767" s="11" t="n">
        <v>46211</v>
      </c>
      <c r="B767" s="1" t="n">
        <v>20041</v>
      </c>
      <c r="C767" s="1" t="inlineStr">
        <is>
          <t>037</t>
        </is>
      </c>
      <c r="D767" s="1" t="inlineStr">
        <is>
          <t>189233</t>
        </is>
      </c>
      <c r="E767" s="1" t="inlineStr">
        <is>
          <t xml:space="preserve">28194770       </t>
        </is>
      </c>
      <c r="F767" s="5" t="inlineStr">
        <is>
          <t>AUTOS DE METAL 3 TEAMSTERZ EN BLISTER</t>
        </is>
      </c>
      <c r="G767" t="n">
        <v>1</v>
      </c>
      <c r="H767" s="7" t="n">
        <v>6.9</v>
      </c>
      <c r="I767" s="7" t="n">
        <v>0</v>
      </c>
      <c r="J767" s="7" t="n">
        <v>0</v>
      </c>
      <c r="K767" s="9" t="n">
        <v>0</v>
      </c>
      <c r="L767" s="10" t="n">
        <v>4.1</v>
      </c>
      <c r="M767" s="10" t="n">
        <v>1.43</v>
      </c>
      <c r="N767" t="inlineStr">
        <is>
          <t>1</t>
        </is>
      </c>
      <c r="O767" t="inlineStr">
        <is>
          <t xml:space="preserve">2 </t>
        </is>
      </c>
      <c r="P767" t="inlineStr">
        <is>
          <t xml:space="preserve">245841  </t>
        </is>
      </c>
      <c r="Q767" s="26" t="n">
        <v>6.9</v>
      </c>
      <c r="R767" s="26">
        <f>Q767*G767</f>
        <v/>
      </c>
      <c r="S767" t="n">
        <v>4.09</v>
      </c>
      <c r="T767" s="18">
        <f>1 - V767/S767</f>
        <v/>
      </c>
      <c r="U767" s="18" t="n">
        <v>0</v>
      </c>
      <c r="V767" s="26" t="n">
        <v>4.09</v>
      </c>
      <c r="W767" s="26">
        <f>V767 - L767</f>
        <v/>
      </c>
    </row>
    <row r="768">
      <c r="A768" s="11" t="n">
        <v>46211</v>
      </c>
      <c r="B768" s="1" t="n">
        <v>20047</v>
      </c>
      <c r="C768" s="1" t="inlineStr">
        <is>
          <t>017</t>
        </is>
      </c>
      <c r="D768" s="1" t="inlineStr">
        <is>
          <t>122476</t>
        </is>
      </c>
      <c r="E768" s="1" t="inlineStr">
        <is>
          <t xml:space="preserve">28194770       </t>
        </is>
      </c>
      <c r="F768" s="5" t="inlineStr">
        <is>
          <t>AUTOS DE METAL 3 TEAMSTERZ EN BLISTER</t>
        </is>
      </c>
      <c r="G768" t="n">
        <v>1</v>
      </c>
      <c r="H768" s="7" t="n">
        <v>6.9</v>
      </c>
      <c r="I768" s="7" t="n">
        <v>0</v>
      </c>
      <c r="J768" s="7" t="n">
        <v>0</v>
      </c>
      <c r="K768" s="9" t="n">
        <v>0</v>
      </c>
      <c r="L768" s="10" t="n">
        <v>4.1</v>
      </c>
      <c r="M768" s="10" t="n">
        <v>1.43</v>
      </c>
      <c r="N768" t="inlineStr">
        <is>
          <t>1</t>
        </is>
      </c>
      <c r="O768" t="inlineStr">
        <is>
          <t xml:space="preserve">2 </t>
        </is>
      </c>
      <c r="P768" t="inlineStr">
        <is>
          <t xml:space="preserve">244589  </t>
        </is>
      </c>
      <c r="Q768" s="26" t="n">
        <v>6.9</v>
      </c>
      <c r="R768" s="26">
        <f>Q768*G768</f>
        <v/>
      </c>
      <c r="S768" t="n">
        <v>4.09</v>
      </c>
      <c r="T768" s="18">
        <f>1 - V768/S768</f>
        <v/>
      </c>
      <c r="U768" s="18" t="n">
        <v>0</v>
      </c>
      <c r="V768" s="26" t="n">
        <v>4.09</v>
      </c>
      <c r="W768" s="26">
        <f>V768 - L768</f>
        <v/>
      </c>
    </row>
    <row r="769">
      <c r="A769" s="11" t="n">
        <v>46211</v>
      </c>
      <c r="B769" s="1" t="n">
        <v>20047</v>
      </c>
      <c r="C769" s="1" t="inlineStr">
        <is>
          <t>017</t>
        </is>
      </c>
      <c r="D769" s="1" t="inlineStr">
        <is>
          <t>122476</t>
        </is>
      </c>
      <c r="E769" s="1" t="inlineStr">
        <is>
          <t xml:space="preserve">28194770       </t>
        </is>
      </c>
      <c r="F769" s="5" t="inlineStr">
        <is>
          <t>AUTOS DE METAL 3 TEAMSTERZ EN BLISTER</t>
        </is>
      </c>
      <c r="G769" t="n">
        <v>1</v>
      </c>
      <c r="H769" s="7" t="n">
        <v>6.9</v>
      </c>
      <c r="I769" s="7" t="n">
        <v>0</v>
      </c>
      <c r="J769" s="7" t="n">
        <v>0</v>
      </c>
      <c r="K769" s="9" t="n">
        <v>0</v>
      </c>
      <c r="L769" s="10" t="n">
        <v>4.1</v>
      </c>
      <c r="M769" s="10" t="n">
        <v>1.43</v>
      </c>
      <c r="N769" t="inlineStr">
        <is>
          <t>1</t>
        </is>
      </c>
      <c r="O769" t="inlineStr">
        <is>
          <t xml:space="preserve">2 </t>
        </is>
      </c>
      <c r="P769" t="inlineStr">
        <is>
          <t xml:space="preserve">244589  </t>
        </is>
      </c>
      <c r="Q769" s="26" t="n">
        <v>6.9</v>
      </c>
      <c r="R769" s="26">
        <f>Q769*G769</f>
        <v/>
      </c>
      <c r="S769" t="n">
        <v>4.09</v>
      </c>
      <c r="T769" s="18">
        <f>1 - V769/S769</f>
        <v/>
      </c>
      <c r="U769" s="18" t="n">
        <v>0</v>
      </c>
      <c r="V769" s="26" t="n">
        <v>4.09</v>
      </c>
      <c r="W769" s="26">
        <f>V769 - L769</f>
        <v/>
      </c>
    </row>
    <row r="770">
      <c r="A770" s="11" t="n">
        <v>46211</v>
      </c>
      <c r="B770" s="1" t="n">
        <v>20047</v>
      </c>
      <c r="C770" s="1" t="inlineStr">
        <is>
          <t>191</t>
        </is>
      </c>
      <c r="D770" s="1" t="inlineStr">
        <is>
          <t>460990</t>
        </is>
      </c>
      <c r="E770" s="1" t="inlineStr">
        <is>
          <t xml:space="preserve">28194770       </t>
        </is>
      </c>
      <c r="F770" s="5" t="inlineStr">
        <is>
          <t>AUTOS DE METAL 3 TEAMSTERZ EN BLISTER</t>
        </is>
      </c>
      <c r="G770" t="n">
        <v>1</v>
      </c>
      <c r="H770" s="7" t="n">
        <v>6.9</v>
      </c>
      <c r="I770" s="7" t="n">
        <v>0</v>
      </c>
      <c r="J770" s="7" t="n">
        <v>0</v>
      </c>
      <c r="K770" s="9" t="n">
        <v>0</v>
      </c>
      <c r="L770" s="10" t="n">
        <v>4.1</v>
      </c>
      <c r="M770" s="10" t="n">
        <v>1.43</v>
      </c>
      <c r="N770" t="inlineStr">
        <is>
          <t>1</t>
        </is>
      </c>
      <c r="O770" t="inlineStr">
        <is>
          <t xml:space="preserve">2 </t>
        </is>
      </c>
      <c r="P770" t="inlineStr">
        <is>
          <t xml:space="preserve">248424  </t>
        </is>
      </c>
      <c r="Q770" s="26" t="n">
        <v>6.9</v>
      </c>
      <c r="R770" s="26">
        <f>Q770*G770</f>
        <v/>
      </c>
      <c r="S770" t="n">
        <v>4.09</v>
      </c>
      <c r="T770" s="18">
        <f>1 - V770/S770</f>
        <v/>
      </c>
      <c r="U770" s="18" t="n">
        <v>0</v>
      </c>
      <c r="V770" s="26" t="n">
        <v>4.09</v>
      </c>
      <c r="W770" s="26">
        <f>V770 - L770</f>
        <v/>
      </c>
    </row>
    <row r="771">
      <c r="A771" s="11" t="n">
        <v>46211</v>
      </c>
      <c r="B771" s="1" t="n">
        <v>20047</v>
      </c>
      <c r="C771" s="1" t="inlineStr">
        <is>
          <t>503</t>
        </is>
      </c>
      <c r="D771" s="1" t="inlineStr">
        <is>
          <t xml:space="preserve">3377  </t>
        </is>
      </c>
      <c r="E771" s="1" t="inlineStr">
        <is>
          <t xml:space="preserve">28194770       </t>
        </is>
      </c>
      <c r="F771" s="5" t="inlineStr">
        <is>
          <t>AUTOS DE METAL 3 TEAMSTERZ EN BLISTER</t>
        </is>
      </c>
      <c r="G771" t="n">
        <v>1</v>
      </c>
      <c r="H771" s="7" t="n">
        <v>6.9</v>
      </c>
      <c r="I771" s="7" t="n">
        <v>0</v>
      </c>
      <c r="J771" s="7" t="n">
        <v>0</v>
      </c>
      <c r="K771" s="9" t="n">
        <v>0</v>
      </c>
      <c r="L771" s="10" t="n">
        <v>4.1</v>
      </c>
      <c r="M771" s="10" t="n">
        <v>1.43</v>
      </c>
      <c r="N771" t="inlineStr">
        <is>
          <t>1</t>
        </is>
      </c>
      <c r="O771" t="inlineStr">
        <is>
          <t>16</t>
        </is>
      </c>
      <c r="P771" t="inlineStr">
        <is>
          <t xml:space="preserve">244589  </t>
        </is>
      </c>
      <c r="Q771" s="26" t="n">
        <v>6.9</v>
      </c>
      <c r="R771" s="26">
        <f>Q771*G771</f>
        <v/>
      </c>
      <c r="S771" t="n">
        <v>4.09</v>
      </c>
      <c r="T771" s="18">
        <f>1 - V771/S771</f>
        <v/>
      </c>
      <c r="U771" s="18" t="n">
        <v>0</v>
      </c>
      <c r="V771" s="26" t="n">
        <v>4.09</v>
      </c>
      <c r="W771" s="26">
        <f>V771 - L771</f>
        <v/>
      </c>
    </row>
    <row r="772">
      <c r="A772" s="11" t="n">
        <v>46211</v>
      </c>
      <c r="B772" s="1" t="n">
        <v>20048</v>
      </c>
      <c r="C772" s="1" t="inlineStr">
        <is>
          <t>017</t>
        </is>
      </c>
      <c r="D772" s="1" t="inlineStr">
        <is>
          <t>166339</t>
        </is>
      </c>
      <c r="E772" s="1" t="inlineStr">
        <is>
          <t xml:space="preserve">28194768       </t>
        </is>
      </c>
      <c r="F772" s="5" t="inlineStr">
        <is>
          <t>AUTO COLOR CHANGE TEAMSTERZ SURTIDO</t>
        </is>
      </c>
      <c r="G772" t="n">
        <v>1</v>
      </c>
      <c r="H772" s="7" t="n">
        <v>14.9</v>
      </c>
      <c r="I772" s="7" t="n">
        <v>0</v>
      </c>
      <c r="J772" s="7" t="n">
        <v>0</v>
      </c>
      <c r="K772" s="9" t="n">
        <v>0</v>
      </c>
      <c r="L772" s="10" t="n">
        <v>8.84</v>
      </c>
      <c r="M772" s="10" t="n">
        <v>1.43</v>
      </c>
      <c r="N772" t="inlineStr">
        <is>
          <t>1</t>
        </is>
      </c>
      <c r="O772" t="inlineStr">
        <is>
          <t xml:space="preserve">2 </t>
        </is>
      </c>
      <c r="P772" t="inlineStr">
        <is>
          <t xml:space="preserve">249916  </t>
        </is>
      </c>
      <c r="Q772" s="26" t="n">
        <v>14.9</v>
      </c>
      <c r="R772" s="26">
        <f>Q772*G772</f>
        <v/>
      </c>
      <c r="S772" t="n">
        <v>8.84</v>
      </c>
      <c r="T772" s="18">
        <f>1 - V772/S772</f>
        <v/>
      </c>
      <c r="U772" s="18" t="n">
        <v>0</v>
      </c>
      <c r="V772" s="26" t="n">
        <v>8.84</v>
      </c>
      <c r="W772" s="26">
        <f>V772 - L772</f>
        <v/>
      </c>
    </row>
    <row r="773">
      <c r="A773" s="11" t="n">
        <v>46211</v>
      </c>
      <c r="B773" s="1" t="n">
        <v>20048</v>
      </c>
      <c r="C773" s="1" t="inlineStr">
        <is>
          <t>017</t>
        </is>
      </c>
      <c r="D773" s="1" t="inlineStr">
        <is>
          <t>166339</t>
        </is>
      </c>
      <c r="E773" s="1" t="inlineStr">
        <is>
          <t xml:space="preserve">34840556       </t>
        </is>
      </c>
      <c r="F773" s="5" t="inlineStr">
        <is>
          <t>TMZ BEAST MACH. TRANSPORT DINO +ACCS</t>
        </is>
      </c>
      <c r="G773" t="n">
        <v>1</v>
      </c>
      <c r="H773" s="7" t="n">
        <v>79.90000000000001</v>
      </c>
      <c r="I773" s="7" t="n">
        <v>0</v>
      </c>
      <c r="J773" s="7" t="n">
        <v>0</v>
      </c>
      <c r="K773" s="9" t="n">
        <v>0</v>
      </c>
      <c r="L773" s="10" t="n">
        <v>47.4</v>
      </c>
      <c r="M773" s="10" t="n">
        <v>1.43</v>
      </c>
      <c r="N773" t="inlineStr">
        <is>
          <t>1</t>
        </is>
      </c>
      <c r="O773" t="inlineStr">
        <is>
          <t xml:space="preserve">2 </t>
        </is>
      </c>
      <c r="P773" t="inlineStr">
        <is>
          <t xml:space="preserve">249916  </t>
        </is>
      </c>
      <c r="Q773" s="26" t="n">
        <v>79.90000000000002</v>
      </c>
      <c r="R773" s="26">
        <f>Q773*G773</f>
        <v/>
      </c>
      <c r="S773" t="n">
        <v>47.4</v>
      </c>
      <c r="T773" s="18">
        <f>1 - V773/S773</f>
        <v/>
      </c>
      <c r="U773" s="18" t="n">
        <v>0.2503128911138924</v>
      </c>
      <c r="V773" s="26" t="n">
        <v>38.07203389830509</v>
      </c>
      <c r="W773" s="26">
        <f>V773 - L773</f>
        <v/>
      </c>
    </row>
    <row r="774">
      <c r="A774" s="11" t="n">
        <v>46211</v>
      </c>
      <c r="B774" s="1" t="n">
        <v>20048</v>
      </c>
      <c r="C774" s="1" t="inlineStr">
        <is>
          <t>018</t>
        </is>
      </c>
      <c r="D774" s="1" t="inlineStr">
        <is>
          <t xml:space="preserve">46158 </t>
        </is>
      </c>
      <c r="E774" s="1" t="inlineStr">
        <is>
          <t xml:space="preserve">30141766       </t>
        </is>
      </c>
      <c r="F774" s="5" t="inlineStr">
        <is>
          <t>TMZ BEAST MACHINES AUTOS DE METAL BLISTER X 1</t>
        </is>
      </c>
      <c r="G774" t="n">
        <v>1</v>
      </c>
      <c r="H774" s="7" t="n">
        <v>7.9</v>
      </c>
      <c r="I774" s="7" t="n">
        <v>0</v>
      </c>
      <c r="J774" s="7" t="n">
        <v>0</v>
      </c>
      <c r="K774" s="9" t="n">
        <v>0</v>
      </c>
      <c r="L774" s="10" t="n">
        <v>4.68</v>
      </c>
      <c r="M774" s="10" t="n">
        <v>1.43</v>
      </c>
      <c r="N774" t="inlineStr">
        <is>
          <t>1</t>
        </is>
      </c>
      <c r="O774" t="inlineStr">
        <is>
          <t>16</t>
        </is>
      </c>
      <c r="P774" t="inlineStr">
        <is>
          <t xml:space="preserve">200219  </t>
        </is>
      </c>
      <c r="Q774" s="26" t="n">
        <v>7.9</v>
      </c>
      <c r="R774" s="26">
        <f>Q774*G774</f>
        <v/>
      </c>
      <c r="S774" t="n">
        <v>4.69</v>
      </c>
      <c r="T774" s="18">
        <f>1 - V774/S774</f>
        <v/>
      </c>
      <c r="U774" s="18" t="n">
        <v>0</v>
      </c>
      <c r="V774" s="26" t="n">
        <v>4.69</v>
      </c>
      <c r="W774" s="26">
        <f>V774 - L774</f>
        <v/>
      </c>
    </row>
    <row r="775">
      <c r="A775" s="11" t="n">
        <v>46211</v>
      </c>
      <c r="B775" s="1" t="n">
        <v>20048</v>
      </c>
      <c r="C775" s="1" t="inlineStr">
        <is>
          <t>194</t>
        </is>
      </c>
      <c r="D775" s="1" t="inlineStr">
        <is>
          <t>191834</t>
        </is>
      </c>
      <c r="E775" s="1" t="inlineStr">
        <is>
          <t xml:space="preserve">32656523       </t>
        </is>
      </c>
      <c r="F775" s="5" t="inlineStr">
        <is>
          <t>TMZ BEAST MACHINES TRANSPORT. T-REX ELECTR. + ACCE</t>
        </is>
      </c>
      <c r="G775" t="n">
        <v>1</v>
      </c>
      <c r="H775" s="7" t="n">
        <v>179</v>
      </c>
      <c r="I775" s="7" t="n">
        <v>0</v>
      </c>
      <c r="J775" s="7" t="n">
        <v>0</v>
      </c>
      <c r="K775" s="9" t="n">
        <v>0</v>
      </c>
      <c r="L775" s="10" t="n">
        <v>106.18</v>
      </c>
      <c r="M775" s="10" t="n">
        <v>1.43</v>
      </c>
      <c r="N775" t="inlineStr">
        <is>
          <t>1</t>
        </is>
      </c>
      <c r="O775" t="inlineStr">
        <is>
          <t>16</t>
        </is>
      </c>
      <c r="P775" t="inlineStr">
        <is>
          <t xml:space="preserve">82617   </t>
        </is>
      </c>
      <c r="Q775" s="26" t="n">
        <v>179</v>
      </c>
      <c r="R775" s="26">
        <f>Q775*G775</f>
        <v/>
      </c>
      <c r="S775" t="n">
        <v>106.19</v>
      </c>
      <c r="T775" s="18">
        <f>1 - V775/S775</f>
        <v/>
      </c>
      <c r="U775" s="18" t="n">
        <v>0</v>
      </c>
      <c r="V775" s="26" t="n">
        <v>106.19</v>
      </c>
      <c r="W775" s="26">
        <f>V775 - L775</f>
        <v/>
      </c>
    </row>
    <row r="776">
      <c r="A776" s="11" t="n">
        <v>46211</v>
      </c>
      <c r="B776" s="1" t="n">
        <v>20057</v>
      </c>
      <c r="C776" s="1" t="inlineStr">
        <is>
          <t>032</t>
        </is>
      </c>
      <c r="D776" s="1" t="inlineStr">
        <is>
          <t xml:space="preserve">74177 </t>
        </is>
      </c>
      <c r="E776" s="1" t="inlineStr">
        <is>
          <t xml:space="preserve">34840550       </t>
        </is>
      </c>
      <c r="F776" s="5" t="inlineStr">
        <is>
          <t>TEAMSTERZ M/MOVERZ TRANSPORTA GORILA</t>
        </is>
      </c>
      <c r="G776" t="n">
        <v>1</v>
      </c>
      <c r="H776" s="7" t="n">
        <v>129</v>
      </c>
      <c r="I776" s="7" t="n">
        <v>0</v>
      </c>
      <c r="J776" s="7" t="n">
        <v>0</v>
      </c>
      <c r="K776" s="9" t="n">
        <v>0</v>
      </c>
      <c r="L776" s="10" t="n">
        <v>76.52</v>
      </c>
      <c r="M776" s="10" t="n">
        <v>1.43</v>
      </c>
      <c r="N776" t="inlineStr">
        <is>
          <t>1</t>
        </is>
      </c>
      <c r="O776" t="inlineStr">
        <is>
          <t>16</t>
        </is>
      </c>
      <c r="P776" t="inlineStr">
        <is>
          <t xml:space="preserve">241502  </t>
        </is>
      </c>
      <c r="Q776" s="26" t="n">
        <v>129</v>
      </c>
      <c r="R776" s="26">
        <f>Q776*G776</f>
        <v/>
      </c>
      <c r="S776" t="n">
        <v>76.53</v>
      </c>
      <c r="T776" s="18">
        <f>1 - V776/S776</f>
        <v/>
      </c>
      <c r="U776" s="18" t="n">
        <v>0</v>
      </c>
      <c r="V776" s="26" t="n">
        <v>76.53</v>
      </c>
      <c r="W776" s="26">
        <f>V776 - L776</f>
        <v/>
      </c>
    </row>
    <row r="777">
      <c r="A777" s="11" t="n">
        <v>46211</v>
      </c>
      <c r="B777" s="1" t="n">
        <v>20057</v>
      </c>
      <c r="C777" s="1" t="inlineStr">
        <is>
          <t>032</t>
        </is>
      </c>
      <c r="D777" s="1" t="inlineStr">
        <is>
          <t xml:space="preserve">74181 </t>
        </is>
      </c>
      <c r="E777" s="1" t="inlineStr">
        <is>
          <t xml:space="preserve">28194770       </t>
        </is>
      </c>
      <c r="F777" s="5" t="inlineStr">
        <is>
          <t>AUTOS DE METAL 3 TEAMSTERZ EN BLISTER</t>
        </is>
      </c>
      <c r="G777" t="n">
        <v>1</v>
      </c>
      <c r="H777" s="7" t="n">
        <v>6.9</v>
      </c>
      <c r="I777" s="7" t="n">
        <v>0</v>
      </c>
      <c r="J777" s="7" t="n">
        <v>0</v>
      </c>
      <c r="K777" s="9" t="n">
        <v>0</v>
      </c>
      <c r="L777" s="10" t="n">
        <v>4.1</v>
      </c>
      <c r="M777" s="10" t="n">
        <v>1.43</v>
      </c>
      <c r="N777" t="inlineStr">
        <is>
          <t>1</t>
        </is>
      </c>
      <c r="O777" t="inlineStr">
        <is>
          <t>16</t>
        </is>
      </c>
      <c r="P777" t="inlineStr">
        <is>
          <t xml:space="preserve">241502  </t>
        </is>
      </c>
      <c r="Q777" s="26" t="n">
        <v>6.9</v>
      </c>
      <c r="R777" s="26">
        <f>Q777*G777</f>
        <v/>
      </c>
      <c r="S777" t="n">
        <v>4.09</v>
      </c>
      <c r="T777" s="18">
        <f>1 - V777/S777</f>
        <v/>
      </c>
      <c r="U777" s="18" t="n">
        <v>0</v>
      </c>
      <c r="V777" s="26" t="n">
        <v>4.09</v>
      </c>
      <c r="W777" s="26">
        <f>V777 - L777</f>
        <v/>
      </c>
    </row>
    <row r="778">
      <c r="A778" s="11" t="n">
        <v>46211</v>
      </c>
      <c r="B778" s="1" t="n">
        <v>20057</v>
      </c>
      <c r="C778" s="1" t="inlineStr">
        <is>
          <t>033</t>
        </is>
      </c>
      <c r="D778" s="1" t="inlineStr">
        <is>
          <t xml:space="preserve">66561 </t>
        </is>
      </c>
      <c r="E778" s="1" t="inlineStr">
        <is>
          <t xml:space="preserve">28194769       </t>
        </is>
      </c>
      <c r="F778" s="5" t="inlineStr">
        <is>
          <t>AUTOS DE METAL 3 TEAMSTERZ PACK DE 2</t>
        </is>
      </c>
      <c r="G778" t="n">
        <v>1</v>
      </c>
      <c r="H778" s="7" t="n">
        <v>13.8</v>
      </c>
      <c r="I778" s="7" t="n">
        <v>0</v>
      </c>
      <c r="J778" s="7" t="n">
        <v>0</v>
      </c>
      <c r="K778" s="9" t="n">
        <v>0</v>
      </c>
      <c r="L778" s="10" t="n">
        <v>8.18</v>
      </c>
      <c r="M778" s="10" t="n">
        <v>1.43</v>
      </c>
      <c r="N778" t="inlineStr">
        <is>
          <t>1</t>
        </is>
      </c>
      <c r="O778" t="inlineStr">
        <is>
          <t xml:space="preserve">2 </t>
        </is>
      </c>
      <c r="P778" t="inlineStr">
        <is>
          <t xml:space="preserve">250316  </t>
        </is>
      </c>
      <c r="Q778" s="26" t="n">
        <v>13.8</v>
      </c>
      <c r="R778" s="26">
        <f>Q778*G778</f>
        <v/>
      </c>
      <c r="S778" t="n">
        <v>8.19</v>
      </c>
      <c r="T778" s="18">
        <f>1 - V778/S778</f>
        <v/>
      </c>
      <c r="U778" s="18" t="n">
        <v>0</v>
      </c>
      <c r="V778" s="26" t="n">
        <v>8.19</v>
      </c>
      <c r="W778" s="26">
        <f>V778 - L778</f>
        <v/>
      </c>
    </row>
    <row r="779">
      <c r="A779" s="11" t="n">
        <v>46211</v>
      </c>
      <c r="B779" s="1" t="n">
        <v>20057</v>
      </c>
      <c r="C779" s="1" t="inlineStr">
        <is>
          <t>033</t>
        </is>
      </c>
      <c r="D779" s="1" t="inlineStr">
        <is>
          <t xml:space="preserve">66561 </t>
        </is>
      </c>
      <c r="E779" s="1" t="inlineStr">
        <is>
          <t xml:space="preserve">28194770       </t>
        </is>
      </c>
      <c r="F779" s="5" t="inlineStr">
        <is>
          <t>AUTOS DE METAL 3 TEAMSTERZ EN BLISTER</t>
        </is>
      </c>
      <c r="G779" t="n">
        <v>1</v>
      </c>
      <c r="H779" s="7" t="n">
        <v>6.9</v>
      </c>
      <c r="I779" s="7" t="n">
        <v>0</v>
      </c>
      <c r="J779" s="7" t="n">
        <v>0</v>
      </c>
      <c r="K779" s="9" t="n">
        <v>0</v>
      </c>
      <c r="L779" s="10" t="n">
        <v>4.1</v>
      </c>
      <c r="M779" s="10" t="n">
        <v>1.43</v>
      </c>
      <c r="N779" t="inlineStr">
        <is>
          <t>1</t>
        </is>
      </c>
      <c r="O779" t="inlineStr">
        <is>
          <t xml:space="preserve">2 </t>
        </is>
      </c>
      <c r="P779" t="inlineStr">
        <is>
          <t xml:space="preserve">250316  </t>
        </is>
      </c>
      <c r="Q779" s="26" t="n">
        <v>6.9</v>
      </c>
      <c r="R779" s="26">
        <f>Q779*G779</f>
        <v/>
      </c>
      <c r="S779" t="n">
        <v>4.09</v>
      </c>
      <c r="T779" s="18">
        <f>1 - V779/S779</f>
        <v/>
      </c>
      <c r="U779" s="18" t="n">
        <v>0</v>
      </c>
      <c r="V779" s="26" t="n">
        <v>4.09</v>
      </c>
      <c r="W779" s="26">
        <f>V779 - L779</f>
        <v/>
      </c>
    </row>
    <row r="780">
      <c r="A780" s="11" t="n">
        <v>46211</v>
      </c>
      <c r="B780" s="1" t="n">
        <v>20057</v>
      </c>
      <c r="C780" s="1" t="inlineStr">
        <is>
          <t>832</t>
        </is>
      </c>
      <c r="D780" s="1" t="inlineStr">
        <is>
          <t xml:space="preserve">7348  </t>
        </is>
      </c>
      <c r="E780" s="1" t="inlineStr">
        <is>
          <t xml:space="preserve">30141769       </t>
        </is>
      </c>
      <c r="F780" s="5" t="inlineStr">
        <is>
          <t>TMZ BEAST MACHINES TRANSPORTE DINOSAURIO + 3 AUTOS</t>
        </is>
      </c>
      <c r="G780" t="n">
        <v>1</v>
      </c>
      <c r="H780" s="7" t="n">
        <v>79.90000000000001</v>
      </c>
      <c r="I780" s="7" t="n">
        <v>0</v>
      </c>
      <c r="J780" s="7" t="n">
        <v>0</v>
      </c>
      <c r="K780" s="9" t="n">
        <v>0</v>
      </c>
      <c r="L780" s="10" t="n">
        <v>47.4</v>
      </c>
      <c r="M780" s="10" t="n">
        <v>1.43</v>
      </c>
      <c r="N780" t="inlineStr">
        <is>
          <t>1</t>
        </is>
      </c>
      <c r="O780" t="inlineStr">
        <is>
          <t>16</t>
        </is>
      </c>
      <c r="P780" t="inlineStr">
        <is>
          <t xml:space="preserve">0       </t>
        </is>
      </c>
      <c r="Q780" s="26" t="n">
        <v>79.90000000000001</v>
      </c>
      <c r="R780" s="26">
        <f>Q780*G780</f>
        <v/>
      </c>
      <c r="S780" t="n">
        <v>47.4</v>
      </c>
      <c r="T780" s="18">
        <f>1 - V780/S780</f>
        <v/>
      </c>
      <c r="U780" s="18" t="n">
        <v>0.2503128911138924</v>
      </c>
      <c r="V780" s="26" t="n">
        <v>38.07203389830509</v>
      </c>
      <c r="W780" s="26">
        <f>V780 - L780</f>
        <v/>
      </c>
    </row>
    <row r="781">
      <c r="A781" s="11" t="n">
        <v>46211</v>
      </c>
      <c r="B781" s="1" t="n">
        <v>20058</v>
      </c>
      <c r="C781" s="1" t="inlineStr">
        <is>
          <t>032</t>
        </is>
      </c>
      <c r="D781" s="1" t="inlineStr">
        <is>
          <t>207440</t>
        </is>
      </c>
      <c r="E781" s="1" t="inlineStr">
        <is>
          <t xml:space="preserve">30141766       </t>
        </is>
      </c>
      <c r="F781" s="5" t="inlineStr">
        <is>
          <t>TMZ BEAST MACHINES AUTOS DE METAL BLISTER X 1</t>
        </is>
      </c>
      <c r="G781" t="n">
        <v>1</v>
      </c>
      <c r="H781" s="7" t="n">
        <v>7.9</v>
      </c>
      <c r="I781" s="7" t="n">
        <v>0</v>
      </c>
      <c r="J781" s="7" t="n">
        <v>0</v>
      </c>
      <c r="K781" s="9" t="n">
        <v>0</v>
      </c>
      <c r="L781" s="10" t="n">
        <v>4.68</v>
      </c>
      <c r="M781" s="10" t="n">
        <v>1.43</v>
      </c>
      <c r="N781" t="inlineStr">
        <is>
          <t>1</t>
        </is>
      </c>
      <c r="O781" t="inlineStr">
        <is>
          <t>16</t>
        </is>
      </c>
      <c r="P781" t="inlineStr">
        <is>
          <t xml:space="preserve">94051   </t>
        </is>
      </c>
      <c r="Q781" s="26" t="n">
        <v>7.9</v>
      </c>
      <c r="R781" s="26">
        <f>Q781*G781</f>
        <v/>
      </c>
      <c r="S781" t="n">
        <v>4.69</v>
      </c>
      <c r="T781" s="18">
        <f>1 - V781/S781</f>
        <v/>
      </c>
      <c r="U781" s="18" t="n">
        <v>0</v>
      </c>
      <c r="V781" s="26" t="n">
        <v>4.69</v>
      </c>
      <c r="W781" s="26">
        <f>V781 - L781</f>
        <v/>
      </c>
    </row>
    <row r="782">
      <c r="A782" s="11" t="n">
        <v>46211</v>
      </c>
      <c r="B782" s="1" t="n">
        <v>20058</v>
      </c>
      <c r="C782" s="1" t="inlineStr">
        <is>
          <t>038</t>
        </is>
      </c>
      <c r="D782" s="1" t="inlineStr">
        <is>
          <t>208781</t>
        </is>
      </c>
      <c r="E782" s="1" t="inlineStr">
        <is>
          <t xml:space="preserve">28194769       </t>
        </is>
      </c>
      <c r="F782" s="5" t="inlineStr">
        <is>
          <t>AUTOS DE METAL 3 TEAMSTERZ PACK DE 2</t>
        </is>
      </c>
      <c r="G782" t="n">
        <v>1</v>
      </c>
      <c r="H782" s="7" t="n">
        <v>13.8</v>
      </c>
      <c r="I782" s="7" t="n">
        <v>0</v>
      </c>
      <c r="J782" s="7" t="n">
        <v>0</v>
      </c>
      <c r="K782" s="9" t="n">
        <v>0</v>
      </c>
      <c r="L782" s="10" t="n">
        <v>8.18</v>
      </c>
      <c r="M782" s="10" t="n">
        <v>1.43</v>
      </c>
      <c r="N782" t="inlineStr">
        <is>
          <t>1</t>
        </is>
      </c>
      <c r="O782" t="inlineStr">
        <is>
          <t>16</t>
        </is>
      </c>
      <c r="P782" t="inlineStr">
        <is>
          <t xml:space="preserve">90737   </t>
        </is>
      </c>
      <c r="Q782" s="26" t="n">
        <v>13.8</v>
      </c>
      <c r="R782" s="26">
        <f>Q782*G782</f>
        <v/>
      </c>
      <c r="S782" t="n">
        <v>8.19</v>
      </c>
      <c r="T782" s="18">
        <f>1 - V782/S782</f>
        <v/>
      </c>
      <c r="U782" s="18" t="n">
        <v>0</v>
      </c>
      <c r="V782" s="26" t="n">
        <v>8.19</v>
      </c>
      <c r="W782" s="26">
        <f>V782 - L782</f>
        <v/>
      </c>
    </row>
    <row r="783">
      <c r="A783" s="11" t="n">
        <v>46211</v>
      </c>
      <c r="B783" s="1" t="n">
        <v>20058</v>
      </c>
      <c r="C783" s="1" t="inlineStr">
        <is>
          <t>039</t>
        </is>
      </c>
      <c r="D783" s="1" t="inlineStr">
        <is>
          <t>229945</t>
        </is>
      </c>
      <c r="E783" s="1" t="inlineStr">
        <is>
          <t xml:space="preserve">32457099       </t>
        </is>
      </c>
      <c r="F783" s="5" t="inlineStr">
        <is>
          <t>TMZ BEAST MACHINES MONSTER JAWS A FRICCION BLISTER</t>
        </is>
      </c>
      <c r="G783" t="n">
        <v>1</v>
      </c>
      <c r="H783" s="7" t="n">
        <v>19.9</v>
      </c>
      <c r="I783" s="7" t="n">
        <v>0</v>
      </c>
      <c r="J783" s="7" t="n">
        <v>0</v>
      </c>
      <c r="K783" s="9" t="n">
        <v>0</v>
      </c>
      <c r="L783" s="10" t="n">
        <v>11.8</v>
      </c>
      <c r="M783" s="10" t="n">
        <v>1.43</v>
      </c>
      <c r="N783" t="inlineStr">
        <is>
          <t>1</t>
        </is>
      </c>
      <c r="O783" t="inlineStr">
        <is>
          <t>16</t>
        </is>
      </c>
      <c r="P783" t="inlineStr">
        <is>
          <t xml:space="preserve">98279   </t>
        </is>
      </c>
      <c r="Q783" s="26" t="n">
        <v>19.9</v>
      </c>
      <c r="R783" s="26">
        <f>Q783*G783</f>
        <v/>
      </c>
      <c r="S783" t="n">
        <v>11.81</v>
      </c>
      <c r="T783" s="18">
        <f>1 - V783/S783</f>
        <v/>
      </c>
      <c r="U783" s="18" t="n">
        <v>0.1005025125628141</v>
      </c>
      <c r="V783" s="26" t="n">
        <v>8.417118644067797</v>
      </c>
      <c r="W783" s="26">
        <f>V783 - L783</f>
        <v/>
      </c>
    </row>
    <row r="784">
      <c r="A784" s="11" t="n">
        <v>46211</v>
      </c>
      <c r="B784" s="1" t="n">
        <v>20060</v>
      </c>
      <c r="C784" s="1" t="inlineStr">
        <is>
          <t>302</t>
        </is>
      </c>
      <c r="D784" s="1" t="inlineStr">
        <is>
          <t xml:space="preserve">640   </t>
        </is>
      </c>
      <c r="E784" s="1" t="inlineStr">
        <is>
          <t xml:space="preserve">33661538       </t>
        </is>
      </c>
      <c r="F784" s="5" t="inlineStr">
        <is>
          <t>HOT WHEELS CASE GARAGE RUEDA METAL EN LLAMAS X 29</t>
        </is>
      </c>
      <c r="G784" t="n">
        <v>1</v>
      </c>
      <c r="H784" s="7" t="n">
        <v>62.9</v>
      </c>
      <c r="I784" s="7" t="n">
        <v>0</v>
      </c>
      <c r="J784" s="7" t="n">
        <v>0</v>
      </c>
      <c r="K784" s="9" t="n">
        <v>0</v>
      </c>
      <c r="L784" s="10" t="n">
        <v>37.32</v>
      </c>
      <c r="M784" s="10" t="n">
        <v>1.43</v>
      </c>
      <c r="N784" t="inlineStr">
        <is>
          <t>1</t>
        </is>
      </c>
      <c r="O784" t="inlineStr">
        <is>
          <t>16</t>
        </is>
      </c>
      <c r="P784" t="inlineStr">
        <is>
          <t>82807346</t>
        </is>
      </c>
      <c r="Q784" s="26" t="n">
        <v>69.90000000000001</v>
      </c>
      <c r="R784" s="26">
        <f>Q784*G784</f>
        <v/>
      </c>
      <c r="S784" t="n">
        <v>41.47</v>
      </c>
      <c r="T784" s="18">
        <f>1 - V784/S784</f>
        <v/>
      </c>
      <c r="U784" s="18" t="n">
        <v>0</v>
      </c>
      <c r="V784" s="26" t="n">
        <v>41.47</v>
      </c>
      <c r="W784" s="26">
        <f>V784 - L784</f>
        <v/>
      </c>
    </row>
    <row r="785">
      <c r="A785" s="11" t="n">
        <v>46211</v>
      </c>
      <c r="B785" s="1" t="n">
        <v>20060</v>
      </c>
      <c r="C785" s="1" t="inlineStr">
        <is>
          <t>302</t>
        </is>
      </c>
      <c r="D785" s="1" t="inlineStr">
        <is>
          <t xml:space="preserve">640   </t>
        </is>
      </c>
      <c r="E785" s="1" t="inlineStr">
        <is>
          <t xml:space="preserve">35685067       </t>
        </is>
      </c>
      <c r="F785" s="5" t="inlineStr">
        <is>
          <t>HOT WHEELS POWER SET 3 EN 1</t>
        </is>
      </c>
      <c r="G785" t="n">
        <v>1</v>
      </c>
      <c r="H785" s="7" t="n">
        <v>44.9</v>
      </c>
      <c r="I785" s="7" t="n">
        <v>0</v>
      </c>
      <c r="J785" s="7" t="n">
        <v>0</v>
      </c>
      <c r="K785" s="9" t="n">
        <v>0</v>
      </c>
      <c r="L785" s="10" t="n">
        <v>26.64</v>
      </c>
      <c r="M785" s="10" t="n">
        <v>1.43</v>
      </c>
      <c r="N785" t="inlineStr">
        <is>
          <t>1</t>
        </is>
      </c>
      <c r="O785" t="inlineStr">
        <is>
          <t>16</t>
        </is>
      </c>
      <c r="P785" t="inlineStr">
        <is>
          <t>82807346</t>
        </is>
      </c>
      <c r="Q785" s="26" t="n">
        <v>49.9</v>
      </c>
      <c r="R785" s="26">
        <f>Q785*G785</f>
        <v/>
      </c>
      <c r="S785" t="n">
        <v>29.6</v>
      </c>
      <c r="T785" s="18">
        <f>1 - V785/S785</f>
        <v/>
      </c>
      <c r="U785" s="18" t="n">
        <v>0</v>
      </c>
      <c r="V785" s="26" t="n">
        <v>29.6</v>
      </c>
      <c r="W785" s="26">
        <f>V785 - L785</f>
        <v/>
      </c>
    </row>
    <row r="786">
      <c r="A786" s="11" t="n">
        <v>46211</v>
      </c>
      <c r="B786" s="1" t="n">
        <v>20060</v>
      </c>
      <c r="C786" s="1" t="inlineStr">
        <is>
          <t>302</t>
        </is>
      </c>
      <c r="D786" s="1" t="inlineStr">
        <is>
          <t xml:space="preserve">640   </t>
        </is>
      </c>
      <c r="E786" s="1" t="inlineStr">
        <is>
          <t xml:space="preserve">35685068       </t>
        </is>
      </c>
      <c r="F786" s="5" t="inlineStr">
        <is>
          <t>BARBIE FASHION SET 3 EN 1</t>
        </is>
      </c>
      <c r="G786" t="n">
        <v>1</v>
      </c>
      <c r="H786" s="7" t="n">
        <v>44.9</v>
      </c>
      <c r="I786" s="7" t="n">
        <v>0</v>
      </c>
      <c r="J786" s="7" t="n">
        <v>0</v>
      </c>
      <c r="K786" s="9" t="n">
        <v>0</v>
      </c>
      <c r="L786" s="10" t="n">
        <v>26.64</v>
      </c>
      <c r="M786" s="10" t="n">
        <v>1.43</v>
      </c>
      <c r="N786" t="inlineStr">
        <is>
          <t>1</t>
        </is>
      </c>
      <c r="O786" t="inlineStr">
        <is>
          <t>16</t>
        </is>
      </c>
      <c r="P786" t="inlineStr">
        <is>
          <t>82807346</t>
        </is>
      </c>
      <c r="Q786" s="26" t="n">
        <v>49.9</v>
      </c>
      <c r="R786" s="26">
        <f>Q786*G786</f>
        <v/>
      </c>
      <c r="S786" t="n">
        <v>29.6</v>
      </c>
      <c r="T786" s="18">
        <f>1 - V786/S786</f>
        <v/>
      </c>
      <c r="U786" s="18" t="n">
        <v>0</v>
      </c>
      <c r="V786" s="26" t="n">
        <v>29.6</v>
      </c>
      <c r="W786" s="26">
        <f>V786 - L786</f>
        <v/>
      </c>
    </row>
    <row r="787">
      <c r="A787" s="11" t="n">
        <v>46211</v>
      </c>
      <c r="B787" s="1" t="n">
        <v>20062</v>
      </c>
      <c r="C787" s="1" t="inlineStr">
        <is>
          <t>050</t>
        </is>
      </c>
      <c r="D787" s="1" t="inlineStr">
        <is>
          <t>316865</t>
        </is>
      </c>
      <c r="E787" s="1" t="inlineStr">
        <is>
          <t xml:space="preserve">28194770       </t>
        </is>
      </c>
      <c r="F787" s="5" t="inlineStr">
        <is>
          <t>AUTOS DE METAL 3 TEAMSTERZ EN BLISTER</t>
        </is>
      </c>
      <c r="G787" t="n">
        <v>1</v>
      </c>
      <c r="H787" s="7" t="n">
        <v>6.9</v>
      </c>
      <c r="I787" s="7" t="n">
        <v>0</v>
      </c>
      <c r="J787" s="7" t="n">
        <v>0</v>
      </c>
      <c r="K787" s="9" t="n">
        <v>0</v>
      </c>
      <c r="L787" s="10" t="n">
        <v>4.1</v>
      </c>
      <c r="M787" s="10" t="n">
        <v>1.43</v>
      </c>
      <c r="N787" t="inlineStr">
        <is>
          <t>1</t>
        </is>
      </c>
      <c r="O787" t="inlineStr">
        <is>
          <t xml:space="preserve">2 </t>
        </is>
      </c>
      <c r="P787" t="inlineStr">
        <is>
          <t xml:space="preserve">250430  </t>
        </is>
      </c>
      <c r="Q787" s="26" t="n">
        <v>6.9</v>
      </c>
      <c r="R787" s="26">
        <f>Q787*G787</f>
        <v/>
      </c>
      <c r="S787" t="n">
        <v>4.09</v>
      </c>
      <c r="T787" s="18">
        <f>1 - V787/S787</f>
        <v/>
      </c>
      <c r="U787" s="18" t="n">
        <v>0</v>
      </c>
      <c r="V787" s="26" t="n">
        <v>4.09</v>
      </c>
      <c r="W787" s="26">
        <f>V787 - L787</f>
        <v/>
      </c>
    </row>
    <row r="788">
      <c r="A788" s="11" t="n">
        <v>46211</v>
      </c>
      <c r="B788" s="1" t="n">
        <v>20066</v>
      </c>
      <c r="C788" s="1" t="inlineStr">
        <is>
          <t>058</t>
        </is>
      </c>
      <c r="D788" s="1" t="inlineStr">
        <is>
          <t xml:space="preserve">60043 </t>
        </is>
      </c>
      <c r="E788" s="1" t="inlineStr">
        <is>
          <t xml:space="preserve">31675352       </t>
        </is>
      </c>
      <c r="F788" s="5" t="inlineStr">
        <is>
          <t>MI PEQUENO NENUCO</t>
        </is>
      </c>
      <c r="G788" t="n">
        <v>1</v>
      </c>
      <c r="H788" s="7" t="n">
        <v>69.90000000000001</v>
      </c>
      <c r="I788" s="7" t="n">
        <v>0</v>
      </c>
      <c r="J788" s="7" t="n">
        <v>0</v>
      </c>
      <c r="K788" s="9" t="n">
        <v>0</v>
      </c>
      <c r="L788" s="10" t="n">
        <v>41.47</v>
      </c>
      <c r="M788" s="10" t="n">
        <v>1.43</v>
      </c>
      <c r="N788" t="inlineStr">
        <is>
          <t>1</t>
        </is>
      </c>
      <c r="O788" t="inlineStr">
        <is>
          <t>16</t>
        </is>
      </c>
      <c r="P788" t="inlineStr">
        <is>
          <t xml:space="preserve">62683   </t>
        </is>
      </c>
      <c r="Q788" s="26" t="n">
        <v>69.90000000000001</v>
      </c>
      <c r="R788" s="26">
        <f>Q788*G788</f>
        <v/>
      </c>
      <c r="S788" t="n">
        <v>41.47</v>
      </c>
      <c r="T788" s="18">
        <f>1 - V788/S788</f>
        <v/>
      </c>
      <c r="U788" s="18" t="n">
        <v>0.2861230329041489</v>
      </c>
      <c r="V788" s="26" t="n">
        <v>31.71610169491525</v>
      </c>
      <c r="W788" s="26">
        <f>V788 - L788</f>
        <v/>
      </c>
    </row>
    <row r="789">
      <c r="A789" s="11" t="n">
        <v>46211</v>
      </c>
      <c r="B789" s="1" t="n">
        <v>20066</v>
      </c>
      <c r="C789" s="1" t="inlineStr">
        <is>
          <t>059</t>
        </is>
      </c>
      <c r="D789" s="1" t="inlineStr">
        <is>
          <t xml:space="preserve">17922 </t>
        </is>
      </c>
      <c r="E789" s="1" t="inlineStr">
        <is>
          <t xml:space="preserve">28194770       </t>
        </is>
      </c>
      <c r="F789" s="5" t="inlineStr">
        <is>
          <t>AUTOS DE METAL 3 TEAMSTERZ EN BLISTER</t>
        </is>
      </c>
      <c r="G789" t="n">
        <v>1</v>
      </c>
      <c r="H789" s="7" t="n">
        <v>6.9</v>
      </c>
      <c r="I789" s="7" t="n">
        <v>0</v>
      </c>
      <c r="J789" s="7" t="n">
        <v>0</v>
      </c>
      <c r="K789" s="9" t="n">
        <v>0</v>
      </c>
      <c r="L789" s="10" t="n">
        <v>4.1</v>
      </c>
      <c r="M789" s="10" t="n">
        <v>1.43</v>
      </c>
      <c r="N789" t="inlineStr">
        <is>
          <t>1</t>
        </is>
      </c>
      <c r="O789" t="inlineStr">
        <is>
          <t>16</t>
        </is>
      </c>
      <c r="P789" t="inlineStr">
        <is>
          <t xml:space="preserve">13622   </t>
        </is>
      </c>
      <c r="Q789" s="26" t="n">
        <v>6.9</v>
      </c>
      <c r="R789" s="26">
        <f>Q789*G789</f>
        <v/>
      </c>
      <c r="S789" t="n">
        <v>4.09</v>
      </c>
      <c r="T789" s="18">
        <f>1 - V789/S789</f>
        <v/>
      </c>
      <c r="U789" s="18" t="n">
        <v>0</v>
      </c>
      <c r="V789" s="26" t="n">
        <v>4.09</v>
      </c>
      <c r="W789" s="26">
        <f>V789 - L789</f>
        <v/>
      </c>
    </row>
    <row r="790">
      <c r="A790" s="11" t="n">
        <v>46211</v>
      </c>
      <c r="B790" s="1" t="n">
        <v>20066</v>
      </c>
      <c r="C790" s="1" t="inlineStr">
        <is>
          <t>059</t>
        </is>
      </c>
      <c r="D790" s="1" t="inlineStr">
        <is>
          <t xml:space="preserve">17932 </t>
        </is>
      </c>
      <c r="E790" s="1" t="inlineStr">
        <is>
          <t xml:space="preserve">28194770       </t>
        </is>
      </c>
      <c r="F790" s="5" t="inlineStr">
        <is>
          <t>AUTOS DE METAL 3 TEAMSTERZ EN BLISTER</t>
        </is>
      </c>
      <c r="G790" t="n">
        <v>1</v>
      </c>
      <c r="H790" s="7" t="n">
        <v>6.9</v>
      </c>
      <c r="I790" s="7" t="n">
        <v>0</v>
      </c>
      <c r="J790" s="7" t="n">
        <v>0</v>
      </c>
      <c r="K790" s="9" t="n">
        <v>0</v>
      </c>
      <c r="L790" s="10" t="n">
        <v>4.1</v>
      </c>
      <c r="M790" s="10" t="n">
        <v>1.43</v>
      </c>
      <c r="N790" t="inlineStr">
        <is>
          <t>1</t>
        </is>
      </c>
      <c r="O790" t="inlineStr">
        <is>
          <t>16</t>
        </is>
      </c>
      <c r="P790" t="inlineStr">
        <is>
          <t xml:space="preserve">15095   </t>
        </is>
      </c>
      <c r="Q790" s="26" t="n">
        <v>6.9</v>
      </c>
      <c r="R790" s="26">
        <f>Q790*G790</f>
        <v/>
      </c>
      <c r="S790" t="n">
        <v>4.09</v>
      </c>
      <c r="T790" s="18">
        <f>1 - V790/S790</f>
        <v/>
      </c>
      <c r="U790" s="18" t="n">
        <v>0</v>
      </c>
      <c r="V790" s="26" t="n">
        <v>4.09</v>
      </c>
      <c r="W790" s="26">
        <f>V790 - L790</f>
        <v/>
      </c>
    </row>
    <row r="791">
      <c r="A791" s="11" t="n">
        <v>46211</v>
      </c>
      <c r="B791" s="1" t="n">
        <v>20066</v>
      </c>
      <c r="C791" s="1" t="inlineStr">
        <is>
          <t>059</t>
        </is>
      </c>
      <c r="D791" s="1" t="inlineStr">
        <is>
          <t xml:space="preserve">17932 </t>
        </is>
      </c>
      <c r="E791" s="1" t="inlineStr">
        <is>
          <t xml:space="preserve">28194770       </t>
        </is>
      </c>
      <c r="F791" s="5" t="inlineStr">
        <is>
          <t>AUTOS DE METAL 3 TEAMSTERZ EN BLISTER</t>
        </is>
      </c>
      <c r="G791" t="n">
        <v>1</v>
      </c>
      <c r="H791" s="7" t="n">
        <v>6.9</v>
      </c>
      <c r="I791" s="7" t="n">
        <v>0</v>
      </c>
      <c r="J791" s="7" t="n">
        <v>0</v>
      </c>
      <c r="K791" s="9" t="n">
        <v>0</v>
      </c>
      <c r="L791" s="10" t="n">
        <v>4.1</v>
      </c>
      <c r="M791" s="10" t="n">
        <v>1.43</v>
      </c>
      <c r="N791" t="inlineStr">
        <is>
          <t>1</t>
        </is>
      </c>
      <c r="O791" t="inlineStr">
        <is>
          <t>16</t>
        </is>
      </c>
      <c r="P791" t="inlineStr">
        <is>
          <t xml:space="preserve">15095   </t>
        </is>
      </c>
      <c r="Q791" s="26" t="n">
        <v>6.9</v>
      </c>
      <c r="R791" s="26">
        <f>Q791*G791</f>
        <v/>
      </c>
      <c r="S791" t="n">
        <v>4.09</v>
      </c>
      <c r="T791" s="18">
        <f>1 - V791/S791</f>
        <v/>
      </c>
      <c r="U791" s="18" t="n">
        <v>0</v>
      </c>
      <c r="V791" s="26" t="n">
        <v>4.09</v>
      </c>
      <c r="W791" s="26">
        <f>V791 - L791</f>
        <v/>
      </c>
    </row>
    <row r="792">
      <c r="A792" s="11" t="n">
        <v>46211</v>
      </c>
      <c r="B792" s="1" t="n">
        <v>20066</v>
      </c>
      <c r="C792" s="1" t="inlineStr">
        <is>
          <t>059</t>
        </is>
      </c>
      <c r="D792" s="1" t="inlineStr">
        <is>
          <t xml:space="preserve">17932 </t>
        </is>
      </c>
      <c r="E792" s="1" t="inlineStr">
        <is>
          <t xml:space="preserve">28194770       </t>
        </is>
      </c>
      <c r="F792" s="5" t="inlineStr">
        <is>
          <t>AUTOS DE METAL 3 TEAMSTERZ EN BLISTER</t>
        </is>
      </c>
      <c r="G792" t="n">
        <v>1</v>
      </c>
      <c r="H792" s="7" t="n">
        <v>6.9</v>
      </c>
      <c r="I792" s="7" t="n">
        <v>0</v>
      </c>
      <c r="J792" s="7" t="n">
        <v>0</v>
      </c>
      <c r="K792" s="9" t="n">
        <v>0</v>
      </c>
      <c r="L792" s="10" t="n">
        <v>4.1</v>
      </c>
      <c r="M792" s="10" t="n">
        <v>1.43</v>
      </c>
      <c r="N792" t="inlineStr">
        <is>
          <t>1</t>
        </is>
      </c>
      <c r="O792" t="inlineStr">
        <is>
          <t>16</t>
        </is>
      </c>
      <c r="P792" t="inlineStr">
        <is>
          <t xml:space="preserve">15095   </t>
        </is>
      </c>
      <c r="Q792" s="26" t="n">
        <v>6.9</v>
      </c>
      <c r="R792" s="26">
        <f>Q792*G792</f>
        <v/>
      </c>
      <c r="S792" t="n">
        <v>4.09</v>
      </c>
      <c r="T792" s="18">
        <f>1 - V792/S792</f>
        <v/>
      </c>
      <c r="U792" s="18" t="n">
        <v>0</v>
      </c>
      <c r="V792" s="26" t="n">
        <v>4.09</v>
      </c>
      <c r="W792" s="26">
        <f>V792 - L792</f>
        <v/>
      </c>
    </row>
    <row r="793">
      <c r="A793" s="11" t="n">
        <v>46211</v>
      </c>
      <c r="B793" s="1" t="n">
        <v>20066</v>
      </c>
      <c r="C793" s="1" t="inlineStr">
        <is>
          <t>059</t>
        </is>
      </c>
      <c r="D793" s="1" t="inlineStr">
        <is>
          <t xml:space="preserve">17932 </t>
        </is>
      </c>
      <c r="E793" s="1" t="inlineStr">
        <is>
          <t xml:space="preserve">28194770       </t>
        </is>
      </c>
      <c r="F793" s="5" t="inlineStr">
        <is>
          <t>AUTOS DE METAL 3 TEAMSTERZ EN BLISTER</t>
        </is>
      </c>
      <c r="G793" t="n">
        <v>1</v>
      </c>
      <c r="H793" s="7" t="n">
        <v>6.9</v>
      </c>
      <c r="I793" s="7" t="n">
        <v>0</v>
      </c>
      <c r="J793" s="7" t="n">
        <v>0</v>
      </c>
      <c r="K793" s="9" t="n">
        <v>0</v>
      </c>
      <c r="L793" s="10" t="n">
        <v>4.1</v>
      </c>
      <c r="M793" s="10" t="n">
        <v>1.43</v>
      </c>
      <c r="N793" t="inlineStr">
        <is>
          <t>1</t>
        </is>
      </c>
      <c r="O793" t="inlineStr">
        <is>
          <t>16</t>
        </is>
      </c>
      <c r="P793" t="inlineStr">
        <is>
          <t xml:space="preserve">15095   </t>
        </is>
      </c>
      <c r="Q793" s="26" t="n">
        <v>6.9</v>
      </c>
      <c r="R793" s="26">
        <f>Q793*G793</f>
        <v/>
      </c>
      <c r="S793" t="n">
        <v>4.09</v>
      </c>
      <c r="T793" s="18">
        <f>1 - V793/S793</f>
        <v/>
      </c>
      <c r="U793" s="18" t="n">
        <v>0</v>
      </c>
      <c r="V793" s="26" t="n">
        <v>4.09</v>
      </c>
      <c r="W793" s="26">
        <f>V793 - L793</f>
        <v/>
      </c>
    </row>
    <row r="794">
      <c r="A794" s="11" t="n">
        <v>46211</v>
      </c>
      <c r="B794" s="1" t="n">
        <v>20066</v>
      </c>
      <c r="C794" s="1" t="inlineStr">
        <is>
          <t>059</t>
        </is>
      </c>
      <c r="D794" s="1" t="inlineStr">
        <is>
          <t xml:space="preserve">17932 </t>
        </is>
      </c>
      <c r="E794" s="1" t="inlineStr">
        <is>
          <t xml:space="preserve">28194770       </t>
        </is>
      </c>
      <c r="F794" s="5" t="inlineStr">
        <is>
          <t>AUTOS DE METAL 3 TEAMSTERZ EN BLISTER</t>
        </is>
      </c>
      <c r="G794" t="n">
        <v>1</v>
      </c>
      <c r="H794" s="7" t="n">
        <v>6.9</v>
      </c>
      <c r="I794" s="7" t="n">
        <v>0</v>
      </c>
      <c r="J794" s="7" t="n">
        <v>0</v>
      </c>
      <c r="K794" s="9" t="n">
        <v>0</v>
      </c>
      <c r="L794" s="10" t="n">
        <v>4.1</v>
      </c>
      <c r="M794" s="10" t="n">
        <v>1.43</v>
      </c>
      <c r="N794" t="inlineStr">
        <is>
          <t>1</t>
        </is>
      </c>
      <c r="O794" t="inlineStr">
        <is>
          <t>16</t>
        </is>
      </c>
      <c r="P794" t="inlineStr">
        <is>
          <t xml:space="preserve">15095   </t>
        </is>
      </c>
      <c r="Q794" s="26" t="n">
        <v>6.9</v>
      </c>
      <c r="R794" s="26">
        <f>Q794*G794</f>
        <v/>
      </c>
      <c r="S794" t="n">
        <v>4.09</v>
      </c>
      <c r="T794" s="18">
        <f>1 - V794/S794</f>
        <v/>
      </c>
      <c r="U794" s="18" t="n">
        <v>0</v>
      </c>
      <c r="V794" s="26" t="n">
        <v>4.09</v>
      </c>
      <c r="W794" s="26">
        <f>V794 - L794</f>
        <v/>
      </c>
    </row>
    <row r="795">
      <c r="A795" s="11" t="n">
        <v>46211</v>
      </c>
      <c r="B795" s="1" t="n">
        <v>20066</v>
      </c>
      <c r="C795" s="1" t="inlineStr">
        <is>
          <t>059</t>
        </is>
      </c>
      <c r="D795" s="1" t="inlineStr">
        <is>
          <t xml:space="preserve">17932 </t>
        </is>
      </c>
      <c r="E795" s="1" t="inlineStr">
        <is>
          <t xml:space="preserve">28194770       </t>
        </is>
      </c>
      <c r="F795" s="5" t="inlineStr">
        <is>
          <t>AUTOS DE METAL 3 TEAMSTERZ EN BLISTER</t>
        </is>
      </c>
      <c r="G795" t="n">
        <v>1</v>
      </c>
      <c r="H795" s="7" t="n">
        <v>6.9</v>
      </c>
      <c r="I795" s="7" t="n">
        <v>0</v>
      </c>
      <c r="J795" s="7" t="n">
        <v>0</v>
      </c>
      <c r="K795" s="9" t="n">
        <v>0</v>
      </c>
      <c r="L795" s="10" t="n">
        <v>4.1</v>
      </c>
      <c r="M795" s="10" t="n">
        <v>1.43</v>
      </c>
      <c r="N795" t="inlineStr">
        <is>
          <t>1</t>
        </is>
      </c>
      <c r="O795" t="inlineStr">
        <is>
          <t>16</t>
        </is>
      </c>
      <c r="P795" t="inlineStr">
        <is>
          <t xml:space="preserve">15095   </t>
        </is>
      </c>
      <c r="Q795" s="26" t="n">
        <v>6.9</v>
      </c>
      <c r="R795" s="26">
        <f>Q795*G795</f>
        <v/>
      </c>
      <c r="S795" t="n">
        <v>4.09</v>
      </c>
      <c r="T795" s="18">
        <f>1 - V795/S795</f>
        <v/>
      </c>
      <c r="U795" s="18" t="n">
        <v>0</v>
      </c>
      <c r="V795" s="26" t="n">
        <v>4.09</v>
      </c>
      <c r="W795" s="26">
        <f>V795 - L795</f>
        <v/>
      </c>
    </row>
    <row r="796">
      <c r="A796" s="11" t="n">
        <v>46211</v>
      </c>
      <c r="B796" s="1" t="n">
        <v>20066</v>
      </c>
      <c r="C796" s="1" t="inlineStr">
        <is>
          <t>059</t>
        </is>
      </c>
      <c r="D796" s="1" t="inlineStr">
        <is>
          <t xml:space="preserve">17932 </t>
        </is>
      </c>
      <c r="E796" s="1" t="inlineStr">
        <is>
          <t xml:space="preserve">28194770       </t>
        </is>
      </c>
      <c r="F796" s="5" t="inlineStr">
        <is>
          <t>AUTOS DE METAL 3 TEAMSTERZ EN BLISTER</t>
        </is>
      </c>
      <c r="G796" t="n">
        <v>1</v>
      </c>
      <c r="H796" s="7" t="n">
        <v>6.9</v>
      </c>
      <c r="I796" s="7" t="n">
        <v>0</v>
      </c>
      <c r="J796" s="7" t="n">
        <v>0</v>
      </c>
      <c r="K796" s="9" t="n">
        <v>0</v>
      </c>
      <c r="L796" s="10" t="n">
        <v>4.1</v>
      </c>
      <c r="M796" s="10" t="n">
        <v>1.43</v>
      </c>
      <c r="N796" t="inlineStr">
        <is>
          <t>1</t>
        </is>
      </c>
      <c r="O796" t="inlineStr">
        <is>
          <t>16</t>
        </is>
      </c>
      <c r="P796" t="inlineStr">
        <is>
          <t xml:space="preserve">15095   </t>
        </is>
      </c>
      <c r="Q796" s="26" t="n">
        <v>6.9</v>
      </c>
      <c r="R796" s="26">
        <f>Q796*G796</f>
        <v/>
      </c>
      <c r="S796" t="n">
        <v>4.09</v>
      </c>
      <c r="T796" s="18">
        <f>1 - V796/S796</f>
        <v/>
      </c>
      <c r="U796" s="18" t="n">
        <v>0</v>
      </c>
      <c r="V796" s="26" t="n">
        <v>4.09</v>
      </c>
      <c r="W796" s="26">
        <f>V796 - L796</f>
        <v/>
      </c>
    </row>
    <row r="797">
      <c r="A797" s="11" t="n">
        <v>46211</v>
      </c>
      <c r="B797" s="1" t="n">
        <v>20066</v>
      </c>
      <c r="C797" s="1" t="inlineStr">
        <is>
          <t>059</t>
        </is>
      </c>
      <c r="D797" s="1" t="inlineStr">
        <is>
          <t xml:space="preserve">17932 </t>
        </is>
      </c>
      <c r="E797" s="1" t="inlineStr">
        <is>
          <t xml:space="preserve">28194770       </t>
        </is>
      </c>
      <c r="F797" s="5" t="inlineStr">
        <is>
          <t>AUTOS DE METAL 3 TEAMSTERZ EN BLISTER</t>
        </is>
      </c>
      <c r="G797" t="n">
        <v>1</v>
      </c>
      <c r="H797" s="7" t="n">
        <v>6.9</v>
      </c>
      <c r="I797" s="7" t="n">
        <v>0</v>
      </c>
      <c r="J797" s="7" t="n">
        <v>0</v>
      </c>
      <c r="K797" s="9" t="n">
        <v>0</v>
      </c>
      <c r="L797" s="10" t="n">
        <v>4.1</v>
      </c>
      <c r="M797" s="10" t="n">
        <v>1.43</v>
      </c>
      <c r="N797" t="inlineStr">
        <is>
          <t>1</t>
        </is>
      </c>
      <c r="O797" t="inlineStr">
        <is>
          <t>16</t>
        </is>
      </c>
      <c r="P797" t="inlineStr">
        <is>
          <t xml:space="preserve">15095   </t>
        </is>
      </c>
      <c r="Q797" s="26" t="n">
        <v>6.9</v>
      </c>
      <c r="R797" s="26">
        <f>Q797*G797</f>
        <v/>
      </c>
      <c r="S797" t="n">
        <v>4.09</v>
      </c>
      <c r="T797" s="18">
        <f>1 - V797/S797</f>
        <v/>
      </c>
      <c r="U797" s="18" t="n">
        <v>0</v>
      </c>
      <c r="V797" s="26" t="n">
        <v>4.09</v>
      </c>
      <c r="W797" s="26">
        <f>V797 - L797</f>
        <v/>
      </c>
    </row>
    <row r="798">
      <c r="A798" s="11" t="n">
        <v>46211</v>
      </c>
      <c r="B798" s="1" t="n">
        <v>20066</v>
      </c>
      <c r="C798" s="1" t="inlineStr">
        <is>
          <t>095</t>
        </is>
      </c>
      <c r="D798" s="1" t="inlineStr">
        <is>
          <t xml:space="preserve">87893 </t>
        </is>
      </c>
      <c r="E798" s="1" t="inlineStr">
        <is>
          <t xml:space="preserve">28194770       </t>
        </is>
      </c>
      <c r="F798" s="5" t="inlineStr">
        <is>
          <t>AUTOS DE METAL 3 TEAMSTERZ EN BLISTER</t>
        </is>
      </c>
      <c r="G798" t="n">
        <v>1</v>
      </c>
      <c r="H798" s="7" t="n">
        <v>6.9</v>
      </c>
      <c r="I798" s="7" t="n">
        <v>0</v>
      </c>
      <c r="J798" s="7" t="n">
        <v>0</v>
      </c>
      <c r="K798" s="9" t="n">
        <v>0</v>
      </c>
      <c r="L798" s="10" t="n">
        <v>4.1</v>
      </c>
      <c r="M798" s="10" t="n">
        <v>1.43</v>
      </c>
      <c r="N798" t="inlineStr">
        <is>
          <t>1</t>
        </is>
      </c>
      <c r="O798" t="inlineStr">
        <is>
          <t>16</t>
        </is>
      </c>
      <c r="P798" t="inlineStr">
        <is>
          <t xml:space="preserve">16249   </t>
        </is>
      </c>
      <c r="Q798" s="26" t="n">
        <v>6.9</v>
      </c>
      <c r="R798" s="26">
        <f>Q798*G798</f>
        <v/>
      </c>
      <c r="S798" t="n">
        <v>4.09</v>
      </c>
      <c r="T798" s="18">
        <f>1 - V798/S798</f>
        <v/>
      </c>
      <c r="U798" s="18" t="n">
        <v>0</v>
      </c>
      <c r="V798" s="26" t="n">
        <v>4.09</v>
      </c>
      <c r="W798" s="26">
        <f>V798 - L798</f>
        <v/>
      </c>
    </row>
    <row r="799">
      <c r="A799" s="11" t="n">
        <v>46211</v>
      </c>
      <c r="B799" s="1" t="n">
        <v>20066</v>
      </c>
      <c r="C799" s="1" t="inlineStr">
        <is>
          <t>804</t>
        </is>
      </c>
      <c r="D799" s="1" t="inlineStr">
        <is>
          <t xml:space="preserve">4092  </t>
        </is>
      </c>
      <c r="E799" s="1" t="inlineStr">
        <is>
          <t xml:space="preserve">28194770       </t>
        </is>
      </c>
      <c r="F799" s="5" t="inlineStr">
        <is>
          <t>AUTOS DE METAL 3 TEAMSTERZ EN BLISTER</t>
        </is>
      </c>
      <c r="G799" t="n">
        <v>1</v>
      </c>
      <c r="H799" s="7" t="n">
        <v>6.9</v>
      </c>
      <c r="I799" s="7" t="n">
        <v>0</v>
      </c>
      <c r="J799" s="7" t="n">
        <v>0</v>
      </c>
      <c r="K799" s="9" t="n">
        <v>0</v>
      </c>
      <c r="L799" s="10" t="n">
        <v>4.1</v>
      </c>
      <c r="M799" s="10" t="n">
        <v>1.43</v>
      </c>
      <c r="N799" t="inlineStr">
        <is>
          <t>1</t>
        </is>
      </c>
      <c r="O799" t="inlineStr">
        <is>
          <t>16</t>
        </is>
      </c>
      <c r="P799" t="inlineStr">
        <is>
          <t xml:space="preserve">247448  </t>
        </is>
      </c>
      <c r="Q799" s="26" t="n">
        <v>6.9</v>
      </c>
      <c r="R799" s="26">
        <f>Q799*G799</f>
        <v/>
      </c>
      <c r="S799" t="n">
        <v>4.09</v>
      </c>
      <c r="T799" s="18">
        <f>1 - V799/S799</f>
        <v/>
      </c>
      <c r="U799" s="18" t="n">
        <v>0</v>
      </c>
      <c r="V799" s="26" t="n">
        <v>4.09</v>
      </c>
      <c r="W799" s="26">
        <f>V799 - L799</f>
        <v/>
      </c>
    </row>
    <row r="800">
      <c r="A800" s="11" t="n">
        <v>46211</v>
      </c>
      <c r="B800" s="1" t="n">
        <v>20074</v>
      </c>
      <c r="C800" s="1" t="inlineStr">
        <is>
          <t>015</t>
        </is>
      </c>
      <c r="D800" s="1" t="inlineStr">
        <is>
          <t>227461</t>
        </is>
      </c>
      <c r="E800" s="1" t="inlineStr">
        <is>
          <t xml:space="preserve">32457103       </t>
        </is>
      </c>
      <c r="F800" s="5" t="inlineStr">
        <is>
          <t>TMZ BEAST MACHINES MONSTER JAWS A FRICCION PACK DE</t>
        </is>
      </c>
      <c r="G800" t="n">
        <v>1</v>
      </c>
      <c r="H800" s="7" t="n">
        <v>37.9</v>
      </c>
      <c r="I800" s="7" t="n">
        <v>0</v>
      </c>
      <c r="J800" s="7" t="n">
        <v>0</v>
      </c>
      <c r="K800" s="9" t="n">
        <v>0</v>
      </c>
      <c r="L800" s="10" t="n">
        <v>22.48</v>
      </c>
      <c r="M800" s="10" t="n">
        <v>1.43</v>
      </c>
      <c r="N800" t="inlineStr">
        <is>
          <t>1</t>
        </is>
      </c>
      <c r="O800" t="inlineStr">
        <is>
          <t>16</t>
        </is>
      </c>
      <c r="P800" t="inlineStr">
        <is>
          <t xml:space="preserve">102135  </t>
        </is>
      </c>
      <c r="Q800" s="26" t="n">
        <v>37.9</v>
      </c>
      <c r="R800" s="26">
        <f>Q800*G800</f>
        <v/>
      </c>
      <c r="S800" t="n">
        <v>22.48</v>
      </c>
      <c r="T800" s="18">
        <f>1 - V800/S800</f>
        <v/>
      </c>
      <c r="U800" s="18" t="n">
        <v>0.1319261213720316</v>
      </c>
      <c r="V800" s="26" t="n">
        <v>16.75101694915254</v>
      </c>
      <c r="W800" s="26">
        <f>V800 - L800</f>
        <v/>
      </c>
    </row>
    <row r="801">
      <c r="A801" s="11" t="n">
        <v>46211</v>
      </c>
      <c r="B801" s="1" t="n">
        <v>20074</v>
      </c>
      <c r="C801" s="1" t="inlineStr">
        <is>
          <t>015</t>
        </is>
      </c>
      <c r="D801" s="1" t="inlineStr">
        <is>
          <t>227528</t>
        </is>
      </c>
      <c r="E801" s="1" t="inlineStr">
        <is>
          <t xml:space="preserve">28194770       </t>
        </is>
      </c>
      <c r="F801" s="5" t="inlineStr">
        <is>
          <t>AUTOS DE METAL 3 TEAMSTERZ EN BLISTER</t>
        </is>
      </c>
      <c r="G801" t="n">
        <v>1</v>
      </c>
      <c r="H801" s="7" t="n">
        <v>6.9</v>
      </c>
      <c r="I801" s="7" t="n">
        <v>0</v>
      </c>
      <c r="J801" s="7" t="n">
        <v>0</v>
      </c>
      <c r="K801" s="9" t="n">
        <v>0</v>
      </c>
      <c r="L801" s="10" t="n">
        <v>4.1</v>
      </c>
      <c r="M801" s="10" t="n">
        <v>1.43</v>
      </c>
      <c r="N801" t="inlineStr">
        <is>
          <t>1</t>
        </is>
      </c>
      <c r="O801" t="inlineStr">
        <is>
          <t xml:space="preserve">3 </t>
        </is>
      </c>
      <c r="P801" t="inlineStr">
        <is>
          <t xml:space="preserve">102135  </t>
        </is>
      </c>
      <c r="Q801" s="26" t="n">
        <v>6.9</v>
      </c>
      <c r="R801" s="26">
        <f>Q801*G801</f>
        <v/>
      </c>
      <c r="S801" t="n">
        <v>4.09</v>
      </c>
      <c r="T801" s="18">
        <f>1 - V801/S801</f>
        <v/>
      </c>
      <c r="U801" s="18" t="n">
        <v>0</v>
      </c>
      <c r="V801" s="26" t="n">
        <v>4.09</v>
      </c>
      <c r="W801" s="26">
        <f>V801 - L801</f>
        <v/>
      </c>
    </row>
    <row r="802">
      <c r="A802" s="11" t="n">
        <v>46211</v>
      </c>
      <c r="B802" s="1" t="n">
        <v>20074</v>
      </c>
      <c r="C802" s="1" t="inlineStr">
        <is>
          <t>048</t>
        </is>
      </c>
      <c r="D802" s="1" t="inlineStr">
        <is>
          <t>144629</t>
        </is>
      </c>
      <c r="E802" s="1" t="inlineStr">
        <is>
          <t xml:space="preserve">30141766       </t>
        </is>
      </c>
      <c r="F802" s="5" t="inlineStr">
        <is>
          <t>TMZ BEAST MACHINES AUTOS DE METAL BLISTER X 1</t>
        </is>
      </c>
      <c r="G802" t="n">
        <v>1</v>
      </c>
      <c r="H802" s="7" t="n">
        <v>7.9</v>
      </c>
      <c r="I802" s="7" t="n">
        <v>0</v>
      </c>
      <c r="J802" s="7" t="n">
        <v>0</v>
      </c>
      <c r="K802" s="9" t="n">
        <v>0</v>
      </c>
      <c r="L802" s="10" t="n">
        <v>4.68</v>
      </c>
      <c r="M802" s="10" t="n">
        <v>1.43</v>
      </c>
      <c r="N802" t="inlineStr">
        <is>
          <t>1</t>
        </is>
      </c>
      <c r="O802" t="inlineStr">
        <is>
          <t xml:space="preserve">2 </t>
        </is>
      </c>
      <c r="P802" t="inlineStr">
        <is>
          <t xml:space="preserve">235827  </t>
        </is>
      </c>
      <c r="Q802" s="26" t="n">
        <v>7.9</v>
      </c>
      <c r="R802" s="26">
        <f>Q802*G802</f>
        <v/>
      </c>
      <c r="S802" t="n">
        <v>4.69</v>
      </c>
      <c r="T802" s="18">
        <f>1 - V802/S802</f>
        <v/>
      </c>
      <c r="U802" s="18" t="n">
        <v>0</v>
      </c>
      <c r="V802" s="26" t="n">
        <v>4.69</v>
      </c>
      <c r="W802" s="26">
        <f>V802 - L802</f>
        <v/>
      </c>
    </row>
    <row r="803">
      <c r="A803" s="11" t="n">
        <v>46211</v>
      </c>
      <c r="B803" s="1" t="n">
        <v>20074</v>
      </c>
      <c r="C803" s="1" t="inlineStr">
        <is>
          <t>048</t>
        </is>
      </c>
      <c r="D803" s="1" t="inlineStr">
        <is>
          <t>144629</t>
        </is>
      </c>
      <c r="E803" s="1" t="inlineStr">
        <is>
          <t xml:space="preserve">30141766       </t>
        </is>
      </c>
      <c r="F803" s="5" t="inlineStr">
        <is>
          <t>TMZ BEAST MACHINES AUTOS DE METAL BLISTER X 1</t>
        </is>
      </c>
      <c r="G803" t="n">
        <v>1</v>
      </c>
      <c r="H803" s="7" t="n">
        <v>7.9</v>
      </c>
      <c r="I803" s="7" t="n">
        <v>0</v>
      </c>
      <c r="J803" s="7" t="n">
        <v>0</v>
      </c>
      <c r="K803" s="9" t="n">
        <v>0</v>
      </c>
      <c r="L803" s="10" t="n">
        <v>4.68</v>
      </c>
      <c r="M803" s="10" t="n">
        <v>1.43</v>
      </c>
      <c r="N803" t="inlineStr">
        <is>
          <t>1</t>
        </is>
      </c>
      <c r="O803" t="inlineStr">
        <is>
          <t xml:space="preserve">2 </t>
        </is>
      </c>
      <c r="P803" t="inlineStr">
        <is>
          <t xml:space="preserve">235827  </t>
        </is>
      </c>
      <c r="Q803" s="26" t="n">
        <v>7.9</v>
      </c>
      <c r="R803" s="26">
        <f>Q803*G803</f>
        <v/>
      </c>
      <c r="S803" t="n">
        <v>4.69</v>
      </c>
      <c r="T803" s="18">
        <f>1 - V803/S803</f>
        <v/>
      </c>
      <c r="U803" s="18" t="n">
        <v>0</v>
      </c>
      <c r="V803" s="26" t="n">
        <v>4.69</v>
      </c>
      <c r="W803" s="26">
        <f>V803 - L803</f>
        <v/>
      </c>
    </row>
    <row r="804">
      <c r="A804" s="11" t="n">
        <v>46211</v>
      </c>
      <c r="B804" s="1" t="n">
        <v>20077</v>
      </c>
      <c r="C804" s="1" t="inlineStr">
        <is>
          <t>013</t>
        </is>
      </c>
      <c r="D804" s="1" t="inlineStr">
        <is>
          <t xml:space="preserve">81969 </t>
        </is>
      </c>
      <c r="E804" s="1" t="inlineStr">
        <is>
          <t xml:space="preserve">28194783       </t>
        </is>
      </c>
      <c r="F804" s="5" t="inlineStr">
        <is>
          <t>SET DE BATALLA INFINITY NADO CON 2 TROMPOS</t>
        </is>
      </c>
      <c r="G804" t="n">
        <v>1</v>
      </c>
      <c r="H804" s="7" t="n">
        <v>159</v>
      </c>
      <c r="I804" s="7" t="n">
        <v>0</v>
      </c>
      <c r="J804" s="7" t="n">
        <v>0</v>
      </c>
      <c r="K804" s="9" t="n">
        <v>0</v>
      </c>
      <c r="L804" s="10" t="n">
        <v>94.33</v>
      </c>
      <c r="M804" s="10" t="n">
        <v>1.43</v>
      </c>
      <c r="N804" t="inlineStr">
        <is>
          <t>1</t>
        </is>
      </c>
      <c r="O804" t="inlineStr">
        <is>
          <t>16</t>
        </is>
      </c>
      <c r="P804" t="inlineStr">
        <is>
          <t xml:space="preserve">62762   </t>
        </is>
      </c>
      <c r="Q804" s="26" t="n">
        <v>159</v>
      </c>
      <c r="R804" s="26">
        <f>Q804*G804</f>
        <v/>
      </c>
      <c r="S804" t="n">
        <v>94.31999999999999</v>
      </c>
      <c r="T804" s="18">
        <f>1 - V804/S804</f>
        <v/>
      </c>
      <c r="U804" s="18" t="n">
        <v>0.1886792452830188</v>
      </c>
      <c r="V804" s="26" t="n">
        <v>81.99152542372882</v>
      </c>
      <c r="W804" s="26">
        <f>V804 - L804</f>
        <v/>
      </c>
    </row>
    <row r="805">
      <c r="A805" s="11" t="n">
        <v>46211</v>
      </c>
      <c r="B805" s="1" t="n">
        <v>20077</v>
      </c>
      <c r="C805" s="1" t="inlineStr">
        <is>
          <t>026</t>
        </is>
      </c>
      <c r="D805" s="1" t="inlineStr">
        <is>
          <t>107643</t>
        </is>
      </c>
      <c r="E805" s="1" t="inlineStr">
        <is>
          <t xml:space="preserve">29235700       </t>
        </is>
      </c>
      <c r="F805" s="5" t="inlineStr">
        <is>
          <t>HOT WHEELS CASE METALICO PARA GUARDAR 18 CARRITOS</t>
        </is>
      </c>
      <c r="G805" t="n">
        <v>1</v>
      </c>
      <c r="H805" s="7" t="n">
        <v>49.9</v>
      </c>
      <c r="I805" s="7" t="n">
        <v>0</v>
      </c>
      <c r="J805" s="7" t="n">
        <v>0</v>
      </c>
      <c r="K805" s="9" t="n">
        <v>0</v>
      </c>
      <c r="L805" s="10" t="n">
        <v>29.6</v>
      </c>
      <c r="M805" s="10" t="n">
        <v>1.43</v>
      </c>
      <c r="N805" t="inlineStr">
        <is>
          <t>1</t>
        </is>
      </c>
      <c r="O805" t="inlineStr">
        <is>
          <t>16</t>
        </is>
      </c>
      <c r="P805" t="inlineStr">
        <is>
          <t xml:space="preserve">43639   </t>
        </is>
      </c>
      <c r="Q805" s="26" t="n">
        <v>49.90000000000001</v>
      </c>
      <c r="R805" s="26">
        <f>Q805*G805</f>
        <v/>
      </c>
      <c r="S805" t="n">
        <v>29.6</v>
      </c>
      <c r="T805" s="18">
        <f>1 - V805/S805</f>
        <v/>
      </c>
      <c r="U805" s="18" t="n">
        <v>0</v>
      </c>
      <c r="V805" s="26" t="n">
        <v>29.6</v>
      </c>
      <c r="W805" s="26">
        <f>V805 - L805</f>
        <v/>
      </c>
    </row>
    <row r="806">
      <c r="A806" s="11" t="n">
        <v>46211</v>
      </c>
      <c r="B806" s="1" t="n">
        <v>20077</v>
      </c>
      <c r="C806" s="1" t="inlineStr">
        <is>
          <t>029</t>
        </is>
      </c>
      <c r="D806" s="1" t="inlineStr">
        <is>
          <t>155794</t>
        </is>
      </c>
      <c r="E806" s="1" t="inlineStr">
        <is>
          <t xml:space="preserve">28194770       </t>
        </is>
      </c>
      <c r="F806" s="5" t="inlineStr">
        <is>
          <t>AUTOS DE METAL 3 TEAMSTERZ EN BLISTER</t>
        </is>
      </c>
      <c r="G806" t="n">
        <v>1</v>
      </c>
      <c r="H806" s="7" t="n">
        <v>6.9</v>
      </c>
      <c r="I806" s="7" t="n">
        <v>0</v>
      </c>
      <c r="J806" s="7" t="n">
        <v>0</v>
      </c>
      <c r="K806" s="9" t="n">
        <v>0</v>
      </c>
      <c r="L806" s="10" t="n">
        <v>4.1</v>
      </c>
      <c r="M806" s="10" t="n">
        <v>1.43</v>
      </c>
      <c r="N806" t="inlineStr">
        <is>
          <t>1</t>
        </is>
      </c>
      <c r="O806" t="inlineStr">
        <is>
          <t>16</t>
        </is>
      </c>
      <c r="P806" t="inlineStr">
        <is>
          <t xml:space="preserve">246990  </t>
        </is>
      </c>
      <c r="Q806" s="26" t="n">
        <v>6.9</v>
      </c>
      <c r="R806" s="26">
        <f>Q806*G806</f>
        <v/>
      </c>
      <c r="S806" t="n">
        <v>4.09</v>
      </c>
      <c r="T806" s="18">
        <f>1 - V806/S806</f>
        <v/>
      </c>
      <c r="U806" s="18" t="n">
        <v>0</v>
      </c>
      <c r="V806" s="26" t="n">
        <v>4.09</v>
      </c>
      <c r="W806" s="26">
        <f>V806 - L806</f>
        <v/>
      </c>
    </row>
    <row r="807">
      <c r="A807" s="11" t="n">
        <v>46211</v>
      </c>
      <c r="B807" s="1" t="n">
        <v>20077</v>
      </c>
      <c r="C807" s="1" t="inlineStr">
        <is>
          <t>030</t>
        </is>
      </c>
      <c r="D807" s="1" t="inlineStr">
        <is>
          <t xml:space="preserve">40325 </t>
        </is>
      </c>
      <c r="E807" s="1" t="inlineStr">
        <is>
          <t xml:space="preserve">30141766       </t>
        </is>
      </c>
      <c r="F807" s="5" t="inlineStr">
        <is>
          <t>TMZ BEAST MACHINES AUTOS DE METAL BLISTER X 1</t>
        </is>
      </c>
      <c r="G807" t="n">
        <v>1</v>
      </c>
      <c r="H807" s="7" t="n">
        <v>7.9</v>
      </c>
      <c r="I807" s="7" t="n">
        <v>0</v>
      </c>
      <c r="J807" s="7" t="n">
        <v>0</v>
      </c>
      <c r="K807" s="9" t="n">
        <v>0</v>
      </c>
      <c r="L807" s="10" t="n">
        <v>4.68</v>
      </c>
      <c r="M807" s="10" t="n">
        <v>1.43</v>
      </c>
      <c r="N807" t="inlineStr">
        <is>
          <t>1</t>
        </is>
      </c>
      <c r="O807" t="inlineStr">
        <is>
          <t>16</t>
        </is>
      </c>
      <c r="P807" t="inlineStr">
        <is>
          <t xml:space="preserve">50264   </t>
        </is>
      </c>
      <c r="Q807" s="26" t="n">
        <v>7.9</v>
      </c>
      <c r="R807" s="26">
        <f>Q807*G807</f>
        <v/>
      </c>
      <c r="S807" t="n">
        <v>4.69</v>
      </c>
      <c r="T807" s="18">
        <f>1 - V807/S807</f>
        <v/>
      </c>
      <c r="U807" s="18" t="n">
        <v>0</v>
      </c>
      <c r="V807" s="26" t="n">
        <v>4.69</v>
      </c>
      <c r="W807" s="26">
        <f>V807 - L807</f>
        <v/>
      </c>
    </row>
    <row r="808">
      <c r="A808" s="11" t="n">
        <v>46211</v>
      </c>
      <c r="B808" s="1" t="n">
        <v>20077</v>
      </c>
      <c r="C808" s="1" t="inlineStr">
        <is>
          <t>031</t>
        </is>
      </c>
      <c r="D808" s="1" t="inlineStr">
        <is>
          <t>186257</t>
        </is>
      </c>
      <c r="E808" s="1" t="inlineStr">
        <is>
          <t xml:space="preserve">28194770       </t>
        </is>
      </c>
      <c r="F808" s="5" t="inlineStr">
        <is>
          <t>AUTOS DE METAL 3 TEAMSTERZ EN BLISTER</t>
        </is>
      </c>
      <c r="G808" t="n">
        <v>1</v>
      </c>
      <c r="H808" s="7" t="n">
        <v>6.9</v>
      </c>
      <c r="I808" s="7" t="n">
        <v>0</v>
      </c>
      <c r="J808" s="7" t="n">
        <v>0</v>
      </c>
      <c r="K808" s="9" t="n">
        <v>0</v>
      </c>
      <c r="L808" s="10" t="n">
        <v>4.1</v>
      </c>
      <c r="M808" s="10" t="n">
        <v>1.43</v>
      </c>
      <c r="N808" t="inlineStr">
        <is>
          <t>1</t>
        </is>
      </c>
      <c r="O808" t="inlineStr">
        <is>
          <t xml:space="preserve">2 </t>
        </is>
      </c>
      <c r="P808" t="inlineStr">
        <is>
          <t xml:space="preserve">102100  </t>
        </is>
      </c>
      <c r="Q808" s="26" t="n">
        <v>6.9</v>
      </c>
      <c r="R808" s="26">
        <f>Q808*G808</f>
        <v/>
      </c>
      <c r="S808" t="n">
        <v>4.09</v>
      </c>
      <c r="T808" s="18">
        <f>1 - V808/S808</f>
        <v/>
      </c>
      <c r="U808" s="18" t="n">
        <v>0</v>
      </c>
      <c r="V808" s="26" t="n">
        <v>4.09</v>
      </c>
      <c r="W808" s="26">
        <f>V808 - L808</f>
        <v/>
      </c>
    </row>
    <row r="809">
      <c r="A809" s="11" t="n">
        <v>46211</v>
      </c>
      <c r="B809" s="1" t="n">
        <v>20077</v>
      </c>
      <c r="C809" s="1" t="inlineStr">
        <is>
          <t>031</t>
        </is>
      </c>
      <c r="D809" s="1" t="inlineStr">
        <is>
          <t>186257</t>
        </is>
      </c>
      <c r="E809" s="1" t="inlineStr">
        <is>
          <t xml:space="preserve">28194770       </t>
        </is>
      </c>
      <c r="F809" s="5" t="inlineStr">
        <is>
          <t>AUTOS DE METAL 3 TEAMSTERZ EN BLISTER</t>
        </is>
      </c>
      <c r="G809" t="n">
        <v>1</v>
      </c>
      <c r="H809" s="7" t="n">
        <v>6.9</v>
      </c>
      <c r="I809" s="7" t="n">
        <v>0</v>
      </c>
      <c r="J809" s="7" t="n">
        <v>0</v>
      </c>
      <c r="K809" s="9" t="n">
        <v>0</v>
      </c>
      <c r="L809" s="10" t="n">
        <v>4.1</v>
      </c>
      <c r="M809" s="10" t="n">
        <v>1.43</v>
      </c>
      <c r="N809" t="inlineStr">
        <is>
          <t>1</t>
        </is>
      </c>
      <c r="O809" t="inlineStr">
        <is>
          <t xml:space="preserve">2 </t>
        </is>
      </c>
      <c r="P809" t="inlineStr">
        <is>
          <t xml:space="preserve">102100  </t>
        </is>
      </c>
      <c r="Q809" s="26" t="n">
        <v>6.9</v>
      </c>
      <c r="R809" s="26">
        <f>Q809*G809</f>
        <v/>
      </c>
      <c r="S809" t="n">
        <v>4.09</v>
      </c>
      <c r="T809" s="18">
        <f>1 - V809/S809</f>
        <v/>
      </c>
      <c r="U809" s="18" t="n">
        <v>0</v>
      </c>
      <c r="V809" s="26" t="n">
        <v>4.09</v>
      </c>
      <c r="W809" s="26">
        <f>V809 - L809</f>
        <v/>
      </c>
    </row>
    <row r="810">
      <c r="A810" s="11" t="n">
        <v>46211</v>
      </c>
      <c r="B810" s="1" t="n">
        <v>20077</v>
      </c>
      <c r="C810" s="1" t="inlineStr">
        <is>
          <t>037</t>
        </is>
      </c>
      <c r="D810" s="1" t="inlineStr">
        <is>
          <t xml:space="preserve">62002 </t>
        </is>
      </c>
      <c r="E810" s="1" t="inlineStr">
        <is>
          <t xml:space="preserve">32457099       </t>
        </is>
      </c>
      <c r="F810" s="5" t="inlineStr">
        <is>
          <t>TMZ BEAST MACHINES MONSTER JAWS A FRICCION BLISTER</t>
        </is>
      </c>
      <c r="G810" t="n">
        <v>1</v>
      </c>
      <c r="H810" s="7" t="n">
        <v>19.9</v>
      </c>
      <c r="I810" s="7" t="n">
        <v>0</v>
      </c>
      <c r="J810" s="7" t="n">
        <v>0</v>
      </c>
      <c r="K810" s="9" t="n">
        <v>0</v>
      </c>
      <c r="L810" s="10" t="n">
        <v>11.8</v>
      </c>
      <c r="M810" s="10" t="n">
        <v>1.43</v>
      </c>
      <c r="N810" t="inlineStr">
        <is>
          <t>1</t>
        </is>
      </c>
      <c r="O810" t="inlineStr">
        <is>
          <t xml:space="preserve">3 </t>
        </is>
      </c>
      <c r="P810" t="inlineStr">
        <is>
          <t xml:space="preserve">250382  </t>
        </is>
      </c>
      <c r="Q810" s="26" t="n">
        <v>19.9</v>
      </c>
      <c r="R810" s="26">
        <f>Q810*G810</f>
        <v/>
      </c>
      <c r="S810" t="n">
        <v>11.81</v>
      </c>
      <c r="T810" s="18">
        <f>1 - V810/S810</f>
        <v/>
      </c>
      <c r="U810" s="18" t="n">
        <v>0.1005025125628141</v>
      </c>
      <c r="V810" s="26" t="n">
        <v>8.417118644067797</v>
      </c>
      <c r="W810" s="26">
        <f>V810 - L810</f>
        <v/>
      </c>
    </row>
    <row r="811">
      <c r="A811" s="11" t="n">
        <v>46211</v>
      </c>
      <c r="B811" s="1" t="n">
        <v>20077</v>
      </c>
      <c r="C811" s="1" t="inlineStr">
        <is>
          <t>037</t>
        </is>
      </c>
      <c r="D811" s="1" t="inlineStr">
        <is>
          <t xml:space="preserve">62002 </t>
        </is>
      </c>
      <c r="E811" s="1" t="inlineStr">
        <is>
          <t xml:space="preserve">32457099       </t>
        </is>
      </c>
      <c r="F811" s="5" t="inlineStr">
        <is>
          <t>TMZ BEAST MACHINES MONSTER JAWS A FRICCION BLISTER</t>
        </is>
      </c>
      <c r="G811" t="n">
        <v>1</v>
      </c>
      <c r="H811" s="7" t="n">
        <v>19.9</v>
      </c>
      <c r="I811" s="7" t="n">
        <v>0</v>
      </c>
      <c r="J811" s="7" t="n">
        <v>0</v>
      </c>
      <c r="K811" s="9" t="n">
        <v>0</v>
      </c>
      <c r="L811" s="10" t="n">
        <v>11.8</v>
      </c>
      <c r="M811" s="10" t="n">
        <v>1.43</v>
      </c>
      <c r="N811" t="inlineStr">
        <is>
          <t>1</t>
        </is>
      </c>
      <c r="O811" t="inlineStr">
        <is>
          <t xml:space="preserve">3 </t>
        </is>
      </c>
      <c r="P811" t="inlineStr">
        <is>
          <t xml:space="preserve">250382  </t>
        </is>
      </c>
      <c r="Q811" s="26" t="n">
        <v>19.9</v>
      </c>
      <c r="R811" s="26">
        <f>Q811*G811</f>
        <v/>
      </c>
      <c r="S811" t="n">
        <v>11.81</v>
      </c>
      <c r="T811" s="18">
        <f>1 - V811/S811</f>
        <v/>
      </c>
      <c r="U811" s="18" t="n">
        <v>0.1005025125628141</v>
      </c>
      <c r="V811" s="26" t="n">
        <v>8.417118644067797</v>
      </c>
      <c r="W811" s="26">
        <f>V811 - L811</f>
        <v/>
      </c>
    </row>
    <row r="812">
      <c r="A812" s="11" t="n">
        <v>46211</v>
      </c>
      <c r="B812" s="1" t="n">
        <v>20077</v>
      </c>
      <c r="C812" s="1" t="inlineStr">
        <is>
          <t>037</t>
        </is>
      </c>
      <c r="D812" s="1" t="inlineStr">
        <is>
          <t xml:space="preserve">62002 </t>
        </is>
      </c>
      <c r="E812" s="1" t="inlineStr">
        <is>
          <t xml:space="preserve">32457099       </t>
        </is>
      </c>
      <c r="F812" s="5" t="inlineStr">
        <is>
          <t>TMZ BEAST MACHINES MONSTER JAWS A FRICCION BLISTER</t>
        </is>
      </c>
      <c r="G812" t="n">
        <v>1</v>
      </c>
      <c r="H812" s="7" t="n">
        <v>19.9</v>
      </c>
      <c r="I812" s="7" t="n">
        <v>0</v>
      </c>
      <c r="J812" s="7" t="n">
        <v>0</v>
      </c>
      <c r="K812" s="9" t="n">
        <v>0</v>
      </c>
      <c r="L812" s="10" t="n">
        <v>11.8</v>
      </c>
      <c r="M812" s="10" t="n">
        <v>1.43</v>
      </c>
      <c r="N812" t="inlineStr">
        <is>
          <t>1</t>
        </is>
      </c>
      <c r="O812" t="inlineStr">
        <is>
          <t xml:space="preserve">3 </t>
        </is>
      </c>
      <c r="P812" t="inlineStr">
        <is>
          <t xml:space="preserve">250382  </t>
        </is>
      </c>
      <c r="Q812" s="26" t="n">
        <v>19.9</v>
      </c>
      <c r="R812" s="26">
        <f>Q812*G812</f>
        <v/>
      </c>
      <c r="S812" t="n">
        <v>11.81</v>
      </c>
      <c r="T812" s="18">
        <f>1 - V812/S812</f>
        <v/>
      </c>
      <c r="U812" s="18" t="n">
        <v>0.1005025125628141</v>
      </c>
      <c r="V812" s="26" t="n">
        <v>8.417118644067797</v>
      </c>
      <c r="W812" s="26">
        <f>V812 - L812</f>
        <v/>
      </c>
    </row>
    <row r="813">
      <c r="A813" s="11" t="n">
        <v>46211</v>
      </c>
      <c r="B813" s="1" t="n">
        <v>20086</v>
      </c>
      <c r="C813" s="1" t="inlineStr">
        <is>
          <t>015</t>
        </is>
      </c>
      <c r="D813" s="1" t="inlineStr">
        <is>
          <t xml:space="preserve">3453  </t>
        </is>
      </c>
      <c r="E813" s="1" t="inlineStr">
        <is>
          <t xml:space="preserve">28194770       </t>
        </is>
      </c>
      <c r="F813" s="5" t="inlineStr">
        <is>
          <t>AUTOS DE METAL 3 TEAMSTERZ EN BLISTER</t>
        </is>
      </c>
      <c r="G813" t="n">
        <v>1</v>
      </c>
      <c r="H813" s="7" t="n">
        <v>6.9</v>
      </c>
      <c r="I813" s="7" t="n">
        <v>0</v>
      </c>
      <c r="J813" s="7" t="n">
        <v>0</v>
      </c>
      <c r="K813" s="9" t="n">
        <v>0</v>
      </c>
      <c r="L813" s="10" t="n">
        <v>4.1</v>
      </c>
      <c r="M813" s="10" t="n">
        <v>1.43</v>
      </c>
      <c r="N813" t="inlineStr">
        <is>
          <t>1</t>
        </is>
      </c>
      <c r="O813" t="inlineStr">
        <is>
          <t xml:space="preserve">2 </t>
        </is>
      </c>
      <c r="P813" t="inlineStr">
        <is>
          <t xml:space="preserve">248983  </t>
        </is>
      </c>
      <c r="Q813" s="26" t="n">
        <v>6.9</v>
      </c>
      <c r="R813" s="26">
        <f>Q813*G813</f>
        <v/>
      </c>
      <c r="S813" t="n">
        <v>4.09</v>
      </c>
      <c r="T813" s="18">
        <f>1 - V813/S813</f>
        <v/>
      </c>
      <c r="U813" s="18" t="n">
        <v>0</v>
      </c>
      <c r="V813" s="26" t="n">
        <v>4.09</v>
      </c>
      <c r="W813" s="26">
        <f>V813 - L813</f>
        <v/>
      </c>
    </row>
    <row r="814">
      <c r="A814" s="11" t="n">
        <v>46211</v>
      </c>
      <c r="B814" s="1" t="n">
        <v>20088</v>
      </c>
      <c r="C814" s="1" t="inlineStr">
        <is>
          <t>034</t>
        </is>
      </c>
      <c r="D814" s="1" t="inlineStr">
        <is>
          <t xml:space="preserve">15717 </t>
        </is>
      </c>
      <c r="E814" s="1" t="inlineStr">
        <is>
          <t xml:space="preserve">29854052       </t>
        </is>
      </c>
      <c r="F814" s="5" t="inlineStr">
        <is>
          <t>PLAYSET CAMBIA DE COLOR CROC BITE</t>
        </is>
      </c>
      <c r="G814" t="n">
        <v>1</v>
      </c>
      <c r="H814" s="7" t="n">
        <v>79.90000000000001</v>
      </c>
      <c r="I814" s="7" t="n">
        <v>0</v>
      </c>
      <c r="J814" s="7" t="n">
        <v>0</v>
      </c>
      <c r="K814" s="9" t="n">
        <v>0</v>
      </c>
      <c r="L814" s="10" t="n">
        <v>47.4</v>
      </c>
      <c r="M814" s="10" t="n">
        <v>1.43</v>
      </c>
      <c r="N814" t="inlineStr">
        <is>
          <t>1</t>
        </is>
      </c>
      <c r="O814" t="inlineStr">
        <is>
          <t xml:space="preserve">2 </t>
        </is>
      </c>
      <c r="P814" t="inlineStr">
        <is>
          <t xml:space="preserve">58549   </t>
        </is>
      </c>
      <c r="Q814" s="26" t="n">
        <v>79.90000000000001</v>
      </c>
      <c r="R814" s="26">
        <f>Q814*G814</f>
        <v/>
      </c>
      <c r="S814" t="n">
        <v>47.4</v>
      </c>
      <c r="T814" s="18">
        <f>1 - V814/S814</f>
        <v/>
      </c>
      <c r="U814" s="18" t="n">
        <v>0</v>
      </c>
      <c r="V814" s="26" t="n">
        <v>47.4</v>
      </c>
      <c r="W814" s="26">
        <f>V814 - L814</f>
        <v/>
      </c>
    </row>
    <row r="815">
      <c r="A815" s="11" t="n">
        <v>46211</v>
      </c>
      <c r="B815" s="1" t="n">
        <v>20088</v>
      </c>
      <c r="C815" s="1" t="inlineStr">
        <is>
          <t>034</t>
        </is>
      </c>
      <c r="D815" s="1" t="inlineStr">
        <is>
          <t xml:space="preserve">15717 </t>
        </is>
      </c>
      <c r="E815" s="1" t="inlineStr">
        <is>
          <t xml:space="preserve">31754676       </t>
        </is>
      </c>
      <c r="F815" s="5" t="inlineStr">
        <is>
          <t>INFINITY NADO SERIE 6 STD PACK LANZ ESPAD ANILLO M</t>
        </is>
      </c>
      <c r="G815" t="n">
        <v>1</v>
      </c>
      <c r="H815" s="7" t="n">
        <v>59.9</v>
      </c>
      <c r="I815" s="7" t="n">
        <v>0</v>
      </c>
      <c r="J815" s="7" t="n">
        <v>0</v>
      </c>
      <c r="K815" s="9" t="n">
        <v>0</v>
      </c>
      <c r="L815" s="10" t="n">
        <v>35.53</v>
      </c>
      <c r="M815" s="10" t="n">
        <v>1.43</v>
      </c>
      <c r="N815" t="inlineStr">
        <is>
          <t>1</t>
        </is>
      </c>
      <c r="O815" t="inlineStr">
        <is>
          <t xml:space="preserve">2 </t>
        </is>
      </c>
      <c r="P815" t="inlineStr">
        <is>
          <t xml:space="preserve">58549   </t>
        </is>
      </c>
      <c r="Q815" s="26" t="n">
        <v>79.90000000000001</v>
      </c>
      <c r="R815" s="26">
        <f>Q815*G815</f>
        <v/>
      </c>
      <c r="S815" t="n">
        <v>47.4</v>
      </c>
      <c r="T815" s="18">
        <f>1 - V815/S815</f>
        <v/>
      </c>
      <c r="U815" s="18" t="n">
        <v>0.2503128911138924</v>
      </c>
      <c r="V815" s="26" t="n">
        <v>38.07203389830509</v>
      </c>
      <c r="W815" s="26">
        <f>V815 - L815</f>
        <v/>
      </c>
    </row>
    <row r="816">
      <c r="A816" s="11" t="n">
        <v>46211</v>
      </c>
      <c r="B816" s="1" t="n">
        <v>20089</v>
      </c>
      <c r="C816" s="1" t="inlineStr">
        <is>
          <t>025</t>
        </is>
      </c>
      <c r="D816" s="1" t="inlineStr">
        <is>
          <t>121406</t>
        </is>
      </c>
      <c r="E816" s="1" t="inlineStr">
        <is>
          <t xml:space="preserve">30141766       </t>
        </is>
      </c>
      <c r="F816" s="5" t="inlineStr">
        <is>
          <t>TMZ BEAST MACHINES AUTOS DE METAL BLISTER X 1</t>
        </is>
      </c>
      <c r="G816" t="n">
        <v>1</v>
      </c>
      <c r="H816" s="7" t="n">
        <v>7.9</v>
      </c>
      <c r="I816" s="7" t="n">
        <v>0</v>
      </c>
      <c r="J816" s="7" t="n">
        <v>0</v>
      </c>
      <c r="K816" s="9" t="n">
        <v>0</v>
      </c>
      <c r="L816" s="10" t="n">
        <v>4.68</v>
      </c>
      <c r="M816" s="10" t="n">
        <v>1.43</v>
      </c>
      <c r="N816" t="inlineStr">
        <is>
          <t>1</t>
        </is>
      </c>
      <c r="O816" t="inlineStr">
        <is>
          <t>16</t>
        </is>
      </c>
      <c r="P816" t="inlineStr">
        <is>
          <t xml:space="preserve">82992   </t>
        </is>
      </c>
      <c r="Q816" s="26" t="n">
        <v>7.9</v>
      </c>
      <c r="R816" s="26">
        <f>Q816*G816</f>
        <v/>
      </c>
      <c r="S816" t="n">
        <v>4.69</v>
      </c>
      <c r="T816" s="18">
        <f>1 - V816/S816</f>
        <v/>
      </c>
      <c r="U816" s="18" t="n">
        <v>0</v>
      </c>
      <c r="V816" s="26" t="n">
        <v>4.69</v>
      </c>
      <c r="W816" s="26">
        <f>V816 - L816</f>
        <v/>
      </c>
    </row>
    <row r="817">
      <c r="A817" s="11" t="n">
        <v>46211</v>
      </c>
      <c r="B817" s="1" t="n">
        <v>20089</v>
      </c>
      <c r="C817" s="1" t="inlineStr">
        <is>
          <t>025</t>
        </is>
      </c>
      <c r="D817" s="1" t="inlineStr">
        <is>
          <t>121406</t>
        </is>
      </c>
      <c r="E817" s="1" t="inlineStr">
        <is>
          <t xml:space="preserve">30141766       </t>
        </is>
      </c>
      <c r="F817" s="5" t="inlineStr">
        <is>
          <t>TMZ BEAST MACHINES AUTOS DE METAL BLISTER X 1</t>
        </is>
      </c>
      <c r="G817" t="n">
        <v>1</v>
      </c>
      <c r="H817" s="7" t="n">
        <v>7.9</v>
      </c>
      <c r="I817" s="7" t="n">
        <v>0</v>
      </c>
      <c r="J817" s="7" t="n">
        <v>0</v>
      </c>
      <c r="K817" s="9" t="n">
        <v>0</v>
      </c>
      <c r="L817" s="10" t="n">
        <v>4.68</v>
      </c>
      <c r="M817" s="10" t="n">
        <v>1.43</v>
      </c>
      <c r="N817" t="inlineStr">
        <is>
          <t>1</t>
        </is>
      </c>
      <c r="O817" t="inlineStr">
        <is>
          <t>16</t>
        </is>
      </c>
      <c r="P817" t="inlineStr">
        <is>
          <t xml:space="preserve">82992   </t>
        </is>
      </c>
      <c r="Q817" s="26" t="n">
        <v>7.9</v>
      </c>
      <c r="R817" s="26">
        <f>Q817*G817</f>
        <v/>
      </c>
      <c r="S817" t="n">
        <v>4.69</v>
      </c>
      <c r="T817" s="18">
        <f>1 - V817/S817</f>
        <v/>
      </c>
      <c r="U817" s="18" t="n">
        <v>0</v>
      </c>
      <c r="V817" s="26" t="n">
        <v>4.69</v>
      </c>
      <c r="W817" s="26">
        <f>V817 - L817</f>
        <v/>
      </c>
    </row>
    <row r="818">
      <c r="A818" s="11" t="n">
        <v>46211</v>
      </c>
      <c r="B818" s="1" t="n">
        <v>20089</v>
      </c>
      <c r="C818" s="1" t="inlineStr">
        <is>
          <t>025</t>
        </is>
      </c>
      <c r="D818" s="1" t="inlineStr">
        <is>
          <t>121406</t>
        </is>
      </c>
      <c r="E818" s="1" t="inlineStr">
        <is>
          <t xml:space="preserve">30141766       </t>
        </is>
      </c>
      <c r="F818" s="5" t="inlineStr">
        <is>
          <t>TMZ BEAST MACHINES AUTOS DE METAL BLISTER X 1</t>
        </is>
      </c>
      <c r="G818" t="n">
        <v>1</v>
      </c>
      <c r="H818" s="7" t="n">
        <v>7.9</v>
      </c>
      <c r="I818" s="7" t="n">
        <v>0</v>
      </c>
      <c r="J818" s="7" t="n">
        <v>0</v>
      </c>
      <c r="K818" s="9" t="n">
        <v>0</v>
      </c>
      <c r="L818" s="10" t="n">
        <v>4.68</v>
      </c>
      <c r="M818" s="10" t="n">
        <v>1.43</v>
      </c>
      <c r="N818" t="inlineStr">
        <is>
          <t>1</t>
        </is>
      </c>
      <c r="O818" t="inlineStr">
        <is>
          <t>16</t>
        </is>
      </c>
      <c r="P818" t="inlineStr">
        <is>
          <t xml:space="preserve">82992   </t>
        </is>
      </c>
      <c r="Q818" s="26" t="n">
        <v>7.9</v>
      </c>
      <c r="R818" s="26">
        <f>Q818*G818</f>
        <v/>
      </c>
      <c r="S818" t="n">
        <v>4.69</v>
      </c>
      <c r="T818" s="18">
        <f>1 - V818/S818</f>
        <v/>
      </c>
      <c r="U818" s="18" t="n">
        <v>0</v>
      </c>
      <c r="V818" s="26" t="n">
        <v>4.69</v>
      </c>
      <c r="W818" s="26">
        <f>V818 - L818</f>
        <v/>
      </c>
    </row>
    <row r="819">
      <c r="A819" s="11" t="n">
        <v>46211</v>
      </c>
      <c r="B819" s="1" t="n">
        <v>20089</v>
      </c>
      <c r="C819" s="1" t="inlineStr">
        <is>
          <t>025</t>
        </is>
      </c>
      <c r="D819" s="1" t="inlineStr">
        <is>
          <t>121406</t>
        </is>
      </c>
      <c r="E819" s="1" t="inlineStr">
        <is>
          <t xml:space="preserve">30141766       </t>
        </is>
      </c>
      <c r="F819" s="5" t="inlineStr">
        <is>
          <t>TMZ BEAST MACHINES AUTOS DE METAL BLISTER X 1</t>
        </is>
      </c>
      <c r="G819" t="n">
        <v>1</v>
      </c>
      <c r="H819" s="7" t="n">
        <v>7.9</v>
      </c>
      <c r="I819" s="7" t="n">
        <v>0</v>
      </c>
      <c r="J819" s="7" t="n">
        <v>0</v>
      </c>
      <c r="K819" s="9" t="n">
        <v>0</v>
      </c>
      <c r="L819" s="10" t="n">
        <v>4.68</v>
      </c>
      <c r="M819" s="10" t="n">
        <v>1.43</v>
      </c>
      <c r="N819" t="inlineStr">
        <is>
          <t>1</t>
        </is>
      </c>
      <c r="O819" t="inlineStr">
        <is>
          <t>16</t>
        </is>
      </c>
      <c r="P819" t="inlineStr">
        <is>
          <t xml:space="preserve">82992   </t>
        </is>
      </c>
      <c r="Q819" s="26" t="n">
        <v>7.9</v>
      </c>
      <c r="R819" s="26">
        <f>Q819*G819</f>
        <v/>
      </c>
      <c r="S819" t="n">
        <v>4.69</v>
      </c>
      <c r="T819" s="18">
        <f>1 - V819/S819</f>
        <v/>
      </c>
      <c r="U819" s="18" t="n">
        <v>0</v>
      </c>
      <c r="V819" s="26" t="n">
        <v>4.69</v>
      </c>
      <c r="W819" s="26">
        <f>V819 - L819</f>
        <v/>
      </c>
    </row>
    <row r="820">
      <c r="A820" s="11" t="n">
        <v>46211</v>
      </c>
      <c r="B820" s="1" t="n">
        <v>20089</v>
      </c>
      <c r="C820" s="1" t="inlineStr">
        <is>
          <t>025</t>
        </is>
      </c>
      <c r="D820" s="1" t="inlineStr">
        <is>
          <t>121406</t>
        </is>
      </c>
      <c r="E820" s="1" t="inlineStr">
        <is>
          <t xml:space="preserve">30141766       </t>
        </is>
      </c>
      <c r="F820" s="5" t="inlineStr">
        <is>
          <t>TMZ BEAST MACHINES AUTOS DE METAL BLISTER X 1</t>
        </is>
      </c>
      <c r="G820" t="n">
        <v>1</v>
      </c>
      <c r="H820" s="7" t="n">
        <v>7.9</v>
      </c>
      <c r="I820" s="7" t="n">
        <v>0</v>
      </c>
      <c r="J820" s="7" t="n">
        <v>0</v>
      </c>
      <c r="K820" s="9" t="n">
        <v>0</v>
      </c>
      <c r="L820" s="10" t="n">
        <v>4.68</v>
      </c>
      <c r="M820" s="10" t="n">
        <v>1.43</v>
      </c>
      <c r="N820" t="inlineStr">
        <is>
          <t>1</t>
        </is>
      </c>
      <c r="O820" t="inlineStr">
        <is>
          <t>16</t>
        </is>
      </c>
      <c r="P820" t="inlineStr">
        <is>
          <t xml:space="preserve">82992   </t>
        </is>
      </c>
      <c r="Q820" s="26" t="n">
        <v>7.9</v>
      </c>
      <c r="R820" s="26">
        <f>Q820*G820</f>
        <v/>
      </c>
      <c r="S820" t="n">
        <v>4.69</v>
      </c>
      <c r="T820" s="18">
        <f>1 - V820/S820</f>
        <v/>
      </c>
      <c r="U820" s="18" t="n">
        <v>0</v>
      </c>
      <c r="V820" s="26" t="n">
        <v>4.69</v>
      </c>
      <c r="W820" s="26">
        <f>V820 - L820</f>
        <v/>
      </c>
    </row>
    <row r="821">
      <c r="A821" s="11" t="n">
        <v>46211</v>
      </c>
      <c r="B821" s="1" t="n">
        <v>20089</v>
      </c>
      <c r="C821" s="1" t="inlineStr">
        <is>
          <t>025</t>
        </is>
      </c>
      <c r="D821" s="1" t="inlineStr">
        <is>
          <t>121406</t>
        </is>
      </c>
      <c r="E821" s="1" t="inlineStr">
        <is>
          <t xml:space="preserve">30141766       </t>
        </is>
      </c>
      <c r="F821" s="5" t="inlineStr">
        <is>
          <t>TMZ BEAST MACHINES AUTOS DE METAL BLISTER X 1</t>
        </is>
      </c>
      <c r="G821" t="n">
        <v>1</v>
      </c>
      <c r="H821" s="7" t="n">
        <v>7.9</v>
      </c>
      <c r="I821" s="7" t="n">
        <v>0</v>
      </c>
      <c r="J821" s="7" t="n">
        <v>0</v>
      </c>
      <c r="K821" s="9" t="n">
        <v>0</v>
      </c>
      <c r="L821" s="10" t="n">
        <v>4.68</v>
      </c>
      <c r="M821" s="10" t="n">
        <v>1.43</v>
      </c>
      <c r="N821" t="inlineStr">
        <is>
          <t>1</t>
        </is>
      </c>
      <c r="O821" t="inlineStr">
        <is>
          <t>16</t>
        </is>
      </c>
      <c r="P821" t="inlineStr">
        <is>
          <t xml:space="preserve">82992   </t>
        </is>
      </c>
      <c r="Q821" s="26" t="n">
        <v>7.9</v>
      </c>
      <c r="R821" s="26">
        <f>Q821*G821</f>
        <v/>
      </c>
      <c r="S821" t="n">
        <v>4.69</v>
      </c>
      <c r="T821" s="18">
        <f>1 - V821/S821</f>
        <v/>
      </c>
      <c r="U821" s="18" t="n">
        <v>0</v>
      </c>
      <c r="V821" s="26" t="n">
        <v>4.69</v>
      </c>
      <c r="W821" s="26">
        <f>V821 - L821</f>
        <v/>
      </c>
    </row>
    <row r="822">
      <c r="A822" s="11" t="n">
        <v>46211</v>
      </c>
      <c r="B822" s="1" t="n">
        <v>20089</v>
      </c>
      <c r="C822" s="1" t="inlineStr">
        <is>
          <t>025</t>
        </is>
      </c>
      <c r="D822" s="1" t="inlineStr">
        <is>
          <t>121406</t>
        </is>
      </c>
      <c r="E822" s="1" t="inlineStr">
        <is>
          <t xml:space="preserve">30141766       </t>
        </is>
      </c>
      <c r="F822" s="5" t="inlineStr">
        <is>
          <t>TMZ BEAST MACHINES AUTOS DE METAL BLISTER X 1</t>
        </is>
      </c>
      <c r="G822" t="n">
        <v>1</v>
      </c>
      <c r="H822" s="7" t="n">
        <v>7.9</v>
      </c>
      <c r="I822" s="7" t="n">
        <v>0</v>
      </c>
      <c r="J822" s="7" t="n">
        <v>0</v>
      </c>
      <c r="K822" s="9" t="n">
        <v>0</v>
      </c>
      <c r="L822" s="10" t="n">
        <v>4.68</v>
      </c>
      <c r="M822" s="10" t="n">
        <v>1.43</v>
      </c>
      <c r="N822" t="inlineStr">
        <is>
          <t>1</t>
        </is>
      </c>
      <c r="O822" t="inlineStr">
        <is>
          <t>16</t>
        </is>
      </c>
      <c r="P822" t="inlineStr">
        <is>
          <t xml:space="preserve">82992   </t>
        </is>
      </c>
      <c r="Q822" s="26" t="n">
        <v>7.9</v>
      </c>
      <c r="R822" s="26">
        <f>Q822*G822</f>
        <v/>
      </c>
      <c r="S822" t="n">
        <v>4.69</v>
      </c>
      <c r="T822" s="18">
        <f>1 - V822/S822</f>
        <v/>
      </c>
      <c r="U822" s="18" t="n">
        <v>0</v>
      </c>
      <c r="V822" s="26" t="n">
        <v>4.69</v>
      </c>
      <c r="W822" s="26">
        <f>V822 - L822</f>
        <v/>
      </c>
    </row>
    <row r="823">
      <c r="A823" s="11" t="n">
        <v>46211</v>
      </c>
      <c r="B823" s="1" t="n">
        <v>20089</v>
      </c>
      <c r="C823" s="1" t="inlineStr">
        <is>
          <t>025</t>
        </is>
      </c>
      <c r="D823" s="1" t="inlineStr">
        <is>
          <t>121406</t>
        </is>
      </c>
      <c r="E823" s="1" t="inlineStr">
        <is>
          <t xml:space="preserve">30141766       </t>
        </is>
      </c>
      <c r="F823" s="5" t="inlineStr">
        <is>
          <t>TMZ BEAST MACHINES AUTOS DE METAL BLISTER X 1</t>
        </is>
      </c>
      <c r="G823" t="n">
        <v>1</v>
      </c>
      <c r="H823" s="7" t="n">
        <v>7.9</v>
      </c>
      <c r="I823" s="7" t="n">
        <v>0</v>
      </c>
      <c r="J823" s="7" t="n">
        <v>0</v>
      </c>
      <c r="K823" s="9" t="n">
        <v>0</v>
      </c>
      <c r="L823" s="10" t="n">
        <v>4.68</v>
      </c>
      <c r="M823" s="10" t="n">
        <v>1.43</v>
      </c>
      <c r="N823" t="inlineStr">
        <is>
          <t>1</t>
        </is>
      </c>
      <c r="O823" t="inlineStr">
        <is>
          <t>16</t>
        </is>
      </c>
      <c r="P823" t="inlineStr">
        <is>
          <t xml:space="preserve">82992   </t>
        </is>
      </c>
      <c r="Q823" s="26" t="n">
        <v>7.9</v>
      </c>
      <c r="R823" s="26">
        <f>Q823*G823</f>
        <v/>
      </c>
      <c r="S823" t="n">
        <v>4.69</v>
      </c>
      <c r="T823" s="18">
        <f>1 - V823/S823</f>
        <v/>
      </c>
      <c r="U823" s="18" t="n">
        <v>0</v>
      </c>
      <c r="V823" s="26" t="n">
        <v>4.69</v>
      </c>
      <c r="W823" s="26">
        <f>V823 - L823</f>
        <v/>
      </c>
    </row>
    <row r="824">
      <c r="A824" s="11" t="n">
        <v>46211</v>
      </c>
      <c r="B824" s="1" t="n">
        <v>20089</v>
      </c>
      <c r="C824" s="1" t="inlineStr">
        <is>
          <t>860</t>
        </is>
      </c>
      <c r="D824" s="1" t="inlineStr">
        <is>
          <t xml:space="preserve">9404  </t>
        </is>
      </c>
      <c r="E824" s="1" t="inlineStr">
        <is>
          <t xml:space="preserve">28194780       </t>
        </is>
      </c>
      <c r="F824" s="5" t="inlineStr">
        <is>
          <t>TROMPO BATALLA INFINITY NADO PLSTICO SURTIDO</t>
        </is>
      </c>
      <c r="G824" t="n">
        <v>1</v>
      </c>
      <c r="H824" s="7" t="n">
        <v>19.9</v>
      </c>
      <c r="I824" s="7" t="n">
        <v>0</v>
      </c>
      <c r="J824" s="7" t="n">
        <v>0</v>
      </c>
      <c r="K824" s="9" t="n">
        <v>0</v>
      </c>
      <c r="L824" s="10" t="n">
        <v>11.8</v>
      </c>
      <c r="M824" s="10" t="n">
        <v>1.43</v>
      </c>
      <c r="N824" t="inlineStr">
        <is>
          <t>1</t>
        </is>
      </c>
      <c r="O824" t="inlineStr">
        <is>
          <t>16</t>
        </is>
      </c>
      <c r="P824" t="inlineStr">
        <is>
          <t xml:space="preserve">0       </t>
        </is>
      </c>
      <c r="Q824" s="26" t="n">
        <v>19.9</v>
      </c>
      <c r="R824" s="26">
        <f>Q824*G824</f>
        <v/>
      </c>
      <c r="S824" t="n">
        <v>11.81</v>
      </c>
      <c r="T824" s="18">
        <f>1 - V824/S824</f>
        <v/>
      </c>
      <c r="U824" s="18" t="n">
        <v>0</v>
      </c>
      <c r="V824" s="26" t="n">
        <v>11.81</v>
      </c>
      <c r="W824" s="26">
        <f>V824 - L824</f>
        <v/>
      </c>
    </row>
    <row r="825">
      <c r="A825" s="11" t="n">
        <v>46211</v>
      </c>
      <c r="B825" s="1" t="n">
        <v>20095</v>
      </c>
      <c r="C825" s="1" t="inlineStr">
        <is>
          <t>028</t>
        </is>
      </c>
      <c r="D825" s="1" t="inlineStr">
        <is>
          <t xml:space="preserve">40001 </t>
        </is>
      </c>
      <c r="E825" s="1" t="inlineStr">
        <is>
          <t xml:space="preserve">32457099       </t>
        </is>
      </c>
      <c r="F825" s="5" t="inlineStr">
        <is>
          <t>TMZ BEAST MACHINES MONSTER JAWS A FRICCION BLISTER</t>
        </is>
      </c>
      <c r="G825" t="n">
        <v>1</v>
      </c>
      <c r="H825" s="7" t="n">
        <v>19.9</v>
      </c>
      <c r="I825" s="7" t="n">
        <v>0</v>
      </c>
      <c r="J825" s="7" t="n">
        <v>0</v>
      </c>
      <c r="K825" s="9" t="n">
        <v>0</v>
      </c>
      <c r="L825" s="10" t="n">
        <v>11.8</v>
      </c>
      <c r="M825" s="10" t="n">
        <v>1.43</v>
      </c>
      <c r="N825" t="inlineStr">
        <is>
          <t>1</t>
        </is>
      </c>
      <c r="O825" t="inlineStr">
        <is>
          <t xml:space="preserve">2 </t>
        </is>
      </c>
      <c r="P825" t="inlineStr">
        <is>
          <t xml:space="preserve">57866   </t>
        </is>
      </c>
      <c r="Q825" s="26" t="n">
        <v>19.9</v>
      </c>
      <c r="R825" s="26">
        <f>Q825*G825</f>
        <v/>
      </c>
      <c r="S825" t="n">
        <v>11.81</v>
      </c>
      <c r="T825" s="18">
        <f>1 - V825/S825</f>
        <v/>
      </c>
      <c r="U825" s="18" t="n">
        <v>0.1005025125628141</v>
      </c>
      <c r="V825" s="26" t="n">
        <v>8.417118644067797</v>
      </c>
      <c r="W825" s="26">
        <f>V825 - L825</f>
        <v/>
      </c>
    </row>
    <row r="826">
      <c r="A826" s="11" t="n">
        <v>46211</v>
      </c>
      <c r="B826" s="1" t="n">
        <v>20095</v>
      </c>
      <c r="C826" s="1" t="inlineStr">
        <is>
          <t>044</t>
        </is>
      </c>
      <c r="D826" s="1" t="inlineStr">
        <is>
          <t xml:space="preserve">93172 </t>
        </is>
      </c>
      <c r="E826" s="1" t="inlineStr">
        <is>
          <t xml:space="preserve">28194768       </t>
        </is>
      </c>
      <c r="F826" s="5" t="inlineStr">
        <is>
          <t>AUTO COLOR CHANGE TEAMSTERZ SURTIDO</t>
        </is>
      </c>
      <c r="G826" t="n">
        <v>1</v>
      </c>
      <c r="H826" s="7" t="n">
        <v>14.9</v>
      </c>
      <c r="I826" s="7" t="n">
        <v>0</v>
      </c>
      <c r="J826" s="7" t="n">
        <v>0</v>
      </c>
      <c r="K826" s="9" t="n">
        <v>0</v>
      </c>
      <c r="L826" s="10" t="n">
        <v>8.84</v>
      </c>
      <c r="M826" s="10" t="n">
        <v>1.43</v>
      </c>
      <c r="N826" t="inlineStr">
        <is>
          <t>1</t>
        </is>
      </c>
      <c r="O826" t="inlineStr">
        <is>
          <t>16</t>
        </is>
      </c>
      <c r="P826" t="inlineStr">
        <is>
          <t xml:space="preserve">241955  </t>
        </is>
      </c>
      <c r="Q826" s="26" t="n">
        <v>14.9</v>
      </c>
      <c r="R826" s="26">
        <f>Q826*G826</f>
        <v/>
      </c>
      <c r="S826" t="n">
        <v>8.84</v>
      </c>
      <c r="T826" s="18">
        <f>1 - V826/S826</f>
        <v/>
      </c>
      <c r="U826" s="18" t="n">
        <v>0</v>
      </c>
      <c r="V826" s="26" t="n">
        <v>8.84</v>
      </c>
      <c r="W826" s="26">
        <f>V826 - L826</f>
        <v/>
      </c>
    </row>
    <row r="827">
      <c r="A827" s="11" t="n">
        <v>46211</v>
      </c>
      <c r="B827" s="1" t="n">
        <v>20095</v>
      </c>
      <c r="C827" s="1" t="inlineStr">
        <is>
          <t>044</t>
        </is>
      </c>
      <c r="D827" s="1" t="inlineStr">
        <is>
          <t xml:space="preserve">93198 </t>
        </is>
      </c>
      <c r="E827" s="1" t="inlineStr">
        <is>
          <t xml:space="preserve">30141766       </t>
        </is>
      </c>
      <c r="F827" s="5" t="inlineStr">
        <is>
          <t>TMZ BEAST MACHINES AUTOS DE METAL BLISTER X 1</t>
        </is>
      </c>
      <c r="G827" t="n">
        <v>1</v>
      </c>
      <c r="H827" s="7" t="n">
        <v>7.9</v>
      </c>
      <c r="I827" s="7" t="n">
        <v>0</v>
      </c>
      <c r="J827" s="7" t="n">
        <v>0</v>
      </c>
      <c r="K827" s="9" t="n">
        <v>0</v>
      </c>
      <c r="L827" s="10" t="n">
        <v>4.68</v>
      </c>
      <c r="M827" s="10" t="n">
        <v>1.43</v>
      </c>
      <c r="N827" t="inlineStr">
        <is>
          <t>1</t>
        </is>
      </c>
      <c r="O827" t="inlineStr">
        <is>
          <t>16</t>
        </is>
      </c>
      <c r="P827" t="inlineStr">
        <is>
          <t xml:space="preserve">241955  </t>
        </is>
      </c>
      <c r="Q827" s="26" t="n">
        <v>7.9</v>
      </c>
      <c r="R827" s="26">
        <f>Q827*G827</f>
        <v/>
      </c>
      <c r="S827" t="n">
        <v>4.69</v>
      </c>
      <c r="T827" s="18">
        <f>1 - V827/S827</f>
        <v/>
      </c>
      <c r="U827" s="18" t="n">
        <v>0</v>
      </c>
      <c r="V827" s="26" t="n">
        <v>4.69</v>
      </c>
      <c r="W827" s="26">
        <f>V827 - L827</f>
        <v/>
      </c>
    </row>
    <row r="828">
      <c r="A828" s="11" t="n">
        <v>46212</v>
      </c>
      <c r="B828" s="1" t="n">
        <v>20021</v>
      </c>
      <c r="C828" s="1" t="inlineStr">
        <is>
          <t>078</t>
        </is>
      </c>
      <c r="D828" s="1" t="inlineStr">
        <is>
          <t>100451</t>
        </is>
      </c>
      <c r="E828" s="1" t="inlineStr">
        <is>
          <t xml:space="preserve">32457099       </t>
        </is>
      </c>
      <c r="F828" s="5" t="inlineStr">
        <is>
          <t>TMZ BEAST MACHINES MONSTER JAWS A FRICCION BLISTER</t>
        </is>
      </c>
      <c r="G828" t="n">
        <v>1</v>
      </c>
      <c r="H828" s="7" t="n">
        <v>19.9</v>
      </c>
      <c r="I828" s="7" t="n">
        <v>0</v>
      </c>
      <c r="J828" s="7" t="n">
        <v>0</v>
      </c>
      <c r="K828" s="9" t="n">
        <v>0</v>
      </c>
      <c r="L828" s="10" t="n">
        <v>11.8</v>
      </c>
      <c r="M828" s="10" t="n">
        <v>1.43</v>
      </c>
      <c r="N828" t="inlineStr">
        <is>
          <t>1</t>
        </is>
      </c>
      <c r="O828" t="inlineStr">
        <is>
          <t xml:space="preserve">3 </t>
        </is>
      </c>
      <c r="P828" t="inlineStr">
        <is>
          <t xml:space="preserve">95704   </t>
        </is>
      </c>
      <c r="Q828" s="26" t="n">
        <v>19.9</v>
      </c>
      <c r="R828" s="26">
        <f>Q828*G828</f>
        <v/>
      </c>
      <c r="S828" t="n">
        <v>11.81</v>
      </c>
      <c r="T828" s="18">
        <f>1 - V828/S828</f>
        <v/>
      </c>
      <c r="U828" s="18" t="n">
        <v>0.1005025125628141</v>
      </c>
      <c r="V828" s="26" t="n">
        <v>8.417118644067797</v>
      </c>
      <c r="W828" s="26">
        <f>V828 - L828</f>
        <v/>
      </c>
    </row>
    <row r="829">
      <c r="A829" s="11" t="n">
        <v>46212</v>
      </c>
      <c r="B829" s="1" t="n">
        <v>20021</v>
      </c>
      <c r="C829" s="1" t="inlineStr">
        <is>
          <t>078</t>
        </is>
      </c>
      <c r="D829" s="1" t="inlineStr">
        <is>
          <t>100451</t>
        </is>
      </c>
      <c r="E829" s="1" t="inlineStr">
        <is>
          <t xml:space="preserve">32457099       </t>
        </is>
      </c>
      <c r="F829" s="5" t="inlineStr">
        <is>
          <t>TMZ BEAST MACHINES MONSTER JAWS A FRICCION BLISTER</t>
        </is>
      </c>
      <c r="G829" t="n">
        <v>1</v>
      </c>
      <c r="H829" s="7" t="n">
        <v>19.9</v>
      </c>
      <c r="I829" s="7" t="n">
        <v>0</v>
      </c>
      <c r="J829" s="7" t="n">
        <v>0</v>
      </c>
      <c r="K829" s="9" t="n">
        <v>0</v>
      </c>
      <c r="L829" s="10" t="n">
        <v>11.8</v>
      </c>
      <c r="M829" s="10" t="n">
        <v>1.43</v>
      </c>
      <c r="N829" t="inlineStr">
        <is>
          <t>1</t>
        </is>
      </c>
      <c r="O829" t="inlineStr">
        <is>
          <t xml:space="preserve">3 </t>
        </is>
      </c>
      <c r="P829" t="inlineStr">
        <is>
          <t xml:space="preserve">95704   </t>
        </is>
      </c>
      <c r="Q829" s="26" t="n">
        <v>19.9</v>
      </c>
      <c r="R829" s="26">
        <f>Q829*G829</f>
        <v/>
      </c>
      <c r="S829" t="n">
        <v>11.81</v>
      </c>
      <c r="T829" s="18">
        <f>1 - V829/S829</f>
        <v/>
      </c>
      <c r="U829" s="18" t="n">
        <v>0.1005025125628141</v>
      </c>
      <c r="V829" s="26" t="n">
        <v>8.417118644067797</v>
      </c>
      <c r="W829" s="26">
        <f>V829 - L829</f>
        <v/>
      </c>
    </row>
    <row r="830">
      <c r="A830" s="11" t="n">
        <v>46212</v>
      </c>
      <c r="B830" s="1" t="n">
        <v>20021</v>
      </c>
      <c r="C830" s="1" t="inlineStr">
        <is>
          <t>078</t>
        </is>
      </c>
      <c r="D830" s="1" t="inlineStr">
        <is>
          <t xml:space="preserve">2060  </t>
        </is>
      </c>
      <c r="E830" s="1" t="inlineStr">
        <is>
          <t xml:space="preserve">35685067       </t>
        </is>
      </c>
      <c r="F830" s="5" t="inlineStr">
        <is>
          <t>HOT WHEELS POWER SET 3 EN 1</t>
        </is>
      </c>
      <c r="G830" t="n">
        <v>1</v>
      </c>
      <c r="H830" s="7" t="n">
        <v>49.9</v>
      </c>
      <c r="I830" s="7" t="n">
        <v>4.99</v>
      </c>
      <c r="J830" s="7" t="n">
        <v>0</v>
      </c>
      <c r="K830" s="9" t="n">
        <v>4.99</v>
      </c>
      <c r="L830" s="10" t="n">
        <v>26.64</v>
      </c>
      <c r="M830" s="10" t="n">
        <v>1.43</v>
      </c>
      <c r="N830" t="inlineStr">
        <is>
          <t>1</t>
        </is>
      </c>
      <c r="O830" t="inlineStr">
        <is>
          <t xml:space="preserve">3 </t>
        </is>
      </c>
      <c r="P830" t="inlineStr">
        <is>
          <t xml:space="preserve">12097   </t>
        </is>
      </c>
      <c r="Q830" s="26" t="n">
        <v>49.9</v>
      </c>
      <c r="R830" s="26">
        <f>Q830*G830</f>
        <v/>
      </c>
      <c r="S830" t="n">
        <v>29.6</v>
      </c>
      <c r="T830" s="18">
        <f>1 - V830/S830</f>
        <v/>
      </c>
      <c r="U830" s="18" t="n">
        <v>0</v>
      </c>
      <c r="V830" s="26" t="n">
        <v>29.6</v>
      </c>
      <c r="W830" s="26">
        <f>V830 - L830</f>
        <v/>
      </c>
    </row>
    <row r="831">
      <c r="A831" s="11" t="n">
        <v>46212</v>
      </c>
      <c r="B831" s="1" t="n">
        <v>20024</v>
      </c>
      <c r="C831" s="1" t="inlineStr">
        <is>
          <t>805</t>
        </is>
      </c>
      <c r="D831" s="1" t="inlineStr">
        <is>
          <t xml:space="preserve">2280  </t>
        </is>
      </c>
      <c r="E831" s="1" t="inlineStr">
        <is>
          <t xml:space="preserve">31046051       </t>
        </is>
      </c>
      <c r="F831" s="5" t="inlineStr">
        <is>
          <t>RELOJ DISNEY TOY STORY</t>
        </is>
      </c>
      <c r="G831" t="n">
        <v>1</v>
      </c>
      <c r="H831" s="7" t="n">
        <v>18.9</v>
      </c>
      <c r="I831" s="7" t="n">
        <v>0</v>
      </c>
      <c r="J831" s="7" t="n">
        <v>0</v>
      </c>
      <c r="K831" s="9" t="n">
        <v>0</v>
      </c>
      <c r="L831" s="10" t="n">
        <v>11.21</v>
      </c>
      <c r="M831" s="10" t="n">
        <v>1.43</v>
      </c>
      <c r="N831" t="inlineStr">
        <is>
          <t>1</t>
        </is>
      </c>
      <c r="O831" t="inlineStr">
        <is>
          <t>16</t>
        </is>
      </c>
      <c r="P831" t="inlineStr">
        <is>
          <t xml:space="preserve">0       </t>
        </is>
      </c>
      <c r="Q831" s="26" t="n">
        <v>18.9</v>
      </c>
      <c r="R831" s="26">
        <f>Q831*G831</f>
        <v/>
      </c>
      <c r="S831" t="n">
        <v>11.21</v>
      </c>
      <c r="T831" s="18">
        <f>1 - V831/S831</f>
        <v/>
      </c>
      <c r="U831" s="18" t="n">
        <v>0</v>
      </c>
      <c r="V831" s="26" t="n">
        <v>11.21</v>
      </c>
      <c r="W831" s="26">
        <f>V831 - L831</f>
        <v/>
      </c>
    </row>
    <row r="832">
      <c r="A832" s="11" t="n">
        <v>46212</v>
      </c>
      <c r="B832" s="1" t="n">
        <v>20024</v>
      </c>
      <c r="C832" s="1" t="inlineStr">
        <is>
          <t>806</t>
        </is>
      </c>
      <c r="D832" s="1" t="inlineStr">
        <is>
          <t xml:space="preserve">8545  </t>
        </is>
      </c>
      <c r="E832" s="1" t="inlineStr">
        <is>
          <t xml:space="preserve">31959957       </t>
        </is>
      </c>
      <c r="F832" s="5" t="inlineStr">
        <is>
          <t>TEAMSTERZ PLAYSET RESCATE EN EL MAR</t>
        </is>
      </c>
      <c r="G832" t="n">
        <v>1</v>
      </c>
      <c r="H832" s="7" t="n">
        <v>19.9</v>
      </c>
      <c r="I832" s="7" t="n">
        <v>0</v>
      </c>
      <c r="J832" s="7" t="n">
        <v>0</v>
      </c>
      <c r="K832" s="9" t="n">
        <v>0</v>
      </c>
      <c r="L832" s="10" t="n">
        <v>11.8</v>
      </c>
      <c r="M832" s="10" t="n">
        <v>1.43</v>
      </c>
      <c r="N832" t="inlineStr">
        <is>
          <t>1</t>
        </is>
      </c>
      <c r="O832" t="inlineStr">
        <is>
          <t>16</t>
        </is>
      </c>
      <c r="P832" t="inlineStr">
        <is>
          <t xml:space="preserve">0       </t>
        </is>
      </c>
      <c r="Q832" s="26" t="n">
        <v>19.9</v>
      </c>
      <c r="R832" s="26">
        <f>Q832*G832</f>
        <v/>
      </c>
      <c r="S832" t="n">
        <v>11.81</v>
      </c>
      <c r="T832" s="18">
        <f>1 - V832/S832</f>
        <v/>
      </c>
      <c r="U832" s="18" t="n">
        <v>0</v>
      </c>
      <c r="V832" s="26" t="n">
        <v>11.81</v>
      </c>
      <c r="W832" s="26">
        <f>V832 - L832</f>
        <v/>
      </c>
    </row>
    <row r="833">
      <c r="A833" s="11" t="n">
        <v>46212</v>
      </c>
      <c r="B833" s="1" t="n">
        <v>20025</v>
      </c>
      <c r="C833" s="1" t="inlineStr">
        <is>
          <t>074</t>
        </is>
      </c>
      <c r="D833" s="1" t="inlineStr">
        <is>
          <t xml:space="preserve">8553  </t>
        </is>
      </c>
      <c r="E833" s="1" t="inlineStr">
        <is>
          <t xml:space="preserve">34840558       </t>
        </is>
      </c>
      <c r="F833" s="5" t="inlineStr">
        <is>
          <t>TMZ CAMBIA DE COLOR PLAYSET CALAVERA + 1 AUTO</t>
        </is>
      </c>
      <c r="G833" t="n">
        <v>1</v>
      </c>
      <c r="H833" s="7" t="n">
        <v>99</v>
      </c>
      <c r="I833" s="7" t="n">
        <v>0</v>
      </c>
      <c r="J833" s="7" t="n">
        <v>0</v>
      </c>
      <c r="K833" s="9" t="n">
        <v>0</v>
      </c>
      <c r="L833" s="10" t="n">
        <v>58.73</v>
      </c>
      <c r="M833" s="10" t="n">
        <v>1.43</v>
      </c>
      <c r="N833" t="inlineStr">
        <is>
          <t>1</t>
        </is>
      </c>
      <c r="O833" t="inlineStr">
        <is>
          <t>16</t>
        </is>
      </c>
      <c r="P833" t="inlineStr">
        <is>
          <t xml:space="preserve">45009   </t>
        </is>
      </c>
      <c r="Q833" s="26" t="n">
        <v>99</v>
      </c>
      <c r="R833" s="26">
        <f>Q833*G833</f>
        <v/>
      </c>
      <c r="S833" t="n">
        <v>58.73</v>
      </c>
      <c r="T833" s="18">
        <f>1 - V833/S833</f>
        <v/>
      </c>
      <c r="U833" s="18" t="n">
        <v>0.3949494949494949</v>
      </c>
      <c r="V833" s="26" t="n">
        <v>40.61016949152543</v>
      </c>
      <c r="W833" s="26">
        <f>V833 - L833</f>
        <v/>
      </c>
    </row>
    <row r="834">
      <c r="A834" s="11" t="n">
        <v>46212</v>
      </c>
      <c r="B834" s="1" t="n">
        <v>20025</v>
      </c>
      <c r="C834" s="1" t="inlineStr">
        <is>
          <t>076</t>
        </is>
      </c>
      <c r="D834" s="1" t="inlineStr">
        <is>
          <t>147283</t>
        </is>
      </c>
      <c r="E834" s="1" t="inlineStr">
        <is>
          <t xml:space="preserve">28194767       </t>
        </is>
      </c>
      <c r="F834" s="5" t="inlineStr">
        <is>
          <t>CAMIONES TEAMSTERZ DE EMERGENCIA</t>
        </is>
      </c>
      <c r="G834" t="n">
        <v>1</v>
      </c>
      <c r="H834" s="7" t="n">
        <v>17.9</v>
      </c>
      <c r="I834" s="7" t="n">
        <v>0</v>
      </c>
      <c r="J834" s="7" t="n">
        <v>0</v>
      </c>
      <c r="K834" s="9" t="n">
        <v>0</v>
      </c>
      <c r="L834" s="10" t="n">
        <v>10.62</v>
      </c>
      <c r="M834" s="10" t="n">
        <v>1.43</v>
      </c>
      <c r="N834" t="inlineStr">
        <is>
          <t>1</t>
        </is>
      </c>
      <c r="O834" t="inlineStr">
        <is>
          <t>16</t>
        </is>
      </c>
      <c r="P834" t="inlineStr">
        <is>
          <t xml:space="preserve">62409   </t>
        </is>
      </c>
      <c r="Q834" s="26" t="n">
        <v>17.9</v>
      </c>
      <c r="R834" s="26">
        <f>Q834*G834</f>
        <v/>
      </c>
      <c r="S834" t="n">
        <v>10.62</v>
      </c>
      <c r="T834" s="18">
        <f>1 - V834/S834</f>
        <v/>
      </c>
      <c r="U834" s="18" t="n">
        <v>0</v>
      </c>
      <c r="V834" s="26" t="n">
        <v>10.62</v>
      </c>
      <c r="W834" s="26">
        <f>V834 - L834</f>
        <v/>
      </c>
    </row>
    <row r="835">
      <c r="A835" s="11" t="n">
        <v>46212</v>
      </c>
      <c r="B835" s="1" t="n">
        <v>20025</v>
      </c>
      <c r="C835" s="1" t="inlineStr">
        <is>
          <t>076</t>
        </is>
      </c>
      <c r="D835" s="1" t="inlineStr">
        <is>
          <t>147283</t>
        </is>
      </c>
      <c r="E835" s="1" t="inlineStr">
        <is>
          <t xml:space="preserve">29235708       </t>
        </is>
      </c>
      <c r="F835" s="5" t="inlineStr">
        <is>
          <t>TEAMSTERZ RESCATE POR AIRE Y MAR</t>
        </is>
      </c>
      <c r="G835" t="n">
        <v>1</v>
      </c>
      <c r="H835" s="7" t="n">
        <v>39.9</v>
      </c>
      <c r="I835" s="7" t="n">
        <v>0</v>
      </c>
      <c r="J835" s="7" t="n">
        <v>0</v>
      </c>
      <c r="K835" s="9" t="n">
        <v>0</v>
      </c>
      <c r="L835" s="10" t="n">
        <v>23.67</v>
      </c>
      <c r="M835" s="10" t="n">
        <v>1.43</v>
      </c>
      <c r="N835" t="inlineStr">
        <is>
          <t>1</t>
        </is>
      </c>
      <c r="O835" t="inlineStr">
        <is>
          <t>16</t>
        </is>
      </c>
      <c r="P835" t="inlineStr">
        <is>
          <t xml:space="preserve">62409   </t>
        </is>
      </c>
      <c r="Q835" s="26" t="n">
        <v>39.9</v>
      </c>
      <c r="R835" s="26">
        <f>Q835*G835</f>
        <v/>
      </c>
      <c r="S835" t="n">
        <v>23.67</v>
      </c>
      <c r="T835" s="18">
        <f>1 - V835/S835</f>
        <v/>
      </c>
      <c r="U835" s="18" t="n">
        <v>0</v>
      </c>
      <c r="V835" s="26" t="n">
        <v>23.67</v>
      </c>
      <c r="W835" s="26">
        <f>V835 - L835</f>
        <v/>
      </c>
    </row>
    <row r="836">
      <c r="A836" s="11" t="n">
        <v>46212</v>
      </c>
      <c r="B836" s="1" t="n">
        <v>20028</v>
      </c>
      <c r="C836" s="1" t="inlineStr">
        <is>
          <t>011</t>
        </is>
      </c>
      <c r="D836" s="1" t="inlineStr">
        <is>
          <t xml:space="preserve">33502 </t>
        </is>
      </c>
      <c r="E836" s="1" t="inlineStr">
        <is>
          <t xml:space="preserve">31959961       </t>
        </is>
      </c>
      <c r="F836" s="5" t="inlineStr">
        <is>
          <t>TEAMSTERZ CAMBIA DE COLOR PACK DE 3 AUTOS</t>
        </is>
      </c>
      <c r="G836" t="n">
        <v>1</v>
      </c>
      <c r="H836" s="7" t="n">
        <v>49.9</v>
      </c>
      <c r="I836" s="7" t="n">
        <v>0</v>
      </c>
      <c r="J836" s="7" t="n">
        <v>0</v>
      </c>
      <c r="K836" s="9" t="n">
        <v>0</v>
      </c>
      <c r="L836" s="10" t="n">
        <v>29.6</v>
      </c>
      <c r="M836" s="10" t="n">
        <v>1.43</v>
      </c>
      <c r="N836" t="inlineStr">
        <is>
          <t>1</t>
        </is>
      </c>
      <c r="O836" t="inlineStr">
        <is>
          <t>16</t>
        </is>
      </c>
      <c r="P836" t="inlineStr">
        <is>
          <t xml:space="preserve">35540   </t>
        </is>
      </c>
      <c r="Q836" s="26" t="n">
        <v>49.9</v>
      </c>
      <c r="R836" s="26">
        <f>Q836*G836</f>
        <v/>
      </c>
      <c r="S836" t="n">
        <v>29.6</v>
      </c>
      <c r="T836" s="18">
        <f>1 - V836/S836</f>
        <v/>
      </c>
      <c r="U836" s="18" t="n">
        <v>0</v>
      </c>
      <c r="V836" s="26" t="n">
        <v>29.6</v>
      </c>
      <c r="W836" s="26">
        <f>V836 - L836</f>
        <v/>
      </c>
    </row>
    <row r="837">
      <c r="A837" s="11" t="n">
        <v>46212</v>
      </c>
      <c r="B837" s="1" t="n">
        <v>20028</v>
      </c>
      <c r="C837" s="1" t="inlineStr">
        <is>
          <t>011</t>
        </is>
      </c>
      <c r="D837" s="1" t="inlineStr">
        <is>
          <t xml:space="preserve">33503 </t>
        </is>
      </c>
      <c r="E837" s="1" t="inlineStr">
        <is>
          <t xml:space="preserve">35685067       </t>
        </is>
      </c>
      <c r="F837" s="5" t="inlineStr">
        <is>
          <t>HOT WHEELS POWER SET 3 EN 1</t>
        </is>
      </c>
      <c r="G837" t="n">
        <v>1</v>
      </c>
      <c r="H837" s="7" t="n">
        <v>49.9</v>
      </c>
      <c r="I837" s="7" t="n">
        <v>0</v>
      </c>
      <c r="J837" s="7" t="n">
        <v>0</v>
      </c>
      <c r="K837" s="9" t="n">
        <v>0</v>
      </c>
      <c r="L837" s="10" t="n">
        <v>29.6</v>
      </c>
      <c r="M837" s="10" t="n">
        <v>1.43</v>
      </c>
      <c r="N837" t="inlineStr">
        <is>
          <t>1</t>
        </is>
      </c>
      <c r="O837" t="inlineStr">
        <is>
          <t xml:space="preserve">2 </t>
        </is>
      </c>
      <c r="P837" t="inlineStr">
        <is>
          <t xml:space="preserve">35540   </t>
        </is>
      </c>
      <c r="Q837" s="26" t="n">
        <v>49.9</v>
      </c>
      <c r="R837" s="26">
        <f>Q837*G837</f>
        <v/>
      </c>
      <c r="S837" t="n">
        <v>29.6</v>
      </c>
      <c r="T837" s="18">
        <f>1 - V837/S837</f>
        <v/>
      </c>
      <c r="U837" s="18" t="n">
        <v>0</v>
      </c>
      <c r="V837" s="26" t="n">
        <v>29.6</v>
      </c>
      <c r="W837" s="26">
        <f>V837 - L837</f>
        <v/>
      </c>
    </row>
    <row r="838">
      <c r="A838" s="11" t="n">
        <v>46212</v>
      </c>
      <c r="B838" s="1" t="n">
        <v>20040</v>
      </c>
      <c r="C838" s="1" t="inlineStr">
        <is>
          <t>072</t>
        </is>
      </c>
      <c r="D838" s="1" t="inlineStr">
        <is>
          <t>251412</t>
        </is>
      </c>
      <c r="E838" s="1" t="inlineStr">
        <is>
          <t xml:space="preserve">30232283       </t>
        </is>
      </c>
      <c r="F838" s="5" t="inlineStr">
        <is>
          <t>INFINITY NADO PACK DE 2 TROMPOS DE BATALLA METAL</t>
        </is>
      </c>
      <c r="G838" t="n">
        <v>1</v>
      </c>
      <c r="H838" s="7" t="n">
        <v>79.90000000000001</v>
      </c>
      <c r="I838" s="7" t="n">
        <v>0</v>
      </c>
      <c r="J838" s="7" t="n">
        <v>0</v>
      </c>
      <c r="K838" s="9" t="n">
        <v>0</v>
      </c>
      <c r="L838" s="10" t="n">
        <v>47.4</v>
      </c>
      <c r="M838" s="10" t="n">
        <v>1.43</v>
      </c>
      <c r="N838" t="inlineStr">
        <is>
          <t>1</t>
        </is>
      </c>
      <c r="O838" t="inlineStr">
        <is>
          <t>16</t>
        </is>
      </c>
      <c r="P838" t="inlineStr">
        <is>
          <t xml:space="preserve">61602   </t>
        </is>
      </c>
      <c r="Q838" s="26" t="n">
        <v>79.90000000000001</v>
      </c>
      <c r="R838" s="26">
        <f>Q838*G838</f>
        <v/>
      </c>
      <c r="S838" t="n">
        <v>47.4</v>
      </c>
      <c r="T838" s="18">
        <f>1 - V838/S838</f>
        <v/>
      </c>
      <c r="U838" s="18" t="n">
        <v>0.2503128911138924</v>
      </c>
      <c r="V838" s="26" t="n">
        <v>38.07203389830509</v>
      </c>
      <c r="W838" s="26">
        <f>V838 - L838</f>
        <v/>
      </c>
    </row>
    <row r="839">
      <c r="A839" s="11" t="n">
        <v>46212</v>
      </c>
      <c r="B839" s="1" t="n">
        <v>20040</v>
      </c>
      <c r="C839" s="1" t="inlineStr">
        <is>
          <t>083</t>
        </is>
      </c>
      <c r="D839" s="1" t="inlineStr">
        <is>
          <t>159440</t>
        </is>
      </c>
      <c r="E839" s="1" t="inlineStr">
        <is>
          <t xml:space="preserve">28194769       </t>
        </is>
      </c>
      <c r="F839" s="5" t="inlineStr">
        <is>
          <t>AUTOS DE METAL 3 TEAMSTERZ PACK DE 2</t>
        </is>
      </c>
      <c r="G839" t="n">
        <v>1</v>
      </c>
      <c r="H839" s="7" t="n">
        <v>13.8</v>
      </c>
      <c r="I839" s="7" t="n">
        <v>0</v>
      </c>
      <c r="J839" s="7" t="n">
        <v>0</v>
      </c>
      <c r="K839" s="9" t="n">
        <v>0</v>
      </c>
      <c r="L839" s="10" t="n">
        <v>8.18</v>
      </c>
      <c r="M839" s="10" t="n">
        <v>1.43</v>
      </c>
      <c r="N839" t="inlineStr">
        <is>
          <t>1</t>
        </is>
      </c>
      <c r="O839" t="inlineStr">
        <is>
          <t>16</t>
        </is>
      </c>
      <c r="P839" t="inlineStr">
        <is>
          <t xml:space="preserve">242657  </t>
        </is>
      </c>
      <c r="Q839" s="26" t="n">
        <v>13.8</v>
      </c>
      <c r="R839" s="26">
        <f>Q839*G839</f>
        <v/>
      </c>
      <c r="S839" t="n">
        <v>8.19</v>
      </c>
      <c r="T839" s="18">
        <f>1 - V839/S839</f>
        <v/>
      </c>
      <c r="U839" s="18" t="n">
        <v>0</v>
      </c>
      <c r="V839" s="26" t="n">
        <v>8.19</v>
      </c>
      <c r="W839" s="26">
        <f>V839 - L839</f>
        <v/>
      </c>
    </row>
    <row r="840">
      <c r="A840" s="11" t="n">
        <v>46212</v>
      </c>
      <c r="B840" s="1" t="n">
        <v>20040</v>
      </c>
      <c r="C840" s="1" t="inlineStr">
        <is>
          <t>190</t>
        </is>
      </c>
      <c r="D840" s="1" t="inlineStr">
        <is>
          <t>367829</t>
        </is>
      </c>
      <c r="E840" s="1" t="inlineStr">
        <is>
          <t xml:space="preserve">30232284       </t>
        </is>
      </c>
      <c r="F840" s="5" t="inlineStr">
        <is>
          <t>INFINITY NADO TROMPO DE BATALLA - METAL C/PUNTA DE</t>
        </is>
      </c>
      <c r="G840" t="n">
        <v>1</v>
      </c>
      <c r="H840" s="7" t="n">
        <v>49.9</v>
      </c>
      <c r="I840" s="7" t="n">
        <v>4.99</v>
      </c>
      <c r="J840" s="7" t="n">
        <v>0</v>
      </c>
      <c r="K840" s="9" t="n">
        <v>4.99</v>
      </c>
      <c r="L840" s="10" t="n">
        <v>26.64</v>
      </c>
      <c r="M840" s="10" t="n">
        <v>1.43</v>
      </c>
      <c r="N840" t="inlineStr">
        <is>
          <t>1</t>
        </is>
      </c>
      <c r="O840" t="inlineStr">
        <is>
          <t xml:space="preserve">3 </t>
        </is>
      </c>
      <c r="P840" t="inlineStr">
        <is>
          <t xml:space="preserve">243237  </t>
        </is>
      </c>
      <c r="Q840" s="26" t="n">
        <v>49.9</v>
      </c>
      <c r="R840" s="26">
        <f>Q840*G840</f>
        <v/>
      </c>
      <c r="S840" t="n">
        <v>29.6</v>
      </c>
      <c r="T840" s="18">
        <f>1 - V840/S840</f>
        <v/>
      </c>
      <c r="U840" s="18" t="n">
        <v>0.3006012024048096</v>
      </c>
      <c r="V840" s="26" t="n">
        <v>22.18220338983051</v>
      </c>
      <c r="W840" s="26">
        <f>V840 - L840</f>
        <v/>
      </c>
    </row>
    <row r="841">
      <c r="A841" s="11" t="n">
        <v>46212</v>
      </c>
      <c r="B841" s="1" t="n">
        <v>20040</v>
      </c>
      <c r="C841" s="1" t="inlineStr">
        <is>
          <t>190</t>
        </is>
      </c>
      <c r="D841" s="1" t="inlineStr">
        <is>
          <t>367829</t>
        </is>
      </c>
      <c r="E841" s="1" t="inlineStr">
        <is>
          <t xml:space="preserve">31754675       </t>
        </is>
      </c>
      <c r="F841" s="5" t="inlineStr">
        <is>
          <t>INFINITY NADO SERIE 6 STARTER PACK - 4 MODELOS</t>
        </is>
      </c>
      <c r="G841" t="n">
        <v>1</v>
      </c>
      <c r="H841" s="7" t="n">
        <v>69.90000000000001</v>
      </c>
      <c r="I841" s="7" t="n">
        <v>6.99</v>
      </c>
      <c r="J841" s="7" t="n">
        <v>0</v>
      </c>
      <c r="K841" s="9" t="n">
        <v>6.99</v>
      </c>
      <c r="L841" s="10" t="n">
        <v>37.32</v>
      </c>
      <c r="M841" s="10" t="n">
        <v>1.43</v>
      </c>
      <c r="N841" t="inlineStr">
        <is>
          <t>1</t>
        </is>
      </c>
      <c r="O841" t="inlineStr">
        <is>
          <t xml:space="preserve">3 </t>
        </is>
      </c>
      <c r="P841" t="inlineStr">
        <is>
          <t xml:space="preserve">243237  </t>
        </is>
      </c>
      <c r="Q841" s="26" t="n">
        <v>69.90000000000001</v>
      </c>
      <c r="R841" s="26">
        <f>Q841*G841</f>
        <v/>
      </c>
      <c r="S841" t="n">
        <v>41.47</v>
      </c>
      <c r="T841" s="18">
        <f>1 - V841/S841</f>
        <v/>
      </c>
      <c r="U841" s="18" t="n">
        <v>0.2861230329041489</v>
      </c>
      <c r="V841" s="26" t="n">
        <v>31.71610169491525</v>
      </c>
      <c r="W841" s="26">
        <f>V841 - L841</f>
        <v/>
      </c>
    </row>
    <row r="842">
      <c r="A842" s="11" t="n">
        <v>46212</v>
      </c>
      <c r="B842" s="1" t="n">
        <v>20041</v>
      </c>
      <c r="C842" s="1" t="inlineStr">
        <is>
          <t>037</t>
        </is>
      </c>
      <c r="D842" s="1" t="inlineStr">
        <is>
          <t>189265</t>
        </is>
      </c>
      <c r="E842" s="1" t="inlineStr">
        <is>
          <t xml:space="preserve">28194770       </t>
        </is>
      </c>
      <c r="F842" s="5" t="inlineStr">
        <is>
          <t>AUTOS DE METAL 3 TEAMSTERZ EN BLISTER</t>
        </is>
      </c>
      <c r="G842" t="n">
        <v>1</v>
      </c>
      <c r="H842" s="7" t="n">
        <v>6.9</v>
      </c>
      <c r="I842" s="7" t="n">
        <v>0</v>
      </c>
      <c r="J842" s="7" t="n">
        <v>0</v>
      </c>
      <c r="K842" s="9" t="n">
        <v>0</v>
      </c>
      <c r="L842" s="10" t="n">
        <v>4.1</v>
      </c>
      <c r="M842" s="10" t="n">
        <v>1.43</v>
      </c>
      <c r="N842" t="inlineStr">
        <is>
          <t>1</t>
        </is>
      </c>
      <c r="O842" t="inlineStr">
        <is>
          <t>16</t>
        </is>
      </c>
      <c r="P842" t="inlineStr">
        <is>
          <t xml:space="preserve">241916  </t>
        </is>
      </c>
      <c r="Q842" s="26" t="n">
        <v>6.9</v>
      </c>
      <c r="R842" s="26">
        <f>Q842*G842</f>
        <v/>
      </c>
      <c r="S842" t="n">
        <v>4.09</v>
      </c>
      <c r="T842" s="18">
        <f>1 - V842/S842</f>
        <v/>
      </c>
      <c r="U842" s="18" t="n">
        <v>0</v>
      </c>
      <c r="V842" s="26" t="n">
        <v>4.09</v>
      </c>
      <c r="W842" s="26">
        <f>V842 - L842</f>
        <v/>
      </c>
    </row>
    <row r="843">
      <c r="A843" s="11" t="n">
        <v>46212</v>
      </c>
      <c r="B843" s="1" t="n">
        <v>20041</v>
      </c>
      <c r="C843" s="1" t="inlineStr">
        <is>
          <t>037</t>
        </is>
      </c>
      <c r="D843" s="1" t="inlineStr">
        <is>
          <t>189304</t>
        </is>
      </c>
      <c r="E843" s="1" t="inlineStr">
        <is>
          <t xml:space="preserve">28194770       </t>
        </is>
      </c>
      <c r="F843" s="5" t="inlineStr">
        <is>
          <t>AUTOS DE METAL 3 TEAMSTERZ EN BLISTER</t>
        </is>
      </c>
      <c r="G843" t="n">
        <v>3</v>
      </c>
      <c r="H843" s="7" t="n">
        <v>20.7</v>
      </c>
      <c r="I843" s="7" t="n">
        <v>0</v>
      </c>
      <c r="J843" s="7" t="n">
        <v>0</v>
      </c>
      <c r="K843" s="9" t="n">
        <v>0</v>
      </c>
      <c r="L843" s="10" t="n">
        <v>12.27</v>
      </c>
      <c r="M843" s="10" t="n">
        <v>1.43</v>
      </c>
      <c r="N843" t="inlineStr">
        <is>
          <t>1</t>
        </is>
      </c>
      <c r="O843" t="inlineStr">
        <is>
          <t xml:space="preserve">2 </t>
        </is>
      </c>
      <c r="P843" t="inlineStr">
        <is>
          <t xml:space="preserve">243698  </t>
        </is>
      </c>
      <c r="Q843" s="26" t="n">
        <v>6.9</v>
      </c>
      <c r="R843" s="26">
        <f>Q843*G843</f>
        <v/>
      </c>
      <c r="S843" t="n">
        <v>12.27</v>
      </c>
      <c r="T843" s="18">
        <f>1 - V843/S843</f>
        <v/>
      </c>
      <c r="U843" s="18" t="n">
        <v>0</v>
      </c>
      <c r="V843" s="26" t="n">
        <v>12.27</v>
      </c>
      <c r="W843" s="26">
        <f>V843 - L843</f>
        <v/>
      </c>
    </row>
    <row r="844">
      <c r="A844" s="11" t="n">
        <v>46212</v>
      </c>
      <c r="B844" s="1" t="n">
        <v>20041</v>
      </c>
      <c r="C844" s="1" t="inlineStr">
        <is>
          <t>043</t>
        </is>
      </c>
      <c r="D844" s="1" t="inlineStr">
        <is>
          <t xml:space="preserve">75854 </t>
        </is>
      </c>
      <c r="E844" s="1" t="inlineStr">
        <is>
          <t xml:space="preserve">28194770       </t>
        </is>
      </c>
      <c r="F844" s="5" t="inlineStr">
        <is>
          <t>AUTOS DE METAL 3 TEAMSTERZ EN BLISTER</t>
        </is>
      </c>
      <c r="G844" t="n">
        <v>1</v>
      </c>
      <c r="H844" s="7" t="n">
        <v>6.9</v>
      </c>
      <c r="I844" s="7" t="n">
        <v>0</v>
      </c>
      <c r="J844" s="7" t="n">
        <v>0</v>
      </c>
      <c r="K844" s="9" t="n">
        <v>0</v>
      </c>
      <c r="L844" s="10" t="n">
        <v>4.1</v>
      </c>
      <c r="M844" s="10" t="n">
        <v>1.43</v>
      </c>
      <c r="N844" t="inlineStr">
        <is>
          <t>1</t>
        </is>
      </c>
      <c r="O844" t="inlineStr">
        <is>
          <t>16</t>
        </is>
      </c>
      <c r="P844" t="inlineStr">
        <is>
          <t xml:space="preserve">241916  </t>
        </is>
      </c>
      <c r="Q844" s="26" t="n">
        <v>6.9</v>
      </c>
      <c r="R844" s="26">
        <f>Q844*G844</f>
        <v/>
      </c>
      <c r="S844" t="n">
        <v>4.09</v>
      </c>
      <c r="T844" s="18">
        <f>1 - V844/S844</f>
        <v/>
      </c>
      <c r="U844" s="18" t="n">
        <v>0</v>
      </c>
      <c r="V844" s="26" t="n">
        <v>4.09</v>
      </c>
      <c r="W844" s="26">
        <f>V844 - L844</f>
        <v/>
      </c>
    </row>
    <row r="845">
      <c r="A845" s="11" t="n">
        <v>46212</v>
      </c>
      <c r="B845" s="1" t="n">
        <v>20043</v>
      </c>
      <c r="C845" s="1" t="inlineStr">
        <is>
          <t>029</t>
        </is>
      </c>
      <c r="D845" s="1" t="inlineStr">
        <is>
          <t>168299</t>
        </is>
      </c>
      <c r="E845" s="1" t="inlineStr">
        <is>
          <t xml:space="preserve">32457103       </t>
        </is>
      </c>
      <c r="F845" s="5" t="inlineStr">
        <is>
          <t>TMZ BEAST MACHINES MONSTER JAWS A FRICCION PACK DE</t>
        </is>
      </c>
      <c r="G845" t="n">
        <v>1</v>
      </c>
      <c r="H845" s="7" t="n">
        <v>37.9</v>
      </c>
      <c r="I845" s="7" t="n">
        <v>0</v>
      </c>
      <c r="J845" s="7" t="n">
        <v>0</v>
      </c>
      <c r="K845" s="9" t="n">
        <v>0</v>
      </c>
      <c r="L845" s="10" t="n">
        <v>22.48</v>
      </c>
      <c r="M845" s="10" t="n">
        <v>1.43</v>
      </c>
      <c r="N845" t="inlineStr">
        <is>
          <t>1</t>
        </is>
      </c>
      <c r="O845" t="inlineStr">
        <is>
          <t>16</t>
        </is>
      </c>
      <c r="P845" t="inlineStr">
        <is>
          <t xml:space="preserve">30705   </t>
        </is>
      </c>
      <c r="Q845" s="26" t="n">
        <v>37.9</v>
      </c>
      <c r="R845" s="26">
        <f>Q845*G845</f>
        <v/>
      </c>
      <c r="S845" t="n">
        <v>22.48</v>
      </c>
      <c r="T845" s="18">
        <f>1 - V845/S845</f>
        <v/>
      </c>
      <c r="U845" s="18" t="n">
        <v>0.1319261213720316</v>
      </c>
      <c r="V845" s="26" t="n">
        <v>16.75101694915254</v>
      </c>
      <c r="W845" s="26">
        <f>V845 - L845</f>
        <v/>
      </c>
    </row>
    <row r="846">
      <c r="A846" s="11" t="n">
        <v>46212</v>
      </c>
      <c r="B846" s="1" t="n">
        <v>20047</v>
      </c>
      <c r="C846" s="1" t="inlineStr">
        <is>
          <t>012</t>
        </is>
      </c>
      <c r="D846" s="1" t="inlineStr">
        <is>
          <t>331794</t>
        </is>
      </c>
      <c r="E846" s="1" t="inlineStr">
        <is>
          <t xml:space="preserve">28194770       </t>
        </is>
      </c>
      <c r="F846" s="5" t="inlineStr">
        <is>
          <t>AUTOS DE METAL 3 TEAMSTERZ EN BLISTER</t>
        </is>
      </c>
      <c r="G846" t="n">
        <v>1</v>
      </c>
      <c r="H846" s="7" t="n">
        <v>6.9</v>
      </c>
      <c r="I846" s="7" t="n">
        <v>0.6899999999999999</v>
      </c>
      <c r="J846" s="7" t="n">
        <v>0</v>
      </c>
      <c r="K846" s="9" t="n">
        <v>0.6899999999999999</v>
      </c>
      <c r="L846" s="10" t="n">
        <v>3.68</v>
      </c>
      <c r="M846" s="10" t="n">
        <v>1.43</v>
      </c>
      <c r="N846" t="inlineStr">
        <is>
          <t>1</t>
        </is>
      </c>
      <c r="O846" t="inlineStr">
        <is>
          <t xml:space="preserve">3 </t>
        </is>
      </c>
      <c r="P846" t="inlineStr">
        <is>
          <t xml:space="preserve">248424  </t>
        </is>
      </c>
      <c r="Q846" s="26" t="n">
        <v>6.9</v>
      </c>
      <c r="R846" s="26">
        <f>Q846*G846</f>
        <v/>
      </c>
      <c r="S846" t="n">
        <v>4.09</v>
      </c>
      <c r="T846" s="18">
        <f>1 - V846/S846</f>
        <v/>
      </c>
      <c r="U846" s="18" t="n">
        <v>0</v>
      </c>
      <c r="V846" s="26" t="n">
        <v>4.09</v>
      </c>
      <c r="W846" s="26">
        <f>V846 - L846</f>
        <v/>
      </c>
    </row>
    <row r="847">
      <c r="A847" s="11" t="n">
        <v>46212</v>
      </c>
      <c r="B847" s="1" t="n">
        <v>20047</v>
      </c>
      <c r="C847" s="1" t="inlineStr">
        <is>
          <t>012</t>
        </is>
      </c>
      <c r="D847" s="1" t="inlineStr">
        <is>
          <t>331826</t>
        </is>
      </c>
      <c r="E847" s="1" t="inlineStr">
        <is>
          <t xml:space="preserve">28194770       </t>
        </is>
      </c>
      <c r="F847" s="5" t="inlineStr">
        <is>
          <t>AUTOS DE METAL 3 TEAMSTERZ EN BLISTER</t>
        </is>
      </c>
      <c r="G847" t="n">
        <v>1</v>
      </c>
      <c r="H847" s="7" t="n">
        <v>6.9</v>
      </c>
      <c r="I847" s="7" t="n">
        <v>0</v>
      </c>
      <c r="J847" s="7" t="n">
        <v>0</v>
      </c>
      <c r="K847" s="9" t="n">
        <v>0</v>
      </c>
      <c r="L847" s="10" t="n">
        <v>4.1</v>
      </c>
      <c r="M847" s="10" t="n">
        <v>1.43</v>
      </c>
      <c r="N847" t="inlineStr">
        <is>
          <t>1</t>
        </is>
      </c>
      <c r="O847" t="inlineStr">
        <is>
          <t xml:space="preserve">2 </t>
        </is>
      </c>
      <c r="P847" t="inlineStr">
        <is>
          <t xml:space="preserve">248424  </t>
        </is>
      </c>
      <c r="Q847" s="26" t="n">
        <v>6.9</v>
      </c>
      <c r="R847" s="26">
        <f>Q847*G847</f>
        <v/>
      </c>
      <c r="S847" t="n">
        <v>4.09</v>
      </c>
      <c r="T847" s="18">
        <f>1 - V847/S847</f>
        <v/>
      </c>
      <c r="U847" s="18" t="n">
        <v>0</v>
      </c>
      <c r="V847" s="26" t="n">
        <v>4.09</v>
      </c>
      <c r="W847" s="26">
        <f>V847 - L847</f>
        <v/>
      </c>
    </row>
    <row r="848">
      <c r="A848" s="11" t="n">
        <v>46212</v>
      </c>
      <c r="B848" s="1" t="n">
        <v>20047</v>
      </c>
      <c r="C848" s="1" t="inlineStr">
        <is>
          <t>012</t>
        </is>
      </c>
      <c r="D848" s="1" t="inlineStr">
        <is>
          <t>331826</t>
        </is>
      </c>
      <c r="E848" s="1" t="inlineStr">
        <is>
          <t xml:space="preserve">28194770       </t>
        </is>
      </c>
      <c r="F848" s="5" t="inlineStr">
        <is>
          <t>AUTOS DE METAL 3 TEAMSTERZ EN BLISTER</t>
        </is>
      </c>
      <c r="G848" t="n">
        <v>1</v>
      </c>
      <c r="H848" s="7" t="n">
        <v>6.9</v>
      </c>
      <c r="I848" s="7" t="n">
        <v>0</v>
      </c>
      <c r="J848" s="7" t="n">
        <v>0</v>
      </c>
      <c r="K848" s="9" t="n">
        <v>0</v>
      </c>
      <c r="L848" s="10" t="n">
        <v>4.1</v>
      </c>
      <c r="M848" s="10" t="n">
        <v>1.43</v>
      </c>
      <c r="N848" t="inlineStr">
        <is>
          <t>1</t>
        </is>
      </c>
      <c r="O848" t="inlineStr">
        <is>
          <t xml:space="preserve">2 </t>
        </is>
      </c>
      <c r="P848" t="inlineStr">
        <is>
          <t xml:space="preserve">248424  </t>
        </is>
      </c>
      <c r="Q848" s="26" t="n">
        <v>6.9</v>
      </c>
      <c r="R848" s="26">
        <f>Q848*G848</f>
        <v/>
      </c>
      <c r="S848" t="n">
        <v>4.09</v>
      </c>
      <c r="T848" s="18">
        <f>1 - V848/S848</f>
        <v/>
      </c>
      <c r="U848" s="18" t="n">
        <v>0</v>
      </c>
      <c r="V848" s="26" t="n">
        <v>4.09</v>
      </c>
      <c r="W848" s="26">
        <f>V848 - L848</f>
        <v/>
      </c>
    </row>
    <row r="849">
      <c r="A849" s="11" t="n">
        <v>46212</v>
      </c>
      <c r="B849" s="1" t="n">
        <v>20047</v>
      </c>
      <c r="C849" s="1" t="inlineStr">
        <is>
          <t>012</t>
        </is>
      </c>
      <c r="D849" s="1" t="inlineStr">
        <is>
          <t>331838</t>
        </is>
      </c>
      <c r="E849" s="1" t="inlineStr">
        <is>
          <t xml:space="preserve">28194770       </t>
        </is>
      </c>
      <c r="F849" s="5" t="inlineStr">
        <is>
          <t>AUTOS DE METAL 3 TEAMSTERZ EN BLISTER</t>
        </is>
      </c>
      <c r="G849" t="n">
        <v>1</v>
      </c>
      <c r="H849" s="7" t="n">
        <v>6.9</v>
      </c>
      <c r="I849" s="7" t="n">
        <v>0</v>
      </c>
      <c r="J849" s="7" t="n">
        <v>0</v>
      </c>
      <c r="K849" s="9" t="n">
        <v>0</v>
      </c>
      <c r="L849" s="10" t="n">
        <v>4.1</v>
      </c>
      <c r="M849" s="10" t="n">
        <v>1.43</v>
      </c>
      <c r="N849" t="inlineStr">
        <is>
          <t>1</t>
        </is>
      </c>
      <c r="O849" t="inlineStr">
        <is>
          <t>16</t>
        </is>
      </c>
      <c r="P849" t="inlineStr">
        <is>
          <t xml:space="preserve">248424  </t>
        </is>
      </c>
      <c r="Q849" s="26" t="n">
        <v>6.9</v>
      </c>
      <c r="R849" s="26">
        <f>Q849*G849</f>
        <v/>
      </c>
      <c r="S849" t="n">
        <v>4.09</v>
      </c>
      <c r="T849" s="18">
        <f>1 - V849/S849</f>
        <v/>
      </c>
      <c r="U849" s="18" t="n">
        <v>0</v>
      </c>
      <c r="V849" s="26" t="n">
        <v>4.09</v>
      </c>
      <c r="W849" s="26">
        <f>V849 - L849</f>
        <v/>
      </c>
    </row>
    <row r="850">
      <c r="A850" s="11" t="n">
        <v>46212</v>
      </c>
      <c r="B850" s="1" t="n">
        <v>20047</v>
      </c>
      <c r="C850" s="1" t="inlineStr">
        <is>
          <t>012</t>
        </is>
      </c>
      <c r="D850" s="1" t="inlineStr">
        <is>
          <t>331838</t>
        </is>
      </c>
      <c r="E850" s="1" t="inlineStr">
        <is>
          <t xml:space="preserve">28194770       </t>
        </is>
      </c>
      <c r="F850" s="5" t="inlineStr">
        <is>
          <t>AUTOS DE METAL 3 TEAMSTERZ EN BLISTER</t>
        </is>
      </c>
      <c r="G850" t="n">
        <v>1</v>
      </c>
      <c r="H850" s="7" t="n">
        <v>6.9</v>
      </c>
      <c r="I850" s="7" t="n">
        <v>0</v>
      </c>
      <c r="J850" s="7" t="n">
        <v>0</v>
      </c>
      <c r="K850" s="9" t="n">
        <v>0</v>
      </c>
      <c r="L850" s="10" t="n">
        <v>4.1</v>
      </c>
      <c r="M850" s="10" t="n">
        <v>1.43</v>
      </c>
      <c r="N850" t="inlineStr">
        <is>
          <t>1</t>
        </is>
      </c>
      <c r="O850" t="inlineStr">
        <is>
          <t>16</t>
        </is>
      </c>
      <c r="P850" t="inlineStr">
        <is>
          <t xml:space="preserve">248424  </t>
        </is>
      </c>
      <c r="Q850" s="26" t="n">
        <v>6.9</v>
      </c>
      <c r="R850" s="26">
        <f>Q850*G850</f>
        <v/>
      </c>
      <c r="S850" t="n">
        <v>4.09</v>
      </c>
      <c r="T850" s="18">
        <f>1 - V850/S850</f>
        <v/>
      </c>
      <c r="U850" s="18" t="n">
        <v>0</v>
      </c>
      <c r="V850" s="26" t="n">
        <v>4.09</v>
      </c>
      <c r="W850" s="26">
        <f>V850 - L850</f>
        <v/>
      </c>
    </row>
    <row r="851">
      <c r="A851" s="11" t="n">
        <v>46212</v>
      </c>
      <c r="B851" s="1" t="n">
        <v>20047</v>
      </c>
      <c r="C851" s="1" t="inlineStr">
        <is>
          <t>191</t>
        </is>
      </c>
      <c r="D851" s="1" t="inlineStr">
        <is>
          <t>461098</t>
        </is>
      </c>
      <c r="E851" s="1" t="inlineStr">
        <is>
          <t xml:space="preserve">28194770       </t>
        </is>
      </c>
      <c r="F851" s="5" t="inlineStr">
        <is>
          <t>AUTOS DE METAL 3 TEAMSTERZ EN BLISTER</t>
        </is>
      </c>
      <c r="G851" t="n">
        <v>1</v>
      </c>
      <c r="H851" s="7" t="n">
        <v>6.9</v>
      </c>
      <c r="I851" s="7" t="n">
        <v>0</v>
      </c>
      <c r="J851" s="7" t="n">
        <v>0</v>
      </c>
      <c r="K851" s="9" t="n">
        <v>0</v>
      </c>
      <c r="L851" s="10" t="n">
        <v>4.1</v>
      </c>
      <c r="M851" s="10" t="n">
        <v>1.43</v>
      </c>
      <c r="N851" t="inlineStr">
        <is>
          <t>1</t>
        </is>
      </c>
      <c r="O851" t="inlineStr">
        <is>
          <t xml:space="preserve">2 </t>
        </is>
      </c>
      <c r="P851" t="inlineStr">
        <is>
          <t xml:space="preserve">245257  </t>
        </is>
      </c>
      <c r="Q851" s="26" t="n">
        <v>6.9</v>
      </c>
      <c r="R851" s="26">
        <f>Q851*G851</f>
        <v/>
      </c>
      <c r="S851" t="n">
        <v>4.09</v>
      </c>
      <c r="T851" s="18">
        <f>1 - V851/S851</f>
        <v/>
      </c>
      <c r="U851" s="18" t="n">
        <v>0</v>
      </c>
      <c r="V851" s="26" t="n">
        <v>4.09</v>
      </c>
      <c r="W851" s="26">
        <f>V851 - L851</f>
        <v/>
      </c>
    </row>
    <row r="852">
      <c r="A852" s="11" t="n">
        <v>46212</v>
      </c>
      <c r="B852" s="1" t="n">
        <v>20048</v>
      </c>
      <c r="C852" s="1" t="inlineStr">
        <is>
          <t>017</t>
        </is>
      </c>
      <c r="D852" s="1" t="inlineStr">
        <is>
          <t>166370</t>
        </is>
      </c>
      <c r="E852" s="1" t="inlineStr">
        <is>
          <t xml:space="preserve">35685067       </t>
        </is>
      </c>
      <c r="F852" s="5" t="inlineStr">
        <is>
          <t>HOT WHEELS POWER SET 3 EN 1</t>
        </is>
      </c>
      <c r="G852" t="n">
        <v>1</v>
      </c>
      <c r="H852" s="7" t="n">
        <v>49.9</v>
      </c>
      <c r="I852" s="7" t="n">
        <v>0</v>
      </c>
      <c r="J852" s="7" t="n">
        <v>0</v>
      </c>
      <c r="K852" s="9" t="n">
        <v>0</v>
      </c>
      <c r="L852" s="10" t="n">
        <v>29.6</v>
      </c>
      <c r="M852" s="10" t="n">
        <v>1.43</v>
      </c>
      <c r="N852" t="inlineStr">
        <is>
          <t>1</t>
        </is>
      </c>
      <c r="O852" t="inlineStr">
        <is>
          <t xml:space="preserve">2 </t>
        </is>
      </c>
      <c r="P852" t="inlineStr">
        <is>
          <t xml:space="preserve">33648   </t>
        </is>
      </c>
      <c r="Q852" s="26" t="n">
        <v>49.9</v>
      </c>
      <c r="R852" s="26">
        <f>Q852*G852</f>
        <v/>
      </c>
      <c r="S852" t="n">
        <v>29.6</v>
      </c>
      <c r="T852" s="18">
        <f>1 - V852/S852</f>
        <v/>
      </c>
      <c r="U852" s="18" t="n">
        <v>0</v>
      </c>
      <c r="V852" s="26" t="n">
        <v>29.6</v>
      </c>
      <c r="W852" s="26">
        <f>V852 - L852</f>
        <v/>
      </c>
    </row>
    <row r="853">
      <c r="A853" s="11" t="n">
        <v>46212</v>
      </c>
      <c r="B853" s="1" t="n">
        <v>20048</v>
      </c>
      <c r="C853" s="1" t="inlineStr">
        <is>
          <t>017</t>
        </is>
      </c>
      <c r="D853" s="1" t="inlineStr">
        <is>
          <t>166437</t>
        </is>
      </c>
      <c r="E853" s="1" t="inlineStr">
        <is>
          <t xml:space="preserve">28194770       </t>
        </is>
      </c>
      <c r="F853" s="5" t="inlineStr">
        <is>
          <t>AUTOS DE METAL 3 TEAMSTERZ EN BLISTER</t>
        </is>
      </c>
      <c r="G853" t="n">
        <v>1</v>
      </c>
      <c r="H853" s="7" t="n">
        <v>6.9</v>
      </c>
      <c r="I853" s="7" t="n">
        <v>0</v>
      </c>
      <c r="J853" s="7" t="n">
        <v>0</v>
      </c>
      <c r="K853" s="9" t="n">
        <v>0</v>
      </c>
      <c r="L853" s="10" t="n">
        <v>4.1</v>
      </c>
      <c r="M853" s="10" t="n">
        <v>1.43</v>
      </c>
      <c r="N853" t="inlineStr">
        <is>
          <t>1</t>
        </is>
      </c>
      <c r="O853" t="inlineStr">
        <is>
          <t xml:space="preserve">2 </t>
        </is>
      </c>
      <c r="P853" t="inlineStr">
        <is>
          <t xml:space="preserve">249966  </t>
        </is>
      </c>
      <c r="Q853" s="26" t="n">
        <v>6.9</v>
      </c>
      <c r="R853" s="26">
        <f>Q853*G853</f>
        <v/>
      </c>
      <c r="S853" t="n">
        <v>4.09</v>
      </c>
      <c r="T853" s="18">
        <f>1 - V853/S853</f>
        <v/>
      </c>
      <c r="U853" s="18" t="n">
        <v>0</v>
      </c>
      <c r="V853" s="26" t="n">
        <v>4.09</v>
      </c>
      <c r="W853" s="26">
        <f>V853 - L853</f>
        <v/>
      </c>
    </row>
    <row r="854">
      <c r="A854" s="11" t="n">
        <v>46212</v>
      </c>
      <c r="B854" s="1" t="n">
        <v>20048</v>
      </c>
      <c r="C854" s="1" t="inlineStr">
        <is>
          <t>017</t>
        </is>
      </c>
      <c r="D854" s="1" t="inlineStr">
        <is>
          <t>166437</t>
        </is>
      </c>
      <c r="E854" s="1" t="inlineStr">
        <is>
          <t xml:space="preserve">28194770       </t>
        </is>
      </c>
      <c r="F854" s="5" t="inlineStr">
        <is>
          <t>AUTOS DE METAL 3 TEAMSTERZ EN BLISTER</t>
        </is>
      </c>
      <c r="G854" t="n">
        <v>1</v>
      </c>
      <c r="H854" s="7" t="n">
        <v>6.9</v>
      </c>
      <c r="I854" s="7" t="n">
        <v>0</v>
      </c>
      <c r="J854" s="7" t="n">
        <v>0</v>
      </c>
      <c r="K854" s="9" t="n">
        <v>0</v>
      </c>
      <c r="L854" s="10" t="n">
        <v>4.1</v>
      </c>
      <c r="M854" s="10" t="n">
        <v>1.43</v>
      </c>
      <c r="N854" t="inlineStr">
        <is>
          <t>1</t>
        </is>
      </c>
      <c r="O854" t="inlineStr">
        <is>
          <t xml:space="preserve">2 </t>
        </is>
      </c>
      <c r="P854" t="inlineStr">
        <is>
          <t xml:space="preserve">249966  </t>
        </is>
      </c>
      <c r="Q854" s="26" t="n">
        <v>6.9</v>
      </c>
      <c r="R854" s="26">
        <f>Q854*G854</f>
        <v/>
      </c>
      <c r="S854" t="n">
        <v>4.09</v>
      </c>
      <c r="T854" s="18">
        <f>1 - V854/S854</f>
        <v/>
      </c>
      <c r="U854" s="18" t="n">
        <v>0</v>
      </c>
      <c r="V854" s="26" t="n">
        <v>4.09</v>
      </c>
      <c r="W854" s="26">
        <f>V854 - L854</f>
        <v/>
      </c>
    </row>
    <row r="855">
      <c r="A855" s="11" t="n">
        <v>46212</v>
      </c>
      <c r="B855" s="1" t="n">
        <v>20048</v>
      </c>
      <c r="C855" s="1" t="inlineStr">
        <is>
          <t>800</t>
        </is>
      </c>
      <c r="D855" s="1" t="inlineStr">
        <is>
          <t xml:space="preserve">3783  </t>
        </is>
      </c>
      <c r="E855" s="1" t="inlineStr">
        <is>
          <t xml:space="preserve">30141766       </t>
        </is>
      </c>
      <c r="F855" s="5" t="inlineStr">
        <is>
          <t>TMZ BEAST MACHINES AUTOS DE METAL BLISTER X 1</t>
        </is>
      </c>
      <c r="G855" t="n">
        <v>1</v>
      </c>
      <c r="H855" s="7" t="n">
        <v>7.9</v>
      </c>
      <c r="I855" s="7" t="n">
        <v>0</v>
      </c>
      <c r="J855" s="7" t="n">
        <v>0</v>
      </c>
      <c r="K855" s="9" t="n">
        <v>0</v>
      </c>
      <c r="L855" s="10" t="n">
        <v>4.68</v>
      </c>
      <c r="M855" s="10" t="n">
        <v>1.43</v>
      </c>
      <c r="N855" t="inlineStr">
        <is>
          <t>1</t>
        </is>
      </c>
      <c r="O855" t="inlineStr">
        <is>
          <t>16</t>
        </is>
      </c>
      <c r="P855" t="inlineStr">
        <is>
          <t xml:space="preserve">234984  </t>
        </is>
      </c>
      <c r="Q855" s="26" t="n">
        <v>7.9</v>
      </c>
      <c r="R855" s="26">
        <f>Q855*G855</f>
        <v/>
      </c>
      <c r="S855" t="n">
        <v>4.69</v>
      </c>
      <c r="T855" s="18">
        <f>1 - V855/S855</f>
        <v/>
      </c>
      <c r="U855" s="18" t="n">
        <v>0</v>
      </c>
      <c r="V855" s="26" t="n">
        <v>4.69</v>
      </c>
      <c r="W855" s="26">
        <f>V855 - L855</f>
        <v/>
      </c>
    </row>
    <row r="856">
      <c r="A856" s="11" t="n">
        <v>46212</v>
      </c>
      <c r="B856" s="1" t="n">
        <v>20048</v>
      </c>
      <c r="C856" s="1" t="inlineStr">
        <is>
          <t>800</t>
        </is>
      </c>
      <c r="D856" s="1" t="inlineStr">
        <is>
          <t xml:space="preserve">3803  </t>
        </is>
      </c>
      <c r="E856" s="1" t="inlineStr">
        <is>
          <t xml:space="preserve">30141766       </t>
        </is>
      </c>
      <c r="F856" s="5" t="inlineStr">
        <is>
          <t>TMZ BEAST MACHINES AUTOS DE METAL BLISTER X 1</t>
        </is>
      </c>
      <c r="G856" t="n">
        <v>3</v>
      </c>
      <c r="H856" s="7" t="n">
        <v>23.7</v>
      </c>
      <c r="I856" s="7" t="n">
        <v>0</v>
      </c>
      <c r="J856" s="7" t="n">
        <v>0</v>
      </c>
      <c r="K856" s="9" t="n">
        <v>0</v>
      </c>
      <c r="L856" s="10" t="n">
        <v>14.07</v>
      </c>
      <c r="M856" s="10" t="n">
        <v>1.43</v>
      </c>
      <c r="N856" t="inlineStr">
        <is>
          <t>1</t>
        </is>
      </c>
      <c r="O856" t="inlineStr">
        <is>
          <t>16</t>
        </is>
      </c>
      <c r="P856" t="inlineStr">
        <is>
          <t xml:space="preserve">234984  </t>
        </is>
      </c>
      <c r="Q856" s="26" t="n">
        <v>7.9</v>
      </c>
      <c r="R856" s="26">
        <f>Q856*G856</f>
        <v/>
      </c>
      <c r="S856" t="n">
        <v>14.07</v>
      </c>
      <c r="T856" s="18">
        <f>1 - V856/S856</f>
        <v/>
      </c>
      <c r="U856" s="18" t="n">
        <v>0</v>
      </c>
      <c r="V856" s="26" t="n">
        <v>14.07</v>
      </c>
      <c r="W856" s="26">
        <f>V856 - L856</f>
        <v/>
      </c>
    </row>
    <row r="857">
      <c r="A857" s="11" t="n">
        <v>46212</v>
      </c>
      <c r="B857" s="1" t="n">
        <v>20048</v>
      </c>
      <c r="C857" s="1" t="inlineStr">
        <is>
          <t>801</t>
        </is>
      </c>
      <c r="D857" s="1" t="inlineStr">
        <is>
          <t xml:space="preserve">6043  </t>
        </is>
      </c>
      <c r="E857" s="1" t="inlineStr">
        <is>
          <t xml:space="preserve">32457099       </t>
        </is>
      </c>
      <c r="F857" s="5" t="inlineStr">
        <is>
          <t>TMZ BEAST MACHINES MONSTER JAWS A FRICCION BLISTER</t>
        </is>
      </c>
      <c r="G857" t="n">
        <v>1</v>
      </c>
      <c r="H857" s="7" t="n">
        <v>19.9</v>
      </c>
      <c r="I857" s="7" t="n">
        <v>0</v>
      </c>
      <c r="J857" s="7" t="n">
        <v>0</v>
      </c>
      <c r="K857" s="9" t="n">
        <v>0</v>
      </c>
      <c r="L857" s="10" t="n">
        <v>11.8</v>
      </c>
      <c r="M857" s="10" t="n">
        <v>1.43</v>
      </c>
      <c r="N857" t="inlineStr">
        <is>
          <t>1</t>
        </is>
      </c>
      <c r="O857" t="inlineStr">
        <is>
          <t>16</t>
        </is>
      </c>
      <c r="P857" t="inlineStr">
        <is>
          <t xml:space="preserve">234984  </t>
        </is>
      </c>
      <c r="Q857" s="26" t="n">
        <v>19.9</v>
      </c>
      <c r="R857" s="26">
        <f>Q857*G857</f>
        <v/>
      </c>
      <c r="S857" t="n">
        <v>11.81</v>
      </c>
      <c r="T857" s="18">
        <f>1 - V857/S857</f>
        <v/>
      </c>
      <c r="U857" s="18" t="n">
        <v>0.1005025125628141</v>
      </c>
      <c r="V857" s="26" t="n">
        <v>8.417118644067797</v>
      </c>
      <c r="W857" s="26">
        <f>V857 - L857</f>
        <v/>
      </c>
    </row>
    <row r="858">
      <c r="A858" s="11" t="n">
        <v>46212</v>
      </c>
      <c r="B858" s="1" t="n">
        <v>20057</v>
      </c>
      <c r="C858" s="1" t="inlineStr">
        <is>
          <t>032</t>
        </is>
      </c>
      <c r="D858" s="1" t="inlineStr">
        <is>
          <t xml:space="preserve">74204 </t>
        </is>
      </c>
      <c r="E858" s="1" t="inlineStr">
        <is>
          <t xml:space="preserve">29235706       </t>
        </is>
      </c>
      <c r="F858" s="5" t="inlineStr">
        <is>
          <t>TEAMSTERZ CAMION PARA GUARDAR 12 AUTOS INCL 4 AUTO</t>
        </is>
      </c>
      <c r="G858" t="n">
        <v>1</v>
      </c>
      <c r="H858" s="7" t="n">
        <v>59.9</v>
      </c>
      <c r="I858" s="7" t="n">
        <v>0</v>
      </c>
      <c r="J858" s="7" t="n">
        <v>0</v>
      </c>
      <c r="K858" s="9" t="n">
        <v>0</v>
      </c>
      <c r="L858" s="10" t="n">
        <v>35.53</v>
      </c>
      <c r="M858" s="10" t="n">
        <v>1.43</v>
      </c>
      <c r="N858" t="inlineStr">
        <is>
          <t>1</t>
        </is>
      </c>
      <c r="O858" t="inlineStr">
        <is>
          <t xml:space="preserve">3 </t>
        </is>
      </c>
      <c r="P858" t="inlineStr">
        <is>
          <t xml:space="preserve">248572  </t>
        </is>
      </c>
      <c r="Q858" s="26" t="n">
        <v>59.90000000000001</v>
      </c>
      <c r="R858" s="26">
        <f>Q858*G858</f>
        <v/>
      </c>
      <c r="S858" t="n">
        <v>35.53</v>
      </c>
      <c r="T858" s="18">
        <f>1 - V858/S858</f>
        <v/>
      </c>
      <c r="U858" s="18" t="n">
        <v>0</v>
      </c>
      <c r="V858" s="26" t="n">
        <v>35.53</v>
      </c>
      <c r="W858" s="26">
        <f>V858 - L858</f>
        <v/>
      </c>
    </row>
    <row r="859">
      <c r="A859" s="11" t="n">
        <v>46212</v>
      </c>
      <c r="B859" s="1" t="n">
        <v>20057</v>
      </c>
      <c r="C859" s="1" t="inlineStr">
        <is>
          <t>032</t>
        </is>
      </c>
      <c r="D859" s="1" t="inlineStr">
        <is>
          <t xml:space="preserve">74265 </t>
        </is>
      </c>
      <c r="E859" s="1" t="inlineStr">
        <is>
          <t xml:space="preserve">28194770       </t>
        </is>
      </c>
      <c r="F859" s="5" t="inlineStr">
        <is>
          <t>AUTOS DE METAL 3 TEAMSTERZ EN BLISTER</t>
        </is>
      </c>
      <c r="G859" t="n">
        <v>1</v>
      </c>
      <c r="H859" s="7" t="n">
        <v>6.9</v>
      </c>
      <c r="I859" s="7" t="n">
        <v>0.6899999999999999</v>
      </c>
      <c r="J859" s="7" t="n">
        <v>0</v>
      </c>
      <c r="K859" s="9" t="n">
        <v>0.6899999999999999</v>
      </c>
      <c r="L859" s="10" t="n">
        <v>3.68</v>
      </c>
      <c r="M859" s="10" t="n">
        <v>1.43</v>
      </c>
      <c r="N859" t="inlineStr">
        <is>
          <t>1</t>
        </is>
      </c>
      <c r="O859" t="inlineStr">
        <is>
          <t xml:space="preserve">3 </t>
        </is>
      </c>
      <c r="P859" t="inlineStr">
        <is>
          <t xml:space="preserve">248572  </t>
        </is>
      </c>
      <c r="Q859" s="26" t="n">
        <v>6.9</v>
      </c>
      <c r="R859" s="26">
        <f>Q859*G859</f>
        <v/>
      </c>
      <c r="S859" t="n">
        <v>4.09</v>
      </c>
      <c r="T859" s="18">
        <f>1 - V859/S859</f>
        <v/>
      </c>
      <c r="U859" s="18" t="n">
        <v>0</v>
      </c>
      <c r="V859" s="26" t="n">
        <v>4.09</v>
      </c>
      <c r="W859" s="26">
        <f>V859 - L859</f>
        <v/>
      </c>
    </row>
    <row r="860">
      <c r="A860" s="11" t="n">
        <v>46212</v>
      </c>
      <c r="B860" s="1" t="n">
        <v>20058</v>
      </c>
      <c r="C860" s="1" t="inlineStr">
        <is>
          <t>039</t>
        </is>
      </c>
      <c r="D860" s="1" t="inlineStr">
        <is>
          <t>229981</t>
        </is>
      </c>
      <c r="E860" s="1" t="inlineStr">
        <is>
          <t xml:space="preserve">30141766       </t>
        </is>
      </c>
      <c r="F860" s="5" t="inlineStr">
        <is>
          <t>TMZ BEAST MACHINES AUTOS DE METAL BLISTER X 1</t>
        </is>
      </c>
      <c r="G860" t="n">
        <v>1</v>
      </c>
      <c r="H860" s="7" t="n">
        <v>7.9</v>
      </c>
      <c r="I860" s="7" t="n">
        <v>0</v>
      </c>
      <c r="J860" s="7" t="n">
        <v>0</v>
      </c>
      <c r="K860" s="9" t="n">
        <v>0</v>
      </c>
      <c r="L860" s="10" t="n">
        <v>4.68</v>
      </c>
      <c r="M860" s="10" t="n">
        <v>1.43</v>
      </c>
      <c r="N860" t="inlineStr">
        <is>
          <t>1</t>
        </is>
      </c>
      <c r="O860" t="inlineStr">
        <is>
          <t xml:space="preserve">2 </t>
        </is>
      </c>
      <c r="P860" t="inlineStr">
        <is>
          <t xml:space="preserve">251350  </t>
        </is>
      </c>
      <c r="Q860" s="26" t="n">
        <v>7.9</v>
      </c>
      <c r="R860" s="26">
        <f>Q860*G860</f>
        <v/>
      </c>
      <c r="S860" t="n">
        <v>4.69</v>
      </c>
      <c r="T860" s="18">
        <f>1 - V860/S860</f>
        <v/>
      </c>
      <c r="U860" s="18" t="n">
        <v>0</v>
      </c>
      <c r="V860" s="26" t="n">
        <v>4.69</v>
      </c>
      <c r="W860" s="26">
        <f>V860 - L860</f>
        <v/>
      </c>
    </row>
    <row r="861">
      <c r="A861" s="11" t="n">
        <v>46212</v>
      </c>
      <c r="B861" s="1" t="n">
        <v>20062</v>
      </c>
      <c r="C861" s="1" t="inlineStr">
        <is>
          <t>014</t>
        </is>
      </c>
      <c r="D861" s="1" t="inlineStr">
        <is>
          <t>227911</t>
        </is>
      </c>
      <c r="E861" s="1" t="inlineStr">
        <is>
          <t xml:space="preserve">32457121       </t>
        </is>
      </c>
      <c r="F861" s="5" t="inlineStr">
        <is>
          <t>MUNECA STEFFI LOVE PASEO DE MASCOTAS + ACCESS.</t>
        </is>
      </c>
      <c r="G861" t="n">
        <v>1</v>
      </c>
      <c r="H861" s="7" t="n">
        <v>69.90000000000001</v>
      </c>
      <c r="I861" s="7" t="n">
        <v>6.99</v>
      </c>
      <c r="J861" s="7" t="n">
        <v>0</v>
      </c>
      <c r="K861" s="9" t="n">
        <v>6.99</v>
      </c>
      <c r="L861" s="10" t="n">
        <v>37.32</v>
      </c>
      <c r="M861" s="10" t="n">
        <v>1.43</v>
      </c>
      <c r="N861" t="inlineStr">
        <is>
          <t>1</t>
        </is>
      </c>
      <c r="O861" t="inlineStr">
        <is>
          <t xml:space="preserve">3 </t>
        </is>
      </c>
      <c r="P861" t="inlineStr">
        <is>
          <t xml:space="preserve">57106   </t>
        </is>
      </c>
      <c r="Q861" s="26" t="n">
        <v>69.90000000000001</v>
      </c>
      <c r="R861" s="26">
        <f>Q861*G861</f>
        <v/>
      </c>
      <c r="S861" t="n">
        <v>41.47</v>
      </c>
      <c r="T861" s="18">
        <f>1 - V861/S861</f>
        <v/>
      </c>
      <c r="U861" s="18" t="n">
        <v>0.4</v>
      </c>
      <c r="V861" s="26" t="n">
        <v>30.2206779661017</v>
      </c>
      <c r="W861" s="26">
        <f>V861 - L861</f>
        <v/>
      </c>
    </row>
    <row r="862">
      <c r="A862" s="11" t="n">
        <v>46212</v>
      </c>
      <c r="B862" s="1" t="n">
        <v>20062</v>
      </c>
      <c r="C862" s="1" t="inlineStr">
        <is>
          <t>017</t>
        </is>
      </c>
      <c r="D862" s="1" t="inlineStr">
        <is>
          <t>235376</t>
        </is>
      </c>
      <c r="E862" s="1" t="inlineStr">
        <is>
          <t xml:space="preserve">30232282       </t>
        </is>
      </c>
      <c r="F862" s="5" t="inlineStr">
        <is>
          <t>MANDIBULAS JUEGO DE PESCA</t>
        </is>
      </c>
      <c r="G862" t="n">
        <v>1</v>
      </c>
      <c r="H862" s="7" t="n">
        <v>119</v>
      </c>
      <c r="I862" s="7" t="n">
        <v>0</v>
      </c>
      <c r="J862" s="7" t="n">
        <v>0</v>
      </c>
      <c r="K862" s="9" t="n">
        <v>0</v>
      </c>
      <c r="L862" s="10" t="n">
        <v>70.59999999999999</v>
      </c>
      <c r="M862" s="10" t="n">
        <v>1.43</v>
      </c>
      <c r="N862" t="inlineStr">
        <is>
          <t>1</t>
        </is>
      </c>
      <c r="O862" t="inlineStr">
        <is>
          <t>16</t>
        </is>
      </c>
      <c r="P862" t="inlineStr">
        <is>
          <t xml:space="preserve">247900  </t>
        </is>
      </c>
      <c r="Q862" s="26" t="n">
        <v>119</v>
      </c>
      <c r="R862" s="26">
        <f>Q862*G862</f>
        <v/>
      </c>
      <c r="S862" t="n">
        <v>70.59</v>
      </c>
      <c r="T862" s="18">
        <f>1 - V862/S862</f>
        <v/>
      </c>
      <c r="U862" s="18" t="n">
        <v>0</v>
      </c>
      <c r="V862" s="26" t="n">
        <v>70.59</v>
      </c>
      <c r="W862" s="26">
        <f>V862 - L862</f>
        <v/>
      </c>
    </row>
    <row r="863">
      <c r="A863" s="11" t="n">
        <v>46212</v>
      </c>
      <c r="B863" s="1" t="n">
        <v>20062</v>
      </c>
      <c r="C863" s="1" t="inlineStr">
        <is>
          <t>017</t>
        </is>
      </c>
      <c r="D863" s="1" t="inlineStr">
        <is>
          <t>235387</t>
        </is>
      </c>
      <c r="E863" s="1" t="inlineStr">
        <is>
          <t xml:space="preserve">28194770       </t>
        </is>
      </c>
      <c r="F863" s="5" t="inlineStr">
        <is>
          <t>AUTOS DE METAL 3 TEAMSTERZ EN BLISTER</t>
        </is>
      </c>
      <c r="G863" t="n">
        <v>1</v>
      </c>
      <c r="H863" s="7" t="n">
        <v>6.9</v>
      </c>
      <c r="I863" s="7" t="n">
        <v>0</v>
      </c>
      <c r="J863" s="7" t="n">
        <v>0</v>
      </c>
      <c r="K863" s="9" t="n">
        <v>0</v>
      </c>
      <c r="L863" s="10" t="n">
        <v>4.1</v>
      </c>
      <c r="M863" s="10" t="n">
        <v>1.43</v>
      </c>
      <c r="N863" t="inlineStr">
        <is>
          <t>1</t>
        </is>
      </c>
      <c r="O863" t="inlineStr">
        <is>
          <t xml:space="preserve">2 </t>
        </is>
      </c>
      <c r="P863" t="inlineStr">
        <is>
          <t xml:space="preserve">247900  </t>
        </is>
      </c>
      <c r="Q863" s="26" t="n">
        <v>6.9</v>
      </c>
      <c r="R863" s="26">
        <f>Q863*G863</f>
        <v/>
      </c>
      <c r="S863" t="n">
        <v>4.09</v>
      </c>
      <c r="T863" s="18">
        <f>1 - V863/S863</f>
        <v/>
      </c>
      <c r="U863" s="18" t="n">
        <v>0</v>
      </c>
      <c r="V863" s="26" t="n">
        <v>4.09</v>
      </c>
      <c r="W863" s="26">
        <f>V863 - L863</f>
        <v/>
      </c>
    </row>
    <row r="864">
      <c r="A864" s="11" t="n">
        <v>46212</v>
      </c>
      <c r="B864" s="1" t="n">
        <v>20062</v>
      </c>
      <c r="C864" s="1" t="inlineStr">
        <is>
          <t>017</t>
        </is>
      </c>
      <c r="D864" s="1" t="inlineStr">
        <is>
          <t>235391</t>
        </is>
      </c>
      <c r="E864" s="1" t="inlineStr">
        <is>
          <t xml:space="preserve">32457101       </t>
        </is>
      </c>
      <c r="F864" s="5" t="inlineStr">
        <is>
          <t>TMZ BEAST MACHINES TRANSPORTE PESADO + 2 AUTOS SUR</t>
        </is>
      </c>
      <c r="G864" t="n">
        <v>1</v>
      </c>
      <c r="H864" s="7" t="n">
        <v>37.9</v>
      </c>
      <c r="I864" s="7" t="n">
        <v>0</v>
      </c>
      <c r="J864" s="7" t="n">
        <v>0</v>
      </c>
      <c r="K864" s="9" t="n">
        <v>0</v>
      </c>
      <c r="L864" s="10" t="n">
        <v>22.48</v>
      </c>
      <c r="M864" s="10" t="n">
        <v>1.43</v>
      </c>
      <c r="N864" t="inlineStr">
        <is>
          <t>1</t>
        </is>
      </c>
      <c r="O864" t="inlineStr">
        <is>
          <t>16</t>
        </is>
      </c>
      <c r="P864" t="inlineStr">
        <is>
          <t xml:space="preserve">247900  </t>
        </is>
      </c>
      <c r="Q864" s="26" t="n">
        <v>37.9</v>
      </c>
      <c r="R864" s="26">
        <f>Q864*G864</f>
        <v/>
      </c>
      <c r="S864" t="n">
        <v>22.48</v>
      </c>
      <c r="T864" s="18">
        <f>1 - V864/S864</f>
        <v/>
      </c>
      <c r="U864" s="18" t="n">
        <v>0.5277044854881267</v>
      </c>
      <c r="V864" s="26" t="n">
        <v>12.88694915254237</v>
      </c>
      <c r="W864" s="26">
        <f>V864 - L864</f>
        <v/>
      </c>
    </row>
    <row r="865">
      <c r="A865" s="11" t="n">
        <v>46212</v>
      </c>
      <c r="B865" s="1" t="n">
        <v>20062</v>
      </c>
      <c r="C865" s="1" t="inlineStr">
        <is>
          <t>018</t>
        </is>
      </c>
      <c r="D865" s="1" t="inlineStr">
        <is>
          <t xml:space="preserve">1980  </t>
        </is>
      </c>
      <c r="E865" s="1" t="inlineStr">
        <is>
          <t xml:space="preserve">34840553       </t>
        </is>
      </c>
      <c r="F865" s="5" t="inlineStr">
        <is>
          <t>TMZ AUTO LUZ Y SONIDO ESQUELET DINO T-REX</t>
        </is>
      </c>
      <c r="G865" t="n">
        <v>-1</v>
      </c>
      <c r="H865" s="7" t="n">
        <v>-71.91</v>
      </c>
      <c r="I865" s="7" t="n">
        <v>0</v>
      </c>
      <c r="J865" s="7" t="n">
        <v>0</v>
      </c>
      <c r="K865" s="9" t="n">
        <v>0</v>
      </c>
      <c r="L865" s="10" t="n">
        <v>-42.66</v>
      </c>
      <c r="M865" s="10" t="n">
        <v>0</v>
      </c>
      <c r="N865" t="inlineStr">
        <is>
          <t>3</t>
        </is>
      </c>
      <c r="O865" t="inlineStr">
        <is>
          <t>26</t>
        </is>
      </c>
      <c r="P865" t="inlineStr">
        <is>
          <t xml:space="preserve">237521  </t>
        </is>
      </c>
      <c r="Q865" s="26" t="n">
        <v>79.90000000000002</v>
      </c>
      <c r="R865" s="26">
        <f>Q865*G865</f>
        <v/>
      </c>
      <c r="S865" t="n">
        <v>-47.4</v>
      </c>
      <c r="T865" s="18">
        <f>1 - V865/S865</f>
        <v/>
      </c>
      <c r="U865" s="18" t="n">
        <v>0</v>
      </c>
      <c r="V865" s="26" t="n">
        <v>-47.4</v>
      </c>
      <c r="W865" s="26">
        <f>V865 - L865</f>
        <v/>
      </c>
    </row>
    <row r="866">
      <c r="A866" s="11" t="n">
        <v>46212</v>
      </c>
      <c r="B866" s="1" t="n">
        <v>20062</v>
      </c>
      <c r="C866" s="1" t="inlineStr">
        <is>
          <t>038</t>
        </is>
      </c>
      <c r="D866" s="1" t="inlineStr">
        <is>
          <t>173100</t>
        </is>
      </c>
      <c r="E866" s="1" t="inlineStr">
        <is>
          <t xml:space="preserve">35685067       </t>
        </is>
      </c>
      <c r="F866" s="5" t="inlineStr">
        <is>
          <t>HOT WHEELS POWER SET 3 EN 1</t>
        </is>
      </c>
      <c r="G866" t="n">
        <v>1</v>
      </c>
      <c r="H866" s="7" t="n">
        <v>49.9</v>
      </c>
      <c r="I866" s="7" t="n">
        <v>0</v>
      </c>
      <c r="J866" s="7" t="n">
        <v>0</v>
      </c>
      <c r="K866" s="9" t="n">
        <v>0</v>
      </c>
      <c r="L866" s="10" t="n">
        <v>29.6</v>
      </c>
      <c r="M866" s="10" t="n">
        <v>1.43</v>
      </c>
      <c r="N866" t="inlineStr">
        <is>
          <t>1</t>
        </is>
      </c>
      <c r="O866" t="inlineStr">
        <is>
          <t>16</t>
        </is>
      </c>
      <c r="P866" t="inlineStr">
        <is>
          <t xml:space="preserve">43396   </t>
        </is>
      </c>
      <c r="Q866" s="26" t="n">
        <v>49.9</v>
      </c>
      <c r="R866" s="26">
        <f>Q866*G866</f>
        <v/>
      </c>
      <c r="S866" t="n">
        <v>29.6</v>
      </c>
      <c r="T866" s="18">
        <f>1 - V866/S866</f>
        <v/>
      </c>
      <c r="U866" s="18" t="n">
        <v>0</v>
      </c>
      <c r="V866" s="26" t="n">
        <v>29.6</v>
      </c>
      <c r="W866" s="26">
        <f>V866 - L866</f>
        <v/>
      </c>
    </row>
    <row r="867">
      <c r="A867" s="11" t="n">
        <v>46212</v>
      </c>
      <c r="B867" s="1" t="n">
        <v>20062</v>
      </c>
      <c r="C867" s="1" t="inlineStr">
        <is>
          <t>510</t>
        </is>
      </c>
      <c r="D867" s="1" t="inlineStr">
        <is>
          <t xml:space="preserve">5893  </t>
        </is>
      </c>
      <c r="E867" s="1" t="inlineStr">
        <is>
          <t xml:space="preserve">34840553       </t>
        </is>
      </c>
      <c r="F867" s="5" t="inlineStr">
        <is>
          <t>TMZ AUTO LUZ Y SONIDO ESQUELET DINO T-REX</t>
        </is>
      </c>
      <c r="G867" t="n">
        <v>1</v>
      </c>
      <c r="H867" s="7" t="n">
        <v>79.90000000000001</v>
      </c>
      <c r="I867" s="7" t="n">
        <v>7.99</v>
      </c>
      <c r="J867" s="7" t="n">
        <v>0</v>
      </c>
      <c r="K867" s="9" t="n">
        <v>7.99</v>
      </c>
      <c r="L867" s="10" t="n">
        <v>42.66</v>
      </c>
      <c r="M867" s="10" t="n">
        <v>1.43</v>
      </c>
      <c r="N867" t="inlineStr">
        <is>
          <t>1</t>
        </is>
      </c>
      <c r="O867" t="inlineStr">
        <is>
          <t>16</t>
        </is>
      </c>
      <c r="P867" t="inlineStr">
        <is>
          <t xml:space="preserve">251321  </t>
        </is>
      </c>
      <c r="Q867" s="26" t="n">
        <v>79.90000000000002</v>
      </c>
      <c r="R867" s="26">
        <f>Q867*G867</f>
        <v/>
      </c>
      <c r="S867" t="n">
        <v>47.4</v>
      </c>
      <c r="T867" s="18">
        <f>1 - V867/S867</f>
        <v/>
      </c>
      <c r="U867" s="18" t="n">
        <v>0</v>
      </c>
      <c r="V867" s="26" t="n">
        <v>47.4</v>
      </c>
      <c r="W867" s="26">
        <f>V867 - L867</f>
        <v/>
      </c>
    </row>
    <row r="868">
      <c r="A868" s="11" t="n">
        <v>46212</v>
      </c>
      <c r="B868" s="1" t="n">
        <v>20066</v>
      </c>
      <c r="C868" s="1" t="inlineStr">
        <is>
          <t>059</t>
        </is>
      </c>
      <c r="D868" s="1" t="inlineStr">
        <is>
          <t xml:space="preserve">18032 </t>
        </is>
      </c>
      <c r="E868" s="1" t="inlineStr">
        <is>
          <t xml:space="preserve">28194769       </t>
        </is>
      </c>
      <c r="F868" s="5" t="inlineStr">
        <is>
          <t>AUTOS DE METAL 3 TEAMSTERZ PACK DE 2</t>
        </is>
      </c>
      <c r="G868" t="n">
        <v>1</v>
      </c>
      <c r="H868" s="7" t="n">
        <v>13.8</v>
      </c>
      <c r="I868" s="7" t="n">
        <v>0</v>
      </c>
      <c r="J868" s="7" t="n">
        <v>0</v>
      </c>
      <c r="K868" s="9" t="n">
        <v>0</v>
      </c>
      <c r="L868" s="10" t="n">
        <v>8.18</v>
      </c>
      <c r="M868" s="10" t="n">
        <v>1.43</v>
      </c>
      <c r="N868" t="inlineStr">
        <is>
          <t>1</t>
        </is>
      </c>
      <c r="O868" t="inlineStr">
        <is>
          <t xml:space="preserve">2 </t>
        </is>
      </c>
      <c r="P868" t="inlineStr">
        <is>
          <t xml:space="preserve">19353   </t>
        </is>
      </c>
      <c r="Q868" s="26" t="n">
        <v>13.8</v>
      </c>
      <c r="R868" s="26">
        <f>Q868*G868</f>
        <v/>
      </c>
      <c r="S868" t="n">
        <v>8.19</v>
      </c>
      <c r="T868" s="18">
        <f>1 - V868/S868</f>
        <v/>
      </c>
      <c r="U868" s="18" t="n">
        <v>0</v>
      </c>
      <c r="V868" s="26" t="n">
        <v>8.19</v>
      </c>
      <c r="W868" s="26">
        <f>V868 - L868</f>
        <v/>
      </c>
    </row>
    <row r="869">
      <c r="A869" s="11" t="n">
        <v>46212</v>
      </c>
      <c r="B869" s="1" t="n">
        <v>20066</v>
      </c>
      <c r="C869" s="1" t="inlineStr">
        <is>
          <t>061</t>
        </is>
      </c>
      <c r="D869" s="1" t="inlineStr">
        <is>
          <t xml:space="preserve">34684 </t>
        </is>
      </c>
      <c r="E869" s="1" t="inlineStr">
        <is>
          <t xml:space="preserve">28194770       </t>
        </is>
      </c>
      <c r="F869" s="5" t="inlineStr">
        <is>
          <t>AUTOS DE METAL 3 TEAMSTERZ EN BLISTER</t>
        </is>
      </c>
      <c r="G869" t="n">
        <v>1</v>
      </c>
      <c r="H869" s="7" t="n">
        <v>6.9</v>
      </c>
      <c r="I869" s="7" t="n">
        <v>0</v>
      </c>
      <c r="J869" s="7" t="n">
        <v>0</v>
      </c>
      <c r="K869" s="9" t="n">
        <v>0</v>
      </c>
      <c r="L869" s="10" t="n">
        <v>4.1</v>
      </c>
      <c r="M869" s="10" t="n">
        <v>1.43</v>
      </c>
      <c r="N869" t="inlineStr">
        <is>
          <t>1</t>
        </is>
      </c>
      <c r="O869" t="inlineStr">
        <is>
          <t>16</t>
        </is>
      </c>
      <c r="P869" t="inlineStr">
        <is>
          <t xml:space="preserve">52700   </t>
        </is>
      </c>
      <c r="Q869" s="26" t="n">
        <v>6.9</v>
      </c>
      <c r="R869" s="26">
        <f>Q869*G869</f>
        <v/>
      </c>
      <c r="S869" t="n">
        <v>4.09</v>
      </c>
      <c r="T869" s="18">
        <f>1 - V869/S869</f>
        <v/>
      </c>
      <c r="U869" s="18" t="n">
        <v>0</v>
      </c>
      <c r="V869" s="26" t="n">
        <v>4.09</v>
      </c>
      <c r="W869" s="26">
        <f>V869 - L869</f>
        <v/>
      </c>
    </row>
    <row r="870">
      <c r="A870" s="11" t="n">
        <v>46212</v>
      </c>
      <c r="B870" s="1" t="n">
        <v>20066</v>
      </c>
      <c r="C870" s="1" t="inlineStr">
        <is>
          <t>061</t>
        </is>
      </c>
      <c r="D870" s="1" t="inlineStr">
        <is>
          <t xml:space="preserve">34684 </t>
        </is>
      </c>
      <c r="E870" s="1" t="inlineStr">
        <is>
          <t xml:space="preserve">28194770       </t>
        </is>
      </c>
      <c r="F870" s="5" t="inlineStr">
        <is>
          <t>AUTOS DE METAL 3 TEAMSTERZ EN BLISTER</t>
        </is>
      </c>
      <c r="G870" t="n">
        <v>1</v>
      </c>
      <c r="H870" s="7" t="n">
        <v>6.9</v>
      </c>
      <c r="I870" s="7" t="n">
        <v>0</v>
      </c>
      <c r="J870" s="7" t="n">
        <v>0</v>
      </c>
      <c r="K870" s="9" t="n">
        <v>0</v>
      </c>
      <c r="L870" s="10" t="n">
        <v>4.1</v>
      </c>
      <c r="M870" s="10" t="n">
        <v>1.43</v>
      </c>
      <c r="N870" t="inlineStr">
        <is>
          <t>1</t>
        </is>
      </c>
      <c r="O870" t="inlineStr">
        <is>
          <t>16</t>
        </is>
      </c>
      <c r="P870" t="inlineStr">
        <is>
          <t xml:space="preserve">52700   </t>
        </is>
      </c>
      <c r="Q870" s="26" t="n">
        <v>6.9</v>
      </c>
      <c r="R870" s="26">
        <f>Q870*G870</f>
        <v/>
      </c>
      <c r="S870" t="n">
        <v>4.09</v>
      </c>
      <c r="T870" s="18">
        <f>1 - V870/S870</f>
        <v/>
      </c>
      <c r="U870" s="18" t="n">
        <v>0</v>
      </c>
      <c r="V870" s="26" t="n">
        <v>4.09</v>
      </c>
      <c r="W870" s="26">
        <f>V870 - L870</f>
        <v/>
      </c>
    </row>
    <row r="871">
      <c r="A871" s="11" t="n">
        <v>46212</v>
      </c>
      <c r="B871" s="1" t="n">
        <v>20069</v>
      </c>
      <c r="C871" s="1" t="inlineStr">
        <is>
          <t>026</t>
        </is>
      </c>
      <c r="D871" s="1" t="inlineStr">
        <is>
          <t>358932</t>
        </is>
      </c>
      <c r="E871" s="1" t="inlineStr">
        <is>
          <t xml:space="preserve">28194769       </t>
        </is>
      </c>
      <c r="F871" s="5" t="inlineStr">
        <is>
          <t>AUTOS DE METAL 3 TEAMSTERZ PACK DE 2</t>
        </is>
      </c>
      <c r="G871" t="n">
        <v>1</v>
      </c>
      <c r="H871" s="7" t="n">
        <v>13.8</v>
      </c>
      <c r="I871" s="7" t="n">
        <v>0</v>
      </c>
      <c r="J871" s="7" t="n">
        <v>0</v>
      </c>
      <c r="K871" s="9" t="n">
        <v>0</v>
      </c>
      <c r="L871" s="10" t="n">
        <v>8.18</v>
      </c>
      <c r="M871" s="10" t="n">
        <v>1.43</v>
      </c>
      <c r="N871" t="inlineStr">
        <is>
          <t>1</t>
        </is>
      </c>
      <c r="O871" t="inlineStr">
        <is>
          <t>16</t>
        </is>
      </c>
      <c r="P871" t="inlineStr">
        <is>
          <t xml:space="preserve">247845  </t>
        </is>
      </c>
      <c r="Q871" s="26" t="n">
        <v>13.8</v>
      </c>
      <c r="R871" s="26">
        <f>Q871*G871</f>
        <v/>
      </c>
      <c r="S871" t="n">
        <v>8.19</v>
      </c>
      <c r="T871" s="18">
        <f>1 - V871/S871</f>
        <v/>
      </c>
      <c r="U871" s="18" t="n">
        <v>0</v>
      </c>
      <c r="V871" s="26" t="n">
        <v>8.19</v>
      </c>
      <c r="W871" s="26">
        <f>V871 - L871</f>
        <v/>
      </c>
    </row>
    <row r="872">
      <c r="A872" s="11" t="n">
        <v>46212</v>
      </c>
      <c r="B872" s="1" t="n">
        <v>20073</v>
      </c>
      <c r="C872" s="1" t="inlineStr">
        <is>
          <t>034</t>
        </is>
      </c>
      <c r="D872" s="1" t="inlineStr">
        <is>
          <t>344188</t>
        </is>
      </c>
      <c r="E872" s="1" t="inlineStr">
        <is>
          <t xml:space="preserve">32457111       </t>
        </is>
      </c>
      <c r="F872" s="5" t="inlineStr">
        <is>
          <t>TMZ BEAST MACHINES MONSTER JAWS A FRICCION PACK DE</t>
        </is>
      </c>
      <c r="G872" t="n">
        <v>1</v>
      </c>
      <c r="H872" s="7" t="n">
        <v>74.90000000000001</v>
      </c>
      <c r="I872" s="7" t="n">
        <v>0</v>
      </c>
      <c r="J872" s="7" t="n">
        <v>0</v>
      </c>
      <c r="K872" s="9" t="n">
        <v>0</v>
      </c>
      <c r="L872" s="10" t="n">
        <v>44.43</v>
      </c>
      <c r="M872" s="10" t="n">
        <v>1.43</v>
      </c>
      <c r="N872" t="inlineStr">
        <is>
          <t>1</t>
        </is>
      </c>
      <c r="O872" t="inlineStr">
        <is>
          <t>16</t>
        </is>
      </c>
      <c r="P872" t="inlineStr">
        <is>
          <t xml:space="preserve">102492  </t>
        </is>
      </c>
      <c r="Q872" s="26" t="n">
        <v>74.90000000000001</v>
      </c>
      <c r="R872" s="26">
        <f>Q872*G872</f>
        <v/>
      </c>
      <c r="S872" t="n">
        <v>44.43</v>
      </c>
      <c r="T872" s="18">
        <f>1 - V872/S872</f>
        <v/>
      </c>
      <c r="U872" s="18" t="n">
        <v>0.2670226969292391</v>
      </c>
      <c r="V872" s="26" t="n">
        <v>31.92406779661017</v>
      </c>
      <c r="W872" s="26">
        <f>V872 - L872</f>
        <v/>
      </c>
    </row>
    <row r="873">
      <c r="A873" s="11" t="n">
        <v>46212</v>
      </c>
      <c r="B873" s="1" t="n">
        <v>20073</v>
      </c>
      <c r="C873" s="1" t="inlineStr">
        <is>
          <t>046</t>
        </is>
      </c>
      <c r="D873" s="1" t="inlineStr">
        <is>
          <t>207488</t>
        </is>
      </c>
      <c r="E873" s="1" t="inlineStr">
        <is>
          <t xml:space="preserve">30141766       </t>
        </is>
      </c>
      <c r="F873" s="5" t="inlineStr">
        <is>
          <t>TMZ BEAST MACHINES AUTOS DE METAL BLISTER X 1</t>
        </is>
      </c>
      <c r="G873" t="n">
        <v>1</v>
      </c>
      <c r="H873" s="7" t="n">
        <v>7.9</v>
      </c>
      <c r="I873" s="7" t="n">
        <v>0</v>
      </c>
      <c r="J873" s="7" t="n">
        <v>0</v>
      </c>
      <c r="K873" s="9" t="n">
        <v>0</v>
      </c>
      <c r="L873" s="10" t="n">
        <v>4.68</v>
      </c>
      <c r="M873" s="10" t="n">
        <v>1.43</v>
      </c>
      <c r="N873" t="inlineStr">
        <is>
          <t>1</t>
        </is>
      </c>
      <c r="O873" t="inlineStr">
        <is>
          <t xml:space="preserve">2 </t>
        </is>
      </c>
      <c r="P873" t="inlineStr">
        <is>
          <t xml:space="preserve">57881   </t>
        </is>
      </c>
      <c r="Q873" s="26" t="n">
        <v>7.9</v>
      </c>
      <c r="R873" s="26">
        <f>Q873*G873</f>
        <v/>
      </c>
      <c r="S873" t="n">
        <v>4.69</v>
      </c>
      <c r="T873" s="18">
        <f>1 - V873/S873</f>
        <v/>
      </c>
      <c r="U873" s="18" t="n">
        <v>0</v>
      </c>
      <c r="V873" s="26" t="n">
        <v>4.69</v>
      </c>
      <c r="W873" s="26">
        <f>V873 - L873</f>
        <v/>
      </c>
    </row>
    <row r="874">
      <c r="A874" s="11" t="n">
        <v>46212</v>
      </c>
      <c r="B874" s="1" t="n">
        <v>20073</v>
      </c>
      <c r="C874" s="1" t="inlineStr">
        <is>
          <t>046</t>
        </is>
      </c>
      <c r="D874" s="1" t="inlineStr">
        <is>
          <t>207488</t>
        </is>
      </c>
      <c r="E874" s="1" t="inlineStr">
        <is>
          <t xml:space="preserve">32457099       </t>
        </is>
      </c>
      <c r="F874" s="5" t="inlineStr">
        <is>
          <t>TMZ BEAST MACHINES MONSTER JAWS A FRICCION BLISTER</t>
        </is>
      </c>
      <c r="G874" t="n">
        <v>1</v>
      </c>
      <c r="H874" s="7" t="n">
        <v>19.9</v>
      </c>
      <c r="I874" s="7" t="n">
        <v>0</v>
      </c>
      <c r="J874" s="7" t="n">
        <v>0</v>
      </c>
      <c r="K874" s="9" t="n">
        <v>0</v>
      </c>
      <c r="L874" s="10" t="n">
        <v>11.8</v>
      </c>
      <c r="M874" s="10" t="n">
        <v>1.43</v>
      </c>
      <c r="N874" t="inlineStr">
        <is>
          <t>1</t>
        </is>
      </c>
      <c r="O874" t="inlineStr">
        <is>
          <t xml:space="preserve">2 </t>
        </is>
      </c>
      <c r="P874" t="inlineStr">
        <is>
          <t xml:space="preserve">57881   </t>
        </is>
      </c>
      <c r="Q874" s="26" t="n">
        <v>19.9</v>
      </c>
      <c r="R874" s="26">
        <f>Q874*G874</f>
        <v/>
      </c>
      <c r="S874" t="n">
        <v>11.81</v>
      </c>
      <c r="T874" s="18">
        <f>1 - V874/S874</f>
        <v/>
      </c>
      <c r="U874" s="18" t="n">
        <v>0.1005025125628141</v>
      </c>
      <c r="V874" s="26" t="n">
        <v>8.417118644067797</v>
      </c>
      <c r="W874" s="26">
        <f>V874 - L874</f>
        <v/>
      </c>
    </row>
    <row r="875">
      <c r="A875" s="11" t="n">
        <v>46212</v>
      </c>
      <c r="B875" s="1" t="n">
        <v>20074</v>
      </c>
      <c r="C875" s="1" t="inlineStr">
        <is>
          <t>024</t>
        </is>
      </c>
      <c r="D875" s="1" t="inlineStr">
        <is>
          <t>364106</t>
        </is>
      </c>
      <c r="E875" s="1" t="inlineStr">
        <is>
          <t xml:space="preserve">28194770       </t>
        </is>
      </c>
      <c r="F875" s="5" t="inlineStr">
        <is>
          <t>AUTOS DE METAL 3 TEAMSTERZ EN BLISTER</t>
        </is>
      </c>
      <c r="G875" t="n">
        <v>1</v>
      </c>
      <c r="H875" s="7" t="n">
        <v>6.9</v>
      </c>
      <c r="I875" s="7" t="n">
        <v>0</v>
      </c>
      <c r="J875" s="7" t="n">
        <v>0</v>
      </c>
      <c r="K875" s="9" t="n">
        <v>0</v>
      </c>
      <c r="L875" s="10" t="n">
        <v>4.1</v>
      </c>
      <c r="M875" s="10" t="n">
        <v>1.43</v>
      </c>
      <c r="N875" t="inlineStr">
        <is>
          <t>1</t>
        </is>
      </c>
      <c r="O875" t="inlineStr">
        <is>
          <t>16</t>
        </is>
      </c>
      <c r="P875" t="inlineStr">
        <is>
          <t xml:space="preserve">102135  </t>
        </is>
      </c>
      <c r="Q875" s="26" t="n">
        <v>6.9</v>
      </c>
      <c r="R875" s="26">
        <f>Q875*G875</f>
        <v/>
      </c>
      <c r="S875" t="n">
        <v>4.09</v>
      </c>
      <c r="T875" s="18">
        <f>1 - V875/S875</f>
        <v/>
      </c>
      <c r="U875" s="18" t="n">
        <v>0</v>
      </c>
      <c r="V875" s="26" t="n">
        <v>4.09</v>
      </c>
      <c r="W875" s="26">
        <f>V875 - L875</f>
        <v/>
      </c>
    </row>
    <row r="876">
      <c r="A876" s="11" t="n">
        <v>46212</v>
      </c>
      <c r="B876" s="1" t="n">
        <v>20074</v>
      </c>
      <c r="C876" s="1" t="inlineStr">
        <is>
          <t>024</t>
        </is>
      </c>
      <c r="D876" s="1" t="inlineStr">
        <is>
          <t>364106</t>
        </is>
      </c>
      <c r="E876" s="1" t="inlineStr">
        <is>
          <t xml:space="preserve">28194770       </t>
        </is>
      </c>
      <c r="F876" s="5" t="inlineStr">
        <is>
          <t>AUTOS DE METAL 3 TEAMSTERZ EN BLISTER</t>
        </is>
      </c>
      <c r="G876" t="n">
        <v>1</v>
      </c>
      <c r="H876" s="7" t="n">
        <v>6.9</v>
      </c>
      <c r="I876" s="7" t="n">
        <v>0</v>
      </c>
      <c r="J876" s="7" t="n">
        <v>0</v>
      </c>
      <c r="K876" s="9" t="n">
        <v>0</v>
      </c>
      <c r="L876" s="10" t="n">
        <v>4.1</v>
      </c>
      <c r="M876" s="10" t="n">
        <v>1.43</v>
      </c>
      <c r="N876" t="inlineStr">
        <is>
          <t>1</t>
        </is>
      </c>
      <c r="O876" t="inlineStr">
        <is>
          <t>16</t>
        </is>
      </c>
      <c r="P876" t="inlineStr">
        <is>
          <t xml:space="preserve">102135  </t>
        </is>
      </c>
      <c r="Q876" s="26" t="n">
        <v>6.9</v>
      </c>
      <c r="R876" s="26">
        <f>Q876*G876</f>
        <v/>
      </c>
      <c r="S876" t="n">
        <v>4.09</v>
      </c>
      <c r="T876" s="18">
        <f>1 - V876/S876</f>
        <v/>
      </c>
      <c r="U876" s="18" t="n">
        <v>0</v>
      </c>
      <c r="V876" s="26" t="n">
        <v>4.09</v>
      </c>
      <c r="W876" s="26">
        <f>V876 - L876</f>
        <v/>
      </c>
    </row>
    <row r="877">
      <c r="A877" s="11" t="n">
        <v>46212</v>
      </c>
      <c r="B877" s="1" t="n">
        <v>20077</v>
      </c>
      <c r="C877" s="1" t="inlineStr">
        <is>
          <t>029</t>
        </is>
      </c>
      <c r="D877" s="1" t="inlineStr">
        <is>
          <t>155840</t>
        </is>
      </c>
      <c r="E877" s="1" t="inlineStr">
        <is>
          <t xml:space="preserve">31959957       </t>
        </is>
      </c>
      <c r="F877" s="5" t="inlineStr">
        <is>
          <t>TEAMSTERZ PLAYSET RESCATE EN EL MAR</t>
        </is>
      </c>
      <c r="G877" t="n">
        <v>1</v>
      </c>
      <c r="H877" s="7" t="n">
        <v>19.9</v>
      </c>
      <c r="I877" s="7" t="n">
        <v>0</v>
      </c>
      <c r="J877" s="7" t="n">
        <v>0</v>
      </c>
      <c r="K877" s="9" t="n">
        <v>0</v>
      </c>
      <c r="L877" s="10" t="n">
        <v>11.8</v>
      </c>
      <c r="M877" s="10" t="n">
        <v>1.43</v>
      </c>
      <c r="N877" t="inlineStr">
        <is>
          <t>1</t>
        </is>
      </c>
      <c r="O877" t="inlineStr">
        <is>
          <t xml:space="preserve">2 </t>
        </is>
      </c>
      <c r="P877" t="inlineStr">
        <is>
          <t xml:space="preserve">238517  </t>
        </is>
      </c>
      <c r="Q877" s="26" t="n">
        <v>19.9</v>
      </c>
      <c r="R877" s="26">
        <f>Q877*G877</f>
        <v/>
      </c>
      <c r="S877" t="n">
        <v>11.81</v>
      </c>
      <c r="T877" s="18">
        <f>1 - V877/S877</f>
        <v/>
      </c>
      <c r="U877" s="18" t="n">
        <v>0</v>
      </c>
      <c r="V877" s="26" t="n">
        <v>11.81</v>
      </c>
      <c r="W877" s="26">
        <f>V877 - L877</f>
        <v/>
      </c>
    </row>
    <row r="878">
      <c r="A878" s="11" t="n">
        <v>46212</v>
      </c>
      <c r="B878" s="1" t="n">
        <v>20080</v>
      </c>
      <c r="C878" s="1" t="inlineStr">
        <is>
          <t>029</t>
        </is>
      </c>
      <c r="D878" s="1" t="inlineStr">
        <is>
          <t>225126</t>
        </is>
      </c>
      <c r="E878" s="1" t="inlineStr">
        <is>
          <t xml:space="preserve">32457103       </t>
        </is>
      </c>
      <c r="F878" s="5" t="inlineStr">
        <is>
          <t>TMZ BEAST MACHINES MONSTER JAWS A FRICCION PACK DE</t>
        </is>
      </c>
      <c r="G878" t="n">
        <v>1</v>
      </c>
      <c r="H878" s="7" t="n">
        <v>37.9</v>
      </c>
      <c r="I878" s="7" t="n">
        <v>0</v>
      </c>
      <c r="J878" s="7" t="n">
        <v>0</v>
      </c>
      <c r="K878" s="9" t="n">
        <v>0</v>
      </c>
      <c r="L878" s="10" t="n">
        <v>22.48</v>
      </c>
      <c r="M878" s="10" t="n">
        <v>1.43</v>
      </c>
      <c r="N878" t="inlineStr">
        <is>
          <t>1</t>
        </is>
      </c>
      <c r="O878" t="inlineStr">
        <is>
          <t xml:space="preserve">2 </t>
        </is>
      </c>
      <c r="P878" t="inlineStr">
        <is>
          <t xml:space="preserve">89863   </t>
        </is>
      </c>
      <c r="Q878" s="26" t="n">
        <v>37.9</v>
      </c>
      <c r="R878" s="26">
        <f>Q878*G878</f>
        <v/>
      </c>
      <c r="S878" t="n">
        <v>22.48</v>
      </c>
      <c r="T878" s="18">
        <f>1 - V878/S878</f>
        <v/>
      </c>
      <c r="U878" s="18" t="n">
        <v>0.1319261213720316</v>
      </c>
      <c r="V878" s="26" t="n">
        <v>16.75101694915254</v>
      </c>
      <c r="W878" s="26">
        <f>V878 - L878</f>
        <v/>
      </c>
    </row>
    <row r="879">
      <c r="A879" s="11" t="n">
        <v>46212</v>
      </c>
      <c r="B879" s="1" t="n">
        <v>20086</v>
      </c>
      <c r="C879" s="1" t="inlineStr">
        <is>
          <t>022</t>
        </is>
      </c>
      <c r="D879" s="1" t="inlineStr">
        <is>
          <t>112777</t>
        </is>
      </c>
      <c r="E879" s="1" t="inlineStr">
        <is>
          <t xml:space="preserve">28194770       </t>
        </is>
      </c>
      <c r="F879" s="5" t="inlineStr">
        <is>
          <t>AUTOS DE METAL 3 TEAMSTERZ EN BLISTER</t>
        </is>
      </c>
      <c r="G879" t="n">
        <v>1</v>
      </c>
      <c r="H879" s="7" t="n">
        <v>6.9</v>
      </c>
      <c r="I879" s="7" t="n">
        <v>0</v>
      </c>
      <c r="J879" s="7" t="n">
        <v>0</v>
      </c>
      <c r="K879" s="9" t="n">
        <v>0</v>
      </c>
      <c r="L879" s="10" t="n">
        <v>4.1</v>
      </c>
      <c r="M879" s="10" t="n">
        <v>1.43</v>
      </c>
      <c r="N879" t="inlineStr">
        <is>
          <t>1</t>
        </is>
      </c>
      <c r="O879" t="inlineStr">
        <is>
          <t>16</t>
        </is>
      </c>
      <c r="P879" t="inlineStr">
        <is>
          <t xml:space="preserve">231840  </t>
        </is>
      </c>
      <c r="Q879" s="26" t="n">
        <v>6.9</v>
      </c>
      <c r="R879" s="26">
        <f>Q879*G879</f>
        <v/>
      </c>
      <c r="S879" t="n">
        <v>4.09</v>
      </c>
      <c r="T879" s="18">
        <f>1 - V879/S879</f>
        <v/>
      </c>
      <c r="U879" s="18" t="n">
        <v>0</v>
      </c>
      <c r="V879" s="26" t="n">
        <v>4.09</v>
      </c>
      <c r="W879" s="26">
        <f>V879 - L879</f>
        <v/>
      </c>
    </row>
    <row r="880">
      <c r="A880" s="11" t="n">
        <v>46212</v>
      </c>
      <c r="B880" s="1" t="n">
        <v>20086</v>
      </c>
      <c r="C880" s="1" t="inlineStr">
        <is>
          <t>022</t>
        </is>
      </c>
      <c r="D880" s="1" t="inlineStr">
        <is>
          <t>112777</t>
        </is>
      </c>
      <c r="E880" s="1" t="inlineStr">
        <is>
          <t xml:space="preserve">28194770       </t>
        </is>
      </c>
      <c r="F880" s="5" t="inlineStr">
        <is>
          <t>AUTOS DE METAL 3 TEAMSTERZ EN BLISTER</t>
        </is>
      </c>
      <c r="G880" t="n">
        <v>1</v>
      </c>
      <c r="H880" s="7" t="n">
        <v>6.9</v>
      </c>
      <c r="I880" s="7" t="n">
        <v>0</v>
      </c>
      <c r="J880" s="7" t="n">
        <v>0</v>
      </c>
      <c r="K880" s="9" t="n">
        <v>0</v>
      </c>
      <c r="L880" s="10" t="n">
        <v>4.1</v>
      </c>
      <c r="M880" s="10" t="n">
        <v>1.43</v>
      </c>
      <c r="N880" t="inlineStr">
        <is>
          <t>1</t>
        </is>
      </c>
      <c r="O880" t="inlineStr">
        <is>
          <t>16</t>
        </is>
      </c>
      <c r="P880" t="inlineStr">
        <is>
          <t xml:space="preserve">231840  </t>
        </is>
      </c>
      <c r="Q880" s="26" t="n">
        <v>6.9</v>
      </c>
      <c r="R880" s="26">
        <f>Q880*G880</f>
        <v/>
      </c>
      <c r="S880" t="n">
        <v>4.09</v>
      </c>
      <c r="T880" s="18">
        <f>1 - V880/S880</f>
        <v/>
      </c>
      <c r="U880" s="18" t="n">
        <v>0</v>
      </c>
      <c r="V880" s="26" t="n">
        <v>4.09</v>
      </c>
      <c r="W880" s="26">
        <f>V880 - L880</f>
        <v/>
      </c>
    </row>
    <row r="881">
      <c r="A881" s="11" t="n">
        <v>46212</v>
      </c>
      <c r="B881" s="1" t="n">
        <v>20086</v>
      </c>
      <c r="C881" s="1" t="inlineStr">
        <is>
          <t>022</t>
        </is>
      </c>
      <c r="D881" s="1" t="inlineStr">
        <is>
          <t>112777</t>
        </is>
      </c>
      <c r="E881" s="1" t="inlineStr">
        <is>
          <t xml:space="preserve">28194770       </t>
        </is>
      </c>
      <c r="F881" s="5" t="inlineStr">
        <is>
          <t>AUTOS DE METAL 3 TEAMSTERZ EN BLISTER</t>
        </is>
      </c>
      <c r="G881" t="n">
        <v>1</v>
      </c>
      <c r="H881" s="7" t="n">
        <v>6.9</v>
      </c>
      <c r="I881" s="7" t="n">
        <v>0</v>
      </c>
      <c r="J881" s="7" t="n">
        <v>0</v>
      </c>
      <c r="K881" s="9" t="n">
        <v>0</v>
      </c>
      <c r="L881" s="10" t="n">
        <v>4.1</v>
      </c>
      <c r="M881" s="10" t="n">
        <v>1.43</v>
      </c>
      <c r="N881" t="inlineStr">
        <is>
          <t>1</t>
        </is>
      </c>
      <c r="O881" t="inlineStr">
        <is>
          <t>16</t>
        </is>
      </c>
      <c r="P881" t="inlineStr">
        <is>
          <t xml:space="preserve">231840  </t>
        </is>
      </c>
      <c r="Q881" s="26" t="n">
        <v>6.9</v>
      </c>
      <c r="R881" s="26">
        <f>Q881*G881</f>
        <v/>
      </c>
      <c r="S881" t="n">
        <v>4.09</v>
      </c>
      <c r="T881" s="18">
        <f>1 - V881/S881</f>
        <v/>
      </c>
      <c r="U881" s="18" t="n">
        <v>0</v>
      </c>
      <c r="V881" s="26" t="n">
        <v>4.09</v>
      </c>
      <c r="W881" s="26">
        <f>V881 - L881</f>
        <v/>
      </c>
    </row>
    <row r="882">
      <c r="A882" s="11" t="n">
        <v>46212</v>
      </c>
      <c r="B882" s="1" t="n">
        <v>20086</v>
      </c>
      <c r="C882" s="1" t="inlineStr">
        <is>
          <t>192</t>
        </is>
      </c>
      <c r="D882" s="1" t="inlineStr">
        <is>
          <t>128998</t>
        </is>
      </c>
      <c r="E882" s="1" t="inlineStr">
        <is>
          <t xml:space="preserve">28194769       </t>
        </is>
      </c>
      <c r="F882" s="5" t="inlineStr">
        <is>
          <t>AUTOS DE METAL 3 TEAMSTERZ PACK DE 2</t>
        </is>
      </c>
      <c r="G882" t="n">
        <v>1</v>
      </c>
      <c r="H882" s="7" t="n">
        <v>13.8</v>
      </c>
      <c r="I882" s="7" t="n">
        <v>0</v>
      </c>
      <c r="J882" s="7" t="n">
        <v>0</v>
      </c>
      <c r="K882" s="9" t="n">
        <v>0</v>
      </c>
      <c r="L882" s="10" t="n">
        <v>8.18</v>
      </c>
      <c r="M882" s="10" t="n">
        <v>1.43</v>
      </c>
      <c r="N882" t="inlineStr">
        <is>
          <t>1</t>
        </is>
      </c>
      <c r="O882" t="inlineStr">
        <is>
          <t>16</t>
        </is>
      </c>
      <c r="P882" t="inlineStr">
        <is>
          <t xml:space="preserve">248983  </t>
        </is>
      </c>
      <c r="Q882" s="26" t="n">
        <v>13.8</v>
      </c>
      <c r="R882" s="26">
        <f>Q882*G882</f>
        <v/>
      </c>
      <c r="S882" t="n">
        <v>8.19</v>
      </c>
      <c r="T882" s="18">
        <f>1 - V882/S882</f>
        <v/>
      </c>
      <c r="U882" s="18" t="n">
        <v>0</v>
      </c>
      <c r="V882" s="26" t="n">
        <v>8.19</v>
      </c>
      <c r="W882" s="26">
        <f>V882 - L882</f>
        <v/>
      </c>
    </row>
    <row r="883">
      <c r="A883" s="11" t="n">
        <v>46212</v>
      </c>
      <c r="B883" s="1" t="n">
        <v>20088</v>
      </c>
      <c r="C883" s="1" t="inlineStr">
        <is>
          <t>023</t>
        </is>
      </c>
      <c r="D883" s="1" t="inlineStr">
        <is>
          <t>126708</t>
        </is>
      </c>
      <c r="E883" s="1" t="inlineStr">
        <is>
          <t xml:space="preserve">28194770       </t>
        </is>
      </c>
      <c r="F883" s="5" t="inlineStr">
        <is>
          <t>AUTOS DE METAL 3 TEAMSTERZ EN BLISTER</t>
        </is>
      </c>
      <c r="G883" t="n">
        <v>1</v>
      </c>
      <c r="H883" s="7" t="n">
        <v>6.9</v>
      </c>
      <c r="I883" s="7" t="n">
        <v>0</v>
      </c>
      <c r="J883" s="7" t="n">
        <v>0</v>
      </c>
      <c r="K883" s="9" t="n">
        <v>0</v>
      </c>
      <c r="L883" s="10" t="n">
        <v>4.1</v>
      </c>
      <c r="M883" s="10" t="n">
        <v>1.43</v>
      </c>
      <c r="N883" t="inlineStr">
        <is>
          <t>1</t>
        </is>
      </c>
      <c r="O883" t="inlineStr">
        <is>
          <t xml:space="preserve">2 </t>
        </is>
      </c>
      <c r="P883" t="inlineStr">
        <is>
          <t xml:space="preserve">235264  </t>
        </is>
      </c>
      <c r="Q883" s="26" t="n">
        <v>6.9</v>
      </c>
      <c r="R883" s="26">
        <f>Q883*G883</f>
        <v/>
      </c>
      <c r="S883" t="n">
        <v>4.09</v>
      </c>
      <c r="T883" s="18">
        <f>1 - V883/S883</f>
        <v/>
      </c>
      <c r="U883" s="18" t="n">
        <v>0</v>
      </c>
      <c r="V883" s="26" t="n">
        <v>4.09</v>
      </c>
      <c r="W883" s="26">
        <f>V883 - L883</f>
        <v/>
      </c>
    </row>
    <row r="884">
      <c r="A884" s="11" t="n">
        <v>46212</v>
      </c>
      <c r="B884" s="1" t="n">
        <v>20088</v>
      </c>
      <c r="C884" s="1" t="inlineStr">
        <is>
          <t>023</t>
        </is>
      </c>
      <c r="D884" s="1" t="inlineStr">
        <is>
          <t>126708</t>
        </is>
      </c>
      <c r="E884" s="1" t="inlineStr">
        <is>
          <t xml:space="preserve">30141766       </t>
        </is>
      </c>
      <c r="F884" s="5" t="inlineStr">
        <is>
          <t>TMZ BEAST MACHINES AUTOS DE METAL BLISTER X 1</t>
        </is>
      </c>
      <c r="G884" t="n">
        <v>1</v>
      </c>
      <c r="H884" s="7" t="n">
        <v>7.9</v>
      </c>
      <c r="I884" s="7" t="n">
        <v>0</v>
      </c>
      <c r="J884" s="7" t="n">
        <v>0</v>
      </c>
      <c r="K884" s="9" t="n">
        <v>0</v>
      </c>
      <c r="L884" s="10" t="n">
        <v>4.68</v>
      </c>
      <c r="M884" s="10" t="n">
        <v>1.43</v>
      </c>
      <c r="N884" t="inlineStr">
        <is>
          <t>1</t>
        </is>
      </c>
      <c r="O884" t="inlineStr">
        <is>
          <t xml:space="preserve">2 </t>
        </is>
      </c>
      <c r="P884" t="inlineStr">
        <is>
          <t xml:space="preserve">235264  </t>
        </is>
      </c>
      <c r="Q884" s="26" t="n">
        <v>7.9</v>
      </c>
      <c r="R884" s="26">
        <f>Q884*G884</f>
        <v/>
      </c>
      <c r="S884" t="n">
        <v>4.69</v>
      </c>
      <c r="T884" s="18">
        <f>1 - V884/S884</f>
        <v/>
      </c>
      <c r="U884" s="18" t="n">
        <v>0</v>
      </c>
      <c r="V884" s="26" t="n">
        <v>4.69</v>
      </c>
      <c r="W884" s="26">
        <f>V884 - L884</f>
        <v/>
      </c>
    </row>
    <row r="885">
      <c r="A885" s="11" t="n">
        <v>46212</v>
      </c>
      <c r="B885" s="1" t="n">
        <v>20089</v>
      </c>
      <c r="C885" s="1" t="inlineStr">
        <is>
          <t>010</t>
        </is>
      </c>
      <c r="D885" s="1" t="inlineStr">
        <is>
          <t xml:space="preserve">73909 </t>
        </is>
      </c>
      <c r="E885" s="1" t="inlineStr">
        <is>
          <t xml:space="preserve">28194780       </t>
        </is>
      </c>
      <c r="F885" s="5" t="inlineStr">
        <is>
          <t>TROMPO BATALLA INFINITY NADO PLSTICO SURTIDO</t>
        </is>
      </c>
      <c r="G885" t="n">
        <v>1</v>
      </c>
      <c r="H885" s="7" t="n">
        <v>19.9</v>
      </c>
      <c r="I885" s="7" t="n">
        <v>0</v>
      </c>
      <c r="J885" s="7" t="n">
        <v>0</v>
      </c>
      <c r="K885" s="9" t="n">
        <v>0</v>
      </c>
      <c r="L885" s="10" t="n">
        <v>11.8</v>
      </c>
      <c r="M885" s="10" t="n">
        <v>1.43</v>
      </c>
      <c r="N885" t="inlineStr">
        <is>
          <t>1</t>
        </is>
      </c>
      <c r="O885" t="inlineStr">
        <is>
          <t>16</t>
        </is>
      </c>
      <c r="P885" t="inlineStr">
        <is>
          <t xml:space="preserve">249671  </t>
        </is>
      </c>
      <c r="Q885" s="26" t="n">
        <v>19.9</v>
      </c>
      <c r="R885" s="26">
        <f>Q885*G885</f>
        <v/>
      </c>
      <c r="S885" t="n">
        <v>11.81</v>
      </c>
      <c r="T885" s="18">
        <f>1 - V885/S885</f>
        <v/>
      </c>
      <c r="U885" s="18" t="n">
        <v>0</v>
      </c>
      <c r="V885" s="26" t="n">
        <v>11.81</v>
      </c>
      <c r="W885" s="26">
        <f>V885 - L885</f>
        <v/>
      </c>
    </row>
    <row r="886">
      <c r="A886" s="11" t="n">
        <v>46212</v>
      </c>
      <c r="B886" s="1" t="n">
        <v>20089</v>
      </c>
      <c r="C886" s="1" t="inlineStr">
        <is>
          <t>025</t>
        </is>
      </c>
      <c r="D886" s="1" t="inlineStr">
        <is>
          <t>121444</t>
        </is>
      </c>
      <c r="E886" s="1" t="inlineStr">
        <is>
          <t xml:space="preserve">28194769       </t>
        </is>
      </c>
      <c r="F886" s="5" t="inlineStr">
        <is>
          <t>AUTOS DE METAL 3 TEAMSTERZ PACK DE 2</t>
        </is>
      </c>
      <c r="G886" t="n">
        <v>1</v>
      </c>
      <c r="H886" s="7" t="n">
        <v>13.8</v>
      </c>
      <c r="I886" s="7" t="n">
        <v>0</v>
      </c>
      <c r="J886" s="7" t="n">
        <v>0</v>
      </c>
      <c r="K886" s="9" t="n">
        <v>0</v>
      </c>
      <c r="L886" s="10" t="n">
        <v>8.18</v>
      </c>
      <c r="M886" s="10" t="n">
        <v>1.43</v>
      </c>
      <c r="N886" t="inlineStr">
        <is>
          <t>1</t>
        </is>
      </c>
      <c r="O886" t="inlineStr">
        <is>
          <t>16</t>
        </is>
      </c>
      <c r="P886" t="inlineStr">
        <is>
          <t xml:space="preserve">109709  </t>
        </is>
      </c>
      <c r="Q886" s="26" t="n">
        <v>13.8</v>
      </c>
      <c r="R886" s="26">
        <f>Q886*G886</f>
        <v/>
      </c>
      <c r="S886" t="n">
        <v>8.19</v>
      </c>
      <c r="T886" s="18">
        <f>1 - V886/S886</f>
        <v/>
      </c>
      <c r="U886" s="18" t="n">
        <v>0</v>
      </c>
      <c r="V886" s="26" t="n">
        <v>8.19</v>
      </c>
      <c r="W886" s="26">
        <f>V886 - L886</f>
        <v/>
      </c>
    </row>
    <row r="887">
      <c r="A887" s="11" t="n">
        <v>46212</v>
      </c>
      <c r="B887" s="1" t="n">
        <v>20095</v>
      </c>
      <c r="C887" s="1" t="inlineStr">
        <is>
          <t>043</t>
        </is>
      </c>
      <c r="D887" s="1" t="inlineStr">
        <is>
          <t>107599</t>
        </is>
      </c>
      <c r="E887" s="1" t="inlineStr">
        <is>
          <t xml:space="preserve">28194783       </t>
        </is>
      </c>
      <c r="F887" s="5" t="inlineStr">
        <is>
          <t>SET DE BATALLA INFINITY NADO CON 2 TROMPOS</t>
        </is>
      </c>
      <c r="G887" t="n">
        <v>1</v>
      </c>
      <c r="H887" s="7" t="n">
        <v>159</v>
      </c>
      <c r="I887" s="7" t="n">
        <v>0</v>
      </c>
      <c r="J887" s="7" t="n">
        <v>0</v>
      </c>
      <c r="K887" s="9" t="n">
        <v>0</v>
      </c>
      <c r="L887" s="10" t="n">
        <v>94.33</v>
      </c>
      <c r="M887" s="10" t="n">
        <v>1.43</v>
      </c>
      <c r="N887" t="inlineStr">
        <is>
          <t>1</t>
        </is>
      </c>
      <c r="O887" t="inlineStr">
        <is>
          <t>16</t>
        </is>
      </c>
      <c r="P887" t="inlineStr">
        <is>
          <t xml:space="preserve">38948   </t>
        </is>
      </c>
      <c r="Q887" s="26" t="n">
        <v>159</v>
      </c>
      <c r="R887" s="26">
        <f>Q887*G887</f>
        <v/>
      </c>
      <c r="S887" t="n">
        <v>94.31999999999999</v>
      </c>
      <c r="T887" s="18">
        <f>1 - V887/S887</f>
        <v/>
      </c>
      <c r="U887" s="18" t="n">
        <v>0.1886792452830188</v>
      </c>
      <c r="V887" s="26" t="n">
        <v>81.99152542372882</v>
      </c>
      <c r="W887" s="26">
        <f>V887 - L887</f>
        <v/>
      </c>
    </row>
    <row r="888">
      <c r="A888" s="11" t="n">
        <v>46212</v>
      </c>
      <c r="B888" s="1" t="n">
        <v>20095</v>
      </c>
      <c r="C888" s="1" t="inlineStr">
        <is>
          <t>044</t>
        </is>
      </c>
      <c r="D888" s="1" t="inlineStr">
        <is>
          <t xml:space="preserve">93241 </t>
        </is>
      </c>
      <c r="E888" s="1" t="inlineStr">
        <is>
          <t xml:space="preserve">28194769       </t>
        </is>
      </c>
      <c r="F888" s="5" t="inlineStr">
        <is>
          <t>AUTOS DE METAL 3 TEAMSTERZ PACK DE 2</t>
        </is>
      </c>
      <c r="G888" t="n">
        <v>1</v>
      </c>
      <c r="H888" s="7" t="n">
        <v>13.8</v>
      </c>
      <c r="I888" s="7" t="n">
        <v>0</v>
      </c>
      <c r="J888" s="7" t="n">
        <v>0</v>
      </c>
      <c r="K888" s="9" t="n">
        <v>0</v>
      </c>
      <c r="L888" s="10" t="n">
        <v>8.18</v>
      </c>
      <c r="M888" s="10" t="n">
        <v>1.43</v>
      </c>
      <c r="N888" t="inlineStr">
        <is>
          <t>1</t>
        </is>
      </c>
      <c r="O888" t="inlineStr">
        <is>
          <t xml:space="preserve">2 </t>
        </is>
      </c>
      <c r="P888" t="inlineStr">
        <is>
          <t xml:space="preserve">248232  </t>
        </is>
      </c>
      <c r="Q888" s="26" t="n">
        <v>13.8</v>
      </c>
      <c r="R888" s="26">
        <f>Q888*G888</f>
        <v/>
      </c>
      <c r="S888" t="n">
        <v>8.19</v>
      </c>
      <c r="T888" s="18">
        <f>1 - V888/S888</f>
        <v/>
      </c>
      <c r="U888" s="18" t="n">
        <v>0</v>
      </c>
      <c r="V888" s="26" t="n">
        <v>8.19</v>
      </c>
      <c r="W888" s="26">
        <f>V888 - L888</f>
        <v/>
      </c>
    </row>
    <row r="889">
      <c r="A889" s="11" t="n">
        <v>46213</v>
      </c>
      <c r="B889" s="1" t="n">
        <v>20021</v>
      </c>
      <c r="C889" s="1" t="inlineStr">
        <is>
          <t>078</t>
        </is>
      </c>
      <c r="D889" s="1" t="inlineStr">
        <is>
          <t>100577</t>
        </is>
      </c>
      <c r="E889" s="1" t="inlineStr">
        <is>
          <t xml:space="preserve">28194768       </t>
        </is>
      </c>
      <c r="F889" s="5" t="inlineStr">
        <is>
          <t>AUTO COLOR CHANGE TEAMSTERZ SURTIDO</t>
        </is>
      </c>
      <c r="G889" t="n">
        <v>1</v>
      </c>
      <c r="H889" s="7" t="n">
        <v>14.9</v>
      </c>
      <c r="I889" s="7" t="n">
        <v>0</v>
      </c>
      <c r="J889" s="7" t="n">
        <v>0</v>
      </c>
      <c r="K889" s="9" t="n">
        <v>0</v>
      </c>
      <c r="L889" s="10" t="n">
        <v>8.84</v>
      </c>
      <c r="M889" s="10" t="n">
        <v>1.43</v>
      </c>
      <c r="N889" t="inlineStr">
        <is>
          <t>1</t>
        </is>
      </c>
      <c r="O889" t="inlineStr">
        <is>
          <t>16</t>
        </is>
      </c>
      <c r="P889" t="inlineStr">
        <is>
          <t xml:space="preserve">42013   </t>
        </is>
      </c>
      <c r="Q889" s="26" t="n">
        <v>14.9</v>
      </c>
      <c r="R889" s="26">
        <f>Q889*G889</f>
        <v/>
      </c>
      <c r="S889" t="n">
        <v>8.84</v>
      </c>
      <c r="T889" s="18">
        <f>1 - V889/S889</f>
        <v/>
      </c>
      <c r="U889" s="18" t="n">
        <v>0</v>
      </c>
      <c r="V889" s="26" t="n">
        <v>8.84</v>
      </c>
      <c r="W889" s="26">
        <f>V889 - L889</f>
        <v/>
      </c>
    </row>
    <row r="890">
      <c r="A890" s="11" t="n">
        <v>46213</v>
      </c>
      <c r="B890" s="1" t="n">
        <v>20021</v>
      </c>
      <c r="C890" s="1" t="inlineStr">
        <is>
          <t>078</t>
        </is>
      </c>
      <c r="D890" s="1" t="inlineStr">
        <is>
          <t>100577</t>
        </is>
      </c>
      <c r="E890" s="1" t="inlineStr">
        <is>
          <t xml:space="preserve">28194768       </t>
        </is>
      </c>
      <c r="F890" s="5" t="inlineStr">
        <is>
          <t>AUTO COLOR CHANGE TEAMSTERZ SURTIDO</t>
        </is>
      </c>
      <c r="G890" t="n">
        <v>1</v>
      </c>
      <c r="H890" s="7" t="n">
        <v>14.9</v>
      </c>
      <c r="I890" s="7" t="n">
        <v>0</v>
      </c>
      <c r="J890" s="7" t="n">
        <v>0</v>
      </c>
      <c r="K890" s="9" t="n">
        <v>0</v>
      </c>
      <c r="L890" s="10" t="n">
        <v>8.84</v>
      </c>
      <c r="M890" s="10" t="n">
        <v>1.43</v>
      </c>
      <c r="N890" t="inlineStr">
        <is>
          <t>1</t>
        </is>
      </c>
      <c r="O890" t="inlineStr">
        <is>
          <t>16</t>
        </is>
      </c>
      <c r="P890" t="inlineStr">
        <is>
          <t xml:space="preserve">42013   </t>
        </is>
      </c>
      <c r="Q890" s="26" t="n">
        <v>14.9</v>
      </c>
      <c r="R890" s="26">
        <f>Q890*G890</f>
        <v/>
      </c>
      <c r="S890" t="n">
        <v>8.84</v>
      </c>
      <c r="T890" s="18">
        <f>1 - V890/S890</f>
        <v/>
      </c>
      <c r="U890" s="18" t="n">
        <v>0</v>
      </c>
      <c r="V890" s="26" t="n">
        <v>8.84</v>
      </c>
      <c r="W890" s="26">
        <f>V890 - L890</f>
        <v/>
      </c>
    </row>
    <row r="891">
      <c r="A891" s="11" t="n">
        <v>46213</v>
      </c>
      <c r="B891" s="1" t="n">
        <v>20021</v>
      </c>
      <c r="C891" s="1" t="inlineStr">
        <is>
          <t>080</t>
        </is>
      </c>
      <c r="D891" s="1" t="inlineStr">
        <is>
          <t>309540</t>
        </is>
      </c>
      <c r="E891" s="1" t="inlineStr">
        <is>
          <t xml:space="preserve">28194768       </t>
        </is>
      </c>
      <c r="F891" s="5" t="inlineStr">
        <is>
          <t>AUTO COLOR CHANGE TEAMSTERZ SURTIDO</t>
        </is>
      </c>
      <c r="G891" t="n">
        <v>1</v>
      </c>
      <c r="H891" s="7" t="n">
        <v>14.9</v>
      </c>
      <c r="I891" s="7" t="n">
        <v>0</v>
      </c>
      <c r="J891" s="7" t="n">
        <v>0</v>
      </c>
      <c r="K891" s="9" t="n">
        <v>0</v>
      </c>
      <c r="L891" s="10" t="n">
        <v>8.84</v>
      </c>
      <c r="M891" s="10" t="n">
        <v>1.43</v>
      </c>
      <c r="N891" t="inlineStr">
        <is>
          <t>1</t>
        </is>
      </c>
      <c r="O891" t="inlineStr">
        <is>
          <t>16</t>
        </is>
      </c>
      <c r="P891" t="inlineStr">
        <is>
          <t xml:space="preserve">42929   </t>
        </is>
      </c>
      <c r="Q891" s="26" t="n">
        <v>14.9</v>
      </c>
      <c r="R891" s="26">
        <f>Q891*G891</f>
        <v/>
      </c>
      <c r="S891" t="n">
        <v>8.84</v>
      </c>
      <c r="T891" s="18">
        <f>1 - V891/S891</f>
        <v/>
      </c>
      <c r="U891" s="18" t="n">
        <v>0</v>
      </c>
      <c r="V891" s="26" t="n">
        <v>8.84</v>
      </c>
      <c r="W891" s="26">
        <f>V891 - L891</f>
        <v/>
      </c>
    </row>
    <row r="892">
      <c r="A892" s="11" t="n">
        <v>46213</v>
      </c>
      <c r="B892" s="1" t="n">
        <v>20021</v>
      </c>
      <c r="C892" s="1" t="inlineStr">
        <is>
          <t>080</t>
        </is>
      </c>
      <c r="D892" s="1" t="inlineStr">
        <is>
          <t>309540</t>
        </is>
      </c>
      <c r="E892" s="1" t="inlineStr">
        <is>
          <t xml:space="preserve">28194768       </t>
        </is>
      </c>
      <c r="F892" s="5" t="inlineStr">
        <is>
          <t>AUTO COLOR CHANGE TEAMSTERZ SURTIDO</t>
        </is>
      </c>
      <c r="G892" t="n">
        <v>1</v>
      </c>
      <c r="H892" s="7" t="n">
        <v>14.9</v>
      </c>
      <c r="I892" s="7" t="n">
        <v>0</v>
      </c>
      <c r="J892" s="7" t="n">
        <v>0</v>
      </c>
      <c r="K892" s="9" t="n">
        <v>0</v>
      </c>
      <c r="L892" s="10" t="n">
        <v>8.84</v>
      </c>
      <c r="M892" s="10" t="n">
        <v>1.43</v>
      </c>
      <c r="N892" t="inlineStr">
        <is>
          <t>1</t>
        </is>
      </c>
      <c r="O892" t="inlineStr">
        <is>
          <t>16</t>
        </is>
      </c>
      <c r="P892" t="inlineStr">
        <is>
          <t xml:space="preserve">42929   </t>
        </is>
      </c>
      <c r="Q892" s="26" t="n">
        <v>14.9</v>
      </c>
      <c r="R892" s="26">
        <f>Q892*G892</f>
        <v/>
      </c>
      <c r="S892" t="n">
        <v>8.84</v>
      </c>
      <c r="T892" s="18">
        <f>1 - V892/S892</f>
        <v/>
      </c>
      <c r="U892" s="18" t="n">
        <v>0</v>
      </c>
      <c r="V892" s="26" t="n">
        <v>8.84</v>
      </c>
      <c r="W892" s="26">
        <f>V892 - L892</f>
        <v/>
      </c>
    </row>
    <row r="893">
      <c r="A893" s="11" t="n">
        <v>46213</v>
      </c>
      <c r="B893" s="1" t="n">
        <v>20021</v>
      </c>
      <c r="C893" s="1" t="inlineStr">
        <is>
          <t>080</t>
        </is>
      </c>
      <c r="D893" s="1" t="inlineStr">
        <is>
          <t>309541</t>
        </is>
      </c>
      <c r="E893" s="1" t="inlineStr">
        <is>
          <t xml:space="preserve">28194768       </t>
        </is>
      </c>
      <c r="F893" s="5" t="inlineStr">
        <is>
          <t>AUTO COLOR CHANGE TEAMSTERZ SURTIDO</t>
        </is>
      </c>
      <c r="G893" t="n">
        <v>1</v>
      </c>
      <c r="H893" s="7" t="n">
        <v>14.9</v>
      </c>
      <c r="I893" s="7" t="n">
        <v>0</v>
      </c>
      <c r="J893" s="7" t="n">
        <v>0</v>
      </c>
      <c r="K893" s="9" t="n">
        <v>0</v>
      </c>
      <c r="L893" s="10" t="n">
        <v>8.84</v>
      </c>
      <c r="M893" s="10" t="n">
        <v>1.43</v>
      </c>
      <c r="N893" t="inlineStr">
        <is>
          <t>1</t>
        </is>
      </c>
      <c r="O893" t="inlineStr">
        <is>
          <t>16</t>
        </is>
      </c>
      <c r="P893" t="inlineStr">
        <is>
          <t xml:space="preserve">42929   </t>
        </is>
      </c>
      <c r="Q893" s="26" t="n">
        <v>14.9</v>
      </c>
      <c r="R893" s="26">
        <f>Q893*G893</f>
        <v/>
      </c>
      <c r="S893" t="n">
        <v>8.84</v>
      </c>
      <c r="T893" s="18">
        <f>1 - V893/S893</f>
        <v/>
      </c>
      <c r="U893" s="18" t="n">
        <v>0</v>
      </c>
      <c r="V893" s="26" t="n">
        <v>8.84</v>
      </c>
      <c r="W893" s="26">
        <f>V893 - L893</f>
        <v/>
      </c>
    </row>
    <row r="894">
      <c r="A894" s="11" t="n">
        <v>46213</v>
      </c>
      <c r="B894" s="1" t="n">
        <v>20021</v>
      </c>
      <c r="C894" s="1" t="inlineStr">
        <is>
          <t>080</t>
        </is>
      </c>
      <c r="D894" s="1" t="inlineStr">
        <is>
          <t>309542</t>
        </is>
      </c>
      <c r="E894" s="1" t="inlineStr">
        <is>
          <t xml:space="preserve">31675354       </t>
        </is>
      </c>
      <c r="F894" s="5" t="inlineStr">
        <is>
          <t>NENUCO LLORON CON ACCESORIOS</t>
        </is>
      </c>
      <c r="G894" t="n">
        <v>1</v>
      </c>
      <c r="H894" s="7" t="n">
        <v>89.90000000000001</v>
      </c>
      <c r="I894" s="7" t="n">
        <v>8.99</v>
      </c>
      <c r="J894" s="7" t="n">
        <v>0</v>
      </c>
      <c r="K894" s="9" t="n">
        <v>8.99</v>
      </c>
      <c r="L894" s="10" t="n">
        <v>48</v>
      </c>
      <c r="M894" s="10" t="n">
        <v>1.43</v>
      </c>
      <c r="N894" t="inlineStr">
        <is>
          <t>1</t>
        </is>
      </c>
      <c r="O894" t="inlineStr">
        <is>
          <t xml:space="preserve">3 </t>
        </is>
      </c>
      <c r="P894" t="inlineStr">
        <is>
          <t xml:space="preserve">42929   </t>
        </is>
      </c>
      <c r="Q894" s="26" t="n">
        <v>89.90000000000001</v>
      </c>
      <c r="R894" s="26">
        <f>Q894*G894</f>
        <v/>
      </c>
      <c r="S894" t="n">
        <v>53.33</v>
      </c>
      <c r="T894" s="18">
        <f>1 - V894/S894</f>
        <v/>
      </c>
      <c r="U894" s="18" t="n">
        <v>0.2224694104560623</v>
      </c>
      <c r="V894" s="26" t="n">
        <v>44.42796610169492</v>
      </c>
      <c r="W894" s="26">
        <f>V894 - L894</f>
        <v/>
      </c>
    </row>
    <row r="895">
      <c r="A895" s="11" t="n">
        <v>46213</v>
      </c>
      <c r="B895" s="1" t="n">
        <v>20021</v>
      </c>
      <c r="C895" s="1" t="inlineStr">
        <is>
          <t>081</t>
        </is>
      </c>
      <c r="D895" s="1" t="inlineStr">
        <is>
          <t>175723</t>
        </is>
      </c>
      <c r="E895" s="1" t="inlineStr">
        <is>
          <t xml:space="preserve">29235707       </t>
        </is>
      </c>
      <c r="F895" s="5" t="inlineStr">
        <is>
          <t>TEAMSTERZ AUTO DE METAL 3  PACK DE 5</t>
        </is>
      </c>
      <c r="G895" t="n">
        <v>1</v>
      </c>
      <c r="H895" s="7" t="n">
        <v>34.5</v>
      </c>
      <c r="I895" s="7" t="n">
        <v>3.45</v>
      </c>
      <c r="J895" s="7" t="n">
        <v>0</v>
      </c>
      <c r="K895" s="9" t="n">
        <v>3.45</v>
      </c>
      <c r="L895" s="10" t="n">
        <v>18.42</v>
      </c>
      <c r="M895" s="10" t="n">
        <v>1.43</v>
      </c>
      <c r="N895" t="inlineStr">
        <is>
          <t>1</t>
        </is>
      </c>
      <c r="O895" t="inlineStr">
        <is>
          <t xml:space="preserve">3 </t>
        </is>
      </c>
      <c r="P895" t="inlineStr">
        <is>
          <t xml:space="preserve">32209   </t>
        </is>
      </c>
      <c r="Q895" s="26" t="n">
        <v>34.5</v>
      </c>
      <c r="R895" s="26">
        <f>Q895*G895</f>
        <v/>
      </c>
      <c r="S895" t="n">
        <v>20.47</v>
      </c>
      <c r="T895" s="18">
        <f>1 - V895/S895</f>
        <v/>
      </c>
      <c r="U895" s="18" t="n">
        <v>0</v>
      </c>
      <c r="V895" s="26" t="n">
        <v>20.47</v>
      </c>
      <c r="W895" s="26">
        <f>V895 - L895</f>
        <v/>
      </c>
    </row>
    <row r="896">
      <c r="A896" s="11" t="n">
        <v>46213</v>
      </c>
      <c r="B896" s="1" t="n">
        <v>20021</v>
      </c>
      <c r="C896" s="1" t="inlineStr">
        <is>
          <t>513</t>
        </is>
      </c>
      <c r="D896" s="1" t="inlineStr">
        <is>
          <t xml:space="preserve">7962  </t>
        </is>
      </c>
      <c r="E896" s="1" t="inlineStr">
        <is>
          <t xml:space="preserve">30232284       </t>
        </is>
      </c>
      <c r="F896" s="5" t="inlineStr">
        <is>
          <t>INFINITY NADO TROMPO DE BATALLA - METAL C/PUNTA DE</t>
        </is>
      </c>
      <c r="G896" t="n">
        <v>1</v>
      </c>
      <c r="H896" s="7" t="n">
        <v>49.9</v>
      </c>
      <c r="I896" s="7" t="n">
        <v>0</v>
      </c>
      <c r="J896" s="7" t="n">
        <v>0</v>
      </c>
      <c r="K896" s="9" t="n">
        <v>0</v>
      </c>
      <c r="L896" s="10" t="n">
        <v>29.6</v>
      </c>
      <c r="M896" s="10" t="n">
        <v>1.43</v>
      </c>
      <c r="N896" t="inlineStr">
        <is>
          <t>1</t>
        </is>
      </c>
      <c r="O896" t="inlineStr">
        <is>
          <t>16</t>
        </is>
      </c>
      <c r="P896" t="inlineStr">
        <is>
          <t xml:space="preserve">250325  </t>
        </is>
      </c>
      <c r="Q896" s="26" t="n">
        <v>49.9</v>
      </c>
      <c r="R896" s="26">
        <f>Q896*G896</f>
        <v/>
      </c>
      <c r="S896" t="n">
        <v>29.6</v>
      </c>
      <c r="T896" s="18">
        <f>1 - V896/S896</f>
        <v/>
      </c>
      <c r="U896" s="18" t="n">
        <v>0.3006012024048096</v>
      </c>
      <c r="V896" s="26" t="n">
        <v>22.18220338983051</v>
      </c>
      <c r="W896" s="26">
        <f>V896 - L896</f>
        <v/>
      </c>
    </row>
    <row r="897">
      <c r="A897" s="11" t="n">
        <v>46213</v>
      </c>
      <c r="B897" s="1" t="n">
        <v>20023</v>
      </c>
      <c r="C897" s="1" t="inlineStr">
        <is>
          <t>105</t>
        </is>
      </c>
      <c r="D897" s="1" t="inlineStr">
        <is>
          <t xml:space="preserve">90649 </t>
        </is>
      </c>
      <c r="E897" s="1" t="inlineStr">
        <is>
          <t xml:space="preserve">31959961       </t>
        </is>
      </c>
      <c r="F897" s="5" t="inlineStr">
        <is>
          <t>TEAMSTERZ CAMBIA DE COLOR PACK DE 3 AUTOS</t>
        </is>
      </c>
      <c r="G897" t="n">
        <v>1</v>
      </c>
      <c r="H897" s="7" t="n">
        <v>49.9</v>
      </c>
      <c r="I897" s="7" t="n">
        <v>4.99</v>
      </c>
      <c r="J897" s="7" t="n">
        <v>0</v>
      </c>
      <c r="K897" s="9" t="n">
        <v>4.99</v>
      </c>
      <c r="L897" s="10" t="n">
        <v>26.64</v>
      </c>
      <c r="M897" s="10" t="n">
        <v>1.43</v>
      </c>
      <c r="N897" t="inlineStr">
        <is>
          <t>1</t>
        </is>
      </c>
      <c r="O897" t="inlineStr">
        <is>
          <t xml:space="preserve">3 </t>
        </is>
      </c>
      <c r="P897" t="inlineStr">
        <is>
          <t xml:space="preserve">35963   </t>
        </is>
      </c>
      <c r="Q897" s="26" t="n">
        <v>49.9</v>
      </c>
      <c r="R897" s="26">
        <f>Q897*G897</f>
        <v/>
      </c>
      <c r="S897" t="n">
        <v>29.6</v>
      </c>
      <c r="T897" s="18">
        <f>1 - V897/S897</f>
        <v/>
      </c>
      <c r="U897" s="18" t="n">
        <v>0</v>
      </c>
      <c r="V897" s="26" t="n">
        <v>29.6</v>
      </c>
      <c r="W897" s="26">
        <f>V897 - L897</f>
        <v/>
      </c>
    </row>
    <row r="898">
      <c r="A898" s="11" t="n">
        <v>46213</v>
      </c>
      <c r="B898" s="1" t="n">
        <v>20023</v>
      </c>
      <c r="C898" s="1" t="inlineStr">
        <is>
          <t>105</t>
        </is>
      </c>
      <c r="D898" s="1" t="inlineStr">
        <is>
          <t xml:space="preserve">90676 </t>
        </is>
      </c>
      <c r="E898" s="1" t="inlineStr">
        <is>
          <t xml:space="preserve">32457111       </t>
        </is>
      </c>
      <c r="F898" s="5" t="inlineStr">
        <is>
          <t>TMZ BEAST MACHINES MONSTER JAWS A FRICCION PACK DE</t>
        </is>
      </c>
      <c r="G898" t="n">
        <v>1</v>
      </c>
      <c r="H898" s="7" t="n">
        <v>74.90000000000001</v>
      </c>
      <c r="I898" s="7" t="n">
        <v>0</v>
      </c>
      <c r="J898" s="7" t="n">
        <v>0</v>
      </c>
      <c r="K898" s="9" t="n">
        <v>0</v>
      </c>
      <c r="L898" s="10" t="n">
        <v>44.43</v>
      </c>
      <c r="M898" s="10" t="n">
        <v>1.43</v>
      </c>
      <c r="N898" t="inlineStr">
        <is>
          <t>1</t>
        </is>
      </c>
      <c r="O898" t="inlineStr">
        <is>
          <t>16</t>
        </is>
      </c>
      <c r="P898" t="inlineStr">
        <is>
          <t xml:space="preserve">35963   </t>
        </is>
      </c>
      <c r="Q898" s="26" t="n">
        <v>74.90000000000001</v>
      </c>
      <c r="R898" s="26">
        <f>Q898*G898</f>
        <v/>
      </c>
      <c r="S898" t="n">
        <v>44.43</v>
      </c>
      <c r="T898" s="18">
        <f>1 - V898/S898</f>
        <v/>
      </c>
      <c r="U898" s="18" t="n">
        <v>0.2670226969292391</v>
      </c>
      <c r="V898" s="26" t="n">
        <v>31.92406779661017</v>
      </c>
      <c r="W898" s="26">
        <f>V898 - L898</f>
        <v/>
      </c>
    </row>
    <row r="899">
      <c r="A899" s="11" t="n">
        <v>46213</v>
      </c>
      <c r="B899" s="1" t="n">
        <v>20024</v>
      </c>
      <c r="C899" s="1" t="inlineStr">
        <is>
          <t>060</t>
        </is>
      </c>
      <c r="D899" s="1" t="inlineStr">
        <is>
          <t xml:space="preserve">95998 </t>
        </is>
      </c>
      <c r="E899" s="1" t="inlineStr">
        <is>
          <t xml:space="preserve">32457103       </t>
        </is>
      </c>
      <c r="F899" s="5" t="inlineStr">
        <is>
          <t>TMZ BEAST MACHINES MONSTER JAWS A FRICCION PACK DE</t>
        </is>
      </c>
      <c r="G899" t="n">
        <v>1</v>
      </c>
      <c r="H899" s="7" t="n">
        <v>37.9</v>
      </c>
      <c r="I899" s="7" t="n">
        <v>0</v>
      </c>
      <c r="J899" s="7" t="n">
        <v>0</v>
      </c>
      <c r="K899" s="9" t="n">
        <v>0</v>
      </c>
      <c r="L899" s="10" t="n">
        <v>22.48</v>
      </c>
      <c r="M899" s="10" t="n">
        <v>1.43</v>
      </c>
      <c r="N899" t="inlineStr">
        <is>
          <t>1</t>
        </is>
      </c>
      <c r="O899" t="inlineStr">
        <is>
          <t>16</t>
        </is>
      </c>
      <c r="P899" t="inlineStr">
        <is>
          <t xml:space="preserve">23854   </t>
        </is>
      </c>
      <c r="Q899" s="26" t="n">
        <v>37.9</v>
      </c>
      <c r="R899" s="26">
        <f>Q899*G899</f>
        <v/>
      </c>
      <c r="S899" t="n">
        <v>22.48</v>
      </c>
      <c r="T899" s="18">
        <f>1 - V899/S899</f>
        <v/>
      </c>
      <c r="U899" s="18" t="n">
        <v>0.1319261213720316</v>
      </c>
      <c r="V899" s="26" t="n">
        <v>16.75101694915254</v>
      </c>
      <c r="W899" s="26">
        <f>V899 - L899</f>
        <v/>
      </c>
    </row>
    <row r="900">
      <c r="A900" s="11" t="n">
        <v>46213</v>
      </c>
      <c r="B900" s="1" t="n">
        <v>20025</v>
      </c>
      <c r="C900" s="1" t="inlineStr">
        <is>
          <t>074</t>
        </is>
      </c>
      <c r="D900" s="1" t="inlineStr">
        <is>
          <t xml:space="preserve">82623 </t>
        </is>
      </c>
      <c r="E900" s="1" t="inlineStr">
        <is>
          <t xml:space="preserve">30141768       </t>
        </is>
      </c>
      <c r="F900" s="5" t="inlineStr">
        <is>
          <t>TMZ BEAST MACHINES AUTOS DE METAL PACK 10 AUTOS</t>
        </is>
      </c>
      <c r="G900" t="n">
        <v>1</v>
      </c>
      <c r="H900" s="7" t="n">
        <v>79</v>
      </c>
      <c r="I900" s="7" t="n">
        <v>0</v>
      </c>
      <c r="J900" s="7" t="n">
        <v>0</v>
      </c>
      <c r="K900" s="9" t="n">
        <v>0</v>
      </c>
      <c r="L900" s="10" t="n">
        <v>46.87</v>
      </c>
      <c r="M900" s="10" t="n">
        <v>1.43</v>
      </c>
      <c r="N900" t="inlineStr">
        <is>
          <t>1</t>
        </is>
      </c>
      <c r="O900" t="inlineStr">
        <is>
          <t>16</t>
        </is>
      </c>
      <c r="P900" t="inlineStr">
        <is>
          <t xml:space="preserve">42794   </t>
        </is>
      </c>
      <c r="Q900" s="26" t="n">
        <v>79</v>
      </c>
      <c r="R900" s="26">
        <f>Q900*G900</f>
        <v/>
      </c>
      <c r="S900" t="n">
        <v>46.86</v>
      </c>
      <c r="T900" s="18">
        <f>1 - V900/S900</f>
        <v/>
      </c>
      <c r="U900" s="18" t="n">
        <v>0.1265822784810127</v>
      </c>
      <c r="V900" s="26" t="n">
        <v>43.85593220338983</v>
      </c>
      <c r="W900" s="26">
        <f>V900 - L900</f>
        <v/>
      </c>
    </row>
    <row r="901">
      <c r="A901" s="11" t="n">
        <v>46213</v>
      </c>
      <c r="B901" s="1" t="n">
        <v>20027</v>
      </c>
      <c r="C901" s="1" t="inlineStr">
        <is>
          <t>064</t>
        </is>
      </c>
      <c r="D901" s="1" t="inlineStr">
        <is>
          <t xml:space="preserve">31770 </t>
        </is>
      </c>
      <c r="E901" s="1" t="inlineStr">
        <is>
          <t xml:space="preserve">28194769       </t>
        </is>
      </c>
      <c r="F901" s="5" t="inlineStr">
        <is>
          <t>AUTOS DE METAL 3 TEAMSTERZ PACK DE 2</t>
        </is>
      </c>
      <c r="G901" t="n">
        <v>1</v>
      </c>
      <c r="H901" s="7" t="n">
        <v>13.8</v>
      </c>
      <c r="I901" s="7" t="n">
        <v>0</v>
      </c>
      <c r="J901" s="7" t="n">
        <v>0</v>
      </c>
      <c r="K901" s="9" t="n">
        <v>0</v>
      </c>
      <c r="L901" s="10" t="n">
        <v>8.18</v>
      </c>
      <c r="M901" s="10" t="n">
        <v>1.43</v>
      </c>
      <c r="N901" t="inlineStr">
        <is>
          <t>1</t>
        </is>
      </c>
      <c r="O901" t="inlineStr">
        <is>
          <t>16</t>
        </is>
      </c>
      <c r="P901" t="inlineStr">
        <is>
          <t xml:space="preserve">30333   </t>
        </is>
      </c>
      <c r="Q901" s="26" t="n">
        <v>13.8</v>
      </c>
      <c r="R901" s="26">
        <f>Q901*G901</f>
        <v/>
      </c>
      <c r="S901" t="n">
        <v>8.19</v>
      </c>
      <c r="T901" s="18">
        <f>1 - V901/S901</f>
        <v/>
      </c>
      <c r="U901" s="18" t="n">
        <v>0</v>
      </c>
      <c r="V901" s="26" t="n">
        <v>8.19</v>
      </c>
      <c r="W901" s="26">
        <f>V901 - L901</f>
        <v/>
      </c>
    </row>
    <row r="902">
      <c r="A902" s="11" t="n">
        <v>46213</v>
      </c>
      <c r="B902" s="1" t="n">
        <v>20028</v>
      </c>
      <c r="C902" s="1" t="inlineStr">
        <is>
          <t>011</t>
        </is>
      </c>
      <c r="D902" s="1" t="inlineStr">
        <is>
          <t xml:space="preserve">33518 </t>
        </is>
      </c>
      <c r="E902" s="1" t="inlineStr">
        <is>
          <t xml:space="preserve">28194770       </t>
        </is>
      </c>
      <c r="F902" s="5" t="inlineStr">
        <is>
          <t>AUTOS DE METAL 3 TEAMSTERZ EN BLISTER</t>
        </is>
      </c>
      <c r="G902" t="n">
        <v>1</v>
      </c>
      <c r="H902" s="7" t="n">
        <v>6.9</v>
      </c>
      <c r="I902" s="7" t="n">
        <v>0</v>
      </c>
      <c r="J902" s="7" t="n">
        <v>0</v>
      </c>
      <c r="K902" s="9" t="n">
        <v>0</v>
      </c>
      <c r="L902" s="10" t="n">
        <v>4.1</v>
      </c>
      <c r="M902" s="10" t="n">
        <v>1.43</v>
      </c>
      <c r="N902" t="inlineStr">
        <is>
          <t>1</t>
        </is>
      </c>
      <c r="O902" t="inlineStr">
        <is>
          <t xml:space="preserve">2 </t>
        </is>
      </c>
      <c r="P902" t="inlineStr">
        <is>
          <t xml:space="preserve">23741   </t>
        </is>
      </c>
      <c r="Q902" s="26" t="n">
        <v>6.9</v>
      </c>
      <c r="R902" s="26">
        <f>Q902*G902</f>
        <v/>
      </c>
      <c r="S902" t="n">
        <v>4.09</v>
      </c>
      <c r="T902" s="18">
        <f>1 - V902/S902</f>
        <v/>
      </c>
      <c r="U902" s="18" t="n">
        <v>0</v>
      </c>
      <c r="V902" s="26" t="n">
        <v>4.09</v>
      </c>
      <c r="W902" s="26">
        <f>V902 - L902</f>
        <v/>
      </c>
    </row>
    <row r="903">
      <c r="A903" s="11" t="n">
        <v>46213</v>
      </c>
      <c r="B903" s="1" t="n">
        <v>20028</v>
      </c>
      <c r="C903" s="1" t="inlineStr">
        <is>
          <t>011</t>
        </is>
      </c>
      <c r="D903" s="1" t="inlineStr">
        <is>
          <t xml:space="preserve">33518 </t>
        </is>
      </c>
      <c r="E903" s="1" t="inlineStr">
        <is>
          <t xml:space="preserve">28194770       </t>
        </is>
      </c>
      <c r="F903" s="5" t="inlineStr">
        <is>
          <t>AUTOS DE METAL 3 TEAMSTERZ EN BLISTER</t>
        </is>
      </c>
      <c r="G903" t="n">
        <v>1</v>
      </c>
      <c r="H903" s="7" t="n">
        <v>6.9</v>
      </c>
      <c r="I903" s="7" t="n">
        <v>0</v>
      </c>
      <c r="J903" s="7" t="n">
        <v>0</v>
      </c>
      <c r="K903" s="9" t="n">
        <v>0</v>
      </c>
      <c r="L903" s="10" t="n">
        <v>4.1</v>
      </c>
      <c r="M903" s="10" t="n">
        <v>1.43</v>
      </c>
      <c r="N903" t="inlineStr">
        <is>
          <t>1</t>
        </is>
      </c>
      <c r="O903" t="inlineStr">
        <is>
          <t xml:space="preserve">2 </t>
        </is>
      </c>
      <c r="P903" t="inlineStr">
        <is>
          <t xml:space="preserve">23741   </t>
        </is>
      </c>
      <c r="Q903" s="26" t="n">
        <v>6.9</v>
      </c>
      <c r="R903" s="26">
        <f>Q903*G903</f>
        <v/>
      </c>
      <c r="S903" t="n">
        <v>4.09</v>
      </c>
      <c r="T903" s="18">
        <f>1 - V903/S903</f>
        <v/>
      </c>
      <c r="U903" s="18" t="n">
        <v>0</v>
      </c>
      <c r="V903" s="26" t="n">
        <v>4.09</v>
      </c>
      <c r="W903" s="26">
        <f>V903 - L903</f>
        <v/>
      </c>
    </row>
    <row r="904">
      <c r="A904" s="11" t="n">
        <v>46213</v>
      </c>
      <c r="B904" s="1" t="n">
        <v>20028</v>
      </c>
      <c r="C904" s="1" t="inlineStr">
        <is>
          <t>011</t>
        </is>
      </c>
      <c r="D904" s="1" t="inlineStr">
        <is>
          <t xml:space="preserve">33518 </t>
        </is>
      </c>
      <c r="E904" s="1" t="inlineStr">
        <is>
          <t xml:space="preserve">28194770       </t>
        </is>
      </c>
      <c r="F904" s="5" t="inlineStr">
        <is>
          <t>AUTOS DE METAL 3 TEAMSTERZ EN BLISTER</t>
        </is>
      </c>
      <c r="G904" t="n">
        <v>1</v>
      </c>
      <c r="H904" s="7" t="n">
        <v>6.9</v>
      </c>
      <c r="I904" s="7" t="n">
        <v>0</v>
      </c>
      <c r="J904" s="7" t="n">
        <v>0</v>
      </c>
      <c r="K904" s="9" t="n">
        <v>0</v>
      </c>
      <c r="L904" s="10" t="n">
        <v>4.1</v>
      </c>
      <c r="M904" s="10" t="n">
        <v>1.43</v>
      </c>
      <c r="N904" t="inlineStr">
        <is>
          <t>1</t>
        </is>
      </c>
      <c r="O904" t="inlineStr">
        <is>
          <t xml:space="preserve">2 </t>
        </is>
      </c>
      <c r="P904" t="inlineStr">
        <is>
          <t xml:space="preserve">23741   </t>
        </is>
      </c>
      <c r="Q904" s="26" t="n">
        <v>6.9</v>
      </c>
      <c r="R904" s="26">
        <f>Q904*G904</f>
        <v/>
      </c>
      <c r="S904" t="n">
        <v>4.09</v>
      </c>
      <c r="T904" s="18">
        <f>1 - V904/S904</f>
        <v/>
      </c>
      <c r="U904" s="18" t="n">
        <v>0</v>
      </c>
      <c r="V904" s="26" t="n">
        <v>4.09</v>
      </c>
      <c r="W904" s="26">
        <f>V904 - L904</f>
        <v/>
      </c>
    </row>
    <row r="905">
      <c r="A905" s="11" t="n">
        <v>46213</v>
      </c>
      <c r="B905" s="1" t="n">
        <v>20028</v>
      </c>
      <c r="C905" s="1" t="inlineStr">
        <is>
          <t>011</t>
        </is>
      </c>
      <c r="D905" s="1" t="inlineStr">
        <is>
          <t xml:space="preserve">33540 </t>
        </is>
      </c>
      <c r="E905" s="1" t="inlineStr">
        <is>
          <t xml:space="preserve">31675352       </t>
        </is>
      </c>
      <c r="F905" s="5" t="inlineStr">
        <is>
          <t>MI PEQUENO NENUCO</t>
        </is>
      </c>
      <c r="G905" t="n">
        <v>1</v>
      </c>
      <c r="H905" s="7" t="n">
        <v>69.90000000000001</v>
      </c>
      <c r="I905" s="7" t="n">
        <v>6.99</v>
      </c>
      <c r="J905" s="7" t="n">
        <v>0</v>
      </c>
      <c r="K905" s="9" t="n">
        <v>6.99</v>
      </c>
      <c r="L905" s="10" t="n">
        <v>37.32</v>
      </c>
      <c r="M905" s="10" t="n">
        <v>1.43</v>
      </c>
      <c r="N905" t="inlineStr">
        <is>
          <t>1</t>
        </is>
      </c>
      <c r="O905" t="inlineStr">
        <is>
          <t xml:space="preserve">3 </t>
        </is>
      </c>
      <c r="P905" t="inlineStr">
        <is>
          <t xml:space="preserve">23741   </t>
        </is>
      </c>
      <c r="Q905" s="26" t="n">
        <v>69.90000000000001</v>
      </c>
      <c r="R905" s="26">
        <f>Q905*G905</f>
        <v/>
      </c>
      <c r="S905" t="n">
        <v>41.47</v>
      </c>
      <c r="T905" s="18">
        <f>1 - V905/S905</f>
        <v/>
      </c>
      <c r="U905" s="18" t="n">
        <v>0.2861230329041489</v>
      </c>
      <c r="V905" s="26" t="n">
        <v>31.71610169491525</v>
      </c>
      <c r="W905" s="26">
        <f>V905 - L905</f>
        <v/>
      </c>
    </row>
    <row r="906">
      <c r="A906" s="11" t="n">
        <v>46213</v>
      </c>
      <c r="B906" s="1" t="n">
        <v>20028</v>
      </c>
      <c r="C906" s="1" t="inlineStr">
        <is>
          <t>015</t>
        </is>
      </c>
      <c r="D906" s="1" t="inlineStr">
        <is>
          <t>211144</t>
        </is>
      </c>
      <c r="E906" s="1" t="inlineStr">
        <is>
          <t xml:space="preserve">28194770       </t>
        </is>
      </c>
      <c r="F906" s="5" t="inlineStr">
        <is>
          <t>AUTOS DE METAL 3 TEAMSTERZ EN BLISTER</t>
        </is>
      </c>
      <c r="G906" t="n">
        <v>1</v>
      </c>
      <c r="H906" s="7" t="n">
        <v>6.9</v>
      </c>
      <c r="I906" s="7" t="n">
        <v>0</v>
      </c>
      <c r="J906" s="7" t="n">
        <v>0</v>
      </c>
      <c r="K906" s="9" t="n">
        <v>0</v>
      </c>
      <c r="L906" s="10" t="n">
        <v>4.1</v>
      </c>
      <c r="M906" s="10" t="n">
        <v>1.43</v>
      </c>
      <c r="N906" t="inlineStr">
        <is>
          <t>1</t>
        </is>
      </c>
      <c r="O906" t="inlineStr">
        <is>
          <t xml:space="preserve">2 </t>
        </is>
      </c>
      <c r="P906" t="inlineStr">
        <is>
          <t xml:space="preserve">38841   </t>
        </is>
      </c>
      <c r="Q906" s="26" t="n">
        <v>6.9</v>
      </c>
      <c r="R906" s="26">
        <f>Q906*G906</f>
        <v/>
      </c>
      <c r="S906" t="n">
        <v>4.09</v>
      </c>
      <c r="T906" s="18">
        <f>1 - V906/S906</f>
        <v/>
      </c>
      <c r="U906" s="18" t="n">
        <v>0</v>
      </c>
      <c r="V906" s="26" t="n">
        <v>4.09</v>
      </c>
      <c r="W906" s="26">
        <f>V906 - L906</f>
        <v/>
      </c>
    </row>
    <row r="907">
      <c r="A907" s="11" t="n">
        <v>46213</v>
      </c>
      <c r="B907" s="1" t="n">
        <v>20028</v>
      </c>
      <c r="C907" s="1" t="inlineStr">
        <is>
          <t>015</t>
        </is>
      </c>
      <c r="D907" s="1" t="inlineStr">
        <is>
          <t>211144</t>
        </is>
      </c>
      <c r="E907" s="1" t="inlineStr">
        <is>
          <t xml:space="preserve">30141766       </t>
        </is>
      </c>
      <c r="F907" s="5" t="inlineStr">
        <is>
          <t>TMZ BEAST MACHINES AUTOS DE METAL BLISTER X 1</t>
        </is>
      </c>
      <c r="G907" t="n">
        <v>1</v>
      </c>
      <c r="H907" s="7" t="n">
        <v>7.9</v>
      </c>
      <c r="I907" s="7" t="n">
        <v>0</v>
      </c>
      <c r="J907" s="7" t="n">
        <v>0</v>
      </c>
      <c r="K907" s="9" t="n">
        <v>0</v>
      </c>
      <c r="L907" s="10" t="n">
        <v>4.68</v>
      </c>
      <c r="M907" s="10" t="n">
        <v>1.43</v>
      </c>
      <c r="N907" t="inlineStr">
        <is>
          <t>1</t>
        </is>
      </c>
      <c r="O907" t="inlineStr">
        <is>
          <t xml:space="preserve">2 </t>
        </is>
      </c>
      <c r="P907" t="inlineStr">
        <is>
          <t xml:space="preserve">38841   </t>
        </is>
      </c>
      <c r="Q907" s="26" t="n">
        <v>7.9</v>
      </c>
      <c r="R907" s="26">
        <f>Q907*G907</f>
        <v/>
      </c>
      <c r="S907" t="n">
        <v>4.69</v>
      </c>
      <c r="T907" s="18">
        <f>1 - V907/S907</f>
        <v/>
      </c>
      <c r="U907" s="18" t="n">
        <v>0</v>
      </c>
      <c r="V907" s="26" t="n">
        <v>4.69</v>
      </c>
      <c r="W907" s="26">
        <f>V907 - L907</f>
        <v/>
      </c>
    </row>
    <row r="908">
      <c r="A908" s="11" t="n">
        <v>46213</v>
      </c>
      <c r="B908" s="1" t="n">
        <v>20028</v>
      </c>
      <c r="C908" s="1" t="inlineStr">
        <is>
          <t>019</t>
        </is>
      </c>
      <c r="D908" s="1" t="inlineStr">
        <is>
          <t>114334</t>
        </is>
      </c>
      <c r="E908" s="1" t="inlineStr">
        <is>
          <t xml:space="preserve">29235706       </t>
        </is>
      </c>
      <c r="F908" s="5" t="inlineStr">
        <is>
          <t>TEAMSTERZ CAMION PARA GUARDAR 12 AUTOS INCL 4 AUTO</t>
        </is>
      </c>
      <c r="G908" t="n">
        <v>1</v>
      </c>
      <c r="H908" s="7" t="n">
        <v>59.9</v>
      </c>
      <c r="I908" s="7" t="n">
        <v>0</v>
      </c>
      <c r="J908" s="7" t="n">
        <v>0</v>
      </c>
      <c r="K908" s="9" t="n">
        <v>0</v>
      </c>
      <c r="L908" s="10" t="n">
        <v>35.53</v>
      </c>
      <c r="M908" s="10" t="n">
        <v>1.43</v>
      </c>
      <c r="N908" t="inlineStr">
        <is>
          <t>1</t>
        </is>
      </c>
      <c r="O908" t="inlineStr">
        <is>
          <t>16</t>
        </is>
      </c>
      <c r="P908" t="inlineStr">
        <is>
          <t xml:space="preserve">31165   </t>
        </is>
      </c>
      <c r="Q908" s="26" t="n">
        <v>59.90000000000001</v>
      </c>
      <c r="R908" s="26">
        <f>Q908*G908</f>
        <v/>
      </c>
      <c r="S908" t="n">
        <v>35.53</v>
      </c>
      <c r="T908" s="18">
        <f>1 - V908/S908</f>
        <v/>
      </c>
      <c r="U908" s="18" t="n">
        <v>0</v>
      </c>
      <c r="V908" s="26" t="n">
        <v>35.53</v>
      </c>
      <c r="W908" s="26">
        <f>V908 - L908</f>
        <v/>
      </c>
    </row>
    <row r="909">
      <c r="A909" s="11" t="n">
        <v>46213</v>
      </c>
      <c r="B909" s="1" t="n">
        <v>20028</v>
      </c>
      <c r="C909" s="1" t="inlineStr">
        <is>
          <t>019</t>
        </is>
      </c>
      <c r="D909" s="1" t="inlineStr">
        <is>
          <t>114334</t>
        </is>
      </c>
      <c r="E909" s="1" t="inlineStr">
        <is>
          <t xml:space="preserve">34840557       </t>
        </is>
      </c>
      <c r="F909" s="5" t="inlineStr">
        <is>
          <t>TMZ BEAST MACH. PLAYSET GARAGE DE SERPIENTE + 2 AU</t>
        </is>
      </c>
      <c r="G909" t="n">
        <v>1</v>
      </c>
      <c r="H909" s="7" t="n">
        <v>79.90000000000001</v>
      </c>
      <c r="I909" s="7" t="n">
        <v>0</v>
      </c>
      <c r="J909" s="7" t="n">
        <v>0</v>
      </c>
      <c r="K909" s="9" t="n">
        <v>0</v>
      </c>
      <c r="L909" s="10" t="n">
        <v>47.4</v>
      </c>
      <c r="M909" s="10" t="n">
        <v>1.43</v>
      </c>
      <c r="N909" t="inlineStr">
        <is>
          <t>1</t>
        </is>
      </c>
      <c r="O909" t="inlineStr">
        <is>
          <t>16</t>
        </is>
      </c>
      <c r="P909" t="inlineStr">
        <is>
          <t xml:space="preserve">31165   </t>
        </is>
      </c>
      <c r="Q909" s="26" t="n">
        <v>79.90000000000002</v>
      </c>
      <c r="R909" s="26">
        <f>Q909*G909</f>
        <v/>
      </c>
      <c r="S909" t="n">
        <v>47.4</v>
      </c>
      <c r="T909" s="18">
        <f>1 - V909/S909</f>
        <v/>
      </c>
      <c r="U909" s="18" t="n">
        <v>0.3754693366708386</v>
      </c>
      <c r="V909" s="26" t="n">
        <v>33.83050847457627</v>
      </c>
      <c r="W909" s="26">
        <f>V909 - L909</f>
        <v/>
      </c>
    </row>
    <row r="910">
      <c r="A910" s="11" t="n">
        <v>46213</v>
      </c>
      <c r="B910" s="1" t="n">
        <v>20028</v>
      </c>
      <c r="C910" s="1" t="inlineStr">
        <is>
          <t>021</t>
        </is>
      </c>
      <c r="D910" s="1" t="inlineStr">
        <is>
          <t>185842</t>
        </is>
      </c>
      <c r="E910" s="1" t="inlineStr">
        <is>
          <t xml:space="preserve">31675352       </t>
        </is>
      </c>
      <c r="F910" s="5" t="inlineStr">
        <is>
          <t>MI PEQUENO NENUCO</t>
        </is>
      </c>
      <c r="G910" t="n">
        <v>1</v>
      </c>
      <c r="H910" s="7" t="n">
        <v>69.90000000000001</v>
      </c>
      <c r="I910" s="7" t="n">
        <v>0</v>
      </c>
      <c r="J910" s="7" t="n">
        <v>0</v>
      </c>
      <c r="K910" s="9" t="n">
        <v>0</v>
      </c>
      <c r="L910" s="10" t="n">
        <v>41.47</v>
      </c>
      <c r="M910" s="10" t="n">
        <v>1.43</v>
      </c>
      <c r="N910" t="inlineStr">
        <is>
          <t>1</t>
        </is>
      </c>
      <c r="O910" t="inlineStr">
        <is>
          <t>16</t>
        </is>
      </c>
      <c r="P910" t="inlineStr">
        <is>
          <t xml:space="preserve">35540   </t>
        </is>
      </c>
      <c r="Q910" s="26" t="n">
        <v>69.90000000000001</v>
      </c>
      <c r="R910" s="26">
        <f>Q910*G910</f>
        <v/>
      </c>
      <c r="S910" t="n">
        <v>41.47</v>
      </c>
      <c r="T910" s="18">
        <f>1 - V910/S910</f>
        <v/>
      </c>
      <c r="U910" s="18" t="n">
        <v>0.2861230329041489</v>
      </c>
      <c r="V910" s="26" t="n">
        <v>31.71610169491525</v>
      </c>
      <c r="W910" s="26">
        <f>V910 - L910</f>
        <v/>
      </c>
    </row>
    <row r="911">
      <c r="A911" s="11" t="n">
        <v>46213</v>
      </c>
      <c r="B911" s="1" t="n">
        <v>20028</v>
      </c>
      <c r="C911" s="1" t="inlineStr">
        <is>
          <t>140</t>
        </is>
      </c>
      <c r="D911" s="1" t="inlineStr">
        <is>
          <t>225154</t>
        </is>
      </c>
      <c r="E911" s="1" t="inlineStr">
        <is>
          <t xml:space="preserve">35685067       </t>
        </is>
      </c>
      <c r="F911" s="5" t="inlineStr">
        <is>
          <t>HOT WHEELS POWER SET 3 EN 1</t>
        </is>
      </c>
      <c r="G911" t="n">
        <v>1</v>
      </c>
      <c r="H911" s="7" t="n">
        <v>49.9</v>
      </c>
      <c r="I911" s="7" t="n">
        <v>0</v>
      </c>
      <c r="J911" s="7" t="n">
        <v>0</v>
      </c>
      <c r="K911" s="9" t="n">
        <v>0</v>
      </c>
      <c r="L911" s="10" t="n">
        <v>29.6</v>
      </c>
      <c r="M911" s="10" t="n">
        <v>1.43</v>
      </c>
      <c r="N911" t="inlineStr">
        <is>
          <t>1</t>
        </is>
      </c>
      <c r="O911" t="inlineStr">
        <is>
          <t>16</t>
        </is>
      </c>
      <c r="P911" t="inlineStr">
        <is>
          <t xml:space="preserve">35540   </t>
        </is>
      </c>
      <c r="Q911" s="26" t="n">
        <v>49.9</v>
      </c>
      <c r="R911" s="26">
        <f>Q911*G911</f>
        <v/>
      </c>
      <c r="S911" t="n">
        <v>29.6</v>
      </c>
      <c r="T911" s="18">
        <f>1 - V911/S911</f>
        <v/>
      </c>
      <c r="U911" s="18" t="n">
        <v>0</v>
      </c>
      <c r="V911" s="26" t="n">
        <v>29.6</v>
      </c>
      <c r="W911" s="26">
        <f>V911 - L911</f>
        <v/>
      </c>
    </row>
    <row r="912">
      <c r="A912" s="11" t="n">
        <v>46213</v>
      </c>
      <c r="B912" s="1" t="n">
        <v>20030</v>
      </c>
      <c r="C912" s="1" t="inlineStr">
        <is>
          <t>067</t>
        </is>
      </c>
      <c r="D912" s="1" t="inlineStr">
        <is>
          <t>273660</t>
        </is>
      </c>
      <c r="E912" s="1" t="inlineStr">
        <is>
          <t xml:space="preserve">30141766       </t>
        </is>
      </c>
      <c r="F912" s="5" t="inlineStr">
        <is>
          <t>TMZ BEAST MACHINES AUTOS DE METAL BLISTER X 1</t>
        </is>
      </c>
      <c r="G912" t="n">
        <v>1</v>
      </c>
      <c r="H912" s="7" t="n">
        <v>7.9</v>
      </c>
      <c r="I912" s="7" t="n">
        <v>0</v>
      </c>
      <c r="J912" s="7" t="n">
        <v>0</v>
      </c>
      <c r="K912" s="9" t="n">
        <v>0</v>
      </c>
      <c r="L912" s="10" t="n">
        <v>4.68</v>
      </c>
      <c r="M912" s="10" t="n">
        <v>1.43</v>
      </c>
      <c r="N912" t="inlineStr">
        <is>
          <t>1</t>
        </is>
      </c>
      <c r="O912" t="inlineStr">
        <is>
          <t>16</t>
        </is>
      </c>
      <c r="P912" t="inlineStr">
        <is>
          <t xml:space="preserve">99737   </t>
        </is>
      </c>
      <c r="Q912" s="26" t="n">
        <v>7.9</v>
      </c>
      <c r="R912" s="26">
        <f>Q912*G912</f>
        <v/>
      </c>
      <c r="S912" t="n">
        <v>4.69</v>
      </c>
      <c r="T912" s="18">
        <f>1 - V912/S912</f>
        <v/>
      </c>
      <c r="U912" s="18" t="n">
        <v>0</v>
      </c>
      <c r="V912" s="26" t="n">
        <v>4.69</v>
      </c>
      <c r="W912" s="26">
        <f>V912 - L912</f>
        <v/>
      </c>
    </row>
    <row r="913">
      <c r="A913" s="11" t="n">
        <v>46213</v>
      </c>
      <c r="B913" s="1" t="n">
        <v>20030</v>
      </c>
      <c r="C913" s="1" t="inlineStr">
        <is>
          <t>067</t>
        </is>
      </c>
      <c r="D913" s="1" t="inlineStr">
        <is>
          <t>273661</t>
        </is>
      </c>
      <c r="E913" s="1" t="inlineStr">
        <is>
          <t xml:space="preserve">30232283       </t>
        </is>
      </c>
      <c r="F913" s="5" t="inlineStr">
        <is>
          <t>INFINITY NADO PACK DE 2 TROMPOS DE BATALLA METAL</t>
        </is>
      </c>
      <c r="G913" t="n">
        <v>1</v>
      </c>
      <c r="H913" s="7" t="n">
        <v>79.90000000000001</v>
      </c>
      <c r="I913" s="7" t="n">
        <v>0</v>
      </c>
      <c r="J913" s="7" t="n">
        <v>0</v>
      </c>
      <c r="K913" s="9" t="n">
        <v>0</v>
      </c>
      <c r="L913" s="10" t="n">
        <v>47.4</v>
      </c>
      <c r="M913" s="10" t="n">
        <v>1.43</v>
      </c>
      <c r="N913" t="inlineStr">
        <is>
          <t>1</t>
        </is>
      </c>
      <c r="O913" t="inlineStr">
        <is>
          <t>16</t>
        </is>
      </c>
      <c r="P913" t="inlineStr">
        <is>
          <t xml:space="preserve">99737   </t>
        </is>
      </c>
      <c r="Q913" s="26" t="n">
        <v>79.90000000000001</v>
      </c>
      <c r="R913" s="26">
        <f>Q913*G913</f>
        <v/>
      </c>
      <c r="S913" t="n">
        <v>47.4</v>
      </c>
      <c r="T913" s="18">
        <f>1 - V913/S913</f>
        <v/>
      </c>
      <c r="U913" s="18" t="n">
        <v>0.2503128911138924</v>
      </c>
      <c r="V913" s="26" t="n">
        <v>38.07203389830509</v>
      </c>
      <c r="W913" s="26">
        <f>V913 - L913</f>
        <v/>
      </c>
    </row>
    <row r="914">
      <c r="A914" s="11" t="n">
        <v>46213</v>
      </c>
      <c r="B914" s="1" t="n">
        <v>20030</v>
      </c>
      <c r="C914" s="1" t="inlineStr">
        <is>
          <t>067</t>
        </is>
      </c>
      <c r="D914" s="1" t="inlineStr">
        <is>
          <t>273683</t>
        </is>
      </c>
      <c r="E914" s="1" t="inlineStr">
        <is>
          <t xml:space="preserve">34840525       </t>
        </is>
      </c>
      <c r="F914" s="5" t="inlineStr">
        <is>
          <t>NENUCO VAMOS DE PASEO</t>
        </is>
      </c>
      <c r="G914" t="n">
        <v>1</v>
      </c>
      <c r="H914" s="7" t="n">
        <v>99</v>
      </c>
      <c r="I914" s="7" t="n">
        <v>0</v>
      </c>
      <c r="J914" s="7" t="n">
        <v>0</v>
      </c>
      <c r="K914" s="9" t="n">
        <v>0</v>
      </c>
      <c r="L914" s="10" t="n">
        <v>58.73</v>
      </c>
      <c r="M914" s="10" t="n">
        <v>1.43</v>
      </c>
      <c r="N914" t="inlineStr">
        <is>
          <t>1</t>
        </is>
      </c>
      <c r="O914" t="inlineStr">
        <is>
          <t>16</t>
        </is>
      </c>
      <c r="P914" t="inlineStr">
        <is>
          <t xml:space="preserve">99737   </t>
        </is>
      </c>
      <c r="Q914" s="26" t="n">
        <v>99</v>
      </c>
      <c r="R914" s="26">
        <f>Q914*G914</f>
        <v/>
      </c>
      <c r="S914" t="n">
        <v>58.73</v>
      </c>
      <c r="T914" s="18">
        <f>1 - V914/S914</f>
        <v/>
      </c>
      <c r="U914" s="18" t="n">
        <v>0.1929292929292928</v>
      </c>
      <c r="V914" s="26" t="n">
        <v>50.78389830508475</v>
      </c>
      <c r="W914" s="26">
        <f>V914 - L914</f>
        <v/>
      </c>
    </row>
    <row r="915">
      <c r="A915" s="11" t="n">
        <v>46213</v>
      </c>
      <c r="B915" s="1" t="n">
        <v>20030</v>
      </c>
      <c r="C915" s="1" t="inlineStr">
        <is>
          <t>067</t>
        </is>
      </c>
      <c r="D915" s="1" t="inlineStr">
        <is>
          <t>273721</t>
        </is>
      </c>
      <c r="E915" s="1" t="inlineStr">
        <is>
          <t xml:space="preserve">34840556       </t>
        </is>
      </c>
      <c r="F915" s="5" t="inlineStr">
        <is>
          <t>TMZ BEAST MACH. TRANSPORT DINO +ACCS</t>
        </is>
      </c>
      <c r="G915" t="n">
        <v>1</v>
      </c>
      <c r="H915" s="7" t="n">
        <v>79.90000000000001</v>
      </c>
      <c r="I915" s="7" t="n">
        <v>0</v>
      </c>
      <c r="J915" s="7" t="n">
        <v>0</v>
      </c>
      <c r="K915" s="9" t="n">
        <v>0</v>
      </c>
      <c r="L915" s="10" t="n">
        <v>47.4</v>
      </c>
      <c r="M915" s="10" t="n">
        <v>1.43</v>
      </c>
      <c r="N915" t="inlineStr">
        <is>
          <t>1</t>
        </is>
      </c>
      <c r="O915" t="inlineStr">
        <is>
          <t xml:space="preserve">2 </t>
        </is>
      </c>
      <c r="P915" t="inlineStr">
        <is>
          <t xml:space="preserve">99737   </t>
        </is>
      </c>
      <c r="Q915" s="26" t="n">
        <v>79.90000000000002</v>
      </c>
      <c r="R915" s="26">
        <f>Q915*G915</f>
        <v/>
      </c>
      <c r="S915" t="n">
        <v>47.4</v>
      </c>
      <c r="T915" s="18">
        <f>1 - V915/S915</f>
        <v/>
      </c>
      <c r="U915" s="18" t="n">
        <v>0.2503128911138924</v>
      </c>
      <c r="V915" s="26" t="n">
        <v>38.07203389830509</v>
      </c>
      <c r="W915" s="26">
        <f>V915 - L915</f>
        <v/>
      </c>
    </row>
    <row r="916">
      <c r="A916" s="11" t="n">
        <v>46213</v>
      </c>
      <c r="B916" s="1" t="n">
        <v>20030</v>
      </c>
      <c r="C916" s="1" t="inlineStr">
        <is>
          <t>077</t>
        </is>
      </c>
      <c r="D916" s="1" t="inlineStr">
        <is>
          <t>232123</t>
        </is>
      </c>
      <c r="E916" s="1" t="inlineStr">
        <is>
          <t xml:space="preserve">28194780       </t>
        </is>
      </c>
      <c r="F916" s="5" t="inlineStr">
        <is>
          <t>TROMPO BATALLA INFINITY NADO PLSTICO SURTIDO</t>
        </is>
      </c>
      <c r="G916" t="n">
        <v>1</v>
      </c>
      <c r="H916" s="7" t="n">
        <v>19.9</v>
      </c>
      <c r="I916" s="7" t="n">
        <v>0</v>
      </c>
      <c r="J916" s="7" t="n">
        <v>0</v>
      </c>
      <c r="K916" s="9" t="n">
        <v>0</v>
      </c>
      <c r="L916" s="10" t="n">
        <v>11.8</v>
      </c>
      <c r="M916" s="10" t="n">
        <v>1.43</v>
      </c>
      <c r="N916" t="inlineStr">
        <is>
          <t>1</t>
        </is>
      </c>
      <c r="O916" t="inlineStr">
        <is>
          <t>16</t>
        </is>
      </c>
      <c r="P916" t="inlineStr">
        <is>
          <t xml:space="preserve">52224   </t>
        </is>
      </c>
      <c r="Q916" s="26" t="n">
        <v>19.9</v>
      </c>
      <c r="R916" s="26">
        <f>Q916*G916</f>
        <v/>
      </c>
      <c r="S916" t="n">
        <v>11.81</v>
      </c>
      <c r="T916" s="18">
        <f>1 - V916/S916</f>
        <v/>
      </c>
      <c r="U916" s="18" t="n">
        <v>0</v>
      </c>
      <c r="V916" s="26" t="n">
        <v>11.81</v>
      </c>
      <c r="W916" s="26">
        <f>V916 - L916</f>
        <v/>
      </c>
    </row>
    <row r="917">
      <c r="A917" s="11" t="n">
        <v>46213</v>
      </c>
      <c r="B917" s="1" t="n">
        <v>20040</v>
      </c>
      <c r="C917" s="1" t="inlineStr">
        <is>
          <t>072</t>
        </is>
      </c>
      <c r="D917" s="1" t="inlineStr">
        <is>
          <t>251481</t>
        </is>
      </c>
      <c r="E917" s="1" t="inlineStr">
        <is>
          <t xml:space="preserve">28194769       </t>
        </is>
      </c>
      <c r="F917" s="5" t="inlineStr">
        <is>
          <t>AUTOS DE METAL 3 TEAMSTERZ PACK DE 2</t>
        </is>
      </c>
      <c r="G917" t="n">
        <v>1</v>
      </c>
      <c r="H917" s="7" t="n">
        <v>13.8</v>
      </c>
      <c r="I917" s="7" t="n">
        <v>0</v>
      </c>
      <c r="J917" s="7" t="n">
        <v>0</v>
      </c>
      <c r="K917" s="9" t="n">
        <v>0</v>
      </c>
      <c r="L917" s="10" t="n">
        <v>8.18</v>
      </c>
      <c r="M917" s="10" t="n">
        <v>1.43</v>
      </c>
      <c r="N917" t="inlineStr">
        <is>
          <t>1</t>
        </is>
      </c>
      <c r="O917" t="inlineStr">
        <is>
          <t>16</t>
        </is>
      </c>
      <c r="P917" t="inlineStr">
        <is>
          <t xml:space="preserve">247275  </t>
        </is>
      </c>
      <c r="Q917" s="26" t="n">
        <v>13.8</v>
      </c>
      <c r="R917" s="26">
        <f>Q917*G917</f>
        <v/>
      </c>
      <c r="S917" t="n">
        <v>8.19</v>
      </c>
      <c r="T917" s="18">
        <f>1 - V917/S917</f>
        <v/>
      </c>
      <c r="U917" s="18" t="n">
        <v>0</v>
      </c>
      <c r="V917" s="26" t="n">
        <v>8.19</v>
      </c>
      <c r="W917" s="26">
        <f>V917 - L917</f>
        <v/>
      </c>
    </row>
    <row r="918">
      <c r="A918" s="11" t="n">
        <v>46213</v>
      </c>
      <c r="B918" s="1" t="n">
        <v>20040</v>
      </c>
      <c r="C918" s="1" t="inlineStr">
        <is>
          <t>073</t>
        </is>
      </c>
      <c r="D918" s="1" t="inlineStr">
        <is>
          <t>254418</t>
        </is>
      </c>
      <c r="E918" s="1" t="inlineStr">
        <is>
          <t xml:space="preserve">28194770       </t>
        </is>
      </c>
      <c r="F918" s="5" t="inlineStr">
        <is>
          <t>AUTOS DE METAL 3 TEAMSTERZ EN BLISTER</t>
        </is>
      </c>
      <c r="G918" t="n">
        <v>1</v>
      </c>
      <c r="H918" s="7" t="n">
        <v>6.9</v>
      </c>
      <c r="I918" s="7" t="n">
        <v>0.6899999999999999</v>
      </c>
      <c r="J918" s="7" t="n">
        <v>0</v>
      </c>
      <c r="K918" s="9" t="n">
        <v>0.6899999999999999</v>
      </c>
      <c r="L918" s="10" t="n">
        <v>3.68</v>
      </c>
      <c r="M918" s="10" t="n">
        <v>1.43</v>
      </c>
      <c r="N918" t="inlineStr">
        <is>
          <t>1</t>
        </is>
      </c>
      <c r="O918" t="inlineStr">
        <is>
          <t xml:space="preserve">3 </t>
        </is>
      </c>
      <c r="P918" t="inlineStr">
        <is>
          <t xml:space="preserve">250391  </t>
        </is>
      </c>
      <c r="Q918" s="26" t="n">
        <v>6.9</v>
      </c>
      <c r="R918" s="26">
        <f>Q918*G918</f>
        <v/>
      </c>
      <c r="S918" t="n">
        <v>4.09</v>
      </c>
      <c r="T918" s="18">
        <f>1 - V918/S918</f>
        <v/>
      </c>
      <c r="U918" s="18" t="n">
        <v>0</v>
      </c>
      <c r="V918" s="26" t="n">
        <v>4.09</v>
      </c>
      <c r="W918" s="26">
        <f>V918 - L918</f>
        <v/>
      </c>
    </row>
    <row r="919">
      <c r="A919" s="11" t="n">
        <v>46213</v>
      </c>
      <c r="B919" s="1" t="n">
        <v>20040</v>
      </c>
      <c r="C919" s="1" t="inlineStr">
        <is>
          <t>073</t>
        </is>
      </c>
      <c r="D919" s="1" t="inlineStr">
        <is>
          <t>254418</t>
        </is>
      </c>
      <c r="E919" s="1" t="inlineStr">
        <is>
          <t xml:space="preserve">28194770       </t>
        </is>
      </c>
      <c r="F919" s="5" t="inlineStr">
        <is>
          <t>AUTOS DE METAL 3 TEAMSTERZ EN BLISTER</t>
        </is>
      </c>
      <c r="G919" t="n">
        <v>1</v>
      </c>
      <c r="H919" s="7" t="n">
        <v>6.9</v>
      </c>
      <c r="I919" s="7" t="n">
        <v>0.6899999999999999</v>
      </c>
      <c r="J919" s="7" t="n">
        <v>0</v>
      </c>
      <c r="K919" s="9" t="n">
        <v>0.6899999999999999</v>
      </c>
      <c r="L919" s="10" t="n">
        <v>3.68</v>
      </c>
      <c r="M919" s="10" t="n">
        <v>1.43</v>
      </c>
      <c r="N919" t="inlineStr">
        <is>
          <t>1</t>
        </is>
      </c>
      <c r="O919" t="inlineStr">
        <is>
          <t xml:space="preserve">3 </t>
        </is>
      </c>
      <c r="P919" t="inlineStr">
        <is>
          <t xml:space="preserve">250391  </t>
        </is>
      </c>
      <c r="Q919" s="26" t="n">
        <v>6.9</v>
      </c>
      <c r="R919" s="26">
        <f>Q919*G919</f>
        <v/>
      </c>
      <c r="S919" t="n">
        <v>4.09</v>
      </c>
      <c r="T919" s="18">
        <f>1 - V919/S919</f>
        <v/>
      </c>
      <c r="U919" s="18" t="n">
        <v>0</v>
      </c>
      <c r="V919" s="26" t="n">
        <v>4.09</v>
      </c>
      <c r="W919" s="26">
        <f>V919 - L919</f>
        <v/>
      </c>
    </row>
    <row r="920">
      <c r="A920" s="11" t="n">
        <v>46213</v>
      </c>
      <c r="B920" s="1" t="n">
        <v>20041</v>
      </c>
      <c r="C920" s="1" t="inlineStr">
        <is>
          <t>016</t>
        </is>
      </c>
      <c r="D920" s="1" t="inlineStr">
        <is>
          <t>215225</t>
        </is>
      </c>
      <c r="E920" s="1" t="inlineStr">
        <is>
          <t xml:space="preserve">28194770       </t>
        </is>
      </c>
      <c r="F920" s="5" t="inlineStr">
        <is>
          <t>AUTOS DE METAL 3 TEAMSTERZ EN BLISTER</t>
        </is>
      </c>
      <c r="G920" t="n">
        <v>1</v>
      </c>
      <c r="H920" s="7" t="n">
        <v>6.9</v>
      </c>
      <c r="I920" s="7" t="n">
        <v>0</v>
      </c>
      <c r="J920" s="7" t="n">
        <v>0</v>
      </c>
      <c r="K920" s="9" t="n">
        <v>0</v>
      </c>
      <c r="L920" s="10" t="n">
        <v>4.1</v>
      </c>
      <c r="M920" s="10" t="n">
        <v>1.43</v>
      </c>
      <c r="N920" t="inlineStr">
        <is>
          <t>1</t>
        </is>
      </c>
      <c r="O920" t="inlineStr">
        <is>
          <t>16</t>
        </is>
      </c>
      <c r="P920" t="inlineStr">
        <is>
          <t xml:space="preserve">36144   </t>
        </is>
      </c>
      <c r="Q920" s="26" t="n">
        <v>6.9</v>
      </c>
      <c r="R920" s="26">
        <f>Q920*G920</f>
        <v/>
      </c>
      <c r="S920" t="n">
        <v>4.09</v>
      </c>
      <c r="T920" s="18">
        <f>1 - V920/S920</f>
        <v/>
      </c>
      <c r="U920" s="18" t="n">
        <v>0</v>
      </c>
      <c r="V920" s="26" t="n">
        <v>4.09</v>
      </c>
      <c r="W920" s="26">
        <f>V920 - L920</f>
        <v/>
      </c>
    </row>
    <row r="921">
      <c r="A921" s="11" t="n">
        <v>46213</v>
      </c>
      <c r="B921" s="1" t="n">
        <v>20041</v>
      </c>
      <c r="C921" s="1" t="inlineStr">
        <is>
          <t>037</t>
        </is>
      </c>
      <c r="D921" s="1" t="inlineStr">
        <is>
          <t>189321</t>
        </is>
      </c>
      <c r="E921" s="1" t="inlineStr">
        <is>
          <t xml:space="preserve">28194780       </t>
        </is>
      </c>
      <c r="F921" s="5" t="inlineStr">
        <is>
          <t>TROMPO BATALLA INFINITY NADO PLSTICO SURTIDO</t>
        </is>
      </c>
      <c r="G921" t="n">
        <v>1</v>
      </c>
      <c r="H921" s="7" t="n">
        <v>19.9</v>
      </c>
      <c r="I921" s="7" t="n">
        <v>1.99</v>
      </c>
      <c r="J921" s="7" t="n">
        <v>0</v>
      </c>
      <c r="K921" s="9" t="n">
        <v>1.99</v>
      </c>
      <c r="L921" s="10" t="n">
        <v>10.63</v>
      </c>
      <c r="M921" s="10" t="n">
        <v>1.43</v>
      </c>
      <c r="N921" t="inlineStr">
        <is>
          <t>1</t>
        </is>
      </c>
      <c r="O921" t="inlineStr">
        <is>
          <t xml:space="preserve">3 </t>
        </is>
      </c>
      <c r="P921" t="inlineStr">
        <is>
          <t xml:space="preserve">245842  </t>
        </is>
      </c>
      <c r="Q921" s="26" t="n">
        <v>19.9</v>
      </c>
      <c r="R921" s="26">
        <f>Q921*G921</f>
        <v/>
      </c>
      <c r="S921" t="n">
        <v>11.81</v>
      </c>
      <c r="T921" s="18">
        <f>1 - V921/S921</f>
        <v/>
      </c>
      <c r="U921" s="18" t="n">
        <v>0</v>
      </c>
      <c r="V921" s="26" t="n">
        <v>11.81</v>
      </c>
      <c r="W921" s="26">
        <f>V921 - L921</f>
        <v/>
      </c>
    </row>
    <row r="922">
      <c r="A922" s="11" t="n">
        <v>46213</v>
      </c>
      <c r="B922" s="1" t="n">
        <v>20041</v>
      </c>
      <c r="C922" s="1" t="inlineStr">
        <is>
          <t>037</t>
        </is>
      </c>
      <c r="D922" s="1" t="inlineStr">
        <is>
          <t>189337</t>
        </is>
      </c>
      <c r="E922" s="1" t="inlineStr">
        <is>
          <t xml:space="preserve">28194770       </t>
        </is>
      </c>
      <c r="F922" s="5" t="inlineStr">
        <is>
          <t>AUTOS DE METAL 3 TEAMSTERZ EN BLISTER</t>
        </is>
      </c>
      <c r="G922" t="n">
        <v>1</v>
      </c>
      <c r="H922" s="7" t="n">
        <v>6.9</v>
      </c>
      <c r="I922" s="7" t="n">
        <v>0</v>
      </c>
      <c r="J922" s="7" t="n">
        <v>0</v>
      </c>
      <c r="K922" s="9" t="n">
        <v>0</v>
      </c>
      <c r="L922" s="10" t="n">
        <v>4.1</v>
      </c>
      <c r="M922" s="10" t="n">
        <v>1.43</v>
      </c>
      <c r="N922" t="inlineStr">
        <is>
          <t>1</t>
        </is>
      </c>
      <c r="O922" t="inlineStr">
        <is>
          <t xml:space="preserve">2 </t>
        </is>
      </c>
      <c r="P922" t="inlineStr">
        <is>
          <t xml:space="preserve">245842  </t>
        </is>
      </c>
      <c r="Q922" s="26" t="n">
        <v>6.9</v>
      </c>
      <c r="R922" s="26">
        <f>Q922*G922</f>
        <v/>
      </c>
      <c r="S922" t="n">
        <v>4.09</v>
      </c>
      <c r="T922" s="18">
        <f>1 - V922/S922</f>
        <v/>
      </c>
      <c r="U922" s="18" t="n">
        <v>0</v>
      </c>
      <c r="V922" s="26" t="n">
        <v>4.09</v>
      </c>
      <c r="W922" s="26">
        <f>V922 - L922</f>
        <v/>
      </c>
    </row>
    <row r="923">
      <c r="A923" s="11" t="n">
        <v>46213</v>
      </c>
      <c r="B923" s="1" t="n">
        <v>20041</v>
      </c>
      <c r="C923" s="1" t="inlineStr">
        <is>
          <t>037</t>
        </is>
      </c>
      <c r="D923" s="1" t="inlineStr">
        <is>
          <t>189337</t>
        </is>
      </c>
      <c r="E923" s="1" t="inlineStr">
        <is>
          <t xml:space="preserve">28194770       </t>
        </is>
      </c>
      <c r="F923" s="5" t="inlineStr">
        <is>
          <t>AUTOS DE METAL 3 TEAMSTERZ EN BLISTER</t>
        </is>
      </c>
      <c r="G923" t="n">
        <v>1</v>
      </c>
      <c r="H923" s="7" t="n">
        <v>6.9</v>
      </c>
      <c r="I923" s="7" t="n">
        <v>0</v>
      </c>
      <c r="J923" s="7" t="n">
        <v>0</v>
      </c>
      <c r="K923" s="9" t="n">
        <v>0</v>
      </c>
      <c r="L923" s="10" t="n">
        <v>4.1</v>
      </c>
      <c r="M923" s="10" t="n">
        <v>1.43</v>
      </c>
      <c r="N923" t="inlineStr">
        <is>
          <t>1</t>
        </is>
      </c>
      <c r="O923" t="inlineStr">
        <is>
          <t xml:space="preserve">2 </t>
        </is>
      </c>
      <c r="P923" t="inlineStr">
        <is>
          <t xml:space="preserve">245842  </t>
        </is>
      </c>
      <c r="Q923" s="26" t="n">
        <v>6.9</v>
      </c>
      <c r="R923" s="26">
        <f>Q923*G923</f>
        <v/>
      </c>
      <c r="S923" t="n">
        <v>4.09</v>
      </c>
      <c r="T923" s="18">
        <f>1 - V923/S923</f>
        <v/>
      </c>
      <c r="U923" s="18" t="n">
        <v>0</v>
      </c>
      <c r="V923" s="26" t="n">
        <v>4.09</v>
      </c>
      <c r="W923" s="26">
        <f>V923 - L923</f>
        <v/>
      </c>
    </row>
    <row r="924">
      <c r="A924" s="11" t="n">
        <v>46213</v>
      </c>
      <c r="B924" s="1" t="n">
        <v>20041</v>
      </c>
      <c r="C924" s="1" t="inlineStr">
        <is>
          <t>037</t>
        </is>
      </c>
      <c r="D924" s="1" t="inlineStr">
        <is>
          <t>189339</t>
        </is>
      </c>
      <c r="E924" s="1" t="inlineStr">
        <is>
          <t xml:space="preserve">28194770       </t>
        </is>
      </c>
      <c r="F924" s="5" t="inlineStr">
        <is>
          <t>AUTOS DE METAL 3 TEAMSTERZ EN BLISTER</t>
        </is>
      </c>
      <c r="G924" t="n">
        <v>1</v>
      </c>
      <c r="H924" s="7" t="n">
        <v>6.9</v>
      </c>
      <c r="I924" s="7" t="n">
        <v>0</v>
      </c>
      <c r="J924" s="7" t="n">
        <v>0</v>
      </c>
      <c r="K924" s="9" t="n">
        <v>0</v>
      </c>
      <c r="L924" s="10" t="n">
        <v>4.1</v>
      </c>
      <c r="M924" s="10" t="n">
        <v>1.43</v>
      </c>
      <c r="N924" t="inlineStr">
        <is>
          <t>1</t>
        </is>
      </c>
      <c r="O924" t="inlineStr">
        <is>
          <t>16</t>
        </is>
      </c>
      <c r="P924" t="inlineStr">
        <is>
          <t xml:space="preserve">245842  </t>
        </is>
      </c>
      <c r="Q924" s="26" t="n">
        <v>6.9</v>
      </c>
      <c r="R924" s="26">
        <f>Q924*G924</f>
        <v/>
      </c>
      <c r="S924" t="n">
        <v>4.09</v>
      </c>
      <c r="T924" s="18">
        <f>1 - V924/S924</f>
        <v/>
      </c>
      <c r="U924" s="18" t="n">
        <v>0</v>
      </c>
      <c r="V924" s="26" t="n">
        <v>4.09</v>
      </c>
      <c r="W924" s="26">
        <f>V924 - L924</f>
        <v/>
      </c>
    </row>
    <row r="925">
      <c r="A925" s="11" t="n">
        <v>46213</v>
      </c>
      <c r="B925" s="1" t="n">
        <v>20041</v>
      </c>
      <c r="C925" s="1" t="inlineStr">
        <is>
          <t>037</t>
        </is>
      </c>
      <c r="D925" s="1" t="inlineStr">
        <is>
          <t>189352</t>
        </is>
      </c>
      <c r="E925" s="1" t="inlineStr">
        <is>
          <t xml:space="preserve">28194769       </t>
        </is>
      </c>
      <c r="F925" s="5" t="inlineStr">
        <is>
          <t>AUTOS DE METAL 3 TEAMSTERZ PACK DE 2</t>
        </is>
      </c>
      <c r="G925" t="n">
        <v>1</v>
      </c>
      <c r="H925" s="7" t="n">
        <v>13.8</v>
      </c>
      <c r="I925" s="7" t="n">
        <v>0</v>
      </c>
      <c r="J925" s="7" t="n">
        <v>0</v>
      </c>
      <c r="K925" s="9" t="n">
        <v>0</v>
      </c>
      <c r="L925" s="10" t="n">
        <v>8.18</v>
      </c>
      <c r="M925" s="10" t="n">
        <v>1.43</v>
      </c>
      <c r="N925" t="inlineStr">
        <is>
          <t>1</t>
        </is>
      </c>
      <c r="O925" t="inlineStr">
        <is>
          <t xml:space="preserve">2 </t>
        </is>
      </c>
      <c r="P925" t="inlineStr">
        <is>
          <t xml:space="preserve">245842  </t>
        </is>
      </c>
      <c r="Q925" s="26" t="n">
        <v>13.8</v>
      </c>
      <c r="R925" s="26">
        <f>Q925*G925</f>
        <v/>
      </c>
      <c r="S925" t="n">
        <v>8.19</v>
      </c>
      <c r="T925" s="18">
        <f>1 - V925/S925</f>
        <v/>
      </c>
      <c r="U925" s="18" t="n">
        <v>0</v>
      </c>
      <c r="V925" s="26" t="n">
        <v>8.19</v>
      </c>
      <c r="W925" s="26">
        <f>V925 - L925</f>
        <v/>
      </c>
    </row>
    <row r="926">
      <c r="A926" s="11" t="n">
        <v>46213</v>
      </c>
      <c r="B926" s="1" t="n">
        <v>20041</v>
      </c>
      <c r="C926" s="1" t="inlineStr">
        <is>
          <t>037</t>
        </is>
      </c>
      <c r="D926" s="1" t="inlineStr">
        <is>
          <t>189353</t>
        </is>
      </c>
      <c r="E926" s="1" t="inlineStr">
        <is>
          <t xml:space="preserve">28194770       </t>
        </is>
      </c>
      <c r="F926" s="5" t="inlineStr">
        <is>
          <t>AUTOS DE METAL 3 TEAMSTERZ EN BLISTER</t>
        </is>
      </c>
      <c r="G926" t="n">
        <v>1</v>
      </c>
      <c r="H926" s="7" t="n">
        <v>6.9</v>
      </c>
      <c r="I926" s="7" t="n">
        <v>0</v>
      </c>
      <c r="J926" s="7" t="n">
        <v>0</v>
      </c>
      <c r="K926" s="9" t="n">
        <v>0</v>
      </c>
      <c r="L926" s="10" t="n">
        <v>4.1</v>
      </c>
      <c r="M926" s="10" t="n">
        <v>1.43</v>
      </c>
      <c r="N926" t="inlineStr">
        <is>
          <t>1</t>
        </is>
      </c>
      <c r="O926" t="inlineStr">
        <is>
          <t>16</t>
        </is>
      </c>
      <c r="P926" t="inlineStr">
        <is>
          <t xml:space="preserve">245842  </t>
        </is>
      </c>
      <c r="Q926" s="26" t="n">
        <v>6.9</v>
      </c>
      <c r="R926" s="26">
        <f>Q926*G926</f>
        <v/>
      </c>
      <c r="S926" t="n">
        <v>4.09</v>
      </c>
      <c r="T926" s="18">
        <f>1 - V926/S926</f>
        <v/>
      </c>
      <c r="U926" s="18" t="n">
        <v>0</v>
      </c>
      <c r="V926" s="26" t="n">
        <v>4.09</v>
      </c>
      <c r="W926" s="26">
        <f>V926 - L926</f>
        <v/>
      </c>
    </row>
    <row r="927">
      <c r="A927" s="11" t="n">
        <v>46213</v>
      </c>
      <c r="B927" s="1" t="n">
        <v>20041</v>
      </c>
      <c r="C927" s="1" t="inlineStr">
        <is>
          <t>037</t>
        </is>
      </c>
      <c r="D927" s="1" t="inlineStr">
        <is>
          <t>189353</t>
        </is>
      </c>
      <c r="E927" s="1" t="inlineStr">
        <is>
          <t xml:space="preserve">28194770       </t>
        </is>
      </c>
      <c r="F927" s="5" t="inlineStr">
        <is>
          <t>AUTOS DE METAL 3 TEAMSTERZ EN BLISTER</t>
        </is>
      </c>
      <c r="G927" t="n">
        <v>1</v>
      </c>
      <c r="H927" s="7" t="n">
        <v>6.9</v>
      </c>
      <c r="I927" s="7" t="n">
        <v>0</v>
      </c>
      <c r="J927" s="7" t="n">
        <v>0</v>
      </c>
      <c r="K927" s="9" t="n">
        <v>0</v>
      </c>
      <c r="L927" s="10" t="n">
        <v>4.1</v>
      </c>
      <c r="M927" s="10" t="n">
        <v>1.43</v>
      </c>
      <c r="N927" t="inlineStr">
        <is>
          <t>1</t>
        </is>
      </c>
      <c r="O927" t="inlineStr">
        <is>
          <t>16</t>
        </is>
      </c>
      <c r="P927" t="inlineStr">
        <is>
          <t xml:space="preserve">245842  </t>
        </is>
      </c>
      <c r="Q927" s="26" t="n">
        <v>6.9</v>
      </c>
      <c r="R927" s="26">
        <f>Q927*G927</f>
        <v/>
      </c>
      <c r="S927" t="n">
        <v>4.09</v>
      </c>
      <c r="T927" s="18">
        <f>1 - V927/S927</f>
        <v/>
      </c>
      <c r="U927" s="18" t="n">
        <v>0</v>
      </c>
      <c r="V927" s="26" t="n">
        <v>4.09</v>
      </c>
      <c r="W927" s="26">
        <f>V927 - L927</f>
        <v/>
      </c>
    </row>
    <row r="928">
      <c r="A928" s="11" t="n">
        <v>46213</v>
      </c>
      <c r="B928" s="1" t="n">
        <v>20041</v>
      </c>
      <c r="C928" s="1" t="inlineStr">
        <is>
          <t>037</t>
        </is>
      </c>
      <c r="D928" s="1" t="inlineStr">
        <is>
          <t>189389</t>
        </is>
      </c>
      <c r="E928" s="1" t="inlineStr">
        <is>
          <t xml:space="preserve">28194769       </t>
        </is>
      </c>
      <c r="F928" s="5" t="inlineStr">
        <is>
          <t>AUTOS DE METAL 3 TEAMSTERZ PACK DE 2</t>
        </is>
      </c>
      <c r="G928" t="n">
        <v>1</v>
      </c>
      <c r="H928" s="7" t="n">
        <v>13.8</v>
      </c>
      <c r="I928" s="7" t="n">
        <v>0</v>
      </c>
      <c r="J928" s="7" t="n">
        <v>0</v>
      </c>
      <c r="K928" s="9" t="n">
        <v>0</v>
      </c>
      <c r="L928" s="10" t="n">
        <v>8.18</v>
      </c>
      <c r="M928" s="10" t="n">
        <v>1.43</v>
      </c>
      <c r="N928" t="inlineStr">
        <is>
          <t>1</t>
        </is>
      </c>
      <c r="O928" t="inlineStr">
        <is>
          <t>16</t>
        </is>
      </c>
      <c r="P928" t="inlineStr">
        <is>
          <t xml:space="preserve">243698  </t>
        </is>
      </c>
      <c r="Q928" s="26" t="n">
        <v>13.8</v>
      </c>
      <c r="R928" s="26">
        <f>Q928*G928</f>
        <v/>
      </c>
      <c r="S928" t="n">
        <v>8.19</v>
      </c>
      <c r="T928" s="18">
        <f>1 - V928/S928</f>
        <v/>
      </c>
      <c r="U928" s="18" t="n">
        <v>0</v>
      </c>
      <c r="V928" s="26" t="n">
        <v>8.19</v>
      </c>
      <c r="W928" s="26">
        <f>V928 - L928</f>
        <v/>
      </c>
    </row>
    <row r="929">
      <c r="A929" s="11" t="n">
        <v>46213</v>
      </c>
      <c r="B929" s="1" t="n">
        <v>20041</v>
      </c>
      <c r="C929" s="1" t="inlineStr">
        <is>
          <t>037</t>
        </is>
      </c>
      <c r="D929" s="1" t="inlineStr">
        <is>
          <t>189392</t>
        </is>
      </c>
      <c r="E929" s="1" t="inlineStr">
        <is>
          <t xml:space="preserve">28194770       </t>
        </is>
      </c>
      <c r="F929" s="5" t="inlineStr">
        <is>
          <t>AUTOS DE METAL 3 TEAMSTERZ EN BLISTER</t>
        </is>
      </c>
      <c r="G929" t="n">
        <v>3</v>
      </c>
      <c r="H929" s="7" t="n">
        <v>20.7</v>
      </c>
      <c r="I929" s="7" t="n">
        <v>2.07</v>
      </c>
      <c r="J929" s="7" t="n">
        <v>0</v>
      </c>
      <c r="K929" s="9" t="n">
        <v>2.07</v>
      </c>
      <c r="L929" s="10" t="n">
        <v>11.04</v>
      </c>
      <c r="M929" s="10" t="n">
        <v>1.43</v>
      </c>
      <c r="N929" t="inlineStr">
        <is>
          <t>1</t>
        </is>
      </c>
      <c r="O929" t="inlineStr">
        <is>
          <t xml:space="preserve">3 </t>
        </is>
      </c>
      <c r="P929" t="inlineStr">
        <is>
          <t xml:space="preserve">243698  </t>
        </is>
      </c>
      <c r="Q929" s="26" t="n">
        <v>6.9</v>
      </c>
      <c r="R929" s="26">
        <f>Q929*G929</f>
        <v/>
      </c>
      <c r="S929" t="n">
        <v>12.27</v>
      </c>
      <c r="T929" s="18">
        <f>1 - V929/S929</f>
        <v/>
      </c>
      <c r="U929" s="18" t="n">
        <v>0</v>
      </c>
      <c r="V929" s="26" t="n">
        <v>12.27</v>
      </c>
      <c r="W929" s="26">
        <f>V929 - L929</f>
        <v/>
      </c>
    </row>
    <row r="930">
      <c r="A930" s="11" t="n">
        <v>46213</v>
      </c>
      <c r="B930" s="1" t="n">
        <v>20041</v>
      </c>
      <c r="C930" s="1" t="inlineStr">
        <is>
          <t>043</t>
        </is>
      </c>
      <c r="D930" s="1" t="inlineStr">
        <is>
          <t xml:space="preserve">75907 </t>
        </is>
      </c>
      <c r="E930" s="1" t="inlineStr">
        <is>
          <t xml:space="preserve">28194770       </t>
        </is>
      </c>
      <c r="F930" s="5" t="inlineStr">
        <is>
          <t>AUTOS DE METAL 3 TEAMSTERZ EN BLISTER</t>
        </is>
      </c>
      <c r="G930" t="n">
        <v>1</v>
      </c>
      <c r="H930" s="7" t="n">
        <v>6.9</v>
      </c>
      <c r="I930" s="7" t="n">
        <v>0</v>
      </c>
      <c r="J930" s="7" t="n">
        <v>0</v>
      </c>
      <c r="K930" s="9" t="n">
        <v>0</v>
      </c>
      <c r="L930" s="10" t="n">
        <v>4.1</v>
      </c>
      <c r="M930" s="10" t="n">
        <v>1.43</v>
      </c>
      <c r="N930" t="inlineStr">
        <is>
          <t>1</t>
        </is>
      </c>
      <c r="O930" t="inlineStr">
        <is>
          <t xml:space="preserve">2 </t>
        </is>
      </c>
      <c r="P930" t="inlineStr">
        <is>
          <t xml:space="preserve">244965  </t>
        </is>
      </c>
      <c r="Q930" s="26" t="n">
        <v>6.9</v>
      </c>
      <c r="R930" s="26">
        <f>Q930*G930</f>
        <v/>
      </c>
      <c r="S930" t="n">
        <v>4.09</v>
      </c>
      <c r="T930" s="18">
        <f>1 - V930/S930</f>
        <v/>
      </c>
      <c r="U930" s="18" t="n">
        <v>0</v>
      </c>
      <c r="V930" s="26" t="n">
        <v>4.09</v>
      </c>
      <c r="W930" s="26">
        <f>V930 - L930</f>
        <v/>
      </c>
    </row>
    <row r="931">
      <c r="A931" s="11" t="n">
        <v>46213</v>
      </c>
      <c r="B931" s="1" t="n">
        <v>20041</v>
      </c>
      <c r="C931" s="1" t="inlineStr">
        <is>
          <t>519</t>
        </is>
      </c>
      <c r="D931" s="1" t="inlineStr">
        <is>
          <t xml:space="preserve">6819  </t>
        </is>
      </c>
      <c r="E931" s="1" t="inlineStr">
        <is>
          <t xml:space="preserve">33483121       </t>
        </is>
      </c>
      <c r="F931" s="5" t="inlineStr">
        <is>
          <t>HOT WHEELS ESTUCHE PARA 15 AUTOS SURTIDO</t>
        </is>
      </c>
      <c r="G931" t="n">
        <v>1</v>
      </c>
      <c r="H931" s="7" t="n">
        <v>34.9</v>
      </c>
      <c r="I931" s="7" t="n">
        <v>0</v>
      </c>
      <c r="J931" s="7" t="n">
        <v>0</v>
      </c>
      <c r="K931" s="9" t="n">
        <v>0</v>
      </c>
      <c r="L931" s="10" t="n">
        <v>20.71</v>
      </c>
      <c r="M931" s="10" t="n">
        <v>1.43</v>
      </c>
      <c r="N931" t="inlineStr">
        <is>
          <t>1</t>
        </is>
      </c>
      <c r="O931" t="inlineStr">
        <is>
          <t>16</t>
        </is>
      </c>
      <c r="P931" t="inlineStr">
        <is>
          <t xml:space="preserve">248088  </t>
        </is>
      </c>
      <c r="Q931" s="26" t="n">
        <v>34.9</v>
      </c>
      <c r="R931" s="26">
        <f>Q931*G931</f>
        <v/>
      </c>
      <c r="S931" t="n">
        <v>20.7</v>
      </c>
      <c r="T931" s="18">
        <f>1 - V931/S931</f>
        <v/>
      </c>
      <c r="U931" s="18" t="n">
        <v>0</v>
      </c>
      <c r="V931" s="26" t="n">
        <v>20.7</v>
      </c>
      <c r="W931" s="26">
        <f>V931 - L931</f>
        <v/>
      </c>
    </row>
    <row r="932">
      <c r="A932" s="11" t="n">
        <v>46213</v>
      </c>
      <c r="B932" s="1" t="n">
        <v>20041</v>
      </c>
      <c r="C932" s="1" t="inlineStr">
        <is>
          <t>519</t>
        </is>
      </c>
      <c r="D932" s="1" t="inlineStr">
        <is>
          <t xml:space="preserve">6821  </t>
        </is>
      </c>
      <c r="E932" s="1" t="inlineStr">
        <is>
          <t xml:space="preserve">28194770       </t>
        </is>
      </c>
      <c r="F932" s="5" t="inlineStr">
        <is>
          <t>AUTOS DE METAL 3 TEAMSTERZ EN BLISTER</t>
        </is>
      </c>
      <c r="G932" t="n">
        <v>4</v>
      </c>
      <c r="H932" s="7" t="n">
        <v>27.6</v>
      </c>
      <c r="I932" s="7" t="n">
        <v>2.76</v>
      </c>
      <c r="J932" s="7" t="n">
        <v>0</v>
      </c>
      <c r="K932" s="9" t="n">
        <v>2.76</v>
      </c>
      <c r="L932" s="10" t="n">
        <v>14.72</v>
      </c>
      <c r="M932" s="10" t="n">
        <v>1.43</v>
      </c>
      <c r="N932" t="inlineStr">
        <is>
          <t>1</t>
        </is>
      </c>
      <c r="O932" t="inlineStr">
        <is>
          <t>16</t>
        </is>
      </c>
      <c r="P932" t="inlineStr">
        <is>
          <t xml:space="preserve">248088  </t>
        </is>
      </c>
      <c r="Q932" s="26" t="n">
        <v>6.9</v>
      </c>
      <c r="R932" s="26">
        <f>Q932*G932</f>
        <v/>
      </c>
      <c r="S932" t="n">
        <v>16.36</v>
      </c>
      <c r="T932" s="18">
        <f>1 - V932/S932</f>
        <v/>
      </c>
      <c r="U932" s="18" t="n">
        <v>0</v>
      </c>
      <c r="V932" s="26" t="n">
        <v>16.36</v>
      </c>
      <c r="W932" s="26">
        <f>V932 - L932</f>
        <v/>
      </c>
    </row>
    <row r="933">
      <c r="A933" s="11" t="n">
        <v>46213</v>
      </c>
      <c r="B933" s="1" t="n">
        <v>20041</v>
      </c>
      <c r="C933" s="1" t="inlineStr">
        <is>
          <t>519</t>
        </is>
      </c>
      <c r="D933" s="1" t="inlineStr">
        <is>
          <t xml:space="preserve">6823  </t>
        </is>
      </c>
      <c r="E933" s="1" t="inlineStr">
        <is>
          <t xml:space="preserve">28194770       </t>
        </is>
      </c>
      <c r="F933" s="5" t="inlineStr">
        <is>
          <t>AUTOS DE METAL 3 TEAMSTERZ EN BLISTER</t>
        </is>
      </c>
      <c r="G933" t="n">
        <v>6</v>
      </c>
      <c r="H933" s="7" t="n">
        <v>41.4</v>
      </c>
      <c r="I933" s="7" t="n">
        <v>4.14</v>
      </c>
      <c r="J933" s="7" t="n">
        <v>0</v>
      </c>
      <c r="K933" s="9" t="n">
        <v>4.14</v>
      </c>
      <c r="L933" s="10" t="n">
        <v>22.08</v>
      </c>
      <c r="M933" s="10" t="n">
        <v>1.43</v>
      </c>
      <c r="N933" t="inlineStr">
        <is>
          <t>1</t>
        </is>
      </c>
      <c r="O933" t="inlineStr">
        <is>
          <t>16</t>
        </is>
      </c>
      <c r="P933" t="inlineStr">
        <is>
          <t xml:space="preserve">248088  </t>
        </is>
      </c>
      <c r="Q933" s="26" t="n">
        <v>6.9</v>
      </c>
      <c r="R933" s="26">
        <f>Q933*G933</f>
        <v/>
      </c>
      <c r="S933" t="n">
        <v>24.54</v>
      </c>
      <c r="T933" s="18">
        <f>1 - V933/S933</f>
        <v/>
      </c>
      <c r="U933" s="18" t="n">
        <v>0</v>
      </c>
      <c r="V933" s="26" t="n">
        <v>24.54</v>
      </c>
      <c r="W933" s="26">
        <f>V933 - L933</f>
        <v/>
      </c>
    </row>
    <row r="934">
      <c r="A934" s="11" t="n">
        <v>46213</v>
      </c>
      <c r="B934" s="1" t="n">
        <v>20041</v>
      </c>
      <c r="C934" s="1" t="inlineStr">
        <is>
          <t>522</t>
        </is>
      </c>
      <c r="D934" s="1" t="inlineStr">
        <is>
          <t xml:space="preserve">677   </t>
        </is>
      </c>
      <c r="E934" s="1" t="inlineStr">
        <is>
          <t xml:space="preserve">28194770       </t>
        </is>
      </c>
      <c r="F934" s="5" t="inlineStr">
        <is>
          <t>AUTOS DE METAL 3 TEAMSTERZ EN BLISTER</t>
        </is>
      </c>
      <c r="G934" t="n">
        <v>1</v>
      </c>
      <c r="H934" s="7" t="n">
        <v>6.9</v>
      </c>
      <c r="I934" s="7" t="n">
        <v>0.6899999999999999</v>
      </c>
      <c r="J934" s="7" t="n">
        <v>0</v>
      </c>
      <c r="K934" s="9" t="n">
        <v>0.6899999999999999</v>
      </c>
      <c r="L934" s="10" t="n">
        <v>3.68</v>
      </c>
      <c r="M934" s="10" t="n">
        <v>1.43</v>
      </c>
      <c r="N934" t="inlineStr">
        <is>
          <t>1</t>
        </is>
      </c>
      <c r="O934" t="inlineStr">
        <is>
          <t>16</t>
        </is>
      </c>
      <c r="P934" t="inlineStr">
        <is>
          <t xml:space="preserve">39526   </t>
        </is>
      </c>
      <c r="Q934" s="26" t="n">
        <v>6.9</v>
      </c>
      <c r="R934" s="26">
        <f>Q934*G934</f>
        <v/>
      </c>
      <c r="S934" t="n">
        <v>4.09</v>
      </c>
      <c r="T934" s="18">
        <f>1 - V934/S934</f>
        <v/>
      </c>
      <c r="U934" s="18" t="n">
        <v>0</v>
      </c>
      <c r="V934" s="26" t="n">
        <v>4.09</v>
      </c>
      <c r="W934" s="26">
        <f>V934 - L934</f>
        <v/>
      </c>
    </row>
    <row r="935">
      <c r="A935" s="11" t="n">
        <v>46213</v>
      </c>
      <c r="B935" s="1" t="n">
        <v>20047</v>
      </c>
      <c r="C935" s="1" t="inlineStr">
        <is>
          <t>012</t>
        </is>
      </c>
      <c r="D935" s="1" t="inlineStr">
        <is>
          <t>331840</t>
        </is>
      </c>
      <c r="E935" s="1" t="inlineStr">
        <is>
          <t xml:space="preserve">28194770       </t>
        </is>
      </c>
      <c r="F935" s="5" t="inlineStr">
        <is>
          <t>AUTOS DE METAL 3 TEAMSTERZ EN BLISTER</t>
        </is>
      </c>
      <c r="G935" t="n">
        <v>1</v>
      </c>
      <c r="H935" s="7" t="n">
        <v>6.9</v>
      </c>
      <c r="I935" s="7" t="n">
        <v>0</v>
      </c>
      <c r="J935" s="7" t="n">
        <v>0</v>
      </c>
      <c r="K935" s="9" t="n">
        <v>0</v>
      </c>
      <c r="L935" s="10" t="n">
        <v>4.1</v>
      </c>
      <c r="M935" s="10" t="n">
        <v>1.43</v>
      </c>
      <c r="N935" t="inlineStr">
        <is>
          <t>1</t>
        </is>
      </c>
      <c r="O935" t="inlineStr">
        <is>
          <t xml:space="preserve">2 </t>
        </is>
      </c>
      <c r="P935" t="inlineStr">
        <is>
          <t xml:space="preserve">240556  </t>
        </is>
      </c>
      <c r="Q935" s="26" t="n">
        <v>6.9</v>
      </c>
      <c r="R935" s="26">
        <f>Q935*G935</f>
        <v/>
      </c>
      <c r="S935" t="n">
        <v>4.09</v>
      </c>
      <c r="T935" s="18">
        <f>1 - V935/S935</f>
        <v/>
      </c>
      <c r="U935" s="18" t="n">
        <v>0</v>
      </c>
      <c r="V935" s="26" t="n">
        <v>4.09</v>
      </c>
      <c r="W935" s="26">
        <f>V935 - L935</f>
        <v/>
      </c>
    </row>
    <row r="936">
      <c r="A936" s="11" t="n">
        <v>46213</v>
      </c>
      <c r="B936" s="1" t="n">
        <v>20047</v>
      </c>
      <c r="C936" s="1" t="inlineStr">
        <is>
          <t>191</t>
        </is>
      </c>
      <c r="D936" s="1" t="inlineStr">
        <is>
          <t>461212</t>
        </is>
      </c>
      <c r="E936" s="1" t="inlineStr">
        <is>
          <t xml:space="preserve">28194770       </t>
        </is>
      </c>
      <c r="F936" s="5" t="inlineStr">
        <is>
          <t>AUTOS DE METAL 3 TEAMSTERZ EN BLISTER</t>
        </is>
      </c>
      <c r="G936" t="n">
        <v>1</v>
      </c>
      <c r="H936" s="7" t="n">
        <v>6.9</v>
      </c>
      <c r="I936" s="7" t="n">
        <v>0.6899999999999999</v>
      </c>
      <c r="J936" s="7" t="n">
        <v>0</v>
      </c>
      <c r="K936" s="9" t="n">
        <v>0.6899999999999999</v>
      </c>
      <c r="L936" s="10" t="n">
        <v>3.68</v>
      </c>
      <c r="M936" s="10" t="n">
        <v>1.43</v>
      </c>
      <c r="N936" t="inlineStr">
        <is>
          <t>1</t>
        </is>
      </c>
      <c r="O936" t="inlineStr">
        <is>
          <t>16</t>
        </is>
      </c>
      <c r="P936" t="inlineStr">
        <is>
          <t xml:space="preserve">245862  </t>
        </is>
      </c>
      <c r="Q936" s="26" t="n">
        <v>6.9</v>
      </c>
      <c r="R936" s="26">
        <f>Q936*G936</f>
        <v/>
      </c>
      <c r="S936" t="n">
        <v>4.09</v>
      </c>
      <c r="T936" s="18">
        <f>1 - V936/S936</f>
        <v/>
      </c>
      <c r="U936" s="18" t="n">
        <v>0</v>
      </c>
      <c r="V936" s="26" t="n">
        <v>4.09</v>
      </c>
      <c r="W936" s="26">
        <f>V936 - L936</f>
        <v/>
      </c>
    </row>
    <row r="937">
      <c r="A937" s="11" t="n">
        <v>46213</v>
      </c>
      <c r="B937" s="1" t="n">
        <v>20047</v>
      </c>
      <c r="C937" s="1" t="inlineStr">
        <is>
          <t>191</t>
        </is>
      </c>
      <c r="D937" s="1" t="inlineStr">
        <is>
          <t>461212</t>
        </is>
      </c>
      <c r="E937" s="1" t="inlineStr">
        <is>
          <t xml:space="preserve">28194770       </t>
        </is>
      </c>
      <c r="F937" s="5" t="inlineStr">
        <is>
          <t>AUTOS DE METAL 3 TEAMSTERZ EN BLISTER</t>
        </is>
      </c>
      <c r="G937" t="n">
        <v>1</v>
      </c>
      <c r="H937" s="7" t="n">
        <v>6.9</v>
      </c>
      <c r="I937" s="7" t="n">
        <v>0.6899999999999999</v>
      </c>
      <c r="J937" s="7" t="n">
        <v>0</v>
      </c>
      <c r="K937" s="9" t="n">
        <v>0.6899999999999999</v>
      </c>
      <c r="L937" s="10" t="n">
        <v>3.68</v>
      </c>
      <c r="M937" s="10" t="n">
        <v>1.43</v>
      </c>
      <c r="N937" t="inlineStr">
        <is>
          <t>1</t>
        </is>
      </c>
      <c r="O937" t="inlineStr">
        <is>
          <t>16</t>
        </is>
      </c>
      <c r="P937" t="inlineStr">
        <is>
          <t xml:space="preserve">245862  </t>
        </is>
      </c>
      <c r="Q937" s="26" t="n">
        <v>6.9</v>
      </c>
      <c r="R937" s="26">
        <f>Q937*G937</f>
        <v/>
      </c>
      <c r="S937" t="n">
        <v>4.09</v>
      </c>
      <c r="T937" s="18">
        <f>1 - V937/S937</f>
        <v/>
      </c>
      <c r="U937" s="18" t="n">
        <v>0</v>
      </c>
      <c r="V937" s="26" t="n">
        <v>4.09</v>
      </c>
      <c r="W937" s="26">
        <f>V937 - L937</f>
        <v/>
      </c>
    </row>
    <row r="938">
      <c r="A938" s="11" t="n">
        <v>46213</v>
      </c>
      <c r="B938" s="1" t="n">
        <v>20047</v>
      </c>
      <c r="C938" s="1" t="inlineStr">
        <is>
          <t>509</t>
        </is>
      </c>
      <c r="D938" s="1" t="inlineStr">
        <is>
          <t xml:space="preserve">1235  </t>
        </is>
      </c>
      <c r="E938" s="1" t="inlineStr">
        <is>
          <t xml:space="preserve">32656417       </t>
        </is>
      </c>
      <c r="F938" s="5" t="inlineStr">
        <is>
          <t>NO DESPIERTES A PAPA</t>
        </is>
      </c>
      <c r="G938" t="n">
        <v>1</v>
      </c>
      <c r="H938" s="7" t="n">
        <v>89.90000000000001</v>
      </c>
      <c r="I938" s="7" t="n">
        <v>0</v>
      </c>
      <c r="J938" s="7" t="n">
        <v>0</v>
      </c>
      <c r="K938" s="9" t="n">
        <v>0</v>
      </c>
      <c r="L938" s="10" t="n">
        <v>53.33</v>
      </c>
      <c r="M938" s="10" t="n">
        <v>1.43</v>
      </c>
      <c r="N938" t="inlineStr">
        <is>
          <t>1</t>
        </is>
      </c>
      <c r="O938" t="inlineStr">
        <is>
          <t>16</t>
        </is>
      </c>
      <c r="P938" t="inlineStr">
        <is>
          <t xml:space="preserve">242545  </t>
        </is>
      </c>
      <c r="Q938" s="26" t="n">
        <v>89.90000000000001</v>
      </c>
      <c r="R938" s="26">
        <f>Q938*G938</f>
        <v/>
      </c>
      <c r="S938" t="n">
        <v>53.33</v>
      </c>
      <c r="T938" s="18">
        <f>1 - V938/S938</f>
        <v/>
      </c>
      <c r="U938" s="18" t="n">
        <v>0.5561735261401557</v>
      </c>
      <c r="V938" s="26" t="n">
        <v>32.11949152542373</v>
      </c>
      <c r="W938" s="26">
        <f>V938 - L938</f>
        <v/>
      </c>
    </row>
    <row r="939">
      <c r="A939" s="11" t="n">
        <v>46213</v>
      </c>
      <c r="B939" s="1" t="n">
        <v>20048</v>
      </c>
      <c r="C939" s="1" t="inlineStr">
        <is>
          <t>018</t>
        </is>
      </c>
      <c r="D939" s="1" t="inlineStr">
        <is>
          <t xml:space="preserve">46370 </t>
        </is>
      </c>
      <c r="E939" s="1" t="inlineStr">
        <is>
          <t xml:space="preserve">28194770       </t>
        </is>
      </c>
      <c r="F939" s="5" t="inlineStr">
        <is>
          <t>AUTOS DE METAL 3 TEAMSTERZ EN BLISTER</t>
        </is>
      </c>
      <c r="G939" t="n">
        <v>1</v>
      </c>
      <c r="H939" s="7" t="n">
        <v>6.9</v>
      </c>
      <c r="I939" s="7" t="n">
        <v>0</v>
      </c>
      <c r="J939" s="7" t="n">
        <v>0</v>
      </c>
      <c r="K939" s="9" t="n">
        <v>0</v>
      </c>
      <c r="L939" s="10" t="n">
        <v>4.1</v>
      </c>
      <c r="M939" s="10" t="n">
        <v>1.43</v>
      </c>
      <c r="N939" t="inlineStr">
        <is>
          <t>1</t>
        </is>
      </c>
      <c r="O939" t="inlineStr">
        <is>
          <t>16</t>
        </is>
      </c>
      <c r="P939" t="inlineStr">
        <is>
          <t xml:space="preserve">22083   </t>
        </is>
      </c>
      <c r="Q939" s="26" t="n">
        <v>6.9</v>
      </c>
      <c r="R939" s="26">
        <f>Q939*G939</f>
        <v/>
      </c>
      <c r="S939" t="n">
        <v>4.09</v>
      </c>
      <c r="T939" s="18">
        <f>1 - V939/S939</f>
        <v/>
      </c>
      <c r="U939" s="18" t="n">
        <v>0</v>
      </c>
      <c r="V939" s="26" t="n">
        <v>4.09</v>
      </c>
      <c r="W939" s="26">
        <f>V939 - L939</f>
        <v/>
      </c>
    </row>
    <row r="940">
      <c r="A940" s="11" t="n">
        <v>46213</v>
      </c>
      <c r="B940" s="1" t="n">
        <v>20048</v>
      </c>
      <c r="C940" s="1" t="inlineStr">
        <is>
          <t>018</t>
        </is>
      </c>
      <c r="D940" s="1" t="inlineStr">
        <is>
          <t xml:space="preserve">46373 </t>
        </is>
      </c>
      <c r="E940" s="1" t="inlineStr">
        <is>
          <t xml:space="preserve">28194770       </t>
        </is>
      </c>
      <c r="F940" s="5" t="inlineStr">
        <is>
          <t>AUTOS DE METAL 3 TEAMSTERZ EN BLISTER</t>
        </is>
      </c>
      <c r="G940" t="n">
        <v>1</v>
      </c>
      <c r="H940" s="7" t="n">
        <v>6.9</v>
      </c>
      <c r="I940" s="7" t="n">
        <v>0</v>
      </c>
      <c r="J940" s="7" t="n">
        <v>0</v>
      </c>
      <c r="K940" s="9" t="n">
        <v>0</v>
      </c>
      <c r="L940" s="10" t="n">
        <v>4.1</v>
      </c>
      <c r="M940" s="10" t="n">
        <v>1.43</v>
      </c>
      <c r="N940" t="inlineStr">
        <is>
          <t>1</t>
        </is>
      </c>
      <c r="O940" t="inlineStr">
        <is>
          <t xml:space="preserve">2 </t>
        </is>
      </c>
      <c r="P940" t="inlineStr">
        <is>
          <t xml:space="preserve">243717  </t>
        </is>
      </c>
      <c r="Q940" s="26" t="n">
        <v>6.9</v>
      </c>
      <c r="R940" s="26">
        <f>Q940*G940</f>
        <v/>
      </c>
      <c r="S940" t="n">
        <v>4.09</v>
      </c>
      <c r="T940" s="18">
        <f>1 - V940/S940</f>
        <v/>
      </c>
      <c r="U940" s="18" t="n">
        <v>0</v>
      </c>
      <c r="V940" s="26" t="n">
        <v>4.09</v>
      </c>
      <c r="W940" s="26">
        <f>V940 - L940</f>
        <v/>
      </c>
    </row>
    <row r="941">
      <c r="A941" s="11" t="n">
        <v>46213</v>
      </c>
      <c r="B941" s="1" t="n">
        <v>20048</v>
      </c>
      <c r="C941" s="1" t="inlineStr">
        <is>
          <t>801</t>
        </is>
      </c>
      <c r="D941" s="1" t="inlineStr">
        <is>
          <t xml:space="preserve">6051  </t>
        </is>
      </c>
      <c r="E941" s="1" t="inlineStr">
        <is>
          <t xml:space="preserve">28194770       </t>
        </is>
      </c>
      <c r="F941" s="5" t="inlineStr">
        <is>
          <t>AUTOS DE METAL 3 TEAMSTERZ EN BLISTER</t>
        </is>
      </c>
      <c r="G941" t="n">
        <v>1</v>
      </c>
      <c r="H941" s="7" t="n">
        <v>6.9</v>
      </c>
      <c r="I941" s="7" t="n">
        <v>0</v>
      </c>
      <c r="J941" s="7" t="n">
        <v>0</v>
      </c>
      <c r="K941" s="9" t="n">
        <v>0</v>
      </c>
      <c r="L941" s="10" t="n">
        <v>4.1</v>
      </c>
      <c r="M941" s="10" t="n">
        <v>1.43</v>
      </c>
      <c r="N941" t="inlineStr">
        <is>
          <t>1</t>
        </is>
      </c>
      <c r="O941" t="inlineStr">
        <is>
          <t>16</t>
        </is>
      </c>
      <c r="P941" t="inlineStr">
        <is>
          <t xml:space="preserve">234984  </t>
        </is>
      </c>
      <c r="Q941" s="26" t="n">
        <v>6.9</v>
      </c>
      <c r="R941" s="26">
        <f>Q941*G941</f>
        <v/>
      </c>
      <c r="S941" t="n">
        <v>4.09</v>
      </c>
      <c r="T941" s="18">
        <f>1 - V941/S941</f>
        <v/>
      </c>
      <c r="U941" s="18" t="n">
        <v>0</v>
      </c>
      <c r="V941" s="26" t="n">
        <v>4.09</v>
      </c>
      <c r="W941" s="26">
        <f>V941 - L941</f>
        <v/>
      </c>
    </row>
    <row r="942">
      <c r="A942" s="11" t="n">
        <v>46213</v>
      </c>
      <c r="B942" s="1" t="n">
        <v>20049</v>
      </c>
      <c r="C942" s="1" t="inlineStr">
        <is>
          <t>025</t>
        </is>
      </c>
      <c r="D942" s="1" t="inlineStr">
        <is>
          <t xml:space="preserve">33337 </t>
        </is>
      </c>
      <c r="E942" s="1" t="inlineStr">
        <is>
          <t xml:space="preserve">28194769       </t>
        </is>
      </c>
      <c r="F942" s="5" t="inlineStr">
        <is>
          <t>AUTOS DE METAL 3 TEAMSTERZ PACK DE 2</t>
        </is>
      </c>
      <c r="G942" t="n">
        <v>1</v>
      </c>
      <c r="H942" s="7" t="n">
        <v>13.8</v>
      </c>
      <c r="I942" s="7" t="n">
        <v>1.38</v>
      </c>
      <c r="J942" s="7" t="n">
        <v>0</v>
      </c>
      <c r="K942" s="9" t="n">
        <v>1.38</v>
      </c>
      <c r="L942" s="10" t="n">
        <v>7.37</v>
      </c>
      <c r="M942" s="10" t="n">
        <v>1.43</v>
      </c>
      <c r="N942" t="inlineStr">
        <is>
          <t>1</t>
        </is>
      </c>
      <c r="O942" t="inlineStr">
        <is>
          <t xml:space="preserve">3 </t>
        </is>
      </c>
      <c r="P942" t="inlineStr">
        <is>
          <t xml:space="preserve">250381  </t>
        </is>
      </c>
      <c r="Q942" s="26" t="n">
        <v>13.8</v>
      </c>
      <c r="R942" s="26">
        <f>Q942*G942</f>
        <v/>
      </c>
      <c r="S942" t="n">
        <v>8.19</v>
      </c>
      <c r="T942" s="18">
        <f>1 - V942/S942</f>
        <v/>
      </c>
      <c r="U942" s="18" t="n">
        <v>0</v>
      </c>
      <c r="V942" s="26" t="n">
        <v>8.19</v>
      </c>
      <c r="W942" s="26">
        <f>V942 - L942</f>
        <v/>
      </c>
    </row>
    <row r="943">
      <c r="A943" s="11" t="n">
        <v>46213</v>
      </c>
      <c r="B943" s="1" t="n">
        <v>20049</v>
      </c>
      <c r="C943" s="1" t="inlineStr">
        <is>
          <t>504</t>
        </is>
      </c>
      <c r="D943" s="1" t="inlineStr">
        <is>
          <t xml:space="preserve">8539  </t>
        </is>
      </c>
      <c r="E943" s="1" t="inlineStr">
        <is>
          <t xml:space="preserve">28194769       </t>
        </is>
      </c>
      <c r="F943" s="5" t="inlineStr">
        <is>
          <t>AUTOS DE METAL 3 TEAMSTERZ PACK DE 2</t>
        </is>
      </c>
      <c r="G943" t="n">
        <v>1</v>
      </c>
      <c r="H943" s="7" t="n">
        <v>13.8</v>
      </c>
      <c r="I943" s="7" t="n">
        <v>1.38</v>
      </c>
      <c r="J943" s="7" t="n">
        <v>0</v>
      </c>
      <c r="K943" s="9" t="n">
        <v>1.38</v>
      </c>
      <c r="L943" s="10" t="n">
        <v>7.37</v>
      </c>
      <c r="M943" s="10" t="n">
        <v>1.43</v>
      </c>
      <c r="N943" t="inlineStr">
        <is>
          <t>1</t>
        </is>
      </c>
      <c r="O943" t="inlineStr">
        <is>
          <t>16</t>
        </is>
      </c>
      <c r="P943" t="inlineStr">
        <is>
          <t xml:space="preserve">250726  </t>
        </is>
      </c>
      <c r="Q943" s="26" t="n">
        <v>13.8</v>
      </c>
      <c r="R943" s="26">
        <f>Q943*G943</f>
        <v/>
      </c>
      <c r="S943" t="n">
        <v>8.19</v>
      </c>
      <c r="T943" s="18">
        <f>1 - V943/S943</f>
        <v/>
      </c>
      <c r="U943" s="18" t="n">
        <v>0</v>
      </c>
      <c r="V943" s="26" t="n">
        <v>8.19</v>
      </c>
      <c r="W943" s="26">
        <f>V943 - L943</f>
        <v/>
      </c>
    </row>
    <row r="944">
      <c r="A944" s="11" t="n">
        <v>46213</v>
      </c>
      <c r="B944" s="1" t="n">
        <v>20049</v>
      </c>
      <c r="C944" s="1" t="inlineStr">
        <is>
          <t>504</t>
        </is>
      </c>
      <c r="D944" s="1" t="inlineStr">
        <is>
          <t xml:space="preserve">8539  </t>
        </is>
      </c>
      <c r="E944" s="1" t="inlineStr">
        <is>
          <t xml:space="preserve">28194770       </t>
        </is>
      </c>
      <c r="F944" s="5" t="inlineStr">
        <is>
          <t>AUTOS DE METAL 3 TEAMSTERZ EN BLISTER</t>
        </is>
      </c>
      <c r="G944" t="n">
        <v>1</v>
      </c>
      <c r="H944" s="7" t="n">
        <v>6.9</v>
      </c>
      <c r="I944" s="7" t="n">
        <v>0.6899999999999999</v>
      </c>
      <c r="J944" s="7" t="n">
        <v>0</v>
      </c>
      <c r="K944" s="9" t="n">
        <v>0.6899999999999999</v>
      </c>
      <c r="L944" s="10" t="n">
        <v>3.68</v>
      </c>
      <c r="M944" s="10" t="n">
        <v>1.43</v>
      </c>
      <c r="N944" t="inlineStr">
        <is>
          <t>1</t>
        </is>
      </c>
      <c r="O944" t="inlineStr">
        <is>
          <t>16</t>
        </is>
      </c>
      <c r="P944" t="inlineStr">
        <is>
          <t xml:space="preserve">250726  </t>
        </is>
      </c>
      <c r="Q944" s="26" t="n">
        <v>6.9</v>
      </c>
      <c r="R944" s="26">
        <f>Q944*G944</f>
        <v/>
      </c>
      <c r="S944" t="n">
        <v>4.09</v>
      </c>
      <c r="T944" s="18">
        <f>1 - V944/S944</f>
        <v/>
      </c>
      <c r="U944" s="18" t="n">
        <v>0</v>
      </c>
      <c r="V944" s="26" t="n">
        <v>4.09</v>
      </c>
      <c r="W944" s="26">
        <f>V944 - L944</f>
        <v/>
      </c>
    </row>
    <row r="945">
      <c r="A945" s="11" t="n">
        <v>46213</v>
      </c>
      <c r="B945" s="1" t="n">
        <v>20057</v>
      </c>
      <c r="C945" s="1" t="inlineStr">
        <is>
          <t>032</t>
        </is>
      </c>
      <c r="D945" s="1" t="inlineStr">
        <is>
          <t xml:space="preserve">74304 </t>
        </is>
      </c>
      <c r="E945" s="1" t="inlineStr">
        <is>
          <t xml:space="preserve">28194770       </t>
        </is>
      </c>
      <c r="F945" s="5" t="inlineStr">
        <is>
          <t>AUTOS DE METAL 3 TEAMSTERZ EN BLISTER</t>
        </is>
      </c>
      <c r="G945" t="n">
        <v>1</v>
      </c>
      <c r="H945" s="7" t="n">
        <v>6.9</v>
      </c>
      <c r="I945" s="7" t="n">
        <v>0</v>
      </c>
      <c r="J945" s="7" t="n">
        <v>0</v>
      </c>
      <c r="K945" s="9" t="n">
        <v>0</v>
      </c>
      <c r="L945" s="10" t="n">
        <v>4.1</v>
      </c>
      <c r="M945" s="10" t="n">
        <v>1.43</v>
      </c>
      <c r="N945" t="inlineStr">
        <is>
          <t>1</t>
        </is>
      </c>
      <c r="O945" t="inlineStr">
        <is>
          <t>16</t>
        </is>
      </c>
      <c r="P945" t="inlineStr">
        <is>
          <t xml:space="preserve">250316  </t>
        </is>
      </c>
      <c r="Q945" s="26" t="n">
        <v>6.9</v>
      </c>
      <c r="R945" s="26">
        <f>Q945*G945</f>
        <v/>
      </c>
      <c r="S945" t="n">
        <v>4.09</v>
      </c>
      <c r="T945" s="18">
        <f>1 - V945/S945</f>
        <v/>
      </c>
      <c r="U945" s="18" t="n">
        <v>0</v>
      </c>
      <c r="V945" s="26" t="n">
        <v>4.09</v>
      </c>
      <c r="W945" s="26">
        <f>V945 - L945</f>
        <v/>
      </c>
    </row>
    <row r="946">
      <c r="A946" s="11" t="n">
        <v>46213</v>
      </c>
      <c r="B946" s="1" t="n">
        <v>20057</v>
      </c>
      <c r="C946" s="1" t="inlineStr">
        <is>
          <t>033</t>
        </is>
      </c>
      <c r="D946" s="1" t="inlineStr">
        <is>
          <t xml:space="preserve">66710 </t>
        </is>
      </c>
      <c r="E946" s="1" t="inlineStr">
        <is>
          <t xml:space="preserve">28194770       </t>
        </is>
      </c>
      <c r="F946" s="5" t="inlineStr">
        <is>
          <t>AUTOS DE METAL 3 TEAMSTERZ EN BLISTER</t>
        </is>
      </c>
      <c r="G946" t="n">
        <v>1</v>
      </c>
      <c r="H946" s="7" t="n">
        <v>6.9</v>
      </c>
      <c r="I946" s="7" t="n">
        <v>0.6899999999999999</v>
      </c>
      <c r="J946" s="7" t="n">
        <v>0</v>
      </c>
      <c r="K946" s="9" t="n">
        <v>0.6899999999999999</v>
      </c>
      <c r="L946" s="10" t="n">
        <v>3.68</v>
      </c>
      <c r="M946" s="10" t="n">
        <v>1.43</v>
      </c>
      <c r="N946" t="inlineStr">
        <is>
          <t>1</t>
        </is>
      </c>
      <c r="O946" t="inlineStr">
        <is>
          <t xml:space="preserve">3 </t>
        </is>
      </c>
      <c r="P946" t="inlineStr">
        <is>
          <t xml:space="preserve">240012  </t>
        </is>
      </c>
      <c r="Q946" s="26" t="n">
        <v>6.9</v>
      </c>
      <c r="R946" s="26">
        <f>Q946*G946</f>
        <v/>
      </c>
      <c r="S946" t="n">
        <v>4.09</v>
      </c>
      <c r="T946" s="18">
        <f>1 - V946/S946</f>
        <v/>
      </c>
      <c r="U946" s="18" t="n">
        <v>0</v>
      </c>
      <c r="V946" s="26" t="n">
        <v>4.09</v>
      </c>
      <c r="W946" s="26">
        <f>V946 - L946</f>
        <v/>
      </c>
    </row>
    <row r="947">
      <c r="A947" s="11" t="n">
        <v>46213</v>
      </c>
      <c r="B947" s="1" t="n">
        <v>20057</v>
      </c>
      <c r="C947" s="1" t="inlineStr">
        <is>
          <t>034</t>
        </is>
      </c>
      <c r="D947" s="1" t="inlineStr">
        <is>
          <t xml:space="preserve">10428 </t>
        </is>
      </c>
      <c r="E947" s="1" t="inlineStr">
        <is>
          <t xml:space="preserve">28194770       </t>
        </is>
      </c>
      <c r="F947" s="5" t="inlineStr">
        <is>
          <t>AUTOS DE METAL 3 TEAMSTERZ EN BLISTER</t>
        </is>
      </c>
      <c r="G947" t="n">
        <v>1</v>
      </c>
      <c r="H947" s="7" t="n">
        <v>6.9</v>
      </c>
      <c r="I947" s="7" t="n">
        <v>0</v>
      </c>
      <c r="J947" s="7" t="n">
        <v>0</v>
      </c>
      <c r="K947" s="9" t="n">
        <v>0</v>
      </c>
      <c r="L947" s="10" t="n">
        <v>4.1</v>
      </c>
      <c r="M947" s="10" t="n">
        <v>1.43</v>
      </c>
      <c r="N947" t="inlineStr">
        <is>
          <t>1</t>
        </is>
      </c>
      <c r="O947" t="inlineStr">
        <is>
          <t xml:space="preserve">2 </t>
        </is>
      </c>
      <c r="P947" t="inlineStr">
        <is>
          <t xml:space="preserve">106404  </t>
        </is>
      </c>
      <c r="Q947" s="26" t="n">
        <v>6.9</v>
      </c>
      <c r="R947" s="26">
        <f>Q947*G947</f>
        <v/>
      </c>
      <c r="S947" t="n">
        <v>4.09</v>
      </c>
      <c r="T947" s="18">
        <f>1 - V947/S947</f>
        <v/>
      </c>
      <c r="U947" s="18" t="n">
        <v>0</v>
      </c>
      <c r="V947" s="26" t="n">
        <v>4.09</v>
      </c>
      <c r="W947" s="26">
        <f>V947 - L947</f>
        <v/>
      </c>
    </row>
    <row r="948">
      <c r="A948" s="11" t="n">
        <v>46213</v>
      </c>
      <c r="B948" s="1" t="n">
        <v>20057</v>
      </c>
      <c r="C948" s="1" t="inlineStr">
        <is>
          <t>861</t>
        </is>
      </c>
      <c r="D948" s="1" t="inlineStr">
        <is>
          <t xml:space="preserve">696   </t>
        </is>
      </c>
      <c r="E948" s="1" t="inlineStr">
        <is>
          <t xml:space="preserve">28194770       </t>
        </is>
      </c>
      <c r="F948" s="5" t="inlineStr">
        <is>
          <t>AUTOS DE METAL 3 TEAMSTERZ EN BLISTER</t>
        </is>
      </c>
      <c r="G948" t="n">
        <v>1</v>
      </c>
      <c r="H948" s="7" t="n">
        <v>6.9</v>
      </c>
      <c r="I948" s="7" t="n">
        <v>0.6899999999999999</v>
      </c>
      <c r="J948" s="7" t="n">
        <v>0</v>
      </c>
      <c r="K948" s="9" t="n">
        <v>0.6899999999999999</v>
      </c>
      <c r="L948" s="10" t="n">
        <v>3.68</v>
      </c>
      <c r="M948" s="10" t="n">
        <v>1.43</v>
      </c>
      <c r="N948" t="inlineStr">
        <is>
          <t>1</t>
        </is>
      </c>
      <c r="O948" t="inlineStr">
        <is>
          <t>16</t>
        </is>
      </c>
      <c r="P948" t="inlineStr">
        <is>
          <t xml:space="preserve">0       </t>
        </is>
      </c>
      <c r="Q948" s="26" t="n">
        <v>6.9</v>
      </c>
      <c r="R948" s="26">
        <f>Q948*G948</f>
        <v/>
      </c>
      <c r="S948" t="n">
        <v>4.09</v>
      </c>
      <c r="T948" s="18">
        <f>1 - V948/S948</f>
        <v/>
      </c>
      <c r="U948" s="18" t="n">
        <v>0</v>
      </c>
      <c r="V948" s="26" t="n">
        <v>4.09</v>
      </c>
      <c r="W948" s="26">
        <f>V948 - L948</f>
        <v/>
      </c>
    </row>
    <row r="949">
      <c r="A949" s="11" t="n">
        <v>46213</v>
      </c>
      <c r="B949" s="1" t="n">
        <v>20062</v>
      </c>
      <c r="C949" s="1" t="inlineStr">
        <is>
          <t>038</t>
        </is>
      </c>
      <c r="D949" s="1" t="inlineStr">
        <is>
          <t>173163</t>
        </is>
      </c>
      <c r="E949" s="1" t="inlineStr">
        <is>
          <t xml:space="preserve">29235707       </t>
        </is>
      </c>
      <c r="F949" s="5" t="inlineStr">
        <is>
          <t>TEAMSTERZ AUTO DE METAL 3  PACK DE 5</t>
        </is>
      </c>
      <c r="G949" t="n">
        <v>1</v>
      </c>
      <c r="H949" s="7" t="n">
        <v>34.5</v>
      </c>
      <c r="I949" s="7" t="n">
        <v>0</v>
      </c>
      <c r="J949" s="7" t="n">
        <v>0</v>
      </c>
      <c r="K949" s="9" t="n">
        <v>0</v>
      </c>
      <c r="L949" s="10" t="n">
        <v>20.47</v>
      </c>
      <c r="M949" s="10" t="n">
        <v>1.43</v>
      </c>
      <c r="N949" t="inlineStr">
        <is>
          <t>1</t>
        </is>
      </c>
      <c r="O949" t="inlineStr">
        <is>
          <t>16</t>
        </is>
      </c>
      <c r="P949" t="inlineStr">
        <is>
          <t xml:space="preserve">248790  </t>
        </is>
      </c>
      <c r="Q949" s="26" t="n">
        <v>34.5</v>
      </c>
      <c r="R949" s="26">
        <f>Q949*G949</f>
        <v/>
      </c>
      <c r="S949" t="n">
        <v>20.47</v>
      </c>
      <c r="T949" s="18">
        <f>1 - V949/S949</f>
        <v/>
      </c>
      <c r="U949" s="18" t="n">
        <v>0</v>
      </c>
      <c r="V949" s="26" t="n">
        <v>20.47</v>
      </c>
      <c r="W949" s="26">
        <f>V949 - L949</f>
        <v/>
      </c>
    </row>
    <row r="950">
      <c r="A950" s="11" t="n">
        <v>46213</v>
      </c>
      <c r="B950" s="1" t="n">
        <v>20062</v>
      </c>
      <c r="C950" s="1" t="inlineStr">
        <is>
          <t>038</t>
        </is>
      </c>
      <c r="D950" s="1" t="inlineStr">
        <is>
          <t>173171</t>
        </is>
      </c>
      <c r="E950" s="1" t="inlineStr">
        <is>
          <t xml:space="preserve">29235710       </t>
        </is>
      </c>
      <c r="F950" s="5" t="inlineStr">
        <is>
          <t>TEAMSTERZ PLAYSET GRANDES CONSTRUCCIONES</t>
        </is>
      </c>
      <c r="G950" t="n">
        <v>1</v>
      </c>
      <c r="H950" s="7" t="n">
        <v>19.9</v>
      </c>
      <c r="I950" s="7" t="n">
        <v>0</v>
      </c>
      <c r="J950" s="7" t="n">
        <v>0</v>
      </c>
      <c r="K950" s="9" t="n">
        <v>0</v>
      </c>
      <c r="L950" s="10" t="n">
        <v>11.8</v>
      </c>
      <c r="M950" s="10" t="n">
        <v>1.43</v>
      </c>
      <c r="N950" t="inlineStr">
        <is>
          <t>1</t>
        </is>
      </c>
      <c r="O950" t="inlineStr">
        <is>
          <t>16</t>
        </is>
      </c>
      <c r="P950" t="inlineStr">
        <is>
          <t xml:space="preserve">248790  </t>
        </is>
      </c>
      <c r="Q950" s="26" t="n">
        <v>19.9</v>
      </c>
      <c r="R950" s="26">
        <f>Q950*G950</f>
        <v/>
      </c>
      <c r="S950" t="n">
        <v>11.81</v>
      </c>
      <c r="T950" s="18">
        <f>1 - V950/S950</f>
        <v/>
      </c>
      <c r="U950" s="18" t="n">
        <v>0</v>
      </c>
      <c r="V950" s="26" t="n">
        <v>11.81</v>
      </c>
      <c r="W950" s="26">
        <f>V950 - L950</f>
        <v/>
      </c>
    </row>
    <row r="951">
      <c r="A951" s="11" t="n">
        <v>46213</v>
      </c>
      <c r="B951" s="1" t="n">
        <v>20062</v>
      </c>
      <c r="C951" s="1" t="inlineStr">
        <is>
          <t>053</t>
        </is>
      </c>
      <c r="D951" s="1" t="inlineStr">
        <is>
          <t>242797</t>
        </is>
      </c>
      <c r="E951" s="1" t="inlineStr">
        <is>
          <t xml:space="preserve">33483123       </t>
        </is>
      </c>
      <c r="F951" s="5" t="inlineStr">
        <is>
          <t>NENUCO DISFRACES</t>
        </is>
      </c>
      <c r="G951" t="n">
        <v>1</v>
      </c>
      <c r="H951" s="7" t="n">
        <v>89.90000000000001</v>
      </c>
      <c r="I951" s="7" t="n">
        <v>8.99</v>
      </c>
      <c r="J951" s="7" t="n">
        <v>0</v>
      </c>
      <c r="K951" s="9" t="n">
        <v>8.99</v>
      </c>
      <c r="L951" s="10" t="n">
        <v>48</v>
      </c>
      <c r="M951" s="10" t="n">
        <v>1.43</v>
      </c>
      <c r="N951" t="inlineStr">
        <is>
          <t>1</t>
        </is>
      </c>
      <c r="O951" t="inlineStr">
        <is>
          <t xml:space="preserve">3 </t>
        </is>
      </c>
      <c r="P951" t="inlineStr">
        <is>
          <t xml:space="preserve">43458   </t>
        </is>
      </c>
      <c r="Q951" s="26" t="n">
        <v>89.90000000000001</v>
      </c>
      <c r="R951" s="26">
        <f>Q951*G951</f>
        <v/>
      </c>
      <c r="S951" t="n">
        <v>53.33</v>
      </c>
      <c r="T951" s="18">
        <f>1 - V951/S951</f>
        <v/>
      </c>
      <c r="U951" s="18" t="n">
        <v>0.2224694104560623</v>
      </c>
      <c r="V951" s="26" t="n">
        <v>44.42796610169492</v>
      </c>
      <c r="W951" s="26">
        <f>V951 - L951</f>
        <v/>
      </c>
    </row>
    <row r="952">
      <c r="A952" s="11" t="n">
        <v>46213</v>
      </c>
      <c r="B952" s="1" t="n">
        <v>20062</v>
      </c>
      <c r="C952" s="1" t="inlineStr">
        <is>
          <t>053</t>
        </is>
      </c>
      <c r="D952" s="1" t="inlineStr">
        <is>
          <t>242832</t>
        </is>
      </c>
      <c r="E952" s="1" t="inlineStr">
        <is>
          <t xml:space="preserve">28194770       </t>
        </is>
      </c>
      <c r="F952" s="5" t="inlineStr">
        <is>
          <t>AUTOS DE METAL 3 TEAMSTERZ EN BLISTER</t>
        </is>
      </c>
      <c r="G952" t="n">
        <v>1</v>
      </c>
      <c r="H952" s="7" t="n">
        <v>6.9</v>
      </c>
      <c r="I952" s="7" t="n">
        <v>0</v>
      </c>
      <c r="J952" s="7" t="n">
        <v>0</v>
      </c>
      <c r="K952" s="9" t="n">
        <v>0</v>
      </c>
      <c r="L952" s="10" t="n">
        <v>4.1</v>
      </c>
      <c r="M952" s="10" t="n">
        <v>1.43</v>
      </c>
      <c r="N952" t="inlineStr">
        <is>
          <t>1</t>
        </is>
      </c>
      <c r="O952" t="inlineStr">
        <is>
          <t>16</t>
        </is>
      </c>
      <c r="P952" t="inlineStr">
        <is>
          <t xml:space="preserve">43458   </t>
        </is>
      </c>
      <c r="Q952" s="26" t="n">
        <v>6.9</v>
      </c>
      <c r="R952" s="26">
        <f>Q952*G952</f>
        <v/>
      </c>
      <c r="S952" t="n">
        <v>4.09</v>
      </c>
      <c r="T952" s="18">
        <f>1 - V952/S952</f>
        <v/>
      </c>
      <c r="U952" s="18" t="n">
        <v>0</v>
      </c>
      <c r="V952" s="26" t="n">
        <v>4.09</v>
      </c>
      <c r="W952" s="26">
        <f>V952 - L952</f>
        <v/>
      </c>
    </row>
    <row r="953">
      <c r="A953" s="11" t="n">
        <v>46213</v>
      </c>
      <c r="B953" s="1" t="n">
        <v>20062</v>
      </c>
      <c r="C953" s="1" t="inlineStr">
        <is>
          <t>520</t>
        </is>
      </c>
      <c r="D953" s="1" t="inlineStr">
        <is>
          <t xml:space="preserve">2685  </t>
        </is>
      </c>
      <c r="E953" s="1" t="inlineStr">
        <is>
          <t xml:space="preserve">34840552       </t>
        </is>
      </c>
      <c r="F953" s="5" t="inlineStr">
        <is>
          <t>TMZ HELI POLICIA CON LUCES Y SONIDOS</t>
        </is>
      </c>
      <c r="G953" t="n">
        <v>1</v>
      </c>
      <c r="H953" s="7" t="n">
        <v>79.90000000000001</v>
      </c>
      <c r="I953" s="7" t="n">
        <v>0</v>
      </c>
      <c r="J953" s="7" t="n">
        <v>0</v>
      </c>
      <c r="K953" s="9" t="n">
        <v>0</v>
      </c>
      <c r="L953" s="10" t="n">
        <v>47.4</v>
      </c>
      <c r="M953" s="10" t="n">
        <v>1.43</v>
      </c>
      <c r="N953" t="inlineStr">
        <is>
          <t>1</t>
        </is>
      </c>
      <c r="O953" t="inlineStr">
        <is>
          <t>16</t>
        </is>
      </c>
      <c r="P953" t="inlineStr">
        <is>
          <t xml:space="preserve">57746   </t>
        </is>
      </c>
      <c r="Q953" s="26" t="n">
        <v>79.90000000000002</v>
      </c>
      <c r="R953" s="26">
        <f>Q953*G953</f>
        <v/>
      </c>
      <c r="S953" t="n">
        <v>47.4</v>
      </c>
      <c r="T953" s="18">
        <f>1 - V953/S953</f>
        <v/>
      </c>
      <c r="U953" s="18" t="n">
        <v>0</v>
      </c>
      <c r="V953" s="26" t="n">
        <v>47.4</v>
      </c>
      <c r="W953" s="26">
        <f>V953 - L953</f>
        <v/>
      </c>
    </row>
    <row r="954">
      <c r="A954" s="11" t="n">
        <v>46213</v>
      </c>
      <c r="B954" s="1" t="n">
        <v>20066</v>
      </c>
      <c r="C954" s="1" t="inlineStr">
        <is>
          <t>050</t>
        </is>
      </c>
      <c r="D954" s="1" t="inlineStr">
        <is>
          <t>233848</t>
        </is>
      </c>
      <c r="E954" s="1" t="inlineStr">
        <is>
          <t xml:space="preserve">28194770       </t>
        </is>
      </c>
      <c r="F954" s="5" t="inlineStr">
        <is>
          <t>AUTOS DE METAL 3 TEAMSTERZ EN BLISTER</t>
        </is>
      </c>
      <c r="G954" t="n">
        <v>1</v>
      </c>
      <c r="H954" s="7" t="n">
        <v>6.9</v>
      </c>
      <c r="I954" s="7" t="n">
        <v>0</v>
      </c>
      <c r="J954" s="7" t="n">
        <v>0</v>
      </c>
      <c r="K954" s="9" t="n">
        <v>0</v>
      </c>
      <c r="L954" s="10" t="n">
        <v>4.1</v>
      </c>
      <c r="M954" s="10" t="n">
        <v>1.43</v>
      </c>
      <c r="N954" t="inlineStr">
        <is>
          <t>1</t>
        </is>
      </c>
      <c r="O954" t="inlineStr">
        <is>
          <t xml:space="preserve">2 </t>
        </is>
      </c>
      <c r="P954" t="inlineStr">
        <is>
          <t xml:space="preserve">104839  </t>
        </is>
      </c>
      <c r="Q954" s="26" t="n">
        <v>6.9</v>
      </c>
      <c r="R954" s="26">
        <f>Q954*G954</f>
        <v/>
      </c>
      <c r="S954" t="n">
        <v>4.09</v>
      </c>
      <c r="T954" s="18">
        <f>1 - V954/S954</f>
        <v/>
      </c>
      <c r="U954" s="18" t="n">
        <v>0</v>
      </c>
      <c r="V954" s="26" t="n">
        <v>4.09</v>
      </c>
      <c r="W954" s="26">
        <f>V954 - L954</f>
        <v/>
      </c>
    </row>
    <row r="955">
      <c r="A955" s="11" t="n">
        <v>46213</v>
      </c>
      <c r="B955" s="1" t="n">
        <v>20066</v>
      </c>
      <c r="C955" s="1" t="inlineStr">
        <is>
          <t>057</t>
        </is>
      </c>
      <c r="D955" s="1" t="inlineStr">
        <is>
          <t>493547</t>
        </is>
      </c>
      <c r="E955" s="1" t="inlineStr">
        <is>
          <t xml:space="preserve">28194770       </t>
        </is>
      </c>
      <c r="F955" s="5" t="inlineStr">
        <is>
          <t>AUTOS DE METAL 3 TEAMSTERZ EN BLISTER</t>
        </is>
      </c>
      <c r="G955" t="n">
        <v>1</v>
      </c>
      <c r="H955" s="7" t="n">
        <v>6.9</v>
      </c>
      <c r="I955" s="7" t="n">
        <v>0</v>
      </c>
      <c r="J955" s="7" t="n">
        <v>0</v>
      </c>
      <c r="K955" s="9" t="n">
        <v>0</v>
      </c>
      <c r="L955" s="10" t="n">
        <v>4.1</v>
      </c>
      <c r="M955" s="10" t="n">
        <v>1.43</v>
      </c>
      <c r="N955" t="inlineStr">
        <is>
          <t>1</t>
        </is>
      </c>
      <c r="O955" t="inlineStr">
        <is>
          <t xml:space="preserve">2 </t>
        </is>
      </c>
      <c r="P955" t="inlineStr">
        <is>
          <t xml:space="preserve">44050   </t>
        </is>
      </c>
      <c r="Q955" s="26" t="n">
        <v>6.9</v>
      </c>
      <c r="R955" s="26">
        <f>Q955*G955</f>
        <v/>
      </c>
      <c r="S955" t="n">
        <v>4.09</v>
      </c>
      <c r="T955" s="18">
        <f>1 - V955/S955</f>
        <v/>
      </c>
      <c r="U955" s="18" t="n">
        <v>0</v>
      </c>
      <c r="V955" s="26" t="n">
        <v>4.09</v>
      </c>
      <c r="W955" s="26">
        <f>V955 - L955</f>
        <v/>
      </c>
    </row>
    <row r="956">
      <c r="A956" s="11" t="n">
        <v>46213</v>
      </c>
      <c r="B956" s="1" t="n">
        <v>20069</v>
      </c>
      <c r="C956" s="1" t="inlineStr">
        <is>
          <t>011</t>
        </is>
      </c>
      <c r="D956" s="1" t="inlineStr">
        <is>
          <t>194289</t>
        </is>
      </c>
      <c r="E956" s="1" t="inlineStr">
        <is>
          <t xml:space="preserve">28194770       </t>
        </is>
      </c>
      <c r="F956" s="5" t="inlineStr">
        <is>
          <t>AUTOS DE METAL 3 TEAMSTERZ EN BLISTER</t>
        </is>
      </c>
      <c r="G956" t="n">
        <v>1</v>
      </c>
      <c r="H956" s="7" t="n">
        <v>6.9</v>
      </c>
      <c r="I956" s="7" t="n">
        <v>0</v>
      </c>
      <c r="J956" s="7" t="n">
        <v>0</v>
      </c>
      <c r="K956" s="9" t="n">
        <v>0</v>
      </c>
      <c r="L956" s="10" t="n">
        <v>4.1</v>
      </c>
      <c r="M956" s="10" t="n">
        <v>1.43</v>
      </c>
      <c r="N956" t="inlineStr">
        <is>
          <t>1</t>
        </is>
      </c>
      <c r="O956" t="inlineStr">
        <is>
          <t>16</t>
        </is>
      </c>
      <c r="P956" t="inlineStr">
        <is>
          <t xml:space="preserve">247845  </t>
        </is>
      </c>
      <c r="Q956" s="26" t="n">
        <v>6.9</v>
      </c>
      <c r="R956" s="26">
        <f>Q956*G956</f>
        <v/>
      </c>
      <c r="S956" t="n">
        <v>4.09</v>
      </c>
      <c r="T956" s="18">
        <f>1 - V956/S956</f>
        <v/>
      </c>
      <c r="U956" s="18" t="n">
        <v>0</v>
      </c>
      <c r="V956" s="26" t="n">
        <v>4.09</v>
      </c>
      <c r="W956" s="26">
        <f>V956 - L956</f>
        <v/>
      </c>
    </row>
    <row r="957">
      <c r="A957" s="11" t="n">
        <v>46213</v>
      </c>
      <c r="B957" s="1" t="n">
        <v>20072</v>
      </c>
      <c r="C957" s="1" t="inlineStr">
        <is>
          <t>037</t>
        </is>
      </c>
      <c r="D957" s="1" t="inlineStr">
        <is>
          <t xml:space="preserve">85290 </t>
        </is>
      </c>
      <c r="E957" s="1" t="inlineStr">
        <is>
          <t xml:space="preserve">28194780       </t>
        </is>
      </c>
      <c r="F957" s="5" t="inlineStr">
        <is>
          <t>TROMPO BATALLA INFINITY NADO PLSTICO SURTIDO</t>
        </is>
      </c>
      <c r="G957" t="n">
        <v>1</v>
      </c>
      <c r="H957" s="7" t="n">
        <v>19.9</v>
      </c>
      <c r="I957" s="7" t="n">
        <v>1.99</v>
      </c>
      <c r="J957" s="7" t="n">
        <v>0</v>
      </c>
      <c r="K957" s="9" t="n">
        <v>1.99</v>
      </c>
      <c r="L957" s="10" t="n">
        <v>10.63</v>
      </c>
      <c r="M957" s="10" t="n">
        <v>1.43</v>
      </c>
      <c r="N957" t="inlineStr">
        <is>
          <t>1</t>
        </is>
      </c>
      <c r="O957" t="inlineStr">
        <is>
          <t xml:space="preserve">3 </t>
        </is>
      </c>
      <c r="P957" t="inlineStr">
        <is>
          <t xml:space="preserve">232167  </t>
        </is>
      </c>
      <c r="Q957" s="26" t="n">
        <v>19.9</v>
      </c>
      <c r="R957" s="26">
        <f>Q957*G957</f>
        <v/>
      </c>
      <c r="S957" t="n">
        <v>11.81</v>
      </c>
      <c r="T957" s="18">
        <f>1 - V957/S957</f>
        <v/>
      </c>
      <c r="U957" s="18" t="n">
        <v>0</v>
      </c>
      <c r="V957" s="26" t="n">
        <v>11.81</v>
      </c>
      <c r="W957" s="26">
        <f>V957 - L957</f>
        <v/>
      </c>
    </row>
    <row r="958">
      <c r="A958" s="11" t="n">
        <v>46213</v>
      </c>
      <c r="B958" s="1" t="n">
        <v>20073</v>
      </c>
      <c r="C958" s="1" t="inlineStr">
        <is>
          <t>016</t>
        </is>
      </c>
      <c r="D958" s="1" t="inlineStr">
        <is>
          <t xml:space="preserve">14310 </t>
        </is>
      </c>
      <c r="E958" s="1" t="inlineStr">
        <is>
          <t xml:space="preserve">32457099       </t>
        </is>
      </c>
      <c r="F958" s="5" t="inlineStr">
        <is>
          <t>TMZ BEAST MACHINES MONSTER JAWS A FRICCION BLISTER</t>
        </is>
      </c>
      <c r="G958" t="n">
        <v>1</v>
      </c>
      <c r="H958" s="7" t="n">
        <v>19.9</v>
      </c>
      <c r="I958" s="7" t="n">
        <v>0</v>
      </c>
      <c r="J958" s="7" t="n">
        <v>0</v>
      </c>
      <c r="K958" s="9" t="n">
        <v>0</v>
      </c>
      <c r="L958" s="10" t="n">
        <v>11.8</v>
      </c>
      <c r="M958" s="10" t="n">
        <v>1.43</v>
      </c>
      <c r="N958" t="inlineStr">
        <is>
          <t>1</t>
        </is>
      </c>
      <c r="O958" t="inlineStr">
        <is>
          <t>16</t>
        </is>
      </c>
      <c r="P958" t="inlineStr">
        <is>
          <t xml:space="preserve">91372   </t>
        </is>
      </c>
      <c r="Q958" s="26" t="n">
        <v>19.9</v>
      </c>
      <c r="R958" s="26">
        <f>Q958*G958</f>
        <v/>
      </c>
      <c r="S958" t="n">
        <v>11.81</v>
      </c>
      <c r="T958" s="18">
        <f>1 - V958/S958</f>
        <v/>
      </c>
      <c r="U958" s="18" t="n">
        <v>0.1005025125628141</v>
      </c>
      <c r="V958" s="26" t="n">
        <v>8.417118644067797</v>
      </c>
      <c r="W958" s="26">
        <f>V958 - L958</f>
        <v/>
      </c>
    </row>
    <row r="959">
      <c r="A959" s="11" t="n">
        <v>46213</v>
      </c>
      <c r="B959" s="1" t="n">
        <v>20073</v>
      </c>
      <c r="C959" s="1" t="inlineStr">
        <is>
          <t>033</t>
        </is>
      </c>
      <c r="D959" s="1" t="inlineStr">
        <is>
          <t>313666</t>
        </is>
      </c>
      <c r="E959" s="1" t="inlineStr">
        <is>
          <t xml:space="preserve">33483121       </t>
        </is>
      </c>
      <c r="F959" s="5" t="inlineStr">
        <is>
          <t>HOT WHEELS ESTUCHE PARA 15 AUTOS SURTIDO</t>
        </is>
      </c>
      <c r="G959" t="n">
        <v>1</v>
      </c>
      <c r="H959" s="7" t="n">
        <v>34.9</v>
      </c>
      <c r="I959" s="7" t="n">
        <v>3.49</v>
      </c>
      <c r="J959" s="7" t="n">
        <v>0</v>
      </c>
      <c r="K959" s="9" t="n">
        <v>3.49</v>
      </c>
      <c r="L959" s="10" t="n">
        <v>18.63</v>
      </c>
      <c r="M959" s="10" t="n">
        <v>1.43</v>
      </c>
      <c r="N959" t="inlineStr">
        <is>
          <t>1</t>
        </is>
      </c>
      <c r="O959" t="inlineStr">
        <is>
          <t xml:space="preserve">3 </t>
        </is>
      </c>
      <c r="P959" t="inlineStr">
        <is>
          <t xml:space="preserve">250461  </t>
        </is>
      </c>
      <c r="Q959" s="26" t="n">
        <v>34.9</v>
      </c>
      <c r="R959" s="26">
        <f>Q959*G959</f>
        <v/>
      </c>
      <c r="S959" t="n">
        <v>20.7</v>
      </c>
      <c r="T959" s="18">
        <f>1 - V959/S959</f>
        <v/>
      </c>
      <c r="U959" s="18" t="n">
        <v>0</v>
      </c>
      <c r="V959" s="26" t="n">
        <v>20.7</v>
      </c>
      <c r="W959" s="26">
        <f>V959 - L959</f>
        <v/>
      </c>
    </row>
    <row r="960">
      <c r="A960" s="11" t="n">
        <v>46213</v>
      </c>
      <c r="B960" s="1" t="n">
        <v>20073</v>
      </c>
      <c r="C960" s="1" t="inlineStr">
        <is>
          <t>045</t>
        </is>
      </c>
      <c r="D960" s="1" t="inlineStr">
        <is>
          <t>149470</t>
        </is>
      </c>
      <c r="E960" s="1" t="inlineStr">
        <is>
          <t xml:space="preserve">34840552       </t>
        </is>
      </c>
      <c r="F960" s="5" t="inlineStr">
        <is>
          <t>TMZ HELI POLICIA CON LUCES Y SONIDOS</t>
        </is>
      </c>
      <c r="G960" t="n">
        <v>1</v>
      </c>
      <c r="H960" s="7" t="n">
        <v>79.90000000000001</v>
      </c>
      <c r="I960" s="7" t="n">
        <v>0</v>
      </c>
      <c r="J960" s="7" t="n">
        <v>0</v>
      </c>
      <c r="K960" s="9" t="n">
        <v>0</v>
      </c>
      <c r="L960" s="10" t="n">
        <v>47.4</v>
      </c>
      <c r="M960" s="10" t="n">
        <v>1.43</v>
      </c>
      <c r="N960" t="inlineStr">
        <is>
          <t>1</t>
        </is>
      </c>
      <c r="O960" t="inlineStr">
        <is>
          <t>16</t>
        </is>
      </c>
      <c r="P960" t="inlineStr">
        <is>
          <t xml:space="preserve">57893   </t>
        </is>
      </c>
      <c r="Q960" s="26" t="n">
        <v>79.90000000000002</v>
      </c>
      <c r="R960" s="26">
        <f>Q960*G960</f>
        <v/>
      </c>
      <c r="S960" t="n">
        <v>47.4</v>
      </c>
      <c r="T960" s="18">
        <f>1 - V960/S960</f>
        <v/>
      </c>
      <c r="U960" s="18" t="n">
        <v>0</v>
      </c>
      <c r="V960" s="26" t="n">
        <v>47.4</v>
      </c>
      <c r="W960" s="26">
        <f>V960 - L960</f>
        <v/>
      </c>
    </row>
    <row r="961">
      <c r="A961" s="11" t="n">
        <v>46213</v>
      </c>
      <c r="B961" s="1" t="n">
        <v>20074</v>
      </c>
      <c r="C961" s="1" t="inlineStr">
        <is>
          <t>012</t>
        </is>
      </c>
      <c r="D961" s="1" t="inlineStr">
        <is>
          <t>279487</t>
        </is>
      </c>
      <c r="E961" s="1" t="inlineStr">
        <is>
          <t xml:space="preserve">30141768       </t>
        </is>
      </c>
      <c r="F961" s="5" t="inlineStr">
        <is>
          <t>TMZ BEAST MACHINES AUTOS DE METAL PACK 10 AUTOS</t>
        </is>
      </c>
      <c r="G961" t="n">
        <v>1</v>
      </c>
      <c r="H961" s="7" t="n">
        <v>79</v>
      </c>
      <c r="I961" s="7" t="n">
        <v>7.9</v>
      </c>
      <c r="J961" s="7" t="n">
        <v>0</v>
      </c>
      <c r="K961" s="9" t="n">
        <v>7.9</v>
      </c>
      <c r="L961" s="10" t="n">
        <v>42.18</v>
      </c>
      <c r="M961" s="10" t="n">
        <v>1.43</v>
      </c>
      <c r="N961" t="inlineStr">
        <is>
          <t>1</t>
        </is>
      </c>
      <c r="O961" t="inlineStr">
        <is>
          <t xml:space="preserve">3 </t>
        </is>
      </c>
      <c r="P961" t="inlineStr">
        <is>
          <t xml:space="preserve">250534  </t>
        </is>
      </c>
      <c r="Q961" s="26" t="n">
        <v>79</v>
      </c>
      <c r="R961" s="26">
        <f>Q961*G961</f>
        <v/>
      </c>
      <c r="S961" t="n">
        <v>46.86</v>
      </c>
      <c r="T961" s="18">
        <f>1 - V961/S961</f>
        <v/>
      </c>
      <c r="U961" s="18" t="n">
        <v>0.1265822784810127</v>
      </c>
      <c r="V961" s="26" t="n">
        <v>43.85593220338983</v>
      </c>
      <c r="W961" s="26">
        <f>V961 - L961</f>
        <v/>
      </c>
    </row>
    <row r="962">
      <c r="A962" s="11" t="n">
        <v>46213</v>
      </c>
      <c r="B962" s="1" t="n">
        <v>20074</v>
      </c>
      <c r="C962" s="1" t="inlineStr">
        <is>
          <t>012</t>
        </is>
      </c>
      <c r="D962" s="1" t="inlineStr">
        <is>
          <t>279487</t>
        </is>
      </c>
      <c r="E962" s="1" t="inlineStr">
        <is>
          <t xml:space="preserve">34840557       </t>
        </is>
      </c>
      <c r="F962" s="5" t="inlineStr">
        <is>
          <t>TMZ BEAST MACH. PLAYSET GARAGE DE SERPIENTE + 2 AU</t>
        </is>
      </c>
      <c r="G962" t="n">
        <v>1</v>
      </c>
      <c r="H962" s="7" t="n">
        <v>79.90000000000001</v>
      </c>
      <c r="I962" s="7" t="n">
        <v>7.99</v>
      </c>
      <c r="J962" s="7" t="n">
        <v>0</v>
      </c>
      <c r="K962" s="9" t="n">
        <v>7.99</v>
      </c>
      <c r="L962" s="10" t="n">
        <v>42.66</v>
      </c>
      <c r="M962" s="10" t="n">
        <v>1.43</v>
      </c>
      <c r="N962" t="inlineStr">
        <is>
          <t>1</t>
        </is>
      </c>
      <c r="O962" t="inlineStr">
        <is>
          <t xml:space="preserve">3 </t>
        </is>
      </c>
      <c r="P962" t="inlineStr">
        <is>
          <t xml:space="preserve">250534  </t>
        </is>
      </c>
      <c r="Q962" s="26" t="n">
        <v>79.90000000000002</v>
      </c>
      <c r="R962" s="26">
        <f>Q962*G962</f>
        <v/>
      </c>
      <c r="S962" t="n">
        <v>47.4</v>
      </c>
      <c r="T962" s="18">
        <f>1 - V962/S962</f>
        <v/>
      </c>
      <c r="U962" s="18" t="n">
        <v>0.3754693366708386</v>
      </c>
      <c r="V962" s="26" t="n">
        <v>33.83050847457627</v>
      </c>
      <c r="W962" s="26">
        <f>V962 - L962</f>
        <v/>
      </c>
    </row>
    <row r="963">
      <c r="A963" s="11" t="n">
        <v>46213</v>
      </c>
      <c r="B963" s="1" t="n">
        <v>20074</v>
      </c>
      <c r="C963" s="1" t="inlineStr">
        <is>
          <t>015</t>
        </is>
      </c>
      <c r="D963" s="1" t="inlineStr">
        <is>
          <t>227670</t>
        </is>
      </c>
      <c r="E963" s="1" t="inlineStr">
        <is>
          <t xml:space="preserve">28194770       </t>
        </is>
      </c>
      <c r="F963" s="5" t="inlineStr">
        <is>
          <t>AUTOS DE METAL 3 TEAMSTERZ EN BLISTER</t>
        </is>
      </c>
      <c r="G963" t="n">
        <v>1</v>
      </c>
      <c r="H963" s="7" t="n">
        <v>6.9</v>
      </c>
      <c r="I963" s="7" t="n">
        <v>0.6899999999999999</v>
      </c>
      <c r="J963" s="7" t="n">
        <v>0</v>
      </c>
      <c r="K963" s="9" t="n">
        <v>0.6899999999999999</v>
      </c>
      <c r="L963" s="10" t="n">
        <v>3.68</v>
      </c>
      <c r="M963" s="10" t="n">
        <v>1.43</v>
      </c>
      <c r="N963" t="inlineStr">
        <is>
          <t>1</t>
        </is>
      </c>
      <c r="O963" t="inlineStr">
        <is>
          <t xml:space="preserve">3 </t>
        </is>
      </c>
      <c r="P963" t="inlineStr">
        <is>
          <t xml:space="preserve">104416  </t>
        </is>
      </c>
      <c r="Q963" s="26" t="n">
        <v>6.9</v>
      </c>
      <c r="R963" s="26">
        <f>Q963*G963</f>
        <v/>
      </c>
      <c r="S963" t="n">
        <v>4.09</v>
      </c>
      <c r="T963" s="18">
        <f>1 - V963/S963</f>
        <v/>
      </c>
      <c r="U963" s="18" t="n">
        <v>0</v>
      </c>
      <c r="V963" s="26" t="n">
        <v>4.09</v>
      </c>
      <c r="W963" s="26">
        <f>V963 - L963</f>
        <v/>
      </c>
    </row>
    <row r="964">
      <c r="A964" s="11" t="n">
        <v>46213</v>
      </c>
      <c r="B964" s="1" t="n">
        <v>20074</v>
      </c>
      <c r="C964" s="1" t="inlineStr">
        <is>
          <t>025</t>
        </is>
      </c>
      <c r="D964" s="1" t="inlineStr">
        <is>
          <t xml:space="preserve">27582 </t>
        </is>
      </c>
      <c r="E964" s="1" t="inlineStr">
        <is>
          <t xml:space="preserve">28194770       </t>
        </is>
      </c>
      <c r="F964" s="5" t="inlineStr">
        <is>
          <t>AUTOS DE METAL 3 TEAMSTERZ EN BLISTER</t>
        </is>
      </c>
      <c r="G964" t="n">
        <v>1</v>
      </c>
      <c r="H964" s="7" t="n">
        <v>6.9</v>
      </c>
      <c r="I964" s="7" t="n">
        <v>0</v>
      </c>
      <c r="J964" s="7" t="n">
        <v>0</v>
      </c>
      <c r="K964" s="9" t="n">
        <v>0</v>
      </c>
      <c r="L964" s="10" t="n">
        <v>4.1</v>
      </c>
      <c r="M964" s="10" t="n">
        <v>1.43</v>
      </c>
      <c r="N964" t="inlineStr">
        <is>
          <t>1</t>
        </is>
      </c>
      <c r="O964" t="inlineStr">
        <is>
          <t>16</t>
        </is>
      </c>
      <c r="P964" t="inlineStr">
        <is>
          <t xml:space="preserve">102135  </t>
        </is>
      </c>
      <c r="Q964" s="26" t="n">
        <v>6.9</v>
      </c>
      <c r="R964" s="26">
        <f>Q964*G964</f>
        <v/>
      </c>
      <c r="S964" t="n">
        <v>4.09</v>
      </c>
      <c r="T964" s="18">
        <f>1 - V964/S964</f>
        <v/>
      </c>
      <c r="U964" s="18" t="n">
        <v>0</v>
      </c>
      <c r="V964" s="26" t="n">
        <v>4.09</v>
      </c>
      <c r="W964" s="26">
        <f>V964 - L964</f>
        <v/>
      </c>
    </row>
    <row r="965">
      <c r="A965" s="11" t="n">
        <v>46213</v>
      </c>
      <c r="B965" s="1" t="n">
        <v>20074</v>
      </c>
      <c r="C965" s="1" t="inlineStr">
        <is>
          <t>048</t>
        </is>
      </c>
      <c r="D965" s="1" t="inlineStr">
        <is>
          <t>144751</t>
        </is>
      </c>
      <c r="E965" s="1" t="inlineStr">
        <is>
          <t xml:space="preserve">28194770       </t>
        </is>
      </c>
      <c r="F965" s="5" t="inlineStr">
        <is>
          <t>AUTOS DE METAL 3 TEAMSTERZ EN BLISTER</t>
        </is>
      </c>
      <c r="G965" t="n">
        <v>1</v>
      </c>
      <c r="H965" s="7" t="n">
        <v>6.9</v>
      </c>
      <c r="I965" s="7" t="n">
        <v>0</v>
      </c>
      <c r="J965" s="7" t="n">
        <v>0</v>
      </c>
      <c r="K965" s="9" t="n">
        <v>0</v>
      </c>
      <c r="L965" s="10" t="n">
        <v>4.1</v>
      </c>
      <c r="M965" s="10" t="n">
        <v>1.43</v>
      </c>
      <c r="N965" t="inlineStr">
        <is>
          <t>1</t>
        </is>
      </c>
      <c r="O965" t="inlineStr">
        <is>
          <t>16</t>
        </is>
      </c>
      <c r="P965" t="inlineStr">
        <is>
          <t xml:space="preserve">249571  </t>
        </is>
      </c>
      <c r="Q965" s="26" t="n">
        <v>6.9</v>
      </c>
      <c r="R965" s="26">
        <f>Q965*G965</f>
        <v/>
      </c>
      <c r="S965" t="n">
        <v>4.09</v>
      </c>
      <c r="T965" s="18">
        <f>1 - V965/S965</f>
        <v/>
      </c>
      <c r="U965" s="18" t="n">
        <v>0</v>
      </c>
      <c r="V965" s="26" t="n">
        <v>4.09</v>
      </c>
      <c r="W965" s="26">
        <f>V965 - L965</f>
        <v/>
      </c>
    </row>
    <row r="966">
      <c r="A966" s="11" t="n">
        <v>46213</v>
      </c>
      <c r="B966" s="1" t="n">
        <v>20074</v>
      </c>
      <c r="C966" s="1" t="inlineStr">
        <is>
          <t>048</t>
        </is>
      </c>
      <c r="D966" s="1" t="inlineStr">
        <is>
          <t>144762</t>
        </is>
      </c>
      <c r="E966" s="1" t="inlineStr">
        <is>
          <t xml:space="preserve">29235702       </t>
        </is>
      </c>
      <c r="F966" s="5" t="inlineStr">
        <is>
          <t>INFINITY NADO TROMPO DE BATALLA - METAL C/ ANILLO</t>
        </is>
      </c>
      <c r="G966" t="n">
        <v>1</v>
      </c>
      <c r="H966" s="7" t="n">
        <v>69.90000000000001</v>
      </c>
      <c r="I966" s="7" t="n">
        <v>0</v>
      </c>
      <c r="J966" s="7" t="n">
        <v>0</v>
      </c>
      <c r="K966" s="9" t="n">
        <v>0</v>
      </c>
      <c r="L966" s="10" t="n">
        <v>41.47</v>
      </c>
      <c r="M966" s="10" t="n">
        <v>1.43</v>
      </c>
      <c r="N966" t="inlineStr">
        <is>
          <t>1</t>
        </is>
      </c>
      <c r="O966" t="inlineStr">
        <is>
          <t>16</t>
        </is>
      </c>
      <c r="P966" t="inlineStr">
        <is>
          <t xml:space="preserve">249571  </t>
        </is>
      </c>
      <c r="Q966" s="26" t="n">
        <v>69.90000000000001</v>
      </c>
      <c r="R966" s="26">
        <f>Q966*G966</f>
        <v/>
      </c>
      <c r="S966" t="n">
        <v>41.47</v>
      </c>
      <c r="T966" s="18">
        <f>1 - V966/S966</f>
        <v/>
      </c>
      <c r="U966" s="18" t="n">
        <v>0.2861230329041489</v>
      </c>
      <c r="V966" s="26" t="n">
        <v>31.71610169491525</v>
      </c>
      <c r="W966" s="26">
        <f>V966 - L966</f>
        <v/>
      </c>
    </row>
    <row r="967">
      <c r="A967" s="11" t="n">
        <v>46213</v>
      </c>
      <c r="B967" s="1" t="n">
        <v>20077</v>
      </c>
      <c r="C967" s="1" t="inlineStr">
        <is>
          <t>026</t>
        </is>
      </c>
      <c r="D967" s="1" t="inlineStr">
        <is>
          <t>107816</t>
        </is>
      </c>
      <c r="E967" s="1" t="inlineStr">
        <is>
          <t xml:space="preserve">28194770       </t>
        </is>
      </c>
      <c r="F967" s="5" t="inlineStr">
        <is>
          <t>AUTOS DE METAL 3 TEAMSTERZ EN BLISTER</t>
        </is>
      </c>
      <c r="G967" t="n">
        <v>1</v>
      </c>
      <c r="H967" s="7" t="n">
        <v>6.9</v>
      </c>
      <c r="I967" s="7" t="n">
        <v>0</v>
      </c>
      <c r="J967" s="7" t="n">
        <v>0</v>
      </c>
      <c r="K967" s="9" t="n">
        <v>0</v>
      </c>
      <c r="L967" s="10" t="n">
        <v>4.1</v>
      </c>
      <c r="M967" s="10" t="n">
        <v>1.43</v>
      </c>
      <c r="N967" t="inlineStr">
        <is>
          <t>1</t>
        </is>
      </c>
      <c r="O967" t="inlineStr">
        <is>
          <t xml:space="preserve">2 </t>
        </is>
      </c>
      <c r="P967" t="inlineStr">
        <is>
          <t xml:space="preserve">44367   </t>
        </is>
      </c>
      <c r="Q967" s="26" t="n">
        <v>6.9</v>
      </c>
      <c r="R967" s="26">
        <f>Q967*G967</f>
        <v/>
      </c>
      <c r="S967" t="n">
        <v>4.09</v>
      </c>
      <c r="T967" s="18">
        <f>1 - V967/S967</f>
        <v/>
      </c>
      <c r="U967" s="18" t="n">
        <v>0</v>
      </c>
      <c r="V967" s="26" t="n">
        <v>4.09</v>
      </c>
      <c r="W967" s="26">
        <f>V967 - L967</f>
        <v/>
      </c>
    </row>
    <row r="968">
      <c r="A968" s="11" t="n">
        <v>46213</v>
      </c>
      <c r="B968" s="1" t="n">
        <v>20077</v>
      </c>
      <c r="C968" s="1" t="inlineStr">
        <is>
          <t>026</t>
        </is>
      </c>
      <c r="D968" s="1" t="inlineStr">
        <is>
          <t>107825</t>
        </is>
      </c>
      <c r="E968" s="1" t="inlineStr">
        <is>
          <t xml:space="preserve">28194780       </t>
        </is>
      </c>
      <c r="F968" s="5" t="inlineStr">
        <is>
          <t>TROMPO BATALLA INFINITY NADO PLSTICO SURTIDO</t>
        </is>
      </c>
      <c r="G968" t="n">
        <v>1</v>
      </c>
      <c r="H968" s="7" t="n">
        <v>19.9</v>
      </c>
      <c r="I968" s="7" t="n">
        <v>0</v>
      </c>
      <c r="J968" s="7" t="n">
        <v>0</v>
      </c>
      <c r="K968" s="9" t="n">
        <v>0</v>
      </c>
      <c r="L968" s="10" t="n">
        <v>11.8</v>
      </c>
      <c r="M968" s="10" t="n">
        <v>1.43</v>
      </c>
      <c r="N968" t="inlineStr">
        <is>
          <t>1</t>
        </is>
      </c>
      <c r="O968" t="inlineStr">
        <is>
          <t>16</t>
        </is>
      </c>
      <c r="P968" t="inlineStr">
        <is>
          <t xml:space="preserve">44367   </t>
        </is>
      </c>
      <c r="Q968" s="26" t="n">
        <v>19.9</v>
      </c>
      <c r="R968" s="26">
        <f>Q968*G968</f>
        <v/>
      </c>
      <c r="S968" t="n">
        <v>11.81</v>
      </c>
      <c r="T968" s="18">
        <f>1 - V968/S968</f>
        <v/>
      </c>
      <c r="U968" s="18" t="n">
        <v>0</v>
      </c>
      <c r="V968" s="26" t="n">
        <v>11.81</v>
      </c>
      <c r="W968" s="26">
        <f>V968 - L968</f>
        <v/>
      </c>
    </row>
    <row r="969">
      <c r="A969" s="11" t="n">
        <v>46213</v>
      </c>
      <c r="B969" s="1" t="n">
        <v>20077</v>
      </c>
      <c r="C969" s="1" t="inlineStr">
        <is>
          <t>029</t>
        </is>
      </c>
      <c r="D969" s="1" t="inlineStr">
        <is>
          <t>155878</t>
        </is>
      </c>
      <c r="E969" s="1" t="inlineStr">
        <is>
          <t xml:space="preserve">32457099       </t>
        </is>
      </c>
      <c r="F969" s="5" t="inlineStr">
        <is>
          <t>TMZ BEAST MACHINES MONSTER JAWS A FRICCION BLISTER</t>
        </is>
      </c>
      <c r="G969" t="n">
        <v>1</v>
      </c>
      <c r="H969" s="7" t="n">
        <v>19.9</v>
      </c>
      <c r="I969" s="7" t="n">
        <v>0</v>
      </c>
      <c r="J969" s="7" t="n">
        <v>0</v>
      </c>
      <c r="K969" s="9" t="n">
        <v>0</v>
      </c>
      <c r="L969" s="10" t="n">
        <v>11.8</v>
      </c>
      <c r="M969" s="10" t="n">
        <v>1.43</v>
      </c>
      <c r="N969" t="inlineStr">
        <is>
          <t>1</t>
        </is>
      </c>
      <c r="O969" t="inlineStr">
        <is>
          <t>16</t>
        </is>
      </c>
      <c r="P969" t="inlineStr">
        <is>
          <t xml:space="preserve">250449  </t>
        </is>
      </c>
      <c r="Q969" s="26" t="n">
        <v>19.9</v>
      </c>
      <c r="R969" s="26">
        <f>Q969*G969</f>
        <v/>
      </c>
      <c r="S969" t="n">
        <v>11.81</v>
      </c>
      <c r="T969" s="18">
        <f>1 - V969/S969</f>
        <v/>
      </c>
      <c r="U969" s="18" t="n">
        <v>0.1005025125628141</v>
      </c>
      <c r="V969" s="26" t="n">
        <v>8.417118644067797</v>
      </c>
      <c r="W969" s="26">
        <f>V969 - L969</f>
        <v/>
      </c>
    </row>
    <row r="970">
      <c r="A970" s="11" t="n">
        <v>46213</v>
      </c>
      <c r="B970" s="1" t="n">
        <v>20077</v>
      </c>
      <c r="C970" s="1" t="inlineStr">
        <is>
          <t>029</t>
        </is>
      </c>
      <c r="D970" s="1" t="inlineStr">
        <is>
          <t>155880</t>
        </is>
      </c>
      <c r="E970" s="1" t="inlineStr">
        <is>
          <t xml:space="preserve">35685067       </t>
        </is>
      </c>
      <c r="F970" s="5" t="inlineStr">
        <is>
          <t>HOT WHEELS POWER SET 3 EN 1</t>
        </is>
      </c>
      <c r="G970" t="n">
        <v>1</v>
      </c>
      <c r="H970" s="7" t="n">
        <v>49.9</v>
      </c>
      <c r="I970" s="7" t="n">
        <v>4.99</v>
      </c>
      <c r="J970" s="7" t="n">
        <v>0</v>
      </c>
      <c r="K970" s="9" t="n">
        <v>4.99</v>
      </c>
      <c r="L970" s="10" t="n">
        <v>26.64</v>
      </c>
      <c r="M970" s="10" t="n">
        <v>1.43</v>
      </c>
      <c r="N970" t="inlineStr">
        <is>
          <t>1</t>
        </is>
      </c>
      <c r="O970" t="inlineStr">
        <is>
          <t xml:space="preserve">3 </t>
        </is>
      </c>
      <c r="P970" t="inlineStr">
        <is>
          <t xml:space="preserve">250449  </t>
        </is>
      </c>
      <c r="Q970" s="26" t="n">
        <v>49.9</v>
      </c>
      <c r="R970" s="26">
        <f>Q970*G970</f>
        <v/>
      </c>
      <c r="S970" t="n">
        <v>29.6</v>
      </c>
      <c r="T970" s="18">
        <f>1 - V970/S970</f>
        <v/>
      </c>
      <c r="U970" s="18" t="n">
        <v>0</v>
      </c>
      <c r="V970" s="26" t="n">
        <v>29.6</v>
      </c>
      <c r="W970" s="26">
        <f>V970 - L970</f>
        <v/>
      </c>
    </row>
    <row r="971">
      <c r="A971" s="11" t="n">
        <v>46213</v>
      </c>
      <c r="B971" s="1" t="n">
        <v>20077</v>
      </c>
      <c r="C971" s="1" t="inlineStr">
        <is>
          <t>029</t>
        </is>
      </c>
      <c r="D971" s="1" t="inlineStr">
        <is>
          <t>155883</t>
        </is>
      </c>
      <c r="E971" s="1" t="inlineStr">
        <is>
          <t xml:space="preserve">28194770       </t>
        </is>
      </c>
      <c r="F971" s="5" t="inlineStr">
        <is>
          <t>AUTOS DE METAL 3 TEAMSTERZ EN BLISTER</t>
        </is>
      </c>
      <c r="G971" t="n">
        <v>1</v>
      </c>
      <c r="H971" s="7" t="n">
        <v>6.9</v>
      </c>
      <c r="I971" s="7" t="n">
        <v>0</v>
      </c>
      <c r="J971" s="7" t="n">
        <v>0</v>
      </c>
      <c r="K971" s="9" t="n">
        <v>0</v>
      </c>
      <c r="L971" s="10" t="n">
        <v>4.1</v>
      </c>
      <c r="M971" s="10" t="n">
        <v>1.43</v>
      </c>
      <c r="N971" t="inlineStr">
        <is>
          <t>1</t>
        </is>
      </c>
      <c r="O971" t="inlineStr">
        <is>
          <t xml:space="preserve">2 </t>
        </is>
      </c>
      <c r="P971" t="inlineStr">
        <is>
          <t xml:space="preserve">250449  </t>
        </is>
      </c>
      <c r="Q971" s="26" t="n">
        <v>6.9</v>
      </c>
      <c r="R971" s="26">
        <f>Q971*G971</f>
        <v/>
      </c>
      <c r="S971" t="n">
        <v>4.09</v>
      </c>
      <c r="T971" s="18">
        <f>1 - V971/S971</f>
        <v/>
      </c>
      <c r="U971" s="18" t="n">
        <v>0</v>
      </c>
      <c r="V971" s="26" t="n">
        <v>4.09</v>
      </c>
      <c r="W971" s="26">
        <f>V971 - L971</f>
        <v/>
      </c>
    </row>
    <row r="972">
      <c r="A972" s="11" t="n">
        <v>46213</v>
      </c>
      <c r="B972" s="1" t="n">
        <v>20077</v>
      </c>
      <c r="C972" s="1" t="inlineStr">
        <is>
          <t>029</t>
        </is>
      </c>
      <c r="D972" s="1" t="inlineStr">
        <is>
          <t>155883</t>
        </is>
      </c>
      <c r="E972" s="1" t="inlineStr">
        <is>
          <t xml:space="preserve">28194770       </t>
        </is>
      </c>
      <c r="F972" s="5" t="inlineStr">
        <is>
          <t>AUTOS DE METAL 3 TEAMSTERZ EN BLISTER</t>
        </is>
      </c>
      <c r="G972" t="n">
        <v>1</v>
      </c>
      <c r="H972" s="7" t="n">
        <v>6.9</v>
      </c>
      <c r="I972" s="7" t="n">
        <v>0</v>
      </c>
      <c r="J972" s="7" t="n">
        <v>0</v>
      </c>
      <c r="K972" s="9" t="n">
        <v>0</v>
      </c>
      <c r="L972" s="10" t="n">
        <v>4.1</v>
      </c>
      <c r="M972" s="10" t="n">
        <v>1.43</v>
      </c>
      <c r="N972" t="inlineStr">
        <is>
          <t>1</t>
        </is>
      </c>
      <c r="O972" t="inlineStr">
        <is>
          <t xml:space="preserve">2 </t>
        </is>
      </c>
      <c r="P972" t="inlineStr">
        <is>
          <t xml:space="preserve">250449  </t>
        </is>
      </c>
      <c r="Q972" s="26" t="n">
        <v>6.9</v>
      </c>
      <c r="R972" s="26">
        <f>Q972*G972</f>
        <v/>
      </c>
      <c r="S972" t="n">
        <v>4.09</v>
      </c>
      <c r="T972" s="18">
        <f>1 - V972/S972</f>
        <v/>
      </c>
      <c r="U972" s="18" t="n">
        <v>0</v>
      </c>
      <c r="V972" s="26" t="n">
        <v>4.09</v>
      </c>
      <c r="W972" s="26">
        <f>V972 - L972</f>
        <v/>
      </c>
    </row>
    <row r="973">
      <c r="A973" s="11" t="n">
        <v>46213</v>
      </c>
      <c r="B973" s="1" t="n">
        <v>20079</v>
      </c>
      <c r="C973" s="1" t="inlineStr">
        <is>
          <t>045</t>
        </is>
      </c>
      <c r="D973" s="1" t="inlineStr">
        <is>
          <t>331946</t>
        </is>
      </c>
      <c r="E973" s="1" t="inlineStr">
        <is>
          <t xml:space="preserve">32457103       </t>
        </is>
      </c>
      <c r="F973" s="5" t="inlineStr">
        <is>
          <t>TMZ BEAST MACHINES MONSTER JAWS A FRICCION PACK DE</t>
        </is>
      </c>
      <c r="G973" t="n">
        <v>1</v>
      </c>
      <c r="H973" s="7" t="n">
        <v>37.9</v>
      </c>
      <c r="I973" s="7" t="n">
        <v>3.79</v>
      </c>
      <c r="J973" s="7" t="n">
        <v>0</v>
      </c>
      <c r="K973" s="9" t="n">
        <v>3.79</v>
      </c>
      <c r="L973" s="10" t="n">
        <v>20.24</v>
      </c>
      <c r="M973" s="10" t="n">
        <v>1.43</v>
      </c>
      <c r="N973" t="inlineStr">
        <is>
          <t>1</t>
        </is>
      </c>
      <c r="O973" t="inlineStr">
        <is>
          <t xml:space="preserve">3 </t>
        </is>
      </c>
      <c r="P973" t="inlineStr">
        <is>
          <t xml:space="preserve">61558   </t>
        </is>
      </c>
      <c r="Q973" s="26" t="n">
        <v>37.9</v>
      </c>
      <c r="R973" s="26">
        <f>Q973*G973</f>
        <v/>
      </c>
      <c r="S973" t="n">
        <v>22.48</v>
      </c>
      <c r="T973" s="18">
        <f>1 - V973/S973</f>
        <v/>
      </c>
      <c r="U973" s="18" t="n">
        <v>0.1319261213720316</v>
      </c>
      <c r="V973" s="26" t="n">
        <v>16.75101694915254</v>
      </c>
      <c r="W973" s="26">
        <f>V973 - L973</f>
        <v/>
      </c>
    </row>
    <row r="974">
      <c r="A974" s="11" t="n">
        <v>46213</v>
      </c>
      <c r="B974" s="1" t="n">
        <v>20079</v>
      </c>
      <c r="C974" s="1" t="inlineStr">
        <is>
          <t>045</t>
        </is>
      </c>
      <c r="D974" s="1" t="inlineStr">
        <is>
          <t>331986</t>
        </is>
      </c>
      <c r="E974" s="1" t="inlineStr">
        <is>
          <t xml:space="preserve">28194781       </t>
        </is>
      </c>
      <c r="F974" s="5" t="inlineStr">
        <is>
          <t>TROMPO BATALLA INFINITY NADO SERIE V CLASICA SURTI</t>
        </is>
      </c>
      <c r="G974" t="n">
        <v>1</v>
      </c>
      <c r="H974" s="7" t="n">
        <v>59.9</v>
      </c>
      <c r="I974" s="7" t="n">
        <v>0</v>
      </c>
      <c r="J974" s="7" t="n">
        <v>0</v>
      </c>
      <c r="K974" s="9" t="n">
        <v>0</v>
      </c>
      <c r="L974" s="10" t="n">
        <v>35.53</v>
      </c>
      <c r="M974" s="10" t="n">
        <v>1.43</v>
      </c>
      <c r="N974" t="inlineStr">
        <is>
          <t>1</t>
        </is>
      </c>
      <c r="O974" t="inlineStr">
        <is>
          <t>16</t>
        </is>
      </c>
      <c r="P974" t="inlineStr">
        <is>
          <t xml:space="preserve">61558   </t>
        </is>
      </c>
      <c r="Q974" s="26" t="n">
        <v>59.9</v>
      </c>
      <c r="R974" s="26">
        <f>Q974*G974</f>
        <v/>
      </c>
      <c r="S974" t="n">
        <v>35.53</v>
      </c>
      <c r="T974" s="18">
        <f>1 - V974/S974</f>
        <v/>
      </c>
      <c r="U974" s="18" t="n">
        <v>0.333889816360601</v>
      </c>
      <c r="V974" s="26" t="n">
        <v>25.36016949152542</v>
      </c>
      <c r="W974" s="26">
        <f>V974 - L974</f>
        <v/>
      </c>
    </row>
    <row r="975">
      <c r="A975" s="11" t="n">
        <v>46213</v>
      </c>
      <c r="B975" s="1" t="n">
        <v>20079</v>
      </c>
      <c r="C975" s="1" t="inlineStr">
        <is>
          <t>045</t>
        </is>
      </c>
      <c r="D975" s="1" t="inlineStr">
        <is>
          <t>331986</t>
        </is>
      </c>
      <c r="E975" s="1" t="inlineStr">
        <is>
          <t xml:space="preserve">31754677       </t>
        </is>
      </c>
      <c r="F975" s="5" t="inlineStr">
        <is>
          <t>INFINITY NADO SERIE 6 SET DE BATALL</t>
        </is>
      </c>
      <c r="G975" t="n">
        <v>1</v>
      </c>
      <c r="H975" s="7" t="n">
        <v>189</v>
      </c>
      <c r="I975" s="7" t="n">
        <v>0</v>
      </c>
      <c r="J975" s="7" t="n">
        <v>0</v>
      </c>
      <c r="K975" s="9" t="n">
        <v>0</v>
      </c>
      <c r="L975" s="10" t="n">
        <v>112.12</v>
      </c>
      <c r="M975" s="10" t="n">
        <v>1.43</v>
      </c>
      <c r="N975" t="inlineStr">
        <is>
          <t>1</t>
        </is>
      </c>
      <c r="O975" t="inlineStr">
        <is>
          <t>16</t>
        </is>
      </c>
      <c r="P975" t="inlineStr">
        <is>
          <t xml:space="preserve">61558   </t>
        </is>
      </c>
      <c r="Q975" s="26" t="n">
        <v>189</v>
      </c>
      <c r="R975" s="26">
        <f>Q975*G975</f>
        <v/>
      </c>
      <c r="S975" t="n">
        <v>112.12</v>
      </c>
      <c r="T975" s="18">
        <f>1 - V975/S975</f>
        <v/>
      </c>
      <c r="U975" s="18" t="n">
        <v>0.2116402116402116</v>
      </c>
      <c r="V975" s="26" t="n">
        <v>94.70338983050848</v>
      </c>
      <c r="W975" s="26">
        <f>V975 - L975</f>
        <v/>
      </c>
    </row>
    <row r="976">
      <c r="A976" s="11" t="n">
        <v>46213</v>
      </c>
      <c r="B976" s="1" t="n">
        <v>20079</v>
      </c>
      <c r="C976" s="1" t="inlineStr">
        <is>
          <t>051</t>
        </is>
      </c>
      <c r="D976" s="1" t="inlineStr">
        <is>
          <t>235593</t>
        </is>
      </c>
      <c r="E976" s="1" t="inlineStr">
        <is>
          <t xml:space="preserve">31754674       </t>
        </is>
      </c>
      <c r="F976" s="5" t="inlineStr">
        <is>
          <t>PEPE MOCO - CEREBRO SALTARIN</t>
        </is>
      </c>
      <c r="G976" t="n">
        <v>1</v>
      </c>
      <c r="H976" s="7" t="n">
        <v>89.90000000000001</v>
      </c>
      <c r="I976" s="7" t="n">
        <v>0</v>
      </c>
      <c r="J976" s="7" t="n">
        <v>0</v>
      </c>
      <c r="K976" s="9" t="n">
        <v>0</v>
      </c>
      <c r="L976" s="10" t="n">
        <v>53.33</v>
      </c>
      <c r="M976" s="10" t="n">
        <v>1.43</v>
      </c>
      <c r="N976" t="inlineStr">
        <is>
          <t>1</t>
        </is>
      </c>
      <c r="O976" t="inlineStr">
        <is>
          <t>16</t>
        </is>
      </c>
      <c r="P976" t="inlineStr">
        <is>
          <t xml:space="preserve">55412   </t>
        </is>
      </c>
      <c r="Q976" s="26" t="n">
        <v>89.90000000000001</v>
      </c>
      <c r="R976" s="26">
        <f>Q976*G976</f>
        <v/>
      </c>
      <c r="S976" t="n">
        <v>53.33</v>
      </c>
      <c r="T976" s="18">
        <f>1 - V976/S976</f>
        <v/>
      </c>
      <c r="U976" s="18" t="n">
        <v>0</v>
      </c>
      <c r="V976" s="26" t="n">
        <v>53.33</v>
      </c>
      <c r="W976" s="26">
        <f>V976 - L976</f>
        <v/>
      </c>
    </row>
    <row r="977">
      <c r="A977" s="11" t="n">
        <v>46213</v>
      </c>
      <c r="B977" s="1" t="n">
        <v>20080</v>
      </c>
      <c r="C977" s="1" t="inlineStr">
        <is>
          <t>013</t>
        </is>
      </c>
      <c r="D977" s="1" t="inlineStr">
        <is>
          <t>129157</t>
        </is>
      </c>
      <c r="E977" s="1" t="inlineStr">
        <is>
          <t xml:space="preserve">31675354       </t>
        </is>
      </c>
      <c r="F977" s="5" t="inlineStr">
        <is>
          <t>NENUCO LLORON CON ACCESORIOS</t>
        </is>
      </c>
      <c r="G977" t="n">
        <v>1</v>
      </c>
      <c r="H977" s="7" t="n">
        <v>89.90000000000001</v>
      </c>
      <c r="I977" s="7" t="n">
        <v>0</v>
      </c>
      <c r="J977" s="7" t="n">
        <v>0</v>
      </c>
      <c r="K977" s="9" t="n">
        <v>0</v>
      </c>
      <c r="L977" s="10" t="n">
        <v>53.33</v>
      </c>
      <c r="M977" s="10" t="n">
        <v>1.43</v>
      </c>
      <c r="N977" t="inlineStr">
        <is>
          <t>1</t>
        </is>
      </c>
      <c r="O977" t="inlineStr">
        <is>
          <t>16</t>
        </is>
      </c>
      <c r="P977" t="inlineStr">
        <is>
          <t xml:space="preserve">66628   </t>
        </is>
      </c>
      <c r="Q977" s="26" t="n">
        <v>89.90000000000001</v>
      </c>
      <c r="R977" s="26">
        <f>Q977*G977</f>
        <v/>
      </c>
      <c r="S977" t="n">
        <v>53.33</v>
      </c>
      <c r="T977" s="18">
        <f>1 - V977/S977</f>
        <v/>
      </c>
      <c r="U977" s="18" t="n">
        <v>0.2224694104560623</v>
      </c>
      <c r="V977" s="26" t="n">
        <v>44.42796610169492</v>
      </c>
      <c r="W977" s="26">
        <f>V977 - L977</f>
        <v/>
      </c>
    </row>
    <row r="978">
      <c r="A978" s="11" t="n">
        <v>46213</v>
      </c>
      <c r="B978" s="1" t="n">
        <v>20080</v>
      </c>
      <c r="C978" s="1" t="inlineStr">
        <is>
          <t>026</t>
        </is>
      </c>
      <c r="D978" s="1" t="inlineStr">
        <is>
          <t>208802</t>
        </is>
      </c>
      <c r="E978" s="1" t="inlineStr">
        <is>
          <t xml:space="preserve">32457103       </t>
        </is>
      </c>
      <c r="F978" s="5" t="inlineStr">
        <is>
          <t>TMZ BEAST MACHINES MONSTER JAWS A FRICCION PACK DE</t>
        </is>
      </c>
      <c r="G978" t="n">
        <v>1</v>
      </c>
      <c r="H978" s="7" t="n">
        <v>37.9</v>
      </c>
      <c r="I978" s="7" t="n">
        <v>0</v>
      </c>
      <c r="J978" s="7" t="n">
        <v>0</v>
      </c>
      <c r="K978" s="9" t="n">
        <v>0</v>
      </c>
      <c r="L978" s="10" t="n">
        <v>22.48</v>
      </c>
      <c r="M978" s="10" t="n">
        <v>1.43</v>
      </c>
      <c r="N978" t="inlineStr">
        <is>
          <t>1</t>
        </is>
      </c>
      <c r="O978" t="inlineStr">
        <is>
          <t>16</t>
        </is>
      </c>
      <c r="P978" t="inlineStr">
        <is>
          <t xml:space="preserve">247625  </t>
        </is>
      </c>
      <c r="Q978" s="26" t="n">
        <v>37.9</v>
      </c>
      <c r="R978" s="26">
        <f>Q978*G978</f>
        <v/>
      </c>
      <c r="S978" t="n">
        <v>22.48</v>
      </c>
      <c r="T978" s="18">
        <f>1 - V978/S978</f>
        <v/>
      </c>
      <c r="U978" s="18" t="n">
        <v>0.1319261213720316</v>
      </c>
      <c r="V978" s="26" t="n">
        <v>16.75101694915254</v>
      </c>
      <c r="W978" s="26">
        <f>V978 - L978</f>
        <v/>
      </c>
    </row>
    <row r="979">
      <c r="A979" s="11" t="n">
        <v>46213</v>
      </c>
      <c r="B979" s="1" t="n">
        <v>20080</v>
      </c>
      <c r="C979" s="1" t="inlineStr">
        <is>
          <t>800</t>
        </is>
      </c>
      <c r="D979" s="1" t="inlineStr">
        <is>
          <t xml:space="preserve">5802  </t>
        </is>
      </c>
      <c r="E979" s="1" t="inlineStr">
        <is>
          <t xml:space="preserve">28194770       </t>
        </is>
      </c>
      <c r="F979" s="5" t="inlineStr">
        <is>
          <t>AUTOS DE METAL 3 TEAMSTERZ EN BLISTER</t>
        </is>
      </c>
      <c r="G979" t="n">
        <v>1</v>
      </c>
      <c r="H979" s="7" t="n">
        <v>6.9</v>
      </c>
      <c r="I979" s="7" t="n">
        <v>0</v>
      </c>
      <c r="J979" s="7" t="n">
        <v>0</v>
      </c>
      <c r="K979" s="9" t="n">
        <v>0</v>
      </c>
      <c r="L979" s="10" t="n">
        <v>4.1</v>
      </c>
      <c r="M979" s="10" t="n">
        <v>1.43</v>
      </c>
      <c r="N979" t="inlineStr">
        <is>
          <t>1</t>
        </is>
      </c>
      <c r="O979" t="inlineStr">
        <is>
          <t>16</t>
        </is>
      </c>
      <c r="P979" t="inlineStr">
        <is>
          <t xml:space="preserve">0       </t>
        </is>
      </c>
      <c r="Q979" s="26" t="n">
        <v>6.9</v>
      </c>
      <c r="R979" s="26">
        <f>Q979*G979</f>
        <v/>
      </c>
      <c r="S979" t="n">
        <v>4.09</v>
      </c>
      <c r="T979" s="18">
        <f>1 - V979/S979</f>
        <v/>
      </c>
      <c r="U979" s="18" t="n">
        <v>0</v>
      </c>
      <c r="V979" s="26" t="n">
        <v>4.09</v>
      </c>
      <c r="W979" s="26">
        <f>V979 - L979</f>
        <v/>
      </c>
    </row>
    <row r="980">
      <c r="A980" s="11" t="n">
        <v>46213</v>
      </c>
      <c r="B980" s="1" t="n">
        <v>20086</v>
      </c>
      <c r="C980" s="1" t="inlineStr">
        <is>
          <t>192</t>
        </is>
      </c>
      <c r="D980" s="1" t="inlineStr">
        <is>
          <t>129028</t>
        </is>
      </c>
      <c r="E980" s="1" t="inlineStr">
        <is>
          <t xml:space="preserve">28194770       </t>
        </is>
      </c>
      <c r="F980" s="5" t="inlineStr">
        <is>
          <t>AUTOS DE METAL 3 TEAMSTERZ EN BLISTER</t>
        </is>
      </c>
      <c r="G980" t="n">
        <v>1</v>
      </c>
      <c r="H980" s="7" t="n">
        <v>6.9</v>
      </c>
      <c r="I980" s="7" t="n">
        <v>0</v>
      </c>
      <c r="J980" s="7" t="n">
        <v>0</v>
      </c>
      <c r="K980" s="9" t="n">
        <v>0</v>
      </c>
      <c r="L980" s="10" t="n">
        <v>4.1</v>
      </c>
      <c r="M980" s="10" t="n">
        <v>1.43</v>
      </c>
      <c r="N980" t="inlineStr">
        <is>
          <t>1</t>
        </is>
      </c>
      <c r="O980" t="inlineStr">
        <is>
          <t>16</t>
        </is>
      </c>
      <c r="P980" t="inlineStr">
        <is>
          <t xml:space="preserve">74697   </t>
        </is>
      </c>
      <c r="Q980" s="26" t="n">
        <v>6.9</v>
      </c>
      <c r="R980" s="26">
        <f>Q980*G980</f>
        <v/>
      </c>
      <c r="S980" t="n">
        <v>4.09</v>
      </c>
      <c r="T980" s="18">
        <f>1 - V980/S980</f>
        <v/>
      </c>
      <c r="U980" s="18" t="n">
        <v>0</v>
      </c>
      <c r="V980" s="26" t="n">
        <v>4.09</v>
      </c>
      <c r="W980" s="26">
        <f>V980 - L980</f>
        <v/>
      </c>
    </row>
    <row r="981">
      <c r="A981" s="11" t="n">
        <v>46213</v>
      </c>
      <c r="B981" s="1" t="n">
        <v>20086</v>
      </c>
      <c r="C981" s="1" t="inlineStr">
        <is>
          <t>192</t>
        </is>
      </c>
      <c r="D981" s="1" t="inlineStr">
        <is>
          <t>129033</t>
        </is>
      </c>
      <c r="E981" s="1" t="inlineStr">
        <is>
          <t xml:space="preserve">33483127       </t>
        </is>
      </c>
      <c r="F981" s="5" t="inlineStr">
        <is>
          <t>MUNECA STEFFI LOVE DIA DE CLASES + ACC.</t>
        </is>
      </c>
      <c r="G981" t="n">
        <v>1</v>
      </c>
      <c r="H981" s="7" t="n">
        <v>79.90000000000001</v>
      </c>
      <c r="I981" s="7" t="n">
        <v>0</v>
      </c>
      <c r="J981" s="7" t="n">
        <v>0</v>
      </c>
      <c r="K981" s="9" t="n">
        <v>0</v>
      </c>
      <c r="L981" s="10" t="n">
        <v>47.4</v>
      </c>
      <c r="M981" s="10" t="n">
        <v>1.43</v>
      </c>
      <c r="N981" t="inlineStr">
        <is>
          <t>1</t>
        </is>
      </c>
      <c r="O981" t="inlineStr">
        <is>
          <t>16</t>
        </is>
      </c>
      <c r="P981" t="inlineStr">
        <is>
          <t xml:space="preserve">74697   </t>
        </is>
      </c>
      <c r="Q981" s="26" t="n">
        <v>79.90000000000001</v>
      </c>
      <c r="R981" s="26">
        <f>Q981*G981</f>
        <v/>
      </c>
      <c r="S981" t="n">
        <v>47.4</v>
      </c>
      <c r="T981" s="18">
        <f>1 - V981/S981</f>
        <v/>
      </c>
      <c r="U981" s="18" t="n">
        <v>0.4</v>
      </c>
      <c r="V981" s="26" t="n">
        <v>34.53803389830508</v>
      </c>
      <c r="W981" s="26">
        <f>V981 - L981</f>
        <v/>
      </c>
    </row>
    <row r="982">
      <c r="A982" s="11" t="n">
        <v>46213</v>
      </c>
      <c r="B982" s="1" t="n">
        <v>20088</v>
      </c>
      <c r="C982" s="1" t="inlineStr">
        <is>
          <t>021</t>
        </is>
      </c>
      <c r="D982" s="1" t="inlineStr">
        <is>
          <t xml:space="preserve">48679 </t>
        </is>
      </c>
      <c r="E982" s="1" t="inlineStr">
        <is>
          <t xml:space="preserve">32457099       </t>
        </is>
      </c>
      <c r="F982" s="5" t="inlineStr">
        <is>
          <t>TMZ BEAST MACHINES MONSTER JAWS A FRICCION BLISTER</t>
        </is>
      </c>
      <c r="G982" t="n">
        <v>1</v>
      </c>
      <c r="H982" s="7" t="n">
        <v>17.9</v>
      </c>
      <c r="I982" s="7" t="n">
        <v>0</v>
      </c>
      <c r="J982" s="7" t="n">
        <v>0</v>
      </c>
      <c r="K982" s="9" t="n">
        <v>0</v>
      </c>
      <c r="L982" s="10" t="n">
        <v>10.62</v>
      </c>
      <c r="M982" s="10" t="n">
        <v>1.43</v>
      </c>
      <c r="N982" t="inlineStr">
        <is>
          <t>1</t>
        </is>
      </c>
      <c r="O982" t="inlineStr">
        <is>
          <t xml:space="preserve">2 </t>
        </is>
      </c>
      <c r="P982" t="inlineStr">
        <is>
          <t xml:space="preserve">249601  </t>
        </is>
      </c>
      <c r="Q982" s="26" t="n">
        <v>19.9</v>
      </c>
      <c r="R982" s="26">
        <f>Q982*G982</f>
        <v/>
      </c>
      <c r="S982" t="n">
        <v>11.81</v>
      </c>
      <c r="T982" s="18">
        <f>1 - V982/S982</f>
        <v/>
      </c>
      <c r="U982" s="18" t="n">
        <v>0.1005025125628141</v>
      </c>
      <c r="V982" s="26" t="n">
        <v>8.417118644067797</v>
      </c>
      <c r="W982" s="26">
        <f>V982 - L982</f>
        <v/>
      </c>
    </row>
    <row r="983">
      <c r="A983" s="11" t="n">
        <v>46213</v>
      </c>
      <c r="B983" s="1" t="n">
        <v>20088</v>
      </c>
      <c r="C983" s="1" t="inlineStr">
        <is>
          <t>024</t>
        </is>
      </c>
      <c r="D983" s="1" t="inlineStr">
        <is>
          <t xml:space="preserve">2797  </t>
        </is>
      </c>
      <c r="E983" s="1" t="inlineStr">
        <is>
          <t xml:space="preserve">31754676       </t>
        </is>
      </c>
      <c r="F983" s="5" t="inlineStr">
        <is>
          <t>INFINITY NADO SERIE 6 STD PACK LANZ ESPAD ANILLO M</t>
        </is>
      </c>
      <c r="G983" t="n">
        <v>1</v>
      </c>
      <c r="H983" s="7" t="n">
        <v>59.9</v>
      </c>
      <c r="I983" s="7" t="n">
        <v>0</v>
      </c>
      <c r="J983" s="7" t="n">
        <v>0</v>
      </c>
      <c r="K983" s="9" t="n">
        <v>0</v>
      </c>
      <c r="L983" s="10" t="n">
        <v>35.53</v>
      </c>
      <c r="M983" s="10" t="n">
        <v>1.43</v>
      </c>
      <c r="N983" t="inlineStr">
        <is>
          <t>1</t>
        </is>
      </c>
      <c r="O983" t="inlineStr">
        <is>
          <t>16</t>
        </is>
      </c>
      <c r="P983" t="inlineStr">
        <is>
          <t xml:space="preserve">39502   </t>
        </is>
      </c>
      <c r="Q983" s="26" t="n">
        <v>79.90000000000001</v>
      </c>
      <c r="R983" s="26">
        <f>Q983*G983</f>
        <v/>
      </c>
      <c r="S983" t="n">
        <v>47.4</v>
      </c>
      <c r="T983" s="18">
        <f>1 - V983/S983</f>
        <v/>
      </c>
      <c r="U983" s="18" t="n">
        <v>0.2503128911138924</v>
      </c>
      <c r="V983" s="26" t="n">
        <v>38.07203389830509</v>
      </c>
      <c r="W983" s="26">
        <f>V983 - L983</f>
        <v/>
      </c>
    </row>
    <row r="984">
      <c r="A984" s="11" t="n">
        <v>46213</v>
      </c>
      <c r="B984" s="1" t="n">
        <v>20088</v>
      </c>
      <c r="C984" s="1" t="inlineStr">
        <is>
          <t>510</t>
        </is>
      </c>
      <c r="D984" s="1" t="inlineStr">
        <is>
          <t xml:space="preserve">3385  </t>
        </is>
      </c>
      <c r="E984" s="1" t="inlineStr">
        <is>
          <t xml:space="preserve">35685066       </t>
        </is>
      </c>
      <c r="F984" s="5" t="inlineStr">
        <is>
          <t>HOT WHEELS RACK GUARDA AUTOS 3 EN 1</t>
        </is>
      </c>
      <c r="G984" t="n">
        <v>1</v>
      </c>
      <c r="H984" s="7" t="n">
        <v>79.90000000000001</v>
      </c>
      <c r="I984" s="7" t="n">
        <v>0</v>
      </c>
      <c r="J984" s="7" t="n">
        <v>0</v>
      </c>
      <c r="K984" s="9" t="n">
        <v>0</v>
      </c>
      <c r="L984" s="10" t="n">
        <v>47.4</v>
      </c>
      <c r="M984" s="10" t="n">
        <v>1.43</v>
      </c>
      <c r="N984" t="inlineStr">
        <is>
          <t>1</t>
        </is>
      </c>
      <c r="O984" t="inlineStr">
        <is>
          <t>16</t>
        </is>
      </c>
      <c r="P984" t="inlineStr">
        <is>
          <t xml:space="preserve">248083  </t>
        </is>
      </c>
      <c r="Q984" s="26" t="n">
        <v>79.90000000000001</v>
      </c>
      <c r="R984" s="26">
        <f>Q984*G984</f>
        <v/>
      </c>
      <c r="S984" t="n">
        <v>47.4</v>
      </c>
      <c r="T984" s="18">
        <f>1 - V984/S984</f>
        <v/>
      </c>
      <c r="U984" s="18" t="n">
        <v>0</v>
      </c>
      <c r="V984" s="26" t="n">
        <v>47.4</v>
      </c>
      <c r="W984" s="26">
        <f>V984 - L984</f>
        <v/>
      </c>
    </row>
    <row r="985">
      <c r="A985" s="11" t="n">
        <v>46213</v>
      </c>
      <c r="B985" s="1" t="n">
        <v>20089</v>
      </c>
      <c r="C985" s="1" t="inlineStr">
        <is>
          <t>025</t>
        </is>
      </c>
      <c r="D985" s="1" t="inlineStr">
        <is>
          <t>121511</t>
        </is>
      </c>
      <c r="E985" s="1" t="inlineStr">
        <is>
          <t xml:space="preserve">30141766       </t>
        </is>
      </c>
      <c r="F985" s="5" t="inlineStr">
        <is>
          <t>TMZ BEAST MACHINES AUTOS DE METAL BLISTER X 1</t>
        </is>
      </c>
      <c r="G985" t="n">
        <v>1</v>
      </c>
      <c r="H985" s="7" t="n">
        <v>7.9</v>
      </c>
      <c r="I985" s="7" t="n">
        <v>0</v>
      </c>
      <c r="J985" s="7" t="n">
        <v>0</v>
      </c>
      <c r="K985" s="9" t="n">
        <v>0</v>
      </c>
      <c r="L985" s="10" t="n">
        <v>4.68</v>
      </c>
      <c r="M985" s="10" t="n">
        <v>1.43</v>
      </c>
      <c r="N985" t="inlineStr">
        <is>
          <t>1</t>
        </is>
      </c>
      <c r="O985" t="inlineStr">
        <is>
          <t>16</t>
        </is>
      </c>
      <c r="P985" t="inlineStr">
        <is>
          <t xml:space="preserve">69718   </t>
        </is>
      </c>
      <c r="Q985" s="26" t="n">
        <v>7.9</v>
      </c>
      <c r="R985" s="26">
        <f>Q985*G985</f>
        <v/>
      </c>
      <c r="S985" t="n">
        <v>4.69</v>
      </c>
      <c r="T985" s="18">
        <f>1 - V985/S985</f>
        <v/>
      </c>
      <c r="U985" s="18" t="n">
        <v>0</v>
      </c>
      <c r="V985" s="26" t="n">
        <v>4.69</v>
      </c>
      <c r="W985" s="26">
        <f>V985 - L985</f>
        <v/>
      </c>
    </row>
    <row r="986">
      <c r="A986" s="11" t="n">
        <v>46213</v>
      </c>
      <c r="B986" s="1" t="n">
        <v>20089</v>
      </c>
      <c r="C986" s="1" t="inlineStr">
        <is>
          <t>860</t>
        </is>
      </c>
      <c r="D986" s="1" t="inlineStr">
        <is>
          <t xml:space="preserve">9461  </t>
        </is>
      </c>
      <c r="E986" s="1" t="inlineStr">
        <is>
          <t xml:space="preserve">28194770       </t>
        </is>
      </c>
      <c r="F986" s="5" t="inlineStr">
        <is>
          <t>AUTOS DE METAL 3 TEAMSTERZ EN BLISTER</t>
        </is>
      </c>
      <c r="G986" t="n">
        <v>1</v>
      </c>
      <c r="H986" s="7" t="n">
        <v>6.9</v>
      </c>
      <c r="I986" s="7" t="n">
        <v>0</v>
      </c>
      <c r="J986" s="7" t="n">
        <v>0</v>
      </c>
      <c r="K986" s="9" t="n">
        <v>0</v>
      </c>
      <c r="L986" s="10" t="n">
        <v>4.1</v>
      </c>
      <c r="M986" s="10" t="n">
        <v>1.43</v>
      </c>
      <c r="N986" t="inlineStr">
        <is>
          <t>1</t>
        </is>
      </c>
      <c r="O986" t="inlineStr">
        <is>
          <t>16</t>
        </is>
      </c>
      <c r="P986" t="inlineStr">
        <is>
          <t xml:space="preserve">0       </t>
        </is>
      </c>
      <c r="Q986" s="26" t="n">
        <v>6.9</v>
      </c>
      <c r="R986" s="26">
        <f>Q986*G986</f>
        <v/>
      </c>
      <c r="S986" t="n">
        <v>4.09</v>
      </c>
      <c r="T986" s="18">
        <f>1 - V986/S986</f>
        <v/>
      </c>
      <c r="U986" s="18" t="n">
        <v>0</v>
      </c>
      <c r="V986" s="26" t="n">
        <v>4.09</v>
      </c>
      <c r="W986" s="26">
        <f>V986 - L986</f>
        <v/>
      </c>
    </row>
    <row r="987">
      <c r="A987" s="11" t="n">
        <v>46213</v>
      </c>
      <c r="B987" s="1" t="n">
        <v>20095</v>
      </c>
      <c r="C987" s="1" t="inlineStr">
        <is>
          <t>028</t>
        </is>
      </c>
      <c r="D987" s="1" t="inlineStr">
        <is>
          <t xml:space="preserve">40120 </t>
        </is>
      </c>
      <c r="E987" s="1" t="inlineStr">
        <is>
          <t xml:space="preserve">29235702       </t>
        </is>
      </c>
      <c r="F987" s="5" t="inlineStr">
        <is>
          <t>INFINITY NADO TROMPO DE BATALLA - METAL C/ ANILLO</t>
        </is>
      </c>
      <c r="G987" t="n">
        <v>1</v>
      </c>
      <c r="H987" s="7" t="n">
        <v>69.90000000000001</v>
      </c>
      <c r="I987" s="7" t="n">
        <v>0</v>
      </c>
      <c r="J987" s="7" t="n">
        <v>0</v>
      </c>
      <c r="K987" s="9" t="n">
        <v>0</v>
      </c>
      <c r="L987" s="10" t="n">
        <v>41.47</v>
      </c>
      <c r="M987" s="10" t="n">
        <v>1.43</v>
      </c>
      <c r="N987" t="inlineStr">
        <is>
          <t>1</t>
        </is>
      </c>
      <c r="O987" t="inlineStr">
        <is>
          <t xml:space="preserve">2 </t>
        </is>
      </c>
      <c r="P987" t="inlineStr">
        <is>
          <t xml:space="preserve">250453  </t>
        </is>
      </c>
      <c r="Q987" s="26" t="n">
        <v>69.90000000000001</v>
      </c>
      <c r="R987" s="26">
        <f>Q987*G987</f>
        <v/>
      </c>
      <c r="S987" t="n">
        <v>41.47</v>
      </c>
      <c r="T987" s="18">
        <f>1 - V987/S987</f>
        <v/>
      </c>
      <c r="U987" s="18" t="n">
        <v>0.2861230329041489</v>
      </c>
      <c r="V987" s="26" t="n">
        <v>31.71610169491525</v>
      </c>
      <c r="W987" s="26">
        <f>V987 - L987</f>
        <v/>
      </c>
    </row>
    <row r="988">
      <c r="A988" s="11" t="n">
        <v>46213</v>
      </c>
      <c r="B988" s="1" t="n">
        <v>20095</v>
      </c>
      <c r="C988" s="1" t="inlineStr">
        <is>
          <t>043</t>
        </is>
      </c>
      <c r="D988" s="1" t="inlineStr">
        <is>
          <t>107601</t>
        </is>
      </c>
      <c r="E988" s="1" t="inlineStr">
        <is>
          <t xml:space="preserve">28194768       </t>
        </is>
      </c>
      <c r="F988" s="5" t="inlineStr">
        <is>
          <t>AUTO COLOR CHANGE TEAMSTERZ SURTIDO</t>
        </is>
      </c>
      <c r="G988" t="n">
        <v>1</v>
      </c>
      <c r="H988" s="7" t="n">
        <v>14.9</v>
      </c>
      <c r="I988" s="7" t="n">
        <v>0</v>
      </c>
      <c r="J988" s="7" t="n">
        <v>0</v>
      </c>
      <c r="K988" s="9" t="n">
        <v>0</v>
      </c>
      <c r="L988" s="10" t="n">
        <v>8.84</v>
      </c>
      <c r="M988" s="10" t="n">
        <v>1.43</v>
      </c>
      <c r="N988" t="inlineStr">
        <is>
          <t>1</t>
        </is>
      </c>
      <c r="O988" t="inlineStr">
        <is>
          <t>16</t>
        </is>
      </c>
      <c r="P988" t="inlineStr">
        <is>
          <t xml:space="preserve">57866   </t>
        </is>
      </c>
      <c r="Q988" s="26" t="n">
        <v>14.9</v>
      </c>
      <c r="R988" s="26">
        <f>Q988*G988</f>
        <v/>
      </c>
      <c r="S988" t="n">
        <v>8.84</v>
      </c>
      <c r="T988" s="18">
        <f>1 - V988/S988</f>
        <v/>
      </c>
      <c r="U988" s="18" t="n">
        <v>0</v>
      </c>
      <c r="V988" s="26" t="n">
        <v>8.84</v>
      </c>
      <c r="W988" s="26">
        <f>V988 - L988</f>
        <v/>
      </c>
    </row>
    <row r="989">
      <c r="A989" s="11" t="n">
        <v>46214</v>
      </c>
      <c r="B989" s="1" t="n">
        <v>20021</v>
      </c>
      <c r="C989" s="1" t="inlineStr">
        <is>
          <t>078</t>
        </is>
      </c>
      <c r="D989" s="1" t="inlineStr">
        <is>
          <t>100670</t>
        </is>
      </c>
      <c r="E989" s="1" t="inlineStr">
        <is>
          <t xml:space="preserve">32656523       </t>
        </is>
      </c>
      <c r="F989" s="5" t="inlineStr">
        <is>
          <t>TMZ BEAST MACHINES TRANSPORT. T-REX ELECTR. + ACCE</t>
        </is>
      </c>
      <c r="G989" t="n">
        <v>1</v>
      </c>
      <c r="H989" s="7" t="n">
        <v>179</v>
      </c>
      <c r="I989" s="7" t="n">
        <v>0</v>
      </c>
      <c r="J989" s="7" t="n">
        <v>0</v>
      </c>
      <c r="K989" s="9" t="n">
        <v>0</v>
      </c>
      <c r="L989" s="10" t="n">
        <v>106.18</v>
      </c>
      <c r="M989" s="10" t="n">
        <v>1.43</v>
      </c>
      <c r="N989" t="inlineStr">
        <is>
          <t>1</t>
        </is>
      </c>
      <c r="O989" t="inlineStr">
        <is>
          <t>16</t>
        </is>
      </c>
      <c r="P989" t="inlineStr">
        <is>
          <t xml:space="preserve">22728   </t>
        </is>
      </c>
      <c r="Q989" s="26" t="n">
        <v>179</v>
      </c>
      <c r="R989" s="26">
        <f>Q989*G989</f>
        <v/>
      </c>
      <c r="S989" t="n">
        <v>106.19</v>
      </c>
      <c r="T989" s="18">
        <f>1 - V989/S989</f>
        <v/>
      </c>
      <c r="U989" s="18" t="n">
        <v>0</v>
      </c>
      <c r="V989" s="26" t="n">
        <v>106.19</v>
      </c>
      <c r="W989" s="26">
        <f>V989 - L989</f>
        <v/>
      </c>
    </row>
    <row r="990">
      <c r="A990" s="11" t="n">
        <v>46214</v>
      </c>
      <c r="B990" s="1" t="n">
        <v>20021</v>
      </c>
      <c r="C990" s="1" t="inlineStr">
        <is>
          <t>078</t>
        </is>
      </c>
      <c r="D990" s="1" t="inlineStr">
        <is>
          <t>100675</t>
        </is>
      </c>
      <c r="E990" s="1" t="inlineStr">
        <is>
          <t xml:space="preserve">30141766       </t>
        </is>
      </c>
      <c r="F990" s="5" t="inlineStr">
        <is>
          <t>TMZ BEAST MACHINES AUTOS DE METAL BLISTER X 1</t>
        </is>
      </c>
      <c r="G990" t="n">
        <v>1</v>
      </c>
      <c r="H990" s="7" t="n">
        <v>7.9</v>
      </c>
      <c r="I990" s="7" t="n">
        <v>0</v>
      </c>
      <c r="J990" s="7" t="n">
        <v>0</v>
      </c>
      <c r="K990" s="9" t="n">
        <v>0</v>
      </c>
      <c r="L990" s="10" t="n">
        <v>4.68</v>
      </c>
      <c r="M990" s="10" t="n">
        <v>1.43</v>
      </c>
      <c r="N990" t="inlineStr">
        <is>
          <t>1</t>
        </is>
      </c>
      <c r="O990" t="inlineStr">
        <is>
          <t>16</t>
        </is>
      </c>
      <c r="P990" t="inlineStr">
        <is>
          <t xml:space="preserve">22728   </t>
        </is>
      </c>
      <c r="Q990" s="26" t="n">
        <v>7.9</v>
      </c>
      <c r="R990" s="26">
        <f>Q990*G990</f>
        <v/>
      </c>
      <c r="S990" t="n">
        <v>4.69</v>
      </c>
      <c r="T990" s="18">
        <f>1 - V990/S990</f>
        <v/>
      </c>
      <c r="U990" s="18" t="n">
        <v>0</v>
      </c>
      <c r="V990" s="26" t="n">
        <v>4.69</v>
      </c>
      <c r="W990" s="26">
        <f>V990 - L990</f>
        <v/>
      </c>
    </row>
    <row r="991">
      <c r="A991" s="11" t="n">
        <v>46214</v>
      </c>
      <c r="B991" s="1" t="n">
        <v>20023</v>
      </c>
      <c r="C991" s="1" t="inlineStr">
        <is>
          <t>128</t>
        </is>
      </c>
      <c r="D991" s="1" t="inlineStr">
        <is>
          <t>223389</t>
        </is>
      </c>
      <c r="E991" s="1" t="inlineStr">
        <is>
          <t xml:space="preserve">29235701       </t>
        </is>
      </c>
      <c r="F991" s="5" t="inlineStr">
        <is>
          <t>INFINITY NADO TROMPO DE BATALLA - METAL EN CAJA</t>
        </is>
      </c>
      <c r="G991" t="n">
        <v>1</v>
      </c>
      <c r="H991" s="7" t="n">
        <v>39.9</v>
      </c>
      <c r="I991" s="7" t="n">
        <v>0</v>
      </c>
      <c r="J991" s="7" t="n">
        <v>0</v>
      </c>
      <c r="K991" s="9" t="n">
        <v>0</v>
      </c>
      <c r="L991" s="10" t="n">
        <v>23.67</v>
      </c>
      <c r="M991" s="10" t="n">
        <v>1.43</v>
      </c>
      <c r="N991" t="inlineStr">
        <is>
          <t>1</t>
        </is>
      </c>
      <c r="O991" t="inlineStr">
        <is>
          <t xml:space="preserve">6 </t>
        </is>
      </c>
      <c r="P991" t="inlineStr">
        <is>
          <t xml:space="preserve">243703  </t>
        </is>
      </c>
      <c r="Q991" s="26" t="n">
        <v>39.9</v>
      </c>
      <c r="R991" s="26">
        <f>Q991*G991</f>
        <v/>
      </c>
      <c r="S991" t="n">
        <v>23.67</v>
      </c>
      <c r="T991" s="18">
        <f>1 - V991/S991</f>
        <v/>
      </c>
      <c r="U991" s="18" t="n">
        <v>0.2506265664160401</v>
      </c>
      <c r="V991" s="26" t="n">
        <v>19.00423728813559</v>
      </c>
      <c r="W991" s="26">
        <f>V991 - L991</f>
        <v/>
      </c>
    </row>
    <row r="992">
      <c r="A992" s="11" t="n">
        <v>46214</v>
      </c>
      <c r="B992" s="1" t="n">
        <v>20024</v>
      </c>
      <c r="C992" s="1" t="inlineStr">
        <is>
          <t>015</t>
        </is>
      </c>
      <c r="D992" s="1" t="inlineStr">
        <is>
          <t xml:space="preserve">18390 </t>
        </is>
      </c>
      <c r="E992" s="1" t="inlineStr">
        <is>
          <t xml:space="preserve">28194768       </t>
        </is>
      </c>
      <c r="F992" s="5" t="inlineStr">
        <is>
          <t>AUTO COLOR CHANGE TEAMSTERZ SURTIDO</t>
        </is>
      </c>
      <c r="G992" t="n">
        <v>1</v>
      </c>
      <c r="H992" s="7" t="n">
        <v>14.9</v>
      </c>
      <c r="I992" s="7" t="n">
        <v>0</v>
      </c>
      <c r="J992" s="7" t="n">
        <v>0</v>
      </c>
      <c r="K992" s="9" t="n">
        <v>0</v>
      </c>
      <c r="L992" s="10" t="n">
        <v>8.84</v>
      </c>
      <c r="M992" s="10" t="n">
        <v>1.43</v>
      </c>
      <c r="N992" t="inlineStr">
        <is>
          <t>1</t>
        </is>
      </c>
      <c r="O992" t="inlineStr">
        <is>
          <t>16</t>
        </is>
      </c>
      <c r="P992" t="inlineStr">
        <is>
          <t xml:space="preserve">21982   </t>
        </is>
      </c>
      <c r="Q992" s="26" t="n">
        <v>14.9</v>
      </c>
      <c r="R992" s="26">
        <f>Q992*G992</f>
        <v/>
      </c>
      <c r="S992" t="n">
        <v>8.84</v>
      </c>
      <c r="T992" s="18">
        <f>1 - V992/S992</f>
        <v/>
      </c>
      <c r="U992" s="18" t="n">
        <v>0</v>
      </c>
      <c r="V992" s="26" t="n">
        <v>8.84</v>
      </c>
      <c r="W992" s="26">
        <f>V992 - L992</f>
        <v/>
      </c>
    </row>
    <row r="993">
      <c r="A993" s="11" t="n">
        <v>46214</v>
      </c>
      <c r="B993" s="1" t="n">
        <v>20024</v>
      </c>
      <c r="C993" s="1" t="inlineStr">
        <is>
          <t>060</t>
        </is>
      </c>
      <c r="D993" s="1" t="inlineStr">
        <is>
          <t xml:space="preserve">2964  </t>
        </is>
      </c>
      <c r="E993" s="1" t="inlineStr">
        <is>
          <t xml:space="preserve">30141768       </t>
        </is>
      </c>
      <c r="F993" s="5" t="inlineStr">
        <is>
          <t>TMZ BEAST MACHINES AUTOS DE METAL PACK 10 AUTOS</t>
        </is>
      </c>
      <c r="G993" t="n">
        <v>1</v>
      </c>
      <c r="H993" s="7" t="n">
        <v>79</v>
      </c>
      <c r="I993" s="7" t="n">
        <v>7.9</v>
      </c>
      <c r="J993" s="7" t="n">
        <v>0</v>
      </c>
      <c r="K993" s="9" t="n">
        <v>7.9</v>
      </c>
      <c r="L993" s="10" t="n">
        <v>42.18</v>
      </c>
      <c r="M993" s="10" t="n">
        <v>1.43</v>
      </c>
      <c r="N993" t="inlineStr">
        <is>
          <t>1</t>
        </is>
      </c>
      <c r="O993" t="inlineStr">
        <is>
          <t xml:space="preserve">3 </t>
        </is>
      </c>
      <c r="P993" t="inlineStr">
        <is>
          <t xml:space="preserve">38672   </t>
        </is>
      </c>
      <c r="Q993" s="26" t="n">
        <v>79</v>
      </c>
      <c r="R993" s="26">
        <f>Q993*G993</f>
        <v/>
      </c>
      <c r="S993" t="n">
        <v>46.86</v>
      </c>
      <c r="T993" s="18">
        <f>1 - V993/S993</f>
        <v/>
      </c>
      <c r="U993" s="18" t="n">
        <v>0.1265822784810127</v>
      </c>
      <c r="V993" s="26" t="n">
        <v>43.85593220338983</v>
      </c>
      <c r="W993" s="26">
        <f>V993 - L993</f>
        <v/>
      </c>
    </row>
    <row r="994">
      <c r="A994" s="11" t="n">
        <v>46214</v>
      </c>
      <c r="B994" s="1" t="n">
        <v>20024</v>
      </c>
      <c r="C994" s="1" t="inlineStr">
        <is>
          <t>806</t>
        </is>
      </c>
      <c r="D994" s="1" t="inlineStr">
        <is>
          <t xml:space="preserve">8663  </t>
        </is>
      </c>
      <c r="E994" s="1" t="inlineStr">
        <is>
          <t xml:space="preserve">29235706       </t>
        </is>
      </c>
      <c r="F994" s="5" t="inlineStr">
        <is>
          <t>TEAMSTERZ CAMION PARA GUARDAR 12 AUTOS INCL 4 AUTO</t>
        </is>
      </c>
      <c r="G994" t="n">
        <v>1</v>
      </c>
      <c r="H994" s="7" t="n">
        <v>59.9</v>
      </c>
      <c r="I994" s="7" t="n">
        <v>0</v>
      </c>
      <c r="J994" s="7" t="n">
        <v>0</v>
      </c>
      <c r="K994" s="9" t="n">
        <v>0</v>
      </c>
      <c r="L994" s="10" t="n">
        <v>35.53</v>
      </c>
      <c r="M994" s="10" t="n">
        <v>1.43</v>
      </c>
      <c r="N994" t="inlineStr">
        <is>
          <t>1</t>
        </is>
      </c>
      <c r="O994" t="inlineStr">
        <is>
          <t>16</t>
        </is>
      </c>
      <c r="P994" t="inlineStr">
        <is>
          <t xml:space="preserve">0       </t>
        </is>
      </c>
      <c r="Q994" s="26" t="n">
        <v>59.90000000000001</v>
      </c>
      <c r="R994" s="26">
        <f>Q994*G994</f>
        <v/>
      </c>
      <c r="S994" t="n">
        <v>35.53</v>
      </c>
      <c r="T994" s="18">
        <f>1 - V994/S994</f>
        <v/>
      </c>
      <c r="U994" s="18" t="n">
        <v>0</v>
      </c>
      <c r="V994" s="26" t="n">
        <v>35.53</v>
      </c>
      <c r="W994" s="26">
        <f>V994 - L994</f>
        <v/>
      </c>
    </row>
    <row r="995">
      <c r="A995" s="11" t="n">
        <v>46214</v>
      </c>
      <c r="B995" s="1" t="n">
        <v>20025</v>
      </c>
      <c r="C995" s="1" t="inlineStr">
        <is>
          <t>073</t>
        </is>
      </c>
      <c r="D995" s="1" t="inlineStr">
        <is>
          <t xml:space="preserve">23391 </t>
        </is>
      </c>
      <c r="E995" s="1" t="inlineStr">
        <is>
          <t xml:space="preserve">34840553       </t>
        </is>
      </c>
      <c r="F995" s="5" t="inlineStr">
        <is>
          <t>TMZ AUTO LUZ Y SONIDO ESQUELET DINO T-REX</t>
        </is>
      </c>
      <c r="G995" t="n">
        <v>1</v>
      </c>
      <c r="H995" s="7" t="n">
        <v>79.90000000000001</v>
      </c>
      <c r="I995" s="7" t="n">
        <v>0</v>
      </c>
      <c r="J995" s="7" t="n">
        <v>0</v>
      </c>
      <c r="K995" s="9" t="n">
        <v>0</v>
      </c>
      <c r="L995" s="10" t="n">
        <v>47.4</v>
      </c>
      <c r="M995" s="10" t="n">
        <v>1.43</v>
      </c>
      <c r="N995" t="inlineStr">
        <is>
          <t>1</t>
        </is>
      </c>
      <c r="O995" t="inlineStr">
        <is>
          <t>16</t>
        </is>
      </c>
      <c r="P995" t="inlineStr">
        <is>
          <t xml:space="preserve">57293   </t>
        </is>
      </c>
      <c r="Q995" s="26" t="n">
        <v>79.90000000000002</v>
      </c>
      <c r="R995" s="26">
        <f>Q995*G995</f>
        <v/>
      </c>
      <c r="S995" t="n">
        <v>47.4</v>
      </c>
      <c r="T995" s="18">
        <f>1 - V995/S995</f>
        <v/>
      </c>
      <c r="U995" s="18" t="n">
        <v>0</v>
      </c>
      <c r="V995" s="26" t="n">
        <v>47.4</v>
      </c>
      <c r="W995" s="26">
        <f>V995 - L995</f>
        <v/>
      </c>
    </row>
    <row r="996">
      <c r="A996" s="11" t="n">
        <v>46214</v>
      </c>
      <c r="B996" s="1" t="n">
        <v>20025</v>
      </c>
      <c r="C996" s="1" t="inlineStr">
        <is>
          <t>076</t>
        </is>
      </c>
      <c r="D996" s="1" t="inlineStr">
        <is>
          <t>147353</t>
        </is>
      </c>
      <c r="E996" s="1" t="inlineStr">
        <is>
          <t xml:space="preserve">31959958       </t>
        </is>
      </c>
      <c r="F996" s="5" t="inlineStr">
        <is>
          <t>TMZ BEAST MACHINE AUTOS DE METAL PACK 3 AUTOS</t>
        </is>
      </c>
      <c r="G996" t="n">
        <v>1</v>
      </c>
      <c r="H996" s="7" t="n">
        <v>23.7</v>
      </c>
      <c r="I996" s="7" t="n">
        <v>2.37</v>
      </c>
      <c r="J996" s="7" t="n">
        <v>0</v>
      </c>
      <c r="K996" s="9" t="n">
        <v>2.37</v>
      </c>
      <c r="L996" s="10" t="n">
        <v>12.66</v>
      </c>
      <c r="M996" s="10" t="n">
        <v>1.43</v>
      </c>
      <c r="N996" t="inlineStr">
        <is>
          <t>1</t>
        </is>
      </c>
      <c r="O996" t="inlineStr">
        <is>
          <t xml:space="preserve">3 </t>
        </is>
      </c>
      <c r="P996" t="inlineStr">
        <is>
          <t xml:space="preserve">70760   </t>
        </is>
      </c>
      <c r="Q996" s="26" t="n">
        <v>23.7</v>
      </c>
      <c r="R996" s="26">
        <f>Q996*G996</f>
        <v/>
      </c>
      <c r="S996" t="n">
        <v>14.06</v>
      </c>
      <c r="T996" s="18">
        <f>1 - V996/S996</f>
        <v/>
      </c>
      <c r="U996" s="18" t="n">
        <v>0</v>
      </c>
      <c r="V996" s="26" t="n">
        <v>14.06</v>
      </c>
      <c r="W996" s="26">
        <f>V996 - L996</f>
        <v/>
      </c>
    </row>
    <row r="997">
      <c r="A997" s="11" t="n">
        <v>46214</v>
      </c>
      <c r="B997" s="1" t="n">
        <v>20025</v>
      </c>
      <c r="C997" s="1" t="inlineStr">
        <is>
          <t>114</t>
        </is>
      </c>
      <c r="D997" s="1" t="inlineStr">
        <is>
          <t>118451</t>
        </is>
      </c>
      <c r="E997" s="1" t="inlineStr">
        <is>
          <t xml:space="preserve">33483121       </t>
        </is>
      </c>
      <c r="F997" s="5" t="inlineStr">
        <is>
          <t>HOT WHEELS ESTUCHE PARA 15 AUTOS SURTIDO</t>
        </is>
      </c>
      <c r="G997" t="n">
        <v>1</v>
      </c>
      <c r="H997" s="7" t="n">
        <v>34.9</v>
      </c>
      <c r="I997" s="7" t="n">
        <v>0</v>
      </c>
      <c r="J997" s="7" t="n">
        <v>0</v>
      </c>
      <c r="K997" s="9" t="n">
        <v>0</v>
      </c>
      <c r="L997" s="10" t="n">
        <v>20.71</v>
      </c>
      <c r="M997" s="10" t="n">
        <v>1.43</v>
      </c>
      <c r="N997" t="inlineStr">
        <is>
          <t>1</t>
        </is>
      </c>
      <c r="O997" t="inlineStr">
        <is>
          <t>16</t>
        </is>
      </c>
      <c r="P997" t="inlineStr">
        <is>
          <t xml:space="preserve">23486   </t>
        </is>
      </c>
      <c r="Q997" s="26" t="n">
        <v>34.9</v>
      </c>
      <c r="R997" s="26">
        <f>Q997*G997</f>
        <v/>
      </c>
      <c r="S997" t="n">
        <v>20.7</v>
      </c>
      <c r="T997" s="18">
        <f>1 - V997/S997</f>
        <v/>
      </c>
      <c r="U997" s="18" t="n">
        <v>0</v>
      </c>
      <c r="V997" s="26" t="n">
        <v>20.7</v>
      </c>
      <c r="W997" s="26">
        <f>V997 - L997</f>
        <v/>
      </c>
    </row>
    <row r="998">
      <c r="A998" s="11" t="n">
        <v>46214</v>
      </c>
      <c r="B998" s="1" t="n">
        <v>20027</v>
      </c>
      <c r="C998" s="1" t="inlineStr">
        <is>
          <t>064</t>
        </is>
      </c>
      <c r="D998" s="1" t="inlineStr">
        <is>
          <t xml:space="preserve">31807 </t>
        </is>
      </c>
      <c r="E998" s="1" t="inlineStr">
        <is>
          <t xml:space="preserve">28194770       </t>
        </is>
      </c>
      <c r="F998" s="5" t="inlineStr">
        <is>
          <t>AUTOS DE METAL 3 TEAMSTERZ EN BLISTER</t>
        </is>
      </c>
      <c r="G998" t="n">
        <v>1</v>
      </c>
      <c r="H998" s="7" t="n">
        <v>6.9</v>
      </c>
      <c r="I998" s="7" t="n">
        <v>0</v>
      </c>
      <c r="J998" s="7" t="n">
        <v>0</v>
      </c>
      <c r="K998" s="9" t="n">
        <v>0</v>
      </c>
      <c r="L998" s="10" t="n">
        <v>4.1</v>
      </c>
      <c r="M998" s="10" t="n">
        <v>1.43</v>
      </c>
      <c r="N998" t="inlineStr">
        <is>
          <t>1</t>
        </is>
      </c>
      <c r="O998" t="inlineStr">
        <is>
          <t>16</t>
        </is>
      </c>
      <c r="P998" t="inlineStr">
        <is>
          <t xml:space="preserve">38978   </t>
        </is>
      </c>
      <c r="Q998" s="26" t="n">
        <v>6.9</v>
      </c>
      <c r="R998" s="26">
        <f>Q998*G998</f>
        <v/>
      </c>
      <c r="S998" t="n">
        <v>4.09</v>
      </c>
      <c r="T998" s="18">
        <f>1 - V998/S998</f>
        <v/>
      </c>
      <c r="U998" s="18" t="n">
        <v>0</v>
      </c>
      <c r="V998" s="26" t="n">
        <v>4.09</v>
      </c>
      <c r="W998" s="26">
        <f>V998 - L998</f>
        <v/>
      </c>
    </row>
    <row r="999">
      <c r="A999" s="11" t="n">
        <v>46214</v>
      </c>
      <c r="B999" s="1" t="n">
        <v>20028</v>
      </c>
      <c r="C999" s="1" t="inlineStr">
        <is>
          <t>011</t>
        </is>
      </c>
      <c r="D999" s="1" t="inlineStr">
        <is>
          <t xml:space="preserve">33573 </t>
        </is>
      </c>
      <c r="E999" s="1" t="inlineStr">
        <is>
          <t xml:space="preserve">31675354       </t>
        </is>
      </c>
      <c r="F999" s="5" t="inlineStr">
        <is>
          <t>NENUCO LLORON CON ACCESORIOS</t>
        </is>
      </c>
      <c r="G999" t="n">
        <v>1</v>
      </c>
      <c r="H999" s="7" t="n">
        <v>89.90000000000001</v>
      </c>
      <c r="I999" s="7" t="n">
        <v>0</v>
      </c>
      <c r="J999" s="7" t="n">
        <v>0</v>
      </c>
      <c r="K999" s="9" t="n">
        <v>0</v>
      </c>
      <c r="L999" s="10" t="n">
        <v>53.33</v>
      </c>
      <c r="M999" s="10" t="n">
        <v>1.43</v>
      </c>
      <c r="N999" t="inlineStr">
        <is>
          <t>1</t>
        </is>
      </c>
      <c r="O999" t="inlineStr">
        <is>
          <t>16</t>
        </is>
      </c>
      <c r="P999" t="inlineStr">
        <is>
          <t xml:space="preserve">33914   </t>
        </is>
      </c>
      <c r="Q999" s="26" t="n">
        <v>89.90000000000001</v>
      </c>
      <c r="R999" s="26">
        <f>Q999*G999</f>
        <v/>
      </c>
      <c r="S999" t="n">
        <v>53.33</v>
      </c>
      <c r="T999" s="18">
        <f>1 - V999/S999</f>
        <v/>
      </c>
      <c r="U999" s="18" t="n">
        <v>0.2224694104560623</v>
      </c>
      <c r="V999" s="26" t="n">
        <v>44.42796610169492</v>
      </c>
      <c r="W999" s="26">
        <f>V999 - L999</f>
        <v/>
      </c>
    </row>
    <row r="1000">
      <c r="A1000" s="11" t="n">
        <v>46214</v>
      </c>
      <c r="B1000" s="1" t="n">
        <v>20028</v>
      </c>
      <c r="C1000" s="1" t="inlineStr">
        <is>
          <t>021</t>
        </is>
      </c>
      <c r="D1000" s="1" t="inlineStr">
        <is>
          <t>185884</t>
        </is>
      </c>
      <c r="E1000" s="1" t="inlineStr">
        <is>
          <t xml:space="preserve">28194770       </t>
        </is>
      </c>
      <c r="F1000" s="5" t="inlineStr">
        <is>
          <t>AUTOS DE METAL 3 TEAMSTERZ EN BLISTER</t>
        </is>
      </c>
      <c r="G1000" t="n">
        <v>1</v>
      </c>
      <c r="H1000" s="7" t="n">
        <v>6.9</v>
      </c>
      <c r="I1000" s="7" t="n">
        <v>0</v>
      </c>
      <c r="J1000" s="7" t="n">
        <v>0</v>
      </c>
      <c r="K1000" s="9" t="n">
        <v>0</v>
      </c>
      <c r="L1000" s="10" t="n">
        <v>4.1</v>
      </c>
      <c r="M1000" s="10" t="n">
        <v>1.43</v>
      </c>
      <c r="N1000" t="inlineStr">
        <is>
          <t>1</t>
        </is>
      </c>
      <c r="O1000" t="inlineStr">
        <is>
          <t>16</t>
        </is>
      </c>
      <c r="P1000" t="inlineStr">
        <is>
          <t xml:space="preserve">23715   </t>
        </is>
      </c>
      <c r="Q1000" s="26" t="n">
        <v>6.9</v>
      </c>
      <c r="R1000" s="26">
        <f>Q1000*G1000</f>
        <v/>
      </c>
      <c r="S1000" t="n">
        <v>4.09</v>
      </c>
      <c r="T1000" s="18">
        <f>1 - V1000/S1000</f>
        <v/>
      </c>
      <c r="U1000" s="18" t="n">
        <v>0</v>
      </c>
      <c r="V1000" s="26" t="n">
        <v>4.09</v>
      </c>
      <c r="W1000" s="26">
        <f>V1000 - L1000</f>
        <v/>
      </c>
    </row>
    <row r="1001">
      <c r="A1001" s="11" t="n">
        <v>46214</v>
      </c>
      <c r="B1001" s="1" t="n">
        <v>20028</v>
      </c>
      <c r="C1001" s="1" t="inlineStr">
        <is>
          <t>021</t>
        </is>
      </c>
      <c r="D1001" s="1" t="inlineStr">
        <is>
          <t>185884</t>
        </is>
      </c>
      <c r="E1001" s="1" t="inlineStr">
        <is>
          <t xml:space="preserve">30141766       </t>
        </is>
      </c>
      <c r="F1001" s="5" t="inlineStr">
        <is>
          <t>TMZ BEAST MACHINES AUTOS DE METAL BLISTER X 1</t>
        </is>
      </c>
      <c r="G1001" t="n">
        <v>1</v>
      </c>
      <c r="H1001" s="7" t="n">
        <v>7.9</v>
      </c>
      <c r="I1001" s="7" t="n">
        <v>0</v>
      </c>
      <c r="J1001" s="7" t="n">
        <v>0</v>
      </c>
      <c r="K1001" s="9" t="n">
        <v>0</v>
      </c>
      <c r="L1001" s="10" t="n">
        <v>4.68</v>
      </c>
      <c r="M1001" s="10" t="n">
        <v>1.43</v>
      </c>
      <c r="N1001" t="inlineStr">
        <is>
          <t>1</t>
        </is>
      </c>
      <c r="O1001" t="inlineStr">
        <is>
          <t>16</t>
        </is>
      </c>
      <c r="P1001" t="inlineStr">
        <is>
          <t xml:space="preserve">23715   </t>
        </is>
      </c>
      <c r="Q1001" s="26" t="n">
        <v>7.9</v>
      </c>
      <c r="R1001" s="26">
        <f>Q1001*G1001</f>
        <v/>
      </c>
      <c r="S1001" t="n">
        <v>4.69</v>
      </c>
      <c r="T1001" s="18">
        <f>1 - V1001/S1001</f>
        <v/>
      </c>
      <c r="U1001" s="18" t="n">
        <v>0</v>
      </c>
      <c r="V1001" s="26" t="n">
        <v>4.69</v>
      </c>
      <c r="W1001" s="26">
        <f>V1001 - L1001</f>
        <v/>
      </c>
    </row>
    <row r="1002">
      <c r="A1002" s="11" t="n">
        <v>46214</v>
      </c>
      <c r="B1002" s="1" t="n">
        <v>20028</v>
      </c>
      <c r="C1002" s="1" t="inlineStr">
        <is>
          <t>122</t>
        </is>
      </c>
      <c r="D1002" s="1" t="inlineStr">
        <is>
          <t xml:space="preserve">7449  </t>
        </is>
      </c>
      <c r="E1002" s="1" t="inlineStr">
        <is>
          <t xml:space="preserve">34840552       </t>
        </is>
      </c>
      <c r="F1002" s="5" t="inlineStr">
        <is>
          <t>TMZ HELI POLICIA CON LUCES Y SONIDOS</t>
        </is>
      </c>
      <c r="G1002" t="n">
        <v>1</v>
      </c>
      <c r="H1002" s="7" t="n">
        <v>79.90000000000001</v>
      </c>
      <c r="I1002" s="7" t="n">
        <v>0</v>
      </c>
      <c r="J1002" s="7" t="n">
        <v>0</v>
      </c>
      <c r="K1002" s="9" t="n">
        <v>0</v>
      </c>
      <c r="L1002" s="10" t="n">
        <v>47.4</v>
      </c>
      <c r="M1002" s="10" t="n">
        <v>1.43</v>
      </c>
      <c r="N1002" t="inlineStr">
        <is>
          <t>1</t>
        </is>
      </c>
      <c r="O1002" t="inlineStr">
        <is>
          <t>16</t>
        </is>
      </c>
      <c r="P1002" t="inlineStr">
        <is>
          <t xml:space="preserve">40254   </t>
        </is>
      </c>
      <c r="Q1002" s="26" t="n">
        <v>79.90000000000002</v>
      </c>
      <c r="R1002" s="26">
        <f>Q1002*G1002</f>
        <v/>
      </c>
      <c r="S1002" t="n">
        <v>47.4</v>
      </c>
      <c r="T1002" s="18">
        <f>1 - V1002/S1002</f>
        <v/>
      </c>
      <c r="U1002" s="18" t="n">
        <v>0</v>
      </c>
      <c r="V1002" s="26" t="n">
        <v>47.4</v>
      </c>
      <c r="W1002" s="26">
        <f>V1002 - L1002</f>
        <v/>
      </c>
    </row>
    <row r="1003">
      <c r="A1003" s="11" t="n">
        <v>46214</v>
      </c>
      <c r="B1003" s="1" t="n">
        <v>20028</v>
      </c>
      <c r="C1003" s="1" t="inlineStr">
        <is>
          <t>833</t>
        </is>
      </c>
      <c r="D1003" s="1" t="inlineStr">
        <is>
          <t xml:space="preserve">7867  </t>
        </is>
      </c>
      <c r="E1003" s="1" t="inlineStr">
        <is>
          <t xml:space="preserve">29235702       </t>
        </is>
      </c>
      <c r="F1003" s="5" t="inlineStr">
        <is>
          <t>INFINITY NADO TROMPO DE BATALLA - METAL C/ ANILLO</t>
        </is>
      </c>
      <c r="G1003" t="n">
        <v>1</v>
      </c>
      <c r="H1003" s="7" t="n">
        <v>69.90000000000001</v>
      </c>
      <c r="I1003" s="7" t="n">
        <v>0</v>
      </c>
      <c r="J1003" s="7" t="n">
        <v>0</v>
      </c>
      <c r="K1003" s="9" t="n">
        <v>0</v>
      </c>
      <c r="L1003" s="10" t="n">
        <v>41.47</v>
      </c>
      <c r="M1003" s="10" t="n">
        <v>1.43</v>
      </c>
      <c r="N1003" t="inlineStr">
        <is>
          <t>1</t>
        </is>
      </c>
      <c r="O1003" t="inlineStr">
        <is>
          <t>16</t>
        </is>
      </c>
      <c r="P1003" t="inlineStr">
        <is>
          <t xml:space="preserve">248238  </t>
        </is>
      </c>
      <c r="Q1003" s="26" t="n">
        <v>69.90000000000001</v>
      </c>
      <c r="R1003" s="26">
        <f>Q1003*G1003</f>
        <v/>
      </c>
      <c r="S1003" t="n">
        <v>41.47</v>
      </c>
      <c r="T1003" s="18">
        <f>1 - V1003/S1003</f>
        <v/>
      </c>
      <c r="U1003" s="18" t="n">
        <v>0.2861230329041489</v>
      </c>
      <c r="V1003" s="26" t="n">
        <v>31.71610169491525</v>
      </c>
      <c r="W1003" s="26">
        <f>V1003 - L1003</f>
        <v/>
      </c>
    </row>
    <row r="1004">
      <c r="A1004" s="11" t="n">
        <v>46214</v>
      </c>
      <c r="B1004" s="1" t="n">
        <v>20030</v>
      </c>
      <c r="C1004" s="1" t="inlineStr">
        <is>
          <t>077</t>
        </is>
      </c>
      <c r="D1004" s="1" t="inlineStr">
        <is>
          <t>232175</t>
        </is>
      </c>
      <c r="E1004" s="1" t="inlineStr">
        <is>
          <t xml:space="preserve">31959958       </t>
        </is>
      </c>
      <c r="F1004" s="5" t="inlineStr">
        <is>
          <t>TMZ BEAST MACHINE AUTOS DE METAL PACK 3 AUTOS</t>
        </is>
      </c>
      <c r="G1004" t="n">
        <v>1</v>
      </c>
      <c r="H1004" s="7" t="n">
        <v>23.7</v>
      </c>
      <c r="I1004" s="7" t="n">
        <v>0</v>
      </c>
      <c r="J1004" s="7" t="n">
        <v>0</v>
      </c>
      <c r="K1004" s="9" t="n">
        <v>0</v>
      </c>
      <c r="L1004" s="10" t="n">
        <v>14.06</v>
      </c>
      <c r="M1004" s="10" t="n">
        <v>1.43</v>
      </c>
      <c r="N1004" t="inlineStr">
        <is>
          <t>1</t>
        </is>
      </c>
      <c r="O1004" t="inlineStr">
        <is>
          <t>16</t>
        </is>
      </c>
      <c r="P1004" t="inlineStr">
        <is>
          <t xml:space="preserve">44915   </t>
        </is>
      </c>
      <c r="Q1004" s="26" t="n">
        <v>23.7</v>
      </c>
      <c r="R1004" s="26">
        <f>Q1004*G1004</f>
        <v/>
      </c>
      <c r="S1004" t="n">
        <v>14.06</v>
      </c>
      <c r="T1004" s="18">
        <f>1 - V1004/S1004</f>
        <v/>
      </c>
      <c r="U1004" s="18" t="n">
        <v>0</v>
      </c>
      <c r="V1004" s="26" t="n">
        <v>14.06</v>
      </c>
      <c r="W1004" s="26">
        <f>V1004 - L1004</f>
        <v/>
      </c>
    </row>
    <row r="1005">
      <c r="A1005" s="11" t="n">
        <v>46214</v>
      </c>
      <c r="B1005" s="1" t="n">
        <v>20030</v>
      </c>
      <c r="C1005" s="1" t="inlineStr">
        <is>
          <t>077</t>
        </is>
      </c>
      <c r="D1005" s="1" t="inlineStr">
        <is>
          <t>232224</t>
        </is>
      </c>
      <c r="E1005" s="1" t="inlineStr">
        <is>
          <t xml:space="preserve">28194770       </t>
        </is>
      </c>
      <c r="F1005" s="5" t="inlineStr">
        <is>
          <t>AUTOS DE METAL 3 TEAMSTERZ EN BLISTER</t>
        </is>
      </c>
      <c r="G1005" t="n">
        <v>1</v>
      </c>
      <c r="H1005" s="7" t="n">
        <v>6.9</v>
      </c>
      <c r="I1005" s="7" t="n">
        <v>0</v>
      </c>
      <c r="J1005" s="7" t="n">
        <v>0</v>
      </c>
      <c r="K1005" s="9" t="n">
        <v>0</v>
      </c>
      <c r="L1005" s="10" t="n">
        <v>4.1</v>
      </c>
      <c r="M1005" s="10" t="n">
        <v>1.43</v>
      </c>
      <c r="N1005" t="inlineStr">
        <is>
          <t>1</t>
        </is>
      </c>
      <c r="O1005" t="inlineStr">
        <is>
          <t>16</t>
        </is>
      </c>
      <c r="P1005" t="inlineStr">
        <is>
          <t xml:space="preserve">44915   </t>
        </is>
      </c>
      <c r="Q1005" s="26" t="n">
        <v>6.9</v>
      </c>
      <c r="R1005" s="26">
        <f>Q1005*G1005</f>
        <v/>
      </c>
      <c r="S1005" t="n">
        <v>4.09</v>
      </c>
      <c r="T1005" s="18">
        <f>1 - V1005/S1005</f>
        <v/>
      </c>
      <c r="U1005" s="18" t="n">
        <v>0</v>
      </c>
      <c r="V1005" s="26" t="n">
        <v>4.09</v>
      </c>
      <c r="W1005" s="26">
        <f>V1005 - L1005</f>
        <v/>
      </c>
    </row>
    <row r="1006">
      <c r="A1006" s="11" t="n">
        <v>46214</v>
      </c>
      <c r="B1006" s="1" t="n">
        <v>20040</v>
      </c>
      <c r="C1006" s="1" t="inlineStr">
        <is>
          <t>039</t>
        </is>
      </c>
      <c r="D1006" s="1" t="inlineStr">
        <is>
          <t>229015</t>
        </is>
      </c>
      <c r="E1006" s="1" t="inlineStr">
        <is>
          <t xml:space="preserve">29773844       </t>
        </is>
      </c>
      <c r="F1006" s="5" t="inlineStr">
        <is>
          <t>INFINITY NADO MALETIN DE TROMPO DE BATALLA DE META</t>
        </is>
      </c>
      <c r="G1006" t="n">
        <v>1</v>
      </c>
      <c r="H1006" s="7" t="n">
        <v>99</v>
      </c>
      <c r="I1006" s="7" t="n">
        <v>0</v>
      </c>
      <c r="J1006" s="7" t="n">
        <v>0</v>
      </c>
      <c r="K1006" s="9" t="n">
        <v>0</v>
      </c>
      <c r="L1006" s="10" t="n">
        <v>58.73</v>
      </c>
      <c r="M1006" s="10" t="n">
        <v>1.43</v>
      </c>
      <c r="N1006" t="inlineStr">
        <is>
          <t>1</t>
        </is>
      </c>
      <c r="O1006" t="inlineStr">
        <is>
          <t>16</t>
        </is>
      </c>
      <c r="P1006" t="inlineStr">
        <is>
          <t xml:space="preserve">250193  </t>
        </is>
      </c>
      <c r="Q1006" s="26" t="n">
        <v>99</v>
      </c>
      <c r="R1006" s="26">
        <f>Q1006*G1006</f>
        <v/>
      </c>
      <c r="S1006" t="n">
        <v>58.73</v>
      </c>
      <c r="T1006" s="18">
        <f>1 - V1006/S1006</f>
        <v/>
      </c>
      <c r="U1006" s="18" t="n">
        <v>0.1929292929292928</v>
      </c>
      <c r="V1006" s="26" t="n">
        <v>50.78389830508475</v>
      </c>
      <c r="W1006" s="26">
        <f>V1006 - L1006</f>
        <v/>
      </c>
    </row>
    <row r="1007">
      <c r="A1007" s="11" t="n">
        <v>46214</v>
      </c>
      <c r="B1007" s="1" t="n">
        <v>20040</v>
      </c>
      <c r="C1007" s="1" t="inlineStr">
        <is>
          <t>190</t>
        </is>
      </c>
      <c r="D1007" s="1" t="inlineStr">
        <is>
          <t>367971</t>
        </is>
      </c>
      <c r="E1007" s="1" t="inlineStr">
        <is>
          <t xml:space="preserve">33661538       </t>
        </is>
      </c>
      <c r="F1007" s="5" t="inlineStr">
        <is>
          <t>HOT WHEELS CASE GARAGE RUEDA METAL EN LLAMAS X 29</t>
        </is>
      </c>
      <c r="G1007" t="n">
        <v>1</v>
      </c>
      <c r="H1007" s="7" t="n">
        <v>69.90000000000001</v>
      </c>
      <c r="I1007" s="7" t="n">
        <v>0</v>
      </c>
      <c r="J1007" s="7" t="n">
        <v>0</v>
      </c>
      <c r="K1007" s="9" t="n">
        <v>0</v>
      </c>
      <c r="L1007" s="10" t="n">
        <v>41.47</v>
      </c>
      <c r="M1007" s="10" t="n">
        <v>1.43</v>
      </c>
      <c r="N1007" t="inlineStr">
        <is>
          <t>1</t>
        </is>
      </c>
      <c r="O1007" t="inlineStr">
        <is>
          <t>16</t>
        </is>
      </c>
      <c r="P1007" t="inlineStr">
        <is>
          <t xml:space="preserve">242658  </t>
        </is>
      </c>
      <c r="Q1007" s="26" t="n">
        <v>69.90000000000001</v>
      </c>
      <c r="R1007" s="26">
        <f>Q1007*G1007</f>
        <v/>
      </c>
      <c r="S1007" t="n">
        <v>41.47</v>
      </c>
      <c r="T1007" s="18">
        <f>1 - V1007/S1007</f>
        <v/>
      </c>
      <c r="U1007" s="18" t="n">
        <v>0</v>
      </c>
      <c r="V1007" s="26" t="n">
        <v>41.47</v>
      </c>
      <c r="W1007" s="26">
        <f>V1007 - L1007</f>
        <v/>
      </c>
    </row>
    <row r="1008">
      <c r="A1008" s="11" t="n">
        <v>46214</v>
      </c>
      <c r="B1008" s="1" t="n">
        <v>20041</v>
      </c>
      <c r="C1008" s="1" t="inlineStr">
        <is>
          <t>020</t>
        </is>
      </c>
      <c r="D1008" s="1" t="inlineStr">
        <is>
          <t>366065</t>
        </is>
      </c>
      <c r="E1008" s="1" t="inlineStr">
        <is>
          <t xml:space="preserve">28194769       </t>
        </is>
      </c>
      <c r="F1008" s="5" t="inlineStr">
        <is>
          <t>AUTOS DE METAL 3 TEAMSTERZ PACK DE 2</t>
        </is>
      </c>
      <c r="G1008" t="n">
        <v>1</v>
      </c>
      <c r="H1008" s="7" t="n">
        <v>13.8</v>
      </c>
      <c r="I1008" s="7" t="n">
        <v>0</v>
      </c>
      <c r="J1008" s="7" t="n">
        <v>0</v>
      </c>
      <c r="K1008" s="9" t="n">
        <v>0</v>
      </c>
      <c r="L1008" s="10" t="n">
        <v>8.18</v>
      </c>
      <c r="M1008" s="10" t="n">
        <v>1.43</v>
      </c>
      <c r="N1008" t="inlineStr">
        <is>
          <t>1</t>
        </is>
      </c>
      <c r="O1008" t="inlineStr">
        <is>
          <t>16</t>
        </is>
      </c>
      <c r="P1008" t="inlineStr">
        <is>
          <t xml:space="preserve">91630   </t>
        </is>
      </c>
      <c r="Q1008" s="26" t="n">
        <v>13.8</v>
      </c>
      <c r="R1008" s="26">
        <f>Q1008*G1008</f>
        <v/>
      </c>
      <c r="S1008" t="n">
        <v>8.19</v>
      </c>
      <c r="T1008" s="18">
        <f>1 - V1008/S1008</f>
        <v/>
      </c>
      <c r="U1008" s="18" t="n">
        <v>0</v>
      </c>
      <c r="V1008" s="26" t="n">
        <v>8.19</v>
      </c>
      <c r="W1008" s="26">
        <f>V1008 - L1008</f>
        <v/>
      </c>
    </row>
    <row r="1009">
      <c r="A1009" s="11" t="n">
        <v>46214</v>
      </c>
      <c r="B1009" s="1" t="n">
        <v>20041</v>
      </c>
      <c r="C1009" s="1" t="inlineStr">
        <is>
          <t>020</t>
        </is>
      </c>
      <c r="D1009" s="1" t="inlineStr">
        <is>
          <t>366065</t>
        </is>
      </c>
      <c r="E1009" s="1" t="inlineStr">
        <is>
          <t xml:space="preserve">28194770       </t>
        </is>
      </c>
      <c r="F1009" s="5" t="inlineStr">
        <is>
          <t>AUTOS DE METAL 3 TEAMSTERZ EN BLISTER</t>
        </is>
      </c>
      <c r="G1009" t="n">
        <v>1</v>
      </c>
      <c r="H1009" s="7" t="n">
        <v>6.9</v>
      </c>
      <c r="I1009" s="7" t="n">
        <v>0</v>
      </c>
      <c r="J1009" s="7" t="n">
        <v>0</v>
      </c>
      <c r="K1009" s="9" t="n">
        <v>0</v>
      </c>
      <c r="L1009" s="10" t="n">
        <v>4.1</v>
      </c>
      <c r="M1009" s="10" t="n">
        <v>1.43</v>
      </c>
      <c r="N1009" t="inlineStr">
        <is>
          <t>1</t>
        </is>
      </c>
      <c r="O1009" t="inlineStr">
        <is>
          <t>16</t>
        </is>
      </c>
      <c r="P1009" t="inlineStr">
        <is>
          <t xml:space="preserve">91630   </t>
        </is>
      </c>
      <c r="Q1009" s="26" t="n">
        <v>6.9</v>
      </c>
      <c r="R1009" s="26">
        <f>Q1009*G1009</f>
        <v/>
      </c>
      <c r="S1009" t="n">
        <v>4.09</v>
      </c>
      <c r="T1009" s="18">
        <f>1 - V1009/S1009</f>
        <v/>
      </c>
      <c r="U1009" s="18" t="n">
        <v>0</v>
      </c>
      <c r="V1009" s="26" t="n">
        <v>4.09</v>
      </c>
      <c r="W1009" s="26">
        <f>V1009 - L1009</f>
        <v/>
      </c>
    </row>
    <row r="1010">
      <c r="A1010" s="11" t="n">
        <v>46214</v>
      </c>
      <c r="B1010" s="1" t="n">
        <v>20041</v>
      </c>
      <c r="C1010" s="1" t="inlineStr">
        <is>
          <t>020</t>
        </is>
      </c>
      <c r="D1010" s="1" t="inlineStr">
        <is>
          <t>366065</t>
        </is>
      </c>
      <c r="E1010" s="1" t="inlineStr">
        <is>
          <t xml:space="preserve">28194770       </t>
        </is>
      </c>
      <c r="F1010" s="5" t="inlineStr">
        <is>
          <t>AUTOS DE METAL 3 TEAMSTERZ EN BLISTER</t>
        </is>
      </c>
      <c r="G1010" t="n">
        <v>1</v>
      </c>
      <c r="H1010" s="7" t="n">
        <v>6.9</v>
      </c>
      <c r="I1010" s="7" t="n">
        <v>0</v>
      </c>
      <c r="J1010" s="7" t="n">
        <v>0</v>
      </c>
      <c r="K1010" s="9" t="n">
        <v>0</v>
      </c>
      <c r="L1010" s="10" t="n">
        <v>4.1</v>
      </c>
      <c r="M1010" s="10" t="n">
        <v>1.43</v>
      </c>
      <c r="N1010" t="inlineStr">
        <is>
          <t>1</t>
        </is>
      </c>
      <c r="O1010" t="inlineStr">
        <is>
          <t>16</t>
        </is>
      </c>
      <c r="P1010" t="inlineStr">
        <is>
          <t xml:space="preserve">91630   </t>
        </is>
      </c>
      <c r="Q1010" s="26" t="n">
        <v>6.9</v>
      </c>
      <c r="R1010" s="26">
        <f>Q1010*G1010</f>
        <v/>
      </c>
      <c r="S1010" t="n">
        <v>4.09</v>
      </c>
      <c r="T1010" s="18">
        <f>1 - V1010/S1010</f>
        <v/>
      </c>
      <c r="U1010" s="18" t="n">
        <v>0</v>
      </c>
      <c r="V1010" s="26" t="n">
        <v>4.09</v>
      </c>
      <c r="W1010" s="26">
        <f>V1010 - L1010</f>
        <v/>
      </c>
    </row>
    <row r="1011">
      <c r="A1011" s="11" t="n">
        <v>46214</v>
      </c>
      <c r="B1011" s="1" t="n">
        <v>20041</v>
      </c>
      <c r="C1011" s="1" t="inlineStr">
        <is>
          <t>031</t>
        </is>
      </c>
      <c r="D1011" s="1" t="inlineStr">
        <is>
          <t>165327</t>
        </is>
      </c>
      <c r="E1011" s="1" t="inlineStr">
        <is>
          <t xml:space="preserve">28194770       </t>
        </is>
      </c>
      <c r="F1011" s="5" t="inlineStr">
        <is>
          <t>AUTOS DE METAL 3 TEAMSTERZ EN BLISTER</t>
        </is>
      </c>
      <c r="G1011" t="n">
        <v>1</v>
      </c>
      <c r="H1011" s="7" t="n">
        <v>6.9</v>
      </c>
      <c r="I1011" s="7" t="n">
        <v>0</v>
      </c>
      <c r="J1011" s="7" t="n">
        <v>0</v>
      </c>
      <c r="K1011" s="9" t="n">
        <v>0</v>
      </c>
      <c r="L1011" s="10" t="n">
        <v>4.1</v>
      </c>
      <c r="M1011" s="10" t="n">
        <v>1.43</v>
      </c>
      <c r="N1011" t="inlineStr">
        <is>
          <t>1</t>
        </is>
      </c>
      <c r="O1011" t="inlineStr">
        <is>
          <t xml:space="preserve">2 </t>
        </is>
      </c>
      <c r="P1011" t="inlineStr">
        <is>
          <t xml:space="preserve">245842  </t>
        </is>
      </c>
      <c r="Q1011" s="26" t="n">
        <v>6.9</v>
      </c>
      <c r="R1011" s="26">
        <f>Q1011*G1011</f>
        <v/>
      </c>
      <c r="S1011" t="n">
        <v>4.09</v>
      </c>
      <c r="T1011" s="18">
        <f>1 - V1011/S1011</f>
        <v/>
      </c>
      <c r="U1011" s="18" t="n">
        <v>0</v>
      </c>
      <c r="V1011" s="26" t="n">
        <v>4.09</v>
      </c>
      <c r="W1011" s="26">
        <f>V1011 - L1011</f>
        <v/>
      </c>
    </row>
    <row r="1012">
      <c r="A1012" s="11" t="n">
        <v>46214</v>
      </c>
      <c r="B1012" s="1" t="n">
        <v>20041</v>
      </c>
      <c r="C1012" s="1" t="inlineStr">
        <is>
          <t>031</t>
        </is>
      </c>
      <c r="D1012" s="1" t="inlineStr">
        <is>
          <t>165348</t>
        </is>
      </c>
      <c r="E1012" s="1" t="inlineStr">
        <is>
          <t xml:space="preserve">28194770       </t>
        </is>
      </c>
      <c r="F1012" s="5" t="inlineStr">
        <is>
          <t>AUTOS DE METAL 3 TEAMSTERZ EN BLISTER</t>
        </is>
      </c>
      <c r="G1012" t="n">
        <v>1</v>
      </c>
      <c r="H1012" s="7" t="n">
        <v>6.9</v>
      </c>
      <c r="I1012" s="7" t="n">
        <v>0</v>
      </c>
      <c r="J1012" s="7" t="n">
        <v>0</v>
      </c>
      <c r="K1012" s="9" t="n">
        <v>0</v>
      </c>
      <c r="L1012" s="10" t="n">
        <v>4.1</v>
      </c>
      <c r="M1012" s="10" t="n">
        <v>1.43</v>
      </c>
      <c r="N1012" t="inlineStr">
        <is>
          <t>1</t>
        </is>
      </c>
      <c r="O1012" t="inlineStr">
        <is>
          <t xml:space="preserve">2 </t>
        </is>
      </c>
      <c r="P1012" t="inlineStr">
        <is>
          <t xml:space="preserve">245842  </t>
        </is>
      </c>
      <c r="Q1012" s="26" t="n">
        <v>6.9</v>
      </c>
      <c r="R1012" s="26">
        <f>Q1012*G1012</f>
        <v/>
      </c>
      <c r="S1012" t="n">
        <v>4.09</v>
      </c>
      <c r="T1012" s="18">
        <f>1 - V1012/S1012</f>
        <v/>
      </c>
      <c r="U1012" s="18" t="n">
        <v>0</v>
      </c>
      <c r="V1012" s="26" t="n">
        <v>4.09</v>
      </c>
      <c r="W1012" s="26">
        <f>V1012 - L1012</f>
        <v/>
      </c>
    </row>
    <row r="1013">
      <c r="A1013" s="11" t="n">
        <v>46214</v>
      </c>
      <c r="B1013" s="1" t="n">
        <v>20041</v>
      </c>
      <c r="C1013" s="1" t="inlineStr">
        <is>
          <t>031</t>
        </is>
      </c>
      <c r="D1013" s="1" t="inlineStr">
        <is>
          <t>165348</t>
        </is>
      </c>
      <c r="E1013" s="1" t="inlineStr">
        <is>
          <t xml:space="preserve">28194770       </t>
        </is>
      </c>
      <c r="F1013" s="5" t="inlineStr">
        <is>
          <t>AUTOS DE METAL 3 TEAMSTERZ EN BLISTER</t>
        </is>
      </c>
      <c r="G1013" t="n">
        <v>1</v>
      </c>
      <c r="H1013" s="7" t="n">
        <v>6.9</v>
      </c>
      <c r="I1013" s="7" t="n">
        <v>0</v>
      </c>
      <c r="J1013" s="7" t="n">
        <v>0</v>
      </c>
      <c r="K1013" s="9" t="n">
        <v>0</v>
      </c>
      <c r="L1013" s="10" t="n">
        <v>4.1</v>
      </c>
      <c r="M1013" s="10" t="n">
        <v>1.43</v>
      </c>
      <c r="N1013" t="inlineStr">
        <is>
          <t>1</t>
        </is>
      </c>
      <c r="O1013" t="inlineStr">
        <is>
          <t xml:space="preserve">2 </t>
        </is>
      </c>
      <c r="P1013" t="inlineStr">
        <is>
          <t xml:space="preserve">245842  </t>
        </is>
      </c>
      <c r="Q1013" s="26" t="n">
        <v>6.9</v>
      </c>
      <c r="R1013" s="26">
        <f>Q1013*G1013</f>
        <v/>
      </c>
      <c r="S1013" t="n">
        <v>4.09</v>
      </c>
      <c r="T1013" s="18">
        <f>1 - V1013/S1013</f>
        <v/>
      </c>
      <c r="U1013" s="18" t="n">
        <v>0</v>
      </c>
      <c r="V1013" s="26" t="n">
        <v>4.09</v>
      </c>
      <c r="W1013" s="26">
        <f>V1013 - L1013</f>
        <v/>
      </c>
    </row>
    <row r="1014">
      <c r="A1014" s="11" t="n">
        <v>46214</v>
      </c>
      <c r="B1014" s="1" t="n">
        <v>20041</v>
      </c>
      <c r="C1014" s="1" t="inlineStr">
        <is>
          <t>031</t>
        </is>
      </c>
      <c r="D1014" s="1" t="inlineStr">
        <is>
          <t>165348</t>
        </is>
      </c>
      <c r="E1014" s="1" t="inlineStr">
        <is>
          <t xml:space="preserve">28194770       </t>
        </is>
      </c>
      <c r="F1014" s="5" t="inlineStr">
        <is>
          <t>AUTOS DE METAL 3 TEAMSTERZ EN BLISTER</t>
        </is>
      </c>
      <c r="G1014" t="n">
        <v>1</v>
      </c>
      <c r="H1014" s="7" t="n">
        <v>6.9</v>
      </c>
      <c r="I1014" s="7" t="n">
        <v>0</v>
      </c>
      <c r="J1014" s="7" t="n">
        <v>0</v>
      </c>
      <c r="K1014" s="9" t="n">
        <v>0</v>
      </c>
      <c r="L1014" s="10" t="n">
        <v>4.1</v>
      </c>
      <c r="M1014" s="10" t="n">
        <v>1.43</v>
      </c>
      <c r="N1014" t="inlineStr">
        <is>
          <t>1</t>
        </is>
      </c>
      <c r="O1014" t="inlineStr">
        <is>
          <t xml:space="preserve">2 </t>
        </is>
      </c>
      <c r="P1014" t="inlineStr">
        <is>
          <t xml:space="preserve">245842  </t>
        </is>
      </c>
      <c r="Q1014" s="26" t="n">
        <v>6.9</v>
      </c>
      <c r="R1014" s="26">
        <f>Q1014*G1014</f>
        <v/>
      </c>
      <c r="S1014" t="n">
        <v>4.09</v>
      </c>
      <c r="T1014" s="18">
        <f>1 - V1014/S1014</f>
        <v/>
      </c>
      <c r="U1014" s="18" t="n">
        <v>0</v>
      </c>
      <c r="V1014" s="26" t="n">
        <v>4.09</v>
      </c>
      <c r="W1014" s="26">
        <f>V1014 - L1014</f>
        <v/>
      </c>
    </row>
    <row r="1015">
      <c r="A1015" s="11" t="n">
        <v>46214</v>
      </c>
      <c r="B1015" s="1" t="n">
        <v>20041</v>
      </c>
      <c r="C1015" s="1" t="inlineStr">
        <is>
          <t>031</t>
        </is>
      </c>
      <c r="D1015" s="1" t="inlineStr">
        <is>
          <t>165348</t>
        </is>
      </c>
      <c r="E1015" s="1" t="inlineStr">
        <is>
          <t xml:space="preserve">28194770       </t>
        </is>
      </c>
      <c r="F1015" s="5" t="inlineStr">
        <is>
          <t>AUTOS DE METAL 3 TEAMSTERZ EN BLISTER</t>
        </is>
      </c>
      <c r="G1015" t="n">
        <v>1</v>
      </c>
      <c r="H1015" s="7" t="n">
        <v>6.9</v>
      </c>
      <c r="I1015" s="7" t="n">
        <v>0</v>
      </c>
      <c r="J1015" s="7" t="n">
        <v>0</v>
      </c>
      <c r="K1015" s="9" t="n">
        <v>0</v>
      </c>
      <c r="L1015" s="10" t="n">
        <v>4.1</v>
      </c>
      <c r="M1015" s="10" t="n">
        <v>1.43</v>
      </c>
      <c r="N1015" t="inlineStr">
        <is>
          <t>1</t>
        </is>
      </c>
      <c r="O1015" t="inlineStr">
        <is>
          <t xml:space="preserve">2 </t>
        </is>
      </c>
      <c r="P1015" t="inlineStr">
        <is>
          <t xml:space="preserve">245842  </t>
        </is>
      </c>
      <c r="Q1015" s="26" t="n">
        <v>6.9</v>
      </c>
      <c r="R1015" s="26">
        <f>Q1015*G1015</f>
        <v/>
      </c>
      <c r="S1015" t="n">
        <v>4.09</v>
      </c>
      <c r="T1015" s="18">
        <f>1 - V1015/S1015</f>
        <v/>
      </c>
      <c r="U1015" s="18" t="n">
        <v>0</v>
      </c>
      <c r="V1015" s="26" t="n">
        <v>4.09</v>
      </c>
      <c r="W1015" s="26">
        <f>V1015 - L1015</f>
        <v/>
      </c>
    </row>
    <row r="1016">
      <c r="A1016" s="11" t="n">
        <v>46214</v>
      </c>
      <c r="B1016" s="1" t="n">
        <v>20041</v>
      </c>
      <c r="C1016" s="1" t="inlineStr">
        <is>
          <t>031</t>
        </is>
      </c>
      <c r="D1016" s="1" t="inlineStr">
        <is>
          <t>165388</t>
        </is>
      </c>
      <c r="E1016" s="1" t="inlineStr">
        <is>
          <t xml:space="preserve">28194770       </t>
        </is>
      </c>
      <c r="F1016" s="5" t="inlineStr">
        <is>
          <t>AUTOS DE METAL 3 TEAMSTERZ EN BLISTER</t>
        </is>
      </c>
      <c r="G1016" t="n">
        <v>1</v>
      </c>
      <c r="H1016" s="7" t="n">
        <v>6.9</v>
      </c>
      <c r="I1016" s="7" t="n">
        <v>0</v>
      </c>
      <c r="J1016" s="7" t="n">
        <v>0</v>
      </c>
      <c r="K1016" s="9" t="n">
        <v>0</v>
      </c>
      <c r="L1016" s="10" t="n">
        <v>4.1</v>
      </c>
      <c r="M1016" s="10" t="n">
        <v>1.43</v>
      </c>
      <c r="N1016" t="inlineStr">
        <is>
          <t>1</t>
        </is>
      </c>
      <c r="O1016" t="inlineStr">
        <is>
          <t>16</t>
        </is>
      </c>
      <c r="P1016" t="inlineStr">
        <is>
          <t xml:space="preserve">245842  </t>
        </is>
      </c>
      <c r="Q1016" s="26" t="n">
        <v>6.9</v>
      </c>
      <c r="R1016" s="26">
        <f>Q1016*G1016</f>
        <v/>
      </c>
      <c r="S1016" t="n">
        <v>4.09</v>
      </c>
      <c r="T1016" s="18">
        <f>1 - V1016/S1016</f>
        <v/>
      </c>
      <c r="U1016" s="18" t="n">
        <v>0</v>
      </c>
      <c r="V1016" s="26" t="n">
        <v>4.09</v>
      </c>
      <c r="W1016" s="26">
        <f>V1016 - L1016</f>
        <v/>
      </c>
    </row>
    <row r="1017">
      <c r="A1017" s="11" t="n">
        <v>46214</v>
      </c>
      <c r="B1017" s="1" t="n">
        <v>20041</v>
      </c>
      <c r="C1017" s="1" t="inlineStr">
        <is>
          <t>036</t>
        </is>
      </c>
      <c r="D1017" s="1" t="inlineStr">
        <is>
          <t xml:space="preserve">2504  </t>
        </is>
      </c>
      <c r="E1017" s="1" t="inlineStr">
        <is>
          <t xml:space="preserve">28194770       </t>
        </is>
      </c>
      <c r="F1017" s="5" t="inlineStr">
        <is>
          <t>AUTOS DE METAL 3 TEAMSTERZ EN BLISTER</t>
        </is>
      </c>
      <c r="G1017" t="n">
        <v>1</v>
      </c>
      <c r="H1017" s="7" t="n">
        <v>6.9</v>
      </c>
      <c r="I1017" s="7" t="n">
        <v>0</v>
      </c>
      <c r="J1017" s="7" t="n">
        <v>0</v>
      </c>
      <c r="K1017" s="9" t="n">
        <v>0</v>
      </c>
      <c r="L1017" s="10" t="n">
        <v>4.1</v>
      </c>
      <c r="M1017" s="10" t="n">
        <v>1.43</v>
      </c>
      <c r="N1017" t="inlineStr">
        <is>
          <t>1</t>
        </is>
      </c>
      <c r="O1017" t="inlineStr">
        <is>
          <t>16</t>
        </is>
      </c>
      <c r="P1017" t="inlineStr">
        <is>
          <t xml:space="preserve">36180   </t>
        </is>
      </c>
      <c r="Q1017" s="26" t="n">
        <v>6.9</v>
      </c>
      <c r="R1017" s="26">
        <f>Q1017*G1017</f>
        <v/>
      </c>
      <c r="S1017" t="n">
        <v>4.09</v>
      </c>
      <c r="T1017" s="18">
        <f>1 - V1017/S1017</f>
        <v/>
      </c>
      <c r="U1017" s="18" t="n">
        <v>0</v>
      </c>
      <c r="V1017" s="26" t="n">
        <v>4.09</v>
      </c>
      <c r="W1017" s="26">
        <f>V1017 - L1017</f>
        <v/>
      </c>
    </row>
    <row r="1018">
      <c r="A1018" s="11" t="n">
        <v>46214</v>
      </c>
      <c r="B1018" s="1" t="n">
        <v>20041</v>
      </c>
      <c r="C1018" s="1" t="inlineStr">
        <is>
          <t>037</t>
        </is>
      </c>
      <c r="D1018" s="1" t="inlineStr">
        <is>
          <t>189440</t>
        </is>
      </c>
      <c r="E1018" s="1" t="inlineStr">
        <is>
          <t xml:space="preserve">28194770       </t>
        </is>
      </c>
      <c r="F1018" s="5" t="inlineStr">
        <is>
          <t>AUTOS DE METAL 3 TEAMSTERZ EN BLISTER</t>
        </is>
      </c>
      <c r="G1018" t="n">
        <v>1</v>
      </c>
      <c r="H1018" s="7" t="n">
        <v>6.9</v>
      </c>
      <c r="I1018" s="7" t="n">
        <v>0.6899999999999999</v>
      </c>
      <c r="J1018" s="7" t="n">
        <v>0</v>
      </c>
      <c r="K1018" s="9" t="n">
        <v>0.6899999999999999</v>
      </c>
      <c r="L1018" s="10" t="n">
        <v>3.68</v>
      </c>
      <c r="M1018" s="10" t="n">
        <v>1.43</v>
      </c>
      <c r="N1018" t="inlineStr">
        <is>
          <t>1</t>
        </is>
      </c>
      <c r="O1018" t="inlineStr">
        <is>
          <t xml:space="preserve">3 </t>
        </is>
      </c>
      <c r="P1018" t="inlineStr">
        <is>
          <t xml:space="preserve">242748  </t>
        </is>
      </c>
      <c r="Q1018" s="26" t="n">
        <v>6.9</v>
      </c>
      <c r="R1018" s="26">
        <f>Q1018*G1018</f>
        <v/>
      </c>
      <c r="S1018" t="n">
        <v>4.09</v>
      </c>
      <c r="T1018" s="18">
        <f>1 - V1018/S1018</f>
        <v/>
      </c>
      <c r="U1018" s="18" t="n">
        <v>0</v>
      </c>
      <c r="V1018" s="26" t="n">
        <v>4.09</v>
      </c>
      <c r="W1018" s="26">
        <f>V1018 - L1018</f>
        <v/>
      </c>
    </row>
    <row r="1019">
      <c r="A1019" s="11" t="n">
        <v>46214</v>
      </c>
      <c r="B1019" s="1" t="n">
        <v>20041</v>
      </c>
      <c r="C1019" s="1" t="inlineStr">
        <is>
          <t>037</t>
        </is>
      </c>
      <c r="D1019" s="1" t="inlineStr">
        <is>
          <t>189441</t>
        </is>
      </c>
      <c r="E1019" s="1" t="inlineStr">
        <is>
          <t xml:space="preserve">28194770       </t>
        </is>
      </c>
      <c r="F1019" s="5" t="inlineStr">
        <is>
          <t>AUTOS DE METAL 3 TEAMSTERZ EN BLISTER</t>
        </is>
      </c>
      <c r="G1019" t="n">
        <v>1</v>
      </c>
      <c r="H1019" s="7" t="n">
        <v>6.9</v>
      </c>
      <c r="I1019" s="7" t="n">
        <v>0</v>
      </c>
      <c r="J1019" s="7" t="n">
        <v>0</v>
      </c>
      <c r="K1019" s="9" t="n">
        <v>0</v>
      </c>
      <c r="L1019" s="10" t="n">
        <v>4.1</v>
      </c>
      <c r="M1019" s="10" t="n">
        <v>1.43</v>
      </c>
      <c r="N1019" t="inlineStr">
        <is>
          <t>1</t>
        </is>
      </c>
      <c r="O1019" t="inlineStr">
        <is>
          <t>16</t>
        </is>
      </c>
      <c r="P1019" t="inlineStr">
        <is>
          <t xml:space="preserve">242748  </t>
        </is>
      </c>
      <c r="Q1019" s="26" t="n">
        <v>6.9</v>
      </c>
      <c r="R1019" s="26">
        <f>Q1019*G1019</f>
        <v/>
      </c>
      <c r="S1019" t="n">
        <v>4.09</v>
      </c>
      <c r="T1019" s="18">
        <f>1 - V1019/S1019</f>
        <v/>
      </c>
      <c r="U1019" s="18" t="n">
        <v>0</v>
      </c>
      <c r="V1019" s="26" t="n">
        <v>4.09</v>
      </c>
      <c r="W1019" s="26">
        <f>V1019 - L1019</f>
        <v/>
      </c>
    </row>
    <row r="1020">
      <c r="A1020" s="11" t="n">
        <v>46214</v>
      </c>
      <c r="B1020" s="1" t="n">
        <v>20041</v>
      </c>
      <c r="C1020" s="1" t="inlineStr">
        <is>
          <t>037</t>
        </is>
      </c>
      <c r="D1020" s="1" t="inlineStr">
        <is>
          <t>189475</t>
        </is>
      </c>
      <c r="E1020" s="1" t="inlineStr">
        <is>
          <t xml:space="preserve">28194770       </t>
        </is>
      </c>
      <c r="F1020" s="5" t="inlineStr">
        <is>
          <t>AUTOS DE METAL 3 TEAMSTERZ EN BLISTER</t>
        </is>
      </c>
      <c r="G1020" t="n">
        <v>1</v>
      </c>
      <c r="H1020" s="7" t="n">
        <v>6.9</v>
      </c>
      <c r="I1020" s="7" t="n">
        <v>0</v>
      </c>
      <c r="J1020" s="7" t="n">
        <v>0</v>
      </c>
      <c r="K1020" s="9" t="n">
        <v>0</v>
      </c>
      <c r="L1020" s="10" t="n">
        <v>4.1</v>
      </c>
      <c r="M1020" s="10" t="n">
        <v>1.43</v>
      </c>
      <c r="N1020" t="inlineStr">
        <is>
          <t>1</t>
        </is>
      </c>
      <c r="O1020" t="inlineStr">
        <is>
          <t>16</t>
        </is>
      </c>
      <c r="P1020" t="inlineStr">
        <is>
          <t xml:space="preserve">245841  </t>
        </is>
      </c>
      <c r="Q1020" s="26" t="n">
        <v>6.9</v>
      </c>
      <c r="R1020" s="26">
        <f>Q1020*G1020</f>
        <v/>
      </c>
      <c r="S1020" t="n">
        <v>4.09</v>
      </c>
      <c r="T1020" s="18">
        <f>1 - V1020/S1020</f>
        <v/>
      </c>
      <c r="U1020" s="18" t="n">
        <v>0</v>
      </c>
      <c r="V1020" s="26" t="n">
        <v>4.09</v>
      </c>
      <c r="W1020" s="26">
        <f>V1020 - L1020</f>
        <v/>
      </c>
    </row>
    <row r="1021">
      <c r="A1021" s="11" t="n">
        <v>46214</v>
      </c>
      <c r="B1021" s="1" t="n">
        <v>20041</v>
      </c>
      <c r="C1021" s="1" t="inlineStr">
        <is>
          <t>037</t>
        </is>
      </c>
      <c r="D1021" s="1" t="inlineStr">
        <is>
          <t>189475</t>
        </is>
      </c>
      <c r="E1021" s="1" t="inlineStr">
        <is>
          <t xml:space="preserve">28194770       </t>
        </is>
      </c>
      <c r="F1021" s="5" t="inlineStr">
        <is>
          <t>AUTOS DE METAL 3 TEAMSTERZ EN BLISTER</t>
        </is>
      </c>
      <c r="G1021" t="n">
        <v>1</v>
      </c>
      <c r="H1021" s="7" t="n">
        <v>6.9</v>
      </c>
      <c r="I1021" s="7" t="n">
        <v>0</v>
      </c>
      <c r="J1021" s="7" t="n">
        <v>0</v>
      </c>
      <c r="K1021" s="9" t="n">
        <v>0</v>
      </c>
      <c r="L1021" s="10" t="n">
        <v>4.1</v>
      </c>
      <c r="M1021" s="10" t="n">
        <v>1.43</v>
      </c>
      <c r="N1021" t="inlineStr">
        <is>
          <t>1</t>
        </is>
      </c>
      <c r="O1021" t="inlineStr">
        <is>
          <t>16</t>
        </is>
      </c>
      <c r="P1021" t="inlineStr">
        <is>
          <t xml:space="preserve">245841  </t>
        </is>
      </c>
      <c r="Q1021" s="26" t="n">
        <v>6.9</v>
      </c>
      <c r="R1021" s="26">
        <f>Q1021*G1021</f>
        <v/>
      </c>
      <c r="S1021" t="n">
        <v>4.09</v>
      </c>
      <c r="T1021" s="18">
        <f>1 - V1021/S1021</f>
        <v/>
      </c>
      <c r="U1021" s="18" t="n">
        <v>0</v>
      </c>
      <c r="V1021" s="26" t="n">
        <v>4.09</v>
      </c>
      <c r="W1021" s="26">
        <f>V1021 - L1021</f>
        <v/>
      </c>
    </row>
    <row r="1022">
      <c r="A1022" s="11" t="n">
        <v>46214</v>
      </c>
      <c r="B1022" s="1" t="n">
        <v>20041</v>
      </c>
      <c r="C1022" s="1" t="inlineStr">
        <is>
          <t>037</t>
        </is>
      </c>
      <c r="D1022" s="1" t="inlineStr">
        <is>
          <t>189493</t>
        </is>
      </c>
      <c r="E1022" s="1" t="inlineStr">
        <is>
          <t xml:space="preserve">28194769       </t>
        </is>
      </c>
      <c r="F1022" s="5" t="inlineStr">
        <is>
          <t>AUTOS DE METAL 3 TEAMSTERZ PACK DE 2</t>
        </is>
      </c>
      <c r="G1022" t="n">
        <v>1</v>
      </c>
      <c r="H1022" s="7" t="n">
        <v>13.8</v>
      </c>
      <c r="I1022" s="7" t="n">
        <v>0</v>
      </c>
      <c r="J1022" s="7" t="n">
        <v>0</v>
      </c>
      <c r="K1022" s="9" t="n">
        <v>0</v>
      </c>
      <c r="L1022" s="10" t="n">
        <v>8.18</v>
      </c>
      <c r="M1022" s="10" t="n">
        <v>1.43</v>
      </c>
      <c r="N1022" t="inlineStr">
        <is>
          <t>1</t>
        </is>
      </c>
      <c r="O1022" t="inlineStr">
        <is>
          <t>16</t>
        </is>
      </c>
      <c r="P1022" t="inlineStr">
        <is>
          <t xml:space="preserve">245841  </t>
        </is>
      </c>
      <c r="Q1022" s="26" t="n">
        <v>13.8</v>
      </c>
      <c r="R1022" s="26">
        <f>Q1022*G1022</f>
        <v/>
      </c>
      <c r="S1022" t="n">
        <v>8.19</v>
      </c>
      <c r="T1022" s="18">
        <f>1 - V1022/S1022</f>
        <v/>
      </c>
      <c r="U1022" s="18" t="n">
        <v>0</v>
      </c>
      <c r="V1022" s="26" t="n">
        <v>8.19</v>
      </c>
      <c r="W1022" s="26">
        <f>V1022 - L1022</f>
        <v/>
      </c>
    </row>
    <row r="1023">
      <c r="A1023" s="11" t="n">
        <v>46214</v>
      </c>
      <c r="B1023" s="1" t="n">
        <v>20041</v>
      </c>
      <c r="C1023" s="1" t="inlineStr">
        <is>
          <t>037</t>
        </is>
      </c>
      <c r="D1023" s="1" t="inlineStr">
        <is>
          <t>189503</t>
        </is>
      </c>
      <c r="E1023" s="1" t="inlineStr">
        <is>
          <t xml:space="preserve">35685067       </t>
        </is>
      </c>
      <c r="F1023" s="5" t="inlineStr">
        <is>
          <t>HOT WHEELS POWER SET 3 EN 1</t>
        </is>
      </c>
      <c r="G1023" t="n">
        <v>1</v>
      </c>
      <c r="H1023" s="7" t="n">
        <v>49.9</v>
      </c>
      <c r="I1023" s="7" t="n">
        <v>0</v>
      </c>
      <c r="J1023" s="7" t="n">
        <v>0</v>
      </c>
      <c r="K1023" s="9" t="n">
        <v>0</v>
      </c>
      <c r="L1023" s="10" t="n">
        <v>29.6</v>
      </c>
      <c r="M1023" s="10" t="n">
        <v>1.43</v>
      </c>
      <c r="N1023" t="inlineStr">
        <is>
          <t>1</t>
        </is>
      </c>
      <c r="O1023" t="inlineStr">
        <is>
          <t xml:space="preserve">2 </t>
        </is>
      </c>
      <c r="P1023" t="inlineStr">
        <is>
          <t xml:space="preserve">245841  </t>
        </is>
      </c>
      <c r="Q1023" s="26" t="n">
        <v>49.9</v>
      </c>
      <c r="R1023" s="26">
        <f>Q1023*G1023</f>
        <v/>
      </c>
      <c r="S1023" t="n">
        <v>29.6</v>
      </c>
      <c r="T1023" s="18">
        <f>1 - V1023/S1023</f>
        <v/>
      </c>
      <c r="U1023" s="18" t="n">
        <v>0</v>
      </c>
      <c r="V1023" s="26" t="n">
        <v>29.6</v>
      </c>
      <c r="W1023" s="26">
        <f>V1023 - L1023</f>
        <v/>
      </c>
    </row>
    <row r="1024">
      <c r="A1024" s="11" t="n">
        <v>46214</v>
      </c>
      <c r="B1024" s="1" t="n">
        <v>20041</v>
      </c>
      <c r="C1024" s="1" t="inlineStr">
        <is>
          <t>037</t>
        </is>
      </c>
      <c r="D1024" s="1" t="inlineStr">
        <is>
          <t>189508</t>
        </is>
      </c>
      <c r="E1024" s="1" t="inlineStr">
        <is>
          <t xml:space="preserve">35685067       </t>
        </is>
      </c>
      <c r="F1024" s="5" t="inlineStr">
        <is>
          <t>HOT WHEELS POWER SET 3 EN 1</t>
        </is>
      </c>
      <c r="G1024" t="n">
        <v>1</v>
      </c>
      <c r="H1024" s="7" t="n">
        <v>49.9</v>
      </c>
      <c r="I1024" s="7" t="n">
        <v>0</v>
      </c>
      <c r="J1024" s="7" t="n">
        <v>0</v>
      </c>
      <c r="K1024" s="9" t="n">
        <v>0</v>
      </c>
      <c r="L1024" s="10" t="n">
        <v>29.6</v>
      </c>
      <c r="M1024" s="10" t="n">
        <v>1.43</v>
      </c>
      <c r="N1024" t="inlineStr">
        <is>
          <t>1</t>
        </is>
      </c>
      <c r="O1024" t="inlineStr">
        <is>
          <t>16</t>
        </is>
      </c>
      <c r="P1024" t="inlineStr">
        <is>
          <t xml:space="preserve">245841  </t>
        </is>
      </c>
      <c r="Q1024" s="26" t="n">
        <v>49.9</v>
      </c>
      <c r="R1024" s="26">
        <f>Q1024*G1024</f>
        <v/>
      </c>
      <c r="S1024" t="n">
        <v>29.6</v>
      </c>
      <c r="T1024" s="18">
        <f>1 - V1024/S1024</f>
        <v/>
      </c>
      <c r="U1024" s="18" t="n">
        <v>0</v>
      </c>
      <c r="V1024" s="26" t="n">
        <v>29.6</v>
      </c>
      <c r="W1024" s="26">
        <f>V1024 - L1024</f>
        <v/>
      </c>
    </row>
    <row r="1025">
      <c r="A1025" s="11" t="n">
        <v>46214</v>
      </c>
      <c r="B1025" s="1" t="n">
        <v>20041</v>
      </c>
      <c r="C1025" s="1" t="inlineStr">
        <is>
          <t>043</t>
        </is>
      </c>
      <c r="D1025" s="1" t="inlineStr">
        <is>
          <t xml:space="preserve">75949 </t>
        </is>
      </c>
      <c r="E1025" s="1" t="inlineStr">
        <is>
          <t xml:space="preserve">28194770       </t>
        </is>
      </c>
      <c r="F1025" s="5" t="inlineStr">
        <is>
          <t>AUTOS DE METAL 3 TEAMSTERZ EN BLISTER</t>
        </is>
      </c>
      <c r="G1025" t="n">
        <v>1</v>
      </c>
      <c r="H1025" s="7" t="n">
        <v>6.9</v>
      </c>
      <c r="I1025" s="7" t="n">
        <v>0</v>
      </c>
      <c r="J1025" s="7" t="n">
        <v>0</v>
      </c>
      <c r="K1025" s="9" t="n">
        <v>0</v>
      </c>
      <c r="L1025" s="10" t="n">
        <v>4.1</v>
      </c>
      <c r="M1025" s="10" t="n">
        <v>1.43</v>
      </c>
      <c r="N1025" t="inlineStr">
        <is>
          <t>1</t>
        </is>
      </c>
      <c r="O1025" t="inlineStr">
        <is>
          <t xml:space="preserve">2 </t>
        </is>
      </c>
      <c r="P1025" t="inlineStr">
        <is>
          <t xml:space="preserve">242747  </t>
        </is>
      </c>
      <c r="Q1025" s="26" t="n">
        <v>6.9</v>
      </c>
      <c r="R1025" s="26">
        <f>Q1025*G1025</f>
        <v/>
      </c>
      <c r="S1025" t="n">
        <v>4.09</v>
      </c>
      <c r="T1025" s="18">
        <f>1 - V1025/S1025</f>
        <v/>
      </c>
      <c r="U1025" s="18" t="n">
        <v>0</v>
      </c>
      <c r="V1025" s="26" t="n">
        <v>4.09</v>
      </c>
      <c r="W1025" s="26">
        <f>V1025 - L1025</f>
        <v/>
      </c>
    </row>
    <row r="1026">
      <c r="A1026" s="11" t="n">
        <v>46214</v>
      </c>
      <c r="B1026" s="1" t="n">
        <v>20041</v>
      </c>
      <c r="C1026" s="1" t="inlineStr">
        <is>
          <t>043</t>
        </is>
      </c>
      <c r="D1026" s="1" t="inlineStr">
        <is>
          <t xml:space="preserve">75974 </t>
        </is>
      </c>
      <c r="E1026" s="1" t="inlineStr">
        <is>
          <t xml:space="preserve">28194770       </t>
        </is>
      </c>
      <c r="F1026" s="5" t="inlineStr">
        <is>
          <t>AUTOS DE METAL 3 TEAMSTERZ EN BLISTER</t>
        </is>
      </c>
      <c r="G1026" t="n">
        <v>1</v>
      </c>
      <c r="H1026" s="7" t="n">
        <v>6.9</v>
      </c>
      <c r="I1026" s="7" t="n">
        <v>0</v>
      </c>
      <c r="J1026" s="7" t="n">
        <v>0</v>
      </c>
      <c r="K1026" s="9" t="n">
        <v>0</v>
      </c>
      <c r="L1026" s="10" t="n">
        <v>4.1</v>
      </c>
      <c r="M1026" s="10" t="n">
        <v>1.43</v>
      </c>
      <c r="N1026" t="inlineStr">
        <is>
          <t>1</t>
        </is>
      </c>
      <c r="O1026" t="inlineStr">
        <is>
          <t xml:space="preserve">2 </t>
        </is>
      </c>
      <c r="P1026" t="inlineStr">
        <is>
          <t xml:space="preserve">242747  </t>
        </is>
      </c>
      <c r="Q1026" s="26" t="n">
        <v>6.9</v>
      </c>
      <c r="R1026" s="26">
        <f>Q1026*G1026</f>
        <v/>
      </c>
      <c r="S1026" t="n">
        <v>4.09</v>
      </c>
      <c r="T1026" s="18">
        <f>1 - V1026/S1026</f>
        <v/>
      </c>
      <c r="U1026" s="18" t="n">
        <v>0</v>
      </c>
      <c r="V1026" s="26" t="n">
        <v>4.09</v>
      </c>
      <c r="W1026" s="26">
        <f>V1026 - L1026</f>
        <v/>
      </c>
    </row>
    <row r="1027">
      <c r="A1027" s="11" t="n">
        <v>46214</v>
      </c>
      <c r="B1027" s="1" t="n">
        <v>20041</v>
      </c>
      <c r="C1027" s="1" t="inlineStr">
        <is>
          <t>513</t>
        </is>
      </c>
      <c r="D1027" s="1" t="inlineStr">
        <is>
          <t xml:space="preserve">5698  </t>
        </is>
      </c>
      <c r="E1027" s="1" t="inlineStr">
        <is>
          <t xml:space="preserve">28194769       </t>
        </is>
      </c>
      <c r="F1027" s="5" t="inlineStr">
        <is>
          <t>AUTOS DE METAL 3 TEAMSTERZ PACK DE 2</t>
        </is>
      </c>
      <c r="G1027" t="n">
        <v>2</v>
      </c>
      <c r="H1027" s="7" t="n">
        <v>27.6</v>
      </c>
      <c r="I1027" s="7" t="n">
        <v>0</v>
      </c>
      <c r="J1027" s="7" t="n">
        <v>0</v>
      </c>
      <c r="K1027" s="9" t="n">
        <v>0</v>
      </c>
      <c r="L1027" s="10" t="n">
        <v>16.38</v>
      </c>
      <c r="M1027" s="10" t="n">
        <v>1.43</v>
      </c>
      <c r="N1027" t="inlineStr">
        <is>
          <t>1</t>
        </is>
      </c>
      <c r="O1027" t="inlineStr">
        <is>
          <t>16</t>
        </is>
      </c>
      <c r="P1027" t="inlineStr">
        <is>
          <t xml:space="preserve">242748  </t>
        </is>
      </c>
      <c r="Q1027" s="26" t="n">
        <v>13.8</v>
      </c>
      <c r="R1027" s="26">
        <f>Q1027*G1027</f>
        <v/>
      </c>
      <c r="S1027" t="n">
        <v>16.38</v>
      </c>
      <c r="T1027" s="18">
        <f>1 - V1027/S1027</f>
        <v/>
      </c>
      <c r="U1027" s="18" t="n">
        <v>0</v>
      </c>
      <c r="V1027" s="26" t="n">
        <v>16.38</v>
      </c>
      <c r="W1027" s="26">
        <f>V1027 - L1027</f>
        <v/>
      </c>
    </row>
    <row r="1028">
      <c r="A1028" s="11" t="n">
        <v>46214</v>
      </c>
      <c r="B1028" s="1" t="n">
        <v>20043</v>
      </c>
      <c r="C1028" s="1" t="inlineStr">
        <is>
          <t>054</t>
        </is>
      </c>
      <c r="D1028" s="1" t="inlineStr">
        <is>
          <t xml:space="preserve">15149 </t>
        </is>
      </c>
      <c r="E1028" s="1" t="inlineStr">
        <is>
          <t xml:space="preserve">28194770       </t>
        </is>
      </c>
      <c r="F1028" s="5" t="inlineStr">
        <is>
          <t>AUTOS DE METAL 3 TEAMSTERZ EN BLISTER</t>
        </is>
      </c>
      <c r="G1028" t="n">
        <v>1</v>
      </c>
      <c r="H1028" s="7" t="n">
        <v>6.9</v>
      </c>
      <c r="I1028" s="7" t="n">
        <v>0</v>
      </c>
      <c r="J1028" s="7" t="n">
        <v>0</v>
      </c>
      <c r="K1028" s="9" t="n">
        <v>0</v>
      </c>
      <c r="L1028" s="10" t="n">
        <v>4.1</v>
      </c>
      <c r="M1028" s="10" t="n">
        <v>1.43</v>
      </c>
      <c r="N1028" t="inlineStr">
        <is>
          <t>1</t>
        </is>
      </c>
      <c r="O1028" t="inlineStr">
        <is>
          <t xml:space="preserve">2 </t>
        </is>
      </c>
      <c r="P1028" t="inlineStr">
        <is>
          <t xml:space="preserve">82644   </t>
        </is>
      </c>
      <c r="Q1028" s="26" t="n">
        <v>6.9</v>
      </c>
      <c r="R1028" s="26">
        <f>Q1028*G1028</f>
        <v/>
      </c>
      <c r="S1028" t="n">
        <v>4.09</v>
      </c>
      <c r="T1028" s="18">
        <f>1 - V1028/S1028</f>
        <v/>
      </c>
      <c r="U1028" s="18" t="n">
        <v>0</v>
      </c>
      <c r="V1028" s="26" t="n">
        <v>4.09</v>
      </c>
      <c r="W1028" s="26">
        <f>V1028 - L1028</f>
        <v/>
      </c>
    </row>
    <row r="1029">
      <c r="A1029" s="11" t="n">
        <v>46214</v>
      </c>
      <c r="B1029" s="1" t="n">
        <v>20043</v>
      </c>
      <c r="C1029" s="1" t="inlineStr">
        <is>
          <t>054</t>
        </is>
      </c>
      <c r="D1029" s="1" t="inlineStr">
        <is>
          <t xml:space="preserve">15155 </t>
        </is>
      </c>
      <c r="E1029" s="1" t="inlineStr">
        <is>
          <t xml:space="preserve">28194770       </t>
        </is>
      </c>
      <c r="F1029" s="5" t="inlineStr">
        <is>
          <t>AUTOS DE METAL 3 TEAMSTERZ EN BLISTER</t>
        </is>
      </c>
      <c r="G1029" t="n">
        <v>1</v>
      </c>
      <c r="H1029" s="7" t="n">
        <v>6.9</v>
      </c>
      <c r="I1029" s="7" t="n">
        <v>0.6899999999999999</v>
      </c>
      <c r="J1029" s="7" t="n">
        <v>0</v>
      </c>
      <c r="K1029" s="9" t="n">
        <v>0.6899999999999999</v>
      </c>
      <c r="L1029" s="10" t="n">
        <v>3.68</v>
      </c>
      <c r="M1029" s="10" t="n">
        <v>1.43</v>
      </c>
      <c r="N1029" t="inlineStr">
        <is>
          <t>1</t>
        </is>
      </c>
      <c r="O1029" t="inlineStr">
        <is>
          <t xml:space="preserve">3 </t>
        </is>
      </c>
      <c r="P1029" t="inlineStr">
        <is>
          <t xml:space="preserve">249961  </t>
        </is>
      </c>
      <c r="Q1029" s="26" t="n">
        <v>6.9</v>
      </c>
      <c r="R1029" s="26">
        <f>Q1029*G1029</f>
        <v/>
      </c>
      <c r="S1029" t="n">
        <v>4.09</v>
      </c>
      <c r="T1029" s="18">
        <f>1 - V1029/S1029</f>
        <v/>
      </c>
      <c r="U1029" s="18" t="n">
        <v>0</v>
      </c>
      <c r="V1029" s="26" t="n">
        <v>4.09</v>
      </c>
      <c r="W1029" s="26">
        <f>V1029 - L1029</f>
        <v/>
      </c>
    </row>
    <row r="1030">
      <c r="A1030" s="11" t="n">
        <v>46214</v>
      </c>
      <c r="B1030" s="1" t="n">
        <v>20043</v>
      </c>
      <c r="C1030" s="1" t="inlineStr">
        <is>
          <t>059</t>
        </is>
      </c>
      <c r="D1030" s="1" t="inlineStr">
        <is>
          <t>150945</t>
        </is>
      </c>
      <c r="E1030" s="1" t="inlineStr">
        <is>
          <t xml:space="preserve">32457103       </t>
        </is>
      </c>
      <c r="F1030" s="5" t="inlineStr">
        <is>
          <t>TMZ BEAST MACHINES MONSTER JAWS A FRICCION PACK DE</t>
        </is>
      </c>
      <c r="G1030" t="n">
        <v>1</v>
      </c>
      <c r="H1030" s="7" t="n">
        <v>37.9</v>
      </c>
      <c r="I1030" s="7" t="n">
        <v>0</v>
      </c>
      <c r="J1030" s="7" t="n">
        <v>0</v>
      </c>
      <c r="K1030" s="9" t="n">
        <v>0</v>
      </c>
      <c r="L1030" s="10" t="n">
        <v>22.48</v>
      </c>
      <c r="M1030" s="10" t="n">
        <v>1.43</v>
      </c>
      <c r="N1030" t="inlineStr">
        <is>
          <t>1</t>
        </is>
      </c>
      <c r="O1030" t="inlineStr">
        <is>
          <t>16</t>
        </is>
      </c>
      <c r="P1030" t="inlineStr">
        <is>
          <t xml:space="preserve">47299   </t>
        </is>
      </c>
      <c r="Q1030" s="26" t="n">
        <v>37.9</v>
      </c>
      <c r="R1030" s="26">
        <f>Q1030*G1030</f>
        <v/>
      </c>
      <c r="S1030" t="n">
        <v>22.48</v>
      </c>
      <c r="T1030" s="18">
        <f>1 - V1030/S1030</f>
        <v/>
      </c>
      <c r="U1030" s="18" t="n">
        <v>0.1319261213720316</v>
      </c>
      <c r="V1030" s="26" t="n">
        <v>16.75101694915254</v>
      </c>
      <c r="W1030" s="26">
        <f>V1030 - L1030</f>
        <v/>
      </c>
    </row>
    <row r="1031">
      <c r="A1031" s="11" t="n">
        <v>46214</v>
      </c>
      <c r="B1031" s="1" t="n">
        <v>20043</v>
      </c>
      <c r="C1031" s="1" t="inlineStr">
        <is>
          <t>061</t>
        </is>
      </c>
      <c r="D1031" s="1" t="inlineStr">
        <is>
          <t>154794</t>
        </is>
      </c>
      <c r="E1031" s="1" t="inlineStr">
        <is>
          <t xml:space="preserve">28194769       </t>
        </is>
      </c>
      <c r="F1031" s="5" t="inlineStr">
        <is>
          <t>AUTOS DE METAL 3 TEAMSTERZ PACK DE 2</t>
        </is>
      </c>
      <c r="G1031" t="n">
        <v>1</v>
      </c>
      <c r="H1031" s="7" t="n">
        <v>13.8</v>
      </c>
      <c r="I1031" s="7" t="n">
        <v>0</v>
      </c>
      <c r="J1031" s="7" t="n">
        <v>0</v>
      </c>
      <c r="K1031" s="9" t="n">
        <v>0</v>
      </c>
      <c r="L1031" s="10" t="n">
        <v>8.18</v>
      </c>
      <c r="M1031" s="10" t="n">
        <v>1.43</v>
      </c>
      <c r="N1031" t="inlineStr">
        <is>
          <t>1</t>
        </is>
      </c>
      <c r="O1031" t="inlineStr">
        <is>
          <t xml:space="preserve">2 </t>
        </is>
      </c>
      <c r="P1031" t="inlineStr">
        <is>
          <t xml:space="preserve">52184   </t>
        </is>
      </c>
      <c r="Q1031" s="26" t="n">
        <v>13.8</v>
      </c>
      <c r="R1031" s="26">
        <f>Q1031*G1031</f>
        <v/>
      </c>
      <c r="S1031" t="n">
        <v>8.19</v>
      </c>
      <c r="T1031" s="18">
        <f>1 - V1031/S1031</f>
        <v/>
      </c>
      <c r="U1031" s="18" t="n">
        <v>0</v>
      </c>
      <c r="V1031" s="26" t="n">
        <v>8.19</v>
      </c>
      <c r="W1031" s="26">
        <f>V1031 - L1031</f>
        <v/>
      </c>
    </row>
    <row r="1032">
      <c r="A1032" s="11" t="n">
        <v>46214</v>
      </c>
      <c r="B1032" s="1" t="n">
        <v>20047</v>
      </c>
      <c r="C1032" s="1" t="inlineStr">
        <is>
          <t>012</t>
        </is>
      </c>
      <c r="D1032" s="1" t="inlineStr">
        <is>
          <t>332094</t>
        </is>
      </c>
      <c r="E1032" s="1" t="inlineStr">
        <is>
          <t xml:space="preserve">28194770       </t>
        </is>
      </c>
      <c r="F1032" s="5" t="inlineStr">
        <is>
          <t>AUTOS DE METAL 3 TEAMSTERZ EN BLISTER</t>
        </is>
      </c>
      <c r="G1032" t="n">
        <v>1</v>
      </c>
      <c r="H1032" s="7" t="n">
        <v>6.9</v>
      </c>
      <c r="I1032" s="7" t="n">
        <v>0</v>
      </c>
      <c r="J1032" s="7" t="n">
        <v>0</v>
      </c>
      <c r="K1032" s="9" t="n">
        <v>0</v>
      </c>
      <c r="L1032" s="10" t="n">
        <v>4.1</v>
      </c>
      <c r="M1032" s="10" t="n">
        <v>1.43</v>
      </c>
      <c r="N1032" t="inlineStr">
        <is>
          <t>1</t>
        </is>
      </c>
      <c r="O1032" t="inlineStr">
        <is>
          <t xml:space="preserve">2 </t>
        </is>
      </c>
      <c r="P1032" t="inlineStr">
        <is>
          <t xml:space="preserve">78210   </t>
        </is>
      </c>
      <c r="Q1032" s="26" t="n">
        <v>6.9</v>
      </c>
      <c r="R1032" s="26">
        <f>Q1032*G1032</f>
        <v/>
      </c>
      <c r="S1032" t="n">
        <v>4.09</v>
      </c>
      <c r="T1032" s="18">
        <f>1 - V1032/S1032</f>
        <v/>
      </c>
      <c r="U1032" s="18" t="n">
        <v>0</v>
      </c>
      <c r="V1032" s="26" t="n">
        <v>4.09</v>
      </c>
      <c r="W1032" s="26">
        <f>V1032 - L1032</f>
        <v/>
      </c>
    </row>
    <row r="1033">
      <c r="A1033" s="11" t="n">
        <v>46214</v>
      </c>
      <c r="B1033" s="1" t="n">
        <v>20047</v>
      </c>
      <c r="C1033" s="1" t="inlineStr">
        <is>
          <t>012</t>
        </is>
      </c>
      <c r="D1033" s="1" t="inlineStr">
        <is>
          <t>332099</t>
        </is>
      </c>
      <c r="E1033" s="1" t="inlineStr">
        <is>
          <t xml:space="preserve">28194770       </t>
        </is>
      </c>
      <c r="F1033" s="5" t="inlineStr">
        <is>
          <t>AUTOS DE METAL 3 TEAMSTERZ EN BLISTER</t>
        </is>
      </c>
      <c r="G1033" t="n">
        <v>1</v>
      </c>
      <c r="H1033" s="7" t="n">
        <v>6.9</v>
      </c>
      <c r="I1033" s="7" t="n">
        <v>0.6899999999999999</v>
      </c>
      <c r="J1033" s="7" t="n">
        <v>0</v>
      </c>
      <c r="K1033" s="9" t="n">
        <v>0.6899999999999999</v>
      </c>
      <c r="L1033" s="10" t="n">
        <v>3.68</v>
      </c>
      <c r="M1033" s="10" t="n">
        <v>1.43</v>
      </c>
      <c r="N1033" t="inlineStr">
        <is>
          <t>1</t>
        </is>
      </c>
      <c r="O1033" t="inlineStr">
        <is>
          <t xml:space="preserve">3 </t>
        </is>
      </c>
      <c r="P1033" t="inlineStr">
        <is>
          <t xml:space="preserve">78210   </t>
        </is>
      </c>
      <c r="Q1033" s="26" t="n">
        <v>6.9</v>
      </c>
      <c r="R1033" s="26">
        <f>Q1033*G1033</f>
        <v/>
      </c>
      <c r="S1033" t="n">
        <v>4.09</v>
      </c>
      <c r="T1033" s="18">
        <f>1 - V1033/S1033</f>
        <v/>
      </c>
      <c r="U1033" s="18" t="n">
        <v>0</v>
      </c>
      <c r="V1033" s="26" t="n">
        <v>4.09</v>
      </c>
      <c r="W1033" s="26">
        <f>V1033 - L1033</f>
        <v/>
      </c>
    </row>
    <row r="1034">
      <c r="A1034" s="11" t="n">
        <v>46214</v>
      </c>
      <c r="B1034" s="1" t="n">
        <v>20047</v>
      </c>
      <c r="C1034" s="1" t="inlineStr">
        <is>
          <t>191</t>
        </is>
      </c>
      <c r="D1034" s="1" t="inlineStr">
        <is>
          <t>461325</t>
        </is>
      </c>
      <c r="E1034" s="1" t="inlineStr">
        <is>
          <t xml:space="preserve">30232284       </t>
        </is>
      </c>
      <c r="F1034" s="5" t="inlineStr">
        <is>
          <t>INFINITY NADO TROMPO DE BATALLA - METAL C/PUNTA DE</t>
        </is>
      </c>
      <c r="G1034" t="n">
        <v>1</v>
      </c>
      <c r="H1034" s="7" t="n">
        <v>49.9</v>
      </c>
      <c r="I1034" s="7" t="n">
        <v>0</v>
      </c>
      <c r="J1034" s="7" t="n">
        <v>0</v>
      </c>
      <c r="K1034" s="9" t="n">
        <v>0</v>
      </c>
      <c r="L1034" s="10" t="n">
        <v>29.6</v>
      </c>
      <c r="M1034" s="10" t="n">
        <v>1.43</v>
      </c>
      <c r="N1034" t="inlineStr">
        <is>
          <t>1</t>
        </is>
      </c>
      <c r="O1034" t="inlineStr">
        <is>
          <t xml:space="preserve">2 </t>
        </is>
      </c>
      <c r="P1034" t="inlineStr">
        <is>
          <t xml:space="preserve">240556  </t>
        </is>
      </c>
      <c r="Q1034" s="26" t="n">
        <v>49.9</v>
      </c>
      <c r="R1034" s="26">
        <f>Q1034*G1034</f>
        <v/>
      </c>
      <c r="S1034" t="n">
        <v>29.6</v>
      </c>
      <c r="T1034" s="18">
        <f>1 - V1034/S1034</f>
        <v/>
      </c>
      <c r="U1034" s="18" t="n">
        <v>0.3006012024048096</v>
      </c>
      <c r="V1034" s="26" t="n">
        <v>22.18220338983051</v>
      </c>
      <c r="W1034" s="26">
        <f>V1034 - L1034</f>
        <v/>
      </c>
    </row>
    <row r="1035">
      <c r="A1035" s="11" t="n">
        <v>46214</v>
      </c>
      <c r="B1035" s="1" t="n">
        <v>20048</v>
      </c>
      <c r="C1035" s="1" t="inlineStr">
        <is>
          <t>013</t>
        </is>
      </c>
      <c r="D1035" s="1" t="inlineStr">
        <is>
          <t>224775</t>
        </is>
      </c>
      <c r="E1035" s="1" t="inlineStr">
        <is>
          <t xml:space="preserve">28194770       </t>
        </is>
      </c>
      <c r="F1035" s="5" t="inlineStr">
        <is>
          <t>AUTOS DE METAL 3 TEAMSTERZ EN BLISTER</t>
        </is>
      </c>
      <c r="G1035" t="n">
        <v>1</v>
      </c>
      <c r="H1035" s="7" t="n">
        <v>6.9</v>
      </c>
      <c r="I1035" s="7" t="n">
        <v>0</v>
      </c>
      <c r="J1035" s="7" t="n">
        <v>0</v>
      </c>
      <c r="K1035" s="9" t="n">
        <v>0</v>
      </c>
      <c r="L1035" s="10" t="n">
        <v>4.1</v>
      </c>
      <c r="M1035" s="10" t="n">
        <v>1.43</v>
      </c>
      <c r="N1035" t="inlineStr">
        <is>
          <t>1</t>
        </is>
      </c>
      <c r="O1035" t="inlineStr">
        <is>
          <t>16</t>
        </is>
      </c>
      <c r="P1035" t="inlineStr">
        <is>
          <t xml:space="preserve">80955   </t>
        </is>
      </c>
      <c r="Q1035" s="26" t="n">
        <v>6.9</v>
      </c>
      <c r="R1035" s="26">
        <f>Q1035*G1035</f>
        <v/>
      </c>
      <c r="S1035" t="n">
        <v>4.09</v>
      </c>
      <c r="T1035" s="18">
        <f>1 - V1035/S1035</f>
        <v/>
      </c>
      <c r="U1035" s="18" t="n">
        <v>0</v>
      </c>
      <c r="V1035" s="26" t="n">
        <v>4.09</v>
      </c>
      <c r="W1035" s="26">
        <f>V1035 - L1035</f>
        <v/>
      </c>
    </row>
    <row r="1036">
      <c r="A1036" s="11" t="n">
        <v>46214</v>
      </c>
      <c r="B1036" s="1" t="n">
        <v>20048</v>
      </c>
      <c r="C1036" s="1" t="inlineStr">
        <is>
          <t>013</t>
        </is>
      </c>
      <c r="D1036" s="1" t="inlineStr">
        <is>
          <t>224775</t>
        </is>
      </c>
      <c r="E1036" s="1" t="inlineStr">
        <is>
          <t xml:space="preserve">28194770       </t>
        </is>
      </c>
      <c r="F1036" s="5" t="inlineStr">
        <is>
          <t>AUTOS DE METAL 3 TEAMSTERZ EN BLISTER</t>
        </is>
      </c>
      <c r="G1036" t="n">
        <v>1</v>
      </c>
      <c r="H1036" s="7" t="n">
        <v>6.9</v>
      </c>
      <c r="I1036" s="7" t="n">
        <v>0</v>
      </c>
      <c r="J1036" s="7" t="n">
        <v>0</v>
      </c>
      <c r="K1036" s="9" t="n">
        <v>0</v>
      </c>
      <c r="L1036" s="10" t="n">
        <v>4.1</v>
      </c>
      <c r="M1036" s="10" t="n">
        <v>1.43</v>
      </c>
      <c r="N1036" t="inlineStr">
        <is>
          <t>1</t>
        </is>
      </c>
      <c r="O1036" t="inlineStr">
        <is>
          <t>16</t>
        </is>
      </c>
      <c r="P1036" t="inlineStr">
        <is>
          <t xml:space="preserve">80955   </t>
        </is>
      </c>
      <c r="Q1036" s="26" t="n">
        <v>6.9</v>
      </c>
      <c r="R1036" s="26">
        <f>Q1036*G1036</f>
        <v/>
      </c>
      <c r="S1036" t="n">
        <v>4.09</v>
      </c>
      <c r="T1036" s="18">
        <f>1 - V1036/S1036</f>
        <v/>
      </c>
      <c r="U1036" s="18" t="n">
        <v>0</v>
      </c>
      <c r="V1036" s="26" t="n">
        <v>4.09</v>
      </c>
      <c r="W1036" s="26">
        <f>V1036 - L1036</f>
        <v/>
      </c>
    </row>
    <row r="1037">
      <c r="A1037" s="11" t="n">
        <v>46214</v>
      </c>
      <c r="B1037" s="1" t="n">
        <v>20048</v>
      </c>
      <c r="C1037" s="1" t="inlineStr">
        <is>
          <t>013</t>
        </is>
      </c>
      <c r="D1037" s="1" t="inlineStr">
        <is>
          <t>224775</t>
        </is>
      </c>
      <c r="E1037" s="1" t="inlineStr">
        <is>
          <t xml:space="preserve">28194770       </t>
        </is>
      </c>
      <c r="F1037" s="5" t="inlineStr">
        <is>
          <t>AUTOS DE METAL 3 TEAMSTERZ EN BLISTER</t>
        </is>
      </c>
      <c r="G1037" t="n">
        <v>1</v>
      </c>
      <c r="H1037" s="7" t="n">
        <v>6.9</v>
      </c>
      <c r="I1037" s="7" t="n">
        <v>0</v>
      </c>
      <c r="J1037" s="7" t="n">
        <v>0</v>
      </c>
      <c r="K1037" s="9" t="n">
        <v>0</v>
      </c>
      <c r="L1037" s="10" t="n">
        <v>4.1</v>
      </c>
      <c r="M1037" s="10" t="n">
        <v>1.43</v>
      </c>
      <c r="N1037" t="inlineStr">
        <is>
          <t>1</t>
        </is>
      </c>
      <c r="O1037" t="inlineStr">
        <is>
          <t>16</t>
        </is>
      </c>
      <c r="P1037" t="inlineStr">
        <is>
          <t xml:space="preserve">80955   </t>
        </is>
      </c>
      <c r="Q1037" s="26" t="n">
        <v>6.9</v>
      </c>
      <c r="R1037" s="26">
        <f>Q1037*G1037</f>
        <v/>
      </c>
      <c r="S1037" t="n">
        <v>4.09</v>
      </c>
      <c r="T1037" s="18">
        <f>1 - V1037/S1037</f>
        <v/>
      </c>
      <c r="U1037" s="18" t="n">
        <v>0</v>
      </c>
      <c r="V1037" s="26" t="n">
        <v>4.09</v>
      </c>
      <c r="W1037" s="26">
        <f>V1037 - L1037</f>
        <v/>
      </c>
    </row>
    <row r="1038">
      <c r="A1038" s="11" t="n">
        <v>46214</v>
      </c>
      <c r="B1038" s="1" t="n">
        <v>20048</v>
      </c>
      <c r="C1038" s="1" t="inlineStr">
        <is>
          <t>013</t>
        </is>
      </c>
      <c r="D1038" s="1" t="inlineStr">
        <is>
          <t>224775</t>
        </is>
      </c>
      <c r="E1038" s="1" t="inlineStr">
        <is>
          <t xml:space="preserve">28194770       </t>
        </is>
      </c>
      <c r="F1038" s="5" t="inlineStr">
        <is>
          <t>AUTOS DE METAL 3 TEAMSTERZ EN BLISTER</t>
        </is>
      </c>
      <c r="G1038" t="n">
        <v>1</v>
      </c>
      <c r="H1038" s="7" t="n">
        <v>6.9</v>
      </c>
      <c r="I1038" s="7" t="n">
        <v>0</v>
      </c>
      <c r="J1038" s="7" t="n">
        <v>0</v>
      </c>
      <c r="K1038" s="9" t="n">
        <v>0</v>
      </c>
      <c r="L1038" s="10" t="n">
        <v>4.1</v>
      </c>
      <c r="M1038" s="10" t="n">
        <v>1.43</v>
      </c>
      <c r="N1038" t="inlineStr">
        <is>
          <t>1</t>
        </is>
      </c>
      <c r="O1038" t="inlineStr">
        <is>
          <t>16</t>
        </is>
      </c>
      <c r="P1038" t="inlineStr">
        <is>
          <t xml:space="preserve">80955   </t>
        </is>
      </c>
      <c r="Q1038" s="26" t="n">
        <v>6.9</v>
      </c>
      <c r="R1038" s="26">
        <f>Q1038*G1038</f>
        <v/>
      </c>
      <c r="S1038" t="n">
        <v>4.09</v>
      </c>
      <c r="T1038" s="18">
        <f>1 - V1038/S1038</f>
        <v/>
      </c>
      <c r="U1038" s="18" t="n">
        <v>0</v>
      </c>
      <c r="V1038" s="26" t="n">
        <v>4.09</v>
      </c>
      <c r="W1038" s="26">
        <f>V1038 - L1038</f>
        <v/>
      </c>
    </row>
    <row r="1039">
      <c r="A1039" s="11" t="n">
        <v>46214</v>
      </c>
      <c r="B1039" s="1" t="n">
        <v>20048</v>
      </c>
      <c r="C1039" s="1" t="inlineStr">
        <is>
          <t>013</t>
        </is>
      </c>
      <c r="D1039" s="1" t="inlineStr">
        <is>
          <t>224906</t>
        </is>
      </c>
      <c r="E1039" s="1" t="inlineStr">
        <is>
          <t xml:space="preserve">30141766       </t>
        </is>
      </c>
      <c r="F1039" s="5" t="inlineStr">
        <is>
          <t>TMZ BEAST MACHINES AUTOS DE METAL BLISTER X 1</t>
        </is>
      </c>
      <c r="G1039" t="n">
        <v>1</v>
      </c>
      <c r="H1039" s="7" t="n">
        <v>7.9</v>
      </c>
      <c r="I1039" s="7" t="n">
        <v>0</v>
      </c>
      <c r="J1039" s="7" t="n">
        <v>0</v>
      </c>
      <c r="K1039" s="9" t="n">
        <v>0</v>
      </c>
      <c r="L1039" s="10" t="n">
        <v>4.68</v>
      </c>
      <c r="M1039" s="10" t="n">
        <v>1.43</v>
      </c>
      <c r="N1039" t="inlineStr">
        <is>
          <t>1</t>
        </is>
      </c>
      <c r="O1039" t="inlineStr">
        <is>
          <t>16</t>
        </is>
      </c>
      <c r="P1039" t="inlineStr">
        <is>
          <t xml:space="preserve">80084   </t>
        </is>
      </c>
      <c r="Q1039" s="26" t="n">
        <v>7.9</v>
      </c>
      <c r="R1039" s="26">
        <f>Q1039*G1039</f>
        <v/>
      </c>
      <c r="S1039" t="n">
        <v>4.69</v>
      </c>
      <c r="T1039" s="18">
        <f>1 - V1039/S1039</f>
        <v/>
      </c>
      <c r="U1039" s="18" t="n">
        <v>0</v>
      </c>
      <c r="V1039" s="26" t="n">
        <v>4.69</v>
      </c>
      <c r="W1039" s="26">
        <f>V1039 - L1039</f>
        <v/>
      </c>
    </row>
    <row r="1040">
      <c r="A1040" s="11" t="n">
        <v>46214</v>
      </c>
      <c r="B1040" s="1" t="n">
        <v>20048</v>
      </c>
      <c r="C1040" s="1" t="inlineStr">
        <is>
          <t>013</t>
        </is>
      </c>
      <c r="D1040" s="1" t="inlineStr">
        <is>
          <t>224906</t>
        </is>
      </c>
      <c r="E1040" s="1" t="inlineStr">
        <is>
          <t xml:space="preserve">30141766       </t>
        </is>
      </c>
      <c r="F1040" s="5" t="inlineStr">
        <is>
          <t>TMZ BEAST MACHINES AUTOS DE METAL BLISTER X 1</t>
        </is>
      </c>
      <c r="G1040" t="n">
        <v>1</v>
      </c>
      <c r="H1040" s="7" t="n">
        <v>7.9</v>
      </c>
      <c r="I1040" s="7" t="n">
        <v>0</v>
      </c>
      <c r="J1040" s="7" t="n">
        <v>0</v>
      </c>
      <c r="K1040" s="9" t="n">
        <v>0</v>
      </c>
      <c r="L1040" s="10" t="n">
        <v>4.68</v>
      </c>
      <c r="M1040" s="10" t="n">
        <v>1.43</v>
      </c>
      <c r="N1040" t="inlineStr">
        <is>
          <t>1</t>
        </is>
      </c>
      <c r="O1040" t="inlineStr">
        <is>
          <t>16</t>
        </is>
      </c>
      <c r="P1040" t="inlineStr">
        <is>
          <t xml:space="preserve">80084   </t>
        </is>
      </c>
      <c r="Q1040" s="26" t="n">
        <v>7.9</v>
      </c>
      <c r="R1040" s="26">
        <f>Q1040*G1040</f>
        <v/>
      </c>
      <c r="S1040" t="n">
        <v>4.69</v>
      </c>
      <c r="T1040" s="18">
        <f>1 - V1040/S1040</f>
        <v/>
      </c>
      <c r="U1040" s="18" t="n">
        <v>0</v>
      </c>
      <c r="V1040" s="26" t="n">
        <v>4.69</v>
      </c>
      <c r="W1040" s="26">
        <f>V1040 - L1040</f>
        <v/>
      </c>
    </row>
    <row r="1041">
      <c r="A1041" s="11" t="n">
        <v>46214</v>
      </c>
      <c r="B1041" s="1" t="n">
        <v>20048</v>
      </c>
      <c r="C1041" s="1" t="inlineStr">
        <is>
          <t>017</t>
        </is>
      </c>
      <c r="D1041" s="1" t="inlineStr">
        <is>
          <t>166538</t>
        </is>
      </c>
      <c r="E1041" s="1" t="inlineStr">
        <is>
          <t xml:space="preserve">28194768       </t>
        </is>
      </c>
      <c r="F1041" s="5" t="inlineStr">
        <is>
          <t>AUTO COLOR CHANGE TEAMSTERZ SURTIDO</t>
        </is>
      </c>
      <c r="G1041" t="n">
        <v>1</v>
      </c>
      <c r="H1041" s="7" t="n">
        <v>14.9</v>
      </c>
      <c r="I1041" s="7" t="n">
        <v>0</v>
      </c>
      <c r="J1041" s="7" t="n">
        <v>0</v>
      </c>
      <c r="K1041" s="9" t="n">
        <v>0</v>
      </c>
      <c r="L1041" s="10" t="n">
        <v>8.84</v>
      </c>
      <c r="M1041" s="10" t="n">
        <v>1.43</v>
      </c>
      <c r="N1041" t="inlineStr">
        <is>
          <t>1</t>
        </is>
      </c>
      <c r="O1041" t="inlineStr">
        <is>
          <t>16</t>
        </is>
      </c>
      <c r="P1041" t="inlineStr">
        <is>
          <t xml:space="preserve">80084   </t>
        </is>
      </c>
      <c r="Q1041" s="26" t="n">
        <v>14.9</v>
      </c>
      <c r="R1041" s="26">
        <f>Q1041*G1041</f>
        <v/>
      </c>
      <c r="S1041" t="n">
        <v>8.84</v>
      </c>
      <c r="T1041" s="18">
        <f>1 - V1041/S1041</f>
        <v/>
      </c>
      <c r="U1041" s="18" t="n">
        <v>0</v>
      </c>
      <c r="V1041" s="26" t="n">
        <v>8.84</v>
      </c>
      <c r="W1041" s="26">
        <f>V1041 - L1041</f>
        <v/>
      </c>
    </row>
    <row r="1042">
      <c r="A1042" s="11" t="n">
        <v>46214</v>
      </c>
      <c r="B1042" s="1" t="n">
        <v>20048</v>
      </c>
      <c r="C1042" s="1" t="inlineStr">
        <is>
          <t>017</t>
        </is>
      </c>
      <c r="D1042" s="1" t="inlineStr">
        <is>
          <t>166538</t>
        </is>
      </c>
      <c r="E1042" s="1" t="inlineStr">
        <is>
          <t xml:space="preserve">28194768       </t>
        </is>
      </c>
      <c r="F1042" s="5" t="inlineStr">
        <is>
          <t>AUTO COLOR CHANGE TEAMSTERZ SURTIDO</t>
        </is>
      </c>
      <c r="G1042" t="n">
        <v>1</v>
      </c>
      <c r="H1042" s="7" t="n">
        <v>14.9</v>
      </c>
      <c r="I1042" s="7" t="n">
        <v>0</v>
      </c>
      <c r="J1042" s="7" t="n">
        <v>0</v>
      </c>
      <c r="K1042" s="9" t="n">
        <v>0</v>
      </c>
      <c r="L1042" s="10" t="n">
        <v>8.84</v>
      </c>
      <c r="M1042" s="10" t="n">
        <v>1.43</v>
      </c>
      <c r="N1042" t="inlineStr">
        <is>
          <t>1</t>
        </is>
      </c>
      <c r="O1042" t="inlineStr">
        <is>
          <t>16</t>
        </is>
      </c>
      <c r="P1042" t="inlineStr">
        <is>
          <t xml:space="preserve">80084   </t>
        </is>
      </c>
      <c r="Q1042" s="26" t="n">
        <v>14.9</v>
      </c>
      <c r="R1042" s="26">
        <f>Q1042*G1042</f>
        <v/>
      </c>
      <c r="S1042" t="n">
        <v>8.84</v>
      </c>
      <c r="T1042" s="18">
        <f>1 - V1042/S1042</f>
        <v/>
      </c>
      <c r="U1042" s="18" t="n">
        <v>0</v>
      </c>
      <c r="V1042" s="26" t="n">
        <v>8.84</v>
      </c>
      <c r="W1042" s="26">
        <f>V1042 - L1042</f>
        <v/>
      </c>
    </row>
    <row r="1043">
      <c r="A1043" s="11" t="n">
        <v>46214</v>
      </c>
      <c r="B1043" s="1" t="n">
        <v>20048</v>
      </c>
      <c r="C1043" s="1" t="inlineStr">
        <is>
          <t>018</t>
        </is>
      </c>
      <c r="D1043" s="1" t="inlineStr">
        <is>
          <t xml:space="preserve">46471 </t>
        </is>
      </c>
      <c r="E1043" s="1" t="inlineStr">
        <is>
          <t xml:space="preserve">28194770       </t>
        </is>
      </c>
      <c r="F1043" s="5" t="inlineStr">
        <is>
          <t>AUTOS DE METAL 3 TEAMSTERZ EN BLISTER</t>
        </is>
      </c>
      <c r="G1043" t="n">
        <v>1</v>
      </c>
      <c r="H1043" s="7" t="n">
        <v>6.9</v>
      </c>
      <c r="I1043" s="7" t="n">
        <v>0</v>
      </c>
      <c r="J1043" s="7" t="n">
        <v>0</v>
      </c>
      <c r="K1043" s="9" t="n">
        <v>0</v>
      </c>
      <c r="L1043" s="10" t="n">
        <v>4.1</v>
      </c>
      <c r="M1043" s="10" t="n">
        <v>1.43</v>
      </c>
      <c r="N1043" t="inlineStr">
        <is>
          <t>1</t>
        </is>
      </c>
      <c r="O1043" t="inlineStr">
        <is>
          <t>16</t>
        </is>
      </c>
      <c r="P1043" t="inlineStr">
        <is>
          <t xml:space="preserve">80084   </t>
        </is>
      </c>
      <c r="Q1043" s="26" t="n">
        <v>6.9</v>
      </c>
      <c r="R1043" s="26">
        <f>Q1043*G1043</f>
        <v/>
      </c>
      <c r="S1043" t="n">
        <v>4.09</v>
      </c>
      <c r="T1043" s="18">
        <f>1 - V1043/S1043</f>
        <v/>
      </c>
      <c r="U1043" s="18" t="n">
        <v>0</v>
      </c>
      <c r="V1043" s="26" t="n">
        <v>4.09</v>
      </c>
      <c r="W1043" s="26">
        <f>V1043 - L1043</f>
        <v/>
      </c>
    </row>
    <row r="1044">
      <c r="A1044" s="11" t="n">
        <v>46214</v>
      </c>
      <c r="B1044" s="1" t="n">
        <v>20048</v>
      </c>
      <c r="C1044" s="1" t="inlineStr">
        <is>
          <t>018</t>
        </is>
      </c>
      <c r="D1044" s="1" t="inlineStr">
        <is>
          <t xml:space="preserve">46532 </t>
        </is>
      </c>
      <c r="E1044" s="1" t="inlineStr">
        <is>
          <t xml:space="preserve">34840552       </t>
        </is>
      </c>
      <c r="F1044" s="5" t="inlineStr">
        <is>
          <t>TMZ HELI POLICIA CON LUCES Y SONIDOS</t>
        </is>
      </c>
      <c r="G1044" t="n">
        <v>1</v>
      </c>
      <c r="H1044" s="7" t="n">
        <v>79.90000000000001</v>
      </c>
      <c r="I1044" s="7" t="n">
        <v>7.99</v>
      </c>
      <c r="J1044" s="7" t="n">
        <v>0</v>
      </c>
      <c r="K1044" s="9" t="n">
        <v>7.99</v>
      </c>
      <c r="L1044" s="10" t="n">
        <v>42.66</v>
      </c>
      <c r="M1044" s="10" t="n">
        <v>1.43</v>
      </c>
      <c r="N1044" t="inlineStr">
        <is>
          <t>1</t>
        </is>
      </c>
      <c r="O1044" t="inlineStr">
        <is>
          <t xml:space="preserve">3 </t>
        </is>
      </c>
      <c r="P1044" t="inlineStr">
        <is>
          <t xml:space="preserve">85763   </t>
        </is>
      </c>
      <c r="Q1044" s="26" t="n">
        <v>79.90000000000002</v>
      </c>
      <c r="R1044" s="26">
        <f>Q1044*G1044</f>
        <v/>
      </c>
      <c r="S1044" t="n">
        <v>47.4</v>
      </c>
      <c r="T1044" s="18">
        <f>1 - V1044/S1044</f>
        <v/>
      </c>
      <c r="U1044" s="18" t="n">
        <v>0</v>
      </c>
      <c r="V1044" s="26" t="n">
        <v>47.4</v>
      </c>
      <c r="W1044" s="26">
        <f>V1044 - L1044</f>
        <v/>
      </c>
    </row>
    <row r="1045">
      <c r="A1045" s="11" t="n">
        <v>46214</v>
      </c>
      <c r="B1045" s="1" t="n">
        <v>20049</v>
      </c>
      <c r="C1045" s="1" t="inlineStr">
        <is>
          <t>025</t>
        </is>
      </c>
      <c r="D1045" s="1" t="inlineStr">
        <is>
          <t xml:space="preserve">33426 </t>
        </is>
      </c>
      <c r="E1045" s="1" t="inlineStr">
        <is>
          <t xml:space="preserve">32457111       </t>
        </is>
      </c>
      <c r="F1045" s="5" t="inlineStr">
        <is>
          <t>TMZ BEAST MACHINES MONSTER JAWS A FRICCION PACK DE</t>
        </is>
      </c>
      <c r="G1045" t="n">
        <v>1</v>
      </c>
      <c r="H1045" s="7" t="n">
        <v>74.90000000000001</v>
      </c>
      <c r="I1045" s="7" t="n">
        <v>0</v>
      </c>
      <c r="J1045" s="7" t="n">
        <v>0</v>
      </c>
      <c r="K1045" s="9" t="n">
        <v>0</v>
      </c>
      <c r="L1045" s="10" t="n">
        <v>44.43</v>
      </c>
      <c r="M1045" s="10" t="n">
        <v>1.43</v>
      </c>
      <c r="N1045" t="inlineStr">
        <is>
          <t>1</t>
        </is>
      </c>
      <c r="O1045" t="inlineStr">
        <is>
          <t xml:space="preserve">2 </t>
        </is>
      </c>
      <c r="P1045" t="inlineStr">
        <is>
          <t xml:space="preserve">234411  </t>
        </is>
      </c>
      <c r="Q1045" s="26" t="n">
        <v>74.90000000000001</v>
      </c>
      <c r="R1045" s="26">
        <f>Q1045*G1045</f>
        <v/>
      </c>
      <c r="S1045" t="n">
        <v>44.43</v>
      </c>
      <c r="T1045" s="18">
        <f>1 - V1045/S1045</f>
        <v/>
      </c>
      <c r="U1045" s="18" t="n">
        <v>0.2670226969292391</v>
      </c>
      <c r="V1045" s="26" t="n">
        <v>31.92406779661017</v>
      </c>
      <c r="W1045" s="26">
        <f>V1045 - L1045</f>
        <v/>
      </c>
    </row>
    <row r="1046">
      <c r="A1046" s="11" t="n">
        <v>46214</v>
      </c>
      <c r="B1046" s="1" t="n">
        <v>20049</v>
      </c>
      <c r="C1046" s="1" t="inlineStr">
        <is>
          <t>025</t>
        </is>
      </c>
      <c r="D1046" s="1" t="inlineStr">
        <is>
          <t xml:space="preserve">33439 </t>
        </is>
      </c>
      <c r="E1046" s="1" t="inlineStr">
        <is>
          <t xml:space="preserve">28194770       </t>
        </is>
      </c>
      <c r="F1046" s="5" t="inlineStr">
        <is>
          <t>AUTOS DE METAL 3 TEAMSTERZ EN BLISTER</t>
        </is>
      </c>
      <c r="G1046" t="n">
        <v>1</v>
      </c>
      <c r="H1046" s="7" t="n">
        <v>6.9</v>
      </c>
      <c r="I1046" s="7" t="n">
        <v>0</v>
      </c>
      <c r="J1046" s="7" t="n">
        <v>0</v>
      </c>
      <c r="K1046" s="9" t="n">
        <v>0</v>
      </c>
      <c r="L1046" s="10" t="n">
        <v>4.1</v>
      </c>
      <c r="M1046" s="10" t="n">
        <v>1.43</v>
      </c>
      <c r="N1046" t="inlineStr">
        <is>
          <t>1</t>
        </is>
      </c>
      <c r="O1046" t="inlineStr">
        <is>
          <t>16</t>
        </is>
      </c>
      <c r="P1046" t="inlineStr">
        <is>
          <t xml:space="preserve">234411  </t>
        </is>
      </c>
      <c r="Q1046" s="26" t="n">
        <v>6.9</v>
      </c>
      <c r="R1046" s="26">
        <f>Q1046*G1046</f>
        <v/>
      </c>
      <c r="S1046" t="n">
        <v>4.09</v>
      </c>
      <c r="T1046" s="18">
        <f>1 - V1046/S1046</f>
        <v/>
      </c>
      <c r="U1046" s="18" t="n">
        <v>0</v>
      </c>
      <c r="V1046" s="26" t="n">
        <v>4.09</v>
      </c>
      <c r="W1046" s="26">
        <f>V1046 - L1046</f>
        <v/>
      </c>
    </row>
    <row r="1047">
      <c r="A1047" s="11" t="n">
        <v>46214</v>
      </c>
      <c r="B1047" s="1" t="n">
        <v>20049</v>
      </c>
      <c r="C1047" s="1" t="inlineStr">
        <is>
          <t>031</t>
        </is>
      </c>
      <c r="D1047" s="1" t="inlineStr">
        <is>
          <t>120976</t>
        </is>
      </c>
      <c r="E1047" s="1" t="inlineStr">
        <is>
          <t xml:space="preserve">29235702       </t>
        </is>
      </c>
      <c r="F1047" s="5" t="inlineStr">
        <is>
          <t>INFINITY NADO TROMPO DE BATALLA - METAL C/ ANILLO</t>
        </is>
      </c>
      <c r="G1047" t="n">
        <v>1</v>
      </c>
      <c r="H1047" s="7" t="n">
        <v>69.90000000000001</v>
      </c>
      <c r="I1047" s="7" t="n">
        <v>6.99</v>
      </c>
      <c r="J1047" s="7" t="n">
        <v>0</v>
      </c>
      <c r="K1047" s="9" t="n">
        <v>6.99</v>
      </c>
      <c r="L1047" s="10" t="n">
        <v>37.32</v>
      </c>
      <c r="M1047" s="10" t="n">
        <v>1.43</v>
      </c>
      <c r="N1047" t="inlineStr">
        <is>
          <t>1</t>
        </is>
      </c>
      <c r="O1047" t="inlineStr">
        <is>
          <t xml:space="preserve">3 </t>
        </is>
      </c>
      <c r="P1047" t="inlineStr">
        <is>
          <t xml:space="preserve">248534  </t>
        </is>
      </c>
      <c r="Q1047" s="26" t="n">
        <v>69.90000000000001</v>
      </c>
      <c r="R1047" s="26">
        <f>Q1047*G1047</f>
        <v/>
      </c>
      <c r="S1047" t="n">
        <v>41.47</v>
      </c>
      <c r="T1047" s="18">
        <f>1 - V1047/S1047</f>
        <v/>
      </c>
      <c r="U1047" s="18" t="n">
        <v>0.2861230329041489</v>
      </c>
      <c r="V1047" s="26" t="n">
        <v>31.71610169491525</v>
      </c>
      <c r="W1047" s="26">
        <f>V1047 - L1047</f>
        <v/>
      </c>
    </row>
    <row r="1048">
      <c r="A1048" s="11" t="n">
        <v>46214</v>
      </c>
      <c r="B1048" s="1" t="n">
        <v>20049</v>
      </c>
      <c r="C1048" s="1" t="inlineStr">
        <is>
          <t>031</t>
        </is>
      </c>
      <c r="D1048" s="1" t="inlineStr">
        <is>
          <t>120991</t>
        </is>
      </c>
      <c r="E1048" s="1" t="inlineStr">
        <is>
          <t xml:space="preserve">28194783       </t>
        </is>
      </c>
      <c r="F1048" s="5" t="inlineStr">
        <is>
          <t>SET DE BATALLA INFINITY NADO CON 2 TROMPOS</t>
        </is>
      </c>
      <c r="G1048" t="n">
        <v>1</v>
      </c>
      <c r="H1048" s="7" t="n">
        <v>159</v>
      </c>
      <c r="I1048" s="7" t="n">
        <v>0</v>
      </c>
      <c r="J1048" s="7" t="n">
        <v>0</v>
      </c>
      <c r="K1048" s="9" t="n">
        <v>0</v>
      </c>
      <c r="L1048" s="10" t="n">
        <v>94.33</v>
      </c>
      <c r="M1048" s="10" t="n">
        <v>1.43</v>
      </c>
      <c r="N1048" t="inlineStr">
        <is>
          <t>1</t>
        </is>
      </c>
      <c r="O1048" t="inlineStr">
        <is>
          <t xml:space="preserve">2 </t>
        </is>
      </c>
      <c r="P1048" t="inlineStr">
        <is>
          <t xml:space="preserve">248534  </t>
        </is>
      </c>
      <c r="Q1048" s="26" t="n">
        <v>159</v>
      </c>
      <c r="R1048" s="26">
        <f>Q1048*G1048</f>
        <v/>
      </c>
      <c r="S1048" t="n">
        <v>94.31999999999999</v>
      </c>
      <c r="T1048" s="18">
        <f>1 - V1048/S1048</f>
        <v/>
      </c>
      <c r="U1048" s="18" t="n">
        <v>0.1886792452830188</v>
      </c>
      <c r="V1048" s="26" t="n">
        <v>81.99152542372882</v>
      </c>
      <c r="W1048" s="26">
        <f>V1048 - L1048</f>
        <v/>
      </c>
    </row>
    <row r="1049">
      <c r="A1049" s="11" t="n">
        <v>46214</v>
      </c>
      <c r="B1049" s="1" t="n">
        <v>20049</v>
      </c>
      <c r="C1049" s="1" t="inlineStr">
        <is>
          <t>031</t>
        </is>
      </c>
      <c r="D1049" s="1" t="inlineStr">
        <is>
          <t>120991</t>
        </is>
      </c>
      <c r="E1049" s="1" t="inlineStr">
        <is>
          <t xml:space="preserve">31754675       </t>
        </is>
      </c>
      <c r="F1049" s="5" t="inlineStr">
        <is>
          <t>INFINITY NADO SERIE 6 STARTER PACK - 4 MODELOS</t>
        </is>
      </c>
      <c r="G1049" t="n">
        <v>1</v>
      </c>
      <c r="H1049" s="7" t="n">
        <v>69.90000000000001</v>
      </c>
      <c r="I1049" s="7" t="n">
        <v>0</v>
      </c>
      <c r="J1049" s="7" t="n">
        <v>0</v>
      </c>
      <c r="K1049" s="9" t="n">
        <v>0</v>
      </c>
      <c r="L1049" s="10" t="n">
        <v>41.47</v>
      </c>
      <c r="M1049" s="10" t="n">
        <v>1.43</v>
      </c>
      <c r="N1049" t="inlineStr">
        <is>
          <t>1</t>
        </is>
      </c>
      <c r="O1049" t="inlineStr">
        <is>
          <t xml:space="preserve">2 </t>
        </is>
      </c>
      <c r="P1049" t="inlineStr">
        <is>
          <t xml:space="preserve">248534  </t>
        </is>
      </c>
      <c r="Q1049" s="26" t="n">
        <v>69.90000000000001</v>
      </c>
      <c r="R1049" s="26">
        <f>Q1049*G1049</f>
        <v/>
      </c>
      <c r="S1049" t="n">
        <v>41.47</v>
      </c>
      <c r="T1049" s="18">
        <f>1 - V1049/S1049</f>
        <v/>
      </c>
      <c r="U1049" s="18" t="n">
        <v>0.2861230329041489</v>
      </c>
      <c r="V1049" s="26" t="n">
        <v>31.71610169491525</v>
      </c>
      <c r="W1049" s="26">
        <f>V1049 - L1049</f>
        <v/>
      </c>
    </row>
    <row r="1050">
      <c r="A1050" s="11" t="n">
        <v>46214</v>
      </c>
      <c r="B1050" s="1" t="n">
        <v>20056</v>
      </c>
      <c r="C1050" s="1" t="inlineStr">
        <is>
          <t>014</t>
        </is>
      </c>
      <c r="D1050" s="1" t="inlineStr">
        <is>
          <t xml:space="preserve">8461  </t>
        </is>
      </c>
      <c r="E1050" s="1" t="inlineStr">
        <is>
          <t xml:space="preserve">32656416       </t>
        </is>
      </c>
      <c r="F1050" s="5" t="inlineStr">
        <is>
          <t>EL PISO ES LAVA</t>
        </is>
      </c>
      <c r="G1050" t="n">
        <v>1</v>
      </c>
      <c r="H1050" s="7" t="n">
        <v>79.90000000000001</v>
      </c>
      <c r="I1050" s="7" t="n">
        <v>7.99</v>
      </c>
      <c r="J1050" s="7" t="n">
        <v>0</v>
      </c>
      <c r="K1050" s="9" t="n">
        <v>7.99</v>
      </c>
      <c r="L1050" s="10" t="n">
        <v>42.66</v>
      </c>
      <c r="M1050" s="10" t="n">
        <v>1.43</v>
      </c>
      <c r="N1050" t="inlineStr">
        <is>
          <t>1</t>
        </is>
      </c>
      <c r="O1050" t="inlineStr">
        <is>
          <t xml:space="preserve">3 </t>
        </is>
      </c>
      <c r="P1050" t="inlineStr">
        <is>
          <t xml:space="preserve">246530  </t>
        </is>
      </c>
      <c r="Q1050" s="26" t="n">
        <v>79.90000000000001</v>
      </c>
      <c r="R1050" s="26">
        <f>Q1050*G1050</f>
        <v/>
      </c>
      <c r="S1050" t="n">
        <v>47.4</v>
      </c>
      <c r="T1050" s="18">
        <f>1 - V1050/S1050</f>
        <v/>
      </c>
      <c r="U1050" s="18" t="n">
        <v>0.5632040050062579</v>
      </c>
      <c r="V1050" s="26" t="n">
        <v>28.10169491525424</v>
      </c>
      <c r="W1050" s="26">
        <f>V1050 - L1050</f>
        <v/>
      </c>
    </row>
    <row r="1051">
      <c r="A1051" s="11" t="n">
        <v>46214</v>
      </c>
      <c r="B1051" s="1" t="n">
        <v>20056</v>
      </c>
      <c r="C1051" s="1" t="inlineStr">
        <is>
          <t>022</t>
        </is>
      </c>
      <c r="D1051" s="1" t="inlineStr">
        <is>
          <t xml:space="preserve">54860 </t>
        </is>
      </c>
      <c r="E1051" s="1" t="inlineStr">
        <is>
          <t xml:space="preserve">32457105       </t>
        </is>
      </c>
      <c r="F1051" s="5" t="inlineStr">
        <is>
          <t>TMZ BEAST MACHINES MONSTER JAWS ATAQUE ESCORPION +</t>
        </is>
      </c>
      <c r="G1051" t="n">
        <v>1</v>
      </c>
      <c r="H1051" s="7" t="n">
        <v>69.90000000000001</v>
      </c>
      <c r="I1051" s="7" t="n">
        <v>0</v>
      </c>
      <c r="J1051" s="7" t="n">
        <v>0</v>
      </c>
      <c r="K1051" s="9" t="n">
        <v>0</v>
      </c>
      <c r="L1051" s="10" t="n">
        <v>41.47</v>
      </c>
      <c r="M1051" s="10" t="n">
        <v>1.43</v>
      </c>
      <c r="N1051" t="inlineStr">
        <is>
          <t>1</t>
        </is>
      </c>
      <c r="O1051" t="inlineStr">
        <is>
          <t>16</t>
        </is>
      </c>
      <c r="P1051" t="inlineStr">
        <is>
          <t xml:space="preserve">248464  </t>
        </is>
      </c>
      <c r="Q1051" s="26" t="n">
        <v>69.90000000000001</v>
      </c>
      <c r="R1051" s="26">
        <f>Q1051*G1051</f>
        <v/>
      </c>
      <c r="S1051" t="n">
        <v>41.47</v>
      </c>
      <c r="T1051" s="18">
        <f>1 - V1051/S1051</f>
        <v/>
      </c>
      <c r="U1051" s="18" t="n">
        <v>0.2861230329041489</v>
      </c>
      <c r="V1051" s="26" t="n">
        <v>31.71610169491525</v>
      </c>
      <c r="W1051" s="26">
        <f>V1051 - L1051</f>
        <v/>
      </c>
    </row>
    <row r="1052">
      <c r="A1052" s="11" t="n">
        <v>46214</v>
      </c>
      <c r="B1052" s="1" t="n">
        <v>20057</v>
      </c>
      <c r="C1052" s="1" t="inlineStr">
        <is>
          <t>030</t>
        </is>
      </c>
      <c r="D1052" s="1" t="inlineStr">
        <is>
          <t xml:space="preserve">12670 </t>
        </is>
      </c>
      <c r="E1052" s="1" t="inlineStr">
        <is>
          <t xml:space="preserve">28194781       </t>
        </is>
      </c>
      <c r="F1052" s="5" t="inlineStr">
        <is>
          <t>TROMPO BATALLA INFINITY NADO SERIE V CLASICA SURTI</t>
        </is>
      </c>
      <c r="G1052" t="n">
        <v>1</v>
      </c>
      <c r="H1052" s="7" t="n">
        <v>59.9</v>
      </c>
      <c r="I1052" s="7" t="n">
        <v>0</v>
      </c>
      <c r="J1052" s="7" t="n">
        <v>0</v>
      </c>
      <c r="K1052" s="9" t="n">
        <v>0</v>
      </c>
      <c r="L1052" s="10" t="n">
        <v>35.53</v>
      </c>
      <c r="M1052" s="10" t="n">
        <v>1.43</v>
      </c>
      <c r="N1052" t="inlineStr">
        <is>
          <t>1</t>
        </is>
      </c>
      <c r="O1052" t="inlineStr">
        <is>
          <t xml:space="preserve">2 </t>
        </is>
      </c>
      <c r="P1052" t="inlineStr">
        <is>
          <t xml:space="preserve">98856   </t>
        </is>
      </c>
      <c r="Q1052" s="26" t="n">
        <v>59.9</v>
      </c>
      <c r="R1052" s="26">
        <f>Q1052*G1052</f>
        <v/>
      </c>
      <c r="S1052" t="n">
        <v>35.53</v>
      </c>
      <c r="T1052" s="18">
        <f>1 - V1052/S1052</f>
        <v/>
      </c>
      <c r="U1052" s="18" t="n">
        <v>0.333889816360601</v>
      </c>
      <c r="V1052" s="26" t="n">
        <v>25.36016949152542</v>
      </c>
      <c r="W1052" s="26">
        <f>V1052 - L1052</f>
        <v/>
      </c>
    </row>
    <row r="1053">
      <c r="A1053" s="11" t="n">
        <v>46214</v>
      </c>
      <c r="B1053" s="1" t="n">
        <v>20057</v>
      </c>
      <c r="C1053" s="1" t="inlineStr">
        <is>
          <t>032</t>
        </is>
      </c>
      <c r="D1053" s="1" t="inlineStr">
        <is>
          <t xml:space="preserve">2003  </t>
        </is>
      </c>
      <c r="E1053" s="1" t="inlineStr">
        <is>
          <t xml:space="preserve">30141768       </t>
        </is>
      </c>
      <c r="F1053" s="5" t="inlineStr">
        <is>
          <t>TMZ BEAST MACHINES AUTOS DE METAL PACK 10 AUTOS</t>
        </is>
      </c>
      <c r="G1053" t="n">
        <v>1</v>
      </c>
      <c r="H1053" s="7" t="n">
        <v>79</v>
      </c>
      <c r="I1053" s="7" t="n">
        <v>0</v>
      </c>
      <c r="J1053" s="7" t="n">
        <v>0</v>
      </c>
      <c r="K1053" s="9" t="n">
        <v>0</v>
      </c>
      <c r="L1053" s="10" t="n">
        <v>46.87</v>
      </c>
      <c r="M1053" s="10" t="n">
        <v>1.43</v>
      </c>
      <c r="N1053" t="inlineStr">
        <is>
          <t>1</t>
        </is>
      </c>
      <c r="O1053" t="inlineStr">
        <is>
          <t>16</t>
        </is>
      </c>
      <c r="P1053" t="inlineStr">
        <is>
          <t xml:space="preserve">250522  </t>
        </is>
      </c>
      <c r="Q1053" s="26" t="n">
        <v>79</v>
      </c>
      <c r="R1053" s="26">
        <f>Q1053*G1053</f>
        <v/>
      </c>
      <c r="S1053" t="n">
        <v>46.86</v>
      </c>
      <c r="T1053" s="18">
        <f>1 - V1053/S1053</f>
        <v/>
      </c>
      <c r="U1053" s="18" t="n">
        <v>0.1265822784810127</v>
      </c>
      <c r="V1053" s="26" t="n">
        <v>43.85593220338983</v>
      </c>
      <c r="W1053" s="26">
        <f>V1053 - L1053</f>
        <v/>
      </c>
    </row>
    <row r="1054">
      <c r="A1054" s="11" t="n">
        <v>46214</v>
      </c>
      <c r="B1054" s="1" t="n">
        <v>20057</v>
      </c>
      <c r="C1054" s="1" t="inlineStr">
        <is>
          <t>032</t>
        </is>
      </c>
      <c r="D1054" s="1" t="inlineStr">
        <is>
          <t xml:space="preserve">74450 </t>
        </is>
      </c>
      <c r="E1054" s="1" t="inlineStr">
        <is>
          <t xml:space="preserve">35685067       </t>
        </is>
      </c>
      <c r="F1054" s="5" t="inlineStr">
        <is>
          <t>HOT WHEELS POWER SET 3 EN 1</t>
        </is>
      </c>
      <c r="G1054" t="n">
        <v>1</v>
      </c>
      <c r="H1054" s="7" t="n">
        <v>49.9</v>
      </c>
      <c r="I1054" s="7" t="n">
        <v>4.99</v>
      </c>
      <c r="J1054" s="7" t="n">
        <v>0</v>
      </c>
      <c r="K1054" s="9" t="n">
        <v>4.99</v>
      </c>
      <c r="L1054" s="10" t="n">
        <v>26.64</v>
      </c>
      <c r="M1054" s="10" t="n">
        <v>1.43</v>
      </c>
      <c r="N1054" t="inlineStr">
        <is>
          <t>1</t>
        </is>
      </c>
      <c r="O1054" t="inlineStr">
        <is>
          <t xml:space="preserve">3 </t>
        </is>
      </c>
      <c r="P1054" t="inlineStr">
        <is>
          <t xml:space="preserve">250522  </t>
        </is>
      </c>
      <c r="Q1054" s="26" t="n">
        <v>49.9</v>
      </c>
      <c r="R1054" s="26">
        <f>Q1054*G1054</f>
        <v/>
      </c>
      <c r="S1054" t="n">
        <v>29.6</v>
      </c>
      <c r="T1054" s="18">
        <f>1 - V1054/S1054</f>
        <v/>
      </c>
      <c r="U1054" s="18" t="n">
        <v>0</v>
      </c>
      <c r="V1054" s="26" t="n">
        <v>29.6</v>
      </c>
      <c r="W1054" s="26">
        <f>V1054 - L1054</f>
        <v/>
      </c>
    </row>
    <row r="1055">
      <c r="A1055" s="11" t="n">
        <v>46214</v>
      </c>
      <c r="B1055" s="1" t="n">
        <v>20057</v>
      </c>
      <c r="C1055" s="1" t="inlineStr">
        <is>
          <t>032</t>
        </is>
      </c>
      <c r="D1055" s="1" t="inlineStr">
        <is>
          <t xml:space="preserve">74497 </t>
        </is>
      </c>
      <c r="E1055" s="1" t="inlineStr">
        <is>
          <t xml:space="preserve">28194769       </t>
        </is>
      </c>
      <c r="F1055" s="5" t="inlineStr">
        <is>
          <t>AUTOS DE METAL 3 TEAMSTERZ PACK DE 2</t>
        </is>
      </c>
      <c r="G1055" t="n">
        <v>1</v>
      </c>
      <c r="H1055" s="7" t="n">
        <v>13.8</v>
      </c>
      <c r="I1055" s="7" t="n">
        <v>1.38</v>
      </c>
      <c r="J1055" s="7" t="n">
        <v>0</v>
      </c>
      <c r="K1055" s="9" t="n">
        <v>1.38</v>
      </c>
      <c r="L1055" s="10" t="n">
        <v>7.37</v>
      </c>
      <c r="M1055" s="10" t="n">
        <v>1.43</v>
      </c>
      <c r="N1055" t="inlineStr">
        <is>
          <t>1</t>
        </is>
      </c>
      <c r="O1055" t="inlineStr">
        <is>
          <t xml:space="preserve">3 </t>
        </is>
      </c>
      <c r="P1055" t="inlineStr">
        <is>
          <t xml:space="preserve">250522  </t>
        </is>
      </c>
      <c r="Q1055" s="26" t="n">
        <v>13.8</v>
      </c>
      <c r="R1055" s="26">
        <f>Q1055*G1055</f>
        <v/>
      </c>
      <c r="S1055" t="n">
        <v>8.19</v>
      </c>
      <c r="T1055" s="18">
        <f>1 - V1055/S1055</f>
        <v/>
      </c>
      <c r="U1055" s="18" t="n">
        <v>0</v>
      </c>
      <c r="V1055" s="26" t="n">
        <v>8.19</v>
      </c>
      <c r="W1055" s="26">
        <f>V1055 - L1055</f>
        <v/>
      </c>
    </row>
    <row r="1056">
      <c r="A1056" s="11" t="n">
        <v>46214</v>
      </c>
      <c r="B1056" s="1" t="n">
        <v>20057</v>
      </c>
      <c r="C1056" s="1" t="inlineStr">
        <is>
          <t>033</t>
        </is>
      </c>
      <c r="D1056" s="1" t="inlineStr">
        <is>
          <t xml:space="preserve">66806 </t>
        </is>
      </c>
      <c r="E1056" s="1" t="inlineStr">
        <is>
          <t xml:space="preserve">28194770       </t>
        </is>
      </c>
      <c r="F1056" s="5" t="inlineStr">
        <is>
          <t>AUTOS DE METAL 3 TEAMSTERZ EN BLISTER</t>
        </is>
      </c>
      <c r="G1056" t="n">
        <v>1</v>
      </c>
      <c r="H1056" s="7" t="n">
        <v>6.9</v>
      </c>
      <c r="I1056" s="7" t="n">
        <v>0</v>
      </c>
      <c r="J1056" s="7" t="n">
        <v>0</v>
      </c>
      <c r="K1056" s="9" t="n">
        <v>0</v>
      </c>
      <c r="L1056" s="10" t="n">
        <v>4.1</v>
      </c>
      <c r="M1056" s="10" t="n">
        <v>1.43</v>
      </c>
      <c r="N1056" t="inlineStr">
        <is>
          <t>1</t>
        </is>
      </c>
      <c r="O1056" t="inlineStr">
        <is>
          <t>16</t>
        </is>
      </c>
      <c r="P1056" t="inlineStr">
        <is>
          <t xml:space="preserve">105593  </t>
        </is>
      </c>
      <c r="Q1056" s="26" t="n">
        <v>6.9</v>
      </c>
      <c r="R1056" s="26">
        <f>Q1056*G1056</f>
        <v/>
      </c>
      <c r="S1056" t="n">
        <v>4.09</v>
      </c>
      <c r="T1056" s="18">
        <f>1 - V1056/S1056</f>
        <v/>
      </c>
      <c r="U1056" s="18" t="n">
        <v>0</v>
      </c>
      <c r="V1056" s="26" t="n">
        <v>4.09</v>
      </c>
      <c r="W1056" s="26">
        <f>V1056 - L1056</f>
        <v/>
      </c>
    </row>
    <row r="1057">
      <c r="A1057" s="11" t="n">
        <v>46214</v>
      </c>
      <c r="B1057" s="1" t="n">
        <v>20057</v>
      </c>
      <c r="C1057" s="1" t="inlineStr">
        <is>
          <t>033</t>
        </is>
      </c>
      <c r="D1057" s="1" t="inlineStr">
        <is>
          <t xml:space="preserve">66806 </t>
        </is>
      </c>
      <c r="E1057" s="1" t="inlineStr">
        <is>
          <t xml:space="preserve">28194770       </t>
        </is>
      </c>
      <c r="F1057" s="5" t="inlineStr">
        <is>
          <t>AUTOS DE METAL 3 TEAMSTERZ EN BLISTER</t>
        </is>
      </c>
      <c r="G1057" t="n">
        <v>1</v>
      </c>
      <c r="H1057" s="7" t="n">
        <v>6.9</v>
      </c>
      <c r="I1057" s="7" t="n">
        <v>0</v>
      </c>
      <c r="J1057" s="7" t="n">
        <v>0</v>
      </c>
      <c r="K1057" s="9" t="n">
        <v>0</v>
      </c>
      <c r="L1057" s="10" t="n">
        <v>4.1</v>
      </c>
      <c r="M1057" s="10" t="n">
        <v>1.43</v>
      </c>
      <c r="N1057" t="inlineStr">
        <is>
          <t>1</t>
        </is>
      </c>
      <c r="O1057" t="inlineStr">
        <is>
          <t>16</t>
        </is>
      </c>
      <c r="P1057" t="inlineStr">
        <is>
          <t xml:space="preserve">105593  </t>
        </is>
      </c>
      <c r="Q1057" s="26" t="n">
        <v>6.9</v>
      </c>
      <c r="R1057" s="26">
        <f>Q1057*G1057</f>
        <v/>
      </c>
      <c r="S1057" t="n">
        <v>4.09</v>
      </c>
      <c r="T1057" s="18">
        <f>1 - V1057/S1057</f>
        <v/>
      </c>
      <c r="U1057" s="18" t="n">
        <v>0</v>
      </c>
      <c r="V1057" s="26" t="n">
        <v>4.09</v>
      </c>
      <c r="W1057" s="26">
        <f>V1057 - L1057</f>
        <v/>
      </c>
    </row>
    <row r="1058">
      <c r="A1058" s="11" t="n">
        <v>46214</v>
      </c>
      <c r="B1058" s="1" t="n">
        <v>20057</v>
      </c>
      <c r="C1058" s="1" t="inlineStr">
        <is>
          <t>033</t>
        </is>
      </c>
      <c r="D1058" s="1" t="inlineStr">
        <is>
          <t xml:space="preserve">66858 </t>
        </is>
      </c>
      <c r="E1058" s="1" t="inlineStr">
        <is>
          <t xml:space="preserve">28194770       </t>
        </is>
      </c>
      <c r="F1058" s="5" t="inlineStr">
        <is>
          <t>AUTOS DE METAL 3 TEAMSTERZ EN BLISTER</t>
        </is>
      </c>
      <c r="G1058" t="n">
        <v>1</v>
      </c>
      <c r="H1058" s="7" t="n">
        <v>6.9</v>
      </c>
      <c r="I1058" s="7" t="n">
        <v>0</v>
      </c>
      <c r="J1058" s="7" t="n">
        <v>0</v>
      </c>
      <c r="K1058" s="9" t="n">
        <v>0</v>
      </c>
      <c r="L1058" s="10" t="n">
        <v>4.1</v>
      </c>
      <c r="M1058" s="10" t="n">
        <v>1.43</v>
      </c>
      <c r="N1058" t="inlineStr">
        <is>
          <t>1</t>
        </is>
      </c>
      <c r="O1058" t="inlineStr">
        <is>
          <t xml:space="preserve">2 </t>
        </is>
      </c>
      <c r="P1058" t="inlineStr">
        <is>
          <t xml:space="preserve">105593  </t>
        </is>
      </c>
      <c r="Q1058" s="26" t="n">
        <v>6.9</v>
      </c>
      <c r="R1058" s="26">
        <f>Q1058*G1058</f>
        <v/>
      </c>
      <c r="S1058" t="n">
        <v>4.09</v>
      </c>
      <c r="T1058" s="18">
        <f>1 - V1058/S1058</f>
        <v/>
      </c>
      <c r="U1058" s="18" t="n">
        <v>0</v>
      </c>
      <c r="V1058" s="26" t="n">
        <v>4.09</v>
      </c>
      <c r="W1058" s="26">
        <f>V1058 - L1058</f>
        <v/>
      </c>
    </row>
    <row r="1059">
      <c r="A1059" s="11" t="n">
        <v>46214</v>
      </c>
      <c r="B1059" s="1" t="n">
        <v>20058</v>
      </c>
      <c r="C1059" s="1" t="inlineStr">
        <is>
          <t>039</t>
        </is>
      </c>
      <c r="D1059" s="1" t="inlineStr">
        <is>
          <t>230170</t>
        </is>
      </c>
      <c r="E1059" s="1" t="inlineStr">
        <is>
          <t xml:space="preserve">28194780       </t>
        </is>
      </c>
      <c r="F1059" s="5" t="inlineStr">
        <is>
          <t>TROMPO BATALLA INFINITY NADO PLSTICO SURTIDO</t>
        </is>
      </c>
      <c r="G1059" t="n">
        <v>1</v>
      </c>
      <c r="H1059" s="7" t="n">
        <v>19.9</v>
      </c>
      <c r="I1059" s="7" t="n">
        <v>0</v>
      </c>
      <c r="J1059" s="7" t="n">
        <v>0</v>
      </c>
      <c r="K1059" s="9" t="n">
        <v>0</v>
      </c>
      <c r="L1059" s="10" t="n">
        <v>11.8</v>
      </c>
      <c r="M1059" s="10" t="n">
        <v>1.43</v>
      </c>
      <c r="N1059" t="inlineStr">
        <is>
          <t>1</t>
        </is>
      </c>
      <c r="O1059" t="inlineStr">
        <is>
          <t>16</t>
        </is>
      </c>
      <c r="P1059" t="inlineStr">
        <is>
          <t xml:space="preserve">246156  </t>
        </is>
      </c>
      <c r="Q1059" s="26" t="n">
        <v>19.9</v>
      </c>
      <c r="R1059" s="26">
        <f>Q1059*G1059</f>
        <v/>
      </c>
      <c r="S1059" t="n">
        <v>11.81</v>
      </c>
      <c r="T1059" s="18">
        <f>1 - V1059/S1059</f>
        <v/>
      </c>
      <c r="U1059" s="18" t="n">
        <v>0</v>
      </c>
      <c r="V1059" s="26" t="n">
        <v>11.81</v>
      </c>
      <c r="W1059" s="26">
        <f>V1059 - L1059</f>
        <v/>
      </c>
    </row>
    <row r="1060">
      <c r="A1060" s="11" t="n">
        <v>46214</v>
      </c>
      <c r="B1060" s="1" t="n">
        <v>20058</v>
      </c>
      <c r="C1060" s="1" t="inlineStr">
        <is>
          <t>039</t>
        </is>
      </c>
      <c r="D1060" s="1" t="inlineStr">
        <is>
          <t>230170</t>
        </is>
      </c>
      <c r="E1060" s="1" t="inlineStr">
        <is>
          <t xml:space="preserve">34840550       </t>
        </is>
      </c>
      <c r="F1060" s="5" t="inlineStr">
        <is>
          <t>TEAMSTERZ M/MOVERZ TRANSPORTA GORILA</t>
        </is>
      </c>
      <c r="G1060" t="n">
        <v>1</v>
      </c>
      <c r="H1060" s="7" t="n">
        <v>129</v>
      </c>
      <c r="I1060" s="7" t="n">
        <v>0</v>
      </c>
      <c r="J1060" s="7" t="n">
        <v>0</v>
      </c>
      <c r="K1060" s="9" t="n">
        <v>0</v>
      </c>
      <c r="L1060" s="10" t="n">
        <v>76.52</v>
      </c>
      <c r="M1060" s="10" t="n">
        <v>1.43</v>
      </c>
      <c r="N1060" t="inlineStr">
        <is>
          <t>1</t>
        </is>
      </c>
      <c r="O1060" t="inlineStr">
        <is>
          <t>16</t>
        </is>
      </c>
      <c r="P1060" t="inlineStr">
        <is>
          <t xml:space="preserve">246156  </t>
        </is>
      </c>
      <c r="Q1060" s="26" t="n">
        <v>129</v>
      </c>
      <c r="R1060" s="26">
        <f>Q1060*G1060</f>
        <v/>
      </c>
      <c r="S1060" t="n">
        <v>76.53</v>
      </c>
      <c r="T1060" s="18">
        <f>1 - V1060/S1060</f>
        <v/>
      </c>
      <c r="U1060" s="18" t="n">
        <v>0</v>
      </c>
      <c r="V1060" s="26" t="n">
        <v>76.53</v>
      </c>
      <c r="W1060" s="26">
        <f>V1060 - L1060</f>
        <v/>
      </c>
    </row>
    <row r="1061">
      <c r="A1061" s="11" t="n">
        <v>46214</v>
      </c>
      <c r="B1061" s="1" t="n">
        <v>20058</v>
      </c>
      <c r="C1061" s="1" t="inlineStr">
        <is>
          <t>039</t>
        </is>
      </c>
      <c r="D1061" s="1" t="inlineStr">
        <is>
          <t>230248</t>
        </is>
      </c>
      <c r="E1061" s="1" t="inlineStr">
        <is>
          <t xml:space="preserve">28194768       </t>
        </is>
      </c>
      <c r="F1061" s="5" t="inlineStr">
        <is>
          <t>AUTO COLOR CHANGE TEAMSTERZ SURTIDO</t>
        </is>
      </c>
      <c r="G1061" t="n">
        <v>1</v>
      </c>
      <c r="H1061" s="7" t="n">
        <v>14.9</v>
      </c>
      <c r="I1061" s="7" t="n">
        <v>0</v>
      </c>
      <c r="J1061" s="7" t="n">
        <v>0</v>
      </c>
      <c r="K1061" s="9" t="n">
        <v>0</v>
      </c>
      <c r="L1061" s="10" t="n">
        <v>8.84</v>
      </c>
      <c r="M1061" s="10" t="n">
        <v>1.43</v>
      </c>
      <c r="N1061" t="inlineStr">
        <is>
          <t>1</t>
        </is>
      </c>
      <c r="O1061" t="inlineStr">
        <is>
          <t>16</t>
        </is>
      </c>
      <c r="P1061" t="inlineStr">
        <is>
          <t xml:space="preserve">250714  </t>
        </is>
      </c>
      <c r="Q1061" s="26" t="n">
        <v>14.9</v>
      </c>
      <c r="R1061" s="26">
        <f>Q1061*G1061</f>
        <v/>
      </c>
      <c r="S1061" t="n">
        <v>8.84</v>
      </c>
      <c r="T1061" s="18">
        <f>1 - V1061/S1061</f>
        <v/>
      </c>
      <c r="U1061" s="18" t="n">
        <v>0</v>
      </c>
      <c r="V1061" s="26" t="n">
        <v>8.84</v>
      </c>
      <c r="W1061" s="26">
        <f>V1061 - L1061</f>
        <v/>
      </c>
    </row>
    <row r="1062">
      <c r="A1062" s="11" t="n">
        <v>46214</v>
      </c>
      <c r="B1062" s="1" t="n">
        <v>20062</v>
      </c>
      <c r="C1062" s="1" t="inlineStr">
        <is>
          <t>014</t>
        </is>
      </c>
      <c r="D1062" s="1" t="inlineStr">
        <is>
          <t>228016</t>
        </is>
      </c>
      <c r="E1062" s="1" t="inlineStr">
        <is>
          <t xml:space="preserve">30232284       </t>
        </is>
      </c>
      <c r="F1062" s="5" t="inlineStr">
        <is>
          <t>INFINITY NADO TROMPO DE BATALLA - METAL C/PUNTA DE</t>
        </is>
      </c>
      <c r="G1062" t="n">
        <v>1</v>
      </c>
      <c r="H1062" s="7" t="n">
        <v>49.9</v>
      </c>
      <c r="I1062" s="7" t="n">
        <v>0</v>
      </c>
      <c r="J1062" s="7" t="n">
        <v>0</v>
      </c>
      <c r="K1062" s="9" t="n">
        <v>0</v>
      </c>
      <c r="L1062" s="10" t="n">
        <v>29.6</v>
      </c>
      <c r="M1062" s="10" t="n">
        <v>1.43</v>
      </c>
      <c r="N1062" t="inlineStr">
        <is>
          <t>1</t>
        </is>
      </c>
      <c r="O1062" t="inlineStr">
        <is>
          <t xml:space="preserve">2 </t>
        </is>
      </c>
      <c r="P1062" t="inlineStr">
        <is>
          <t xml:space="preserve">243976  </t>
        </is>
      </c>
      <c r="Q1062" s="26" t="n">
        <v>49.9</v>
      </c>
      <c r="R1062" s="26">
        <f>Q1062*G1062</f>
        <v/>
      </c>
      <c r="S1062" t="n">
        <v>29.6</v>
      </c>
      <c r="T1062" s="18">
        <f>1 - V1062/S1062</f>
        <v/>
      </c>
      <c r="U1062" s="18" t="n">
        <v>0.3006012024048096</v>
      </c>
      <c r="V1062" s="26" t="n">
        <v>22.18220338983051</v>
      </c>
      <c r="W1062" s="26">
        <f>V1062 - L1062</f>
        <v/>
      </c>
    </row>
    <row r="1063">
      <c r="A1063" s="11" t="n">
        <v>46214</v>
      </c>
      <c r="B1063" s="1" t="n">
        <v>20062</v>
      </c>
      <c r="C1063" s="1" t="inlineStr">
        <is>
          <t>017</t>
        </is>
      </c>
      <c r="D1063" s="1" t="inlineStr">
        <is>
          <t>235456</t>
        </is>
      </c>
      <c r="E1063" s="1" t="inlineStr">
        <is>
          <t xml:space="preserve">33483119       </t>
        </is>
      </c>
      <c r="F1063" s="5" t="inlineStr">
        <is>
          <t>MUNECA EVI LOVE TRAJE TIPICO CON ALPACA</t>
        </is>
      </c>
      <c r="G1063" t="n">
        <v>1</v>
      </c>
      <c r="H1063" s="7" t="n">
        <v>29.9</v>
      </c>
      <c r="I1063" s="7" t="n">
        <v>0</v>
      </c>
      <c r="J1063" s="7" t="n">
        <v>0</v>
      </c>
      <c r="K1063" s="9" t="n">
        <v>0</v>
      </c>
      <c r="L1063" s="10" t="n">
        <v>17.74</v>
      </c>
      <c r="M1063" s="10" t="n">
        <v>1.43</v>
      </c>
      <c r="N1063" t="inlineStr">
        <is>
          <t>1</t>
        </is>
      </c>
      <c r="O1063" t="inlineStr">
        <is>
          <t>16</t>
        </is>
      </c>
      <c r="P1063" t="inlineStr">
        <is>
          <t xml:space="preserve">94938   </t>
        </is>
      </c>
      <c r="Q1063" s="26" t="n">
        <v>29.9</v>
      </c>
      <c r="R1063" s="26">
        <f>Q1063*G1063</f>
        <v/>
      </c>
      <c r="S1063" t="n">
        <v>17.74</v>
      </c>
      <c r="T1063" s="18">
        <f>1 - V1063/S1063</f>
        <v/>
      </c>
      <c r="U1063" s="18" t="n">
        <v>0.4</v>
      </c>
      <c r="V1063" s="26" t="n">
        <v>13.68305084745763</v>
      </c>
      <c r="W1063" s="26">
        <f>V1063 - L1063</f>
        <v/>
      </c>
    </row>
    <row r="1064">
      <c r="A1064" s="11" t="n">
        <v>46214</v>
      </c>
      <c r="B1064" s="1" t="n">
        <v>20062</v>
      </c>
      <c r="C1064" s="1" t="inlineStr">
        <is>
          <t>038</t>
        </is>
      </c>
      <c r="D1064" s="1" t="inlineStr">
        <is>
          <t>173260</t>
        </is>
      </c>
      <c r="E1064" s="1" t="inlineStr">
        <is>
          <t xml:space="preserve">28194780       </t>
        </is>
      </c>
      <c r="F1064" s="5" t="inlineStr">
        <is>
          <t>TROMPO BATALLA INFINITY NADO PLSTICO SURTIDO</t>
        </is>
      </c>
      <c r="G1064" t="n">
        <v>1</v>
      </c>
      <c r="H1064" s="7" t="n">
        <v>19.9</v>
      </c>
      <c r="I1064" s="7" t="n">
        <v>0</v>
      </c>
      <c r="J1064" s="7" t="n">
        <v>0</v>
      </c>
      <c r="K1064" s="9" t="n">
        <v>0</v>
      </c>
      <c r="L1064" s="10" t="n">
        <v>11.8</v>
      </c>
      <c r="M1064" s="10" t="n">
        <v>1.43</v>
      </c>
      <c r="N1064" t="inlineStr">
        <is>
          <t>1</t>
        </is>
      </c>
      <c r="O1064" t="inlineStr">
        <is>
          <t xml:space="preserve">2 </t>
        </is>
      </c>
      <c r="P1064" t="inlineStr">
        <is>
          <t xml:space="preserve">244467  </t>
        </is>
      </c>
      <c r="Q1064" s="26" t="n">
        <v>19.9</v>
      </c>
      <c r="R1064" s="26">
        <f>Q1064*G1064</f>
        <v/>
      </c>
      <c r="S1064" t="n">
        <v>11.81</v>
      </c>
      <c r="T1064" s="18">
        <f>1 - V1064/S1064</f>
        <v/>
      </c>
      <c r="U1064" s="18" t="n">
        <v>0</v>
      </c>
      <c r="V1064" s="26" t="n">
        <v>11.81</v>
      </c>
      <c r="W1064" s="26">
        <f>V1064 - L1064</f>
        <v/>
      </c>
    </row>
    <row r="1065">
      <c r="A1065" s="11" t="n">
        <v>46214</v>
      </c>
      <c r="B1065" s="1" t="n">
        <v>20062</v>
      </c>
      <c r="C1065" s="1" t="inlineStr">
        <is>
          <t>038</t>
        </is>
      </c>
      <c r="D1065" s="1" t="inlineStr">
        <is>
          <t>173264</t>
        </is>
      </c>
      <c r="E1065" s="1" t="inlineStr">
        <is>
          <t xml:space="preserve">29235701       </t>
        </is>
      </c>
      <c r="F1065" s="5" t="inlineStr">
        <is>
          <t>INFINITY NADO TROMPO DE BATALLA - METAL EN CAJA</t>
        </is>
      </c>
      <c r="G1065" t="n">
        <v>1</v>
      </c>
      <c r="H1065" s="7" t="n">
        <v>39.9</v>
      </c>
      <c r="I1065" s="7" t="n">
        <v>0</v>
      </c>
      <c r="J1065" s="7" t="n">
        <v>0</v>
      </c>
      <c r="K1065" s="9" t="n">
        <v>0</v>
      </c>
      <c r="L1065" s="10" t="n">
        <v>23.67</v>
      </c>
      <c r="M1065" s="10" t="n">
        <v>1.43</v>
      </c>
      <c r="N1065" t="inlineStr">
        <is>
          <t>1</t>
        </is>
      </c>
      <c r="O1065" t="inlineStr">
        <is>
          <t xml:space="preserve">2 </t>
        </is>
      </c>
      <c r="P1065" t="inlineStr">
        <is>
          <t xml:space="preserve">244467  </t>
        </is>
      </c>
      <c r="Q1065" s="26" t="n">
        <v>39.9</v>
      </c>
      <c r="R1065" s="26">
        <f>Q1065*G1065</f>
        <v/>
      </c>
      <c r="S1065" t="n">
        <v>23.67</v>
      </c>
      <c r="T1065" s="18">
        <f>1 - V1065/S1065</f>
        <v/>
      </c>
      <c r="U1065" s="18" t="n">
        <v>0.2506265664160401</v>
      </c>
      <c r="V1065" s="26" t="n">
        <v>19.00423728813559</v>
      </c>
      <c r="W1065" s="26">
        <f>V1065 - L1065</f>
        <v/>
      </c>
    </row>
    <row r="1066">
      <c r="A1066" s="11" t="n">
        <v>46214</v>
      </c>
      <c r="B1066" s="1" t="n">
        <v>20062</v>
      </c>
      <c r="C1066" s="1" t="inlineStr">
        <is>
          <t>053</t>
        </is>
      </c>
      <c r="D1066" s="1" t="inlineStr">
        <is>
          <t>242939</t>
        </is>
      </c>
      <c r="E1066" s="1" t="inlineStr">
        <is>
          <t xml:space="preserve">32457099       </t>
        </is>
      </c>
      <c r="F1066" s="5" t="inlineStr">
        <is>
          <t>TMZ BEAST MACHINES MONSTER JAWS A FRICCION BLISTER</t>
        </is>
      </c>
      <c r="G1066" t="n">
        <v>1</v>
      </c>
      <c r="H1066" s="7" t="n">
        <v>19.9</v>
      </c>
      <c r="I1066" s="7" t="n">
        <v>1.99</v>
      </c>
      <c r="J1066" s="7" t="n">
        <v>0</v>
      </c>
      <c r="K1066" s="9" t="n">
        <v>1.99</v>
      </c>
      <c r="L1066" s="10" t="n">
        <v>10.63</v>
      </c>
      <c r="M1066" s="10" t="n">
        <v>1.43</v>
      </c>
      <c r="N1066" t="inlineStr">
        <is>
          <t>1</t>
        </is>
      </c>
      <c r="O1066" t="inlineStr">
        <is>
          <t xml:space="preserve">3 </t>
        </is>
      </c>
      <c r="P1066" t="inlineStr">
        <is>
          <t xml:space="preserve">43396   </t>
        </is>
      </c>
      <c r="Q1066" s="26" t="n">
        <v>19.9</v>
      </c>
      <c r="R1066" s="26">
        <f>Q1066*G1066</f>
        <v/>
      </c>
      <c r="S1066" t="n">
        <v>11.81</v>
      </c>
      <c r="T1066" s="18">
        <f>1 - V1066/S1066</f>
        <v/>
      </c>
      <c r="U1066" s="18" t="n">
        <v>0.1005025125628141</v>
      </c>
      <c r="V1066" s="26" t="n">
        <v>8.417118644067797</v>
      </c>
      <c r="W1066" s="26">
        <f>V1066 - L1066</f>
        <v/>
      </c>
    </row>
    <row r="1067">
      <c r="A1067" s="11" t="n">
        <v>46214</v>
      </c>
      <c r="B1067" s="1" t="n">
        <v>20062</v>
      </c>
      <c r="C1067" s="1" t="inlineStr">
        <is>
          <t>509</t>
        </is>
      </c>
      <c r="D1067" s="1" t="inlineStr">
        <is>
          <t xml:space="preserve">4598  </t>
        </is>
      </c>
      <c r="E1067" s="1" t="inlineStr">
        <is>
          <t xml:space="preserve">32457099       </t>
        </is>
      </c>
      <c r="F1067" s="5" t="inlineStr">
        <is>
          <t>TMZ BEAST MACHINES MONSTER JAWS A FRICCION BLISTER</t>
        </is>
      </c>
      <c r="G1067" t="n">
        <v>2</v>
      </c>
      <c r="H1067" s="7" t="n">
        <v>39.8</v>
      </c>
      <c r="I1067" s="7" t="n">
        <v>3.98</v>
      </c>
      <c r="J1067" s="7" t="n">
        <v>0</v>
      </c>
      <c r="K1067" s="9" t="n">
        <v>3.98</v>
      </c>
      <c r="L1067" s="10" t="n">
        <v>21.26</v>
      </c>
      <c r="M1067" s="10" t="n">
        <v>1.43</v>
      </c>
      <c r="N1067" t="inlineStr">
        <is>
          <t>1</t>
        </is>
      </c>
      <c r="O1067" t="inlineStr">
        <is>
          <t>16</t>
        </is>
      </c>
      <c r="P1067" t="inlineStr">
        <is>
          <t xml:space="preserve">250090  </t>
        </is>
      </c>
      <c r="Q1067" s="26" t="n">
        <v>19.9</v>
      </c>
      <c r="R1067" s="26">
        <f>Q1067*G1067</f>
        <v/>
      </c>
      <c r="S1067" t="n">
        <v>23.62</v>
      </c>
      <c r="T1067" s="18">
        <f>1 - V1067/S1067</f>
        <v/>
      </c>
      <c r="U1067" s="18" t="n">
        <v>0.1005025125628141</v>
      </c>
      <c r="V1067" s="26" t="n">
        <v>16.83423728813559</v>
      </c>
      <c r="W1067" s="26">
        <f>V1067 - L1067</f>
        <v/>
      </c>
    </row>
    <row r="1068">
      <c r="A1068" s="11" t="n">
        <v>46214</v>
      </c>
      <c r="B1068" s="1" t="n">
        <v>20066</v>
      </c>
      <c r="C1068" s="1" t="inlineStr">
        <is>
          <t>050</t>
        </is>
      </c>
      <c r="D1068" s="1" t="inlineStr">
        <is>
          <t>233852</t>
        </is>
      </c>
      <c r="E1068" s="1" t="inlineStr">
        <is>
          <t xml:space="preserve">28194769       </t>
        </is>
      </c>
      <c r="F1068" s="5" t="inlineStr">
        <is>
          <t>AUTOS DE METAL 3 TEAMSTERZ PACK DE 2</t>
        </is>
      </c>
      <c r="G1068" t="n">
        <v>1</v>
      </c>
      <c r="H1068" s="7" t="n">
        <v>13.8</v>
      </c>
      <c r="I1068" s="7" t="n">
        <v>0</v>
      </c>
      <c r="J1068" s="7" t="n">
        <v>0</v>
      </c>
      <c r="K1068" s="9" t="n">
        <v>0</v>
      </c>
      <c r="L1068" s="10" t="n">
        <v>8.18</v>
      </c>
      <c r="M1068" s="10" t="n">
        <v>1.43</v>
      </c>
      <c r="N1068" t="inlineStr">
        <is>
          <t>1</t>
        </is>
      </c>
      <c r="O1068" t="inlineStr">
        <is>
          <t xml:space="preserve">2 </t>
        </is>
      </c>
      <c r="P1068" t="inlineStr">
        <is>
          <t xml:space="preserve">71517   </t>
        </is>
      </c>
      <c r="Q1068" s="26" t="n">
        <v>13.8</v>
      </c>
      <c r="R1068" s="26">
        <f>Q1068*G1068</f>
        <v/>
      </c>
      <c r="S1068" t="n">
        <v>8.19</v>
      </c>
      <c r="T1068" s="18">
        <f>1 - V1068/S1068</f>
        <v/>
      </c>
      <c r="U1068" s="18" t="n">
        <v>0</v>
      </c>
      <c r="V1068" s="26" t="n">
        <v>8.19</v>
      </c>
      <c r="W1068" s="26">
        <f>V1068 - L1068</f>
        <v/>
      </c>
    </row>
    <row r="1069">
      <c r="A1069" s="11" t="n">
        <v>46214</v>
      </c>
      <c r="B1069" s="1" t="n">
        <v>20066</v>
      </c>
      <c r="C1069" s="1" t="inlineStr">
        <is>
          <t>057</t>
        </is>
      </c>
      <c r="D1069" s="1" t="inlineStr">
        <is>
          <t>493632</t>
        </is>
      </c>
      <c r="E1069" s="1" t="inlineStr">
        <is>
          <t xml:space="preserve">28194766       </t>
        </is>
      </c>
      <c r="F1069" s="5" t="inlineStr">
        <is>
          <t>CAMIONES TEAMSTERZ DE CIUDAD</t>
        </is>
      </c>
      <c r="G1069" t="n">
        <v>1</v>
      </c>
      <c r="H1069" s="7" t="n">
        <v>17.9</v>
      </c>
      <c r="I1069" s="7" t="n">
        <v>0</v>
      </c>
      <c r="J1069" s="7" t="n">
        <v>0</v>
      </c>
      <c r="K1069" s="9" t="n">
        <v>0</v>
      </c>
      <c r="L1069" s="10" t="n">
        <v>10.62</v>
      </c>
      <c r="M1069" s="10" t="n">
        <v>1.43</v>
      </c>
      <c r="N1069" t="inlineStr">
        <is>
          <t>1</t>
        </is>
      </c>
      <c r="O1069" t="inlineStr">
        <is>
          <t xml:space="preserve">2 </t>
        </is>
      </c>
      <c r="P1069" t="inlineStr">
        <is>
          <t xml:space="preserve">43274   </t>
        </is>
      </c>
      <c r="Q1069" s="26" t="n">
        <v>17.9</v>
      </c>
      <c r="R1069" s="26">
        <f>Q1069*G1069</f>
        <v/>
      </c>
      <c r="S1069" t="n">
        <v>10.62</v>
      </c>
      <c r="T1069" s="18">
        <f>1 - V1069/S1069</f>
        <v/>
      </c>
      <c r="U1069" s="18" t="n">
        <v>0</v>
      </c>
      <c r="V1069" s="26" t="n">
        <v>10.62</v>
      </c>
      <c r="W1069" s="26">
        <f>V1069 - L1069</f>
        <v/>
      </c>
    </row>
    <row r="1070">
      <c r="A1070" s="11" t="n">
        <v>46214</v>
      </c>
      <c r="B1070" s="1" t="n">
        <v>20066</v>
      </c>
      <c r="C1070" s="1" t="inlineStr">
        <is>
          <t>057</t>
        </is>
      </c>
      <c r="D1070" s="1" t="inlineStr">
        <is>
          <t>493632</t>
        </is>
      </c>
      <c r="E1070" s="1" t="inlineStr">
        <is>
          <t xml:space="preserve">29235710       </t>
        </is>
      </c>
      <c r="F1070" s="5" t="inlineStr">
        <is>
          <t>TEAMSTERZ PLAYSET GRANDES CONSTRUCCIONES</t>
        </is>
      </c>
      <c r="G1070" t="n">
        <v>1</v>
      </c>
      <c r="H1070" s="7" t="n">
        <v>19.9</v>
      </c>
      <c r="I1070" s="7" t="n">
        <v>0</v>
      </c>
      <c r="J1070" s="7" t="n">
        <v>0</v>
      </c>
      <c r="K1070" s="9" t="n">
        <v>0</v>
      </c>
      <c r="L1070" s="10" t="n">
        <v>11.8</v>
      </c>
      <c r="M1070" s="10" t="n">
        <v>1.43</v>
      </c>
      <c r="N1070" t="inlineStr">
        <is>
          <t>1</t>
        </is>
      </c>
      <c r="O1070" t="inlineStr">
        <is>
          <t xml:space="preserve">2 </t>
        </is>
      </c>
      <c r="P1070" t="inlineStr">
        <is>
          <t xml:space="preserve">43274   </t>
        </is>
      </c>
      <c r="Q1070" s="26" t="n">
        <v>19.9</v>
      </c>
      <c r="R1070" s="26">
        <f>Q1070*G1070</f>
        <v/>
      </c>
      <c r="S1070" t="n">
        <v>11.81</v>
      </c>
      <c r="T1070" s="18">
        <f>1 - V1070/S1070</f>
        <v/>
      </c>
      <c r="U1070" s="18" t="n">
        <v>0</v>
      </c>
      <c r="V1070" s="26" t="n">
        <v>11.81</v>
      </c>
      <c r="W1070" s="26">
        <f>V1070 - L1070</f>
        <v/>
      </c>
    </row>
    <row r="1071">
      <c r="A1071" s="11" t="n">
        <v>46214</v>
      </c>
      <c r="B1071" s="1" t="n">
        <v>20066</v>
      </c>
      <c r="C1071" s="1" t="inlineStr">
        <is>
          <t>530</t>
        </is>
      </c>
      <c r="D1071" s="1" t="inlineStr">
        <is>
          <t xml:space="preserve">9740  </t>
        </is>
      </c>
      <c r="E1071" s="1" t="inlineStr">
        <is>
          <t xml:space="preserve">28194770       </t>
        </is>
      </c>
      <c r="F1071" s="5" t="inlineStr">
        <is>
          <t>AUTOS DE METAL 3 TEAMSTERZ EN BLISTER</t>
        </is>
      </c>
      <c r="G1071" t="n">
        <v>2</v>
      </c>
      <c r="H1071" s="7" t="n">
        <v>13.8</v>
      </c>
      <c r="I1071" s="7" t="n">
        <v>1.38</v>
      </c>
      <c r="J1071" s="7" t="n">
        <v>0</v>
      </c>
      <c r="K1071" s="9" t="n">
        <v>1.38</v>
      </c>
      <c r="L1071" s="10" t="n">
        <v>7.38</v>
      </c>
      <c r="M1071" s="10" t="n">
        <v>1.43</v>
      </c>
      <c r="N1071" t="inlineStr">
        <is>
          <t>1</t>
        </is>
      </c>
      <c r="O1071" t="inlineStr">
        <is>
          <t>16</t>
        </is>
      </c>
      <c r="P1071" t="inlineStr">
        <is>
          <t xml:space="preserve">246398  </t>
        </is>
      </c>
      <c r="Q1071" s="26" t="n">
        <v>6.9</v>
      </c>
      <c r="R1071" s="26">
        <f>Q1071*G1071</f>
        <v/>
      </c>
      <c r="S1071" t="n">
        <v>8.18</v>
      </c>
      <c r="T1071" s="18">
        <f>1 - V1071/S1071</f>
        <v/>
      </c>
      <c r="U1071" s="18" t="n">
        <v>0</v>
      </c>
      <c r="V1071" s="26" t="n">
        <v>8.18</v>
      </c>
      <c r="W1071" s="26">
        <f>V1071 - L1071</f>
        <v/>
      </c>
    </row>
    <row r="1072">
      <c r="A1072" s="11" t="n">
        <v>46214</v>
      </c>
      <c r="B1072" s="1" t="n">
        <v>20069</v>
      </c>
      <c r="C1072" s="1" t="inlineStr">
        <is>
          <t>024</t>
        </is>
      </c>
      <c r="D1072" s="1" t="inlineStr">
        <is>
          <t>104142</t>
        </is>
      </c>
      <c r="E1072" s="1" t="inlineStr">
        <is>
          <t xml:space="preserve">28194770       </t>
        </is>
      </c>
      <c r="F1072" s="5" t="inlineStr">
        <is>
          <t>AUTOS DE METAL 3 TEAMSTERZ EN BLISTER</t>
        </is>
      </c>
      <c r="G1072" t="n">
        <v>1</v>
      </c>
      <c r="H1072" s="7" t="n">
        <v>6.9</v>
      </c>
      <c r="I1072" s="7" t="n">
        <v>0</v>
      </c>
      <c r="J1072" s="7" t="n">
        <v>0</v>
      </c>
      <c r="K1072" s="9" t="n">
        <v>0</v>
      </c>
      <c r="L1072" s="10" t="n">
        <v>4.1</v>
      </c>
      <c r="M1072" s="10" t="n">
        <v>1.43</v>
      </c>
      <c r="N1072" t="inlineStr">
        <is>
          <t>1</t>
        </is>
      </c>
      <c r="O1072" t="inlineStr">
        <is>
          <t xml:space="preserve">2 </t>
        </is>
      </c>
      <c r="P1072" t="inlineStr">
        <is>
          <t xml:space="preserve">247842  </t>
        </is>
      </c>
      <c r="Q1072" s="26" t="n">
        <v>6.9</v>
      </c>
      <c r="R1072" s="26">
        <f>Q1072*G1072</f>
        <v/>
      </c>
      <c r="S1072" t="n">
        <v>4.09</v>
      </c>
      <c r="T1072" s="18">
        <f>1 - V1072/S1072</f>
        <v/>
      </c>
      <c r="U1072" s="18" t="n">
        <v>0</v>
      </c>
      <c r="V1072" s="26" t="n">
        <v>4.09</v>
      </c>
      <c r="W1072" s="26">
        <f>V1072 - L1072</f>
        <v/>
      </c>
    </row>
    <row r="1073">
      <c r="A1073" s="11" t="n">
        <v>46214</v>
      </c>
      <c r="B1073" s="1" t="n">
        <v>20069</v>
      </c>
      <c r="C1073" s="1" t="inlineStr">
        <is>
          <t>024</t>
        </is>
      </c>
      <c r="D1073" s="1" t="inlineStr">
        <is>
          <t>104142</t>
        </is>
      </c>
      <c r="E1073" s="1" t="inlineStr">
        <is>
          <t xml:space="preserve">28194780       </t>
        </is>
      </c>
      <c r="F1073" s="5" t="inlineStr">
        <is>
          <t>TROMPO BATALLA INFINITY NADO PLSTICO SURTIDO</t>
        </is>
      </c>
      <c r="G1073" t="n">
        <v>1</v>
      </c>
      <c r="H1073" s="7" t="n">
        <v>19.9</v>
      </c>
      <c r="I1073" s="7" t="n">
        <v>0</v>
      </c>
      <c r="J1073" s="7" t="n">
        <v>0</v>
      </c>
      <c r="K1073" s="9" t="n">
        <v>0</v>
      </c>
      <c r="L1073" s="10" t="n">
        <v>11.8</v>
      </c>
      <c r="M1073" s="10" t="n">
        <v>1.43</v>
      </c>
      <c r="N1073" t="inlineStr">
        <is>
          <t>1</t>
        </is>
      </c>
      <c r="O1073" t="inlineStr">
        <is>
          <t xml:space="preserve">2 </t>
        </is>
      </c>
      <c r="P1073" t="inlineStr">
        <is>
          <t xml:space="preserve">247842  </t>
        </is>
      </c>
      <c r="Q1073" s="26" t="n">
        <v>19.9</v>
      </c>
      <c r="R1073" s="26">
        <f>Q1073*G1073</f>
        <v/>
      </c>
      <c r="S1073" t="n">
        <v>11.81</v>
      </c>
      <c r="T1073" s="18">
        <f>1 - V1073/S1073</f>
        <v/>
      </c>
      <c r="U1073" s="18" t="n">
        <v>0</v>
      </c>
      <c r="V1073" s="26" t="n">
        <v>11.81</v>
      </c>
      <c r="W1073" s="26">
        <f>V1073 - L1073</f>
        <v/>
      </c>
    </row>
    <row r="1074">
      <c r="A1074" s="11" t="n">
        <v>46214</v>
      </c>
      <c r="B1074" s="1" t="n">
        <v>20069</v>
      </c>
      <c r="C1074" s="1" t="inlineStr">
        <is>
          <t>024</t>
        </is>
      </c>
      <c r="D1074" s="1" t="inlineStr">
        <is>
          <t>104142</t>
        </is>
      </c>
      <c r="E1074" s="1" t="inlineStr">
        <is>
          <t xml:space="preserve">29235701       </t>
        </is>
      </c>
      <c r="F1074" s="5" t="inlineStr">
        <is>
          <t>INFINITY NADO TROMPO DE BATALLA - METAL EN CAJA</t>
        </is>
      </c>
      <c r="G1074" t="n">
        <v>1</v>
      </c>
      <c r="H1074" s="7" t="n">
        <v>39.9</v>
      </c>
      <c r="I1074" s="7" t="n">
        <v>0</v>
      </c>
      <c r="J1074" s="7" t="n">
        <v>0</v>
      </c>
      <c r="K1074" s="9" t="n">
        <v>0</v>
      </c>
      <c r="L1074" s="10" t="n">
        <v>23.67</v>
      </c>
      <c r="M1074" s="10" t="n">
        <v>1.43</v>
      </c>
      <c r="N1074" t="inlineStr">
        <is>
          <t>1</t>
        </is>
      </c>
      <c r="O1074" t="inlineStr">
        <is>
          <t xml:space="preserve">2 </t>
        </is>
      </c>
      <c r="P1074" t="inlineStr">
        <is>
          <t xml:space="preserve">247842  </t>
        </is>
      </c>
      <c r="Q1074" s="26" t="n">
        <v>39.9</v>
      </c>
      <c r="R1074" s="26">
        <f>Q1074*G1074</f>
        <v/>
      </c>
      <c r="S1074" t="n">
        <v>23.67</v>
      </c>
      <c r="T1074" s="18">
        <f>1 - V1074/S1074</f>
        <v/>
      </c>
      <c r="U1074" s="18" t="n">
        <v>0.2506265664160401</v>
      </c>
      <c r="V1074" s="26" t="n">
        <v>19.00423728813559</v>
      </c>
      <c r="W1074" s="26">
        <f>V1074 - L1074</f>
        <v/>
      </c>
    </row>
    <row r="1075">
      <c r="A1075" s="11" t="n">
        <v>46214</v>
      </c>
      <c r="B1075" s="1" t="n">
        <v>20069</v>
      </c>
      <c r="C1075" s="1" t="inlineStr">
        <is>
          <t>024</t>
        </is>
      </c>
      <c r="D1075" s="1" t="inlineStr">
        <is>
          <t>104166</t>
        </is>
      </c>
      <c r="E1075" s="1" t="inlineStr">
        <is>
          <t xml:space="preserve">28194770       </t>
        </is>
      </c>
      <c r="F1075" s="5" t="inlineStr">
        <is>
          <t>AUTOS DE METAL 3 TEAMSTERZ EN BLISTER</t>
        </is>
      </c>
      <c r="G1075" t="n">
        <v>1</v>
      </c>
      <c r="H1075" s="7" t="n">
        <v>6.9</v>
      </c>
      <c r="I1075" s="7" t="n">
        <v>0.6899999999999999</v>
      </c>
      <c r="J1075" s="7" t="n">
        <v>0</v>
      </c>
      <c r="K1075" s="9" t="n">
        <v>0.6899999999999999</v>
      </c>
      <c r="L1075" s="10" t="n">
        <v>3.68</v>
      </c>
      <c r="M1075" s="10" t="n">
        <v>1.43</v>
      </c>
      <c r="N1075" t="inlineStr">
        <is>
          <t>1</t>
        </is>
      </c>
      <c r="O1075" t="inlineStr">
        <is>
          <t xml:space="preserve">3 </t>
        </is>
      </c>
      <c r="P1075" t="inlineStr">
        <is>
          <t xml:space="preserve">247842  </t>
        </is>
      </c>
      <c r="Q1075" s="26" t="n">
        <v>6.9</v>
      </c>
      <c r="R1075" s="26">
        <f>Q1075*G1075</f>
        <v/>
      </c>
      <c r="S1075" t="n">
        <v>4.09</v>
      </c>
      <c r="T1075" s="18">
        <f>1 - V1075/S1075</f>
        <v/>
      </c>
      <c r="U1075" s="18" t="n">
        <v>0</v>
      </c>
      <c r="V1075" s="26" t="n">
        <v>4.09</v>
      </c>
      <c r="W1075" s="26">
        <f>V1075 - L1075</f>
        <v/>
      </c>
    </row>
    <row r="1076">
      <c r="A1076" s="11" t="n">
        <v>46214</v>
      </c>
      <c r="B1076" s="1" t="n">
        <v>20069</v>
      </c>
      <c r="C1076" s="1" t="inlineStr">
        <is>
          <t>503</t>
        </is>
      </c>
      <c r="D1076" s="1" t="inlineStr">
        <is>
          <t xml:space="preserve">4094  </t>
        </is>
      </c>
      <c r="E1076" s="1" t="inlineStr">
        <is>
          <t xml:space="preserve">28194770       </t>
        </is>
      </c>
      <c r="F1076" s="5" t="inlineStr">
        <is>
          <t>AUTOS DE METAL 3 TEAMSTERZ EN BLISTER</t>
        </is>
      </c>
      <c r="G1076" t="n">
        <v>1</v>
      </c>
      <c r="H1076" s="7" t="n">
        <v>6.9</v>
      </c>
      <c r="I1076" s="7" t="n">
        <v>0</v>
      </c>
      <c r="J1076" s="7" t="n">
        <v>0</v>
      </c>
      <c r="K1076" s="9" t="n">
        <v>0</v>
      </c>
      <c r="L1076" s="10" t="n">
        <v>4.1</v>
      </c>
      <c r="M1076" s="10" t="n">
        <v>1.43</v>
      </c>
      <c r="N1076" t="inlineStr">
        <is>
          <t>1</t>
        </is>
      </c>
      <c r="O1076" t="inlineStr">
        <is>
          <t>16</t>
        </is>
      </c>
      <c r="P1076" t="inlineStr">
        <is>
          <t xml:space="preserve">99440   </t>
        </is>
      </c>
      <c r="Q1076" s="26" t="n">
        <v>6.9</v>
      </c>
      <c r="R1076" s="26">
        <f>Q1076*G1076</f>
        <v/>
      </c>
      <c r="S1076" t="n">
        <v>4.09</v>
      </c>
      <c r="T1076" s="18">
        <f>1 - V1076/S1076</f>
        <v/>
      </c>
      <c r="U1076" s="18" t="n">
        <v>0</v>
      </c>
      <c r="V1076" s="26" t="n">
        <v>4.09</v>
      </c>
      <c r="W1076" s="26">
        <f>V1076 - L1076</f>
        <v/>
      </c>
    </row>
    <row r="1077">
      <c r="A1077" s="11" t="n">
        <v>46214</v>
      </c>
      <c r="B1077" s="1" t="n">
        <v>20073</v>
      </c>
      <c r="C1077" s="1" t="inlineStr">
        <is>
          <t>016</t>
        </is>
      </c>
      <c r="D1077" s="1" t="inlineStr">
        <is>
          <t xml:space="preserve">14380 </t>
        </is>
      </c>
      <c r="E1077" s="1" t="inlineStr">
        <is>
          <t xml:space="preserve">28194770       </t>
        </is>
      </c>
      <c r="F1077" s="5" t="inlineStr">
        <is>
          <t>AUTOS DE METAL 3 TEAMSTERZ EN BLISTER</t>
        </is>
      </c>
      <c r="G1077" t="n">
        <v>1</v>
      </c>
      <c r="H1077" s="7" t="n">
        <v>6.9</v>
      </c>
      <c r="I1077" s="7" t="n">
        <v>0</v>
      </c>
      <c r="J1077" s="7" t="n">
        <v>0</v>
      </c>
      <c r="K1077" s="9" t="n">
        <v>0</v>
      </c>
      <c r="L1077" s="10" t="n">
        <v>4.1</v>
      </c>
      <c r="M1077" s="10" t="n">
        <v>1.43</v>
      </c>
      <c r="N1077" t="inlineStr">
        <is>
          <t>1</t>
        </is>
      </c>
      <c r="O1077" t="inlineStr">
        <is>
          <t xml:space="preserve">2 </t>
        </is>
      </c>
      <c r="P1077" t="inlineStr">
        <is>
          <t xml:space="preserve">101947  </t>
        </is>
      </c>
      <c r="Q1077" s="26" t="n">
        <v>6.9</v>
      </c>
      <c r="R1077" s="26">
        <f>Q1077*G1077</f>
        <v/>
      </c>
      <c r="S1077" t="n">
        <v>4.09</v>
      </c>
      <c r="T1077" s="18">
        <f>1 - V1077/S1077</f>
        <v/>
      </c>
      <c r="U1077" s="18" t="n">
        <v>0</v>
      </c>
      <c r="V1077" s="26" t="n">
        <v>4.09</v>
      </c>
      <c r="W1077" s="26">
        <f>V1077 - L1077</f>
        <v/>
      </c>
    </row>
    <row r="1078">
      <c r="A1078" s="11" t="n">
        <v>46214</v>
      </c>
      <c r="B1078" s="1" t="n">
        <v>20073</v>
      </c>
      <c r="C1078" s="1" t="inlineStr">
        <is>
          <t>016</t>
        </is>
      </c>
      <c r="D1078" s="1" t="inlineStr">
        <is>
          <t xml:space="preserve">14387 </t>
        </is>
      </c>
      <c r="E1078" s="1" t="inlineStr">
        <is>
          <t xml:space="preserve">28194770       </t>
        </is>
      </c>
      <c r="F1078" s="5" t="inlineStr">
        <is>
          <t>AUTOS DE METAL 3 TEAMSTERZ EN BLISTER</t>
        </is>
      </c>
      <c r="G1078" t="n">
        <v>1</v>
      </c>
      <c r="H1078" s="7" t="n">
        <v>6.9</v>
      </c>
      <c r="I1078" s="7" t="n">
        <v>0</v>
      </c>
      <c r="J1078" s="7" t="n">
        <v>0</v>
      </c>
      <c r="K1078" s="9" t="n">
        <v>0</v>
      </c>
      <c r="L1078" s="10" t="n">
        <v>4.1</v>
      </c>
      <c r="M1078" s="10" t="n">
        <v>1.43</v>
      </c>
      <c r="N1078" t="inlineStr">
        <is>
          <t>1</t>
        </is>
      </c>
      <c r="O1078" t="inlineStr">
        <is>
          <t>16</t>
        </is>
      </c>
      <c r="P1078" t="inlineStr">
        <is>
          <t xml:space="preserve">101947  </t>
        </is>
      </c>
      <c r="Q1078" s="26" t="n">
        <v>6.9</v>
      </c>
      <c r="R1078" s="26">
        <f>Q1078*G1078</f>
        <v/>
      </c>
      <c r="S1078" t="n">
        <v>4.09</v>
      </c>
      <c r="T1078" s="18">
        <f>1 - V1078/S1078</f>
        <v/>
      </c>
      <c r="U1078" s="18" t="n">
        <v>0</v>
      </c>
      <c r="V1078" s="26" t="n">
        <v>4.09</v>
      </c>
      <c r="W1078" s="26">
        <f>V1078 - L1078</f>
        <v/>
      </c>
    </row>
    <row r="1079">
      <c r="A1079" s="11" t="n">
        <v>46214</v>
      </c>
      <c r="B1079" s="1" t="n">
        <v>20073</v>
      </c>
      <c r="C1079" s="1" t="inlineStr">
        <is>
          <t>021</t>
        </is>
      </c>
      <c r="D1079" s="1" t="inlineStr">
        <is>
          <t>278933</t>
        </is>
      </c>
      <c r="E1079" s="1" t="inlineStr">
        <is>
          <t xml:space="preserve">28194770       </t>
        </is>
      </c>
      <c r="F1079" s="5" t="inlineStr">
        <is>
          <t>AUTOS DE METAL 3 TEAMSTERZ EN BLISTER</t>
        </is>
      </c>
      <c r="G1079" t="n">
        <v>1</v>
      </c>
      <c r="H1079" s="7" t="n">
        <v>6.9</v>
      </c>
      <c r="I1079" s="7" t="n">
        <v>0</v>
      </c>
      <c r="J1079" s="7" t="n">
        <v>0</v>
      </c>
      <c r="K1079" s="9" t="n">
        <v>0</v>
      </c>
      <c r="L1079" s="10" t="n">
        <v>4.1</v>
      </c>
      <c r="M1079" s="10" t="n">
        <v>1.43</v>
      </c>
      <c r="N1079" t="inlineStr">
        <is>
          <t>1</t>
        </is>
      </c>
      <c r="O1079" t="inlineStr">
        <is>
          <t xml:space="preserve">2 </t>
        </is>
      </c>
      <c r="P1079" t="inlineStr">
        <is>
          <t xml:space="preserve">73225   </t>
        </is>
      </c>
      <c r="Q1079" s="26" t="n">
        <v>6.9</v>
      </c>
      <c r="R1079" s="26">
        <f>Q1079*G1079</f>
        <v/>
      </c>
      <c r="S1079" t="n">
        <v>4.09</v>
      </c>
      <c r="T1079" s="18">
        <f>1 - V1079/S1079</f>
        <v/>
      </c>
      <c r="U1079" s="18" t="n">
        <v>0</v>
      </c>
      <c r="V1079" s="26" t="n">
        <v>4.09</v>
      </c>
      <c r="W1079" s="26">
        <f>V1079 - L1079</f>
        <v/>
      </c>
    </row>
    <row r="1080">
      <c r="A1080" s="11" t="n">
        <v>46214</v>
      </c>
      <c r="B1080" s="1" t="n">
        <v>20073</v>
      </c>
      <c r="C1080" s="1" t="inlineStr">
        <is>
          <t>023</t>
        </is>
      </c>
      <c r="D1080" s="1" t="inlineStr">
        <is>
          <t xml:space="preserve">95928 </t>
        </is>
      </c>
      <c r="E1080" s="1" t="inlineStr">
        <is>
          <t xml:space="preserve">28194770       </t>
        </is>
      </c>
      <c r="F1080" s="5" t="inlineStr">
        <is>
          <t>AUTOS DE METAL 3 TEAMSTERZ EN BLISTER</t>
        </is>
      </c>
      <c r="G1080" t="n">
        <v>1</v>
      </c>
      <c r="H1080" s="7" t="n">
        <v>6.9</v>
      </c>
      <c r="I1080" s="7" t="n">
        <v>0</v>
      </c>
      <c r="J1080" s="7" t="n">
        <v>0</v>
      </c>
      <c r="K1080" s="9" t="n">
        <v>0</v>
      </c>
      <c r="L1080" s="10" t="n">
        <v>4.1</v>
      </c>
      <c r="M1080" s="10" t="n">
        <v>1.43</v>
      </c>
      <c r="N1080" t="inlineStr">
        <is>
          <t>1</t>
        </is>
      </c>
      <c r="O1080" t="inlineStr">
        <is>
          <t>16</t>
        </is>
      </c>
      <c r="P1080" t="inlineStr">
        <is>
          <t xml:space="preserve">58386   </t>
        </is>
      </c>
      <c r="Q1080" s="26" t="n">
        <v>6.9</v>
      </c>
      <c r="R1080" s="26">
        <f>Q1080*G1080</f>
        <v/>
      </c>
      <c r="S1080" t="n">
        <v>4.09</v>
      </c>
      <c r="T1080" s="18">
        <f>1 - V1080/S1080</f>
        <v/>
      </c>
      <c r="U1080" s="18" t="n">
        <v>0</v>
      </c>
      <c r="V1080" s="26" t="n">
        <v>4.09</v>
      </c>
      <c r="W1080" s="26">
        <f>V1080 - L1080</f>
        <v/>
      </c>
    </row>
    <row r="1081">
      <c r="A1081" s="11" t="n">
        <v>46214</v>
      </c>
      <c r="B1081" s="1" t="n">
        <v>20073</v>
      </c>
      <c r="C1081" s="1" t="inlineStr">
        <is>
          <t>023</t>
        </is>
      </c>
      <c r="D1081" s="1" t="inlineStr">
        <is>
          <t xml:space="preserve">95928 </t>
        </is>
      </c>
      <c r="E1081" s="1" t="inlineStr">
        <is>
          <t xml:space="preserve">28194770       </t>
        </is>
      </c>
      <c r="F1081" s="5" t="inlineStr">
        <is>
          <t>AUTOS DE METAL 3 TEAMSTERZ EN BLISTER</t>
        </is>
      </c>
      <c r="G1081" t="n">
        <v>1</v>
      </c>
      <c r="H1081" s="7" t="n">
        <v>6.9</v>
      </c>
      <c r="I1081" s="7" t="n">
        <v>0</v>
      </c>
      <c r="J1081" s="7" t="n">
        <v>0</v>
      </c>
      <c r="K1081" s="9" t="n">
        <v>0</v>
      </c>
      <c r="L1081" s="10" t="n">
        <v>4.1</v>
      </c>
      <c r="M1081" s="10" t="n">
        <v>1.43</v>
      </c>
      <c r="N1081" t="inlineStr">
        <is>
          <t>1</t>
        </is>
      </c>
      <c r="O1081" t="inlineStr">
        <is>
          <t>16</t>
        </is>
      </c>
      <c r="P1081" t="inlineStr">
        <is>
          <t xml:space="preserve">58386   </t>
        </is>
      </c>
      <c r="Q1081" s="26" t="n">
        <v>6.9</v>
      </c>
      <c r="R1081" s="26">
        <f>Q1081*G1081</f>
        <v/>
      </c>
      <c r="S1081" t="n">
        <v>4.09</v>
      </c>
      <c r="T1081" s="18">
        <f>1 - V1081/S1081</f>
        <v/>
      </c>
      <c r="U1081" s="18" t="n">
        <v>0</v>
      </c>
      <c r="V1081" s="26" t="n">
        <v>4.09</v>
      </c>
      <c r="W1081" s="26">
        <f>V1081 - L1081</f>
        <v/>
      </c>
    </row>
    <row r="1082">
      <c r="A1082" s="11" t="n">
        <v>46214</v>
      </c>
      <c r="B1082" s="1" t="n">
        <v>20073</v>
      </c>
      <c r="C1082" s="1" t="inlineStr">
        <is>
          <t>034</t>
        </is>
      </c>
      <c r="D1082" s="1" t="inlineStr">
        <is>
          <t>344326</t>
        </is>
      </c>
      <c r="E1082" s="1" t="inlineStr">
        <is>
          <t xml:space="preserve">30141766       </t>
        </is>
      </c>
      <c r="F1082" s="5" t="inlineStr">
        <is>
          <t>TMZ BEAST MACHINES AUTOS DE METAL BLISTER X 1</t>
        </is>
      </c>
      <c r="G1082" t="n">
        <v>1</v>
      </c>
      <c r="H1082" s="7" t="n">
        <v>7.9</v>
      </c>
      <c r="I1082" s="7" t="n">
        <v>0</v>
      </c>
      <c r="J1082" s="7" t="n">
        <v>0</v>
      </c>
      <c r="K1082" s="9" t="n">
        <v>0</v>
      </c>
      <c r="L1082" s="10" t="n">
        <v>4.68</v>
      </c>
      <c r="M1082" s="10" t="n">
        <v>1.43</v>
      </c>
      <c r="N1082" t="inlineStr">
        <is>
          <t>1</t>
        </is>
      </c>
      <c r="O1082" t="inlineStr">
        <is>
          <t xml:space="preserve">2 </t>
        </is>
      </c>
      <c r="P1082" t="inlineStr">
        <is>
          <t xml:space="preserve">74879   </t>
        </is>
      </c>
      <c r="Q1082" s="26" t="n">
        <v>7.9</v>
      </c>
      <c r="R1082" s="26">
        <f>Q1082*G1082</f>
        <v/>
      </c>
      <c r="S1082" t="n">
        <v>4.69</v>
      </c>
      <c r="T1082" s="18">
        <f>1 - V1082/S1082</f>
        <v/>
      </c>
      <c r="U1082" s="18" t="n">
        <v>0</v>
      </c>
      <c r="V1082" s="26" t="n">
        <v>4.69</v>
      </c>
      <c r="W1082" s="26">
        <f>V1082 - L1082</f>
        <v/>
      </c>
    </row>
    <row r="1083">
      <c r="A1083" s="11" t="n">
        <v>46214</v>
      </c>
      <c r="B1083" s="1" t="n">
        <v>20074</v>
      </c>
      <c r="C1083" s="1" t="inlineStr">
        <is>
          <t>015</t>
        </is>
      </c>
      <c r="D1083" s="1" t="inlineStr">
        <is>
          <t>227712</t>
        </is>
      </c>
      <c r="E1083" s="1" t="inlineStr">
        <is>
          <t xml:space="preserve">29235702       </t>
        </is>
      </c>
      <c r="F1083" s="5" t="inlineStr">
        <is>
          <t>INFINITY NADO TROMPO DE BATALLA - METAL C/ ANILLO</t>
        </is>
      </c>
      <c r="G1083" t="n">
        <v>1</v>
      </c>
      <c r="H1083" s="7" t="n">
        <v>69.90000000000001</v>
      </c>
      <c r="I1083" s="7" t="n">
        <v>13.98</v>
      </c>
      <c r="J1083" s="7" t="n">
        <v>0</v>
      </c>
      <c r="K1083" s="9" t="n">
        <v>13.98</v>
      </c>
      <c r="L1083" s="10" t="n">
        <v>33.17</v>
      </c>
      <c r="M1083" s="10" t="n">
        <v>1.43</v>
      </c>
      <c r="N1083" t="inlineStr">
        <is>
          <t>1</t>
        </is>
      </c>
      <c r="O1083" t="inlineStr">
        <is>
          <t>16</t>
        </is>
      </c>
      <c r="P1083" t="inlineStr">
        <is>
          <t xml:space="preserve">235827  </t>
        </is>
      </c>
      <c r="Q1083" s="26" t="n">
        <v>69.90000000000001</v>
      </c>
      <c r="R1083" s="26">
        <f>Q1083*G1083</f>
        <v/>
      </c>
      <c r="S1083" t="n">
        <v>41.47</v>
      </c>
      <c r="T1083" s="18">
        <f>1 - V1083/S1083</f>
        <v/>
      </c>
      <c r="U1083" s="18" t="n">
        <v>0.2861230329041489</v>
      </c>
      <c r="V1083" s="26" t="n">
        <v>31.71610169491525</v>
      </c>
      <c r="W1083" s="26">
        <f>V1083 - L1083</f>
        <v/>
      </c>
    </row>
    <row r="1084">
      <c r="A1084" s="11" t="n">
        <v>46214</v>
      </c>
      <c r="B1084" s="1" t="n">
        <v>20074</v>
      </c>
      <c r="C1084" s="1" t="inlineStr">
        <is>
          <t>015</t>
        </is>
      </c>
      <c r="D1084" s="1" t="inlineStr">
        <is>
          <t>227713</t>
        </is>
      </c>
      <c r="E1084" s="1" t="inlineStr">
        <is>
          <t xml:space="preserve">29235702       </t>
        </is>
      </c>
      <c r="F1084" s="5" t="inlineStr">
        <is>
          <t>INFINITY NADO TROMPO DE BATALLA - METAL C/ ANILLO</t>
        </is>
      </c>
      <c r="G1084" t="n">
        <v>1</v>
      </c>
      <c r="H1084" s="7" t="n">
        <v>69.90000000000001</v>
      </c>
      <c r="I1084" s="7" t="n">
        <v>6.99</v>
      </c>
      <c r="J1084" s="7" t="n">
        <v>0</v>
      </c>
      <c r="K1084" s="9" t="n">
        <v>6.99</v>
      </c>
      <c r="L1084" s="10" t="n">
        <v>37.32</v>
      </c>
      <c r="M1084" s="10" t="n">
        <v>1.43</v>
      </c>
      <c r="N1084" t="inlineStr">
        <is>
          <t>1</t>
        </is>
      </c>
      <c r="O1084" t="inlineStr">
        <is>
          <t xml:space="preserve">3 </t>
        </is>
      </c>
      <c r="P1084" t="inlineStr">
        <is>
          <t xml:space="preserve">235827  </t>
        </is>
      </c>
      <c r="Q1084" s="26" t="n">
        <v>69.90000000000001</v>
      </c>
      <c r="R1084" s="26">
        <f>Q1084*G1084</f>
        <v/>
      </c>
      <c r="S1084" t="n">
        <v>41.47</v>
      </c>
      <c r="T1084" s="18">
        <f>1 - V1084/S1084</f>
        <v/>
      </c>
      <c r="U1084" s="18" t="n">
        <v>0.2861230329041489</v>
      </c>
      <c r="V1084" s="26" t="n">
        <v>31.71610169491525</v>
      </c>
      <c r="W1084" s="26">
        <f>V1084 - L1084</f>
        <v/>
      </c>
    </row>
    <row r="1085">
      <c r="A1085" s="11" t="n">
        <v>46214</v>
      </c>
      <c r="B1085" s="1" t="n">
        <v>20074</v>
      </c>
      <c r="C1085" s="1" t="inlineStr">
        <is>
          <t>015</t>
        </is>
      </c>
      <c r="D1085" s="1" t="inlineStr">
        <is>
          <t>227738</t>
        </is>
      </c>
      <c r="E1085" s="1" t="inlineStr">
        <is>
          <t xml:space="preserve">34840557       </t>
        </is>
      </c>
      <c r="F1085" s="5" t="inlineStr">
        <is>
          <t>TMZ BEAST MACH. PLAYSET GARAGE DE SERPIENTE + 2 AU</t>
        </is>
      </c>
      <c r="G1085" t="n">
        <v>1</v>
      </c>
      <c r="H1085" s="7" t="n">
        <v>79.90000000000001</v>
      </c>
      <c r="I1085" s="7" t="n">
        <v>0</v>
      </c>
      <c r="J1085" s="7" t="n">
        <v>0</v>
      </c>
      <c r="K1085" s="9" t="n">
        <v>0</v>
      </c>
      <c r="L1085" s="10" t="n">
        <v>47.4</v>
      </c>
      <c r="M1085" s="10" t="n">
        <v>1.43</v>
      </c>
      <c r="N1085" t="inlineStr">
        <is>
          <t>1</t>
        </is>
      </c>
      <c r="O1085" t="inlineStr">
        <is>
          <t>16</t>
        </is>
      </c>
      <c r="P1085" t="inlineStr">
        <is>
          <t xml:space="preserve">250387  </t>
        </is>
      </c>
      <c r="Q1085" s="26" t="n">
        <v>79.90000000000002</v>
      </c>
      <c r="R1085" s="26">
        <f>Q1085*G1085</f>
        <v/>
      </c>
      <c r="S1085" t="n">
        <v>47.4</v>
      </c>
      <c r="T1085" s="18">
        <f>1 - V1085/S1085</f>
        <v/>
      </c>
      <c r="U1085" s="18" t="n">
        <v>0.3754693366708386</v>
      </c>
      <c r="V1085" s="26" t="n">
        <v>33.83050847457627</v>
      </c>
      <c r="W1085" s="26">
        <f>V1085 - L1085</f>
        <v/>
      </c>
    </row>
    <row r="1086">
      <c r="A1086" s="11" t="n">
        <v>46214</v>
      </c>
      <c r="B1086" s="1" t="n">
        <v>20074</v>
      </c>
      <c r="C1086" s="1" t="inlineStr">
        <is>
          <t>028</t>
        </is>
      </c>
      <c r="D1086" s="1" t="inlineStr">
        <is>
          <t>182257</t>
        </is>
      </c>
      <c r="E1086" s="1" t="inlineStr">
        <is>
          <t xml:space="preserve">28194770       </t>
        </is>
      </c>
      <c r="F1086" s="5" t="inlineStr">
        <is>
          <t>AUTOS DE METAL 3 TEAMSTERZ EN BLISTER</t>
        </is>
      </c>
      <c r="G1086" t="n">
        <v>1</v>
      </c>
      <c r="H1086" s="7" t="n">
        <v>6.9</v>
      </c>
      <c r="I1086" s="7" t="n">
        <v>0</v>
      </c>
      <c r="J1086" s="7" t="n">
        <v>0</v>
      </c>
      <c r="K1086" s="9" t="n">
        <v>0</v>
      </c>
      <c r="L1086" s="10" t="n">
        <v>4.1</v>
      </c>
      <c r="M1086" s="10" t="n">
        <v>1.43</v>
      </c>
      <c r="N1086" t="inlineStr">
        <is>
          <t>1</t>
        </is>
      </c>
      <c r="O1086" t="inlineStr">
        <is>
          <t>16</t>
        </is>
      </c>
      <c r="P1086" t="inlineStr">
        <is>
          <t xml:space="preserve">12598   </t>
        </is>
      </c>
      <c r="Q1086" s="26" t="n">
        <v>6.9</v>
      </c>
      <c r="R1086" s="26">
        <f>Q1086*G1086</f>
        <v/>
      </c>
      <c r="S1086" t="n">
        <v>4.09</v>
      </c>
      <c r="T1086" s="18">
        <f>1 - V1086/S1086</f>
        <v/>
      </c>
      <c r="U1086" s="18" t="n">
        <v>0</v>
      </c>
      <c r="V1086" s="26" t="n">
        <v>4.09</v>
      </c>
      <c r="W1086" s="26">
        <f>V1086 - L1086</f>
        <v/>
      </c>
    </row>
    <row r="1087">
      <c r="A1087" s="11" t="n">
        <v>46214</v>
      </c>
      <c r="B1087" s="1" t="n">
        <v>20074</v>
      </c>
      <c r="C1087" s="1" t="inlineStr">
        <is>
          <t>028</t>
        </is>
      </c>
      <c r="D1087" s="1" t="inlineStr">
        <is>
          <t>182257</t>
        </is>
      </c>
      <c r="E1087" s="1" t="inlineStr">
        <is>
          <t xml:space="preserve">30141766       </t>
        </is>
      </c>
      <c r="F1087" s="5" t="inlineStr">
        <is>
          <t>TMZ BEAST MACHINES AUTOS DE METAL BLISTER X 1</t>
        </is>
      </c>
      <c r="G1087" t="n">
        <v>1</v>
      </c>
      <c r="H1087" s="7" t="n">
        <v>7.9</v>
      </c>
      <c r="I1087" s="7" t="n">
        <v>0</v>
      </c>
      <c r="J1087" s="7" t="n">
        <v>0</v>
      </c>
      <c r="K1087" s="9" t="n">
        <v>0</v>
      </c>
      <c r="L1087" s="10" t="n">
        <v>4.68</v>
      </c>
      <c r="M1087" s="10" t="n">
        <v>1.43</v>
      </c>
      <c r="N1087" t="inlineStr">
        <is>
          <t>1</t>
        </is>
      </c>
      <c r="O1087" t="inlineStr">
        <is>
          <t>16</t>
        </is>
      </c>
      <c r="P1087" t="inlineStr">
        <is>
          <t xml:space="preserve">12598   </t>
        </is>
      </c>
      <c r="Q1087" s="26" t="n">
        <v>7.9</v>
      </c>
      <c r="R1087" s="26">
        <f>Q1087*G1087</f>
        <v/>
      </c>
      <c r="S1087" t="n">
        <v>4.69</v>
      </c>
      <c r="T1087" s="18">
        <f>1 - V1087/S1087</f>
        <v/>
      </c>
      <c r="U1087" s="18" t="n">
        <v>0</v>
      </c>
      <c r="V1087" s="26" t="n">
        <v>4.69</v>
      </c>
      <c r="W1087" s="26">
        <f>V1087 - L1087</f>
        <v/>
      </c>
    </row>
    <row r="1088">
      <c r="A1088" s="11" t="n">
        <v>46214</v>
      </c>
      <c r="B1088" s="1" t="n">
        <v>20074</v>
      </c>
      <c r="C1088" s="1" t="inlineStr">
        <is>
          <t>028</t>
        </is>
      </c>
      <c r="D1088" s="1" t="inlineStr">
        <is>
          <t>182257</t>
        </is>
      </c>
      <c r="E1088" s="1" t="inlineStr">
        <is>
          <t xml:space="preserve">30141766       </t>
        </is>
      </c>
      <c r="F1088" s="5" t="inlineStr">
        <is>
          <t>TMZ BEAST MACHINES AUTOS DE METAL BLISTER X 1</t>
        </is>
      </c>
      <c r="G1088" t="n">
        <v>1</v>
      </c>
      <c r="H1088" s="7" t="n">
        <v>7.9</v>
      </c>
      <c r="I1088" s="7" t="n">
        <v>0</v>
      </c>
      <c r="J1088" s="7" t="n">
        <v>0</v>
      </c>
      <c r="K1088" s="9" t="n">
        <v>0</v>
      </c>
      <c r="L1088" s="10" t="n">
        <v>4.68</v>
      </c>
      <c r="M1088" s="10" t="n">
        <v>1.43</v>
      </c>
      <c r="N1088" t="inlineStr">
        <is>
          <t>1</t>
        </is>
      </c>
      <c r="O1088" t="inlineStr">
        <is>
          <t>16</t>
        </is>
      </c>
      <c r="P1088" t="inlineStr">
        <is>
          <t xml:space="preserve">12598   </t>
        </is>
      </c>
      <c r="Q1088" s="26" t="n">
        <v>7.9</v>
      </c>
      <c r="R1088" s="26">
        <f>Q1088*G1088</f>
        <v/>
      </c>
      <c r="S1088" t="n">
        <v>4.69</v>
      </c>
      <c r="T1088" s="18">
        <f>1 - V1088/S1088</f>
        <v/>
      </c>
      <c r="U1088" s="18" t="n">
        <v>0</v>
      </c>
      <c r="V1088" s="26" t="n">
        <v>4.69</v>
      </c>
      <c r="W1088" s="26">
        <f>V1088 - L1088</f>
        <v/>
      </c>
    </row>
    <row r="1089">
      <c r="A1089" s="11" t="n">
        <v>46214</v>
      </c>
      <c r="B1089" s="1" t="n">
        <v>20074</v>
      </c>
      <c r="C1089" s="1" t="inlineStr">
        <is>
          <t>028</t>
        </is>
      </c>
      <c r="D1089" s="1" t="inlineStr">
        <is>
          <t>182257</t>
        </is>
      </c>
      <c r="E1089" s="1" t="inlineStr">
        <is>
          <t xml:space="preserve">30141766       </t>
        </is>
      </c>
      <c r="F1089" s="5" t="inlineStr">
        <is>
          <t>TMZ BEAST MACHINES AUTOS DE METAL BLISTER X 1</t>
        </is>
      </c>
      <c r="G1089" t="n">
        <v>1</v>
      </c>
      <c r="H1089" s="7" t="n">
        <v>7.9</v>
      </c>
      <c r="I1089" s="7" t="n">
        <v>0</v>
      </c>
      <c r="J1089" s="7" t="n">
        <v>0</v>
      </c>
      <c r="K1089" s="9" t="n">
        <v>0</v>
      </c>
      <c r="L1089" s="10" t="n">
        <v>4.68</v>
      </c>
      <c r="M1089" s="10" t="n">
        <v>1.43</v>
      </c>
      <c r="N1089" t="inlineStr">
        <is>
          <t>1</t>
        </is>
      </c>
      <c r="O1089" t="inlineStr">
        <is>
          <t>16</t>
        </is>
      </c>
      <c r="P1089" t="inlineStr">
        <is>
          <t xml:space="preserve">12598   </t>
        </is>
      </c>
      <c r="Q1089" s="26" t="n">
        <v>7.9</v>
      </c>
      <c r="R1089" s="26">
        <f>Q1089*G1089</f>
        <v/>
      </c>
      <c r="S1089" t="n">
        <v>4.69</v>
      </c>
      <c r="T1089" s="18">
        <f>1 - V1089/S1089</f>
        <v/>
      </c>
      <c r="U1089" s="18" t="n">
        <v>0</v>
      </c>
      <c r="V1089" s="26" t="n">
        <v>4.69</v>
      </c>
      <c r="W1089" s="26">
        <f>V1089 - L1089</f>
        <v/>
      </c>
    </row>
    <row r="1090">
      <c r="A1090" s="11" t="n">
        <v>46214</v>
      </c>
      <c r="B1090" s="1" t="n">
        <v>20074</v>
      </c>
      <c r="C1090" s="1" t="inlineStr">
        <is>
          <t>028</t>
        </is>
      </c>
      <c r="D1090" s="1" t="inlineStr">
        <is>
          <t>182257</t>
        </is>
      </c>
      <c r="E1090" s="1" t="inlineStr">
        <is>
          <t xml:space="preserve">30141766       </t>
        </is>
      </c>
      <c r="F1090" s="5" t="inlineStr">
        <is>
          <t>TMZ BEAST MACHINES AUTOS DE METAL BLISTER X 1</t>
        </is>
      </c>
      <c r="G1090" t="n">
        <v>1</v>
      </c>
      <c r="H1090" s="7" t="n">
        <v>7.9</v>
      </c>
      <c r="I1090" s="7" t="n">
        <v>0</v>
      </c>
      <c r="J1090" s="7" t="n">
        <v>0</v>
      </c>
      <c r="K1090" s="9" t="n">
        <v>0</v>
      </c>
      <c r="L1090" s="10" t="n">
        <v>4.68</v>
      </c>
      <c r="M1090" s="10" t="n">
        <v>1.43</v>
      </c>
      <c r="N1090" t="inlineStr">
        <is>
          <t>1</t>
        </is>
      </c>
      <c r="O1090" t="inlineStr">
        <is>
          <t>16</t>
        </is>
      </c>
      <c r="P1090" t="inlineStr">
        <is>
          <t xml:space="preserve">12598   </t>
        </is>
      </c>
      <c r="Q1090" s="26" t="n">
        <v>7.9</v>
      </c>
      <c r="R1090" s="26">
        <f>Q1090*G1090</f>
        <v/>
      </c>
      <c r="S1090" t="n">
        <v>4.69</v>
      </c>
      <c r="T1090" s="18">
        <f>1 - V1090/S1090</f>
        <v/>
      </c>
      <c r="U1090" s="18" t="n">
        <v>0</v>
      </c>
      <c r="V1090" s="26" t="n">
        <v>4.69</v>
      </c>
      <c r="W1090" s="26">
        <f>V1090 - L1090</f>
        <v/>
      </c>
    </row>
    <row r="1091">
      <c r="A1091" s="11" t="n">
        <v>46214</v>
      </c>
      <c r="B1091" s="1" t="n">
        <v>20074</v>
      </c>
      <c r="C1091" s="1" t="inlineStr">
        <is>
          <t>028</t>
        </is>
      </c>
      <c r="D1091" s="1" t="inlineStr">
        <is>
          <t>182257</t>
        </is>
      </c>
      <c r="E1091" s="1" t="inlineStr">
        <is>
          <t xml:space="preserve">32457111       </t>
        </is>
      </c>
      <c r="F1091" s="5" t="inlineStr">
        <is>
          <t>TMZ BEAST MACHINES MONSTER JAWS A FRICCION PACK DE</t>
        </is>
      </c>
      <c r="G1091" t="n">
        <v>1</v>
      </c>
      <c r="H1091" s="7" t="n">
        <v>74.90000000000001</v>
      </c>
      <c r="I1091" s="7" t="n">
        <v>0</v>
      </c>
      <c r="J1091" s="7" t="n">
        <v>0</v>
      </c>
      <c r="K1091" s="9" t="n">
        <v>0</v>
      </c>
      <c r="L1091" s="10" t="n">
        <v>44.43</v>
      </c>
      <c r="M1091" s="10" t="n">
        <v>1.43</v>
      </c>
      <c r="N1091" t="inlineStr">
        <is>
          <t>1</t>
        </is>
      </c>
      <c r="O1091" t="inlineStr">
        <is>
          <t>16</t>
        </is>
      </c>
      <c r="P1091" t="inlineStr">
        <is>
          <t xml:space="preserve">12598   </t>
        </is>
      </c>
      <c r="Q1091" s="26" t="n">
        <v>74.90000000000001</v>
      </c>
      <c r="R1091" s="26">
        <f>Q1091*G1091</f>
        <v/>
      </c>
      <c r="S1091" t="n">
        <v>44.43</v>
      </c>
      <c r="T1091" s="18">
        <f>1 - V1091/S1091</f>
        <v/>
      </c>
      <c r="U1091" s="18" t="n">
        <v>0.2670226969292391</v>
      </c>
      <c r="V1091" s="26" t="n">
        <v>31.92406779661017</v>
      </c>
      <c r="W1091" s="26">
        <f>V1091 - L1091</f>
        <v/>
      </c>
    </row>
    <row r="1092">
      <c r="A1092" s="11" t="n">
        <v>46214</v>
      </c>
      <c r="B1092" s="1" t="n">
        <v>20074</v>
      </c>
      <c r="C1092" s="1" t="inlineStr">
        <is>
          <t>048</t>
        </is>
      </c>
      <c r="D1092" s="1" t="inlineStr">
        <is>
          <t>144806</t>
        </is>
      </c>
      <c r="E1092" s="1" t="inlineStr">
        <is>
          <t xml:space="preserve">31675354       </t>
        </is>
      </c>
      <c r="F1092" s="5" t="inlineStr">
        <is>
          <t>NENUCO LLORON CON ACCESORIOS</t>
        </is>
      </c>
      <c r="G1092" t="n">
        <v>1</v>
      </c>
      <c r="H1092" s="7" t="n">
        <v>89.90000000000001</v>
      </c>
      <c r="I1092" s="7" t="n">
        <v>8.99</v>
      </c>
      <c r="J1092" s="7" t="n">
        <v>0</v>
      </c>
      <c r="K1092" s="9" t="n">
        <v>8.99</v>
      </c>
      <c r="L1092" s="10" t="n">
        <v>48</v>
      </c>
      <c r="M1092" s="10" t="n">
        <v>1.43</v>
      </c>
      <c r="N1092" t="inlineStr">
        <is>
          <t>1</t>
        </is>
      </c>
      <c r="O1092" t="inlineStr">
        <is>
          <t xml:space="preserve">3 </t>
        </is>
      </c>
      <c r="P1092" t="inlineStr">
        <is>
          <t xml:space="preserve">250385  </t>
        </is>
      </c>
      <c r="Q1092" s="26" t="n">
        <v>89.90000000000001</v>
      </c>
      <c r="R1092" s="26">
        <f>Q1092*G1092</f>
        <v/>
      </c>
      <c r="S1092" t="n">
        <v>53.33</v>
      </c>
      <c r="T1092" s="18">
        <f>1 - V1092/S1092</f>
        <v/>
      </c>
      <c r="U1092" s="18" t="n">
        <v>0.2224694104560623</v>
      </c>
      <c r="V1092" s="26" t="n">
        <v>44.42796610169492</v>
      </c>
      <c r="W1092" s="26">
        <f>V1092 - L1092</f>
        <v/>
      </c>
    </row>
    <row r="1093">
      <c r="A1093" s="11" t="n">
        <v>46214</v>
      </c>
      <c r="B1093" s="1" t="n">
        <v>20074</v>
      </c>
      <c r="C1093" s="1" t="inlineStr">
        <is>
          <t>048</t>
        </is>
      </c>
      <c r="D1093" s="1" t="inlineStr">
        <is>
          <t>144828</t>
        </is>
      </c>
      <c r="E1093" s="1" t="inlineStr">
        <is>
          <t xml:space="preserve">32457099       </t>
        </is>
      </c>
      <c r="F1093" s="5" t="inlineStr">
        <is>
          <t>TMZ BEAST MACHINES MONSTER JAWS A FRICCION BLISTER</t>
        </is>
      </c>
      <c r="G1093" t="n">
        <v>1</v>
      </c>
      <c r="H1093" s="7" t="n">
        <v>19.9</v>
      </c>
      <c r="I1093" s="7" t="n">
        <v>0</v>
      </c>
      <c r="J1093" s="7" t="n">
        <v>0</v>
      </c>
      <c r="K1093" s="9" t="n">
        <v>0</v>
      </c>
      <c r="L1093" s="10" t="n">
        <v>11.8</v>
      </c>
      <c r="M1093" s="10" t="n">
        <v>1.43</v>
      </c>
      <c r="N1093" t="inlineStr">
        <is>
          <t>1</t>
        </is>
      </c>
      <c r="O1093" t="inlineStr">
        <is>
          <t>16</t>
        </is>
      </c>
      <c r="P1093" t="inlineStr">
        <is>
          <t xml:space="preserve">250385  </t>
        </is>
      </c>
      <c r="Q1093" s="26" t="n">
        <v>19.9</v>
      </c>
      <c r="R1093" s="26">
        <f>Q1093*G1093</f>
        <v/>
      </c>
      <c r="S1093" t="n">
        <v>11.81</v>
      </c>
      <c r="T1093" s="18">
        <f>1 - V1093/S1093</f>
        <v/>
      </c>
      <c r="U1093" s="18" t="n">
        <v>0.1005025125628141</v>
      </c>
      <c r="V1093" s="26" t="n">
        <v>8.417118644067797</v>
      </c>
      <c r="W1093" s="26">
        <f>V1093 - L1093</f>
        <v/>
      </c>
    </row>
    <row r="1094">
      <c r="A1094" s="11" t="n">
        <v>46214</v>
      </c>
      <c r="B1094" s="1" t="n">
        <v>20077</v>
      </c>
      <c r="C1094" s="1" t="inlineStr">
        <is>
          <t>011</t>
        </is>
      </c>
      <c r="D1094" s="1" t="inlineStr">
        <is>
          <t xml:space="preserve">83803 </t>
        </is>
      </c>
      <c r="E1094" s="1" t="inlineStr">
        <is>
          <t xml:space="preserve">28194768       </t>
        </is>
      </c>
      <c r="F1094" s="5" t="inlineStr">
        <is>
          <t>AUTO COLOR CHANGE TEAMSTERZ SURTIDO</t>
        </is>
      </c>
      <c r="G1094" t="n">
        <v>1</v>
      </c>
      <c r="H1094" s="7" t="n">
        <v>14.9</v>
      </c>
      <c r="I1094" s="7" t="n">
        <v>1.49</v>
      </c>
      <c r="J1094" s="7" t="n">
        <v>0</v>
      </c>
      <c r="K1094" s="9" t="n">
        <v>1.49</v>
      </c>
      <c r="L1094" s="10" t="n">
        <v>7.95</v>
      </c>
      <c r="M1094" s="10" t="n">
        <v>1.43</v>
      </c>
      <c r="N1094" t="inlineStr">
        <is>
          <t>1</t>
        </is>
      </c>
      <c r="O1094" t="inlineStr">
        <is>
          <t>16</t>
        </is>
      </c>
      <c r="P1094" t="inlineStr">
        <is>
          <t xml:space="preserve">62762   </t>
        </is>
      </c>
      <c r="Q1094" s="26" t="n">
        <v>14.9</v>
      </c>
      <c r="R1094" s="26">
        <f>Q1094*G1094</f>
        <v/>
      </c>
      <c r="S1094" t="n">
        <v>8.84</v>
      </c>
      <c r="T1094" s="18">
        <f>1 - V1094/S1094</f>
        <v/>
      </c>
      <c r="U1094" s="18" t="n">
        <v>0</v>
      </c>
      <c r="V1094" s="26" t="n">
        <v>8.84</v>
      </c>
      <c r="W1094" s="26">
        <f>V1094 - L1094</f>
        <v/>
      </c>
    </row>
    <row r="1095">
      <c r="A1095" s="11" t="n">
        <v>46214</v>
      </c>
      <c r="B1095" s="1" t="n">
        <v>20077</v>
      </c>
      <c r="C1095" s="1" t="inlineStr">
        <is>
          <t>029</t>
        </is>
      </c>
      <c r="D1095" s="1" t="inlineStr">
        <is>
          <t>155980</t>
        </is>
      </c>
      <c r="E1095" s="1" t="inlineStr">
        <is>
          <t xml:space="preserve">28194768       </t>
        </is>
      </c>
      <c r="F1095" s="5" t="inlineStr">
        <is>
          <t>AUTO COLOR CHANGE TEAMSTERZ SURTIDO</t>
        </is>
      </c>
      <c r="G1095" t="n">
        <v>1</v>
      </c>
      <c r="H1095" s="7" t="n">
        <v>14.9</v>
      </c>
      <c r="I1095" s="7" t="n">
        <v>0</v>
      </c>
      <c r="J1095" s="7" t="n">
        <v>0</v>
      </c>
      <c r="K1095" s="9" t="n">
        <v>0</v>
      </c>
      <c r="L1095" s="10" t="n">
        <v>8.84</v>
      </c>
      <c r="M1095" s="10" t="n">
        <v>1.43</v>
      </c>
      <c r="N1095" t="inlineStr">
        <is>
          <t>1</t>
        </is>
      </c>
      <c r="O1095" t="inlineStr">
        <is>
          <t xml:space="preserve">2 </t>
        </is>
      </c>
      <c r="P1095" t="inlineStr">
        <is>
          <t xml:space="preserve">244089  </t>
        </is>
      </c>
      <c r="Q1095" s="26" t="n">
        <v>14.9</v>
      </c>
      <c r="R1095" s="26">
        <f>Q1095*G1095</f>
        <v/>
      </c>
      <c r="S1095" t="n">
        <v>8.84</v>
      </c>
      <c r="T1095" s="18">
        <f>1 - V1095/S1095</f>
        <v/>
      </c>
      <c r="U1095" s="18" t="n">
        <v>0</v>
      </c>
      <c r="V1095" s="26" t="n">
        <v>8.84</v>
      </c>
      <c r="W1095" s="26">
        <f>V1095 - L1095</f>
        <v/>
      </c>
    </row>
    <row r="1096">
      <c r="A1096" s="11" t="n">
        <v>46214</v>
      </c>
      <c r="B1096" s="1" t="n">
        <v>20077</v>
      </c>
      <c r="C1096" s="1" t="inlineStr">
        <is>
          <t>029</t>
        </is>
      </c>
      <c r="D1096" s="1" t="inlineStr">
        <is>
          <t>155989</t>
        </is>
      </c>
      <c r="E1096" s="1" t="inlineStr">
        <is>
          <t xml:space="preserve">30141766       </t>
        </is>
      </c>
      <c r="F1096" s="5" t="inlineStr">
        <is>
          <t>TMZ BEAST MACHINES AUTOS DE METAL BLISTER X 1</t>
        </is>
      </c>
      <c r="G1096" t="n">
        <v>1</v>
      </c>
      <c r="H1096" s="7" t="n">
        <v>7.9</v>
      </c>
      <c r="I1096" s="7" t="n">
        <v>0</v>
      </c>
      <c r="J1096" s="7" t="n">
        <v>0</v>
      </c>
      <c r="K1096" s="9" t="n">
        <v>0</v>
      </c>
      <c r="L1096" s="10" t="n">
        <v>4.68</v>
      </c>
      <c r="M1096" s="10" t="n">
        <v>1.43</v>
      </c>
      <c r="N1096" t="inlineStr">
        <is>
          <t>1</t>
        </is>
      </c>
      <c r="O1096" t="inlineStr">
        <is>
          <t>16</t>
        </is>
      </c>
      <c r="P1096" t="inlineStr">
        <is>
          <t xml:space="preserve">244089  </t>
        </is>
      </c>
      <c r="Q1096" s="26" t="n">
        <v>7.9</v>
      </c>
      <c r="R1096" s="26">
        <f>Q1096*G1096</f>
        <v/>
      </c>
      <c r="S1096" t="n">
        <v>4.69</v>
      </c>
      <c r="T1096" s="18">
        <f>1 - V1096/S1096</f>
        <v/>
      </c>
      <c r="U1096" s="18" t="n">
        <v>0</v>
      </c>
      <c r="V1096" s="26" t="n">
        <v>4.69</v>
      </c>
      <c r="W1096" s="26">
        <f>V1096 - L1096</f>
        <v/>
      </c>
    </row>
    <row r="1097">
      <c r="A1097" s="11" t="n">
        <v>46214</v>
      </c>
      <c r="B1097" s="1" t="n">
        <v>20077</v>
      </c>
      <c r="C1097" s="1" t="inlineStr">
        <is>
          <t>029</t>
        </is>
      </c>
      <c r="D1097" s="1" t="inlineStr">
        <is>
          <t>155989</t>
        </is>
      </c>
      <c r="E1097" s="1" t="inlineStr">
        <is>
          <t xml:space="preserve">30141766       </t>
        </is>
      </c>
      <c r="F1097" s="5" t="inlineStr">
        <is>
          <t>TMZ BEAST MACHINES AUTOS DE METAL BLISTER X 1</t>
        </is>
      </c>
      <c r="G1097" t="n">
        <v>1</v>
      </c>
      <c r="H1097" s="7" t="n">
        <v>7.9</v>
      </c>
      <c r="I1097" s="7" t="n">
        <v>0</v>
      </c>
      <c r="J1097" s="7" t="n">
        <v>0</v>
      </c>
      <c r="K1097" s="9" t="n">
        <v>0</v>
      </c>
      <c r="L1097" s="10" t="n">
        <v>4.68</v>
      </c>
      <c r="M1097" s="10" t="n">
        <v>1.43</v>
      </c>
      <c r="N1097" t="inlineStr">
        <is>
          <t>1</t>
        </is>
      </c>
      <c r="O1097" t="inlineStr">
        <is>
          <t>16</t>
        </is>
      </c>
      <c r="P1097" t="inlineStr">
        <is>
          <t xml:space="preserve">244089  </t>
        </is>
      </c>
      <c r="Q1097" s="26" t="n">
        <v>7.9</v>
      </c>
      <c r="R1097" s="26">
        <f>Q1097*G1097</f>
        <v/>
      </c>
      <c r="S1097" t="n">
        <v>4.69</v>
      </c>
      <c r="T1097" s="18">
        <f>1 - V1097/S1097</f>
        <v/>
      </c>
      <c r="U1097" s="18" t="n">
        <v>0</v>
      </c>
      <c r="V1097" s="26" t="n">
        <v>4.69</v>
      </c>
      <c r="W1097" s="26">
        <f>V1097 - L1097</f>
        <v/>
      </c>
    </row>
    <row r="1098">
      <c r="A1098" s="11" t="n">
        <v>46214</v>
      </c>
      <c r="B1098" s="1" t="n">
        <v>20077</v>
      </c>
      <c r="C1098" s="1" t="inlineStr">
        <is>
          <t>031</t>
        </is>
      </c>
      <c r="D1098" s="1" t="inlineStr">
        <is>
          <t>186321</t>
        </is>
      </c>
      <c r="E1098" s="1" t="inlineStr">
        <is>
          <t xml:space="preserve">28194770       </t>
        </is>
      </c>
      <c r="F1098" s="5" t="inlineStr">
        <is>
          <t>AUTOS DE METAL 3 TEAMSTERZ EN BLISTER</t>
        </is>
      </c>
      <c r="G1098" t="n">
        <v>1</v>
      </c>
      <c r="H1098" s="7" t="n">
        <v>6.9</v>
      </c>
      <c r="I1098" s="7" t="n">
        <v>0</v>
      </c>
      <c r="J1098" s="7" t="n">
        <v>0</v>
      </c>
      <c r="K1098" s="9" t="n">
        <v>0</v>
      </c>
      <c r="L1098" s="10" t="n">
        <v>4.1</v>
      </c>
      <c r="M1098" s="10" t="n">
        <v>1.43</v>
      </c>
      <c r="N1098" t="inlineStr">
        <is>
          <t>1</t>
        </is>
      </c>
      <c r="O1098" t="inlineStr">
        <is>
          <t xml:space="preserve">2 </t>
        </is>
      </c>
      <c r="P1098" t="inlineStr">
        <is>
          <t xml:space="preserve">50022   </t>
        </is>
      </c>
      <c r="Q1098" s="26" t="n">
        <v>6.9</v>
      </c>
      <c r="R1098" s="26">
        <f>Q1098*G1098</f>
        <v/>
      </c>
      <c r="S1098" t="n">
        <v>4.09</v>
      </c>
      <c r="T1098" s="18">
        <f>1 - V1098/S1098</f>
        <v/>
      </c>
      <c r="U1098" s="18" t="n">
        <v>0</v>
      </c>
      <c r="V1098" s="26" t="n">
        <v>4.09</v>
      </c>
      <c r="W1098" s="26">
        <f>V1098 - L1098</f>
        <v/>
      </c>
    </row>
    <row r="1099">
      <c r="A1099" s="11" t="n">
        <v>46214</v>
      </c>
      <c r="B1099" s="1" t="n">
        <v>20077</v>
      </c>
      <c r="C1099" s="1" t="inlineStr">
        <is>
          <t>031</t>
        </is>
      </c>
      <c r="D1099" s="1" t="inlineStr">
        <is>
          <t>186321</t>
        </is>
      </c>
      <c r="E1099" s="1" t="inlineStr">
        <is>
          <t xml:space="preserve">30141766       </t>
        </is>
      </c>
      <c r="F1099" s="5" t="inlineStr">
        <is>
          <t>TMZ BEAST MACHINES AUTOS DE METAL BLISTER X 1</t>
        </is>
      </c>
      <c r="G1099" t="n">
        <v>1</v>
      </c>
      <c r="H1099" s="7" t="n">
        <v>7.9</v>
      </c>
      <c r="I1099" s="7" t="n">
        <v>0</v>
      </c>
      <c r="J1099" s="7" t="n">
        <v>0</v>
      </c>
      <c r="K1099" s="9" t="n">
        <v>0</v>
      </c>
      <c r="L1099" s="10" t="n">
        <v>4.68</v>
      </c>
      <c r="M1099" s="10" t="n">
        <v>1.43</v>
      </c>
      <c r="N1099" t="inlineStr">
        <is>
          <t>1</t>
        </is>
      </c>
      <c r="O1099" t="inlineStr">
        <is>
          <t xml:space="preserve">2 </t>
        </is>
      </c>
      <c r="P1099" t="inlineStr">
        <is>
          <t xml:space="preserve">50022   </t>
        </is>
      </c>
      <c r="Q1099" s="26" t="n">
        <v>7.9</v>
      </c>
      <c r="R1099" s="26">
        <f>Q1099*G1099</f>
        <v/>
      </c>
      <c r="S1099" t="n">
        <v>4.69</v>
      </c>
      <c r="T1099" s="18">
        <f>1 - V1099/S1099</f>
        <v/>
      </c>
      <c r="U1099" s="18" t="n">
        <v>0</v>
      </c>
      <c r="V1099" s="26" t="n">
        <v>4.69</v>
      </c>
      <c r="W1099" s="26">
        <f>V1099 - L1099</f>
        <v/>
      </c>
    </row>
    <row r="1100">
      <c r="A1100" s="11" t="n">
        <v>46214</v>
      </c>
      <c r="B1100" s="1" t="n">
        <v>20077</v>
      </c>
      <c r="C1100" s="1" t="inlineStr">
        <is>
          <t>031</t>
        </is>
      </c>
      <c r="D1100" s="1" t="inlineStr">
        <is>
          <t>186336</t>
        </is>
      </c>
      <c r="E1100" s="1" t="inlineStr">
        <is>
          <t xml:space="preserve">28194780       </t>
        </is>
      </c>
      <c r="F1100" s="5" t="inlineStr">
        <is>
          <t>TROMPO BATALLA INFINITY NADO PLSTICO SURTIDO</t>
        </is>
      </c>
      <c r="G1100" t="n">
        <v>1</v>
      </c>
      <c r="H1100" s="7" t="n">
        <v>19.9</v>
      </c>
      <c r="I1100" s="7" t="n">
        <v>0</v>
      </c>
      <c r="J1100" s="7" t="n">
        <v>0</v>
      </c>
      <c r="K1100" s="9" t="n">
        <v>0</v>
      </c>
      <c r="L1100" s="10" t="n">
        <v>11.8</v>
      </c>
      <c r="M1100" s="10" t="n">
        <v>1.43</v>
      </c>
      <c r="N1100" t="inlineStr">
        <is>
          <t>1</t>
        </is>
      </c>
      <c r="O1100" t="inlineStr">
        <is>
          <t xml:space="preserve">2 </t>
        </is>
      </c>
      <c r="P1100" t="inlineStr">
        <is>
          <t xml:space="preserve">238746  </t>
        </is>
      </c>
      <c r="Q1100" s="26" t="n">
        <v>19.9</v>
      </c>
      <c r="R1100" s="26">
        <f>Q1100*G1100</f>
        <v/>
      </c>
      <c r="S1100" t="n">
        <v>11.81</v>
      </c>
      <c r="T1100" s="18">
        <f>1 - V1100/S1100</f>
        <v/>
      </c>
      <c r="U1100" s="18" t="n">
        <v>0</v>
      </c>
      <c r="V1100" s="26" t="n">
        <v>11.81</v>
      </c>
      <c r="W1100" s="26">
        <f>V1100 - L1100</f>
        <v/>
      </c>
    </row>
    <row r="1101">
      <c r="A1101" s="11" t="n">
        <v>46214</v>
      </c>
      <c r="B1101" s="1" t="n">
        <v>20079</v>
      </c>
      <c r="C1101" s="1" t="inlineStr">
        <is>
          <t>013</t>
        </is>
      </c>
      <c r="D1101" s="1" t="inlineStr">
        <is>
          <t>228304</t>
        </is>
      </c>
      <c r="E1101" s="1" t="inlineStr">
        <is>
          <t xml:space="preserve">32457099       </t>
        </is>
      </c>
      <c r="F1101" s="5" t="inlineStr">
        <is>
          <t>TMZ BEAST MACHINES MONSTER JAWS A FRICCION BLISTER</t>
        </is>
      </c>
      <c r="G1101" t="n">
        <v>1</v>
      </c>
      <c r="H1101" s="7" t="n">
        <v>19.9</v>
      </c>
      <c r="I1101" s="7" t="n">
        <v>0</v>
      </c>
      <c r="J1101" s="7" t="n">
        <v>0</v>
      </c>
      <c r="K1101" s="9" t="n">
        <v>0</v>
      </c>
      <c r="L1101" s="10" t="n">
        <v>11.8</v>
      </c>
      <c r="M1101" s="10" t="n">
        <v>1.43</v>
      </c>
      <c r="N1101" t="inlineStr">
        <is>
          <t>1</t>
        </is>
      </c>
      <c r="O1101" t="inlineStr">
        <is>
          <t>16</t>
        </is>
      </c>
      <c r="P1101" t="inlineStr">
        <is>
          <t xml:space="preserve">38146   </t>
        </is>
      </c>
      <c r="Q1101" s="26" t="n">
        <v>19.9</v>
      </c>
      <c r="R1101" s="26">
        <f>Q1101*G1101</f>
        <v/>
      </c>
      <c r="S1101" t="n">
        <v>11.81</v>
      </c>
      <c r="T1101" s="18">
        <f>1 - V1101/S1101</f>
        <v/>
      </c>
      <c r="U1101" s="18" t="n">
        <v>0.1005025125628141</v>
      </c>
      <c r="V1101" s="26" t="n">
        <v>8.417118644067797</v>
      </c>
      <c r="W1101" s="26">
        <f>V1101 - L1101</f>
        <v/>
      </c>
    </row>
    <row r="1102">
      <c r="A1102" s="11" t="n">
        <v>46214</v>
      </c>
      <c r="B1102" s="1" t="n">
        <v>20079</v>
      </c>
      <c r="C1102" s="1" t="inlineStr">
        <is>
          <t>033</t>
        </is>
      </c>
      <c r="D1102" s="1" t="inlineStr">
        <is>
          <t xml:space="preserve">34196 </t>
        </is>
      </c>
      <c r="E1102" s="1" t="inlineStr">
        <is>
          <t xml:space="preserve">28194769       </t>
        </is>
      </c>
      <c r="F1102" s="5" t="inlineStr">
        <is>
          <t>AUTOS DE METAL 3 TEAMSTERZ PACK DE 2</t>
        </is>
      </c>
      <c r="G1102" t="n">
        <v>1</v>
      </c>
      <c r="H1102" s="7" t="n">
        <v>13.8</v>
      </c>
      <c r="I1102" s="7" t="n">
        <v>1.38</v>
      </c>
      <c r="J1102" s="7" t="n">
        <v>0</v>
      </c>
      <c r="K1102" s="9" t="n">
        <v>1.38</v>
      </c>
      <c r="L1102" s="10" t="n">
        <v>7.37</v>
      </c>
      <c r="M1102" s="10" t="n">
        <v>1.43</v>
      </c>
      <c r="N1102" t="inlineStr">
        <is>
          <t>1</t>
        </is>
      </c>
      <c r="O1102" t="inlineStr">
        <is>
          <t xml:space="preserve">3 </t>
        </is>
      </c>
      <c r="P1102" t="inlineStr">
        <is>
          <t xml:space="preserve">47148   </t>
        </is>
      </c>
      <c r="Q1102" s="26" t="n">
        <v>13.8</v>
      </c>
      <c r="R1102" s="26">
        <f>Q1102*G1102</f>
        <v/>
      </c>
      <c r="S1102" t="n">
        <v>8.19</v>
      </c>
      <c r="T1102" s="18">
        <f>1 - V1102/S1102</f>
        <v/>
      </c>
      <c r="U1102" s="18" t="n">
        <v>0</v>
      </c>
      <c r="V1102" s="26" t="n">
        <v>8.19</v>
      </c>
      <c r="W1102" s="26">
        <f>V1102 - L1102</f>
        <v/>
      </c>
    </row>
    <row r="1103">
      <c r="A1103" s="11" t="n">
        <v>46214</v>
      </c>
      <c r="B1103" s="1" t="n">
        <v>20079</v>
      </c>
      <c r="C1103" s="1" t="inlineStr">
        <is>
          <t>033</t>
        </is>
      </c>
      <c r="D1103" s="1" t="inlineStr">
        <is>
          <t xml:space="preserve">34196 </t>
        </is>
      </c>
      <c r="E1103" s="1" t="inlineStr">
        <is>
          <t xml:space="preserve">28194770       </t>
        </is>
      </c>
      <c r="F1103" s="5" t="inlineStr">
        <is>
          <t>AUTOS DE METAL 3 TEAMSTERZ EN BLISTER</t>
        </is>
      </c>
      <c r="G1103" t="n">
        <v>1</v>
      </c>
      <c r="H1103" s="7" t="n">
        <v>6.9</v>
      </c>
      <c r="I1103" s="7" t="n">
        <v>0.6899999999999999</v>
      </c>
      <c r="J1103" s="7" t="n">
        <v>0</v>
      </c>
      <c r="K1103" s="9" t="n">
        <v>0.6899999999999999</v>
      </c>
      <c r="L1103" s="10" t="n">
        <v>3.68</v>
      </c>
      <c r="M1103" s="10" t="n">
        <v>1.43</v>
      </c>
      <c r="N1103" t="inlineStr">
        <is>
          <t>1</t>
        </is>
      </c>
      <c r="O1103" t="inlineStr">
        <is>
          <t xml:space="preserve">3 </t>
        </is>
      </c>
      <c r="P1103" t="inlineStr">
        <is>
          <t xml:space="preserve">47148   </t>
        </is>
      </c>
      <c r="Q1103" s="26" t="n">
        <v>6.9</v>
      </c>
      <c r="R1103" s="26">
        <f>Q1103*G1103</f>
        <v/>
      </c>
      <c r="S1103" t="n">
        <v>4.09</v>
      </c>
      <c r="T1103" s="18">
        <f>1 - V1103/S1103</f>
        <v/>
      </c>
      <c r="U1103" s="18" t="n">
        <v>0</v>
      </c>
      <c r="V1103" s="26" t="n">
        <v>4.09</v>
      </c>
      <c r="W1103" s="26">
        <f>V1103 - L1103</f>
        <v/>
      </c>
    </row>
    <row r="1104">
      <c r="A1104" s="11" t="n">
        <v>46214</v>
      </c>
      <c r="B1104" s="1" t="n">
        <v>20079</v>
      </c>
      <c r="C1104" s="1" t="inlineStr">
        <is>
          <t>051</t>
        </is>
      </c>
      <c r="D1104" s="1" t="inlineStr">
        <is>
          <t>235644</t>
        </is>
      </c>
      <c r="E1104" s="1" t="inlineStr">
        <is>
          <t xml:space="preserve">28194769       </t>
        </is>
      </c>
      <c r="F1104" s="5" t="inlineStr">
        <is>
          <t>AUTOS DE METAL 3 TEAMSTERZ PACK DE 2</t>
        </is>
      </c>
      <c r="G1104" t="n">
        <v>1</v>
      </c>
      <c r="H1104" s="7" t="n">
        <v>13.8</v>
      </c>
      <c r="I1104" s="7" t="n">
        <v>0</v>
      </c>
      <c r="J1104" s="7" t="n">
        <v>0</v>
      </c>
      <c r="K1104" s="9" t="n">
        <v>0</v>
      </c>
      <c r="L1104" s="10" t="n">
        <v>8.18</v>
      </c>
      <c r="M1104" s="10" t="n">
        <v>1.43</v>
      </c>
      <c r="N1104" t="inlineStr">
        <is>
          <t>1</t>
        </is>
      </c>
      <c r="O1104" t="inlineStr">
        <is>
          <t>16</t>
        </is>
      </c>
      <c r="P1104" t="inlineStr">
        <is>
          <t xml:space="preserve">57836   </t>
        </is>
      </c>
      <c r="Q1104" s="26" t="n">
        <v>13.8</v>
      </c>
      <c r="R1104" s="26">
        <f>Q1104*G1104</f>
        <v/>
      </c>
      <c r="S1104" t="n">
        <v>8.19</v>
      </c>
      <c r="T1104" s="18">
        <f>1 - V1104/S1104</f>
        <v/>
      </c>
      <c r="U1104" s="18" t="n">
        <v>0</v>
      </c>
      <c r="V1104" s="26" t="n">
        <v>8.19</v>
      </c>
      <c r="W1104" s="26">
        <f>V1104 - L1104</f>
        <v/>
      </c>
    </row>
    <row r="1105">
      <c r="A1105" s="11" t="n">
        <v>46214</v>
      </c>
      <c r="B1105" s="1" t="n">
        <v>20079</v>
      </c>
      <c r="C1105" s="1" t="inlineStr">
        <is>
          <t>051</t>
        </is>
      </c>
      <c r="D1105" s="1" t="inlineStr">
        <is>
          <t>235644</t>
        </is>
      </c>
      <c r="E1105" s="1" t="inlineStr">
        <is>
          <t xml:space="preserve">28194769       </t>
        </is>
      </c>
      <c r="F1105" s="5" t="inlineStr">
        <is>
          <t>AUTOS DE METAL 3 TEAMSTERZ PACK DE 2</t>
        </is>
      </c>
      <c r="G1105" t="n">
        <v>1</v>
      </c>
      <c r="H1105" s="7" t="n">
        <v>13.8</v>
      </c>
      <c r="I1105" s="7" t="n">
        <v>0</v>
      </c>
      <c r="J1105" s="7" t="n">
        <v>0</v>
      </c>
      <c r="K1105" s="9" t="n">
        <v>0</v>
      </c>
      <c r="L1105" s="10" t="n">
        <v>8.18</v>
      </c>
      <c r="M1105" s="10" t="n">
        <v>1.43</v>
      </c>
      <c r="N1105" t="inlineStr">
        <is>
          <t>1</t>
        </is>
      </c>
      <c r="O1105" t="inlineStr">
        <is>
          <t>16</t>
        </is>
      </c>
      <c r="P1105" t="inlineStr">
        <is>
          <t xml:space="preserve">57836   </t>
        </is>
      </c>
      <c r="Q1105" s="26" t="n">
        <v>13.8</v>
      </c>
      <c r="R1105" s="26">
        <f>Q1105*G1105</f>
        <v/>
      </c>
      <c r="S1105" t="n">
        <v>8.19</v>
      </c>
      <c r="T1105" s="18">
        <f>1 - V1105/S1105</f>
        <v/>
      </c>
      <c r="U1105" s="18" t="n">
        <v>0</v>
      </c>
      <c r="V1105" s="26" t="n">
        <v>8.19</v>
      </c>
      <c r="W1105" s="26">
        <f>V1105 - L1105</f>
        <v/>
      </c>
    </row>
    <row r="1106">
      <c r="A1106" s="11" t="n">
        <v>46214</v>
      </c>
      <c r="B1106" s="1" t="n">
        <v>20079</v>
      </c>
      <c r="C1106" s="1" t="inlineStr">
        <is>
          <t>051</t>
        </is>
      </c>
      <c r="D1106" s="1" t="inlineStr">
        <is>
          <t>235644</t>
        </is>
      </c>
      <c r="E1106" s="1" t="inlineStr">
        <is>
          <t xml:space="preserve">32457099       </t>
        </is>
      </c>
      <c r="F1106" s="5" t="inlineStr">
        <is>
          <t>TMZ BEAST MACHINES MONSTER JAWS A FRICCION BLISTER</t>
        </is>
      </c>
      <c r="G1106" t="n">
        <v>1</v>
      </c>
      <c r="H1106" s="7" t="n">
        <v>19.9</v>
      </c>
      <c r="I1106" s="7" t="n">
        <v>0</v>
      </c>
      <c r="J1106" s="7" t="n">
        <v>0</v>
      </c>
      <c r="K1106" s="9" t="n">
        <v>0</v>
      </c>
      <c r="L1106" s="10" t="n">
        <v>11.8</v>
      </c>
      <c r="M1106" s="10" t="n">
        <v>1.43</v>
      </c>
      <c r="N1106" t="inlineStr">
        <is>
          <t>1</t>
        </is>
      </c>
      <c r="O1106" t="inlineStr">
        <is>
          <t>16</t>
        </is>
      </c>
      <c r="P1106" t="inlineStr">
        <is>
          <t xml:space="preserve">57836   </t>
        </is>
      </c>
      <c r="Q1106" s="26" t="n">
        <v>19.9</v>
      </c>
      <c r="R1106" s="26">
        <f>Q1106*G1106</f>
        <v/>
      </c>
      <c r="S1106" t="n">
        <v>11.81</v>
      </c>
      <c r="T1106" s="18">
        <f>1 - V1106/S1106</f>
        <v/>
      </c>
      <c r="U1106" s="18" t="n">
        <v>0.1005025125628141</v>
      </c>
      <c r="V1106" s="26" t="n">
        <v>8.417118644067797</v>
      </c>
      <c r="W1106" s="26">
        <f>V1106 - L1106</f>
        <v/>
      </c>
    </row>
    <row r="1107">
      <c r="A1107" s="11" t="n">
        <v>46214</v>
      </c>
      <c r="B1107" s="1" t="n">
        <v>20079</v>
      </c>
      <c r="C1107" s="1" t="inlineStr">
        <is>
          <t>051</t>
        </is>
      </c>
      <c r="D1107" s="1" t="inlineStr">
        <is>
          <t>235708</t>
        </is>
      </c>
      <c r="E1107" s="1" t="inlineStr">
        <is>
          <t xml:space="preserve">30141766       </t>
        </is>
      </c>
      <c r="F1107" s="5" t="inlineStr">
        <is>
          <t>TMZ BEAST MACHINES AUTOS DE METAL BLISTER X 1</t>
        </is>
      </c>
      <c r="G1107" t="n">
        <v>1</v>
      </c>
      <c r="H1107" s="7" t="n">
        <v>7.9</v>
      </c>
      <c r="I1107" s="7" t="n">
        <v>0</v>
      </c>
      <c r="J1107" s="7" t="n">
        <v>0</v>
      </c>
      <c r="K1107" s="9" t="n">
        <v>0</v>
      </c>
      <c r="L1107" s="10" t="n">
        <v>4.68</v>
      </c>
      <c r="M1107" s="10" t="n">
        <v>1.43</v>
      </c>
      <c r="N1107" t="inlineStr">
        <is>
          <t>1</t>
        </is>
      </c>
      <c r="O1107" t="inlineStr">
        <is>
          <t>16</t>
        </is>
      </c>
      <c r="P1107" t="inlineStr">
        <is>
          <t xml:space="preserve">57836   </t>
        </is>
      </c>
      <c r="Q1107" s="26" t="n">
        <v>7.9</v>
      </c>
      <c r="R1107" s="26">
        <f>Q1107*G1107</f>
        <v/>
      </c>
      <c r="S1107" t="n">
        <v>4.69</v>
      </c>
      <c r="T1107" s="18">
        <f>1 - V1107/S1107</f>
        <v/>
      </c>
      <c r="U1107" s="18" t="n">
        <v>0</v>
      </c>
      <c r="V1107" s="26" t="n">
        <v>4.69</v>
      </c>
      <c r="W1107" s="26">
        <f>V1107 - L1107</f>
        <v/>
      </c>
    </row>
    <row r="1108">
      <c r="A1108" s="11" t="n">
        <v>46214</v>
      </c>
      <c r="B1108" s="1" t="n">
        <v>20079</v>
      </c>
      <c r="C1108" s="1" t="inlineStr">
        <is>
          <t>531</t>
        </is>
      </c>
      <c r="D1108" s="1" t="inlineStr">
        <is>
          <t xml:space="preserve">4843  </t>
        </is>
      </c>
      <c r="E1108" s="1" t="inlineStr">
        <is>
          <t xml:space="preserve">29235706       </t>
        </is>
      </c>
      <c r="F1108" s="5" t="inlineStr">
        <is>
          <t>TEAMSTERZ CAMION PARA GUARDAR 12 AUTOS INCL 4 AUTO</t>
        </is>
      </c>
      <c r="G1108" t="n">
        <v>1</v>
      </c>
      <c r="H1108" s="7" t="n">
        <v>59.9</v>
      </c>
      <c r="I1108" s="7" t="n">
        <v>0</v>
      </c>
      <c r="J1108" s="7" t="n">
        <v>0</v>
      </c>
      <c r="K1108" s="9" t="n">
        <v>0</v>
      </c>
      <c r="L1108" s="10" t="n">
        <v>35.53</v>
      </c>
      <c r="M1108" s="10" t="n">
        <v>1.43</v>
      </c>
      <c r="N1108" t="inlineStr">
        <is>
          <t>1</t>
        </is>
      </c>
      <c r="O1108" t="inlineStr">
        <is>
          <t>16</t>
        </is>
      </c>
      <c r="P1108" t="inlineStr">
        <is>
          <t xml:space="preserve">245804  </t>
        </is>
      </c>
      <c r="Q1108" s="26" t="n">
        <v>59.90000000000001</v>
      </c>
      <c r="R1108" s="26">
        <f>Q1108*G1108</f>
        <v/>
      </c>
      <c r="S1108" t="n">
        <v>35.53</v>
      </c>
      <c r="T1108" s="18">
        <f>1 - V1108/S1108</f>
        <v/>
      </c>
      <c r="U1108" s="18" t="n">
        <v>0</v>
      </c>
      <c r="V1108" s="26" t="n">
        <v>35.53</v>
      </c>
      <c r="W1108" s="26">
        <f>V1108 - L1108</f>
        <v/>
      </c>
    </row>
    <row r="1109">
      <c r="A1109" s="11" t="n">
        <v>46214</v>
      </c>
      <c r="B1109" s="1" t="n">
        <v>20080</v>
      </c>
      <c r="C1109" s="1" t="inlineStr">
        <is>
          <t>020</t>
        </is>
      </c>
      <c r="D1109" s="1" t="inlineStr">
        <is>
          <t xml:space="preserve">2552  </t>
        </is>
      </c>
      <c r="E1109" s="1" t="inlineStr">
        <is>
          <t xml:space="preserve">32457118       </t>
        </is>
      </c>
      <c r="F1109" s="5" t="inlineStr">
        <is>
          <t>MUNECA EVI LOVE CAMAROTE + 2 MUNECAS</t>
        </is>
      </c>
      <c r="G1109" t="n">
        <v>1</v>
      </c>
      <c r="H1109" s="7" t="n">
        <v>49.9</v>
      </c>
      <c r="I1109" s="7" t="n">
        <v>0</v>
      </c>
      <c r="J1109" s="7" t="n">
        <v>0</v>
      </c>
      <c r="K1109" s="9" t="n">
        <v>0</v>
      </c>
      <c r="L1109" s="10" t="n">
        <v>29.6</v>
      </c>
      <c r="M1109" s="10" t="n">
        <v>1.43</v>
      </c>
      <c r="N1109" t="inlineStr">
        <is>
          <t>1</t>
        </is>
      </c>
      <c r="O1109" t="inlineStr">
        <is>
          <t>16</t>
        </is>
      </c>
      <c r="P1109" t="inlineStr">
        <is>
          <t xml:space="preserve">66628   </t>
        </is>
      </c>
      <c r="Q1109" s="26" t="n">
        <v>49.9</v>
      </c>
      <c r="R1109" s="26">
        <f>Q1109*G1109</f>
        <v/>
      </c>
      <c r="S1109" t="n">
        <v>29.6</v>
      </c>
      <c r="T1109" s="18">
        <f>1 - V1109/S1109</f>
        <v/>
      </c>
      <c r="U1109" s="18" t="n">
        <v>0.4</v>
      </c>
      <c r="V1109" s="26" t="n">
        <v>22.83559322033899</v>
      </c>
      <c r="W1109" s="26">
        <f>V1109 - L1109</f>
        <v/>
      </c>
    </row>
    <row r="1110">
      <c r="A1110" s="11" t="n">
        <v>46214</v>
      </c>
      <c r="B1110" s="1" t="n">
        <v>20080</v>
      </c>
      <c r="C1110" s="1" t="inlineStr">
        <is>
          <t>026</t>
        </is>
      </c>
      <c r="D1110" s="1" t="inlineStr">
        <is>
          <t>208837</t>
        </is>
      </c>
      <c r="E1110" s="1" t="inlineStr">
        <is>
          <t xml:space="preserve">30141768       </t>
        </is>
      </c>
      <c r="F1110" s="5" t="inlineStr">
        <is>
          <t>TMZ BEAST MACHINES AUTOS DE METAL PACK 10 AUTOS</t>
        </is>
      </c>
      <c r="G1110" t="n">
        <v>1</v>
      </c>
      <c r="H1110" s="7" t="n">
        <v>79</v>
      </c>
      <c r="I1110" s="7" t="n">
        <v>7.9</v>
      </c>
      <c r="J1110" s="7" t="n">
        <v>0</v>
      </c>
      <c r="K1110" s="9" t="n">
        <v>7.9</v>
      </c>
      <c r="L1110" s="10" t="n">
        <v>42.18</v>
      </c>
      <c r="M1110" s="10" t="n">
        <v>1.43</v>
      </c>
      <c r="N1110" t="inlineStr">
        <is>
          <t>1</t>
        </is>
      </c>
      <c r="O1110" t="inlineStr">
        <is>
          <t xml:space="preserve">3 </t>
        </is>
      </c>
      <c r="P1110" t="inlineStr">
        <is>
          <t xml:space="preserve">81033   </t>
        </is>
      </c>
      <c r="Q1110" s="26" t="n">
        <v>79</v>
      </c>
      <c r="R1110" s="26">
        <f>Q1110*G1110</f>
        <v/>
      </c>
      <c r="S1110" t="n">
        <v>46.86</v>
      </c>
      <c r="T1110" s="18">
        <f>1 - V1110/S1110</f>
        <v/>
      </c>
      <c r="U1110" s="18" t="n">
        <v>0.1265822784810127</v>
      </c>
      <c r="V1110" s="26" t="n">
        <v>43.85593220338983</v>
      </c>
      <c r="W1110" s="26">
        <f>V1110 - L1110</f>
        <v/>
      </c>
    </row>
    <row r="1111">
      <c r="A1111" s="11" t="n">
        <v>46214</v>
      </c>
      <c r="B1111" s="1" t="n">
        <v>20080</v>
      </c>
      <c r="C1111" s="1" t="inlineStr">
        <is>
          <t>029</t>
        </is>
      </c>
      <c r="D1111" s="1" t="inlineStr">
        <is>
          <t>225270</t>
        </is>
      </c>
      <c r="E1111" s="1" t="inlineStr">
        <is>
          <t xml:space="preserve">29854052       </t>
        </is>
      </c>
      <c r="F1111" s="5" t="inlineStr">
        <is>
          <t>PLAYSET CAMBIA DE COLOR CROC BITE</t>
        </is>
      </c>
      <c r="G1111" t="n">
        <v>1</v>
      </c>
      <c r="H1111" s="7" t="n">
        <v>79.90000000000001</v>
      </c>
      <c r="I1111" s="7" t="n">
        <v>0</v>
      </c>
      <c r="J1111" s="7" t="n">
        <v>0</v>
      </c>
      <c r="K1111" s="9" t="n">
        <v>0</v>
      </c>
      <c r="L1111" s="10" t="n">
        <v>47.4</v>
      </c>
      <c r="M1111" s="10" t="n">
        <v>1.43</v>
      </c>
      <c r="N1111" t="inlineStr">
        <is>
          <t>1</t>
        </is>
      </c>
      <c r="O1111" t="inlineStr">
        <is>
          <t>16</t>
        </is>
      </c>
      <c r="P1111" t="inlineStr">
        <is>
          <t xml:space="preserve">66628   </t>
        </is>
      </c>
      <c r="Q1111" s="26" t="n">
        <v>79.90000000000001</v>
      </c>
      <c r="R1111" s="26">
        <f>Q1111*G1111</f>
        <v/>
      </c>
      <c r="S1111" t="n">
        <v>47.4</v>
      </c>
      <c r="T1111" s="18">
        <f>1 - V1111/S1111</f>
        <v/>
      </c>
      <c r="U1111" s="18" t="n">
        <v>0</v>
      </c>
      <c r="V1111" s="26" t="n">
        <v>47.4</v>
      </c>
      <c r="W1111" s="26">
        <f>V1111 - L1111</f>
        <v/>
      </c>
    </row>
    <row r="1112">
      <c r="A1112" s="11" t="n">
        <v>46214</v>
      </c>
      <c r="B1112" s="1" t="n">
        <v>20080</v>
      </c>
      <c r="C1112" s="1" t="inlineStr">
        <is>
          <t>029</t>
        </is>
      </c>
      <c r="D1112" s="1" t="inlineStr">
        <is>
          <t>225314</t>
        </is>
      </c>
      <c r="E1112" s="1" t="inlineStr">
        <is>
          <t xml:space="preserve">29235706       </t>
        </is>
      </c>
      <c r="F1112" s="5" t="inlineStr">
        <is>
          <t>TEAMSTERZ CAMION PARA GUARDAR 12 AUTOS INCL 4 AUTO</t>
        </is>
      </c>
      <c r="G1112" t="n">
        <v>1</v>
      </c>
      <c r="H1112" s="7" t="n">
        <v>59.9</v>
      </c>
      <c r="I1112" s="7" t="n">
        <v>0</v>
      </c>
      <c r="J1112" s="7" t="n">
        <v>0</v>
      </c>
      <c r="K1112" s="9" t="n">
        <v>0</v>
      </c>
      <c r="L1112" s="10" t="n">
        <v>35.53</v>
      </c>
      <c r="M1112" s="10" t="n">
        <v>1.43</v>
      </c>
      <c r="N1112" t="inlineStr">
        <is>
          <t>1</t>
        </is>
      </c>
      <c r="O1112" t="inlineStr">
        <is>
          <t>16</t>
        </is>
      </c>
      <c r="P1112" t="inlineStr">
        <is>
          <t xml:space="preserve">247625  </t>
        </is>
      </c>
      <c r="Q1112" s="26" t="n">
        <v>59.90000000000001</v>
      </c>
      <c r="R1112" s="26">
        <f>Q1112*G1112</f>
        <v/>
      </c>
      <c r="S1112" t="n">
        <v>35.53</v>
      </c>
      <c r="T1112" s="18">
        <f>1 - V1112/S1112</f>
        <v/>
      </c>
      <c r="U1112" s="18" t="n">
        <v>0</v>
      </c>
      <c r="V1112" s="26" t="n">
        <v>35.53</v>
      </c>
      <c r="W1112" s="26">
        <f>V1112 - L1112</f>
        <v/>
      </c>
    </row>
    <row r="1113">
      <c r="A1113" s="11" t="n">
        <v>46214</v>
      </c>
      <c r="B1113" s="1" t="n">
        <v>20080</v>
      </c>
      <c r="C1113" s="1" t="inlineStr">
        <is>
          <t>029</t>
        </is>
      </c>
      <c r="D1113" s="1" t="inlineStr">
        <is>
          <t>225347</t>
        </is>
      </c>
      <c r="E1113" s="1" t="inlineStr">
        <is>
          <t xml:space="preserve">28194770       </t>
        </is>
      </c>
      <c r="F1113" s="5" t="inlineStr">
        <is>
          <t>AUTOS DE METAL 3 TEAMSTERZ EN BLISTER</t>
        </is>
      </c>
      <c r="G1113" t="n">
        <v>1</v>
      </c>
      <c r="H1113" s="7" t="n">
        <v>6.9</v>
      </c>
      <c r="I1113" s="7" t="n">
        <v>0</v>
      </c>
      <c r="J1113" s="7" t="n">
        <v>0</v>
      </c>
      <c r="K1113" s="9" t="n">
        <v>0</v>
      </c>
      <c r="L1113" s="10" t="n">
        <v>4.1</v>
      </c>
      <c r="M1113" s="10" t="n">
        <v>1.43</v>
      </c>
      <c r="N1113" t="inlineStr">
        <is>
          <t>1</t>
        </is>
      </c>
      <c r="O1113" t="inlineStr">
        <is>
          <t xml:space="preserve">6 </t>
        </is>
      </c>
      <c r="P1113" t="inlineStr">
        <is>
          <t xml:space="preserve">247625  </t>
        </is>
      </c>
      <c r="Q1113" s="26" t="n">
        <v>6.9</v>
      </c>
      <c r="R1113" s="26">
        <f>Q1113*G1113</f>
        <v/>
      </c>
      <c r="S1113" t="n">
        <v>4.09</v>
      </c>
      <c r="T1113" s="18">
        <f>1 - V1113/S1113</f>
        <v/>
      </c>
      <c r="U1113" s="18" t="n">
        <v>0</v>
      </c>
      <c r="V1113" s="26" t="n">
        <v>4.09</v>
      </c>
      <c r="W1113" s="26">
        <f>V1113 - L1113</f>
        <v/>
      </c>
    </row>
    <row r="1114">
      <c r="A1114" s="11" t="n">
        <v>46214</v>
      </c>
      <c r="B1114" s="1" t="n">
        <v>20086</v>
      </c>
      <c r="C1114" s="1" t="inlineStr">
        <is>
          <t>015</t>
        </is>
      </c>
      <c r="D1114" s="1" t="inlineStr">
        <is>
          <t xml:space="preserve">3655  </t>
        </is>
      </c>
      <c r="E1114" s="1" t="inlineStr">
        <is>
          <t xml:space="preserve">28194770       </t>
        </is>
      </c>
      <c r="F1114" s="5" t="inlineStr">
        <is>
          <t>AUTOS DE METAL 3 TEAMSTERZ EN BLISTER</t>
        </is>
      </c>
      <c r="G1114" t="n">
        <v>1</v>
      </c>
      <c r="H1114" s="7" t="n">
        <v>6.9</v>
      </c>
      <c r="I1114" s="7" t="n">
        <v>0</v>
      </c>
      <c r="J1114" s="7" t="n">
        <v>0</v>
      </c>
      <c r="K1114" s="9" t="n">
        <v>0</v>
      </c>
      <c r="L1114" s="10" t="n">
        <v>4.1</v>
      </c>
      <c r="M1114" s="10" t="n">
        <v>1.43</v>
      </c>
      <c r="N1114" t="inlineStr">
        <is>
          <t>1</t>
        </is>
      </c>
      <c r="O1114" t="inlineStr">
        <is>
          <t xml:space="preserve">2 </t>
        </is>
      </c>
      <c r="P1114" t="inlineStr">
        <is>
          <t xml:space="preserve">250783  </t>
        </is>
      </c>
      <c r="Q1114" s="26" t="n">
        <v>6.9</v>
      </c>
      <c r="R1114" s="26">
        <f>Q1114*G1114</f>
        <v/>
      </c>
      <c r="S1114" t="n">
        <v>4.09</v>
      </c>
      <c r="T1114" s="18">
        <f>1 - V1114/S1114</f>
        <v/>
      </c>
      <c r="U1114" s="18" t="n">
        <v>0</v>
      </c>
      <c r="V1114" s="26" t="n">
        <v>4.09</v>
      </c>
      <c r="W1114" s="26">
        <f>V1114 - L1114</f>
        <v/>
      </c>
    </row>
    <row r="1115">
      <c r="A1115" s="11" t="n">
        <v>46214</v>
      </c>
      <c r="B1115" s="1" t="n">
        <v>20086</v>
      </c>
      <c r="C1115" s="1" t="inlineStr">
        <is>
          <t>191</t>
        </is>
      </c>
      <c r="D1115" s="1" t="inlineStr">
        <is>
          <t>291535</t>
        </is>
      </c>
      <c r="E1115" s="1" t="inlineStr">
        <is>
          <t xml:space="preserve">28194770       </t>
        </is>
      </c>
      <c r="F1115" s="5" t="inlineStr">
        <is>
          <t>AUTOS DE METAL 3 TEAMSTERZ EN BLISTER</t>
        </is>
      </c>
      <c r="G1115" t="n">
        <v>1</v>
      </c>
      <c r="H1115" s="7" t="n">
        <v>6.9</v>
      </c>
      <c r="I1115" s="7" t="n">
        <v>0</v>
      </c>
      <c r="J1115" s="7" t="n">
        <v>0</v>
      </c>
      <c r="K1115" s="9" t="n">
        <v>0</v>
      </c>
      <c r="L1115" s="10" t="n">
        <v>4.1</v>
      </c>
      <c r="M1115" s="10" t="n">
        <v>1.43</v>
      </c>
      <c r="N1115" t="inlineStr">
        <is>
          <t>1</t>
        </is>
      </c>
      <c r="O1115" t="inlineStr">
        <is>
          <t>16</t>
        </is>
      </c>
      <c r="P1115" t="inlineStr">
        <is>
          <t xml:space="preserve">74697   </t>
        </is>
      </c>
      <c r="Q1115" s="26" t="n">
        <v>6.9</v>
      </c>
      <c r="R1115" s="26">
        <f>Q1115*G1115</f>
        <v/>
      </c>
      <c r="S1115" t="n">
        <v>4.09</v>
      </c>
      <c r="T1115" s="18">
        <f>1 - V1115/S1115</f>
        <v/>
      </c>
      <c r="U1115" s="18" t="n">
        <v>0</v>
      </c>
      <c r="V1115" s="26" t="n">
        <v>4.09</v>
      </c>
      <c r="W1115" s="26">
        <f>V1115 - L1115</f>
        <v/>
      </c>
    </row>
    <row r="1116">
      <c r="A1116" s="11" t="n">
        <v>46214</v>
      </c>
      <c r="B1116" s="1" t="n">
        <v>20086</v>
      </c>
      <c r="C1116" s="1" t="inlineStr">
        <is>
          <t>191</t>
        </is>
      </c>
      <c r="D1116" s="1" t="inlineStr">
        <is>
          <t>291535</t>
        </is>
      </c>
      <c r="E1116" s="1" t="inlineStr">
        <is>
          <t xml:space="preserve">28194770       </t>
        </is>
      </c>
      <c r="F1116" s="5" t="inlineStr">
        <is>
          <t>AUTOS DE METAL 3 TEAMSTERZ EN BLISTER</t>
        </is>
      </c>
      <c r="G1116" t="n">
        <v>1</v>
      </c>
      <c r="H1116" s="7" t="n">
        <v>6.9</v>
      </c>
      <c r="I1116" s="7" t="n">
        <v>0</v>
      </c>
      <c r="J1116" s="7" t="n">
        <v>0</v>
      </c>
      <c r="K1116" s="9" t="n">
        <v>0</v>
      </c>
      <c r="L1116" s="10" t="n">
        <v>4.1</v>
      </c>
      <c r="M1116" s="10" t="n">
        <v>1.43</v>
      </c>
      <c r="N1116" t="inlineStr">
        <is>
          <t>1</t>
        </is>
      </c>
      <c r="O1116" t="inlineStr">
        <is>
          <t>16</t>
        </is>
      </c>
      <c r="P1116" t="inlineStr">
        <is>
          <t xml:space="preserve">74697   </t>
        </is>
      </c>
      <c r="Q1116" s="26" t="n">
        <v>6.9</v>
      </c>
      <c r="R1116" s="26">
        <f>Q1116*G1116</f>
        <v/>
      </c>
      <c r="S1116" t="n">
        <v>4.09</v>
      </c>
      <c r="T1116" s="18">
        <f>1 - V1116/S1116</f>
        <v/>
      </c>
      <c r="U1116" s="18" t="n">
        <v>0</v>
      </c>
      <c r="V1116" s="26" t="n">
        <v>4.09</v>
      </c>
      <c r="W1116" s="26">
        <f>V1116 - L1116</f>
        <v/>
      </c>
    </row>
    <row r="1117">
      <c r="A1117" s="11" t="n">
        <v>46214</v>
      </c>
      <c r="B1117" s="1" t="n">
        <v>20086</v>
      </c>
      <c r="C1117" s="1" t="inlineStr">
        <is>
          <t>500</t>
        </is>
      </c>
      <c r="D1117" s="1" t="inlineStr">
        <is>
          <t xml:space="preserve">4341  </t>
        </is>
      </c>
      <c r="E1117" s="1" t="inlineStr">
        <is>
          <t xml:space="preserve">28194769       </t>
        </is>
      </c>
      <c r="F1117" s="5" t="inlineStr">
        <is>
          <t>AUTOS DE METAL 3 TEAMSTERZ PACK DE 2</t>
        </is>
      </c>
      <c r="G1117" t="n">
        <v>1</v>
      </c>
      <c r="H1117" s="7" t="n">
        <v>13.8</v>
      </c>
      <c r="I1117" s="7" t="n">
        <v>0</v>
      </c>
      <c r="J1117" s="7" t="n">
        <v>0</v>
      </c>
      <c r="K1117" s="9" t="n">
        <v>0</v>
      </c>
      <c r="L1117" s="10" t="n">
        <v>8.18</v>
      </c>
      <c r="M1117" s="10" t="n">
        <v>1.43</v>
      </c>
      <c r="N1117" t="inlineStr">
        <is>
          <t>1</t>
        </is>
      </c>
      <c r="O1117" t="inlineStr">
        <is>
          <t>16</t>
        </is>
      </c>
      <c r="P1117" t="inlineStr">
        <is>
          <t xml:space="preserve">243254  </t>
        </is>
      </c>
      <c r="Q1117" s="26" t="n">
        <v>13.8</v>
      </c>
      <c r="R1117" s="26">
        <f>Q1117*G1117</f>
        <v/>
      </c>
      <c r="S1117" t="n">
        <v>8.19</v>
      </c>
      <c r="T1117" s="18">
        <f>1 - V1117/S1117</f>
        <v/>
      </c>
      <c r="U1117" s="18" t="n">
        <v>0</v>
      </c>
      <c r="V1117" s="26" t="n">
        <v>8.19</v>
      </c>
      <c r="W1117" s="26">
        <f>V1117 - L1117</f>
        <v/>
      </c>
    </row>
    <row r="1118">
      <c r="A1118" s="11" t="n">
        <v>46214</v>
      </c>
      <c r="B1118" s="1" t="n">
        <v>20088</v>
      </c>
      <c r="C1118" s="1" t="inlineStr">
        <is>
          <t>011</t>
        </is>
      </c>
      <c r="D1118" s="1" t="inlineStr">
        <is>
          <t xml:space="preserve">63300 </t>
        </is>
      </c>
      <c r="E1118" s="1" t="inlineStr">
        <is>
          <t xml:space="preserve">28194768       </t>
        </is>
      </c>
      <c r="F1118" s="5" t="inlineStr">
        <is>
          <t>AUTO COLOR CHANGE TEAMSTERZ SURTIDO</t>
        </is>
      </c>
      <c r="G1118" t="n">
        <v>1</v>
      </c>
      <c r="H1118" s="7" t="n">
        <v>14.9</v>
      </c>
      <c r="I1118" s="7" t="n">
        <v>0</v>
      </c>
      <c r="J1118" s="7" t="n">
        <v>0</v>
      </c>
      <c r="K1118" s="9" t="n">
        <v>0</v>
      </c>
      <c r="L1118" s="10" t="n">
        <v>8.84</v>
      </c>
      <c r="M1118" s="10" t="n">
        <v>1.43</v>
      </c>
      <c r="N1118" t="inlineStr">
        <is>
          <t>1</t>
        </is>
      </c>
      <c r="O1118" t="inlineStr">
        <is>
          <t>16</t>
        </is>
      </c>
      <c r="P1118" t="inlineStr">
        <is>
          <t xml:space="preserve">249601  </t>
        </is>
      </c>
      <c r="Q1118" s="26" t="n">
        <v>14.9</v>
      </c>
      <c r="R1118" s="26">
        <f>Q1118*G1118</f>
        <v/>
      </c>
      <c r="S1118" t="n">
        <v>8.84</v>
      </c>
      <c r="T1118" s="18">
        <f>1 - V1118/S1118</f>
        <v/>
      </c>
      <c r="U1118" s="18" t="n">
        <v>0</v>
      </c>
      <c r="V1118" s="26" t="n">
        <v>8.84</v>
      </c>
      <c r="W1118" s="26">
        <f>V1118 - L1118</f>
        <v/>
      </c>
    </row>
    <row r="1119">
      <c r="A1119" s="11" t="n">
        <v>46214</v>
      </c>
      <c r="B1119" s="1" t="n">
        <v>20088</v>
      </c>
      <c r="C1119" s="1" t="inlineStr">
        <is>
          <t>011</t>
        </is>
      </c>
      <c r="D1119" s="1" t="inlineStr">
        <is>
          <t xml:space="preserve">63300 </t>
        </is>
      </c>
      <c r="E1119" s="1" t="inlineStr">
        <is>
          <t xml:space="preserve">28194769       </t>
        </is>
      </c>
      <c r="F1119" s="5" t="inlineStr">
        <is>
          <t>AUTOS DE METAL 3 TEAMSTERZ PACK DE 2</t>
        </is>
      </c>
      <c r="G1119" t="n">
        <v>1</v>
      </c>
      <c r="H1119" s="7" t="n">
        <v>13.8</v>
      </c>
      <c r="I1119" s="7" t="n">
        <v>0</v>
      </c>
      <c r="J1119" s="7" t="n">
        <v>0</v>
      </c>
      <c r="K1119" s="9" t="n">
        <v>0</v>
      </c>
      <c r="L1119" s="10" t="n">
        <v>8.18</v>
      </c>
      <c r="M1119" s="10" t="n">
        <v>1.43</v>
      </c>
      <c r="N1119" t="inlineStr">
        <is>
          <t>1</t>
        </is>
      </c>
      <c r="O1119" t="inlineStr">
        <is>
          <t>16</t>
        </is>
      </c>
      <c r="P1119" t="inlineStr">
        <is>
          <t xml:space="preserve">249601  </t>
        </is>
      </c>
      <c r="Q1119" s="26" t="n">
        <v>13.8</v>
      </c>
      <c r="R1119" s="26">
        <f>Q1119*G1119</f>
        <v/>
      </c>
      <c r="S1119" t="n">
        <v>8.19</v>
      </c>
      <c r="T1119" s="18">
        <f>1 - V1119/S1119</f>
        <v/>
      </c>
      <c r="U1119" s="18" t="n">
        <v>0</v>
      </c>
      <c r="V1119" s="26" t="n">
        <v>8.19</v>
      </c>
      <c r="W1119" s="26">
        <f>V1119 - L1119</f>
        <v/>
      </c>
    </row>
    <row r="1120">
      <c r="A1120" s="11" t="n">
        <v>46214</v>
      </c>
      <c r="B1120" s="1" t="n">
        <v>20088</v>
      </c>
      <c r="C1120" s="1" t="inlineStr">
        <is>
          <t>021</t>
        </is>
      </c>
      <c r="D1120" s="1" t="inlineStr">
        <is>
          <t xml:space="preserve">48692 </t>
        </is>
      </c>
      <c r="E1120" s="1" t="inlineStr">
        <is>
          <t xml:space="preserve">28194770       </t>
        </is>
      </c>
      <c r="F1120" s="5" t="inlineStr">
        <is>
          <t>AUTOS DE METAL 3 TEAMSTERZ EN BLISTER</t>
        </is>
      </c>
      <c r="G1120" t="n">
        <v>1</v>
      </c>
      <c r="H1120" s="7" t="n">
        <v>6.9</v>
      </c>
      <c r="I1120" s="7" t="n">
        <v>0</v>
      </c>
      <c r="J1120" s="7" t="n">
        <v>0</v>
      </c>
      <c r="K1120" s="9" t="n">
        <v>0</v>
      </c>
      <c r="L1120" s="10" t="n">
        <v>4.1</v>
      </c>
      <c r="M1120" s="10" t="n">
        <v>1.43</v>
      </c>
      <c r="N1120" t="inlineStr">
        <is>
          <t>1</t>
        </is>
      </c>
      <c r="O1120" t="inlineStr">
        <is>
          <t xml:space="preserve">2 </t>
        </is>
      </c>
      <c r="P1120" t="inlineStr">
        <is>
          <t xml:space="preserve">235264  </t>
        </is>
      </c>
      <c r="Q1120" s="26" t="n">
        <v>6.9</v>
      </c>
      <c r="R1120" s="26">
        <f>Q1120*G1120</f>
        <v/>
      </c>
      <c r="S1120" t="n">
        <v>4.09</v>
      </c>
      <c r="T1120" s="18">
        <f>1 - V1120/S1120</f>
        <v/>
      </c>
      <c r="U1120" s="18" t="n">
        <v>0</v>
      </c>
      <c r="V1120" s="26" t="n">
        <v>4.09</v>
      </c>
      <c r="W1120" s="26">
        <f>V1120 - L1120</f>
        <v/>
      </c>
    </row>
    <row r="1121">
      <c r="A1121" s="11" t="n">
        <v>46214</v>
      </c>
      <c r="B1121" s="1" t="n">
        <v>20088</v>
      </c>
      <c r="C1121" s="1" t="inlineStr">
        <is>
          <t>021</t>
        </is>
      </c>
      <c r="D1121" s="1" t="inlineStr">
        <is>
          <t xml:space="preserve">48705 </t>
        </is>
      </c>
      <c r="E1121" s="1" t="inlineStr">
        <is>
          <t xml:space="preserve">32457099       </t>
        </is>
      </c>
      <c r="F1121" s="5" t="inlineStr">
        <is>
          <t>TMZ BEAST MACHINES MONSTER JAWS A FRICCION BLISTER</t>
        </is>
      </c>
      <c r="G1121" t="n">
        <v>1</v>
      </c>
      <c r="H1121" s="7" t="n">
        <v>17.9</v>
      </c>
      <c r="I1121" s="7" t="n">
        <v>1.79</v>
      </c>
      <c r="J1121" s="7" t="n">
        <v>0</v>
      </c>
      <c r="K1121" s="9" t="n">
        <v>1.79</v>
      </c>
      <c r="L1121" s="10" t="n">
        <v>9.56</v>
      </c>
      <c r="M1121" s="10" t="n">
        <v>1.43</v>
      </c>
      <c r="N1121" t="inlineStr">
        <is>
          <t>1</t>
        </is>
      </c>
      <c r="O1121" t="inlineStr">
        <is>
          <t xml:space="preserve">3 </t>
        </is>
      </c>
      <c r="P1121" t="inlineStr">
        <is>
          <t xml:space="preserve">235264  </t>
        </is>
      </c>
      <c r="Q1121" s="26" t="n">
        <v>19.9</v>
      </c>
      <c r="R1121" s="26">
        <f>Q1121*G1121</f>
        <v/>
      </c>
      <c r="S1121" t="n">
        <v>11.81</v>
      </c>
      <c r="T1121" s="18">
        <f>1 - V1121/S1121</f>
        <v/>
      </c>
      <c r="U1121" s="18" t="n">
        <v>0.1005025125628141</v>
      </c>
      <c r="V1121" s="26" t="n">
        <v>8.417118644067797</v>
      </c>
      <c r="W1121" s="26">
        <f>V1121 - L1121</f>
        <v/>
      </c>
    </row>
    <row r="1122">
      <c r="A1122" s="11" t="n">
        <v>46214</v>
      </c>
      <c r="B1122" s="1" t="n">
        <v>20088</v>
      </c>
      <c r="C1122" s="1" t="inlineStr">
        <is>
          <t>021</t>
        </is>
      </c>
      <c r="D1122" s="1" t="inlineStr">
        <is>
          <t xml:space="preserve">48729 </t>
        </is>
      </c>
      <c r="E1122" s="1" t="inlineStr">
        <is>
          <t xml:space="preserve">35685067       </t>
        </is>
      </c>
      <c r="F1122" s="5" t="inlineStr">
        <is>
          <t>HOT WHEELS POWER SET 3 EN 1</t>
        </is>
      </c>
      <c r="G1122" t="n">
        <v>1</v>
      </c>
      <c r="H1122" s="7" t="n">
        <v>49.9</v>
      </c>
      <c r="I1122" s="7" t="n">
        <v>0</v>
      </c>
      <c r="J1122" s="7" t="n">
        <v>0</v>
      </c>
      <c r="K1122" s="9" t="n">
        <v>0</v>
      </c>
      <c r="L1122" s="10" t="n">
        <v>29.6</v>
      </c>
      <c r="M1122" s="10" t="n">
        <v>1.43</v>
      </c>
      <c r="N1122" t="inlineStr">
        <is>
          <t>1</t>
        </is>
      </c>
      <c r="O1122" t="inlineStr">
        <is>
          <t>16</t>
        </is>
      </c>
      <c r="P1122" t="inlineStr">
        <is>
          <t xml:space="preserve">235264  </t>
        </is>
      </c>
      <c r="Q1122" s="26" t="n">
        <v>49.9</v>
      </c>
      <c r="R1122" s="26">
        <f>Q1122*G1122</f>
        <v/>
      </c>
      <c r="S1122" t="n">
        <v>29.6</v>
      </c>
      <c r="T1122" s="18">
        <f>1 - V1122/S1122</f>
        <v/>
      </c>
      <c r="U1122" s="18" t="n">
        <v>0</v>
      </c>
      <c r="V1122" s="26" t="n">
        <v>29.6</v>
      </c>
      <c r="W1122" s="26">
        <f>V1122 - L1122</f>
        <v/>
      </c>
    </row>
    <row r="1123">
      <c r="A1123" s="11" t="n">
        <v>46214</v>
      </c>
      <c r="B1123" s="1" t="n">
        <v>20088</v>
      </c>
      <c r="C1123" s="1" t="inlineStr">
        <is>
          <t>023</t>
        </is>
      </c>
      <c r="D1123" s="1" t="inlineStr">
        <is>
          <t>126833</t>
        </is>
      </c>
      <c r="E1123" s="1" t="inlineStr">
        <is>
          <t xml:space="preserve">30141768       </t>
        </is>
      </c>
      <c r="F1123" s="5" t="inlineStr">
        <is>
          <t>TMZ BEAST MACHINES AUTOS DE METAL PACK 10 AUTOS</t>
        </is>
      </c>
      <c r="G1123" t="n">
        <v>1</v>
      </c>
      <c r="H1123" s="7" t="n">
        <v>69</v>
      </c>
      <c r="I1123" s="7" t="n">
        <v>0</v>
      </c>
      <c r="J1123" s="7" t="n">
        <v>0</v>
      </c>
      <c r="K1123" s="9" t="n">
        <v>0</v>
      </c>
      <c r="L1123" s="10" t="n">
        <v>40.93</v>
      </c>
      <c r="M1123" s="10" t="n">
        <v>1.43</v>
      </c>
      <c r="N1123" t="inlineStr">
        <is>
          <t>1</t>
        </is>
      </c>
      <c r="O1123" t="inlineStr">
        <is>
          <t>16</t>
        </is>
      </c>
      <c r="P1123" t="inlineStr">
        <is>
          <t xml:space="preserve">248960  </t>
        </is>
      </c>
      <c r="Q1123" s="26" t="n">
        <v>79</v>
      </c>
      <c r="R1123" s="26">
        <f>Q1123*G1123</f>
        <v/>
      </c>
      <c r="S1123" t="n">
        <v>46.86</v>
      </c>
      <c r="T1123" s="18">
        <f>1 - V1123/S1123</f>
        <v/>
      </c>
      <c r="U1123" s="18" t="n">
        <v>0.1265822784810127</v>
      </c>
      <c r="V1123" s="26" t="n">
        <v>43.85593220338983</v>
      </c>
      <c r="W1123" s="26">
        <f>V1123 - L1123</f>
        <v/>
      </c>
    </row>
    <row r="1124">
      <c r="A1124" s="11" t="n">
        <v>46214</v>
      </c>
      <c r="B1124" s="1" t="n">
        <v>20088</v>
      </c>
      <c r="C1124" s="1" t="inlineStr">
        <is>
          <t>527</t>
        </is>
      </c>
      <c r="D1124" s="1" t="inlineStr">
        <is>
          <t xml:space="preserve">2190  </t>
        </is>
      </c>
      <c r="E1124" s="1" t="inlineStr">
        <is>
          <t xml:space="preserve">35685067       </t>
        </is>
      </c>
      <c r="F1124" s="5" t="inlineStr">
        <is>
          <t>HOT WHEELS POWER SET 3 EN 1</t>
        </is>
      </c>
      <c r="G1124" t="n">
        <v>1</v>
      </c>
      <c r="H1124" s="7" t="n">
        <v>49.9</v>
      </c>
      <c r="I1124" s="7" t="n">
        <v>0</v>
      </c>
      <c r="J1124" s="7" t="n">
        <v>0</v>
      </c>
      <c r="K1124" s="9" t="n">
        <v>0</v>
      </c>
      <c r="L1124" s="10" t="n">
        <v>29.6</v>
      </c>
      <c r="M1124" s="10" t="n">
        <v>1.43</v>
      </c>
      <c r="N1124" t="inlineStr">
        <is>
          <t>1</t>
        </is>
      </c>
      <c r="O1124" t="inlineStr">
        <is>
          <t>16</t>
        </is>
      </c>
      <c r="P1124" t="inlineStr">
        <is>
          <t xml:space="preserve">200475  </t>
        </is>
      </c>
      <c r="Q1124" s="26" t="n">
        <v>49.9</v>
      </c>
      <c r="R1124" s="26">
        <f>Q1124*G1124</f>
        <v/>
      </c>
      <c r="S1124" t="n">
        <v>29.6</v>
      </c>
      <c r="T1124" s="18">
        <f>1 - V1124/S1124</f>
        <v/>
      </c>
      <c r="U1124" s="18" t="n">
        <v>0</v>
      </c>
      <c r="V1124" s="26" t="n">
        <v>29.6</v>
      </c>
      <c r="W1124" s="26">
        <f>V1124 - L1124</f>
        <v/>
      </c>
    </row>
    <row r="1125">
      <c r="A1125" s="11" t="n">
        <v>46214</v>
      </c>
      <c r="B1125" s="1" t="n">
        <v>20089</v>
      </c>
      <c r="C1125" s="1" t="inlineStr">
        <is>
          <t>025</t>
        </is>
      </c>
      <c r="D1125" s="1" t="inlineStr">
        <is>
          <t>121540</t>
        </is>
      </c>
      <c r="E1125" s="1" t="inlineStr">
        <is>
          <t xml:space="preserve">28194780       </t>
        </is>
      </c>
      <c r="F1125" s="5" t="inlineStr">
        <is>
          <t>TROMPO BATALLA INFINITY NADO PLSTICO SURTIDO</t>
        </is>
      </c>
      <c r="G1125" t="n">
        <v>1</v>
      </c>
      <c r="H1125" s="7" t="n">
        <v>19.9</v>
      </c>
      <c r="I1125" s="7" t="n">
        <v>1.99</v>
      </c>
      <c r="J1125" s="7" t="n">
        <v>0</v>
      </c>
      <c r="K1125" s="9" t="n">
        <v>1.99</v>
      </c>
      <c r="L1125" s="10" t="n">
        <v>10.63</v>
      </c>
      <c r="M1125" s="10" t="n">
        <v>1.43</v>
      </c>
      <c r="N1125" t="inlineStr">
        <is>
          <t>1</t>
        </is>
      </c>
      <c r="O1125" t="inlineStr">
        <is>
          <t xml:space="preserve">3 </t>
        </is>
      </c>
      <c r="P1125" t="inlineStr">
        <is>
          <t xml:space="preserve">94948   </t>
        </is>
      </c>
      <c r="Q1125" s="26" t="n">
        <v>19.9</v>
      </c>
      <c r="R1125" s="26">
        <f>Q1125*G1125</f>
        <v/>
      </c>
      <c r="S1125" t="n">
        <v>11.81</v>
      </c>
      <c r="T1125" s="18">
        <f>1 - V1125/S1125</f>
        <v/>
      </c>
      <c r="U1125" s="18" t="n">
        <v>0</v>
      </c>
      <c r="V1125" s="26" t="n">
        <v>11.81</v>
      </c>
      <c r="W1125" s="26">
        <f>V1125 - L1125</f>
        <v/>
      </c>
    </row>
    <row r="1126">
      <c r="A1126" s="11" t="n">
        <v>46214</v>
      </c>
      <c r="B1126" s="1" t="n">
        <v>20089</v>
      </c>
      <c r="C1126" s="1" t="inlineStr">
        <is>
          <t>025</t>
        </is>
      </c>
      <c r="D1126" s="1" t="inlineStr">
        <is>
          <t>121578</t>
        </is>
      </c>
      <c r="E1126" s="1" t="inlineStr">
        <is>
          <t xml:space="preserve">28194770       </t>
        </is>
      </c>
      <c r="F1126" s="5" t="inlineStr">
        <is>
          <t>AUTOS DE METAL 3 TEAMSTERZ EN BLISTER</t>
        </is>
      </c>
      <c r="G1126" t="n">
        <v>1</v>
      </c>
      <c r="H1126" s="7" t="n">
        <v>6.9</v>
      </c>
      <c r="I1126" s="7" t="n">
        <v>0</v>
      </c>
      <c r="J1126" s="7" t="n">
        <v>0</v>
      </c>
      <c r="K1126" s="9" t="n">
        <v>0</v>
      </c>
      <c r="L1126" s="10" t="n">
        <v>4.1</v>
      </c>
      <c r="M1126" s="10" t="n">
        <v>1.43</v>
      </c>
      <c r="N1126" t="inlineStr">
        <is>
          <t>1</t>
        </is>
      </c>
      <c r="O1126" t="inlineStr">
        <is>
          <t xml:space="preserve">6 </t>
        </is>
      </c>
      <c r="P1126" t="inlineStr">
        <is>
          <t xml:space="preserve">82992   </t>
        </is>
      </c>
      <c r="Q1126" s="26" t="n">
        <v>6.9</v>
      </c>
      <c r="R1126" s="26">
        <f>Q1126*G1126</f>
        <v/>
      </c>
      <c r="S1126" t="n">
        <v>4.09</v>
      </c>
      <c r="T1126" s="18">
        <f>1 - V1126/S1126</f>
        <v/>
      </c>
      <c r="U1126" s="18" t="n">
        <v>0</v>
      </c>
      <c r="V1126" s="26" t="n">
        <v>4.09</v>
      </c>
      <c r="W1126" s="26">
        <f>V1126 - L1126</f>
        <v/>
      </c>
    </row>
    <row r="1127">
      <c r="A1127" s="11" t="n">
        <v>46214</v>
      </c>
      <c r="B1127" s="1" t="n">
        <v>20089</v>
      </c>
      <c r="C1127" s="1" t="inlineStr">
        <is>
          <t>027</t>
        </is>
      </c>
      <c r="D1127" s="1" t="inlineStr">
        <is>
          <t xml:space="preserve">15713 </t>
        </is>
      </c>
      <c r="E1127" s="1" t="inlineStr">
        <is>
          <t xml:space="preserve">28194770       </t>
        </is>
      </c>
      <c r="F1127" s="5" t="inlineStr">
        <is>
          <t>AUTOS DE METAL 3 TEAMSTERZ EN BLISTER</t>
        </is>
      </c>
      <c r="G1127" t="n">
        <v>1</v>
      </c>
      <c r="H1127" s="7" t="n">
        <v>6.9</v>
      </c>
      <c r="I1127" s="7" t="n">
        <v>0.6899999999999999</v>
      </c>
      <c r="J1127" s="7" t="n">
        <v>0</v>
      </c>
      <c r="K1127" s="9" t="n">
        <v>0.6899999999999999</v>
      </c>
      <c r="L1127" s="10" t="n">
        <v>3.68</v>
      </c>
      <c r="M1127" s="10" t="n">
        <v>1.43</v>
      </c>
      <c r="N1127" t="inlineStr">
        <is>
          <t>1</t>
        </is>
      </c>
      <c r="O1127" t="inlineStr">
        <is>
          <t xml:space="preserve">3 </t>
        </is>
      </c>
      <c r="P1127" t="inlineStr">
        <is>
          <t xml:space="preserve">233031  </t>
        </is>
      </c>
      <c r="Q1127" s="26" t="n">
        <v>6.9</v>
      </c>
      <c r="R1127" s="26">
        <f>Q1127*G1127</f>
        <v/>
      </c>
      <c r="S1127" t="n">
        <v>4.09</v>
      </c>
      <c r="T1127" s="18">
        <f>1 - V1127/S1127</f>
        <v/>
      </c>
      <c r="U1127" s="18" t="n">
        <v>0</v>
      </c>
      <c r="V1127" s="26" t="n">
        <v>4.09</v>
      </c>
      <c r="W1127" s="26">
        <f>V1127 - L1127</f>
        <v/>
      </c>
    </row>
    <row r="1128">
      <c r="A1128" s="11" t="n">
        <v>46214</v>
      </c>
      <c r="B1128" s="1" t="n">
        <v>20089</v>
      </c>
      <c r="C1128" s="1" t="inlineStr">
        <is>
          <t>027</t>
        </is>
      </c>
      <c r="D1128" s="1" t="inlineStr">
        <is>
          <t xml:space="preserve">15724 </t>
        </is>
      </c>
      <c r="E1128" s="1" t="inlineStr">
        <is>
          <t xml:space="preserve">28194770       </t>
        </is>
      </c>
      <c r="F1128" s="5" t="inlineStr">
        <is>
          <t>AUTOS DE METAL 3 TEAMSTERZ EN BLISTER</t>
        </is>
      </c>
      <c r="G1128" t="n">
        <v>1</v>
      </c>
      <c r="H1128" s="7" t="n">
        <v>6.9</v>
      </c>
      <c r="I1128" s="7" t="n">
        <v>0</v>
      </c>
      <c r="J1128" s="7" t="n">
        <v>0</v>
      </c>
      <c r="K1128" s="9" t="n">
        <v>0</v>
      </c>
      <c r="L1128" s="10" t="n">
        <v>4.1</v>
      </c>
      <c r="M1128" s="10" t="n">
        <v>1.43</v>
      </c>
      <c r="N1128" t="inlineStr">
        <is>
          <t>1</t>
        </is>
      </c>
      <c r="O1128" t="inlineStr">
        <is>
          <t xml:space="preserve">2 </t>
        </is>
      </c>
      <c r="P1128" t="inlineStr">
        <is>
          <t xml:space="preserve">233031  </t>
        </is>
      </c>
      <c r="Q1128" s="26" t="n">
        <v>6.9</v>
      </c>
      <c r="R1128" s="26">
        <f>Q1128*G1128</f>
        <v/>
      </c>
      <c r="S1128" t="n">
        <v>4.09</v>
      </c>
      <c r="T1128" s="18">
        <f>1 - V1128/S1128</f>
        <v/>
      </c>
      <c r="U1128" s="18" t="n">
        <v>0</v>
      </c>
      <c r="V1128" s="26" t="n">
        <v>4.09</v>
      </c>
      <c r="W1128" s="26">
        <f>V1128 - L1128</f>
        <v/>
      </c>
    </row>
    <row r="1129">
      <c r="A1129" s="11" t="n">
        <v>46214</v>
      </c>
      <c r="B1129" s="1" t="n">
        <v>20089</v>
      </c>
      <c r="C1129" s="1" t="inlineStr">
        <is>
          <t>029</t>
        </is>
      </c>
      <c r="D1129" s="1" t="inlineStr">
        <is>
          <t xml:space="preserve">181   </t>
        </is>
      </c>
      <c r="E1129" s="1" t="inlineStr">
        <is>
          <t xml:space="preserve">28194770       </t>
        </is>
      </c>
      <c r="F1129" s="5" t="inlineStr">
        <is>
          <t>AUTOS DE METAL 3 TEAMSTERZ EN BLISTER</t>
        </is>
      </c>
      <c r="G1129" t="n">
        <v>1</v>
      </c>
      <c r="H1129" s="7" t="n">
        <v>6.9</v>
      </c>
      <c r="I1129" s="7" t="n">
        <v>0</v>
      </c>
      <c r="J1129" s="7" t="n">
        <v>0</v>
      </c>
      <c r="K1129" s="9" t="n">
        <v>0</v>
      </c>
      <c r="L1129" s="10" t="n">
        <v>4.1</v>
      </c>
      <c r="M1129" s="10" t="n">
        <v>1.43</v>
      </c>
      <c r="N1129" t="inlineStr">
        <is>
          <t>1</t>
        </is>
      </c>
      <c r="O1129" t="inlineStr">
        <is>
          <t>16</t>
        </is>
      </c>
      <c r="P1129" t="inlineStr">
        <is>
          <t xml:space="preserve">250455  </t>
        </is>
      </c>
      <c r="Q1129" s="26" t="n">
        <v>6.9</v>
      </c>
      <c r="R1129" s="26">
        <f>Q1129*G1129</f>
        <v/>
      </c>
      <c r="S1129" t="n">
        <v>4.09</v>
      </c>
      <c r="T1129" s="18">
        <f>1 - V1129/S1129</f>
        <v/>
      </c>
      <c r="U1129" s="18" t="n">
        <v>0</v>
      </c>
      <c r="V1129" s="26" t="n">
        <v>4.09</v>
      </c>
      <c r="W1129" s="26">
        <f>V1129 - L1129</f>
        <v/>
      </c>
    </row>
    <row r="1130">
      <c r="A1130" s="11" t="n">
        <v>46214</v>
      </c>
      <c r="B1130" s="1" t="n">
        <v>20089</v>
      </c>
      <c r="C1130" s="1" t="inlineStr">
        <is>
          <t>029</t>
        </is>
      </c>
      <c r="D1130" s="1" t="inlineStr">
        <is>
          <t xml:space="preserve">2894  </t>
        </is>
      </c>
      <c r="E1130" s="1" t="inlineStr">
        <is>
          <t xml:space="preserve">28194770       </t>
        </is>
      </c>
      <c r="F1130" s="5" t="inlineStr">
        <is>
          <t>AUTOS DE METAL 3 TEAMSTERZ EN BLISTER</t>
        </is>
      </c>
      <c r="G1130" t="n">
        <v>1</v>
      </c>
      <c r="H1130" s="7" t="n">
        <v>6.9</v>
      </c>
      <c r="I1130" s="7" t="n">
        <v>0</v>
      </c>
      <c r="J1130" s="7" t="n">
        <v>0</v>
      </c>
      <c r="K1130" s="9" t="n">
        <v>0</v>
      </c>
      <c r="L1130" s="10" t="n">
        <v>4.1</v>
      </c>
      <c r="M1130" s="10" t="n">
        <v>1.43</v>
      </c>
      <c r="N1130" t="inlineStr">
        <is>
          <t>1</t>
        </is>
      </c>
      <c r="O1130" t="inlineStr">
        <is>
          <t>16</t>
        </is>
      </c>
      <c r="P1130" t="inlineStr">
        <is>
          <t xml:space="preserve">250455  </t>
        </is>
      </c>
      <c r="Q1130" s="26" t="n">
        <v>6.9</v>
      </c>
      <c r="R1130" s="26">
        <f>Q1130*G1130</f>
        <v/>
      </c>
      <c r="S1130" t="n">
        <v>4.09</v>
      </c>
      <c r="T1130" s="18">
        <f>1 - V1130/S1130</f>
        <v/>
      </c>
      <c r="U1130" s="18" t="n">
        <v>0</v>
      </c>
      <c r="V1130" s="26" t="n">
        <v>4.09</v>
      </c>
      <c r="W1130" s="26">
        <f>V1130 - L1130</f>
        <v/>
      </c>
    </row>
    <row r="1131">
      <c r="A1131" s="11" t="n">
        <v>46214</v>
      </c>
      <c r="B1131" s="1" t="n">
        <v>20089</v>
      </c>
      <c r="C1131" s="1" t="inlineStr">
        <is>
          <t>029</t>
        </is>
      </c>
      <c r="D1131" s="1" t="inlineStr">
        <is>
          <t xml:space="preserve">2903  </t>
        </is>
      </c>
      <c r="E1131" s="1" t="inlineStr">
        <is>
          <t xml:space="preserve">28194770       </t>
        </is>
      </c>
      <c r="F1131" s="5" t="inlineStr">
        <is>
          <t>AUTOS DE METAL 3 TEAMSTERZ EN BLISTER</t>
        </is>
      </c>
      <c r="G1131" t="n">
        <v>1</v>
      </c>
      <c r="H1131" s="7" t="n">
        <v>6.9</v>
      </c>
      <c r="I1131" s="7" t="n">
        <v>0</v>
      </c>
      <c r="J1131" s="7" t="n">
        <v>0</v>
      </c>
      <c r="K1131" s="9" t="n">
        <v>0</v>
      </c>
      <c r="L1131" s="10" t="n">
        <v>4.1</v>
      </c>
      <c r="M1131" s="10" t="n">
        <v>1.43</v>
      </c>
      <c r="N1131" t="inlineStr">
        <is>
          <t>1</t>
        </is>
      </c>
      <c r="O1131" t="inlineStr">
        <is>
          <t>16</t>
        </is>
      </c>
      <c r="P1131" t="inlineStr">
        <is>
          <t xml:space="preserve">250455  </t>
        </is>
      </c>
      <c r="Q1131" s="26" t="n">
        <v>6.9</v>
      </c>
      <c r="R1131" s="26">
        <f>Q1131*G1131</f>
        <v/>
      </c>
      <c r="S1131" t="n">
        <v>4.09</v>
      </c>
      <c r="T1131" s="18">
        <f>1 - V1131/S1131</f>
        <v/>
      </c>
      <c r="U1131" s="18" t="n">
        <v>0</v>
      </c>
      <c r="V1131" s="26" t="n">
        <v>4.09</v>
      </c>
      <c r="W1131" s="26">
        <f>V1131 - L1131</f>
        <v/>
      </c>
    </row>
    <row r="1132">
      <c r="A1132" s="11" t="n">
        <v>46214</v>
      </c>
      <c r="B1132" s="1" t="n">
        <v>20089</v>
      </c>
      <c r="C1132" s="1" t="inlineStr">
        <is>
          <t>862</t>
        </is>
      </c>
      <c r="D1132" s="1" t="inlineStr">
        <is>
          <t xml:space="preserve">8361  </t>
        </is>
      </c>
      <c r="E1132" s="1" t="inlineStr">
        <is>
          <t xml:space="preserve">28194770       </t>
        </is>
      </c>
      <c r="F1132" s="5" t="inlineStr">
        <is>
          <t>AUTOS DE METAL 3 TEAMSTERZ EN BLISTER</t>
        </is>
      </c>
      <c r="G1132" t="n">
        <v>1</v>
      </c>
      <c r="H1132" s="7" t="n">
        <v>6.9</v>
      </c>
      <c r="I1132" s="7" t="n">
        <v>0</v>
      </c>
      <c r="J1132" s="7" t="n">
        <v>0</v>
      </c>
      <c r="K1132" s="9" t="n">
        <v>0</v>
      </c>
      <c r="L1132" s="10" t="n">
        <v>4.1</v>
      </c>
      <c r="M1132" s="10" t="n">
        <v>1.43</v>
      </c>
      <c r="N1132" t="inlineStr">
        <is>
          <t>1</t>
        </is>
      </c>
      <c r="O1132" t="inlineStr">
        <is>
          <t>16</t>
        </is>
      </c>
      <c r="P1132" t="inlineStr">
        <is>
          <t xml:space="preserve">0       </t>
        </is>
      </c>
      <c r="Q1132" s="26" t="n">
        <v>6.9</v>
      </c>
      <c r="R1132" s="26">
        <f>Q1132*G1132</f>
        <v/>
      </c>
      <c r="S1132" t="n">
        <v>4.09</v>
      </c>
      <c r="T1132" s="18">
        <f>1 - V1132/S1132</f>
        <v/>
      </c>
      <c r="U1132" s="18" t="n">
        <v>0</v>
      </c>
      <c r="V1132" s="26" t="n">
        <v>4.09</v>
      </c>
      <c r="W1132" s="26">
        <f>V1132 - L1132</f>
        <v/>
      </c>
    </row>
    <row r="1133">
      <c r="A1133" s="11" t="n">
        <v>46214</v>
      </c>
      <c r="B1133" s="1" t="n">
        <v>20095</v>
      </c>
      <c r="C1133" s="1" t="inlineStr">
        <is>
          <t>038</t>
        </is>
      </c>
      <c r="D1133" s="1" t="inlineStr">
        <is>
          <t xml:space="preserve">13638 </t>
        </is>
      </c>
      <c r="E1133" s="1" t="inlineStr">
        <is>
          <t xml:space="preserve">28194781       </t>
        </is>
      </c>
      <c r="F1133" s="5" t="inlineStr">
        <is>
          <t>TROMPO BATALLA INFINITY NADO SERIE V CLASICA SURTI</t>
        </is>
      </c>
      <c r="G1133" t="n">
        <v>1</v>
      </c>
      <c r="H1133" s="7" t="n">
        <v>59.9</v>
      </c>
      <c r="I1133" s="7" t="n">
        <v>0</v>
      </c>
      <c r="J1133" s="7" t="n">
        <v>0</v>
      </c>
      <c r="K1133" s="9" t="n">
        <v>0</v>
      </c>
      <c r="L1133" s="10" t="n">
        <v>35.53</v>
      </c>
      <c r="M1133" s="10" t="n">
        <v>1.43</v>
      </c>
      <c r="N1133" t="inlineStr">
        <is>
          <t>1</t>
        </is>
      </c>
      <c r="O1133" t="inlineStr">
        <is>
          <t>16</t>
        </is>
      </c>
      <c r="P1133" t="inlineStr">
        <is>
          <t xml:space="preserve">61701   </t>
        </is>
      </c>
      <c r="Q1133" s="26" t="n">
        <v>59.9</v>
      </c>
      <c r="R1133" s="26">
        <f>Q1133*G1133</f>
        <v/>
      </c>
      <c r="S1133" t="n">
        <v>35.53</v>
      </c>
      <c r="T1133" s="18">
        <f>1 - V1133/S1133</f>
        <v/>
      </c>
      <c r="U1133" s="18" t="n">
        <v>0.333889816360601</v>
      </c>
      <c r="V1133" s="26" t="n">
        <v>25.36016949152542</v>
      </c>
      <c r="W1133" s="26">
        <f>V1133 - L1133</f>
        <v/>
      </c>
    </row>
    <row r="1134">
      <c r="A1134" s="11" t="n">
        <v>46214</v>
      </c>
      <c r="B1134" s="1" t="n">
        <v>20095</v>
      </c>
      <c r="C1134" s="1" t="inlineStr">
        <is>
          <t>044</t>
        </is>
      </c>
      <c r="D1134" s="1" t="inlineStr">
        <is>
          <t xml:space="preserve">93418 </t>
        </is>
      </c>
      <c r="E1134" s="1" t="inlineStr">
        <is>
          <t xml:space="preserve">28194769       </t>
        </is>
      </c>
      <c r="F1134" s="5" t="inlineStr">
        <is>
          <t>AUTOS DE METAL 3 TEAMSTERZ PACK DE 2</t>
        </is>
      </c>
      <c r="G1134" t="n">
        <v>1</v>
      </c>
      <c r="H1134" s="7" t="n">
        <v>13.8</v>
      </c>
      <c r="I1134" s="7" t="n">
        <v>0</v>
      </c>
      <c r="J1134" s="7" t="n">
        <v>0</v>
      </c>
      <c r="K1134" s="9" t="n">
        <v>0</v>
      </c>
      <c r="L1134" s="10" t="n">
        <v>8.18</v>
      </c>
      <c r="M1134" s="10" t="n">
        <v>1.43</v>
      </c>
      <c r="N1134" t="inlineStr">
        <is>
          <t>1</t>
        </is>
      </c>
      <c r="O1134" t="inlineStr">
        <is>
          <t>16</t>
        </is>
      </c>
      <c r="P1134" t="inlineStr">
        <is>
          <t xml:space="preserve">57461   </t>
        </is>
      </c>
      <c r="Q1134" s="26" t="n">
        <v>13.8</v>
      </c>
      <c r="R1134" s="26">
        <f>Q1134*G1134</f>
        <v/>
      </c>
      <c r="S1134" t="n">
        <v>8.19</v>
      </c>
      <c r="T1134" s="18">
        <f>1 - V1134/S1134</f>
        <v/>
      </c>
      <c r="U1134" s="18" t="n">
        <v>0</v>
      </c>
      <c r="V1134" s="26" t="n">
        <v>8.19</v>
      </c>
      <c r="W1134" s="26">
        <f>V1134 - L1134</f>
        <v/>
      </c>
    </row>
    <row r="1135">
      <c r="A1135" s="11" t="n">
        <v>46214</v>
      </c>
      <c r="B1135" s="1" t="n">
        <v>20095</v>
      </c>
      <c r="C1135" s="1" t="inlineStr">
        <is>
          <t>535</t>
        </is>
      </c>
      <c r="D1135" s="1" t="inlineStr">
        <is>
          <t xml:space="preserve">77    </t>
        </is>
      </c>
      <c r="E1135" s="1" t="inlineStr">
        <is>
          <t xml:space="preserve">28194768       </t>
        </is>
      </c>
      <c r="F1135" s="5" t="inlineStr">
        <is>
          <t>AUTO COLOR CHANGE TEAMSTERZ SURTIDO</t>
        </is>
      </c>
      <c r="G1135" t="n">
        <v>2</v>
      </c>
      <c r="H1135" s="7" t="n">
        <v>29.8</v>
      </c>
      <c r="I1135" s="7" t="n">
        <v>2.98</v>
      </c>
      <c r="J1135" s="7" t="n">
        <v>0</v>
      </c>
      <c r="K1135" s="9" t="n">
        <v>2.98</v>
      </c>
      <c r="L1135" s="10" t="n">
        <v>15.92</v>
      </c>
      <c r="M1135" s="10" t="n">
        <v>1.43</v>
      </c>
      <c r="N1135" t="inlineStr">
        <is>
          <t>1</t>
        </is>
      </c>
      <c r="O1135" t="inlineStr">
        <is>
          <t>16</t>
        </is>
      </c>
      <c r="P1135" t="inlineStr">
        <is>
          <t xml:space="preserve">31361   </t>
        </is>
      </c>
      <c r="Q1135" s="26" t="n">
        <v>14.9</v>
      </c>
      <c r="R1135" s="26">
        <f>Q1135*G1135</f>
        <v/>
      </c>
      <c r="S1135" t="n">
        <v>17.68</v>
      </c>
      <c r="T1135" s="18">
        <f>1 - V1135/S1135</f>
        <v/>
      </c>
      <c r="U1135" s="18" t="n">
        <v>0</v>
      </c>
      <c r="V1135" s="26" t="n">
        <v>17.68</v>
      </c>
      <c r="W1135" s="26">
        <f>V1135 - L1135</f>
        <v/>
      </c>
    </row>
    <row r="1136">
      <c r="A1136" s="11" t="n">
        <v>46215</v>
      </c>
      <c r="B1136" s="1" t="n">
        <v>20021</v>
      </c>
      <c r="C1136" s="1" t="inlineStr">
        <is>
          <t>013</t>
        </is>
      </c>
      <c r="D1136" s="1" t="inlineStr">
        <is>
          <t>135094</t>
        </is>
      </c>
      <c r="E1136" s="1" t="inlineStr">
        <is>
          <t xml:space="preserve">28194766       </t>
        </is>
      </c>
      <c r="F1136" s="5" t="inlineStr">
        <is>
          <t>CAMIONES TEAMSTERZ DE CIUDAD</t>
        </is>
      </c>
      <c r="G1136" t="n">
        <v>1</v>
      </c>
      <c r="H1136" s="7" t="n">
        <v>17.9</v>
      </c>
      <c r="I1136" s="7" t="n">
        <v>0</v>
      </c>
      <c r="J1136" s="7" t="n">
        <v>0</v>
      </c>
      <c r="K1136" s="9" t="n">
        <v>0</v>
      </c>
      <c r="L1136" s="10" t="n">
        <v>10.62</v>
      </c>
      <c r="M1136" s="10" t="n">
        <v>1.43</v>
      </c>
      <c r="N1136" t="inlineStr">
        <is>
          <t>1</t>
        </is>
      </c>
      <c r="O1136" t="inlineStr">
        <is>
          <t>16</t>
        </is>
      </c>
      <c r="P1136" t="inlineStr">
        <is>
          <t xml:space="preserve">250202  </t>
        </is>
      </c>
      <c r="Q1136" s="26" t="n">
        <v>17.9</v>
      </c>
      <c r="R1136" s="26">
        <f>Q1136*G1136</f>
        <v/>
      </c>
      <c r="S1136" t="n">
        <v>10.62</v>
      </c>
      <c r="T1136" s="18">
        <f>1 - V1136/S1136</f>
        <v/>
      </c>
      <c r="U1136" s="18" t="n">
        <v>0</v>
      </c>
      <c r="V1136" s="26" t="n">
        <v>10.62</v>
      </c>
      <c r="W1136" s="26">
        <f>V1136 - L1136</f>
        <v/>
      </c>
    </row>
    <row r="1137">
      <c r="A1137" s="11" t="n">
        <v>46215</v>
      </c>
      <c r="B1137" s="1" t="n">
        <v>20021</v>
      </c>
      <c r="C1137" s="1" t="inlineStr">
        <is>
          <t>034</t>
        </is>
      </c>
      <c r="D1137" s="1" t="inlineStr">
        <is>
          <t xml:space="preserve">44815 </t>
        </is>
      </c>
      <c r="E1137" s="1" t="inlineStr">
        <is>
          <t xml:space="preserve">29235702       </t>
        </is>
      </c>
      <c r="F1137" s="5" t="inlineStr">
        <is>
          <t>INFINITY NADO TROMPO DE BATALLA - METAL C/ ANILLO</t>
        </is>
      </c>
      <c r="G1137" t="n">
        <v>1</v>
      </c>
      <c r="H1137" s="7" t="n">
        <v>69.90000000000001</v>
      </c>
      <c r="I1137" s="7" t="n">
        <v>0</v>
      </c>
      <c r="J1137" s="7" t="n">
        <v>0</v>
      </c>
      <c r="K1137" s="9" t="n">
        <v>0</v>
      </c>
      <c r="L1137" s="10" t="n">
        <v>41.47</v>
      </c>
      <c r="M1137" s="10" t="n">
        <v>1.43</v>
      </c>
      <c r="N1137" t="inlineStr">
        <is>
          <t>1</t>
        </is>
      </c>
      <c r="O1137" t="inlineStr">
        <is>
          <t>16</t>
        </is>
      </c>
      <c r="P1137" t="inlineStr">
        <is>
          <t xml:space="preserve">22728   </t>
        </is>
      </c>
      <c r="Q1137" s="26" t="n">
        <v>69.90000000000001</v>
      </c>
      <c r="R1137" s="26">
        <f>Q1137*G1137</f>
        <v/>
      </c>
      <c r="S1137" t="n">
        <v>41.47</v>
      </c>
      <c r="T1137" s="18">
        <f>1 - V1137/S1137</f>
        <v/>
      </c>
      <c r="U1137" s="18" t="n">
        <v>0.2861230329041489</v>
      </c>
      <c r="V1137" s="26" t="n">
        <v>31.71610169491525</v>
      </c>
      <c r="W1137" s="26">
        <f>V1137 - L1137</f>
        <v/>
      </c>
    </row>
    <row r="1138">
      <c r="A1138" s="11" t="n">
        <v>46215</v>
      </c>
      <c r="B1138" s="1" t="n">
        <v>20021</v>
      </c>
      <c r="C1138" s="1" t="inlineStr">
        <is>
          <t>034</t>
        </is>
      </c>
      <c r="D1138" s="1" t="inlineStr">
        <is>
          <t xml:space="preserve">44818 </t>
        </is>
      </c>
      <c r="E1138" s="1" t="inlineStr">
        <is>
          <t xml:space="preserve">34840550       </t>
        </is>
      </c>
      <c r="F1138" s="5" t="inlineStr">
        <is>
          <t>TEAMSTERZ M/MOVERZ TRANSPORTA GORILA</t>
        </is>
      </c>
      <c r="G1138" t="n">
        <v>1</v>
      </c>
      <c r="H1138" s="7" t="n">
        <v>129</v>
      </c>
      <c r="I1138" s="7" t="n">
        <v>0</v>
      </c>
      <c r="J1138" s="7" t="n">
        <v>0</v>
      </c>
      <c r="K1138" s="9" t="n">
        <v>0</v>
      </c>
      <c r="L1138" s="10" t="n">
        <v>76.52</v>
      </c>
      <c r="M1138" s="10" t="n">
        <v>1.43</v>
      </c>
      <c r="N1138" t="inlineStr">
        <is>
          <t>1</t>
        </is>
      </c>
      <c r="O1138" t="inlineStr">
        <is>
          <t>16</t>
        </is>
      </c>
      <c r="P1138" t="inlineStr">
        <is>
          <t xml:space="preserve">22728   </t>
        </is>
      </c>
      <c r="Q1138" s="26" t="n">
        <v>129</v>
      </c>
      <c r="R1138" s="26">
        <f>Q1138*G1138</f>
        <v/>
      </c>
      <c r="S1138" t="n">
        <v>76.53</v>
      </c>
      <c r="T1138" s="18">
        <f>1 - V1138/S1138</f>
        <v/>
      </c>
      <c r="U1138" s="18" t="n">
        <v>0</v>
      </c>
      <c r="V1138" s="26" t="n">
        <v>76.53</v>
      </c>
      <c r="W1138" s="26">
        <f>V1138 - L1138</f>
        <v/>
      </c>
    </row>
    <row r="1139">
      <c r="A1139" s="11" t="n">
        <v>46215</v>
      </c>
      <c r="B1139" s="1" t="n">
        <v>20021</v>
      </c>
      <c r="C1139" s="1" t="inlineStr">
        <is>
          <t>045</t>
        </is>
      </c>
      <c r="D1139" s="1" t="inlineStr">
        <is>
          <t>107573</t>
        </is>
      </c>
      <c r="E1139" s="1" t="inlineStr">
        <is>
          <t xml:space="preserve">29235706       </t>
        </is>
      </c>
      <c r="F1139" s="5" t="inlineStr">
        <is>
          <t>TEAMSTERZ CAMION PARA GUARDAR 12 AUTOS INCL 4 AUTO</t>
        </is>
      </c>
      <c r="G1139" t="n">
        <v>1</v>
      </c>
      <c r="H1139" s="7" t="n">
        <v>59.9</v>
      </c>
      <c r="I1139" s="7" t="n">
        <v>0</v>
      </c>
      <c r="J1139" s="7" t="n">
        <v>0</v>
      </c>
      <c r="K1139" s="9" t="n">
        <v>0</v>
      </c>
      <c r="L1139" s="10" t="n">
        <v>35.53</v>
      </c>
      <c r="M1139" s="10" t="n">
        <v>1.43</v>
      </c>
      <c r="N1139" t="inlineStr">
        <is>
          <t>1</t>
        </is>
      </c>
      <c r="O1139" t="inlineStr">
        <is>
          <t xml:space="preserve">2 </t>
        </is>
      </c>
      <c r="P1139" t="inlineStr">
        <is>
          <t xml:space="preserve">42013   </t>
        </is>
      </c>
      <c r="Q1139" s="26" t="n">
        <v>59.90000000000001</v>
      </c>
      <c r="R1139" s="26">
        <f>Q1139*G1139</f>
        <v/>
      </c>
      <c r="S1139" t="n">
        <v>35.53</v>
      </c>
      <c r="T1139" s="18">
        <f>1 - V1139/S1139</f>
        <v/>
      </c>
      <c r="U1139" s="18" t="n">
        <v>0</v>
      </c>
      <c r="V1139" s="26" t="n">
        <v>35.53</v>
      </c>
      <c r="W1139" s="26">
        <f>V1139 - L1139</f>
        <v/>
      </c>
    </row>
    <row r="1140">
      <c r="A1140" s="11" t="n">
        <v>46215</v>
      </c>
      <c r="B1140" s="1" t="n">
        <v>20021</v>
      </c>
      <c r="C1140" s="1" t="inlineStr">
        <is>
          <t>051</t>
        </is>
      </c>
      <c r="D1140" s="1" t="inlineStr">
        <is>
          <t xml:space="preserve">7457  </t>
        </is>
      </c>
      <c r="E1140" s="1" t="inlineStr">
        <is>
          <t xml:space="preserve">32457103       </t>
        </is>
      </c>
      <c r="F1140" s="5" t="inlineStr">
        <is>
          <t>TMZ BEAST MACHINES MONSTER JAWS A FRICCION PACK DE</t>
        </is>
      </c>
      <c r="G1140" t="n">
        <v>1</v>
      </c>
      <c r="H1140" s="7" t="n">
        <v>37.9</v>
      </c>
      <c r="I1140" s="7" t="n">
        <v>0</v>
      </c>
      <c r="J1140" s="7" t="n">
        <v>0</v>
      </c>
      <c r="K1140" s="9" t="n">
        <v>0</v>
      </c>
      <c r="L1140" s="10" t="n">
        <v>22.48</v>
      </c>
      <c r="M1140" s="10" t="n">
        <v>1.43</v>
      </c>
      <c r="N1140" t="inlineStr">
        <is>
          <t>1</t>
        </is>
      </c>
      <c r="O1140" t="inlineStr">
        <is>
          <t>16</t>
        </is>
      </c>
      <c r="P1140" t="inlineStr">
        <is>
          <t xml:space="preserve">42152   </t>
        </is>
      </c>
      <c r="Q1140" s="26" t="n">
        <v>37.9</v>
      </c>
      <c r="R1140" s="26">
        <f>Q1140*G1140</f>
        <v/>
      </c>
      <c r="S1140" t="n">
        <v>22.48</v>
      </c>
      <c r="T1140" s="18">
        <f>1 - V1140/S1140</f>
        <v/>
      </c>
      <c r="U1140" s="18" t="n">
        <v>0.1319261213720316</v>
      </c>
      <c r="V1140" s="26" t="n">
        <v>16.75101694915254</v>
      </c>
      <c r="W1140" s="26">
        <f>V1140 - L1140</f>
        <v/>
      </c>
    </row>
    <row r="1141">
      <c r="A1141" s="11" t="n">
        <v>46215</v>
      </c>
      <c r="B1141" s="1" t="n">
        <v>20021</v>
      </c>
      <c r="C1141" s="1" t="inlineStr">
        <is>
          <t>055</t>
        </is>
      </c>
      <c r="D1141" s="1" t="inlineStr">
        <is>
          <t>154692</t>
        </is>
      </c>
      <c r="E1141" s="1" t="inlineStr">
        <is>
          <t xml:space="preserve">28194780       </t>
        </is>
      </c>
      <c r="F1141" s="5" t="inlineStr">
        <is>
          <t>TROMPO BATALLA INFINITY NADO PLSTICO SURTIDO</t>
        </is>
      </c>
      <c r="G1141" t="n">
        <v>1</v>
      </c>
      <c r="H1141" s="7" t="n">
        <v>19.9</v>
      </c>
      <c r="I1141" s="7" t="n">
        <v>0</v>
      </c>
      <c r="J1141" s="7" t="n">
        <v>0</v>
      </c>
      <c r="K1141" s="9" t="n">
        <v>0</v>
      </c>
      <c r="L1141" s="10" t="n">
        <v>11.8</v>
      </c>
      <c r="M1141" s="10" t="n">
        <v>1.43</v>
      </c>
      <c r="N1141" t="inlineStr">
        <is>
          <t>1</t>
        </is>
      </c>
      <c r="O1141" t="inlineStr">
        <is>
          <t>16</t>
        </is>
      </c>
      <c r="P1141" t="inlineStr">
        <is>
          <t xml:space="preserve">12097   </t>
        </is>
      </c>
      <c r="Q1141" s="26" t="n">
        <v>19.9</v>
      </c>
      <c r="R1141" s="26">
        <f>Q1141*G1141</f>
        <v/>
      </c>
      <c r="S1141" t="n">
        <v>11.81</v>
      </c>
      <c r="T1141" s="18">
        <f>1 - V1141/S1141</f>
        <v/>
      </c>
      <c r="U1141" s="18" t="n">
        <v>0</v>
      </c>
      <c r="V1141" s="26" t="n">
        <v>11.81</v>
      </c>
      <c r="W1141" s="26">
        <f>V1141 - L1141</f>
        <v/>
      </c>
    </row>
    <row r="1142">
      <c r="A1142" s="11" t="n">
        <v>46215</v>
      </c>
      <c r="B1142" s="1" t="n">
        <v>20021</v>
      </c>
      <c r="C1142" s="1" t="inlineStr">
        <is>
          <t>078</t>
        </is>
      </c>
      <c r="D1142" s="1" t="inlineStr">
        <is>
          <t>100712</t>
        </is>
      </c>
      <c r="E1142" s="1" t="inlineStr">
        <is>
          <t xml:space="preserve">29854051       </t>
        </is>
      </c>
      <c r="F1142" s="5" t="inlineStr">
        <is>
          <t>TEAMSTERZ AUTO DE METAL PACK 10 AUTOS</t>
        </is>
      </c>
      <c r="G1142" t="n">
        <v>1</v>
      </c>
      <c r="H1142" s="7" t="n">
        <v>69</v>
      </c>
      <c r="I1142" s="7" t="n">
        <v>0</v>
      </c>
      <c r="J1142" s="7" t="n">
        <v>0</v>
      </c>
      <c r="K1142" s="9" t="n">
        <v>0</v>
      </c>
      <c r="L1142" s="10" t="n">
        <v>40.93</v>
      </c>
      <c r="M1142" s="10" t="n">
        <v>1.43</v>
      </c>
      <c r="N1142" t="inlineStr">
        <is>
          <t>1</t>
        </is>
      </c>
      <c r="O1142" t="inlineStr">
        <is>
          <t>16</t>
        </is>
      </c>
      <c r="P1142" t="inlineStr">
        <is>
          <t xml:space="preserve">36042   </t>
        </is>
      </c>
      <c r="Q1142" s="26" t="n">
        <v>69</v>
      </c>
      <c r="R1142" s="26">
        <f>Q1142*G1142</f>
        <v/>
      </c>
      <c r="S1142" t="n">
        <v>40.93</v>
      </c>
      <c r="T1142" s="18">
        <f>1 - V1142/S1142</f>
        <v/>
      </c>
      <c r="U1142" s="18" t="n">
        <v>0</v>
      </c>
      <c r="V1142" s="26" t="n">
        <v>40.93</v>
      </c>
      <c r="W1142" s="26">
        <f>V1142 - L1142</f>
        <v/>
      </c>
    </row>
    <row r="1143">
      <c r="A1143" s="11" t="n">
        <v>46215</v>
      </c>
      <c r="B1143" s="1" t="n">
        <v>20023</v>
      </c>
      <c r="C1143" s="1" t="inlineStr">
        <is>
          <t>079</t>
        </is>
      </c>
      <c r="D1143" s="1" t="inlineStr">
        <is>
          <t>289049</t>
        </is>
      </c>
      <c r="E1143" s="1" t="inlineStr">
        <is>
          <t xml:space="preserve">30141766       </t>
        </is>
      </c>
      <c r="F1143" s="5" t="inlineStr">
        <is>
          <t>TMZ BEAST MACHINES AUTOS DE METAL BLISTER X 1</t>
        </is>
      </c>
      <c r="G1143" t="n">
        <v>1</v>
      </c>
      <c r="H1143" s="7" t="n">
        <v>7.9</v>
      </c>
      <c r="I1143" s="7" t="n">
        <v>0</v>
      </c>
      <c r="J1143" s="7" t="n">
        <v>0</v>
      </c>
      <c r="K1143" s="9" t="n">
        <v>0</v>
      </c>
      <c r="L1143" s="10" t="n">
        <v>4.68</v>
      </c>
      <c r="M1143" s="10" t="n">
        <v>1.43</v>
      </c>
      <c r="N1143" t="inlineStr">
        <is>
          <t>1</t>
        </is>
      </c>
      <c r="O1143" t="inlineStr">
        <is>
          <t>16</t>
        </is>
      </c>
      <c r="P1143" t="inlineStr">
        <is>
          <t xml:space="preserve">38444   </t>
        </is>
      </c>
      <c r="Q1143" s="26" t="n">
        <v>7.9</v>
      </c>
      <c r="R1143" s="26">
        <f>Q1143*G1143</f>
        <v/>
      </c>
      <c r="S1143" t="n">
        <v>4.69</v>
      </c>
      <c r="T1143" s="18">
        <f>1 - V1143/S1143</f>
        <v/>
      </c>
      <c r="U1143" s="18" t="n">
        <v>0</v>
      </c>
      <c r="V1143" s="26" t="n">
        <v>4.69</v>
      </c>
      <c r="W1143" s="26">
        <f>V1143 - L1143</f>
        <v/>
      </c>
    </row>
    <row r="1144">
      <c r="A1144" s="11" t="n">
        <v>46215</v>
      </c>
      <c r="B1144" s="1" t="n">
        <v>20023</v>
      </c>
      <c r="C1144" s="1" t="inlineStr">
        <is>
          <t>105</t>
        </is>
      </c>
      <c r="D1144" s="1" t="inlineStr">
        <is>
          <t xml:space="preserve">3889  </t>
        </is>
      </c>
      <c r="E1144" s="1" t="inlineStr">
        <is>
          <t xml:space="preserve">29235700       </t>
        </is>
      </c>
      <c r="F1144" s="5" t="inlineStr">
        <is>
          <t>HOT WHEELS CASE METALICO PARA GUARDAR 18 CARRITOS</t>
        </is>
      </c>
      <c r="G1144" t="n">
        <v>1</v>
      </c>
      <c r="H1144" s="7" t="n">
        <v>49.9</v>
      </c>
      <c r="I1144" s="7" t="n">
        <v>0</v>
      </c>
      <c r="J1144" s="7" t="n">
        <v>0</v>
      </c>
      <c r="K1144" s="9" t="n">
        <v>0</v>
      </c>
      <c r="L1144" s="10" t="n">
        <v>29.6</v>
      </c>
      <c r="M1144" s="10" t="n">
        <v>1.43</v>
      </c>
      <c r="N1144" t="inlineStr">
        <is>
          <t>1</t>
        </is>
      </c>
      <c r="O1144" t="inlineStr">
        <is>
          <t>16</t>
        </is>
      </c>
      <c r="P1144" t="inlineStr">
        <is>
          <t xml:space="preserve">17213   </t>
        </is>
      </c>
      <c r="Q1144" s="26" t="n">
        <v>49.90000000000001</v>
      </c>
      <c r="R1144" s="26">
        <f>Q1144*G1144</f>
        <v/>
      </c>
      <c r="S1144" t="n">
        <v>29.6</v>
      </c>
      <c r="T1144" s="18">
        <f>1 - V1144/S1144</f>
        <v/>
      </c>
      <c r="U1144" s="18" t="n">
        <v>0</v>
      </c>
      <c r="V1144" s="26" t="n">
        <v>29.6</v>
      </c>
      <c r="W1144" s="26">
        <f>V1144 - L1144</f>
        <v/>
      </c>
    </row>
    <row r="1145">
      <c r="A1145" s="11" t="n">
        <v>46215</v>
      </c>
      <c r="B1145" s="1" t="n">
        <v>20024</v>
      </c>
      <c r="C1145" s="1" t="inlineStr">
        <is>
          <t>021</t>
        </is>
      </c>
      <c r="D1145" s="1" t="inlineStr">
        <is>
          <t>215539</t>
        </is>
      </c>
      <c r="E1145" s="1" t="inlineStr">
        <is>
          <t xml:space="preserve">31959956       </t>
        </is>
      </c>
      <c r="F1145" s="5" t="inlineStr">
        <is>
          <t>TEAMSTERZ CAMION TRANSPORTA ANIMALES SURTIDO</t>
        </is>
      </c>
      <c r="G1145" t="n">
        <v>1</v>
      </c>
      <c r="H1145" s="7" t="n">
        <v>17.9</v>
      </c>
      <c r="I1145" s="7" t="n">
        <v>0</v>
      </c>
      <c r="J1145" s="7" t="n">
        <v>0</v>
      </c>
      <c r="K1145" s="9" t="n">
        <v>0</v>
      </c>
      <c r="L1145" s="10" t="n">
        <v>10.62</v>
      </c>
      <c r="M1145" s="10" t="n">
        <v>1.43</v>
      </c>
      <c r="N1145" t="inlineStr">
        <is>
          <t>1</t>
        </is>
      </c>
      <c r="O1145" t="inlineStr">
        <is>
          <t>16</t>
        </is>
      </c>
      <c r="P1145" t="inlineStr">
        <is>
          <t xml:space="preserve">65868   </t>
        </is>
      </c>
      <c r="Q1145" s="26" t="n">
        <v>17.9</v>
      </c>
      <c r="R1145" s="26">
        <f>Q1145*G1145</f>
        <v/>
      </c>
      <c r="S1145" t="n">
        <v>10.62</v>
      </c>
      <c r="T1145" s="18">
        <f>1 - V1145/S1145</f>
        <v/>
      </c>
      <c r="U1145" s="18" t="n">
        <v>0</v>
      </c>
      <c r="V1145" s="26" t="n">
        <v>10.62</v>
      </c>
      <c r="W1145" s="26">
        <f>V1145 - L1145</f>
        <v/>
      </c>
    </row>
    <row r="1146">
      <c r="A1146" s="11" t="n">
        <v>46215</v>
      </c>
      <c r="B1146" s="1" t="n">
        <v>20024</v>
      </c>
      <c r="C1146" s="1" t="inlineStr">
        <is>
          <t>021</t>
        </is>
      </c>
      <c r="D1146" s="1" t="inlineStr">
        <is>
          <t>215539</t>
        </is>
      </c>
      <c r="E1146" s="1" t="inlineStr">
        <is>
          <t xml:space="preserve">31959956       </t>
        </is>
      </c>
      <c r="F1146" s="5" t="inlineStr">
        <is>
          <t>TEAMSTERZ CAMION TRANSPORTA ANIMALES SURTIDO</t>
        </is>
      </c>
      <c r="G1146" t="n">
        <v>1</v>
      </c>
      <c r="H1146" s="7" t="n">
        <v>17.9</v>
      </c>
      <c r="I1146" s="7" t="n">
        <v>0</v>
      </c>
      <c r="J1146" s="7" t="n">
        <v>0</v>
      </c>
      <c r="K1146" s="9" t="n">
        <v>0</v>
      </c>
      <c r="L1146" s="10" t="n">
        <v>10.62</v>
      </c>
      <c r="M1146" s="10" t="n">
        <v>1.43</v>
      </c>
      <c r="N1146" t="inlineStr">
        <is>
          <t>1</t>
        </is>
      </c>
      <c r="O1146" t="inlineStr">
        <is>
          <t>16</t>
        </is>
      </c>
      <c r="P1146" t="inlineStr">
        <is>
          <t xml:space="preserve">65868   </t>
        </is>
      </c>
      <c r="Q1146" s="26" t="n">
        <v>17.9</v>
      </c>
      <c r="R1146" s="26">
        <f>Q1146*G1146</f>
        <v/>
      </c>
      <c r="S1146" t="n">
        <v>10.62</v>
      </c>
      <c r="T1146" s="18">
        <f>1 - V1146/S1146</f>
        <v/>
      </c>
      <c r="U1146" s="18" t="n">
        <v>0</v>
      </c>
      <c r="V1146" s="26" t="n">
        <v>10.62</v>
      </c>
      <c r="W1146" s="26">
        <f>V1146 - L1146</f>
        <v/>
      </c>
    </row>
    <row r="1147">
      <c r="A1147" s="11" t="n">
        <v>46215</v>
      </c>
      <c r="B1147" s="1" t="n">
        <v>20024</v>
      </c>
      <c r="C1147" s="1" t="inlineStr">
        <is>
          <t>021</t>
        </is>
      </c>
      <c r="D1147" s="1" t="inlineStr">
        <is>
          <t>215552</t>
        </is>
      </c>
      <c r="E1147" s="1" t="inlineStr">
        <is>
          <t xml:space="preserve">32656416       </t>
        </is>
      </c>
      <c r="F1147" s="5" t="inlineStr">
        <is>
          <t>EL PISO ES LAVA</t>
        </is>
      </c>
      <c r="G1147" t="n">
        <v>1</v>
      </c>
      <c r="H1147" s="7" t="n">
        <v>79.90000000000001</v>
      </c>
      <c r="I1147" s="7" t="n">
        <v>0</v>
      </c>
      <c r="J1147" s="7" t="n">
        <v>0</v>
      </c>
      <c r="K1147" s="9" t="n">
        <v>0</v>
      </c>
      <c r="L1147" s="10" t="n">
        <v>47.4</v>
      </c>
      <c r="M1147" s="10" t="n">
        <v>1.43</v>
      </c>
      <c r="N1147" t="inlineStr">
        <is>
          <t>1</t>
        </is>
      </c>
      <c r="O1147" t="inlineStr">
        <is>
          <t>16</t>
        </is>
      </c>
      <c r="P1147" t="inlineStr">
        <is>
          <t xml:space="preserve">65868   </t>
        </is>
      </c>
      <c r="Q1147" s="26" t="n">
        <v>79.90000000000001</v>
      </c>
      <c r="R1147" s="26">
        <f>Q1147*G1147</f>
        <v/>
      </c>
      <c r="S1147" t="n">
        <v>47.4</v>
      </c>
      <c r="T1147" s="18">
        <f>1 - V1147/S1147</f>
        <v/>
      </c>
      <c r="U1147" s="18" t="n">
        <v>0.5632040050062579</v>
      </c>
      <c r="V1147" s="26" t="n">
        <v>28.10169491525424</v>
      </c>
      <c r="W1147" s="26">
        <f>V1147 - L1147</f>
        <v/>
      </c>
    </row>
    <row r="1148">
      <c r="A1148" s="11" t="n">
        <v>46215</v>
      </c>
      <c r="B1148" s="1" t="n">
        <v>20024</v>
      </c>
      <c r="C1148" s="1" t="inlineStr">
        <is>
          <t>032</t>
        </is>
      </c>
      <c r="D1148" s="1" t="inlineStr">
        <is>
          <t>364670</t>
        </is>
      </c>
      <c r="E1148" s="1" t="inlineStr">
        <is>
          <t xml:space="preserve">35685067       </t>
        </is>
      </c>
      <c r="F1148" s="5" t="inlineStr">
        <is>
          <t>HOT WHEELS POWER SET 3 EN 1</t>
        </is>
      </c>
      <c r="G1148" t="n">
        <v>1</v>
      </c>
      <c r="H1148" s="7" t="n">
        <v>49.9</v>
      </c>
      <c r="I1148" s="7" t="n">
        <v>0</v>
      </c>
      <c r="J1148" s="7" t="n">
        <v>0</v>
      </c>
      <c r="K1148" s="9" t="n">
        <v>0</v>
      </c>
      <c r="L1148" s="10" t="n">
        <v>29.6</v>
      </c>
      <c r="M1148" s="10" t="n">
        <v>1.43</v>
      </c>
      <c r="N1148" t="inlineStr">
        <is>
          <t>1</t>
        </is>
      </c>
      <c r="O1148" t="inlineStr">
        <is>
          <t>16</t>
        </is>
      </c>
      <c r="P1148" t="inlineStr">
        <is>
          <t xml:space="preserve">71372   </t>
        </is>
      </c>
      <c r="Q1148" s="26" t="n">
        <v>49.9</v>
      </c>
      <c r="R1148" s="26">
        <f>Q1148*G1148</f>
        <v/>
      </c>
      <c r="S1148" t="n">
        <v>29.6</v>
      </c>
      <c r="T1148" s="18">
        <f>1 - V1148/S1148</f>
        <v/>
      </c>
      <c r="U1148" s="18" t="n">
        <v>0</v>
      </c>
      <c r="V1148" s="26" t="n">
        <v>29.6</v>
      </c>
      <c r="W1148" s="26">
        <f>V1148 - L1148</f>
        <v/>
      </c>
    </row>
    <row r="1149">
      <c r="A1149" s="11" t="n">
        <v>46215</v>
      </c>
      <c r="B1149" s="1" t="n">
        <v>20024</v>
      </c>
      <c r="C1149" s="1" t="inlineStr">
        <is>
          <t>037</t>
        </is>
      </c>
      <c r="D1149" s="1" t="inlineStr">
        <is>
          <t xml:space="preserve">472   </t>
        </is>
      </c>
      <c r="E1149" s="1" t="inlineStr">
        <is>
          <t xml:space="preserve">31675356       </t>
        </is>
      </c>
      <c r="F1149" s="5" t="inlineStr">
        <is>
          <t>PINYPON PEQUENA CASITA CON MUNECA + ACCESORIOS</t>
        </is>
      </c>
      <c r="G1149" t="n">
        <v>1</v>
      </c>
      <c r="H1149" s="7" t="n">
        <v>59.9</v>
      </c>
      <c r="I1149" s="7" t="n">
        <v>0</v>
      </c>
      <c r="J1149" s="7" t="n">
        <v>0</v>
      </c>
      <c r="K1149" s="9" t="n">
        <v>0</v>
      </c>
      <c r="L1149" s="10" t="n">
        <v>35.53</v>
      </c>
      <c r="M1149" s="10" t="n">
        <v>1.43</v>
      </c>
      <c r="N1149" t="inlineStr">
        <is>
          <t>1</t>
        </is>
      </c>
      <c r="O1149" t="inlineStr">
        <is>
          <t>16</t>
        </is>
      </c>
      <c r="P1149" t="inlineStr">
        <is>
          <t xml:space="preserve">251782  </t>
        </is>
      </c>
      <c r="Q1149" s="26" t="n">
        <v>59.9</v>
      </c>
      <c r="R1149" s="26">
        <f>Q1149*G1149</f>
        <v/>
      </c>
      <c r="S1149" t="n">
        <v>35.53</v>
      </c>
      <c r="T1149" s="18">
        <f>1 - V1149/S1149</f>
        <v/>
      </c>
      <c r="U1149" s="18" t="n">
        <v>0.4</v>
      </c>
      <c r="V1149" s="26" t="n">
        <v>24.36610169491525</v>
      </c>
      <c r="W1149" s="26">
        <f>V1149 - L1149</f>
        <v/>
      </c>
    </row>
    <row r="1150">
      <c r="A1150" s="11" t="n">
        <v>46215</v>
      </c>
      <c r="B1150" s="1" t="n">
        <v>20025</v>
      </c>
      <c r="C1150" s="1" t="inlineStr">
        <is>
          <t>043</t>
        </is>
      </c>
      <c r="D1150" s="1" t="inlineStr">
        <is>
          <t xml:space="preserve">86618 </t>
        </is>
      </c>
      <c r="E1150" s="1" t="inlineStr">
        <is>
          <t xml:space="preserve">29235708       </t>
        </is>
      </c>
      <c r="F1150" s="5" t="inlineStr">
        <is>
          <t>TEAMSTERZ RESCATE POR AIRE Y MAR</t>
        </is>
      </c>
      <c r="G1150" t="n">
        <v>1</v>
      </c>
      <c r="H1150" s="7" t="n">
        <v>39.9</v>
      </c>
      <c r="I1150" s="7" t="n">
        <v>0</v>
      </c>
      <c r="J1150" s="7" t="n">
        <v>0</v>
      </c>
      <c r="K1150" s="9" t="n">
        <v>0</v>
      </c>
      <c r="L1150" s="10" t="n">
        <v>23.67</v>
      </c>
      <c r="M1150" s="10" t="n">
        <v>1.43</v>
      </c>
      <c r="N1150" t="inlineStr">
        <is>
          <t>1</t>
        </is>
      </c>
      <c r="O1150" t="inlineStr">
        <is>
          <t xml:space="preserve">2 </t>
        </is>
      </c>
      <c r="P1150" t="inlineStr">
        <is>
          <t xml:space="preserve">41674   </t>
        </is>
      </c>
      <c r="Q1150" s="26" t="n">
        <v>39.9</v>
      </c>
      <c r="R1150" s="26">
        <f>Q1150*G1150</f>
        <v/>
      </c>
      <c r="S1150" t="n">
        <v>23.67</v>
      </c>
      <c r="T1150" s="18">
        <f>1 - V1150/S1150</f>
        <v/>
      </c>
      <c r="U1150" s="18" t="n">
        <v>0</v>
      </c>
      <c r="V1150" s="26" t="n">
        <v>23.67</v>
      </c>
      <c r="W1150" s="26">
        <f>V1150 - L1150</f>
        <v/>
      </c>
    </row>
    <row r="1151">
      <c r="A1151" s="11" t="n">
        <v>46215</v>
      </c>
      <c r="B1151" s="1" t="n">
        <v>20025</v>
      </c>
      <c r="C1151" s="1" t="inlineStr">
        <is>
          <t>073</t>
        </is>
      </c>
      <c r="D1151" s="1" t="inlineStr">
        <is>
          <t xml:space="preserve">23488 </t>
        </is>
      </c>
      <c r="E1151" s="1" t="inlineStr">
        <is>
          <t xml:space="preserve">34840549       </t>
        </is>
      </c>
      <c r="F1151" s="5" t="inlineStr">
        <is>
          <t>TEAMSTERZ MONTANA CALAVERA INCL. 1 AUTO</t>
        </is>
      </c>
      <c r="G1151" t="n">
        <v>1</v>
      </c>
      <c r="H1151" s="7" t="n">
        <v>119</v>
      </c>
      <c r="I1151" s="7" t="n">
        <v>0</v>
      </c>
      <c r="J1151" s="7" t="n">
        <v>0</v>
      </c>
      <c r="K1151" s="9" t="n">
        <v>0</v>
      </c>
      <c r="L1151" s="10" t="n">
        <v>70.59999999999999</v>
      </c>
      <c r="M1151" s="10" t="n">
        <v>1.43</v>
      </c>
      <c r="N1151" t="inlineStr">
        <is>
          <t>1</t>
        </is>
      </c>
      <c r="O1151" t="inlineStr">
        <is>
          <t>16</t>
        </is>
      </c>
      <c r="P1151" t="inlineStr">
        <is>
          <t xml:space="preserve">201722  </t>
        </is>
      </c>
      <c r="Q1151" s="26" t="n">
        <v>119</v>
      </c>
      <c r="R1151" s="26">
        <f>Q1151*G1151</f>
        <v/>
      </c>
      <c r="S1151" t="n">
        <v>70.59</v>
      </c>
      <c r="T1151" s="18">
        <f>1 - V1151/S1151</f>
        <v/>
      </c>
      <c r="U1151" s="18" t="n">
        <v>0</v>
      </c>
      <c r="V1151" s="26" t="n">
        <v>70.59</v>
      </c>
      <c r="W1151" s="26">
        <f>V1151 - L1151</f>
        <v/>
      </c>
    </row>
    <row r="1152">
      <c r="A1152" s="11" t="n">
        <v>46215</v>
      </c>
      <c r="B1152" s="1" t="n">
        <v>20025</v>
      </c>
      <c r="C1152" s="1" t="inlineStr">
        <is>
          <t>074</t>
        </is>
      </c>
      <c r="D1152" s="1" t="inlineStr">
        <is>
          <t xml:space="preserve">82734 </t>
        </is>
      </c>
      <c r="E1152" s="1" t="inlineStr">
        <is>
          <t xml:space="preserve">31959956       </t>
        </is>
      </c>
      <c r="F1152" s="5" t="inlineStr">
        <is>
          <t>TEAMSTERZ CAMION TRANSPORTA ANIMALES SURTIDO</t>
        </is>
      </c>
      <c r="G1152" t="n">
        <v>1</v>
      </c>
      <c r="H1152" s="7" t="n">
        <v>17.9</v>
      </c>
      <c r="I1152" s="7" t="n">
        <v>1.79</v>
      </c>
      <c r="J1152" s="7" t="n">
        <v>0</v>
      </c>
      <c r="K1152" s="9" t="n">
        <v>1.79</v>
      </c>
      <c r="L1152" s="10" t="n">
        <v>9.56</v>
      </c>
      <c r="M1152" s="10" t="n">
        <v>1.43</v>
      </c>
      <c r="N1152" t="inlineStr">
        <is>
          <t>1</t>
        </is>
      </c>
      <c r="O1152" t="inlineStr">
        <is>
          <t xml:space="preserve">3 </t>
        </is>
      </c>
      <c r="P1152" t="inlineStr">
        <is>
          <t xml:space="preserve">251187  </t>
        </is>
      </c>
      <c r="Q1152" s="26" t="n">
        <v>17.9</v>
      </c>
      <c r="R1152" s="26">
        <f>Q1152*G1152</f>
        <v/>
      </c>
      <c r="S1152" t="n">
        <v>10.62</v>
      </c>
      <c r="T1152" s="18">
        <f>1 - V1152/S1152</f>
        <v/>
      </c>
      <c r="U1152" s="18" t="n">
        <v>0</v>
      </c>
      <c r="V1152" s="26" t="n">
        <v>10.62</v>
      </c>
      <c r="W1152" s="26">
        <f>V1152 - L1152</f>
        <v/>
      </c>
    </row>
    <row r="1153">
      <c r="A1153" s="11" t="n">
        <v>46215</v>
      </c>
      <c r="B1153" s="1" t="n">
        <v>20025</v>
      </c>
      <c r="C1153" s="1" t="inlineStr">
        <is>
          <t>074</t>
        </is>
      </c>
      <c r="D1153" s="1" t="inlineStr">
        <is>
          <t xml:space="preserve">82792 </t>
        </is>
      </c>
      <c r="E1153" s="1" t="inlineStr">
        <is>
          <t xml:space="preserve">34840552       </t>
        </is>
      </c>
      <c r="F1153" s="5" t="inlineStr">
        <is>
          <t>TMZ HELI POLICIA CON LUCES Y SONIDOS</t>
        </is>
      </c>
      <c r="G1153" t="n">
        <v>1</v>
      </c>
      <c r="H1153" s="7" t="n">
        <v>79.90000000000001</v>
      </c>
      <c r="I1153" s="7" t="n">
        <v>0</v>
      </c>
      <c r="J1153" s="7" t="n">
        <v>0</v>
      </c>
      <c r="K1153" s="9" t="n">
        <v>0</v>
      </c>
      <c r="L1153" s="10" t="n">
        <v>47.4</v>
      </c>
      <c r="M1153" s="10" t="n">
        <v>1.43</v>
      </c>
      <c r="N1153" t="inlineStr">
        <is>
          <t>1</t>
        </is>
      </c>
      <c r="O1153" t="inlineStr">
        <is>
          <t>16</t>
        </is>
      </c>
      <c r="P1153" t="inlineStr">
        <is>
          <t xml:space="preserve">251187  </t>
        </is>
      </c>
      <c r="Q1153" s="26" t="n">
        <v>79.90000000000002</v>
      </c>
      <c r="R1153" s="26">
        <f>Q1153*G1153</f>
        <v/>
      </c>
      <c r="S1153" t="n">
        <v>47.4</v>
      </c>
      <c r="T1153" s="18">
        <f>1 - V1153/S1153</f>
        <v/>
      </c>
      <c r="U1153" s="18" t="n">
        <v>0</v>
      </c>
      <c r="V1153" s="26" t="n">
        <v>47.4</v>
      </c>
      <c r="W1153" s="26">
        <f>V1153 - L1153</f>
        <v/>
      </c>
    </row>
    <row r="1154">
      <c r="A1154" s="11" t="n">
        <v>46215</v>
      </c>
      <c r="B1154" s="1" t="n">
        <v>20025</v>
      </c>
      <c r="C1154" s="1" t="inlineStr">
        <is>
          <t>112</t>
        </is>
      </c>
      <c r="D1154" s="1" t="inlineStr">
        <is>
          <t xml:space="preserve">11526 </t>
        </is>
      </c>
      <c r="E1154" s="1" t="inlineStr">
        <is>
          <t xml:space="preserve">28194770       </t>
        </is>
      </c>
      <c r="F1154" s="5" t="inlineStr">
        <is>
          <t>AUTOS DE METAL 3 TEAMSTERZ EN BLISTER</t>
        </is>
      </c>
      <c r="G1154" t="n">
        <v>1</v>
      </c>
      <c r="H1154" s="7" t="n">
        <v>6.9</v>
      </c>
      <c r="I1154" s="7" t="n">
        <v>0</v>
      </c>
      <c r="J1154" s="7" t="n">
        <v>0</v>
      </c>
      <c r="K1154" s="9" t="n">
        <v>0</v>
      </c>
      <c r="L1154" s="10" t="n">
        <v>4.1</v>
      </c>
      <c r="M1154" s="10" t="n">
        <v>1.43</v>
      </c>
      <c r="N1154" t="inlineStr">
        <is>
          <t>1</t>
        </is>
      </c>
      <c r="O1154" t="inlineStr">
        <is>
          <t>16</t>
        </is>
      </c>
      <c r="P1154" t="inlineStr">
        <is>
          <t xml:space="preserve">245698  </t>
        </is>
      </c>
      <c r="Q1154" s="26" t="n">
        <v>6.9</v>
      </c>
      <c r="R1154" s="26">
        <f>Q1154*G1154</f>
        <v/>
      </c>
      <c r="S1154" t="n">
        <v>4.09</v>
      </c>
      <c r="T1154" s="18">
        <f>1 - V1154/S1154</f>
        <v/>
      </c>
      <c r="U1154" s="18" t="n">
        <v>0</v>
      </c>
      <c r="V1154" s="26" t="n">
        <v>4.09</v>
      </c>
      <c r="W1154" s="26">
        <f>V1154 - L1154</f>
        <v/>
      </c>
    </row>
    <row r="1155">
      <c r="A1155" s="11" t="n">
        <v>46215</v>
      </c>
      <c r="B1155" s="1" t="n">
        <v>20025</v>
      </c>
      <c r="C1155" s="1" t="inlineStr">
        <is>
          <t>112</t>
        </is>
      </c>
      <c r="D1155" s="1" t="inlineStr">
        <is>
          <t xml:space="preserve">11527 </t>
        </is>
      </c>
      <c r="E1155" s="1" t="inlineStr">
        <is>
          <t xml:space="preserve">34840550       </t>
        </is>
      </c>
      <c r="F1155" s="5" t="inlineStr">
        <is>
          <t>TEAMSTERZ M/MOVERZ TRANSPORTA GORILA</t>
        </is>
      </c>
      <c r="G1155" t="n">
        <v>1</v>
      </c>
      <c r="H1155" s="7" t="n">
        <v>129</v>
      </c>
      <c r="I1155" s="7" t="n">
        <v>0</v>
      </c>
      <c r="J1155" s="7" t="n">
        <v>0</v>
      </c>
      <c r="K1155" s="9" t="n">
        <v>0</v>
      </c>
      <c r="L1155" s="10" t="n">
        <v>76.52</v>
      </c>
      <c r="M1155" s="10" t="n">
        <v>1.43</v>
      </c>
      <c r="N1155" t="inlineStr">
        <is>
          <t>1</t>
        </is>
      </c>
      <c r="O1155" t="inlineStr">
        <is>
          <t>16</t>
        </is>
      </c>
      <c r="P1155" t="inlineStr">
        <is>
          <t xml:space="preserve">245698  </t>
        </is>
      </c>
      <c r="Q1155" s="26" t="n">
        <v>129</v>
      </c>
      <c r="R1155" s="26">
        <f>Q1155*G1155</f>
        <v/>
      </c>
      <c r="S1155" t="n">
        <v>76.53</v>
      </c>
      <c r="T1155" s="18">
        <f>1 - V1155/S1155</f>
        <v/>
      </c>
      <c r="U1155" s="18" t="n">
        <v>0</v>
      </c>
      <c r="V1155" s="26" t="n">
        <v>76.53</v>
      </c>
      <c r="W1155" s="26">
        <f>V1155 - L1155</f>
        <v/>
      </c>
    </row>
    <row r="1156">
      <c r="A1156" s="11" t="n">
        <v>46215</v>
      </c>
      <c r="B1156" s="1" t="n">
        <v>20025</v>
      </c>
      <c r="C1156" s="1" t="inlineStr">
        <is>
          <t>831</t>
        </is>
      </c>
      <c r="D1156" s="1" t="inlineStr">
        <is>
          <t xml:space="preserve">6160  </t>
        </is>
      </c>
      <c r="E1156" s="1" t="inlineStr">
        <is>
          <t xml:space="preserve">28194769       </t>
        </is>
      </c>
      <c r="F1156" s="5" t="inlineStr">
        <is>
          <t>AUTOS DE METAL 3 TEAMSTERZ PACK DE 2</t>
        </is>
      </c>
      <c r="G1156" t="n">
        <v>1</v>
      </c>
      <c r="H1156" s="7" t="n">
        <v>13.8</v>
      </c>
      <c r="I1156" s="7" t="n">
        <v>0</v>
      </c>
      <c r="J1156" s="7" t="n">
        <v>0</v>
      </c>
      <c r="K1156" s="9" t="n">
        <v>0</v>
      </c>
      <c r="L1156" s="10" t="n">
        <v>8.18</v>
      </c>
      <c r="M1156" s="10" t="n">
        <v>1.43</v>
      </c>
      <c r="N1156" t="inlineStr">
        <is>
          <t>1</t>
        </is>
      </c>
      <c r="O1156" t="inlineStr">
        <is>
          <t>16</t>
        </is>
      </c>
      <c r="P1156" t="inlineStr">
        <is>
          <t xml:space="preserve">0       </t>
        </is>
      </c>
      <c r="Q1156" s="26" t="n">
        <v>13.8</v>
      </c>
      <c r="R1156" s="26">
        <f>Q1156*G1156</f>
        <v/>
      </c>
      <c r="S1156" t="n">
        <v>8.19</v>
      </c>
      <c r="T1156" s="18">
        <f>1 - V1156/S1156</f>
        <v/>
      </c>
      <c r="U1156" s="18" t="n">
        <v>0</v>
      </c>
      <c r="V1156" s="26" t="n">
        <v>8.19</v>
      </c>
      <c r="W1156" s="26">
        <f>V1156 - L1156</f>
        <v/>
      </c>
    </row>
    <row r="1157">
      <c r="A1157" s="11" t="n">
        <v>46215</v>
      </c>
      <c r="B1157" s="1" t="n">
        <v>20028</v>
      </c>
      <c r="C1157" s="1" t="inlineStr">
        <is>
          <t>011</t>
        </is>
      </c>
      <c r="D1157" s="1" t="inlineStr">
        <is>
          <t xml:space="preserve">33591 </t>
        </is>
      </c>
      <c r="E1157" s="1" t="inlineStr">
        <is>
          <t xml:space="preserve">28194782       </t>
        </is>
      </c>
      <c r="F1157" s="5" t="inlineStr">
        <is>
          <t>TROMPO BATALLA INFINITY NADO SERIE V ORIGINAL SURT</t>
        </is>
      </c>
      <c r="G1157" t="n">
        <v>1</v>
      </c>
      <c r="H1157" s="7" t="n">
        <v>69.90000000000001</v>
      </c>
      <c r="I1157" s="7" t="n">
        <v>0</v>
      </c>
      <c r="J1157" s="7" t="n">
        <v>0</v>
      </c>
      <c r="K1157" s="9" t="n">
        <v>0</v>
      </c>
      <c r="L1157" s="10" t="n">
        <v>41.47</v>
      </c>
      <c r="M1157" s="10" t="n">
        <v>1.43</v>
      </c>
      <c r="N1157" t="inlineStr">
        <is>
          <t>1</t>
        </is>
      </c>
      <c r="O1157" t="inlineStr">
        <is>
          <t>16</t>
        </is>
      </c>
      <c r="P1157" t="inlineStr">
        <is>
          <t xml:space="preserve">35540   </t>
        </is>
      </c>
      <c r="Q1157" s="26" t="n">
        <v>69.90000000000001</v>
      </c>
      <c r="R1157" s="26">
        <f>Q1157*G1157</f>
        <v/>
      </c>
      <c r="S1157" t="n">
        <v>41.47</v>
      </c>
      <c r="T1157" s="18">
        <f>1 - V1157/S1157</f>
        <v/>
      </c>
      <c r="U1157" s="18" t="n">
        <v>0.2861230329041489</v>
      </c>
      <c r="V1157" s="26" t="n">
        <v>31.71610169491525</v>
      </c>
      <c r="W1157" s="26">
        <f>V1157 - L1157</f>
        <v/>
      </c>
    </row>
    <row r="1158">
      <c r="A1158" s="11" t="n">
        <v>46215</v>
      </c>
      <c r="B1158" s="1" t="n">
        <v>20030</v>
      </c>
      <c r="C1158" s="1" t="inlineStr">
        <is>
          <t>022</t>
        </is>
      </c>
      <c r="D1158" s="1" t="inlineStr">
        <is>
          <t>317153</t>
        </is>
      </c>
      <c r="E1158" s="1" t="inlineStr">
        <is>
          <t xml:space="preserve">29235707       </t>
        </is>
      </c>
      <c r="F1158" s="5" t="inlineStr">
        <is>
          <t>TEAMSTERZ AUTO DE METAL 3  PACK DE 5</t>
        </is>
      </c>
      <c r="G1158" t="n">
        <v>1</v>
      </c>
      <c r="H1158" s="7" t="n">
        <v>34.5</v>
      </c>
      <c r="I1158" s="7" t="n">
        <v>0</v>
      </c>
      <c r="J1158" s="7" t="n">
        <v>0</v>
      </c>
      <c r="K1158" s="9" t="n">
        <v>0</v>
      </c>
      <c r="L1158" s="10" t="n">
        <v>20.47</v>
      </c>
      <c r="M1158" s="10" t="n">
        <v>1.43</v>
      </c>
      <c r="N1158" t="inlineStr">
        <is>
          <t>1</t>
        </is>
      </c>
      <c r="O1158" t="inlineStr">
        <is>
          <t>16</t>
        </is>
      </c>
      <c r="P1158" t="inlineStr">
        <is>
          <t xml:space="preserve">47352   </t>
        </is>
      </c>
      <c r="Q1158" s="26" t="n">
        <v>34.5</v>
      </c>
      <c r="R1158" s="26">
        <f>Q1158*G1158</f>
        <v/>
      </c>
      <c r="S1158" t="n">
        <v>20.47</v>
      </c>
      <c r="T1158" s="18">
        <f>1 - V1158/S1158</f>
        <v/>
      </c>
      <c r="U1158" s="18" t="n">
        <v>0</v>
      </c>
      <c r="V1158" s="26" t="n">
        <v>20.47</v>
      </c>
      <c r="W1158" s="26">
        <f>V1158 - L1158</f>
        <v/>
      </c>
    </row>
    <row r="1159">
      <c r="A1159" s="11" t="n">
        <v>46215</v>
      </c>
      <c r="B1159" s="1" t="n">
        <v>20030</v>
      </c>
      <c r="C1159" s="1" t="inlineStr">
        <is>
          <t>067</t>
        </is>
      </c>
      <c r="D1159" s="1" t="inlineStr">
        <is>
          <t>273882</t>
        </is>
      </c>
      <c r="E1159" s="1" t="inlineStr">
        <is>
          <t xml:space="preserve">30141766       </t>
        </is>
      </c>
      <c r="F1159" s="5" t="inlineStr">
        <is>
          <t>TMZ BEAST MACHINES AUTOS DE METAL BLISTER X 1</t>
        </is>
      </c>
      <c r="G1159" t="n">
        <v>1</v>
      </c>
      <c r="H1159" s="7" t="n">
        <v>7.9</v>
      </c>
      <c r="I1159" s="7" t="n">
        <v>0</v>
      </c>
      <c r="J1159" s="7" t="n">
        <v>0</v>
      </c>
      <c r="K1159" s="9" t="n">
        <v>0</v>
      </c>
      <c r="L1159" s="10" t="n">
        <v>4.68</v>
      </c>
      <c r="M1159" s="10" t="n">
        <v>1.43</v>
      </c>
      <c r="N1159" t="inlineStr">
        <is>
          <t>1</t>
        </is>
      </c>
      <c r="O1159" t="inlineStr">
        <is>
          <t>16</t>
        </is>
      </c>
      <c r="P1159" t="inlineStr">
        <is>
          <t xml:space="preserve">27455   </t>
        </is>
      </c>
      <c r="Q1159" s="26" t="n">
        <v>7.9</v>
      </c>
      <c r="R1159" s="26">
        <f>Q1159*G1159</f>
        <v/>
      </c>
      <c r="S1159" t="n">
        <v>4.69</v>
      </c>
      <c r="T1159" s="18">
        <f>1 - V1159/S1159</f>
        <v/>
      </c>
      <c r="U1159" s="18" t="n">
        <v>0</v>
      </c>
      <c r="V1159" s="26" t="n">
        <v>4.69</v>
      </c>
      <c r="W1159" s="26">
        <f>V1159 - L1159</f>
        <v/>
      </c>
    </row>
    <row r="1160">
      <c r="A1160" s="11" t="n">
        <v>46215</v>
      </c>
      <c r="B1160" s="1" t="n">
        <v>20030</v>
      </c>
      <c r="C1160" s="1" t="inlineStr">
        <is>
          <t>067</t>
        </is>
      </c>
      <c r="D1160" s="1" t="inlineStr">
        <is>
          <t>273885</t>
        </is>
      </c>
      <c r="E1160" s="1" t="inlineStr">
        <is>
          <t xml:space="preserve">35685066       </t>
        </is>
      </c>
      <c r="F1160" s="5" t="inlineStr">
        <is>
          <t>HOT WHEELS RACK GUARDA AUTOS 3 EN 1</t>
        </is>
      </c>
      <c r="G1160" t="n">
        <v>1</v>
      </c>
      <c r="H1160" s="7" t="n">
        <v>79.90000000000001</v>
      </c>
      <c r="I1160" s="7" t="n">
        <v>0</v>
      </c>
      <c r="J1160" s="7" t="n">
        <v>0</v>
      </c>
      <c r="K1160" s="9" t="n">
        <v>0</v>
      </c>
      <c r="L1160" s="10" t="n">
        <v>47.4</v>
      </c>
      <c r="M1160" s="10" t="n">
        <v>1.43</v>
      </c>
      <c r="N1160" t="inlineStr">
        <is>
          <t>1</t>
        </is>
      </c>
      <c r="O1160" t="inlineStr">
        <is>
          <t>16</t>
        </is>
      </c>
      <c r="P1160" t="inlineStr">
        <is>
          <t xml:space="preserve">27455   </t>
        </is>
      </c>
      <c r="Q1160" s="26" t="n">
        <v>79.90000000000001</v>
      </c>
      <c r="R1160" s="26">
        <f>Q1160*G1160</f>
        <v/>
      </c>
      <c r="S1160" t="n">
        <v>47.4</v>
      </c>
      <c r="T1160" s="18">
        <f>1 - V1160/S1160</f>
        <v/>
      </c>
      <c r="U1160" s="18" t="n">
        <v>0</v>
      </c>
      <c r="V1160" s="26" t="n">
        <v>47.4</v>
      </c>
      <c r="W1160" s="26">
        <f>V1160 - L1160</f>
        <v/>
      </c>
    </row>
    <row r="1161">
      <c r="A1161" s="11" t="n">
        <v>46215</v>
      </c>
      <c r="B1161" s="1" t="n">
        <v>20030</v>
      </c>
      <c r="C1161" s="1" t="inlineStr">
        <is>
          <t>067</t>
        </is>
      </c>
      <c r="D1161" s="1" t="inlineStr">
        <is>
          <t>273974</t>
        </is>
      </c>
      <c r="E1161" s="1" t="inlineStr">
        <is>
          <t xml:space="preserve">31675352       </t>
        </is>
      </c>
      <c r="F1161" s="5" t="inlineStr">
        <is>
          <t>MI PEQUENO NENUCO</t>
        </is>
      </c>
      <c r="G1161" t="n">
        <v>1</v>
      </c>
      <c r="H1161" s="7" t="n">
        <v>69.90000000000001</v>
      </c>
      <c r="I1161" s="7" t="n">
        <v>0</v>
      </c>
      <c r="J1161" s="7" t="n">
        <v>0</v>
      </c>
      <c r="K1161" s="9" t="n">
        <v>0</v>
      </c>
      <c r="L1161" s="10" t="n">
        <v>41.47</v>
      </c>
      <c r="M1161" s="10" t="n">
        <v>1.43</v>
      </c>
      <c r="N1161" t="inlineStr">
        <is>
          <t>1</t>
        </is>
      </c>
      <c r="O1161" t="inlineStr">
        <is>
          <t>16</t>
        </is>
      </c>
      <c r="P1161" t="inlineStr">
        <is>
          <t xml:space="preserve">27455   </t>
        </is>
      </c>
      <c r="Q1161" s="26" t="n">
        <v>69.90000000000001</v>
      </c>
      <c r="R1161" s="26">
        <f>Q1161*G1161</f>
        <v/>
      </c>
      <c r="S1161" t="n">
        <v>41.47</v>
      </c>
      <c r="T1161" s="18">
        <f>1 - V1161/S1161</f>
        <v/>
      </c>
      <c r="U1161" s="18" t="n">
        <v>0.2861230329041489</v>
      </c>
      <c r="V1161" s="26" t="n">
        <v>31.71610169491525</v>
      </c>
      <c r="W1161" s="26">
        <f>V1161 - L1161</f>
        <v/>
      </c>
    </row>
    <row r="1162">
      <c r="A1162" s="11" t="n">
        <v>46215</v>
      </c>
      <c r="B1162" s="1" t="n">
        <v>20030</v>
      </c>
      <c r="C1162" s="1" t="inlineStr">
        <is>
          <t>067</t>
        </is>
      </c>
      <c r="D1162" s="1" t="inlineStr">
        <is>
          <t>273982</t>
        </is>
      </c>
      <c r="E1162" s="1" t="inlineStr">
        <is>
          <t xml:space="preserve">35685067       </t>
        </is>
      </c>
      <c r="F1162" s="5" t="inlineStr">
        <is>
          <t>HOT WHEELS POWER SET 3 EN 1</t>
        </is>
      </c>
      <c r="G1162" t="n">
        <v>1</v>
      </c>
      <c r="H1162" s="7" t="n">
        <v>49.9</v>
      </c>
      <c r="I1162" s="7" t="n">
        <v>0</v>
      </c>
      <c r="J1162" s="7" t="n">
        <v>0</v>
      </c>
      <c r="K1162" s="9" t="n">
        <v>0</v>
      </c>
      <c r="L1162" s="10" t="n">
        <v>29.6</v>
      </c>
      <c r="M1162" s="10" t="n">
        <v>1.43</v>
      </c>
      <c r="N1162" t="inlineStr">
        <is>
          <t>1</t>
        </is>
      </c>
      <c r="O1162" t="inlineStr">
        <is>
          <t>16</t>
        </is>
      </c>
      <c r="P1162" t="inlineStr">
        <is>
          <t xml:space="preserve">22672   </t>
        </is>
      </c>
      <c r="Q1162" s="26" t="n">
        <v>49.9</v>
      </c>
      <c r="R1162" s="26">
        <f>Q1162*G1162</f>
        <v/>
      </c>
      <c r="S1162" t="n">
        <v>29.6</v>
      </c>
      <c r="T1162" s="18">
        <f>1 - V1162/S1162</f>
        <v/>
      </c>
      <c r="U1162" s="18" t="n">
        <v>0</v>
      </c>
      <c r="V1162" s="26" t="n">
        <v>29.6</v>
      </c>
      <c r="W1162" s="26">
        <f>V1162 - L1162</f>
        <v/>
      </c>
    </row>
    <row r="1163">
      <c r="A1163" s="11" t="n">
        <v>46215</v>
      </c>
      <c r="B1163" s="1" t="n">
        <v>20040</v>
      </c>
      <c r="C1163" s="1" t="inlineStr">
        <is>
          <t>033</t>
        </is>
      </c>
      <c r="D1163" s="1" t="inlineStr">
        <is>
          <t xml:space="preserve">84960 </t>
        </is>
      </c>
      <c r="E1163" s="1" t="inlineStr">
        <is>
          <t xml:space="preserve">28194783       </t>
        </is>
      </c>
      <c r="F1163" s="5" t="inlineStr">
        <is>
          <t>SET DE BATALLA INFINITY NADO CON 2 TROMPOS</t>
        </is>
      </c>
      <c r="G1163" t="n">
        <v>1</v>
      </c>
      <c r="H1163" s="7" t="n">
        <v>159</v>
      </c>
      <c r="I1163" s="7" t="n">
        <v>0</v>
      </c>
      <c r="J1163" s="7" t="n">
        <v>0</v>
      </c>
      <c r="K1163" s="9" t="n">
        <v>0</v>
      </c>
      <c r="L1163" s="10" t="n">
        <v>94.33</v>
      </c>
      <c r="M1163" s="10" t="n">
        <v>1.43</v>
      </c>
      <c r="N1163" t="inlineStr">
        <is>
          <t>1</t>
        </is>
      </c>
      <c r="O1163" t="inlineStr">
        <is>
          <t>16</t>
        </is>
      </c>
      <c r="P1163" t="inlineStr">
        <is>
          <t xml:space="preserve">243636  </t>
        </is>
      </c>
      <c r="Q1163" s="26" t="n">
        <v>159</v>
      </c>
      <c r="R1163" s="26">
        <f>Q1163*G1163</f>
        <v/>
      </c>
      <c r="S1163" t="n">
        <v>94.31999999999999</v>
      </c>
      <c r="T1163" s="18">
        <f>1 - V1163/S1163</f>
        <v/>
      </c>
      <c r="U1163" s="18" t="n">
        <v>0.1886792452830188</v>
      </c>
      <c r="V1163" s="26" t="n">
        <v>81.99152542372882</v>
      </c>
      <c r="W1163" s="26">
        <f>V1163 - L1163</f>
        <v/>
      </c>
    </row>
    <row r="1164">
      <c r="A1164" s="11" t="n">
        <v>46215</v>
      </c>
      <c r="B1164" s="1" t="n">
        <v>20040</v>
      </c>
      <c r="C1164" s="1" t="inlineStr">
        <is>
          <t>072</t>
        </is>
      </c>
      <c r="D1164" s="1" t="inlineStr">
        <is>
          <t>251643</t>
        </is>
      </c>
      <c r="E1164" s="1" t="inlineStr">
        <is>
          <t xml:space="preserve">28194781       </t>
        </is>
      </c>
      <c r="F1164" s="5" t="inlineStr">
        <is>
          <t>TROMPO BATALLA INFINITY NADO SERIE V CLASICA SURTI</t>
        </is>
      </c>
      <c r="G1164" t="n">
        <v>1</v>
      </c>
      <c r="H1164" s="7" t="n">
        <v>59.9</v>
      </c>
      <c r="I1164" s="7" t="n">
        <v>5.99</v>
      </c>
      <c r="J1164" s="7" t="n">
        <v>0</v>
      </c>
      <c r="K1164" s="9" t="n">
        <v>5.99</v>
      </c>
      <c r="L1164" s="10" t="n">
        <v>31.98</v>
      </c>
      <c r="M1164" s="10" t="n">
        <v>1.43</v>
      </c>
      <c r="N1164" t="inlineStr">
        <is>
          <t>1</t>
        </is>
      </c>
      <c r="O1164" t="inlineStr">
        <is>
          <t xml:space="preserve">3 </t>
        </is>
      </c>
      <c r="P1164" t="inlineStr">
        <is>
          <t xml:space="preserve">250392  </t>
        </is>
      </c>
      <c r="Q1164" s="26" t="n">
        <v>59.9</v>
      </c>
      <c r="R1164" s="26">
        <f>Q1164*G1164</f>
        <v/>
      </c>
      <c r="S1164" t="n">
        <v>35.53</v>
      </c>
      <c r="T1164" s="18">
        <f>1 - V1164/S1164</f>
        <v/>
      </c>
      <c r="U1164" s="18" t="n">
        <v>0.333889816360601</v>
      </c>
      <c r="V1164" s="26" t="n">
        <v>25.36016949152542</v>
      </c>
      <c r="W1164" s="26">
        <f>V1164 - L1164</f>
        <v/>
      </c>
    </row>
    <row r="1165">
      <c r="A1165" s="11" t="n">
        <v>46215</v>
      </c>
      <c r="B1165" s="1" t="n">
        <v>20040</v>
      </c>
      <c r="C1165" s="1" t="inlineStr">
        <is>
          <t>072</t>
        </is>
      </c>
      <c r="D1165" s="1" t="inlineStr">
        <is>
          <t>251702</t>
        </is>
      </c>
      <c r="E1165" s="1" t="inlineStr">
        <is>
          <t xml:space="preserve">31675352       </t>
        </is>
      </c>
      <c r="F1165" s="5" t="inlineStr">
        <is>
          <t>MI PEQUENO NENUCO</t>
        </is>
      </c>
      <c r="G1165" t="n">
        <v>1</v>
      </c>
      <c r="H1165" s="7" t="n">
        <v>69.90000000000001</v>
      </c>
      <c r="I1165" s="7" t="n">
        <v>0</v>
      </c>
      <c r="J1165" s="7" t="n">
        <v>0</v>
      </c>
      <c r="K1165" s="9" t="n">
        <v>0</v>
      </c>
      <c r="L1165" s="10" t="n">
        <v>41.47</v>
      </c>
      <c r="M1165" s="10" t="n">
        <v>1.43</v>
      </c>
      <c r="N1165" t="inlineStr">
        <is>
          <t>1</t>
        </is>
      </c>
      <c r="O1165" t="inlineStr">
        <is>
          <t>16</t>
        </is>
      </c>
      <c r="P1165" t="inlineStr">
        <is>
          <t xml:space="preserve">248589  </t>
        </is>
      </c>
      <c r="Q1165" s="26" t="n">
        <v>69.90000000000001</v>
      </c>
      <c r="R1165" s="26">
        <f>Q1165*G1165</f>
        <v/>
      </c>
      <c r="S1165" t="n">
        <v>41.47</v>
      </c>
      <c r="T1165" s="18">
        <f>1 - V1165/S1165</f>
        <v/>
      </c>
      <c r="U1165" s="18" t="n">
        <v>0.2861230329041489</v>
      </c>
      <c r="V1165" s="26" t="n">
        <v>31.71610169491525</v>
      </c>
      <c r="W1165" s="26">
        <f>V1165 - L1165</f>
        <v/>
      </c>
    </row>
    <row r="1166">
      <c r="A1166" s="11" t="n">
        <v>46215</v>
      </c>
      <c r="B1166" s="1" t="n">
        <v>20040</v>
      </c>
      <c r="C1166" s="1" t="inlineStr">
        <is>
          <t>072</t>
        </is>
      </c>
      <c r="D1166" s="1" t="inlineStr">
        <is>
          <t>251707</t>
        </is>
      </c>
      <c r="E1166" s="1" t="inlineStr">
        <is>
          <t xml:space="preserve">32457099       </t>
        </is>
      </c>
      <c r="F1166" s="5" t="inlineStr">
        <is>
          <t>TMZ BEAST MACHINES MONSTER JAWS A FRICCION BLISTER</t>
        </is>
      </c>
      <c r="G1166" t="n">
        <v>1</v>
      </c>
      <c r="H1166" s="7" t="n">
        <v>19.9</v>
      </c>
      <c r="I1166" s="7" t="n">
        <v>0</v>
      </c>
      <c r="J1166" s="7" t="n">
        <v>0</v>
      </c>
      <c r="K1166" s="9" t="n">
        <v>0</v>
      </c>
      <c r="L1166" s="10" t="n">
        <v>11.8</v>
      </c>
      <c r="M1166" s="10" t="n">
        <v>1.43</v>
      </c>
      <c r="N1166" t="inlineStr">
        <is>
          <t>1</t>
        </is>
      </c>
      <c r="O1166" t="inlineStr">
        <is>
          <t xml:space="preserve">2 </t>
        </is>
      </c>
      <c r="P1166" t="inlineStr">
        <is>
          <t xml:space="preserve">248589  </t>
        </is>
      </c>
      <c r="Q1166" s="26" t="n">
        <v>19.9</v>
      </c>
      <c r="R1166" s="26">
        <f>Q1166*G1166</f>
        <v/>
      </c>
      <c r="S1166" t="n">
        <v>11.81</v>
      </c>
      <c r="T1166" s="18">
        <f>1 - V1166/S1166</f>
        <v/>
      </c>
      <c r="U1166" s="18" t="n">
        <v>0.1005025125628141</v>
      </c>
      <c r="V1166" s="26" t="n">
        <v>8.417118644067797</v>
      </c>
      <c r="W1166" s="26">
        <f>V1166 - L1166</f>
        <v/>
      </c>
    </row>
    <row r="1167">
      <c r="A1167" s="11" t="n">
        <v>46215</v>
      </c>
      <c r="B1167" s="1" t="n">
        <v>20040</v>
      </c>
      <c r="C1167" s="1" t="inlineStr">
        <is>
          <t>083</t>
        </is>
      </c>
      <c r="D1167" s="1" t="inlineStr">
        <is>
          <t>159628</t>
        </is>
      </c>
      <c r="E1167" s="1" t="inlineStr">
        <is>
          <t xml:space="preserve">28194768       </t>
        </is>
      </c>
      <c r="F1167" s="5" t="inlineStr">
        <is>
          <t>AUTO COLOR CHANGE TEAMSTERZ SURTIDO</t>
        </is>
      </c>
      <c r="G1167" t="n">
        <v>1</v>
      </c>
      <c r="H1167" s="7" t="n">
        <v>14.9</v>
      </c>
      <c r="I1167" s="7" t="n">
        <v>0</v>
      </c>
      <c r="J1167" s="7" t="n">
        <v>0</v>
      </c>
      <c r="K1167" s="9" t="n">
        <v>0</v>
      </c>
      <c r="L1167" s="10" t="n">
        <v>8.84</v>
      </c>
      <c r="M1167" s="10" t="n">
        <v>1.43</v>
      </c>
      <c r="N1167" t="inlineStr">
        <is>
          <t>1</t>
        </is>
      </c>
      <c r="O1167" t="inlineStr">
        <is>
          <t>16</t>
        </is>
      </c>
      <c r="P1167" t="inlineStr">
        <is>
          <t xml:space="preserve">99716   </t>
        </is>
      </c>
      <c r="Q1167" s="26" t="n">
        <v>14.9</v>
      </c>
      <c r="R1167" s="26">
        <f>Q1167*G1167</f>
        <v/>
      </c>
      <c r="S1167" t="n">
        <v>8.84</v>
      </c>
      <c r="T1167" s="18">
        <f>1 - V1167/S1167</f>
        <v/>
      </c>
      <c r="U1167" s="18" t="n">
        <v>0</v>
      </c>
      <c r="V1167" s="26" t="n">
        <v>8.84</v>
      </c>
      <c r="W1167" s="26">
        <f>V1167 - L1167</f>
        <v/>
      </c>
    </row>
    <row r="1168">
      <c r="A1168" s="11" t="n">
        <v>46215</v>
      </c>
      <c r="B1168" s="1" t="n">
        <v>20040</v>
      </c>
      <c r="C1168" s="1" t="inlineStr">
        <is>
          <t>083</t>
        </is>
      </c>
      <c r="D1168" s="1" t="inlineStr">
        <is>
          <t xml:space="preserve">2598  </t>
        </is>
      </c>
      <c r="E1168" s="1" t="inlineStr">
        <is>
          <t xml:space="preserve">32457103       </t>
        </is>
      </c>
      <c r="F1168" s="5" t="inlineStr">
        <is>
          <t>TMZ BEAST MACHINES MONSTER JAWS A FRICCION PACK DE</t>
        </is>
      </c>
      <c r="G1168" t="n">
        <v>1</v>
      </c>
      <c r="H1168" s="7" t="n">
        <v>37.9</v>
      </c>
      <c r="I1168" s="7" t="n">
        <v>3.79</v>
      </c>
      <c r="J1168" s="7" t="n">
        <v>0</v>
      </c>
      <c r="K1168" s="9" t="n">
        <v>3.79</v>
      </c>
      <c r="L1168" s="10" t="n">
        <v>20.24</v>
      </c>
      <c r="M1168" s="10" t="n">
        <v>1.43</v>
      </c>
      <c r="N1168" t="inlineStr">
        <is>
          <t>1</t>
        </is>
      </c>
      <c r="O1168" t="inlineStr">
        <is>
          <t xml:space="preserve">3 </t>
        </is>
      </c>
      <c r="P1168" t="inlineStr">
        <is>
          <t xml:space="preserve">99716   </t>
        </is>
      </c>
      <c r="Q1168" s="26" t="n">
        <v>37.9</v>
      </c>
      <c r="R1168" s="26">
        <f>Q1168*G1168</f>
        <v/>
      </c>
      <c r="S1168" t="n">
        <v>22.48</v>
      </c>
      <c r="T1168" s="18">
        <f>1 - V1168/S1168</f>
        <v/>
      </c>
      <c r="U1168" s="18" t="n">
        <v>0.1319261213720316</v>
      </c>
      <c r="V1168" s="26" t="n">
        <v>16.75101694915254</v>
      </c>
      <c r="W1168" s="26">
        <f>V1168 - L1168</f>
        <v/>
      </c>
    </row>
    <row r="1169">
      <c r="A1169" s="11" t="n">
        <v>46215</v>
      </c>
      <c r="B1169" s="1" t="n">
        <v>20040</v>
      </c>
      <c r="C1169" s="1" t="inlineStr">
        <is>
          <t>190</t>
        </is>
      </c>
      <c r="D1169" s="1" t="inlineStr">
        <is>
          <t>368055</t>
        </is>
      </c>
      <c r="E1169" s="1" t="inlineStr">
        <is>
          <t xml:space="preserve">31675354       </t>
        </is>
      </c>
      <c r="F1169" s="5" t="inlineStr">
        <is>
          <t>NENUCO LLORON CON ACCESORIOS</t>
        </is>
      </c>
      <c r="G1169" t="n">
        <v>1</v>
      </c>
      <c r="H1169" s="7" t="n">
        <v>89.90000000000001</v>
      </c>
      <c r="I1169" s="7" t="n">
        <v>0</v>
      </c>
      <c r="J1169" s="7" t="n">
        <v>0</v>
      </c>
      <c r="K1169" s="9" t="n">
        <v>0</v>
      </c>
      <c r="L1169" s="10" t="n">
        <v>53.33</v>
      </c>
      <c r="M1169" s="10" t="n">
        <v>1.43</v>
      </c>
      <c r="N1169" t="inlineStr">
        <is>
          <t>1</t>
        </is>
      </c>
      <c r="O1169" t="inlineStr">
        <is>
          <t>16</t>
        </is>
      </c>
      <c r="P1169" t="inlineStr">
        <is>
          <t xml:space="preserve">52786   </t>
        </is>
      </c>
      <c r="Q1169" s="26" t="n">
        <v>89.90000000000001</v>
      </c>
      <c r="R1169" s="26">
        <f>Q1169*G1169</f>
        <v/>
      </c>
      <c r="S1169" t="n">
        <v>53.33</v>
      </c>
      <c r="T1169" s="18">
        <f>1 - V1169/S1169</f>
        <v/>
      </c>
      <c r="U1169" s="18" t="n">
        <v>0.2224694104560623</v>
      </c>
      <c r="V1169" s="26" t="n">
        <v>44.42796610169492</v>
      </c>
      <c r="W1169" s="26">
        <f>V1169 - L1169</f>
        <v/>
      </c>
    </row>
    <row r="1170">
      <c r="A1170" s="11" t="n">
        <v>46215</v>
      </c>
      <c r="B1170" s="1" t="n">
        <v>20040</v>
      </c>
      <c r="C1170" s="1" t="inlineStr">
        <is>
          <t>190</t>
        </is>
      </c>
      <c r="D1170" s="1" t="inlineStr">
        <is>
          <t>368111</t>
        </is>
      </c>
      <c r="E1170" s="1" t="inlineStr">
        <is>
          <t xml:space="preserve">32457111       </t>
        </is>
      </c>
      <c r="F1170" s="5" t="inlineStr">
        <is>
          <t>TMZ BEAST MACHINES MONSTER JAWS A FRICCION PACK DE</t>
        </is>
      </c>
      <c r="G1170" t="n">
        <v>1</v>
      </c>
      <c r="H1170" s="7" t="n">
        <v>74.90000000000001</v>
      </c>
      <c r="I1170" s="7" t="n">
        <v>7.49</v>
      </c>
      <c r="J1170" s="7" t="n">
        <v>0</v>
      </c>
      <c r="K1170" s="9" t="n">
        <v>7.49</v>
      </c>
      <c r="L1170" s="10" t="n">
        <v>39.99</v>
      </c>
      <c r="M1170" s="10" t="n">
        <v>1.43</v>
      </c>
      <c r="N1170" t="inlineStr">
        <is>
          <t>1</t>
        </is>
      </c>
      <c r="O1170" t="inlineStr">
        <is>
          <t xml:space="preserve">3 </t>
        </is>
      </c>
      <c r="P1170" t="inlineStr">
        <is>
          <t xml:space="preserve">52786   </t>
        </is>
      </c>
      <c r="Q1170" s="26" t="n">
        <v>74.90000000000001</v>
      </c>
      <c r="R1170" s="26">
        <f>Q1170*G1170</f>
        <v/>
      </c>
      <c r="S1170" t="n">
        <v>44.43</v>
      </c>
      <c r="T1170" s="18">
        <f>1 - V1170/S1170</f>
        <v/>
      </c>
      <c r="U1170" s="18" t="n">
        <v>0.2670226969292391</v>
      </c>
      <c r="V1170" s="26" t="n">
        <v>31.92406779661017</v>
      </c>
      <c r="W1170" s="26">
        <f>V1170 - L1170</f>
        <v/>
      </c>
    </row>
    <row r="1171">
      <c r="A1171" s="11" t="n">
        <v>46215</v>
      </c>
      <c r="B1171" s="1" t="n">
        <v>20041</v>
      </c>
      <c r="C1171" s="1" t="inlineStr">
        <is>
          <t>011</t>
        </is>
      </c>
      <c r="D1171" s="1" t="inlineStr">
        <is>
          <t xml:space="preserve">538   </t>
        </is>
      </c>
      <c r="E1171" s="1" t="inlineStr">
        <is>
          <t xml:space="preserve">28194770       </t>
        </is>
      </c>
      <c r="F1171" s="5" t="inlineStr">
        <is>
          <t>AUTOS DE METAL 3 TEAMSTERZ EN BLISTER</t>
        </is>
      </c>
      <c r="G1171" t="n">
        <v>1</v>
      </c>
      <c r="H1171" s="7" t="n">
        <v>6.9</v>
      </c>
      <c r="I1171" s="7" t="n">
        <v>0.6899999999999999</v>
      </c>
      <c r="J1171" s="7" t="n">
        <v>0</v>
      </c>
      <c r="K1171" s="9" t="n">
        <v>0.6899999999999999</v>
      </c>
      <c r="L1171" s="10" t="n">
        <v>3.68</v>
      </c>
      <c r="M1171" s="10" t="n">
        <v>1.43</v>
      </c>
      <c r="N1171" t="inlineStr">
        <is>
          <t>1</t>
        </is>
      </c>
      <c r="O1171" t="inlineStr">
        <is>
          <t>16</t>
        </is>
      </c>
      <c r="P1171" t="inlineStr">
        <is>
          <t xml:space="preserve">241916  </t>
        </is>
      </c>
      <c r="Q1171" s="26" t="n">
        <v>6.9</v>
      </c>
      <c r="R1171" s="26">
        <f>Q1171*G1171</f>
        <v/>
      </c>
      <c r="S1171" t="n">
        <v>4.09</v>
      </c>
      <c r="T1171" s="18">
        <f>1 - V1171/S1171</f>
        <v/>
      </c>
      <c r="U1171" s="18" t="n">
        <v>0</v>
      </c>
      <c r="V1171" s="26" t="n">
        <v>4.09</v>
      </c>
      <c r="W1171" s="26">
        <f>V1171 - L1171</f>
        <v/>
      </c>
    </row>
    <row r="1172">
      <c r="A1172" s="11" t="n">
        <v>46215</v>
      </c>
      <c r="B1172" s="1" t="n">
        <v>20041</v>
      </c>
      <c r="C1172" s="1" t="inlineStr">
        <is>
          <t>016</t>
        </is>
      </c>
      <c r="D1172" s="1" t="inlineStr">
        <is>
          <t>215455</t>
        </is>
      </c>
      <c r="E1172" s="1" t="inlineStr">
        <is>
          <t xml:space="preserve">28194770       </t>
        </is>
      </c>
      <c r="F1172" s="5" t="inlineStr">
        <is>
          <t>AUTOS DE METAL 3 TEAMSTERZ EN BLISTER</t>
        </is>
      </c>
      <c r="G1172" t="n">
        <v>1</v>
      </c>
      <c r="H1172" s="7" t="n">
        <v>6.9</v>
      </c>
      <c r="I1172" s="7" t="n">
        <v>0</v>
      </c>
      <c r="J1172" s="7" t="n">
        <v>0</v>
      </c>
      <c r="K1172" s="9" t="n">
        <v>0</v>
      </c>
      <c r="L1172" s="10" t="n">
        <v>4.1</v>
      </c>
      <c r="M1172" s="10" t="n">
        <v>1.43</v>
      </c>
      <c r="N1172" t="inlineStr">
        <is>
          <t>1</t>
        </is>
      </c>
      <c r="O1172" t="inlineStr">
        <is>
          <t>16</t>
        </is>
      </c>
      <c r="P1172" t="inlineStr">
        <is>
          <t xml:space="preserve">57146   </t>
        </is>
      </c>
      <c r="Q1172" s="26" t="n">
        <v>6.9</v>
      </c>
      <c r="R1172" s="26">
        <f>Q1172*G1172</f>
        <v/>
      </c>
      <c r="S1172" t="n">
        <v>4.09</v>
      </c>
      <c r="T1172" s="18">
        <f>1 - V1172/S1172</f>
        <v/>
      </c>
      <c r="U1172" s="18" t="n">
        <v>0</v>
      </c>
      <c r="V1172" s="26" t="n">
        <v>4.09</v>
      </c>
      <c r="W1172" s="26">
        <f>V1172 - L1172</f>
        <v/>
      </c>
    </row>
    <row r="1173">
      <c r="A1173" s="11" t="n">
        <v>46215</v>
      </c>
      <c r="B1173" s="1" t="n">
        <v>20041</v>
      </c>
      <c r="C1173" s="1" t="inlineStr">
        <is>
          <t>018</t>
        </is>
      </c>
      <c r="D1173" s="1" t="inlineStr">
        <is>
          <t xml:space="preserve">55853 </t>
        </is>
      </c>
      <c r="E1173" s="1" t="inlineStr">
        <is>
          <t xml:space="preserve">28194770       </t>
        </is>
      </c>
      <c r="F1173" s="5" t="inlineStr">
        <is>
          <t>AUTOS DE METAL 3 TEAMSTERZ EN BLISTER</t>
        </is>
      </c>
      <c r="G1173" t="n">
        <v>1</v>
      </c>
      <c r="H1173" s="7" t="n">
        <v>6.9</v>
      </c>
      <c r="I1173" s="7" t="n">
        <v>0</v>
      </c>
      <c r="J1173" s="7" t="n">
        <v>0</v>
      </c>
      <c r="K1173" s="9" t="n">
        <v>0</v>
      </c>
      <c r="L1173" s="10" t="n">
        <v>4.1</v>
      </c>
      <c r="M1173" s="10" t="n">
        <v>1.43</v>
      </c>
      <c r="N1173" t="inlineStr">
        <is>
          <t>1</t>
        </is>
      </c>
      <c r="O1173" t="inlineStr">
        <is>
          <t>16</t>
        </is>
      </c>
      <c r="P1173" t="inlineStr">
        <is>
          <t xml:space="preserve">242748  </t>
        </is>
      </c>
      <c r="Q1173" s="26" t="n">
        <v>6.9</v>
      </c>
      <c r="R1173" s="26">
        <f>Q1173*G1173</f>
        <v/>
      </c>
      <c r="S1173" t="n">
        <v>4.09</v>
      </c>
      <c r="T1173" s="18">
        <f>1 - V1173/S1173</f>
        <v/>
      </c>
      <c r="U1173" s="18" t="n">
        <v>0</v>
      </c>
      <c r="V1173" s="26" t="n">
        <v>4.09</v>
      </c>
      <c r="W1173" s="26">
        <f>V1173 - L1173</f>
        <v/>
      </c>
    </row>
    <row r="1174">
      <c r="A1174" s="11" t="n">
        <v>46215</v>
      </c>
      <c r="B1174" s="1" t="n">
        <v>20041</v>
      </c>
      <c r="C1174" s="1" t="inlineStr">
        <is>
          <t>018</t>
        </is>
      </c>
      <c r="D1174" s="1" t="inlineStr">
        <is>
          <t xml:space="preserve">55859 </t>
        </is>
      </c>
      <c r="E1174" s="1" t="inlineStr">
        <is>
          <t xml:space="preserve">28194770       </t>
        </is>
      </c>
      <c r="F1174" s="5" t="inlineStr">
        <is>
          <t>AUTOS DE METAL 3 TEAMSTERZ EN BLISTER</t>
        </is>
      </c>
      <c r="G1174" t="n">
        <v>1</v>
      </c>
      <c r="H1174" s="7" t="n">
        <v>6.9</v>
      </c>
      <c r="I1174" s="7" t="n">
        <v>0</v>
      </c>
      <c r="J1174" s="7" t="n">
        <v>0</v>
      </c>
      <c r="K1174" s="9" t="n">
        <v>0</v>
      </c>
      <c r="L1174" s="10" t="n">
        <v>4.1</v>
      </c>
      <c r="M1174" s="10" t="n">
        <v>1.43</v>
      </c>
      <c r="N1174" t="inlineStr">
        <is>
          <t>1</t>
        </is>
      </c>
      <c r="O1174" t="inlineStr">
        <is>
          <t>16</t>
        </is>
      </c>
      <c r="P1174" t="inlineStr">
        <is>
          <t xml:space="preserve">242748  </t>
        </is>
      </c>
      <c r="Q1174" s="26" t="n">
        <v>6.9</v>
      </c>
      <c r="R1174" s="26">
        <f>Q1174*G1174</f>
        <v/>
      </c>
      <c r="S1174" t="n">
        <v>4.09</v>
      </c>
      <c r="T1174" s="18">
        <f>1 - V1174/S1174</f>
        <v/>
      </c>
      <c r="U1174" s="18" t="n">
        <v>0</v>
      </c>
      <c r="V1174" s="26" t="n">
        <v>4.09</v>
      </c>
      <c r="W1174" s="26">
        <f>V1174 - L1174</f>
        <v/>
      </c>
    </row>
    <row r="1175">
      <c r="A1175" s="11" t="n">
        <v>46215</v>
      </c>
      <c r="B1175" s="1" t="n">
        <v>20041</v>
      </c>
      <c r="C1175" s="1" t="inlineStr">
        <is>
          <t>018</t>
        </is>
      </c>
      <c r="D1175" s="1" t="inlineStr">
        <is>
          <t xml:space="preserve">55859 </t>
        </is>
      </c>
      <c r="E1175" s="1" t="inlineStr">
        <is>
          <t xml:space="preserve">28194770       </t>
        </is>
      </c>
      <c r="F1175" s="5" t="inlineStr">
        <is>
          <t>AUTOS DE METAL 3 TEAMSTERZ EN BLISTER</t>
        </is>
      </c>
      <c r="G1175" t="n">
        <v>1</v>
      </c>
      <c r="H1175" s="7" t="n">
        <v>6.9</v>
      </c>
      <c r="I1175" s="7" t="n">
        <v>0</v>
      </c>
      <c r="J1175" s="7" t="n">
        <v>0</v>
      </c>
      <c r="K1175" s="9" t="n">
        <v>0</v>
      </c>
      <c r="L1175" s="10" t="n">
        <v>4.1</v>
      </c>
      <c r="M1175" s="10" t="n">
        <v>1.43</v>
      </c>
      <c r="N1175" t="inlineStr">
        <is>
          <t>1</t>
        </is>
      </c>
      <c r="O1175" t="inlineStr">
        <is>
          <t>16</t>
        </is>
      </c>
      <c r="P1175" t="inlineStr">
        <is>
          <t xml:space="preserve">242748  </t>
        </is>
      </c>
      <c r="Q1175" s="26" t="n">
        <v>6.9</v>
      </c>
      <c r="R1175" s="26">
        <f>Q1175*G1175</f>
        <v/>
      </c>
      <c r="S1175" t="n">
        <v>4.09</v>
      </c>
      <c r="T1175" s="18">
        <f>1 - V1175/S1175</f>
        <v/>
      </c>
      <c r="U1175" s="18" t="n">
        <v>0</v>
      </c>
      <c r="V1175" s="26" t="n">
        <v>4.09</v>
      </c>
      <c r="W1175" s="26">
        <f>V1175 - L1175</f>
        <v/>
      </c>
    </row>
    <row r="1176">
      <c r="A1176" s="11" t="n">
        <v>46215</v>
      </c>
      <c r="B1176" s="1" t="n">
        <v>20041</v>
      </c>
      <c r="C1176" s="1" t="inlineStr">
        <is>
          <t>043</t>
        </is>
      </c>
      <c r="D1176" s="1" t="inlineStr">
        <is>
          <t xml:space="preserve">76010 </t>
        </is>
      </c>
      <c r="E1176" s="1" t="inlineStr">
        <is>
          <t xml:space="preserve">35685067       </t>
        </is>
      </c>
      <c r="F1176" s="5" t="inlineStr">
        <is>
          <t>HOT WHEELS POWER SET 3 EN 1</t>
        </is>
      </c>
      <c r="G1176" t="n">
        <v>1</v>
      </c>
      <c r="H1176" s="7" t="n">
        <v>49.9</v>
      </c>
      <c r="I1176" s="7" t="n">
        <v>0</v>
      </c>
      <c r="J1176" s="7" t="n">
        <v>0</v>
      </c>
      <c r="K1176" s="9" t="n">
        <v>0</v>
      </c>
      <c r="L1176" s="10" t="n">
        <v>29.6</v>
      </c>
      <c r="M1176" s="10" t="n">
        <v>1.43</v>
      </c>
      <c r="N1176" t="inlineStr">
        <is>
          <t>1</t>
        </is>
      </c>
      <c r="O1176" t="inlineStr">
        <is>
          <t xml:space="preserve">2 </t>
        </is>
      </c>
      <c r="P1176" t="inlineStr">
        <is>
          <t xml:space="preserve">92331   </t>
        </is>
      </c>
      <c r="Q1176" s="26" t="n">
        <v>49.9</v>
      </c>
      <c r="R1176" s="26">
        <f>Q1176*G1176</f>
        <v/>
      </c>
      <c r="S1176" t="n">
        <v>29.6</v>
      </c>
      <c r="T1176" s="18">
        <f>1 - V1176/S1176</f>
        <v/>
      </c>
      <c r="U1176" s="18" t="n">
        <v>0</v>
      </c>
      <c r="V1176" s="26" t="n">
        <v>29.6</v>
      </c>
      <c r="W1176" s="26">
        <f>V1176 - L1176</f>
        <v/>
      </c>
    </row>
    <row r="1177">
      <c r="A1177" s="11" t="n">
        <v>46215</v>
      </c>
      <c r="B1177" s="1" t="n">
        <v>20041</v>
      </c>
      <c r="C1177" s="1" t="inlineStr">
        <is>
          <t>043</t>
        </is>
      </c>
      <c r="D1177" s="1" t="inlineStr">
        <is>
          <t xml:space="preserve">76026 </t>
        </is>
      </c>
      <c r="E1177" s="1" t="inlineStr">
        <is>
          <t xml:space="preserve">35685067       </t>
        </is>
      </c>
      <c r="F1177" s="5" t="inlineStr">
        <is>
          <t>HOT WHEELS POWER SET 3 EN 1</t>
        </is>
      </c>
      <c r="G1177" t="n">
        <v>1</v>
      </c>
      <c r="H1177" s="7" t="n">
        <v>49.9</v>
      </c>
      <c r="I1177" s="7" t="n">
        <v>4.99</v>
      </c>
      <c r="J1177" s="7" t="n">
        <v>0</v>
      </c>
      <c r="K1177" s="9" t="n">
        <v>4.99</v>
      </c>
      <c r="L1177" s="10" t="n">
        <v>26.64</v>
      </c>
      <c r="M1177" s="10" t="n">
        <v>1.43</v>
      </c>
      <c r="N1177" t="inlineStr">
        <is>
          <t>1</t>
        </is>
      </c>
      <c r="O1177" t="inlineStr">
        <is>
          <t xml:space="preserve">3 </t>
        </is>
      </c>
      <c r="P1177" t="inlineStr">
        <is>
          <t xml:space="preserve">92331   </t>
        </is>
      </c>
      <c r="Q1177" s="26" t="n">
        <v>49.9</v>
      </c>
      <c r="R1177" s="26">
        <f>Q1177*G1177</f>
        <v/>
      </c>
      <c r="S1177" t="n">
        <v>29.6</v>
      </c>
      <c r="T1177" s="18">
        <f>1 - V1177/S1177</f>
        <v/>
      </c>
      <c r="U1177" s="18" t="n">
        <v>0</v>
      </c>
      <c r="V1177" s="26" t="n">
        <v>29.6</v>
      </c>
      <c r="W1177" s="26">
        <f>V1177 - L1177</f>
        <v/>
      </c>
    </row>
    <row r="1178">
      <c r="A1178" s="11" t="n">
        <v>46215</v>
      </c>
      <c r="B1178" s="1" t="n">
        <v>20041</v>
      </c>
      <c r="C1178" s="1" t="inlineStr">
        <is>
          <t>511</t>
        </is>
      </c>
      <c r="D1178" s="1" t="inlineStr">
        <is>
          <t xml:space="preserve">625   </t>
        </is>
      </c>
      <c r="E1178" s="1" t="inlineStr">
        <is>
          <t xml:space="preserve">28194770       </t>
        </is>
      </c>
      <c r="F1178" s="5" t="inlineStr">
        <is>
          <t>AUTOS DE METAL 3 TEAMSTERZ EN BLISTER</t>
        </is>
      </c>
      <c r="G1178" t="n">
        <v>1</v>
      </c>
      <c r="H1178" s="7" t="n">
        <v>6.9</v>
      </c>
      <c r="I1178" s="7" t="n">
        <v>0</v>
      </c>
      <c r="J1178" s="7" t="n">
        <v>0</v>
      </c>
      <c r="K1178" s="9" t="n">
        <v>0</v>
      </c>
      <c r="L1178" s="10" t="n">
        <v>4.1</v>
      </c>
      <c r="M1178" s="10" t="n">
        <v>1.43</v>
      </c>
      <c r="N1178" t="inlineStr">
        <is>
          <t>1</t>
        </is>
      </c>
      <c r="O1178" t="inlineStr">
        <is>
          <t>16</t>
        </is>
      </c>
      <c r="P1178" t="inlineStr">
        <is>
          <t xml:space="preserve">248088  </t>
        </is>
      </c>
      <c r="Q1178" s="26" t="n">
        <v>6.9</v>
      </c>
      <c r="R1178" s="26">
        <f>Q1178*G1178</f>
        <v/>
      </c>
      <c r="S1178" t="n">
        <v>4.09</v>
      </c>
      <c r="T1178" s="18">
        <f>1 - V1178/S1178</f>
        <v/>
      </c>
      <c r="U1178" s="18" t="n">
        <v>0</v>
      </c>
      <c r="V1178" s="26" t="n">
        <v>4.09</v>
      </c>
      <c r="W1178" s="26">
        <f>V1178 - L1178</f>
        <v/>
      </c>
    </row>
    <row r="1179">
      <c r="A1179" s="11" t="n">
        <v>46215</v>
      </c>
      <c r="B1179" s="1" t="n">
        <v>20043</v>
      </c>
      <c r="C1179" s="1" t="inlineStr">
        <is>
          <t>061</t>
        </is>
      </c>
      <c r="D1179" s="1" t="inlineStr">
        <is>
          <t>154861</t>
        </is>
      </c>
      <c r="E1179" s="1" t="inlineStr">
        <is>
          <t xml:space="preserve">28194769       </t>
        </is>
      </c>
      <c r="F1179" s="5" t="inlineStr">
        <is>
          <t>AUTOS DE METAL 3 TEAMSTERZ PACK DE 2</t>
        </is>
      </c>
      <c r="G1179" t="n">
        <v>1</v>
      </c>
      <c r="H1179" s="7" t="n">
        <v>13.8</v>
      </c>
      <c r="I1179" s="7" t="n">
        <v>1.38</v>
      </c>
      <c r="J1179" s="7" t="n">
        <v>0</v>
      </c>
      <c r="K1179" s="9" t="n">
        <v>1.38</v>
      </c>
      <c r="L1179" s="10" t="n">
        <v>7.37</v>
      </c>
      <c r="M1179" s="10" t="n">
        <v>1.43</v>
      </c>
      <c r="N1179" t="inlineStr">
        <is>
          <t>1</t>
        </is>
      </c>
      <c r="O1179" t="inlineStr">
        <is>
          <t xml:space="preserve">3 </t>
        </is>
      </c>
      <c r="P1179" t="inlineStr">
        <is>
          <t xml:space="preserve">73748   </t>
        </is>
      </c>
      <c r="Q1179" s="26" t="n">
        <v>13.8</v>
      </c>
      <c r="R1179" s="26">
        <f>Q1179*G1179</f>
        <v/>
      </c>
      <c r="S1179" t="n">
        <v>8.19</v>
      </c>
      <c r="T1179" s="18">
        <f>1 - V1179/S1179</f>
        <v/>
      </c>
      <c r="U1179" s="18" t="n">
        <v>0</v>
      </c>
      <c r="V1179" s="26" t="n">
        <v>8.19</v>
      </c>
      <c r="W1179" s="26">
        <f>V1179 - L1179</f>
        <v/>
      </c>
    </row>
    <row r="1180">
      <c r="A1180" s="11" t="n">
        <v>46215</v>
      </c>
      <c r="B1180" s="1" t="n">
        <v>20043</v>
      </c>
      <c r="C1180" s="1" t="inlineStr">
        <is>
          <t>061</t>
        </is>
      </c>
      <c r="D1180" s="1" t="inlineStr">
        <is>
          <t>154861</t>
        </is>
      </c>
      <c r="E1180" s="1" t="inlineStr">
        <is>
          <t xml:space="preserve">28194769       </t>
        </is>
      </c>
      <c r="F1180" s="5" t="inlineStr">
        <is>
          <t>AUTOS DE METAL 3 TEAMSTERZ PACK DE 2</t>
        </is>
      </c>
      <c r="G1180" t="n">
        <v>1</v>
      </c>
      <c r="H1180" s="7" t="n">
        <v>13.8</v>
      </c>
      <c r="I1180" s="7" t="n">
        <v>1.38</v>
      </c>
      <c r="J1180" s="7" t="n">
        <v>0</v>
      </c>
      <c r="K1180" s="9" t="n">
        <v>1.38</v>
      </c>
      <c r="L1180" s="10" t="n">
        <v>7.37</v>
      </c>
      <c r="M1180" s="10" t="n">
        <v>1.43</v>
      </c>
      <c r="N1180" t="inlineStr">
        <is>
          <t>1</t>
        </is>
      </c>
      <c r="O1180" t="inlineStr">
        <is>
          <t xml:space="preserve">3 </t>
        </is>
      </c>
      <c r="P1180" t="inlineStr">
        <is>
          <t xml:space="preserve">73748   </t>
        </is>
      </c>
      <c r="Q1180" s="26" t="n">
        <v>13.8</v>
      </c>
      <c r="R1180" s="26">
        <f>Q1180*G1180</f>
        <v/>
      </c>
      <c r="S1180" t="n">
        <v>8.19</v>
      </c>
      <c r="T1180" s="18">
        <f>1 - V1180/S1180</f>
        <v/>
      </c>
      <c r="U1180" s="18" t="n">
        <v>0</v>
      </c>
      <c r="V1180" s="26" t="n">
        <v>8.19</v>
      </c>
      <c r="W1180" s="26">
        <f>V1180 - L1180</f>
        <v/>
      </c>
    </row>
    <row r="1181">
      <c r="A1181" s="11" t="n">
        <v>46215</v>
      </c>
      <c r="B1181" s="1" t="n">
        <v>20043</v>
      </c>
      <c r="C1181" s="1" t="inlineStr">
        <is>
          <t>061</t>
        </is>
      </c>
      <c r="D1181" s="1" t="inlineStr">
        <is>
          <t>154861</t>
        </is>
      </c>
      <c r="E1181" s="1" t="inlineStr">
        <is>
          <t xml:space="preserve">30141766       </t>
        </is>
      </c>
      <c r="F1181" s="5" t="inlineStr">
        <is>
          <t>TMZ BEAST MACHINES AUTOS DE METAL BLISTER X 1</t>
        </is>
      </c>
      <c r="G1181" t="n">
        <v>1</v>
      </c>
      <c r="H1181" s="7" t="n">
        <v>7.9</v>
      </c>
      <c r="I1181" s="7" t="n">
        <v>0.79</v>
      </c>
      <c r="J1181" s="7" t="n">
        <v>0</v>
      </c>
      <c r="K1181" s="9" t="n">
        <v>0.79</v>
      </c>
      <c r="L1181" s="10" t="n">
        <v>4.22</v>
      </c>
      <c r="M1181" s="10" t="n">
        <v>1.43</v>
      </c>
      <c r="N1181" t="inlineStr">
        <is>
          <t>1</t>
        </is>
      </c>
      <c r="O1181" t="inlineStr">
        <is>
          <t xml:space="preserve">3 </t>
        </is>
      </c>
      <c r="P1181" t="inlineStr">
        <is>
          <t xml:space="preserve">73748   </t>
        </is>
      </c>
      <c r="Q1181" s="26" t="n">
        <v>7.9</v>
      </c>
      <c r="R1181" s="26">
        <f>Q1181*G1181</f>
        <v/>
      </c>
      <c r="S1181" t="n">
        <v>4.69</v>
      </c>
      <c r="T1181" s="18">
        <f>1 - V1181/S1181</f>
        <v/>
      </c>
      <c r="U1181" s="18" t="n">
        <v>0</v>
      </c>
      <c r="V1181" s="26" t="n">
        <v>4.69</v>
      </c>
      <c r="W1181" s="26">
        <f>V1181 - L1181</f>
        <v/>
      </c>
    </row>
    <row r="1182">
      <c r="A1182" s="11" t="n">
        <v>46215</v>
      </c>
      <c r="B1182" s="1" t="n">
        <v>20043</v>
      </c>
      <c r="C1182" s="1" t="inlineStr">
        <is>
          <t>061</t>
        </is>
      </c>
      <c r="D1182" s="1" t="inlineStr">
        <is>
          <t>154878</t>
        </is>
      </c>
      <c r="E1182" s="1" t="inlineStr">
        <is>
          <t xml:space="preserve">30141766       </t>
        </is>
      </c>
      <c r="F1182" s="5" t="inlineStr">
        <is>
          <t>TMZ BEAST MACHINES AUTOS DE METAL BLISTER X 1</t>
        </is>
      </c>
      <c r="G1182" t="n">
        <v>1</v>
      </c>
      <c r="H1182" s="7" t="n">
        <v>7.9</v>
      </c>
      <c r="I1182" s="7" t="n">
        <v>0</v>
      </c>
      <c r="J1182" s="7" t="n">
        <v>0</v>
      </c>
      <c r="K1182" s="9" t="n">
        <v>0</v>
      </c>
      <c r="L1182" s="10" t="n">
        <v>4.68</v>
      </c>
      <c r="M1182" s="10" t="n">
        <v>1.43</v>
      </c>
      <c r="N1182" t="inlineStr">
        <is>
          <t>1</t>
        </is>
      </c>
      <c r="O1182" t="inlineStr">
        <is>
          <t xml:space="preserve">2 </t>
        </is>
      </c>
      <c r="P1182" t="inlineStr">
        <is>
          <t xml:space="preserve">73748   </t>
        </is>
      </c>
      <c r="Q1182" s="26" t="n">
        <v>7.9</v>
      </c>
      <c r="R1182" s="26">
        <f>Q1182*G1182</f>
        <v/>
      </c>
      <c r="S1182" t="n">
        <v>4.69</v>
      </c>
      <c r="T1182" s="18">
        <f>1 - V1182/S1182</f>
        <v/>
      </c>
      <c r="U1182" s="18" t="n">
        <v>0</v>
      </c>
      <c r="V1182" s="26" t="n">
        <v>4.69</v>
      </c>
      <c r="W1182" s="26">
        <f>V1182 - L1182</f>
        <v/>
      </c>
    </row>
    <row r="1183">
      <c r="A1183" s="11" t="n">
        <v>46215</v>
      </c>
      <c r="B1183" s="1" t="n">
        <v>20043</v>
      </c>
      <c r="C1183" s="1" t="inlineStr">
        <is>
          <t>061</t>
        </is>
      </c>
      <c r="D1183" s="1" t="inlineStr">
        <is>
          <t>154890</t>
        </is>
      </c>
      <c r="E1183" s="1" t="inlineStr">
        <is>
          <t xml:space="preserve">28194770       </t>
        </is>
      </c>
      <c r="F1183" s="5" t="inlineStr">
        <is>
          <t>AUTOS DE METAL 3 TEAMSTERZ EN BLISTER</t>
        </is>
      </c>
      <c r="G1183" t="n">
        <v>1</v>
      </c>
      <c r="H1183" s="7" t="n">
        <v>6.9</v>
      </c>
      <c r="I1183" s="7" t="n">
        <v>0.6899999999999999</v>
      </c>
      <c r="J1183" s="7" t="n">
        <v>0</v>
      </c>
      <c r="K1183" s="9" t="n">
        <v>0.6899999999999999</v>
      </c>
      <c r="L1183" s="10" t="n">
        <v>3.68</v>
      </c>
      <c r="M1183" s="10" t="n">
        <v>1.43</v>
      </c>
      <c r="N1183" t="inlineStr">
        <is>
          <t>1</t>
        </is>
      </c>
      <c r="O1183" t="inlineStr">
        <is>
          <t xml:space="preserve">3 </t>
        </is>
      </c>
      <c r="P1183" t="inlineStr">
        <is>
          <t xml:space="preserve">73748   </t>
        </is>
      </c>
      <c r="Q1183" s="26" t="n">
        <v>6.9</v>
      </c>
      <c r="R1183" s="26">
        <f>Q1183*G1183</f>
        <v/>
      </c>
      <c r="S1183" t="n">
        <v>4.09</v>
      </c>
      <c r="T1183" s="18">
        <f>1 - V1183/S1183</f>
        <v/>
      </c>
      <c r="U1183" s="18" t="n">
        <v>0</v>
      </c>
      <c r="V1183" s="26" t="n">
        <v>4.09</v>
      </c>
      <c r="W1183" s="26">
        <f>V1183 - L1183</f>
        <v/>
      </c>
    </row>
    <row r="1184">
      <c r="A1184" s="11" t="n">
        <v>46215</v>
      </c>
      <c r="B1184" s="1" t="n">
        <v>20047</v>
      </c>
      <c r="C1184" s="1" t="inlineStr">
        <is>
          <t>012</t>
        </is>
      </c>
      <c r="D1184" s="1" t="inlineStr">
        <is>
          <t>332243</t>
        </is>
      </c>
      <c r="E1184" s="1" t="inlineStr">
        <is>
          <t xml:space="preserve">28194770       </t>
        </is>
      </c>
      <c r="F1184" s="5" t="inlineStr">
        <is>
          <t>AUTOS DE METAL 3 TEAMSTERZ EN BLISTER</t>
        </is>
      </c>
      <c r="G1184" t="n">
        <v>1</v>
      </c>
      <c r="H1184" s="7" t="n">
        <v>6.9</v>
      </c>
      <c r="I1184" s="7" t="n">
        <v>0.6899999999999999</v>
      </c>
      <c r="J1184" s="7" t="n">
        <v>0</v>
      </c>
      <c r="K1184" s="9" t="n">
        <v>0.6899999999999999</v>
      </c>
      <c r="L1184" s="10" t="n">
        <v>3.68</v>
      </c>
      <c r="M1184" s="10" t="n">
        <v>1.43</v>
      </c>
      <c r="N1184" t="inlineStr">
        <is>
          <t>1</t>
        </is>
      </c>
      <c r="O1184" t="inlineStr">
        <is>
          <t xml:space="preserve">3 </t>
        </is>
      </c>
      <c r="P1184" t="inlineStr">
        <is>
          <t xml:space="preserve">78210   </t>
        </is>
      </c>
      <c r="Q1184" s="26" t="n">
        <v>6.9</v>
      </c>
      <c r="R1184" s="26">
        <f>Q1184*G1184</f>
        <v/>
      </c>
      <c r="S1184" t="n">
        <v>4.09</v>
      </c>
      <c r="T1184" s="18">
        <f>1 - V1184/S1184</f>
        <v/>
      </c>
      <c r="U1184" s="18" t="n">
        <v>0</v>
      </c>
      <c r="V1184" s="26" t="n">
        <v>4.09</v>
      </c>
      <c r="W1184" s="26">
        <f>V1184 - L1184</f>
        <v/>
      </c>
    </row>
    <row r="1185">
      <c r="A1185" s="11" t="n">
        <v>46215</v>
      </c>
      <c r="B1185" s="1" t="n">
        <v>20047</v>
      </c>
      <c r="C1185" s="1" t="inlineStr">
        <is>
          <t>012</t>
        </is>
      </c>
      <c r="D1185" s="1" t="inlineStr">
        <is>
          <t>332243</t>
        </is>
      </c>
      <c r="E1185" s="1" t="inlineStr">
        <is>
          <t xml:space="preserve">28194770       </t>
        </is>
      </c>
      <c r="F1185" s="5" t="inlineStr">
        <is>
          <t>AUTOS DE METAL 3 TEAMSTERZ EN BLISTER</t>
        </is>
      </c>
      <c r="G1185" t="n">
        <v>1</v>
      </c>
      <c r="H1185" s="7" t="n">
        <v>6.9</v>
      </c>
      <c r="I1185" s="7" t="n">
        <v>0.6899999999999999</v>
      </c>
      <c r="J1185" s="7" t="n">
        <v>0</v>
      </c>
      <c r="K1185" s="9" t="n">
        <v>0.6899999999999999</v>
      </c>
      <c r="L1185" s="10" t="n">
        <v>3.68</v>
      </c>
      <c r="M1185" s="10" t="n">
        <v>1.43</v>
      </c>
      <c r="N1185" t="inlineStr">
        <is>
          <t>1</t>
        </is>
      </c>
      <c r="O1185" t="inlineStr">
        <is>
          <t xml:space="preserve">3 </t>
        </is>
      </c>
      <c r="P1185" t="inlineStr">
        <is>
          <t xml:space="preserve">78210   </t>
        </is>
      </c>
      <c r="Q1185" s="26" t="n">
        <v>6.9</v>
      </c>
      <c r="R1185" s="26">
        <f>Q1185*G1185</f>
        <v/>
      </c>
      <c r="S1185" t="n">
        <v>4.09</v>
      </c>
      <c r="T1185" s="18">
        <f>1 - V1185/S1185</f>
        <v/>
      </c>
      <c r="U1185" s="18" t="n">
        <v>0</v>
      </c>
      <c r="V1185" s="26" t="n">
        <v>4.09</v>
      </c>
      <c r="W1185" s="26">
        <f>V1185 - L1185</f>
        <v/>
      </c>
    </row>
    <row r="1186">
      <c r="A1186" s="11" t="n">
        <v>46215</v>
      </c>
      <c r="B1186" s="1" t="n">
        <v>20047</v>
      </c>
      <c r="C1186" s="1" t="inlineStr">
        <is>
          <t>017</t>
        </is>
      </c>
      <c r="D1186" s="1" t="inlineStr">
        <is>
          <t>122685</t>
        </is>
      </c>
      <c r="E1186" s="1" t="inlineStr">
        <is>
          <t xml:space="preserve">28194770       </t>
        </is>
      </c>
      <c r="F1186" s="5" t="inlineStr">
        <is>
          <t>AUTOS DE METAL 3 TEAMSTERZ EN BLISTER</t>
        </is>
      </c>
      <c r="G1186" t="n">
        <v>1</v>
      </c>
      <c r="H1186" s="7" t="n">
        <v>6.9</v>
      </c>
      <c r="I1186" s="7" t="n">
        <v>0</v>
      </c>
      <c r="J1186" s="7" t="n">
        <v>0</v>
      </c>
      <c r="K1186" s="9" t="n">
        <v>0</v>
      </c>
      <c r="L1186" s="10" t="n">
        <v>4.1</v>
      </c>
      <c r="M1186" s="10" t="n">
        <v>1.43</v>
      </c>
      <c r="N1186" t="inlineStr">
        <is>
          <t>1</t>
        </is>
      </c>
      <c r="O1186" t="inlineStr">
        <is>
          <t xml:space="preserve">2 </t>
        </is>
      </c>
      <c r="P1186" t="inlineStr">
        <is>
          <t xml:space="preserve">244589  </t>
        </is>
      </c>
      <c r="Q1186" s="26" t="n">
        <v>6.9</v>
      </c>
      <c r="R1186" s="26">
        <f>Q1186*G1186</f>
        <v/>
      </c>
      <c r="S1186" t="n">
        <v>4.09</v>
      </c>
      <c r="T1186" s="18">
        <f>1 - V1186/S1186</f>
        <v/>
      </c>
      <c r="U1186" s="18" t="n">
        <v>0</v>
      </c>
      <c r="V1186" s="26" t="n">
        <v>4.09</v>
      </c>
      <c r="W1186" s="26">
        <f>V1186 - L1186</f>
        <v/>
      </c>
    </row>
    <row r="1187">
      <c r="A1187" s="11" t="n">
        <v>46215</v>
      </c>
      <c r="B1187" s="1" t="n">
        <v>20047</v>
      </c>
      <c r="C1187" s="1" t="inlineStr">
        <is>
          <t>017</t>
        </is>
      </c>
      <c r="D1187" s="1" t="inlineStr">
        <is>
          <t>122685</t>
        </is>
      </c>
      <c r="E1187" s="1" t="inlineStr">
        <is>
          <t xml:space="preserve">28194770       </t>
        </is>
      </c>
      <c r="F1187" s="5" t="inlineStr">
        <is>
          <t>AUTOS DE METAL 3 TEAMSTERZ EN BLISTER</t>
        </is>
      </c>
      <c r="G1187" t="n">
        <v>1</v>
      </c>
      <c r="H1187" s="7" t="n">
        <v>6.9</v>
      </c>
      <c r="I1187" s="7" t="n">
        <v>0</v>
      </c>
      <c r="J1187" s="7" t="n">
        <v>0</v>
      </c>
      <c r="K1187" s="9" t="n">
        <v>0</v>
      </c>
      <c r="L1187" s="10" t="n">
        <v>4.1</v>
      </c>
      <c r="M1187" s="10" t="n">
        <v>1.43</v>
      </c>
      <c r="N1187" t="inlineStr">
        <is>
          <t>1</t>
        </is>
      </c>
      <c r="O1187" t="inlineStr">
        <is>
          <t xml:space="preserve">2 </t>
        </is>
      </c>
      <c r="P1187" t="inlineStr">
        <is>
          <t xml:space="preserve">244589  </t>
        </is>
      </c>
      <c r="Q1187" s="26" t="n">
        <v>6.9</v>
      </c>
      <c r="R1187" s="26">
        <f>Q1187*G1187</f>
        <v/>
      </c>
      <c r="S1187" t="n">
        <v>4.09</v>
      </c>
      <c r="T1187" s="18">
        <f>1 - V1187/S1187</f>
        <v/>
      </c>
      <c r="U1187" s="18" t="n">
        <v>0</v>
      </c>
      <c r="V1187" s="26" t="n">
        <v>4.09</v>
      </c>
      <c r="W1187" s="26">
        <f>V1187 - L1187</f>
        <v/>
      </c>
    </row>
    <row r="1188">
      <c r="A1188" s="11" t="n">
        <v>46215</v>
      </c>
      <c r="B1188" s="1" t="n">
        <v>20047</v>
      </c>
      <c r="C1188" s="1" t="inlineStr">
        <is>
          <t>017</t>
        </is>
      </c>
      <c r="D1188" s="1" t="inlineStr">
        <is>
          <t>122685</t>
        </is>
      </c>
      <c r="E1188" s="1" t="inlineStr">
        <is>
          <t xml:space="preserve">28194770       </t>
        </is>
      </c>
      <c r="F1188" s="5" t="inlineStr">
        <is>
          <t>AUTOS DE METAL 3 TEAMSTERZ EN BLISTER</t>
        </is>
      </c>
      <c r="G1188" t="n">
        <v>1</v>
      </c>
      <c r="H1188" s="7" t="n">
        <v>6.9</v>
      </c>
      <c r="I1188" s="7" t="n">
        <v>0</v>
      </c>
      <c r="J1188" s="7" t="n">
        <v>0</v>
      </c>
      <c r="K1188" s="9" t="n">
        <v>0</v>
      </c>
      <c r="L1188" s="10" t="n">
        <v>4.1</v>
      </c>
      <c r="M1188" s="10" t="n">
        <v>1.43</v>
      </c>
      <c r="N1188" t="inlineStr">
        <is>
          <t>1</t>
        </is>
      </c>
      <c r="O1188" t="inlineStr">
        <is>
          <t xml:space="preserve">2 </t>
        </is>
      </c>
      <c r="P1188" t="inlineStr">
        <is>
          <t xml:space="preserve">244589  </t>
        </is>
      </c>
      <c r="Q1188" s="26" t="n">
        <v>6.9</v>
      </c>
      <c r="R1188" s="26">
        <f>Q1188*G1188</f>
        <v/>
      </c>
      <c r="S1188" t="n">
        <v>4.09</v>
      </c>
      <c r="T1188" s="18">
        <f>1 - V1188/S1188</f>
        <v/>
      </c>
      <c r="U1188" s="18" t="n">
        <v>0</v>
      </c>
      <c r="V1188" s="26" t="n">
        <v>4.09</v>
      </c>
      <c r="W1188" s="26">
        <f>V1188 - L1188</f>
        <v/>
      </c>
    </row>
    <row r="1189">
      <c r="A1189" s="11" t="n">
        <v>46215</v>
      </c>
      <c r="B1189" s="1" t="n">
        <v>20047</v>
      </c>
      <c r="C1189" s="1" t="inlineStr">
        <is>
          <t>017</t>
        </is>
      </c>
      <c r="D1189" s="1" t="inlineStr">
        <is>
          <t>122685</t>
        </is>
      </c>
      <c r="E1189" s="1" t="inlineStr">
        <is>
          <t xml:space="preserve">28194770       </t>
        </is>
      </c>
      <c r="F1189" s="5" t="inlineStr">
        <is>
          <t>AUTOS DE METAL 3 TEAMSTERZ EN BLISTER</t>
        </is>
      </c>
      <c r="G1189" t="n">
        <v>1</v>
      </c>
      <c r="H1189" s="7" t="n">
        <v>6.9</v>
      </c>
      <c r="I1189" s="7" t="n">
        <v>0</v>
      </c>
      <c r="J1189" s="7" t="n">
        <v>0</v>
      </c>
      <c r="K1189" s="9" t="n">
        <v>0</v>
      </c>
      <c r="L1189" s="10" t="n">
        <v>4.1</v>
      </c>
      <c r="M1189" s="10" t="n">
        <v>1.43</v>
      </c>
      <c r="N1189" t="inlineStr">
        <is>
          <t>1</t>
        </is>
      </c>
      <c r="O1189" t="inlineStr">
        <is>
          <t xml:space="preserve">2 </t>
        </is>
      </c>
      <c r="P1189" t="inlineStr">
        <is>
          <t xml:space="preserve">244589  </t>
        </is>
      </c>
      <c r="Q1189" s="26" t="n">
        <v>6.9</v>
      </c>
      <c r="R1189" s="26">
        <f>Q1189*G1189</f>
        <v/>
      </c>
      <c r="S1189" t="n">
        <v>4.09</v>
      </c>
      <c r="T1189" s="18">
        <f>1 - V1189/S1189</f>
        <v/>
      </c>
      <c r="U1189" s="18" t="n">
        <v>0</v>
      </c>
      <c r="V1189" s="26" t="n">
        <v>4.09</v>
      </c>
      <c r="W1189" s="26">
        <f>V1189 - L1189</f>
        <v/>
      </c>
    </row>
    <row r="1190">
      <c r="A1190" s="11" t="n">
        <v>46215</v>
      </c>
      <c r="B1190" s="1" t="n">
        <v>20047</v>
      </c>
      <c r="C1190" s="1" t="inlineStr">
        <is>
          <t>191</t>
        </is>
      </c>
      <c r="D1190" s="1" t="inlineStr">
        <is>
          <t>461513</t>
        </is>
      </c>
      <c r="E1190" s="1" t="inlineStr">
        <is>
          <t xml:space="preserve">28194770       </t>
        </is>
      </c>
      <c r="F1190" s="5" t="inlineStr">
        <is>
          <t>AUTOS DE METAL 3 TEAMSTERZ EN BLISTER</t>
        </is>
      </c>
      <c r="G1190" t="n">
        <v>1</v>
      </c>
      <c r="H1190" s="7" t="n">
        <v>6.9</v>
      </c>
      <c r="I1190" s="7" t="n">
        <v>0</v>
      </c>
      <c r="J1190" s="7" t="n">
        <v>0</v>
      </c>
      <c r="K1190" s="9" t="n">
        <v>0</v>
      </c>
      <c r="L1190" s="10" t="n">
        <v>4.1</v>
      </c>
      <c r="M1190" s="10" t="n">
        <v>1.43</v>
      </c>
      <c r="N1190" t="inlineStr">
        <is>
          <t>1</t>
        </is>
      </c>
      <c r="O1190" t="inlineStr">
        <is>
          <t xml:space="preserve">2 </t>
        </is>
      </c>
      <c r="P1190" t="inlineStr">
        <is>
          <t xml:space="preserve">245862  </t>
        </is>
      </c>
      <c r="Q1190" s="26" t="n">
        <v>6.9</v>
      </c>
      <c r="R1190" s="26">
        <f>Q1190*G1190</f>
        <v/>
      </c>
      <c r="S1190" t="n">
        <v>4.09</v>
      </c>
      <c r="T1190" s="18">
        <f>1 - V1190/S1190</f>
        <v/>
      </c>
      <c r="U1190" s="18" t="n">
        <v>0</v>
      </c>
      <c r="V1190" s="26" t="n">
        <v>4.09</v>
      </c>
      <c r="W1190" s="26">
        <f>V1190 - L1190</f>
        <v/>
      </c>
    </row>
    <row r="1191">
      <c r="A1191" s="11" t="n">
        <v>46215</v>
      </c>
      <c r="B1191" s="1" t="n">
        <v>20048</v>
      </c>
      <c r="C1191" s="1" t="inlineStr">
        <is>
          <t>013</t>
        </is>
      </c>
      <c r="D1191" s="1" t="inlineStr">
        <is>
          <t>224946</t>
        </is>
      </c>
      <c r="E1191" s="1" t="inlineStr">
        <is>
          <t xml:space="preserve">31754676       </t>
        </is>
      </c>
      <c r="F1191" s="5" t="inlineStr">
        <is>
          <t>INFINITY NADO SERIE 6 STD PACK LANZ ESPAD ANILLO M</t>
        </is>
      </c>
      <c r="G1191" t="n">
        <v>1</v>
      </c>
      <c r="H1191" s="7" t="n">
        <v>79.90000000000001</v>
      </c>
      <c r="I1191" s="7" t="n">
        <v>0</v>
      </c>
      <c r="J1191" s="7" t="n">
        <v>0</v>
      </c>
      <c r="K1191" s="9" t="n">
        <v>0</v>
      </c>
      <c r="L1191" s="10" t="n">
        <v>47.4</v>
      </c>
      <c r="M1191" s="10" t="n">
        <v>1.43</v>
      </c>
      <c r="N1191" t="inlineStr">
        <is>
          <t>1</t>
        </is>
      </c>
      <c r="O1191" t="inlineStr">
        <is>
          <t>16</t>
        </is>
      </c>
      <c r="P1191" t="inlineStr">
        <is>
          <t xml:space="preserve">243717  </t>
        </is>
      </c>
      <c r="Q1191" s="26" t="n">
        <v>79.90000000000001</v>
      </c>
      <c r="R1191" s="26">
        <f>Q1191*G1191</f>
        <v/>
      </c>
      <c r="S1191" t="n">
        <v>47.4</v>
      </c>
      <c r="T1191" s="18">
        <f>1 - V1191/S1191</f>
        <v/>
      </c>
      <c r="U1191" s="18" t="n">
        <v>0.2503128911138924</v>
      </c>
      <c r="V1191" s="26" t="n">
        <v>38.07203389830509</v>
      </c>
      <c r="W1191" s="26">
        <f>V1191 - L1191</f>
        <v/>
      </c>
    </row>
    <row r="1192">
      <c r="A1192" s="11" t="n">
        <v>46215</v>
      </c>
      <c r="B1192" s="1" t="n">
        <v>20048</v>
      </c>
      <c r="C1192" s="1" t="inlineStr">
        <is>
          <t>013</t>
        </is>
      </c>
      <c r="D1192" s="1" t="inlineStr">
        <is>
          <t>224970</t>
        </is>
      </c>
      <c r="E1192" s="1" t="inlineStr">
        <is>
          <t xml:space="preserve">30141766       </t>
        </is>
      </c>
      <c r="F1192" s="5" t="inlineStr">
        <is>
          <t>TMZ BEAST MACHINES AUTOS DE METAL BLISTER X 1</t>
        </is>
      </c>
      <c r="G1192" t="n">
        <v>1</v>
      </c>
      <c r="H1192" s="7" t="n">
        <v>7.9</v>
      </c>
      <c r="I1192" s="7" t="n">
        <v>0</v>
      </c>
      <c r="J1192" s="7" t="n">
        <v>0</v>
      </c>
      <c r="K1192" s="9" t="n">
        <v>0</v>
      </c>
      <c r="L1192" s="10" t="n">
        <v>4.68</v>
      </c>
      <c r="M1192" s="10" t="n">
        <v>1.43</v>
      </c>
      <c r="N1192" t="inlineStr">
        <is>
          <t>1</t>
        </is>
      </c>
      <c r="O1192" t="inlineStr">
        <is>
          <t xml:space="preserve">2 </t>
        </is>
      </c>
      <c r="P1192" t="inlineStr">
        <is>
          <t xml:space="preserve">243717  </t>
        </is>
      </c>
      <c r="Q1192" s="26" t="n">
        <v>7.9</v>
      </c>
      <c r="R1192" s="26">
        <f>Q1192*G1192</f>
        <v/>
      </c>
      <c r="S1192" t="n">
        <v>4.69</v>
      </c>
      <c r="T1192" s="18">
        <f>1 - V1192/S1192</f>
        <v/>
      </c>
      <c r="U1192" s="18" t="n">
        <v>0</v>
      </c>
      <c r="V1192" s="26" t="n">
        <v>4.69</v>
      </c>
      <c r="W1192" s="26">
        <f>V1192 - L1192</f>
        <v/>
      </c>
    </row>
    <row r="1193">
      <c r="A1193" s="11" t="n">
        <v>46215</v>
      </c>
      <c r="B1193" s="1" t="n">
        <v>20048</v>
      </c>
      <c r="C1193" s="1" t="inlineStr">
        <is>
          <t>013</t>
        </is>
      </c>
      <c r="D1193" s="1" t="inlineStr">
        <is>
          <t>224977</t>
        </is>
      </c>
      <c r="E1193" s="1" t="inlineStr">
        <is>
          <t xml:space="preserve">28194770       </t>
        </is>
      </c>
      <c r="F1193" s="5" t="inlineStr">
        <is>
          <t>AUTOS DE METAL 3 TEAMSTERZ EN BLISTER</t>
        </is>
      </c>
      <c r="G1193" t="n">
        <v>1</v>
      </c>
      <c r="H1193" s="7" t="n">
        <v>6.9</v>
      </c>
      <c r="I1193" s="7" t="n">
        <v>0</v>
      </c>
      <c r="J1193" s="7" t="n">
        <v>0</v>
      </c>
      <c r="K1193" s="9" t="n">
        <v>0</v>
      </c>
      <c r="L1193" s="10" t="n">
        <v>4.1</v>
      </c>
      <c r="M1193" s="10" t="n">
        <v>1.43</v>
      </c>
      <c r="N1193" t="inlineStr">
        <is>
          <t>1</t>
        </is>
      </c>
      <c r="O1193" t="inlineStr">
        <is>
          <t>16</t>
        </is>
      </c>
      <c r="P1193" t="inlineStr">
        <is>
          <t xml:space="preserve">243717  </t>
        </is>
      </c>
      <c r="Q1193" s="26" t="n">
        <v>6.9</v>
      </c>
      <c r="R1193" s="26">
        <f>Q1193*G1193</f>
        <v/>
      </c>
      <c r="S1193" t="n">
        <v>4.09</v>
      </c>
      <c r="T1193" s="18">
        <f>1 - V1193/S1193</f>
        <v/>
      </c>
      <c r="U1193" s="18" t="n">
        <v>0</v>
      </c>
      <c r="V1193" s="26" t="n">
        <v>4.09</v>
      </c>
      <c r="W1193" s="26">
        <f>V1193 - L1193</f>
        <v/>
      </c>
    </row>
    <row r="1194">
      <c r="A1194" s="11" t="n">
        <v>46215</v>
      </c>
      <c r="B1194" s="1" t="n">
        <v>20048</v>
      </c>
      <c r="C1194" s="1" t="inlineStr">
        <is>
          <t>013</t>
        </is>
      </c>
      <c r="D1194" s="1" t="inlineStr">
        <is>
          <t>224977</t>
        </is>
      </c>
      <c r="E1194" s="1" t="inlineStr">
        <is>
          <t xml:space="preserve">30141766       </t>
        </is>
      </c>
      <c r="F1194" s="5" t="inlineStr">
        <is>
          <t>TMZ BEAST MACHINES AUTOS DE METAL BLISTER X 1</t>
        </is>
      </c>
      <c r="G1194" t="n">
        <v>1</v>
      </c>
      <c r="H1194" s="7" t="n">
        <v>7.9</v>
      </c>
      <c r="I1194" s="7" t="n">
        <v>0</v>
      </c>
      <c r="J1194" s="7" t="n">
        <v>0</v>
      </c>
      <c r="K1194" s="9" t="n">
        <v>0</v>
      </c>
      <c r="L1194" s="10" t="n">
        <v>4.68</v>
      </c>
      <c r="M1194" s="10" t="n">
        <v>1.43</v>
      </c>
      <c r="N1194" t="inlineStr">
        <is>
          <t>1</t>
        </is>
      </c>
      <c r="O1194" t="inlineStr">
        <is>
          <t>16</t>
        </is>
      </c>
      <c r="P1194" t="inlineStr">
        <is>
          <t xml:space="preserve">243717  </t>
        </is>
      </c>
      <c r="Q1194" s="26" t="n">
        <v>7.9</v>
      </c>
      <c r="R1194" s="26">
        <f>Q1194*G1194</f>
        <v/>
      </c>
      <c r="S1194" t="n">
        <v>4.69</v>
      </c>
      <c r="T1194" s="18">
        <f>1 - V1194/S1194</f>
        <v/>
      </c>
      <c r="U1194" s="18" t="n">
        <v>0</v>
      </c>
      <c r="V1194" s="26" t="n">
        <v>4.69</v>
      </c>
      <c r="W1194" s="26">
        <f>V1194 - L1194</f>
        <v/>
      </c>
    </row>
    <row r="1195">
      <c r="A1195" s="11" t="n">
        <v>46215</v>
      </c>
      <c r="B1195" s="1" t="n">
        <v>20048</v>
      </c>
      <c r="C1195" s="1" t="inlineStr">
        <is>
          <t>013</t>
        </is>
      </c>
      <c r="D1195" s="1" t="inlineStr">
        <is>
          <t>225011</t>
        </is>
      </c>
      <c r="E1195" s="1" t="inlineStr">
        <is>
          <t xml:space="preserve">28194769       </t>
        </is>
      </c>
      <c r="F1195" s="5" t="inlineStr">
        <is>
          <t>AUTOS DE METAL 3 TEAMSTERZ PACK DE 2</t>
        </is>
      </c>
      <c r="G1195" t="n">
        <v>1</v>
      </c>
      <c r="H1195" s="7" t="n">
        <v>13.8</v>
      </c>
      <c r="I1195" s="7" t="n">
        <v>0</v>
      </c>
      <c r="J1195" s="7" t="n">
        <v>0</v>
      </c>
      <c r="K1195" s="9" t="n">
        <v>0</v>
      </c>
      <c r="L1195" s="10" t="n">
        <v>8.18</v>
      </c>
      <c r="M1195" s="10" t="n">
        <v>1.43</v>
      </c>
      <c r="N1195" t="inlineStr">
        <is>
          <t>1</t>
        </is>
      </c>
      <c r="O1195" t="inlineStr">
        <is>
          <t>16</t>
        </is>
      </c>
      <c r="P1195" t="inlineStr">
        <is>
          <t xml:space="preserve">243717  </t>
        </is>
      </c>
      <c r="Q1195" s="26" t="n">
        <v>13.8</v>
      </c>
      <c r="R1195" s="26">
        <f>Q1195*G1195</f>
        <v/>
      </c>
      <c r="S1195" t="n">
        <v>8.19</v>
      </c>
      <c r="T1195" s="18">
        <f>1 - V1195/S1195</f>
        <v/>
      </c>
      <c r="U1195" s="18" t="n">
        <v>0</v>
      </c>
      <c r="V1195" s="26" t="n">
        <v>8.19</v>
      </c>
      <c r="W1195" s="26">
        <f>V1195 - L1195</f>
        <v/>
      </c>
    </row>
    <row r="1196">
      <c r="A1196" s="11" t="n">
        <v>46215</v>
      </c>
      <c r="B1196" s="1" t="n">
        <v>20048</v>
      </c>
      <c r="C1196" s="1" t="inlineStr">
        <is>
          <t>013</t>
        </is>
      </c>
      <c r="D1196" s="1" t="inlineStr">
        <is>
          <t>225011</t>
        </is>
      </c>
      <c r="E1196" s="1" t="inlineStr">
        <is>
          <t xml:space="preserve">28194770       </t>
        </is>
      </c>
      <c r="F1196" s="5" t="inlineStr">
        <is>
          <t>AUTOS DE METAL 3 TEAMSTERZ EN BLISTER</t>
        </is>
      </c>
      <c r="G1196" t="n">
        <v>1</v>
      </c>
      <c r="H1196" s="7" t="n">
        <v>6.9</v>
      </c>
      <c r="I1196" s="7" t="n">
        <v>0</v>
      </c>
      <c r="J1196" s="7" t="n">
        <v>0</v>
      </c>
      <c r="K1196" s="9" t="n">
        <v>0</v>
      </c>
      <c r="L1196" s="10" t="n">
        <v>4.1</v>
      </c>
      <c r="M1196" s="10" t="n">
        <v>1.43</v>
      </c>
      <c r="N1196" t="inlineStr">
        <is>
          <t>1</t>
        </is>
      </c>
      <c r="O1196" t="inlineStr">
        <is>
          <t>16</t>
        </is>
      </c>
      <c r="P1196" t="inlineStr">
        <is>
          <t xml:space="preserve">243717  </t>
        </is>
      </c>
      <c r="Q1196" s="26" t="n">
        <v>6.9</v>
      </c>
      <c r="R1196" s="26">
        <f>Q1196*G1196</f>
        <v/>
      </c>
      <c r="S1196" t="n">
        <v>4.09</v>
      </c>
      <c r="T1196" s="18">
        <f>1 - V1196/S1196</f>
        <v/>
      </c>
      <c r="U1196" s="18" t="n">
        <v>0</v>
      </c>
      <c r="V1196" s="26" t="n">
        <v>4.09</v>
      </c>
      <c r="W1196" s="26">
        <f>V1196 - L1196</f>
        <v/>
      </c>
    </row>
    <row r="1197">
      <c r="A1197" s="11" t="n">
        <v>46215</v>
      </c>
      <c r="B1197" s="1" t="n">
        <v>20048</v>
      </c>
      <c r="C1197" s="1" t="inlineStr">
        <is>
          <t>017</t>
        </is>
      </c>
      <c r="D1197" s="1" t="inlineStr">
        <is>
          <t>166651</t>
        </is>
      </c>
      <c r="E1197" s="1" t="inlineStr">
        <is>
          <t xml:space="preserve">28194770       </t>
        </is>
      </c>
      <c r="F1197" s="5" t="inlineStr">
        <is>
          <t>AUTOS DE METAL 3 TEAMSTERZ EN BLISTER</t>
        </is>
      </c>
      <c r="G1197" t="n">
        <v>1</v>
      </c>
      <c r="H1197" s="7" t="n">
        <v>6.9</v>
      </c>
      <c r="I1197" s="7" t="n">
        <v>0</v>
      </c>
      <c r="J1197" s="7" t="n">
        <v>0</v>
      </c>
      <c r="K1197" s="9" t="n">
        <v>0</v>
      </c>
      <c r="L1197" s="10" t="n">
        <v>4.1</v>
      </c>
      <c r="M1197" s="10" t="n">
        <v>1.43</v>
      </c>
      <c r="N1197" t="inlineStr">
        <is>
          <t>1</t>
        </is>
      </c>
      <c r="O1197" t="inlineStr">
        <is>
          <t>16</t>
        </is>
      </c>
      <c r="P1197" t="inlineStr">
        <is>
          <t xml:space="preserve">248417  </t>
        </is>
      </c>
      <c r="Q1197" s="26" t="n">
        <v>6.9</v>
      </c>
      <c r="R1197" s="26">
        <f>Q1197*G1197</f>
        <v/>
      </c>
      <c r="S1197" t="n">
        <v>4.09</v>
      </c>
      <c r="T1197" s="18">
        <f>1 - V1197/S1197</f>
        <v/>
      </c>
      <c r="U1197" s="18" t="n">
        <v>0</v>
      </c>
      <c r="V1197" s="26" t="n">
        <v>4.09</v>
      </c>
      <c r="W1197" s="26">
        <f>V1197 - L1197</f>
        <v/>
      </c>
    </row>
    <row r="1198">
      <c r="A1198" s="11" t="n">
        <v>46215</v>
      </c>
      <c r="B1198" s="1" t="n">
        <v>20048</v>
      </c>
      <c r="C1198" s="1" t="inlineStr">
        <is>
          <t>800</t>
        </is>
      </c>
      <c r="D1198" s="1" t="inlineStr">
        <is>
          <t xml:space="preserve">4026  </t>
        </is>
      </c>
      <c r="E1198" s="1" t="inlineStr">
        <is>
          <t xml:space="preserve">28194770       </t>
        </is>
      </c>
      <c r="F1198" s="5" t="inlineStr">
        <is>
          <t>AUTOS DE METAL 3 TEAMSTERZ EN BLISTER</t>
        </is>
      </c>
      <c r="G1198" t="n">
        <v>1</v>
      </c>
      <c r="H1198" s="7" t="n">
        <v>6.9</v>
      </c>
      <c r="I1198" s="7" t="n">
        <v>0</v>
      </c>
      <c r="J1198" s="7" t="n">
        <v>0</v>
      </c>
      <c r="K1198" s="9" t="n">
        <v>0</v>
      </c>
      <c r="L1198" s="10" t="n">
        <v>4.1</v>
      </c>
      <c r="M1198" s="10" t="n">
        <v>1.43</v>
      </c>
      <c r="N1198" t="inlineStr">
        <is>
          <t>1</t>
        </is>
      </c>
      <c r="O1198" t="inlineStr">
        <is>
          <t>16</t>
        </is>
      </c>
      <c r="P1198" t="inlineStr">
        <is>
          <t xml:space="preserve">234984  </t>
        </is>
      </c>
      <c r="Q1198" s="26" t="n">
        <v>6.9</v>
      </c>
      <c r="R1198" s="26">
        <f>Q1198*G1198</f>
        <v/>
      </c>
      <c r="S1198" t="n">
        <v>4.09</v>
      </c>
      <c r="T1198" s="18">
        <f>1 - V1198/S1198</f>
        <v/>
      </c>
      <c r="U1198" s="18" t="n">
        <v>0</v>
      </c>
      <c r="V1198" s="26" t="n">
        <v>4.09</v>
      </c>
      <c r="W1198" s="26">
        <f>V1198 - L1198</f>
        <v/>
      </c>
    </row>
    <row r="1199">
      <c r="A1199" s="11" t="n">
        <v>46215</v>
      </c>
      <c r="B1199" s="1" t="n">
        <v>20048</v>
      </c>
      <c r="C1199" s="1" t="inlineStr">
        <is>
          <t>800</t>
        </is>
      </c>
      <c r="D1199" s="1" t="inlineStr">
        <is>
          <t xml:space="preserve">4078  </t>
        </is>
      </c>
      <c r="E1199" s="1" t="inlineStr">
        <is>
          <t xml:space="preserve">28194769       </t>
        </is>
      </c>
      <c r="F1199" s="5" t="inlineStr">
        <is>
          <t>AUTOS DE METAL 3 TEAMSTERZ PACK DE 2</t>
        </is>
      </c>
      <c r="G1199" t="n">
        <v>1</v>
      </c>
      <c r="H1199" s="7" t="n">
        <v>13.8</v>
      </c>
      <c r="I1199" s="7" t="n">
        <v>0</v>
      </c>
      <c r="J1199" s="7" t="n">
        <v>0</v>
      </c>
      <c r="K1199" s="9" t="n">
        <v>0</v>
      </c>
      <c r="L1199" s="10" t="n">
        <v>8.18</v>
      </c>
      <c r="M1199" s="10" t="n">
        <v>1.43</v>
      </c>
      <c r="N1199" t="inlineStr">
        <is>
          <t>1</t>
        </is>
      </c>
      <c r="O1199" t="inlineStr">
        <is>
          <t>16</t>
        </is>
      </c>
      <c r="P1199" t="inlineStr">
        <is>
          <t xml:space="preserve">234984  </t>
        </is>
      </c>
      <c r="Q1199" s="26" t="n">
        <v>13.8</v>
      </c>
      <c r="R1199" s="26">
        <f>Q1199*G1199</f>
        <v/>
      </c>
      <c r="S1199" t="n">
        <v>8.19</v>
      </c>
      <c r="T1199" s="18">
        <f>1 - V1199/S1199</f>
        <v/>
      </c>
      <c r="U1199" s="18" t="n">
        <v>0</v>
      </c>
      <c r="V1199" s="26" t="n">
        <v>8.19</v>
      </c>
      <c r="W1199" s="26">
        <f>V1199 - L1199</f>
        <v/>
      </c>
    </row>
    <row r="1200">
      <c r="A1200" s="11" t="n">
        <v>46215</v>
      </c>
      <c r="B1200" s="1" t="n">
        <v>20048</v>
      </c>
      <c r="C1200" s="1" t="inlineStr">
        <is>
          <t>800</t>
        </is>
      </c>
      <c r="D1200" s="1" t="inlineStr">
        <is>
          <t xml:space="preserve">4078  </t>
        </is>
      </c>
      <c r="E1200" s="1" t="inlineStr">
        <is>
          <t xml:space="preserve">30141766       </t>
        </is>
      </c>
      <c r="F1200" s="5" t="inlineStr">
        <is>
          <t>TMZ BEAST MACHINES AUTOS DE METAL BLISTER X 1</t>
        </is>
      </c>
      <c r="G1200" t="n">
        <v>1</v>
      </c>
      <c r="H1200" s="7" t="n">
        <v>7.9</v>
      </c>
      <c r="I1200" s="7" t="n">
        <v>0</v>
      </c>
      <c r="J1200" s="7" t="n">
        <v>0</v>
      </c>
      <c r="K1200" s="9" t="n">
        <v>0</v>
      </c>
      <c r="L1200" s="10" t="n">
        <v>4.68</v>
      </c>
      <c r="M1200" s="10" t="n">
        <v>1.43</v>
      </c>
      <c r="N1200" t="inlineStr">
        <is>
          <t>1</t>
        </is>
      </c>
      <c r="O1200" t="inlineStr">
        <is>
          <t>16</t>
        </is>
      </c>
      <c r="P1200" t="inlineStr">
        <is>
          <t xml:space="preserve">234984  </t>
        </is>
      </c>
      <c r="Q1200" s="26" t="n">
        <v>7.9</v>
      </c>
      <c r="R1200" s="26">
        <f>Q1200*G1200</f>
        <v/>
      </c>
      <c r="S1200" t="n">
        <v>4.69</v>
      </c>
      <c r="T1200" s="18">
        <f>1 - V1200/S1200</f>
        <v/>
      </c>
      <c r="U1200" s="18" t="n">
        <v>0</v>
      </c>
      <c r="V1200" s="26" t="n">
        <v>4.69</v>
      </c>
      <c r="W1200" s="26">
        <f>V1200 - L1200</f>
        <v/>
      </c>
    </row>
    <row r="1201">
      <c r="A1201" s="11" t="n">
        <v>46215</v>
      </c>
      <c r="B1201" s="1" t="n">
        <v>20048</v>
      </c>
      <c r="C1201" s="1" t="inlineStr">
        <is>
          <t>801</t>
        </is>
      </c>
      <c r="D1201" s="1" t="inlineStr">
        <is>
          <t xml:space="preserve">6222  </t>
        </is>
      </c>
      <c r="E1201" s="1" t="inlineStr">
        <is>
          <t xml:space="preserve">34840550       </t>
        </is>
      </c>
      <c r="F1201" s="5" t="inlineStr">
        <is>
          <t>TEAMSTERZ M/MOVERZ TRANSPORTA GORILA</t>
        </is>
      </c>
      <c r="G1201" t="n">
        <v>1</v>
      </c>
      <c r="H1201" s="7" t="n">
        <v>129</v>
      </c>
      <c r="I1201" s="7" t="n">
        <v>12.9</v>
      </c>
      <c r="J1201" s="7" t="n">
        <v>0</v>
      </c>
      <c r="K1201" s="9" t="n">
        <v>12.9</v>
      </c>
      <c r="L1201" s="10" t="n">
        <v>68.87</v>
      </c>
      <c r="M1201" s="10" t="n">
        <v>1.43</v>
      </c>
      <c r="N1201" t="inlineStr">
        <is>
          <t>1</t>
        </is>
      </c>
      <c r="O1201" t="inlineStr">
        <is>
          <t>16</t>
        </is>
      </c>
      <c r="P1201" t="inlineStr">
        <is>
          <t xml:space="preserve">234984  </t>
        </is>
      </c>
      <c r="Q1201" s="26" t="n">
        <v>129</v>
      </c>
      <c r="R1201" s="26">
        <f>Q1201*G1201</f>
        <v/>
      </c>
      <c r="S1201" t="n">
        <v>76.53</v>
      </c>
      <c r="T1201" s="18">
        <f>1 - V1201/S1201</f>
        <v/>
      </c>
      <c r="U1201" s="18" t="n">
        <v>0</v>
      </c>
      <c r="V1201" s="26" t="n">
        <v>76.53</v>
      </c>
      <c r="W1201" s="26">
        <f>V1201 - L1201</f>
        <v/>
      </c>
    </row>
    <row r="1202">
      <c r="A1202" s="11" t="n">
        <v>46215</v>
      </c>
      <c r="B1202" s="1" t="n">
        <v>20049</v>
      </c>
      <c r="C1202" s="1" t="inlineStr">
        <is>
          <t>013</t>
        </is>
      </c>
      <c r="D1202" s="1" t="inlineStr">
        <is>
          <t>235820</t>
        </is>
      </c>
      <c r="E1202" s="1" t="inlineStr">
        <is>
          <t xml:space="preserve">29854051       </t>
        </is>
      </c>
      <c r="F1202" s="5" t="inlineStr">
        <is>
          <t>TEAMSTERZ AUTO DE METAL PACK 10 AUTOS</t>
        </is>
      </c>
      <c r="G1202" t="n">
        <v>1</v>
      </c>
      <c r="H1202" s="7" t="n">
        <v>69</v>
      </c>
      <c r="I1202" s="7" t="n">
        <v>0</v>
      </c>
      <c r="J1202" s="7" t="n">
        <v>0</v>
      </c>
      <c r="K1202" s="9" t="n">
        <v>0</v>
      </c>
      <c r="L1202" s="10" t="n">
        <v>40.93</v>
      </c>
      <c r="M1202" s="10" t="n">
        <v>1.43</v>
      </c>
      <c r="N1202" t="inlineStr">
        <is>
          <t>1</t>
        </is>
      </c>
      <c r="O1202" t="inlineStr">
        <is>
          <t>16</t>
        </is>
      </c>
      <c r="P1202" t="inlineStr">
        <is>
          <t xml:space="preserve">250173  </t>
        </is>
      </c>
      <c r="Q1202" s="26" t="n">
        <v>69</v>
      </c>
      <c r="R1202" s="26">
        <f>Q1202*G1202</f>
        <v/>
      </c>
      <c r="S1202" t="n">
        <v>40.93</v>
      </c>
      <c r="T1202" s="18">
        <f>1 - V1202/S1202</f>
        <v/>
      </c>
      <c r="U1202" s="18" t="n">
        <v>0</v>
      </c>
      <c r="V1202" s="26" t="n">
        <v>40.93</v>
      </c>
      <c r="W1202" s="26">
        <f>V1202 - L1202</f>
        <v/>
      </c>
    </row>
    <row r="1203">
      <c r="A1203" s="11" t="n">
        <v>46215</v>
      </c>
      <c r="B1203" s="1" t="n">
        <v>20049</v>
      </c>
      <c r="C1203" s="1" t="inlineStr">
        <is>
          <t>017</t>
        </is>
      </c>
      <c r="D1203" s="1" t="inlineStr">
        <is>
          <t>238735</t>
        </is>
      </c>
      <c r="E1203" s="1" t="inlineStr">
        <is>
          <t xml:space="preserve">28194769       </t>
        </is>
      </c>
      <c r="F1203" s="5" t="inlineStr">
        <is>
          <t>AUTOS DE METAL 3 TEAMSTERZ PACK DE 2</t>
        </is>
      </c>
      <c r="G1203" t="n">
        <v>1</v>
      </c>
      <c r="H1203" s="7" t="n">
        <v>13.8</v>
      </c>
      <c r="I1203" s="7" t="n">
        <v>0</v>
      </c>
      <c r="J1203" s="7" t="n">
        <v>0</v>
      </c>
      <c r="K1203" s="9" t="n">
        <v>0</v>
      </c>
      <c r="L1203" s="10" t="n">
        <v>8.18</v>
      </c>
      <c r="M1203" s="10" t="n">
        <v>1.43</v>
      </c>
      <c r="N1203" t="inlineStr">
        <is>
          <t>1</t>
        </is>
      </c>
      <c r="O1203" t="inlineStr">
        <is>
          <t xml:space="preserve">2 </t>
        </is>
      </c>
      <c r="P1203" t="inlineStr">
        <is>
          <t xml:space="preserve">234411  </t>
        </is>
      </c>
      <c r="Q1203" s="26" t="n">
        <v>13.8</v>
      </c>
      <c r="R1203" s="26">
        <f>Q1203*G1203</f>
        <v/>
      </c>
      <c r="S1203" t="n">
        <v>8.19</v>
      </c>
      <c r="T1203" s="18">
        <f>1 - V1203/S1203</f>
        <v/>
      </c>
      <c r="U1203" s="18" t="n">
        <v>0</v>
      </c>
      <c r="V1203" s="26" t="n">
        <v>8.19</v>
      </c>
      <c r="W1203" s="26">
        <f>V1203 - L1203</f>
        <v/>
      </c>
    </row>
    <row r="1204">
      <c r="A1204" s="11" t="n">
        <v>46215</v>
      </c>
      <c r="B1204" s="1" t="n">
        <v>20056</v>
      </c>
      <c r="C1204" s="1" t="inlineStr">
        <is>
          <t>021</t>
        </is>
      </c>
      <c r="D1204" s="1" t="inlineStr">
        <is>
          <t xml:space="preserve">52236 </t>
        </is>
      </c>
      <c r="E1204" s="1" t="inlineStr">
        <is>
          <t xml:space="preserve">31675354       </t>
        </is>
      </c>
      <c r="F1204" s="5" t="inlineStr">
        <is>
          <t>NENUCO LLORON CON ACCESORIOS</t>
        </is>
      </c>
      <c r="G1204" t="n">
        <v>1</v>
      </c>
      <c r="H1204" s="7" t="n">
        <v>89.90000000000001</v>
      </c>
      <c r="I1204" s="7" t="n">
        <v>8.99</v>
      </c>
      <c r="J1204" s="7" t="n">
        <v>0</v>
      </c>
      <c r="K1204" s="9" t="n">
        <v>8.99</v>
      </c>
      <c r="L1204" s="10" t="n">
        <v>48</v>
      </c>
      <c r="M1204" s="10" t="n">
        <v>1.43</v>
      </c>
      <c r="N1204" t="inlineStr">
        <is>
          <t>1</t>
        </is>
      </c>
      <c r="O1204" t="inlineStr">
        <is>
          <t xml:space="preserve">3 </t>
        </is>
      </c>
      <c r="P1204" t="inlineStr">
        <is>
          <t xml:space="preserve">250152  </t>
        </is>
      </c>
      <c r="Q1204" s="26" t="n">
        <v>89.90000000000001</v>
      </c>
      <c r="R1204" s="26">
        <f>Q1204*G1204</f>
        <v/>
      </c>
      <c r="S1204" t="n">
        <v>53.33</v>
      </c>
      <c r="T1204" s="18">
        <f>1 - V1204/S1204</f>
        <v/>
      </c>
      <c r="U1204" s="18" t="n">
        <v>0.2224694104560623</v>
      </c>
      <c r="V1204" s="26" t="n">
        <v>44.42796610169492</v>
      </c>
      <c r="W1204" s="26">
        <f>V1204 - L1204</f>
        <v/>
      </c>
    </row>
    <row r="1205">
      <c r="A1205" s="11" t="n">
        <v>46215</v>
      </c>
      <c r="B1205" s="1" t="n">
        <v>20056</v>
      </c>
      <c r="C1205" s="1" t="inlineStr">
        <is>
          <t>021</t>
        </is>
      </c>
      <c r="D1205" s="1" t="inlineStr">
        <is>
          <t xml:space="preserve">52265 </t>
        </is>
      </c>
      <c r="E1205" s="1" t="inlineStr">
        <is>
          <t xml:space="preserve">28194769       </t>
        </is>
      </c>
      <c r="F1205" s="5" t="inlineStr">
        <is>
          <t>AUTOS DE METAL 3 TEAMSTERZ PACK DE 2</t>
        </is>
      </c>
      <c r="G1205" t="n">
        <v>1</v>
      </c>
      <c r="H1205" s="7" t="n">
        <v>13.8</v>
      </c>
      <c r="I1205" s="7" t="n">
        <v>0</v>
      </c>
      <c r="J1205" s="7" t="n">
        <v>0</v>
      </c>
      <c r="K1205" s="9" t="n">
        <v>0</v>
      </c>
      <c r="L1205" s="10" t="n">
        <v>8.18</v>
      </c>
      <c r="M1205" s="10" t="n">
        <v>1.43</v>
      </c>
      <c r="N1205" t="inlineStr">
        <is>
          <t>1</t>
        </is>
      </c>
      <c r="O1205" t="inlineStr">
        <is>
          <t xml:space="preserve">2 </t>
        </is>
      </c>
      <c r="P1205" t="inlineStr">
        <is>
          <t xml:space="preserve">250152  </t>
        </is>
      </c>
      <c r="Q1205" s="26" t="n">
        <v>13.8</v>
      </c>
      <c r="R1205" s="26">
        <f>Q1205*G1205</f>
        <v/>
      </c>
      <c r="S1205" t="n">
        <v>8.19</v>
      </c>
      <c r="T1205" s="18">
        <f>1 - V1205/S1205</f>
        <v/>
      </c>
      <c r="U1205" s="18" t="n">
        <v>0</v>
      </c>
      <c r="V1205" s="26" t="n">
        <v>8.19</v>
      </c>
      <c r="W1205" s="26">
        <f>V1205 - L1205</f>
        <v/>
      </c>
    </row>
    <row r="1206">
      <c r="A1206" s="11" t="n">
        <v>46215</v>
      </c>
      <c r="B1206" s="1" t="n">
        <v>20057</v>
      </c>
      <c r="C1206" s="1" t="inlineStr">
        <is>
          <t>011</t>
        </is>
      </c>
      <c r="D1206" s="1" t="inlineStr">
        <is>
          <t xml:space="preserve">74253 </t>
        </is>
      </c>
      <c r="E1206" s="1" t="inlineStr">
        <is>
          <t xml:space="preserve">28194770       </t>
        </is>
      </c>
      <c r="F1206" s="5" t="inlineStr">
        <is>
          <t>AUTOS DE METAL 3 TEAMSTERZ EN BLISTER</t>
        </is>
      </c>
      <c r="G1206" t="n">
        <v>1</v>
      </c>
      <c r="H1206" s="7" t="n">
        <v>6.9</v>
      </c>
      <c r="I1206" s="7" t="n">
        <v>0</v>
      </c>
      <c r="J1206" s="7" t="n">
        <v>0</v>
      </c>
      <c r="K1206" s="9" t="n">
        <v>0</v>
      </c>
      <c r="L1206" s="10" t="n">
        <v>4.1</v>
      </c>
      <c r="M1206" s="10" t="n">
        <v>1.43</v>
      </c>
      <c r="N1206" t="inlineStr">
        <is>
          <t>1</t>
        </is>
      </c>
      <c r="O1206" t="inlineStr">
        <is>
          <t>16</t>
        </is>
      </c>
      <c r="P1206" t="inlineStr">
        <is>
          <t xml:space="preserve">250316  </t>
        </is>
      </c>
      <c r="Q1206" s="26" t="n">
        <v>6.9</v>
      </c>
      <c r="R1206" s="26">
        <f>Q1206*G1206</f>
        <v/>
      </c>
      <c r="S1206" t="n">
        <v>4.09</v>
      </c>
      <c r="T1206" s="18">
        <f>1 - V1206/S1206</f>
        <v/>
      </c>
      <c r="U1206" s="18" t="n">
        <v>0</v>
      </c>
      <c r="V1206" s="26" t="n">
        <v>4.09</v>
      </c>
      <c r="W1206" s="26">
        <f>V1206 - L1206</f>
        <v/>
      </c>
    </row>
    <row r="1207">
      <c r="A1207" s="11" t="n">
        <v>46215</v>
      </c>
      <c r="B1207" s="1" t="n">
        <v>20057</v>
      </c>
      <c r="C1207" s="1" t="inlineStr">
        <is>
          <t>032</t>
        </is>
      </c>
      <c r="D1207" s="1" t="inlineStr">
        <is>
          <t xml:space="preserve">74545 </t>
        </is>
      </c>
      <c r="E1207" s="1" t="inlineStr">
        <is>
          <t xml:space="preserve">28194770       </t>
        </is>
      </c>
      <c r="F1207" s="5" t="inlineStr">
        <is>
          <t>AUTOS DE METAL 3 TEAMSTERZ EN BLISTER</t>
        </is>
      </c>
      <c r="G1207" t="n">
        <v>1</v>
      </c>
      <c r="H1207" s="7" t="n">
        <v>6.9</v>
      </c>
      <c r="I1207" s="7" t="n">
        <v>0</v>
      </c>
      <c r="J1207" s="7" t="n">
        <v>0</v>
      </c>
      <c r="K1207" s="9" t="n">
        <v>0</v>
      </c>
      <c r="L1207" s="10" t="n">
        <v>4.1</v>
      </c>
      <c r="M1207" s="10" t="n">
        <v>1.43</v>
      </c>
      <c r="N1207" t="inlineStr">
        <is>
          <t>1</t>
        </is>
      </c>
      <c r="O1207" t="inlineStr">
        <is>
          <t>16</t>
        </is>
      </c>
      <c r="P1207" t="inlineStr">
        <is>
          <t xml:space="preserve">238606  </t>
        </is>
      </c>
      <c r="Q1207" s="26" t="n">
        <v>6.9</v>
      </c>
      <c r="R1207" s="26">
        <f>Q1207*G1207</f>
        <v/>
      </c>
      <c r="S1207" t="n">
        <v>4.09</v>
      </c>
      <c r="T1207" s="18">
        <f>1 - V1207/S1207</f>
        <v/>
      </c>
      <c r="U1207" s="18" t="n">
        <v>0</v>
      </c>
      <c r="V1207" s="26" t="n">
        <v>4.09</v>
      </c>
      <c r="W1207" s="26">
        <f>V1207 - L1207</f>
        <v/>
      </c>
    </row>
    <row r="1208">
      <c r="A1208" s="11" t="n">
        <v>46215</v>
      </c>
      <c r="B1208" s="1" t="n">
        <v>20057</v>
      </c>
      <c r="C1208" s="1" t="inlineStr">
        <is>
          <t>032</t>
        </is>
      </c>
      <c r="D1208" s="1" t="inlineStr">
        <is>
          <t xml:space="preserve">74584 </t>
        </is>
      </c>
      <c r="E1208" s="1" t="inlineStr">
        <is>
          <t xml:space="preserve">28194769       </t>
        </is>
      </c>
      <c r="F1208" s="5" t="inlineStr">
        <is>
          <t>AUTOS DE METAL 3 TEAMSTERZ PACK DE 2</t>
        </is>
      </c>
      <c r="G1208" t="n">
        <v>1</v>
      </c>
      <c r="H1208" s="7" t="n">
        <v>13.8</v>
      </c>
      <c r="I1208" s="7" t="n">
        <v>0</v>
      </c>
      <c r="J1208" s="7" t="n">
        <v>0</v>
      </c>
      <c r="K1208" s="9" t="n">
        <v>0</v>
      </c>
      <c r="L1208" s="10" t="n">
        <v>8.18</v>
      </c>
      <c r="M1208" s="10" t="n">
        <v>1.43</v>
      </c>
      <c r="N1208" t="inlineStr">
        <is>
          <t>1</t>
        </is>
      </c>
      <c r="O1208" t="inlineStr">
        <is>
          <t>16</t>
        </is>
      </c>
      <c r="P1208" t="inlineStr">
        <is>
          <t xml:space="preserve">238606  </t>
        </is>
      </c>
      <c r="Q1208" s="26" t="n">
        <v>13.8</v>
      </c>
      <c r="R1208" s="26">
        <f>Q1208*G1208</f>
        <v/>
      </c>
      <c r="S1208" t="n">
        <v>8.19</v>
      </c>
      <c r="T1208" s="18">
        <f>1 - V1208/S1208</f>
        <v/>
      </c>
      <c r="U1208" s="18" t="n">
        <v>0</v>
      </c>
      <c r="V1208" s="26" t="n">
        <v>8.19</v>
      </c>
      <c r="W1208" s="26">
        <f>V1208 - L1208</f>
        <v/>
      </c>
    </row>
    <row r="1209">
      <c r="A1209" s="11" t="n">
        <v>46215</v>
      </c>
      <c r="B1209" s="1" t="n">
        <v>20057</v>
      </c>
      <c r="C1209" s="1" t="inlineStr">
        <is>
          <t>032</t>
        </is>
      </c>
      <c r="D1209" s="1" t="inlineStr">
        <is>
          <t xml:space="preserve">74613 </t>
        </is>
      </c>
      <c r="E1209" s="1" t="inlineStr">
        <is>
          <t xml:space="preserve">28194770       </t>
        </is>
      </c>
      <c r="F1209" s="5" t="inlineStr">
        <is>
          <t>AUTOS DE METAL 3 TEAMSTERZ EN BLISTER</t>
        </is>
      </c>
      <c r="G1209" t="n">
        <v>1</v>
      </c>
      <c r="H1209" s="7" t="n">
        <v>6.9</v>
      </c>
      <c r="I1209" s="7" t="n">
        <v>0</v>
      </c>
      <c r="J1209" s="7" t="n">
        <v>0</v>
      </c>
      <c r="K1209" s="9" t="n">
        <v>0</v>
      </c>
      <c r="L1209" s="10" t="n">
        <v>4.1</v>
      </c>
      <c r="M1209" s="10" t="n">
        <v>1.43</v>
      </c>
      <c r="N1209" t="inlineStr">
        <is>
          <t>1</t>
        </is>
      </c>
      <c r="O1209" t="inlineStr">
        <is>
          <t>16</t>
        </is>
      </c>
      <c r="P1209" t="inlineStr">
        <is>
          <t xml:space="preserve">238606  </t>
        </is>
      </c>
      <c r="Q1209" s="26" t="n">
        <v>6.9</v>
      </c>
      <c r="R1209" s="26">
        <f>Q1209*G1209</f>
        <v/>
      </c>
      <c r="S1209" t="n">
        <v>4.09</v>
      </c>
      <c r="T1209" s="18">
        <f>1 - V1209/S1209</f>
        <v/>
      </c>
      <c r="U1209" s="18" t="n">
        <v>0</v>
      </c>
      <c r="V1209" s="26" t="n">
        <v>4.09</v>
      </c>
      <c r="W1209" s="26">
        <f>V1209 - L1209</f>
        <v/>
      </c>
    </row>
    <row r="1210">
      <c r="A1210" s="11" t="n">
        <v>46215</v>
      </c>
      <c r="B1210" s="1" t="n">
        <v>20057</v>
      </c>
      <c r="C1210" s="1" t="inlineStr">
        <is>
          <t>032</t>
        </is>
      </c>
      <c r="D1210" s="1" t="inlineStr">
        <is>
          <t xml:space="preserve">74635 </t>
        </is>
      </c>
      <c r="E1210" s="1" t="inlineStr">
        <is>
          <t xml:space="preserve">28194769       </t>
        </is>
      </c>
      <c r="F1210" s="5" t="inlineStr">
        <is>
          <t>AUTOS DE METAL 3 TEAMSTERZ PACK DE 2</t>
        </is>
      </c>
      <c r="G1210" t="n">
        <v>1</v>
      </c>
      <c r="H1210" s="7" t="n">
        <v>13.8</v>
      </c>
      <c r="I1210" s="7" t="n">
        <v>0</v>
      </c>
      <c r="J1210" s="7" t="n">
        <v>0</v>
      </c>
      <c r="K1210" s="9" t="n">
        <v>0</v>
      </c>
      <c r="L1210" s="10" t="n">
        <v>8.18</v>
      </c>
      <c r="M1210" s="10" t="n">
        <v>1.43</v>
      </c>
      <c r="N1210" t="inlineStr">
        <is>
          <t>1</t>
        </is>
      </c>
      <c r="O1210" t="inlineStr">
        <is>
          <t>16</t>
        </is>
      </c>
      <c r="P1210" t="inlineStr">
        <is>
          <t xml:space="preserve">238606  </t>
        </is>
      </c>
      <c r="Q1210" s="26" t="n">
        <v>13.8</v>
      </c>
      <c r="R1210" s="26">
        <f>Q1210*G1210</f>
        <v/>
      </c>
      <c r="S1210" t="n">
        <v>8.19</v>
      </c>
      <c r="T1210" s="18">
        <f>1 - V1210/S1210</f>
        <v/>
      </c>
      <c r="U1210" s="18" t="n">
        <v>0</v>
      </c>
      <c r="V1210" s="26" t="n">
        <v>8.19</v>
      </c>
      <c r="W1210" s="26">
        <f>V1210 - L1210</f>
        <v/>
      </c>
    </row>
    <row r="1211">
      <c r="A1211" s="11" t="n">
        <v>46215</v>
      </c>
      <c r="B1211" s="1" t="n">
        <v>20057</v>
      </c>
      <c r="C1211" s="1" t="inlineStr">
        <is>
          <t>033</t>
        </is>
      </c>
      <c r="D1211" s="1" t="inlineStr">
        <is>
          <t xml:space="preserve">66877 </t>
        </is>
      </c>
      <c r="E1211" s="1" t="inlineStr">
        <is>
          <t xml:space="preserve">28194770       </t>
        </is>
      </c>
      <c r="F1211" s="5" t="inlineStr">
        <is>
          <t>AUTOS DE METAL 3 TEAMSTERZ EN BLISTER</t>
        </is>
      </c>
      <c r="G1211" t="n">
        <v>1</v>
      </c>
      <c r="H1211" s="7" t="n">
        <v>6.9</v>
      </c>
      <c r="I1211" s="7" t="n">
        <v>0</v>
      </c>
      <c r="J1211" s="7" t="n">
        <v>0</v>
      </c>
      <c r="K1211" s="9" t="n">
        <v>0</v>
      </c>
      <c r="L1211" s="10" t="n">
        <v>4.1</v>
      </c>
      <c r="M1211" s="10" t="n">
        <v>1.43</v>
      </c>
      <c r="N1211" t="inlineStr">
        <is>
          <t>1</t>
        </is>
      </c>
      <c r="O1211" t="inlineStr">
        <is>
          <t xml:space="preserve">2 </t>
        </is>
      </c>
      <c r="P1211" t="inlineStr">
        <is>
          <t xml:space="preserve">241623  </t>
        </is>
      </c>
      <c r="Q1211" s="26" t="n">
        <v>6.9</v>
      </c>
      <c r="R1211" s="26">
        <f>Q1211*G1211</f>
        <v/>
      </c>
      <c r="S1211" t="n">
        <v>4.09</v>
      </c>
      <c r="T1211" s="18">
        <f>1 - V1211/S1211</f>
        <v/>
      </c>
      <c r="U1211" s="18" t="n">
        <v>0</v>
      </c>
      <c r="V1211" s="26" t="n">
        <v>4.09</v>
      </c>
      <c r="W1211" s="26">
        <f>V1211 - L1211</f>
        <v/>
      </c>
    </row>
    <row r="1212">
      <c r="A1212" s="11" t="n">
        <v>46215</v>
      </c>
      <c r="B1212" s="1" t="n">
        <v>20057</v>
      </c>
      <c r="C1212" s="1" t="inlineStr">
        <is>
          <t>033</t>
        </is>
      </c>
      <c r="D1212" s="1" t="inlineStr">
        <is>
          <t xml:space="preserve">66946 </t>
        </is>
      </c>
      <c r="E1212" s="1" t="inlineStr">
        <is>
          <t xml:space="preserve">29235708       </t>
        </is>
      </c>
      <c r="F1212" s="5" t="inlineStr">
        <is>
          <t>TEAMSTERZ RESCATE POR AIRE Y MAR</t>
        </is>
      </c>
      <c r="G1212" t="n">
        <v>1</v>
      </c>
      <c r="H1212" s="7" t="n">
        <v>39.9</v>
      </c>
      <c r="I1212" s="7" t="n">
        <v>0</v>
      </c>
      <c r="J1212" s="7" t="n">
        <v>0</v>
      </c>
      <c r="K1212" s="9" t="n">
        <v>0</v>
      </c>
      <c r="L1212" s="10" t="n">
        <v>23.67</v>
      </c>
      <c r="M1212" s="10" t="n">
        <v>1.43</v>
      </c>
      <c r="N1212" t="inlineStr">
        <is>
          <t>1</t>
        </is>
      </c>
      <c r="O1212" t="inlineStr">
        <is>
          <t xml:space="preserve">2 </t>
        </is>
      </c>
      <c r="P1212" t="inlineStr">
        <is>
          <t xml:space="preserve">241623  </t>
        </is>
      </c>
      <c r="Q1212" s="26" t="n">
        <v>39.9</v>
      </c>
      <c r="R1212" s="26">
        <f>Q1212*G1212</f>
        <v/>
      </c>
      <c r="S1212" t="n">
        <v>23.67</v>
      </c>
      <c r="T1212" s="18">
        <f>1 - V1212/S1212</f>
        <v/>
      </c>
      <c r="U1212" s="18" t="n">
        <v>0</v>
      </c>
      <c r="V1212" s="26" t="n">
        <v>23.67</v>
      </c>
      <c r="W1212" s="26">
        <f>V1212 - L1212</f>
        <v/>
      </c>
    </row>
    <row r="1213">
      <c r="A1213" s="11" t="n">
        <v>46215</v>
      </c>
      <c r="B1213" s="1" t="n">
        <v>20057</v>
      </c>
      <c r="C1213" s="1" t="inlineStr">
        <is>
          <t>037</t>
        </is>
      </c>
      <c r="D1213" s="1" t="inlineStr">
        <is>
          <t xml:space="preserve">4467  </t>
        </is>
      </c>
      <c r="E1213" s="1" t="inlineStr">
        <is>
          <t xml:space="preserve">28194770       </t>
        </is>
      </c>
      <c r="F1213" s="5" t="inlineStr">
        <is>
          <t>AUTOS DE METAL 3 TEAMSTERZ EN BLISTER</t>
        </is>
      </c>
      <c r="G1213" t="n">
        <v>1</v>
      </c>
      <c r="H1213" s="7" t="n">
        <v>6.9</v>
      </c>
      <c r="I1213" s="7" t="n">
        <v>0</v>
      </c>
      <c r="J1213" s="7" t="n">
        <v>0</v>
      </c>
      <c r="K1213" s="9" t="n">
        <v>0</v>
      </c>
      <c r="L1213" s="10" t="n">
        <v>4.1</v>
      </c>
      <c r="M1213" s="10" t="n">
        <v>1.43</v>
      </c>
      <c r="N1213" t="inlineStr">
        <is>
          <t>1</t>
        </is>
      </c>
      <c r="O1213" t="inlineStr">
        <is>
          <t>16</t>
        </is>
      </c>
      <c r="P1213" t="inlineStr">
        <is>
          <t xml:space="preserve">235719  </t>
        </is>
      </c>
      <c r="Q1213" s="26" t="n">
        <v>6.9</v>
      </c>
      <c r="R1213" s="26">
        <f>Q1213*G1213</f>
        <v/>
      </c>
      <c r="S1213" t="n">
        <v>4.09</v>
      </c>
      <c r="T1213" s="18">
        <f>1 - V1213/S1213</f>
        <v/>
      </c>
      <c r="U1213" s="18" t="n">
        <v>0</v>
      </c>
      <c r="V1213" s="26" t="n">
        <v>4.09</v>
      </c>
      <c r="W1213" s="26">
        <f>V1213 - L1213</f>
        <v/>
      </c>
    </row>
    <row r="1214">
      <c r="A1214" s="11" t="n">
        <v>46215</v>
      </c>
      <c r="B1214" s="1" t="n">
        <v>20057</v>
      </c>
      <c r="C1214" s="1" t="inlineStr">
        <is>
          <t>861</t>
        </is>
      </c>
      <c r="D1214" s="1" t="inlineStr">
        <is>
          <t xml:space="preserve">752   </t>
        </is>
      </c>
      <c r="E1214" s="1" t="inlineStr">
        <is>
          <t xml:space="preserve">30141769       </t>
        </is>
      </c>
      <c r="F1214" s="5" t="inlineStr">
        <is>
          <t>TMZ BEAST MACHINES TRANSPORTE DINOSAURIO + 3 AUTOS</t>
        </is>
      </c>
      <c r="G1214" t="n">
        <v>1</v>
      </c>
      <c r="H1214" s="7" t="n">
        <v>79.90000000000001</v>
      </c>
      <c r="I1214" s="7" t="n">
        <v>0</v>
      </c>
      <c r="J1214" s="7" t="n">
        <v>0</v>
      </c>
      <c r="K1214" s="9" t="n">
        <v>0</v>
      </c>
      <c r="L1214" s="10" t="n">
        <v>47.4</v>
      </c>
      <c r="M1214" s="10" t="n">
        <v>1.43</v>
      </c>
      <c r="N1214" t="inlineStr">
        <is>
          <t>1</t>
        </is>
      </c>
      <c r="O1214" t="inlineStr">
        <is>
          <t>16</t>
        </is>
      </c>
      <c r="P1214" t="inlineStr">
        <is>
          <t xml:space="preserve">0       </t>
        </is>
      </c>
      <c r="Q1214" s="26" t="n">
        <v>79.90000000000001</v>
      </c>
      <c r="R1214" s="26">
        <f>Q1214*G1214</f>
        <v/>
      </c>
      <c r="S1214" t="n">
        <v>47.4</v>
      </c>
      <c r="T1214" s="18">
        <f>1 - V1214/S1214</f>
        <v/>
      </c>
      <c r="U1214" s="18" t="n">
        <v>0.2503128911138924</v>
      </c>
      <c r="V1214" s="26" t="n">
        <v>38.07203389830509</v>
      </c>
      <c r="W1214" s="26">
        <f>V1214 - L1214</f>
        <v/>
      </c>
    </row>
    <row r="1215">
      <c r="A1215" s="11" t="n">
        <v>46215</v>
      </c>
      <c r="B1215" s="1" t="n">
        <v>20057</v>
      </c>
      <c r="C1215" s="1" t="inlineStr">
        <is>
          <t>862</t>
        </is>
      </c>
      <c r="D1215" s="1" t="inlineStr">
        <is>
          <t xml:space="preserve">7913  </t>
        </is>
      </c>
      <c r="E1215" s="1" t="inlineStr">
        <is>
          <t xml:space="preserve">29235708       </t>
        </is>
      </c>
      <c r="F1215" s="5" t="inlineStr">
        <is>
          <t>TEAMSTERZ RESCATE POR AIRE Y MAR</t>
        </is>
      </c>
      <c r="G1215" t="n">
        <v>1</v>
      </c>
      <c r="H1215" s="7" t="n">
        <v>39.9</v>
      </c>
      <c r="I1215" s="7" t="n">
        <v>0</v>
      </c>
      <c r="J1215" s="7" t="n">
        <v>0</v>
      </c>
      <c r="K1215" s="9" t="n">
        <v>0</v>
      </c>
      <c r="L1215" s="10" t="n">
        <v>23.67</v>
      </c>
      <c r="M1215" s="10" t="n">
        <v>1.43</v>
      </c>
      <c r="N1215" t="inlineStr">
        <is>
          <t>1</t>
        </is>
      </c>
      <c r="O1215" t="inlineStr">
        <is>
          <t>16</t>
        </is>
      </c>
      <c r="P1215" t="inlineStr">
        <is>
          <t xml:space="preserve">0       </t>
        </is>
      </c>
      <c r="Q1215" s="26" t="n">
        <v>39.9</v>
      </c>
      <c r="R1215" s="26">
        <f>Q1215*G1215</f>
        <v/>
      </c>
      <c r="S1215" t="n">
        <v>23.67</v>
      </c>
      <c r="T1215" s="18">
        <f>1 - V1215/S1215</f>
        <v/>
      </c>
      <c r="U1215" s="18" t="n">
        <v>0</v>
      </c>
      <c r="V1215" s="26" t="n">
        <v>23.67</v>
      </c>
      <c r="W1215" s="26">
        <f>V1215 - L1215</f>
        <v/>
      </c>
    </row>
    <row r="1216">
      <c r="A1216" s="11" t="n">
        <v>46215</v>
      </c>
      <c r="B1216" s="1" t="n">
        <v>20057</v>
      </c>
      <c r="C1216" s="1" t="inlineStr">
        <is>
          <t>862</t>
        </is>
      </c>
      <c r="D1216" s="1" t="inlineStr">
        <is>
          <t xml:space="preserve">7913  </t>
        </is>
      </c>
      <c r="E1216" s="1" t="inlineStr">
        <is>
          <t xml:space="preserve">32457099       </t>
        </is>
      </c>
      <c r="F1216" s="5" t="inlineStr">
        <is>
          <t>TMZ BEAST MACHINES MONSTER JAWS A FRICCION BLISTER</t>
        </is>
      </c>
      <c r="G1216" t="n">
        <v>1</v>
      </c>
      <c r="H1216" s="7" t="n">
        <v>19.9</v>
      </c>
      <c r="I1216" s="7" t="n">
        <v>0</v>
      </c>
      <c r="J1216" s="7" t="n">
        <v>0</v>
      </c>
      <c r="K1216" s="9" t="n">
        <v>0</v>
      </c>
      <c r="L1216" s="10" t="n">
        <v>11.8</v>
      </c>
      <c r="M1216" s="10" t="n">
        <v>1.43</v>
      </c>
      <c r="N1216" t="inlineStr">
        <is>
          <t>1</t>
        </is>
      </c>
      <c r="O1216" t="inlineStr">
        <is>
          <t>16</t>
        </is>
      </c>
      <c r="P1216" t="inlineStr">
        <is>
          <t xml:space="preserve">0       </t>
        </is>
      </c>
      <c r="Q1216" s="26" t="n">
        <v>19.9</v>
      </c>
      <c r="R1216" s="26">
        <f>Q1216*G1216</f>
        <v/>
      </c>
      <c r="S1216" t="n">
        <v>11.81</v>
      </c>
      <c r="T1216" s="18">
        <f>1 - V1216/S1216</f>
        <v/>
      </c>
      <c r="U1216" s="18" t="n">
        <v>0.1005025125628141</v>
      </c>
      <c r="V1216" s="26" t="n">
        <v>8.417118644067797</v>
      </c>
      <c r="W1216" s="26">
        <f>V1216 - L1216</f>
        <v/>
      </c>
    </row>
    <row r="1217">
      <c r="A1217" s="11" t="n">
        <v>46215</v>
      </c>
      <c r="B1217" s="1" t="n">
        <v>20058</v>
      </c>
      <c r="C1217" s="1" t="inlineStr">
        <is>
          <t>011</t>
        </is>
      </c>
      <c r="D1217" s="1" t="inlineStr">
        <is>
          <t>185491</t>
        </is>
      </c>
      <c r="E1217" s="1" t="inlineStr">
        <is>
          <t xml:space="preserve">30141766       </t>
        </is>
      </c>
      <c r="F1217" s="5" t="inlineStr">
        <is>
          <t>TMZ BEAST MACHINES AUTOS DE METAL BLISTER X 1</t>
        </is>
      </c>
      <c r="G1217" t="n">
        <v>1</v>
      </c>
      <c r="H1217" s="7" t="n">
        <v>7.9</v>
      </c>
      <c r="I1217" s="7" t="n">
        <v>0</v>
      </c>
      <c r="J1217" s="7" t="n">
        <v>0</v>
      </c>
      <c r="K1217" s="9" t="n">
        <v>0</v>
      </c>
      <c r="L1217" s="10" t="n">
        <v>4.68</v>
      </c>
      <c r="M1217" s="10" t="n">
        <v>1.43</v>
      </c>
      <c r="N1217" t="inlineStr">
        <is>
          <t>1</t>
        </is>
      </c>
      <c r="O1217" t="inlineStr">
        <is>
          <t xml:space="preserve">2 </t>
        </is>
      </c>
      <c r="P1217" t="inlineStr">
        <is>
          <t xml:space="preserve">244733  </t>
        </is>
      </c>
      <c r="Q1217" s="26" t="n">
        <v>7.9</v>
      </c>
      <c r="R1217" s="26">
        <f>Q1217*G1217</f>
        <v/>
      </c>
      <c r="S1217" t="n">
        <v>4.69</v>
      </c>
      <c r="T1217" s="18">
        <f>1 - V1217/S1217</f>
        <v/>
      </c>
      <c r="U1217" s="18" t="n">
        <v>0</v>
      </c>
      <c r="V1217" s="26" t="n">
        <v>4.69</v>
      </c>
      <c r="W1217" s="26">
        <f>V1217 - L1217</f>
        <v/>
      </c>
    </row>
    <row r="1218">
      <c r="A1218" s="11" t="n">
        <v>46215</v>
      </c>
      <c r="B1218" s="1" t="n">
        <v>20058</v>
      </c>
      <c r="C1218" s="1" t="inlineStr">
        <is>
          <t>017</t>
        </is>
      </c>
      <c r="D1218" s="1" t="inlineStr">
        <is>
          <t>181969</t>
        </is>
      </c>
      <c r="E1218" s="1" t="inlineStr">
        <is>
          <t xml:space="preserve">28194770       </t>
        </is>
      </c>
      <c r="F1218" s="5" t="inlineStr">
        <is>
          <t>AUTOS DE METAL 3 TEAMSTERZ EN BLISTER</t>
        </is>
      </c>
      <c r="G1218" t="n">
        <v>1</v>
      </c>
      <c r="H1218" s="7" t="n">
        <v>6.9</v>
      </c>
      <c r="I1218" s="7" t="n">
        <v>0</v>
      </c>
      <c r="J1218" s="7" t="n">
        <v>0</v>
      </c>
      <c r="K1218" s="9" t="n">
        <v>0</v>
      </c>
      <c r="L1218" s="10" t="n">
        <v>4.1</v>
      </c>
      <c r="M1218" s="10" t="n">
        <v>1.43</v>
      </c>
      <c r="N1218" t="inlineStr">
        <is>
          <t>1</t>
        </is>
      </c>
      <c r="O1218" t="inlineStr">
        <is>
          <t>16</t>
        </is>
      </c>
      <c r="P1218" t="inlineStr">
        <is>
          <t xml:space="preserve">251348  </t>
        </is>
      </c>
      <c r="Q1218" s="26" t="n">
        <v>6.9</v>
      </c>
      <c r="R1218" s="26">
        <f>Q1218*G1218</f>
        <v/>
      </c>
      <c r="S1218" t="n">
        <v>4.09</v>
      </c>
      <c r="T1218" s="18">
        <f>1 - V1218/S1218</f>
        <v/>
      </c>
      <c r="U1218" s="18" t="n">
        <v>0</v>
      </c>
      <c r="V1218" s="26" t="n">
        <v>4.09</v>
      </c>
      <c r="W1218" s="26">
        <f>V1218 - L1218</f>
        <v/>
      </c>
    </row>
    <row r="1219">
      <c r="A1219" s="11" t="n">
        <v>46215</v>
      </c>
      <c r="B1219" s="1" t="n">
        <v>20058</v>
      </c>
      <c r="C1219" s="1" t="inlineStr">
        <is>
          <t>031</t>
        </is>
      </c>
      <c r="D1219" s="1" t="inlineStr">
        <is>
          <t>179185</t>
        </is>
      </c>
      <c r="E1219" s="1" t="inlineStr">
        <is>
          <t xml:space="preserve">32457099       </t>
        </is>
      </c>
      <c r="F1219" s="5" t="inlineStr">
        <is>
          <t>TMZ BEAST MACHINES MONSTER JAWS A FRICCION BLISTER</t>
        </is>
      </c>
      <c r="G1219" t="n">
        <v>1</v>
      </c>
      <c r="H1219" s="7" t="n">
        <v>19.9</v>
      </c>
      <c r="I1219" s="7" t="n">
        <v>0</v>
      </c>
      <c r="J1219" s="7" t="n">
        <v>0</v>
      </c>
      <c r="K1219" s="9" t="n">
        <v>0</v>
      </c>
      <c r="L1219" s="10" t="n">
        <v>11.8</v>
      </c>
      <c r="M1219" s="10" t="n">
        <v>1.43</v>
      </c>
      <c r="N1219" t="inlineStr">
        <is>
          <t>1</t>
        </is>
      </c>
      <c r="O1219" t="inlineStr">
        <is>
          <t xml:space="preserve">6 </t>
        </is>
      </c>
      <c r="P1219" t="inlineStr">
        <is>
          <t xml:space="preserve">242648  </t>
        </is>
      </c>
      <c r="Q1219" s="26" t="n">
        <v>19.9</v>
      </c>
      <c r="R1219" s="26">
        <f>Q1219*G1219</f>
        <v/>
      </c>
      <c r="S1219" t="n">
        <v>11.81</v>
      </c>
      <c r="T1219" s="18">
        <f>1 - V1219/S1219</f>
        <v/>
      </c>
      <c r="U1219" s="18" t="n">
        <v>0.1005025125628141</v>
      </c>
      <c r="V1219" s="26" t="n">
        <v>8.417118644067797</v>
      </c>
      <c r="W1219" s="26">
        <f>V1219 - L1219</f>
        <v/>
      </c>
    </row>
    <row r="1220">
      <c r="A1220" s="11" t="n">
        <v>46215</v>
      </c>
      <c r="B1220" s="1" t="n">
        <v>20058</v>
      </c>
      <c r="C1220" s="1" t="inlineStr">
        <is>
          <t>038</t>
        </is>
      </c>
      <c r="D1220" s="1" t="inlineStr">
        <is>
          <t>209135</t>
        </is>
      </c>
      <c r="E1220" s="1" t="inlineStr">
        <is>
          <t xml:space="preserve">32457099       </t>
        </is>
      </c>
      <c r="F1220" s="5" t="inlineStr">
        <is>
          <t>TMZ BEAST MACHINES MONSTER JAWS A FRICCION BLISTER</t>
        </is>
      </c>
      <c r="G1220" t="n">
        <v>1</v>
      </c>
      <c r="H1220" s="7" t="n">
        <v>19.9</v>
      </c>
      <c r="I1220" s="7" t="n">
        <v>0</v>
      </c>
      <c r="J1220" s="7" t="n">
        <v>0</v>
      </c>
      <c r="K1220" s="9" t="n">
        <v>0</v>
      </c>
      <c r="L1220" s="10" t="n">
        <v>11.8</v>
      </c>
      <c r="M1220" s="10" t="n">
        <v>1.43</v>
      </c>
      <c r="N1220" t="inlineStr">
        <is>
          <t>1</t>
        </is>
      </c>
      <c r="O1220" t="inlineStr">
        <is>
          <t>16</t>
        </is>
      </c>
      <c r="P1220" t="inlineStr">
        <is>
          <t xml:space="preserve">90737   </t>
        </is>
      </c>
      <c r="Q1220" s="26" t="n">
        <v>19.9</v>
      </c>
      <c r="R1220" s="26">
        <f>Q1220*G1220</f>
        <v/>
      </c>
      <c r="S1220" t="n">
        <v>11.81</v>
      </c>
      <c r="T1220" s="18">
        <f>1 - V1220/S1220</f>
        <v/>
      </c>
      <c r="U1220" s="18" t="n">
        <v>0.1005025125628141</v>
      </c>
      <c r="V1220" s="26" t="n">
        <v>8.417118644067797</v>
      </c>
      <c r="W1220" s="26">
        <f>V1220 - L1220</f>
        <v/>
      </c>
    </row>
    <row r="1221">
      <c r="A1221" s="11" t="n">
        <v>46215</v>
      </c>
      <c r="B1221" s="1" t="n">
        <v>20058</v>
      </c>
      <c r="C1221" s="1" t="inlineStr">
        <is>
          <t>038</t>
        </is>
      </c>
      <c r="D1221" s="1" t="inlineStr">
        <is>
          <t>209144</t>
        </is>
      </c>
      <c r="E1221" s="1" t="inlineStr">
        <is>
          <t xml:space="preserve">30141766       </t>
        </is>
      </c>
      <c r="F1221" s="5" t="inlineStr">
        <is>
          <t>TMZ BEAST MACHINES AUTOS DE METAL BLISTER X 1</t>
        </is>
      </c>
      <c r="G1221" t="n">
        <v>1</v>
      </c>
      <c r="H1221" s="7" t="n">
        <v>7.9</v>
      </c>
      <c r="I1221" s="7" t="n">
        <v>0</v>
      </c>
      <c r="J1221" s="7" t="n">
        <v>0</v>
      </c>
      <c r="K1221" s="9" t="n">
        <v>0</v>
      </c>
      <c r="L1221" s="10" t="n">
        <v>4.68</v>
      </c>
      <c r="M1221" s="10" t="n">
        <v>1.43</v>
      </c>
      <c r="N1221" t="inlineStr">
        <is>
          <t>1</t>
        </is>
      </c>
      <c r="O1221" t="inlineStr">
        <is>
          <t>16</t>
        </is>
      </c>
      <c r="P1221" t="inlineStr">
        <is>
          <t xml:space="preserve">90737   </t>
        </is>
      </c>
      <c r="Q1221" s="26" t="n">
        <v>7.9</v>
      </c>
      <c r="R1221" s="26">
        <f>Q1221*G1221</f>
        <v/>
      </c>
      <c r="S1221" t="n">
        <v>4.69</v>
      </c>
      <c r="T1221" s="18">
        <f>1 - V1221/S1221</f>
        <v/>
      </c>
      <c r="U1221" s="18" t="n">
        <v>0</v>
      </c>
      <c r="V1221" s="26" t="n">
        <v>4.69</v>
      </c>
      <c r="W1221" s="26">
        <f>V1221 - L1221</f>
        <v/>
      </c>
    </row>
    <row r="1222">
      <c r="A1222" s="11" t="n">
        <v>46215</v>
      </c>
      <c r="B1222" s="1" t="n">
        <v>20058</v>
      </c>
      <c r="C1222" s="1" t="inlineStr">
        <is>
          <t>039</t>
        </is>
      </c>
      <c r="D1222" s="1" t="inlineStr">
        <is>
          <t>230355</t>
        </is>
      </c>
      <c r="E1222" s="1" t="inlineStr">
        <is>
          <t xml:space="preserve">31959958       </t>
        </is>
      </c>
      <c r="F1222" s="5" t="inlineStr">
        <is>
          <t>TMZ BEAST MACHINE AUTOS DE METAL PACK 3 AUTOS</t>
        </is>
      </c>
      <c r="G1222" t="n">
        <v>1</v>
      </c>
      <c r="H1222" s="7" t="n">
        <v>23.7</v>
      </c>
      <c r="I1222" s="7" t="n">
        <v>0</v>
      </c>
      <c r="J1222" s="7" t="n">
        <v>0</v>
      </c>
      <c r="K1222" s="9" t="n">
        <v>0</v>
      </c>
      <c r="L1222" s="10" t="n">
        <v>14.06</v>
      </c>
      <c r="M1222" s="10" t="n">
        <v>1.43</v>
      </c>
      <c r="N1222" t="inlineStr">
        <is>
          <t>1</t>
        </is>
      </c>
      <c r="O1222" t="inlineStr">
        <is>
          <t xml:space="preserve">2 </t>
        </is>
      </c>
      <c r="P1222" t="inlineStr">
        <is>
          <t xml:space="preserve">236703  </t>
        </is>
      </c>
      <c r="Q1222" s="26" t="n">
        <v>23.7</v>
      </c>
      <c r="R1222" s="26">
        <f>Q1222*G1222</f>
        <v/>
      </c>
      <c r="S1222" t="n">
        <v>14.06</v>
      </c>
      <c r="T1222" s="18">
        <f>1 - V1222/S1222</f>
        <v/>
      </c>
      <c r="U1222" s="18" t="n">
        <v>0</v>
      </c>
      <c r="V1222" s="26" t="n">
        <v>14.06</v>
      </c>
      <c r="W1222" s="26">
        <f>V1222 - L1222</f>
        <v/>
      </c>
    </row>
    <row r="1223">
      <c r="A1223" s="11" t="n">
        <v>46215</v>
      </c>
      <c r="B1223" s="1" t="n">
        <v>20058</v>
      </c>
      <c r="C1223" s="1" t="inlineStr">
        <is>
          <t>039</t>
        </is>
      </c>
      <c r="D1223" s="1" t="inlineStr">
        <is>
          <t>230365</t>
        </is>
      </c>
      <c r="E1223" s="1" t="inlineStr">
        <is>
          <t xml:space="preserve">28194780       </t>
        </is>
      </c>
      <c r="F1223" s="5" t="inlineStr">
        <is>
          <t>TROMPO BATALLA INFINITY NADO PLSTICO SURTIDO</t>
        </is>
      </c>
      <c r="G1223" t="n">
        <v>1</v>
      </c>
      <c r="H1223" s="7" t="n">
        <v>19.9</v>
      </c>
      <c r="I1223" s="7" t="n">
        <v>0</v>
      </c>
      <c r="J1223" s="7" t="n">
        <v>0</v>
      </c>
      <c r="K1223" s="9" t="n">
        <v>0</v>
      </c>
      <c r="L1223" s="10" t="n">
        <v>11.8</v>
      </c>
      <c r="M1223" s="10" t="n">
        <v>1.43</v>
      </c>
      <c r="N1223" t="inlineStr">
        <is>
          <t>1</t>
        </is>
      </c>
      <c r="O1223" t="inlineStr">
        <is>
          <t>16</t>
        </is>
      </c>
      <c r="P1223" t="inlineStr">
        <is>
          <t xml:space="preserve">236703  </t>
        </is>
      </c>
      <c r="Q1223" s="26" t="n">
        <v>19.9</v>
      </c>
      <c r="R1223" s="26">
        <f>Q1223*G1223</f>
        <v/>
      </c>
      <c r="S1223" t="n">
        <v>11.81</v>
      </c>
      <c r="T1223" s="18">
        <f>1 - V1223/S1223</f>
        <v/>
      </c>
      <c r="U1223" s="18" t="n">
        <v>0</v>
      </c>
      <c r="V1223" s="26" t="n">
        <v>11.81</v>
      </c>
      <c r="W1223" s="26">
        <f>V1223 - L1223</f>
        <v/>
      </c>
    </row>
    <row r="1224">
      <c r="A1224" s="11" t="n">
        <v>46215</v>
      </c>
      <c r="B1224" s="1" t="n">
        <v>20058</v>
      </c>
      <c r="C1224" s="1" t="inlineStr">
        <is>
          <t>039</t>
        </is>
      </c>
      <c r="D1224" s="1" t="inlineStr">
        <is>
          <t>230449</t>
        </is>
      </c>
      <c r="E1224" s="1" t="inlineStr">
        <is>
          <t xml:space="preserve">28194769       </t>
        </is>
      </c>
      <c r="F1224" s="5" t="inlineStr">
        <is>
          <t>AUTOS DE METAL 3 TEAMSTERZ PACK DE 2</t>
        </is>
      </c>
      <c r="G1224" t="n">
        <v>1</v>
      </c>
      <c r="H1224" s="7" t="n">
        <v>13.8</v>
      </c>
      <c r="I1224" s="7" t="n">
        <v>0</v>
      </c>
      <c r="J1224" s="7" t="n">
        <v>0</v>
      </c>
      <c r="K1224" s="9" t="n">
        <v>0</v>
      </c>
      <c r="L1224" s="10" t="n">
        <v>8.18</v>
      </c>
      <c r="M1224" s="10" t="n">
        <v>1.43</v>
      </c>
      <c r="N1224" t="inlineStr">
        <is>
          <t>1</t>
        </is>
      </c>
      <c r="O1224" t="inlineStr">
        <is>
          <t xml:space="preserve">2 </t>
        </is>
      </c>
      <c r="P1224" t="inlineStr">
        <is>
          <t xml:space="preserve">92832   </t>
        </is>
      </c>
      <c r="Q1224" s="26" t="n">
        <v>13.8</v>
      </c>
      <c r="R1224" s="26">
        <f>Q1224*G1224</f>
        <v/>
      </c>
      <c r="S1224" t="n">
        <v>8.19</v>
      </c>
      <c r="T1224" s="18">
        <f>1 - V1224/S1224</f>
        <v/>
      </c>
      <c r="U1224" s="18" t="n">
        <v>0</v>
      </c>
      <c r="V1224" s="26" t="n">
        <v>8.19</v>
      </c>
      <c r="W1224" s="26">
        <f>V1224 - L1224</f>
        <v/>
      </c>
    </row>
    <row r="1225">
      <c r="A1225" s="11" t="n">
        <v>46215</v>
      </c>
      <c r="B1225" s="1" t="n">
        <v>20058</v>
      </c>
      <c r="C1225" s="1" t="inlineStr">
        <is>
          <t>197</t>
        </is>
      </c>
      <c r="D1225" s="1" t="inlineStr">
        <is>
          <t>170020</t>
        </is>
      </c>
      <c r="E1225" s="1" t="inlineStr">
        <is>
          <t xml:space="preserve">28194770       </t>
        </is>
      </c>
      <c r="F1225" s="5" t="inlineStr">
        <is>
          <t>AUTOS DE METAL 3 TEAMSTERZ EN BLISTER</t>
        </is>
      </c>
      <c r="G1225" t="n">
        <v>1</v>
      </c>
      <c r="H1225" s="7" t="n">
        <v>6.9</v>
      </c>
      <c r="I1225" s="7" t="n">
        <v>0.6899999999999999</v>
      </c>
      <c r="J1225" s="7" t="n">
        <v>0</v>
      </c>
      <c r="K1225" s="9" t="n">
        <v>0.6899999999999999</v>
      </c>
      <c r="L1225" s="10" t="n">
        <v>3.68</v>
      </c>
      <c r="M1225" s="10" t="n">
        <v>1.43</v>
      </c>
      <c r="N1225" t="inlineStr">
        <is>
          <t>1</t>
        </is>
      </c>
      <c r="O1225" t="inlineStr">
        <is>
          <t xml:space="preserve">3 </t>
        </is>
      </c>
      <c r="P1225" t="inlineStr">
        <is>
          <t xml:space="preserve">244700  </t>
        </is>
      </c>
      <c r="Q1225" s="26" t="n">
        <v>6.9</v>
      </c>
      <c r="R1225" s="26">
        <f>Q1225*G1225</f>
        <v/>
      </c>
      <c r="S1225" t="n">
        <v>4.09</v>
      </c>
      <c r="T1225" s="18">
        <f>1 - V1225/S1225</f>
        <v/>
      </c>
      <c r="U1225" s="18" t="n">
        <v>0</v>
      </c>
      <c r="V1225" s="26" t="n">
        <v>4.09</v>
      </c>
      <c r="W1225" s="26">
        <f>V1225 - L1225</f>
        <v/>
      </c>
    </row>
    <row r="1226">
      <c r="A1226" s="11" t="n">
        <v>46215</v>
      </c>
      <c r="B1226" s="1" t="n">
        <v>20058</v>
      </c>
      <c r="C1226" s="1" t="inlineStr">
        <is>
          <t>197</t>
        </is>
      </c>
      <c r="D1226" s="1" t="inlineStr">
        <is>
          <t>170020</t>
        </is>
      </c>
      <c r="E1226" s="1" t="inlineStr">
        <is>
          <t xml:space="preserve">28194770       </t>
        </is>
      </c>
      <c r="F1226" s="5" t="inlineStr">
        <is>
          <t>AUTOS DE METAL 3 TEAMSTERZ EN BLISTER</t>
        </is>
      </c>
      <c r="G1226" t="n">
        <v>1</v>
      </c>
      <c r="H1226" s="7" t="n">
        <v>6.9</v>
      </c>
      <c r="I1226" s="7" t="n">
        <v>0.6899999999999999</v>
      </c>
      <c r="J1226" s="7" t="n">
        <v>0</v>
      </c>
      <c r="K1226" s="9" t="n">
        <v>0.6899999999999999</v>
      </c>
      <c r="L1226" s="10" t="n">
        <v>3.68</v>
      </c>
      <c r="M1226" s="10" t="n">
        <v>1.43</v>
      </c>
      <c r="N1226" t="inlineStr">
        <is>
          <t>1</t>
        </is>
      </c>
      <c r="O1226" t="inlineStr">
        <is>
          <t xml:space="preserve">3 </t>
        </is>
      </c>
      <c r="P1226" t="inlineStr">
        <is>
          <t xml:space="preserve">244700  </t>
        </is>
      </c>
      <c r="Q1226" s="26" t="n">
        <v>6.9</v>
      </c>
      <c r="R1226" s="26">
        <f>Q1226*G1226</f>
        <v/>
      </c>
      <c r="S1226" t="n">
        <v>4.09</v>
      </c>
      <c r="T1226" s="18">
        <f>1 - V1226/S1226</f>
        <v/>
      </c>
      <c r="U1226" s="18" t="n">
        <v>0</v>
      </c>
      <c r="V1226" s="26" t="n">
        <v>4.09</v>
      </c>
      <c r="W1226" s="26">
        <f>V1226 - L1226</f>
        <v/>
      </c>
    </row>
    <row r="1227">
      <c r="A1227" s="11" t="n">
        <v>46215</v>
      </c>
      <c r="B1227" s="1" t="n">
        <v>20058</v>
      </c>
      <c r="C1227" s="1" t="inlineStr">
        <is>
          <t>197</t>
        </is>
      </c>
      <c r="D1227" s="1" t="inlineStr">
        <is>
          <t>170035</t>
        </is>
      </c>
      <c r="E1227" s="1" t="inlineStr">
        <is>
          <t xml:space="preserve">28194770       </t>
        </is>
      </c>
      <c r="F1227" s="5" t="inlineStr">
        <is>
          <t>AUTOS DE METAL 3 TEAMSTERZ EN BLISTER</t>
        </is>
      </c>
      <c r="G1227" t="n">
        <v>1</v>
      </c>
      <c r="H1227" s="7" t="n">
        <v>6.9</v>
      </c>
      <c r="I1227" s="7" t="n">
        <v>0</v>
      </c>
      <c r="J1227" s="7" t="n">
        <v>0</v>
      </c>
      <c r="K1227" s="9" t="n">
        <v>0</v>
      </c>
      <c r="L1227" s="10" t="n">
        <v>4.1</v>
      </c>
      <c r="M1227" s="10" t="n">
        <v>1.43</v>
      </c>
      <c r="N1227" t="inlineStr">
        <is>
          <t>1</t>
        </is>
      </c>
      <c r="O1227" t="inlineStr">
        <is>
          <t>16</t>
        </is>
      </c>
      <c r="P1227" t="inlineStr">
        <is>
          <t xml:space="preserve">244700  </t>
        </is>
      </c>
      <c r="Q1227" s="26" t="n">
        <v>6.9</v>
      </c>
      <c r="R1227" s="26">
        <f>Q1227*G1227</f>
        <v/>
      </c>
      <c r="S1227" t="n">
        <v>4.09</v>
      </c>
      <c r="T1227" s="18">
        <f>1 - V1227/S1227</f>
        <v/>
      </c>
      <c r="U1227" s="18" t="n">
        <v>0</v>
      </c>
      <c r="V1227" s="26" t="n">
        <v>4.09</v>
      </c>
      <c r="W1227" s="26">
        <f>V1227 - L1227</f>
        <v/>
      </c>
    </row>
    <row r="1228">
      <c r="A1228" s="11" t="n">
        <v>46215</v>
      </c>
      <c r="B1228" s="1" t="n">
        <v>20058</v>
      </c>
      <c r="C1228" s="1" t="inlineStr">
        <is>
          <t>609</t>
        </is>
      </c>
      <c r="D1228" s="1" t="inlineStr">
        <is>
          <t xml:space="preserve">1012  </t>
        </is>
      </c>
      <c r="E1228" s="1" t="inlineStr">
        <is>
          <t xml:space="preserve">34840552       </t>
        </is>
      </c>
      <c r="F1228" s="5" t="inlineStr">
        <is>
          <t>TMZ HELI POLICIA CON LUCES Y SONIDOS</t>
        </is>
      </c>
      <c r="G1228" t="n">
        <v>1</v>
      </c>
      <c r="H1228" s="7" t="n">
        <v>79.90000000000001</v>
      </c>
      <c r="I1228" s="7" t="n">
        <v>7.99</v>
      </c>
      <c r="J1228" s="7" t="n">
        <v>0</v>
      </c>
      <c r="K1228" s="9" t="n">
        <v>7.99</v>
      </c>
      <c r="L1228" s="10" t="n">
        <v>42.66</v>
      </c>
      <c r="M1228" s="10" t="n">
        <v>1.43</v>
      </c>
      <c r="N1228" t="inlineStr">
        <is>
          <t>1</t>
        </is>
      </c>
      <c r="O1228" t="inlineStr">
        <is>
          <t>16</t>
        </is>
      </c>
      <c r="P1228" t="inlineStr">
        <is>
          <t xml:space="preserve">243275  </t>
        </is>
      </c>
      <c r="Q1228" s="26" t="n">
        <v>79.90000000000002</v>
      </c>
      <c r="R1228" s="26">
        <f>Q1228*G1228</f>
        <v/>
      </c>
      <c r="S1228" t="n">
        <v>47.4</v>
      </c>
      <c r="T1228" s="18">
        <f>1 - V1228/S1228</f>
        <v/>
      </c>
      <c r="U1228" s="18" t="n">
        <v>0</v>
      </c>
      <c r="V1228" s="26" t="n">
        <v>47.4</v>
      </c>
      <c r="W1228" s="26">
        <f>V1228 - L1228</f>
        <v/>
      </c>
    </row>
    <row r="1229">
      <c r="A1229" s="11" t="n">
        <v>46215</v>
      </c>
      <c r="B1229" s="1" t="n">
        <v>20058</v>
      </c>
      <c r="C1229" s="1" t="inlineStr">
        <is>
          <t>803</t>
        </is>
      </c>
      <c r="D1229" s="1" t="inlineStr">
        <is>
          <t xml:space="preserve">1756  </t>
        </is>
      </c>
      <c r="E1229" s="1" t="inlineStr">
        <is>
          <t xml:space="preserve">32457099       </t>
        </is>
      </c>
      <c r="F1229" s="5" t="inlineStr">
        <is>
          <t>TMZ BEAST MACHINES MONSTER JAWS A FRICCION BLISTER</t>
        </is>
      </c>
      <c r="G1229" t="n">
        <v>1</v>
      </c>
      <c r="H1229" s="7" t="n">
        <v>19.9</v>
      </c>
      <c r="I1229" s="7" t="n">
        <v>0</v>
      </c>
      <c r="J1229" s="7" t="n">
        <v>0</v>
      </c>
      <c r="K1229" s="9" t="n">
        <v>0</v>
      </c>
      <c r="L1229" s="10" t="n">
        <v>11.8</v>
      </c>
      <c r="M1229" s="10" t="n">
        <v>1.43</v>
      </c>
      <c r="N1229" t="inlineStr">
        <is>
          <t>1</t>
        </is>
      </c>
      <c r="O1229" t="inlineStr">
        <is>
          <t>16</t>
        </is>
      </c>
      <c r="P1229" t="inlineStr">
        <is>
          <t xml:space="preserve">244952  </t>
        </is>
      </c>
      <c r="Q1229" s="26" t="n">
        <v>19.9</v>
      </c>
      <c r="R1229" s="26">
        <f>Q1229*G1229</f>
        <v/>
      </c>
      <c r="S1229" t="n">
        <v>11.81</v>
      </c>
      <c r="T1229" s="18">
        <f>1 - V1229/S1229</f>
        <v/>
      </c>
      <c r="U1229" s="18" t="n">
        <v>0.1005025125628141</v>
      </c>
      <c r="V1229" s="26" t="n">
        <v>8.417118644067797</v>
      </c>
      <c r="W1229" s="26">
        <f>V1229 - L1229</f>
        <v/>
      </c>
    </row>
    <row r="1230">
      <c r="A1230" s="11" t="n">
        <v>46215</v>
      </c>
      <c r="B1230" s="1" t="n">
        <v>20058</v>
      </c>
      <c r="C1230" s="1" t="inlineStr">
        <is>
          <t>831</t>
        </is>
      </c>
      <c r="D1230" s="1" t="inlineStr">
        <is>
          <t xml:space="preserve">8917  </t>
        </is>
      </c>
      <c r="E1230" s="1" t="inlineStr">
        <is>
          <t xml:space="preserve">28194770       </t>
        </is>
      </c>
      <c r="F1230" s="5" t="inlineStr">
        <is>
          <t>AUTOS DE METAL 3 TEAMSTERZ EN BLISTER</t>
        </is>
      </c>
      <c r="G1230" t="n">
        <v>1</v>
      </c>
      <c r="H1230" s="7" t="n">
        <v>6.9</v>
      </c>
      <c r="I1230" s="7" t="n">
        <v>0</v>
      </c>
      <c r="J1230" s="7" t="n">
        <v>0</v>
      </c>
      <c r="K1230" s="9" t="n">
        <v>0</v>
      </c>
      <c r="L1230" s="10" t="n">
        <v>4.1</v>
      </c>
      <c r="M1230" s="10" t="n">
        <v>1.43</v>
      </c>
      <c r="N1230" t="inlineStr">
        <is>
          <t>1</t>
        </is>
      </c>
      <c r="O1230" t="inlineStr">
        <is>
          <t>16</t>
        </is>
      </c>
      <c r="P1230" t="inlineStr">
        <is>
          <t xml:space="preserve">0       </t>
        </is>
      </c>
      <c r="Q1230" s="26" t="n">
        <v>6.9</v>
      </c>
      <c r="R1230" s="26">
        <f>Q1230*G1230</f>
        <v/>
      </c>
      <c r="S1230" t="n">
        <v>4.09</v>
      </c>
      <c r="T1230" s="18">
        <f>1 - V1230/S1230</f>
        <v/>
      </c>
      <c r="U1230" s="18" t="n">
        <v>0</v>
      </c>
      <c r="V1230" s="26" t="n">
        <v>4.09</v>
      </c>
      <c r="W1230" s="26">
        <f>V1230 - L1230</f>
        <v/>
      </c>
    </row>
    <row r="1231">
      <c r="A1231" s="11" t="n">
        <v>46215</v>
      </c>
      <c r="B1231" s="1" t="n">
        <v>20062</v>
      </c>
      <c r="C1231" s="1" t="inlineStr">
        <is>
          <t>038</t>
        </is>
      </c>
      <c r="D1231" s="1" t="inlineStr">
        <is>
          <t>173284</t>
        </is>
      </c>
      <c r="E1231" s="1" t="inlineStr">
        <is>
          <t xml:space="preserve">29854051       </t>
        </is>
      </c>
      <c r="F1231" s="5" t="inlineStr">
        <is>
          <t>TEAMSTERZ AUTO DE METAL PACK 10 AUTOS</t>
        </is>
      </c>
      <c r="G1231" t="n">
        <v>1</v>
      </c>
      <c r="H1231" s="7" t="n">
        <v>69</v>
      </c>
      <c r="I1231" s="7" t="n">
        <v>6.9</v>
      </c>
      <c r="J1231" s="7" t="n">
        <v>0</v>
      </c>
      <c r="K1231" s="9" t="n">
        <v>6.9</v>
      </c>
      <c r="L1231" s="10" t="n">
        <v>36.84</v>
      </c>
      <c r="M1231" s="10" t="n">
        <v>1.43</v>
      </c>
      <c r="N1231" t="inlineStr">
        <is>
          <t>1</t>
        </is>
      </c>
      <c r="O1231" t="inlineStr">
        <is>
          <t xml:space="preserve">3 </t>
        </is>
      </c>
      <c r="P1231" t="inlineStr">
        <is>
          <t xml:space="preserve">43458   </t>
        </is>
      </c>
      <c r="Q1231" s="26" t="n">
        <v>69</v>
      </c>
      <c r="R1231" s="26">
        <f>Q1231*G1231</f>
        <v/>
      </c>
      <c r="S1231" t="n">
        <v>40.93</v>
      </c>
      <c r="T1231" s="18">
        <f>1 - V1231/S1231</f>
        <v/>
      </c>
      <c r="U1231" s="18" t="n">
        <v>0</v>
      </c>
      <c r="V1231" s="26" t="n">
        <v>40.93</v>
      </c>
      <c r="W1231" s="26">
        <f>V1231 - L1231</f>
        <v/>
      </c>
    </row>
    <row r="1232">
      <c r="A1232" s="11" t="n">
        <v>46215</v>
      </c>
      <c r="B1232" s="1" t="n">
        <v>20062</v>
      </c>
      <c r="C1232" s="1" t="inlineStr">
        <is>
          <t>830</t>
        </is>
      </c>
      <c r="D1232" s="1" t="inlineStr">
        <is>
          <t xml:space="preserve">5135  </t>
        </is>
      </c>
      <c r="E1232" s="1" t="inlineStr">
        <is>
          <t xml:space="preserve">28194767       </t>
        </is>
      </c>
      <c r="F1232" s="5" t="inlineStr">
        <is>
          <t>CAMIONES TEAMSTERZ DE EMERGENCIA</t>
        </is>
      </c>
      <c r="G1232" t="n">
        <v>1</v>
      </c>
      <c r="H1232" s="7" t="n">
        <v>17.9</v>
      </c>
      <c r="I1232" s="7" t="n">
        <v>0</v>
      </c>
      <c r="J1232" s="7" t="n">
        <v>0</v>
      </c>
      <c r="K1232" s="9" t="n">
        <v>0</v>
      </c>
      <c r="L1232" s="10" t="n">
        <v>10.62</v>
      </c>
      <c r="M1232" s="10" t="n">
        <v>1.43</v>
      </c>
      <c r="N1232" t="inlineStr">
        <is>
          <t>1</t>
        </is>
      </c>
      <c r="O1232" t="inlineStr">
        <is>
          <t>16</t>
        </is>
      </c>
      <c r="P1232" t="inlineStr">
        <is>
          <t xml:space="preserve">250430  </t>
        </is>
      </c>
      <c r="Q1232" s="26" t="n">
        <v>17.9</v>
      </c>
      <c r="R1232" s="26">
        <f>Q1232*G1232</f>
        <v/>
      </c>
      <c r="S1232" t="n">
        <v>10.62</v>
      </c>
      <c r="T1232" s="18">
        <f>1 - V1232/S1232</f>
        <v/>
      </c>
      <c r="U1232" s="18" t="n">
        <v>0</v>
      </c>
      <c r="V1232" s="26" t="n">
        <v>10.62</v>
      </c>
      <c r="W1232" s="26">
        <f>V1232 - L1232</f>
        <v/>
      </c>
    </row>
    <row r="1233">
      <c r="A1233" s="11" t="n">
        <v>46215</v>
      </c>
      <c r="B1233" s="1" t="n">
        <v>20066</v>
      </c>
      <c r="C1233" s="1" t="inlineStr">
        <is>
          <t>057</t>
        </is>
      </c>
      <c r="D1233" s="1" t="inlineStr">
        <is>
          <t>493815</t>
        </is>
      </c>
      <c r="E1233" s="1" t="inlineStr">
        <is>
          <t xml:space="preserve">28194770       </t>
        </is>
      </c>
      <c r="F1233" s="5" t="inlineStr">
        <is>
          <t>AUTOS DE METAL 3 TEAMSTERZ EN BLISTER</t>
        </is>
      </c>
      <c r="G1233" t="n">
        <v>1</v>
      </c>
      <c r="H1233" s="7" t="n">
        <v>6.9</v>
      </c>
      <c r="I1233" s="7" t="n">
        <v>0</v>
      </c>
      <c r="J1233" s="7" t="n">
        <v>0</v>
      </c>
      <c r="K1233" s="9" t="n">
        <v>0</v>
      </c>
      <c r="L1233" s="10" t="n">
        <v>4.1</v>
      </c>
      <c r="M1233" s="10" t="n">
        <v>1.43</v>
      </c>
      <c r="N1233" t="inlineStr">
        <is>
          <t>1</t>
        </is>
      </c>
      <c r="O1233" t="inlineStr">
        <is>
          <t xml:space="preserve">2 </t>
        </is>
      </c>
      <c r="P1233" t="inlineStr">
        <is>
          <t xml:space="preserve">57030   </t>
        </is>
      </c>
      <c r="Q1233" s="26" t="n">
        <v>6.9</v>
      </c>
      <c r="R1233" s="26">
        <f>Q1233*G1233</f>
        <v/>
      </c>
      <c r="S1233" t="n">
        <v>4.09</v>
      </c>
      <c r="T1233" s="18">
        <f>1 - V1233/S1233</f>
        <v/>
      </c>
      <c r="U1233" s="18" t="n">
        <v>0</v>
      </c>
      <c r="V1233" s="26" t="n">
        <v>4.09</v>
      </c>
      <c r="W1233" s="26">
        <f>V1233 - L1233</f>
        <v/>
      </c>
    </row>
    <row r="1234">
      <c r="A1234" s="11" t="n">
        <v>46215</v>
      </c>
      <c r="B1234" s="1" t="n">
        <v>20069</v>
      </c>
      <c r="C1234" s="1" t="inlineStr">
        <is>
          <t>024</t>
        </is>
      </c>
      <c r="D1234" s="1" t="inlineStr">
        <is>
          <t>104269</t>
        </is>
      </c>
      <c r="E1234" s="1" t="inlineStr">
        <is>
          <t xml:space="preserve">28194770       </t>
        </is>
      </c>
      <c r="F1234" s="5" t="inlineStr">
        <is>
          <t>AUTOS DE METAL 3 TEAMSTERZ EN BLISTER</t>
        </is>
      </c>
      <c r="G1234" t="n">
        <v>1</v>
      </c>
      <c r="H1234" s="7" t="n">
        <v>6.9</v>
      </c>
      <c r="I1234" s="7" t="n">
        <v>0</v>
      </c>
      <c r="J1234" s="7" t="n">
        <v>0</v>
      </c>
      <c r="K1234" s="9" t="n">
        <v>0</v>
      </c>
      <c r="L1234" s="10" t="n">
        <v>4.1</v>
      </c>
      <c r="M1234" s="10" t="n">
        <v>1.43</v>
      </c>
      <c r="N1234" t="inlineStr">
        <is>
          <t>1</t>
        </is>
      </c>
      <c r="O1234" t="inlineStr">
        <is>
          <t xml:space="preserve">2 </t>
        </is>
      </c>
      <c r="P1234" t="inlineStr">
        <is>
          <t xml:space="preserve">248423  </t>
        </is>
      </c>
      <c r="Q1234" s="26" t="n">
        <v>6.9</v>
      </c>
      <c r="R1234" s="26">
        <f>Q1234*G1234</f>
        <v/>
      </c>
      <c r="S1234" t="n">
        <v>4.09</v>
      </c>
      <c r="T1234" s="18">
        <f>1 - V1234/S1234</f>
        <v/>
      </c>
      <c r="U1234" s="18" t="n">
        <v>0</v>
      </c>
      <c r="V1234" s="26" t="n">
        <v>4.09</v>
      </c>
      <c r="W1234" s="26">
        <f>V1234 - L1234</f>
        <v/>
      </c>
    </row>
    <row r="1235">
      <c r="A1235" s="11" t="n">
        <v>46215</v>
      </c>
      <c r="B1235" s="1" t="n">
        <v>20069</v>
      </c>
      <c r="C1235" s="1" t="inlineStr">
        <is>
          <t>024</t>
        </is>
      </c>
      <c r="D1235" s="1" t="inlineStr">
        <is>
          <t>104300</t>
        </is>
      </c>
      <c r="E1235" s="1" t="inlineStr">
        <is>
          <t xml:space="preserve">28194769       </t>
        </is>
      </c>
      <c r="F1235" s="5" t="inlineStr">
        <is>
          <t>AUTOS DE METAL 3 TEAMSTERZ PACK DE 2</t>
        </is>
      </c>
      <c r="G1235" t="n">
        <v>1</v>
      </c>
      <c r="H1235" s="7" t="n">
        <v>13.8</v>
      </c>
      <c r="I1235" s="7" t="n">
        <v>0</v>
      </c>
      <c r="J1235" s="7" t="n">
        <v>0</v>
      </c>
      <c r="K1235" s="9" t="n">
        <v>0</v>
      </c>
      <c r="L1235" s="10" t="n">
        <v>8.18</v>
      </c>
      <c r="M1235" s="10" t="n">
        <v>1.43</v>
      </c>
      <c r="N1235" t="inlineStr">
        <is>
          <t>1</t>
        </is>
      </c>
      <c r="O1235" t="inlineStr">
        <is>
          <t>16</t>
        </is>
      </c>
      <c r="P1235" t="inlineStr">
        <is>
          <t xml:space="preserve">249780  </t>
        </is>
      </c>
      <c r="Q1235" s="26" t="n">
        <v>13.8</v>
      </c>
      <c r="R1235" s="26">
        <f>Q1235*G1235</f>
        <v/>
      </c>
      <c r="S1235" t="n">
        <v>8.19</v>
      </c>
      <c r="T1235" s="18">
        <f>1 - V1235/S1235</f>
        <v/>
      </c>
      <c r="U1235" s="18" t="n">
        <v>0</v>
      </c>
      <c r="V1235" s="26" t="n">
        <v>8.19</v>
      </c>
      <c r="W1235" s="26">
        <f>V1235 - L1235</f>
        <v/>
      </c>
    </row>
    <row r="1236">
      <c r="A1236" s="11" t="n">
        <v>46215</v>
      </c>
      <c r="B1236" s="1" t="n">
        <v>20069</v>
      </c>
      <c r="C1236" s="1" t="inlineStr">
        <is>
          <t>026</t>
        </is>
      </c>
      <c r="D1236" s="1" t="inlineStr">
        <is>
          <t>359178</t>
        </is>
      </c>
      <c r="E1236" s="1" t="inlineStr">
        <is>
          <t xml:space="preserve">28194769       </t>
        </is>
      </c>
      <c r="F1236" s="5" t="inlineStr">
        <is>
          <t>AUTOS DE METAL 3 TEAMSTERZ PACK DE 2</t>
        </is>
      </c>
      <c r="G1236" t="n">
        <v>1</v>
      </c>
      <c r="H1236" s="7" t="n">
        <v>13.8</v>
      </c>
      <c r="I1236" s="7" t="n">
        <v>0</v>
      </c>
      <c r="J1236" s="7" t="n">
        <v>0</v>
      </c>
      <c r="K1236" s="9" t="n">
        <v>0</v>
      </c>
      <c r="L1236" s="10" t="n">
        <v>8.18</v>
      </c>
      <c r="M1236" s="10" t="n">
        <v>1.43</v>
      </c>
      <c r="N1236" t="inlineStr">
        <is>
          <t>1</t>
        </is>
      </c>
      <c r="O1236" t="inlineStr">
        <is>
          <t xml:space="preserve">2 </t>
        </is>
      </c>
      <c r="P1236" t="inlineStr">
        <is>
          <t xml:space="preserve">247843  </t>
        </is>
      </c>
      <c r="Q1236" s="26" t="n">
        <v>13.8</v>
      </c>
      <c r="R1236" s="26">
        <f>Q1236*G1236</f>
        <v/>
      </c>
      <c r="S1236" t="n">
        <v>8.19</v>
      </c>
      <c r="T1236" s="18">
        <f>1 - V1236/S1236</f>
        <v/>
      </c>
      <c r="U1236" s="18" t="n">
        <v>0</v>
      </c>
      <c r="V1236" s="26" t="n">
        <v>8.19</v>
      </c>
      <c r="W1236" s="26">
        <f>V1236 - L1236</f>
        <v/>
      </c>
    </row>
    <row r="1237">
      <c r="A1237" s="11" t="n">
        <v>46215</v>
      </c>
      <c r="B1237" s="1" t="n">
        <v>20072</v>
      </c>
      <c r="C1237" s="1" t="inlineStr">
        <is>
          <t>030</t>
        </is>
      </c>
      <c r="D1237" s="1" t="inlineStr">
        <is>
          <t xml:space="preserve">76639 </t>
        </is>
      </c>
      <c r="E1237" s="1" t="inlineStr">
        <is>
          <t xml:space="preserve">31959968       </t>
        </is>
      </c>
      <c r="F1237" s="5" t="inlineStr">
        <is>
          <t>PINYPON FIGURAS BASICAS SERIE 13 DISP. 56</t>
        </is>
      </c>
      <c r="G1237" t="n">
        <v>1</v>
      </c>
      <c r="H1237" s="7" t="n">
        <v>17.9</v>
      </c>
      <c r="I1237" s="7" t="n">
        <v>0</v>
      </c>
      <c r="J1237" s="7" t="n">
        <v>0</v>
      </c>
      <c r="K1237" s="9" t="n">
        <v>0</v>
      </c>
      <c r="L1237" s="10" t="n">
        <v>10.62</v>
      </c>
      <c r="M1237" s="10" t="n">
        <v>1.43</v>
      </c>
      <c r="N1237" t="inlineStr">
        <is>
          <t>1</t>
        </is>
      </c>
      <c r="O1237" t="inlineStr">
        <is>
          <t>16</t>
        </is>
      </c>
      <c r="P1237" t="inlineStr">
        <is>
          <t xml:space="preserve">82474   </t>
        </is>
      </c>
      <c r="Q1237" s="26" t="n">
        <v>17.9</v>
      </c>
      <c r="R1237" s="26">
        <f>Q1237*G1237</f>
        <v/>
      </c>
      <c r="S1237" t="n">
        <v>10.62</v>
      </c>
      <c r="T1237" s="18">
        <f>1 - V1237/S1237</f>
        <v/>
      </c>
      <c r="U1237" s="18" t="n">
        <v>0.3999999999999999</v>
      </c>
      <c r="V1237" s="26" t="n">
        <v>7.281355932203391</v>
      </c>
      <c r="W1237" s="26">
        <f>V1237 - L1237</f>
        <v/>
      </c>
    </row>
    <row r="1238">
      <c r="A1238" s="11" t="n">
        <v>46215</v>
      </c>
      <c r="B1238" s="1" t="n">
        <v>20073</v>
      </c>
      <c r="C1238" s="1" t="inlineStr">
        <is>
          <t>016</t>
        </is>
      </c>
      <c r="D1238" s="1" t="inlineStr">
        <is>
          <t xml:space="preserve">14403 </t>
        </is>
      </c>
      <c r="E1238" s="1" t="inlineStr">
        <is>
          <t xml:space="preserve">31675353       </t>
        </is>
      </c>
      <c r="F1238" s="5" t="inlineStr">
        <is>
          <t>NENUCO CON BIBERON Y SONAJERO</t>
        </is>
      </c>
      <c r="G1238" t="n">
        <v>1</v>
      </c>
      <c r="H1238" s="7" t="n">
        <v>79.90000000000001</v>
      </c>
      <c r="I1238" s="7" t="n">
        <v>0</v>
      </c>
      <c r="J1238" s="7" t="n">
        <v>0</v>
      </c>
      <c r="K1238" s="9" t="n">
        <v>0</v>
      </c>
      <c r="L1238" s="10" t="n">
        <v>47.4</v>
      </c>
      <c r="M1238" s="10" t="n">
        <v>1.43</v>
      </c>
      <c r="N1238" t="inlineStr">
        <is>
          <t>1</t>
        </is>
      </c>
      <c r="O1238" t="inlineStr">
        <is>
          <t>16</t>
        </is>
      </c>
      <c r="P1238" t="inlineStr">
        <is>
          <t xml:space="preserve">101947  </t>
        </is>
      </c>
      <c r="Q1238" s="26" t="n">
        <v>79.90000000000001</v>
      </c>
      <c r="R1238" s="26">
        <f>Q1238*G1238</f>
        <v/>
      </c>
      <c r="S1238" t="n">
        <v>47.4</v>
      </c>
      <c r="T1238" s="18">
        <f>1 - V1238/S1238</f>
        <v/>
      </c>
      <c r="U1238" s="18" t="n">
        <v>0.2503128911138924</v>
      </c>
      <c r="V1238" s="26" t="n">
        <v>38.07203389830509</v>
      </c>
      <c r="W1238" s="26">
        <f>V1238 - L1238</f>
        <v/>
      </c>
    </row>
    <row r="1239">
      <c r="A1239" s="11" t="n">
        <v>46215</v>
      </c>
      <c r="B1239" s="1" t="n">
        <v>20073</v>
      </c>
      <c r="C1239" s="1" t="inlineStr">
        <is>
          <t>016</t>
        </is>
      </c>
      <c r="D1239" s="1" t="inlineStr">
        <is>
          <t xml:space="preserve">14438 </t>
        </is>
      </c>
      <c r="E1239" s="1" t="inlineStr">
        <is>
          <t xml:space="preserve">28194784       </t>
        </is>
      </c>
      <c r="F1239" s="5" t="inlineStr">
        <is>
          <t>SET DE ACROBACIAS INFINITY NADO CON TROMPO</t>
        </is>
      </c>
      <c r="G1239" t="n">
        <v>1</v>
      </c>
      <c r="H1239" s="7" t="n">
        <v>179</v>
      </c>
      <c r="I1239" s="7" t="n">
        <v>0</v>
      </c>
      <c r="J1239" s="7" t="n">
        <v>0</v>
      </c>
      <c r="K1239" s="9" t="n">
        <v>0</v>
      </c>
      <c r="L1239" s="10" t="n">
        <v>106.18</v>
      </c>
      <c r="M1239" s="10" t="n">
        <v>1.43</v>
      </c>
      <c r="N1239" t="inlineStr">
        <is>
          <t>1</t>
        </is>
      </c>
      <c r="O1239" t="inlineStr">
        <is>
          <t>16</t>
        </is>
      </c>
      <c r="P1239" t="inlineStr">
        <is>
          <t xml:space="preserve">101947  </t>
        </is>
      </c>
      <c r="Q1239" s="26" t="n">
        <v>179</v>
      </c>
      <c r="R1239" s="26">
        <f>Q1239*G1239</f>
        <v/>
      </c>
      <c r="S1239" t="n">
        <v>106.19</v>
      </c>
      <c r="T1239" s="18">
        <f>1 - V1239/S1239</f>
        <v/>
      </c>
      <c r="U1239" s="18" t="n">
        <v>0.223463687150838</v>
      </c>
      <c r="V1239" s="26" t="n">
        <v>88.34745762711864</v>
      </c>
      <c r="W1239" s="26">
        <f>V1239 - L1239</f>
        <v/>
      </c>
    </row>
    <row r="1240">
      <c r="A1240" s="11" t="n">
        <v>46215</v>
      </c>
      <c r="B1240" s="1" t="n">
        <v>20073</v>
      </c>
      <c r="C1240" s="1" t="inlineStr">
        <is>
          <t>016</t>
        </is>
      </c>
      <c r="D1240" s="1" t="inlineStr">
        <is>
          <t xml:space="preserve">14448 </t>
        </is>
      </c>
      <c r="E1240" s="1" t="inlineStr">
        <is>
          <t xml:space="preserve">28194769       </t>
        </is>
      </c>
      <c r="F1240" s="5" t="inlineStr">
        <is>
          <t>AUTOS DE METAL 3 TEAMSTERZ PACK DE 2</t>
        </is>
      </c>
      <c r="G1240" t="n">
        <v>1</v>
      </c>
      <c r="H1240" s="7" t="n">
        <v>13.8</v>
      </c>
      <c r="I1240" s="7" t="n">
        <v>1.38</v>
      </c>
      <c r="J1240" s="7" t="n">
        <v>0</v>
      </c>
      <c r="K1240" s="9" t="n">
        <v>1.38</v>
      </c>
      <c r="L1240" s="10" t="n">
        <v>7.37</v>
      </c>
      <c r="M1240" s="10" t="n">
        <v>1.43</v>
      </c>
      <c r="N1240" t="inlineStr">
        <is>
          <t>1</t>
        </is>
      </c>
      <c r="O1240" t="inlineStr">
        <is>
          <t>16</t>
        </is>
      </c>
      <c r="P1240" t="inlineStr">
        <is>
          <t xml:space="preserve">91372   </t>
        </is>
      </c>
      <c r="Q1240" s="26" t="n">
        <v>13.8</v>
      </c>
      <c r="R1240" s="26">
        <f>Q1240*G1240</f>
        <v/>
      </c>
      <c r="S1240" t="n">
        <v>8.19</v>
      </c>
      <c r="T1240" s="18">
        <f>1 - V1240/S1240</f>
        <v/>
      </c>
      <c r="U1240" s="18" t="n">
        <v>0</v>
      </c>
      <c r="V1240" s="26" t="n">
        <v>8.19</v>
      </c>
      <c r="W1240" s="26">
        <f>V1240 - L1240</f>
        <v/>
      </c>
    </row>
    <row r="1241">
      <c r="A1241" s="11" t="n">
        <v>46215</v>
      </c>
      <c r="B1241" s="1" t="n">
        <v>20073</v>
      </c>
      <c r="C1241" s="1" t="inlineStr">
        <is>
          <t>023</t>
        </is>
      </c>
      <c r="D1241" s="1" t="inlineStr">
        <is>
          <t xml:space="preserve">95988 </t>
        </is>
      </c>
      <c r="E1241" s="1" t="inlineStr">
        <is>
          <t xml:space="preserve">28194769       </t>
        </is>
      </c>
      <c r="F1241" s="5" t="inlineStr">
        <is>
          <t>AUTOS DE METAL 3 TEAMSTERZ PACK DE 2</t>
        </is>
      </c>
      <c r="G1241" t="n">
        <v>1</v>
      </c>
      <c r="H1241" s="7" t="n">
        <v>13.8</v>
      </c>
      <c r="I1241" s="7" t="n">
        <v>0</v>
      </c>
      <c r="J1241" s="7" t="n">
        <v>0</v>
      </c>
      <c r="K1241" s="9" t="n">
        <v>0</v>
      </c>
      <c r="L1241" s="10" t="n">
        <v>8.18</v>
      </c>
      <c r="M1241" s="10" t="n">
        <v>1.43</v>
      </c>
      <c r="N1241" t="inlineStr">
        <is>
          <t>1</t>
        </is>
      </c>
      <c r="O1241" t="inlineStr">
        <is>
          <t>16</t>
        </is>
      </c>
      <c r="P1241" t="inlineStr">
        <is>
          <t xml:space="preserve">50467   </t>
        </is>
      </c>
      <c r="Q1241" s="26" t="n">
        <v>13.8</v>
      </c>
      <c r="R1241" s="26">
        <f>Q1241*G1241</f>
        <v/>
      </c>
      <c r="S1241" t="n">
        <v>8.19</v>
      </c>
      <c r="T1241" s="18">
        <f>1 - V1241/S1241</f>
        <v/>
      </c>
      <c r="U1241" s="18" t="n">
        <v>0</v>
      </c>
      <c r="V1241" s="26" t="n">
        <v>8.19</v>
      </c>
      <c r="W1241" s="26">
        <f>V1241 - L1241</f>
        <v/>
      </c>
    </row>
    <row r="1242">
      <c r="A1242" s="11" t="n">
        <v>46215</v>
      </c>
      <c r="B1242" s="1" t="n">
        <v>20073</v>
      </c>
      <c r="C1242" s="1" t="inlineStr">
        <is>
          <t>033</t>
        </is>
      </c>
      <c r="D1242" s="1" t="inlineStr">
        <is>
          <t>313778</t>
        </is>
      </c>
      <c r="E1242" s="1" t="inlineStr">
        <is>
          <t xml:space="preserve">28194770       </t>
        </is>
      </c>
      <c r="F1242" s="5" t="inlineStr">
        <is>
          <t>AUTOS DE METAL 3 TEAMSTERZ EN BLISTER</t>
        </is>
      </c>
      <c r="G1242" t="n">
        <v>1</v>
      </c>
      <c r="H1242" s="7" t="n">
        <v>6.9</v>
      </c>
      <c r="I1242" s="7" t="n">
        <v>0</v>
      </c>
      <c r="J1242" s="7" t="n">
        <v>0</v>
      </c>
      <c r="K1242" s="9" t="n">
        <v>0</v>
      </c>
      <c r="L1242" s="10" t="n">
        <v>4.1</v>
      </c>
      <c r="M1242" s="10" t="n">
        <v>1.43</v>
      </c>
      <c r="N1242" t="inlineStr">
        <is>
          <t>1</t>
        </is>
      </c>
      <c r="O1242" t="inlineStr">
        <is>
          <t>16</t>
        </is>
      </c>
      <c r="P1242" t="inlineStr">
        <is>
          <t xml:space="preserve">61458   </t>
        </is>
      </c>
      <c r="Q1242" s="26" t="n">
        <v>6.9</v>
      </c>
      <c r="R1242" s="26">
        <f>Q1242*G1242</f>
        <v/>
      </c>
      <c r="S1242" t="n">
        <v>4.09</v>
      </c>
      <c r="T1242" s="18">
        <f>1 - V1242/S1242</f>
        <v/>
      </c>
      <c r="U1242" s="18" t="n">
        <v>0</v>
      </c>
      <c r="V1242" s="26" t="n">
        <v>4.09</v>
      </c>
      <c r="W1242" s="26">
        <f>V1242 - L1242</f>
        <v/>
      </c>
    </row>
    <row r="1243">
      <c r="A1243" s="11" t="n">
        <v>46215</v>
      </c>
      <c r="B1243" s="1" t="n">
        <v>20073</v>
      </c>
      <c r="C1243" s="1" t="inlineStr">
        <is>
          <t>037</t>
        </is>
      </c>
      <c r="D1243" s="1" t="inlineStr">
        <is>
          <t>295425</t>
        </is>
      </c>
      <c r="E1243" s="1" t="inlineStr">
        <is>
          <t xml:space="preserve">28194769       </t>
        </is>
      </c>
      <c r="F1243" s="5" t="inlineStr">
        <is>
          <t>AUTOS DE METAL 3 TEAMSTERZ PACK DE 2</t>
        </is>
      </c>
      <c r="G1243" t="n">
        <v>1</v>
      </c>
      <c r="H1243" s="7" t="n">
        <v>13.8</v>
      </c>
      <c r="I1243" s="7" t="n">
        <v>0</v>
      </c>
      <c r="J1243" s="7" t="n">
        <v>0</v>
      </c>
      <c r="K1243" s="9" t="n">
        <v>0</v>
      </c>
      <c r="L1243" s="10" t="n">
        <v>8.18</v>
      </c>
      <c r="M1243" s="10" t="n">
        <v>1.43</v>
      </c>
      <c r="N1243" t="inlineStr">
        <is>
          <t>1</t>
        </is>
      </c>
      <c r="O1243" t="inlineStr">
        <is>
          <t xml:space="preserve">2 </t>
        </is>
      </c>
      <c r="P1243" t="inlineStr">
        <is>
          <t xml:space="preserve">13762   </t>
        </is>
      </c>
      <c r="Q1243" s="26" t="n">
        <v>13.8</v>
      </c>
      <c r="R1243" s="26">
        <f>Q1243*G1243</f>
        <v/>
      </c>
      <c r="S1243" t="n">
        <v>8.19</v>
      </c>
      <c r="T1243" s="18">
        <f>1 - V1243/S1243</f>
        <v/>
      </c>
      <c r="U1243" s="18" t="n">
        <v>0</v>
      </c>
      <c r="V1243" s="26" t="n">
        <v>8.19</v>
      </c>
      <c r="W1243" s="26">
        <f>V1243 - L1243</f>
        <v/>
      </c>
    </row>
    <row r="1244">
      <c r="A1244" s="11" t="n">
        <v>46215</v>
      </c>
      <c r="B1244" s="1" t="n">
        <v>20073</v>
      </c>
      <c r="C1244" s="1" t="inlineStr">
        <is>
          <t>045</t>
        </is>
      </c>
      <c r="D1244" s="1" t="inlineStr">
        <is>
          <t>149540</t>
        </is>
      </c>
      <c r="E1244" s="1" t="inlineStr">
        <is>
          <t xml:space="preserve">28194769       </t>
        </is>
      </c>
      <c r="F1244" s="5" t="inlineStr">
        <is>
          <t>AUTOS DE METAL 3 TEAMSTERZ PACK DE 2</t>
        </is>
      </c>
      <c r="G1244" t="n">
        <v>1</v>
      </c>
      <c r="H1244" s="7" t="n">
        <v>13.8</v>
      </c>
      <c r="I1244" s="7" t="n">
        <v>1.38</v>
      </c>
      <c r="J1244" s="7" t="n">
        <v>0</v>
      </c>
      <c r="K1244" s="9" t="n">
        <v>1.38</v>
      </c>
      <c r="L1244" s="10" t="n">
        <v>7.37</v>
      </c>
      <c r="M1244" s="10" t="n">
        <v>1.43</v>
      </c>
      <c r="N1244" t="inlineStr">
        <is>
          <t>1</t>
        </is>
      </c>
      <c r="O1244" t="inlineStr">
        <is>
          <t xml:space="preserve">3 </t>
        </is>
      </c>
      <c r="P1244" t="inlineStr">
        <is>
          <t xml:space="preserve">57916   </t>
        </is>
      </c>
      <c r="Q1244" s="26" t="n">
        <v>13.8</v>
      </c>
      <c r="R1244" s="26">
        <f>Q1244*G1244</f>
        <v/>
      </c>
      <c r="S1244" t="n">
        <v>8.19</v>
      </c>
      <c r="T1244" s="18">
        <f>1 - V1244/S1244</f>
        <v/>
      </c>
      <c r="U1244" s="18" t="n">
        <v>0</v>
      </c>
      <c r="V1244" s="26" t="n">
        <v>8.19</v>
      </c>
      <c r="W1244" s="26">
        <f>V1244 - L1244</f>
        <v/>
      </c>
    </row>
    <row r="1245">
      <c r="A1245" s="11" t="n">
        <v>46215</v>
      </c>
      <c r="B1245" s="1" t="n">
        <v>20073</v>
      </c>
      <c r="C1245" s="1" t="inlineStr">
        <is>
          <t>804</t>
        </is>
      </c>
      <c r="D1245" s="1" t="inlineStr">
        <is>
          <t xml:space="preserve">36    </t>
        </is>
      </c>
      <c r="E1245" s="1" t="inlineStr">
        <is>
          <t xml:space="preserve">28194770       </t>
        </is>
      </c>
      <c r="F1245" s="5" t="inlineStr">
        <is>
          <t>AUTOS DE METAL 3 TEAMSTERZ EN BLISTER</t>
        </is>
      </c>
      <c r="G1245" t="n">
        <v>1</v>
      </c>
      <c r="H1245" s="7" t="n">
        <v>6.9</v>
      </c>
      <c r="I1245" s="7" t="n">
        <v>0</v>
      </c>
      <c r="J1245" s="7" t="n">
        <v>0</v>
      </c>
      <c r="K1245" s="9" t="n">
        <v>0</v>
      </c>
      <c r="L1245" s="10" t="n">
        <v>4.1</v>
      </c>
      <c r="M1245" s="10" t="n">
        <v>1.43</v>
      </c>
      <c r="N1245" t="inlineStr">
        <is>
          <t>1</t>
        </is>
      </c>
      <c r="O1245" t="inlineStr">
        <is>
          <t>16</t>
        </is>
      </c>
      <c r="P1245" t="inlineStr">
        <is>
          <t xml:space="preserve">0       </t>
        </is>
      </c>
      <c r="Q1245" s="26" t="n">
        <v>6.9</v>
      </c>
      <c r="R1245" s="26">
        <f>Q1245*G1245</f>
        <v/>
      </c>
      <c r="S1245" t="n">
        <v>4.09</v>
      </c>
      <c r="T1245" s="18">
        <f>1 - V1245/S1245</f>
        <v/>
      </c>
      <c r="U1245" s="18" t="n">
        <v>0</v>
      </c>
      <c r="V1245" s="26" t="n">
        <v>4.09</v>
      </c>
      <c r="W1245" s="26">
        <f>V1245 - L1245</f>
        <v/>
      </c>
    </row>
    <row r="1246">
      <c r="A1246" s="11" t="n">
        <v>46215</v>
      </c>
      <c r="B1246" s="1" t="n">
        <v>20074</v>
      </c>
      <c r="C1246" s="1" t="inlineStr">
        <is>
          <t>015</t>
        </is>
      </c>
      <c r="D1246" s="1" t="inlineStr">
        <is>
          <t>227875</t>
        </is>
      </c>
      <c r="E1246" s="1" t="inlineStr">
        <is>
          <t xml:space="preserve">32457099       </t>
        </is>
      </c>
      <c r="F1246" s="5" t="inlineStr">
        <is>
          <t>TMZ BEAST MACHINES MONSTER JAWS A FRICCION BLISTER</t>
        </is>
      </c>
      <c r="G1246" t="n">
        <v>1</v>
      </c>
      <c r="H1246" s="7" t="n">
        <v>19.9</v>
      </c>
      <c r="I1246" s="7" t="n">
        <v>0</v>
      </c>
      <c r="J1246" s="7" t="n">
        <v>0</v>
      </c>
      <c r="K1246" s="9" t="n">
        <v>0</v>
      </c>
      <c r="L1246" s="10" t="n">
        <v>11.8</v>
      </c>
      <c r="M1246" s="10" t="n">
        <v>1.43</v>
      </c>
      <c r="N1246" t="inlineStr">
        <is>
          <t>1</t>
        </is>
      </c>
      <c r="O1246" t="inlineStr">
        <is>
          <t>16</t>
        </is>
      </c>
      <c r="P1246" t="inlineStr">
        <is>
          <t xml:space="preserve">70025   </t>
        </is>
      </c>
      <c r="Q1246" s="26" t="n">
        <v>19.9</v>
      </c>
      <c r="R1246" s="26">
        <f>Q1246*G1246</f>
        <v/>
      </c>
      <c r="S1246" t="n">
        <v>11.81</v>
      </c>
      <c r="T1246" s="18">
        <f>1 - V1246/S1246</f>
        <v/>
      </c>
      <c r="U1246" s="18" t="n">
        <v>0.1005025125628141</v>
      </c>
      <c r="V1246" s="26" t="n">
        <v>8.417118644067797</v>
      </c>
      <c r="W1246" s="26">
        <f>V1246 - L1246</f>
        <v/>
      </c>
    </row>
    <row r="1247">
      <c r="A1247" s="11" t="n">
        <v>46215</v>
      </c>
      <c r="B1247" s="1" t="n">
        <v>20074</v>
      </c>
      <c r="C1247" s="1" t="inlineStr">
        <is>
          <t>048</t>
        </is>
      </c>
      <c r="D1247" s="1" t="inlineStr">
        <is>
          <t>144979</t>
        </is>
      </c>
      <c r="E1247" s="1" t="inlineStr">
        <is>
          <t xml:space="preserve">28194770       </t>
        </is>
      </c>
      <c r="F1247" s="5" t="inlineStr">
        <is>
          <t>AUTOS DE METAL 3 TEAMSTERZ EN BLISTER</t>
        </is>
      </c>
      <c r="G1247" t="n">
        <v>1</v>
      </c>
      <c r="H1247" s="7" t="n">
        <v>6.9</v>
      </c>
      <c r="I1247" s="7" t="n">
        <v>0</v>
      </c>
      <c r="J1247" s="7" t="n">
        <v>0</v>
      </c>
      <c r="K1247" s="9" t="n">
        <v>0</v>
      </c>
      <c r="L1247" s="10" t="n">
        <v>4.1</v>
      </c>
      <c r="M1247" s="10" t="n">
        <v>1.43</v>
      </c>
      <c r="N1247" t="inlineStr">
        <is>
          <t>1</t>
        </is>
      </c>
      <c r="O1247" t="inlineStr">
        <is>
          <t xml:space="preserve">6 </t>
        </is>
      </c>
      <c r="P1247" t="inlineStr">
        <is>
          <t xml:space="preserve">251008  </t>
        </is>
      </c>
      <c r="Q1247" s="26" t="n">
        <v>6.9</v>
      </c>
      <c r="R1247" s="26">
        <f>Q1247*G1247</f>
        <v/>
      </c>
      <c r="S1247" t="n">
        <v>4.09</v>
      </c>
      <c r="T1247" s="18">
        <f>1 - V1247/S1247</f>
        <v/>
      </c>
      <c r="U1247" s="18" t="n">
        <v>0</v>
      </c>
      <c r="V1247" s="26" t="n">
        <v>4.09</v>
      </c>
      <c r="W1247" s="26">
        <f>V1247 - L1247</f>
        <v/>
      </c>
    </row>
    <row r="1248">
      <c r="A1248" s="11" t="n">
        <v>46215</v>
      </c>
      <c r="B1248" s="1" t="n">
        <v>20077</v>
      </c>
      <c r="C1248" s="1" t="inlineStr">
        <is>
          <t>029</t>
        </is>
      </c>
      <c r="D1248" s="1" t="inlineStr">
        <is>
          <t>156022</t>
        </is>
      </c>
      <c r="E1248" s="1" t="inlineStr">
        <is>
          <t xml:space="preserve">28194770       </t>
        </is>
      </c>
      <c r="F1248" s="5" t="inlineStr">
        <is>
          <t>AUTOS DE METAL 3 TEAMSTERZ EN BLISTER</t>
        </is>
      </c>
      <c r="G1248" t="n">
        <v>1</v>
      </c>
      <c r="H1248" s="7" t="n">
        <v>6.9</v>
      </c>
      <c r="I1248" s="7" t="n">
        <v>0</v>
      </c>
      <c r="J1248" s="7" t="n">
        <v>0</v>
      </c>
      <c r="K1248" s="9" t="n">
        <v>0</v>
      </c>
      <c r="L1248" s="10" t="n">
        <v>4.1</v>
      </c>
      <c r="M1248" s="10" t="n">
        <v>1.43</v>
      </c>
      <c r="N1248" t="inlineStr">
        <is>
          <t>1</t>
        </is>
      </c>
      <c r="O1248" t="inlineStr">
        <is>
          <t xml:space="preserve">2 </t>
        </is>
      </c>
      <c r="P1248" t="inlineStr">
        <is>
          <t xml:space="preserve">43639   </t>
        </is>
      </c>
      <c r="Q1248" s="26" t="n">
        <v>6.9</v>
      </c>
      <c r="R1248" s="26">
        <f>Q1248*G1248</f>
        <v/>
      </c>
      <c r="S1248" t="n">
        <v>4.09</v>
      </c>
      <c r="T1248" s="18">
        <f>1 - V1248/S1248</f>
        <v/>
      </c>
      <c r="U1248" s="18" t="n">
        <v>0</v>
      </c>
      <c r="V1248" s="26" t="n">
        <v>4.09</v>
      </c>
      <c r="W1248" s="26">
        <f>V1248 - L1248</f>
        <v/>
      </c>
    </row>
    <row r="1249">
      <c r="A1249" s="11" t="n">
        <v>46215</v>
      </c>
      <c r="B1249" s="1" t="n">
        <v>20077</v>
      </c>
      <c r="C1249" s="1" t="inlineStr">
        <is>
          <t>029</t>
        </is>
      </c>
      <c r="D1249" s="1" t="inlineStr">
        <is>
          <t>156022</t>
        </is>
      </c>
      <c r="E1249" s="1" t="inlineStr">
        <is>
          <t xml:space="preserve">28194770       </t>
        </is>
      </c>
      <c r="F1249" s="5" t="inlineStr">
        <is>
          <t>AUTOS DE METAL 3 TEAMSTERZ EN BLISTER</t>
        </is>
      </c>
      <c r="G1249" t="n">
        <v>1</v>
      </c>
      <c r="H1249" s="7" t="n">
        <v>6.9</v>
      </c>
      <c r="I1249" s="7" t="n">
        <v>0</v>
      </c>
      <c r="J1249" s="7" t="n">
        <v>0</v>
      </c>
      <c r="K1249" s="9" t="n">
        <v>0</v>
      </c>
      <c r="L1249" s="10" t="n">
        <v>4.1</v>
      </c>
      <c r="M1249" s="10" t="n">
        <v>1.43</v>
      </c>
      <c r="N1249" t="inlineStr">
        <is>
          <t>1</t>
        </is>
      </c>
      <c r="O1249" t="inlineStr">
        <is>
          <t xml:space="preserve">2 </t>
        </is>
      </c>
      <c r="P1249" t="inlineStr">
        <is>
          <t xml:space="preserve">43639   </t>
        </is>
      </c>
      <c r="Q1249" s="26" t="n">
        <v>6.9</v>
      </c>
      <c r="R1249" s="26">
        <f>Q1249*G1249</f>
        <v/>
      </c>
      <c r="S1249" t="n">
        <v>4.09</v>
      </c>
      <c r="T1249" s="18">
        <f>1 - V1249/S1249</f>
        <v/>
      </c>
      <c r="U1249" s="18" t="n">
        <v>0</v>
      </c>
      <c r="V1249" s="26" t="n">
        <v>4.09</v>
      </c>
      <c r="W1249" s="26">
        <f>V1249 - L1249</f>
        <v/>
      </c>
    </row>
    <row r="1250">
      <c r="A1250" s="11" t="n">
        <v>46215</v>
      </c>
      <c r="B1250" s="1" t="n">
        <v>20077</v>
      </c>
      <c r="C1250" s="1" t="inlineStr">
        <is>
          <t>029</t>
        </is>
      </c>
      <c r="D1250" s="1" t="inlineStr">
        <is>
          <t>156086</t>
        </is>
      </c>
      <c r="E1250" s="1" t="inlineStr">
        <is>
          <t xml:space="preserve">30141766       </t>
        </is>
      </c>
      <c r="F1250" s="5" t="inlineStr">
        <is>
          <t>TMZ BEAST MACHINES AUTOS DE METAL BLISTER X 1</t>
        </is>
      </c>
      <c r="G1250" t="n">
        <v>1</v>
      </c>
      <c r="H1250" s="7" t="n">
        <v>7.9</v>
      </c>
      <c r="I1250" s="7" t="n">
        <v>0</v>
      </c>
      <c r="J1250" s="7" t="n">
        <v>0</v>
      </c>
      <c r="K1250" s="9" t="n">
        <v>0</v>
      </c>
      <c r="L1250" s="10" t="n">
        <v>4.68</v>
      </c>
      <c r="M1250" s="10" t="n">
        <v>1.43</v>
      </c>
      <c r="N1250" t="inlineStr">
        <is>
          <t>1</t>
        </is>
      </c>
      <c r="O1250" t="inlineStr">
        <is>
          <t xml:space="preserve">2 </t>
        </is>
      </c>
      <c r="P1250" t="inlineStr">
        <is>
          <t xml:space="preserve">43639   </t>
        </is>
      </c>
      <c r="Q1250" s="26" t="n">
        <v>7.9</v>
      </c>
      <c r="R1250" s="26">
        <f>Q1250*G1250</f>
        <v/>
      </c>
      <c r="S1250" t="n">
        <v>4.69</v>
      </c>
      <c r="T1250" s="18">
        <f>1 - V1250/S1250</f>
        <v/>
      </c>
      <c r="U1250" s="18" t="n">
        <v>0</v>
      </c>
      <c r="V1250" s="26" t="n">
        <v>4.69</v>
      </c>
      <c r="W1250" s="26">
        <f>V1250 - L1250</f>
        <v/>
      </c>
    </row>
    <row r="1251">
      <c r="A1251" s="11" t="n">
        <v>46215</v>
      </c>
      <c r="B1251" s="1" t="n">
        <v>20077</v>
      </c>
      <c r="C1251" s="1" t="inlineStr">
        <is>
          <t>029</t>
        </is>
      </c>
      <c r="D1251" s="1" t="inlineStr">
        <is>
          <t>156088</t>
        </is>
      </c>
      <c r="E1251" s="1" t="inlineStr">
        <is>
          <t xml:space="preserve">28194770       </t>
        </is>
      </c>
      <c r="F1251" s="5" t="inlineStr">
        <is>
          <t>AUTOS DE METAL 3 TEAMSTERZ EN BLISTER</t>
        </is>
      </c>
      <c r="G1251" t="n">
        <v>1</v>
      </c>
      <c r="H1251" s="7" t="n">
        <v>6.9</v>
      </c>
      <c r="I1251" s="7" t="n">
        <v>0</v>
      </c>
      <c r="J1251" s="7" t="n">
        <v>0</v>
      </c>
      <c r="K1251" s="9" t="n">
        <v>0</v>
      </c>
      <c r="L1251" s="10" t="n">
        <v>4.1</v>
      </c>
      <c r="M1251" s="10" t="n">
        <v>1.43</v>
      </c>
      <c r="N1251" t="inlineStr">
        <is>
          <t>1</t>
        </is>
      </c>
      <c r="O1251" t="inlineStr">
        <is>
          <t xml:space="preserve">2 </t>
        </is>
      </c>
      <c r="P1251" t="inlineStr">
        <is>
          <t xml:space="preserve">43639   </t>
        </is>
      </c>
      <c r="Q1251" s="26" t="n">
        <v>6.9</v>
      </c>
      <c r="R1251" s="26">
        <f>Q1251*G1251</f>
        <v/>
      </c>
      <c r="S1251" t="n">
        <v>4.09</v>
      </c>
      <c r="T1251" s="18">
        <f>1 - V1251/S1251</f>
        <v/>
      </c>
      <c r="U1251" s="18" t="n">
        <v>0</v>
      </c>
      <c r="V1251" s="26" t="n">
        <v>4.09</v>
      </c>
      <c r="W1251" s="26">
        <f>V1251 - L1251</f>
        <v/>
      </c>
    </row>
    <row r="1252">
      <c r="A1252" s="11" t="n">
        <v>46215</v>
      </c>
      <c r="B1252" s="1" t="n">
        <v>20077</v>
      </c>
      <c r="C1252" s="1" t="inlineStr">
        <is>
          <t>029</t>
        </is>
      </c>
      <c r="D1252" s="1" t="inlineStr">
        <is>
          <t>156088</t>
        </is>
      </c>
      <c r="E1252" s="1" t="inlineStr">
        <is>
          <t xml:space="preserve">30141766       </t>
        </is>
      </c>
      <c r="F1252" s="5" t="inlineStr">
        <is>
          <t>TMZ BEAST MACHINES AUTOS DE METAL BLISTER X 1</t>
        </is>
      </c>
      <c r="G1252" t="n">
        <v>1</v>
      </c>
      <c r="H1252" s="7" t="n">
        <v>7.9</v>
      </c>
      <c r="I1252" s="7" t="n">
        <v>0</v>
      </c>
      <c r="J1252" s="7" t="n">
        <v>0</v>
      </c>
      <c r="K1252" s="9" t="n">
        <v>0</v>
      </c>
      <c r="L1252" s="10" t="n">
        <v>4.68</v>
      </c>
      <c r="M1252" s="10" t="n">
        <v>1.43</v>
      </c>
      <c r="N1252" t="inlineStr">
        <is>
          <t>1</t>
        </is>
      </c>
      <c r="O1252" t="inlineStr">
        <is>
          <t xml:space="preserve">2 </t>
        </is>
      </c>
      <c r="P1252" t="inlineStr">
        <is>
          <t xml:space="preserve">43639   </t>
        </is>
      </c>
      <c r="Q1252" s="26" t="n">
        <v>7.9</v>
      </c>
      <c r="R1252" s="26">
        <f>Q1252*G1252</f>
        <v/>
      </c>
      <c r="S1252" t="n">
        <v>4.69</v>
      </c>
      <c r="T1252" s="18">
        <f>1 - V1252/S1252</f>
        <v/>
      </c>
      <c r="U1252" s="18" t="n">
        <v>0</v>
      </c>
      <c r="V1252" s="26" t="n">
        <v>4.69</v>
      </c>
      <c r="W1252" s="26">
        <f>V1252 - L1252</f>
        <v/>
      </c>
    </row>
    <row r="1253">
      <c r="A1253" s="11" t="n">
        <v>46215</v>
      </c>
      <c r="B1253" s="1" t="n">
        <v>20077</v>
      </c>
      <c r="C1253" s="1" t="inlineStr">
        <is>
          <t>030</t>
        </is>
      </c>
      <c r="D1253" s="1" t="inlineStr">
        <is>
          <t xml:space="preserve">40492 </t>
        </is>
      </c>
      <c r="E1253" s="1" t="inlineStr">
        <is>
          <t xml:space="preserve">28194770       </t>
        </is>
      </c>
      <c r="F1253" s="5" t="inlineStr">
        <is>
          <t>AUTOS DE METAL 3 TEAMSTERZ EN BLISTER</t>
        </is>
      </c>
      <c r="G1253" t="n">
        <v>1</v>
      </c>
      <c r="H1253" s="7" t="n">
        <v>6.9</v>
      </c>
      <c r="I1253" s="7" t="n">
        <v>0.6899999999999999</v>
      </c>
      <c r="J1253" s="7" t="n">
        <v>0</v>
      </c>
      <c r="K1253" s="9" t="n">
        <v>0.6899999999999999</v>
      </c>
      <c r="L1253" s="10" t="n">
        <v>3.68</v>
      </c>
      <c r="M1253" s="10" t="n">
        <v>1.43</v>
      </c>
      <c r="N1253" t="inlineStr">
        <is>
          <t>1</t>
        </is>
      </c>
      <c r="O1253" t="inlineStr">
        <is>
          <t xml:space="preserve">3 </t>
        </is>
      </c>
      <c r="P1253" t="inlineStr">
        <is>
          <t xml:space="preserve">48922   </t>
        </is>
      </c>
      <c r="Q1253" s="26" t="n">
        <v>6.9</v>
      </c>
      <c r="R1253" s="26">
        <f>Q1253*G1253</f>
        <v/>
      </c>
      <c r="S1253" t="n">
        <v>4.09</v>
      </c>
      <c r="T1253" s="18">
        <f>1 - V1253/S1253</f>
        <v/>
      </c>
      <c r="U1253" s="18" t="n">
        <v>0</v>
      </c>
      <c r="V1253" s="26" t="n">
        <v>4.09</v>
      </c>
      <c r="W1253" s="26">
        <f>V1253 - L1253</f>
        <v/>
      </c>
    </row>
    <row r="1254">
      <c r="A1254" s="11" t="n">
        <v>46215</v>
      </c>
      <c r="B1254" s="1" t="n">
        <v>20077</v>
      </c>
      <c r="C1254" s="1" t="inlineStr">
        <is>
          <t>539</t>
        </is>
      </c>
      <c r="D1254" s="1" t="inlineStr">
        <is>
          <t xml:space="preserve">3896  </t>
        </is>
      </c>
      <c r="E1254" s="1" t="inlineStr">
        <is>
          <t xml:space="preserve">28194768       </t>
        </is>
      </c>
      <c r="F1254" s="5" t="inlineStr">
        <is>
          <t>AUTO COLOR CHANGE TEAMSTERZ SURTIDO</t>
        </is>
      </c>
      <c r="G1254" t="n">
        <v>1</v>
      </c>
      <c r="H1254" s="7" t="n">
        <v>14.9</v>
      </c>
      <c r="I1254" s="7" t="n">
        <v>0</v>
      </c>
      <c r="J1254" s="7" t="n">
        <v>0</v>
      </c>
      <c r="K1254" s="9" t="n">
        <v>0</v>
      </c>
      <c r="L1254" s="10" t="n">
        <v>8.84</v>
      </c>
      <c r="M1254" s="10" t="n">
        <v>1.43</v>
      </c>
      <c r="N1254" t="inlineStr">
        <is>
          <t>1</t>
        </is>
      </c>
      <c r="O1254" t="inlineStr">
        <is>
          <t>16</t>
        </is>
      </c>
      <c r="P1254" t="inlineStr">
        <is>
          <t xml:space="preserve">250421  </t>
        </is>
      </c>
      <c r="Q1254" s="26" t="n">
        <v>14.9</v>
      </c>
      <c r="R1254" s="26">
        <f>Q1254*G1254</f>
        <v/>
      </c>
      <c r="S1254" t="n">
        <v>8.84</v>
      </c>
      <c r="T1254" s="18">
        <f>1 - V1254/S1254</f>
        <v/>
      </c>
      <c r="U1254" s="18" t="n">
        <v>0</v>
      </c>
      <c r="V1254" s="26" t="n">
        <v>8.84</v>
      </c>
      <c r="W1254" s="26">
        <f>V1254 - L1254</f>
        <v/>
      </c>
    </row>
    <row r="1255">
      <c r="A1255" s="11" t="n">
        <v>46215</v>
      </c>
      <c r="B1255" s="1" t="n">
        <v>20079</v>
      </c>
      <c r="C1255" s="1" t="inlineStr">
        <is>
          <t>045</t>
        </is>
      </c>
      <c r="D1255" s="1" t="inlineStr">
        <is>
          <t xml:space="preserve">15831 </t>
        </is>
      </c>
      <c r="E1255" s="1" t="inlineStr">
        <is>
          <t xml:space="preserve">35685067       </t>
        </is>
      </c>
      <c r="F1255" s="5" t="inlineStr">
        <is>
          <t>HOT WHEELS POWER SET 3 EN 1</t>
        </is>
      </c>
      <c r="G1255" t="n">
        <v>1</v>
      </c>
      <c r="H1255" s="7" t="n">
        <v>49.9</v>
      </c>
      <c r="I1255" s="7" t="n">
        <v>4.99</v>
      </c>
      <c r="J1255" s="7" t="n">
        <v>0</v>
      </c>
      <c r="K1255" s="9" t="n">
        <v>4.99</v>
      </c>
      <c r="L1255" s="10" t="n">
        <v>26.64</v>
      </c>
      <c r="M1255" s="10" t="n">
        <v>1.43</v>
      </c>
      <c r="N1255" t="inlineStr">
        <is>
          <t>1</t>
        </is>
      </c>
      <c r="O1255" t="inlineStr">
        <is>
          <t xml:space="preserve">3 </t>
        </is>
      </c>
      <c r="P1255" t="inlineStr">
        <is>
          <t xml:space="preserve">45006   </t>
        </is>
      </c>
      <c r="Q1255" s="26" t="n">
        <v>49.9</v>
      </c>
      <c r="R1255" s="26">
        <f>Q1255*G1255</f>
        <v/>
      </c>
      <c r="S1255" t="n">
        <v>29.6</v>
      </c>
      <c r="T1255" s="18">
        <f>1 - V1255/S1255</f>
        <v/>
      </c>
      <c r="U1255" s="18" t="n">
        <v>0</v>
      </c>
      <c r="V1255" s="26" t="n">
        <v>29.6</v>
      </c>
      <c r="W1255" s="26">
        <f>V1255 - L1255</f>
        <v/>
      </c>
    </row>
    <row r="1256">
      <c r="A1256" s="11" t="n">
        <v>46215</v>
      </c>
      <c r="B1256" s="1" t="n">
        <v>20079</v>
      </c>
      <c r="C1256" s="1" t="inlineStr">
        <is>
          <t>045</t>
        </is>
      </c>
      <c r="D1256" s="1" t="inlineStr">
        <is>
          <t>332245</t>
        </is>
      </c>
      <c r="E1256" s="1" t="inlineStr">
        <is>
          <t xml:space="preserve">28194781       </t>
        </is>
      </c>
      <c r="F1256" s="5" t="inlineStr">
        <is>
          <t>TROMPO BATALLA INFINITY NADO SERIE V CLASICA SURTI</t>
        </is>
      </c>
      <c r="G1256" t="n">
        <v>1</v>
      </c>
      <c r="H1256" s="7" t="n">
        <v>59.9</v>
      </c>
      <c r="I1256" s="7" t="n">
        <v>0</v>
      </c>
      <c r="J1256" s="7" t="n">
        <v>0</v>
      </c>
      <c r="K1256" s="9" t="n">
        <v>0</v>
      </c>
      <c r="L1256" s="10" t="n">
        <v>35.53</v>
      </c>
      <c r="M1256" s="10" t="n">
        <v>1.43</v>
      </c>
      <c r="N1256" t="inlineStr">
        <is>
          <t>1</t>
        </is>
      </c>
      <c r="O1256" t="inlineStr">
        <is>
          <t>16</t>
        </is>
      </c>
      <c r="P1256" t="inlineStr">
        <is>
          <t xml:space="preserve">45006   </t>
        </is>
      </c>
      <c r="Q1256" s="26" t="n">
        <v>59.9</v>
      </c>
      <c r="R1256" s="26">
        <f>Q1256*G1256</f>
        <v/>
      </c>
      <c r="S1256" t="n">
        <v>35.53</v>
      </c>
      <c r="T1256" s="18">
        <f>1 - V1256/S1256</f>
        <v/>
      </c>
      <c r="U1256" s="18" t="n">
        <v>0.333889816360601</v>
      </c>
      <c r="V1256" s="26" t="n">
        <v>25.36016949152542</v>
      </c>
      <c r="W1256" s="26">
        <f>V1256 - L1256</f>
        <v/>
      </c>
    </row>
    <row r="1257">
      <c r="A1257" s="11" t="n">
        <v>46215</v>
      </c>
      <c r="B1257" s="1" t="n">
        <v>20079</v>
      </c>
      <c r="C1257" s="1" t="inlineStr">
        <is>
          <t>051</t>
        </is>
      </c>
      <c r="D1257" s="1" t="inlineStr">
        <is>
          <t>235753</t>
        </is>
      </c>
      <c r="E1257" s="1" t="inlineStr">
        <is>
          <t xml:space="preserve">34840553       </t>
        </is>
      </c>
      <c r="F1257" s="5" t="inlineStr">
        <is>
          <t>TMZ AUTO LUZ Y SONIDO ESQUELET DINO T-REX</t>
        </is>
      </c>
      <c r="G1257" t="n">
        <v>1</v>
      </c>
      <c r="H1257" s="7" t="n">
        <v>79.90000000000001</v>
      </c>
      <c r="I1257" s="7" t="n">
        <v>0</v>
      </c>
      <c r="J1257" s="7" t="n">
        <v>0</v>
      </c>
      <c r="K1257" s="9" t="n">
        <v>0</v>
      </c>
      <c r="L1257" s="10" t="n">
        <v>47.4</v>
      </c>
      <c r="M1257" s="10" t="n">
        <v>1.43</v>
      </c>
      <c r="N1257" t="inlineStr">
        <is>
          <t>1</t>
        </is>
      </c>
      <c r="O1257" t="inlineStr">
        <is>
          <t>16</t>
        </is>
      </c>
      <c r="P1257" t="inlineStr">
        <is>
          <t xml:space="preserve">41082   </t>
        </is>
      </c>
      <c r="Q1257" s="26" t="n">
        <v>79.90000000000002</v>
      </c>
      <c r="R1257" s="26">
        <f>Q1257*G1257</f>
        <v/>
      </c>
      <c r="S1257" t="n">
        <v>47.4</v>
      </c>
      <c r="T1257" s="18">
        <f>1 - V1257/S1257</f>
        <v/>
      </c>
      <c r="U1257" s="18" t="n">
        <v>0</v>
      </c>
      <c r="V1257" s="26" t="n">
        <v>47.4</v>
      </c>
      <c r="W1257" s="26">
        <f>V1257 - L1257</f>
        <v/>
      </c>
    </row>
    <row r="1258">
      <c r="A1258" s="11" t="n">
        <v>46215</v>
      </c>
      <c r="B1258" s="1" t="n">
        <v>20079</v>
      </c>
      <c r="C1258" s="1" t="inlineStr">
        <is>
          <t>051</t>
        </is>
      </c>
      <c r="D1258" s="1" t="inlineStr">
        <is>
          <t>235801</t>
        </is>
      </c>
      <c r="E1258" s="1" t="inlineStr">
        <is>
          <t xml:space="preserve">28194770       </t>
        </is>
      </c>
      <c r="F1258" s="5" t="inlineStr">
        <is>
          <t>AUTOS DE METAL 3 TEAMSTERZ EN BLISTER</t>
        </is>
      </c>
      <c r="G1258" t="n">
        <v>1</v>
      </c>
      <c r="H1258" s="7" t="n">
        <v>6.9</v>
      </c>
      <c r="I1258" s="7" t="n">
        <v>0</v>
      </c>
      <c r="J1258" s="7" t="n">
        <v>0</v>
      </c>
      <c r="K1258" s="9" t="n">
        <v>0</v>
      </c>
      <c r="L1258" s="10" t="n">
        <v>4.1</v>
      </c>
      <c r="M1258" s="10" t="n">
        <v>1.43</v>
      </c>
      <c r="N1258" t="inlineStr">
        <is>
          <t>1</t>
        </is>
      </c>
      <c r="O1258" t="inlineStr">
        <is>
          <t>16</t>
        </is>
      </c>
      <c r="P1258" t="inlineStr">
        <is>
          <t xml:space="preserve">41082   </t>
        </is>
      </c>
      <c r="Q1258" s="26" t="n">
        <v>6.9</v>
      </c>
      <c r="R1258" s="26">
        <f>Q1258*G1258</f>
        <v/>
      </c>
      <c r="S1258" t="n">
        <v>4.09</v>
      </c>
      <c r="T1258" s="18">
        <f>1 - V1258/S1258</f>
        <v/>
      </c>
      <c r="U1258" s="18" t="n">
        <v>0</v>
      </c>
      <c r="V1258" s="26" t="n">
        <v>4.09</v>
      </c>
      <c r="W1258" s="26">
        <f>V1258 - L1258</f>
        <v/>
      </c>
    </row>
    <row r="1259">
      <c r="A1259" s="11" t="n">
        <v>46215</v>
      </c>
      <c r="B1259" s="1" t="n">
        <v>20080</v>
      </c>
      <c r="C1259" s="1" t="inlineStr">
        <is>
          <t>020</t>
        </is>
      </c>
      <c r="D1259" s="1" t="inlineStr">
        <is>
          <t xml:space="preserve">2658  </t>
        </is>
      </c>
      <c r="E1259" s="1" t="inlineStr">
        <is>
          <t xml:space="preserve">28194783       </t>
        </is>
      </c>
      <c r="F1259" s="5" t="inlineStr">
        <is>
          <t>SET DE BATALLA INFINITY NADO CON 2 TROMPOS</t>
        </is>
      </c>
      <c r="G1259" t="n">
        <v>1</v>
      </c>
      <c r="H1259" s="7" t="n">
        <v>159</v>
      </c>
      <c r="I1259" s="7" t="n">
        <v>0</v>
      </c>
      <c r="J1259" s="7" t="n">
        <v>0</v>
      </c>
      <c r="K1259" s="9" t="n">
        <v>0</v>
      </c>
      <c r="L1259" s="10" t="n">
        <v>94.33</v>
      </c>
      <c r="M1259" s="10" t="n">
        <v>1.43</v>
      </c>
      <c r="N1259" t="inlineStr">
        <is>
          <t>1</t>
        </is>
      </c>
      <c r="O1259" t="inlineStr">
        <is>
          <t>16</t>
        </is>
      </c>
      <c r="P1259" t="inlineStr">
        <is>
          <t xml:space="preserve">236747  </t>
        </is>
      </c>
      <c r="Q1259" s="26" t="n">
        <v>159</v>
      </c>
      <c r="R1259" s="26">
        <f>Q1259*G1259</f>
        <v/>
      </c>
      <c r="S1259" t="n">
        <v>94.31999999999999</v>
      </c>
      <c r="T1259" s="18">
        <f>1 - V1259/S1259</f>
        <v/>
      </c>
      <c r="U1259" s="18" t="n">
        <v>0.1886792452830188</v>
      </c>
      <c r="V1259" s="26" t="n">
        <v>81.99152542372882</v>
      </c>
      <c r="W1259" s="26">
        <f>V1259 - L1259</f>
        <v/>
      </c>
    </row>
    <row r="1260">
      <c r="A1260" s="11" t="n">
        <v>46215</v>
      </c>
      <c r="B1260" s="1" t="n">
        <v>20080</v>
      </c>
      <c r="C1260" s="1" t="inlineStr">
        <is>
          <t>020</t>
        </is>
      </c>
      <c r="D1260" s="1" t="inlineStr">
        <is>
          <t xml:space="preserve">2658  </t>
        </is>
      </c>
      <c r="E1260" s="1" t="inlineStr">
        <is>
          <t xml:space="preserve">31754676       </t>
        </is>
      </c>
      <c r="F1260" s="5" t="inlineStr">
        <is>
          <t>INFINITY NADO SERIE 6 STD PACK LANZ ESPAD ANILLO M</t>
        </is>
      </c>
      <c r="G1260" t="n">
        <v>1</v>
      </c>
      <c r="H1260" s="7" t="n">
        <v>79.90000000000001</v>
      </c>
      <c r="I1260" s="7" t="n">
        <v>0</v>
      </c>
      <c r="J1260" s="7" t="n">
        <v>0</v>
      </c>
      <c r="K1260" s="9" t="n">
        <v>0</v>
      </c>
      <c r="L1260" s="10" t="n">
        <v>47.4</v>
      </c>
      <c r="M1260" s="10" t="n">
        <v>1.43</v>
      </c>
      <c r="N1260" t="inlineStr">
        <is>
          <t>1</t>
        </is>
      </c>
      <c r="O1260" t="inlineStr">
        <is>
          <t>16</t>
        </is>
      </c>
      <c r="P1260" t="inlineStr">
        <is>
          <t xml:space="preserve">236747  </t>
        </is>
      </c>
      <c r="Q1260" s="26" t="n">
        <v>79.90000000000001</v>
      </c>
      <c r="R1260" s="26">
        <f>Q1260*G1260</f>
        <v/>
      </c>
      <c r="S1260" t="n">
        <v>47.4</v>
      </c>
      <c r="T1260" s="18">
        <f>1 - V1260/S1260</f>
        <v/>
      </c>
      <c r="U1260" s="18" t="n">
        <v>0.2503128911138924</v>
      </c>
      <c r="V1260" s="26" t="n">
        <v>38.07203389830509</v>
      </c>
      <c r="W1260" s="26">
        <f>V1260 - L1260</f>
        <v/>
      </c>
    </row>
    <row r="1261">
      <c r="A1261" s="11" t="n">
        <v>46215</v>
      </c>
      <c r="B1261" s="1" t="n">
        <v>20080</v>
      </c>
      <c r="C1261" s="1" t="inlineStr">
        <is>
          <t>020</t>
        </is>
      </c>
      <c r="D1261" s="1" t="inlineStr">
        <is>
          <t xml:space="preserve">2658  </t>
        </is>
      </c>
      <c r="E1261" s="1" t="inlineStr">
        <is>
          <t xml:space="preserve">31754676       </t>
        </is>
      </c>
      <c r="F1261" s="5" t="inlineStr">
        <is>
          <t>INFINITY NADO SERIE 6 STD PACK LANZ ESPAD ANILLO M</t>
        </is>
      </c>
      <c r="G1261" t="n">
        <v>1</v>
      </c>
      <c r="H1261" s="7" t="n">
        <v>79.90000000000001</v>
      </c>
      <c r="I1261" s="7" t="n">
        <v>0</v>
      </c>
      <c r="J1261" s="7" t="n">
        <v>0</v>
      </c>
      <c r="K1261" s="9" t="n">
        <v>0</v>
      </c>
      <c r="L1261" s="10" t="n">
        <v>47.4</v>
      </c>
      <c r="M1261" s="10" t="n">
        <v>1.43</v>
      </c>
      <c r="N1261" t="inlineStr">
        <is>
          <t>1</t>
        </is>
      </c>
      <c r="O1261" t="inlineStr">
        <is>
          <t>16</t>
        </is>
      </c>
      <c r="P1261" t="inlineStr">
        <is>
          <t xml:space="preserve">236747  </t>
        </is>
      </c>
      <c r="Q1261" s="26" t="n">
        <v>79.90000000000001</v>
      </c>
      <c r="R1261" s="26">
        <f>Q1261*G1261</f>
        <v/>
      </c>
      <c r="S1261" t="n">
        <v>47.4</v>
      </c>
      <c r="T1261" s="18">
        <f>1 - V1261/S1261</f>
        <v/>
      </c>
      <c r="U1261" s="18" t="n">
        <v>0.2503128911138924</v>
      </c>
      <c r="V1261" s="26" t="n">
        <v>38.07203389830509</v>
      </c>
      <c r="W1261" s="26">
        <f>V1261 - L1261</f>
        <v/>
      </c>
    </row>
    <row r="1262">
      <c r="A1262" s="11" t="n">
        <v>46215</v>
      </c>
      <c r="B1262" s="1" t="n">
        <v>20080</v>
      </c>
      <c r="C1262" s="1" t="inlineStr">
        <is>
          <t>026</t>
        </is>
      </c>
      <c r="D1262" s="1" t="inlineStr">
        <is>
          <t>208939</t>
        </is>
      </c>
      <c r="E1262" s="1" t="inlineStr">
        <is>
          <t xml:space="preserve">31959959       </t>
        </is>
      </c>
      <c r="F1262" s="5" t="inlineStr">
        <is>
          <t>TMZ CAMBIA DE COLOR LANZADOR SPIN SPLASH + 1 AUTO</t>
        </is>
      </c>
      <c r="G1262" t="n">
        <v>1</v>
      </c>
      <c r="H1262" s="7" t="n">
        <v>39.9</v>
      </c>
      <c r="I1262" s="7" t="n">
        <v>25</v>
      </c>
      <c r="J1262" s="7" t="n">
        <v>0</v>
      </c>
      <c r="K1262" s="9" t="n">
        <v>25</v>
      </c>
      <c r="L1262" s="10" t="n">
        <v>8.84</v>
      </c>
      <c r="M1262" s="10" t="n">
        <v>1.43</v>
      </c>
      <c r="N1262" t="inlineStr">
        <is>
          <t>1</t>
        </is>
      </c>
      <c r="O1262" t="inlineStr">
        <is>
          <t xml:space="preserve">2 </t>
        </is>
      </c>
      <c r="P1262" t="inlineStr">
        <is>
          <t xml:space="preserve">79951   </t>
        </is>
      </c>
      <c r="Q1262" s="26" t="n">
        <v>39.9</v>
      </c>
      <c r="R1262" s="26">
        <f>Q1262*G1262</f>
        <v/>
      </c>
      <c r="S1262" t="n">
        <v>23.67</v>
      </c>
      <c r="T1262" s="18">
        <f>1 - V1262/S1262</f>
        <v/>
      </c>
      <c r="U1262" s="18" t="n">
        <v>0.6265664160401002</v>
      </c>
      <c r="V1262" s="26" t="n">
        <v>10.73050847457628</v>
      </c>
      <c r="W1262" s="26">
        <f>V1262 - L1262</f>
        <v/>
      </c>
    </row>
    <row r="1263">
      <c r="A1263" s="11" t="n">
        <v>46215</v>
      </c>
      <c r="B1263" s="1" t="n">
        <v>20080</v>
      </c>
      <c r="C1263" s="1" t="inlineStr">
        <is>
          <t>026</t>
        </is>
      </c>
      <c r="D1263" s="1" t="inlineStr">
        <is>
          <t>208960</t>
        </is>
      </c>
      <c r="E1263" s="1" t="inlineStr">
        <is>
          <t xml:space="preserve">33483116       </t>
        </is>
      </c>
      <c r="F1263" s="5" t="inlineStr">
        <is>
          <t>MUNECA EVI LOVE GATO + COCHE + ACC.</t>
        </is>
      </c>
      <c r="G1263" t="n">
        <v>1</v>
      </c>
      <c r="H1263" s="7" t="n">
        <v>34.9</v>
      </c>
      <c r="I1263" s="7" t="n">
        <v>0</v>
      </c>
      <c r="J1263" s="7" t="n">
        <v>0</v>
      </c>
      <c r="K1263" s="9" t="n">
        <v>0</v>
      </c>
      <c r="L1263" s="10" t="n">
        <v>20.71</v>
      </c>
      <c r="M1263" s="10" t="n">
        <v>1.43</v>
      </c>
      <c r="N1263" t="inlineStr">
        <is>
          <t>1</t>
        </is>
      </c>
      <c r="O1263" t="inlineStr">
        <is>
          <t>16</t>
        </is>
      </c>
      <c r="P1263" t="inlineStr">
        <is>
          <t xml:space="preserve">79951   </t>
        </is>
      </c>
      <c r="Q1263" s="26" t="n">
        <v>34.9</v>
      </c>
      <c r="R1263" s="26">
        <f>Q1263*G1263</f>
        <v/>
      </c>
      <c r="S1263" t="n">
        <v>20.7</v>
      </c>
      <c r="T1263" s="18">
        <f>1 - V1263/S1263</f>
        <v/>
      </c>
      <c r="U1263" s="18" t="n">
        <v>0.4</v>
      </c>
      <c r="V1263" s="26" t="n">
        <v>15.97118644067796</v>
      </c>
      <c r="W1263" s="26">
        <f>V1263 - L1263</f>
        <v/>
      </c>
    </row>
    <row r="1264">
      <c r="A1264" s="11" t="n">
        <v>46215</v>
      </c>
      <c r="B1264" s="1" t="n">
        <v>20080</v>
      </c>
      <c r="C1264" s="1" t="inlineStr">
        <is>
          <t>026</t>
        </is>
      </c>
      <c r="D1264" s="1" t="inlineStr">
        <is>
          <t>208973</t>
        </is>
      </c>
      <c r="E1264" s="1" t="inlineStr">
        <is>
          <t xml:space="preserve">32457118       </t>
        </is>
      </c>
      <c r="F1264" s="5" t="inlineStr">
        <is>
          <t>MUNECA EVI LOVE CAMAROTE + 2 MUNECAS</t>
        </is>
      </c>
      <c r="G1264" t="n">
        <v>1</v>
      </c>
      <c r="H1264" s="7" t="n">
        <v>49.9</v>
      </c>
      <c r="I1264" s="7" t="n">
        <v>0</v>
      </c>
      <c r="J1264" s="7" t="n">
        <v>0</v>
      </c>
      <c r="K1264" s="9" t="n">
        <v>0</v>
      </c>
      <c r="L1264" s="10" t="n">
        <v>29.6</v>
      </c>
      <c r="M1264" s="10" t="n">
        <v>1.43</v>
      </c>
      <c r="N1264" t="inlineStr">
        <is>
          <t>1</t>
        </is>
      </c>
      <c r="O1264" t="inlineStr">
        <is>
          <t>16</t>
        </is>
      </c>
      <c r="P1264" t="inlineStr">
        <is>
          <t xml:space="preserve">79951   </t>
        </is>
      </c>
      <c r="Q1264" s="26" t="n">
        <v>49.9</v>
      </c>
      <c r="R1264" s="26">
        <f>Q1264*G1264</f>
        <v/>
      </c>
      <c r="S1264" t="n">
        <v>29.6</v>
      </c>
      <c r="T1264" s="18">
        <f>1 - V1264/S1264</f>
        <v/>
      </c>
      <c r="U1264" s="18" t="n">
        <v>0.4</v>
      </c>
      <c r="V1264" s="26" t="n">
        <v>22.83559322033899</v>
      </c>
      <c r="W1264" s="26">
        <f>V1264 - L1264</f>
        <v/>
      </c>
    </row>
    <row r="1265">
      <c r="A1265" s="11" t="n">
        <v>46215</v>
      </c>
      <c r="B1265" s="1" t="n">
        <v>20080</v>
      </c>
      <c r="C1265" s="1" t="inlineStr">
        <is>
          <t>026</t>
        </is>
      </c>
      <c r="D1265" s="1" t="inlineStr">
        <is>
          <t>208973</t>
        </is>
      </c>
      <c r="E1265" s="1" t="inlineStr">
        <is>
          <t xml:space="preserve">34840556       </t>
        </is>
      </c>
      <c r="F1265" s="5" t="inlineStr">
        <is>
          <t>TMZ BEAST MACH. TRANSPORT DINO +ACCS</t>
        </is>
      </c>
      <c r="G1265" t="n">
        <v>1</v>
      </c>
      <c r="H1265" s="7" t="n">
        <v>79.90000000000001</v>
      </c>
      <c r="I1265" s="7" t="n">
        <v>0</v>
      </c>
      <c r="J1265" s="7" t="n">
        <v>0</v>
      </c>
      <c r="K1265" s="9" t="n">
        <v>0</v>
      </c>
      <c r="L1265" s="10" t="n">
        <v>47.4</v>
      </c>
      <c r="M1265" s="10" t="n">
        <v>1.43</v>
      </c>
      <c r="N1265" t="inlineStr">
        <is>
          <t>1</t>
        </is>
      </c>
      <c r="O1265" t="inlineStr">
        <is>
          <t>16</t>
        </is>
      </c>
      <c r="P1265" t="inlineStr">
        <is>
          <t xml:space="preserve">79951   </t>
        </is>
      </c>
      <c r="Q1265" s="26" t="n">
        <v>79.90000000000002</v>
      </c>
      <c r="R1265" s="26">
        <f>Q1265*G1265</f>
        <v/>
      </c>
      <c r="S1265" t="n">
        <v>47.4</v>
      </c>
      <c r="T1265" s="18">
        <f>1 - V1265/S1265</f>
        <v/>
      </c>
      <c r="U1265" s="18" t="n">
        <v>0.2503128911138924</v>
      </c>
      <c r="V1265" s="26" t="n">
        <v>38.07203389830509</v>
      </c>
      <c r="W1265" s="26">
        <f>V1265 - L1265</f>
        <v/>
      </c>
    </row>
    <row r="1266">
      <c r="A1266" s="11" t="n">
        <v>46215</v>
      </c>
      <c r="B1266" s="1" t="n">
        <v>20080</v>
      </c>
      <c r="C1266" s="1" t="inlineStr">
        <is>
          <t>029</t>
        </is>
      </c>
      <c r="D1266" s="1" t="inlineStr">
        <is>
          <t>225375</t>
        </is>
      </c>
      <c r="E1266" s="1" t="inlineStr">
        <is>
          <t xml:space="preserve">31675352       </t>
        </is>
      </c>
      <c r="F1266" s="5" t="inlineStr">
        <is>
          <t>MI PEQUENO NENUCO</t>
        </is>
      </c>
      <c r="G1266" t="n">
        <v>1</v>
      </c>
      <c r="H1266" s="7" t="n">
        <v>69.90000000000001</v>
      </c>
      <c r="I1266" s="7" t="n">
        <v>6.99</v>
      </c>
      <c r="J1266" s="7" t="n">
        <v>0</v>
      </c>
      <c r="K1266" s="9" t="n">
        <v>6.99</v>
      </c>
      <c r="L1266" s="10" t="n">
        <v>37.32</v>
      </c>
      <c r="M1266" s="10" t="n">
        <v>1.43</v>
      </c>
      <c r="N1266" t="inlineStr">
        <is>
          <t>1</t>
        </is>
      </c>
      <c r="O1266" t="inlineStr">
        <is>
          <t xml:space="preserve">3 </t>
        </is>
      </c>
      <c r="P1266" t="inlineStr">
        <is>
          <t xml:space="preserve">66621   </t>
        </is>
      </c>
      <c r="Q1266" s="26" t="n">
        <v>69.90000000000001</v>
      </c>
      <c r="R1266" s="26">
        <f>Q1266*G1266</f>
        <v/>
      </c>
      <c r="S1266" t="n">
        <v>41.47</v>
      </c>
      <c r="T1266" s="18">
        <f>1 - V1266/S1266</f>
        <v/>
      </c>
      <c r="U1266" s="18" t="n">
        <v>0.2861230329041489</v>
      </c>
      <c r="V1266" s="26" t="n">
        <v>31.71610169491525</v>
      </c>
      <c r="W1266" s="26">
        <f>V1266 - L1266</f>
        <v/>
      </c>
    </row>
    <row r="1267">
      <c r="A1267" s="11" t="n">
        <v>46215</v>
      </c>
      <c r="B1267" s="1" t="n">
        <v>20086</v>
      </c>
      <c r="C1267" s="1" t="inlineStr">
        <is>
          <t>501</t>
        </is>
      </c>
      <c r="D1267" s="1" t="inlineStr">
        <is>
          <t xml:space="preserve">4678  </t>
        </is>
      </c>
      <c r="E1267" s="1" t="inlineStr">
        <is>
          <t xml:space="preserve">28194769       </t>
        </is>
      </c>
      <c r="F1267" s="5" t="inlineStr">
        <is>
          <t>AUTOS DE METAL 3 TEAMSTERZ PACK DE 2</t>
        </is>
      </c>
      <c r="G1267" t="n">
        <v>2</v>
      </c>
      <c r="H1267" s="7" t="n">
        <v>27.6</v>
      </c>
      <c r="I1267" s="7" t="n">
        <v>2.76</v>
      </c>
      <c r="J1267" s="7" t="n">
        <v>0</v>
      </c>
      <c r="K1267" s="9" t="n">
        <v>2.76</v>
      </c>
      <c r="L1267" s="10" t="n">
        <v>14.74</v>
      </c>
      <c r="M1267" s="10" t="n">
        <v>1.43</v>
      </c>
      <c r="N1267" t="inlineStr">
        <is>
          <t>1</t>
        </is>
      </c>
      <c r="O1267" t="inlineStr">
        <is>
          <t>16</t>
        </is>
      </c>
      <c r="P1267" t="inlineStr">
        <is>
          <t xml:space="preserve">248208  </t>
        </is>
      </c>
      <c r="Q1267" s="26" t="n">
        <v>13.8</v>
      </c>
      <c r="R1267" s="26">
        <f>Q1267*G1267</f>
        <v/>
      </c>
      <c r="S1267" t="n">
        <v>16.38</v>
      </c>
      <c r="T1267" s="18">
        <f>1 - V1267/S1267</f>
        <v/>
      </c>
      <c r="U1267" s="18" t="n">
        <v>0</v>
      </c>
      <c r="V1267" s="26" t="n">
        <v>16.38</v>
      </c>
      <c r="W1267" s="26">
        <f>V1267 - L1267</f>
        <v/>
      </c>
    </row>
    <row r="1268">
      <c r="A1268" s="11" t="n">
        <v>46215</v>
      </c>
      <c r="B1268" s="1" t="n">
        <v>20088</v>
      </c>
      <c r="C1268" s="1" t="inlineStr">
        <is>
          <t>011</t>
        </is>
      </c>
      <c r="D1268" s="1" t="inlineStr">
        <is>
          <t xml:space="preserve">63486 </t>
        </is>
      </c>
      <c r="E1268" s="1" t="inlineStr">
        <is>
          <t xml:space="preserve">32457099       </t>
        </is>
      </c>
      <c r="F1268" s="5" t="inlineStr">
        <is>
          <t>TMZ BEAST MACHINES MONSTER JAWS A FRICCION BLISTER</t>
        </is>
      </c>
      <c r="G1268" t="n">
        <v>1</v>
      </c>
      <c r="H1268" s="7" t="n">
        <v>17.9</v>
      </c>
      <c r="I1268" s="7" t="n">
        <v>0</v>
      </c>
      <c r="J1268" s="7" t="n">
        <v>0</v>
      </c>
      <c r="K1268" s="9" t="n">
        <v>0</v>
      </c>
      <c r="L1268" s="10" t="n">
        <v>10.62</v>
      </c>
      <c r="M1268" s="10" t="n">
        <v>1.43</v>
      </c>
      <c r="N1268" t="inlineStr">
        <is>
          <t>1</t>
        </is>
      </c>
      <c r="O1268" t="inlineStr">
        <is>
          <t>16</t>
        </is>
      </c>
      <c r="P1268" t="inlineStr">
        <is>
          <t xml:space="preserve">232153  </t>
        </is>
      </c>
      <c r="Q1268" s="26" t="n">
        <v>19.9</v>
      </c>
      <c r="R1268" s="26">
        <f>Q1268*G1268</f>
        <v/>
      </c>
      <c r="S1268" t="n">
        <v>11.81</v>
      </c>
      <c r="T1268" s="18">
        <f>1 - V1268/S1268</f>
        <v/>
      </c>
      <c r="U1268" s="18" t="n">
        <v>0.1005025125628141</v>
      </c>
      <c r="V1268" s="26" t="n">
        <v>8.417118644067797</v>
      </c>
      <c r="W1268" s="26">
        <f>V1268 - L1268</f>
        <v/>
      </c>
    </row>
    <row r="1269">
      <c r="A1269" s="11" t="n">
        <v>46215</v>
      </c>
      <c r="B1269" s="1" t="n">
        <v>20088</v>
      </c>
      <c r="C1269" s="1" t="inlineStr">
        <is>
          <t>021</t>
        </is>
      </c>
      <c r="D1269" s="1" t="inlineStr">
        <is>
          <t xml:space="preserve">48892 </t>
        </is>
      </c>
      <c r="E1269" s="1" t="inlineStr">
        <is>
          <t xml:space="preserve">28194769       </t>
        </is>
      </c>
      <c r="F1269" s="5" t="inlineStr">
        <is>
          <t>AUTOS DE METAL 3 TEAMSTERZ PACK DE 2</t>
        </is>
      </c>
      <c r="G1269" t="n">
        <v>1</v>
      </c>
      <c r="H1269" s="7" t="n">
        <v>13.8</v>
      </c>
      <c r="I1269" s="7" t="n">
        <v>1.38</v>
      </c>
      <c r="J1269" s="7" t="n">
        <v>0</v>
      </c>
      <c r="K1269" s="9" t="n">
        <v>1.38</v>
      </c>
      <c r="L1269" s="10" t="n">
        <v>7.37</v>
      </c>
      <c r="M1269" s="10" t="n">
        <v>1.43</v>
      </c>
      <c r="N1269" t="inlineStr">
        <is>
          <t>1</t>
        </is>
      </c>
      <c r="O1269" t="inlineStr">
        <is>
          <t xml:space="preserve">3 </t>
        </is>
      </c>
      <c r="P1269" t="inlineStr">
        <is>
          <t xml:space="preserve">249601  </t>
        </is>
      </c>
      <c r="Q1269" s="26" t="n">
        <v>13.8</v>
      </c>
      <c r="R1269" s="26">
        <f>Q1269*G1269</f>
        <v/>
      </c>
      <c r="S1269" t="n">
        <v>8.19</v>
      </c>
      <c r="T1269" s="18">
        <f>1 - V1269/S1269</f>
        <v/>
      </c>
      <c r="U1269" s="18" t="n">
        <v>0</v>
      </c>
      <c r="V1269" s="26" t="n">
        <v>8.19</v>
      </c>
      <c r="W1269" s="26">
        <f>V1269 - L1269</f>
        <v/>
      </c>
    </row>
    <row r="1270">
      <c r="A1270" s="11" t="n">
        <v>46215</v>
      </c>
      <c r="B1270" s="1" t="n">
        <v>20088</v>
      </c>
      <c r="C1270" s="1" t="inlineStr">
        <is>
          <t>023</t>
        </is>
      </c>
      <c r="D1270" s="1" t="inlineStr">
        <is>
          <t>126926</t>
        </is>
      </c>
      <c r="E1270" s="1" t="inlineStr">
        <is>
          <t xml:space="preserve">33661538       </t>
        </is>
      </c>
      <c r="F1270" s="5" t="inlineStr">
        <is>
          <t>HOT WHEELS CASE GARAGE RUEDA METAL EN LLAMAS X 29</t>
        </is>
      </c>
      <c r="G1270" t="n">
        <v>1</v>
      </c>
      <c r="H1270" s="7" t="n">
        <v>69.90000000000001</v>
      </c>
      <c r="I1270" s="7" t="n">
        <v>0</v>
      </c>
      <c r="J1270" s="7" t="n">
        <v>0</v>
      </c>
      <c r="K1270" s="9" t="n">
        <v>0</v>
      </c>
      <c r="L1270" s="10" t="n">
        <v>41.47</v>
      </c>
      <c r="M1270" s="10" t="n">
        <v>1.43</v>
      </c>
      <c r="N1270" t="inlineStr">
        <is>
          <t>1</t>
        </is>
      </c>
      <c r="O1270" t="inlineStr">
        <is>
          <t>16</t>
        </is>
      </c>
      <c r="P1270" t="inlineStr">
        <is>
          <t xml:space="preserve">233525  </t>
        </is>
      </c>
      <c r="Q1270" s="26" t="n">
        <v>69.90000000000001</v>
      </c>
      <c r="R1270" s="26">
        <f>Q1270*G1270</f>
        <v/>
      </c>
      <c r="S1270" t="n">
        <v>41.47</v>
      </c>
      <c r="T1270" s="18">
        <f>1 - V1270/S1270</f>
        <v/>
      </c>
      <c r="U1270" s="18" t="n">
        <v>0</v>
      </c>
      <c r="V1270" s="26" t="n">
        <v>41.47</v>
      </c>
      <c r="W1270" s="26">
        <f>V1270 - L1270</f>
        <v/>
      </c>
    </row>
    <row r="1271">
      <c r="A1271" s="11" t="n">
        <v>46215</v>
      </c>
      <c r="B1271" s="1" t="n">
        <v>20088</v>
      </c>
      <c r="C1271" s="1" t="inlineStr">
        <is>
          <t>023</t>
        </is>
      </c>
      <c r="D1271" s="1" t="inlineStr">
        <is>
          <t>126949</t>
        </is>
      </c>
      <c r="E1271" s="1" t="inlineStr">
        <is>
          <t xml:space="preserve">30141766       </t>
        </is>
      </c>
      <c r="F1271" s="5" t="inlineStr">
        <is>
          <t>TMZ BEAST MACHINES AUTOS DE METAL BLISTER X 1</t>
        </is>
      </c>
      <c r="G1271" t="n">
        <v>1</v>
      </c>
      <c r="H1271" s="7" t="n">
        <v>7.9</v>
      </c>
      <c r="I1271" s="7" t="n">
        <v>0</v>
      </c>
      <c r="J1271" s="7" t="n">
        <v>0</v>
      </c>
      <c r="K1271" s="9" t="n">
        <v>0</v>
      </c>
      <c r="L1271" s="10" t="n">
        <v>4.68</v>
      </c>
      <c r="M1271" s="10" t="n">
        <v>1.43</v>
      </c>
      <c r="N1271" t="inlineStr">
        <is>
          <t>1</t>
        </is>
      </c>
      <c r="O1271" t="inlineStr">
        <is>
          <t>16</t>
        </is>
      </c>
      <c r="P1271" t="inlineStr">
        <is>
          <t xml:space="preserve">233525  </t>
        </is>
      </c>
      <c r="Q1271" s="26" t="n">
        <v>7.9</v>
      </c>
      <c r="R1271" s="26">
        <f>Q1271*G1271</f>
        <v/>
      </c>
      <c r="S1271" t="n">
        <v>4.69</v>
      </c>
      <c r="T1271" s="18">
        <f>1 - V1271/S1271</f>
        <v/>
      </c>
      <c r="U1271" s="18" t="n">
        <v>0</v>
      </c>
      <c r="V1271" s="26" t="n">
        <v>4.69</v>
      </c>
      <c r="W1271" s="26">
        <f>V1271 - L1271</f>
        <v/>
      </c>
    </row>
    <row r="1272">
      <c r="A1272" s="11" t="n">
        <v>46215</v>
      </c>
      <c r="B1272" s="1" t="n">
        <v>20088</v>
      </c>
      <c r="C1272" s="1" t="inlineStr">
        <is>
          <t>023</t>
        </is>
      </c>
      <c r="D1272" s="1" t="inlineStr">
        <is>
          <t>126964</t>
        </is>
      </c>
      <c r="E1272" s="1" t="inlineStr">
        <is>
          <t xml:space="preserve">34840551       </t>
        </is>
      </c>
      <c r="F1272" s="5" t="inlineStr">
        <is>
          <t>TMZ HELI BOMBERO CON LUCES Y SONIDOS</t>
        </is>
      </c>
      <c r="G1272" t="n">
        <v>1</v>
      </c>
      <c r="H1272" s="7" t="n">
        <v>79.90000000000001</v>
      </c>
      <c r="I1272" s="7" t="n">
        <v>0</v>
      </c>
      <c r="J1272" s="7" t="n">
        <v>0</v>
      </c>
      <c r="K1272" s="9" t="n">
        <v>0</v>
      </c>
      <c r="L1272" s="10" t="n">
        <v>47.4</v>
      </c>
      <c r="M1272" s="10" t="n">
        <v>1.43</v>
      </c>
      <c r="N1272" t="inlineStr">
        <is>
          <t>1</t>
        </is>
      </c>
      <c r="O1272" t="inlineStr">
        <is>
          <t xml:space="preserve">2 </t>
        </is>
      </c>
      <c r="P1272" t="inlineStr">
        <is>
          <t xml:space="preserve">233525  </t>
        </is>
      </c>
      <c r="Q1272" s="26" t="n">
        <v>79.90000000000002</v>
      </c>
      <c r="R1272" s="26">
        <f>Q1272*G1272</f>
        <v/>
      </c>
      <c r="S1272" t="n">
        <v>47.4</v>
      </c>
      <c r="T1272" s="18">
        <f>1 - V1272/S1272</f>
        <v/>
      </c>
      <c r="U1272" s="18" t="n">
        <v>0</v>
      </c>
      <c r="V1272" s="26" t="n">
        <v>47.4</v>
      </c>
      <c r="W1272" s="26">
        <f>V1272 - L1272</f>
        <v/>
      </c>
    </row>
    <row r="1273">
      <c r="A1273" s="11" t="n">
        <v>46215</v>
      </c>
      <c r="B1273" s="1" t="n">
        <v>20088</v>
      </c>
      <c r="C1273" s="1" t="inlineStr">
        <is>
          <t>023</t>
        </is>
      </c>
      <c r="D1273" s="1" t="inlineStr">
        <is>
          <t>126974</t>
        </is>
      </c>
      <c r="E1273" s="1" t="inlineStr">
        <is>
          <t xml:space="preserve">32457099       </t>
        </is>
      </c>
      <c r="F1273" s="5" t="inlineStr">
        <is>
          <t>TMZ BEAST MACHINES MONSTER JAWS A FRICCION BLISTER</t>
        </is>
      </c>
      <c r="G1273" t="n">
        <v>1</v>
      </c>
      <c r="H1273" s="7" t="n">
        <v>17.9</v>
      </c>
      <c r="I1273" s="7" t="n">
        <v>1.79</v>
      </c>
      <c r="J1273" s="7" t="n">
        <v>0</v>
      </c>
      <c r="K1273" s="9" t="n">
        <v>1.79</v>
      </c>
      <c r="L1273" s="10" t="n">
        <v>9.56</v>
      </c>
      <c r="M1273" s="10" t="n">
        <v>1.43</v>
      </c>
      <c r="N1273" t="inlineStr">
        <is>
          <t>1</t>
        </is>
      </c>
      <c r="O1273" t="inlineStr">
        <is>
          <t xml:space="preserve">3 </t>
        </is>
      </c>
      <c r="P1273" t="inlineStr">
        <is>
          <t xml:space="preserve">233525  </t>
        </is>
      </c>
      <c r="Q1273" s="26" t="n">
        <v>19.9</v>
      </c>
      <c r="R1273" s="26">
        <f>Q1273*G1273</f>
        <v/>
      </c>
      <c r="S1273" t="n">
        <v>11.81</v>
      </c>
      <c r="T1273" s="18">
        <f>1 - V1273/S1273</f>
        <v/>
      </c>
      <c r="U1273" s="18" t="n">
        <v>0.1005025125628141</v>
      </c>
      <c r="V1273" s="26" t="n">
        <v>8.417118644067797</v>
      </c>
      <c r="W1273" s="26">
        <f>V1273 - L1273</f>
        <v/>
      </c>
    </row>
    <row r="1274">
      <c r="A1274" s="11" t="n">
        <v>46215</v>
      </c>
      <c r="B1274" s="1" t="n">
        <v>20088</v>
      </c>
      <c r="C1274" s="1" t="inlineStr">
        <is>
          <t>034</t>
        </is>
      </c>
      <c r="D1274" s="1" t="inlineStr">
        <is>
          <t xml:space="preserve">15956 </t>
        </is>
      </c>
      <c r="E1274" s="1" t="inlineStr">
        <is>
          <t xml:space="preserve">32457099       </t>
        </is>
      </c>
      <c r="F1274" s="5" t="inlineStr">
        <is>
          <t>TMZ BEAST MACHINES MONSTER JAWS A FRICCION BLISTER</t>
        </is>
      </c>
      <c r="G1274" t="n">
        <v>1</v>
      </c>
      <c r="H1274" s="7" t="n">
        <v>17.9</v>
      </c>
      <c r="I1274" s="7" t="n">
        <v>1.79</v>
      </c>
      <c r="J1274" s="7" t="n">
        <v>0</v>
      </c>
      <c r="K1274" s="9" t="n">
        <v>1.79</v>
      </c>
      <c r="L1274" s="10" t="n">
        <v>9.56</v>
      </c>
      <c r="M1274" s="10" t="n">
        <v>1.43</v>
      </c>
      <c r="N1274" t="inlineStr">
        <is>
          <t>1</t>
        </is>
      </c>
      <c r="O1274" t="inlineStr">
        <is>
          <t xml:space="preserve">3 </t>
        </is>
      </c>
      <c r="P1274" t="inlineStr">
        <is>
          <t xml:space="preserve">241571  </t>
        </is>
      </c>
      <c r="Q1274" s="26" t="n">
        <v>19.9</v>
      </c>
      <c r="R1274" s="26">
        <f>Q1274*G1274</f>
        <v/>
      </c>
      <c r="S1274" t="n">
        <v>11.81</v>
      </c>
      <c r="T1274" s="18">
        <f>1 - V1274/S1274</f>
        <v/>
      </c>
      <c r="U1274" s="18" t="n">
        <v>0.1005025125628141</v>
      </c>
      <c r="V1274" s="26" t="n">
        <v>8.417118644067797</v>
      </c>
      <c r="W1274" s="26">
        <f>V1274 - L1274</f>
        <v/>
      </c>
    </row>
    <row r="1275">
      <c r="A1275" s="11" t="n">
        <v>46215</v>
      </c>
      <c r="B1275" s="1" t="n">
        <v>20088</v>
      </c>
      <c r="C1275" s="1" t="inlineStr">
        <is>
          <t>517</t>
        </is>
      </c>
      <c r="D1275" s="1" t="inlineStr">
        <is>
          <t xml:space="preserve">3333  </t>
        </is>
      </c>
      <c r="E1275" s="1" t="inlineStr">
        <is>
          <t xml:space="preserve">28194768       </t>
        </is>
      </c>
      <c r="F1275" s="5" t="inlineStr">
        <is>
          <t>AUTO COLOR CHANGE TEAMSTERZ SURTIDO</t>
        </is>
      </c>
      <c r="G1275" t="n">
        <v>1</v>
      </c>
      <c r="H1275" s="7" t="n">
        <v>14.9</v>
      </c>
      <c r="I1275" s="7" t="n">
        <v>0</v>
      </c>
      <c r="J1275" s="7" t="n">
        <v>0</v>
      </c>
      <c r="K1275" s="9" t="n">
        <v>0</v>
      </c>
      <c r="L1275" s="10" t="n">
        <v>8.84</v>
      </c>
      <c r="M1275" s="10" t="n">
        <v>1.43</v>
      </c>
      <c r="N1275" t="inlineStr">
        <is>
          <t>1</t>
        </is>
      </c>
      <c r="O1275" t="inlineStr">
        <is>
          <t>16</t>
        </is>
      </c>
      <c r="P1275" t="inlineStr">
        <is>
          <t xml:space="preserve">36199   </t>
        </is>
      </c>
      <c r="Q1275" s="26" t="n">
        <v>14.9</v>
      </c>
      <c r="R1275" s="26">
        <f>Q1275*G1275</f>
        <v/>
      </c>
      <c r="S1275" t="n">
        <v>8.84</v>
      </c>
      <c r="T1275" s="18">
        <f>1 - V1275/S1275</f>
        <v/>
      </c>
      <c r="U1275" s="18" t="n">
        <v>0</v>
      </c>
      <c r="V1275" s="26" t="n">
        <v>8.84</v>
      </c>
      <c r="W1275" s="26">
        <f>V1275 - L1275</f>
        <v/>
      </c>
    </row>
    <row r="1276">
      <c r="A1276" s="11" t="n">
        <v>46215</v>
      </c>
      <c r="B1276" s="1" t="n">
        <v>20089</v>
      </c>
      <c r="C1276" s="1" t="inlineStr">
        <is>
          <t>025</t>
        </is>
      </c>
      <c r="D1276" s="1" t="inlineStr">
        <is>
          <t>121596</t>
        </is>
      </c>
      <c r="E1276" s="1" t="inlineStr">
        <is>
          <t xml:space="preserve">28194770       </t>
        </is>
      </c>
      <c r="F1276" s="5" t="inlineStr">
        <is>
          <t>AUTOS DE METAL 3 TEAMSTERZ EN BLISTER</t>
        </is>
      </c>
      <c r="G1276" t="n">
        <v>1</v>
      </c>
      <c r="H1276" s="7" t="n">
        <v>6.9</v>
      </c>
      <c r="I1276" s="7" t="n">
        <v>0</v>
      </c>
      <c r="J1276" s="7" t="n">
        <v>0</v>
      </c>
      <c r="K1276" s="9" t="n">
        <v>0</v>
      </c>
      <c r="L1276" s="10" t="n">
        <v>4.1</v>
      </c>
      <c r="M1276" s="10" t="n">
        <v>1.43</v>
      </c>
      <c r="N1276" t="inlineStr">
        <is>
          <t>1</t>
        </is>
      </c>
      <c r="O1276" t="inlineStr">
        <is>
          <t xml:space="preserve">2 </t>
        </is>
      </c>
      <c r="P1276" t="inlineStr">
        <is>
          <t xml:space="preserve">232968  </t>
        </is>
      </c>
      <c r="Q1276" s="26" t="n">
        <v>6.9</v>
      </c>
      <c r="R1276" s="26">
        <f>Q1276*G1276</f>
        <v/>
      </c>
      <c r="S1276" t="n">
        <v>4.09</v>
      </c>
      <c r="T1276" s="18">
        <f>1 - V1276/S1276</f>
        <v/>
      </c>
      <c r="U1276" s="18" t="n">
        <v>0</v>
      </c>
      <c r="V1276" s="26" t="n">
        <v>4.09</v>
      </c>
      <c r="W1276" s="26">
        <f>V1276 - L1276</f>
        <v/>
      </c>
    </row>
    <row r="1277">
      <c r="A1277" s="11" t="n">
        <v>46215</v>
      </c>
      <c r="B1277" s="1" t="n">
        <v>20089</v>
      </c>
      <c r="C1277" s="1" t="inlineStr">
        <is>
          <t>025</t>
        </is>
      </c>
      <c r="D1277" s="1" t="inlineStr">
        <is>
          <t>121608</t>
        </is>
      </c>
      <c r="E1277" s="1" t="inlineStr">
        <is>
          <t xml:space="preserve">31959956       </t>
        </is>
      </c>
      <c r="F1277" s="5" t="inlineStr">
        <is>
          <t>TEAMSTERZ CAMION TRANSPORTA ANIMALES SURTIDO</t>
        </is>
      </c>
      <c r="G1277" t="n">
        <v>1</v>
      </c>
      <c r="H1277" s="7" t="n">
        <v>17.9</v>
      </c>
      <c r="I1277" s="7" t="n">
        <v>0</v>
      </c>
      <c r="J1277" s="7" t="n">
        <v>0</v>
      </c>
      <c r="K1277" s="9" t="n">
        <v>0</v>
      </c>
      <c r="L1277" s="10" t="n">
        <v>10.62</v>
      </c>
      <c r="M1277" s="10" t="n">
        <v>1.43</v>
      </c>
      <c r="N1277" t="inlineStr">
        <is>
          <t>1</t>
        </is>
      </c>
      <c r="O1277" t="inlineStr">
        <is>
          <t>16</t>
        </is>
      </c>
      <c r="P1277" t="inlineStr">
        <is>
          <t xml:space="preserve">232968  </t>
        </is>
      </c>
      <c r="Q1277" s="26" t="n">
        <v>17.9</v>
      </c>
      <c r="R1277" s="26">
        <f>Q1277*G1277</f>
        <v/>
      </c>
      <c r="S1277" t="n">
        <v>10.62</v>
      </c>
      <c r="T1277" s="18">
        <f>1 - V1277/S1277</f>
        <v/>
      </c>
      <c r="U1277" s="18" t="n">
        <v>0</v>
      </c>
      <c r="V1277" s="26" t="n">
        <v>10.62</v>
      </c>
      <c r="W1277" s="26">
        <f>V1277 - L1277</f>
        <v/>
      </c>
    </row>
    <row r="1278">
      <c r="A1278" s="11" t="n">
        <v>46215</v>
      </c>
      <c r="B1278" s="1" t="n">
        <v>20089</v>
      </c>
      <c r="C1278" s="1" t="inlineStr">
        <is>
          <t>025</t>
        </is>
      </c>
      <c r="D1278" s="1" t="inlineStr">
        <is>
          <t>121633</t>
        </is>
      </c>
      <c r="E1278" s="1" t="inlineStr">
        <is>
          <t xml:space="preserve">30232284       </t>
        </is>
      </c>
      <c r="F1278" s="5" t="inlineStr">
        <is>
          <t>INFINITY NADO TROMPO DE BATALLA - METAL C/PUNTA DE</t>
        </is>
      </c>
      <c r="G1278" t="n">
        <v>1</v>
      </c>
      <c r="H1278" s="7" t="n">
        <v>49.9</v>
      </c>
      <c r="I1278" s="7" t="n">
        <v>0</v>
      </c>
      <c r="J1278" s="7" t="n">
        <v>0</v>
      </c>
      <c r="K1278" s="9" t="n">
        <v>0</v>
      </c>
      <c r="L1278" s="10" t="n">
        <v>29.6</v>
      </c>
      <c r="M1278" s="10" t="n">
        <v>1.43</v>
      </c>
      <c r="N1278" t="inlineStr">
        <is>
          <t>1</t>
        </is>
      </c>
      <c r="O1278" t="inlineStr">
        <is>
          <t>16</t>
        </is>
      </c>
      <c r="P1278" t="inlineStr">
        <is>
          <t xml:space="preserve">232968  </t>
        </is>
      </c>
      <c r="Q1278" s="26" t="n">
        <v>49.9</v>
      </c>
      <c r="R1278" s="26">
        <f>Q1278*G1278</f>
        <v/>
      </c>
      <c r="S1278" t="n">
        <v>29.6</v>
      </c>
      <c r="T1278" s="18">
        <f>1 - V1278/S1278</f>
        <v/>
      </c>
      <c r="U1278" s="18" t="n">
        <v>0.3006012024048096</v>
      </c>
      <c r="V1278" s="26" t="n">
        <v>22.18220338983051</v>
      </c>
      <c r="W1278" s="26">
        <f>V1278 - L1278</f>
        <v/>
      </c>
    </row>
    <row r="1279">
      <c r="A1279" s="11" t="n">
        <v>46215</v>
      </c>
      <c r="B1279" s="1" t="n">
        <v>20089</v>
      </c>
      <c r="C1279" s="1" t="inlineStr">
        <is>
          <t>026</t>
        </is>
      </c>
      <c r="D1279" s="1" t="inlineStr">
        <is>
          <t xml:space="preserve">87731 </t>
        </is>
      </c>
      <c r="E1279" s="1" t="inlineStr">
        <is>
          <t xml:space="preserve">29235700       </t>
        </is>
      </c>
      <c r="F1279" s="5" t="inlineStr">
        <is>
          <t>HOT WHEELS CASE METALICO PARA GUARDAR 18 CARRITOS</t>
        </is>
      </c>
      <c r="G1279" t="n">
        <v>1</v>
      </c>
      <c r="H1279" s="7" t="n">
        <v>49.9</v>
      </c>
      <c r="I1279" s="7" t="n">
        <v>0</v>
      </c>
      <c r="J1279" s="7" t="n">
        <v>0</v>
      </c>
      <c r="K1279" s="9" t="n">
        <v>0</v>
      </c>
      <c r="L1279" s="10" t="n">
        <v>29.6</v>
      </c>
      <c r="M1279" s="10" t="n">
        <v>1.43</v>
      </c>
      <c r="N1279" t="inlineStr">
        <is>
          <t>1</t>
        </is>
      </c>
      <c r="O1279" t="inlineStr">
        <is>
          <t>16</t>
        </is>
      </c>
      <c r="P1279" t="inlineStr">
        <is>
          <t xml:space="preserve">238367  </t>
        </is>
      </c>
      <c r="Q1279" s="26" t="n">
        <v>49.90000000000001</v>
      </c>
      <c r="R1279" s="26">
        <f>Q1279*G1279</f>
        <v/>
      </c>
      <c r="S1279" t="n">
        <v>29.6</v>
      </c>
      <c r="T1279" s="18">
        <f>1 - V1279/S1279</f>
        <v/>
      </c>
      <c r="U1279" s="18" t="n">
        <v>0</v>
      </c>
      <c r="V1279" s="26" t="n">
        <v>29.6</v>
      </c>
      <c r="W1279" s="26">
        <f>V1279 - L1279</f>
        <v/>
      </c>
    </row>
    <row r="1280">
      <c r="A1280" s="11" t="n">
        <v>46215</v>
      </c>
      <c r="B1280" s="1" t="n">
        <v>20089</v>
      </c>
      <c r="C1280" s="1" t="inlineStr">
        <is>
          <t>027</t>
        </is>
      </c>
      <c r="D1280" s="1" t="inlineStr">
        <is>
          <t xml:space="preserve">15799 </t>
        </is>
      </c>
      <c r="E1280" s="1" t="inlineStr">
        <is>
          <t xml:space="preserve">28194770       </t>
        </is>
      </c>
      <c r="F1280" s="5" t="inlineStr">
        <is>
          <t>AUTOS DE METAL 3 TEAMSTERZ EN BLISTER</t>
        </is>
      </c>
      <c r="G1280" t="n">
        <v>1</v>
      </c>
      <c r="H1280" s="7" t="n">
        <v>6.9</v>
      </c>
      <c r="I1280" s="7" t="n">
        <v>0</v>
      </c>
      <c r="J1280" s="7" t="n">
        <v>0</v>
      </c>
      <c r="K1280" s="9" t="n">
        <v>0</v>
      </c>
      <c r="L1280" s="10" t="n">
        <v>4.1</v>
      </c>
      <c r="M1280" s="10" t="n">
        <v>1.43</v>
      </c>
      <c r="N1280" t="inlineStr">
        <is>
          <t>1</t>
        </is>
      </c>
      <c r="O1280" t="inlineStr">
        <is>
          <t xml:space="preserve">2 </t>
        </is>
      </c>
      <c r="P1280" t="inlineStr">
        <is>
          <t xml:space="preserve">109709  </t>
        </is>
      </c>
      <c r="Q1280" s="26" t="n">
        <v>6.9</v>
      </c>
      <c r="R1280" s="26">
        <f>Q1280*G1280</f>
        <v/>
      </c>
      <c r="S1280" t="n">
        <v>4.09</v>
      </c>
      <c r="T1280" s="18">
        <f>1 - V1280/S1280</f>
        <v/>
      </c>
      <c r="U1280" s="18" t="n">
        <v>0</v>
      </c>
      <c r="V1280" s="26" t="n">
        <v>4.09</v>
      </c>
      <c r="W1280" s="26">
        <f>V1280 - L1280</f>
        <v/>
      </c>
    </row>
    <row r="1281">
      <c r="A1281" s="11" t="n">
        <v>46215</v>
      </c>
      <c r="B1281" s="1" t="n">
        <v>20089</v>
      </c>
      <c r="C1281" s="1" t="inlineStr">
        <is>
          <t>027</t>
        </is>
      </c>
      <c r="D1281" s="1" t="inlineStr">
        <is>
          <t xml:space="preserve">15831 </t>
        </is>
      </c>
      <c r="E1281" s="1" t="inlineStr">
        <is>
          <t xml:space="preserve">28194770       </t>
        </is>
      </c>
      <c r="F1281" s="5" t="inlineStr">
        <is>
          <t>AUTOS DE METAL 3 TEAMSTERZ EN BLISTER</t>
        </is>
      </c>
      <c r="G1281" t="n">
        <v>1</v>
      </c>
      <c r="H1281" s="7" t="n">
        <v>6.9</v>
      </c>
      <c r="I1281" s="7" t="n">
        <v>0</v>
      </c>
      <c r="J1281" s="7" t="n">
        <v>0</v>
      </c>
      <c r="K1281" s="9" t="n">
        <v>0</v>
      </c>
      <c r="L1281" s="10" t="n">
        <v>4.1</v>
      </c>
      <c r="M1281" s="10" t="n">
        <v>1.43</v>
      </c>
      <c r="N1281" t="inlineStr">
        <is>
          <t>1</t>
        </is>
      </c>
      <c r="O1281" t="inlineStr">
        <is>
          <t>16</t>
        </is>
      </c>
      <c r="P1281" t="inlineStr">
        <is>
          <t xml:space="preserve">109709  </t>
        </is>
      </c>
      <c r="Q1281" s="26" t="n">
        <v>6.9</v>
      </c>
      <c r="R1281" s="26">
        <f>Q1281*G1281</f>
        <v/>
      </c>
      <c r="S1281" t="n">
        <v>4.09</v>
      </c>
      <c r="T1281" s="18">
        <f>1 - V1281/S1281</f>
        <v/>
      </c>
      <c r="U1281" s="18" t="n">
        <v>0</v>
      </c>
      <c r="V1281" s="26" t="n">
        <v>4.09</v>
      </c>
      <c r="W1281" s="26">
        <f>V1281 - L1281</f>
        <v/>
      </c>
    </row>
    <row r="1282">
      <c r="A1282" s="11" t="n">
        <v>46215</v>
      </c>
      <c r="B1282" s="1" t="n">
        <v>20089</v>
      </c>
      <c r="C1282" s="1" t="inlineStr">
        <is>
          <t>027</t>
        </is>
      </c>
      <c r="D1282" s="1" t="inlineStr">
        <is>
          <t xml:space="preserve">15852 </t>
        </is>
      </c>
      <c r="E1282" s="1" t="inlineStr">
        <is>
          <t xml:space="preserve">28194770       </t>
        </is>
      </c>
      <c r="F1282" s="5" t="inlineStr">
        <is>
          <t>AUTOS DE METAL 3 TEAMSTERZ EN BLISTER</t>
        </is>
      </c>
      <c r="G1282" t="n">
        <v>1</v>
      </c>
      <c r="H1282" s="7" t="n">
        <v>6.9</v>
      </c>
      <c r="I1282" s="7" t="n">
        <v>0</v>
      </c>
      <c r="J1282" s="7" t="n">
        <v>0</v>
      </c>
      <c r="K1282" s="9" t="n">
        <v>0</v>
      </c>
      <c r="L1282" s="10" t="n">
        <v>4.1</v>
      </c>
      <c r="M1282" s="10" t="n">
        <v>1.43</v>
      </c>
      <c r="N1282" t="inlineStr">
        <is>
          <t>1</t>
        </is>
      </c>
      <c r="O1282" t="inlineStr">
        <is>
          <t xml:space="preserve">2 </t>
        </is>
      </c>
      <c r="P1282" t="inlineStr">
        <is>
          <t xml:space="preserve">109709  </t>
        </is>
      </c>
      <c r="Q1282" s="26" t="n">
        <v>6.9</v>
      </c>
      <c r="R1282" s="26">
        <f>Q1282*G1282</f>
        <v/>
      </c>
      <c r="S1282" t="n">
        <v>4.09</v>
      </c>
      <c r="T1282" s="18">
        <f>1 - V1282/S1282</f>
        <v/>
      </c>
      <c r="U1282" s="18" t="n">
        <v>0</v>
      </c>
      <c r="V1282" s="26" t="n">
        <v>4.09</v>
      </c>
      <c r="W1282" s="26">
        <f>V1282 - L1282</f>
        <v/>
      </c>
    </row>
    <row r="1283">
      <c r="A1283" s="11" t="n">
        <v>46215</v>
      </c>
      <c r="B1283" s="1" t="n">
        <v>20089</v>
      </c>
      <c r="C1283" s="1" t="inlineStr">
        <is>
          <t>029</t>
        </is>
      </c>
      <c r="D1283" s="1" t="inlineStr">
        <is>
          <t xml:space="preserve">182   </t>
        </is>
      </c>
      <c r="E1283" s="1" t="inlineStr">
        <is>
          <t xml:space="preserve">28194769       </t>
        </is>
      </c>
      <c r="F1283" s="5" t="inlineStr">
        <is>
          <t>AUTOS DE METAL 3 TEAMSTERZ PACK DE 2</t>
        </is>
      </c>
      <c r="G1283" t="n">
        <v>1</v>
      </c>
      <c r="H1283" s="7" t="n">
        <v>13.8</v>
      </c>
      <c r="I1283" s="7" t="n">
        <v>1.38</v>
      </c>
      <c r="J1283" s="7" t="n">
        <v>0</v>
      </c>
      <c r="K1283" s="9" t="n">
        <v>1.38</v>
      </c>
      <c r="L1283" s="10" t="n">
        <v>7.37</v>
      </c>
      <c r="M1283" s="10" t="n">
        <v>1.43</v>
      </c>
      <c r="N1283" t="inlineStr">
        <is>
          <t>1</t>
        </is>
      </c>
      <c r="O1283" t="inlineStr">
        <is>
          <t>16</t>
        </is>
      </c>
      <c r="P1283" t="inlineStr">
        <is>
          <t xml:space="preserve">250455  </t>
        </is>
      </c>
      <c r="Q1283" s="26" t="n">
        <v>13.8</v>
      </c>
      <c r="R1283" s="26">
        <f>Q1283*G1283</f>
        <v/>
      </c>
      <c r="S1283" t="n">
        <v>8.19</v>
      </c>
      <c r="T1283" s="18">
        <f>1 - V1283/S1283</f>
        <v/>
      </c>
      <c r="U1283" s="18" t="n">
        <v>0</v>
      </c>
      <c r="V1283" s="26" t="n">
        <v>8.19</v>
      </c>
      <c r="W1283" s="26">
        <f>V1283 - L1283</f>
        <v/>
      </c>
    </row>
    <row r="1284">
      <c r="A1284" s="11" t="n">
        <v>46215</v>
      </c>
      <c r="B1284" s="1" t="n">
        <v>20089</v>
      </c>
      <c r="C1284" s="1" t="inlineStr">
        <is>
          <t>860</t>
        </is>
      </c>
      <c r="D1284" s="1" t="inlineStr">
        <is>
          <t xml:space="preserve">9526  </t>
        </is>
      </c>
      <c r="E1284" s="1" t="inlineStr">
        <is>
          <t xml:space="preserve">28194770       </t>
        </is>
      </c>
      <c r="F1284" s="5" t="inlineStr">
        <is>
          <t>AUTOS DE METAL 3 TEAMSTERZ EN BLISTER</t>
        </is>
      </c>
      <c r="G1284" t="n">
        <v>1</v>
      </c>
      <c r="H1284" s="7" t="n">
        <v>6.9</v>
      </c>
      <c r="I1284" s="7" t="n">
        <v>0</v>
      </c>
      <c r="J1284" s="7" t="n">
        <v>0</v>
      </c>
      <c r="K1284" s="9" t="n">
        <v>0</v>
      </c>
      <c r="L1284" s="10" t="n">
        <v>4.1</v>
      </c>
      <c r="M1284" s="10" t="n">
        <v>1.43</v>
      </c>
      <c r="N1284" t="inlineStr">
        <is>
          <t>1</t>
        </is>
      </c>
      <c r="O1284" t="inlineStr">
        <is>
          <t>16</t>
        </is>
      </c>
      <c r="P1284" t="inlineStr">
        <is>
          <t xml:space="preserve">0       </t>
        </is>
      </c>
      <c r="Q1284" s="26" t="n">
        <v>6.9</v>
      </c>
      <c r="R1284" s="26">
        <f>Q1284*G1284</f>
        <v/>
      </c>
      <c r="S1284" t="n">
        <v>4.09</v>
      </c>
      <c r="T1284" s="18">
        <f>1 - V1284/S1284</f>
        <v/>
      </c>
      <c r="U1284" s="18" t="n">
        <v>0</v>
      </c>
      <c r="V1284" s="26" t="n">
        <v>4.09</v>
      </c>
      <c r="W1284" s="26">
        <f>V1284 - L1284</f>
        <v/>
      </c>
    </row>
    <row r="1285">
      <c r="A1285" s="11" t="n">
        <v>46215</v>
      </c>
      <c r="B1285" s="1" t="n">
        <v>20089</v>
      </c>
      <c r="C1285" s="1" t="inlineStr">
        <is>
          <t>860</t>
        </is>
      </c>
      <c r="D1285" s="1" t="inlineStr">
        <is>
          <t xml:space="preserve">9534  </t>
        </is>
      </c>
      <c r="E1285" s="1" t="inlineStr">
        <is>
          <t xml:space="preserve">28194770       </t>
        </is>
      </c>
      <c r="F1285" s="5" t="inlineStr">
        <is>
          <t>AUTOS DE METAL 3 TEAMSTERZ EN BLISTER</t>
        </is>
      </c>
      <c r="G1285" t="n">
        <v>1</v>
      </c>
      <c r="H1285" s="7" t="n">
        <v>6.9</v>
      </c>
      <c r="I1285" s="7" t="n">
        <v>0</v>
      </c>
      <c r="J1285" s="7" t="n">
        <v>0</v>
      </c>
      <c r="K1285" s="9" t="n">
        <v>0</v>
      </c>
      <c r="L1285" s="10" t="n">
        <v>4.1</v>
      </c>
      <c r="M1285" s="10" t="n">
        <v>1.43</v>
      </c>
      <c r="N1285" t="inlineStr">
        <is>
          <t>1</t>
        </is>
      </c>
      <c r="O1285" t="inlineStr">
        <is>
          <t>16</t>
        </is>
      </c>
      <c r="P1285" t="inlineStr">
        <is>
          <t xml:space="preserve">0       </t>
        </is>
      </c>
      <c r="Q1285" s="26" t="n">
        <v>6.9</v>
      </c>
      <c r="R1285" s="26">
        <f>Q1285*G1285</f>
        <v/>
      </c>
      <c r="S1285" t="n">
        <v>4.09</v>
      </c>
      <c r="T1285" s="18">
        <f>1 - V1285/S1285</f>
        <v/>
      </c>
      <c r="U1285" s="18" t="n">
        <v>0</v>
      </c>
      <c r="V1285" s="26" t="n">
        <v>4.09</v>
      </c>
      <c r="W1285" s="26">
        <f>V1285 - L1285</f>
        <v/>
      </c>
    </row>
    <row r="1286">
      <c r="A1286" s="11" t="n">
        <v>46215</v>
      </c>
      <c r="B1286" s="1" t="n">
        <v>20095</v>
      </c>
      <c r="C1286" s="1" t="inlineStr">
        <is>
          <t>043</t>
        </is>
      </c>
      <c r="D1286" s="1" t="inlineStr">
        <is>
          <t>107770</t>
        </is>
      </c>
      <c r="E1286" s="1" t="inlineStr">
        <is>
          <t xml:space="preserve">28194768       </t>
        </is>
      </c>
      <c r="F1286" s="5" t="inlineStr">
        <is>
          <t>AUTO COLOR CHANGE TEAMSTERZ SURTIDO</t>
        </is>
      </c>
      <c r="G1286" t="n">
        <v>1</v>
      </c>
      <c r="H1286" s="7" t="n">
        <v>14.9</v>
      </c>
      <c r="I1286" s="7" t="n">
        <v>1.49</v>
      </c>
      <c r="J1286" s="7" t="n">
        <v>0</v>
      </c>
      <c r="K1286" s="9" t="n">
        <v>1.49</v>
      </c>
      <c r="L1286" s="10" t="n">
        <v>7.95</v>
      </c>
      <c r="M1286" s="10" t="n">
        <v>1.43</v>
      </c>
      <c r="N1286" t="inlineStr">
        <is>
          <t>1</t>
        </is>
      </c>
      <c r="O1286" t="inlineStr">
        <is>
          <t xml:space="preserve">3 </t>
        </is>
      </c>
      <c r="P1286" t="inlineStr">
        <is>
          <t xml:space="preserve">38948   </t>
        </is>
      </c>
      <c r="Q1286" s="26" t="n">
        <v>14.9</v>
      </c>
      <c r="R1286" s="26">
        <f>Q1286*G1286</f>
        <v/>
      </c>
      <c r="S1286" t="n">
        <v>8.84</v>
      </c>
      <c r="T1286" s="18">
        <f>1 - V1286/S1286</f>
        <v/>
      </c>
      <c r="U1286" s="18" t="n">
        <v>0</v>
      </c>
      <c r="V1286" s="26" t="n">
        <v>8.84</v>
      </c>
      <c r="W1286" s="26">
        <f>V1286 - L1286</f>
        <v/>
      </c>
    </row>
    <row r="1287">
      <c r="A1287" s="11" t="n">
        <v>46215</v>
      </c>
      <c r="B1287" s="1" t="n">
        <v>20095</v>
      </c>
      <c r="C1287" s="1" t="inlineStr">
        <is>
          <t>044</t>
        </is>
      </c>
      <c r="D1287" s="1" t="inlineStr">
        <is>
          <t xml:space="preserve">93501 </t>
        </is>
      </c>
      <c r="E1287" s="1" t="inlineStr">
        <is>
          <t xml:space="preserve">28194770       </t>
        </is>
      </c>
      <c r="F1287" s="5" t="inlineStr">
        <is>
          <t>AUTOS DE METAL 3 TEAMSTERZ EN BLISTER</t>
        </is>
      </c>
      <c r="G1287" t="n">
        <v>1</v>
      </c>
      <c r="H1287" s="7" t="n">
        <v>6.9</v>
      </c>
      <c r="I1287" s="7" t="n">
        <v>0</v>
      </c>
      <c r="J1287" s="7" t="n">
        <v>0</v>
      </c>
      <c r="K1287" s="9" t="n">
        <v>0</v>
      </c>
      <c r="L1287" s="10" t="n">
        <v>4.1</v>
      </c>
      <c r="M1287" s="10" t="n">
        <v>1.43</v>
      </c>
      <c r="N1287" t="inlineStr">
        <is>
          <t>1</t>
        </is>
      </c>
      <c r="O1287" t="inlineStr">
        <is>
          <t>16</t>
        </is>
      </c>
      <c r="P1287" t="inlineStr">
        <is>
          <t xml:space="preserve">243250  </t>
        </is>
      </c>
      <c r="Q1287" s="26" t="n">
        <v>6.9</v>
      </c>
      <c r="R1287" s="26">
        <f>Q1287*G1287</f>
        <v/>
      </c>
      <c r="S1287" t="n">
        <v>4.09</v>
      </c>
      <c r="T1287" s="18">
        <f>1 - V1287/S1287</f>
        <v/>
      </c>
      <c r="U1287" s="18" t="n">
        <v>0</v>
      </c>
      <c r="V1287" s="26" t="n">
        <v>4.09</v>
      </c>
      <c r="W1287" s="26">
        <f>V1287 - L1287</f>
        <v/>
      </c>
    </row>
    <row r="1288">
      <c r="A1288" s="11" t="n">
        <v>46215</v>
      </c>
      <c r="B1288" s="1" t="n">
        <v>20095</v>
      </c>
      <c r="C1288" s="1" t="inlineStr">
        <is>
          <t>044</t>
        </is>
      </c>
      <c r="D1288" s="1" t="inlineStr">
        <is>
          <t xml:space="preserve">93531 </t>
        </is>
      </c>
      <c r="E1288" s="1" t="inlineStr">
        <is>
          <t xml:space="preserve">28194769       </t>
        </is>
      </c>
      <c r="F1288" s="5" t="inlineStr">
        <is>
          <t>AUTOS DE METAL 3 TEAMSTERZ PACK DE 2</t>
        </is>
      </c>
      <c r="G1288" t="n">
        <v>1</v>
      </c>
      <c r="H1288" s="7" t="n">
        <v>13.8</v>
      </c>
      <c r="I1288" s="7" t="n">
        <v>0</v>
      </c>
      <c r="J1288" s="7" t="n">
        <v>0</v>
      </c>
      <c r="K1288" s="9" t="n">
        <v>0</v>
      </c>
      <c r="L1288" s="10" t="n">
        <v>8.18</v>
      </c>
      <c r="M1288" s="10" t="n">
        <v>1.43</v>
      </c>
      <c r="N1288" t="inlineStr">
        <is>
          <t>1</t>
        </is>
      </c>
      <c r="O1288" t="inlineStr">
        <is>
          <t>16</t>
        </is>
      </c>
      <c r="P1288" t="inlineStr">
        <is>
          <t xml:space="preserve">243250  </t>
        </is>
      </c>
      <c r="Q1288" s="26" t="n">
        <v>13.8</v>
      </c>
      <c r="R1288" s="26">
        <f>Q1288*G1288</f>
        <v/>
      </c>
      <c r="S1288" t="n">
        <v>8.19</v>
      </c>
      <c r="T1288" s="18">
        <f>1 - V1288/S1288</f>
        <v/>
      </c>
      <c r="U1288" s="18" t="n">
        <v>0</v>
      </c>
      <c r="V1288" s="26" t="n">
        <v>8.19</v>
      </c>
      <c r="W1288" s="26">
        <f>V1288 - L1288</f>
        <v/>
      </c>
    </row>
    <row r="1289">
      <c r="A1289" s="11" t="n">
        <v>46215</v>
      </c>
      <c r="B1289" s="1" t="n">
        <v>20095</v>
      </c>
      <c r="C1289" s="1" t="inlineStr">
        <is>
          <t>044</t>
        </is>
      </c>
      <c r="D1289" s="1" t="inlineStr">
        <is>
          <t xml:space="preserve">93531 </t>
        </is>
      </c>
      <c r="E1289" s="1" t="inlineStr">
        <is>
          <t xml:space="preserve">30141766       </t>
        </is>
      </c>
      <c r="F1289" s="5" t="inlineStr">
        <is>
          <t>TMZ BEAST MACHINES AUTOS DE METAL BLISTER X 1</t>
        </is>
      </c>
      <c r="G1289" t="n">
        <v>1</v>
      </c>
      <c r="H1289" s="7" t="n">
        <v>7.9</v>
      </c>
      <c r="I1289" s="7" t="n">
        <v>0</v>
      </c>
      <c r="J1289" s="7" t="n">
        <v>0</v>
      </c>
      <c r="K1289" s="9" t="n">
        <v>0</v>
      </c>
      <c r="L1289" s="10" t="n">
        <v>4.68</v>
      </c>
      <c r="M1289" s="10" t="n">
        <v>1.43</v>
      </c>
      <c r="N1289" t="inlineStr">
        <is>
          <t>1</t>
        </is>
      </c>
      <c r="O1289" t="inlineStr">
        <is>
          <t>16</t>
        </is>
      </c>
      <c r="P1289" t="inlineStr">
        <is>
          <t xml:space="preserve">243250  </t>
        </is>
      </c>
      <c r="Q1289" s="26" t="n">
        <v>7.9</v>
      </c>
      <c r="R1289" s="26">
        <f>Q1289*G1289</f>
        <v/>
      </c>
      <c r="S1289" t="n">
        <v>4.69</v>
      </c>
      <c r="T1289" s="18">
        <f>1 - V1289/S1289</f>
        <v/>
      </c>
      <c r="U1289" s="18" t="n">
        <v>0</v>
      </c>
      <c r="V1289" s="26" t="n">
        <v>4.69</v>
      </c>
      <c r="W1289" s="26">
        <f>V1289 - L1289</f>
        <v/>
      </c>
    </row>
    <row r="1290">
      <c r="A1290" s="11" t="n">
        <v>46215</v>
      </c>
      <c r="B1290" s="1" t="n">
        <v>20095</v>
      </c>
      <c r="C1290" s="1" t="inlineStr">
        <is>
          <t>044</t>
        </is>
      </c>
      <c r="D1290" s="1" t="inlineStr">
        <is>
          <t xml:space="preserve">93541 </t>
        </is>
      </c>
      <c r="E1290" s="1" t="inlineStr">
        <is>
          <t xml:space="preserve">29235700       </t>
        </is>
      </c>
      <c r="F1290" s="5" t="inlineStr">
        <is>
          <t>HOT WHEELS CASE METALICO PARA GUARDAR 18 CARRITOS</t>
        </is>
      </c>
      <c r="G1290" t="n">
        <v>1</v>
      </c>
      <c r="H1290" s="7" t="n">
        <v>49.9</v>
      </c>
      <c r="I1290" s="7" t="n">
        <v>0</v>
      </c>
      <c r="J1290" s="7" t="n">
        <v>0</v>
      </c>
      <c r="K1290" s="9" t="n">
        <v>0</v>
      </c>
      <c r="L1290" s="10" t="n">
        <v>29.6</v>
      </c>
      <c r="M1290" s="10" t="n">
        <v>1.43</v>
      </c>
      <c r="N1290" t="inlineStr">
        <is>
          <t>1</t>
        </is>
      </c>
      <c r="O1290" t="inlineStr">
        <is>
          <t>16</t>
        </is>
      </c>
      <c r="P1290" t="inlineStr">
        <is>
          <t xml:space="preserve">243250  </t>
        </is>
      </c>
      <c r="Q1290" s="26" t="n">
        <v>49.90000000000001</v>
      </c>
      <c r="R1290" s="26">
        <f>Q1290*G1290</f>
        <v/>
      </c>
      <c r="S1290" t="n">
        <v>29.6</v>
      </c>
      <c r="T1290" s="18">
        <f>1 - V1290/S1290</f>
        <v/>
      </c>
      <c r="U1290" s="18" t="n">
        <v>0</v>
      </c>
      <c r="V1290" s="26" t="n">
        <v>29.6</v>
      </c>
      <c r="W1290" s="26">
        <f>V1290 - L1290</f>
        <v/>
      </c>
    </row>
    <row r="1291">
      <c r="A1291" s="11" t="n">
        <v>46215</v>
      </c>
      <c r="B1291" s="1" t="n">
        <v>20095</v>
      </c>
      <c r="C1291" s="1" t="inlineStr">
        <is>
          <t>044</t>
        </is>
      </c>
      <c r="D1291" s="1" t="inlineStr">
        <is>
          <t xml:space="preserve">93575 </t>
        </is>
      </c>
      <c r="E1291" s="1" t="inlineStr">
        <is>
          <t xml:space="preserve">28194770       </t>
        </is>
      </c>
      <c r="F1291" s="5" t="inlineStr">
        <is>
          <t>AUTOS DE METAL 3 TEAMSTERZ EN BLISTER</t>
        </is>
      </c>
      <c r="G1291" t="n">
        <v>1</v>
      </c>
      <c r="H1291" s="7" t="n">
        <v>6.9</v>
      </c>
      <c r="I1291" s="7" t="n">
        <v>0</v>
      </c>
      <c r="J1291" s="7" t="n">
        <v>0</v>
      </c>
      <c r="K1291" s="9" t="n">
        <v>0</v>
      </c>
      <c r="L1291" s="10" t="n">
        <v>4.1</v>
      </c>
      <c r="M1291" s="10" t="n">
        <v>1.43</v>
      </c>
      <c r="N1291" t="inlineStr">
        <is>
          <t>1</t>
        </is>
      </c>
      <c r="O1291" t="inlineStr">
        <is>
          <t>16</t>
        </is>
      </c>
      <c r="P1291" t="inlineStr">
        <is>
          <t xml:space="preserve">243250  </t>
        </is>
      </c>
      <c r="Q1291" s="26" t="n">
        <v>6.9</v>
      </c>
      <c r="R1291" s="26">
        <f>Q1291*G1291</f>
        <v/>
      </c>
      <c r="S1291" t="n">
        <v>4.09</v>
      </c>
      <c r="T1291" s="18">
        <f>1 - V1291/S1291</f>
        <v/>
      </c>
      <c r="U1291" s="18" t="n">
        <v>0</v>
      </c>
      <c r="V1291" s="26" t="n">
        <v>4.09</v>
      </c>
      <c r="W1291" s="26">
        <f>V1291 - L1291</f>
        <v/>
      </c>
    </row>
    <row r="1292">
      <c r="A1292" s="11" t="n">
        <v>46215</v>
      </c>
      <c r="B1292" s="1" t="n">
        <v>20095</v>
      </c>
      <c r="C1292" s="1" t="inlineStr">
        <is>
          <t>044</t>
        </is>
      </c>
      <c r="D1292" s="1" t="inlineStr">
        <is>
          <t xml:space="preserve">93601 </t>
        </is>
      </c>
      <c r="E1292" s="1" t="inlineStr">
        <is>
          <t xml:space="preserve">30141766       </t>
        </is>
      </c>
      <c r="F1292" s="5" t="inlineStr">
        <is>
          <t>TMZ BEAST MACHINES AUTOS DE METAL BLISTER X 1</t>
        </is>
      </c>
      <c r="G1292" t="n">
        <v>1</v>
      </c>
      <c r="H1292" s="7" t="n">
        <v>7.9</v>
      </c>
      <c r="I1292" s="7" t="n">
        <v>0.79</v>
      </c>
      <c r="J1292" s="7" t="n">
        <v>0</v>
      </c>
      <c r="K1292" s="9" t="n">
        <v>0.79</v>
      </c>
      <c r="L1292" s="10" t="n">
        <v>4.22</v>
      </c>
      <c r="M1292" s="10" t="n">
        <v>1.43</v>
      </c>
      <c r="N1292" t="inlineStr">
        <is>
          <t>1</t>
        </is>
      </c>
      <c r="O1292" t="inlineStr">
        <is>
          <t xml:space="preserve">3 </t>
        </is>
      </c>
      <c r="P1292" t="inlineStr">
        <is>
          <t xml:space="preserve">243250  </t>
        </is>
      </c>
      <c r="Q1292" s="26" t="n">
        <v>7.9</v>
      </c>
      <c r="R1292" s="26">
        <f>Q1292*G1292</f>
        <v/>
      </c>
      <c r="S1292" t="n">
        <v>4.69</v>
      </c>
      <c r="T1292" s="18">
        <f>1 - V1292/S1292</f>
        <v/>
      </c>
      <c r="U1292" s="18" t="n">
        <v>0</v>
      </c>
      <c r="V1292" s="26" t="n">
        <v>4.69</v>
      </c>
      <c r="W1292" s="26">
        <f>V1292 - L1292</f>
        <v/>
      </c>
    </row>
    <row r="1293">
      <c r="A1293" s="11" t="n">
        <v>46215</v>
      </c>
      <c r="B1293" s="1" t="n">
        <v>20095</v>
      </c>
      <c r="C1293" s="1" t="inlineStr">
        <is>
          <t>044</t>
        </is>
      </c>
      <c r="D1293" s="1" t="inlineStr">
        <is>
          <t xml:space="preserve">93602 </t>
        </is>
      </c>
      <c r="E1293" s="1" t="inlineStr">
        <is>
          <t xml:space="preserve">28194769       </t>
        </is>
      </c>
      <c r="F1293" s="5" t="inlineStr">
        <is>
          <t>AUTOS DE METAL 3 TEAMSTERZ PACK DE 2</t>
        </is>
      </c>
      <c r="G1293" t="n">
        <v>1</v>
      </c>
      <c r="H1293" s="7" t="n">
        <v>13.8</v>
      </c>
      <c r="I1293" s="7" t="n">
        <v>0</v>
      </c>
      <c r="J1293" s="7" t="n">
        <v>0</v>
      </c>
      <c r="K1293" s="9" t="n">
        <v>0</v>
      </c>
      <c r="L1293" s="10" t="n">
        <v>8.18</v>
      </c>
      <c r="M1293" s="10" t="n">
        <v>1.43</v>
      </c>
      <c r="N1293" t="inlineStr">
        <is>
          <t>1</t>
        </is>
      </c>
      <c r="O1293" t="inlineStr">
        <is>
          <t>16</t>
        </is>
      </c>
      <c r="P1293" t="inlineStr">
        <is>
          <t xml:space="preserve">243250  </t>
        </is>
      </c>
      <c r="Q1293" s="26" t="n">
        <v>13.8</v>
      </c>
      <c r="R1293" s="26">
        <f>Q1293*G1293</f>
        <v/>
      </c>
      <c r="S1293" t="n">
        <v>8.19</v>
      </c>
      <c r="T1293" s="18">
        <f>1 - V1293/S1293</f>
        <v/>
      </c>
      <c r="U1293" s="18" t="n">
        <v>0</v>
      </c>
      <c r="V1293" s="26" t="n">
        <v>8.19</v>
      </c>
      <c r="W1293" s="26">
        <f>V1293 - L1293</f>
        <v/>
      </c>
    </row>
    <row r="1294">
      <c r="A1294" s="11" t="n">
        <v>46215</v>
      </c>
      <c r="B1294" s="1" t="n">
        <v>20095</v>
      </c>
      <c r="C1294" s="1" t="inlineStr">
        <is>
          <t>800</t>
        </is>
      </c>
      <c r="D1294" s="1" t="inlineStr">
        <is>
          <t xml:space="preserve">6678  </t>
        </is>
      </c>
      <c r="E1294" s="1" t="inlineStr">
        <is>
          <t xml:space="preserve">30141766       </t>
        </is>
      </c>
      <c r="F1294" s="5" t="inlineStr">
        <is>
          <t>TMZ BEAST MACHINES AUTOS DE METAL BLISTER X 1</t>
        </is>
      </c>
      <c r="G1294" t="n">
        <v>1</v>
      </c>
      <c r="H1294" s="7" t="n">
        <v>7.9</v>
      </c>
      <c r="I1294" s="7" t="n">
        <v>0</v>
      </c>
      <c r="J1294" s="7" t="n">
        <v>0</v>
      </c>
      <c r="K1294" s="9" t="n">
        <v>0</v>
      </c>
      <c r="L1294" s="10" t="n">
        <v>4.68</v>
      </c>
      <c r="M1294" s="10" t="n">
        <v>1.43</v>
      </c>
      <c r="N1294" t="inlineStr">
        <is>
          <t>1</t>
        </is>
      </c>
      <c r="O1294" t="inlineStr">
        <is>
          <t>16</t>
        </is>
      </c>
      <c r="P1294" t="inlineStr">
        <is>
          <t xml:space="preserve">0       </t>
        </is>
      </c>
      <c r="Q1294" s="26" t="n">
        <v>7.9</v>
      </c>
      <c r="R1294" s="26">
        <f>Q1294*G1294</f>
        <v/>
      </c>
      <c r="S1294" t="n">
        <v>4.69</v>
      </c>
      <c r="T1294" s="18">
        <f>1 - V1294/S1294</f>
        <v/>
      </c>
      <c r="U1294" s="18" t="n">
        <v>0</v>
      </c>
      <c r="V1294" s="26" t="n">
        <v>4.69</v>
      </c>
      <c r="W1294" s="26">
        <f>V1294 - L1294</f>
        <v/>
      </c>
    </row>
    <row r="1295">
      <c r="A1295" s="11" t="n">
        <v>46216</v>
      </c>
      <c r="B1295" s="1" t="n">
        <v>20021</v>
      </c>
      <c r="C1295" s="1" t="inlineStr">
        <is>
          <t>078</t>
        </is>
      </c>
      <c r="D1295" s="1" t="inlineStr">
        <is>
          <t>100772</t>
        </is>
      </c>
      <c r="E1295" s="1" t="inlineStr">
        <is>
          <t xml:space="preserve">28194770       </t>
        </is>
      </c>
      <c r="F1295" s="5" t="inlineStr">
        <is>
          <t>AUTOS DE METAL 3 TEAMSTERZ EN BLISTER</t>
        </is>
      </c>
      <c r="G1295" t="n">
        <v>1</v>
      </c>
      <c r="H1295" s="7" t="n">
        <v>6.9</v>
      </c>
      <c r="I1295" s="7" t="n">
        <v>0</v>
      </c>
      <c r="J1295" s="7" t="n">
        <v>0</v>
      </c>
      <c r="K1295" s="9" t="n">
        <v>0</v>
      </c>
      <c r="L1295" s="10" t="n">
        <v>4.1</v>
      </c>
      <c r="M1295" s="10" t="n">
        <v>1.43</v>
      </c>
      <c r="N1295" t="inlineStr">
        <is>
          <t>1</t>
        </is>
      </c>
      <c r="O1295" t="inlineStr">
        <is>
          <t>16</t>
        </is>
      </c>
      <c r="P1295" t="inlineStr">
        <is>
          <t xml:space="preserve">42013   </t>
        </is>
      </c>
      <c r="Q1295" s="26" t="n">
        <v>6.9</v>
      </c>
      <c r="R1295" s="26">
        <f>Q1295*G1295</f>
        <v/>
      </c>
      <c r="S1295" t="n">
        <v>4.09</v>
      </c>
      <c r="T1295" s="18">
        <f>1 - V1295/S1295</f>
        <v/>
      </c>
      <c r="U1295" s="18" t="n">
        <v>0</v>
      </c>
      <c r="V1295" s="26" t="n">
        <v>4.09</v>
      </c>
      <c r="W1295" s="26">
        <f>V1295 - L1295</f>
        <v/>
      </c>
    </row>
    <row r="1296">
      <c r="A1296" s="11" t="n">
        <v>46216</v>
      </c>
      <c r="B1296" s="1" t="n">
        <v>20021</v>
      </c>
      <c r="C1296" s="1" t="inlineStr">
        <is>
          <t>078</t>
        </is>
      </c>
      <c r="D1296" s="1" t="inlineStr">
        <is>
          <t>100785</t>
        </is>
      </c>
      <c r="E1296" s="1" t="inlineStr">
        <is>
          <t xml:space="preserve">28194770       </t>
        </is>
      </c>
      <c r="F1296" s="5" t="inlineStr">
        <is>
          <t>AUTOS DE METAL 3 TEAMSTERZ EN BLISTER</t>
        </is>
      </c>
      <c r="G1296" t="n">
        <v>1</v>
      </c>
      <c r="H1296" s="7" t="n">
        <v>6.9</v>
      </c>
      <c r="I1296" s="7" t="n">
        <v>0</v>
      </c>
      <c r="J1296" s="7" t="n">
        <v>0</v>
      </c>
      <c r="K1296" s="9" t="n">
        <v>0</v>
      </c>
      <c r="L1296" s="10" t="n">
        <v>4.1</v>
      </c>
      <c r="M1296" s="10" t="n">
        <v>1.43</v>
      </c>
      <c r="N1296" t="inlineStr">
        <is>
          <t>1</t>
        </is>
      </c>
      <c r="O1296" t="inlineStr">
        <is>
          <t>16</t>
        </is>
      </c>
      <c r="P1296" t="inlineStr">
        <is>
          <t xml:space="preserve">42013   </t>
        </is>
      </c>
      <c r="Q1296" s="26" t="n">
        <v>6.9</v>
      </c>
      <c r="R1296" s="26">
        <f>Q1296*G1296</f>
        <v/>
      </c>
      <c r="S1296" t="n">
        <v>4.09</v>
      </c>
      <c r="T1296" s="18">
        <f>1 - V1296/S1296</f>
        <v/>
      </c>
      <c r="U1296" s="18" t="n">
        <v>0</v>
      </c>
      <c r="V1296" s="26" t="n">
        <v>4.09</v>
      </c>
      <c r="W1296" s="26">
        <f>V1296 - L1296</f>
        <v/>
      </c>
    </row>
    <row r="1297">
      <c r="A1297" s="11" t="n">
        <v>46216</v>
      </c>
      <c r="B1297" s="1" t="n">
        <v>20021</v>
      </c>
      <c r="C1297" s="1" t="inlineStr">
        <is>
          <t>078</t>
        </is>
      </c>
      <c r="D1297" s="1" t="inlineStr">
        <is>
          <t>100785</t>
        </is>
      </c>
      <c r="E1297" s="1" t="inlineStr">
        <is>
          <t xml:space="preserve">30141766       </t>
        </is>
      </c>
      <c r="F1297" s="5" t="inlineStr">
        <is>
          <t>TMZ BEAST MACHINES AUTOS DE METAL BLISTER X 1</t>
        </is>
      </c>
      <c r="G1297" t="n">
        <v>1</v>
      </c>
      <c r="H1297" s="7" t="n">
        <v>7.9</v>
      </c>
      <c r="I1297" s="7" t="n">
        <v>0</v>
      </c>
      <c r="J1297" s="7" t="n">
        <v>0</v>
      </c>
      <c r="K1297" s="9" t="n">
        <v>0</v>
      </c>
      <c r="L1297" s="10" t="n">
        <v>4.68</v>
      </c>
      <c r="M1297" s="10" t="n">
        <v>1.43</v>
      </c>
      <c r="N1297" t="inlineStr">
        <is>
          <t>1</t>
        </is>
      </c>
      <c r="O1297" t="inlineStr">
        <is>
          <t>16</t>
        </is>
      </c>
      <c r="P1297" t="inlineStr">
        <is>
          <t xml:space="preserve">42013   </t>
        </is>
      </c>
      <c r="Q1297" s="26" t="n">
        <v>7.9</v>
      </c>
      <c r="R1297" s="26">
        <f>Q1297*G1297</f>
        <v/>
      </c>
      <c r="S1297" t="n">
        <v>4.69</v>
      </c>
      <c r="T1297" s="18">
        <f>1 - V1297/S1297</f>
        <v/>
      </c>
      <c r="U1297" s="18" t="n">
        <v>0</v>
      </c>
      <c r="V1297" s="26" t="n">
        <v>4.69</v>
      </c>
      <c r="W1297" s="26">
        <f>V1297 - L1297</f>
        <v/>
      </c>
    </row>
    <row r="1298">
      <c r="A1298" s="11" t="n">
        <v>46216</v>
      </c>
      <c r="B1298" s="1" t="n">
        <v>20021</v>
      </c>
      <c r="C1298" s="1" t="inlineStr">
        <is>
          <t>080</t>
        </is>
      </c>
      <c r="D1298" s="1" t="inlineStr">
        <is>
          <t>309648</t>
        </is>
      </c>
      <c r="E1298" s="1" t="inlineStr">
        <is>
          <t xml:space="preserve">28194769       </t>
        </is>
      </c>
      <c r="F1298" s="5" t="inlineStr">
        <is>
          <t>AUTOS DE METAL 3 TEAMSTERZ PACK DE 2</t>
        </is>
      </c>
      <c r="G1298" t="n">
        <v>1</v>
      </c>
      <c r="H1298" s="7" t="n">
        <v>13.8</v>
      </c>
      <c r="I1298" s="7" t="n">
        <v>0</v>
      </c>
      <c r="J1298" s="7" t="n">
        <v>0</v>
      </c>
      <c r="K1298" s="9" t="n">
        <v>0</v>
      </c>
      <c r="L1298" s="10" t="n">
        <v>8.18</v>
      </c>
      <c r="M1298" s="10" t="n">
        <v>1.43</v>
      </c>
      <c r="N1298" t="inlineStr">
        <is>
          <t>1</t>
        </is>
      </c>
      <c r="O1298" t="inlineStr">
        <is>
          <t xml:space="preserve">2 </t>
        </is>
      </c>
      <c r="P1298" t="inlineStr">
        <is>
          <t xml:space="preserve">249982  </t>
        </is>
      </c>
      <c r="Q1298" s="26" t="n">
        <v>13.8</v>
      </c>
      <c r="R1298" s="26">
        <f>Q1298*G1298</f>
        <v/>
      </c>
      <c r="S1298" t="n">
        <v>8.19</v>
      </c>
      <c r="T1298" s="18">
        <f>1 - V1298/S1298</f>
        <v/>
      </c>
      <c r="U1298" s="18" t="n">
        <v>0</v>
      </c>
      <c r="V1298" s="26" t="n">
        <v>8.19</v>
      </c>
      <c r="W1298" s="26">
        <f>V1298 - L1298</f>
        <v/>
      </c>
    </row>
    <row r="1299">
      <c r="A1299" s="11" t="n">
        <v>46216</v>
      </c>
      <c r="B1299" s="1" t="n">
        <v>20021</v>
      </c>
      <c r="C1299" s="1" t="inlineStr">
        <is>
          <t>081</t>
        </is>
      </c>
      <c r="D1299" s="1" t="inlineStr">
        <is>
          <t>175932</t>
        </is>
      </c>
      <c r="E1299" s="1" t="inlineStr">
        <is>
          <t xml:space="preserve">28194770       </t>
        </is>
      </c>
      <c r="F1299" s="5" t="inlineStr">
        <is>
          <t>AUTOS DE METAL 3 TEAMSTERZ EN BLISTER</t>
        </is>
      </c>
      <c r="G1299" t="n">
        <v>1</v>
      </c>
      <c r="H1299" s="7" t="n">
        <v>6.9</v>
      </c>
      <c r="I1299" s="7" t="n">
        <v>0</v>
      </c>
      <c r="J1299" s="7" t="n">
        <v>0</v>
      </c>
      <c r="K1299" s="9" t="n">
        <v>0</v>
      </c>
      <c r="L1299" s="10" t="n">
        <v>4.1</v>
      </c>
      <c r="M1299" s="10" t="n">
        <v>1.43</v>
      </c>
      <c r="N1299" t="inlineStr">
        <is>
          <t>1</t>
        </is>
      </c>
      <c r="O1299" t="inlineStr">
        <is>
          <t xml:space="preserve">2 </t>
        </is>
      </c>
      <c r="P1299" t="inlineStr">
        <is>
          <t xml:space="preserve">22701   </t>
        </is>
      </c>
      <c r="Q1299" s="26" t="n">
        <v>6.9</v>
      </c>
      <c r="R1299" s="26">
        <f>Q1299*G1299</f>
        <v/>
      </c>
      <c r="S1299" t="n">
        <v>4.09</v>
      </c>
      <c r="T1299" s="18">
        <f>1 - V1299/S1299</f>
        <v/>
      </c>
      <c r="U1299" s="18" t="n">
        <v>0</v>
      </c>
      <c r="V1299" s="26" t="n">
        <v>4.09</v>
      </c>
      <c r="W1299" s="26">
        <f>V1299 - L1299</f>
        <v/>
      </c>
    </row>
    <row r="1300">
      <c r="A1300" s="11" t="n">
        <v>46216</v>
      </c>
      <c r="B1300" s="1" t="n">
        <v>20023</v>
      </c>
      <c r="C1300" s="1" t="inlineStr">
        <is>
          <t>105</t>
        </is>
      </c>
      <c r="D1300" s="1" t="inlineStr">
        <is>
          <t xml:space="preserve">90953 </t>
        </is>
      </c>
      <c r="E1300" s="1" t="inlineStr">
        <is>
          <t xml:space="preserve">28194770       </t>
        </is>
      </c>
      <c r="F1300" s="5" t="inlineStr">
        <is>
          <t>AUTOS DE METAL 3 TEAMSTERZ EN BLISTER</t>
        </is>
      </c>
      <c r="G1300" t="n">
        <v>1</v>
      </c>
      <c r="H1300" s="7" t="n">
        <v>6.9</v>
      </c>
      <c r="I1300" s="7" t="n">
        <v>0</v>
      </c>
      <c r="J1300" s="7" t="n">
        <v>0</v>
      </c>
      <c r="K1300" s="9" t="n">
        <v>0</v>
      </c>
      <c r="L1300" s="10" t="n">
        <v>4.1</v>
      </c>
      <c r="M1300" s="10" t="n">
        <v>1.43</v>
      </c>
      <c r="N1300" t="inlineStr">
        <is>
          <t>1</t>
        </is>
      </c>
      <c r="O1300" t="inlineStr">
        <is>
          <t>16</t>
        </is>
      </c>
      <c r="P1300" t="inlineStr">
        <is>
          <t xml:space="preserve">20173   </t>
        </is>
      </c>
      <c r="Q1300" s="26" t="n">
        <v>6.9</v>
      </c>
      <c r="R1300" s="26">
        <f>Q1300*G1300</f>
        <v/>
      </c>
      <c r="S1300" t="n">
        <v>4.09</v>
      </c>
      <c r="T1300" s="18">
        <f>1 - V1300/S1300</f>
        <v/>
      </c>
      <c r="U1300" s="18" t="n">
        <v>0</v>
      </c>
      <c r="V1300" s="26" t="n">
        <v>4.09</v>
      </c>
      <c r="W1300" s="26">
        <f>V1300 - L1300</f>
        <v/>
      </c>
    </row>
    <row r="1301">
      <c r="A1301" s="11" t="n">
        <v>46216</v>
      </c>
      <c r="B1301" s="1" t="n">
        <v>20023</v>
      </c>
      <c r="C1301" s="1" t="inlineStr">
        <is>
          <t>105</t>
        </is>
      </c>
      <c r="D1301" s="1" t="inlineStr">
        <is>
          <t xml:space="preserve">90953 </t>
        </is>
      </c>
      <c r="E1301" s="1" t="inlineStr">
        <is>
          <t xml:space="preserve">28194770       </t>
        </is>
      </c>
      <c r="F1301" s="5" t="inlineStr">
        <is>
          <t>AUTOS DE METAL 3 TEAMSTERZ EN BLISTER</t>
        </is>
      </c>
      <c r="G1301" t="n">
        <v>1</v>
      </c>
      <c r="H1301" s="7" t="n">
        <v>6.9</v>
      </c>
      <c r="I1301" s="7" t="n">
        <v>0</v>
      </c>
      <c r="J1301" s="7" t="n">
        <v>0</v>
      </c>
      <c r="K1301" s="9" t="n">
        <v>0</v>
      </c>
      <c r="L1301" s="10" t="n">
        <v>4.1</v>
      </c>
      <c r="M1301" s="10" t="n">
        <v>1.43</v>
      </c>
      <c r="N1301" t="inlineStr">
        <is>
          <t>1</t>
        </is>
      </c>
      <c r="O1301" t="inlineStr">
        <is>
          <t>16</t>
        </is>
      </c>
      <c r="P1301" t="inlineStr">
        <is>
          <t xml:space="preserve">20173   </t>
        </is>
      </c>
      <c r="Q1301" s="26" t="n">
        <v>6.9</v>
      </c>
      <c r="R1301" s="26">
        <f>Q1301*G1301</f>
        <v/>
      </c>
      <c r="S1301" t="n">
        <v>4.09</v>
      </c>
      <c r="T1301" s="18">
        <f>1 - V1301/S1301</f>
        <v/>
      </c>
      <c r="U1301" s="18" t="n">
        <v>0</v>
      </c>
      <c r="V1301" s="26" t="n">
        <v>4.09</v>
      </c>
      <c r="W1301" s="26">
        <f>V1301 - L1301</f>
        <v/>
      </c>
    </row>
    <row r="1302">
      <c r="A1302" s="11" t="n">
        <v>46216</v>
      </c>
      <c r="B1302" s="1" t="n">
        <v>20025</v>
      </c>
      <c r="C1302" s="1" t="inlineStr">
        <is>
          <t>074</t>
        </is>
      </c>
      <c r="D1302" s="1" t="inlineStr">
        <is>
          <t xml:space="preserve">82819 </t>
        </is>
      </c>
      <c r="E1302" s="1" t="inlineStr">
        <is>
          <t xml:space="preserve">28194769       </t>
        </is>
      </c>
      <c r="F1302" s="5" t="inlineStr">
        <is>
          <t>AUTOS DE METAL 3 TEAMSTERZ PACK DE 2</t>
        </is>
      </c>
      <c r="G1302" t="n">
        <v>1</v>
      </c>
      <c r="H1302" s="7" t="n">
        <v>13.8</v>
      </c>
      <c r="I1302" s="7" t="n">
        <v>0</v>
      </c>
      <c r="J1302" s="7" t="n">
        <v>0</v>
      </c>
      <c r="K1302" s="9" t="n">
        <v>0</v>
      </c>
      <c r="L1302" s="10" t="n">
        <v>8.18</v>
      </c>
      <c r="M1302" s="10" t="n">
        <v>1.43</v>
      </c>
      <c r="N1302" t="inlineStr">
        <is>
          <t>1</t>
        </is>
      </c>
      <c r="O1302" t="inlineStr">
        <is>
          <t>16</t>
        </is>
      </c>
      <c r="P1302" t="inlineStr">
        <is>
          <t xml:space="preserve">39592   </t>
        </is>
      </c>
      <c r="Q1302" s="26" t="n">
        <v>13.8</v>
      </c>
      <c r="R1302" s="26">
        <f>Q1302*G1302</f>
        <v/>
      </c>
      <c r="S1302" t="n">
        <v>8.19</v>
      </c>
      <c r="T1302" s="18">
        <f>1 - V1302/S1302</f>
        <v/>
      </c>
      <c r="U1302" s="18" t="n">
        <v>0</v>
      </c>
      <c r="V1302" s="26" t="n">
        <v>8.19</v>
      </c>
      <c r="W1302" s="26">
        <f>V1302 - L1302</f>
        <v/>
      </c>
    </row>
    <row r="1303">
      <c r="A1303" s="11" t="n">
        <v>46216</v>
      </c>
      <c r="B1303" s="1" t="n">
        <v>20028</v>
      </c>
      <c r="C1303" s="1" t="inlineStr">
        <is>
          <t>140</t>
        </is>
      </c>
      <c r="D1303" s="1" t="inlineStr">
        <is>
          <t>225237</t>
        </is>
      </c>
      <c r="E1303" s="1" t="inlineStr">
        <is>
          <t xml:space="preserve">28194770       </t>
        </is>
      </c>
      <c r="F1303" s="5" t="inlineStr">
        <is>
          <t>AUTOS DE METAL 3 TEAMSTERZ EN BLISTER</t>
        </is>
      </c>
      <c r="G1303" t="n">
        <v>1</v>
      </c>
      <c r="H1303" s="7" t="n">
        <v>6.9</v>
      </c>
      <c r="I1303" s="7" t="n">
        <v>0</v>
      </c>
      <c r="J1303" s="7" t="n">
        <v>0</v>
      </c>
      <c r="K1303" s="9" t="n">
        <v>0</v>
      </c>
      <c r="L1303" s="10" t="n">
        <v>4.1</v>
      </c>
      <c r="M1303" s="10" t="n">
        <v>1.43</v>
      </c>
      <c r="N1303" t="inlineStr">
        <is>
          <t>1</t>
        </is>
      </c>
      <c r="O1303" t="inlineStr">
        <is>
          <t>16</t>
        </is>
      </c>
      <c r="P1303" t="inlineStr">
        <is>
          <t xml:space="preserve">33914   </t>
        </is>
      </c>
      <c r="Q1303" s="26" t="n">
        <v>6.9</v>
      </c>
      <c r="R1303" s="26">
        <f>Q1303*G1303</f>
        <v/>
      </c>
      <c r="S1303" t="n">
        <v>4.09</v>
      </c>
      <c r="T1303" s="18">
        <f>1 - V1303/S1303</f>
        <v/>
      </c>
      <c r="U1303" s="18" t="n">
        <v>0</v>
      </c>
      <c r="V1303" s="26" t="n">
        <v>4.09</v>
      </c>
      <c r="W1303" s="26">
        <f>V1303 - L1303</f>
        <v/>
      </c>
    </row>
    <row r="1304">
      <c r="A1304" s="11" t="n">
        <v>46216</v>
      </c>
      <c r="B1304" s="1" t="n">
        <v>20028</v>
      </c>
      <c r="C1304" s="1" t="inlineStr">
        <is>
          <t>140</t>
        </is>
      </c>
      <c r="D1304" s="1" t="inlineStr">
        <is>
          <t>225237</t>
        </is>
      </c>
      <c r="E1304" s="1" t="inlineStr">
        <is>
          <t xml:space="preserve">28194770       </t>
        </is>
      </c>
      <c r="F1304" s="5" t="inlineStr">
        <is>
          <t>AUTOS DE METAL 3 TEAMSTERZ EN BLISTER</t>
        </is>
      </c>
      <c r="G1304" t="n">
        <v>1</v>
      </c>
      <c r="H1304" s="7" t="n">
        <v>6.9</v>
      </c>
      <c r="I1304" s="7" t="n">
        <v>0</v>
      </c>
      <c r="J1304" s="7" t="n">
        <v>0</v>
      </c>
      <c r="K1304" s="9" t="n">
        <v>0</v>
      </c>
      <c r="L1304" s="10" t="n">
        <v>4.1</v>
      </c>
      <c r="M1304" s="10" t="n">
        <v>1.43</v>
      </c>
      <c r="N1304" t="inlineStr">
        <is>
          <t>1</t>
        </is>
      </c>
      <c r="O1304" t="inlineStr">
        <is>
          <t>16</t>
        </is>
      </c>
      <c r="P1304" t="inlineStr">
        <is>
          <t xml:space="preserve">33914   </t>
        </is>
      </c>
      <c r="Q1304" s="26" t="n">
        <v>6.9</v>
      </c>
      <c r="R1304" s="26">
        <f>Q1304*G1304</f>
        <v/>
      </c>
      <c r="S1304" t="n">
        <v>4.09</v>
      </c>
      <c r="T1304" s="18">
        <f>1 - V1304/S1304</f>
        <v/>
      </c>
      <c r="U1304" s="18" t="n">
        <v>0</v>
      </c>
      <c r="V1304" s="26" t="n">
        <v>4.09</v>
      </c>
      <c r="W1304" s="26">
        <f>V1304 - L1304</f>
        <v/>
      </c>
    </row>
    <row r="1305">
      <c r="A1305" s="11" t="n">
        <v>46216</v>
      </c>
      <c r="B1305" s="1" t="n">
        <v>20030</v>
      </c>
      <c r="C1305" s="1" t="inlineStr">
        <is>
          <t>067</t>
        </is>
      </c>
      <c r="D1305" s="1" t="inlineStr">
        <is>
          <t>274049</t>
        </is>
      </c>
      <c r="E1305" s="1" t="inlineStr">
        <is>
          <t xml:space="preserve">34840525       </t>
        </is>
      </c>
      <c r="F1305" s="5" t="inlineStr">
        <is>
          <t>NENUCO VAMOS DE PASEO</t>
        </is>
      </c>
      <c r="G1305" t="n">
        <v>1</v>
      </c>
      <c r="H1305" s="7" t="n">
        <v>99</v>
      </c>
      <c r="I1305" s="7" t="n">
        <v>0</v>
      </c>
      <c r="J1305" s="7" t="n">
        <v>0</v>
      </c>
      <c r="K1305" s="9" t="n">
        <v>0</v>
      </c>
      <c r="L1305" s="10" t="n">
        <v>58.73</v>
      </c>
      <c r="M1305" s="10" t="n">
        <v>1.43</v>
      </c>
      <c r="N1305" t="inlineStr">
        <is>
          <t>1</t>
        </is>
      </c>
      <c r="O1305" t="inlineStr">
        <is>
          <t>16</t>
        </is>
      </c>
      <c r="P1305" t="inlineStr">
        <is>
          <t xml:space="preserve">39099   </t>
        </is>
      </c>
      <c r="Q1305" s="26" t="n">
        <v>99</v>
      </c>
      <c r="R1305" s="26">
        <f>Q1305*G1305</f>
        <v/>
      </c>
      <c r="S1305" t="n">
        <v>58.73</v>
      </c>
      <c r="T1305" s="18">
        <f>1 - V1305/S1305</f>
        <v/>
      </c>
      <c r="U1305" s="18" t="n">
        <v>0.1929292929292928</v>
      </c>
      <c r="V1305" s="26" t="n">
        <v>50.78389830508475</v>
      </c>
      <c r="W1305" s="26">
        <f>V1305 - L1305</f>
        <v/>
      </c>
    </row>
    <row r="1306">
      <c r="A1306" s="11" t="n">
        <v>46216</v>
      </c>
      <c r="B1306" s="1" t="n">
        <v>20030</v>
      </c>
      <c r="C1306" s="1" t="inlineStr">
        <is>
          <t>067</t>
        </is>
      </c>
      <c r="D1306" s="1" t="inlineStr">
        <is>
          <t>274049</t>
        </is>
      </c>
      <c r="E1306" s="1" t="inlineStr">
        <is>
          <t xml:space="preserve">34840556       </t>
        </is>
      </c>
      <c r="F1306" s="5" t="inlineStr">
        <is>
          <t>TMZ BEAST MACH. TRANSPORT DINO +ACCS</t>
        </is>
      </c>
      <c r="G1306" t="n">
        <v>1</v>
      </c>
      <c r="H1306" s="7" t="n">
        <v>79.90000000000001</v>
      </c>
      <c r="I1306" s="7" t="n">
        <v>0</v>
      </c>
      <c r="J1306" s="7" t="n">
        <v>0</v>
      </c>
      <c r="K1306" s="9" t="n">
        <v>0</v>
      </c>
      <c r="L1306" s="10" t="n">
        <v>47.4</v>
      </c>
      <c r="M1306" s="10" t="n">
        <v>1.43</v>
      </c>
      <c r="N1306" t="inlineStr">
        <is>
          <t>1</t>
        </is>
      </c>
      <c r="O1306" t="inlineStr">
        <is>
          <t>16</t>
        </is>
      </c>
      <c r="P1306" t="inlineStr">
        <is>
          <t xml:space="preserve">39099   </t>
        </is>
      </c>
      <c r="Q1306" s="26" t="n">
        <v>79.90000000000002</v>
      </c>
      <c r="R1306" s="26">
        <f>Q1306*G1306</f>
        <v/>
      </c>
      <c r="S1306" t="n">
        <v>47.4</v>
      </c>
      <c r="T1306" s="18">
        <f>1 - V1306/S1306</f>
        <v/>
      </c>
      <c r="U1306" s="18" t="n">
        <v>0.2503128911138924</v>
      </c>
      <c r="V1306" s="26" t="n">
        <v>38.07203389830509</v>
      </c>
      <c r="W1306" s="26">
        <f>V1306 - L1306</f>
        <v/>
      </c>
    </row>
    <row r="1307">
      <c r="A1307" s="11" t="n">
        <v>46216</v>
      </c>
      <c r="B1307" s="1" t="n">
        <v>20030</v>
      </c>
      <c r="C1307" s="1" t="inlineStr">
        <is>
          <t>067</t>
        </is>
      </c>
      <c r="D1307" s="1" t="inlineStr">
        <is>
          <t>274064</t>
        </is>
      </c>
      <c r="E1307" s="1" t="inlineStr">
        <is>
          <t xml:space="preserve">28194770       </t>
        </is>
      </c>
      <c r="F1307" s="5" t="inlineStr">
        <is>
          <t>AUTOS DE METAL 3 TEAMSTERZ EN BLISTER</t>
        </is>
      </c>
      <c r="G1307" t="n">
        <v>1</v>
      </c>
      <c r="H1307" s="7" t="n">
        <v>6.9</v>
      </c>
      <c r="I1307" s="7" t="n">
        <v>0</v>
      </c>
      <c r="J1307" s="7" t="n">
        <v>0</v>
      </c>
      <c r="K1307" s="9" t="n">
        <v>0</v>
      </c>
      <c r="L1307" s="10" t="n">
        <v>4.1</v>
      </c>
      <c r="M1307" s="10" t="n">
        <v>1.43</v>
      </c>
      <c r="N1307" t="inlineStr">
        <is>
          <t>1</t>
        </is>
      </c>
      <c r="O1307" t="inlineStr">
        <is>
          <t>16</t>
        </is>
      </c>
      <c r="P1307" t="inlineStr">
        <is>
          <t xml:space="preserve">39099   </t>
        </is>
      </c>
      <c r="Q1307" s="26" t="n">
        <v>6.9</v>
      </c>
      <c r="R1307" s="26">
        <f>Q1307*G1307</f>
        <v/>
      </c>
      <c r="S1307" t="n">
        <v>4.09</v>
      </c>
      <c r="T1307" s="18">
        <f>1 - V1307/S1307</f>
        <v/>
      </c>
      <c r="U1307" s="18" t="n">
        <v>0</v>
      </c>
      <c r="V1307" s="26" t="n">
        <v>4.09</v>
      </c>
      <c r="W1307" s="26">
        <f>V1307 - L1307</f>
        <v/>
      </c>
    </row>
    <row r="1308">
      <c r="A1308" s="11" t="n">
        <v>46216</v>
      </c>
      <c r="B1308" s="1" t="n">
        <v>20030</v>
      </c>
      <c r="C1308" s="1" t="inlineStr">
        <is>
          <t>067</t>
        </is>
      </c>
      <c r="D1308" s="1" t="inlineStr">
        <is>
          <t xml:space="preserve">8963  </t>
        </is>
      </c>
      <c r="E1308" s="1" t="inlineStr">
        <is>
          <t xml:space="preserve">28194770       </t>
        </is>
      </c>
      <c r="F1308" s="5" t="inlineStr">
        <is>
          <t>AUTOS DE METAL 3 TEAMSTERZ EN BLISTER</t>
        </is>
      </c>
      <c r="G1308" t="n">
        <v>1</v>
      </c>
      <c r="H1308" s="7" t="n">
        <v>6.9</v>
      </c>
      <c r="I1308" s="7" t="n">
        <v>0</v>
      </c>
      <c r="J1308" s="7" t="n">
        <v>0</v>
      </c>
      <c r="K1308" s="9" t="n">
        <v>0</v>
      </c>
      <c r="L1308" s="10" t="n">
        <v>4.1</v>
      </c>
      <c r="M1308" s="10" t="n">
        <v>1.43</v>
      </c>
      <c r="N1308" t="inlineStr">
        <is>
          <t>1</t>
        </is>
      </c>
      <c r="O1308" t="inlineStr">
        <is>
          <t xml:space="preserve">6 </t>
        </is>
      </c>
      <c r="P1308" t="inlineStr">
        <is>
          <t xml:space="preserve">39099   </t>
        </is>
      </c>
      <c r="Q1308" s="26" t="n">
        <v>6.9</v>
      </c>
      <c r="R1308" s="26">
        <f>Q1308*G1308</f>
        <v/>
      </c>
      <c r="S1308" t="n">
        <v>4.09</v>
      </c>
      <c r="T1308" s="18">
        <f>1 - V1308/S1308</f>
        <v/>
      </c>
      <c r="U1308" s="18" t="n">
        <v>0</v>
      </c>
      <c r="V1308" s="26" t="n">
        <v>4.09</v>
      </c>
      <c r="W1308" s="26">
        <f>V1308 - L1308</f>
        <v/>
      </c>
    </row>
    <row r="1309">
      <c r="A1309" s="11" t="n">
        <v>46216</v>
      </c>
      <c r="B1309" s="1" t="n">
        <v>20040</v>
      </c>
      <c r="C1309" s="1" t="inlineStr">
        <is>
          <t>190</t>
        </is>
      </c>
      <c r="D1309" s="1" t="inlineStr">
        <is>
          <t>368164</t>
        </is>
      </c>
      <c r="E1309" s="1" t="inlineStr">
        <is>
          <t xml:space="preserve">28194769       </t>
        </is>
      </c>
      <c r="F1309" s="5" t="inlineStr">
        <is>
          <t>AUTOS DE METAL 3 TEAMSTERZ PACK DE 2</t>
        </is>
      </c>
      <c r="G1309" t="n">
        <v>1</v>
      </c>
      <c r="H1309" s="7" t="n">
        <v>13.8</v>
      </c>
      <c r="I1309" s="7" t="n">
        <v>0</v>
      </c>
      <c r="J1309" s="7" t="n">
        <v>0</v>
      </c>
      <c r="K1309" s="9" t="n">
        <v>0</v>
      </c>
      <c r="L1309" s="10" t="n">
        <v>8.18</v>
      </c>
      <c r="M1309" s="10" t="n">
        <v>1.43</v>
      </c>
      <c r="N1309" t="inlineStr">
        <is>
          <t>1</t>
        </is>
      </c>
      <c r="O1309" t="inlineStr">
        <is>
          <t>16</t>
        </is>
      </c>
      <c r="P1309" t="inlineStr">
        <is>
          <t xml:space="preserve">247177  </t>
        </is>
      </c>
      <c r="Q1309" s="26" t="n">
        <v>13.8</v>
      </c>
      <c r="R1309" s="26">
        <f>Q1309*G1309</f>
        <v/>
      </c>
      <c r="S1309" t="n">
        <v>8.19</v>
      </c>
      <c r="T1309" s="18">
        <f>1 - V1309/S1309</f>
        <v/>
      </c>
      <c r="U1309" s="18" t="n">
        <v>0</v>
      </c>
      <c r="V1309" s="26" t="n">
        <v>8.19</v>
      </c>
      <c r="W1309" s="26">
        <f>V1309 - L1309</f>
        <v/>
      </c>
    </row>
    <row r="1310">
      <c r="A1310" s="11" t="n">
        <v>46216</v>
      </c>
      <c r="B1310" s="1" t="n">
        <v>20040</v>
      </c>
      <c r="C1310" s="1" t="inlineStr">
        <is>
          <t>190</t>
        </is>
      </c>
      <c r="D1310" s="1" t="inlineStr">
        <is>
          <t>368164</t>
        </is>
      </c>
      <c r="E1310" s="1" t="inlineStr">
        <is>
          <t xml:space="preserve">29235700       </t>
        </is>
      </c>
      <c r="F1310" s="5" t="inlineStr">
        <is>
          <t>HOT WHEELS CASE METALICO PARA GUARDAR 18 CARRITOS</t>
        </is>
      </c>
      <c r="G1310" t="n">
        <v>1</v>
      </c>
      <c r="H1310" s="7" t="n">
        <v>49.9</v>
      </c>
      <c r="I1310" s="7" t="n">
        <v>0</v>
      </c>
      <c r="J1310" s="7" t="n">
        <v>0</v>
      </c>
      <c r="K1310" s="9" t="n">
        <v>0</v>
      </c>
      <c r="L1310" s="10" t="n">
        <v>29.6</v>
      </c>
      <c r="M1310" s="10" t="n">
        <v>1.43</v>
      </c>
      <c r="N1310" t="inlineStr">
        <is>
          <t>1</t>
        </is>
      </c>
      <c r="O1310" t="inlineStr">
        <is>
          <t>16</t>
        </is>
      </c>
      <c r="P1310" t="inlineStr">
        <is>
          <t xml:space="preserve">247177  </t>
        </is>
      </c>
      <c r="Q1310" s="26" t="n">
        <v>49.90000000000001</v>
      </c>
      <c r="R1310" s="26">
        <f>Q1310*G1310</f>
        <v/>
      </c>
      <c r="S1310" t="n">
        <v>29.6</v>
      </c>
      <c r="T1310" s="18">
        <f>1 - V1310/S1310</f>
        <v/>
      </c>
      <c r="U1310" s="18" t="n">
        <v>0</v>
      </c>
      <c r="V1310" s="26" t="n">
        <v>29.6</v>
      </c>
      <c r="W1310" s="26">
        <f>V1310 - L1310</f>
        <v/>
      </c>
    </row>
    <row r="1311">
      <c r="A1311" s="11" t="n">
        <v>46216</v>
      </c>
      <c r="B1311" s="1" t="n">
        <v>20040</v>
      </c>
      <c r="C1311" s="1" t="inlineStr">
        <is>
          <t>190</t>
        </is>
      </c>
      <c r="D1311" s="1" t="inlineStr">
        <is>
          <t>368184</t>
        </is>
      </c>
      <c r="E1311" s="1" t="inlineStr">
        <is>
          <t xml:space="preserve">28194780       </t>
        </is>
      </c>
      <c r="F1311" s="5" t="inlineStr">
        <is>
          <t>TROMPO BATALLA INFINITY NADO PLSTICO SURTIDO</t>
        </is>
      </c>
      <c r="G1311" t="n">
        <v>1</v>
      </c>
      <c r="H1311" s="7" t="n">
        <v>19.9</v>
      </c>
      <c r="I1311" s="7" t="n">
        <v>0</v>
      </c>
      <c r="J1311" s="7" t="n">
        <v>0</v>
      </c>
      <c r="K1311" s="9" t="n">
        <v>0</v>
      </c>
      <c r="L1311" s="10" t="n">
        <v>11.8</v>
      </c>
      <c r="M1311" s="10" t="n">
        <v>1.43</v>
      </c>
      <c r="N1311" t="inlineStr">
        <is>
          <t>1</t>
        </is>
      </c>
      <c r="O1311" t="inlineStr">
        <is>
          <t xml:space="preserve">2 </t>
        </is>
      </c>
      <c r="P1311" t="inlineStr">
        <is>
          <t xml:space="preserve">250392  </t>
        </is>
      </c>
      <c r="Q1311" s="26" t="n">
        <v>19.9</v>
      </c>
      <c r="R1311" s="26">
        <f>Q1311*G1311</f>
        <v/>
      </c>
      <c r="S1311" t="n">
        <v>11.81</v>
      </c>
      <c r="T1311" s="18">
        <f>1 - V1311/S1311</f>
        <v/>
      </c>
      <c r="U1311" s="18" t="n">
        <v>0</v>
      </c>
      <c r="V1311" s="26" t="n">
        <v>11.81</v>
      </c>
      <c r="W1311" s="26">
        <f>V1311 - L1311</f>
        <v/>
      </c>
    </row>
    <row r="1312">
      <c r="A1312" s="11" t="n">
        <v>46216</v>
      </c>
      <c r="B1312" s="1" t="n">
        <v>20041</v>
      </c>
      <c r="C1312" s="1" t="inlineStr">
        <is>
          <t>031</t>
        </is>
      </c>
      <c r="D1312" s="1" t="inlineStr">
        <is>
          <t>165459</t>
        </is>
      </c>
      <c r="E1312" s="1" t="inlineStr">
        <is>
          <t xml:space="preserve">28194770       </t>
        </is>
      </c>
      <c r="F1312" s="5" t="inlineStr">
        <is>
          <t>AUTOS DE METAL 3 TEAMSTERZ EN BLISTER</t>
        </is>
      </c>
      <c r="G1312" t="n">
        <v>1</v>
      </c>
      <c r="H1312" s="7" t="n">
        <v>6.9</v>
      </c>
      <c r="I1312" s="7" t="n">
        <v>0</v>
      </c>
      <c r="J1312" s="7" t="n">
        <v>0</v>
      </c>
      <c r="K1312" s="9" t="n">
        <v>0</v>
      </c>
      <c r="L1312" s="10" t="n">
        <v>4.1</v>
      </c>
      <c r="M1312" s="10" t="n">
        <v>1.43</v>
      </c>
      <c r="N1312" t="inlineStr">
        <is>
          <t>1</t>
        </is>
      </c>
      <c r="O1312" t="inlineStr">
        <is>
          <t>16</t>
        </is>
      </c>
      <c r="P1312" t="inlineStr">
        <is>
          <t xml:space="preserve">240974  </t>
        </is>
      </c>
      <c r="Q1312" s="26" t="n">
        <v>6.9</v>
      </c>
      <c r="R1312" s="26">
        <f>Q1312*G1312</f>
        <v/>
      </c>
      <c r="S1312" t="n">
        <v>4.09</v>
      </c>
      <c r="T1312" s="18">
        <f>1 - V1312/S1312</f>
        <v/>
      </c>
      <c r="U1312" s="18" t="n">
        <v>0</v>
      </c>
      <c r="V1312" s="26" t="n">
        <v>4.09</v>
      </c>
      <c r="W1312" s="26">
        <f>V1312 - L1312</f>
        <v/>
      </c>
    </row>
    <row r="1313">
      <c r="A1313" s="11" t="n">
        <v>46216</v>
      </c>
      <c r="B1313" s="1" t="n">
        <v>20041</v>
      </c>
      <c r="C1313" s="1" t="inlineStr">
        <is>
          <t>031</t>
        </is>
      </c>
      <c r="D1313" s="1" t="inlineStr">
        <is>
          <t>165459</t>
        </is>
      </c>
      <c r="E1313" s="1" t="inlineStr">
        <is>
          <t xml:space="preserve">28194770       </t>
        </is>
      </c>
      <c r="F1313" s="5" t="inlineStr">
        <is>
          <t>AUTOS DE METAL 3 TEAMSTERZ EN BLISTER</t>
        </is>
      </c>
      <c r="G1313" t="n">
        <v>1</v>
      </c>
      <c r="H1313" s="7" t="n">
        <v>6.9</v>
      </c>
      <c r="I1313" s="7" t="n">
        <v>0</v>
      </c>
      <c r="J1313" s="7" t="n">
        <v>0</v>
      </c>
      <c r="K1313" s="9" t="n">
        <v>0</v>
      </c>
      <c r="L1313" s="10" t="n">
        <v>4.1</v>
      </c>
      <c r="M1313" s="10" t="n">
        <v>1.43</v>
      </c>
      <c r="N1313" t="inlineStr">
        <is>
          <t>1</t>
        </is>
      </c>
      <c r="O1313" t="inlineStr">
        <is>
          <t>16</t>
        </is>
      </c>
      <c r="P1313" t="inlineStr">
        <is>
          <t xml:space="preserve">240974  </t>
        </is>
      </c>
      <c r="Q1313" s="26" t="n">
        <v>6.9</v>
      </c>
      <c r="R1313" s="26">
        <f>Q1313*G1313</f>
        <v/>
      </c>
      <c r="S1313" t="n">
        <v>4.09</v>
      </c>
      <c r="T1313" s="18">
        <f>1 - V1313/S1313</f>
        <v/>
      </c>
      <c r="U1313" s="18" t="n">
        <v>0</v>
      </c>
      <c r="V1313" s="26" t="n">
        <v>4.09</v>
      </c>
      <c r="W1313" s="26">
        <f>V1313 - L1313</f>
        <v/>
      </c>
    </row>
    <row r="1314">
      <c r="A1314" s="11" t="n">
        <v>46216</v>
      </c>
      <c r="B1314" s="1" t="n">
        <v>20041</v>
      </c>
      <c r="C1314" s="1" t="inlineStr">
        <is>
          <t>037</t>
        </is>
      </c>
      <c r="D1314" s="1" t="inlineStr">
        <is>
          <t>189534</t>
        </is>
      </c>
      <c r="E1314" s="1" t="inlineStr">
        <is>
          <t xml:space="preserve">34840539       </t>
        </is>
      </c>
      <c r="F1314" s="5" t="inlineStr">
        <is>
          <t>MUNECA STEFFI LOVE ABRIGO FLUFFY</t>
        </is>
      </c>
      <c r="G1314" t="n">
        <v>1</v>
      </c>
      <c r="H1314" s="7" t="n">
        <v>59.9</v>
      </c>
      <c r="I1314" s="7" t="n">
        <v>0</v>
      </c>
      <c r="J1314" s="7" t="n">
        <v>0</v>
      </c>
      <c r="K1314" s="9" t="n">
        <v>0</v>
      </c>
      <c r="L1314" s="10" t="n">
        <v>35.53</v>
      </c>
      <c r="M1314" s="10" t="n">
        <v>1.43</v>
      </c>
      <c r="N1314" t="inlineStr">
        <is>
          <t>1</t>
        </is>
      </c>
      <c r="O1314" t="inlineStr">
        <is>
          <t xml:space="preserve">2 </t>
        </is>
      </c>
      <c r="P1314" t="inlineStr">
        <is>
          <t xml:space="preserve">245842  </t>
        </is>
      </c>
      <c r="Q1314" s="26" t="n">
        <v>59.90000000000001</v>
      </c>
      <c r="R1314" s="26">
        <f>Q1314*G1314</f>
        <v/>
      </c>
      <c r="S1314" t="n">
        <v>35.53</v>
      </c>
      <c r="T1314" s="18">
        <f>1 - V1314/S1314</f>
        <v/>
      </c>
      <c r="U1314" s="18" t="n">
        <v>0.4</v>
      </c>
      <c r="V1314" s="26" t="n">
        <v>25.8793220338983</v>
      </c>
      <c r="W1314" s="26">
        <f>V1314 - L1314</f>
        <v/>
      </c>
    </row>
    <row r="1315">
      <c r="A1315" s="11" t="n">
        <v>46216</v>
      </c>
      <c r="B1315" s="1" t="n">
        <v>20041</v>
      </c>
      <c r="C1315" s="1" t="inlineStr">
        <is>
          <t>037</t>
        </is>
      </c>
      <c r="D1315" s="1" t="inlineStr">
        <is>
          <t>189556</t>
        </is>
      </c>
      <c r="E1315" s="1" t="inlineStr">
        <is>
          <t xml:space="preserve">28194770       </t>
        </is>
      </c>
      <c r="F1315" s="5" t="inlineStr">
        <is>
          <t>AUTOS DE METAL 3 TEAMSTERZ EN BLISTER</t>
        </is>
      </c>
      <c r="G1315" t="n">
        <v>1</v>
      </c>
      <c r="H1315" s="7" t="n">
        <v>6.9</v>
      </c>
      <c r="I1315" s="7" t="n">
        <v>0</v>
      </c>
      <c r="J1315" s="7" t="n">
        <v>0</v>
      </c>
      <c r="K1315" s="9" t="n">
        <v>0</v>
      </c>
      <c r="L1315" s="10" t="n">
        <v>4.1</v>
      </c>
      <c r="M1315" s="10" t="n">
        <v>1.43</v>
      </c>
      <c r="N1315" t="inlineStr">
        <is>
          <t>1</t>
        </is>
      </c>
      <c r="O1315" t="inlineStr">
        <is>
          <t>16</t>
        </is>
      </c>
      <c r="P1315" t="inlineStr">
        <is>
          <t xml:space="preserve">242746  </t>
        </is>
      </c>
      <c r="Q1315" s="26" t="n">
        <v>6.9</v>
      </c>
      <c r="R1315" s="26">
        <f>Q1315*G1315</f>
        <v/>
      </c>
      <c r="S1315" t="n">
        <v>4.09</v>
      </c>
      <c r="T1315" s="18">
        <f>1 - V1315/S1315</f>
        <v/>
      </c>
      <c r="U1315" s="18" t="n">
        <v>0</v>
      </c>
      <c r="V1315" s="26" t="n">
        <v>4.09</v>
      </c>
      <c r="W1315" s="26">
        <f>V1315 - L1315</f>
        <v/>
      </c>
    </row>
    <row r="1316">
      <c r="A1316" s="11" t="n">
        <v>46216</v>
      </c>
      <c r="B1316" s="1" t="n">
        <v>20043</v>
      </c>
      <c r="C1316" s="1" t="inlineStr">
        <is>
          <t>061</t>
        </is>
      </c>
      <c r="D1316" s="1" t="inlineStr">
        <is>
          <t>154938</t>
        </is>
      </c>
      <c r="E1316" s="1" t="inlineStr">
        <is>
          <t xml:space="preserve">28194770       </t>
        </is>
      </c>
      <c r="F1316" s="5" t="inlineStr">
        <is>
          <t>AUTOS DE METAL 3 TEAMSTERZ EN BLISTER</t>
        </is>
      </c>
      <c r="G1316" t="n">
        <v>1</v>
      </c>
      <c r="H1316" s="7" t="n">
        <v>6.9</v>
      </c>
      <c r="I1316" s="7" t="n">
        <v>0</v>
      </c>
      <c r="J1316" s="7" t="n">
        <v>0</v>
      </c>
      <c r="K1316" s="9" t="n">
        <v>0</v>
      </c>
      <c r="L1316" s="10" t="n">
        <v>4.1</v>
      </c>
      <c r="M1316" s="10" t="n">
        <v>1.43</v>
      </c>
      <c r="N1316" t="inlineStr">
        <is>
          <t>1</t>
        </is>
      </c>
      <c r="O1316" t="inlineStr">
        <is>
          <t>16</t>
        </is>
      </c>
      <c r="P1316" t="inlineStr">
        <is>
          <t xml:space="preserve">55076   </t>
        </is>
      </c>
      <c r="Q1316" s="26" t="n">
        <v>6.9</v>
      </c>
      <c r="R1316" s="26">
        <f>Q1316*G1316</f>
        <v/>
      </c>
      <c r="S1316" t="n">
        <v>4.09</v>
      </c>
      <c r="T1316" s="18">
        <f>1 - V1316/S1316</f>
        <v/>
      </c>
      <c r="U1316" s="18" t="n">
        <v>0</v>
      </c>
      <c r="V1316" s="26" t="n">
        <v>4.09</v>
      </c>
      <c r="W1316" s="26">
        <f>V1316 - L1316</f>
        <v/>
      </c>
    </row>
    <row r="1317">
      <c r="A1317" s="11" t="n">
        <v>46216</v>
      </c>
      <c r="B1317" s="1" t="n">
        <v>20043</v>
      </c>
      <c r="C1317" s="1" t="inlineStr">
        <is>
          <t>061</t>
        </is>
      </c>
      <c r="D1317" s="1" t="inlineStr">
        <is>
          <t>154938</t>
        </is>
      </c>
      <c r="E1317" s="1" t="inlineStr">
        <is>
          <t xml:space="preserve">28194770       </t>
        </is>
      </c>
      <c r="F1317" s="5" t="inlineStr">
        <is>
          <t>AUTOS DE METAL 3 TEAMSTERZ EN BLISTER</t>
        </is>
      </c>
      <c r="G1317" t="n">
        <v>1</v>
      </c>
      <c r="H1317" s="7" t="n">
        <v>6.9</v>
      </c>
      <c r="I1317" s="7" t="n">
        <v>0</v>
      </c>
      <c r="J1317" s="7" t="n">
        <v>0</v>
      </c>
      <c r="K1317" s="9" t="n">
        <v>0</v>
      </c>
      <c r="L1317" s="10" t="n">
        <v>4.1</v>
      </c>
      <c r="M1317" s="10" t="n">
        <v>1.43</v>
      </c>
      <c r="N1317" t="inlineStr">
        <is>
          <t>1</t>
        </is>
      </c>
      <c r="O1317" t="inlineStr">
        <is>
          <t>16</t>
        </is>
      </c>
      <c r="P1317" t="inlineStr">
        <is>
          <t xml:space="preserve">55076   </t>
        </is>
      </c>
      <c r="Q1317" s="26" t="n">
        <v>6.9</v>
      </c>
      <c r="R1317" s="26">
        <f>Q1317*G1317</f>
        <v/>
      </c>
      <c r="S1317" t="n">
        <v>4.09</v>
      </c>
      <c r="T1317" s="18">
        <f>1 - V1317/S1317</f>
        <v/>
      </c>
      <c r="U1317" s="18" t="n">
        <v>0</v>
      </c>
      <c r="V1317" s="26" t="n">
        <v>4.09</v>
      </c>
      <c r="W1317" s="26">
        <f>V1317 - L1317</f>
        <v/>
      </c>
    </row>
    <row r="1318">
      <c r="A1318" s="11" t="n">
        <v>46216</v>
      </c>
      <c r="B1318" s="1" t="n">
        <v>20048</v>
      </c>
      <c r="C1318" s="1" t="inlineStr">
        <is>
          <t>018</t>
        </is>
      </c>
      <c r="D1318" s="1" t="inlineStr">
        <is>
          <t xml:space="preserve">46783 </t>
        </is>
      </c>
      <c r="E1318" s="1" t="inlineStr">
        <is>
          <t xml:space="preserve">28194770       </t>
        </is>
      </c>
      <c r="F1318" s="5" t="inlineStr">
        <is>
          <t>AUTOS DE METAL 3 TEAMSTERZ EN BLISTER</t>
        </is>
      </c>
      <c r="G1318" t="n">
        <v>1</v>
      </c>
      <c r="H1318" s="7" t="n">
        <v>6.9</v>
      </c>
      <c r="I1318" s="7" t="n">
        <v>0</v>
      </c>
      <c r="J1318" s="7" t="n">
        <v>0</v>
      </c>
      <c r="K1318" s="9" t="n">
        <v>0</v>
      </c>
      <c r="L1318" s="10" t="n">
        <v>4.1</v>
      </c>
      <c r="M1318" s="10" t="n">
        <v>1.43</v>
      </c>
      <c r="N1318" t="inlineStr">
        <is>
          <t>1</t>
        </is>
      </c>
      <c r="O1318" t="inlineStr">
        <is>
          <t>16</t>
        </is>
      </c>
      <c r="P1318" t="inlineStr">
        <is>
          <t xml:space="preserve">82617   </t>
        </is>
      </c>
      <c r="Q1318" s="26" t="n">
        <v>6.9</v>
      </c>
      <c r="R1318" s="26">
        <f>Q1318*G1318</f>
        <v/>
      </c>
      <c r="S1318" t="n">
        <v>4.09</v>
      </c>
      <c r="T1318" s="18">
        <f>1 - V1318/S1318</f>
        <v/>
      </c>
      <c r="U1318" s="18" t="n">
        <v>0</v>
      </c>
      <c r="V1318" s="26" t="n">
        <v>4.09</v>
      </c>
      <c r="W1318" s="26">
        <f>V1318 - L1318</f>
        <v/>
      </c>
    </row>
    <row r="1319">
      <c r="A1319" s="11" t="n">
        <v>46216</v>
      </c>
      <c r="B1319" s="1" t="n">
        <v>20048</v>
      </c>
      <c r="C1319" s="1" t="inlineStr">
        <is>
          <t>018</t>
        </is>
      </c>
      <c r="D1319" s="1" t="inlineStr">
        <is>
          <t xml:space="preserve">46783 </t>
        </is>
      </c>
      <c r="E1319" s="1" t="inlineStr">
        <is>
          <t xml:space="preserve">28194770       </t>
        </is>
      </c>
      <c r="F1319" s="5" t="inlineStr">
        <is>
          <t>AUTOS DE METAL 3 TEAMSTERZ EN BLISTER</t>
        </is>
      </c>
      <c r="G1319" t="n">
        <v>1</v>
      </c>
      <c r="H1319" s="7" t="n">
        <v>6.9</v>
      </c>
      <c r="I1319" s="7" t="n">
        <v>0</v>
      </c>
      <c r="J1319" s="7" t="n">
        <v>0</v>
      </c>
      <c r="K1319" s="9" t="n">
        <v>0</v>
      </c>
      <c r="L1319" s="10" t="n">
        <v>4.1</v>
      </c>
      <c r="M1319" s="10" t="n">
        <v>1.43</v>
      </c>
      <c r="N1319" t="inlineStr">
        <is>
          <t>1</t>
        </is>
      </c>
      <c r="O1319" t="inlineStr">
        <is>
          <t>16</t>
        </is>
      </c>
      <c r="P1319" t="inlineStr">
        <is>
          <t xml:space="preserve">82617   </t>
        </is>
      </c>
      <c r="Q1319" s="26" t="n">
        <v>6.9</v>
      </c>
      <c r="R1319" s="26">
        <f>Q1319*G1319</f>
        <v/>
      </c>
      <c r="S1319" t="n">
        <v>4.09</v>
      </c>
      <c r="T1319" s="18">
        <f>1 - V1319/S1319</f>
        <v/>
      </c>
      <c r="U1319" s="18" t="n">
        <v>0</v>
      </c>
      <c r="V1319" s="26" t="n">
        <v>4.09</v>
      </c>
      <c r="W1319" s="26">
        <f>V1319 - L1319</f>
        <v/>
      </c>
    </row>
    <row r="1320">
      <c r="A1320" s="11" t="n">
        <v>46216</v>
      </c>
      <c r="B1320" s="1" t="n">
        <v>20048</v>
      </c>
      <c r="C1320" s="1" t="inlineStr">
        <is>
          <t>027</t>
        </is>
      </c>
      <c r="D1320" s="1" t="inlineStr">
        <is>
          <t>322884</t>
        </is>
      </c>
      <c r="E1320" s="1" t="inlineStr">
        <is>
          <t xml:space="preserve">28194783       </t>
        </is>
      </c>
      <c r="F1320" s="5" t="inlineStr">
        <is>
          <t>SET DE BATALLA INFINITY NADO CON 2 TROMPOS</t>
        </is>
      </c>
      <c r="G1320" t="n">
        <v>1</v>
      </c>
      <c r="H1320" s="7" t="n">
        <v>159</v>
      </c>
      <c r="I1320" s="7" t="n">
        <v>0</v>
      </c>
      <c r="J1320" s="7" t="n">
        <v>0</v>
      </c>
      <c r="K1320" s="9" t="n">
        <v>0</v>
      </c>
      <c r="L1320" s="10" t="n">
        <v>94.33</v>
      </c>
      <c r="M1320" s="10" t="n">
        <v>1.43</v>
      </c>
      <c r="N1320" t="inlineStr">
        <is>
          <t>1</t>
        </is>
      </c>
      <c r="O1320" t="inlineStr">
        <is>
          <t>16</t>
        </is>
      </c>
      <c r="P1320" t="inlineStr">
        <is>
          <t xml:space="preserve">247622  </t>
        </is>
      </c>
      <c r="Q1320" s="26" t="n">
        <v>159</v>
      </c>
      <c r="R1320" s="26">
        <f>Q1320*G1320</f>
        <v/>
      </c>
      <c r="S1320" t="n">
        <v>94.31999999999999</v>
      </c>
      <c r="T1320" s="18">
        <f>1 - V1320/S1320</f>
        <v/>
      </c>
      <c r="U1320" s="18" t="n">
        <v>0.1886792452830188</v>
      </c>
      <c r="V1320" s="26" t="n">
        <v>81.99152542372882</v>
      </c>
      <c r="W1320" s="26">
        <f>V1320 - L1320</f>
        <v/>
      </c>
    </row>
    <row r="1321">
      <c r="A1321" s="11" t="n">
        <v>46216</v>
      </c>
      <c r="B1321" s="1" t="n">
        <v>20048</v>
      </c>
      <c r="C1321" s="1" t="inlineStr">
        <is>
          <t>800</t>
        </is>
      </c>
      <c r="D1321" s="1" t="inlineStr">
        <is>
          <t xml:space="preserve">4100  </t>
        </is>
      </c>
      <c r="E1321" s="1" t="inlineStr">
        <is>
          <t xml:space="preserve">32457099       </t>
        </is>
      </c>
      <c r="F1321" s="5" t="inlineStr">
        <is>
          <t>TMZ BEAST MACHINES MONSTER JAWS A FRICCION BLISTER</t>
        </is>
      </c>
      <c r="G1321" t="n">
        <v>1</v>
      </c>
      <c r="H1321" s="7" t="n">
        <v>19.9</v>
      </c>
      <c r="I1321" s="7" t="n">
        <v>0</v>
      </c>
      <c r="J1321" s="7" t="n">
        <v>0</v>
      </c>
      <c r="K1321" s="9" t="n">
        <v>0</v>
      </c>
      <c r="L1321" s="10" t="n">
        <v>11.8</v>
      </c>
      <c r="M1321" s="10" t="n">
        <v>1.43</v>
      </c>
      <c r="N1321" t="inlineStr">
        <is>
          <t>1</t>
        </is>
      </c>
      <c r="O1321" t="inlineStr">
        <is>
          <t>16</t>
        </is>
      </c>
      <c r="P1321" t="inlineStr">
        <is>
          <t xml:space="preserve">0       </t>
        </is>
      </c>
      <c r="Q1321" s="26" t="n">
        <v>19.9</v>
      </c>
      <c r="R1321" s="26">
        <f>Q1321*G1321</f>
        <v/>
      </c>
      <c r="S1321" t="n">
        <v>11.81</v>
      </c>
      <c r="T1321" s="18">
        <f>1 - V1321/S1321</f>
        <v/>
      </c>
      <c r="U1321" s="18" t="n">
        <v>0.1005025125628141</v>
      </c>
      <c r="V1321" s="26" t="n">
        <v>8.417118644067797</v>
      </c>
      <c r="W1321" s="26">
        <f>V1321 - L1321</f>
        <v/>
      </c>
    </row>
    <row r="1322">
      <c r="A1322" s="11" t="n">
        <v>46216</v>
      </c>
      <c r="B1322" s="1" t="n">
        <v>20049</v>
      </c>
      <c r="C1322" s="1" t="inlineStr">
        <is>
          <t>013</t>
        </is>
      </c>
      <c r="D1322" s="1" t="inlineStr">
        <is>
          <t>235927</t>
        </is>
      </c>
      <c r="E1322" s="1" t="inlineStr">
        <is>
          <t xml:space="preserve">32457099       </t>
        </is>
      </c>
      <c r="F1322" s="5" t="inlineStr">
        <is>
          <t>TMZ BEAST MACHINES MONSTER JAWS A FRICCION BLISTER</t>
        </is>
      </c>
      <c r="G1322" t="n">
        <v>1</v>
      </c>
      <c r="H1322" s="7" t="n">
        <v>19.9</v>
      </c>
      <c r="I1322" s="7" t="n">
        <v>0</v>
      </c>
      <c r="J1322" s="7" t="n">
        <v>0</v>
      </c>
      <c r="K1322" s="9" t="n">
        <v>0</v>
      </c>
      <c r="L1322" s="10" t="n">
        <v>11.8</v>
      </c>
      <c r="M1322" s="10" t="n">
        <v>1.43</v>
      </c>
      <c r="N1322" t="inlineStr">
        <is>
          <t>1</t>
        </is>
      </c>
      <c r="O1322" t="inlineStr">
        <is>
          <t>16</t>
        </is>
      </c>
      <c r="P1322" t="inlineStr">
        <is>
          <t xml:space="preserve">250381  </t>
        </is>
      </c>
      <c r="Q1322" s="26" t="n">
        <v>19.9</v>
      </c>
      <c r="R1322" s="26">
        <f>Q1322*G1322</f>
        <v/>
      </c>
      <c r="S1322" t="n">
        <v>11.81</v>
      </c>
      <c r="T1322" s="18">
        <f>1 - V1322/S1322</f>
        <v/>
      </c>
      <c r="U1322" s="18" t="n">
        <v>0.1005025125628141</v>
      </c>
      <c r="V1322" s="26" t="n">
        <v>8.417118644067797</v>
      </c>
      <c r="W1322" s="26">
        <f>V1322 - L1322</f>
        <v/>
      </c>
    </row>
    <row r="1323">
      <c r="A1323" s="11" t="n">
        <v>46216</v>
      </c>
      <c r="B1323" s="1" t="n">
        <v>20049</v>
      </c>
      <c r="C1323" s="1" t="inlineStr">
        <is>
          <t>528</t>
        </is>
      </c>
      <c r="D1323" s="1" t="inlineStr">
        <is>
          <t xml:space="preserve">4054  </t>
        </is>
      </c>
      <c r="E1323" s="1" t="inlineStr">
        <is>
          <t xml:space="preserve">34840551       </t>
        </is>
      </c>
      <c r="F1323" s="5" t="inlineStr">
        <is>
          <t>TMZ HELI BOMBERO CON LUCES Y SONIDOS</t>
        </is>
      </c>
      <c r="G1323" t="n">
        <v>1</v>
      </c>
      <c r="H1323" s="7" t="n">
        <v>79.90000000000001</v>
      </c>
      <c r="I1323" s="7" t="n">
        <v>0</v>
      </c>
      <c r="J1323" s="7" t="n">
        <v>0</v>
      </c>
      <c r="K1323" s="9" t="n">
        <v>0</v>
      </c>
      <c r="L1323" s="10" t="n">
        <v>47.4</v>
      </c>
      <c r="M1323" s="10" t="n">
        <v>1.43</v>
      </c>
      <c r="N1323" t="inlineStr">
        <is>
          <t>1</t>
        </is>
      </c>
      <c r="O1323" t="inlineStr">
        <is>
          <t>16</t>
        </is>
      </c>
      <c r="P1323" t="inlineStr">
        <is>
          <t xml:space="preserve">244153  </t>
        </is>
      </c>
      <c r="Q1323" s="26" t="n">
        <v>79.90000000000002</v>
      </c>
      <c r="R1323" s="26">
        <f>Q1323*G1323</f>
        <v/>
      </c>
      <c r="S1323" t="n">
        <v>47.4</v>
      </c>
      <c r="T1323" s="18">
        <f>1 - V1323/S1323</f>
        <v/>
      </c>
      <c r="U1323" s="18" t="n">
        <v>0</v>
      </c>
      <c r="V1323" s="26" t="n">
        <v>47.4</v>
      </c>
      <c r="W1323" s="26">
        <f>V1323 - L1323</f>
        <v/>
      </c>
    </row>
    <row r="1324">
      <c r="A1324" s="11" t="n">
        <v>46216</v>
      </c>
      <c r="B1324" s="1" t="n">
        <v>20057</v>
      </c>
      <c r="C1324" s="1" t="inlineStr">
        <is>
          <t>032</t>
        </is>
      </c>
      <c r="D1324" s="1" t="inlineStr">
        <is>
          <t xml:space="preserve">74666 </t>
        </is>
      </c>
      <c r="E1324" s="1" t="inlineStr">
        <is>
          <t xml:space="preserve">28194769       </t>
        </is>
      </c>
      <c r="F1324" s="5" t="inlineStr">
        <is>
          <t>AUTOS DE METAL 3 TEAMSTERZ PACK DE 2</t>
        </is>
      </c>
      <c r="G1324" t="n">
        <v>1</v>
      </c>
      <c r="H1324" s="7" t="n">
        <v>13.8</v>
      </c>
      <c r="I1324" s="7" t="n">
        <v>0</v>
      </c>
      <c r="J1324" s="7" t="n">
        <v>0</v>
      </c>
      <c r="K1324" s="9" t="n">
        <v>0</v>
      </c>
      <c r="L1324" s="10" t="n">
        <v>8.18</v>
      </c>
      <c r="M1324" s="10" t="n">
        <v>1.43</v>
      </c>
      <c r="N1324" t="inlineStr">
        <is>
          <t>1</t>
        </is>
      </c>
      <c r="O1324" t="inlineStr">
        <is>
          <t xml:space="preserve">2 </t>
        </is>
      </c>
      <c r="P1324" t="inlineStr">
        <is>
          <t xml:space="preserve">243704  </t>
        </is>
      </c>
      <c r="Q1324" s="26" t="n">
        <v>13.8</v>
      </c>
      <c r="R1324" s="26">
        <f>Q1324*G1324</f>
        <v/>
      </c>
      <c r="S1324" t="n">
        <v>8.19</v>
      </c>
      <c r="T1324" s="18">
        <f>1 - V1324/S1324</f>
        <v/>
      </c>
      <c r="U1324" s="18" t="n">
        <v>0</v>
      </c>
      <c r="V1324" s="26" t="n">
        <v>8.19</v>
      </c>
      <c r="W1324" s="26">
        <f>V1324 - L1324</f>
        <v/>
      </c>
    </row>
    <row r="1325">
      <c r="A1325" s="11" t="n">
        <v>46216</v>
      </c>
      <c r="B1325" s="1" t="n">
        <v>20057</v>
      </c>
      <c r="C1325" s="1" t="inlineStr">
        <is>
          <t>032</t>
        </is>
      </c>
      <c r="D1325" s="1" t="inlineStr">
        <is>
          <t xml:space="preserve">74666 </t>
        </is>
      </c>
      <c r="E1325" s="1" t="inlineStr">
        <is>
          <t xml:space="preserve">28194770       </t>
        </is>
      </c>
      <c r="F1325" s="5" t="inlineStr">
        <is>
          <t>AUTOS DE METAL 3 TEAMSTERZ EN BLISTER</t>
        </is>
      </c>
      <c r="G1325" t="n">
        <v>1</v>
      </c>
      <c r="H1325" s="7" t="n">
        <v>6.9</v>
      </c>
      <c r="I1325" s="7" t="n">
        <v>0</v>
      </c>
      <c r="J1325" s="7" t="n">
        <v>0</v>
      </c>
      <c r="K1325" s="9" t="n">
        <v>0</v>
      </c>
      <c r="L1325" s="10" t="n">
        <v>4.1</v>
      </c>
      <c r="M1325" s="10" t="n">
        <v>1.43</v>
      </c>
      <c r="N1325" t="inlineStr">
        <is>
          <t>1</t>
        </is>
      </c>
      <c r="O1325" t="inlineStr">
        <is>
          <t xml:space="preserve">2 </t>
        </is>
      </c>
      <c r="P1325" t="inlineStr">
        <is>
          <t xml:space="preserve">243704  </t>
        </is>
      </c>
      <c r="Q1325" s="26" t="n">
        <v>6.9</v>
      </c>
      <c r="R1325" s="26">
        <f>Q1325*G1325</f>
        <v/>
      </c>
      <c r="S1325" t="n">
        <v>4.09</v>
      </c>
      <c r="T1325" s="18">
        <f>1 - V1325/S1325</f>
        <v/>
      </c>
      <c r="U1325" s="18" t="n">
        <v>0</v>
      </c>
      <c r="V1325" s="26" t="n">
        <v>4.09</v>
      </c>
      <c r="W1325" s="26">
        <f>V1325 - L1325</f>
        <v/>
      </c>
    </row>
    <row r="1326">
      <c r="A1326" s="11" t="n">
        <v>46216</v>
      </c>
      <c r="B1326" s="1" t="n">
        <v>20057</v>
      </c>
      <c r="C1326" s="1" t="inlineStr">
        <is>
          <t>032</t>
        </is>
      </c>
      <c r="D1326" s="1" t="inlineStr">
        <is>
          <t xml:space="preserve">74671 </t>
        </is>
      </c>
      <c r="E1326" s="1" t="inlineStr">
        <is>
          <t xml:space="preserve">30141768       </t>
        </is>
      </c>
      <c r="F1326" s="5" t="inlineStr">
        <is>
          <t>TMZ BEAST MACHINES AUTOS DE METAL PACK 10 AUTOS</t>
        </is>
      </c>
      <c r="G1326" t="n">
        <v>1</v>
      </c>
      <c r="H1326" s="7" t="n">
        <v>79</v>
      </c>
      <c r="I1326" s="7" t="n">
        <v>0</v>
      </c>
      <c r="J1326" s="7" t="n">
        <v>0</v>
      </c>
      <c r="K1326" s="9" t="n">
        <v>0</v>
      </c>
      <c r="L1326" s="10" t="n">
        <v>46.87</v>
      </c>
      <c r="M1326" s="10" t="n">
        <v>1.43</v>
      </c>
      <c r="N1326" t="inlineStr">
        <is>
          <t>1</t>
        </is>
      </c>
      <c r="O1326" t="inlineStr">
        <is>
          <t xml:space="preserve">2 </t>
        </is>
      </c>
      <c r="P1326" t="inlineStr">
        <is>
          <t xml:space="preserve">243704  </t>
        </is>
      </c>
      <c r="Q1326" s="26" t="n">
        <v>79</v>
      </c>
      <c r="R1326" s="26">
        <f>Q1326*G1326</f>
        <v/>
      </c>
      <c r="S1326" t="n">
        <v>46.86</v>
      </c>
      <c r="T1326" s="18">
        <f>1 - V1326/S1326</f>
        <v/>
      </c>
      <c r="U1326" s="18" t="n">
        <v>0.1265822784810127</v>
      </c>
      <c r="V1326" s="26" t="n">
        <v>43.85593220338983</v>
      </c>
      <c r="W1326" s="26">
        <f>V1326 - L1326</f>
        <v/>
      </c>
    </row>
    <row r="1327">
      <c r="A1327" s="11" t="n">
        <v>46216</v>
      </c>
      <c r="B1327" s="1" t="n">
        <v>20057</v>
      </c>
      <c r="C1327" s="1" t="inlineStr">
        <is>
          <t>033</t>
        </is>
      </c>
      <c r="D1327" s="1" t="inlineStr">
        <is>
          <t xml:space="preserve">67080 </t>
        </is>
      </c>
      <c r="E1327" s="1" t="inlineStr">
        <is>
          <t xml:space="preserve">28194770       </t>
        </is>
      </c>
      <c r="F1327" s="5" t="inlineStr">
        <is>
          <t>AUTOS DE METAL 3 TEAMSTERZ EN BLISTER</t>
        </is>
      </c>
      <c r="G1327" t="n">
        <v>1</v>
      </c>
      <c r="H1327" s="7" t="n">
        <v>6.9</v>
      </c>
      <c r="I1327" s="7" t="n">
        <v>0</v>
      </c>
      <c r="J1327" s="7" t="n">
        <v>0</v>
      </c>
      <c r="K1327" s="9" t="n">
        <v>0</v>
      </c>
      <c r="L1327" s="10" t="n">
        <v>4.1</v>
      </c>
      <c r="M1327" s="10" t="n">
        <v>1.43</v>
      </c>
      <c r="N1327" t="inlineStr">
        <is>
          <t>1</t>
        </is>
      </c>
      <c r="O1327" t="inlineStr">
        <is>
          <t>16</t>
        </is>
      </c>
      <c r="P1327" t="inlineStr">
        <is>
          <t xml:space="preserve">250316  </t>
        </is>
      </c>
      <c r="Q1327" s="26" t="n">
        <v>6.9</v>
      </c>
      <c r="R1327" s="26">
        <f>Q1327*G1327</f>
        <v/>
      </c>
      <c r="S1327" t="n">
        <v>4.09</v>
      </c>
      <c r="T1327" s="18">
        <f>1 - V1327/S1327</f>
        <v/>
      </c>
      <c r="U1327" s="18" t="n">
        <v>0</v>
      </c>
      <c r="V1327" s="26" t="n">
        <v>4.09</v>
      </c>
      <c r="W1327" s="26">
        <f>V1327 - L1327</f>
        <v/>
      </c>
    </row>
    <row r="1328">
      <c r="A1328" s="11" t="n">
        <v>46216</v>
      </c>
      <c r="B1328" s="1" t="n">
        <v>20057</v>
      </c>
      <c r="C1328" s="1" t="inlineStr">
        <is>
          <t>536</t>
        </is>
      </c>
      <c r="D1328" s="1" t="inlineStr">
        <is>
          <t xml:space="preserve">7197  </t>
        </is>
      </c>
      <c r="E1328" s="1" t="inlineStr">
        <is>
          <t xml:space="preserve">28194769       </t>
        </is>
      </c>
      <c r="F1328" s="5" t="inlineStr">
        <is>
          <t>AUTOS DE METAL 3 TEAMSTERZ PACK DE 2</t>
        </is>
      </c>
      <c r="G1328" t="n">
        <v>1</v>
      </c>
      <c r="H1328" s="7" t="n">
        <v>13.8</v>
      </c>
      <c r="I1328" s="7" t="n">
        <v>0</v>
      </c>
      <c r="J1328" s="7" t="n">
        <v>0</v>
      </c>
      <c r="K1328" s="9" t="n">
        <v>0</v>
      </c>
      <c r="L1328" s="10" t="n">
        <v>8.18</v>
      </c>
      <c r="M1328" s="10" t="n">
        <v>1.43</v>
      </c>
      <c r="N1328" t="inlineStr">
        <is>
          <t>1</t>
        </is>
      </c>
      <c r="O1328" t="inlineStr">
        <is>
          <t>16</t>
        </is>
      </c>
      <c r="P1328" t="inlineStr">
        <is>
          <t xml:space="preserve">249928  </t>
        </is>
      </c>
      <c r="Q1328" s="26" t="n">
        <v>13.8</v>
      </c>
      <c r="R1328" s="26">
        <f>Q1328*G1328</f>
        <v/>
      </c>
      <c r="S1328" t="n">
        <v>8.19</v>
      </c>
      <c r="T1328" s="18">
        <f>1 - V1328/S1328</f>
        <v/>
      </c>
      <c r="U1328" s="18" t="n">
        <v>0</v>
      </c>
      <c r="V1328" s="26" t="n">
        <v>8.19</v>
      </c>
      <c r="W1328" s="26">
        <f>V1328 - L1328</f>
        <v/>
      </c>
    </row>
    <row r="1329">
      <c r="A1329" s="11" t="n">
        <v>46216</v>
      </c>
      <c r="B1329" s="1" t="n">
        <v>20057</v>
      </c>
      <c r="C1329" s="1" t="inlineStr">
        <is>
          <t>862</t>
        </is>
      </c>
      <c r="D1329" s="1" t="inlineStr">
        <is>
          <t xml:space="preserve">7941  </t>
        </is>
      </c>
      <c r="E1329" s="1" t="inlineStr">
        <is>
          <t xml:space="preserve">28194770       </t>
        </is>
      </c>
      <c r="F1329" s="5" t="inlineStr">
        <is>
          <t>AUTOS DE METAL 3 TEAMSTERZ EN BLISTER</t>
        </is>
      </c>
      <c r="G1329" t="n">
        <v>1</v>
      </c>
      <c r="H1329" s="7" t="n">
        <v>6.9</v>
      </c>
      <c r="I1329" s="7" t="n">
        <v>0</v>
      </c>
      <c r="J1329" s="7" t="n">
        <v>0</v>
      </c>
      <c r="K1329" s="9" t="n">
        <v>0</v>
      </c>
      <c r="L1329" s="10" t="n">
        <v>4.1</v>
      </c>
      <c r="M1329" s="10" t="n">
        <v>1.43</v>
      </c>
      <c r="N1329" t="inlineStr">
        <is>
          <t>1</t>
        </is>
      </c>
      <c r="O1329" t="inlineStr">
        <is>
          <t>16</t>
        </is>
      </c>
      <c r="P1329" t="inlineStr">
        <is>
          <t xml:space="preserve">0       </t>
        </is>
      </c>
      <c r="Q1329" s="26" t="n">
        <v>6.9</v>
      </c>
      <c r="R1329" s="26">
        <f>Q1329*G1329</f>
        <v/>
      </c>
      <c r="S1329" t="n">
        <v>4.09</v>
      </c>
      <c r="T1329" s="18">
        <f>1 - V1329/S1329</f>
        <v/>
      </c>
      <c r="U1329" s="18" t="n">
        <v>0</v>
      </c>
      <c r="V1329" s="26" t="n">
        <v>4.09</v>
      </c>
      <c r="W1329" s="26">
        <f>V1329 - L1329</f>
        <v/>
      </c>
    </row>
    <row r="1330">
      <c r="A1330" s="11" t="n">
        <v>46216</v>
      </c>
      <c r="B1330" s="1" t="n">
        <v>20058</v>
      </c>
      <c r="C1330" s="1" t="inlineStr">
        <is>
          <t>038</t>
        </is>
      </c>
      <c r="D1330" s="1" t="inlineStr">
        <is>
          <t>209256</t>
        </is>
      </c>
      <c r="E1330" s="1" t="inlineStr">
        <is>
          <t xml:space="preserve">28194769       </t>
        </is>
      </c>
      <c r="F1330" s="5" t="inlineStr">
        <is>
          <t>AUTOS DE METAL 3 TEAMSTERZ PACK DE 2</t>
        </is>
      </c>
      <c r="G1330" t="n">
        <v>1</v>
      </c>
      <c r="H1330" s="7" t="n">
        <v>13.8</v>
      </c>
      <c r="I1330" s="7" t="n">
        <v>0</v>
      </c>
      <c r="J1330" s="7" t="n">
        <v>0</v>
      </c>
      <c r="K1330" s="9" t="n">
        <v>0</v>
      </c>
      <c r="L1330" s="10" t="n">
        <v>8.18</v>
      </c>
      <c r="M1330" s="10" t="n">
        <v>1.43</v>
      </c>
      <c r="N1330" t="inlineStr">
        <is>
          <t>1</t>
        </is>
      </c>
      <c r="O1330" t="inlineStr">
        <is>
          <t xml:space="preserve">3 </t>
        </is>
      </c>
      <c r="P1330" t="inlineStr">
        <is>
          <t xml:space="preserve">94051   </t>
        </is>
      </c>
      <c r="Q1330" s="26" t="n">
        <v>13.8</v>
      </c>
      <c r="R1330" s="26">
        <f>Q1330*G1330</f>
        <v/>
      </c>
      <c r="S1330" t="n">
        <v>8.19</v>
      </c>
      <c r="T1330" s="18">
        <f>1 - V1330/S1330</f>
        <v/>
      </c>
      <c r="U1330" s="18" t="n">
        <v>0</v>
      </c>
      <c r="V1330" s="26" t="n">
        <v>8.19</v>
      </c>
      <c r="W1330" s="26">
        <f>V1330 - L1330</f>
        <v/>
      </c>
    </row>
    <row r="1331">
      <c r="A1331" s="11" t="n">
        <v>46216</v>
      </c>
      <c r="B1331" s="1" t="n">
        <v>20058</v>
      </c>
      <c r="C1331" s="1" t="inlineStr">
        <is>
          <t>038</t>
        </is>
      </c>
      <c r="D1331" s="1" t="inlineStr">
        <is>
          <t>209256</t>
        </is>
      </c>
      <c r="E1331" s="1" t="inlineStr">
        <is>
          <t xml:space="preserve">28194769       </t>
        </is>
      </c>
      <c r="F1331" s="5" t="inlineStr">
        <is>
          <t>AUTOS DE METAL 3 TEAMSTERZ PACK DE 2</t>
        </is>
      </c>
      <c r="G1331" t="n">
        <v>1</v>
      </c>
      <c r="H1331" s="7" t="n">
        <v>13.8</v>
      </c>
      <c r="I1331" s="7" t="n">
        <v>0</v>
      </c>
      <c r="J1331" s="7" t="n">
        <v>0</v>
      </c>
      <c r="K1331" s="9" t="n">
        <v>0</v>
      </c>
      <c r="L1331" s="10" t="n">
        <v>8.18</v>
      </c>
      <c r="M1331" s="10" t="n">
        <v>1.43</v>
      </c>
      <c r="N1331" t="inlineStr">
        <is>
          <t>1</t>
        </is>
      </c>
      <c r="O1331" t="inlineStr">
        <is>
          <t xml:space="preserve">3 </t>
        </is>
      </c>
      <c r="P1331" t="inlineStr">
        <is>
          <t xml:space="preserve">94051   </t>
        </is>
      </c>
      <c r="Q1331" s="26" t="n">
        <v>13.8</v>
      </c>
      <c r="R1331" s="26">
        <f>Q1331*G1331</f>
        <v/>
      </c>
      <c r="S1331" t="n">
        <v>8.19</v>
      </c>
      <c r="T1331" s="18">
        <f>1 - V1331/S1331</f>
        <v/>
      </c>
      <c r="U1331" s="18" t="n">
        <v>0</v>
      </c>
      <c r="V1331" s="26" t="n">
        <v>8.19</v>
      </c>
      <c r="W1331" s="26">
        <f>V1331 - L1331</f>
        <v/>
      </c>
    </row>
    <row r="1332">
      <c r="A1332" s="11" t="n">
        <v>46216</v>
      </c>
      <c r="B1332" s="1" t="n">
        <v>20058</v>
      </c>
      <c r="C1332" s="1" t="inlineStr">
        <is>
          <t>039</t>
        </is>
      </c>
      <c r="D1332" s="1" t="inlineStr">
        <is>
          <t>230539</t>
        </is>
      </c>
      <c r="E1332" s="1" t="inlineStr">
        <is>
          <t xml:space="preserve">28194769       </t>
        </is>
      </c>
      <c r="F1332" s="5" t="inlineStr">
        <is>
          <t>AUTOS DE METAL 3 TEAMSTERZ PACK DE 2</t>
        </is>
      </c>
      <c r="G1332" t="n">
        <v>1</v>
      </c>
      <c r="H1332" s="7" t="n">
        <v>13.8</v>
      </c>
      <c r="I1332" s="7" t="n">
        <v>0</v>
      </c>
      <c r="J1332" s="7" t="n">
        <v>0</v>
      </c>
      <c r="K1332" s="9" t="n">
        <v>0</v>
      </c>
      <c r="L1332" s="10" t="n">
        <v>8.18</v>
      </c>
      <c r="M1332" s="10" t="n">
        <v>1.43</v>
      </c>
      <c r="N1332" t="inlineStr">
        <is>
          <t>1</t>
        </is>
      </c>
      <c r="O1332" t="inlineStr">
        <is>
          <t xml:space="preserve">3 </t>
        </is>
      </c>
      <c r="P1332" t="inlineStr">
        <is>
          <t xml:space="preserve">249014  </t>
        </is>
      </c>
      <c r="Q1332" s="26" t="n">
        <v>13.8</v>
      </c>
      <c r="R1332" s="26">
        <f>Q1332*G1332</f>
        <v/>
      </c>
      <c r="S1332" t="n">
        <v>8.19</v>
      </c>
      <c r="T1332" s="18">
        <f>1 - V1332/S1332</f>
        <v/>
      </c>
      <c r="U1332" s="18" t="n">
        <v>0</v>
      </c>
      <c r="V1332" s="26" t="n">
        <v>8.19</v>
      </c>
      <c r="W1332" s="26">
        <f>V1332 - L1332</f>
        <v/>
      </c>
    </row>
    <row r="1333">
      <c r="A1333" s="11" t="n">
        <v>46216</v>
      </c>
      <c r="B1333" s="1" t="n">
        <v>20058</v>
      </c>
      <c r="C1333" s="1" t="inlineStr">
        <is>
          <t>039</t>
        </is>
      </c>
      <c r="D1333" s="1" t="inlineStr">
        <is>
          <t>230539</t>
        </is>
      </c>
      <c r="E1333" s="1" t="inlineStr">
        <is>
          <t xml:space="preserve">28194769       </t>
        </is>
      </c>
      <c r="F1333" s="5" t="inlineStr">
        <is>
          <t>AUTOS DE METAL 3 TEAMSTERZ PACK DE 2</t>
        </is>
      </c>
      <c r="G1333" t="n">
        <v>1</v>
      </c>
      <c r="H1333" s="7" t="n">
        <v>13.8</v>
      </c>
      <c r="I1333" s="7" t="n">
        <v>0</v>
      </c>
      <c r="J1333" s="7" t="n">
        <v>0</v>
      </c>
      <c r="K1333" s="9" t="n">
        <v>0</v>
      </c>
      <c r="L1333" s="10" t="n">
        <v>8.18</v>
      </c>
      <c r="M1333" s="10" t="n">
        <v>1.43</v>
      </c>
      <c r="N1333" t="inlineStr">
        <is>
          <t>1</t>
        </is>
      </c>
      <c r="O1333" t="inlineStr">
        <is>
          <t xml:space="preserve">3 </t>
        </is>
      </c>
      <c r="P1333" t="inlineStr">
        <is>
          <t xml:space="preserve">249014  </t>
        </is>
      </c>
      <c r="Q1333" s="26" t="n">
        <v>13.8</v>
      </c>
      <c r="R1333" s="26">
        <f>Q1333*G1333</f>
        <v/>
      </c>
      <c r="S1333" t="n">
        <v>8.19</v>
      </c>
      <c r="T1333" s="18">
        <f>1 - V1333/S1333</f>
        <v/>
      </c>
      <c r="U1333" s="18" t="n">
        <v>0</v>
      </c>
      <c r="V1333" s="26" t="n">
        <v>8.19</v>
      </c>
      <c r="W1333" s="26">
        <f>V1333 - L1333</f>
        <v/>
      </c>
    </row>
    <row r="1334">
      <c r="A1334" s="11" t="n">
        <v>46216</v>
      </c>
      <c r="B1334" s="1" t="n">
        <v>20058</v>
      </c>
      <c r="C1334" s="1" t="inlineStr">
        <is>
          <t>039</t>
        </is>
      </c>
      <c r="D1334" s="1" t="inlineStr">
        <is>
          <t>230539</t>
        </is>
      </c>
      <c r="E1334" s="1" t="inlineStr">
        <is>
          <t xml:space="preserve">28194769       </t>
        </is>
      </c>
      <c r="F1334" s="5" t="inlineStr">
        <is>
          <t>AUTOS DE METAL 3 TEAMSTERZ PACK DE 2</t>
        </is>
      </c>
      <c r="G1334" t="n">
        <v>1</v>
      </c>
      <c r="H1334" s="7" t="n">
        <v>13.8</v>
      </c>
      <c r="I1334" s="7" t="n">
        <v>0</v>
      </c>
      <c r="J1334" s="7" t="n">
        <v>0</v>
      </c>
      <c r="K1334" s="9" t="n">
        <v>0</v>
      </c>
      <c r="L1334" s="10" t="n">
        <v>8.18</v>
      </c>
      <c r="M1334" s="10" t="n">
        <v>1.43</v>
      </c>
      <c r="N1334" t="inlineStr">
        <is>
          <t>1</t>
        </is>
      </c>
      <c r="O1334" t="inlineStr">
        <is>
          <t xml:space="preserve">3 </t>
        </is>
      </c>
      <c r="P1334" t="inlineStr">
        <is>
          <t xml:space="preserve">249014  </t>
        </is>
      </c>
      <c r="Q1334" s="26" t="n">
        <v>13.8</v>
      </c>
      <c r="R1334" s="26">
        <f>Q1334*G1334</f>
        <v/>
      </c>
      <c r="S1334" t="n">
        <v>8.19</v>
      </c>
      <c r="T1334" s="18">
        <f>1 - V1334/S1334</f>
        <v/>
      </c>
      <c r="U1334" s="18" t="n">
        <v>0</v>
      </c>
      <c r="V1334" s="26" t="n">
        <v>8.19</v>
      </c>
      <c r="W1334" s="26">
        <f>V1334 - L1334</f>
        <v/>
      </c>
    </row>
    <row r="1335">
      <c r="A1335" s="11" t="n">
        <v>46216</v>
      </c>
      <c r="B1335" s="1" t="n">
        <v>20058</v>
      </c>
      <c r="C1335" s="1" t="inlineStr">
        <is>
          <t>039</t>
        </is>
      </c>
      <c r="D1335" s="1" t="inlineStr">
        <is>
          <t>230539</t>
        </is>
      </c>
      <c r="E1335" s="1" t="inlineStr">
        <is>
          <t xml:space="preserve">28194769       </t>
        </is>
      </c>
      <c r="F1335" s="5" t="inlineStr">
        <is>
          <t>AUTOS DE METAL 3 TEAMSTERZ PACK DE 2</t>
        </is>
      </c>
      <c r="G1335" t="n">
        <v>1</v>
      </c>
      <c r="H1335" s="7" t="n">
        <v>13.8</v>
      </c>
      <c r="I1335" s="7" t="n">
        <v>0</v>
      </c>
      <c r="J1335" s="7" t="n">
        <v>0</v>
      </c>
      <c r="K1335" s="9" t="n">
        <v>0</v>
      </c>
      <c r="L1335" s="10" t="n">
        <v>8.18</v>
      </c>
      <c r="M1335" s="10" t="n">
        <v>1.43</v>
      </c>
      <c r="N1335" t="inlineStr">
        <is>
          <t>1</t>
        </is>
      </c>
      <c r="O1335" t="inlineStr">
        <is>
          <t xml:space="preserve">3 </t>
        </is>
      </c>
      <c r="P1335" t="inlineStr">
        <is>
          <t xml:space="preserve">249014  </t>
        </is>
      </c>
      <c r="Q1335" s="26" t="n">
        <v>13.8</v>
      </c>
      <c r="R1335" s="26">
        <f>Q1335*G1335</f>
        <v/>
      </c>
      <c r="S1335" t="n">
        <v>8.19</v>
      </c>
      <c r="T1335" s="18">
        <f>1 - V1335/S1335</f>
        <v/>
      </c>
      <c r="U1335" s="18" t="n">
        <v>0</v>
      </c>
      <c r="V1335" s="26" t="n">
        <v>8.19</v>
      </c>
      <c r="W1335" s="26">
        <f>V1335 - L1335</f>
        <v/>
      </c>
    </row>
    <row r="1336">
      <c r="A1336" s="11" t="n">
        <v>46216</v>
      </c>
      <c r="B1336" s="1" t="n">
        <v>20058</v>
      </c>
      <c r="C1336" s="1" t="inlineStr">
        <is>
          <t>039</t>
        </is>
      </c>
      <c r="D1336" s="1" t="inlineStr">
        <is>
          <t>230539</t>
        </is>
      </c>
      <c r="E1336" s="1" t="inlineStr">
        <is>
          <t xml:space="preserve">28194769       </t>
        </is>
      </c>
      <c r="F1336" s="5" t="inlineStr">
        <is>
          <t>AUTOS DE METAL 3 TEAMSTERZ PACK DE 2</t>
        </is>
      </c>
      <c r="G1336" t="n">
        <v>1</v>
      </c>
      <c r="H1336" s="7" t="n">
        <v>13.8</v>
      </c>
      <c r="I1336" s="7" t="n">
        <v>0</v>
      </c>
      <c r="J1336" s="7" t="n">
        <v>0</v>
      </c>
      <c r="K1336" s="9" t="n">
        <v>0</v>
      </c>
      <c r="L1336" s="10" t="n">
        <v>8.18</v>
      </c>
      <c r="M1336" s="10" t="n">
        <v>1.43</v>
      </c>
      <c r="N1336" t="inlineStr">
        <is>
          <t>1</t>
        </is>
      </c>
      <c r="O1336" t="inlineStr">
        <is>
          <t xml:space="preserve">3 </t>
        </is>
      </c>
      <c r="P1336" t="inlineStr">
        <is>
          <t xml:space="preserve">249014  </t>
        </is>
      </c>
      <c r="Q1336" s="26" t="n">
        <v>13.8</v>
      </c>
      <c r="R1336" s="26">
        <f>Q1336*G1336</f>
        <v/>
      </c>
      <c r="S1336" t="n">
        <v>8.19</v>
      </c>
      <c r="T1336" s="18">
        <f>1 - V1336/S1336</f>
        <v/>
      </c>
      <c r="U1336" s="18" t="n">
        <v>0</v>
      </c>
      <c r="V1336" s="26" t="n">
        <v>8.19</v>
      </c>
      <c r="W1336" s="26">
        <f>V1336 - L1336</f>
        <v/>
      </c>
    </row>
    <row r="1337">
      <c r="A1337" s="11" t="n">
        <v>46216</v>
      </c>
      <c r="B1337" s="1" t="n">
        <v>20058</v>
      </c>
      <c r="C1337" s="1" t="inlineStr">
        <is>
          <t>039</t>
        </is>
      </c>
      <c r="D1337" s="1" t="inlineStr">
        <is>
          <t>230539</t>
        </is>
      </c>
      <c r="E1337" s="1" t="inlineStr">
        <is>
          <t xml:space="preserve">28194770       </t>
        </is>
      </c>
      <c r="F1337" s="5" t="inlineStr">
        <is>
          <t>AUTOS DE METAL 3 TEAMSTERZ EN BLISTER</t>
        </is>
      </c>
      <c r="G1337" t="n">
        <v>1</v>
      </c>
      <c r="H1337" s="7" t="n">
        <v>6.9</v>
      </c>
      <c r="I1337" s="7" t="n">
        <v>0</v>
      </c>
      <c r="J1337" s="7" t="n">
        <v>0</v>
      </c>
      <c r="K1337" s="9" t="n">
        <v>0</v>
      </c>
      <c r="L1337" s="10" t="n">
        <v>4.1</v>
      </c>
      <c r="M1337" s="10" t="n">
        <v>1.43</v>
      </c>
      <c r="N1337" t="inlineStr">
        <is>
          <t>1</t>
        </is>
      </c>
      <c r="O1337" t="inlineStr">
        <is>
          <t xml:space="preserve">3 </t>
        </is>
      </c>
      <c r="P1337" t="inlineStr">
        <is>
          <t xml:space="preserve">249014  </t>
        </is>
      </c>
      <c r="Q1337" s="26" t="n">
        <v>6.9</v>
      </c>
      <c r="R1337" s="26">
        <f>Q1337*G1337</f>
        <v/>
      </c>
      <c r="S1337" t="n">
        <v>4.09</v>
      </c>
      <c r="T1337" s="18">
        <f>1 - V1337/S1337</f>
        <v/>
      </c>
      <c r="U1337" s="18" t="n">
        <v>0</v>
      </c>
      <c r="V1337" s="26" t="n">
        <v>4.09</v>
      </c>
      <c r="W1337" s="26">
        <f>V1337 - L1337</f>
        <v/>
      </c>
    </row>
    <row r="1338">
      <c r="A1338" s="11" t="n">
        <v>46216</v>
      </c>
      <c r="B1338" s="1" t="n">
        <v>20058</v>
      </c>
      <c r="C1338" s="1" t="inlineStr">
        <is>
          <t>039</t>
        </is>
      </c>
      <c r="D1338" s="1" t="inlineStr">
        <is>
          <t>230539</t>
        </is>
      </c>
      <c r="E1338" s="1" t="inlineStr">
        <is>
          <t xml:space="preserve">28194770       </t>
        </is>
      </c>
      <c r="F1338" s="5" t="inlineStr">
        <is>
          <t>AUTOS DE METAL 3 TEAMSTERZ EN BLISTER</t>
        </is>
      </c>
      <c r="G1338" t="n">
        <v>1</v>
      </c>
      <c r="H1338" s="7" t="n">
        <v>6.9</v>
      </c>
      <c r="I1338" s="7" t="n">
        <v>0</v>
      </c>
      <c r="J1338" s="7" t="n">
        <v>0</v>
      </c>
      <c r="K1338" s="9" t="n">
        <v>0</v>
      </c>
      <c r="L1338" s="10" t="n">
        <v>4.1</v>
      </c>
      <c r="M1338" s="10" t="n">
        <v>1.43</v>
      </c>
      <c r="N1338" t="inlineStr">
        <is>
          <t>1</t>
        </is>
      </c>
      <c r="O1338" t="inlineStr">
        <is>
          <t xml:space="preserve">3 </t>
        </is>
      </c>
      <c r="P1338" t="inlineStr">
        <is>
          <t xml:space="preserve">249014  </t>
        </is>
      </c>
      <c r="Q1338" s="26" t="n">
        <v>6.9</v>
      </c>
      <c r="R1338" s="26">
        <f>Q1338*G1338</f>
        <v/>
      </c>
      <c r="S1338" t="n">
        <v>4.09</v>
      </c>
      <c r="T1338" s="18">
        <f>1 - V1338/S1338</f>
        <v/>
      </c>
      <c r="U1338" s="18" t="n">
        <v>0</v>
      </c>
      <c r="V1338" s="26" t="n">
        <v>4.09</v>
      </c>
      <c r="W1338" s="26">
        <f>V1338 - L1338</f>
        <v/>
      </c>
    </row>
    <row r="1339">
      <c r="A1339" s="11" t="n">
        <v>46216</v>
      </c>
      <c r="B1339" s="1" t="n">
        <v>20058</v>
      </c>
      <c r="C1339" s="1" t="inlineStr">
        <is>
          <t>039</t>
        </is>
      </c>
      <c r="D1339" s="1" t="inlineStr">
        <is>
          <t>230539</t>
        </is>
      </c>
      <c r="E1339" s="1" t="inlineStr">
        <is>
          <t xml:space="preserve">28194770       </t>
        </is>
      </c>
      <c r="F1339" s="5" t="inlineStr">
        <is>
          <t>AUTOS DE METAL 3 TEAMSTERZ EN BLISTER</t>
        </is>
      </c>
      <c r="G1339" t="n">
        <v>1</v>
      </c>
      <c r="H1339" s="7" t="n">
        <v>6.9</v>
      </c>
      <c r="I1339" s="7" t="n">
        <v>0</v>
      </c>
      <c r="J1339" s="7" t="n">
        <v>0</v>
      </c>
      <c r="K1339" s="9" t="n">
        <v>0</v>
      </c>
      <c r="L1339" s="10" t="n">
        <v>4.1</v>
      </c>
      <c r="M1339" s="10" t="n">
        <v>1.43</v>
      </c>
      <c r="N1339" t="inlineStr">
        <is>
          <t>1</t>
        </is>
      </c>
      <c r="O1339" t="inlineStr">
        <is>
          <t xml:space="preserve">3 </t>
        </is>
      </c>
      <c r="P1339" t="inlineStr">
        <is>
          <t xml:space="preserve">249014  </t>
        </is>
      </c>
      <c r="Q1339" s="26" t="n">
        <v>6.9</v>
      </c>
      <c r="R1339" s="26">
        <f>Q1339*G1339</f>
        <v/>
      </c>
      <c r="S1339" t="n">
        <v>4.09</v>
      </c>
      <c r="T1339" s="18">
        <f>1 - V1339/S1339</f>
        <v/>
      </c>
      <c r="U1339" s="18" t="n">
        <v>0</v>
      </c>
      <c r="V1339" s="26" t="n">
        <v>4.09</v>
      </c>
      <c r="W1339" s="26">
        <f>V1339 - L1339</f>
        <v/>
      </c>
    </row>
    <row r="1340">
      <c r="A1340" s="11" t="n">
        <v>46216</v>
      </c>
      <c r="B1340" s="1" t="n">
        <v>20058</v>
      </c>
      <c r="C1340" s="1" t="inlineStr">
        <is>
          <t>039</t>
        </is>
      </c>
      <c r="D1340" s="1" t="inlineStr">
        <is>
          <t>230539</t>
        </is>
      </c>
      <c r="E1340" s="1" t="inlineStr">
        <is>
          <t xml:space="preserve">28194770       </t>
        </is>
      </c>
      <c r="F1340" s="5" t="inlineStr">
        <is>
          <t>AUTOS DE METAL 3 TEAMSTERZ EN BLISTER</t>
        </is>
      </c>
      <c r="G1340" t="n">
        <v>1</v>
      </c>
      <c r="H1340" s="7" t="n">
        <v>6.9</v>
      </c>
      <c r="I1340" s="7" t="n">
        <v>0</v>
      </c>
      <c r="J1340" s="7" t="n">
        <v>0</v>
      </c>
      <c r="K1340" s="9" t="n">
        <v>0</v>
      </c>
      <c r="L1340" s="10" t="n">
        <v>4.1</v>
      </c>
      <c r="M1340" s="10" t="n">
        <v>1.43</v>
      </c>
      <c r="N1340" t="inlineStr">
        <is>
          <t>1</t>
        </is>
      </c>
      <c r="O1340" t="inlineStr">
        <is>
          <t xml:space="preserve">3 </t>
        </is>
      </c>
      <c r="P1340" t="inlineStr">
        <is>
          <t xml:space="preserve">249014  </t>
        </is>
      </c>
      <c r="Q1340" s="26" t="n">
        <v>6.9</v>
      </c>
      <c r="R1340" s="26">
        <f>Q1340*G1340</f>
        <v/>
      </c>
      <c r="S1340" t="n">
        <v>4.09</v>
      </c>
      <c r="T1340" s="18">
        <f>1 - V1340/S1340</f>
        <v/>
      </c>
      <c r="U1340" s="18" t="n">
        <v>0</v>
      </c>
      <c r="V1340" s="26" t="n">
        <v>4.09</v>
      </c>
      <c r="W1340" s="26">
        <f>V1340 - L1340</f>
        <v/>
      </c>
    </row>
    <row r="1341">
      <c r="A1341" s="11" t="n">
        <v>46216</v>
      </c>
      <c r="B1341" s="1" t="n">
        <v>20062</v>
      </c>
      <c r="C1341" s="1" t="inlineStr">
        <is>
          <t>050</t>
        </is>
      </c>
      <c r="D1341" s="1" t="inlineStr">
        <is>
          <t>317337</t>
        </is>
      </c>
      <c r="E1341" s="1" t="inlineStr">
        <is>
          <t xml:space="preserve">31959957       </t>
        </is>
      </c>
      <c r="F1341" s="5" t="inlineStr">
        <is>
          <t>TEAMSTERZ PLAYSET RESCATE EN EL MAR</t>
        </is>
      </c>
      <c r="G1341" t="n">
        <v>1</v>
      </c>
      <c r="H1341" s="7" t="n">
        <v>19.9</v>
      </c>
      <c r="I1341" s="7" t="n">
        <v>0</v>
      </c>
      <c r="J1341" s="7" t="n">
        <v>0</v>
      </c>
      <c r="K1341" s="9" t="n">
        <v>0</v>
      </c>
      <c r="L1341" s="10" t="n">
        <v>11.8</v>
      </c>
      <c r="M1341" s="10" t="n">
        <v>1.43</v>
      </c>
      <c r="N1341" t="inlineStr">
        <is>
          <t>1</t>
        </is>
      </c>
      <c r="O1341" t="inlineStr">
        <is>
          <t xml:space="preserve">3 </t>
        </is>
      </c>
      <c r="P1341" t="inlineStr">
        <is>
          <t xml:space="preserve">43458   </t>
        </is>
      </c>
      <c r="Q1341" s="26" t="n">
        <v>19.9</v>
      </c>
      <c r="R1341" s="26">
        <f>Q1341*G1341</f>
        <v/>
      </c>
      <c r="S1341" t="n">
        <v>11.81</v>
      </c>
      <c r="T1341" s="18">
        <f>1 - V1341/S1341</f>
        <v/>
      </c>
      <c r="U1341" s="18" t="n">
        <v>0</v>
      </c>
      <c r="V1341" s="26" t="n">
        <v>11.81</v>
      </c>
      <c r="W1341" s="26">
        <f>V1341 - L1341</f>
        <v/>
      </c>
    </row>
    <row r="1342">
      <c r="A1342" s="11" t="n">
        <v>46216</v>
      </c>
      <c r="B1342" s="1" t="n">
        <v>20062</v>
      </c>
      <c r="C1342" s="1" t="inlineStr">
        <is>
          <t>831</t>
        </is>
      </c>
      <c r="D1342" s="1" t="inlineStr">
        <is>
          <t xml:space="preserve">1469  </t>
        </is>
      </c>
      <c r="E1342" s="1" t="inlineStr">
        <is>
          <t xml:space="preserve">32457101       </t>
        </is>
      </c>
      <c r="F1342" s="5" t="inlineStr">
        <is>
          <t>TMZ BEAST MACHINES TRANSPORTE PESADO + 2 AUTOS SUR</t>
        </is>
      </c>
      <c r="G1342" t="n">
        <v>1</v>
      </c>
      <c r="H1342" s="7" t="n">
        <v>37.9</v>
      </c>
      <c r="I1342" s="7" t="n">
        <v>0</v>
      </c>
      <c r="J1342" s="7" t="n">
        <v>0</v>
      </c>
      <c r="K1342" s="9" t="n">
        <v>0</v>
      </c>
      <c r="L1342" s="10" t="n">
        <v>22.48</v>
      </c>
      <c r="M1342" s="10" t="n">
        <v>1.43</v>
      </c>
      <c r="N1342" t="inlineStr">
        <is>
          <t>1</t>
        </is>
      </c>
      <c r="O1342" t="inlineStr">
        <is>
          <t>16</t>
        </is>
      </c>
      <c r="P1342" t="inlineStr">
        <is>
          <t xml:space="preserve">0       </t>
        </is>
      </c>
      <c r="Q1342" s="26" t="n">
        <v>37.9</v>
      </c>
      <c r="R1342" s="26">
        <f>Q1342*G1342</f>
        <v/>
      </c>
      <c r="S1342" t="n">
        <v>22.48</v>
      </c>
      <c r="T1342" s="18">
        <f>1 - V1342/S1342</f>
        <v/>
      </c>
      <c r="U1342" s="18" t="n">
        <v>0.5277044854881267</v>
      </c>
      <c r="V1342" s="26" t="n">
        <v>12.88694915254237</v>
      </c>
      <c r="W1342" s="26">
        <f>V1342 - L1342</f>
        <v/>
      </c>
    </row>
    <row r="1343">
      <c r="A1343" s="11" t="n">
        <v>46216</v>
      </c>
      <c r="B1343" s="1" t="n">
        <v>20069</v>
      </c>
      <c r="C1343" s="1" t="inlineStr">
        <is>
          <t>190</t>
        </is>
      </c>
      <c r="D1343" s="1" t="inlineStr">
        <is>
          <t>299305</t>
        </is>
      </c>
      <c r="E1343" s="1" t="inlineStr">
        <is>
          <t xml:space="preserve">28194770       </t>
        </is>
      </c>
      <c r="F1343" s="5" t="inlineStr">
        <is>
          <t>AUTOS DE METAL 3 TEAMSTERZ EN BLISTER</t>
        </is>
      </c>
      <c r="G1343" t="n">
        <v>1</v>
      </c>
      <c r="H1343" s="7" t="n">
        <v>6.9</v>
      </c>
      <c r="I1343" s="7" t="n">
        <v>0</v>
      </c>
      <c r="J1343" s="7" t="n">
        <v>0</v>
      </c>
      <c r="K1343" s="9" t="n">
        <v>0</v>
      </c>
      <c r="L1343" s="10" t="n">
        <v>4.1</v>
      </c>
      <c r="M1343" s="10" t="n">
        <v>1.43</v>
      </c>
      <c r="N1343" t="inlineStr">
        <is>
          <t>1</t>
        </is>
      </c>
      <c r="O1343" t="inlineStr">
        <is>
          <t>16</t>
        </is>
      </c>
      <c r="P1343" t="inlineStr">
        <is>
          <t xml:space="preserve">250750  </t>
        </is>
      </c>
      <c r="Q1343" s="26" t="n">
        <v>6.9</v>
      </c>
      <c r="R1343" s="26">
        <f>Q1343*G1343</f>
        <v/>
      </c>
      <c r="S1343" t="n">
        <v>4.09</v>
      </c>
      <c r="T1343" s="18">
        <f>1 - V1343/S1343</f>
        <v/>
      </c>
      <c r="U1343" s="18" t="n">
        <v>0</v>
      </c>
      <c r="V1343" s="26" t="n">
        <v>4.09</v>
      </c>
      <c r="W1343" s="26">
        <f>V1343 - L1343</f>
        <v/>
      </c>
    </row>
    <row r="1344">
      <c r="A1344" s="11" t="n">
        <v>46216</v>
      </c>
      <c r="B1344" s="1" t="n">
        <v>20072</v>
      </c>
      <c r="C1344" s="1" t="inlineStr">
        <is>
          <t>036</t>
        </is>
      </c>
      <c r="D1344" s="1" t="inlineStr">
        <is>
          <t>179615</t>
        </is>
      </c>
      <c r="E1344" s="1" t="inlineStr">
        <is>
          <t xml:space="preserve">28194780       </t>
        </is>
      </c>
      <c r="F1344" s="5" t="inlineStr">
        <is>
          <t>TROMPO BATALLA INFINITY NADO PLSTICO SURTIDO</t>
        </is>
      </c>
      <c r="G1344" t="n">
        <v>1</v>
      </c>
      <c r="H1344" s="7" t="n">
        <v>19.9</v>
      </c>
      <c r="I1344" s="7" t="n">
        <v>0</v>
      </c>
      <c r="J1344" s="7" t="n">
        <v>0</v>
      </c>
      <c r="K1344" s="9" t="n">
        <v>0</v>
      </c>
      <c r="L1344" s="10" t="n">
        <v>11.8</v>
      </c>
      <c r="M1344" s="10" t="n">
        <v>1.43</v>
      </c>
      <c r="N1344" t="inlineStr">
        <is>
          <t>1</t>
        </is>
      </c>
      <c r="O1344" t="inlineStr">
        <is>
          <t>16</t>
        </is>
      </c>
      <c r="P1344" t="inlineStr">
        <is>
          <t xml:space="preserve">71221   </t>
        </is>
      </c>
      <c r="Q1344" s="26" t="n">
        <v>19.9</v>
      </c>
      <c r="R1344" s="26">
        <f>Q1344*G1344</f>
        <v/>
      </c>
      <c r="S1344" t="n">
        <v>11.81</v>
      </c>
      <c r="T1344" s="18">
        <f>1 - V1344/S1344</f>
        <v/>
      </c>
      <c r="U1344" s="18" t="n">
        <v>0</v>
      </c>
      <c r="V1344" s="26" t="n">
        <v>11.81</v>
      </c>
      <c r="W1344" s="26">
        <f>V1344 - L1344</f>
        <v/>
      </c>
    </row>
    <row r="1345">
      <c r="A1345" s="11" t="n">
        <v>46216</v>
      </c>
      <c r="B1345" s="1" t="n">
        <v>20072</v>
      </c>
      <c r="C1345" s="1" t="inlineStr">
        <is>
          <t>036</t>
        </is>
      </c>
      <c r="D1345" s="1" t="inlineStr">
        <is>
          <t>179615</t>
        </is>
      </c>
      <c r="E1345" s="1" t="inlineStr">
        <is>
          <t xml:space="preserve">28194780       </t>
        </is>
      </c>
      <c r="F1345" s="5" t="inlineStr">
        <is>
          <t>TROMPO BATALLA INFINITY NADO PLSTICO SURTIDO</t>
        </is>
      </c>
      <c r="G1345" t="n">
        <v>1</v>
      </c>
      <c r="H1345" s="7" t="n">
        <v>19.9</v>
      </c>
      <c r="I1345" s="7" t="n">
        <v>0</v>
      </c>
      <c r="J1345" s="7" t="n">
        <v>0</v>
      </c>
      <c r="K1345" s="9" t="n">
        <v>0</v>
      </c>
      <c r="L1345" s="10" t="n">
        <v>11.8</v>
      </c>
      <c r="M1345" s="10" t="n">
        <v>1.43</v>
      </c>
      <c r="N1345" t="inlineStr">
        <is>
          <t>1</t>
        </is>
      </c>
      <c r="O1345" t="inlineStr">
        <is>
          <t>16</t>
        </is>
      </c>
      <c r="P1345" t="inlineStr">
        <is>
          <t xml:space="preserve">71221   </t>
        </is>
      </c>
      <c r="Q1345" s="26" t="n">
        <v>19.9</v>
      </c>
      <c r="R1345" s="26">
        <f>Q1345*G1345</f>
        <v/>
      </c>
      <c r="S1345" t="n">
        <v>11.81</v>
      </c>
      <c r="T1345" s="18">
        <f>1 - V1345/S1345</f>
        <v/>
      </c>
      <c r="U1345" s="18" t="n">
        <v>0</v>
      </c>
      <c r="V1345" s="26" t="n">
        <v>11.81</v>
      </c>
      <c r="W1345" s="26">
        <f>V1345 - L1345</f>
        <v/>
      </c>
    </row>
    <row r="1346">
      <c r="A1346" s="11" t="n">
        <v>46216</v>
      </c>
      <c r="B1346" s="1" t="n">
        <v>20077</v>
      </c>
      <c r="C1346" s="1" t="inlineStr">
        <is>
          <t>016</t>
        </is>
      </c>
      <c r="D1346" s="1" t="inlineStr">
        <is>
          <t>121836</t>
        </is>
      </c>
      <c r="E1346" s="1" t="inlineStr">
        <is>
          <t xml:space="preserve">31754676       </t>
        </is>
      </c>
      <c r="F1346" s="5" t="inlineStr">
        <is>
          <t>INFINITY NADO SERIE 6 STD PACK LANZ ESPAD ANILLO M</t>
        </is>
      </c>
      <c r="G1346" t="n">
        <v>1</v>
      </c>
      <c r="H1346" s="7" t="n">
        <v>79.90000000000001</v>
      </c>
      <c r="I1346" s="7" t="n">
        <v>0</v>
      </c>
      <c r="J1346" s="7" t="n">
        <v>0</v>
      </c>
      <c r="K1346" s="9" t="n">
        <v>0</v>
      </c>
      <c r="L1346" s="10" t="n">
        <v>47.4</v>
      </c>
      <c r="M1346" s="10" t="n">
        <v>1.43</v>
      </c>
      <c r="N1346" t="inlineStr">
        <is>
          <t>1</t>
        </is>
      </c>
      <c r="O1346" t="inlineStr">
        <is>
          <t>16</t>
        </is>
      </c>
      <c r="P1346" t="inlineStr">
        <is>
          <t xml:space="preserve">44367   </t>
        </is>
      </c>
      <c r="Q1346" s="26" t="n">
        <v>79.90000000000001</v>
      </c>
      <c r="R1346" s="26">
        <f>Q1346*G1346</f>
        <v/>
      </c>
      <c r="S1346" t="n">
        <v>47.4</v>
      </c>
      <c r="T1346" s="18">
        <f>1 - V1346/S1346</f>
        <v/>
      </c>
      <c r="U1346" s="18" t="n">
        <v>0.2503128911138924</v>
      </c>
      <c r="V1346" s="26" t="n">
        <v>38.07203389830509</v>
      </c>
      <c r="W1346" s="26">
        <f>V1346 - L1346</f>
        <v/>
      </c>
    </row>
    <row r="1347">
      <c r="A1347" s="11" t="n">
        <v>46216</v>
      </c>
      <c r="B1347" s="1" t="n">
        <v>20077</v>
      </c>
      <c r="C1347" s="1" t="inlineStr">
        <is>
          <t>029</t>
        </is>
      </c>
      <c r="D1347" s="1" t="inlineStr">
        <is>
          <t>156115</t>
        </is>
      </c>
      <c r="E1347" s="1" t="inlineStr">
        <is>
          <t xml:space="preserve">30141766       </t>
        </is>
      </c>
      <c r="F1347" s="5" t="inlineStr">
        <is>
          <t>TMZ BEAST MACHINES AUTOS DE METAL BLISTER X 1</t>
        </is>
      </c>
      <c r="G1347" t="n">
        <v>1</v>
      </c>
      <c r="H1347" s="7" t="n">
        <v>7.9</v>
      </c>
      <c r="I1347" s="7" t="n">
        <v>0</v>
      </c>
      <c r="J1347" s="7" t="n">
        <v>0</v>
      </c>
      <c r="K1347" s="9" t="n">
        <v>0</v>
      </c>
      <c r="L1347" s="10" t="n">
        <v>4.68</v>
      </c>
      <c r="M1347" s="10" t="n">
        <v>1.43</v>
      </c>
      <c r="N1347" t="inlineStr">
        <is>
          <t>1</t>
        </is>
      </c>
      <c r="O1347" t="inlineStr">
        <is>
          <t xml:space="preserve">2 </t>
        </is>
      </c>
      <c r="P1347" t="inlineStr">
        <is>
          <t xml:space="preserve">238517  </t>
        </is>
      </c>
      <c r="Q1347" s="26" t="n">
        <v>7.9</v>
      </c>
      <c r="R1347" s="26">
        <f>Q1347*G1347</f>
        <v/>
      </c>
      <c r="S1347" t="n">
        <v>4.69</v>
      </c>
      <c r="T1347" s="18">
        <f>1 - V1347/S1347</f>
        <v/>
      </c>
      <c r="U1347" s="18" t="n">
        <v>0</v>
      </c>
      <c r="V1347" s="26" t="n">
        <v>4.69</v>
      </c>
      <c r="W1347" s="26">
        <f>V1347 - L1347</f>
        <v/>
      </c>
    </row>
    <row r="1348">
      <c r="A1348" s="11" t="n">
        <v>46216</v>
      </c>
      <c r="B1348" s="1" t="n">
        <v>20077</v>
      </c>
      <c r="C1348" s="1" t="inlineStr">
        <is>
          <t>038</t>
        </is>
      </c>
      <c r="D1348" s="1" t="inlineStr">
        <is>
          <t>111287</t>
        </is>
      </c>
      <c r="E1348" s="1" t="inlineStr">
        <is>
          <t xml:space="preserve">29235700       </t>
        </is>
      </c>
      <c r="F1348" s="5" t="inlineStr">
        <is>
          <t>HOT WHEELS CASE METALICO PARA GUARDAR 18 CARRITOS</t>
        </is>
      </c>
      <c r="G1348" t="n">
        <v>1</v>
      </c>
      <c r="H1348" s="7" t="n">
        <v>49.9</v>
      </c>
      <c r="I1348" s="7" t="n">
        <v>0</v>
      </c>
      <c r="J1348" s="7" t="n">
        <v>0</v>
      </c>
      <c r="K1348" s="9" t="n">
        <v>0</v>
      </c>
      <c r="L1348" s="10" t="n">
        <v>29.6</v>
      </c>
      <c r="M1348" s="10" t="n">
        <v>1.43</v>
      </c>
      <c r="N1348" t="inlineStr">
        <is>
          <t>1</t>
        </is>
      </c>
      <c r="O1348" t="inlineStr">
        <is>
          <t xml:space="preserve">2 </t>
        </is>
      </c>
      <c r="P1348" t="inlineStr">
        <is>
          <t xml:space="preserve">43583   </t>
        </is>
      </c>
      <c r="Q1348" s="26" t="n">
        <v>49.90000000000001</v>
      </c>
      <c r="R1348" s="26">
        <f>Q1348*G1348</f>
        <v/>
      </c>
      <c r="S1348" t="n">
        <v>29.6</v>
      </c>
      <c r="T1348" s="18">
        <f>1 - V1348/S1348</f>
        <v/>
      </c>
      <c r="U1348" s="18" t="n">
        <v>0</v>
      </c>
      <c r="V1348" s="26" t="n">
        <v>29.6</v>
      </c>
      <c r="W1348" s="26">
        <f>V1348 - L1348</f>
        <v/>
      </c>
    </row>
    <row r="1349">
      <c r="A1349" s="11" t="n">
        <v>46216</v>
      </c>
      <c r="B1349" s="1" t="n">
        <v>20088</v>
      </c>
      <c r="C1349" s="1" t="inlineStr">
        <is>
          <t>013</t>
        </is>
      </c>
      <c r="D1349" s="1" t="inlineStr">
        <is>
          <t xml:space="preserve">41896 </t>
        </is>
      </c>
      <c r="E1349" s="1" t="inlineStr">
        <is>
          <t xml:space="preserve">32457099       </t>
        </is>
      </c>
      <c r="F1349" s="5" t="inlineStr">
        <is>
          <t>TMZ BEAST MACHINES MONSTER JAWS A FRICCION BLISTER</t>
        </is>
      </c>
      <c r="G1349" t="n">
        <v>1</v>
      </c>
      <c r="H1349" s="7" t="n">
        <v>17.9</v>
      </c>
      <c r="I1349" s="7" t="n">
        <v>0</v>
      </c>
      <c r="J1349" s="7" t="n">
        <v>0</v>
      </c>
      <c r="K1349" s="9" t="n">
        <v>0</v>
      </c>
      <c r="L1349" s="10" t="n">
        <v>10.62</v>
      </c>
      <c r="M1349" s="10" t="n">
        <v>1.43</v>
      </c>
      <c r="N1349" t="inlineStr">
        <is>
          <t>1</t>
        </is>
      </c>
      <c r="O1349" t="inlineStr">
        <is>
          <t>16</t>
        </is>
      </c>
      <c r="P1349" t="inlineStr">
        <is>
          <t xml:space="preserve">101886  </t>
        </is>
      </c>
      <c r="Q1349" s="26" t="n">
        <v>19.9</v>
      </c>
      <c r="R1349" s="26">
        <f>Q1349*G1349</f>
        <v/>
      </c>
      <c r="S1349" t="n">
        <v>11.81</v>
      </c>
      <c r="T1349" s="18">
        <f>1 - V1349/S1349</f>
        <v/>
      </c>
      <c r="U1349" s="18" t="n">
        <v>0.1005025125628141</v>
      </c>
      <c r="V1349" s="26" t="n">
        <v>8.417118644067797</v>
      </c>
      <c r="W1349" s="26">
        <f>V1349 - L1349</f>
        <v/>
      </c>
    </row>
    <row r="1350">
      <c r="A1350" s="11" t="n">
        <v>46216</v>
      </c>
      <c r="B1350" s="1" t="n">
        <v>20089</v>
      </c>
      <c r="C1350" s="1" t="inlineStr">
        <is>
          <t>025</t>
        </is>
      </c>
      <c r="D1350" s="1" t="inlineStr">
        <is>
          <t>121657</t>
        </is>
      </c>
      <c r="E1350" s="1" t="inlineStr">
        <is>
          <t xml:space="preserve">28194783       </t>
        </is>
      </c>
      <c r="F1350" s="5" t="inlineStr">
        <is>
          <t>SET DE BATALLA INFINITY NADO CON 2 TROMPOS</t>
        </is>
      </c>
      <c r="G1350" t="n">
        <v>1</v>
      </c>
      <c r="H1350" s="7" t="n">
        <v>159</v>
      </c>
      <c r="I1350" s="7" t="n">
        <v>0</v>
      </c>
      <c r="J1350" s="7" t="n">
        <v>0</v>
      </c>
      <c r="K1350" s="9" t="n">
        <v>0</v>
      </c>
      <c r="L1350" s="10" t="n">
        <v>94.33</v>
      </c>
      <c r="M1350" s="10" t="n">
        <v>1.43</v>
      </c>
      <c r="N1350" t="inlineStr">
        <is>
          <t>1</t>
        </is>
      </c>
      <c r="O1350" t="inlineStr">
        <is>
          <t>16</t>
        </is>
      </c>
      <c r="P1350" t="inlineStr">
        <is>
          <t xml:space="preserve">233031  </t>
        </is>
      </c>
      <c r="Q1350" s="26" t="n">
        <v>159</v>
      </c>
      <c r="R1350" s="26">
        <f>Q1350*G1350</f>
        <v/>
      </c>
      <c r="S1350" t="n">
        <v>94.31999999999999</v>
      </c>
      <c r="T1350" s="18">
        <f>1 - V1350/S1350</f>
        <v/>
      </c>
      <c r="U1350" s="18" t="n">
        <v>0.1886792452830188</v>
      </c>
      <c r="V1350" s="26" t="n">
        <v>81.99152542372882</v>
      </c>
      <c r="W1350" s="26">
        <f>V1350 - L1350</f>
        <v/>
      </c>
    </row>
    <row r="1351">
      <c r="A1351" s="11" t="n">
        <v>46216</v>
      </c>
      <c r="B1351" s="1" t="n">
        <v>20089</v>
      </c>
      <c r="C1351" s="1" t="inlineStr">
        <is>
          <t>026</t>
        </is>
      </c>
      <c r="D1351" s="1" t="inlineStr">
        <is>
          <t xml:space="preserve">87769 </t>
        </is>
      </c>
      <c r="E1351" s="1" t="inlineStr">
        <is>
          <t xml:space="preserve">28194770       </t>
        </is>
      </c>
      <c r="F1351" s="5" t="inlineStr">
        <is>
          <t>AUTOS DE METAL 3 TEAMSTERZ EN BLISTER</t>
        </is>
      </c>
      <c r="G1351" t="n">
        <v>1</v>
      </c>
      <c r="H1351" s="7" t="n">
        <v>6.9</v>
      </c>
      <c r="I1351" s="7" t="n">
        <v>0</v>
      </c>
      <c r="J1351" s="7" t="n">
        <v>0</v>
      </c>
      <c r="K1351" s="9" t="n">
        <v>0</v>
      </c>
      <c r="L1351" s="10" t="n">
        <v>4.1</v>
      </c>
      <c r="M1351" s="10" t="n">
        <v>1.43</v>
      </c>
      <c r="N1351" t="inlineStr">
        <is>
          <t>1</t>
        </is>
      </c>
      <c r="O1351" t="inlineStr">
        <is>
          <t xml:space="preserve">2 </t>
        </is>
      </c>
      <c r="P1351" t="inlineStr">
        <is>
          <t xml:space="preserve">98400   </t>
        </is>
      </c>
      <c r="Q1351" s="26" t="n">
        <v>6.9</v>
      </c>
      <c r="R1351" s="26">
        <f>Q1351*G1351</f>
        <v/>
      </c>
      <c r="S1351" t="n">
        <v>4.09</v>
      </c>
      <c r="T1351" s="18">
        <f>1 - V1351/S1351</f>
        <v/>
      </c>
      <c r="U1351" s="18" t="n">
        <v>0</v>
      </c>
      <c r="V1351" s="26" t="n">
        <v>4.09</v>
      </c>
      <c r="W1351" s="26">
        <f>V1351 - L1351</f>
        <v/>
      </c>
    </row>
    <row r="1352">
      <c r="A1352" s="11" t="n">
        <v>46216</v>
      </c>
      <c r="B1352" s="1" t="n">
        <v>20089</v>
      </c>
      <c r="C1352" s="1" t="inlineStr">
        <is>
          <t>026</t>
        </is>
      </c>
      <c r="D1352" s="1" t="inlineStr">
        <is>
          <t xml:space="preserve">87774 </t>
        </is>
      </c>
      <c r="E1352" s="1" t="inlineStr">
        <is>
          <t xml:space="preserve">28194770       </t>
        </is>
      </c>
      <c r="F1352" s="5" t="inlineStr">
        <is>
          <t>AUTOS DE METAL 3 TEAMSTERZ EN BLISTER</t>
        </is>
      </c>
      <c r="G1352" t="n">
        <v>1</v>
      </c>
      <c r="H1352" s="7" t="n">
        <v>6.9</v>
      </c>
      <c r="I1352" s="7" t="n">
        <v>0</v>
      </c>
      <c r="J1352" s="7" t="n">
        <v>0</v>
      </c>
      <c r="K1352" s="9" t="n">
        <v>0</v>
      </c>
      <c r="L1352" s="10" t="n">
        <v>4.1</v>
      </c>
      <c r="M1352" s="10" t="n">
        <v>1.43</v>
      </c>
      <c r="N1352" t="inlineStr">
        <is>
          <t>1</t>
        </is>
      </c>
      <c r="O1352" t="inlineStr">
        <is>
          <t xml:space="preserve">2 </t>
        </is>
      </c>
      <c r="P1352" t="inlineStr">
        <is>
          <t xml:space="preserve">98400   </t>
        </is>
      </c>
      <c r="Q1352" s="26" t="n">
        <v>6.9</v>
      </c>
      <c r="R1352" s="26">
        <f>Q1352*G1352</f>
        <v/>
      </c>
      <c r="S1352" t="n">
        <v>4.09</v>
      </c>
      <c r="T1352" s="18">
        <f>1 - V1352/S1352</f>
        <v/>
      </c>
      <c r="U1352" s="18" t="n">
        <v>0</v>
      </c>
      <c r="V1352" s="26" t="n">
        <v>4.09</v>
      </c>
      <c r="W1352" s="26">
        <f>V1352 - L1352</f>
        <v/>
      </c>
    </row>
    <row r="1353">
      <c r="A1353" s="11" t="n">
        <v>46216</v>
      </c>
      <c r="B1353" s="1" t="n">
        <v>20089</v>
      </c>
      <c r="C1353" s="1" t="inlineStr">
        <is>
          <t>026</t>
        </is>
      </c>
      <c r="D1353" s="1" t="inlineStr">
        <is>
          <t xml:space="preserve">87774 </t>
        </is>
      </c>
      <c r="E1353" s="1" t="inlineStr">
        <is>
          <t xml:space="preserve">28194770       </t>
        </is>
      </c>
      <c r="F1353" s="5" t="inlineStr">
        <is>
          <t>AUTOS DE METAL 3 TEAMSTERZ EN BLISTER</t>
        </is>
      </c>
      <c r="G1353" t="n">
        <v>1</v>
      </c>
      <c r="H1353" s="7" t="n">
        <v>6.9</v>
      </c>
      <c r="I1353" s="7" t="n">
        <v>0</v>
      </c>
      <c r="J1353" s="7" t="n">
        <v>0</v>
      </c>
      <c r="K1353" s="9" t="n">
        <v>0</v>
      </c>
      <c r="L1353" s="10" t="n">
        <v>4.1</v>
      </c>
      <c r="M1353" s="10" t="n">
        <v>1.43</v>
      </c>
      <c r="N1353" t="inlineStr">
        <is>
          <t>1</t>
        </is>
      </c>
      <c r="O1353" t="inlineStr">
        <is>
          <t xml:space="preserve">2 </t>
        </is>
      </c>
      <c r="P1353" t="inlineStr">
        <is>
          <t xml:space="preserve">98400   </t>
        </is>
      </c>
      <c r="Q1353" s="26" t="n">
        <v>6.9</v>
      </c>
      <c r="R1353" s="26">
        <f>Q1353*G1353</f>
        <v/>
      </c>
      <c r="S1353" t="n">
        <v>4.09</v>
      </c>
      <c r="T1353" s="18">
        <f>1 - V1353/S1353</f>
        <v/>
      </c>
      <c r="U1353" s="18" t="n">
        <v>0</v>
      </c>
      <c r="V1353" s="26" t="n">
        <v>4.09</v>
      </c>
      <c r="W1353" s="26">
        <f>V1353 - L1353</f>
        <v/>
      </c>
    </row>
    <row r="1354">
      <c r="A1354" s="11" t="n">
        <v>46216</v>
      </c>
      <c r="B1354" s="1" t="n">
        <v>20089</v>
      </c>
      <c r="C1354" s="1" t="inlineStr">
        <is>
          <t>862</t>
        </is>
      </c>
      <c r="D1354" s="1" t="inlineStr">
        <is>
          <t xml:space="preserve">8440  </t>
        </is>
      </c>
      <c r="E1354" s="1" t="inlineStr">
        <is>
          <t xml:space="preserve">28194770       </t>
        </is>
      </c>
      <c r="F1354" s="5" t="inlineStr">
        <is>
          <t>AUTOS DE METAL 3 TEAMSTERZ EN BLISTER</t>
        </is>
      </c>
      <c r="G1354" t="n">
        <v>2</v>
      </c>
      <c r="H1354" s="7" t="n">
        <v>13.8</v>
      </c>
      <c r="I1354" s="7" t="n">
        <v>0</v>
      </c>
      <c r="J1354" s="7" t="n">
        <v>0</v>
      </c>
      <c r="K1354" s="9" t="n">
        <v>0</v>
      </c>
      <c r="L1354" s="10" t="n">
        <v>8.18</v>
      </c>
      <c r="M1354" s="10" t="n">
        <v>1.43</v>
      </c>
      <c r="N1354" t="inlineStr">
        <is>
          <t>1</t>
        </is>
      </c>
      <c r="O1354" t="inlineStr">
        <is>
          <t>16</t>
        </is>
      </c>
      <c r="P1354" t="inlineStr">
        <is>
          <t xml:space="preserve">0       </t>
        </is>
      </c>
      <c r="Q1354" s="26" t="n">
        <v>6.9</v>
      </c>
      <c r="R1354" s="26">
        <f>Q1354*G1354</f>
        <v/>
      </c>
      <c r="S1354" t="n">
        <v>8.18</v>
      </c>
      <c r="T1354" s="18">
        <f>1 - V1354/S1354</f>
        <v/>
      </c>
      <c r="U1354" s="18" t="n">
        <v>0</v>
      </c>
      <c r="V1354" s="26" t="n">
        <v>8.18</v>
      </c>
      <c r="W1354" s="26">
        <f>V1354 - L1354</f>
        <v/>
      </c>
    </row>
    <row r="1355">
      <c r="A1355" s="11" t="n">
        <v>46216</v>
      </c>
      <c r="B1355" s="1" t="n">
        <v>20095</v>
      </c>
      <c r="C1355" s="1" t="inlineStr">
        <is>
          <t>044</t>
        </is>
      </c>
      <c r="D1355" s="1" t="inlineStr">
        <is>
          <t xml:space="preserve">93626 </t>
        </is>
      </c>
      <c r="E1355" s="1" t="inlineStr">
        <is>
          <t xml:space="preserve">28194768       </t>
        </is>
      </c>
      <c r="F1355" s="5" t="inlineStr">
        <is>
          <t>AUTO COLOR CHANGE TEAMSTERZ SURTIDO</t>
        </is>
      </c>
      <c r="G1355" t="n">
        <v>1</v>
      </c>
      <c r="H1355" s="7" t="n">
        <v>14.9</v>
      </c>
      <c r="I1355" s="7" t="n">
        <v>0</v>
      </c>
      <c r="J1355" s="7" t="n">
        <v>0</v>
      </c>
      <c r="K1355" s="9" t="n">
        <v>0</v>
      </c>
      <c r="L1355" s="10" t="n">
        <v>8.84</v>
      </c>
      <c r="M1355" s="10" t="n">
        <v>1.43</v>
      </c>
      <c r="N1355" t="inlineStr">
        <is>
          <t>1</t>
        </is>
      </c>
      <c r="O1355" t="inlineStr">
        <is>
          <t>16</t>
        </is>
      </c>
      <c r="P1355" t="inlineStr">
        <is>
          <t xml:space="preserve">248294  </t>
        </is>
      </c>
      <c r="Q1355" s="26" t="n">
        <v>14.9</v>
      </c>
      <c r="R1355" s="26">
        <f>Q1355*G1355</f>
        <v/>
      </c>
      <c r="S1355" t="n">
        <v>8.84</v>
      </c>
      <c r="T1355" s="18">
        <f>1 - V1355/S1355</f>
        <v/>
      </c>
      <c r="U1355" s="18" t="n">
        <v>0</v>
      </c>
      <c r="V1355" s="26" t="n">
        <v>8.84</v>
      </c>
      <c r="W1355" s="26">
        <f>V1355 - L1355</f>
        <v/>
      </c>
    </row>
    <row r="1356">
      <c r="A1356" s="11" t="n">
        <v>46216</v>
      </c>
      <c r="B1356" s="1" t="n">
        <v>20095</v>
      </c>
      <c r="C1356" s="1" t="inlineStr">
        <is>
          <t>044</t>
        </is>
      </c>
      <c r="D1356" s="1" t="inlineStr">
        <is>
          <t xml:space="preserve">93654 </t>
        </is>
      </c>
      <c r="E1356" s="1" t="inlineStr">
        <is>
          <t xml:space="preserve">28194769       </t>
        </is>
      </c>
      <c r="F1356" s="5" t="inlineStr">
        <is>
          <t>AUTOS DE METAL 3 TEAMSTERZ PACK DE 2</t>
        </is>
      </c>
      <c r="G1356" t="n">
        <v>1</v>
      </c>
      <c r="H1356" s="7" t="n">
        <v>13.8</v>
      </c>
      <c r="I1356" s="7" t="n">
        <v>0</v>
      </c>
      <c r="J1356" s="7" t="n">
        <v>0</v>
      </c>
      <c r="K1356" s="9" t="n">
        <v>0</v>
      </c>
      <c r="L1356" s="10" t="n">
        <v>8.18</v>
      </c>
      <c r="M1356" s="10" t="n">
        <v>1.43</v>
      </c>
      <c r="N1356" t="inlineStr">
        <is>
          <t>1</t>
        </is>
      </c>
      <c r="O1356" t="inlineStr">
        <is>
          <t xml:space="preserve">3 </t>
        </is>
      </c>
      <c r="P1356" t="inlineStr">
        <is>
          <t xml:space="preserve">248294  </t>
        </is>
      </c>
      <c r="Q1356" s="26" t="n">
        <v>13.8</v>
      </c>
      <c r="R1356" s="26">
        <f>Q1356*G1356</f>
        <v/>
      </c>
      <c r="S1356" t="n">
        <v>8.19</v>
      </c>
      <c r="T1356" s="18">
        <f>1 - V1356/S1356</f>
        <v/>
      </c>
      <c r="U1356" s="18" t="n">
        <v>0</v>
      </c>
      <c r="V1356" s="26" t="n">
        <v>8.19</v>
      </c>
      <c r="W1356" s="26">
        <f>V1356 - L1356</f>
        <v/>
      </c>
    </row>
    <row r="1357">
      <c r="A1357" s="11" t="n">
        <v>46216</v>
      </c>
      <c r="B1357" s="1" t="n">
        <v>20095</v>
      </c>
      <c r="C1357" s="1" t="inlineStr">
        <is>
          <t>044</t>
        </is>
      </c>
      <c r="D1357" s="1" t="inlineStr">
        <is>
          <t xml:space="preserve">93655 </t>
        </is>
      </c>
      <c r="E1357" s="1" t="inlineStr">
        <is>
          <t xml:space="preserve">28194770       </t>
        </is>
      </c>
      <c r="F1357" s="5" t="inlineStr">
        <is>
          <t>AUTOS DE METAL 3 TEAMSTERZ EN BLISTER</t>
        </is>
      </c>
      <c r="G1357" t="n">
        <v>1</v>
      </c>
      <c r="H1357" s="7" t="n">
        <v>6.9</v>
      </c>
      <c r="I1357" s="7" t="n">
        <v>0</v>
      </c>
      <c r="J1357" s="7" t="n">
        <v>0</v>
      </c>
      <c r="K1357" s="9" t="n">
        <v>0</v>
      </c>
      <c r="L1357" s="10" t="n">
        <v>4.1</v>
      </c>
      <c r="M1357" s="10" t="n">
        <v>1.43</v>
      </c>
      <c r="N1357" t="inlineStr">
        <is>
          <t>1</t>
        </is>
      </c>
      <c r="O1357" t="inlineStr">
        <is>
          <t xml:space="preserve">2 </t>
        </is>
      </c>
      <c r="P1357" t="inlineStr">
        <is>
          <t xml:space="preserve">248294  </t>
        </is>
      </c>
      <c r="Q1357" s="26" t="n">
        <v>6.9</v>
      </c>
      <c r="R1357" s="26">
        <f>Q1357*G1357</f>
        <v/>
      </c>
      <c r="S1357" t="n">
        <v>4.09</v>
      </c>
      <c r="T1357" s="18">
        <f>1 - V1357/S1357</f>
        <v/>
      </c>
      <c r="U1357" s="18" t="n">
        <v>0</v>
      </c>
      <c r="V1357" s="26" t="n">
        <v>4.09</v>
      </c>
      <c r="W1357" s="26">
        <f>V1357 - L1357</f>
        <v/>
      </c>
    </row>
    <row r="1358">
      <c r="A1358" s="11" t="n">
        <v>46216</v>
      </c>
      <c r="B1358" s="1" t="n">
        <v>20095</v>
      </c>
      <c r="C1358" s="1" t="inlineStr">
        <is>
          <t>044</t>
        </is>
      </c>
      <c r="D1358" s="1" t="inlineStr">
        <is>
          <t xml:space="preserve">93659 </t>
        </is>
      </c>
      <c r="E1358" s="1" t="inlineStr">
        <is>
          <t xml:space="preserve">30141766       </t>
        </is>
      </c>
      <c r="F1358" s="5" t="inlineStr">
        <is>
          <t>TMZ BEAST MACHINES AUTOS DE METAL BLISTER X 1</t>
        </is>
      </c>
      <c r="G1358" t="n">
        <v>1</v>
      </c>
      <c r="H1358" s="7" t="n">
        <v>7.9</v>
      </c>
      <c r="I1358" s="7" t="n">
        <v>0</v>
      </c>
      <c r="J1358" s="7" t="n">
        <v>0</v>
      </c>
      <c r="K1358" s="9" t="n">
        <v>0</v>
      </c>
      <c r="L1358" s="10" t="n">
        <v>4.68</v>
      </c>
      <c r="M1358" s="10" t="n">
        <v>1.43</v>
      </c>
      <c r="N1358" t="inlineStr">
        <is>
          <t>1</t>
        </is>
      </c>
      <c r="O1358" t="inlineStr">
        <is>
          <t xml:space="preserve">3 </t>
        </is>
      </c>
      <c r="P1358" t="inlineStr">
        <is>
          <t xml:space="preserve">248294  </t>
        </is>
      </c>
      <c r="Q1358" s="26" t="n">
        <v>7.9</v>
      </c>
      <c r="R1358" s="26">
        <f>Q1358*G1358</f>
        <v/>
      </c>
      <c r="S1358" t="n">
        <v>4.69</v>
      </c>
      <c r="T1358" s="18">
        <f>1 - V1358/S1358</f>
        <v/>
      </c>
      <c r="U1358" s="18" t="n">
        <v>0</v>
      </c>
      <c r="V1358" s="26" t="n">
        <v>4.69</v>
      </c>
      <c r="W1358" s="26">
        <f>V1358 - L1358</f>
        <v/>
      </c>
    </row>
    <row r="1359">
      <c r="A1359" s="11" t="n">
        <v>46216</v>
      </c>
      <c r="B1359" s="1" t="n">
        <v>20095</v>
      </c>
      <c r="C1359" s="1" t="inlineStr">
        <is>
          <t>044</t>
        </is>
      </c>
      <c r="D1359" s="1" t="inlineStr">
        <is>
          <t xml:space="preserve">93662 </t>
        </is>
      </c>
      <c r="E1359" s="1" t="inlineStr">
        <is>
          <t xml:space="preserve">28194769       </t>
        </is>
      </c>
      <c r="F1359" s="5" t="inlineStr">
        <is>
          <t>AUTOS DE METAL 3 TEAMSTERZ PACK DE 2</t>
        </is>
      </c>
      <c r="G1359" t="n">
        <v>1</v>
      </c>
      <c r="H1359" s="7" t="n">
        <v>13.8</v>
      </c>
      <c r="I1359" s="7" t="n">
        <v>0</v>
      </c>
      <c r="J1359" s="7" t="n">
        <v>0</v>
      </c>
      <c r="K1359" s="9" t="n">
        <v>0</v>
      </c>
      <c r="L1359" s="10" t="n">
        <v>8.18</v>
      </c>
      <c r="M1359" s="10" t="n">
        <v>1.43</v>
      </c>
      <c r="N1359" t="inlineStr">
        <is>
          <t>1</t>
        </is>
      </c>
      <c r="O1359" t="inlineStr">
        <is>
          <t xml:space="preserve">2 </t>
        </is>
      </c>
      <c r="P1359" t="inlineStr">
        <is>
          <t xml:space="preserve">248294  </t>
        </is>
      </c>
      <c r="Q1359" s="26" t="n">
        <v>13.8</v>
      </c>
      <c r="R1359" s="26">
        <f>Q1359*G1359</f>
        <v/>
      </c>
      <c r="S1359" t="n">
        <v>8.19</v>
      </c>
      <c r="T1359" s="18">
        <f>1 - V1359/S1359</f>
        <v/>
      </c>
      <c r="U1359" s="18" t="n">
        <v>0</v>
      </c>
      <c r="V1359" s="26" t="n">
        <v>8.19</v>
      </c>
      <c r="W1359" s="26">
        <f>V1359 - L1359</f>
        <v/>
      </c>
    </row>
    <row r="1360">
      <c r="A1360" s="11" t="n">
        <v>46216</v>
      </c>
      <c r="B1360" s="1" t="n">
        <v>20095</v>
      </c>
      <c r="C1360" s="1" t="inlineStr">
        <is>
          <t>535</t>
        </is>
      </c>
      <c r="D1360" s="1" t="inlineStr">
        <is>
          <t xml:space="preserve">112   </t>
        </is>
      </c>
      <c r="E1360" s="1" t="inlineStr">
        <is>
          <t xml:space="preserve">33483123       </t>
        </is>
      </c>
      <c r="F1360" s="5" t="inlineStr">
        <is>
          <t>NENUCO DISFRACES</t>
        </is>
      </c>
      <c r="G1360" t="n">
        <v>1</v>
      </c>
      <c r="H1360" s="7" t="n">
        <v>89.90000000000001</v>
      </c>
      <c r="I1360" s="7" t="n">
        <v>0</v>
      </c>
      <c r="J1360" s="7" t="n">
        <v>0</v>
      </c>
      <c r="K1360" s="9" t="n">
        <v>0</v>
      </c>
      <c r="L1360" s="10" t="n">
        <v>53.33</v>
      </c>
      <c r="M1360" s="10" t="n">
        <v>1.43</v>
      </c>
      <c r="N1360" t="inlineStr">
        <is>
          <t>1</t>
        </is>
      </c>
      <c r="O1360" t="inlineStr">
        <is>
          <t>16</t>
        </is>
      </c>
      <c r="P1360" t="inlineStr">
        <is>
          <t xml:space="preserve">31361   </t>
        </is>
      </c>
      <c r="Q1360" s="26" t="n">
        <v>89.90000000000001</v>
      </c>
      <c r="R1360" s="26">
        <f>Q1360*G1360</f>
        <v/>
      </c>
      <c r="S1360" t="n">
        <v>53.33</v>
      </c>
      <c r="T1360" s="18">
        <f>1 - V1360/S1360</f>
        <v/>
      </c>
      <c r="U1360" s="18" t="n">
        <v>0.2224694104560623</v>
      </c>
      <c r="V1360" s="26" t="n">
        <v>44.42796610169492</v>
      </c>
      <c r="W1360" s="26">
        <f>V1360 - L1360</f>
        <v/>
      </c>
    </row>
    <row r="1361">
      <c r="A1361" s="11" t="n">
        <v>46217</v>
      </c>
      <c r="B1361" s="1" t="n">
        <v>20021</v>
      </c>
      <c r="C1361" s="1" t="inlineStr">
        <is>
          <t>055</t>
        </is>
      </c>
      <c r="D1361" s="1" t="inlineStr">
        <is>
          <t>154794</t>
        </is>
      </c>
      <c r="E1361" s="1" t="inlineStr">
        <is>
          <t xml:space="preserve">28194770       </t>
        </is>
      </c>
      <c r="F1361" s="5" t="inlineStr">
        <is>
          <t>AUTOS DE METAL 3 TEAMSTERZ EN BLISTER</t>
        </is>
      </c>
      <c r="G1361" t="n">
        <v>1</v>
      </c>
      <c r="H1361" s="7" t="n">
        <v>6.9</v>
      </c>
      <c r="I1361" s="7" t="n">
        <v>0</v>
      </c>
      <c r="J1361" s="7" t="n">
        <v>0</v>
      </c>
      <c r="K1361" s="9" t="n">
        <v>0</v>
      </c>
      <c r="L1361" s="10" t="n">
        <v>4.1</v>
      </c>
      <c r="M1361" s="10" t="n">
        <v>1.43</v>
      </c>
      <c r="N1361" t="inlineStr">
        <is>
          <t>1</t>
        </is>
      </c>
      <c r="O1361" t="inlineStr">
        <is>
          <t>16</t>
        </is>
      </c>
      <c r="P1361" t="inlineStr">
        <is>
          <t xml:space="preserve">42152   </t>
        </is>
      </c>
      <c r="Q1361" s="26" t="n">
        <v>6.9</v>
      </c>
      <c r="R1361" s="26">
        <f>Q1361*G1361</f>
        <v/>
      </c>
      <c r="S1361" t="n">
        <v>4.09</v>
      </c>
      <c r="T1361" s="18">
        <f>1 - V1361/S1361</f>
        <v/>
      </c>
      <c r="U1361" s="18" t="n">
        <v>0</v>
      </c>
      <c r="V1361" s="26" t="n">
        <v>4.09</v>
      </c>
      <c r="W1361" s="26">
        <f>V1361 - L1361</f>
        <v/>
      </c>
    </row>
    <row r="1362">
      <c r="A1362" s="11" t="n">
        <v>46217</v>
      </c>
      <c r="B1362" s="1" t="n">
        <v>20021</v>
      </c>
      <c r="C1362" s="1" t="inlineStr">
        <is>
          <t>055</t>
        </is>
      </c>
      <c r="D1362" s="1" t="inlineStr">
        <is>
          <t>154794</t>
        </is>
      </c>
      <c r="E1362" s="1" t="inlineStr">
        <is>
          <t xml:space="preserve">30141766       </t>
        </is>
      </c>
      <c r="F1362" s="5" t="inlineStr">
        <is>
          <t>TMZ BEAST MACHINES AUTOS DE METAL BLISTER X 1</t>
        </is>
      </c>
      <c r="G1362" t="n">
        <v>1</v>
      </c>
      <c r="H1362" s="7" t="n">
        <v>7.9</v>
      </c>
      <c r="I1362" s="7" t="n">
        <v>0</v>
      </c>
      <c r="J1362" s="7" t="n">
        <v>0</v>
      </c>
      <c r="K1362" s="9" t="n">
        <v>0</v>
      </c>
      <c r="L1362" s="10" t="n">
        <v>4.68</v>
      </c>
      <c r="M1362" s="10" t="n">
        <v>1.43</v>
      </c>
      <c r="N1362" t="inlineStr">
        <is>
          <t>1</t>
        </is>
      </c>
      <c r="O1362" t="inlineStr">
        <is>
          <t>16</t>
        </is>
      </c>
      <c r="P1362" t="inlineStr">
        <is>
          <t xml:space="preserve">42152   </t>
        </is>
      </c>
      <c r="Q1362" s="26" t="n">
        <v>7.9</v>
      </c>
      <c r="R1362" s="26">
        <f>Q1362*G1362</f>
        <v/>
      </c>
      <c r="S1362" t="n">
        <v>4.69</v>
      </c>
      <c r="T1362" s="18">
        <f>1 - V1362/S1362</f>
        <v/>
      </c>
      <c r="U1362" s="18" t="n">
        <v>0</v>
      </c>
      <c r="V1362" s="26" t="n">
        <v>4.69</v>
      </c>
      <c r="W1362" s="26">
        <f>V1362 - L1362</f>
        <v/>
      </c>
    </row>
    <row r="1363">
      <c r="A1363" s="11" t="n">
        <v>46217</v>
      </c>
      <c r="B1363" s="1" t="n">
        <v>20021</v>
      </c>
      <c r="C1363" s="1" t="inlineStr">
        <is>
          <t>055</t>
        </is>
      </c>
      <c r="D1363" s="1" t="inlineStr">
        <is>
          <t>154794</t>
        </is>
      </c>
      <c r="E1363" s="1" t="inlineStr">
        <is>
          <t xml:space="preserve">30141766       </t>
        </is>
      </c>
      <c r="F1363" s="5" t="inlineStr">
        <is>
          <t>TMZ BEAST MACHINES AUTOS DE METAL BLISTER X 1</t>
        </is>
      </c>
      <c r="G1363" t="n">
        <v>1</v>
      </c>
      <c r="H1363" s="7" t="n">
        <v>7.9</v>
      </c>
      <c r="I1363" s="7" t="n">
        <v>0</v>
      </c>
      <c r="J1363" s="7" t="n">
        <v>0</v>
      </c>
      <c r="K1363" s="9" t="n">
        <v>0</v>
      </c>
      <c r="L1363" s="10" t="n">
        <v>4.68</v>
      </c>
      <c r="M1363" s="10" t="n">
        <v>1.43</v>
      </c>
      <c r="N1363" t="inlineStr">
        <is>
          <t>1</t>
        </is>
      </c>
      <c r="O1363" t="inlineStr">
        <is>
          <t>16</t>
        </is>
      </c>
      <c r="P1363" t="inlineStr">
        <is>
          <t xml:space="preserve">42152   </t>
        </is>
      </c>
      <c r="Q1363" s="26" t="n">
        <v>7.9</v>
      </c>
      <c r="R1363" s="26">
        <f>Q1363*G1363</f>
        <v/>
      </c>
      <c r="S1363" t="n">
        <v>4.69</v>
      </c>
      <c r="T1363" s="18">
        <f>1 - V1363/S1363</f>
        <v/>
      </c>
      <c r="U1363" s="18" t="n">
        <v>0</v>
      </c>
      <c r="V1363" s="26" t="n">
        <v>4.69</v>
      </c>
      <c r="W1363" s="26">
        <f>V1363 - L1363</f>
        <v/>
      </c>
    </row>
    <row r="1364">
      <c r="A1364" s="11" t="n">
        <v>46217</v>
      </c>
      <c r="B1364" s="1" t="n">
        <v>20021</v>
      </c>
      <c r="C1364" s="1" t="inlineStr">
        <is>
          <t>055</t>
        </is>
      </c>
      <c r="D1364" s="1" t="inlineStr">
        <is>
          <t>154823</t>
        </is>
      </c>
      <c r="E1364" s="1" t="inlineStr">
        <is>
          <t xml:space="preserve">28194770       </t>
        </is>
      </c>
      <c r="F1364" s="5" t="inlineStr">
        <is>
          <t>AUTOS DE METAL 3 TEAMSTERZ EN BLISTER</t>
        </is>
      </c>
      <c r="G1364" t="n">
        <v>1</v>
      </c>
      <c r="H1364" s="7" t="n">
        <v>6.9</v>
      </c>
      <c r="I1364" s="7" t="n">
        <v>0</v>
      </c>
      <c r="J1364" s="7" t="n">
        <v>0</v>
      </c>
      <c r="K1364" s="9" t="n">
        <v>0</v>
      </c>
      <c r="L1364" s="10" t="n">
        <v>4.1</v>
      </c>
      <c r="M1364" s="10" t="n">
        <v>1.43</v>
      </c>
      <c r="N1364" t="inlineStr">
        <is>
          <t>1</t>
        </is>
      </c>
      <c r="O1364" t="inlineStr">
        <is>
          <t>16</t>
        </is>
      </c>
      <c r="P1364" t="inlineStr">
        <is>
          <t xml:space="preserve">42152   </t>
        </is>
      </c>
      <c r="Q1364" s="26" t="n">
        <v>6.9</v>
      </c>
      <c r="R1364" s="26">
        <f>Q1364*G1364</f>
        <v/>
      </c>
      <c r="S1364" t="n">
        <v>4.09</v>
      </c>
      <c r="T1364" s="18">
        <f>1 - V1364/S1364</f>
        <v/>
      </c>
      <c r="U1364" s="18" t="n">
        <v>0</v>
      </c>
      <c r="V1364" s="26" t="n">
        <v>4.09</v>
      </c>
      <c r="W1364" s="26">
        <f>V1364 - L1364</f>
        <v/>
      </c>
    </row>
    <row r="1365">
      <c r="A1365" s="11" t="n">
        <v>46217</v>
      </c>
      <c r="B1365" s="1" t="n">
        <v>20024</v>
      </c>
      <c r="C1365" s="1" t="inlineStr">
        <is>
          <t>020</t>
        </is>
      </c>
      <c r="D1365" s="1" t="inlineStr">
        <is>
          <t>254195</t>
        </is>
      </c>
      <c r="E1365" s="1" t="inlineStr">
        <is>
          <t xml:space="preserve">31959956       </t>
        </is>
      </c>
      <c r="F1365" s="5" t="inlineStr">
        <is>
          <t>TEAMSTERZ CAMION TRANSPORTA ANIMALES SURTIDO</t>
        </is>
      </c>
      <c r="G1365" t="n">
        <v>1</v>
      </c>
      <c r="H1365" s="7" t="n">
        <v>17.9</v>
      </c>
      <c r="I1365" s="7" t="n">
        <v>0</v>
      </c>
      <c r="J1365" s="7" t="n">
        <v>0</v>
      </c>
      <c r="K1365" s="9" t="n">
        <v>0</v>
      </c>
      <c r="L1365" s="10" t="n">
        <v>10.62</v>
      </c>
      <c r="M1365" s="10" t="n">
        <v>1.43</v>
      </c>
      <c r="N1365" t="inlineStr">
        <is>
          <t>1</t>
        </is>
      </c>
      <c r="O1365" t="inlineStr">
        <is>
          <t>16</t>
        </is>
      </c>
      <c r="P1365" t="inlineStr">
        <is>
          <t xml:space="preserve">75273   </t>
        </is>
      </c>
      <c r="Q1365" s="26" t="n">
        <v>17.9</v>
      </c>
      <c r="R1365" s="26">
        <f>Q1365*G1365</f>
        <v/>
      </c>
      <c r="S1365" t="n">
        <v>10.62</v>
      </c>
      <c r="T1365" s="18">
        <f>1 - V1365/S1365</f>
        <v/>
      </c>
      <c r="U1365" s="18" t="n">
        <v>0</v>
      </c>
      <c r="V1365" s="26" t="n">
        <v>10.62</v>
      </c>
      <c r="W1365" s="26">
        <f>V1365 - L1365</f>
        <v/>
      </c>
    </row>
    <row r="1366">
      <c r="A1366" s="11" t="n">
        <v>46217</v>
      </c>
      <c r="B1366" s="1" t="n">
        <v>20024</v>
      </c>
      <c r="C1366" s="1" t="inlineStr">
        <is>
          <t>093</t>
        </is>
      </c>
      <c r="D1366" s="1" t="inlineStr">
        <is>
          <t>425175</t>
        </is>
      </c>
      <c r="E1366" s="1" t="inlineStr">
        <is>
          <t xml:space="preserve">32457099       </t>
        </is>
      </c>
      <c r="F1366" s="5" t="inlineStr">
        <is>
          <t>TMZ BEAST MACHINES MONSTER JAWS A FRICCION BLISTER</t>
        </is>
      </c>
      <c r="G1366" t="n">
        <v>1</v>
      </c>
      <c r="H1366" s="7" t="n">
        <v>19.9</v>
      </c>
      <c r="I1366" s="7" t="n">
        <v>0</v>
      </c>
      <c r="J1366" s="7" t="n">
        <v>0</v>
      </c>
      <c r="K1366" s="9" t="n">
        <v>0</v>
      </c>
      <c r="L1366" s="10" t="n">
        <v>11.8</v>
      </c>
      <c r="M1366" s="10" t="n">
        <v>1.43</v>
      </c>
      <c r="N1366" t="inlineStr">
        <is>
          <t>1</t>
        </is>
      </c>
      <c r="O1366" t="inlineStr">
        <is>
          <t>16</t>
        </is>
      </c>
      <c r="P1366" t="inlineStr">
        <is>
          <t xml:space="preserve">57844   </t>
        </is>
      </c>
      <c r="Q1366" s="26" t="n">
        <v>19.9</v>
      </c>
      <c r="R1366" s="26">
        <f>Q1366*G1366</f>
        <v/>
      </c>
      <c r="S1366" t="n">
        <v>11.81</v>
      </c>
      <c r="T1366" s="18">
        <f>1 - V1366/S1366</f>
        <v/>
      </c>
      <c r="U1366" s="18" t="n">
        <v>0.1005025125628141</v>
      </c>
      <c r="V1366" s="26" t="n">
        <v>8.417118644067797</v>
      </c>
      <c r="W1366" s="26">
        <f>V1366 - L1366</f>
        <v/>
      </c>
    </row>
    <row r="1367">
      <c r="A1367" s="11" t="n">
        <v>46217</v>
      </c>
      <c r="B1367" s="1" t="n">
        <v>20027</v>
      </c>
      <c r="C1367" s="1" t="inlineStr">
        <is>
          <t>191</t>
        </is>
      </c>
      <c r="D1367" s="1" t="inlineStr">
        <is>
          <t>103681</t>
        </is>
      </c>
      <c r="E1367" s="1" t="inlineStr">
        <is>
          <t xml:space="preserve">28194770       </t>
        </is>
      </c>
      <c r="F1367" s="5" t="inlineStr">
        <is>
          <t>AUTOS DE METAL 3 TEAMSTERZ EN BLISTER</t>
        </is>
      </c>
      <c r="G1367" t="n">
        <v>1</v>
      </c>
      <c r="H1367" s="7" t="n">
        <v>6.9</v>
      </c>
      <c r="I1367" s="7" t="n">
        <v>0</v>
      </c>
      <c r="J1367" s="7" t="n">
        <v>0</v>
      </c>
      <c r="K1367" s="9" t="n">
        <v>0</v>
      </c>
      <c r="L1367" s="10" t="n">
        <v>4.1</v>
      </c>
      <c r="M1367" s="10" t="n">
        <v>1.43</v>
      </c>
      <c r="N1367" t="inlineStr">
        <is>
          <t>1</t>
        </is>
      </c>
      <c r="O1367" t="inlineStr">
        <is>
          <t xml:space="preserve">3 </t>
        </is>
      </c>
      <c r="P1367" t="inlineStr">
        <is>
          <t xml:space="preserve">12746   </t>
        </is>
      </c>
      <c r="Q1367" s="26" t="n">
        <v>6.9</v>
      </c>
      <c r="R1367" s="26">
        <f>Q1367*G1367</f>
        <v/>
      </c>
      <c r="S1367" t="n">
        <v>4.09</v>
      </c>
      <c r="T1367" s="18">
        <f>1 - V1367/S1367</f>
        <v/>
      </c>
      <c r="U1367" s="18" t="n">
        <v>0</v>
      </c>
      <c r="V1367" s="26" t="n">
        <v>4.09</v>
      </c>
      <c r="W1367" s="26">
        <f>V1367 - L1367</f>
        <v/>
      </c>
    </row>
    <row r="1368">
      <c r="A1368" s="11" t="n">
        <v>46217</v>
      </c>
      <c r="B1368" s="1" t="n">
        <v>20030</v>
      </c>
      <c r="C1368" s="1" t="inlineStr">
        <is>
          <t>067</t>
        </is>
      </c>
      <c r="D1368" s="1" t="inlineStr">
        <is>
          <t>274096</t>
        </is>
      </c>
      <c r="E1368" s="1" t="inlineStr">
        <is>
          <t xml:space="preserve">28194770       </t>
        </is>
      </c>
      <c r="F1368" s="5" t="inlineStr">
        <is>
          <t>AUTOS DE METAL 3 TEAMSTERZ EN BLISTER</t>
        </is>
      </c>
      <c r="G1368" t="n">
        <v>3</v>
      </c>
      <c r="H1368" s="7" t="n">
        <v>20.7</v>
      </c>
      <c r="I1368" s="7" t="n">
        <v>0</v>
      </c>
      <c r="J1368" s="7" t="n">
        <v>0</v>
      </c>
      <c r="K1368" s="9" t="n">
        <v>0</v>
      </c>
      <c r="L1368" s="10" t="n">
        <v>12.27</v>
      </c>
      <c r="M1368" s="10" t="n">
        <v>1.43</v>
      </c>
      <c r="N1368" t="inlineStr">
        <is>
          <t>1</t>
        </is>
      </c>
      <c r="O1368" t="inlineStr">
        <is>
          <t>16</t>
        </is>
      </c>
      <c r="P1368" t="inlineStr">
        <is>
          <t xml:space="preserve">48628   </t>
        </is>
      </c>
      <c r="Q1368" s="26" t="n">
        <v>6.9</v>
      </c>
      <c r="R1368" s="26">
        <f>Q1368*G1368</f>
        <v/>
      </c>
      <c r="S1368" t="n">
        <v>12.27</v>
      </c>
      <c r="T1368" s="18">
        <f>1 - V1368/S1368</f>
        <v/>
      </c>
      <c r="U1368" s="18" t="n">
        <v>0</v>
      </c>
      <c r="V1368" s="26" t="n">
        <v>12.27</v>
      </c>
      <c r="W1368" s="26">
        <f>V1368 - L1368</f>
        <v/>
      </c>
    </row>
    <row r="1369">
      <c r="A1369" s="11" t="n">
        <v>46217</v>
      </c>
      <c r="B1369" s="1" t="n">
        <v>20030</v>
      </c>
      <c r="C1369" s="1" t="inlineStr">
        <is>
          <t>067</t>
        </is>
      </c>
      <c r="D1369" s="1" t="inlineStr">
        <is>
          <t>274096</t>
        </is>
      </c>
      <c r="E1369" s="1" t="inlineStr">
        <is>
          <t xml:space="preserve">28194770       </t>
        </is>
      </c>
      <c r="F1369" s="5" t="inlineStr">
        <is>
          <t>AUTOS DE METAL 3 TEAMSTERZ EN BLISTER</t>
        </is>
      </c>
      <c r="G1369" t="n">
        <v>1</v>
      </c>
      <c r="H1369" s="7" t="n">
        <v>6.9</v>
      </c>
      <c r="I1369" s="7" t="n">
        <v>0</v>
      </c>
      <c r="J1369" s="7" t="n">
        <v>0</v>
      </c>
      <c r="K1369" s="9" t="n">
        <v>0</v>
      </c>
      <c r="L1369" s="10" t="n">
        <v>4.1</v>
      </c>
      <c r="M1369" s="10" t="n">
        <v>1.43</v>
      </c>
      <c r="N1369" t="inlineStr">
        <is>
          <t>1</t>
        </is>
      </c>
      <c r="O1369" t="inlineStr">
        <is>
          <t>16</t>
        </is>
      </c>
      <c r="P1369" t="inlineStr">
        <is>
          <t xml:space="preserve">48628   </t>
        </is>
      </c>
      <c r="Q1369" s="26" t="n">
        <v>6.9</v>
      </c>
      <c r="R1369" s="26">
        <f>Q1369*G1369</f>
        <v/>
      </c>
      <c r="S1369" t="n">
        <v>4.09</v>
      </c>
      <c r="T1369" s="18">
        <f>1 - V1369/S1369</f>
        <v/>
      </c>
      <c r="U1369" s="18" t="n">
        <v>0</v>
      </c>
      <c r="V1369" s="26" t="n">
        <v>4.09</v>
      </c>
      <c r="W1369" s="26">
        <f>V1369 - L1369</f>
        <v/>
      </c>
    </row>
    <row r="1370">
      <c r="A1370" s="11" t="n">
        <v>46217</v>
      </c>
      <c r="B1370" s="1" t="n">
        <v>20030</v>
      </c>
      <c r="C1370" s="1" t="inlineStr">
        <is>
          <t>067</t>
        </is>
      </c>
      <c r="D1370" s="1" t="inlineStr">
        <is>
          <t>274096</t>
        </is>
      </c>
      <c r="E1370" s="1" t="inlineStr">
        <is>
          <t xml:space="preserve">30141766       </t>
        </is>
      </c>
      <c r="F1370" s="5" t="inlineStr">
        <is>
          <t>TMZ BEAST MACHINES AUTOS DE METAL BLISTER X 1</t>
        </is>
      </c>
      <c r="G1370" t="n">
        <v>1</v>
      </c>
      <c r="H1370" s="7" t="n">
        <v>7.9</v>
      </c>
      <c r="I1370" s="7" t="n">
        <v>0</v>
      </c>
      <c r="J1370" s="7" t="n">
        <v>0</v>
      </c>
      <c r="K1370" s="9" t="n">
        <v>0</v>
      </c>
      <c r="L1370" s="10" t="n">
        <v>4.68</v>
      </c>
      <c r="M1370" s="10" t="n">
        <v>1.43</v>
      </c>
      <c r="N1370" t="inlineStr">
        <is>
          <t>1</t>
        </is>
      </c>
      <c r="O1370" t="inlineStr">
        <is>
          <t>16</t>
        </is>
      </c>
      <c r="P1370" t="inlineStr">
        <is>
          <t xml:space="preserve">48628   </t>
        </is>
      </c>
      <c r="Q1370" s="26" t="n">
        <v>7.9</v>
      </c>
      <c r="R1370" s="26">
        <f>Q1370*G1370</f>
        <v/>
      </c>
      <c r="S1370" t="n">
        <v>4.69</v>
      </c>
      <c r="T1370" s="18">
        <f>1 - V1370/S1370</f>
        <v/>
      </c>
      <c r="U1370" s="18" t="n">
        <v>0</v>
      </c>
      <c r="V1370" s="26" t="n">
        <v>4.69</v>
      </c>
      <c r="W1370" s="26">
        <f>V1370 - L1370</f>
        <v/>
      </c>
    </row>
    <row r="1371">
      <c r="A1371" s="11" t="n">
        <v>46217</v>
      </c>
      <c r="B1371" s="1" t="n">
        <v>20030</v>
      </c>
      <c r="C1371" s="1" t="inlineStr">
        <is>
          <t>067</t>
        </is>
      </c>
      <c r="D1371" s="1" t="inlineStr">
        <is>
          <t>274160</t>
        </is>
      </c>
      <c r="E1371" s="1" t="inlineStr">
        <is>
          <t xml:space="preserve">28194770       </t>
        </is>
      </c>
      <c r="F1371" s="5" t="inlineStr">
        <is>
          <t>AUTOS DE METAL 3 TEAMSTERZ EN BLISTER</t>
        </is>
      </c>
      <c r="G1371" t="n">
        <v>1</v>
      </c>
      <c r="H1371" s="7" t="n">
        <v>6.9</v>
      </c>
      <c r="I1371" s="7" t="n">
        <v>0</v>
      </c>
      <c r="J1371" s="7" t="n">
        <v>0</v>
      </c>
      <c r="K1371" s="9" t="n">
        <v>0</v>
      </c>
      <c r="L1371" s="10" t="n">
        <v>4.1</v>
      </c>
      <c r="M1371" s="10" t="n">
        <v>1.43</v>
      </c>
      <c r="N1371" t="inlineStr">
        <is>
          <t>1</t>
        </is>
      </c>
      <c r="O1371" t="inlineStr">
        <is>
          <t>16</t>
        </is>
      </c>
      <c r="P1371" t="inlineStr">
        <is>
          <t xml:space="preserve">47899   </t>
        </is>
      </c>
      <c r="Q1371" s="26" t="n">
        <v>6.9</v>
      </c>
      <c r="R1371" s="26">
        <f>Q1371*G1371</f>
        <v/>
      </c>
      <c r="S1371" t="n">
        <v>4.09</v>
      </c>
      <c r="T1371" s="18">
        <f>1 - V1371/S1371</f>
        <v/>
      </c>
      <c r="U1371" s="18" t="n">
        <v>0</v>
      </c>
      <c r="V1371" s="26" t="n">
        <v>4.09</v>
      </c>
      <c r="W1371" s="26">
        <f>V1371 - L1371</f>
        <v/>
      </c>
    </row>
    <row r="1372">
      <c r="A1372" s="11" t="n">
        <v>46217</v>
      </c>
      <c r="B1372" s="1" t="n">
        <v>20030</v>
      </c>
      <c r="C1372" s="1" t="inlineStr">
        <is>
          <t>067</t>
        </is>
      </c>
      <c r="D1372" s="1" t="inlineStr">
        <is>
          <t>274160</t>
        </is>
      </c>
      <c r="E1372" s="1" t="inlineStr">
        <is>
          <t xml:space="preserve">28194770       </t>
        </is>
      </c>
      <c r="F1372" s="5" t="inlineStr">
        <is>
          <t>AUTOS DE METAL 3 TEAMSTERZ EN BLISTER</t>
        </is>
      </c>
      <c r="G1372" t="n">
        <v>1</v>
      </c>
      <c r="H1372" s="7" t="n">
        <v>6.9</v>
      </c>
      <c r="I1372" s="7" t="n">
        <v>0</v>
      </c>
      <c r="J1372" s="7" t="n">
        <v>0</v>
      </c>
      <c r="K1372" s="9" t="n">
        <v>0</v>
      </c>
      <c r="L1372" s="10" t="n">
        <v>4.1</v>
      </c>
      <c r="M1372" s="10" t="n">
        <v>1.43</v>
      </c>
      <c r="N1372" t="inlineStr">
        <is>
          <t>1</t>
        </is>
      </c>
      <c r="O1372" t="inlineStr">
        <is>
          <t>16</t>
        </is>
      </c>
      <c r="P1372" t="inlineStr">
        <is>
          <t xml:space="preserve">47899   </t>
        </is>
      </c>
      <c r="Q1372" s="26" t="n">
        <v>6.9</v>
      </c>
      <c r="R1372" s="26">
        <f>Q1372*G1372</f>
        <v/>
      </c>
      <c r="S1372" t="n">
        <v>4.09</v>
      </c>
      <c r="T1372" s="18">
        <f>1 - V1372/S1372</f>
        <v/>
      </c>
      <c r="U1372" s="18" t="n">
        <v>0</v>
      </c>
      <c r="V1372" s="26" t="n">
        <v>4.09</v>
      </c>
      <c r="W1372" s="26">
        <f>V1372 - L1372</f>
        <v/>
      </c>
    </row>
    <row r="1373">
      <c r="A1373" s="11" t="n">
        <v>46217</v>
      </c>
      <c r="B1373" s="1" t="n">
        <v>20030</v>
      </c>
      <c r="C1373" s="1" t="inlineStr">
        <is>
          <t>067</t>
        </is>
      </c>
      <c r="D1373" s="1" t="inlineStr">
        <is>
          <t>274160</t>
        </is>
      </c>
      <c r="E1373" s="1" t="inlineStr">
        <is>
          <t xml:space="preserve">28194770       </t>
        </is>
      </c>
      <c r="F1373" s="5" t="inlineStr">
        <is>
          <t>AUTOS DE METAL 3 TEAMSTERZ EN BLISTER</t>
        </is>
      </c>
      <c r="G1373" t="n">
        <v>1</v>
      </c>
      <c r="H1373" s="7" t="n">
        <v>6.9</v>
      </c>
      <c r="I1373" s="7" t="n">
        <v>0</v>
      </c>
      <c r="J1373" s="7" t="n">
        <v>0</v>
      </c>
      <c r="K1373" s="9" t="n">
        <v>0</v>
      </c>
      <c r="L1373" s="10" t="n">
        <v>4.1</v>
      </c>
      <c r="M1373" s="10" t="n">
        <v>1.43</v>
      </c>
      <c r="N1373" t="inlineStr">
        <is>
          <t>1</t>
        </is>
      </c>
      <c r="O1373" t="inlineStr">
        <is>
          <t>16</t>
        </is>
      </c>
      <c r="P1373" t="inlineStr">
        <is>
          <t xml:space="preserve">47899   </t>
        </is>
      </c>
      <c r="Q1373" s="26" t="n">
        <v>6.9</v>
      </c>
      <c r="R1373" s="26">
        <f>Q1373*G1373</f>
        <v/>
      </c>
      <c r="S1373" t="n">
        <v>4.09</v>
      </c>
      <c r="T1373" s="18">
        <f>1 - V1373/S1373</f>
        <v/>
      </c>
      <c r="U1373" s="18" t="n">
        <v>0</v>
      </c>
      <c r="V1373" s="26" t="n">
        <v>4.09</v>
      </c>
      <c r="W1373" s="26">
        <f>V1373 - L1373</f>
        <v/>
      </c>
    </row>
    <row r="1374">
      <c r="A1374" s="11" t="n">
        <v>46217</v>
      </c>
      <c r="B1374" s="1" t="n">
        <v>20030</v>
      </c>
      <c r="C1374" s="1" t="inlineStr">
        <is>
          <t>067</t>
        </is>
      </c>
      <c r="D1374" s="1" t="inlineStr">
        <is>
          <t>274160</t>
        </is>
      </c>
      <c r="E1374" s="1" t="inlineStr">
        <is>
          <t xml:space="preserve">28194770       </t>
        </is>
      </c>
      <c r="F1374" s="5" t="inlineStr">
        <is>
          <t>AUTOS DE METAL 3 TEAMSTERZ EN BLISTER</t>
        </is>
      </c>
      <c r="G1374" t="n">
        <v>1</v>
      </c>
      <c r="H1374" s="7" t="n">
        <v>6.9</v>
      </c>
      <c r="I1374" s="7" t="n">
        <v>0</v>
      </c>
      <c r="J1374" s="7" t="n">
        <v>0</v>
      </c>
      <c r="K1374" s="9" t="n">
        <v>0</v>
      </c>
      <c r="L1374" s="10" t="n">
        <v>4.1</v>
      </c>
      <c r="M1374" s="10" t="n">
        <v>1.43</v>
      </c>
      <c r="N1374" t="inlineStr">
        <is>
          <t>1</t>
        </is>
      </c>
      <c r="O1374" t="inlineStr">
        <is>
          <t>16</t>
        </is>
      </c>
      <c r="P1374" t="inlineStr">
        <is>
          <t xml:space="preserve">47899   </t>
        </is>
      </c>
      <c r="Q1374" s="26" t="n">
        <v>6.9</v>
      </c>
      <c r="R1374" s="26">
        <f>Q1374*G1374</f>
        <v/>
      </c>
      <c r="S1374" t="n">
        <v>4.09</v>
      </c>
      <c r="T1374" s="18">
        <f>1 - V1374/S1374</f>
        <v/>
      </c>
      <c r="U1374" s="18" t="n">
        <v>0</v>
      </c>
      <c r="V1374" s="26" t="n">
        <v>4.09</v>
      </c>
      <c r="W1374" s="26">
        <f>V1374 - L1374</f>
        <v/>
      </c>
    </row>
    <row r="1375">
      <c r="A1375" s="11" t="n">
        <v>46217</v>
      </c>
      <c r="B1375" s="1" t="n">
        <v>20030</v>
      </c>
      <c r="C1375" s="1" t="inlineStr">
        <is>
          <t>067</t>
        </is>
      </c>
      <c r="D1375" s="1" t="inlineStr">
        <is>
          <t>274160</t>
        </is>
      </c>
      <c r="E1375" s="1" t="inlineStr">
        <is>
          <t xml:space="preserve">28194770       </t>
        </is>
      </c>
      <c r="F1375" s="5" t="inlineStr">
        <is>
          <t>AUTOS DE METAL 3 TEAMSTERZ EN BLISTER</t>
        </is>
      </c>
      <c r="G1375" t="n">
        <v>1</v>
      </c>
      <c r="H1375" s="7" t="n">
        <v>6.9</v>
      </c>
      <c r="I1375" s="7" t="n">
        <v>0</v>
      </c>
      <c r="J1375" s="7" t="n">
        <v>0</v>
      </c>
      <c r="K1375" s="9" t="n">
        <v>0</v>
      </c>
      <c r="L1375" s="10" t="n">
        <v>4.1</v>
      </c>
      <c r="M1375" s="10" t="n">
        <v>1.43</v>
      </c>
      <c r="N1375" t="inlineStr">
        <is>
          <t>1</t>
        </is>
      </c>
      <c r="O1375" t="inlineStr">
        <is>
          <t>16</t>
        </is>
      </c>
      <c r="P1375" t="inlineStr">
        <is>
          <t xml:space="preserve">47899   </t>
        </is>
      </c>
      <c r="Q1375" s="26" t="n">
        <v>6.9</v>
      </c>
      <c r="R1375" s="26">
        <f>Q1375*G1375</f>
        <v/>
      </c>
      <c r="S1375" t="n">
        <v>4.09</v>
      </c>
      <c r="T1375" s="18">
        <f>1 - V1375/S1375</f>
        <v/>
      </c>
      <c r="U1375" s="18" t="n">
        <v>0</v>
      </c>
      <c r="V1375" s="26" t="n">
        <v>4.09</v>
      </c>
      <c r="W1375" s="26">
        <f>V1375 - L1375</f>
        <v/>
      </c>
    </row>
    <row r="1376">
      <c r="A1376" s="11" t="n">
        <v>46217</v>
      </c>
      <c r="B1376" s="1" t="n">
        <v>20030</v>
      </c>
      <c r="C1376" s="1" t="inlineStr">
        <is>
          <t>067</t>
        </is>
      </c>
      <c r="D1376" s="1" t="inlineStr">
        <is>
          <t>274160</t>
        </is>
      </c>
      <c r="E1376" s="1" t="inlineStr">
        <is>
          <t xml:space="preserve">30141766       </t>
        </is>
      </c>
      <c r="F1376" s="5" t="inlineStr">
        <is>
          <t>TMZ BEAST MACHINES AUTOS DE METAL BLISTER X 1</t>
        </is>
      </c>
      <c r="G1376" t="n">
        <v>1</v>
      </c>
      <c r="H1376" s="7" t="n">
        <v>7.9</v>
      </c>
      <c r="I1376" s="7" t="n">
        <v>0</v>
      </c>
      <c r="J1376" s="7" t="n">
        <v>0</v>
      </c>
      <c r="K1376" s="9" t="n">
        <v>0</v>
      </c>
      <c r="L1376" s="10" t="n">
        <v>4.68</v>
      </c>
      <c r="M1376" s="10" t="n">
        <v>1.43</v>
      </c>
      <c r="N1376" t="inlineStr">
        <is>
          <t>1</t>
        </is>
      </c>
      <c r="O1376" t="inlineStr">
        <is>
          <t>16</t>
        </is>
      </c>
      <c r="P1376" t="inlineStr">
        <is>
          <t xml:space="preserve">47899   </t>
        </is>
      </c>
      <c r="Q1376" s="26" t="n">
        <v>7.9</v>
      </c>
      <c r="R1376" s="26">
        <f>Q1376*G1376</f>
        <v/>
      </c>
      <c r="S1376" t="n">
        <v>4.69</v>
      </c>
      <c r="T1376" s="18">
        <f>1 - V1376/S1376</f>
        <v/>
      </c>
      <c r="U1376" s="18" t="n">
        <v>0</v>
      </c>
      <c r="V1376" s="26" t="n">
        <v>4.69</v>
      </c>
      <c r="W1376" s="26">
        <f>V1376 - L1376</f>
        <v/>
      </c>
    </row>
    <row r="1377">
      <c r="A1377" s="11" t="n">
        <v>46217</v>
      </c>
      <c r="B1377" s="1" t="n">
        <v>20040</v>
      </c>
      <c r="C1377" s="1" t="inlineStr">
        <is>
          <t>067</t>
        </is>
      </c>
      <c r="D1377" s="1" t="inlineStr">
        <is>
          <t>225293</t>
        </is>
      </c>
      <c r="E1377" s="1" t="inlineStr">
        <is>
          <t xml:space="preserve">28194782       </t>
        </is>
      </c>
      <c r="F1377" s="5" t="inlineStr">
        <is>
          <t>TROMPO BATALLA INFINITY NADO SERIE V ORIGINAL SURT</t>
        </is>
      </c>
      <c r="G1377" t="n">
        <v>1</v>
      </c>
      <c r="H1377" s="7" t="n">
        <v>69.90000000000001</v>
      </c>
      <c r="I1377" s="7" t="n">
        <v>0</v>
      </c>
      <c r="J1377" s="7" t="n">
        <v>0</v>
      </c>
      <c r="K1377" s="9" t="n">
        <v>0</v>
      </c>
      <c r="L1377" s="10" t="n">
        <v>41.47</v>
      </c>
      <c r="M1377" s="10" t="n">
        <v>1.43</v>
      </c>
      <c r="N1377" t="inlineStr">
        <is>
          <t>1</t>
        </is>
      </c>
      <c r="O1377" t="inlineStr">
        <is>
          <t>16</t>
        </is>
      </c>
      <c r="P1377" t="inlineStr">
        <is>
          <t xml:space="preserve">50776   </t>
        </is>
      </c>
      <c r="Q1377" s="26" t="n">
        <v>69.90000000000001</v>
      </c>
      <c r="R1377" s="26">
        <f>Q1377*G1377</f>
        <v/>
      </c>
      <c r="S1377" t="n">
        <v>41.47</v>
      </c>
      <c r="T1377" s="18">
        <f>1 - V1377/S1377</f>
        <v/>
      </c>
      <c r="U1377" s="18" t="n">
        <v>0.2861230329041489</v>
      </c>
      <c r="V1377" s="26" t="n">
        <v>31.71610169491525</v>
      </c>
      <c r="W1377" s="26">
        <f>V1377 - L1377</f>
        <v/>
      </c>
    </row>
    <row r="1378">
      <c r="A1378" s="11" t="n">
        <v>46217</v>
      </c>
      <c r="B1378" s="1" t="n">
        <v>20040</v>
      </c>
      <c r="C1378" s="1" t="inlineStr">
        <is>
          <t>067</t>
        </is>
      </c>
      <c r="D1378" s="1" t="inlineStr">
        <is>
          <t>225293</t>
        </is>
      </c>
      <c r="E1378" s="1" t="inlineStr">
        <is>
          <t xml:space="preserve">28194783       </t>
        </is>
      </c>
      <c r="F1378" s="5" t="inlineStr">
        <is>
          <t>SET DE BATALLA INFINITY NADO CON 2 TROMPOS</t>
        </is>
      </c>
      <c r="G1378" t="n">
        <v>1</v>
      </c>
      <c r="H1378" s="7" t="n">
        <v>159</v>
      </c>
      <c r="I1378" s="7" t="n">
        <v>0</v>
      </c>
      <c r="J1378" s="7" t="n">
        <v>0</v>
      </c>
      <c r="K1378" s="9" t="n">
        <v>0</v>
      </c>
      <c r="L1378" s="10" t="n">
        <v>94.33</v>
      </c>
      <c r="M1378" s="10" t="n">
        <v>1.43</v>
      </c>
      <c r="N1378" t="inlineStr">
        <is>
          <t>1</t>
        </is>
      </c>
      <c r="O1378" t="inlineStr">
        <is>
          <t>16</t>
        </is>
      </c>
      <c r="P1378" t="inlineStr">
        <is>
          <t xml:space="preserve">50776   </t>
        </is>
      </c>
      <c r="Q1378" s="26" t="n">
        <v>159</v>
      </c>
      <c r="R1378" s="26">
        <f>Q1378*G1378</f>
        <v/>
      </c>
      <c r="S1378" t="n">
        <v>94.31999999999999</v>
      </c>
      <c r="T1378" s="18">
        <f>1 - V1378/S1378</f>
        <v/>
      </c>
      <c r="U1378" s="18" t="n">
        <v>0.1886792452830188</v>
      </c>
      <c r="V1378" s="26" t="n">
        <v>81.99152542372882</v>
      </c>
      <c r="W1378" s="26">
        <f>V1378 - L1378</f>
        <v/>
      </c>
    </row>
    <row r="1379">
      <c r="A1379" s="11" t="n">
        <v>46217</v>
      </c>
      <c r="B1379" s="1" t="n">
        <v>20040</v>
      </c>
      <c r="C1379" s="1" t="inlineStr">
        <is>
          <t>067</t>
        </is>
      </c>
      <c r="D1379" s="1" t="inlineStr">
        <is>
          <t>225293</t>
        </is>
      </c>
      <c r="E1379" s="1" t="inlineStr">
        <is>
          <t xml:space="preserve">31754675       </t>
        </is>
      </c>
      <c r="F1379" s="5" t="inlineStr">
        <is>
          <t>INFINITY NADO SERIE 6 STARTER PACK - 4 MODELOS</t>
        </is>
      </c>
      <c r="G1379" t="n">
        <v>1</v>
      </c>
      <c r="H1379" s="7" t="n">
        <v>69.90000000000001</v>
      </c>
      <c r="I1379" s="7" t="n">
        <v>0</v>
      </c>
      <c r="J1379" s="7" t="n">
        <v>0</v>
      </c>
      <c r="K1379" s="9" t="n">
        <v>0</v>
      </c>
      <c r="L1379" s="10" t="n">
        <v>41.47</v>
      </c>
      <c r="M1379" s="10" t="n">
        <v>1.43</v>
      </c>
      <c r="N1379" t="inlineStr">
        <is>
          <t>1</t>
        </is>
      </c>
      <c r="O1379" t="inlineStr">
        <is>
          <t>16</t>
        </is>
      </c>
      <c r="P1379" t="inlineStr">
        <is>
          <t xml:space="preserve">50776   </t>
        </is>
      </c>
      <c r="Q1379" s="26" t="n">
        <v>69.90000000000001</v>
      </c>
      <c r="R1379" s="26">
        <f>Q1379*G1379</f>
        <v/>
      </c>
      <c r="S1379" t="n">
        <v>41.47</v>
      </c>
      <c r="T1379" s="18">
        <f>1 - V1379/S1379</f>
        <v/>
      </c>
      <c r="U1379" s="18" t="n">
        <v>0.2861230329041489</v>
      </c>
      <c r="V1379" s="26" t="n">
        <v>31.71610169491525</v>
      </c>
      <c r="W1379" s="26">
        <f>V1379 - L1379</f>
        <v/>
      </c>
    </row>
    <row r="1380">
      <c r="A1380" s="11" t="n">
        <v>46217</v>
      </c>
      <c r="B1380" s="1" t="n">
        <v>20040</v>
      </c>
      <c r="C1380" s="1" t="inlineStr">
        <is>
          <t>072</t>
        </is>
      </c>
      <c r="D1380" s="1" t="inlineStr">
        <is>
          <t>251815</t>
        </is>
      </c>
      <c r="E1380" s="1" t="inlineStr">
        <is>
          <t xml:space="preserve">29235702       </t>
        </is>
      </c>
      <c r="F1380" s="5" t="inlineStr">
        <is>
          <t>INFINITY NADO TROMPO DE BATALLA - METAL C/ ANILLO</t>
        </is>
      </c>
      <c r="G1380" t="n">
        <v>1</v>
      </c>
      <c r="H1380" s="7" t="n">
        <v>69.90000000000001</v>
      </c>
      <c r="I1380" s="7" t="n">
        <v>0</v>
      </c>
      <c r="J1380" s="7" t="n">
        <v>0</v>
      </c>
      <c r="K1380" s="9" t="n">
        <v>0</v>
      </c>
      <c r="L1380" s="10" t="n">
        <v>41.47</v>
      </c>
      <c r="M1380" s="10" t="n">
        <v>1.43</v>
      </c>
      <c r="N1380" t="inlineStr">
        <is>
          <t>1</t>
        </is>
      </c>
      <c r="O1380" t="inlineStr">
        <is>
          <t xml:space="preserve">2 </t>
        </is>
      </c>
      <c r="P1380" t="inlineStr">
        <is>
          <t xml:space="preserve">52786   </t>
        </is>
      </c>
      <c r="Q1380" s="26" t="n">
        <v>69.90000000000001</v>
      </c>
      <c r="R1380" s="26">
        <f>Q1380*G1380</f>
        <v/>
      </c>
      <c r="S1380" t="n">
        <v>41.47</v>
      </c>
      <c r="T1380" s="18">
        <f>1 - V1380/S1380</f>
        <v/>
      </c>
      <c r="U1380" s="18" t="n">
        <v>0.2861230329041489</v>
      </c>
      <c r="V1380" s="26" t="n">
        <v>31.71610169491525</v>
      </c>
      <c r="W1380" s="26">
        <f>V1380 - L1380</f>
        <v/>
      </c>
    </row>
    <row r="1381">
      <c r="A1381" s="11" t="n">
        <v>46217</v>
      </c>
      <c r="B1381" s="1" t="n">
        <v>20040</v>
      </c>
      <c r="C1381" s="1" t="inlineStr">
        <is>
          <t>529</t>
        </is>
      </c>
      <c r="D1381" s="1" t="inlineStr">
        <is>
          <t xml:space="preserve">8309  </t>
        </is>
      </c>
      <c r="E1381" s="1" t="inlineStr">
        <is>
          <t xml:space="preserve">28194780       </t>
        </is>
      </c>
      <c r="F1381" s="5" t="inlineStr">
        <is>
          <t>TROMPO BATALLA INFINITY NADO PLSTICO SURTIDO</t>
        </is>
      </c>
      <c r="G1381" t="n">
        <v>1</v>
      </c>
      <c r="H1381" s="7" t="n">
        <v>19.9</v>
      </c>
      <c r="I1381" s="7" t="n">
        <v>0</v>
      </c>
      <c r="J1381" s="7" t="n">
        <v>0</v>
      </c>
      <c r="K1381" s="9" t="n">
        <v>0</v>
      </c>
      <c r="L1381" s="10" t="n">
        <v>11.8</v>
      </c>
      <c r="M1381" s="10" t="n">
        <v>1.43</v>
      </c>
      <c r="N1381" t="inlineStr">
        <is>
          <t>1</t>
        </is>
      </c>
      <c r="O1381" t="inlineStr">
        <is>
          <t>16</t>
        </is>
      </c>
      <c r="P1381" t="inlineStr">
        <is>
          <t xml:space="preserve">86916   </t>
        </is>
      </c>
      <c r="Q1381" s="26" t="n">
        <v>19.9</v>
      </c>
      <c r="R1381" s="26">
        <f>Q1381*G1381</f>
        <v/>
      </c>
      <c r="S1381" t="n">
        <v>11.81</v>
      </c>
      <c r="T1381" s="18">
        <f>1 - V1381/S1381</f>
        <v/>
      </c>
      <c r="U1381" s="18" t="n">
        <v>0</v>
      </c>
      <c r="V1381" s="26" t="n">
        <v>11.81</v>
      </c>
      <c r="W1381" s="26">
        <f>V1381 - L1381</f>
        <v/>
      </c>
    </row>
    <row r="1382">
      <c r="A1382" s="11" t="n">
        <v>46217</v>
      </c>
      <c r="B1382" s="1" t="n">
        <v>20040</v>
      </c>
      <c r="C1382" s="1" t="inlineStr">
        <is>
          <t>831</t>
        </is>
      </c>
      <c r="D1382" s="1" t="inlineStr">
        <is>
          <t xml:space="preserve">8793  </t>
        </is>
      </c>
      <c r="E1382" s="1" t="inlineStr">
        <is>
          <t xml:space="preserve">34840552       </t>
        </is>
      </c>
      <c r="F1382" s="5" t="inlineStr">
        <is>
          <t>TMZ HELI POLICIA CON LUCES Y SONIDOS</t>
        </is>
      </c>
      <c r="G1382" t="n">
        <v>1</v>
      </c>
      <c r="H1382" s="7" t="n">
        <v>79.90000000000001</v>
      </c>
      <c r="I1382" s="7" t="n">
        <v>0</v>
      </c>
      <c r="J1382" s="7" t="n">
        <v>0</v>
      </c>
      <c r="K1382" s="9" t="n">
        <v>0</v>
      </c>
      <c r="L1382" s="10" t="n">
        <v>47.4</v>
      </c>
      <c r="M1382" s="10" t="n">
        <v>1.43</v>
      </c>
      <c r="N1382" t="inlineStr">
        <is>
          <t>1</t>
        </is>
      </c>
      <c r="O1382" t="inlineStr">
        <is>
          <t>16</t>
        </is>
      </c>
      <c r="P1382" t="inlineStr">
        <is>
          <t xml:space="preserve">0       </t>
        </is>
      </c>
      <c r="Q1382" s="26" t="n">
        <v>79.90000000000002</v>
      </c>
      <c r="R1382" s="26">
        <f>Q1382*G1382</f>
        <v/>
      </c>
      <c r="S1382" t="n">
        <v>47.4</v>
      </c>
      <c r="T1382" s="18">
        <f>1 - V1382/S1382</f>
        <v/>
      </c>
      <c r="U1382" s="18" t="n">
        <v>0</v>
      </c>
      <c r="V1382" s="26" t="n">
        <v>47.4</v>
      </c>
      <c r="W1382" s="26">
        <f>V1382 - L1382</f>
        <v/>
      </c>
    </row>
    <row r="1383">
      <c r="A1383" s="11" t="n">
        <v>46217</v>
      </c>
      <c r="B1383" s="1" t="n">
        <v>20041</v>
      </c>
      <c r="C1383" s="1" t="inlineStr">
        <is>
          <t>013</t>
        </is>
      </c>
      <c r="D1383" s="1" t="inlineStr">
        <is>
          <t>459056</t>
        </is>
      </c>
      <c r="E1383" s="1" t="inlineStr">
        <is>
          <t xml:space="preserve">35685067       </t>
        </is>
      </c>
      <c r="F1383" s="5" t="inlineStr">
        <is>
          <t>HOT WHEELS POWER SET 3 EN 1</t>
        </is>
      </c>
      <c r="G1383" t="n">
        <v>1</v>
      </c>
      <c r="H1383" s="7" t="n">
        <v>49.9</v>
      </c>
      <c r="I1383" s="7" t="n">
        <v>0</v>
      </c>
      <c r="J1383" s="7" t="n">
        <v>0</v>
      </c>
      <c r="K1383" s="9" t="n">
        <v>0</v>
      </c>
      <c r="L1383" s="10" t="n">
        <v>29.6</v>
      </c>
      <c r="M1383" s="10" t="n">
        <v>1.43</v>
      </c>
      <c r="N1383" t="inlineStr">
        <is>
          <t>1</t>
        </is>
      </c>
      <c r="O1383" t="inlineStr">
        <is>
          <t>16</t>
        </is>
      </c>
      <c r="P1383" t="inlineStr">
        <is>
          <t xml:space="preserve">53218   </t>
        </is>
      </c>
      <c r="Q1383" s="26" t="n">
        <v>49.9</v>
      </c>
      <c r="R1383" s="26">
        <f>Q1383*G1383</f>
        <v/>
      </c>
      <c r="S1383" t="n">
        <v>29.6</v>
      </c>
      <c r="T1383" s="18">
        <f>1 - V1383/S1383</f>
        <v/>
      </c>
      <c r="U1383" s="18" t="n">
        <v>0</v>
      </c>
      <c r="V1383" s="26" t="n">
        <v>29.6</v>
      </c>
      <c r="W1383" s="26">
        <f>V1383 - L1383</f>
        <v/>
      </c>
    </row>
    <row r="1384">
      <c r="A1384" s="11" t="n">
        <v>46217</v>
      </c>
      <c r="B1384" s="1" t="n">
        <v>20041</v>
      </c>
      <c r="C1384" s="1" t="inlineStr">
        <is>
          <t>031</t>
        </is>
      </c>
      <c r="D1384" s="1" t="inlineStr">
        <is>
          <t>165495</t>
        </is>
      </c>
      <c r="E1384" s="1" t="inlineStr">
        <is>
          <t xml:space="preserve">28194769       </t>
        </is>
      </c>
      <c r="F1384" s="5" t="inlineStr">
        <is>
          <t>AUTOS DE METAL 3 TEAMSTERZ PACK DE 2</t>
        </is>
      </c>
      <c r="G1384" t="n">
        <v>1</v>
      </c>
      <c r="H1384" s="7" t="n">
        <v>13.8</v>
      </c>
      <c r="I1384" s="7" t="n">
        <v>0</v>
      </c>
      <c r="J1384" s="7" t="n">
        <v>0</v>
      </c>
      <c r="K1384" s="9" t="n">
        <v>0</v>
      </c>
      <c r="L1384" s="10" t="n">
        <v>8.18</v>
      </c>
      <c r="M1384" s="10" t="n">
        <v>1.43</v>
      </c>
      <c r="N1384" t="inlineStr">
        <is>
          <t>1</t>
        </is>
      </c>
      <c r="O1384" t="inlineStr">
        <is>
          <t xml:space="preserve">2 </t>
        </is>
      </c>
      <c r="P1384" t="inlineStr">
        <is>
          <t xml:space="preserve">242748  </t>
        </is>
      </c>
      <c r="Q1384" s="26" t="n">
        <v>13.8</v>
      </c>
      <c r="R1384" s="26">
        <f>Q1384*G1384</f>
        <v/>
      </c>
      <c r="S1384" t="n">
        <v>8.19</v>
      </c>
      <c r="T1384" s="18">
        <f>1 - V1384/S1384</f>
        <v/>
      </c>
      <c r="U1384" s="18" t="n">
        <v>0</v>
      </c>
      <c r="V1384" s="26" t="n">
        <v>8.19</v>
      </c>
      <c r="W1384" s="26">
        <f>V1384 - L1384</f>
        <v/>
      </c>
    </row>
    <row r="1385">
      <c r="A1385" s="11" t="n">
        <v>46217</v>
      </c>
      <c r="B1385" s="1" t="n">
        <v>20041</v>
      </c>
      <c r="C1385" s="1" t="inlineStr">
        <is>
          <t>031</t>
        </is>
      </c>
      <c r="D1385" s="1" t="inlineStr">
        <is>
          <t>165527</t>
        </is>
      </c>
      <c r="E1385" s="1" t="inlineStr">
        <is>
          <t xml:space="preserve">28194780       </t>
        </is>
      </c>
      <c r="F1385" s="5" t="inlineStr">
        <is>
          <t>TROMPO BATALLA INFINITY NADO PLSTICO SURTIDO</t>
        </is>
      </c>
      <c r="G1385" t="n">
        <v>1</v>
      </c>
      <c r="H1385" s="7" t="n">
        <v>19.9</v>
      </c>
      <c r="I1385" s="7" t="n">
        <v>0</v>
      </c>
      <c r="J1385" s="7" t="n">
        <v>0</v>
      </c>
      <c r="K1385" s="9" t="n">
        <v>0</v>
      </c>
      <c r="L1385" s="10" t="n">
        <v>11.8</v>
      </c>
      <c r="M1385" s="10" t="n">
        <v>1.43</v>
      </c>
      <c r="N1385" t="inlineStr">
        <is>
          <t>1</t>
        </is>
      </c>
      <c r="O1385" t="inlineStr">
        <is>
          <t>16</t>
        </is>
      </c>
      <c r="P1385" t="inlineStr">
        <is>
          <t xml:space="preserve">242748  </t>
        </is>
      </c>
      <c r="Q1385" s="26" t="n">
        <v>19.9</v>
      </c>
      <c r="R1385" s="26">
        <f>Q1385*G1385</f>
        <v/>
      </c>
      <c r="S1385" t="n">
        <v>11.81</v>
      </c>
      <c r="T1385" s="18">
        <f>1 - V1385/S1385</f>
        <v/>
      </c>
      <c r="U1385" s="18" t="n">
        <v>0</v>
      </c>
      <c r="V1385" s="26" t="n">
        <v>11.81</v>
      </c>
      <c r="W1385" s="26">
        <f>V1385 - L1385</f>
        <v/>
      </c>
    </row>
    <row r="1386">
      <c r="A1386" s="11" t="n">
        <v>46217</v>
      </c>
      <c r="B1386" s="1" t="n">
        <v>20041</v>
      </c>
      <c r="C1386" s="1" t="inlineStr">
        <is>
          <t>504</t>
        </is>
      </c>
      <c r="D1386" s="1" t="inlineStr">
        <is>
          <t xml:space="preserve">6219  </t>
        </is>
      </c>
      <c r="E1386" s="1" t="inlineStr">
        <is>
          <t xml:space="preserve">28194770       </t>
        </is>
      </c>
      <c r="F1386" s="5" t="inlineStr">
        <is>
          <t>AUTOS DE METAL 3 TEAMSTERZ EN BLISTER</t>
        </is>
      </c>
      <c r="G1386" t="n">
        <v>1</v>
      </c>
      <c r="H1386" s="7" t="n">
        <v>6.9</v>
      </c>
      <c r="I1386" s="7" t="n">
        <v>0</v>
      </c>
      <c r="J1386" s="7" t="n">
        <v>0</v>
      </c>
      <c r="K1386" s="9" t="n">
        <v>0</v>
      </c>
      <c r="L1386" s="10" t="n">
        <v>4.1</v>
      </c>
      <c r="M1386" s="10" t="n">
        <v>1.43</v>
      </c>
      <c r="N1386" t="inlineStr">
        <is>
          <t>1</t>
        </is>
      </c>
      <c r="O1386" t="inlineStr">
        <is>
          <t>16</t>
        </is>
      </c>
      <c r="P1386" t="inlineStr">
        <is>
          <t xml:space="preserve">39526   </t>
        </is>
      </c>
      <c r="Q1386" s="26" t="n">
        <v>6.9</v>
      </c>
      <c r="R1386" s="26">
        <f>Q1386*G1386</f>
        <v/>
      </c>
      <c r="S1386" t="n">
        <v>4.09</v>
      </c>
      <c r="T1386" s="18">
        <f>1 - V1386/S1386</f>
        <v/>
      </c>
      <c r="U1386" s="18" t="n">
        <v>0</v>
      </c>
      <c r="V1386" s="26" t="n">
        <v>4.09</v>
      </c>
      <c r="W1386" s="26">
        <f>V1386 - L1386</f>
        <v/>
      </c>
    </row>
    <row r="1387">
      <c r="A1387" s="11" t="n">
        <v>46217</v>
      </c>
      <c r="B1387" s="1" t="n">
        <v>20043</v>
      </c>
      <c r="C1387" s="1" t="inlineStr">
        <is>
          <t>061</t>
        </is>
      </c>
      <c r="D1387" s="1" t="inlineStr">
        <is>
          <t>154965</t>
        </is>
      </c>
      <c r="E1387" s="1" t="inlineStr">
        <is>
          <t xml:space="preserve">28194769       </t>
        </is>
      </c>
      <c r="F1387" s="5" t="inlineStr">
        <is>
          <t>AUTOS DE METAL 3 TEAMSTERZ PACK DE 2</t>
        </is>
      </c>
      <c r="G1387" t="n">
        <v>1</v>
      </c>
      <c r="H1387" s="7" t="n">
        <v>13.8</v>
      </c>
      <c r="I1387" s="7" t="n">
        <v>0</v>
      </c>
      <c r="J1387" s="7" t="n">
        <v>0</v>
      </c>
      <c r="K1387" s="9" t="n">
        <v>0</v>
      </c>
      <c r="L1387" s="10" t="n">
        <v>8.18</v>
      </c>
      <c r="M1387" s="10" t="n">
        <v>1.43</v>
      </c>
      <c r="N1387" t="inlineStr">
        <is>
          <t>1</t>
        </is>
      </c>
      <c r="O1387" t="inlineStr">
        <is>
          <t xml:space="preserve">3 </t>
        </is>
      </c>
      <c r="P1387" t="inlineStr">
        <is>
          <t xml:space="preserve">55076   </t>
        </is>
      </c>
      <c r="Q1387" s="26" t="n">
        <v>13.8</v>
      </c>
      <c r="R1387" s="26">
        <f>Q1387*G1387</f>
        <v/>
      </c>
      <c r="S1387" t="n">
        <v>8.19</v>
      </c>
      <c r="T1387" s="18">
        <f>1 - V1387/S1387</f>
        <v/>
      </c>
      <c r="U1387" s="18" t="n">
        <v>0</v>
      </c>
      <c r="V1387" s="26" t="n">
        <v>8.19</v>
      </c>
      <c r="W1387" s="26">
        <f>V1387 - L1387</f>
        <v/>
      </c>
    </row>
    <row r="1388">
      <c r="A1388" s="11" t="n">
        <v>46217</v>
      </c>
      <c r="B1388" s="1" t="n">
        <v>20043</v>
      </c>
      <c r="C1388" s="1" t="inlineStr">
        <is>
          <t>061</t>
        </is>
      </c>
      <c r="D1388" s="1" t="inlineStr">
        <is>
          <t>154965</t>
        </is>
      </c>
      <c r="E1388" s="1" t="inlineStr">
        <is>
          <t xml:space="preserve">28194769       </t>
        </is>
      </c>
      <c r="F1388" s="5" t="inlineStr">
        <is>
          <t>AUTOS DE METAL 3 TEAMSTERZ PACK DE 2</t>
        </is>
      </c>
      <c r="G1388" t="n">
        <v>1</v>
      </c>
      <c r="H1388" s="7" t="n">
        <v>13.8</v>
      </c>
      <c r="I1388" s="7" t="n">
        <v>0</v>
      </c>
      <c r="J1388" s="7" t="n">
        <v>0</v>
      </c>
      <c r="K1388" s="9" t="n">
        <v>0</v>
      </c>
      <c r="L1388" s="10" t="n">
        <v>8.18</v>
      </c>
      <c r="M1388" s="10" t="n">
        <v>1.43</v>
      </c>
      <c r="N1388" t="inlineStr">
        <is>
          <t>1</t>
        </is>
      </c>
      <c r="O1388" t="inlineStr">
        <is>
          <t xml:space="preserve">3 </t>
        </is>
      </c>
      <c r="P1388" t="inlineStr">
        <is>
          <t xml:space="preserve">55076   </t>
        </is>
      </c>
      <c r="Q1388" s="26" t="n">
        <v>13.8</v>
      </c>
      <c r="R1388" s="26">
        <f>Q1388*G1388</f>
        <v/>
      </c>
      <c r="S1388" t="n">
        <v>8.19</v>
      </c>
      <c r="T1388" s="18">
        <f>1 - V1388/S1388</f>
        <v/>
      </c>
      <c r="U1388" s="18" t="n">
        <v>0</v>
      </c>
      <c r="V1388" s="26" t="n">
        <v>8.19</v>
      </c>
      <c r="W1388" s="26">
        <f>V1388 - L1388</f>
        <v/>
      </c>
    </row>
    <row r="1389">
      <c r="A1389" s="11" t="n">
        <v>46217</v>
      </c>
      <c r="B1389" s="1" t="n">
        <v>20043</v>
      </c>
      <c r="C1389" s="1" t="inlineStr">
        <is>
          <t>061</t>
        </is>
      </c>
      <c r="D1389" s="1" t="inlineStr">
        <is>
          <t>154996</t>
        </is>
      </c>
      <c r="E1389" s="1" t="inlineStr">
        <is>
          <t xml:space="preserve">28194770       </t>
        </is>
      </c>
      <c r="F1389" s="5" t="inlineStr">
        <is>
          <t>AUTOS DE METAL 3 TEAMSTERZ EN BLISTER</t>
        </is>
      </c>
      <c r="G1389" t="n">
        <v>1</v>
      </c>
      <c r="H1389" s="7" t="n">
        <v>6.9</v>
      </c>
      <c r="I1389" s="7" t="n">
        <v>0</v>
      </c>
      <c r="J1389" s="7" t="n">
        <v>0</v>
      </c>
      <c r="K1389" s="9" t="n">
        <v>0</v>
      </c>
      <c r="L1389" s="10" t="n">
        <v>4.1</v>
      </c>
      <c r="M1389" s="10" t="n">
        <v>1.43</v>
      </c>
      <c r="N1389" t="inlineStr">
        <is>
          <t>1</t>
        </is>
      </c>
      <c r="O1389" t="inlineStr">
        <is>
          <t>16</t>
        </is>
      </c>
      <c r="P1389" t="inlineStr">
        <is>
          <t xml:space="preserve">55076   </t>
        </is>
      </c>
      <c r="Q1389" s="26" t="n">
        <v>6.9</v>
      </c>
      <c r="R1389" s="26">
        <f>Q1389*G1389</f>
        <v/>
      </c>
      <c r="S1389" t="n">
        <v>4.09</v>
      </c>
      <c r="T1389" s="18">
        <f>1 - V1389/S1389</f>
        <v/>
      </c>
      <c r="U1389" s="18" t="n">
        <v>0</v>
      </c>
      <c r="V1389" s="26" t="n">
        <v>4.09</v>
      </c>
      <c r="W1389" s="26">
        <f>V1389 - L1389</f>
        <v/>
      </c>
    </row>
    <row r="1390">
      <c r="A1390" s="11" t="n">
        <v>46217</v>
      </c>
      <c r="B1390" s="1" t="n">
        <v>20043</v>
      </c>
      <c r="C1390" s="1" t="inlineStr">
        <is>
          <t>061</t>
        </is>
      </c>
      <c r="D1390" s="1" t="inlineStr">
        <is>
          <t>154996</t>
        </is>
      </c>
      <c r="E1390" s="1" t="inlineStr">
        <is>
          <t xml:space="preserve">28194770       </t>
        </is>
      </c>
      <c r="F1390" s="5" t="inlineStr">
        <is>
          <t>AUTOS DE METAL 3 TEAMSTERZ EN BLISTER</t>
        </is>
      </c>
      <c r="G1390" t="n">
        <v>1</v>
      </c>
      <c r="H1390" s="7" t="n">
        <v>6.9</v>
      </c>
      <c r="I1390" s="7" t="n">
        <v>0</v>
      </c>
      <c r="J1390" s="7" t="n">
        <v>0</v>
      </c>
      <c r="K1390" s="9" t="n">
        <v>0</v>
      </c>
      <c r="L1390" s="10" t="n">
        <v>4.1</v>
      </c>
      <c r="M1390" s="10" t="n">
        <v>1.43</v>
      </c>
      <c r="N1390" t="inlineStr">
        <is>
          <t>1</t>
        </is>
      </c>
      <c r="O1390" t="inlineStr">
        <is>
          <t>16</t>
        </is>
      </c>
      <c r="P1390" t="inlineStr">
        <is>
          <t xml:space="preserve">55076   </t>
        </is>
      </c>
      <c r="Q1390" s="26" t="n">
        <v>6.9</v>
      </c>
      <c r="R1390" s="26">
        <f>Q1390*G1390</f>
        <v/>
      </c>
      <c r="S1390" t="n">
        <v>4.09</v>
      </c>
      <c r="T1390" s="18">
        <f>1 - V1390/S1390</f>
        <v/>
      </c>
      <c r="U1390" s="18" t="n">
        <v>0</v>
      </c>
      <c r="V1390" s="26" t="n">
        <v>4.09</v>
      </c>
      <c r="W1390" s="26">
        <f>V1390 - L1390</f>
        <v/>
      </c>
    </row>
    <row r="1391">
      <c r="A1391" s="11" t="n">
        <v>46217</v>
      </c>
      <c r="B1391" s="1" t="n">
        <v>20048</v>
      </c>
      <c r="C1391" s="1" t="inlineStr">
        <is>
          <t>013</t>
        </is>
      </c>
      <c r="D1391" s="1" t="inlineStr">
        <is>
          <t>225177</t>
        </is>
      </c>
      <c r="E1391" s="1" t="inlineStr">
        <is>
          <t xml:space="preserve">35685067       </t>
        </is>
      </c>
      <c r="F1391" s="5" t="inlineStr">
        <is>
          <t>HOT WHEELS POWER SET 3 EN 1</t>
        </is>
      </c>
      <c r="G1391" t="n">
        <v>1</v>
      </c>
      <c r="H1391" s="7" t="n">
        <v>49.9</v>
      </c>
      <c r="I1391" s="7" t="n">
        <v>0</v>
      </c>
      <c r="J1391" s="7" t="n">
        <v>0</v>
      </c>
      <c r="K1391" s="9" t="n">
        <v>0</v>
      </c>
      <c r="L1391" s="10" t="n">
        <v>29.6</v>
      </c>
      <c r="M1391" s="10" t="n">
        <v>1.43</v>
      </c>
      <c r="N1391" t="inlineStr">
        <is>
          <t>1</t>
        </is>
      </c>
      <c r="O1391" t="inlineStr">
        <is>
          <t xml:space="preserve">3 </t>
        </is>
      </c>
      <c r="P1391" t="inlineStr">
        <is>
          <t xml:space="preserve">80084   </t>
        </is>
      </c>
      <c r="Q1391" s="26" t="n">
        <v>49.9</v>
      </c>
      <c r="R1391" s="26">
        <f>Q1391*G1391</f>
        <v/>
      </c>
      <c r="S1391" t="n">
        <v>29.6</v>
      </c>
      <c r="T1391" s="18">
        <f>1 - V1391/S1391</f>
        <v/>
      </c>
      <c r="U1391" s="18" t="n">
        <v>0</v>
      </c>
      <c r="V1391" s="26" t="n">
        <v>29.6</v>
      </c>
      <c r="W1391" s="26">
        <f>V1391 - L1391</f>
        <v/>
      </c>
    </row>
    <row r="1392">
      <c r="A1392" s="11" t="n">
        <v>46217</v>
      </c>
      <c r="B1392" s="1" t="n">
        <v>20048</v>
      </c>
      <c r="C1392" s="1" t="inlineStr">
        <is>
          <t>018</t>
        </is>
      </c>
      <c r="D1392" s="1" t="inlineStr">
        <is>
          <t xml:space="preserve">46885 </t>
        </is>
      </c>
      <c r="E1392" s="1" t="inlineStr">
        <is>
          <t xml:space="preserve">28194770       </t>
        </is>
      </c>
      <c r="F1392" s="5" t="inlineStr">
        <is>
          <t>AUTOS DE METAL 3 TEAMSTERZ EN BLISTER</t>
        </is>
      </c>
      <c r="G1392" t="n">
        <v>1</v>
      </c>
      <c r="H1392" s="7" t="n">
        <v>6.9</v>
      </c>
      <c r="I1392" s="7" t="n">
        <v>0</v>
      </c>
      <c r="J1392" s="7" t="n">
        <v>0</v>
      </c>
      <c r="K1392" s="9" t="n">
        <v>0</v>
      </c>
      <c r="L1392" s="10" t="n">
        <v>4.1</v>
      </c>
      <c r="M1392" s="10" t="n">
        <v>1.43</v>
      </c>
      <c r="N1392" t="inlineStr">
        <is>
          <t>1</t>
        </is>
      </c>
      <c r="O1392" t="inlineStr">
        <is>
          <t xml:space="preserve">2 </t>
        </is>
      </c>
      <c r="P1392" t="inlineStr">
        <is>
          <t xml:space="preserve">200219  </t>
        </is>
      </c>
      <c r="Q1392" s="26" t="n">
        <v>6.9</v>
      </c>
      <c r="R1392" s="26">
        <f>Q1392*G1392</f>
        <v/>
      </c>
      <c r="S1392" t="n">
        <v>4.09</v>
      </c>
      <c r="T1392" s="18">
        <f>1 - V1392/S1392</f>
        <v/>
      </c>
      <c r="U1392" s="18" t="n">
        <v>0</v>
      </c>
      <c r="V1392" s="26" t="n">
        <v>4.09</v>
      </c>
      <c r="W1392" s="26">
        <f>V1392 - L1392</f>
        <v/>
      </c>
    </row>
    <row r="1393">
      <c r="A1393" s="11" t="n">
        <v>46217</v>
      </c>
      <c r="B1393" s="1" t="n">
        <v>20048</v>
      </c>
      <c r="C1393" s="1" t="inlineStr">
        <is>
          <t>831</t>
        </is>
      </c>
      <c r="D1393" s="1" t="inlineStr">
        <is>
          <t xml:space="preserve">5511  </t>
        </is>
      </c>
      <c r="E1393" s="1" t="inlineStr">
        <is>
          <t xml:space="preserve">28194770       </t>
        </is>
      </c>
      <c r="F1393" s="5" t="inlineStr">
        <is>
          <t>AUTOS DE METAL 3 TEAMSTERZ EN BLISTER</t>
        </is>
      </c>
      <c r="G1393" t="n">
        <v>1</v>
      </c>
      <c r="H1393" s="7" t="n">
        <v>6.9</v>
      </c>
      <c r="I1393" s="7" t="n">
        <v>0</v>
      </c>
      <c r="J1393" s="7" t="n">
        <v>0</v>
      </c>
      <c r="K1393" s="9" t="n">
        <v>0</v>
      </c>
      <c r="L1393" s="10" t="n">
        <v>4.1</v>
      </c>
      <c r="M1393" s="10" t="n">
        <v>1.43</v>
      </c>
      <c r="N1393" t="inlineStr">
        <is>
          <t>1</t>
        </is>
      </c>
      <c r="O1393" t="inlineStr">
        <is>
          <t>16</t>
        </is>
      </c>
      <c r="P1393" t="inlineStr">
        <is>
          <t xml:space="preserve">250434  </t>
        </is>
      </c>
      <c r="Q1393" s="26" t="n">
        <v>6.9</v>
      </c>
      <c r="R1393" s="26">
        <f>Q1393*G1393</f>
        <v/>
      </c>
      <c r="S1393" t="n">
        <v>4.09</v>
      </c>
      <c r="T1393" s="18">
        <f>1 - V1393/S1393</f>
        <v/>
      </c>
      <c r="U1393" s="18" t="n">
        <v>0</v>
      </c>
      <c r="V1393" s="26" t="n">
        <v>4.09</v>
      </c>
      <c r="W1393" s="26">
        <f>V1393 - L1393</f>
        <v/>
      </c>
    </row>
    <row r="1394">
      <c r="A1394" s="11" t="n">
        <v>46217</v>
      </c>
      <c r="B1394" s="1" t="n">
        <v>20049</v>
      </c>
      <c r="C1394" s="1" t="inlineStr">
        <is>
          <t>027</t>
        </is>
      </c>
      <c r="D1394" s="1" t="inlineStr">
        <is>
          <t>176054</t>
        </is>
      </c>
      <c r="E1394" s="1" t="inlineStr">
        <is>
          <t xml:space="preserve">28194769       </t>
        </is>
      </c>
      <c r="F1394" s="5" t="inlineStr">
        <is>
          <t>AUTOS DE METAL 3 TEAMSTERZ PACK DE 2</t>
        </is>
      </c>
      <c r="G1394" t="n">
        <v>1</v>
      </c>
      <c r="H1394" s="7" t="n">
        <v>13.8</v>
      </c>
      <c r="I1394" s="7" t="n">
        <v>0</v>
      </c>
      <c r="J1394" s="7" t="n">
        <v>0</v>
      </c>
      <c r="K1394" s="9" t="n">
        <v>0</v>
      </c>
      <c r="L1394" s="10" t="n">
        <v>8.18</v>
      </c>
      <c r="M1394" s="10" t="n">
        <v>1.43</v>
      </c>
      <c r="N1394" t="inlineStr">
        <is>
          <t>1</t>
        </is>
      </c>
      <c r="O1394" t="inlineStr">
        <is>
          <t xml:space="preserve">2 </t>
        </is>
      </c>
      <c r="P1394" t="inlineStr">
        <is>
          <t xml:space="preserve">248690  </t>
        </is>
      </c>
      <c r="Q1394" s="26" t="n">
        <v>13.8</v>
      </c>
      <c r="R1394" s="26">
        <f>Q1394*G1394</f>
        <v/>
      </c>
      <c r="S1394" t="n">
        <v>8.19</v>
      </c>
      <c r="T1394" s="18">
        <f>1 - V1394/S1394</f>
        <v/>
      </c>
      <c r="U1394" s="18" t="n">
        <v>0</v>
      </c>
      <c r="V1394" s="26" t="n">
        <v>8.19</v>
      </c>
      <c r="W1394" s="26">
        <f>V1394 - L1394</f>
        <v/>
      </c>
    </row>
    <row r="1395">
      <c r="A1395" s="11" t="n">
        <v>46217</v>
      </c>
      <c r="B1395" s="1" t="n">
        <v>20049</v>
      </c>
      <c r="C1395" s="1" t="inlineStr">
        <is>
          <t>029</t>
        </is>
      </c>
      <c r="D1395" s="1" t="inlineStr">
        <is>
          <t xml:space="preserve">26177 </t>
        </is>
      </c>
      <c r="E1395" s="1" t="inlineStr">
        <is>
          <t xml:space="preserve">34840551       </t>
        </is>
      </c>
      <c r="F1395" s="5" t="inlineStr">
        <is>
          <t>TMZ HELI BOMBERO CON LUCES Y SONIDOS</t>
        </is>
      </c>
      <c r="G1395" t="n">
        <v>-1</v>
      </c>
      <c r="H1395" s="7" t="n">
        <v>-79.90000000000001</v>
      </c>
      <c r="I1395" s="7" t="n">
        <v>0</v>
      </c>
      <c r="J1395" s="7" t="n">
        <v>0</v>
      </c>
      <c r="K1395" s="9" t="n">
        <v>0</v>
      </c>
      <c r="L1395" s="10" t="n">
        <v>-47.4</v>
      </c>
      <c r="M1395" s="10" t="n">
        <v>0</v>
      </c>
      <c r="N1395" t="inlineStr">
        <is>
          <t>3</t>
        </is>
      </c>
      <c r="O1395" t="inlineStr">
        <is>
          <t>26</t>
        </is>
      </c>
      <c r="P1395" t="inlineStr">
        <is>
          <t xml:space="preserve">83095   </t>
        </is>
      </c>
      <c r="Q1395" s="26" t="n">
        <v>79.90000000000002</v>
      </c>
      <c r="R1395" s="26">
        <f>Q1395*G1395</f>
        <v/>
      </c>
      <c r="S1395" t="n">
        <v>-47.4</v>
      </c>
      <c r="T1395" s="18">
        <f>1 - V1395/S1395</f>
        <v/>
      </c>
      <c r="U1395" s="18" t="n">
        <v>0</v>
      </c>
      <c r="V1395" s="26" t="n">
        <v>-47.4</v>
      </c>
      <c r="W1395" s="26">
        <f>V1395 - L1395</f>
        <v/>
      </c>
    </row>
    <row r="1396">
      <c r="A1396" s="11" t="n">
        <v>46217</v>
      </c>
      <c r="B1396" s="1" t="n">
        <v>20057</v>
      </c>
      <c r="C1396" s="1" t="inlineStr">
        <is>
          <t>020</t>
        </is>
      </c>
      <c r="D1396" s="1" t="inlineStr">
        <is>
          <t xml:space="preserve">39914 </t>
        </is>
      </c>
      <c r="E1396" s="1" t="inlineStr">
        <is>
          <t xml:space="preserve">32457103       </t>
        </is>
      </c>
      <c r="F1396" s="5" t="inlineStr">
        <is>
          <t>TMZ BEAST MACHINES MONSTER JAWS A FRICCION PACK DE</t>
        </is>
      </c>
      <c r="G1396" t="n">
        <v>1</v>
      </c>
      <c r="H1396" s="7" t="n">
        <v>37.9</v>
      </c>
      <c r="I1396" s="7" t="n">
        <v>0</v>
      </c>
      <c r="J1396" s="7" t="n">
        <v>0</v>
      </c>
      <c r="K1396" s="9" t="n">
        <v>0</v>
      </c>
      <c r="L1396" s="10" t="n">
        <v>22.48</v>
      </c>
      <c r="M1396" s="10" t="n">
        <v>1.43</v>
      </c>
      <c r="N1396" t="inlineStr">
        <is>
          <t>1</t>
        </is>
      </c>
      <c r="O1396" t="inlineStr">
        <is>
          <t>16</t>
        </is>
      </c>
      <c r="P1396" t="inlineStr">
        <is>
          <t xml:space="preserve">105593  </t>
        </is>
      </c>
      <c r="Q1396" s="26" t="n">
        <v>37.9</v>
      </c>
      <c r="R1396" s="26">
        <f>Q1396*G1396</f>
        <v/>
      </c>
      <c r="S1396" t="n">
        <v>22.48</v>
      </c>
      <c r="T1396" s="18">
        <f>1 - V1396/S1396</f>
        <v/>
      </c>
      <c r="U1396" s="18" t="n">
        <v>0.1319261213720316</v>
      </c>
      <c r="V1396" s="26" t="n">
        <v>16.75101694915254</v>
      </c>
      <c r="W1396" s="26">
        <f>V1396 - L1396</f>
        <v/>
      </c>
    </row>
    <row r="1397">
      <c r="A1397" s="11" t="n">
        <v>46217</v>
      </c>
      <c r="B1397" s="1" t="n">
        <v>20057</v>
      </c>
      <c r="C1397" s="1" t="inlineStr">
        <is>
          <t>032</t>
        </is>
      </c>
      <c r="D1397" s="1" t="inlineStr">
        <is>
          <t xml:space="preserve">74710 </t>
        </is>
      </c>
      <c r="E1397" s="1" t="inlineStr">
        <is>
          <t xml:space="preserve">29235710       </t>
        </is>
      </c>
      <c r="F1397" s="5" t="inlineStr">
        <is>
          <t>TEAMSTERZ PLAYSET GRANDES CONSTRUCCIONES</t>
        </is>
      </c>
      <c r="G1397" t="n">
        <v>1</v>
      </c>
      <c r="H1397" s="7" t="n">
        <v>19.9</v>
      </c>
      <c r="I1397" s="7" t="n">
        <v>0</v>
      </c>
      <c r="J1397" s="7" t="n">
        <v>0</v>
      </c>
      <c r="K1397" s="9" t="n">
        <v>0</v>
      </c>
      <c r="L1397" s="10" t="n">
        <v>11.8</v>
      </c>
      <c r="M1397" s="10" t="n">
        <v>1.43</v>
      </c>
      <c r="N1397" t="inlineStr">
        <is>
          <t>1</t>
        </is>
      </c>
      <c r="O1397" t="inlineStr">
        <is>
          <t xml:space="preserve">3 </t>
        </is>
      </c>
      <c r="P1397" t="inlineStr">
        <is>
          <t xml:space="preserve">238606  </t>
        </is>
      </c>
      <c r="Q1397" s="26" t="n">
        <v>19.9</v>
      </c>
      <c r="R1397" s="26">
        <f>Q1397*G1397</f>
        <v/>
      </c>
      <c r="S1397" t="n">
        <v>11.81</v>
      </c>
      <c r="T1397" s="18">
        <f>1 - V1397/S1397</f>
        <v/>
      </c>
      <c r="U1397" s="18" t="n">
        <v>0</v>
      </c>
      <c r="V1397" s="26" t="n">
        <v>11.81</v>
      </c>
      <c r="W1397" s="26">
        <f>V1397 - L1397</f>
        <v/>
      </c>
    </row>
    <row r="1398">
      <c r="A1398" s="11" t="n">
        <v>46217</v>
      </c>
      <c r="B1398" s="1" t="n">
        <v>20057</v>
      </c>
      <c r="C1398" s="1" t="inlineStr">
        <is>
          <t>033</t>
        </is>
      </c>
      <c r="D1398" s="1" t="inlineStr">
        <is>
          <t xml:space="preserve">67094 </t>
        </is>
      </c>
      <c r="E1398" s="1" t="inlineStr">
        <is>
          <t xml:space="preserve">28194770       </t>
        </is>
      </c>
      <c r="F1398" s="5" t="inlineStr">
        <is>
          <t>AUTOS DE METAL 3 TEAMSTERZ EN BLISTER</t>
        </is>
      </c>
      <c r="G1398" t="n">
        <v>1</v>
      </c>
      <c r="H1398" s="7" t="n">
        <v>6.9</v>
      </c>
      <c r="I1398" s="7" t="n">
        <v>0</v>
      </c>
      <c r="J1398" s="7" t="n">
        <v>0</v>
      </c>
      <c r="K1398" s="9" t="n">
        <v>0</v>
      </c>
      <c r="L1398" s="10" t="n">
        <v>4.1</v>
      </c>
      <c r="M1398" s="10" t="n">
        <v>1.43</v>
      </c>
      <c r="N1398" t="inlineStr">
        <is>
          <t>1</t>
        </is>
      </c>
      <c r="O1398" t="inlineStr">
        <is>
          <t xml:space="preserve">3 </t>
        </is>
      </c>
      <c r="P1398" t="inlineStr">
        <is>
          <t xml:space="preserve">240012  </t>
        </is>
      </c>
      <c r="Q1398" s="26" t="n">
        <v>6.9</v>
      </c>
      <c r="R1398" s="26">
        <f>Q1398*G1398</f>
        <v/>
      </c>
      <c r="S1398" t="n">
        <v>4.09</v>
      </c>
      <c r="T1398" s="18">
        <f>1 - V1398/S1398</f>
        <v/>
      </c>
      <c r="U1398" s="18" t="n">
        <v>0</v>
      </c>
      <c r="V1398" s="26" t="n">
        <v>4.09</v>
      </c>
      <c r="W1398" s="26">
        <f>V1398 - L1398</f>
        <v/>
      </c>
    </row>
    <row r="1399">
      <c r="A1399" s="11" t="n">
        <v>46217</v>
      </c>
      <c r="B1399" s="1" t="n">
        <v>20058</v>
      </c>
      <c r="C1399" s="1" t="inlineStr">
        <is>
          <t>038</t>
        </is>
      </c>
      <c r="D1399" s="1" t="inlineStr">
        <is>
          <t>209313</t>
        </is>
      </c>
      <c r="E1399" s="1" t="inlineStr">
        <is>
          <t xml:space="preserve">28194770       </t>
        </is>
      </c>
      <c r="F1399" s="5" t="inlineStr">
        <is>
          <t>AUTOS DE METAL 3 TEAMSTERZ EN BLISTER</t>
        </is>
      </c>
      <c r="G1399" t="n">
        <v>1</v>
      </c>
      <c r="H1399" s="7" t="n">
        <v>6.9</v>
      </c>
      <c r="I1399" s="7" t="n">
        <v>0</v>
      </c>
      <c r="J1399" s="7" t="n">
        <v>0</v>
      </c>
      <c r="K1399" s="9" t="n">
        <v>0</v>
      </c>
      <c r="L1399" s="10" t="n">
        <v>4.1</v>
      </c>
      <c r="M1399" s="10" t="n">
        <v>1.43</v>
      </c>
      <c r="N1399" t="inlineStr">
        <is>
          <t>1</t>
        </is>
      </c>
      <c r="O1399" t="inlineStr">
        <is>
          <t>16</t>
        </is>
      </c>
      <c r="P1399" t="inlineStr">
        <is>
          <t xml:space="preserve">80570   </t>
        </is>
      </c>
      <c r="Q1399" s="26" t="n">
        <v>6.9</v>
      </c>
      <c r="R1399" s="26">
        <f>Q1399*G1399</f>
        <v/>
      </c>
      <c r="S1399" t="n">
        <v>4.09</v>
      </c>
      <c r="T1399" s="18">
        <f>1 - V1399/S1399</f>
        <v/>
      </c>
      <c r="U1399" s="18" t="n">
        <v>0</v>
      </c>
      <c r="V1399" s="26" t="n">
        <v>4.09</v>
      </c>
      <c r="W1399" s="26">
        <f>V1399 - L1399</f>
        <v/>
      </c>
    </row>
    <row r="1400">
      <c r="A1400" s="11" t="n">
        <v>46217</v>
      </c>
      <c r="B1400" s="1" t="n">
        <v>20058</v>
      </c>
      <c r="C1400" s="1" t="inlineStr">
        <is>
          <t>197</t>
        </is>
      </c>
      <c r="D1400" s="1" t="inlineStr">
        <is>
          <t>170098</t>
        </is>
      </c>
      <c r="E1400" s="1" t="inlineStr">
        <is>
          <t xml:space="preserve">29235700       </t>
        </is>
      </c>
      <c r="F1400" s="5" t="inlineStr">
        <is>
          <t>HOT WHEELS CASE METALICO PARA GUARDAR 18 CARRITOS</t>
        </is>
      </c>
      <c r="G1400" t="n">
        <v>1</v>
      </c>
      <c r="H1400" s="7" t="n">
        <v>49.9</v>
      </c>
      <c r="I1400" s="7" t="n">
        <v>0</v>
      </c>
      <c r="J1400" s="7" t="n">
        <v>0</v>
      </c>
      <c r="K1400" s="9" t="n">
        <v>0</v>
      </c>
      <c r="L1400" s="10" t="n">
        <v>29.6</v>
      </c>
      <c r="M1400" s="10" t="n">
        <v>1.43</v>
      </c>
      <c r="N1400" t="inlineStr">
        <is>
          <t>1</t>
        </is>
      </c>
      <c r="O1400" t="inlineStr">
        <is>
          <t>16</t>
        </is>
      </c>
      <c r="P1400" t="inlineStr">
        <is>
          <t xml:space="preserve">92832   </t>
        </is>
      </c>
      <c r="Q1400" s="26" t="n">
        <v>49.90000000000001</v>
      </c>
      <c r="R1400" s="26">
        <f>Q1400*G1400</f>
        <v/>
      </c>
      <c r="S1400" t="n">
        <v>29.6</v>
      </c>
      <c r="T1400" s="18">
        <f>1 - V1400/S1400</f>
        <v/>
      </c>
      <c r="U1400" s="18" t="n">
        <v>0</v>
      </c>
      <c r="V1400" s="26" t="n">
        <v>29.6</v>
      </c>
      <c r="W1400" s="26">
        <f>V1400 - L1400</f>
        <v/>
      </c>
    </row>
    <row r="1401">
      <c r="A1401" s="11" t="n">
        <v>46217</v>
      </c>
      <c r="B1401" s="1" t="n">
        <v>20058</v>
      </c>
      <c r="C1401" s="1" t="inlineStr">
        <is>
          <t>197</t>
        </is>
      </c>
      <c r="D1401" s="1" t="inlineStr">
        <is>
          <t>170131</t>
        </is>
      </c>
      <c r="E1401" s="1" t="inlineStr">
        <is>
          <t xml:space="preserve">32457099       </t>
        </is>
      </c>
      <c r="F1401" s="5" t="inlineStr">
        <is>
          <t>TMZ BEAST MACHINES MONSTER JAWS A FRICCION BLISTER</t>
        </is>
      </c>
      <c r="G1401" t="n">
        <v>1</v>
      </c>
      <c r="H1401" s="7" t="n">
        <v>19.9</v>
      </c>
      <c r="I1401" s="7" t="n">
        <v>0</v>
      </c>
      <c r="J1401" s="7" t="n">
        <v>0</v>
      </c>
      <c r="K1401" s="9" t="n">
        <v>0</v>
      </c>
      <c r="L1401" s="10" t="n">
        <v>11.8</v>
      </c>
      <c r="M1401" s="10" t="n">
        <v>1.43</v>
      </c>
      <c r="N1401" t="inlineStr">
        <is>
          <t>1</t>
        </is>
      </c>
      <c r="O1401" t="inlineStr">
        <is>
          <t xml:space="preserve">3 </t>
        </is>
      </c>
      <c r="P1401" t="inlineStr">
        <is>
          <t xml:space="preserve">92832   </t>
        </is>
      </c>
      <c r="Q1401" s="26" t="n">
        <v>19.9</v>
      </c>
      <c r="R1401" s="26">
        <f>Q1401*G1401</f>
        <v/>
      </c>
      <c r="S1401" t="n">
        <v>11.81</v>
      </c>
      <c r="T1401" s="18">
        <f>1 - V1401/S1401</f>
        <v/>
      </c>
      <c r="U1401" s="18" t="n">
        <v>0.1005025125628141</v>
      </c>
      <c r="V1401" s="26" t="n">
        <v>8.417118644067797</v>
      </c>
      <c r="W1401" s="26">
        <f>V1401 - L1401</f>
        <v/>
      </c>
    </row>
    <row r="1402">
      <c r="A1402" s="11" t="n">
        <v>46217</v>
      </c>
      <c r="B1402" s="1" t="n">
        <v>20060</v>
      </c>
      <c r="C1402" s="1" t="inlineStr">
        <is>
          <t>303</t>
        </is>
      </c>
      <c r="D1402" s="1" t="inlineStr">
        <is>
          <t xml:space="preserve">2277  </t>
        </is>
      </c>
      <c r="E1402" s="1" t="inlineStr">
        <is>
          <t xml:space="preserve">33661538       </t>
        </is>
      </c>
      <c r="F1402" s="5" t="inlineStr">
        <is>
          <t>HOT WHEELS CASE GARAGE RUEDA METAL EN LLAMAS X 29</t>
        </is>
      </c>
      <c r="G1402" t="n">
        <v>1</v>
      </c>
      <c r="H1402" s="7" t="n">
        <v>62.9</v>
      </c>
      <c r="I1402" s="7" t="n">
        <v>0</v>
      </c>
      <c r="J1402" s="7" t="n">
        <v>0</v>
      </c>
      <c r="K1402" s="9" t="n">
        <v>0</v>
      </c>
      <c r="L1402" s="10" t="n">
        <v>37.32</v>
      </c>
      <c r="M1402" s="10" t="n">
        <v>1.43</v>
      </c>
      <c r="N1402" t="inlineStr">
        <is>
          <t>1</t>
        </is>
      </c>
      <c r="O1402" t="inlineStr">
        <is>
          <t xml:space="preserve">3 </t>
        </is>
      </c>
      <c r="P1402" t="inlineStr">
        <is>
          <t>82807346</t>
        </is>
      </c>
      <c r="Q1402" s="26" t="n">
        <v>69.90000000000001</v>
      </c>
      <c r="R1402" s="26">
        <f>Q1402*G1402</f>
        <v/>
      </c>
      <c r="S1402" t="n">
        <v>41.47</v>
      </c>
      <c r="T1402" s="18">
        <f>1 - V1402/S1402</f>
        <v/>
      </c>
      <c r="U1402" s="18" t="n">
        <v>0</v>
      </c>
      <c r="V1402" s="26" t="n">
        <v>41.47</v>
      </c>
      <c r="W1402" s="26">
        <f>V1402 - L1402</f>
        <v/>
      </c>
    </row>
    <row r="1403">
      <c r="A1403" s="11" t="n">
        <v>46217</v>
      </c>
      <c r="B1403" s="1" t="n">
        <v>20062</v>
      </c>
      <c r="C1403" s="1" t="inlineStr">
        <is>
          <t>053</t>
        </is>
      </c>
      <c r="D1403" s="1" t="inlineStr">
        <is>
          <t>243180</t>
        </is>
      </c>
      <c r="E1403" s="1" t="inlineStr">
        <is>
          <t xml:space="preserve">28194767       </t>
        </is>
      </c>
      <c r="F1403" s="5" t="inlineStr">
        <is>
          <t>CAMIONES TEAMSTERZ DE EMERGENCIA</t>
        </is>
      </c>
      <c r="G1403" t="n">
        <v>1</v>
      </c>
      <c r="H1403" s="7" t="n">
        <v>17.9</v>
      </c>
      <c r="I1403" s="7" t="n">
        <v>0</v>
      </c>
      <c r="J1403" s="7" t="n">
        <v>0</v>
      </c>
      <c r="K1403" s="9" t="n">
        <v>0</v>
      </c>
      <c r="L1403" s="10" t="n">
        <v>10.62</v>
      </c>
      <c r="M1403" s="10" t="n">
        <v>1.43</v>
      </c>
      <c r="N1403" t="inlineStr">
        <is>
          <t>1</t>
        </is>
      </c>
      <c r="O1403" t="inlineStr">
        <is>
          <t xml:space="preserve">3 </t>
        </is>
      </c>
      <c r="P1403" t="inlineStr">
        <is>
          <t xml:space="preserve">88849   </t>
        </is>
      </c>
      <c r="Q1403" s="26" t="n">
        <v>17.9</v>
      </c>
      <c r="R1403" s="26">
        <f>Q1403*G1403</f>
        <v/>
      </c>
      <c r="S1403" t="n">
        <v>10.62</v>
      </c>
      <c r="T1403" s="18">
        <f>1 - V1403/S1403</f>
        <v/>
      </c>
      <c r="U1403" s="18" t="n">
        <v>0</v>
      </c>
      <c r="V1403" s="26" t="n">
        <v>10.62</v>
      </c>
      <c r="W1403" s="26">
        <f>V1403 - L1403</f>
        <v/>
      </c>
    </row>
    <row r="1404">
      <c r="A1404" s="11" t="n">
        <v>46217</v>
      </c>
      <c r="B1404" s="1" t="n">
        <v>20062</v>
      </c>
      <c r="C1404" s="1" t="inlineStr">
        <is>
          <t>053</t>
        </is>
      </c>
      <c r="D1404" s="1" t="inlineStr">
        <is>
          <t>243180</t>
        </is>
      </c>
      <c r="E1404" s="1" t="inlineStr">
        <is>
          <t xml:space="preserve">31959956       </t>
        </is>
      </c>
      <c r="F1404" s="5" t="inlineStr">
        <is>
          <t>TEAMSTERZ CAMION TRANSPORTA ANIMALES SURTIDO</t>
        </is>
      </c>
      <c r="G1404" t="n">
        <v>1</v>
      </c>
      <c r="H1404" s="7" t="n">
        <v>17.9</v>
      </c>
      <c r="I1404" s="7" t="n">
        <v>0</v>
      </c>
      <c r="J1404" s="7" t="n">
        <v>0</v>
      </c>
      <c r="K1404" s="9" t="n">
        <v>0</v>
      </c>
      <c r="L1404" s="10" t="n">
        <v>10.62</v>
      </c>
      <c r="M1404" s="10" t="n">
        <v>1.43</v>
      </c>
      <c r="N1404" t="inlineStr">
        <is>
          <t>1</t>
        </is>
      </c>
      <c r="O1404" t="inlineStr">
        <is>
          <t xml:space="preserve">3 </t>
        </is>
      </c>
      <c r="P1404" t="inlineStr">
        <is>
          <t xml:space="preserve">88849   </t>
        </is>
      </c>
      <c r="Q1404" s="26" t="n">
        <v>17.9</v>
      </c>
      <c r="R1404" s="26">
        <f>Q1404*G1404</f>
        <v/>
      </c>
      <c r="S1404" t="n">
        <v>10.62</v>
      </c>
      <c r="T1404" s="18">
        <f>1 - V1404/S1404</f>
        <v/>
      </c>
      <c r="U1404" s="18" t="n">
        <v>0</v>
      </c>
      <c r="V1404" s="26" t="n">
        <v>10.62</v>
      </c>
      <c r="W1404" s="26">
        <f>V1404 - L1404</f>
        <v/>
      </c>
    </row>
    <row r="1405">
      <c r="A1405" s="11" t="n">
        <v>46217</v>
      </c>
      <c r="B1405" s="1" t="n">
        <v>20066</v>
      </c>
      <c r="C1405" s="1" t="inlineStr">
        <is>
          <t>052</t>
        </is>
      </c>
      <c r="D1405" s="1" t="inlineStr">
        <is>
          <t>320424</t>
        </is>
      </c>
      <c r="E1405" s="1" t="inlineStr">
        <is>
          <t xml:space="preserve">28194770       </t>
        </is>
      </c>
      <c r="F1405" s="5" t="inlineStr">
        <is>
          <t>AUTOS DE METAL 3 TEAMSTERZ EN BLISTER</t>
        </is>
      </c>
      <c r="G1405" t="n">
        <v>1</v>
      </c>
      <c r="H1405" s="7" t="n">
        <v>6.9</v>
      </c>
      <c r="I1405" s="7" t="n">
        <v>0</v>
      </c>
      <c r="J1405" s="7" t="n">
        <v>0</v>
      </c>
      <c r="K1405" s="9" t="n">
        <v>0</v>
      </c>
      <c r="L1405" s="10" t="n">
        <v>4.1</v>
      </c>
      <c r="M1405" s="10" t="n">
        <v>1.43</v>
      </c>
      <c r="N1405" t="inlineStr">
        <is>
          <t>1</t>
        </is>
      </c>
      <c r="O1405" t="inlineStr">
        <is>
          <t>16</t>
        </is>
      </c>
      <c r="P1405" t="inlineStr">
        <is>
          <t xml:space="preserve">57030   </t>
        </is>
      </c>
      <c r="Q1405" s="26" t="n">
        <v>6.9</v>
      </c>
      <c r="R1405" s="26">
        <f>Q1405*G1405</f>
        <v/>
      </c>
      <c r="S1405" t="n">
        <v>4.09</v>
      </c>
      <c r="T1405" s="18">
        <f>1 - V1405/S1405</f>
        <v/>
      </c>
      <c r="U1405" s="18" t="n">
        <v>0</v>
      </c>
      <c r="V1405" s="26" t="n">
        <v>4.09</v>
      </c>
      <c r="W1405" s="26">
        <f>V1405 - L1405</f>
        <v/>
      </c>
    </row>
    <row r="1406">
      <c r="A1406" s="11" t="n">
        <v>46217</v>
      </c>
      <c r="B1406" s="1" t="n">
        <v>20066</v>
      </c>
      <c r="C1406" s="1" t="inlineStr">
        <is>
          <t>052</t>
        </is>
      </c>
      <c r="D1406" s="1" t="inlineStr">
        <is>
          <t>320424</t>
        </is>
      </c>
      <c r="E1406" s="1" t="inlineStr">
        <is>
          <t xml:space="preserve">28194770       </t>
        </is>
      </c>
      <c r="F1406" s="5" t="inlineStr">
        <is>
          <t>AUTOS DE METAL 3 TEAMSTERZ EN BLISTER</t>
        </is>
      </c>
      <c r="G1406" t="n">
        <v>1</v>
      </c>
      <c r="H1406" s="7" t="n">
        <v>6.9</v>
      </c>
      <c r="I1406" s="7" t="n">
        <v>0</v>
      </c>
      <c r="J1406" s="7" t="n">
        <v>0</v>
      </c>
      <c r="K1406" s="9" t="n">
        <v>0</v>
      </c>
      <c r="L1406" s="10" t="n">
        <v>4.1</v>
      </c>
      <c r="M1406" s="10" t="n">
        <v>1.43</v>
      </c>
      <c r="N1406" t="inlineStr">
        <is>
          <t>1</t>
        </is>
      </c>
      <c r="O1406" t="inlineStr">
        <is>
          <t>16</t>
        </is>
      </c>
      <c r="P1406" t="inlineStr">
        <is>
          <t xml:space="preserve">57030   </t>
        </is>
      </c>
      <c r="Q1406" s="26" t="n">
        <v>6.9</v>
      </c>
      <c r="R1406" s="26">
        <f>Q1406*G1406</f>
        <v/>
      </c>
      <c r="S1406" t="n">
        <v>4.09</v>
      </c>
      <c r="T1406" s="18">
        <f>1 - V1406/S1406</f>
        <v/>
      </c>
      <c r="U1406" s="18" t="n">
        <v>0</v>
      </c>
      <c r="V1406" s="26" t="n">
        <v>4.09</v>
      </c>
      <c r="W1406" s="26">
        <f>V1406 - L1406</f>
        <v/>
      </c>
    </row>
    <row r="1407">
      <c r="A1407" s="11" t="n">
        <v>46217</v>
      </c>
      <c r="B1407" s="1" t="n">
        <v>20073</v>
      </c>
      <c r="C1407" s="1" t="inlineStr">
        <is>
          <t>045</t>
        </is>
      </c>
      <c r="D1407" s="1" t="inlineStr">
        <is>
          <t>149593</t>
        </is>
      </c>
      <c r="E1407" s="1" t="inlineStr">
        <is>
          <t xml:space="preserve">28194770       </t>
        </is>
      </c>
      <c r="F1407" s="5" t="inlineStr">
        <is>
          <t>AUTOS DE METAL 3 TEAMSTERZ EN BLISTER</t>
        </is>
      </c>
      <c r="G1407" t="n">
        <v>1</v>
      </c>
      <c r="H1407" s="7" t="n">
        <v>6.9</v>
      </c>
      <c r="I1407" s="7" t="n">
        <v>0</v>
      </c>
      <c r="J1407" s="7" t="n">
        <v>0</v>
      </c>
      <c r="K1407" s="9" t="n">
        <v>0</v>
      </c>
      <c r="L1407" s="10" t="n">
        <v>4.1</v>
      </c>
      <c r="M1407" s="10" t="n">
        <v>1.43</v>
      </c>
      <c r="N1407" t="inlineStr">
        <is>
          <t>1</t>
        </is>
      </c>
      <c r="O1407" t="inlineStr">
        <is>
          <t xml:space="preserve">2 </t>
        </is>
      </c>
      <c r="P1407" t="inlineStr">
        <is>
          <t xml:space="preserve">57886   </t>
        </is>
      </c>
      <c r="Q1407" s="26" t="n">
        <v>6.9</v>
      </c>
      <c r="R1407" s="26">
        <f>Q1407*G1407</f>
        <v/>
      </c>
      <c r="S1407" t="n">
        <v>4.09</v>
      </c>
      <c r="T1407" s="18">
        <f>1 - V1407/S1407</f>
        <v/>
      </c>
      <c r="U1407" s="18" t="n">
        <v>0</v>
      </c>
      <c r="V1407" s="26" t="n">
        <v>4.09</v>
      </c>
      <c r="W1407" s="26">
        <f>V1407 - L1407</f>
        <v/>
      </c>
    </row>
    <row r="1408">
      <c r="A1408" s="11" t="n">
        <v>46217</v>
      </c>
      <c r="B1408" s="1" t="n">
        <v>20073</v>
      </c>
      <c r="C1408" s="1" t="inlineStr">
        <is>
          <t>045</t>
        </is>
      </c>
      <c r="D1408" s="1" t="inlineStr">
        <is>
          <t>149597</t>
        </is>
      </c>
      <c r="E1408" s="1" t="inlineStr">
        <is>
          <t xml:space="preserve">32457099       </t>
        </is>
      </c>
      <c r="F1408" s="5" t="inlineStr">
        <is>
          <t>TMZ BEAST MACHINES MONSTER JAWS A FRICCION BLISTER</t>
        </is>
      </c>
      <c r="G1408" t="n">
        <v>1</v>
      </c>
      <c r="H1408" s="7" t="n">
        <v>19.9</v>
      </c>
      <c r="I1408" s="7" t="n">
        <v>0</v>
      </c>
      <c r="J1408" s="7" t="n">
        <v>0</v>
      </c>
      <c r="K1408" s="9" t="n">
        <v>0</v>
      </c>
      <c r="L1408" s="10" t="n">
        <v>11.8</v>
      </c>
      <c r="M1408" s="10" t="n">
        <v>1.43</v>
      </c>
      <c r="N1408" t="inlineStr">
        <is>
          <t>1</t>
        </is>
      </c>
      <c r="O1408" t="inlineStr">
        <is>
          <t>16</t>
        </is>
      </c>
      <c r="P1408" t="inlineStr">
        <is>
          <t xml:space="preserve">57886   </t>
        </is>
      </c>
      <c r="Q1408" s="26" t="n">
        <v>19.9</v>
      </c>
      <c r="R1408" s="26">
        <f>Q1408*G1408</f>
        <v/>
      </c>
      <c r="S1408" t="n">
        <v>11.81</v>
      </c>
      <c r="T1408" s="18">
        <f>1 - V1408/S1408</f>
        <v/>
      </c>
      <c r="U1408" s="18" t="n">
        <v>0.1005025125628141</v>
      </c>
      <c r="V1408" s="26" t="n">
        <v>8.417118644067797</v>
      </c>
      <c r="W1408" s="26">
        <f>V1408 - L1408</f>
        <v/>
      </c>
    </row>
    <row r="1409">
      <c r="A1409" s="11" t="n">
        <v>46217</v>
      </c>
      <c r="B1409" s="1" t="n">
        <v>20073</v>
      </c>
      <c r="C1409" s="1" t="inlineStr">
        <is>
          <t>046</t>
        </is>
      </c>
      <c r="D1409" s="1" t="inlineStr">
        <is>
          <t>207585</t>
        </is>
      </c>
      <c r="E1409" s="1" t="inlineStr">
        <is>
          <t xml:space="preserve">28194770       </t>
        </is>
      </c>
      <c r="F1409" s="5" t="inlineStr">
        <is>
          <t>AUTOS DE METAL 3 TEAMSTERZ EN BLISTER</t>
        </is>
      </c>
      <c r="G1409" t="n">
        <v>1</v>
      </c>
      <c r="H1409" s="7" t="n">
        <v>6.9</v>
      </c>
      <c r="I1409" s="7" t="n">
        <v>0</v>
      </c>
      <c r="J1409" s="7" t="n">
        <v>0</v>
      </c>
      <c r="K1409" s="9" t="n">
        <v>0</v>
      </c>
      <c r="L1409" s="10" t="n">
        <v>4.1</v>
      </c>
      <c r="M1409" s="10" t="n">
        <v>1.43</v>
      </c>
      <c r="N1409" t="inlineStr">
        <is>
          <t>1</t>
        </is>
      </c>
      <c r="O1409" t="inlineStr">
        <is>
          <t>16</t>
        </is>
      </c>
      <c r="P1409" t="inlineStr">
        <is>
          <t xml:space="preserve">74879   </t>
        </is>
      </c>
      <c r="Q1409" s="26" t="n">
        <v>6.9</v>
      </c>
      <c r="R1409" s="26">
        <f>Q1409*G1409</f>
        <v/>
      </c>
      <c r="S1409" t="n">
        <v>4.09</v>
      </c>
      <c r="T1409" s="18">
        <f>1 - V1409/S1409</f>
        <v/>
      </c>
      <c r="U1409" s="18" t="n">
        <v>0</v>
      </c>
      <c r="V1409" s="26" t="n">
        <v>4.09</v>
      </c>
      <c r="W1409" s="26">
        <f>V1409 - L1409</f>
        <v/>
      </c>
    </row>
    <row r="1410">
      <c r="A1410" s="11" t="n">
        <v>46217</v>
      </c>
      <c r="B1410" s="1" t="n">
        <v>20074</v>
      </c>
      <c r="C1410" s="1" t="inlineStr">
        <is>
          <t>039</t>
        </is>
      </c>
      <c r="D1410" s="1" t="inlineStr">
        <is>
          <t xml:space="preserve">30742 </t>
        </is>
      </c>
      <c r="E1410" s="1" t="inlineStr">
        <is>
          <t xml:space="preserve">32457099       </t>
        </is>
      </c>
      <c r="F1410" s="5" t="inlineStr">
        <is>
          <t>TMZ BEAST MACHINES MONSTER JAWS A FRICCION BLISTER</t>
        </is>
      </c>
      <c r="G1410" t="n">
        <v>1</v>
      </c>
      <c r="H1410" s="7" t="n">
        <v>19.9</v>
      </c>
      <c r="I1410" s="7" t="n">
        <v>0</v>
      </c>
      <c r="J1410" s="7" t="n">
        <v>0</v>
      </c>
      <c r="K1410" s="9" t="n">
        <v>0</v>
      </c>
      <c r="L1410" s="10" t="n">
        <v>11.8</v>
      </c>
      <c r="M1410" s="10" t="n">
        <v>1.43</v>
      </c>
      <c r="N1410" t="inlineStr">
        <is>
          <t>1</t>
        </is>
      </c>
      <c r="O1410" t="inlineStr">
        <is>
          <t>16</t>
        </is>
      </c>
      <c r="P1410" t="inlineStr">
        <is>
          <t xml:space="preserve">250534  </t>
        </is>
      </c>
      <c r="Q1410" s="26" t="n">
        <v>19.9</v>
      </c>
      <c r="R1410" s="26">
        <f>Q1410*G1410</f>
        <v/>
      </c>
      <c r="S1410" t="n">
        <v>11.81</v>
      </c>
      <c r="T1410" s="18">
        <f>1 - V1410/S1410</f>
        <v/>
      </c>
      <c r="U1410" s="18" t="n">
        <v>0.1005025125628141</v>
      </c>
      <c r="V1410" s="26" t="n">
        <v>8.417118644067797</v>
      </c>
      <c r="W1410" s="26">
        <f>V1410 - L1410</f>
        <v/>
      </c>
    </row>
    <row r="1411">
      <c r="A1411" s="11" t="n">
        <v>46217</v>
      </c>
      <c r="B1411" s="1" t="n">
        <v>20074</v>
      </c>
      <c r="C1411" s="1" t="inlineStr">
        <is>
          <t>044</t>
        </is>
      </c>
      <c r="D1411" s="1" t="inlineStr">
        <is>
          <t xml:space="preserve">30330 </t>
        </is>
      </c>
      <c r="E1411" s="1" t="inlineStr">
        <is>
          <t xml:space="preserve">28194770       </t>
        </is>
      </c>
      <c r="F1411" s="5" t="inlineStr">
        <is>
          <t>AUTOS DE METAL 3 TEAMSTERZ EN BLISTER</t>
        </is>
      </c>
      <c r="G1411" t="n">
        <v>1</v>
      </c>
      <c r="H1411" s="7" t="n">
        <v>6.9</v>
      </c>
      <c r="I1411" s="7" t="n">
        <v>0</v>
      </c>
      <c r="J1411" s="7" t="n">
        <v>0</v>
      </c>
      <c r="K1411" s="9" t="n">
        <v>0</v>
      </c>
      <c r="L1411" s="10" t="n">
        <v>4.1</v>
      </c>
      <c r="M1411" s="10" t="n">
        <v>1.43</v>
      </c>
      <c r="N1411" t="inlineStr">
        <is>
          <t>1</t>
        </is>
      </c>
      <c r="O1411" t="inlineStr">
        <is>
          <t>16</t>
        </is>
      </c>
      <c r="P1411" t="inlineStr">
        <is>
          <t xml:space="preserve">104416  </t>
        </is>
      </c>
      <c r="Q1411" s="26" t="n">
        <v>6.9</v>
      </c>
      <c r="R1411" s="26">
        <f>Q1411*G1411</f>
        <v/>
      </c>
      <c r="S1411" t="n">
        <v>4.09</v>
      </c>
      <c r="T1411" s="18">
        <f>1 - V1411/S1411</f>
        <v/>
      </c>
      <c r="U1411" s="18" t="n">
        <v>0</v>
      </c>
      <c r="V1411" s="26" t="n">
        <v>4.09</v>
      </c>
      <c r="W1411" s="26">
        <f>V1411 - L1411</f>
        <v/>
      </c>
    </row>
    <row r="1412">
      <c r="A1412" s="11" t="n">
        <v>46217</v>
      </c>
      <c r="B1412" s="1" t="n">
        <v>20074</v>
      </c>
      <c r="C1412" s="1" t="inlineStr">
        <is>
          <t>048</t>
        </is>
      </c>
      <c r="D1412" s="1" t="inlineStr">
        <is>
          <t>145056</t>
        </is>
      </c>
      <c r="E1412" s="1" t="inlineStr">
        <is>
          <t xml:space="preserve">28194770       </t>
        </is>
      </c>
      <c r="F1412" s="5" t="inlineStr">
        <is>
          <t>AUTOS DE METAL 3 TEAMSTERZ EN BLISTER</t>
        </is>
      </c>
      <c r="G1412" t="n">
        <v>1</v>
      </c>
      <c r="H1412" s="7" t="n">
        <v>6.9</v>
      </c>
      <c r="I1412" s="7" t="n">
        <v>0</v>
      </c>
      <c r="J1412" s="7" t="n">
        <v>0</v>
      </c>
      <c r="K1412" s="9" t="n">
        <v>0</v>
      </c>
      <c r="L1412" s="10" t="n">
        <v>4.1</v>
      </c>
      <c r="M1412" s="10" t="n">
        <v>1.43</v>
      </c>
      <c r="N1412" t="inlineStr">
        <is>
          <t>1</t>
        </is>
      </c>
      <c r="O1412" t="inlineStr">
        <is>
          <t>16</t>
        </is>
      </c>
      <c r="P1412" t="inlineStr">
        <is>
          <t xml:space="preserve">248567  </t>
        </is>
      </c>
      <c r="Q1412" s="26" t="n">
        <v>6.9</v>
      </c>
      <c r="R1412" s="26">
        <f>Q1412*G1412</f>
        <v/>
      </c>
      <c r="S1412" t="n">
        <v>4.09</v>
      </c>
      <c r="T1412" s="18">
        <f>1 - V1412/S1412</f>
        <v/>
      </c>
      <c r="U1412" s="18" t="n">
        <v>0</v>
      </c>
      <c r="V1412" s="26" t="n">
        <v>4.09</v>
      </c>
      <c r="W1412" s="26">
        <f>V1412 - L1412</f>
        <v/>
      </c>
    </row>
    <row r="1413">
      <c r="A1413" s="11" t="n">
        <v>46217</v>
      </c>
      <c r="B1413" s="1" t="n">
        <v>20074</v>
      </c>
      <c r="C1413" s="1" t="inlineStr">
        <is>
          <t>048</t>
        </is>
      </c>
      <c r="D1413" s="1" t="inlineStr">
        <is>
          <t>145056</t>
        </is>
      </c>
      <c r="E1413" s="1" t="inlineStr">
        <is>
          <t xml:space="preserve">28194770       </t>
        </is>
      </c>
      <c r="F1413" s="5" t="inlineStr">
        <is>
          <t>AUTOS DE METAL 3 TEAMSTERZ EN BLISTER</t>
        </is>
      </c>
      <c r="G1413" t="n">
        <v>1</v>
      </c>
      <c r="H1413" s="7" t="n">
        <v>6.9</v>
      </c>
      <c r="I1413" s="7" t="n">
        <v>0</v>
      </c>
      <c r="J1413" s="7" t="n">
        <v>0</v>
      </c>
      <c r="K1413" s="9" t="n">
        <v>0</v>
      </c>
      <c r="L1413" s="10" t="n">
        <v>4.1</v>
      </c>
      <c r="M1413" s="10" t="n">
        <v>1.43</v>
      </c>
      <c r="N1413" t="inlineStr">
        <is>
          <t>1</t>
        </is>
      </c>
      <c r="O1413" t="inlineStr">
        <is>
          <t>16</t>
        </is>
      </c>
      <c r="P1413" t="inlineStr">
        <is>
          <t xml:space="preserve">248567  </t>
        </is>
      </c>
      <c r="Q1413" s="26" t="n">
        <v>6.9</v>
      </c>
      <c r="R1413" s="26">
        <f>Q1413*G1413</f>
        <v/>
      </c>
      <c r="S1413" t="n">
        <v>4.09</v>
      </c>
      <c r="T1413" s="18">
        <f>1 - V1413/S1413</f>
        <v/>
      </c>
      <c r="U1413" s="18" t="n">
        <v>0</v>
      </c>
      <c r="V1413" s="26" t="n">
        <v>4.09</v>
      </c>
      <c r="W1413" s="26">
        <f>V1413 - L1413</f>
        <v/>
      </c>
    </row>
    <row r="1414">
      <c r="A1414" s="11" t="n">
        <v>46217</v>
      </c>
      <c r="B1414" s="1" t="n">
        <v>20074</v>
      </c>
      <c r="C1414" s="1" t="inlineStr">
        <is>
          <t>048</t>
        </is>
      </c>
      <c r="D1414" s="1" t="inlineStr">
        <is>
          <t>145078</t>
        </is>
      </c>
      <c r="E1414" s="1" t="inlineStr">
        <is>
          <t xml:space="preserve">31959961       </t>
        </is>
      </c>
      <c r="F1414" s="5" t="inlineStr">
        <is>
          <t>TEAMSTERZ CAMBIA DE COLOR PACK DE 3 AUTOS</t>
        </is>
      </c>
      <c r="G1414" t="n">
        <v>1</v>
      </c>
      <c r="H1414" s="7" t="n">
        <v>49.9</v>
      </c>
      <c r="I1414" s="7" t="n">
        <v>0</v>
      </c>
      <c r="J1414" s="7" t="n">
        <v>0</v>
      </c>
      <c r="K1414" s="9" t="n">
        <v>0</v>
      </c>
      <c r="L1414" s="10" t="n">
        <v>29.6</v>
      </c>
      <c r="M1414" s="10" t="n">
        <v>1.43</v>
      </c>
      <c r="N1414" t="inlineStr">
        <is>
          <t>1</t>
        </is>
      </c>
      <c r="O1414" t="inlineStr">
        <is>
          <t xml:space="preserve">2 </t>
        </is>
      </c>
      <c r="P1414" t="inlineStr">
        <is>
          <t xml:space="preserve">248567  </t>
        </is>
      </c>
      <c r="Q1414" s="26" t="n">
        <v>49.9</v>
      </c>
      <c r="R1414" s="26">
        <f>Q1414*G1414</f>
        <v/>
      </c>
      <c r="S1414" t="n">
        <v>29.6</v>
      </c>
      <c r="T1414" s="18">
        <f>1 - V1414/S1414</f>
        <v/>
      </c>
      <c r="U1414" s="18" t="n">
        <v>0</v>
      </c>
      <c r="V1414" s="26" t="n">
        <v>29.6</v>
      </c>
      <c r="W1414" s="26">
        <f>V1414 - L1414</f>
        <v/>
      </c>
    </row>
    <row r="1415">
      <c r="A1415" s="11" t="n">
        <v>46217</v>
      </c>
      <c r="B1415" s="1" t="n">
        <v>20077</v>
      </c>
      <c r="C1415" s="1" t="inlineStr">
        <is>
          <t>038</t>
        </is>
      </c>
      <c r="D1415" s="1" t="inlineStr">
        <is>
          <t>111320</t>
        </is>
      </c>
      <c r="E1415" s="1" t="inlineStr">
        <is>
          <t xml:space="preserve">34840526       </t>
        </is>
      </c>
      <c r="F1415" s="5" t="inlineStr">
        <is>
          <t>NENUCO ABRACITOS</t>
        </is>
      </c>
      <c r="G1415" t="n">
        <v>1</v>
      </c>
      <c r="H1415" s="7" t="n">
        <v>119</v>
      </c>
      <c r="I1415" s="7" t="n">
        <v>0</v>
      </c>
      <c r="J1415" s="7" t="n">
        <v>0</v>
      </c>
      <c r="K1415" s="9" t="n">
        <v>0</v>
      </c>
      <c r="L1415" s="10" t="n">
        <v>70.59999999999999</v>
      </c>
      <c r="M1415" s="10" t="n">
        <v>1.43</v>
      </c>
      <c r="N1415" t="inlineStr">
        <is>
          <t>1</t>
        </is>
      </c>
      <c r="O1415" t="inlineStr">
        <is>
          <t xml:space="preserve">3 </t>
        </is>
      </c>
      <c r="P1415" t="inlineStr">
        <is>
          <t xml:space="preserve">43583   </t>
        </is>
      </c>
      <c r="Q1415" s="26" t="n">
        <v>119</v>
      </c>
      <c r="R1415" s="26">
        <f>Q1415*G1415</f>
        <v/>
      </c>
      <c r="S1415" t="n">
        <v>70.59</v>
      </c>
      <c r="T1415" s="18">
        <f>1 - V1415/S1415</f>
        <v/>
      </c>
      <c r="U1415" s="18" t="n">
        <v>0.2445378151260503</v>
      </c>
      <c r="V1415" s="26" t="n">
        <v>60.94915254237289</v>
      </c>
      <c r="W1415" s="26">
        <f>V1415 - L1415</f>
        <v/>
      </c>
    </row>
    <row r="1416">
      <c r="A1416" s="11" t="n">
        <v>46217</v>
      </c>
      <c r="B1416" s="1" t="n">
        <v>20077</v>
      </c>
      <c r="C1416" s="1" t="inlineStr">
        <is>
          <t>802</t>
        </is>
      </c>
      <c r="D1416" s="1" t="inlineStr">
        <is>
          <t xml:space="preserve">6373  </t>
        </is>
      </c>
      <c r="E1416" s="1" t="inlineStr">
        <is>
          <t xml:space="preserve">35685067       </t>
        </is>
      </c>
      <c r="F1416" s="5" t="inlineStr">
        <is>
          <t>HOT WHEELS POWER SET 3 EN 1</t>
        </is>
      </c>
      <c r="G1416" t="n">
        <v>1</v>
      </c>
      <c r="H1416" s="7" t="n">
        <v>49.9</v>
      </c>
      <c r="I1416" s="7" t="n">
        <v>0</v>
      </c>
      <c r="J1416" s="7" t="n">
        <v>0</v>
      </c>
      <c r="K1416" s="9" t="n">
        <v>0</v>
      </c>
      <c r="L1416" s="10" t="n">
        <v>29.6</v>
      </c>
      <c r="M1416" s="10" t="n">
        <v>1.43</v>
      </c>
      <c r="N1416" t="inlineStr">
        <is>
          <t>1</t>
        </is>
      </c>
      <c r="O1416" t="inlineStr">
        <is>
          <t>16</t>
        </is>
      </c>
      <c r="P1416" t="inlineStr">
        <is>
          <t xml:space="preserve">0       </t>
        </is>
      </c>
      <c r="Q1416" s="26" t="n">
        <v>49.9</v>
      </c>
      <c r="R1416" s="26">
        <f>Q1416*G1416</f>
        <v/>
      </c>
      <c r="S1416" t="n">
        <v>29.6</v>
      </c>
      <c r="T1416" s="18">
        <f>1 - V1416/S1416</f>
        <v/>
      </c>
      <c r="U1416" s="18" t="n">
        <v>0</v>
      </c>
      <c r="V1416" s="26" t="n">
        <v>29.6</v>
      </c>
      <c r="W1416" s="26">
        <f>V1416 - L1416</f>
        <v/>
      </c>
    </row>
    <row r="1417">
      <c r="A1417" s="11" t="n">
        <v>46217</v>
      </c>
      <c r="B1417" s="1" t="n">
        <v>20079</v>
      </c>
      <c r="C1417" s="1" t="inlineStr">
        <is>
          <t>051</t>
        </is>
      </c>
      <c r="D1417" s="1" t="inlineStr">
        <is>
          <t>235939</t>
        </is>
      </c>
      <c r="E1417" s="1" t="inlineStr">
        <is>
          <t xml:space="preserve">28194780       </t>
        </is>
      </c>
      <c r="F1417" s="5" t="inlineStr">
        <is>
          <t>TROMPO BATALLA INFINITY NADO PLSTICO SURTIDO</t>
        </is>
      </c>
      <c r="G1417" t="n">
        <v>1</v>
      </c>
      <c r="H1417" s="7" t="n">
        <v>19.9</v>
      </c>
      <c r="I1417" s="7" t="n">
        <v>0</v>
      </c>
      <c r="J1417" s="7" t="n">
        <v>0</v>
      </c>
      <c r="K1417" s="9" t="n">
        <v>0</v>
      </c>
      <c r="L1417" s="10" t="n">
        <v>11.8</v>
      </c>
      <c r="M1417" s="10" t="n">
        <v>1.43</v>
      </c>
      <c r="N1417" t="inlineStr">
        <is>
          <t>1</t>
        </is>
      </c>
      <c r="O1417" t="inlineStr">
        <is>
          <t>16</t>
        </is>
      </c>
      <c r="P1417" t="inlineStr">
        <is>
          <t xml:space="preserve">47624   </t>
        </is>
      </c>
      <c r="Q1417" s="26" t="n">
        <v>19.9</v>
      </c>
      <c r="R1417" s="26">
        <f>Q1417*G1417</f>
        <v/>
      </c>
      <c r="S1417" t="n">
        <v>11.81</v>
      </c>
      <c r="T1417" s="18">
        <f>1 - V1417/S1417</f>
        <v/>
      </c>
      <c r="U1417" s="18" t="n">
        <v>0</v>
      </c>
      <c r="V1417" s="26" t="n">
        <v>11.81</v>
      </c>
      <c r="W1417" s="26">
        <f>V1417 - L1417</f>
        <v/>
      </c>
    </row>
    <row r="1418">
      <c r="A1418" s="11" t="n">
        <v>46217</v>
      </c>
      <c r="B1418" s="1" t="n">
        <v>20079</v>
      </c>
      <c r="C1418" s="1" t="inlineStr">
        <is>
          <t>051</t>
        </is>
      </c>
      <c r="D1418" s="1" t="inlineStr">
        <is>
          <t>235939</t>
        </is>
      </c>
      <c r="E1418" s="1" t="inlineStr">
        <is>
          <t xml:space="preserve">28194781       </t>
        </is>
      </c>
      <c r="F1418" s="5" t="inlineStr">
        <is>
          <t>TROMPO BATALLA INFINITY NADO SERIE V CLASICA SURTI</t>
        </is>
      </c>
      <c r="G1418" t="n">
        <v>1</v>
      </c>
      <c r="H1418" s="7" t="n">
        <v>59.9</v>
      </c>
      <c r="I1418" s="7" t="n">
        <v>0</v>
      </c>
      <c r="J1418" s="7" t="n">
        <v>0</v>
      </c>
      <c r="K1418" s="9" t="n">
        <v>0</v>
      </c>
      <c r="L1418" s="10" t="n">
        <v>35.53</v>
      </c>
      <c r="M1418" s="10" t="n">
        <v>1.43</v>
      </c>
      <c r="N1418" t="inlineStr">
        <is>
          <t>1</t>
        </is>
      </c>
      <c r="O1418" t="inlineStr">
        <is>
          <t>16</t>
        </is>
      </c>
      <c r="P1418" t="inlineStr">
        <is>
          <t xml:space="preserve">47624   </t>
        </is>
      </c>
      <c r="Q1418" s="26" t="n">
        <v>59.9</v>
      </c>
      <c r="R1418" s="26">
        <f>Q1418*G1418</f>
        <v/>
      </c>
      <c r="S1418" t="n">
        <v>35.53</v>
      </c>
      <c r="T1418" s="18">
        <f>1 - V1418/S1418</f>
        <v/>
      </c>
      <c r="U1418" s="18" t="n">
        <v>0.333889816360601</v>
      </c>
      <c r="V1418" s="26" t="n">
        <v>25.36016949152542</v>
      </c>
      <c r="W1418" s="26">
        <f>V1418 - L1418</f>
        <v/>
      </c>
    </row>
    <row r="1419">
      <c r="A1419" s="11" t="n">
        <v>46217</v>
      </c>
      <c r="B1419" s="1" t="n">
        <v>20080</v>
      </c>
      <c r="C1419" s="1" t="inlineStr">
        <is>
          <t>029</t>
        </is>
      </c>
      <c r="D1419" s="1" t="inlineStr">
        <is>
          <t>225531</t>
        </is>
      </c>
      <c r="E1419" s="1" t="inlineStr">
        <is>
          <t xml:space="preserve">28194770       </t>
        </is>
      </c>
      <c r="F1419" s="5" t="inlineStr">
        <is>
          <t>AUTOS DE METAL 3 TEAMSTERZ EN BLISTER</t>
        </is>
      </c>
      <c r="G1419" t="n">
        <v>1</v>
      </c>
      <c r="H1419" s="7" t="n">
        <v>6.9</v>
      </c>
      <c r="I1419" s="7" t="n">
        <v>0</v>
      </c>
      <c r="J1419" s="7" t="n">
        <v>0</v>
      </c>
      <c r="K1419" s="9" t="n">
        <v>0</v>
      </c>
      <c r="L1419" s="10" t="n">
        <v>4.1</v>
      </c>
      <c r="M1419" s="10" t="n">
        <v>1.43</v>
      </c>
      <c r="N1419" t="inlineStr">
        <is>
          <t>1</t>
        </is>
      </c>
      <c r="O1419" t="inlineStr">
        <is>
          <t>16</t>
        </is>
      </c>
      <c r="P1419" t="inlineStr">
        <is>
          <t xml:space="preserve">66621   </t>
        </is>
      </c>
      <c r="Q1419" s="26" t="n">
        <v>6.9</v>
      </c>
      <c r="R1419" s="26">
        <f>Q1419*G1419</f>
        <v/>
      </c>
      <c r="S1419" t="n">
        <v>4.09</v>
      </c>
      <c r="T1419" s="18">
        <f>1 - V1419/S1419</f>
        <v/>
      </c>
      <c r="U1419" s="18" t="n">
        <v>0</v>
      </c>
      <c r="V1419" s="26" t="n">
        <v>4.09</v>
      </c>
      <c r="W1419" s="26">
        <f>V1419 - L1419</f>
        <v/>
      </c>
    </row>
    <row r="1420">
      <c r="A1420" s="11" t="n">
        <v>46217</v>
      </c>
      <c r="B1420" s="1" t="n">
        <v>20080</v>
      </c>
      <c r="C1420" s="1" t="inlineStr">
        <is>
          <t>500</t>
        </is>
      </c>
      <c r="D1420" s="1" t="inlineStr">
        <is>
          <t xml:space="preserve">3730  </t>
        </is>
      </c>
      <c r="E1420" s="1" t="inlineStr">
        <is>
          <t xml:space="preserve">28194767       </t>
        </is>
      </c>
      <c r="F1420" s="5" t="inlineStr">
        <is>
          <t>CAMIONES TEAMSTERZ DE EMERGENCIA</t>
        </is>
      </c>
      <c r="G1420" t="n">
        <v>1</v>
      </c>
      <c r="H1420" s="7" t="n">
        <v>17.9</v>
      </c>
      <c r="I1420" s="7" t="n">
        <v>0</v>
      </c>
      <c r="J1420" s="7" t="n">
        <v>0</v>
      </c>
      <c r="K1420" s="9" t="n">
        <v>0</v>
      </c>
      <c r="L1420" s="10" t="n">
        <v>10.62</v>
      </c>
      <c r="M1420" s="10" t="n">
        <v>1.43</v>
      </c>
      <c r="N1420" t="inlineStr">
        <is>
          <t>1</t>
        </is>
      </c>
      <c r="O1420" t="inlineStr">
        <is>
          <t>16</t>
        </is>
      </c>
      <c r="P1420" t="inlineStr">
        <is>
          <t xml:space="preserve">66829   </t>
        </is>
      </c>
      <c r="Q1420" s="26" t="n">
        <v>17.9</v>
      </c>
      <c r="R1420" s="26">
        <f>Q1420*G1420</f>
        <v/>
      </c>
      <c r="S1420" t="n">
        <v>10.62</v>
      </c>
      <c r="T1420" s="18">
        <f>1 - V1420/S1420</f>
        <v/>
      </c>
      <c r="U1420" s="18" t="n">
        <v>0</v>
      </c>
      <c r="V1420" s="26" t="n">
        <v>10.62</v>
      </c>
      <c r="W1420" s="26">
        <f>V1420 - L1420</f>
        <v/>
      </c>
    </row>
    <row r="1421">
      <c r="A1421" s="11" t="n">
        <v>46217</v>
      </c>
      <c r="B1421" s="1" t="n">
        <v>20095</v>
      </c>
      <c r="C1421" s="1" t="inlineStr">
        <is>
          <t>044</t>
        </is>
      </c>
      <c r="D1421" s="1" t="inlineStr">
        <is>
          <t xml:space="preserve">93719 </t>
        </is>
      </c>
      <c r="E1421" s="1" t="inlineStr">
        <is>
          <t xml:space="preserve">28194770       </t>
        </is>
      </c>
      <c r="F1421" s="5" t="inlineStr">
        <is>
          <t>AUTOS DE METAL 3 TEAMSTERZ EN BLISTER</t>
        </is>
      </c>
      <c r="G1421" t="n">
        <v>1</v>
      </c>
      <c r="H1421" s="7" t="n">
        <v>6.9</v>
      </c>
      <c r="I1421" s="7" t="n">
        <v>0</v>
      </c>
      <c r="J1421" s="7" t="n">
        <v>0</v>
      </c>
      <c r="K1421" s="9" t="n">
        <v>0</v>
      </c>
      <c r="L1421" s="10" t="n">
        <v>4.1</v>
      </c>
      <c r="M1421" s="10" t="n">
        <v>1.43</v>
      </c>
      <c r="N1421" t="inlineStr">
        <is>
          <t>1</t>
        </is>
      </c>
      <c r="O1421" t="inlineStr">
        <is>
          <t xml:space="preserve">3 </t>
        </is>
      </c>
      <c r="P1421" t="inlineStr">
        <is>
          <t xml:space="preserve">241955  </t>
        </is>
      </c>
      <c r="Q1421" s="26" t="n">
        <v>6.9</v>
      </c>
      <c r="R1421" s="26">
        <f>Q1421*G1421</f>
        <v/>
      </c>
      <c r="S1421" t="n">
        <v>4.09</v>
      </c>
      <c r="T1421" s="18">
        <f>1 - V1421/S1421</f>
        <v/>
      </c>
      <c r="U1421" s="18" t="n">
        <v>0</v>
      </c>
      <c r="V1421" s="26" t="n">
        <v>4.09</v>
      </c>
      <c r="W1421" s="26">
        <f>V1421 - L1421</f>
        <v/>
      </c>
    </row>
    <row r="1422">
      <c r="A1422" s="11" t="n">
        <v>46218</v>
      </c>
      <c r="B1422" s="1" t="n">
        <v>20021</v>
      </c>
      <c r="C1422" s="1" t="inlineStr">
        <is>
          <t>069</t>
        </is>
      </c>
      <c r="D1422" s="1" t="inlineStr">
        <is>
          <t>129622</t>
        </is>
      </c>
      <c r="E1422" s="1" t="inlineStr">
        <is>
          <t xml:space="preserve">28194780       </t>
        </is>
      </c>
      <c r="F1422" s="5" t="inlineStr">
        <is>
          <t>TROMPO BATALLA INFINITY NADO PLSTICO SURTIDO</t>
        </is>
      </c>
      <c r="G1422" t="n">
        <v>1</v>
      </c>
      <c r="H1422" s="7" t="n">
        <v>19.9</v>
      </c>
      <c r="I1422" s="7" t="n">
        <v>0</v>
      </c>
      <c r="J1422" s="7" t="n">
        <v>0</v>
      </c>
      <c r="K1422" s="9" t="n">
        <v>0</v>
      </c>
      <c r="L1422" s="10" t="n">
        <v>11.8</v>
      </c>
      <c r="M1422" s="10" t="n">
        <v>1.43</v>
      </c>
      <c r="N1422" t="inlineStr">
        <is>
          <t>1</t>
        </is>
      </c>
      <c r="O1422" t="inlineStr">
        <is>
          <t xml:space="preserve">2 </t>
        </is>
      </c>
      <c r="P1422" t="inlineStr">
        <is>
          <t xml:space="preserve">94940   </t>
        </is>
      </c>
      <c r="Q1422" s="26" t="n">
        <v>19.9</v>
      </c>
      <c r="R1422" s="26">
        <f>Q1422*G1422</f>
        <v/>
      </c>
      <c r="S1422" t="n">
        <v>11.81</v>
      </c>
      <c r="T1422" s="18">
        <f>1 - V1422/S1422</f>
        <v/>
      </c>
      <c r="U1422" s="18" t="n">
        <v>0</v>
      </c>
      <c r="V1422" s="26" t="n">
        <v>11.81</v>
      </c>
      <c r="W1422" s="26">
        <f>V1422 - L1422</f>
        <v/>
      </c>
    </row>
    <row r="1423">
      <c r="A1423" s="11" t="n">
        <v>46218</v>
      </c>
      <c r="B1423" s="1" t="n">
        <v>20023</v>
      </c>
      <c r="C1423" s="1" t="inlineStr">
        <is>
          <t>088</t>
        </is>
      </c>
      <c r="D1423" s="1" t="inlineStr">
        <is>
          <t>130463</t>
        </is>
      </c>
      <c r="E1423" s="1" t="inlineStr">
        <is>
          <t xml:space="preserve">28194765       </t>
        </is>
      </c>
      <c r="F1423" s="5" t="inlineStr">
        <is>
          <t>PLAYSET COLOR CHANGE TIBURN TEAMSTERZ  1 AUTITO</t>
        </is>
      </c>
      <c r="G1423" t="n">
        <v>1</v>
      </c>
      <c r="H1423" s="7" t="n">
        <v>79.90000000000001</v>
      </c>
      <c r="I1423" s="7" t="n">
        <v>0</v>
      </c>
      <c r="J1423" s="7" t="n">
        <v>0</v>
      </c>
      <c r="K1423" s="9" t="n">
        <v>0</v>
      </c>
      <c r="L1423" s="10" t="n">
        <v>47.4</v>
      </c>
      <c r="M1423" s="10" t="n">
        <v>1.43</v>
      </c>
      <c r="N1423" t="inlineStr">
        <is>
          <t>1</t>
        </is>
      </c>
      <c r="O1423" t="inlineStr">
        <is>
          <t>16</t>
        </is>
      </c>
      <c r="P1423" t="inlineStr">
        <is>
          <t xml:space="preserve">234849  </t>
        </is>
      </c>
      <c r="Q1423" s="26" t="n">
        <v>79.90000000000001</v>
      </c>
      <c r="R1423" s="26">
        <f>Q1423*G1423</f>
        <v/>
      </c>
      <c r="S1423" t="n">
        <v>47.4</v>
      </c>
      <c r="T1423" s="18">
        <f>1 - V1423/S1423</f>
        <v/>
      </c>
      <c r="U1423" s="18" t="n">
        <v>0</v>
      </c>
      <c r="V1423" s="26" t="n">
        <v>47.4</v>
      </c>
      <c r="W1423" s="26">
        <f>V1423 - L1423</f>
        <v/>
      </c>
    </row>
    <row r="1424">
      <c r="A1424" s="11" t="n">
        <v>46218</v>
      </c>
      <c r="B1424" s="1" t="n">
        <v>20024</v>
      </c>
      <c r="C1424" s="1" t="inlineStr">
        <is>
          <t>807</t>
        </is>
      </c>
      <c r="D1424" s="1" t="inlineStr">
        <is>
          <t xml:space="preserve">4416  </t>
        </is>
      </c>
      <c r="E1424" s="1" t="inlineStr">
        <is>
          <t xml:space="preserve">28194769       </t>
        </is>
      </c>
      <c r="F1424" s="5" t="inlineStr">
        <is>
          <t>AUTOS DE METAL 3 TEAMSTERZ PACK DE 2</t>
        </is>
      </c>
      <c r="G1424" t="n">
        <v>1</v>
      </c>
      <c r="H1424" s="7" t="n">
        <v>13.8</v>
      </c>
      <c r="I1424" s="7" t="n">
        <v>0</v>
      </c>
      <c r="J1424" s="7" t="n">
        <v>0</v>
      </c>
      <c r="K1424" s="9" t="n">
        <v>0</v>
      </c>
      <c r="L1424" s="10" t="n">
        <v>8.18</v>
      </c>
      <c r="M1424" s="10" t="n">
        <v>1.43</v>
      </c>
      <c r="N1424" t="inlineStr">
        <is>
          <t>1</t>
        </is>
      </c>
      <c r="O1424" t="inlineStr">
        <is>
          <t>16</t>
        </is>
      </c>
      <c r="P1424" t="inlineStr">
        <is>
          <t xml:space="preserve">0       </t>
        </is>
      </c>
      <c r="Q1424" s="26" t="n">
        <v>13.8</v>
      </c>
      <c r="R1424" s="26">
        <f>Q1424*G1424</f>
        <v/>
      </c>
      <c r="S1424" t="n">
        <v>8.19</v>
      </c>
      <c r="T1424" s="18">
        <f>1 - V1424/S1424</f>
        <v/>
      </c>
      <c r="U1424" s="18" t="n">
        <v>0</v>
      </c>
      <c r="V1424" s="26" t="n">
        <v>8.19</v>
      </c>
      <c r="W1424" s="26">
        <f>V1424 - L1424</f>
        <v/>
      </c>
    </row>
    <row r="1425">
      <c r="A1425" s="11" t="n">
        <v>46218</v>
      </c>
      <c r="B1425" s="1" t="n">
        <v>20028</v>
      </c>
      <c r="C1425" s="1" t="inlineStr">
        <is>
          <t>011</t>
        </is>
      </c>
      <c r="D1425" s="1" t="inlineStr">
        <is>
          <t xml:space="preserve">33676 </t>
        </is>
      </c>
      <c r="E1425" s="1" t="inlineStr">
        <is>
          <t xml:space="preserve">34840550       </t>
        </is>
      </c>
      <c r="F1425" s="5" t="inlineStr">
        <is>
          <t>TEAMSTERZ M/MOVERZ TRANSPORTA GORILA</t>
        </is>
      </c>
      <c r="G1425" t="n">
        <v>1</v>
      </c>
      <c r="H1425" s="7" t="n">
        <v>129</v>
      </c>
      <c r="I1425" s="7" t="n">
        <v>0</v>
      </c>
      <c r="J1425" s="7" t="n">
        <v>0</v>
      </c>
      <c r="K1425" s="9" t="n">
        <v>0</v>
      </c>
      <c r="L1425" s="10" t="n">
        <v>76.52</v>
      </c>
      <c r="M1425" s="10" t="n">
        <v>1.43</v>
      </c>
      <c r="N1425" t="inlineStr">
        <is>
          <t>1</t>
        </is>
      </c>
      <c r="O1425" t="inlineStr">
        <is>
          <t>16</t>
        </is>
      </c>
      <c r="P1425" t="inlineStr">
        <is>
          <t xml:space="preserve">29476   </t>
        </is>
      </c>
      <c r="Q1425" s="26" t="n">
        <v>129</v>
      </c>
      <c r="R1425" s="26">
        <f>Q1425*G1425</f>
        <v/>
      </c>
      <c r="S1425" t="n">
        <v>76.53</v>
      </c>
      <c r="T1425" s="18">
        <f>1 - V1425/S1425</f>
        <v/>
      </c>
      <c r="U1425" s="18" t="n">
        <v>0</v>
      </c>
      <c r="V1425" s="26" t="n">
        <v>76.53</v>
      </c>
      <c r="W1425" s="26">
        <f>V1425 - L1425</f>
        <v/>
      </c>
    </row>
    <row r="1426">
      <c r="A1426" s="11" t="n">
        <v>46218</v>
      </c>
      <c r="B1426" s="1" t="n">
        <v>20030</v>
      </c>
      <c r="C1426" s="1" t="inlineStr">
        <is>
          <t>067</t>
        </is>
      </c>
      <c r="D1426" s="1" t="inlineStr">
        <is>
          <t>274213</t>
        </is>
      </c>
      <c r="E1426" s="1" t="inlineStr">
        <is>
          <t xml:space="preserve">30141766       </t>
        </is>
      </c>
      <c r="F1426" s="5" t="inlineStr">
        <is>
          <t>TMZ BEAST MACHINES AUTOS DE METAL BLISTER X 1</t>
        </is>
      </c>
      <c r="G1426" t="n">
        <v>1</v>
      </c>
      <c r="H1426" s="7" t="n">
        <v>7.9</v>
      </c>
      <c r="I1426" s="7" t="n">
        <v>0</v>
      </c>
      <c r="J1426" s="7" t="n">
        <v>0</v>
      </c>
      <c r="K1426" s="9" t="n">
        <v>0</v>
      </c>
      <c r="L1426" s="10" t="n">
        <v>4.68</v>
      </c>
      <c r="M1426" s="10" t="n">
        <v>1.43</v>
      </c>
      <c r="N1426" t="inlineStr">
        <is>
          <t>1</t>
        </is>
      </c>
      <c r="O1426" t="inlineStr">
        <is>
          <t>16</t>
        </is>
      </c>
      <c r="P1426" t="inlineStr">
        <is>
          <t xml:space="preserve">50936   </t>
        </is>
      </c>
      <c r="Q1426" s="26" t="n">
        <v>7.9</v>
      </c>
      <c r="R1426" s="26">
        <f>Q1426*G1426</f>
        <v/>
      </c>
      <c r="S1426" t="n">
        <v>4.69</v>
      </c>
      <c r="T1426" s="18">
        <f>1 - V1426/S1426</f>
        <v/>
      </c>
      <c r="U1426" s="18" t="n">
        <v>0</v>
      </c>
      <c r="V1426" s="26" t="n">
        <v>4.69</v>
      </c>
      <c r="W1426" s="26">
        <f>V1426 - L1426</f>
        <v/>
      </c>
    </row>
    <row r="1427">
      <c r="A1427" s="11" t="n">
        <v>46218</v>
      </c>
      <c r="B1427" s="1" t="n">
        <v>20030</v>
      </c>
      <c r="C1427" s="1" t="inlineStr">
        <is>
          <t>067</t>
        </is>
      </c>
      <c r="D1427" s="1" t="inlineStr">
        <is>
          <t>274213</t>
        </is>
      </c>
      <c r="E1427" s="1" t="inlineStr">
        <is>
          <t xml:space="preserve">30141766       </t>
        </is>
      </c>
      <c r="F1427" s="5" t="inlineStr">
        <is>
          <t>TMZ BEAST MACHINES AUTOS DE METAL BLISTER X 1</t>
        </is>
      </c>
      <c r="G1427" t="n">
        <v>1</v>
      </c>
      <c r="H1427" s="7" t="n">
        <v>7.9</v>
      </c>
      <c r="I1427" s="7" t="n">
        <v>0</v>
      </c>
      <c r="J1427" s="7" t="n">
        <v>0</v>
      </c>
      <c r="K1427" s="9" t="n">
        <v>0</v>
      </c>
      <c r="L1427" s="10" t="n">
        <v>4.68</v>
      </c>
      <c r="M1427" s="10" t="n">
        <v>1.43</v>
      </c>
      <c r="N1427" t="inlineStr">
        <is>
          <t>1</t>
        </is>
      </c>
      <c r="O1427" t="inlineStr">
        <is>
          <t>16</t>
        </is>
      </c>
      <c r="P1427" t="inlineStr">
        <is>
          <t xml:space="preserve">50936   </t>
        </is>
      </c>
      <c r="Q1427" s="26" t="n">
        <v>7.9</v>
      </c>
      <c r="R1427" s="26">
        <f>Q1427*G1427</f>
        <v/>
      </c>
      <c r="S1427" t="n">
        <v>4.69</v>
      </c>
      <c r="T1427" s="18">
        <f>1 - V1427/S1427</f>
        <v/>
      </c>
      <c r="U1427" s="18" t="n">
        <v>0</v>
      </c>
      <c r="V1427" s="26" t="n">
        <v>4.69</v>
      </c>
      <c r="W1427" s="26">
        <f>V1427 - L1427</f>
        <v/>
      </c>
    </row>
    <row r="1428">
      <c r="A1428" s="11" t="n">
        <v>46218</v>
      </c>
      <c r="B1428" s="1" t="n">
        <v>20030</v>
      </c>
      <c r="C1428" s="1" t="inlineStr">
        <is>
          <t>067</t>
        </is>
      </c>
      <c r="D1428" s="1" t="inlineStr">
        <is>
          <t>274255</t>
        </is>
      </c>
      <c r="E1428" s="1" t="inlineStr">
        <is>
          <t xml:space="preserve">28194769       </t>
        </is>
      </c>
      <c r="F1428" s="5" t="inlineStr">
        <is>
          <t>AUTOS DE METAL 3 TEAMSTERZ PACK DE 2</t>
        </is>
      </c>
      <c r="G1428" t="n">
        <v>1</v>
      </c>
      <c r="H1428" s="7" t="n">
        <v>13.8</v>
      </c>
      <c r="I1428" s="7" t="n">
        <v>0</v>
      </c>
      <c r="J1428" s="7" t="n">
        <v>0</v>
      </c>
      <c r="K1428" s="9" t="n">
        <v>0</v>
      </c>
      <c r="L1428" s="10" t="n">
        <v>8.18</v>
      </c>
      <c r="M1428" s="10" t="n">
        <v>1.43</v>
      </c>
      <c r="N1428" t="inlineStr">
        <is>
          <t>1</t>
        </is>
      </c>
      <c r="O1428" t="inlineStr">
        <is>
          <t>16</t>
        </is>
      </c>
      <c r="P1428" t="inlineStr">
        <is>
          <t xml:space="preserve">52224   </t>
        </is>
      </c>
      <c r="Q1428" s="26" t="n">
        <v>13.8</v>
      </c>
      <c r="R1428" s="26">
        <f>Q1428*G1428</f>
        <v/>
      </c>
      <c r="S1428" t="n">
        <v>8.19</v>
      </c>
      <c r="T1428" s="18">
        <f>1 - V1428/S1428</f>
        <v/>
      </c>
      <c r="U1428" s="18" t="n">
        <v>0</v>
      </c>
      <c r="V1428" s="26" t="n">
        <v>8.19</v>
      </c>
      <c r="W1428" s="26">
        <f>V1428 - L1428</f>
        <v/>
      </c>
    </row>
    <row r="1429">
      <c r="A1429" s="11" t="n">
        <v>46218</v>
      </c>
      <c r="B1429" s="1" t="n">
        <v>20030</v>
      </c>
      <c r="C1429" s="1" t="inlineStr">
        <is>
          <t>067</t>
        </is>
      </c>
      <c r="D1429" s="1" t="inlineStr">
        <is>
          <t>274256</t>
        </is>
      </c>
      <c r="E1429" s="1" t="inlineStr">
        <is>
          <t xml:space="preserve">28194769       </t>
        </is>
      </c>
      <c r="F1429" s="5" t="inlineStr">
        <is>
          <t>AUTOS DE METAL 3 TEAMSTERZ PACK DE 2</t>
        </is>
      </c>
      <c r="G1429" t="n">
        <v>1</v>
      </c>
      <c r="H1429" s="7" t="n">
        <v>13.8</v>
      </c>
      <c r="I1429" s="7" t="n">
        <v>0</v>
      </c>
      <c r="J1429" s="7" t="n">
        <v>0</v>
      </c>
      <c r="K1429" s="9" t="n">
        <v>0</v>
      </c>
      <c r="L1429" s="10" t="n">
        <v>8.18</v>
      </c>
      <c r="M1429" s="10" t="n">
        <v>1.43</v>
      </c>
      <c r="N1429" t="inlineStr">
        <is>
          <t>1</t>
        </is>
      </c>
      <c r="O1429" t="inlineStr">
        <is>
          <t>16</t>
        </is>
      </c>
      <c r="P1429" t="inlineStr">
        <is>
          <t xml:space="preserve">52224   </t>
        </is>
      </c>
      <c r="Q1429" s="26" t="n">
        <v>13.8</v>
      </c>
      <c r="R1429" s="26">
        <f>Q1429*G1429</f>
        <v/>
      </c>
      <c r="S1429" t="n">
        <v>8.19</v>
      </c>
      <c r="T1429" s="18">
        <f>1 - V1429/S1429</f>
        <v/>
      </c>
      <c r="U1429" s="18" t="n">
        <v>0</v>
      </c>
      <c r="V1429" s="26" t="n">
        <v>8.19</v>
      </c>
      <c r="W1429" s="26">
        <f>V1429 - L1429</f>
        <v/>
      </c>
    </row>
    <row r="1430">
      <c r="A1430" s="11" t="n">
        <v>46218</v>
      </c>
      <c r="B1430" s="1" t="n">
        <v>20030</v>
      </c>
      <c r="C1430" s="1" t="inlineStr">
        <is>
          <t>067</t>
        </is>
      </c>
      <c r="D1430" s="1" t="inlineStr">
        <is>
          <t>274270</t>
        </is>
      </c>
      <c r="E1430" s="1" t="inlineStr">
        <is>
          <t xml:space="preserve">31959958       </t>
        </is>
      </c>
      <c r="F1430" s="5" t="inlineStr">
        <is>
          <t>TMZ BEAST MACHINE AUTOS DE METAL PACK 3 AUTOS</t>
        </is>
      </c>
      <c r="G1430" t="n">
        <v>1</v>
      </c>
      <c r="H1430" s="7" t="n">
        <v>23.7</v>
      </c>
      <c r="I1430" s="7" t="n">
        <v>0</v>
      </c>
      <c r="J1430" s="7" t="n">
        <v>0</v>
      </c>
      <c r="K1430" s="9" t="n">
        <v>0</v>
      </c>
      <c r="L1430" s="10" t="n">
        <v>14.06</v>
      </c>
      <c r="M1430" s="10" t="n">
        <v>1.43</v>
      </c>
      <c r="N1430" t="inlineStr">
        <is>
          <t>1</t>
        </is>
      </c>
      <c r="O1430" t="inlineStr">
        <is>
          <t>16</t>
        </is>
      </c>
      <c r="P1430" t="inlineStr">
        <is>
          <t xml:space="preserve">52224   </t>
        </is>
      </c>
      <c r="Q1430" s="26" t="n">
        <v>23.7</v>
      </c>
      <c r="R1430" s="26">
        <f>Q1430*G1430</f>
        <v/>
      </c>
      <c r="S1430" t="n">
        <v>14.06</v>
      </c>
      <c r="T1430" s="18">
        <f>1 - V1430/S1430</f>
        <v/>
      </c>
      <c r="U1430" s="18" t="n">
        <v>0</v>
      </c>
      <c r="V1430" s="26" t="n">
        <v>14.06</v>
      </c>
      <c r="W1430" s="26">
        <f>V1430 - L1430</f>
        <v/>
      </c>
    </row>
    <row r="1431">
      <c r="A1431" s="11" t="n">
        <v>46218</v>
      </c>
      <c r="B1431" s="1" t="n">
        <v>20040</v>
      </c>
      <c r="C1431" s="1" t="inlineStr">
        <is>
          <t>072</t>
        </is>
      </c>
      <c r="D1431" s="1" t="inlineStr">
        <is>
          <t>251897</t>
        </is>
      </c>
      <c r="E1431" s="1" t="inlineStr">
        <is>
          <t xml:space="preserve">34840550       </t>
        </is>
      </c>
      <c r="F1431" s="5" t="inlineStr">
        <is>
          <t>TEAMSTERZ M/MOVERZ TRANSPORTA GORILA</t>
        </is>
      </c>
      <c r="G1431" t="n">
        <v>1</v>
      </c>
      <c r="H1431" s="7" t="n">
        <v>129</v>
      </c>
      <c r="I1431" s="7" t="n">
        <v>0</v>
      </c>
      <c r="J1431" s="7" t="n">
        <v>0</v>
      </c>
      <c r="K1431" s="9" t="n">
        <v>0</v>
      </c>
      <c r="L1431" s="10" t="n">
        <v>76.52</v>
      </c>
      <c r="M1431" s="10" t="n">
        <v>1.43</v>
      </c>
      <c r="N1431" t="inlineStr">
        <is>
          <t>1</t>
        </is>
      </c>
      <c r="O1431" t="inlineStr">
        <is>
          <t>16</t>
        </is>
      </c>
      <c r="P1431" t="inlineStr">
        <is>
          <t xml:space="preserve">243636  </t>
        </is>
      </c>
      <c r="Q1431" s="26" t="n">
        <v>129</v>
      </c>
      <c r="R1431" s="26">
        <f>Q1431*G1431</f>
        <v/>
      </c>
      <c r="S1431" t="n">
        <v>76.53</v>
      </c>
      <c r="T1431" s="18">
        <f>1 - V1431/S1431</f>
        <v/>
      </c>
      <c r="U1431" s="18" t="n">
        <v>0</v>
      </c>
      <c r="V1431" s="26" t="n">
        <v>76.53</v>
      </c>
      <c r="W1431" s="26">
        <f>V1431 - L1431</f>
        <v/>
      </c>
    </row>
    <row r="1432">
      <c r="A1432" s="11" t="n">
        <v>46218</v>
      </c>
      <c r="B1432" s="1" t="n">
        <v>20040</v>
      </c>
      <c r="C1432" s="1" t="inlineStr">
        <is>
          <t>190</t>
        </is>
      </c>
      <c r="D1432" s="1" t="inlineStr">
        <is>
          <t>368266</t>
        </is>
      </c>
      <c r="E1432" s="1" t="inlineStr">
        <is>
          <t xml:space="preserve">35685067       </t>
        </is>
      </c>
      <c r="F1432" s="5" t="inlineStr">
        <is>
          <t>HOT WHEELS POWER SET 3 EN 1</t>
        </is>
      </c>
      <c r="G1432" t="n">
        <v>1</v>
      </c>
      <c r="H1432" s="7" t="n">
        <v>49.9</v>
      </c>
      <c r="I1432" s="7" t="n">
        <v>0</v>
      </c>
      <c r="J1432" s="7" t="n">
        <v>0</v>
      </c>
      <c r="K1432" s="9" t="n">
        <v>0</v>
      </c>
      <c r="L1432" s="10" t="n">
        <v>29.6</v>
      </c>
      <c r="M1432" s="10" t="n">
        <v>1.43</v>
      </c>
      <c r="N1432" t="inlineStr">
        <is>
          <t>1</t>
        </is>
      </c>
      <c r="O1432" t="inlineStr">
        <is>
          <t xml:space="preserve">3 </t>
        </is>
      </c>
      <c r="P1432" t="inlineStr">
        <is>
          <t xml:space="preserve">246092  </t>
        </is>
      </c>
      <c r="Q1432" s="26" t="n">
        <v>49.9</v>
      </c>
      <c r="R1432" s="26">
        <f>Q1432*G1432</f>
        <v/>
      </c>
      <c r="S1432" t="n">
        <v>29.6</v>
      </c>
      <c r="T1432" s="18">
        <f>1 - V1432/S1432</f>
        <v/>
      </c>
      <c r="U1432" s="18" t="n">
        <v>0</v>
      </c>
      <c r="V1432" s="26" t="n">
        <v>29.6</v>
      </c>
      <c r="W1432" s="26">
        <f>V1432 - L1432</f>
        <v/>
      </c>
    </row>
    <row r="1433">
      <c r="A1433" s="11" t="n">
        <v>46218</v>
      </c>
      <c r="B1433" s="1" t="n">
        <v>20040</v>
      </c>
      <c r="C1433" s="1" t="inlineStr">
        <is>
          <t>190</t>
        </is>
      </c>
      <c r="D1433" s="1" t="inlineStr">
        <is>
          <t>368285</t>
        </is>
      </c>
      <c r="E1433" s="1" t="inlineStr">
        <is>
          <t xml:space="preserve">32656523       </t>
        </is>
      </c>
      <c r="F1433" s="5" t="inlineStr">
        <is>
          <t>TMZ BEAST MACHINES TRANSPORT. T-REX ELECTR. + ACCE</t>
        </is>
      </c>
      <c r="G1433" t="n">
        <v>1</v>
      </c>
      <c r="H1433" s="7" t="n">
        <v>179</v>
      </c>
      <c r="I1433" s="7" t="n">
        <v>0</v>
      </c>
      <c r="J1433" s="7" t="n">
        <v>0</v>
      </c>
      <c r="K1433" s="9" t="n">
        <v>0</v>
      </c>
      <c r="L1433" s="10" t="n">
        <v>106.18</v>
      </c>
      <c r="M1433" s="10" t="n">
        <v>1.43</v>
      </c>
      <c r="N1433" t="inlineStr">
        <is>
          <t>1</t>
        </is>
      </c>
      <c r="O1433" t="inlineStr">
        <is>
          <t>16</t>
        </is>
      </c>
      <c r="P1433" t="inlineStr">
        <is>
          <t xml:space="preserve">246092  </t>
        </is>
      </c>
      <c r="Q1433" s="26" t="n">
        <v>179</v>
      </c>
      <c r="R1433" s="26">
        <f>Q1433*G1433</f>
        <v/>
      </c>
      <c r="S1433" t="n">
        <v>106.19</v>
      </c>
      <c r="T1433" s="18">
        <f>1 - V1433/S1433</f>
        <v/>
      </c>
      <c r="U1433" s="18" t="n">
        <v>0</v>
      </c>
      <c r="V1433" s="26" t="n">
        <v>106.19</v>
      </c>
      <c r="W1433" s="26">
        <f>V1433 - L1433</f>
        <v/>
      </c>
    </row>
    <row r="1434">
      <c r="A1434" s="11" t="n">
        <v>46218</v>
      </c>
      <c r="B1434" s="1" t="n">
        <v>20040</v>
      </c>
      <c r="C1434" s="1" t="inlineStr">
        <is>
          <t>190</t>
        </is>
      </c>
      <c r="D1434" s="1" t="inlineStr">
        <is>
          <t>368329</t>
        </is>
      </c>
      <c r="E1434" s="1" t="inlineStr">
        <is>
          <t xml:space="preserve">32457099       </t>
        </is>
      </c>
      <c r="F1434" s="5" t="inlineStr">
        <is>
          <t>TMZ BEAST MACHINES MONSTER JAWS A FRICCION BLISTER</t>
        </is>
      </c>
      <c r="G1434" t="n">
        <v>1</v>
      </c>
      <c r="H1434" s="7" t="n">
        <v>19.9</v>
      </c>
      <c r="I1434" s="7" t="n">
        <v>0</v>
      </c>
      <c r="J1434" s="7" t="n">
        <v>0</v>
      </c>
      <c r="K1434" s="9" t="n">
        <v>0</v>
      </c>
      <c r="L1434" s="10" t="n">
        <v>11.8</v>
      </c>
      <c r="M1434" s="10" t="n">
        <v>1.43</v>
      </c>
      <c r="N1434" t="inlineStr">
        <is>
          <t>1</t>
        </is>
      </c>
      <c r="O1434" t="inlineStr">
        <is>
          <t>16</t>
        </is>
      </c>
      <c r="P1434" t="inlineStr">
        <is>
          <t xml:space="preserve">250193  </t>
        </is>
      </c>
      <c r="Q1434" s="26" t="n">
        <v>19.9</v>
      </c>
      <c r="R1434" s="26">
        <f>Q1434*G1434</f>
        <v/>
      </c>
      <c r="S1434" t="n">
        <v>11.81</v>
      </c>
      <c r="T1434" s="18">
        <f>1 - V1434/S1434</f>
        <v/>
      </c>
      <c r="U1434" s="18" t="n">
        <v>0.1005025125628141</v>
      </c>
      <c r="V1434" s="26" t="n">
        <v>8.417118644067797</v>
      </c>
      <c r="W1434" s="26">
        <f>V1434 - L1434</f>
        <v/>
      </c>
    </row>
    <row r="1435">
      <c r="A1435" s="11" t="n">
        <v>46218</v>
      </c>
      <c r="B1435" s="1" t="n">
        <v>20041</v>
      </c>
      <c r="C1435" s="1" t="inlineStr">
        <is>
          <t>011</t>
        </is>
      </c>
      <c r="D1435" s="1" t="inlineStr">
        <is>
          <t xml:space="preserve">786   </t>
        </is>
      </c>
      <c r="E1435" s="1" t="inlineStr">
        <is>
          <t xml:space="preserve">30141779       </t>
        </is>
      </c>
      <c r="F1435" s="5" t="inlineStr">
        <is>
          <t>RELOJ DIGITAL NERF</t>
        </is>
      </c>
      <c r="G1435" t="n">
        <v>1</v>
      </c>
      <c r="H1435" s="7" t="n">
        <v>18.9</v>
      </c>
      <c r="I1435" s="7" t="n">
        <v>0</v>
      </c>
      <c r="J1435" s="7" t="n">
        <v>0</v>
      </c>
      <c r="K1435" s="9" t="n">
        <v>0</v>
      </c>
      <c r="L1435" s="10" t="n">
        <v>11.21</v>
      </c>
      <c r="M1435" s="10" t="n">
        <v>1.43</v>
      </c>
      <c r="N1435" t="inlineStr">
        <is>
          <t>1</t>
        </is>
      </c>
      <c r="O1435" t="inlineStr">
        <is>
          <t xml:space="preserve">2 </t>
        </is>
      </c>
      <c r="P1435" t="inlineStr">
        <is>
          <t xml:space="preserve">57146   </t>
        </is>
      </c>
      <c r="Q1435" s="26" t="n">
        <v>18.9</v>
      </c>
      <c r="R1435" s="26">
        <f>Q1435*G1435</f>
        <v/>
      </c>
      <c r="S1435" t="n">
        <v>11.21</v>
      </c>
      <c r="T1435" s="18">
        <f>1 - V1435/S1435</f>
        <v/>
      </c>
      <c r="U1435" s="18" t="n">
        <v>0</v>
      </c>
      <c r="V1435" s="26" t="n">
        <v>11.21</v>
      </c>
      <c r="W1435" s="26">
        <f>V1435 - L1435</f>
        <v/>
      </c>
    </row>
    <row r="1436">
      <c r="A1436" s="11" t="n">
        <v>46218</v>
      </c>
      <c r="B1436" s="1" t="n">
        <v>20041</v>
      </c>
      <c r="C1436" s="1" t="inlineStr">
        <is>
          <t>037</t>
        </is>
      </c>
      <c r="D1436" s="1" t="inlineStr">
        <is>
          <t>189687</t>
        </is>
      </c>
      <c r="E1436" s="1" t="inlineStr">
        <is>
          <t xml:space="preserve">30141779       </t>
        </is>
      </c>
      <c r="F1436" s="5" t="inlineStr">
        <is>
          <t>RELOJ DIGITAL NERF</t>
        </is>
      </c>
      <c r="G1436" t="n">
        <v>1</v>
      </c>
      <c r="H1436" s="7" t="n">
        <v>18.9</v>
      </c>
      <c r="I1436" s="7" t="n">
        <v>0</v>
      </c>
      <c r="J1436" s="7" t="n">
        <v>0</v>
      </c>
      <c r="K1436" s="9" t="n">
        <v>0</v>
      </c>
      <c r="L1436" s="10" t="n">
        <v>11.21</v>
      </c>
      <c r="M1436" s="10" t="n">
        <v>1.43</v>
      </c>
      <c r="N1436" t="inlineStr">
        <is>
          <t>1</t>
        </is>
      </c>
      <c r="O1436" t="inlineStr">
        <is>
          <t xml:space="preserve">3 </t>
        </is>
      </c>
      <c r="P1436" t="inlineStr">
        <is>
          <t xml:space="preserve">243698  </t>
        </is>
      </c>
      <c r="Q1436" s="26" t="n">
        <v>18.9</v>
      </c>
      <c r="R1436" s="26">
        <f>Q1436*G1436</f>
        <v/>
      </c>
      <c r="S1436" t="n">
        <v>11.21</v>
      </c>
      <c r="T1436" s="18">
        <f>1 - V1436/S1436</f>
        <v/>
      </c>
      <c r="U1436" s="18" t="n">
        <v>0</v>
      </c>
      <c r="V1436" s="26" t="n">
        <v>11.21</v>
      </c>
      <c r="W1436" s="26">
        <f>V1436 - L1436</f>
        <v/>
      </c>
    </row>
    <row r="1437">
      <c r="A1437" s="11" t="n">
        <v>46218</v>
      </c>
      <c r="B1437" s="1" t="n">
        <v>20041</v>
      </c>
      <c r="C1437" s="1" t="inlineStr">
        <is>
          <t>037</t>
        </is>
      </c>
      <c r="D1437" s="1" t="inlineStr">
        <is>
          <t>189691</t>
        </is>
      </c>
      <c r="E1437" s="1" t="inlineStr">
        <is>
          <t xml:space="preserve">32457107       </t>
        </is>
      </c>
      <c r="F1437" s="5" t="inlineStr">
        <is>
          <t>TMZ CAMBIA DE COLOR PLAYSET ATAQUE PIRANA + 1 AUTO</t>
        </is>
      </c>
      <c r="G1437" t="n">
        <v>1</v>
      </c>
      <c r="H1437" s="7" t="n">
        <v>79.90000000000001</v>
      </c>
      <c r="I1437" s="7" t="n">
        <v>0</v>
      </c>
      <c r="J1437" s="7" t="n">
        <v>0</v>
      </c>
      <c r="K1437" s="9" t="n">
        <v>0</v>
      </c>
      <c r="L1437" s="10" t="n">
        <v>47.4</v>
      </c>
      <c r="M1437" s="10" t="n">
        <v>1.43</v>
      </c>
      <c r="N1437" t="inlineStr">
        <is>
          <t>1</t>
        </is>
      </c>
      <c r="O1437" t="inlineStr">
        <is>
          <t>16</t>
        </is>
      </c>
      <c r="P1437" t="inlineStr">
        <is>
          <t xml:space="preserve">243698  </t>
        </is>
      </c>
      <c r="Q1437" s="26" t="n">
        <v>79.90000000000001</v>
      </c>
      <c r="R1437" s="26">
        <f>Q1437*G1437</f>
        <v/>
      </c>
      <c r="S1437" t="n">
        <v>47.4</v>
      </c>
      <c r="T1437" s="18">
        <f>1 - V1437/S1437</f>
        <v/>
      </c>
      <c r="U1437" s="18" t="n">
        <v>0</v>
      </c>
      <c r="V1437" s="26" t="n">
        <v>47.4</v>
      </c>
      <c r="W1437" s="26">
        <f>V1437 - L1437</f>
        <v/>
      </c>
    </row>
    <row r="1438">
      <c r="A1438" s="11" t="n">
        <v>46218</v>
      </c>
      <c r="B1438" s="1" t="n">
        <v>20041</v>
      </c>
      <c r="C1438" s="1" t="inlineStr">
        <is>
          <t>037</t>
        </is>
      </c>
      <c r="D1438" s="1" t="inlineStr">
        <is>
          <t>189693</t>
        </is>
      </c>
      <c r="E1438" s="1" t="inlineStr">
        <is>
          <t xml:space="preserve">28194770       </t>
        </is>
      </c>
      <c r="F1438" s="5" t="inlineStr">
        <is>
          <t>AUTOS DE METAL 3 TEAMSTERZ EN BLISTER</t>
        </is>
      </c>
      <c r="G1438" t="n">
        <v>1</v>
      </c>
      <c r="H1438" s="7" t="n">
        <v>6.9</v>
      </c>
      <c r="I1438" s="7" t="n">
        <v>0</v>
      </c>
      <c r="J1438" s="7" t="n">
        <v>0</v>
      </c>
      <c r="K1438" s="9" t="n">
        <v>0</v>
      </c>
      <c r="L1438" s="10" t="n">
        <v>4.1</v>
      </c>
      <c r="M1438" s="10" t="n">
        <v>1.43</v>
      </c>
      <c r="N1438" t="inlineStr">
        <is>
          <t>1</t>
        </is>
      </c>
      <c r="O1438" t="inlineStr">
        <is>
          <t>16</t>
        </is>
      </c>
      <c r="P1438" t="inlineStr">
        <is>
          <t xml:space="preserve">243698  </t>
        </is>
      </c>
      <c r="Q1438" s="26" t="n">
        <v>6.9</v>
      </c>
      <c r="R1438" s="26">
        <f>Q1438*G1438</f>
        <v/>
      </c>
      <c r="S1438" t="n">
        <v>4.09</v>
      </c>
      <c r="T1438" s="18">
        <f>1 - V1438/S1438</f>
        <v/>
      </c>
      <c r="U1438" s="18" t="n">
        <v>0</v>
      </c>
      <c r="V1438" s="26" t="n">
        <v>4.09</v>
      </c>
      <c r="W1438" s="26">
        <f>V1438 - L1438</f>
        <v/>
      </c>
    </row>
    <row r="1439">
      <c r="A1439" s="11" t="n">
        <v>46218</v>
      </c>
      <c r="B1439" s="1" t="n">
        <v>20041</v>
      </c>
      <c r="C1439" s="1" t="inlineStr">
        <is>
          <t>037</t>
        </is>
      </c>
      <c r="D1439" s="1" t="inlineStr">
        <is>
          <t>189693</t>
        </is>
      </c>
      <c r="E1439" s="1" t="inlineStr">
        <is>
          <t xml:space="preserve">29854051       </t>
        </is>
      </c>
      <c r="F1439" s="5" t="inlineStr">
        <is>
          <t>TEAMSTERZ AUTO DE METAL PACK 10 AUTOS</t>
        </is>
      </c>
      <c r="G1439" t="n">
        <v>1</v>
      </c>
      <c r="H1439" s="7" t="n">
        <v>69</v>
      </c>
      <c r="I1439" s="7" t="n">
        <v>0</v>
      </c>
      <c r="J1439" s="7" t="n">
        <v>0</v>
      </c>
      <c r="K1439" s="9" t="n">
        <v>0</v>
      </c>
      <c r="L1439" s="10" t="n">
        <v>40.93</v>
      </c>
      <c r="M1439" s="10" t="n">
        <v>1.43</v>
      </c>
      <c r="N1439" t="inlineStr">
        <is>
          <t>1</t>
        </is>
      </c>
      <c r="O1439" t="inlineStr">
        <is>
          <t>16</t>
        </is>
      </c>
      <c r="P1439" t="inlineStr">
        <is>
          <t xml:space="preserve">243698  </t>
        </is>
      </c>
      <c r="Q1439" s="26" t="n">
        <v>69</v>
      </c>
      <c r="R1439" s="26">
        <f>Q1439*G1439</f>
        <v/>
      </c>
      <c r="S1439" t="n">
        <v>40.93</v>
      </c>
      <c r="T1439" s="18">
        <f>1 - V1439/S1439</f>
        <v/>
      </c>
      <c r="U1439" s="18" t="n">
        <v>0</v>
      </c>
      <c r="V1439" s="26" t="n">
        <v>40.93</v>
      </c>
      <c r="W1439" s="26">
        <f>V1439 - L1439</f>
        <v/>
      </c>
    </row>
    <row r="1440">
      <c r="A1440" s="11" t="n">
        <v>46218</v>
      </c>
      <c r="B1440" s="1" t="n">
        <v>20043</v>
      </c>
      <c r="C1440" s="1" t="inlineStr">
        <is>
          <t>029</t>
        </is>
      </c>
      <c r="D1440" s="1" t="inlineStr">
        <is>
          <t>168817</t>
        </is>
      </c>
      <c r="E1440" s="1" t="inlineStr">
        <is>
          <t xml:space="preserve">28194770       </t>
        </is>
      </c>
      <c r="F1440" s="5" t="inlineStr">
        <is>
          <t>AUTOS DE METAL 3 TEAMSTERZ EN BLISTER</t>
        </is>
      </c>
      <c r="G1440" t="n">
        <v>1</v>
      </c>
      <c r="H1440" s="7" t="n">
        <v>6.9</v>
      </c>
      <c r="I1440" s="7" t="n">
        <v>0</v>
      </c>
      <c r="J1440" s="7" t="n">
        <v>0</v>
      </c>
      <c r="K1440" s="9" t="n">
        <v>0</v>
      </c>
      <c r="L1440" s="10" t="n">
        <v>4.1</v>
      </c>
      <c r="M1440" s="10" t="n">
        <v>1.43</v>
      </c>
      <c r="N1440" t="inlineStr">
        <is>
          <t>1</t>
        </is>
      </c>
      <c r="O1440" t="inlineStr">
        <is>
          <t xml:space="preserve">2 </t>
        </is>
      </c>
      <c r="P1440" t="inlineStr">
        <is>
          <t xml:space="preserve">73748   </t>
        </is>
      </c>
      <c r="Q1440" s="26" t="n">
        <v>6.9</v>
      </c>
      <c r="R1440" s="26">
        <f>Q1440*G1440</f>
        <v/>
      </c>
      <c r="S1440" t="n">
        <v>4.09</v>
      </c>
      <c r="T1440" s="18">
        <f>1 - V1440/S1440</f>
        <v/>
      </c>
      <c r="U1440" s="18" t="n">
        <v>0</v>
      </c>
      <c r="V1440" s="26" t="n">
        <v>4.09</v>
      </c>
      <c r="W1440" s="26">
        <f>V1440 - L1440</f>
        <v/>
      </c>
    </row>
    <row r="1441">
      <c r="A1441" s="11" t="n">
        <v>46218</v>
      </c>
      <c r="B1441" s="1" t="n">
        <v>20043</v>
      </c>
      <c r="C1441" s="1" t="inlineStr">
        <is>
          <t>054</t>
        </is>
      </c>
      <c r="D1441" s="1" t="inlineStr">
        <is>
          <t xml:space="preserve">15220 </t>
        </is>
      </c>
      <c r="E1441" s="1" t="inlineStr">
        <is>
          <t xml:space="preserve">28194770       </t>
        </is>
      </c>
      <c r="F1441" s="5" t="inlineStr">
        <is>
          <t>AUTOS DE METAL 3 TEAMSTERZ EN BLISTER</t>
        </is>
      </c>
      <c r="G1441" t="n">
        <v>1</v>
      </c>
      <c r="H1441" s="7" t="n">
        <v>6.9</v>
      </c>
      <c r="I1441" s="7" t="n">
        <v>0</v>
      </c>
      <c r="J1441" s="7" t="n">
        <v>0</v>
      </c>
      <c r="K1441" s="9" t="n">
        <v>0</v>
      </c>
      <c r="L1441" s="10" t="n">
        <v>4.1</v>
      </c>
      <c r="M1441" s="10" t="n">
        <v>1.43</v>
      </c>
      <c r="N1441" t="inlineStr">
        <is>
          <t>1</t>
        </is>
      </c>
      <c r="O1441" t="inlineStr">
        <is>
          <t xml:space="preserve">3 </t>
        </is>
      </c>
      <c r="P1441" t="inlineStr">
        <is>
          <t xml:space="preserve">244278  </t>
        </is>
      </c>
      <c r="Q1441" s="26" t="n">
        <v>6.9</v>
      </c>
      <c r="R1441" s="26">
        <f>Q1441*G1441</f>
        <v/>
      </c>
      <c r="S1441" t="n">
        <v>4.09</v>
      </c>
      <c r="T1441" s="18">
        <f>1 - V1441/S1441</f>
        <v/>
      </c>
      <c r="U1441" s="18" t="n">
        <v>0</v>
      </c>
      <c r="V1441" s="26" t="n">
        <v>4.09</v>
      </c>
      <c r="W1441" s="26">
        <f>V1441 - L1441</f>
        <v/>
      </c>
    </row>
    <row r="1442">
      <c r="A1442" s="11" t="n">
        <v>46218</v>
      </c>
      <c r="B1442" s="1" t="n">
        <v>20049</v>
      </c>
      <c r="C1442" s="1" t="inlineStr">
        <is>
          <t>013</t>
        </is>
      </c>
      <c r="D1442" s="1" t="inlineStr">
        <is>
          <t>236137</t>
        </is>
      </c>
      <c r="E1442" s="1" t="inlineStr">
        <is>
          <t xml:space="preserve">28194769       </t>
        </is>
      </c>
      <c r="F1442" s="5" t="inlineStr">
        <is>
          <t>AUTOS DE METAL 3 TEAMSTERZ PACK DE 2</t>
        </is>
      </c>
      <c r="G1442" t="n">
        <v>1</v>
      </c>
      <c r="H1442" s="7" t="n">
        <v>13.8</v>
      </c>
      <c r="I1442" s="7" t="n">
        <v>0</v>
      </c>
      <c r="J1442" s="7" t="n">
        <v>0</v>
      </c>
      <c r="K1442" s="9" t="n">
        <v>0</v>
      </c>
      <c r="L1442" s="10" t="n">
        <v>8.18</v>
      </c>
      <c r="M1442" s="10" t="n">
        <v>1.43</v>
      </c>
      <c r="N1442" t="inlineStr">
        <is>
          <t>1</t>
        </is>
      </c>
      <c r="O1442" t="inlineStr">
        <is>
          <t xml:space="preserve">2 </t>
        </is>
      </c>
      <c r="P1442" t="inlineStr">
        <is>
          <t xml:space="preserve">244725  </t>
        </is>
      </c>
      <c r="Q1442" s="26" t="n">
        <v>13.8</v>
      </c>
      <c r="R1442" s="26">
        <f>Q1442*G1442</f>
        <v/>
      </c>
      <c r="S1442" t="n">
        <v>8.19</v>
      </c>
      <c r="T1442" s="18">
        <f>1 - V1442/S1442</f>
        <v/>
      </c>
      <c r="U1442" s="18" t="n">
        <v>0</v>
      </c>
      <c r="V1442" s="26" t="n">
        <v>8.19</v>
      </c>
      <c r="W1442" s="26">
        <f>V1442 - L1442</f>
        <v/>
      </c>
    </row>
    <row r="1443">
      <c r="A1443" s="11" t="n">
        <v>46218</v>
      </c>
      <c r="B1443" s="1" t="n">
        <v>20049</v>
      </c>
      <c r="C1443" s="1" t="inlineStr">
        <is>
          <t>013</t>
        </is>
      </c>
      <c r="D1443" s="1" t="inlineStr">
        <is>
          <t>236144</t>
        </is>
      </c>
      <c r="E1443" s="1" t="inlineStr">
        <is>
          <t xml:space="preserve">33483121       </t>
        </is>
      </c>
      <c r="F1443" s="5" t="inlineStr">
        <is>
          <t>HOT WHEELS ESTUCHE PARA 15 AUTOS SURTIDO</t>
        </is>
      </c>
      <c r="G1443" t="n">
        <v>1</v>
      </c>
      <c r="H1443" s="7" t="n">
        <v>34.9</v>
      </c>
      <c r="I1443" s="7" t="n">
        <v>0</v>
      </c>
      <c r="J1443" s="7" t="n">
        <v>0</v>
      </c>
      <c r="K1443" s="9" t="n">
        <v>0</v>
      </c>
      <c r="L1443" s="10" t="n">
        <v>20.71</v>
      </c>
      <c r="M1443" s="10" t="n">
        <v>1.43</v>
      </c>
      <c r="N1443" t="inlineStr">
        <is>
          <t>1</t>
        </is>
      </c>
      <c r="O1443" t="inlineStr">
        <is>
          <t>16</t>
        </is>
      </c>
      <c r="P1443" t="inlineStr">
        <is>
          <t xml:space="preserve">249970  </t>
        </is>
      </c>
      <c r="Q1443" s="26" t="n">
        <v>34.9</v>
      </c>
      <c r="R1443" s="26">
        <f>Q1443*G1443</f>
        <v/>
      </c>
      <c r="S1443" t="n">
        <v>20.7</v>
      </c>
      <c r="T1443" s="18">
        <f>1 - V1443/S1443</f>
        <v/>
      </c>
      <c r="U1443" s="18" t="n">
        <v>0</v>
      </c>
      <c r="V1443" s="26" t="n">
        <v>20.7</v>
      </c>
      <c r="W1443" s="26">
        <f>V1443 - L1443</f>
        <v/>
      </c>
    </row>
    <row r="1444">
      <c r="A1444" s="11" t="n">
        <v>46218</v>
      </c>
      <c r="B1444" s="1" t="n">
        <v>20049</v>
      </c>
      <c r="C1444" s="1" t="inlineStr">
        <is>
          <t>013</t>
        </is>
      </c>
      <c r="D1444" s="1" t="inlineStr">
        <is>
          <t>236144</t>
        </is>
      </c>
      <c r="E1444" s="1" t="inlineStr">
        <is>
          <t xml:space="preserve">33483121       </t>
        </is>
      </c>
      <c r="F1444" s="5" t="inlineStr">
        <is>
          <t>HOT WHEELS ESTUCHE PARA 15 AUTOS SURTIDO</t>
        </is>
      </c>
      <c r="G1444" t="n">
        <v>1</v>
      </c>
      <c r="H1444" s="7" t="n">
        <v>34.9</v>
      </c>
      <c r="I1444" s="7" t="n">
        <v>0</v>
      </c>
      <c r="J1444" s="7" t="n">
        <v>0</v>
      </c>
      <c r="K1444" s="9" t="n">
        <v>0</v>
      </c>
      <c r="L1444" s="10" t="n">
        <v>20.71</v>
      </c>
      <c r="M1444" s="10" t="n">
        <v>1.43</v>
      </c>
      <c r="N1444" t="inlineStr">
        <is>
          <t>1</t>
        </is>
      </c>
      <c r="O1444" t="inlineStr">
        <is>
          <t>16</t>
        </is>
      </c>
      <c r="P1444" t="inlineStr">
        <is>
          <t xml:space="preserve">249970  </t>
        </is>
      </c>
      <c r="Q1444" s="26" t="n">
        <v>34.9</v>
      </c>
      <c r="R1444" s="26">
        <f>Q1444*G1444</f>
        <v/>
      </c>
      <c r="S1444" t="n">
        <v>20.7</v>
      </c>
      <c r="T1444" s="18">
        <f>1 - V1444/S1444</f>
        <v/>
      </c>
      <c r="U1444" s="18" t="n">
        <v>0</v>
      </c>
      <c r="V1444" s="26" t="n">
        <v>20.7</v>
      </c>
      <c r="W1444" s="26">
        <f>V1444 - L1444</f>
        <v/>
      </c>
    </row>
    <row r="1445">
      <c r="A1445" s="11" t="n">
        <v>46218</v>
      </c>
      <c r="B1445" s="1" t="n">
        <v>20049</v>
      </c>
      <c r="C1445" s="1" t="inlineStr">
        <is>
          <t>017</t>
        </is>
      </c>
      <c r="D1445" s="1" t="inlineStr">
        <is>
          <t>239058</t>
        </is>
      </c>
      <c r="E1445" s="1" t="inlineStr">
        <is>
          <t xml:space="preserve">28194769       </t>
        </is>
      </c>
      <c r="F1445" s="5" t="inlineStr">
        <is>
          <t>AUTOS DE METAL 3 TEAMSTERZ PACK DE 2</t>
        </is>
      </c>
      <c r="G1445" t="n">
        <v>1</v>
      </c>
      <c r="H1445" s="7" t="n">
        <v>13.8</v>
      </c>
      <c r="I1445" s="7" t="n">
        <v>0</v>
      </c>
      <c r="J1445" s="7" t="n">
        <v>0</v>
      </c>
      <c r="K1445" s="9" t="n">
        <v>0</v>
      </c>
      <c r="L1445" s="10" t="n">
        <v>8.18</v>
      </c>
      <c r="M1445" s="10" t="n">
        <v>1.43</v>
      </c>
      <c r="N1445" t="inlineStr">
        <is>
          <t>1</t>
        </is>
      </c>
      <c r="O1445" t="inlineStr">
        <is>
          <t xml:space="preserve">2 </t>
        </is>
      </c>
      <c r="P1445" t="inlineStr">
        <is>
          <t xml:space="preserve">244682  </t>
        </is>
      </c>
      <c r="Q1445" s="26" t="n">
        <v>13.8</v>
      </c>
      <c r="R1445" s="26">
        <f>Q1445*G1445</f>
        <v/>
      </c>
      <c r="S1445" t="n">
        <v>8.19</v>
      </c>
      <c r="T1445" s="18">
        <f>1 - V1445/S1445</f>
        <v/>
      </c>
      <c r="U1445" s="18" t="n">
        <v>0</v>
      </c>
      <c r="V1445" s="26" t="n">
        <v>8.19</v>
      </c>
      <c r="W1445" s="26">
        <f>V1445 - L1445</f>
        <v/>
      </c>
    </row>
    <row r="1446">
      <c r="A1446" s="11" t="n">
        <v>46218</v>
      </c>
      <c r="B1446" s="1" t="n">
        <v>20056</v>
      </c>
      <c r="C1446" s="1" t="inlineStr">
        <is>
          <t>022</t>
        </is>
      </c>
      <c r="D1446" s="1" t="inlineStr">
        <is>
          <t xml:space="preserve">55003 </t>
        </is>
      </c>
      <c r="E1446" s="1" t="inlineStr">
        <is>
          <t xml:space="preserve">28194769       </t>
        </is>
      </c>
      <c r="F1446" s="5" t="inlineStr">
        <is>
          <t>AUTOS DE METAL 3 TEAMSTERZ PACK DE 2</t>
        </is>
      </c>
      <c r="G1446" t="n">
        <v>1</v>
      </c>
      <c r="H1446" s="7" t="n">
        <v>13.8</v>
      </c>
      <c r="I1446" s="7" t="n">
        <v>0</v>
      </c>
      <c r="J1446" s="7" t="n">
        <v>0</v>
      </c>
      <c r="K1446" s="9" t="n">
        <v>0</v>
      </c>
      <c r="L1446" s="10" t="n">
        <v>8.18</v>
      </c>
      <c r="M1446" s="10" t="n">
        <v>1.43</v>
      </c>
      <c r="N1446" t="inlineStr">
        <is>
          <t>1</t>
        </is>
      </c>
      <c r="O1446" t="inlineStr">
        <is>
          <t xml:space="preserve">2 </t>
        </is>
      </c>
      <c r="P1446" t="inlineStr">
        <is>
          <t xml:space="preserve">247194  </t>
        </is>
      </c>
      <c r="Q1446" s="26" t="n">
        <v>13.8</v>
      </c>
      <c r="R1446" s="26">
        <f>Q1446*G1446</f>
        <v/>
      </c>
      <c r="S1446" t="n">
        <v>8.19</v>
      </c>
      <c r="T1446" s="18">
        <f>1 - V1446/S1446</f>
        <v/>
      </c>
      <c r="U1446" s="18" t="n">
        <v>0</v>
      </c>
      <c r="V1446" s="26" t="n">
        <v>8.19</v>
      </c>
      <c r="W1446" s="26">
        <f>V1446 - L1446</f>
        <v/>
      </c>
    </row>
    <row r="1447">
      <c r="A1447" s="11" t="n">
        <v>46218</v>
      </c>
      <c r="B1447" s="1" t="n">
        <v>20056</v>
      </c>
      <c r="C1447" s="1" t="inlineStr">
        <is>
          <t>023</t>
        </is>
      </c>
      <c r="D1447" s="1" t="inlineStr">
        <is>
          <t xml:space="preserve">30816 </t>
        </is>
      </c>
      <c r="E1447" s="1" t="inlineStr">
        <is>
          <t xml:space="preserve">28194769       </t>
        </is>
      </c>
      <c r="F1447" s="5" t="inlineStr">
        <is>
          <t>AUTOS DE METAL 3 TEAMSTERZ PACK DE 2</t>
        </is>
      </c>
      <c r="G1447" t="n">
        <v>1</v>
      </c>
      <c r="H1447" s="7" t="n">
        <v>13.8</v>
      </c>
      <c r="I1447" s="7" t="n">
        <v>0</v>
      </c>
      <c r="J1447" s="7" t="n">
        <v>0</v>
      </c>
      <c r="K1447" s="9" t="n">
        <v>0</v>
      </c>
      <c r="L1447" s="10" t="n">
        <v>8.18</v>
      </c>
      <c r="M1447" s="10" t="n">
        <v>1.43</v>
      </c>
      <c r="N1447" t="inlineStr">
        <is>
          <t>1</t>
        </is>
      </c>
      <c r="O1447" t="inlineStr">
        <is>
          <t xml:space="preserve">2 </t>
        </is>
      </c>
      <c r="P1447" t="inlineStr">
        <is>
          <t xml:space="preserve">241925  </t>
        </is>
      </c>
      <c r="Q1447" s="26" t="n">
        <v>13.8</v>
      </c>
      <c r="R1447" s="26">
        <f>Q1447*G1447</f>
        <v/>
      </c>
      <c r="S1447" t="n">
        <v>8.19</v>
      </c>
      <c r="T1447" s="18">
        <f>1 - V1447/S1447</f>
        <v/>
      </c>
      <c r="U1447" s="18" t="n">
        <v>0</v>
      </c>
      <c r="V1447" s="26" t="n">
        <v>8.19</v>
      </c>
      <c r="W1447" s="26">
        <f>V1447 - L1447</f>
        <v/>
      </c>
    </row>
    <row r="1448">
      <c r="A1448" s="11" t="n">
        <v>46218</v>
      </c>
      <c r="B1448" s="1" t="n">
        <v>20057</v>
      </c>
      <c r="C1448" s="1" t="inlineStr">
        <is>
          <t>033</t>
        </is>
      </c>
      <c r="D1448" s="1" t="inlineStr">
        <is>
          <t xml:space="preserve">67170 </t>
        </is>
      </c>
      <c r="E1448" s="1" t="inlineStr">
        <is>
          <t xml:space="preserve">28194769       </t>
        </is>
      </c>
      <c r="F1448" s="5" t="inlineStr">
        <is>
          <t>AUTOS DE METAL 3 TEAMSTERZ PACK DE 2</t>
        </is>
      </c>
      <c r="G1448" t="n">
        <v>1</v>
      </c>
      <c r="H1448" s="7" t="n">
        <v>13.8</v>
      </c>
      <c r="I1448" s="7" t="n">
        <v>0</v>
      </c>
      <c r="J1448" s="7" t="n">
        <v>0</v>
      </c>
      <c r="K1448" s="9" t="n">
        <v>0</v>
      </c>
      <c r="L1448" s="10" t="n">
        <v>8.18</v>
      </c>
      <c r="M1448" s="10" t="n">
        <v>1.43</v>
      </c>
      <c r="N1448" t="inlineStr">
        <is>
          <t>1</t>
        </is>
      </c>
      <c r="O1448" t="inlineStr">
        <is>
          <t>16</t>
        </is>
      </c>
      <c r="P1448" t="inlineStr">
        <is>
          <t xml:space="preserve">248132  </t>
        </is>
      </c>
      <c r="Q1448" s="26" t="n">
        <v>13.8</v>
      </c>
      <c r="R1448" s="26">
        <f>Q1448*G1448</f>
        <v/>
      </c>
      <c r="S1448" t="n">
        <v>8.19</v>
      </c>
      <c r="T1448" s="18">
        <f>1 - V1448/S1448</f>
        <v/>
      </c>
      <c r="U1448" s="18" t="n">
        <v>0</v>
      </c>
      <c r="V1448" s="26" t="n">
        <v>8.19</v>
      </c>
      <c r="W1448" s="26">
        <f>V1448 - L1448</f>
        <v/>
      </c>
    </row>
    <row r="1449">
      <c r="A1449" s="11" t="n">
        <v>46218</v>
      </c>
      <c r="B1449" s="1" t="n">
        <v>20057</v>
      </c>
      <c r="C1449" s="1" t="inlineStr">
        <is>
          <t>861</t>
        </is>
      </c>
      <c r="D1449" s="1" t="inlineStr">
        <is>
          <t xml:space="preserve">803   </t>
        </is>
      </c>
      <c r="E1449" s="1" t="inlineStr">
        <is>
          <t xml:space="preserve">28194770       </t>
        </is>
      </c>
      <c r="F1449" s="5" t="inlineStr">
        <is>
          <t>AUTOS DE METAL 3 TEAMSTERZ EN BLISTER</t>
        </is>
      </c>
      <c r="G1449" t="n">
        <v>1</v>
      </c>
      <c r="H1449" s="7" t="n">
        <v>6.9</v>
      </c>
      <c r="I1449" s="7" t="n">
        <v>0</v>
      </c>
      <c r="J1449" s="7" t="n">
        <v>0</v>
      </c>
      <c r="K1449" s="9" t="n">
        <v>0</v>
      </c>
      <c r="L1449" s="10" t="n">
        <v>4.1</v>
      </c>
      <c r="M1449" s="10" t="n">
        <v>1.43</v>
      </c>
      <c r="N1449" t="inlineStr">
        <is>
          <t>1</t>
        </is>
      </c>
      <c r="O1449" t="inlineStr">
        <is>
          <t>16</t>
        </is>
      </c>
      <c r="P1449" t="inlineStr">
        <is>
          <t xml:space="preserve">0       </t>
        </is>
      </c>
      <c r="Q1449" s="26" t="n">
        <v>6.9</v>
      </c>
      <c r="R1449" s="26">
        <f>Q1449*G1449</f>
        <v/>
      </c>
      <c r="S1449" t="n">
        <v>4.09</v>
      </c>
      <c r="T1449" s="18">
        <f>1 - V1449/S1449</f>
        <v/>
      </c>
      <c r="U1449" s="18" t="n">
        <v>0</v>
      </c>
      <c r="V1449" s="26" t="n">
        <v>4.09</v>
      </c>
      <c r="W1449" s="26">
        <f>V1449 - L1449</f>
        <v/>
      </c>
    </row>
    <row r="1450">
      <c r="A1450" s="11" t="n">
        <v>46218</v>
      </c>
      <c r="B1450" s="1" t="n">
        <v>20057</v>
      </c>
      <c r="C1450" s="1" t="inlineStr">
        <is>
          <t>862</t>
        </is>
      </c>
      <c r="D1450" s="1" t="inlineStr">
        <is>
          <t xml:space="preserve">7959  </t>
        </is>
      </c>
      <c r="E1450" s="1" t="inlineStr">
        <is>
          <t xml:space="preserve">28194770       </t>
        </is>
      </c>
      <c r="F1450" s="5" t="inlineStr">
        <is>
          <t>AUTOS DE METAL 3 TEAMSTERZ EN BLISTER</t>
        </is>
      </c>
      <c r="G1450" t="n">
        <v>1</v>
      </c>
      <c r="H1450" s="7" t="n">
        <v>6.9</v>
      </c>
      <c r="I1450" s="7" t="n">
        <v>0</v>
      </c>
      <c r="J1450" s="7" t="n">
        <v>0</v>
      </c>
      <c r="K1450" s="9" t="n">
        <v>0</v>
      </c>
      <c r="L1450" s="10" t="n">
        <v>4.1</v>
      </c>
      <c r="M1450" s="10" t="n">
        <v>1.43</v>
      </c>
      <c r="N1450" t="inlineStr">
        <is>
          <t>1</t>
        </is>
      </c>
      <c r="O1450" t="inlineStr">
        <is>
          <t>16</t>
        </is>
      </c>
      <c r="P1450" t="inlineStr">
        <is>
          <t xml:space="preserve">0       </t>
        </is>
      </c>
      <c r="Q1450" s="26" t="n">
        <v>6.9</v>
      </c>
      <c r="R1450" s="26">
        <f>Q1450*G1450</f>
        <v/>
      </c>
      <c r="S1450" t="n">
        <v>4.09</v>
      </c>
      <c r="T1450" s="18">
        <f>1 - V1450/S1450</f>
        <v/>
      </c>
      <c r="U1450" s="18" t="n">
        <v>0</v>
      </c>
      <c r="V1450" s="26" t="n">
        <v>4.09</v>
      </c>
      <c r="W1450" s="26">
        <f>V1450 - L1450</f>
        <v/>
      </c>
    </row>
    <row r="1451">
      <c r="A1451" s="11" t="n">
        <v>46218</v>
      </c>
      <c r="B1451" s="1" t="n">
        <v>20057</v>
      </c>
      <c r="C1451" s="1" t="inlineStr">
        <is>
          <t>863</t>
        </is>
      </c>
      <c r="D1451" s="1" t="inlineStr">
        <is>
          <t xml:space="preserve">4875  </t>
        </is>
      </c>
      <c r="E1451" s="1" t="inlineStr">
        <is>
          <t xml:space="preserve">28194770       </t>
        </is>
      </c>
      <c r="F1451" s="5" t="inlineStr">
        <is>
          <t>AUTOS DE METAL 3 TEAMSTERZ EN BLISTER</t>
        </is>
      </c>
      <c r="G1451" t="n">
        <v>1</v>
      </c>
      <c r="H1451" s="7" t="n">
        <v>6.9</v>
      </c>
      <c r="I1451" s="7" t="n">
        <v>0</v>
      </c>
      <c r="J1451" s="7" t="n">
        <v>0</v>
      </c>
      <c r="K1451" s="9" t="n">
        <v>0</v>
      </c>
      <c r="L1451" s="10" t="n">
        <v>4.1</v>
      </c>
      <c r="M1451" s="10" t="n">
        <v>1.43</v>
      </c>
      <c r="N1451" t="inlineStr">
        <is>
          <t>1</t>
        </is>
      </c>
      <c r="O1451" t="inlineStr">
        <is>
          <t>16</t>
        </is>
      </c>
      <c r="P1451" t="inlineStr">
        <is>
          <t xml:space="preserve">0       </t>
        </is>
      </c>
      <c r="Q1451" s="26" t="n">
        <v>6.9</v>
      </c>
      <c r="R1451" s="26">
        <f>Q1451*G1451</f>
        <v/>
      </c>
      <c r="S1451" t="n">
        <v>4.09</v>
      </c>
      <c r="T1451" s="18">
        <f>1 - V1451/S1451</f>
        <v/>
      </c>
      <c r="U1451" s="18" t="n">
        <v>0</v>
      </c>
      <c r="V1451" s="26" t="n">
        <v>4.09</v>
      </c>
      <c r="W1451" s="26">
        <f>V1451 - L1451</f>
        <v/>
      </c>
    </row>
    <row r="1452">
      <c r="A1452" s="11" t="n">
        <v>46218</v>
      </c>
      <c r="B1452" s="1" t="n">
        <v>20058</v>
      </c>
      <c r="C1452" s="1" t="inlineStr">
        <is>
          <t>011</t>
        </is>
      </c>
      <c r="D1452" s="1" t="inlineStr">
        <is>
          <t>185654</t>
        </is>
      </c>
      <c r="E1452" s="1" t="inlineStr">
        <is>
          <t xml:space="preserve">28194770       </t>
        </is>
      </c>
      <c r="F1452" s="5" t="inlineStr">
        <is>
          <t>AUTOS DE METAL 3 TEAMSTERZ EN BLISTER</t>
        </is>
      </c>
      <c r="G1452" t="n">
        <v>1</v>
      </c>
      <c r="H1452" s="7" t="n">
        <v>6.9</v>
      </c>
      <c r="I1452" s="7" t="n">
        <v>0</v>
      </c>
      <c r="J1452" s="7" t="n">
        <v>0</v>
      </c>
      <c r="K1452" s="9" t="n">
        <v>0</v>
      </c>
      <c r="L1452" s="10" t="n">
        <v>4.1</v>
      </c>
      <c r="M1452" s="10" t="n">
        <v>1.43</v>
      </c>
      <c r="N1452" t="inlineStr">
        <is>
          <t>1</t>
        </is>
      </c>
      <c r="O1452" t="inlineStr">
        <is>
          <t>16</t>
        </is>
      </c>
      <c r="P1452" t="inlineStr">
        <is>
          <t xml:space="preserve">244733  </t>
        </is>
      </c>
      <c r="Q1452" s="26" t="n">
        <v>6.9</v>
      </c>
      <c r="R1452" s="26">
        <f>Q1452*G1452</f>
        <v/>
      </c>
      <c r="S1452" t="n">
        <v>4.09</v>
      </c>
      <c r="T1452" s="18">
        <f>1 - V1452/S1452</f>
        <v/>
      </c>
      <c r="U1452" s="18" t="n">
        <v>0</v>
      </c>
      <c r="V1452" s="26" t="n">
        <v>4.09</v>
      </c>
      <c r="W1452" s="26">
        <f>V1452 - L1452</f>
        <v/>
      </c>
    </row>
    <row r="1453">
      <c r="A1453" s="11" t="n">
        <v>46218</v>
      </c>
      <c r="B1453" s="1" t="n">
        <v>20058</v>
      </c>
      <c r="C1453" s="1" t="inlineStr">
        <is>
          <t>038</t>
        </is>
      </c>
      <c r="D1453" s="1" t="inlineStr">
        <is>
          <t>209442</t>
        </is>
      </c>
      <c r="E1453" s="1" t="inlineStr">
        <is>
          <t xml:space="preserve">30232283       </t>
        </is>
      </c>
      <c r="F1453" s="5" t="inlineStr">
        <is>
          <t>INFINITY NADO PACK DE 2 TROMPOS DE BATALLA METAL</t>
        </is>
      </c>
      <c r="G1453" t="n">
        <v>1</v>
      </c>
      <c r="H1453" s="7" t="n">
        <v>79.90000000000001</v>
      </c>
      <c r="I1453" s="7" t="n">
        <v>0</v>
      </c>
      <c r="J1453" s="7" t="n">
        <v>0</v>
      </c>
      <c r="K1453" s="9" t="n">
        <v>0</v>
      </c>
      <c r="L1453" s="10" t="n">
        <v>47.4</v>
      </c>
      <c r="M1453" s="10" t="n">
        <v>1.43</v>
      </c>
      <c r="N1453" t="inlineStr">
        <is>
          <t>1</t>
        </is>
      </c>
      <c r="O1453" t="inlineStr">
        <is>
          <t>16</t>
        </is>
      </c>
      <c r="P1453" t="inlineStr">
        <is>
          <t xml:space="preserve">239663  </t>
        </is>
      </c>
      <c r="Q1453" s="26" t="n">
        <v>79.90000000000001</v>
      </c>
      <c r="R1453" s="26">
        <f>Q1453*G1453</f>
        <v/>
      </c>
      <c r="S1453" t="n">
        <v>47.4</v>
      </c>
      <c r="T1453" s="18">
        <f>1 - V1453/S1453</f>
        <v/>
      </c>
      <c r="U1453" s="18" t="n">
        <v>0.2503128911138924</v>
      </c>
      <c r="V1453" s="26" t="n">
        <v>38.07203389830509</v>
      </c>
      <c r="W1453" s="26">
        <f>V1453 - L1453</f>
        <v/>
      </c>
    </row>
    <row r="1454">
      <c r="A1454" s="11" t="n">
        <v>46218</v>
      </c>
      <c r="B1454" s="1" t="n">
        <v>20058</v>
      </c>
      <c r="C1454" s="1" t="inlineStr">
        <is>
          <t>039</t>
        </is>
      </c>
      <c r="D1454" s="1" t="inlineStr">
        <is>
          <t>230580</t>
        </is>
      </c>
      <c r="E1454" s="1" t="inlineStr">
        <is>
          <t xml:space="preserve">30141766       </t>
        </is>
      </c>
      <c r="F1454" s="5" t="inlineStr">
        <is>
          <t>TMZ BEAST MACHINES AUTOS DE METAL BLISTER X 1</t>
        </is>
      </c>
      <c r="G1454" t="n">
        <v>1</v>
      </c>
      <c r="H1454" s="7" t="n">
        <v>7.9</v>
      </c>
      <c r="I1454" s="7" t="n">
        <v>1</v>
      </c>
      <c r="J1454" s="7" t="n">
        <v>0</v>
      </c>
      <c r="K1454" s="9" t="n">
        <v>1</v>
      </c>
      <c r="L1454" s="10" t="n">
        <v>4.1</v>
      </c>
      <c r="M1454" s="10" t="n">
        <v>1.43</v>
      </c>
      <c r="N1454" t="inlineStr">
        <is>
          <t>1</t>
        </is>
      </c>
      <c r="O1454" t="inlineStr">
        <is>
          <t xml:space="preserve">6 </t>
        </is>
      </c>
      <c r="P1454" t="inlineStr">
        <is>
          <t xml:space="preserve">239663  </t>
        </is>
      </c>
      <c r="Q1454" s="26" t="n">
        <v>7.9</v>
      </c>
      <c r="R1454" s="26">
        <f>Q1454*G1454</f>
        <v/>
      </c>
      <c r="S1454" t="n">
        <v>4.69</v>
      </c>
      <c r="T1454" s="18">
        <f>1 - V1454/S1454</f>
        <v/>
      </c>
      <c r="U1454" s="18" t="n">
        <v>0</v>
      </c>
      <c r="V1454" s="26" t="n">
        <v>4.69</v>
      </c>
      <c r="W1454" s="26">
        <f>V1454 - L1454</f>
        <v/>
      </c>
    </row>
    <row r="1455">
      <c r="A1455" s="11" t="n">
        <v>46218</v>
      </c>
      <c r="B1455" s="1" t="n">
        <v>20058</v>
      </c>
      <c r="C1455" s="1" t="inlineStr">
        <is>
          <t>039</t>
        </is>
      </c>
      <c r="D1455" s="1" t="inlineStr">
        <is>
          <t>230580</t>
        </is>
      </c>
      <c r="E1455" s="1" t="inlineStr">
        <is>
          <t xml:space="preserve">30141766       </t>
        </is>
      </c>
      <c r="F1455" s="5" t="inlineStr">
        <is>
          <t>TMZ BEAST MACHINES AUTOS DE METAL BLISTER X 1</t>
        </is>
      </c>
      <c r="G1455" t="n">
        <v>1</v>
      </c>
      <c r="H1455" s="7" t="n">
        <v>7.9</v>
      </c>
      <c r="I1455" s="7" t="n">
        <v>1</v>
      </c>
      <c r="J1455" s="7" t="n">
        <v>0</v>
      </c>
      <c r="K1455" s="9" t="n">
        <v>1</v>
      </c>
      <c r="L1455" s="10" t="n">
        <v>4.1</v>
      </c>
      <c r="M1455" s="10" t="n">
        <v>1.43</v>
      </c>
      <c r="N1455" t="inlineStr">
        <is>
          <t>1</t>
        </is>
      </c>
      <c r="O1455" t="inlineStr">
        <is>
          <t xml:space="preserve">6 </t>
        </is>
      </c>
      <c r="P1455" t="inlineStr">
        <is>
          <t xml:space="preserve">239663  </t>
        </is>
      </c>
      <c r="Q1455" s="26" t="n">
        <v>7.9</v>
      </c>
      <c r="R1455" s="26">
        <f>Q1455*G1455</f>
        <v/>
      </c>
      <c r="S1455" t="n">
        <v>4.69</v>
      </c>
      <c r="T1455" s="18">
        <f>1 - V1455/S1455</f>
        <v/>
      </c>
      <c r="U1455" s="18" t="n">
        <v>0</v>
      </c>
      <c r="V1455" s="26" t="n">
        <v>4.69</v>
      </c>
      <c r="W1455" s="26">
        <f>V1455 - L1455</f>
        <v/>
      </c>
    </row>
    <row r="1456">
      <c r="A1456" s="11" t="n">
        <v>46218</v>
      </c>
      <c r="B1456" s="1" t="n">
        <v>20058</v>
      </c>
      <c r="C1456" s="1" t="inlineStr">
        <is>
          <t>039</t>
        </is>
      </c>
      <c r="D1456" s="1" t="inlineStr">
        <is>
          <t>230580</t>
        </is>
      </c>
      <c r="E1456" s="1" t="inlineStr">
        <is>
          <t xml:space="preserve">30141766       </t>
        </is>
      </c>
      <c r="F1456" s="5" t="inlineStr">
        <is>
          <t>TMZ BEAST MACHINES AUTOS DE METAL BLISTER X 1</t>
        </is>
      </c>
      <c r="G1456" t="n">
        <v>1</v>
      </c>
      <c r="H1456" s="7" t="n">
        <v>7.9</v>
      </c>
      <c r="I1456" s="7" t="n">
        <v>1</v>
      </c>
      <c r="J1456" s="7" t="n">
        <v>0</v>
      </c>
      <c r="K1456" s="9" t="n">
        <v>1</v>
      </c>
      <c r="L1456" s="10" t="n">
        <v>4.1</v>
      </c>
      <c r="M1456" s="10" t="n">
        <v>1.43</v>
      </c>
      <c r="N1456" t="inlineStr">
        <is>
          <t>1</t>
        </is>
      </c>
      <c r="O1456" t="inlineStr">
        <is>
          <t xml:space="preserve">6 </t>
        </is>
      </c>
      <c r="P1456" t="inlineStr">
        <is>
          <t xml:space="preserve">239663  </t>
        </is>
      </c>
      <c r="Q1456" s="26" t="n">
        <v>7.9</v>
      </c>
      <c r="R1456" s="26">
        <f>Q1456*G1456</f>
        <v/>
      </c>
      <c r="S1456" t="n">
        <v>4.69</v>
      </c>
      <c r="T1456" s="18">
        <f>1 - V1456/S1456</f>
        <v/>
      </c>
      <c r="U1456" s="18" t="n">
        <v>0</v>
      </c>
      <c r="V1456" s="26" t="n">
        <v>4.69</v>
      </c>
      <c r="W1456" s="26">
        <f>V1456 - L1456</f>
        <v/>
      </c>
    </row>
    <row r="1457">
      <c r="A1457" s="11" t="n">
        <v>46218</v>
      </c>
      <c r="B1457" s="1" t="n">
        <v>20058</v>
      </c>
      <c r="C1457" s="1" t="inlineStr">
        <is>
          <t>039</t>
        </is>
      </c>
      <c r="D1457" s="1" t="inlineStr">
        <is>
          <t>230584</t>
        </is>
      </c>
      <c r="E1457" s="1" t="inlineStr">
        <is>
          <t xml:space="preserve">35685067       </t>
        </is>
      </c>
      <c r="F1457" s="5" t="inlineStr">
        <is>
          <t>HOT WHEELS POWER SET 3 EN 1</t>
        </is>
      </c>
      <c r="G1457" t="n">
        <v>1</v>
      </c>
      <c r="H1457" s="7" t="n">
        <v>49.9</v>
      </c>
      <c r="I1457" s="7" t="n">
        <v>0</v>
      </c>
      <c r="J1457" s="7" t="n">
        <v>0</v>
      </c>
      <c r="K1457" s="9" t="n">
        <v>0</v>
      </c>
      <c r="L1457" s="10" t="n">
        <v>29.6</v>
      </c>
      <c r="M1457" s="10" t="n">
        <v>1.43</v>
      </c>
      <c r="N1457" t="inlineStr">
        <is>
          <t>1</t>
        </is>
      </c>
      <c r="O1457" t="inlineStr">
        <is>
          <t>16</t>
        </is>
      </c>
      <c r="P1457" t="inlineStr">
        <is>
          <t xml:space="preserve">246156  </t>
        </is>
      </c>
      <c r="Q1457" s="26" t="n">
        <v>49.9</v>
      </c>
      <c r="R1457" s="26">
        <f>Q1457*G1457</f>
        <v/>
      </c>
      <c r="S1457" t="n">
        <v>29.6</v>
      </c>
      <c r="T1457" s="18">
        <f>1 - V1457/S1457</f>
        <v/>
      </c>
      <c r="U1457" s="18" t="n">
        <v>0</v>
      </c>
      <c r="V1457" s="26" t="n">
        <v>29.6</v>
      </c>
      <c r="W1457" s="26">
        <f>V1457 - L1457</f>
        <v/>
      </c>
    </row>
    <row r="1458">
      <c r="A1458" s="11" t="n">
        <v>46218</v>
      </c>
      <c r="B1458" s="1" t="n">
        <v>20058</v>
      </c>
      <c r="C1458" s="1" t="inlineStr">
        <is>
          <t>039</t>
        </is>
      </c>
      <c r="D1458" s="1" t="inlineStr">
        <is>
          <t>230624</t>
        </is>
      </c>
      <c r="E1458" s="1" t="inlineStr">
        <is>
          <t xml:space="preserve">34840551       </t>
        </is>
      </c>
      <c r="F1458" s="5" t="inlineStr">
        <is>
          <t>TMZ HELI BOMBERO CON LUCES Y SONIDOS</t>
        </is>
      </c>
      <c r="G1458" t="n">
        <v>1</v>
      </c>
      <c r="H1458" s="7" t="n">
        <v>79.90000000000001</v>
      </c>
      <c r="I1458" s="7" t="n">
        <v>0</v>
      </c>
      <c r="J1458" s="7" t="n">
        <v>0</v>
      </c>
      <c r="K1458" s="9" t="n">
        <v>0</v>
      </c>
      <c r="L1458" s="10" t="n">
        <v>47.4</v>
      </c>
      <c r="M1458" s="10" t="n">
        <v>1.43</v>
      </c>
      <c r="N1458" t="inlineStr">
        <is>
          <t>1</t>
        </is>
      </c>
      <c r="O1458" t="inlineStr">
        <is>
          <t>16</t>
        </is>
      </c>
      <c r="P1458" t="inlineStr">
        <is>
          <t xml:space="preserve">244952  </t>
        </is>
      </c>
      <c r="Q1458" s="26" t="n">
        <v>79.90000000000002</v>
      </c>
      <c r="R1458" s="26">
        <f>Q1458*G1458</f>
        <v/>
      </c>
      <c r="S1458" t="n">
        <v>47.4</v>
      </c>
      <c r="T1458" s="18">
        <f>1 - V1458/S1458</f>
        <v/>
      </c>
      <c r="U1458" s="18" t="n">
        <v>0</v>
      </c>
      <c r="V1458" s="26" t="n">
        <v>47.4</v>
      </c>
      <c r="W1458" s="26">
        <f>V1458 - L1458</f>
        <v/>
      </c>
    </row>
    <row r="1459">
      <c r="A1459" s="11" t="n">
        <v>46218</v>
      </c>
      <c r="B1459" s="1" t="n">
        <v>20058</v>
      </c>
      <c r="C1459" s="1" t="inlineStr">
        <is>
          <t>191</t>
        </is>
      </c>
      <c r="D1459" s="1" t="inlineStr">
        <is>
          <t xml:space="preserve">6270  </t>
        </is>
      </c>
      <c r="E1459" s="1" t="inlineStr">
        <is>
          <t xml:space="preserve">33483121       </t>
        </is>
      </c>
      <c r="F1459" s="5" t="inlineStr">
        <is>
          <t>HOT WHEELS ESTUCHE PARA 15 AUTOS SURTIDO</t>
        </is>
      </c>
      <c r="G1459" t="n">
        <v>1</v>
      </c>
      <c r="H1459" s="7" t="n">
        <v>34.9</v>
      </c>
      <c r="I1459" s="7" t="n">
        <v>0</v>
      </c>
      <c r="J1459" s="7" t="n">
        <v>0</v>
      </c>
      <c r="K1459" s="9" t="n">
        <v>0</v>
      </c>
      <c r="L1459" s="10" t="n">
        <v>20.71</v>
      </c>
      <c r="M1459" s="10" t="n">
        <v>1.43</v>
      </c>
      <c r="N1459" t="inlineStr">
        <is>
          <t>1</t>
        </is>
      </c>
      <c r="O1459" t="inlineStr">
        <is>
          <t>16</t>
        </is>
      </c>
      <c r="P1459" t="inlineStr">
        <is>
          <t xml:space="preserve">249636  </t>
        </is>
      </c>
      <c r="Q1459" s="26" t="n">
        <v>34.9</v>
      </c>
      <c r="R1459" s="26">
        <f>Q1459*G1459</f>
        <v/>
      </c>
      <c r="S1459" t="n">
        <v>20.7</v>
      </c>
      <c r="T1459" s="18">
        <f>1 - V1459/S1459</f>
        <v/>
      </c>
      <c r="U1459" s="18" t="n">
        <v>0</v>
      </c>
      <c r="V1459" s="26" t="n">
        <v>20.7</v>
      </c>
      <c r="W1459" s="26">
        <f>V1459 - L1459</f>
        <v/>
      </c>
    </row>
    <row r="1460">
      <c r="A1460" s="11" t="n">
        <v>46218</v>
      </c>
      <c r="B1460" s="1" t="n">
        <v>20060</v>
      </c>
      <c r="C1460" s="1" t="inlineStr">
        <is>
          <t>303</t>
        </is>
      </c>
      <c r="D1460" s="1" t="inlineStr">
        <is>
          <t xml:space="preserve">2564  </t>
        </is>
      </c>
      <c r="E1460" s="1" t="inlineStr">
        <is>
          <t xml:space="preserve">29235701       </t>
        </is>
      </c>
      <c r="F1460" s="5" t="inlineStr">
        <is>
          <t>INFINITY NADO TROMPO DE BATALLA - METAL EN CAJA</t>
        </is>
      </c>
      <c r="G1460" t="n">
        <v>1</v>
      </c>
      <c r="H1460" s="7" t="n">
        <v>39.9</v>
      </c>
      <c r="I1460" s="7" t="n">
        <v>0</v>
      </c>
      <c r="J1460" s="7" t="n">
        <v>0</v>
      </c>
      <c r="K1460" s="9" t="n">
        <v>0</v>
      </c>
      <c r="L1460" s="10" t="n">
        <v>23.67</v>
      </c>
      <c r="M1460" s="10" t="n">
        <v>1.43</v>
      </c>
      <c r="N1460" t="inlineStr">
        <is>
          <t>1</t>
        </is>
      </c>
      <c r="O1460" t="inlineStr">
        <is>
          <t>16</t>
        </is>
      </c>
      <c r="P1460" t="inlineStr">
        <is>
          <t>82807346</t>
        </is>
      </c>
      <c r="Q1460" s="26" t="n">
        <v>39.9</v>
      </c>
      <c r="R1460" s="26">
        <f>Q1460*G1460</f>
        <v/>
      </c>
      <c r="S1460" t="n">
        <v>23.67</v>
      </c>
      <c r="T1460" s="18">
        <f>1 - V1460/S1460</f>
        <v/>
      </c>
      <c r="U1460" s="18" t="n">
        <v>0.2506265664160401</v>
      </c>
      <c r="V1460" s="26" t="n">
        <v>19.00423728813559</v>
      </c>
      <c r="W1460" s="26">
        <f>V1460 - L1460</f>
        <v/>
      </c>
    </row>
    <row r="1461">
      <c r="A1461" s="11" t="n">
        <v>46218</v>
      </c>
      <c r="B1461" s="1" t="n">
        <v>20060</v>
      </c>
      <c r="C1461" s="1" t="inlineStr">
        <is>
          <t>306</t>
        </is>
      </c>
      <c r="D1461" s="1" t="inlineStr">
        <is>
          <t xml:space="preserve">2233  </t>
        </is>
      </c>
      <c r="E1461" s="1" t="inlineStr">
        <is>
          <t xml:space="preserve">32457101       </t>
        </is>
      </c>
      <c r="F1461" s="5" t="inlineStr">
        <is>
          <t>TMZ BEAST MACHINES TRANSPORTE PESADO + 2 AUTOS SUR</t>
        </is>
      </c>
      <c r="G1461" t="n">
        <v>1</v>
      </c>
      <c r="H1461" s="7" t="n">
        <v>33.9</v>
      </c>
      <c r="I1461" s="7" t="n">
        <v>0</v>
      </c>
      <c r="J1461" s="7" t="n">
        <v>0</v>
      </c>
      <c r="K1461" s="9" t="n">
        <v>0</v>
      </c>
      <c r="L1461" s="10" t="n">
        <v>20.11</v>
      </c>
      <c r="M1461" s="10" t="n">
        <v>1.43</v>
      </c>
      <c r="N1461" t="inlineStr">
        <is>
          <t>1</t>
        </is>
      </c>
      <c r="O1461" t="inlineStr">
        <is>
          <t xml:space="preserve">3 </t>
        </is>
      </c>
      <c r="P1461" t="inlineStr">
        <is>
          <t>82807346</t>
        </is>
      </c>
      <c r="Q1461" s="26" t="n">
        <v>37.9</v>
      </c>
      <c r="R1461" s="26">
        <f>Q1461*G1461</f>
        <v/>
      </c>
      <c r="S1461" t="n">
        <v>22.48</v>
      </c>
      <c r="T1461" s="18">
        <f>1 - V1461/S1461</f>
        <v/>
      </c>
      <c r="U1461" s="18" t="n">
        <v>0.5277044854881267</v>
      </c>
      <c r="V1461" s="26" t="n">
        <v>12.88694915254237</v>
      </c>
      <c r="W1461" s="26">
        <f>V1461 - L1461</f>
        <v/>
      </c>
    </row>
    <row r="1462">
      <c r="A1462" s="11" t="n">
        <v>46218</v>
      </c>
      <c r="B1462" s="1" t="n">
        <v>20062</v>
      </c>
      <c r="C1462" s="1" t="inlineStr">
        <is>
          <t>053</t>
        </is>
      </c>
      <c r="D1462" s="1" t="inlineStr">
        <is>
          <t>243212</t>
        </is>
      </c>
      <c r="E1462" s="1" t="inlineStr">
        <is>
          <t xml:space="preserve">32457099       </t>
        </is>
      </c>
      <c r="F1462" s="5" t="inlineStr">
        <is>
          <t>TMZ BEAST MACHINES MONSTER JAWS A FRICCION BLISTER</t>
        </is>
      </c>
      <c r="G1462" t="n">
        <v>1</v>
      </c>
      <c r="H1462" s="7" t="n">
        <v>19.9</v>
      </c>
      <c r="I1462" s="7" t="n">
        <v>0</v>
      </c>
      <c r="J1462" s="7" t="n">
        <v>0</v>
      </c>
      <c r="K1462" s="9" t="n">
        <v>0</v>
      </c>
      <c r="L1462" s="10" t="n">
        <v>11.8</v>
      </c>
      <c r="M1462" s="10" t="n">
        <v>1.43</v>
      </c>
      <c r="N1462" t="inlineStr">
        <is>
          <t>1</t>
        </is>
      </c>
      <c r="O1462" t="inlineStr">
        <is>
          <t xml:space="preserve">3 </t>
        </is>
      </c>
      <c r="P1462" t="inlineStr">
        <is>
          <t xml:space="preserve">250432  </t>
        </is>
      </c>
      <c r="Q1462" s="26" t="n">
        <v>19.9</v>
      </c>
      <c r="R1462" s="26">
        <f>Q1462*G1462</f>
        <v/>
      </c>
      <c r="S1462" t="n">
        <v>11.81</v>
      </c>
      <c r="T1462" s="18">
        <f>1 - V1462/S1462</f>
        <v/>
      </c>
      <c r="U1462" s="18" t="n">
        <v>0.1005025125628141</v>
      </c>
      <c r="V1462" s="26" t="n">
        <v>8.417118644067797</v>
      </c>
      <c r="W1462" s="26">
        <f>V1462 - L1462</f>
        <v/>
      </c>
    </row>
    <row r="1463">
      <c r="A1463" s="11" t="n">
        <v>46218</v>
      </c>
      <c r="B1463" s="1" t="n">
        <v>20062</v>
      </c>
      <c r="C1463" s="1" t="inlineStr">
        <is>
          <t>800</t>
        </is>
      </c>
      <c r="D1463" s="1" t="inlineStr">
        <is>
          <t xml:space="preserve">4041  </t>
        </is>
      </c>
      <c r="E1463" s="1" t="inlineStr">
        <is>
          <t xml:space="preserve">32457099       </t>
        </is>
      </c>
      <c r="F1463" s="5" t="inlineStr">
        <is>
          <t>TMZ BEAST MACHINES MONSTER JAWS A FRICCION BLISTER</t>
        </is>
      </c>
      <c r="G1463" t="n">
        <v>1</v>
      </c>
      <c r="H1463" s="7" t="n">
        <v>19.9</v>
      </c>
      <c r="I1463" s="7" t="n">
        <v>0</v>
      </c>
      <c r="J1463" s="7" t="n">
        <v>0</v>
      </c>
      <c r="K1463" s="9" t="n">
        <v>0</v>
      </c>
      <c r="L1463" s="10" t="n">
        <v>11.8</v>
      </c>
      <c r="M1463" s="10" t="n">
        <v>1.43</v>
      </c>
      <c r="N1463" t="inlineStr">
        <is>
          <t>1</t>
        </is>
      </c>
      <c r="O1463" t="inlineStr">
        <is>
          <t>16</t>
        </is>
      </c>
      <c r="P1463" t="inlineStr">
        <is>
          <t xml:space="preserve">244467  </t>
        </is>
      </c>
      <c r="Q1463" s="26" t="n">
        <v>19.9</v>
      </c>
      <c r="R1463" s="26">
        <f>Q1463*G1463</f>
        <v/>
      </c>
      <c r="S1463" t="n">
        <v>11.81</v>
      </c>
      <c r="T1463" s="18">
        <f>1 - V1463/S1463</f>
        <v/>
      </c>
      <c r="U1463" s="18" t="n">
        <v>0.1005025125628141</v>
      </c>
      <c r="V1463" s="26" t="n">
        <v>8.417118644067797</v>
      </c>
      <c r="W1463" s="26">
        <f>V1463 - L1463</f>
        <v/>
      </c>
    </row>
    <row r="1464">
      <c r="A1464" s="11" t="n">
        <v>46218</v>
      </c>
      <c r="B1464" s="1" t="n">
        <v>20066</v>
      </c>
      <c r="C1464" s="1" t="inlineStr">
        <is>
          <t>057</t>
        </is>
      </c>
      <c r="D1464" s="1" t="inlineStr">
        <is>
          <t>493970</t>
        </is>
      </c>
      <c r="E1464" s="1" t="inlineStr">
        <is>
          <t xml:space="preserve">28194770       </t>
        </is>
      </c>
      <c r="F1464" s="5" t="inlineStr">
        <is>
          <t>AUTOS DE METAL 3 TEAMSTERZ EN BLISTER</t>
        </is>
      </c>
      <c r="G1464" t="n">
        <v>1</v>
      </c>
      <c r="H1464" s="7" t="n">
        <v>6.9</v>
      </c>
      <c r="I1464" s="7" t="n">
        <v>0</v>
      </c>
      <c r="J1464" s="7" t="n">
        <v>0</v>
      </c>
      <c r="K1464" s="9" t="n">
        <v>0</v>
      </c>
      <c r="L1464" s="10" t="n">
        <v>4.1</v>
      </c>
      <c r="M1464" s="10" t="n">
        <v>1.43</v>
      </c>
      <c r="N1464" t="inlineStr">
        <is>
          <t>1</t>
        </is>
      </c>
      <c r="O1464" t="inlineStr">
        <is>
          <t>16</t>
        </is>
      </c>
      <c r="P1464" t="inlineStr">
        <is>
          <t xml:space="preserve">57301   </t>
        </is>
      </c>
      <c r="Q1464" s="26" t="n">
        <v>6.9</v>
      </c>
      <c r="R1464" s="26">
        <f>Q1464*G1464</f>
        <v/>
      </c>
      <c r="S1464" t="n">
        <v>4.09</v>
      </c>
      <c r="T1464" s="18">
        <f>1 - V1464/S1464</f>
        <v/>
      </c>
      <c r="U1464" s="18" t="n">
        <v>0</v>
      </c>
      <c r="V1464" s="26" t="n">
        <v>4.09</v>
      </c>
      <c r="W1464" s="26">
        <f>V1464 - L1464</f>
        <v/>
      </c>
    </row>
    <row r="1465">
      <c r="A1465" s="11" t="n">
        <v>46218</v>
      </c>
      <c r="B1465" s="1" t="n">
        <v>20066</v>
      </c>
      <c r="C1465" s="1" t="inlineStr">
        <is>
          <t>057</t>
        </is>
      </c>
      <c r="D1465" s="1" t="inlineStr">
        <is>
          <t>493970</t>
        </is>
      </c>
      <c r="E1465" s="1" t="inlineStr">
        <is>
          <t xml:space="preserve">28194770       </t>
        </is>
      </c>
      <c r="F1465" s="5" t="inlineStr">
        <is>
          <t>AUTOS DE METAL 3 TEAMSTERZ EN BLISTER</t>
        </is>
      </c>
      <c r="G1465" t="n">
        <v>1</v>
      </c>
      <c r="H1465" s="7" t="n">
        <v>6.9</v>
      </c>
      <c r="I1465" s="7" t="n">
        <v>0</v>
      </c>
      <c r="J1465" s="7" t="n">
        <v>0</v>
      </c>
      <c r="K1465" s="9" t="n">
        <v>0</v>
      </c>
      <c r="L1465" s="10" t="n">
        <v>4.1</v>
      </c>
      <c r="M1465" s="10" t="n">
        <v>1.43</v>
      </c>
      <c r="N1465" t="inlineStr">
        <is>
          <t>1</t>
        </is>
      </c>
      <c r="O1465" t="inlineStr">
        <is>
          <t>16</t>
        </is>
      </c>
      <c r="P1465" t="inlineStr">
        <is>
          <t xml:space="preserve">57301   </t>
        </is>
      </c>
      <c r="Q1465" s="26" t="n">
        <v>6.9</v>
      </c>
      <c r="R1465" s="26">
        <f>Q1465*G1465</f>
        <v/>
      </c>
      <c r="S1465" t="n">
        <v>4.09</v>
      </c>
      <c r="T1465" s="18">
        <f>1 - V1465/S1465</f>
        <v/>
      </c>
      <c r="U1465" s="18" t="n">
        <v>0</v>
      </c>
      <c r="V1465" s="26" t="n">
        <v>4.09</v>
      </c>
      <c r="W1465" s="26">
        <f>V1465 - L1465</f>
        <v/>
      </c>
    </row>
    <row r="1466">
      <c r="A1466" s="11" t="n">
        <v>46218</v>
      </c>
      <c r="B1466" s="1" t="n">
        <v>20066</v>
      </c>
      <c r="C1466" s="1" t="inlineStr">
        <is>
          <t>058</t>
        </is>
      </c>
      <c r="D1466" s="1" t="inlineStr">
        <is>
          <t xml:space="preserve">60588 </t>
        </is>
      </c>
      <c r="E1466" s="1" t="inlineStr">
        <is>
          <t xml:space="preserve">28194770       </t>
        </is>
      </c>
      <c r="F1466" s="5" t="inlineStr">
        <is>
          <t>AUTOS DE METAL 3 TEAMSTERZ EN BLISTER</t>
        </is>
      </c>
      <c r="G1466" t="n">
        <v>1</v>
      </c>
      <c r="H1466" s="7" t="n">
        <v>6.9</v>
      </c>
      <c r="I1466" s="7" t="n">
        <v>0</v>
      </c>
      <c r="J1466" s="7" t="n">
        <v>0</v>
      </c>
      <c r="K1466" s="9" t="n">
        <v>0</v>
      </c>
      <c r="L1466" s="10" t="n">
        <v>4.1</v>
      </c>
      <c r="M1466" s="10" t="n">
        <v>1.43</v>
      </c>
      <c r="N1466" t="inlineStr">
        <is>
          <t>1</t>
        </is>
      </c>
      <c r="O1466" t="inlineStr">
        <is>
          <t>16</t>
        </is>
      </c>
      <c r="P1466" t="inlineStr">
        <is>
          <t xml:space="preserve">44050   </t>
        </is>
      </c>
      <c r="Q1466" s="26" t="n">
        <v>6.9</v>
      </c>
      <c r="R1466" s="26">
        <f>Q1466*G1466</f>
        <v/>
      </c>
      <c r="S1466" t="n">
        <v>4.09</v>
      </c>
      <c r="T1466" s="18">
        <f>1 - V1466/S1466</f>
        <v/>
      </c>
      <c r="U1466" s="18" t="n">
        <v>0</v>
      </c>
      <c r="V1466" s="26" t="n">
        <v>4.09</v>
      </c>
      <c r="W1466" s="26">
        <f>V1466 - L1466</f>
        <v/>
      </c>
    </row>
    <row r="1467">
      <c r="A1467" s="11" t="n">
        <v>46218</v>
      </c>
      <c r="B1467" s="1" t="n">
        <v>20066</v>
      </c>
      <c r="C1467" s="1" t="inlineStr">
        <is>
          <t>058</t>
        </is>
      </c>
      <c r="D1467" s="1" t="inlineStr">
        <is>
          <t xml:space="preserve">60601 </t>
        </is>
      </c>
      <c r="E1467" s="1" t="inlineStr">
        <is>
          <t xml:space="preserve">28194770       </t>
        </is>
      </c>
      <c r="F1467" s="5" t="inlineStr">
        <is>
          <t>AUTOS DE METAL 3 TEAMSTERZ EN BLISTER</t>
        </is>
      </c>
      <c r="G1467" t="n">
        <v>1</v>
      </c>
      <c r="H1467" s="7" t="n">
        <v>6.9</v>
      </c>
      <c r="I1467" s="7" t="n">
        <v>0</v>
      </c>
      <c r="J1467" s="7" t="n">
        <v>0</v>
      </c>
      <c r="K1467" s="9" t="n">
        <v>0</v>
      </c>
      <c r="L1467" s="10" t="n">
        <v>4.1</v>
      </c>
      <c r="M1467" s="10" t="n">
        <v>1.43</v>
      </c>
      <c r="N1467" t="inlineStr">
        <is>
          <t>1</t>
        </is>
      </c>
      <c r="O1467" t="inlineStr">
        <is>
          <t>16</t>
        </is>
      </c>
      <c r="P1467" t="inlineStr">
        <is>
          <t xml:space="preserve">44050   </t>
        </is>
      </c>
      <c r="Q1467" s="26" t="n">
        <v>6.9</v>
      </c>
      <c r="R1467" s="26">
        <f>Q1467*G1467</f>
        <v/>
      </c>
      <c r="S1467" t="n">
        <v>4.09</v>
      </c>
      <c r="T1467" s="18">
        <f>1 - V1467/S1467</f>
        <v/>
      </c>
      <c r="U1467" s="18" t="n">
        <v>0</v>
      </c>
      <c r="V1467" s="26" t="n">
        <v>4.09</v>
      </c>
      <c r="W1467" s="26">
        <f>V1467 - L1467</f>
        <v/>
      </c>
    </row>
    <row r="1468">
      <c r="A1468" s="11" t="n">
        <v>46218</v>
      </c>
      <c r="B1468" s="1" t="n">
        <v>20069</v>
      </c>
      <c r="C1468" s="1" t="inlineStr">
        <is>
          <t>026</t>
        </is>
      </c>
      <c r="D1468" s="1" t="inlineStr">
        <is>
          <t>359360</t>
        </is>
      </c>
      <c r="E1468" s="1" t="inlineStr">
        <is>
          <t xml:space="preserve">28194770       </t>
        </is>
      </c>
      <c r="F1468" s="5" t="inlineStr">
        <is>
          <t>AUTOS DE METAL 3 TEAMSTERZ EN BLISTER</t>
        </is>
      </c>
      <c r="G1468" t="n">
        <v>1</v>
      </c>
      <c r="H1468" s="7" t="n">
        <v>6.9</v>
      </c>
      <c r="I1468" s="7" t="n">
        <v>0</v>
      </c>
      <c r="J1468" s="7" t="n">
        <v>0</v>
      </c>
      <c r="K1468" s="9" t="n">
        <v>0</v>
      </c>
      <c r="L1468" s="10" t="n">
        <v>4.1</v>
      </c>
      <c r="M1468" s="10" t="n">
        <v>1.43</v>
      </c>
      <c r="N1468" t="inlineStr">
        <is>
          <t>1</t>
        </is>
      </c>
      <c r="O1468" t="inlineStr">
        <is>
          <t xml:space="preserve">2 </t>
        </is>
      </c>
      <c r="P1468" t="inlineStr">
        <is>
          <t xml:space="preserve">249779  </t>
        </is>
      </c>
      <c r="Q1468" s="26" t="n">
        <v>6.9</v>
      </c>
      <c r="R1468" s="26">
        <f>Q1468*G1468</f>
        <v/>
      </c>
      <c r="S1468" t="n">
        <v>4.09</v>
      </c>
      <c r="T1468" s="18">
        <f>1 - V1468/S1468</f>
        <v/>
      </c>
      <c r="U1468" s="18" t="n">
        <v>0</v>
      </c>
      <c r="V1468" s="26" t="n">
        <v>4.09</v>
      </c>
      <c r="W1468" s="26">
        <f>V1468 - L1468</f>
        <v/>
      </c>
    </row>
    <row r="1469">
      <c r="A1469" s="11" t="n">
        <v>46218</v>
      </c>
      <c r="B1469" s="1" t="n">
        <v>20073</v>
      </c>
      <c r="C1469" s="1" t="inlineStr">
        <is>
          <t>016</t>
        </is>
      </c>
      <c r="D1469" s="1" t="inlineStr">
        <is>
          <t xml:space="preserve">14528 </t>
        </is>
      </c>
      <c r="E1469" s="1" t="inlineStr">
        <is>
          <t xml:space="preserve">28194768       </t>
        </is>
      </c>
      <c r="F1469" s="5" t="inlineStr">
        <is>
          <t>AUTO COLOR CHANGE TEAMSTERZ SURTIDO</t>
        </is>
      </c>
      <c r="G1469" t="n">
        <v>1</v>
      </c>
      <c r="H1469" s="7" t="n">
        <v>14.9</v>
      </c>
      <c r="I1469" s="7" t="n">
        <v>0</v>
      </c>
      <c r="J1469" s="7" t="n">
        <v>0</v>
      </c>
      <c r="K1469" s="9" t="n">
        <v>0</v>
      </c>
      <c r="L1469" s="10" t="n">
        <v>8.84</v>
      </c>
      <c r="M1469" s="10" t="n">
        <v>1.43</v>
      </c>
      <c r="N1469" t="inlineStr">
        <is>
          <t>1</t>
        </is>
      </c>
      <c r="O1469" t="inlineStr">
        <is>
          <t>16</t>
        </is>
      </c>
      <c r="P1469" t="inlineStr">
        <is>
          <t xml:space="preserve">91372   </t>
        </is>
      </c>
      <c r="Q1469" s="26" t="n">
        <v>14.9</v>
      </c>
      <c r="R1469" s="26">
        <f>Q1469*G1469</f>
        <v/>
      </c>
      <c r="S1469" t="n">
        <v>8.84</v>
      </c>
      <c r="T1469" s="18">
        <f>1 - V1469/S1469</f>
        <v/>
      </c>
      <c r="U1469" s="18" t="n">
        <v>0</v>
      </c>
      <c r="V1469" s="26" t="n">
        <v>8.84</v>
      </c>
      <c r="W1469" s="26">
        <f>V1469 - L1469</f>
        <v/>
      </c>
    </row>
    <row r="1470">
      <c r="A1470" s="11" t="n">
        <v>46218</v>
      </c>
      <c r="B1470" s="1" t="n">
        <v>20073</v>
      </c>
      <c r="C1470" s="1" t="inlineStr">
        <is>
          <t>016</t>
        </is>
      </c>
      <c r="D1470" s="1" t="inlineStr">
        <is>
          <t xml:space="preserve">14528 </t>
        </is>
      </c>
      <c r="E1470" s="1" t="inlineStr">
        <is>
          <t xml:space="preserve">30141766       </t>
        </is>
      </c>
      <c r="F1470" s="5" t="inlineStr">
        <is>
          <t>TMZ BEAST MACHINES AUTOS DE METAL BLISTER X 1</t>
        </is>
      </c>
      <c r="G1470" t="n">
        <v>1</v>
      </c>
      <c r="H1470" s="7" t="n">
        <v>7.9</v>
      </c>
      <c r="I1470" s="7" t="n">
        <v>0</v>
      </c>
      <c r="J1470" s="7" t="n">
        <v>0</v>
      </c>
      <c r="K1470" s="9" t="n">
        <v>0</v>
      </c>
      <c r="L1470" s="10" t="n">
        <v>4.68</v>
      </c>
      <c r="M1470" s="10" t="n">
        <v>1.43</v>
      </c>
      <c r="N1470" t="inlineStr">
        <is>
          <t>1</t>
        </is>
      </c>
      <c r="O1470" t="inlineStr">
        <is>
          <t>16</t>
        </is>
      </c>
      <c r="P1470" t="inlineStr">
        <is>
          <t xml:space="preserve">91372   </t>
        </is>
      </c>
      <c r="Q1470" s="26" t="n">
        <v>7.9</v>
      </c>
      <c r="R1470" s="26">
        <f>Q1470*G1470</f>
        <v/>
      </c>
      <c r="S1470" t="n">
        <v>4.69</v>
      </c>
      <c r="T1470" s="18">
        <f>1 - V1470/S1470</f>
        <v/>
      </c>
      <c r="U1470" s="18" t="n">
        <v>0</v>
      </c>
      <c r="V1470" s="26" t="n">
        <v>4.69</v>
      </c>
      <c r="W1470" s="26">
        <f>V1470 - L1470</f>
        <v/>
      </c>
    </row>
    <row r="1471">
      <c r="A1471" s="11" t="n">
        <v>46218</v>
      </c>
      <c r="B1471" s="1" t="n">
        <v>20073</v>
      </c>
      <c r="C1471" s="1" t="inlineStr">
        <is>
          <t>016</t>
        </is>
      </c>
      <c r="D1471" s="1" t="inlineStr">
        <is>
          <t xml:space="preserve">14528 </t>
        </is>
      </c>
      <c r="E1471" s="1" t="inlineStr">
        <is>
          <t xml:space="preserve">30141766       </t>
        </is>
      </c>
      <c r="F1471" s="5" t="inlineStr">
        <is>
          <t>TMZ BEAST MACHINES AUTOS DE METAL BLISTER X 1</t>
        </is>
      </c>
      <c r="G1471" t="n">
        <v>1</v>
      </c>
      <c r="H1471" s="7" t="n">
        <v>7.9</v>
      </c>
      <c r="I1471" s="7" t="n">
        <v>0</v>
      </c>
      <c r="J1471" s="7" t="n">
        <v>0</v>
      </c>
      <c r="K1471" s="9" t="n">
        <v>0</v>
      </c>
      <c r="L1471" s="10" t="n">
        <v>4.68</v>
      </c>
      <c r="M1471" s="10" t="n">
        <v>1.43</v>
      </c>
      <c r="N1471" t="inlineStr">
        <is>
          <t>1</t>
        </is>
      </c>
      <c r="O1471" t="inlineStr">
        <is>
          <t>16</t>
        </is>
      </c>
      <c r="P1471" t="inlineStr">
        <is>
          <t xml:space="preserve">91372   </t>
        </is>
      </c>
      <c r="Q1471" s="26" t="n">
        <v>7.9</v>
      </c>
      <c r="R1471" s="26">
        <f>Q1471*G1471</f>
        <v/>
      </c>
      <c r="S1471" t="n">
        <v>4.69</v>
      </c>
      <c r="T1471" s="18">
        <f>1 - V1471/S1471</f>
        <v/>
      </c>
      <c r="U1471" s="18" t="n">
        <v>0</v>
      </c>
      <c r="V1471" s="26" t="n">
        <v>4.69</v>
      </c>
      <c r="W1471" s="26">
        <f>V1471 - L1471</f>
        <v/>
      </c>
    </row>
    <row r="1472">
      <c r="A1472" s="11" t="n">
        <v>46218</v>
      </c>
      <c r="B1472" s="1" t="n">
        <v>20073</v>
      </c>
      <c r="C1472" s="1" t="inlineStr">
        <is>
          <t>016</t>
        </is>
      </c>
      <c r="D1472" s="1" t="inlineStr">
        <is>
          <t xml:space="preserve">14531 </t>
        </is>
      </c>
      <c r="E1472" s="1" t="inlineStr">
        <is>
          <t xml:space="preserve">28194768       </t>
        </is>
      </c>
      <c r="F1472" s="5" t="inlineStr">
        <is>
          <t>AUTO COLOR CHANGE TEAMSTERZ SURTIDO</t>
        </is>
      </c>
      <c r="G1472" t="n">
        <v>1</v>
      </c>
      <c r="H1472" s="7" t="n">
        <v>14.9</v>
      </c>
      <c r="I1472" s="7" t="n">
        <v>0</v>
      </c>
      <c r="J1472" s="7" t="n">
        <v>0</v>
      </c>
      <c r="K1472" s="9" t="n">
        <v>0</v>
      </c>
      <c r="L1472" s="10" t="n">
        <v>8.84</v>
      </c>
      <c r="M1472" s="10" t="n">
        <v>1.43</v>
      </c>
      <c r="N1472" t="inlineStr">
        <is>
          <t>1</t>
        </is>
      </c>
      <c r="O1472" t="inlineStr">
        <is>
          <t xml:space="preserve">6 </t>
        </is>
      </c>
      <c r="P1472" t="inlineStr">
        <is>
          <t xml:space="preserve">91372   </t>
        </is>
      </c>
      <c r="Q1472" s="26" t="n">
        <v>14.9</v>
      </c>
      <c r="R1472" s="26">
        <f>Q1472*G1472</f>
        <v/>
      </c>
      <c r="S1472" t="n">
        <v>8.84</v>
      </c>
      <c r="T1472" s="18">
        <f>1 - V1472/S1472</f>
        <v/>
      </c>
      <c r="U1472" s="18" t="n">
        <v>0</v>
      </c>
      <c r="V1472" s="26" t="n">
        <v>8.84</v>
      </c>
      <c r="W1472" s="26">
        <f>V1472 - L1472</f>
        <v/>
      </c>
    </row>
    <row r="1473">
      <c r="A1473" s="11" t="n">
        <v>46218</v>
      </c>
      <c r="B1473" s="1" t="n">
        <v>20073</v>
      </c>
      <c r="C1473" s="1" t="inlineStr">
        <is>
          <t>016</t>
        </is>
      </c>
      <c r="D1473" s="1" t="inlineStr">
        <is>
          <t xml:space="preserve">14531 </t>
        </is>
      </c>
      <c r="E1473" s="1" t="inlineStr">
        <is>
          <t xml:space="preserve">30141766       </t>
        </is>
      </c>
      <c r="F1473" s="5" t="inlineStr">
        <is>
          <t>TMZ BEAST MACHINES AUTOS DE METAL BLISTER X 1</t>
        </is>
      </c>
      <c r="G1473" t="n">
        <v>1</v>
      </c>
      <c r="H1473" s="7" t="n">
        <v>7.9</v>
      </c>
      <c r="I1473" s="7" t="n">
        <v>0</v>
      </c>
      <c r="J1473" s="7" t="n">
        <v>0</v>
      </c>
      <c r="K1473" s="9" t="n">
        <v>0</v>
      </c>
      <c r="L1473" s="10" t="n">
        <v>4.68</v>
      </c>
      <c r="M1473" s="10" t="n">
        <v>1.43</v>
      </c>
      <c r="N1473" t="inlineStr">
        <is>
          <t>1</t>
        </is>
      </c>
      <c r="O1473" t="inlineStr">
        <is>
          <t xml:space="preserve">6 </t>
        </is>
      </c>
      <c r="P1473" t="inlineStr">
        <is>
          <t xml:space="preserve">91372   </t>
        </is>
      </c>
      <c r="Q1473" s="26" t="n">
        <v>7.9</v>
      </c>
      <c r="R1473" s="26">
        <f>Q1473*G1473</f>
        <v/>
      </c>
      <c r="S1473" t="n">
        <v>4.69</v>
      </c>
      <c r="T1473" s="18">
        <f>1 - V1473/S1473</f>
        <v/>
      </c>
      <c r="U1473" s="18" t="n">
        <v>0</v>
      </c>
      <c r="V1473" s="26" t="n">
        <v>4.69</v>
      </c>
      <c r="W1473" s="26">
        <f>V1473 - L1473</f>
        <v/>
      </c>
    </row>
    <row r="1474">
      <c r="A1474" s="11" t="n">
        <v>46218</v>
      </c>
      <c r="B1474" s="1" t="n">
        <v>20073</v>
      </c>
      <c r="C1474" s="1" t="inlineStr">
        <is>
          <t>016</t>
        </is>
      </c>
      <c r="D1474" s="1" t="inlineStr">
        <is>
          <t xml:space="preserve">14531 </t>
        </is>
      </c>
      <c r="E1474" s="1" t="inlineStr">
        <is>
          <t xml:space="preserve">30141766       </t>
        </is>
      </c>
      <c r="F1474" s="5" t="inlineStr">
        <is>
          <t>TMZ BEAST MACHINES AUTOS DE METAL BLISTER X 1</t>
        </is>
      </c>
      <c r="G1474" t="n">
        <v>1</v>
      </c>
      <c r="H1474" s="7" t="n">
        <v>7.9</v>
      </c>
      <c r="I1474" s="7" t="n">
        <v>0</v>
      </c>
      <c r="J1474" s="7" t="n">
        <v>0</v>
      </c>
      <c r="K1474" s="9" t="n">
        <v>0</v>
      </c>
      <c r="L1474" s="10" t="n">
        <v>4.68</v>
      </c>
      <c r="M1474" s="10" t="n">
        <v>1.43</v>
      </c>
      <c r="N1474" t="inlineStr">
        <is>
          <t>1</t>
        </is>
      </c>
      <c r="O1474" t="inlineStr">
        <is>
          <t xml:space="preserve">6 </t>
        </is>
      </c>
      <c r="P1474" t="inlineStr">
        <is>
          <t xml:space="preserve">91372   </t>
        </is>
      </c>
      <c r="Q1474" s="26" t="n">
        <v>7.9</v>
      </c>
      <c r="R1474" s="26">
        <f>Q1474*G1474</f>
        <v/>
      </c>
      <c r="S1474" t="n">
        <v>4.69</v>
      </c>
      <c r="T1474" s="18">
        <f>1 - V1474/S1474</f>
        <v/>
      </c>
      <c r="U1474" s="18" t="n">
        <v>0</v>
      </c>
      <c r="V1474" s="26" t="n">
        <v>4.69</v>
      </c>
      <c r="W1474" s="26">
        <f>V1474 - L1474</f>
        <v/>
      </c>
    </row>
    <row r="1475">
      <c r="A1475" s="11" t="n">
        <v>46218</v>
      </c>
      <c r="B1475" s="1" t="n">
        <v>20073</v>
      </c>
      <c r="C1475" s="1" t="inlineStr">
        <is>
          <t>016</t>
        </is>
      </c>
      <c r="D1475" s="1" t="inlineStr">
        <is>
          <t xml:space="preserve">900   </t>
        </is>
      </c>
      <c r="E1475" s="1" t="inlineStr">
        <is>
          <t xml:space="preserve">28194768       </t>
        </is>
      </c>
      <c r="F1475" s="5" t="inlineStr">
        <is>
          <t>AUTO COLOR CHANGE TEAMSTERZ SURTIDO</t>
        </is>
      </c>
      <c r="G1475" t="n">
        <v>-1</v>
      </c>
      <c r="H1475" s="7" t="n">
        <v>-14.9</v>
      </c>
      <c r="I1475" s="7" t="n">
        <v>0</v>
      </c>
      <c r="J1475" s="7" t="n">
        <v>0</v>
      </c>
      <c r="K1475" s="9" t="n">
        <v>0</v>
      </c>
      <c r="L1475" s="10" t="n">
        <v>-8.84</v>
      </c>
      <c r="M1475" s="10" t="n">
        <v>0</v>
      </c>
      <c r="N1475" t="inlineStr">
        <is>
          <t>3</t>
        </is>
      </c>
      <c r="O1475" t="inlineStr">
        <is>
          <t>26</t>
        </is>
      </c>
      <c r="P1475" t="inlineStr">
        <is>
          <t xml:space="preserve">36294   </t>
        </is>
      </c>
      <c r="Q1475" s="26" t="n">
        <v>14.9</v>
      </c>
      <c r="R1475" s="26">
        <f>Q1475*G1475</f>
        <v/>
      </c>
      <c r="S1475" t="n">
        <v>-8.84</v>
      </c>
      <c r="T1475" s="18">
        <f>1 - V1475/S1475</f>
        <v/>
      </c>
      <c r="U1475" s="18" t="n">
        <v>0</v>
      </c>
      <c r="V1475" s="26" t="n">
        <v>-8.84</v>
      </c>
      <c r="W1475" s="26">
        <f>V1475 - L1475</f>
        <v/>
      </c>
    </row>
    <row r="1476">
      <c r="A1476" s="11" t="n">
        <v>46218</v>
      </c>
      <c r="B1476" s="1" t="n">
        <v>20073</v>
      </c>
      <c r="C1476" s="1" t="inlineStr">
        <is>
          <t>016</t>
        </is>
      </c>
      <c r="D1476" s="1" t="inlineStr">
        <is>
          <t xml:space="preserve">900   </t>
        </is>
      </c>
      <c r="E1476" s="1" t="inlineStr">
        <is>
          <t xml:space="preserve">30141766       </t>
        </is>
      </c>
      <c r="F1476" s="5" t="inlineStr">
        <is>
          <t>TMZ BEAST MACHINES AUTOS DE METAL BLISTER X 1</t>
        </is>
      </c>
      <c r="G1476" t="n">
        <v>-1</v>
      </c>
      <c r="H1476" s="7" t="n">
        <v>-7.9</v>
      </c>
      <c r="I1476" s="7" t="n">
        <v>0</v>
      </c>
      <c r="J1476" s="7" t="n">
        <v>0</v>
      </c>
      <c r="K1476" s="9" t="n">
        <v>0</v>
      </c>
      <c r="L1476" s="10" t="n">
        <v>-4.68</v>
      </c>
      <c r="M1476" s="10" t="n">
        <v>0</v>
      </c>
      <c r="N1476" t="inlineStr">
        <is>
          <t>3</t>
        </is>
      </c>
      <c r="O1476" t="inlineStr">
        <is>
          <t>26</t>
        </is>
      </c>
      <c r="P1476" t="inlineStr">
        <is>
          <t xml:space="preserve">36294   </t>
        </is>
      </c>
      <c r="Q1476" s="26" t="n">
        <v>7.9</v>
      </c>
      <c r="R1476" s="26">
        <f>Q1476*G1476</f>
        <v/>
      </c>
      <c r="S1476" t="n">
        <v>-4.69</v>
      </c>
      <c r="T1476" s="18">
        <f>1 - V1476/S1476</f>
        <v/>
      </c>
      <c r="U1476" s="18" t="n">
        <v>0</v>
      </c>
      <c r="V1476" s="26" t="n">
        <v>-4.69</v>
      </c>
      <c r="W1476" s="26">
        <f>V1476 - L1476</f>
        <v/>
      </c>
    </row>
    <row r="1477">
      <c r="A1477" s="11" t="n">
        <v>46218</v>
      </c>
      <c r="B1477" s="1" t="n">
        <v>20073</v>
      </c>
      <c r="C1477" s="1" t="inlineStr">
        <is>
          <t>016</t>
        </is>
      </c>
      <c r="D1477" s="1" t="inlineStr">
        <is>
          <t xml:space="preserve">900   </t>
        </is>
      </c>
      <c r="E1477" s="1" t="inlineStr">
        <is>
          <t xml:space="preserve">30141766       </t>
        </is>
      </c>
      <c r="F1477" s="5" t="inlineStr">
        <is>
          <t>TMZ BEAST MACHINES AUTOS DE METAL BLISTER X 1</t>
        </is>
      </c>
      <c r="G1477" t="n">
        <v>-1</v>
      </c>
      <c r="H1477" s="7" t="n">
        <v>-7.9</v>
      </c>
      <c r="I1477" s="7" t="n">
        <v>0</v>
      </c>
      <c r="J1477" s="7" t="n">
        <v>0</v>
      </c>
      <c r="K1477" s="9" t="n">
        <v>0</v>
      </c>
      <c r="L1477" s="10" t="n">
        <v>-4.68</v>
      </c>
      <c r="M1477" s="10" t="n">
        <v>0</v>
      </c>
      <c r="N1477" t="inlineStr">
        <is>
          <t>3</t>
        </is>
      </c>
      <c r="O1477" t="inlineStr">
        <is>
          <t>26</t>
        </is>
      </c>
      <c r="P1477" t="inlineStr">
        <is>
          <t xml:space="preserve">36294   </t>
        </is>
      </c>
      <c r="Q1477" s="26" t="n">
        <v>7.9</v>
      </c>
      <c r="R1477" s="26">
        <f>Q1477*G1477</f>
        <v/>
      </c>
      <c r="S1477" t="n">
        <v>-4.69</v>
      </c>
      <c r="T1477" s="18">
        <f>1 - V1477/S1477</f>
        <v/>
      </c>
      <c r="U1477" s="18" t="n">
        <v>0</v>
      </c>
      <c r="V1477" s="26" t="n">
        <v>-4.69</v>
      </c>
      <c r="W1477" s="26">
        <f>V1477 - L1477</f>
        <v/>
      </c>
    </row>
    <row r="1478">
      <c r="A1478" s="11" t="n">
        <v>46218</v>
      </c>
      <c r="B1478" s="1" t="n">
        <v>20073</v>
      </c>
      <c r="C1478" s="1" t="inlineStr">
        <is>
          <t>045</t>
        </is>
      </c>
      <c r="D1478" s="1" t="inlineStr">
        <is>
          <t>149627</t>
        </is>
      </c>
      <c r="E1478" s="1" t="inlineStr">
        <is>
          <t xml:space="preserve">28194770       </t>
        </is>
      </c>
      <c r="F1478" s="5" t="inlineStr">
        <is>
          <t>AUTOS DE METAL 3 TEAMSTERZ EN BLISTER</t>
        </is>
      </c>
      <c r="G1478" t="n">
        <v>1</v>
      </c>
      <c r="H1478" s="7" t="n">
        <v>6.9</v>
      </c>
      <c r="I1478" s="7" t="n">
        <v>0</v>
      </c>
      <c r="J1478" s="7" t="n">
        <v>0</v>
      </c>
      <c r="K1478" s="9" t="n">
        <v>0</v>
      </c>
      <c r="L1478" s="10" t="n">
        <v>4.1</v>
      </c>
      <c r="M1478" s="10" t="n">
        <v>1.43</v>
      </c>
      <c r="N1478" t="inlineStr">
        <is>
          <t>1</t>
        </is>
      </c>
      <c r="O1478" t="inlineStr">
        <is>
          <t xml:space="preserve">2 </t>
        </is>
      </c>
      <c r="P1478" t="inlineStr">
        <is>
          <t xml:space="preserve">73225   </t>
        </is>
      </c>
      <c r="Q1478" s="26" t="n">
        <v>6.9</v>
      </c>
      <c r="R1478" s="26">
        <f>Q1478*G1478</f>
        <v/>
      </c>
      <c r="S1478" t="n">
        <v>4.09</v>
      </c>
      <c r="T1478" s="18">
        <f>1 - V1478/S1478</f>
        <v/>
      </c>
      <c r="U1478" s="18" t="n">
        <v>0</v>
      </c>
      <c r="V1478" s="26" t="n">
        <v>4.09</v>
      </c>
      <c r="W1478" s="26">
        <f>V1478 - L1478</f>
        <v/>
      </c>
    </row>
    <row r="1479">
      <c r="A1479" s="11" t="n">
        <v>46218</v>
      </c>
      <c r="B1479" s="1" t="n">
        <v>20073</v>
      </c>
      <c r="C1479" s="1" t="inlineStr">
        <is>
          <t>046</t>
        </is>
      </c>
      <c r="D1479" s="1" t="inlineStr">
        <is>
          <t>207603</t>
        </is>
      </c>
      <c r="E1479" s="1" t="inlineStr">
        <is>
          <t xml:space="preserve">29235700       </t>
        </is>
      </c>
      <c r="F1479" s="5" t="inlineStr">
        <is>
          <t>HOT WHEELS CASE METALICO PARA GUARDAR 18 CARRITOS</t>
        </is>
      </c>
      <c r="G1479" t="n">
        <v>1</v>
      </c>
      <c r="H1479" s="7" t="n">
        <v>49.9</v>
      </c>
      <c r="I1479" s="7" t="n">
        <v>0</v>
      </c>
      <c r="J1479" s="7" t="n">
        <v>0</v>
      </c>
      <c r="K1479" s="9" t="n">
        <v>0</v>
      </c>
      <c r="L1479" s="10" t="n">
        <v>29.6</v>
      </c>
      <c r="M1479" s="10" t="n">
        <v>1.43</v>
      </c>
      <c r="N1479" t="inlineStr">
        <is>
          <t>1</t>
        </is>
      </c>
      <c r="O1479" t="inlineStr">
        <is>
          <t>16</t>
        </is>
      </c>
      <c r="P1479" t="inlineStr">
        <is>
          <t xml:space="preserve">250388  </t>
        </is>
      </c>
      <c r="Q1479" s="26" t="n">
        <v>49.90000000000001</v>
      </c>
      <c r="R1479" s="26">
        <f>Q1479*G1479</f>
        <v/>
      </c>
      <c r="S1479" t="n">
        <v>29.6</v>
      </c>
      <c r="T1479" s="18">
        <f>1 - V1479/S1479</f>
        <v/>
      </c>
      <c r="U1479" s="18" t="n">
        <v>0</v>
      </c>
      <c r="V1479" s="26" t="n">
        <v>29.6</v>
      </c>
      <c r="W1479" s="26">
        <f>V1479 - L1479</f>
        <v/>
      </c>
    </row>
    <row r="1480">
      <c r="A1480" s="11" t="n">
        <v>46218</v>
      </c>
      <c r="B1480" s="1" t="n">
        <v>20074</v>
      </c>
      <c r="C1480" s="1" t="inlineStr">
        <is>
          <t>028</t>
        </is>
      </c>
      <c r="D1480" s="1" t="inlineStr">
        <is>
          <t>182779</t>
        </is>
      </c>
      <c r="E1480" s="1" t="inlineStr">
        <is>
          <t xml:space="preserve">29854051       </t>
        </is>
      </c>
      <c r="F1480" s="5" t="inlineStr">
        <is>
          <t>TEAMSTERZ AUTO DE METAL PACK 10 AUTOS</t>
        </is>
      </c>
      <c r="G1480" t="n">
        <v>1</v>
      </c>
      <c r="H1480" s="7" t="n">
        <v>69</v>
      </c>
      <c r="I1480" s="7" t="n">
        <v>0</v>
      </c>
      <c r="J1480" s="7" t="n">
        <v>0</v>
      </c>
      <c r="K1480" s="9" t="n">
        <v>0</v>
      </c>
      <c r="L1480" s="10" t="n">
        <v>40.93</v>
      </c>
      <c r="M1480" s="10" t="n">
        <v>1.43</v>
      </c>
      <c r="N1480" t="inlineStr">
        <is>
          <t>1</t>
        </is>
      </c>
      <c r="O1480" t="inlineStr">
        <is>
          <t>16</t>
        </is>
      </c>
      <c r="P1480" t="inlineStr">
        <is>
          <t xml:space="preserve">12059   </t>
        </is>
      </c>
      <c r="Q1480" s="26" t="n">
        <v>69</v>
      </c>
      <c r="R1480" s="26">
        <f>Q1480*G1480</f>
        <v/>
      </c>
      <c r="S1480" t="n">
        <v>40.93</v>
      </c>
      <c r="T1480" s="18">
        <f>1 - V1480/S1480</f>
        <v/>
      </c>
      <c r="U1480" s="18" t="n">
        <v>0</v>
      </c>
      <c r="V1480" s="26" t="n">
        <v>40.93</v>
      </c>
      <c r="W1480" s="26">
        <f>V1480 - L1480</f>
        <v/>
      </c>
    </row>
    <row r="1481">
      <c r="A1481" s="11" t="n">
        <v>46218</v>
      </c>
      <c r="B1481" s="1" t="n">
        <v>20074</v>
      </c>
      <c r="C1481" s="1" t="inlineStr">
        <is>
          <t>031</t>
        </is>
      </c>
      <c r="D1481" s="1" t="inlineStr">
        <is>
          <t>308569</t>
        </is>
      </c>
      <c r="E1481" s="1" t="inlineStr">
        <is>
          <t xml:space="preserve">35685066       </t>
        </is>
      </c>
      <c r="F1481" s="5" t="inlineStr">
        <is>
          <t>HOT WHEELS RACK GUARDA AUTOS 3 EN 1</t>
        </is>
      </c>
      <c r="G1481" t="n">
        <v>1</v>
      </c>
      <c r="H1481" s="7" t="n">
        <v>79.90000000000001</v>
      </c>
      <c r="I1481" s="7" t="n">
        <v>0</v>
      </c>
      <c r="J1481" s="7" t="n">
        <v>0</v>
      </c>
      <c r="K1481" s="9" t="n">
        <v>0</v>
      </c>
      <c r="L1481" s="10" t="n">
        <v>47.4</v>
      </c>
      <c r="M1481" s="10" t="n">
        <v>1.43</v>
      </c>
      <c r="N1481" t="inlineStr">
        <is>
          <t>1</t>
        </is>
      </c>
      <c r="O1481" t="inlineStr">
        <is>
          <t xml:space="preserve">3 </t>
        </is>
      </c>
      <c r="P1481" t="inlineStr">
        <is>
          <t xml:space="preserve">65472   </t>
        </is>
      </c>
      <c r="Q1481" s="26" t="n">
        <v>79.90000000000001</v>
      </c>
      <c r="R1481" s="26">
        <f>Q1481*G1481</f>
        <v/>
      </c>
      <c r="S1481" t="n">
        <v>47.4</v>
      </c>
      <c r="T1481" s="18">
        <f>1 - V1481/S1481</f>
        <v/>
      </c>
      <c r="U1481" s="18" t="n">
        <v>0</v>
      </c>
      <c r="V1481" s="26" t="n">
        <v>47.4</v>
      </c>
      <c r="W1481" s="26">
        <f>V1481 - L1481</f>
        <v/>
      </c>
    </row>
    <row r="1482">
      <c r="A1482" s="11" t="n">
        <v>46218</v>
      </c>
      <c r="B1482" s="1" t="n">
        <v>20074</v>
      </c>
      <c r="C1482" s="1" t="inlineStr">
        <is>
          <t>032</t>
        </is>
      </c>
      <c r="D1482" s="1" t="inlineStr">
        <is>
          <t>262515</t>
        </is>
      </c>
      <c r="E1482" s="1" t="inlineStr">
        <is>
          <t xml:space="preserve">28194781       </t>
        </is>
      </c>
      <c r="F1482" s="5" t="inlineStr">
        <is>
          <t>TROMPO BATALLA INFINITY NADO SERIE V CLASICA SURTI</t>
        </is>
      </c>
      <c r="G1482" t="n">
        <v>1</v>
      </c>
      <c r="H1482" s="7" t="n">
        <v>59.9</v>
      </c>
      <c r="I1482" s="7" t="n">
        <v>0</v>
      </c>
      <c r="J1482" s="7" t="n">
        <v>0</v>
      </c>
      <c r="K1482" s="9" t="n">
        <v>0</v>
      </c>
      <c r="L1482" s="10" t="n">
        <v>35.53</v>
      </c>
      <c r="M1482" s="10" t="n">
        <v>1.43</v>
      </c>
      <c r="N1482" t="inlineStr">
        <is>
          <t>1</t>
        </is>
      </c>
      <c r="O1482" t="inlineStr">
        <is>
          <t>16</t>
        </is>
      </c>
      <c r="P1482" t="inlineStr">
        <is>
          <t xml:space="preserve">64344   </t>
        </is>
      </c>
      <c r="Q1482" s="26" t="n">
        <v>59.9</v>
      </c>
      <c r="R1482" s="26">
        <f>Q1482*G1482</f>
        <v/>
      </c>
      <c r="S1482" t="n">
        <v>35.53</v>
      </c>
      <c r="T1482" s="18">
        <f>1 - V1482/S1482</f>
        <v/>
      </c>
      <c r="U1482" s="18" t="n">
        <v>0.333889816360601</v>
      </c>
      <c r="V1482" s="26" t="n">
        <v>25.36016949152542</v>
      </c>
      <c r="W1482" s="26">
        <f>V1482 - L1482</f>
        <v/>
      </c>
    </row>
    <row r="1483">
      <c r="A1483" s="11" t="n">
        <v>46218</v>
      </c>
      <c r="B1483" s="1" t="n">
        <v>20074</v>
      </c>
      <c r="C1483" s="1" t="inlineStr">
        <is>
          <t>528</t>
        </is>
      </c>
      <c r="D1483" s="1" t="inlineStr">
        <is>
          <t xml:space="preserve">6119  </t>
        </is>
      </c>
      <c r="E1483" s="1" t="inlineStr">
        <is>
          <t xml:space="preserve">28194769       </t>
        </is>
      </c>
      <c r="F1483" s="5" t="inlineStr">
        <is>
          <t>AUTOS DE METAL 3 TEAMSTERZ PACK DE 2</t>
        </is>
      </c>
      <c r="G1483" t="n">
        <v>1</v>
      </c>
      <c r="H1483" s="7" t="n">
        <v>13.8</v>
      </c>
      <c r="I1483" s="7" t="n">
        <v>0</v>
      </c>
      <c r="J1483" s="7" t="n">
        <v>0</v>
      </c>
      <c r="K1483" s="9" t="n">
        <v>0</v>
      </c>
      <c r="L1483" s="10" t="n">
        <v>8.18</v>
      </c>
      <c r="M1483" s="10" t="n">
        <v>1.43</v>
      </c>
      <c r="N1483" t="inlineStr">
        <is>
          <t>1</t>
        </is>
      </c>
      <c r="O1483" t="inlineStr">
        <is>
          <t>16</t>
        </is>
      </c>
      <c r="P1483" t="inlineStr">
        <is>
          <t xml:space="preserve">251845  </t>
        </is>
      </c>
      <c r="Q1483" s="26" t="n">
        <v>13.8</v>
      </c>
      <c r="R1483" s="26">
        <f>Q1483*G1483</f>
        <v/>
      </c>
      <c r="S1483" t="n">
        <v>8.19</v>
      </c>
      <c r="T1483" s="18">
        <f>1 - V1483/S1483</f>
        <v/>
      </c>
      <c r="U1483" s="18" t="n">
        <v>0</v>
      </c>
      <c r="V1483" s="26" t="n">
        <v>8.19</v>
      </c>
      <c r="W1483" s="26">
        <f>V1483 - L1483</f>
        <v/>
      </c>
    </row>
    <row r="1484">
      <c r="A1484" s="11" t="n">
        <v>46218</v>
      </c>
      <c r="B1484" s="1" t="n">
        <v>20077</v>
      </c>
      <c r="C1484" s="1" t="inlineStr">
        <is>
          <t>011</t>
        </is>
      </c>
      <c r="D1484" s="1" t="inlineStr">
        <is>
          <t xml:space="preserve">84419 </t>
        </is>
      </c>
      <c r="E1484" s="1" t="inlineStr">
        <is>
          <t xml:space="preserve">32457099       </t>
        </is>
      </c>
      <c r="F1484" s="5" t="inlineStr">
        <is>
          <t>TMZ BEAST MACHINES MONSTER JAWS A FRICCION BLISTER</t>
        </is>
      </c>
      <c r="G1484" t="n">
        <v>1</v>
      </c>
      <c r="H1484" s="7" t="n">
        <v>19.9</v>
      </c>
      <c r="I1484" s="7" t="n">
        <v>0</v>
      </c>
      <c r="J1484" s="7" t="n">
        <v>0</v>
      </c>
      <c r="K1484" s="9" t="n">
        <v>0</v>
      </c>
      <c r="L1484" s="10" t="n">
        <v>11.8</v>
      </c>
      <c r="M1484" s="10" t="n">
        <v>1.43</v>
      </c>
      <c r="N1484" t="inlineStr">
        <is>
          <t>1</t>
        </is>
      </c>
      <c r="O1484" t="inlineStr">
        <is>
          <t>16</t>
        </is>
      </c>
      <c r="P1484" t="inlineStr">
        <is>
          <t xml:space="preserve">250382  </t>
        </is>
      </c>
      <c r="Q1484" s="26" t="n">
        <v>19.9</v>
      </c>
      <c r="R1484" s="26">
        <f>Q1484*G1484</f>
        <v/>
      </c>
      <c r="S1484" t="n">
        <v>11.81</v>
      </c>
      <c r="T1484" s="18">
        <f>1 - V1484/S1484</f>
        <v/>
      </c>
      <c r="U1484" s="18" t="n">
        <v>0.1005025125628141</v>
      </c>
      <c r="V1484" s="26" t="n">
        <v>8.417118644067797</v>
      </c>
      <c r="W1484" s="26">
        <f>V1484 - L1484</f>
        <v/>
      </c>
    </row>
    <row r="1485">
      <c r="A1485" s="11" t="n">
        <v>46218</v>
      </c>
      <c r="B1485" s="1" t="n">
        <v>20077</v>
      </c>
      <c r="C1485" s="1" t="inlineStr">
        <is>
          <t>030</t>
        </is>
      </c>
      <c r="D1485" s="1" t="inlineStr">
        <is>
          <t xml:space="preserve">40662 </t>
        </is>
      </c>
      <c r="E1485" s="1" t="inlineStr">
        <is>
          <t xml:space="preserve">35685067       </t>
        </is>
      </c>
      <c r="F1485" s="5" t="inlineStr">
        <is>
          <t>HOT WHEELS POWER SET 3 EN 1</t>
        </is>
      </c>
      <c r="G1485" t="n">
        <v>1</v>
      </c>
      <c r="H1485" s="7" t="n">
        <v>49.9</v>
      </c>
      <c r="I1485" s="7" t="n">
        <v>0</v>
      </c>
      <c r="J1485" s="7" t="n">
        <v>0</v>
      </c>
      <c r="K1485" s="9" t="n">
        <v>0</v>
      </c>
      <c r="L1485" s="10" t="n">
        <v>29.6</v>
      </c>
      <c r="M1485" s="10" t="n">
        <v>1.43</v>
      </c>
      <c r="N1485" t="inlineStr">
        <is>
          <t>1</t>
        </is>
      </c>
      <c r="O1485" t="inlineStr">
        <is>
          <t>16</t>
        </is>
      </c>
      <c r="P1485" t="inlineStr">
        <is>
          <t xml:space="preserve">61615   </t>
        </is>
      </c>
      <c r="Q1485" s="26" t="n">
        <v>49.9</v>
      </c>
      <c r="R1485" s="26">
        <f>Q1485*G1485</f>
        <v/>
      </c>
      <c r="S1485" t="n">
        <v>29.6</v>
      </c>
      <c r="T1485" s="18">
        <f>1 - V1485/S1485</f>
        <v/>
      </c>
      <c r="U1485" s="18" t="n">
        <v>0</v>
      </c>
      <c r="V1485" s="26" t="n">
        <v>29.6</v>
      </c>
      <c r="W1485" s="26">
        <f>V1485 - L1485</f>
        <v/>
      </c>
    </row>
    <row r="1486">
      <c r="A1486" s="11" t="n">
        <v>46218</v>
      </c>
      <c r="B1486" s="1" t="n">
        <v>20077</v>
      </c>
      <c r="C1486" s="1" t="inlineStr">
        <is>
          <t>030</t>
        </is>
      </c>
      <c r="D1486" s="1" t="inlineStr">
        <is>
          <t xml:space="preserve">40671 </t>
        </is>
      </c>
      <c r="E1486" s="1" t="inlineStr">
        <is>
          <t xml:space="preserve">35685067       </t>
        </is>
      </c>
      <c r="F1486" s="5" t="inlineStr">
        <is>
          <t>HOT WHEELS POWER SET 3 EN 1</t>
        </is>
      </c>
      <c r="G1486" t="n">
        <v>1</v>
      </c>
      <c r="H1486" s="7" t="n">
        <v>49.9</v>
      </c>
      <c r="I1486" s="7" t="n">
        <v>0</v>
      </c>
      <c r="J1486" s="7" t="n">
        <v>0</v>
      </c>
      <c r="K1486" s="9" t="n">
        <v>0</v>
      </c>
      <c r="L1486" s="10" t="n">
        <v>29.6</v>
      </c>
      <c r="M1486" s="10" t="n">
        <v>1.43</v>
      </c>
      <c r="N1486" t="inlineStr">
        <is>
          <t>1</t>
        </is>
      </c>
      <c r="O1486" t="inlineStr">
        <is>
          <t>16</t>
        </is>
      </c>
      <c r="P1486" t="inlineStr">
        <is>
          <t xml:space="preserve">61615   </t>
        </is>
      </c>
      <c r="Q1486" s="26" t="n">
        <v>49.9</v>
      </c>
      <c r="R1486" s="26">
        <f>Q1486*G1486</f>
        <v/>
      </c>
      <c r="S1486" t="n">
        <v>29.6</v>
      </c>
      <c r="T1486" s="18">
        <f>1 - V1486/S1486</f>
        <v/>
      </c>
      <c r="U1486" s="18" t="n">
        <v>0</v>
      </c>
      <c r="V1486" s="26" t="n">
        <v>29.6</v>
      </c>
      <c r="W1486" s="26">
        <f>V1486 - L1486</f>
        <v/>
      </c>
    </row>
    <row r="1487">
      <c r="A1487" s="11" t="n">
        <v>46218</v>
      </c>
      <c r="B1487" s="1" t="n">
        <v>20079</v>
      </c>
      <c r="C1487" s="1" t="inlineStr">
        <is>
          <t>045</t>
        </is>
      </c>
      <c r="D1487" s="1" t="inlineStr">
        <is>
          <t>332455</t>
        </is>
      </c>
      <c r="E1487" s="1" t="inlineStr">
        <is>
          <t xml:space="preserve">28194770       </t>
        </is>
      </c>
      <c r="F1487" s="5" t="inlineStr">
        <is>
          <t>AUTOS DE METAL 3 TEAMSTERZ EN BLISTER</t>
        </is>
      </c>
      <c r="G1487" t="n">
        <v>1</v>
      </c>
      <c r="H1487" s="7" t="n">
        <v>6.9</v>
      </c>
      <c r="I1487" s="7" t="n">
        <v>0</v>
      </c>
      <c r="J1487" s="7" t="n">
        <v>0</v>
      </c>
      <c r="K1487" s="9" t="n">
        <v>0</v>
      </c>
      <c r="L1487" s="10" t="n">
        <v>4.1</v>
      </c>
      <c r="M1487" s="10" t="n">
        <v>1.43</v>
      </c>
      <c r="N1487" t="inlineStr">
        <is>
          <t>1</t>
        </is>
      </c>
      <c r="O1487" t="inlineStr">
        <is>
          <t>16</t>
        </is>
      </c>
      <c r="P1487" t="inlineStr">
        <is>
          <t xml:space="preserve">57836   </t>
        </is>
      </c>
      <c r="Q1487" s="26" t="n">
        <v>6.9</v>
      </c>
      <c r="R1487" s="26">
        <f>Q1487*G1487</f>
        <v/>
      </c>
      <c r="S1487" t="n">
        <v>4.09</v>
      </c>
      <c r="T1487" s="18">
        <f>1 - V1487/S1487</f>
        <v/>
      </c>
      <c r="U1487" s="18" t="n">
        <v>0</v>
      </c>
      <c r="V1487" s="26" t="n">
        <v>4.09</v>
      </c>
      <c r="W1487" s="26">
        <f>V1487 - L1487</f>
        <v/>
      </c>
    </row>
    <row r="1488">
      <c r="A1488" s="11" t="n">
        <v>46218</v>
      </c>
      <c r="B1488" s="1" t="n">
        <v>20079</v>
      </c>
      <c r="C1488" s="1" t="inlineStr">
        <is>
          <t>045</t>
        </is>
      </c>
      <c r="D1488" s="1" t="inlineStr">
        <is>
          <t>332455</t>
        </is>
      </c>
      <c r="E1488" s="1" t="inlineStr">
        <is>
          <t xml:space="preserve">30141766       </t>
        </is>
      </c>
      <c r="F1488" s="5" t="inlineStr">
        <is>
          <t>TMZ BEAST MACHINES AUTOS DE METAL BLISTER X 1</t>
        </is>
      </c>
      <c r="G1488" t="n">
        <v>1</v>
      </c>
      <c r="H1488" s="7" t="n">
        <v>7.9</v>
      </c>
      <c r="I1488" s="7" t="n">
        <v>0</v>
      </c>
      <c r="J1488" s="7" t="n">
        <v>0</v>
      </c>
      <c r="K1488" s="9" t="n">
        <v>0</v>
      </c>
      <c r="L1488" s="10" t="n">
        <v>4.68</v>
      </c>
      <c r="M1488" s="10" t="n">
        <v>1.43</v>
      </c>
      <c r="N1488" t="inlineStr">
        <is>
          <t>1</t>
        </is>
      </c>
      <c r="O1488" t="inlineStr">
        <is>
          <t>16</t>
        </is>
      </c>
      <c r="P1488" t="inlineStr">
        <is>
          <t xml:space="preserve">57836   </t>
        </is>
      </c>
      <c r="Q1488" s="26" t="n">
        <v>7.9</v>
      </c>
      <c r="R1488" s="26">
        <f>Q1488*G1488</f>
        <v/>
      </c>
      <c r="S1488" t="n">
        <v>4.69</v>
      </c>
      <c r="T1488" s="18">
        <f>1 - V1488/S1488</f>
        <v/>
      </c>
      <c r="U1488" s="18" t="n">
        <v>0</v>
      </c>
      <c r="V1488" s="26" t="n">
        <v>4.69</v>
      </c>
      <c r="W1488" s="26">
        <f>V1488 - L1488</f>
        <v/>
      </c>
    </row>
    <row r="1489">
      <c r="A1489" s="11" t="n">
        <v>46218</v>
      </c>
      <c r="B1489" s="1" t="n">
        <v>20079</v>
      </c>
      <c r="C1489" s="1" t="inlineStr">
        <is>
          <t>051</t>
        </is>
      </c>
      <c r="D1489" s="1" t="inlineStr">
        <is>
          <t>236031</t>
        </is>
      </c>
      <c r="E1489" s="1" t="inlineStr">
        <is>
          <t xml:space="preserve">31754674       </t>
        </is>
      </c>
      <c r="F1489" s="5" t="inlineStr">
        <is>
          <t>PEPE MOCO - CEREBRO SALTARIN</t>
        </is>
      </c>
      <c r="G1489" t="n">
        <v>1</v>
      </c>
      <c r="H1489" s="7" t="n">
        <v>89.90000000000001</v>
      </c>
      <c r="I1489" s="7" t="n">
        <v>0</v>
      </c>
      <c r="J1489" s="7" t="n">
        <v>0</v>
      </c>
      <c r="K1489" s="9" t="n">
        <v>0</v>
      </c>
      <c r="L1489" s="10" t="n">
        <v>53.33</v>
      </c>
      <c r="M1489" s="10" t="n">
        <v>1.43</v>
      </c>
      <c r="N1489" t="inlineStr">
        <is>
          <t>1</t>
        </is>
      </c>
      <c r="O1489" t="inlineStr">
        <is>
          <t xml:space="preserve">2 </t>
        </is>
      </c>
      <c r="P1489" t="inlineStr">
        <is>
          <t xml:space="preserve">75771   </t>
        </is>
      </c>
      <c r="Q1489" s="26" t="n">
        <v>89.90000000000001</v>
      </c>
      <c r="R1489" s="26">
        <f>Q1489*G1489</f>
        <v/>
      </c>
      <c r="S1489" t="n">
        <v>53.33</v>
      </c>
      <c r="T1489" s="18">
        <f>1 - V1489/S1489</f>
        <v/>
      </c>
      <c r="U1489" s="18" t="n">
        <v>0</v>
      </c>
      <c r="V1489" s="26" t="n">
        <v>53.33</v>
      </c>
      <c r="W1489" s="26">
        <f>V1489 - L1489</f>
        <v/>
      </c>
    </row>
    <row r="1490">
      <c r="A1490" s="11" t="n">
        <v>46218</v>
      </c>
      <c r="B1490" s="1" t="n">
        <v>20080</v>
      </c>
      <c r="C1490" s="1" t="inlineStr">
        <is>
          <t>029</t>
        </is>
      </c>
      <c r="D1490" s="1" t="inlineStr">
        <is>
          <t>225549</t>
        </is>
      </c>
      <c r="E1490" s="1" t="inlineStr">
        <is>
          <t xml:space="preserve">33483123       </t>
        </is>
      </c>
      <c r="F1490" s="5" t="inlineStr">
        <is>
          <t>NENUCO DISFRACES</t>
        </is>
      </c>
      <c r="G1490" t="n">
        <v>1</v>
      </c>
      <c r="H1490" s="7" t="n">
        <v>89.90000000000001</v>
      </c>
      <c r="I1490" s="7" t="n">
        <v>0</v>
      </c>
      <c r="J1490" s="7" t="n">
        <v>0</v>
      </c>
      <c r="K1490" s="9" t="n">
        <v>0</v>
      </c>
      <c r="L1490" s="10" t="n">
        <v>53.33</v>
      </c>
      <c r="M1490" s="10" t="n">
        <v>1.43</v>
      </c>
      <c r="N1490" t="inlineStr">
        <is>
          <t>1</t>
        </is>
      </c>
      <c r="O1490" t="inlineStr">
        <is>
          <t xml:space="preserve">2 </t>
        </is>
      </c>
      <c r="P1490" t="inlineStr">
        <is>
          <t xml:space="preserve">66628   </t>
        </is>
      </c>
      <c r="Q1490" s="26" t="n">
        <v>89.90000000000001</v>
      </c>
      <c r="R1490" s="26">
        <f>Q1490*G1490</f>
        <v/>
      </c>
      <c r="S1490" t="n">
        <v>53.33</v>
      </c>
      <c r="T1490" s="18">
        <f>1 - V1490/S1490</f>
        <v/>
      </c>
      <c r="U1490" s="18" t="n">
        <v>0.2224694104560623</v>
      </c>
      <c r="V1490" s="26" t="n">
        <v>44.42796610169492</v>
      </c>
      <c r="W1490" s="26">
        <f>V1490 - L1490</f>
        <v/>
      </c>
    </row>
    <row r="1491">
      <c r="A1491" s="11" t="n">
        <v>46218</v>
      </c>
      <c r="B1491" s="1" t="n">
        <v>20080</v>
      </c>
      <c r="C1491" s="1" t="inlineStr">
        <is>
          <t>029</t>
        </is>
      </c>
      <c r="D1491" s="1" t="inlineStr">
        <is>
          <t>225620</t>
        </is>
      </c>
      <c r="E1491" s="1" t="inlineStr">
        <is>
          <t xml:space="preserve">28194770       </t>
        </is>
      </c>
      <c r="F1491" s="5" t="inlineStr">
        <is>
          <t>AUTOS DE METAL 3 TEAMSTERZ EN BLISTER</t>
        </is>
      </c>
      <c r="G1491" t="n">
        <v>1</v>
      </c>
      <c r="H1491" s="7" t="n">
        <v>6.9</v>
      </c>
      <c r="I1491" s="7" t="n">
        <v>0</v>
      </c>
      <c r="J1491" s="7" t="n">
        <v>0</v>
      </c>
      <c r="K1491" s="9" t="n">
        <v>0</v>
      </c>
      <c r="L1491" s="10" t="n">
        <v>4.1</v>
      </c>
      <c r="M1491" s="10" t="n">
        <v>1.43</v>
      </c>
      <c r="N1491" t="inlineStr">
        <is>
          <t>1</t>
        </is>
      </c>
      <c r="O1491" t="inlineStr">
        <is>
          <t xml:space="preserve">3 </t>
        </is>
      </c>
      <c r="P1491" t="inlineStr">
        <is>
          <t xml:space="preserve">66628   </t>
        </is>
      </c>
      <c r="Q1491" s="26" t="n">
        <v>6.9</v>
      </c>
      <c r="R1491" s="26">
        <f>Q1491*G1491</f>
        <v/>
      </c>
      <c r="S1491" t="n">
        <v>4.09</v>
      </c>
      <c r="T1491" s="18">
        <f>1 - V1491/S1491</f>
        <v/>
      </c>
      <c r="U1491" s="18" t="n">
        <v>0</v>
      </c>
      <c r="V1491" s="26" t="n">
        <v>4.09</v>
      </c>
      <c r="W1491" s="26">
        <f>V1491 - L1491</f>
        <v/>
      </c>
    </row>
    <row r="1492">
      <c r="A1492" s="11" t="n">
        <v>46218</v>
      </c>
      <c r="B1492" s="1" t="n">
        <v>20086</v>
      </c>
      <c r="C1492" s="1" t="inlineStr">
        <is>
          <t>015</t>
        </is>
      </c>
      <c r="D1492" s="1" t="inlineStr">
        <is>
          <t xml:space="preserve">3975  </t>
        </is>
      </c>
      <c r="E1492" s="1" t="inlineStr">
        <is>
          <t xml:space="preserve">28194770       </t>
        </is>
      </c>
      <c r="F1492" s="5" t="inlineStr">
        <is>
          <t>AUTOS DE METAL 3 TEAMSTERZ EN BLISTER</t>
        </is>
      </c>
      <c r="G1492" t="n">
        <v>1</v>
      </c>
      <c r="H1492" s="7" t="n">
        <v>6.9</v>
      </c>
      <c r="I1492" s="7" t="n">
        <v>0</v>
      </c>
      <c r="J1492" s="7" t="n">
        <v>0</v>
      </c>
      <c r="K1492" s="9" t="n">
        <v>0</v>
      </c>
      <c r="L1492" s="10" t="n">
        <v>4.1</v>
      </c>
      <c r="M1492" s="10" t="n">
        <v>1.43</v>
      </c>
      <c r="N1492" t="inlineStr">
        <is>
          <t>1</t>
        </is>
      </c>
      <c r="O1492" t="inlineStr">
        <is>
          <t xml:space="preserve">2 </t>
        </is>
      </c>
      <c r="P1492" t="inlineStr">
        <is>
          <t xml:space="preserve">95768   </t>
        </is>
      </c>
      <c r="Q1492" s="26" t="n">
        <v>6.9</v>
      </c>
      <c r="R1492" s="26">
        <f>Q1492*G1492</f>
        <v/>
      </c>
      <c r="S1492" t="n">
        <v>4.09</v>
      </c>
      <c r="T1492" s="18">
        <f>1 - V1492/S1492</f>
        <v/>
      </c>
      <c r="U1492" s="18" t="n">
        <v>0</v>
      </c>
      <c r="V1492" s="26" t="n">
        <v>4.09</v>
      </c>
      <c r="W1492" s="26">
        <f>V1492 - L1492</f>
        <v/>
      </c>
    </row>
    <row r="1493">
      <c r="A1493" s="11" t="n">
        <v>46218</v>
      </c>
      <c r="B1493" s="1" t="n">
        <v>20086</v>
      </c>
      <c r="C1493" s="1" t="inlineStr">
        <is>
          <t>500</t>
        </is>
      </c>
      <c r="D1493" s="1" t="inlineStr">
        <is>
          <t xml:space="preserve">4365  </t>
        </is>
      </c>
      <c r="E1493" s="1" t="inlineStr">
        <is>
          <t xml:space="preserve">28194769       </t>
        </is>
      </c>
      <c r="F1493" s="5" t="inlineStr">
        <is>
          <t>AUTOS DE METAL 3 TEAMSTERZ PACK DE 2</t>
        </is>
      </c>
      <c r="G1493" t="n">
        <v>1</v>
      </c>
      <c r="H1493" s="7" t="n">
        <v>13.8</v>
      </c>
      <c r="I1493" s="7" t="n">
        <v>0</v>
      </c>
      <c r="J1493" s="7" t="n">
        <v>0</v>
      </c>
      <c r="K1493" s="9" t="n">
        <v>0</v>
      </c>
      <c r="L1493" s="10" t="n">
        <v>8.18</v>
      </c>
      <c r="M1493" s="10" t="n">
        <v>1.43</v>
      </c>
      <c r="N1493" t="inlineStr">
        <is>
          <t>1</t>
        </is>
      </c>
      <c r="O1493" t="inlineStr">
        <is>
          <t>16</t>
        </is>
      </c>
      <c r="P1493" t="inlineStr">
        <is>
          <t xml:space="preserve">239143  </t>
        </is>
      </c>
      <c r="Q1493" s="26" t="n">
        <v>13.8</v>
      </c>
      <c r="R1493" s="26">
        <f>Q1493*G1493</f>
        <v/>
      </c>
      <c r="S1493" t="n">
        <v>8.19</v>
      </c>
      <c r="T1493" s="18">
        <f>1 - V1493/S1493</f>
        <v/>
      </c>
      <c r="U1493" s="18" t="n">
        <v>0</v>
      </c>
      <c r="V1493" s="26" t="n">
        <v>8.19</v>
      </c>
      <c r="W1493" s="26">
        <f>V1493 - L1493</f>
        <v/>
      </c>
    </row>
    <row r="1494">
      <c r="A1494" s="11" t="n">
        <v>46218</v>
      </c>
      <c r="B1494" s="1" t="n">
        <v>20088</v>
      </c>
      <c r="C1494" s="1" t="inlineStr">
        <is>
          <t>021</t>
        </is>
      </c>
      <c r="D1494" s="1" t="inlineStr">
        <is>
          <t xml:space="preserve">49086 </t>
        </is>
      </c>
      <c r="E1494" s="1" t="inlineStr">
        <is>
          <t xml:space="preserve">32457099       </t>
        </is>
      </c>
      <c r="F1494" s="5" t="inlineStr">
        <is>
          <t>TMZ BEAST MACHINES MONSTER JAWS A FRICCION BLISTER</t>
        </is>
      </c>
      <c r="G1494" t="n">
        <v>1</v>
      </c>
      <c r="H1494" s="7" t="n">
        <v>17.9</v>
      </c>
      <c r="I1494" s="7" t="n">
        <v>0</v>
      </c>
      <c r="J1494" s="7" t="n">
        <v>0</v>
      </c>
      <c r="K1494" s="9" t="n">
        <v>0</v>
      </c>
      <c r="L1494" s="10" t="n">
        <v>10.62</v>
      </c>
      <c r="M1494" s="10" t="n">
        <v>1.43</v>
      </c>
      <c r="N1494" t="inlineStr">
        <is>
          <t>1</t>
        </is>
      </c>
      <c r="O1494" t="inlineStr">
        <is>
          <t>16</t>
        </is>
      </c>
      <c r="P1494" t="inlineStr">
        <is>
          <t xml:space="preserve">249601  </t>
        </is>
      </c>
      <c r="Q1494" s="26" t="n">
        <v>19.9</v>
      </c>
      <c r="R1494" s="26">
        <f>Q1494*G1494</f>
        <v/>
      </c>
      <c r="S1494" t="n">
        <v>11.81</v>
      </c>
      <c r="T1494" s="18">
        <f>1 - V1494/S1494</f>
        <v/>
      </c>
      <c r="U1494" s="18" t="n">
        <v>0.1005025125628141</v>
      </c>
      <c r="V1494" s="26" t="n">
        <v>8.417118644067797</v>
      </c>
      <c r="W1494" s="26">
        <f>V1494 - L1494</f>
        <v/>
      </c>
    </row>
    <row r="1495">
      <c r="A1495" s="11" t="n">
        <v>46218</v>
      </c>
      <c r="B1495" s="1" t="n">
        <v>20088</v>
      </c>
      <c r="C1495" s="1" t="inlineStr">
        <is>
          <t>021</t>
        </is>
      </c>
      <c r="D1495" s="1" t="inlineStr">
        <is>
          <t xml:space="preserve">49098 </t>
        </is>
      </c>
      <c r="E1495" s="1" t="inlineStr">
        <is>
          <t xml:space="preserve">28194768       </t>
        </is>
      </c>
      <c r="F1495" s="5" t="inlineStr">
        <is>
          <t>AUTO COLOR CHANGE TEAMSTERZ SURTIDO</t>
        </is>
      </c>
      <c r="G1495" t="n">
        <v>1</v>
      </c>
      <c r="H1495" s="7" t="n">
        <v>14.9</v>
      </c>
      <c r="I1495" s="7" t="n">
        <v>0</v>
      </c>
      <c r="J1495" s="7" t="n">
        <v>0</v>
      </c>
      <c r="K1495" s="9" t="n">
        <v>0</v>
      </c>
      <c r="L1495" s="10" t="n">
        <v>8.84</v>
      </c>
      <c r="M1495" s="10" t="n">
        <v>1.43</v>
      </c>
      <c r="N1495" t="inlineStr">
        <is>
          <t>1</t>
        </is>
      </c>
      <c r="O1495" t="inlineStr">
        <is>
          <t>16</t>
        </is>
      </c>
      <c r="P1495" t="inlineStr">
        <is>
          <t xml:space="preserve">249601  </t>
        </is>
      </c>
      <c r="Q1495" s="26" t="n">
        <v>14.9</v>
      </c>
      <c r="R1495" s="26">
        <f>Q1495*G1495</f>
        <v/>
      </c>
      <c r="S1495" t="n">
        <v>8.84</v>
      </c>
      <c r="T1495" s="18">
        <f>1 - V1495/S1495</f>
        <v/>
      </c>
      <c r="U1495" s="18" t="n">
        <v>0</v>
      </c>
      <c r="V1495" s="26" t="n">
        <v>8.84</v>
      </c>
      <c r="W1495" s="26">
        <f>V1495 - L1495</f>
        <v/>
      </c>
    </row>
    <row r="1496">
      <c r="A1496" s="11" t="n">
        <v>46218</v>
      </c>
      <c r="B1496" s="1" t="n">
        <v>20088</v>
      </c>
      <c r="C1496" s="1" t="inlineStr">
        <is>
          <t>021</t>
        </is>
      </c>
      <c r="D1496" s="1" t="inlineStr">
        <is>
          <t xml:space="preserve">49106 </t>
        </is>
      </c>
      <c r="E1496" s="1" t="inlineStr">
        <is>
          <t xml:space="preserve">28194768       </t>
        </is>
      </c>
      <c r="F1496" s="5" t="inlineStr">
        <is>
          <t>AUTO COLOR CHANGE TEAMSTERZ SURTIDO</t>
        </is>
      </c>
      <c r="G1496" t="n">
        <v>1</v>
      </c>
      <c r="H1496" s="7" t="n">
        <v>14.9</v>
      </c>
      <c r="I1496" s="7" t="n">
        <v>0</v>
      </c>
      <c r="J1496" s="7" t="n">
        <v>0</v>
      </c>
      <c r="K1496" s="9" t="n">
        <v>0</v>
      </c>
      <c r="L1496" s="10" t="n">
        <v>8.84</v>
      </c>
      <c r="M1496" s="10" t="n">
        <v>1.43</v>
      </c>
      <c r="N1496" t="inlineStr">
        <is>
          <t>1</t>
        </is>
      </c>
      <c r="O1496" t="inlineStr">
        <is>
          <t xml:space="preserve">2 </t>
        </is>
      </c>
      <c r="P1496" t="inlineStr">
        <is>
          <t xml:space="preserve">249601  </t>
        </is>
      </c>
      <c r="Q1496" s="26" t="n">
        <v>14.9</v>
      </c>
      <c r="R1496" s="26">
        <f>Q1496*G1496</f>
        <v/>
      </c>
      <c r="S1496" t="n">
        <v>8.84</v>
      </c>
      <c r="T1496" s="18">
        <f>1 - V1496/S1496</f>
        <v/>
      </c>
      <c r="U1496" s="18" t="n">
        <v>0</v>
      </c>
      <c r="V1496" s="26" t="n">
        <v>8.84</v>
      </c>
      <c r="W1496" s="26">
        <f>V1496 - L1496</f>
        <v/>
      </c>
    </row>
    <row r="1497">
      <c r="A1497" s="11" t="n">
        <v>46218</v>
      </c>
      <c r="B1497" s="1" t="n">
        <v>20088</v>
      </c>
      <c r="C1497" s="1" t="inlineStr">
        <is>
          <t>021</t>
        </is>
      </c>
      <c r="D1497" s="1" t="inlineStr">
        <is>
          <t xml:space="preserve">49106 </t>
        </is>
      </c>
      <c r="E1497" s="1" t="inlineStr">
        <is>
          <t xml:space="preserve">28194768       </t>
        </is>
      </c>
      <c r="F1497" s="5" t="inlineStr">
        <is>
          <t>AUTO COLOR CHANGE TEAMSTERZ SURTIDO</t>
        </is>
      </c>
      <c r="G1497" t="n">
        <v>1</v>
      </c>
      <c r="H1497" s="7" t="n">
        <v>14.9</v>
      </c>
      <c r="I1497" s="7" t="n">
        <v>0</v>
      </c>
      <c r="J1497" s="7" t="n">
        <v>0</v>
      </c>
      <c r="K1497" s="9" t="n">
        <v>0</v>
      </c>
      <c r="L1497" s="10" t="n">
        <v>8.84</v>
      </c>
      <c r="M1497" s="10" t="n">
        <v>1.43</v>
      </c>
      <c r="N1497" t="inlineStr">
        <is>
          <t>1</t>
        </is>
      </c>
      <c r="O1497" t="inlineStr">
        <is>
          <t xml:space="preserve">2 </t>
        </is>
      </c>
      <c r="P1497" t="inlineStr">
        <is>
          <t xml:space="preserve">249601  </t>
        </is>
      </c>
      <c r="Q1497" s="26" t="n">
        <v>14.9</v>
      </c>
      <c r="R1497" s="26">
        <f>Q1497*G1497</f>
        <v/>
      </c>
      <c r="S1497" t="n">
        <v>8.84</v>
      </c>
      <c r="T1497" s="18">
        <f>1 - V1497/S1497</f>
        <v/>
      </c>
      <c r="U1497" s="18" t="n">
        <v>0</v>
      </c>
      <c r="V1497" s="26" t="n">
        <v>8.84</v>
      </c>
      <c r="W1497" s="26">
        <f>V1497 - L1497</f>
        <v/>
      </c>
    </row>
    <row r="1498">
      <c r="A1498" s="11" t="n">
        <v>46218</v>
      </c>
      <c r="B1498" s="1" t="n">
        <v>20088</v>
      </c>
      <c r="C1498" s="1" t="inlineStr">
        <is>
          <t>021</t>
        </is>
      </c>
      <c r="D1498" s="1" t="inlineStr">
        <is>
          <t xml:space="preserve">803   </t>
        </is>
      </c>
      <c r="E1498" s="1" t="inlineStr">
        <is>
          <t xml:space="preserve">28194765       </t>
        </is>
      </c>
      <c r="F1498" s="5" t="inlineStr">
        <is>
          <t>PLAYSET COLOR CHANGE TIBURN TEAMSTERZ  1 AUTITO</t>
        </is>
      </c>
      <c r="G1498" t="n">
        <v>1</v>
      </c>
      <c r="H1498" s="7" t="n">
        <v>79.90000000000001</v>
      </c>
      <c r="I1498" s="7" t="n">
        <v>0</v>
      </c>
      <c r="J1498" s="7" t="n">
        <v>0</v>
      </c>
      <c r="K1498" s="9" t="n">
        <v>0</v>
      </c>
      <c r="L1498" s="10" t="n">
        <v>47.4</v>
      </c>
      <c r="M1498" s="10" t="n">
        <v>1.43</v>
      </c>
      <c r="N1498" t="inlineStr">
        <is>
          <t>1</t>
        </is>
      </c>
      <c r="O1498" t="inlineStr">
        <is>
          <t>16</t>
        </is>
      </c>
      <c r="P1498" t="inlineStr">
        <is>
          <t xml:space="preserve">249601  </t>
        </is>
      </c>
      <c r="Q1498" s="26" t="n">
        <v>79.90000000000001</v>
      </c>
      <c r="R1498" s="26">
        <f>Q1498*G1498</f>
        <v/>
      </c>
      <c r="S1498" t="n">
        <v>47.4</v>
      </c>
      <c r="T1498" s="18">
        <f>1 - V1498/S1498</f>
        <v/>
      </c>
      <c r="U1498" s="18" t="n">
        <v>0</v>
      </c>
      <c r="V1498" s="26" t="n">
        <v>47.4</v>
      </c>
      <c r="W1498" s="26">
        <f>V1498 - L1498</f>
        <v/>
      </c>
    </row>
    <row r="1499">
      <c r="A1499" s="11" t="n">
        <v>46218</v>
      </c>
      <c r="B1499" s="1" t="n">
        <v>20089</v>
      </c>
      <c r="C1499" s="1" t="inlineStr">
        <is>
          <t>025</t>
        </is>
      </c>
      <c r="D1499" s="1" t="inlineStr">
        <is>
          <t>121774</t>
        </is>
      </c>
      <c r="E1499" s="1" t="inlineStr">
        <is>
          <t xml:space="preserve">28194770       </t>
        </is>
      </c>
      <c r="F1499" s="5" t="inlineStr">
        <is>
          <t>AUTOS DE METAL 3 TEAMSTERZ EN BLISTER</t>
        </is>
      </c>
      <c r="G1499" t="n">
        <v>1</v>
      </c>
      <c r="H1499" s="7" t="n">
        <v>6.9</v>
      </c>
      <c r="I1499" s="7" t="n">
        <v>0</v>
      </c>
      <c r="J1499" s="7" t="n">
        <v>0</v>
      </c>
      <c r="K1499" s="9" t="n">
        <v>0</v>
      </c>
      <c r="L1499" s="10" t="n">
        <v>4.1</v>
      </c>
      <c r="M1499" s="10" t="n">
        <v>1.43</v>
      </c>
      <c r="N1499" t="inlineStr">
        <is>
          <t>1</t>
        </is>
      </c>
      <c r="O1499" t="inlineStr">
        <is>
          <t>16</t>
        </is>
      </c>
      <c r="P1499" t="inlineStr">
        <is>
          <t xml:space="preserve">94948   </t>
        </is>
      </c>
      <c r="Q1499" s="26" t="n">
        <v>6.9</v>
      </c>
      <c r="R1499" s="26">
        <f>Q1499*G1499</f>
        <v/>
      </c>
      <c r="S1499" t="n">
        <v>4.09</v>
      </c>
      <c r="T1499" s="18">
        <f>1 - V1499/S1499</f>
        <v/>
      </c>
      <c r="U1499" s="18" t="n">
        <v>0</v>
      </c>
      <c r="V1499" s="26" t="n">
        <v>4.09</v>
      </c>
      <c r="W1499" s="26">
        <f>V1499 - L1499</f>
        <v/>
      </c>
    </row>
    <row r="1500">
      <c r="A1500" s="11" t="n">
        <v>46218</v>
      </c>
      <c r="B1500" s="1" t="n">
        <v>20089</v>
      </c>
      <c r="C1500" s="1" t="inlineStr">
        <is>
          <t>025</t>
        </is>
      </c>
      <c r="D1500" s="1" t="inlineStr">
        <is>
          <t>121774</t>
        </is>
      </c>
      <c r="E1500" s="1" t="inlineStr">
        <is>
          <t xml:space="preserve">30141766       </t>
        </is>
      </c>
      <c r="F1500" s="5" t="inlineStr">
        <is>
          <t>TMZ BEAST MACHINES AUTOS DE METAL BLISTER X 1</t>
        </is>
      </c>
      <c r="G1500" t="n">
        <v>1</v>
      </c>
      <c r="H1500" s="7" t="n">
        <v>7.9</v>
      </c>
      <c r="I1500" s="7" t="n">
        <v>0</v>
      </c>
      <c r="J1500" s="7" t="n">
        <v>0</v>
      </c>
      <c r="K1500" s="9" t="n">
        <v>0</v>
      </c>
      <c r="L1500" s="10" t="n">
        <v>4.68</v>
      </c>
      <c r="M1500" s="10" t="n">
        <v>1.43</v>
      </c>
      <c r="N1500" t="inlineStr">
        <is>
          <t>1</t>
        </is>
      </c>
      <c r="O1500" t="inlineStr">
        <is>
          <t>16</t>
        </is>
      </c>
      <c r="P1500" t="inlineStr">
        <is>
          <t xml:space="preserve">94948   </t>
        </is>
      </c>
      <c r="Q1500" s="26" t="n">
        <v>7.9</v>
      </c>
      <c r="R1500" s="26">
        <f>Q1500*G1500</f>
        <v/>
      </c>
      <c r="S1500" t="n">
        <v>4.69</v>
      </c>
      <c r="T1500" s="18">
        <f>1 - V1500/S1500</f>
        <v/>
      </c>
      <c r="U1500" s="18" t="n">
        <v>0</v>
      </c>
      <c r="V1500" s="26" t="n">
        <v>4.69</v>
      </c>
      <c r="W1500" s="26">
        <f>V1500 - L1500</f>
        <v/>
      </c>
    </row>
    <row r="1501">
      <c r="A1501" s="11" t="n">
        <v>46218</v>
      </c>
      <c r="B1501" s="1" t="n">
        <v>20089</v>
      </c>
      <c r="C1501" s="1" t="inlineStr">
        <is>
          <t>026</t>
        </is>
      </c>
      <c r="D1501" s="1" t="inlineStr">
        <is>
          <t xml:space="preserve">87876 </t>
        </is>
      </c>
      <c r="E1501" s="1" t="inlineStr">
        <is>
          <t xml:space="preserve">28194770       </t>
        </is>
      </c>
      <c r="F1501" s="5" t="inlineStr">
        <is>
          <t>AUTOS DE METAL 3 TEAMSTERZ EN BLISTER</t>
        </is>
      </c>
      <c r="G1501" t="n">
        <v>1</v>
      </c>
      <c r="H1501" s="7" t="n">
        <v>6.9</v>
      </c>
      <c r="I1501" s="7" t="n">
        <v>0</v>
      </c>
      <c r="J1501" s="7" t="n">
        <v>0</v>
      </c>
      <c r="K1501" s="9" t="n">
        <v>0</v>
      </c>
      <c r="L1501" s="10" t="n">
        <v>4.1</v>
      </c>
      <c r="M1501" s="10" t="n">
        <v>1.43</v>
      </c>
      <c r="N1501" t="inlineStr">
        <is>
          <t>1</t>
        </is>
      </c>
      <c r="O1501" t="inlineStr">
        <is>
          <t>16</t>
        </is>
      </c>
      <c r="P1501" t="inlineStr">
        <is>
          <t xml:space="preserve">109709  </t>
        </is>
      </c>
      <c r="Q1501" s="26" t="n">
        <v>6.9</v>
      </c>
      <c r="R1501" s="26">
        <f>Q1501*G1501</f>
        <v/>
      </c>
      <c r="S1501" t="n">
        <v>4.09</v>
      </c>
      <c r="T1501" s="18">
        <f>1 - V1501/S1501</f>
        <v/>
      </c>
      <c r="U1501" s="18" t="n">
        <v>0</v>
      </c>
      <c r="V1501" s="26" t="n">
        <v>4.09</v>
      </c>
      <c r="W1501" s="26">
        <f>V1501 - L1501</f>
        <v/>
      </c>
    </row>
    <row r="1502">
      <c r="A1502" s="11" t="n">
        <v>46218</v>
      </c>
      <c r="B1502" s="1" t="n">
        <v>20089</v>
      </c>
      <c r="C1502" s="1" t="inlineStr">
        <is>
          <t>026</t>
        </is>
      </c>
      <c r="D1502" s="1" t="inlineStr">
        <is>
          <t xml:space="preserve">87909 </t>
        </is>
      </c>
      <c r="E1502" s="1" t="inlineStr">
        <is>
          <t xml:space="preserve">29235710       </t>
        </is>
      </c>
      <c r="F1502" s="5" t="inlineStr">
        <is>
          <t>TEAMSTERZ PLAYSET GRANDES CONSTRUCCIONES</t>
        </is>
      </c>
      <c r="G1502" t="n">
        <v>1</v>
      </c>
      <c r="H1502" s="7" t="n">
        <v>19.9</v>
      </c>
      <c r="I1502" s="7" t="n">
        <v>0</v>
      </c>
      <c r="J1502" s="7" t="n">
        <v>0</v>
      </c>
      <c r="K1502" s="9" t="n">
        <v>0</v>
      </c>
      <c r="L1502" s="10" t="n">
        <v>11.8</v>
      </c>
      <c r="M1502" s="10" t="n">
        <v>1.43</v>
      </c>
      <c r="N1502" t="inlineStr">
        <is>
          <t>1</t>
        </is>
      </c>
      <c r="O1502" t="inlineStr">
        <is>
          <t>16</t>
        </is>
      </c>
      <c r="P1502" t="inlineStr">
        <is>
          <t xml:space="preserve">109709  </t>
        </is>
      </c>
      <c r="Q1502" s="26" t="n">
        <v>19.9</v>
      </c>
      <c r="R1502" s="26">
        <f>Q1502*G1502</f>
        <v/>
      </c>
      <c r="S1502" t="n">
        <v>11.81</v>
      </c>
      <c r="T1502" s="18">
        <f>1 - V1502/S1502</f>
        <v/>
      </c>
      <c r="U1502" s="18" t="n">
        <v>0</v>
      </c>
      <c r="V1502" s="26" t="n">
        <v>11.81</v>
      </c>
      <c r="W1502" s="26">
        <f>V1502 - L1502</f>
        <v/>
      </c>
    </row>
    <row r="1503">
      <c r="A1503" s="11" t="n">
        <v>46218</v>
      </c>
      <c r="B1503" s="1" t="n">
        <v>20089</v>
      </c>
      <c r="C1503" s="1" t="inlineStr">
        <is>
          <t>026</t>
        </is>
      </c>
      <c r="D1503" s="1" t="inlineStr">
        <is>
          <t xml:space="preserve">87931 </t>
        </is>
      </c>
      <c r="E1503" s="1" t="inlineStr">
        <is>
          <t xml:space="preserve">28194770       </t>
        </is>
      </c>
      <c r="F1503" s="5" t="inlineStr">
        <is>
          <t>AUTOS DE METAL 3 TEAMSTERZ EN BLISTER</t>
        </is>
      </c>
      <c r="G1503" t="n">
        <v>1</v>
      </c>
      <c r="H1503" s="7" t="n">
        <v>6.9</v>
      </c>
      <c r="I1503" s="7" t="n">
        <v>0</v>
      </c>
      <c r="J1503" s="7" t="n">
        <v>0</v>
      </c>
      <c r="K1503" s="9" t="n">
        <v>0</v>
      </c>
      <c r="L1503" s="10" t="n">
        <v>4.1</v>
      </c>
      <c r="M1503" s="10" t="n">
        <v>1.43</v>
      </c>
      <c r="N1503" t="inlineStr">
        <is>
          <t>1</t>
        </is>
      </c>
      <c r="O1503" t="inlineStr">
        <is>
          <t>16</t>
        </is>
      </c>
      <c r="P1503" t="inlineStr">
        <is>
          <t xml:space="preserve">109709  </t>
        </is>
      </c>
      <c r="Q1503" s="26" t="n">
        <v>6.9</v>
      </c>
      <c r="R1503" s="26">
        <f>Q1503*G1503</f>
        <v/>
      </c>
      <c r="S1503" t="n">
        <v>4.09</v>
      </c>
      <c r="T1503" s="18">
        <f>1 - V1503/S1503</f>
        <v/>
      </c>
      <c r="U1503" s="18" t="n">
        <v>0</v>
      </c>
      <c r="V1503" s="26" t="n">
        <v>4.09</v>
      </c>
      <c r="W1503" s="26">
        <f>V1503 - L1503</f>
        <v/>
      </c>
    </row>
    <row r="1504">
      <c r="A1504" s="11" t="n">
        <v>46218</v>
      </c>
      <c r="B1504" s="1" t="n">
        <v>20089</v>
      </c>
      <c r="C1504" s="1" t="inlineStr">
        <is>
          <t>026</t>
        </is>
      </c>
      <c r="D1504" s="1" t="inlineStr">
        <is>
          <t xml:space="preserve">87957 </t>
        </is>
      </c>
      <c r="E1504" s="1" t="inlineStr">
        <is>
          <t xml:space="preserve">28194783       </t>
        </is>
      </c>
      <c r="F1504" s="5" t="inlineStr">
        <is>
          <t>SET DE BATALLA INFINITY NADO CON 2 TROMPOS</t>
        </is>
      </c>
      <c r="G1504" t="n">
        <v>1</v>
      </c>
      <c r="H1504" s="7" t="n">
        <v>159</v>
      </c>
      <c r="I1504" s="7" t="n">
        <v>0</v>
      </c>
      <c r="J1504" s="7" t="n">
        <v>0</v>
      </c>
      <c r="K1504" s="9" t="n">
        <v>0</v>
      </c>
      <c r="L1504" s="10" t="n">
        <v>94.33</v>
      </c>
      <c r="M1504" s="10" t="n">
        <v>1.43</v>
      </c>
      <c r="N1504" t="inlineStr">
        <is>
          <t>1</t>
        </is>
      </c>
      <c r="O1504" t="inlineStr">
        <is>
          <t>16</t>
        </is>
      </c>
      <c r="P1504" t="inlineStr">
        <is>
          <t xml:space="preserve">109709  </t>
        </is>
      </c>
      <c r="Q1504" s="26" t="n">
        <v>159</v>
      </c>
      <c r="R1504" s="26">
        <f>Q1504*G1504</f>
        <v/>
      </c>
      <c r="S1504" t="n">
        <v>94.31999999999999</v>
      </c>
      <c r="T1504" s="18">
        <f>1 - V1504/S1504</f>
        <v/>
      </c>
      <c r="U1504" s="18" t="n">
        <v>0.1886792452830188</v>
      </c>
      <c r="V1504" s="26" t="n">
        <v>81.99152542372882</v>
      </c>
      <c r="W1504" s="26">
        <f>V1504 - L1504</f>
        <v/>
      </c>
    </row>
    <row r="1505">
      <c r="A1505" s="11" t="n">
        <v>46218</v>
      </c>
      <c r="B1505" s="1" t="n">
        <v>20089</v>
      </c>
      <c r="C1505" s="1" t="inlineStr">
        <is>
          <t>860</t>
        </is>
      </c>
      <c r="D1505" s="1" t="inlineStr">
        <is>
          <t xml:space="preserve">9580  </t>
        </is>
      </c>
      <c r="E1505" s="1" t="inlineStr">
        <is>
          <t xml:space="preserve">28194770       </t>
        </is>
      </c>
      <c r="F1505" s="5" t="inlineStr">
        <is>
          <t>AUTOS DE METAL 3 TEAMSTERZ EN BLISTER</t>
        </is>
      </c>
      <c r="G1505" t="n">
        <v>1</v>
      </c>
      <c r="H1505" s="7" t="n">
        <v>6.9</v>
      </c>
      <c r="I1505" s="7" t="n">
        <v>0</v>
      </c>
      <c r="J1505" s="7" t="n">
        <v>0</v>
      </c>
      <c r="K1505" s="9" t="n">
        <v>0</v>
      </c>
      <c r="L1505" s="10" t="n">
        <v>4.1</v>
      </c>
      <c r="M1505" s="10" t="n">
        <v>1.43</v>
      </c>
      <c r="N1505" t="inlineStr">
        <is>
          <t>1</t>
        </is>
      </c>
      <c r="O1505" t="inlineStr">
        <is>
          <t>16</t>
        </is>
      </c>
      <c r="P1505" t="inlineStr">
        <is>
          <t xml:space="preserve">0       </t>
        </is>
      </c>
      <c r="Q1505" s="26" t="n">
        <v>6.9</v>
      </c>
      <c r="R1505" s="26">
        <f>Q1505*G1505</f>
        <v/>
      </c>
      <c r="S1505" t="n">
        <v>4.09</v>
      </c>
      <c r="T1505" s="18">
        <f>1 - V1505/S1505</f>
        <v/>
      </c>
      <c r="U1505" s="18" t="n">
        <v>0</v>
      </c>
      <c r="V1505" s="26" t="n">
        <v>4.09</v>
      </c>
      <c r="W1505" s="26">
        <f>V1505 - L1505</f>
        <v/>
      </c>
    </row>
    <row r="1506">
      <c r="A1506" s="11" t="n">
        <v>46218</v>
      </c>
      <c r="B1506" s="1" t="n">
        <v>20095</v>
      </c>
      <c r="C1506" s="1" t="inlineStr">
        <is>
          <t>043</t>
        </is>
      </c>
      <c r="D1506" s="1" t="inlineStr">
        <is>
          <t>107869</t>
        </is>
      </c>
      <c r="E1506" s="1" t="inlineStr">
        <is>
          <t xml:space="preserve">28194770       </t>
        </is>
      </c>
      <c r="F1506" s="5" t="inlineStr">
        <is>
          <t>AUTOS DE METAL 3 TEAMSTERZ EN BLISTER</t>
        </is>
      </c>
      <c r="G1506" t="n">
        <v>1</v>
      </c>
      <c r="H1506" s="7" t="n">
        <v>6.9</v>
      </c>
      <c r="I1506" s="7" t="n">
        <v>0</v>
      </c>
      <c r="J1506" s="7" t="n">
        <v>0</v>
      </c>
      <c r="K1506" s="9" t="n">
        <v>0</v>
      </c>
      <c r="L1506" s="10" t="n">
        <v>4.1</v>
      </c>
      <c r="M1506" s="10" t="n">
        <v>1.43</v>
      </c>
      <c r="N1506" t="inlineStr">
        <is>
          <t>1</t>
        </is>
      </c>
      <c r="O1506" t="inlineStr">
        <is>
          <t>16</t>
        </is>
      </c>
      <c r="P1506" t="inlineStr">
        <is>
          <t xml:space="preserve">57866   </t>
        </is>
      </c>
      <c r="Q1506" s="26" t="n">
        <v>6.9</v>
      </c>
      <c r="R1506" s="26">
        <f>Q1506*G1506</f>
        <v/>
      </c>
      <c r="S1506" t="n">
        <v>4.09</v>
      </c>
      <c r="T1506" s="18">
        <f>1 - V1506/S1506</f>
        <v/>
      </c>
      <c r="U1506" s="18" t="n">
        <v>0</v>
      </c>
      <c r="V1506" s="26" t="n">
        <v>4.09</v>
      </c>
      <c r="W1506" s="26">
        <f>V1506 - L1506</f>
        <v/>
      </c>
    </row>
    <row r="1507">
      <c r="A1507" s="11" t="n">
        <v>46218</v>
      </c>
      <c r="B1507" s="1" t="n">
        <v>20095</v>
      </c>
      <c r="C1507" s="1" t="inlineStr">
        <is>
          <t>043</t>
        </is>
      </c>
      <c r="D1507" s="1" t="inlineStr">
        <is>
          <t>107869</t>
        </is>
      </c>
      <c r="E1507" s="1" t="inlineStr">
        <is>
          <t xml:space="preserve">30141766       </t>
        </is>
      </c>
      <c r="F1507" s="5" t="inlineStr">
        <is>
          <t>TMZ BEAST MACHINES AUTOS DE METAL BLISTER X 1</t>
        </is>
      </c>
      <c r="G1507" t="n">
        <v>1</v>
      </c>
      <c r="H1507" s="7" t="n">
        <v>7.9</v>
      </c>
      <c r="I1507" s="7" t="n">
        <v>0</v>
      </c>
      <c r="J1507" s="7" t="n">
        <v>0</v>
      </c>
      <c r="K1507" s="9" t="n">
        <v>0</v>
      </c>
      <c r="L1507" s="10" t="n">
        <v>4.68</v>
      </c>
      <c r="M1507" s="10" t="n">
        <v>1.43</v>
      </c>
      <c r="N1507" t="inlineStr">
        <is>
          <t>1</t>
        </is>
      </c>
      <c r="O1507" t="inlineStr">
        <is>
          <t>16</t>
        </is>
      </c>
      <c r="P1507" t="inlineStr">
        <is>
          <t xml:space="preserve">57866   </t>
        </is>
      </c>
      <c r="Q1507" s="26" t="n">
        <v>7.9</v>
      </c>
      <c r="R1507" s="26">
        <f>Q1507*G1507</f>
        <v/>
      </c>
      <c r="S1507" t="n">
        <v>4.69</v>
      </c>
      <c r="T1507" s="18">
        <f>1 - V1507/S1507</f>
        <v/>
      </c>
      <c r="U1507" s="18" t="n">
        <v>0</v>
      </c>
      <c r="V1507" s="26" t="n">
        <v>4.69</v>
      </c>
      <c r="W1507" s="26">
        <f>V1507 - L1507</f>
        <v/>
      </c>
    </row>
    <row r="1508">
      <c r="A1508" s="11" t="n">
        <v>46218</v>
      </c>
      <c r="B1508" s="1" t="n">
        <v>20095</v>
      </c>
      <c r="C1508" s="1" t="inlineStr">
        <is>
          <t>044</t>
        </is>
      </c>
      <c r="D1508" s="1" t="inlineStr">
        <is>
          <t xml:space="preserve">93761 </t>
        </is>
      </c>
      <c r="E1508" s="1" t="inlineStr">
        <is>
          <t xml:space="preserve">28194770       </t>
        </is>
      </c>
      <c r="F1508" s="5" t="inlineStr">
        <is>
          <t>AUTOS DE METAL 3 TEAMSTERZ EN BLISTER</t>
        </is>
      </c>
      <c r="G1508" t="n">
        <v>1</v>
      </c>
      <c r="H1508" s="7" t="n">
        <v>6.9</v>
      </c>
      <c r="I1508" s="7" t="n">
        <v>0</v>
      </c>
      <c r="J1508" s="7" t="n">
        <v>0</v>
      </c>
      <c r="K1508" s="9" t="n">
        <v>0</v>
      </c>
      <c r="L1508" s="10" t="n">
        <v>4.1</v>
      </c>
      <c r="M1508" s="10" t="n">
        <v>1.43</v>
      </c>
      <c r="N1508" t="inlineStr">
        <is>
          <t>1</t>
        </is>
      </c>
      <c r="O1508" t="inlineStr">
        <is>
          <t>16</t>
        </is>
      </c>
      <c r="P1508" t="inlineStr">
        <is>
          <t xml:space="preserve">248232  </t>
        </is>
      </c>
      <c r="Q1508" s="26" t="n">
        <v>6.9</v>
      </c>
      <c r="R1508" s="26">
        <f>Q1508*G1508</f>
        <v/>
      </c>
      <c r="S1508" t="n">
        <v>4.09</v>
      </c>
      <c r="T1508" s="18">
        <f>1 - V1508/S1508</f>
        <v/>
      </c>
      <c r="U1508" s="18" t="n">
        <v>0</v>
      </c>
      <c r="V1508" s="26" t="n">
        <v>4.09</v>
      </c>
      <c r="W1508" s="26">
        <f>V1508 - L1508</f>
        <v/>
      </c>
    </row>
    <row r="1509">
      <c r="A1509" s="11" t="n">
        <v>46219</v>
      </c>
      <c r="B1509" s="1" t="n">
        <v>20021</v>
      </c>
      <c r="C1509" s="1" t="inlineStr">
        <is>
          <t>055</t>
        </is>
      </c>
      <c r="D1509" s="1" t="inlineStr">
        <is>
          <t>154909</t>
        </is>
      </c>
      <c r="E1509" s="1" t="inlineStr">
        <is>
          <t xml:space="preserve">29235702       </t>
        </is>
      </c>
      <c r="F1509" s="5" t="inlineStr">
        <is>
          <t>INFINITY NADO TROMPO DE BATALLA - METAL C/ ANILLO</t>
        </is>
      </c>
      <c r="G1509" t="n">
        <v>1</v>
      </c>
      <c r="H1509" s="7" t="n">
        <v>69.90000000000001</v>
      </c>
      <c r="I1509" s="7" t="n">
        <v>0</v>
      </c>
      <c r="J1509" s="7" t="n">
        <v>0</v>
      </c>
      <c r="K1509" s="9" t="n">
        <v>0</v>
      </c>
      <c r="L1509" s="10" t="n">
        <v>41.47</v>
      </c>
      <c r="M1509" s="10" t="n">
        <v>1.43</v>
      </c>
      <c r="N1509" t="inlineStr">
        <is>
          <t>1</t>
        </is>
      </c>
      <c r="O1509" t="inlineStr">
        <is>
          <t>16</t>
        </is>
      </c>
      <c r="P1509" t="inlineStr">
        <is>
          <t xml:space="preserve">36042   </t>
        </is>
      </c>
      <c r="Q1509" s="26" t="n">
        <v>69.90000000000001</v>
      </c>
      <c r="R1509" s="26">
        <f>Q1509*G1509</f>
        <v/>
      </c>
      <c r="S1509" t="n">
        <v>41.47</v>
      </c>
      <c r="T1509" s="18">
        <f>1 - V1509/S1509</f>
        <v/>
      </c>
      <c r="U1509" s="18" t="n">
        <v>0.2861230329041489</v>
      </c>
      <c r="V1509" s="26" t="n">
        <v>31.71610169491525</v>
      </c>
      <c r="W1509" s="26">
        <f>V1509 - L1509</f>
        <v/>
      </c>
    </row>
    <row r="1510">
      <c r="A1510" s="11" t="n">
        <v>46219</v>
      </c>
      <c r="B1510" s="1" t="n">
        <v>20023</v>
      </c>
      <c r="C1510" s="1" t="inlineStr">
        <is>
          <t>105</t>
        </is>
      </c>
      <c r="D1510" s="1" t="inlineStr">
        <is>
          <t xml:space="preserve">91062 </t>
        </is>
      </c>
      <c r="E1510" s="1" t="inlineStr">
        <is>
          <t xml:space="preserve">31675352       </t>
        </is>
      </c>
      <c r="F1510" s="5" t="inlineStr">
        <is>
          <t>MI PEQUENO NENUCO</t>
        </is>
      </c>
      <c r="G1510" t="n">
        <v>1</v>
      </c>
      <c r="H1510" s="7" t="n">
        <v>69.90000000000001</v>
      </c>
      <c r="I1510" s="7" t="n">
        <v>0</v>
      </c>
      <c r="J1510" s="7" t="n">
        <v>0</v>
      </c>
      <c r="K1510" s="9" t="n">
        <v>0</v>
      </c>
      <c r="L1510" s="10" t="n">
        <v>41.47</v>
      </c>
      <c r="M1510" s="10" t="n">
        <v>1.43</v>
      </c>
      <c r="N1510" t="inlineStr">
        <is>
          <t>1</t>
        </is>
      </c>
      <c r="O1510" t="inlineStr">
        <is>
          <t>16</t>
        </is>
      </c>
      <c r="P1510" t="inlineStr">
        <is>
          <t xml:space="preserve">19329   </t>
        </is>
      </c>
      <c r="Q1510" s="26" t="n">
        <v>69.90000000000001</v>
      </c>
      <c r="R1510" s="26">
        <f>Q1510*G1510</f>
        <v/>
      </c>
      <c r="S1510" t="n">
        <v>41.47</v>
      </c>
      <c r="T1510" s="18">
        <f>1 - V1510/S1510</f>
        <v/>
      </c>
      <c r="U1510" s="18" t="n">
        <v>0.2861230329041489</v>
      </c>
      <c r="V1510" s="26" t="n">
        <v>31.71610169491525</v>
      </c>
      <c r="W1510" s="26">
        <f>V1510 - L1510</f>
        <v/>
      </c>
    </row>
    <row r="1511">
      <c r="A1511" s="11" t="n">
        <v>46219</v>
      </c>
      <c r="B1511" s="1" t="n">
        <v>20027</v>
      </c>
      <c r="C1511" s="1" t="inlineStr">
        <is>
          <t>064</t>
        </is>
      </c>
      <c r="D1511" s="1" t="inlineStr">
        <is>
          <t xml:space="preserve">32025 </t>
        </is>
      </c>
      <c r="E1511" s="1" t="inlineStr">
        <is>
          <t xml:space="preserve">30141768       </t>
        </is>
      </c>
      <c r="F1511" s="5" t="inlineStr">
        <is>
          <t>TMZ BEAST MACHINES AUTOS DE METAL PACK 10 AUTOS</t>
        </is>
      </c>
      <c r="G1511" t="n">
        <v>1</v>
      </c>
      <c r="H1511" s="7" t="n">
        <v>79</v>
      </c>
      <c r="I1511" s="7" t="n">
        <v>0</v>
      </c>
      <c r="J1511" s="7" t="n">
        <v>0</v>
      </c>
      <c r="K1511" s="9" t="n">
        <v>0</v>
      </c>
      <c r="L1511" s="10" t="n">
        <v>46.87</v>
      </c>
      <c r="M1511" s="10" t="n">
        <v>1.43</v>
      </c>
      <c r="N1511" t="inlineStr">
        <is>
          <t>1</t>
        </is>
      </c>
      <c r="O1511" t="inlineStr">
        <is>
          <t>16</t>
        </is>
      </c>
      <c r="P1511" t="inlineStr">
        <is>
          <t xml:space="preserve">23385   </t>
        </is>
      </c>
      <c r="Q1511" s="26" t="n">
        <v>79</v>
      </c>
      <c r="R1511" s="26">
        <f>Q1511*G1511</f>
        <v/>
      </c>
      <c r="S1511" t="n">
        <v>46.86</v>
      </c>
      <c r="T1511" s="18">
        <f>1 - V1511/S1511</f>
        <v/>
      </c>
      <c r="U1511" s="18" t="n">
        <v>0.1265822784810127</v>
      </c>
      <c r="V1511" s="26" t="n">
        <v>43.85593220338983</v>
      </c>
      <c r="W1511" s="26">
        <f>V1511 - L1511</f>
        <v/>
      </c>
    </row>
    <row r="1512">
      <c r="A1512" s="11" t="n">
        <v>46219</v>
      </c>
      <c r="B1512" s="1" t="n">
        <v>20028</v>
      </c>
      <c r="C1512" s="1" t="inlineStr">
        <is>
          <t>088</t>
        </is>
      </c>
      <c r="D1512" s="1" t="inlineStr">
        <is>
          <t>340576</t>
        </is>
      </c>
      <c r="E1512" s="1" t="inlineStr">
        <is>
          <t xml:space="preserve">30232284       </t>
        </is>
      </c>
      <c r="F1512" s="5" t="inlineStr">
        <is>
          <t>INFINITY NADO TROMPO DE BATALLA - METAL C/PUNTA DE</t>
        </is>
      </c>
      <c r="G1512" t="n">
        <v>1</v>
      </c>
      <c r="H1512" s="7" t="n">
        <v>49.9</v>
      </c>
      <c r="I1512" s="7" t="n">
        <v>0</v>
      </c>
      <c r="J1512" s="7" t="n">
        <v>0</v>
      </c>
      <c r="K1512" s="9" t="n">
        <v>0</v>
      </c>
      <c r="L1512" s="10" t="n">
        <v>29.6</v>
      </c>
      <c r="M1512" s="10" t="n">
        <v>1.43</v>
      </c>
      <c r="N1512" t="inlineStr">
        <is>
          <t>1</t>
        </is>
      </c>
      <c r="O1512" t="inlineStr">
        <is>
          <t xml:space="preserve">2 </t>
        </is>
      </c>
      <c r="P1512" t="inlineStr">
        <is>
          <t xml:space="preserve">31171   </t>
        </is>
      </c>
      <c r="Q1512" s="26" t="n">
        <v>49.9</v>
      </c>
      <c r="R1512" s="26">
        <f>Q1512*G1512</f>
        <v/>
      </c>
      <c r="S1512" t="n">
        <v>29.6</v>
      </c>
      <c r="T1512" s="18">
        <f>1 - V1512/S1512</f>
        <v/>
      </c>
      <c r="U1512" s="18" t="n">
        <v>0.3006012024048096</v>
      </c>
      <c r="V1512" s="26" t="n">
        <v>22.18220338983051</v>
      </c>
      <c r="W1512" s="26">
        <f>V1512 - L1512</f>
        <v/>
      </c>
    </row>
    <row r="1513">
      <c r="A1513" s="11" t="n">
        <v>46219</v>
      </c>
      <c r="B1513" s="1" t="n">
        <v>20028</v>
      </c>
      <c r="C1513" s="1" t="inlineStr">
        <is>
          <t>088</t>
        </is>
      </c>
      <c r="D1513" s="1" t="inlineStr">
        <is>
          <t>340576</t>
        </is>
      </c>
      <c r="E1513" s="1" t="inlineStr">
        <is>
          <t xml:space="preserve">30232284       </t>
        </is>
      </c>
      <c r="F1513" s="5" t="inlineStr">
        <is>
          <t>INFINITY NADO TROMPO DE BATALLA - METAL C/PUNTA DE</t>
        </is>
      </c>
      <c r="G1513" t="n">
        <v>1</v>
      </c>
      <c r="H1513" s="7" t="n">
        <v>49.9</v>
      </c>
      <c r="I1513" s="7" t="n">
        <v>0</v>
      </c>
      <c r="J1513" s="7" t="n">
        <v>0</v>
      </c>
      <c r="K1513" s="9" t="n">
        <v>0</v>
      </c>
      <c r="L1513" s="10" t="n">
        <v>29.6</v>
      </c>
      <c r="M1513" s="10" t="n">
        <v>1.43</v>
      </c>
      <c r="N1513" t="inlineStr">
        <is>
          <t>1</t>
        </is>
      </c>
      <c r="O1513" t="inlineStr">
        <is>
          <t xml:space="preserve">2 </t>
        </is>
      </c>
      <c r="P1513" t="inlineStr">
        <is>
          <t xml:space="preserve">31171   </t>
        </is>
      </c>
      <c r="Q1513" s="26" t="n">
        <v>49.9</v>
      </c>
      <c r="R1513" s="26">
        <f>Q1513*G1513</f>
        <v/>
      </c>
      <c r="S1513" t="n">
        <v>29.6</v>
      </c>
      <c r="T1513" s="18">
        <f>1 - V1513/S1513</f>
        <v/>
      </c>
      <c r="U1513" s="18" t="n">
        <v>0.3006012024048096</v>
      </c>
      <c r="V1513" s="26" t="n">
        <v>22.18220338983051</v>
      </c>
      <c r="W1513" s="26">
        <f>V1513 - L1513</f>
        <v/>
      </c>
    </row>
    <row r="1514">
      <c r="A1514" s="11" t="n">
        <v>46219</v>
      </c>
      <c r="B1514" s="1" t="n">
        <v>20030</v>
      </c>
      <c r="C1514" s="1" t="inlineStr">
        <is>
          <t>077</t>
        </is>
      </c>
      <c r="D1514" s="1" t="inlineStr">
        <is>
          <t>232302</t>
        </is>
      </c>
      <c r="E1514" s="1" t="inlineStr">
        <is>
          <t xml:space="preserve">28194770       </t>
        </is>
      </c>
      <c r="F1514" s="5" t="inlineStr">
        <is>
          <t>AUTOS DE METAL 3 TEAMSTERZ EN BLISTER</t>
        </is>
      </c>
      <c r="G1514" t="n">
        <v>1</v>
      </c>
      <c r="H1514" s="7" t="n">
        <v>6.9</v>
      </c>
      <c r="I1514" s="7" t="n">
        <v>0</v>
      </c>
      <c r="J1514" s="7" t="n">
        <v>0</v>
      </c>
      <c r="K1514" s="9" t="n">
        <v>0</v>
      </c>
      <c r="L1514" s="10" t="n">
        <v>4.1</v>
      </c>
      <c r="M1514" s="10" t="n">
        <v>1.43</v>
      </c>
      <c r="N1514" t="inlineStr">
        <is>
          <t>1</t>
        </is>
      </c>
      <c r="O1514" t="inlineStr">
        <is>
          <t>16</t>
        </is>
      </c>
      <c r="P1514" t="inlineStr">
        <is>
          <t xml:space="preserve">47352   </t>
        </is>
      </c>
      <c r="Q1514" s="26" t="n">
        <v>6.9</v>
      </c>
      <c r="R1514" s="26">
        <f>Q1514*G1514</f>
        <v/>
      </c>
      <c r="S1514" t="n">
        <v>4.09</v>
      </c>
      <c r="T1514" s="18">
        <f>1 - V1514/S1514</f>
        <v/>
      </c>
      <c r="U1514" s="18" t="n">
        <v>0</v>
      </c>
      <c r="V1514" s="26" t="n">
        <v>4.09</v>
      </c>
      <c r="W1514" s="26">
        <f>V1514 - L1514</f>
        <v/>
      </c>
    </row>
    <row r="1515">
      <c r="A1515" s="11" t="n">
        <v>46219</v>
      </c>
      <c r="B1515" s="1" t="n">
        <v>20040</v>
      </c>
      <c r="C1515" s="1" t="inlineStr">
        <is>
          <t>030</t>
        </is>
      </c>
      <c r="D1515" s="1" t="inlineStr">
        <is>
          <t>345190</t>
        </is>
      </c>
      <c r="E1515" s="1" t="inlineStr">
        <is>
          <t xml:space="preserve">28194765       </t>
        </is>
      </c>
      <c r="F1515" s="5" t="inlineStr">
        <is>
          <t>PLAYSET COLOR CHANGE TIBURN TEAMSTERZ  1 AUTITO</t>
        </is>
      </c>
      <c r="G1515" t="n">
        <v>1</v>
      </c>
      <c r="H1515" s="7" t="n">
        <v>79.90000000000001</v>
      </c>
      <c r="I1515" s="7" t="n">
        <v>0</v>
      </c>
      <c r="J1515" s="7" t="n">
        <v>0</v>
      </c>
      <c r="K1515" s="9" t="n">
        <v>0</v>
      </c>
      <c r="L1515" s="10" t="n">
        <v>47.4</v>
      </c>
      <c r="M1515" s="10" t="n">
        <v>1.43</v>
      </c>
      <c r="N1515" t="inlineStr">
        <is>
          <t>1</t>
        </is>
      </c>
      <c r="O1515" t="inlineStr">
        <is>
          <t xml:space="preserve">2 </t>
        </is>
      </c>
      <c r="P1515" t="inlineStr">
        <is>
          <t xml:space="preserve">50087   </t>
        </is>
      </c>
      <c r="Q1515" s="26" t="n">
        <v>79.90000000000001</v>
      </c>
      <c r="R1515" s="26">
        <f>Q1515*G1515</f>
        <v/>
      </c>
      <c r="S1515" t="n">
        <v>47.4</v>
      </c>
      <c r="T1515" s="18">
        <f>1 - V1515/S1515</f>
        <v/>
      </c>
      <c r="U1515" s="18" t="n">
        <v>0</v>
      </c>
      <c r="V1515" s="26" t="n">
        <v>47.4</v>
      </c>
      <c r="W1515" s="26">
        <f>V1515 - L1515</f>
        <v/>
      </c>
    </row>
    <row r="1516">
      <c r="A1516" s="11" t="n">
        <v>46219</v>
      </c>
      <c r="B1516" s="1" t="n">
        <v>20040</v>
      </c>
      <c r="C1516" s="1" t="inlineStr">
        <is>
          <t>072</t>
        </is>
      </c>
      <c r="D1516" s="1" t="inlineStr">
        <is>
          <t>251993</t>
        </is>
      </c>
      <c r="E1516" s="1" t="inlineStr">
        <is>
          <t xml:space="preserve">28194780       </t>
        </is>
      </c>
      <c r="F1516" s="5" t="inlineStr">
        <is>
          <t>TROMPO BATALLA INFINITY NADO PLSTICO SURTIDO</t>
        </is>
      </c>
      <c r="G1516" t="n">
        <v>1</v>
      </c>
      <c r="H1516" s="7" t="n">
        <v>19.9</v>
      </c>
      <c r="I1516" s="7" t="n">
        <v>0</v>
      </c>
      <c r="J1516" s="7" t="n">
        <v>0</v>
      </c>
      <c r="K1516" s="9" t="n">
        <v>0</v>
      </c>
      <c r="L1516" s="10" t="n">
        <v>11.8</v>
      </c>
      <c r="M1516" s="10" t="n">
        <v>1.43</v>
      </c>
      <c r="N1516" t="inlineStr">
        <is>
          <t>1</t>
        </is>
      </c>
      <c r="O1516" t="inlineStr">
        <is>
          <t>16</t>
        </is>
      </c>
      <c r="P1516" t="inlineStr">
        <is>
          <t xml:space="preserve">61602   </t>
        </is>
      </c>
      <c r="Q1516" s="26" t="n">
        <v>19.9</v>
      </c>
      <c r="R1516" s="26">
        <f>Q1516*G1516</f>
        <v/>
      </c>
      <c r="S1516" t="n">
        <v>11.81</v>
      </c>
      <c r="T1516" s="18">
        <f>1 - V1516/S1516</f>
        <v/>
      </c>
      <c r="U1516" s="18" t="n">
        <v>0</v>
      </c>
      <c r="V1516" s="26" t="n">
        <v>11.81</v>
      </c>
      <c r="W1516" s="26">
        <f>V1516 - L1516</f>
        <v/>
      </c>
    </row>
    <row r="1517">
      <c r="A1517" s="11" t="n">
        <v>46219</v>
      </c>
      <c r="B1517" s="1" t="n">
        <v>20040</v>
      </c>
      <c r="C1517" s="1" t="inlineStr">
        <is>
          <t>072</t>
        </is>
      </c>
      <c r="D1517" s="1" t="inlineStr">
        <is>
          <t>251995</t>
        </is>
      </c>
      <c r="E1517" s="1" t="inlineStr">
        <is>
          <t xml:space="preserve">28194781       </t>
        </is>
      </c>
      <c r="F1517" s="5" t="inlineStr">
        <is>
          <t>TROMPO BATALLA INFINITY NADO SERIE V CLASICA SURTI</t>
        </is>
      </c>
      <c r="G1517" t="n">
        <v>1</v>
      </c>
      <c r="H1517" s="7" t="n">
        <v>59.9</v>
      </c>
      <c r="I1517" s="7" t="n">
        <v>0</v>
      </c>
      <c r="J1517" s="7" t="n">
        <v>0</v>
      </c>
      <c r="K1517" s="9" t="n">
        <v>0</v>
      </c>
      <c r="L1517" s="10" t="n">
        <v>35.53</v>
      </c>
      <c r="M1517" s="10" t="n">
        <v>1.43</v>
      </c>
      <c r="N1517" t="inlineStr">
        <is>
          <t>1</t>
        </is>
      </c>
      <c r="O1517" t="inlineStr">
        <is>
          <t>16</t>
        </is>
      </c>
      <c r="P1517" t="inlineStr">
        <is>
          <t xml:space="preserve">61602   </t>
        </is>
      </c>
      <c r="Q1517" s="26" t="n">
        <v>59.9</v>
      </c>
      <c r="R1517" s="26">
        <f>Q1517*G1517</f>
        <v/>
      </c>
      <c r="S1517" t="n">
        <v>35.53</v>
      </c>
      <c r="T1517" s="18">
        <f>1 - V1517/S1517</f>
        <v/>
      </c>
      <c r="U1517" s="18" t="n">
        <v>0.333889816360601</v>
      </c>
      <c r="V1517" s="26" t="n">
        <v>25.36016949152542</v>
      </c>
      <c r="W1517" s="26">
        <f>V1517 - L1517</f>
        <v/>
      </c>
    </row>
    <row r="1518">
      <c r="A1518" s="11" t="n">
        <v>46219</v>
      </c>
      <c r="B1518" s="1" t="n">
        <v>20040</v>
      </c>
      <c r="C1518" s="1" t="inlineStr">
        <is>
          <t>083</t>
        </is>
      </c>
      <c r="D1518" s="1" t="inlineStr">
        <is>
          <t>159902</t>
        </is>
      </c>
      <c r="E1518" s="1" t="inlineStr">
        <is>
          <t xml:space="preserve">31675352       </t>
        </is>
      </c>
      <c r="F1518" s="5" t="inlineStr">
        <is>
          <t>MI PEQUENO NENUCO</t>
        </is>
      </c>
      <c r="G1518" t="n">
        <v>1</v>
      </c>
      <c r="H1518" s="7" t="n">
        <v>69.90000000000001</v>
      </c>
      <c r="I1518" s="7" t="n">
        <v>0</v>
      </c>
      <c r="J1518" s="7" t="n">
        <v>0</v>
      </c>
      <c r="K1518" s="9" t="n">
        <v>0</v>
      </c>
      <c r="L1518" s="10" t="n">
        <v>41.47</v>
      </c>
      <c r="M1518" s="10" t="n">
        <v>1.43</v>
      </c>
      <c r="N1518" t="inlineStr">
        <is>
          <t>1</t>
        </is>
      </c>
      <c r="O1518" t="inlineStr">
        <is>
          <t xml:space="preserve">2 </t>
        </is>
      </c>
      <c r="P1518" t="inlineStr">
        <is>
          <t xml:space="preserve">243237  </t>
        </is>
      </c>
      <c r="Q1518" s="26" t="n">
        <v>69.90000000000001</v>
      </c>
      <c r="R1518" s="26">
        <f>Q1518*G1518</f>
        <v/>
      </c>
      <c r="S1518" t="n">
        <v>41.47</v>
      </c>
      <c r="T1518" s="18">
        <f>1 - V1518/S1518</f>
        <v/>
      </c>
      <c r="U1518" s="18" t="n">
        <v>0.2861230329041489</v>
      </c>
      <c r="V1518" s="26" t="n">
        <v>31.71610169491525</v>
      </c>
      <c r="W1518" s="26">
        <f>V1518 - L1518</f>
        <v/>
      </c>
    </row>
    <row r="1519">
      <c r="A1519" s="11" t="n">
        <v>46219</v>
      </c>
      <c r="B1519" s="1" t="n">
        <v>20040</v>
      </c>
      <c r="C1519" s="1" t="inlineStr">
        <is>
          <t>190</t>
        </is>
      </c>
      <c r="D1519" s="1" t="inlineStr">
        <is>
          <t>368368</t>
        </is>
      </c>
      <c r="E1519" s="1" t="inlineStr">
        <is>
          <t xml:space="preserve">34840526       </t>
        </is>
      </c>
      <c r="F1519" s="5" t="inlineStr">
        <is>
          <t>NENUCO ABRACITOS</t>
        </is>
      </c>
      <c r="G1519" t="n">
        <v>1</v>
      </c>
      <c r="H1519" s="7" t="n">
        <v>119</v>
      </c>
      <c r="I1519" s="7" t="n">
        <v>0</v>
      </c>
      <c r="J1519" s="7" t="n">
        <v>0</v>
      </c>
      <c r="K1519" s="9" t="n">
        <v>0</v>
      </c>
      <c r="L1519" s="10" t="n">
        <v>70.59999999999999</v>
      </c>
      <c r="M1519" s="10" t="n">
        <v>1.43</v>
      </c>
      <c r="N1519" t="inlineStr">
        <is>
          <t>1</t>
        </is>
      </c>
      <c r="O1519" t="inlineStr">
        <is>
          <t>16</t>
        </is>
      </c>
      <c r="P1519" t="inlineStr">
        <is>
          <t xml:space="preserve">243236  </t>
        </is>
      </c>
      <c r="Q1519" s="26" t="n">
        <v>119</v>
      </c>
      <c r="R1519" s="26">
        <f>Q1519*G1519</f>
        <v/>
      </c>
      <c r="S1519" t="n">
        <v>70.59</v>
      </c>
      <c r="T1519" s="18">
        <f>1 - V1519/S1519</f>
        <v/>
      </c>
      <c r="U1519" s="18" t="n">
        <v>0.2445378151260503</v>
      </c>
      <c r="V1519" s="26" t="n">
        <v>60.94915254237289</v>
      </c>
      <c r="W1519" s="26">
        <f>V1519 - L1519</f>
        <v/>
      </c>
    </row>
    <row r="1520">
      <c r="A1520" s="11" t="n">
        <v>46219</v>
      </c>
      <c r="B1520" s="1" t="n">
        <v>20041</v>
      </c>
      <c r="C1520" s="1" t="inlineStr">
        <is>
          <t>018</t>
        </is>
      </c>
      <c r="D1520" s="1" t="inlineStr">
        <is>
          <t xml:space="preserve">56177 </t>
        </is>
      </c>
      <c r="E1520" s="1" t="inlineStr">
        <is>
          <t xml:space="preserve">30141768       </t>
        </is>
      </c>
      <c r="F1520" s="5" t="inlineStr">
        <is>
          <t>TMZ BEAST MACHINES AUTOS DE METAL PACK 10 AUTOS</t>
        </is>
      </c>
      <c r="G1520" t="n">
        <v>1</v>
      </c>
      <c r="H1520" s="7" t="n">
        <v>79</v>
      </c>
      <c r="I1520" s="7" t="n">
        <v>0</v>
      </c>
      <c r="J1520" s="7" t="n">
        <v>0</v>
      </c>
      <c r="K1520" s="9" t="n">
        <v>0</v>
      </c>
      <c r="L1520" s="10" t="n">
        <v>46.87</v>
      </c>
      <c r="M1520" s="10" t="n">
        <v>1.43</v>
      </c>
      <c r="N1520" t="inlineStr">
        <is>
          <t>1</t>
        </is>
      </c>
      <c r="O1520" t="inlineStr">
        <is>
          <t>16</t>
        </is>
      </c>
      <c r="P1520" t="inlineStr">
        <is>
          <t xml:space="preserve">91630   </t>
        </is>
      </c>
      <c r="Q1520" s="26" t="n">
        <v>79</v>
      </c>
      <c r="R1520" s="26">
        <f>Q1520*G1520</f>
        <v/>
      </c>
      <c r="S1520" t="n">
        <v>46.86</v>
      </c>
      <c r="T1520" s="18">
        <f>1 - V1520/S1520</f>
        <v/>
      </c>
      <c r="U1520" s="18" t="n">
        <v>0.1265822784810127</v>
      </c>
      <c r="V1520" s="26" t="n">
        <v>43.85593220338983</v>
      </c>
      <c r="W1520" s="26">
        <f>V1520 - L1520</f>
        <v/>
      </c>
    </row>
    <row r="1521">
      <c r="A1521" s="11" t="n">
        <v>46219</v>
      </c>
      <c r="B1521" s="1" t="n">
        <v>20041</v>
      </c>
      <c r="C1521" s="1" t="inlineStr">
        <is>
          <t>031</t>
        </is>
      </c>
      <c r="D1521" s="1" t="inlineStr">
        <is>
          <t>165652</t>
        </is>
      </c>
      <c r="E1521" s="1" t="inlineStr">
        <is>
          <t xml:space="preserve">28194770       </t>
        </is>
      </c>
      <c r="F1521" s="5" t="inlineStr">
        <is>
          <t>AUTOS DE METAL 3 TEAMSTERZ EN BLISTER</t>
        </is>
      </c>
      <c r="G1521" t="n">
        <v>1</v>
      </c>
      <c r="H1521" s="7" t="n">
        <v>6.9</v>
      </c>
      <c r="I1521" s="7" t="n">
        <v>0.6899999999999999</v>
      </c>
      <c r="J1521" s="7" t="n">
        <v>0</v>
      </c>
      <c r="K1521" s="9" t="n">
        <v>0.6899999999999999</v>
      </c>
      <c r="L1521" s="10" t="n">
        <v>3.68</v>
      </c>
      <c r="M1521" s="10" t="n">
        <v>1.43</v>
      </c>
      <c r="N1521" t="inlineStr">
        <is>
          <t>1</t>
        </is>
      </c>
      <c r="O1521" t="inlineStr">
        <is>
          <t xml:space="preserve">3 </t>
        </is>
      </c>
      <c r="P1521" t="inlineStr">
        <is>
          <t xml:space="preserve">243970  </t>
        </is>
      </c>
      <c r="Q1521" s="26" t="n">
        <v>6.9</v>
      </c>
      <c r="R1521" s="26">
        <f>Q1521*G1521</f>
        <v/>
      </c>
      <c r="S1521" t="n">
        <v>4.09</v>
      </c>
      <c r="T1521" s="18">
        <f>1 - V1521/S1521</f>
        <v/>
      </c>
      <c r="U1521" s="18" t="n">
        <v>0</v>
      </c>
      <c r="V1521" s="26" t="n">
        <v>4.09</v>
      </c>
      <c r="W1521" s="26">
        <f>V1521 - L1521</f>
        <v/>
      </c>
    </row>
    <row r="1522">
      <c r="A1522" s="11" t="n">
        <v>46219</v>
      </c>
      <c r="B1522" s="1" t="n">
        <v>20041</v>
      </c>
      <c r="C1522" s="1" t="inlineStr">
        <is>
          <t>031</t>
        </is>
      </c>
      <c r="D1522" s="1" t="inlineStr">
        <is>
          <t>165652</t>
        </is>
      </c>
      <c r="E1522" s="1" t="inlineStr">
        <is>
          <t xml:space="preserve">28194770       </t>
        </is>
      </c>
      <c r="F1522" s="5" t="inlineStr">
        <is>
          <t>AUTOS DE METAL 3 TEAMSTERZ EN BLISTER</t>
        </is>
      </c>
      <c r="G1522" t="n">
        <v>1</v>
      </c>
      <c r="H1522" s="7" t="n">
        <v>6.9</v>
      </c>
      <c r="I1522" s="7" t="n">
        <v>0.6899999999999999</v>
      </c>
      <c r="J1522" s="7" t="n">
        <v>0</v>
      </c>
      <c r="K1522" s="9" t="n">
        <v>0.6899999999999999</v>
      </c>
      <c r="L1522" s="10" t="n">
        <v>3.68</v>
      </c>
      <c r="M1522" s="10" t="n">
        <v>1.43</v>
      </c>
      <c r="N1522" t="inlineStr">
        <is>
          <t>1</t>
        </is>
      </c>
      <c r="O1522" t="inlineStr">
        <is>
          <t xml:space="preserve">3 </t>
        </is>
      </c>
      <c r="P1522" t="inlineStr">
        <is>
          <t xml:space="preserve">243970  </t>
        </is>
      </c>
      <c r="Q1522" s="26" t="n">
        <v>6.9</v>
      </c>
      <c r="R1522" s="26">
        <f>Q1522*G1522</f>
        <v/>
      </c>
      <c r="S1522" t="n">
        <v>4.09</v>
      </c>
      <c r="T1522" s="18">
        <f>1 - V1522/S1522</f>
        <v/>
      </c>
      <c r="U1522" s="18" t="n">
        <v>0</v>
      </c>
      <c r="V1522" s="26" t="n">
        <v>4.09</v>
      </c>
      <c r="W1522" s="26">
        <f>V1522 - L1522</f>
        <v/>
      </c>
    </row>
    <row r="1523">
      <c r="A1523" s="11" t="n">
        <v>46219</v>
      </c>
      <c r="B1523" s="1" t="n">
        <v>20041</v>
      </c>
      <c r="C1523" s="1" t="inlineStr">
        <is>
          <t>031</t>
        </is>
      </c>
      <c r="D1523" s="1" t="inlineStr">
        <is>
          <t>165652</t>
        </is>
      </c>
      <c r="E1523" s="1" t="inlineStr">
        <is>
          <t xml:space="preserve">28194770       </t>
        </is>
      </c>
      <c r="F1523" s="5" t="inlineStr">
        <is>
          <t>AUTOS DE METAL 3 TEAMSTERZ EN BLISTER</t>
        </is>
      </c>
      <c r="G1523" t="n">
        <v>1</v>
      </c>
      <c r="H1523" s="7" t="n">
        <v>6.9</v>
      </c>
      <c r="I1523" s="7" t="n">
        <v>0.6899999999999999</v>
      </c>
      <c r="J1523" s="7" t="n">
        <v>0</v>
      </c>
      <c r="K1523" s="9" t="n">
        <v>0.6899999999999999</v>
      </c>
      <c r="L1523" s="10" t="n">
        <v>3.68</v>
      </c>
      <c r="M1523" s="10" t="n">
        <v>1.43</v>
      </c>
      <c r="N1523" t="inlineStr">
        <is>
          <t>1</t>
        </is>
      </c>
      <c r="O1523" t="inlineStr">
        <is>
          <t xml:space="preserve">3 </t>
        </is>
      </c>
      <c r="P1523" t="inlineStr">
        <is>
          <t xml:space="preserve">243970  </t>
        </is>
      </c>
      <c r="Q1523" s="26" t="n">
        <v>6.9</v>
      </c>
      <c r="R1523" s="26">
        <f>Q1523*G1523</f>
        <v/>
      </c>
      <c r="S1523" t="n">
        <v>4.09</v>
      </c>
      <c r="T1523" s="18">
        <f>1 - V1523/S1523</f>
        <v/>
      </c>
      <c r="U1523" s="18" t="n">
        <v>0</v>
      </c>
      <c r="V1523" s="26" t="n">
        <v>4.09</v>
      </c>
      <c r="W1523" s="26">
        <f>V1523 - L1523</f>
        <v/>
      </c>
    </row>
    <row r="1524">
      <c r="A1524" s="11" t="n">
        <v>46219</v>
      </c>
      <c r="B1524" s="1" t="n">
        <v>20041</v>
      </c>
      <c r="C1524" s="1" t="inlineStr">
        <is>
          <t>031</t>
        </is>
      </c>
      <c r="D1524" s="1" t="inlineStr">
        <is>
          <t>165652</t>
        </is>
      </c>
      <c r="E1524" s="1" t="inlineStr">
        <is>
          <t xml:space="preserve">28194770       </t>
        </is>
      </c>
      <c r="F1524" s="5" t="inlineStr">
        <is>
          <t>AUTOS DE METAL 3 TEAMSTERZ EN BLISTER</t>
        </is>
      </c>
      <c r="G1524" t="n">
        <v>1</v>
      </c>
      <c r="H1524" s="7" t="n">
        <v>6.9</v>
      </c>
      <c r="I1524" s="7" t="n">
        <v>0.6899999999999999</v>
      </c>
      <c r="J1524" s="7" t="n">
        <v>0</v>
      </c>
      <c r="K1524" s="9" t="n">
        <v>0.6899999999999999</v>
      </c>
      <c r="L1524" s="10" t="n">
        <v>3.68</v>
      </c>
      <c r="M1524" s="10" t="n">
        <v>1.43</v>
      </c>
      <c r="N1524" t="inlineStr">
        <is>
          <t>1</t>
        </is>
      </c>
      <c r="O1524" t="inlineStr">
        <is>
          <t xml:space="preserve">3 </t>
        </is>
      </c>
      <c r="P1524" t="inlineStr">
        <is>
          <t xml:space="preserve">243970  </t>
        </is>
      </c>
      <c r="Q1524" s="26" t="n">
        <v>6.9</v>
      </c>
      <c r="R1524" s="26">
        <f>Q1524*G1524</f>
        <v/>
      </c>
      <c r="S1524" t="n">
        <v>4.09</v>
      </c>
      <c r="T1524" s="18">
        <f>1 - V1524/S1524</f>
        <v/>
      </c>
      <c r="U1524" s="18" t="n">
        <v>0</v>
      </c>
      <c r="V1524" s="26" t="n">
        <v>4.09</v>
      </c>
      <c r="W1524" s="26">
        <f>V1524 - L1524</f>
        <v/>
      </c>
    </row>
    <row r="1525">
      <c r="A1525" s="11" t="n">
        <v>46219</v>
      </c>
      <c r="B1525" s="1" t="n">
        <v>20043</v>
      </c>
      <c r="C1525" s="1" t="inlineStr">
        <is>
          <t>041</t>
        </is>
      </c>
      <c r="D1525" s="1" t="inlineStr">
        <is>
          <t xml:space="preserve">27391 </t>
        </is>
      </c>
      <c r="E1525" s="1" t="inlineStr">
        <is>
          <t xml:space="preserve">30141766       </t>
        </is>
      </c>
      <c r="F1525" s="5" t="inlineStr">
        <is>
          <t>TMZ BEAST MACHINES AUTOS DE METAL BLISTER X 1</t>
        </is>
      </c>
      <c r="G1525" t="n">
        <v>1</v>
      </c>
      <c r="H1525" s="7" t="n">
        <v>7.9</v>
      </c>
      <c r="I1525" s="7" t="n">
        <v>0</v>
      </c>
      <c r="J1525" s="7" t="n">
        <v>0</v>
      </c>
      <c r="K1525" s="9" t="n">
        <v>0</v>
      </c>
      <c r="L1525" s="10" t="n">
        <v>4.68</v>
      </c>
      <c r="M1525" s="10" t="n">
        <v>1.43</v>
      </c>
      <c r="N1525" t="inlineStr">
        <is>
          <t>1</t>
        </is>
      </c>
      <c r="O1525" t="inlineStr">
        <is>
          <t>16</t>
        </is>
      </c>
      <c r="P1525" t="inlineStr">
        <is>
          <t xml:space="preserve">30787   </t>
        </is>
      </c>
      <c r="Q1525" s="26" t="n">
        <v>7.9</v>
      </c>
      <c r="R1525" s="26">
        <f>Q1525*G1525</f>
        <v/>
      </c>
      <c r="S1525" t="n">
        <v>4.69</v>
      </c>
      <c r="T1525" s="18">
        <f>1 - V1525/S1525</f>
        <v/>
      </c>
      <c r="U1525" s="18" t="n">
        <v>0</v>
      </c>
      <c r="V1525" s="26" t="n">
        <v>4.69</v>
      </c>
      <c r="W1525" s="26">
        <f>V1525 - L1525</f>
        <v/>
      </c>
    </row>
    <row r="1526">
      <c r="A1526" s="11" t="n">
        <v>46219</v>
      </c>
      <c r="B1526" s="1" t="n">
        <v>20043</v>
      </c>
      <c r="C1526" s="1" t="inlineStr">
        <is>
          <t>054</t>
        </is>
      </c>
      <c r="D1526" s="1" t="inlineStr">
        <is>
          <t xml:space="preserve">15259 </t>
        </is>
      </c>
      <c r="E1526" s="1" t="inlineStr">
        <is>
          <t xml:space="preserve">28194770       </t>
        </is>
      </c>
      <c r="F1526" s="5" t="inlineStr">
        <is>
          <t>AUTOS DE METAL 3 TEAMSTERZ EN BLISTER</t>
        </is>
      </c>
      <c r="G1526" t="n">
        <v>1</v>
      </c>
      <c r="H1526" s="7" t="n">
        <v>6.9</v>
      </c>
      <c r="I1526" s="7" t="n">
        <v>0</v>
      </c>
      <c r="J1526" s="7" t="n">
        <v>0</v>
      </c>
      <c r="K1526" s="9" t="n">
        <v>0</v>
      </c>
      <c r="L1526" s="10" t="n">
        <v>4.1</v>
      </c>
      <c r="M1526" s="10" t="n">
        <v>1.43</v>
      </c>
      <c r="N1526" t="inlineStr">
        <is>
          <t>1</t>
        </is>
      </c>
      <c r="O1526" t="inlineStr">
        <is>
          <t>16</t>
        </is>
      </c>
      <c r="P1526" t="inlineStr">
        <is>
          <t xml:space="preserve">248415  </t>
        </is>
      </c>
      <c r="Q1526" s="26" t="n">
        <v>6.9</v>
      </c>
      <c r="R1526" s="26">
        <f>Q1526*G1526</f>
        <v/>
      </c>
      <c r="S1526" t="n">
        <v>4.09</v>
      </c>
      <c r="T1526" s="18">
        <f>1 - V1526/S1526</f>
        <v/>
      </c>
      <c r="U1526" s="18" t="n">
        <v>0</v>
      </c>
      <c r="V1526" s="26" t="n">
        <v>4.09</v>
      </c>
      <c r="W1526" s="26">
        <f>V1526 - L1526</f>
        <v/>
      </c>
    </row>
    <row r="1527">
      <c r="A1527" s="11" t="n">
        <v>46219</v>
      </c>
      <c r="B1527" s="1" t="n">
        <v>20043</v>
      </c>
      <c r="C1527" s="1" t="inlineStr">
        <is>
          <t>054</t>
        </is>
      </c>
      <c r="D1527" s="1" t="inlineStr">
        <is>
          <t xml:space="preserve">15259 </t>
        </is>
      </c>
      <c r="E1527" s="1" t="inlineStr">
        <is>
          <t xml:space="preserve">28194770       </t>
        </is>
      </c>
      <c r="F1527" s="5" t="inlineStr">
        <is>
          <t>AUTOS DE METAL 3 TEAMSTERZ EN BLISTER</t>
        </is>
      </c>
      <c r="G1527" t="n">
        <v>1</v>
      </c>
      <c r="H1527" s="7" t="n">
        <v>6.9</v>
      </c>
      <c r="I1527" s="7" t="n">
        <v>0</v>
      </c>
      <c r="J1527" s="7" t="n">
        <v>0</v>
      </c>
      <c r="K1527" s="9" t="n">
        <v>0</v>
      </c>
      <c r="L1527" s="10" t="n">
        <v>4.1</v>
      </c>
      <c r="M1527" s="10" t="n">
        <v>1.43</v>
      </c>
      <c r="N1527" t="inlineStr">
        <is>
          <t>1</t>
        </is>
      </c>
      <c r="O1527" t="inlineStr">
        <is>
          <t>16</t>
        </is>
      </c>
      <c r="P1527" t="inlineStr">
        <is>
          <t xml:space="preserve">248415  </t>
        </is>
      </c>
      <c r="Q1527" s="26" t="n">
        <v>6.9</v>
      </c>
      <c r="R1527" s="26">
        <f>Q1527*G1527</f>
        <v/>
      </c>
      <c r="S1527" t="n">
        <v>4.09</v>
      </c>
      <c r="T1527" s="18">
        <f>1 - V1527/S1527</f>
        <v/>
      </c>
      <c r="U1527" s="18" t="n">
        <v>0</v>
      </c>
      <c r="V1527" s="26" t="n">
        <v>4.09</v>
      </c>
      <c r="W1527" s="26">
        <f>V1527 - L1527</f>
        <v/>
      </c>
    </row>
    <row r="1528">
      <c r="A1528" s="11" t="n">
        <v>46219</v>
      </c>
      <c r="B1528" s="1" t="n">
        <v>20043</v>
      </c>
      <c r="C1528" s="1" t="inlineStr">
        <is>
          <t>054</t>
        </is>
      </c>
      <c r="D1528" s="1" t="inlineStr">
        <is>
          <t xml:space="preserve">15279 </t>
        </is>
      </c>
      <c r="E1528" s="1" t="inlineStr">
        <is>
          <t xml:space="preserve">28194770       </t>
        </is>
      </c>
      <c r="F1528" s="5" t="inlineStr">
        <is>
          <t>AUTOS DE METAL 3 TEAMSTERZ EN BLISTER</t>
        </is>
      </c>
      <c r="G1528" t="n">
        <v>1</v>
      </c>
      <c r="H1528" s="7" t="n">
        <v>6.9</v>
      </c>
      <c r="I1528" s="7" t="n">
        <v>0</v>
      </c>
      <c r="J1528" s="7" t="n">
        <v>0</v>
      </c>
      <c r="K1528" s="9" t="n">
        <v>0</v>
      </c>
      <c r="L1528" s="10" t="n">
        <v>4.1</v>
      </c>
      <c r="M1528" s="10" t="n">
        <v>1.43</v>
      </c>
      <c r="N1528" t="inlineStr">
        <is>
          <t>1</t>
        </is>
      </c>
      <c r="O1528" t="inlineStr">
        <is>
          <t>16</t>
        </is>
      </c>
      <c r="P1528" t="inlineStr">
        <is>
          <t xml:space="preserve">248415  </t>
        </is>
      </c>
      <c r="Q1528" s="26" t="n">
        <v>6.9</v>
      </c>
      <c r="R1528" s="26">
        <f>Q1528*G1528</f>
        <v/>
      </c>
      <c r="S1528" t="n">
        <v>4.09</v>
      </c>
      <c r="T1528" s="18">
        <f>1 - V1528/S1528</f>
        <v/>
      </c>
      <c r="U1528" s="18" t="n">
        <v>0</v>
      </c>
      <c r="V1528" s="26" t="n">
        <v>4.09</v>
      </c>
      <c r="W1528" s="26">
        <f>V1528 - L1528</f>
        <v/>
      </c>
    </row>
    <row r="1529">
      <c r="A1529" s="11" t="n">
        <v>46219</v>
      </c>
      <c r="B1529" s="1" t="n">
        <v>20043</v>
      </c>
      <c r="C1529" s="1" t="inlineStr">
        <is>
          <t>063</t>
        </is>
      </c>
      <c r="D1529" s="1" t="inlineStr">
        <is>
          <t>157442</t>
        </is>
      </c>
      <c r="E1529" s="1" t="inlineStr">
        <is>
          <t xml:space="preserve">30141766       </t>
        </is>
      </c>
      <c r="F1529" s="5" t="inlineStr">
        <is>
          <t>TMZ BEAST MACHINES AUTOS DE METAL BLISTER X 1</t>
        </is>
      </c>
      <c r="G1529" t="n">
        <v>1</v>
      </c>
      <c r="H1529" s="7" t="n">
        <v>7.9</v>
      </c>
      <c r="I1529" s="7" t="n">
        <v>0</v>
      </c>
      <c r="J1529" s="7" t="n">
        <v>0</v>
      </c>
      <c r="K1529" s="9" t="n">
        <v>0</v>
      </c>
      <c r="L1529" s="10" t="n">
        <v>4.68</v>
      </c>
      <c r="M1529" s="10" t="n">
        <v>1.43</v>
      </c>
      <c r="N1529" t="inlineStr">
        <is>
          <t>1</t>
        </is>
      </c>
      <c r="O1529" t="inlineStr">
        <is>
          <t>16</t>
        </is>
      </c>
      <c r="P1529" t="inlineStr">
        <is>
          <t xml:space="preserve">21959   </t>
        </is>
      </c>
      <c r="Q1529" s="26" t="n">
        <v>7.9</v>
      </c>
      <c r="R1529" s="26">
        <f>Q1529*G1529</f>
        <v/>
      </c>
      <c r="S1529" t="n">
        <v>4.69</v>
      </c>
      <c r="T1529" s="18">
        <f>1 - V1529/S1529</f>
        <v/>
      </c>
      <c r="U1529" s="18" t="n">
        <v>0</v>
      </c>
      <c r="V1529" s="26" t="n">
        <v>4.69</v>
      </c>
      <c r="W1529" s="26">
        <f>V1529 - L1529</f>
        <v/>
      </c>
    </row>
    <row r="1530">
      <c r="A1530" s="11" t="n">
        <v>46219</v>
      </c>
      <c r="B1530" s="1" t="n">
        <v>20043</v>
      </c>
      <c r="C1530" s="1" t="inlineStr">
        <is>
          <t>063</t>
        </is>
      </c>
      <c r="D1530" s="1" t="inlineStr">
        <is>
          <t>157442</t>
        </is>
      </c>
      <c r="E1530" s="1" t="inlineStr">
        <is>
          <t xml:space="preserve">32457099       </t>
        </is>
      </c>
      <c r="F1530" s="5" t="inlineStr">
        <is>
          <t>TMZ BEAST MACHINES MONSTER JAWS A FRICCION BLISTER</t>
        </is>
      </c>
      <c r="G1530" t="n">
        <v>1</v>
      </c>
      <c r="H1530" s="7" t="n">
        <v>19.9</v>
      </c>
      <c r="I1530" s="7" t="n">
        <v>0</v>
      </c>
      <c r="J1530" s="7" t="n">
        <v>0</v>
      </c>
      <c r="K1530" s="9" t="n">
        <v>0</v>
      </c>
      <c r="L1530" s="10" t="n">
        <v>11.8</v>
      </c>
      <c r="M1530" s="10" t="n">
        <v>1.43</v>
      </c>
      <c r="N1530" t="inlineStr">
        <is>
          <t>1</t>
        </is>
      </c>
      <c r="O1530" t="inlineStr">
        <is>
          <t>16</t>
        </is>
      </c>
      <c r="P1530" t="inlineStr">
        <is>
          <t xml:space="preserve">21959   </t>
        </is>
      </c>
      <c r="Q1530" s="26" t="n">
        <v>19.9</v>
      </c>
      <c r="R1530" s="26">
        <f>Q1530*G1530</f>
        <v/>
      </c>
      <c r="S1530" t="n">
        <v>11.81</v>
      </c>
      <c r="T1530" s="18">
        <f>1 - V1530/S1530</f>
        <v/>
      </c>
      <c r="U1530" s="18" t="n">
        <v>0.1005025125628141</v>
      </c>
      <c r="V1530" s="26" t="n">
        <v>8.417118644067797</v>
      </c>
      <c r="W1530" s="26">
        <f>V1530 - L1530</f>
        <v/>
      </c>
    </row>
    <row r="1531">
      <c r="A1531" s="11" t="n">
        <v>46219</v>
      </c>
      <c r="B1531" s="1" t="n">
        <v>20047</v>
      </c>
      <c r="C1531" s="1" t="inlineStr">
        <is>
          <t>012</t>
        </is>
      </c>
      <c r="D1531" s="1" t="inlineStr">
        <is>
          <t>332793</t>
        </is>
      </c>
      <c r="E1531" s="1" t="inlineStr">
        <is>
          <t xml:space="preserve">28194770       </t>
        </is>
      </c>
      <c r="F1531" s="5" t="inlineStr">
        <is>
          <t>AUTOS DE METAL 3 TEAMSTERZ EN BLISTER</t>
        </is>
      </c>
      <c r="G1531" t="n">
        <v>1</v>
      </c>
      <c r="H1531" s="7" t="n">
        <v>6.9</v>
      </c>
      <c r="I1531" s="7" t="n">
        <v>0</v>
      </c>
      <c r="J1531" s="7" t="n">
        <v>0</v>
      </c>
      <c r="K1531" s="9" t="n">
        <v>0</v>
      </c>
      <c r="L1531" s="10" t="n">
        <v>4.1</v>
      </c>
      <c r="M1531" s="10" t="n">
        <v>1.43</v>
      </c>
      <c r="N1531" t="inlineStr">
        <is>
          <t>1</t>
        </is>
      </c>
      <c r="O1531" t="inlineStr">
        <is>
          <t xml:space="preserve">2 </t>
        </is>
      </c>
      <c r="P1531" t="inlineStr">
        <is>
          <t xml:space="preserve">78210   </t>
        </is>
      </c>
      <c r="Q1531" s="26" t="n">
        <v>6.9</v>
      </c>
      <c r="R1531" s="26">
        <f>Q1531*G1531</f>
        <v/>
      </c>
      <c r="S1531" t="n">
        <v>4.09</v>
      </c>
      <c r="T1531" s="18">
        <f>1 - V1531/S1531</f>
        <v/>
      </c>
      <c r="U1531" s="18" t="n">
        <v>0</v>
      </c>
      <c r="V1531" s="26" t="n">
        <v>4.09</v>
      </c>
      <c r="W1531" s="26">
        <f>V1531 - L1531</f>
        <v/>
      </c>
    </row>
    <row r="1532">
      <c r="A1532" s="11" t="n">
        <v>46219</v>
      </c>
      <c r="B1532" s="1" t="n">
        <v>20047</v>
      </c>
      <c r="C1532" s="1" t="inlineStr">
        <is>
          <t>012</t>
        </is>
      </c>
      <c r="D1532" s="1" t="inlineStr">
        <is>
          <t>332797</t>
        </is>
      </c>
      <c r="E1532" s="1" t="inlineStr">
        <is>
          <t xml:space="preserve">28194770       </t>
        </is>
      </c>
      <c r="F1532" s="5" t="inlineStr">
        <is>
          <t>AUTOS DE METAL 3 TEAMSTERZ EN BLISTER</t>
        </is>
      </c>
      <c r="G1532" t="n">
        <v>1</v>
      </c>
      <c r="H1532" s="7" t="n">
        <v>6.9</v>
      </c>
      <c r="I1532" s="7" t="n">
        <v>0</v>
      </c>
      <c r="J1532" s="7" t="n">
        <v>0</v>
      </c>
      <c r="K1532" s="9" t="n">
        <v>0</v>
      </c>
      <c r="L1532" s="10" t="n">
        <v>4.1</v>
      </c>
      <c r="M1532" s="10" t="n">
        <v>1.43</v>
      </c>
      <c r="N1532" t="inlineStr">
        <is>
          <t>1</t>
        </is>
      </c>
      <c r="O1532" t="inlineStr">
        <is>
          <t>16</t>
        </is>
      </c>
      <c r="P1532" t="inlineStr">
        <is>
          <t xml:space="preserve">78210   </t>
        </is>
      </c>
      <c r="Q1532" s="26" t="n">
        <v>6.9</v>
      </c>
      <c r="R1532" s="26">
        <f>Q1532*G1532</f>
        <v/>
      </c>
      <c r="S1532" t="n">
        <v>4.09</v>
      </c>
      <c r="T1532" s="18">
        <f>1 - V1532/S1532</f>
        <v/>
      </c>
      <c r="U1532" s="18" t="n">
        <v>0</v>
      </c>
      <c r="V1532" s="26" t="n">
        <v>4.09</v>
      </c>
      <c r="W1532" s="26">
        <f>V1532 - L1532</f>
        <v/>
      </c>
    </row>
    <row r="1533">
      <c r="A1533" s="11" t="n">
        <v>46219</v>
      </c>
      <c r="B1533" s="1" t="n">
        <v>20047</v>
      </c>
      <c r="C1533" s="1" t="inlineStr">
        <is>
          <t>012</t>
        </is>
      </c>
      <c r="D1533" s="1" t="inlineStr">
        <is>
          <t>332797</t>
        </is>
      </c>
      <c r="E1533" s="1" t="inlineStr">
        <is>
          <t xml:space="preserve">28194770       </t>
        </is>
      </c>
      <c r="F1533" s="5" t="inlineStr">
        <is>
          <t>AUTOS DE METAL 3 TEAMSTERZ EN BLISTER</t>
        </is>
      </c>
      <c r="G1533" t="n">
        <v>1</v>
      </c>
      <c r="H1533" s="7" t="n">
        <v>6.9</v>
      </c>
      <c r="I1533" s="7" t="n">
        <v>0</v>
      </c>
      <c r="J1533" s="7" t="n">
        <v>0</v>
      </c>
      <c r="K1533" s="9" t="n">
        <v>0</v>
      </c>
      <c r="L1533" s="10" t="n">
        <v>4.1</v>
      </c>
      <c r="M1533" s="10" t="n">
        <v>1.43</v>
      </c>
      <c r="N1533" t="inlineStr">
        <is>
          <t>1</t>
        </is>
      </c>
      <c r="O1533" t="inlineStr">
        <is>
          <t>16</t>
        </is>
      </c>
      <c r="P1533" t="inlineStr">
        <is>
          <t xml:space="preserve">78210   </t>
        </is>
      </c>
      <c r="Q1533" s="26" t="n">
        <v>6.9</v>
      </c>
      <c r="R1533" s="26">
        <f>Q1533*G1533</f>
        <v/>
      </c>
      <c r="S1533" t="n">
        <v>4.09</v>
      </c>
      <c r="T1533" s="18">
        <f>1 - V1533/S1533</f>
        <v/>
      </c>
      <c r="U1533" s="18" t="n">
        <v>0</v>
      </c>
      <c r="V1533" s="26" t="n">
        <v>4.09</v>
      </c>
      <c r="W1533" s="26">
        <f>V1533 - L1533</f>
        <v/>
      </c>
    </row>
    <row r="1534">
      <c r="A1534" s="11" t="n">
        <v>46219</v>
      </c>
      <c r="B1534" s="1" t="n">
        <v>20047</v>
      </c>
      <c r="C1534" s="1" t="inlineStr">
        <is>
          <t>191</t>
        </is>
      </c>
      <c r="D1534" s="1" t="inlineStr">
        <is>
          <t>462072</t>
        </is>
      </c>
      <c r="E1534" s="1" t="inlineStr">
        <is>
          <t xml:space="preserve">28194770       </t>
        </is>
      </c>
      <c r="F1534" s="5" t="inlineStr">
        <is>
          <t>AUTOS DE METAL 3 TEAMSTERZ EN BLISTER</t>
        </is>
      </c>
      <c r="G1534" t="n">
        <v>1</v>
      </c>
      <c r="H1534" s="7" t="n">
        <v>6.9</v>
      </c>
      <c r="I1534" s="7" t="n">
        <v>0</v>
      </c>
      <c r="J1534" s="7" t="n">
        <v>0</v>
      </c>
      <c r="K1534" s="9" t="n">
        <v>0</v>
      </c>
      <c r="L1534" s="10" t="n">
        <v>4.1</v>
      </c>
      <c r="M1534" s="10" t="n">
        <v>1.43</v>
      </c>
      <c r="N1534" t="inlineStr">
        <is>
          <t>1</t>
        </is>
      </c>
      <c r="O1534" t="inlineStr">
        <is>
          <t xml:space="preserve">2 </t>
        </is>
      </c>
      <c r="P1534" t="inlineStr">
        <is>
          <t xml:space="preserve">245257  </t>
        </is>
      </c>
      <c r="Q1534" s="26" t="n">
        <v>6.9</v>
      </c>
      <c r="R1534" s="26">
        <f>Q1534*G1534</f>
        <v/>
      </c>
      <c r="S1534" t="n">
        <v>4.09</v>
      </c>
      <c r="T1534" s="18">
        <f>1 - V1534/S1534</f>
        <v/>
      </c>
      <c r="U1534" s="18" t="n">
        <v>0</v>
      </c>
      <c r="V1534" s="26" t="n">
        <v>4.09</v>
      </c>
      <c r="W1534" s="26">
        <f>V1534 - L1534</f>
        <v/>
      </c>
    </row>
    <row r="1535">
      <c r="A1535" s="11" t="n">
        <v>46219</v>
      </c>
      <c r="B1535" s="1" t="n">
        <v>20047</v>
      </c>
      <c r="C1535" s="1" t="inlineStr">
        <is>
          <t>191</t>
        </is>
      </c>
      <c r="D1535" s="1" t="inlineStr">
        <is>
          <t>462072</t>
        </is>
      </c>
      <c r="E1535" s="1" t="inlineStr">
        <is>
          <t xml:space="preserve">28194770       </t>
        </is>
      </c>
      <c r="F1535" s="5" t="inlineStr">
        <is>
          <t>AUTOS DE METAL 3 TEAMSTERZ EN BLISTER</t>
        </is>
      </c>
      <c r="G1535" t="n">
        <v>1</v>
      </c>
      <c r="H1535" s="7" t="n">
        <v>6.9</v>
      </c>
      <c r="I1535" s="7" t="n">
        <v>0</v>
      </c>
      <c r="J1535" s="7" t="n">
        <v>0</v>
      </c>
      <c r="K1535" s="9" t="n">
        <v>0</v>
      </c>
      <c r="L1535" s="10" t="n">
        <v>4.1</v>
      </c>
      <c r="M1535" s="10" t="n">
        <v>1.43</v>
      </c>
      <c r="N1535" t="inlineStr">
        <is>
          <t>1</t>
        </is>
      </c>
      <c r="O1535" t="inlineStr">
        <is>
          <t xml:space="preserve">2 </t>
        </is>
      </c>
      <c r="P1535" t="inlineStr">
        <is>
          <t xml:space="preserve">245257  </t>
        </is>
      </c>
      <c r="Q1535" s="26" t="n">
        <v>6.9</v>
      </c>
      <c r="R1535" s="26">
        <f>Q1535*G1535</f>
        <v/>
      </c>
      <c r="S1535" t="n">
        <v>4.09</v>
      </c>
      <c r="T1535" s="18">
        <f>1 - V1535/S1535</f>
        <v/>
      </c>
      <c r="U1535" s="18" t="n">
        <v>0</v>
      </c>
      <c r="V1535" s="26" t="n">
        <v>4.09</v>
      </c>
      <c r="W1535" s="26">
        <f>V1535 - L1535</f>
        <v/>
      </c>
    </row>
    <row r="1536">
      <c r="A1536" s="11" t="n">
        <v>46219</v>
      </c>
      <c r="B1536" s="1" t="n">
        <v>20048</v>
      </c>
      <c r="C1536" s="1" t="inlineStr">
        <is>
          <t>013</t>
        </is>
      </c>
      <c r="D1536" s="1" t="inlineStr">
        <is>
          <t>225565</t>
        </is>
      </c>
      <c r="E1536" s="1" t="inlineStr">
        <is>
          <t xml:space="preserve">28194768       </t>
        </is>
      </c>
      <c r="F1536" s="5" t="inlineStr">
        <is>
          <t>AUTO COLOR CHANGE TEAMSTERZ SURTIDO</t>
        </is>
      </c>
      <c r="G1536" t="n">
        <v>1</v>
      </c>
      <c r="H1536" s="7" t="n">
        <v>14.9</v>
      </c>
      <c r="I1536" s="7" t="n">
        <v>1.49</v>
      </c>
      <c r="J1536" s="7" t="n">
        <v>0</v>
      </c>
      <c r="K1536" s="9" t="n">
        <v>1.49</v>
      </c>
      <c r="L1536" s="10" t="n">
        <v>7.95</v>
      </c>
      <c r="M1536" s="10" t="n">
        <v>1.43</v>
      </c>
      <c r="N1536" t="inlineStr">
        <is>
          <t>1</t>
        </is>
      </c>
      <c r="O1536" t="inlineStr">
        <is>
          <t xml:space="preserve">3 </t>
        </is>
      </c>
      <c r="P1536" t="inlineStr">
        <is>
          <t xml:space="preserve">249966  </t>
        </is>
      </c>
      <c r="Q1536" s="26" t="n">
        <v>14.9</v>
      </c>
      <c r="R1536" s="26">
        <f>Q1536*G1536</f>
        <v/>
      </c>
      <c r="S1536" t="n">
        <v>8.84</v>
      </c>
      <c r="T1536" s="18">
        <f>1 - V1536/S1536</f>
        <v/>
      </c>
      <c r="U1536" s="18" t="n">
        <v>0</v>
      </c>
      <c r="V1536" s="26" t="n">
        <v>8.84</v>
      </c>
      <c r="W1536" s="26">
        <f>V1536 - L1536</f>
        <v/>
      </c>
    </row>
    <row r="1537">
      <c r="A1537" s="11" t="n">
        <v>46219</v>
      </c>
      <c r="B1537" s="1" t="n">
        <v>20048</v>
      </c>
      <c r="C1537" s="1" t="inlineStr">
        <is>
          <t>013</t>
        </is>
      </c>
      <c r="D1537" s="1" t="inlineStr">
        <is>
          <t>225569</t>
        </is>
      </c>
      <c r="E1537" s="1" t="inlineStr">
        <is>
          <t xml:space="preserve">28194770       </t>
        </is>
      </c>
      <c r="F1537" s="5" t="inlineStr">
        <is>
          <t>AUTOS DE METAL 3 TEAMSTERZ EN BLISTER</t>
        </is>
      </c>
      <c r="G1537" t="n">
        <v>1</v>
      </c>
      <c r="H1537" s="7" t="n">
        <v>6.9</v>
      </c>
      <c r="I1537" s="7" t="n">
        <v>0</v>
      </c>
      <c r="J1537" s="7" t="n">
        <v>0</v>
      </c>
      <c r="K1537" s="9" t="n">
        <v>0</v>
      </c>
      <c r="L1537" s="10" t="n">
        <v>4.1</v>
      </c>
      <c r="M1537" s="10" t="n">
        <v>1.43</v>
      </c>
      <c r="N1537" t="inlineStr">
        <is>
          <t>1</t>
        </is>
      </c>
      <c r="O1537" t="inlineStr">
        <is>
          <t>16</t>
        </is>
      </c>
      <c r="P1537" t="inlineStr">
        <is>
          <t xml:space="preserve">249966  </t>
        </is>
      </c>
      <c r="Q1537" s="26" t="n">
        <v>6.9</v>
      </c>
      <c r="R1537" s="26">
        <f>Q1537*G1537</f>
        <v/>
      </c>
      <c r="S1537" t="n">
        <v>4.09</v>
      </c>
      <c r="T1537" s="18">
        <f>1 - V1537/S1537</f>
        <v/>
      </c>
      <c r="U1537" s="18" t="n">
        <v>0</v>
      </c>
      <c r="V1537" s="26" t="n">
        <v>4.09</v>
      </c>
      <c r="W1537" s="26">
        <f>V1537 - L1537</f>
        <v/>
      </c>
    </row>
    <row r="1538">
      <c r="A1538" s="11" t="n">
        <v>46219</v>
      </c>
      <c r="B1538" s="1" t="n">
        <v>20048</v>
      </c>
      <c r="C1538" s="1" t="inlineStr">
        <is>
          <t>018</t>
        </is>
      </c>
      <c r="D1538" s="1" t="inlineStr">
        <is>
          <t xml:space="preserve">47097 </t>
        </is>
      </c>
      <c r="E1538" s="1" t="inlineStr">
        <is>
          <t xml:space="preserve">32457099       </t>
        </is>
      </c>
      <c r="F1538" s="5" t="inlineStr">
        <is>
          <t>TMZ BEAST MACHINES MONSTER JAWS A FRICCION BLISTER</t>
        </is>
      </c>
      <c r="G1538" t="n">
        <v>1</v>
      </c>
      <c r="H1538" s="7" t="n">
        <v>19.9</v>
      </c>
      <c r="I1538" s="7" t="n">
        <v>0</v>
      </c>
      <c r="J1538" s="7" t="n">
        <v>0</v>
      </c>
      <c r="K1538" s="9" t="n">
        <v>0</v>
      </c>
      <c r="L1538" s="10" t="n">
        <v>11.8</v>
      </c>
      <c r="M1538" s="10" t="n">
        <v>1.43</v>
      </c>
      <c r="N1538" t="inlineStr">
        <is>
          <t>1</t>
        </is>
      </c>
      <c r="O1538" t="inlineStr">
        <is>
          <t>16</t>
        </is>
      </c>
      <c r="P1538" t="inlineStr">
        <is>
          <t xml:space="preserve">250433  </t>
        </is>
      </c>
      <c r="Q1538" s="26" t="n">
        <v>19.9</v>
      </c>
      <c r="R1538" s="26">
        <f>Q1538*G1538</f>
        <v/>
      </c>
      <c r="S1538" t="n">
        <v>11.81</v>
      </c>
      <c r="T1538" s="18">
        <f>1 - V1538/S1538</f>
        <v/>
      </c>
      <c r="U1538" s="18" t="n">
        <v>0.1005025125628141</v>
      </c>
      <c r="V1538" s="26" t="n">
        <v>8.417118644067797</v>
      </c>
      <c r="W1538" s="26">
        <f>V1538 - L1538</f>
        <v/>
      </c>
    </row>
    <row r="1539">
      <c r="A1539" s="11" t="n">
        <v>46219</v>
      </c>
      <c r="B1539" s="1" t="n">
        <v>20048</v>
      </c>
      <c r="C1539" s="1" t="inlineStr">
        <is>
          <t>515</t>
        </is>
      </c>
      <c r="D1539" s="1" t="inlineStr">
        <is>
          <t xml:space="preserve">1516  </t>
        </is>
      </c>
      <c r="E1539" s="1" t="inlineStr">
        <is>
          <t xml:space="preserve">29235702       </t>
        </is>
      </c>
      <c r="F1539" s="5" t="inlineStr">
        <is>
          <t>INFINITY NADO TROMPO DE BATALLA - METAL C/ ANILLO</t>
        </is>
      </c>
      <c r="G1539" t="n">
        <v>1</v>
      </c>
      <c r="H1539" s="7" t="n">
        <v>69.90000000000001</v>
      </c>
      <c r="I1539" s="7" t="n">
        <v>6.99</v>
      </c>
      <c r="J1539" s="7" t="n">
        <v>0</v>
      </c>
      <c r="K1539" s="9" t="n">
        <v>6.99</v>
      </c>
      <c r="L1539" s="10" t="n">
        <v>37.32</v>
      </c>
      <c r="M1539" s="10" t="n">
        <v>1.43</v>
      </c>
      <c r="N1539" t="inlineStr">
        <is>
          <t>1</t>
        </is>
      </c>
      <c r="O1539" t="inlineStr">
        <is>
          <t>16</t>
        </is>
      </c>
      <c r="P1539" t="inlineStr">
        <is>
          <t xml:space="preserve">102671  </t>
        </is>
      </c>
      <c r="Q1539" s="26" t="n">
        <v>69.90000000000001</v>
      </c>
      <c r="R1539" s="26">
        <f>Q1539*G1539</f>
        <v/>
      </c>
      <c r="S1539" t="n">
        <v>41.47</v>
      </c>
      <c r="T1539" s="18">
        <f>1 - V1539/S1539</f>
        <v/>
      </c>
      <c r="U1539" s="18" t="n">
        <v>0.2861230329041489</v>
      </c>
      <c r="V1539" s="26" t="n">
        <v>31.71610169491525</v>
      </c>
      <c r="W1539" s="26">
        <f>V1539 - L1539</f>
        <v/>
      </c>
    </row>
    <row r="1540">
      <c r="A1540" s="11" t="n">
        <v>46219</v>
      </c>
      <c r="B1540" s="1" t="n">
        <v>20056</v>
      </c>
      <c r="C1540" s="1" t="inlineStr">
        <is>
          <t>021</t>
        </is>
      </c>
      <c r="D1540" s="1" t="inlineStr">
        <is>
          <t xml:space="preserve">52470 </t>
        </is>
      </c>
      <c r="E1540" s="1" t="inlineStr">
        <is>
          <t xml:space="preserve">28194767       </t>
        </is>
      </c>
      <c r="F1540" s="5" t="inlineStr">
        <is>
          <t>CAMIONES TEAMSTERZ DE EMERGENCIA</t>
        </is>
      </c>
      <c r="G1540" t="n">
        <v>1</v>
      </c>
      <c r="H1540" s="7" t="n">
        <v>17.9</v>
      </c>
      <c r="I1540" s="7" t="n">
        <v>0</v>
      </c>
      <c r="J1540" s="7" t="n">
        <v>0</v>
      </c>
      <c r="K1540" s="9" t="n">
        <v>0</v>
      </c>
      <c r="L1540" s="10" t="n">
        <v>10.62</v>
      </c>
      <c r="M1540" s="10" t="n">
        <v>1.43</v>
      </c>
      <c r="N1540" t="inlineStr">
        <is>
          <t>1</t>
        </is>
      </c>
      <c r="O1540" t="inlineStr">
        <is>
          <t>16</t>
        </is>
      </c>
      <c r="P1540" t="inlineStr">
        <is>
          <t xml:space="preserve">248464  </t>
        </is>
      </c>
      <c r="Q1540" s="26" t="n">
        <v>17.9</v>
      </c>
      <c r="R1540" s="26">
        <f>Q1540*G1540</f>
        <v/>
      </c>
      <c r="S1540" t="n">
        <v>10.62</v>
      </c>
      <c r="T1540" s="18">
        <f>1 - V1540/S1540</f>
        <v/>
      </c>
      <c r="U1540" s="18" t="n">
        <v>0</v>
      </c>
      <c r="V1540" s="26" t="n">
        <v>10.62</v>
      </c>
      <c r="W1540" s="26">
        <f>V1540 - L1540</f>
        <v/>
      </c>
    </row>
    <row r="1541">
      <c r="A1541" s="11" t="n">
        <v>46219</v>
      </c>
      <c r="B1541" s="1" t="n">
        <v>20056</v>
      </c>
      <c r="C1541" s="1" t="inlineStr">
        <is>
          <t>022</t>
        </is>
      </c>
      <c r="D1541" s="1" t="inlineStr">
        <is>
          <t xml:space="preserve">55025 </t>
        </is>
      </c>
      <c r="E1541" s="1" t="inlineStr">
        <is>
          <t xml:space="preserve">28194769       </t>
        </is>
      </c>
      <c r="F1541" s="5" t="inlineStr">
        <is>
          <t>AUTOS DE METAL 3 TEAMSTERZ PACK DE 2</t>
        </is>
      </c>
      <c r="G1541" t="n">
        <v>1</v>
      </c>
      <c r="H1541" s="7" t="n">
        <v>13.8</v>
      </c>
      <c r="I1541" s="7" t="n">
        <v>0</v>
      </c>
      <c r="J1541" s="7" t="n">
        <v>0</v>
      </c>
      <c r="K1541" s="9" t="n">
        <v>0</v>
      </c>
      <c r="L1541" s="10" t="n">
        <v>8.18</v>
      </c>
      <c r="M1541" s="10" t="n">
        <v>1.43</v>
      </c>
      <c r="N1541" t="inlineStr">
        <is>
          <t>1</t>
        </is>
      </c>
      <c r="O1541" t="inlineStr">
        <is>
          <t>16</t>
        </is>
      </c>
      <c r="P1541" t="inlineStr">
        <is>
          <t xml:space="preserve">246533  </t>
        </is>
      </c>
      <c r="Q1541" s="26" t="n">
        <v>13.8</v>
      </c>
      <c r="R1541" s="26">
        <f>Q1541*G1541</f>
        <v/>
      </c>
      <c r="S1541" t="n">
        <v>8.19</v>
      </c>
      <c r="T1541" s="18">
        <f>1 - V1541/S1541</f>
        <v/>
      </c>
      <c r="U1541" s="18" t="n">
        <v>0</v>
      </c>
      <c r="V1541" s="26" t="n">
        <v>8.19</v>
      </c>
      <c r="W1541" s="26">
        <f>V1541 - L1541</f>
        <v/>
      </c>
    </row>
    <row r="1542">
      <c r="A1542" s="11" t="n">
        <v>46219</v>
      </c>
      <c r="B1542" s="1" t="n">
        <v>20056</v>
      </c>
      <c r="C1542" s="1" t="inlineStr">
        <is>
          <t>022</t>
        </is>
      </c>
      <c r="D1542" s="1" t="inlineStr">
        <is>
          <t xml:space="preserve">55039 </t>
        </is>
      </c>
      <c r="E1542" s="1" t="inlineStr">
        <is>
          <t xml:space="preserve">29235700       </t>
        </is>
      </c>
      <c r="F1542" s="5" t="inlineStr">
        <is>
          <t>HOT WHEELS CASE METALICO PARA GUARDAR 18 CARRITOS</t>
        </is>
      </c>
      <c r="G1542" t="n">
        <v>1</v>
      </c>
      <c r="H1542" s="7" t="n">
        <v>49.9</v>
      </c>
      <c r="I1542" s="7" t="n">
        <v>0</v>
      </c>
      <c r="J1542" s="7" t="n">
        <v>0</v>
      </c>
      <c r="K1542" s="9" t="n">
        <v>0</v>
      </c>
      <c r="L1542" s="10" t="n">
        <v>29.6</v>
      </c>
      <c r="M1542" s="10" t="n">
        <v>1.43</v>
      </c>
      <c r="N1542" t="inlineStr">
        <is>
          <t>1</t>
        </is>
      </c>
      <c r="O1542" t="inlineStr">
        <is>
          <t>16</t>
        </is>
      </c>
      <c r="P1542" t="inlineStr">
        <is>
          <t xml:space="preserve">246533  </t>
        </is>
      </c>
      <c r="Q1542" s="26" t="n">
        <v>49.90000000000001</v>
      </c>
      <c r="R1542" s="26">
        <f>Q1542*G1542</f>
        <v/>
      </c>
      <c r="S1542" t="n">
        <v>29.6</v>
      </c>
      <c r="T1542" s="18">
        <f>1 - V1542/S1542</f>
        <v/>
      </c>
      <c r="U1542" s="18" t="n">
        <v>0</v>
      </c>
      <c r="V1542" s="26" t="n">
        <v>29.6</v>
      </c>
      <c r="W1542" s="26">
        <f>V1542 - L1542</f>
        <v/>
      </c>
    </row>
    <row r="1543">
      <c r="A1543" s="11" t="n">
        <v>46219</v>
      </c>
      <c r="B1543" s="1" t="n">
        <v>20057</v>
      </c>
      <c r="C1543" s="1" t="inlineStr">
        <is>
          <t>032</t>
        </is>
      </c>
      <c r="D1543" s="1" t="inlineStr">
        <is>
          <t xml:space="preserve">74926 </t>
        </is>
      </c>
      <c r="E1543" s="1" t="inlineStr">
        <is>
          <t xml:space="preserve">28194769       </t>
        </is>
      </c>
      <c r="F1543" s="5" t="inlineStr">
        <is>
          <t>AUTOS DE METAL 3 TEAMSTERZ PACK DE 2</t>
        </is>
      </c>
      <c r="G1543" t="n">
        <v>1</v>
      </c>
      <c r="H1543" s="7" t="n">
        <v>13.8</v>
      </c>
      <c r="I1543" s="7" t="n">
        <v>0</v>
      </c>
      <c r="J1543" s="7" t="n">
        <v>0</v>
      </c>
      <c r="K1543" s="9" t="n">
        <v>0</v>
      </c>
      <c r="L1543" s="10" t="n">
        <v>8.18</v>
      </c>
      <c r="M1543" s="10" t="n">
        <v>1.43</v>
      </c>
      <c r="N1543" t="inlineStr">
        <is>
          <t>1</t>
        </is>
      </c>
      <c r="O1543" t="inlineStr">
        <is>
          <t>16</t>
        </is>
      </c>
      <c r="P1543" t="inlineStr">
        <is>
          <t xml:space="preserve">238606  </t>
        </is>
      </c>
      <c r="Q1543" s="26" t="n">
        <v>13.8</v>
      </c>
      <c r="R1543" s="26">
        <f>Q1543*G1543</f>
        <v/>
      </c>
      <c r="S1543" t="n">
        <v>8.19</v>
      </c>
      <c r="T1543" s="18">
        <f>1 - V1543/S1543</f>
        <v/>
      </c>
      <c r="U1543" s="18" t="n">
        <v>0</v>
      </c>
      <c r="V1543" s="26" t="n">
        <v>8.19</v>
      </c>
      <c r="W1543" s="26">
        <f>V1543 - L1543</f>
        <v/>
      </c>
    </row>
    <row r="1544">
      <c r="A1544" s="11" t="n">
        <v>46219</v>
      </c>
      <c r="B1544" s="1" t="n">
        <v>20057</v>
      </c>
      <c r="C1544" s="1" t="inlineStr">
        <is>
          <t>032</t>
        </is>
      </c>
      <c r="D1544" s="1" t="inlineStr">
        <is>
          <t xml:space="preserve">74961 </t>
        </is>
      </c>
      <c r="E1544" s="1" t="inlineStr">
        <is>
          <t xml:space="preserve">28194770       </t>
        </is>
      </c>
      <c r="F1544" s="5" t="inlineStr">
        <is>
          <t>AUTOS DE METAL 3 TEAMSTERZ EN BLISTER</t>
        </is>
      </c>
      <c r="G1544" t="n">
        <v>1</v>
      </c>
      <c r="H1544" s="7" t="n">
        <v>6.9</v>
      </c>
      <c r="I1544" s="7" t="n">
        <v>0</v>
      </c>
      <c r="J1544" s="7" t="n">
        <v>0</v>
      </c>
      <c r="K1544" s="9" t="n">
        <v>0</v>
      </c>
      <c r="L1544" s="10" t="n">
        <v>4.1</v>
      </c>
      <c r="M1544" s="10" t="n">
        <v>1.43</v>
      </c>
      <c r="N1544" t="inlineStr">
        <is>
          <t>1</t>
        </is>
      </c>
      <c r="O1544" t="inlineStr">
        <is>
          <t>16</t>
        </is>
      </c>
      <c r="P1544" t="inlineStr">
        <is>
          <t xml:space="preserve">238606  </t>
        </is>
      </c>
      <c r="Q1544" s="26" t="n">
        <v>6.9</v>
      </c>
      <c r="R1544" s="26">
        <f>Q1544*G1544</f>
        <v/>
      </c>
      <c r="S1544" t="n">
        <v>4.09</v>
      </c>
      <c r="T1544" s="18">
        <f>1 - V1544/S1544</f>
        <v/>
      </c>
      <c r="U1544" s="18" t="n">
        <v>0</v>
      </c>
      <c r="V1544" s="26" t="n">
        <v>4.09</v>
      </c>
      <c r="W1544" s="26">
        <f>V1544 - L1544</f>
        <v/>
      </c>
    </row>
    <row r="1545">
      <c r="A1545" s="11" t="n">
        <v>46219</v>
      </c>
      <c r="B1545" s="1" t="n">
        <v>20057</v>
      </c>
      <c r="C1545" s="1" t="inlineStr">
        <is>
          <t>032</t>
        </is>
      </c>
      <c r="D1545" s="1" t="inlineStr">
        <is>
          <t xml:space="preserve">74961 </t>
        </is>
      </c>
      <c r="E1545" s="1" t="inlineStr">
        <is>
          <t xml:space="preserve">28194770       </t>
        </is>
      </c>
      <c r="F1545" s="5" t="inlineStr">
        <is>
          <t>AUTOS DE METAL 3 TEAMSTERZ EN BLISTER</t>
        </is>
      </c>
      <c r="G1545" t="n">
        <v>1</v>
      </c>
      <c r="H1545" s="7" t="n">
        <v>6.9</v>
      </c>
      <c r="I1545" s="7" t="n">
        <v>0</v>
      </c>
      <c r="J1545" s="7" t="n">
        <v>0</v>
      </c>
      <c r="K1545" s="9" t="n">
        <v>0</v>
      </c>
      <c r="L1545" s="10" t="n">
        <v>4.1</v>
      </c>
      <c r="M1545" s="10" t="n">
        <v>1.43</v>
      </c>
      <c r="N1545" t="inlineStr">
        <is>
          <t>1</t>
        </is>
      </c>
      <c r="O1545" t="inlineStr">
        <is>
          <t>16</t>
        </is>
      </c>
      <c r="P1545" t="inlineStr">
        <is>
          <t xml:space="preserve">238606  </t>
        </is>
      </c>
      <c r="Q1545" s="26" t="n">
        <v>6.9</v>
      </c>
      <c r="R1545" s="26">
        <f>Q1545*G1545</f>
        <v/>
      </c>
      <c r="S1545" t="n">
        <v>4.09</v>
      </c>
      <c r="T1545" s="18">
        <f>1 - V1545/S1545</f>
        <v/>
      </c>
      <c r="U1545" s="18" t="n">
        <v>0</v>
      </c>
      <c r="V1545" s="26" t="n">
        <v>4.09</v>
      </c>
      <c r="W1545" s="26">
        <f>V1545 - L1545</f>
        <v/>
      </c>
    </row>
    <row r="1546">
      <c r="A1546" s="11" t="n">
        <v>46219</v>
      </c>
      <c r="B1546" s="1" t="n">
        <v>20057</v>
      </c>
      <c r="C1546" s="1" t="inlineStr">
        <is>
          <t>032</t>
        </is>
      </c>
      <c r="D1546" s="1" t="inlineStr">
        <is>
          <t xml:space="preserve">74977 </t>
        </is>
      </c>
      <c r="E1546" s="1" t="inlineStr">
        <is>
          <t xml:space="preserve">28194770       </t>
        </is>
      </c>
      <c r="F1546" s="5" t="inlineStr">
        <is>
          <t>AUTOS DE METAL 3 TEAMSTERZ EN BLISTER</t>
        </is>
      </c>
      <c r="G1546" t="n">
        <v>1</v>
      </c>
      <c r="H1546" s="7" t="n">
        <v>6.9</v>
      </c>
      <c r="I1546" s="7" t="n">
        <v>0</v>
      </c>
      <c r="J1546" s="7" t="n">
        <v>0</v>
      </c>
      <c r="K1546" s="9" t="n">
        <v>0</v>
      </c>
      <c r="L1546" s="10" t="n">
        <v>4.1</v>
      </c>
      <c r="M1546" s="10" t="n">
        <v>1.43</v>
      </c>
      <c r="N1546" t="inlineStr">
        <is>
          <t>1</t>
        </is>
      </c>
      <c r="O1546" t="inlineStr">
        <is>
          <t xml:space="preserve">2 </t>
        </is>
      </c>
      <c r="P1546" t="inlineStr">
        <is>
          <t xml:space="preserve">238606  </t>
        </is>
      </c>
      <c r="Q1546" s="26" t="n">
        <v>6.9</v>
      </c>
      <c r="R1546" s="26">
        <f>Q1546*G1546</f>
        <v/>
      </c>
      <c r="S1546" t="n">
        <v>4.09</v>
      </c>
      <c r="T1546" s="18">
        <f>1 - V1546/S1546</f>
        <v/>
      </c>
      <c r="U1546" s="18" t="n">
        <v>0</v>
      </c>
      <c r="V1546" s="26" t="n">
        <v>4.09</v>
      </c>
      <c r="W1546" s="26">
        <f>V1546 - L1546</f>
        <v/>
      </c>
    </row>
    <row r="1547">
      <c r="A1547" s="11" t="n">
        <v>46219</v>
      </c>
      <c r="B1547" s="1" t="n">
        <v>20057</v>
      </c>
      <c r="C1547" s="1" t="inlineStr">
        <is>
          <t>032</t>
        </is>
      </c>
      <c r="D1547" s="1" t="inlineStr">
        <is>
          <t xml:space="preserve">74977 </t>
        </is>
      </c>
      <c r="E1547" s="1" t="inlineStr">
        <is>
          <t xml:space="preserve">28194770       </t>
        </is>
      </c>
      <c r="F1547" s="5" t="inlineStr">
        <is>
          <t>AUTOS DE METAL 3 TEAMSTERZ EN BLISTER</t>
        </is>
      </c>
      <c r="G1547" t="n">
        <v>1</v>
      </c>
      <c r="H1547" s="7" t="n">
        <v>6.9</v>
      </c>
      <c r="I1547" s="7" t="n">
        <v>0</v>
      </c>
      <c r="J1547" s="7" t="n">
        <v>0</v>
      </c>
      <c r="K1547" s="9" t="n">
        <v>0</v>
      </c>
      <c r="L1547" s="10" t="n">
        <v>4.1</v>
      </c>
      <c r="M1547" s="10" t="n">
        <v>1.43</v>
      </c>
      <c r="N1547" t="inlineStr">
        <is>
          <t>1</t>
        </is>
      </c>
      <c r="O1547" t="inlineStr">
        <is>
          <t xml:space="preserve">2 </t>
        </is>
      </c>
      <c r="P1547" t="inlineStr">
        <is>
          <t xml:space="preserve">238606  </t>
        </is>
      </c>
      <c r="Q1547" s="26" t="n">
        <v>6.9</v>
      </c>
      <c r="R1547" s="26">
        <f>Q1547*G1547</f>
        <v/>
      </c>
      <c r="S1547" t="n">
        <v>4.09</v>
      </c>
      <c r="T1547" s="18">
        <f>1 - V1547/S1547</f>
        <v/>
      </c>
      <c r="U1547" s="18" t="n">
        <v>0</v>
      </c>
      <c r="V1547" s="26" t="n">
        <v>4.09</v>
      </c>
      <c r="W1547" s="26">
        <f>V1547 - L1547</f>
        <v/>
      </c>
    </row>
    <row r="1548">
      <c r="A1548" s="11" t="n">
        <v>46219</v>
      </c>
      <c r="B1548" s="1" t="n">
        <v>20057</v>
      </c>
      <c r="C1548" s="1" t="inlineStr">
        <is>
          <t>033</t>
        </is>
      </c>
      <c r="D1548" s="1" t="inlineStr">
        <is>
          <t xml:space="preserve">67237 </t>
        </is>
      </c>
      <c r="E1548" s="1" t="inlineStr">
        <is>
          <t xml:space="preserve">34840556       </t>
        </is>
      </c>
      <c r="F1548" s="5" t="inlineStr">
        <is>
          <t>TMZ BEAST MACH. TRANSPORT DINO +ACCS</t>
        </is>
      </c>
      <c r="G1548" t="n">
        <v>1</v>
      </c>
      <c r="H1548" s="7" t="n">
        <v>79.90000000000001</v>
      </c>
      <c r="I1548" s="7" t="n">
        <v>0</v>
      </c>
      <c r="J1548" s="7" t="n">
        <v>0</v>
      </c>
      <c r="K1548" s="9" t="n">
        <v>0</v>
      </c>
      <c r="L1548" s="10" t="n">
        <v>47.4</v>
      </c>
      <c r="M1548" s="10" t="n">
        <v>1.43</v>
      </c>
      <c r="N1548" t="inlineStr">
        <is>
          <t>1</t>
        </is>
      </c>
      <c r="O1548" t="inlineStr">
        <is>
          <t>16</t>
        </is>
      </c>
      <c r="P1548" t="inlineStr">
        <is>
          <t xml:space="preserve">250316  </t>
        </is>
      </c>
      <c r="Q1548" s="26" t="n">
        <v>79.90000000000002</v>
      </c>
      <c r="R1548" s="26">
        <f>Q1548*G1548</f>
        <v/>
      </c>
      <c r="S1548" t="n">
        <v>47.4</v>
      </c>
      <c r="T1548" s="18">
        <f>1 - V1548/S1548</f>
        <v/>
      </c>
      <c r="U1548" s="18" t="n">
        <v>0.2503128911138924</v>
      </c>
      <c r="V1548" s="26" t="n">
        <v>38.07203389830509</v>
      </c>
      <c r="W1548" s="26">
        <f>V1548 - L1548</f>
        <v/>
      </c>
    </row>
    <row r="1549">
      <c r="A1549" s="11" t="n">
        <v>46219</v>
      </c>
      <c r="B1549" s="1" t="n">
        <v>20058</v>
      </c>
      <c r="C1549" s="1" t="inlineStr">
        <is>
          <t>038</t>
        </is>
      </c>
      <c r="D1549" s="1" t="inlineStr">
        <is>
          <t>209491</t>
        </is>
      </c>
      <c r="E1549" s="1" t="inlineStr">
        <is>
          <t xml:space="preserve">28194760       </t>
        </is>
      </c>
      <c r="F1549" s="5" t="inlineStr">
        <is>
          <t>CAR CASE MULTIMODULAR HOT WHEELS POR 18 PCS</t>
        </is>
      </c>
      <c r="G1549" t="n">
        <v>1</v>
      </c>
      <c r="H1549" s="7" t="n">
        <v>69.90000000000001</v>
      </c>
      <c r="I1549" s="7" t="n">
        <v>0</v>
      </c>
      <c r="J1549" s="7" t="n">
        <v>0</v>
      </c>
      <c r="K1549" s="9" t="n">
        <v>0</v>
      </c>
      <c r="L1549" s="10" t="n">
        <v>41.47</v>
      </c>
      <c r="M1549" s="10" t="n">
        <v>1.43</v>
      </c>
      <c r="N1549" t="inlineStr">
        <is>
          <t>1</t>
        </is>
      </c>
      <c r="O1549" t="inlineStr">
        <is>
          <t>16</t>
        </is>
      </c>
      <c r="P1549" t="inlineStr">
        <is>
          <t xml:space="preserve">90737   </t>
        </is>
      </c>
      <c r="Q1549" s="26" t="n">
        <v>69.90000000000001</v>
      </c>
      <c r="R1549" s="26">
        <f>Q1549*G1549</f>
        <v/>
      </c>
      <c r="S1549" t="n">
        <v>41.47</v>
      </c>
      <c r="T1549" s="18">
        <f>1 - V1549/S1549</f>
        <v/>
      </c>
      <c r="U1549" s="18" t="n">
        <v>0</v>
      </c>
      <c r="V1549" s="26" t="n">
        <v>41.47</v>
      </c>
      <c r="W1549" s="26">
        <f>V1549 - L1549</f>
        <v/>
      </c>
    </row>
    <row r="1550">
      <c r="A1550" s="11" t="n">
        <v>46219</v>
      </c>
      <c r="B1550" s="1" t="n">
        <v>20058</v>
      </c>
      <c r="C1550" s="1" t="inlineStr">
        <is>
          <t>038</t>
        </is>
      </c>
      <c r="D1550" s="1" t="inlineStr">
        <is>
          <t>209505</t>
        </is>
      </c>
      <c r="E1550" s="1" t="inlineStr">
        <is>
          <t xml:space="preserve">28194767       </t>
        </is>
      </c>
      <c r="F1550" s="5" t="inlineStr">
        <is>
          <t>CAMIONES TEAMSTERZ DE EMERGENCIA</t>
        </is>
      </c>
      <c r="G1550" t="n">
        <v>1</v>
      </c>
      <c r="H1550" s="7" t="n">
        <v>17.9</v>
      </c>
      <c r="I1550" s="7" t="n">
        <v>0</v>
      </c>
      <c r="J1550" s="7" t="n">
        <v>0</v>
      </c>
      <c r="K1550" s="9" t="n">
        <v>0</v>
      </c>
      <c r="L1550" s="10" t="n">
        <v>10.62</v>
      </c>
      <c r="M1550" s="10" t="n">
        <v>1.43</v>
      </c>
      <c r="N1550" t="inlineStr">
        <is>
          <t>1</t>
        </is>
      </c>
      <c r="O1550" t="inlineStr">
        <is>
          <t>16</t>
        </is>
      </c>
      <c r="P1550" t="inlineStr">
        <is>
          <t xml:space="preserve">90737   </t>
        </is>
      </c>
      <c r="Q1550" s="26" t="n">
        <v>17.9</v>
      </c>
      <c r="R1550" s="26">
        <f>Q1550*G1550</f>
        <v/>
      </c>
      <c r="S1550" t="n">
        <v>10.62</v>
      </c>
      <c r="T1550" s="18">
        <f>1 - V1550/S1550</f>
        <v/>
      </c>
      <c r="U1550" s="18" t="n">
        <v>0</v>
      </c>
      <c r="V1550" s="26" t="n">
        <v>10.62</v>
      </c>
      <c r="W1550" s="26">
        <f>V1550 - L1550</f>
        <v/>
      </c>
    </row>
    <row r="1551">
      <c r="A1551" s="11" t="n">
        <v>46219</v>
      </c>
      <c r="B1551" s="1" t="n">
        <v>20058</v>
      </c>
      <c r="C1551" s="1" t="inlineStr">
        <is>
          <t>038</t>
        </is>
      </c>
      <c r="D1551" s="1" t="inlineStr">
        <is>
          <t>209525</t>
        </is>
      </c>
      <c r="E1551" s="1" t="inlineStr">
        <is>
          <t xml:space="preserve">28194769       </t>
        </is>
      </c>
      <c r="F1551" s="5" t="inlineStr">
        <is>
          <t>AUTOS DE METAL 3 TEAMSTERZ PACK DE 2</t>
        </is>
      </c>
      <c r="G1551" t="n">
        <v>1</v>
      </c>
      <c r="H1551" s="7" t="n">
        <v>13.8</v>
      </c>
      <c r="I1551" s="7" t="n">
        <v>0</v>
      </c>
      <c r="J1551" s="7" t="n">
        <v>0</v>
      </c>
      <c r="K1551" s="9" t="n">
        <v>0</v>
      </c>
      <c r="L1551" s="10" t="n">
        <v>8.18</v>
      </c>
      <c r="M1551" s="10" t="n">
        <v>1.43</v>
      </c>
      <c r="N1551" t="inlineStr">
        <is>
          <t>1</t>
        </is>
      </c>
      <c r="O1551" t="inlineStr">
        <is>
          <t>16</t>
        </is>
      </c>
      <c r="P1551" t="inlineStr">
        <is>
          <t xml:space="preserve">242648  </t>
        </is>
      </c>
      <c r="Q1551" s="26" t="n">
        <v>13.8</v>
      </c>
      <c r="R1551" s="26">
        <f>Q1551*G1551</f>
        <v/>
      </c>
      <c r="S1551" t="n">
        <v>8.19</v>
      </c>
      <c r="T1551" s="18">
        <f>1 - V1551/S1551</f>
        <v/>
      </c>
      <c r="U1551" s="18" t="n">
        <v>0</v>
      </c>
      <c r="V1551" s="26" t="n">
        <v>8.19</v>
      </c>
      <c r="W1551" s="26">
        <f>V1551 - L1551</f>
        <v/>
      </c>
    </row>
    <row r="1552">
      <c r="A1552" s="11" t="n">
        <v>46219</v>
      </c>
      <c r="B1552" s="1" t="n">
        <v>20058</v>
      </c>
      <c r="C1552" s="1" t="inlineStr">
        <is>
          <t>038</t>
        </is>
      </c>
      <c r="D1552" s="1" t="inlineStr">
        <is>
          <t>209525</t>
        </is>
      </c>
      <c r="E1552" s="1" t="inlineStr">
        <is>
          <t xml:space="preserve">28194770       </t>
        </is>
      </c>
      <c r="F1552" s="5" t="inlineStr">
        <is>
          <t>AUTOS DE METAL 3 TEAMSTERZ EN BLISTER</t>
        </is>
      </c>
      <c r="G1552" t="n">
        <v>1</v>
      </c>
      <c r="H1552" s="7" t="n">
        <v>6.9</v>
      </c>
      <c r="I1552" s="7" t="n">
        <v>0</v>
      </c>
      <c r="J1552" s="7" t="n">
        <v>0</v>
      </c>
      <c r="K1552" s="9" t="n">
        <v>0</v>
      </c>
      <c r="L1552" s="10" t="n">
        <v>4.1</v>
      </c>
      <c r="M1552" s="10" t="n">
        <v>1.43</v>
      </c>
      <c r="N1552" t="inlineStr">
        <is>
          <t>1</t>
        </is>
      </c>
      <c r="O1552" t="inlineStr">
        <is>
          <t>16</t>
        </is>
      </c>
      <c r="P1552" t="inlineStr">
        <is>
          <t xml:space="preserve">242648  </t>
        </is>
      </c>
      <c r="Q1552" s="26" t="n">
        <v>6.9</v>
      </c>
      <c r="R1552" s="26">
        <f>Q1552*G1552</f>
        <v/>
      </c>
      <c r="S1552" t="n">
        <v>4.09</v>
      </c>
      <c r="T1552" s="18">
        <f>1 - V1552/S1552</f>
        <v/>
      </c>
      <c r="U1552" s="18" t="n">
        <v>0</v>
      </c>
      <c r="V1552" s="26" t="n">
        <v>4.09</v>
      </c>
      <c r="W1552" s="26">
        <f>V1552 - L1552</f>
        <v/>
      </c>
    </row>
    <row r="1553">
      <c r="A1553" s="11" t="n">
        <v>46219</v>
      </c>
      <c r="B1553" s="1" t="n">
        <v>20058</v>
      </c>
      <c r="C1553" s="1" t="inlineStr">
        <is>
          <t>039</t>
        </is>
      </c>
      <c r="D1553" s="1" t="inlineStr">
        <is>
          <t>230668</t>
        </is>
      </c>
      <c r="E1553" s="1" t="inlineStr">
        <is>
          <t xml:space="preserve">35685067       </t>
        </is>
      </c>
      <c r="F1553" s="5" t="inlineStr">
        <is>
          <t>HOT WHEELS POWER SET 3 EN 1</t>
        </is>
      </c>
      <c r="G1553" t="n">
        <v>1</v>
      </c>
      <c r="H1553" s="7" t="n">
        <v>49.9</v>
      </c>
      <c r="I1553" s="7" t="n">
        <v>0</v>
      </c>
      <c r="J1553" s="7" t="n">
        <v>0</v>
      </c>
      <c r="K1553" s="9" t="n">
        <v>0</v>
      </c>
      <c r="L1553" s="10" t="n">
        <v>29.6</v>
      </c>
      <c r="M1553" s="10" t="n">
        <v>1.43</v>
      </c>
      <c r="N1553" t="inlineStr">
        <is>
          <t>1</t>
        </is>
      </c>
      <c r="O1553" t="inlineStr">
        <is>
          <t>16</t>
        </is>
      </c>
      <c r="P1553" t="inlineStr">
        <is>
          <t xml:space="preserve">239663  </t>
        </is>
      </c>
      <c r="Q1553" s="26" t="n">
        <v>49.9</v>
      </c>
      <c r="R1553" s="26">
        <f>Q1553*G1553</f>
        <v/>
      </c>
      <c r="S1553" t="n">
        <v>29.6</v>
      </c>
      <c r="T1553" s="18">
        <f>1 - V1553/S1553</f>
        <v/>
      </c>
      <c r="U1553" s="18" t="n">
        <v>0</v>
      </c>
      <c r="V1553" s="26" t="n">
        <v>29.6</v>
      </c>
      <c r="W1553" s="26">
        <f>V1553 - L1553</f>
        <v/>
      </c>
    </row>
    <row r="1554">
      <c r="A1554" s="11" t="n">
        <v>46219</v>
      </c>
      <c r="B1554" s="1" t="n">
        <v>20060</v>
      </c>
      <c r="C1554" s="1" t="inlineStr">
        <is>
          <t>300</t>
        </is>
      </c>
      <c r="D1554" s="1" t="inlineStr">
        <is>
          <t xml:space="preserve">8147  </t>
        </is>
      </c>
      <c r="E1554" s="1" t="inlineStr">
        <is>
          <t xml:space="preserve">34840524       </t>
        </is>
      </c>
      <c r="F1554" s="5" t="inlineStr">
        <is>
          <t>NENUCO 5 FUNCIONES INTERACTIVAS</t>
        </is>
      </c>
      <c r="G1554" t="n">
        <v>1</v>
      </c>
      <c r="H1554" s="7" t="n">
        <v>80.90000000000001</v>
      </c>
      <c r="I1554" s="7" t="n">
        <v>0</v>
      </c>
      <c r="J1554" s="7" t="n">
        <v>0</v>
      </c>
      <c r="K1554" s="9" t="n">
        <v>0</v>
      </c>
      <c r="L1554" s="10" t="n">
        <v>47.99</v>
      </c>
      <c r="M1554" s="10" t="n">
        <v>1.43</v>
      </c>
      <c r="N1554" t="inlineStr">
        <is>
          <t>1</t>
        </is>
      </c>
      <c r="O1554" t="inlineStr">
        <is>
          <t xml:space="preserve">3 </t>
        </is>
      </c>
      <c r="P1554" t="inlineStr">
        <is>
          <t>82807346</t>
        </is>
      </c>
      <c r="Q1554" s="26" t="n">
        <v>89.90000000000003</v>
      </c>
      <c r="R1554" s="26">
        <f>Q1554*G1554</f>
        <v/>
      </c>
      <c r="S1554" t="n">
        <v>53.33</v>
      </c>
      <c r="T1554" s="18">
        <f>1 - V1554/S1554</f>
        <v/>
      </c>
      <c r="U1554" s="18" t="n">
        <v>0.2224694104560623</v>
      </c>
      <c r="V1554" s="26" t="n">
        <v>44.42796610169492</v>
      </c>
      <c r="W1554" s="26">
        <f>V1554 - L1554</f>
        <v/>
      </c>
    </row>
    <row r="1555">
      <c r="A1555" s="11" t="n">
        <v>46219</v>
      </c>
      <c r="B1555" s="1" t="n">
        <v>20062</v>
      </c>
      <c r="C1555" s="1" t="inlineStr">
        <is>
          <t>017</t>
        </is>
      </c>
      <c r="D1555" s="1" t="inlineStr">
        <is>
          <t>235727</t>
        </is>
      </c>
      <c r="E1555" s="1" t="inlineStr">
        <is>
          <t xml:space="preserve">34840556       </t>
        </is>
      </c>
      <c r="F1555" s="5" t="inlineStr">
        <is>
          <t>TMZ BEAST MACH. TRANSPORT DINO +ACCS</t>
        </is>
      </c>
      <c r="G1555" t="n">
        <v>1</v>
      </c>
      <c r="H1555" s="7" t="n">
        <v>79.90000000000001</v>
      </c>
      <c r="I1555" s="7" t="n">
        <v>0</v>
      </c>
      <c r="J1555" s="7" t="n">
        <v>0</v>
      </c>
      <c r="K1555" s="9" t="n">
        <v>0</v>
      </c>
      <c r="L1555" s="10" t="n">
        <v>47.4</v>
      </c>
      <c r="M1555" s="10" t="n">
        <v>1.43</v>
      </c>
      <c r="N1555" t="inlineStr">
        <is>
          <t>1</t>
        </is>
      </c>
      <c r="O1555" t="inlineStr">
        <is>
          <t xml:space="preserve">2 </t>
        </is>
      </c>
      <c r="P1555" t="inlineStr">
        <is>
          <t xml:space="preserve">237521  </t>
        </is>
      </c>
      <c r="Q1555" s="26" t="n">
        <v>79.90000000000002</v>
      </c>
      <c r="R1555" s="26">
        <f>Q1555*G1555</f>
        <v/>
      </c>
      <c r="S1555" t="n">
        <v>47.4</v>
      </c>
      <c r="T1555" s="18">
        <f>1 - V1555/S1555</f>
        <v/>
      </c>
      <c r="U1555" s="18" t="n">
        <v>0.2503128911138924</v>
      </c>
      <c r="V1555" s="26" t="n">
        <v>38.07203389830509</v>
      </c>
      <c r="W1555" s="26">
        <f>V1555 - L1555</f>
        <v/>
      </c>
    </row>
    <row r="1556">
      <c r="A1556" s="11" t="n">
        <v>46219</v>
      </c>
      <c r="B1556" s="1" t="n">
        <v>20062</v>
      </c>
      <c r="C1556" s="1" t="inlineStr">
        <is>
          <t>051</t>
        </is>
      </c>
      <c r="D1556" s="1" t="inlineStr">
        <is>
          <t>242040</t>
        </is>
      </c>
      <c r="E1556" s="1" t="inlineStr">
        <is>
          <t xml:space="preserve">30141767       </t>
        </is>
      </c>
      <c r="F1556" s="5" t="inlineStr">
        <is>
          <t>TMZ BEAST MACHINES AUTOS DE METAL PACK 5 AUTOS</t>
        </is>
      </c>
      <c r="G1556" t="n">
        <v>1</v>
      </c>
      <c r="H1556" s="7" t="n">
        <v>39.5</v>
      </c>
      <c r="I1556" s="7" t="n">
        <v>0</v>
      </c>
      <c r="J1556" s="7" t="n">
        <v>0</v>
      </c>
      <c r="K1556" s="9" t="n">
        <v>0</v>
      </c>
      <c r="L1556" s="10" t="n">
        <v>23.43</v>
      </c>
      <c r="M1556" s="10" t="n">
        <v>1.43</v>
      </c>
      <c r="N1556" t="inlineStr">
        <is>
          <t>1</t>
        </is>
      </c>
      <c r="O1556" t="inlineStr">
        <is>
          <t xml:space="preserve">2 </t>
        </is>
      </c>
      <c r="P1556" t="inlineStr">
        <is>
          <t xml:space="preserve">57106   </t>
        </is>
      </c>
      <c r="Q1556" s="26" t="n">
        <v>39.5</v>
      </c>
      <c r="R1556" s="26">
        <f>Q1556*G1556</f>
        <v/>
      </c>
      <c r="S1556" t="n">
        <v>23.43</v>
      </c>
      <c r="T1556" s="18">
        <f>1 - V1556/S1556</f>
        <v/>
      </c>
      <c r="U1556" s="18" t="n">
        <v>0.2430379746835444</v>
      </c>
      <c r="V1556" s="26" t="n">
        <v>19.00423728813559</v>
      </c>
      <c r="W1556" s="26">
        <f>V1556 - L1556</f>
        <v/>
      </c>
    </row>
    <row r="1557">
      <c r="A1557" s="11" t="n">
        <v>46219</v>
      </c>
      <c r="B1557" s="1" t="n">
        <v>20062</v>
      </c>
      <c r="C1557" s="1" t="inlineStr">
        <is>
          <t>831</t>
        </is>
      </c>
      <c r="D1557" s="1" t="inlineStr">
        <is>
          <t xml:space="preserve">1497  </t>
        </is>
      </c>
      <c r="E1557" s="1" t="inlineStr">
        <is>
          <t xml:space="preserve">28194780       </t>
        </is>
      </c>
      <c r="F1557" s="5" t="inlineStr">
        <is>
          <t>TROMPO BATALLA INFINITY NADO PLSTICO SURTIDO</t>
        </is>
      </c>
      <c r="G1557" t="n">
        <v>1</v>
      </c>
      <c r="H1557" s="7" t="n">
        <v>19.9</v>
      </c>
      <c r="I1557" s="7" t="n">
        <v>1.99</v>
      </c>
      <c r="J1557" s="7" t="n">
        <v>0</v>
      </c>
      <c r="K1557" s="9" t="n">
        <v>1.99</v>
      </c>
      <c r="L1557" s="10" t="n">
        <v>10.63</v>
      </c>
      <c r="M1557" s="10" t="n">
        <v>1.43</v>
      </c>
      <c r="N1557" t="inlineStr">
        <is>
          <t>1</t>
        </is>
      </c>
      <c r="O1557" t="inlineStr">
        <is>
          <t>16</t>
        </is>
      </c>
      <c r="P1557" t="inlineStr">
        <is>
          <t xml:space="preserve">0       </t>
        </is>
      </c>
      <c r="Q1557" s="26" t="n">
        <v>19.9</v>
      </c>
      <c r="R1557" s="26">
        <f>Q1557*G1557</f>
        <v/>
      </c>
      <c r="S1557" t="n">
        <v>11.81</v>
      </c>
      <c r="T1557" s="18">
        <f>1 - V1557/S1557</f>
        <v/>
      </c>
      <c r="U1557" s="18" t="n">
        <v>0</v>
      </c>
      <c r="V1557" s="26" t="n">
        <v>11.81</v>
      </c>
      <c r="W1557" s="26">
        <f>V1557 - L1557</f>
        <v/>
      </c>
    </row>
    <row r="1558">
      <c r="A1558" s="11" t="n">
        <v>46219</v>
      </c>
      <c r="B1558" s="1" t="n">
        <v>20066</v>
      </c>
      <c r="C1558" s="1" t="inlineStr">
        <is>
          <t>059</t>
        </is>
      </c>
      <c r="D1558" s="1" t="inlineStr">
        <is>
          <t xml:space="preserve">18921 </t>
        </is>
      </c>
      <c r="E1558" s="1" t="inlineStr">
        <is>
          <t xml:space="preserve">28194766       </t>
        </is>
      </c>
      <c r="F1558" s="5" t="inlineStr">
        <is>
          <t>CAMIONES TEAMSTERZ DE CIUDAD</t>
        </is>
      </c>
      <c r="G1558" t="n">
        <v>1</v>
      </c>
      <c r="H1558" s="7" t="n">
        <v>17.9</v>
      </c>
      <c r="I1558" s="7" t="n">
        <v>0</v>
      </c>
      <c r="J1558" s="7" t="n">
        <v>0</v>
      </c>
      <c r="K1558" s="9" t="n">
        <v>0</v>
      </c>
      <c r="L1558" s="10" t="n">
        <v>10.62</v>
      </c>
      <c r="M1558" s="10" t="n">
        <v>1.43</v>
      </c>
      <c r="N1558" t="inlineStr">
        <is>
          <t>1</t>
        </is>
      </c>
      <c r="O1558" t="inlineStr">
        <is>
          <t>16</t>
        </is>
      </c>
      <c r="P1558" t="inlineStr">
        <is>
          <t xml:space="preserve">13622   </t>
        </is>
      </c>
      <c r="Q1558" s="26" t="n">
        <v>17.9</v>
      </c>
      <c r="R1558" s="26">
        <f>Q1558*G1558</f>
        <v/>
      </c>
      <c r="S1558" t="n">
        <v>10.62</v>
      </c>
      <c r="T1558" s="18">
        <f>1 - V1558/S1558</f>
        <v/>
      </c>
      <c r="U1558" s="18" t="n">
        <v>0</v>
      </c>
      <c r="V1558" s="26" t="n">
        <v>10.62</v>
      </c>
      <c r="W1558" s="26">
        <f>V1558 - L1558</f>
        <v/>
      </c>
    </row>
    <row r="1559">
      <c r="A1559" s="11" t="n">
        <v>46219</v>
      </c>
      <c r="B1559" s="1" t="n">
        <v>20066</v>
      </c>
      <c r="C1559" s="1" t="inlineStr">
        <is>
          <t>059</t>
        </is>
      </c>
      <c r="D1559" s="1" t="inlineStr">
        <is>
          <t xml:space="preserve">18921 </t>
        </is>
      </c>
      <c r="E1559" s="1" t="inlineStr">
        <is>
          <t xml:space="preserve">28194767       </t>
        </is>
      </c>
      <c r="F1559" s="5" t="inlineStr">
        <is>
          <t>CAMIONES TEAMSTERZ DE EMERGENCIA</t>
        </is>
      </c>
      <c r="G1559" t="n">
        <v>1</v>
      </c>
      <c r="H1559" s="7" t="n">
        <v>17.9</v>
      </c>
      <c r="I1559" s="7" t="n">
        <v>0</v>
      </c>
      <c r="J1559" s="7" t="n">
        <v>0</v>
      </c>
      <c r="K1559" s="9" t="n">
        <v>0</v>
      </c>
      <c r="L1559" s="10" t="n">
        <v>10.62</v>
      </c>
      <c r="M1559" s="10" t="n">
        <v>1.43</v>
      </c>
      <c r="N1559" t="inlineStr">
        <is>
          <t>1</t>
        </is>
      </c>
      <c r="O1559" t="inlineStr">
        <is>
          <t>16</t>
        </is>
      </c>
      <c r="P1559" t="inlineStr">
        <is>
          <t xml:space="preserve">13622   </t>
        </is>
      </c>
      <c r="Q1559" s="26" t="n">
        <v>17.9</v>
      </c>
      <c r="R1559" s="26">
        <f>Q1559*G1559</f>
        <v/>
      </c>
      <c r="S1559" t="n">
        <v>10.62</v>
      </c>
      <c r="T1559" s="18">
        <f>1 - V1559/S1559</f>
        <v/>
      </c>
      <c r="U1559" s="18" t="n">
        <v>0</v>
      </c>
      <c r="V1559" s="26" t="n">
        <v>10.62</v>
      </c>
      <c r="W1559" s="26">
        <f>V1559 - L1559</f>
        <v/>
      </c>
    </row>
    <row r="1560">
      <c r="A1560" s="11" t="n">
        <v>46219</v>
      </c>
      <c r="B1560" s="1" t="n">
        <v>20066</v>
      </c>
      <c r="C1560" s="1" t="inlineStr">
        <is>
          <t>059</t>
        </is>
      </c>
      <c r="D1560" s="1" t="inlineStr">
        <is>
          <t xml:space="preserve">18921 </t>
        </is>
      </c>
      <c r="E1560" s="1" t="inlineStr">
        <is>
          <t xml:space="preserve">28194767       </t>
        </is>
      </c>
      <c r="F1560" s="5" t="inlineStr">
        <is>
          <t>CAMIONES TEAMSTERZ DE EMERGENCIA</t>
        </is>
      </c>
      <c r="G1560" t="n">
        <v>1</v>
      </c>
      <c r="H1560" s="7" t="n">
        <v>17.9</v>
      </c>
      <c r="I1560" s="7" t="n">
        <v>0</v>
      </c>
      <c r="J1560" s="7" t="n">
        <v>0</v>
      </c>
      <c r="K1560" s="9" t="n">
        <v>0</v>
      </c>
      <c r="L1560" s="10" t="n">
        <v>10.62</v>
      </c>
      <c r="M1560" s="10" t="n">
        <v>1.43</v>
      </c>
      <c r="N1560" t="inlineStr">
        <is>
          <t>1</t>
        </is>
      </c>
      <c r="O1560" t="inlineStr">
        <is>
          <t>16</t>
        </is>
      </c>
      <c r="P1560" t="inlineStr">
        <is>
          <t xml:space="preserve">13622   </t>
        </is>
      </c>
      <c r="Q1560" s="26" t="n">
        <v>17.9</v>
      </c>
      <c r="R1560" s="26">
        <f>Q1560*G1560</f>
        <v/>
      </c>
      <c r="S1560" t="n">
        <v>10.62</v>
      </c>
      <c r="T1560" s="18">
        <f>1 - V1560/S1560</f>
        <v/>
      </c>
      <c r="U1560" s="18" t="n">
        <v>0</v>
      </c>
      <c r="V1560" s="26" t="n">
        <v>10.62</v>
      </c>
      <c r="W1560" s="26">
        <f>V1560 - L1560</f>
        <v/>
      </c>
    </row>
    <row r="1561">
      <c r="A1561" s="11" t="n">
        <v>46219</v>
      </c>
      <c r="B1561" s="1" t="n">
        <v>20066</v>
      </c>
      <c r="C1561" s="1" t="inlineStr">
        <is>
          <t>059</t>
        </is>
      </c>
      <c r="D1561" s="1" t="inlineStr">
        <is>
          <t xml:space="preserve">18921 </t>
        </is>
      </c>
      <c r="E1561" s="1" t="inlineStr">
        <is>
          <t xml:space="preserve">28194767       </t>
        </is>
      </c>
      <c r="F1561" s="5" t="inlineStr">
        <is>
          <t>CAMIONES TEAMSTERZ DE EMERGENCIA</t>
        </is>
      </c>
      <c r="G1561" t="n">
        <v>1</v>
      </c>
      <c r="H1561" s="7" t="n">
        <v>17.9</v>
      </c>
      <c r="I1561" s="7" t="n">
        <v>0</v>
      </c>
      <c r="J1561" s="7" t="n">
        <v>0</v>
      </c>
      <c r="K1561" s="9" t="n">
        <v>0</v>
      </c>
      <c r="L1561" s="10" t="n">
        <v>10.62</v>
      </c>
      <c r="M1561" s="10" t="n">
        <v>1.43</v>
      </c>
      <c r="N1561" t="inlineStr">
        <is>
          <t>1</t>
        </is>
      </c>
      <c r="O1561" t="inlineStr">
        <is>
          <t>16</t>
        </is>
      </c>
      <c r="P1561" t="inlineStr">
        <is>
          <t xml:space="preserve">13622   </t>
        </is>
      </c>
      <c r="Q1561" s="26" t="n">
        <v>17.9</v>
      </c>
      <c r="R1561" s="26">
        <f>Q1561*G1561</f>
        <v/>
      </c>
      <c r="S1561" t="n">
        <v>10.62</v>
      </c>
      <c r="T1561" s="18">
        <f>1 - V1561/S1561</f>
        <v/>
      </c>
      <c r="U1561" s="18" t="n">
        <v>0</v>
      </c>
      <c r="V1561" s="26" t="n">
        <v>10.62</v>
      </c>
      <c r="W1561" s="26">
        <f>V1561 - L1561</f>
        <v/>
      </c>
    </row>
    <row r="1562">
      <c r="A1562" s="11" t="n">
        <v>46219</v>
      </c>
      <c r="B1562" s="1" t="n">
        <v>20066</v>
      </c>
      <c r="C1562" s="1" t="inlineStr">
        <is>
          <t>061</t>
        </is>
      </c>
      <c r="D1562" s="1" t="inlineStr">
        <is>
          <t xml:space="preserve">35207 </t>
        </is>
      </c>
      <c r="E1562" s="1" t="inlineStr">
        <is>
          <t xml:space="preserve">28194770       </t>
        </is>
      </c>
      <c r="F1562" s="5" t="inlineStr">
        <is>
          <t>AUTOS DE METAL 3 TEAMSTERZ EN BLISTER</t>
        </is>
      </c>
      <c r="G1562" t="n">
        <v>1</v>
      </c>
      <c r="H1562" s="7" t="n">
        <v>6.9</v>
      </c>
      <c r="I1562" s="7" t="n">
        <v>0</v>
      </c>
      <c r="J1562" s="7" t="n">
        <v>0</v>
      </c>
      <c r="K1562" s="9" t="n">
        <v>0</v>
      </c>
      <c r="L1562" s="10" t="n">
        <v>4.1</v>
      </c>
      <c r="M1562" s="10" t="n">
        <v>1.43</v>
      </c>
      <c r="N1562" t="inlineStr">
        <is>
          <t>1</t>
        </is>
      </c>
      <c r="O1562" t="inlineStr">
        <is>
          <t xml:space="preserve">2 </t>
        </is>
      </c>
      <c r="P1562" t="inlineStr">
        <is>
          <t xml:space="preserve">62683   </t>
        </is>
      </c>
      <c r="Q1562" s="26" t="n">
        <v>6.9</v>
      </c>
      <c r="R1562" s="26">
        <f>Q1562*G1562</f>
        <v/>
      </c>
      <c r="S1562" t="n">
        <v>4.09</v>
      </c>
      <c r="T1562" s="18">
        <f>1 - V1562/S1562</f>
        <v/>
      </c>
      <c r="U1562" s="18" t="n">
        <v>0</v>
      </c>
      <c r="V1562" s="26" t="n">
        <v>4.09</v>
      </c>
      <c r="W1562" s="26">
        <f>V1562 - L1562</f>
        <v/>
      </c>
    </row>
    <row r="1563">
      <c r="A1563" s="11" t="n">
        <v>46219</v>
      </c>
      <c r="B1563" s="1" t="n">
        <v>20066</v>
      </c>
      <c r="C1563" s="1" t="inlineStr">
        <is>
          <t>061</t>
        </is>
      </c>
      <c r="D1563" s="1" t="inlineStr">
        <is>
          <t xml:space="preserve">35207 </t>
        </is>
      </c>
      <c r="E1563" s="1" t="inlineStr">
        <is>
          <t xml:space="preserve">28194770       </t>
        </is>
      </c>
      <c r="F1563" s="5" t="inlineStr">
        <is>
          <t>AUTOS DE METAL 3 TEAMSTERZ EN BLISTER</t>
        </is>
      </c>
      <c r="G1563" t="n">
        <v>1</v>
      </c>
      <c r="H1563" s="7" t="n">
        <v>6.9</v>
      </c>
      <c r="I1563" s="7" t="n">
        <v>0</v>
      </c>
      <c r="J1563" s="7" t="n">
        <v>0</v>
      </c>
      <c r="K1563" s="9" t="n">
        <v>0</v>
      </c>
      <c r="L1563" s="10" t="n">
        <v>4.1</v>
      </c>
      <c r="M1563" s="10" t="n">
        <v>1.43</v>
      </c>
      <c r="N1563" t="inlineStr">
        <is>
          <t>1</t>
        </is>
      </c>
      <c r="O1563" t="inlineStr">
        <is>
          <t xml:space="preserve">2 </t>
        </is>
      </c>
      <c r="P1563" t="inlineStr">
        <is>
          <t xml:space="preserve">62683   </t>
        </is>
      </c>
      <c r="Q1563" s="26" t="n">
        <v>6.9</v>
      </c>
      <c r="R1563" s="26">
        <f>Q1563*G1563</f>
        <v/>
      </c>
      <c r="S1563" t="n">
        <v>4.09</v>
      </c>
      <c r="T1563" s="18">
        <f>1 - V1563/S1563</f>
        <v/>
      </c>
      <c r="U1563" s="18" t="n">
        <v>0</v>
      </c>
      <c r="V1563" s="26" t="n">
        <v>4.09</v>
      </c>
      <c r="W1563" s="26">
        <f>V1563 - L1563</f>
        <v/>
      </c>
    </row>
    <row r="1564">
      <c r="A1564" s="11" t="n">
        <v>46219</v>
      </c>
      <c r="B1564" s="1" t="n">
        <v>20069</v>
      </c>
      <c r="C1564" s="1" t="inlineStr">
        <is>
          <t>011</t>
        </is>
      </c>
      <c r="D1564" s="1" t="inlineStr">
        <is>
          <t>195000</t>
        </is>
      </c>
      <c r="E1564" s="1" t="inlineStr">
        <is>
          <t xml:space="preserve">29235710       </t>
        </is>
      </c>
      <c r="F1564" s="5" t="inlineStr">
        <is>
          <t>TEAMSTERZ PLAYSET GRANDES CONSTRUCCIONES</t>
        </is>
      </c>
      <c r="G1564" t="n">
        <v>1</v>
      </c>
      <c r="H1564" s="7" t="n">
        <v>19.9</v>
      </c>
      <c r="I1564" s="7" t="n">
        <v>0</v>
      </c>
      <c r="J1564" s="7" t="n">
        <v>0</v>
      </c>
      <c r="K1564" s="9" t="n">
        <v>0</v>
      </c>
      <c r="L1564" s="10" t="n">
        <v>11.8</v>
      </c>
      <c r="M1564" s="10" t="n">
        <v>1.43</v>
      </c>
      <c r="N1564" t="inlineStr">
        <is>
          <t>1</t>
        </is>
      </c>
      <c r="O1564" t="inlineStr">
        <is>
          <t xml:space="preserve">2 </t>
        </is>
      </c>
      <c r="P1564" t="inlineStr">
        <is>
          <t xml:space="preserve">247848  </t>
        </is>
      </c>
      <c r="Q1564" s="26" t="n">
        <v>19.9</v>
      </c>
      <c r="R1564" s="26">
        <f>Q1564*G1564</f>
        <v/>
      </c>
      <c r="S1564" t="n">
        <v>11.81</v>
      </c>
      <c r="T1564" s="18">
        <f>1 - V1564/S1564</f>
        <v/>
      </c>
      <c r="U1564" s="18" t="n">
        <v>0</v>
      </c>
      <c r="V1564" s="26" t="n">
        <v>11.81</v>
      </c>
      <c r="W1564" s="26">
        <f>V1564 - L1564</f>
        <v/>
      </c>
    </row>
    <row r="1565">
      <c r="A1565" s="11" t="n">
        <v>46219</v>
      </c>
      <c r="B1565" s="1" t="n">
        <v>20069</v>
      </c>
      <c r="C1565" s="1" t="inlineStr">
        <is>
          <t>190</t>
        </is>
      </c>
      <c r="D1565" s="1" t="inlineStr">
        <is>
          <t>299491</t>
        </is>
      </c>
      <c r="E1565" s="1" t="inlineStr">
        <is>
          <t xml:space="preserve">31754679       </t>
        </is>
      </c>
      <c r="F1565" s="5" t="inlineStr">
        <is>
          <t>RELOJ DIGITAL CRY BABIES</t>
        </is>
      </c>
      <c r="G1565" t="n">
        <v>1</v>
      </c>
      <c r="H1565" s="7" t="n">
        <v>18.9</v>
      </c>
      <c r="I1565" s="7" t="n">
        <v>0</v>
      </c>
      <c r="J1565" s="7" t="n">
        <v>0</v>
      </c>
      <c r="K1565" s="9" t="n">
        <v>0</v>
      </c>
      <c r="L1565" s="10" t="n">
        <v>11.21</v>
      </c>
      <c r="M1565" s="10" t="n">
        <v>1.43</v>
      </c>
      <c r="N1565" t="inlineStr">
        <is>
          <t>1</t>
        </is>
      </c>
      <c r="O1565" t="inlineStr">
        <is>
          <t>16</t>
        </is>
      </c>
      <c r="P1565" t="inlineStr">
        <is>
          <t xml:space="preserve">250749  </t>
        </is>
      </c>
      <c r="Q1565" s="26" t="n">
        <v>18.9</v>
      </c>
      <c r="R1565" s="26">
        <f>Q1565*G1565</f>
        <v/>
      </c>
      <c r="S1565" t="n">
        <v>11.21</v>
      </c>
      <c r="T1565" s="18">
        <f>1 - V1565/S1565</f>
        <v/>
      </c>
      <c r="U1565" s="18" t="n">
        <v>0</v>
      </c>
      <c r="V1565" s="26" t="n">
        <v>11.21</v>
      </c>
      <c r="W1565" s="26">
        <f>V1565 - L1565</f>
        <v/>
      </c>
    </row>
    <row r="1566">
      <c r="A1566" s="11" t="n">
        <v>46219</v>
      </c>
      <c r="B1566" s="1" t="n">
        <v>20073</v>
      </c>
      <c r="C1566" s="1" t="inlineStr">
        <is>
          <t>016</t>
        </is>
      </c>
      <c r="D1566" s="1" t="inlineStr">
        <is>
          <t xml:space="preserve">14577 </t>
        </is>
      </c>
      <c r="E1566" s="1" t="inlineStr">
        <is>
          <t xml:space="preserve">28194768       </t>
        </is>
      </c>
      <c r="F1566" s="5" t="inlineStr">
        <is>
          <t>AUTO COLOR CHANGE TEAMSTERZ SURTIDO</t>
        </is>
      </c>
      <c r="G1566" t="n">
        <v>1</v>
      </c>
      <c r="H1566" s="7" t="n">
        <v>14.9</v>
      </c>
      <c r="I1566" s="7" t="n">
        <v>0</v>
      </c>
      <c r="J1566" s="7" t="n">
        <v>0</v>
      </c>
      <c r="K1566" s="9" t="n">
        <v>0</v>
      </c>
      <c r="L1566" s="10" t="n">
        <v>8.84</v>
      </c>
      <c r="M1566" s="10" t="n">
        <v>1.43</v>
      </c>
      <c r="N1566" t="inlineStr">
        <is>
          <t>1</t>
        </is>
      </c>
      <c r="O1566" t="inlineStr">
        <is>
          <t>16</t>
        </is>
      </c>
      <c r="P1566" t="inlineStr">
        <is>
          <t xml:space="preserve">91372   </t>
        </is>
      </c>
      <c r="Q1566" s="26" t="n">
        <v>14.9</v>
      </c>
      <c r="R1566" s="26">
        <f>Q1566*G1566</f>
        <v/>
      </c>
      <c r="S1566" t="n">
        <v>8.84</v>
      </c>
      <c r="T1566" s="18">
        <f>1 - V1566/S1566</f>
        <v/>
      </c>
      <c r="U1566" s="18" t="n">
        <v>0</v>
      </c>
      <c r="V1566" s="26" t="n">
        <v>8.84</v>
      </c>
      <c r="W1566" s="26">
        <f>V1566 - L1566</f>
        <v/>
      </c>
    </row>
    <row r="1567">
      <c r="A1567" s="11" t="n">
        <v>46219</v>
      </c>
      <c r="B1567" s="1" t="n">
        <v>20073</v>
      </c>
      <c r="C1567" s="1" t="inlineStr">
        <is>
          <t>023</t>
        </is>
      </c>
      <c r="D1567" s="1" t="inlineStr">
        <is>
          <t xml:space="preserve">96248 </t>
        </is>
      </c>
      <c r="E1567" s="1" t="inlineStr">
        <is>
          <t xml:space="preserve">29235700       </t>
        </is>
      </c>
      <c r="F1567" s="5" t="inlineStr">
        <is>
          <t>HOT WHEELS CASE METALICO PARA GUARDAR 18 CARRITOS</t>
        </is>
      </c>
      <c r="G1567" t="n">
        <v>1</v>
      </c>
      <c r="H1567" s="7" t="n">
        <v>49.9</v>
      </c>
      <c r="I1567" s="7" t="n">
        <v>0</v>
      </c>
      <c r="J1567" s="7" t="n">
        <v>0</v>
      </c>
      <c r="K1567" s="9" t="n">
        <v>0</v>
      </c>
      <c r="L1567" s="10" t="n">
        <v>29.6</v>
      </c>
      <c r="M1567" s="10" t="n">
        <v>1.43</v>
      </c>
      <c r="N1567" t="inlineStr">
        <is>
          <t>1</t>
        </is>
      </c>
      <c r="O1567" t="inlineStr">
        <is>
          <t xml:space="preserve">2 </t>
        </is>
      </c>
      <c r="P1567" t="inlineStr">
        <is>
          <t xml:space="preserve">64168   </t>
        </is>
      </c>
      <c r="Q1567" s="26" t="n">
        <v>49.90000000000001</v>
      </c>
      <c r="R1567" s="26">
        <f>Q1567*G1567</f>
        <v/>
      </c>
      <c r="S1567" t="n">
        <v>29.6</v>
      </c>
      <c r="T1567" s="18">
        <f>1 - V1567/S1567</f>
        <v/>
      </c>
      <c r="U1567" s="18" t="n">
        <v>0</v>
      </c>
      <c r="V1567" s="26" t="n">
        <v>29.6</v>
      </c>
      <c r="W1567" s="26">
        <f>V1567 - L1567</f>
        <v/>
      </c>
    </row>
    <row r="1568">
      <c r="A1568" s="11" t="n">
        <v>46219</v>
      </c>
      <c r="B1568" s="1" t="n">
        <v>20074</v>
      </c>
      <c r="C1568" s="1" t="inlineStr">
        <is>
          <t>015</t>
        </is>
      </c>
      <c r="D1568" s="1" t="inlineStr">
        <is>
          <t>227978</t>
        </is>
      </c>
      <c r="E1568" s="1" t="inlineStr">
        <is>
          <t xml:space="preserve">28194768       </t>
        </is>
      </c>
      <c r="F1568" s="5" t="inlineStr">
        <is>
          <t>AUTO COLOR CHANGE TEAMSTERZ SURTIDO</t>
        </is>
      </c>
      <c r="G1568" t="n">
        <v>1</v>
      </c>
      <c r="H1568" s="7" t="n">
        <v>14.9</v>
      </c>
      <c r="I1568" s="7" t="n">
        <v>0</v>
      </c>
      <c r="J1568" s="7" t="n">
        <v>0</v>
      </c>
      <c r="K1568" s="9" t="n">
        <v>0</v>
      </c>
      <c r="L1568" s="10" t="n">
        <v>8.84</v>
      </c>
      <c r="M1568" s="10" t="n">
        <v>1.43</v>
      </c>
      <c r="N1568" t="inlineStr">
        <is>
          <t>1</t>
        </is>
      </c>
      <c r="O1568" t="inlineStr">
        <is>
          <t>16</t>
        </is>
      </c>
      <c r="P1568" t="inlineStr">
        <is>
          <t xml:space="preserve">248567  </t>
        </is>
      </c>
      <c r="Q1568" s="26" t="n">
        <v>14.9</v>
      </c>
      <c r="R1568" s="26">
        <f>Q1568*G1568</f>
        <v/>
      </c>
      <c r="S1568" t="n">
        <v>8.84</v>
      </c>
      <c r="T1568" s="18">
        <f>1 - V1568/S1568</f>
        <v/>
      </c>
      <c r="U1568" s="18" t="n">
        <v>0</v>
      </c>
      <c r="V1568" s="26" t="n">
        <v>8.84</v>
      </c>
      <c r="W1568" s="26">
        <f>V1568 - L1568</f>
        <v/>
      </c>
    </row>
    <row r="1569">
      <c r="A1569" s="11" t="n">
        <v>46219</v>
      </c>
      <c r="B1569" s="1" t="n">
        <v>20074</v>
      </c>
      <c r="C1569" s="1" t="inlineStr">
        <is>
          <t>048</t>
        </is>
      </c>
      <c r="D1569" s="1" t="inlineStr">
        <is>
          <t>145244</t>
        </is>
      </c>
      <c r="E1569" s="1" t="inlineStr">
        <is>
          <t xml:space="preserve">34840551       </t>
        </is>
      </c>
      <c r="F1569" s="5" t="inlineStr">
        <is>
          <t>TMZ HELI BOMBERO CON LUCES Y SONIDOS</t>
        </is>
      </c>
      <c r="G1569" t="n">
        <v>1</v>
      </c>
      <c r="H1569" s="7" t="n">
        <v>79.90000000000001</v>
      </c>
      <c r="I1569" s="7" t="n">
        <v>0</v>
      </c>
      <c r="J1569" s="7" t="n">
        <v>0</v>
      </c>
      <c r="K1569" s="9" t="n">
        <v>0</v>
      </c>
      <c r="L1569" s="10" t="n">
        <v>47.4</v>
      </c>
      <c r="M1569" s="10" t="n">
        <v>1.43</v>
      </c>
      <c r="N1569" t="inlineStr">
        <is>
          <t>1</t>
        </is>
      </c>
      <c r="O1569" t="inlineStr">
        <is>
          <t>16</t>
        </is>
      </c>
      <c r="P1569" t="inlineStr">
        <is>
          <t xml:space="preserve">251008  </t>
        </is>
      </c>
      <c r="Q1569" s="26" t="n">
        <v>79.90000000000002</v>
      </c>
      <c r="R1569" s="26">
        <f>Q1569*G1569</f>
        <v/>
      </c>
      <c r="S1569" t="n">
        <v>47.4</v>
      </c>
      <c r="T1569" s="18">
        <f>1 - V1569/S1569</f>
        <v/>
      </c>
      <c r="U1569" s="18" t="n">
        <v>0</v>
      </c>
      <c r="V1569" s="26" t="n">
        <v>47.4</v>
      </c>
      <c r="W1569" s="26">
        <f>V1569 - L1569</f>
        <v/>
      </c>
    </row>
    <row r="1570">
      <c r="A1570" s="11" t="n">
        <v>46219</v>
      </c>
      <c r="B1570" s="1" t="n">
        <v>20077</v>
      </c>
      <c r="C1570" s="1" t="inlineStr">
        <is>
          <t>016</t>
        </is>
      </c>
      <c r="D1570" s="1" t="inlineStr">
        <is>
          <t>122130</t>
        </is>
      </c>
      <c r="E1570" s="1" t="inlineStr">
        <is>
          <t xml:space="preserve">30141766       </t>
        </is>
      </c>
      <c r="F1570" s="5" t="inlineStr">
        <is>
          <t>TMZ BEAST MACHINES AUTOS DE METAL BLISTER X 1</t>
        </is>
      </c>
      <c r="G1570" t="n">
        <v>1</v>
      </c>
      <c r="H1570" s="7" t="n">
        <v>7.9</v>
      </c>
      <c r="I1570" s="7" t="n">
        <v>0.79</v>
      </c>
      <c r="J1570" s="7" t="n">
        <v>0</v>
      </c>
      <c r="K1570" s="9" t="n">
        <v>0.79</v>
      </c>
      <c r="L1570" s="10" t="n">
        <v>4.22</v>
      </c>
      <c r="M1570" s="10" t="n">
        <v>1.43</v>
      </c>
      <c r="N1570" t="inlineStr">
        <is>
          <t>1</t>
        </is>
      </c>
      <c r="O1570" t="inlineStr">
        <is>
          <t xml:space="preserve">3 </t>
        </is>
      </c>
      <c r="P1570" t="inlineStr">
        <is>
          <t xml:space="preserve">62766   </t>
        </is>
      </c>
      <c r="Q1570" s="26" t="n">
        <v>7.9</v>
      </c>
      <c r="R1570" s="26">
        <f>Q1570*G1570</f>
        <v/>
      </c>
      <c r="S1570" t="n">
        <v>4.69</v>
      </c>
      <c r="T1570" s="18">
        <f>1 - V1570/S1570</f>
        <v/>
      </c>
      <c r="U1570" s="18" t="n">
        <v>0</v>
      </c>
      <c r="V1570" s="26" t="n">
        <v>4.69</v>
      </c>
      <c r="W1570" s="26">
        <f>V1570 - L1570</f>
        <v/>
      </c>
    </row>
    <row r="1571">
      <c r="A1571" s="11" t="n">
        <v>46219</v>
      </c>
      <c r="B1571" s="1" t="n">
        <v>20077</v>
      </c>
      <c r="C1571" s="1" t="inlineStr">
        <is>
          <t>029</t>
        </is>
      </c>
      <c r="D1571" s="1" t="inlineStr">
        <is>
          <t>156238</t>
        </is>
      </c>
      <c r="E1571" s="1" t="inlineStr">
        <is>
          <t xml:space="preserve">28194770       </t>
        </is>
      </c>
      <c r="F1571" s="5" t="inlineStr">
        <is>
          <t>AUTOS DE METAL 3 TEAMSTERZ EN BLISTER</t>
        </is>
      </c>
      <c r="G1571" t="n">
        <v>1</v>
      </c>
      <c r="H1571" s="7" t="n">
        <v>6.9</v>
      </c>
      <c r="I1571" s="7" t="n">
        <v>0.6899999999999999</v>
      </c>
      <c r="J1571" s="7" t="n">
        <v>0</v>
      </c>
      <c r="K1571" s="9" t="n">
        <v>0.6899999999999999</v>
      </c>
      <c r="L1571" s="10" t="n">
        <v>3.68</v>
      </c>
      <c r="M1571" s="10" t="n">
        <v>1.43</v>
      </c>
      <c r="N1571" t="inlineStr">
        <is>
          <t>1</t>
        </is>
      </c>
      <c r="O1571" t="inlineStr">
        <is>
          <t xml:space="preserve">3 </t>
        </is>
      </c>
      <c r="P1571" t="inlineStr">
        <is>
          <t xml:space="preserve">238517  </t>
        </is>
      </c>
      <c r="Q1571" s="26" t="n">
        <v>6.9</v>
      </c>
      <c r="R1571" s="26">
        <f>Q1571*G1571</f>
        <v/>
      </c>
      <c r="S1571" t="n">
        <v>4.09</v>
      </c>
      <c r="T1571" s="18">
        <f>1 - V1571/S1571</f>
        <v/>
      </c>
      <c r="U1571" s="18" t="n">
        <v>0</v>
      </c>
      <c r="V1571" s="26" t="n">
        <v>4.09</v>
      </c>
      <c r="W1571" s="26">
        <f>V1571 - L1571</f>
        <v/>
      </c>
    </row>
    <row r="1572">
      <c r="A1572" s="11" t="n">
        <v>46219</v>
      </c>
      <c r="B1572" s="1" t="n">
        <v>20077</v>
      </c>
      <c r="C1572" s="1" t="inlineStr">
        <is>
          <t>029</t>
        </is>
      </c>
      <c r="D1572" s="1" t="inlineStr">
        <is>
          <t>156238</t>
        </is>
      </c>
      <c r="E1572" s="1" t="inlineStr">
        <is>
          <t xml:space="preserve">28194770       </t>
        </is>
      </c>
      <c r="F1572" s="5" t="inlineStr">
        <is>
          <t>AUTOS DE METAL 3 TEAMSTERZ EN BLISTER</t>
        </is>
      </c>
      <c r="G1572" t="n">
        <v>1</v>
      </c>
      <c r="H1572" s="7" t="n">
        <v>6.9</v>
      </c>
      <c r="I1572" s="7" t="n">
        <v>0.6899999999999999</v>
      </c>
      <c r="J1572" s="7" t="n">
        <v>0</v>
      </c>
      <c r="K1572" s="9" t="n">
        <v>0.6899999999999999</v>
      </c>
      <c r="L1572" s="10" t="n">
        <v>3.68</v>
      </c>
      <c r="M1572" s="10" t="n">
        <v>1.43</v>
      </c>
      <c r="N1572" t="inlineStr">
        <is>
          <t>1</t>
        </is>
      </c>
      <c r="O1572" t="inlineStr">
        <is>
          <t xml:space="preserve">3 </t>
        </is>
      </c>
      <c r="P1572" t="inlineStr">
        <is>
          <t xml:space="preserve">238517  </t>
        </is>
      </c>
      <c r="Q1572" s="26" t="n">
        <v>6.9</v>
      </c>
      <c r="R1572" s="26">
        <f>Q1572*G1572</f>
        <v/>
      </c>
      <c r="S1572" t="n">
        <v>4.09</v>
      </c>
      <c r="T1572" s="18">
        <f>1 - V1572/S1572</f>
        <v/>
      </c>
      <c r="U1572" s="18" t="n">
        <v>0</v>
      </c>
      <c r="V1572" s="26" t="n">
        <v>4.09</v>
      </c>
      <c r="W1572" s="26">
        <f>V1572 - L1572</f>
        <v/>
      </c>
    </row>
    <row r="1573">
      <c r="A1573" s="11" t="n">
        <v>46219</v>
      </c>
      <c r="B1573" s="1" t="n">
        <v>20077</v>
      </c>
      <c r="C1573" s="1" t="inlineStr">
        <is>
          <t>029</t>
        </is>
      </c>
      <c r="D1573" s="1" t="inlineStr">
        <is>
          <t>156278</t>
        </is>
      </c>
      <c r="E1573" s="1" t="inlineStr">
        <is>
          <t xml:space="preserve">34840554       </t>
        </is>
      </c>
      <c r="F1573" s="5" t="inlineStr">
        <is>
          <t>TMZ AUTO LUZ Y SONIDO ESQUELET DINO TRICE</t>
        </is>
      </c>
      <c r="G1573" t="n">
        <v>1</v>
      </c>
      <c r="H1573" s="7" t="n">
        <v>79.90000000000001</v>
      </c>
      <c r="I1573" s="7" t="n">
        <v>0</v>
      </c>
      <c r="J1573" s="7" t="n">
        <v>0</v>
      </c>
      <c r="K1573" s="9" t="n">
        <v>0</v>
      </c>
      <c r="L1573" s="10" t="n">
        <v>47.4</v>
      </c>
      <c r="M1573" s="10" t="n">
        <v>1.43</v>
      </c>
      <c r="N1573" t="inlineStr">
        <is>
          <t>1</t>
        </is>
      </c>
      <c r="O1573" t="inlineStr">
        <is>
          <t>16</t>
        </is>
      </c>
      <c r="P1573" t="inlineStr">
        <is>
          <t xml:space="preserve">238517  </t>
        </is>
      </c>
      <c r="Q1573" s="26" t="n">
        <v>79.90000000000002</v>
      </c>
      <c r="R1573" s="26">
        <f>Q1573*G1573</f>
        <v/>
      </c>
      <c r="S1573" t="n">
        <v>47.4</v>
      </c>
      <c r="T1573" s="18">
        <f>1 - V1573/S1573</f>
        <v/>
      </c>
      <c r="U1573" s="18" t="n">
        <v>0</v>
      </c>
      <c r="V1573" s="26" t="n">
        <v>47.4</v>
      </c>
      <c r="W1573" s="26">
        <f>V1573 - L1573</f>
        <v/>
      </c>
    </row>
    <row r="1574">
      <c r="A1574" s="11" t="n">
        <v>46219</v>
      </c>
      <c r="B1574" s="1" t="n">
        <v>20077</v>
      </c>
      <c r="C1574" s="1" t="inlineStr">
        <is>
          <t>029</t>
        </is>
      </c>
      <c r="D1574" s="1" t="inlineStr">
        <is>
          <t>156284</t>
        </is>
      </c>
      <c r="E1574" s="1" t="inlineStr">
        <is>
          <t xml:space="preserve">28194770       </t>
        </is>
      </c>
      <c r="F1574" s="5" t="inlineStr">
        <is>
          <t>AUTOS DE METAL 3 TEAMSTERZ EN BLISTER</t>
        </is>
      </c>
      <c r="G1574" t="n">
        <v>1</v>
      </c>
      <c r="H1574" s="7" t="n">
        <v>6.9</v>
      </c>
      <c r="I1574" s="7" t="n">
        <v>0</v>
      </c>
      <c r="J1574" s="7" t="n">
        <v>0</v>
      </c>
      <c r="K1574" s="9" t="n">
        <v>0</v>
      </c>
      <c r="L1574" s="10" t="n">
        <v>4.1</v>
      </c>
      <c r="M1574" s="10" t="n">
        <v>1.43</v>
      </c>
      <c r="N1574" t="inlineStr">
        <is>
          <t>1</t>
        </is>
      </c>
      <c r="O1574" t="inlineStr">
        <is>
          <t>16</t>
        </is>
      </c>
      <c r="P1574" t="inlineStr">
        <is>
          <t xml:space="preserve">238517  </t>
        </is>
      </c>
      <c r="Q1574" s="26" t="n">
        <v>6.9</v>
      </c>
      <c r="R1574" s="26">
        <f>Q1574*G1574</f>
        <v/>
      </c>
      <c r="S1574" t="n">
        <v>4.09</v>
      </c>
      <c r="T1574" s="18">
        <f>1 - V1574/S1574</f>
        <v/>
      </c>
      <c r="U1574" s="18" t="n">
        <v>0</v>
      </c>
      <c r="V1574" s="26" t="n">
        <v>4.09</v>
      </c>
      <c r="W1574" s="26">
        <f>V1574 - L1574</f>
        <v/>
      </c>
    </row>
    <row r="1575">
      <c r="A1575" s="11" t="n">
        <v>46219</v>
      </c>
      <c r="B1575" s="1" t="n">
        <v>20077</v>
      </c>
      <c r="C1575" s="1" t="inlineStr">
        <is>
          <t>029</t>
        </is>
      </c>
      <c r="D1575" s="1" t="inlineStr">
        <is>
          <t xml:space="preserve">2246  </t>
        </is>
      </c>
      <c r="E1575" s="1" t="inlineStr">
        <is>
          <t xml:space="preserve">28194770       </t>
        </is>
      </c>
      <c r="F1575" s="5" t="inlineStr">
        <is>
          <t>AUTOS DE METAL 3 TEAMSTERZ EN BLISTER</t>
        </is>
      </c>
      <c r="G1575" t="n">
        <v>1</v>
      </c>
      <c r="H1575" s="7" t="n">
        <v>6.9</v>
      </c>
      <c r="I1575" s="7" t="n">
        <v>0.6899999999999999</v>
      </c>
      <c r="J1575" s="7" t="n">
        <v>0</v>
      </c>
      <c r="K1575" s="9" t="n">
        <v>0.6899999999999999</v>
      </c>
      <c r="L1575" s="10" t="n">
        <v>3.68</v>
      </c>
      <c r="M1575" s="10" t="n">
        <v>1.43</v>
      </c>
      <c r="N1575" t="inlineStr">
        <is>
          <t>1</t>
        </is>
      </c>
      <c r="O1575" t="inlineStr">
        <is>
          <t xml:space="preserve">3 </t>
        </is>
      </c>
      <c r="P1575" t="inlineStr">
        <is>
          <t xml:space="preserve">238517  </t>
        </is>
      </c>
      <c r="Q1575" s="26" t="n">
        <v>6.9</v>
      </c>
      <c r="R1575" s="26">
        <f>Q1575*G1575</f>
        <v/>
      </c>
      <c r="S1575" t="n">
        <v>4.09</v>
      </c>
      <c r="T1575" s="18">
        <f>1 - V1575/S1575</f>
        <v/>
      </c>
      <c r="U1575" s="18" t="n">
        <v>0</v>
      </c>
      <c r="V1575" s="26" t="n">
        <v>4.09</v>
      </c>
      <c r="W1575" s="26">
        <f>V1575 - L1575</f>
        <v/>
      </c>
    </row>
    <row r="1576">
      <c r="A1576" s="11" t="n">
        <v>46219</v>
      </c>
      <c r="B1576" s="1" t="n">
        <v>20077</v>
      </c>
      <c r="C1576" s="1" t="inlineStr">
        <is>
          <t>030</t>
        </is>
      </c>
      <c r="D1576" s="1" t="inlineStr">
        <is>
          <t xml:space="preserve">40748 </t>
        </is>
      </c>
      <c r="E1576" s="1" t="inlineStr">
        <is>
          <t xml:space="preserve">28194768       </t>
        </is>
      </c>
      <c r="F1576" s="5" t="inlineStr">
        <is>
          <t>AUTO COLOR CHANGE TEAMSTERZ SURTIDO</t>
        </is>
      </c>
      <c r="G1576" t="n">
        <v>1</v>
      </c>
      <c r="H1576" s="7" t="n">
        <v>14.9</v>
      </c>
      <c r="I1576" s="7" t="n">
        <v>1.49</v>
      </c>
      <c r="J1576" s="7" t="n">
        <v>0</v>
      </c>
      <c r="K1576" s="9" t="n">
        <v>1.49</v>
      </c>
      <c r="L1576" s="10" t="n">
        <v>7.95</v>
      </c>
      <c r="M1576" s="10" t="n">
        <v>1.43</v>
      </c>
      <c r="N1576" t="inlineStr">
        <is>
          <t>1</t>
        </is>
      </c>
      <c r="O1576" t="inlineStr">
        <is>
          <t xml:space="preserve">3 </t>
        </is>
      </c>
      <c r="P1576" t="inlineStr">
        <is>
          <t xml:space="preserve">48922   </t>
        </is>
      </c>
      <c r="Q1576" s="26" t="n">
        <v>14.9</v>
      </c>
      <c r="R1576" s="26">
        <f>Q1576*G1576</f>
        <v/>
      </c>
      <c r="S1576" t="n">
        <v>8.84</v>
      </c>
      <c r="T1576" s="18">
        <f>1 - V1576/S1576</f>
        <v/>
      </c>
      <c r="U1576" s="18" t="n">
        <v>0</v>
      </c>
      <c r="V1576" s="26" t="n">
        <v>8.84</v>
      </c>
      <c r="W1576" s="26">
        <f>V1576 - L1576</f>
        <v/>
      </c>
    </row>
    <row r="1577">
      <c r="A1577" s="11" t="n">
        <v>46219</v>
      </c>
      <c r="B1577" s="1" t="n">
        <v>20077</v>
      </c>
      <c r="C1577" s="1" t="inlineStr">
        <is>
          <t>030</t>
        </is>
      </c>
      <c r="D1577" s="1" t="inlineStr">
        <is>
          <t xml:space="preserve">40748 </t>
        </is>
      </c>
      <c r="E1577" s="1" t="inlineStr">
        <is>
          <t xml:space="preserve">28194770       </t>
        </is>
      </c>
      <c r="F1577" s="5" t="inlineStr">
        <is>
          <t>AUTOS DE METAL 3 TEAMSTERZ EN BLISTER</t>
        </is>
      </c>
      <c r="G1577" t="n">
        <v>1</v>
      </c>
      <c r="H1577" s="7" t="n">
        <v>6.9</v>
      </c>
      <c r="I1577" s="7" t="n">
        <v>0.6899999999999999</v>
      </c>
      <c r="J1577" s="7" t="n">
        <v>0</v>
      </c>
      <c r="K1577" s="9" t="n">
        <v>0.6899999999999999</v>
      </c>
      <c r="L1577" s="10" t="n">
        <v>3.68</v>
      </c>
      <c r="M1577" s="10" t="n">
        <v>1.43</v>
      </c>
      <c r="N1577" t="inlineStr">
        <is>
          <t>1</t>
        </is>
      </c>
      <c r="O1577" t="inlineStr">
        <is>
          <t xml:space="preserve">3 </t>
        </is>
      </c>
      <c r="P1577" t="inlineStr">
        <is>
          <t xml:space="preserve">48922   </t>
        </is>
      </c>
      <c r="Q1577" s="26" t="n">
        <v>6.9</v>
      </c>
      <c r="R1577" s="26">
        <f>Q1577*G1577</f>
        <v/>
      </c>
      <c r="S1577" t="n">
        <v>4.09</v>
      </c>
      <c r="T1577" s="18">
        <f>1 - V1577/S1577</f>
        <v/>
      </c>
      <c r="U1577" s="18" t="n">
        <v>0</v>
      </c>
      <c r="V1577" s="26" t="n">
        <v>4.09</v>
      </c>
      <c r="W1577" s="26">
        <f>V1577 - L1577</f>
        <v/>
      </c>
    </row>
    <row r="1578">
      <c r="A1578" s="11" t="n">
        <v>46219</v>
      </c>
      <c r="B1578" s="1" t="n">
        <v>20077</v>
      </c>
      <c r="C1578" s="1" t="inlineStr">
        <is>
          <t>030</t>
        </is>
      </c>
      <c r="D1578" s="1" t="inlineStr">
        <is>
          <t xml:space="preserve">40748 </t>
        </is>
      </c>
      <c r="E1578" s="1" t="inlineStr">
        <is>
          <t xml:space="preserve">28194770       </t>
        </is>
      </c>
      <c r="F1578" s="5" t="inlineStr">
        <is>
          <t>AUTOS DE METAL 3 TEAMSTERZ EN BLISTER</t>
        </is>
      </c>
      <c r="G1578" t="n">
        <v>1</v>
      </c>
      <c r="H1578" s="7" t="n">
        <v>6.9</v>
      </c>
      <c r="I1578" s="7" t="n">
        <v>0.6899999999999999</v>
      </c>
      <c r="J1578" s="7" t="n">
        <v>0</v>
      </c>
      <c r="K1578" s="9" t="n">
        <v>0.6899999999999999</v>
      </c>
      <c r="L1578" s="10" t="n">
        <v>3.68</v>
      </c>
      <c r="M1578" s="10" t="n">
        <v>1.43</v>
      </c>
      <c r="N1578" t="inlineStr">
        <is>
          <t>1</t>
        </is>
      </c>
      <c r="O1578" t="inlineStr">
        <is>
          <t xml:space="preserve">3 </t>
        </is>
      </c>
      <c r="P1578" t="inlineStr">
        <is>
          <t xml:space="preserve">48922   </t>
        </is>
      </c>
      <c r="Q1578" s="26" t="n">
        <v>6.9</v>
      </c>
      <c r="R1578" s="26">
        <f>Q1578*G1578</f>
        <v/>
      </c>
      <c r="S1578" t="n">
        <v>4.09</v>
      </c>
      <c r="T1578" s="18">
        <f>1 - V1578/S1578</f>
        <v/>
      </c>
      <c r="U1578" s="18" t="n">
        <v>0</v>
      </c>
      <c r="V1578" s="26" t="n">
        <v>4.09</v>
      </c>
      <c r="W1578" s="26">
        <f>V1578 - L1578</f>
        <v/>
      </c>
    </row>
    <row r="1579">
      <c r="A1579" s="11" t="n">
        <v>46219</v>
      </c>
      <c r="B1579" s="1" t="n">
        <v>20077</v>
      </c>
      <c r="C1579" s="1" t="inlineStr">
        <is>
          <t>038</t>
        </is>
      </c>
      <c r="D1579" s="1" t="inlineStr">
        <is>
          <t>111440</t>
        </is>
      </c>
      <c r="E1579" s="1" t="inlineStr">
        <is>
          <t xml:space="preserve">28194770       </t>
        </is>
      </c>
      <c r="F1579" s="5" t="inlineStr">
        <is>
          <t>AUTOS DE METAL 3 TEAMSTERZ EN BLISTER</t>
        </is>
      </c>
      <c r="G1579" t="n">
        <v>1</v>
      </c>
      <c r="H1579" s="7" t="n">
        <v>6.9</v>
      </c>
      <c r="I1579" s="7" t="n">
        <v>0</v>
      </c>
      <c r="J1579" s="7" t="n">
        <v>0</v>
      </c>
      <c r="K1579" s="9" t="n">
        <v>0</v>
      </c>
      <c r="L1579" s="10" t="n">
        <v>4.1</v>
      </c>
      <c r="M1579" s="10" t="n">
        <v>1.43</v>
      </c>
      <c r="N1579" t="inlineStr">
        <is>
          <t>1</t>
        </is>
      </c>
      <c r="O1579" t="inlineStr">
        <is>
          <t xml:space="preserve">2 </t>
        </is>
      </c>
      <c r="P1579" t="inlineStr">
        <is>
          <t xml:space="preserve">43583   </t>
        </is>
      </c>
      <c r="Q1579" s="26" t="n">
        <v>6.9</v>
      </c>
      <c r="R1579" s="26">
        <f>Q1579*G1579</f>
        <v/>
      </c>
      <c r="S1579" t="n">
        <v>4.09</v>
      </c>
      <c r="T1579" s="18">
        <f>1 - V1579/S1579</f>
        <v/>
      </c>
      <c r="U1579" s="18" t="n">
        <v>0</v>
      </c>
      <c r="V1579" s="26" t="n">
        <v>4.09</v>
      </c>
      <c r="W1579" s="26">
        <f>V1579 - L1579</f>
        <v/>
      </c>
    </row>
    <row r="1580">
      <c r="A1580" s="11" t="n">
        <v>46219</v>
      </c>
      <c r="B1580" s="1" t="n">
        <v>20077</v>
      </c>
      <c r="C1580" s="1" t="inlineStr">
        <is>
          <t>039</t>
        </is>
      </c>
      <c r="D1580" s="1" t="inlineStr">
        <is>
          <t>279312</t>
        </is>
      </c>
      <c r="E1580" s="1" t="inlineStr">
        <is>
          <t xml:space="preserve">31959961       </t>
        </is>
      </c>
      <c r="F1580" s="5" t="inlineStr">
        <is>
          <t>TEAMSTERZ CAMBIA DE COLOR PACK DE 3 AUTOS</t>
        </is>
      </c>
      <c r="G1580" t="n">
        <v>1</v>
      </c>
      <c r="H1580" s="7" t="n">
        <v>49.9</v>
      </c>
      <c r="I1580" s="7" t="n">
        <v>0</v>
      </c>
      <c r="J1580" s="7" t="n">
        <v>0</v>
      </c>
      <c r="K1580" s="9" t="n">
        <v>0</v>
      </c>
      <c r="L1580" s="10" t="n">
        <v>29.6</v>
      </c>
      <c r="M1580" s="10" t="n">
        <v>1.43</v>
      </c>
      <c r="N1580" t="inlineStr">
        <is>
          <t>1</t>
        </is>
      </c>
      <c r="O1580" t="inlineStr">
        <is>
          <t>16</t>
        </is>
      </c>
      <c r="P1580" t="inlineStr">
        <is>
          <t xml:space="preserve">63117   </t>
        </is>
      </c>
      <c r="Q1580" s="26" t="n">
        <v>49.9</v>
      </c>
      <c r="R1580" s="26">
        <f>Q1580*G1580</f>
        <v/>
      </c>
      <c r="S1580" t="n">
        <v>29.6</v>
      </c>
      <c r="T1580" s="18">
        <f>1 - V1580/S1580</f>
        <v/>
      </c>
      <c r="U1580" s="18" t="n">
        <v>0</v>
      </c>
      <c r="V1580" s="26" t="n">
        <v>29.6</v>
      </c>
      <c r="W1580" s="26">
        <f>V1580 - L1580</f>
        <v/>
      </c>
    </row>
    <row r="1581">
      <c r="A1581" s="11" t="n">
        <v>46219</v>
      </c>
      <c r="B1581" s="1" t="n">
        <v>20077</v>
      </c>
      <c r="C1581" s="1" t="inlineStr">
        <is>
          <t>039</t>
        </is>
      </c>
      <c r="D1581" s="1" t="inlineStr">
        <is>
          <t>279312</t>
        </is>
      </c>
      <c r="E1581" s="1" t="inlineStr">
        <is>
          <t xml:space="preserve">31959961       </t>
        </is>
      </c>
      <c r="F1581" s="5" t="inlineStr">
        <is>
          <t>TEAMSTERZ CAMBIA DE COLOR PACK DE 3 AUTOS</t>
        </is>
      </c>
      <c r="G1581" t="n">
        <v>1</v>
      </c>
      <c r="H1581" s="7" t="n">
        <v>49.9</v>
      </c>
      <c r="I1581" s="7" t="n">
        <v>0</v>
      </c>
      <c r="J1581" s="7" t="n">
        <v>0</v>
      </c>
      <c r="K1581" s="9" t="n">
        <v>0</v>
      </c>
      <c r="L1581" s="10" t="n">
        <v>29.6</v>
      </c>
      <c r="M1581" s="10" t="n">
        <v>1.43</v>
      </c>
      <c r="N1581" t="inlineStr">
        <is>
          <t>1</t>
        </is>
      </c>
      <c r="O1581" t="inlineStr">
        <is>
          <t>16</t>
        </is>
      </c>
      <c r="P1581" t="inlineStr">
        <is>
          <t xml:space="preserve">63117   </t>
        </is>
      </c>
      <c r="Q1581" s="26" t="n">
        <v>49.9</v>
      </c>
      <c r="R1581" s="26">
        <f>Q1581*G1581</f>
        <v/>
      </c>
      <c r="S1581" t="n">
        <v>29.6</v>
      </c>
      <c r="T1581" s="18">
        <f>1 - V1581/S1581</f>
        <v/>
      </c>
      <c r="U1581" s="18" t="n">
        <v>0</v>
      </c>
      <c r="V1581" s="26" t="n">
        <v>29.6</v>
      </c>
      <c r="W1581" s="26">
        <f>V1581 - L1581</f>
        <v/>
      </c>
    </row>
    <row r="1582">
      <c r="A1582" s="11" t="n">
        <v>46219</v>
      </c>
      <c r="B1582" s="1" t="n">
        <v>20080</v>
      </c>
      <c r="C1582" s="1" t="inlineStr">
        <is>
          <t>029</t>
        </is>
      </c>
      <c r="D1582" s="1" t="inlineStr">
        <is>
          <t>225633</t>
        </is>
      </c>
      <c r="E1582" s="1" t="inlineStr">
        <is>
          <t xml:space="preserve">33483119       </t>
        </is>
      </c>
      <c r="F1582" s="5" t="inlineStr">
        <is>
          <t>MUNECA EVI LOVE TRAJE TIPICO CON ALPACA</t>
        </is>
      </c>
      <c r="G1582" t="n">
        <v>1</v>
      </c>
      <c r="H1582" s="7" t="n">
        <v>29.9</v>
      </c>
      <c r="I1582" s="7" t="n">
        <v>0</v>
      </c>
      <c r="J1582" s="7" t="n">
        <v>0</v>
      </c>
      <c r="K1582" s="9" t="n">
        <v>0</v>
      </c>
      <c r="L1582" s="10" t="n">
        <v>17.74</v>
      </c>
      <c r="M1582" s="10" t="n">
        <v>1.43</v>
      </c>
      <c r="N1582" t="inlineStr">
        <is>
          <t>1</t>
        </is>
      </c>
      <c r="O1582" t="inlineStr">
        <is>
          <t>16</t>
        </is>
      </c>
      <c r="P1582" t="inlineStr">
        <is>
          <t xml:space="preserve">79951   </t>
        </is>
      </c>
      <c r="Q1582" s="26" t="n">
        <v>29.9</v>
      </c>
      <c r="R1582" s="26">
        <f>Q1582*G1582</f>
        <v/>
      </c>
      <c r="S1582" t="n">
        <v>17.74</v>
      </c>
      <c r="T1582" s="18">
        <f>1 - V1582/S1582</f>
        <v/>
      </c>
      <c r="U1582" s="18" t="n">
        <v>0.4</v>
      </c>
      <c r="V1582" s="26" t="n">
        <v>13.68305084745763</v>
      </c>
      <c r="W1582" s="26">
        <f>V1582 - L1582</f>
        <v/>
      </c>
    </row>
    <row r="1583">
      <c r="A1583" s="11" t="n">
        <v>46219</v>
      </c>
      <c r="B1583" s="1" t="n">
        <v>20086</v>
      </c>
      <c r="C1583" s="1" t="inlineStr">
        <is>
          <t>191</t>
        </is>
      </c>
      <c r="D1583" s="1" t="inlineStr">
        <is>
          <t>291892</t>
        </is>
      </c>
      <c r="E1583" s="1" t="inlineStr">
        <is>
          <t xml:space="preserve">28194769       </t>
        </is>
      </c>
      <c r="F1583" s="5" t="inlineStr">
        <is>
          <t>AUTOS DE METAL 3 TEAMSTERZ PACK DE 2</t>
        </is>
      </c>
      <c r="G1583" t="n">
        <v>1</v>
      </c>
      <c r="H1583" s="7" t="n">
        <v>13.8</v>
      </c>
      <c r="I1583" s="7" t="n">
        <v>0</v>
      </c>
      <c r="J1583" s="7" t="n">
        <v>0</v>
      </c>
      <c r="K1583" s="9" t="n">
        <v>0</v>
      </c>
      <c r="L1583" s="10" t="n">
        <v>8.18</v>
      </c>
      <c r="M1583" s="10" t="n">
        <v>1.43</v>
      </c>
      <c r="N1583" t="inlineStr">
        <is>
          <t>1</t>
        </is>
      </c>
      <c r="O1583" t="inlineStr">
        <is>
          <t xml:space="preserve">2 </t>
        </is>
      </c>
      <c r="P1583" t="inlineStr">
        <is>
          <t xml:space="preserve">74931   </t>
        </is>
      </c>
      <c r="Q1583" s="26" t="n">
        <v>13.8</v>
      </c>
      <c r="R1583" s="26">
        <f>Q1583*G1583</f>
        <v/>
      </c>
      <c r="S1583" t="n">
        <v>8.19</v>
      </c>
      <c r="T1583" s="18">
        <f>1 - V1583/S1583</f>
        <v/>
      </c>
      <c r="U1583" s="18" t="n">
        <v>0</v>
      </c>
      <c r="V1583" s="26" t="n">
        <v>8.19</v>
      </c>
      <c r="W1583" s="26">
        <f>V1583 - L1583</f>
        <v/>
      </c>
    </row>
    <row r="1584">
      <c r="A1584" s="11" t="n">
        <v>46219</v>
      </c>
      <c r="B1584" s="1" t="n">
        <v>20086</v>
      </c>
      <c r="C1584" s="1" t="inlineStr">
        <is>
          <t>191</t>
        </is>
      </c>
      <c r="D1584" s="1" t="inlineStr">
        <is>
          <t>291908</t>
        </is>
      </c>
      <c r="E1584" s="1" t="inlineStr">
        <is>
          <t xml:space="preserve">28194769       </t>
        </is>
      </c>
      <c r="F1584" s="5" t="inlineStr">
        <is>
          <t>AUTOS DE METAL 3 TEAMSTERZ PACK DE 2</t>
        </is>
      </c>
      <c r="G1584" t="n">
        <v>1</v>
      </c>
      <c r="H1584" s="7" t="n">
        <v>13.8</v>
      </c>
      <c r="I1584" s="7" t="n">
        <v>0</v>
      </c>
      <c r="J1584" s="7" t="n">
        <v>0</v>
      </c>
      <c r="K1584" s="9" t="n">
        <v>0</v>
      </c>
      <c r="L1584" s="10" t="n">
        <v>8.18</v>
      </c>
      <c r="M1584" s="10" t="n">
        <v>1.43</v>
      </c>
      <c r="N1584" t="inlineStr">
        <is>
          <t>1</t>
        </is>
      </c>
      <c r="O1584" t="inlineStr">
        <is>
          <t>16</t>
        </is>
      </c>
      <c r="P1584" t="inlineStr">
        <is>
          <t xml:space="preserve">74931   </t>
        </is>
      </c>
      <c r="Q1584" s="26" t="n">
        <v>13.8</v>
      </c>
      <c r="R1584" s="26">
        <f>Q1584*G1584</f>
        <v/>
      </c>
      <c r="S1584" t="n">
        <v>8.19</v>
      </c>
      <c r="T1584" s="18">
        <f>1 - V1584/S1584</f>
        <v/>
      </c>
      <c r="U1584" s="18" t="n">
        <v>0</v>
      </c>
      <c r="V1584" s="26" t="n">
        <v>8.19</v>
      </c>
      <c r="W1584" s="26">
        <f>V1584 - L1584</f>
        <v/>
      </c>
    </row>
    <row r="1585">
      <c r="A1585" s="11" t="n">
        <v>46219</v>
      </c>
      <c r="B1585" s="1" t="n">
        <v>20086</v>
      </c>
      <c r="C1585" s="1" t="inlineStr">
        <is>
          <t>192</t>
        </is>
      </c>
      <c r="D1585" s="1" t="inlineStr">
        <is>
          <t>129109</t>
        </is>
      </c>
      <c r="E1585" s="1" t="inlineStr">
        <is>
          <t xml:space="preserve">28194769       </t>
        </is>
      </c>
      <c r="F1585" s="5" t="inlineStr">
        <is>
          <t>AUTOS DE METAL 3 TEAMSTERZ PACK DE 2</t>
        </is>
      </c>
      <c r="G1585" t="n">
        <v>1</v>
      </c>
      <c r="H1585" s="7" t="n">
        <v>13.8</v>
      </c>
      <c r="I1585" s="7" t="n">
        <v>0</v>
      </c>
      <c r="J1585" s="7" t="n">
        <v>0</v>
      </c>
      <c r="K1585" s="9" t="n">
        <v>0</v>
      </c>
      <c r="L1585" s="10" t="n">
        <v>8.18</v>
      </c>
      <c r="M1585" s="10" t="n">
        <v>1.43</v>
      </c>
      <c r="N1585" t="inlineStr">
        <is>
          <t>1</t>
        </is>
      </c>
      <c r="O1585" t="inlineStr">
        <is>
          <t xml:space="preserve">2 </t>
        </is>
      </c>
      <c r="P1585" t="inlineStr">
        <is>
          <t xml:space="preserve">231297  </t>
        </is>
      </c>
      <c r="Q1585" s="26" t="n">
        <v>13.8</v>
      </c>
      <c r="R1585" s="26">
        <f>Q1585*G1585</f>
        <v/>
      </c>
      <c r="S1585" t="n">
        <v>8.19</v>
      </c>
      <c r="T1585" s="18">
        <f>1 - V1585/S1585</f>
        <v/>
      </c>
      <c r="U1585" s="18" t="n">
        <v>0</v>
      </c>
      <c r="V1585" s="26" t="n">
        <v>8.19</v>
      </c>
      <c r="W1585" s="26">
        <f>V1585 - L1585</f>
        <v/>
      </c>
    </row>
    <row r="1586">
      <c r="A1586" s="11" t="n">
        <v>46219</v>
      </c>
      <c r="B1586" s="1" t="n">
        <v>20088</v>
      </c>
      <c r="C1586" s="1" t="inlineStr">
        <is>
          <t>021</t>
        </is>
      </c>
      <c r="D1586" s="1" t="inlineStr">
        <is>
          <t xml:space="preserve">49160 </t>
        </is>
      </c>
      <c r="E1586" s="1" t="inlineStr">
        <is>
          <t xml:space="preserve">28194781       </t>
        </is>
      </c>
      <c r="F1586" s="5" t="inlineStr">
        <is>
          <t>TROMPO BATALLA INFINITY NADO SERIE V CLASICA SURTI</t>
        </is>
      </c>
      <c r="G1586" t="n">
        <v>1</v>
      </c>
      <c r="H1586" s="7" t="n">
        <v>39.9</v>
      </c>
      <c r="I1586" s="7" t="n">
        <v>0</v>
      </c>
      <c r="J1586" s="7" t="n">
        <v>0</v>
      </c>
      <c r="K1586" s="9" t="n">
        <v>0</v>
      </c>
      <c r="L1586" s="10" t="n">
        <v>23.67</v>
      </c>
      <c r="M1586" s="10" t="n">
        <v>1.43</v>
      </c>
      <c r="N1586" t="inlineStr">
        <is>
          <t>1</t>
        </is>
      </c>
      <c r="O1586" t="inlineStr">
        <is>
          <t>16</t>
        </is>
      </c>
      <c r="P1586" t="inlineStr">
        <is>
          <t xml:space="preserve">232153  </t>
        </is>
      </c>
      <c r="Q1586" s="26" t="n">
        <v>59.9</v>
      </c>
      <c r="R1586" s="26">
        <f>Q1586*G1586</f>
        <v/>
      </c>
      <c r="S1586" t="n">
        <v>35.53</v>
      </c>
      <c r="T1586" s="18">
        <f>1 - V1586/S1586</f>
        <v/>
      </c>
      <c r="U1586" s="18" t="n">
        <v>0.333889816360601</v>
      </c>
      <c r="V1586" s="26" t="n">
        <v>25.36016949152542</v>
      </c>
      <c r="W1586" s="26">
        <f>V1586 - L1586</f>
        <v/>
      </c>
    </row>
    <row r="1587">
      <c r="A1587" s="11" t="n">
        <v>46219</v>
      </c>
      <c r="B1587" s="1" t="n">
        <v>20088</v>
      </c>
      <c r="C1587" s="1" t="inlineStr">
        <is>
          <t>800</t>
        </is>
      </c>
      <c r="D1587" s="1" t="inlineStr">
        <is>
          <t xml:space="preserve">3561  </t>
        </is>
      </c>
      <c r="E1587" s="1" t="inlineStr">
        <is>
          <t xml:space="preserve">28194768       </t>
        </is>
      </c>
      <c r="F1587" s="5" t="inlineStr">
        <is>
          <t>AUTO COLOR CHANGE TEAMSTERZ SURTIDO</t>
        </is>
      </c>
      <c r="G1587" t="n">
        <v>1</v>
      </c>
      <c r="H1587" s="7" t="n">
        <v>14.9</v>
      </c>
      <c r="I1587" s="7" t="n">
        <v>0</v>
      </c>
      <c r="J1587" s="7" t="n">
        <v>0</v>
      </c>
      <c r="K1587" s="9" t="n">
        <v>0</v>
      </c>
      <c r="L1587" s="10" t="n">
        <v>8.84</v>
      </c>
      <c r="M1587" s="10" t="n">
        <v>1.43</v>
      </c>
      <c r="N1587" t="inlineStr">
        <is>
          <t>1</t>
        </is>
      </c>
      <c r="O1587" t="inlineStr">
        <is>
          <t>16</t>
        </is>
      </c>
      <c r="P1587" t="inlineStr">
        <is>
          <t xml:space="preserve">0       </t>
        </is>
      </c>
      <c r="Q1587" s="26" t="n">
        <v>14.9</v>
      </c>
      <c r="R1587" s="26">
        <f>Q1587*G1587</f>
        <v/>
      </c>
      <c r="S1587" t="n">
        <v>8.84</v>
      </c>
      <c r="T1587" s="18">
        <f>1 - V1587/S1587</f>
        <v/>
      </c>
      <c r="U1587" s="18" t="n">
        <v>0</v>
      </c>
      <c r="V1587" s="26" t="n">
        <v>8.84</v>
      </c>
      <c r="W1587" s="26">
        <f>V1587 - L1587</f>
        <v/>
      </c>
    </row>
    <row r="1588">
      <c r="A1588" s="11" t="n">
        <v>46219</v>
      </c>
      <c r="B1588" s="1" t="n">
        <v>20088</v>
      </c>
      <c r="C1588" s="1" t="inlineStr">
        <is>
          <t>800</t>
        </is>
      </c>
      <c r="D1588" s="1" t="inlineStr">
        <is>
          <t xml:space="preserve">3561  </t>
        </is>
      </c>
      <c r="E1588" s="1" t="inlineStr">
        <is>
          <t xml:space="preserve">28194770       </t>
        </is>
      </c>
      <c r="F1588" s="5" t="inlineStr">
        <is>
          <t>AUTOS DE METAL 3 TEAMSTERZ EN BLISTER</t>
        </is>
      </c>
      <c r="G1588" t="n">
        <v>1</v>
      </c>
      <c r="H1588" s="7" t="n">
        <v>6.9</v>
      </c>
      <c r="I1588" s="7" t="n">
        <v>0</v>
      </c>
      <c r="J1588" s="7" t="n">
        <v>0</v>
      </c>
      <c r="K1588" s="9" t="n">
        <v>0</v>
      </c>
      <c r="L1588" s="10" t="n">
        <v>4.1</v>
      </c>
      <c r="M1588" s="10" t="n">
        <v>1.43</v>
      </c>
      <c r="N1588" t="inlineStr">
        <is>
          <t>1</t>
        </is>
      </c>
      <c r="O1588" t="inlineStr">
        <is>
          <t>16</t>
        </is>
      </c>
      <c r="P1588" t="inlineStr">
        <is>
          <t xml:space="preserve">0       </t>
        </is>
      </c>
      <c r="Q1588" s="26" t="n">
        <v>6.9</v>
      </c>
      <c r="R1588" s="26">
        <f>Q1588*G1588</f>
        <v/>
      </c>
      <c r="S1588" t="n">
        <v>4.09</v>
      </c>
      <c r="T1588" s="18">
        <f>1 - V1588/S1588</f>
        <v/>
      </c>
      <c r="U1588" s="18" t="n">
        <v>0</v>
      </c>
      <c r="V1588" s="26" t="n">
        <v>4.09</v>
      </c>
      <c r="W1588" s="26">
        <f>V1588 - L1588</f>
        <v/>
      </c>
    </row>
    <row r="1589">
      <c r="A1589" s="11" t="n">
        <v>46219</v>
      </c>
      <c r="B1589" s="1" t="n">
        <v>20088</v>
      </c>
      <c r="C1589" s="1" t="inlineStr">
        <is>
          <t>801</t>
        </is>
      </c>
      <c r="D1589" s="1" t="inlineStr">
        <is>
          <t xml:space="preserve">6729  </t>
        </is>
      </c>
      <c r="E1589" s="1" t="inlineStr">
        <is>
          <t xml:space="preserve">35685067       </t>
        </is>
      </c>
      <c r="F1589" s="5" t="inlineStr">
        <is>
          <t>HOT WHEELS POWER SET 3 EN 1</t>
        </is>
      </c>
      <c r="G1589" t="n">
        <v>1</v>
      </c>
      <c r="H1589" s="7" t="n">
        <v>49.9</v>
      </c>
      <c r="I1589" s="7" t="n">
        <v>4.99</v>
      </c>
      <c r="J1589" s="7" t="n">
        <v>0</v>
      </c>
      <c r="K1589" s="9" t="n">
        <v>4.99</v>
      </c>
      <c r="L1589" s="10" t="n">
        <v>26.64</v>
      </c>
      <c r="M1589" s="10" t="n">
        <v>1.43</v>
      </c>
      <c r="N1589" t="inlineStr">
        <is>
          <t>1</t>
        </is>
      </c>
      <c r="O1589" t="inlineStr">
        <is>
          <t>16</t>
        </is>
      </c>
      <c r="P1589" t="inlineStr">
        <is>
          <t xml:space="preserve">0       </t>
        </is>
      </c>
      <c r="Q1589" s="26" t="n">
        <v>49.9</v>
      </c>
      <c r="R1589" s="26">
        <f>Q1589*G1589</f>
        <v/>
      </c>
      <c r="S1589" t="n">
        <v>29.6</v>
      </c>
      <c r="T1589" s="18">
        <f>1 - V1589/S1589</f>
        <v/>
      </c>
      <c r="U1589" s="18" t="n">
        <v>0</v>
      </c>
      <c r="V1589" s="26" t="n">
        <v>29.6</v>
      </c>
      <c r="W1589" s="26">
        <f>V1589 - L1589</f>
        <v/>
      </c>
    </row>
    <row r="1590">
      <c r="A1590" s="11" t="n">
        <v>46219</v>
      </c>
      <c r="B1590" s="1" t="n">
        <v>20089</v>
      </c>
      <c r="C1590" s="1" t="inlineStr">
        <is>
          <t>025</t>
        </is>
      </c>
      <c r="D1590" s="1" t="inlineStr">
        <is>
          <t>121861</t>
        </is>
      </c>
      <c r="E1590" s="1" t="inlineStr">
        <is>
          <t xml:space="preserve">28194770       </t>
        </is>
      </c>
      <c r="F1590" s="5" t="inlineStr">
        <is>
          <t>AUTOS DE METAL 3 TEAMSTERZ EN BLISTER</t>
        </is>
      </c>
      <c r="G1590" t="n">
        <v>1</v>
      </c>
      <c r="H1590" s="7" t="n">
        <v>6.9</v>
      </c>
      <c r="I1590" s="7" t="n">
        <v>0.6899999999999999</v>
      </c>
      <c r="J1590" s="7" t="n">
        <v>0</v>
      </c>
      <c r="K1590" s="9" t="n">
        <v>0.6899999999999999</v>
      </c>
      <c r="L1590" s="10" t="n">
        <v>3.68</v>
      </c>
      <c r="M1590" s="10" t="n">
        <v>1.43</v>
      </c>
      <c r="N1590" t="inlineStr">
        <is>
          <t>1</t>
        </is>
      </c>
      <c r="O1590" t="inlineStr">
        <is>
          <t xml:space="preserve">3 </t>
        </is>
      </c>
      <c r="P1590" t="inlineStr">
        <is>
          <t xml:space="preserve">238367  </t>
        </is>
      </c>
      <c r="Q1590" s="26" t="n">
        <v>6.9</v>
      </c>
      <c r="R1590" s="26">
        <f>Q1590*G1590</f>
        <v/>
      </c>
      <c r="S1590" t="n">
        <v>4.09</v>
      </c>
      <c r="T1590" s="18">
        <f>1 - V1590/S1590</f>
        <v/>
      </c>
      <c r="U1590" s="18" t="n">
        <v>0</v>
      </c>
      <c r="V1590" s="26" t="n">
        <v>4.09</v>
      </c>
      <c r="W1590" s="26">
        <f>V1590 - L1590</f>
        <v/>
      </c>
    </row>
    <row r="1591">
      <c r="A1591" s="11" t="n">
        <v>46219</v>
      </c>
      <c r="B1591" s="1" t="n">
        <v>20089</v>
      </c>
      <c r="C1591" s="1" t="inlineStr">
        <is>
          <t>026</t>
        </is>
      </c>
      <c r="D1591" s="1" t="inlineStr">
        <is>
          <t xml:space="preserve">87973 </t>
        </is>
      </c>
      <c r="E1591" s="1" t="inlineStr">
        <is>
          <t xml:space="preserve">28194769       </t>
        </is>
      </c>
      <c r="F1591" s="5" t="inlineStr">
        <is>
          <t>AUTOS DE METAL 3 TEAMSTERZ PACK DE 2</t>
        </is>
      </c>
      <c r="G1591" t="n">
        <v>1</v>
      </c>
      <c r="H1591" s="7" t="n">
        <v>13.8</v>
      </c>
      <c r="I1591" s="7" t="n">
        <v>0</v>
      </c>
      <c r="J1591" s="7" t="n">
        <v>0</v>
      </c>
      <c r="K1591" s="9" t="n">
        <v>0</v>
      </c>
      <c r="L1591" s="10" t="n">
        <v>8.18</v>
      </c>
      <c r="M1591" s="10" t="n">
        <v>1.43</v>
      </c>
      <c r="N1591" t="inlineStr">
        <is>
          <t>1</t>
        </is>
      </c>
      <c r="O1591" t="inlineStr">
        <is>
          <t xml:space="preserve">2 </t>
        </is>
      </c>
      <c r="P1591" t="inlineStr">
        <is>
          <t xml:space="preserve">66808   </t>
        </is>
      </c>
      <c r="Q1591" s="26" t="n">
        <v>13.8</v>
      </c>
      <c r="R1591" s="26">
        <f>Q1591*G1591</f>
        <v/>
      </c>
      <c r="S1591" t="n">
        <v>8.19</v>
      </c>
      <c r="T1591" s="18">
        <f>1 - V1591/S1591</f>
        <v/>
      </c>
      <c r="U1591" s="18" t="n">
        <v>0</v>
      </c>
      <c r="V1591" s="26" t="n">
        <v>8.19</v>
      </c>
      <c r="W1591" s="26">
        <f>V1591 - L1591</f>
        <v/>
      </c>
    </row>
    <row r="1592">
      <c r="A1592" s="11" t="n">
        <v>46219</v>
      </c>
      <c r="B1592" s="1" t="n">
        <v>20089</v>
      </c>
      <c r="C1592" s="1" t="inlineStr">
        <is>
          <t>862</t>
        </is>
      </c>
      <c r="D1592" s="1" t="inlineStr">
        <is>
          <t xml:space="preserve">8509  </t>
        </is>
      </c>
      <c r="E1592" s="1" t="inlineStr">
        <is>
          <t xml:space="preserve">34840552       </t>
        </is>
      </c>
      <c r="F1592" s="5" t="inlineStr">
        <is>
          <t>TMZ HELI POLICIA CON LUCES Y SONIDOS</t>
        </is>
      </c>
      <c r="G1592" t="n">
        <v>1</v>
      </c>
      <c r="H1592" s="7" t="n">
        <v>79.90000000000001</v>
      </c>
      <c r="I1592" s="7" t="n">
        <v>0</v>
      </c>
      <c r="J1592" s="7" t="n">
        <v>0</v>
      </c>
      <c r="K1592" s="9" t="n">
        <v>0</v>
      </c>
      <c r="L1592" s="10" t="n">
        <v>47.4</v>
      </c>
      <c r="M1592" s="10" t="n">
        <v>1.43</v>
      </c>
      <c r="N1592" t="inlineStr">
        <is>
          <t>1</t>
        </is>
      </c>
      <c r="O1592" t="inlineStr">
        <is>
          <t>16</t>
        </is>
      </c>
      <c r="P1592" t="inlineStr">
        <is>
          <t xml:space="preserve">0       </t>
        </is>
      </c>
      <c r="Q1592" s="26" t="n">
        <v>79.90000000000002</v>
      </c>
      <c r="R1592" s="26">
        <f>Q1592*G1592</f>
        <v/>
      </c>
      <c r="S1592" t="n">
        <v>47.4</v>
      </c>
      <c r="T1592" s="18">
        <f>1 - V1592/S1592</f>
        <v/>
      </c>
      <c r="U1592" s="18" t="n">
        <v>0</v>
      </c>
      <c r="V1592" s="26" t="n">
        <v>47.4</v>
      </c>
      <c r="W1592" s="26">
        <f>V1592 - L1592</f>
        <v/>
      </c>
    </row>
    <row r="1593">
      <c r="A1593" s="11" t="n">
        <v>46219</v>
      </c>
      <c r="B1593" s="1" t="n">
        <v>20095</v>
      </c>
      <c r="C1593" s="1" t="inlineStr">
        <is>
          <t>044</t>
        </is>
      </c>
      <c r="D1593" s="1" t="inlineStr">
        <is>
          <t xml:space="preserve">93919 </t>
        </is>
      </c>
      <c r="E1593" s="1" t="inlineStr">
        <is>
          <t xml:space="preserve">30141766       </t>
        </is>
      </c>
      <c r="F1593" s="5" t="inlineStr">
        <is>
          <t>TMZ BEAST MACHINES AUTOS DE METAL BLISTER X 1</t>
        </is>
      </c>
      <c r="G1593" t="n">
        <v>1</v>
      </c>
      <c r="H1593" s="7" t="n">
        <v>7.9</v>
      </c>
      <c r="I1593" s="7" t="n">
        <v>0</v>
      </c>
      <c r="J1593" s="7" t="n">
        <v>0</v>
      </c>
      <c r="K1593" s="9" t="n">
        <v>0</v>
      </c>
      <c r="L1593" s="10" t="n">
        <v>4.68</v>
      </c>
      <c r="M1593" s="10" t="n">
        <v>1.43</v>
      </c>
      <c r="N1593" t="inlineStr">
        <is>
          <t>1</t>
        </is>
      </c>
      <c r="O1593" t="inlineStr">
        <is>
          <t>16</t>
        </is>
      </c>
      <c r="P1593" t="inlineStr">
        <is>
          <t xml:space="preserve">248421  </t>
        </is>
      </c>
      <c r="Q1593" s="26" t="n">
        <v>7.9</v>
      </c>
      <c r="R1593" s="26">
        <f>Q1593*G1593</f>
        <v/>
      </c>
      <c r="S1593" t="n">
        <v>4.69</v>
      </c>
      <c r="T1593" s="18">
        <f>1 - V1593/S1593</f>
        <v/>
      </c>
      <c r="U1593" s="18" t="n">
        <v>0</v>
      </c>
      <c r="V1593" s="26" t="n">
        <v>4.69</v>
      </c>
      <c r="W1593" s="26">
        <f>V1593 - L1593</f>
        <v/>
      </c>
    </row>
    <row r="1594">
      <c r="A1594" s="11" t="n">
        <v>46219</v>
      </c>
      <c r="B1594" s="1" t="n">
        <v>20095</v>
      </c>
      <c r="C1594" s="1" t="inlineStr">
        <is>
          <t>044</t>
        </is>
      </c>
      <c r="D1594" s="1" t="inlineStr">
        <is>
          <t xml:space="preserve">93954 </t>
        </is>
      </c>
      <c r="E1594" s="1" t="inlineStr">
        <is>
          <t xml:space="preserve">28194768       </t>
        </is>
      </c>
      <c r="F1594" s="5" t="inlineStr">
        <is>
          <t>AUTO COLOR CHANGE TEAMSTERZ SURTIDO</t>
        </is>
      </c>
      <c r="G1594" t="n">
        <v>1</v>
      </c>
      <c r="H1594" s="7" t="n">
        <v>14.9</v>
      </c>
      <c r="I1594" s="7" t="n">
        <v>0</v>
      </c>
      <c r="J1594" s="7" t="n">
        <v>0</v>
      </c>
      <c r="K1594" s="9" t="n">
        <v>0</v>
      </c>
      <c r="L1594" s="10" t="n">
        <v>8.84</v>
      </c>
      <c r="M1594" s="10" t="n">
        <v>1.43</v>
      </c>
      <c r="N1594" t="inlineStr">
        <is>
          <t>1</t>
        </is>
      </c>
      <c r="O1594" t="inlineStr">
        <is>
          <t>16</t>
        </is>
      </c>
      <c r="P1594" t="inlineStr">
        <is>
          <t xml:space="preserve">248421  </t>
        </is>
      </c>
      <c r="Q1594" s="26" t="n">
        <v>14.9</v>
      </c>
      <c r="R1594" s="26">
        <f>Q1594*G1594</f>
        <v/>
      </c>
      <c r="S1594" t="n">
        <v>8.84</v>
      </c>
      <c r="T1594" s="18">
        <f>1 - V1594/S1594</f>
        <v/>
      </c>
      <c r="U1594" s="18" t="n">
        <v>0</v>
      </c>
      <c r="V1594" s="26" t="n">
        <v>8.84</v>
      </c>
      <c r="W1594" s="26">
        <f>V1594 - L1594</f>
        <v/>
      </c>
    </row>
    <row r="1595">
      <c r="A1595" s="11" t="n">
        <v>46219</v>
      </c>
      <c r="B1595" s="1" t="n">
        <v>20095</v>
      </c>
      <c r="C1595" s="1" t="inlineStr">
        <is>
          <t>044</t>
        </is>
      </c>
      <c r="D1595" s="1" t="inlineStr">
        <is>
          <t xml:space="preserve">93966 </t>
        </is>
      </c>
      <c r="E1595" s="1" t="inlineStr">
        <is>
          <t xml:space="preserve">28194768       </t>
        </is>
      </c>
      <c r="F1595" s="5" t="inlineStr">
        <is>
          <t>AUTO COLOR CHANGE TEAMSTERZ SURTIDO</t>
        </is>
      </c>
      <c r="G1595" t="n">
        <v>1</v>
      </c>
      <c r="H1595" s="7" t="n">
        <v>14.9</v>
      </c>
      <c r="I1595" s="7" t="n">
        <v>0</v>
      </c>
      <c r="J1595" s="7" t="n">
        <v>0</v>
      </c>
      <c r="K1595" s="9" t="n">
        <v>0</v>
      </c>
      <c r="L1595" s="10" t="n">
        <v>8.84</v>
      </c>
      <c r="M1595" s="10" t="n">
        <v>1.43</v>
      </c>
      <c r="N1595" t="inlineStr">
        <is>
          <t>1</t>
        </is>
      </c>
      <c r="O1595" t="inlineStr">
        <is>
          <t>16</t>
        </is>
      </c>
      <c r="P1595" t="inlineStr">
        <is>
          <t xml:space="preserve">248421  </t>
        </is>
      </c>
      <c r="Q1595" s="26" t="n">
        <v>14.9</v>
      </c>
      <c r="R1595" s="26">
        <f>Q1595*G1595</f>
        <v/>
      </c>
      <c r="S1595" t="n">
        <v>8.84</v>
      </c>
      <c r="T1595" s="18">
        <f>1 - V1595/S1595</f>
        <v/>
      </c>
      <c r="U1595" s="18" t="n">
        <v>0</v>
      </c>
      <c r="V1595" s="26" t="n">
        <v>8.84</v>
      </c>
      <c r="W1595" s="26">
        <f>V1595 - L1595</f>
        <v/>
      </c>
    </row>
    <row r="1596">
      <c r="A1596" s="11" t="n">
        <v>46219</v>
      </c>
      <c r="B1596" s="1" t="n">
        <v>20095</v>
      </c>
      <c r="C1596" s="1" t="inlineStr">
        <is>
          <t>501</t>
        </is>
      </c>
      <c r="D1596" s="1" t="inlineStr">
        <is>
          <t xml:space="preserve">8485  </t>
        </is>
      </c>
      <c r="E1596" s="1" t="inlineStr">
        <is>
          <t xml:space="preserve">28194770       </t>
        </is>
      </c>
      <c r="F1596" s="5" t="inlineStr">
        <is>
          <t>AUTOS DE METAL 3 TEAMSTERZ EN BLISTER</t>
        </is>
      </c>
      <c r="G1596" t="n">
        <v>1</v>
      </c>
      <c r="H1596" s="7" t="n">
        <v>6.9</v>
      </c>
      <c r="I1596" s="7" t="n">
        <v>0</v>
      </c>
      <c r="J1596" s="7" t="n">
        <v>0</v>
      </c>
      <c r="K1596" s="9" t="n">
        <v>0</v>
      </c>
      <c r="L1596" s="10" t="n">
        <v>4.1</v>
      </c>
      <c r="M1596" s="10" t="n">
        <v>1.43</v>
      </c>
      <c r="N1596" t="inlineStr">
        <is>
          <t>1</t>
        </is>
      </c>
      <c r="O1596" t="inlineStr">
        <is>
          <t>16</t>
        </is>
      </c>
      <c r="P1596" t="inlineStr">
        <is>
          <t xml:space="preserve">70244   </t>
        </is>
      </c>
      <c r="Q1596" s="26" t="n">
        <v>6.9</v>
      </c>
      <c r="R1596" s="26">
        <f>Q1596*G1596</f>
        <v/>
      </c>
      <c r="S1596" t="n">
        <v>4.09</v>
      </c>
      <c r="T1596" s="18">
        <f>1 - V1596/S1596</f>
        <v/>
      </c>
      <c r="U1596" s="18" t="n">
        <v>0</v>
      </c>
      <c r="V1596" s="26" t="n">
        <v>4.09</v>
      </c>
      <c r="W1596" s="26">
        <f>V1596 - L1596</f>
        <v/>
      </c>
    </row>
    <row r="1597">
      <c r="A1597" s="11" t="n">
        <v>46220</v>
      </c>
      <c r="B1597" s="1" t="n">
        <v>20021</v>
      </c>
      <c r="C1597" s="1" t="inlineStr">
        <is>
          <t>055</t>
        </is>
      </c>
      <c r="D1597" s="1" t="inlineStr">
        <is>
          <t xml:space="preserve">362   </t>
        </is>
      </c>
      <c r="E1597" s="1" t="inlineStr">
        <is>
          <t xml:space="preserve">28194770       </t>
        </is>
      </c>
      <c r="F1597" s="5" t="inlineStr">
        <is>
          <t>AUTOS DE METAL 3 TEAMSTERZ EN BLISTER</t>
        </is>
      </c>
      <c r="G1597" t="n">
        <v>-1</v>
      </c>
      <c r="H1597" s="7" t="n">
        <v>-6.9</v>
      </c>
      <c r="I1597" s="7" t="n">
        <v>0</v>
      </c>
      <c r="J1597" s="7" t="n">
        <v>0</v>
      </c>
      <c r="K1597" s="9" t="n">
        <v>0</v>
      </c>
      <c r="L1597" s="10" t="n">
        <v>-4.1</v>
      </c>
      <c r="M1597" s="10" t="n">
        <v>0</v>
      </c>
      <c r="N1597" t="inlineStr">
        <is>
          <t>3</t>
        </is>
      </c>
      <c r="O1597" t="inlineStr">
        <is>
          <t>26</t>
        </is>
      </c>
      <c r="P1597" t="inlineStr">
        <is>
          <t xml:space="preserve">22709   </t>
        </is>
      </c>
      <c r="Q1597" s="26" t="n">
        <v>6.9</v>
      </c>
      <c r="R1597" s="26">
        <f>Q1597*G1597</f>
        <v/>
      </c>
      <c r="S1597" t="n">
        <v>-4.09</v>
      </c>
      <c r="T1597" s="18">
        <f>1 - V1597/S1597</f>
        <v/>
      </c>
      <c r="U1597" s="18" t="n">
        <v>0</v>
      </c>
      <c r="V1597" s="26" t="n">
        <v>-4.09</v>
      </c>
      <c r="W1597" s="26">
        <f>V1597 - L1597</f>
        <v/>
      </c>
    </row>
    <row r="1598">
      <c r="A1598" s="11" t="n">
        <v>46220</v>
      </c>
      <c r="B1598" s="1" t="n">
        <v>20021</v>
      </c>
      <c r="C1598" s="1" t="inlineStr">
        <is>
          <t>080</t>
        </is>
      </c>
      <c r="D1598" s="1" t="inlineStr">
        <is>
          <t>309834</t>
        </is>
      </c>
      <c r="E1598" s="1" t="inlineStr">
        <is>
          <t xml:space="preserve">28194770       </t>
        </is>
      </c>
      <c r="F1598" s="5" t="inlineStr">
        <is>
          <t>AUTOS DE METAL 3 TEAMSTERZ EN BLISTER</t>
        </is>
      </c>
      <c r="G1598" t="n">
        <v>1</v>
      </c>
      <c r="H1598" s="7" t="n">
        <v>6.9</v>
      </c>
      <c r="I1598" s="7" t="n">
        <v>0</v>
      </c>
      <c r="J1598" s="7" t="n">
        <v>0</v>
      </c>
      <c r="K1598" s="9" t="n">
        <v>0</v>
      </c>
      <c r="L1598" s="10" t="n">
        <v>4.1</v>
      </c>
      <c r="M1598" s="10" t="n">
        <v>1.43</v>
      </c>
      <c r="N1598" t="inlineStr">
        <is>
          <t>1</t>
        </is>
      </c>
      <c r="O1598" t="inlineStr">
        <is>
          <t>16</t>
        </is>
      </c>
      <c r="P1598" t="inlineStr">
        <is>
          <t xml:space="preserve">22728   </t>
        </is>
      </c>
      <c r="Q1598" s="26" t="n">
        <v>6.9</v>
      </c>
      <c r="R1598" s="26">
        <f>Q1598*G1598</f>
        <v/>
      </c>
      <c r="S1598" t="n">
        <v>4.09</v>
      </c>
      <c r="T1598" s="18">
        <f>1 - V1598/S1598</f>
        <v/>
      </c>
      <c r="U1598" s="18" t="n">
        <v>0</v>
      </c>
      <c r="V1598" s="26" t="n">
        <v>4.09</v>
      </c>
      <c r="W1598" s="26">
        <f>V1598 - L1598</f>
        <v/>
      </c>
    </row>
    <row r="1599">
      <c r="A1599" s="11" t="n">
        <v>46220</v>
      </c>
      <c r="B1599" s="1" t="n">
        <v>20021</v>
      </c>
      <c r="C1599" s="1" t="inlineStr">
        <is>
          <t>080</t>
        </is>
      </c>
      <c r="D1599" s="1" t="inlineStr">
        <is>
          <t>309834</t>
        </is>
      </c>
      <c r="E1599" s="1" t="inlineStr">
        <is>
          <t xml:space="preserve">28194770       </t>
        </is>
      </c>
      <c r="F1599" s="5" t="inlineStr">
        <is>
          <t>AUTOS DE METAL 3 TEAMSTERZ EN BLISTER</t>
        </is>
      </c>
      <c r="G1599" t="n">
        <v>1</v>
      </c>
      <c r="H1599" s="7" t="n">
        <v>6.9</v>
      </c>
      <c r="I1599" s="7" t="n">
        <v>0</v>
      </c>
      <c r="J1599" s="7" t="n">
        <v>0</v>
      </c>
      <c r="K1599" s="9" t="n">
        <v>0</v>
      </c>
      <c r="L1599" s="10" t="n">
        <v>4.1</v>
      </c>
      <c r="M1599" s="10" t="n">
        <v>1.43</v>
      </c>
      <c r="N1599" t="inlineStr">
        <is>
          <t>1</t>
        </is>
      </c>
      <c r="O1599" t="inlineStr">
        <is>
          <t>16</t>
        </is>
      </c>
      <c r="P1599" t="inlineStr">
        <is>
          <t xml:space="preserve">22728   </t>
        </is>
      </c>
      <c r="Q1599" s="26" t="n">
        <v>6.9</v>
      </c>
      <c r="R1599" s="26">
        <f>Q1599*G1599</f>
        <v/>
      </c>
      <c r="S1599" t="n">
        <v>4.09</v>
      </c>
      <c r="T1599" s="18">
        <f>1 - V1599/S1599</f>
        <v/>
      </c>
      <c r="U1599" s="18" t="n">
        <v>0</v>
      </c>
      <c r="V1599" s="26" t="n">
        <v>4.09</v>
      </c>
      <c r="W1599" s="26">
        <f>V1599 - L1599</f>
        <v/>
      </c>
    </row>
    <row r="1600">
      <c r="A1600" s="11" t="n">
        <v>46220</v>
      </c>
      <c r="B1600" s="1" t="n">
        <v>20021</v>
      </c>
      <c r="C1600" s="1" t="inlineStr">
        <is>
          <t>080</t>
        </is>
      </c>
      <c r="D1600" s="1" t="inlineStr">
        <is>
          <t>309839</t>
        </is>
      </c>
      <c r="E1600" s="1" t="inlineStr">
        <is>
          <t xml:space="preserve">28194768       </t>
        </is>
      </c>
      <c r="F1600" s="5" t="inlineStr">
        <is>
          <t>AUTO COLOR CHANGE TEAMSTERZ SURTIDO</t>
        </is>
      </c>
      <c r="G1600" t="n">
        <v>1</v>
      </c>
      <c r="H1600" s="7" t="n">
        <v>14.9</v>
      </c>
      <c r="I1600" s="7" t="n">
        <v>0</v>
      </c>
      <c r="J1600" s="7" t="n">
        <v>0</v>
      </c>
      <c r="K1600" s="9" t="n">
        <v>0</v>
      </c>
      <c r="L1600" s="10" t="n">
        <v>8.84</v>
      </c>
      <c r="M1600" s="10" t="n">
        <v>1.43</v>
      </c>
      <c r="N1600" t="inlineStr">
        <is>
          <t>1</t>
        </is>
      </c>
      <c r="O1600" t="inlineStr">
        <is>
          <t>16</t>
        </is>
      </c>
      <c r="P1600" t="inlineStr">
        <is>
          <t xml:space="preserve">22728   </t>
        </is>
      </c>
      <c r="Q1600" s="26" t="n">
        <v>14.9</v>
      </c>
      <c r="R1600" s="26">
        <f>Q1600*G1600</f>
        <v/>
      </c>
      <c r="S1600" t="n">
        <v>8.84</v>
      </c>
      <c r="T1600" s="18">
        <f>1 - V1600/S1600</f>
        <v/>
      </c>
      <c r="U1600" s="18" t="n">
        <v>0</v>
      </c>
      <c r="V1600" s="26" t="n">
        <v>8.84</v>
      </c>
      <c r="W1600" s="26">
        <f>V1600 - L1600</f>
        <v/>
      </c>
    </row>
    <row r="1601">
      <c r="A1601" s="11" t="n">
        <v>46220</v>
      </c>
      <c r="B1601" s="1" t="n">
        <v>20021</v>
      </c>
      <c r="C1601" s="1" t="inlineStr">
        <is>
          <t>082</t>
        </is>
      </c>
      <c r="D1601" s="1" t="inlineStr">
        <is>
          <t>270334</t>
        </is>
      </c>
      <c r="E1601" s="1" t="inlineStr">
        <is>
          <t xml:space="preserve">31959961       </t>
        </is>
      </c>
      <c r="F1601" s="5" t="inlineStr">
        <is>
          <t>TEAMSTERZ CAMBIA DE COLOR PACK DE 3 AUTOS</t>
        </is>
      </c>
      <c r="G1601" t="n">
        <v>1</v>
      </c>
      <c r="H1601" s="7" t="n">
        <v>49.9</v>
      </c>
      <c r="I1601" s="7" t="n">
        <v>0</v>
      </c>
      <c r="J1601" s="7" t="n">
        <v>0</v>
      </c>
      <c r="K1601" s="9" t="n">
        <v>0</v>
      </c>
      <c r="L1601" s="10" t="n">
        <v>29.6</v>
      </c>
      <c r="M1601" s="10" t="n">
        <v>1.43</v>
      </c>
      <c r="N1601" t="inlineStr">
        <is>
          <t>1</t>
        </is>
      </c>
      <c r="O1601" t="inlineStr">
        <is>
          <t>16</t>
        </is>
      </c>
      <c r="P1601" t="inlineStr">
        <is>
          <t xml:space="preserve">109073  </t>
        </is>
      </c>
      <c r="Q1601" s="26" t="n">
        <v>49.9</v>
      </c>
      <c r="R1601" s="26">
        <f>Q1601*G1601</f>
        <v/>
      </c>
      <c r="S1601" t="n">
        <v>29.6</v>
      </c>
      <c r="T1601" s="18">
        <f>1 - V1601/S1601</f>
        <v/>
      </c>
      <c r="U1601" s="18" t="n">
        <v>0</v>
      </c>
      <c r="V1601" s="26" t="n">
        <v>29.6</v>
      </c>
      <c r="W1601" s="26">
        <f>V1601 - L1601</f>
        <v/>
      </c>
    </row>
    <row r="1602">
      <c r="A1602" s="11" t="n">
        <v>46220</v>
      </c>
      <c r="B1602" s="1" t="n">
        <v>20023</v>
      </c>
      <c r="C1602" s="1" t="inlineStr">
        <is>
          <t>079</t>
        </is>
      </c>
      <c r="D1602" s="1" t="inlineStr">
        <is>
          <t>289555</t>
        </is>
      </c>
      <c r="E1602" s="1" t="inlineStr">
        <is>
          <t xml:space="preserve">29235700       </t>
        </is>
      </c>
      <c r="F1602" s="5" t="inlineStr">
        <is>
          <t>HOT WHEELS CASE METALICO PARA GUARDAR 18 CARRITOS</t>
        </is>
      </c>
      <c r="G1602" t="n">
        <v>1</v>
      </c>
      <c r="H1602" s="7" t="n">
        <v>49.9</v>
      </c>
      <c r="I1602" s="7" t="n">
        <v>0</v>
      </c>
      <c r="J1602" s="7" t="n">
        <v>0</v>
      </c>
      <c r="K1602" s="9" t="n">
        <v>0</v>
      </c>
      <c r="L1602" s="10" t="n">
        <v>29.6</v>
      </c>
      <c r="M1602" s="10" t="n">
        <v>1.43</v>
      </c>
      <c r="N1602" t="inlineStr">
        <is>
          <t>1</t>
        </is>
      </c>
      <c r="O1602" t="inlineStr">
        <is>
          <t>16</t>
        </is>
      </c>
      <c r="P1602" t="inlineStr">
        <is>
          <t xml:space="preserve">23508   </t>
        </is>
      </c>
      <c r="Q1602" s="26" t="n">
        <v>49.90000000000001</v>
      </c>
      <c r="R1602" s="26">
        <f>Q1602*G1602</f>
        <v/>
      </c>
      <c r="S1602" t="n">
        <v>29.6</v>
      </c>
      <c r="T1602" s="18">
        <f>1 - V1602/S1602</f>
        <v/>
      </c>
      <c r="U1602" s="18" t="n">
        <v>0</v>
      </c>
      <c r="V1602" s="26" t="n">
        <v>29.6</v>
      </c>
      <c r="W1602" s="26">
        <f>V1602 - L1602</f>
        <v/>
      </c>
    </row>
    <row r="1603">
      <c r="A1603" s="11" t="n">
        <v>46220</v>
      </c>
      <c r="B1603" s="1" t="n">
        <v>20023</v>
      </c>
      <c r="C1603" s="1" t="inlineStr">
        <is>
          <t>191</t>
        </is>
      </c>
      <c r="D1603" s="1" t="inlineStr">
        <is>
          <t xml:space="preserve">7401  </t>
        </is>
      </c>
      <c r="E1603" s="1" t="inlineStr">
        <is>
          <t xml:space="preserve">28194780       </t>
        </is>
      </c>
      <c r="F1603" s="5" t="inlineStr">
        <is>
          <t>TROMPO BATALLA INFINITY NADO PLSTICO SURTIDO</t>
        </is>
      </c>
      <c r="G1603" t="n">
        <v>1</v>
      </c>
      <c r="H1603" s="7" t="n">
        <v>19.9</v>
      </c>
      <c r="I1603" s="7" t="n">
        <v>0</v>
      </c>
      <c r="J1603" s="7" t="n">
        <v>0</v>
      </c>
      <c r="K1603" s="9" t="n">
        <v>0</v>
      </c>
      <c r="L1603" s="10" t="n">
        <v>11.8</v>
      </c>
      <c r="M1603" s="10" t="n">
        <v>1.43</v>
      </c>
      <c r="N1603" t="inlineStr">
        <is>
          <t>1</t>
        </is>
      </c>
      <c r="O1603" t="inlineStr">
        <is>
          <t>16</t>
        </is>
      </c>
      <c r="P1603" t="inlineStr">
        <is>
          <t xml:space="preserve">32921   </t>
        </is>
      </c>
      <c r="Q1603" s="26" t="n">
        <v>19.9</v>
      </c>
      <c r="R1603" s="26">
        <f>Q1603*G1603</f>
        <v/>
      </c>
      <c r="S1603" t="n">
        <v>11.81</v>
      </c>
      <c r="T1603" s="18">
        <f>1 - V1603/S1603</f>
        <v/>
      </c>
      <c r="U1603" s="18" t="n">
        <v>0</v>
      </c>
      <c r="V1603" s="26" t="n">
        <v>11.81</v>
      </c>
      <c r="W1603" s="26">
        <f>V1603 - L1603</f>
        <v/>
      </c>
    </row>
    <row r="1604">
      <c r="A1604" s="11" t="n">
        <v>46220</v>
      </c>
      <c r="B1604" s="1" t="n">
        <v>20024</v>
      </c>
      <c r="C1604" s="1" t="inlineStr">
        <is>
          <t>021</t>
        </is>
      </c>
      <c r="D1604" s="1" t="inlineStr">
        <is>
          <t>215624</t>
        </is>
      </c>
      <c r="E1604" s="1" t="inlineStr">
        <is>
          <t xml:space="preserve">32457099       </t>
        </is>
      </c>
      <c r="F1604" s="5" t="inlineStr">
        <is>
          <t>TMZ BEAST MACHINES MONSTER JAWS A FRICCION BLISTER</t>
        </is>
      </c>
      <c r="G1604" t="n">
        <v>1</v>
      </c>
      <c r="H1604" s="7" t="n">
        <v>17.9</v>
      </c>
      <c r="I1604" s="7" t="n">
        <v>1.79</v>
      </c>
      <c r="J1604" s="7" t="n">
        <v>0</v>
      </c>
      <c r="K1604" s="9" t="n">
        <v>1.79</v>
      </c>
      <c r="L1604" s="10" t="n">
        <v>9.56</v>
      </c>
      <c r="M1604" s="10" t="n">
        <v>1.43</v>
      </c>
      <c r="N1604" t="inlineStr">
        <is>
          <t>1</t>
        </is>
      </c>
      <c r="O1604" t="inlineStr">
        <is>
          <t xml:space="preserve">3 </t>
        </is>
      </c>
      <c r="P1604" t="inlineStr">
        <is>
          <t xml:space="preserve">251741  </t>
        </is>
      </c>
      <c r="Q1604" s="26" t="n">
        <v>19.9</v>
      </c>
      <c r="R1604" s="26">
        <f>Q1604*G1604</f>
        <v/>
      </c>
      <c r="S1604" t="n">
        <v>11.81</v>
      </c>
      <c r="T1604" s="18">
        <f>1 - V1604/S1604</f>
        <v/>
      </c>
      <c r="U1604" s="18" t="n">
        <v>0.1005025125628141</v>
      </c>
      <c r="V1604" s="26" t="n">
        <v>8.417118644067797</v>
      </c>
      <c r="W1604" s="26">
        <f>V1604 - L1604</f>
        <v/>
      </c>
    </row>
    <row r="1605">
      <c r="A1605" s="11" t="n">
        <v>46220</v>
      </c>
      <c r="B1605" s="1" t="n">
        <v>20025</v>
      </c>
      <c r="C1605" s="1" t="inlineStr">
        <is>
          <t>073</t>
        </is>
      </c>
      <c r="D1605" s="1" t="inlineStr">
        <is>
          <t xml:space="preserve">23497 </t>
        </is>
      </c>
      <c r="E1605" s="1" t="inlineStr">
        <is>
          <t xml:space="preserve">32656523       </t>
        </is>
      </c>
      <c r="F1605" s="5" t="inlineStr">
        <is>
          <t>TMZ BEAST MACHINES TRANSPORT. T-REX ELECTR. + ACCE</t>
        </is>
      </c>
      <c r="G1605" t="n">
        <v>1</v>
      </c>
      <c r="H1605" s="7" t="n">
        <v>179</v>
      </c>
      <c r="I1605" s="7" t="n">
        <v>0</v>
      </c>
      <c r="J1605" s="7" t="n">
        <v>0</v>
      </c>
      <c r="K1605" s="9" t="n">
        <v>0</v>
      </c>
      <c r="L1605" s="10" t="n">
        <v>106.18</v>
      </c>
      <c r="M1605" s="10" t="n">
        <v>1.43</v>
      </c>
      <c r="N1605" t="inlineStr">
        <is>
          <t>1</t>
        </is>
      </c>
      <c r="O1605" t="inlineStr">
        <is>
          <t>16</t>
        </is>
      </c>
      <c r="P1605" t="inlineStr">
        <is>
          <t xml:space="preserve">22908   </t>
        </is>
      </c>
      <c r="Q1605" s="26" t="n">
        <v>179</v>
      </c>
      <c r="R1605" s="26">
        <f>Q1605*G1605</f>
        <v/>
      </c>
      <c r="S1605" t="n">
        <v>106.19</v>
      </c>
      <c r="T1605" s="18">
        <f>1 - V1605/S1605</f>
        <v/>
      </c>
      <c r="U1605" s="18" t="n">
        <v>0</v>
      </c>
      <c r="V1605" s="26" t="n">
        <v>106.19</v>
      </c>
      <c r="W1605" s="26">
        <f>V1605 - L1605</f>
        <v/>
      </c>
    </row>
    <row r="1606">
      <c r="A1606" s="11" t="n">
        <v>46220</v>
      </c>
      <c r="B1606" s="1" t="n">
        <v>20025</v>
      </c>
      <c r="C1606" s="1" t="inlineStr">
        <is>
          <t>074</t>
        </is>
      </c>
      <c r="D1606" s="1" t="inlineStr">
        <is>
          <t xml:space="preserve">83093 </t>
        </is>
      </c>
      <c r="E1606" s="1" t="inlineStr">
        <is>
          <t xml:space="preserve">34031339       </t>
        </is>
      </c>
      <c r="F1606" s="5" t="inlineStr">
        <is>
          <t>TMZ BEAST MACHINES TRANSPORT. ROBO-TIBURON ELECTR</t>
        </is>
      </c>
      <c r="G1606" t="n">
        <v>1</v>
      </c>
      <c r="H1606" s="7" t="n">
        <v>169</v>
      </c>
      <c r="I1606" s="7" t="n">
        <v>0</v>
      </c>
      <c r="J1606" s="7" t="n">
        <v>0</v>
      </c>
      <c r="K1606" s="9" t="n">
        <v>0</v>
      </c>
      <c r="L1606" s="10" t="n">
        <v>100.25</v>
      </c>
      <c r="M1606" s="10" t="n">
        <v>1.43</v>
      </c>
      <c r="N1606" t="inlineStr">
        <is>
          <t>1</t>
        </is>
      </c>
      <c r="O1606" t="inlineStr">
        <is>
          <t>16</t>
        </is>
      </c>
      <c r="P1606" t="inlineStr">
        <is>
          <t xml:space="preserve">251187  </t>
        </is>
      </c>
      <c r="Q1606" s="26" t="n">
        <v>169</v>
      </c>
      <c r="R1606" s="26">
        <f>Q1606*G1606</f>
        <v/>
      </c>
      <c r="S1606" t="n">
        <v>100.25</v>
      </c>
      <c r="T1606" s="18">
        <f>1 - V1606/S1606</f>
        <v/>
      </c>
      <c r="U1606" s="18" t="n">
        <v>0</v>
      </c>
      <c r="V1606" s="26" t="n">
        <v>100.25</v>
      </c>
      <c r="W1606" s="26">
        <f>V1606 - L1606</f>
        <v/>
      </c>
    </row>
    <row r="1607">
      <c r="A1607" s="11" t="n">
        <v>46220</v>
      </c>
      <c r="B1607" s="1" t="n">
        <v>20025</v>
      </c>
      <c r="C1607" s="1" t="inlineStr">
        <is>
          <t>076</t>
        </is>
      </c>
      <c r="D1607" s="1" t="inlineStr">
        <is>
          <t>147756</t>
        </is>
      </c>
      <c r="E1607" s="1" t="inlineStr">
        <is>
          <t xml:space="preserve">33661538       </t>
        </is>
      </c>
      <c r="F1607" s="5" t="inlineStr">
        <is>
          <t>HOT WHEELS CASE GARAGE RUEDA METAL EN LLAMAS X 29</t>
        </is>
      </c>
      <c r="G1607" t="n">
        <v>1</v>
      </c>
      <c r="H1607" s="7" t="n">
        <v>69.90000000000001</v>
      </c>
      <c r="I1607" s="7" t="n">
        <v>0</v>
      </c>
      <c r="J1607" s="7" t="n">
        <v>0</v>
      </c>
      <c r="K1607" s="9" t="n">
        <v>0</v>
      </c>
      <c r="L1607" s="10" t="n">
        <v>41.47</v>
      </c>
      <c r="M1607" s="10" t="n">
        <v>1.43</v>
      </c>
      <c r="N1607" t="inlineStr">
        <is>
          <t>1</t>
        </is>
      </c>
      <c r="O1607" t="inlineStr">
        <is>
          <t>16</t>
        </is>
      </c>
      <c r="P1607" t="inlineStr">
        <is>
          <t xml:space="preserve">22196   </t>
        </is>
      </c>
      <c r="Q1607" s="26" t="n">
        <v>69.90000000000001</v>
      </c>
      <c r="R1607" s="26">
        <f>Q1607*G1607</f>
        <v/>
      </c>
      <c r="S1607" t="n">
        <v>41.47</v>
      </c>
      <c r="T1607" s="18">
        <f>1 - V1607/S1607</f>
        <v/>
      </c>
      <c r="U1607" s="18" t="n">
        <v>0</v>
      </c>
      <c r="V1607" s="26" t="n">
        <v>41.47</v>
      </c>
      <c r="W1607" s="26">
        <f>V1607 - L1607</f>
        <v/>
      </c>
    </row>
    <row r="1608">
      <c r="A1608" s="11" t="n">
        <v>46220</v>
      </c>
      <c r="B1608" s="1" t="n">
        <v>20027</v>
      </c>
      <c r="C1608" s="1" t="inlineStr">
        <is>
          <t>110</t>
        </is>
      </c>
      <c r="D1608" s="1" t="inlineStr">
        <is>
          <t xml:space="preserve">60713 </t>
        </is>
      </c>
      <c r="E1608" s="1" t="inlineStr">
        <is>
          <t xml:space="preserve">28194770       </t>
        </is>
      </c>
      <c r="F1608" s="5" t="inlineStr">
        <is>
          <t>AUTOS DE METAL 3 TEAMSTERZ EN BLISTER</t>
        </is>
      </c>
      <c r="G1608" t="n">
        <v>1</v>
      </c>
      <c r="H1608" s="7" t="n">
        <v>6.9</v>
      </c>
      <c r="I1608" s="7" t="n">
        <v>0</v>
      </c>
      <c r="J1608" s="7" t="n">
        <v>0</v>
      </c>
      <c r="K1608" s="9" t="n">
        <v>0</v>
      </c>
      <c r="L1608" s="10" t="n">
        <v>4.1</v>
      </c>
      <c r="M1608" s="10" t="n">
        <v>1.43</v>
      </c>
      <c r="N1608" t="inlineStr">
        <is>
          <t>1</t>
        </is>
      </c>
      <c r="O1608" t="inlineStr">
        <is>
          <t>16</t>
        </is>
      </c>
      <c r="P1608" t="inlineStr">
        <is>
          <t xml:space="preserve">65829   </t>
        </is>
      </c>
      <c r="Q1608" s="26" t="n">
        <v>6.9</v>
      </c>
      <c r="R1608" s="26">
        <f>Q1608*G1608</f>
        <v/>
      </c>
      <c r="S1608" t="n">
        <v>4.09</v>
      </c>
      <c r="T1608" s="18">
        <f>1 - V1608/S1608</f>
        <v/>
      </c>
      <c r="U1608" s="18" t="n">
        <v>0</v>
      </c>
      <c r="V1608" s="26" t="n">
        <v>4.09</v>
      </c>
      <c r="W1608" s="26">
        <f>V1608 - L1608</f>
        <v/>
      </c>
    </row>
    <row r="1609">
      <c r="A1609" s="11" t="n">
        <v>46220</v>
      </c>
      <c r="B1609" s="1" t="n">
        <v>20028</v>
      </c>
      <c r="C1609" s="1" t="inlineStr">
        <is>
          <t>043</t>
        </is>
      </c>
      <c r="D1609" s="1" t="inlineStr">
        <is>
          <t xml:space="preserve">87658 </t>
        </is>
      </c>
      <c r="E1609" s="1" t="inlineStr">
        <is>
          <t xml:space="preserve">33483133       </t>
        </is>
      </c>
      <c r="F1609" s="5" t="inlineStr">
        <is>
          <t>PLAY-DOH ARCILLA LIVIANA X 20 GR. AUTOS SURTIDO</t>
        </is>
      </c>
      <c r="G1609" t="n">
        <v>1</v>
      </c>
      <c r="H1609" s="7" t="n">
        <v>11.9</v>
      </c>
      <c r="I1609" s="7" t="n">
        <v>0</v>
      </c>
      <c r="J1609" s="7" t="n">
        <v>0</v>
      </c>
      <c r="K1609" s="9" t="n">
        <v>0</v>
      </c>
      <c r="L1609" s="10" t="n">
        <v>7.06</v>
      </c>
      <c r="M1609" s="10" t="n">
        <v>1.43</v>
      </c>
      <c r="N1609" t="inlineStr">
        <is>
          <t>1</t>
        </is>
      </c>
      <c r="O1609" t="inlineStr">
        <is>
          <t>16</t>
        </is>
      </c>
      <c r="P1609" t="inlineStr">
        <is>
          <t xml:space="preserve">54001   </t>
        </is>
      </c>
      <c r="Q1609" s="26" t="n">
        <v>11.9</v>
      </c>
      <c r="R1609" s="26">
        <f>Q1609*G1609</f>
        <v/>
      </c>
      <c r="S1609" t="n">
        <v>7.06</v>
      </c>
      <c r="T1609" s="18">
        <f>1 - V1609/S1609</f>
        <v/>
      </c>
      <c r="U1609" s="18" t="n">
        <v>0</v>
      </c>
      <c r="V1609" s="26" t="n">
        <v>7.06</v>
      </c>
      <c r="W1609" s="26">
        <f>V1609 - L1609</f>
        <v/>
      </c>
    </row>
    <row r="1610">
      <c r="A1610" s="11" t="n">
        <v>46220</v>
      </c>
      <c r="B1610" s="1" t="n">
        <v>20028</v>
      </c>
      <c r="C1610" s="1" t="inlineStr">
        <is>
          <t>140</t>
        </is>
      </c>
      <c r="D1610" s="1" t="inlineStr">
        <is>
          <t>225302</t>
        </is>
      </c>
      <c r="E1610" s="1" t="inlineStr">
        <is>
          <t xml:space="preserve">30232284       </t>
        </is>
      </c>
      <c r="F1610" s="5" t="inlineStr">
        <is>
          <t>INFINITY NADO TROMPO DE BATALLA - METAL C/PUNTA DE</t>
        </is>
      </c>
      <c r="G1610" t="n">
        <v>1</v>
      </c>
      <c r="H1610" s="7" t="n">
        <v>34.9</v>
      </c>
      <c r="I1610" s="7" t="n">
        <v>0</v>
      </c>
      <c r="J1610" s="7" t="n">
        <v>0</v>
      </c>
      <c r="K1610" s="9" t="n">
        <v>0</v>
      </c>
      <c r="L1610" s="10" t="n">
        <v>20.71</v>
      </c>
      <c r="M1610" s="10" t="n">
        <v>1.43</v>
      </c>
      <c r="N1610" t="inlineStr">
        <is>
          <t>1</t>
        </is>
      </c>
      <c r="O1610" t="inlineStr">
        <is>
          <t>16</t>
        </is>
      </c>
      <c r="P1610" t="inlineStr">
        <is>
          <t xml:space="preserve">23344   </t>
        </is>
      </c>
      <c r="Q1610" s="26" t="n">
        <v>49.9</v>
      </c>
      <c r="R1610" s="26">
        <f>Q1610*G1610</f>
        <v/>
      </c>
      <c r="S1610" t="n">
        <v>29.6</v>
      </c>
      <c r="T1610" s="18">
        <f>1 - V1610/S1610</f>
        <v/>
      </c>
      <c r="U1610" s="18" t="n">
        <v>0.3006012024048096</v>
      </c>
      <c r="V1610" s="26" t="n">
        <v>22.18220338983051</v>
      </c>
      <c r="W1610" s="26">
        <f>V1610 - L1610</f>
        <v/>
      </c>
    </row>
    <row r="1611">
      <c r="A1611" s="11" t="n">
        <v>46220</v>
      </c>
      <c r="B1611" s="1" t="n">
        <v>20030</v>
      </c>
      <c r="C1611" s="1" t="inlineStr">
        <is>
          <t>030</t>
        </is>
      </c>
      <c r="D1611" s="1" t="inlineStr">
        <is>
          <t>359694</t>
        </is>
      </c>
      <c r="E1611" s="1" t="inlineStr">
        <is>
          <t xml:space="preserve">28194770       </t>
        </is>
      </c>
      <c r="F1611" s="5" t="inlineStr">
        <is>
          <t>AUTOS DE METAL 3 TEAMSTERZ EN BLISTER</t>
        </is>
      </c>
      <c r="G1611" t="n">
        <v>1</v>
      </c>
      <c r="H1611" s="7" t="n">
        <v>6.9</v>
      </c>
      <c r="I1611" s="7" t="n">
        <v>0</v>
      </c>
      <c r="J1611" s="7" t="n">
        <v>0</v>
      </c>
      <c r="K1611" s="9" t="n">
        <v>0</v>
      </c>
      <c r="L1611" s="10" t="n">
        <v>4.1</v>
      </c>
      <c r="M1611" s="10" t="n">
        <v>1.43</v>
      </c>
      <c r="N1611" t="inlineStr">
        <is>
          <t>1</t>
        </is>
      </c>
      <c r="O1611" t="inlineStr">
        <is>
          <t>16</t>
        </is>
      </c>
      <c r="P1611" t="inlineStr">
        <is>
          <t xml:space="preserve">47352   </t>
        </is>
      </c>
      <c r="Q1611" s="26" t="n">
        <v>6.9</v>
      </c>
      <c r="R1611" s="26">
        <f>Q1611*G1611</f>
        <v/>
      </c>
      <c r="S1611" t="n">
        <v>4.09</v>
      </c>
      <c r="T1611" s="18">
        <f>1 - V1611/S1611</f>
        <v/>
      </c>
      <c r="U1611" s="18" t="n">
        <v>0</v>
      </c>
      <c r="V1611" s="26" t="n">
        <v>4.09</v>
      </c>
      <c r="W1611" s="26">
        <f>V1611 - L1611</f>
        <v/>
      </c>
    </row>
    <row r="1612">
      <c r="A1612" s="11" t="n">
        <v>46220</v>
      </c>
      <c r="B1612" s="1" t="n">
        <v>20030</v>
      </c>
      <c r="C1612" s="1" t="inlineStr">
        <is>
          <t>077</t>
        </is>
      </c>
      <c r="D1612" s="1" t="inlineStr">
        <is>
          <t>232456</t>
        </is>
      </c>
      <c r="E1612" s="1" t="inlineStr">
        <is>
          <t xml:space="preserve">31675352       </t>
        </is>
      </c>
      <c r="F1612" s="5" t="inlineStr">
        <is>
          <t>MI PEQUENO NENUCO</t>
        </is>
      </c>
      <c r="G1612" t="n">
        <v>1</v>
      </c>
      <c r="H1612" s="7" t="n">
        <v>49.9</v>
      </c>
      <c r="I1612" s="7" t="n">
        <v>0</v>
      </c>
      <c r="J1612" s="7" t="n">
        <v>0</v>
      </c>
      <c r="K1612" s="9" t="n">
        <v>0</v>
      </c>
      <c r="L1612" s="10" t="n">
        <v>29.6</v>
      </c>
      <c r="M1612" s="10" t="n">
        <v>1.43</v>
      </c>
      <c r="N1612" t="inlineStr">
        <is>
          <t>1</t>
        </is>
      </c>
      <c r="O1612" t="inlineStr">
        <is>
          <t xml:space="preserve">2 </t>
        </is>
      </c>
      <c r="P1612" t="inlineStr">
        <is>
          <t xml:space="preserve">27455   </t>
        </is>
      </c>
      <c r="Q1612" s="26" t="n">
        <v>69.90000000000001</v>
      </c>
      <c r="R1612" s="26">
        <f>Q1612*G1612</f>
        <v/>
      </c>
      <c r="S1612" t="n">
        <v>41.47</v>
      </c>
      <c r="T1612" s="18">
        <f>1 - V1612/S1612</f>
        <v/>
      </c>
      <c r="U1612" s="18" t="n">
        <v>0.2861230329041489</v>
      </c>
      <c r="V1612" s="26" t="n">
        <v>31.71610169491525</v>
      </c>
      <c r="W1612" s="26">
        <f>V1612 - L1612</f>
        <v/>
      </c>
    </row>
    <row r="1613">
      <c r="A1613" s="11" t="n">
        <v>46220</v>
      </c>
      <c r="B1613" s="1" t="n">
        <v>20040</v>
      </c>
      <c r="C1613" s="1" t="inlineStr">
        <is>
          <t>072</t>
        </is>
      </c>
      <c r="D1613" s="1" t="inlineStr">
        <is>
          <t>252005</t>
        </is>
      </c>
      <c r="E1613" s="1" t="inlineStr">
        <is>
          <t xml:space="preserve">28194782       </t>
        </is>
      </c>
      <c r="F1613" s="5" t="inlineStr">
        <is>
          <t>TROMPO BATALLA INFINITY NADO SERIE V ORIGINAL SURT</t>
        </is>
      </c>
      <c r="G1613" t="n">
        <v>1</v>
      </c>
      <c r="H1613" s="7" t="n">
        <v>49.9</v>
      </c>
      <c r="I1613" s="7" t="n">
        <v>0</v>
      </c>
      <c r="J1613" s="7" t="n">
        <v>0</v>
      </c>
      <c r="K1613" s="9" t="n">
        <v>0</v>
      </c>
      <c r="L1613" s="10" t="n">
        <v>29.6</v>
      </c>
      <c r="M1613" s="10" t="n">
        <v>1.43</v>
      </c>
      <c r="N1613" t="inlineStr">
        <is>
          <t>1</t>
        </is>
      </c>
      <c r="O1613" t="inlineStr">
        <is>
          <t>16</t>
        </is>
      </c>
      <c r="P1613" t="inlineStr">
        <is>
          <t xml:space="preserve">250392  </t>
        </is>
      </c>
      <c r="Q1613" s="26" t="n">
        <v>69.90000000000001</v>
      </c>
      <c r="R1613" s="26">
        <f>Q1613*G1613</f>
        <v/>
      </c>
      <c r="S1613" t="n">
        <v>41.47</v>
      </c>
      <c r="T1613" s="18">
        <f>1 - V1613/S1613</f>
        <v/>
      </c>
      <c r="U1613" s="18" t="n">
        <v>0.2861230329041489</v>
      </c>
      <c r="V1613" s="26" t="n">
        <v>31.71610169491525</v>
      </c>
      <c r="W1613" s="26">
        <f>V1613 - L1613</f>
        <v/>
      </c>
    </row>
    <row r="1614">
      <c r="A1614" s="11" t="n">
        <v>46220</v>
      </c>
      <c r="B1614" s="1" t="n">
        <v>20040</v>
      </c>
      <c r="C1614" s="1" t="inlineStr">
        <is>
          <t>073</t>
        </is>
      </c>
      <c r="D1614" s="1" t="inlineStr">
        <is>
          <t>254868</t>
        </is>
      </c>
      <c r="E1614" s="1" t="inlineStr">
        <is>
          <t xml:space="preserve">28194769       </t>
        </is>
      </c>
      <c r="F1614" s="5" t="inlineStr">
        <is>
          <t>AUTOS DE METAL 3 TEAMSTERZ PACK DE 2</t>
        </is>
      </c>
      <c r="G1614" t="n">
        <v>1</v>
      </c>
      <c r="H1614" s="7" t="n">
        <v>13.8</v>
      </c>
      <c r="I1614" s="7" t="n">
        <v>0</v>
      </c>
      <c r="J1614" s="7" t="n">
        <v>0</v>
      </c>
      <c r="K1614" s="9" t="n">
        <v>0</v>
      </c>
      <c r="L1614" s="10" t="n">
        <v>8.18</v>
      </c>
      <c r="M1614" s="10" t="n">
        <v>1.43</v>
      </c>
      <c r="N1614" t="inlineStr">
        <is>
          <t>1</t>
        </is>
      </c>
      <c r="O1614" t="inlineStr">
        <is>
          <t>16</t>
        </is>
      </c>
      <c r="P1614" t="inlineStr">
        <is>
          <t xml:space="preserve">52786   </t>
        </is>
      </c>
      <c r="Q1614" s="26" t="n">
        <v>13.8</v>
      </c>
      <c r="R1614" s="26">
        <f>Q1614*G1614</f>
        <v/>
      </c>
      <c r="S1614" t="n">
        <v>8.19</v>
      </c>
      <c r="T1614" s="18">
        <f>1 - V1614/S1614</f>
        <v/>
      </c>
      <c r="U1614" s="18" t="n">
        <v>0</v>
      </c>
      <c r="V1614" s="26" t="n">
        <v>8.19</v>
      </c>
      <c r="W1614" s="26">
        <f>V1614 - L1614</f>
        <v/>
      </c>
    </row>
    <row r="1615">
      <c r="A1615" s="11" t="n">
        <v>46220</v>
      </c>
      <c r="B1615" s="1" t="n">
        <v>20040</v>
      </c>
      <c r="C1615" s="1" t="inlineStr">
        <is>
          <t>073</t>
        </is>
      </c>
      <c r="D1615" s="1" t="inlineStr">
        <is>
          <t>254904</t>
        </is>
      </c>
      <c r="E1615" s="1" t="inlineStr">
        <is>
          <t xml:space="preserve">34840550       </t>
        </is>
      </c>
      <c r="F1615" s="5" t="inlineStr">
        <is>
          <t>TEAMSTERZ M/MOVERZ TRANSPORTA GORILA</t>
        </is>
      </c>
      <c r="G1615" t="n">
        <v>1</v>
      </c>
      <c r="H1615" s="7" t="n">
        <v>129</v>
      </c>
      <c r="I1615" s="7" t="n">
        <v>12.9</v>
      </c>
      <c r="J1615" s="7" t="n">
        <v>0</v>
      </c>
      <c r="K1615" s="9" t="n">
        <v>12.9</v>
      </c>
      <c r="L1615" s="10" t="n">
        <v>68.87</v>
      </c>
      <c r="M1615" s="10" t="n">
        <v>1.43</v>
      </c>
      <c r="N1615" t="inlineStr">
        <is>
          <t>1</t>
        </is>
      </c>
      <c r="O1615" t="inlineStr">
        <is>
          <t xml:space="preserve">3 </t>
        </is>
      </c>
      <c r="P1615" t="inlineStr">
        <is>
          <t xml:space="preserve">52786   </t>
        </is>
      </c>
      <c r="Q1615" s="26" t="n">
        <v>129</v>
      </c>
      <c r="R1615" s="26">
        <f>Q1615*G1615</f>
        <v/>
      </c>
      <c r="S1615" t="n">
        <v>76.53</v>
      </c>
      <c r="T1615" s="18">
        <f>1 - V1615/S1615</f>
        <v/>
      </c>
      <c r="U1615" s="18" t="n">
        <v>0</v>
      </c>
      <c r="V1615" s="26" t="n">
        <v>76.53</v>
      </c>
      <c r="W1615" s="26">
        <f>V1615 - L1615</f>
        <v/>
      </c>
    </row>
    <row r="1616">
      <c r="A1616" s="11" t="n">
        <v>46220</v>
      </c>
      <c r="B1616" s="1" t="n">
        <v>20040</v>
      </c>
      <c r="C1616" s="1" t="inlineStr">
        <is>
          <t>083</t>
        </is>
      </c>
      <c r="D1616" s="1" t="inlineStr">
        <is>
          <t>159991</t>
        </is>
      </c>
      <c r="E1616" s="1" t="inlineStr">
        <is>
          <t xml:space="preserve">28194770       </t>
        </is>
      </c>
      <c r="F1616" s="5" t="inlineStr">
        <is>
          <t>AUTOS DE METAL 3 TEAMSTERZ EN BLISTER</t>
        </is>
      </c>
      <c r="G1616" t="n">
        <v>1</v>
      </c>
      <c r="H1616" s="7" t="n">
        <v>6.9</v>
      </c>
      <c r="I1616" s="7" t="n">
        <v>0</v>
      </c>
      <c r="J1616" s="7" t="n">
        <v>0</v>
      </c>
      <c r="K1616" s="9" t="n">
        <v>0</v>
      </c>
      <c r="L1616" s="10" t="n">
        <v>4.1</v>
      </c>
      <c r="M1616" s="10" t="n">
        <v>1.43</v>
      </c>
      <c r="N1616" t="inlineStr">
        <is>
          <t>1</t>
        </is>
      </c>
      <c r="O1616" t="inlineStr">
        <is>
          <t>16</t>
        </is>
      </c>
      <c r="P1616" t="inlineStr">
        <is>
          <t xml:space="preserve">61602   </t>
        </is>
      </c>
      <c r="Q1616" s="26" t="n">
        <v>6.9</v>
      </c>
      <c r="R1616" s="26">
        <f>Q1616*G1616</f>
        <v/>
      </c>
      <c r="S1616" t="n">
        <v>4.09</v>
      </c>
      <c r="T1616" s="18">
        <f>1 - V1616/S1616</f>
        <v/>
      </c>
      <c r="U1616" s="18" t="n">
        <v>0</v>
      </c>
      <c r="V1616" s="26" t="n">
        <v>4.09</v>
      </c>
      <c r="W1616" s="26">
        <f>V1616 - L1616</f>
        <v/>
      </c>
    </row>
    <row r="1617">
      <c r="A1617" s="11" t="n">
        <v>46220</v>
      </c>
      <c r="B1617" s="1" t="n">
        <v>20040</v>
      </c>
      <c r="C1617" s="1" t="inlineStr">
        <is>
          <t>083</t>
        </is>
      </c>
      <c r="D1617" s="1" t="inlineStr">
        <is>
          <t>159993</t>
        </is>
      </c>
      <c r="E1617" s="1" t="inlineStr">
        <is>
          <t xml:space="preserve">28194780       </t>
        </is>
      </c>
      <c r="F1617" s="5" t="inlineStr">
        <is>
          <t>TROMPO BATALLA INFINITY NADO PLSTICO SURTIDO</t>
        </is>
      </c>
      <c r="G1617" t="n">
        <v>1</v>
      </c>
      <c r="H1617" s="7" t="n">
        <v>19.9</v>
      </c>
      <c r="I1617" s="7" t="n">
        <v>0</v>
      </c>
      <c r="J1617" s="7" t="n">
        <v>0</v>
      </c>
      <c r="K1617" s="9" t="n">
        <v>0</v>
      </c>
      <c r="L1617" s="10" t="n">
        <v>11.8</v>
      </c>
      <c r="M1617" s="10" t="n">
        <v>1.43</v>
      </c>
      <c r="N1617" t="inlineStr">
        <is>
          <t>1</t>
        </is>
      </c>
      <c r="O1617" t="inlineStr">
        <is>
          <t>16</t>
        </is>
      </c>
      <c r="P1617" t="inlineStr">
        <is>
          <t xml:space="preserve">61602   </t>
        </is>
      </c>
      <c r="Q1617" s="26" t="n">
        <v>19.9</v>
      </c>
      <c r="R1617" s="26">
        <f>Q1617*G1617</f>
        <v/>
      </c>
      <c r="S1617" t="n">
        <v>11.81</v>
      </c>
      <c r="T1617" s="18">
        <f>1 - V1617/S1617</f>
        <v/>
      </c>
      <c r="U1617" s="18" t="n">
        <v>0</v>
      </c>
      <c r="V1617" s="26" t="n">
        <v>11.81</v>
      </c>
      <c r="W1617" s="26">
        <f>V1617 - L1617</f>
        <v/>
      </c>
    </row>
    <row r="1618">
      <c r="A1618" s="11" t="n">
        <v>46220</v>
      </c>
      <c r="B1618" s="1" t="n">
        <v>20040</v>
      </c>
      <c r="C1618" s="1" t="inlineStr">
        <is>
          <t>190</t>
        </is>
      </c>
      <c r="D1618" s="1" t="inlineStr">
        <is>
          <t>368442</t>
        </is>
      </c>
      <c r="E1618" s="1" t="inlineStr">
        <is>
          <t xml:space="preserve">28194768       </t>
        </is>
      </c>
      <c r="F1618" s="5" t="inlineStr">
        <is>
          <t>AUTO COLOR CHANGE TEAMSTERZ SURTIDO</t>
        </is>
      </c>
      <c r="G1618" t="n">
        <v>1</v>
      </c>
      <c r="H1618" s="7" t="n">
        <v>14.9</v>
      </c>
      <c r="I1618" s="7" t="n">
        <v>0</v>
      </c>
      <c r="J1618" s="7" t="n">
        <v>0</v>
      </c>
      <c r="K1618" s="9" t="n">
        <v>0</v>
      </c>
      <c r="L1618" s="10" t="n">
        <v>8.84</v>
      </c>
      <c r="M1618" s="10" t="n">
        <v>1.43</v>
      </c>
      <c r="N1618" t="inlineStr">
        <is>
          <t>1</t>
        </is>
      </c>
      <c r="O1618" t="inlineStr">
        <is>
          <t xml:space="preserve">2 </t>
        </is>
      </c>
      <c r="P1618" t="inlineStr">
        <is>
          <t xml:space="preserve">242658  </t>
        </is>
      </c>
      <c r="Q1618" s="26" t="n">
        <v>14.9</v>
      </c>
      <c r="R1618" s="26">
        <f>Q1618*G1618</f>
        <v/>
      </c>
      <c r="S1618" t="n">
        <v>8.84</v>
      </c>
      <c r="T1618" s="18">
        <f>1 - V1618/S1618</f>
        <v/>
      </c>
      <c r="U1618" s="18" t="n">
        <v>0</v>
      </c>
      <c r="V1618" s="26" t="n">
        <v>8.84</v>
      </c>
      <c r="W1618" s="26">
        <f>V1618 - L1618</f>
        <v/>
      </c>
    </row>
    <row r="1619">
      <c r="A1619" s="11" t="n">
        <v>46220</v>
      </c>
      <c r="B1619" s="1" t="n">
        <v>20040</v>
      </c>
      <c r="C1619" s="1" t="inlineStr">
        <is>
          <t>800</t>
        </is>
      </c>
      <c r="D1619" s="1" t="inlineStr">
        <is>
          <t xml:space="preserve">3369  </t>
        </is>
      </c>
      <c r="E1619" s="1" t="inlineStr">
        <is>
          <t xml:space="preserve">31675354       </t>
        </is>
      </c>
      <c r="F1619" s="5" t="inlineStr">
        <is>
          <t>NENUCO LLORON CON ACCESORIOS</t>
        </is>
      </c>
      <c r="G1619" t="n">
        <v>1</v>
      </c>
      <c r="H1619" s="7" t="n">
        <v>69.90000000000001</v>
      </c>
      <c r="I1619" s="7" t="n">
        <v>6.99</v>
      </c>
      <c r="J1619" s="7" t="n">
        <v>0</v>
      </c>
      <c r="K1619" s="9" t="n">
        <v>6.99</v>
      </c>
      <c r="L1619" s="10" t="n">
        <v>37.32</v>
      </c>
      <c r="M1619" s="10" t="n">
        <v>1.43</v>
      </c>
      <c r="N1619" t="inlineStr">
        <is>
          <t>1</t>
        </is>
      </c>
      <c r="O1619" t="inlineStr">
        <is>
          <t>16</t>
        </is>
      </c>
      <c r="P1619" t="inlineStr">
        <is>
          <t xml:space="preserve">24630   </t>
        </is>
      </c>
      <c r="Q1619" s="26" t="n">
        <v>89.90000000000001</v>
      </c>
      <c r="R1619" s="26">
        <f>Q1619*G1619</f>
        <v/>
      </c>
      <c r="S1619" t="n">
        <v>53.33</v>
      </c>
      <c r="T1619" s="18">
        <f>1 - V1619/S1619</f>
        <v/>
      </c>
      <c r="U1619" s="18" t="n">
        <v>0.2224694104560623</v>
      </c>
      <c r="V1619" s="26" t="n">
        <v>44.42796610169492</v>
      </c>
      <c r="W1619" s="26">
        <f>V1619 - L1619</f>
        <v/>
      </c>
    </row>
    <row r="1620">
      <c r="A1620" s="11" t="n">
        <v>46220</v>
      </c>
      <c r="B1620" s="1" t="n">
        <v>20041</v>
      </c>
      <c r="C1620" s="1" t="inlineStr">
        <is>
          <t>011</t>
        </is>
      </c>
      <c r="D1620" s="1" t="inlineStr">
        <is>
          <t xml:space="preserve">917   </t>
        </is>
      </c>
      <c r="E1620" s="1" t="inlineStr">
        <is>
          <t xml:space="preserve">28194770       </t>
        </is>
      </c>
      <c r="F1620" s="5" t="inlineStr">
        <is>
          <t>AUTOS DE METAL 3 TEAMSTERZ EN BLISTER</t>
        </is>
      </c>
      <c r="G1620" t="n">
        <v>1</v>
      </c>
      <c r="H1620" s="7" t="n">
        <v>6.9</v>
      </c>
      <c r="I1620" s="7" t="n">
        <v>0</v>
      </c>
      <c r="J1620" s="7" t="n">
        <v>0</v>
      </c>
      <c r="K1620" s="9" t="n">
        <v>0</v>
      </c>
      <c r="L1620" s="10" t="n">
        <v>4.1</v>
      </c>
      <c r="M1620" s="10" t="n">
        <v>1.43</v>
      </c>
      <c r="N1620" t="inlineStr">
        <is>
          <t>1</t>
        </is>
      </c>
      <c r="O1620" t="inlineStr">
        <is>
          <t>16</t>
        </is>
      </c>
      <c r="P1620" t="inlineStr">
        <is>
          <t xml:space="preserve">46327   </t>
        </is>
      </c>
      <c r="Q1620" s="26" t="n">
        <v>6.9</v>
      </c>
      <c r="R1620" s="26">
        <f>Q1620*G1620</f>
        <v/>
      </c>
      <c r="S1620" t="n">
        <v>4.09</v>
      </c>
      <c r="T1620" s="18">
        <f>1 - V1620/S1620</f>
        <v/>
      </c>
      <c r="U1620" s="18" t="n">
        <v>0</v>
      </c>
      <c r="V1620" s="26" t="n">
        <v>4.09</v>
      </c>
      <c r="W1620" s="26">
        <f>V1620 - L1620</f>
        <v/>
      </c>
    </row>
    <row r="1621">
      <c r="A1621" s="11" t="n">
        <v>46220</v>
      </c>
      <c r="B1621" s="1" t="n">
        <v>20041</v>
      </c>
      <c r="C1621" s="1" t="inlineStr">
        <is>
          <t>013</t>
        </is>
      </c>
      <c r="D1621" s="1" t="inlineStr">
        <is>
          <t>459395</t>
        </is>
      </c>
      <c r="E1621" s="1" t="inlineStr">
        <is>
          <t xml:space="preserve">28194770       </t>
        </is>
      </c>
      <c r="F1621" s="5" t="inlineStr">
        <is>
          <t>AUTOS DE METAL 3 TEAMSTERZ EN BLISTER</t>
        </is>
      </c>
      <c r="G1621" t="n">
        <v>1</v>
      </c>
      <c r="H1621" s="7" t="n">
        <v>6.9</v>
      </c>
      <c r="I1621" s="7" t="n">
        <v>0</v>
      </c>
      <c r="J1621" s="7" t="n">
        <v>0</v>
      </c>
      <c r="K1621" s="9" t="n">
        <v>0</v>
      </c>
      <c r="L1621" s="10" t="n">
        <v>4.1</v>
      </c>
      <c r="M1621" s="10" t="n">
        <v>1.43</v>
      </c>
      <c r="N1621" t="inlineStr">
        <is>
          <t>1</t>
        </is>
      </c>
      <c r="O1621" t="inlineStr">
        <is>
          <t xml:space="preserve">2 </t>
        </is>
      </c>
      <c r="P1621" t="inlineStr">
        <is>
          <t xml:space="preserve">49695   </t>
        </is>
      </c>
      <c r="Q1621" s="26" t="n">
        <v>6.9</v>
      </c>
      <c r="R1621" s="26">
        <f>Q1621*G1621</f>
        <v/>
      </c>
      <c r="S1621" t="n">
        <v>4.09</v>
      </c>
      <c r="T1621" s="18">
        <f>1 - V1621/S1621</f>
        <v/>
      </c>
      <c r="U1621" s="18" t="n">
        <v>0</v>
      </c>
      <c r="V1621" s="26" t="n">
        <v>4.09</v>
      </c>
      <c r="W1621" s="26">
        <f>V1621 - L1621</f>
        <v/>
      </c>
    </row>
    <row r="1622">
      <c r="A1622" s="11" t="n">
        <v>46220</v>
      </c>
      <c r="B1622" s="1" t="n">
        <v>20041</v>
      </c>
      <c r="C1622" s="1" t="inlineStr">
        <is>
          <t>018</t>
        </is>
      </c>
      <c r="D1622" s="1" t="inlineStr">
        <is>
          <t xml:space="preserve">56218 </t>
        </is>
      </c>
      <c r="E1622" s="1" t="inlineStr">
        <is>
          <t xml:space="preserve">28194769       </t>
        </is>
      </c>
      <c r="F1622" s="5" t="inlineStr">
        <is>
          <t>AUTOS DE METAL 3 TEAMSTERZ PACK DE 2</t>
        </is>
      </c>
      <c r="G1622" t="n">
        <v>1</v>
      </c>
      <c r="H1622" s="7" t="n">
        <v>13.8</v>
      </c>
      <c r="I1622" s="7" t="n">
        <v>0</v>
      </c>
      <c r="J1622" s="7" t="n">
        <v>0</v>
      </c>
      <c r="K1622" s="9" t="n">
        <v>0</v>
      </c>
      <c r="L1622" s="10" t="n">
        <v>8.18</v>
      </c>
      <c r="M1622" s="10" t="n">
        <v>1.43</v>
      </c>
      <c r="N1622" t="inlineStr">
        <is>
          <t>1</t>
        </is>
      </c>
      <c r="O1622" t="inlineStr">
        <is>
          <t>16</t>
        </is>
      </c>
      <c r="P1622" t="inlineStr">
        <is>
          <t xml:space="preserve">53218   </t>
        </is>
      </c>
      <c r="Q1622" s="26" t="n">
        <v>13.8</v>
      </c>
      <c r="R1622" s="26">
        <f>Q1622*G1622</f>
        <v/>
      </c>
      <c r="S1622" t="n">
        <v>8.19</v>
      </c>
      <c r="T1622" s="18">
        <f>1 - V1622/S1622</f>
        <v/>
      </c>
      <c r="U1622" s="18" t="n">
        <v>0</v>
      </c>
      <c r="V1622" s="26" t="n">
        <v>8.19</v>
      </c>
      <c r="W1622" s="26">
        <f>V1622 - L1622</f>
        <v/>
      </c>
    </row>
    <row r="1623">
      <c r="A1623" s="11" t="n">
        <v>46220</v>
      </c>
      <c r="B1623" s="1" t="n">
        <v>20041</v>
      </c>
      <c r="C1623" s="1" t="inlineStr">
        <is>
          <t>037</t>
        </is>
      </c>
      <c r="D1623" s="1" t="inlineStr">
        <is>
          <t>189802</t>
        </is>
      </c>
      <c r="E1623" s="1" t="inlineStr">
        <is>
          <t xml:space="preserve">28194770       </t>
        </is>
      </c>
      <c r="F1623" s="5" t="inlineStr">
        <is>
          <t>AUTOS DE METAL 3 TEAMSTERZ EN BLISTER</t>
        </is>
      </c>
      <c r="G1623" t="n">
        <v>1</v>
      </c>
      <c r="H1623" s="7" t="n">
        <v>6.9</v>
      </c>
      <c r="I1623" s="7" t="n">
        <v>0</v>
      </c>
      <c r="J1623" s="7" t="n">
        <v>0</v>
      </c>
      <c r="K1623" s="9" t="n">
        <v>0</v>
      </c>
      <c r="L1623" s="10" t="n">
        <v>4.1</v>
      </c>
      <c r="M1623" s="10" t="n">
        <v>1.43</v>
      </c>
      <c r="N1623" t="inlineStr">
        <is>
          <t>1</t>
        </is>
      </c>
      <c r="O1623" t="inlineStr">
        <is>
          <t>16</t>
        </is>
      </c>
      <c r="P1623" t="inlineStr">
        <is>
          <t xml:space="preserve">242746  </t>
        </is>
      </c>
      <c r="Q1623" s="26" t="n">
        <v>6.9</v>
      </c>
      <c r="R1623" s="26">
        <f>Q1623*G1623</f>
        <v/>
      </c>
      <c r="S1623" t="n">
        <v>4.09</v>
      </c>
      <c r="T1623" s="18">
        <f>1 - V1623/S1623</f>
        <v/>
      </c>
      <c r="U1623" s="18" t="n">
        <v>0</v>
      </c>
      <c r="V1623" s="26" t="n">
        <v>4.09</v>
      </c>
      <c r="W1623" s="26">
        <f>V1623 - L1623</f>
        <v/>
      </c>
    </row>
    <row r="1624">
      <c r="A1624" s="11" t="n">
        <v>46220</v>
      </c>
      <c r="B1624" s="1" t="n">
        <v>20041</v>
      </c>
      <c r="C1624" s="1" t="inlineStr">
        <is>
          <t>037</t>
        </is>
      </c>
      <c r="D1624" s="1" t="inlineStr">
        <is>
          <t>189802</t>
        </is>
      </c>
      <c r="E1624" s="1" t="inlineStr">
        <is>
          <t xml:space="preserve">28194770       </t>
        </is>
      </c>
      <c r="F1624" s="5" t="inlineStr">
        <is>
          <t>AUTOS DE METAL 3 TEAMSTERZ EN BLISTER</t>
        </is>
      </c>
      <c r="G1624" t="n">
        <v>1</v>
      </c>
      <c r="H1624" s="7" t="n">
        <v>6.9</v>
      </c>
      <c r="I1624" s="7" t="n">
        <v>0</v>
      </c>
      <c r="J1624" s="7" t="n">
        <v>0</v>
      </c>
      <c r="K1624" s="9" t="n">
        <v>0</v>
      </c>
      <c r="L1624" s="10" t="n">
        <v>4.1</v>
      </c>
      <c r="M1624" s="10" t="n">
        <v>1.43</v>
      </c>
      <c r="N1624" t="inlineStr">
        <is>
          <t>1</t>
        </is>
      </c>
      <c r="O1624" t="inlineStr">
        <is>
          <t>16</t>
        </is>
      </c>
      <c r="P1624" t="inlineStr">
        <is>
          <t xml:space="preserve">242746  </t>
        </is>
      </c>
      <c r="Q1624" s="26" t="n">
        <v>6.9</v>
      </c>
      <c r="R1624" s="26">
        <f>Q1624*G1624</f>
        <v/>
      </c>
      <c r="S1624" t="n">
        <v>4.09</v>
      </c>
      <c r="T1624" s="18">
        <f>1 - V1624/S1624</f>
        <v/>
      </c>
      <c r="U1624" s="18" t="n">
        <v>0</v>
      </c>
      <c r="V1624" s="26" t="n">
        <v>4.09</v>
      </c>
      <c r="W1624" s="26">
        <f>V1624 - L1624</f>
        <v/>
      </c>
    </row>
    <row r="1625">
      <c r="A1625" s="11" t="n">
        <v>46220</v>
      </c>
      <c r="B1625" s="1" t="n">
        <v>20041</v>
      </c>
      <c r="C1625" s="1" t="inlineStr">
        <is>
          <t>037</t>
        </is>
      </c>
      <c r="D1625" s="1" t="inlineStr">
        <is>
          <t>189826</t>
        </is>
      </c>
      <c r="E1625" s="1" t="inlineStr">
        <is>
          <t xml:space="preserve">28194770       </t>
        </is>
      </c>
      <c r="F1625" s="5" t="inlineStr">
        <is>
          <t>AUTOS DE METAL 3 TEAMSTERZ EN BLISTER</t>
        </is>
      </c>
      <c r="G1625" t="n">
        <v>1</v>
      </c>
      <c r="H1625" s="7" t="n">
        <v>6.9</v>
      </c>
      <c r="I1625" s="7" t="n">
        <v>0</v>
      </c>
      <c r="J1625" s="7" t="n">
        <v>0</v>
      </c>
      <c r="K1625" s="9" t="n">
        <v>0</v>
      </c>
      <c r="L1625" s="10" t="n">
        <v>4.1</v>
      </c>
      <c r="M1625" s="10" t="n">
        <v>1.43</v>
      </c>
      <c r="N1625" t="inlineStr">
        <is>
          <t>1</t>
        </is>
      </c>
      <c r="O1625" t="inlineStr">
        <is>
          <t>16</t>
        </is>
      </c>
      <c r="P1625" t="inlineStr">
        <is>
          <t xml:space="preserve">244965  </t>
        </is>
      </c>
      <c r="Q1625" s="26" t="n">
        <v>6.9</v>
      </c>
      <c r="R1625" s="26">
        <f>Q1625*G1625</f>
        <v/>
      </c>
      <c r="S1625" t="n">
        <v>4.09</v>
      </c>
      <c r="T1625" s="18">
        <f>1 - V1625/S1625</f>
        <v/>
      </c>
      <c r="U1625" s="18" t="n">
        <v>0</v>
      </c>
      <c r="V1625" s="26" t="n">
        <v>4.09</v>
      </c>
      <c r="W1625" s="26">
        <f>V1625 - L1625</f>
        <v/>
      </c>
    </row>
    <row r="1626">
      <c r="A1626" s="11" t="n">
        <v>46220</v>
      </c>
      <c r="B1626" s="1" t="n">
        <v>20041</v>
      </c>
      <c r="C1626" s="1" t="inlineStr">
        <is>
          <t>043</t>
        </is>
      </c>
      <c r="D1626" s="1" t="inlineStr">
        <is>
          <t xml:space="preserve">76250 </t>
        </is>
      </c>
      <c r="E1626" s="1" t="inlineStr">
        <is>
          <t xml:space="preserve">28194770       </t>
        </is>
      </c>
      <c r="F1626" s="5" t="inlineStr">
        <is>
          <t>AUTOS DE METAL 3 TEAMSTERZ EN BLISTER</t>
        </is>
      </c>
      <c r="G1626" t="n">
        <v>1</v>
      </c>
      <c r="H1626" s="7" t="n">
        <v>6.9</v>
      </c>
      <c r="I1626" s="7" t="n">
        <v>0</v>
      </c>
      <c r="J1626" s="7" t="n">
        <v>0</v>
      </c>
      <c r="K1626" s="9" t="n">
        <v>0</v>
      </c>
      <c r="L1626" s="10" t="n">
        <v>4.1</v>
      </c>
      <c r="M1626" s="10" t="n">
        <v>1.43</v>
      </c>
      <c r="N1626" t="inlineStr">
        <is>
          <t>1</t>
        </is>
      </c>
      <c r="O1626" t="inlineStr">
        <is>
          <t xml:space="preserve">2 </t>
        </is>
      </c>
      <c r="P1626" t="inlineStr">
        <is>
          <t xml:space="preserve">243698  </t>
        </is>
      </c>
      <c r="Q1626" s="26" t="n">
        <v>6.9</v>
      </c>
      <c r="R1626" s="26">
        <f>Q1626*G1626</f>
        <v/>
      </c>
      <c r="S1626" t="n">
        <v>4.09</v>
      </c>
      <c r="T1626" s="18">
        <f>1 - V1626/S1626</f>
        <v/>
      </c>
      <c r="U1626" s="18" t="n">
        <v>0</v>
      </c>
      <c r="V1626" s="26" t="n">
        <v>4.09</v>
      </c>
      <c r="W1626" s="26">
        <f>V1626 - L1626</f>
        <v/>
      </c>
    </row>
    <row r="1627">
      <c r="A1627" s="11" t="n">
        <v>46220</v>
      </c>
      <c r="B1627" s="1" t="n">
        <v>20043</v>
      </c>
      <c r="C1627" s="1" t="inlineStr">
        <is>
          <t>054</t>
        </is>
      </c>
      <c r="D1627" s="1" t="inlineStr">
        <is>
          <t xml:space="preserve">15307 </t>
        </is>
      </c>
      <c r="E1627" s="1" t="inlineStr">
        <is>
          <t xml:space="preserve">28194770       </t>
        </is>
      </c>
      <c r="F1627" s="5" t="inlineStr">
        <is>
          <t>AUTOS DE METAL 3 TEAMSTERZ EN BLISTER</t>
        </is>
      </c>
      <c r="G1627" t="n">
        <v>1</v>
      </c>
      <c r="H1627" s="7" t="n">
        <v>6.9</v>
      </c>
      <c r="I1627" s="7" t="n">
        <v>0</v>
      </c>
      <c r="J1627" s="7" t="n">
        <v>0</v>
      </c>
      <c r="K1627" s="9" t="n">
        <v>0</v>
      </c>
      <c r="L1627" s="10" t="n">
        <v>4.1</v>
      </c>
      <c r="M1627" s="10" t="n">
        <v>1.43</v>
      </c>
      <c r="N1627" t="inlineStr">
        <is>
          <t>1</t>
        </is>
      </c>
      <c r="O1627" t="inlineStr">
        <is>
          <t>16</t>
        </is>
      </c>
      <c r="P1627" t="inlineStr">
        <is>
          <t xml:space="preserve">73748   </t>
        </is>
      </c>
      <c r="Q1627" s="26" t="n">
        <v>6.9</v>
      </c>
      <c r="R1627" s="26">
        <f>Q1627*G1627</f>
        <v/>
      </c>
      <c r="S1627" t="n">
        <v>4.09</v>
      </c>
      <c r="T1627" s="18">
        <f>1 - V1627/S1627</f>
        <v/>
      </c>
      <c r="U1627" s="18" t="n">
        <v>0</v>
      </c>
      <c r="V1627" s="26" t="n">
        <v>4.09</v>
      </c>
      <c r="W1627" s="26">
        <f>V1627 - L1627</f>
        <v/>
      </c>
    </row>
    <row r="1628">
      <c r="A1628" s="11" t="n">
        <v>46220</v>
      </c>
      <c r="B1628" s="1" t="n">
        <v>20043</v>
      </c>
      <c r="C1628" s="1" t="inlineStr">
        <is>
          <t>054</t>
        </is>
      </c>
      <c r="D1628" s="1" t="inlineStr">
        <is>
          <t xml:space="preserve">15332 </t>
        </is>
      </c>
      <c r="E1628" s="1" t="inlineStr">
        <is>
          <t xml:space="preserve">28194769       </t>
        </is>
      </c>
      <c r="F1628" s="5" t="inlineStr">
        <is>
          <t>AUTOS DE METAL 3 TEAMSTERZ PACK DE 2</t>
        </is>
      </c>
      <c r="G1628" t="n">
        <v>1</v>
      </c>
      <c r="H1628" s="7" t="n">
        <v>13.8</v>
      </c>
      <c r="I1628" s="7" t="n">
        <v>0</v>
      </c>
      <c r="J1628" s="7" t="n">
        <v>0</v>
      </c>
      <c r="K1628" s="9" t="n">
        <v>0</v>
      </c>
      <c r="L1628" s="10" t="n">
        <v>8.18</v>
      </c>
      <c r="M1628" s="10" t="n">
        <v>1.43</v>
      </c>
      <c r="N1628" t="inlineStr">
        <is>
          <t>1</t>
        </is>
      </c>
      <c r="O1628" t="inlineStr">
        <is>
          <t>16</t>
        </is>
      </c>
      <c r="P1628" t="inlineStr">
        <is>
          <t xml:space="preserve">73748   </t>
        </is>
      </c>
      <c r="Q1628" s="26" t="n">
        <v>13.8</v>
      </c>
      <c r="R1628" s="26">
        <f>Q1628*G1628</f>
        <v/>
      </c>
      <c r="S1628" t="n">
        <v>8.19</v>
      </c>
      <c r="T1628" s="18">
        <f>1 - V1628/S1628</f>
        <v/>
      </c>
      <c r="U1628" s="18" t="n">
        <v>0</v>
      </c>
      <c r="V1628" s="26" t="n">
        <v>8.19</v>
      </c>
      <c r="W1628" s="26">
        <f>V1628 - L1628</f>
        <v/>
      </c>
    </row>
    <row r="1629">
      <c r="A1629" s="11" t="n">
        <v>46220</v>
      </c>
      <c r="B1629" s="1" t="n">
        <v>20043</v>
      </c>
      <c r="C1629" s="1" t="inlineStr">
        <is>
          <t>054</t>
        </is>
      </c>
      <c r="D1629" s="1" t="inlineStr">
        <is>
          <t xml:space="preserve">15332 </t>
        </is>
      </c>
      <c r="E1629" s="1" t="inlineStr">
        <is>
          <t xml:space="preserve">28194770       </t>
        </is>
      </c>
      <c r="F1629" s="5" t="inlineStr">
        <is>
          <t>AUTOS DE METAL 3 TEAMSTERZ EN BLISTER</t>
        </is>
      </c>
      <c r="G1629" t="n">
        <v>1</v>
      </c>
      <c r="H1629" s="7" t="n">
        <v>6.9</v>
      </c>
      <c r="I1629" s="7" t="n">
        <v>0</v>
      </c>
      <c r="J1629" s="7" t="n">
        <v>0</v>
      </c>
      <c r="K1629" s="9" t="n">
        <v>0</v>
      </c>
      <c r="L1629" s="10" t="n">
        <v>4.1</v>
      </c>
      <c r="M1629" s="10" t="n">
        <v>1.43</v>
      </c>
      <c r="N1629" t="inlineStr">
        <is>
          <t>1</t>
        </is>
      </c>
      <c r="O1629" t="inlineStr">
        <is>
          <t>16</t>
        </is>
      </c>
      <c r="P1629" t="inlineStr">
        <is>
          <t xml:space="preserve">73748   </t>
        </is>
      </c>
      <c r="Q1629" s="26" t="n">
        <v>6.9</v>
      </c>
      <c r="R1629" s="26">
        <f>Q1629*G1629</f>
        <v/>
      </c>
      <c r="S1629" t="n">
        <v>4.09</v>
      </c>
      <c r="T1629" s="18">
        <f>1 - V1629/S1629</f>
        <v/>
      </c>
      <c r="U1629" s="18" t="n">
        <v>0</v>
      </c>
      <c r="V1629" s="26" t="n">
        <v>4.09</v>
      </c>
      <c r="W1629" s="26">
        <f>V1629 - L1629</f>
        <v/>
      </c>
    </row>
    <row r="1630">
      <c r="A1630" s="11" t="n">
        <v>46220</v>
      </c>
      <c r="B1630" s="1" t="n">
        <v>20043</v>
      </c>
      <c r="C1630" s="1" t="inlineStr">
        <is>
          <t>059</t>
        </is>
      </c>
      <c r="D1630" s="1" t="inlineStr">
        <is>
          <t>150971</t>
        </is>
      </c>
      <c r="E1630" s="1" t="inlineStr">
        <is>
          <t xml:space="preserve">28194769       </t>
        </is>
      </c>
      <c r="F1630" s="5" t="inlineStr">
        <is>
          <t>AUTOS DE METAL 3 TEAMSTERZ PACK DE 2</t>
        </is>
      </c>
      <c r="G1630" t="n">
        <v>1</v>
      </c>
      <c r="H1630" s="7" t="n">
        <v>13.8</v>
      </c>
      <c r="I1630" s="7" t="n">
        <v>1.38</v>
      </c>
      <c r="J1630" s="7" t="n">
        <v>0</v>
      </c>
      <c r="K1630" s="9" t="n">
        <v>1.38</v>
      </c>
      <c r="L1630" s="10" t="n">
        <v>7.37</v>
      </c>
      <c r="M1630" s="10" t="n">
        <v>1.43</v>
      </c>
      <c r="N1630" t="inlineStr">
        <is>
          <t>1</t>
        </is>
      </c>
      <c r="O1630" t="inlineStr">
        <is>
          <t xml:space="preserve">3 </t>
        </is>
      </c>
      <c r="P1630" t="inlineStr">
        <is>
          <t xml:space="preserve">248955  </t>
        </is>
      </c>
      <c r="Q1630" s="26" t="n">
        <v>13.8</v>
      </c>
      <c r="R1630" s="26">
        <f>Q1630*G1630</f>
        <v/>
      </c>
      <c r="S1630" t="n">
        <v>8.19</v>
      </c>
      <c r="T1630" s="18">
        <f>1 - V1630/S1630</f>
        <v/>
      </c>
      <c r="U1630" s="18" t="n">
        <v>0</v>
      </c>
      <c r="V1630" s="26" t="n">
        <v>8.19</v>
      </c>
      <c r="W1630" s="26">
        <f>V1630 - L1630</f>
        <v/>
      </c>
    </row>
    <row r="1631">
      <c r="A1631" s="11" t="n">
        <v>46220</v>
      </c>
      <c r="B1631" s="1" t="n">
        <v>20043</v>
      </c>
      <c r="C1631" s="1" t="inlineStr">
        <is>
          <t>059</t>
        </is>
      </c>
      <c r="D1631" s="1" t="inlineStr">
        <is>
          <t>150971</t>
        </is>
      </c>
      <c r="E1631" s="1" t="inlineStr">
        <is>
          <t xml:space="preserve">28194769       </t>
        </is>
      </c>
      <c r="F1631" s="5" t="inlineStr">
        <is>
          <t>AUTOS DE METAL 3 TEAMSTERZ PACK DE 2</t>
        </is>
      </c>
      <c r="G1631" t="n">
        <v>1</v>
      </c>
      <c r="H1631" s="7" t="n">
        <v>13.8</v>
      </c>
      <c r="I1631" s="7" t="n">
        <v>1.38</v>
      </c>
      <c r="J1631" s="7" t="n">
        <v>0</v>
      </c>
      <c r="K1631" s="9" t="n">
        <v>1.38</v>
      </c>
      <c r="L1631" s="10" t="n">
        <v>7.37</v>
      </c>
      <c r="M1631" s="10" t="n">
        <v>1.43</v>
      </c>
      <c r="N1631" t="inlineStr">
        <is>
          <t>1</t>
        </is>
      </c>
      <c r="O1631" t="inlineStr">
        <is>
          <t xml:space="preserve">3 </t>
        </is>
      </c>
      <c r="P1631" t="inlineStr">
        <is>
          <t xml:space="preserve">248955  </t>
        </is>
      </c>
      <c r="Q1631" s="26" t="n">
        <v>13.8</v>
      </c>
      <c r="R1631" s="26">
        <f>Q1631*G1631</f>
        <v/>
      </c>
      <c r="S1631" t="n">
        <v>8.19</v>
      </c>
      <c r="T1631" s="18">
        <f>1 - V1631/S1631</f>
        <v/>
      </c>
      <c r="U1631" s="18" t="n">
        <v>0</v>
      </c>
      <c r="V1631" s="26" t="n">
        <v>8.19</v>
      </c>
      <c r="W1631" s="26">
        <f>V1631 - L1631</f>
        <v/>
      </c>
    </row>
    <row r="1632">
      <c r="A1632" s="11" t="n">
        <v>46220</v>
      </c>
      <c r="B1632" s="1" t="n">
        <v>20043</v>
      </c>
      <c r="C1632" s="1" t="inlineStr">
        <is>
          <t>061</t>
        </is>
      </c>
      <c r="D1632" s="1" t="inlineStr">
        <is>
          <t>155137</t>
        </is>
      </c>
      <c r="E1632" s="1" t="inlineStr">
        <is>
          <t xml:space="preserve">28194770       </t>
        </is>
      </c>
      <c r="F1632" s="5" t="inlineStr">
        <is>
          <t>AUTOS DE METAL 3 TEAMSTERZ EN BLISTER</t>
        </is>
      </c>
      <c r="G1632" t="n">
        <v>1</v>
      </c>
      <c r="H1632" s="7" t="n">
        <v>6.9</v>
      </c>
      <c r="I1632" s="7" t="n">
        <v>0</v>
      </c>
      <c r="J1632" s="7" t="n">
        <v>0</v>
      </c>
      <c r="K1632" s="9" t="n">
        <v>0</v>
      </c>
      <c r="L1632" s="10" t="n">
        <v>4.1</v>
      </c>
      <c r="M1632" s="10" t="n">
        <v>1.43</v>
      </c>
      <c r="N1632" t="inlineStr">
        <is>
          <t>1</t>
        </is>
      </c>
      <c r="O1632" t="inlineStr">
        <is>
          <t>16</t>
        </is>
      </c>
      <c r="P1632" t="inlineStr">
        <is>
          <t xml:space="preserve">244243  </t>
        </is>
      </c>
      <c r="Q1632" s="26" t="n">
        <v>6.9</v>
      </c>
      <c r="R1632" s="26">
        <f>Q1632*G1632</f>
        <v/>
      </c>
      <c r="S1632" t="n">
        <v>4.09</v>
      </c>
      <c r="T1632" s="18">
        <f>1 - V1632/S1632</f>
        <v/>
      </c>
      <c r="U1632" s="18" t="n">
        <v>0</v>
      </c>
      <c r="V1632" s="26" t="n">
        <v>4.09</v>
      </c>
      <c r="W1632" s="26">
        <f>V1632 - L1632</f>
        <v/>
      </c>
    </row>
    <row r="1633">
      <c r="A1633" s="11" t="n">
        <v>46220</v>
      </c>
      <c r="B1633" s="1" t="n">
        <v>20043</v>
      </c>
      <c r="C1633" s="1" t="inlineStr">
        <is>
          <t>061</t>
        </is>
      </c>
      <c r="D1633" s="1" t="inlineStr">
        <is>
          <t>155171</t>
        </is>
      </c>
      <c r="E1633" s="1" t="inlineStr">
        <is>
          <t xml:space="preserve">30141766       </t>
        </is>
      </c>
      <c r="F1633" s="5" t="inlineStr">
        <is>
          <t>TMZ BEAST MACHINES AUTOS DE METAL BLISTER X 1</t>
        </is>
      </c>
      <c r="G1633" t="n">
        <v>1</v>
      </c>
      <c r="H1633" s="7" t="n">
        <v>7.9</v>
      </c>
      <c r="I1633" s="7" t="n">
        <v>0.79</v>
      </c>
      <c r="J1633" s="7" t="n">
        <v>0</v>
      </c>
      <c r="K1633" s="9" t="n">
        <v>0.79</v>
      </c>
      <c r="L1633" s="10" t="n">
        <v>4.22</v>
      </c>
      <c r="M1633" s="10" t="n">
        <v>1.43</v>
      </c>
      <c r="N1633" t="inlineStr">
        <is>
          <t>1</t>
        </is>
      </c>
      <c r="O1633" t="inlineStr">
        <is>
          <t xml:space="preserve">3 </t>
        </is>
      </c>
      <c r="P1633" t="inlineStr">
        <is>
          <t xml:space="preserve">244243  </t>
        </is>
      </c>
      <c r="Q1633" s="26" t="n">
        <v>7.9</v>
      </c>
      <c r="R1633" s="26">
        <f>Q1633*G1633</f>
        <v/>
      </c>
      <c r="S1633" t="n">
        <v>4.69</v>
      </c>
      <c r="T1633" s="18">
        <f>1 - V1633/S1633</f>
        <v/>
      </c>
      <c r="U1633" s="18" t="n">
        <v>0</v>
      </c>
      <c r="V1633" s="26" t="n">
        <v>4.69</v>
      </c>
      <c r="W1633" s="26">
        <f>V1633 - L1633</f>
        <v/>
      </c>
    </row>
    <row r="1634">
      <c r="A1634" s="11" t="n">
        <v>46220</v>
      </c>
      <c r="B1634" s="1" t="n">
        <v>20043</v>
      </c>
      <c r="C1634" s="1" t="inlineStr">
        <is>
          <t>061</t>
        </is>
      </c>
      <c r="D1634" s="1" t="inlineStr">
        <is>
          <t>155171</t>
        </is>
      </c>
      <c r="E1634" s="1" t="inlineStr">
        <is>
          <t xml:space="preserve">30141766       </t>
        </is>
      </c>
      <c r="F1634" s="5" t="inlineStr">
        <is>
          <t>TMZ BEAST MACHINES AUTOS DE METAL BLISTER X 1</t>
        </is>
      </c>
      <c r="G1634" t="n">
        <v>1</v>
      </c>
      <c r="H1634" s="7" t="n">
        <v>7.9</v>
      </c>
      <c r="I1634" s="7" t="n">
        <v>0.79</v>
      </c>
      <c r="J1634" s="7" t="n">
        <v>0</v>
      </c>
      <c r="K1634" s="9" t="n">
        <v>0.79</v>
      </c>
      <c r="L1634" s="10" t="n">
        <v>4.22</v>
      </c>
      <c r="M1634" s="10" t="n">
        <v>1.43</v>
      </c>
      <c r="N1634" t="inlineStr">
        <is>
          <t>1</t>
        </is>
      </c>
      <c r="O1634" t="inlineStr">
        <is>
          <t xml:space="preserve">3 </t>
        </is>
      </c>
      <c r="P1634" t="inlineStr">
        <is>
          <t xml:space="preserve">244243  </t>
        </is>
      </c>
      <c r="Q1634" s="26" t="n">
        <v>7.9</v>
      </c>
      <c r="R1634" s="26">
        <f>Q1634*G1634</f>
        <v/>
      </c>
      <c r="S1634" t="n">
        <v>4.69</v>
      </c>
      <c r="T1634" s="18">
        <f>1 - V1634/S1634</f>
        <v/>
      </c>
      <c r="U1634" s="18" t="n">
        <v>0</v>
      </c>
      <c r="V1634" s="26" t="n">
        <v>4.69</v>
      </c>
      <c r="W1634" s="26">
        <f>V1634 - L1634</f>
        <v/>
      </c>
    </row>
    <row r="1635">
      <c r="A1635" s="11" t="n">
        <v>46220</v>
      </c>
      <c r="B1635" s="1" t="n">
        <v>20043</v>
      </c>
      <c r="C1635" s="1" t="inlineStr">
        <is>
          <t>061</t>
        </is>
      </c>
      <c r="D1635" s="1" t="inlineStr">
        <is>
          <t>155173</t>
        </is>
      </c>
      <c r="E1635" s="1" t="inlineStr">
        <is>
          <t xml:space="preserve">32457099       </t>
        </is>
      </c>
      <c r="F1635" s="5" t="inlineStr">
        <is>
          <t>TMZ BEAST MACHINES MONSTER JAWS A FRICCION BLISTER</t>
        </is>
      </c>
      <c r="G1635" t="n">
        <v>1</v>
      </c>
      <c r="H1635" s="7" t="n">
        <v>17.9</v>
      </c>
      <c r="I1635" s="7" t="n">
        <v>0</v>
      </c>
      <c r="J1635" s="7" t="n">
        <v>0</v>
      </c>
      <c r="K1635" s="9" t="n">
        <v>0</v>
      </c>
      <c r="L1635" s="10" t="n">
        <v>10.62</v>
      </c>
      <c r="M1635" s="10" t="n">
        <v>1.43</v>
      </c>
      <c r="N1635" t="inlineStr">
        <is>
          <t>1</t>
        </is>
      </c>
      <c r="O1635" t="inlineStr">
        <is>
          <t>16</t>
        </is>
      </c>
      <c r="P1635" t="inlineStr">
        <is>
          <t xml:space="preserve">244243  </t>
        </is>
      </c>
      <c r="Q1635" s="26" t="n">
        <v>19.9</v>
      </c>
      <c r="R1635" s="26">
        <f>Q1635*G1635</f>
        <v/>
      </c>
      <c r="S1635" t="n">
        <v>11.81</v>
      </c>
      <c r="T1635" s="18">
        <f>1 - V1635/S1635</f>
        <v/>
      </c>
      <c r="U1635" s="18" t="n">
        <v>0.1005025125628141</v>
      </c>
      <c r="V1635" s="26" t="n">
        <v>8.417118644067797</v>
      </c>
      <c r="W1635" s="26">
        <f>V1635 - L1635</f>
        <v/>
      </c>
    </row>
    <row r="1636">
      <c r="A1636" s="11" t="n">
        <v>46220</v>
      </c>
      <c r="B1636" s="1" t="n">
        <v>20047</v>
      </c>
      <c r="C1636" s="1" t="inlineStr">
        <is>
          <t>012</t>
        </is>
      </c>
      <c r="D1636" s="1" t="inlineStr">
        <is>
          <t>332908</t>
        </is>
      </c>
      <c r="E1636" s="1" t="inlineStr">
        <is>
          <t xml:space="preserve">28194770       </t>
        </is>
      </c>
      <c r="F1636" s="5" t="inlineStr">
        <is>
          <t>AUTOS DE METAL 3 TEAMSTERZ EN BLISTER</t>
        </is>
      </c>
      <c r="G1636" t="n">
        <v>1</v>
      </c>
      <c r="H1636" s="7" t="n">
        <v>6.9</v>
      </c>
      <c r="I1636" s="7" t="n">
        <v>0</v>
      </c>
      <c r="J1636" s="7" t="n">
        <v>0</v>
      </c>
      <c r="K1636" s="9" t="n">
        <v>0</v>
      </c>
      <c r="L1636" s="10" t="n">
        <v>4.1</v>
      </c>
      <c r="M1636" s="10" t="n">
        <v>1.43</v>
      </c>
      <c r="N1636" t="inlineStr">
        <is>
          <t>1</t>
        </is>
      </c>
      <c r="O1636" t="inlineStr">
        <is>
          <t xml:space="preserve">2 </t>
        </is>
      </c>
      <c r="P1636" t="inlineStr">
        <is>
          <t xml:space="preserve">248424  </t>
        </is>
      </c>
      <c r="Q1636" s="26" t="n">
        <v>6.9</v>
      </c>
      <c r="R1636" s="26">
        <f>Q1636*G1636</f>
        <v/>
      </c>
      <c r="S1636" t="n">
        <v>4.09</v>
      </c>
      <c r="T1636" s="18">
        <f>1 - V1636/S1636</f>
        <v/>
      </c>
      <c r="U1636" s="18" t="n">
        <v>0</v>
      </c>
      <c r="V1636" s="26" t="n">
        <v>4.09</v>
      </c>
      <c r="W1636" s="26">
        <f>V1636 - L1636</f>
        <v/>
      </c>
    </row>
    <row r="1637">
      <c r="A1637" s="11" t="n">
        <v>46220</v>
      </c>
      <c r="B1637" s="1" t="n">
        <v>20047</v>
      </c>
      <c r="C1637" s="1" t="inlineStr">
        <is>
          <t>012</t>
        </is>
      </c>
      <c r="D1637" s="1" t="inlineStr">
        <is>
          <t>332908</t>
        </is>
      </c>
      <c r="E1637" s="1" t="inlineStr">
        <is>
          <t xml:space="preserve">28194770       </t>
        </is>
      </c>
      <c r="F1637" s="5" t="inlineStr">
        <is>
          <t>AUTOS DE METAL 3 TEAMSTERZ EN BLISTER</t>
        </is>
      </c>
      <c r="G1637" t="n">
        <v>1</v>
      </c>
      <c r="H1637" s="7" t="n">
        <v>6.9</v>
      </c>
      <c r="I1637" s="7" t="n">
        <v>0</v>
      </c>
      <c r="J1637" s="7" t="n">
        <v>0</v>
      </c>
      <c r="K1637" s="9" t="n">
        <v>0</v>
      </c>
      <c r="L1637" s="10" t="n">
        <v>4.1</v>
      </c>
      <c r="M1637" s="10" t="n">
        <v>1.43</v>
      </c>
      <c r="N1637" t="inlineStr">
        <is>
          <t>1</t>
        </is>
      </c>
      <c r="O1637" t="inlineStr">
        <is>
          <t xml:space="preserve">2 </t>
        </is>
      </c>
      <c r="P1637" t="inlineStr">
        <is>
          <t xml:space="preserve">248424  </t>
        </is>
      </c>
      <c r="Q1637" s="26" t="n">
        <v>6.9</v>
      </c>
      <c r="R1637" s="26">
        <f>Q1637*G1637</f>
        <v/>
      </c>
      <c r="S1637" t="n">
        <v>4.09</v>
      </c>
      <c r="T1637" s="18">
        <f>1 - V1637/S1637</f>
        <v/>
      </c>
      <c r="U1637" s="18" t="n">
        <v>0</v>
      </c>
      <c r="V1637" s="26" t="n">
        <v>4.09</v>
      </c>
      <c r="W1637" s="26">
        <f>V1637 - L1637</f>
        <v/>
      </c>
    </row>
    <row r="1638">
      <c r="A1638" s="11" t="n">
        <v>46220</v>
      </c>
      <c r="B1638" s="1" t="n">
        <v>20047</v>
      </c>
      <c r="C1638" s="1" t="inlineStr">
        <is>
          <t>012</t>
        </is>
      </c>
      <c r="D1638" s="1" t="inlineStr">
        <is>
          <t>332908</t>
        </is>
      </c>
      <c r="E1638" s="1" t="inlineStr">
        <is>
          <t xml:space="preserve">28194770       </t>
        </is>
      </c>
      <c r="F1638" s="5" t="inlineStr">
        <is>
          <t>AUTOS DE METAL 3 TEAMSTERZ EN BLISTER</t>
        </is>
      </c>
      <c r="G1638" t="n">
        <v>1</v>
      </c>
      <c r="H1638" s="7" t="n">
        <v>6.9</v>
      </c>
      <c r="I1638" s="7" t="n">
        <v>0</v>
      </c>
      <c r="J1638" s="7" t="n">
        <v>0</v>
      </c>
      <c r="K1638" s="9" t="n">
        <v>0</v>
      </c>
      <c r="L1638" s="10" t="n">
        <v>4.1</v>
      </c>
      <c r="M1638" s="10" t="n">
        <v>1.43</v>
      </c>
      <c r="N1638" t="inlineStr">
        <is>
          <t>1</t>
        </is>
      </c>
      <c r="O1638" t="inlineStr">
        <is>
          <t xml:space="preserve">2 </t>
        </is>
      </c>
      <c r="P1638" t="inlineStr">
        <is>
          <t xml:space="preserve">248424  </t>
        </is>
      </c>
      <c r="Q1638" s="26" t="n">
        <v>6.9</v>
      </c>
      <c r="R1638" s="26">
        <f>Q1638*G1638</f>
        <v/>
      </c>
      <c r="S1638" t="n">
        <v>4.09</v>
      </c>
      <c r="T1638" s="18">
        <f>1 - V1638/S1638</f>
        <v/>
      </c>
      <c r="U1638" s="18" t="n">
        <v>0</v>
      </c>
      <c r="V1638" s="26" t="n">
        <v>4.09</v>
      </c>
      <c r="W1638" s="26">
        <f>V1638 - L1638</f>
        <v/>
      </c>
    </row>
    <row r="1639">
      <c r="A1639" s="11" t="n">
        <v>46220</v>
      </c>
      <c r="B1639" s="1" t="n">
        <v>20048</v>
      </c>
      <c r="C1639" s="1" t="inlineStr">
        <is>
          <t>017</t>
        </is>
      </c>
      <c r="D1639" s="1" t="inlineStr">
        <is>
          <t>166920</t>
        </is>
      </c>
      <c r="E1639" s="1" t="inlineStr">
        <is>
          <t xml:space="preserve">28194770       </t>
        </is>
      </c>
      <c r="F1639" s="5" t="inlineStr">
        <is>
          <t>AUTOS DE METAL 3 TEAMSTERZ EN BLISTER</t>
        </is>
      </c>
      <c r="G1639" t="n">
        <v>1</v>
      </c>
      <c r="H1639" s="7" t="n">
        <v>6.9</v>
      </c>
      <c r="I1639" s="7" t="n">
        <v>0</v>
      </c>
      <c r="J1639" s="7" t="n">
        <v>0</v>
      </c>
      <c r="K1639" s="9" t="n">
        <v>0</v>
      </c>
      <c r="L1639" s="10" t="n">
        <v>4.1</v>
      </c>
      <c r="M1639" s="10" t="n">
        <v>1.43</v>
      </c>
      <c r="N1639" t="inlineStr">
        <is>
          <t>1</t>
        </is>
      </c>
      <c r="O1639" t="inlineStr">
        <is>
          <t>16</t>
        </is>
      </c>
      <c r="P1639" t="inlineStr">
        <is>
          <t xml:space="preserve">250434  </t>
        </is>
      </c>
      <c r="Q1639" s="26" t="n">
        <v>6.9</v>
      </c>
      <c r="R1639" s="26">
        <f>Q1639*G1639</f>
        <v/>
      </c>
      <c r="S1639" t="n">
        <v>4.09</v>
      </c>
      <c r="T1639" s="18">
        <f>1 - V1639/S1639</f>
        <v/>
      </c>
      <c r="U1639" s="18" t="n">
        <v>0</v>
      </c>
      <c r="V1639" s="26" t="n">
        <v>4.09</v>
      </c>
      <c r="W1639" s="26">
        <f>V1639 - L1639</f>
        <v/>
      </c>
    </row>
    <row r="1640">
      <c r="A1640" s="11" t="n">
        <v>46220</v>
      </c>
      <c r="B1640" s="1" t="n">
        <v>20048</v>
      </c>
      <c r="C1640" s="1" t="inlineStr">
        <is>
          <t>017</t>
        </is>
      </c>
      <c r="D1640" s="1" t="inlineStr">
        <is>
          <t>166970</t>
        </is>
      </c>
      <c r="E1640" s="1" t="inlineStr">
        <is>
          <t xml:space="preserve">28194770       </t>
        </is>
      </c>
      <c r="F1640" s="5" t="inlineStr">
        <is>
          <t>AUTOS DE METAL 3 TEAMSTERZ EN BLISTER</t>
        </is>
      </c>
      <c r="G1640" t="n">
        <v>1</v>
      </c>
      <c r="H1640" s="7" t="n">
        <v>6.9</v>
      </c>
      <c r="I1640" s="7" t="n">
        <v>0</v>
      </c>
      <c r="J1640" s="7" t="n">
        <v>0</v>
      </c>
      <c r="K1640" s="9" t="n">
        <v>0</v>
      </c>
      <c r="L1640" s="10" t="n">
        <v>4.1</v>
      </c>
      <c r="M1640" s="10" t="n">
        <v>1.43</v>
      </c>
      <c r="N1640" t="inlineStr">
        <is>
          <t>1</t>
        </is>
      </c>
      <c r="O1640" t="inlineStr">
        <is>
          <t>16</t>
        </is>
      </c>
      <c r="P1640" t="inlineStr">
        <is>
          <t xml:space="preserve">250434  </t>
        </is>
      </c>
      <c r="Q1640" s="26" t="n">
        <v>6.9</v>
      </c>
      <c r="R1640" s="26">
        <f>Q1640*G1640</f>
        <v/>
      </c>
      <c r="S1640" t="n">
        <v>4.09</v>
      </c>
      <c r="T1640" s="18">
        <f>1 - V1640/S1640</f>
        <v/>
      </c>
      <c r="U1640" s="18" t="n">
        <v>0</v>
      </c>
      <c r="V1640" s="26" t="n">
        <v>4.09</v>
      </c>
      <c r="W1640" s="26">
        <f>V1640 - L1640</f>
        <v/>
      </c>
    </row>
    <row r="1641">
      <c r="A1641" s="11" t="n">
        <v>46220</v>
      </c>
      <c r="B1641" s="1" t="n">
        <v>20048</v>
      </c>
      <c r="C1641" s="1" t="inlineStr">
        <is>
          <t>017</t>
        </is>
      </c>
      <c r="D1641" s="1" t="inlineStr">
        <is>
          <t>166970</t>
        </is>
      </c>
      <c r="E1641" s="1" t="inlineStr">
        <is>
          <t xml:space="preserve">28194770       </t>
        </is>
      </c>
      <c r="F1641" s="5" t="inlineStr">
        <is>
          <t>AUTOS DE METAL 3 TEAMSTERZ EN BLISTER</t>
        </is>
      </c>
      <c r="G1641" t="n">
        <v>1</v>
      </c>
      <c r="H1641" s="7" t="n">
        <v>6.9</v>
      </c>
      <c r="I1641" s="7" t="n">
        <v>0</v>
      </c>
      <c r="J1641" s="7" t="n">
        <v>0</v>
      </c>
      <c r="K1641" s="9" t="n">
        <v>0</v>
      </c>
      <c r="L1641" s="10" t="n">
        <v>4.1</v>
      </c>
      <c r="M1641" s="10" t="n">
        <v>1.43</v>
      </c>
      <c r="N1641" t="inlineStr">
        <is>
          <t>1</t>
        </is>
      </c>
      <c r="O1641" t="inlineStr">
        <is>
          <t>16</t>
        </is>
      </c>
      <c r="P1641" t="inlineStr">
        <is>
          <t xml:space="preserve">250434  </t>
        </is>
      </c>
      <c r="Q1641" s="26" t="n">
        <v>6.9</v>
      </c>
      <c r="R1641" s="26">
        <f>Q1641*G1641</f>
        <v/>
      </c>
      <c r="S1641" t="n">
        <v>4.09</v>
      </c>
      <c r="T1641" s="18">
        <f>1 - V1641/S1641</f>
        <v/>
      </c>
      <c r="U1641" s="18" t="n">
        <v>0</v>
      </c>
      <c r="V1641" s="26" t="n">
        <v>4.09</v>
      </c>
      <c r="W1641" s="26">
        <f>V1641 - L1641</f>
        <v/>
      </c>
    </row>
    <row r="1642">
      <c r="A1642" s="11" t="n">
        <v>46220</v>
      </c>
      <c r="B1642" s="1" t="n">
        <v>20048</v>
      </c>
      <c r="C1642" s="1" t="inlineStr">
        <is>
          <t>194</t>
        </is>
      </c>
      <c r="D1642" s="1" t="inlineStr">
        <is>
          <t xml:space="preserve">6004  </t>
        </is>
      </c>
      <c r="E1642" s="1" t="inlineStr">
        <is>
          <t xml:space="preserve">28194770       </t>
        </is>
      </c>
      <c r="F1642" s="5" t="inlineStr">
        <is>
          <t>AUTOS DE METAL 3 TEAMSTERZ EN BLISTER</t>
        </is>
      </c>
      <c r="G1642" t="n">
        <v>1</v>
      </c>
      <c r="H1642" s="7" t="n">
        <v>6.9</v>
      </c>
      <c r="I1642" s="7" t="n">
        <v>0</v>
      </c>
      <c r="J1642" s="7" t="n">
        <v>0</v>
      </c>
      <c r="K1642" s="9" t="n">
        <v>0</v>
      </c>
      <c r="L1642" s="10" t="n">
        <v>4.1</v>
      </c>
      <c r="M1642" s="10" t="n">
        <v>1.43</v>
      </c>
      <c r="N1642" t="inlineStr">
        <is>
          <t>1</t>
        </is>
      </c>
      <c r="O1642" t="inlineStr">
        <is>
          <t>16</t>
        </is>
      </c>
      <c r="P1642" t="inlineStr">
        <is>
          <t xml:space="preserve">80084   </t>
        </is>
      </c>
      <c r="Q1642" s="26" t="n">
        <v>6.9</v>
      </c>
      <c r="R1642" s="26">
        <f>Q1642*G1642</f>
        <v/>
      </c>
      <c r="S1642" t="n">
        <v>4.09</v>
      </c>
      <c r="T1642" s="18">
        <f>1 - V1642/S1642</f>
        <v/>
      </c>
      <c r="U1642" s="18" t="n">
        <v>0</v>
      </c>
      <c r="V1642" s="26" t="n">
        <v>4.09</v>
      </c>
      <c r="W1642" s="26">
        <f>V1642 - L1642</f>
        <v/>
      </c>
    </row>
    <row r="1643">
      <c r="A1643" s="11" t="n">
        <v>46220</v>
      </c>
      <c r="B1643" s="1" t="n">
        <v>20048</v>
      </c>
      <c r="C1643" s="1" t="inlineStr">
        <is>
          <t>194</t>
        </is>
      </c>
      <c r="D1643" s="1" t="inlineStr">
        <is>
          <t xml:space="preserve">6004  </t>
        </is>
      </c>
      <c r="E1643" s="1" t="inlineStr">
        <is>
          <t xml:space="preserve">33483121       </t>
        </is>
      </c>
      <c r="F1643" s="5" t="inlineStr">
        <is>
          <t>HOT WHEELS ESTUCHE PARA 15 AUTOS SURTIDO</t>
        </is>
      </c>
      <c r="G1643" t="n">
        <v>1</v>
      </c>
      <c r="H1643" s="7" t="n">
        <v>34.9</v>
      </c>
      <c r="I1643" s="7" t="n">
        <v>0</v>
      </c>
      <c r="J1643" s="7" t="n">
        <v>0</v>
      </c>
      <c r="K1643" s="9" t="n">
        <v>0</v>
      </c>
      <c r="L1643" s="10" t="n">
        <v>20.71</v>
      </c>
      <c r="M1643" s="10" t="n">
        <v>1.43</v>
      </c>
      <c r="N1643" t="inlineStr">
        <is>
          <t>1</t>
        </is>
      </c>
      <c r="O1643" t="inlineStr">
        <is>
          <t>16</t>
        </is>
      </c>
      <c r="P1643" t="inlineStr">
        <is>
          <t xml:space="preserve">80084   </t>
        </is>
      </c>
      <c r="Q1643" s="26" t="n">
        <v>34.9</v>
      </c>
      <c r="R1643" s="26">
        <f>Q1643*G1643</f>
        <v/>
      </c>
      <c r="S1643" t="n">
        <v>20.7</v>
      </c>
      <c r="T1643" s="18">
        <f>1 - V1643/S1643</f>
        <v/>
      </c>
      <c r="U1643" s="18" t="n">
        <v>0</v>
      </c>
      <c r="V1643" s="26" t="n">
        <v>20.7</v>
      </c>
      <c r="W1643" s="26">
        <f>V1643 - L1643</f>
        <v/>
      </c>
    </row>
    <row r="1644">
      <c r="A1644" s="11" t="n">
        <v>46220</v>
      </c>
      <c r="B1644" s="1" t="n">
        <v>20048</v>
      </c>
      <c r="C1644" s="1" t="inlineStr">
        <is>
          <t>801</t>
        </is>
      </c>
      <c r="D1644" s="1" t="inlineStr">
        <is>
          <t xml:space="preserve">6440  </t>
        </is>
      </c>
      <c r="E1644" s="1" t="inlineStr">
        <is>
          <t xml:space="preserve">32457099       </t>
        </is>
      </c>
      <c r="F1644" s="5" t="inlineStr">
        <is>
          <t>TMZ BEAST MACHINES MONSTER JAWS A FRICCION BLISTER</t>
        </is>
      </c>
      <c r="G1644" t="n">
        <v>1</v>
      </c>
      <c r="H1644" s="7" t="n">
        <v>17.9</v>
      </c>
      <c r="I1644" s="7" t="n">
        <v>1.79</v>
      </c>
      <c r="J1644" s="7" t="n">
        <v>0</v>
      </c>
      <c r="K1644" s="9" t="n">
        <v>1.79</v>
      </c>
      <c r="L1644" s="10" t="n">
        <v>9.56</v>
      </c>
      <c r="M1644" s="10" t="n">
        <v>1.43</v>
      </c>
      <c r="N1644" t="inlineStr">
        <is>
          <t>1</t>
        </is>
      </c>
      <c r="O1644" t="inlineStr">
        <is>
          <t>16</t>
        </is>
      </c>
      <c r="P1644" t="inlineStr">
        <is>
          <t xml:space="preserve">234984  </t>
        </is>
      </c>
      <c r="Q1644" s="26" t="n">
        <v>19.9</v>
      </c>
      <c r="R1644" s="26">
        <f>Q1644*G1644</f>
        <v/>
      </c>
      <c r="S1644" t="n">
        <v>11.81</v>
      </c>
      <c r="T1644" s="18">
        <f>1 - V1644/S1644</f>
        <v/>
      </c>
      <c r="U1644" s="18" t="n">
        <v>0.1005025125628141</v>
      </c>
      <c r="V1644" s="26" t="n">
        <v>8.417118644067797</v>
      </c>
      <c r="W1644" s="26">
        <f>V1644 - L1644</f>
        <v/>
      </c>
    </row>
    <row r="1645">
      <c r="A1645" s="11" t="n">
        <v>46220</v>
      </c>
      <c r="B1645" s="1" t="n">
        <v>20048</v>
      </c>
      <c r="C1645" s="1" t="inlineStr">
        <is>
          <t>801</t>
        </is>
      </c>
      <c r="D1645" s="1" t="inlineStr">
        <is>
          <t xml:space="preserve">6447  </t>
        </is>
      </c>
      <c r="E1645" s="1" t="inlineStr">
        <is>
          <t xml:space="preserve">30141766       </t>
        </is>
      </c>
      <c r="F1645" s="5" t="inlineStr">
        <is>
          <t>TMZ BEAST MACHINES AUTOS DE METAL BLISTER X 1</t>
        </is>
      </c>
      <c r="G1645" t="n">
        <v>1</v>
      </c>
      <c r="H1645" s="7" t="n">
        <v>7.9</v>
      </c>
      <c r="I1645" s="7" t="n">
        <v>0</v>
      </c>
      <c r="J1645" s="7" t="n">
        <v>0</v>
      </c>
      <c r="K1645" s="9" t="n">
        <v>0</v>
      </c>
      <c r="L1645" s="10" t="n">
        <v>4.68</v>
      </c>
      <c r="M1645" s="10" t="n">
        <v>1.43</v>
      </c>
      <c r="N1645" t="inlineStr">
        <is>
          <t>1</t>
        </is>
      </c>
      <c r="O1645" t="inlineStr">
        <is>
          <t>16</t>
        </is>
      </c>
      <c r="P1645" t="inlineStr">
        <is>
          <t xml:space="preserve">234984  </t>
        </is>
      </c>
      <c r="Q1645" s="26" t="n">
        <v>7.9</v>
      </c>
      <c r="R1645" s="26">
        <f>Q1645*G1645</f>
        <v/>
      </c>
      <c r="S1645" t="n">
        <v>4.69</v>
      </c>
      <c r="T1645" s="18">
        <f>1 - V1645/S1645</f>
        <v/>
      </c>
      <c r="U1645" s="18" t="n">
        <v>0</v>
      </c>
      <c r="V1645" s="26" t="n">
        <v>4.69</v>
      </c>
      <c r="W1645" s="26">
        <f>V1645 - L1645</f>
        <v/>
      </c>
    </row>
    <row r="1646">
      <c r="A1646" s="11" t="n">
        <v>46220</v>
      </c>
      <c r="B1646" s="1" t="n">
        <v>20049</v>
      </c>
      <c r="C1646" s="1" t="inlineStr">
        <is>
          <t>017</t>
        </is>
      </c>
      <c r="D1646" s="1" t="inlineStr">
        <is>
          <t>239205</t>
        </is>
      </c>
      <c r="E1646" s="1" t="inlineStr">
        <is>
          <t xml:space="preserve">32457099       </t>
        </is>
      </c>
      <c r="F1646" s="5" t="inlineStr">
        <is>
          <t>TMZ BEAST MACHINES MONSTER JAWS A FRICCION BLISTER</t>
        </is>
      </c>
      <c r="G1646" t="n">
        <v>1</v>
      </c>
      <c r="H1646" s="7" t="n">
        <v>17.9</v>
      </c>
      <c r="I1646" s="7" t="n">
        <v>0</v>
      </c>
      <c r="J1646" s="7" t="n">
        <v>0</v>
      </c>
      <c r="K1646" s="9" t="n">
        <v>0</v>
      </c>
      <c r="L1646" s="10" t="n">
        <v>10.62</v>
      </c>
      <c r="M1646" s="10" t="n">
        <v>1.43</v>
      </c>
      <c r="N1646" t="inlineStr">
        <is>
          <t>1</t>
        </is>
      </c>
      <c r="O1646" t="inlineStr">
        <is>
          <t>16</t>
        </is>
      </c>
      <c r="P1646" t="inlineStr">
        <is>
          <t xml:space="preserve">109185  </t>
        </is>
      </c>
      <c r="Q1646" s="26" t="n">
        <v>19.9</v>
      </c>
      <c r="R1646" s="26">
        <f>Q1646*G1646</f>
        <v/>
      </c>
      <c r="S1646" t="n">
        <v>11.81</v>
      </c>
      <c r="T1646" s="18">
        <f>1 - V1646/S1646</f>
        <v/>
      </c>
      <c r="U1646" s="18" t="n">
        <v>0.1005025125628141</v>
      </c>
      <c r="V1646" s="26" t="n">
        <v>8.417118644067797</v>
      </c>
      <c r="W1646" s="26">
        <f>V1646 - L1646</f>
        <v/>
      </c>
    </row>
    <row r="1647">
      <c r="A1647" s="11" t="n">
        <v>46220</v>
      </c>
      <c r="B1647" s="1" t="n">
        <v>20049</v>
      </c>
      <c r="C1647" s="1" t="inlineStr">
        <is>
          <t>017</t>
        </is>
      </c>
      <c r="D1647" s="1" t="inlineStr">
        <is>
          <t>239299</t>
        </is>
      </c>
      <c r="E1647" s="1" t="inlineStr">
        <is>
          <t xml:space="preserve">30232284       </t>
        </is>
      </c>
      <c r="F1647" s="5" t="inlineStr">
        <is>
          <t>INFINITY NADO TROMPO DE BATALLA - METAL C/PUNTA DE</t>
        </is>
      </c>
      <c r="G1647" t="n">
        <v>1</v>
      </c>
      <c r="H1647" s="7" t="n">
        <v>34.9</v>
      </c>
      <c r="I1647" s="7" t="n">
        <v>0</v>
      </c>
      <c r="J1647" s="7" t="n">
        <v>0</v>
      </c>
      <c r="K1647" s="9" t="n">
        <v>0</v>
      </c>
      <c r="L1647" s="10" t="n">
        <v>20.71</v>
      </c>
      <c r="M1647" s="10" t="n">
        <v>1.43</v>
      </c>
      <c r="N1647" t="inlineStr">
        <is>
          <t>1</t>
        </is>
      </c>
      <c r="O1647" t="inlineStr">
        <is>
          <t xml:space="preserve">2 </t>
        </is>
      </c>
      <c r="P1647" t="inlineStr">
        <is>
          <t xml:space="preserve">109185  </t>
        </is>
      </c>
      <c r="Q1647" s="26" t="n">
        <v>49.9</v>
      </c>
      <c r="R1647" s="26">
        <f>Q1647*G1647</f>
        <v/>
      </c>
      <c r="S1647" t="n">
        <v>29.6</v>
      </c>
      <c r="T1647" s="18">
        <f>1 - V1647/S1647</f>
        <v/>
      </c>
      <c r="U1647" s="18" t="n">
        <v>0.3006012024048096</v>
      </c>
      <c r="V1647" s="26" t="n">
        <v>22.18220338983051</v>
      </c>
      <c r="W1647" s="26">
        <f>V1647 - L1647</f>
        <v/>
      </c>
    </row>
    <row r="1648">
      <c r="A1648" s="11" t="n">
        <v>46220</v>
      </c>
      <c r="B1648" s="1" t="n">
        <v>20049</v>
      </c>
      <c r="C1648" s="1" t="inlineStr">
        <is>
          <t>024</t>
        </is>
      </c>
      <c r="D1648" s="1" t="inlineStr">
        <is>
          <t xml:space="preserve">72023 </t>
        </is>
      </c>
      <c r="E1648" s="1" t="inlineStr">
        <is>
          <t xml:space="preserve">34840556       </t>
        </is>
      </c>
      <c r="F1648" s="5" t="inlineStr">
        <is>
          <t>TMZ BEAST MACH. TRANSPORT DINO +ACCS</t>
        </is>
      </c>
      <c r="G1648" t="n">
        <v>1</v>
      </c>
      <c r="H1648" s="7" t="n">
        <v>59.9</v>
      </c>
      <c r="I1648" s="7" t="n">
        <v>0</v>
      </c>
      <c r="J1648" s="7" t="n">
        <v>0</v>
      </c>
      <c r="K1648" s="9" t="n">
        <v>0</v>
      </c>
      <c r="L1648" s="10" t="n">
        <v>35.53</v>
      </c>
      <c r="M1648" s="10" t="n">
        <v>1.43</v>
      </c>
      <c r="N1648" t="inlineStr">
        <is>
          <t>1</t>
        </is>
      </c>
      <c r="O1648" t="inlineStr">
        <is>
          <t>16</t>
        </is>
      </c>
      <c r="P1648" t="inlineStr">
        <is>
          <t xml:space="preserve">91963   </t>
        </is>
      </c>
      <c r="Q1648" s="26" t="n">
        <v>79.90000000000002</v>
      </c>
      <c r="R1648" s="26">
        <f>Q1648*G1648</f>
        <v/>
      </c>
      <c r="S1648" t="n">
        <v>47.4</v>
      </c>
      <c r="T1648" s="18">
        <f>1 - V1648/S1648</f>
        <v/>
      </c>
      <c r="U1648" s="18" t="n">
        <v>0.2503128911138924</v>
      </c>
      <c r="V1648" s="26" t="n">
        <v>38.07203389830509</v>
      </c>
      <c r="W1648" s="26">
        <f>V1648 - L1648</f>
        <v/>
      </c>
    </row>
    <row r="1649">
      <c r="A1649" s="11" t="n">
        <v>46220</v>
      </c>
      <c r="B1649" s="1" t="n">
        <v>20049</v>
      </c>
      <c r="C1649" s="1" t="inlineStr">
        <is>
          <t>801</t>
        </is>
      </c>
      <c r="D1649" s="1" t="inlineStr">
        <is>
          <t xml:space="preserve">6075  </t>
        </is>
      </c>
      <c r="E1649" s="1" t="inlineStr">
        <is>
          <t xml:space="preserve">29773844       </t>
        </is>
      </c>
      <c r="F1649" s="5" t="inlineStr">
        <is>
          <t>INFINITY NADO MALETIN DE TROMPO DE BATALLA DE META</t>
        </is>
      </c>
      <c r="G1649" t="n">
        <v>1</v>
      </c>
      <c r="H1649" s="7" t="n">
        <v>79.90000000000001</v>
      </c>
      <c r="I1649" s="7" t="n">
        <v>0</v>
      </c>
      <c r="J1649" s="7" t="n">
        <v>0</v>
      </c>
      <c r="K1649" s="9" t="n">
        <v>0</v>
      </c>
      <c r="L1649" s="10" t="n">
        <v>47.4</v>
      </c>
      <c r="M1649" s="10" t="n">
        <v>1.43</v>
      </c>
      <c r="N1649" t="inlineStr">
        <is>
          <t>1</t>
        </is>
      </c>
      <c r="O1649" t="inlineStr">
        <is>
          <t>16</t>
        </is>
      </c>
      <c r="P1649" t="inlineStr">
        <is>
          <t xml:space="preserve">0       </t>
        </is>
      </c>
      <c r="Q1649" s="26" t="n">
        <v>99</v>
      </c>
      <c r="R1649" s="26">
        <f>Q1649*G1649</f>
        <v/>
      </c>
      <c r="S1649" t="n">
        <v>58.73</v>
      </c>
      <c r="T1649" s="18">
        <f>1 - V1649/S1649</f>
        <v/>
      </c>
      <c r="U1649" s="18" t="n">
        <v>0.1929292929292928</v>
      </c>
      <c r="V1649" s="26" t="n">
        <v>50.78389830508475</v>
      </c>
      <c r="W1649" s="26">
        <f>V1649 - L1649</f>
        <v/>
      </c>
    </row>
    <row r="1650">
      <c r="A1650" s="11" t="n">
        <v>46220</v>
      </c>
      <c r="B1650" s="1" t="n">
        <v>20049</v>
      </c>
      <c r="C1650" s="1" t="inlineStr">
        <is>
          <t>801</t>
        </is>
      </c>
      <c r="D1650" s="1" t="inlineStr">
        <is>
          <t xml:space="preserve">6082  </t>
        </is>
      </c>
      <c r="E1650" s="1" t="inlineStr">
        <is>
          <t xml:space="preserve">29235706       </t>
        </is>
      </c>
      <c r="F1650" s="5" t="inlineStr">
        <is>
          <t>TEAMSTERZ CAMION PARA GUARDAR 12 AUTOS INCL 4 AUTO</t>
        </is>
      </c>
      <c r="G1650" t="n">
        <v>1</v>
      </c>
      <c r="H1650" s="7" t="n">
        <v>59.9</v>
      </c>
      <c r="I1650" s="7" t="n">
        <v>0</v>
      </c>
      <c r="J1650" s="7" t="n">
        <v>0</v>
      </c>
      <c r="K1650" s="9" t="n">
        <v>0</v>
      </c>
      <c r="L1650" s="10" t="n">
        <v>35.53</v>
      </c>
      <c r="M1650" s="10" t="n">
        <v>1.43</v>
      </c>
      <c r="N1650" t="inlineStr">
        <is>
          <t>1</t>
        </is>
      </c>
      <c r="O1650" t="inlineStr">
        <is>
          <t>16</t>
        </is>
      </c>
      <c r="P1650" t="inlineStr">
        <is>
          <t xml:space="preserve">0       </t>
        </is>
      </c>
      <c r="Q1650" s="26" t="n">
        <v>59.90000000000001</v>
      </c>
      <c r="R1650" s="26">
        <f>Q1650*G1650</f>
        <v/>
      </c>
      <c r="S1650" t="n">
        <v>35.53</v>
      </c>
      <c r="T1650" s="18">
        <f>1 - V1650/S1650</f>
        <v/>
      </c>
      <c r="U1650" s="18" t="n">
        <v>0</v>
      </c>
      <c r="V1650" s="26" t="n">
        <v>35.53</v>
      </c>
      <c r="W1650" s="26">
        <f>V1650 - L1650</f>
        <v/>
      </c>
    </row>
    <row r="1651">
      <c r="A1651" s="11" t="n">
        <v>46220</v>
      </c>
      <c r="B1651" s="1" t="n">
        <v>20049</v>
      </c>
      <c r="C1651" s="1" t="inlineStr">
        <is>
          <t>801</t>
        </is>
      </c>
      <c r="D1651" s="1" t="inlineStr">
        <is>
          <t xml:space="preserve">6083  </t>
        </is>
      </c>
      <c r="E1651" s="1" t="inlineStr">
        <is>
          <t xml:space="preserve">32457111       </t>
        </is>
      </c>
      <c r="F1651" s="5" t="inlineStr">
        <is>
          <t>TMZ BEAST MACHINES MONSTER JAWS A FRICCION PACK DE</t>
        </is>
      </c>
      <c r="G1651" t="n">
        <v>1</v>
      </c>
      <c r="H1651" s="7" t="n">
        <v>54.9</v>
      </c>
      <c r="I1651" s="7" t="n">
        <v>0</v>
      </c>
      <c r="J1651" s="7" t="n">
        <v>0</v>
      </c>
      <c r="K1651" s="9" t="n">
        <v>0</v>
      </c>
      <c r="L1651" s="10" t="n">
        <v>32.57</v>
      </c>
      <c r="M1651" s="10" t="n">
        <v>1.43</v>
      </c>
      <c r="N1651" t="inlineStr">
        <is>
          <t>1</t>
        </is>
      </c>
      <c r="O1651" t="inlineStr">
        <is>
          <t>16</t>
        </is>
      </c>
      <c r="P1651" t="inlineStr">
        <is>
          <t xml:space="preserve">0       </t>
        </is>
      </c>
      <c r="Q1651" s="26" t="n">
        <v>74.90000000000001</v>
      </c>
      <c r="R1651" s="26">
        <f>Q1651*G1651</f>
        <v/>
      </c>
      <c r="S1651" t="n">
        <v>44.43</v>
      </c>
      <c r="T1651" s="18">
        <f>1 - V1651/S1651</f>
        <v/>
      </c>
      <c r="U1651" s="18" t="n">
        <v>0.2670226969292391</v>
      </c>
      <c r="V1651" s="26" t="n">
        <v>31.92406779661017</v>
      </c>
      <c r="W1651" s="26">
        <f>V1651 - L1651</f>
        <v/>
      </c>
    </row>
    <row r="1652">
      <c r="A1652" s="11" t="n">
        <v>46220</v>
      </c>
      <c r="B1652" s="1" t="n">
        <v>20056</v>
      </c>
      <c r="C1652" s="1" t="inlineStr">
        <is>
          <t>022</t>
        </is>
      </c>
      <c r="D1652" s="1" t="inlineStr">
        <is>
          <t xml:space="preserve">55074 </t>
        </is>
      </c>
      <c r="E1652" s="1" t="inlineStr">
        <is>
          <t xml:space="preserve">28194769       </t>
        </is>
      </c>
      <c r="F1652" s="5" t="inlineStr">
        <is>
          <t>AUTOS DE METAL 3 TEAMSTERZ PACK DE 2</t>
        </is>
      </c>
      <c r="G1652" t="n">
        <v>1</v>
      </c>
      <c r="H1652" s="7" t="n">
        <v>13.8</v>
      </c>
      <c r="I1652" s="7" t="n">
        <v>0</v>
      </c>
      <c r="J1652" s="7" t="n">
        <v>0</v>
      </c>
      <c r="K1652" s="9" t="n">
        <v>0</v>
      </c>
      <c r="L1652" s="10" t="n">
        <v>8.18</v>
      </c>
      <c r="M1652" s="10" t="n">
        <v>1.43</v>
      </c>
      <c r="N1652" t="inlineStr">
        <is>
          <t>1</t>
        </is>
      </c>
      <c r="O1652" t="inlineStr">
        <is>
          <t xml:space="preserve">2 </t>
        </is>
      </c>
      <c r="P1652" t="inlineStr">
        <is>
          <t xml:space="preserve">246478  </t>
        </is>
      </c>
      <c r="Q1652" s="26" t="n">
        <v>13.8</v>
      </c>
      <c r="R1652" s="26">
        <f>Q1652*G1652</f>
        <v/>
      </c>
      <c r="S1652" t="n">
        <v>8.19</v>
      </c>
      <c r="T1652" s="18">
        <f>1 - V1652/S1652</f>
        <v/>
      </c>
      <c r="U1652" s="18" t="n">
        <v>0</v>
      </c>
      <c r="V1652" s="26" t="n">
        <v>8.19</v>
      </c>
      <c r="W1652" s="26">
        <f>V1652 - L1652</f>
        <v/>
      </c>
    </row>
    <row r="1653">
      <c r="A1653" s="11" t="n">
        <v>46220</v>
      </c>
      <c r="B1653" s="1" t="n">
        <v>20056</v>
      </c>
      <c r="C1653" s="1" t="inlineStr">
        <is>
          <t>024</t>
        </is>
      </c>
      <c r="D1653" s="1" t="inlineStr">
        <is>
          <t xml:space="preserve">10415 </t>
        </is>
      </c>
      <c r="E1653" s="1" t="inlineStr">
        <is>
          <t xml:space="preserve">28194769       </t>
        </is>
      </c>
      <c r="F1653" s="5" t="inlineStr">
        <is>
          <t>AUTOS DE METAL 3 TEAMSTERZ PACK DE 2</t>
        </is>
      </c>
      <c r="G1653" t="n">
        <v>1</v>
      </c>
      <c r="H1653" s="7" t="n">
        <v>13.8</v>
      </c>
      <c r="I1653" s="7" t="n">
        <v>1.38</v>
      </c>
      <c r="J1653" s="7" t="n">
        <v>0</v>
      </c>
      <c r="K1653" s="9" t="n">
        <v>1.38</v>
      </c>
      <c r="L1653" s="10" t="n">
        <v>7.37</v>
      </c>
      <c r="M1653" s="10" t="n">
        <v>1.43</v>
      </c>
      <c r="N1653" t="inlineStr">
        <is>
          <t>1</t>
        </is>
      </c>
      <c r="O1653" t="inlineStr">
        <is>
          <t>16</t>
        </is>
      </c>
      <c r="P1653" t="inlineStr">
        <is>
          <t xml:space="preserve">241325  </t>
        </is>
      </c>
      <c r="Q1653" s="26" t="n">
        <v>13.8</v>
      </c>
      <c r="R1653" s="26">
        <f>Q1653*G1653</f>
        <v/>
      </c>
      <c r="S1653" t="n">
        <v>8.19</v>
      </c>
      <c r="T1653" s="18">
        <f>1 - V1653/S1653</f>
        <v/>
      </c>
      <c r="U1653" s="18" t="n">
        <v>0</v>
      </c>
      <c r="V1653" s="26" t="n">
        <v>8.19</v>
      </c>
      <c r="W1653" s="26">
        <f>V1653 - L1653</f>
        <v/>
      </c>
    </row>
    <row r="1654">
      <c r="A1654" s="11" t="n">
        <v>46220</v>
      </c>
      <c r="B1654" s="1" t="n">
        <v>20056</v>
      </c>
      <c r="C1654" s="1" t="inlineStr">
        <is>
          <t>516</t>
        </is>
      </c>
      <c r="D1654" s="1" t="inlineStr">
        <is>
          <t xml:space="preserve">4195  </t>
        </is>
      </c>
      <c r="E1654" s="1" t="inlineStr">
        <is>
          <t xml:space="preserve">28194781       </t>
        </is>
      </c>
      <c r="F1654" s="5" t="inlineStr">
        <is>
          <t>TROMPO BATALLA INFINITY NADO SERIE V CLASICA SURTI</t>
        </is>
      </c>
      <c r="G1654" t="n">
        <v>1</v>
      </c>
      <c r="H1654" s="7" t="n">
        <v>39.9</v>
      </c>
      <c r="I1654" s="7" t="n">
        <v>0</v>
      </c>
      <c r="J1654" s="7" t="n">
        <v>0</v>
      </c>
      <c r="K1654" s="9" t="n">
        <v>0</v>
      </c>
      <c r="L1654" s="10" t="n">
        <v>23.67</v>
      </c>
      <c r="M1654" s="10" t="n">
        <v>1.43</v>
      </c>
      <c r="N1654" t="inlineStr">
        <is>
          <t>1</t>
        </is>
      </c>
      <c r="O1654" t="inlineStr">
        <is>
          <t>16</t>
        </is>
      </c>
      <c r="P1654" t="inlineStr">
        <is>
          <t xml:space="preserve">241220  </t>
        </is>
      </c>
      <c r="Q1654" s="26" t="n">
        <v>59.9</v>
      </c>
      <c r="R1654" s="26">
        <f>Q1654*G1654</f>
        <v/>
      </c>
      <c r="S1654" t="n">
        <v>35.53</v>
      </c>
      <c r="T1654" s="18">
        <f>1 - V1654/S1654</f>
        <v/>
      </c>
      <c r="U1654" s="18" t="n">
        <v>0.333889816360601</v>
      </c>
      <c r="V1654" s="26" t="n">
        <v>25.36016949152542</v>
      </c>
      <c r="W1654" s="26">
        <f>V1654 - L1654</f>
        <v/>
      </c>
    </row>
    <row r="1655">
      <c r="A1655" s="11" t="n">
        <v>46220</v>
      </c>
      <c r="B1655" s="1" t="n">
        <v>20057</v>
      </c>
      <c r="C1655" s="1" t="inlineStr">
        <is>
          <t>020</t>
        </is>
      </c>
      <c r="D1655" s="1" t="inlineStr">
        <is>
          <t xml:space="preserve">40088 </t>
        </is>
      </c>
      <c r="E1655" s="1" t="inlineStr">
        <is>
          <t xml:space="preserve">34840525       </t>
        </is>
      </c>
      <c r="F1655" s="5" t="inlineStr">
        <is>
          <t>NENUCO VAMOS DE PASEO</t>
        </is>
      </c>
      <c r="G1655" t="n">
        <v>1</v>
      </c>
      <c r="H1655" s="7" t="n">
        <v>79.90000000000001</v>
      </c>
      <c r="I1655" s="7" t="n">
        <v>0</v>
      </c>
      <c r="J1655" s="7" t="n">
        <v>0</v>
      </c>
      <c r="K1655" s="9" t="n">
        <v>0</v>
      </c>
      <c r="L1655" s="10" t="n">
        <v>47.4</v>
      </c>
      <c r="M1655" s="10" t="n">
        <v>1.43</v>
      </c>
      <c r="N1655" t="inlineStr">
        <is>
          <t>1</t>
        </is>
      </c>
      <c r="O1655" t="inlineStr">
        <is>
          <t>16</t>
        </is>
      </c>
      <c r="P1655" t="inlineStr">
        <is>
          <t xml:space="preserve">241530  </t>
        </is>
      </c>
      <c r="Q1655" s="26" t="n">
        <v>99</v>
      </c>
      <c r="R1655" s="26">
        <f>Q1655*G1655</f>
        <v/>
      </c>
      <c r="S1655" t="n">
        <v>58.73</v>
      </c>
      <c r="T1655" s="18">
        <f>1 - V1655/S1655</f>
        <v/>
      </c>
      <c r="U1655" s="18" t="n">
        <v>0.1929292929292928</v>
      </c>
      <c r="V1655" s="26" t="n">
        <v>50.78389830508475</v>
      </c>
      <c r="W1655" s="26">
        <f>V1655 - L1655</f>
        <v/>
      </c>
    </row>
    <row r="1656">
      <c r="A1656" s="11" t="n">
        <v>46220</v>
      </c>
      <c r="B1656" s="1" t="n">
        <v>20057</v>
      </c>
      <c r="C1656" s="1" t="inlineStr">
        <is>
          <t>032</t>
        </is>
      </c>
      <c r="D1656" s="1" t="inlineStr">
        <is>
          <t xml:space="preserve">75015 </t>
        </is>
      </c>
      <c r="E1656" s="1" t="inlineStr">
        <is>
          <t xml:space="preserve">32457111       </t>
        </is>
      </c>
      <c r="F1656" s="5" t="inlineStr">
        <is>
          <t>TMZ BEAST MACHINES MONSTER JAWS A FRICCION PACK DE</t>
        </is>
      </c>
      <c r="G1656" t="n">
        <v>1</v>
      </c>
      <c r="H1656" s="7" t="n">
        <v>54.9</v>
      </c>
      <c r="I1656" s="7" t="n">
        <v>0</v>
      </c>
      <c r="J1656" s="7" t="n">
        <v>0</v>
      </c>
      <c r="K1656" s="9" t="n">
        <v>0</v>
      </c>
      <c r="L1656" s="10" t="n">
        <v>32.57</v>
      </c>
      <c r="M1656" s="10" t="n">
        <v>1.43</v>
      </c>
      <c r="N1656" t="inlineStr">
        <is>
          <t>1</t>
        </is>
      </c>
      <c r="O1656" t="inlineStr">
        <is>
          <t>16</t>
        </is>
      </c>
      <c r="P1656" t="inlineStr">
        <is>
          <t xml:space="preserve">243704  </t>
        </is>
      </c>
      <c r="Q1656" s="26" t="n">
        <v>74.90000000000001</v>
      </c>
      <c r="R1656" s="26">
        <f>Q1656*G1656</f>
        <v/>
      </c>
      <c r="S1656" t="n">
        <v>44.43</v>
      </c>
      <c r="T1656" s="18">
        <f>1 - V1656/S1656</f>
        <v/>
      </c>
      <c r="U1656" s="18" t="n">
        <v>0.2670226969292391</v>
      </c>
      <c r="V1656" s="26" t="n">
        <v>31.92406779661017</v>
      </c>
      <c r="W1656" s="26">
        <f>V1656 - L1656</f>
        <v/>
      </c>
    </row>
    <row r="1657">
      <c r="A1657" s="11" t="n">
        <v>46220</v>
      </c>
      <c r="B1657" s="1" t="n">
        <v>20057</v>
      </c>
      <c r="C1657" s="1" t="inlineStr">
        <is>
          <t>032</t>
        </is>
      </c>
      <c r="D1657" s="1" t="inlineStr">
        <is>
          <t xml:space="preserve">75021 </t>
        </is>
      </c>
      <c r="E1657" s="1" t="inlineStr">
        <is>
          <t xml:space="preserve">28194770       </t>
        </is>
      </c>
      <c r="F1657" s="5" t="inlineStr">
        <is>
          <t>AUTOS DE METAL 3 TEAMSTERZ EN BLISTER</t>
        </is>
      </c>
      <c r="G1657" t="n">
        <v>1</v>
      </c>
      <c r="H1657" s="7" t="n">
        <v>6.9</v>
      </c>
      <c r="I1657" s="7" t="n">
        <v>0</v>
      </c>
      <c r="J1657" s="7" t="n">
        <v>0</v>
      </c>
      <c r="K1657" s="9" t="n">
        <v>0</v>
      </c>
      <c r="L1657" s="10" t="n">
        <v>4.1</v>
      </c>
      <c r="M1657" s="10" t="n">
        <v>1.43</v>
      </c>
      <c r="N1657" t="inlineStr">
        <is>
          <t>1</t>
        </is>
      </c>
      <c r="O1657" t="inlineStr">
        <is>
          <t>16</t>
        </is>
      </c>
      <c r="P1657" t="inlineStr">
        <is>
          <t xml:space="preserve">243704  </t>
        </is>
      </c>
      <c r="Q1657" s="26" t="n">
        <v>6.9</v>
      </c>
      <c r="R1657" s="26">
        <f>Q1657*G1657</f>
        <v/>
      </c>
      <c r="S1657" t="n">
        <v>4.09</v>
      </c>
      <c r="T1657" s="18">
        <f>1 - V1657/S1657</f>
        <v/>
      </c>
      <c r="U1657" s="18" t="n">
        <v>0</v>
      </c>
      <c r="V1657" s="26" t="n">
        <v>4.09</v>
      </c>
      <c r="W1657" s="26">
        <f>V1657 - L1657</f>
        <v/>
      </c>
    </row>
    <row r="1658">
      <c r="A1658" s="11" t="n">
        <v>46220</v>
      </c>
      <c r="B1658" s="1" t="n">
        <v>20057</v>
      </c>
      <c r="C1658" s="1" t="inlineStr">
        <is>
          <t>032</t>
        </is>
      </c>
      <c r="D1658" s="1" t="inlineStr">
        <is>
          <t xml:space="preserve">75081 </t>
        </is>
      </c>
      <c r="E1658" s="1" t="inlineStr">
        <is>
          <t xml:space="preserve">32457103       </t>
        </is>
      </c>
      <c r="F1658" s="5" t="inlineStr">
        <is>
          <t>TMZ BEAST MACHINES MONSTER JAWS A FRICCION PACK DE</t>
        </is>
      </c>
      <c r="G1658" t="n">
        <v>1</v>
      </c>
      <c r="H1658" s="7" t="n">
        <v>32.9</v>
      </c>
      <c r="I1658" s="7" t="n">
        <v>0</v>
      </c>
      <c r="J1658" s="7" t="n">
        <v>0</v>
      </c>
      <c r="K1658" s="9" t="n">
        <v>0</v>
      </c>
      <c r="L1658" s="10" t="n">
        <v>19.52</v>
      </c>
      <c r="M1658" s="10" t="n">
        <v>1.43</v>
      </c>
      <c r="N1658" t="inlineStr">
        <is>
          <t>1</t>
        </is>
      </c>
      <c r="O1658" t="inlineStr">
        <is>
          <t>16</t>
        </is>
      </c>
      <c r="P1658" t="inlineStr">
        <is>
          <t xml:space="preserve">243704  </t>
        </is>
      </c>
      <c r="Q1658" s="26" t="n">
        <v>37.9</v>
      </c>
      <c r="R1658" s="26">
        <f>Q1658*G1658</f>
        <v/>
      </c>
      <c r="S1658" t="n">
        <v>22.48</v>
      </c>
      <c r="T1658" s="18">
        <f>1 - V1658/S1658</f>
        <v/>
      </c>
      <c r="U1658" s="18" t="n">
        <v>0.1319261213720316</v>
      </c>
      <c r="V1658" s="26" t="n">
        <v>16.75101694915254</v>
      </c>
      <c r="W1658" s="26">
        <f>V1658 - L1658</f>
        <v/>
      </c>
    </row>
    <row r="1659">
      <c r="A1659" s="11" t="n">
        <v>46220</v>
      </c>
      <c r="B1659" s="1" t="n">
        <v>20057</v>
      </c>
      <c r="C1659" s="1" t="inlineStr">
        <is>
          <t>032</t>
        </is>
      </c>
      <c r="D1659" s="1" t="inlineStr">
        <is>
          <t xml:space="preserve">75082 </t>
        </is>
      </c>
      <c r="E1659" s="1" t="inlineStr">
        <is>
          <t xml:space="preserve">28194769       </t>
        </is>
      </c>
      <c r="F1659" s="5" t="inlineStr">
        <is>
          <t>AUTOS DE METAL 3 TEAMSTERZ PACK DE 2</t>
        </is>
      </c>
      <c r="G1659" t="n">
        <v>1</v>
      </c>
      <c r="H1659" s="7" t="n">
        <v>13.8</v>
      </c>
      <c r="I1659" s="7" t="n">
        <v>1.38</v>
      </c>
      <c r="J1659" s="7" t="n">
        <v>0</v>
      </c>
      <c r="K1659" s="9" t="n">
        <v>1.38</v>
      </c>
      <c r="L1659" s="10" t="n">
        <v>7.37</v>
      </c>
      <c r="M1659" s="10" t="n">
        <v>1.43</v>
      </c>
      <c r="N1659" t="inlineStr">
        <is>
          <t>1</t>
        </is>
      </c>
      <c r="O1659" t="inlineStr">
        <is>
          <t xml:space="preserve">3 </t>
        </is>
      </c>
      <c r="P1659" t="inlineStr">
        <is>
          <t xml:space="preserve">243704  </t>
        </is>
      </c>
      <c r="Q1659" s="26" t="n">
        <v>13.8</v>
      </c>
      <c r="R1659" s="26">
        <f>Q1659*G1659</f>
        <v/>
      </c>
      <c r="S1659" t="n">
        <v>8.19</v>
      </c>
      <c r="T1659" s="18">
        <f>1 - V1659/S1659</f>
        <v/>
      </c>
      <c r="U1659" s="18" t="n">
        <v>0</v>
      </c>
      <c r="V1659" s="26" t="n">
        <v>8.19</v>
      </c>
      <c r="W1659" s="26">
        <f>V1659 - L1659</f>
        <v/>
      </c>
    </row>
    <row r="1660">
      <c r="A1660" s="11" t="n">
        <v>46220</v>
      </c>
      <c r="B1660" s="1" t="n">
        <v>20057</v>
      </c>
      <c r="C1660" s="1" t="inlineStr">
        <is>
          <t>033</t>
        </is>
      </c>
      <c r="D1660" s="1" t="inlineStr">
        <is>
          <t xml:space="preserve">67292 </t>
        </is>
      </c>
      <c r="E1660" s="1" t="inlineStr">
        <is>
          <t xml:space="preserve">28194770       </t>
        </is>
      </c>
      <c r="F1660" s="5" t="inlineStr">
        <is>
          <t>AUTOS DE METAL 3 TEAMSTERZ EN BLISTER</t>
        </is>
      </c>
      <c r="G1660" t="n">
        <v>1</v>
      </c>
      <c r="H1660" s="7" t="n">
        <v>6.9</v>
      </c>
      <c r="I1660" s="7" t="n">
        <v>0.6899999999999999</v>
      </c>
      <c r="J1660" s="7" t="n">
        <v>0</v>
      </c>
      <c r="K1660" s="9" t="n">
        <v>0.6899999999999999</v>
      </c>
      <c r="L1660" s="10" t="n">
        <v>3.68</v>
      </c>
      <c r="M1660" s="10" t="n">
        <v>1.43</v>
      </c>
      <c r="N1660" t="inlineStr">
        <is>
          <t>1</t>
        </is>
      </c>
      <c r="O1660" t="inlineStr">
        <is>
          <t xml:space="preserve">3 </t>
        </is>
      </c>
      <c r="P1660" t="inlineStr">
        <is>
          <t xml:space="preserve">250522  </t>
        </is>
      </c>
      <c r="Q1660" s="26" t="n">
        <v>6.9</v>
      </c>
      <c r="R1660" s="26">
        <f>Q1660*G1660</f>
        <v/>
      </c>
      <c r="S1660" t="n">
        <v>4.09</v>
      </c>
      <c r="T1660" s="18">
        <f>1 - V1660/S1660</f>
        <v/>
      </c>
      <c r="U1660" s="18" t="n">
        <v>0</v>
      </c>
      <c r="V1660" s="26" t="n">
        <v>4.09</v>
      </c>
      <c r="W1660" s="26">
        <f>V1660 - L1660</f>
        <v/>
      </c>
    </row>
    <row r="1661">
      <c r="A1661" s="11" t="n">
        <v>46220</v>
      </c>
      <c r="B1661" s="1" t="n">
        <v>20057</v>
      </c>
      <c r="C1661" s="1" t="inlineStr">
        <is>
          <t>033</t>
        </is>
      </c>
      <c r="D1661" s="1" t="inlineStr">
        <is>
          <t xml:space="preserve">67292 </t>
        </is>
      </c>
      <c r="E1661" s="1" t="inlineStr">
        <is>
          <t xml:space="preserve">28194770       </t>
        </is>
      </c>
      <c r="F1661" s="5" t="inlineStr">
        <is>
          <t>AUTOS DE METAL 3 TEAMSTERZ EN BLISTER</t>
        </is>
      </c>
      <c r="G1661" t="n">
        <v>1</v>
      </c>
      <c r="H1661" s="7" t="n">
        <v>6.9</v>
      </c>
      <c r="I1661" s="7" t="n">
        <v>0.6899999999999999</v>
      </c>
      <c r="J1661" s="7" t="n">
        <v>0</v>
      </c>
      <c r="K1661" s="9" t="n">
        <v>0.6899999999999999</v>
      </c>
      <c r="L1661" s="10" t="n">
        <v>3.68</v>
      </c>
      <c r="M1661" s="10" t="n">
        <v>1.43</v>
      </c>
      <c r="N1661" t="inlineStr">
        <is>
          <t>1</t>
        </is>
      </c>
      <c r="O1661" t="inlineStr">
        <is>
          <t xml:space="preserve">3 </t>
        </is>
      </c>
      <c r="P1661" t="inlineStr">
        <is>
          <t xml:space="preserve">250522  </t>
        </is>
      </c>
      <c r="Q1661" s="26" t="n">
        <v>6.9</v>
      </c>
      <c r="R1661" s="26">
        <f>Q1661*G1661</f>
        <v/>
      </c>
      <c r="S1661" t="n">
        <v>4.09</v>
      </c>
      <c r="T1661" s="18">
        <f>1 - V1661/S1661</f>
        <v/>
      </c>
      <c r="U1661" s="18" t="n">
        <v>0</v>
      </c>
      <c r="V1661" s="26" t="n">
        <v>4.09</v>
      </c>
      <c r="W1661" s="26">
        <f>V1661 - L1661</f>
        <v/>
      </c>
    </row>
    <row r="1662">
      <c r="A1662" s="11" t="n">
        <v>46220</v>
      </c>
      <c r="B1662" s="1" t="n">
        <v>20057</v>
      </c>
      <c r="C1662" s="1" t="inlineStr">
        <is>
          <t>033</t>
        </is>
      </c>
      <c r="D1662" s="1" t="inlineStr">
        <is>
          <t xml:space="preserve">67294 </t>
        </is>
      </c>
      <c r="E1662" s="1" t="inlineStr">
        <is>
          <t xml:space="preserve">28194770       </t>
        </is>
      </c>
      <c r="F1662" s="5" t="inlineStr">
        <is>
          <t>AUTOS DE METAL 3 TEAMSTERZ EN BLISTER</t>
        </is>
      </c>
      <c r="G1662" t="n">
        <v>1</v>
      </c>
      <c r="H1662" s="7" t="n">
        <v>6.9</v>
      </c>
      <c r="I1662" s="7" t="n">
        <v>0.6899999999999999</v>
      </c>
      <c r="J1662" s="7" t="n">
        <v>0</v>
      </c>
      <c r="K1662" s="9" t="n">
        <v>0.6899999999999999</v>
      </c>
      <c r="L1662" s="10" t="n">
        <v>3.68</v>
      </c>
      <c r="M1662" s="10" t="n">
        <v>1.43</v>
      </c>
      <c r="N1662" t="inlineStr">
        <is>
          <t>1</t>
        </is>
      </c>
      <c r="O1662" t="inlineStr">
        <is>
          <t xml:space="preserve">3 </t>
        </is>
      </c>
      <c r="P1662" t="inlineStr">
        <is>
          <t xml:space="preserve">250522  </t>
        </is>
      </c>
      <c r="Q1662" s="26" t="n">
        <v>6.9</v>
      </c>
      <c r="R1662" s="26">
        <f>Q1662*G1662</f>
        <v/>
      </c>
      <c r="S1662" t="n">
        <v>4.09</v>
      </c>
      <c r="T1662" s="18">
        <f>1 - V1662/S1662</f>
        <v/>
      </c>
      <c r="U1662" s="18" t="n">
        <v>0</v>
      </c>
      <c r="V1662" s="26" t="n">
        <v>4.09</v>
      </c>
      <c r="W1662" s="26">
        <f>V1662 - L1662</f>
        <v/>
      </c>
    </row>
    <row r="1663">
      <c r="A1663" s="11" t="n">
        <v>46220</v>
      </c>
      <c r="B1663" s="1" t="n">
        <v>20057</v>
      </c>
      <c r="C1663" s="1" t="inlineStr">
        <is>
          <t>033</t>
        </is>
      </c>
      <c r="D1663" s="1" t="inlineStr">
        <is>
          <t xml:space="preserve">67294 </t>
        </is>
      </c>
      <c r="E1663" s="1" t="inlineStr">
        <is>
          <t xml:space="preserve">28194770       </t>
        </is>
      </c>
      <c r="F1663" s="5" t="inlineStr">
        <is>
          <t>AUTOS DE METAL 3 TEAMSTERZ EN BLISTER</t>
        </is>
      </c>
      <c r="G1663" t="n">
        <v>1</v>
      </c>
      <c r="H1663" s="7" t="n">
        <v>6.9</v>
      </c>
      <c r="I1663" s="7" t="n">
        <v>0.6899999999999999</v>
      </c>
      <c r="J1663" s="7" t="n">
        <v>0</v>
      </c>
      <c r="K1663" s="9" t="n">
        <v>0.6899999999999999</v>
      </c>
      <c r="L1663" s="10" t="n">
        <v>3.68</v>
      </c>
      <c r="M1663" s="10" t="n">
        <v>1.43</v>
      </c>
      <c r="N1663" t="inlineStr">
        <is>
          <t>1</t>
        </is>
      </c>
      <c r="O1663" t="inlineStr">
        <is>
          <t xml:space="preserve">3 </t>
        </is>
      </c>
      <c r="P1663" t="inlineStr">
        <is>
          <t xml:space="preserve">250522  </t>
        </is>
      </c>
      <c r="Q1663" s="26" t="n">
        <v>6.9</v>
      </c>
      <c r="R1663" s="26">
        <f>Q1663*G1663</f>
        <v/>
      </c>
      <c r="S1663" t="n">
        <v>4.09</v>
      </c>
      <c r="T1663" s="18">
        <f>1 - V1663/S1663</f>
        <v/>
      </c>
      <c r="U1663" s="18" t="n">
        <v>0</v>
      </c>
      <c r="V1663" s="26" t="n">
        <v>4.09</v>
      </c>
      <c r="W1663" s="26">
        <f>V1663 - L1663</f>
        <v/>
      </c>
    </row>
    <row r="1664">
      <c r="A1664" s="11" t="n">
        <v>46220</v>
      </c>
      <c r="B1664" s="1" t="n">
        <v>20057</v>
      </c>
      <c r="C1664" s="1" t="inlineStr">
        <is>
          <t>033</t>
        </is>
      </c>
      <c r="D1664" s="1" t="inlineStr">
        <is>
          <t xml:space="preserve">67297 </t>
        </is>
      </c>
      <c r="E1664" s="1" t="inlineStr">
        <is>
          <t xml:space="preserve">28194770       </t>
        </is>
      </c>
      <c r="F1664" s="5" t="inlineStr">
        <is>
          <t>AUTOS DE METAL 3 TEAMSTERZ EN BLISTER</t>
        </is>
      </c>
      <c r="G1664" t="n">
        <v>1</v>
      </c>
      <c r="H1664" s="7" t="n">
        <v>6.9</v>
      </c>
      <c r="I1664" s="7" t="n">
        <v>0</v>
      </c>
      <c r="J1664" s="7" t="n">
        <v>0</v>
      </c>
      <c r="K1664" s="9" t="n">
        <v>0</v>
      </c>
      <c r="L1664" s="10" t="n">
        <v>4.1</v>
      </c>
      <c r="M1664" s="10" t="n">
        <v>1.43</v>
      </c>
      <c r="N1664" t="inlineStr">
        <is>
          <t>1</t>
        </is>
      </c>
      <c r="O1664" t="inlineStr">
        <is>
          <t>16</t>
        </is>
      </c>
      <c r="P1664" t="inlineStr">
        <is>
          <t xml:space="preserve">250522  </t>
        </is>
      </c>
      <c r="Q1664" s="26" t="n">
        <v>6.9</v>
      </c>
      <c r="R1664" s="26">
        <f>Q1664*G1664</f>
        <v/>
      </c>
      <c r="S1664" t="n">
        <v>4.09</v>
      </c>
      <c r="T1664" s="18">
        <f>1 - V1664/S1664</f>
        <v/>
      </c>
      <c r="U1664" s="18" t="n">
        <v>0</v>
      </c>
      <c r="V1664" s="26" t="n">
        <v>4.09</v>
      </c>
      <c r="W1664" s="26">
        <f>V1664 - L1664</f>
        <v/>
      </c>
    </row>
    <row r="1665">
      <c r="A1665" s="11" t="n">
        <v>46220</v>
      </c>
      <c r="B1665" s="1" t="n">
        <v>20057</v>
      </c>
      <c r="C1665" s="1" t="inlineStr">
        <is>
          <t>033</t>
        </is>
      </c>
      <c r="D1665" s="1" t="inlineStr">
        <is>
          <t xml:space="preserve">67297 </t>
        </is>
      </c>
      <c r="E1665" s="1" t="inlineStr">
        <is>
          <t xml:space="preserve">28194770       </t>
        </is>
      </c>
      <c r="F1665" s="5" t="inlineStr">
        <is>
          <t>AUTOS DE METAL 3 TEAMSTERZ EN BLISTER</t>
        </is>
      </c>
      <c r="G1665" t="n">
        <v>1</v>
      </c>
      <c r="H1665" s="7" t="n">
        <v>6.9</v>
      </c>
      <c r="I1665" s="7" t="n">
        <v>0</v>
      </c>
      <c r="J1665" s="7" t="n">
        <v>0</v>
      </c>
      <c r="K1665" s="9" t="n">
        <v>0</v>
      </c>
      <c r="L1665" s="10" t="n">
        <v>4.1</v>
      </c>
      <c r="M1665" s="10" t="n">
        <v>1.43</v>
      </c>
      <c r="N1665" t="inlineStr">
        <is>
          <t>1</t>
        </is>
      </c>
      <c r="O1665" t="inlineStr">
        <is>
          <t>16</t>
        </is>
      </c>
      <c r="P1665" t="inlineStr">
        <is>
          <t xml:space="preserve">250522  </t>
        </is>
      </c>
      <c r="Q1665" s="26" t="n">
        <v>6.9</v>
      </c>
      <c r="R1665" s="26">
        <f>Q1665*G1665</f>
        <v/>
      </c>
      <c r="S1665" t="n">
        <v>4.09</v>
      </c>
      <c r="T1665" s="18">
        <f>1 - V1665/S1665</f>
        <v/>
      </c>
      <c r="U1665" s="18" t="n">
        <v>0</v>
      </c>
      <c r="V1665" s="26" t="n">
        <v>4.09</v>
      </c>
      <c r="W1665" s="26">
        <f>V1665 - L1665</f>
        <v/>
      </c>
    </row>
    <row r="1666">
      <c r="A1666" s="11" t="n">
        <v>46220</v>
      </c>
      <c r="B1666" s="1" t="n">
        <v>20057</v>
      </c>
      <c r="C1666" s="1" t="inlineStr">
        <is>
          <t>033</t>
        </is>
      </c>
      <c r="D1666" s="1" t="inlineStr">
        <is>
          <t xml:space="preserve">67297 </t>
        </is>
      </c>
      <c r="E1666" s="1" t="inlineStr">
        <is>
          <t xml:space="preserve">28194770       </t>
        </is>
      </c>
      <c r="F1666" s="5" t="inlineStr">
        <is>
          <t>AUTOS DE METAL 3 TEAMSTERZ EN BLISTER</t>
        </is>
      </c>
      <c r="G1666" t="n">
        <v>1</v>
      </c>
      <c r="H1666" s="7" t="n">
        <v>6.9</v>
      </c>
      <c r="I1666" s="7" t="n">
        <v>0</v>
      </c>
      <c r="J1666" s="7" t="n">
        <v>0</v>
      </c>
      <c r="K1666" s="9" t="n">
        <v>0</v>
      </c>
      <c r="L1666" s="10" t="n">
        <v>4.1</v>
      </c>
      <c r="M1666" s="10" t="n">
        <v>1.43</v>
      </c>
      <c r="N1666" t="inlineStr">
        <is>
          <t>1</t>
        </is>
      </c>
      <c r="O1666" t="inlineStr">
        <is>
          <t>16</t>
        </is>
      </c>
      <c r="P1666" t="inlineStr">
        <is>
          <t xml:space="preserve">250522  </t>
        </is>
      </c>
      <c r="Q1666" s="26" t="n">
        <v>6.9</v>
      </c>
      <c r="R1666" s="26">
        <f>Q1666*G1666</f>
        <v/>
      </c>
      <c r="S1666" t="n">
        <v>4.09</v>
      </c>
      <c r="T1666" s="18">
        <f>1 - V1666/S1666</f>
        <v/>
      </c>
      <c r="U1666" s="18" t="n">
        <v>0</v>
      </c>
      <c r="V1666" s="26" t="n">
        <v>4.09</v>
      </c>
      <c r="W1666" s="26">
        <f>V1666 - L1666</f>
        <v/>
      </c>
    </row>
    <row r="1667">
      <c r="A1667" s="11" t="n">
        <v>46220</v>
      </c>
      <c r="B1667" s="1" t="n">
        <v>20057</v>
      </c>
      <c r="C1667" s="1" t="inlineStr">
        <is>
          <t>033</t>
        </is>
      </c>
      <c r="D1667" s="1" t="inlineStr">
        <is>
          <t xml:space="preserve">67297 </t>
        </is>
      </c>
      <c r="E1667" s="1" t="inlineStr">
        <is>
          <t xml:space="preserve">28194770       </t>
        </is>
      </c>
      <c r="F1667" s="5" t="inlineStr">
        <is>
          <t>AUTOS DE METAL 3 TEAMSTERZ EN BLISTER</t>
        </is>
      </c>
      <c r="G1667" t="n">
        <v>1</v>
      </c>
      <c r="H1667" s="7" t="n">
        <v>6.9</v>
      </c>
      <c r="I1667" s="7" t="n">
        <v>0</v>
      </c>
      <c r="J1667" s="7" t="n">
        <v>0</v>
      </c>
      <c r="K1667" s="9" t="n">
        <v>0</v>
      </c>
      <c r="L1667" s="10" t="n">
        <v>4.1</v>
      </c>
      <c r="M1667" s="10" t="n">
        <v>1.43</v>
      </c>
      <c r="N1667" t="inlineStr">
        <is>
          <t>1</t>
        </is>
      </c>
      <c r="O1667" t="inlineStr">
        <is>
          <t>16</t>
        </is>
      </c>
      <c r="P1667" t="inlineStr">
        <is>
          <t xml:space="preserve">250522  </t>
        </is>
      </c>
      <c r="Q1667" s="26" t="n">
        <v>6.9</v>
      </c>
      <c r="R1667" s="26">
        <f>Q1667*G1667</f>
        <v/>
      </c>
      <c r="S1667" t="n">
        <v>4.09</v>
      </c>
      <c r="T1667" s="18">
        <f>1 - V1667/S1667</f>
        <v/>
      </c>
      <c r="U1667" s="18" t="n">
        <v>0</v>
      </c>
      <c r="V1667" s="26" t="n">
        <v>4.09</v>
      </c>
      <c r="W1667" s="26">
        <f>V1667 - L1667</f>
        <v/>
      </c>
    </row>
    <row r="1668">
      <c r="A1668" s="11" t="n">
        <v>46220</v>
      </c>
      <c r="B1668" s="1" t="n">
        <v>20057</v>
      </c>
      <c r="C1668" s="1" t="inlineStr">
        <is>
          <t>033</t>
        </is>
      </c>
      <c r="D1668" s="1" t="inlineStr">
        <is>
          <t xml:space="preserve">67297 </t>
        </is>
      </c>
      <c r="E1668" s="1" t="inlineStr">
        <is>
          <t xml:space="preserve">28194770       </t>
        </is>
      </c>
      <c r="F1668" s="5" t="inlineStr">
        <is>
          <t>AUTOS DE METAL 3 TEAMSTERZ EN BLISTER</t>
        </is>
      </c>
      <c r="G1668" t="n">
        <v>1</v>
      </c>
      <c r="H1668" s="7" t="n">
        <v>6.9</v>
      </c>
      <c r="I1668" s="7" t="n">
        <v>0</v>
      </c>
      <c r="J1668" s="7" t="n">
        <v>0</v>
      </c>
      <c r="K1668" s="9" t="n">
        <v>0</v>
      </c>
      <c r="L1668" s="10" t="n">
        <v>4.1</v>
      </c>
      <c r="M1668" s="10" t="n">
        <v>1.43</v>
      </c>
      <c r="N1668" t="inlineStr">
        <is>
          <t>1</t>
        </is>
      </c>
      <c r="O1668" t="inlineStr">
        <is>
          <t>16</t>
        </is>
      </c>
      <c r="P1668" t="inlineStr">
        <is>
          <t xml:space="preserve">250522  </t>
        </is>
      </c>
      <c r="Q1668" s="26" t="n">
        <v>6.9</v>
      </c>
      <c r="R1668" s="26">
        <f>Q1668*G1668</f>
        <v/>
      </c>
      <c r="S1668" t="n">
        <v>4.09</v>
      </c>
      <c r="T1668" s="18">
        <f>1 - V1668/S1668</f>
        <v/>
      </c>
      <c r="U1668" s="18" t="n">
        <v>0</v>
      </c>
      <c r="V1668" s="26" t="n">
        <v>4.09</v>
      </c>
      <c r="W1668" s="26">
        <f>V1668 - L1668</f>
        <v/>
      </c>
    </row>
    <row r="1669">
      <c r="A1669" s="11" t="n">
        <v>46220</v>
      </c>
      <c r="B1669" s="1" t="n">
        <v>20057</v>
      </c>
      <c r="C1669" s="1" t="inlineStr">
        <is>
          <t>033</t>
        </is>
      </c>
      <c r="D1669" s="1" t="inlineStr">
        <is>
          <t xml:space="preserve">67297 </t>
        </is>
      </c>
      <c r="E1669" s="1" t="inlineStr">
        <is>
          <t xml:space="preserve">30141766       </t>
        </is>
      </c>
      <c r="F1669" s="5" t="inlineStr">
        <is>
          <t>TMZ BEAST MACHINES AUTOS DE METAL BLISTER X 1</t>
        </is>
      </c>
      <c r="G1669" t="n">
        <v>1</v>
      </c>
      <c r="H1669" s="7" t="n">
        <v>7.9</v>
      </c>
      <c r="I1669" s="7" t="n">
        <v>0</v>
      </c>
      <c r="J1669" s="7" t="n">
        <v>0</v>
      </c>
      <c r="K1669" s="9" t="n">
        <v>0</v>
      </c>
      <c r="L1669" s="10" t="n">
        <v>4.68</v>
      </c>
      <c r="M1669" s="10" t="n">
        <v>1.43</v>
      </c>
      <c r="N1669" t="inlineStr">
        <is>
          <t>1</t>
        </is>
      </c>
      <c r="O1669" t="inlineStr">
        <is>
          <t>16</t>
        </is>
      </c>
      <c r="P1669" t="inlineStr">
        <is>
          <t xml:space="preserve">250522  </t>
        </is>
      </c>
      <c r="Q1669" s="26" t="n">
        <v>7.9</v>
      </c>
      <c r="R1669" s="26">
        <f>Q1669*G1669</f>
        <v/>
      </c>
      <c r="S1669" t="n">
        <v>4.69</v>
      </c>
      <c r="T1669" s="18">
        <f>1 - V1669/S1669</f>
        <v/>
      </c>
      <c r="U1669" s="18" t="n">
        <v>0</v>
      </c>
      <c r="V1669" s="26" t="n">
        <v>4.69</v>
      </c>
      <c r="W1669" s="26">
        <f>V1669 - L1669</f>
        <v/>
      </c>
    </row>
    <row r="1670">
      <c r="A1670" s="11" t="n">
        <v>46220</v>
      </c>
      <c r="B1670" s="1" t="n">
        <v>20057</v>
      </c>
      <c r="C1670" s="1" t="inlineStr">
        <is>
          <t>033</t>
        </is>
      </c>
      <c r="D1670" s="1" t="inlineStr">
        <is>
          <t xml:space="preserve">67305 </t>
        </is>
      </c>
      <c r="E1670" s="1" t="inlineStr">
        <is>
          <t xml:space="preserve">28194769       </t>
        </is>
      </c>
      <c r="F1670" s="5" t="inlineStr">
        <is>
          <t>AUTOS DE METAL 3 TEAMSTERZ PACK DE 2</t>
        </is>
      </c>
      <c r="G1670" t="n">
        <v>1</v>
      </c>
      <c r="H1670" s="7" t="n">
        <v>13.8</v>
      </c>
      <c r="I1670" s="7" t="n">
        <v>0</v>
      </c>
      <c r="J1670" s="7" t="n">
        <v>0</v>
      </c>
      <c r="K1670" s="9" t="n">
        <v>0</v>
      </c>
      <c r="L1670" s="10" t="n">
        <v>8.18</v>
      </c>
      <c r="M1670" s="10" t="n">
        <v>1.43</v>
      </c>
      <c r="N1670" t="inlineStr">
        <is>
          <t>1</t>
        </is>
      </c>
      <c r="O1670" t="inlineStr">
        <is>
          <t>16</t>
        </is>
      </c>
      <c r="P1670" t="inlineStr">
        <is>
          <t xml:space="preserve">250522  </t>
        </is>
      </c>
      <c r="Q1670" s="26" t="n">
        <v>13.8</v>
      </c>
      <c r="R1670" s="26">
        <f>Q1670*G1670</f>
        <v/>
      </c>
      <c r="S1670" t="n">
        <v>8.19</v>
      </c>
      <c r="T1670" s="18">
        <f>1 - V1670/S1670</f>
        <v/>
      </c>
      <c r="U1670" s="18" t="n">
        <v>0</v>
      </c>
      <c r="V1670" s="26" t="n">
        <v>8.19</v>
      </c>
      <c r="W1670" s="26">
        <f>V1670 - L1670</f>
        <v/>
      </c>
    </row>
    <row r="1671">
      <c r="A1671" s="11" t="n">
        <v>46220</v>
      </c>
      <c r="B1671" s="1" t="n">
        <v>20057</v>
      </c>
      <c r="C1671" s="1" t="inlineStr">
        <is>
          <t>861</t>
        </is>
      </c>
      <c r="D1671" s="1" t="inlineStr">
        <is>
          <t xml:space="preserve">838   </t>
        </is>
      </c>
      <c r="E1671" s="1" t="inlineStr">
        <is>
          <t xml:space="preserve">28194770       </t>
        </is>
      </c>
      <c r="F1671" s="5" t="inlineStr">
        <is>
          <t>AUTOS DE METAL 3 TEAMSTERZ EN BLISTER</t>
        </is>
      </c>
      <c r="G1671" t="n">
        <v>2</v>
      </c>
      <c r="H1671" s="7" t="n">
        <v>13.8</v>
      </c>
      <c r="I1671" s="7" t="n">
        <v>0</v>
      </c>
      <c r="J1671" s="7" t="n">
        <v>0</v>
      </c>
      <c r="K1671" s="9" t="n">
        <v>0</v>
      </c>
      <c r="L1671" s="10" t="n">
        <v>8.18</v>
      </c>
      <c r="M1671" s="10" t="n">
        <v>1.43</v>
      </c>
      <c r="N1671" t="inlineStr">
        <is>
          <t>1</t>
        </is>
      </c>
      <c r="O1671" t="inlineStr">
        <is>
          <t>16</t>
        </is>
      </c>
      <c r="P1671" t="inlineStr">
        <is>
          <t xml:space="preserve">0       </t>
        </is>
      </c>
      <c r="Q1671" s="26" t="n">
        <v>6.9</v>
      </c>
      <c r="R1671" s="26">
        <f>Q1671*G1671</f>
        <v/>
      </c>
      <c r="S1671" t="n">
        <v>8.18</v>
      </c>
      <c r="T1671" s="18">
        <f>1 - V1671/S1671</f>
        <v/>
      </c>
      <c r="U1671" s="18" t="n">
        <v>0</v>
      </c>
      <c r="V1671" s="26" t="n">
        <v>8.18</v>
      </c>
      <c r="W1671" s="26">
        <f>V1671 - L1671</f>
        <v/>
      </c>
    </row>
    <row r="1672">
      <c r="A1672" s="11" t="n">
        <v>46220</v>
      </c>
      <c r="B1672" s="1" t="n">
        <v>20057</v>
      </c>
      <c r="C1672" s="1" t="inlineStr">
        <is>
          <t>861</t>
        </is>
      </c>
      <c r="D1672" s="1" t="inlineStr">
        <is>
          <t xml:space="preserve">838   </t>
        </is>
      </c>
      <c r="E1672" s="1" t="inlineStr">
        <is>
          <t xml:space="preserve">28194770       </t>
        </is>
      </c>
      <c r="F1672" s="5" t="inlineStr">
        <is>
          <t>AUTOS DE METAL 3 TEAMSTERZ EN BLISTER</t>
        </is>
      </c>
      <c r="G1672" t="n">
        <v>2</v>
      </c>
      <c r="H1672" s="7" t="n">
        <v>13.8</v>
      </c>
      <c r="I1672" s="7" t="n">
        <v>0</v>
      </c>
      <c r="J1672" s="7" t="n">
        <v>0</v>
      </c>
      <c r="K1672" s="9" t="n">
        <v>0</v>
      </c>
      <c r="L1672" s="10" t="n">
        <v>8.18</v>
      </c>
      <c r="M1672" s="10" t="n">
        <v>1.43</v>
      </c>
      <c r="N1672" t="inlineStr">
        <is>
          <t>1</t>
        </is>
      </c>
      <c r="O1672" t="inlineStr">
        <is>
          <t>16</t>
        </is>
      </c>
      <c r="P1672" t="inlineStr">
        <is>
          <t xml:space="preserve">0       </t>
        </is>
      </c>
      <c r="Q1672" s="26" t="n">
        <v>6.9</v>
      </c>
      <c r="R1672" s="26">
        <f>Q1672*G1672</f>
        <v/>
      </c>
      <c r="S1672" t="n">
        <v>8.18</v>
      </c>
      <c r="T1672" s="18">
        <f>1 - V1672/S1672</f>
        <v/>
      </c>
      <c r="U1672" s="18" t="n">
        <v>0</v>
      </c>
      <c r="V1672" s="26" t="n">
        <v>8.18</v>
      </c>
      <c r="W1672" s="26">
        <f>V1672 - L1672</f>
        <v/>
      </c>
    </row>
    <row r="1673">
      <c r="A1673" s="11" t="n">
        <v>46220</v>
      </c>
      <c r="B1673" s="1" t="n">
        <v>20057</v>
      </c>
      <c r="C1673" s="1" t="inlineStr">
        <is>
          <t>861</t>
        </is>
      </c>
      <c r="D1673" s="1" t="inlineStr">
        <is>
          <t xml:space="preserve">839   </t>
        </is>
      </c>
      <c r="E1673" s="1" t="inlineStr">
        <is>
          <t xml:space="preserve">28194770       </t>
        </is>
      </c>
      <c r="F1673" s="5" t="inlineStr">
        <is>
          <t>AUTOS DE METAL 3 TEAMSTERZ EN BLISTER</t>
        </is>
      </c>
      <c r="G1673" t="n">
        <v>1</v>
      </c>
      <c r="H1673" s="7" t="n">
        <v>6.9</v>
      </c>
      <c r="I1673" s="7" t="n">
        <v>0</v>
      </c>
      <c r="J1673" s="7" t="n">
        <v>0</v>
      </c>
      <c r="K1673" s="9" t="n">
        <v>0</v>
      </c>
      <c r="L1673" s="10" t="n">
        <v>4.1</v>
      </c>
      <c r="M1673" s="10" t="n">
        <v>1.43</v>
      </c>
      <c r="N1673" t="inlineStr">
        <is>
          <t>1</t>
        </is>
      </c>
      <c r="O1673" t="inlineStr">
        <is>
          <t>16</t>
        </is>
      </c>
      <c r="P1673" t="inlineStr">
        <is>
          <t xml:space="preserve">0       </t>
        </is>
      </c>
      <c r="Q1673" s="26" t="n">
        <v>6.9</v>
      </c>
      <c r="R1673" s="26">
        <f>Q1673*G1673</f>
        <v/>
      </c>
      <c r="S1673" t="n">
        <v>4.09</v>
      </c>
      <c r="T1673" s="18">
        <f>1 - V1673/S1673</f>
        <v/>
      </c>
      <c r="U1673" s="18" t="n">
        <v>0</v>
      </c>
      <c r="V1673" s="26" t="n">
        <v>4.09</v>
      </c>
      <c r="W1673" s="26">
        <f>V1673 - L1673</f>
        <v/>
      </c>
    </row>
    <row r="1674">
      <c r="A1674" s="11" t="n">
        <v>46220</v>
      </c>
      <c r="B1674" s="1" t="n">
        <v>20058</v>
      </c>
      <c r="C1674" s="1" t="inlineStr">
        <is>
          <t>032</t>
        </is>
      </c>
      <c r="D1674" s="1" t="inlineStr">
        <is>
          <t>208106</t>
        </is>
      </c>
      <c r="E1674" s="1" t="inlineStr">
        <is>
          <t xml:space="preserve">28194770       </t>
        </is>
      </c>
      <c r="F1674" s="5" t="inlineStr">
        <is>
          <t>AUTOS DE METAL 3 TEAMSTERZ EN BLISTER</t>
        </is>
      </c>
      <c r="G1674" t="n">
        <v>1</v>
      </c>
      <c r="H1674" s="7" t="n">
        <v>6.9</v>
      </c>
      <c r="I1674" s="7" t="n">
        <v>0</v>
      </c>
      <c r="J1674" s="7" t="n">
        <v>0</v>
      </c>
      <c r="K1674" s="9" t="n">
        <v>0</v>
      </c>
      <c r="L1674" s="10" t="n">
        <v>4.1</v>
      </c>
      <c r="M1674" s="10" t="n">
        <v>1.43</v>
      </c>
      <c r="N1674" t="inlineStr">
        <is>
          <t>1</t>
        </is>
      </c>
      <c r="O1674" t="inlineStr">
        <is>
          <t>16</t>
        </is>
      </c>
      <c r="P1674" t="inlineStr">
        <is>
          <t xml:space="preserve">248289  </t>
        </is>
      </c>
      <c r="Q1674" s="26" t="n">
        <v>6.9</v>
      </c>
      <c r="R1674" s="26">
        <f>Q1674*G1674</f>
        <v/>
      </c>
      <c r="S1674" t="n">
        <v>4.09</v>
      </c>
      <c r="T1674" s="18">
        <f>1 - V1674/S1674</f>
        <v/>
      </c>
      <c r="U1674" s="18" t="n">
        <v>0</v>
      </c>
      <c r="V1674" s="26" t="n">
        <v>4.09</v>
      </c>
      <c r="W1674" s="26">
        <f>V1674 - L1674</f>
        <v/>
      </c>
    </row>
    <row r="1675">
      <c r="A1675" s="11" t="n">
        <v>46220</v>
      </c>
      <c r="B1675" s="1" t="n">
        <v>20058</v>
      </c>
      <c r="C1675" s="1" t="inlineStr">
        <is>
          <t>197</t>
        </is>
      </c>
      <c r="D1675" s="1" t="inlineStr">
        <is>
          <t>170203</t>
        </is>
      </c>
      <c r="E1675" s="1" t="inlineStr">
        <is>
          <t xml:space="preserve">32457105       </t>
        </is>
      </c>
      <c r="F1675" s="5" t="inlineStr">
        <is>
          <t>TMZ BEAST MACHINES MONSTER JAWS ATAQUE ESCORPION +</t>
        </is>
      </c>
      <c r="G1675" t="n">
        <v>1</v>
      </c>
      <c r="H1675" s="7" t="n">
        <v>49.9</v>
      </c>
      <c r="I1675" s="7" t="n">
        <v>0</v>
      </c>
      <c r="J1675" s="7" t="n">
        <v>0</v>
      </c>
      <c r="K1675" s="9" t="n">
        <v>0</v>
      </c>
      <c r="L1675" s="10" t="n">
        <v>29.6</v>
      </c>
      <c r="M1675" s="10" t="n">
        <v>1.43</v>
      </c>
      <c r="N1675" t="inlineStr">
        <is>
          <t>1</t>
        </is>
      </c>
      <c r="O1675" t="inlineStr">
        <is>
          <t xml:space="preserve">2 </t>
        </is>
      </c>
      <c r="P1675" t="inlineStr">
        <is>
          <t xml:space="preserve">247297  </t>
        </is>
      </c>
      <c r="Q1675" s="26" t="n">
        <v>69.90000000000001</v>
      </c>
      <c r="R1675" s="26">
        <f>Q1675*G1675</f>
        <v/>
      </c>
      <c r="S1675" t="n">
        <v>41.47</v>
      </c>
      <c r="T1675" s="18">
        <f>1 - V1675/S1675</f>
        <v/>
      </c>
      <c r="U1675" s="18" t="n">
        <v>0.2861230329041489</v>
      </c>
      <c r="V1675" s="26" t="n">
        <v>31.71610169491525</v>
      </c>
      <c r="W1675" s="26">
        <f>V1675 - L1675</f>
        <v/>
      </c>
    </row>
    <row r="1676">
      <c r="A1676" s="11" t="n">
        <v>46220</v>
      </c>
      <c r="B1676" s="1" t="n">
        <v>20062</v>
      </c>
      <c r="C1676" s="1" t="inlineStr">
        <is>
          <t>053</t>
        </is>
      </c>
      <c r="D1676" s="1" t="inlineStr">
        <is>
          <t>243277</t>
        </is>
      </c>
      <c r="E1676" s="1" t="inlineStr">
        <is>
          <t xml:space="preserve">35685067       </t>
        </is>
      </c>
      <c r="F1676" s="5" t="inlineStr">
        <is>
          <t>HOT WHEELS POWER SET 3 EN 1</t>
        </is>
      </c>
      <c r="G1676" t="n">
        <v>1</v>
      </c>
      <c r="H1676" s="7" t="n">
        <v>49.9</v>
      </c>
      <c r="I1676" s="7" t="n">
        <v>4.99</v>
      </c>
      <c r="J1676" s="7" t="n">
        <v>0</v>
      </c>
      <c r="K1676" s="9" t="n">
        <v>4.99</v>
      </c>
      <c r="L1676" s="10" t="n">
        <v>26.64</v>
      </c>
      <c r="M1676" s="10" t="n">
        <v>1.43</v>
      </c>
      <c r="N1676" t="inlineStr">
        <is>
          <t>1</t>
        </is>
      </c>
      <c r="O1676" t="inlineStr">
        <is>
          <t xml:space="preserve">3 </t>
        </is>
      </c>
      <c r="P1676" t="inlineStr">
        <is>
          <t xml:space="preserve">43458   </t>
        </is>
      </c>
      <c r="Q1676" s="26" t="n">
        <v>49.9</v>
      </c>
      <c r="R1676" s="26">
        <f>Q1676*G1676</f>
        <v/>
      </c>
      <c r="S1676" t="n">
        <v>29.6</v>
      </c>
      <c r="T1676" s="18">
        <f>1 - V1676/S1676</f>
        <v/>
      </c>
      <c r="U1676" s="18" t="n">
        <v>0</v>
      </c>
      <c r="V1676" s="26" t="n">
        <v>29.6</v>
      </c>
      <c r="W1676" s="26">
        <f>V1676 - L1676</f>
        <v/>
      </c>
    </row>
    <row r="1677">
      <c r="A1677" s="11" t="n">
        <v>46220</v>
      </c>
      <c r="B1677" s="1" t="n">
        <v>20066</v>
      </c>
      <c r="C1677" s="1" t="inlineStr">
        <is>
          <t>805</t>
        </is>
      </c>
      <c r="D1677" s="1" t="inlineStr">
        <is>
          <t xml:space="preserve">1789  </t>
        </is>
      </c>
      <c r="E1677" s="1" t="inlineStr">
        <is>
          <t xml:space="preserve">31800856       </t>
        </is>
      </c>
      <c r="F1677" s="5" t="inlineStr">
        <is>
          <t>DART ZONE STORM SQUAD TIRO RAPIDO BLASTER + 25 DAR</t>
        </is>
      </c>
      <c r="G1677" t="n">
        <v>1</v>
      </c>
      <c r="H1677" s="7" t="n">
        <v>14.95</v>
      </c>
      <c r="I1677" s="7" t="n">
        <v>0</v>
      </c>
      <c r="J1677" s="7" t="n">
        <v>0</v>
      </c>
      <c r="K1677" s="9" t="n">
        <v>0</v>
      </c>
      <c r="L1677" s="10" t="n">
        <v>8.869999999999999</v>
      </c>
      <c r="M1677" s="10" t="n">
        <v>1.43</v>
      </c>
      <c r="N1677" t="inlineStr">
        <is>
          <t>1</t>
        </is>
      </c>
      <c r="O1677" t="inlineStr">
        <is>
          <t>16</t>
        </is>
      </c>
      <c r="P1677" t="inlineStr">
        <is>
          <t xml:space="preserve">247448  </t>
        </is>
      </c>
      <c r="Q1677" s="26" t="n">
        <v>29.9</v>
      </c>
      <c r="R1677" s="26">
        <f>Q1677*G1677</f>
        <v/>
      </c>
      <c r="S1677" t="n">
        <v>17.74</v>
      </c>
      <c r="T1677" s="18">
        <f>1 - V1677/S1677</f>
        <v/>
      </c>
      <c r="U1677" s="18" t="n">
        <v>0.5</v>
      </c>
      <c r="V1677" s="26" t="n">
        <v>11.40271186440678</v>
      </c>
      <c r="W1677" s="26">
        <f>V1677 - L1677</f>
        <v/>
      </c>
    </row>
    <row r="1678">
      <c r="A1678" s="11" t="n">
        <v>46220</v>
      </c>
      <c r="B1678" s="1" t="n">
        <v>20069</v>
      </c>
      <c r="C1678" s="1" t="inlineStr">
        <is>
          <t>024</t>
        </is>
      </c>
      <c r="D1678" s="1" t="inlineStr">
        <is>
          <t>104750</t>
        </is>
      </c>
      <c r="E1678" s="1" t="inlineStr">
        <is>
          <t xml:space="preserve">28194770       </t>
        </is>
      </c>
      <c r="F1678" s="5" t="inlineStr">
        <is>
          <t>AUTOS DE METAL 3 TEAMSTERZ EN BLISTER</t>
        </is>
      </c>
      <c r="G1678" t="n">
        <v>1</v>
      </c>
      <c r="H1678" s="7" t="n">
        <v>6.9</v>
      </c>
      <c r="I1678" s="7" t="n">
        <v>0</v>
      </c>
      <c r="J1678" s="7" t="n">
        <v>0</v>
      </c>
      <c r="K1678" s="9" t="n">
        <v>0</v>
      </c>
      <c r="L1678" s="10" t="n">
        <v>4.1</v>
      </c>
      <c r="M1678" s="10" t="n">
        <v>1.43</v>
      </c>
      <c r="N1678" t="inlineStr">
        <is>
          <t>1</t>
        </is>
      </c>
      <c r="O1678" t="inlineStr">
        <is>
          <t xml:space="preserve">2 </t>
        </is>
      </c>
      <c r="P1678" t="inlineStr">
        <is>
          <t xml:space="preserve">247845  </t>
        </is>
      </c>
      <c r="Q1678" s="26" t="n">
        <v>6.9</v>
      </c>
      <c r="R1678" s="26">
        <f>Q1678*G1678</f>
        <v/>
      </c>
      <c r="S1678" t="n">
        <v>4.09</v>
      </c>
      <c r="T1678" s="18">
        <f>1 - V1678/S1678</f>
        <v/>
      </c>
      <c r="U1678" s="18" t="n">
        <v>0</v>
      </c>
      <c r="V1678" s="26" t="n">
        <v>4.09</v>
      </c>
      <c r="W1678" s="26">
        <f>V1678 - L1678</f>
        <v/>
      </c>
    </row>
    <row r="1679">
      <c r="A1679" s="11" t="n">
        <v>46220</v>
      </c>
      <c r="B1679" s="1" t="n">
        <v>20069</v>
      </c>
      <c r="C1679" s="1" t="inlineStr">
        <is>
          <t>190</t>
        </is>
      </c>
      <c r="D1679" s="1" t="inlineStr">
        <is>
          <t>299582</t>
        </is>
      </c>
      <c r="E1679" s="1" t="inlineStr">
        <is>
          <t xml:space="preserve">34840541       </t>
        </is>
      </c>
      <c r="F1679" s="5" t="inlineStr">
        <is>
          <t>MUNECA STEFFI LOVE ESTILISTA</t>
        </is>
      </c>
      <c r="G1679" t="n">
        <v>1</v>
      </c>
      <c r="H1679" s="7" t="n">
        <v>41.94</v>
      </c>
      <c r="I1679" s="7" t="n">
        <v>4.19</v>
      </c>
      <c r="J1679" s="7" t="n">
        <v>0</v>
      </c>
      <c r="K1679" s="9" t="n">
        <v>4.19</v>
      </c>
      <c r="L1679" s="10" t="n">
        <v>22.39</v>
      </c>
      <c r="M1679" s="10" t="n">
        <v>1.43</v>
      </c>
      <c r="N1679" t="inlineStr">
        <is>
          <t>1</t>
        </is>
      </c>
      <c r="O1679" t="inlineStr">
        <is>
          <t xml:space="preserve">3 </t>
        </is>
      </c>
      <c r="P1679" t="inlineStr">
        <is>
          <t xml:space="preserve">249779  </t>
        </is>
      </c>
      <c r="Q1679" s="26" t="n">
        <v>69.90000000000002</v>
      </c>
      <c r="R1679" s="26">
        <f>Q1679*G1679</f>
        <v/>
      </c>
      <c r="S1679" t="n">
        <v>41.47</v>
      </c>
      <c r="T1679" s="18">
        <f>1 - V1679/S1679</f>
        <v/>
      </c>
      <c r="U1679" s="18" t="n">
        <v>0.4</v>
      </c>
      <c r="V1679" s="26" t="n">
        <v>30.2206779661017</v>
      </c>
      <c r="W1679" s="26">
        <f>V1679 - L1679</f>
        <v/>
      </c>
    </row>
    <row r="1680">
      <c r="A1680" s="11" t="n">
        <v>46220</v>
      </c>
      <c r="B1680" s="1" t="n">
        <v>20073</v>
      </c>
      <c r="C1680" s="1" t="inlineStr">
        <is>
          <t>016</t>
        </is>
      </c>
      <c r="D1680" s="1" t="inlineStr">
        <is>
          <t xml:space="preserve">14606 </t>
        </is>
      </c>
      <c r="E1680" s="1" t="inlineStr">
        <is>
          <t xml:space="preserve">29235700       </t>
        </is>
      </c>
      <c r="F1680" s="5" t="inlineStr">
        <is>
          <t>HOT WHEELS CASE METALICO PARA GUARDAR 18 CARRITOS</t>
        </is>
      </c>
      <c r="G1680" t="n">
        <v>1</v>
      </c>
      <c r="H1680" s="7" t="n">
        <v>49.9</v>
      </c>
      <c r="I1680" s="7" t="n">
        <v>0</v>
      </c>
      <c r="J1680" s="7" t="n">
        <v>0</v>
      </c>
      <c r="K1680" s="9" t="n">
        <v>0</v>
      </c>
      <c r="L1680" s="10" t="n">
        <v>29.6</v>
      </c>
      <c r="M1680" s="10" t="n">
        <v>1.43</v>
      </c>
      <c r="N1680" t="inlineStr">
        <is>
          <t>1</t>
        </is>
      </c>
      <c r="O1680" t="inlineStr">
        <is>
          <t>16</t>
        </is>
      </c>
      <c r="P1680" t="inlineStr">
        <is>
          <t xml:space="preserve">91372   </t>
        </is>
      </c>
      <c r="Q1680" s="26" t="n">
        <v>49.90000000000001</v>
      </c>
      <c r="R1680" s="26">
        <f>Q1680*G1680</f>
        <v/>
      </c>
      <c r="S1680" t="n">
        <v>29.6</v>
      </c>
      <c r="T1680" s="18">
        <f>1 - V1680/S1680</f>
        <v/>
      </c>
      <c r="U1680" s="18" t="n">
        <v>0</v>
      </c>
      <c r="V1680" s="26" t="n">
        <v>29.6</v>
      </c>
      <c r="W1680" s="26">
        <f>V1680 - L1680</f>
        <v/>
      </c>
    </row>
    <row r="1681">
      <c r="A1681" s="11" t="n">
        <v>46220</v>
      </c>
      <c r="B1681" s="1" t="n">
        <v>20073</v>
      </c>
      <c r="C1681" s="1" t="inlineStr">
        <is>
          <t>022</t>
        </is>
      </c>
      <c r="D1681" s="1" t="inlineStr">
        <is>
          <t>294867</t>
        </is>
      </c>
      <c r="E1681" s="1" t="inlineStr">
        <is>
          <t xml:space="preserve">31754675       </t>
        </is>
      </c>
      <c r="F1681" s="5" t="inlineStr">
        <is>
          <t>INFINITY NADO SERIE 6 STARTER PACK - 4 MODELOS</t>
        </is>
      </c>
      <c r="G1681" t="n">
        <v>1</v>
      </c>
      <c r="H1681" s="7" t="n">
        <v>49.9</v>
      </c>
      <c r="I1681" s="7" t="n">
        <v>0</v>
      </c>
      <c r="J1681" s="7" t="n">
        <v>0</v>
      </c>
      <c r="K1681" s="9" t="n">
        <v>0</v>
      </c>
      <c r="L1681" s="10" t="n">
        <v>29.6</v>
      </c>
      <c r="M1681" s="10" t="n">
        <v>1.43</v>
      </c>
      <c r="N1681" t="inlineStr">
        <is>
          <t>1</t>
        </is>
      </c>
      <c r="O1681" t="inlineStr">
        <is>
          <t>16</t>
        </is>
      </c>
      <c r="P1681" t="inlineStr">
        <is>
          <t xml:space="preserve">57881   </t>
        </is>
      </c>
      <c r="Q1681" s="26" t="n">
        <v>69.90000000000001</v>
      </c>
      <c r="R1681" s="26">
        <f>Q1681*G1681</f>
        <v/>
      </c>
      <c r="S1681" t="n">
        <v>41.47</v>
      </c>
      <c r="T1681" s="18">
        <f>1 - V1681/S1681</f>
        <v/>
      </c>
      <c r="U1681" s="18" t="n">
        <v>0.2861230329041489</v>
      </c>
      <c r="V1681" s="26" t="n">
        <v>31.71610169491525</v>
      </c>
      <c r="W1681" s="26">
        <f>V1681 - L1681</f>
        <v/>
      </c>
    </row>
    <row r="1682">
      <c r="A1682" s="11" t="n">
        <v>46220</v>
      </c>
      <c r="B1682" s="1" t="n">
        <v>20073</v>
      </c>
      <c r="C1682" s="1" t="inlineStr">
        <is>
          <t>022</t>
        </is>
      </c>
      <c r="D1682" s="1" t="inlineStr">
        <is>
          <t>294867</t>
        </is>
      </c>
      <c r="E1682" s="1" t="inlineStr">
        <is>
          <t xml:space="preserve">31754675       </t>
        </is>
      </c>
      <c r="F1682" s="5" t="inlineStr">
        <is>
          <t>INFINITY NADO SERIE 6 STARTER PACK - 4 MODELOS</t>
        </is>
      </c>
      <c r="G1682" t="n">
        <v>1</v>
      </c>
      <c r="H1682" s="7" t="n">
        <v>49.9</v>
      </c>
      <c r="I1682" s="7" t="n">
        <v>0</v>
      </c>
      <c r="J1682" s="7" t="n">
        <v>0</v>
      </c>
      <c r="K1682" s="9" t="n">
        <v>0</v>
      </c>
      <c r="L1682" s="10" t="n">
        <v>29.6</v>
      </c>
      <c r="M1682" s="10" t="n">
        <v>1.43</v>
      </c>
      <c r="N1682" t="inlineStr">
        <is>
          <t>1</t>
        </is>
      </c>
      <c r="O1682" t="inlineStr">
        <is>
          <t>16</t>
        </is>
      </c>
      <c r="P1682" t="inlineStr">
        <is>
          <t xml:space="preserve">57881   </t>
        </is>
      </c>
      <c r="Q1682" s="26" t="n">
        <v>69.90000000000001</v>
      </c>
      <c r="R1682" s="26">
        <f>Q1682*G1682</f>
        <v/>
      </c>
      <c r="S1682" t="n">
        <v>41.47</v>
      </c>
      <c r="T1682" s="18">
        <f>1 - V1682/S1682</f>
        <v/>
      </c>
      <c r="U1682" s="18" t="n">
        <v>0.2861230329041489</v>
      </c>
      <c r="V1682" s="26" t="n">
        <v>31.71610169491525</v>
      </c>
      <c r="W1682" s="26">
        <f>V1682 - L1682</f>
        <v/>
      </c>
    </row>
    <row r="1683">
      <c r="A1683" s="11" t="n">
        <v>46220</v>
      </c>
      <c r="B1683" s="1" t="n">
        <v>20073</v>
      </c>
      <c r="C1683" s="1" t="inlineStr">
        <is>
          <t>803</t>
        </is>
      </c>
      <c r="D1683" s="1" t="inlineStr">
        <is>
          <t xml:space="preserve">9746  </t>
        </is>
      </c>
      <c r="E1683" s="1" t="inlineStr">
        <is>
          <t xml:space="preserve">28194770       </t>
        </is>
      </c>
      <c r="F1683" s="5" t="inlineStr">
        <is>
          <t>AUTOS DE METAL 3 TEAMSTERZ EN BLISTER</t>
        </is>
      </c>
      <c r="G1683" t="n">
        <v>1</v>
      </c>
      <c r="H1683" s="7" t="n">
        <v>6.9</v>
      </c>
      <c r="I1683" s="7" t="n">
        <v>0</v>
      </c>
      <c r="J1683" s="7" t="n">
        <v>0</v>
      </c>
      <c r="K1683" s="9" t="n">
        <v>0</v>
      </c>
      <c r="L1683" s="10" t="n">
        <v>4.1</v>
      </c>
      <c r="M1683" s="10" t="n">
        <v>1.43</v>
      </c>
      <c r="N1683" t="inlineStr">
        <is>
          <t>1</t>
        </is>
      </c>
      <c r="O1683" t="inlineStr">
        <is>
          <t>16</t>
        </is>
      </c>
      <c r="P1683" t="inlineStr">
        <is>
          <t xml:space="preserve">0       </t>
        </is>
      </c>
      <c r="Q1683" s="26" t="n">
        <v>6.9</v>
      </c>
      <c r="R1683" s="26">
        <f>Q1683*G1683</f>
        <v/>
      </c>
      <c r="S1683" t="n">
        <v>4.09</v>
      </c>
      <c r="T1683" s="18">
        <f>1 - V1683/S1683</f>
        <v/>
      </c>
      <c r="U1683" s="18" t="n">
        <v>0</v>
      </c>
      <c r="V1683" s="26" t="n">
        <v>4.09</v>
      </c>
      <c r="W1683" s="26">
        <f>V1683 - L1683</f>
        <v/>
      </c>
    </row>
    <row r="1684">
      <c r="A1684" s="11" t="n">
        <v>46220</v>
      </c>
      <c r="B1684" s="1" t="n">
        <v>20073</v>
      </c>
      <c r="C1684" s="1" t="inlineStr">
        <is>
          <t>803</t>
        </is>
      </c>
      <c r="D1684" s="1" t="inlineStr">
        <is>
          <t xml:space="preserve">9746  </t>
        </is>
      </c>
      <c r="E1684" s="1" t="inlineStr">
        <is>
          <t xml:space="preserve">28194770       </t>
        </is>
      </c>
      <c r="F1684" s="5" t="inlineStr">
        <is>
          <t>AUTOS DE METAL 3 TEAMSTERZ EN BLISTER</t>
        </is>
      </c>
      <c r="G1684" t="n">
        <v>1</v>
      </c>
      <c r="H1684" s="7" t="n">
        <v>6.9</v>
      </c>
      <c r="I1684" s="7" t="n">
        <v>0</v>
      </c>
      <c r="J1684" s="7" t="n">
        <v>0</v>
      </c>
      <c r="K1684" s="9" t="n">
        <v>0</v>
      </c>
      <c r="L1684" s="10" t="n">
        <v>4.1</v>
      </c>
      <c r="M1684" s="10" t="n">
        <v>1.43</v>
      </c>
      <c r="N1684" t="inlineStr">
        <is>
          <t>1</t>
        </is>
      </c>
      <c r="O1684" t="inlineStr">
        <is>
          <t>16</t>
        </is>
      </c>
      <c r="P1684" t="inlineStr">
        <is>
          <t xml:space="preserve">0       </t>
        </is>
      </c>
      <c r="Q1684" s="26" t="n">
        <v>6.9</v>
      </c>
      <c r="R1684" s="26">
        <f>Q1684*G1684</f>
        <v/>
      </c>
      <c r="S1684" t="n">
        <v>4.09</v>
      </c>
      <c r="T1684" s="18">
        <f>1 - V1684/S1684</f>
        <v/>
      </c>
      <c r="U1684" s="18" t="n">
        <v>0</v>
      </c>
      <c r="V1684" s="26" t="n">
        <v>4.09</v>
      </c>
      <c r="W1684" s="26">
        <f>V1684 - L1684</f>
        <v/>
      </c>
    </row>
    <row r="1685">
      <c r="A1685" s="11" t="n">
        <v>46220</v>
      </c>
      <c r="B1685" s="1" t="n">
        <v>20074</v>
      </c>
      <c r="C1685" s="1" t="inlineStr">
        <is>
          <t>011</t>
        </is>
      </c>
      <c r="D1685" s="1" t="inlineStr">
        <is>
          <t>234309</t>
        </is>
      </c>
      <c r="E1685" s="1" t="inlineStr">
        <is>
          <t xml:space="preserve">28194770       </t>
        </is>
      </c>
      <c r="F1685" s="5" t="inlineStr">
        <is>
          <t>AUTOS DE METAL 3 TEAMSTERZ EN BLISTER</t>
        </is>
      </c>
      <c r="G1685" t="n">
        <v>1</v>
      </c>
      <c r="H1685" s="7" t="n">
        <v>6.9</v>
      </c>
      <c r="I1685" s="7" t="n">
        <v>0</v>
      </c>
      <c r="J1685" s="7" t="n">
        <v>0</v>
      </c>
      <c r="K1685" s="9" t="n">
        <v>0</v>
      </c>
      <c r="L1685" s="10" t="n">
        <v>4.1</v>
      </c>
      <c r="M1685" s="10" t="n">
        <v>1.43</v>
      </c>
      <c r="N1685" t="inlineStr">
        <is>
          <t>1</t>
        </is>
      </c>
      <c r="O1685" t="inlineStr">
        <is>
          <t>16</t>
        </is>
      </c>
      <c r="P1685" t="inlineStr">
        <is>
          <t xml:space="preserve">201480  </t>
        </is>
      </c>
      <c r="Q1685" s="26" t="n">
        <v>6.9</v>
      </c>
      <c r="R1685" s="26">
        <f>Q1685*G1685</f>
        <v/>
      </c>
      <c r="S1685" t="n">
        <v>4.09</v>
      </c>
      <c r="T1685" s="18">
        <f>1 - V1685/S1685</f>
        <v/>
      </c>
      <c r="U1685" s="18" t="n">
        <v>0</v>
      </c>
      <c r="V1685" s="26" t="n">
        <v>4.09</v>
      </c>
      <c r="W1685" s="26">
        <f>V1685 - L1685</f>
        <v/>
      </c>
    </row>
    <row r="1686">
      <c r="A1686" s="11" t="n">
        <v>46220</v>
      </c>
      <c r="B1686" s="1" t="n">
        <v>20074</v>
      </c>
      <c r="C1686" s="1" t="inlineStr">
        <is>
          <t>011</t>
        </is>
      </c>
      <c r="D1686" s="1" t="inlineStr">
        <is>
          <t>234309</t>
        </is>
      </c>
      <c r="E1686" s="1" t="inlineStr">
        <is>
          <t xml:space="preserve">28194770       </t>
        </is>
      </c>
      <c r="F1686" s="5" t="inlineStr">
        <is>
          <t>AUTOS DE METAL 3 TEAMSTERZ EN BLISTER</t>
        </is>
      </c>
      <c r="G1686" t="n">
        <v>1</v>
      </c>
      <c r="H1686" s="7" t="n">
        <v>6.9</v>
      </c>
      <c r="I1686" s="7" t="n">
        <v>0</v>
      </c>
      <c r="J1686" s="7" t="n">
        <v>0</v>
      </c>
      <c r="K1686" s="9" t="n">
        <v>0</v>
      </c>
      <c r="L1686" s="10" t="n">
        <v>4.1</v>
      </c>
      <c r="M1686" s="10" t="n">
        <v>1.43</v>
      </c>
      <c r="N1686" t="inlineStr">
        <is>
          <t>1</t>
        </is>
      </c>
      <c r="O1686" t="inlineStr">
        <is>
          <t>16</t>
        </is>
      </c>
      <c r="P1686" t="inlineStr">
        <is>
          <t xml:space="preserve">201480  </t>
        </is>
      </c>
      <c r="Q1686" s="26" t="n">
        <v>6.9</v>
      </c>
      <c r="R1686" s="26">
        <f>Q1686*G1686</f>
        <v/>
      </c>
      <c r="S1686" t="n">
        <v>4.09</v>
      </c>
      <c r="T1686" s="18">
        <f>1 - V1686/S1686</f>
        <v/>
      </c>
      <c r="U1686" s="18" t="n">
        <v>0</v>
      </c>
      <c r="V1686" s="26" t="n">
        <v>4.09</v>
      </c>
      <c r="W1686" s="26">
        <f>V1686 - L1686</f>
        <v/>
      </c>
    </row>
    <row r="1687">
      <c r="A1687" s="11" t="n">
        <v>46220</v>
      </c>
      <c r="B1687" s="1" t="n">
        <v>20074</v>
      </c>
      <c r="C1687" s="1" t="inlineStr">
        <is>
          <t>015</t>
        </is>
      </c>
      <c r="D1687" s="1" t="inlineStr">
        <is>
          <t>228113</t>
        </is>
      </c>
      <c r="E1687" s="1" t="inlineStr">
        <is>
          <t xml:space="preserve">31754676       </t>
        </is>
      </c>
      <c r="F1687" s="5" t="inlineStr">
        <is>
          <t>INFINITY NADO SERIE 6 STD PACK LANZ ESPAD ANILLO M</t>
        </is>
      </c>
      <c r="G1687" t="n">
        <v>1</v>
      </c>
      <c r="H1687" s="7" t="n">
        <v>59.9</v>
      </c>
      <c r="I1687" s="7" t="n">
        <v>0</v>
      </c>
      <c r="J1687" s="7" t="n">
        <v>0</v>
      </c>
      <c r="K1687" s="9" t="n">
        <v>0</v>
      </c>
      <c r="L1687" s="10" t="n">
        <v>35.53</v>
      </c>
      <c r="M1687" s="10" t="n">
        <v>1.43</v>
      </c>
      <c r="N1687" t="inlineStr">
        <is>
          <t>1</t>
        </is>
      </c>
      <c r="O1687" t="inlineStr">
        <is>
          <t>16</t>
        </is>
      </c>
      <c r="P1687" t="inlineStr">
        <is>
          <t xml:space="preserve">235827  </t>
        </is>
      </c>
      <c r="Q1687" s="26" t="n">
        <v>79.90000000000001</v>
      </c>
      <c r="R1687" s="26">
        <f>Q1687*G1687</f>
        <v/>
      </c>
      <c r="S1687" t="n">
        <v>47.4</v>
      </c>
      <c r="T1687" s="18">
        <f>1 - V1687/S1687</f>
        <v/>
      </c>
      <c r="U1687" s="18" t="n">
        <v>0.2503128911138924</v>
      </c>
      <c r="V1687" s="26" t="n">
        <v>38.07203389830509</v>
      </c>
      <c r="W1687" s="26">
        <f>V1687 - L1687</f>
        <v/>
      </c>
    </row>
    <row r="1688">
      <c r="A1688" s="11" t="n">
        <v>46220</v>
      </c>
      <c r="B1688" s="1" t="n">
        <v>20074</v>
      </c>
      <c r="C1688" s="1" t="inlineStr">
        <is>
          <t>015</t>
        </is>
      </c>
      <c r="D1688" s="1" t="inlineStr">
        <is>
          <t>228205</t>
        </is>
      </c>
      <c r="E1688" s="1" t="inlineStr">
        <is>
          <t xml:space="preserve">30232284       </t>
        </is>
      </c>
      <c r="F1688" s="5" t="inlineStr">
        <is>
          <t>INFINITY NADO TROMPO DE BATALLA - METAL C/PUNTA DE</t>
        </is>
      </c>
      <c r="G1688" t="n">
        <v>1</v>
      </c>
      <c r="H1688" s="7" t="n">
        <v>34.9</v>
      </c>
      <c r="I1688" s="7" t="n">
        <v>0</v>
      </c>
      <c r="J1688" s="7" t="n">
        <v>0</v>
      </c>
      <c r="K1688" s="9" t="n">
        <v>0</v>
      </c>
      <c r="L1688" s="10" t="n">
        <v>20.71</v>
      </c>
      <c r="M1688" s="10" t="n">
        <v>1.43</v>
      </c>
      <c r="N1688" t="inlineStr">
        <is>
          <t>1</t>
        </is>
      </c>
      <c r="O1688" t="inlineStr">
        <is>
          <t>16</t>
        </is>
      </c>
      <c r="P1688" t="inlineStr">
        <is>
          <t xml:space="preserve">249571  </t>
        </is>
      </c>
      <c r="Q1688" s="26" t="n">
        <v>49.9</v>
      </c>
      <c r="R1688" s="26">
        <f>Q1688*G1688</f>
        <v/>
      </c>
      <c r="S1688" t="n">
        <v>29.6</v>
      </c>
      <c r="T1688" s="18">
        <f>1 - V1688/S1688</f>
        <v/>
      </c>
      <c r="U1688" s="18" t="n">
        <v>0.3006012024048096</v>
      </c>
      <c r="V1688" s="26" t="n">
        <v>22.18220338983051</v>
      </c>
      <c r="W1688" s="26">
        <f>V1688 - L1688</f>
        <v/>
      </c>
    </row>
    <row r="1689">
      <c r="A1689" s="11" t="n">
        <v>46220</v>
      </c>
      <c r="B1689" s="1" t="n">
        <v>20074</v>
      </c>
      <c r="C1689" s="1" t="inlineStr">
        <is>
          <t>027</t>
        </is>
      </c>
      <c r="D1689" s="1" t="inlineStr">
        <is>
          <t xml:space="preserve">21634 </t>
        </is>
      </c>
      <c r="E1689" s="1" t="inlineStr">
        <is>
          <t xml:space="preserve">28194780       </t>
        </is>
      </c>
      <c r="F1689" s="5" t="inlineStr">
        <is>
          <t>TROMPO BATALLA INFINITY NADO PLSTICO SURTIDO</t>
        </is>
      </c>
      <c r="G1689" t="n">
        <v>1</v>
      </c>
      <c r="H1689" s="7" t="n">
        <v>19.9</v>
      </c>
      <c r="I1689" s="7" t="n">
        <v>1.99</v>
      </c>
      <c r="J1689" s="7" t="n">
        <v>0</v>
      </c>
      <c r="K1689" s="9" t="n">
        <v>1.99</v>
      </c>
      <c r="L1689" s="10" t="n">
        <v>10.63</v>
      </c>
      <c r="M1689" s="10" t="n">
        <v>1.43</v>
      </c>
      <c r="N1689" t="inlineStr">
        <is>
          <t>1</t>
        </is>
      </c>
      <c r="O1689" t="inlineStr">
        <is>
          <t xml:space="preserve">3 </t>
        </is>
      </c>
      <c r="P1689" t="inlineStr">
        <is>
          <t xml:space="preserve">22378   </t>
        </is>
      </c>
      <c r="Q1689" s="26" t="n">
        <v>19.9</v>
      </c>
      <c r="R1689" s="26">
        <f>Q1689*G1689</f>
        <v/>
      </c>
      <c r="S1689" t="n">
        <v>11.81</v>
      </c>
      <c r="T1689" s="18">
        <f>1 - V1689/S1689</f>
        <v/>
      </c>
      <c r="U1689" s="18" t="n">
        <v>0</v>
      </c>
      <c r="V1689" s="26" t="n">
        <v>11.81</v>
      </c>
      <c r="W1689" s="26">
        <f>V1689 - L1689</f>
        <v/>
      </c>
    </row>
    <row r="1690">
      <c r="A1690" s="11" t="n">
        <v>46220</v>
      </c>
      <c r="B1690" s="1" t="n">
        <v>20074</v>
      </c>
      <c r="C1690" s="1" t="inlineStr">
        <is>
          <t>031</t>
        </is>
      </c>
      <c r="D1690" s="1" t="inlineStr">
        <is>
          <t xml:space="preserve">5257  </t>
        </is>
      </c>
      <c r="E1690" s="1" t="inlineStr">
        <is>
          <t xml:space="preserve">31046051       </t>
        </is>
      </c>
      <c r="F1690" s="5" t="inlineStr">
        <is>
          <t>RELOJ DISNEY TOY STORY</t>
        </is>
      </c>
      <c r="G1690" t="n">
        <v>1</v>
      </c>
      <c r="H1690" s="7" t="n">
        <v>18.9</v>
      </c>
      <c r="I1690" s="7" t="n">
        <v>0</v>
      </c>
      <c r="J1690" s="7" t="n">
        <v>0</v>
      </c>
      <c r="K1690" s="9" t="n">
        <v>0</v>
      </c>
      <c r="L1690" s="10" t="n">
        <v>11.21</v>
      </c>
      <c r="M1690" s="10" t="n">
        <v>1.43</v>
      </c>
      <c r="N1690" t="inlineStr">
        <is>
          <t>1</t>
        </is>
      </c>
      <c r="O1690" t="inlineStr">
        <is>
          <t>16</t>
        </is>
      </c>
      <c r="P1690" t="inlineStr">
        <is>
          <t xml:space="preserve">79835   </t>
        </is>
      </c>
      <c r="Q1690" s="26" t="n">
        <v>18.9</v>
      </c>
      <c r="R1690" s="26">
        <f>Q1690*G1690</f>
        <v/>
      </c>
      <c r="S1690" t="n">
        <v>11.21</v>
      </c>
      <c r="T1690" s="18">
        <f>1 - V1690/S1690</f>
        <v/>
      </c>
      <c r="U1690" s="18" t="n">
        <v>0</v>
      </c>
      <c r="V1690" s="26" t="n">
        <v>11.21</v>
      </c>
      <c r="W1690" s="26">
        <f>V1690 - L1690</f>
        <v/>
      </c>
    </row>
    <row r="1691">
      <c r="A1691" s="11" t="n">
        <v>46220</v>
      </c>
      <c r="B1691" s="1" t="n">
        <v>20077</v>
      </c>
      <c r="C1691" s="1" t="inlineStr">
        <is>
          <t>029</t>
        </is>
      </c>
      <c r="D1691" s="1" t="inlineStr">
        <is>
          <t>156292</t>
        </is>
      </c>
      <c r="E1691" s="1" t="inlineStr">
        <is>
          <t xml:space="preserve">30141766       </t>
        </is>
      </c>
      <c r="F1691" s="5" t="inlineStr">
        <is>
          <t>TMZ BEAST MACHINES AUTOS DE METAL BLISTER X 1</t>
        </is>
      </c>
      <c r="G1691" t="n">
        <v>1</v>
      </c>
      <c r="H1691" s="7" t="n">
        <v>7.9</v>
      </c>
      <c r="I1691" s="7" t="n">
        <v>0</v>
      </c>
      <c r="J1691" s="7" t="n">
        <v>0</v>
      </c>
      <c r="K1691" s="9" t="n">
        <v>0</v>
      </c>
      <c r="L1691" s="10" t="n">
        <v>4.68</v>
      </c>
      <c r="M1691" s="10" t="n">
        <v>1.43</v>
      </c>
      <c r="N1691" t="inlineStr">
        <is>
          <t>1</t>
        </is>
      </c>
      <c r="O1691" t="inlineStr">
        <is>
          <t>16</t>
        </is>
      </c>
      <c r="P1691" t="inlineStr">
        <is>
          <t xml:space="preserve">250449  </t>
        </is>
      </c>
      <c r="Q1691" s="26" t="n">
        <v>7.9</v>
      </c>
      <c r="R1691" s="26">
        <f>Q1691*G1691</f>
        <v/>
      </c>
      <c r="S1691" t="n">
        <v>4.69</v>
      </c>
      <c r="T1691" s="18">
        <f>1 - V1691/S1691</f>
        <v/>
      </c>
      <c r="U1691" s="18" t="n">
        <v>0</v>
      </c>
      <c r="V1691" s="26" t="n">
        <v>4.69</v>
      </c>
      <c r="W1691" s="26">
        <f>V1691 - L1691</f>
        <v/>
      </c>
    </row>
    <row r="1692">
      <c r="A1692" s="11" t="n">
        <v>46220</v>
      </c>
      <c r="B1692" s="1" t="n">
        <v>20077</v>
      </c>
      <c r="C1692" s="1" t="inlineStr">
        <is>
          <t>029</t>
        </is>
      </c>
      <c r="D1692" s="1" t="inlineStr">
        <is>
          <t xml:space="preserve">2250  </t>
        </is>
      </c>
      <c r="E1692" s="1" t="inlineStr">
        <is>
          <t xml:space="preserve">28194770       </t>
        </is>
      </c>
      <c r="F1692" s="5" t="inlineStr">
        <is>
          <t>AUTOS DE METAL 3 TEAMSTERZ EN BLISTER</t>
        </is>
      </c>
      <c r="G1692" t="n">
        <v>1</v>
      </c>
      <c r="H1692" s="7" t="n">
        <v>6.9</v>
      </c>
      <c r="I1692" s="7" t="n">
        <v>0</v>
      </c>
      <c r="J1692" s="7" t="n">
        <v>0</v>
      </c>
      <c r="K1692" s="9" t="n">
        <v>0</v>
      </c>
      <c r="L1692" s="10" t="n">
        <v>4.1</v>
      </c>
      <c r="M1692" s="10" t="n">
        <v>1.43</v>
      </c>
      <c r="N1692" t="inlineStr">
        <is>
          <t>1</t>
        </is>
      </c>
      <c r="O1692" t="inlineStr">
        <is>
          <t>16</t>
        </is>
      </c>
      <c r="P1692" t="inlineStr">
        <is>
          <t xml:space="preserve">250449  </t>
        </is>
      </c>
      <c r="Q1692" s="26" t="n">
        <v>6.9</v>
      </c>
      <c r="R1692" s="26">
        <f>Q1692*G1692</f>
        <v/>
      </c>
      <c r="S1692" t="n">
        <v>4.09</v>
      </c>
      <c r="T1692" s="18">
        <f>1 - V1692/S1692</f>
        <v/>
      </c>
      <c r="U1692" s="18" t="n">
        <v>0</v>
      </c>
      <c r="V1692" s="26" t="n">
        <v>4.09</v>
      </c>
      <c r="W1692" s="26">
        <f>V1692 - L1692</f>
        <v/>
      </c>
    </row>
    <row r="1693">
      <c r="A1693" s="11" t="n">
        <v>46220</v>
      </c>
      <c r="B1693" s="1" t="n">
        <v>20078</v>
      </c>
      <c r="C1693" s="1" t="inlineStr">
        <is>
          <t>192</t>
        </is>
      </c>
      <c r="D1693" s="1" t="inlineStr">
        <is>
          <t>274278</t>
        </is>
      </c>
      <c r="E1693" s="1" t="inlineStr">
        <is>
          <t xml:space="preserve">28194767       </t>
        </is>
      </c>
      <c r="F1693" s="5" t="inlineStr">
        <is>
          <t>CAMIONES TEAMSTERZ DE EMERGENCIA</t>
        </is>
      </c>
      <c r="G1693" t="n">
        <v>1</v>
      </c>
      <c r="H1693" s="7" t="n">
        <v>17.9</v>
      </c>
      <c r="I1693" s="7" t="n">
        <v>0</v>
      </c>
      <c r="J1693" s="7" t="n">
        <v>0</v>
      </c>
      <c r="K1693" s="9" t="n">
        <v>0</v>
      </c>
      <c r="L1693" s="10" t="n">
        <v>10.62</v>
      </c>
      <c r="M1693" s="10" t="n">
        <v>1.43</v>
      </c>
      <c r="N1693" t="inlineStr">
        <is>
          <t>1</t>
        </is>
      </c>
      <c r="O1693" t="inlineStr">
        <is>
          <t>16</t>
        </is>
      </c>
      <c r="P1693" t="inlineStr">
        <is>
          <t xml:space="preserve">234549  </t>
        </is>
      </c>
      <c r="Q1693" s="26" t="n">
        <v>17.9</v>
      </c>
      <c r="R1693" s="26">
        <f>Q1693*G1693</f>
        <v/>
      </c>
      <c r="S1693" t="n">
        <v>10.62</v>
      </c>
      <c r="T1693" s="18">
        <f>1 - V1693/S1693</f>
        <v/>
      </c>
      <c r="U1693" s="18" t="n">
        <v>0</v>
      </c>
      <c r="V1693" s="26" t="n">
        <v>10.62</v>
      </c>
      <c r="W1693" s="26">
        <f>V1693 - L1693</f>
        <v/>
      </c>
    </row>
    <row r="1694">
      <c r="A1694" s="11" t="n">
        <v>46220</v>
      </c>
      <c r="B1694" s="1" t="n">
        <v>20079</v>
      </c>
      <c r="C1694" s="1" t="inlineStr">
        <is>
          <t>051</t>
        </is>
      </c>
      <c r="D1694" s="1" t="inlineStr">
        <is>
          <t>236249</t>
        </is>
      </c>
      <c r="E1694" s="1" t="inlineStr">
        <is>
          <t xml:space="preserve">28194781       </t>
        </is>
      </c>
      <c r="F1694" s="5" t="inlineStr">
        <is>
          <t>TROMPO BATALLA INFINITY NADO SERIE V CLASICA SURTI</t>
        </is>
      </c>
      <c r="G1694" t="n">
        <v>1</v>
      </c>
      <c r="H1694" s="7" t="n">
        <v>39.9</v>
      </c>
      <c r="I1694" s="7" t="n">
        <v>0</v>
      </c>
      <c r="J1694" s="7" t="n">
        <v>0</v>
      </c>
      <c r="K1694" s="9" t="n">
        <v>0</v>
      </c>
      <c r="L1694" s="10" t="n">
        <v>23.67</v>
      </c>
      <c r="M1694" s="10" t="n">
        <v>1.43</v>
      </c>
      <c r="N1694" t="inlineStr">
        <is>
          <t>1</t>
        </is>
      </c>
      <c r="O1694" t="inlineStr">
        <is>
          <t>16</t>
        </is>
      </c>
      <c r="P1694" t="inlineStr">
        <is>
          <t xml:space="preserve">54413   </t>
        </is>
      </c>
      <c r="Q1694" s="26" t="n">
        <v>59.9</v>
      </c>
      <c r="R1694" s="26">
        <f>Q1694*G1694</f>
        <v/>
      </c>
      <c r="S1694" t="n">
        <v>35.53</v>
      </c>
      <c r="T1694" s="18">
        <f>1 - V1694/S1694</f>
        <v/>
      </c>
      <c r="U1694" s="18" t="n">
        <v>0.333889816360601</v>
      </c>
      <c r="V1694" s="26" t="n">
        <v>25.36016949152542</v>
      </c>
      <c r="W1694" s="26">
        <f>V1694 - L1694</f>
        <v/>
      </c>
    </row>
    <row r="1695">
      <c r="A1695" s="11" t="n">
        <v>46220</v>
      </c>
      <c r="B1695" s="1" t="n">
        <v>20079</v>
      </c>
      <c r="C1695" s="1" t="inlineStr">
        <is>
          <t>051</t>
        </is>
      </c>
      <c r="D1695" s="1" t="inlineStr">
        <is>
          <t>236249</t>
        </is>
      </c>
      <c r="E1695" s="1" t="inlineStr">
        <is>
          <t xml:space="preserve">28194784       </t>
        </is>
      </c>
      <c r="F1695" s="5" t="inlineStr">
        <is>
          <t>SET DE ACROBACIAS INFINITY NADO CON TROMPO</t>
        </is>
      </c>
      <c r="G1695" t="n">
        <v>1</v>
      </c>
      <c r="H1695" s="7" t="n">
        <v>139</v>
      </c>
      <c r="I1695" s="7" t="n">
        <v>0</v>
      </c>
      <c r="J1695" s="7" t="n">
        <v>0</v>
      </c>
      <c r="K1695" s="9" t="n">
        <v>0</v>
      </c>
      <c r="L1695" s="10" t="n">
        <v>82.45999999999999</v>
      </c>
      <c r="M1695" s="10" t="n">
        <v>1.43</v>
      </c>
      <c r="N1695" t="inlineStr">
        <is>
          <t>1</t>
        </is>
      </c>
      <c r="O1695" t="inlineStr">
        <is>
          <t>16</t>
        </is>
      </c>
      <c r="P1695" t="inlineStr">
        <is>
          <t xml:space="preserve">54413   </t>
        </is>
      </c>
      <c r="Q1695" s="26" t="n">
        <v>179</v>
      </c>
      <c r="R1695" s="26">
        <f>Q1695*G1695</f>
        <v/>
      </c>
      <c r="S1695" t="n">
        <v>106.19</v>
      </c>
      <c r="T1695" s="18">
        <f>1 - V1695/S1695</f>
        <v/>
      </c>
      <c r="U1695" s="18" t="n">
        <v>0.223463687150838</v>
      </c>
      <c r="V1695" s="26" t="n">
        <v>88.34745762711864</v>
      </c>
      <c r="W1695" s="26">
        <f>V1695 - L1695</f>
        <v/>
      </c>
    </row>
    <row r="1696">
      <c r="A1696" s="11" t="n">
        <v>46220</v>
      </c>
      <c r="B1696" s="1" t="n">
        <v>20080</v>
      </c>
      <c r="C1696" s="1" t="inlineStr">
        <is>
          <t>012</t>
        </is>
      </c>
      <c r="D1696" s="1" t="inlineStr">
        <is>
          <t xml:space="preserve">59238 </t>
        </is>
      </c>
      <c r="E1696" s="1" t="inlineStr">
        <is>
          <t xml:space="preserve">28194781       </t>
        </is>
      </c>
      <c r="F1696" s="5" t="inlineStr">
        <is>
          <t>TROMPO BATALLA INFINITY NADO SERIE V CLASICA SURTI</t>
        </is>
      </c>
      <c r="G1696" t="n">
        <v>1</v>
      </c>
      <c r="H1696" s="7" t="n">
        <v>39.9</v>
      </c>
      <c r="I1696" s="7" t="n">
        <v>0</v>
      </c>
      <c r="J1696" s="7" t="n">
        <v>0</v>
      </c>
      <c r="K1696" s="9" t="n">
        <v>0</v>
      </c>
      <c r="L1696" s="10" t="n">
        <v>23.67</v>
      </c>
      <c r="M1696" s="10" t="n">
        <v>1.43</v>
      </c>
      <c r="N1696" t="inlineStr">
        <is>
          <t>1</t>
        </is>
      </c>
      <c r="O1696" t="inlineStr">
        <is>
          <t>16</t>
        </is>
      </c>
      <c r="P1696" t="inlineStr">
        <is>
          <t xml:space="preserve">89863   </t>
        </is>
      </c>
      <c r="Q1696" s="26" t="n">
        <v>59.9</v>
      </c>
      <c r="R1696" s="26">
        <f>Q1696*G1696</f>
        <v/>
      </c>
      <c r="S1696" t="n">
        <v>35.53</v>
      </c>
      <c r="T1696" s="18">
        <f>1 - V1696/S1696</f>
        <v/>
      </c>
      <c r="U1696" s="18" t="n">
        <v>0.333889816360601</v>
      </c>
      <c r="V1696" s="26" t="n">
        <v>25.36016949152542</v>
      </c>
      <c r="W1696" s="26">
        <f>V1696 - L1696</f>
        <v/>
      </c>
    </row>
    <row r="1697">
      <c r="A1697" s="11" t="n">
        <v>46220</v>
      </c>
      <c r="B1697" s="1" t="n">
        <v>20080</v>
      </c>
      <c r="C1697" s="1" t="inlineStr">
        <is>
          <t>026</t>
        </is>
      </c>
      <c r="D1697" s="1" t="inlineStr">
        <is>
          <t>209117</t>
        </is>
      </c>
      <c r="E1697" s="1" t="inlineStr">
        <is>
          <t xml:space="preserve">33483118       </t>
        </is>
      </c>
      <c r="F1697" s="5" t="inlineStr">
        <is>
          <t>MUNECA EVI LOVE SET CUIDADO DE PERROS + ACC.</t>
        </is>
      </c>
      <c r="G1697" t="n">
        <v>1</v>
      </c>
      <c r="H1697" s="7" t="n">
        <v>23.94</v>
      </c>
      <c r="I1697" s="7" t="n">
        <v>2.39</v>
      </c>
      <c r="J1697" s="7" t="n">
        <v>0</v>
      </c>
      <c r="K1697" s="9" t="n">
        <v>2.39</v>
      </c>
      <c r="L1697" s="10" t="n">
        <v>12.78</v>
      </c>
      <c r="M1697" s="10" t="n">
        <v>1.43</v>
      </c>
      <c r="N1697" t="inlineStr">
        <is>
          <t>1</t>
        </is>
      </c>
      <c r="O1697" t="inlineStr">
        <is>
          <t xml:space="preserve">3 </t>
        </is>
      </c>
      <c r="P1697" t="inlineStr">
        <is>
          <t xml:space="preserve">79951   </t>
        </is>
      </c>
      <c r="Q1697" s="26" t="n">
        <v>39.9</v>
      </c>
      <c r="R1697" s="26">
        <f>Q1697*G1697</f>
        <v/>
      </c>
      <c r="S1697" t="n">
        <v>23.67</v>
      </c>
      <c r="T1697" s="18">
        <f>1 - V1697/S1697</f>
        <v/>
      </c>
      <c r="U1697" s="18" t="n">
        <v>0.4</v>
      </c>
      <c r="V1697" s="26" t="n">
        <v>18.25932203389831</v>
      </c>
      <c r="W1697" s="26">
        <f>V1697 - L1697</f>
        <v/>
      </c>
    </row>
    <row r="1698">
      <c r="A1698" s="11" t="n">
        <v>46220</v>
      </c>
      <c r="B1698" s="1" t="n">
        <v>20080</v>
      </c>
      <c r="C1698" s="1" t="inlineStr">
        <is>
          <t>026</t>
        </is>
      </c>
      <c r="D1698" s="1" t="inlineStr">
        <is>
          <t>209134</t>
        </is>
      </c>
      <c r="E1698" s="1" t="inlineStr">
        <is>
          <t xml:space="preserve">28194783       </t>
        </is>
      </c>
      <c r="F1698" s="5" t="inlineStr">
        <is>
          <t>SET DE BATALLA INFINITY NADO CON 2 TROMPOS</t>
        </is>
      </c>
      <c r="G1698" t="n">
        <v>1</v>
      </c>
      <c r="H1698" s="7" t="n">
        <v>159</v>
      </c>
      <c r="I1698" s="7" t="n">
        <v>0</v>
      </c>
      <c r="J1698" s="7" t="n">
        <v>0</v>
      </c>
      <c r="K1698" s="9" t="n">
        <v>0</v>
      </c>
      <c r="L1698" s="10" t="n">
        <v>94.33</v>
      </c>
      <c r="M1698" s="10" t="n">
        <v>1.43</v>
      </c>
      <c r="N1698" t="inlineStr">
        <is>
          <t>1</t>
        </is>
      </c>
      <c r="O1698" t="inlineStr">
        <is>
          <t xml:space="preserve">2 </t>
        </is>
      </c>
      <c r="P1698" t="inlineStr">
        <is>
          <t xml:space="preserve">79951   </t>
        </is>
      </c>
      <c r="Q1698" s="26" t="n">
        <v>159</v>
      </c>
      <c r="R1698" s="26">
        <f>Q1698*G1698</f>
        <v/>
      </c>
      <c r="S1698" t="n">
        <v>94.31999999999999</v>
      </c>
      <c r="T1698" s="18">
        <f>1 - V1698/S1698</f>
        <v/>
      </c>
      <c r="U1698" s="18" t="n">
        <v>0.1886792452830188</v>
      </c>
      <c r="V1698" s="26" t="n">
        <v>81.99152542372882</v>
      </c>
      <c r="W1698" s="26">
        <f>V1698 - L1698</f>
        <v/>
      </c>
    </row>
    <row r="1699">
      <c r="A1699" s="11" t="n">
        <v>46220</v>
      </c>
      <c r="B1699" s="1" t="n">
        <v>20086</v>
      </c>
      <c r="C1699" s="1" t="inlineStr">
        <is>
          <t>014</t>
        </is>
      </c>
      <c r="D1699" s="1" t="inlineStr">
        <is>
          <t>126778</t>
        </is>
      </c>
      <c r="E1699" s="1" t="inlineStr">
        <is>
          <t xml:space="preserve">28194770       </t>
        </is>
      </c>
      <c r="F1699" s="5" t="inlineStr">
        <is>
          <t>AUTOS DE METAL 3 TEAMSTERZ EN BLISTER</t>
        </is>
      </c>
      <c r="G1699" t="n">
        <v>1</v>
      </c>
      <c r="H1699" s="7" t="n">
        <v>6.9</v>
      </c>
      <c r="I1699" s="7" t="n">
        <v>0</v>
      </c>
      <c r="J1699" s="7" t="n">
        <v>0</v>
      </c>
      <c r="K1699" s="9" t="n">
        <v>0</v>
      </c>
      <c r="L1699" s="10" t="n">
        <v>4.1</v>
      </c>
      <c r="M1699" s="10" t="n">
        <v>1.43</v>
      </c>
      <c r="N1699" t="inlineStr">
        <is>
          <t>1</t>
        </is>
      </c>
      <c r="O1699" t="inlineStr">
        <is>
          <t>16</t>
        </is>
      </c>
      <c r="P1699" t="inlineStr">
        <is>
          <t xml:space="preserve">250783  </t>
        </is>
      </c>
      <c r="Q1699" s="26" t="n">
        <v>6.9</v>
      </c>
      <c r="R1699" s="26">
        <f>Q1699*G1699</f>
        <v/>
      </c>
      <c r="S1699" t="n">
        <v>4.09</v>
      </c>
      <c r="T1699" s="18">
        <f>1 - V1699/S1699</f>
        <v/>
      </c>
      <c r="U1699" s="18" t="n">
        <v>0</v>
      </c>
      <c r="V1699" s="26" t="n">
        <v>4.09</v>
      </c>
      <c r="W1699" s="26">
        <f>V1699 - L1699</f>
        <v/>
      </c>
    </row>
    <row r="1700">
      <c r="A1700" s="11" t="n">
        <v>46220</v>
      </c>
      <c r="B1700" s="1" t="n">
        <v>20086</v>
      </c>
      <c r="C1700" s="1" t="inlineStr">
        <is>
          <t>019</t>
        </is>
      </c>
      <c r="D1700" s="1" t="inlineStr">
        <is>
          <t xml:space="preserve">2296  </t>
        </is>
      </c>
      <c r="E1700" s="1" t="inlineStr">
        <is>
          <t xml:space="preserve">28194770       </t>
        </is>
      </c>
      <c r="F1700" s="5" t="inlineStr">
        <is>
          <t>AUTOS DE METAL 3 TEAMSTERZ EN BLISTER</t>
        </is>
      </c>
      <c r="G1700" t="n">
        <v>1</v>
      </c>
      <c r="H1700" s="7" t="n">
        <v>6.9</v>
      </c>
      <c r="I1700" s="7" t="n">
        <v>0</v>
      </c>
      <c r="J1700" s="7" t="n">
        <v>0</v>
      </c>
      <c r="K1700" s="9" t="n">
        <v>0</v>
      </c>
      <c r="L1700" s="10" t="n">
        <v>4.1</v>
      </c>
      <c r="M1700" s="10" t="n">
        <v>1.43</v>
      </c>
      <c r="N1700" t="inlineStr">
        <is>
          <t>1</t>
        </is>
      </c>
      <c r="O1700" t="inlineStr">
        <is>
          <t xml:space="preserve">6 </t>
        </is>
      </c>
      <c r="P1700" t="inlineStr">
        <is>
          <t xml:space="preserve">250452  </t>
        </is>
      </c>
      <c r="Q1700" s="26" t="n">
        <v>6.9</v>
      </c>
      <c r="R1700" s="26">
        <f>Q1700*G1700</f>
        <v/>
      </c>
      <c r="S1700" t="n">
        <v>4.09</v>
      </c>
      <c r="T1700" s="18">
        <f>1 - V1700/S1700</f>
        <v/>
      </c>
      <c r="U1700" s="18" t="n">
        <v>0</v>
      </c>
      <c r="V1700" s="26" t="n">
        <v>4.09</v>
      </c>
      <c r="W1700" s="26">
        <f>V1700 - L1700</f>
        <v/>
      </c>
    </row>
    <row r="1701">
      <c r="A1701" s="11" t="n">
        <v>46220</v>
      </c>
      <c r="B1701" s="1" t="n">
        <v>20086</v>
      </c>
      <c r="C1701" s="1" t="inlineStr">
        <is>
          <t>022</t>
        </is>
      </c>
      <c r="D1701" s="1" t="inlineStr">
        <is>
          <t>113114</t>
        </is>
      </c>
      <c r="E1701" s="1" t="inlineStr">
        <is>
          <t xml:space="preserve">28194770       </t>
        </is>
      </c>
      <c r="F1701" s="5" t="inlineStr">
        <is>
          <t>AUTOS DE METAL 3 TEAMSTERZ EN BLISTER</t>
        </is>
      </c>
      <c r="G1701" t="n">
        <v>1</v>
      </c>
      <c r="H1701" s="7" t="n">
        <v>6.9</v>
      </c>
      <c r="I1701" s="7" t="n">
        <v>0</v>
      </c>
      <c r="J1701" s="7" t="n">
        <v>0</v>
      </c>
      <c r="K1701" s="9" t="n">
        <v>0</v>
      </c>
      <c r="L1701" s="10" t="n">
        <v>4.1</v>
      </c>
      <c r="M1701" s="10" t="n">
        <v>1.43</v>
      </c>
      <c r="N1701" t="inlineStr">
        <is>
          <t>1</t>
        </is>
      </c>
      <c r="O1701" t="inlineStr">
        <is>
          <t xml:space="preserve">2 </t>
        </is>
      </c>
      <c r="P1701" t="inlineStr">
        <is>
          <t xml:space="preserve">74639   </t>
        </is>
      </c>
      <c r="Q1701" s="26" t="n">
        <v>6.9</v>
      </c>
      <c r="R1701" s="26">
        <f>Q1701*G1701</f>
        <v/>
      </c>
      <c r="S1701" t="n">
        <v>4.09</v>
      </c>
      <c r="T1701" s="18">
        <f>1 - V1701/S1701</f>
        <v/>
      </c>
      <c r="U1701" s="18" t="n">
        <v>0</v>
      </c>
      <c r="V1701" s="26" t="n">
        <v>4.09</v>
      </c>
      <c r="W1701" s="26">
        <f>V1701 - L1701</f>
        <v/>
      </c>
    </row>
    <row r="1702">
      <c r="A1702" s="11" t="n">
        <v>46220</v>
      </c>
      <c r="B1702" s="1" t="n">
        <v>20086</v>
      </c>
      <c r="C1702" s="1" t="inlineStr">
        <is>
          <t>192</t>
        </is>
      </c>
      <c r="D1702" s="1" t="inlineStr">
        <is>
          <t>129147</t>
        </is>
      </c>
      <c r="E1702" s="1" t="inlineStr">
        <is>
          <t xml:space="preserve">28194769       </t>
        </is>
      </c>
      <c r="F1702" s="5" t="inlineStr">
        <is>
          <t>AUTOS DE METAL 3 TEAMSTERZ PACK DE 2</t>
        </is>
      </c>
      <c r="G1702" t="n">
        <v>1</v>
      </c>
      <c r="H1702" s="7" t="n">
        <v>13.8</v>
      </c>
      <c r="I1702" s="7" t="n">
        <v>0</v>
      </c>
      <c r="J1702" s="7" t="n">
        <v>0</v>
      </c>
      <c r="K1702" s="9" t="n">
        <v>0</v>
      </c>
      <c r="L1702" s="10" t="n">
        <v>8.18</v>
      </c>
      <c r="M1702" s="10" t="n">
        <v>1.43</v>
      </c>
      <c r="N1702" t="inlineStr">
        <is>
          <t>1</t>
        </is>
      </c>
      <c r="O1702" t="inlineStr">
        <is>
          <t>16</t>
        </is>
      </c>
      <c r="P1702" t="inlineStr">
        <is>
          <t xml:space="preserve">74931   </t>
        </is>
      </c>
      <c r="Q1702" s="26" t="n">
        <v>13.8</v>
      </c>
      <c r="R1702" s="26">
        <f>Q1702*G1702</f>
        <v/>
      </c>
      <c r="S1702" t="n">
        <v>8.19</v>
      </c>
      <c r="T1702" s="18">
        <f>1 - V1702/S1702</f>
        <v/>
      </c>
      <c r="U1702" s="18" t="n">
        <v>0</v>
      </c>
      <c r="V1702" s="26" t="n">
        <v>8.19</v>
      </c>
      <c r="W1702" s="26">
        <f>V1702 - L1702</f>
        <v/>
      </c>
    </row>
    <row r="1703">
      <c r="A1703" s="11" t="n">
        <v>46220</v>
      </c>
      <c r="B1703" s="1" t="n">
        <v>20088</v>
      </c>
      <c r="C1703" s="1" t="inlineStr">
        <is>
          <t>021</t>
        </is>
      </c>
      <c r="D1703" s="1" t="inlineStr">
        <is>
          <t xml:space="preserve">49328 </t>
        </is>
      </c>
      <c r="E1703" s="1" t="inlineStr">
        <is>
          <t xml:space="preserve">30232284       </t>
        </is>
      </c>
      <c r="F1703" s="5" t="inlineStr">
        <is>
          <t>INFINITY NADO TROMPO DE BATALLA - METAL C/PUNTA DE</t>
        </is>
      </c>
      <c r="G1703" t="n">
        <v>1</v>
      </c>
      <c r="H1703" s="7" t="n">
        <v>34.9</v>
      </c>
      <c r="I1703" s="7" t="n">
        <v>3.49</v>
      </c>
      <c r="J1703" s="7" t="n">
        <v>0</v>
      </c>
      <c r="K1703" s="9" t="n">
        <v>3.49</v>
      </c>
      <c r="L1703" s="10" t="n">
        <v>18.63</v>
      </c>
      <c r="M1703" s="10" t="n">
        <v>1.43</v>
      </c>
      <c r="N1703" t="inlineStr">
        <is>
          <t>1</t>
        </is>
      </c>
      <c r="O1703" t="inlineStr">
        <is>
          <t xml:space="preserve">3 </t>
        </is>
      </c>
      <c r="P1703" t="inlineStr">
        <is>
          <t xml:space="preserve">248960  </t>
        </is>
      </c>
      <c r="Q1703" s="26" t="n">
        <v>49.9</v>
      </c>
      <c r="R1703" s="26">
        <f>Q1703*G1703</f>
        <v/>
      </c>
      <c r="S1703" t="n">
        <v>29.6</v>
      </c>
      <c r="T1703" s="18">
        <f>1 - V1703/S1703</f>
        <v/>
      </c>
      <c r="U1703" s="18" t="n">
        <v>0.3006012024048096</v>
      </c>
      <c r="V1703" s="26" t="n">
        <v>22.18220338983051</v>
      </c>
      <c r="W1703" s="26">
        <f>V1703 - L1703</f>
        <v/>
      </c>
    </row>
    <row r="1704">
      <c r="A1704" s="11" t="n">
        <v>46220</v>
      </c>
      <c r="B1704" s="1" t="n">
        <v>20088</v>
      </c>
      <c r="C1704" s="1" t="inlineStr">
        <is>
          <t>021</t>
        </is>
      </c>
      <c r="D1704" s="1" t="inlineStr">
        <is>
          <t xml:space="preserve">49328 </t>
        </is>
      </c>
      <c r="E1704" s="1" t="inlineStr">
        <is>
          <t xml:space="preserve">31754676       </t>
        </is>
      </c>
      <c r="F1704" s="5" t="inlineStr">
        <is>
          <t>INFINITY NADO SERIE 6 STD PACK LANZ ESPAD ANILLO M</t>
        </is>
      </c>
      <c r="G1704" t="n">
        <v>1</v>
      </c>
      <c r="H1704" s="7" t="n">
        <v>59.9</v>
      </c>
      <c r="I1704" s="7" t="n">
        <v>5.99</v>
      </c>
      <c r="J1704" s="7" t="n">
        <v>0</v>
      </c>
      <c r="K1704" s="9" t="n">
        <v>5.99</v>
      </c>
      <c r="L1704" s="10" t="n">
        <v>31.98</v>
      </c>
      <c r="M1704" s="10" t="n">
        <v>1.43</v>
      </c>
      <c r="N1704" t="inlineStr">
        <is>
          <t>1</t>
        </is>
      </c>
      <c r="O1704" t="inlineStr">
        <is>
          <t xml:space="preserve">3 </t>
        </is>
      </c>
      <c r="P1704" t="inlineStr">
        <is>
          <t xml:space="preserve">248960  </t>
        </is>
      </c>
      <c r="Q1704" s="26" t="n">
        <v>79.90000000000001</v>
      </c>
      <c r="R1704" s="26">
        <f>Q1704*G1704</f>
        <v/>
      </c>
      <c r="S1704" t="n">
        <v>47.4</v>
      </c>
      <c r="T1704" s="18">
        <f>1 - V1704/S1704</f>
        <v/>
      </c>
      <c r="U1704" s="18" t="n">
        <v>0.2503128911138924</v>
      </c>
      <c r="V1704" s="26" t="n">
        <v>38.07203389830509</v>
      </c>
      <c r="W1704" s="26">
        <f>V1704 - L1704</f>
        <v/>
      </c>
    </row>
    <row r="1705">
      <c r="A1705" s="11" t="n">
        <v>46220</v>
      </c>
      <c r="B1705" s="1" t="n">
        <v>20088</v>
      </c>
      <c r="C1705" s="1" t="inlineStr">
        <is>
          <t>023</t>
        </is>
      </c>
      <c r="D1705" s="1" t="inlineStr">
        <is>
          <t>127208</t>
        </is>
      </c>
      <c r="E1705" s="1" t="inlineStr">
        <is>
          <t xml:space="preserve">32457105       </t>
        </is>
      </c>
      <c r="F1705" s="5" t="inlineStr">
        <is>
          <t>TMZ BEAST MACHINES MONSTER JAWS ATAQUE ESCORPION +</t>
        </is>
      </c>
      <c r="G1705" t="n">
        <v>1</v>
      </c>
      <c r="H1705" s="7" t="n">
        <v>49.9</v>
      </c>
      <c r="I1705" s="7" t="n">
        <v>0</v>
      </c>
      <c r="J1705" s="7" t="n">
        <v>0</v>
      </c>
      <c r="K1705" s="9" t="n">
        <v>0</v>
      </c>
      <c r="L1705" s="10" t="n">
        <v>29.6</v>
      </c>
      <c r="M1705" s="10" t="n">
        <v>1.43</v>
      </c>
      <c r="N1705" t="inlineStr">
        <is>
          <t>1</t>
        </is>
      </c>
      <c r="O1705" t="inlineStr">
        <is>
          <t>16</t>
        </is>
      </c>
      <c r="P1705" t="inlineStr">
        <is>
          <t xml:space="preserve">232153  </t>
        </is>
      </c>
      <c r="Q1705" s="26" t="n">
        <v>69.90000000000001</v>
      </c>
      <c r="R1705" s="26">
        <f>Q1705*G1705</f>
        <v/>
      </c>
      <c r="S1705" t="n">
        <v>41.47</v>
      </c>
      <c r="T1705" s="18">
        <f>1 - V1705/S1705</f>
        <v/>
      </c>
      <c r="U1705" s="18" t="n">
        <v>0.2861230329041489</v>
      </c>
      <c r="V1705" s="26" t="n">
        <v>31.71610169491525</v>
      </c>
      <c r="W1705" s="26">
        <f>V1705 - L1705</f>
        <v/>
      </c>
    </row>
    <row r="1706">
      <c r="A1706" s="11" t="n">
        <v>46220</v>
      </c>
      <c r="B1706" s="1" t="n">
        <v>20089</v>
      </c>
      <c r="C1706" s="1" t="inlineStr">
        <is>
          <t>025</t>
        </is>
      </c>
      <c r="D1706" s="1" t="inlineStr">
        <is>
          <t>121887</t>
        </is>
      </c>
      <c r="E1706" s="1" t="inlineStr">
        <is>
          <t xml:space="preserve">30141766       </t>
        </is>
      </c>
      <c r="F1706" s="5" t="inlineStr">
        <is>
          <t>TMZ BEAST MACHINES AUTOS DE METAL BLISTER X 1</t>
        </is>
      </c>
      <c r="G1706" t="n">
        <v>1</v>
      </c>
      <c r="H1706" s="7" t="n">
        <v>7.9</v>
      </c>
      <c r="I1706" s="7" t="n">
        <v>0</v>
      </c>
      <c r="J1706" s="7" t="n">
        <v>0</v>
      </c>
      <c r="K1706" s="9" t="n">
        <v>0</v>
      </c>
      <c r="L1706" s="10" t="n">
        <v>4.68</v>
      </c>
      <c r="M1706" s="10" t="n">
        <v>1.43</v>
      </c>
      <c r="N1706" t="inlineStr">
        <is>
          <t>1</t>
        </is>
      </c>
      <c r="O1706" t="inlineStr">
        <is>
          <t xml:space="preserve">2 </t>
        </is>
      </c>
      <c r="P1706" t="inlineStr">
        <is>
          <t xml:space="preserve">232968  </t>
        </is>
      </c>
      <c r="Q1706" s="26" t="n">
        <v>7.9</v>
      </c>
      <c r="R1706" s="26">
        <f>Q1706*G1706</f>
        <v/>
      </c>
      <c r="S1706" t="n">
        <v>4.69</v>
      </c>
      <c r="T1706" s="18">
        <f>1 - V1706/S1706</f>
        <v/>
      </c>
      <c r="U1706" s="18" t="n">
        <v>0</v>
      </c>
      <c r="V1706" s="26" t="n">
        <v>4.69</v>
      </c>
      <c r="W1706" s="26">
        <f>V1706 - L1706</f>
        <v/>
      </c>
    </row>
    <row r="1707">
      <c r="A1707" s="11" t="n">
        <v>46220</v>
      </c>
      <c r="B1707" s="1" t="n">
        <v>20089</v>
      </c>
      <c r="C1707" s="1" t="inlineStr">
        <is>
          <t>025</t>
        </is>
      </c>
      <c r="D1707" s="1" t="inlineStr">
        <is>
          <t>121887</t>
        </is>
      </c>
      <c r="E1707" s="1" t="inlineStr">
        <is>
          <t xml:space="preserve">30141766       </t>
        </is>
      </c>
      <c r="F1707" s="5" t="inlineStr">
        <is>
          <t>TMZ BEAST MACHINES AUTOS DE METAL BLISTER X 1</t>
        </is>
      </c>
      <c r="G1707" t="n">
        <v>1</v>
      </c>
      <c r="H1707" s="7" t="n">
        <v>7.9</v>
      </c>
      <c r="I1707" s="7" t="n">
        <v>0</v>
      </c>
      <c r="J1707" s="7" t="n">
        <v>0</v>
      </c>
      <c r="K1707" s="9" t="n">
        <v>0</v>
      </c>
      <c r="L1707" s="10" t="n">
        <v>4.68</v>
      </c>
      <c r="M1707" s="10" t="n">
        <v>1.43</v>
      </c>
      <c r="N1707" t="inlineStr">
        <is>
          <t>1</t>
        </is>
      </c>
      <c r="O1707" t="inlineStr">
        <is>
          <t xml:space="preserve">2 </t>
        </is>
      </c>
      <c r="P1707" t="inlineStr">
        <is>
          <t xml:space="preserve">232968  </t>
        </is>
      </c>
      <c r="Q1707" s="26" t="n">
        <v>7.9</v>
      </c>
      <c r="R1707" s="26">
        <f>Q1707*G1707</f>
        <v/>
      </c>
      <c r="S1707" t="n">
        <v>4.69</v>
      </c>
      <c r="T1707" s="18">
        <f>1 - V1707/S1707</f>
        <v/>
      </c>
      <c r="U1707" s="18" t="n">
        <v>0</v>
      </c>
      <c r="V1707" s="26" t="n">
        <v>4.69</v>
      </c>
      <c r="W1707" s="26">
        <f>V1707 - L1707</f>
        <v/>
      </c>
    </row>
    <row r="1708">
      <c r="A1708" s="11" t="n">
        <v>46220</v>
      </c>
      <c r="B1708" s="1" t="n">
        <v>20089</v>
      </c>
      <c r="C1708" s="1" t="inlineStr">
        <is>
          <t>025</t>
        </is>
      </c>
      <c r="D1708" s="1" t="inlineStr">
        <is>
          <t>121944</t>
        </is>
      </c>
      <c r="E1708" s="1" t="inlineStr">
        <is>
          <t xml:space="preserve">28194770       </t>
        </is>
      </c>
      <c r="F1708" s="5" t="inlineStr">
        <is>
          <t>AUTOS DE METAL 3 TEAMSTERZ EN BLISTER</t>
        </is>
      </c>
      <c r="G1708" t="n">
        <v>1</v>
      </c>
      <c r="H1708" s="7" t="n">
        <v>6.9</v>
      </c>
      <c r="I1708" s="7" t="n">
        <v>0.6899999999999999</v>
      </c>
      <c r="J1708" s="7" t="n">
        <v>0</v>
      </c>
      <c r="K1708" s="9" t="n">
        <v>0.6899999999999999</v>
      </c>
      <c r="L1708" s="10" t="n">
        <v>3.68</v>
      </c>
      <c r="M1708" s="10" t="n">
        <v>1.43</v>
      </c>
      <c r="N1708" t="inlineStr">
        <is>
          <t>1</t>
        </is>
      </c>
      <c r="O1708" t="inlineStr">
        <is>
          <t xml:space="preserve">3 </t>
        </is>
      </c>
      <c r="P1708" t="inlineStr">
        <is>
          <t xml:space="preserve">246416  </t>
        </is>
      </c>
      <c r="Q1708" s="26" t="n">
        <v>6.9</v>
      </c>
      <c r="R1708" s="26">
        <f>Q1708*G1708</f>
        <v/>
      </c>
      <c r="S1708" t="n">
        <v>4.09</v>
      </c>
      <c r="T1708" s="18">
        <f>1 - V1708/S1708</f>
        <v/>
      </c>
      <c r="U1708" s="18" t="n">
        <v>0</v>
      </c>
      <c r="V1708" s="26" t="n">
        <v>4.09</v>
      </c>
      <c r="W1708" s="26">
        <f>V1708 - L1708</f>
        <v/>
      </c>
    </row>
    <row r="1709">
      <c r="A1709" s="11" t="n">
        <v>46220</v>
      </c>
      <c r="B1709" s="1" t="n">
        <v>20089</v>
      </c>
      <c r="C1709" s="1" t="inlineStr">
        <is>
          <t>025</t>
        </is>
      </c>
      <c r="D1709" s="1" t="inlineStr">
        <is>
          <t>121944</t>
        </is>
      </c>
      <c r="E1709" s="1" t="inlineStr">
        <is>
          <t xml:space="preserve">28194770       </t>
        </is>
      </c>
      <c r="F1709" s="5" t="inlineStr">
        <is>
          <t>AUTOS DE METAL 3 TEAMSTERZ EN BLISTER</t>
        </is>
      </c>
      <c r="G1709" t="n">
        <v>1</v>
      </c>
      <c r="H1709" s="7" t="n">
        <v>6.9</v>
      </c>
      <c r="I1709" s="7" t="n">
        <v>0.6899999999999999</v>
      </c>
      <c r="J1709" s="7" t="n">
        <v>0</v>
      </c>
      <c r="K1709" s="9" t="n">
        <v>0.6899999999999999</v>
      </c>
      <c r="L1709" s="10" t="n">
        <v>3.68</v>
      </c>
      <c r="M1709" s="10" t="n">
        <v>1.43</v>
      </c>
      <c r="N1709" t="inlineStr">
        <is>
          <t>1</t>
        </is>
      </c>
      <c r="O1709" t="inlineStr">
        <is>
          <t xml:space="preserve">3 </t>
        </is>
      </c>
      <c r="P1709" t="inlineStr">
        <is>
          <t xml:space="preserve">246416  </t>
        </is>
      </c>
      <c r="Q1709" s="26" t="n">
        <v>6.9</v>
      </c>
      <c r="R1709" s="26">
        <f>Q1709*G1709</f>
        <v/>
      </c>
      <c r="S1709" t="n">
        <v>4.09</v>
      </c>
      <c r="T1709" s="18">
        <f>1 - V1709/S1709</f>
        <v/>
      </c>
      <c r="U1709" s="18" t="n">
        <v>0</v>
      </c>
      <c r="V1709" s="26" t="n">
        <v>4.09</v>
      </c>
      <c r="W1709" s="26">
        <f>V1709 - L1709</f>
        <v/>
      </c>
    </row>
    <row r="1710">
      <c r="A1710" s="11" t="n">
        <v>46220</v>
      </c>
      <c r="B1710" s="1" t="n">
        <v>20089</v>
      </c>
      <c r="C1710" s="1" t="inlineStr">
        <is>
          <t>025</t>
        </is>
      </c>
      <c r="D1710" s="1" t="inlineStr">
        <is>
          <t>121944</t>
        </is>
      </c>
      <c r="E1710" s="1" t="inlineStr">
        <is>
          <t xml:space="preserve">28194770       </t>
        </is>
      </c>
      <c r="F1710" s="5" t="inlineStr">
        <is>
          <t>AUTOS DE METAL 3 TEAMSTERZ EN BLISTER</t>
        </is>
      </c>
      <c r="G1710" t="n">
        <v>1</v>
      </c>
      <c r="H1710" s="7" t="n">
        <v>6.9</v>
      </c>
      <c r="I1710" s="7" t="n">
        <v>0.6899999999999999</v>
      </c>
      <c r="J1710" s="7" t="n">
        <v>0</v>
      </c>
      <c r="K1710" s="9" t="n">
        <v>0.6899999999999999</v>
      </c>
      <c r="L1710" s="10" t="n">
        <v>3.68</v>
      </c>
      <c r="M1710" s="10" t="n">
        <v>1.43</v>
      </c>
      <c r="N1710" t="inlineStr">
        <is>
          <t>1</t>
        </is>
      </c>
      <c r="O1710" t="inlineStr">
        <is>
          <t xml:space="preserve">3 </t>
        </is>
      </c>
      <c r="P1710" t="inlineStr">
        <is>
          <t xml:space="preserve">246416  </t>
        </is>
      </c>
      <c r="Q1710" s="26" t="n">
        <v>6.9</v>
      </c>
      <c r="R1710" s="26">
        <f>Q1710*G1710</f>
        <v/>
      </c>
      <c r="S1710" t="n">
        <v>4.09</v>
      </c>
      <c r="T1710" s="18">
        <f>1 - V1710/S1710</f>
        <v/>
      </c>
      <c r="U1710" s="18" t="n">
        <v>0</v>
      </c>
      <c r="V1710" s="26" t="n">
        <v>4.09</v>
      </c>
      <c r="W1710" s="26">
        <f>V1710 - L1710</f>
        <v/>
      </c>
    </row>
    <row r="1711">
      <c r="A1711" s="11" t="n">
        <v>46220</v>
      </c>
      <c r="B1711" s="1" t="n">
        <v>20089</v>
      </c>
      <c r="C1711" s="1" t="inlineStr">
        <is>
          <t>025</t>
        </is>
      </c>
      <c r="D1711" s="1" t="inlineStr">
        <is>
          <t>121959</t>
        </is>
      </c>
      <c r="E1711" s="1" t="inlineStr">
        <is>
          <t xml:space="preserve">28194768       </t>
        </is>
      </c>
      <c r="F1711" s="5" t="inlineStr">
        <is>
          <t>AUTO COLOR CHANGE TEAMSTERZ SURTIDO</t>
        </is>
      </c>
      <c r="G1711" t="n">
        <v>1</v>
      </c>
      <c r="H1711" s="7" t="n">
        <v>14.9</v>
      </c>
      <c r="I1711" s="7" t="n">
        <v>0</v>
      </c>
      <c r="J1711" s="7" t="n">
        <v>0</v>
      </c>
      <c r="K1711" s="9" t="n">
        <v>0</v>
      </c>
      <c r="L1711" s="10" t="n">
        <v>8.84</v>
      </c>
      <c r="M1711" s="10" t="n">
        <v>1.43</v>
      </c>
      <c r="N1711" t="inlineStr">
        <is>
          <t>1</t>
        </is>
      </c>
      <c r="O1711" t="inlineStr">
        <is>
          <t>16</t>
        </is>
      </c>
      <c r="P1711" t="inlineStr">
        <is>
          <t xml:space="preserve">246416  </t>
        </is>
      </c>
      <c r="Q1711" s="26" t="n">
        <v>14.9</v>
      </c>
      <c r="R1711" s="26">
        <f>Q1711*G1711</f>
        <v/>
      </c>
      <c r="S1711" t="n">
        <v>8.84</v>
      </c>
      <c r="T1711" s="18">
        <f>1 - V1711/S1711</f>
        <v/>
      </c>
      <c r="U1711" s="18" t="n">
        <v>0</v>
      </c>
      <c r="V1711" s="26" t="n">
        <v>8.84</v>
      </c>
      <c r="W1711" s="26">
        <f>V1711 - L1711</f>
        <v/>
      </c>
    </row>
    <row r="1712">
      <c r="A1712" s="11" t="n">
        <v>46220</v>
      </c>
      <c r="B1712" s="1" t="n">
        <v>20089</v>
      </c>
      <c r="C1712" s="1" t="inlineStr">
        <is>
          <t>025</t>
        </is>
      </c>
      <c r="D1712" s="1" t="inlineStr">
        <is>
          <t>121964</t>
        </is>
      </c>
      <c r="E1712" s="1" t="inlineStr">
        <is>
          <t xml:space="preserve">35685067       </t>
        </is>
      </c>
      <c r="F1712" s="5" t="inlineStr">
        <is>
          <t>HOT WHEELS POWER SET 3 EN 1</t>
        </is>
      </c>
      <c r="G1712" t="n">
        <v>1</v>
      </c>
      <c r="H1712" s="7" t="n">
        <v>49.9</v>
      </c>
      <c r="I1712" s="7" t="n">
        <v>0</v>
      </c>
      <c r="J1712" s="7" t="n">
        <v>0</v>
      </c>
      <c r="K1712" s="9" t="n">
        <v>0</v>
      </c>
      <c r="L1712" s="10" t="n">
        <v>29.6</v>
      </c>
      <c r="M1712" s="10" t="n">
        <v>1.43</v>
      </c>
      <c r="N1712" t="inlineStr">
        <is>
          <t>1</t>
        </is>
      </c>
      <c r="O1712" t="inlineStr">
        <is>
          <t>16</t>
        </is>
      </c>
      <c r="P1712" t="inlineStr">
        <is>
          <t xml:space="preserve">246416  </t>
        </is>
      </c>
      <c r="Q1712" s="26" t="n">
        <v>49.9</v>
      </c>
      <c r="R1712" s="26">
        <f>Q1712*G1712</f>
        <v/>
      </c>
      <c r="S1712" t="n">
        <v>29.6</v>
      </c>
      <c r="T1712" s="18">
        <f>1 - V1712/S1712</f>
        <v/>
      </c>
      <c r="U1712" s="18" t="n">
        <v>0</v>
      </c>
      <c r="V1712" s="26" t="n">
        <v>29.6</v>
      </c>
      <c r="W1712" s="26">
        <f>V1712 - L1712</f>
        <v/>
      </c>
    </row>
    <row r="1713">
      <c r="A1713" s="11" t="n">
        <v>46220</v>
      </c>
      <c r="B1713" s="1" t="n">
        <v>20089</v>
      </c>
      <c r="C1713" s="1" t="inlineStr">
        <is>
          <t>026</t>
        </is>
      </c>
      <c r="D1713" s="1" t="inlineStr">
        <is>
          <t xml:space="preserve">88097 </t>
        </is>
      </c>
      <c r="E1713" s="1" t="inlineStr">
        <is>
          <t xml:space="preserve">28194770       </t>
        </is>
      </c>
      <c r="F1713" s="5" t="inlineStr">
        <is>
          <t>AUTOS DE METAL 3 TEAMSTERZ EN BLISTER</t>
        </is>
      </c>
      <c r="G1713" t="n">
        <v>1</v>
      </c>
      <c r="H1713" s="7" t="n">
        <v>6.9</v>
      </c>
      <c r="I1713" s="7" t="n">
        <v>0</v>
      </c>
      <c r="J1713" s="7" t="n">
        <v>0</v>
      </c>
      <c r="K1713" s="9" t="n">
        <v>0</v>
      </c>
      <c r="L1713" s="10" t="n">
        <v>4.1</v>
      </c>
      <c r="M1713" s="10" t="n">
        <v>1.43</v>
      </c>
      <c r="N1713" t="inlineStr">
        <is>
          <t>1</t>
        </is>
      </c>
      <c r="O1713" t="inlineStr">
        <is>
          <t xml:space="preserve">2 </t>
        </is>
      </c>
      <c r="P1713" t="inlineStr">
        <is>
          <t xml:space="preserve">82992   </t>
        </is>
      </c>
      <c r="Q1713" s="26" t="n">
        <v>6.9</v>
      </c>
      <c r="R1713" s="26">
        <f>Q1713*G1713</f>
        <v/>
      </c>
      <c r="S1713" t="n">
        <v>4.09</v>
      </c>
      <c r="T1713" s="18">
        <f>1 - V1713/S1713</f>
        <v/>
      </c>
      <c r="U1713" s="18" t="n">
        <v>0</v>
      </c>
      <c r="V1713" s="26" t="n">
        <v>4.09</v>
      </c>
      <c r="W1713" s="26">
        <f>V1713 - L1713</f>
        <v/>
      </c>
    </row>
    <row r="1714">
      <c r="A1714" s="11" t="n">
        <v>46220</v>
      </c>
      <c r="B1714" s="1" t="n">
        <v>20089</v>
      </c>
      <c r="C1714" s="1" t="inlineStr">
        <is>
          <t>026</t>
        </is>
      </c>
      <c r="D1714" s="1" t="inlineStr">
        <is>
          <t xml:space="preserve">88097 </t>
        </is>
      </c>
      <c r="E1714" s="1" t="inlineStr">
        <is>
          <t xml:space="preserve">30141766       </t>
        </is>
      </c>
      <c r="F1714" s="5" t="inlineStr">
        <is>
          <t>TMZ BEAST MACHINES AUTOS DE METAL BLISTER X 1</t>
        </is>
      </c>
      <c r="G1714" t="n">
        <v>1</v>
      </c>
      <c r="H1714" s="7" t="n">
        <v>7.9</v>
      </c>
      <c r="I1714" s="7" t="n">
        <v>0</v>
      </c>
      <c r="J1714" s="7" t="n">
        <v>0</v>
      </c>
      <c r="K1714" s="9" t="n">
        <v>0</v>
      </c>
      <c r="L1714" s="10" t="n">
        <v>4.68</v>
      </c>
      <c r="M1714" s="10" t="n">
        <v>1.43</v>
      </c>
      <c r="N1714" t="inlineStr">
        <is>
          <t>1</t>
        </is>
      </c>
      <c r="O1714" t="inlineStr">
        <is>
          <t xml:space="preserve">2 </t>
        </is>
      </c>
      <c r="P1714" t="inlineStr">
        <is>
          <t xml:space="preserve">82992   </t>
        </is>
      </c>
      <c r="Q1714" s="26" t="n">
        <v>7.9</v>
      </c>
      <c r="R1714" s="26">
        <f>Q1714*G1714</f>
        <v/>
      </c>
      <c r="S1714" t="n">
        <v>4.69</v>
      </c>
      <c r="T1714" s="18">
        <f>1 - V1714/S1714</f>
        <v/>
      </c>
      <c r="U1714" s="18" t="n">
        <v>0</v>
      </c>
      <c r="V1714" s="26" t="n">
        <v>4.69</v>
      </c>
      <c r="W1714" s="26">
        <f>V1714 - L1714</f>
        <v/>
      </c>
    </row>
    <row r="1715">
      <c r="A1715" s="11" t="n">
        <v>46220</v>
      </c>
      <c r="B1715" s="1" t="n">
        <v>20089</v>
      </c>
      <c r="C1715" s="1" t="inlineStr">
        <is>
          <t>026</t>
        </is>
      </c>
      <c r="D1715" s="1" t="inlineStr">
        <is>
          <t xml:space="preserve">88120 </t>
        </is>
      </c>
      <c r="E1715" s="1" t="inlineStr">
        <is>
          <t xml:space="preserve">31959960       </t>
        </is>
      </c>
      <c r="F1715" s="5" t="inlineStr">
        <is>
          <t>TEAMSTERZ PLAYSET DE CONSTRUCCION VEHICULOS + ACCE</t>
        </is>
      </c>
      <c r="G1715" t="n">
        <v>1</v>
      </c>
      <c r="H1715" s="7" t="n">
        <v>39.9</v>
      </c>
      <c r="I1715" s="7" t="n">
        <v>3.99</v>
      </c>
      <c r="J1715" s="7" t="n">
        <v>0</v>
      </c>
      <c r="K1715" s="9" t="n">
        <v>3.99</v>
      </c>
      <c r="L1715" s="10" t="n">
        <v>21.3</v>
      </c>
      <c r="M1715" s="10" t="n">
        <v>1.43</v>
      </c>
      <c r="N1715" t="inlineStr">
        <is>
          <t>1</t>
        </is>
      </c>
      <c r="O1715" t="inlineStr">
        <is>
          <t xml:space="preserve">3 </t>
        </is>
      </c>
      <c r="P1715" t="inlineStr">
        <is>
          <t xml:space="preserve">82992   </t>
        </is>
      </c>
      <c r="Q1715" s="26" t="n">
        <v>39.9</v>
      </c>
      <c r="R1715" s="26">
        <f>Q1715*G1715</f>
        <v/>
      </c>
      <c r="S1715" t="n">
        <v>23.67</v>
      </c>
      <c r="T1715" s="18">
        <f>1 - V1715/S1715</f>
        <v/>
      </c>
      <c r="U1715" s="18" t="n">
        <v>0</v>
      </c>
      <c r="V1715" s="26" t="n">
        <v>23.67</v>
      </c>
      <c r="W1715" s="26">
        <f>V1715 - L1715</f>
        <v/>
      </c>
    </row>
    <row r="1716">
      <c r="A1716" s="11" t="n">
        <v>46220</v>
      </c>
      <c r="B1716" s="1" t="n">
        <v>20089</v>
      </c>
      <c r="C1716" s="1" t="inlineStr">
        <is>
          <t>026</t>
        </is>
      </c>
      <c r="D1716" s="1" t="inlineStr">
        <is>
          <t xml:space="preserve">88137 </t>
        </is>
      </c>
      <c r="E1716" s="1" t="inlineStr">
        <is>
          <t xml:space="preserve">28194769       </t>
        </is>
      </c>
      <c r="F1716" s="5" t="inlineStr">
        <is>
          <t>AUTOS DE METAL 3 TEAMSTERZ PACK DE 2</t>
        </is>
      </c>
      <c r="G1716" t="n">
        <v>1</v>
      </c>
      <c r="H1716" s="7" t="n">
        <v>13.8</v>
      </c>
      <c r="I1716" s="7" t="n">
        <v>0</v>
      </c>
      <c r="J1716" s="7" t="n">
        <v>0</v>
      </c>
      <c r="K1716" s="9" t="n">
        <v>0</v>
      </c>
      <c r="L1716" s="10" t="n">
        <v>8.18</v>
      </c>
      <c r="M1716" s="10" t="n">
        <v>1.43</v>
      </c>
      <c r="N1716" t="inlineStr">
        <is>
          <t>1</t>
        </is>
      </c>
      <c r="O1716" t="inlineStr">
        <is>
          <t>16</t>
        </is>
      </c>
      <c r="P1716" t="inlineStr">
        <is>
          <t xml:space="preserve">82992   </t>
        </is>
      </c>
      <c r="Q1716" s="26" t="n">
        <v>13.8</v>
      </c>
      <c r="R1716" s="26">
        <f>Q1716*G1716</f>
        <v/>
      </c>
      <c r="S1716" t="n">
        <v>8.19</v>
      </c>
      <c r="T1716" s="18">
        <f>1 - V1716/S1716</f>
        <v/>
      </c>
      <c r="U1716" s="18" t="n">
        <v>0</v>
      </c>
      <c r="V1716" s="26" t="n">
        <v>8.19</v>
      </c>
      <c r="W1716" s="26">
        <f>V1716 - L1716</f>
        <v/>
      </c>
    </row>
    <row r="1717">
      <c r="A1717" s="11" t="n">
        <v>46220</v>
      </c>
      <c r="B1717" s="1" t="n">
        <v>20089</v>
      </c>
      <c r="C1717" s="1" t="inlineStr">
        <is>
          <t>026</t>
        </is>
      </c>
      <c r="D1717" s="1" t="inlineStr">
        <is>
          <t xml:space="preserve">88137 </t>
        </is>
      </c>
      <c r="E1717" s="1" t="inlineStr">
        <is>
          <t xml:space="preserve">30141766       </t>
        </is>
      </c>
      <c r="F1717" s="5" t="inlineStr">
        <is>
          <t>TMZ BEAST MACHINES AUTOS DE METAL BLISTER X 1</t>
        </is>
      </c>
      <c r="G1717" t="n">
        <v>1</v>
      </c>
      <c r="H1717" s="7" t="n">
        <v>7.9</v>
      </c>
      <c r="I1717" s="7" t="n">
        <v>0</v>
      </c>
      <c r="J1717" s="7" t="n">
        <v>0</v>
      </c>
      <c r="K1717" s="9" t="n">
        <v>0</v>
      </c>
      <c r="L1717" s="10" t="n">
        <v>4.68</v>
      </c>
      <c r="M1717" s="10" t="n">
        <v>1.43</v>
      </c>
      <c r="N1717" t="inlineStr">
        <is>
          <t>1</t>
        </is>
      </c>
      <c r="O1717" t="inlineStr">
        <is>
          <t>16</t>
        </is>
      </c>
      <c r="P1717" t="inlineStr">
        <is>
          <t xml:space="preserve">82992   </t>
        </is>
      </c>
      <c r="Q1717" s="26" t="n">
        <v>7.9</v>
      </c>
      <c r="R1717" s="26">
        <f>Q1717*G1717</f>
        <v/>
      </c>
      <c r="S1717" t="n">
        <v>4.69</v>
      </c>
      <c r="T1717" s="18">
        <f>1 - V1717/S1717</f>
        <v/>
      </c>
      <c r="U1717" s="18" t="n">
        <v>0</v>
      </c>
      <c r="V1717" s="26" t="n">
        <v>4.69</v>
      </c>
      <c r="W1717" s="26">
        <f>V1717 - L1717</f>
        <v/>
      </c>
    </row>
    <row r="1718">
      <c r="A1718" s="11" t="n">
        <v>46220</v>
      </c>
      <c r="B1718" s="1" t="n">
        <v>20089</v>
      </c>
      <c r="C1718" s="1" t="inlineStr">
        <is>
          <t>520</t>
        </is>
      </c>
      <c r="D1718" s="1" t="inlineStr">
        <is>
          <t xml:space="preserve">2918  </t>
        </is>
      </c>
      <c r="E1718" s="1" t="inlineStr">
        <is>
          <t xml:space="preserve">28194770       </t>
        </is>
      </c>
      <c r="F1718" s="5" t="inlineStr">
        <is>
          <t>AUTOS DE METAL 3 TEAMSTERZ EN BLISTER</t>
        </is>
      </c>
      <c r="G1718" t="n">
        <v>1</v>
      </c>
      <c r="H1718" s="7" t="n">
        <v>6.9</v>
      </c>
      <c r="I1718" s="7" t="n">
        <v>0</v>
      </c>
      <c r="J1718" s="7" t="n">
        <v>0</v>
      </c>
      <c r="K1718" s="9" t="n">
        <v>0</v>
      </c>
      <c r="L1718" s="10" t="n">
        <v>4.1</v>
      </c>
      <c r="M1718" s="10" t="n">
        <v>1.43</v>
      </c>
      <c r="N1718" t="inlineStr">
        <is>
          <t>1</t>
        </is>
      </c>
      <c r="O1718" t="inlineStr">
        <is>
          <t>16</t>
        </is>
      </c>
      <c r="P1718" t="inlineStr">
        <is>
          <t xml:space="preserve">250455  </t>
        </is>
      </c>
      <c r="Q1718" s="26" t="n">
        <v>6.9</v>
      </c>
      <c r="R1718" s="26">
        <f>Q1718*G1718</f>
        <v/>
      </c>
      <c r="S1718" t="n">
        <v>4.09</v>
      </c>
      <c r="T1718" s="18">
        <f>1 - V1718/S1718</f>
        <v/>
      </c>
      <c r="U1718" s="18" t="n">
        <v>0</v>
      </c>
      <c r="V1718" s="26" t="n">
        <v>4.09</v>
      </c>
      <c r="W1718" s="26">
        <f>V1718 - L1718</f>
        <v/>
      </c>
    </row>
    <row r="1719">
      <c r="A1719" s="11" t="n">
        <v>46220</v>
      </c>
      <c r="B1719" s="1" t="n">
        <v>20089</v>
      </c>
      <c r="C1719" s="1" t="inlineStr">
        <is>
          <t>862</t>
        </is>
      </c>
      <c r="D1719" s="1" t="inlineStr">
        <is>
          <t xml:space="preserve">8547  </t>
        </is>
      </c>
      <c r="E1719" s="1" t="inlineStr">
        <is>
          <t xml:space="preserve">28194780       </t>
        </is>
      </c>
      <c r="F1719" s="5" t="inlineStr">
        <is>
          <t>TROMPO BATALLA INFINITY NADO PLSTICO SURTIDO</t>
        </is>
      </c>
      <c r="G1719" t="n">
        <v>1</v>
      </c>
      <c r="H1719" s="7" t="n">
        <v>19.9</v>
      </c>
      <c r="I1719" s="7" t="n">
        <v>0</v>
      </c>
      <c r="J1719" s="7" t="n">
        <v>0</v>
      </c>
      <c r="K1719" s="9" t="n">
        <v>0</v>
      </c>
      <c r="L1719" s="10" t="n">
        <v>11.8</v>
      </c>
      <c r="M1719" s="10" t="n">
        <v>1.43</v>
      </c>
      <c r="N1719" t="inlineStr">
        <is>
          <t>1</t>
        </is>
      </c>
      <c r="O1719" t="inlineStr">
        <is>
          <t>16</t>
        </is>
      </c>
      <c r="P1719" t="inlineStr">
        <is>
          <t xml:space="preserve">0       </t>
        </is>
      </c>
      <c r="Q1719" s="26" t="n">
        <v>19.9</v>
      </c>
      <c r="R1719" s="26">
        <f>Q1719*G1719</f>
        <v/>
      </c>
      <c r="S1719" t="n">
        <v>11.81</v>
      </c>
      <c r="T1719" s="18">
        <f>1 - V1719/S1719</f>
        <v/>
      </c>
      <c r="U1719" s="18" t="n">
        <v>0</v>
      </c>
      <c r="V1719" s="26" t="n">
        <v>11.81</v>
      </c>
      <c r="W1719" s="26">
        <f>V1719 - L1719</f>
        <v/>
      </c>
    </row>
    <row r="1720">
      <c r="A1720" s="11" t="n">
        <v>46220</v>
      </c>
      <c r="B1720" s="1" t="n">
        <v>20095</v>
      </c>
      <c r="C1720" s="1" t="inlineStr">
        <is>
          <t>026</t>
        </is>
      </c>
      <c r="D1720" s="1" t="inlineStr">
        <is>
          <t xml:space="preserve">55388 </t>
        </is>
      </c>
      <c r="E1720" s="1" t="inlineStr">
        <is>
          <t xml:space="preserve">33483121       </t>
        </is>
      </c>
      <c r="F1720" s="5" t="inlineStr">
        <is>
          <t>HOT WHEELS ESTUCHE PARA 15 AUTOS SURTIDO</t>
        </is>
      </c>
      <c r="G1720" t="n">
        <v>1</v>
      </c>
      <c r="H1720" s="7" t="n">
        <v>34.9</v>
      </c>
      <c r="I1720" s="7" t="n">
        <v>0</v>
      </c>
      <c r="J1720" s="7" t="n">
        <v>0</v>
      </c>
      <c r="K1720" s="9" t="n">
        <v>0</v>
      </c>
      <c r="L1720" s="10" t="n">
        <v>20.71</v>
      </c>
      <c r="M1720" s="10" t="n">
        <v>1.43</v>
      </c>
      <c r="N1720" t="inlineStr">
        <is>
          <t>1</t>
        </is>
      </c>
      <c r="O1720" t="inlineStr">
        <is>
          <t>16</t>
        </is>
      </c>
      <c r="P1720" t="inlineStr">
        <is>
          <t xml:space="preserve">250453  </t>
        </is>
      </c>
      <c r="Q1720" s="26" t="n">
        <v>34.9</v>
      </c>
      <c r="R1720" s="26">
        <f>Q1720*G1720</f>
        <v/>
      </c>
      <c r="S1720" t="n">
        <v>20.7</v>
      </c>
      <c r="T1720" s="18">
        <f>1 - V1720/S1720</f>
        <v/>
      </c>
      <c r="U1720" s="18" t="n">
        <v>0</v>
      </c>
      <c r="V1720" s="26" t="n">
        <v>20.7</v>
      </c>
      <c r="W1720" s="26">
        <f>V1720 - L1720</f>
        <v/>
      </c>
    </row>
    <row r="1721">
      <c r="A1721" s="11" t="n">
        <v>46220</v>
      </c>
      <c r="B1721" s="1" t="n">
        <v>20095</v>
      </c>
      <c r="C1721" s="1" t="inlineStr">
        <is>
          <t>026</t>
        </is>
      </c>
      <c r="D1721" s="1" t="inlineStr">
        <is>
          <t xml:space="preserve">55388 </t>
        </is>
      </c>
      <c r="E1721" s="1" t="inlineStr">
        <is>
          <t xml:space="preserve">35685067       </t>
        </is>
      </c>
      <c r="F1721" s="5" t="inlineStr">
        <is>
          <t>HOT WHEELS POWER SET 3 EN 1</t>
        </is>
      </c>
      <c r="G1721" t="n">
        <v>1</v>
      </c>
      <c r="H1721" s="7" t="n">
        <v>49.9</v>
      </c>
      <c r="I1721" s="7" t="n">
        <v>0</v>
      </c>
      <c r="J1721" s="7" t="n">
        <v>0</v>
      </c>
      <c r="K1721" s="9" t="n">
        <v>0</v>
      </c>
      <c r="L1721" s="10" t="n">
        <v>29.6</v>
      </c>
      <c r="M1721" s="10" t="n">
        <v>1.43</v>
      </c>
      <c r="N1721" t="inlineStr">
        <is>
          <t>1</t>
        </is>
      </c>
      <c r="O1721" t="inlineStr">
        <is>
          <t>16</t>
        </is>
      </c>
      <c r="P1721" t="inlineStr">
        <is>
          <t xml:space="preserve">250453  </t>
        </is>
      </c>
      <c r="Q1721" s="26" t="n">
        <v>49.9</v>
      </c>
      <c r="R1721" s="26">
        <f>Q1721*G1721</f>
        <v/>
      </c>
      <c r="S1721" t="n">
        <v>29.6</v>
      </c>
      <c r="T1721" s="18">
        <f>1 - V1721/S1721</f>
        <v/>
      </c>
      <c r="U1721" s="18" t="n">
        <v>0</v>
      </c>
      <c r="V1721" s="26" t="n">
        <v>29.6</v>
      </c>
      <c r="W1721" s="26">
        <f>V1721 - L1721</f>
        <v/>
      </c>
    </row>
    <row r="1722">
      <c r="A1722" s="11" t="n">
        <v>46221</v>
      </c>
      <c r="B1722" s="1" t="n">
        <v>20021</v>
      </c>
      <c r="C1722" s="1" t="inlineStr">
        <is>
          <t>034</t>
        </is>
      </c>
      <c r="D1722" s="1" t="inlineStr">
        <is>
          <t xml:space="preserve">45378 </t>
        </is>
      </c>
      <c r="E1722" s="1" t="inlineStr">
        <is>
          <t xml:space="preserve">29235700       </t>
        </is>
      </c>
      <c r="F1722" s="5" t="inlineStr">
        <is>
          <t>HOT WHEELS CASE METALICO PARA GUARDAR 18 CARRITOS</t>
        </is>
      </c>
      <c r="G1722" t="n">
        <v>1</v>
      </c>
      <c r="H1722" s="7" t="n">
        <v>49.9</v>
      </c>
      <c r="I1722" s="7" t="n">
        <v>0</v>
      </c>
      <c r="J1722" s="7" t="n">
        <v>0</v>
      </c>
      <c r="K1722" s="9" t="n">
        <v>0</v>
      </c>
      <c r="L1722" s="10" t="n">
        <v>29.6</v>
      </c>
      <c r="M1722" s="10" t="n">
        <v>1.43</v>
      </c>
      <c r="N1722" t="inlineStr">
        <is>
          <t>1</t>
        </is>
      </c>
      <c r="O1722" t="inlineStr">
        <is>
          <t>16</t>
        </is>
      </c>
      <c r="P1722" t="inlineStr">
        <is>
          <t xml:space="preserve">74460   </t>
        </is>
      </c>
      <c r="Q1722" s="26" t="n">
        <v>49.90000000000001</v>
      </c>
      <c r="R1722" s="26">
        <f>Q1722*G1722</f>
        <v/>
      </c>
      <c r="S1722" t="n">
        <v>29.6</v>
      </c>
      <c r="T1722" s="18">
        <f>1 - V1722/S1722</f>
        <v/>
      </c>
      <c r="U1722" s="18" t="n">
        <v>0</v>
      </c>
      <c r="V1722" s="26" t="n">
        <v>29.6</v>
      </c>
      <c r="W1722" s="26">
        <f>V1722 - L1722</f>
        <v/>
      </c>
    </row>
    <row r="1723">
      <c r="A1723" s="11" t="n">
        <v>46221</v>
      </c>
      <c r="B1723" s="1" t="n">
        <v>20021</v>
      </c>
      <c r="C1723" s="1" t="inlineStr">
        <is>
          <t>042</t>
        </is>
      </c>
      <c r="D1723" s="1" t="inlineStr">
        <is>
          <t>128638</t>
        </is>
      </c>
      <c r="E1723" s="1" t="inlineStr">
        <is>
          <t xml:space="preserve">32457099       </t>
        </is>
      </c>
      <c r="F1723" s="5" t="inlineStr">
        <is>
          <t>TMZ BEAST MACHINES MONSTER JAWS A FRICCION BLISTER</t>
        </is>
      </c>
      <c r="G1723" t="n">
        <v>1</v>
      </c>
      <c r="H1723" s="7" t="n">
        <v>17.9</v>
      </c>
      <c r="I1723" s="7" t="n">
        <v>0</v>
      </c>
      <c r="J1723" s="7" t="n">
        <v>0</v>
      </c>
      <c r="K1723" s="9" t="n">
        <v>0</v>
      </c>
      <c r="L1723" s="10" t="n">
        <v>10.62</v>
      </c>
      <c r="M1723" s="10" t="n">
        <v>1.43</v>
      </c>
      <c r="N1723" t="inlineStr">
        <is>
          <t>1</t>
        </is>
      </c>
      <c r="O1723" t="inlineStr">
        <is>
          <t>16</t>
        </is>
      </c>
      <c r="P1723" t="inlineStr">
        <is>
          <t xml:space="preserve">12097   </t>
        </is>
      </c>
      <c r="Q1723" s="26" t="n">
        <v>19.9</v>
      </c>
      <c r="R1723" s="26">
        <f>Q1723*G1723</f>
        <v/>
      </c>
      <c r="S1723" t="n">
        <v>11.81</v>
      </c>
      <c r="T1723" s="18">
        <f>1 - V1723/S1723</f>
        <v/>
      </c>
      <c r="U1723" s="18" t="n">
        <v>0.1005025125628141</v>
      </c>
      <c r="V1723" s="26" t="n">
        <v>8.417118644067797</v>
      </c>
      <c r="W1723" s="26">
        <f>V1723 - L1723</f>
        <v/>
      </c>
    </row>
    <row r="1724">
      <c r="A1724" s="11" t="n">
        <v>46221</v>
      </c>
      <c r="B1724" s="1" t="n">
        <v>20021</v>
      </c>
      <c r="C1724" s="1" t="inlineStr">
        <is>
          <t>082</t>
        </is>
      </c>
      <c r="D1724" s="1" t="inlineStr">
        <is>
          <t>270403</t>
        </is>
      </c>
      <c r="E1724" s="1" t="inlineStr">
        <is>
          <t xml:space="preserve">34840552       </t>
        </is>
      </c>
      <c r="F1724" s="5" t="inlineStr">
        <is>
          <t>TMZ HELI POLICIA CON LUCES Y SONIDOS</t>
        </is>
      </c>
      <c r="G1724" t="n">
        <v>1</v>
      </c>
      <c r="H1724" s="7" t="n">
        <v>79.90000000000001</v>
      </c>
      <c r="I1724" s="7" t="n">
        <v>0</v>
      </c>
      <c r="J1724" s="7" t="n">
        <v>0</v>
      </c>
      <c r="K1724" s="9" t="n">
        <v>0</v>
      </c>
      <c r="L1724" s="10" t="n">
        <v>47.4</v>
      </c>
      <c r="M1724" s="10" t="n">
        <v>1.43</v>
      </c>
      <c r="N1724" t="inlineStr">
        <is>
          <t>1</t>
        </is>
      </c>
      <c r="O1724" t="inlineStr">
        <is>
          <t>16</t>
        </is>
      </c>
      <c r="P1724" t="inlineStr">
        <is>
          <t xml:space="preserve">81066   </t>
        </is>
      </c>
      <c r="Q1724" s="26" t="n">
        <v>79.90000000000002</v>
      </c>
      <c r="R1724" s="26">
        <f>Q1724*G1724</f>
        <v/>
      </c>
      <c r="S1724" t="n">
        <v>47.4</v>
      </c>
      <c r="T1724" s="18">
        <f>1 - V1724/S1724</f>
        <v/>
      </c>
      <c r="U1724" s="18" t="n">
        <v>0</v>
      </c>
      <c r="V1724" s="26" t="n">
        <v>47.4</v>
      </c>
      <c r="W1724" s="26">
        <f>V1724 - L1724</f>
        <v/>
      </c>
    </row>
    <row r="1725">
      <c r="A1725" s="11" t="n">
        <v>46221</v>
      </c>
      <c r="B1725" s="1" t="n">
        <v>20021</v>
      </c>
      <c r="C1725" s="1" t="inlineStr">
        <is>
          <t>082</t>
        </is>
      </c>
      <c r="D1725" s="1" t="inlineStr">
        <is>
          <t>270405</t>
        </is>
      </c>
      <c r="E1725" s="1" t="inlineStr">
        <is>
          <t xml:space="preserve">30141766       </t>
        </is>
      </c>
      <c r="F1725" s="5" t="inlineStr">
        <is>
          <t>TMZ BEAST MACHINES AUTOS DE METAL BLISTER X 1</t>
        </is>
      </c>
      <c r="G1725" t="n">
        <v>1</v>
      </c>
      <c r="H1725" s="7" t="n">
        <v>7.9</v>
      </c>
      <c r="I1725" s="7" t="n">
        <v>0</v>
      </c>
      <c r="J1725" s="7" t="n">
        <v>0</v>
      </c>
      <c r="K1725" s="9" t="n">
        <v>0</v>
      </c>
      <c r="L1725" s="10" t="n">
        <v>4.68</v>
      </c>
      <c r="M1725" s="10" t="n">
        <v>1.43</v>
      </c>
      <c r="N1725" t="inlineStr">
        <is>
          <t>1</t>
        </is>
      </c>
      <c r="O1725" t="inlineStr">
        <is>
          <t xml:space="preserve">6 </t>
        </is>
      </c>
      <c r="P1725" t="inlineStr">
        <is>
          <t xml:space="preserve">81066   </t>
        </is>
      </c>
      <c r="Q1725" s="26" t="n">
        <v>7.9</v>
      </c>
      <c r="R1725" s="26">
        <f>Q1725*G1725</f>
        <v/>
      </c>
      <c r="S1725" t="n">
        <v>4.69</v>
      </c>
      <c r="T1725" s="18">
        <f>1 - V1725/S1725</f>
        <v/>
      </c>
      <c r="U1725" s="18" t="n">
        <v>0</v>
      </c>
      <c r="V1725" s="26" t="n">
        <v>4.69</v>
      </c>
      <c r="W1725" s="26">
        <f>V1725 - L1725</f>
        <v/>
      </c>
    </row>
    <row r="1726">
      <c r="A1726" s="11" t="n">
        <v>46221</v>
      </c>
      <c r="B1726" s="1" t="n">
        <v>20021</v>
      </c>
      <c r="C1726" s="1" t="inlineStr">
        <is>
          <t>082</t>
        </is>
      </c>
      <c r="D1726" s="1" t="inlineStr">
        <is>
          <t>270411</t>
        </is>
      </c>
      <c r="E1726" s="1" t="inlineStr">
        <is>
          <t xml:space="preserve">28194769       </t>
        </is>
      </c>
      <c r="F1726" s="5" t="inlineStr">
        <is>
          <t>AUTOS DE METAL 3 TEAMSTERZ PACK DE 2</t>
        </is>
      </c>
      <c r="G1726" t="n">
        <v>1</v>
      </c>
      <c r="H1726" s="7" t="n">
        <v>13.8</v>
      </c>
      <c r="I1726" s="7" t="n">
        <v>0</v>
      </c>
      <c r="J1726" s="7" t="n">
        <v>0</v>
      </c>
      <c r="K1726" s="9" t="n">
        <v>0</v>
      </c>
      <c r="L1726" s="10" t="n">
        <v>8.18</v>
      </c>
      <c r="M1726" s="10" t="n">
        <v>1.43</v>
      </c>
      <c r="N1726" t="inlineStr">
        <is>
          <t>1</t>
        </is>
      </c>
      <c r="O1726" t="inlineStr">
        <is>
          <t>16</t>
        </is>
      </c>
      <c r="P1726" t="inlineStr">
        <is>
          <t xml:space="preserve">246381  </t>
        </is>
      </c>
      <c r="Q1726" s="26" t="n">
        <v>13.8</v>
      </c>
      <c r="R1726" s="26">
        <f>Q1726*G1726</f>
        <v/>
      </c>
      <c r="S1726" t="n">
        <v>8.19</v>
      </c>
      <c r="T1726" s="18">
        <f>1 - V1726/S1726</f>
        <v/>
      </c>
      <c r="U1726" s="18" t="n">
        <v>0</v>
      </c>
      <c r="V1726" s="26" t="n">
        <v>8.19</v>
      </c>
      <c r="W1726" s="26">
        <f>V1726 - L1726</f>
        <v/>
      </c>
    </row>
    <row r="1727">
      <c r="A1727" s="11" t="n">
        <v>46221</v>
      </c>
      <c r="B1727" s="1" t="n">
        <v>20021</v>
      </c>
      <c r="C1727" s="1" t="inlineStr">
        <is>
          <t>519</t>
        </is>
      </c>
      <c r="D1727" s="1" t="inlineStr">
        <is>
          <t xml:space="preserve">5618  </t>
        </is>
      </c>
      <c r="E1727" s="1" t="inlineStr">
        <is>
          <t xml:space="preserve">28194766       </t>
        </is>
      </c>
      <c r="F1727" s="5" t="inlineStr">
        <is>
          <t>CAMIONES TEAMSTERZ DE CIUDAD</t>
        </is>
      </c>
      <c r="G1727" t="n">
        <v>1</v>
      </c>
      <c r="H1727" s="7" t="n">
        <v>17.9</v>
      </c>
      <c r="I1727" s="7" t="n">
        <v>0</v>
      </c>
      <c r="J1727" s="7" t="n">
        <v>0</v>
      </c>
      <c r="K1727" s="9" t="n">
        <v>0</v>
      </c>
      <c r="L1727" s="10" t="n">
        <v>10.62</v>
      </c>
      <c r="M1727" s="10" t="n">
        <v>1.43</v>
      </c>
      <c r="N1727" t="inlineStr">
        <is>
          <t>1</t>
        </is>
      </c>
      <c r="O1727" t="inlineStr">
        <is>
          <t>16</t>
        </is>
      </c>
      <c r="P1727" t="inlineStr">
        <is>
          <t xml:space="preserve">231824  </t>
        </is>
      </c>
      <c r="Q1727" s="26" t="n">
        <v>17.9</v>
      </c>
      <c r="R1727" s="26">
        <f>Q1727*G1727</f>
        <v/>
      </c>
      <c r="S1727" t="n">
        <v>10.62</v>
      </c>
      <c r="T1727" s="18">
        <f>1 - V1727/S1727</f>
        <v/>
      </c>
      <c r="U1727" s="18" t="n">
        <v>0</v>
      </c>
      <c r="V1727" s="26" t="n">
        <v>10.62</v>
      </c>
      <c r="W1727" s="26">
        <f>V1727 - L1727</f>
        <v/>
      </c>
    </row>
    <row r="1728">
      <c r="A1728" s="11" t="n">
        <v>46221</v>
      </c>
      <c r="B1728" s="1" t="n">
        <v>20023</v>
      </c>
      <c r="C1728" s="1" t="inlineStr">
        <is>
          <t>079</t>
        </is>
      </c>
      <c r="D1728" s="1" t="inlineStr">
        <is>
          <t>289657</t>
        </is>
      </c>
      <c r="E1728" s="1" t="inlineStr">
        <is>
          <t xml:space="preserve">28194765       </t>
        </is>
      </c>
      <c r="F1728" s="5" t="inlineStr">
        <is>
          <t>PLAYSET COLOR CHANGE TIBURN TEAMSTERZ  1 AUTITO</t>
        </is>
      </c>
      <c r="G1728" t="n">
        <v>1</v>
      </c>
      <c r="H1728" s="7" t="n">
        <v>79.90000000000001</v>
      </c>
      <c r="I1728" s="7" t="n">
        <v>0</v>
      </c>
      <c r="J1728" s="7" t="n">
        <v>0</v>
      </c>
      <c r="K1728" s="9" t="n">
        <v>0</v>
      </c>
      <c r="L1728" s="10" t="n">
        <v>47.4</v>
      </c>
      <c r="M1728" s="10" t="n">
        <v>1.43</v>
      </c>
      <c r="N1728" t="inlineStr">
        <is>
          <t>1</t>
        </is>
      </c>
      <c r="O1728" t="inlineStr">
        <is>
          <t>16</t>
        </is>
      </c>
      <c r="P1728" t="inlineStr">
        <is>
          <t xml:space="preserve">51756   </t>
        </is>
      </c>
      <c r="Q1728" s="26" t="n">
        <v>79.90000000000001</v>
      </c>
      <c r="R1728" s="26">
        <f>Q1728*G1728</f>
        <v/>
      </c>
      <c r="S1728" t="n">
        <v>47.4</v>
      </c>
      <c r="T1728" s="18">
        <f>1 - V1728/S1728</f>
        <v/>
      </c>
      <c r="U1728" s="18" t="n">
        <v>0</v>
      </c>
      <c r="V1728" s="26" t="n">
        <v>47.4</v>
      </c>
      <c r="W1728" s="26">
        <f>V1728 - L1728</f>
        <v/>
      </c>
    </row>
    <row r="1729">
      <c r="A1729" s="11" t="n">
        <v>46221</v>
      </c>
      <c r="B1729" s="1" t="n">
        <v>20023</v>
      </c>
      <c r="C1729" s="1" t="inlineStr">
        <is>
          <t>079</t>
        </is>
      </c>
      <c r="D1729" s="1" t="inlineStr">
        <is>
          <t>289676</t>
        </is>
      </c>
      <c r="E1729" s="1" t="inlineStr">
        <is>
          <t xml:space="preserve">28194768       </t>
        </is>
      </c>
      <c r="F1729" s="5" t="inlineStr">
        <is>
          <t>AUTO COLOR CHANGE TEAMSTERZ SURTIDO</t>
        </is>
      </c>
      <c r="G1729" t="n">
        <v>1</v>
      </c>
      <c r="H1729" s="7" t="n">
        <v>14.9</v>
      </c>
      <c r="I1729" s="7" t="n">
        <v>0</v>
      </c>
      <c r="J1729" s="7" t="n">
        <v>0</v>
      </c>
      <c r="K1729" s="9" t="n">
        <v>0</v>
      </c>
      <c r="L1729" s="10" t="n">
        <v>8.84</v>
      </c>
      <c r="M1729" s="10" t="n">
        <v>1.43</v>
      </c>
      <c r="N1729" t="inlineStr">
        <is>
          <t>1</t>
        </is>
      </c>
      <c r="O1729" t="inlineStr">
        <is>
          <t>16</t>
        </is>
      </c>
      <c r="P1729" t="inlineStr">
        <is>
          <t xml:space="preserve">51756   </t>
        </is>
      </c>
      <c r="Q1729" s="26" t="n">
        <v>14.9</v>
      </c>
      <c r="R1729" s="26">
        <f>Q1729*G1729</f>
        <v/>
      </c>
      <c r="S1729" t="n">
        <v>8.84</v>
      </c>
      <c r="T1729" s="18">
        <f>1 - V1729/S1729</f>
        <v/>
      </c>
      <c r="U1729" s="18" t="n">
        <v>0</v>
      </c>
      <c r="V1729" s="26" t="n">
        <v>8.84</v>
      </c>
      <c r="W1729" s="26">
        <f>V1729 - L1729</f>
        <v/>
      </c>
    </row>
    <row r="1730">
      <c r="A1730" s="11" t="n">
        <v>46221</v>
      </c>
      <c r="B1730" s="1" t="n">
        <v>20023</v>
      </c>
      <c r="C1730" s="1" t="inlineStr">
        <is>
          <t>079</t>
        </is>
      </c>
      <c r="D1730" s="1" t="inlineStr">
        <is>
          <t>289676</t>
        </is>
      </c>
      <c r="E1730" s="1" t="inlineStr">
        <is>
          <t xml:space="preserve">28194768       </t>
        </is>
      </c>
      <c r="F1730" s="5" t="inlineStr">
        <is>
          <t>AUTO COLOR CHANGE TEAMSTERZ SURTIDO</t>
        </is>
      </c>
      <c r="G1730" t="n">
        <v>1</v>
      </c>
      <c r="H1730" s="7" t="n">
        <v>14.9</v>
      </c>
      <c r="I1730" s="7" t="n">
        <v>0</v>
      </c>
      <c r="J1730" s="7" t="n">
        <v>0</v>
      </c>
      <c r="K1730" s="9" t="n">
        <v>0</v>
      </c>
      <c r="L1730" s="10" t="n">
        <v>8.84</v>
      </c>
      <c r="M1730" s="10" t="n">
        <v>1.43</v>
      </c>
      <c r="N1730" t="inlineStr">
        <is>
          <t>1</t>
        </is>
      </c>
      <c r="O1730" t="inlineStr">
        <is>
          <t>16</t>
        </is>
      </c>
      <c r="P1730" t="inlineStr">
        <is>
          <t xml:space="preserve">51756   </t>
        </is>
      </c>
      <c r="Q1730" s="26" t="n">
        <v>14.9</v>
      </c>
      <c r="R1730" s="26">
        <f>Q1730*G1730</f>
        <v/>
      </c>
      <c r="S1730" t="n">
        <v>8.84</v>
      </c>
      <c r="T1730" s="18">
        <f>1 - V1730/S1730</f>
        <v/>
      </c>
      <c r="U1730" s="18" t="n">
        <v>0</v>
      </c>
      <c r="V1730" s="26" t="n">
        <v>8.84</v>
      </c>
      <c r="W1730" s="26">
        <f>V1730 - L1730</f>
        <v/>
      </c>
    </row>
    <row r="1731">
      <c r="A1731" s="11" t="n">
        <v>46221</v>
      </c>
      <c r="B1731" s="1" t="n">
        <v>20023</v>
      </c>
      <c r="C1731" s="1" t="inlineStr">
        <is>
          <t>191</t>
        </is>
      </c>
      <c r="D1731" s="1" t="inlineStr">
        <is>
          <t xml:space="preserve">7510  </t>
        </is>
      </c>
      <c r="E1731" s="1" t="inlineStr">
        <is>
          <t xml:space="preserve">30232283       </t>
        </is>
      </c>
      <c r="F1731" s="5" t="inlineStr">
        <is>
          <t>INFINITY NADO PACK DE 2 TROMPOS DE BATALLA METAL</t>
        </is>
      </c>
      <c r="G1731" t="n">
        <v>1</v>
      </c>
      <c r="H1731" s="7" t="n">
        <v>59.9</v>
      </c>
      <c r="I1731" s="7" t="n">
        <v>0</v>
      </c>
      <c r="J1731" s="7" t="n">
        <v>0</v>
      </c>
      <c r="K1731" s="9" t="n">
        <v>0</v>
      </c>
      <c r="L1731" s="10" t="n">
        <v>35.53</v>
      </c>
      <c r="M1731" s="10" t="n">
        <v>1.43</v>
      </c>
      <c r="N1731" t="inlineStr">
        <is>
          <t>1</t>
        </is>
      </c>
      <c r="O1731" t="inlineStr">
        <is>
          <t>16</t>
        </is>
      </c>
      <c r="P1731" t="inlineStr">
        <is>
          <t xml:space="preserve">22413   </t>
        </is>
      </c>
      <c r="Q1731" s="26" t="n">
        <v>79.90000000000001</v>
      </c>
      <c r="R1731" s="26">
        <f>Q1731*G1731</f>
        <v/>
      </c>
      <c r="S1731" t="n">
        <v>47.4</v>
      </c>
      <c r="T1731" s="18">
        <f>1 - V1731/S1731</f>
        <v/>
      </c>
      <c r="U1731" s="18" t="n">
        <v>0.2503128911138924</v>
      </c>
      <c r="V1731" s="26" t="n">
        <v>38.07203389830509</v>
      </c>
      <c r="W1731" s="26">
        <f>V1731 - L1731</f>
        <v/>
      </c>
    </row>
    <row r="1732">
      <c r="A1732" s="11" t="n">
        <v>46221</v>
      </c>
      <c r="B1732" s="1" t="n">
        <v>20023</v>
      </c>
      <c r="C1732" s="1" t="inlineStr">
        <is>
          <t>191</t>
        </is>
      </c>
      <c r="D1732" s="1" t="inlineStr">
        <is>
          <t xml:space="preserve">7541  </t>
        </is>
      </c>
      <c r="E1732" s="1" t="inlineStr">
        <is>
          <t xml:space="preserve">28194769       </t>
        </is>
      </c>
      <c r="F1732" s="5" t="inlineStr">
        <is>
          <t>AUTOS DE METAL 3 TEAMSTERZ PACK DE 2</t>
        </is>
      </c>
      <c r="G1732" t="n">
        <v>1</v>
      </c>
      <c r="H1732" s="7" t="n">
        <v>13.8</v>
      </c>
      <c r="I1732" s="7" t="n">
        <v>0</v>
      </c>
      <c r="J1732" s="7" t="n">
        <v>0</v>
      </c>
      <c r="K1732" s="9" t="n">
        <v>0</v>
      </c>
      <c r="L1732" s="10" t="n">
        <v>8.18</v>
      </c>
      <c r="M1732" s="10" t="n">
        <v>1.43</v>
      </c>
      <c r="N1732" t="inlineStr">
        <is>
          <t>1</t>
        </is>
      </c>
      <c r="O1732" t="inlineStr">
        <is>
          <t xml:space="preserve">2 </t>
        </is>
      </c>
      <c r="P1732" t="inlineStr">
        <is>
          <t xml:space="preserve">22413   </t>
        </is>
      </c>
      <c r="Q1732" s="26" t="n">
        <v>13.8</v>
      </c>
      <c r="R1732" s="26">
        <f>Q1732*G1732</f>
        <v/>
      </c>
      <c r="S1732" t="n">
        <v>8.19</v>
      </c>
      <c r="T1732" s="18">
        <f>1 - V1732/S1732</f>
        <v/>
      </c>
      <c r="U1732" s="18" t="n">
        <v>0</v>
      </c>
      <c r="V1732" s="26" t="n">
        <v>8.19</v>
      </c>
      <c r="W1732" s="26">
        <f>V1732 - L1732</f>
        <v/>
      </c>
    </row>
    <row r="1733">
      <c r="A1733" s="11" t="n">
        <v>46221</v>
      </c>
      <c r="B1733" s="1" t="n">
        <v>20024</v>
      </c>
      <c r="C1733" s="1" t="inlineStr">
        <is>
          <t>015</t>
        </is>
      </c>
      <c r="D1733" s="1" t="inlineStr">
        <is>
          <t xml:space="preserve">18837 </t>
        </is>
      </c>
      <c r="E1733" s="1" t="inlineStr">
        <is>
          <t xml:space="preserve">33483120       </t>
        </is>
      </c>
      <c r="F1733" s="5" t="inlineStr">
        <is>
          <t>HOT WHEELS 2 EN 1 AUTO DE CARRERAS + GUARDA AUTOS</t>
        </is>
      </c>
      <c r="G1733" t="n">
        <v>1</v>
      </c>
      <c r="H1733" s="7" t="n">
        <v>79.90000000000001</v>
      </c>
      <c r="I1733" s="7" t="n">
        <v>0</v>
      </c>
      <c r="J1733" s="7" t="n">
        <v>0</v>
      </c>
      <c r="K1733" s="9" t="n">
        <v>0</v>
      </c>
      <c r="L1733" s="10" t="n">
        <v>47.4</v>
      </c>
      <c r="M1733" s="10" t="n">
        <v>1.43</v>
      </c>
      <c r="N1733" t="inlineStr">
        <is>
          <t>1</t>
        </is>
      </c>
      <c r="O1733" t="inlineStr">
        <is>
          <t>16</t>
        </is>
      </c>
      <c r="P1733" t="inlineStr">
        <is>
          <t xml:space="preserve">58016   </t>
        </is>
      </c>
      <c r="Q1733" s="26" t="n">
        <v>79.90000000000001</v>
      </c>
      <c r="R1733" s="26">
        <f>Q1733*G1733</f>
        <v/>
      </c>
      <c r="S1733" t="n">
        <v>47.4</v>
      </c>
      <c r="T1733" s="18">
        <f>1 - V1733/S1733</f>
        <v/>
      </c>
      <c r="U1733" s="18" t="n">
        <v>0</v>
      </c>
      <c r="V1733" s="26" t="n">
        <v>47.4</v>
      </c>
      <c r="W1733" s="26">
        <f>V1733 - L1733</f>
        <v/>
      </c>
    </row>
    <row r="1734">
      <c r="A1734" s="11" t="n">
        <v>46221</v>
      </c>
      <c r="B1734" s="1" t="n">
        <v>20024</v>
      </c>
      <c r="C1734" s="1" t="inlineStr">
        <is>
          <t>015</t>
        </is>
      </c>
      <c r="D1734" s="1" t="inlineStr">
        <is>
          <t xml:space="preserve">18884 </t>
        </is>
      </c>
      <c r="E1734" s="1" t="inlineStr">
        <is>
          <t xml:space="preserve">29235706       </t>
        </is>
      </c>
      <c r="F1734" s="5" t="inlineStr">
        <is>
          <t>TEAMSTERZ CAMION PARA GUARDAR 12 AUTOS INCL 4 AUTO</t>
        </is>
      </c>
      <c r="G1734" t="n">
        <v>1</v>
      </c>
      <c r="H1734" s="7" t="n">
        <v>59.9</v>
      </c>
      <c r="I1734" s="7" t="n">
        <v>0</v>
      </c>
      <c r="J1734" s="7" t="n">
        <v>0</v>
      </c>
      <c r="K1734" s="9" t="n">
        <v>0</v>
      </c>
      <c r="L1734" s="10" t="n">
        <v>35.53</v>
      </c>
      <c r="M1734" s="10" t="n">
        <v>1.43</v>
      </c>
      <c r="N1734" t="inlineStr">
        <is>
          <t>1</t>
        </is>
      </c>
      <c r="O1734" t="inlineStr">
        <is>
          <t>16</t>
        </is>
      </c>
      <c r="P1734" t="inlineStr">
        <is>
          <t xml:space="preserve">58016   </t>
        </is>
      </c>
      <c r="Q1734" s="26" t="n">
        <v>59.90000000000001</v>
      </c>
      <c r="R1734" s="26">
        <f>Q1734*G1734</f>
        <v/>
      </c>
      <c r="S1734" t="n">
        <v>35.53</v>
      </c>
      <c r="T1734" s="18">
        <f>1 - V1734/S1734</f>
        <v/>
      </c>
      <c r="U1734" s="18" t="n">
        <v>0</v>
      </c>
      <c r="V1734" s="26" t="n">
        <v>35.53</v>
      </c>
      <c r="W1734" s="26">
        <f>V1734 - L1734</f>
        <v/>
      </c>
    </row>
    <row r="1735">
      <c r="A1735" s="11" t="n">
        <v>46221</v>
      </c>
      <c r="B1735" s="1" t="n">
        <v>20024</v>
      </c>
      <c r="C1735" s="1" t="inlineStr">
        <is>
          <t>020</t>
        </is>
      </c>
      <c r="D1735" s="1" t="inlineStr">
        <is>
          <t>254482</t>
        </is>
      </c>
      <c r="E1735" s="1" t="inlineStr">
        <is>
          <t xml:space="preserve">31959956       </t>
        </is>
      </c>
      <c r="F1735" s="5" t="inlineStr">
        <is>
          <t>TEAMSTERZ CAMION TRANSPORTA ANIMALES SURTIDO</t>
        </is>
      </c>
      <c r="G1735" t="n">
        <v>1</v>
      </c>
      <c r="H1735" s="7" t="n">
        <v>17.9</v>
      </c>
      <c r="I1735" s="7" t="n">
        <v>1.79</v>
      </c>
      <c r="J1735" s="7" t="n">
        <v>0</v>
      </c>
      <c r="K1735" s="9" t="n">
        <v>1.79</v>
      </c>
      <c r="L1735" s="10" t="n">
        <v>9.56</v>
      </c>
      <c r="M1735" s="10" t="n">
        <v>1.43</v>
      </c>
      <c r="N1735" t="inlineStr">
        <is>
          <t>1</t>
        </is>
      </c>
      <c r="O1735" t="inlineStr">
        <is>
          <t xml:space="preserve">3 </t>
        </is>
      </c>
      <c r="P1735" t="inlineStr">
        <is>
          <t xml:space="preserve">23463   </t>
        </is>
      </c>
      <c r="Q1735" s="26" t="n">
        <v>17.9</v>
      </c>
      <c r="R1735" s="26">
        <f>Q1735*G1735</f>
        <v/>
      </c>
      <c r="S1735" t="n">
        <v>10.62</v>
      </c>
      <c r="T1735" s="18">
        <f>1 - V1735/S1735</f>
        <v/>
      </c>
      <c r="U1735" s="18" t="n">
        <v>0</v>
      </c>
      <c r="V1735" s="26" t="n">
        <v>10.62</v>
      </c>
      <c r="W1735" s="26">
        <f>V1735 - L1735</f>
        <v/>
      </c>
    </row>
    <row r="1736">
      <c r="A1736" s="11" t="n">
        <v>46221</v>
      </c>
      <c r="B1736" s="1" t="n">
        <v>20024</v>
      </c>
      <c r="C1736" s="1" t="inlineStr">
        <is>
          <t>021</t>
        </is>
      </c>
      <c r="D1736" s="1" t="inlineStr">
        <is>
          <t>215672</t>
        </is>
      </c>
      <c r="E1736" s="1" t="inlineStr">
        <is>
          <t xml:space="preserve">30141766       </t>
        </is>
      </c>
      <c r="F1736" s="5" t="inlineStr">
        <is>
          <t>TMZ BEAST MACHINES AUTOS DE METAL BLISTER X 1</t>
        </is>
      </c>
      <c r="G1736" t="n">
        <v>1</v>
      </c>
      <c r="H1736" s="7" t="n">
        <v>7.9</v>
      </c>
      <c r="I1736" s="7" t="n">
        <v>0</v>
      </c>
      <c r="J1736" s="7" t="n">
        <v>0</v>
      </c>
      <c r="K1736" s="9" t="n">
        <v>0</v>
      </c>
      <c r="L1736" s="10" t="n">
        <v>4.68</v>
      </c>
      <c r="M1736" s="10" t="n">
        <v>1.43</v>
      </c>
      <c r="N1736" t="inlineStr">
        <is>
          <t>1</t>
        </is>
      </c>
      <c r="O1736" t="inlineStr">
        <is>
          <t>16</t>
        </is>
      </c>
      <c r="P1736" t="inlineStr">
        <is>
          <t xml:space="preserve">71372   </t>
        </is>
      </c>
      <c r="Q1736" s="26" t="n">
        <v>7.9</v>
      </c>
      <c r="R1736" s="26">
        <f>Q1736*G1736</f>
        <v/>
      </c>
      <c r="S1736" t="n">
        <v>4.69</v>
      </c>
      <c r="T1736" s="18">
        <f>1 - V1736/S1736</f>
        <v/>
      </c>
      <c r="U1736" s="18" t="n">
        <v>0</v>
      </c>
      <c r="V1736" s="26" t="n">
        <v>4.69</v>
      </c>
      <c r="W1736" s="26">
        <f>V1736 - L1736</f>
        <v/>
      </c>
    </row>
    <row r="1737">
      <c r="A1737" s="11" t="n">
        <v>46221</v>
      </c>
      <c r="B1737" s="1" t="n">
        <v>20024</v>
      </c>
      <c r="C1737" s="1" t="inlineStr">
        <is>
          <t>807</t>
        </is>
      </c>
      <c r="D1737" s="1" t="inlineStr">
        <is>
          <t xml:space="preserve">4566  </t>
        </is>
      </c>
      <c r="E1737" s="1" t="inlineStr">
        <is>
          <t xml:space="preserve">34840550       </t>
        </is>
      </c>
      <c r="F1737" s="5" t="inlineStr">
        <is>
          <t>TEAMSTERZ M/MOVERZ TRANSPORTA GORILA</t>
        </is>
      </c>
      <c r="G1737" t="n">
        <v>1</v>
      </c>
      <c r="H1737" s="7" t="n">
        <v>129</v>
      </c>
      <c r="I1737" s="7" t="n">
        <v>0</v>
      </c>
      <c r="J1737" s="7" t="n">
        <v>0</v>
      </c>
      <c r="K1737" s="9" t="n">
        <v>0</v>
      </c>
      <c r="L1737" s="10" t="n">
        <v>76.52</v>
      </c>
      <c r="M1737" s="10" t="n">
        <v>1.43</v>
      </c>
      <c r="N1737" t="inlineStr">
        <is>
          <t>1</t>
        </is>
      </c>
      <c r="O1737" t="inlineStr">
        <is>
          <t>16</t>
        </is>
      </c>
      <c r="P1737" t="inlineStr">
        <is>
          <t xml:space="preserve">0       </t>
        </is>
      </c>
      <c r="Q1737" s="26" t="n">
        <v>129</v>
      </c>
      <c r="R1737" s="26">
        <f>Q1737*G1737</f>
        <v/>
      </c>
      <c r="S1737" t="n">
        <v>76.53</v>
      </c>
      <c r="T1737" s="18">
        <f>1 - V1737/S1737</f>
        <v/>
      </c>
      <c r="U1737" s="18" t="n">
        <v>0</v>
      </c>
      <c r="V1737" s="26" t="n">
        <v>76.53</v>
      </c>
      <c r="W1737" s="26">
        <f>V1737 - L1737</f>
        <v/>
      </c>
    </row>
    <row r="1738">
      <c r="A1738" s="11" t="n">
        <v>46221</v>
      </c>
      <c r="B1738" s="1" t="n">
        <v>20024</v>
      </c>
      <c r="C1738" s="1" t="inlineStr">
        <is>
          <t>807</t>
        </is>
      </c>
      <c r="D1738" s="1" t="inlineStr">
        <is>
          <t xml:space="preserve">4605  </t>
        </is>
      </c>
      <c r="E1738" s="1" t="inlineStr">
        <is>
          <t xml:space="preserve">28194769       </t>
        </is>
      </c>
      <c r="F1738" s="5" t="inlineStr">
        <is>
          <t>AUTOS DE METAL 3 TEAMSTERZ PACK DE 2</t>
        </is>
      </c>
      <c r="G1738" t="n">
        <v>1</v>
      </c>
      <c r="H1738" s="7" t="n">
        <v>13.8</v>
      </c>
      <c r="I1738" s="7" t="n">
        <v>0</v>
      </c>
      <c r="J1738" s="7" t="n">
        <v>0</v>
      </c>
      <c r="K1738" s="9" t="n">
        <v>0</v>
      </c>
      <c r="L1738" s="10" t="n">
        <v>8.18</v>
      </c>
      <c r="M1738" s="10" t="n">
        <v>1.43</v>
      </c>
      <c r="N1738" t="inlineStr">
        <is>
          <t>1</t>
        </is>
      </c>
      <c r="O1738" t="inlineStr">
        <is>
          <t>16</t>
        </is>
      </c>
      <c r="P1738" t="inlineStr">
        <is>
          <t xml:space="preserve">0       </t>
        </is>
      </c>
      <c r="Q1738" s="26" t="n">
        <v>13.8</v>
      </c>
      <c r="R1738" s="26">
        <f>Q1738*G1738</f>
        <v/>
      </c>
      <c r="S1738" t="n">
        <v>8.19</v>
      </c>
      <c r="T1738" s="18">
        <f>1 - V1738/S1738</f>
        <v/>
      </c>
      <c r="U1738" s="18" t="n">
        <v>0</v>
      </c>
      <c r="V1738" s="26" t="n">
        <v>8.19</v>
      </c>
      <c r="W1738" s="26">
        <f>V1738 - L1738</f>
        <v/>
      </c>
    </row>
    <row r="1739">
      <c r="A1739" s="11" t="n">
        <v>46221</v>
      </c>
      <c r="B1739" s="1" t="n">
        <v>20028</v>
      </c>
      <c r="C1739" s="1" t="inlineStr">
        <is>
          <t>011</t>
        </is>
      </c>
      <c r="D1739" s="1" t="inlineStr">
        <is>
          <t xml:space="preserve">33789 </t>
        </is>
      </c>
      <c r="E1739" s="1" t="inlineStr">
        <is>
          <t xml:space="preserve">28194780       </t>
        </is>
      </c>
      <c r="F1739" s="5" t="inlineStr">
        <is>
          <t>TROMPO BATALLA INFINITY NADO PLSTICO SURTIDO</t>
        </is>
      </c>
      <c r="G1739" t="n">
        <v>1</v>
      </c>
      <c r="H1739" s="7" t="n">
        <v>19.9</v>
      </c>
      <c r="I1739" s="7" t="n">
        <v>0</v>
      </c>
      <c r="J1739" s="7" t="n">
        <v>0</v>
      </c>
      <c r="K1739" s="9" t="n">
        <v>0</v>
      </c>
      <c r="L1739" s="10" t="n">
        <v>11.8</v>
      </c>
      <c r="M1739" s="10" t="n">
        <v>1.43</v>
      </c>
      <c r="N1739" t="inlineStr">
        <is>
          <t>1</t>
        </is>
      </c>
      <c r="O1739" t="inlineStr">
        <is>
          <t>16</t>
        </is>
      </c>
      <c r="P1739" t="inlineStr">
        <is>
          <t xml:space="preserve">23741   </t>
        </is>
      </c>
      <c r="Q1739" s="26" t="n">
        <v>19.9</v>
      </c>
      <c r="R1739" s="26">
        <f>Q1739*G1739</f>
        <v/>
      </c>
      <c r="S1739" t="n">
        <v>11.81</v>
      </c>
      <c r="T1739" s="18">
        <f>1 - V1739/S1739</f>
        <v/>
      </c>
      <c r="U1739" s="18" t="n">
        <v>0</v>
      </c>
      <c r="V1739" s="26" t="n">
        <v>11.81</v>
      </c>
      <c r="W1739" s="26">
        <f>V1739 - L1739</f>
        <v/>
      </c>
    </row>
    <row r="1740">
      <c r="A1740" s="11" t="n">
        <v>46221</v>
      </c>
      <c r="B1740" s="1" t="n">
        <v>20028</v>
      </c>
      <c r="C1740" s="1" t="inlineStr">
        <is>
          <t>011</t>
        </is>
      </c>
      <c r="D1740" s="1" t="inlineStr">
        <is>
          <t xml:space="preserve">33789 </t>
        </is>
      </c>
      <c r="E1740" s="1" t="inlineStr">
        <is>
          <t xml:space="preserve">28194780       </t>
        </is>
      </c>
      <c r="F1740" s="5" t="inlineStr">
        <is>
          <t>TROMPO BATALLA INFINITY NADO PLSTICO SURTIDO</t>
        </is>
      </c>
      <c r="G1740" t="n">
        <v>1</v>
      </c>
      <c r="H1740" s="7" t="n">
        <v>19.9</v>
      </c>
      <c r="I1740" s="7" t="n">
        <v>0</v>
      </c>
      <c r="J1740" s="7" t="n">
        <v>0</v>
      </c>
      <c r="K1740" s="9" t="n">
        <v>0</v>
      </c>
      <c r="L1740" s="10" t="n">
        <v>11.8</v>
      </c>
      <c r="M1740" s="10" t="n">
        <v>1.43</v>
      </c>
      <c r="N1740" t="inlineStr">
        <is>
          <t>1</t>
        </is>
      </c>
      <c r="O1740" t="inlineStr">
        <is>
          <t>16</t>
        </is>
      </c>
      <c r="P1740" t="inlineStr">
        <is>
          <t xml:space="preserve">23741   </t>
        </is>
      </c>
      <c r="Q1740" s="26" t="n">
        <v>19.9</v>
      </c>
      <c r="R1740" s="26">
        <f>Q1740*G1740</f>
        <v/>
      </c>
      <c r="S1740" t="n">
        <v>11.81</v>
      </c>
      <c r="T1740" s="18">
        <f>1 - V1740/S1740</f>
        <v/>
      </c>
      <c r="U1740" s="18" t="n">
        <v>0</v>
      </c>
      <c r="V1740" s="26" t="n">
        <v>11.81</v>
      </c>
      <c r="W1740" s="26">
        <f>V1740 - L1740</f>
        <v/>
      </c>
    </row>
    <row r="1741">
      <c r="A1741" s="11" t="n">
        <v>46221</v>
      </c>
      <c r="B1741" s="1" t="n">
        <v>20028</v>
      </c>
      <c r="C1741" s="1" t="inlineStr">
        <is>
          <t>019</t>
        </is>
      </c>
      <c r="D1741" s="1" t="inlineStr">
        <is>
          <t>114703</t>
        </is>
      </c>
      <c r="E1741" s="1" t="inlineStr">
        <is>
          <t xml:space="preserve">29773844       </t>
        </is>
      </c>
      <c r="F1741" s="5" t="inlineStr">
        <is>
          <t>INFINITY NADO MALETIN DE TROMPO DE BATALLA DE META</t>
        </is>
      </c>
      <c r="G1741" t="n">
        <v>1</v>
      </c>
      <c r="H1741" s="7" t="n">
        <v>79.90000000000001</v>
      </c>
      <c r="I1741" s="7" t="n">
        <v>0</v>
      </c>
      <c r="J1741" s="7" t="n">
        <v>0</v>
      </c>
      <c r="K1741" s="9" t="n">
        <v>0</v>
      </c>
      <c r="L1741" s="10" t="n">
        <v>47.4</v>
      </c>
      <c r="M1741" s="10" t="n">
        <v>1.43</v>
      </c>
      <c r="N1741" t="inlineStr">
        <is>
          <t>1</t>
        </is>
      </c>
      <c r="O1741" t="inlineStr">
        <is>
          <t xml:space="preserve">2 </t>
        </is>
      </c>
      <c r="P1741" t="inlineStr">
        <is>
          <t xml:space="preserve">29476   </t>
        </is>
      </c>
      <c r="Q1741" s="26" t="n">
        <v>99</v>
      </c>
      <c r="R1741" s="26">
        <f>Q1741*G1741</f>
        <v/>
      </c>
      <c r="S1741" t="n">
        <v>58.73</v>
      </c>
      <c r="T1741" s="18">
        <f>1 - V1741/S1741</f>
        <v/>
      </c>
      <c r="U1741" s="18" t="n">
        <v>0.1929292929292928</v>
      </c>
      <c r="V1741" s="26" t="n">
        <v>50.78389830508475</v>
      </c>
      <c r="W1741" s="26">
        <f>V1741 - L1741</f>
        <v/>
      </c>
    </row>
    <row r="1742">
      <c r="A1742" s="11" t="n">
        <v>46221</v>
      </c>
      <c r="B1742" s="1" t="n">
        <v>20028</v>
      </c>
      <c r="C1742" s="1" t="inlineStr">
        <is>
          <t>140</t>
        </is>
      </c>
      <c r="D1742" s="1" t="inlineStr">
        <is>
          <t>225326</t>
        </is>
      </c>
      <c r="E1742" s="1" t="inlineStr">
        <is>
          <t xml:space="preserve">32656523       </t>
        </is>
      </c>
      <c r="F1742" s="5" t="inlineStr">
        <is>
          <t>TMZ BEAST MACHINES TRANSPORT. T-REX ELECTR. + ACCE</t>
        </is>
      </c>
      <c r="G1742" t="n">
        <v>1</v>
      </c>
      <c r="H1742" s="7" t="n">
        <v>179</v>
      </c>
      <c r="I1742" s="7" t="n">
        <v>0</v>
      </c>
      <c r="J1742" s="7" t="n">
        <v>0</v>
      </c>
      <c r="K1742" s="9" t="n">
        <v>0</v>
      </c>
      <c r="L1742" s="10" t="n">
        <v>106.18</v>
      </c>
      <c r="M1742" s="10" t="n">
        <v>1.43</v>
      </c>
      <c r="N1742" t="inlineStr">
        <is>
          <t>1</t>
        </is>
      </c>
      <c r="O1742" t="inlineStr">
        <is>
          <t>16</t>
        </is>
      </c>
      <c r="P1742" t="inlineStr">
        <is>
          <t xml:space="preserve">33914   </t>
        </is>
      </c>
      <c r="Q1742" s="26" t="n">
        <v>179</v>
      </c>
      <c r="R1742" s="26">
        <f>Q1742*G1742</f>
        <v/>
      </c>
      <c r="S1742" t="n">
        <v>106.19</v>
      </c>
      <c r="T1742" s="18">
        <f>1 - V1742/S1742</f>
        <v/>
      </c>
      <c r="U1742" s="18" t="n">
        <v>0</v>
      </c>
      <c r="V1742" s="26" t="n">
        <v>106.19</v>
      </c>
      <c r="W1742" s="26">
        <f>V1742 - L1742</f>
        <v/>
      </c>
    </row>
    <row r="1743">
      <c r="A1743" s="11" t="n">
        <v>46221</v>
      </c>
      <c r="B1743" s="1" t="n">
        <v>20030</v>
      </c>
      <c r="C1743" s="1" t="inlineStr">
        <is>
          <t>067</t>
        </is>
      </c>
      <c r="D1743" s="1" t="inlineStr">
        <is>
          <t>274518</t>
        </is>
      </c>
      <c r="E1743" s="1" t="inlineStr">
        <is>
          <t xml:space="preserve">29854051       </t>
        </is>
      </c>
      <c r="F1743" s="5" t="inlineStr">
        <is>
          <t>TEAMSTERZ AUTO DE METAL PACK 10 AUTOS</t>
        </is>
      </c>
      <c r="G1743" t="n">
        <v>1</v>
      </c>
      <c r="H1743" s="7" t="n">
        <v>69</v>
      </c>
      <c r="I1743" s="7" t="n">
        <v>0</v>
      </c>
      <c r="J1743" s="7" t="n">
        <v>0</v>
      </c>
      <c r="K1743" s="9" t="n">
        <v>0</v>
      </c>
      <c r="L1743" s="10" t="n">
        <v>40.93</v>
      </c>
      <c r="M1743" s="10" t="n">
        <v>1.43</v>
      </c>
      <c r="N1743" t="inlineStr">
        <is>
          <t>1</t>
        </is>
      </c>
      <c r="O1743" t="inlineStr">
        <is>
          <t>16</t>
        </is>
      </c>
      <c r="P1743" t="inlineStr">
        <is>
          <t xml:space="preserve">50377   </t>
        </is>
      </c>
      <c r="Q1743" s="26" t="n">
        <v>69</v>
      </c>
      <c r="R1743" s="26">
        <f>Q1743*G1743</f>
        <v/>
      </c>
      <c r="S1743" t="n">
        <v>40.93</v>
      </c>
      <c r="T1743" s="18">
        <f>1 - V1743/S1743</f>
        <v/>
      </c>
      <c r="U1743" s="18" t="n">
        <v>0</v>
      </c>
      <c r="V1743" s="26" t="n">
        <v>40.93</v>
      </c>
      <c r="W1743" s="26">
        <f>V1743 - L1743</f>
        <v/>
      </c>
    </row>
    <row r="1744">
      <c r="A1744" s="11" t="n">
        <v>46221</v>
      </c>
      <c r="B1744" s="1" t="n">
        <v>20030</v>
      </c>
      <c r="C1744" s="1" t="inlineStr">
        <is>
          <t>077</t>
        </is>
      </c>
      <c r="D1744" s="1" t="inlineStr">
        <is>
          <t>232481</t>
        </is>
      </c>
      <c r="E1744" s="1" t="inlineStr">
        <is>
          <t xml:space="preserve">30141766       </t>
        </is>
      </c>
      <c r="F1744" s="5" t="inlineStr">
        <is>
          <t>TMZ BEAST MACHINES AUTOS DE METAL BLISTER X 1</t>
        </is>
      </c>
      <c r="G1744" t="n">
        <v>1</v>
      </c>
      <c r="H1744" s="7" t="n">
        <v>7.9</v>
      </c>
      <c r="I1744" s="7" t="n">
        <v>0</v>
      </c>
      <c r="J1744" s="7" t="n">
        <v>0</v>
      </c>
      <c r="K1744" s="9" t="n">
        <v>0</v>
      </c>
      <c r="L1744" s="10" t="n">
        <v>4.68</v>
      </c>
      <c r="M1744" s="10" t="n">
        <v>1.43</v>
      </c>
      <c r="N1744" t="inlineStr">
        <is>
          <t>1</t>
        </is>
      </c>
      <c r="O1744" t="inlineStr">
        <is>
          <t>16</t>
        </is>
      </c>
      <c r="P1744" t="inlineStr">
        <is>
          <t xml:space="preserve">65971   </t>
        </is>
      </c>
      <c r="Q1744" s="26" t="n">
        <v>7.9</v>
      </c>
      <c r="R1744" s="26">
        <f>Q1744*G1744</f>
        <v/>
      </c>
      <c r="S1744" t="n">
        <v>4.69</v>
      </c>
      <c r="T1744" s="18">
        <f>1 - V1744/S1744</f>
        <v/>
      </c>
      <c r="U1744" s="18" t="n">
        <v>0</v>
      </c>
      <c r="V1744" s="26" t="n">
        <v>4.69</v>
      </c>
      <c r="W1744" s="26">
        <f>V1744 - L1744</f>
        <v/>
      </c>
    </row>
    <row r="1745">
      <c r="A1745" s="11" t="n">
        <v>46221</v>
      </c>
      <c r="B1745" s="1" t="n">
        <v>20040</v>
      </c>
      <c r="C1745" s="1" t="inlineStr">
        <is>
          <t>047</t>
        </is>
      </c>
      <c r="D1745" s="1" t="inlineStr">
        <is>
          <t xml:space="preserve">62967 </t>
        </is>
      </c>
      <c r="E1745" s="1" t="inlineStr">
        <is>
          <t xml:space="preserve">28194768       </t>
        </is>
      </c>
      <c r="F1745" s="5" t="inlineStr">
        <is>
          <t>AUTO COLOR CHANGE TEAMSTERZ SURTIDO</t>
        </is>
      </c>
      <c r="G1745" t="n">
        <v>1</v>
      </c>
      <c r="H1745" s="7" t="n">
        <v>14.9</v>
      </c>
      <c r="I1745" s="7" t="n">
        <v>0</v>
      </c>
      <c r="J1745" s="7" t="n">
        <v>0</v>
      </c>
      <c r="K1745" s="9" t="n">
        <v>0</v>
      </c>
      <c r="L1745" s="10" t="n">
        <v>8.84</v>
      </c>
      <c r="M1745" s="10" t="n">
        <v>1.43</v>
      </c>
      <c r="N1745" t="inlineStr">
        <is>
          <t>1</t>
        </is>
      </c>
      <c r="O1745" t="inlineStr">
        <is>
          <t>16</t>
        </is>
      </c>
      <c r="P1745" t="inlineStr">
        <is>
          <t xml:space="preserve">250391  </t>
        </is>
      </c>
      <c r="Q1745" s="26" t="n">
        <v>14.9</v>
      </c>
      <c r="R1745" s="26">
        <f>Q1745*G1745</f>
        <v/>
      </c>
      <c r="S1745" t="n">
        <v>8.84</v>
      </c>
      <c r="T1745" s="18">
        <f>1 - V1745/S1745</f>
        <v/>
      </c>
      <c r="U1745" s="18" t="n">
        <v>0</v>
      </c>
      <c r="V1745" s="26" t="n">
        <v>8.84</v>
      </c>
      <c r="W1745" s="26">
        <f>V1745 - L1745</f>
        <v/>
      </c>
    </row>
    <row r="1746">
      <c r="A1746" s="11" t="n">
        <v>46221</v>
      </c>
      <c r="B1746" s="1" t="n">
        <v>20040</v>
      </c>
      <c r="C1746" s="1" t="inlineStr">
        <is>
          <t>072</t>
        </is>
      </c>
      <c r="D1746" s="1" t="inlineStr">
        <is>
          <t>252154</t>
        </is>
      </c>
      <c r="E1746" s="1" t="inlineStr">
        <is>
          <t xml:space="preserve">28194769       </t>
        </is>
      </c>
      <c r="F1746" s="5" t="inlineStr">
        <is>
          <t>AUTOS DE METAL 3 TEAMSTERZ PACK DE 2</t>
        </is>
      </c>
      <c r="G1746" t="n">
        <v>1</v>
      </c>
      <c r="H1746" s="7" t="n">
        <v>13.8</v>
      </c>
      <c r="I1746" s="7" t="n">
        <v>0</v>
      </c>
      <c r="J1746" s="7" t="n">
        <v>0</v>
      </c>
      <c r="K1746" s="9" t="n">
        <v>0</v>
      </c>
      <c r="L1746" s="10" t="n">
        <v>8.18</v>
      </c>
      <c r="M1746" s="10" t="n">
        <v>1.43</v>
      </c>
      <c r="N1746" t="inlineStr">
        <is>
          <t>1</t>
        </is>
      </c>
      <c r="O1746" t="inlineStr">
        <is>
          <t>16</t>
        </is>
      </c>
      <c r="P1746" t="inlineStr">
        <is>
          <t xml:space="preserve">248589  </t>
        </is>
      </c>
      <c r="Q1746" s="26" t="n">
        <v>13.8</v>
      </c>
      <c r="R1746" s="26">
        <f>Q1746*G1746</f>
        <v/>
      </c>
      <c r="S1746" t="n">
        <v>8.19</v>
      </c>
      <c r="T1746" s="18">
        <f>1 - V1746/S1746</f>
        <v/>
      </c>
      <c r="U1746" s="18" t="n">
        <v>0</v>
      </c>
      <c r="V1746" s="26" t="n">
        <v>8.19</v>
      </c>
      <c r="W1746" s="26">
        <f>V1746 - L1746</f>
        <v/>
      </c>
    </row>
    <row r="1747">
      <c r="A1747" s="11" t="n">
        <v>46221</v>
      </c>
      <c r="B1747" s="1" t="n">
        <v>20040</v>
      </c>
      <c r="C1747" s="1" t="inlineStr">
        <is>
          <t>072</t>
        </is>
      </c>
      <c r="D1747" s="1" t="inlineStr">
        <is>
          <t>252171</t>
        </is>
      </c>
      <c r="E1747" s="1" t="inlineStr">
        <is>
          <t xml:space="preserve">29235706       </t>
        </is>
      </c>
      <c r="F1747" s="5" t="inlineStr">
        <is>
          <t>TEAMSTERZ CAMION PARA GUARDAR 12 AUTOS INCL 4 AUTO</t>
        </is>
      </c>
      <c r="G1747" t="n">
        <v>1</v>
      </c>
      <c r="H1747" s="7" t="n">
        <v>59.9</v>
      </c>
      <c r="I1747" s="7" t="n">
        <v>0</v>
      </c>
      <c r="J1747" s="7" t="n">
        <v>0</v>
      </c>
      <c r="K1747" s="9" t="n">
        <v>0</v>
      </c>
      <c r="L1747" s="10" t="n">
        <v>35.53</v>
      </c>
      <c r="M1747" s="10" t="n">
        <v>1.43</v>
      </c>
      <c r="N1747" t="inlineStr">
        <is>
          <t>1</t>
        </is>
      </c>
      <c r="O1747" t="inlineStr">
        <is>
          <t>16</t>
        </is>
      </c>
      <c r="P1747" t="inlineStr">
        <is>
          <t xml:space="preserve">248589  </t>
        </is>
      </c>
      <c r="Q1747" s="26" t="n">
        <v>59.90000000000001</v>
      </c>
      <c r="R1747" s="26">
        <f>Q1747*G1747</f>
        <v/>
      </c>
      <c r="S1747" t="n">
        <v>35.53</v>
      </c>
      <c r="T1747" s="18">
        <f>1 - V1747/S1747</f>
        <v/>
      </c>
      <c r="U1747" s="18" t="n">
        <v>0</v>
      </c>
      <c r="V1747" s="26" t="n">
        <v>35.53</v>
      </c>
      <c r="W1747" s="26">
        <f>V1747 - L1747</f>
        <v/>
      </c>
    </row>
    <row r="1748">
      <c r="A1748" s="11" t="n">
        <v>46221</v>
      </c>
      <c r="B1748" s="1" t="n">
        <v>20040</v>
      </c>
      <c r="C1748" s="1" t="inlineStr">
        <is>
          <t>072</t>
        </is>
      </c>
      <c r="D1748" s="1" t="inlineStr">
        <is>
          <t>252185</t>
        </is>
      </c>
      <c r="E1748" s="1" t="inlineStr">
        <is>
          <t xml:space="preserve">32457103       </t>
        </is>
      </c>
      <c r="F1748" s="5" t="inlineStr">
        <is>
          <t>TMZ BEAST MACHINES MONSTER JAWS A FRICCION PACK DE</t>
        </is>
      </c>
      <c r="G1748" t="n">
        <v>1</v>
      </c>
      <c r="H1748" s="7" t="n">
        <v>32.9</v>
      </c>
      <c r="I1748" s="7" t="n">
        <v>0</v>
      </c>
      <c r="J1748" s="7" t="n">
        <v>0</v>
      </c>
      <c r="K1748" s="9" t="n">
        <v>0</v>
      </c>
      <c r="L1748" s="10" t="n">
        <v>19.52</v>
      </c>
      <c r="M1748" s="10" t="n">
        <v>1.43</v>
      </c>
      <c r="N1748" t="inlineStr">
        <is>
          <t>1</t>
        </is>
      </c>
      <c r="O1748" t="inlineStr">
        <is>
          <t>16</t>
        </is>
      </c>
      <c r="P1748" t="inlineStr">
        <is>
          <t xml:space="preserve">247275  </t>
        </is>
      </c>
      <c r="Q1748" s="26" t="n">
        <v>37.9</v>
      </c>
      <c r="R1748" s="26">
        <f>Q1748*G1748</f>
        <v/>
      </c>
      <c r="S1748" t="n">
        <v>22.48</v>
      </c>
      <c r="T1748" s="18">
        <f>1 - V1748/S1748</f>
        <v/>
      </c>
      <c r="U1748" s="18" t="n">
        <v>0.1319261213720316</v>
      </c>
      <c r="V1748" s="26" t="n">
        <v>16.75101694915254</v>
      </c>
      <c r="W1748" s="26">
        <f>V1748 - L1748</f>
        <v/>
      </c>
    </row>
    <row r="1749">
      <c r="A1749" s="11" t="n">
        <v>46221</v>
      </c>
      <c r="B1749" s="1" t="n">
        <v>20040</v>
      </c>
      <c r="C1749" s="1" t="inlineStr">
        <is>
          <t>072</t>
        </is>
      </c>
      <c r="D1749" s="1" t="inlineStr">
        <is>
          <t>252220</t>
        </is>
      </c>
      <c r="E1749" s="1" t="inlineStr">
        <is>
          <t xml:space="preserve">32457106       </t>
        </is>
      </c>
      <c r="F1749" s="5" t="inlineStr">
        <is>
          <t>TMZ BEAST MACHINES PLAYSET DESASTRE DRAGON + 1 AUT</t>
        </is>
      </c>
      <c r="G1749" t="n">
        <v>1</v>
      </c>
      <c r="H1749" s="7" t="n">
        <v>49.9</v>
      </c>
      <c r="I1749" s="7" t="n">
        <v>0</v>
      </c>
      <c r="J1749" s="7" t="n">
        <v>0</v>
      </c>
      <c r="K1749" s="9" t="n">
        <v>0</v>
      </c>
      <c r="L1749" s="10" t="n">
        <v>29.6</v>
      </c>
      <c r="M1749" s="10" t="n">
        <v>1.43</v>
      </c>
      <c r="N1749" t="inlineStr">
        <is>
          <t>1</t>
        </is>
      </c>
      <c r="O1749" t="inlineStr">
        <is>
          <t>16</t>
        </is>
      </c>
      <c r="P1749" t="inlineStr">
        <is>
          <t xml:space="preserve">248842  </t>
        </is>
      </c>
      <c r="Q1749" s="26" t="n">
        <v>69.90000000000001</v>
      </c>
      <c r="R1749" s="26">
        <f>Q1749*G1749</f>
        <v/>
      </c>
      <c r="S1749" t="n">
        <v>41.47</v>
      </c>
      <c r="T1749" s="18">
        <f>1 - V1749/S1749</f>
        <v/>
      </c>
      <c r="U1749" s="18" t="n">
        <v>0.2861230329041489</v>
      </c>
      <c r="V1749" s="26" t="n">
        <v>31.71610169491525</v>
      </c>
      <c r="W1749" s="26">
        <f>V1749 - L1749</f>
        <v/>
      </c>
    </row>
    <row r="1750">
      <c r="A1750" s="11" t="n">
        <v>46221</v>
      </c>
      <c r="B1750" s="1" t="n">
        <v>20040</v>
      </c>
      <c r="C1750" s="1" t="inlineStr">
        <is>
          <t>073</t>
        </is>
      </c>
      <c r="D1750" s="1" t="inlineStr">
        <is>
          <t>254938</t>
        </is>
      </c>
      <c r="E1750" s="1" t="inlineStr">
        <is>
          <t xml:space="preserve">32457099       </t>
        </is>
      </c>
      <c r="F1750" s="5" t="inlineStr">
        <is>
          <t>TMZ BEAST MACHINES MONSTER JAWS A FRICCION BLISTER</t>
        </is>
      </c>
      <c r="G1750" t="n">
        <v>1</v>
      </c>
      <c r="H1750" s="7" t="n">
        <v>17.9</v>
      </c>
      <c r="I1750" s="7" t="n">
        <v>1.79</v>
      </c>
      <c r="J1750" s="7" t="n">
        <v>0</v>
      </c>
      <c r="K1750" s="9" t="n">
        <v>1.79</v>
      </c>
      <c r="L1750" s="10" t="n">
        <v>9.56</v>
      </c>
      <c r="M1750" s="10" t="n">
        <v>1.43</v>
      </c>
      <c r="N1750" t="inlineStr">
        <is>
          <t>1</t>
        </is>
      </c>
      <c r="O1750" t="inlineStr">
        <is>
          <t xml:space="preserve">3 </t>
        </is>
      </c>
      <c r="P1750" t="inlineStr">
        <is>
          <t xml:space="preserve">61602   </t>
        </is>
      </c>
      <c r="Q1750" s="26" t="n">
        <v>19.9</v>
      </c>
      <c r="R1750" s="26">
        <f>Q1750*G1750</f>
        <v/>
      </c>
      <c r="S1750" t="n">
        <v>11.81</v>
      </c>
      <c r="T1750" s="18">
        <f>1 - V1750/S1750</f>
        <v/>
      </c>
      <c r="U1750" s="18" t="n">
        <v>0.1005025125628141</v>
      </c>
      <c r="V1750" s="26" t="n">
        <v>8.417118644067797</v>
      </c>
      <c r="W1750" s="26">
        <f>V1750 - L1750</f>
        <v/>
      </c>
    </row>
    <row r="1751">
      <c r="A1751" s="11" t="n">
        <v>46221</v>
      </c>
      <c r="B1751" s="1" t="n">
        <v>20040</v>
      </c>
      <c r="C1751" s="1" t="inlineStr">
        <is>
          <t>073</t>
        </is>
      </c>
      <c r="D1751" s="1" t="inlineStr">
        <is>
          <t>254938</t>
        </is>
      </c>
      <c r="E1751" s="1" t="inlineStr">
        <is>
          <t xml:space="preserve">32457099       </t>
        </is>
      </c>
      <c r="F1751" s="5" t="inlineStr">
        <is>
          <t>TMZ BEAST MACHINES MONSTER JAWS A FRICCION BLISTER</t>
        </is>
      </c>
      <c r="G1751" t="n">
        <v>1</v>
      </c>
      <c r="H1751" s="7" t="n">
        <v>17.9</v>
      </c>
      <c r="I1751" s="7" t="n">
        <v>1.79</v>
      </c>
      <c r="J1751" s="7" t="n">
        <v>0</v>
      </c>
      <c r="K1751" s="9" t="n">
        <v>1.79</v>
      </c>
      <c r="L1751" s="10" t="n">
        <v>9.56</v>
      </c>
      <c r="M1751" s="10" t="n">
        <v>1.43</v>
      </c>
      <c r="N1751" t="inlineStr">
        <is>
          <t>1</t>
        </is>
      </c>
      <c r="O1751" t="inlineStr">
        <is>
          <t xml:space="preserve">3 </t>
        </is>
      </c>
      <c r="P1751" t="inlineStr">
        <is>
          <t xml:space="preserve">61602   </t>
        </is>
      </c>
      <c r="Q1751" s="26" t="n">
        <v>19.9</v>
      </c>
      <c r="R1751" s="26">
        <f>Q1751*G1751</f>
        <v/>
      </c>
      <c r="S1751" t="n">
        <v>11.81</v>
      </c>
      <c r="T1751" s="18">
        <f>1 - V1751/S1751</f>
        <v/>
      </c>
      <c r="U1751" s="18" t="n">
        <v>0.1005025125628141</v>
      </c>
      <c r="V1751" s="26" t="n">
        <v>8.417118644067797</v>
      </c>
      <c r="W1751" s="26">
        <f>V1751 - L1751</f>
        <v/>
      </c>
    </row>
    <row r="1752">
      <c r="A1752" s="11" t="n">
        <v>46221</v>
      </c>
      <c r="B1752" s="1" t="n">
        <v>20040</v>
      </c>
      <c r="C1752" s="1" t="inlineStr">
        <is>
          <t>073</t>
        </is>
      </c>
      <c r="D1752" s="1" t="inlineStr">
        <is>
          <t>254938</t>
        </is>
      </c>
      <c r="E1752" s="1" t="inlineStr">
        <is>
          <t xml:space="preserve">32457099       </t>
        </is>
      </c>
      <c r="F1752" s="5" t="inlineStr">
        <is>
          <t>TMZ BEAST MACHINES MONSTER JAWS A FRICCION BLISTER</t>
        </is>
      </c>
      <c r="G1752" t="n">
        <v>1</v>
      </c>
      <c r="H1752" s="7" t="n">
        <v>17.9</v>
      </c>
      <c r="I1752" s="7" t="n">
        <v>1.79</v>
      </c>
      <c r="J1752" s="7" t="n">
        <v>0</v>
      </c>
      <c r="K1752" s="9" t="n">
        <v>1.79</v>
      </c>
      <c r="L1752" s="10" t="n">
        <v>9.56</v>
      </c>
      <c r="M1752" s="10" t="n">
        <v>1.43</v>
      </c>
      <c r="N1752" t="inlineStr">
        <is>
          <t>1</t>
        </is>
      </c>
      <c r="O1752" t="inlineStr">
        <is>
          <t xml:space="preserve">3 </t>
        </is>
      </c>
      <c r="P1752" t="inlineStr">
        <is>
          <t xml:space="preserve">61602   </t>
        </is>
      </c>
      <c r="Q1752" s="26" t="n">
        <v>19.9</v>
      </c>
      <c r="R1752" s="26">
        <f>Q1752*G1752</f>
        <v/>
      </c>
      <c r="S1752" t="n">
        <v>11.81</v>
      </c>
      <c r="T1752" s="18">
        <f>1 - V1752/S1752</f>
        <v/>
      </c>
      <c r="U1752" s="18" t="n">
        <v>0.1005025125628141</v>
      </c>
      <c r="V1752" s="26" t="n">
        <v>8.417118644067797</v>
      </c>
      <c r="W1752" s="26">
        <f>V1752 - L1752</f>
        <v/>
      </c>
    </row>
    <row r="1753">
      <c r="A1753" s="11" t="n">
        <v>46221</v>
      </c>
      <c r="B1753" s="1" t="n">
        <v>20040</v>
      </c>
      <c r="C1753" s="1" t="inlineStr">
        <is>
          <t>073</t>
        </is>
      </c>
      <c r="D1753" s="1" t="inlineStr">
        <is>
          <t>254976</t>
        </is>
      </c>
      <c r="E1753" s="1" t="inlineStr">
        <is>
          <t xml:space="preserve">34840551       </t>
        </is>
      </c>
      <c r="F1753" s="5" t="inlineStr">
        <is>
          <t>TMZ HELI BOMBERO CON LUCES Y SONIDOS</t>
        </is>
      </c>
      <c r="G1753" t="n">
        <v>1</v>
      </c>
      <c r="H1753" s="7" t="n">
        <v>79.90000000000001</v>
      </c>
      <c r="I1753" s="7" t="n">
        <v>0</v>
      </c>
      <c r="J1753" s="7" t="n">
        <v>0</v>
      </c>
      <c r="K1753" s="9" t="n">
        <v>0</v>
      </c>
      <c r="L1753" s="10" t="n">
        <v>47.4</v>
      </c>
      <c r="M1753" s="10" t="n">
        <v>1.43</v>
      </c>
      <c r="N1753" t="inlineStr">
        <is>
          <t>1</t>
        </is>
      </c>
      <c r="O1753" t="inlineStr">
        <is>
          <t xml:space="preserve">2 </t>
        </is>
      </c>
      <c r="P1753" t="inlineStr">
        <is>
          <t xml:space="preserve">61602   </t>
        </is>
      </c>
      <c r="Q1753" s="26" t="n">
        <v>79.90000000000002</v>
      </c>
      <c r="R1753" s="26">
        <f>Q1753*G1753</f>
        <v/>
      </c>
      <c r="S1753" t="n">
        <v>47.4</v>
      </c>
      <c r="T1753" s="18">
        <f>1 - V1753/S1753</f>
        <v/>
      </c>
      <c r="U1753" s="18" t="n">
        <v>0</v>
      </c>
      <c r="V1753" s="26" t="n">
        <v>47.4</v>
      </c>
      <c r="W1753" s="26">
        <f>V1753 - L1753</f>
        <v/>
      </c>
    </row>
    <row r="1754">
      <c r="A1754" s="11" t="n">
        <v>46221</v>
      </c>
      <c r="B1754" s="1" t="n">
        <v>20040</v>
      </c>
      <c r="C1754" s="1" t="inlineStr">
        <is>
          <t>083</t>
        </is>
      </c>
      <c r="D1754" s="1" t="inlineStr">
        <is>
          <t>160115</t>
        </is>
      </c>
      <c r="E1754" s="1" t="inlineStr">
        <is>
          <t xml:space="preserve">32457099       </t>
        </is>
      </c>
      <c r="F1754" s="5" t="inlineStr">
        <is>
          <t>TMZ BEAST MACHINES MONSTER JAWS A FRICCION BLISTER</t>
        </is>
      </c>
      <c r="G1754" t="n">
        <v>1</v>
      </c>
      <c r="H1754" s="7" t="n">
        <v>17.9</v>
      </c>
      <c r="I1754" s="7" t="n">
        <v>1.79</v>
      </c>
      <c r="J1754" s="7" t="n">
        <v>0</v>
      </c>
      <c r="K1754" s="9" t="n">
        <v>1.79</v>
      </c>
      <c r="L1754" s="10" t="n">
        <v>9.56</v>
      </c>
      <c r="M1754" s="10" t="n">
        <v>1.43</v>
      </c>
      <c r="N1754" t="inlineStr">
        <is>
          <t>1</t>
        </is>
      </c>
      <c r="O1754" t="inlineStr">
        <is>
          <t>16</t>
        </is>
      </c>
      <c r="P1754" t="inlineStr">
        <is>
          <t xml:space="preserve">250040  </t>
        </is>
      </c>
      <c r="Q1754" s="26" t="n">
        <v>19.9</v>
      </c>
      <c r="R1754" s="26">
        <f>Q1754*G1754</f>
        <v/>
      </c>
      <c r="S1754" t="n">
        <v>11.81</v>
      </c>
      <c r="T1754" s="18">
        <f>1 - V1754/S1754</f>
        <v/>
      </c>
      <c r="U1754" s="18" t="n">
        <v>0.1005025125628141</v>
      </c>
      <c r="V1754" s="26" t="n">
        <v>8.417118644067797</v>
      </c>
      <c r="W1754" s="26">
        <f>V1754 - L1754</f>
        <v/>
      </c>
    </row>
    <row r="1755">
      <c r="A1755" s="11" t="n">
        <v>46221</v>
      </c>
      <c r="B1755" s="1" t="n">
        <v>20040</v>
      </c>
      <c r="C1755" s="1" t="inlineStr">
        <is>
          <t>083</t>
        </is>
      </c>
      <c r="D1755" s="1" t="inlineStr">
        <is>
          <t>160121</t>
        </is>
      </c>
      <c r="E1755" s="1" t="inlineStr">
        <is>
          <t xml:space="preserve">28194770       </t>
        </is>
      </c>
      <c r="F1755" s="5" t="inlineStr">
        <is>
          <t>AUTOS DE METAL 3 TEAMSTERZ EN BLISTER</t>
        </is>
      </c>
      <c r="G1755" t="n">
        <v>1</v>
      </c>
      <c r="H1755" s="7" t="n">
        <v>6.9</v>
      </c>
      <c r="I1755" s="7" t="n">
        <v>0</v>
      </c>
      <c r="J1755" s="7" t="n">
        <v>0</v>
      </c>
      <c r="K1755" s="9" t="n">
        <v>0</v>
      </c>
      <c r="L1755" s="10" t="n">
        <v>4.1</v>
      </c>
      <c r="M1755" s="10" t="n">
        <v>1.43</v>
      </c>
      <c r="N1755" t="inlineStr">
        <is>
          <t>1</t>
        </is>
      </c>
      <c r="O1755" t="inlineStr">
        <is>
          <t xml:space="preserve">2 </t>
        </is>
      </c>
      <c r="P1755" t="inlineStr">
        <is>
          <t xml:space="preserve">250040  </t>
        </is>
      </c>
      <c r="Q1755" s="26" t="n">
        <v>6.9</v>
      </c>
      <c r="R1755" s="26">
        <f>Q1755*G1755</f>
        <v/>
      </c>
      <c r="S1755" t="n">
        <v>4.09</v>
      </c>
      <c r="T1755" s="18">
        <f>1 - V1755/S1755</f>
        <v/>
      </c>
      <c r="U1755" s="18" t="n">
        <v>0</v>
      </c>
      <c r="V1755" s="26" t="n">
        <v>4.09</v>
      </c>
      <c r="W1755" s="26">
        <f>V1755 - L1755</f>
        <v/>
      </c>
    </row>
    <row r="1756">
      <c r="A1756" s="11" t="n">
        <v>46221</v>
      </c>
      <c r="B1756" s="1" t="n">
        <v>20040</v>
      </c>
      <c r="C1756" s="1" t="inlineStr">
        <is>
          <t>083</t>
        </is>
      </c>
      <c r="D1756" s="1" t="inlineStr">
        <is>
          <t>160121</t>
        </is>
      </c>
      <c r="E1756" s="1" t="inlineStr">
        <is>
          <t xml:space="preserve">28194770       </t>
        </is>
      </c>
      <c r="F1756" s="5" t="inlineStr">
        <is>
          <t>AUTOS DE METAL 3 TEAMSTERZ EN BLISTER</t>
        </is>
      </c>
      <c r="G1756" t="n">
        <v>1</v>
      </c>
      <c r="H1756" s="7" t="n">
        <v>6.9</v>
      </c>
      <c r="I1756" s="7" t="n">
        <v>0</v>
      </c>
      <c r="J1756" s="7" t="n">
        <v>0</v>
      </c>
      <c r="K1756" s="9" t="n">
        <v>0</v>
      </c>
      <c r="L1756" s="10" t="n">
        <v>4.1</v>
      </c>
      <c r="M1756" s="10" t="n">
        <v>1.43</v>
      </c>
      <c r="N1756" t="inlineStr">
        <is>
          <t>1</t>
        </is>
      </c>
      <c r="O1756" t="inlineStr">
        <is>
          <t xml:space="preserve">2 </t>
        </is>
      </c>
      <c r="P1756" t="inlineStr">
        <is>
          <t xml:space="preserve">250040  </t>
        </is>
      </c>
      <c r="Q1756" s="26" t="n">
        <v>6.9</v>
      </c>
      <c r="R1756" s="26">
        <f>Q1756*G1756</f>
        <v/>
      </c>
      <c r="S1756" t="n">
        <v>4.09</v>
      </c>
      <c r="T1756" s="18">
        <f>1 - V1756/S1756</f>
        <v/>
      </c>
      <c r="U1756" s="18" t="n">
        <v>0</v>
      </c>
      <c r="V1756" s="26" t="n">
        <v>4.09</v>
      </c>
      <c r="W1756" s="26">
        <f>V1756 - L1756</f>
        <v/>
      </c>
    </row>
    <row r="1757">
      <c r="A1757" s="11" t="n">
        <v>46221</v>
      </c>
      <c r="B1757" s="1" t="n">
        <v>20040</v>
      </c>
      <c r="C1757" s="1" t="inlineStr">
        <is>
          <t>083</t>
        </is>
      </c>
      <c r="D1757" s="1" t="inlineStr">
        <is>
          <t>160158</t>
        </is>
      </c>
      <c r="E1757" s="1" t="inlineStr">
        <is>
          <t xml:space="preserve">30141769       </t>
        </is>
      </c>
      <c r="F1757" s="5" t="inlineStr">
        <is>
          <t>TMZ BEAST MACHINES TRANSPORTE DINOSAURIO + 3 AUTOS</t>
        </is>
      </c>
      <c r="G1757" t="n">
        <v>1</v>
      </c>
      <c r="H1757" s="7" t="n">
        <v>59.9</v>
      </c>
      <c r="I1757" s="7" t="n">
        <v>0</v>
      </c>
      <c r="J1757" s="7" t="n">
        <v>0</v>
      </c>
      <c r="K1757" s="9" t="n">
        <v>0</v>
      </c>
      <c r="L1757" s="10" t="n">
        <v>35.53</v>
      </c>
      <c r="M1757" s="10" t="n">
        <v>1.43</v>
      </c>
      <c r="N1757" t="inlineStr">
        <is>
          <t>1</t>
        </is>
      </c>
      <c r="O1757" t="inlineStr">
        <is>
          <t xml:space="preserve">2 </t>
        </is>
      </c>
      <c r="P1757" t="inlineStr">
        <is>
          <t xml:space="preserve">250040  </t>
        </is>
      </c>
      <c r="Q1757" s="26" t="n">
        <v>79.90000000000001</v>
      </c>
      <c r="R1757" s="26">
        <f>Q1757*G1757</f>
        <v/>
      </c>
      <c r="S1757" t="n">
        <v>47.4</v>
      </c>
      <c r="T1757" s="18">
        <f>1 - V1757/S1757</f>
        <v/>
      </c>
      <c r="U1757" s="18" t="n">
        <v>0.2503128911138924</v>
      </c>
      <c r="V1757" s="26" t="n">
        <v>38.07203389830509</v>
      </c>
      <c r="W1757" s="26">
        <f>V1757 - L1757</f>
        <v/>
      </c>
    </row>
    <row r="1758">
      <c r="A1758" s="11" t="n">
        <v>46221</v>
      </c>
      <c r="B1758" s="1" t="n">
        <v>20040</v>
      </c>
      <c r="C1758" s="1" t="inlineStr">
        <is>
          <t>524</t>
        </is>
      </c>
      <c r="D1758" s="1" t="inlineStr">
        <is>
          <t xml:space="preserve">835   </t>
        </is>
      </c>
      <c r="E1758" s="1" t="inlineStr">
        <is>
          <t xml:space="preserve">32457103       </t>
        </is>
      </c>
      <c r="F1758" s="5" t="inlineStr">
        <is>
          <t>TMZ BEAST MACHINES MONSTER JAWS A FRICCION PACK DE</t>
        </is>
      </c>
      <c r="G1758" t="n">
        <v>1</v>
      </c>
      <c r="H1758" s="7" t="n">
        <v>32.9</v>
      </c>
      <c r="I1758" s="7" t="n">
        <v>0</v>
      </c>
      <c r="J1758" s="7" t="n">
        <v>0</v>
      </c>
      <c r="K1758" s="9" t="n">
        <v>0</v>
      </c>
      <c r="L1758" s="10" t="n">
        <v>19.52</v>
      </c>
      <c r="M1758" s="10" t="n">
        <v>1.43</v>
      </c>
      <c r="N1758" t="inlineStr">
        <is>
          <t>1</t>
        </is>
      </c>
      <c r="O1758" t="inlineStr">
        <is>
          <t>16</t>
        </is>
      </c>
      <c r="P1758" t="inlineStr">
        <is>
          <t xml:space="preserve">250413  </t>
        </is>
      </c>
      <c r="Q1758" s="26" t="n">
        <v>37.9</v>
      </c>
      <c r="R1758" s="26">
        <f>Q1758*G1758</f>
        <v/>
      </c>
      <c r="S1758" t="n">
        <v>22.48</v>
      </c>
      <c r="T1758" s="18">
        <f>1 - V1758/S1758</f>
        <v/>
      </c>
      <c r="U1758" s="18" t="n">
        <v>0.1319261213720316</v>
      </c>
      <c r="V1758" s="26" t="n">
        <v>16.75101694915254</v>
      </c>
      <c r="W1758" s="26">
        <f>V1758 - L1758</f>
        <v/>
      </c>
    </row>
    <row r="1759">
      <c r="A1759" s="11" t="n">
        <v>46221</v>
      </c>
      <c r="B1759" s="1" t="n">
        <v>20040</v>
      </c>
      <c r="C1759" s="1" t="inlineStr">
        <is>
          <t>831</t>
        </is>
      </c>
      <c r="D1759" s="1" t="inlineStr">
        <is>
          <t xml:space="preserve">8909  </t>
        </is>
      </c>
      <c r="E1759" s="1" t="inlineStr">
        <is>
          <t xml:space="preserve">28194770       </t>
        </is>
      </c>
      <c r="F1759" s="5" t="inlineStr">
        <is>
          <t>AUTOS DE METAL 3 TEAMSTERZ EN BLISTER</t>
        </is>
      </c>
      <c r="G1759" t="n">
        <v>1</v>
      </c>
      <c r="H1759" s="7" t="n">
        <v>6.9</v>
      </c>
      <c r="I1759" s="7" t="n">
        <v>0</v>
      </c>
      <c r="J1759" s="7" t="n">
        <v>0</v>
      </c>
      <c r="K1759" s="9" t="n">
        <v>0</v>
      </c>
      <c r="L1759" s="10" t="n">
        <v>4.1</v>
      </c>
      <c r="M1759" s="10" t="n">
        <v>1.43</v>
      </c>
      <c r="N1759" t="inlineStr">
        <is>
          <t>1</t>
        </is>
      </c>
      <c r="O1759" t="inlineStr">
        <is>
          <t>16</t>
        </is>
      </c>
      <c r="P1759" t="inlineStr">
        <is>
          <t xml:space="preserve">24630   </t>
        </is>
      </c>
      <c r="Q1759" s="26" t="n">
        <v>6.9</v>
      </c>
      <c r="R1759" s="26">
        <f>Q1759*G1759</f>
        <v/>
      </c>
      <c r="S1759" t="n">
        <v>4.09</v>
      </c>
      <c r="T1759" s="18">
        <f>1 - V1759/S1759</f>
        <v/>
      </c>
      <c r="U1759" s="18" t="n">
        <v>0</v>
      </c>
      <c r="V1759" s="26" t="n">
        <v>4.09</v>
      </c>
      <c r="W1759" s="26">
        <f>V1759 - L1759</f>
        <v/>
      </c>
    </row>
    <row r="1760">
      <c r="A1760" s="11" t="n">
        <v>46221</v>
      </c>
      <c r="B1760" s="1" t="n">
        <v>20041</v>
      </c>
      <c r="C1760" s="1" t="inlineStr">
        <is>
          <t>013</t>
        </is>
      </c>
      <c r="D1760" s="1" t="inlineStr">
        <is>
          <t>459508</t>
        </is>
      </c>
      <c r="E1760" s="1" t="inlineStr">
        <is>
          <t xml:space="preserve">28194770       </t>
        </is>
      </c>
      <c r="F1760" s="5" t="inlineStr">
        <is>
          <t>AUTOS DE METAL 3 TEAMSTERZ EN BLISTER</t>
        </is>
      </c>
      <c r="G1760" t="n">
        <v>1</v>
      </c>
      <c r="H1760" s="7" t="n">
        <v>6.9</v>
      </c>
      <c r="I1760" s="7" t="n">
        <v>0</v>
      </c>
      <c r="J1760" s="7" t="n">
        <v>0</v>
      </c>
      <c r="K1760" s="9" t="n">
        <v>0</v>
      </c>
      <c r="L1760" s="10" t="n">
        <v>4.1</v>
      </c>
      <c r="M1760" s="10" t="n">
        <v>1.43</v>
      </c>
      <c r="N1760" t="inlineStr">
        <is>
          <t>1</t>
        </is>
      </c>
      <c r="O1760" t="inlineStr">
        <is>
          <t xml:space="preserve">2 </t>
        </is>
      </c>
      <c r="P1760" t="inlineStr">
        <is>
          <t xml:space="preserve">46327   </t>
        </is>
      </c>
      <c r="Q1760" s="26" t="n">
        <v>6.9</v>
      </c>
      <c r="R1760" s="26">
        <f>Q1760*G1760</f>
        <v/>
      </c>
      <c r="S1760" t="n">
        <v>4.09</v>
      </c>
      <c r="T1760" s="18">
        <f>1 - V1760/S1760</f>
        <v/>
      </c>
      <c r="U1760" s="18" t="n">
        <v>0</v>
      </c>
      <c r="V1760" s="26" t="n">
        <v>4.09</v>
      </c>
      <c r="W1760" s="26">
        <f>V1760 - L1760</f>
        <v/>
      </c>
    </row>
    <row r="1761">
      <c r="A1761" s="11" t="n">
        <v>46221</v>
      </c>
      <c r="B1761" s="1" t="n">
        <v>20041</v>
      </c>
      <c r="C1761" s="1" t="inlineStr">
        <is>
          <t>031</t>
        </is>
      </c>
      <c r="D1761" s="1" t="inlineStr">
        <is>
          <t>165831</t>
        </is>
      </c>
      <c r="E1761" s="1" t="inlineStr">
        <is>
          <t xml:space="preserve">28194770       </t>
        </is>
      </c>
      <c r="F1761" s="5" t="inlineStr">
        <is>
          <t>AUTOS DE METAL 3 TEAMSTERZ EN BLISTER</t>
        </is>
      </c>
      <c r="G1761" t="n">
        <v>1</v>
      </c>
      <c r="H1761" s="7" t="n">
        <v>6.9</v>
      </c>
      <c r="I1761" s="7" t="n">
        <v>0</v>
      </c>
      <c r="J1761" s="7" t="n">
        <v>0</v>
      </c>
      <c r="K1761" s="9" t="n">
        <v>0</v>
      </c>
      <c r="L1761" s="10" t="n">
        <v>4.1</v>
      </c>
      <c r="M1761" s="10" t="n">
        <v>1.43</v>
      </c>
      <c r="N1761" t="inlineStr">
        <is>
          <t>1</t>
        </is>
      </c>
      <c r="O1761" t="inlineStr">
        <is>
          <t>16</t>
        </is>
      </c>
      <c r="P1761" t="inlineStr">
        <is>
          <t xml:space="preserve">36180   </t>
        </is>
      </c>
      <c r="Q1761" s="26" t="n">
        <v>6.9</v>
      </c>
      <c r="R1761" s="26">
        <f>Q1761*G1761</f>
        <v/>
      </c>
      <c r="S1761" t="n">
        <v>4.09</v>
      </c>
      <c r="T1761" s="18">
        <f>1 - V1761/S1761</f>
        <v/>
      </c>
      <c r="U1761" s="18" t="n">
        <v>0</v>
      </c>
      <c r="V1761" s="26" t="n">
        <v>4.09</v>
      </c>
      <c r="W1761" s="26">
        <f>V1761 - L1761</f>
        <v/>
      </c>
    </row>
    <row r="1762">
      <c r="A1762" s="11" t="n">
        <v>46221</v>
      </c>
      <c r="B1762" s="1" t="n">
        <v>20041</v>
      </c>
      <c r="C1762" s="1" t="inlineStr">
        <is>
          <t>031</t>
        </is>
      </c>
      <c r="D1762" s="1" t="inlineStr">
        <is>
          <t>165879</t>
        </is>
      </c>
      <c r="E1762" s="1" t="inlineStr">
        <is>
          <t xml:space="preserve">28194770       </t>
        </is>
      </c>
      <c r="F1762" s="5" t="inlineStr">
        <is>
          <t>AUTOS DE METAL 3 TEAMSTERZ EN BLISTER</t>
        </is>
      </c>
      <c r="G1762" t="n">
        <v>1</v>
      </c>
      <c r="H1762" s="7" t="n">
        <v>6.9</v>
      </c>
      <c r="I1762" s="7" t="n">
        <v>0.6899999999999999</v>
      </c>
      <c r="J1762" s="7" t="n">
        <v>0</v>
      </c>
      <c r="K1762" s="9" t="n">
        <v>0.6899999999999999</v>
      </c>
      <c r="L1762" s="10" t="n">
        <v>3.68</v>
      </c>
      <c r="M1762" s="10" t="n">
        <v>1.43</v>
      </c>
      <c r="N1762" t="inlineStr">
        <is>
          <t>1</t>
        </is>
      </c>
      <c r="O1762" t="inlineStr">
        <is>
          <t xml:space="preserve">3 </t>
        </is>
      </c>
      <c r="P1762" t="inlineStr">
        <is>
          <t xml:space="preserve">36180   </t>
        </is>
      </c>
      <c r="Q1762" s="26" t="n">
        <v>6.9</v>
      </c>
      <c r="R1762" s="26">
        <f>Q1762*G1762</f>
        <v/>
      </c>
      <c r="S1762" t="n">
        <v>4.09</v>
      </c>
      <c r="T1762" s="18">
        <f>1 - V1762/S1762</f>
        <v/>
      </c>
      <c r="U1762" s="18" t="n">
        <v>0</v>
      </c>
      <c r="V1762" s="26" t="n">
        <v>4.09</v>
      </c>
      <c r="W1762" s="26">
        <f>V1762 - L1762</f>
        <v/>
      </c>
    </row>
    <row r="1763">
      <c r="A1763" s="11" t="n">
        <v>46221</v>
      </c>
      <c r="B1763" s="1" t="n">
        <v>20041</v>
      </c>
      <c r="C1763" s="1" t="inlineStr">
        <is>
          <t>036</t>
        </is>
      </c>
      <c r="D1763" s="1" t="inlineStr">
        <is>
          <t>319983</t>
        </is>
      </c>
      <c r="E1763" s="1" t="inlineStr">
        <is>
          <t xml:space="preserve">28194770       </t>
        </is>
      </c>
      <c r="F1763" s="5" t="inlineStr">
        <is>
          <t>AUTOS DE METAL 3 TEAMSTERZ EN BLISTER</t>
        </is>
      </c>
      <c r="G1763" t="n">
        <v>1</v>
      </c>
      <c r="H1763" s="7" t="n">
        <v>6.9</v>
      </c>
      <c r="I1763" s="7" t="n">
        <v>0</v>
      </c>
      <c r="J1763" s="7" t="n">
        <v>0</v>
      </c>
      <c r="K1763" s="9" t="n">
        <v>0</v>
      </c>
      <c r="L1763" s="10" t="n">
        <v>4.1</v>
      </c>
      <c r="M1763" s="10" t="n">
        <v>1.43</v>
      </c>
      <c r="N1763" t="inlineStr">
        <is>
          <t>1</t>
        </is>
      </c>
      <c r="O1763" t="inlineStr">
        <is>
          <t>16</t>
        </is>
      </c>
      <c r="P1763" t="inlineStr">
        <is>
          <t xml:space="preserve">57146   </t>
        </is>
      </c>
      <c r="Q1763" s="26" t="n">
        <v>6.9</v>
      </c>
      <c r="R1763" s="26">
        <f>Q1763*G1763</f>
        <v/>
      </c>
      <c r="S1763" t="n">
        <v>4.09</v>
      </c>
      <c r="T1763" s="18">
        <f>1 - V1763/S1763</f>
        <v/>
      </c>
      <c r="U1763" s="18" t="n">
        <v>0</v>
      </c>
      <c r="V1763" s="26" t="n">
        <v>4.09</v>
      </c>
      <c r="W1763" s="26">
        <f>V1763 - L1763</f>
        <v/>
      </c>
    </row>
    <row r="1764">
      <c r="A1764" s="11" t="n">
        <v>46221</v>
      </c>
      <c r="B1764" s="1" t="n">
        <v>20043</v>
      </c>
      <c r="C1764" s="1" t="inlineStr">
        <is>
          <t>054</t>
        </is>
      </c>
      <c r="D1764" s="1" t="inlineStr">
        <is>
          <t xml:space="preserve">15356 </t>
        </is>
      </c>
      <c r="E1764" s="1" t="inlineStr">
        <is>
          <t xml:space="preserve">32656523       </t>
        </is>
      </c>
      <c r="F1764" s="5" t="inlineStr">
        <is>
          <t>TMZ BEAST MACHINES TRANSPORT. T-REX ELECTR. + ACCE</t>
        </is>
      </c>
      <c r="G1764" t="n">
        <v>1</v>
      </c>
      <c r="H1764" s="7" t="n">
        <v>179</v>
      </c>
      <c r="I1764" s="7" t="n">
        <v>17.9</v>
      </c>
      <c r="J1764" s="7" t="n">
        <v>0</v>
      </c>
      <c r="K1764" s="9" t="n">
        <v>17.9</v>
      </c>
      <c r="L1764" s="10" t="n">
        <v>95.56999999999999</v>
      </c>
      <c r="M1764" s="10" t="n">
        <v>1.43</v>
      </c>
      <c r="N1764" t="inlineStr">
        <is>
          <t>1</t>
        </is>
      </c>
      <c r="O1764" t="inlineStr">
        <is>
          <t xml:space="preserve">3 </t>
        </is>
      </c>
      <c r="P1764" t="inlineStr">
        <is>
          <t xml:space="preserve">52184   </t>
        </is>
      </c>
      <c r="Q1764" s="26" t="n">
        <v>179</v>
      </c>
      <c r="R1764" s="26">
        <f>Q1764*G1764</f>
        <v/>
      </c>
      <c r="S1764" t="n">
        <v>106.19</v>
      </c>
      <c r="T1764" s="18">
        <f>1 - V1764/S1764</f>
        <v/>
      </c>
      <c r="U1764" s="18" t="n">
        <v>0</v>
      </c>
      <c r="V1764" s="26" t="n">
        <v>106.19</v>
      </c>
      <c r="W1764" s="26">
        <f>V1764 - L1764</f>
        <v/>
      </c>
    </row>
    <row r="1765">
      <c r="A1765" s="11" t="n">
        <v>46221</v>
      </c>
      <c r="B1765" s="1" t="n">
        <v>20043</v>
      </c>
      <c r="C1765" s="1" t="inlineStr">
        <is>
          <t>054</t>
        </is>
      </c>
      <c r="D1765" s="1" t="inlineStr">
        <is>
          <t xml:space="preserve">15369 </t>
        </is>
      </c>
      <c r="E1765" s="1" t="inlineStr">
        <is>
          <t xml:space="preserve">28194770       </t>
        </is>
      </c>
      <c r="F1765" s="5" t="inlineStr">
        <is>
          <t>AUTOS DE METAL 3 TEAMSTERZ EN BLISTER</t>
        </is>
      </c>
      <c r="G1765" t="n">
        <v>1</v>
      </c>
      <c r="H1765" s="7" t="n">
        <v>6.9</v>
      </c>
      <c r="I1765" s="7" t="n">
        <v>0</v>
      </c>
      <c r="J1765" s="7" t="n">
        <v>0</v>
      </c>
      <c r="K1765" s="9" t="n">
        <v>0</v>
      </c>
      <c r="L1765" s="10" t="n">
        <v>4.1</v>
      </c>
      <c r="M1765" s="10" t="n">
        <v>1.43</v>
      </c>
      <c r="N1765" t="inlineStr">
        <is>
          <t>1</t>
        </is>
      </c>
      <c r="O1765" t="inlineStr">
        <is>
          <t>16</t>
        </is>
      </c>
      <c r="P1765" t="inlineStr">
        <is>
          <t xml:space="preserve">52184   </t>
        </is>
      </c>
      <c r="Q1765" s="26" t="n">
        <v>6.9</v>
      </c>
      <c r="R1765" s="26">
        <f>Q1765*G1765</f>
        <v/>
      </c>
      <c r="S1765" t="n">
        <v>4.09</v>
      </c>
      <c r="T1765" s="18">
        <f>1 - V1765/S1765</f>
        <v/>
      </c>
      <c r="U1765" s="18" t="n">
        <v>0</v>
      </c>
      <c r="V1765" s="26" t="n">
        <v>4.09</v>
      </c>
      <c r="W1765" s="26">
        <f>V1765 - L1765</f>
        <v/>
      </c>
    </row>
    <row r="1766">
      <c r="A1766" s="11" t="n">
        <v>46221</v>
      </c>
      <c r="B1766" s="1" t="n">
        <v>20043</v>
      </c>
      <c r="C1766" s="1" t="inlineStr">
        <is>
          <t>054</t>
        </is>
      </c>
      <c r="D1766" s="1" t="inlineStr">
        <is>
          <t xml:space="preserve">15403 </t>
        </is>
      </c>
      <c r="E1766" s="1" t="inlineStr">
        <is>
          <t xml:space="preserve">30141766       </t>
        </is>
      </c>
      <c r="F1766" s="5" t="inlineStr">
        <is>
          <t>TMZ BEAST MACHINES AUTOS DE METAL BLISTER X 1</t>
        </is>
      </c>
      <c r="G1766" t="n">
        <v>1</v>
      </c>
      <c r="H1766" s="7" t="n">
        <v>7.9</v>
      </c>
      <c r="I1766" s="7" t="n">
        <v>0</v>
      </c>
      <c r="J1766" s="7" t="n">
        <v>0</v>
      </c>
      <c r="K1766" s="9" t="n">
        <v>0</v>
      </c>
      <c r="L1766" s="10" t="n">
        <v>4.68</v>
      </c>
      <c r="M1766" s="10" t="n">
        <v>1.43</v>
      </c>
      <c r="N1766" t="inlineStr">
        <is>
          <t>1</t>
        </is>
      </c>
      <c r="O1766" t="inlineStr">
        <is>
          <t>16</t>
        </is>
      </c>
      <c r="P1766" t="inlineStr">
        <is>
          <t xml:space="preserve">52184   </t>
        </is>
      </c>
      <c r="Q1766" s="26" t="n">
        <v>7.9</v>
      </c>
      <c r="R1766" s="26">
        <f>Q1766*G1766</f>
        <v/>
      </c>
      <c r="S1766" t="n">
        <v>4.69</v>
      </c>
      <c r="T1766" s="18">
        <f>1 - V1766/S1766</f>
        <v/>
      </c>
      <c r="U1766" s="18" t="n">
        <v>0</v>
      </c>
      <c r="V1766" s="26" t="n">
        <v>4.69</v>
      </c>
      <c r="W1766" s="26">
        <f>V1766 - L1766</f>
        <v/>
      </c>
    </row>
    <row r="1767">
      <c r="A1767" s="11" t="n">
        <v>46221</v>
      </c>
      <c r="B1767" s="1" t="n">
        <v>20043</v>
      </c>
      <c r="C1767" s="1" t="inlineStr">
        <is>
          <t>054</t>
        </is>
      </c>
      <c r="D1767" s="1" t="inlineStr">
        <is>
          <t xml:space="preserve">15408 </t>
        </is>
      </c>
      <c r="E1767" s="1" t="inlineStr">
        <is>
          <t xml:space="preserve">28194769       </t>
        </is>
      </c>
      <c r="F1767" s="5" t="inlineStr">
        <is>
          <t>AUTOS DE METAL 3 TEAMSTERZ PACK DE 2</t>
        </is>
      </c>
      <c r="G1767" t="n">
        <v>1</v>
      </c>
      <c r="H1767" s="7" t="n">
        <v>13.8</v>
      </c>
      <c r="I1767" s="7" t="n">
        <v>1.38</v>
      </c>
      <c r="J1767" s="7" t="n">
        <v>0</v>
      </c>
      <c r="K1767" s="9" t="n">
        <v>1.38</v>
      </c>
      <c r="L1767" s="10" t="n">
        <v>7.37</v>
      </c>
      <c r="M1767" s="10" t="n">
        <v>1.43</v>
      </c>
      <c r="N1767" t="inlineStr">
        <is>
          <t>1</t>
        </is>
      </c>
      <c r="O1767" t="inlineStr">
        <is>
          <t xml:space="preserve">3 </t>
        </is>
      </c>
      <c r="P1767" t="inlineStr">
        <is>
          <t xml:space="preserve">52184   </t>
        </is>
      </c>
      <c r="Q1767" s="26" t="n">
        <v>13.8</v>
      </c>
      <c r="R1767" s="26">
        <f>Q1767*G1767</f>
        <v/>
      </c>
      <c r="S1767" t="n">
        <v>8.19</v>
      </c>
      <c r="T1767" s="18">
        <f>1 - V1767/S1767</f>
        <v/>
      </c>
      <c r="U1767" s="18" t="n">
        <v>0</v>
      </c>
      <c r="V1767" s="26" t="n">
        <v>8.19</v>
      </c>
      <c r="W1767" s="26">
        <f>V1767 - L1767</f>
        <v/>
      </c>
    </row>
    <row r="1768">
      <c r="A1768" s="11" t="n">
        <v>46221</v>
      </c>
      <c r="B1768" s="1" t="n">
        <v>20043</v>
      </c>
      <c r="C1768" s="1" t="inlineStr">
        <is>
          <t>054</t>
        </is>
      </c>
      <c r="D1768" s="1" t="inlineStr">
        <is>
          <t xml:space="preserve">15408 </t>
        </is>
      </c>
      <c r="E1768" s="1" t="inlineStr">
        <is>
          <t xml:space="preserve">30141766       </t>
        </is>
      </c>
      <c r="F1768" s="5" t="inlineStr">
        <is>
          <t>TMZ BEAST MACHINES AUTOS DE METAL BLISTER X 1</t>
        </is>
      </c>
      <c r="G1768" t="n">
        <v>1</v>
      </c>
      <c r="H1768" s="7" t="n">
        <v>7.9</v>
      </c>
      <c r="I1768" s="7" t="n">
        <v>0.79</v>
      </c>
      <c r="J1768" s="7" t="n">
        <v>0</v>
      </c>
      <c r="K1768" s="9" t="n">
        <v>0.79</v>
      </c>
      <c r="L1768" s="10" t="n">
        <v>4.22</v>
      </c>
      <c r="M1768" s="10" t="n">
        <v>1.43</v>
      </c>
      <c r="N1768" t="inlineStr">
        <is>
          <t>1</t>
        </is>
      </c>
      <c r="O1768" t="inlineStr">
        <is>
          <t xml:space="preserve">3 </t>
        </is>
      </c>
      <c r="P1768" t="inlineStr">
        <is>
          <t xml:space="preserve">52184   </t>
        </is>
      </c>
      <c r="Q1768" s="26" t="n">
        <v>7.9</v>
      </c>
      <c r="R1768" s="26">
        <f>Q1768*G1768</f>
        <v/>
      </c>
      <c r="S1768" t="n">
        <v>4.69</v>
      </c>
      <c r="T1768" s="18">
        <f>1 - V1768/S1768</f>
        <v/>
      </c>
      <c r="U1768" s="18" t="n">
        <v>0</v>
      </c>
      <c r="V1768" s="26" t="n">
        <v>4.69</v>
      </c>
      <c r="W1768" s="26">
        <f>V1768 - L1768</f>
        <v/>
      </c>
    </row>
    <row r="1769">
      <c r="A1769" s="11" t="n">
        <v>46221</v>
      </c>
      <c r="B1769" s="1" t="n">
        <v>20043</v>
      </c>
      <c r="C1769" s="1" t="inlineStr">
        <is>
          <t>061</t>
        </is>
      </c>
      <c r="D1769" s="1" t="inlineStr">
        <is>
          <t>155190</t>
        </is>
      </c>
      <c r="E1769" s="1" t="inlineStr">
        <is>
          <t xml:space="preserve">32457103       </t>
        </is>
      </c>
      <c r="F1769" s="5" t="inlineStr">
        <is>
          <t>TMZ BEAST MACHINES MONSTER JAWS A FRICCION PACK DE</t>
        </is>
      </c>
      <c r="G1769" t="n">
        <v>1</v>
      </c>
      <c r="H1769" s="7" t="n">
        <v>32.9</v>
      </c>
      <c r="I1769" s="7" t="n">
        <v>3.29</v>
      </c>
      <c r="J1769" s="7" t="n">
        <v>0</v>
      </c>
      <c r="K1769" s="9" t="n">
        <v>3.29</v>
      </c>
      <c r="L1769" s="10" t="n">
        <v>17.56</v>
      </c>
      <c r="M1769" s="10" t="n">
        <v>1.43</v>
      </c>
      <c r="N1769" t="inlineStr">
        <is>
          <t>1</t>
        </is>
      </c>
      <c r="O1769" t="inlineStr">
        <is>
          <t xml:space="preserve">3 </t>
        </is>
      </c>
      <c r="P1769" t="inlineStr">
        <is>
          <t xml:space="preserve">30705   </t>
        </is>
      </c>
      <c r="Q1769" s="26" t="n">
        <v>37.9</v>
      </c>
      <c r="R1769" s="26">
        <f>Q1769*G1769</f>
        <v/>
      </c>
      <c r="S1769" t="n">
        <v>22.48</v>
      </c>
      <c r="T1769" s="18">
        <f>1 - V1769/S1769</f>
        <v/>
      </c>
      <c r="U1769" s="18" t="n">
        <v>0.1319261213720316</v>
      </c>
      <c r="V1769" s="26" t="n">
        <v>16.75101694915254</v>
      </c>
      <c r="W1769" s="26">
        <f>V1769 - L1769</f>
        <v/>
      </c>
    </row>
    <row r="1770">
      <c r="A1770" s="11" t="n">
        <v>46221</v>
      </c>
      <c r="B1770" s="1" t="n">
        <v>20043</v>
      </c>
      <c r="C1770" s="1" t="inlineStr">
        <is>
          <t>061</t>
        </is>
      </c>
      <c r="D1770" s="1" t="inlineStr">
        <is>
          <t>155234</t>
        </is>
      </c>
      <c r="E1770" s="1" t="inlineStr">
        <is>
          <t xml:space="preserve">28194768       </t>
        </is>
      </c>
      <c r="F1770" s="5" t="inlineStr">
        <is>
          <t>AUTO COLOR CHANGE TEAMSTERZ SURTIDO</t>
        </is>
      </c>
      <c r="G1770" t="n">
        <v>1</v>
      </c>
      <c r="H1770" s="7" t="n">
        <v>14.9</v>
      </c>
      <c r="I1770" s="7" t="n">
        <v>0</v>
      </c>
      <c r="J1770" s="7" t="n">
        <v>0</v>
      </c>
      <c r="K1770" s="9" t="n">
        <v>0</v>
      </c>
      <c r="L1770" s="10" t="n">
        <v>8.84</v>
      </c>
      <c r="M1770" s="10" t="n">
        <v>1.43</v>
      </c>
      <c r="N1770" t="inlineStr">
        <is>
          <t>1</t>
        </is>
      </c>
      <c r="O1770" t="inlineStr">
        <is>
          <t>16</t>
        </is>
      </c>
      <c r="P1770" t="inlineStr">
        <is>
          <t xml:space="preserve">30705   </t>
        </is>
      </c>
      <c r="Q1770" s="26" t="n">
        <v>14.9</v>
      </c>
      <c r="R1770" s="26">
        <f>Q1770*G1770</f>
        <v/>
      </c>
      <c r="S1770" t="n">
        <v>8.84</v>
      </c>
      <c r="T1770" s="18">
        <f>1 - V1770/S1770</f>
        <v/>
      </c>
      <c r="U1770" s="18" t="n">
        <v>0</v>
      </c>
      <c r="V1770" s="26" t="n">
        <v>8.84</v>
      </c>
      <c r="W1770" s="26">
        <f>V1770 - L1770</f>
        <v/>
      </c>
    </row>
    <row r="1771">
      <c r="A1771" s="11" t="n">
        <v>46221</v>
      </c>
      <c r="B1771" s="1" t="n">
        <v>20043</v>
      </c>
      <c r="C1771" s="1" t="inlineStr">
        <is>
          <t>061</t>
        </is>
      </c>
      <c r="D1771" s="1" t="inlineStr">
        <is>
          <t>155259</t>
        </is>
      </c>
      <c r="E1771" s="1" t="inlineStr">
        <is>
          <t xml:space="preserve">31754676       </t>
        </is>
      </c>
      <c r="F1771" s="5" t="inlineStr">
        <is>
          <t>INFINITY NADO SERIE 6 STD PACK LANZ ESPAD ANILLO M</t>
        </is>
      </c>
      <c r="G1771" t="n">
        <v>1</v>
      </c>
      <c r="H1771" s="7" t="n">
        <v>59.9</v>
      </c>
      <c r="I1771" s="7" t="n">
        <v>0</v>
      </c>
      <c r="J1771" s="7" t="n">
        <v>0</v>
      </c>
      <c r="K1771" s="9" t="n">
        <v>0</v>
      </c>
      <c r="L1771" s="10" t="n">
        <v>35.53</v>
      </c>
      <c r="M1771" s="10" t="n">
        <v>1.43</v>
      </c>
      <c r="N1771" t="inlineStr">
        <is>
          <t>1</t>
        </is>
      </c>
      <c r="O1771" t="inlineStr">
        <is>
          <t>16</t>
        </is>
      </c>
      <c r="P1771" t="inlineStr">
        <is>
          <t xml:space="preserve">30705   </t>
        </is>
      </c>
      <c r="Q1771" s="26" t="n">
        <v>79.90000000000001</v>
      </c>
      <c r="R1771" s="26">
        <f>Q1771*G1771</f>
        <v/>
      </c>
      <c r="S1771" t="n">
        <v>47.4</v>
      </c>
      <c r="T1771" s="18">
        <f>1 - V1771/S1771</f>
        <v/>
      </c>
      <c r="U1771" s="18" t="n">
        <v>0.2503128911138924</v>
      </c>
      <c r="V1771" s="26" t="n">
        <v>38.07203389830509</v>
      </c>
      <c r="W1771" s="26">
        <f>V1771 - L1771</f>
        <v/>
      </c>
    </row>
    <row r="1772">
      <c r="A1772" s="11" t="n">
        <v>46221</v>
      </c>
      <c r="B1772" s="1" t="n">
        <v>20047</v>
      </c>
      <c r="C1772" s="1" t="inlineStr">
        <is>
          <t>012</t>
        </is>
      </c>
      <c r="D1772" s="1" t="inlineStr">
        <is>
          <t>332955</t>
        </is>
      </c>
      <c r="E1772" s="1" t="inlineStr">
        <is>
          <t xml:space="preserve">28194770       </t>
        </is>
      </c>
      <c r="F1772" s="5" t="inlineStr">
        <is>
          <t>AUTOS DE METAL 3 TEAMSTERZ EN BLISTER</t>
        </is>
      </c>
      <c r="G1772" t="n">
        <v>1</v>
      </c>
      <c r="H1772" s="7" t="n">
        <v>6.9</v>
      </c>
      <c r="I1772" s="7" t="n">
        <v>0</v>
      </c>
      <c r="J1772" s="7" t="n">
        <v>0</v>
      </c>
      <c r="K1772" s="9" t="n">
        <v>0</v>
      </c>
      <c r="L1772" s="10" t="n">
        <v>4.1</v>
      </c>
      <c r="M1772" s="10" t="n">
        <v>1.43</v>
      </c>
      <c r="N1772" t="inlineStr">
        <is>
          <t>1</t>
        </is>
      </c>
      <c r="O1772" t="inlineStr">
        <is>
          <t xml:space="preserve">2 </t>
        </is>
      </c>
      <c r="P1772" t="inlineStr">
        <is>
          <t xml:space="preserve">240556  </t>
        </is>
      </c>
      <c r="Q1772" s="26" t="n">
        <v>6.9</v>
      </c>
      <c r="R1772" s="26">
        <f>Q1772*G1772</f>
        <v/>
      </c>
      <c r="S1772" t="n">
        <v>4.09</v>
      </c>
      <c r="T1772" s="18">
        <f>1 - V1772/S1772</f>
        <v/>
      </c>
      <c r="U1772" s="18" t="n">
        <v>0</v>
      </c>
      <c r="V1772" s="26" t="n">
        <v>4.09</v>
      </c>
      <c r="W1772" s="26">
        <f>V1772 - L1772</f>
        <v/>
      </c>
    </row>
    <row r="1773">
      <c r="A1773" s="11" t="n">
        <v>46221</v>
      </c>
      <c r="B1773" s="1" t="n">
        <v>20047</v>
      </c>
      <c r="C1773" s="1" t="inlineStr">
        <is>
          <t>012</t>
        </is>
      </c>
      <c r="D1773" s="1" t="inlineStr">
        <is>
          <t>332967</t>
        </is>
      </c>
      <c r="E1773" s="1" t="inlineStr">
        <is>
          <t xml:space="preserve">28194770       </t>
        </is>
      </c>
      <c r="F1773" s="5" t="inlineStr">
        <is>
          <t>AUTOS DE METAL 3 TEAMSTERZ EN BLISTER</t>
        </is>
      </c>
      <c r="G1773" t="n">
        <v>1</v>
      </c>
      <c r="H1773" s="7" t="n">
        <v>6.9</v>
      </c>
      <c r="I1773" s="7" t="n">
        <v>0</v>
      </c>
      <c r="J1773" s="7" t="n">
        <v>0</v>
      </c>
      <c r="K1773" s="9" t="n">
        <v>0</v>
      </c>
      <c r="L1773" s="10" t="n">
        <v>4.1</v>
      </c>
      <c r="M1773" s="10" t="n">
        <v>1.43</v>
      </c>
      <c r="N1773" t="inlineStr">
        <is>
          <t>1</t>
        </is>
      </c>
      <c r="O1773" t="inlineStr">
        <is>
          <t xml:space="preserve">2 </t>
        </is>
      </c>
      <c r="P1773" t="inlineStr">
        <is>
          <t xml:space="preserve">240556  </t>
        </is>
      </c>
      <c r="Q1773" s="26" t="n">
        <v>6.9</v>
      </c>
      <c r="R1773" s="26">
        <f>Q1773*G1773</f>
        <v/>
      </c>
      <c r="S1773" t="n">
        <v>4.09</v>
      </c>
      <c r="T1773" s="18">
        <f>1 - V1773/S1773</f>
        <v/>
      </c>
      <c r="U1773" s="18" t="n">
        <v>0</v>
      </c>
      <c r="V1773" s="26" t="n">
        <v>4.09</v>
      </c>
      <c r="W1773" s="26">
        <f>V1773 - L1773</f>
        <v/>
      </c>
    </row>
    <row r="1774">
      <c r="A1774" s="11" t="n">
        <v>46221</v>
      </c>
      <c r="B1774" s="1" t="n">
        <v>20047</v>
      </c>
      <c r="C1774" s="1" t="inlineStr">
        <is>
          <t>012</t>
        </is>
      </c>
      <c r="D1774" s="1" t="inlineStr">
        <is>
          <t>332967</t>
        </is>
      </c>
      <c r="E1774" s="1" t="inlineStr">
        <is>
          <t xml:space="preserve">28194770       </t>
        </is>
      </c>
      <c r="F1774" s="5" t="inlineStr">
        <is>
          <t>AUTOS DE METAL 3 TEAMSTERZ EN BLISTER</t>
        </is>
      </c>
      <c r="G1774" t="n">
        <v>1</v>
      </c>
      <c r="H1774" s="7" t="n">
        <v>6.9</v>
      </c>
      <c r="I1774" s="7" t="n">
        <v>0</v>
      </c>
      <c r="J1774" s="7" t="n">
        <v>0</v>
      </c>
      <c r="K1774" s="9" t="n">
        <v>0</v>
      </c>
      <c r="L1774" s="10" t="n">
        <v>4.1</v>
      </c>
      <c r="M1774" s="10" t="n">
        <v>1.43</v>
      </c>
      <c r="N1774" t="inlineStr">
        <is>
          <t>1</t>
        </is>
      </c>
      <c r="O1774" t="inlineStr">
        <is>
          <t xml:space="preserve">2 </t>
        </is>
      </c>
      <c r="P1774" t="inlineStr">
        <is>
          <t xml:space="preserve">240556  </t>
        </is>
      </c>
      <c r="Q1774" s="26" t="n">
        <v>6.9</v>
      </c>
      <c r="R1774" s="26">
        <f>Q1774*G1774</f>
        <v/>
      </c>
      <c r="S1774" t="n">
        <v>4.09</v>
      </c>
      <c r="T1774" s="18">
        <f>1 - V1774/S1774</f>
        <v/>
      </c>
      <c r="U1774" s="18" t="n">
        <v>0</v>
      </c>
      <c r="V1774" s="26" t="n">
        <v>4.09</v>
      </c>
      <c r="W1774" s="26">
        <f>V1774 - L1774</f>
        <v/>
      </c>
    </row>
    <row r="1775">
      <c r="A1775" s="11" t="n">
        <v>46221</v>
      </c>
      <c r="B1775" s="1" t="n">
        <v>20047</v>
      </c>
      <c r="C1775" s="1" t="inlineStr">
        <is>
          <t>017</t>
        </is>
      </c>
      <c r="D1775" s="1" t="inlineStr">
        <is>
          <t>122945</t>
        </is>
      </c>
      <c r="E1775" s="1" t="inlineStr">
        <is>
          <t xml:space="preserve">28194770       </t>
        </is>
      </c>
      <c r="F1775" s="5" t="inlineStr">
        <is>
          <t>AUTOS DE METAL 3 TEAMSTERZ EN BLISTER</t>
        </is>
      </c>
      <c r="G1775" t="n">
        <v>1</v>
      </c>
      <c r="H1775" s="7" t="n">
        <v>6.9</v>
      </c>
      <c r="I1775" s="7" t="n">
        <v>0</v>
      </c>
      <c r="J1775" s="7" t="n">
        <v>0</v>
      </c>
      <c r="K1775" s="9" t="n">
        <v>0</v>
      </c>
      <c r="L1775" s="10" t="n">
        <v>4.1</v>
      </c>
      <c r="M1775" s="10" t="n">
        <v>1.43</v>
      </c>
      <c r="N1775" t="inlineStr">
        <is>
          <t>1</t>
        </is>
      </c>
      <c r="O1775" t="inlineStr">
        <is>
          <t xml:space="preserve">2 </t>
        </is>
      </c>
      <c r="P1775" t="inlineStr">
        <is>
          <t xml:space="preserve">233956  </t>
        </is>
      </c>
      <c r="Q1775" s="26" t="n">
        <v>6.9</v>
      </c>
      <c r="R1775" s="26">
        <f>Q1775*G1775</f>
        <v/>
      </c>
      <c r="S1775" t="n">
        <v>4.09</v>
      </c>
      <c r="T1775" s="18">
        <f>1 - V1775/S1775</f>
        <v/>
      </c>
      <c r="U1775" s="18" t="n">
        <v>0</v>
      </c>
      <c r="V1775" s="26" t="n">
        <v>4.09</v>
      </c>
      <c r="W1775" s="26">
        <f>V1775 - L1775</f>
        <v/>
      </c>
    </row>
    <row r="1776">
      <c r="A1776" s="11" t="n">
        <v>46221</v>
      </c>
      <c r="B1776" s="1" t="n">
        <v>20047</v>
      </c>
      <c r="C1776" s="1" t="inlineStr">
        <is>
          <t>191</t>
        </is>
      </c>
      <c r="D1776" s="1" t="inlineStr">
        <is>
          <t>462320</t>
        </is>
      </c>
      <c r="E1776" s="1" t="inlineStr">
        <is>
          <t xml:space="preserve">28194770       </t>
        </is>
      </c>
      <c r="F1776" s="5" t="inlineStr">
        <is>
          <t>AUTOS DE METAL 3 TEAMSTERZ EN BLISTER</t>
        </is>
      </c>
      <c r="G1776" t="n">
        <v>1</v>
      </c>
      <c r="H1776" s="7" t="n">
        <v>6.9</v>
      </c>
      <c r="I1776" s="7" t="n">
        <v>0</v>
      </c>
      <c r="J1776" s="7" t="n">
        <v>0</v>
      </c>
      <c r="K1776" s="9" t="n">
        <v>0</v>
      </c>
      <c r="L1776" s="10" t="n">
        <v>4.1</v>
      </c>
      <c r="M1776" s="10" t="n">
        <v>1.43</v>
      </c>
      <c r="N1776" t="inlineStr">
        <is>
          <t>1</t>
        </is>
      </c>
      <c r="O1776" t="inlineStr">
        <is>
          <t xml:space="preserve">2 </t>
        </is>
      </c>
      <c r="P1776" t="inlineStr">
        <is>
          <t xml:space="preserve">245862  </t>
        </is>
      </c>
      <c r="Q1776" s="26" t="n">
        <v>6.9</v>
      </c>
      <c r="R1776" s="26">
        <f>Q1776*G1776</f>
        <v/>
      </c>
      <c r="S1776" t="n">
        <v>4.09</v>
      </c>
      <c r="T1776" s="18">
        <f>1 - V1776/S1776</f>
        <v/>
      </c>
      <c r="U1776" s="18" t="n">
        <v>0</v>
      </c>
      <c r="V1776" s="26" t="n">
        <v>4.09</v>
      </c>
      <c r="W1776" s="26">
        <f>V1776 - L1776</f>
        <v/>
      </c>
    </row>
    <row r="1777">
      <c r="A1777" s="11" t="n">
        <v>46221</v>
      </c>
      <c r="B1777" s="1" t="n">
        <v>20047</v>
      </c>
      <c r="C1777" s="1" t="inlineStr">
        <is>
          <t>191</t>
        </is>
      </c>
      <c r="D1777" s="1" t="inlineStr">
        <is>
          <t>462369</t>
        </is>
      </c>
      <c r="E1777" s="1" t="inlineStr">
        <is>
          <t xml:space="preserve">28194770       </t>
        </is>
      </c>
      <c r="F1777" s="5" t="inlineStr">
        <is>
          <t>AUTOS DE METAL 3 TEAMSTERZ EN BLISTER</t>
        </is>
      </c>
      <c r="G1777" t="n">
        <v>1</v>
      </c>
      <c r="H1777" s="7" t="n">
        <v>6.9</v>
      </c>
      <c r="I1777" s="7" t="n">
        <v>0</v>
      </c>
      <c r="J1777" s="7" t="n">
        <v>0</v>
      </c>
      <c r="K1777" s="9" t="n">
        <v>0</v>
      </c>
      <c r="L1777" s="10" t="n">
        <v>4.1</v>
      </c>
      <c r="M1777" s="10" t="n">
        <v>1.43</v>
      </c>
      <c r="N1777" t="inlineStr">
        <is>
          <t>1</t>
        </is>
      </c>
      <c r="O1777" t="inlineStr">
        <is>
          <t xml:space="preserve">2 </t>
        </is>
      </c>
      <c r="P1777" t="inlineStr">
        <is>
          <t xml:space="preserve">245862  </t>
        </is>
      </c>
      <c r="Q1777" s="26" t="n">
        <v>6.9</v>
      </c>
      <c r="R1777" s="26">
        <f>Q1777*G1777</f>
        <v/>
      </c>
      <c r="S1777" t="n">
        <v>4.09</v>
      </c>
      <c r="T1777" s="18">
        <f>1 - V1777/S1777</f>
        <v/>
      </c>
      <c r="U1777" s="18" t="n">
        <v>0</v>
      </c>
      <c r="V1777" s="26" t="n">
        <v>4.09</v>
      </c>
      <c r="W1777" s="26">
        <f>V1777 - L1777</f>
        <v/>
      </c>
    </row>
    <row r="1778">
      <c r="A1778" s="11" t="n">
        <v>46221</v>
      </c>
      <c r="B1778" s="1" t="n">
        <v>20047</v>
      </c>
      <c r="C1778" s="1" t="inlineStr">
        <is>
          <t>191</t>
        </is>
      </c>
      <c r="D1778" s="1" t="inlineStr">
        <is>
          <t>462369</t>
        </is>
      </c>
      <c r="E1778" s="1" t="inlineStr">
        <is>
          <t xml:space="preserve">28194770       </t>
        </is>
      </c>
      <c r="F1778" s="5" t="inlineStr">
        <is>
          <t>AUTOS DE METAL 3 TEAMSTERZ EN BLISTER</t>
        </is>
      </c>
      <c r="G1778" t="n">
        <v>1</v>
      </c>
      <c r="H1778" s="7" t="n">
        <v>6.9</v>
      </c>
      <c r="I1778" s="7" t="n">
        <v>0</v>
      </c>
      <c r="J1778" s="7" t="n">
        <v>0</v>
      </c>
      <c r="K1778" s="9" t="n">
        <v>0</v>
      </c>
      <c r="L1778" s="10" t="n">
        <v>4.1</v>
      </c>
      <c r="M1778" s="10" t="n">
        <v>1.43</v>
      </c>
      <c r="N1778" t="inlineStr">
        <is>
          <t>1</t>
        </is>
      </c>
      <c r="O1778" t="inlineStr">
        <is>
          <t xml:space="preserve">2 </t>
        </is>
      </c>
      <c r="P1778" t="inlineStr">
        <is>
          <t xml:space="preserve">245862  </t>
        </is>
      </c>
      <c r="Q1778" s="26" t="n">
        <v>6.9</v>
      </c>
      <c r="R1778" s="26">
        <f>Q1778*G1778</f>
        <v/>
      </c>
      <c r="S1778" t="n">
        <v>4.09</v>
      </c>
      <c r="T1778" s="18">
        <f>1 - V1778/S1778</f>
        <v/>
      </c>
      <c r="U1778" s="18" t="n">
        <v>0</v>
      </c>
      <c r="V1778" s="26" t="n">
        <v>4.09</v>
      </c>
      <c r="W1778" s="26">
        <f>V1778 - L1778</f>
        <v/>
      </c>
    </row>
    <row r="1779">
      <c r="A1779" s="11" t="n">
        <v>46221</v>
      </c>
      <c r="B1779" s="1" t="n">
        <v>20047</v>
      </c>
      <c r="C1779" s="1" t="inlineStr">
        <is>
          <t>191</t>
        </is>
      </c>
      <c r="D1779" s="1" t="inlineStr">
        <is>
          <t>462369</t>
        </is>
      </c>
      <c r="E1779" s="1" t="inlineStr">
        <is>
          <t xml:space="preserve">28194770       </t>
        </is>
      </c>
      <c r="F1779" s="5" t="inlineStr">
        <is>
          <t>AUTOS DE METAL 3 TEAMSTERZ EN BLISTER</t>
        </is>
      </c>
      <c r="G1779" t="n">
        <v>1</v>
      </c>
      <c r="H1779" s="7" t="n">
        <v>6.9</v>
      </c>
      <c r="I1779" s="7" t="n">
        <v>0</v>
      </c>
      <c r="J1779" s="7" t="n">
        <v>0</v>
      </c>
      <c r="K1779" s="9" t="n">
        <v>0</v>
      </c>
      <c r="L1779" s="10" t="n">
        <v>4.1</v>
      </c>
      <c r="M1779" s="10" t="n">
        <v>1.43</v>
      </c>
      <c r="N1779" t="inlineStr">
        <is>
          <t>1</t>
        </is>
      </c>
      <c r="O1779" t="inlineStr">
        <is>
          <t xml:space="preserve">2 </t>
        </is>
      </c>
      <c r="P1779" t="inlineStr">
        <is>
          <t xml:space="preserve">245862  </t>
        </is>
      </c>
      <c r="Q1779" s="26" t="n">
        <v>6.9</v>
      </c>
      <c r="R1779" s="26">
        <f>Q1779*G1779</f>
        <v/>
      </c>
      <c r="S1779" t="n">
        <v>4.09</v>
      </c>
      <c r="T1779" s="18">
        <f>1 - V1779/S1779</f>
        <v/>
      </c>
      <c r="U1779" s="18" t="n">
        <v>0</v>
      </c>
      <c r="V1779" s="26" t="n">
        <v>4.09</v>
      </c>
      <c r="W1779" s="26">
        <f>V1779 - L1779</f>
        <v/>
      </c>
    </row>
    <row r="1780">
      <c r="A1780" s="11" t="n">
        <v>46221</v>
      </c>
      <c r="B1780" s="1" t="n">
        <v>20047</v>
      </c>
      <c r="C1780" s="1" t="inlineStr">
        <is>
          <t>191</t>
        </is>
      </c>
      <c r="D1780" s="1" t="inlineStr">
        <is>
          <t>462369</t>
        </is>
      </c>
      <c r="E1780" s="1" t="inlineStr">
        <is>
          <t xml:space="preserve">28194770       </t>
        </is>
      </c>
      <c r="F1780" s="5" t="inlineStr">
        <is>
          <t>AUTOS DE METAL 3 TEAMSTERZ EN BLISTER</t>
        </is>
      </c>
      <c r="G1780" t="n">
        <v>1</v>
      </c>
      <c r="H1780" s="7" t="n">
        <v>6.9</v>
      </c>
      <c r="I1780" s="7" t="n">
        <v>0</v>
      </c>
      <c r="J1780" s="7" t="n">
        <v>0</v>
      </c>
      <c r="K1780" s="9" t="n">
        <v>0</v>
      </c>
      <c r="L1780" s="10" t="n">
        <v>4.1</v>
      </c>
      <c r="M1780" s="10" t="n">
        <v>1.43</v>
      </c>
      <c r="N1780" t="inlineStr">
        <is>
          <t>1</t>
        </is>
      </c>
      <c r="O1780" t="inlineStr">
        <is>
          <t xml:space="preserve">2 </t>
        </is>
      </c>
      <c r="P1780" t="inlineStr">
        <is>
          <t xml:space="preserve">245862  </t>
        </is>
      </c>
      <c r="Q1780" s="26" t="n">
        <v>6.9</v>
      </c>
      <c r="R1780" s="26">
        <f>Q1780*G1780</f>
        <v/>
      </c>
      <c r="S1780" t="n">
        <v>4.09</v>
      </c>
      <c r="T1780" s="18">
        <f>1 - V1780/S1780</f>
        <v/>
      </c>
      <c r="U1780" s="18" t="n">
        <v>0</v>
      </c>
      <c r="V1780" s="26" t="n">
        <v>4.09</v>
      </c>
      <c r="W1780" s="26">
        <f>V1780 - L1780</f>
        <v/>
      </c>
    </row>
    <row r="1781">
      <c r="A1781" s="11" t="n">
        <v>46221</v>
      </c>
      <c r="B1781" s="1" t="n">
        <v>20047</v>
      </c>
      <c r="C1781" s="1" t="inlineStr">
        <is>
          <t>191</t>
        </is>
      </c>
      <c r="D1781" s="1" t="inlineStr">
        <is>
          <t>462369</t>
        </is>
      </c>
      <c r="E1781" s="1" t="inlineStr">
        <is>
          <t xml:space="preserve">28194770       </t>
        </is>
      </c>
      <c r="F1781" s="5" t="inlineStr">
        <is>
          <t>AUTOS DE METAL 3 TEAMSTERZ EN BLISTER</t>
        </is>
      </c>
      <c r="G1781" t="n">
        <v>1</v>
      </c>
      <c r="H1781" s="7" t="n">
        <v>6.9</v>
      </c>
      <c r="I1781" s="7" t="n">
        <v>0</v>
      </c>
      <c r="J1781" s="7" t="n">
        <v>0</v>
      </c>
      <c r="K1781" s="9" t="n">
        <v>0</v>
      </c>
      <c r="L1781" s="10" t="n">
        <v>4.1</v>
      </c>
      <c r="M1781" s="10" t="n">
        <v>1.43</v>
      </c>
      <c r="N1781" t="inlineStr">
        <is>
          <t>1</t>
        </is>
      </c>
      <c r="O1781" t="inlineStr">
        <is>
          <t xml:space="preserve">2 </t>
        </is>
      </c>
      <c r="P1781" t="inlineStr">
        <is>
          <t xml:space="preserve">245862  </t>
        </is>
      </c>
      <c r="Q1781" s="26" t="n">
        <v>6.9</v>
      </c>
      <c r="R1781" s="26">
        <f>Q1781*G1781</f>
        <v/>
      </c>
      <c r="S1781" t="n">
        <v>4.09</v>
      </c>
      <c r="T1781" s="18">
        <f>1 - V1781/S1781</f>
        <v/>
      </c>
      <c r="U1781" s="18" t="n">
        <v>0</v>
      </c>
      <c r="V1781" s="26" t="n">
        <v>4.09</v>
      </c>
      <c r="W1781" s="26">
        <f>V1781 - L1781</f>
        <v/>
      </c>
    </row>
    <row r="1782">
      <c r="A1782" s="11" t="n">
        <v>46221</v>
      </c>
      <c r="B1782" s="1" t="n">
        <v>20047</v>
      </c>
      <c r="C1782" s="1" t="inlineStr">
        <is>
          <t>502</t>
        </is>
      </c>
      <c r="D1782" s="1" t="inlineStr">
        <is>
          <t xml:space="preserve">4087  </t>
        </is>
      </c>
      <c r="E1782" s="1" t="inlineStr">
        <is>
          <t xml:space="preserve">32457111       </t>
        </is>
      </c>
      <c r="F1782" s="5" t="inlineStr">
        <is>
          <t>TMZ BEAST MACHINES MONSTER JAWS A FRICCION PACK DE</t>
        </is>
      </c>
      <c r="G1782" t="n">
        <v>1</v>
      </c>
      <c r="H1782" s="7" t="n">
        <v>54.9</v>
      </c>
      <c r="I1782" s="7" t="n">
        <v>0</v>
      </c>
      <c r="J1782" s="7" t="n">
        <v>0</v>
      </c>
      <c r="K1782" s="9" t="n">
        <v>0</v>
      </c>
      <c r="L1782" s="10" t="n">
        <v>32.57</v>
      </c>
      <c r="M1782" s="10" t="n">
        <v>1.43</v>
      </c>
      <c r="N1782" t="inlineStr">
        <is>
          <t>1</t>
        </is>
      </c>
      <c r="O1782" t="inlineStr">
        <is>
          <t>16</t>
        </is>
      </c>
      <c r="P1782" t="inlineStr">
        <is>
          <t xml:space="preserve">242545  </t>
        </is>
      </c>
      <c r="Q1782" s="26" t="n">
        <v>74.90000000000001</v>
      </c>
      <c r="R1782" s="26">
        <f>Q1782*G1782</f>
        <v/>
      </c>
      <c r="S1782" t="n">
        <v>44.43</v>
      </c>
      <c r="T1782" s="18">
        <f>1 - V1782/S1782</f>
        <v/>
      </c>
      <c r="U1782" s="18" t="n">
        <v>0.2670226969292391</v>
      </c>
      <c r="V1782" s="26" t="n">
        <v>31.92406779661017</v>
      </c>
      <c r="W1782" s="26">
        <f>V1782 - L1782</f>
        <v/>
      </c>
    </row>
    <row r="1783">
      <c r="A1783" s="11" t="n">
        <v>46221</v>
      </c>
      <c r="B1783" s="1" t="n">
        <v>20047</v>
      </c>
      <c r="C1783" s="1" t="inlineStr">
        <is>
          <t>502</t>
        </is>
      </c>
      <c r="D1783" s="1" t="inlineStr">
        <is>
          <t xml:space="preserve">4090  </t>
        </is>
      </c>
      <c r="E1783" s="1" t="inlineStr">
        <is>
          <t xml:space="preserve">28194770       </t>
        </is>
      </c>
      <c r="F1783" s="5" t="inlineStr">
        <is>
          <t>AUTOS DE METAL 3 TEAMSTERZ EN BLISTER</t>
        </is>
      </c>
      <c r="G1783" t="n">
        <v>3</v>
      </c>
      <c r="H1783" s="7" t="n">
        <v>20.7</v>
      </c>
      <c r="I1783" s="7" t="n">
        <v>0</v>
      </c>
      <c r="J1783" s="7" t="n">
        <v>0</v>
      </c>
      <c r="K1783" s="9" t="n">
        <v>0</v>
      </c>
      <c r="L1783" s="10" t="n">
        <v>12.27</v>
      </c>
      <c r="M1783" s="10" t="n">
        <v>1.43</v>
      </c>
      <c r="N1783" t="inlineStr">
        <is>
          <t>1</t>
        </is>
      </c>
      <c r="O1783" t="inlineStr">
        <is>
          <t>16</t>
        </is>
      </c>
      <c r="P1783" t="inlineStr">
        <is>
          <t xml:space="preserve">242545  </t>
        </is>
      </c>
      <c r="Q1783" s="26" t="n">
        <v>6.9</v>
      </c>
      <c r="R1783" s="26">
        <f>Q1783*G1783</f>
        <v/>
      </c>
      <c r="S1783" t="n">
        <v>12.27</v>
      </c>
      <c r="T1783" s="18">
        <f>1 - V1783/S1783</f>
        <v/>
      </c>
      <c r="U1783" s="18" t="n">
        <v>0</v>
      </c>
      <c r="V1783" s="26" t="n">
        <v>12.27</v>
      </c>
      <c r="W1783" s="26">
        <f>V1783 - L1783</f>
        <v/>
      </c>
    </row>
    <row r="1784">
      <c r="A1784" s="11" t="n">
        <v>46221</v>
      </c>
      <c r="B1784" s="1" t="n">
        <v>20048</v>
      </c>
      <c r="C1784" s="1" t="inlineStr">
        <is>
          <t>013</t>
        </is>
      </c>
      <c r="D1784" s="1" t="inlineStr">
        <is>
          <t>225844</t>
        </is>
      </c>
      <c r="E1784" s="1" t="inlineStr">
        <is>
          <t xml:space="preserve">32457099       </t>
        </is>
      </c>
      <c r="F1784" s="5" t="inlineStr">
        <is>
          <t>TMZ BEAST MACHINES MONSTER JAWS A FRICCION BLISTER</t>
        </is>
      </c>
      <c r="G1784" t="n">
        <v>1</v>
      </c>
      <c r="H1784" s="7" t="n">
        <v>17.9</v>
      </c>
      <c r="I1784" s="7" t="n">
        <v>0</v>
      </c>
      <c r="J1784" s="7" t="n">
        <v>0</v>
      </c>
      <c r="K1784" s="9" t="n">
        <v>0</v>
      </c>
      <c r="L1784" s="10" t="n">
        <v>10.62</v>
      </c>
      <c r="M1784" s="10" t="n">
        <v>1.43</v>
      </c>
      <c r="N1784" t="inlineStr">
        <is>
          <t>1</t>
        </is>
      </c>
      <c r="O1784" t="inlineStr">
        <is>
          <t>16</t>
        </is>
      </c>
      <c r="P1784" t="inlineStr">
        <is>
          <t xml:space="preserve">80084   </t>
        </is>
      </c>
      <c r="Q1784" s="26" t="n">
        <v>19.9</v>
      </c>
      <c r="R1784" s="26">
        <f>Q1784*G1784</f>
        <v/>
      </c>
      <c r="S1784" t="n">
        <v>11.81</v>
      </c>
      <c r="T1784" s="18">
        <f>1 - V1784/S1784</f>
        <v/>
      </c>
      <c r="U1784" s="18" t="n">
        <v>0.1005025125628141</v>
      </c>
      <c r="V1784" s="26" t="n">
        <v>8.417118644067797</v>
      </c>
      <c r="W1784" s="26">
        <f>V1784 - L1784</f>
        <v/>
      </c>
    </row>
    <row r="1785">
      <c r="A1785" s="11" t="n">
        <v>46221</v>
      </c>
      <c r="B1785" s="1" t="n">
        <v>20048</v>
      </c>
      <c r="C1785" s="1" t="inlineStr">
        <is>
          <t>013</t>
        </is>
      </c>
      <c r="D1785" s="1" t="inlineStr">
        <is>
          <t>225879</t>
        </is>
      </c>
      <c r="E1785" s="1" t="inlineStr">
        <is>
          <t xml:space="preserve">28194782       </t>
        </is>
      </c>
      <c r="F1785" s="5" t="inlineStr">
        <is>
          <t>TROMPO BATALLA INFINITY NADO SERIE V ORIGINAL SURT</t>
        </is>
      </c>
      <c r="G1785" t="n">
        <v>1</v>
      </c>
      <c r="H1785" s="7" t="n">
        <v>49.9</v>
      </c>
      <c r="I1785" s="7" t="n">
        <v>0</v>
      </c>
      <c r="J1785" s="7" t="n">
        <v>0</v>
      </c>
      <c r="K1785" s="9" t="n">
        <v>0</v>
      </c>
      <c r="L1785" s="10" t="n">
        <v>29.6</v>
      </c>
      <c r="M1785" s="10" t="n">
        <v>1.43</v>
      </c>
      <c r="N1785" t="inlineStr">
        <is>
          <t>1</t>
        </is>
      </c>
      <c r="O1785" t="inlineStr">
        <is>
          <t>16</t>
        </is>
      </c>
      <c r="P1785" t="inlineStr">
        <is>
          <t xml:space="preserve">80084   </t>
        </is>
      </c>
      <c r="Q1785" s="26" t="n">
        <v>69.90000000000001</v>
      </c>
      <c r="R1785" s="26">
        <f>Q1785*G1785</f>
        <v/>
      </c>
      <c r="S1785" t="n">
        <v>41.47</v>
      </c>
      <c r="T1785" s="18">
        <f>1 - V1785/S1785</f>
        <v/>
      </c>
      <c r="U1785" s="18" t="n">
        <v>0.2861230329041489</v>
      </c>
      <c r="V1785" s="26" t="n">
        <v>31.71610169491525</v>
      </c>
      <c r="W1785" s="26">
        <f>V1785 - L1785</f>
        <v/>
      </c>
    </row>
    <row r="1786">
      <c r="A1786" s="11" t="n">
        <v>46221</v>
      </c>
      <c r="B1786" s="1" t="n">
        <v>20048</v>
      </c>
      <c r="C1786" s="1" t="inlineStr">
        <is>
          <t>013</t>
        </is>
      </c>
      <c r="D1786" s="1" t="inlineStr">
        <is>
          <t>225879</t>
        </is>
      </c>
      <c r="E1786" s="1" t="inlineStr">
        <is>
          <t xml:space="preserve">31754675       </t>
        </is>
      </c>
      <c r="F1786" s="5" t="inlineStr">
        <is>
          <t>INFINITY NADO SERIE 6 STARTER PACK - 4 MODELOS</t>
        </is>
      </c>
      <c r="G1786" t="n">
        <v>1</v>
      </c>
      <c r="H1786" s="7" t="n">
        <v>49.9</v>
      </c>
      <c r="I1786" s="7" t="n">
        <v>0</v>
      </c>
      <c r="J1786" s="7" t="n">
        <v>0</v>
      </c>
      <c r="K1786" s="9" t="n">
        <v>0</v>
      </c>
      <c r="L1786" s="10" t="n">
        <v>29.6</v>
      </c>
      <c r="M1786" s="10" t="n">
        <v>1.43</v>
      </c>
      <c r="N1786" t="inlineStr">
        <is>
          <t>1</t>
        </is>
      </c>
      <c r="O1786" t="inlineStr">
        <is>
          <t>16</t>
        </is>
      </c>
      <c r="P1786" t="inlineStr">
        <is>
          <t xml:space="preserve">80084   </t>
        </is>
      </c>
      <c r="Q1786" s="26" t="n">
        <v>69.90000000000001</v>
      </c>
      <c r="R1786" s="26">
        <f>Q1786*G1786</f>
        <v/>
      </c>
      <c r="S1786" t="n">
        <v>41.47</v>
      </c>
      <c r="T1786" s="18">
        <f>1 - V1786/S1786</f>
        <v/>
      </c>
      <c r="U1786" s="18" t="n">
        <v>0.2861230329041489</v>
      </c>
      <c r="V1786" s="26" t="n">
        <v>31.71610169491525</v>
      </c>
      <c r="W1786" s="26">
        <f>V1786 - L1786</f>
        <v/>
      </c>
    </row>
    <row r="1787">
      <c r="A1787" s="11" t="n">
        <v>46221</v>
      </c>
      <c r="B1787" s="1" t="n">
        <v>20048</v>
      </c>
      <c r="C1787" s="1" t="inlineStr">
        <is>
          <t>013</t>
        </is>
      </c>
      <c r="D1787" s="1" t="inlineStr">
        <is>
          <t>225953</t>
        </is>
      </c>
      <c r="E1787" s="1" t="inlineStr">
        <is>
          <t xml:space="preserve">29235701       </t>
        </is>
      </c>
      <c r="F1787" s="5" t="inlineStr">
        <is>
          <t>INFINITY NADO TROMPO DE BATALLA - METAL EN CAJA</t>
        </is>
      </c>
      <c r="G1787" t="n">
        <v>1</v>
      </c>
      <c r="H1787" s="7" t="n">
        <v>29.9</v>
      </c>
      <c r="I1787" s="7" t="n">
        <v>0</v>
      </c>
      <c r="J1787" s="7" t="n">
        <v>0</v>
      </c>
      <c r="K1787" s="9" t="n">
        <v>0</v>
      </c>
      <c r="L1787" s="10" t="n">
        <v>17.74</v>
      </c>
      <c r="M1787" s="10" t="n">
        <v>1.43</v>
      </c>
      <c r="N1787" t="inlineStr">
        <is>
          <t>1</t>
        </is>
      </c>
      <c r="O1787" t="inlineStr">
        <is>
          <t xml:space="preserve">2 </t>
        </is>
      </c>
      <c r="P1787" t="inlineStr">
        <is>
          <t xml:space="preserve">250433  </t>
        </is>
      </c>
      <c r="Q1787" s="26" t="n">
        <v>39.9</v>
      </c>
      <c r="R1787" s="26">
        <f>Q1787*G1787</f>
        <v/>
      </c>
      <c r="S1787" t="n">
        <v>23.67</v>
      </c>
      <c r="T1787" s="18">
        <f>1 - V1787/S1787</f>
        <v/>
      </c>
      <c r="U1787" s="18" t="n">
        <v>0.2506265664160401</v>
      </c>
      <c r="V1787" s="26" t="n">
        <v>19.00423728813559</v>
      </c>
      <c r="W1787" s="26">
        <f>V1787 - L1787</f>
        <v/>
      </c>
    </row>
    <row r="1788">
      <c r="A1788" s="11" t="n">
        <v>46221</v>
      </c>
      <c r="B1788" s="1" t="n">
        <v>20048</v>
      </c>
      <c r="C1788" s="1" t="inlineStr">
        <is>
          <t>017</t>
        </is>
      </c>
      <c r="D1788" s="1" t="inlineStr">
        <is>
          <t>166993</t>
        </is>
      </c>
      <c r="E1788" s="1" t="inlineStr">
        <is>
          <t xml:space="preserve">28194770       </t>
        </is>
      </c>
      <c r="F1788" s="5" t="inlineStr">
        <is>
          <t>AUTOS DE METAL 3 TEAMSTERZ EN BLISTER</t>
        </is>
      </c>
      <c r="G1788" t="n">
        <v>1</v>
      </c>
      <c r="H1788" s="7" t="n">
        <v>6.9</v>
      </c>
      <c r="I1788" s="7" t="n">
        <v>0</v>
      </c>
      <c r="J1788" s="7" t="n">
        <v>0</v>
      </c>
      <c r="K1788" s="9" t="n">
        <v>0</v>
      </c>
      <c r="L1788" s="10" t="n">
        <v>4.1</v>
      </c>
      <c r="M1788" s="10" t="n">
        <v>1.43</v>
      </c>
      <c r="N1788" t="inlineStr">
        <is>
          <t>1</t>
        </is>
      </c>
      <c r="O1788" t="inlineStr">
        <is>
          <t>16</t>
        </is>
      </c>
      <c r="P1788" t="inlineStr">
        <is>
          <t xml:space="preserve">200219  </t>
        </is>
      </c>
      <c r="Q1788" s="26" t="n">
        <v>6.9</v>
      </c>
      <c r="R1788" s="26">
        <f>Q1788*G1788</f>
        <v/>
      </c>
      <c r="S1788" t="n">
        <v>4.09</v>
      </c>
      <c r="T1788" s="18">
        <f>1 - V1788/S1788</f>
        <v/>
      </c>
      <c r="U1788" s="18" t="n">
        <v>0</v>
      </c>
      <c r="V1788" s="26" t="n">
        <v>4.09</v>
      </c>
      <c r="W1788" s="26">
        <f>V1788 - L1788</f>
        <v/>
      </c>
    </row>
    <row r="1789">
      <c r="A1789" s="11" t="n">
        <v>46221</v>
      </c>
      <c r="B1789" s="1" t="n">
        <v>20048</v>
      </c>
      <c r="C1789" s="1" t="inlineStr">
        <is>
          <t>018</t>
        </is>
      </c>
      <c r="D1789" s="1" t="inlineStr">
        <is>
          <t xml:space="preserve">47267 </t>
        </is>
      </c>
      <c r="E1789" s="1" t="inlineStr">
        <is>
          <t xml:space="preserve">28194770       </t>
        </is>
      </c>
      <c r="F1789" s="5" t="inlineStr">
        <is>
          <t>AUTOS DE METAL 3 TEAMSTERZ EN BLISTER</t>
        </is>
      </c>
      <c r="G1789" t="n">
        <v>1</v>
      </c>
      <c r="H1789" s="7" t="n">
        <v>6.9</v>
      </c>
      <c r="I1789" s="7" t="n">
        <v>0.6899999999999999</v>
      </c>
      <c r="J1789" s="7" t="n">
        <v>0</v>
      </c>
      <c r="K1789" s="9" t="n">
        <v>0.6899999999999999</v>
      </c>
      <c r="L1789" s="10" t="n">
        <v>3.68</v>
      </c>
      <c r="M1789" s="10" t="n">
        <v>1.43</v>
      </c>
      <c r="N1789" t="inlineStr">
        <is>
          <t>1</t>
        </is>
      </c>
      <c r="O1789" t="inlineStr">
        <is>
          <t xml:space="preserve">3 </t>
        </is>
      </c>
      <c r="P1789" t="inlineStr">
        <is>
          <t xml:space="preserve">80955   </t>
        </is>
      </c>
      <c r="Q1789" s="26" t="n">
        <v>6.9</v>
      </c>
      <c r="R1789" s="26">
        <f>Q1789*G1789</f>
        <v/>
      </c>
      <c r="S1789" t="n">
        <v>4.09</v>
      </c>
      <c r="T1789" s="18">
        <f>1 - V1789/S1789</f>
        <v/>
      </c>
      <c r="U1789" s="18" t="n">
        <v>0</v>
      </c>
      <c r="V1789" s="26" t="n">
        <v>4.09</v>
      </c>
      <c r="W1789" s="26">
        <f>V1789 - L1789</f>
        <v/>
      </c>
    </row>
    <row r="1790">
      <c r="A1790" s="11" t="n">
        <v>46221</v>
      </c>
      <c r="B1790" s="1" t="n">
        <v>20048</v>
      </c>
      <c r="C1790" s="1" t="inlineStr">
        <is>
          <t>027</t>
        </is>
      </c>
      <c r="D1790" s="1" t="inlineStr">
        <is>
          <t>323403</t>
        </is>
      </c>
      <c r="E1790" s="1" t="inlineStr">
        <is>
          <t xml:space="preserve">31959968       </t>
        </is>
      </c>
      <c r="F1790" s="5" t="inlineStr">
        <is>
          <t>PINYPON FIGURAS BASICAS SERIE 13 DISP. 56</t>
        </is>
      </c>
      <c r="G1790" t="n">
        <v>1</v>
      </c>
      <c r="H1790" s="7" t="n">
        <v>10.74</v>
      </c>
      <c r="I1790" s="7" t="n">
        <v>0</v>
      </c>
      <c r="J1790" s="7" t="n">
        <v>0</v>
      </c>
      <c r="K1790" s="9" t="n">
        <v>0</v>
      </c>
      <c r="L1790" s="10" t="n">
        <v>6.37</v>
      </c>
      <c r="M1790" s="10" t="n">
        <v>1.43</v>
      </c>
      <c r="N1790" t="inlineStr">
        <is>
          <t>1</t>
        </is>
      </c>
      <c r="O1790" t="inlineStr">
        <is>
          <t>16</t>
        </is>
      </c>
      <c r="P1790" t="inlineStr">
        <is>
          <t xml:space="preserve">248416  </t>
        </is>
      </c>
      <c r="Q1790" s="26" t="n">
        <v>17.9</v>
      </c>
      <c r="R1790" s="26">
        <f>Q1790*G1790</f>
        <v/>
      </c>
      <c r="S1790" t="n">
        <v>10.62</v>
      </c>
      <c r="T1790" s="18">
        <f>1 - V1790/S1790</f>
        <v/>
      </c>
      <c r="U1790" s="18" t="n">
        <v>0.3999999999999999</v>
      </c>
      <c r="V1790" s="26" t="n">
        <v>7.281355932203391</v>
      </c>
      <c r="W1790" s="26">
        <f>V1790 - L1790</f>
        <v/>
      </c>
    </row>
    <row r="1791">
      <c r="A1791" s="11" t="n">
        <v>46221</v>
      </c>
      <c r="B1791" s="1" t="n">
        <v>20048</v>
      </c>
      <c r="C1791" s="1" t="inlineStr">
        <is>
          <t>800</t>
        </is>
      </c>
      <c r="D1791" s="1" t="inlineStr">
        <is>
          <t xml:space="preserve">4339  </t>
        </is>
      </c>
      <c r="E1791" s="1" t="inlineStr">
        <is>
          <t xml:space="preserve">28194769       </t>
        </is>
      </c>
      <c r="F1791" s="5" t="inlineStr">
        <is>
          <t>AUTOS DE METAL 3 TEAMSTERZ PACK DE 2</t>
        </is>
      </c>
      <c r="G1791" t="n">
        <v>1</v>
      </c>
      <c r="H1791" s="7" t="n">
        <v>13.8</v>
      </c>
      <c r="I1791" s="7" t="n">
        <v>1.38</v>
      </c>
      <c r="J1791" s="7" t="n">
        <v>0</v>
      </c>
      <c r="K1791" s="9" t="n">
        <v>1.38</v>
      </c>
      <c r="L1791" s="10" t="n">
        <v>7.37</v>
      </c>
      <c r="M1791" s="10" t="n">
        <v>1.43</v>
      </c>
      <c r="N1791" t="inlineStr">
        <is>
          <t>1</t>
        </is>
      </c>
      <c r="O1791" t="inlineStr">
        <is>
          <t>16</t>
        </is>
      </c>
      <c r="P1791" t="inlineStr">
        <is>
          <t xml:space="preserve">0       </t>
        </is>
      </c>
      <c r="Q1791" s="26" t="n">
        <v>13.8</v>
      </c>
      <c r="R1791" s="26">
        <f>Q1791*G1791</f>
        <v/>
      </c>
      <c r="S1791" t="n">
        <v>8.19</v>
      </c>
      <c r="T1791" s="18">
        <f>1 - V1791/S1791</f>
        <v/>
      </c>
      <c r="U1791" s="18" t="n">
        <v>0</v>
      </c>
      <c r="V1791" s="26" t="n">
        <v>8.19</v>
      </c>
      <c r="W1791" s="26">
        <f>V1791 - L1791</f>
        <v/>
      </c>
    </row>
    <row r="1792">
      <c r="A1792" s="11" t="n">
        <v>46221</v>
      </c>
      <c r="B1792" s="1" t="n">
        <v>20048</v>
      </c>
      <c r="C1792" s="1" t="inlineStr">
        <is>
          <t>800</t>
        </is>
      </c>
      <c r="D1792" s="1" t="inlineStr">
        <is>
          <t xml:space="preserve">4405  </t>
        </is>
      </c>
      <c r="E1792" s="1" t="inlineStr">
        <is>
          <t xml:space="preserve">28194770       </t>
        </is>
      </c>
      <c r="F1792" s="5" t="inlineStr">
        <is>
          <t>AUTOS DE METAL 3 TEAMSTERZ EN BLISTER</t>
        </is>
      </c>
      <c r="G1792" t="n">
        <v>1</v>
      </c>
      <c r="H1792" s="7" t="n">
        <v>6.9</v>
      </c>
      <c r="I1792" s="7" t="n">
        <v>0</v>
      </c>
      <c r="J1792" s="7" t="n">
        <v>0</v>
      </c>
      <c r="K1792" s="9" t="n">
        <v>0</v>
      </c>
      <c r="L1792" s="10" t="n">
        <v>4.1</v>
      </c>
      <c r="M1792" s="10" t="n">
        <v>1.43</v>
      </c>
      <c r="N1792" t="inlineStr">
        <is>
          <t>1</t>
        </is>
      </c>
      <c r="O1792" t="inlineStr">
        <is>
          <t>16</t>
        </is>
      </c>
      <c r="P1792" t="inlineStr">
        <is>
          <t xml:space="preserve">0       </t>
        </is>
      </c>
      <c r="Q1792" s="26" t="n">
        <v>6.9</v>
      </c>
      <c r="R1792" s="26">
        <f>Q1792*G1792</f>
        <v/>
      </c>
      <c r="S1792" t="n">
        <v>4.09</v>
      </c>
      <c r="T1792" s="18">
        <f>1 - V1792/S1792</f>
        <v/>
      </c>
      <c r="U1792" s="18" t="n">
        <v>0</v>
      </c>
      <c r="V1792" s="26" t="n">
        <v>4.09</v>
      </c>
      <c r="W1792" s="26">
        <f>V1792 - L1792</f>
        <v/>
      </c>
    </row>
    <row r="1793">
      <c r="A1793" s="11" t="n">
        <v>46221</v>
      </c>
      <c r="B1793" s="1" t="n">
        <v>20048</v>
      </c>
      <c r="C1793" s="1" t="inlineStr">
        <is>
          <t>801</t>
        </is>
      </c>
      <c r="D1793" s="1" t="inlineStr">
        <is>
          <t xml:space="preserve">6508  </t>
        </is>
      </c>
      <c r="E1793" s="1" t="inlineStr">
        <is>
          <t xml:space="preserve">30232284       </t>
        </is>
      </c>
      <c r="F1793" s="5" t="inlineStr">
        <is>
          <t>INFINITY NADO TROMPO DE BATALLA - METAL C/PUNTA DE</t>
        </is>
      </c>
      <c r="G1793" t="n">
        <v>1</v>
      </c>
      <c r="H1793" s="7" t="n">
        <v>34.9</v>
      </c>
      <c r="I1793" s="7" t="n">
        <v>3.49</v>
      </c>
      <c r="J1793" s="7" t="n">
        <v>0</v>
      </c>
      <c r="K1793" s="9" t="n">
        <v>3.49</v>
      </c>
      <c r="L1793" s="10" t="n">
        <v>18.63</v>
      </c>
      <c r="M1793" s="10" t="n">
        <v>1.43</v>
      </c>
      <c r="N1793" t="inlineStr">
        <is>
          <t>1</t>
        </is>
      </c>
      <c r="O1793" t="inlineStr">
        <is>
          <t>16</t>
        </is>
      </c>
      <c r="P1793" t="inlineStr">
        <is>
          <t xml:space="preserve">234984  </t>
        </is>
      </c>
      <c r="Q1793" s="26" t="n">
        <v>49.9</v>
      </c>
      <c r="R1793" s="26">
        <f>Q1793*G1793</f>
        <v/>
      </c>
      <c r="S1793" t="n">
        <v>29.6</v>
      </c>
      <c r="T1793" s="18">
        <f>1 - V1793/S1793</f>
        <v/>
      </c>
      <c r="U1793" s="18" t="n">
        <v>0.3006012024048096</v>
      </c>
      <c r="V1793" s="26" t="n">
        <v>22.18220338983051</v>
      </c>
      <c r="W1793" s="26">
        <f>V1793 - L1793</f>
        <v/>
      </c>
    </row>
    <row r="1794">
      <c r="A1794" s="11" t="n">
        <v>46221</v>
      </c>
      <c r="B1794" s="1" t="n">
        <v>20049</v>
      </c>
      <c r="C1794" s="1" t="inlineStr">
        <is>
          <t>013</t>
        </is>
      </c>
      <c r="D1794" s="1" t="inlineStr">
        <is>
          <t>236500</t>
        </is>
      </c>
      <c r="E1794" s="1" t="inlineStr">
        <is>
          <t xml:space="preserve">28194769       </t>
        </is>
      </c>
      <c r="F1794" s="5" t="inlineStr">
        <is>
          <t>AUTOS DE METAL 3 TEAMSTERZ PACK DE 2</t>
        </is>
      </c>
      <c r="G1794" t="n">
        <v>1</v>
      </c>
      <c r="H1794" s="7" t="n">
        <v>13.8</v>
      </c>
      <c r="I1794" s="7" t="n">
        <v>1.38</v>
      </c>
      <c r="J1794" s="7" t="n">
        <v>0</v>
      </c>
      <c r="K1794" s="9" t="n">
        <v>1.38</v>
      </c>
      <c r="L1794" s="10" t="n">
        <v>7.37</v>
      </c>
      <c r="M1794" s="10" t="n">
        <v>1.43</v>
      </c>
      <c r="N1794" t="inlineStr">
        <is>
          <t>1</t>
        </is>
      </c>
      <c r="O1794" t="inlineStr">
        <is>
          <t xml:space="preserve">3 </t>
        </is>
      </c>
      <c r="P1794" t="inlineStr">
        <is>
          <t xml:space="preserve">48754   </t>
        </is>
      </c>
      <c r="Q1794" s="26" t="n">
        <v>13.8</v>
      </c>
      <c r="R1794" s="26">
        <f>Q1794*G1794</f>
        <v/>
      </c>
      <c r="S1794" t="n">
        <v>8.19</v>
      </c>
      <c r="T1794" s="18">
        <f>1 - V1794/S1794</f>
        <v/>
      </c>
      <c r="U1794" s="18" t="n">
        <v>0</v>
      </c>
      <c r="V1794" s="26" t="n">
        <v>8.19</v>
      </c>
      <c r="W1794" s="26">
        <f>V1794 - L1794</f>
        <v/>
      </c>
    </row>
    <row r="1795">
      <c r="A1795" s="11" t="n">
        <v>46221</v>
      </c>
      <c r="B1795" s="1" t="n">
        <v>20049</v>
      </c>
      <c r="C1795" s="1" t="inlineStr">
        <is>
          <t>025</t>
        </is>
      </c>
      <c r="D1795" s="1" t="inlineStr">
        <is>
          <t xml:space="preserve">34030 </t>
        </is>
      </c>
      <c r="E1795" s="1" t="inlineStr">
        <is>
          <t xml:space="preserve">28194780       </t>
        </is>
      </c>
      <c r="F1795" s="5" t="inlineStr">
        <is>
          <t>TROMPO BATALLA INFINITY NADO PLSTICO SURTIDO</t>
        </is>
      </c>
      <c r="G1795" t="n">
        <v>1</v>
      </c>
      <c r="H1795" s="7" t="n">
        <v>19.9</v>
      </c>
      <c r="I1795" s="7" t="n">
        <v>1.99</v>
      </c>
      <c r="J1795" s="7" t="n">
        <v>0</v>
      </c>
      <c r="K1795" s="9" t="n">
        <v>1.99</v>
      </c>
      <c r="L1795" s="10" t="n">
        <v>10.63</v>
      </c>
      <c r="M1795" s="10" t="n">
        <v>1.43</v>
      </c>
      <c r="N1795" t="inlineStr">
        <is>
          <t>1</t>
        </is>
      </c>
      <c r="O1795" t="inlineStr">
        <is>
          <t xml:space="preserve">3 </t>
        </is>
      </c>
      <c r="P1795" t="inlineStr">
        <is>
          <t xml:space="preserve">248534  </t>
        </is>
      </c>
      <c r="Q1795" s="26" t="n">
        <v>19.9</v>
      </c>
      <c r="R1795" s="26">
        <f>Q1795*G1795</f>
        <v/>
      </c>
      <c r="S1795" t="n">
        <v>11.81</v>
      </c>
      <c r="T1795" s="18">
        <f>1 - V1795/S1795</f>
        <v/>
      </c>
      <c r="U1795" s="18" t="n">
        <v>0</v>
      </c>
      <c r="V1795" s="26" t="n">
        <v>11.81</v>
      </c>
      <c r="W1795" s="26">
        <f>V1795 - L1795</f>
        <v/>
      </c>
    </row>
    <row r="1796">
      <c r="A1796" s="11" t="n">
        <v>46221</v>
      </c>
      <c r="B1796" s="1" t="n">
        <v>20049</v>
      </c>
      <c r="C1796" s="1" t="inlineStr">
        <is>
          <t>025</t>
        </is>
      </c>
      <c r="D1796" s="1" t="inlineStr">
        <is>
          <t xml:space="preserve">34063 </t>
        </is>
      </c>
      <c r="E1796" s="1" t="inlineStr">
        <is>
          <t xml:space="preserve">28194769       </t>
        </is>
      </c>
      <c r="F1796" s="5" t="inlineStr">
        <is>
          <t>AUTOS DE METAL 3 TEAMSTERZ PACK DE 2</t>
        </is>
      </c>
      <c r="G1796" t="n">
        <v>1</v>
      </c>
      <c r="H1796" s="7" t="n">
        <v>13.8</v>
      </c>
      <c r="I1796" s="7" t="n">
        <v>1.38</v>
      </c>
      <c r="J1796" s="7" t="n">
        <v>0</v>
      </c>
      <c r="K1796" s="9" t="n">
        <v>1.38</v>
      </c>
      <c r="L1796" s="10" t="n">
        <v>7.37</v>
      </c>
      <c r="M1796" s="10" t="n">
        <v>1.43</v>
      </c>
      <c r="N1796" t="inlineStr">
        <is>
          <t>1</t>
        </is>
      </c>
      <c r="O1796" t="inlineStr">
        <is>
          <t xml:space="preserve">3 </t>
        </is>
      </c>
      <c r="P1796" t="inlineStr">
        <is>
          <t xml:space="preserve">248534  </t>
        </is>
      </c>
      <c r="Q1796" s="26" t="n">
        <v>13.8</v>
      </c>
      <c r="R1796" s="26">
        <f>Q1796*G1796</f>
        <v/>
      </c>
      <c r="S1796" t="n">
        <v>8.19</v>
      </c>
      <c r="T1796" s="18">
        <f>1 - V1796/S1796</f>
        <v/>
      </c>
      <c r="U1796" s="18" t="n">
        <v>0</v>
      </c>
      <c r="V1796" s="26" t="n">
        <v>8.19</v>
      </c>
      <c r="W1796" s="26">
        <f>V1796 - L1796</f>
        <v/>
      </c>
    </row>
    <row r="1797">
      <c r="A1797" s="11" t="n">
        <v>46221</v>
      </c>
      <c r="B1797" s="1" t="n">
        <v>20049</v>
      </c>
      <c r="C1797" s="1" t="inlineStr">
        <is>
          <t>025</t>
        </is>
      </c>
      <c r="D1797" s="1" t="inlineStr">
        <is>
          <t xml:space="preserve">34073 </t>
        </is>
      </c>
      <c r="E1797" s="1" t="inlineStr">
        <is>
          <t xml:space="preserve">31959959       </t>
        </is>
      </c>
      <c r="F1797" s="5" t="inlineStr">
        <is>
          <t>TMZ CAMBIA DE COLOR LANZADOR SPIN SPLASH + 1 AUTO</t>
        </is>
      </c>
      <c r="G1797" t="n">
        <v>1</v>
      </c>
      <c r="H1797" s="7" t="n">
        <v>14.9</v>
      </c>
      <c r="I1797" s="7" t="n">
        <v>0</v>
      </c>
      <c r="J1797" s="7" t="n">
        <v>0</v>
      </c>
      <c r="K1797" s="9" t="n">
        <v>0</v>
      </c>
      <c r="L1797" s="10" t="n">
        <v>8.84</v>
      </c>
      <c r="M1797" s="10" t="n">
        <v>1.43</v>
      </c>
      <c r="N1797" t="inlineStr">
        <is>
          <t>1</t>
        </is>
      </c>
      <c r="O1797" t="inlineStr">
        <is>
          <t>16</t>
        </is>
      </c>
      <c r="P1797" t="inlineStr">
        <is>
          <t xml:space="preserve">248534  </t>
        </is>
      </c>
      <c r="Q1797" s="26" t="n">
        <v>39.9</v>
      </c>
      <c r="R1797" s="26">
        <f>Q1797*G1797</f>
        <v/>
      </c>
      <c r="S1797" t="n">
        <v>23.67</v>
      </c>
      <c r="T1797" s="18">
        <f>1 - V1797/S1797</f>
        <v/>
      </c>
      <c r="U1797" s="18" t="n">
        <v>0.6265664160401002</v>
      </c>
      <c r="V1797" s="26" t="n">
        <v>10.73050847457628</v>
      </c>
      <c r="W1797" s="26">
        <f>V1797 - L1797</f>
        <v/>
      </c>
    </row>
    <row r="1798">
      <c r="A1798" s="11" t="n">
        <v>46221</v>
      </c>
      <c r="B1798" s="1" t="n">
        <v>20049</v>
      </c>
      <c r="C1798" s="1" t="inlineStr">
        <is>
          <t>025</t>
        </is>
      </c>
      <c r="D1798" s="1" t="inlineStr">
        <is>
          <t xml:space="preserve">34130 </t>
        </is>
      </c>
      <c r="E1798" s="1" t="inlineStr">
        <is>
          <t xml:space="preserve">28194770       </t>
        </is>
      </c>
      <c r="F1798" s="5" t="inlineStr">
        <is>
          <t>AUTOS DE METAL 3 TEAMSTERZ EN BLISTER</t>
        </is>
      </c>
      <c r="G1798" t="n">
        <v>1</v>
      </c>
      <c r="H1798" s="7" t="n">
        <v>6.9</v>
      </c>
      <c r="I1798" s="7" t="n">
        <v>0</v>
      </c>
      <c r="J1798" s="7" t="n">
        <v>0</v>
      </c>
      <c r="K1798" s="9" t="n">
        <v>0</v>
      </c>
      <c r="L1798" s="10" t="n">
        <v>4.1</v>
      </c>
      <c r="M1798" s="10" t="n">
        <v>1.43</v>
      </c>
      <c r="N1798" t="inlineStr">
        <is>
          <t>1</t>
        </is>
      </c>
      <c r="O1798" t="inlineStr">
        <is>
          <t>16</t>
        </is>
      </c>
      <c r="P1798" t="inlineStr">
        <is>
          <t xml:space="preserve">245485  </t>
        </is>
      </c>
      <c r="Q1798" s="26" t="n">
        <v>6.9</v>
      </c>
      <c r="R1798" s="26">
        <f>Q1798*G1798</f>
        <v/>
      </c>
      <c r="S1798" t="n">
        <v>4.09</v>
      </c>
      <c r="T1798" s="18">
        <f>1 - V1798/S1798</f>
        <v/>
      </c>
      <c r="U1798" s="18" t="n">
        <v>0</v>
      </c>
      <c r="V1798" s="26" t="n">
        <v>4.09</v>
      </c>
      <c r="W1798" s="26">
        <f>V1798 - L1798</f>
        <v/>
      </c>
    </row>
    <row r="1799">
      <c r="A1799" s="11" t="n">
        <v>46221</v>
      </c>
      <c r="B1799" s="1" t="n">
        <v>20056</v>
      </c>
      <c r="C1799" s="1" t="inlineStr">
        <is>
          <t>021</t>
        </is>
      </c>
      <c r="D1799" s="1" t="inlineStr">
        <is>
          <t xml:space="preserve">52554 </t>
        </is>
      </c>
      <c r="E1799" s="1" t="inlineStr">
        <is>
          <t xml:space="preserve">33661538       </t>
        </is>
      </c>
      <c r="F1799" s="5" t="inlineStr">
        <is>
          <t>HOT WHEELS CASE GARAGE RUEDA METAL EN LLAMAS X 29</t>
        </is>
      </c>
      <c r="G1799" t="n">
        <v>1</v>
      </c>
      <c r="H1799" s="7" t="n">
        <v>69.90000000000001</v>
      </c>
      <c r="I1799" s="7" t="n">
        <v>0</v>
      </c>
      <c r="J1799" s="7" t="n">
        <v>0</v>
      </c>
      <c r="K1799" s="9" t="n">
        <v>0</v>
      </c>
      <c r="L1799" s="10" t="n">
        <v>41.47</v>
      </c>
      <c r="M1799" s="10" t="n">
        <v>1.43</v>
      </c>
      <c r="N1799" t="inlineStr">
        <is>
          <t>1</t>
        </is>
      </c>
      <c r="O1799" t="inlineStr">
        <is>
          <t>16</t>
        </is>
      </c>
      <c r="P1799" t="inlineStr">
        <is>
          <t xml:space="preserve">244178  </t>
        </is>
      </c>
      <c r="Q1799" s="26" t="n">
        <v>69.90000000000001</v>
      </c>
      <c r="R1799" s="26">
        <f>Q1799*G1799</f>
        <v/>
      </c>
      <c r="S1799" t="n">
        <v>41.47</v>
      </c>
      <c r="T1799" s="18">
        <f>1 - V1799/S1799</f>
        <v/>
      </c>
      <c r="U1799" s="18" t="n">
        <v>0</v>
      </c>
      <c r="V1799" s="26" t="n">
        <v>41.47</v>
      </c>
      <c r="W1799" s="26">
        <f>V1799 - L1799</f>
        <v/>
      </c>
    </row>
    <row r="1800">
      <c r="A1800" s="11" t="n">
        <v>46221</v>
      </c>
      <c r="B1800" s="1" t="n">
        <v>20056</v>
      </c>
      <c r="C1800" s="1" t="inlineStr">
        <is>
          <t>021</t>
        </is>
      </c>
      <c r="D1800" s="1" t="inlineStr">
        <is>
          <t xml:space="preserve">52561 </t>
        </is>
      </c>
      <c r="E1800" s="1" t="inlineStr">
        <is>
          <t xml:space="preserve">30141781       </t>
        </is>
      </c>
      <c r="F1800" s="5" t="inlineStr">
        <is>
          <t>RELOJ DIGITAL POLLY POCKET</t>
        </is>
      </c>
      <c r="G1800" t="n">
        <v>1</v>
      </c>
      <c r="H1800" s="7" t="n">
        <v>18.9</v>
      </c>
      <c r="I1800" s="7" t="n">
        <v>1.89</v>
      </c>
      <c r="J1800" s="7" t="n">
        <v>0</v>
      </c>
      <c r="K1800" s="9" t="n">
        <v>1.89</v>
      </c>
      <c r="L1800" s="10" t="n">
        <v>10.09</v>
      </c>
      <c r="M1800" s="10" t="n">
        <v>1.43</v>
      </c>
      <c r="N1800" t="inlineStr">
        <is>
          <t>1</t>
        </is>
      </c>
      <c r="O1800" t="inlineStr">
        <is>
          <t xml:space="preserve">3 </t>
        </is>
      </c>
      <c r="P1800" t="inlineStr">
        <is>
          <t xml:space="preserve">244178  </t>
        </is>
      </c>
      <c r="Q1800" s="26" t="n">
        <v>18.9</v>
      </c>
      <c r="R1800" s="26">
        <f>Q1800*G1800</f>
        <v/>
      </c>
      <c r="S1800" t="n">
        <v>11.21</v>
      </c>
      <c r="T1800" s="18">
        <f>1 - V1800/S1800</f>
        <v/>
      </c>
      <c r="U1800" s="18" t="n">
        <v>0</v>
      </c>
      <c r="V1800" s="26" t="n">
        <v>11.21</v>
      </c>
      <c r="W1800" s="26">
        <f>V1800 - L1800</f>
        <v/>
      </c>
    </row>
    <row r="1801">
      <c r="A1801" s="11" t="n">
        <v>46221</v>
      </c>
      <c r="B1801" s="1" t="n">
        <v>20056</v>
      </c>
      <c r="C1801" s="1" t="inlineStr">
        <is>
          <t>501</t>
        </is>
      </c>
      <c r="D1801" s="1" t="inlineStr">
        <is>
          <t xml:space="preserve">4240  </t>
        </is>
      </c>
      <c r="E1801" s="1" t="inlineStr">
        <is>
          <t xml:space="preserve">31800857       </t>
        </is>
      </c>
      <c r="F1801" s="5" t="inlineStr">
        <is>
          <t>DART ZONE BLITZFIRE TIRO RAPIDO BLASTER X1</t>
        </is>
      </c>
      <c r="G1801" t="n">
        <v>1</v>
      </c>
      <c r="H1801" s="7" t="n">
        <v>14.95</v>
      </c>
      <c r="I1801" s="7" t="n">
        <v>0</v>
      </c>
      <c r="J1801" s="7" t="n">
        <v>0</v>
      </c>
      <c r="K1801" s="9" t="n">
        <v>0</v>
      </c>
      <c r="L1801" s="10" t="n">
        <v>8.869999999999999</v>
      </c>
      <c r="M1801" s="10" t="n">
        <v>1.43</v>
      </c>
      <c r="N1801" t="inlineStr">
        <is>
          <t>1</t>
        </is>
      </c>
      <c r="O1801" t="inlineStr">
        <is>
          <t>16</t>
        </is>
      </c>
      <c r="P1801" t="inlineStr">
        <is>
          <t xml:space="preserve">241925  </t>
        </is>
      </c>
      <c r="Q1801" s="26" t="n">
        <v>29.9</v>
      </c>
      <c r="R1801" s="26">
        <f>Q1801*G1801</f>
        <v/>
      </c>
      <c r="S1801" t="n">
        <v>17.74</v>
      </c>
      <c r="T1801" s="18">
        <f>1 - V1801/S1801</f>
        <v/>
      </c>
      <c r="U1801" s="18" t="n">
        <v>0.5</v>
      </c>
      <c r="V1801" s="26" t="n">
        <v>11.40271186440678</v>
      </c>
      <c r="W1801" s="26">
        <f>V1801 - L1801</f>
        <v/>
      </c>
    </row>
    <row r="1802">
      <c r="A1802" s="11" t="n">
        <v>46221</v>
      </c>
      <c r="B1802" s="1" t="n">
        <v>20057</v>
      </c>
      <c r="C1802" s="1" t="inlineStr">
        <is>
          <t>032</t>
        </is>
      </c>
      <c r="D1802" s="1" t="inlineStr">
        <is>
          <t xml:space="preserve">2015  </t>
        </is>
      </c>
      <c r="E1802" s="1" t="inlineStr">
        <is>
          <t xml:space="preserve">28194770       </t>
        </is>
      </c>
      <c r="F1802" s="5" t="inlineStr">
        <is>
          <t>AUTOS DE METAL 3 TEAMSTERZ EN BLISTER</t>
        </is>
      </c>
      <c r="G1802" t="n">
        <v>1</v>
      </c>
      <c r="H1802" s="7" t="n">
        <v>6.9</v>
      </c>
      <c r="I1802" s="7" t="n">
        <v>0</v>
      </c>
      <c r="J1802" s="7" t="n">
        <v>0</v>
      </c>
      <c r="K1802" s="9" t="n">
        <v>0</v>
      </c>
      <c r="L1802" s="10" t="n">
        <v>4.1</v>
      </c>
      <c r="M1802" s="10" t="n">
        <v>1.43</v>
      </c>
      <c r="N1802" t="inlineStr">
        <is>
          <t>1</t>
        </is>
      </c>
      <c r="O1802" t="inlineStr">
        <is>
          <t>16</t>
        </is>
      </c>
      <c r="P1802" t="inlineStr">
        <is>
          <t xml:space="preserve">105593  </t>
        </is>
      </c>
      <c r="Q1802" s="26" t="n">
        <v>6.9</v>
      </c>
      <c r="R1802" s="26">
        <f>Q1802*G1802</f>
        <v/>
      </c>
      <c r="S1802" t="n">
        <v>4.09</v>
      </c>
      <c r="T1802" s="18">
        <f>1 - V1802/S1802</f>
        <v/>
      </c>
      <c r="U1802" s="18" t="n">
        <v>0</v>
      </c>
      <c r="V1802" s="26" t="n">
        <v>4.09</v>
      </c>
      <c r="W1802" s="26">
        <f>V1802 - L1802</f>
        <v/>
      </c>
    </row>
    <row r="1803">
      <c r="A1803" s="11" t="n">
        <v>46221</v>
      </c>
      <c r="B1803" s="1" t="n">
        <v>20057</v>
      </c>
      <c r="C1803" s="1" t="inlineStr">
        <is>
          <t>032</t>
        </is>
      </c>
      <c r="D1803" s="1" t="inlineStr">
        <is>
          <t xml:space="preserve">75092 </t>
        </is>
      </c>
      <c r="E1803" s="1" t="inlineStr">
        <is>
          <t xml:space="preserve">28194770       </t>
        </is>
      </c>
      <c r="F1803" s="5" t="inlineStr">
        <is>
          <t>AUTOS DE METAL 3 TEAMSTERZ EN BLISTER</t>
        </is>
      </c>
      <c r="G1803" t="n">
        <v>1</v>
      </c>
      <c r="H1803" s="7" t="n">
        <v>6.9</v>
      </c>
      <c r="I1803" s="7" t="n">
        <v>0</v>
      </c>
      <c r="J1803" s="7" t="n">
        <v>0</v>
      </c>
      <c r="K1803" s="9" t="n">
        <v>0</v>
      </c>
      <c r="L1803" s="10" t="n">
        <v>4.1</v>
      </c>
      <c r="M1803" s="10" t="n">
        <v>1.43</v>
      </c>
      <c r="N1803" t="inlineStr">
        <is>
          <t>1</t>
        </is>
      </c>
      <c r="O1803" t="inlineStr">
        <is>
          <t xml:space="preserve">2 </t>
        </is>
      </c>
      <c r="P1803" t="inlineStr">
        <is>
          <t xml:space="preserve">105593  </t>
        </is>
      </c>
      <c r="Q1803" s="26" t="n">
        <v>6.9</v>
      </c>
      <c r="R1803" s="26">
        <f>Q1803*G1803</f>
        <v/>
      </c>
      <c r="S1803" t="n">
        <v>4.09</v>
      </c>
      <c r="T1803" s="18">
        <f>1 - V1803/S1803</f>
        <v/>
      </c>
      <c r="U1803" s="18" t="n">
        <v>0</v>
      </c>
      <c r="V1803" s="26" t="n">
        <v>4.09</v>
      </c>
      <c r="W1803" s="26">
        <f>V1803 - L1803</f>
        <v/>
      </c>
    </row>
    <row r="1804">
      <c r="A1804" s="11" t="n">
        <v>46221</v>
      </c>
      <c r="B1804" s="1" t="n">
        <v>20057</v>
      </c>
      <c r="C1804" s="1" t="inlineStr">
        <is>
          <t>032</t>
        </is>
      </c>
      <c r="D1804" s="1" t="inlineStr">
        <is>
          <t xml:space="preserve">75134 </t>
        </is>
      </c>
      <c r="E1804" s="1" t="inlineStr">
        <is>
          <t xml:space="preserve">32457099       </t>
        </is>
      </c>
      <c r="F1804" s="5" t="inlineStr">
        <is>
          <t>TMZ BEAST MACHINES MONSTER JAWS A FRICCION BLISTER</t>
        </is>
      </c>
      <c r="G1804" t="n">
        <v>1</v>
      </c>
      <c r="H1804" s="7" t="n">
        <v>17.9</v>
      </c>
      <c r="I1804" s="7" t="n">
        <v>0</v>
      </c>
      <c r="J1804" s="7" t="n">
        <v>0</v>
      </c>
      <c r="K1804" s="9" t="n">
        <v>0</v>
      </c>
      <c r="L1804" s="10" t="n">
        <v>10.62</v>
      </c>
      <c r="M1804" s="10" t="n">
        <v>1.43</v>
      </c>
      <c r="N1804" t="inlineStr">
        <is>
          <t>1</t>
        </is>
      </c>
      <c r="O1804" t="inlineStr">
        <is>
          <t xml:space="preserve">2 </t>
        </is>
      </c>
      <c r="P1804" t="inlineStr">
        <is>
          <t xml:space="preserve">105593  </t>
        </is>
      </c>
      <c r="Q1804" s="26" t="n">
        <v>19.9</v>
      </c>
      <c r="R1804" s="26">
        <f>Q1804*G1804</f>
        <v/>
      </c>
      <c r="S1804" t="n">
        <v>11.81</v>
      </c>
      <c r="T1804" s="18">
        <f>1 - V1804/S1804</f>
        <v/>
      </c>
      <c r="U1804" s="18" t="n">
        <v>0.1005025125628141</v>
      </c>
      <c r="V1804" s="26" t="n">
        <v>8.417118644067797</v>
      </c>
      <c r="W1804" s="26">
        <f>V1804 - L1804</f>
        <v/>
      </c>
    </row>
    <row r="1805">
      <c r="A1805" s="11" t="n">
        <v>46221</v>
      </c>
      <c r="B1805" s="1" t="n">
        <v>20057</v>
      </c>
      <c r="C1805" s="1" t="inlineStr">
        <is>
          <t>032</t>
        </is>
      </c>
      <c r="D1805" s="1" t="inlineStr">
        <is>
          <t xml:space="preserve">75174 </t>
        </is>
      </c>
      <c r="E1805" s="1" t="inlineStr">
        <is>
          <t xml:space="preserve">31675354       </t>
        </is>
      </c>
      <c r="F1805" s="5" t="inlineStr">
        <is>
          <t>NENUCO LLORON CON ACCESORIOS</t>
        </is>
      </c>
      <c r="G1805" t="n">
        <v>1</v>
      </c>
      <c r="H1805" s="7" t="n">
        <v>69.90000000000001</v>
      </c>
      <c r="I1805" s="7" t="n">
        <v>0</v>
      </c>
      <c r="J1805" s="7" t="n">
        <v>0</v>
      </c>
      <c r="K1805" s="9" t="n">
        <v>0</v>
      </c>
      <c r="L1805" s="10" t="n">
        <v>41.47</v>
      </c>
      <c r="M1805" s="10" t="n">
        <v>1.43</v>
      </c>
      <c r="N1805" t="inlineStr">
        <is>
          <t>1</t>
        </is>
      </c>
      <c r="O1805" t="inlineStr">
        <is>
          <t>16</t>
        </is>
      </c>
      <c r="P1805" t="inlineStr">
        <is>
          <t xml:space="preserve">105593  </t>
        </is>
      </c>
      <c r="Q1805" s="26" t="n">
        <v>89.90000000000001</v>
      </c>
      <c r="R1805" s="26">
        <f>Q1805*G1805</f>
        <v/>
      </c>
      <c r="S1805" t="n">
        <v>53.33</v>
      </c>
      <c r="T1805" s="18">
        <f>1 - V1805/S1805</f>
        <v/>
      </c>
      <c r="U1805" s="18" t="n">
        <v>0.2224694104560623</v>
      </c>
      <c r="V1805" s="26" t="n">
        <v>44.42796610169492</v>
      </c>
      <c r="W1805" s="26">
        <f>V1805 - L1805</f>
        <v/>
      </c>
    </row>
    <row r="1806">
      <c r="A1806" s="11" t="n">
        <v>46221</v>
      </c>
      <c r="B1806" s="1" t="n">
        <v>20057</v>
      </c>
      <c r="C1806" s="1" t="inlineStr">
        <is>
          <t>032</t>
        </is>
      </c>
      <c r="D1806" s="1" t="inlineStr">
        <is>
          <t xml:space="preserve">75211 </t>
        </is>
      </c>
      <c r="E1806" s="1" t="inlineStr">
        <is>
          <t xml:space="preserve">28194770       </t>
        </is>
      </c>
      <c r="F1806" s="5" t="inlineStr">
        <is>
          <t>AUTOS DE METAL 3 TEAMSTERZ EN BLISTER</t>
        </is>
      </c>
      <c r="G1806" t="n">
        <v>1</v>
      </c>
      <c r="H1806" s="7" t="n">
        <v>6.9</v>
      </c>
      <c r="I1806" s="7" t="n">
        <v>0</v>
      </c>
      <c r="J1806" s="7" t="n">
        <v>0</v>
      </c>
      <c r="K1806" s="9" t="n">
        <v>0</v>
      </c>
      <c r="L1806" s="10" t="n">
        <v>4.1</v>
      </c>
      <c r="M1806" s="10" t="n">
        <v>1.43</v>
      </c>
      <c r="N1806" t="inlineStr">
        <is>
          <t>1</t>
        </is>
      </c>
      <c r="O1806" t="inlineStr">
        <is>
          <t xml:space="preserve">6 </t>
        </is>
      </c>
      <c r="P1806" t="inlineStr">
        <is>
          <t xml:space="preserve">105593  </t>
        </is>
      </c>
      <c r="Q1806" s="26" t="n">
        <v>6.9</v>
      </c>
      <c r="R1806" s="26">
        <f>Q1806*G1806</f>
        <v/>
      </c>
      <c r="S1806" t="n">
        <v>4.09</v>
      </c>
      <c r="T1806" s="18">
        <f>1 - V1806/S1806</f>
        <v/>
      </c>
      <c r="U1806" s="18" t="n">
        <v>0</v>
      </c>
      <c r="V1806" s="26" t="n">
        <v>4.09</v>
      </c>
      <c r="W1806" s="26">
        <f>V1806 - L1806</f>
        <v/>
      </c>
    </row>
    <row r="1807">
      <c r="A1807" s="11" t="n">
        <v>46221</v>
      </c>
      <c r="B1807" s="1" t="n">
        <v>20057</v>
      </c>
      <c r="C1807" s="1" t="inlineStr">
        <is>
          <t>033</t>
        </is>
      </c>
      <c r="D1807" s="1" t="inlineStr">
        <is>
          <t xml:space="preserve">67373 </t>
        </is>
      </c>
      <c r="E1807" s="1" t="inlineStr">
        <is>
          <t xml:space="preserve">28194769       </t>
        </is>
      </c>
      <c r="F1807" s="5" t="inlineStr">
        <is>
          <t>AUTOS DE METAL 3 TEAMSTERZ PACK DE 2</t>
        </is>
      </c>
      <c r="G1807" t="n">
        <v>1</v>
      </c>
      <c r="H1807" s="7" t="n">
        <v>13.8</v>
      </c>
      <c r="I1807" s="7" t="n">
        <v>0</v>
      </c>
      <c r="J1807" s="7" t="n">
        <v>0</v>
      </c>
      <c r="K1807" s="9" t="n">
        <v>0</v>
      </c>
      <c r="L1807" s="10" t="n">
        <v>8.18</v>
      </c>
      <c r="M1807" s="10" t="n">
        <v>1.43</v>
      </c>
      <c r="N1807" t="inlineStr">
        <is>
          <t>1</t>
        </is>
      </c>
      <c r="O1807" t="inlineStr">
        <is>
          <t>16</t>
        </is>
      </c>
      <c r="P1807" t="inlineStr">
        <is>
          <t xml:space="preserve">248132  </t>
        </is>
      </c>
      <c r="Q1807" s="26" t="n">
        <v>13.8</v>
      </c>
      <c r="R1807" s="26">
        <f>Q1807*G1807</f>
        <v/>
      </c>
      <c r="S1807" t="n">
        <v>8.19</v>
      </c>
      <c r="T1807" s="18">
        <f>1 - V1807/S1807</f>
        <v/>
      </c>
      <c r="U1807" s="18" t="n">
        <v>0</v>
      </c>
      <c r="V1807" s="26" t="n">
        <v>8.19</v>
      </c>
      <c r="W1807" s="26">
        <f>V1807 - L1807</f>
        <v/>
      </c>
    </row>
    <row r="1808">
      <c r="A1808" s="11" t="n">
        <v>46221</v>
      </c>
      <c r="B1808" s="1" t="n">
        <v>20057</v>
      </c>
      <c r="C1808" s="1" t="inlineStr">
        <is>
          <t>033</t>
        </is>
      </c>
      <c r="D1808" s="1" t="inlineStr">
        <is>
          <t xml:space="preserve">67378 </t>
        </is>
      </c>
      <c r="E1808" s="1" t="inlineStr">
        <is>
          <t xml:space="preserve">31675354       </t>
        </is>
      </c>
      <c r="F1808" s="5" t="inlineStr">
        <is>
          <t>NENUCO LLORON CON ACCESORIOS</t>
        </is>
      </c>
      <c r="G1808" t="n">
        <v>1</v>
      </c>
      <c r="H1808" s="7" t="n">
        <v>69.90000000000001</v>
      </c>
      <c r="I1808" s="7" t="n">
        <v>0</v>
      </c>
      <c r="J1808" s="7" t="n">
        <v>0</v>
      </c>
      <c r="K1808" s="9" t="n">
        <v>0</v>
      </c>
      <c r="L1808" s="10" t="n">
        <v>41.47</v>
      </c>
      <c r="M1808" s="10" t="n">
        <v>1.43</v>
      </c>
      <c r="N1808" t="inlineStr">
        <is>
          <t>1</t>
        </is>
      </c>
      <c r="O1808" t="inlineStr">
        <is>
          <t xml:space="preserve">2 </t>
        </is>
      </c>
      <c r="P1808" t="inlineStr">
        <is>
          <t xml:space="preserve">248132  </t>
        </is>
      </c>
      <c r="Q1808" s="26" t="n">
        <v>89.90000000000001</v>
      </c>
      <c r="R1808" s="26">
        <f>Q1808*G1808</f>
        <v/>
      </c>
      <c r="S1808" t="n">
        <v>53.33</v>
      </c>
      <c r="T1808" s="18">
        <f>1 - V1808/S1808</f>
        <v/>
      </c>
      <c r="U1808" s="18" t="n">
        <v>0.2224694104560623</v>
      </c>
      <c r="V1808" s="26" t="n">
        <v>44.42796610169492</v>
      </c>
      <c r="W1808" s="26">
        <f>V1808 - L1808</f>
        <v/>
      </c>
    </row>
    <row r="1809">
      <c r="A1809" s="11" t="n">
        <v>46221</v>
      </c>
      <c r="B1809" s="1" t="n">
        <v>20057</v>
      </c>
      <c r="C1809" s="1" t="inlineStr">
        <is>
          <t>033</t>
        </is>
      </c>
      <c r="D1809" s="1" t="inlineStr">
        <is>
          <t xml:space="preserve">67381 </t>
        </is>
      </c>
      <c r="E1809" s="1" t="inlineStr">
        <is>
          <t xml:space="preserve">28194769       </t>
        </is>
      </c>
      <c r="F1809" s="5" t="inlineStr">
        <is>
          <t>AUTOS DE METAL 3 TEAMSTERZ PACK DE 2</t>
        </is>
      </c>
      <c r="G1809" t="n">
        <v>1</v>
      </c>
      <c r="H1809" s="7" t="n">
        <v>13.8</v>
      </c>
      <c r="I1809" s="7" t="n">
        <v>0</v>
      </c>
      <c r="J1809" s="7" t="n">
        <v>0</v>
      </c>
      <c r="K1809" s="9" t="n">
        <v>0</v>
      </c>
      <c r="L1809" s="10" t="n">
        <v>8.18</v>
      </c>
      <c r="M1809" s="10" t="n">
        <v>1.43</v>
      </c>
      <c r="N1809" t="inlineStr">
        <is>
          <t>1</t>
        </is>
      </c>
      <c r="O1809" t="inlineStr">
        <is>
          <t>16</t>
        </is>
      </c>
      <c r="P1809" t="inlineStr">
        <is>
          <t xml:space="preserve">248132  </t>
        </is>
      </c>
      <c r="Q1809" s="26" t="n">
        <v>13.8</v>
      </c>
      <c r="R1809" s="26">
        <f>Q1809*G1809</f>
        <v/>
      </c>
      <c r="S1809" t="n">
        <v>8.19</v>
      </c>
      <c r="T1809" s="18">
        <f>1 - V1809/S1809</f>
        <v/>
      </c>
      <c r="U1809" s="18" t="n">
        <v>0</v>
      </c>
      <c r="V1809" s="26" t="n">
        <v>8.19</v>
      </c>
      <c r="W1809" s="26">
        <f>V1809 - L1809</f>
        <v/>
      </c>
    </row>
    <row r="1810">
      <c r="A1810" s="11" t="n">
        <v>46221</v>
      </c>
      <c r="B1810" s="1" t="n">
        <v>20057</v>
      </c>
      <c r="C1810" s="1" t="inlineStr">
        <is>
          <t>033</t>
        </is>
      </c>
      <c r="D1810" s="1" t="inlineStr">
        <is>
          <t xml:space="preserve">67402 </t>
        </is>
      </c>
      <c r="E1810" s="1" t="inlineStr">
        <is>
          <t xml:space="preserve">28194766       </t>
        </is>
      </c>
      <c r="F1810" s="5" t="inlineStr">
        <is>
          <t>CAMIONES TEAMSTERZ DE CIUDAD</t>
        </is>
      </c>
      <c r="G1810" t="n">
        <v>1</v>
      </c>
      <c r="H1810" s="7" t="n">
        <v>17.9</v>
      </c>
      <c r="I1810" s="7" t="n">
        <v>0</v>
      </c>
      <c r="J1810" s="7" t="n">
        <v>0</v>
      </c>
      <c r="K1810" s="9" t="n">
        <v>0</v>
      </c>
      <c r="L1810" s="10" t="n">
        <v>10.62</v>
      </c>
      <c r="M1810" s="10" t="n">
        <v>1.43</v>
      </c>
      <c r="N1810" t="inlineStr">
        <is>
          <t>1</t>
        </is>
      </c>
      <c r="O1810" t="inlineStr">
        <is>
          <t>16</t>
        </is>
      </c>
      <c r="P1810" t="inlineStr">
        <is>
          <t xml:space="preserve">248132  </t>
        </is>
      </c>
      <c r="Q1810" s="26" t="n">
        <v>17.9</v>
      </c>
      <c r="R1810" s="26">
        <f>Q1810*G1810</f>
        <v/>
      </c>
      <c r="S1810" t="n">
        <v>10.62</v>
      </c>
      <c r="T1810" s="18">
        <f>1 - V1810/S1810</f>
        <v/>
      </c>
      <c r="U1810" s="18" t="n">
        <v>0</v>
      </c>
      <c r="V1810" s="26" t="n">
        <v>10.62</v>
      </c>
      <c r="W1810" s="26">
        <f>V1810 - L1810</f>
        <v/>
      </c>
    </row>
    <row r="1811">
      <c r="A1811" s="11" t="n">
        <v>46221</v>
      </c>
      <c r="B1811" s="1" t="n">
        <v>20057</v>
      </c>
      <c r="C1811" s="1" t="inlineStr">
        <is>
          <t>033</t>
        </is>
      </c>
      <c r="D1811" s="1" t="inlineStr">
        <is>
          <t xml:space="preserve">67419 </t>
        </is>
      </c>
      <c r="E1811" s="1" t="inlineStr">
        <is>
          <t xml:space="preserve">28194769       </t>
        </is>
      </c>
      <c r="F1811" s="5" t="inlineStr">
        <is>
          <t>AUTOS DE METAL 3 TEAMSTERZ PACK DE 2</t>
        </is>
      </c>
      <c r="G1811" t="n">
        <v>1</v>
      </c>
      <c r="H1811" s="7" t="n">
        <v>13.8</v>
      </c>
      <c r="I1811" s="7" t="n">
        <v>1.38</v>
      </c>
      <c r="J1811" s="7" t="n">
        <v>0</v>
      </c>
      <c r="K1811" s="9" t="n">
        <v>1.38</v>
      </c>
      <c r="L1811" s="10" t="n">
        <v>7.37</v>
      </c>
      <c r="M1811" s="10" t="n">
        <v>1.43</v>
      </c>
      <c r="N1811" t="inlineStr">
        <is>
          <t>1</t>
        </is>
      </c>
      <c r="O1811" t="inlineStr">
        <is>
          <t xml:space="preserve">3 </t>
        </is>
      </c>
      <c r="P1811" t="inlineStr">
        <is>
          <t xml:space="preserve">248132  </t>
        </is>
      </c>
      <c r="Q1811" s="26" t="n">
        <v>13.8</v>
      </c>
      <c r="R1811" s="26">
        <f>Q1811*G1811</f>
        <v/>
      </c>
      <c r="S1811" t="n">
        <v>8.19</v>
      </c>
      <c r="T1811" s="18">
        <f>1 - V1811/S1811</f>
        <v/>
      </c>
      <c r="U1811" s="18" t="n">
        <v>0</v>
      </c>
      <c r="V1811" s="26" t="n">
        <v>8.19</v>
      </c>
      <c r="W1811" s="26">
        <f>V1811 - L1811</f>
        <v/>
      </c>
    </row>
    <row r="1812">
      <c r="A1812" s="11" t="n">
        <v>46221</v>
      </c>
      <c r="B1812" s="1" t="n">
        <v>20057</v>
      </c>
      <c r="C1812" s="1" t="inlineStr">
        <is>
          <t>033</t>
        </is>
      </c>
      <c r="D1812" s="1" t="inlineStr">
        <is>
          <t xml:space="preserve">67446 </t>
        </is>
      </c>
      <c r="E1812" s="1" t="inlineStr">
        <is>
          <t xml:space="preserve">34840552       </t>
        </is>
      </c>
      <c r="F1812" s="5" t="inlineStr">
        <is>
          <t>TMZ HELI POLICIA CON LUCES Y SONIDOS</t>
        </is>
      </c>
      <c r="G1812" t="n">
        <v>1</v>
      </c>
      <c r="H1812" s="7" t="n">
        <v>79.90000000000001</v>
      </c>
      <c r="I1812" s="7" t="n">
        <v>0</v>
      </c>
      <c r="J1812" s="7" t="n">
        <v>0</v>
      </c>
      <c r="K1812" s="9" t="n">
        <v>0</v>
      </c>
      <c r="L1812" s="10" t="n">
        <v>47.4</v>
      </c>
      <c r="M1812" s="10" t="n">
        <v>1.43</v>
      </c>
      <c r="N1812" t="inlineStr">
        <is>
          <t>1</t>
        </is>
      </c>
      <c r="O1812" t="inlineStr">
        <is>
          <t>16</t>
        </is>
      </c>
      <c r="P1812" t="inlineStr">
        <is>
          <t xml:space="preserve">248132  </t>
        </is>
      </c>
      <c r="Q1812" s="26" t="n">
        <v>79.90000000000002</v>
      </c>
      <c r="R1812" s="26">
        <f>Q1812*G1812</f>
        <v/>
      </c>
      <c r="S1812" t="n">
        <v>47.4</v>
      </c>
      <c r="T1812" s="18">
        <f>1 - V1812/S1812</f>
        <v/>
      </c>
      <c r="U1812" s="18" t="n">
        <v>0</v>
      </c>
      <c r="V1812" s="26" t="n">
        <v>47.4</v>
      </c>
      <c r="W1812" s="26">
        <f>V1812 - L1812</f>
        <v/>
      </c>
    </row>
    <row r="1813">
      <c r="A1813" s="11" t="n">
        <v>46221</v>
      </c>
      <c r="B1813" s="1" t="n">
        <v>20057</v>
      </c>
      <c r="C1813" s="1" t="inlineStr">
        <is>
          <t>033</t>
        </is>
      </c>
      <c r="D1813" s="1" t="inlineStr">
        <is>
          <t xml:space="preserve">67504 </t>
        </is>
      </c>
      <c r="E1813" s="1" t="inlineStr">
        <is>
          <t xml:space="preserve">28194769       </t>
        </is>
      </c>
      <c r="F1813" s="5" t="inlineStr">
        <is>
          <t>AUTOS DE METAL 3 TEAMSTERZ PACK DE 2</t>
        </is>
      </c>
      <c r="G1813" t="n">
        <v>1</v>
      </c>
      <c r="H1813" s="7" t="n">
        <v>13.8</v>
      </c>
      <c r="I1813" s="7" t="n">
        <v>1.38</v>
      </c>
      <c r="J1813" s="7" t="n">
        <v>0</v>
      </c>
      <c r="K1813" s="9" t="n">
        <v>1.38</v>
      </c>
      <c r="L1813" s="10" t="n">
        <v>7.37</v>
      </c>
      <c r="M1813" s="10" t="n">
        <v>1.43</v>
      </c>
      <c r="N1813" t="inlineStr">
        <is>
          <t>1</t>
        </is>
      </c>
      <c r="O1813" t="inlineStr">
        <is>
          <t xml:space="preserve">3 </t>
        </is>
      </c>
      <c r="P1813" t="inlineStr">
        <is>
          <t xml:space="preserve">242831  </t>
        </is>
      </c>
      <c r="Q1813" s="26" t="n">
        <v>13.8</v>
      </c>
      <c r="R1813" s="26">
        <f>Q1813*G1813</f>
        <v/>
      </c>
      <c r="S1813" t="n">
        <v>8.19</v>
      </c>
      <c r="T1813" s="18">
        <f>1 - V1813/S1813</f>
        <v/>
      </c>
      <c r="U1813" s="18" t="n">
        <v>0</v>
      </c>
      <c r="V1813" s="26" t="n">
        <v>8.19</v>
      </c>
      <c r="W1813" s="26">
        <f>V1813 - L1813</f>
        <v/>
      </c>
    </row>
    <row r="1814">
      <c r="A1814" s="11" t="n">
        <v>46221</v>
      </c>
      <c r="B1814" s="1" t="n">
        <v>20057</v>
      </c>
      <c r="C1814" s="1" t="inlineStr">
        <is>
          <t>033</t>
        </is>
      </c>
      <c r="D1814" s="1" t="inlineStr">
        <is>
          <t xml:space="preserve">67512 </t>
        </is>
      </c>
      <c r="E1814" s="1" t="inlineStr">
        <is>
          <t xml:space="preserve">28194769       </t>
        </is>
      </c>
      <c r="F1814" s="5" t="inlineStr">
        <is>
          <t>AUTOS DE METAL 3 TEAMSTERZ PACK DE 2</t>
        </is>
      </c>
      <c r="G1814" t="n">
        <v>1</v>
      </c>
      <c r="H1814" s="7" t="n">
        <v>13.8</v>
      </c>
      <c r="I1814" s="7" t="n">
        <v>0</v>
      </c>
      <c r="J1814" s="7" t="n">
        <v>0</v>
      </c>
      <c r="K1814" s="9" t="n">
        <v>0</v>
      </c>
      <c r="L1814" s="10" t="n">
        <v>8.18</v>
      </c>
      <c r="M1814" s="10" t="n">
        <v>1.43</v>
      </c>
      <c r="N1814" t="inlineStr">
        <is>
          <t>1</t>
        </is>
      </c>
      <c r="O1814" t="inlineStr">
        <is>
          <t>16</t>
        </is>
      </c>
      <c r="P1814" t="inlineStr">
        <is>
          <t xml:space="preserve">242831  </t>
        </is>
      </c>
      <c r="Q1814" s="26" t="n">
        <v>13.8</v>
      </c>
      <c r="R1814" s="26">
        <f>Q1814*G1814</f>
        <v/>
      </c>
      <c r="S1814" t="n">
        <v>8.19</v>
      </c>
      <c r="T1814" s="18">
        <f>1 - V1814/S1814</f>
        <v/>
      </c>
      <c r="U1814" s="18" t="n">
        <v>0</v>
      </c>
      <c r="V1814" s="26" t="n">
        <v>8.19</v>
      </c>
      <c r="W1814" s="26">
        <f>V1814 - L1814</f>
        <v/>
      </c>
    </row>
    <row r="1815">
      <c r="A1815" s="11" t="n">
        <v>46221</v>
      </c>
      <c r="B1815" s="1" t="n">
        <v>20057</v>
      </c>
      <c r="C1815" s="1" t="inlineStr">
        <is>
          <t>861</t>
        </is>
      </c>
      <c r="D1815" s="1" t="inlineStr">
        <is>
          <t xml:space="preserve">897   </t>
        </is>
      </c>
      <c r="E1815" s="1" t="inlineStr">
        <is>
          <t xml:space="preserve">28194769       </t>
        </is>
      </c>
      <c r="F1815" s="5" t="inlineStr">
        <is>
          <t>AUTOS DE METAL 3 TEAMSTERZ PACK DE 2</t>
        </is>
      </c>
      <c r="G1815" t="n">
        <v>1</v>
      </c>
      <c r="H1815" s="7" t="n">
        <v>13.8</v>
      </c>
      <c r="I1815" s="7" t="n">
        <v>1.38</v>
      </c>
      <c r="J1815" s="7" t="n">
        <v>0</v>
      </c>
      <c r="K1815" s="9" t="n">
        <v>1.38</v>
      </c>
      <c r="L1815" s="10" t="n">
        <v>7.37</v>
      </c>
      <c r="M1815" s="10" t="n">
        <v>1.43</v>
      </c>
      <c r="N1815" t="inlineStr">
        <is>
          <t>1</t>
        </is>
      </c>
      <c r="O1815" t="inlineStr">
        <is>
          <t>16</t>
        </is>
      </c>
      <c r="P1815" t="inlineStr">
        <is>
          <t xml:space="preserve">0       </t>
        </is>
      </c>
      <c r="Q1815" s="26" t="n">
        <v>13.8</v>
      </c>
      <c r="R1815" s="26">
        <f>Q1815*G1815</f>
        <v/>
      </c>
      <c r="S1815" t="n">
        <v>8.19</v>
      </c>
      <c r="T1815" s="18">
        <f>1 - V1815/S1815</f>
        <v/>
      </c>
      <c r="U1815" s="18" t="n">
        <v>0</v>
      </c>
      <c r="V1815" s="26" t="n">
        <v>8.19</v>
      </c>
      <c r="W1815" s="26">
        <f>V1815 - L1815</f>
        <v/>
      </c>
    </row>
    <row r="1816">
      <c r="A1816" s="11" t="n">
        <v>46221</v>
      </c>
      <c r="B1816" s="1" t="n">
        <v>20057</v>
      </c>
      <c r="C1816" s="1" t="inlineStr">
        <is>
          <t>861</t>
        </is>
      </c>
      <c r="D1816" s="1" t="inlineStr">
        <is>
          <t xml:space="preserve">903   </t>
        </is>
      </c>
      <c r="E1816" s="1" t="inlineStr">
        <is>
          <t xml:space="preserve">28194769       </t>
        </is>
      </c>
      <c r="F1816" s="5" t="inlineStr">
        <is>
          <t>AUTOS DE METAL 3 TEAMSTERZ PACK DE 2</t>
        </is>
      </c>
      <c r="G1816" t="n">
        <v>1</v>
      </c>
      <c r="H1816" s="7" t="n">
        <v>13.8</v>
      </c>
      <c r="I1816" s="7" t="n">
        <v>0</v>
      </c>
      <c r="J1816" s="7" t="n">
        <v>0</v>
      </c>
      <c r="K1816" s="9" t="n">
        <v>0</v>
      </c>
      <c r="L1816" s="10" t="n">
        <v>8.18</v>
      </c>
      <c r="M1816" s="10" t="n">
        <v>1.43</v>
      </c>
      <c r="N1816" t="inlineStr">
        <is>
          <t>1</t>
        </is>
      </c>
      <c r="O1816" t="inlineStr">
        <is>
          <t>16</t>
        </is>
      </c>
      <c r="P1816" t="inlineStr">
        <is>
          <t xml:space="preserve">0       </t>
        </is>
      </c>
      <c r="Q1816" s="26" t="n">
        <v>13.8</v>
      </c>
      <c r="R1816" s="26">
        <f>Q1816*G1816</f>
        <v/>
      </c>
      <c r="S1816" t="n">
        <v>8.19</v>
      </c>
      <c r="T1816" s="18">
        <f>1 - V1816/S1816</f>
        <v/>
      </c>
      <c r="U1816" s="18" t="n">
        <v>0</v>
      </c>
      <c r="V1816" s="26" t="n">
        <v>8.19</v>
      </c>
      <c r="W1816" s="26">
        <f>V1816 - L1816</f>
        <v/>
      </c>
    </row>
    <row r="1817">
      <c r="A1817" s="11" t="n">
        <v>46221</v>
      </c>
      <c r="B1817" s="1" t="n">
        <v>20057</v>
      </c>
      <c r="C1817" s="1" t="inlineStr">
        <is>
          <t>862</t>
        </is>
      </c>
      <c r="D1817" s="1" t="inlineStr">
        <is>
          <t xml:space="preserve">8048  </t>
        </is>
      </c>
      <c r="E1817" s="1" t="inlineStr">
        <is>
          <t xml:space="preserve">28194770       </t>
        </is>
      </c>
      <c r="F1817" s="5" t="inlineStr">
        <is>
          <t>AUTOS DE METAL 3 TEAMSTERZ EN BLISTER</t>
        </is>
      </c>
      <c r="G1817" t="n">
        <v>1</v>
      </c>
      <c r="H1817" s="7" t="n">
        <v>6.9</v>
      </c>
      <c r="I1817" s="7" t="n">
        <v>0</v>
      </c>
      <c r="J1817" s="7" t="n">
        <v>0</v>
      </c>
      <c r="K1817" s="9" t="n">
        <v>0</v>
      </c>
      <c r="L1817" s="10" t="n">
        <v>4.1</v>
      </c>
      <c r="M1817" s="10" t="n">
        <v>1.43</v>
      </c>
      <c r="N1817" t="inlineStr">
        <is>
          <t>1</t>
        </is>
      </c>
      <c r="O1817" t="inlineStr">
        <is>
          <t>16</t>
        </is>
      </c>
      <c r="P1817" t="inlineStr">
        <is>
          <t xml:space="preserve">0       </t>
        </is>
      </c>
      <c r="Q1817" s="26" t="n">
        <v>6.9</v>
      </c>
      <c r="R1817" s="26">
        <f>Q1817*G1817</f>
        <v/>
      </c>
      <c r="S1817" t="n">
        <v>4.09</v>
      </c>
      <c r="T1817" s="18">
        <f>1 - V1817/S1817</f>
        <v/>
      </c>
      <c r="U1817" s="18" t="n">
        <v>0</v>
      </c>
      <c r="V1817" s="26" t="n">
        <v>4.09</v>
      </c>
      <c r="W1817" s="26">
        <f>V1817 - L1817</f>
        <v/>
      </c>
    </row>
    <row r="1818">
      <c r="A1818" s="11" t="n">
        <v>46221</v>
      </c>
      <c r="B1818" s="1" t="n">
        <v>20058</v>
      </c>
      <c r="C1818" s="1" t="inlineStr">
        <is>
          <t>013</t>
        </is>
      </c>
      <c r="D1818" s="1" t="inlineStr">
        <is>
          <t>230140</t>
        </is>
      </c>
      <c r="E1818" s="1" t="inlineStr">
        <is>
          <t xml:space="preserve">28194769       </t>
        </is>
      </c>
      <c r="F1818" s="5" t="inlineStr">
        <is>
          <t>AUTOS DE METAL 3 TEAMSTERZ PACK DE 2</t>
        </is>
      </c>
      <c r="G1818" t="n">
        <v>1</v>
      </c>
      <c r="H1818" s="7" t="n">
        <v>13.8</v>
      </c>
      <c r="I1818" s="7" t="n">
        <v>0</v>
      </c>
      <c r="J1818" s="7" t="n">
        <v>0</v>
      </c>
      <c r="K1818" s="9" t="n">
        <v>0</v>
      </c>
      <c r="L1818" s="10" t="n">
        <v>8.18</v>
      </c>
      <c r="M1818" s="10" t="n">
        <v>1.43</v>
      </c>
      <c r="N1818" t="inlineStr">
        <is>
          <t>1</t>
        </is>
      </c>
      <c r="O1818" t="inlineStr">
        <is>
          <t xml:space="preserve">2 </t>
        </is>
      </c>
      <c r="P1818" t="inlineStr">
        <is>
          <t xml:space="preserve">249068  </t>
        </is>
      </c>
      <c r="Q1818" s="26" t="n">
        <v>13.8</v>
      </c>
      <c r="R1818" s="26">
        <f>Q1818*G1818</f>
        <v/>
      </c>
      <c r="S1818" t="n">
        <v>8.19</v>
      </c>
      <c r="T1818" s="18">
        <f>1 - V1818/S1818</f>
        <v/>
      </c>
      <c r="U1818" s="18" t="n">
        <v>0</v>
      </c>
      <c r="V1818" s="26" t="n">
        <v>8.19</v>
      </c>
      <c r="W1818" s="26">
        <f>V1818 - L1818</f>
        <v/>
      </c>
    </row>
    <row r="1819">
      <c r="A1819" s="11" t="n">
        <v>46221</v>
      </c>
      <c r="B1819" s="1" t="n">
        <v>20058</v>
      </c>
      <c r="C1819" s="1" t="inlineStr">
        <is>
          <t>038</t>
        </is>
      </c>
      <c r="D1819" s="1" t="inlineStr">
        <is>
          <t>209803</t>
        </is>
      </c>
      <c r="E1819" s="1" t="inlineStr">
        <is>
          <t xml:space="preserve">28194770       </t>
        </is>
      </c>
      <c r="F1819" s="5" t="inlineStr">
        <is>
          <t>AUTOS DE METAL 3 TEAMSTERZ EN BLISTER</t>
        </is>
      </c>
      <c r="G1819" t="n">
        <v>1</v>
      </c>
      <c r="H1819" s="7" t="n">
        <v>6.9</v>
      </c>
      <c r="I1819" s="7" t="n">
        <v>0</v>
      </c>
      <c r="J1819" s="7" t="n">
        <v>0</v>
      </c>
      <c r="K1819" s="9" t="n">
        <v>0</v>
      </c>
      <c r="L1819" s="10" t="n">
        <v>4.1</v>
      </c>
      <c r="M1819" s="10" t="n">
        <v>1.43</v>
      </c>
      <c r="N1819" t="inlineStr">
        <is>
          <t>1</t>
        </is>
      </c>
      <c r="O1819" t="inlineStr">
        <is>
          <t>16</t>
        </is>
      </c>
      <c r="P1819" t="inlineStr">
        <is>
          <t xml:space="preserve">61785   </t>
        </is>
      </c>
      <c r="Q1819" s="26" t="n">
        <v>6.9</v>
      </c>
      <c r="R1819" s="26">
        <f>Q1819*G1819</f>
        <v/>
      </c>
      <c r="S1819" t="n">
        <v>4.09</v>
      </c>
      <c r="T1819" s="18">
        <f>1 - V1819/S1819</f>
        <v/>
      </c>
      <c r="U1819" s="18" t="n">
        <v>0</v>
      </c>
      <c r="V1819" s="26" t="n">
        <v>4.09</v>
      </c>
      <c r="W1819" s="26">
        <f>V1819 - L1819</f>
        <v/>
      </c>
    </row>
    <row r="1820">
      <c r="A1820" s="11" t="n">
        <v>46221</v>
      </c>
      <c r="B1820" s="1" t="n">
        <v>20058</v>
      </c>
      <c r="C1820" s="1" t="inlineStr">
        <is>
          <t>038</t>
        </is>
      </c>
      <c r="D1820" s="1" t="inlineStr">
        <is>
          <t>209803</t>
        </is>
      </c>
      <c r="E1820" s="1" t="inlineStr">
        <is>
          <t xml:space="preserve">28194770       </t>
        </is>
      </c>
      <c r="F1820" s="5" t="inlineStr">
        <is>
          <t>AUTOS DE METAL 3 TEAMSTERZ EN BLISTER</t>
        </is>
      </c>
      <c r="G1820" t="n">
        <v>1</v>
      </c>
      <c r="H1820" s="7" t="n">
        <v>6.9</v>
      </c>
      <c r="I1820" s="7" t="n">
        <v>0</v>
      </c>
      <c r="J1820" s="7" t="n">
        <v>0</v>
      </c>
      <c r="K1820" s="9" t="n">
        <v>0</v>
      </c>
      <c r="L1820" s="10" t="n">
        <v>4.1</v>
      </c>
      <c r="M1820" s="10" t="n">
        <v>1.43</v>
      </c>
      <c r="N1820" t="inlineStr">
        <is>
          <t>1</t>
        </is>
      </c>
      <c r="O1820" t="inlineStr">
        <is>
          <t>16</t>
        </is>
      </c>
      <c r="P1820" t="inlineStr">
        <is>
          <t xml:space="preserve">61785   </t>
        </is>
      </c>
      <c r="Q1820" s="26" t="n">
        <v>6.9</v>
      </c>
      <c r="R1820" s="26">
        <f>Q1820*G1820</f>
        <v/>
      </c>
      <c r="S1820" t="n">
        <v>4.09</v>
      </c>
      <c r="T1820" s="18">
        <f>1 - V1820/S1820</f>
        <v/>
      </c>
      <c r="U1820" s="18" t="n">
        <v>0</v>
      </c>
      <c r="V1820" s="26" t="n">
        <v>4.09</v>
      </c>
      <c r="W1820" s="26">
        <f>V1820 - L1820</f>
        <v/>
      </c>
    </row>
    <row r="1821">
      <c r="A1821" s="11" t="n">
        <v>46221</v>
      </c>
      <c r="B1821" s="1" t="n">
        <v>20058</v>
      </c>
      <c r="C1821" s="1" t="inlineStr">
        <is>
          <t>039</t>
        </is>
      </c>
      <c r="D1821" s="1" t="inlineStr">
        <is>
          <t>230965</t>
        </is>
      </c>
      <c r="E1821" s="1" t="inlineStr">
        <is>
          <t xml:space="preserve">28194770       </t>
        </is>
      </c>
      <c r="F1821" s="5" t="inlineStr">
        <is>
          <t>AUTOS DE METAL 3 TEAMSTERZ EN BLISTER</t>
        </is>
      </c>
      <c r="G1821" t="n">
        <v>1</v>
      </c>
      <c r="H1821" s="7" t="n">
        <v>6.9</v>
      </c>
      <c r="I1821" s="7" t="n">
        <v>0</v>
      </c>
      <c r="J1821" s="7" t="n">
        <v>0</v>
      </c>
      <c r="K1821" s="9" t="n">
        <v>0</v>
      </c>
      <c r="L1821" s="10" t="n">
        <v>4.1</v>
      </c>
      <c r="M1821" s="10" t="n">
        <v>1.43</v>
      </c>
      <c r="N1821" t="inlineStr">
        <is>
          <t>1</t>
        </is>
      </c>
      <c r="O1821" t="inlineStr">
        <is>
          <t>16</t>
        </is>
      </c>
      <c r="P1821" t="inlineStr">
        <is>
          <t xml:space="preserve">250260  </t>
        </is>
      </c>
      <c r="Q1821" s="26" t="n">
        <v>6.9</v>
      </c>
      <c r="R1821" s="26">
        <f>Q1821*G1821</f>
        <v/>
      </c>
      <c r="S1821" t="n">
        <v>4.09</v>
      </c>
      <c r="T1821" s="18">
        <f>1 - V1821/S1821</f>
        <v/>
      </c>
      <c r="U1821" s="18" t="n">
        <v>0</v>
      </c>
      <c r="V1821" s="26" t="n">
        <v>4.09</v>
      </c>
      <c r="W1821" s="26">
        <f>V1821 - L1821</f>
        <v/>
      </c>
    </row>
    <row r="1822">
      <c r="A1822" s="11" t="n">
        <v>46221</v>
      </c>
      <c r="B1822" s="1" t="n">
        <v>20062</v>
      </c>
      <c r="C1822" s="1" t="inlineStr">
        <is>
          <t>017</t>
        </is>
      </c>
      <c r="D1822" s="1" t="inlineStr">
        <is>
          <t>235893</t>
        </is>
      </c>
      <c r="E1822" s="1" t="inlineStr">
        <is>
          <t xml:space="preserve">29854051       </t>
        </is>
      </c>
      <c r="F1822" s="5" t="inlineStr">
        <is>
          <t>TEAMSTERZ AUTO DE METAL PACK 10 AUTOS</t>
        </is>
      </c>
      <c r="G1822" t="n">
        <v>1</v>
      </c>
      <c r="H1822" s="7" t="n">
        <v>69</v>
      </c>
      <c r="I1822" s="7" t="n">
        <v>0</v>
      </c>
      <c r="J1822" s="7" t="n">
        <v>0</v>
      </c>
      <c r="K1822" s="9" t="n">
        <v>0</v>
      </c>
      <c r="L1822" s="10" t="n">
        <v>40.93</v>
      </c>
      <c r="M1822" s="10" t="n">
        <v>1.43</v>
      </c>
      <c r="N1822" t="inlineStr">
        <is>
          <t>1</t>
        </is>
      </c>
      <c r="O1822" t="inlineStr">
        <is>
          <t>16</t>
        </is>
      </c>
      <c r="P1822" t="inlineStr">
        <is>
          <t xml:space="preserve">237521  </t>
        </is>
      </c>
      <c r="Q1822" s="26" t="n">
        <v>69</v>
      </c>
      <c r="R1822" s="26">
        <f>Q1822*G1822</f>
        <v/>
      </c>
      <c r="S1822" t="n">
        <v>40.93</v>
      </c>
      <c r="T1822" s="18">
        <f>1 - V1822/S1822</f>
        <v/>
      </c>
      <c r="U1822" s="18" t="n">
        <v>0</v>
      </c>
      <c r="V1822" s="26" t="n">
        <v>40.93</v>
      </c>
      <c r="W1822" s="26">
        <f>V1822 - L1822</f>
        <v/>
      </c>
    </row>
    <row r="1823">
      <c r="A1823" s="11" t="n">
        <v>46221</v>
      </c>
      <c r="B1823" s="1" t="n">
        <v>20062</v>
      </c>
      <c r="C1823" s="1" t="inlineStr">
        <is>
          <t>506</t>
        </is>
      </c>
      <c r="D1823" s="1" t="inlineStr">
        <is>
          <t xml:space="preserve">1512  </t>
        </is>
      </c>
      <c r="E1823" s="1" t="inlineStr">
        <is>
          <t xml:space="preserve">32457102       </t>
        </is>
      </c>
      <c r="F1823" s="5" t="inlineStr">
        <is>
          <t>TMZ CAMBIA DE COLOR LANZADOR DINO SPLASH + 1 AUTO</t>
        </is>
      </c>
      <c r="G1823" t="n">
        <v>1</v>
      </c>
      <c r="H1823" s="7" t="n">
        <v>39.9</v>
      </c>
      <c r="I1823" s="7" t="n">
        <v>0</v>
      </c>
      <c r="J1823" s="7" t="n">
        <v>0</v>
      </c>
      <c r="K1823" s="9" t="n">
        <v>0</v>
      </c>
      <c r="L1823" s="10" t="n">
        <v>23.67</v>
      </c>
      <c r="M1823" s="10" t="n">
        <v>1.43</v>
      </c>
      <c r="N1823" t="inlineStr">
        <is>
          <t>1</t>
        </is>
      </c>
      <c r="O1823" t="inlineStr">
        <is>
          <t>16</t>
        </is>
      </c>
      <c r="P1823" t="inlineStr">
        <is>
          <t xml:space="preserve">249328  </t>
        </is>
      </c>
      <c r="Q1823" s="26" t="n">
        <v>39.9</v>
      </c>
      <c r="R1823" s="26">
        <f>Q1823*G1823</f>
        <v/>
      </c>
      <c r="S1823" t="n">
        <v>23.67</v>
      </c>
      <c r="T1823" s="18">
        <f>1 - V1823/S1823</f>
        <v/>
      </c>
      <c r="U1823" s="18" t="n">
        <v>0</v>
      </c>
      <c r="V1823" s="26" t="n">
        <v>23.67</v>
      </c>
      <c r="W1823" s="26">
        <f>V1823 - L1823</f>
        <v/>
      </c>
    </row>
    <row r="1824">
      <c r="A1824" s="11" t="n">
        <v>46221</v>
      </c>
      <c r="B1824" s="1" t="n">
        <v>20066</v>
      </c>
      <c r="C1824" s="1" t="inlineStr">
        <is>
          <t>833</t>
        </is>
      </c>
      <c r="D1824" s="1" t="inlineStr">
        <is>
          <t xml:space="preserve">3768  </t>
        </is>
      </c>
      <c r="E1824" s="1" t="inlineStr">
        <is>
          <t xml:space="preserve">28194770       </t>
        </is>
      </c>
      <c r="F1824" s="5" t="inlineStr">
        <is>
          <t>AUTOS DE METAL 3 TEAMSTERZ EN BLISTER</t>
        </is>
      </c>
      <c r="G1824" t="n">
        <v>1</v>
      </c>
      <c r="H1824" s="7" t="n">
        <v>6.9</v>
      </c>
      <c r="I1824" s="7" t="n">
        <v>0</v>
      </c>
      <c r="J1824" s="7" t="n">
        <v>0</v>
      </c>
      <c r="K1824" s="9" t="n">
        <v>0</v>
      </c>
      <c r="L1824" s="10" t="n">
        <v>4.1</v>
      </c>
      <c r="M1824" s="10" t="n">
        <v>1.43</v>
      </c>
      <c r="N1824" t="inlineStr">
        <is>
          <t>1</t>
        </is>
      </c>
      <c r="O1824" t="inlineStr">
        <is>
          <t>16</t>
        </is>
      </c>
      <c r="P1824" t="inlineStr">
        <is>
          <t xml:space="preserve">0       </t>
        </is>
      </c>
      <c r="Q1824" s="26" t="n">
        <v>6.9</v>
      </c>
      <c r="R1824" s="26">
        <f>Q1824*G1824</f>
        <v/>
      </c>
      <c r="S1824" t="n">
        <v>4.09</v>
      </c>
      <c r="T1824" s="18">
        <f>1 - V1824/S1824</f>
        <v/>
      </c>
      <c r="U1824" s="18" t="n">
        <v>0</v>
      </c>
      <c r="V1824" s="26" t="n">
        <v>4.09</v>
      </c>
      <c r="W1824" s="26">
        <f>V1824 - L1824</f>
        <v/>
      </c>
    </row>
    <row r="1825">
      <c r="A1825" s="11" t="n">
        <v>46221</v>
      </c>
      <c r="B1825" s="1" t="n">
        <v>20069</v>
      </c>
      <c r="C1825" s="1" t="inlineStr">
        <is>
          <t>024</t>
        </is>
      </c>
      <c r="D1825" s="1" t="inlineStr">
        <is>
          <t>104874</t>
        </is>
      </c>
      <c r="E1825" s="1" t="inlineStr">
        <is>
          <t xml:space="preserve">28194770       </t>
        </is>
      </c>
      <c r="F1825" s="5" t="inlineStr">
        <is>
          <t>AUTOS DE METAL 3 TEAMSTERZ EN BLISTER</t>
        </is>
      </c>
      <c r="G1825" t="n">
        <v>1</v>
      </c>
      <c r="H1825" s="7" t="n">
        <v>6.9</v>
      </c>
      <c r="I1825" s="7" t="n">
        <v>0</v>
      </c>
      <c r="J1825" s="7" t="n">
        <v>0</v>
      </c>
      <c r="K1825" s="9" t="n">
        <v>0</v>
      </c>
      <c r="L1825" s="10" t="n">
        <v>4.1</v>
      </c>
      <c r="M1825" s="10" t="n">
        <v>1.43</v>
      </c>
      <c r="N1825" t="inlineStr">
        <is>
          <t>1</t>
        </is>
      </c>
      <c r="O1825" t="inlineStr">
        <is>
          <t xml:space="preserve">2 </t>
        </is>
      </c>
      <c r="P1825" t="inlineStr">
        <is>
          <t xml:space="preserve">249980  </t>
        </is>
      </c>
      <c r="Q1825" s="26" t="n">
        <v>6.9</v>
      </c>
      <c r="R1825" s="26">
        <f>Q1825*G1825</f>
        <v/>
      </c>
      <c r="S1825" t="n">
        <v>4.09</v>
      </c>
      <c r="T1825" s="18">
        <f>1 - V1825/S1825</f>
        <v/>
      </c>
      <c r="U1825" s="18" t="n">
        <v>0</v>
      </c>
      <c r="V1825" s="26" t="n">
        <v>4.09</v>
      </c>
      <c r="W1825" s="26">
        <f>V1825 - L1825</f>
        <v/>
      </c>
    </row>
    <row r="1826">
      <c r="A1826" s="11" t="n">
        <v>46221</v>
      </c>
      <c r="B1826" s="1" t="n">
        <v>20073</v>
      </c>
      <c r="C1826" s="1" t="inlineStr">
        <is>
          <t>016</t>
        </is>
      </c>
      <c r="D1826" s="1" t="inlineStr">
        <is>
          <t xml:space="preserve">14645 </t>
        </is>
      </c>
      <c r="E1826" s="1" t="inlineStr">
        <is>
          <t xml:space="preserve">30141766       </t>
        </is>
      </c>
      <c r="F1826" s="5" t="inlineStr">
        <is>
          <t>TMZ BEAST MACHINES AUTOS DE METAL BLISTER X 1</t>
        </is>
      </c>
      <c r="G1826" t="n">
        <v>1</v>
      </c>
      <c r="H1826" s="7" t="n">
        <v>7.9</v>
      </c>
      <c r="I1826" s="7" t="n">
        <v>0</v>
      </c>
      <c r="J1826" s="7" t="n">
        <v>0</v>
      </c>
      <c r="K1826" s="9" t="n">
        <v>0</v>
      </c>
      <c r="L1826" s="10" t="n">
        <v>4.68</v>
      </c>
      <c r="M1826" s="10" t="n">
        <v>1.43</v>
      </c>
      <c r="N1826" t="inlineStr">
        <is>
          <t>1</t>
        </is>
      </c>
      <c r="O1826" t="inlineStr">
        <is>
          <t xml:space="preserve">2 </t>
        </is>
      </c>
      <c r="P1826" t="inlineStr">
        <is>
          <t xml:space="preserve">101947  </t>
        </is>
      </c>
      <c r="Q1826" s="26" t="n">
        <v>7.9</v>
      </c>
      <c r="R1826" s="26">
        <f>Q1826*G1826</f>
        <v/>
      </c>
      <c r="S1826" t="n">
        <v>4.69</v>
      </c>
      <c r="T1826" s="18">
        <f>1 - V1826/S1826</f>
        <v/>
      </c>
      <c r="U1826" s="18" t="n">
        <v>0</v>
      </c>
      <c r="V1826" s="26" t="n">
        <v>4.69</v>
      </c>
      <c r="W1826" s="26">
        <f>V1826 - L1826</f>
        <v/>
      </c>
    </row>
    <row r="1827">
      <c r="A1827" s="11" t="n">
        <v>46221</v>
      </c>
      <c r="B1827" s="1" t="n">
        <v>20073</v>
      </c>
      <c r="C1827" s="1" t="inlineStr">
        <is>
          <t>016</t>
        </is>
      </c>
      <c r="D1827" s="1" t="inlineStr">
        <is>
          <t xml:space="preserve">14652 </t>
        </is>
      </c>
      <c r="E1827" s="1" t="inlineStr">
        <is>
          <t xml:space="preserve">31675354       </t>
        </is>
      </c>
      <c r="F1827" s="5" t="inlineStr">
        <is>
          <t>NENUCO LLORON CON ACCESORIOS</t>
        </is>
      </c>
      <c r="G1827" t="n">
        <v>1</v>
      </c>
      <c r="H1827" s="7" t="n">
        <v>69.90000000000001</v>
      </c>
      <c r="I1827" s="7" t="n">
        <v>6.99</v>
      </c>
      <c r="J1827" s="7" t="n">
        <v>0</v>
      </c>
      <c r="K1827" s="9" t="n">
        <v>6.99</v>
      </c>
      <c r="L1827" s="10" t="n">
        <v>37.32</v>
      </c>
      <c r="M1827" s="10" t="n">
        <v>1.43</v>
      </c>
      <c r="N1827" t="inlineStr">
        <is>
          <t>1</t>
        </is>
      </c>
      <c r="O1827" t="inlineStr">
        <is>
          <t xml:space="preserve">3 </t>
        </is>
      </c>
      <c r="P1827" t="inlineStr">
        <is>
          <t xml:space="preserve">101947  </t>
        </is>
      </c>
      <c r="Q1827" s="26" t="n">
        <v>89.90000000000001</v>
      </c>
      <c r="R1827" s="26">
        <f>Q1827*G1827</f>
        <v/>
      </c>
      <c r="S1827" t="n">
        <v>53.33</v>
      </c>
      <c r="T1827" s="18">
        <f>1 - V1827/S1827</f>
        <v/>
      </c>
      <c r="U1827" s="18" t="n">
        <v>0.2224694104560623</v>
      </c>
      <c r="V1827" s="26" t="n">
        <v>44.42796610169492</v>
      </c>
      <c r="W1827" s="26">
        <f>V1827 - L1827</f>
        <v/>
      </c>
    </row>
    <row r="1828">
      <c r="A1828" s="11" t="n">
        <v>46221</v>
      </c>
      <c r="B1828" s="1" t="n">
        <v>20073</v>
      </c>
      <c r="C1828" s="1" t="inlineStr">
        <is>
          <t>023</t>
        </is>
      </c>
      <c r="D1828" s="1" t="inlineStr">
        <is>
          <t xml:space="preserve">96411 </t>
        </is>
      </c>
      <c r="E1828" s="1" t="inlineStr">
        <is>
          <t xml:space="preserve">31959959       </t>
        </is>
      </c>
      <c r="F1828" s="5" t="inlineStr">
        <is>
          <t>TMZ CAMBIA DE COLOR LANZADOR SPIN SPLASH + 1 AUTO</t>
        </is>
      </c>
      <c r="G1828" t="n">
        <v>1</v>
      </c>
      <c r="H1828" s="7" t="n">
        <v>14.9</v>
      </c>
      <c r="I1828" s="7" t="n">
        <v>0</v>
      </c>
      <c r="J1828" s="7" t="n">
        <v>0</v>
      </c>
      <c r="K1828" s="9" t="n">
        <v>0</v>
      </c>
      <c r="L1828" s="10" t="n">
        <v>8.84</v>
      </c>
      <c r="M1828" s="10" t="n">
        <v>1.43</v>
      </c>
      <c r="N1828" t="inlineStr">
        <is>
          <t>1</t>
        </is>
      </c>
      <c r="O1828" t="inlineStr">
        <is>
          <t xml:space="preserve">2 </t>
        </is>
      </c>
      <c r="P1828" t="inlineStr">
        <is>
          <t xml:space="preserve">64168   </t>
        </is>
      </c>
      <c r="Q1828" s="26" t="n">
        <v>39.9</v>
      </c>
      <c r="R1828" s="26">
        <f>Q1828*G1828</f>
        <v/>
      </c>
      <c r="S1828" t="n">
        <v>23.67</v>
      </c>
      <c r="T1828" s="18">
        <f>1 - V1828/S1828</f>
        <v/>
      </c>
      <c r="U1828" s="18" t="n">
        <v>0.6265664160401002</v>
      </c>
      <c r="V1828" s="26" t="n">
        <v>10.73050847457628</v>
      </c>
      <c r="W1828" s="26">
        <f>V1828 - L1828</f>
        <v/>
      </c>
    </row>
    <row r="1829">
      <c r="A1829" s="11" t="n">
        <v>46221</v>
      </c>
      <c r="B1829" s="1" t="n">
        <v>20073</v>
      </c>
      <c r="C1829" s="1" t="inlineStr">
        <is>
          <t>033</t>
        </is>
      </c>
      <c r="D1829" s="1" t="inlineStr">
        <is>
          <t>314031</t>
        </is>
      </c>
      <c r="E1829" s="1" t="inlineStr">
        <is>
          <t xml:space="preserve">28194770       </t>
        </is>
      </c>
      <c r="F1829" s="5" t="inlineStr">
        <is>
          <t>AUTOS DE METAL 3 TEAMSTERZ EN BLISTER</t>
        </is>
      </c>
      <c r="G1829" t="n">
        <v>1</v>
      </c>
      <c r="H1829" s="7" t="n">
        <v>6.9</v>
      </c>
      <c r="I1829" s="7" t="n">
        <v>0</v>
      </c>
      <c r="J1829" s="7" t="n">
        <v>0</v>
      </c>
      <c r="K1829" s="9" t="n">
        <v>0</v>
      </c>
      <c r="L1829" s="10" t="n">
        <v>4.1</v>
      </c>
      <c r="M1829" s="10" t="n">
        <v>1.43</v>
      </c>
      <c r="N1829" t="inlineStr">
        <is>
          <t>1</t>
        </is>
      </c>
      <c r="O1829" t="inlineStr">
        <is>
          <t>16</t>
        </is>
      </c>
      <c r="P1829" t="inlineStr">
        <is>
          <t xml:space="preserve">250462  </t>
        </is>
      </c>
      <c r="Q1829" s="26" t="n">
        <v>6.9</v>
      </c>
      <c r="R1829" s="26">
        <f>Q1829*G1829</f>
        <v/>
      </c>
      <c r="S1829" t="n">
        <v>4.09</v>
      </c>
      <c r="T1829" s="18">
        <f>1 - V1829/S1829</f>
        <v/>
      </c>
      <c r="U1829" s="18" t="n">
        <v>0</v>
      </c>
      <c r="V1829" s="26" t="n">
        <v>4.09</v>
      </c>
      <c r="W1829" s="26">
        <f>V1829 - L1829</f>
        <v/>
      </c>
    </row>
    <row r="1830">
      <c r="A1830" s="11" t="n">
        <v>46221</v>
      </c>
      <c r="B1830" s="1" t="n">
        <v>20073</v>
      </c>
      <c r="C1830" s="1" t="inlineStr">
        <is>
          <t>037</t>
        </is>
      </c>
      <c r="D1830" s="1" t="inlineStr">
        <is>
          <t>295743</t>
        </is>
      </c>
      <c r="E1830" s="1" t="inlineStr">
        <is>
          <t xml:space="preserve">28194770       </t>
        </is>
      </c>
      <c r="F1830" s="5" t="inlineStr">
        <is>
          <t>AUTOS DE METAL 3 TEAMSTERZ EN BLISTER</t>
        </is>
      </c>
      <c r="G1830" t="n">
        <v>1</v>
      </c>
      <c r="H1830" s="7" t="n">
        <v>6.9</v>
      </c>
      <c r="I1830" s="7" t="n">
        <v>0</v>
      </c>
      <c r="J1830" s="7" t="n">
        <v>0</v>
      </c>
      <c r="K1830" s="9" t="n">
        <v>0</v>
      </c>
      <c r="L1830" s="10" t="n">
        <v>4.1</v>
      </c>
      <c r="M1830" s="10" t="n">
        <v>1.43</v>
      </c>
      <c r="N1830" t="inlineStr">
        <is>
          <t>1</t>
        </is>
      </c>
      <c r="O1830" t="inlineStr">
        <is>
          <t>16</t>
        </is>
      </c>
      <c r="P1830" t="inlineStr">
        <is>
          <t xml:space="preserve">14759   </t>
        </is>
      </c>
      <c r="Q1830" s="26" t="n">
        <v>6.9</v>
      </c>
      <c r="R1830" s="26">
        <f>Q1830*G1830</f>
        <v/>
      </c>
      <c r="S1830" t="n">
        <v>4.09</v>
      </c>
      <c r="T1830" s="18">
        <f>1 - V1830/S1830</f>
        <v/>
      </c>
      <c r="U1830" s="18" t="n">
        <v>0</v>
      </c>
      <c r="V1830" s="26" t="n">
        <v>4.09</v>
      </c>
      <c r="W1830" s="26">
        <f>V1830 - L1830</f>
        <v/>
      </c>
    </row>
    <row r="1831">
      <c r="A1831" s="11" t="n">
        <v>46221</v>
      </c>
      <c r="B1831" s="1" t="n">
        <v>20074</v>
      </c>
      <c r="C1831" s="1" t="inlineStr">
        <is>
          <t>024</t>
        </is>
      </c>
      <c r="D1831" s="1" t="inlineStr">
        <is>
          <t>365034</t>
        </is>
      </c>
      <c r="E1831" s="1" t="inlineStr">
        <is>
          <t xml:space="preserve">31754676       </t>
        </is>
      </c>
      <c r="F1831" s="5" t="inlineStr">
        <is>
          <t>INFINITY NADO SERIE 6 STD PACK LANZ ESPAD ANILLO M</t>
        </is>
      </c>
      <c r="G1831" t="n">
        <v>1</v>
      </c>
      <c r="H1831" s="7" t="n">
        <v>59.9</v>
      </c>
      <c r="I1831" s="7" t="n">
        <v>5.99</v>
      </c>
      <c r="J1831" s="7" t="n">
        <v>0</v>
      </c>
      <c r="K1831" s="9" t="n">
        <v>5.99</v>
      </c>
      <c r="L1831" s="10" t="n">
        <v>31.98</v>
      </c>
      <c r="M1831" s="10" t="n">
        <v>1.43</v>
      </c>
      <c r="N1831" t="inlineStr">
        <is>
          <t>1</t>
        </is>
      </c>
      <c r="O1831" t="inlineStr">
        <is>
          <t xml:space="preserve">3 </t>
        </is>
      </c>
      <c r="P1831" t="inlineStr">
        <is>
          <t xml:space="preserve">201480  </t>
        </is>
      </c>
      <c r="Q1831" s="26" t="n">
        <v>79.90000000000001</v>
      </c>
      <c r="R1831" s="26">
        <f>Q1831*G1831</f>
        <v/>
      </c>
      <c r="S1831" t="n">
        <v>47.4</v>
      </c>
      <c r="T1831" s="18">
        <f>1 - V1831/S1831</f>
        <v/>
      </c>
      <c r="U1831" s="18" t="n">
        <v>0.2503128911138924</v>
      </c>
      <c r="V1831" s="26" t="n">
        <v>38.07203389830509</v>
      </c>
      <c r="W1831" s="26">
        <f>V1831 - L1831</f>
        <v/>
      </c>
    </row>
    <row r="1832">
      <c r="A1832" s="11" t="n">
        <v>46221</v>
      </c>
      <c r="B1832" s="1" t="n">
        <v>20074</v>
      </c>
      <c r="C1832" s="1" t="inlineStr">
        <is>
          <t>039</t>
        </is>
      </c>
      <c r="D1832" s="1" t="inlineStr">
        <is>
          <t xml:space="preserve">30861 </t>
        </is>
      </c>
      <c r="E1832" s="1" t="inlineStr">
        <is>
          <t xml:space="preserve">30232284       </t>
        </is>
      </c>
      <c r="F1832" s="5" t="inlineStr">
        <is>
          <t>INFINITY NADO TROMPO DE BATALLA - METAL C/PUNTA DE</t>
        </is>
      </c>
      <c r="G1832" t="n">
        <v>1</v>
      </c>
      <c r="H1832" s="7" t="n">
        <v>34.9</v>
      </c>
      <c r="I1832" s="7" t="n">
        <v>0</v>
      </c>
      <c r="J1832" s="7" t="n">
        <v>0</v>
      </c>
      <c r="K1832" s="9" t="n">
        <v>0</v>
      </c>
      <c r="L1832" s="10" t="n">
        <v>20.71</v>
      </c>
      <c r="M1832" s="10" t="n">
        <v>1.43</v>
      </c>
      <c r="N1832" t="inlineStr">
        <is>
          <t>1</t>
        </is>
      </c>
      <c r="O1832" t="inlineStr">
        <is>
          <t>16</t>
        </is>
      </c>
      <c r="P1832" t="inlineStr">
        <is>
          <t xml:space="preserve">233574  </t>
        </is>
      </c>
      <c r="Q1832" s="26" t="n">
        <v>49.9</v>
      </c>
      <c r="R1832" s="26">
        <f>Q1832*G1832</f>
        <v/>
      </c>
      <c r="S1832" t="n">
        <v>29.6</v>
      </c>
      <c r="T1832" s="18">
        <f>1 - V1832/S1832</f>
        <v/>
      </c>
      <c r="U1832" s="18" t="n">
        <v>0.3006012024048096</v>
      </c>
      <c r="V1832" s="26" t="n">
        <v>22.18220338983051</v>
      </c>
      <c r="W1832" s="26">
        <f>V1832 - L1832</f>
        <v/>
      </c>
    </row>
    <row r="1833">
      <c r="A1833" s="11" t="n">
        <v>46221</v>
      </c>
      <c r="B1833" s="1" t="n">
        <v>20077</v>
      </c>
      <c r="C1833" s="1" t="inlineStr">
        <is>
          <t>016</t>
        </is>
      </c>
      <c r="D1833" s="1" t="inlineStr">
        <is>
          <t>122474</t>
        </is>
      </c>
      <c r="E1833" s="1" t="inlineStr">
        <is>
          <t xml:space="preserve">28194770       </t>
        </is>
      </c>
      <c r="F1833" s="5" t="inlineStr">
        <is>
          <t>AUTOS DE METAL 3 TEAMSTERZ EN BLISTER</t>
        </is>
      </c>
      <c r="G1833" t="n">
        <v>1</v>
      </c>
      <c r="H1833" s="7" t="n">
        <v>6.9</v>
      </c>
      <c r="I1833" s="7" t="n">
        <v>0</v>
      </c>
      <c r="J1833" s="7" t="n">
        <v>0</v>
      </c>
      <c r="K1833" s="9" t="n">
        <v>0</v>
      </c>
      <c r="L1833" s="10" t="n">
        <v>4.1</v>
      </c>
      <c r="M1833" s="10" t="n">
        <v>1.43</v>
      </c>
      <c r="N1833" t="inlineStr">
        <is>
          <t>1</t>
        </is>
      </c>
      <c r="O1833" t="inlineStr">
        <is>
          <t>16</t>
        </is>
      </c>
      <c r="P1833" t="inlineStr">
        <is>
          <t xml:space="preserve">61615   </t>
        </is>
      </c>
      <c r="Q1833" s="26" t="n">
        <v>6.9</v>
      </c>
      <c r="R1833" s="26">
        <f>Q1833*G1833</f>
        <v/>
      </c>
      <c r="S1833" t="n">
        <v>4.09</v>
      </c>
      <c r="T1833" s="18">
        <f>1 - V1833/S1833</f>
        <v/>
      </c>
      <c r="U1833" s="18" t="n">
        <v>0</v>
      </c>
      <c r="V1833" s="26" t="n">
        <v>4.09</v>
      </c>
      <c r="W1833" s="26">
        <f>V1833 - L1833</f>
        <v/>
      </c>
    </row>
    <row r="1834">
      <c r="A1834" s="11" t="n">
        <v>46221</v>
      </c>
      <c r="B1834" s="1" t="n">
        <v>20077</v>
      </c>
      <c r="C1834" s="1" t="inlineStr">
        <is>
          <t>016</t>
        </is>
      </c>
      <c r="D1834" s="1" t="inlineStr">
        <is>
          <t>122474</t>
        </is>
      </c>
      <c r="E1834" s="1" t="inlineStr">
        <is>
          <t xml:space="preserve">28194770       </t>
        </is>
      </c>
      <c r="F1834" s="5" t="inlineStr">
        <is>
          <t>AUTOS DE METAL 3 TEAMSTERZ EN BLISTER</t>
        </is>
      </c>
      <c r="G1834" t="n">
        <v>1</v>
      </c>
      <c r="H1834" s="7" t="n">
        <v>6.9</v>
      </c>
      <c r="I1834" s="7" t="n">
        <v>0</v>
      </c>
      <c r="J1834" s="7" t="n">
        <v>0</v>
      </c>
      <c r="K1834" s="9" t="n">
        <v>0</v>
      </c>
      <c r="L1834" s="10" t="n">
        <v>4.1</v>
      </c>
      <c r="M1834" s="10" t="n">
        <v>1.43</v>
      </c>
      <c r="N1834" t="inlineStr">
        <is>
          <t>1</t>
        </is>
      </c>
      <c r="O1834" t="inlineStr">
        <is>
          <t>16</t>
        </is>
      </c>
      <c r="P1834" t="inlineStr">
        <is>
          <t xml:space="preserve">61615   </t>
        </is>
      </c>
      <c r="Q1834" s="26" t="n">
        <v>6.9</v>
      </c>
      <c r="R1834" s="26">
        <f>Q1834*G1834</f>
        <v/>
      </c>
      <c r="S1834" t="n">
        <v>4.09</v>
      </c>
      <c r="T1834" s="18">
        <f>1 - V1834/S1834</f>
        <v/>
      </c>
      <c r="U1834" s="18" t="n">
        <v>0</v>
      </c>
      <c r="V1834" s="26" t="n">
        <v>4.09</v>
      </c>
      <c r="W1834" s="26">
        <f>V1834 - L1834</f>
        <v/>
      </c>
    </row>
    <row r="1835">
      <c r="A1835" s="11" t="n">
        <v>46221</v>
      </c>
      <c r="B1835" s="1" t="n">
        <v>20077</v>
      </c>
      <c r="C1835" s="1" t="inlineStr">
        <is>
          <t>029</t>
        </is>
      </c>
      <c r="D1835" s="1" t="inlineStr">
        <is>
          <t>156356</t>
        </is>
      </c>
      <c r="E1835" s="1" t="inlineStr">
        <is>
          <t xml:space="preserve">28194770       </t>
        </is>
      </c>
      <c r="F1835" s="5" t="inlineStr">
        <is>
          <t>AUTOS DE METAL 3 TEAMSTERZ EN BLISTER</t>
        </is>
      </c>
      <c r="G1835" t="n">
        <v>1</v>
      </c>
      <c r="H1835" s="7" t="n">
        <v>6.9</v>
      </c>
      <c r="I1835" s="7" t="n">
        <v>0</v>
      </c>
      <c r="J1835" s="7" t="n">
        <v>0</v>
      </c>
      <c r="K1835" s="9" t="n">
        <v>0</v>
      </c>
      <c r="L1835" s="10" t="n">
        <v>4.1</v>
      </c>
      <c r="M1835" s="10" t="n">
        <v>1.43</v>
      </c>
      <c r="N1835" t="inlineStr">
        <is>
          <t>1</t>
        </is>
      </c>
      <c r="O1835" t="inlineStr">
        <is>
          <t xml:space="preserve">2 </t>
        </is>
      </c>
      <c r="P1835" t="inlineStr">
        <is>
          <t xml:space="preserve">43639   </t>
        </is>
      </c>
      <c r="Q1835" s="26" t="n">
        <v>6.9</v>
      </c>
      <c r="R1835" s="26">
        <f>Q1835*G1835</f>
        <v/>
      </c>
      <c r="S1835" t="n">
        <v>4.09</v>
      </c>
      <c r="T1835" s="18">
        <f>1 - V1835/S1835</f>
        <v/>
      </c>
      <c r="U1835" s="18" t="n">
        <v>0</v>
      </c>
      <c r="V1835" s="26" t="n">
        <v>4.09</v>
      </c>
      <c r="W1835" s="26">
        <f>V1835 - L1835</f>
        <v/>
      </c>
    </row>
    <row r="1836">
      <c r="A1836" s="11" t="n">
        <v>46221</v>
      </c>
      <c r="B1836" s="1" t="n">
        <v>20077</v>
      </c>
      <c r="C1836" s="1" t="inlineStr">
        <is>
          <t>029</t>
        </is>
      </c>
      <c r="D1836" s="1" t="inlineStr">
        <is>
          <t>156356</t>
        </is>
      </c>
      <c r="E1836" s="1" t="inlineStr">
        <is>
          <t xml:space="preserve">30141766       </t>
        </is>
      </c>
      <c r="F1836" s="5" t="inlineStr">
        <is>
          <t>TMZ BEAST MACHINES AUTOS DE METAL BLISTER X 1</t>
        </is>
      </c>
      <c r="G1836" t="n">
        <v>1</v>
      </c>
      <c r="H1836" s="7" t="n">
        <v>7.9</v>
      </c>
      <c r="I1836" s="7" t="n">
        <v>0</v>
      </c>
      <c r="J1836" s="7" t="n">
        <v>0</v>
      </c>
      <c r="K1836" s="9" t="n">
        <v>0</v>
      </c>
      <c r="L1836" s="10" t="n">
        <v>4.68</v>
      </c>
      <c r="M1836" s="10" t="n">
        <v>1.43</v>
      </c>
      <c r="N1836" t="inlineStr">
        <is>
          <t>1</t>
        </is>
      </c>
      <c r="O1836" t="inlineStr">
        <is>
          <t xml:space="preserve">2 </t>
        </is>
      </c>
      <c r="P1836" t="inlineStr">
        <is>
          <t xml:space="preserve">43639   </t>
        </is>
      </c>
      <c r="Q1836" s="26" t="n">
        <v>7.9</v>
      </c>
      <c r="R1836" s="26">
        <f>Q1836*G1836</f>
        <v/>
      </c>
      <c r="S1836" t="n">
        <v>4.69</v>
      </c>
      <c r="T1836" s="18">
        <f>1 - V1836/S1836</f>
        <v/>
      </c>
      <c r="U1836" s="18" t="n">
        <v>0</v>
      </c>
      <c r="V1836" s="26" t="n">
        <v>4.69</v>
      </c>
      <c r="W1836" s="26">
        <f>V1836 - L1836</f>
        <v/>
      </c>
    </row>
    <row r="1837">
      <c r="A1837" s="11" t="n">
        <v>46221</v>
      </c>
      <c r="B1837" s="1" t="n">
        <v>20077</v>
      </c>
      <c r="C1837" s="1" t="inlineStr">
        <is>
          <t>029</t>
        </is>
      </c>
      <c r="D1837" s="1" t="inlineStr">
        <is>
          <t>156364</t>
        </is>
      </c>
      <c r="E1837" s="1" t="inlineStr">
        <is>
          <t xml:space="preserve">28194768       </t>
        </is>
      </c>
      <c r="F1837" s="5" t="inlineStr">
        <is>
          <t>AUTO COLOR CHANGE TEAMSTERZ SURTIDO</t>
        </is>
      </c>
      <c r="G1837" t="n">
        <v>1</v>
      </c>
      <c r="H1837" s="7" t="n">
        <v>14.9</v>
      </c>
      <c r="I1837" s="7" t="n">
        <v>0</v>
      </c>
      <c r="J1837" s="7" t="n">
        <v>0</v>
      </c>
      <c r="K1837" s="9" t="n">
        <v>0</v>
      </c>
      <c r="L1837" s="10" t="n">
        <v>8.84</v>
      </c>
      <c r="M1837" s="10" t="n">
        <v>1.43</v>
      </c>
      <c r="N1837" t="inlineStr">
        <is>
          <t>1</t>
        </is>
      </c>
      <c r="O1837" t="inlineStr">
        <is>
          <t>16</t>
        </is>
      </c>
      <c r="P1837" t="inlineStr">
        <is>
          <t xml:space="preserve">43639   </t>
        </is>
      </c>
      <c r="Q1837" s="26" t="n">
        <v>14.9</v>
      </c>
      <c r="R1837" s="26">
        <f>Q1837*G1837</f>
        <v/>
      </c>
      <c r="S1837" t="n">
        <v>8.84</v>
      </c>
      <c r="T1837" s="18">
        <f>1 - V1837/S1837</f>
        <v/>
      </c>
      <c r="U1837" s="18" t="n">
        <v>0</v>
      </c>
      <c r="V1837" s="26" t="n">
        <v>8.84</v>
      </c>
      <c r="W1837" s="26">
        <f>V1837 - L1837</f>
        <v/>
      </c>
    </row>
    <row r="1838">
      <c r="A1838" s="11" t="n">
        <v>46221</v>
      </c>
      <c r="B1838" s="1" t="n">
        <v>20077</v>
      </c>
      <c r="C1838" s="1" t="inlineStr">
        <is>
          <t>030</t>
        </is>
      </c>
      <c r="D1838" s="1" t="inlineStr">
        <is>
          <t xml:space="preserve">40894 </t>
        </is>
      </c>
      <c r="E1838" s="1" t="inlineStr">
        <is>
          <t xml:space="preserve">28194770       </t>
        </is>
      </c>
      <c r="F1838" s="5" t="inlineStr">
        <is>
          <t>AUTOS DE METAL 3 TEAMSTERZ EN BLISTER</t>
        </is>
      </c>
      <c r="G1838" t="n">
        <v>1</v>
      </c>
      <c r="H1838" s="7" t="n">
        <v>6.9</v>
      </c>
      <c r="I1838" s="7" t="n">
        <v>0</v>
      </c>
      <c r="J1838" s="7" t="n">
        <v>0</v>
      </c>
      <c r="K1838" s="9" t="n">
        <v>0</v>
      </c>
      <c r="L1838" s="10" t="n">
        <v>4.1</v>
      </c>
      <c r="M1838" s="10" t="n">
        <v>1.43</v>
      </c>
      <c r="N1838" t="inlineStr">
        <is>
          <t>1</t>
        </is>
      </c>
      <c r="O1838" t="inlineStr">
        <is>
          <t>16</t>
        </is>
      </c>
      <c r="P1838" t="inlineStr">
        <is>
          <t xml:space="preserve">246990  </t>
        </is>
      </c>
      <c r="Q1838" s="26" t="n">
        <v>6.9</v>
      </c>
      <c r="R1838" s="26">
        <f>Q1838*G1838</f>
        <v/>
      </c>
      <c r="S1838" t="n">
        <v>4.09</v>
      </c>
      <c r="T1838" s="18">
        <f>1 - V1838/S1838</f>
        <v/>
      </c>
      <c r="U1838" s="18" t="n">
        <v>0</v>
      </c>
      <c r="V1838" s="26" t="n">
        <v>4.09</v>
      </c>
      <c r="W1838" s="26">
        <f>V1838 - L1838</f>
        <v/>
      </c>
    </row>
    <row r="1839">
      <c r="A1839" s="11" t="n">
        <v>46221</v>
      </c>
      <c r="B1839" s="1" t="n">
        <v>20077</v>
      </c>
      <c r="C1839" s="1" t="inlineStr">
        <is>
          <t>030</t>
        </is>
      </c>
      <c r="D1839" s="1" t="inlineStr">
        <is>
          <t xml:space="preserve">40922 </t>
        </is>
      </c>
      <c r="E1839" s="1" t="inlineStr">
        <is>
          <t xml:space="preserve">31754677       </t>
        </is>
      </c>
      <c r="F1839" s="5" t="inlineStr">
        <is>
          <t>INFINITY NADO SERIE 6 SET DE BATALL</t>
        </is>
      </c>
      <c r="G1839" t="n">
        <v>1</v>
      </c>
      <c r="H1839" s="7" t="n">
        <v>149</v>
      </c>
      <c r="I1839" s="7" t="n">
        <v>0</v>
      </c>
      <c r="J1839" s="7" t="n">
        <v>0</v>
      </c>
      <c r="K1839" s="9" t="n">
        <v>0</v>
      </c>
      <c r="L1839" s="10" t="n">
        <v>88.39</v>
      </c>
      <c r="M1839" s="10" t="n">
        <v>1.43</v>
      </c>
      <c r="N1839" t="inlineStr">
        <is>
          <t>1</t>
        </is>
      </c>
      <c r="O1839" t="inlineStr">
        <is>
          <t>16</t>
        </is>
      </c>
      <c r="P1839" t="inlineStr">
        <is>
          <t xml:space="preserve">246990  </t>
        </is>
      </c>
      <c r="Q1839" s="26" t="n">
        <v>189</v>
      </c>
      <c r="R1839" s="26">
        <f>Q1839*G1839</f>
        <v/>
      </c>
      <c r="S1839" t="n">
        <v>112.12</v>
      </c>
      <c r="T1839" s="18">
        <f>1 - V1839/S1839</f>
        <v/>
      </c>
      <c r="U1839" s="18" t="n">
        <v>0.2116402116402116</v>
      </c>
      <c r="V1839" s="26" t="n">
        <v>94.70338983050848</v>
      </c>
      <c r="W1839" s="26">
        <f>V1839 - L1839</f>
        <v/>
      </c>
    </row>
    <row r="1840">
      <c r="A1840" s="11" t="n">
        <v>46221</v>
      </c>
      <c r="B1840" s="1" t="n">
        <v>20077</v>
      </c>
      <c r="C1840" s="1" t="inlineStr">
        <is>
          <t>037</t>
        </is>
      </c>
      <c r="D1840" s="1" t="inlineStr">
        <is>
          <t xml:space="preserve">62305 </t>
        </is>
      </c>
      <c r="E1840" s="1" t="inlineStr">
        <is>
          <t xml:space="preserve">28194770       </t>
        </is>
      </c>
      <c r="F1840" s="5" t="inlineStr">
        <is>
          <t>AUTOS DE METAL 3 TEAMSTERZ EN BLISTER</t>
        </is>
      </c>
      <c r="G1840" t="n">
        <v>1</v>
      </c>
      <c r="H1840" s="7" t="n">
        <v>6.9</v>
      </c>
      <c r="I1840" s="7" t="n">
        <v>0</v>
      </c>
      <c r="J1840" s="7" t="n">
        <v>0</v>
      </c>
      <c r="K1840" s="9" t="n">
        <v>0</v>
      </c>
      <c r="L1840" s="10" t="n">
        <v>4.1</v>
      </c>
      <c r="M1840" s="10" t="n">
        <v>1.43</v>
      </c>
      <c r="N1840" t="inlineStr">
        <is>
          <t>1</t>
        </is>
      </c>
      <c r="O1840" t="inlineStr">
        <is>
          <t>16</t>
        </is>
      </c>
      <c r="P1840" t="inlineStr">
        <is>
          <t xml:space="preserve">62766   </t>
        </is>
      </c>
      <c r="Q1840" s="26" t="n">
        <v>6.9</v>
      </c>
      <c r="R1840" s="26">
        <f>Q1840*G1840</f>
        <v/>
      </c>
      <c r="S1840" t="n">
        <v>4.09</v>
      </c>
      <c r="T1840" s="18">
        <f>1 - V1840/S1840</f>
        <v/>
      </c>
      <c r="U1840" s="18" t="n">
        <v>0</v>
      </c>
      <c r="V1840" s="26" t="n">
        <v>4.09</v>
      </c>
      <c r="W1840" s="26">
        <f>V1840 - L1840</f>
        <v/>
      </c>
    </row>
    <row r="1841">
      <c r="A1841" s="11" t="n">
        <v>46221</v>
      </c>
      <c r="B1841" s="1" t="n">
        <v>20079</v>
      </c>
      <c r="C1841" s="1" t="inlineStr">
        <is>
          <t>032</t>
        </is>
      </c>
      <c r="D1841" s="1" t="inlineStr">
        <is>
          <t>325997</t>
        </is>
      </c>
      <c r="E1841" s="1" t="inlineStr">
        <is>
          <t xml:space="preserve">32457103       </t>
        </is>
      </c>
      <c r="F1841" s="5" t="inlineStr">
        <is>
          <t>TMZ BEAST MACHINES MONSTER JAWS A FRICCION PACK DE</t>
        </is>
      </c>
      <c r="G1841" t="n">
        <v>1</v>
      </c>
      <c r="H1841" s="7" t="n">
        <v>32.9</v>
      </c>
      <c r="I1841" s="7" t="n">
        <v>0</v>
      </c>
      <c r="J1841" s="7" t="n">
        <v>0</v>
      </c>
      <c r="K1841" s="9" t="n">
        <v>0</v>
      </c>
      <c r="L1841" s="10" t="n">
        <v>19.52</v>
      </c>
      <c r="M1841" s="10" t="n">
        <v>1.43</v>
      </c>
      <c r="N1841" t="inlineStr">
        <is>
          <t>1</t>
        </is>
      </c>
      <c r="O1841" t="inlineStr">
        <is>
          <t>16</t>
        </is>
      </c>
      <c r="P1841" t="inlineStr">
        <is>
          <t xml:space="preserve">23578   </t>
        </is>
      </c>
      <c r="Q1841" s="26" t="n">
        <v>37.9</v>
      </c>
      <c r="R1841" s="26">
        <f>Q1841*G1841</f>
        <v/>
      </c>
      <c r="S1841" t="n">
        <v>22.48</v>
      </c>
      <c r="T1841" s="18">
        <f>1 - V1841/S1841</f>
        <v/>
      </c>
      <c r="U1841" s="18" t="n">
        <v>0.1319261213720316</v>
      </c>
      <c r="V1841" s="26" t="n">
        <v>16.75101694915254</v>
      </c>
      <c r="W1841" s="26">
        <f>V1841 - L1841</f>
        <v/>
      </c>
    </row>
    <row r="1842">
      <c r="A1842" s="11" t="n">
        <v>46221</v>
      </c>
      <c r="B1842" s="1" t="n">
        <v>20079</v>
      </c>
      <c r="C1842" s="1" t="inlineStr">
        <is>
          <t>045</t>
        </is>
      </c>
      <c r="D1842" s="1" t="inlineStr">
        <is>
          <t>332696</t>
        </is>
      </c>
      <c r="E1842" s="1" t="inlineStr">
        <is>
          <t xml:space="preserve">31675354       </t>
        </is>
      </c>
      <c r="F1842" s="5" t="inlineStr">
        <is>
          <t>NENUCO LLORON CON ACCESORIOS</t>
        </is>
      </c>
      <c r="G1842" t="n">
        <v>1</v>
      </c>
      <c r="H1842" s="7" t="n">
        <v>69.90000000000001</v>
      </c>
      <c r="I1842" s="7" t="n">
        <v>6.99</v>
      </c>
      <c r="J1842" s="7" t="n">
        <v>0</v>
      </c>
      <c r="K1842" s="9" t="n">
        <v>6.99</v>
      </c>
      <c r="L1842" s="10" t="n">
        <v>37.32</v>
      </c>
      <c r="M1842" s="10" t="n">
        <v>1.43</v>
      </c>
      <c r="N1842" t="inlineStr">
        <is>
          <t>1</t>
        </is>
      </c>
      <c r="O1842" t="inlineStr">
        <is>
          <t xml:space="preserve">3 </t>
        </is>
      </c>
      <c r="P1842" t="inlineStr">
        <is>
          <t xml:space="preserve">47148   </t>
        </is>
      </c>
      <c r="Q1842" s="26" t="n">
        <v>89.90000000000001</v>
      </c>
      <c r="R1842" s="26">
        <f>Q1842*G1842</f>
        <v/>
      </c>
      <c r="S1842" t="n">
        <v>53.33</v>
      </c>
      <c r="T1842" s="18">
        <f>1 - V1842/S1842</f>
        <v/>
      </c>
      <c r="U1842" s="18" t="n">
        <v>0.2224694104560623</v>
      </c>
      <c r="V1842" s="26" t="n">
        <v>44.42796610169492</v>
      </c>
      <c r="W1842" s="26">
        <f>V1842 - L1842</f>
        <v/>
      </c>
    </row>
    <row r="1843">
      <c r="A1843" s="11" t="n">
        <v>46221</v>
      </c>
      <c r="B1843" s="1" t="n">
        <v>20079</v>
      </c>
      <c r="C1843" s="1" t="inlineStr">
        <is>
          <t>045</t>
        </is>
      </c>
      <c r="D1843" s="1" t="inlineStr">
        <is>
          <t>332722</t>
        </is>
      </c>
      <c r="E1843" s="1" t="inlineStr">
        <is>
          <t xml:space="preserve">32656420       </t>
        </is>
      </c>
      <c r="F1843" s="5" t="inlineStr">
        <is>
          <t>PINYPON ACTION EXPLORADOR + FIGURA Y ANIMAL</t>
        </is>
      </c>
      <c r="G1843" t="n">
        <v>1</v>
      </c>
      <c r="H1843" s="7" t="n">
        <v>27.9</v>
      </c>
      <c r="I1843" s="7" t="n">
        <v>0</v>
      </c>
      <c r="J1843" s="7" t="n">
        <v>0</v>
      </c>
      <c r="K1843" s="9" t="n">
        <v>0</v>
      </c>
      <c r="L1843" s="10" t="n">
        <v>16.55</v>
      </c>
      <c r="M1843" s="10" t="n">
        <v>1.43</v>
      </c>
      <c r="N1843" t="inlineStr">
        <is>
          <t>1</t>
        </is>
      </c>
      <c r="O1843" t="inlineStr">
        <is>
          <t>16</t>
        </is>
      </c>
      <c r="P1843" t="inlineStr">
        <is>
          <t xml:space="preserve">47148   </t>
        </is>
      </c>
      <c r="Q1843" s="26" t="n">
        <v>27.9</v>
      </c>
      <c r="R1843" s="26">
        <f>Q1843*G1843</f>
        <v/>
      </c>
      <c r="S1843" t="n">
        <v>16.55</v>
      </c>
      <c r="T1843" s="18">
        <f>1 - V1843/S1843</f>
        <v/>
      </c>
      <c r="U1843" s="18" t="n">
        <v>0</v>
      </c>
      <c r="V1843" s="26" t="n">
        <v>16.55</v>
      </c>
      <c r="W1843" s="26">
        <f>V1843 - L1843</f>
        <v/>
      </c>
    </row>
    <row r="1844">
      <c r="A1844" s="11" t="n">
        <v>46221</v>
      </c>
      <c r="B1844" s="1" t="n">
        <v>20080</v>
      </c>
      <c r="C1844" s="1" t="inlineStr">
        <is>
          <t>026</t>
        </is>
      </c>
      <c r="D1844" s="1" t="inlineStr">
        <is>
          <t>209150</t>
        </is>
      </c>
      <c r="E1844" s="1" t="inlineStr">
        <is>
          <t xml:space="preserve">32457118       </t>
        </is>
      </c>
      <c r="F1844" s="5" t="inlineStr">
        <is>
          <t>MUNECA EVI LOVE CAMAROTE + 2 MUNECAS</t>
        </is>
      </c>
      <c r="G1844" t="n">
        <v>1</v>
      </c>
      <c r="H1844" s="7" t="n">
        <v>29.94</v>
      </c>
      <c r="I1844" s="7" t="n">
        <v>0</v>
      </c>
      <c r="J1844" s="7" t="n">
        <v>0</v>
      </c>
      <c r="K1844" s="9" t="n">
        <v>0</v>
      </c>
      <c r="L1844" s="10" t="n">
        <v>17.76</v>
      </c>
      <c r="M1844" s="10" t="n">
        <v>1.43</v>
      </c>
      <c r="N1844" t="inlineStr">
        <is>
          <t>1</t>
        </is>
      </c>
      <c r="O1844" t="inlineStr">
        <is>
          <t xml:space="preserve">2 </t>
        </is>
      </c>
      <c r="P1844" t="inlineStr">
        <is>
          <t xml:space="preserve">66628   </t>
        </is>
      </c>
      <c r="Q1844" s="26" t="n">
        <v>49.9</v>
      </c>
      <c r="R1844" s="26">
        <f>Q1844*G1844</f>
        <v/>
      </c>
      <c r="S1844" t="n">
        <v>29.6</v>
      </c>
      <c r="T1844" s="18">
        <f>1 - V1844/S1844</f>
        <v/>
      </c>
      <c r="U1844" s="18" t="n">
        <v>0.4</v>
      </c>
      <c r="V1844" s="26" t="n">
        <v>22.83559322033899</v>
      </c>
      <c r="W1844" s="26">
        <f>V1844 - L1844</f>
        <v/>
      </c>
    </row>
    <row r="1845">
      <c r="A1845" s="11" t="n">
        <v>46221</v>
      </c>
      <c r="B1845" s="1" t="n">
        <v>20080</v>
      </c>
      <c r="C1845" s="1" t="inlineStr">
        <is>
          <t>026</t>
        </is>
      </c>
      <c r="D1845" s="1" t="inlineStr">
        <is>
          <t>209163</t>
        </is>
      </c>
      <c r="E1845" s="1" t="inlineStr">
        <is>
          <t xml:space="preserve">34840515       </t>
        </is>
      </c>
      <c r="F1845" s="5" t="inlineStr">
        <is>
          <t>MUNECA EVI LOVE PRINCESA + UNICORNIO</t>
        </is>
      </c>
      <c r="G1845" t="n">
        <v>1</v>
      </c>
      <c r="H1845" s="7" t="n">
        <v>19.74</v>
      </c>
      <c r="I1845" s="7" t="n">
        <v>0</v>
      </c>
      <c r="J1845" s="7" t="n">
        <v>0</v>
      </c>
      <c r="K1845" s="9" t="n">
        <v>0</v>
      </c>
      <c r="L1845" s="10" t="n">
        <v>11.71</v>
      </c>
      <c r="M1845" s="10" t="n">
        <v>1.43</v>
      </c>
      <c r="N1845" t="inlineStr">
        <is>
          <t>1</t>
        </is>
      </c>
      <c r="O1845" t="inlineStr">
        <is>
          <t>16</t>
        </is>
      </c>
      <c r="P1845" t="inlineStr">
        <is>
          <t xml:space="preserve">66628   </t>
        </is>
      </c>
      <c r="Q1845" s="26" t="n">
        <v>32.89999999999998</v>
      </c>
      <c r="R1845" s="26">
        <f>Q1845*G1845</f>
        <v/>
      </c>
      <c r="S1845" t="n">
        <v>19.52</v>
      </c>
      <c r="T1845" s="18">
        <f>1 - V1845/S1845</f>
        <v/>
      </c>
      <c r="U1845" s="18" t="n">
        <v>0.4</v>
      </c>
      <c r="V1845" s="26" t="n">
        <v>15.05593220338983</v>
      </c>
      <c r="W1845" s="26">
        <f>V1845 - L1845</f>
        <v/>
      </c>
    </row>
    <row r="1846">
      <c r="A1846" s="11" t="n">
        <v>46221</v>
      </c>
      <c r="B1846" s="1" t="n">
        <v>20080</v>
      </c>
      <c r="C1846" s="1" t="inlineStr">
        <is>
          <t>029</t>
        </is>
      </c>
      <c r="D1846" s="1" t="inlineStr">
        <is>
          <t>225768</t>
        </is>
      </c>
      <c r="E1846" s="1" t="inlineStr">
        <is>
          <t xml:space="preserve">28194770       </t>
        </is>
      </c>
      <c r="F1846" s="5" t="inlineStr">
        <is>
          <t>AUTOS DE METAL 3 TEAMSTERZ EN BLISTER</t>
        </is>
      </c>
      <c r="G1846" t="n">
        <v>1</v>
      </c>
      <c r="H1846" s="7" t="n">
        <v>6.9</v>
      </c>
      <c r="I1846" s="7" t="n">
        <v>0</v>
      </c>
      <c r="J1846" s="7" t="n">
        <v>0</v>
      </c>
      <c r="K1846" s="9" t="n">
        <v>0</v>
      </c>
      <c r="L1846" s="10" t="n">
        <v>4.1</v>
      </c>
      <c r="M1846" s="10" t="n">
        <v>1.43</v>
      </c>
      <c r="N1846" t="inlineStr">
        <is>
          <t>1</t>
        </is>
      </c>
      <c r="O1846" t="inlineStr">
        <is>
          <t xml:space="preserve">2 </t>
        </is>
      </c>
      <c r="P1846" t="inlineStr">
        <is>
          <t xml:space="preserve">89863   </t>
        </is>
      </c>
      <c r="Q1846" s="26" t="n">
        <v>6.9</v>
      </c>
      <c r="R1846" s="26">
        <f>Q1846*G1846</f>
        <v/>
      </c>
      <c r="S1846" t="n">
        <v>4.09</v>
      </c>
      <c r="T1846" s="18">
        <f>1 - V1846/S1846</f>
        <v/>
      </c>
      <c r="U1846" s="18" t="n">
        <v>0</v>
      </c>
      <c r="V1846" s="26" t="n">
        <v>4.09</v>
      </c>
      <c r="W1846" s="26">
        <f>V1846 - L1846</f>
        <v/>
      </c>
    </row>
    <row r="1847">
      <c r="A1847" s="11" t="n">
        <v>46221</v>
      </c>
      <c r="B1847" s="1" t="n">
        <v>20080</v>
      </c>
      <c r="C1847" s="1" t="inlineStr">
        <is>
          <t>029</t>
        </is>
      </c>
      <c r="D1847" s="1" t="inlineStr">
        <is>
          <t>225781</t>
        </is>
      </c>
      <c r="E1847" s="1" t="inlineStr">
        <is>
          <t xml:space="preserve">31417429       </t>
        </is>
      </c>
      <c r="F1847" s="5" t="inlineStr">
        <is>
          <t>MUNEVA EVI LOVE CON AUTO Y MASCOTA</t>
        </is>
      </c>
      <c r="G1847" t="n">
        <v>1</v>
      </c>
      <c r="H1847" s="7" t="n">
        <v>41.94</v>
      </c>
      <c r="I1847" s="7" t="n">
        <v>0</v>
      </c>
      <c r="J1847" s="7" t="n">
        <v>0</v>
      </c>
      <c r="K1847" s="9" t="n">
        <v>0</v>
      </c>
      <c r="L1847" s="10" t="n">
        <v>24.88</v>
      </c>
      <c r="M1847" s="10" t="n">
        <v>1.43</v>
      </c>
      <c r="N1847" t="inlineStr">
        <is>
          <t>1</t>
        </is>
      </c>
      <c r="O1847" t="inlineStr">
        <is>
          <t xml:space="preserve">2 </t>
        </is>
      </c>
      <c r="P1847" t="inlineStr">
        <is>
          <t xml:space="preserve">89863   </t>
        </is>
      </c>
      <c r="Q1847" s="26" t="n">
        <v>69.90000000000001</v>
      </c>
      <c r="R1847" s="26">
        <f>Q1847*G1847</f>
        <v/>
      </c>
      <c r="S1847" t="n">
        <v>41.47</v>
      </c>
      <c r="T1847" s="18">
        <f>1 - V1847/S1847</f>
        <v/>
      </c>
      <c r="U1847" s="18" t="n">
        <v>0.4</v>
      </c>
      <c r="V1847" s="26" t="n">
        <v>31.98813559322035</v>
      </c>
      <c r="W1847" s="26">
        <f>V1847 - L1847</f>
        <v/>
      </c>
    </row>
    <row r="1848">
      <c r="A1848" s="11" t="n">
        <v>46221</v>
      </c>
      <c r="B1848" s="1" t="n">
        <v>20088</v>
      </c>
      <c r="C1848" s="1" t="inlineStr">
        <is>
          <t>021</t>
        </is>
      </c>
      <c r="D1848" s="1" t="inlineStr">
        <is>
          <t xml:space="preserve">49408 </t>
        </is>
      </c>
      <c r="E1848" s="1" t="inlineStr">
        <is>
          <t xml:space="preserve">32656402       </t>
        </is>
      </c>
      <c r="F1848" s="5" t="inlineStr">
        <is>
          <t>DART ZONE BLASTER MOTORIZADO VULCANATOR</t>
        </is>
      </c>
      <c r="G1848" t="n">
        <v>1</v>
      </c>
      <c r="H1848" s="7" t="n">
        <v>64.5</v>
      </c>
      <c r="I1848" s="7" t="n">
        <v>0</v>
      </c>
      <c r="J1848" s="7" t="n">
        <v>0</v>
      </c>
      <c r="K1848" s="9" t="n">
        <v>0</v>
      </c>
      <c r="L1848" s="10" t="n">
        <v>38.26</v>
      </c>
      <c r="M1848" s="10" t="n">
        <v>1.43</v>
      </c>
      <c r="N1848" t="inlineStr">
        <is>
          <t>1</t>
        </is>
      </c>
      <c r="O1848" t="inlineStr">
        <is>
          <t xml:space="preserve">2 </t>
        </is>
      </c>
      <c r="P1848" t="inlineStr">
        <is>
          <t xml:space="preserve">235264  </t>
        </is>
      </c>
      <c r="Q1848" s="26" t="n">
        <v>129</v>
      </c>
      <c r="R1848" s="26">
        <f>Q1848*G1848</f>
        <v/>
      </c>
      <c r="S1848" t="n">
        <v>76.53</v>
      </c>
      <c r="T1848" s="18">
        <f>1 - V1848/S1848</f>
        <v/>
      </c>
      <c r="U1848" s="18" t="n">
        <v>0.5</v>
      </c>
      <c r="V1848" s="26" t="n">
        <v>49.19457627118643</v>
      </c>
      <c r="W1848" s="26">
        <f>V1848 - L1848</f>
        <v/>
      </c>
    </row>
    <row r="1849">
      <c r="A1849" s="11" t="n">
        <v>46221</v>
      </c>
      <c r="B1849" s="1" t="n">
        <v>20088</v>
      </c>
      <c r="C1849" s="1" t="inlineStr">
        <is>
          <t>021</t>
        </is>
      </c>
      <c r="D1849" s="1" t="inlineStr">
        <is>
          <t xml:space="preserve">49446 </t>
        </is>
      </c>
      <c r="E1849" s="1" t="inlineStr">
        <is>
          <t xml:space="preserve">32656523       </t>
        </is>
      </c>
      <c r="F1849" s="5" t="inlineStr">
        <is>
          <t>TMZ BEAST MACHINES TRANSPORT. T-REX ELECTR. + ACCE</t>
        </is>
      </c>
      <c r="G1849" t="n">
        <v>1</v>
      </c>
      <c r="H1849" s="7" t="n">
        <v>179</v>
      </c>
      <c r="I1849" s="7" t="n">
        <v>0</v>
      </c>
      <c r="J1849" s="7" t="n">
        <v>0</v>
      </c>
      <c r="K1849" s="9" t="n">
        <v>0</v>
      </c>
      <c r="L1849" s="10" t="n">
        <v>106.18</v>
      </c>
      <c r="M1849" s="10" t="n">
        <v>1.43</v>
      </c>
      <c r="N1849" t="inlineStr">
        <is>
          <t>1</t>
        </is>
      </c>
      <c r="O1849" t="inlineStr">
        <is>
          <t>16</t>
        </is>
      </c>
      <c r="P1849" t="inlineStr">
        <is>
          <t xml:space="preserve">235264  </t>
        </is>
      </c>
      <c r="Q1849" s="26" t="n">
        <v>179</v>
      </c>
      <c r="R1849" s="26">
        <f>Q1849*G1849</f>
        <v/>
      </c>
      <c r="S1849" t="n">
        <v>106.19</v>
      </c>
      <c r="T1849" s="18">
        <f>1 - V1849/S1849</f>
        <v/>
      </c>
      <c r="U1849" s="18" t="n">
        <v>0</v>
      </c>
      <c r="V1849" s="26" t="n">
        <v>106.19</v>
      </c>
      <c r="W1849" s="26">
        <f>V1849 - L1849</f>
        <v/>
      </c>
    </row>
    <row r="1850">
      <c r="A1850" s="11" t="n">
        <v>46221</v>
      </c>
      <c r="B1850" s="1" t="n">
        <v>20088</v>
      </c>
      <c r="C1850" s="1" t="inlineStr">
        <is>
          <t>023</t>
        </is>
      </c>
      <c r="D1850" s="1" t="inlineStr">
        <is>
          <t>127261</t>
        </is>
      </c>
      <c r="E1850" s="1" t="inlineStr">
        <is>
          <t xml:space="preserve">28194781       </t>
        </is>
      </c>
      <c r="F1850" s="5" t="inlineStr">
        <is>
          <t>TROMPO BATALLA INFINITY NADO SERIE V CLASICA SURTI</t>
        </is>
      </c>
      <c r="G1850" t="n">
        <v>1</v>
      </c>
      <c r="H1850" s="7" t="n">
        <v>39.9</v>
      </c>
      <c r="I1850" s="7" t="n">
        <v>0</v>
      </c>
      <c r="J1850" s="7" t="n">
        <v>0</v>
      </c>
      <c r="K1850" s="9" t="n">
        <v>0</v>
      </c>
      <c r="L1850" s="10" t="n">
        <v>23.67</v>
      </c>
      <c r="M1850" s="10" t="n">
        <v>1.43</v>
      </c>
      <c r="N1850" t="inlineStr">
        <is>
          <t>1</t>
        </is>
      </c>
      <c r="O1850" t="inlineStr">
        <is>
          <t>16</t>
        </is>
      </c>
      <c r="P1850" t="inlineStr">
        <is>
          <t xml:space="preserve">249601  </t>
        </is>
      </c>
      <c r="Q1850" s="26" t="n">
        <v>59.9</v>
      </c>
      <c r="R1850" s="26">
        <f>Q1850*G1850</f>
        <v/>
      </c>
      <c r="S1850" t="n">
        <v>35.53</v>
      </c>
      <c r="T1850" s="18">
        <f>1 - V1850/S1850</f>
        <v/>
      </c>
      <c r="U1850" s="18" t="n">
        <v>0.333889816360601</v>
      </c>
      <c r="V1850" s="26" t="n">
        <v>25.36016949152542</v>
      </c>
      <c r="W1850" s="26">
        <f>V1850 - L1850</f>
        <v/>
      </c>
    </row>
    <row r="1851">
      <c r="A1851" s="11" t="n">
        <v>46221</v>
      </c>
      <c r="B1851" s="1" t="n">
        <v>20088</v>
      </c>
      <c r="C1851" s="1" t="inlineStr">
        <is>
          <t>024</t>
        </is>
      </c>
      <c r="D1851" s="1" t="inlineStr">
        <is>
          <t xml:space="preserve">49998 </t>
        </is>
      </c>
      <c r="E1851" s="1" t="inlineStr">
        <is>
          <t xml:space="preserve">31675354       </t>
        </is>
      </c>
      <c r="F1851" s="5" t="inlineStr">
        <is>
          <t>NENUCO LLORON CON ACCESORIOS</t>
        </is>
      </c>
      <c r="G1851" t="n">
        <v>1</v>
      </c>
      <c r="H1851" s="7" t="n">
        <v>69.90000000000001</v>
      </c>
      <c r="I1851" s="7" t="n">
        <v>0</v>
      </c>
      <c r="J1851" s="7" t="n">
        <v>0</v>
      </c>
      <c r="K1851" s="9" t="n">
        <v>0</v>
      </c>
      <c r="L1851" s="10" t="n">
        <v>41.47</v>
      </c>
      <c r="M1851" s="10" t="n">
        <v>1.43</v>
      </c>
      <c r="N1851" t="inlineStr">
        <is>
          <t>1</t>
        </is>
      </c>
      <c r="O1851" t="inlineStr">
        <is>
          <t>16</t>
        </is>
      </c>
      <c r="P1851" t="inlineStr">
        <is>
          <t xml:space="preserve">102366  </t>
        </is>
      </c>
      <c r="Q1851" s="26" t="n">
        <v>89.90000000000001</v>
      </c>
      <c r="R1851" s="26">
        <f>Q1851*G1851</f>
        <v/>
      </c>
      <c r="S1851" t="n">
        <v>53.33</v>
      </c>
      <c r="T1851" s="18">
        <f>1 - V1851/S1851</f>
        <v/>
      </c>
      <c r="U1851" s="18" t="n">
        <v>0.2224694104560623</v>
      </c>
      <c r="V1851" s="26" t="n">
        <v>44.42796610169492</v>
      </c>
      <c r="W1851" s="26">
        <f>V1851 - L1851</f>
        <v/>
      </c>
    </row>
    <row r="1852">
      <c r="A1852" s="11" t="n">
        <v>46221</v>
      </c>
      <c r="B1852" s="1" t="n">
        <v>20088</v>
      </c>
      <c r="C1852" s="1" t="inlineStr">
        <is>
          <t>028</t>
        </is>
      </c>
      <c r="D1852" s="1" t="inlineStr">
        <is>
          <t xml:space="preserve">55640 </t>
        </is>
      </c>
      <c r="E1852" s="1" t="inlineStr">
        <is>
          <t xml:space="preserve">29235700       </t>
        </is>
      </c>
      <c r="F1852" s="5" t="inlineStr">
        <is>
          <t>HOT WHEELS CASE METALICO PARA GUARDAR 18 CARRITOS</t>
        </is>
      </c>
      <c r="G1852" t="n">
        <v>1</v>
      </c>
      <c r="H1852" s="7" t="n">
        <v>49.9</v>
      </c>
      <c r="I1852" s="7" t="n">
        <v>0</v>
      </c>
      <c r="J1852" s="7" t="n">
        <v>0</v>
      </c>
      <c r="K1852" s="9" t="n">
        <v>0</v>
      </c>
      <c r="L1852" s="10" t="n">
        <v>29.6</v>
      </c>
      <c r="M1852" s="10" t="n">
        <v>1.43</v>
      </c>
      <c r="N1852" t="inlineStr">
        <is>
          <t>1</t>
        </is>
      </c>
      <c r="O1852" t="inlineStr">
        <is>
          <t>16</t>
        </is>
      </c>
      <c r="P1852" t="inlineStr">
        <is>
          <t xml:space="preserve">47248   </t>
        </is>
      </c>
      <c r="Q1852" s="26" t="n">
        <v>49.90000000000001</v>
      </c>
      <c r="R1852" s="26">
        <f>Q1852*G1852</f>
        <v/>
      </c>
      <c r="S1852" t="n">
        <v>29.6</v>
      </c>
      <c r="T1852" s="18">
        <f>1 - V1852/S1852</f>
        <v/>
      </c>
      <c r="U1852" s="18" t="n">
        <v>0</v>
      </c>
      <c r="V1852" s="26" t="n">
        <v>29.6</v>
      </c>
      <c r="W1852" s="26">
        <f>V1852 - L1852</f>
        <v/>
      </c>
    </row>
    <row r="1853">
      <c r="A1853" s="11" t="n">
        <v>46221</v>
      </c>
      <c r="B1853" s="1" t="n">
        <v>20088</v>
      </c>
      <c r="C1853" s="1" t="inlineStr">
        <is>
          <t>800</t>
        </is>
      </c>
      <c r="D1853" s="1" t="inlineStr">
        <is>
          <t xml:space="preserve">3691  </t>
        </is>
      </c>
      <c r="E1853" s="1" t="inlineStr">
        <is>
          <t xml:space="preserve">31754675       </t>
        </is>
      </c>
      <c r="F1853" s="5" t="inlineStr">
        <is>
          <t>INFINITY NADO SERIE 6 STARTER PACK - 4 MODELOS</t>
        </is>
      </c>
      <c r="G1853" t="n">
        <v>1</v>
      </c>
      <c r="H1853" s="7" t="n">
        <v>49.9</v>
      </c>
      <c r="I1853" s="7" t="n">
        <v>0</v>
      </c>
      <c r="J1853" s="7" t="n">
        <v>0</v>
      </c>
      <c r="K1853" s="9" t="n">
        <v>0</v>
      </c>
      <c r="L1853" s="10" t="n">
        <v>29.6</v>
      </c>
      <c r="M1853" s="10" t="n">
        <v>1.43</v>
      </c>
      <c r="N1853" t="inlineStr">
        <is>
          <t>1</t>
        </is>
      </c>
      <c r="O1853" t="inlineStr">
        <is>
          <t>16</t>
        </is>
      </c>
      <c r="P1853" t="inlineStr">
        <is>
          <t xml:space="preserve">0       </t>
        </is>
      </c>
      <c r="Q1853" s="26" t="n">
        <v>69.90000000000001</v>
      </c>
      <c r="R1853" s="26">
        <f>Q1853*G1853</f>
        <v/>
      </c>
      <c r="S1853" t="n">
        <v>41.47</v>
      </c>
      <c r="T1853" s="18">
        <f>1 - V1853/S1853</f>
        <v/>
      </c>
      <c r="U1853" s="18" t="n">
        <v>0.2861230329041489</v>
      </c>
      <c r="V1853" s="26" t="n">
        <v>31.71610169491525</v>
      </c>
      <c r="W1853" s="26">
        <f>V1853 - L1853</f>
        <v/>
      </c>
    </row>
    <row r="1854">
      <c r="A1854" s="11" t="n">
        <v>46221</v>
      </c>
      <c r="B1854" s="1" t="n">
        <v>20088</v>
      </c>
      <c r="C1854" s="1" t="inlineStr">
        <is>
          <t>801</t>
        </is>
      </c>
      <c r="D1854" s="1" t="inlineStr">
        <is>
          <t xml:space="preserve">6776  </t>
        </is>
      </c>
      <c r="E1854" s="1" t="inlineStr">
        <is>
          <t xml:space="preserve">28194781       </t>
        </is>
      </c>
      <c r="F1854" s="5" t="inlineStr">
        <is>
          <t>TROMPO BATALLA INFINITY NADO SERIE V CLASICA SURTI</t>
        </is>
      </c>
      <c r="G1854" t="n">
        <v>1</v>
      </c>
      <c r="H1854" s="7" t="n">
        <v>39.9</v>
      </c>
      <c r="I1854" s="7" t="n">
        <v>0</v>
      </c>
      <c r="J1854" s="7" t="n">
        <v>0</v>
      </c>
      <c r="K1854" s="9" t="n">
        <v>0</v>
      </c>
      <c r="L1854" s="10" t="n">
        <v>23.67</v>
      </c>
      <c r="M1854" s="10" t="n">
        <v>1.43</v>
      </c>
      <c r="N1854" t="inlineStr">
        <is>
          <t>1</t>
        </is>
      </c>
      <c r="O1854" t="inlineStr">
        <is>
          <t>16</t>
        </is>
      </c>
      <c r="P1854" t="inlineStr">
        <is>
          <t xml:space="preserve">0       </t>
        </is>
      </c>
      <c r="Q1854" s="26" t="n">
        <v>59.9</v>
      </c>
      <c r="R1854" s="26">
        <f>Q1854*G1854</f>
        <v/>
      </c>
      <c r="S1854" t="n">
        <v>35.53</v>
      </c>
      <c r="T1854" s="18">
        <f>1 - V1854/S1854</f>
        <v/>
      </c>
      <c r="U1854" s="18" t="n">
        <v>0.333889816360601</v>
      </c>
      <c r="V1854" s="26" t="n">
        <v>25.36016949152542</v>
      </c>
      <c r="W1854" s="26">
        <f>V1854 - L1854</f>
        <v/>
      </c>
    </row>
    <row r="1855">
      <c r="A1855" s="11" t="n">
        <v>46221</v>
      </c>
      <c r="B1855" s="1" t="n">
        <v>20089</v>
      </c>
      <c r="C1855" s="1" t="inlineStr">
        <is>
          <t>025</t>
        </is>
      </c>
      <c r="D1855" s="1" t="inlineStr">
        <is>
          <t>122014</t>
        </is>
      </c>
      <c r="E1855" s="1" t="inlineStr">
        <is>
          <t xml:space="preserve">28194770       </t>
        </is>
      </c>
      <c r="F1855" s="5" t="inlineStr">
        <is>
          <t>AUTOS DE METAL 3 TEAMSTERZ EN BLISTER</t>
        </is>
      </c>
      <c r="G1855" t="n">
        <v>1</v>
      </c>
      <c r="H1855" s="7" t="n">
        <v>6.9</v>
      </c>
      <c r="I1855" s="7" t="n">
        <v>0.6899999999999999</v>
      </c>
      <c r="J1855" s="7" t="n">
        <v>0</v>
      </c>
      <c r="K1855" s="9" t="n">
        <v>0.6899999999999999</v>
      </c>
      <c r="L1855" s="10" t="n">
        <v>3.68</v>
      </c>
      <c r="M1855" s="10" t="n">
        <v>1.43</v>
      </c>
      <c r="N1855" t="inlineStr">
        <is>
          <t>1</t>
        </is>
      </c>
      <c r="O1855" t="inlineStr">
        <is>
          <t xml:space="preserve">3 </t>
        </is>
      </c>
      <c r="P1855" t="inlineStr">
        <is>
          <t xml:space="preserve">109709  </t>
        </is>
      </c>
      <c r="Q1855" s="26" t="n">
        <v>6.9</v>
      </c>
      <c r="R1855" s="26">
        <f>Q1855*G1855</f>
        <v/>
      </c>
      <c r="S1855" t="n">
        <v>4.09</v>
      </c>
      <c r="T1855" s="18">
        <f>1 - V1855/S1855</f>
        <v/>
      </c>
      <c r="U1855" s="18" t="n">
        <v>0</v>
      </c>
      <c r="V1855" s="26" t="n">
        <v>4.09</v>
      </c>
      <c r="W1855" s="26">
        <f>V1855 - L1855</f>
        <v/>
      </c>
    </row>
    <row r="1856">
      <c r="A1856" s="11" t="n">
        <v>46221</v>
      </c>
      <c r="B1856" s="1" t="n">
        <v>20089</v>
      </c>
      <c r="C1856" s="1" t="inlineStr">
        <is>
          <t>025</t>
        </is>
      </c>
      <c r="D1856" s="1" t="inlineStr">
        <is>
          <t>122079</t>
        </is>
      </c>
      <c r="E1856" s="1" t="inlineStr">
        <is>
          <t xml:space="preserve">31959960       </t>
        </is>
      </c>
      <c r="F1856" s="5" t="inlineStr">
        <is>
          <t>TEAMSTERZ PLAYSET DE CONSTRUCCION VEHICULOS + ACCE</t>
        </is>
      </c>
      <c r="G1856" t="n">
        <v>1</v>
      </c>
      <c r="H1856" s="7" t="n">
        <v>39.9</v>
      </c>
      <c r="I1856" s="7" t="n">
        <v>0</v>
      </c>
      <c r="J1856" s="7" t="n">
        <v>0</v>
      </c>
      <c r="K1856" s="9" t="n">
        <v>0</v>
      </c>
      <c r="L1856" s="10" t="n">
        <v>23.67</v>
      </c>
      <c r="M1856" s="10" t="n">
        <v>1.43</v>
      </c>
      <c r="N1856" t="inlineStr">
        <is>
          <t>1</t>
        </is>
      </c>
      <c r="O1856" t="inlineStr">
        <is>
          <t>16</t>
        </is>
      </c>
      <c r="P1856" t="inlineStr">
        <is>
          <t xml:space="preserve">109709  </t>
        </is>
      </c>
      <c r="Q1856" s="26" t="n">
        <v>39.9</v>
      </c>
      <c r="R1856" s="26">
        <f>Q1856*G1856</f>
        <v/>
      </c>
      <c r="S1856" t="n">
        <v>23.67</v>
      </c>
      <c r="T1856" s="18">
        <f>1 - V1856/S1856</f>
        <v/>
      </c>
      <c r="U1856" s="18" t="n">
        <v>0</v>
      </c>
      <c r="V1856" s="26" t="n">
        <v>23.67</v>
      </c>
      <c r="W1856" s="26">
        <f>V1856 - L1856</f>
        <v/>
      </c>
    </row>
    <row r="1857">
      <c r="A1857" s="11" t="n">
        <v>46221</v>
      </c>
      <c r="B1857" s="1" t="n">
        <v>20089</v>
      </c>
      <c r="C1857" s="1" t="inlineStr">
        <is>
          <t>026</t>
        </is>
      </c>
      <c r="D1857" s="1" t="inlineStr">
        <is>
          <t xml:space="preserve">88151 </t>
        </is>
      </c>
      <c r="E1857" s="1" t="inlineStr">
        <is>
          <t xml:space="preserve">28194770       </t>
        </is>
      </c>
      <c r="F1857" s="5" t="inlineStr">
        <is>
          <t>AUTOS DE METAL 3 TEAMSTERZ EN BLISTER</t>
        </is>
      </c>
      <c r="G1857" t="n">
        <v>1</v>
      </c>
      <c r="H1857" s="7" t="n">
        <v>6.9</v>
      </c>
      <c r="I1857" s="7" t="n">
        <v>0.6899999999999999</v>
      </c>
      <c r="J1857" s="7" t="n">
        <v>0</v>
      </c>
      <c r="K1857" s="9" t="n">
        <v>0.6899999999999999</v>
      </c>
      <c r="L1857" s="10" t="n">
        <v>3.68</v>
      </c>
      <c r="M1857" s="10" t="n">
        <v>1.43</v>
      </c>
      <c r="N1857" t="inlineStr">
        <is>
          <t>1</t>
        </is>
      </c>
      <c r="O1857" t="inlineStr">
        <is>
          <t xml:space="preserve">3 </t>
        </is>
      </c>
      <c r="P1857" t="inlineStr">
        <is>
          <t xml:space="preserve">94948   </t>
        </is>
      </c>
      <c r="Q1857" s="26" t="n">
        <v>6.9</v>
      </c>
      <c r="R1857" s="26">
        <f>Q1857*G1857</f>
        <v/>
      </c>
      <c r="S1857" t="n">
        <v>4.09</v>
      </c>
      <c r="T1857" s="18">
        <f>1 - V1857/S1857</f>
        <v/>
      </c>
      <c r="U1857" s="18" t="n">
        <v>0</v>
      </c>
      <c r="V1857" s="26" t="n">
        <v>4.09</v>
      </c>
      <c r="W1857" s="26">
        <f>V1857 - L1857</f>
        <v/>
      </c>
    </row>
    <row r="1858">
      <c r="A1858" s="11" t="n">
        <v>46221</v>
      </c>
      <c r="B1858" s="1" t="n">
        <v>20089</v>
      </c>
      <c r="C1858" s="1" t="inlineStr">
        <is>
          <t>026</t>
        </is>
      </c>
      <c r="D1858" s="1" t="inlineStr">
        <is>
          <t xml:space="preserve">88151 </t>
        </is>
      </c>
      <c r="E1858" s="1" t="inlineStr">
        <is>
          <t xml:space="preserve">28194770       </t>
        </is>
      </c>
      <c r="F1858" s="5" t="inlineStr">
        <is>
          <t>AUTOS DE METAL 3 TEAMSTERZ EN BLISTER</t>
        </is>
      </c>
      <c r="G1858" t="n">
        <v>1</v>
      </c>
      <c r="H1858" s="7" t="n">
        <v>6.9</v>
      </c>
      <c r="I1858" s="7" t="n">
        <v>0.6899999999999999</v>
      </c>
      <c r="J1858" s="7" t="n">
        <v>0</v>
      </c>
      <c r="K1858" s="9" t="n">
        <v>0.6899999999999999</v>
      </c>
      <c r="L1858" s="10" t="n">
        <v>3.68</v>
      </c>
      <c r="M1858" s="10" t="n">
        <v>1.43</v>
      </c>
      <c r="N1858" t="inlineStr">
        <is>
          <t>1</t>
        </is>
      </c>
      <c r="O1858" t="inlineStr">
        <is>
          <t xml:space="preserve">3 </t>
        </is>
      </c>
      <c r="P1858" t="inlineStr">
        <is>
          <t xml:space="preserve">94948   </t>
        </is>
      </c>
      <c r="Q1858" s="26" t="n">
        <v>6.9</v>
      </c>
      <c r="R1858" s="26">
        <f>Q1858*G1858</f>
        <v/>
      </c>
      <c r="S1858" t="n">
        <v>4.09</v>
      </c>
      <c r="T1858" s="18">
        <f>1 - V1858/S1858</f>
        <v/>
      </c>
      <c r="U1858" s="18" t="n">
        <v>0</v>
      </c>
      <c r="V1858" s="26" t="n">
        <v>4.09</v>
      </c>
      <c r="W1858" s="26">
        <f>V1858 - L1858</f>
        <v/>
      </c>
    </row>
    <row r="1859">
      <c r="A1859" s="11" t="n">
        <v>46221</v>
      </c>
      <c r="B1859" s="1" t="n">
        <v>20089</v>
      </c>
      <c r="C1859" s="1" t="inlineStr">
        <is>
          <t>026</t>
        </is>
      </c>
      <c r="D1859" s="1" t="inlineStr">
        <is>
          <t xml:space="preserve">88169 </t>
        </is>
      </c>
      <c r="E1859" s="1" t="inlineStr">
        <is>
          <t xml:space="preserve">28194770       </t>
        </is>
      </c>
      <c r="F1859" s="5" t="inlineStr">
        <is>
          <t>AUTOS DE METAL 3 TEAMSTERZ EN BLISTER</t>
        </is>
      </c>
      <c r="G1859" t="n">
        <v>1</v>
      </c>
      <c r="H1859" s="7" t="n">
        <v>6.9</v>
      </c>
      <c r="I1859" s="7" t="n">
        <v>0</v>
      </c>
      <c r="J1859" s="7" t="n">
        <v>0</v>
      </c>
      <c r="K1859" s="9" t="n">
        <v>0</v>
      </c>
      <c r="L1859" s="10" t="n">
        <v>4.1</v>
      </c>
      <c r="M1859" s="10" t="n">
        <v>1.43</v>
      </c>
      <c r="N1859" t="inlineStr">
        <is>
          <t>1</t>
        </is>
      </c>
      <c r="O1859" t="inlineStr">
        <is>
          <t>16</t>
        </is>
      </c>
      <c r="P1859" t="inlineStr">
        <is>
          <t xml:space="preserve">66808   </t>
        </is>
      </c>
      <c r="Q1859" s="26" t="n">
        <v>6.9</v>
      </c>
      <c r="R1859" s="26">
        <f>Q1859*G1859</f>
        <v/>
      </c>
      <c r="S1859" t="n">
        <v>4.09</v>
      </c>
      <c r="T1859" s="18">
        <f>1 - V1859/S1859</f>
        <v/>
      </c>
      <c r="U1859" s="18" t="n">
        <v>0</v>
      </c>
      <c r="V1859" s="26" t="n">
        <v>4.09</v>
      </c>
      <c r="W1859" s="26">
        <f>V1859 - L1859</f>
        <v/>
      </c>
    </row>
    <row r="1860">
      <c r="A1860" s="11" t="n">
        <v>46221</v>
      </c>
      <c r="B1860" s="1" t="n">
        <v>20089</v>
      </c>
      <c r="C1860" s="1" t="inlineStr">
        <is>
          <t>026</t>
        </is>
      </c>
      <c r="D1860" s="1" t="inlineStr">
        <is>
          <t xml:space="preserve">88176 </t>
        </is>
      </c>
      <c r="E1860" s="1" t="inlineStr">
        <is>
          <t xml:space="preserve">28194770       </t>
        </is>
      </c>
      <c r="F1860" s="5" t="inlineStr">
        <is>
          <t>AUTOS DE METAL 3 TEAMSTERZ EN BLISTER</t>
        </is>
      </c>
      <c r="G1860" t="n">
        <v>1</v>
      </c>
      <c r="H1860" s="7" t="n">
        <v>6.9</v>
      </c>
      <c r="I1860" s="7" t="n">
        <v>0.6899999999999999</v>
      </c>
      <c r="J1860" s="7" t="n">
        <v>0</v>
      </c>
      <c r="K1860" s="9" t="n">
        <v>0.6899999999999999</v>
      </c>
      <c r="L1860" s="10" t="n">
        <v>3.68</v>
      </c>
      <c r="M1860" s="10" t="n">
        <v>1.43</v>
      </c>
      <c r="N1860" t="inlineStr">
        <is>
          <t>1</t>
        </is>
      </c>
      <c r="O1860" t="inlineStr">
        <is>
          <t xml:space="preserve">3 </t>
        </is>
      </c>
      <c r="P1860" t="inlineStr">
        <is>
          <t xml:space="preserve">66808   </t>
        </is>
      </c>
      <c r="Q1860" s="26" t="n">
        <v>6.9</v>
      </c>
      <c r="R1860" s="26">
        <f>Q1860*G1860</f>
        <v/>
      </c>
      <c r="S1860" t="n">
        <v>4.09</v>
      </c>
      <c r="T1860" s="18">
        <f>1 - V1860/S1860</f>
        <v/>
      </c>
      <c r="U1860" s="18" t="n">
        <v>0</v>
      </c>
      <c r="V1860" s="26" t="n">
        <v>4.09</v>
      </c>
      <c r="W1860" s="26">
        <f>V1860 - L1860</f>
        <v/>
      </c>
    </row>
    <row r="1861">
      <c r="A1861" s="11" t="n">
        <v>46221</v>
      </c>
      <c r="B1861" s="1" t="n">
        <v>20089</v>
      </c>
      <c r="C1861" s="1" t="inlineStr">
        <is>
          <t>026</t>
        </is>
      </c>
      <c r="D1861" s="1" t="inlineStr">
        <is>
          <t xml:space="preserve">88176 </t>
        </is>
      </c>
      <c r="E1861" s="1" t="inlineStr">
        <is>
          <t xml:space="preserve">28194770       </t>
        </is>
      </c>
      <c r="F1861" s="5" t="inlineStr">
        <is>
          <t>AUTOS DE METAL 3 TEAMSTERZ EN BLISTER</t>
        </is>
      </c>
      <c r="G1861" t="n">
        <v>1</v>
      </c>
      <c r="H1861" s="7" t="n">
        <v>6.9</v>
      </c>
      <c r="I1861" s="7" t="n">
        <v>0.6899999999999999</v>
      </c>
      <c r="J1861" s="7" t="n">
        <v>0</v>
      </c>
      <c r="K1861" s="9" t="n">
        <v>0.6899999999999999</v>
      </c>
      <c r="L1861" s="10" t="n">
        <v>3.68</v>
      </c>
      <c r="M1861" s="10" t="n">
        <v>1.43</v>
      </c>
      <c r="N1861" t="inlineStr">
        <is>
          <t>1</t>
        </is>
      </c>
      <c r="O1861" t="inlineStr">
        <is>
          <t xml:space="preserve">3 </t>
        </is>
      </c>
      <c r="P1861" t="inlineStr">
        <is>
          <t xml:space="preserve">66808   </t>
        </is>
      </c>
      <c r="Q1861" s="26" t="n">
        <v>6.9</v>
      </c>
      <c r="R1861" s="26">
        <f>Q1861*G1861</f>
        <v/>
      </c>
      <c r="S1861" t="n">
        <v>4.09</v>
      </c>
      <c r="T1861" s="18">
        <f>1 - V1861/S1861</f>
        <v/>
      </c>
      <c r="U1861" s="18" t="n">
        <v>0</v>
      </c>
      <c r="V1861" s="26" t="n">
        <v>4.09</v>
      </c>
      <c r="W1861" s="26">
        <f>V1861 - L1861</f>
        <v/>
      </c>
    </row>
    <row r="1862">
      <c r="A1862" s="11" t="n">
        <v>46221</v>
      </c>
      <c r="B1862" s="1" t="n">
        <v>20089</v>
      </c>
      <c r="C1862" s="1" t="inlineStr">
        <is>
          <t>027</t>
        </is>
      </c>
      <c r="D1862" s="1" t="inlineStr">
        <is>
          <t xml:space="preserve">15961 </t>
        </is>
      </c>
      <c r="E1862" s="1" t="inlineStr">
        <is>
          <t xml:space="preserve">28194768       </t>
        </is>
      </c>
      <c r="F1862" s="5" t="inlineStr">
        <is>
          <t>AUTO COLOR CHANGE TEAMSTERZ SURTIDO</t>
        </is>
      </c>
      <c r="G1862" t="n">
        <v>1</v>
      </c>
      <c r="H1862" s="7" t="n">
        <v>14.9</v>
      </c>
      <c r="I1862" s="7" t="n">
        <v>1.49</v>
      </c>
      <c r="J1862" s="7" t="n">
        <v>0</v>
      </c>
      <c r="K1862" s="9" t="n">
        <v>1.49</v>
      </c>
      <c r="L1862" s="10" t="n">
        <v>7.95</v>
      </c>
      <c r="M1862" s="10" t="n">
        <v>1.43</v>
      </c>
      <c r="N1862" t="inlineStr">
        <is>
          <t>1</t>
        </is>
      </c>
      <c r="O1862" t="inlineStr">
        <is>
          <t xml:space="preserve">3 </t>
        </is>
      </c>
      <c r="P1862" t="inlineStr">
        <is>
          <t xml:space="preserve">248223  </t>
        </is>
      </c>
      <c r="Q1862" s="26" t="n">
        <v>14.9</v>
      </c>
      <c r="R1862" s="26">
        <f>Q1862*G1862</f>
        <v/>
      </c>
      <c r="S1862" t="n">
        <v>8.84</v>
      </c>
      <c r="T1862" s="18">
        <f>1 - V1862/S1862</f>
        <v/>
      </c>
      <c r="U1862" s="18" t="n">
        <v>0</v>
      </c>
      <c r="V1862" s="26" t="n">
        <v>8.84</v>
      </c>
      <c r="W1862" s="26">
        <f>V1862 - L1862</f>
        <v/>
      </c>
    </row>
    <row r="1863">
      <c r="A1863" s="11" t="n">
        <v>46221</v>
      </c>
      <c r="B1863" s="1" t="n">
        <v>20089</v>
      </c>
      <c r="C1863" s="1" t="inlineStr">
        <is>
          <t>027</t>
        </is>
      </c>
      <c r="D1863" s="1" t="inlineStr">
        <is>
          <t xml:space="preserve">15961 </t>
        </is>
      </c>
      <c r="E1863" s="1" t="inlineStr">
        <is>
          <t xml:space="preserve">28194770       </t>
        </is>
      </c>
      <c r="F1863" s="5" t="inlineStr">
        <is>
          <t>AUTOS DE METAL 3 TEAMSTERZ EN BLISTER</t>
        </is>
      </c>
      <c r="G1863" t="n">
        <v>1</v>
      </c>
      <c r="H1863" s="7" t="n">
        <v>6.9</v>
      </c>
      <c r="I1863" s="7" t="n">
        <v>0.6899999999999999</v>
      </c>
      <c r="J1863" s="7" t="n">
        <v>0</v>
      </c>
      <c r="K1863" s="9" t="n">
        <v>0.6899999999999999</v>
      </c>
      <c r="L1863" s="10" t="n">
        <v>3.68</v>
      </c>
      <c r="M1863" s="10" t="n">
        <v>1.43</v>
      </c>
      <c r="N1863" t="inlineStr">
        <is>
          <t>1</t>
        </is>
      </c>
      <c r="O1863" t="inlineStr">
        <is>
          <t xml:space="preserve">3 </t>
        </is>
      </c>
      <c r="P1863" t="inlineStr">
        <is>
          <t xml:space="preserve">248223  </t>
        </is>
      </c>
      <c r="Q1863" s="26" t="n">
        <v>6.9</v>
      </c>
      <c r="R1863" s="26">
        <f>Q1863*G1863</f>
        <v/>
      </c>
      <c r="S1863" t="n">
        <v>4.09</v>
      </c>
      <c r="T1863" s="18">
        <f>1 - V1863/S1863</f>
        <v/>
      </c>
      <c r="U1863" s="18" t="n">
        <v>0</v>
      </c>
      <c r="V1863" s="26" t="n">
        <v>4.09</v>
      </c>
      <c r="W1863" s="26">
        <f>V1863 - L1863</f>
        <v/>
      </c>
    </row>
    <row r="1864">
      <c r="A1864" s="11" t="n">
        <v>46221</v>
      </c>
      <c r="B1864" s="1" t="n">
        <v>20089</v>
      </c>
      <c r="C1864" s="1" t="inlineStr">
        <is>
          <t>027</t>
        </is>
      </c>
      <c r="D1864" s="1" t="inlineStr">
        <is>
          <t xml:space="preserve">15969 </t>
        </is>
      </c>
      <c r="E1864" s="1" t="inlineStr">
        <is>
          <t xml:space="preserve">28194770       </t>
        </is>
      </c>
      <c r="F1864" s="5" t="inlineStr">
        <is>
          <t>AUTOS DE METAL 3 TEAMSTERZ EN BLISTER</t>
        </is>
      </c>
      <c r="G1864" t="n">
        <v>1</v>
      </c>
      <c r="H1864" s="7" t="n">
        <v>6.9</v>
      </c>
      <c r="I1864" s="7" t="n">
        <v>0</v>
      </c>
      <c r="J1864" s="7" t="n">
        <v>0</v>
      </c>
      <c r="K1864" s="9" t="n">
        <v>0</v>
      </c>
      <c r="L1864" s="10" t="n">
        <v>4.1</v>
      </c>
      <c r="M1864" s="10" t="n">
        <v>1.43</v>
      </c>
      <c r="N1864" t="inlineStr">
        <is>
          <t>1</t>
        </is>
      </c>
      <c r="O1864" t="inlineStr">
        <is>
          <t>16</t>
        </is>
      </c>
      <c r="P1864" t="inlineStr">
        <is>
          <t xml:space="preserve">248223  </t>
        </is>
      </c>
      <c r="Q1864" s="26" t="n">
        <v>6.9</v>
      </c>
      <c r="R1864" s="26">
        <f>Q1864*G1864</f>
        <v/>
      </c>
      <c r="S1864" t="n">
        <v>4.09</v>
      </c>
      <c r="T1864" s="18">
        <f>1 - V1864/S1864</f>
        <v/>
      </c>
      <c r="U1864" s="18" t="n">
        <v>0</v>
      </c>
      <c r="V1864" s="26" t="n">
        <v>4.09</v>
      </c>
      <c r="W1864" s="26">
        <f>V1864 - L1864</f>
        <v/>
      </c>
    </row>
    <row r="1865">
      <c r="A1865" s="11" t="n">
        <v>46221</v>
      </c>
      <c r="B1865" s="1" t="n">
        <v>20089</v>
      </c>
      <c r="C1865" s="1" t="inlineStr">
        <is>
          <t>027</t>
        </is>
      </c>
      <c r="D1865" s="1" t="inlineStr">
        <is>
          <t xml:space="preserve">15991 </t>
        </is>
      </c>
      <c r="E1865" s="1" t="inlineStr">
        <is>
          <t xml:space="preserve">30141766       </t>
        </is>
      </c>
      <c r="F1865" s="5" t="inlineStr">
        <is>
          <t>TMZ BEAST MACHINES AUTOS DE METAL BLISTER X 1</t>
        </is>
      </c>
      <c r="G1865" t="n">
        <v>1</v>
      </c>
      <c r="H1865" s="7" t="n">
        <v>7.9</v>
      </c>
      <c r="I1865" s="7" t="n">
        <v>0.79</v>
      </c>
      <c r="J1865" s="7" t="n">
        <v>0</v>
      </c>
      <c r="K1865" s="9" t="n">
        <v>0.79</v>
      </c>
      <c r="L1865" s="10" t="n">
        <v>4.22</v>
      </c>
      <c r="M1865" s="10" t="n">
        <v>1.43</v>
      </c>
      <c r="N1865" t="inlineStr">
        <is>
          <t>1</t>
        </is>
      </c>
      <c r="O1865" t="inlineStr">
        <is>
          <t xml:space="preserve">3 </t>
        </is>
      </c>
      <c r="P1865" t="inlineStr">
        <is>
          <t xml:space="preserve">248223  </t>
        </is>
      </c>
      <c r="Q1865" s="26" t="n">
        <v>7.9</v>
      </c>
      <c r="R1865" s="26">
        <f>Q1865*G1865</f>
        <v/>
      </c>
      <c r="S1865" t="n">
        <v>4.69</v>
      </c>
      <c r="T1865" s="18">
        <f>1 - V1865/S1865</f>
        <v/>
      </c>
      <c r="U1865" s="18" t="n">
        <v>0</v>
      </c>
      <c r="V1865" s="26" t="n">
        <v>4.69</v>
      </c>
      <c r="W1865" s="26">
        <f>V1865 - L1865</f>
        <v/>
      </c>
    </row>
    <row r="1866">
      <c r="A1866" s="11" t="n">
        <v>46221</v>
      </c>
      <c r="B1866" s="1" t="n">
        <v>20089</v>
      </c>
      <c r="C1866" s="1" t="inlineStr">
        <is>
          <t>027</t>
        </is>
      </c>
      <c r="D1866" s="1" t="inlineStr">
        <is>
          <t xml:space="preserve">15991 </t>
        </is>
      </c>
      <c r="E1866" s="1" t="inlineStr">
        <is>
          <t xml:space="preserve">30141766       </t>
        </is>
      </c>
      <c r="F1866" s="5" t="inlineStr">
        <is>
          <t>TMZ BEAST MACHINES AUTOS DE METAL BLISTER X 1</t>
        </is>
      </c>
      <c r="G1866" t="n">
        <v>1</v>
      </c>
      <c r="H1866" s="7" t="n">
        <v>7.9</v>
      </c>
      <c r="I1866" s="7" t="n">
        <v>0.79</v>
      </c>
      <c r="J1866" s="7" t="n">
        <v>0</v>
      </c>
      <c r="K1866" s="9" t="n">
        <v>0.79</v>
      </c>
      <c r="L1866" s="10" t="n">
        <v>4.22</v>
      </c>
      <c r="M1866" s="10" t="n">
        <v>1.43</v>
      </c>
      <c r="N1866" t="inlineStr">
        <is>
          <t>1</t>
        </is>
      </c>
      <c r="O1866" t="inlineStr">
        <is>
          <t xml:space="preserve">3 </t>
        </is>
      </c>
      <c r="P1866" t="inlineStr">
        <is>
          <t xml:space="preserve">248223  </t>
        </is>
      </c>
      <c r="Q1866" s="26" t="n">
        <v>7.9</v>
      </c>
      <c r="R1866" s="26">
        <f>Q1866*G1866</f>
        <v/>
      </c>
      <c r="S1866" t="n">
        <v>4.69</v>
      </c>
      <c r="T1866" s="18">
        <f>1 - V1866/S1866</f>
        <v/>
      </c>
      <c r="U1866" s="18" t="n">
        <v>0</v>
      </c>
      <c r="V1866" s="26" t="n">
        <v>4.69</v>
      </c>
      <c r="W1866" s="26">
        <f>V1866 - L1866</f>
        <v/>
      </c>
    </row>
    <row r="1867">
      <c r="A1867" s="11" t="n">
        <v>46221</v>
      </c>
      <c r="B1867" s="1" t="n">
        <v>20089</v>
      </c>
      <c r="C1867" s="1" t="inlineStr">
        <is>
          <t>860</t>
        </is>
      </c>
      <c r="D1867" s="1" t="inlineStr">
        <is>
          <t xml:space="preserve">9697  </t>
        </is>
      </c>
      <c r="E1867" s="1" t="inlineStr">
        <is>
          <t xml:space="preserve">28194769       </t>
        </is>
      </c>
      <c r="F1867" s="5" t="inlineStr">
        <is>
          <t>AUTOS DE METAL 3 TEAMSTERZ PACK DE 2</t>
        </is>
      </c>
      <c r="G1867" t="n">
        <v>1</v>
      </c>
      <c r="H1867" s="7" t="n">
        <v>13.8</v>
      </c>
      <c r="I1867" s="7" t="n">
        <v>0</v>
      </c>
      <c r="J1867" s="7" t="n">
        <v>0</v>
      </c>
      <c r="K1867" s="9" t="n">
        <v>0</v>
      </c>
      <c r="L1867" s="10" t="n">
        <v>8.18</v>
      </c>
      <c r="M1867" s="10" t="n">
        <v>1.43</v>
      </c>
      <c r="N1867" t="inlineStr">
        <is>
          <t>1</t>
        </is>
      </c>
      <c r="O1867" t="inlineStr">
        <is>
          <t>16</t>
        </is>
      </c>
      <c r="P1867" t="inlineStr">
        <is>
          <t xml:space="preserve">0       </t>
        </is>
      </c>
      <c r="Q1867" s="26" t="n">
        <v>13.8</v>
      </c>
      <c r="R1867" s="26">
        <f>Q1867*G1867</f>
        <v/>
      </c>
      <c r="S1867" t="n">
        <v>8.19</v>
      </c>
      <c r="T1867" s="18">
        <f>1 - V1867/S1867</f>
        <v/>
      </c>
      <c r="U1867" s="18" t="n">
        <v>0</v>
      </c>
      <c r="V1867" s="26" t="n">
        <v>8.19</v>
      </c>
      <c r="W1867" s="26">
        <f>V1867 - L1867</f>
        <v/>
      </c>
    </row>
    <row r="1868">
      <c r="A1868" s="11" t="n">
        <v>46221</v>
      </c>
      <c r="B1868" s="1" t="n">
        <v>20089</v>
      </c>
      <c r="C1868" s="1" t="inlineStr">
        <is>
          <t>862</t>
        </is>
      </c>
      <c r="D1868" s="1" t="inlineStr">
        <is>
          <t xml:space="preserve">8615  </t>
        </is>
      </c>
      <c r="E1868" s="1" t="inlineStr">
        <is>
          <t xml:space="preserve">31675352       </t>
        </is>
      </c>
      <c r="F1868" s="5" t="inlineStr">
        <is>
          <t>MI PEQUENO NENUCO</t>
        </is>
      </c>
      <c r="G1868" t="n">
        <v>1</v>
      </c>
      <c r="H1868" s="7" t="n">
        <v>49.9</v>
      </c>
      <c r="I1868" s="7" t="n">
        <v>0</v>
      </c>
      <c r="J1868" s="7" t="n">
        <v>0</v>
      </c>
      <c r="K1868" s="9" t="n">
        <v>0</v>
      </c>
      <c r="L1868" s="10" t="n">
        <v>29.6</v>
      </c>
      <c r="M1868" s="10" t="n">
        <v>1.43</v>
      </c>
      <c r="N1868" t="inlineStr">
        <is>
          <t>1</t>
        </is>
      </c>
      <c r="O1868" t="inlineStr">
        <is>
          <t>16</t>
        </is>
      </c>
      <c r="P1868" t="inlineStr">
        <is>
          <t xml:space="preserve">0       </t>
        </is>
      </c>
      <c r="Q1868" s="26" t="n">
        <v>69.90000000000001</v>
      </c>
      <c r="R1868" s="26">
        <f>Q1868*G1868</f>
        <v/>
      </c>
      <c r="S1868" t="n">
        <v>41.47</v>
      </c>
      <c r="T1868" s="18">
        <f>1 - V1868/S1868</f>
        <v/>
      </c>
      <c r="U1868" s="18" t="n">
        <v>0.2861230329041489</v>
      </c>
      <c r="V1868" s="26" t="n">
        <v>31.71610169491525</v>
      </c>
      <c r="W1868" s="26">
        <f>V1868 - L1868</f>
        <v/>
      </c>
    </row>
    <row r="1869">
      <c r="A1869" s="11" t="n">
        <v>46221</v>
      </c>
      <c r="B1869" s="1" t="n">
        <v>20095</v>
      </c>
      <c r="C1869" s="1" t="inlineStr">
        <is>
          <t>043</t>
        </is>
      </c>
      <c r="D1869" s="1" t="inlineStr">
        <is>
          <t>107988</t>
        </is>
      </c>
      <c r="E1869" s="1" t="inlineStr">
        <is>
          <t xml:space="preserve">28194780       </t>
        </is>
      </c>
      <c r="F1869" s="5" t="inlineStr">
        <is>
          <t>TROMPO BATALLA INFINITY NADO PLSTICO SURTIDO</t>
        </is>
      </c>
      <c r="G1869" t="n">
        <v>1</v>
      </c>
      <c r="H1869" s="7" t="n">
        <v>19.9</v>
      </c>
      <c r="I1869" s="7" t="n">
        <v>0</v>
      </c>
      <c r="J1869" s="7" t="n">
        <v>0</v>
      </c>
      <c r="K1869" s="9" t="n">
        <v>0</v>
      </c>
      <c r="L1869" s="10" t="n">
        <v>11.8</v>
      </c>
      <c r="M1869" s="10" t="n">
        <v>1.43</v>
      </c>
      <c r="N1869" t="inlineStr">
        <is>
          <t>1</t>
        </is>
      </c>
      <c r="O1869" t="inlineStr">
        <is>
          <t xml:space="preserve">2 </t>
        </is>
      </c>
      <c r="P1869" t="inlineStr">
        <is>
          <t xml:space="preserve">57461   </t>
        </is>
      </c>
      <c r="Q1869" s="26" t="n">
        <v>19.9</v>
      </c>
      <c r="R1869" s="26">
        <f>Q1869*G1869</f>
        <v/>
      </c>
      <c r="S1869" t="n">
        <v>11.81</v>
      </c>
      <c r="T1869" s="18">
        <f>1 - V1869/S1869</f>
        <v/>
      </c>
      <c r="U1869" s="18" t="n">
        <v>0</v>
      </c>
      <c r="V1869" s="26" t="n">
        <v>11.81</v>
      </c>
      <c r="W1869" s="26">
        <f>V1869 - L1869</f>
        <v/>
      </c>
    </row>
    <row r="1870">
      <c r="A1870" s="11" t="n">
        <v>46221</v>
      </c>
      <c r="B1870" s="1" t="n">
        <v>20095</v>
      </c>
      <c r="C1870" s="1" t="inlineStr">
        <is>
          <t>043</t>
        </is>
      </c>
      <c r="D1870" s="1" t="inlineStr">
        <is>
          <t>107988</t>
        </is>
      </c>
      <c r="E1870" s="1" t="inlineStr">
        <is>
          <t xml:space="preserve">30232284       </t>
        </is>
      </c>
      <c r="F1870" s="5" t="inlineStr">
        <is>
          <t>INFINITY NADO TROMPO DE BATALLA - METAL C/PUNTA DE</t>
        </is>
      </c>
      <c r="G1870" t="n">
        <v>1</v>
      </c>
      <c r="H1870" s="7" t="n">
        <v>34.9</v>
      </c>
      <c r="I1870" s="7" t="n">
        <v>0</v>
      </c>
      <c r="J1870" s="7" t="n">
        <v>0</v>
      </c>
      <c r="K1870" s="9" t="n">
        <v>0</v>
      </c>
      <c r="L1870" s="10" t="n">
        <v>20.71</v>
      </c>
      <c r="M1870" s="10" t="n">
        <v>1.43</v>
      </c>
      <c r="N1870" t="inlineStr">
        <is>
          <t>1</t>
        </is>
      </c>
      <c r="O1870" t="inlineStr">
        <is>
          <t xml:space="preserve">2 </t>
        </is>
      </c>
      <c r="P1870" t="inlineStr">
        <is>
          <t xml:space="preserve">57461   </t>
        </is>
      </c>
      <c r="Q1870" s="26" t="n">
        <v>49.9</v>
      </c>
      <c r="R1870" s="26">
        <f>Q1870*G1870</f>
        <v/>
      </c>
      <c r="S1870" t="n">
        <v>29.6</v>
      </c>
      <c r="T1870" s="18">
        <f>1 - V1870/S1870</f>
        <v/>
      </c>
      <c r="U1870" s="18" t="n">
        <v>0.3006012024048096</v>
      </c>
      <c r="V1870" s="26" t="n">
        <v>22.18220338983051</v>
      </c>
      <c r="W1870" s="26">
        <f>V1870 - L1870</f>
        <v/>
      </c>
    </row>
    <row r="1871">
      <c r="A1871" s="11" t="n">
        <v>46221</v>
      </c>
      <c r="B1871" s="1" t="n">
        <v>20095</v>
      </c>
      <c r="C1871" s="1" t="inlineStr">
        <is>
          <t>043</t>
        </is>
      </c>
      <c r="D1871" s="1" t="inlineStr">
        <is>
          <t>108035</t>
        </is>
      </c>
      <c r="E1871" s="1" t="inlineStr">
        <is>
          <t xml:space="preserve">28194768       </t>
        </is>
      </c>
      <c r="F1871" s="5" t="inlineStr">
        <is>
          <t>AUTO COLOR CHANGE TEAMSTERZ SURTIDO</t>
        </is>
      </c>
      <c r="G1871" t="n">
        <v>1</v>
      </c>
      <c r="H1871" s="7" t="n">
        <v>14.9</v>
      </c>
      <c r="I1871" s="7" t="n">
        <v>0</v>
      </c>
      <c r="J1871" s="7" t="n">
        <v>0</v>
      </c>
      <c r="K1871" s="9" t="n">
        <v>0</v>
      </c>
      <c r="L1871" s="10" t="n">
        <v>8.84</v>
      </c>
      <c r="M1871" s="10" t="n">
        <v>1.43</v>
      </c>
      <c r="N1871" t="inlineStr">
        <is>
          <t>1</t>
        </is>
      </c>
      <c r="O1871" t="inlineStr">
        <is>
          <t>16</t>
        </is>
      </c>
      <c r="P1871" t="inlineStr">
        <is>
          <t xml:space="preserve">57461   </t>
        </is>
      </c>
      <c r="Q1871" s="26" t="n">
        <v>14.9</v>
      </c>
      <c r="R1871" s="26">
        <f>Q1871*G1871</f>
        <v/>
      </c>
      <c r="S1871" t="n">
        <v>8.84</v>
      </c>
      <c r="T1871" s="18">
        <f>1 - V1871/S1871</f>
        <v/>
      </c>
      <c r="U1871" s="18" t="n">
        <v>0</v>
      </c>
      <c r="V1871" s="26" t="n">
        <v>8.84</v>
      </c>
      <c r="W1871" s="26">
        <f>V1871 - L1871</f>
        <v/>
      </c>
    </row>
    <row r="1872">
      <c r="A1872" s="11" t="n">
        <v>46221</v>
      </c>
      <c r="B1872" s="1" t="n">
        <v>20095</v>
      </c>
      <c r="C1872" s="1" t="inlineStr">
        <is>
          <t>043</t>
        </is>
      </c>
      <c r="D1872" s="1" t="inlineStr">
        <is>
          <t>108035</t>
        </is>
      </c>
      <c r="E1872" s="1" t="inlineStr">
        <is>
          <t xml:space="preserve">28194768       </t>
        </is>
      </c>
      <c r="F1872" s="5" t="inlineStr">
        <is>
          <t>AUTO COLOR CHANGE TEAMSTERZ SURTIDO</t>
        </is>
      </c>
      <c r="G1872" t="n">
        <v>1</v>
      </c>
      <c r="H1872" s="7" t="n">
        <v>14.9</v>
      </c>
      <c r="I1872" s="7" t="n">
        <v>0</v>
      </c>
      <c r="J1872" s="7" t="n">
        <v>0</v>
      </c>
      <c r="K1872" s="9" t="n">
        <v>0</v>
      </c>
      <c r="L1872" s="10" t="n">
        <v>8.84</v>
      </c>
      <c r="M1872" s="10" t="n">
        <v>1.43</v>
      </c>
      <c r="N1872" t="inlineStr">
        <is>
          <t>1</t>
        </is>
      </c>
      <c r="O1872" t="inlineStr">
        <is>
          <t>16</t>
        </is>
      </c>
      <c r="P1872" t="inlineStr">
        <is>
          <t xml:space="preserve">57461   </t>
        </is>
      </c>
      <c r="Q1872" s="26" t="n">
        <v>14.9</v>
      </c>
      <c r="R1872" s="26">
        <f>Q1872*G1872</f>
        <v/>
      </c>
      <c r="S1872" t="n">
        <v>8.84</v>
      </c>
      <c r="T1872" s="18">
        <f>1 - V1872/S1872</f>
        <v/>
      </c>
      <c r="U1872" s="18" t="n">
        <v>0</v>
      </c>
      <c r="V1872" s="26" t="n">
        <v>8.84</v>
      </c>
      <c r="W1872" s="26">
        <f>V1872 - L1872</f>
        <v/>
      </c>
    </row>
    <row r="1873">
      <c r="A1873" s="11" t="n">
        <v>46221</v>
      </c>
      <c r="B1873" s="1" t="n">
        <v>20095</v>
      </c>
      <c r="C1873" s="1" t="inlineStr">
        <is>
          <t>043</t>
        </is>
      </c>
      <c r="D1873" s="1" t="inlineStr">
        <is>
          <t>108068</t>
        </is>
      </c>
      <c r="E1873" s="1" t="inlineStr">
        <is>
          <t xml:space="preserve">30141766       </t>
        </is>
      </c>
      <c r="F1873" s="5" t="inlineStr">
        <is>
          <t>TMZ BEAST MACHINES AUTOS DE METAL BLISTER X 1</t>
        </is>
      </c>
      <c r="G1873" t="n">
        <v>1</v>
      </c>
      <c r="H1873" s="7" t="n">
        <v>7.9</v>
      </c>
      <c r="I1873" s="7" t="n">
        <v>0</v>
      </c>
      <c r="J1873" s="7" t="n">
        <v>0</v>
      </c>
      <c r="K1873" s="9" t="n">
        <v>0</v>
      </c>
      <c r="L1873" s="10" t="n">
        <v>4.68</v>
      </c>
      <c r="M1873" s="10" t="n">
        <v>1.43</v>
      </c>
      <c r="N1873" t="inlineStr">
        <is>
          <t>1</t>
        </is>
      </c>
      <c r="O1873" t="inlineStr">
        <is>
          <t>16</t>
        </is>
      </c>
      <c r="P1873" t="inlineStr">
        <is>
          <t xml:space="preserve">57461   </t>
        </is>
      </c>
      <c r="Q1873" s="26" t="n">
        <v>7.9</v>
      </c>
      <c r="R1873" s="26">
        <f>Q1873*G1873</f>
        <v/>
      </c>
      <c r="S1873" t="n">
        <v>4.69</v>
      </c>
      <c r="T1873" s="18">
        <f>1 - V1873/S1873</f>
        <v/>
      </c>
      <c r="U1873" s="18" t="n">
        <v>0</v>
      </c>
      <c r="V1873" s="26" t="n">
        <v>4.69</v>
      </c>
      <c r="W1873" s="26">
        <f>V1873 - L1873</f>
        <v/>
      </c>
    </row>
    <row r="1874">
      <c r="A1874" s="11" t="n">
        <v>46221</v>
      </c>
      <c r="B1874" s="1" t="n">
        <v>20095</v>
      </c>
      <c r="C1874" s="1" t="inlineStr">
        <is>
          <t>044</t>
        </is>
      </c>
      <c r="D1874" s="1" t="inlineStr">
        <is>
          <t xml:space="preserve">94096 </t>
        </is>
      </c>
      <c r="E1874" s="1" t="inlineStr">
        <is>
          <t xml:space="preserve">33661538       </t>
        </is>
      </c>
      <c r="F1874" s="5" t="inlineStr">
        <is>
          <t>HOT WHEELS CASE GARAGE RUEDA METAL EN LLAMAS X 29</t>
        </is>
      </c>
      <c r="G1874" t="n">
        <v>1</v>
      </c>
      <c r="H1874" s="7" t="n">
        <v>69.90000000000001</v>
      </c>
      <c r="I1874" s="7" t="n">
        <v>0</v>
      </c>
      <c r="J1874" s="7" t="n">
        <v>0</v>
      </c>
      <c r="K1874" s="9" t="n">
        <v>0</v>
      </c>
      <c r="L1874" s="10" t="n">
        <v>41.47</v>
      </c>
      <c r="M1874" s="10" t="n">
        <v>1.43</v>
      </c>
      <c r="N1874" t="inlineStr">
        <is>
          <t>1</t>
        </is>
      </c>
      <c r="O1874" t="inlineStr">
        <is>
          <t>16</t>
        </is>
      </c>
      <c r="P1874" t="inlineStr">
        <is>
          <t xml:space="preserve">248989  </t>
        </is>
      </c>
      <c r="Q1874" s="26" t="n">
        <v>69.90000000000001</v>
      </c>
      <c r="R1874" s="26">
        <f>Q1874*G1874</f>
        <v/>
      </c>
      <c r="S1874" t="n">
        <v>41.47</v>
      </c>
      <c r="T1874" s="18">
        <f>1 - V1874/S1874</f>
        <v/>
      </c>
      <c r="U1874" s="18" t="n">
        <v>0</v>
      </c>
      <c r="V1874" s="26" t="n">
        <v>41.47</v>
      </c>
      <c r="W1874" s="26">
        <f>V1874 - L1874</f>
        <v/>
      </c>
    </row>
    <row r="1875">
      <c r="A1875" s="11" t="n">
        <v>46221</v>
      </c>
      <c r="B1875" s="1" t="n">
        <v>20095</v>
      </c>
      <c r="C1875" s="1" t="inlineStr">
        <is>
          <t>044</t>
        </is>
      </c>
      <c r="D1875" s="1" t="inlineStr">
        <is>
          <t xml:space="preserve">94104 </t>
        </is>
      </c>
      <c r="E1875" s="1" t="inlineStr">
        <is>
          <t xml:space="preserve">28194770       </t>
        </is>
      </c>
      <c r="F1875" s="5" t="inlineStr">
        <is>
          <t>AUTOS DE METAL 3 TEAMSTERZ EN BLISTER</t>
        </is>
      </c>
      <c r="G1875" t="n">
        <v>1</v>
      </c>
      <c r="H1875" s="7" t="n">
        <v>6.9</v>
      </c>
      <c r="I1875" s="7" t="n">
        <v>0</v>
      </c>
      <c r="J1875" s="7" t="n">
        <v>0</v>
      </c>
      <c r="K1875" s="9" t="n">
        <v>0</v>
      </c>
      <c r="L1875" s="10" t="n">
        <v>4.1</v>
      </c>
      <c r="M1875" s="10" t="n">
        <v>1.43</v>
      </c>
      <c r="N1875" t="inlineStr">
        <is>
          <t>1</t>
        </is>
      </c>
      <c r="O1875" t="inlineStr">
        <is>
          <t>16</t>
        </is>
      </c>
      <c r="P1875" t="inlineStr">
        <is>
          <t xml:space="preserve">248989  </t>
        </is>
      </c>
      <c r="Q1875" s="26" t="n">
        <v>6.9</v>
      </c>
      <c r="R1875" s="26">
        <f>Q1875*G1875</f>
        <v/>
      </c>
      <c r="S1875" t="n">
        <v>4.09</v>
      </c>
      <c r="T1875" s="18">
        <f>1 - V1875/S1875</f>
        <v/>
      </c>
      <c r="U1875" s="18" t="n">
        <v>0</v>
      </c>
      <c r="V1875" s="26" t="n">
        <v>4.09</v>
      </c>
      <c r="W1875" s="26">
        <f>V1875 - L1875</f>
        <v/>
      </c>
    </row>
    <row r="1876">
      <c r="A1876" s="11" t="n">
        <v>46221</v>
      </c>
      <c r="B1876" s="1" t="n">
        <v>20095</v>
      </c>
      <c r="C1876" s="1" t="inlineStr">
        <is>
          <t>044</t>
        </is>
      </c>
      <c r="D1876" s="1" t="inlineStr">
        <is>
          <t xml:space="preserve">94104 </t>
        </is>
      </c>
      <c r="E1876" s="1" t="inlineStr">
        <is>
          <t xml:space="preserve">28194770       </t>
        </is>
      </c>
      <c r="F1876" s="5" t="inlineStr">
        <is>
          <t>AUTOS DE METAL 3 TEAMSTERZ EN BLISTER</t>
        </is>
      </c>
      <c r="G1876" t="n">
        <v>1</v>
      </c>
      <c r="H1876" s="7" t="n">
        <v>6.9</v>
      </c>
      <c r="I1876" s="7" t="n">
        <v>0</v>
      </c>
      <c r="J1876" s="7" t="n">
        <v>0</v>
      </c>
      <c r="K1876" s="9" t="n">
        <v>0</v>
      </c>
      <c r="L1876" s="10" t="n">
        <v>4.1</v>
      </c>
      <c r="M1876" s="10" t="n">
        <v>1.43</v>
      </c>
      <c r="N1876" t="inlineStr">
        <is>
          <t>1</t>
        </is>
      </c>
      <c r="O1876" t="inlineStr">
        <is>
          <t>16</t>
        </is>
      </c>
      <c r="P1876" t="inlineStr">
        <is>
          <t xml:space="preserve">248989  </t>
        </is>
      </c>
      <c r="Q1876" s="26" t="n">
        <v>6.9</v>
      </c>
      <c r="R1876" s="26">
        <f>Q1876*G1876</f>
        <v/>
      </c>
      <c r="S1876" t="n">
        <v>4.09</v>
      </c>
      <c r="T1876" s="18">
        <f>1 - V1876/S1876</f>
        <v/>
      </c>
      <c r="U1876" s="18" t="n">
        <v>0</v>
      </c>
      <c r="V1876" s="26" t="n">
        <v>4.09</v>
      </c>
      <c r="W1876" s="26">
        <f>V1876 - L1876</f>
        <v/>
      </c>
    </row>
    <row r="1877">
      <c r="A1877" s="11" t="n">
        <v>46221</v>
      </c>
      <c r="B1877" s="1" t="n">
        <v>20095</v>
      </c>
      <c r="C1877" s="1" t="inlineStr">
        <is>
          <t>044</t>
        </is>
      </c>
      <c r="D1877" s="1" t="inlineStr">
        <is>
          <t xml:space="preserve">94104 </t>
        </is>
      </c>
      <c r="E1877" s="1" t="inlineStr">
        <is>
          <t xml:space="preserve">28194770       </t>
        </is>
      </c>
      <c r="F1877" s="5" t="inlineStr">
        <is>
          <t>AUTOS DE METAL 3 TEAMSTERZ EN BLISTER</t>
        </is>
      </c>
      <c r="G1877" t="n">
        <v>1</v>
      </c>
      <c r="H1877" s="7" t="n">
        <v>6.9</v>
      </c>
      <c r="I1877" s="7" t="n">
        <v>0</v>
      </c>
      <c r="J1877" s="7" t="n">
        <v>0</v>
      </c>
      <c r="K1877" s="9" t="n">
        <v>0</v>
      </c>
      <c r="L1877" s="10" t="n">
        <v>4.1</v>
      </c>
      <c r="M1877" s="10" t="n">
        <v>1.43</v>
      </c>
      <c r="N1877" t="inlineStr">
        <is>
          <t>1</t>
        </is>
      </c>
      <c r="O1877" t="inlineStr">
        <is>
          <t>16</t>
        </is>
      </c>
      <c r="P1877" t="inlineStr">
        <is>
          <t xml:space="preserve">248989  </t>
        </is>
      </c>
      <c r="Q1877" s="26" t="n">
        <v>6.9</v>
      </c>
      <c r="R1877" s="26">
        <f>Q1877*G1877</f>
        <v/>
      </c>
      <c r="S1877" t="n">
        <v>4.09</v>
      </c>
      <c r="T1877" s="18">
        <f>1 - V1877/S1877</f>
        <v/>
      </c>
      <c r="U1877" s="18" t="n">
        <v>0</v>
      </c>
      <c r="V1877" s="26" t="n">
        <v>4.09</v>
      </c>
      <c r="W1877" s="26">
        <f>V1877 - L1877</f>
        <v/>
      </c>
    </row>
    <row r="1878">
      <c r="A1878" s="11" t="n">
        <v>46221</v>
      </c>
      <c r="B1878" s="1" t="n">
        <v>20095</v>
      </c>
      <c r="C1878" s="1" t="inlineStr">
        <is>
          <t>044</t>
        </is>
      </c>
      <c r="D1878" s="1" t="inlineStr">
        <is>
          <t xml:space="preserve">94133 </t>
        </is>
      </c>
      <c r="E1878" s="1" t="inlineStr">
        <is>
          <t xml:space="preserve">28194770       </t>
        </is>
      </c>
      <c r="F1878" s="5" t="inlineStr">
        <is>
          <t>AUTOS DE METAL 3 TEAMSTERZ EN BLISTER</t>
        </is>
      </c>
      <c r="G1878" t="n">
        <v>1</v>
      </c>
      <c r="H1878" s="7" t="n">
        <v>6.9</v>
      </c>
      <c r="I1878" s="7" t="n">
        <v>0</v>
      </c>
      <c r="J1878" s="7" t="n">
        <v>0</v>
      </c>
      <c r="K1878" s="9" t="n">
        <v>0</v>
      </c>
      <c r="L1878" s="10" t="n">
        <v>4.1</v>
      </c>
      <c r="M1878" s="10" t="n">
        <v>1.43</v>
      </c>
      <c r="N1878" t="inlineStr">
        <is>
          <t>1</t>
        </is>
      </c>
      <c r="O1878" t="inlineStr">
        <is>
          <t>16</t>
        </is>
      </c>
      <c r="P1878" t="inlineStr">
        <is>
          <t xml:space="preserve">248989  </t>
        </is>
      </c>
      <c r="Q1878" s="26" t="n">
        <v>6.9</v>
      </c>
      <c r="R1878" s="26">
        <f>Q1878*G1878</f>
        <v/>
      </c>
      <c r="S1878" t="n">
        <v>4.09</v>
      </c>
      <c r="T1878" s="18">
        <f>1 - V1878/S1878</f>
        <v/>
      </c>
      <c r="U1878" s="18" t="n">
        <v>0</v>
      </c>
      <c r="V1878" s="26" t="n">
        <v>4.09</v>
      </c>
      <c r="W1878" s="26">
        <f>V1878 - L1878</f>
        <v/>
      </c>
    </row>
    <row r="1879">
      <c r="A1879" s="11" t="n">
        <v>46221</v>
      </c>
      <c r="B1879" s="1" t="n">
        <v>20095</v>
      </c>
      <c r="C1879" s="1" t="inlineStr">
        <is>
          <t>044</t>
        </is>
      </c>
      <c r="D1879" s="1" t="inlineStr">
        <is>
          <t xml:space="preserve">94170 </t>
        </is>
      </c>
      <c r="E1879" s="1" t="inlineStr">
        <is>
          <t xml:space="preserve">28194768       </t>
        </is>
      </c>
      <c r="F1879" s="5" t="inlineStr">
        <is>
          <t>AUTO COLOR CHANGE TEAMSTERZ SURTIDO</t>
        </is>
      </c>
      <c r="G1879" t="n">
        <v>1</v>
      </c>
      <c r="H1879" s="7" t="n">
        <v>14.9</v>
      </c>
      <c r="I1879" s="7" t="n">
        <v>0</v>
      </c>
      <c r="J1879" s="7" t="n">
        <v>0</v>
      </c>
      <c r="K1879" s="9" t="n">
        <v>0</v>
      </c>
      <c r="L1879" s="10" t="n">
        <v>8.84</v>
      </c>
      <c r="M1879" s="10" t="n">
        <v>1.43</v>
      </c>
      <c r="N1879" t="inlineStr">
        <is>
          <t>1</t>
        </is>
      </c>
      <c r="O1879" t="inlineStr">
        <is>
          <t>16</t>
        </is>
      </c>
      <c r="P1879" t="inlineStr">
        <is>
          <t xml:space="preserve">248989  </t>
        </is>
      </c>
      <c r="Q1879" s="26" t="n">
        <v>14.9</v>
      </c>
      <c r="R1879" s="26">
        <f>Q1879*G1879</f>
        <v/>
      </c>
      <c r="S1879" t="n">
        <v>8.84</v>
      </c>
      <c r="T1879" s="18">
        <f>1 - V1879/S1879</f>
        <v/>
      </c>
      <c r="U1879" s="18" t="n">
        <v>0</v>
      </c>
      <c r="V1879" s="26" t="n">
        <v>8.84</v>
      </c>
      <c r="W1879" s="26">
        <f>V1879 - L1879</f>
        <v/>
      </c>
    </row>
    <row r="1880">
      <c r="A1880" s="11" t="n">
        <v>46221</v>
      </c>
      <c r="B1880" s="1" t="n">
        <v>20095</v>
      </c>
      <c r="C1880" s="1" t="inlineStr">
        <is>
          <t>522</t>
        </is>
      </c>
      <c r="D1880" s="1" t="inlineStr">
        <is>
          <t xml:space="preserve">3730  </t>
        </is>
      </c>
      <c r="E1880" s="1" t="inlineStr">
        <is>
          <t xml:space="preserve">28194770       </t>
        </is>
      </c>
      <c r="F1880" s="5" t="inlineStr">
        <is>
          <t>AUTOS DE METAL 3 TEAMSTERZ EN BLISTER</t>
        </is>
      </c>
      <c r="G1880" t="n">
        <v>1</v>
      </c>
      <c r="H1880" s="7" t="n">
        <v>6.9</v>
      </c>
      <c r="I1880" s="7" t="n">
        <v>0.6899999999999999</v>
      </c>
      <c r="J1880" s="7" t="n">
        <v>0</v>
      </c>
      <c r="K1880" s="9" t="n">
        <v>0.6899999999999999</v>
      </c>
      <c r="L1880" s="10" t="n">
        <v>3.68</v>
      </c>
      <c r="M1880" s="10" t="n">
        <v>1.43</v>
      </c>
      <c r="N1880" t="inlineStr">
        <is>
          <t>1</t>
        </is>
      </c>
      <c r="O1880" t="inlineStr">
        <is>
          <t>16</t>
        </is>
      </c>
      <c r="P1880" t="inlineStr">
        <is>
          <t xml:space="preserve">242414  </t>
        </is>
      </c>
      <c r="Q1880" s="26" t="n">
        <v>6.9</v>
      </c>
      <c r="R1880" s="26">
        <f>Q1880*G1880</f>
        <v/>
      </c>
      <c r="S1880" t="n">
        <v>4.09</v>
      </c>
      <c r="T1880" s="18">
        <f>1 - V1880/S1880</f>
        <v/>
      </c>
      <c r="U1880" s="18" t="n">
        <v>0</v>
      </c>
      <c r="V1880" s="26" t="n">
        <v>4.09</v>
      </c>
      <c r="W1880" s="26">
        <f>V1880 - L1880</f>
        <v/>
      </c>
    </row>
    <row r="1881">
      <c r="A1881" s="11" t="n">
        <v>46221</v>
      </c>
      <c r="B1881" s="1" t="n">
        <v>20095</v>
      </c>
      <c r="C1881" s="1" t="inlineStr">
        <is>
          <t>522</t>
        </is>
      </c>
      <c r="D1881" s="1" t="inlineStr">
        <is>
          <t xml:space="preserve">3743  </t>
        </is>
      </c>
      <c r="E1881" s="1" t="inlineStr">
        <is>
          <t xml:space="preserve">28194780       </t>
        </is>
      </c>
      <c r="F1881" s="5" t="inlineStr">
        <is>
          <t>TROMPO BATALLA INFINITY NADO PLSTICO SURTIDO</t>
        </is>
      </c>
      <c r="G1881" t="n">
        <v>1</v>
      </c>
      <c r="H1881" s="7" t="n">
        <v>19.9</v>
      </c>
      <c r="I1881" s="7" t="n">
        <v>0</v>
      </c>
      <c r="J1881" s="7" t="n">
        <v>0</v>
      </c>
      <c r="K1881" s="9" t="n">
        <v>0</v>
      </c>
      <c r="L1881" s="10" t="n">
        <v>11.8</v>
      </c>
      <c r="M1881" s="10" t="n">
        <v>1.43</v>
      </c>
      <c r="N1881" t="inlineStr">
        <is>
          <t>1</t>
        </is>
      </c>
      <c r="O1881" t="inlineStr">
        <is>
          <t>16</t>
        </is>
      </c>
      <c r="P1881" t="inlineStr">
        <is>
          <t xml:space="preserve">242414  </t>
        </is>
      </c>
      <c r="Q1881" s="26" t="n">
        <v>19.9</v>
      </c>
      <c r="R1881" s="26">
        <f>Q1881*G1881</f>
        <v/>
      </c>
      <c r="S1881" t="n">
        <v>11.81</v>
      </c>
      <c r="T1881" s="18">
        <f>1 - V1881/S1881</f>
        <v/>
      </c>
      <c r="U1881" s="18" t="n">
        <v>0</v>
      </c>
      <c r="V1881" s="26" t="n">
        <v>11.81</v>
      </c>
      <c r="W1881" s="26">
        <f>V1881 - L1881</f>
        <v/>
      </c>
    </row>
    <row r="1882">
      <c r="A1882" s="11" t="n">
        <v>46222</v>
      </c>
      <c r="B1882" s="1" t="n">
        <v>20021</v>
      </c>
      <c r="C1882" s="1" t="inlineStr">
        <is>
          <t>055</t>
        </is>
      </c>
      <c r="D1882" s="1" t="inlineStr">
        <is>
          <t>155219</t>
        </is>
      </c>
      <c r="E1882" s="1" t="inlineStr">
        <is>
          <t xml:space="preserve">34840551       </t>
        </is>
      </c>
      <c r="F1882" s="5" t="inlineStr">
        <is>
          <t>TMZ HELI BOMBERO CON LUCES Y SONIDOS</t>
        </is>
      </c>
      <c r="G1882" t="n">
        <v>1</v>
      </c>
      <c r="H1882" s="7" t="n">
        <v>79.90000000000001</v>
      </c>
      <c r="I1882" s="7" t="n">
        <v>0</v>
      </c>
      <c r="J1882" s="7" t="n">
        <v>0</v>
      </c>
      <c r="K1882" s="9" t="n">
        <v>0</v>
      </c>
      <c r="L1882" s="10" t="n">
        <v>47.4</v>
      </c>
      <c r="M1882" s="10" t="n">
        <v>1.43</v>
      </c>
      <c r="N1882" t="inlineStr">
        <is>
          <t>1</t>
        </is>
      </c>
      <c r="O1882" t="inlineStr">
        <is>
          <t>16</t>
        </is>
      </c>
      <c r="P1882" t="inlineStr">
        <is>
          <t xml:space="preserve">42013   </t>
        </is>
      </c>
      <c r="Q1882" s="26" t="n">
        <v>79.90000000000002</v>
      </c>
      <c r="R1882" s="26">
        <f>Q1882*G1882</f>
        <v/>
      </c>
      <c r="S1882" t="n">
        <v>47.4</v>
      </c>
      <c r="T1882" s="18">
        <f>1 - V1882/S1882</f>
        <v/>
      </c>
      <c r="U1882" s="18" t="n">
        <v>0</v>
      </c>
      <c r="V1882" s="26" t="n">
        <v>47.4</v>
      </c>
      <c r="W1882" s="26">
        <f>V1882 - L1882</f>
        <v/>
      </c>
    </row>
    <row r="1883">
      <c r="A1883" s="11" t="n">
        <v>46222</v>
      </c>
      <c r="B1883" s="1" t="n">
        <v>20021</v>
      </c>
      <c r="C1883" s="1" t="inlineStr">
        <is>
          <t>055</t>
        </is>
      </c>
      <c r="D1883" s="1" t="inlineStr">
        <is>
          <t>155290</t>
        </is>
      </c>
      <c r="E1883" s="1" t="inlineStr">
        <is>
          <t xml:space="preserve">28194770       </t>
        </is>
      </c>
      <c r="F1883" s="5" t="inlineStr">
        <is>
          <t>AUTOS DE METAL 3 TEAMSTERZ EN BLISTER</t>
        </is>
      </c>
      <c r="G1883" t="n">
        <v>1</v>
      </c>
      <c r="H1883" s="7" t="n">
        <v>6.9</v>
      </c>
      <c r="I1883" s="7" t="n">
        <v>0</v>
      </c>
      <c r="J1883" s="7" t="n">
        <v>0</v>
      </c>
      <c r="K1883" s="9" t="n">
        <v>0</v>
      </c>
      <c r="L1883" s="10" t="n">
        <v>4.1</v>
      </c>
      <c r="M1883" s="10" t="n">
        <v>1.43</v>
      </c>
      <c r="N1883" t="inlineStr">
        <is>
          <t>1</t>
        </is>
      </c>
      <c r="O1883" t="inlineStr">
        <is>
          <t>16</t>
        </is>
      </c>
      <c r="P1883" t="inlineStr">
        <is>
          <t xml:space="preserve">42013   </t>
        </is>
      </c>
      <c r="Q1883" s="26" t="n">
        <v>6.9</v>
      </c>
      <c r="R1883" s="26">
        <f>Q1883*G1883</f>
        <v/>
      </c>
      <c r="S1883" t="n">
        <v>4.09</v>
      </c>
      <c r="T1883" s="18">
        <f>1 - V1883/S1883</f>
        <v/>
      </c>
      <c r="U1883" s="18" t="n">
        <v>0</v>
      </c>
      <c r="V1883" s="26" t="n">
        <v>4.09</v>
      </c>
      <c r="W1883" s="26">
        <f>V1883 - L1883</f>
        <v/>
      </c>
    </row>
    <row r="1884">
      <c r="A1884" s="11" t="n">
        <v>46222</v>
      </c>
      <c r="B1884" s="1" t="n">
        <v>20021</v>
      </c>
      <c r="C1884" s="1" t="inlineStr">
        <is>
          <t>055</t>
        </is>
      </c>
      <c r="D1884" s="1" t="inlineStr">
        <is>
          <t>155290</t>
        </is>
      </c>
      <c r="E1884" s="1" t="inlineStr">
        <is>
          <t xml:space="preserve">28194770       </t>
        </is>
      </c>
      <c r="F1884" s="5" t="inlineStr">
        <is>
          <t>AUTOS DE METAL 3 TEAMSTERZ EN BLISTER</t>
        </is>
      </c>
      <c r="G1884" t="n">
        <v>1</v>
      </c>
      <c r="H1884" s="7" t="n">
        <v>6.9</v>
      </c>
      <c r="I1884" s="7" t="n">
        <v>0</v>
      </c>
      <c r="J1884" s="7" t="n">
        <v>0</v>
      </c>
      <c r="K1884" s="9" t="n">
        <v>0</v>
      </c>
      <c r="L1884" s="10" t="n">
        <v>4.1</v>
      </c>
      <c r="M1884" s="10" t="n">
        <v>1.43</v>
      </c>
      <c r="N1884" t="inlineStr">
        <is>
          <t>1</t>
        </is>
      </c>
      <c r="O1884" t="inlineStr">
        <is>
          <t>16</t>
        </is>
      </c>
      <c r="P1884" t="inlineStr">
        <is>
          <t xml:space="preserve">42013   </t>
        </is>
      </c>
      <c r="Q1884" s="26" t="n">
        <v>6.9</v>
      </c>
      <c r="R1884" s="26">
        <f>Q1884*G1884</f>
        <v/>
      </c>
      <c r="S1884" t="n">
        <v>4.09</v>
      </c>
      <c r="T1884" s="18">
        <f>1 - V1884/S1884</f>
        <v/>
      </c>
      <c r="U1884" s="18" t="n">
        <v>0</v>
      </c>
      <c r="V1884" s="26" t="n">
        <v>4.09</v>
      </c>
      <c r="W1884" s="26">
        <f>V1884 - L1884</f>
        <v/>
      </c>
    </row>
    <row r="1885">
      <c r="A1885" s="11" t="n">
        <v>46222</v>
      </c>
      <c r="B1885" s="1" t="n">
        <v>20021</v>
      </c>
      <c r="C1885" s="1" t="inlineStr">
        <is>
          <t>069</t>
        </is>
      </c>
      <c r="D1885" s="1" t="inlineStr">
        <is>
          <t>129847</t>
        </is>
      </c>
      <c r="E1885" s="1" t="inlineStr">
        <is>
          <t xml:space="preserve">28194780       </t>
        </is>
      </c>
      <c r="F1885" s="5" t="inlineStr">
        <is>
          <t>TROMPO BATALLA INFINITY NADO PLSTICO SURTIDO</t>
        </is>
      </c>
      <c r="G1885" t="n">
        <v>1</v>
      </c>
      <c r="H1885" s="7" t="n">
        <v>19.9</v>
      </c>
      <c r="I1885" s="7" t="n">
        <v>0</v>
      </c>
      <c r="J1885" s="7" t="n">
        <v>0</v>
      </c>
      <c r="K1885" s="9" t="n">
        <v>0</v>
      </c>
      <c r="L1885" s="10" t="n">
        <v>11.8</v>
      </c>
      <c r="M1885" s="10" t="n">
        <v>1.43</v>
      </c>
      <c r="N1885" t="inlineStr">
        <is>
          <t>1</t>
        </is>
      </c>
      <c r="O1885" t="inlineStr">
        <is>
          <t>16</t>
        </is>
      </c>
      <c r="P1885" t="inlineStr">
        <is>
          <t xml:space="preserve">235838  </t>
        </is>
      </c>
      <c r="Q1885" s="26" t="n">
        <v>19.9</v>
      </c>
      <c r="R1885" s="26">
        <f>Q1885*G1885</f>
        <v/>
      </c>
      <c r="S1885" t="n">
        <v>11.81</v>
      </c>
      <c r="T1885" s="18">
        <f>1 - V1885/S1885</f>
        <v/>
      </c>
      <c r="U1885" s="18" t="n">
        <v>0</v>
      </c>
      <c r="V1885" s="26" t="n">
        <v>11.81</v>
      </c>
      <c r="W1885" s="26">
        <f>V1885 - L1885</f>
        <v/>
      </c>
    </row>
    <row r="1886">
      <c r="A1886" s="11" t="n">
        <v>46222</v>
      </c>
      <c r="B1886" s="1" t="n">
        <v>20021</v>
      </c>
      <c r="C1886" s="1" t="inlineStr">
        <is>
          <t>082</t>
        </is>
      </c>
      <c r="D1886" s="1" t="inlineStr">
        <is>
          <t>270456</t>
        </is>
      </c>
      <c r="E1886" s="1" t="inlineStr">
        <is>
          <t xml:space="preserve">28194780       </t>
        </is>
      </c>
      <c r="F1886" s="5" t="inlineStr">
        <is>
          <t>TROMPO BATALLA INFINITY NADO PLSTICO SURTIDO</t>
        </is>
      </c>
      <c r="G1886" t="n">
        <v>1</v>
      </c>
      <c r="H1886" s="7" t="n">
        <v>19.9</v>
      </c>
      <c r="I1886" s="7" t="n">
        <v>0</v>
      </c>
      <c r="J1886" s="7" t="n">
        <v>0</v>
      </c>
      <c r="K1886" s="9" t="n">
        <v>0</v>
      </c>
      <c r="L1886" s="10" t="n">
        <v>11.8</v>
      </c>
      <c r="M1886" s="10" t="n">
        <v>1.43</v>
      </c>
      <c r="N1886" t="inlineStr">
        <is>
          <t>1</t>
        </is>
      </c>
      <c r="O1886" t="inlineStr">
        <is>
          <t>16</t>
        </is>
      </c>
      <c r="P1886" t="inlineStr">
        <is>
          <t xml:space="preserve">249982  </t>
        </is>
      </c>
      <c r="Q1886" s="26" t="n">
        <v>19.9</v>
      </c>
      <c r="R1886" s="26">
        <f>Q1886*G1886</f>
        <v/>
      </c>
      <c r="S1886" t="n">
        <v>11.81</v>
      </c>
      <c r="T1886" s="18">
        <f>1 - V1886/S1886</f>
        <v/>
      </c>
      <c r="U1886" s="18" t="n">
        <v>0</v>
      </c>
      <c r="V1886" s="26" t="n">
        <v>11.81</v>
      </c>
      <c r="W1886" s="26">
        <f>V1886 - L1886</f>
        <v/>
      </c>
    </row>
    <row r="1887">
      <c r="A1887" s="11" t="n">
        <v>46222</v>
      </c>
      <c r="B1887" s="1" t="n">
        <v>20021</v>
      </c>
      <c r="C1887" s="1" t="inlineStr">
        <is>
          <t>082</t>
        </is>
      </c>
      <c r="D1887" s="1" t="inlineStr">
        <is>
          <t>270470</t>
        </is>
      </c>
      <c r="E1887" s="1" t="inlineStr">
        <is>
          <t xml:space="preserve">28194781       </t>
        </is>
      </c>
      <c r="F1887" s="5" t="inlineStr">
        <is>
          <t>TROMPO BATALLA INFINITY NADO SERIE V CLASICA SURTI</t>
        </is>
      </c>
      <c r="G1887" t="n">
        <v>1</v>
      </c>
      <c r="H1887" s="7" t="n">
        <v>39.9</v>
      </c>
      <c r="I1887" s="7" t="n">
        <v>3.99</v>
      </c>
      <c r="J1887" s="7" t="n">
        <v>0</v>
      </c>
      <c r="K1887" s="9" t="n">
        <v>3.99</v>
      </c>
      <c r="L1887" s="10" t="n">
        <v>21.3</v>
      </c>
      <c r="M1887" s="10" t="n">
        <v>1.43</v>
      </c>
      <c r="N1887" t="inlineStr">
        <is>
          <t>1</t>
        </is>
      </c>
      <c r="O1887" t="inlineStr">
        <is>
          <t xml:space="preserve">3 </t>
        </is>
      </c>
      <c r="P1887" t="inlineStr">
        <is>
          <t xml:space="preserve">249982  </t>
        </is>
      </c>
      <c r="Q1887" s="26" t="n">
        <v>59.9</v>
      </c>
      <c r="R1887" s="26">
        <f>Q1887*G1887</f>
        <v/>
      </c>
      <c r="S1887" t="n">
        <v>35.53</v>
      </c>
      <c r="T1887" s="18">
        <f>1 - V1887/S1887</f>
        <v/>
      </c>
      <c r="U1887" s="18" t="n">
        <v>0.333889816360601</v>
      </c>
      <c r="V1887" s="26" t="n">
        <v>25.36016949152542</v>
      </c>
      <c r="W1887" s="26">
        <f>V1887 - L1887</f>
        <v/>
      </c>
    </row>
    <row r="1888">
      <c r="A1888" s="11" t="n">
        <v>46222</v>
      </c>
      <c r="B1888" s="1" t="n">
        <v>20023</v>
      </c>
      <c r="C1888" s="1" t="inlineStr">
        <is>
          <t>079</t>
        </is>
      </c>
      <c r="D1888" s="1" t="inlineStr">
        <is>
          <t>289786</t>
        </is>
      </c>
      <c r="E1888" s="1" t="inlineStr">
        <is>
          <t xml:space="preserve">33483121       </t>
        </is>
      </c>
      <c r="F1888" s="5" t="inlineStr">
        <is>
          <t>HOT WHEELS ESTUCHE PARA 15 AUTOS SURTIDO</t>
        </is>
      </c>
      <c r="G1888" t="n">
        <v>1</v>
      </c>
      <c r="H1888" s="7" t="n">
        <v>34.9</v>
      </c>
      <c r="I1888" s="7" t="n">
        <v>0</v>
      </c>
      <c r="J1888" s="7" t="n">
        <v>0</v>
      </c>
      <c r="K1888" s="9" t="n">
        <v>0</v>
      </c>
      <c r="L1888" s="10" t="n">
        <v>20.71</v>
      </c>
      <c r="M1888" s="10" t="n">
        <v>1.43</v>
      </c>
      <c r="N1888" t="inlineStr">
        <is>
          <t>1</t>
        </is>
      </c>
      <c r="O1888" t="inlineStr">
        <is>
          <t>16</t>
        </is>
      </c>
      <c r="P1888" t="inlineStr">
        <is>
          <t xml:space="preserve">23478   </t>
        </is>
      </c>
      <c r="Q1888" s="26" t="n">
        <v>34.9</v>
      </c>
      <c r="R1888" s="26">
        <f>Q1888*G1888</f>
        <v/>
      </c>
      <c r="S1888" t="n">
        <v>20.7</v>
      </c>
      <c r="T1888" s="18">
        <f>1 - V1888/S1888</f>
        <v/>
      </c>
      <c r="U1888" s="18" t="n">
        <v>0</v>
      </c>
      <c r="V1888" s="26" t="n">
        <v>20.7</v>
      </c>
      <c r="W1888" s="26">
        <f>V1888 - L1888</f>
        <v/>
      </c>
    </row>
    <row r="1889">
      <c r="A1889" s="11" t="n">
        <v>46222</v>
      </c>
      <c r="B1889" s="1" t="n">
        <v>20024</v>
      </c>
      <c r="C1889" s="1" t="inlineStr">
        <is>
          <t>015</t>
        </is>
      </c>
      <c r="D1889" s="1" t="inlineStr">
        <is>
          <t xml:space="preserve">18944 </t>
        </is>
      </c>
      <c r="E1889" s="1" t="inlineStr">
        <is>
          <t xml:space="preserve">28194768       </t>
        </is>
      </c>
      <c r="F1889" s="5" t="inlineStr">
        <is>
          <t>AUTO COLOR CHANGE TEAMSTERZ SURTIDO</t>
        </is>
      </c>
      <c r="G1889" t="n">
        <v>1</v>
      </c>
      <c r="H1889" s="7" t="n">
        <v>14.9</v>
      </c>
      <c r="I1889" s="7" t="n">
        <v>0</v>
      </c>
      <c r="J1889" s="7" t="n">
        <v>0</v>
      </c>
      <c r="K1889" s="9" t="n">
        <v>0</v>
      </c>
      <c r="L1889" s="10" t="n">
        <v>8.84</v>
      </c>
      <c r="M1889" s="10" t="n">
        <v>1.43</v>
      </c>
      <c r="N1889" t="inlineStr">
        <is>
          <t>1</t>
        </is>
      </c>
      <c r="O1889" t="inlineStr">
        <is>
          <t>16</t>
        </is>
      </c>
      <c r="P1889" t="inlineStr">
        <is>
          <t xml:space="preserve">28289   </t>
        </is>
      </c>
      <c r="Q1889" s="26" t="n">
        <v>14.9</v>
      </c>
      <c r="R1889" s="26">
        <f>Q1889*G1889</f>
        <v/>
      </c>
      <c r="S1889" t="n">
        <v>8.84</v>
      </c>
      <c r="T1889" s="18">
        <f>1 - V1889/S1889</f>
        <v/>
      </c>
      <c r="U1889" s="18" t="n">
        <v>0</v>
      </c>
      <c r="V1889" s="26" t="n">
        <v>8.84</v>
      </c>
      <c r="W1889" s="26">
        <f>V1889 - L1889</f>
        <v/>
      </c>
    </row>
    <row r="1890">
      <c r="A1890" s="11" t="n">
        <v>46222</v>
      </c>
      <c r="B1890" s="1" t="n">
        <v>20024</v>
      </c>
      <c r="C1890" s="1" t="inlineStr">
        <is>
          <t>075</t>
        </is>
      </c>
      <c r="D1890" s="1" t="inlineStr">
        <is>
          <t>164013</t>
        </is>
      </c>
      <c r="E1890" s="1" t="inlineStr">
        <is>
          <t xml:space="preserve">30141766       </t>
        </is>
      </c>
      <c r="F1890" s="5" t="inlineStr">
        <is>
          <t>TMZ BEAST MACHINES AUTOS DE METAL BLISTER X 1</t>
        </is>
      </c>
      <c r="G1890" t="n">
        <v>1</v>
      </c>
      <c r="H1890" s="7" t="n">
        <v>7.9</v>
      </c>
      <c r="I1890" s="7" t="n">
        <v>0</v>
      </c>
      <c r="J1890" s="7" t="n">
        <v>0</v>
      </c>
      <c r="K1890" s="9" t="n">
        <v>0</v>
      </c>
      <c r="L1890" s="10" t="n">
        <v>4.68</v>
      </c>
      <c r="M1890" s="10" t="n">
        <v>1.43</v>
      </c>
      <c r="N1890" t="inlineStr">
        <is>
          <t>1</t>
        </is>
      </c>
      <c r="O1890" t="inlineStr">
        <is>
          <t>16</t>
        </is>
      </c>
      <c r="P1890" t="inlineStr">
        <is>
          <t xml:space="preserve">240700  </t>
        </is>
      </c>
      <c r="Q1890" s="26" t="n">
        <v>7.9</v>
      </c>
      <c r="R1890" s="26">
        <f>Q1890*G1890</f>
        <v/>
      </c>
      <c r="S1890" t="n">
        <v>4.69</v>
      </c>
      <c r="T1890" s="18">
        <f>1 - V1890/S1890</f>
        <v/>
      </c>
      <c r="U1890" s="18" t="n">
        <v>0</v>
      </c>
      <c r="V1890" s="26" t="n">
        <v>4.69</v>
      </c>
      <c r="W1890" s="26">
        <f>V1890 - L1890</f>
        <v/>
      </c>
    </row>
    <row r="1891">
      <c r="A1891" s="11" t="n">
        <v>46222</v>
      </c>
      <c r="B1891" s="1" t="n">
        <v>20024</v>
      </c>
      <c r="C1891" s="1" t="inlineStr">
        <is>
          <t>075</t>
        </is>
      </c>
      <c r="D1891" s="1" t="inlineStr">
        <is>
          <t>164013</t>
        </is>
      </c>
      <c r="E1891" s="1" t="inlineStr">
        <is>
          <t xml:space="preserve">30141766       </t>
        </is>
      </c>
      <c r="F1891" s="5" t="inlineStr">
        <is>
          <t>TMZ BEAST MACHINES AUTOS DE METAL BLISTER X 1</t>
        </is>
      </c>
      <c r="G1891" t="n">
        <v>1</v>
      </c>
      <c r="H1891" s="7" t="n">
        <v>7.9</v>
      </c>
      <c r="I1891" s="7" t="n">
        <v>0</v>
      </c>
      <c r="J1891" s="7" t="n">
        <v>0</v>
      </c>
      <c r="K1891" s="9" t="n">
        <v>0</v>
      </c>
      <c r="L1891" s="10" t="n">
        <v>4.68</v>
      </c>
      <c r="M1891" s="10" t="n">
        <v>1.43</v>
      </c>
      <c r="N1891" t="inlineStr">
        <is>
          <t>1</t>
        </is>
      </c>
      <c r="O1891" t="inlineStr">
        <is>
          <t>16</t>
        </is>
      </c>
      <c r="P1891" t="inlineStr">
        <is>
          <t xml:space="preserve">240700  </t>
        </is>
      </c>
      <c r="Q1891" s="26" t="n">
        <v>7.9</v>
      </c>
      <c r="R1891" s="26">
        <f>Q1891*G1891</f>
        <v/>
      </c>
      <c r="S1891" t="n">
        <v>4.69</v>
      </c>
      <c r="T1891" s="18">
        <f>1 - V1891/S1891</f>
        <v/>
      </c>
      <c r="U1891" s="18" t="n">
        <v>0</v>
      </c>
      <c r="V1891" s="26" t="n">
        <v>4.69</v>
      </c>
      <c r="W1891" s="26">
        <f>V1891 - L1891</f>
        <v/>
      </c>
    </row>
    <row r="1892">
      <c r="A1892" s="11" t="n">
        <v>46222</v>
      </c>
      <c r="B1892" s="1" t="n">
        <v>20024</v>
      </c>
      <c r="C1892" s="1" t="inlineStr">
        <is>
          <t>093</t>
        </is>
      </c>
      <c r="D1892" s="1" t="inlineStr">
        <is>
          <t>425665</t>
        </is>
      </c>
      <c r="E1892" s="1" t="inlineStr">
        <is>
          <t xml:space="preserve">30141766       </t>
        </is>
      </c>
      <c r="F1892" s="5" t="inlineStr">
        <is>
          <t>TMZ BEAST MACHINES AUTOS DE METAL BLISTER X 1</t>
        </is>
      </c>
      <c r="G1892" t="n">
        <v>1</v>
      </c>
      <c r="H1892" s="7" t="n">
        <v>7.9</v>
      </c>
      <c r="I1892" s="7" t="n">
        <v>0</v>
      </c>
      <c r="J1892" s="7" t="n">
        <v>0</v>
      </c>
      <c r="K1892" s="9" t="n">
        <v>0</v>
      </c>
      <c r="L1892" s="10" t="n">
        <v>4.68</v>
      </c>
      <c r="M1892" s="10" t="n">
        <v>1.43</v>
      </c>
      <c r="N1892" t="inlineStr">
        <is>
          <t>1</t>
        </is>
      </c>
      <c r="O1892" t="inlineStr">
        <is>
          <t>16</t>
        </is>
      </c>
      <c r="P1892" t="inlineStr">
        <is>
          <t xml:space="preserve">23463   </t>
        </is>
      </c>
      <c r="Q1892" s="26" t="n">
        <v>7.9</v>
      </c>
      <c r="R1892" s="26">
        <f>Q1892*G1892</f>
        <v/>
      </c>
      <c r="S1892" t="n">
        <v>4.69</v>
      </c>
      <c r="T1892" s="18">
        <f>1 - V1892/S1892</f>
        <v/>
      </c>
      <c r="U1892" s="18" t="n">
        <v>0</v>
      </c>
      <c r="V1892" s="26" t="n">
        <v>4.69</v>
      </c>
      <c r="W1892" s="26">
        <f>V1892 - L1892</f>
        <v/>
      </c>
    </row>
    <row r="1893">
      <c r="A1893" s="11" t="n">
        <v>46222</v>
      </c>
      <c r="B1893" s="1" t="n">
        <v>20024</v>
      </c>
      <c r="C1893" s="1" t="inlineStr">
        <is>
          <t>118</t>
        </is>
      </c>
      <c r="D1893" s="1" t="inlineStr">
        <is>
          <t>255886</t>
        </is>
      </c>
      <c r="E1893" s="1" t="inlineStr">
        <is>
          <t xml:space="preserve">31046051       </t>
        </is>
      </c>
      <c r="F1893" s="5" t="inlineStr">
        <is>
          <t>RELOJ DISNEY TOY STORY</t>
        </is>
      </c>
      <c r="G1893" t="n">
        <v>1</v>
      </c>
      <c r="H1893" s="7" t="n">
        <v>18.9</v>
      </c>
      <c r="I1893" s="7" t="n">
        <v>1.89</v>
      </c>
      <c r="J1893" s="7" t="n">
        <v>0</v>
      </c>
      <c r="K1893" s="9" t="n">
        <v>1.89</v>
      </c>
      <c r="L1893" s="10" t="n">
        <v>10.09</v>
      </c>
      <c r="M1893" s="10" t="n">
        <v>1.43</v>
      </c>
      <c r="N1893" t="inlineStr">
        <is>
          <t>1</t>
        </is>
      </c>
      <c r="O1893" t="inlineStr">
        <is>
          <t xml:space="preserve">3 </t>
        </is>
      </c>
      <c r="P1893" t="inlineStr">
        <is>
          <t xml:space="preserve">43118   </t>
        </is>
      </c>
      <c r="Q1893" s="26" t="n">
        <v>18.9</v>
      </c>
      <c r="R1893" s="26">
        <f>Q1893*G1893</f>
        <v/>
      </c>
      <c r="S1893" t="n">
        <v>11.21</v>
      </c>
      <c r="T1893" s="18">
        <f>1 - V1893/S1893</f>
        <v/>
      </c>
      <c r="U1893" s="18" t="n">
        <v>0</v>
      </c>
      <c r="V1893" s="26" t="n">
        <v>11.21</v>
      </c>
      <c r="W1893" s="26">
        <f>V1893 - L1893</f>
        <v/>
      </c>
    </row>
    <row r="1894">
      <c r="A1894" s="11" t="n">
        <v>46222</v>
      </c>
      <c r="B1894" s="1" t="n">
        <v>20024</v>
      </c>
      <c r="C1894" s="1" t="inlineStr">
        <is>
          <t>118</t>
        </is>
      </c>
      <c r="D1894" s="1" t="inlineStr">
        <is>
          <t>255886</t>
        </is>
      </c>
      <c r="E1894" s="1" t="inlineStr">
        <is>
          <t xml:space="preserve">31046051       </t>
        </is>
      </c>
      <c r="F1894" s="5" t="inlineStr">
        <is>
          <t>RELOJ DISNEY TOY STORY</t>
        </is>
      </c>
      <c r="G1894" t="n">
        <v>1</v>
      </c>
      <c r="H1894" s="7" t="n">
        <v>18.9</v>
      </c>
      <c r="I1894" s="7" t="n">
        <v>1.89</v>
      </c>
      <c r="J1894" s="7" t="n">
        <v>0</v>
      </c>
      <c r="K1894" s="9" t="n">
        <v>1.89</v>
      </c>
      <c r="L1894" s="10" t="n">
        <v>10.09</v>
      </c>
      <c r="M1894" s="10" t="n">
        <v>1.43</v>
      </c>
      <c r="N1894" t="inlineStr">
        <is>
          <t>1</t>
        </is>
      </c>
      <c r="O1894" t="inlineStr">
        <is>
          <t xml:space="preserve">3 </t>
        </is>
      </c>
      <c r="P1894" t="inlineStr">
        <is>
          <t xml:space="preserve">43118   </t>
        </is>
      </c>
      <c r="Q1894" s="26" t="n">
        <v>18.9</v>
      </c>
      <c r="R1894" s="26">
        <f>Q1894*G1894</f>
        <v/>
      </c>
      <c r="S1894" t="n">
        <v>11.21</v>
      </c>
      <c r="T1894" s="18">
        <f>1 - V1894/S1894</f>
        <v/>
      </c>
      <c r="U1894" s="18" t="n">
        <v>0</v>
      </c>
      <c r="V1894" s="26" t="n">
        <v>11.21</v>
      </c>
      <c r="W1894" s="26">
        <f>V1894 - L1894</f>
        <v/>
      </c>
    </row>
    <row r="1895">
      <c r="A1895" s="11" t="n">
        <v>46222</v>
      </c>
      <c r="B1895" s="1" t="n">
        <v>20024</v>
      </c>
      <c r="C1895" s="1" t="inlineStr">
        <is>
          <t>807</t>
        </is>
      </c>
      <c r="D1895" s="1" t="inlineStr">
        <is>
          <t xml:space="preserve">4728  </t>
        </is>
      </c>
      <c r="E1895" s="1" t="inlineStr">
        <is>
          <t xml:space="preserve">28194769       </t>
        </is>
      </c>
      <c r="F1895" s="5" t="inlineStr">
        <is>
          <t>AUTOS DE METAL 3 TEAMSTERZ PACK DE 2</t>
        </is>
      </c>
      <c r="G1895" t="n">
        <v>1</v>
      </c>
      <c r="H1895" s="7" t="n">
        <v>13.8</v>
      </c>
      <c r="I1895" s="7" t="n">
        <v>0</v>
      </c>
      <c r="J1895" s="7" t="n">
        <v>0</v>
      </c>
      <c r="K1895" s="9" t="n">
        <v>0</v>
      </c>
      <c r="L1895" s="10" t="n">
        <v>8.18</v>
      </c>
      <c r="M1895" s="10" t="n">
        <v>1.43</v>
      </c>
      <c r="N1895" t="inlineStr">
        <is>
          <t>1</t>
        </is>
      </c>
      <c r="O1895" t="inlineStr">
        <is>
          <t>16</t>
        </is>
      </c>
      <c r="P1895" t="inlineStr">
        <is>
          <t xml:space="preserve">0       </t>
        </is>
      </c>
      <c r="Q1895" s="26" t="n">
        <v>13.8</v>
      </c>
      <c r="R1895" s="26">
        <f>Q1895*G1895</f>
        <v/>
      </c>
      <c r="S1895" t="n">
        <v>8.19</v>
      </c>
      <c r="T1895" s="18">
        <f>1 - V1895/S1895</f>
        <v/>
      </c>
      <c r="U1895" s="18" t="n">
        <v>0</v>
      </c>
      <c r="V1895" s="26" t="n">
        <v>8.19</v>
      </c>
      <c r="W1895" s="26">
        <f>V1895 - L1895</f>
        <v/>
      </c>
    </row>
    <row r="1896">
      <c r="A1896" s="11" t="n">
        <v>46222</v>
      </c>
      <c r="B1896" s="1" t="n">
        <v>20025</v>
      </c>
      <c r="C1896" s="1" t="inlineStr">
        <is>
          <t>074</t>
        </is>
      </c>
      <c r="D1896" s="1" t="inlineStr">
        <is>
          <t xml:space="preserve">83219 </t>
        </is>
      </c>
      <c r="E1896" s="1" t="inlineStr">
        <is>
          <t xml:space="preserve">32457100       </t>
        </is>
      </c>
      <c r="F1896" s="5" t="inlineStr">
        <is>
          <t>TMZ BEAST MACHINES LANZADOR ESCORPION + 2 AUTOS</t>
        </is>
      </c>
      <c r="G1896" t="n">
        <v>1</v>
      </c>
      <c r="H1896" s="7" t="n">
        <v>12.9</v>
      </c>
      <c r="I1896" s="7" t="n">
        <v>1.29</v>
      </c>
      <c r="J1896" s="7" t="n">
        <v>0</v>
      </c>
      <c r="K1896" s="9" t="n">
        <v>1.29</v>
      </c>
      <c r="L1896" s="10" t="n">
        <v>6.89</v>
      </c>
      <c r="M1896" s="10" t="n">
        <v>1.43</v>
      </c>
      <c r="N1896" t="inlineStr">
        <is>
          <t>1</t>
        </is>
      </c>
      <c r="O1896" t="inlineStr">
        <is>
          <t xml:space="preserve">3 </t>
        </is>
      </c>
      <c r="P1896" t="inlineStr">
        <is>
          <t xml:space="preserve">250254  </t>
        </is>
      </c>
      <c r="Q1896" s="26" t="n">
        <v>34.9</v>
      </c>
      <c r="R1896" s="26">
        <f>Q1896*G1896</f>
        <v/>
      </c>
      <c r="S1896" t="n">
        <v>20.7</v>
      </c>
      <c r="T1896" s="18">
        <f>1 - V1896/S1896</f>
        <v/>
      </c>
      <c r="U1896" s="18" t="n">
        <v>0.6303724928366762</v>
      </c>
      <c r="V1896" s="26" t="n">
        <v>9.836610169491525</v>
      </c>
      <c r="W1896" s="26">
        <f>V1896 - L1896</f>
        <v/>
      </c>
    </row>
    <row r="1897">
      <c r="A1897" s="11" t="n">
        <v>46222</v>
      </c>
      <c r="B1897" s="1" t="n">
        <v>20025</v>
      </c>
      <c r="C1897" s="1" t="inlineStr">
        <is>
          <t>074</t>
        </is>
      </c>
      <c r="D1897" s="1" t="inlineStr">
        <is>
          <t xml:space="preserve">83221 </t>
        </is>
      </c>
      <c r="E1897" s="1" t="inlineStr">
        <is>
          <t xml:space="preserve">31959959       </t>
        </is>
      </c>
      <c r="F1897" s="5" t="inlineStr">
        <is>
          <t>TMZ CAMBIA DE COLOR LANZADOR SPIN SPLASH + 1 AUTO</t>
        </is>
      </c>
      <c r="G1897" t="n">
        <v>1</v>
      </c>
      <c r="H1897" s="7" t="n">
        <v>14.9</v>
      </c>
      <c r="I1897" s="7" t="n">
        <v>1.49</v>
      </c>
      <c r="J1897" s="7" t="n">
        <v>0</v>
      </c>
      <c r="K1897" s="9" t="n">
        <v>1.49</v>
      </c>
      <c r="L1897" s="10" t="n">
        <v>7.95</v>
      </c>
      <c r="M1897" s="10" t="n">
        <v>1.43</v>
      </c>
      <c r="N1897" t="inlineStr">
        <is>
          <t>1</t>
        </is>
      </c>
      <c r="O1897" t="inlineStr">
        <is>
          <t xml:space="preserve">3 </t>
        </is>
      </c>
      <c r="P1897" t="inlineStr">
        <is>
          <t xml:space="preserve">250254  </t>
        </is>
      </c>
      <c r="Q1897" s="26" t="n">
        <v>39.9</v>
      </c>
      <c r="R1897" s="26">
        <f>Q1897*G1897</f>
        <v/>
      </c>
      <c r="S1897" t="n">
        <v>23.67</v>
      </c>
      <c r="T1897" s="18">
        <f>1 - V1897/S1897</f>
        <v/>
      </c>
      <c r="U1897" s="18" t="n">
        <v>0.6265664160401002</v>
      </c>
      <c r="V1897" s="26" t="n">
        <v>10.73050847457628</v>
      </c>
      <c r="W1897" s="26">
        <f>V1897 - L1897</f>
        <v/>
      </c>
    </row>
    <row r="1898">
      <c r="A1898" s="11" t="n">
        <v>46222</v>
      </c>
      <c r="B1898" s="1" t="n">
        <v>20025</v>
      </c>
      <c r="C1898" s="1" t="inlineStr">
        <is>
          <t>074</t>
        </is>
      </c>
      <c r="D1898" s="1" t="inlineStr">
        <is>
          <t xml:space="preserve">83237 </t>
        </is>
      </c>
      <c r="E1898" s="1" t="inlineStr">
        <is>
          <t xml:space="preserve">34840558       </t>
        </is>
      </c>
      <c r="F1898" s="5" t="inlineStr">
        <is>
          <t>TMZ CAMBIA DE COLOR PLAYSET CALAVERA + 1 AUTO</t>
        </is>
      </c>
      <c r="G1898" t="n">
        <v>1</v>
      </c>
      <c r="H1898" s="7" t="n">
        <v>59.9</v>
      </c>
      <c r="I1898" s="7" t="n">
        <v>0</v>
      </c>
      <c r="J1898" s="7" t="n">
        <v>0</v>
      </c>
      <c r="K1898" s="9" t="n">
        <v>0</v>
      </c>
      <c r="L1898" s="10" t="n">
        <v>35.53</v>
      </c>
      <c r="M1898" s="10" t="n">
        <v>1.43</v>
      </c>
      <c r="N1898" t="inlineStr">
        <is>
          <t>1</t>
        </is>
      </c>
      <c r="O1898" t="inlineStr">
        <is>
          <t>16</t>
        </is>
      </c>
      <c r="P1898" t="inlineStr">
        <is>
          <t xml:space="preserve">250254  </t>
        </is>
      </c>
      <c r="Q1898" s="26" t="n">
        <v>99</v>
      </c>
      <c r="R1898" s="26">
        <f>Q1898*G1898</f>
        <v/>
      </c>
      <c r="S1898" t="n">
        <v>58.73</v>
      </c>
      <c r="T1898" s="18">
        <f>1 - V1898/S1898</f>
        <v/>
      </c>
      <c r="U1898" s="18" t="n">
        <v>0.3949494949494949</v>
      </c>
      <c r="V1898" s="26" t="n">
        <v>40.61016949152543</v>
      </c>
      <c r="W1898" s="26">
        <f>V1898 - L1898</f>
        <v/>
      </c>
    </row>
    <row r="1899">
      <c r="A1899" s="11" t="n">
        <v>46222</v>
      </c>
      <c r="B1899" s="1" t="n">
        <v>20027</v>
      </c>
      <c r="C1899" s="1" t="inlineStr">
        <is>
          <t>064</t>
        </is>
      </c>
      <c r="D1899" s="1" t="inlineStr">
        <is>
          <t xml:space="preserve">32240 </t>
        </is>
      </c>
      <c r="E1899" s="1" t="inlineStr">
        <is>
          <t xml:space="preserve">34840524       </t>
        </is>
      </c>
      <c r="F1899" s="5" t="inlineStr">
        <is>
          <t>NENUCO 5 FUNCIONES INTERACTIVAS</t>
        </is>
      </c>
      <c r="G1899" t="n">
        <v>1</v>
      </c>
      <c r="H1899" s="7" t="n">
        <v>69.90000000000001</v>
      </c>
      <c r="I1899" s="7" t="n">
        <v>0</v>
      </c>
      <c r="J1899" s="7" t="n">
        <v>0</v>
      </c>
      <c r="K1899" s="9" t="n">
        <v>0</v>
      </c>
      <c r="L1899" s="10" t="n">
        <v>41.47</v>
      </c>
      <c r="M1899" s="10" t="n">
        <v>1.43</v>
      </c>
      <c r="N1899" t="inlineStr">
        <is>
          <t>1</t>
        </is>
      </c>
      <c r="O1899" t="inlineStr">
        <is>
          <t>16</t>
        </is>
      </c>
      <c r="P1899" t="inlineStr">
        <is>
          <t xml:space="preserve">30333   </t>
        </is>
      </c>
      <c r="Q1899" s="26" t="n">
        <v>89.90000000000003</v>
      </c>
      <c r="R1899" s="26">
        <f>Q1899*G1899</f>
        <v/>
      </c>
      <c r="S1899" t="n">
        <v>53.33</v>
      </c>
      <c r="T1899" s="18">
        <f>1 - V1899/S1899</f>
        <v/>
      </c>
      <c r="U1899" s="18" t="n">
        <v>0.2224694104560623</v>
      </c>
      <c r="V1899" s="26" t="n">
        <v>44.42796610169492</v>
      </c>
      <c r="W1899" s="26">
        <f>V1899 - L1899</f>
        <v/>
      </c>
    </row>
    <row r="1900">
      <c r="A1900" s="11" t="n">
        <v>46222</v>
      </c>
      <c r="B1900" s="1" t="n">
        <v>20028</v>
      </c>
      <c r="C1900" s="1" t="inlineStr">
        <is>
          <t>011</t>
        </is>
      </c>
      <c r="D1900" s="1" t="inlineStr">
        <is>
          <t xml:space="preserve">33864 </t>
        </is>
      </c>
      <c r="E1900" s="1" t="inlineStr">
        <is>
          <t xml:space="preserve">28194769       </t>
        </is>
      </c>
      <c r="F1900" s="5" t="inlineStr">
        <is>
          <t>AUTOS DE METAL 3 TEAMSTERZ PACK DE 2</t>
        </is>
      </c>
      <c r="G1900" t="n">
        <v>1</v>
      </c>
      <c r="H1900" s="7" t="n">
        <v>13.8</v>
      </c>
      <c r="I1900" s="7" t="n">
        <v>0</v>
      </c>
      <c r="J1900" s="7" t="n">
        <v>0</v>
      </c>
      <c r="K1900" s="9" t="n">
        <v>0</v>
      </c>
      <c r="L1900" s="10" t="n">
        <v>8.18</v>
      </c>
      <c r="M1900" s="10" t="n">
        <v>1.43</v>
      </c>
      <c r="N1900" t="inlineStr">
        <is>
          <t>1</t>
        </is>
      </c>
      <c r="O1900" t="inlineStr">
        <is>
          <t>16</t>
        </is>
      </c>
      <c r="P1900" t="inlineStr">
        <is>
          <t xml:space="preserve">69765   </t>
        </is>
      </c>
      <c r="Q1900" s="26" t="n">
        <v>13.8</v>
      </c>
      <c r="R1900" s="26">
        <f>Q1900*G1900</f>
        <v/>
      </c>
      <c r="S1900" t="n">
        <v>8.19</v>
      </c>
      <c r="T1900" s="18">
        <f>1 - V1900/S1900</f>
        <v/>
      </c>
      <c r="U1900" s="18" t="n">
        <v>0</v>
      </c>
      <c r="V1900" s="26" t="n">
        <v>8.19</v>
      </c>
      <c r="W1900" s="26">
        <f>V1900 - L1900</f>
        <v/>
      </c>
    </row>
    <row r="1901">
      <c r="A1901" s="11" t="n">
        <v>46222</v>
      </c>
      <c r="B1901" s="1" t="n">
        <v>20030</v>
      </c>
      <c r="C1901" s="1" t="inlineStr">
        <is>
          <t>067</t>
        </is>
      </c>
      <c r="D1901" s="1" t="inlineStr">
        <is>
          <t>274604</t>
        </is>
      </c>
      <c r="E1901" s="1" t="inlineStr">
        <is>
          <t xml:space="preserve">28194770       </t>
        </is>
      </c>
      <c r="F1901" s="5" t="inlineStr">
        <is>
          <t>AUTOS DE METAL 3 TEAMSTERZ EN BLISTER</t>
        </is>
      </c>
      <c r="G1901" t="n">
        <v>1</v>
      </c>
      <c r="H1901" s="7" t="n">
        <v>6.9</v>
      </c>
      <c r="I1901" s="7" t="n">
        <v>0</v>
      </c>
      <c r="J1901" s="7" t="n">
        <v>0</v>
      </c>
      <c r="K1901" s="9" t="n">
        <v>0</v>
      </c>
      <c r="L1901" s="10" t="n">
        <v>4.1</v>
      </c>
      <c r="M1901" s="10" t="n">
        <v>1.43</v>
      </c>
      <c r="N1901" t="inlineStr">
        <is>
          <t>1</t>
        </is>
      </c>
      <c r="O1901" t="inlineStr">
        <is>
          <t>16</t>
        </is>
      </c>
      <c r="P1901" t="inlineStr">
        <is>
          <t xml:space="preserve">44915   </t>
        </is>
      </c>
      <c r="Q1901" s="26" t="n">
        <v>6.9</v>
      </c>
      <c r="R1901" s="26">
        <f>Q1901*G1901</f>
        <v/>
      </c>
      <c r="S1901" t="n">
        <v>4.09</v>
      </c>
      <c r="T1901" s="18">
        <f>1 - V1901/S1901</f>
        <v/>
      </c>
      <c r="U1901" s="18" t="n">
        <v>0</v>
      </c>
      <c r="V1901" s="26" t="n">
        <v>4.09</v>
      </c>
      <c r="W1901" s="26">
        <f>V1901 - L1901</f>
        <v/>
      </c>
    </row>
    <row r="1902">
      <c r="A1902" s="11" t="n">
        <v>46222</v>
      </c>
      <c r="B1902" s="1" t="n">
        <v>20030</v>
      </c>
      <c r="C1902" s="1" t="inlineStr">
        <is>
          <t>077</t>
        </is>
      </c>
      <c r="D1902" s="1" t="inlineStr">
        <is>
          <t>232543</t>
        </is>
      </c>
      <c r="E1902" s="1" t="inlineStr">
        <is>
          <t xml:space="preserve">30141767       </t>
        </is>
      </c>
      <c r="F1902" s="5" t="inlineStr">
        <is>
          <t>TMZ BEAST MACHINES AUTOS DE METAL PACK 5 AUTOS</t>
        </is>
      </c>
      <c r="G1902" t="n">
        <v>1</v>
      </c>
      <c r="H1902" s="7" t="n">
        <v>29.9</v>
      </c>
      <c r="I1902" s="7" t="n">
        <v>0</v>
      </c>
      <c r="J1902" s="7" t="n">
        <v>0</v>
      </c>
      <c r="K1902" s="9" t="n">
        <v>0</v>
      </c>
      <c r="L1902" s="10" t="n">
        <v>17.74</v>
      </c>
      <c r="M1902" s="10" t="n">
        <v>1.43</v>
      </c>
      <c r="N1902" t="inlineStr">
        <is>
          <t>1</t>
        </is>
      </c>
      <c r="O1902" t="inlineStr">
        <is>
          <t>16</t>
        </is>
      </c>
      <c r="P1902" t="inlineStr">
        <is>
          <t xml:space="preserve">22672   </t>
        </is>
      </c>
      <c r="Q1902" s="26" t="n">
        <v>39.5</v>
      </c>
      <c r="R1902" s="26">
        <f>Q1902*G1902</f>
        <v/>
      </c>
      <c r="S1902" t="n">
        <v>23.43</v>
      </c>
      <c r="T1902" s="18">
        <f>1 - V1902/S1902</f>
        <v/>
      </c>
      <c r="U1902" s="18" t="n">
        <v>0.2430379746835444</v>
      </c>
      <c r="V1902" s="26" t="n">
        <v>19.00423728813559</v>
      </c>
      <c r="W1902" s="26">
        <f>V1902 - L1902</f>
        <v/>
      </c>
    </row>
    <row r="1903">
      <c r="A1903" s="11" t="n">
        <v>46222</v>
      </c>
      <c r="B1903" s="1" t="n">
        <v>20040</v>
      </c>
      <c r="C1903" s="1" t="inlineStr">
        <is>
          <t>047</t>
        </is>
      </c>
      <c r="D1903" s="1" t="inlineStr">
        <is>
          <t xml:space="preserve">63067 </t>
        </is>
      </c>
      <c r="E1903" s="1" t="inlineStr">
        <is>
          <t xml:space="preserve">34840556       </t>
        </is>
      </c>
      <c r="F1903" s="5" t="inlineStr">
        <is>
          <t>TMZ BEAST MACH. TRANSPORT DINO +ACCS</t>
        </is>
      </c>
      <c r="G1903" t="n">
        <v>1</v>
      </c>
      <c r="H1903" s="7" t="n">
        <v>59.9</v>
      </c>
      <c r="I1903" s="7" t="n">
        <v>0</v>
      </c>
      <c r="J1903" s="7" t="n">
        <v>0</v>
      </c>
      <c r="K1903" s="9" t="n">
        <v>0</v>
      </c>
      <c r="L1903" s="10" t="n">
        <v>35.53</v>
      </c>
      <c r="M1903" s="10" t="n">
        <v>1.43</v>
      </c>
      <c r="N1903" t="inlineStr">
        <is>
          <t>1</t>
        </is>
      </c>
      <c r="O1903" t="inlineStr">
        <is>
          <t xml:space="preserve">2 </t>
        </is>
      </c>
      <c r="P1903" t="inlineStr">
        <is>
          <t xml:space="preserve">243237  </t>
        </is>
      </c>
      <c r="Q1903" s="26" t="n">
        <v>79.90000000000002</v>
      </c>
      <c r="R1903" s="26">
        <f>Q1903*G1903</f>
        <v/>
      </c>
      <c r="S1903" t="n">
        <v>47.4</v>
      </c>
      <c r="T1903" s="18">
        <f>1 - V1903/S1903</f>
        <v/>
      </c>
      <c r="U1903" s="18" t="n">
        <v>0.2503128911138924</v>
      </c>
      <c r="V1903" s="26" t="n">
        <v>38.07203389830509</v>
      </c>
      <c r="W1903" s="26">
        <f>V1903 - L1903</f>
        <v/>
      </c>
    </row>
    <row r="1904">
      <c r="A1904" s="11" t="n">
        <v>46222</v>
      </c>
      <c r="B1904" s="1" t="n">
        <v>20040</v>
      </c>
      <c r="C1904" s="1" t="inlineStr">
        <is>
          <t>047</t>
        </is>
      </c>
      <c r="D1904" s="1" t="inlineStr">
        <is>
          <t xml:space="preserve">63069 </t>
        </is>
      </c>
      <c r="E1904" s="1" t="inlineStr">
        <is>
          <t xml:space="preserve">30141769       </t>
        </is>
      </c>
      <c r="F1904" s="5" t="inlineStr">
        <is>
          <t>TMZ BEAST MACHINES TRANSPORTE DINOSAURIO + 3 AUTOS</t>
        </is>
      </c>
      <c r="G1904" t="n">
        <v>1</v>
      </c>
      <c r="H1904" s="7" t="n">
        <v>59.9</v>
      </c>
      <c r="I1904" s="7" t="n">
        <v>0</v>
      </c>
      <c r="J1904" s="7" t="n">
        <v>0</v>
      </c>
      <c r="K1904" s="9" t="n">
        <v>0</v>
      </c>
      <c r="L1904" s="10" t="n">
        <v>35.53</v>
      </c>
      <c r="M1904" s="10" t="n">
        <v>1.43</v>
      </c>
      <c r="N1904" t="inlineStr">
        <is>
          <t>1</t>
        </is>
      </c>
      <c r="O1904" t="inlineStr">
        <is>
          <t>16</t>
        </is>
      </c>
      <c r="P1904" t="inlineStr">
        <is>
          <t xml:space="preserve">243237  </t>
        </is>
      </c>
      <c r="Q1904" s="26" t="n">
        <v>79.90000000000001</v>
      </c>
      <c r="R1904" s="26">
        <f>Q1904*G1904</f>
        <v/>
      </c>
      <c r="S1904" t="n">
        <v>47.4</v>
      </c>
      <c r="T1904" s="18">
        <f>1 - V1904/S1904</f>
        <v/>
      </c>
      <c r="U1904" s="18" t="n">
        <v>0.2503128911138924</v>
      </c>
      <c r="V1904" s="26" t="n">
        <v>38.07203389830509</v>
      </c>
      <c r="W1904" s="26">
        <f>V1904 - L1904</f>
        <v/>
      </c>
    </row>
    <row r="1905">
      <c r="A1905" s="11" t="n">
        <v>46222</v>
      </c>
      <c r="B1905" s="1" t="n">
        <v>20040</v>
      </c>
      <c r="C1905" s="1" t="inlineStr">
        <is>
          <t>083</t>
        </is>
      </c>
      <c r="D1905" s="1" t="inlineStr">
        <is>
          <t>160222</t>
        </is>
      </c>
      <c r="E1905" s="1" t="inlineStr">
        <is>
          <t xml:space="preserve">28194781       </t>
        </is>
      </c>
      <c r="F1905" s="5" t="inlineStr">
        <is>
          <t>TROMPO BATALLA INFINITY NADO SERIE V CLASICA SURTI</t>
        </is>
      </c>
      <c r="G1905" t="n">
        <v>1</v>
      </c>
      <c r="H1905" s="7" t="n">
        <v>39.9</v>
      </c>
      <c r="I1905" s="7" t="n">
        <v>0</v>
      </c>
      <c r="J1905" s="7" t="n">
        <v>0</v>
      </c>
      <c r="K1905" s="9" t="n">
        <v>0</v>
      </c>
      <c r="L1905" s="10" t="n">
        <v>23.67</v>
      </c>
      <c r="M1905" s="10" t="n">
        <v>1.43</v>
      </c>
      <c r="N1905" t="inlineStr">
        <is>
          <t>1</t>
        </is>
      </c>
      <c r="O1905" t="inlineStr">
        <is>
          <t xml:space="preserve">2 </t>
        </is>
      </c>
      <c r="P1905" t="inlineStr">
        <is>
          <t xml:space="preserve">61602   </t>
        </is>
      </c>
      <c r="Q1905" s="26" t="n">
        <v>59.9</v>
      </c>
      <c r="R1905" s="26">
        <f>Q1905*G1905</f>
        <v/>
      </c>
      <c r="S1905" t="n">
        <v>35.53</v>
      </c>
      <c r="T1905" s="18">
        <f>1 - V1905/S1905</f>
        <v/>
      </c>
      <c r="U1905" s="18" t="n">
        <v>0.333889816360601</v>
      </c>
      <c r="V1905" s="26" t="n">
        <v>25.36016949152542</v>
      </c>
      <c r="W1905" s="26">
        <f>V1905 - L1905</f>
        <v/>
      </c>
    </row>
    <row r="1906">
      <c r="A1906" s="11" t="n">
        <v>46222</v>
      </c>
      <c r="B1906" s="1" t="n">
        <v>20040</v>
      </c>
      <c r="C1906" s="1" t="inlineStr">
        <is>
          <t>083</t>
        </is>
      </c>
      <c r="D1906" s="1" t="inlineStr">
        <is>
          <t>160222</t>
        </is>
      </c>
      <c r="E1906" s="1" t="inlineStr">
        <is>
          <t xml:space="preserve">28194781       </t>
        </is>
      </c>
      <c r="F1906" s="5" t="inlineStr">
        <is>
          <t>TROMPO BATALLA INFINITY NADO SERIE V CLASICA SURTI</t>
        </is>
      </c>
      <c r="G1906" t="n">
        <v>1</v>
      </c>
      <c r="H1906" s="7" t="n">
        <v>39.9</v>
      </c>
      <c r="I1906" s="7" t="n">
        <v>0</v>
      </c>
      <c r="J1906" s="7" t="n">
        <v>0</v>
      </c>
      <c r="K1906" s="9" t="n">
        <v>0</v>
      </c>
      <c r="L1906" s="10" t="n">
        <v>23.67</v>
      </c>
      <c r="M1906" s="10" t="n">
        <v>1.43</v>
      </c>
      <c r="N1906" t="inlineStr">
        <is>
          <t>1</t>
        </is>
      </c>
      <c r="O1906" t="inlineStr">
        <is>
          <t xml:space="preserve">2 </t>
        </is>
      </c>
      <c r="P1906" t="inlineStr">
        <is>
          <t xml:space="preserve">61602   </t>
        </is>
      </c>
      <c r="Q1906" s="26" t="n">
        <v>59.9</v>
      </c>
      <c r="R1906" s="26">
        <f>Q1906*G1906</f>
        <v/>
      </c>
      <c r="S1906" t="n">
        <v>35.53</v>
      </c>
      <c r="T1906" s="18">
        <f>1 - V1906/S1906</f>
        <v/>
      </c>
      <c r="U1906" s="18" t="n">
        <v>0.333889816360601</v>
      </c>
      <c r="V1906" s="26" t="n">
        <v>25.36016949152542</v>
      </c>
      <c r="W1906" s="26">
        <f>V1906 - L1906</f>
        <v/>
      </c>
    </row>
    <row r="1907">
      <c r="A1907" s="11" t="n">
        <v>46222</v>
      </c>
      <c r="B1907" s="1" t="n">
        <v>20040</v>
      </c>
      <c r="C1907" s="1" t="inlineStr">
        <is>
          <t>800</t>
        </is>
      </c>
      <c r="D1907" s="1" t="inlineStr">
        <is>
          <t xml:space="preserve">3527  </t>
        </is>
      </c>
      <c r="E1907" s="1" t="inlineStr">
        <is>
          <t xml:space="preserve">32457099       </t>
        </is>
      </c>
      <c r="F1907" s="5" t="inlineStr">
        <is>
          <t>TMZ BEAST MACHINES MONSTER JAWS A FRICCION BLISTER</t>
        </is>
      </c>
      <c r="G1907" t="n">
        <v>1</v>
      </c>
      <c r="H1907" s="7" t="n">
        <v>17.9</v>
      </c>
      <c r="I1907" s="7" t="n">
        <v>0</v>
      </c>
      <c r="J1907" s="7" t="n">
        <v>0</v>
      </c>
      <c r="K1907" s="9" t="n">
        <v>0</v>
      </c>
      <c r="L1907" s="10" t="n">
        <v>10.62</v>
      </c>
      <c r="M1907" s="10" t="n">
        <v>1.43</v>
      </c>
      <c r="N1907" t="inlineStr">
        <is>
          <t>1</t>
        </is>
      </c>
      <c r="O1907" t="inlineStr">
        <is>
          <t>16</t>
        </is>
      </c>
      <c r="P1907" t="inlineStr">
        <is>
          <t xml:space="preserve">0       </t>
        </is>
      </c>
      <c r="Q1907" s="26" t="n">
        <v>19.9</v>
      </c>
      <c r="R1907" s="26">
        <f>Q1907*G1907</f>
        <v/>
      </c>
      <c r="S1907" t="n">
        <v>11.81</v>
      </c>
      <c r="T1907" s="18">
        <f>1 - V1907/S1907</f>
        <v/>
      </c>
      <c r="U1907" s="18" t="n">
        <v>0.1005025125628141</v>
      </c>
      <c r="V1907" s="26" t="n">
        <v>8.417118644067797</v>
      </c>
      <c r="W1907" s="26">
        <f>V1907 - L1907</f>
        <v/>
      </c>
    </row>
    <row r="1908">
      <c r="A1908" s="11" t="n">
        <v>46222</v>
      </c>
      <c r="B1908" s="1" t="n">
        <v>20040</v>
      </c>
      <c r="C1908" s="1" t="inlineStr">
        <is>
          <t>800</t>
        </is>
      </c>
      <c r="D1908" s="1" t="inlineStr">
        <is>
          <t xml:space="preserve">3535  </t>
        </is>
      </c>
      <c r="E1908" s="1" t="inlineStr">
        <is>
          <t xml:space="preserve">31754675       </t>
        </is>
      </c>
      <c r="F1908" s="5" t="inlineStr">
        <is>
          <t>INFINITY NADO SERIE 6 STARTER PACK - 4 MODELOS</t>
        </is>
      </c>
      <c r="G1908" t="n">
        <v>2</v>
      </c>
      <c r="H1908" s="7" t="n">
        <v>99.8</v>
      </c>
      <c r="I1908" s="7" t="n">
        <v>0</v>
      </c>
      <c r="J1908" s="7" t="n">
        <v>0</v>
      </c>
      <c r="K1908" s="9" t="n">
        <v>0</v>
      </c>
      <c r="L1908" s="10" t="n">
        <v>59.2</v>
      </c>
      <c r="M1908" s="10" t="n">
        <v>1.43</v>
      </c>
      <c r="N1908" t="inlineStr">
        <is>
          <t>1</t>
        </is>
      </c>
      <c r="O1908" t="inlineStr">
        <is>
          <t>16</t>
        </is>
      </c>
      <c r="P1908" t="inlineStr">
        <is>
          <t xml:space="preserve">0       </t>
        </is>
      </c>
      <c r="Q1908" s="26" t="n">
        <v>69.90000000000001</v>
      </c>
      <c r="R1908" s="26">
        <f>Q1908*G1908</f>
        <v/>
      </c>
      <c r="S1908" t="n">
        <v>82.94</v>
      </c>
      <c r="T1908" s="18">
        <f>1 - V1908/S1908</f>
        <v/>
      </c>
      <c r="U1908" s="18" t="n">
        <v>0.2861230329041489</v>
      </c>
      <c r="V1908" s="26" t="n">
        <v>63.43220338983051</v>
      </c>
      <c r="W1908" s="26">
        <f>V1908 - L1908</f>
        <v/>
      </c>
    </row>
    <row r="1909">
      <c r="A1909" s="11" t="n">
        <v>46222</v>
      </c>
      <c r="B1909" s="1" t="n">
        <v>20040</v>
      </c>
      <c r="C1909" s="1" t="inlineStr">
        <is>
          <t>800</t>
        </is>
      </c>
      <c r="D1909" s="1" t="inlineStr">
        <is>
          <t xml:space="preserve">3544  </t>
        </is>
      </c>
      <c r="E1909" s="1" t="inlineStr">
        <is>
          <t xml:space="preserve">33661538       </t>
        </is>
      </c>
      <c r="F1909" s="5" t="inlineStr">
        <is>
          <t>HOT WHEELS CASE GARAGE RUEDA METAL EN LLAMAS X 29</t>
        </is>
      </c>
      <c r="G1909" t="n">
        <v>1</v>
      </c>
      <c r="H1909" s="7" t="n">
        <v>69.90000000000001</v>
      </c>
      <c r="I1909" s="7" t="n">
        <v>0</v>
      </c>
      <c r="J1909" s="7" t="n">
        <v>0</v>
      </c>
      <c r="K1909" s="9" t="n">
        <v>0</v>
      </c>
      <c r="L1909" s="10" t="n">
        <v>41.47</v>
      </c>
      <c r="M1909" s="10" t="n">
        <v>1.43</v>
      </c>
      <c r="N1909" t="inlineStr">
        <is>
          <t>1</t>
        </is>
      </c>
      <c r="O1909" t="inlineStr">
        <is>
          <t>16</t>
        </is>
      </c>
      <c r="P1909" t="inlineStr">
        <is>
          <t xml:space="preserve">0       </t>
        </is>
      </c>
      <c r="Q1909" s="26" t="n">
        <v>69.90000000000001</v>
      </c>
      <c r="R1909" s="26">
        <f>Q1909*G1909</f>
        <v/>
      </c>
      <c r="S1909" t="n">
        <v>41.47</v>
      </c>
      <c r="T1909" s="18">
        <f>1 - V1909/S1909</f>
        <v/>
      </c>
      <c r="U1909" s="18" t="n">
        <v>0</v>
      </c>
      <c r="V1909" s="26" t="n">
        <v>41.47</v>
      </c>
      <c r="W1909" s="26">
        <f>V1909 - L1909</f>
        <v/>
      </c>
    </row>
    <row r="1910">
      <c r="A1910" s="11" t="n">
        <v>46222</v>
      </c>
      <c r="B1910" s="1" t="n">
        <v>20041</v>
      </c>
      <c r="C1910" s="1" t="inlineStr">
        <is>
          <t>031</t>
        </is>
      </c>
      <c r="D1910" s="1" t="inlineStr">
        <is>
          <t>166006</t>
        </is>
      </c>
      <c r="E1910" s="1" t="inlineStr">
        <is>
          <t xml:space="preserve">28194780       </t>
        </is>
      </c>
      <c r="F1910" s="5" t="inlineStr">
        <is>
          <t>TROMPO BATALLA INFINITY NADO PLSTICO SURTIDO</t>
        </is>
      </c>
      <c r="G1910" t="n">
        <v>1</v>
      </c>
      <c r="H1910" s="7" t="n">
        <v>19.9</v>
      </c>
      <c r="I1910" s="7" t="n">
        <v>0</v>
      </c>
      <c r="J1910" s="7" t="n">
        <v>0</v>
      </c>
      <c r="K1910" s="9" t="n">
        <v>0</v>
      </c>
      <c r="L1910" s="10" t="n">
        <v>11.8</v>
      </c>
      <c r="M1910" s="10" t="n">
        <v>1.43</v>
      </c>
      <c r="N1910" t="inlineStr">
        <is>
          <t>1</t>
        </is>
      </c>
      <c r="O1910" t="inlineStr">
        <is>
          <t>16</t>
        </is>
      </c>
      <c r="P1910" t="inlineStr">
        <is>
          <t xml:space="preserve">241916  </t>
        </is>
      </c>
      <c r="Q1910" s="26" t="n">
        <v>19.9</v>
      </c>
      <c r="R1910" s="26">
        <f>Q1910*G1910</f>
        <v/>
      </c>
      <c r="S1910" t="n">
        <v>11.81</v>
      </c>
      <c r="T1910" s="18">
        <f>1 - V1910/S1910</f>
        <v/>
      </c>
      <c r="U1910" s="18" t="n">
        <v>0</v>
      </c>
      <c r="V1910" s="26" t="n">
        <v>11.81</v>
      </c>
      <c r="W1910" s="26">
        <f>V1910 - L1910</f>
        <v/>
      </c>
    </row>
    <row r="1911">
      <c r="A1911" s="11" t="n">
        <v>46222</v>
      </c>
      <c r="B1911" s="1" t="n">
        <v>20043</v>
      </c>
      <c r="C1911" s="1" t="inlineStr">
        <is>
          <t>014</t>
        </is>
      </c>
      <c r="D1911" s="1" t="inlineStr">
        <is>
          <t>137746</t>
        </is>
      </c>
      <c r="E1911" s="1" t="inlineStr">
        <is>
          <t xml:space="preserve">32457099       </t>
        </is>
      </c>
      <c r="F1911" s="5" t="inlineStr">
        <is>
          <t>TMZ BEAST MACHINES MONSTER JAWS A FRICCION BLISTER</t>
        </is>
      </c>
      <c r="G1911" t="n">
        <v>1</v>
      </c>
      <c r="H1911" s="7" t="n">
        <v>17.9</v>
      </c>
      <c r="I1911" s="7" t="n">
        <v>0</v>
      </c>
      <c r="J1911" s="7" t="n">
        <v>0</v>
      </c>
      <c r="K1911" s="9" t="n">
        <v>0</v>
      </c>
      <c r="L1911" s="10" t="n">
        <v>10.62</v>
      </c>
      <c r="M1911" s="10" t="n">
        <v>1.43</v>
      </c>
      <c r="N1911" t="inlineStr">
        <is>
          <t>1</t>
        </is>
      </c>
      <c r="O1911" t="inlineStr">
        <is>
          <t xml:space="preserve">2 </t>
        </is>
      </c>
      <c r="P1911" t="inlineStr">
        <is>
          <t xml:space="preserve">20505   </t>
        </is>
      </c>
      <c r="Q1911" s="26" t="n">
        <v>19.9</v>
      </c>
      <c r="R1911" s="26">
        <f>Q1911*G1911</f>
        <v/>
      </c>
      <c r="S1911" t="n">
        <v>11.81</v>
      </c>
      <c r="T1911" s="18">
        <f>1 - V1911/S1911</f>
        <v/>
      </c>
      <c r="U1911" s="18" t="n">
        <v>0.1005025125628141</v>
      </c>
      <c r="V1911" s="26" t="n">
        <v>8.417118644067797</v>
      </c>
      <c r="W1911" s="26">
        <f>V1911 - L1911</f>
        <v/>
      </c>
    </row>
    <row r="1912">
      <c r="A1912" s="11" t="n">
        <v>46222</v>
      </c>
      <c r="B1912" s="1" t="n">
        <v>20043</v>
      </c>
      <c r="C1912" s="1" t="inlineStr">
        <is>
          <t>015</t>
        </is>
      </c>
      <c r="D1912" s="1" t="inlineStr">
        <is>
          <t>277682</t>
        </is>
      </c>
      <c r="E1912" s="1" t="inlineStr">
        <is>
          <t xml:space="preserve">28194770       </t>
        </is>
      </c>
      <c r="F1912" s="5" t="inlineStr">
        <is>
          <t>AUTOS DE METAL 3 TEAMSTERZ EN BLISTER</t>
        </is>
      </c>
      <c r="G1912" t="n">
        <v>1</v>
      </c>
      <c r="H1912" s="7" t="n">
        <v>6.9</v>
      </c>
      <c r="I1912" s="7" t="n">
        <v>0</v>
      </c>
      <c r="J1912" s="7" t="n">
        <v>0</v>
      </c>
      <c r="K1912" s="9" t="n">
        <v>0</v>
      </c>
      <c r="L1912" s="10" t="n">
        <v>4.1</v>
      </c>
      <c r="M1912" s="10" t="n">
        <v>1.43</v>
      </c>
      <c r="N1912" t="inlineStr">
        <is>
          <t>1</t>
        </is>
      </c>
      <c r="O1912" t="inlineStr">
        <is>
          <t>16</t>
        </is>
      </c>
      <c r="P1912" t="inlineStr">
        <is>
          <t xml:space="preserve">14775   </t>
        </is>
      </c>
      <c r="Q1912" s="26" t="n">
        <v>6.9</v>
      </c>
      <c r="R1912" s="26">
        <f>Q1912*G1912</f>
        <v/>
      </c>
      <c r="S1912" t="n">
        <v>4.09</v>
      </c>
      <c r="T1912" s="18">
        <f>1 - V1912/S1912</f>
        <v/>
      </c>
      <c r="U1912" s="18" t="n">
        <v>0</v>
      </c>
      <c r="V1912" s="26" t="n">
        <v>4.09</v>
      </c>
      <c r="W1912" s="26">
        <f>V1912 - L1912</f>
        <v/>
      </c>
    </row>
    <row r="1913">
      <c r="A1913" s="11" t="n">
        <v>46222</v>
      </c>
      <c r="B1913" s="1" t="n">
        <v>20043</v>
      </c>
      <c r="C1913" s="1" t="inlineStr">
        <is>
          <t>054</t>
        </is>
      </c>
      <c r="D1913" s="1" t="inlineStr">
        <is>
          <t xml:space="preserve">15438 </t>
        </is>
      </c>
      <c r="E1913" s="1" t="inlineStr">
        <is>
          <t xml:space="preserve">28194770       </t>
        </is>
      </c>
      <c r="F1913" s="5" t="inlineStr">
        <is>
          <t>AUTOS DE METAL 3 TEAMSTERZ EN BLISTER</t>
        </is>
      </c>
      <c r="G1913" t="n">
        <v>1</v>
      </c>
      <c r="H1913" s="7" t="n">
        <v>6.9</v>
      </c>
      <c r="I1913" s="7" t="n">
        <v>0.6899999999999999</v>
      </c>
      <c r="J1913" s="7" t="n">
        <v>0</v>
      </c>
      <c r="K1913" s="9" t="n">
        <v>0.6899999999999999</v>
      </c>
      <c r="L1913" s="10" t="n">
        <v>3.68</v>
      </c>
      <c r="M1913" s="10" t="n">
        <v>1.43</v>
      </c>
      <c r="N1913" t="inlineStr">
        <is>
          <t>1</t>
        </is>
      </c>
      <c r="O1913" t="inlineStr">
        <is>
          <t xml:space="preserve">3 </t>
        </is>
      </c>
      <c r="P1913" t="inlineStr">
        <is>
          <t xml:space="preserve">249961  </t>
        </is>
      </c>
      <c r="Q1913" s="26" t="n">
        <v>6.9</v>
      </c>
      <c r="R1913" s="26">
        <f>Q1913*G1913</f>
        <v/>
      </c>
      <c r="S1913" t="n">
        <v>4.09</v>
      </c>
      <c r="T1913" s="18">
        <f>1 - V1913/S1913</f>
        <v/>
      </c>
      <c r="U1913" s="18" t="n">
        <v>0</v>
      </c>
      <c r="V1913" s="26" t="n">
        <v>4.09</v>
      </c>
      <c r="W1913" s="26">
        <f>V1913 - L1913</f>
        <v/>
      </c>
    </row>
    <row r="1914">
      <c r="A1914" s="11" t="n">
        <v>46222</v>
      </c>
      <c r="B1914" s="1" t="n">
        <v>20043</v>
      </c>
      <c r="C1914" s="1" t="inlineStr">
        <is>
          <t>054</t>
        </is>
      </c>
      <c r="D1914" s="1" t="inlineStr">
        <is>
          <t xml:space="preserve">15439 </t>
        </is>
      </c>
      <c r="E1914" s="1" t="inlineStr">
        <is>
          <t xml:space="preserve">28194770       </t>
        </is>
      </c>
      <c r="F1914" s="5" t="inlineStr">
        <is>
          <t>AUTOS DE METAL 3 TEAMSTERZ EN BLISTER</t>
        </is>
      </c>
      <c r="G1914" t="n">
        <v>1</v>
      </c>
      <c r="H1914" s="7" t="n">
        <v>6.9</v>
      </c>
      <c r="I1914" s="7" t="n">
        <v>0.6899999999999999</v>
      </c>
      <c r="J1914" s="7" t="n">
        <v>0</v>
      </c>
      <c r="K1914" s="9" t="n">
        <v>0.6899999999999999</v>
      </c>
      <c r="L1914" s="10" t="n">
        <v>3.68</v>
      </c>
      <c r="M1914" s="10" t="n">
        <v>1.43</v>
      </c>
      <c r="N1914" t="inlineStr">
        <is>
          <t>1</t>
        </is>
      </c>
      <c r="O1914" t="inlineStr">
        <is>
          <t xml:space="preserve">3 </t>
        </is>
      </c>
      <c r="P1914" t="inlineStr">
        <is>
          <t xml:space="preserve">249961  </t>
        </is>
      </c>
      <c r="Q1914" s="26" t="n">
        <v>6.9</v>
      </c>
      <c r="R1914" s="26">
        <f>Q1914*G1914</f>
        <v/>
      </c>
      <c r="S1914" t="n">
        <v>4.09</v>
      </c>
      <c r="T1914" s="18">
        <f>1 - V1914/S1914</f>
        <v/>
      </c>
      <c r="U1914" s="18" t="n">
        <v>0</v>
      </c>
      <c r="V1914" s="26" t="n">
        <v>4.09</v>
      </c>
      <c r="W1914" s="26">
        <f>V1914 - L1914</f>
        <v/>
      </c>
    </row>
    <row r="1915">
      <c r="A1915" s="11" t="n">
        <v>46222</v>
      </c>
      <c r="B1915" s="1" t="n">
        <v>20047</v>
      </c>
      <c r="C1915" s="1" t="inlineStr">
        <is>
          <t>013</t>
        </is>
      </c>
      <c r="D1915" s="1" t="inlineStr">
        <is>
          <t xml:space="preserve">2752  </t>
        </is>
      </c>
      <c r="E1915" s="1" t="inlineStr">
        <is>
          <t xml:space="preserve">28194766       </t>
        </is>
      </c>
      <c r="F1915" s="5" t="inlineStr">
        <is>
          <t>CAMIONES TEAMSTERZ DE CIUDAD</t>
        </is>
      </c>
      <c r="G1915" t="n">
        <v>1</v>
      </c>
      <c r="H1915" s="7" t="n">
        <v>17.9</v>
      </c>
      <c r="I1915" s="7" t="n">
        <v>0</v>
      </c>
      <c r="J1915" s="7" t="n">
        <v>0</v>
      </c>
      <c r="K1915" s="9" t="n">
        <v>0</v>
      </c>
      <c r="L1915" s="10" t="n">
        <v>10.62</v>
      </c>
      <c r="M1915" s="10" t="n">
        <v>1.43</v>
      </c>
      <c r="N1915" t="inlineStr">
        <is>
          <t>1</t>
        </is>
      </c>
      <c r="O1915" t="inlineStr">
        <is>
          <t xml:space="preserve">2 </t>
        </is>
      </c>
      <c r="P1915" t="inlineStr">
        <is>
          <t xml:space="preserve">245257  </t>
        </is>
      </c>
      <c r="Q1915" s="26" t="n">
        <v>17.9</v>
      </c>
      <c r="R1915" s="26">
        <f>Q1915*G1915</f>
        <v/>
      </c>
      <c r="S1915" t="n">
        <v>10.62</v>
      </c>
      <c r="T1915" s="18">
        <f>1 - V1915/S1915</f>
        <v/>
      </c>
      <c r="U1915" s="18" t="n">
        <v>0</v>
      </c>
      <c r="V1915" s="26" t="n">
        <v>10.62</v>
      </c>
      <c r="W1915" s="26">
        <f>V1915 - L1915</f>
        <v/>
      </c>
    </row>
    <row r="1916">
      <c r="A1916" s="11" t="n">
        <v>46222</v>
      </c>
      <c r="B1916" s="1" t="n">
        <v>20047</v>
      </c>
      <c r="C1916" s="1" t="inlineStr">
        <is>
          <t>191</t>
        </is>
      </c>
      <c r="D1916" s="1" t="inlineStr">
        <is>
          <t>462513</t>
        </is>
      </c>
      <c r="E1916" s="1" t="inlineStr">
        <is>
          <t xml:space="preserve">28194770       </t>
        </is>
      </c>
      <c r="F1916" s="5" t="inlineStr">
        <is>
          <t>AUTOS DE METAL 3 TEAMSTERZ EN BLISTER</t>
        </is>
      </c>
      <c r="G1916" t="n">
        <v>1</v>
      </c>
      <c r="H1916" s="7" t="n">
        <v>6.9</v>
      </c>
      <c r="I1916" s="7" t="n">
        <v>0</v>
      </c>
      <c r="J1916" s="7" t="n">
        <v>0</v>
      </c>
      <c r="K1916" s="9" t="n">
        <v>0</v>
      </c>
      <c r="L1916" s="10" t="n">
        <v>4.1</v>
      </c>
      <c r="M1916" s="10" t="n">
        <v>1.43</v>
      </c>
      <c r="N1916" t="inlineStr">
        <is>
          <t>1</t>
        </is>
      </c>
      <c r="O1916" t="inlineStr">
        <is>
          <t xml:space="preserve">2 </t>
        </is>
      </c>
      <c r="P1916" t="inlineStr">
        <is>
          <t xml:space="preserve">245257  </t>
        </is>
      </c>
      <c r="Q1916" s="26" t="n">
        <v>6.9</v>
      </c>
      <c r="R1916" s="26">
        <f>Q1916*G1916</f>
        <v/>
      </c>
      <c r="S1916" t="n">
        <v>4.09</v>
      </c>
      <c r="T1916" s="18">
        <f>1 - V1916/S1916</f>
        <v/>
      </c>
      <c r="U1916" s="18" t="n">
        <v>0</v>
      </c>
      <c r="V1916" s="26" t="n">
        <v>4.09</v>
      </c>
      <c r="W1916" s="26">
        <f>V1916 - L1916</f>
        <v/>
      </c>
    </row>
    <row r="1917">
      <c r="A1917" s="11" t="n">
        <v>46222</v>
      </c>
      <c r="B1917" s="1" t="n">
        <v>20047</v>
      </c>
      <c r="C1917" s="1" t="inlineStr">
        <is>
          <t>507</t>
        </is>
      </c>
      <c r="D1917" s="1" t="inlineStr">
        <is>
          <t xml:space="preserve">3613  </t>
        </is>
      </c>
      <c r="E1917" s="1" t="inlineStr">
        <is>
          <t xml:space="preserve">28194770       </t>
        </is>
      </c>
      <c r="F1917" s="5" t="inlineStr">
        <is>
          <t>AUTOS DE METAL 3 TEAMSTERZ EN BLISTER</t>
        </is>
      </c>
      <c r="G1917" t="n">
        <v>2</v>
      </c>
      <c r="H1917" s="7" t="n">
        <v>13.8</v>
      </c>
      <c r="I1917" s="7" t="n">
        <v>1.38</v>
      </c>
      <c r="J1917" s="7" t="n">
        <v>0</v>
      </c>
      <c r="K1917" s="9" t="n">
        <v>1.38</v>
      </c>
      <c r="L1917" s="10" t="n">
        <v>7.38</v>
      </c>
      <c r="M1917" s="10" t="n">
        <v>1.43</v>
      </c>
      <c r="N1917" t="inlineStr">
        <is>
          <t>1</t>
        </is>
      </c>
      <c r="O1917" t="inlineStr">
        <is>
          <t>16</t>
        </is>
      </c>
      <c r="P1917" t="inlineStr">
        <is>
          <t xml:space="preserve">248125  </t>
        </is>
      </c>
      <c r="Q1917" s="26" t="n">
        <v>6.9</v>
      </c>
      <c r="R1917" s="26">
        <f>Q1917*G1917</f>
        <v/>
      </c>
      <c r="S1917" t="n">
        <v>8.18</v>
      </c>
      <c r="T1917" s="18">
        <f>1 - V1917/S1917</f>
        <v/>
      </c>
      <c r="U1917" s="18" t="n">
        <v>0</v>
      </c>
      <c r="V1917" s="26" t="n">
        <v>8.18</v>
      </c>
      <c r="W1917" s="26">
        <f>V1917 - L1917</f>
        <v/>
      </c>
    </row>
    <row r="1918">
      <c r="A1918" s="11" t="n">
        <v>46222</v>
      </c>
      <c r="B1918" s="1" t="n">
        <v>20048</v>
      </c>
      <c r="C1918" s="1" t="inlineStr">
        <is>
          <t>017</t>
        </is>
      </c>
      <c r="D1918" s="1" t="inlineStr">
        <is>
          <t>167081</t>
        </is>
      </c>
      <c r="E1918" s="1" t="inlineStr">
        <is>
          <t xml:space="preserve">28194770       </t>
        </is>
      </c>
      <c r="F1918" s="5" t="inlineStr">
        <is>
          <t>AUTOS DE METAL 3 TEAMSTERZ EN BLISTER</t>
        </is>
      </c>
      <c r="G1918" t="n">
        <v>1</v>
      </c>
      <c r="H1918" s="7" t="n">
        <v>6.9</v>
      </c>
      <c r="I1918" s="7" t="n">
        <v>0.6899999999999999</v>
      </c>
      <c r="J1918" s="7" t="n">
        <v>0</v>
      </c>
      <c r="K1918" s="9" t="n">
        <v>0.6899999999999999</v>
      </c>
      <c r="L1918" s="10" t="n">
        <v>3.68</v>
      </c>
      <c r="M1918" s="10" t="n">
        <v>1.43</v>
      </c>
      <c r="N1918" t="inlineStr">
        <is>
          <t>1</t>
        </is>
      </c>
      <c r="O1918" t="inlineStr">
        <is>
          <t xml:space="preserve">3 </t>
        </is>
      </c>
      <c r="P1918" t="inlineStr">
        <is>
          <t xml:space="preserve">243717  </t>
        </is>
      </c>
      <c r="Q1918" s="26" t="n">
        <v>6.9</v>
      </c>
      <c r="R1918" s="26">
        <f>Q1918*G1918</f>
        <v/>
      </c>
      <c r="S1918" t="n">
        <v>4.09</v>
      </c>
      <c r="T1918" s="18">
        <f>1 - V1918/S1918</f>
        <v/>
      </c>
      <c r="U1918" s="18" t="n">
        <v>0</v>
      </c>
      <c r="V1918" s="26" t="n">
        <v>4.09</v>
      </c>
      <c r="W1918" s="26">
        <f>V1918 - L1918</f>
        <v/>
      </c>
    </row>
    <row r="1919">
      <c r="A1919" s="11" t="n">
        <v>46222</v>
      </c>
      <c r="B1919" s="1" t="n">
        <v>20048</v>
      </c>
      <c r="C1919" s="1" t="inlineStr">
        <is>
          <t>018</t>
        </is>
      </c>
      <c r="D1919" s="1" t="inlineStr">
        <is>
          <t xml:space="preserve">47519 </t>
        </is>
      </c>
      <c r="E1919" s="1" t="inlineStr">
        <is>
          <t xml:space="preserve">32457099       </t>
        </is>
      </c>
      <c r="F1919" s="5" t="inlineStr">
        <is>
          <t>TMZ BEAST MACHINES MONSTER JAWS A FRICCION BLISTER</t>
        </is>
      </c>
      <c r="G1919" t="n">
        <v>1</v>
      </c>
      <c r="H1919" s="7" t="n">
        <v>17.9</v>
      </c>
      <c r="I1919" s="7" t="n">
        <v>0</v>
      </c>
      <c r="J1919" s="7" t="n">
        <v>0</v>
      </c>
      <c r="K1919" s="9" t="n">
        <v>0</v>
      </c>
      <c r="L1919" s="10" t="n">
        <v>10.62</v>
      </c>
      <c r="M1919" s="10" t="n">
        <v>1.43</v>
      </c>
      <c r="N1919" t="inlineStr">
        <is>
          <t>1</t>
        </is>
      </c>
      <c r="O1919" t="inlineStr">
        <is>
          <t>16</t>
        </is>
      </c>
      <c r="P1919" t="inlineStr">
        <is>
          <t xml:space="preserve">243717  </t>
        </is>
      </c>
      <c r="Q1919" s="26" t="n">
        <v>19.9</v>
      </c>
      <c r="R1919" s="26">
        <f>Q1919*G1919</f>
        <v/>
      </c>
      <c r="S1919" t="n">
        <v>11.81</v>
      </c>
      <c r="T1919" s="18">
        <f>1 - V1919/S1919</f>
        <v/>
      </c>
      <c r="U1919" s="18" t="n">
        <v>0.1005025125628141</v>
      </c>
      <c r="V1919" s="26" t="n">
        <v>8.417118644067797</v>
      </c>
      <c r="W1919" s="26">
        <f>V1919 - L1919</f>
        <v/>
      </c>
    </row>
    <row r="1920">
      <c r="A1920" s="11" t="n">
        <v>46222</v>
      </c>
      <c r="B1920" s="1" t="n">
        <v>20048</v>
      </c>
      <c r="C1920" s="1" t="inlineStr">
        <is>
          <t>018</t>
        </is>
      </c>
      <c r="D1920" s="1" t="inlineStr">
        <is>
          <t xml:space="preserve">47519 </t>
        </is>
      </c>
      <c r="E1920" s="1" t="inlineStr">
        <is>
          <t xml:space="preserve">32457099       </t>
        </is>
      </c>
      <c r="F1920" s="5" t="inlineStr">
        <is>
          <t>TMZ BEAST MACHINES MONSTER JAWS A FRICCION BLISTER</t>
        </is>
      </c>
      <c r="G1920" t="n">
        <v>1</v>
      </c>
      <c r="H1920" s="7" t="n">
        <v>17.9</v>
      </c>
      <c r="I1920" s="7" t="n">
        <v>0</v>
      </c>
      <c r="J1920" s="7" t="n">
        <v>0</v>
      </c>
      <c r="K1920" s="9" t="n">
        <v>0</v>
      </c>
      <c r="L1920" s="10" t="n">
        <v>10.62</v>
      </c>
      <c r="M1920" s="10" t="n">
        <v>1.43</v>
      </c>
      <c r="N1920" t="inlineStr">
        <is>
          <t>1</t>
        </is>
      </c>
      <c r="O1920" t="inlineStr">
        <is>
          <t>16</t>
        </is>
      </c>
      <c r="P1920" t="inlineStr">
        <is>
          <t xml:space="preserve">243717  </t>
        </is>
      </c>
      <c r="Q1920" s="26" t="n">
        <v>19.9</v>
      </c>
      <c r="R1920" s="26">
        <f>Q1920*G1920</f>
        <v/>
      </c>
      <c r="S1920" t="n">
        <v>11.81</v>
      </c>
      <c r="T1920" s="18">
        <f>1 - V1920/S1920</f>
        <v/>
      </c>
      <c r="U1920" s="18" t="n">
        <v>0.1005025125628141</v>
      </c>
      <c r="V1920" s="26" t="n">
        <v>8.417118644067797</v>
      </c>
      <c r="W1920" s="26">
        <f>V1920 - L1920</f>
        <v/>
      </c>
    </row>
    <row r="1921">
      <c r="A1921" s="11" t="n">
        <v>46222</v>
      </c>
      <c r="B1921" s="1" t="n">
        <v>20048</v>
      </c>
      <c r="C1921" s="1" t="inlineStr">
        <is>
          <t>018</t>
        </is>
      </c>
      <c r="D1921" s="1" t="inlineStr">
        <is>
          <t xml:space="preserve">47519 </t>
        </is>
      </c>
      <c r="E1921" s="1" t="inlineStr">
        <is>
          <t xml:space="preserve">32457103       </t>
        </is>
      </c>
      <c r="F1921" s="5" t="inlineStr">
        <is>
          <t>TMZ BEAST MACHINES MONSTER JAWS A FRICCION PACK DE</t>
        </is>
      </c>
      <c r="G1921" t="n">
        <v>1</v>
      </c>
      <c r="H1921" s="7" t="n">
        <v>32.9</v>
      </c>
      <c r="I1921" s="7" t="n">
        <v>0</v>
      </c>
      <c r="J1921" s="7" t="n">
        <v>0</v>
      </c>
      <c r="K1921" s="9" t="n">
        <v>0</v>
      </c>
      <c r="L1921" s="10" t="n">
        <v>19.52</v>
      </c>
      <c r="M1921" s="10" t="n">
        <v>1.43</v>
      </c>
      <c r="N1921" t="inlineStr">
        <is>
          <t>1</t>
        </is>
      </c>
      <c r="O1921" t="inlineStr">
        <is>
          <t>16</t>
        </is>
      </c>
      <c r="P1921" t="inlineStr">
        <is>
          <t xml:space="preserve">243717  </t>
        </is>
      </c>
      <c r="Q1921" s="26" t="n">
        <v>37.9</v>
      </c>
      <c r="R1921" s="26">
        <f>Q1921*G1921</f>
        <v/>
      </c>
      <c r="S1921" t="n">
        <v>22.48</v>
      </c>
      <c r="T1921" s="18">
        <f>1 - V1921/S1921</f>
        <v/>
      </c>
      <c r="U1921" s="18" t="n">
        <v>0.1319261213720316</v>
      </c>
      <c r="V1921" s="26" t="n">
        <v>16.75101694915254</v>
      </c>
      <c r="W1921" s="26">
        <f>V1921 - L1921</f>
        <v/>
      </c>
    </row>
    <row r="1922">
      <c r="A1922" s="11" t="n">
        <v>46222</v>
      </c>
      <c r="B1922" s="1" t="n">
        <v>20048</v>
      </c>
      <c r="C1922" s="1" t="inlineStr">
        <is>
          <t>018</t>
        </is>
      </c>
      <c r="D1922" s="1" t="inlineStr">
        <is>
          <t xml:space="preserve">47573 </t>
        </is>
      </c>
      <c r="E1922" s="1" t="inlineStr">
        <is>
          <t xml:space="preserve">28194770       </t>
        </is>
      </c>
      <c r="F1922" s="5" t="inlineStr">
        <is>
          <t>AUTOS DE METAL 3 TEAMSTERZ EN BLISTER</t>
        </is>
      </c>
      <c r="G1922" t="n">
        <v>1</v>
      </c>
      <c r="H1922" s="7" t="n">
        <v>6.9</v>
      </c>
      <c r="I1922" s="7" t="n">
        <v>0</v>
      </c>
      <c r="J1922" s="7" t="n">
        <v>0</v>
      </c>
      <c r="K1922" s="9" t="n">
        <v>0</v>
      </c>
      <c r="L1922" s="10" t="n">
        <v>4.1</v>
      </c>
      <c r="M1922" s="10" t="n">
        <v>1.43</v>
      </c>
      <c r="N1922" t="inlineStr">
        <is>
          <t>1</t>
        </is>
      </c>
      <c r="O1922" t="inlineStr">
        <is>
          <t>16</t>
        </is>
      </c>
      <c r="P1922" t="inlineStr">
        <is>
          <t xml:space="preserve">248417  </t>
        </is>
      </c>
      <c r="Q1922" s="26" t="n">
        <v>6.9</v>
      </c>
      <c r="R1922" s="26">
        <f>Q1922*G1922</f>
        <v/>
      </c>
      <c r="S1922" t="n">
        <v>4.09</v>
      </c>
      <c r="T1922" s="18">
        <f>1 - V1922/S1922</f>
        <v/>
      </c>
      <c r="U1922" s="18" t="n">
        <v>0</v>
      </c>
      <c r="V1922" s="26" t="n">
        <v>4.09</v>
      </c>
      <c r="W1922" s="26">
        <f>V1922 - L1922</f>
        <v/>
      </c>
    </row>
    <row r="1923">
      <c r="A1923" s="11" t="n">
        <v>46222</v>
      </c>
      <c r="B1923" s="1" t="n">
        <v>20048</v>
      </c>
      <c r="C1923" s="1" t="inlineStr">
        <is>
          <t>027</t>
        </is>
      </c>
      <c r="D1923" s="1" t="inlineStr">
        <is>
          <t>323466</t>
        </is>
      </c>
      <c r="E1923" s="1" t="inlineStr">
        <is>
          <t xml:space="preserve">28194770       </t>
        </is>
      </c>
      <c r="F1923" s="5" t="inlineStr">
        <is>
          <t>AUTOS DE METAL 3 TEAMSTERZ EN BLISTER</t>
        </is>
      </c>
      <c r="G1923" t="n">
        <v>1</v>
      </c>
      <c r="H1923" s="7" t="n">
        <v>6.9</v>
      </c>
      <c r="I1923" s="7" t="n">
        <v>0</v>
      </c>
      <c r="J1923" s="7" t="n">
        <v>0</v>
      </c>
      <c r="K1923" s="9" t="n">
        <v>0</v>
      </c>
      <c r="L1923" s="10" t="n">
        <v>4.1</v>
      </c>
      <c r="M1923" s="10" t="n">
        <v>1.43</v>
      </c>
      <c r="N1923" t="inlineStr">
        <is>
          <t>1</t>
        </is>
      </c>
      <c r="O1923" t="inlineStr">
        <is>
          <t>16</t>
        </is>
      </c>
      <c r="P1923" t="inlineStr">
        <is>
          <t xml:space="preserve">200219  </t>
        </is>
      </c>
      <c r="Q1923" s="26" t="n">
        <v>6.9</v>
      </c>
      <c r="R1923" s="26">
        <f>Q1923*G1923</f>
        <v/>
      </c>
      <c r="S1923" t="n">
        <v>4.09</v>
      </c>
      <c r="T1923" s="18">
        <f>1 - V1923/S1923</f>
        <v/>
      </c>
      <c r="U1923" s="18" t="n">
        <v>0</v>
      </c>
      <c r="V1923" s="26" t="n">
        <v>4.09</v>
      </c>
      <c r="W1923" s="26">
        <f>V1923 - L1923</f>
        <v/>
      </c>
    </row>
    <row r="1924">
      <c r="A1924" s="11" t="n">
        <v>46222</v>
      </c>
      <c r="B1924" s="1" t="n">
        <v>20048</v>
      </c>
      <c r="C1924" s="1" t="inlineStr">
        <is>
          <t>027</t>
        </is>
      </c>
      <c r="D1924" s="1" t="inlineStr">
        <is>
          <t>323476</t>
        </is>
      </c>
      <c r="E1924" s="1" t="inlineStr">
        <is>
          <t xml:space="preserve">28194770       </t>
        </is>
      </c>
      <c r="F1924" s="5" t="inlineStr">
        <is>
          <t>AUTOS DE METAL 3 TEAMSTERZ EN BLISTER</t>
        </is>
      </c>
      <c r="G1924" t="n">
        <v>1</v>
      </c>
      <c r="H1924" s="7" t="n">
        <v>6.9</v>
      </c>
      <c r="I1924" s="7" t="n">
        <v>0</v>
      </c>
      <c r="J1924" s="7" t="n">
        <v>0</v>
      </c>
      <c r="K1924" s="9" t="n">
        <v>0</v>
      </c>
      <c r="L1924" s="10" t="n">
        <v>4.1</v>
      </c>
      <c r="M1924" s="10" t="n">
        <v>1.43</v>
      </c>
      <c r="N1924" t="inlineStr">
        <is>
          <t>1</t>
        </is>
      </c>
      <c r="O1924" t="inlineStr">
        <is>
          <t>16</t>
        </is>
      </c>
      <c r="P1924" t="inlineStr">
        <is>
          <t xml:space="preserve">200219  </t>
        </is>
      </c>
      <c r="Q1924" s="26" t="n">
        <v>6.9</v>
      </c>
      <c r="R1924" s="26">
        <f>Q1924*G1924</f>
        <v/>
      </c>
      <c r="S1924" t="n">
        <v>4.09</v>
      </c>
      <c r="T1924" s="18">
        <f>1 - V1924/S1924</f>
        <v/>
      </c>
      <c r="U1924" s="18" t="n">
        <v>0</v>
      </c>
      <c r="V1924" s="26" t="n">
        <v>4.09</v>
      </c>
      <c r="W1924" s="26">
        <f>V1924 - L1924</f>
        <v/>
      </c>
    </row>
    <row r="1925">
      <c r="A1925" s="11" t="n">
        <v>46222</v>
      </c>
      <c r="B1925" s="1" t="n">
        <v>20048</v>
      </c>
      <c r="C1925" s="1" t="inlineStr">
        <is>
          <t>800</t>
        </is>
      </c>
      <c r="D1925" s="1" t="inlineStr">
        <is>
          <t xml:space="preserve">4445  </t>
        </is>
      </c>
      <c r="E1925" s="1" t="inlineStr">
        <is>
          <t xml:space="preserve">28194782       </t>
        </is>
      </c>
      <c r="F1925" s="5" t="inlineStr">
        <is>
          <t>TROMPO BATALLA INFINITY NADO SERIE V ORIGINAL SURT</t>
        </is>
      </c>
      <c r="G1925" t="n">
        <v>1</v>
      </c>
      <c r="H1925" s="7" t="n">
        <v>49.9</v>
      </c>
      <c r="I1925" s="7" t="n">
        <v>4.99</v>
      </c>
      <c r="J1925" s="7" t="n">
        <v>0</v>
      </c>
      <c r="K1925" s="9" t="n">
        <v>4.99</v>
      </c>
      <c r="L1925" s="10" t="n">
        <v>26.64</v>
      </c>
      <c r="M1925" s="10" t="n">
        <v>1.43</v>
      </c>
      <c r="N1925" t="inlineStr">
        <is>
          <t>1</t>
        </is>
      </c>
      <c r="O1925" t="inlineStr">
        <is>
          <t>16</t>
        </is>
      </c>
      <c r="P1925" t="inlineStr">
        <is>
          <t xml:space="preserve">0       </t>
        </is>
      </c>
      <c r="Q1925" s="26" t="n">
        <v>69.90000000000001</v>
      </c>
      <c r="R1925" s="26">
        <f>Q1925*G1925</f>
        <v/>
      </c>
      <c r="S1925" t="n">
        <v>41.47</v>
      </c>
      <c r="T1925" s="18">
        <f>1 - V1925/S1925</f>
        <v/>
      </c>
      <c r="U1925" s="18" t="n">
        <v>0.2861230329041489</v>
      </c>
      <c r="V1925" s="26" t="n">
        <v>31.71610169491525</v>
      </c>
      <c r="W1925" s="26">
        <f>V1925 - L1925</f>
        <v/>
      </c>
    </row>
    <row r="1926">
      <c r="A1926" s="11" t="n">
        <v>46222</v>
      </c>
      <c r="B1926" s="1" t="n">
        <v>20048</v>
      </c>
      <c r="C1926" s="1" t="inlineStr">
        <is>
          <t>801</t>
        </is>
      </c>
      <c r="D1926" s="1" t="inlineStr">
        <is>
          <t xml:space="preserve">6607  </t>
        </is>
      </c>
      <c r="E1926" s="1" t="inlineStr">
        <is>
          <t xml:space="preserve">28194770       </t>
        </is>
      </c>
      <c r="F1926" s="5" t="inlineStr">
        <is>
          <t>AUTOS DE METAL 3 TEAMSTERZ EN BLISTER</t>
        </is>
      </c>
      <c r="G1926" t="n">
        <v>1</v>
      </c>
      <c r="H1926" s="7" t="n">
        <v>6.9</v>
      </c>
      <c r="I1926" s="7" t="n">
        <v>0</v>
      </c>
      <c r="J1926" s="7" t="n">
        <v>0</v>
      </c>
      <c r="K1926" s="9" t="n">
        <v>0</v>
      </c>
      <c r="L1926" s="10" t="n">
        <v>4.1</v>
      </c>
      <c r="M1926" s="10" t="n">
        <v>1.43</v>
      </c>
      <c r="N1926" t="inlineStr">
        <is>
          <t>1</t>
        </is>
      </c>
      <c r="O1926" t="inlineStr">
        <is>
          <t>16</t>
        </is>
      </c>
      <c r="P1926" t="inlineStr">
        <is>
          <t xml:space="preserve">234984  </t>
        </is>
      </c>
      <c r="Q1926" s="26" t="n">
        <v>6.9</v>
      </c>
      <c r="R1926" s="26">
        <f>Q1926*G1926</f>
        <v/>
      </c>
      <c r="S1926" t="n">
        <v>4.09</v>
      </c>
      <c r="T1926" s="18">
        <f>1 - V1926/S1926</f>
        <v/>
      </c>
      <c r="U1926" s="18" t="n">
        <v>0</v>
      </c>
      <c r="V1926" s="26" t="n">
        <v>4.09</v>
      </c>
      <c r="W1926" s="26">
        <f>V1926 - L1926</f>
        <v/>
      </c>
    </row>
    <row r="1927">
      <c r="A1927" s="11" t="n">
        <v>46222</v>
      </c>
      <c r="B1927" s="1" t="n">
        <v>20048</v>
      </c>
      <c r="C1927" s="1" t="inlineStr">
        <is>
          <t>801</t>
        </is>
      </c>
      <c r="D1927" s="1" t="inlineStr">
        <is>
          <t xml:space="preserve">6607  </t>
        </is>
      </c>
      <c r="E1927" s="1" t="inlineStr">
        <is>
          <t xml:space="preserve">28194770       </t>
        </is>
      </c>
      <c r="F1927" s="5" t="inlineStr">
        <is>
          <t>AUTOS DE METAL 3 TEAMSTERZ EN BLISTER</t>
        </is>
      </c>
      <c r="G1927" t="n">
        <v>1</v>
      </c>
      <c r="H1927" s="7" t="n">
        <v>6.9</v>
      </c>
      <c r="I1927" s="7" t="n">
        <v>0</v>
      </c>
      <c r="J1927" s="7" t="n">
        <v>0</v>
      </c>
      <c r="K1927" s="9" t="n">
        <v>0</v>
      </c>
      <c r="L1927" s="10" t="n">
        <v>4.1</v>
      </c>
      <c r="M1927" s="10" t="n">
        <v>1.43</v>
      </c>
      <c r="N1927" t="inlineStr">
        <is>
          <t>1</t>
        </is>
      </c>
      <c r="O1927" t="inlineStr">
        <is>
          <t>16</t>
        </is>
      </c>
      <c r="P1927" t="inlineStr">
        <is>
          <t xml:space="preserve">234984  </t>
        </is>
      </c>
      <c r="Q1927" s="26" t="n">
        <v>6.9</v>
      </c>
      <c r="R1927" s="26">
        <f>Q1927*G1927</f>
        <v/>
      </c>
      <c r="S1927" t="n">
        <v>4.09</v>
      </c>
      <c r="T1927" s="18">
        <f>1 - V1927/S1927</f>
        <v/>
      </c>
      <c r="U1927" s="18" t="n">
        <v>0</v>
      </c>
      <c r="V1927" s="26" t="n">
        <v>4.09</v>
      </c>
      <c r="W1927" s="26">
        <f>V1927 - L1927</f>
        <v/>
      </c>
    </row>
    <row r="1928">
      <c r="A1928" s="11" t="n">
        <v>46222</v>
      </c>
      <c r="B1928" s="1" t="n">
        <v>20056</v>
      </c>
      <c r="C1928" s="1" t="inlineStr">
        <is>
          <t>012</t>
        </is>
      </c>
      <c r="D1928" s="1" t="inlineStr">
        <is>
          <t xml:space="preserve">67414 </t>
        </is>
      </c>
      <c r="E1928" s="1" t="inlineStr">
        <is>
          <t xml:space="preserve">31754675       </t>
        </is>
      </c>
      <c r="F1928" s="5" t="inlineStr">
        <is>
          <t>INFINITY NADO SERIE 6 STARTER PACK - 4 MODELOS</t>
        </is>
      </c>
      <c r="G1928" t="n">
        <v>1</v>
      </c>
      <c r="H1928" s="7" t="n">
        <v>49.9</v>
      </c>
      <c r="I1928" s="7" t="n">
        <v>0</v>
      </c>
      <c r="J1928" s="7" t="n">
        <v>0</v>
      </c>
      <c r="K1928" s="9" t="n">
        <v>0</v>
      </c>
      <c r="L1928" s="10" t="n">
        <v>29.6</v>
      </c>
      <c r="M1928" s="10" t="n">
        <v>1.43</v>
      </c>
      <c r="N1928" t="inlineStr">
        <is>
          <t>1</t>
        </is>
      </c>
      <c r="O1928" t="inlineStr">
        <is>
          <t>16</t>
        </is>
      </c>
      <c r="P1928" t="inlineStr">
        <is>
          <t xml:space="preserve">250152  </t>
        </is>
      </c>
      <c r="Q1928" s="26" t="n">
        <v>69.90000000000001</v>
      </c>
      <c r="R1928" s="26">
        <f>Q1928*G1928</f>
        <v/>
      </c>
      <c r="S1928" t="n">
        <v>41.47</v>
      </c>
      <c r="T1928" s="18">
        <f>1 - V1928/S1928</f>
        <v/>
      </c>
      <c r="U1928" s="18" t="n">
        <v>0.2861230329041489</v>
      </c>
      <c r="V1928" s="26" t="n">
        <v>31.71610169491525</v>
      </c>
      <c r="W1928" s="26">
        <f>V1928 - L1928</f>
        <v/>
      </c>
    </row>
    <row r="1929">
      <c r="A1929" s="11" t="n">
        <v>46222</v>
      </c>
      <c r="B1929" s="1" t="n">
        <v>20056</v>
      </c>
      <c r="C1929" s="1" t="inlineStr">
        <is>
          <t>022</t>
        </is>
      </c>
      <c r="D1929" s="1" t="inlineStr">
        <is>
          <t xml:space="preserve">55102 </t>
        </is>
      </c>
      <c r="E1929" s="1" t="inlineStr">
        <is>
          <t xml:space="preserve">32656417       </t>
        </is>
      </c>
      <c r="F1929" s="5" t="inlineStr">
        <is>
          <t>NO DESPIERTES A PAPA</t>
        </is>
      </c>
      <c r="G1929" t="n">
        <v>1</v>
      </c>
      <c r="H1929" s="7" t="n">
        <v>39.9</v>
      </c>
      <c r="I1929" s="7" t="n">
        <v>0</v>
      </c>
      <c r="J1929" s="7" t="n">
        <v>0</v>
      </c>
      <c r="K1929" s="9" t="n">
        <v>0</v>
      </c>
      <c r="L1929" s="10" t="n">
        <v>23.67</v>
      </c>
      <c r="M1929" s="10" t="n">
        <v>1.43</v>
      </c>
      <c r="N1929" t="inlineStr">
        <is>
          <t>1</t>
        </is>
      </c>
      <c r="O1929" t="inlineStr">
        <is>
          <t>16</t>
        </is>
      </c>
      <c r="P1929" t="inlineStr">
        <is>
          <t xml:space="preserve">247194  </t>
        </is>
      </c>
      <c r="Q1929" s="26" t="n">
        <v>89.90000000000001</v>
      </c>
      <c r="R1929" s="26">
        <f>Q1929*G1929</f>
        <v/>
      </c>
      <c r="S1929" t="n">
        <v>53.33</v>
      </c>
      <c r="T1929" s="18">
        <f>1 - V1929/S1929</f>
        <v/>
      </c>
      <c r="U1929" s="18" t="n">
        <v>0.5561735261401557</v>
      </c>
      <c r="V1929" s="26" t="n">
        <v>32.11949152542373</v>
      </c>
      <c r="W1929" s="26">
        <f>V1929 - L1929</f>
        <v/>
      </c>
    </row>
    <row r="1930">
      <c r="A1930" s="11" t="n">
        <v>46222</v>
      </c>
      <c r="B1930" s="1" t="n">
        <v>20056</v>
      </c>
      <c r="C1930" s="1" t="inlineStr">
        <is>
          <t>501</t>
        </is>
      </c>
      <c r="D1930" s="1" t="inlineStr">
        <is>
          <t xml:space="preserve">4280  </t>
        </is>
      </c>
      <c r="E1930" s="1" t="inlineStr">
        <is>
          <t xml:space="preserve">28194767       </t>
        </is>
      </c>
      <c r="F1930" s="5" t="inlineStr">
        <is>
          <t>CAMIONES TEAMSTERZ DE EMERGENCIA</t>
        </is>
      </c>
      <c r="G1930" t="n">
        <v>1</v>
      </c>
      <c r="H1930" s="7" t="n">
        <v>17.9</v>
      </c>
      <c r="I1930" s="7" t="n">
        <v>0</v>
      </c>
      <c r="J1930" s="7" t="n">
        <v>0</v>
      </c>
      <c r="K1930" s="9" t="n">
        <v>0</v>
      </c>
      <c r="L1930" s="10" t="n">
        <v>10.62</v>
      </c>
      <c r="M1930" s="10" t="n">
        <v>1.43</v>
      </c>
      <c r="N1930" t="inlineStr">
        <is>
          <t>1</t>
        </is>
      </c>
      <c r="O1930" t="inlineStr">
        <is>
          <t>16</t>
        </is>
      </c>
      <c r="P1930" t="inlineStr">
        <is>
          <t xml:space="preserve">241925  </t>
        </is>
      </c>
      <c r="Q1930" s="26" t="n">
        <v>17.9</v>
      </c>
      <c r="R1930" s="26">
        <f>Q1930*G1930</f>
        <v/>
      </c>
      <c r="S1930" t="n">
        <v>10.62</v>
      </c>
      <c r="T1930" s="18">
        <f>1 - V1930/S1930</f>
        <v/>
      </c>
      <c r="U1930" s="18" t="n">
        <v>0</v>
      </c>
      <c r="V1930" s="26" t="n">
        <v>10.62</v>
      </c>
      <c r="W1930" s="26">
        <f>V1930 - L1930</f>
        <v/>
      </c>
    </row>
    <row r="1931">
      <c r="A1931" s="11" t="n">
        <v>46222</v>
      </c>
      <c r="B1931" s="1" t="n">
        <v>20057</v>
      </c>
      <c r="C1931" s="1" t="inlineStr">
        <is>
          <t>010</t>
        </is>
      </c>
      <c r="D1931" s="1" t="inlineStr">
        <is>
          <t xml:space="preserve">39552 </t>
        </is>
      </c>
      <c r="E1931" s="1" t="inlineStr">
        <is>
          <t xml:space="preserve">34840558       </t>
        </is>
      </c>
      <c r="F1931" s="5" t="inlineStr">
        <is>
          <t>TMZ CAMBIA DE COLOR PLAYSET CALAVERA + 1 AUTO</t>
        </is>
      </c>
      <c r="G1931" t="n">
        <v>1</v>
      </c>
      <c r="H1931" s="7" t="n">
        <v>59.9</v>
      </c>
      <c r="I1931" s="7" t="n">
        <v>0</v>
      </c>
      <c r="J1931" s="7" t="n">
        <v>0</v>
      </c>
      <c r="K1931" s="9" t="n">
        <v>0</v>
      </c>
      <c r="L1931" s="10" t="n">
        <v>35.53</v>
      </c>
      <c r="M1931" s="10" t="n">
        <v>1.43</v>
      </c>
      <c r="N1931" t="inlineStr">
        <is>
          <t>1</t>
        </is>
      </c>
      <c r="O1931" t="inlineStr">
        <is>
          <t xml:space="preserve">6 </t>
        </is>
      </c>
      <c r="P1931" t="inlineStr">
        <is>
          <t xml:space="preserve">242831  </t>
        </is>
      </c>
      <c r="Q1931" s="26" t="n">
        <v>99</v>
      </c>
      <c r="R1931" s="26">
        <f>Q1931*G1931</f>
        <v/>
      </c>
      <c r="S1931" t="n">
        <v>58.73</v>
      </c>
      <c r="T1931" s="18">
        <f>1 - V1931/S1931</f>
        <v/>
      </c>
      <c r="U1931" s="18" t="n">
        <v>0.3949494949494949</v>
      </c>
      <c r="V1931" s="26" t="n">
        <v>40.61016949152543</v>
      </c>
      <c r="W1931" s="26">
        <f>V1931 - L1931</f>
        <v/>
      </c>
    </row>
    <row r="1932">
      <c r="A1932" s="11" t="n">
        <v>46222</v>
      </c>
      <c r="B1932" s="1" t="n">
        <v>20057</v>
      </c>
      <c r="C1932" s="1" t="inlineStr">
        <is>
          <t>010</t>
        </is>
      </c>
      <c r="D1932" s="1" t="inlineStr">
        <is>
          <t xml:space="preserve">39561 </t>
        </is>
      </c>
      <c r="E1932" s="1" t="inlineStr">
        <is>
          <t xml:space="preserve">34840552       </t>
        </is>
      </c>
      <c r="F1932" s="5" t="inlineStr">
        <is>
          <t>TMZ HELI POLICIA CON LUCES Y SONIDOS</t>
        </is>
      </c>
      <c r="G1932" t="n">
        <v>1</v>
      </c>
      <c r="H1932" s="7" t="n">
        <v>79.90000000000001</v>
      </c>
      <c r="I1932" s="7" t="n">
        <v>0</v>
      </c>
      <c r="J1932" s="7" t="n">
        <v>0</v>
      </c>
      <c r="K1932" s="9" t="n">
        <v>0</v>
      </c>
      <c r="L1932" s="10" t="n">
        <v>47.4</v>
      </c>
      <c r="M1932" s="10" t="n">
        <v>1.43</v>
      </c>
      <c r="N1932" t="inlineStr">
        <is>
          <t>1</t>
        </is>
      </c>
      <c r="O1932" t="inlineStr">
        <is>
          <t xml:space="preserve">2 </t>
        </is>
      </c>
      <c r="P1932" t="inlineStr">
        <is>
          <t xml:space="preserve">242831  </t>
        </is>
      </c>
      <c r="Q1932" s="26" t="n">
        <v>79.90000000000002</v>
      </c>
      <c r="R1932" s="26">
        <f>Q1932*G1932</f>
        <v/>
      </c>
      <c r="S1932" t="n">
        <v>47.4</v>
      </c>
      <c r="T1932" s="18">
        <f>1 - V1932/S1932</f>
        <v/>
      </c>
      <c r="U1932" s="18" t="n">
        <v>0</v>
      </c>
      <c r="V1932" s="26" t="n">
        <v>47.4</v>
      </c>
      <c r="W1932" s="26">
        <f>V1932 - L1932</f>
        <v/>
      </c>
    </row>
    <row r="1933">
      <c r="A1933" s="11" t="n">
        <v>46222</v>
      </c>
      <c r="B1933" s="1" t="n">
        <v>20057</v>
      </c>
      <c r="C1933" s="1" t="inlineStr">
        <is>
          <t>023</t>
        </is>
      </c>
      <c r="D1933" s="1" t="inlineStr">
        <is>
          <t xml:space="preserve">51305 </t>
        </is>
      </c>
      <c r="E1933" s="1" t="inlineStr">
        <is>
          <t xml:space="preserve">28194769       </t>
        </is>
      </c>
      <c r="F1933" s="5" t="inlineStr">
        <is>
          <t>AUTOS DE METAL 3 TEAMSTERZ PACK DE 2</t>
        </is>
      </c>
      <c r="G1933" t="n">
        <v>1</v>
      </c>
      <c r="H1933" s="7" t="n">
        <v>13.8</v>
      </c>
      <c r="I1933" s="7" t="n">
        <v>0</v>
      </c>
      <c r="J1933" s="7" t="n">
        <v>0</v>
      </c>
      <c r="K1933" s="9" t="n">
        <v>0</v>
      </c>
      <c r="L1933" s="10" t="n">
        <v>8.18</v>
      </c>
      <c r="M1933" s="10" t="n">
        <v>1.43</v>
      </c>
      <c r="N1933" t="inlineStr">
        <is>
          <t>1</t>
        </is>
      </c>
      <c r="O1933" t="inlineStr">
        <is>
          <t>16</t>
        </is>
      </c>
      <c r="P1933" t="inlineStr">
        <is>
          <t xml:space="preserve">241623  </t>
        </is>
      </c>
      <c r="Q1933" s="26" t="n">
        <v>13.8</v>
      </c>
      <c r="R1933" s="26">
        <f>Q1933*G1933</f>
        <v/>
      </c>
      <c r="S1933" t="n">
        <v>8.19</v>
      </c>
      <c r="T1933" s="18">
        <f>1 - V1933/S1933</f>
        <v/>
      </c>
      <c r="U1933" s="18" t="n">
        <v>0</v>
      </c>
      <c r="V1933" s="26" t="n">
        <v>8.19</v>
      </c>
      <c r="W1933" s="26">
        <f>V1933 - L1933</f>
        <v/>
      </c>
    </row>
    <row r="1934">
      <c r="A1934" s="11" t="n">
        <v>46222</v>
      </c>
      <c r="B1934" s="1" t="n">
        <v>20057</v>
      </c>
      <c r="C1934" s="1" t="inlineStr">
        <is>
          <t>032</t>
        </is>
      </c>
      <c r="D1934" s="1" t="inlineStr">
        <is>
          <t xml:space="preserve">75281 </t>
        </is>
      </c>
      <c r="E1934" s="1" t="inlineStr">
        <is>
          <t xml:space="preserve">28194770       </t>
        </is>
      </c>
      <c r="F1934" s="5" t="inlineStr">
        <is>
          <t>AUTOS DE METAL 3 TEAMSTERZ EN BLISTER</t>
        </is>
      </c>
      <c r="G1934" t="n">
        <v>1</v>
      </c>
      <c r="H1934" s="7" t="n">
        <v>6.9</v>
      </c>
      <c r="I1934" s="7" t="n">
        <v>0</v>
      </c>
      <c r="J1934" s="7" t="n">
        <v>0</v>
      </c>
      <c r="K1934" s="9" t="n">
        <v>0</v>
      </c>
      <c r="L1934" s="10" t="n">
        <v>4.1</v>
      </c>
      <c r="M1934" s="10" t="n">
        <v>1.43</v>
      </c>
      <c r="N1934" t="inlineStr">
        <is>
          <t>1</t>
        </is>
      </c>
      <c r="O1934" t="inlineStr">
        <is>
          <t>16</t>
        </is>
      </c>
      <c r="P1934" t="inlineStr">
        <is>
          <t xml:space="preserve">250316  </t>
        </is>
      </c>
      <c r="Q1934" s="26" t="n">
        <v>6.9</v>
      </c>
      <c r="R1934" s="26">
        <f>Q1934*G1934</f>
        <v/>
      </c>
      <c r="S1934" t="n">
        <v>4.09</v>
      </c>
      <c r="T1934" s="18">
        <f>1 - V1934/S1934</f>
        <v/>
      </c>
      <c r="U1934" s="18" t="n">
        <v>0</v>
      </c>
      <c r="V1934" s="26" t="n">
        <v>4.09</v>
      </c>
      <c r="W1934" s="26">
        <f>V1934 - L1934</f>
        <v/>
      </c>
    </row>
    <row r="1935">
      <c r="A1935" s="11" t="n">
        <v>46222</v>
      </c>
      <c r="B1935" s="1" t="n">
        <v>20057</v>
      </c>
      <c r="C1935" s="1" t="inlineStr">
        <is>
          <t>032</t>
        </is>
      </c>
      <c r="D1935" s="1" t="inlineStr">
        <is>
          <t xml:space="preserve">75311 </t>
        </is>
      </c>
      <c r="E1935" s="1" t="inlineStr">
        <is>
          <t xml:space="preserve">28194769       </t>
        </is>
      </c>
      <c r="F1935" s="5" t="inlineStr">
        <is>
          <t>AUTOS DE METAL 3 TEAMSTERZ PACK DE 2</t>
        </is>
      </c>
      <c r="G1935" t="n">
        <v>1</v>
      </c>
      <c r="H1935" s="7" t="n">
        <v>13.8</v>
      </c>
      <c r="I1935" s="7" t="n">
        <v>0</v>
      </c>
      <c r="J1935" s="7" t="n">
        <v>0</v>
      </c>
      <c r="K1935" s="9" t="n">
        <v>0</v>
      </c>
      <c r="L1935" s="10" t="n">
        <v>8.18</v>
      </c>
      <c r="M1935" s="10" t="n">
        <v>1.43</v>
      </c>
      <c r="N1935" t="inlineStr">
        <is>
          <t>1</t>
        </is>
      </c>
      <c r="O1935" t="inlineStr">
        <is>
          <t xml:space="preserve">2 </t>
        </is>
      </c>
      <c r="P1935" t="inlineStr">
        <is>
          <t xml:space="preserve">250316  </t>
        </is>
      </c>
      <c r="Q1935" s="26" t="n">
        <v>13.8</v>
      </c>
      <c r="R1935" s="26">
        <f>Q1935*G1935</f>
        <v/>
      </c>
      <c r="S1935" t="n">
        <v>8.19</v>
      </c>
      <c r="T1935" s="18">
        <f>1 - V1935/S1935</f>
        <v/>
      </c>
      <c r="U1935" s="18" t="n">
        <v>0</v>
      </c>
      <c r="V1935" s="26" t="n">
        <v>8.19</v>
      </c>
      <c r="W1935" s="26">
        <f>V1935 - L1935</f>
        <v/>
      </c>
    </row>
    <row r="1936">
      <c r="A1936" s="11" t="n">
        <v>46222</v>
      </c>
      <c r="B1936" s="1" t="n">
        <v>20057</v>
      </c>
      <c r="C1936" s="1" t="inlineStr">
        <is>
          <t>032</t>
        </is>
      </c>
      <c r="D1936" s="1" t="inlineStr">
        <is>
          <t xml:space="preserve">75311 </t>
        </is>
      </c>
      <c r="E1936" s="1" t="inlineStr">
        <is>
          <t xml:space="preserve">28194769       </t>
        </is>
      </c>
      <c r="F1936" s="5" t="inlineStr">
        <is>
          <t>AUTOS DE METAL 3 TEAMSTERZ PACK DE 2</t>
        </is>
      </c>
      <c r="G1936" t="n">
        <v>1</v>
      </c>
      <c r="H1936" s="7" t="n">
        <v>13.8</v>
      </c>
      <c r="I1936" s="7" t="n">
        <v>0</v>
      </c>
      <c r="J1936" s="7" t="n">
        <v>0</v>
      </c>
      <c r="K1936" s="9" t="n">
        <v>0</v>
      </c>
      <c r="L1936" s="10" t="n">
        <v>8.18</v>
      </c>
      <c r="M1936" s="10" t="n">
        <v>1.43</v>
      </c>
      <c r="N1936" t="inlineStr">
        <is>
          <t>1</t>
        </is>
      </c>
      <c r="O1936" t="inlineStr">
        <is>
          <t xml:space="preserve">2 </t>
        </is>
      </c>
      <c r="P1936" t="inlineStr">
        <is>
          <t xml:space="preserve">250316  </t>
        </is>
      </c>
      <c r="Q1936" s="26" t="n">
        <v>13.8</v>
      </c>
      <c r="R1936" s="26">
        <f>Q1936*G1936</f>
        <v/>
      </c>
      <c r="S1936" t="n">
        <v>8.19</v>
      </c>
      <c r="T1936" s="18">
        <f>1 - V1936/S1936</f>
        <v/>
      </c>
      <c r="U1936" s="18" t="n">
        <v>0</v>
      </c>
      <c r="V1936" s="26" t="n">
        <v>8.19</v>
      </c>
      <c r="W1936" s="26">
        <f>V1936 - L1936</f>
        <v/>
      </c>
    </row>
    <row r="1937">
      <c r="A1937" s="11" t="n">
        <v>46222</v>
      </c>
      <c r="B1937" s="1" t="n">
        <v>20057</v>
      </c>
      <c r="C1937" s="1" t="inlineStr">
        <is>
          <t>032</t>
        </is>
      </c>
      <c r="D1937" s="1" t="inlineStr">
        <is>
          <t xml:space="preserve">75311 </t>
        </is>
      </c>
      <c r="E1937" s="1" t="inlineStr">
        <is>
          <t xml:space="preserve">28194770       </t>
        </is>
      </c>
      <c r="F1937" s="5" t="inlineStr">
        <is>
          <t>AUTOS DE METAL 3 TEAMSTERZ EN BLISTER</t>
        </is>
      </c>
      <c r="G1937" t="n">
        <v>1</v>
      </c>
      <c r="H1937" s="7" t="n">
        <v>6.9</v>
      </c>
      <c r="I1937" s="7" t="n">
        <v>0</v>
      </c>
      <c r="J1937" s="7" t="n">
        <v>0</v>
      </c>
      <c r="K1937" s="9" t="n">
        <v>0</v>
      </c>
      <c r="L1937" s="10" t="n">
        <v>4.1</v>
      </c>
      <c r="M1937" s="10" t="n">
        <v>1.43</v>
      </c>
      <c r="N1937" t="inlineStr">
        <is>
          <t>1</t>
        </is>
      </c>
      <c r="O1937" t="inlineStr">
        <is>
          <t xml:space="preserve">2 </t>
        </is>
      </c>
      <c r="P1937" t="inlineStr">
        <is>
          <t xml:space="preserve">250316  </t>
        </is>
      </c>
      <c r="Q1937" s="26" t="n">
        <v>6.9</v>
      </c>
      <c r="R1937" s="26">
        <f>Q1937*G1937</f>
        <v/>
      </c>
      <c r="S1937" t="n">
        <v>4.09</v>
      </c>
      <c r="T1937" s="18">
        <f>1 - V1937/S1937</f>
        <v/>
      </c>
      <c r="U1937" s="18" t="n">
        <v>0</v>
      </c>
      <c r="V1937" s="26" t="n">
        <v>4.09</v>
      </c>
      <c r="W1937" s="26">
        <f>V1937 - L1937</f>
        <v/>
      </c>
    </row>
    <row r="1938">
      <c r="A1938" s="11" t="n">
        <v>46222</v>
      </c>
      <c r="B1938" s="1" t="n">
        <v>20057</v>
      </c>
      <c r="C1938" s="1" t="inlineStr">
        <is>
          <t>033</t>
        </is>
      </c>
      <c r="D1938" s="1" t="inlineStr">
        <is>
          <t xml:space="preserve">67528 </t>
        </is>
      </c>
      <c r="E1938" s="1" t="inlineStr">
        <is>
          <t xml:space="preserve">28194769       </t>
        </is>
      </c>
      <c r="F1938" s="5" t="inlineStr">
        <is>
          <t>AUTOS DE METAL 3 TEAMSTERZ PACK DE 2</t>
        </is>
      </c>
      <c r="G1938" t="n">
        <v>1</v>
      </c>
      <c r="H1938" s="7" t="n">
        <v>13.8</v>
      </c>
      <c r="I1938" s="7" t="n">
        <v>1.38</v>
      </c>
      <c r="J1938" s="7" t="n">
        <v>0</v>
      </c>
      <c r="K1938" s="9" t="n">
        <v>1.38</v>
      </c>
      <c r="L1938" s="10" t="n">
        <v>7.37</v>
      </c>
      <c r="M1938" s="10" t="n">
        <v>1.43</v>
      </c>
      <c r="N1938" t="inlineStr">
        <is>
          <t>1</t>
        </is>
      </c>
      <c r="O1938" t="inlineStr">
        <is>
          <t>16</t>
        </is>
      </c>
      <c r="P1938" t="inlineStr">
        <is>
          <t xml:space="preserve">235719  </t>
        </is>
      </c>
      <c r="Q1938" s="26" t="n">
        <v>13.8</v>
      </c>
      <c r="R1938" s="26">
        <f>Q1938*G1938</f>
        <v/>
      </c>
      <c r="S1938" t="n">
        <v>8.19</v>
      </c>
      <c r="T1938" s="18">
        <f>1 - V1938/S1938</f>
        <v/>
      </c>
      <c r="U1938" s="18" t="n">
        <v>0</v>
      </c>
      <c r="V1938" s="26" t="n">
        <v>8.19</v>
      </c>
      <c r="W1938" s="26">
        <f>V1938 - L1938</f>
        <v/>
      </c>
    </row>
    <row r="1939">
      <c r="A1939" s="11" t="n">
        <v>46222</v>
      </c>
      <c r="B1939" s="1" t="n">
        <v>20057</v>
      </c>
      <c r="C1939" s="1" t="inlineStr">
        <is>
          <t>033</t>
        </is>
      </c>
      <c r="D1939" s="1" t="inlineStr">
        <is>
          <t xml:space="preserve">67528 </t>
        </is>
      </c>
      <c r="E1939" s="1" t="inlineStr">
        <is>
          <t xml:space="preserve">28194769       </t>
        </is>
      </c>
      <c r="F1939" s="5" t="inlineStr">
        <is>
          <t>AUTOS DE METAL 3 TEAMSTERZ PACK DE 2</t>
        </is>
      </c>
      <c r="G1939" t="n">
        <v>1</v>
      </c>
      <c r="H1939" s="7" t="n">
        <v>13.8</v>
      </c>
      <c r="I1939" s="7" t="n">
        <v>1.38</v>
      </c>
      <c r="J1939" s="7" t="n">
        <v>0</v>
      </c>
      <c r="K1939" s="9" t="n">
        <v>1.38</v>
      </c>
      <c r="L1939" s="10" t="n">
        <v>7.37</v>
      </c>
      <c r="M1939" s="10" t="n">
        <v>1.43</v>
      </c>
      <c r="N1939" t="inlineStr">
        <is>
          <t>1</t>
        </is>
      </c>
      <c r="O1939" t="inlineStr">
        <is>
          <t>16</t>
        </is>
      </c>
      <c r="P1939" t="inlineStr">
        <is>
          <t xml:space="preserve">235719  </t>
        </is>
      </c>
      <c r="Q1939" s="26" t="n">
        <v>13.8</v>
      </c>
      <c r="R1939" s="26">
        <f>Q1939*G1939</f>
        <v/>
      </c>
      <c r="S1939" t="n">
        <v>8.19</v>
      </c>
      <c r="T1939" s="18">
        <f>1 - V1939/S1939</f>
        <v/>
      </c>
      <c r="U1939" s="18" t="n">
        <v>0</v>
      </c>
      <c r="V1939" s="26" t="n">
        <v>8.19</v>
      </c>
      <c r="W1939" s="26">
        <f>V1939 - L1939</f>
        <v/>
      </c>
    </row>
    <row r="1940">
      <c r="A1940" s="11" t="n">
        <v>46222</v>
      </c>
      <c r="B1940" s="1" t="n">
        <v>20057</v>
      </c>
      <c r="C1940" s="1" t="inlineStr">
        <is>
          <t>033</t>
        </is>
      </c>
      <c r="D1940" s="1" t="inlineStr">
        <is>
          <t xml:space="preserve">67528 </t>
        </is>
      </c>
      <c r="E1940" s="1" t="inlineStr">
        <is>
          <t xml:space="preserve">30141766       </t>
        </is>
      </c>
      <c r="F1940" s="5" t="inlineStr">
        <is>
          <t>TMZ BEAST MACHINES AUTOS DE METAL BLISTER X 1</t>
        </is>
      </c>
      <c r="G1940" t="n">
        <v>1</v>
      </c>
      <c r="H1940" s="7" t="n">
        <v>7.9</v>
      </c>
      <c r="I1940" s="7" t="n">
        <v>0.79</v>
      </c>
      <c r="J1940" s="7" t="n">
        <v>0</v>
      </c>
      <c r="K1940" s="9" t="n">
        <v>0.79</v>
      </c>
      <c r="L1940" s="10" t="n">
        <v>4.22</v>
      </c>
      <c r="M1940" s="10" t="n">
        <v>1.43</v>
      </c>
      <c r="N1940" t="inlineStr">
        <is>
          <t>1</t>
        </is>
      </c>
      <c r="O1940" t="inlineStr">
        <is>
          <t>16</t>
        </is>
      </c>
      <c r="P1940" t="inlineStr">
        <is>
          <t xml:space="preserve">235719  </t>
        </is>
      </c>
      <c r="Q1940" s="26" t="n">
        <v>7.9</v>
      </c>
      <c r="R1940" s="26">
        <f>Q1940*G1940</f>
        <v/>
      </c>
      <c r="S1940" t="n">
        <v>4.69</v>
      </c>
      <c r="T1940" s="18">
        <f>1 - V1940/S1940</f>
        <v/>
      </c>
      <c r="U1940" s="18" t="n">
        <v>0</v>
      </c>
      <c r="V1940" s="26" t="n">
        <v>4.69</v>
      </c>
      <c r="W1940" s="26">
        <f>V1940 - L1940</f>
        <v/>
      </c>
    </row>
    <row r="1941">
      <c r="A1941" s="11" t="n">
        <v>46222</v>
      </c>
      <c r="B1941" s="1" t="n">
        <v>20057</v>
      </c>
      <c r="C1941" s="1" t="inlineStr">
        <is>
          <t>861</t>
        </is>
      </c>
      <c r="D1941" s="1" t="inlineStr">
        <is>
          <t xml:space="preserve">922   </t>
        </is>
      </c>
      <c r="E1941" s="1" t="inlineStr">
        <is>
          <t xml:space="preserve">32457101       </t>
        </is>
      </c>
      <c r="F1941" s="5" t="inlineStr">
        <is>
          <t>TMZ BEAST MACHINES TRANSPORTE PESADO + 2 AUTOS SUR</t>
        </is>
      </c>
      <c r="G1941" t="n">
        <v>1</v>
      </c>
      <c r="H1941" s="7" t="n">
        <v>17.9</v>
      </c>
      <c r="I1941" s="7" t="n">
        <v>0</v>
      </c>
      <c r="J1941" s="7" t="n">
        <v>0</v>
      </c>
      <c r="K1941" s="9" t="n">
        <v>0</v>
      </c>
      <c r="L1941" s="10" t="n">
        <v>10.62</v>
      </c>
      <c r="M1941" s="10" t="n">
        <v>1.43</v>
      </c>
      <c r="N1941" t="inlineStr">
        <is>
          <t>1</t>
        </is>
      </c>
      <c r="O1941" t="inlineStr">
        <is>
          <t>16</t>
        </is>
      </c>
      <c r="P1941" t="inlineStr">
        <is>
          <t xml:space="preserve">0       </t>
        </is>
      </c>
      <c r="Q1941" s="26" t="n">
        <v>37.9</v>
      </c>
      <c r="R1941" s="26">
        <f>Q1941*G1941</f>
        <v/>
      </c>
      <c r="S1941" t="n">
        <v>22.48</v>
      </c>
      <c r="T1941" s="18">
        <f>1 - V1941/S1941</f>
        <v/>
      </c>
      <c r="U1941" s="18" t="n">
        <v>0.5277044854881267</v>
      </c>
      <c r="V1941" s="26" t="n">
        <v>12.88694915254237</v>
      </c>
      <c r="W1941" s="26">
        <f>V1941 - L1941</f>
        <v/>
      </c>
    </row>
    <row r="1942">
      <c r="A1942" s="11" t="n">
        <v>46222</v>
      </c>
      <c r="B1942" s="1" t="n">
        <v>20057</v>
      </c>
      <c r="C1942" s="1" t="inlineStr">
        <is>
          <t>862</t>
        </is>
      </c>
      <c r="D1942" s="1" t="inlineStr">
        <is>
          <t xml:space="preserve">8069  </t>
        </is>
      </c>
      <c r="E1942" s="1" t="inlineStr">
        <is>
          <t xml:space="preserve">33483123       </t>
        </is>
      </c>
      <c r="F1942" s="5" t="inlineStr">
        <is>
          <t>NENUCO DISFRACES</t>
        </is>
      </c>
      <c r="G1942" t="n">
        <v>1</v>
      </c>
      <c r="H1942" s="7" t="n">
        <v>69.90000000000001</v>
      </c>
      <c r="I1942" s="7" t="n">
        <v>0</v>
      </c>
      <c r="J1942" s="7" t="n">
        <v>0</v>
      </c>
      <c r="K1942" s="9" t="n">
        <v>0</v>
      </c>
      <c r="L1942" s="10" t="n">
        <v>41.47</v>
      </c>
      <c r="M1942" s="10" t="n">
        <v>1.43</v>
      </c>
      <c r="N1942" t="inlineStr">
        <is>
          <t>1</t>
        </is>
      </c>
      <c r="O1942" t="inlineStr">
        <is>
          <t>16</t>
        </is>
      </c>
      <c r="P1942" t="inlineStr">
        <is>
          <t xml:space="preserve">0       </t>
        </is>
      </c>
      <c r="Q1942" s="26" t="n">
        <v>89.90000000000001</v>
      </c>
      <c r="R1942" s="26">
        <f>Q1942*G1942</f>
        <v/>
      </c>
      <c r="S1942" t="n">
        <v>53.33</v>
      </c>
      <c r="T1942" s="18">
        <f>1 - V1942/S1942</f>
        <v/>
      </c>
      <c r="U1942" s="18" t="n">
        <v>0.2224694104560623</v>
      </c>
      <c r="V1942" s="26" t="n">
        <v>44.42796610169492</v>
      </c>
      <c r="W1942" s="26">
        <f>V1942 - L1942</f>
        <v/>
      </c>
    </row>
    <row r="1943">
      <c r="A1943" s="11" t="n">
        <v>46222</v>
      </c>
      <c r="B1943" s="1" t="n">
        <v>20057</v>
      </c>
      <c r="C1943" s="1" t="inlineStr">
        <is>
          <t>863</t>
        </is>
      </c>
      <c r="D1943" s="1" t="inlineStr">
        <is>
          <t xml:space="preserve">4973  </t>
        </is>
      </c>
      <c r="E1943" s="1" t="inlineStr">
        <is>
          <t xml:space="preserve">28194770       </t>
        </is>
      </c>
      <c r="F1943" s="5" t="inlineStr">
        <is>
          <t>AUTOS DE METAL 3 TEAMSTERZ EN BLISTER</t>
        </is>
      </c>
      <c r="G1943" t="n">
        <v>1</v>
      </c>
      <c r="H1943" s="7" t="n">
        <v>6.9</v>
      </c>
      <c r="I1943" s="7" t="n">
        <v>0</v>
      </c>
      <c r="J1943" s="7" t="n">
        <v>0</v>
      </c>
      <c r="K1943" s="9" t="n">
        <v>0</v>
      </c>
      <c r="L1943" s="10" t="n">
        <v>4.1</v>
      </c>
      <c r="M1943" s="10" t="n">
        <v>1.43</v>
      </c>
      <c r="N1943" t="inlineStr">
        <is>
          <t>1</t>
        </is>
      </c>
      <c r="O1943" t="inlineStr">
        <is>
          <t>16</t>
        </is>
      </c>
      <c r="P1943" t="inlineStr">
        <is>
          <t xml:space="preserve">0       </t>
        </is>
      </c>
      <c r="Q1943" s="26" t="n">
        <v>6.9</v>
      </c>
      <c r="R1943" s="26">
        <f>Q1943*G1943</f>
        <v/>
      </c>
      <c r="S1943" t="n">
        <v>4.09</v>
      </c>
      <c r="T1943" s="18">
        <f>1 - V1943/S1943</f>
        <v/>
      </c>
      <c r="U1943" s="18" t="n">
        <v>0</v>
      </c>
      <c r="V1943" s="26" t="n">
        <v>4.09</v>
      </c>
      <c r="W1943" s="26">
        <f>V1943 - L1943</f>
        <v/>
      </c>
    </row>
    <row r="1944">
      <c r="A1944" s="11" t="n">
        <v>46222</v>
      </c>
      <c r="B1944" s="1" t="n">
        <v>20058</v>
      </c>
      <c r="C1944" s="1" t="inlineStr">
        <is>
          <t>032</t>
        </is>
      </c>
      <c r="D1944" s="1" t="inlineStr">
        <is>
          <t>208342</t>
        </is>
      </c>
      <c r="E1944" s="1" t="inlineStr">
        <is>
          <t xml:space="preserve">28194770       </t>
        </is>
      </c>
      <c r="F1944" s="5" t="inlineStr">
        <is>
          <t>AUTOS DE METAL 3 TEAMSTERZ EN BLISTER</t>
        </is>
      </c>
      <c r="G1944" t="n">
        <v>1</v>
      </c>
      <c r="H1944" s="7" t="n">
        <v>6.9</v>
      </c>
      <c r="I1944" s="7" t="n">
        <v>0</v>
      </c>
      <c r="J1944" s="7" t="n">
        <v>0</v>
      </c>
      <c r="K1944" s="9" t="n">
        <v>0</v>
      </c>
      <c r="L1944" s="10" t="n">
        <v>4.1</v>
      </c>
      <c r="M1944" s="10" t="n">
        <v>1.43</v>
      </c>
      <c r="N1944" t="inlineStr">
        <is>
          <t>1</t>
        </is>
      </c>
      <c r="O1944" t="inlineStr">
        <is>
          <t xml:space="preserve">2 </t>
        </is>
      </c>
      <c r="P1944" t="inlineStr">
        <is>
          <t xml:space="preserve">247297  </t>
        </is>
      </c>
      <c r="Q1944" s="26" t="n">
        <v>6.9</v>
      </c>
      <c r="R1944" s="26">
        <f>Q1944*G1944</f>
        <v/>
      </c>
      <c r="S1944" t="n">
        <v>4.09</v>
      </c>
      <c r="T1944" s="18">
        <f>1 - V1944/S1944</f>
        <v/>
      </c>
      <c r="U1944" s="18" t="n">
        <v>0</v>
      </c>
      <c r="V1944" s="26" t="n">
        <v>4.09</v>
      </c>
      <c r="W1944" s="26">
        <f>V1944 - L1944</f>
        <v/>
      </c>
    </row>
    <row r="1945">
      <c r="A1945" s="11" t="n">
        <v>46222</v>
      </c>
      <c r="B1945" s="1" t="n">
        <v>20058</v>
      </c>
      <c r="C1945" s="1" t="inlineStr">
        <is>
          <t>039</t>
        </is>
      </c>
      <c r="D1945" s="1" t="inlineStr">
        <is>
          <t>230993</t>
        </is>
      </c>
      <c r="E1945" s="1" t="inlineStr">
        <is>
          <t xml:space="preserve">35685067       </t>
        </is>
      </c>
      <c r="F1945" s="5" t="inlineStr">
        <is>
          <t>HOT WHEELS POWER SET 3 EN 1</t>
        </is>
      </c>
      <c r="G1945" t="n">
        <v>1</v>
      </c>
      <c r="H1945" s="7" t="n">
        <v>49.9</v>
      </c>
      <c r="I1945" s="7" t="n">
        <v>0</v>
      </c>
      <c r="J1945" s="7" t="n">
        <v>0</v>
      </c>
      <c r="K1945" s="9" t="n">
        <v>0</v>
      </c>
      <c r="L1945" s="10" t="n">
        <v>29.6</v>
      </c>
      <c r="M1945" s="10" t="n">
        <v>1.43</v>
      </c>
      <c r="N1945" t="inlineStr">
        <is>
          <t>1</t>
        </is>
      </c>
      <c r="O1945" t="inlineStr">
        <is>
          <t>16</t>
        </is>
      </c>
      <c r="P1945" t="inlineStr">
        <is>
          <t xml:space="preserve">242648  </t>
        </is>
      </c>
      <c r="Q1945" s="26" t="n">
        <v>49.9</v>
      </c>
      <c r="R1945" s="26">
        <f>Q1945*G1945</f>
        <v/>
      </c>
      <c r="S1945" t="n">
        <v>29.6</v>
      </c>
      <c r="T1945" s="18">
        <f>1 - V1945/S1945</f>
        <v/>
      </c>
      <c r="U1945" s="18" t="n">
        <v>0</v>
      </c>
      <c r="V1945" s="26" t="n">
        <v>29.6</v>
      </c>
      <c r="W1945" s="26">
        <f>V1945 - L1945</f>
        <v/>
      </c>
    </row>
    <row r="1946">
      <c r="A1946" s="11" t="n">
        <v>46222</v>
      </c>
      <c r="B1946" s="1" t="n">
        <v>20058</v>
      </c>
      <c r="C1946" s="1" t="inlineStr">
        <is>
          <t>040</t>
        </is>
      </c>
      <c r="D1946" s="1" t="inlineStr">
        <is>
          <t>197406</t>
        </is>
      </c>
      <c r="E1946" s="1" t="inlineStr">
        <is>
          <t xml:space="preserve">28194770       </t>
        </is>
      </c>
      <c r="F1946" s="5" t="inlineStr">
        <is>
          <t>AUTOS DE METAL 3 TEAMSTERZ EN BLISTER</t>
        </is>
      </c>
      <c r="G1946" t="n">
        <v>1</v>
      </c>
      <c r="H1946" s="7" t="n">
        <v>6.9</v>
      </c>
      <c r="I1946" s="7" t="n">
        <v>0</v>
      </c>
      <c r="J1946" s="7" t="n">
        <v>0</v>
      </c>
      <c r="K1946" s="9" t="n">
        <v>0</v>
      </c>
      <c r="L1946" s="10" t="n">
        <v>4.1</v>
      </c>
      <c r="M1946" s="10" t="n">
        <v>1.43</v>
      </c>
      <c r="N1946" t="inlineStr">
        <is>
          <t>1</t>
        </is>
      </c>
      <c r="O1946" t="inlineStr">
        <is>
          <t>16</t>
        </is>
      </c>
      <c r="P1946" t="inlineStr">
        <is>
          <t xml:space="preserve">41431   </t>
        </is>
      </c>
      <c r="Q1946" s="26" t="n">
        <v>6.9</v>
      </c>
      <c r="R1946" s="26">
        <f>Q1946*G1946</f>
        <v/>
      </c>
      <c r="S1946" t="n">
        <v>4.09</v>
      </c>
      <c r="T1946" s="18">
        <f>1 - V1946/S1946</f>
        <v/>
      </c>
      <c r="U1946" s="18" t="n">
        <v>0</v>
      </c>
      <c r="V1946" s="26" t="n">
        <v>4.09</v>
      </c>
      <c r="W1946" s="26">
        <f>V1946 - L1946</f>
        <v/>
      </c>
    </row>
    <row r="1947">
      <c r="A1947" s="11" t="n">
        <v>46222</v>
      </c>
      <c r="B1947" s="1" t="n">
        <v>20062</v>
      </c>
      <c r="C1947" s="1" t="inlineStr">
        <is>
          <t>017</t>
        </is>
      </c>
      <c r="D1947" s="1" t="inlineStr">
        <is>
          <t>235940</t>
        </is>
      </c>
      <c r="E1947" s="1" t="inlineStr">
        <is>
          <t xml:space="preserve">30141769       </t>
        </is>
      </c>
      <c r="F1947" s="5" t="inlineStr">
        <is>
          <t>TMZ BEAST MACHINES TRANSPORTE DINOSAURIO + 3 AUTOS</t>
        </is>
      </c>
      <c r="G1947" t="n">
        <v>1</v>
      </c>
      <c r="H1947" s="7" t="n">
        <v>59.9</v>
      </c>
      <c r="I1947" s="7" t="n">
        <v>0</v>
      </c>
      <c r="J1947" s="7" t="n">
        <v>0</v>
      </c>
      <c r="K1947" s="9" t="n">
        <v>0</v>
      </c>
      <c r="L1947" s="10" t="n">
        <v>35.53</v>
      </c>
      <c r="M1947" s="10" t="n">
        <v>1.43</v>
      </c>
      <c r="N1947" t="inlineStr">
        <is>
          <t>1</t>
        </is>
      </c>
      <c r="O1947" t="inlineStr">
        <is>
          <t>16</t>
        </is>
      </c>
      <c r="P1947" t="inlineStr">
        <is>
          <t xml:space="preserve">247900  </t>
        </is>
      </c>
      <c r="Q1947" s="26" t="n">
        <v>79.90000000000001</v>
      </c>
      <c r="R1947" s="26">
        <f>Q1947*G1947</f>
        <v/>
      </c>
      <c r="S1947" t="n">
        <v>47.4</v>
      </c>
      <c r="T1947" s="18">
        <f>1 - V1947/S1947</f>
        <v/>
      </c>
      <c r="U1947" s="18" t="n">
        <v>0.2503128911138924</v>
      </c>
      <c r="V1947" s="26" t="n">
        <v>38.07203389830509</v>
      </c>
      <c r="W1947" s="26">
        <f>V1947 - L1947</f>
        <v/>
      </c>
    </row>
    <row r="1948">
      <c r="A1948" s="11" t="n">
        <v>46222</v>
      </c>
      <c r="B1948" s="1" t="n">
        <v>20062</v>
      </c>
      <c r="C1948" s="1" t="inlineStr">
        <is>
          <t>038</t>
        </is>
      </c>
      <c r="D1948" s="1" t="inlineStr">
        <is>
          <t>173815</t>
        </is>
      </c>
      <c r="E1948" s="1" t="inlineStr">
        <is>
          <t xml:space="preserve">31754676       </t>
        </is>
      </c>
      <c r="F1948" s="5" t="inlineStr">
        <is>
          <t>INFINITY NADO SERIE 6 STD PACK LANZ ESPAD ANILLO M</t>
        </is>
      </c>
      <c r="G1948" t="n">
        <v>1</v>
      </c>
      <c r="H1948" s="7" t="n">
        <v>59.9</v>
      </c>
      <c r="I1948" s="7" t="n">
        <v>0</v>
      </c>
      <c r="J1948" s="7" t="n">
        <v>0</v>
      </c>
      <c r="K1948" s="9" t="n">
        <v>0</v>
      </c>
      <c r="L1948" s="10" t="n">
        <v>35.53</v>
      </c>
      <c r="M1948" s="10" t="n">
        <v>1.43</v>
      </c>
      <c r="N1948" t="inlineStr">
        <is>
          <t>1</t>
        </is>
      </c>
      <c r="O1948" t="inlineStr">
        <is>
          <t>16</t>
        </is>
      </c>
      <c r="P1948" t="inlineStr">
        <is>
          <t xml:space="preserve">43458   </t>
        </is>
      </c>
      <c r="Q1948" s="26" t="n">
        <v>79.90000000000001</v>
      </c>
      <c r="R1948" s="26">
        <f>Q1948*G1948</f>
        <v/>
      </c>
      <c r="S1948" t="n">
        <v>47.4</v>
      </c>
      <c r="T1948" s="18">
        <f>1 - V1948/S1948</f>
        <v/>
      </c>
      <c r="U1948" s="18" t="n">
        <v>0.2503128911138924</v>
      </c>
      <c r="V1948" s="26" t="n">
        <v>38.07203389830509</v>
      </c>
      <c r="W1948" s="26">
        <f>V1948 - L1948</f>
        <v/>
      </c>
    </row>
    <row r="1949">
      <c r="A1949" s="11" t="n">
        <v>46222</v>
      </c>
      <c r="B1949" s="1" t="n">
        <v>20062</v>
      </c>
      <c r="C1949" s="1" t="inlineStr">
        <is>
          <t>038</t>
        </is>
      </c>
      <c r="D1949" s="1" t="inlineStr">
        <is>
          <t>173838</t>
        </is>
      </c>
      <c r="E1949" s="1" t="inlineStr">
        <is>
          <t xml:space="preserve">28194781       </t>
        </is>
      </c>
      <c r="F1949" s="5" t="inlineStr">
        <is>
          <t>TROMPO BATALLA INFINITY NADO SERIE V CLASICA SURTI</t>
        </is>
      </c>
      <c r="G1949" t="n">
        <v>1</v>
      </c>
      <c r="H1949" s="7" t="n">
        <v>39.9</v>
      </c>
      <c r="I1949" s="7" t="n">
        <v>0</v>
      </c>
      <c r="J1949" s="7" t="n">
        <v>0</v>
      </c>
      <c r="K1949" s="9" t="n">
        <v>0</v>
      </c>
      <c r="L1949" s="10" t="n">
        <v>23.67</v>
      </c>
      <c r="M1949" s="10" t="n">
        <v>1.43</v>
      </c>
      <c r="N1949" t="inlineStr">
        <is>
          <t>1</t>
        </is>
      </c>
      <c r="O1949" t="inlineStr">
        <is>
          <t>16</t>
        </is>
      </c>
      <c r="P1949" t="inlineStr">
        <is>
          <t xml:space="preserve">43458   </t>
        </is>
      </c>
      <c r="Q1949" s="26" t="n">
        <v>59.9</v>
      </c>
      <c r="R1949" s="26">
        <f>Q1949*G1949</f>
        <v/>
      </c>
      <c r="S1949" t="n">
        <v>35.53</v>
      </c>
      <c r="T1949" s="18">
        <f>1 - V1949/S1949</f>
        <v/>
      </c>
      <c r="U1949" s="18" t="n">
        <v>0.333889816360601</v>
      </c>
      <c r="V1949" s="26" t="n">
        <v>25.36016949152542</v>
      </c>
      <c r="W1949" s="26">
        <f>V1949 - L1949</f>
        <v/>
      </c>
    </row>
    <row r="1950">
      <c r="A1950" s="11" t="n">
        <v>46222</v>
      </c>
      <c r="B1950" s="1" t="n">
        <v>20062</v>
      </c>
      <c r="C1950" s="1" t="inlineStr">
        <is>
          <t>038</t>
        </is>
      </c>
      <c r="D1950" s="1" t="inlineStr">
        <is>
          <t>173861</t>
        </is>
      </c>
      <c r="E1950" s="1" t="inlineStr">
        <is>
          <t xml:space="preserve">29235712       </t>
        </is>
      </c>
      <c r="F1950" s="5" t="inlineStr">
        <is>
          <t>TEAMSTERZ DISPARADOR DINOSAURIO INCL. 1 AUTO</t>
        </is>
      </c>
      <c r="G1950" t="n">
        <v>1</v>
      </c>
      <c r="H1950" s="7" t="n">
        <v>12.9</v>
      </c>
      <c r="I1950" s="7" t="n">
        <v>0</v>
      </c>
      <c r="J1950" s="7" t="n">
        <v>0</v>
      </c>
      <c r="K1950" s="9" t="n">
        <v>0</v>
      </c>
      <c r="L1950" s="10" t="n">
        <v>7.65</v>
      </c>
      <c r="M1950" s="10" t="n">
        <v>1.43</v>
      </c>
      <c r="N1950" t="inlineStr">
        <is>
          <t>1</t>
        </is>
      </c>
      <c r="O1950" t="inlineStr">
        <is>
          <t xml:space="preserve">2 </t>
        </is>
      </c>
      <c r="P1950" t="inlineStr">
        <is>
          <t xml:space="preserve">43458   </t>
        </is>
      </c>
      <c r="Q1950" s="26" t="n">
        <v>29.9</v>
      </c>
      <c r="R1950" s="26">
        <f>Q1950*G1950</f>
        <v/>
      </c>
      <c r="S1950" t="n">
        <v>17.74</v>
      </c>
      <c r="T1950" s="18">
        <f>1 - V1950/S1950</f>
        <v/>
      </c>
      <c r="U1950" s="18" t="n">
        <v>0.568561872909699</v>
      </c>
      <c r="V1950" s="26" t="n">
        <v>9.29271186440678</v>
      </c>
      <c r="W1950" s="26">
        <f>V1950 - L1950</f>
        <v/>
      </c>
    </row>
    <row r="1951">
      <c r="A1951" s="11" t="n">
        <v>46222</v>
      </c>
      <c r="B1951" s="1" t="n">
        <v>20062</v>
      </c>
      <c r="C1951" s="1" t="inlineStr">
        <is>
          <t>038</t>
        </is>
      </c>
      <c r="D1951" s="1" t="inlineStr">
        <is>
          <t>173863</t>
        </is>
      </c>
      <c r="E1951" s="1" t="inlineStr">
        <is>
          <t xml:space="preserve">33483123       </t>
        </is>
      </c>
      <c r="F1951" s="5" t="inlineStr">
        <is>
          <t>NENUCO DISFRACES</t>
        </is>
      </c>
      <c r="G1951" t="n">
        <v>1</v>
      </c>
      <c r="H1951" s="7" t="n">
        <v>69.90000000000001</v>
      </c>
      <c r="I1951" s="7" t="n">
        <v>0</v>
      </c>
      <c r="J1951" s="7" t="n">
        <v>0</v>
      </c>
      <c r="K1951" s="9" t="n">
        <v>0</v>
      </c>
      <c r="L1951" s="10" t="n">
        <v>41.47</v>
      </c>
      <c r="M1951" s="10" t="n">
        <v>1.43</v>
      </c>
      <c r="N1951" t="inlineStr">
        <is>
          <t>1</t>
        </is>
      </c>
      <c r="O1951" t="inlineStr">
        <is>
          <t>16</t>
        </is>
      </c>
      <c r="P1951" t="inlineStr">
        <is>
          <t xml:space="preserve">43458   </t>
        </is>
      </c>
      <c r="Q1951" s="26" t="n">
        <v>89.90000000000001</v>
      </c>
      <c r="R1951" s="26">
        <f>Q1951*G1951</f>
        <v/>
      </c>
      <c r="S1951" t="n">
        <v>53.33</v>
      </c>
      <c r="T1951" s="18">
        <f>1 - V1951/S1951</f>
        <v/>
      </c>
      <c r="U1951" s="18" t="n">
        <v>0.2224694104560623</v>
      </c>
      <c r="V1951" s="26" t="n">
        <v>44.42796610169492</v>
      </c>
      <c r="W1951" s="26">
        <f>V1951 - L1951</f>
        <v/>
      </c>
    </row>
    <row r="1952">
      <c r="A1952" s="11" t="n">
        <v>46222</v>
      </c>
      <c r="B1952" s="1" t="n">
        <v>20062</v>
      </c>
      <c r="C1952" s="1" t="inlineStr">
        <is>
          <t>053</t>
        </is>
      </c>
      <c r="D1952" s="1" t="inlineStr">
        <is>
          <t>243489</t>
        </is>
      </c>
      <c r="E1952" s="1" t="inlineStr">
        <is>
          <t xml:space="preserve">31754676       </t>
        </is>
      </c>
      <c r="F1952" s="5" t="inlineStr">
        <is>
          <t>INFINITY NADO SERIE 6 STD PACK LANZ ESPAD ANILLO M</t>
        </is>
      </c>
      <c r="G1952" t="n">
        <v>1</v>
      </c>
      <c r="H1952" s="7" t="n">
        <v>59.9</v>
      </c>
      <c r="I1952" s="7" t="n">
        <v>0</v>
      </c>
      <c r="J1952" s="7" t="n">
        <v>0</v>
      </c>
      <c r="K1952" s="9" t="n">
        <v>0</v>
      </c>
      <c r="L1952" s="10" t="n">
        <v>35.53</v>
      </c>
      <c r="M1952" s="10" t="n">
        <v>1.43</v>
      </c>
      <c r="N1952" t="inlineStr">
        <is>
          <t>1</t>
        </is>
      </c>
      <c r="O1952" t="inlineStr">
        <is>
          <t xml:space="preserve">2 </t>
        </is>
      </c>
      <c r="P1952" t="inlineStr">
        <is>
          <t xml:space="preserve">88849   </t>
        </is>
      </c>
      <c r="Q1952" s="26" t="n">
        <v>79.90000000000001</v>
      </c>
      <c r="R1952" s="26">
        <f>Q1952*G1952</f>
        <v/>
      </c>
      <c r="S1952" t="n">
        <v>47.4</v>
      </c>
      <c r="T1952" s="18">
        <f>1 - V1952/S1952</f>
        <v/>
      </c>
      <c r="U1952" s="18" t="n">
        <v>0.2503128911138924</v>
      </c>
      <c r="V1952" s="26" t="n">
        <v>38.07203389830509</v>
      </c>
      <c r="W1952" s="26">
        <f>V1952 - L1952</f>
        <v/>
      </c>
    </row>
    <row r="1953">
      <c r="A1953" s="11" t="n">
        <v>46222</v>
      </c>
      <c r="B1953" s="1" t="n">
        <v>20066</v>
      </c>
      <c r="C1953" s="1" t="inlineStr">
        <is>
          <t>016</t>
        </is>
      </c>
      <c r="D1953" s="1" t="inlineStr">
        <is>
          <t>239163</t>
        </is>
      </c>
      <c r="E1953" s="1" t="inlineStr">
        <is>
          <t xml:space="preserve">31959957       </t>
        </is>
      </c>
      <c r="F1953" s="5" t="inlineStr">
        <is>
          <t>TEAMSTERZ PLAYSET RESCATE EN EL MAR</t>
        </is>
      </c>
      <c r="G1953" t="n">
        <v>1</v>
      </c>
      <c r="H1953" s="7" t="n">
        <v>19.9</v>
      </c>
      <c r="I1953" s="7" t="n">
        <v>0</v>
      </c>
      <c r="J1953" s="7" t="n">
        <v>0</v>
      </c>
      <c r="K1953" s="9" t="n">
        <v>0</v>
      </c>
      <c r="L1953" s="10" t="n">
        <v>11.8</v>
      </c>
      <c r="M1953" s="10" t="n">
        <v>1.43</v>
      </c>
      <c r="N1953" t="inlineStr">
        <is>
          <t>1</t>
        </is>
      </c>
      <c r="O1953" t="inlineStr">
        <is>
          <t>16</t>
        </is>
      </c>
      <c r="P1953" t="inlineStr">
        <is>
          <t xml:space="preserve">249844  </t>
        </is>
      </c>
      <c r="Q1953" s="26" t="n">
        <v>19.9</v>
      </c>
      <c r="R1953" s="26">
        <f>Q1953*G1953</f>
        <v/>
      </c>
      <c r="S1953" t="n">
        <v>11.81</v>
      </c>
      <c r="T1953" s="18">
        <f>1 - V1953/S1953</f>
        <v/>
      </c>
      <c r="U1953" s="18" t="n">
        <v>0</v>
      </c>
      <c r="V1953" s="26" t="n">
        <v>11.81</v>
      </c>
      <c r="W1953" s="26">
        <f>V1953 - L1953</f>
        <v/>
      </c>
    </row>
    <row r="1954">
      <c r="A1954" s="11" t="n">
        <v>46222</v>
      </c>
      <c r="B1954" s="1" t="n">
        <v>20066</v>
      </c>
      <c r="C1954" s="1" t="inlineStr">
        <is>
          <t>047</t>
        </is>
      </c>
      <c r="D1954" s="1" t="inlineStr">
        <is>
          <t xml:space="preserve">50672 </t>
        </is>
      </c>
      <c r="E1954" s="1" t="inlineStr">
        <is>
          <t xml:space="preserve">28194770       </t>
        </is>
      </c>
      <c r="F1954" s="5" t="inlineStr">
        <is>
          <t>AUTOS DE METAL 3 TEAMSTERZ EN BLISTER</t>
        </is>
      </c>
      <c r="G1954" t="n">
        <v>1</v>
      </c>
      <c r="H1954" s="7" t="n">
        <v>6.9</v>
      </c>
      <c r="I1954" s="7" t="n">
        <v>0.6899999999999999</v>
      </c>
      <c r="J1954" s="7" t="n">
        <v>0</v>
      </c>
      <c r="K1954" s="9" t="n">
        <v>0.6899999999999999</v>
      </c>
      <c r="L1954" s="10" t="n">
        <v>3.68</v>
      </c>
      <c r="M1954" s="10" t="n">
        <v>1.43</v>
      </c>
      <c r="N1954" t="inlineStr">
        <is>
          <t>1</t>
        </is>
      </c>
      <c r="O1954" t="inlineStr">
        <is>
          <t xml:space="preserve">3 </t>
        </is>
      </c>
      <c r="P1954" t="inlineStr">
        <is>
          <t xml:space="preserve">12646   </t>
        </is>
      </c>
      <c r="Q1954" s="26" t="n">
        <v>6.9</v>
      </c>
      <c r="R1954" s="26">
        <f>Q1954*G1954</f>
        <v/>
      </c>
      <c r="S1954" t="n">
        <v>4.09</v>
      </c>
      <c r="T1954" s="18">
        <f>1 - V1954/S1954</f>
        <v/>
      </c>
      <c r="U1954" s="18" t="n">
        <v>0</v>
      </c>
      <c r="V1954" s="26" t="n">
        <v>4.09</v>
      </c>
      <c r="W1954" s="26">
        <f>V1954 - L1954</f>
        <v/>
      </c>
    </row>
    <row r="1955">
      <c r="A1955" s="11" t="n">
        <v>46222</v>
      </c>
      <c r="B1955" s="1" t="n">
        <v>20066</v>
      </c>
      <c r="C1955" s="1" t="inlineStr">
        <is>
          <t>047</t>
        </is>
      </c>
      <c r="D1955" s="1" t="inlineStr">
        <is>
          <t xml:space="preserve">50672 </t>
        </is>
      </c>
      <c r="E1955" s="1" t="inlineStr">
        <is>
          <t xml:space="preserve">28194770       </t>
        </is>
      </c>
      <c r="F1955" s="5" t="inlineStr">
        <is>
          <t>AUTOS DE METAL 3 TEAMSTERZ EN BLISTER</t>
        </is>
      </c>
      <c r="G1955" t="n">
        <v>1</v>
      </c>
      <c r="H1955" s="7" t="n">
        <v>6.9</v>
      </c>
      <c r="I1955" s="7" t="n">
        <v>0.6899999999999999</v>
      </c>
      <c r="J1955" s="7" t="n">
        <v>0</v>
      </c>
      <c r="K1955" s="9" t="n">
        <v>0.6899999999999999</v>
      </c>
      <c r="L1955" s="10" t="n">
        <v>3.68</v>
      </c>
      <c r="M1955" s="10" t="n">
        <v>1.43</v>
      </c>
      <c r="N1955" t="inlineStr">
        <is>
          <t>1</t>
        </is>
      </c>
      <c r="O1955" t="inlineStr">
        <is>
          <t xml:space="preserve">3 </t>
        </is>
      </c>
      <c r="P1955" t="inlineStr">
        <is>
          <t xml:space="preserve">12646   </t>
        </is>
      </c>
      <c r="Q1955" s="26" t="n">
        <v>6.9</v>
      </c>
      <c r="R1955" s="26">
        <f>Q1955*G1955</f>
        <v/>
      </c>
      <c r="S1955" t="n">
        <v>4.09</v>
      </c>
      <c r="T1955" s="18">
        <f>1 - V1955/S1955</f>
        <v/>
      </c>
      <c r="U1955" s="18" t="n">
        <v>0</v>
      </c>
      <c r="V1955" s="26" t="n">
        <v>4.09</v>
      </c>
      <c r="W1955" s="26">
        <f>V1955 - L1955</f>
        <v/>
      </c>
    </row>
    <row r="1956">
      <c r="A1956" s="11" t="n">
        <v>46222</v>
      </c>
      <c r="B1956" s="1" t="n">
        <v>20066</v>
      </c>
      <c r="C1956" s="1" t="inlineStr">
        <is>
          <t>058</t>
        </is>
      </c>
      <c r="D1956" s="1" t="inlineStr">
        <is>
          <t xml:space="preserve">60819 </t>
        </is>
      </c>
      <c r="E1956" s="1" t="inlineStr">
        <is>
          <t xml:space="preserve">28194770       </t>
        </is>
      </c>
      <c r="F1956" s="5" t="inlineStr">
        <is>
          <t>AUTOS DE METAL 3 TEAMSTERZ EN BLISTER</t>
        </is>
      </c>
      <c r="G1956" t="n">
        <v>1</v>
      </c>
      <c r="H1956" s="7" t="n">
        <v>6.9</v>
      </c>
      <c r="I1956" s="7" t="n">
        <v>0.6899999999999999</v>
      </c>
      <c r="J1956" s="7" t="n">
        <v>0</v>
      </c>
      <c r="K1956" s="9" t="n">
        <v>0.6899999999999999</v>
      </c>
      <c r="L1956" s="10" t="n">
        <v>3.68</v>
      </c>
      <c r="M1956" s="10" t="n">
        <v>1.43</v>
      </c>
      <c r="N1956" t="inlineStr">
        <is>
          <t>1</t>
        </is>
      </c>
      <c r="O1956" t="inlineStr">
        <is>
          <t xml:space="preserve">3 </t>
        </is>
      </c>
      <c r="P1956" t="inlineStr">
        <is>
          <t xml:space="preserve">62683   </t>
        </is>
      </c>
      <c r="Q1956" s="26" t="n">
        <v>6.9</v>
      </c>
      <c r="R1956" s="26">
        <f>Q1956*G1956</f>
        <v/>
      </c>
      <c r="S1956" t="n">
        <v>4.09</v>
      </c>
      <c r="T1956" s="18">
        <f>1 - V1956/S1956</f>
        <v/>
      </c>
      <c r="U1956" s="18" t="n">
        <v>0</v>
      </c>
      <c r="V1956" s="26" t="n">
        <v>4.09</v>
      </c>
      <c r="W1956" s="26">
        <f>V1956 - L1956</f>
        <v/>
      </c>
    </row>
    <row r="1957">
      <c r="A1957" s="11" t="n">
        <v>46222</v>
      </c>
      <c r="B1957" s="1" t="n">
        <v>20066</v>
      </c>
      <c r="C1957" s="1" t="inlineStr">
        <is>
          <t>061</t>
        </is>
      </c>
      <c r="D1957" s="1" t="inlineStr">
        <is>
          <t xml:space="preserve">35545 </t>
        </is>
      </c>
      <c r="E1957" s="1" t="inlineStr">
        <is>
          <t xml:space="preserve">28194770       </t>
        </is>
      </c>
      <c r="F1957" s="5" t="inlineStr">
        <is>
          <t>AUTOS DE METAL 3 TEAMSTERZ EN BLISTER</t>
        </is>
      </c>
      <c r="G1957" t="n">
        <v>1</v>
      </c>
      <c r="H1957" s="7" t="n">
        <v>6.9</v>
      </c>
      <c r="I1957" s="7" t="n">
        <v>0</v>
      </c>
      <c r="J1957" s="7" t="n">
        <v>0</v>
      </c>
      <c r="K1957" s="9" t="n">
        <v>0</v>
      </c>
      <c r="L1957" s="10" t="n">
        <v>4.1</v>
      </c>
      <c r="M1957" s="10" t="n">
        <v>1.43</v>
      </c>
      <c r="N1957" t="inlineStr">
        <is>
          <t>1</t>
        </is>
      </c>
      <c r="O1957" t="inlineStr">
        <is>
          <t>16</t>
        </is>
      </c>
      <c r="P1957" t="inlineStr">
        <is>
          <t xml:space="preserve">231271  </t>
        </is>
      </c>
      <c r="Q1957" s="26" t="n">
        <v>6.9</v>
      </c>
      <c r="R1957" s="26">
        <f>Q1957*G1957</f>
        <v/>
      </c>
      <c r="S1957" t="n">
        <v>4.09</v>
      </c>
      <c r="T1957" s="18">
        <f>1 - V1957/S1957</f>
        <v/>
      </c>
      <c r="U1957" s="18" t="n">
        <v>0</v>
      </c>
      <c r="V1957" s="26" t="n">
        <v>4.09</v>
      </c>
      <c r="W1957" s="26">
        <f>V1957 - L1957</f>
        <v/>
      </c>
    </row>
    <row r="1958">
      <c r="A1958" s="11" t="n">
        <v>46222</v>
      </c>
      <c r="B1958" s="1" t="n">
        <v>20066</v>
      </c>
      <c r="C1958" s="1" t="inlineStr">
        <is>
          <t>833</t>
        </is>
      </c>
      <c r="D1958" s="1" t="inlineStr">
        <is>
          <t xml:space="preserve">3894  </t>
        </is>
      </c>
      <c r="E1958" s="1" t="inlineStr">
        <is>
          <t xml:space="preserve">28194770       </t>
        </is>
      </c>
      <c r="F1958" s="5" t="inlineStr">
        <is>
          <t>AUTOS DE METAL 3 TEAMSTERZ EN BLISTER</t>
        </is>
      </c>
      <c r="G1958" t="n">
        <v>1</v>
      </c>
      <c r="H1958" s="7" t="n">
        <v>6.9</v>
      </c>
      <c r="I1958" s="7" t="n">
        <v>0</v>
      </c>
      <c r="J1958" s="7" t="n">
        <v>0</v>
      </c>
      <c r="K1958" s="9" t="n">
        <v>0</v>
      </c>
      <c r="L1958" s="10" t="n">
        <v>4.1</v>
      </c>
      <c r="M1958" s="10" t="n">
        <v>1.43</v>
      </c>
      <c r="N1958" t="inlineStr">
        <is>
          <t>1</t>
        </is>
      </c>
      <c r="O1958" t="inlineStr">
        <is>
          <t>16</t>
        </is>
      </c>
      <c r="P1958" t="inlineStr">
        <is>
          <t xml:space="preserve">0       </t>
        </is>
      </c>
      <c r="Q1958" s="26" t="n">
        <v>6.9</v>
      </c>
      <c r="R1958" s="26">
        <f>Q1958*G1958</f>
        <v/>
      </c>
      <c r="S1958" t="n">
        <v>4.09</v>
      </c>
      <c r="T1958" s="18">
        <f>1 - V1958/S1958</f>
        <v/>
      </c>
      <c r="U1958" s="18" t="n">
        <v>0</v>
      </c>
      <c r="V1958" s="26" t="n">
        <v>4.09</v>
      </c>
      <c r="W1958" s="26">
        <f>V1958 - L1958</f>
        <v/>
      </c>
    </row>
    <row r="1959">
      <c r="A1959" s="11" t="n">
        <v>46222</v>
      </c>
      <c r="B1959" s="1" t="n">
        <v>20069</v>
      </c>
      <c r="C1959" s="1" t="inlineStr">
        <is>
          <t>026</t>
        </is>
      </c>
      <c r="D1959" s="1" t="inlineStr">
        <is>
          <t xml:space="preserve">12144 </t>
        </is>
      </c>
      <c r="E1959" s="1" t="inlineStr">
        <is>
          <t xml:space="preserve">31754679       </t>
        </is>
      </c>
      <c r="F1959" s="5" t="inlineStr">
        <is>
          <t>RELOJ DIGITAL CRY BABIES</t>
        </is>
      </c>
      <c r="G1959" t="n">
        <v>-1</v>
      </c>
      <c r="H1959" s="7" t="n">
        <v>-18.9</v>
      </c>
      <c r="I1959" s="7" t="n">
        <v>0</v>
      </c>
      <c r="J1959" s="7" t="n">
        <v>0</v>
      </c>
      <c r="K1959" s="9" t="n">
        <v>0</v>
      </c>
      <c r="L1959" s="10" t="n">
        <v>-11.21</v>
      </c>
      <c r="M1959" s="10" t="n">
        <v>0</v>
      </c>
      <c r="N1959" t="inlineStr">
        <is>
          <t>3</t>
        </is>
      </c>
      <c r="O1959" t="inlineStr">
        <is>
          <t>26</t>
        </is>
      </c>
      <c r="P1959" t="inlineStr">
        <is>
          <t xml:space="preserve">236765  </t>
        </is>
      </c>
      <c r="Q1959" s="26" t="n">
        <v>18.9</v>
      </c>
      <c r="R1959" s="26">
        <f>Q1959*G1959</f>
        <v/>
      </c>
      <c r="S1959" t="n">
        <v>-11.21</v>
      </c>
      <c r="T1959" s="18">
        <f>1 - V1959/S1959</f>
        <v/>
      </c>
      <c r="U1959" s="18" t="n">
        <v>0</v>
      </c>
      <c r="V1959" s="26" t="n">
        <v>-11.21</v>
      </c>
      <c r="W1959" s="26">
        <f>V1959 - L1959</f>
        <v/>
      </c>
    </row>
    <row r="1960">
      <c r="A1960" s="11" t="n">
        <v>46222</v>
      </c>
      <c r="B1960" s="1" t="n">
        <v>20069</v>
      </c>
      <c r="C1960" s="1" t="inlineStr">
        <is>
          <t>026</t>
        </is>
      </c>
      <c r="D1960" s="1" t="inlineStr">
        <is>
          <t>359807</t>
        </is>
      </c>
      <c r="E1960" s="1" t="inlineStr">
        <is>
          <t xml:space="preserve">30141780       </t>
        </is>
      </c>
      <c r="F1960" s="5" t="inlineStr">
        <is>
          <t>RELOJ DIGITAL PEPPA PIG</t>
        </is>
      </c>
      <c r="G1960" t="n">
        <v>1</v>
      </c>
      <c r="H1960" s="7" t="n">
        <v>18.9</v>
      </c>
      <c r="I1960" s="7" t="n">
        <v>0</v>
      </c>
      <c r="J1960" s="7" t="n">
        <v>0</v>
      </c>
      <c r="K1960" s="9" t="n">
        <v>0</v>
      </c>
      <c r="L1960" s="10" t="n">
        <v>11.21</v>
      </c>
      <c r="M1960" s="10" t="n">
        <v>1.43</v>
      </c>
      <c r="N1960" t="inlineStr">
        <is>
          <t>1</t>
        </is>
      </c>
      <c r="O1960" t="inlineStr">
        <is>
          <t xml:space="preserve">6 </t>
        </is>
      </c>
      <c r="P1960" t="inlineStr">
        <is>
          <t xml:space="preserve">249236  </t>
        </is>
      </c>
      <c r="Q1960" s="26" t="n">
        <v>18.9</v>
      </c>
      <c r="R1960" s="26">
        <f>Q1960*G1960</f>
        <v/>
      </c>
      <c r="S1960" t="n">
        <v>11.21</v>
      </c>
      <c r="T1960" s="18">
        <f>1 - V1960/S1960</f>
        <v/>
      </c>
      <c r="U1960" s="18" t="n">
        <v>0</v>
      </c>
      <c r="V1960" s="26" t="n">
        <v>11.21</v>
      </c>
      <c r="W1960" s="26">
        <f>V1960 - L1960</f>
        <v/>
      </c>
    </row>
    <row r="1961">
      <c r="A1961" s="11" t="n">
        <v>46222</v>
      </c>
      <c r="B1961" s="1" t="n">
        <v>20069</v>
      </c>
      <c r="C1961" s="1" t="inlineStr">
        <is>
          <t>026</t>
        </is>
      </c>
      <c r="D1961" s="1" t="inlineStr">
        <is>
          <t>359841</t>
        </is>
      </c>
      <c r="E1961" s="1" t="inlineStr">
        <is>
          <t xml:space="preserve">28194770       </t>
        </is>
      </c>
      <c r="F1961" s="5" t="inlineStr">
        <is>
          <t>AUTOS DE METAL 3 TEAMSTERZ EN BLISTER</t>
        </is>
      </c>
      <c r="G1961" t="n">
        <v>1</v>
      </c>
      <c r="H1961" s="7" t="n">
        <v>6.9</v>
      </c>
      <c r="I1961" s="7" t="n">
        <v>0</v>
      </c>
      <c r="J1961" s="7" t="n">
        <v>0</v>
      </c>
      <c r="K1961" s="9" t="n">
        <v>0</v>
      </c>
      <c r="L1961" s="10" t="n">
        <v>4.1</v>
      </c>
      <c r="M1961" s="10" t="n">
        <v>1.43</v>
      </c>
      <c r="N1961" t="inlineStr">
        <is>
          <t>1</t>
        </is>
      </c>
      <c r="O1961" t="inlineStr">
        <is>
          <t xml:space="preserve">2 </t>
        </is>
      </c>
      <c r="P1961" t="inlineStr">
        <is>
          <t xml:space="preserve">249236  </t>
        </is>
      </c>
      <c r="Q1961" s="26" t="n">
        <v>6.9</v>
      </c>
      <c r="R1961" s="26">
        <f>Q1961*G1961</f>
        <v/>
      </c>
      <c r="S1961" t="n">
        <v>4.09</v>
      </c>
      <c r="T1961" s="18">
        <f>1 - V1961/S1961</f>
        <v/>
      </c>
      <c r="U1961" s="18" t="n">
        <v>0</v>
      </c>
      <c r="V1961" s="26" t="n">
        <v>4.09</v>
      </c>
      <c r="W1961" s="26">
        <f>V1961 - L1961</f>
        <v/>
      </c>
    </row>
    <row r="1962">
      <c r="A1962" s="11" t="n">
        <v>46222</v>
      </c>
      <c r="B1962" s="1" t="n">
        <v>20069</v>
      </c>
      <c r="C1962" s="1" t="inlineStr">
        <is>
          <t>520</t>
        </is>
      </c>
      <c r="D1962" s="1" t="inlineStr">
        <is>
          <t xml:space="preserve">995   </t>
        </is>
      </c>
      <c r="E1962" s="1" t="inlineStr">
        <is>
          <t xml:space="preserve">31046049       </t>
        </is>
      </c>
      <c r="F1962" s="5" t="inlineStr">
        <is>
          <t>RELOJ DIGITAL HOT WHEELS</t>
        </is>
      </c>
      <c r="G1962" t="n">
        <v>1</v>
      </c>
      <c r="H1962" s="7" t="n">
        <v>18.9</v>
      </c>
      <c r="I1962" s="7" t="n">
        <v>0</v>
      </c>
      <c r="J1962" s="7" t="n">
        <v>0</v>
      </c>
      <c r="K1962" s="9" t="n">
        <v>0</v>
      </c>
      <c r="L1962" s="10" t="n">
        <v>11.21</v>
      </c>
      <c r="M1962" s="10" t="n">
        <v>1.43</v>
      </c>
      <c r="N1962" t="inlineStr">
        <is>
          <t>1</t>
        </is>
      </c>
      <c r="O1962" t="inlineStr">
        <is>
          <t>16</t>
        </is>
      </c>
      <c r="P1962" t="inlineStr">
        <is>
          <t xml:space="preserve">99440   </t>
        </is>
      </c>
      <c r="Q1962" s="26" t="n">
        <v>18.9</v>
      </c>
      <c r="R1962" s="26">
        <f>Q1962*G1962</f>
        <v/>
      </c>
      <c r="S1962" t="n">
        <v>11.21</v>
      </c>
      <c r="T1962" s="18">
        <f>1 - V1962/S1962</f>
        <v/>
      </c>
      <c r="U1962" s="18" t="n">
        <v>0</v>
      </c>
      <c r="V1962" s="26" t="n">
        <v>11.21</v>
      </c>
      <c r="W1962" s="26">
        <f>V1962 - L1962</f>
        <v/>
      </c>
    </row>
    <row r="1963">
      <c r="A1963" s="11" t="n">
        <v>46222</v>
      </c>
      <c r="B1963" s="1" t="n">
        <v>20069</v>
      </c>
      <c r="C1963" s="1" t="inlineStr">
        <is>
          <t>801</t>
        </is>
      </c>
      <c r="D1963" s="1" t="inlineStr">
        <is>
          <t xml:space="preserve">1467  </t>
        </is>
      </c>
      <c r="E1963" s="1" t="inlineStr">
        <is>
          <t xml:space="preserve">28194769       </t>
        </is>
      </c>
      <c r="F1963" s="5" t="inlineStr">
        <is>
          <t>AUTOS DE METAL 3 TEAMSTERZ PACK DE 2</t>
        </is>
      </c>
      <c r="G1963" t="n">
        <v>2</v>
      </c>
      <c r="H1963" s="7" t="n">
        <v>27.6</v>
      </c>
      <c r="I1963" s="7" t="n">
        <v>0</v>
      </c>
      <c r="J1963" s="7" t="n">
        <v>0</v>
      </c>
      <c r="K1963" s="9" t="n">
        <v>0</v>
      </c>
      <c r="L1963" s="10" t="n">
        <v>16.38</v>
      </c>
      <c r="M1963" s="10" t="n">
        <v>1.43</v>
      </c>
      <c r="N1963" t="inlineStr">
        <is>
          <t>1</t>
        </is>
      </c>
      <c r="O1963" t="inlineStr">
        <is>
          <t>16</t>
        </is>
      </c>
      <c r="P1963" t="inlineStr">
        <is>
          <t xml:space="preserve">0       </t>
        </is>
      </c>
      <c r="Q1963" s="26" t="n">
        <v>13.8</v>
      </c>
      <c r="R1963" s="26">
        <f>Q1963*G1963</f>
        <v/>
      </c>
      <c r="S1963" t="n">
        <v>16.38</v>
      </c>
      <c r="T1963" s="18">
        <f>1 - V1963/S1963</f>
        <v/>
      </c>
      <c r="U1963" s="18" t="n">
        <v>0</v>
      </c>
      <c r="V1963" s="26" t="n">
        <v>16.38</v>
      </c>
      <c r="W1963" s="26">
        <f>V1963 - L1963</f>
        <v/>
      </c>
    </row>
    <row r="1964">
      <c r="A1964" s="11" t="n">
        <v>46222</v>
      </c>
      <c r="B1964" s="1" t="n">
        <v>20072</v>
      </c>
      <c r="C1964" s="1" t="inlineStr">
        <is>
          <t>023</t>
        </is>
      </c>
      <c r="D1964" s="1" t="inlineStr">
        <is>
          <t>316966</t>
        </is>
      </c>
      <c r="E1964" s="1" t="inlineStr">
        <is>
          <t xml:space="preserve">33483115       </t>
        </is>
      </c>
      <c r="F1964" s="5" t="inlineStr">
        <is>
          <t>MUNECA EVI LOVE CON MAMA Y BB CANGURO + ACC.</t>
        </is>
      </c>
      <c r="G1964" t="n">
        <v>1</v>
      </c>
      <c r="H1964" s="7" t="n">
        <v>22.74</v>
      </c>
      <c r="I1964" s="7" t="n">
        <v>0</v>
      </c>
      <c r="J1964" s="7" t="n">
        <v>0</v>
      </c>
      <c r="K1964" s="9" t="n">
        <v>0</v>
      </c>
      <c r="L1964" s="10" t="n">
        <v>13.49</v>
      </c>
      <c r="M1964" s="10" t="n">
        <v>1.43</v>
      </c>
      <c r="N1964" t="inlineStr">
        <is>
          <t>1</t>
        </is>
      </c>
      <c r="O1964" t="inlineStr">
        <is>
          <t>16</t>
        </is>
      </c>
      <c r="P1964" t="inlineStr">
        <is>
          <t xml:space="preserve">242897  </t>
        </is>
      </c>
      <c r="Q1964" s="26" t="n">
        <v>37.9</v>
      </c>
      <c r="R1964" s="26">
        <f>Q1964*G1964</f>
        <v/>
      </c>
      <c r="S1964" t="n">
        <v>22.48</v>
      </c>
      <c r="T1964" s="18">
        <f>1 - V1964/S1964</f>
        <v/>
      </c>
      <c r="U1964" s="18" t="n">
        <v>0.4</v>
      </c>
      <c r="V1964" s="26" t="n">
        <v>17.34406779661017</v>
      </c>
      <c r="W1964" s="26">
        <f>V1964 - L1964</f>
        <v/>
      </c>
    </row>
    <row r="1965">
      <c r="A1965" s="11" t="n">
        <v>46222</v>
      </c>
      <c r="B1965" s="1" t="n">
        <v>20072</v>
      </c>
      <c r="C1965" s="1" t="inlineStr">
        <is>
          <t>032</t>
        </is>
      </c>
      <c r="D1965" s="1" t="inlineStr">
        <is>
          <t>308524</t>
        </is>
      </c>
      <c r="E1965" s="1" t="inlineStr">
        <is>
          <t xml:space="preserve">29235712       </t>
        </is>
      </c>
      <c r="F1965" s="5" t="inlineStr">
        <is>
          <t>TEAMSTERZ DISPARADOR DINOSAURIO INCL. 1 AUTO</t>
        </is>
      </c>
      <c r="G1965" t="n">
        <v>1</v>
      </c>
      <c r="H1965" s="7" t="n">
        <v>12.9</v>
      </c>
      <c r="I1965" s="7" t="n">
        <v>0</v>
      </c>
      <c r="J1965" s="7" t="n">
        <v>0</v>
      </c>
      <c r="K1965" s="9" t="n">
        <v>0</v>
      </c>
      <c r="L1965" s="10" t="n">
        <v>7.65</v>
      </c>
      <c r="M1965" s="10" t="n">
        <v>1.43</v>
      </c>
      <c r="N1965" t="inlineStr">
        <is>
          <t>1</t>
        </is>
      </c>
      <c r="O1965" t="inlineStr">
        <is>
          <t xml:space="preserve">2 </t>
        </is>
      </c>
      <c r="P1965" t="inlineStr">
        <is>
          <t xml:space="preserve">238588  </t>
        </is>
      </c>
      <c r="Q1965" s="26" t="n">
        <v>29.9</v>
      </c>
      <c r="R1965" s="26">
        <f>Q1965*G1965</f>
        <v/>
      </c>
      <c r="S1965" t="n">
        <v>17.74</v>
      </c>
      <c r="T1965" s="18">
        <f>1 - V1965/S1965</f>
        <v/>
      </c>
      <c r="U1965" s="18" t="n">
        <v>0.568561872909699</v>
      </c>
      <c r="V1965" s="26" t="n">
        <v>9.29271186440678</v>
      </c>
      <c r="W1965" s="26">
        <f>V1965 - L1965</f>
        <v/>
      </c>
    </row>
    <row r="1966">
      <c r="A1966" s="11" t="n">
        <v>46222</v>
      </c>
      <c r="B1966" s="1" t="n">
        <v>20072</v>
      </c>
      <c r="C1966" s="1" t="inlineStr">
        <is>
          <t>032</t>
        </is>
      </c>
      <c r="D1966" s="1" t="inlineStr">
        <is>
          <t>308524</t>
        </is>
      </c>
      <c r="E1966" s="1" t="inlineStr">
        <is>
          <t xml:space="preserve">32457101       </t>
        </is>
      </c>
      <c r="F1966" s="5" t="inlineStr">
        <is>
          <t>TMZ BEAST MACHINES TRANSPORTE PESADO + 2 AUTOS SUR</t>
        </is>
      </c>
      <c r="G1966" t="n">
        <v>1</v>
      </c>
      <c r="H1966" s="7" t="n">
        <v>17.9</v>
      </c>
      <c r="I1966" s="7" t="n">
        <v>0</v>
      </c>
      <c r="J1966" s="7" t="n">
        <v>0</v>
      </c>
      <c r="K1966" s="9" t="n">
        <v>0</v>
      </c>
      <c r="L1966" s="10" t="n">
        <v>10.62</v>
      </c>
      <c r="M1966" s="10" t="n">
        <v>1.43</v>
      </c>
      <c r="N1966" t="inlineStr">
        <is>
          <t>1</t>
        </is>
      </c>
      <c r="O1966" t="inlineStr">
        <is>
          <t xml:space="preserve">2 </t>
        </is>
      </c>
      <c r="P1966" t="inlineStr">
        <is>
          <t xml:space="preserve">238588  </t>
        </is>
      </c>
      <c r="Q1966" s="26" t="n">
        <v>37.9</v>
      </c>
      <c r="R1966" s="26">
        <f>Q1966*G1966</f>
        <v/>
      </c>
      <c r="S1966" t="n">
        <v>22.48</v>
      </c>
      <c r="T1966" s="18">
        <f>1 - V1966/S1966</f>
        <v/>
      </c>
      <c r="U1966" s="18" t="n">
        <v>0.5277044854881267</v>
      </c>
      <c r="V1966" s="26" t="n">
        <v>12.88694915254237</v>
      </c>
      <c r="W1966" s="26">
        <f>V1966 - L1966</f>
        <v/>
      </c>
    </row>
    <row r="1967">
      <c r="A1967" s="11" t="n">
        <v>46222</v>
      </c>
      <c r="B1967" s="1" t="n">
        <v>20072</v>
      </c>
      <c r="C1967" s="1" t="inlineStr">
        <is>
          <t>032</t>
        </is>
      </c>
      <c r="D1967" s="1" t="inlineStr">
        <is>
          <t>308547</t>
        </is>
      </c>
      <c r="E1967" s="1" t="inlineStr">
        <is>
          <t xml:space="preserve">32457111       </t>
        </is>
      </c>
      <c r="F1967" s="5" t="inlineStr">
        <is>
          <t>TMZ BEAST MACHINES MONSTER JAWS A FRICCION PACK DE</t>
        </is>
      </c>
      <c r="G1967" t="n">
        <v>1</v>
      </c>
      <c r="H1967" s="7" t="n">
        <v>54.9</v>
      </c>
      <c r="I1967" s="7" t="n">
        <v>0</v>
      </c>
      <c r="J1967" s="7" t="n">
        <v>0</v>
      </c>
      <c r="K1967" s="9" t="n">
        <v>0</v>
      </c>
      <c r="L1967" s="10" t="n">
        <v>32.57</v>
      </c>
      <c r="M1967" s="10" t="n">
        <v>1.43</v>
      </c>
      <c r="N1967" t="inlineStr">
        <is>
          <t>1</t>
        </is>
      </c>
      <c r="O1967" t="inlineStr">
        <is>
          <t>16</t>
        </is>
      </c>
      <c r="P1967" t="inlineStr">
        <is>
          <t xml:space="preserve">238588  </t>
        </is>
      </c>
      <c r="Q1967" s="26" t="n">
        <v>74.90000000000001</v>
      </c>
      <c r="R1967" s="26">
        <f>Q1967*G1967</f>
        <v/>
      </c>
      <c r="S1967" t="n">
        <v>44.43</v>
      </c>
      <c r="T1967" s="18">
        <f>1 - V1967/S1967</f>
        <v/>
      </c>
      <c r="U1967" s="18" t="n">
        <v>0.2670226969292391</v>
      </c>
      <c r="V1967" s="26" t="n">
        <v>31.92406779661017</v>
      </c>
      <c r="W1967" s="26">
        <f>V1967 - L1967</f>
        <v/>
      </c>
    </row>
    <row r="1968">
      <c r="A1968" s="11" t="n">
        <v>46222</v>
      </c>
      <c r="B1968" s="1" t="n">
        <v>20072</v>
      </c>
      <c r="C1968" s="1" t="inlineStr">
        <is>
          <t>033</t>
        </is>
      </c>
      <c r="D1968" s="1" t="inlineStr">
        <is>
          <t>285335</t>
        </is>
      </c>
      <c r="E1968" s="1" t="inlineStr">
        <is>
          <t xml:space="preserve">28194767       </t>
        </is>
      </c>
      <c r="F1968" s="5" t="inlineStr">
        <is>
          <t>CAMIONES TEAMSTERZ DE EMERGENCIA</t>
        </is>
      </c>
      <c r="G1968" t="n">
        <v>1</v>
      </c>
      <c r="H1968" s="7" t="n">
        <v>17.9</v>
      </c>
      <c r="I1968" s="7" t="n">
        <v>0</v>
      </c>
      <c r="J1968" s="7" t="n">
        <v>0</v>
      </c>
      <c r="K1968" s="9" t="n">
        <v>0</v>
      </c>
      <c r="L1968" s="10" t="n">
        <v>10.62</v>
      </c>
      <c r="M1968" s="10" t="n">
        <v>1.43</v>
      </c>
      <c r="N1968" t="inlineStr">
        <is>
          <t>1</t>
        </is>
      </c>
      <c r="O1968" t="inlineStr">
        <is>
          <t>16</t>
        </is>
      </c>
      <c r="P1968" t="inlineStr">
        <is>
          <t xml:space="preserve">59850   </t>
        </is>
      </c>
      <c r="Q1968" s="26" t="n">
        <v>17.9</v>
      </c>
      <c r="R1968" s="26">
        <f>Q1968*G1968</f>
        <v/>
      </c>
      <c r="S1968" t="n">
        <v>10.62</v>
      </c>
      <c r="T1968" s="18">
        <f>1 - V1968/S1968</f>
        <v/>
      </c>
      <c r="U1968" s="18" t="n">
        <v>0</v>
      </c>
      <c r="V1968" s="26" t="n">
        <v>10.62</v>
      </c>
      <c r="W1968" s="26">
        <f>V1968 - L1968</f>
        <v/>
      </c>
    </row>
    <row r="1969">
      <c r="A1969" s="11" t="n">
        <v>46222</v>
      </c>
      <c r="B1969" s="1" t="n">
        <v>20073</v>
      </c>
      <c r="C1969" s="1" t="inlineStr">
        <is>
          <t>022</t>
        </is>
      </c>
      <c r="D1969" s="1" t="inlineStr">
        <is>
          <t>295026</t>
        </is>
      </c>
      <c r="E1969" s="1" t="inlineStr">
        <is>
          <t xml:space="preserve">28194770       </t>
        </is>
      </c>
      <c r="F1969" s="5" t="inlineStr">
        <is>
          <t>AUTOS DE METAL 3 TEAMSTERZ EN BLISTER</t>
        </is>
      </c>
      <c r="G1969" t="n">
        <v>1</v>
      </c>
      <c r="H1969" s="7" t="n">
        <v>6.9</v>
      </c>
      <c r="I1969" s="7" t="n">
        <v>0</v>
      </c>
      <c r="J1969" s="7" t="n">
        <v>0</v>
      </c>
      <c r="K1969" s="9" t="n">
        <v>0</v>
      </c>
      <c r="L1969" s="10" t="n">
        <v>4.1</v>
      </c>
      <c r="M1969" s="10" t="n">
        <v>1.43</v>
      </c>
      <c r="N1969" t="inlineStr">
        <is>
          <t>1</t>
        </is>
      </c>
      <c r="O1969" t="inlineStr">
        <is>
          <t xml:space="preserve">2 </t>
        </is>
      </c>
      <c r="P1969" t="inlineStr">
        <is>
          <t xml:space="preserve">250462  </t>
        </is>
      </c>
      <c r="Q1969" s="26" t="n">
        <v>6.9</v>
      </c>
      <c r="R1969" s="26">
        <f>Q1969*G1969</f>
        <v/>
      </c>
      <c r="S1969" t="n">
        <v>4.09</v>
      </c>
      <c r="T1969" s="18">
        <f>1 - V1969/S1969</f>
        <v/>
      </c>
      <c r="U1969" s="18" t="n">
        <v>0</v>
      </c>
      <c r="V1969" s="26" t="n">
        <v>4.09</v>
      </c>
      <c r="W1969" s="26">
        <f>V1969 - L1969</f>
        <v/>
      </c>
    </row>
    <row r="1970">
      <c r="A1970" s="11" t="n">
        <v>46222</v>
      </c>
      <c r="B1970" s="1" t="n">
        <v>20073</v>
      </c>
      <c r="C1970" s="1" t="inlineStr">
        <is>
          <t>045</t>
        </is>
      </c>
      <c r="D1970" s="1" t="inlineStr">
        <is>
          <t>149721</t>
        </is>
      </c>
      <c r="E1970" s="1" t="inlineStr">
        <is>
          <t xml:space="preserve">28194784       </t>
        </is>
      </c>
      <c r="F1970" s="5" t="inlineStr">
        <is>
          <t>SET DE ACROBACIAS INFINITY NADO CON TROMPO</t>
        </is>
      </c>
      <c r="G1970" t="n">
        <v>1</v>
      </c>
      <c r="H1970" s="7" t="n">
        <v>139</v>
      </c>
      <c r="I1970" s="7" t="n">
        <v>13.9</v>
      </c>
      <c r="J1970" s="7" t="n">
        <v>0</v>
      </c>
      <c r="K1970" s="9" t="n">
        <v>13.9</v>
      </c>
      <c r="L1970" s="10" t="n">
        <v>74.20999999999999</v>
      </c>
      <c r="M1970" s="10" t="n">
        <v>1.43</v>
      </c>
      <c r="N1970" t="inlineStr">
        <is>
          <t>1</t>
        </is>
      </c>
      <c r="O1970" t="inlineStr">
        <is>
          <t xml:space="preserve">3 </t>
        </is>
      </c>
      <c r="P1970" t="inlineStr">
        <is>
          <t xml:space="preserve">74879   </t>
        </is>
      </c>
      <c r="Q1970" s="26" t="n">
        <v>179</v>
      </c>
      <c r="R1970" s="26">
        <f>Q1970*G1970</f>
        <v/>
      </c>
      <c r="S1970" t="n">
        <v>106.19</v>
      </c>
      <c r="T1970" s="18">
        <f>1 - V1970/S1970</f>
        <v/>
      </c>
      <c r="U1970" s="18" t="n">
        <v>0.223463687150838</v>
      </c>
      <c r="V1970" s="26" t="n">
        <v>88.34745762711864</v>
      </c>
      <c r="W1970" s="26">
        <f>V1970 - L1970</f>
        <v/>
      </c>
    </row>
    <row r="1971">
      <c r="A1971" s="11" t="n">
        <v>46222</v>
      </c>
      <c r="B1971" s="1" t="n">
        <v>20073</v>
      </c>
      <c r="C1971" s="1" t="inlineStr">
        <is>
          <t>045</t>
        </is>
      </c>
      <c r="D1971" s="1" t="inlineStr">
        <is>
          <t>149723</t>
        </is>
      </c>
      <c r="E1971" s="1" t="inlineStr">
        <is>
          <t xml:space="preserve">28194770       </t>
        </is>
      </c>
      <c r="F1971" s="5" t="inlineStr">
        <is>
          <t>AUTOS DE METAL 3 TEAMSTERZ EN BLISTER</t>
        </is>
      </c>
      <c r="G1971" t="n">
        <v>1</v>
      </c>
      <c r="H1971" s="7" t="n">
        <v>6.9</v>
      </c>
      <c r="I1971" s="7" t="n">
        <v>0</v>
      </c>
      <c r="J1971" s="7" t="n">
        <v>0</v>
      </c>
      <c r="K1971" s="9" t="n">
        <v>0</v>
      </c>
      <c r="L1971" s="10" t="n">
        <v>4.1</v>
      </c>
      <c r="M1971" s="10" t="n">
        <v>1.43</v>
      </c>
      <c r="N1971" t="inlineStr">
        <is>
          <t>1</t>
        </is>
      </c>
      <c r="O1971" t="inlineStr">
        <is>
          <t>16</t>
        </is>
      </c>
      <c r="P1971" t="inlineStr">
        <is>
          <t xml:space="preserve">74879   </t>
        </is>
      </c>
      <c r="Q1971" s="26" t="n">
        <v>6.9</v>
      </c>
      <c r="R1971" s="26">
        <f>Q1971*G1971</f>
        <v/>
      </c>
      <c r="S1971" t="n">
        <v>4.09</v>
      </c>
      <c r="T1971" s="18">
        <f>1 - V1971/S1971</f>
        <v/>
      </c>
      <c r="U1971" s="18" t="n">
        <v>0</v>
      </c>
      <c r="V1971" s="26" t="n">
        <v>4.09</v>
      </c>
      <c r="W1971" s="26">
        <f>V1971 - L1971</f>
        <v/>
      </c>
    </row>
    <row r="1972">
      <c r="A1972" s="11" t="n">
        <v>46222</v>
      </c>
      <c r="B1972" s="1" t="n">
        <v>20073</v>
      </c>
      <c r="C1972" s="1" t="inlineStr">
        <is>
          <t>045</t>
        </is>
      </c>
      <c r="D1972" s="1" t="inlineStr">
        <is>
          <t>149724</t>
        </is>
      </c>
      <c r="E1972" s="1" t="inlineStr">
        <is>
          <t xml:space="preserve">28194769       </t>
        </is>
      </c>
      <c r="F1972" s="5" t="inlineStr">
        <is>
          <t>AUTOS DE METAL 3 TEAMSTERZ PACK DE 2</t>
        </is>
      </c>
      <c r="G1972" t="n">
        <v>1</v>
      </c>
      <c r="H1972" s="7" t="n">
        <v>13.8</v>
      </c>
      <c r="I1972" s="7" t="n">
        <v>0</v>
      </c>
      <c r="J1972" s="7" t="n">
        <v>0</v>
      </c>
      <c r="K1972" s="9" t="n">
        <v>0</v>
      </c>
      <c r="L1972" s="10" t="n">
        <v>8.18</v>
      </c>
      <c r="M1972" s="10" t="n">
        <v>1.43</v>
      </c>
      <c r="N1972" t="inlineStr">
        <is>
          <t>1</t>
        </is>
      </c>
      <c r="O1972" t="inlineStr">
        <is>
          <t xml:space="preserve">2 </t>
        </is>
      </c>
      <c r="P1972" t="inlineStr">
        <is>
          <t xml:space="preserve">74879   </t>
        </is>
      </c>
      <c r="Q1972" s="26" t="n">
        <v>13.8</v>
      </c>
      <c r="R1972" s="26">
        <f>Q1972*G1972</f>
        <v/>
      </c>
      <c r="S1972" t="n">
        <v>8.19</v>
      </c>
      <c r="T1972" s="18">
        <f>1 - V1972/S1972</f>
        <v/>
      </c>
      <c r="U1972" s="18" t="n">
        <v>0</v>
      </c>
      <c r="V1972" s="26" t="n">
        <v>8.19</v>
      </c>
      <c r="W1972" s="26">
        <f>V1972 - L1972</f>
        <v/>
      </c>
    </row>
    <row r="1973">
      <c r="A1973" s="11" t="n">
        <v>46222</v>
      </c>
      <c r="B1973" s="1" t="n">
        <v>20073</v>
      </c>
      <c r="C1973" s="1" t="inlineStr">
        <is>
          <t>046</t>
        </is>
      </c>
      <c r="D1973" s="1" t="inlineStr">
        <is>
          <t>207706</t>
        </is>
      </c>
      <c r="E1973" s="1" t="inlineStr">
        <is>
          <t xml:space="preserve">32457099       </t>
        </is>
      </c>
      <c r="F1973" s="5" t="inlineStr">
        <is>
          <t>TMZ BEAST MACHINES MONSTER JAWS A FRICCION BLISTER</t>
        </is>
      </c>
      <c r="G1973" t="n">
        <v>1</v>
      </c>
      <c r="H1973" s="7" t="n">
        <v>17.9</v>
      </c>
      <c r="I1973" s="7" t="n">
        <v>0</v>
      </c>
      <c r="J1973" s="7" t="n">
        <v>0</v>
      </c>
      <c r="K1973" s="9" t="n">
        <v>0</v>
      </c>
      <c r="L1973" s="10" t="n">
        <v>10.62</v>
      </c>
      <c r="M1973" s="10" t="n">
        <v>1.43</v>
      </c>
      <c r="N1973" t="inlineStr">
        <is>
          <t>1</t>
        </is>
      </c>
      <c r="O1973" t="inlineStr">
        <is>
          <t xml:space="preserve">2 </t>
        </is>
      </c>
      <c r="P1973" t="inlineStr">
        <is>
          <t xml:space="preserve">57886   </t>
        </is>
      </c>
      <c r="Q1973" s="26" t="n">
        <v>19.9</v>
      </c>
      <c r="R1973" s="26">
        <f>Q1973*G1973</f>
        <v/>
      </c>
      <c r="S1973" t="n">
        <v>11.81</v>
      </c>
      <c r="T1973" s="18">
        <f>1 - V1973/S1973</f>
        <v/>
      </c>
      <c r="U1973" s="18" t="n">
        <v>0.1005025125628141</v>
      </c>
      <c r="V1973" s="26" t="n">
        <v>8.417118644067797</v>
      </c>
      <c r="W1973" s="26">
        <f>V1973 - L1973</f>
        <v/>
      </c>
    </row>
    <row r="1974">
      <c r="A1974" s="11" t="n">
        <v>46222</v>
      </c>
      <c r="B1974" s="1" t="n">
        <v>20077</v>
      </c>
      <c r="C1974" s="1" t="inlineStr">
        <is>
          <t>029</t>
        </is>
      </c>
      <c r="D1974" s="1" t="inlineStr">
        <is>
          <t>156426</t>
        </is>
      </c>
      <c r="E1974" s="1" t="inlineStr">
        <is>
          <t xml:space="preserve">34840550       </t>
        </is>
      </c>
      <c r="F1974" s="5" t="inlineStr">
        <is>
          <t>TEAMSTERZ M/MOVERZ TRANSPORTA GORILA</t>
        </is>
      </c>
      <c r="G1974" t="n">
        <v>1</v>
      </c>
      <c r="H1974" s="7" t="n">
        <v>129</v>
      </c>
      <c r="I1974" s="7" t="n">
        <v>0</v>
      </c>
      <c r="J1974" s="7" t="n">
        <v>0</v>
      </c>
      <c r="K1974" s="9" t="n">
        <v>0</v>
      </c>
      <c r="L1974" s="10" t="n">
        <v>76.52</v>
      </c>
      <c r="M1974" s="10" t="n">
        <v>1.43</v>
      </c>
      <c r="N1974" t="inlineStr">
        <is>
          <t>1</t>
        </is>
      </c>
      <c r="O1974" t="inlineStr">
        <is>
          <t>16</t>
        </is>
      </c>
      <c r="P1974" t="inlineStr">
        <is>
          <t xml:space="preserve">48922   </t>
        </is>
      </c>
      <c r="Q1974" s="26" t="n">
        <v>129</v>
      </c>
      <c r="R1974" s="26">
        <f>Q1974*G1974</f>
        <v/>
      </c>
      <c r="S1974" t="n">
        <v>76.53</v>
      </c>
      <c r="T1974" s="18">
        <f>1 - V1974/S1974</f>
        <v/>
      </c>
      <c r="U1974" s="18" t="n">
        <v>0</v>
      </c>
      <c r="V1974" s="26" t="n">
        <v>76.53</v>
      </c>
      <c r="W1974" s="26">
        <f>V1974 - L1974</f>
        <v/>
      </c>
    </row>
    <row r="1975">
      <c r="A1975" s="11" t="n">
        <v>46222</v>
      </c>
      <c r="B1975" s="1" t="n">
        <v>20077</v>
      </c>
      <c r="C1975" s="1" t="inlineStr">
        <is>
          <t>029</t>
        </is>
      </c>
      <c r="D1975" s="1" t="inlineStr">
        <is>
          <t>156470</t>
        </is>
      </c>
      <c r="E1975" s="1" t="inlineStr">
        <is>
          <t xml:space="preserve">30141766       </t>
        </is>
      </c>
      <c r="F1975" s="5" t="inlineStr">
        <is>
          <t>TMZ BEAST MACHINES AUTOS DE METAL BLISTER X 1</t>
        </is>
      </c>
      <c r="G1975" t="n">
        <v>1</v>
      </c>
      <c r="H1975" s="7" t="n">
        <v>7.9</v>
      </c>
      <c r="I1975" s="7" t="n">
        <v>0</v>
      </c>
      <c r="J1975" s="7" t="n">
        <v>0</v>
      </c>
      <c r="K1975" s="9" t="n">
        <v>0</v>
      </c>
      <c r="L1975" s="10" t="n">
        <v>4.68</v>
      </c>
      <c r="M1975" s="10" t="n">
        <v>1.43</v>
      </c>
      <c r="N1975" t="inlineStr">
        <is>
          <t>1</t>
        </is>
      </c>
      <c r="O1975" t="inlineStr">
        <is>
          <t xml:space="preserve">2 </t>
        </is>
      </c>
      <c r="P1975" t="inlineStr">
        <is>
          <t xml:space="preserve">48922   </t>
        </is>
      </c>
      <c r="Q1975" s="26" t="n">
        <v>7.9</v>
      </c>
      <c r="R1975" s="26">
        <f>Q1975*G1975</f>
        <v/>
      </c>
      <c r="S1975" t="n">
        <v>4.69</v>
      </c>
      <c r="T1975" s="18">
        <f>1 - V1975/S1975</f>
        <v/>
      </c>
      <c r="U1975" s="18" t="n">
        <v>0</v>
      </c>
      <c r="V1975" s="26" t="n">
        <v>4.69</v>
      </c>
      <c r="W1975" s="26">
        <f>V1975 - L1975</f>
        <v/>
      </c>
    </row>
    <row r="1976">
      <c r="A1976" s="11" t="n">
        <v>46222</v>
      </c>
      <c r="B1976" s="1" t="n">
        <v>20077</v>
      </c>
      <c r="C1976" s="1" t="inlineStr">
        <is>
          <t>029</t>
        </is>
      </c>
      <c r="D1976" s="1" t="inlineStr">
        <is>
          <t>156490</t>
        </is>
      </c>
      <c r="E1976" s="1" t="inlineStr">
        <is>
          <t xml:space="preserve">28194770       </t>
        </is>
      </c>
      <c r="F1976" s="5" t="inlineStr">
        <is>
          <t>AUTOS DE METAL 3 TEAMSTERZ EN BLISTER</t>
        </is>
      </c>
      <c r="G1976" t="n">
        <v>1</v>
      </c>
      <c r="H1976" s="7" t="n">
        <v>6.9</v>
      </c>
      <c r="I1976" s="7" t="n">
        <v>0</v>
      </c>
      <c r="J1976" s="7" t="n">
        <v>0</v>
      </c>
      <c r="K1976" s="9" t="n">
        <v>0</v>
      </c>
      <c r="L1976" s="10" t="n">
        <v>4.1</v>
      </c>
      <c r="M1976" s="10" t="n">
        <v>1.43</v>
      </c>
      <c r="N1976" t="inlineStr">
        <is>
          <t>1</t>
        </is>
      </c>
      <c r="O1976" t="inlineStr">
        <is>
          <t>16</t>
        </is>
      </c>
      <c r="P1976" t="inlineStr">
        <is>
          <t xml:space="preserve">48922   </t>
        </is>
      </c>
      <c r="Q1976" s="26" t="n">
        <v>6.9</v>
      </c>
      <c r="R1976" s="26">
        <f>Q1976*G1976</f>
        <v/>
      </c>
      <c r="S1976" t="n">
        <v>4.09</v>
      </c>
      <c r="T1976" s="18">
        <f>1 - V1976/S1976</f>
        <v/>
      </c>
      <c r="U1976" s="18" t="n">
        <v>0</v>
      </c>
      <c r="V1976" s="26" t="n">
        <v>4.09</v>
      </c>
      <c r="W1976" s="26">
        <f>V1976 - L1976</f>
        <v/>
      </c>
    </row>
    <row r="1977">
      <c r="A1977" s="11" t="n">
        <v>46222</v>
      </c>
      <c r="B1977" s="1" t="n">
        <v>20077</v>
      </c>
      <c r="C1977" s="1" t="inlineStr">
        <is>
          <t>029</t>
        </is>
      </c>
      <c r="D1977" s="1" t="inlineStr">
        <is>
          <t>156512</t>
        </is>
      </c>
      <c r="E1977" s="1" t="inlineStr">
        <is>
          <t xml:space="preserve">30232284       </t>
        </is>
      </c>
      <c r="F1977" s="5" t="inlineStr">
        <is>
          <t>INFINITY NADO TROMPO DE BATALLA - METAL C/PUNTA DE</t>
        </is>
      </c>
      <c r="G1977" t="n">
        <v>1</v>
      </c>
      <c r="H1977" s="7" t="n">
        <v>34.9</v>
      </c>
      <c r="I1977" s="7" t="n">
        <v>0</v>
      </c>
      <c r="J1977" s="7" t="n">
        <v>0</v>
      </c>
      <c r="K1977" s="9" t="n">
        <v>0</v>
      </c>
      <c r="L1977" s="10" t="n">
        <v>20.71</v>
      </c>
      <c r="M1977" s="10" t="n">
        <v>1.43</v>
      </c>
      <c r="N1977" t="inlineStr">
        <is>
          <t>1</t>
        </is>
      </c>
      <c r="O1977" t="inlineStr">
        <is>
          <t>16</t>
        </is>
      </c>
      <c r="P1977" t="inlineStr">
        <is>
          <t xml:space="preserve">250449  </t>
        </is>
      </c>
      <c r="Q1977" s="26" t="n">
        <v>49.9</v>
      </c>
      <c r="R1977" s="26">
        <f>Q1977*G1977</f>
        <v/>
      </c>
      <c r="S1977" t="n">
        <v>29.6</v>
      </c>
      <c r="T1977" s="18">
        <f>1 - V1977/S1977</f>
        <v/>
      </c>
      <c r="U1977" s="18" t="n">
        <v>0.3006012024048096</v>
      </c>
      <c r="V1977" s="26" t="n">
        <v>22.18220338983051</v>
      </c>
      <c r="W1977" s="26">
        <f>V1977 - L1977</f>
        <v/>
      </c>
    </row>
    <row r="1978">
      <c r="A1978" s="11" t="n">
        <v>46222</v>
      </c>
      <c r="B1978" s="1" t="n">
        <v>20077</v>
      </c>
      <c r="C1978" s="1" t="inlineStr">
        <is>
          <t>030</t>
        </is>
      </c>
      <c r="D1978" s="1" t="inlineStr">
        <is>
          <t xml:space="preserve">40929 </t>
        </is>
      </c>
      <c r="E1978" s="1" t="inlineStr">
        <is>
          <t xml:space="preserve">28194769       </t>
        </is>
      </c>
      <c r="F1978" s="5" t="inlineStr">
        <is>
          <t>AUTOS DE METAL 3 TEAMSTERZ PACK DE 2</t>
        </is>
      </c>
      <c r="G1978" t="n">
        <v>1</v>
      </c>
      <c r="H1978" s="7" t="n">
        <v>13.8</v>
      </c>
      <c r="I1978" s="7" t="n">
        <v>0</v>
      </c>
      <c r="J1978" s="7" t="n">
        <v>0</v>
      </c>
      <c r="K1978" s="9" t="n">
        <v>0</v>
      </c>
      <c r="L1978" s="10" t="n">
        <v>8.18</v>
      </c>
      <c r="M1978" s="10" t="n">
        <v>1.43</v>
      </c>
      <c r="N1978" t="inlineStr">
        <is>
          <t>1</t>
        </is>
      </c>
      <c r="O1978" t="inlineStr">
        <is>
          <t>16</t>
        </is>
      </c>
      <c r="P1978" t="inlineStr">
        <is>
          <t xml:space="preserve">244089  </t>
        </is>
      </c>
      <c r="Q1978" s="26" t="n">
        <v>13.8</v>
      </c>
      <c r="R1978" s="26">
        <f>Q1978*G1978</f>
        <v/>
      </c>
      <c r="S1978" t="n">
        <v>8.19</v>
      </c>
      <c r="T1978" s="18">
        <f>1 - V1978/S1978</f>
        <v/>
      </c>
      <c r="U1978" s="18" t="n">
        <v>0</v>
      </c>
      <c r="V1978" s="26" t="n">
        <v>8.19</v>
      </c>
      <c r="W1978" s="26">
        <f>V1978 - L1978</f>
        <v/>
      </c>
    </row>
    <row r="1979">
      <c r="A1979" s="11" t="n">
        <v>46222</v>
      </c>
      <c r="B1979" s="1" t="n">
        <v>20077</v>
      </c>
      <c r="C1979" s="1" t="inlineStr">
        <is>
          <t>030</t>
        </is>
      </c>
      <c r="D1979" s="1" t="inlineStr">
        <is>
          <t xml:space="preserve">40985 </t>
        </is>
      </c>
      <c r="E1979" s="1" t="inlineStr">
        <is>
          <t xml:space="preserve">28194770       </t>
        </is>
      </c>
      <c r="F1979" s="5" t="inlineStr">
        <is>
          <t>AUTOS DE METAL 3 TEAMSTERZ EN BLISTER</t>
        </is>
      </c>
      <c r="G1979" t="n">
        <v>1</v>
      </c>
      <c r="H1979" s="7" t="n">
        <v>6.9</v>
      </c>
      <c r="I1979" s="7" t="n">
        <v>0.6899999999999999</v>
      </c>
      <c r="J1979" s="7" t="n">
        <v>0</v>
      </c>
      <c r="K1979" s="9" t="n">
        <v>0.6899999999999999</v>
      </c>
      <c r="L1979" s="10" t="n">
        <v>3.68</v>
      </c>
      <c r="M1979" s="10" t="n">
        <v>1.43</v>
      </c>
      <c r="N1979" t="inlineStr">
        <is>
          <t>1</t>
        </is>
      </c>
      <c r="O1979" t="inlineStr">
        <is>
          <t xml:space="preserve">3 </t>
        </is>
      </c>
      <c r="P1979" t="inlineStr">
        <is>
          <t xml:space="preserve">244089  </t>
        </is>
      </c>
      <c r="Q1979" s="26" t="n">
        <v>6.9</v>
      </c>
      <c r="R1979" s="26">
        <f>Q1979*G1979</f>
        <v/>
      </c>
      <c r="S1979" t="n">
        <v>4.09</v>
      </c>
      <c r="T1979" s="18">
        <f>1 - V1979/S1979</f>
        <v/>
      </c>
      <c r="U1979" s="18" t="n">
        <v>0</v>
      </c>
      <c r="V1979" s="26" t="n">
        <v>4.09</v>
      </c>
      <c r="W1979" s="26">
        <f>V1979 - L1979</f>
        <v/>
      </c>
    </row>
    <row r="1980">
      <c r="A1980" s="11" t="n">
        <v>46222</v>
      </c>
      <c r="B1980" s="1" t="n">
        <v>20077</v>
      </c>
      <c r="C1980" s="1" t="inlineStr">
        <is>
          <t>031</t>
        </is>
      </c>
      <c r="D1980" s="1" t="inlineStr">
        <is>
          <t>186526</t>
        </is>
      </c>
      <c r="E1980" s="1" t="inlineStr">
        <is>
          <t xml:space="preserve">30141766       </t>
        </is>
      </c>
      <c r="F1980" s="5" t="inlineStr">
        <is>
          <t>TMZ BEAST MACHINES AUTOS DE METAL BLISTER X 1</t>
        </is>
      </c>
      <c r="G1980" t="n">
        <v>1</v>
      </c>
      <c r="H1980" s="7" t="n">
        <v>7.9</v>
      </c>
      <c r="I1980" s="7" t="n">
        <v>0</v>
      </c>
      <c r="J1980" s="7" t="n">
        <v>0</v>
      </c>
      <c r="K1980" s="9" t="n">
        <v>0</v>
      </c>
      <c r="L1980" s="10" t="n">
        <v>4.68</v>
      </c>
      <c r="M1980" s="10" t="n">
        <v>1.43</v>
      </c>
      <c r="N1980" t="inlineStr">
        <is>
          <t>1</t>
        </is>
      </c>
      <c r="O1980" t="inlineStr">
        <is>
          <t>16</t>
        </is>
      </c>
      <c r="P1980" t="inlineStr">
        <is>
          <t xml:space="preserve">238746  </t>
        </is>
      </c>
      <c r="Q1980" s="26" t="n">
        <v>7.9</v>
      </c>
      <c r="R1980" s="26">
        <f>Q1980*G1980</f>
        <v/>
      </c>
      <c r="S1980" t="n">
        <v>4.69</v>
      </c>
      <c r="T1980" s="18">
        <f>1 - V1980/S1980</f>
        <v/>
      </c>
      <c r="U1980" s="18" t="n">
        <v>0</v>
      </c>
      <c r="V1980" s="26" t="n">
        <v>4.69</v>
      </c>
      <c r="W1980" s="26">
        <f>V1980 - L1980</f>
        <v/>
      </c>
    </row>
    <row r="1981">
      <c r="A1981" s="11" t="n">
        <v>46222</v>
      </c>
      <c r="B1981" s="1" t="n">
        <v>20077</v>
      </c>
      <c r="C1981" s="1" t="inlineStr">
        <is>
          <t>031</t>
        </is>
      </c>
      <c r="D1981" s="1" t="inlineStr">
        <is>
          <t>186534</t>
        </is>
      </c>
      <c r="E1981" s="1" t="inlineStr">
        <is>
          <t xml:space="preserve">28194770       </t>
        </is>
      </c>
      <c r="F1981" s="5" t="inlineStr">
        <is>
          <t>AUTOS DE METAL 3 TEAMSTERZ EN BLISTER</t>
        </is>
      </c>
      <c r="G1981" t="n">
        <v>1</v>
      </c>
      <c r="H1981" s="7" t="n">
        <v>6.9</v>
      </c>
      <c r="I1981" s="7" t="n">
        <v>0</v>
      </c>
      <c r="J1981" s="7" t="n">
        <v>0</v>
      </c>
      <c r="K1981" s="9" t="n">
        <v>0</v>
      </c>
      <c r="L1981" s="10" t="n">
        <v>4.1</v>
      </c>
      <c r="M1981" s="10" t="n">
        <v>1.43</v>
      </c>
      <c r="N1981" t="inlineStr">
        <is>
          <t>1</t>
        </is>
      </c>
      <c r="O1981" t="inlineStr">
        <is>
          <t xml:space="preserve">2 </t>
        </is>
      </c>
      <c r="P1981" t="inlineStr">
        <is>
          <t xml:space="preserve">64865   </t>
        </is>
      </c>
      <c r="Q1981" s="26" t="n">
        <v>6.9</v>
      </c>
      <c r="R1981" s="26">
        <f>Q1981*G1981</f>
        <v/>
      </c>
      <c r="S1981" t="n">
        <v>4.09</v>
      </c>
      <c r="T1981" s="18">
        <f>1 - V1981/S1981</f>
        <v/>
      </c>
      <c r="U1981" s="18" t="n">
        <v>0</v>
      </c>
      <c r="V1981" s="26" t="n">
        <v>4.09</v>
      </c>
      <c r="W1981" s="26">
        <f>V1981 - L1981</f>
        <v/>
      </c>
    </row>
    <row r="1982">
      <c r="A1982" s="11" t="n">
        <v>46222</v>
      </c>
      <c r="B1982" s="1" t="n">
        <v>20080</v>
      </c>
      <c r="C1982" s="1" t="inlineStr">
        <is>
          <t>025</t>
        </is>
      </c>
      <c r="D1982" s="1" t="inlineStr">
        <is>
          <t xml:space="preserve">233   </t>
        </is>
      </c>
      <c r="E1982" s="1" t="inlineStr">
        <is>
          <t xml:space="preserve">33483117       </t>
        </is>
      </c>
      <c r="F1982" s="5" t="inlineStr">
        <is>
          <t>MUNECA EVI LOVE SAFARI+VEHIC.+2 BB ANIMAL+ACC.</t>
        </is>
      </c>
      <c r="G1982" t="n">
        <v>1</v>
      </c>
      <c r="H1982" s="7" t="n">
        <v>35.94</v>
      </c>
      <c r="I1982" s="7" t="n">
        <v>0</v>
      </c>
      <c r="J1982" s="7" t="n">
        <v>0</v>
      </c>
      <c r="K1982" s="9" t="n">
        <v>0</v>
      </c>
      <c r="L1982" s="10" t="n">
        <v>21.32</v>
      </c>
      <c r="M1982" s="10" t="n">
        <v>1.43</v>
      </c>
      <c r="N1982" t="inlineStr">
        <is>
          <t>1</t>
        </is>
      </c>
      <c r="O1982" t="inlineStr">
        <is>
          <t>16</t>
        </is>
      </c>
      <c r="P1982" t="inlineStr">
        <is>
          <t xml:space="preserve">247625  </t>
        </is>
      </c>
      <c r="Q1982" s="26" t="n">
        <v>59.9</v>
      </c>
      <c r="R1982" s="26">
        <f>Q1982*G1982</f>
        <v/>
      </c>
      <c r="S1982" t="n">
        <v>35.53</v>
      </c>
      <c r="T1982" s="18">
        <f>1 - V1982/S1982</f>
        <v/>
      </c>
      <c r="U1982" s="18" t="n">
        <v>0.4</v>
      </c>
      <c r="V1982" s="26" t="n">
        <v>27.41186440677966</v>
      </c>
      <c r="W1982" s="26">
        <f>V1982 - L1982</f>
        <v/>
      </c>
    </row>
    <row r="1983">
      <c r="A1983" s="11" t="n">
        <v>46222</v>
      </c>
      <c r="B1983" s="1" t="n">
        <v>20086</v>
      </c>
      <c r="C1983" s="1" t="inlineStr">
        <is>
          <t>022</t>
        </is>
      </c>
      <c r="D1983" s="1" t="inlineStr">
        <is>
          <t>113179</t>
        </is>
      </c>
      <c r="E1983" s="1" t="inlineStr">
        <is>
          <t xml:space="preserve">29854053       </t>
        </is>
      </c>
      <c r="F1983" s="5" t="inlineStr">
        <is>
          <t>PINYPON CARRO Y MOTO CON CARRO LATERAL SURTIDO</t>
        </is>
      </c>
      <c r="G1983" t="n">
        <v>1</v>
      </c>
      <c r="H1983" s="7" t="n">
        <v>41.94</v>
      </c>
      <c r="I1983" s="7" t="n">
        <v>4.19</v>
      </c>
      <c r="J1983" s="7" t="n">
        <v>0</v>
      </c>
      <c r="K1983" s="9" t="n">
        <v>4.19</v>
      </c>
      <c r="L1983" s="10" t="n">
        <v>22.39</v>
      </c>
      <c r="M1983" s="10" t="n">
        <v>1.43</v>
      </c>
      <c r="N1983" t="inlineStr">
        <is>
          <t>1</t>
        </is>
      </c>
      <c r="O1983" t="inlineStr">
        <is>
          <t xml:space="preserve">3 </t>
        </is>
      </c>
      <c r="P1983" t="inlineStr">
        <is>
          <t xml:space="preserve">243254  </t>
        </is>
      </c>
      <c r="Q1983" s="26" t="n">
        <v>69.90000000000001</v>
      </c>
      <c r="R1983" s="26">
        <f>Q1983*G1983</f>
        <v/>
      </c>
      <c r="S1983" t="n">
        <v>41.47</v>
      </c>
      <c r="T1983" s="18">
        <f>1 - V1983/S1983</f>
        <v/>
      </c>
      <c r="U1983" s="18" t="n">
        <v>0.4000000000000001</v>
      </c>
      <c r="V1983" s="26" t="n">
        <v>28.43389830508475</v>
      </c>
      <c r="W1983" s="26">
        <f>V1983 - L1983</f>
        <v/>
      </c>
    </row>
    <row r="1984">
      <c r="A1984" s="11" t="n">
        <v>46222</v>
      </c>
      <c r="B1984" s="1" t="n">
        <v>20086</v>
      </c>
      <c r="C1984" s="1" t="inlineStr">
        <is>
          <t>023</t>
        </is>
      </c>
      <c r="D1984" s="1" t="inlineStr">
        <is>
          <t xml:space="preserve">47662 </t>
        </is>
      </c>
      <c r="E1984" s="1" t="inlineStr">
        <is>
          <t xml:space="preserve">28194770       </t>
        </is>
      </c>
      <c r="F1984" s="5" t="inlineStr">
        <is>
          <t>AUTOS DE METAL 3 TEAMSTERZ EN BLISTER</t>
        </is>
      </c>
      <c r="G1984" t="n">
        <v>1</v>
      </c>
      <c r="H1984" s="7" t="n">
        <v>6.9</v>
      </c>
      <c r="I1984" s="7" t="n">
        <v>0</v>
      </c>
      <c r="J1984" s="7" t="n">
        <v>0</v>
      </c>
      <c r="K1984" s="9" t="n">
        <v>0</v>
      </c>
      <c r="L1984" s="10" t="n">
        <v>4.1</v>
      </c>
      <c r="M1984" s="10" t="n">
        <v>1.43</v>
      </c>
      <c r="N1984" t="inlineStr">
        <is>
          <t>1</t>
        </is>
      </c>
      <c r="O1984" t="inlineStr">
        <is>
          <t>16</t>
        </is>
      </c>
      <c r="P1984" t="inlineStr">
        <is>
          <t xml:space="preserve">250782  </t>
        </is>
      </c>
      <c r="Q1984" s="26" t="n">
        <v>6.9</v>
      </c>
      <c r="R1984" s="26">
        <f>Q1984*G1984</f>
        <v/>
      </c>
      <c r="S1984" t="n">
        <v>4.09</v>
      </c>
      <c r="T1984" s="18">
        <f>1 - V1984/S1984</f>
        <v/>
      </c>
      <c r="U1984" s="18" t="n">
        <v>0</v>
      </c>
      <c r="V1984" s="26" t="n">
        <v>4.09</v>
      </c>
      <c r="W1984" s="26">
        <f>V1984 - L1984</f>
        <v/>
      </c>
    </row>
    <row r="1985">
      <c r="A1985" s="11" t="n">
        <v>46222</v>
      </c>
      <c r="B1985" s="1" t="n">
        <v>20086</v>
      </c>
      <c r="C1985" s="1" t="inlineStr">
        <is>
          <t>192</t>
        </is>
      </c>
      <c r="D1985" s="1" t="inlineStr">
        <is>
          <t>129224</t>
        </is>
      </c>
      <c r="E1985" s="1" t="inlineStr">
        <is>
          <t xml:space="preserve">29235701       </t>
        </is>
      </c>
      <c r="F1985" s="5" t="inlineStr">
        <is>
          <t>INFINITY NADO TROMPO DE BATALLA - METAL EN CAJA</t>
        </is>
      </c>
      <c r="G1985" t="n">
        <v>1</v>
      </c>
      <c r="H1985" s="7" t="n">
        <v>29.9</v>
      </c>
      <c r="I1985" s="7" t="n">
        <v>0</v>
      </c>
      <c r="J1985" s="7" t="n">
        <v>0</v>
      </c>
      <c r="K1985" s="9" t="n">
        <v>0</v>
      </c>
      <c r="L1985" s="10" t="n">
        <v>17.74</v>
      </c>
      <c r="M1985" s="10" t="n">
        <v>1.43</v>
      </c>
      <c r="N1985" t="inlineStr">
        <is>
          <t>1</t>
        </is>
      </c>
      <c r="O1985" t="inlineStr">
        <is>
          <t>16</t>
        </is>
      </c>
      <c r="P1985" t="inlineStr">
        <is>
          <t xml:space="preserve">95768   </t>
        </is>
      </c>
      <c r="Q1985" s="26" t="n">
        <v>39.9</v>
      </c>
      <c r="R1985" s="26">
        <f>Q1985*G1985</f>
        <v/>
      </c>
      <c r="S1985" t="n">
        <v>23.67</v>
      </c>
      <c r="T1985" s="18">
        <f>1 - V1985/S1985</f>
        <v/>
      </c>
      <c r="U1985" s="18" t="n">
        <v>0.2506265664160401</v>
      </c>
      <c r="V1985" s="26" t="n">
        <v>19.00423728813559</v>
      </c>
      <c r="W1985" s="26">
        <f>V1985 - L1985</f>
        <v/>
      </c>
    </row>
    <row r="1986">
      <c r="A1986" s="11" t="n">
        <v>46222</v>
      </c>
      <c r="B1986" s="1" t="n">
        <v>20088</v>
      </c>
      <c r="C1986" s="1" t="inlineStr">
        <is>
          <t>021</t>
        </is>
      </c>
      <c r="D1986" s="1" t="inlineStr">
        <is>
          <t xml:space="preserve">49542 </t>
        </is>
      </c>
      <c r="E1986" s="1" t="inlineStr">
        <is>
          <t xml:space="preserve">33483121       </t>
        </is>
      </c>
      <c r="F1986" s="5" t="inlineStr">
        <is>
          <t>HOT WHEELS ESTUCHE PARA 15 AUTOS SURTIDO</t>
        </is>
      </c>
      <c r="G1986" t="n">
        <v>1</v>
      </c>
      <c r="H1986" s="7" t="n">
        <v>34.9</v>
      </c>
      <c r="I1986" s="7" t="n">
        <v>0</v>
      </c>
      <c r="J1986" s="7" t="n">
        <v>0</v>
      </c>
      <c r="K1986" s="9" t="n">
        <v>0</v>
      </c>
      <c r="L1986" s="10" t="n">
        <v>20.71</v>
      </c>
      <c r="M1986" s="10" t="n">
        <v>1.43</v>
      </c>
      <c r="N1986" t="inlineStr">
        <is>
          <t>1</t>
        </is>
      </c>
      <c r="O1986" t="inlineStr">
        <is>
          <t xml:space="preserve">2 </t>
        </is>
      </c>
      <c r="P1986" t="inlineStr">
        <is>
          <t xml:space="preserve">47248   </t>
        </is>
      </c>
      <c r="Q1986" s="26" t="n">
        <v>34.9</v>
      </c>
      <c r="R1986" s="26">
        <f>Q1986*G1986</f>
        <v/>
      </c>
      <c r="S1986" t="n">
        <v>20.7</v>
      </c>
      <c r="T1986" s="18">
        <f>1 - V1986/S1986</f>
        <v/>
      </c>
      <c r="U1986" s="18" t="n">
        <v>0</v>
      </c>
      <c r="V1986" s="26" t="n">
        <v>20.7</v>
      </c>
      <c r="W1986" s="26">
        <f>V1986 - L1986</f>
        <v/>
      </c>
    </row>
    <row r="1987">
      <c r="A1987" s="11" t="n">
        <v>46222</v>
      </c>
      <c r="B1987" s="1" t="n">
        <v>20088</v>
      </c>
      <c r="C1987" s="1" t="inlineStr">
        <is>
          <t>023</t>
        </is>
      </c>
      <c r="D1987" s="1" t="inlineStr">
        <is>
          <t>127347</t>
        </is>
      </c>
      <c r="E1987" s="1" t="inlineStr">
        <is>
          <t xml:space="preserve">34840526       </t>
        </is>
      </c>
      <c r="F1987" s="5" t="inlineStr">
        <is>
          <t>NENUCO ABRACITOS</t>
        </is>
      </c>
      <c r="G1987" t="n">
        <v>1</v>
      </c>
      <c r="H1987" s="7" t="n">
        <v>89.90000000000001</v>
      </c>
      <c r="I1987" s="7" t="n">
        <v>8.99</v>
      </c>
      <c r="J1987" s="7" t="n">
        <v>0</v>
      </c>
      <c r="K1987" s="9" t="n">
        <v>8.99</v>
      </c>
      <c r="L1987" s="10" t="n">
        <v>48</v>
      </c>
      <c r="M1987" s="10" t="n">
        <v>1.43</v>
      </c>
      <c r="N1987" t="inlineStr">
        <is>
          <t>1</t>
        </is>
      </c>
      <c r="O1987" t="inlineStr">
        <is>
          <t>16</t>
        </is>
      </c>
      <c r="P1987" t="inlineStr">
        <is>
          <t xml:space="preserve">234665  </t>
        </is>
      </c>
      <c r="Q1987" s="26" t="n">
        <v>119</v>
      </c>
      <c r="R1987" s="26">
        <f>Q1987*G1987</f>
        <v/>
      </c>
      <c r="S1987" t="n">
        <v>70.59</v>
      </c>
      <c r="T1987" s="18">
        <f>1 - V1987/S1987</f>
        <v/>
      </c>
      <c r="U1987" s="18" t="n">
        <v>0.2445378151260503</v>
      </c>
      <c r="V1987" s="26" t="n">
        <v>60.94915254237289</v>
      </c>
      <c r="W1987" s="26">
        <f>V1987 - L1987</f>
        <v/>
      </c>
    </row>
    <row r="1988">
      <c r="A1988" s="11" t="n">
        <v>46222</v>
      </c>
      <c r="B1988" s="1" t="n">
        <v>20088</v>
      </c>
      <c r="C1988" s="1" t="inlineStr">
        <is>
          <t>023</t>
        </is>
      </c>
      <c r="D1988" s="1" t="inlineStr">
        <is>
          <t>127382</t>
        </is>
      </c>
      <c r="E1988" s="1" t="inlineStr">
        <is>
          <t xml:space="preserve">28194769       </t>
        </is>
      </c>
      <c r="F1988" s="5" t="inlineStr">
        <is>
          <t>AUTOS DE METAL 3 TEAMSTERZ PACK DE 2</t>
        </is>
      </c>
      <c r="G1988" t="n">
        <v>1</v>
      </c>
      <c r="H1988" s="7" t="n">
        <v>13.8</v>
      </c>
      <c r="I1988" s="7" t="n">
        <v>0</v>
      </c>
      <c r="J1988" s="7" t="n">
        <v>0</v>
      </c>
      <c r="K1988" s="9" t="n">
        <v>0</v>
      </c>
      <c r="L1988" s="10" t="n">
        <v>8.18</v>
      </c>
      <c r="M1988" s="10" t="n">
        <v>1.43</v>
      </c>
      <c r="N1988" t="inlineStr">
        <is>
          <t>1</t>
        </is>
      </c>
      <c r="O1988" t="inlineStr">
        <is>
          <t>16</t>
        </is>
      </c>
      <c r="P1988" t="inlineStr">
        <is>
          <t xml:space="preserve">234665  </t>
        </is>
      </c>
      <c r="Q1988" s="26" t="n">
        <v>13.8</v>
      </c>
      <c r="R1988" s="26">
        <f>Q1988*G1988</f>
        <v/>
      </c>
      <c r="S1988" t="n">
        <v>8.19</v>
      </c>
      <c r="T1988" s="18">
        <f>1 - V1988/S1988</f>
        <v/>
      </c>
      <c r="U1988" s="18" t="n">
        <v>0</v>
      </c>
      <c r="V1988" s="26" t="n">
        <v>8.19</v>
      </c>
      <c r="W1988" s="26">
        <f>V1988 - L1988</f>
        <v/>
      </c>
    </row>
    <row r="1989">
      <c r="A1989" s="11" t="n">
        <v>46222</v>
      </c>
      <c r="B1989" s="1" t="n">
        <v>20088</v>
      </c>
      <c r="C1989" s="1" t="inlineStr">
        <is>
          <t>023</t>
        </is>
      </c>
      <c r="D1989" s="1" t="inlineStr">
        <is>
          <t>127390</t>
        </is>
      </c>
      <c r="E1989" s="1" t="inlineStr">
        <is>
          <t xml:space="preserve">28194768       </t>
        </is>
      </c>
      <c r="F1989" s="5" t="inlineStr">
        <is>
          <t>AUTO COLOR CHANGE TEAMSTERZ SURTIDO</t>
        </is>
      </c>
      <c r="G1989" t="n">
        <v>1</v>
      </c>
      <c r="H1989" s="7" t="n">
        <v>14.9</v>
      </c>
      <c r="I1989" s="7" t="n">
        <v>0</v>
      </c>
      <c r="J1989" s="7" t="n">
        <v>0</v>
      </c>
      <c r="K1989" s="9" t="n">
        <v>0</v>
      </c>
      <c r="L1989" s="10" t="n">
        <v>8.84</v>
      </c>
      <c r="M1989" s="10" t="n">
        <v>1.43</v>
      </c>
      <c r="N1989" t="inlineStr">
        <is>
          <t>1</t>
        </is>
      </c>
      <c r="O1989" t="inlineStr">
        <is>
          <t xml:space="preserve">2 </t>
        </is>
      </c>
      <c r="P1989" t="inlineStr">
        <is>
          <t xml:space="preserve">234665  </t>
        </is>
      </c>
      <c r="Q1989" s="26" t="n">
        <v>14.9</v>
      </c>
      <c r="R1989" s="26">
        <f>Q1989*G1989</f>
        <v/>
      </c>
      <c r="S1989" t="n">
        <v>8.84</v>
      </c>
      <c r="T1989" s="18">
        <f>1 - V1989/S1989</f>
        <v/>
      </c>
      <c r="U1989" s="18" t="n">
        <v>0</v>
      </c>
      <c r="V1989" s="26" t="n">
        <v>8.84</v>
      </c>
      <c r="W1989" s="26">
        <f>V1989 - L1989</f>
        <v/>
      </c>
    </row>
    <row r="1990">
      <c r="A1990" s="11" t="n">
        <v>46222</v>
      </c>
      <c r="B1990" s="1" t="n">
        <v>20089</v>
      </c>
      <c r="C1990" s="1" t="inlineStr">
        <is>
          <t>025</t>
        </is>
      </c>
      <c r="D1990" s="1" t="inlineStr">
        <is>
          <t>122112</t>
        </is>
      </c>
      <c r="E1990" s="1" t="inlineStr">
        <is>
          <t xml:space="preserve">28194769       </t>
        </is>
      </c>
      <c r="F1990" s="5" t="inlineStr">
        <is>
          <t>AUTOS DE METAL 3 TEAMSTERZ PACK DE 2</t>
        </is>
      </c>
      <c r="G1990" t="n">
        <v>1</v>
      </c>
      <c r="H1990" s="7" t="n">
        <v>13.8</v>
      </c>
      <c r="I1990" s="7" t="n">
        <v>0</v>
      </c>
      <c r="J1990" s="7" t="n">
        <v>0</v>
      </c>
      <c r="K1990" s="9" t="n">
        <v>0</v>
      </c>
      <c r="L1990" s="10" t="n">
        <v>8.18</v>
      </c>
      <c r="M1990" s="10" t="n">
        <v>1.43</v>
      </c>
      <c r="N1990" t="inlineStr">
        <is>
          <t>1</t>
        </is>
      </c>
      <c r="O1990" t="inlineStr">
        <is>
          <t>16</t>
        </is>
      </c>
      <c r="P1990" t="inlineStr">
        <is>
          <t xml:space="preserve">94948   </t>
        </is>
      </c>
      <c r="Q1990" s="26" t="n">
        <v>13.8</v>
      </c>
      <c r="R1990" s="26">
        <f>Q1990*G1990</f>
        <v/>
      </c>
      <c r="S1990" t="n">
        <v>8.19</v>
      </c>
      <c r="T1990" s="18">
        <f>1 - V1990/S1990</f>
        <v/>
      </c>
      <c r="U1990" s="18" t="n">
        <v>0</v>
      </c>
      <c r="V1990" s="26" t="n">
        <v>8.19</v>
      </c>
      <c r="W1990" s="26">
        <f>V1990 - L1990</f>
        <v/>
      </c>
    </row>
    <row r="1991">
      <c r="A1991" s="11" t="n">
        <v>46222</v>
      </c>
      <c r="B1991" s="1" t="n">
        <v>20089</v>
      </c>
      <c r="C1991" s="1" t="inlineStr">
        <is>
          <t>025</t>
        </is>
      </c>
      <c r="D1991" s="1" t="inlineStr">
        <is>
          <t>122128</t>
        </is>
      </c>
      <c r="E1991" s="1" t="inlineStr">
        <is>
          <t xml:space="preserve">30141766       </t>
        </is>
      </c>
      <c r="F1991" s="5" t="inlineStr">
        <is>
          <t>TMZ BEAST MACHINES AUTOS DE METAL BLISTER X 1</t>
        </is>
      </c>
      <c r="G1991" t="n">
        <v>1</v>
      </c>
      <c r="H1991" s="7" t="n">
        <v>7.9</v>
      </c>
      <c r="I1991" s="7" t="n">
        <v>0</v>
      </c>
      <c r="J1991" s="7" t="n">
        <v>0</v>
      </c>
      <c r="K1991" s="9" t="n">
        <v>0</v>
      </c>
      <c r="L1991" s="10" t="n">
        <v>4.68</v>
      </c>
      <c r="M1991" s="10" t="n">
        <v>1.43</v>
      </c>
      <c r="N1991" t="inlineStr">
        <is>
          <t>1</t>
        </is>
      </c>
      <c r="O1991" t="inlineStr">
        <is>
          <t>16</t>
        </is>
      </c>
      <c r="P1991" t="inlineStr">
        <is>
          <t xml:space="preserve">94948   </t>
        </is>
      </c>
      <c r="Q1991" s="26" t="n">
        <v>7.9</v>
      </c>
      <c r="R1991" s="26">
        <f>Q1991*G1991</f>
        <v/>
      </c>
      <c r="S1991" t="n">
        <v>4.69</v>
      </c>
      <c r="T1991" s="18">
        <f>1 - V1991/S1991</f>
        <v/>
      </c>
      <c r="U1991" s="18" t="n">
        <v>0</v>
      </c>
      <c r="V1991" s="26" t="n">
        <v>4.69</v>
      </c>
      <c r="W1991" s="26">
        <f>V1991 - L1991</f>
        <v/>
      </c>
    </row>
    <row r="1992">
      <c r="A1992" s="11" t="n">
        <v>46222</v>
      </c>
      <c r="B1992" s="1" t="n">
        <v>20089</v>
      </c>
      <c r="C1992" s="1" t="inlineStr">
        <is>
          <t>025</t>
        </is>
      </c>
      <c r="D1992" s="1" t="inlineStr">
        <is>
          <t>122149</t>
        </is>
      </c>
      <c r="E1992" s="1" t="inlineStr">
        <is>
          <t xml:space="preserve">30141766       </t>
        </is>
      </c>
      <c r="F1992" s="5" t="inlineStr">
        <is>
          <t>TMZ BEAST MACHINES AUTOS DE METAL BLISTER X 1</t>
        </is>
      </c>
      <c r="G1992" t="n">
        <v>1</v>
      </c>
      <c r="H1992" s="7" t="n">
        <v>7.9</v>
      </c>
      <c r="I1992" s="7" t="n">
        <v>0</v>
      </c>
      <c r="J1992" s="7" t="n">
        <v>0</v>
      </c>
      <c r="K1992" s="9" t="n">
        <v>0</v>
      </c>
      <c r="L1992" s="10" t="n">
        <v>4.68</v>
      </c>
      <c r="M1992" s="10" t="n">
        <v>1.43</v>
      </c>
      <c r="N1992" t="inlineStr">
        <is>
          <t>1</t>
        </is>
      </c>
      <c r="O1992" t="inlineStr">
        <is>
          <t>16</t>
        </is>
      </c>
      <c r="P1992" t="inlineStr">
        <is>
          <t xml:space="preserve">94948   </t>
        </is>
      </c>
      <c r="Q1992" s="26" t="n">
        <v>7.9</v>
      </c>
      <c r="R1992" s="26">
        <f>Q1992*G1992</f>
        <v/>
      </c>
      <c r="S1992" t="n">
        <v>4.69</v>
      </c>
      <c r="T1992" s="18">
        <f>1 - V1992/S1992</f>
        <v/>
      </c>
      <c r="U1992" s="18" t="n">
        <v>0</v>
      </c>
      <c r="V1992" s="26" t="n">
        <v>4.69</v>
      </c>
      <c r="W1992" s="26">
        <f>V1992 - L1992</f>
        <v/>
      </c>
    </row>
    <row r="1993">
      <c r="A1993" s="11" t="n">
        <v>46222</v>
      </c>
      <c r="B1993" s="1" t="n">
        <v>20089</v>
      </c>
      <c r="C1993" s="1" t="inlineStr">
        <is>
          <t>025</t>
        </is>
      </c>
      <c r="D1993" s="1" t="inlineStr">
        <is>
          <t>122151</t>
        </is>
      </c>
      <c r="E1993" s="1" t="inlineStr">
        <is>
          <t xml:space="preserve">28194768       </t>
        </is>
      </c>
      <c r="F1993" s="5" t="inlineStr">
        <is>
          <t>AUTO COLOR CHANGE TEAMSTERZ SURTIDO</t>
        </is>
      </c>
      <c r="G1993" t="n">
        <v>1</v>
      </c>
      <c r="H1993" s="7" t="n">
        <v>14.9</v>
      </c>
      <c r="I1993" s="7" t="n">
        <v>0</v>
      </c>
      <c r="J1993" s="7" t="n">
        <v>0</v>
      </c>
      <c r="K1993" s="9" t="n">
        <v>0</v>
      </c>
      <c r="L1993" s="10" t="n">
        <v>8.84</v>
      </c>
      <c r="M1993" s="10" t="n">
        <v>1.43</v>
      </c>
      <c r="N1993" t="inlineStr">
        <is>
          <t>1</t>
        </is>
      </c>
      <c r="O1993" t="inlineStr">
        <is>
          <t xml:space="preserve">2 </t>
        </is>
      </c>
      <c r="P1993" t="inlineStr">
        <is>
          <t xml:space="preserve">94948   </t>
        </is>
      </c>
      <c r="Q1993" s="26" t="n">
        <v>14.9</v>
      </c>
      <c r="R1993" s="26">
        <f>Q1993*G1993</f>
        <v/>
      </c>
      <c r="S1993" t="n">
        <v>8.84</v>
      </c>
      <c r="T1993" s="18">
        <f>1 - V1993/S1993</f>
        <v/>
      </c>
      <c r="U1993" s="18" t="n">
        <v>0</v>
      </c>
      <c r="V1993" s="26" t="n">
        <v>8.84</v>
      </c>
      <c r="W1993" s="26">
        <f>V1993 - L1993</f>
        <v/>
      </c>
    </row>
    <row r="1994">
      <c r="A1994" s="11" t="n">
        <v>46222</v>
      </c>
      <c r="B1994" s="1" t="n">
        <v>20089</v>
      </c>
      <c r="C1994" s="1" t="inlineStr">
        <is>
          <t>026</t>
        </is>
      </c>
      <c r="D1994" s="1" t="inlineStr">
        <is>
          <t xml:space="preserve">88206 </t>
        </is>
      </c>
      <c r="E1994" s="1" t="inlineStr">
        <is>
          <t xml:space="preserve">28194770       </t>
        </is>
      </c>
      <c r="F1994" s="5" t="inlineStr">
        <is>
          <t>AUTOS DE METAL 3 TEAMSTERZ EN BLISTER</t>
        </is>
      </c>
      <c r="G1994" t="n">
        <v>1</v>
      </c>
      <c r="H1994" s="7" t="n">
        <v>6.9</v>
      </c>
      <c r="I1994" s="7" t="n">
        <v>0</v>
      </c>
      <c r="J1994" s="7" t="n">
        <v>0</v>
      </c>
      <c r="K1994" s="9" t="n">
        <v>0</v>
      </c>
      <c r="L1994" s="10" t="n">
        <v>4.1</v>
      </c>
      <c r="M1994" s="10" t="n">
        <v>1.43</v>
      </c>
      <c r="N1994" t="inlineStr">
        <is>
          <t>1</t>
        </is>
      </c>
      <c r="O1994" t="inlineStr">
        <is>
          <t>16</t>
        </is>
      </c>
      <c r="P1994" t="inlineStr">
        <is>
          <t xml:space="preserve">233031  </t>
        </is>
      </c>
      <c r="Q1994" s="26" t="n">
        <v>6.9</v>
      </c>
      <c r="R1994" s="26">
        <f>Q1994*G1994</f>
        <v/>
      </c>
      <c r="S1994" t="n">
        <v>4.09</v>
      </c>
      <c r="T1994" s="18">
        <f>1 - V1994/S1994</f>
        <v/>
      </c>
      <c r="U1994" s="18" t="n">
        <v>0</v>
      </c>
      <c r="V1994" s="26" t="n">
        <v>4.09</v>
      </c>
      <c r="W1994" s="26">
        <f>V1994 - L1994</f>
        <v/>
      </c>
    </row>
    <row r="1995">
      <c r="A1995" s="11" t="n">
        <v>46222</v>
      </c>
      <c r="B1995" s="1" t="n">
        <v>20089</v>
      </c>
      <c r="C1995" s="1" t="inlineStr">
        <is>
          <t>026</t>
        </is>
      </c>
      <c r="D1995" s="1" t="inlineStr">
        <is>
          <t xml:space="preserve">88207 </t>
        </is>
      </c>
      <c r="E1995" s="1" t="inlineStr">
        <is>
          <t xml:space="preserve">28194780       </t>
        </is>
      </c>
      <c r="F1995" s="5" t="inlineStr">
        <is>
          <t>TROMPO BATALLA INFINITY NADO PLSTICO SURTIDO</t>
        </is>
      </c>
      <c r="G1995" t="n">
        <v>1</v>
      </c>
      <c r="H1995" s="7" t="n">
        <v>19.9</v>
      </c>
      <c r="I1995" s="7" t="n">
        <v>0</v>
      </c>
      <c r="J1995" s="7" t="n">
        <v>0</v>
      </c>
      <c r="K1995" s="9" t="n">
        <v>0</v>
      </c>
      <c r="L1995" s="10" t="n">
        <v>11.8</v>
      </c>
      <c r="M1995" s="10" t="n">
        <v>1.43</v>
      </c>
      <c r="N1995" t="inlineStr">
        <is>
          <t>1</t>
        </is>
      </c>
      <c r="O1995" t="inlineStr">
        <is>
          <t xml:space="preserve">2 </t>
        </is>
      </c>
      <c r="P1995" t="inlineStr">
        <is>
          <t xml:space="preserve">233031  </t>
        </is>
      </c>
      <c r="Q1995" s="26" t="n">
        <v>19.9</v>
      </c>
      <c r="R1995" s="26">
        <f>Q1995*G1995</f>
        <v/>
      </c>
      <c r="S1995" t="n">
        <v>11.81</v>
      </c>
      <c r="T1995" s="18">
        <f>1 - V1995/S1995</f>
        <v/>
      </c>
      <c r="U1995" s="18" t="n">
        <v>0</v>
      </c>
      <c r="V1995" s="26" t="n">
        <v>11.81</v>
      </c>
      <c r="W1995" s="26">
        <f>V1995 - L1995</f>
        <v/>
      </c>
    </row>
    <row r="1996">
      <c r="A1996" s="11" t="n">
        <v>46222</v>
      </c>
      <c r="B1996" s="1" t="n">
        <v>20089</v>
      </c>
      <c r="C1996" s="1" t="inlineStr">
        <is>
          <t>026</t>
        </is>
      </c>
      <c r="D1996" s="1" t="inlineStr">
        <is>
          <t xml:space="preserve">88221 </t>
        </is>
      </c>
      <c r="E1996" s="1" t="inlineStr">
        <is>
          <t xml:space="preserve">28194770       </t>
        </is>
      </c>
      <c r="F1996" s="5" t="inlineStr">
        <is>
          <t>AUTOS DE METAL 3 TEAMSTERZ EN BLISTER</t>
        </is>
      </c>
      <c r="G1996" t="n">
        <v>1</v>
      </c>
      <c r="H1996" s="7" t="n">
        <v>6.9</v>
      </c>
      <c r="I1996" s="7" t="n">
        <v>0.6899999999999999</v>
      </c>
      <c r="J1996" s="7" t="n">
        <v>0</v>
      </c>
      <c r="K1996" s="9" t="n">
        <v>0.6899999999999999</v>
      </c>
      <c r="L1996" s="10" t="n">
        <v>3.68</v>
      </c>
      <c r="M1996" s="10" t="n">
        <v>1.43</v>
      </c>
      <c r="N1996" t="inlineStr">
        <is>
          <t>1</t>
        </is>
      </c>
      <c r="O1996" t="inlineStr">
        <is>
          <t>16</t>
        </is>
      </c>
      <c r="P1996" t="inlineStr">
        <is>
          <t xml:space="preserve">233031  </t>
        </is>
      </c>
      <c r="Q1996" s="26" t="n">
        <v>6.9</v>
      </c>
      <c r="R1996" s="26">
        <f>Q1996*G1996</f>
        <v/>
      </c>
      <c r="S1996" t="n">
        <v>4.09</v>
      </c>
      <c r="T1996" s="18">
        <f>1 - V1996/S1996</f>
        <v/>
      </c>
      <c r="U1996" s="18" t="n">
        <v>0</v>
      </c>
      <c r="V1996" s="26" t="n">
        <v>4.09</v>
      </c>
      <c r="W1996" s="26">
        <f>V1996 - L1996</f>
        <v/>
      </c>
    </row>
    <row r="1997">
      <c r="A1997" s="11" t="n">
        <v>46222</v>
      </c>
      <c r="B1997" s="1" t="n">
        <v>20089</v>
      </c>
      <c r="C1997" s="1" t="inlineStr">
        <is>
          <t>026</t>
        </is>
      </c>
      <c r="D1997" s="1" t="inlineStr">
        <is>
          <t xml:space="preserve">88240 </t>
        </is>
      </c>
      <c r="E1997" s="1" t="inlineStr">
        <is>
          <t xml:space="preserve">28194769       </t>
        </is>
      </c>
      <c r="F1997" s="5" t="inlineStr">
        <is>
          <t>AUTOS DE METAL 3 TEAMSTERZ PACK DE 2</t>
        </is>
      </c>
      <c r="G1997" t="n">
        <v>1</v>
      </c>
      <c r="H1997" s="7" t="n">
        <v>13.8</v>
      </c>
      <c r="I1997" s="7" t="n">
        <v>0</v>
      </c>
      <c r="J1997" s="7" t="n">
        <v>0</v>
      </c>
      <c r="K1997" s="9" t="n">
        <v>0</v>
      </c>
      <c r="L1997" s="10" t="n">
        <v>8.18</v>
      </c>
      <c r="M1997" s="10" t="n">
        <v>1.43</v>
      </c>
      <c r="N1997" t="inlineStr">
        <is>
          <t>1</t>
        </is>
      </c>
      <c r="O1997" t="inlineStr">
        <is>
          <t xml:space="preserve">2 </t>
        </is>
      </c>
      <c r="P1997" t="inlineStr">
        <is>
          <t xml:space="preserve">233031  </t>
        </is>
      </c>
      <c r="Q1997" s="26" t="n">
        <v>13.8</v>
      </c>
      <c r="R1997" s="26">
        <f>Q1997*G1997</f>
        <v/>
      </c>
      <c r="S1997" t="n">
        <v>8.19</v>
      </c>
      <c r="T1997" s="18">
        <f>1 - V1997/S1997</f>
        <v/>
      </c>
      <c r="U1997" s="18" t="n">
        <v>0</v>
      </c>
      <c r="V1997" s="26" t="n">
        <v>8.19</v>
      </c>
      <c r="W1997" s="26">
        <f>V1997 - L1997</f>
        <v/>
      </c>
    </row>
    <row r="1998">
      <c r="A1998" s="11" t="n">
        <v>46222</v>
      </c>
      <c r="B1998" s="1" t="n">
        <v>20089</v>
      </c>
      <c r="C1998" s="1" t="inlineStr">
        <is>
          <t>026</t>
        </is>
      </c>
      <c r="D1998" s="1" t="inlineStr">
        <is>
          <t xml:space="preserve">88241 </t>
        </is>
      </c>
      <c r="E1998" s="1" t="inlineStr">
        <is>
          <t xml:space="preserve">28194770       </t>
        </is>
      </c>
      <c r="F1998" s="5" t="inlineStr">
        <is>
          <t>AUTOS DE METAL 3 TEAMSTERZ EN BLISTER</t>
        </is>
      </c>
      <c r="G1998" t="n">
        <v>1</v>
      </c>
      <c r="H1998" s="7" t="n">
        <v>6.9</v>
      </c>
      <c r="I1998" s="7" t="n">
        <v>0</v>
      </c>
      <c r="J1998" s="7" t="n">
        <v>0</v>
      </c>
      <c r="K1998" s="9" t="n">
        <v>0</v>
      </c>
      <c r="L1998" s="10" t="n">
        <v>4.1</v>
      </c>
      <c r="M1998" s="10" t="n">
        <v>1.43</v>
      </c>
      <c r="N1998" t="inlineStr">
        <is>
          <t>1</t>
        </is>
      </c>
      <c r="O1998" t="inlineStr">
        <is>
          <t xml:space="preserve">2 </t>
        </is>
      </c>
      <c r="P1998" t="inlineStr">
        <is>
          <t xml:space="preserve">233031  </t>
        </is>
      </c>
      <c r="Q1998" s="26" t="n">
        <v>6.9</v>
      </c>
      <c r="R1998" s="26">
        <f>Q1998*G1998</f>
        <v/>
      </c>
      <c r="S1998" t="n">
        <v>4.09</v>
      </c>
      <c r="T1998" s="18">
        <f>1 - V1998/S1998</f>
        <v/>
      </c>
      <c r="U1998" s="18" t="n">
        <v>0</v>
      </c>
      <c r="V1998" s="26" t="n">
        <v>4.09</v>
      </c>
      <c r="W1998" s="26">
        <f>V1998 - L1998</f>
        <v/>
      </c>
    </row>
    <row r="1999">
      <c r="A1999" s="11" t="n">
        <v>46222</v>
      </c>
      <c r="B1999" s="1" t="n">
        <v>20089</v>
      </c>
      <c r="C1999" s="1" t="inlineStr">
        <is>
          <t>027</t>
        </is>
      </c>
      <c r="D1999" s="1" t="inlineStr">
        <is>
          <t xml:space="preserve">16040 </t>
        </is>
      </c>
      <c r="E1999" s="1" t="inlineStr">
        <is>
          <t xml:space="preserve">30141766       </t>
        </is>
      </c>
      <c r="F1999" s="5" t="inlineStr">
        <is>
          <t>TMZ BEAST MACHINES AUTOS DE METAL BLISTER X 1</t>
        </is>
      </c>
      <c r="G1999" t="n">
        <v>1</v>
      </c>
      <c r="H1999" s="7" t="n">
        <v>7.9</v>
      </c>
      <c r="I1999" s="7" t="n">
        <v>0</v>
      </c>
      <c r="J1999" s="7" t="n">
        <v>0</v>
      </c>
      <c r="K1999" s="9" t="n">
        <v>0</v>
      </c>
      <c r="L1999" s="10" t="n">
        <v>4.68</v>
      </c>
      <c r="M1999" s="10" t="n">
        <v>1.43</v>
      </c>
      <c r="N1999" t="inlineStr">
        <is>
          <t>1</t>
        </is>
      </c>
      <c r="O1999" t="inlineStr">
        <is>
          <t>16</t>
        </is>
      </c>
      <c r="P1999" t="inlineStr">
        <is>
          <t xml:space="preserve">238367  </t>
        </is>
      </c>
      <c r="Q1999" s="26" t="n">
        <v>7.9</v>
      </c>
      <c r="R1999" s="26">
        <f>Q1999*G1999</f>
        <v/>
      </c>
      <c r="S1999" t="n">
        <v>4.69</v>
      </c>
      <c r="T1999" s="18">
        <f>1 - V1999/S1999</f>
        <v/>
      </c>
      <c r="U1999" s="18" t="n">
        <v>0</v>
      </c>
      <c r="V1999" s="26" t="n">
        <v>4.69</v>
      </c>
      <c r="W1999" s="26">
        <f>V1999 - L1999</f>
        <v/>
      </c>
    </row>
    <row r="2000">
      <c r="A2000" s="11" t="n">
        <v>46222</v>
      </c>
      <c r="B2000" s="1" t="n">
        <v>20089</v>
      </c>
      <c r="C2000" s="1" t="inlineStr">
        <is>
          <t>027</t>
        </is>
      </c>
      <c r="D2000" s="1" t="inlineStr">
        <is>
          <t xml:space="preserve">16054 </t>
        </is>
      </c>
      <c r="E2000" s="1" t="inlineStr">
        <is>
          <t xml:space="preserve">34840556       </t>
        </is>
      </c>
      <c r="F2000" s="5" t="inlineStr">
        <is>
          <t>TMZ BEAST MACH. TRANSPORT DINO +ACCS</t>
        </is>
      </c>
      <c r="G2000" t="n">
        <v>1</v>
      </c>
      <c r="H2000" s="7" t="n">
        <v>59.9</v>
      </c>
      <c r="I2000" s="7" t="n">
        <v>0</v>
      </c>
      <c r="J2000" s="7" t="n">
        <v>0</v>
      </c>
      <c r="K2000" s="9" t="n">
        <v>0</v>
      </c>
      <c r="L2000" s="10" t="n">
        <v>35.53</v>
      </c>
      <c r="M2000" s="10" t="n">
        <v>1.43</v>
      </c>
      <c r="N2000" t="inlineStr">
        <is>
          <t>1</t>
        </is>
      </c>
      <c r="O2000" t="inlineStr">
        <is>
          <t>16</t>
        </is>
      </c>
      <c r="P2000" t="inlineStr">
        <is>
          <t xml:space="preserve">238367  </t>
        </is>
      </c>
      <c r="Q2000" s="26" t="n">
        <v>79.90000000000002</v>
      </c>
      <c r="R2000" s="26">
        <f>Q2000*G2000</f>
        <v/>
      </c>
      <c r="S2000" t="n">
        <v>47.4</v>
      </c>
      <c r="T2000" s="18">
        <f>1 - V2000/S2000</f>
        <v/>
      </c>
      <c r="U2000" s="18" t="n">
        <v>0.2503128911138924</v>
      </c>
      <c r="V2000" s="26" t="n">
        <v>38.07203389830509</v>
      </c>
      <c r="W2000" s="26">
        <f>V2000 - L2000</f>
        <v/>
      </c>
    </row>
    <row r="2001">
      <c r="A2001" s="11" t="n">
        <v>46222</v>
      </c>
      <c r="B2001" s="1" t="n">
        <v>20089</v>
      </c>
      <c r="C2001" s="1" t="inlineStr">
        <is>
          <t>027</t>
        </is>
      </c>
      <c r="D2001" s="1" t="inlineStr">
        <is>
          <t xml:space="preserve">16094 </t>
        </is>
      </c>
      <c r="E2001" s="1" t="inlineStr">
        <is>
          <t xml:space="preserve">28194770       </t>
        </is>
      </c>
      <c r="F2001" s="5" t="inlineStr">
        <is>
          <t>AUTOS DE METAL 3 TEAMSTERZ EN BLISTER</t>
        </is>
      </c>
      <c r="G2001" t="n">
        <v>1</v>
      </c>
      <c r="H2001" s="7" t="n">
        <v>6.9</v>
      </c>
      <c r="I2001" s="7" t="n">
        <v>0</v>
      </c>
      <c r="J2001" s="7" t="n">
        <v>0</v>
      </c>
      <c r="K2001" s="9" t="n">
        <v>0</v>
      </c>
      <c r="L2001" s="10" t="n">
        <v>4.1</v>
      </c>
      <c r="M2001" s="10" t="n">
        <v>1.43</v>
      </c>
      <c r="N2001" t="inlineStr">
        <is>
          <t>1</t>
        </is>
      </c>
      <c r="O2001" t="inlineStr">
        <is>
          <t>16</t>
        </is>
      </c>
      <c r="P2001" t="inlineStr">
        <is>
          <t xml:space="preserve">238367  </t>
        </is>
      </c>
      <c r="Q2001" s="26" t="n">
        <v>6.9</v>
      </c>
      <c r="R2001" s="26">
        <f>Q2001*G2001</f>
        <v/>
      </c>
      <c r="S2001" t="n">
        <v>4.09</v>
      </c>
      <c r="T2001" s="18">
        <f>1 - V2001/S2001</f>
        <v/>
      </c>
      <c r="U2001" s="18" t="n">
        <v>0</v>
      </c>
      <c r="V2001" s="26" t="n">
        <v>4.09</v>
      </c>
      <c r="W2001" s="26">
        <f>V2001 - L2001</f>
        <v/>
      </c>
    </row>
    <row r="2002">
      <c r="A2002" s="11" t="n">
        <v>46222</v>
      </c>
      <c r="B2002" s="1" t="n">
        <v>20089</v>
      </c>
      <c r="C2002" s="1" t="inlineStr">
        <is>
          <t>027</t>
        </is>
      </c>
      <c r="D2002" s="1" t="inlineStr">
        <is>
          <t xml:space="preserve">304   </t>
        </is>
      </c>
      <c r="E2002" s="1" t="inlineStr">
        <is>
          <t xml:space="preserve">30141766       </t>
        </is>
      </c>
      <c r="F2002" s="5" t="inlineStr">
        <is>
          <t>TMZ BEAST MACHINES AUTOS DE METAL BLISTER X 1</t>
        </is>
      </c>
      <c r="G2002" t="n">
        <v>1</v>
      </c>
      <c r="H2002" s="7" t="n">
        <v>7.9</v>
      </c>
      <c r="I2002" s="7" t="n">
        <v>0</v>
      </c>
      <c r="J2002" s="7" t="n">
        <v>0</v>
      </c>
      <c r="K2002" s="9" t="n">
        <v>0</v>
      </c>
      <c r="L2002" s="10" t="n">
        <v>4.68</v>
      </c>
      <c r="M2002" s="10" t="n">
        <v>1.43</v>
      </c>
      <c r="N2002" t="inlineStr">
        <is>
          <t>1</t>
        </is>
      </c>
      <c r="O2002" t="inlineStr">
        <is>
          <t>16</t>
        </is>
      </c>
      <c r="P2002" t="inlineStr">
        <is>
          <t xml:space="preserve">238367  </t>
        </is>
      </c>
      <c r="Q2002" s="26" t="n">
        <v>7.9</v>
      </c>
      <c r="R2002" s="26">
        <f>Q2002*G2002</f>
        <v/>
      </c>
      <c r="S2002" t="n">
        <v>4.69</v>
      </c>
      <c r="T2002" s="18">
        <f>1 - V2002/S2002</f>
        <v/>
      </c>
      <c r="U2002" s="18" t="n">
        <v>0</v>
      </c>
      <c r="V2002" s="26" t="n">
        <v>4.69</v>
      </c>
      <c r="W2002" s="26">
        <f>V2002 - L2002</f>
        <v/>
      </c>
    </row>
    <row r="2003">
      <c r="A2003" s="11" t="n">
        <v>46222</v>
      </c>
      <c r="B2003" s="1" t="n">
        <v>20089</v>
      </c>
      <c r="C2003" s="1" t="inlineStr">
        <is>
          <t>027</t>
        </is>
      </c>
      <c r="D2003" s="1" t="inlineStr">
        <is>
          <t xml:space="preserve">304   </t>
        </is>
      </c>
      <c r="E2003" s="1" t="inlineStr">
        <is>
          <t xml:space="preserve">30141766       </t>
        </is>
      </c>
      <c r="F2003" s="5" t="inlineStr">
        <is>
          <t>TMZ BEAST MACHINES AUTOS DE METAL BLISTER X 1</t>
        </is>
      </c>
      <c r="G2003" t="n">
        <v>1</v>
      </c>
      <c r="H2003" s="7" t="n">
        <v>7.9</v>
      </c>
      <c r="I2003" s="7" t="n">
        <v>0</v>
      </c>
      <c r="J2003" s="7" t="n">
        <v>0</v>
      </c>
      <c r="K2003" s="9" t="n">
        <v>0</v>
      </c>
      <c r="L2003" s="10" t="n">
        <v>4.68</v>
      </c>
      <c r="M2003" s="10" t="n">
        <v>1.43</v>
      </c>
      <c r="N2003" t="inlineStr">
        <is>
          <t>1</t>
        </is>
      </c>
      <c r="O2003" t="inlineStr">
        <is>
          <t>16</t>
        </is>
      </c>
      <c r="P2003" t="inlineStr">
        <is>
          <t xml:space="preserve">238367  </t>
        </is>
      </c>
      <c r="Q2003" s="26" t="n">
        <v>7.9</v>
      </c>
      <c r="R2003" s="26">
        <f>Q2003*G2003</f>
        <v/>
      </c>
      <c r="S2003" t="n">
        <v>4.69</v>
      </c>
      <c r="T2003" s="18">
        <f>1 - V2003/S2003</f>
        <v/>
      </c>
      <c r="U2003" s="18" t="n">
        <v>0</v>
      </c>
      <c r="V2003" s="26" t="n">
        <v>4.69</v>
      </c>
      <c r="W2003" s="26">
        <f>V2003 - L2003</f>
        <v/>
      </c>
    </row>
    <row r="2004">
      <c r="A2004" s="11" t="n">
        <v>46222</v>
      </c>
      <c r="B2004" s="1" t="n">
        <v>20089</v>
      </c>
      <c r="C2004" s="1" t="inlineStr">
        <is>
          <t>029</t>
        </is>
      </c>
      <c r="D2004" s="1" t="inlineStr">
        <is>
          <t xml:space="preserve">2975  </t>
        </is>
      </c>
      <c r="E2004" s="1" t="inlineStr">
        <is>
          <t xml:space="preserve">29235706       </t>
        </is>
      </c>
      <c r="F2004" s="5" t="inlineStr">
        <is>
          <t>TEAMSTERZ CAMION PARA GUARDAR 12 AUTOS INCL 4 AUTO</t>
        </is>
      </c>
      <c r="G2004" t="n">
        <v>1</v>
      </c>
      <c r="H2004" s="7" t="n">
        <v>59.9</v>
      </c>
      <c r="I2004" s="7" t="n">
        <v>0</v>
      </c>
      <c r="J2004" s="7" t="n">
        <v>0</v>
      </c>
      <c r="K2004" s="9" t="n">
        <v>0</v>
      </c>
      <c r="L2004" s="10" t="n">
        <v>35.53</v>
      </c>
      <c r="M2004" s="10" t="n">
        <v>1.43</v>
      </c>
      <c r="N2004" t="inlineStr">
        <is>
          <t>1</t>
        </is>
      </c>
      <c r="O2004" t="inlineStr">
        <is>
          <t xml:space="preserve">2 </t>
        </is>
      </c>
      <c r="P2004" t="inlineStr">
        <is>
          <t xml:space="preserve">96037   </t>
        </is>
      </c>
      <c r="Q2004" s="26" t="n">
        <v>59.90000000000001</v>
      </c>
      <c r="R2004" s="26">
        <f>Q2004*G2004</f>
        <v/>
      </c>
      <c r="S2004" t="n">
        <v>35.53</v>
      </c>
      <c r="T2004" s="18">
        <f>1 - V2004/S2004</f>
        <v/>
      </c>
      <c r="U2004" s="18" t="n">
        <v>0</v>
      </c>
      <c r="V2004" s="26" t="n">
        <v>35.53</v>
      </c>
      <c r="W2004" s="26">
        <f>V2004 - L2004</f>
        <v/>
      </c>
    </row>
    <row r="2005">
      <c r="A2005" s="11" t="n">
        <v>46222</v>
      </c>
      <c r="B2005" s="1" t="n">
        <v>20089</v>
      </c>
      <c r="C2005" s="1" t="inlineStr">
        <is>
          <t>525</t>
        </is>
      </c>
      <c r="D2005" s="1" t="inlineStr">
        <is>
          <t xml:space="preserve">4172  </t>
        </is>
      </c>
      <c r="E2005" s="1" t="inlineStr">
        <is>
          <t xml:space="preserve">28194769       </t>
        </is>
      </c>
      <c r="F2005" s="5" t="inlineStr">
        <is>
          <t>AUTOS DE METAL 3 TEAMSTERZ PACK DE 2</t>
        </is>
      </c>
      <c r="G2005" t="n">
        <v>1</v>
      </c>
      <c r="H2005" s="7" t="n">
        <v>13.8</v>
      </c>
      <c r="I2005" s="7" t="n">
        <v>1.38</v>
      </c>
      <c r="J2005" s="7" t="n">
        <v>0</v>
      </c>
      <c r="K2005" s="9" t="n">
        <v>1.38</v>
      </c>
      <c r="L2005" s="10" t="n">
        <v>7.37</v>
      </c>
      <c r="M2005" s="10" t="n">
        <v>1.43</v>
      </c>
      <c r="N2005" t="inlineStr">
        <is>
          <t>1</t>
        </is>
      </c>
      <c r="O2005" t="inlineStr">
        <is>
          <t>16</t>
        </is>
      </c>
      <c r="P2005" t="inlineStr">
        <is>
          <t xml:space="preserve">96037   </t>
        </is>
      </c>
      <c r="Q2005" s="26" t="n">
        <v>13.8</v>
      </c>
      <c r="R2005" s="26">
        <f>Q2005*G2005</f>
        <v/>
      </c>
      <c r="S2005" t="n">
        <v>8.19</v>
      </c>
      <c r="T2005" s="18">
        <f>1 - V2005/S2005</f>
        <v/>
      </c>
      <c r="U2005" s="18" t="n">
        <v>0</v>
      </c>
      <c r="V2005" s="26" t="n">
        <v>8.19</v>
      </c>
      <c r="W2005" s="26">
        <f>V2005 - L2005</f>
        <v/>
      </c>
    </row>
    <row r="2006">
      <c r="A2006" s="11" t="n">
        <v>46222</v>
      </c>
      <c r="B2006" s="1" t="n">
        <v>20089</v>
      </c>
      <c r="C2006" s="1" t="inlineStr">
        <is>
          <t>860</t>
        </is>
      </c>
      <c r="D2006" s="1" t="inlineStr">
        <is>
          <t xml:space="preserve">9720  </t>
        </is>
      </c>
      <c r="E2006" s="1" t="inlineStr">
        <is>
          <t xml:space="preserve">28194767       </t>
        </is>
      </c>
      <c r="F2006" s="5" t="inlineStr">
        <is>
          <t>CAMIONES TEAMSTERZ DE EMERGENCIA</t>
        </is>
      </c>
      <c r="G2006" t="n">
        <v>1</v>
      </c>
      <c r="H2006" s="7" t="n">
        <v>17.9</v>
      </c>
      <c r="I2006" s="7" t="n">
        <v>0</v>
      </c>
      <c r="J2006" s="7" t="n">
        <v>0</v>
      </c>
      <c r="K2006" s="9" t="n">
        <v>0</v>
      </c>
      <c r="L2006" s="10" t="n">
        <v>10.62</v>
      </c>
      <c r="M2006" s="10" t="n">
        <v>1.43</v>
      </c>
      <c r="N2006" t="inlineStr">
        <is>
          <t>1</t>
        </is>
      </c>
      <c r="O2006" t="inlineStr">
        <is>
          <t>16</t>
        </is>
      </c>
      <c r="P2006" t="inlineStr">
        <is>
          <t xml:space="preserve">0       </t>
        </is>
      </c>
      <c r="Q2006" s="26" t="n">
        <v>17.9</v>
      </c>
      <c r="R2006" s="26">
        <f>Q2006*G2006</f>
        <v/>
      </c>
      <c r="S2006" t="n">
        <v>10.62</v>
      </c>
      <c r="T2006" s="18">
        <f>1 - V2006/S2006</f>
        <v/>
      </c>
      <c r="U2006" s="18" t="n">
        <v>0</v>
      </c>
      <c r="V2006" s="26" t="n">
        <v>10.62</v>
      </c>
      <c r="W2006" s="26">
        <f>V2006 - L2006</f>
        <v/>
      </c>
    </row>
    <row r="2007">
      <c r="A2007" s="11" t="n">
        <v>46222</v>
      </c>
      <c r="B2007" s="1" t="n">
        <v>20089</v>
      </c>
      <c r="C2007" s="1" t="inlineStr">
        <is>
          <t>860</t>
        </is>
      </c>
      <c r="D2007" s="1" t="inlineStr">
        <is>
          <t xml:space="preserve">9721  </t>
        </is>
      </c>
      <c r="E2007" s="1" t="inlineStr">
        <is>
          <t xml:space="preserve">28194780       </t>
        </is>
      </c>
      <c r="F2007" s="5" t="inlineStr">
        <is>
          <t>TROMPO BATALLA INFINITY NADO PLSTICO SURTIDO</t>
        </is>
      </c>
      <c r="G2007" t="n">
        <v>1</v>
      </c>
      <c r="H2007" s="7" t="n">
        <v>19.9</v>
      </c>
      <c r="I2007" s="7" t="n">
        <v>0</v>
      </c>
      <c r="J2007" s="7" t="n">
        <v>0</v>
      </c>
      <c r="K2007" s="9" t="n">
        <v>0</v>
      </c>
      <c r="L2007" s="10" t="n">
        <v>11.8</v>
      </c>
      <c r="M2007" s="10" t="n">
        <v>1.43</v>
      </c>
      <c r="N2007" t="inlineStr">
        <is>
          <t>1</t>
        </is>
      </c>
      <c r="O2007" t="inlineStr">
        <is>
          <t>16</t>
        </is>
      </c>
      <c r="P2007" t="inlineStr">
        <is>
          <t xml:space="preserve">0       </t>
        </is>
      </c>
      <c r="Q2007" s="26" t="n">
        <v>19.9</v>
      </c>
      <c r="R2007" s="26">
        <f>Q2007*G2007</f>
        <v/>
      </c>
      <c r="S2007" t="n">
        <v>11.81</v>
      </c>
      <c r="T2007" s="18">
        <f>1 - V2007/S2007</f>
        <v/>
      </c>
      <c r="U2007" s="18" t="n">
        <v>0</v>
      </c>
      <c r="V2007" s="26" t="n">
        <v>11.81</v>
      </c>
      <c r="W2007" s="26">
        <f>V2007 - L2007</f>
        <v/>
      </c>
    </row>
    <row r="2008">
      <c r="A2008" s="11" t="n">
        <v>46222</v>
      </c>
      <c r="B2008" s="1" t="n">
        <v>20095</v>
      </c>
      <c r="C2008" s="1" t="inlineStr">
        <is>
          <t>014</t>
        </is>
      </c>
      <c r="D2008" s="1" t="inlineStr">
        <is>
          <t>129145</t>
        </is>
      </c>
      <c r="E2008" s="1" t="inlineStr">
        <is>
          <t xml:space="preserve">29854052       </t>
        </is>
      </c>
      <c r="F2008" s="5" t="inlineStr">
        <is>
          <t>PLAYSET CAMBIA DE COLOR CROC BITE</t>
        </is>
      </c>
      <c r="G2008" t="n">
        <v>1</v>
      </c>
      <c r="H2008" s="7" t="n">
        <v>79.90000000000001</v>
      </c>
      <c r="I2008" s="7" t="n">
        <v>0</v>
      </c>
      <c r="J2008" s="7" t="n">
        <v>0</v>
      </c>
      <c r="K2008" s="9" t="n">
        <v>0</v>
      </c>
      <c r="L2008" s="10" t="n">
        <v>47.4</v>
      </c>
      <c r="M2008" s="10" t="n">
        <v>1.43</v>
      </c>
      <c r="N2008" t="inlineStr">
        <is>
          <t>1</t>
        </is>
      </c>
      <c r="O2008" t="inlineStr">
        <is>
          <t>16</t>
        </is>
      </c>
      <c r="P2008" t="inlineStr">
        <is>
          <t xml:space="preserve">246365  </t>
        </is>
      </c>
      <c r="Q2008" s="26" t="n">
        <v>79.90000000000001</v>
      </c>
      <c r="R2008" s="26">
        <f>Q2008*G2008</f>
        <v/>
      </c>
      <c r="S2008" t="n">
        <v>47.4</v>
      </c>
      <c r="T2008" s="18">
        <f>1 - V2008/S2008</f>
        <v/>
      </c>
      <c r="U2008" s="18" t="n">
        <v>0</v>
      </c>
      <c r="V2008" s="26" t="n">
        <v>47.4</v>
      </c>
      <c r="W2008" s="26">
        <f>V2008 - L2008</f>
        <v/>
      </c>
    </row>
    <row r="2009">
      <c r="A2009" s="11" t="n">
        <v>46222</v>
      </c>
      <c r="B2009" s="1" t="n">
        <v>20095</v>
      </c>
      <c r="C2009" s="1" t="inlineStr">
        <is>
          <t>044</t>
        </is>
      </c>
      <c r="D2009" s="1" t="inlineStr">
        <is>
          <t xml:space="preserve">94215 </t>
        </is>
      </c>
      <c r="E2009" s="1" t="inlineStr">
        <is>
          <t xml:space="preserve">28194770       </t>
        </is>
      </c>
      <c r="F2009" s="5" t="inlineStr">
        <is>
          <t>AUTOS DE METAL 3 TEAMSTERZ EN BLISTER</t>
        </is>
      </c>
      <c r="G2009" t="n">
        <v>1</v>
      </c>
      <c r="H2009" s="7" t="n">
        <v>6.9</v>
      </c>
      <c r="I2009" s="7" t="n">
        <v>0.6899999999999999</v>
      </c>
      <c r="J2009" s="7" t="n">
        <v>0</v>
      </c>
      <c r="K2009" s="9" t="n">
        <v>0.6899999999999999</v>
      </c>
      <c r="L2009" s="10" t="n">
        <v>3.68</v>
      </c>
      <c r="M2009" s="10" t="n">
        <v>1.43</v>
      </c>
      <c r="N2009" t="inlineStr">
        <is>
          <t>1</t>
        </is>
      </c>
      <c r="O2009" t="inlineStr">
        <is>
          <t xml:space="preserve">3 </t>
        </is>
      </c>
      <c r="P2009" t="inlineStr">
        <is>
          <t xml:space="preserve">248388  </t>
        </is>
      </c>
      <c r="Q2009" s="26" t="n">
        <v>6.9</v>
      </c>
      <c r="R2009" s="26">
        <f>Q2009*G2009</f>
        <v/>
      </c>
      <c r="S2009" t="n">
        <v>4.09</v>
      </c>
      <c r="T2009" s="18">
        <f>1 - V2009/S2009</f>
        <v/>
      </c>
      <c r="U2009" s="18" t="n">
        <v>0</v>
      </c>
      <c r="V2009" s="26" t="n">
        <v>4.09</v>
      </c>
      <c r="W2009" s="26">
        <f>V2009 - L2009</f>
        <v/>
      </c>
    </row>
    <row r="2010">
      <c r="A2010" s="11" t="n">
        <v>46222</v>
      </c>
      <c r="B2010" s="1" t="n">
        <v>20095</v>
      </c>
      <c r="C2010" s="1" t="inlineStr">
        <is>
          <t>044</t>
        </is>
      </c>
      <c r="D2010" s="1" t="inlineStr">
        <is>
          <t xml:space="preserve">94240 </t>
        </is>
      </c>
      <c r="E2010" s="1" t="inlineStr">
        <is>
          <t xml:space="preserve">30141766       </t>
        </is>
      </c>
      <c r="F2010" s="5" t="inlineStr">
        <is>
          <t>TMZ BEAST MACHINES AUTOS DE METAL BLISTER X 1</t>
        </is>
      </c>
      <c r="G2010" t="n">
        <v>1</v>
      </c>
      <c r="H2010" s="7" t="n">
        <v>7.9</v>
      </c>
      <c r="I2010" s="7" t="n">
        <v>0</v>
      </c>
      <c r="J2010" s="7" t="n">
        <v>0</v>
      </c>
      <c r="K2010" s="9" t="n">
        <v>0</v>
      </c>
      <c r="L2010" s="10" t="n">
        <v>4.68</v>
      </c>
      <c r="M2010" s="10" t="n">
        <v>1.43</v>
      </c>
      <c r="N2010" t="inlineStr">
        <is>
          <t>1</t>
        </is>
      </c>
      <c r="O2010" t="inlineStr">
        <is>
          <t>16</t>
        </is>
      </c>
      <c r="P2010" t="inlineStr">
        <is>
          <t xml:space="preserve">248388  </t>
        </is>
      </c>
      <c r="Q2010" s="26" t="n">
        <v>7.9</v>
      </c>
      <c r="R2010" s="26">
        <f>Q2010*G2010</f>
        <v/>
      </c>
      <c r="S2010" t="n">
        <v>4.69</v>
      </c>
      <c r="T2010" s="18">
        <f>1 - V2010/S2010</f>
        <v/>
      </c>
      <c r="U2010" s="18" t="n">
        <v>0</v>
      </c>
      <c r="V2010" s="26" t="n">
        <v>4.69</v>
      </c>
      <c r="W2010" s="26">
        <f>V2010 - L2010</f>
        <v/>
      </c>
    </row>
    <row r="2011">
      <c r="A2011" s="11" t="n">
        <v>46222</v>
      </c>
      <c r="B2011" s="1" t="n">
        <v>20095</v>
      </c>
      <c r="C2011" s="1" t="inlineStr">
        <is>
          <t>044</t>
        </is>
      </c>
      <c r="D2011" s="1" t="inlineStr">
        <is>
          <t xml:space="preserve">94242 </t>
        </is>
      </c>
      <c r="E2011" s="1" t="inlineStr">
        <is>
          <t xml:space="preserve">28194769       </t>
        </is>
      </c>
      <c r="F2011" s="5" t="inlineStr">
        <is>
          <t>AUTOS DE METAL 3 TEAMSTERZ PACK DE 2</t>
        </is>
      </c>
      <c r="G2011" t="n">
        <v>1</v>
      </c>
      <c r="H2011" s="7" t="n">
        <v>13.8</v>
      </c>
      <c r="I2011" s="7" t="n">
        <v>0</v>
      </c>
      <c r="J2011" s="7" t="n">
        <v>0</v>
      </c>
      <c r="K2011" s="9" t="n">
        <v>0</v>
      </c>
      <c r="L2011" s="10" t="n">
        <v>8.18</v>
      </c>
      <c r="M2011" s="10" t="n">
        <v>1.43</v>
      </c>
      <c r="N2011" t="inlineStr">
        <is>
          <t>1</t>
        </is>
      </c>
      <c r="O2011" t="inlineStr">
        <is>
          <t>16</t>
        </is>
      </c>
      <c r="P2011" t="inlineStr">
        <is>
          <t xml:space="preserve">248388  </t>
        </is>
      </c>
      <c r="Q2011" s="26" t="n">
        <v>13.8</v>
      </c>
      <c r="R2011" s="26">
        <f>Q2011*G2011</f>
        <v/>
      </c>
      <c r="S2011" t="n">
        <v>8.19</v>
      </c>
      <c r="T2011" s="18">
        <f>1 - V2011/S2011</f>
        <v/>
      </c>
      <c r="U2011" s="18" t="n">
        <v>0</v>
      </c>
      <c r="V2011" s="26" t="n">
        <v>8.19</v>
      </c>
      <c r="W2011" s="26">
        <f>V2011 - L2011</f>
        <v/>
      </c>
    </row>
    <row r="2012">
      <c r="A2012" s="11" t="n">
        <v>46222</v>
      </c>
      <c r="B2012" s="1" t="n">
        <v>20095</v>
      </c>
      <c r="C2012" s="1" t="inlineStr">
        <is>
          <t>044</t>
        </is>
      </c>
      <c r="D2012" s="1" t="inlineStr">
        <is>
          <t xml:space="preserve">94253 </t>
        </is>
      </c>
      <c r="E2012" s="1" t="inlineStr">
        <is>
          <t xml:space="preserve">28194770       </t>
        </is>
      </c>
      <c r="F2012" s="5" t="inlineStr">
        <is>
          <t>AUTOS DE METAL 3 TEAMSTERZ EN BLISTER</t>
        </is>
      </c>
      <c r="G2012" t="n">
        <v>1</v>
      </c>
      <c r="H2012" s="7" t="n">
        <v>6.9</v>
      </c>
      <c r="I2012" s="7" t="n">
        <v>0.6899999999999999</v>
      </c>
      <c r="J2012" s="7" t="n">
        <v>0</v>
      </c>
      <c r="K2012" s="9" t="n">
        <v>0.6899999999999999</v>
      </c>
      <c r="L2012" s="10" t="n">
        <v>3.68</v>
      </c>
      <c r="M2012" s="10" t="n">
        <v>1.43</v>
      </c>
      <c r="N2012" t="inlineStr">
        <is>
          <t>1</t>
        </is>
      </c>
      <c r="O2012" t="inlineStr">
        <is>
          <t xml:space="preserve">3 </t>
        </is>
      </c>
      <c r="P2012" t="inlineStr">
        <is>
          <t xml:space="preserve">248388  </t>
        </is>
      </c>
      <c r="Q2012" s="26" t="n">
        <v>6.9</v>
      </c>
      <c r="R2012" s="26">
        <f>Q2012*G2012</f>
        <v/>
      </c>
      <c r="S2012" t="n">
        <v>4.09</v>
      </c>
      <c r="T2012" s="18">
        <f>1 - V2012/S2012</f>
        <v/>
      </c>
      <c r="U2012" s="18" t="n">
        <v>0</v>
      </c>
      <c r="V2012" s="26" t="n">
        <v>4.09</v>
      </c>
      <c r="W2012" s="26">
        <f>V2012 - L2012</f>
        <v/>
      </c>
    </row>
    <row r="2013">
      <c r="A2013" s="11" t="n">
        <v>46222</v>
      </c>
      <c r="B2013" s="1" t="n">
        <v>20095</v>
      </c>
      <c r="C2013" s="1" t="inlineStr">
        <is>
          <t>044</t>
        </is>
      </c>
      <c r="D2013" s="1" t="inlineStr">
        <is>
          <t xml:space="preserve">94272 </t>
        </is>
      </c>
      <c r="E2013" s="1" t="inlineStr">
        <is>
          <t xml:space="preserve">28194770       </t>
        </is>
      </c>
      <c r="F2013" s="5" t="inlineStr">
        <is>
          <t>AUTOS DE METAL 3 TEAMSTERZ EN BLISTER</t>
        </is>
      </c>
      <c r="G2013" t="n">
        <v>1</v>
      </c>
      <c r="H2013" s="7" t="n">
        <v>6.9</v>
      </c>
      <c r="I2013" s="7" t="n">
        <v>0</v>
      </c>
      <c r="J2013" s="7" t="n">
        <v>0</v>
      </c>
      <c r="K2013" s="9" t="n">
        <v>0</v>
      </c>
      <c r="L2013" s="10" t="n">
        <v>4.1</v>
      </c>
      <c r="M2013" s="10" t="n">
        <v>1.43</v>
      </c>
      <c r="N2013" t="inlineStr">
        <is>
          <t>1</t>
        </is>
      </c>
      <c r="O2013" t="inlineStr">
        <is>
          <t xml:space="preserve">2 </t>
        </is>
      </c>
      <c r="P2013" t="inlineStr">
        <is>
          <t xml:space="preserve">241955  </t>
        </is>
      </c>
      <c r="Q2013" s="26" t="n">
        <v>6.9</v>
      </c>
      <c r="R2013" s="26">
        <f>Q2013*G2013</f>
        <v/>
      </c>
      <c r="S2013" t="n">
        <v>4.09</v>
      </c>
      <c r="T2013" s="18">
        <f>1 - V2013/S2013</f>
        <v/>
      </c>
      <c r="U2013" s="18" t="n">
        <v>0</v>
      </c>
      <c r="V2013" s="26" t="n">
        <v>4.09</v>
      </c>
      <c r="W2013" s="26">
        <f>V2013 - L2013</f>
        <v/>
      </c>
    </row>
    <row r="2014">
      <c r="A2014" s="11" t="n">
        <v>46223</v>
      </c>
      <c r="B2014" s="1" t="n">
        <v>20021</v>
      </c>
      <c r="C2014" s="1" t="inlineStr">
        <is>
          <t>078</t>
        </is>
      </c>
      <c r="D2014" s="1" t="inlineStr">
        <is>
          <t>101271</t>
        </is>
      </c>
      <c r="E2014" s="1" t="inlineStr">
        <is>
          <t xml:space="preserve">28194768       </t>
        </is>
      </c>
      <c r="F2014" s="5" t="inlineStr">
        <is>
          <t>AUTO COLOR CHANGE TEAMSTERZ SURTIDO</t>
        </is>
      </c>
      <c r="G2014" t="n">
        <v>1</v>
      </c>
      <c r="H2014" s="7" t="n">
        <v>14.9</v>
      </c>
      <c r="I2014" s="7" t="n">
        <v>0</v>
      </c>
      <c r="J2014" s="7" t="n">
        <v>0</v>
      </c>
      <c r="K2014" s="9" t="n">
        <v>0</v>
      </c>
      <c r="L2014" s="10" t="n">
        <v>8.84</v>
      </c>
      <c r="M2014" s="10" t="n">
        <v>1.43</v>
      </c>
      <c r="N2014" t="inlineStr">
        <is>
          <t>1</t>
        </is>
      </c>
      <c r="O2014" t="inlineStr">
        <is>
          <t>16</t>
        </is>
      </c>
      <c r="P2014" t="inlineStr">
        <is>
          <t xml:space="preserve">61491   </t>
        </is>
      </c>
      <c r="Q2014" s="26" t="n">
        <v>14.9</v>
      </c>
      <c r="R2014" s="26">
        <f>Q2014*G2014</f>
        <v/>
      </c>
      <c r="S2014" t="n">
        <v>8.84</v>
      </c>
      <c r="T2014" s="18">
        <f>1 - V2014/S2014</f>
        <v/>
      </c>
      <c r="U2014" s="18" t="n">
        <v>0</v>
      </c>
      <c r="V2014" s="26" t="n">
        <v>8.84</v>
      </c>
      <c r="W2014" s="26">
        <f>V2014 - L2014</f>
        <v/>
      </c>
    </row>
    <row r="2015">
      <c r="A2015" s="11" t="n">
        <v>46223</v>
      </c>
      <c r="B2015" s="1" t="n">
        <v>20023</v>
      </c>
      <c r="C2015" s="1" t="inlineStr">
        <is>
          <t>079</t>
        </is>
      </c>
      <c r="D2015" s="1" t="inlineStr">
        <is>
          <t>289927</t>
        </is>
      </c>
      <c r="E2015" s="1" t="inlineStr">
        <is>
          <t xml:space="preserve">30141766       </t>
        </is>
      </c>
      <c r="F2015" s="5" t="inlineStr">
        <is>
          <t>TMZ BEAST MACHINES AUTOS DE METAL BLISTER X 1</t>
        </is>
      </c>
      <c r="G2015" t="n">
        <v>1</v>
      </c>
      <c r="H2015" s="7" t="n">
        <v>7.9</v>
      </c>
      <c r="I2015" s="7" t="n">
        <v>0</v>
      </c>
      <c r="J2015" s="7" t="n">
        <v>0</v>
      </c>
      <c r="K2015" s="9" t="n">
        <v>0</v>
      </c>
      <c r="L2015" s="10" t="n">
        <v>4.68</v>
      </c>
      <c r="M2015" s="10" t="n">
        <v>1.43</v>
      </c>
      <c r="N2015" t="inlineStr">
        <is>
          <t>1</t>
        </is>
      </c>
      <c r="O2015" t="inlineStr">
        <is>
          <t>16</t>
        </is>
      </c>
      <c r="P2015" t="inlineStr">
        <is>
          <t xml:space="preserve">249016  </t>
        </is>
      </c>
      <c r="Q2015" s="26" t="n">
        <v>7.9</v>
      </c>
      <c r="R2015" s="26">
        <f>Q2015*G2015</f>
        <v/>
      </c>
      <c r="S2015" t="n">
        <v>4.69</v>
      </c>
      <c r="T2015" s="18">
        <f>1 - V2015/S2015</f>
        <v/>
      </c>
      <c r="U2015" s="18" t="n">
        <v>0</v>
      </c>
      <c r="V2015" s="26" t="n">
        <v>4.69</v>
      </c>
      <c r="W2015" s="26">
        <f>V2015 - L2015</f>
        <v/>
      </c>
    </row>
    <row r="2016">
      <c r="A2016" s="11" t="n">
        <v>46223</v>
      </c>
      <c r="B2016" s="1" t="n">
        <v>20023</v>
      </c>
      <c r="C2016" s="1" t="inlineStr">
        <is>
          <t>079</t>
        </is>
      </c>
      <c r="D2016" s="1" t="inlineStr">
        <is>
          <t>289927</t>
        </is>
      </c>
      <c r="E2016" s="1" t="inlineStr">
        <is>
          <t xml:space="preserve">30141766       </t>
        </is>
      </c>
      <c r="F2016" s="5" t="inlineStr">
        <is>
          <t>TMZ BEAST MACHINES AUTOS DE METAL BLISTER X 1</t>
        </is>
      </c>
      <c r="G2016" t="n">
        <v>1</v>
      </c>
      <c r="H2016" s="7" t="n">
        <v>7.9</v>
      </c>
      <c r="I2016" s="7" t="n">
        <v>0</v>
      </c>
      <c r="J2016" s="7" t="n">
        <v>0</v>
      </c>
      <c r="K2016" s="9" t="n">
        <v>0</v>
      </c>
      <c r="L2016" s="10" t="n">
        <v>4.68</v>
      </c>
      <c r="M2016" s="10" t="n">
        <v>1.43</v>
      </c>
      <c r="N2016" t="inlineStr">
        <is>
          <t>1</t>
        </is>
      </c>
      <c r="O2016" t="inlineStr">
        <is>
          <t>16</t>
        </is>
      </c>
      <c r="P2016" t="inlineStr">
        <is>
          <t xml:space="preserve">249016  </t>
        </is>
      </c>
      <c r="Q2016" s="26" t="n">
        <v>7.9</v>
      </c>
      <c r="R2016" s="26">
        <f>Q2016*G2016</f>
        <v/>
      </c>
      <c r="S2016" t="n">
        <v>4.69</v>
      </c>
      <c r="T2016" s="18">
        <f>1 - V2016/S2016</f>
        <v/>
      </c>
      <c r="U2016" s="18" t="n">
        <v>0</v>
      </c>
      <c r="V2016" s="26" t="n">
        <v>4.69</v>
      </c>
      <c r="W2016" s="26">
        <f>V2016 - L2016</f>
        <v/>
      </c>
    </row>
    <row r="2017">
      <c r="A2017" s="11" t="n">
        <v>46223</v>
      </c>
      <c r="B2017" s="1" t="n">
        <v>20024</v>
      </c>
      <c r="C2017" s="1" t="inlineStr">
        <is>
          <t>038</t>
        </is>
      </c>
      <c r="D2017" s="1" t="inlineStr">
        <is>
          <t xml:space="preserve">25758 </t>
        </is>
      </c>
      <c r="E2017" s="1" t="inlineStr">
        <is>
          <t xml:space="preserve">30141766       </t>
        </is>
      </c>
      <c r="F2017" s="5" t="inlineStr">
        <is>
          <t>TMZ BEAST MACHINES AUTOS DE METAL BLISTER X 1</t>
        </is>
      </c>
      <c r="G2017" t="n">
        <v>1</v>
      </c>
      <c r="H2017" s="7" t="n">
        <v>7.9</v>
      </c>
      <c r="I2017" s="7" t="n">
        <v>0</v>
      </c>
      <c r="J2017" s="7" t="n">
        <v>0</v>
      </c>
      <c r="K2017" s="9" t="n">
        <v>0</v>
      </c>
      <c r="L2017" s="10" t="n">
        <v>4.68</v>
      </c>
      <c r="M2017" s="10" t="n">
        <v>1.43</v>
      </c>
      <c r="N2017" t="inlineStr">
        <is>
          <t>1</t>
        </is>
      </c>
      <c r="O2017" t="inlineStr">
        <is>
          <t xml:space="preserve">2 </t>
        </is>
      </c>
      <c r="P2017" t="inlineStr">
        <is>
          <t xml:space="preserve">71372   </t>
        </is>
      </c>
      <c r="Q2017" s="26" t="n">
        <v>7.9</v>
      </c>
      <c r="R2017" s="26">
        <f>Q2017*G2017</f>
        <v/>
      </c>
      <c r="S2017" t="n">
        <v>4.69</v>
      </c>
      <c r="T2017" s="18">
        <f>1 - V2017/S2017</f>
        <v/>
      </c>
      <c r="U2017" s="18" t="n">
        <v>0</v>
      </c>
      <c r="V2017" s="26" t="n">
        <v>4.69</v>
      </c>
      <c r="W2017" s="26">
        <f>V2017 - L2017</f>
        <v/>
      </c>
    </row>
    <row r="2018">
      <c r="A2018" s="11" t="n">
        <v>46223</v>
      </c>
      <c r="B2018" s="1" t="n">
        <v>20025</v>
      </c>
      <c r="C2018" s="1" t="inlineStr">
        <is>
          <t>074</t>
        </is>
      </c>
      <c r="D2018" s="1" t="inlineStr">
        <is>
          <t xml:space="preserve">83299 </t>
        </is>
      </c>
      <c r="E2018" s="1" t="inlineStr">
        <is>
          <t xml:space="preserve">32457103       </t>
        </is>
      </c>
      <c r="F2018" s="5" t="inlineStr">
        <is>
          <t>TMZ BEAST MACHINES MONSTER JAWS A FRICCION PACK DE</t>
        </is>
      </c>
      <c r="G2018" t="n">
        <v>1</v>
      </c>
      <c r="H2018" s="7" t="n">
        <v>32.9</v>
      </c>
      <c r="I2018" s="7" t="n">
        <v>0</v>
      </c>
      <c r="J2018" s="7" t="n">
        <v>0</v>
      </c>
      <c r="K2018" s="9" t="n">
        <v>0</v>
      </c>
      <c r="L2018" s="10" t="n">
        <v>19.52</v>
      </c>
      <c r="M2018" s="10" t="n">
        <v>1.43</v>
      </c>
      <c r="N2018" t="inlineStr">
        <is>
          <t>1</t>
        </is>
      </c>
      <c r="O2018" t="inlineStr">
        <is>
          <t>16</t>
        </is>
      </c>
      <c r="P2018" t="inlineStr">
        <is>
          <t xml:space="preserve">251190  </t>
        </is>
      </c>
      <c r="Q2018" s="26" t="n">
        <v>37.9</v>
      </c>
      <c r="R2018" s="26">
        <f>Q2018*G2018</f>
        <v/>
      </c>
      <c r="S2018" t="n">
        <v>22.48</v>
      </c>
      <c r="T2018" s="18">
        <f>1 - V2018/S2018</f>
        <v/>
      </c>
      <c r="U2018" s="18" t="n">
        <v>0.1319261213720316</v>
      </c>
      <c r="V2018" s="26" t="n">
        <v>16.75101694915254</v>
      </c>
      <c r="W2018" s="26">
        <f>V2018 - L2018</f>
        <v/>
      </c>
    </row>
    <row r="2019">
      <c r="A2019" s="11" t="n">
        <v>46223</v>
      </c>
      <c r="B2019" s="1" t="n">
        <v>20025</v>
      </c>
      <c r="C2019" s="1" t="inlineStr">
        <is>
          <t>081</t>
        </is>
      </c>
      <c r="D2019" s="1" t="inlineStr">
        <is>
          <t>266661</t>
        </is>
      </c>
      <c r="E2019" s="1" t="inlineStr">
        <is>
          <t xml:space="preserve">35685067       </t>
        </is>
      </c>
      <c r="F2019" s="5" t="inlineStr">
        <is>
          <t>HOT WHEELS POWER SET 3 EN 1</t>
        </is>
      </c>
      <c r="G2019" t="n">
        <v>1</v>
      </c>
      <c r="H2019" s="7" t="n">
        <v>49.9</v>
      </c>
      <c r="I2019" s="7" t="n">
        <v>0</v>
      </c>
      <c r="J2019" s="7" t="n">
        <v>0</v>
      </c>
      <c r="K2019" s="9" t="n">
        <v>0</v>
      </c>
      <c r="L2019" s="10" t="n">
        <v>29.6</v>
      </c>
      <c r="M2019" s="10" t="n">
        <v>1.43</v>
      </c>
      <c r="N2019" t="inlineStr">
        <is>
          <t>1</t>
        </is>
      </c>
      <c r="O2019" t="inlineStr">
        <is>
          <t>16</t>
        </is>
      </c>
      <c r="P2019" t="inlineStr">
        <is>
          <t xml:space="preserve">17095   </t>
        </is>
      </c>
      <c r="Q2019" s="26" t="n">
        <v>49.9</v>
      </c>
      <c r="R2019" s="26">
        <f>Q2019*G2019</f>
        <v/>
      </c>
      <c r="S2019" t="n">
        <v>29.6</v>
      </c>
      <c r="T2019" s="18">
        <f>1 - V2019/S2019</f>
        <v/>
      </c>
      <c r="U2019" s="18" t="n">
        <v>0</v>
      </c>
      <c r="V2019" s="26" t="n">
        <v>29.6</v>
      </c>
      <c r="W2019" s="26">
        <f>V2019 - L2019</f>
        <v/>
      </c>
    </row>
    <row r="2020">
      <c r="A2020" s="11" t="n">
        <v>46223</v>
      </c>
      <c r="B2020" s="1" t="n">
        <v>20025</v>
      </c>
      <c r="C2020" s="1" t="inlineStr">
        <is>
          <t>085</t>
        </is>
      </c>
      <c r="D2020" s="1" t="inlineStr">
        <is>
          <t>192959</t>
        </is>
      </c>
      <c r="E2020" s="1" t="inlineStr">
        <is>
          <t xml:space="preserve">30141768       </t>
        </is>
      </c>
      <c r="F2020" s="5" t="inlineStr">
        <is>
          <t>TMZ BEAST MACHINES AUTOS DE METAL PACK 10 AUTOS</t>
        </is>
      </c>
      <c r="G2020" t="n">
        <v>1</v>
      </c>
      <c r="H2020" s="7" t="n">
        <v>69</v>
      </c>
      <c r="I2020" s="7" t="n">
        <v>0</v>
      </c>
      <c r="J2020" s="7" t="n">
        <v>0</v>
      </c>
      <c r="K2020" s="9" t="n">
        <v>0</v>
      </c>
      <c r="L2020" s="10" t="n">
        <v>40.93</v>
      </c>
      <c r="M2020" s="10" t="n">
        <v>1.43</v>
      </c>
      <c r="N2020" t="inlineStr">
        <is>
          <t>1</t>
        </is>
      </c>
      <c r="O2020" t="inlineStr">
        <is>
          <t>16</t>
        </is>
      </c>
      <c r="P2020" t="inlineStr">
        <is>
          <t xml:space="preserve">247863  </t>
        </is>
      </c>
      <c r="Q2020" s="26" t="n">
        <v>79</v>
      </c>
      <c r="R2020" s="26">
        <f>Q2020*G2020</f>
        <v/>
      </c>
      <c r="S2020" t="n">
        <v>46.86</v>
      </c>
      <c r="T2020" s="18">
        <f>1 - V2020/S2020</f>
        <v/>
      </c>
      <c r="U2020" s="18" t="n">
        <v>0.1265822784810127</v>
      </c>
      <c r="V2020" s="26" t="n">
        <v>43.85593220338983</v>
      </c>
      <c r="W2020" s="26">
        <f>V2020 - L2020</f>
        <v/>
      </c>
    </row>
    <row r="2021">
      <c r="A2021" s="11" t="n">
        <v>46223</v>
      </c>
      <c r="B2021" s="1" t="n">
        <v>20028</v>
      </c>
      <c r="C2021" s="1" t="inlineStr">
        <is>
          <t>140</t>
        </is>
      </c>
      <c r="D2021" s="1" t="inlineStr">
        <is>
          <t>225382</t>
        </is>
      </c>
      <c r="E2021" s="1" t="inlineStr">
        <is>
          <t xml:space="preserve">28194770       </t>
        </is>
      </c>
      <c r="F2021" s="5" t="inlineStr">
        <is>
          <t>AUTOS DE METAL 3 TEAMSTERZ EN BLISTER</t>
        </is>
      </c>
      <c r="G2021" t="n">
        <v>1</v>
      </c>
      <c r="H2021" s="7" t="n">
        <v>6.9</v>
      </c>
      <c r="I2021" s="7" t="n">
        <v>0</v>
      </c>
      <c r="J2021" s="7" t="n">
        <v>0</v>
      </c>
      <c r="K2021" s="9" t="n">
        <v>0</v>
      </c>
      <c r="L2021" s="10" t="n">
        <v>4.1</v>
      </c>
      <c r="M2021" s="10" t="n">
        <v>1.43</v>
      </c>
      <c r="N2021" t="inlineStr">
        <is>
          <t>1</t>
        </is>
      </c>
      <c r="O2021" t="inlineStr">
        <is>
          <t>16</t>
        </is>
      </c>
      <c r="P2021" t="inlineStr">
        <is>
          <t xml:space="preserve">23344   </t>
        </is>
      </c>
      <c r="Q2021" s="26" t="n">
        <v>6.9</v>
      </c>
      <c r="R2021" s="26">
        <f>Q2021*G2021</f>
        <v/>
      </c>
      <c r="S2021" t="n">
        <v>4.09</v>
      </c>
      <c r="T2021" s="18">
        <f>1 - V2021/S2021</f>
        <v/>
      </c>
      <c r="U2021" s="18" t="n">
        <v>0</v>
      </c>
      <c r="V2021" s="26" t="n">
        <v>4.09</v>
      </c>
      <c r="W2021" s="26">
        <f>V2021 - L2021</f>
        <v/>
      </c>
    </row>
    <row r="2022">
      <c r="A2022" s="11" t="n">
        <v>46223</v>
      </c>
      <c r="B2022" s="1" t="n">
        <v>20040</v>
      </c>
      <c r="C2022" s="1" t="inlineStr">
        <is>
          <t>190</t>
        </is>
      </c>
      <c r="D2022" s="1" t="inlineStr">
        <is>
          <t>368621</t>
        </is>
      </c>
      <c r="E2022" s="1" t="inlineStr">
        <is>
          <t xml:space="preserve">32457105       </t>
        </is>
      </c>
      <c r="F2022" s="5" t="inlineStr">
        <is>
          <t>TMZ BEAST MACHINES MONSTER JAWS ATAQUE ESCORPION +</t>
        </is>
      </c>
      <c r="G2022" t="n">
        <v>1</v>
      </c>
      <c r="H2022" s="7" t="n">
        <v>49.9</v>
      </c>
      <c r="I2022" s="7" t="n">
        <v>0</v>
      </c>
      <c r="J2022" s="7" t="n">
        <v>0</v>
      </c>
      <c r="K2022" s="9" t="n">
        <v>0</v>
      </c>
      <c r="L2022" s="10" t="n">
        <v>29.6</v>
      </c>
      <c r="M2022" s="10" t="n">
        <v>1.43</v>
      </c>
      <c r="N2022" t="inlineStr">
        <is>
          <t>1</t>
        </is>
      </c>
      <c r="O2022" t="inlineStr">
        <is>
          <t>16</t>
        </is>
      </c>
      <c r="P2022" t="inlineStr">
        <is>
          <t xml:space="preserve">241887  </t>
        </is>
      </c>
      <c r="Q2022" s="26" t="n">
        <v>69.90000000000001</v>
      </c>
      <c r="R2022" s="26">
        <f>Q2022*G2022</f>
        <v/>
      </c>
      <c r="S2022" t="n">
        <v>41.47</v>
      </c>
      <c r="T2022" s="18">
        <f>1 - V2022/S2022</f>
        <v/>
      </c>
      <c r="U2022" s="18" t="n">
        <v>0.2861230329041489</v>
      </c>
      <c r="V2022" s="26" t="n">
        <v>31.71610169491525</v>
      </c>
      <c r="W2022" s="26">
        <f>V2022 - L2022</f>
        <v/>
      </c>
    </row>
    <row r="2023">
      <c r="A2023" s="11" t="n">
        <v>46223</v>
      </c>
      <c r="B2023" s="1" t="n">
        <v>20040</v>
      </c>
      <c r="C2023" s="1" t="inlineStr">
        <is>
          <t>800</t>
        </is>
      </c>
      <c r="D2023" s="1" t="inlineStr">
        <is>
          <t xml:space="preserve">3612  </t>
        </is>
      </c>
      <c r="E2023" s="1" t="inlineStr">
        <is>
          <t xml:space="preserve">32457106       </t>
        </is>
      </c>
      <c r="F2023" s="5" t="inlineStr">
        <is>
          <t>TMZ BEAST MACHINES PLAYSET DESASTRE DRAGON + 1 AUT</t>
        </is>
      </c>
      <c r="G2023" t="n">
        <v>1</v>
      </c>
      <c r="H2023" s="7" t="n">
        <v>49.9</v>
      </c>
      <c r="I2023" s="7" t="n">
        <v>0</v>
      </c>
      <c r="J2023" s="7" t="n">
        <v>0</v>
      </c>
      <c r="K2023" s="9" t="n">
        <v>0</v>
      </c>
      <c r="L2023" s="10" t="n">
        <v>29.6</v>
      </c>
      <c r="M2023" s="10" t="n">
        <v>1.43</v>
      </c>
      <c r="N2023" t="inlineStr">
        <is>
          <t>1</t>
        </is>
      </c>
      <c r="O2023" t="inlineStr">
        <is>
          <t>16</t>
        </is>
      </c>
      <c r="P2023" t="inlineStr">
        <is>
          <t xml:space="preserve">0       </t>
        </is>
      </c>
      <c r="Q2023" s="26" t="n">
        <v>69.90000000000001</v>
      </c>
      <c r="R2023" s="26">
        <f>Q2023*G2023</f>
        <v/>
      </c>
      <c r="S2023" t="n">
        <v>41.47</v>
      </c>
      <c r="T2023" s="18">
        <f>1 - V2023/S2023</f>
        <v/>
      </c>
      <c r="U2023" s="18" t="n">
        <v>0.2861230329041489</v>
      </c>
      <c r="V2023" s="26" t="n">
        <v>31.71610169491525</v>
      </c>
      <c r="W2023" s="26">
        <f>V2023 - L2023</f>
        <v/>
      </c>
    </row>
    <row r="2024">
      <c r="A2024" s="11" t="n">
        <v>46223</v>
      </c>
      <c r="B2024" s="1" t="n">
        <v>20041</v>
      </c>
      <c r="C2024" s="1" t="inlineStr">
        <is>
          <t>012</t>
        </is>
      </c>
      <c r="D2024" s="1" t="inlineStr">
        <is>
          <t>323698</t>
        </is>
      </c>
      <c r="E2024" s="1" t="inlineStr">
        <is>
          <t xml:space="preserve">28194770       </t>
        </is>
      </c>
      <c r="F2024" s="5" t="inlineStr">
        <is>
          <t>AUTOS DE METAL 3 TEAMSTERZ EN BLISTER</t>
        </is>
      </c>
      <c r="G2024" t="n">
        <v>1</v>
      </c>
      <c r="H2024" s="7" t="n">
        <v>6.9</v>
      </c>
      <c r="I2024" s="7" t="n">
        <v>0</v>
      </c>
      <c r="J2024" s="7" t="n">
        <v>0</v>
      </c>
      <c r="K2024" s="9" t="n">
        <v>0</v>
      </c>
      <c r="L2024" s="10" t="n">
        <v>4.1</v>
      </c>
      <c r="M2024" s="10" t="n">
        <v>1.43</v>
      </c>
      <c r="N2024" t="inlineStr">
        <is>
          <t>1</t>
        </is>
      </c>
      <c r="O2024" t="inlineStr">
        <is>
          <t xml:space="preserve">2 </t>
        </is>
      </c>
      <c r="P2024" t="inlineStr">
        <is>
          <t xml:space="preserve">251773  </t>
        </is>
      </c>
      <c r="Q2024" s="26" t="n">
        <v>6.9</v>
      </c>
      <c r="R2024" s="26">
        <f>Q2024*G2024</f>
        <v/>
      </c>
      <c r="S2024" t="n">
        <v>4.09</v>
      </c>
      <c r="T2024" s="18">
        <f>1 - V2024/S2024</f>
        <v/>
      </c>
      <c r="U2024" s="18" t="n">
        <v>0</v>
      </c>
      <c r="V2024" s="26" t="n">
        <v>4.09</v>
      </c>
      <c r="W2024" s="26">
        <f>V2024 - L2024</f>
        <v/>
      </c>
    </row>
    <row r="2025">
      <c r="A2025" s="11" t="n">
        <v>46223</v>
      </c>
      <c r="B2025" s="1" t="n">
        <v>20041</v>
      </c>
      <c r="C2025" s="1" t="inlineStr">
        <is>
          <t>013</t>
        </is>
      </c>
      <c r="D2025" s="1" t="inlineStr">
        <is>
          <t>459630</t>
        </is>
      </c>
      <c r="E2025" s="1" t="inlineStr">
        <is>
          <t xml:space="preserve">28194770       </t>
        </is>
      </c>
      <c r="F2025" s="5" t="inlineStr">
        <is>
          <t>AUTOS DE METAL 3 TEAMSTERZ EN BLISTER</t>
        </is>
      </c>
      <c r="G2025" t="n">
        <v>1</v>
      </c>
      <c r="H2025" s="7" t="n">
        <v>6.9</v>
      </c>
      <c r="I2025" s="7" t="n">
        <v>0</v>
      </c>
      <c r="J2025" s="7" t="n">
        <v>0</v>
      </c>
      <c r="K2025" s="9" t="n">
        <v>0</v>
      </c>
      <c r="L2025" s="10" t="n">
        <v>4.1</v>
      </c>
      <c r="M2025" s="10" t="n">
        <v>1.43</v>
      </c>
      <c r="N2025" t="inlineStr">
        <is>
          <t>1</t>
        </is>
      </c>
      <c r="O2025" t="inlineStr">
        <is>
          <t>16</t>
        </is>
      </c>
      <c r="P2025" t="inlineStr">
        <is>
          <t xml:space="preserve">36144   </t>
        </is>
      </c>
      <c r="Q2025" s="26" t="n">
        <v>6.9</v>
      </c>
      <c r="R2025" s="26">
        <f>Q2025*G2025</f>
        <v/>
      </c>
      <c r="S2025" t="n">
        <v>4.09</v>
      </c>
      <c r="T2025" s="18">
        <f>1 - V2025/S2025</f>
        <v/>
      </c>
      <c r="U2025" s="18" t="n">
        <v>0</v>
      </c>
      <c r="V2025" s="26" t="n">
        <v>4.09</v>
      </c>
      <c r="W2025" s="26">
        <f>V2025 - L2025</f>
        <v/>
      </c>
    </row>
    <row r="2026">
      <c r="A2026" s="11" t="n">
        <v>46223</v>
      </c>
      <c r="B2026" s="1" t="n">
        <v>20041</v>
      </c>
      <c r="C2026" s="1" t="inlineStr">
        <is>
          <t>031</t>
        </is>
      </c>
      <c r="D2026" s="1" t="inlineStr">
        <is>
          <t>166085</t>
        </is>
      </c>
      <c r="E2026" s="1" t="inlineStr">
        <is>
          <t xml:space="preserve">28194770       </t>
        </is>
      </c>
      <c r="F2026" s="5" t="inlineStr">
        <is>
          <t>AUTOS DE METAL 3 TEAMSTERZ EN BLISTER</t>
        </is>
      </c>
      <c r="G2026" t="n">
        <v>1</v>
      </c>
      <c r="H2026" s="7" t="n">
        <v>6.9</v>
      </c>
      <c r="I2026" s="7" t="n">
        <v>0</v>
      </c>
      <c r="J2026" s="7" t="n">
        <v>0</v>
      </c>
      <c r="K2026" s="9" t="n">
        <v>0</v>
      </c>
      <c r="L2026" s="10" t="n">
        <v>4.1</v>
      </c>
      <c r="M2026" s="10" t="n">
        <v>1.43</v>
      </c>
      <c r="N2026" t="inlineStr">
        <is>
          <t>1</t>
        </is>
      </c>
      <c r="O2026" t="inlineStr">
        <is>
          <t xml:space="preserve">2 </t>
        </is>
      </c>
      <c r="P2026" t="inlineStr">
        <is>
          <t xml:space="preserve">240974  </t>
        </is>
      </c>
      <c r="Q2026" s="26" t="n">
        <v>6.9</v>
      </c>
      <c r="R2026" s="26">
        <f>Q2026*G2026</f>
        <v/>
      </c>
      <c r="S2026" t="n">
        <v>4.09</v>
      </c>
      <c r="T2026" s="18">
        <f>1 - V2026/S2026</f>
        <v/>
      </c>
      <c r="U2026" s="18" t="n">
        <v>0</v>
      </c>
      <c r="V2026" s="26" t="n">
        <v>4.09</v>
      </c>
      <c r="W2026" s="26">
        <f>V2026 - L2026</f>
        <v/>
      </c>
    </row>
    <row r="2027">
      <c r="A2027" s="11" t="n">
        <v>46223</v>
      </c>
      <c r="B2027" s="1" t="n">
        <v>20041</v>
      </c>
      <c r="C2027" s="1" t="inlineStr">
        <is>
          <t>520</t>
        </is>
      </c>
      <c r="D2027" s="1" t="inlineStr">
        <is>
          <t xml:space="preserve">6625  </t>
        </is>
      </c>
      <c r="E2027" s="1" t="inlineStr">
        <is>
          <t xml:space="preserve">28194769       </t>
        </is>
      </c>
      <c r="F2027" s="5" t="inlineStr">
        <is>
          <t>AUTOS DE METAL 3 TEAMSTERZ PACK DE 2</t>
        </is>
      </c>
      <c r="G2027" t="n">
        <v>1</v>
      </c>
      <c r="H2027" s="7" t="n">
        <v>13.8</v>
      </c>
      <c r="I2027" s="7" t="n">
        <v>0</v>
      </c>
      <c r="J2027" s="7" t="n">
        <v>0</v>
      </c>
      <c r="K2027" s="9" t="n">
        <v>0</v>
      </c>
      <c r="L2027" s="10" t="n">
        <v>8.18</v>
      </c>
      <c r="M2027" s="10" t="n">
        <v>1.43</v>
      </c>
      <c r="N2027" t="inlineStr">
        <is>
          <t>1</t>
        </is>
      </c>
      <c r="O2027" t="inlineStr">
        <is>
          <t>16</t>
        </is>
      </c>
      <c r="P2027" t="inlineStr">
        <is>
          <t xml:space="preserve">248088  </t>
        </is>
      </c>
      <c r="Q2027" s="26" t="n">
        <v>13.8</v>
      </c>
      <c r="R2027" s="26">
        <f>Q2027*G2027</f>
        <v/>
      </c>
      <c r="S2027" t="n">
        <v>8.19</v>
      </c>
      <c r="T2027" s="18">
        <f>1 - V2027/S2027</f>
        <v/>
      </c>
      <c r="U2027" s="18" t="n">
        <v>0</v>
      </c>
      <c r="V2027" s="26" t="n">
        <v>8.19</v>
      </c>
      <c r="W2027" s="26">
        <f>V2027 - L2027</f>
        <v/>
      </c>
    </row>
    <row r="2028">
      <c r="A2028" s="11" t="n">
        <v>46223</v>
      </c>
      <c r="B2028" s="1" t="n">
        <v>20043</v>
      </c>
      <c r="C2028" s="1" t="inlineStr">
        <is>
          <t>059</t>
        </is>
      </c>
      <c r="D2028" s="1" t="inlineStr">
        <is>
          <t>151018</t>
        </is>
      </c>
      <c r="E2028" s="1" t="inlineStr">
        <is>
          <t xml:space="preserve">28194769       </t>
        </is>
      </c>
      <c r="F2028" s="5" t="inlineStr">
        <is>
          <t>AUTOS DE METAL 3 TEAMSTERZ PACK DE 2</t>
        </is>
      </c>
      <c r="G2028" t="n">
        <v>1</v>
      </c>
      <c r="H2028" s="7" t="n">
        <v>13.8</v>
      </c>
      <c r="I2028" s="7" t="n">
        <v>0</v>
      </c>
      <c r="J2028" s="7" t="n">
        <v>0</v>
      </c>
      <c r="K2028" s="9" t="n">
        <v>0</v>
      </c>
      <c r="L2028" s="10" t="n">
        <v>8.18</v>
      </c>
      <c r="M2028" s="10" t="n">
        <v>1.43</v>
      </c>
      <c r="N2028" t="inlineStr">
        <is>
          <t>1</t>
        </is>
      </c>
      <c r="O2028" t="inlineStr">
        <is>
          <t>16</t>
        </is>
      </c>
      <c r="P2028" t="inlineStr">
        <is>
          <t xml:space="preserve">55076   </t>
        </is>
      </c>
      <c r="Q2028" s="26" t="n">
        <v>13.8</v>
      </c>
      <c r="R2028" s="26">
        <f>Q2028*G2028</f>
        <v/>
      </c>
      <c r="S2028" t="n">
        <v>8.19</v>
      </c>
      <c r="T2028" s="18">
        <f>1 - V2028/S2028</f>
        <v/>
      </c>
      <c r="U2028" s="18" t="n">
        <v>0</v>
      </c>
      <c r="V2028" s="26" t="n">
        <v>8.19</v>
      </c>
      <c r="W2028" s="26">
        <f>V2028 - L2028</f>
        <v/>
      </c>
    </row>
    <row r="2029">
      <c r="A2029" s="11" t="n">
        <v>46223</v>
      </c>
      <c r="B2029" s="1" t="n">
        <v>20043</v>
      </c>
      <c r="C2029" s="1" t="inlineStr">
        <is>
          <t>059</t>
        </is>
      </c>
      <c r="D2029" s="1" t="inlineStr">
        <is>
          <t>151040</t>
        </is>
      </c>
      <c r="E2029" s="1" t="inlineStr">
        <is>
          <t xml:space="preserve">32457103       </t>
        </is>
      </c>
      <c r="F2029" s="5" t="inlineStr">
        <is>
          <t>TMZ BEAST MACHINES MONSTER JAWS A FRICCION PACK DE</t>
        </is>
      </c>
      <c r="G2029" t="n">
        <v>1</v>
      </c>
      <c r="H2029" s="7" t="n">
        <v>32.9</v>
      </c>
      <c r="I2029" s="7" t="n">
        <v>0</v>
      </c>
      <c r="J2029" s="7" t="n">
        <v>0</v>
      </c>
      <c r="K2029" s="9" t="n">
        <v>0</v>
      </c>
      <c r="L2029" s="10" t="n">
        <v>19.52</v>
      </c>
      <c r="M2029" s="10" t="n">
        <v>1.43</v>
      </c>
      <c r="N2029" t="inlineStr">
        <is>
          <t>1</t>
        </is>
      </c>
      <c r="O2029" t="inlineStr">
        <is>
          <t>16</t>
        </is>
      </c>
      <c r="P2029" t="inlineStr">
        <is>
          <t xml:space="preserve">55076   </t>
        </is>
      </c>
      <c r="Q2029" s="26" t="n">
        <v>37.9</v>
      </c>
      <c r="R2029" s="26">
        <f>Q2029*G2029</f>
        <v/>
      </c>
      <c r="S2029" t="n">
        <v>22.48</v>
      </c>
      <c r="T2029" s="18">
        <f>1 - V2029/S2029</f>
        <v/>
      </c>
      <c r="U2029" s="18" t="n">
        <v>0.1319261213720316</v>
      </c>
      <c r="V2029" s="26" t="n">
        <v>16.75101694915254</v>
      </c>
      <c r="W2029" s="26">
        <f>V2029 - L2029</f>
        <v/>
      </c>
    </row>
    <row r="2030">
      <c r="A2030" s="11" t="n">
        <v>46223</v>
      </c>
      <c r="B2030" s="1" t="n">
        <v>20043</v>
      </c>
      <c r="C2030" s="1" t="inlineStr">
        <is>
          <t>061</t>
        </is>
      </c>
      <c r="D2030" s="1" t="inlineStr">
        <is>
          <t>155343</t>
        </is>
      </c>
      <c r="E2030" s="1" t="inlineStr">
        <is>
          <t xml:space="preserve">28194769       </t>
        </is>
      </c>
      <c r="F2030" s="5" t="inlineStr">
        <is>
          <t>AUTOS DE METAL 3 TEAMSTERZ PACK DE 2</t>
        </is>
      </c>
      <c r="G2030" t="n">
        <v>1</v>
      </c>
      <c r="H2030" s="7" t="n">
        <v>13.8</v>
      </c>
      <c r="I2030" s="7" t="n">
        <v>0</v>
      </c>
      <c r="J2030" s="7" t="n">
        <v>0</v>
      </c>
      <c r="K2030" s="9" t="n">
        <v>0</v>
      </c>
      <c r="L2030" s="10" t="n">
        <v>8.18</v>
      </c>
      <c r="M2030" s="10" t="n">
        <v>1.43</v>
      </c>
      <c r="N2030" t="inlineStr">
        <is>
          <t>1</t>
        </is>
      </c>
      <c r="O2030" t="inlineStr">
        <is>
          <t xml:space="preserve">3 </t>
        </is>
      </c>
      <c r="P2030" t="inlineStr">
        <is>
          <t xml:space="preserve">47299   </t>
        </is>
      </c>
      <c r="Q2030" s="26" t="n">
        <v>13.8</v>
      </c>
      <c r="R2030" s="26">
        <f>Q2030*G2030</f>
        <v/>
      </c>
      <c r="S2030" t="n">
        <v>8.19</v>
      </c>
      <c r="T2030" s="18">
        <f>1 - V2030/S2030</f>
        <v/>
      </c>
      <c r="U2030" s="18" t="n">
        <v>0</v>
      </c>
      <c r="V2030" s="26" t="n">
        <v>8.19</v>
      </c>
      <c r="W2030" s="26">
        <f>V2030 - L2030</f>
        <v/>
      </c>
    </row>
    <row r="2031">
      <c r="A2031" s="11" t="n">
        <v>46223</v>
      </c>
      <c r="B2031" s="1" t="n">
        <v>20047</v>
      </c>
      <c r="C2031" s="1" t="inlineStr">
        <is>
          <t>012</t>
        </is>
      </c>
      <c r="D2031" s="1" t="inlineStr">
        <is>
          <t>333289</t>
        </is>
      </c>
      <c r="E2031" s="1" t="inlineStr">
        <is>
          <t xml:space="preserve">28194770       </t>
        </is>
      </c>
      <c r="F2031" s="5" t="inlineStr">
        <is>
          <t>AUTOS DE METAL 3 TEAMSTERZ EN BLISTER</t>
        </is>
      </c>
      <c r="G2031" t="n">
        <v>1</v>
      </c>
      <c r="H2031" s="7" t="n">
        <v>6.9</v>
      </c>
      <c r="I2031" s="7" t="n">
        <v>0</v>
      </c>
      <c r="J2031" s="7" t="n">
        <v>0</v>
      </c>
      <c r="K2031" s="9" t="n">
        <v>0</v>
      </c>
      <c r="L2031" s="10" t="n">
        <v>4.1</v>
      </c>
      <c r="M2031" s="10" t="n">
        <v>1.43</v>
      </c>
      <c r="N2031" t="inlineStr">
        <is>
          <t>1</t>
        </is>
      </c>
      <c r="O2031" t="inlineStr">
        <is>
          <t xml:space="preserve">2 </t>
        </is>
      </c>
      <c r="P2031" t="inlineStr">
        <is>
          <t xml:space="preserve">78210   </t>
        </is>
      </c>
      <c r="Q2031" s="26" t="n">
        <v>6.9</v>
      </c>
      <c r="R2031" s="26">
        <f>Q2031*G2031</f>
        <v/>
      </c>
      <c r="S2031" t="n">
        <v>4.09</v>
      </c>
      <c r="T2031" s="18">
        <f>1 - V2031/S2031</f>
        <v/>
      </c>
      <c r="U2031" s="18" t="n">
        <v>0</v>
      </c>
      <c r="V2031" s="26" t="n">
        <v>4.09</v>
      </c>
      <c r="W2031" s="26">
        <f>V2031 - L2031</f>
        <v/>
      </c>
    </row>
    <row r="2032">
      <c r="A2032" s="11" t="n">
        <v>46223</v>
      </c>
      <c r="B2032" s="1" t="n">
        <v>20047</v>
      </c>
      <c r="C2032" s="1" t="inlineStr">
        <is>
          <t>012</t>
        </is>
      </c>
      <c r="D2032" s="1" t="inlineStr">
        <is>
          <t>333302</t>
        </is>
      </c>
      <c r="E2032" s="1" t="inlineStr">
        <is>
          <t xml:space="preserve">28194770       </t>
        </is>
      </c>
      <c r="F2032" s="5" t="inlineStr">
        <is>
          <t>AUTOS DE METAL 3 TEAMSTERZ EN BLISTER</t>
        </is>
      </c>
      <c r="G2032" t="n">
        <v>1</v>
      </c>
      <c r="H2032" s="7" t="n">
        <v>6.9</v>
      </c>
      <c r="I2032" s="7" t="n">
        <v>0</v>
      </c>
      <c r="J2032" s="7" t="n">
        <v>0</v>
      </c>
      <c r="K2032" s="9" t="n">
        <v>0</v>
      </c>
      <c r="L2032" s="10" t="n">
        <v>4.1</v>
      </c>
      <c r="M2032" s="10" t="n">
        <v>1.43</v>
      </c>
      <c r="N2032" t="inlineStr">
        <is>
          <t>1</t>
        </is>
      </c>
      <c r="O2032" t="inlineStr">
        <is>
          <t xml:space="preserve">2 </t>
        </is>
      </c>
      <c r="P2032" t="inlineStr">
        <is>
          <t xml:space="preserve">78210   </t>
        </is>
      </c>
      <c r="Q2032" s="26" t="n">
        <v>6.9</v>
      </c>
      <c r="R2032" s="26">
        <f>Q2032*G2032</f>
        <v/>
      </c>
      <c r="S2032" t="n">
        <v>4.09</v>
      </c>
      <c r="T2032" s="18">
        <f>1 - V2032/S2032</f>
        <v/>
      </c>
      <c r="U2032" s="18" t="n">
        <v>0</v>
      </c>
      <c r="V2032" s="26" t="n">
        <v>4.09</v>
      </c>
      <c r="W2032" s="26">
        <f>V2032 - L2032</f>
        <v/>
      </c>
    </row>
    <row r="2033">
      <c r="A2033" s="11" t="n">
        <v>46223</v>
      </c>
      <c r="B2033" s="1" t="n">
        <v>20047</v>
      </c>
      <c r="C2033" s="1" t="inlineStr">
        <is>
          <t>012</t>
        </is>
      </c>
      <c r="D2033" s="1" t="inlineStr">
        <is>
          <t>333326</t>
        </is>
      </c>
      <c r="E2033" s="1" t="inlineStr">
        <is>
          <t xml:space="preserve">28194770       </t>
        </is>
      </c>
      <c r="F2033" s="5" t="inlineStr">
        <is>
          <t>AUTOS DE METAL 3 TEAMSTERZ EN BLISTER</t>
        </is>
      </c>
      <c r="G2033" t="n">
        <v>1</v>
      </c>
      <c r="H2033" s="7" t="n">
        <v>6.9</v>
      </c>
      <c r="I2033" s="7" t="n">
        <v>0</v>
      </c>
      <c r="J2033" s="7" t="n">
        <v>0</v>
      </c>
      <c r="K2033" s="9" t="n">
        <v>0</v>
      </c>
      <c r="L2033" s="10" t="n">
        <v>4.1</v>
      </c>
      <c r="M2033" s="10" t="n">
        <v>1.43</v>
      </c>
      <c r="N2033" t="inlineStr">
        <is>
          <t>1</t>
        </is>
      </c>
      <c r="O2033" t="inlineStr">
        <is>
          <t xml:space="preserve">2 </t>
        </is>
      </c>
      <c r="P2033" t="inlineStr">
        <is>
          <t xml:space="preserve">78210   </t>
        </is>
      </c>
      <c r="Q2033" s="26" t="n">
        <v>6.9</v>
      </c>
      <c r="R2033" s="26">
        <f>Q2033*G2033</f>
        <v/>
      </c>
      <c r="S2033" t="n">
        <v>4.09</v>
      </c>
      <c r="T2033" s="18">
        <f>1 - V2033/S2033</f>
        <v/>
      </c>
      <c r="U2033" s="18" t="n">
        <v>0</v>
      </c>
      <c r="V2033" s="26" t="n">
        <v>4.09</v>
      </c>
      <c r="W2033" s="26">
        <f>V2033 - L2033</f>
        <v/>
      </c>
    </row>
    <row r="2034">
      <c r="A2034" s="11" t="n">
        <v>46223</v>
      </c>
      <c r="B2034" s="1" t="n">
        <v>20047</v>
      </c>
      <c r="C2034" s="1" t="inlineStr">
        <is>
          <t>012</t>
        </is>
      </c>
      <c r="D2034" s="1" t="inlineStr">
        <is>
          <t>333326</t>
        </is>
      </c>
      <c r="E2034" s="1" t="inlineStr">
        <is>
          <t xml:space="preserve">28194770       </t>
        </is>
      </c>
      <c r="F2034" s="5" t="inlineStr">
        <is>
          <t>AUTOS DE METAL 3 TEAMSTERZ EN BLISTER</t>
        </is>
      </c>
      <c r="G2034" t="n">
        <v>1</v>
      </c>
      <c r="H2034" s="7" t="n">
        <v>6.9</v>
      </c>
      <c r="I2034" s="7" t="n">
        <v>0</v>
      </c>
      <c r="J2034" s="7" t="n">
        <v>0</v>
      </c>
      <c r="K2034" s="9" t="n">
        <v>0</v>
      </c>
      <c r="L2034" s="10" t="n">
        <v>4.1</v>
      </c>
      <c r="M2034" s="10" t="n">
        <v>1.43</v>
      </c>
      <c r="N2034" t="inlineStr">
        <is>
          <t>1</t>
        </is>
      </c>
      <c r="O2034" t="inlineStr">
        <is>
          <t xml:space="preserve">2 </t>
        </is>
      </c>
      <c r="P2034" t="inlineStr">
        <is>
          <t xml:space="preserve">78210   </t>
        </is>
      </c>
      <c r="Q2034" s="26" t="n">
        <v>6.9</v>
      </c>
      <c r="R2034" s="26">
        <f>Q2034*G2034</f>
        <v/>
      </c>
      <c r="S2034" t="n">
        <v>4.09</v>
      </c>
      <c r="T2034" s="18">
        <f>1 - V2034/S2034</f>
        <v/>
      </c>
      <c r="U2034" s="18" t="n">
        <v>0</v>
      </c>
      <c r="V2034" s="26" t="n">
        <v>4.09</v>
      </c>
      <c r="W2034" s="26">
        <f>V2034 - L2034</f>
        <v/>
      </c>
    </row>
    <row r="2035">
      <c r="A2035" s="11" t="n">
        <v>46223</v>
      </c>
      <c r="B2035" s="1" t="n">
        <v>20047</v>
      </c>
      <c r="C2035" s="1" t="inlineStr">
        <is>
          <t>012</t>
        </is>
      </c>
      <c r="D2035" s="1" t="inlineStr">
        <is>
          <t>333326</t>
        </is>
      </c>
      <c r="E2035" s="1" t="inlineStr">
        <is>
          <t xml:space="preserve">28194770       </t>
        </is>
      </c>
      <c r="F2035" s="5" t="inlineStr">
        <is>
          <t>AUTOS DE METAL 3 TEAMSTERZ EN BLISTER</t>
        </is>
      </c>
      <c r="G2035" t="n">
        <v>1</v>
      </c>
      <c r="H2035" s="7" t="n">
        <v>6.9</v>
      </c>
      <c r="I2035" s="7" t="n">
        <v>0</v>
      </c>
      <c r="J2035" s="7" t="n">
        <v>0</v>
      </c>
      <c r="K2035" s="9" t="n">
        <v>0</v>
      </c>
      <c r="L2035" s="10" t="n">
        <v>4.1</v>
      </c>
      <c r="M2035" s="10" t="n">
        <v>1.43</v>
      </c>
      <c r="N2035" t="inlineStr">
        <is>
          <t>1</t>
        </is>
      </c>
      <c r="O2035" t="inlineStr">
        <is>
          <t xml:space="preserve">2 </t>
        </is>
      </c>
      <c r="P2035" t="inlineStr">
        <is>
          <t xml:space="preserve">78210   </t>
        </is>
      </c>
      <c r="Q2035" s="26" t="n">
        <v>6.9</v>
      </c>
      <c r="R2035" s="26">
        <f>Q2035*G2035</f>
        <v/>
      </c>
      <c r="S2035" t="n">
        <v>4.09</v>
      </c>
      <c r="T2035" s="18">
        <f>1 - V2035/S2035</f>
        <v/>
      </c>
      <c r="U2035" s="18" t="n">
        <v>0</v>
      </c>
      <c r="V2035" s="26" t="n">
        <v>4.09</v>
      </c>
      <c r="W2035" s="26">
        <f>V2035 - L2035</f>
        <v/>
      </c>
    </row>
    <row r="2036">
      <c r="A2036" s="11" t="n">
        <v>46223</v>
      </c>
      <c r="B2036" s="1" t="n">
        <v>20047</v>
      </c>
      <c r="C2036" s="1" t="inlineStr">
        <is>
          <t>012</t>
        </is>
      </c>
      <c r="D2036" s="1" t="inlineStr">
        <is>
          <t>333380</t>
        </is>
      </c>
      <c r="E2036" s="1" t="inlineStr">
        <is>
          <t xml:space="preserve">28194770       </t>
        </is>
      </c>
      <c r="F2036" s="5" t="inlineStr">
        <is>
          <t>AUTOS DE METAL 3 TEAMSTERZ EN BLISTER</t>
        </is>
      </c>
      <c r="G2036" t="n">
        <v>1</v>
      </c>
      <c r="H2036" s="7" t="n">
        <v>6.9</v>
      </c>
      <c r="I2036" s="7" t="n">
        <v>0</v>
      </c>
      <c r="J2036" s="7" t="n">
        <v>0</v>
      </c>
      <c r="K2036" s="9" t="n">
        <v>0</v>
      </c>
      <c r="L2036" s="10" t="n">
        <v>4.1</v>
      </c>
      <c r="M2036" s="10" t="n">
        <v>1.43</v>
      </c>
      <c r="N2036" t="inlineStr">
        <is>
          <t>1</t>
        </is>
      </c>
      <c r="O2036" t="inlineStr">
        <is>
          <t xml:space="preserve">2 </t>
        </is>
      </c>
      <c r="P2036" t="inlineStr">
        <is>
          <t xml:space="preserve">248817  </t>
        </is>
      </c>
      <c r="Q2036" s="26" t="n">
        <v>6.9</v>
      </c>
      <c r="R2036" s="26">
        <f>Q2036*G2036</f>
        <v/>
      </c>
      <c r="S2036" t="n">
        <v>4.09</v>
      </c>
      <c r="T2036" s="18">
        <f>1 - V2036/S2036</f>
        <v/>
      </c>
      <c r="U2036" s="18" t="n">
        <v>0</v>
      </c>
      <c r="V2036" s="26" t="n">
        <v>4.09</v>
      </c>
      <c r="W2036" s="26">
        <f>V2036 - L2036</f>
        <v/>
      </c>
    </row>
    <row r="2037">
      <c r="A2037" s="11" t="n">
        <v>46223</v>
      </c>
      <c r="B2037" s="1" t="n">
        <v>20047</v>
      </c>
      <c r="C2037" s="1" t="inlineStr">
        <is>
          <t>191</t>
        </is>
      </c>
      <c r="D2037" s="1" t="inlineStr">
        <is>
          <t>462595</t>
        </is>
      </c>
      <c r="E2037" s="1" t="inlineStr">
        <is>
          <t xml:space="preserve">28194770       </t>
        </is>
      </c>
      <c r="F2037" s="5" t="inlineStr">
        <is>
          <t>AUTOS DE METAL 3 TEAMSTERZ EN BLISTER</t>
        </is>
      </c>
      <c r="G2037" t="n">
        <v>1</v>
      </c>
      <c r="H2037" s="7" t="n">
        <v>6.9</v>
      </c>
      <c r="I2037" s="7" t="n">
        <v>0</v>
      </c>
      <c r="J2037" s="7" t="n">
        <v>0</v>
      </c>
      <c r="K2037" s="9" t="n">
        <v>0</v>
      </c>
      <c r="L2037" s="10" t="n">
        <v>4.1</v>
      </c>
      <c r="M2037" s="10" t="n">
        <v>1.43</v>
      </c>
      <c r="N2037" t="inlineStr">
        <is>
          <t>1</t>
        </is>
      </c>
      <c r="O2037" t="inlineStr">
        <is>
          <t xml:space="preserve">2 </t>
        </is>
      </c>
      <c r="P2037" t="inlineStr">
        <is>
          <t xml:space="preserve">245750  </t>
        </is>
      </c>
      <c r="Q2037" s="26" t="n">
        <v>6.9</v>
      </c>
      <c r="R2037" s="26">
        <f>Q2037*G2037</f>
        <v/>
      </c>
      <c r="S2037" t="n">
        <v>4.09</v>
      </c>
      <c r="T2037" s="18">
        <f>1 - V2037/S2037</f>
        <v/>
      </c>
      <c r="U2037" s="18" t="n">
        <v>0</v>
      </c>
      <c r="V2037" s="26" t="n">
        <v>4.09</v>
      </c>
      <c r="W2037" s="26">
        <f>V2037 - L2037</f>
        <v/>
      </c>
    </row>
    <row r="2038">
      <c r="A2038" s="11" t="n">
        <v>46223</v>
      </c>
      <c r="B2038" s="1" t="n">
        <v>20047</v>
      </c>
      <c r="C2038" s="1" t="inlineStr">
        <is>
          <t>191</t>
        </is>
      </c>
      <c r="D2038" s="1" t="inlineStr">
        <is>
          <t>462707</t>
        </is>
      </c>
      <c r="E2038" s="1" t="inlineStr">
        <is>
          <t xml:space="preserve">28194770       </t>
        </is>
      </c>
      <c r="F2038" s="5" t="inlineStr">
        <is>
          <t>AUTOS DE METAL 3 TEAMSTERZ EN BLISTER</t>
        </is>
      </c>
      <c r="G2038" t="n">
        <v>1</v>
      </c>
      <c r="H2038" s="7" t="n">
        <v>6.9</v>
      </c>
      <c r="I2038" s="7" t="n">
        <v>0</v>
      </c>
      <c r="J2038" s="7" t="n">
        <v>0</v>
      </c>
      <c r="K2038" s="9" t="n">
        <v>0</v>
      </c>
      <c r="L2038" s="10" t="n">
        <v>4.1</v>
      </c>
      <c r="M2038" s="10" t="n">
        <v>1.43</v>
      </c>
      <c r="N2038" t="inlineStr">
        <is>
          <t>1</t>
        </is>
      </c>
      <c r="O2038" t="inlineStr">
        <is>
          <t xml:space="preserve">2 </t>
        </is>
      </c>
      <c r="P2038" t="inlineStr">
        <is>
          <t xml:space="preserve">248424  </t>
        </is>
      </c>
      <c r="Q2038" s="26" t="n">
        <v>6.9</v>
      </c>
      <c r="R2038" s="26">
        <f>Q2038*G2038</f>
        <v/>
      </c>
      <c r="S2038" t="n">
        <v>4.09</v>
      </c>
      <c r="T2038" s="18">
        <f>1 - V2038/S2038</f>
        <v/>
      </c>
      <c r="U2038" s="18" t="n">
        <v>0</v>
      </c>
      <c r="V2038" s="26" t="n">
        <v>4.09</v>
      </c>
      <c r="W2038" s="26">
        <f>V2038 - L2038</f>
        <v/>
      </c>
    </row>
    <row r="2039">
      <c r="A2039" s="11" t="n">
        <v>46223</v>
      </c>
      <c r="B2039" s="1" t="n">
        <v>20047</v>
      </c>
      <c r="C2039" s="1" t="inlineStr">
        <is>
          <t>191</t>
        </is>
      </c>
      <c r="D2039" s="1" t="inlineStr">
        <is>
          <t>462707</t>
        </is>
      </c>
      <c r="E2039" s="1" t="inlineStr">
        <is>
          <t xml:space="preserve">28194770       </t>
        </is>
      </c>
      <c r="F2039" s="5" t="inlineStr">
        <is>
          <t>AUTOS DE METAL 3 TEAMSTERZ EN BLISTER</t>
        </is>
      </c>
      <c r="G2039" t="n">
        <v>1</v>
      </c>
      <c r="H2039" s="7" t="n">
        <v>6.9</v>
      </c>
      <c r="I2039" s="7" t="n">
        <v>0</v>
      </c>
      <c r="J2039" s="7" t="n">
        <v>0</v>
      </c>
      <c r="K2039" s="9" t="n">
        <v>0</v>
      </c>
      <c r="L2039" s="10" t="n">
        <v>4.1</v>
      </c>
      <c r="M2039" s="10" t="n">
        <v>1.43</v>
      </c>
      <c r="N2039" t="inlineStr">
        <is>
          <t>1</t>
        </is>
      </c>
      <c r="O2039" t="inlineStr">
        <is>
          <t xml:space="preserve">2 </t>
        </is>
      </c>
      <c r="P2039" t="inlineStr">
        <is>
          <t xml:space="preserve">248424  </t>
        </is>
      </c>
      <c r="Q2039" s="26" t="n">
        <v>6.9</v>
      </c>
      <c r="R2039" s="26">
        <f>Q2039*G2039</f>
        <v/>
      </c>
      <c r="S2039" t="n">
        <v>4.09</v>
      </c>
      <c r="T2039" s="18">
        <f>1 - V2039/S2039</f>
        <v/>
      </c>
      <c r="U2039" s="18" t="n">
        <v>0</v>
      </c>
      <c r="V2039" s="26" t="n">
        <v>4.09</v>
      </c>
      <c r="W2039" s="26">
        <f>V2039 - L2039</f>
        <v/>
      </c>
    </row>
    <row r="2040">
      <c r="A2040" s="11" t="n">
        <v>46223</v>
      </c>
      <c r="B2040" s="1" t="n">
        <v>20048</v>
      </c>
      <c r="C2040" s="1" t="inlineStr">
        <is>
          <t>800</t>
        </is>
      </c>
      <c r="D2040" s="1" t="inlineStr">
        <is>
          <t xml:space="preserve">4516  </t>
        </is>
      </c>
      <c r="E2040" s="1" t="inlineStr">
        <is>
          <t xml:space="preserve">28194770       </t>
        </is>
      </c>
      <c r="F2040" s="5" t="inlineStr">
        <is>
          <t>AUTOS DE METAL 3 TEAMSTERZ EN BLISTER</t>
        </is>
      </c>
      <c r="G2040" t="n">
        <v>1</v>
      </c>
      <c r="H2040" s="7" t="n">
        <v>6.9</v>
      </c>
      <c r="I2040" s="7" t="n">
        <v>0</v>
      </c>
      <c r="J2040" s="7" t="n">
        <v>0</v>
      </c>
      <c r="K2040" s="9" t="n">
        <v>0</v>
      </c>
      <c r="L2040" s="10" t="n">
        <v>4.1</v>
      </c>
      <c r="M2040" s="10" t="n">
        <v>1.43</v>
      </c>
      <c r="N2040" t="inlineStr">
        <is>
          <t>1</t>
        </is>
      </c>
      <c r="O2040" t="inlineStr">
        <is>
          <t>16</t>
        </is>
      </c>
      <c r="P2040" t="inlineStr">
        <is>
          <t xml:space="preserve">0       </t>
        </is>
      </c>
      <c r="Q2040" s="26" t="n">
        <v>6.9</v>
      </c>
      <c r="R2040" s="26">
        <f>Q2040*G2040</f>
        <v/>
      </c>
      <c r="S2040" t="n">
        <v>4.09</v>
      </c>
      <c r="T2040" s="18">
        <f>1 - V2040/S2040</f>
        <v/>
      </c>
      <c r="U2040" s="18" t="n">
        <v>0</v>
      </c>
      <c r="V2040" s="26" t="n">
        <v>4.09</v>
      </c>
      <c r="W2040" s="26">
        <f>V2040 - L2040</f>
        <v/>
      </c>
    </row>
    <row r="2041">
      <c r="A2041" s="11" t="n">
        <v>46223</v>
      </c>
      <c r="B2041" s="1" t="n">
        <v>20049</v>
      </c>
      <c r="C2041" s="1" t="inlineStr">
        <is>
          <t>521</t>
        </is>
      </c>
      <c r="D2041" s="1" t="inlineStr">
        <is>
          <t xml:space="preserve">2933  </t>
        </is>
      </c>
      <c r="E2041" s="1" t="inlineStr">
        <is>
          <t xml:space="preserve">28194769       </t>
        </is>
      </c>
      <c r="F2041" s="5" t="inlineStr">
        <is>
          <t>AUTOS DE METAL 3 TEAMSTERZ PACK DE 2</t>
        </is>
      </c>
      <c r="G2041" t="n">
        <v>1</v>
      </c>
      <c r="H2041" s="7" t="n">
        <v>13.8</v>
      </c>
      <c r="I2041" s="7" t="n">
        <v>0</v>
      </c>
      <c r="J2041" s="7" t="n">
        <v>0</v>
      </c>
      <c r="K2041" s="9" t="n">
        <v>0</v>
      </c>
      <c r="L2041" s="10" t="n">
        <v>8.18</v>
      </c>
      <c r="M2041" s="10" t="n">
        <v>1.43</v>
      </c>
      <c r="N2041" t="inlineStr">
        <is>
          <t>1</t>
        </is>
      </c>
      <c r="O2041" t="inlineStr">
        <is>
          <t>16</t>
        </is>
      </c>
      <c r="P2041" t="inlineStr">
        <is>
          <t xml:space="preserve">249774  </t>
        </is>
      </c>
      <c r="Q2041" s="26" t="n">
        <v>13.8</v>
      </c>
      <c r="R2041" s="26">
        <f>Q2041*G2041</f>
        <v/>
      </c>
      <c r="S2041" t="n">
        <v>8.19</v>
      </c>
      <c r="T2041" s="18">
        <f>1 - V2041/S2041</f>
        <v/>
      </c>
      <c r="U2041" s="18" t="n">
        <v>0</v>
      </c>
      <c r="V2041" s="26" t="n">
        <v>8.19</v>
      </c>
      <c r="W2041" s="26">
        <f>V2041 - L2041</f>
        <v/>
      </c>
    </row>
    <row r="2042">
      <c r="A2042" s="11" t="n">
        <v>46223</v>
      </c>
      <c r="B2042" s="1" t="n">
        <v>20057</v>
      </c>
      <c r="C2042" s="1" t="inlineStr">
        <is>
          <t>032</t>
        </is>
      </c>
      <c r="D2042" s="1" t="inlineStr">
        <is>
          <t xml:space="preserve">2020  </t>
        </is>
      </c>
      <c r="E2042" s="1" t="inlineStr">
        <is>
          <t xml:space="preserve">34840550       </t>
        </is>
      </c>
      <c r="F2042" s="5" t="inlineStr">
        <is>
          <t>TEAMSTERZ M/MOVERZ TRANSPORTA GORILA</t>
        </is>
      </c>
      <c r="G2042" t="n">
        <v>1</v>
      </c>
      <c r="H2042" s="7" t="n">
        <v>129</v>
      </c>
      <c r="I2042" s="7" t="n">
        <v>0</v>
      </c>
      <c r="J2042" s="7" t="n">
        <v>0</v>
      </c>
      <c r="K2042" s="9" t="n">
        <v>0</v>
      </c>
      <c r="L2042" s="10" t="n">
        <v>76.52</v>
      </c>
      <c r="M2042" s="10" t="n">
        <v>1.43</v>
      </c>
      <c r="N2042" t="inlineStr">
        <is>
          <t>1</t>
        </is>
      </c>
      <c r="O2042" t="inlineStr">
        <is>
          <t xml:space="preserve">6 </t>
        </is>
      </c>
      <c r="P2042" t="inlineStr">
        <is>
          <t xml:space="preserve">203426  </t>
        </is>
      </c>
      <c r="Q2042" s="26" t="n">
        <v>129</v>
      </c>
      <c r="R2042" s="26">
        <f>Q2042*G2042</f>
        <v/>
      </c>
      <c r="S2042" t="n">
        <v>76.53</v>
      </c>
      <c r="T2042" s="18">
        <f>1 - V2042/S2042</f>
        <v/>
      </c>
      <c r="U2042" s="18" t="n">
        <v>0</v>
      </c>
      <c r="V2042" s="26" t="n">
        <v>76.53</v>
      </c>
      <c r="W2042" s="26">
        <f>V2042 - L2042</f>
        <v/>
      </c>
    </row>
    <row r="2043">
      <c r="A2043" s="11" t="n">
        <v>46223</v>
      </c>
      <c r="B2043" s="1" t="n">
        <v>20057</v>
      </c>
      <c r="C2043" s="1" t="inlineStr">
        <is>
          <t>032</t>
        </is>
      </c>
      <c r="D2043" s="1" t="inlineStr">
        <is>
          <t xml:space="preserve">2020  </t>
        </is>
      </c>
      <c r="E2043" s="1" t="inlineStr">
        <is>
          <t xml:space="preserve">34840551       </t>
        </is>
      </c>
      <c r="F2043" s="5" t="inlineStr">
        <is>
          <t>TMZ HELI BOMBERO CON LUCES Y SONIDOS</t>
        </is>
      </c>
      <c r="G2043" t="n">
        <v>1</v>
      </c>
      <c r="H2043" s="7" t="n">
        <v>79.90000000000001</v>
      </c>
      <c r="I2043" s="7" t="n">
        <v>0</v>
      </c>
      <c r="J2043" s="7" t="n">
        <v>0</v>
      </c>
      <c r="K2043" s="9" t="n">
        <v>0</v>
      </c>
      <c r="L2043" s="10" t="n">
        <v>47.4</v>
      </c>
      <c r="M2043" s="10" t="n">
        <v>1.43</v>
      </c>
      <c r="N2043" t="inlineStr">
        <is>
          <t>1</t>
        </is>
      </c>
      <c r="O2043" t="inlineStr">
        <is>
          <t xml:space="preserve">6 </t>
        </is>
      </c>
      <c r="P2043" t="inlineStr">
        <is>
          <t xml:space="preserve">203426  </t>
        </is>
      </c>
      <c r="Q2043" s="26" t="n">
        <v>79.90000000000002</v>
      </c>
      <c r="R2043" s="26">
        <f>Q2043*G2043</f>
        <v/>
      </c>
      <c r="S2043" t="n">
        <v>47.4</v>
      </c>
      <c r="T2043" s="18">
        <f>1 - V2043/S2043</f>
        <v/>
      </c>
      <c r="U2043" s="18" t="n">
        <v>0</v>
      </c>
      <c r="V2043" s="26" t="n">
        <v>47.4</v>
      </c>
      <c r="W2043" s="26">
        <f>V2043 - L2043</f>
        <v/>
      </c>
    </row>
    <row r="2044">
      <c r="A2044" s="11" t="n">
        <v>46223</v>
      </c>
      <c r="B2044" s="1" t="n">
        <v>20057</v>
      </c>
      <c r="C2044" s="1" t="inlineStr">
        <is>
          <t>032</t>
        </is>
      </c>
      <c r="D2044" s="1" t="inlineStr">
        <is>
          <t xml:space="preserve">3607  </t>
        </is>
      </c>
      <c r="E2044" s="1" t="inlineStr">
        <is>
          <t xml:space="preserve">34840550       </t>
        </is>
      </c>
      <c r="F2044" s="5" t="inlineStr">
        <is>
          <t>TEAMSTERZ M/MOVERZ TRANSPORTA GORILA</t>
        </is>
      </c>
      <c r="G2044" t="n">
        <v>-1</v>
      </c>
      <c r="H2044" s="7" t="n">
        <v>-129</v>
      </c>
      <c r="I2044" s="7" t="n">
        <v>0</v>
      </c>
      <c r="J2044" s="7" t="n">
        <v>0</v>
      </c>
      <c r="K2044" s="9" t="n">
        <v>0</v>
      </c>
      <c r="L2044" s="10" t="n">
        <v>-76.52</v>
      </c>
      <c r="M2044" s="10" t="n">
        <v>0</v>
      </c>
      <c r="N2044" t="inlineStr">
        <is>
          <t>3</t>
        </is>
      </c>
      <c r="O2044" t="inlineStr">
        <is>
          <t>26</t>
        </is>
      </c>
      <c r="P2044" t="inlineStr">
        <is>
          <t xml:space="preserve">250464  </t>
        </is>
      </c>
      <c r="Q2044" s="26" t="n">
        <v>129</v>
      </c>
      <c r="R2044" s="26">
        <f>Q2044*G2044</f>
        <v/>
      </c>
      <c r="S2044" t="n">
        <v>-76.53</v>
      </c>
      <c r="T2044" s="18">
        <f>1 - V2044/S2044</f>
        <v/>
      </c>
      <c r="U2044" s="18" t="n">
        <v>0</v>
      </c>
      <c r="V2044" s="26" t="n">
        <v>-76.53</v>
      </c>
      <c r="W2044" s="26">
        <f>V2044 - L2044</f>
        <v/>
      </c>
    </row>
    <row r="2045">
      <c r="A2045" s="11" t="n">
        <v>46223</v>
      </c>
      <c r="B2045" s="1" t="n">
        <v>20057</v>
      </c>
      <c r="C2045" s="1" t="inlineStr">
        <is>
          <t>032</t>
        </is>
      </c>
      <c r="D2045" s="1" t="inlineStr">
        <is>
          <t xml:space="preserve">3607  </t>
        </is>
      </c>
      <c r="E2045" s="1" t="inlineStr">
        <is>
          <t xml:space="preserve">34840551       </t>
        </is>
      </c>
      <c r="F2045" s="5" t="inlineStr">
        <is>
          <t>TMZ HELI BOMBERO CON LUCES Y SONIDOS</t>
        </is>
      </c>
      <c r="G2045" t="n">
        <v>-1</v>
      </c>
      <c r="H2045" s="7" t="n">
        <v>-79.90000000000001</v>
      </c>
      <c r="I2045" s="7" t="n">
        <v>0</v>
      </c>
      <c r="J2045" s="7" t="n">
        <v>0</v>
      </c>
      <c r="K2045" s="9" t="n">
        <v>0</v>
      </c>
      <c r="L2045" s="10" t="n">
        <v>-47.4</v>
      </c>
      <c r="M2045" s="10" t="n">
        <v>0</v>
      </c>
      <c r="N2045" t="inlineStr">
        <is>
          <t>3</t>
        </is>
      </c>
      <c r="O2045" t="inlineStr">
        <is>
          <t>26</t>
        </is>
      </c>
      <c r="P2045" t="inlineStr">
        <is>
          <t xml:space="preserve">250464  </t>
        </is>
      </c>
      <c r="Q2045" s="26" t="n">
        <v>79.90000000000002</v>
      </c>
      <c r="R2045" s="26">
        <f>Q2045*G2045</f>
        <v/>
      </c>
      <c r="S2045" t="n">
        <v>-47.4</v>
      </c>
      <c r="T2045" s="18">
        <f>1 - V2045/S2045</f>
        <v/>
      </c>
      <c r="U2045" s="18" t="n">
        <v>0</v>
      </c>
      <c r="V2045" s="26" t="n">
        <v>-47.4</v>
      </c>
      <c r="W2045" s="26">
        <f>V2045 - L2045</f>
        <v/>
      </c>
    </row>
    <row r="2046">
      <c r="A2046" s="11" t="n">
        <v>46223</v>
      </c>
      <c r="B2046" s="1" t="n">
        <v>20057</v>
      </c>
      <c r="C2046" s="1" t="inlineStr">
        <is>
          <t>032</t>
        </is>
      </c>
      <c r="D2046" s="1" t="inlineStr">
        <is>
          <t xml:space="preserve">75367 </t>
        </is>
      </c>
      <c r="E2046" s="1" t="inlineStr">
        <is>
          <t xml:space="preserve">28194781       </t>
        </is>
      </c>
      <c r="F2046" s="5" t="inlineStr">
        <is>
          <t>TROMPO BATALLA INFINITY NADO SERIE V CLASICA SURTI</t>
        </is>
      </c>
      <c r="G2046" t="n">
        <v>1</v>
      </c>
      <c r="H2046" s="7" t="n">
        <v>39.9</v>
      </c>
      <c r="I2046" s="7" t="n">
        <v>0</v>
      </c>
      <c r="J2046" s="7" t="n">
        <v>0</v>
      </c>
      <c r="K2046" s="9" t="n">
        <v>0</v>
      </c>
      <c r="L2046" s="10" t="n">
        <v>23.67</v>
      </c>
      <c r="M2046" s="10" t="n">
        <v>1.43</v>
      </c>
      <c r="N2046" t="inlineStr">
        <is>
          <t>1</t>
        </is>
      </c>
      <c r="O2046" t="inlineStr">
        <is>
          <t>16</t>
        </is>
      </c>
      <c r="P2046" t="inlineStr">
        <is>
          <t xml:space="preserve">203426  </t>
        </is>
      </c>
      <c r="Q2046" s="26" t="n">
        <v>59.9</v>
      </c>
      <c r="R2046" s="26">
        <f>Q2046*G2046</f>
        <v/>
      </c>
      <c r="S2046" t="n">
        <v>35.53</v>
      </c>
      <c r="T2046" s="18">
        <f>1 - V2046/S2046</f>
        <v/>
      </c>
      <c r="U2046" s="18" t="n">
        <v>0.333889816360601</v>
      </c>
      <c r="V2046" s="26" t="n">
        <v>25.36016949152542</v>
      </c>
      <c r="W2046" s="26">
        <f>V2046 - L2046</f>
        <v/>
      </c>
    </row>
    <row r="2047">
      <c r="A2047" s="11" t="n">
        <v>46223</v>
      </c>
      <c r="B2047" s="1" t="n">
        <v>20057</v>
      </c>
      <c r="C2047" s="1" t="inlineStr">
        <is>
          <t>032</t>
        </is>
      </c>
      <c r="D2047" s="1" t="inlineStr">
        <is>
          <t xml:space="preserve">75417 </t>
        </is>
      </c>
      <c r="E2047" s="1" t="inlineStr">
        <is>
          <t xml:space="preserve">34840550       </t>
        </is>
      </c>
      <c r="F2047" s="5" t="inlineStr">
        <is>
          <t>TEAMSTERZ M/MOVERZ TRANSPORTA GORILA</t>
        </is>
      </c>
      <c r="G2047" t="n">
        <v>1</v>
      </c>
      <c r="H2047" s="7" t="n">
        <v>129</v>
      </c>
      <c r="I2047" s="7" t="n">
        <v>0</v>
      </c>
      <c r="J2047" s="7" t="n">
        <v>0</v>
      </c>
      <c r="K2047" s="9" t="n">
        <v>0</v>
      </c>
      <c r="L2047" s="10" t="n">
        <v>76.52</v>
      </c>
      <c r="M2047" s="10" t="n">
        <v>1.43</v>
      </c>
      <c r="N2047" t="inlineStr">
        <is>
          <t>1</t>
        </is>
      </c>
      <c r="O2047" t="inlineStr">
        <is>
          <t>16</t>
        </is>
      </c>
      <c r="P2047" t="inlineStr">
        <is>
          <t xml:space="preserve">203426  </t>
        </is>
      </c>
      <c r="Q2047" s="26" t="n">
        <v>129</v>
      </c>
      <c r="R2047" s="26">
        <f>Q2047*G2047</f>
        <v/>
      </c>
      <c r="S2047" t="n">
        <v>76.53</v>
      </c>
      <c r="T2047" s="18">
        <f>1 - V2047/S2047</f>
        <v/>
      </c>
      <c r="U2047" s="18" t="n">
        <v>0</v>
      </c>
      <c r="V2047" s="26" t="n">
        <v>76.53</v>
      </c>
      <c r="W2047" s="26">
        <f>V2047 - L2047</f>
        <v/>
      </c>
    </row>
    <row r="2048">
      <c r="A2048" s="11" t="n">
        <v>46223</v>
      </c>
      <c r="B2048" s="1" t="n">
        <v>20057</v>
      </c>
      <c r="C2048" s="1" t="inlineStr">
        <is>
          <t>032</t>
        </is>
      </c>
      <c r="D2048" s="1" t="inlineStr">
        <is>
          <t xml:space="preserve">75417 </t>
        </is>
      </c>
      <c r="E2048" s="1" t="inlineStr">
        <is>
          <t xml:space="preserve">34840551       </t>
        </is>
      </c>
      <c r="F2048" s="5" t="inlineStr">
        <is>
          <t>TMZ HELI BOMBERO CON LUCES Y SONIDOS</t>
        </is>
      </c>
      <c r="G2048" t="n">
        <v>1</v>
      </c>
      <c r="H2048" s="7" t="n">
        <v>79.90000000000001</v>
      </c>
      <c r="I2048" s="7" t="n">
        <v>0</v>
      </c>
      <c r="J2048" s="7" t="n">
        <v>0</v>
      </c>
      <c r="K2048" s="9" t="n">
        <v>0</v>
      </c>
      <c r="L2048" s="10" t="n">
        <v>47.4</v>
      </c>
      <c r="M2048" s="10" t="n">
        <v>1.43</v>
      </c>
      <c r="N2048" t="inlineStr">
        <is>
          <t>1</t>
        </is>
      </c>
      <c r="O2048" t="inlineStr">
        <is>
          <t>16</t>
        </is>
      </c>
      <c r="P2048" t="inlineStr">
        <is>
          <t xml:space="preserve">203426  </t>
        </is>
      </c>
      <c r="Q2048" s="26" t="n">
        <v>79.90000000000002</v>
      </c>
      <c r="R2048" s="26">
        <f>Q2048*G2048</f>
        <v/>
      </c>
      <c r="S2048" t="n">
        <v>47.4</v>
      </c>
      <c r="T2048" s="18">
        <f>1 - V2048/S2048</f>
        <v/>
      </c>
      <c r="U2048" s="18" t="n">
        <v>0</v>
      </c>
      <c r="V2048" s="26" t="n">
        <v>47.4</v>
      </c>
      <c r="W2048" s="26">
        <f>V2048 - L2048</f>
        <v/>
      </c>
    </row>
    <row r="2049">
      <c r="A2049" s="11" t="n">
        <v>46223</v>
      </c>
      <c r="B2049" s="1" t="n">
        <v>20057</v>
      </c>
      <c r="C2049" s="1" t="inlineStr">
        <is>
          <t>862</t>
        </is>
      </c>
      <c r="D2049" s="1" t="inlineStr">
        <is>
          <t xml:space="preserve">8088  </t>
        </is>
      </c>
      <c r="E2049" s="1" t="inlineStr">
        <is>
          <t xml:space="preserve">28194770       </t>
        </is>
      </c>
      <c r="F2049" s="5" t="inlineStr">
        <is>
          <t>AUTOS DE METAL 3 TEAMSTERZ EN BLISTER</t>
        </is>
      </c>
      <c r="G2049" t="n">
        <v>1</v>
      </c>
      <c r="H2049" s="7" t="n">
        <v>6.9</v>
      </c>
      <c r="I2049" s="7" t="n">
        <v>0</v>
      </c>
      <c r="J2049" s="7" t="n">
        <v>0</v>
      </c>
      <c r="K2049" s="9" t="n">
        <v>0</v>
      </c>
      <c r="L2049" s="10" t="n">
        <v>4.1</v>
      </c>
      <c r="M2049" s="10" t="n">
        <v>1.43</v>
      </c>
      <c r="N2049" t="inlineStr">
        <is>
          <t>1</t>
        </is>
      </c>
      <c r="O2049" t="inlineStr">
        <is>
          <t>16</t>
        </is>
      </c>
      <c r="P2049" t="inlineStr">
        <is>
          <t xml:space="preserve">0       </t>
        </is>
      </c>
      <c r="Q2049" s="26" t="n">
        <v>6.9</v>
      </c>
      <c r="R2049" s="26">
        <f>Q2049*G2049</f>
        <v/>
      </c>
      <c r="S2049" t="n">
        <v>4.09</v>
      </c>
      <c r="T2049" s="18">
        <f>1 - V2049/S2049</f>
        <v/>
      </c>
      <c r="U2049" s="18" t="n">
        <v>0</v>
      </c>
      <c r="V2049" s="26" t="n">
        <v>4.09</v>
      </c>
      <c r="W2049" s="26">
        <f>V2049 - L2049</f>
        <v/>
      </c>
    </row>
    <row r="2050">
      <c r="A2050" s="11" t="n">
        <v>46223</v>
      </c>
      <c r="B2050" s="1" t="n">
        <v>20057</v>
      </c>
      <c r="C2050" s="1" t="inlineStr">
        <is>
          <t>862</t>
        </is>
      </c>
      <c r="D2050" s="1" t="inlineStr">
        <is>
          <t xml:space="preserve">8093  </t>
        </is>
      </c>
      <c r="E2050" s="1" t="inlineStr">
        <is>
          <t xml:space="preserve">31959956       </t>
        </is>
      </c>
      <c r="F2050" s="5" t="inlineStr">
        <is>
          <t>TEAMSTERZ CAMION TRANSPORTA ANIMALES SURTIDO</t>
        </is>
      </c>
      <c r="G2050" t="n">
        <v>1</v>
      </c>
      <c r="H2050" s="7" t="n">
        <v>17.9</v>
      </c>
      <c r="I2050" s="7" t="n">
        <v>0</v>
      </c>
      <c r="J2050" s="7" t="n">
        <v>0</v>
      </c>
      <c r="K2050" s="9" t="n">
        <v>0</v>
      </c>
      <c r="L2050" s="10" t="n">
        <v>10.62</v>
      </c>
      <c r="M2050" s="10" t="n">
        <v>1.43</v>
      </c>
      <c r="N2050" t="inlineStr">
        <is>
          <t>1</t>
        </is>
      </c>
      <c r="O2050" t="inlineStr">
        <is>
          <t>16</t>
        </is>
      </c>
      <c r="P2050" t="inlineStr">
        <is>
          <t xml:space="preserve">0       </t>
        </is>
      </c>
      <c r="Q2050" s="26" t="n">
        <v>17.9</v>
      </c>
      <c r="R2050" s="26">
        <f>Q2050*G2050</f>
        <v/>
      </c>
      <c r="S2050" t="n">
        <v>10.62</v>
      </c>
      <c r="T2050" s="18">
        <f>1 - V2050/S2050</f>
        <v/>
      </c>
      <c r="U2050" s="18" t="n">
        <v>0</v>
      </c>
      <c r="V2050" s="26" t="n">
        <v>10.62</v>
      </c>
      <c r="W2050" s="26">
        <f>V2050 - L2050</f>
        <v/>
      </c>
    </row>
    <row r="2051">
      <c r="A2051" s="11" t="n">
        <v>46223</v>
      </c>
      <c r="B2051" s="1" t="n">
        <v>20058</v>
      </c>
      <c r="C2051" s="1" t="inlineStr">
        <is>
          <t>016</t>
        </is>
      </c>
      <c r="D2051" s="1" t="inlineStr">
        <is>
          <t>168321</t>
        </is>
      </c>
      <c r="E2051" s="1" t="inlineStr">
        <is>
          <t xml:space="preserve">28194769       </t>
        </is>
      </c>
      <c r="F2051" s="5" t="inlineStr">
        <is>
          <t>AUTOS DE METAL 3 TEAMSTERZ PACK DE 2</t>
        </is>
      </c>
      <c r="G2051" t="n">
        <v>1</v>
      </c>
      <c r="H2051" s="7" t="n">
        <v>13.8</v>
      </c>
      <c r="I2051" s="7" t="n">
        <v>0</v>
      </c>
      <c r="J2051" s="7" t="n">
        <v>0</v>
      </c>
      <c r="K2051" s="9" t="n">
        <v>0</v>
      </c>
      <c r="L2051" s="10" t="n">
        <v>8.18</v>
      </c>
      <c r="M2051" s="10" t="n">
        <v>1.43</v>
      </c>
      <c r="N2051" t="inlineStr">
        <is>
          <t>1</t>
        </is>
      </c>
      <c r="O2051" t="inlineStr">
        <is>
          <t xml:space="preserve">2 </t>
        </is>
      </c>
      <c r="P2051" t="inlineStr">
        <is>
          <t xml:space="preserve">250714  </t>
        </is>
      </c>
      <c r="Q2051" s="26" t="n">
        <v>13.8</v>
      </c>
      <c r="R2051" s="26">
        <f>Q2051*G2051</f>
        <v/>
      </c>
      <c r="S2051" t="n">
        <v>8.19</v>
      </c>
      <c r="T2051" s="18">
        <f>1 - V2051/S2051</f>
        <v/>
      </c>
      <c r="U2051" s="18" t="n">
        <v>0</v>
      </c>
      <c r="V2051" s="26" t="n">
        <v>8.19</v>
      </c>
      <c r="W2051" s="26">
        <f>V2051 - L2051</f>
        <v/>
      </c>
    </row>
    <row r="2052">
      <c r="A2052" s="11" t="n">
        <v>46223</v>
      </c>
      <c r="B2052" s="1" t="n">
        <v>20058</v>
      </c>
      <c r="C2052" s="1" t="inlineStr">
        <is>
          <t>038</t>
        </is>
      </c>
      <c r="D2052" s="1" t="inlineStr">
        <is>
          <t>210113</t>
        </is>
      </c>
      <c r="E2052" s="1" t="inlineStr">
        <is>
          <t xml:space="preserve">28194769       </t>
        </is>
      </c>
      <c r="F2052" s="5" t="inlineStr">
        <is>
          <t>AUTOS DE METAL 3 TEAMSTERZ PACK DE 2</t>
        </is>
      </c>
      <c r="G2052" t="n">
        <v>1</v>
      </c>
      <c r="H2052" s="7" t="n">
        <v>13.8</v>
      </c>
      <c r="I2052" s="7" t="n">
        <v>0</v>
      </c>
      <c r="J2052" s="7" t="n">
        <v>0</v>
      </c>
      <c r="K2052" s="9" t="n">
        <v>0</v>
      </c>
      <c r="L2052" s="10" t="n">
        <v>8.18</v>
      </c>
      <c r="M2052" s="10" t="n">
        <v>1.43</v>
      </c>
      <c r="N2052" t="inlineStr">
        <is>
          <t>1</t>
        </is>
      </c>
      <c r="O2052" t="inlineStr">
        <is>
          <t xml:space="preserve">3 </t>
        </is>
      </c>
      <c r="P2052" t="inlineStr">
        <is>
          <t xml:space="preserve">94557   </t>
        </is>
      </c>
      <c r="Q2052" s="26" t="n">
        <v>13.8</v>
      </c>
      <c r="R2052" s="26">
        <f>Q2052*G2052</f>
        <v/>
      </c>
      <c r="S2052" t="n">
        <v>8.19</v>
      </c>
      <c r="T2052" s="18">
        <f>1 - V2052/S2052</f>
        <v/>
      </c>
      <c r="U2052" s="18" t="n">
        <v>0</v>
      </c>
      <c r="V2052" s="26" t="n">
        <v>8.19</v>
      </c>
      <c r="W2052" s="26">
        <f>V2052 - L2052</f>
        <v/>
      </c>
    </row>
    <row r="2053">
      <c r="A2053" s="11" t="n">
        <v>46223</v>
      </c>
      <c r="B2053" s="1" t="n">
        <v>20058</v>
      </c>
      <c r="C2053" s="1" t="inlineStr">
        <is>
          <t>197</t>
        </is>
      </c>
      <c r="D2053" s="1" t="inlineStr">
        <is>
          <t>170338</t>
        </is>
      </c>
      <c r="E2053" s="1" t="inlineStr">
        <is>
          <t xml:space="preserve">28194769       </t>
        </is>
      </c>
      <c r="F2053" s="5" t="inlineStr">
        <is>
          <t>AUTOS DE METAL 3 TEAMSTERZ PACK DE 2</t>
        </is>
      </c>
      <c r="G2053" t="n">
        <v>1</v>
      </c>
      <c r="H2053" s="7" t="n">
        <v>13.8</v>
      </c>
      <c r="I2053" s="7" t="n">
        <v>0</v>
      </c>
      <c r="J2053" s="7" t="n">
        <v>0</v>
      </c>
      <c r="K2053" s="9" t="n">
        <v>0</v>
      </c>
      <c r="L2053" s="10" t="n">
        <v>8.18</v>
      </c>
      <c r="M2053" s="10" t="n">
        <v>1.43</v>
      </c>
      <c r="N2053" t="inlineStr">
        <is>
          <t>1</t>
        </is>
      </c>
      <c r="O2053" t="inlineStr">
        <is>
          <t>16</t>
        </is>
      </c>
      <c r="P2053" t="inlineStr">
        <is>
          <t xml:space="preserve">239096  </t>
        </is>
      </c>
      <c r="Q2053" s="26" t="n">
        <v>13.8</v>
      </c>
      <c r="R2053" s="26">
        <f>Q2053*G2053</f>
        <v/>
      </c>
      <c r="S2053" t="n">
        <v>8.19</v>
      </c>
      <c r="T2053" s="18">
        <f>1 - V2053/S2053</f>
        <v/>
      </c>
      <c r="U2053" s="18" t="n">
        <v>0</v>
      </c>
      <c r="V2053" s="26" t="n">
        <v>8.19</v>
      </c>
      <c r="W2053" s="26">
        <f>V2053 - L2053</f>
        <v/>
      </c>
    </row>
    <row r="2054">
      <c r="A2054" s="11" t="n">
        <v>46223</v>
      </c>
      <c r="B2054" s="1" t="n">
        <v>20062</v>
      </c>
      <c r="C2054" s="1" t="inlineStr">
        <is>
          <t>014</t>
        </is>
      </c>
      <c r="D2054" s="1" t="inlineStr">
        <is>
          <t>228608</t>
        </is>
      </c>
      <c r="E2054" s="1" t="inlineStr">
        <is>
          <t xml:space="preserve">34840539       </t>
        </is>
      </c>
      <c r="F2054" s="5" t="inlineStr">
        <is>
          <t>MUNECA STEFFI LOVE ABRIGO FLUFFY</t>
        </is>
      </c>
      <c r="G2054" t="n">
        <v>1</v>
      </c>
      <c r="H2054" s="7" t="n">
        <v>35.94</v>
      </c>
      <c r="I2054" s="7" t="n">
        <v>0</v>
      </c>
      <c r="J2054" s="7" t="n">
        <v>0</v>
      </c>
      <c r="K2054" s="9" t="n">
        <v>0</v>
      </c>
      <c r="L2054" s="10" t="n">
        <v>21.32</v>
      </c>
      <c r="M2054" s="10" t="n">
        <v>1.43</v>
      </c>
      <c r="N2054" t="inlineStr">
        <is>
          <t>1</t>
        </is>
      </c>
      <c r="O2054" t="inlineStr">
        <is>
          <t>16</t>
        </is>
      </c>
      <c r="P2054" t="inlineStr">
        <is>
          <t xml:space="preserve">248790  </t>
        </is>
      </c>
      <c r="Q2054" s="26" t="n">
        <v>59.90000000000001</v>
      </c>
      <c r="R2054" s="26">
        <f>Q2054*G2054</f>
        <v/>
      </c>
      <c r="S2054" t="n">
        <v>35.53</v>
      </c>
      <c r="T2054" s="18">
        <f>1 - V2054/S2054</f>
        <v/>
      </c>
      <c r="U2054" s="18" t="n">
        <v>0.4</v>
      </c>
      <c r="V2054" s="26" t="n">
        <v>25.8793220338983</v>
      </c>
      <c r="W2054" s="26">
        <f>V2054 - L2054</f>
        <v/>
      </c>
    </row>
    <row r="2055">
      <c r="A2055" s="11" t="n">
        <v>46223</v>
      </c>
      <c r="B2055" s="1" t="n">
        <v>20062</v>
      </c>
      <c r="C2055" s="1" t="inlineStr">
        <is>
          <t>038</t>
        </is>
      </c>
      <c r="D2055" s="1" t="inlineStr">
        <is>
          <t>173931</t>
        </is>
      </c>
      <c r="E2055" s="1" t="inlineStr">
        <is>
          <t xml:space="preserve">31754675       </t>
        </is>
      </c>
      <c r="F2055" s="5" t="inlineStr">
        <is>
          <t>INFINITY NADO SERIE 6 STARTER PACK - 4 MODELOS</t>
        </is>
      </c>
      <c r="G2055" t="n">
        <v>1</v>
      </c>
      <c r="H2055" s="7" t="n">
        <v>49.9</v>
      </c>
      <c r="I2055" s="7" t="n">
        <v>0</v>
      </c>
      <c r="J2055" s="7" t="n">
        <v>0</v>
      </c>
      <c r="K2055" s="9" t="n">
        <v>0</v>
      </c>
      <c r="L2055" s="10" t="n">
        <v>29.6</v>
      </c>
      <c r="M2055" s="10" t="n">
        <v>1.43</v>
      </c>
      <c r="N2055" t="inlineStr">
        <is>
          <t>1</t>
        </is>
      </c>
      <c r="O2055" t="inlineStr">
        <is>
          <t xml:space="preserve">3 </t>
        </is>
      </c>
      <c r="P2055" t="inlineStr">
        <is>
          <t xml:space="preserve">243976  </t>
        </is>
      </c>
      <c r="Q2055" s="26" t="n">
        <v>69.90000000000001</v>
      </c>
      <c r="R2055" s="26">
        <f>Q2055*G2055</f>
        <v/>
      </c>
      <c r="S2055" t="n">
        <v>41.47</v>
      </c>
      <c r="T2055" s="18">
        <f>1 - V2055/S2055</f>
        <v/>
      </c>
      <c r="U2055" s="18" t="n">
        <v>0.2861230329041489</v>
      </c>
      <c r="V2055" s="26" t="n">
        <v>31.71610169491525</v>
      </c>
      <c r="W2055" s="26">
        <f>V2055 - L2055</f>
        <v/>
      </c>
    </row>
    <row r="2056">
      <c r="A2056" s="11" t="n">
        <v>46223</v>
      </c>
      <c r="B2056" s="1" t="n">
        <v>20062</v>
      </c>
      <c r="C2056" s="1" t="inlineStr">
        <is>
          <t>053</t>
        </is>
      </c>
      <c r="D2056" s="1" t="inlineStr">
        <is>
          <t>243524</t>
        </is>
      </c>
      <c r="E2056" s="1" t="inlineStr">
        <is>
          <t xml:space="preserve">34840556       </t>
        </is>
      </c>
      <c r="F2056" s="5" t="inlineStr">
        <is>
          <t>TMZ BEAST MACH. TRANSPORT DINO +ACCS</t>
        </is>
      </c>
      <c r="G2056" t="n">
        <v>1</v>
      </c>
      <c r="H2056" s="7" t="n">
        <v>59.9</v>
      </c>
      <c r="I2056" s="7" t="n">
        <v>0</v>
      </c>
      <c r="J2056" s="7" t="n">
        <v>0</v>
      </c>
      <c r="K2056" s="9" t="n">
        <v>0</v>
      </c>
      <c r="L2056" s="10" t="n">
        <v>35.53</v>
      </c>
      <c r="M2056" s="10" t="n">
        <v>1.43</v>
      </c>
      <c r="N2056" t="inlineStr">
        <is>
          <t>1</t>
        </is>
      </c>
      <c r="O2056" t="inlineStr">
        <is>
          <t xml:space="preserve">3 </t>
        </is>
      </c>
      <c r="P2056" t="inlineStr">
        <is>
          <t xml:space="preserve">43458   </t>
        </is>
      </c>
      <c r="Q2056" s="26" t="n">
        <v>79.90000000000002</v>
      </c>
      <c r="R2056" s="26">
        <f>Q2056*G2056</f>
        <v/>
      </c>
      <c r="S2056" t="n">
        <v>47.4</v>
      </c>
      <c r="T2056" s="18">
        <f>1 - V2056/S2056</f>
        <v/>
      </c>
      <c r="U2056" s="18" t="n">
        <v>0.2503128911138924</v>
      </c>
      <c r="V2056" s="26" t="n">
        <v>38.07203389830509</v>
      </c>
      <c r="W2056" s="26">
        <f>V2056 - L2056</f>
        <v/>
      </c>
    </row>
    <row r="2057">
      <c r="A2057" s="11" t="n">
        <v>46223</v>
      </c>
      <c r="B2057" s="1" t="n">
        <v>20066</v>
      </c>
      <c r="C2057" s="1" t="inlineStr">
        <is>
          <t>011</t>
        </is>
      </c>
      <c r="D2057" s="1" t="inlineStr">
        <is>
          <t>112422</t>
        </is>
      </c>
      <c r="E2057" s="1" t="inlineStr">
        <is>
          <t xml:space="preserve">28194770       </t>
        </is>
      </c>
      <c r="F2057" s="5" t="inlineStr">
        <is>
          <t>AUTOS DE METAL 3 TEAMSTERZ EN BLISTER</t>
        </is>
      </c>
      <c r="G2057" t="n">
        <v>1</v>
      </c>
      <c r="H2057" s="7" t="n">
        <v>6.9</v>
      </c>
      <c r="I2057" s="7" t="n">
        <v>0</v>
      </c>
      <c r="J2057" s="7" t="n">
        <v>0</v>
      </c>
      <c r="K2057" s="9" t="n">
        <v>0</v>
      </c>
      <c r="L2057" s="10" t="n">
        <v>4.1</v>
      </c>
      <c r="M2057" s="10" t="n">
        <v>1.43</v>
      </c>
      <c r="N2057" t="inlineStr">
        <is>
          <t>1</t>
        </is>
      </c>
      <c r="O2057" t="inlineStr">
        <is>
          <t xml:space="preserve">6 </t>
        </is>
      </c>
      <c r="P2057" t="inlineStr">
        <is>
          <t xml:space="preserve">52700   </t>
        </is>
      </c>
      <c r="Q2057" s="26" t="n">
        <v>6.9</v>
      </c>
      <c r="R2057" s="26">
        <f>Q2057*G2057</f>
        <v/>
      </c>
      <c r="S2057" t="n">
        <v>4.09</v>
      </c>
      <c r="T2057" s="18">
        <f>1 - V2057/S2057</f>
        <v/>
      </c>
      <c r="U2057" s="18" t="n">
        <v>0</v>
      </c>
      <c r="V2057" s="26" t="n">
        <v>4.09</v>
      </c>
      <c r="W2057" s="26">
        <f>V2057 - L2057</f>
        <v/>
      </c>
    </row>
    <row r="2058">
      <c r="A2058" s="11" t="n">
        <v>46223</v>
      </c>
      <c r="B2058" s="1" t="n">
        <v>20066</v>
      </c>
      <c r="C2058" s="1" t="inlineStr">
        <is>
          <t>803</t>
        </is>
      </c>
      <c r="D2058" s="1" t="inlineStr">
        <is>
          <t xml:space="preserve">6842  </t>
        </is>
      </c>
      <c r="E2058" s="1" t="inlineStr">
        <is>
          <t xml:space="preserve">28194770       </t>
        </is>
      </c>
      <c r="F2058" s="5" t="inlineStr">
        <is>
          <t>AUTOS DE METAL 3 TEAMSTERZ EN BLISTER</t>
        </is>
      </c>
      <c r="G2058" t="n">
        <v>2</v>
      </c>
      <c r="H2058" s="7" t="n">
        <v>13.8</v>
      </c>
      <c r="I2058" s="7" t="n">
        <v>0</v>
      </c>
      <c r="J2058" s="7" t="n">
        <v>0</v>
      </c>
      <c r="K2058" s="9" t="n">
        <v>0</v>
      </c>
      <c r="L2058" s="10" t="n">
        <v>8.18</v>
      </c>
      <c r="M2058" s="10" t="n">
        <v>1.43</v>
      </c>
      <c r="N2058" t="inlineStr">
        <is>
          <t>1</t>
        </is>
      </c>
      <c r="O2058" t="inlineStr">
        <is>
          <t>16</t>
        </is>
      </c>
      <c r="P2058" t="inlineStr">
        <is>
          <t xml:space="preserve">91152   </t>
        </is>
      </c>
      <c r="Q2058" s="26" t="n">
        <v>6.9</v>
      </c>
      <c r="R2058" s="26">
        <f>Q2058*G2058</f>
        <v/>
      </c>
      <c r="S2058" t="n">
        <v>8.18</v>
      </c>
      <c r="T2058" s="18">
        <f>1 - V2058/S2058</f>
        <v/>
      </c>
      <c r="U2058" s="18" t="n">
        <v>0</v>
      </c>
      <c r="V2058" s="26" t="n">
        <v>8.18</v>
      </c>
      <c r="W2058" s="26">
        <f>V2058 - L2058</f>
        <v/>
      </c>
    </row>
    <row r="2059">
      <c r="A2059" s="11" t="n">
        <v>46223</v>
      </c>
      <c r="B2059" s="1" t="n">
        <v>20066</v>
      </c>
      <c r="C2059" s="1" t="inlineStr">
        <is>
          <t>831</t>
        </is>
      </c>
      <c r="D2059" s="1" t="inlineStr">
        <is>
          <t xml:space="preserve">7119  </t>
        </is>
      </c>
      <c r="E2059" s="1" t="inlineStr">
        <is>
          <t xml:space="preserve">28194769       </t>
        </is>
      </c>
      <c r="F2059" s="5" t="inlineStr">
        <is>
          <t>AUTOS DE METAL 3 TEAMSTERZ PACK DE 2</t>
        </is>
      </c>
      <c r="G2059" t="n">
        <v>1</v>
      </c>
      <c r="H2059" s="7" t="n">
        <v>13.8</v>
      </c>
      <c r="I2059" s="7" t="n">
        <v>0</v>
      </c>
      <c r="J2059" s="7" t="n">
        <v>0</v>
      </c>
      <c r="K2059" s="9" t="n">
        <v>0</v>
      </c>
      <c r="L2059" s="10" t="n">
        <v>8.18</v>
      </c>
      <c r="M2059" s="10" t="n">
        <v>1.43</v>
      </c>
      <c r="N2059" t="inlineStr">
        <is>
          <t>1</t>
        </is>
      </c>
      <c r="O2059" t="inlineStr">
        <is>
          <t>16</t>
        </is>
      </c>
      <c r="P2059" t="inlineStr">
        <is>
          <t xml:space="preserve">234784  </t>
        </is>
      </c>
      <c r="Q2059" s="26" t="n">
        <v>13.8</v>
      </c>
      <c r="R2059" s="26">
        <f>Q2059*G2059</f>
        <v/>
      </c>
      <c r="S2059" t="n">
        <v>8.19</v>
      </c>
      <c r="T2059" s="18">
        <f>1 - V2059/S2059</f>
        <v/>
      </c>
      <c r="U2059" s="18" t="n">
        <v>0</v>
      </c>
      <c r="V2059" s="26" t="n">
        <v>8.19</v>
      </c>
      <c r="W2059" s="26">
        <f>V2059 - L2059</f>
        <v/>
      </c>
    </row>
    <row r="2060">
      <c r="A2060" s="11" t="n">
        <v>46223</v>
      </c>
      <c r="B2060" s="1" t="n">
        <v>20069</v>
      </c>
      <c r="C2060" s="1" t="inlineStr">
        <is>
          <t>501</t>
        </is>
      </c>
      <c r="D2060" s="1" t="inlineStr">
        <is>
          <t xml:space="preserve">4540  </t>
        </is>
      </c>
      <c r="E2060" s="1" t="inlineStr">
        <is>
          <t xml:space="preserve">29625603       </t>
        </is>
      </c>
      <c r="F2060" s="5" t="inlineStr">
        <is>
          <t>PINYPON FIG. BASICAS DE VERANO SURT.</t>
        </is>
      </c>
      <c r="G2060" t="n">
        <v>1</v>
      </c>
      <c r="H2060" s="7" t="n">
        <v>10.74</v>
      </c>
      <c r="I2060" s="7" t="n">
        <v>0</v>
      </c>
      <c r="J2060" s="7" t="n">
        <v>0</v>
      </c>
      <c r="K2060" s="9" t="n">
        <v>0</v>
      </c>
      <c r="L2060" s="10" t="n">
        <v>6.37</v>
      </c>
      <c r="M2060" s="10" t="n">
        <v>1.43</v>
      </c>
      <c r="N2060" t="inlineStr">
        <is>
          <t>1</t>
        </is>
      </c>
      <c r="O2060" t="inlineStr">
        <is>
          <t>16</t>
        </is>
      </c>
      <c r="P2060" t="inlineStr">
        <is>
          <t xml:space="preserve">251323  </t>
        </is>
      </c>
      <c r="Q2060" s="26" t="n">
        <v>17.9</v>
      </c>
      <c r="R2060" s="26">
        <f>Q2060*G2060</f>
        <v/>
      </c>
      <c r="S2060" t="n">
        <v>10.62</v>
      </c>
      <c r="T2060" s="18">
        <f>1 - V2060/S2060</f>
        <v/>
      </c>
      <c r="U2060" s="18" t="n">
        <v>0.3999999999999999</v>
      </c>
      <c r="V2060" s="26" t="n">
        <v>7.281355932203391</v>
      </c>
      <c r="W2060" s="26">
        <f>V2060 - L2060</f>
        <v/>
      </c>
    </row>
    <row r="2061">
      <c r="A2061" s="11" t="n">
        <v>46223</v>
      </c>
      <c r="B2061" s="1" t="n">
        <v>20073</v>
      </c>
      <c r="C2061" s="1" t="inlineStr">
        <is>
          <t>032</t>
        </is>
      </c>
      <c r="D2061" s="1" t="inlineStr">
        <is>
          <t>380573</t>
        </is>
      </c>
      <c r="E2061" s="1" t="inlineStr">
        <is>
          <t xml:space="preserve">28194770       </t>
        </is>
      </c>
      <c r="F2061" s="5" t="inlineStr">
        <is>
          <t>AUTOS DE METAL 3 TEAMSTERZ EN BLISTER</t>
        </is>
      </c>
      <c r="G2061" t="n">
        <v>1</v>
      </c>
      <c r="H2061" s="7" t="n">
        <v>6.9</v>
      </c>
      <c r="I2061" s="7" t="n">
        <v>0</v>
      </c>
      <c r="J2061" s="7" t="n">
        <v>0</v>
      </c>
      <c r="K2061" s="9" t="n">
        <v>0</v>
      </c>
      <c r="L2061" s="10" t="n">
        <v>4.1</v>
      </c>
      <c r="M2061" s="10" t="n">
        <v>1.43</v>
      </c>
      <c r="N2061" t="inlineStr">
        <is>
          <t>1</t>
        </is>
      </c>
      <c r="O2061" t="inlineStr">
        <is>
          <t>16</t>
        </is>
      </c>
      <c r="P2061" t="inlineStr">
        <is>
          <t xml:space="preserve">74879   </t>
        </is>
      </c>
      <c r="Q2061" s="26" t="n">
        <v>6.9</v>
      </c>
      <c r="R2061" s="26">
        <f>Q2061*G2061</f>
        <v/>
      </c>
      <c r="S2061" t="n">
        <v>4.09</v>
      </c>
      <c r="T2061" s="18">
        <f>1 - V2061/S2061</f>
        <v/>
      </c>
      <c r="U2061" s="18" t="n">
        <v>0</v>
      </c>
      <c r="V2061" s="26" t="n">
        <v>4.09</v>
      </c>
      <c r="W2061" s="26">
        <f>V2061 - L2061</f>
        <v/>
      </c>
    </row>
    <row r="2062">
      <c r="A2062" s="11" t="n">
        <v>46223</v>
      </c>
      <c r="B2062" s="1" t="n">
        <v>20073</v>
      </c>
      <c r="C2062" s="1" t="inlineStr">
        <is>
          <t>032</t>
        </is>
      </c>
      <c r="D2062" s="1" t="inlineStr">
        <is>
          <t>380573</t>
        </is>
      </c>
      <c r="E2062" s="1" t="inlineStr">
        <is>
          <t xml:space="preserve">28194770       </t>
        </is>
      </c>
      <c r="F2062" s="5" t="inlineStr">
        <is>
          <t>AUTOS DE METAL 3 TEAMSTERZ EN BLISTER</t>
        </is>
      </c>
      <c r="G2062" t="n">
        <v>1</v>
      </c>
      <c r="H2062" s="7" t="n">
        <v>6.9</v>
      </c>
      <c r="I2062" s="7" t="n">
        <v>0</v>
      </c>
      <c r="J2062" s="7" t="n">
        <v>0</v>
      </c>
      <c r="K2062" s="9" t="n">
        <v>0</v>
      </c>
      <c r="L2062" s="10" t="n">
        <v>4.1</v>
      </c>
      <c r="M2062" s="10" t="n">
        <v>1.43</v>
      </c>
      <c r="N2062" t="inlineStr">
        <is>
          <t>1</t>
        </is>
      </c>
      <c r="O2062" t="inlineStr">
        <is>
          <t>16</t>
        </is>
      </c>
      <c r="P2062" t="inlineStr">
        <is>
          <t xml:space="preserve">74879   </t>
        </is>
      </c>
      <c r="Q2062" s="26" t="n">
        <v>6.9</v>
      </c>
      <c r="R2062" s="26">
        <f>Q2062*G2062</f>
        <v/>
      </c>
      <c r="S2062" t="n">
        <v>4.09</v>
      </c>
      <c r="T2062" s="18">
        <f>1 - V2062/S2062</f>
        <v/>
      </c>
      <c r="U2062" s="18" t="n">
        <v>0</v>
      </c>
      <c r="V2062" s="26" t="n">
        <v>4.09</v>
      </c>
      <c r="W2062" s="26">
        <f>V2062 - L2062</f>
        <v/>
      </c>
    </row>
    <row r="2063">
      <c r="A2063" s="11" t="n">
        <v>46223</v>
      </c>
      <c r="B2063" s="1" t="n">
        <v>20073</v>
      </c>
      <c r="C2063" s="1" t="inlineStr">
        <is>
          <t>032</t>
        </is>
      </c>
      <c r="D2063" s="1" t="inlineStr">
        <is>
          <t>380573</t>
        </is>
      </c>
      <c r="E2063" s="1" t="inlineStr">
        <is>
          <t xml:space="preserve">28194770       </t>
        </is>
      </c>
      <c r="F2063" s="5" t="inlineStr">
        <is>
          <t>AUTOS DE METAL 3 TEAMSTERZ EN BLISTER</t>
        </is>
      </c>
      <c r="G2063" t="n">
        <v>1</v>
      </c>
      <c r="H2063" s="7" t="n">
        <v>6.9</v>
      </c>
      <c r="I2063" s="7" t="n">
        <v>0</v>
      </c>
      <c r="J2063" s="7" t="n">
        <v>0</v>
      </c>
      <c r="K2063" s="9" t="n">
        <v>0</v>
      </c>
      <c r="L2063" s="10" t="n">
        <v>4.1</v>
      </c>
      <c r="M2063" s="10" t="n">
        <v>1.43</v>
      </c>
      <c r="N2063" t="inlineStr">
        <is>
          <t>1</t>
        </is>
      </c>
      <c r="O2063" t="inlineStr">
        <is>
          <t>16</t>
        </is>
      </c>
      <c r="P2063" t="inlineStr">
        <is>
          <t xml:space="preserve">74879   </t>
        </is>
      </c>
      <c r="Q2063" s="26" t="n">
        <v>6.9</v>
      </c>
      <c r="R2063" s="26">
        <f>Q2063*G2063</f>
        <v/>
      </c>
      <c r="S2063" t="n">
        <v>4.09</v>
      </c>
      <c r="T2063" s="18">
        <f>1 - V2063/S2063</f>
        <v/>
      </c>
      <c r="U2063" s="18" t="n">
        <v>0</v>
      </c>
      <c r="V2063" s="26" t="n">
        <v>4.09</v>
      </c>
      <c r="W2063" s="26">
        <f>V2063 - L2063</f>
        <v/>
      </c>
    </row>
    <row r="2064">
      <c r="A2064" s="11" t="n">
        <v>46223</v>
      </c>
      <c r="B2064" s="1" t="n">
        <v>20074</v>
      </c>
      <c r="C2064" s="1" t="inlineStr">
        <is>
          <t>011</t>
        </is>
      </c>
      <c r="D2064" s="1" t="inlineStr">
        <is>
          <t>234621</t>
        </is>
      </c>
      <c r="E2064" s="1" t="inlineStr">
        <is>
          <t xml:space="preserve">28194769       </t>
        </is>
      </c>
      <c r="F2064" s="5" t="inlineStr">
        <is>
          <t>AUTOS DE METAL 3 TEAMSTERZ PACK DE 2</t>
        </is>
      </c>
      <c r="G2064" t="n">
        <v>1</v>
      </c>
      <c r="H2064" s="7" t="n">
        <v>13.8</v>
      </c>
      <c r="I2064" s="7" t="n">
        <v>0</v>
      </c>
      <c r="J2064" s="7" t="n">
        <v>0</v>
      </c>
      <c r="K2064" s="9" t="n">
        <v>0</v>
      </c>
      <c r="L2064" s="10" t="n">
        <v>8.18</v>
      </c>
      <c r="M2064" s="10" t="n">
        <v>1.43</v>
      </c>
      <c r="N2064" t="inlineStr">
        <is>
          <t>1</t>
        </is>
      </c>
      <c r="O2064" t="inlineStr">
        <is>
          <t>16</t>
        </is>
      </c>
      <c r="P2064" t="inlineStr">
        <is>
          <t xml:space="preserve">70025   </t>
        </is>
      </c>
      <c r="Q2064" s="26" t="n">
        <v>13.8</v>
      </c>
      <c r="R2064" s="26">
        <f>Q2064*G2064</f>
        <v/>
      </c>
      <c r="S2064" t="n">
        <v>8.19</v>
      </c>
      <c r="T2064" s="18">
        <f>1 - V2064/S2064</f>
        <v/>
      </c>
      <c r="U2064" s="18" t="n">
        <v>0</v>
      </c>
      <c r="V2064" s="26" t="n">
        <v>8.19</v>
      </c>
      <c r="W2064" s="26">
        <f>V2064 - L2064</f>
        <v/>
      </c>
    </row>
    <row r="2065">
      <c r="A2065" s="11" t="n">
        <v>46223</v>
      </c>
      <c r="B2065" s="1" t="n">
        <v>20074</v>
      </c>
      <c r="C2065" s="1" t="inlineStr">
        <is>
          <t>011</t>
        </is>
      </c>
      <c r="D2065" s="1" t="inlineStr">
        <is>
          <t>234621</t>
        </is>
      </c>
      <c r="E2065" s="1" t="inlineStr">
        <is>
          <t xml:space="preserve">32457099       </t>
        </is>
      </c>
      <c r="F2065" s="5" t="inlineStr">
        <is>
          <t>TMZ BEAST MACHINES MONSTER JAWS A FRICCION BLISTER</t>
        </is>
      </c>
      <c r="G2065" t="n">
        <v>1</v>
      </c>
      <c r="H2065" s="7" t="n">
        <v>17.9</v>
      </c>
      <c r="I2065" s="7" t="n">
        <v>0</v>
      </c>
      <c r="J2065" s="7" t="n">
        <v>0</v>
      </c>
      <c r="K2065" s="9" t="n">
        <v>0</v>
      </c>
      <c r="L2065" s="10" t="n">
        <v>10.62</v>
      </c>
      <c r="M2065" s="10" t="n">
        <v>1.43</v>
      </c>
      <c r="N2065" t="inlineStr">
        <is>
          <t>1</t>
        </is>
      </c>
      <c r="O2065" t="inlineStr">
        <is>
          <t>16</t>
        </is>
      </c>
      <c r="P2065" t="inlineStr">
        <is>
          <t xml:space="preserve">70025   </t>
        </is>
      </c>
      <c r="Q2065" s="26" t="n">
        <v>19.9</v>
      </c>
      <c r="R2065" s="26">
        <f>Q2065*G2065</f>
        <v/>
      </c>
      <c r="S2065" t="n">
        <v>11.81</v>
      </c>
      <c r="T2065" s="18">
        <f>1 - V2065/S2065</f>
        <v/>
      </c>
      <c r="U2065" s="18" t="n">
        <v>0.1005025125628141</v>
      </c>
      <c r="V2065" s="26" t="n">
        <v>8.417118644067797</v>
      </c>
      <c r="W2065" s="26">
        <f>V2065 - L2065</f>
        <v/>
      </c>
    </row>
    <row r="2066">
      <c r="A2066" s="11" t="n">
        <v>46223</v>
      </c>
      <c r="B2066" s="1" t="n">
        <v>20074</v>
      </c>
      <c r="C2066" s="1" t="inlineStr">
        <is>
          <t>015</t>
        </is>
      </c>
      <c r="D2066" s="1" t="inlineStr">
        <is>
          <t>228354</t>
        </is>
      </c>
      <c r="E2066" s="1" t="inlineStr">
        <is>
          <t xml:space="preserve">29854052       </t>
        </is>
      </c>
      <c r="F2066" s="5" t="inlineStr">
        <is>
          <t>PLAYSET CAMBIA DE COLOR CROC BITE</t>
        </is>
      </c>
      <c r="G2066" t="n">
        <v>1</v>
      </c>
      <c r="H2066" s="7" t="n">
        <v>79.90000000000001</v>
      </c>
      <c r="I2066" s="7" t="n">
        <v>0</v>
      </c>
      <c r="J2066" s="7" t="n">
        <v>0</v>
      </c>
      <c r="K2066" s="9" t="n">
        <v>0</v>
      </c>
      <c r="L2066" s="10" t="n">
        <v>47.4</v>
      </c>
      <c r="M2066" s="10" t="n">
        <v>1.43</v>
      </c>
      <c r="N2066" t="inlineStr">
        <is>
          <t>1</t>
        </is>
      </c>
      <c r="O2066" t="inlineStr">
        <is>
          <t>16</t>
        </is>
      </c>
      <c r="P2066" t="inlineStr">
        <is>
          <t xml:space="preserve">90017   </t>
        </is>
      </c>
      <c r="Q2066" s="26" t="n">
        <v>79.90000000000001</v>
      </c>
      <c r="R2066" s="26">
        <f>Q2066*G2066</f>
        <v/>
      </c>
      <c r="S2066" t="n">
        <v>47.4</v>
      </c>
      <c r="T2066" s="18">
        <f>1 - V2066/S2066</f>
        <v/>
      </c>
      <c r="U2066" s="18" t="n">
        <v>0</v>
      </c>
      <c r="V2066" s="26" t="n">
        <v>47.4</v>
      </c>
      <c r="W2066" s="26">
        <f>V2066 - L2066</f>
        <v/>
      </c>
    </row>
    <row r="2067">
      <c r="A2067" s="11" t="n">
        <v>46223</v>
      </c>
      <c r="B2067" s="1" t="n">
        <v>20079</v>
      </c>
      <c r="C2067" s="1" t="inlineStr">
        <is>
          <t>041</t>
        </is>
      </c>
      <c r="D2067" s="1" t="inlineStr">
        <is>
          <t xml:space="preserve">99468 </t>
        </is>
      </c>
      <c r="E2067" s="1" t="inlineStr">
        <is>
          <t xml:space="preserve">29235706       </t>
        </is>
      </c>
      <c r="F2067" s="5" t="inlineStr">
        <is>
          <t>TEAMSTERZ CAMION PARA GUARDAR 12 AUTOS INCL 4 AUTO</t>
        </is>
      </c>
      <c r="G2067" t="n">
        <v>1</v>
      </c>
      <c r="H2067" s="7" t="n">
        <v>59.9</v>
      </c>
      <c r="I2067" s="7" t="n">
        <v>0</v>
      </c>
      <c r="J2067" s="7" t="n">
        <v>0</v>
      </c>
      <c r="K2067" s="9" t="n">
        <v>0</v>
      </c>
      <c r="L2067" s="10" t="n">
        <v>35.53</v>
      </c>
      <c r="M2067" s="10" t="n">
        <v>1.43</v>
      </c>
      <c r="N2067" t="inlineStr">
        <is>
          <t>1</t>
        </is>
      </c>
      <c r="O2067" t="inlineStr">
        <is>
          <t xml:space="preserve">3 </t>
        </is>
      </c>
      <c r="P2067" t="inlineStr">
        <is>
          <t xml:space="preserve">83637   </t>
        </is>
      </c>
      <c r="Q2067" s="26" t="n">
        <v>59.90000000000001</v>
      </c>
      <c r="R2067" s="26">
        <f>Q2067*G2067</f>
        <v/>
      </c>
      <c r="S2067" t="n">
        <v>35.53</v>
      </c>
      <c r="T2067" s="18">
        <f>1 - V2067/S2067</f>
        <v/>
      </c>
      <c r="U2067" s="18" t="n">
        <v>0</v>
      </c>
      <c r="V2067" s="26" t="n">
        <v>35.53</v>
      </c>
      <c r="W2067" s="26">
        <f>V2067 - L2067</f>
        <v/>
      </c>
    </row>
    <row r="2068">
      <c r="A2068" s="11" t="n">
        <v>46223</v>
      </c>
      <c r="B2068" s="1" t="n">
        <v>20086</v>
      </c>
      <c r="C2068" s="1" t="inlineStr">
        <is>
          <t>014</t>
        </is>
      </c>
      <c r="D2068" s="1" t="inlineStr">
        <is>
          <t>127082</t>
        </is>
      </c>
      <c r="E2068" s="1" t="inlineStr">
        <is>
          <t xml:space="preserve">28194769       </t>
        </is>
      </c>
      <c r="F2068" s="5" t="inlineStr">
        <is>
          <t>AUTOS DE METAL 3 TEAMSTERZ PACK DE 2</t>
        </is>
      </c>
      <c r="G2068" t="n">
        <v>1</v>
      </c>
      <c r="H2068" s="7" t="n">
        <v>13.8</v>
      </c>
      <c r="I2068" s="7" t="n">
        <v>0</v>
      </c>
      <c r="J2068" s="7" t="n">
        <v>0</v>
      </c>
      <c r="K2068" s="9" t="n">
        <v>0</v>
      </c>
      <c r="L2068" s="10" t="n">
        <v>8.18</v>
      </c>
      <c r="M2068" s="10" t="n">
        <v>1.43</v>
      </c>
      <c r="N2068" t="inlineStr">
        <is>
          <t>1</t>
        </is>
      </c>
      <c r="O2068" t="inlineStr">
        <is>
          <t xml:space="preserve">2 </t>
        </is>
      </c>
      <c r="P2068" t="inlineStr">
        <is>
          <t xml:space="preserve">74697   </t>
        </is>
      </c>
      <c r="Q2068" s="26" t="n">
        <v>13.8</v>
      </c>
      <c r="R2068" s="26">
        <f>Q2068*G2068</f>
        <v/>
      </c>
      <c r="S2068" t="n">
        <v>8.19</v>
      </c>
      <c r="T2068" s="18">
        <f>1 - V2068/S2068</f>
        <v/>
      </c>
      <c r="U2068" s="18" t="n">
        <v>0</v>
      </c>
      <c r="V2068" s="26" t="n">
        <v>8.19</v>
      </c>
      <c r="W2068" s="26">
        <f>V2068 - L2068</f>
        <v/>
      </c>
    </row>
    <row r="2069">
      <c r="A2069" s="11" t="n">
        <v>46223</v>
      </c>
      <c r="B2069" s="1" t="n">
        <v>20088</v>
      </c>
      <c r="C2069" s="1" t="inlineStr">
        <is>
          <t>023</t>
        </is>
      </c>
      <c r="D2069" s="1" t="inlineStr">
        <is>
          <t>127461</t>
        </is>
      </c>
      <c r="E2069" s="1" t="inlineStr">
        <is>
          <t xml:space="preserve">28194782       </t>
        </is>
      </c>
      <c r="F2069" s="5" t="inlineStr">
        <is>
          <t>TROMPO BATALLA INFINITY NADO SERIE V ORIGINAL SURT</t>
        </is>
      </c>
      <c r="G2069" t="n">
        <v>1</v>
      </c>
      <c r="H2069" s="7" t="n">
        <v>49.9</v>
      </c>
      <c r="I2069" s="7" t="n">
        <v>0</v>
      </c>
      <c r="J2069" s="7" t="n">
        <v>0</v>
      </c>
      <c r="K2069" s="9" t="n">
        <v>0</v>
      </c>
      <c r="L2069" s="10" t="n">
        <v>29.6</v>
      </c>
      <c r="M2069" s="10" t="n">
        <v>1.43</v>
      </c>
      <c r="N2069" t="inlineStr">
        <is>
          <t>1</t>
        </is>
      </c>
      <c r="O2069" t="inlineStr">
        <is>
          <t>16</t>
        </is>
      </c>
      <c r="P2069" t="inlineStr">
        <is>
          <t xml:space="preserve">248960  </t>
        </is>
      </c>
      <c r="Q2069" s="26" t="n">
        <v>69.90000000000001</v>
      </c>
      <c r="R2069" s="26">
        <f>Q2069*G2069</f>
        <v/>
      </c>
      <c r="S2069" t="n">
        <v>41.47</v>
      </c>
      <c r="T2069" s="18">
        <f>1 - V2069/S2069</f>
        <v/>
      </c>
      <c r="U2069" s="18" t="n">
        <v>0.2861230329041489</v>
      </c>
      <c r="V2069" s="26" t="n">
        <v>31.71610169491525</v>
      </c>
      <c r="W2069" s="26">
        <f>V2069 - L2069</f>
        <v/>
      </c>
    </row>
    <row r="2070">
      <c r="A2070" s="11" t="n">
        <v>46223</v>
      </c>
      <c r="B2070" s="1" t="n">
        <v>20088</v>
      </c>
      <c r="C2070" s="1" t="inlineStr">
        <is>
          <t>023</t>
        </is>
      </c>
      <c r="D2070" s="1" t="inlineStr">
        <is>
          <t>127464</t>
        </is>
      </c>
      <c r="E2070" s="1" t="inlineStr">
        <is>
          <t xml:space="preserve">28194783       </t>
        </is>
      </c>
      <c r="F2070" s="5" t="inlineStr">
        <is>
          <t>SET DE BATALLA INFINITY NADO CON 2 TROMPOS</t>
        </is>
      </c>
      <c r="G2070" t="n">
        <v>1</v>
      </c>
      <c r="H2070" s="7" t="n">
        <v>129</v>
      </c>
      <c r="I2070" s="7" t="n">
        <v>0</v>
      </c>
      <c r="J2070" s="7" t="n">
        <v>0</v>
      </c>
      <c r="K2070" s="9" t="n">
        <v>0</v>
      </c>
      <c r="L2070" s="10" t="n">
        <v>76.52</v>
      </c>
      <c r="M2070" s="10" t="n">
        <v>1.43</v>
      </c>
      <c r="N2070" t="inlineStr">
        <is>
          <t>1</t>
        </is>
      </c>
      <c r="O2070" t="inlineStr">
        <is>
          <t>16</t>
        </is>
      </c>
      <c r="P2070" t="inlineStr">
        <is>
          <t xml:space="preserve">248960  </t>
        </is>
      </c>
      <c r="Q2070" s="26" t="n">
        <v>159</v>
      </c>
      <c r="R2070" s="26">
        <f>Q2070*G2070</f>
        <v/>
      </c>
      <c r="S2070" t="n">
        <v>94.31999999999999</v>
      </c>
      <c r="T2070" s="18">
        <f>1 - V2070/S2070</f>
        <v/>
      </c>
      <c r="U2070" s="18" t="n">
        <v>0.1886792452830188</v>
      </c>
      <c r="V2070" s="26" t="n">
        <v>81.99152542372882</v>
      </c>
      <c r="W2070" s="26">
        <f>V2070 - L2070</f>
        <v/>
      </c>
    </row>
    <row r="2071">
      <c r="A2071" s="11" t="n">
        <v>46223</v>
      </c>
      <c r="B2071" s="1" t="n">
        <v>20088</v>
      </c>
      <c r="C2071" s="1" t="inlineStr">
        <is>
          <t>023</t>
        </is>
      </c>
      <c r="D2071" s="1" t="inlineStr">
        <is>
          <t>127464</t>
        </is>
      </c>
      <c r="E2071" s="1" t="inlineStr">
        <is>
          <t xml:space="preserve">31754675       </t>
        </is>
      </c>
      <c r="F2071" s="5" t="inlineStr">
        <is>
          <t>INFINITY NADO SERIE 6 STARTER PACK - 4 MODELOS</t>
        </is>
      </c>
      <c r="G2071" t="n">
        <v>1</v>
      </c>
      <c r="H2071" s="7" t="n">
        <v>49.9</v>
      </c>
      <c r="I2071" s="7" t="n">
        <v>0</v>
      </c>
      <c r="J2071" s="7" t="n">
        <v>0</v>
      </c>
      <c r="K2071" s="9" t="n">
        <v>0</v>
      </c>
      <c r="L2071" s="10" t="n">
        <v>29.6</v>
      </c>
      <c r="M2071" s="10" t="n">
        <v>1.43</v>
      </c>
      <c r="N2071" t="inlineStr">
        <is>
          <t>1</t>
        </is>
      </c>
      <c r="O2071" t="inlineStr">
        <is>
          <t>16</t>
        </is>
      </c>
      <c r="P2071" t="inlineStr">
        <is>
          <t xml:space="preserve">248960  </t>
        </is>
      </c>
      <c r="Q2071" s="26" t="n">
        <v>69.90000000000001</v>
      </c>
      <c r="R2071" s="26">
        <f>Q2071*G2071</f>
        <v/>
      </c>
      <c r="S2071" t="n">
        <v>41.47</v>
      </c>
      <c r="T2071" s="18">
        <f>1 - V2071/S2071</f>
        <v/>
      </c>
      <c r="U2071" s="18" t="n">
        <v>0.2861230329041489</v>
      </c>
      <c r="V2071" s="26" t="n">
        <v>31.71610169491525</v>
      </c>
      <c r="W2071" s="26">
        <f>V2071 - L2071</f>
        <v/>
      </c>
    </row>
    <row r="2072">
      <c r="A2072" s="11" t="n">
        <v>46223</v>
      </c>
      <c r="B2072" s="1" t="n">
        <v>20088</v>
      </c>
      <c r="C2072" s="1" t="inlineStr">
        <is>
          <t>023</t>
        </is>
      </c>
      <c r="D2072" s="1" t="inlineStr">
        <is>
          <t>127464</t>
        </is>
      </c>
      <c r="E2072" s="1" t="inlineStr">
        <is>
          <t xml:space="preserve">31754675       </t>
        </is>
      </c>
      <c r="F2072" s="5" t="inlineStr">
        <is>
          <t>INFINITY NADO SERIE 6 STARTER PACK - 4 MODELOS</t>
        </is>
      </c>
      <c r="G2072" t="n">
        <v>1</v>
      </c>
      <c r="H2072" s="7" t="n">
        <v>49.9</v>
      </c>
      <c r="I2072" s="7" t="n">
        <v>0</v>
      </c>
      <c r="J2072" s="7" t="n">
        <v>0</v>
      </c>
      <c r="K2072" s="9" t="n">
        <v>0</v>
      </c>
      <c r="L2072" s="10" t="n">
        <v>29.6</v>
      </c>
      <c r="M2072" s="10" t="n">
        <v>1.43</v>
      </c>
      <c r="N2072" t="inlineStr">
        <is>
          <t>1</t>
        </is>
      </c>
      <c r="O2072" t="inlineStr">
        <is>
          <t>16</t>
        </is>
      </c>
      <c r="P2072" t="inlineStr">
        <is>
          <t xml:space="preserve">248960  </t>
        </is>
      </c>
      <c r="Q2072" s="26" t="n">
        <v>69.90000000000001</v>
      </c>
      <c r="R2072" s="26">
        <f>Q2072*G2072</f>
        <v/>
      </c>
      <c r="S2072" t="n">
        <v>41.47</v>
      </c>
      <c r="T2072" s="18">
        <f>1 - V2072/S2072</f>
        <v/>
      </c>
      <c r="U2072" s="18" t="n">
        <v>0.2861230329041489</v>
      </c>
      <c r="V2072" s="26" t="n">
        <v>31.71610169491525</v>
      </c>
      <c r="W2072" s="26">
        <f>V2072 - L2072</f>
        <v/>
      </c>
    </row>
    <row r="2073">
      <c r="A2073" s="11" t="n">
        <v>46223</v>
      </c>
      <c r="B2073" s="1" t="n">
        <v>20088</v>
      </c>
      <c r="C2073" s="1" t="inlineStr">
        <is>
          <t>023</t>
        </is>
      </c>
      <c r="D2073" s="1" t="inlineStr">
        <is>
          <t>127464</t>
        </is>
      </c>
      <c r="E2073" s="1" t="inlineStr">
        <is>
          <t xml:space="preserve">31754675       </t>
        </is>
      </c>
      <c r="F2073" s="5" t="inlineStr">
        <is>
          <t>INFINITY NADO SERIE 6 STARTER PACK - 4 MODELOS</t>
        </is>
      </c>
      <c r="G2073" t="n">
        <v>1</v>
      </c>
      <c r="H2073" s="7" t="n">
        <v>49.9</v>
      </c>
      <c r="I2073" s="7" t="n">
        <v>0</v>
      </c>
      <c r="J2073" s="7" t="n">
        <v>0</v>
      </c>
      <c r="K2073" s="9" t="n">
        <v>0</v>
      </c>
      <c r="L2073" s="10" t="n">
        <v>29.6</v>
      </c>
      <c r="M2073" s="10" t="n">
        <v>1.43</v>
      </c>
      <c r="N2073" t="inlineStr">
        <is>
          <t>1</t>
        </is>
      </c>
      <c r="O2073" t="inlineStr">
        <is>
          <t>16</t>
        </is>
      </c>
      <c r="P2073" t="inlineStr">
        <is>
          <t xml:space="preserve">248960  </t>
        </is>
      </c>
      <c r="Q2073" s="26" t="n">
        <v>69.90000000000001</v>
      </c>
      <c r="R2073" s="26">
        <f>Q2073*G2073</f>
        <v/>
      </c>
      <c r="S2073" t="n">
        <v>41.47</v>
      </c>
      <c r="T2073" s="18">
        <f>1 - V2073/S2073</f>
        <v/>
      </c>
      <c r="U2073" s="18" t="n">
        <v>0.2861230329041489</v>
      </c>
      <c r="V2073" s="26" t="n">
        <v>31.71610169491525</v>
      </c>
      <c r="W2073" s="26">
        <f>V2073 - L2073</f>
        <v/>
      </c>
    </row>
    <row r="2074">
      <c r="A2074" s="11" t="n">
        <v>46223</v>
      </c>
      <c r="B2074" s="1" t="n">
        <v>20088</v>
      </c>
      <c r="C2074" s="1" t="inlineStr">
        <is>
          <t>023</t>
        </is>
      </c>
      <c r="D2074" s="1" t="inlineStr">
        <is>
          <t>127501</t>
        </is>
      </c>
      <c r="E2074" s="1" t="inlineStr">
        <is>
          <t xml:space="preserve">28194769       </t>
        </is>
      </c>
      <c r="F2074" s="5" t="inlineStr">
        <is>
          <t>AUTOS DE METAL 3 TEAMSTERZ PACK DE 2</t>
        </is>
      </c>
      <c r="G2074" t="n">
        <v>1</v>
      </c>
      <c r="H2074" s="7" t="n">
        <v>13.8</v>
      </c>
      <c r="I2074" s="7" t="n">
        <v>0</v>
      </c>
      <c r="J2074" s="7" t="n">
        <v>0</v>
      </c>
      <c r="K2074" s="9" t="n">
        <v>0</v>
      </c>
      <c r="L2074" s="10" t="n">
        <v>8.18</v>
      </c>
      <c r="M2074" s="10" t="n">
        <v>1.43</v>
      </c>
      <c r="N2074" t="inlineStr">
        <is>
          <t>1</t>
        </is>
      </c>
      <c r="O2074" t="inlineStr">
        <is>
          <t>16</t>
        </is>
      </c>
      <c r="P2074" t="inlineStr">
        <is>
          <t xml:space="preserve">248960  </t>
        </is>
      </c>
      <c r="Q2074" s="26" t="n">
        <v>13.8</v>
      </c>
      <c r="R2074" s="26">
        <f>Q2074*G2074</f>
        <v/>
      </c>
      <c r="S2074" t="n">
        <v>8.19</v>
      </c>
      <c r="T2074" s="18">
        <f>1 - V2074/S2074</f>
        <v/>
      </c>
      <c r="U2074" s="18" t="n">
        <v>0</v>
      </c>
      <c r="V2074" s="26" t="n">
        <v>8.19</v>
      </c>
      <c r="W2074" s="26">
        <f>V2074 - L2074</f>
        <v/>
      </c>
    </row>
    <row r="2075">
      <c r="A2075" s="11" t="n">
        <v>46223</v>
      </c>
      <c r="B2075" s="1" t="n">
        <v>20089</v>
      </c>
      <c r="C2075" s="1" t="inlineStr">
        <is>
          <t>020</t>
        </is>
      </c>
      <c r="D2075" s="1" t="inlineStr">
        <is>
          <t xml:space="preserve">50797 </t>
        </is>
      </c>
      <c r="E2075" s="1" t="inlineStr">
        <is>
          <t xml:space="preserve">32457099       </t>
        </is>
      </c>
      <c r="F2075" s="5" t="inlineStr">
        <is>
          <t>TMZ BEAST MACHINES MONSTER JAWS A FRICCION BLISTER</t>
        </is>
      </c>
      <c r="G2075" t="n">
        <v>1</v>
      </c>
      <c r="H2075" s="7" t="n">
        <v>17.9</v>
      </c>
      <c r="I2075" s="7" t="n">
        <v>0</v>
      </c>
      <c r="J2075" s="7" t="n">
        <v>0</v>
      </c>
      <c r="K2075" s="9" t="n">
        <v>0</v>
      </c>
      <c r="L2075" s="10" t="n">
        <v>10.62</v>
      </c>
      <c r="M2075" s="10" t="n">
        <v>1.43</v>
      </c>
      <c r="N2075" t="inlineStr">
        <is>
          <t>1</t>
        </is>
      </c>
      <c r="O2075" t="inlineStr">
        <is>
          <t xml:space="preserve">2 </t>
        </is>
      </c>
      <c r="P2075" t="inlineStr">
        <is>
          <t xml:space="preserve">233031  </t>
        </is>
      </c>
      <c r="Q2075" s="26" t="n">
        <v>19.9</v>
      </c>
      <c r="R2075" s="26">
        <f>Q2075*G2075</f>
        <v/>
      </c>
      <c r="S2075" t="n">
        <v>11.81</v>
      </c>
      <c r="T2075" s="18">
        <f>1 - V2075/S2075</f>
        <v/>
      </c>
      <c r="U2075" s="18" t="n">
        <v>0.1005025125628141</v>
      </c>
      <c r="V2075" s="26" t="n">
        <v>8.417118644067797</v>
      </c>
      <c r="W2075" s="26">
        <f>V2075 - L2075</f>
        <v/>
      </c>
    </row>
    <row r="2076">
      <c r="A2076" s="11" t="n">
        <v>46223</v>
      </c>
      <c r="B2076" s="1" t="n">
        <v>20089</v>
      </c>
      <c r="C2076" s="1" t="inlineStr">
        <is>
          <t>025</t>
        </is>
      </c>
      <c r="D2076" s="1" t="inlineStr">
        <is>
          <t>122229</t>
        </is>
      </c>
      <c r="E2076" s="1" t="inlineStr">
        <is>
          <t xml:space="preserve">28194770       </t>
        </is>
      </c>
      <c r="F2076" s="5" t="inlineStr">
        <is>
          <t>AUTOS DE METAL 3 TEAMSTERZ EN BLISTER</t>
        </is>
      </c>
      <c r="G2076" t="n">
        <v>1</v>
      </c>
      <c r="H2076" s="7" t="n">
        <v>6.9</v>
      </c>
      <c r="I2076" s="7" t="n">
        <v>0</v>
      </c>
      <c r="J2076" s="7" t="n">
        <v>0</v>
      </c>
      <c r="K2076" s="9" t="n">
        <v>0</v>
      </c>
      <c r="L2076" s="10" t="n">
        <v>4.1</v>
      </c>
      <c r="M2076" s="10" t="n">
        <v>1.43</v>
      </c>
      <c r="N2076" t="inlineStr">
        <is>
          <t>1</t>
        </is>
      </c>
      <c r="O2076" t="inlineStr">
        <is>
          <t>16</t>
        </is>
      </c>
      <c r="P2076" t="inlineStr">
        <is>
          <t xml:space="preserve">66808   </t>
        </is>
      </c>
      <c r="Q2076" s="26" t="n">
        <v>6.9</v>
      </c>
      <c r="R2076" s="26">
        <f>Q2076*G2076</f>
        <v/>
      </c>
      <c r="S2076" t="n">
        <v>4.09</v>
      </c>
      <c r="T2076" s="18">
        <f>1 - V2076/S2076</f>
        <v/>
      </c>
      <c r="U2076" s="18" t="n">
        <v>0</v>
      </c>
      <c r="V2076" s="26" t="n">
        <v>4.09</v>
      </c>
      <c r="W2076" s="26">
        <f>V2076 - L2076</f>
        <v/>
      </c>
    </row>
    <row r="2077">
      <c r="A2077" s="11" t="n">
        <v>46223</v>
      </c>
      <c r="B2077" s="1" t="n">
        <v>20089</v>
      </c>
      <c r="C2077" s="1" t="inlineStr">
        <is>
          <t>862</t>
        </is>
      </c>
      <c r="D2077" s="1" t="inlineStr">
        <is>
          <t xml:space="preserve">8682  </t>
        </is>
      </c>
      <c r="E2077" s="1" t="inlineStr">
        <is>
          <t xml:space="preserve">30141766       </t>
        </is>
      </c>
      <c r="F2077" s="5" t="inlineStr">
        <is>
          <t>TMZ BEAST MACHINES AUTOS DE METAL BLISTER X 1</t>
        </is>
      </c>
      <c r="G2077" t="n">
        <v>2</v>
      </c>
      <c r="H2077" s="7" t="n">
        <v>15.8</v>
      </c>
      <c r="I2077" s="7" t="n">
        <v>0</v>
      </c>
      <c r="J2077" s="7" t="n">
        <v>0</v>
      </c>
      <c r="K2077" s="9" t="n">
        <v>0</v>
      </c>
      <c r="L2077" s="10" t="n">
        <v>9.380000000000001</v>
      </c>
      <c r="M2077" s="10" t="n">
        <v>1.43</v>
      </c>
      <c r="N2077" t="inlineStr">
        <is>
          <t>1</t>
        </is>
      </c>
      <c r="O2077" t="inlineStr">
        <is>
          <t>16</t>
        </is>
      </c>
      <c r="P2077" t="inlineStr">
        <is>
          <t xml:space="preserve">0       </t>
        </is>
      </c>
      <c r="Q2077" s="26" t="n">
        <v>7.9</v>
      </c>
      <c r="R2077" s="26">
        <f>Q2077*G2077</f>
        <v/>
      </c>
      <c r="S2077" t="n">
        <v>9.380000000000001</v>
      </c>
      <c r="T2077" s="18">
        <f>1 - V2077/S2077</f>
        <v/>
      </c>
      <c r="U2077" s="18" t="n">
        <v>0</v>
      </c>
      <c r="V2077" s="26" t="n">
        <v>9.380000000000001</v>
      </c>
      <c r="W2077" s="26">
        <f>V2077 - L2077</f>
        <v/>
      </c>
    </row>
    <row r="2078">
      <c r="A2078" s="11" t="n">
        <v>46223</v>
      </c>
      <c r="B2078" s="1" t="n">
        <v>20089</v>
      </c>
      <c r="C2078" s="1" t="inlineStr">
        <is>
          <t>862</t>
        </is>
      </c>
      <c r="D2078" s="1" t="inlineStr">
        <is>
          <t xml:space="preserve">8688  </t>
        </is>
      </c>
      <c r="E2078" s="1" t="inlineStr">
        <is>
          <t xml:space="preserve">28194770       </t>
        </is>
      </c>
      <c r="F2078" s="5" t="inlineStr">
        <is>
          <t>AUTOS DE METAL 3 TEAMSTERZ EN BLISTER</t>
        </is>
      </c>
      <c r="G2078" t="n">
        <v>1</v>
      </c>
      <c r="H2078" s="7" t="n">
        <v>6.9</v>
      </c>
      <c r="I2078" s="7" t="n">
        <v>0</v>
      </c>
      <c r="J2078" s="7" t="n">
        <v>0</v>
      </c>
      <c r="K2078" s="9" t="n">
        <v>0</v>
      </c>
      <c r="L2078" s="10" t="n">
        <v>4.1</v>
      </c>
      <c r="M2078" s="10" t="n">
        <v>1.43</v>
      </c>
      <c r="N2078" t="inlineStr">
        <is>
          <t>1</t>
        </is>
      </c>
      <c r="O2078" t="inlineStr">
        <is>
          <t>16</t>
        </is>
      </c>
      <c r="P2078" t="inlineStr">
        <is>
          <t xml:space="preserve">0       </t>
        </is>
      </c>
      <c r="Q2078" s="26" t="n">
        <v>6.9</v>
      </c>
      <c r="R2078" s="26">
        <f>Q2078*G2078</f>
        <v/>
      </c>
      <c r="S2078" t="n">
        <v>4.09</v>
      </c>
      <c r="T2078" s="18">
        <f>1 - V2078/S2078</f>
        <v/>
      </c>
      <c r="U2078" s="18" t="n">
        <v>0</v>
      </c>
      <c r="V2078" s="26" t="n">
        <v>4.09</v>
      </c>
      <c r="W2078" s="26">
        <f>V2078 - L2078</f>
        <v/>
      </c>
    </row>
    <row r="2079">
      <c r="A2079" s="11" t="n">
        <v>46223</v>
      </c>
      <c r="B2079" s="1" t="n">
        <v>20089</v>
      </c>
      <c r="C2079" s="1" t="inlineStr">
        <is>
          <t>862</t>
        </is>
      </c>
      <c r="D2079" s="1" t="inlineStr">
        <is>
          <t xml:space="preserve">8702  </t>
        </is>
      </c>
      <c r="E2079" s="1" t="inlineStr">
        <is>
          <t xml:space="preserve">31959959       </t>
        </is>
      </c>
      <c r="F2079" s="5" t="inlineStr">
        <is>
          <t>TMZ CAMBIA DE COLOR LANZADOR SPIN SPLASH + 1 AUTO</t>
        </is>
      </c>
      <c r="G2079" t="n">
        <v>1</v>
      </c>
      <c r="H2079" s="7" t="n">
        <v>14.9</v>
      </c>
      <c r="I2079" s="7" t="n">
        <v>0</v>
      </c>
      <c r="J2079" s="7" t="n">
        <v>0</v>
      </c>
      <c r="K2079" s="9" t="n">
        <v>0</v>
      </c>
      <c r="L2079" s="10" t="n">
        <v>8.84</v>
      </c>
      <c r="M2079" s="10" t="n">
        <v>1.43</v>
      </c>
      <c r="N2079" t="inlineStr">
        <is>
          <t>1</t>
        </is>
      </c>
      <c r="O2079" t="inlineStr">
        <is>
          <t>16</t>
        </is>
      </c>
      <c r="P2079" t="inlineStr">
        <is>
          <t xml:space="preserve">0       </t>
        </is>
      </c>
      <c r="Q2079" s="26" t="n">
        <v>39.9</v>
      </c>
      <c r="R2079" s="26">
        <f>Q2079*G2079</f>
        <v/>
      </c>
      <c r="S2079" t="n">
        <v>23.67</v>
      </c>
      <c r="T2079" s="18">
        <f>1 - V2079/S2079</f>
        <v/>
      </c>
      <c r="U2079" s="18" t="n">
        <v>0.6265664160401002</v>
      </c>
      <c r="V2079" s="26" t="n">
        <v>10.73050847457628</v>
      </c>
      <c r="W2079" s="26">
        <f>V2079 - L2079</f>
        <v/>
      </c>
    </row>
    <row r="2080">
      <c r="A2080" s="11" t="n">
        <v>46223</v>
      </c>
      <c r="B2080" s="1" t="n">
        <v>20095</v>
      </c>
      <c r="C2080" s="1" t="inlineStr">
        <is>
          <t>043</t>
        </is>
      </c>
      <c r="D2080" s="1" t="inlineStr">
        <is>
          <t>108310</t>
        </is>
      </c>
      <c r="E2080" s="1" t="inlineStr">
        <is>
          <t xml:space="preserve">28194770       </t>
        </is>
      </c>
      <c r="F2080" s="5" t="inlineStr">
        <is>
          <t>AUTOS DE METAL 3 TEAMSTERZ EN BLISTER</t>
        </is>
      </c>
      <c r="G2080" t="n">
        <v>1</v>
      </c>
      <c r="H2080" s="7" t="n">
        <v>6.9</v>
      </c>
      <c r="I2080" s="7" t="n">
        <v>0</v>
      </c>
      <c r="J2080" s="7" t="n">
        <v>0</v>
      </c>
      <c r="K2080" s="9" t="n">
        <v>0</v>
      </c>
      <c r="L2080" s="10" t="n">
        <v>4.1</v>
      </c>
      <c r="M2080" s="10" t="n">
        <v>1.43</v>
      </c>
      <c r="N2080" t="inlineStr">
        <is>
          <t>1</t>
        </is>
      </c>
      <c r="O2080" t="inlineStr">
        <is>
          <t xml:space="preserve">2 </t>
        </is>
      </c>
      <c r="P2080" t="inlineStr">
        <is>
          <t xml:space="preserve">248421  </t>
        </is>
      </c>
      <c r="Q2080" s="26" t="n">
        <v>6.9</v>
      </c>
      <c r="R2080" s="26">
        <f>Q2080*G2080</f>
        <v/>
      </c>
      <c r="S2080" t="n">
        <v>4.09</v>
      </c>
      <c r="T2080" s="18">
        <f>1 - V2080/S2080</f>
        <v/>
      </c>
      <c r="U2080" s="18" t="n">
        <v>0</v>
      </c>
      <c r="V2080" s="26" t="n">
        <v>4.09</v>
      </c>
      <c r="W2080" s="26">
        <f>V2080 - L2080</f>
        <v/>
      </c>
    </row>
    <row r="2081">
      <c r="A2081" s="11" t="n">
        <v>46223</v>
      </c>
      <c r="B2081" s="1" t="n">
        <v>20095</v>
      </c>
      <c r="C2081" s="1" t="inlineStr">
        <is>
          <t>043</t>
        </is>
      </c>
      <c r="D2081" s="1" t="inlineStr">
        <is>
          <t>108313</t>
        </is>
      </c>
      <c r="E2081" s="1" t="inlineStr">
        <is>
          <t xml:space="preserve">28194769       </t>
        </is>
      </c>
      <c r="F2081" s="5" t="inlineStr">
        <is>
          <t>AUTOS DE METAL 3 TEAMSTERZ PACK DE 2</t>
        </is>
      </c>
      <c r="G2081" t="n">
        <v>1</v>
      </c>
      <c r="H2081" s="7" t="n">
        <v>13.8</v>
      </c>
      <c r="I2081" s="7" t="n">
        <v>0</v>
      </c>
      <c r="J2081" s="7" t="n">
        <v>0</v>
      </c>
      <c r="K2081" s="9" t="n">
        <v>0</v>
      </c>
      <c r="L2081" s="10" t="n">
        <v>8.18</v>
      </c>
      <c r="M2081" s="10" t="n">
        <v>1.43</v>
      </c>
      <c r="N2081" t="inlineStr">
        <is>
          <t>1</t>
        </is>
      </c>
      <c r="O2081" t="inlineStr">
        <is>
          <t>16</t>
        </is>
      </c>
      <c r="P2081" t="inlineStr">
        <is>
          <t xml:space="preserve">248421  </t>
        </is>
      </c>
      <c r="Q2081" s="26" t="n">
        <v>13.8</v>
      </c>
      <c r="R2081" s="26">
        <f>Q2081*G2081</f>
        <v/>
      </c>
      <c r="S2081" t="n">
        <v>8.19</v>
      </c>
      <c r="T2081" s="18">
        <f>1 - V2081/S2081</f>
        <v/>
      </c>
      <c r="U2081" s="18" t="n">
        <v>0</v>
      </c>
      <c r="V2081" s="26" t="n">
        <v>8.19</v>
      </c>
      <c r="W2081" s="26">
        <f>V2081 - L2081</f>
        <v/>
      </c>
    </row>
    <row r="2082">
      <c r="A2082" s="11" t="n">
        <v>46224</v>
      </c>
      <c r="B2082" s="1" t="n">
        <v>20021</v>
      </c>
      <c r="C2082" s="1" t="inlineStr">
        <is>
          <t>080</t>
        </is>
      </c>
      <c r="D2082" s="1" t="inlineStr">
        <is>
          <t>310057</t>
        </is>
      </c>
      <c r="E2082" s="1" t="inlineStr">
        <is>
          <t xml:space="preserve">33483121       </t>
        </is>
      </c>
      <c r="F2082" s="5" t="inlineStr">
        <is>
          <t>HOT WHEELS ESTUCHE PARA 15 AUTOS SURTIDO</t>
        </is>
      </c>
      <c r="G2082" t="n">
        <v>1</v>
      </c>
      <c r="H2082" s="7" t="n">
        <v>34.9</v>
      </c>
      <c r="I2082" s="7" t="n">
        <v>0</v>
      </c>
      <c r="J2082" s="7" t="n">
        <v>0</v>
      </c>
      <c r="K2082" s="9" t="n">
        <v>0</v>
      </c>
      <c r="L2082" s="10" t="n">
        <v>20.71</v>
      </c>
      <c r="M2082" s="10" t="n">
        <v>1.43</v>
      </c>
      <c r="N2082" t="inlineStr">
        <is>
          <t>1</t>
        </is>
      </c>
      <c r="O2082" t="inlineStr">
        <is>
          <t>16</t>
        </is>
      </c>
      <c r="P2082" t="inlineStr">
        <is>
          <t xml:space="preserve">249983  </t>
        </is>
      </c>
      <c r="Q2082" s="26" t="n">
        <v>34.9</v>
      </c>
      <c r="R2082" s="26">
        <f>Q2082*G2082</f>
        <v/>
      </c>
      <c r="S2082" t="n">
        <v>20.7</v>
      </c>
      <c r="T2082" s="18">
        <f>1 - V2082/S2082</f>
        <v/>
      </c>
      <c r="U2082" s="18" t="n">
        <v>0</v>
      </c>
      <c r="V2082" s="26" t="n">
        <v>20.7</v>
      </c>
      <c r="W2082" s="26">
        <f>V2082 - L2082</f>
        <v/>
      </c>
    </row>
    <row r="2083">
      <c r="A2083" s="11" t="n">
        <v>46224</v>
      </c>
      <c r="B2083" s="1" t="n">
        <v>20023</v>
      </c>
      <c r="C2083" s="1" t="inlineStr">
        <is>
          <t>105</t>
        </is>
      </c>
      <c r="D2083" s="1" t="inlineStr">
        <is>
          <t xml:space="preserve">91396 </t>
        </is>
      </c>
      <c r="E2083" s="1" t="inlineStr">
        <is>
          <t xml:space="preserve">29235701       </t>
        </is>
      </c>
      <c r="F2083" s="5" t="inlineStr">
        <is>
          <t>INFINITY NADO TROMPO DE BATALLA - METAL EN CAJA</t>
        </is>
      </c>
      <c r="G2083" t="n">
        <v>1</v>
      </c>
      <c r="H2083" s="7" t="n">
        <v>29.9</v>
      </c>
      <c r="I2083" s="7" t="n">
        <v>0</v>
      </c>
      <c r="J2083" s="7" t="n">
        <v>0</v>
      </c>
      <c r="K2083" s="9" t="n">
        <v>0</v>
      </c>
      <c r="L2083" s="10" t="n">
        <v>17.74</v>
      </c>
      <c r="M2083" s="10" t="n">
        <v>1.43</v>
      </c>
      <c r="N2083" t="inlineStr">
        <is>
          <t>1</t>
        </is>
      </c>
      <c r="O2083" t="inlineStr">
        <is>
          <t>16</t>
        </is>
      </c>
      <c r="P2083" t="inlineStr">
        <is>
          <t xml:space="preserve">22759   </t>
        </is>
      </c>
      <c r="Q2083" s="26" t="n">
        <v>39.9</v>
      </c>
      <c r="R2083" s="26">
        <f>Q2083*G2083</f>
        <v/>
      </c>
      <c r="S2083" t="n">
        <v>23.67</v>
      </c>
      <c r="T2083" s="18">
        <f>1 - V2083/S2083</f>
        <v/>
      </c>
      <c r="U2083" s="18" t="n">
        <v>0.2506265664160401</v>
      </c>
      <c r="V2083" s="26" t="n">
        <v>19.00423728813559</v>
      </c>
      <c r="W2083" s="26">
        <f>V2083 - L2083</f>
        <v/>
      </c>
    </row>
    <row r="2084">
      <c r="A2084" s="11" t="n">
        <v>46224</v>
      </c>
      <c r="B2084" s="1" t="n">
        <v>20024</v>
      </c>
      <c r="C2084" s="1" t="inlineStr">
        <is>
          <t>801</t>
        </is>
      </c>
      <c r="D2084" s="1" t="inlineStr">
        <is>
          <t xml:space="preserve">3638  </t>
        </is>
      </c>
      <c r="E2084" s="1" t="inlineStr">
        <is>
          <t xml:space="preserve">28194770       </t>
        </is>
      </c>
      <c r="F2084" s="5" t="inlineStr">
        <is>
          <t>AUTOS DE METAL 3 TEAMSTERZ EN BLISTER</t>
        </is>
      </c>
      <c r="G2084" t="n">
        <v>1</v>
      </c>
      <c r="H2084" s="7" t="n">
        <v>6.9</v>
      </c>
      <c r="I2084" s="7" t="n">
        <v>0</v>
      </c>
      <c r="J2084" s="7" t="n">
        <v>0</v>
      </c>
      <c r="K2084" s="9" t="n">
        <v>0</v>
      </c>
      <c r="L2084" s="10" t="n">
        <v>4.1</v>
      </c>
      <c r="M2084" s="10" t="n">
        <v>1.43</v>
      </c>
      <c r="N2084" t="inlineStr">
        <is>
          <t>1</t>
        </is>
      </c>
      <c r="O2084" t="inlineStr">
        <is>
          <t>16</t>
        </is>
      </c>
      <c r="P2084" t="inlineStr">
        <is>
          <t xml:space="preserve">0       </t>
        </is>
      </c>
      <c r="Q2084" s="26" t="n">
        <v>6.9</v>
      </c>
      <c r="R2084" s="26">
        <f>Q2084*G2084</f>
        <v/>
      </c>
      <c r="S2084" t="n">
        <v>4.09</v>
      </c>
      <c r="T2084" s="18">
        <f>1 - V2084/S2084</f>
        <v/>
      </c>
      <c r="U2084" s="18" t="n">
        <v>0</v>
      </c>
      <c r="V2084" s="26" t="n">
        <v>4.09</v>
      </c>
      <c r="W2084" s="26">
        <f>V2084 - L2084</f>
        <v/>
      </c>
    </row>
    <row r="2085">
      <c r="A2085" s="11" t="n">
        <v>46224</v>
      </c>
      <c r="B2085" s="1" t="n">
        <v>20025</v>
      </c>
      <c r="C2085" s="1" t="inlineStr">
        <is>
          <t>074</t>
        </is>
      </c>
      <c r="D2085" s="1" t="inlineStr">
        <is>
          <t xml:space="preserve">83309 </t>
        </is>
      </c>
      <c r="E2085" s="1" t="inlineStr">
        <is>
          <t xml:space="preserve">34840551       </t>
        </is>
      </c>
      <c r="F2085" s="5" t="inlineStr">
        <is>
          <t>TMZ HELI BOMBERO CON LUCES Y SONIDOS</t>
        </is>
      </c>
      <c r="G2085" t="n">
        <v>1</v>
      </c>
      <c r="H2085" s="7" t="n">
        <v>79.90000000000001</v>
      </c>
      <c r="I2085" s="7" t="n">
        <v>0</v>
      </c>
      <c r="J2085" s="7" t="n">
        <v>0</v>
      </c>
      <c r="K2085" s="9" t="n">
        <v>0</v>
      </c>
      <c r="L2085" s="10" t="n">
        <v>47.4</v>
      </c>
      <c r="M2085" s="10" t="n">
        <v>1.43</v>
      </c>
      <c r="N2085" t="inlineStr">
        <is>
          <t>1</t>
        </is>
      </c>
      <c r="O2085" t="inlineStr">
        <is>
          <t>16</t>
        </is>
      </c>
      <c r="P2085" t="inlineStr">
        <is>
          <t xml:space="preserve">62409   </t>
        </is>
      </c>
      <c r="Q2085" s="26" t="n">
        <v>79.90000000000002</v>
      </c>
      <c r="R2085" s="26">
        <f>Q2085*G2085</f>
        <v/>
      </c>
      <c r="S2085" t="n">
        <v>47.4</v>
      </c>
      <c r="T2085" s="18">
        <f>1 - V2085/S2085</f>
        <v/>
      </c>
      <c r="U2085" s="18" t="n">
        <v>0</v>
      </c>
      <c r="V2085" s="26" t="n">
        <v>47.4</v>
      </c>
      <c r="W2085" s="26">
        <f>V2085 - L2085</f>
        <v/>
      </c>
    </row>
    <row r="2086">
      <c r="A2086" s="11" t="n">
        <v>46224</v>
      </c>
      <c r="B2086" s="1" t="n">
        <v>20025</v>
      </c>
      <c r="C2086" s="1" t="inlineStr">
        <is>
          <t>074</t>
        </is>
      </c>
      <c r="D2086" s="1" t="inlineStr">
        <is>
          <t xml:space="preserve">83358 </t>
        </is>
      </c>
      <c r="E2086" s="1" t="inlineStr">
        <is>
          <t xml:space="preserve">30141767       </t>
        </is>
      </c>
      <c r="F2086" s="5" t="inlineStr">
        <is>
          <t>TMZ BEAST MACHINES AUTOS DE METAL PACK 5 AUTOS</t>
        </is>
      </c>
      <c r="G2086" t="n">
        <v>1</v>
      </c>
      <c r="H2086" s="7" t="n">
        <v>29.9</v>
      </c>
      <c r="I2086" s="7" t="n">
        <v>0</v>
      </c>
      <c r="J2086" s="7" t="n">
        <v>0</v>
      </c>
      <c r="K2086" s="9" t="n">
        <v>0</v>
      </c>
      <c r="L2086" s="10" t="n">
        <v>17.74</v>
      </c>
      <c r="M2086" s="10" t="n">
        <v>1.43</v>
      </c>
      <c r="N2086" t="inlineStr">
        <is>
          <t>1</t>
        </is>
      </c>
      <c r="O2086" t="inlineStr">
        <is>
          <t xml:space="preserve">2 </t>
        </is>
      </c>
      <c r="P2086" t="inlineStr">
        <is>
          <t xml:space="preserve">62409   </t>
        </is>
      </c>
      <c r="Q2086" s="26" t="n">
        <v>39.5</v>
      </c>
      <c r="R2086" s="26">
        <f>Q2086*G2086</f>
        <v/>
      </c>
      <c r="S2086" t="n">
        <v>23.43</v>
      </c>
      <c r="T2086" s="18">
        <f>1 - V2086/S2086</f>
        <v/>
      </c>
      <c r="U2086" s="18" t="n">
        <v>0.2430379746835444</v>
      </c>
      <c r="V2086" s="26" t="n">
        <v>19.00423728813559</v>
      </c>
      <c r="W2086" s="26">
        <f>V2086 - L2086</f>
        <v/>
      </c>
    </row>
    <row r="2087">
      <c r="A2087" s="11" t="n">
        <v>46224</v>
      </c>
      <c r="B2087" s="1" t="n">
        <v>20025</v>
      </c>
      <c r="C2087" s="1" t="inlineStr">
        <is>
          <t>076</t>
        </is>
      </c>
      <c r="D2087" s="1" t="inlineStr">
        <is>
          <t>148104</t>
        </is>
      </c>
      <c r="E2087" s="1" t="inlineStr">
        <is>
          <t xml:space="preserve">30141766       </t>
        </is>
      </c>
      <c r="F2087" s="5" t="inlineStr">
        <is>
          <t>TMZ BEAST MACHINES AUTOS DE METAL BLISTER X 1</t>
        </is>
      </c>
      <c r="G2087" t="n">
        <v>1</v>
      </c>
      <c r="H2087" s="7" t="n">
        <v>7.9</v>
      </c>
      <c r="I2087" s="7" t="n">
        <v>0</v>
      </c>
      <c r="J2087" s="7" t="n">
        <v>0</v>
      </c>
      <c r="K2087" s="9" t="n">
        <v>0</v>
      </c>
      <c r="L2087" s="10" t="n">
        <v>4.68</v>
      </c>
      <c r="M2087" s="10" t="n">
        <v>1.43</v>
      </c>
      <c r="N2087" t="inlineStr">
        <is>
          <t>1</t>
        </is>
      </c>
      <c r="O2087" t="inlineStr">
        <is>
          <t>16</t>
        </is>
      </c>
      <c r="P2087" t="inlineStr">
        <is>
          <t xml:space="preserve">19391   </t>
        </is>
      </c>
      <c r="Q2087" s="26" t="n">
        <v>7.9</v>
      </c>
      <c r="R2087" s="26">
        <f>Q2087*G2087</f>
        <v/>
      </c>
      <c r="S2087" t="n">
        <v>4.69</v>
      </c>
      <c r="T2087" s="18">
        <f>1 - V2087/S2087</f>
        <v/>
      </c>
      <c r="U2087" s="18" t="n">
        <v>0</v>
      </c>
      <c r="V2087" s="26" t="n">
        <v>4.69</v>
      </c>
      <c r="W2087" s="26">
        <f>V2087 - L2087</f>
        <v/>
      </c>
    </row>
    <row r="2088">
      <c r="A2088" s="11" t="n">
        <v>46224</v>
      </c>
      <c r="B2088" s="1" t="n">
        <v>20027</v>
      </c>
      <c r="C2088" s="1" t="inlineStr">
        <is>
          <t>108</t>
        </is>
      </c>
      <c r="D2088" s="1" t="inlineStr">
        <is>
          <t>199867</t>
        </is>
      </c>
      <c r="E2088" s="1" t="inlineStr">
        <is>
          <t xml:space="preserve">28194768       </t>
        </is>
      </c>
      <c r="F2088" s="5" t="inlineStr">
        <is>
          <t>AUTO COLOR CHANGE TEAMSTERZ SURTIDO</t>
        </is>
      </c>
      <c r="G2088" t="n">
        <v>1</v>
      </c>
      <c r="H2088" s="7" t="n">
        <v>14.9</v>
      </c>
      <c r="I2088" s="7" t="n">
        <v>1.49</v>
      </c>
      <c r="J2088" s="7" t="n">
        <v>0</v>
      </c>
      <c r="K2088" s="9" t="n">
        <v>1.49</v>
      </c>
      <c r="L2088" s="10" t="n">
        <v>7.95</v>
      </c>
      <c r="M2088" s="10" t="n">
        <v>1.43</v>
      </c>
      <c r="N2088" t="inlineStr">
        <is>
          <t>1</t>
        </is>
      </c>
      <c r="O2088" t="inlineStr">
        <is>
          <t xml:space="preserve">3 </t>
        </is>
      </c>
      <c r="P2088" t="inlineStr">
        <is>
          <t xml:space="preserve">30333   </t>
        </is>
      </c>
      <c r="Q2088" s="26" t="n">
        <v>14.9</v>
      </c>
      <c r="R2088" s="26">
        <f>Q2088*G2088</f>
        <v/>
      </c>
      <c r="S2088" t="n">
        <v>8.84</v>
      </c>
      <c r="T2088" s="18">
        <f>1 - V2088/S2088</f>
        <v/>
      </c>
      <c r="U2088" s="18" t="n">
        <v>0</v>
      </c>
      <c r="V2088" s="26" t="n">
        <v>8.84</v>
      </c>
      <c r="W2088" s="26">
        <f>V2088 - L2088</f>
        <v/>
      </c>
    </row>
    <row r="2089">
      <c r="A2089" s="11" t="n">
        <v>46224</v>
      </c>
      <c r="B2089" s="1" t="n">
        <v>20027</v>
      </c>
      <c r="C2089" s="1" t="inlineStr">
        <is>
          <t>108</t>
        </is>
      </c>
      <c r="D2089" s="1" t="inlineStr">
        <is>
          <t>199867</t>
        </is>
      </c>
      <c r="E2089" s="1" t="inlineStr">
        <is>
          <t xml:space="preserve">28194770       </t>
        </is>
      </c>
      <c r="F2089" s="5" t="inlineStr">
        <is>
          <t>AUTOS DE METAL 3 TEAMSTERZ EN BLISTER</t>
        </is>
      </c>
      <c r="G2089" t="n">
        <v>1</v>
      </c>
      <c r="H2089" s="7" t="n">
        <v>6.9</v>
      </c>
      <c r="I2089" s="7" t="n">
        <v>0.6899999999999999</v>
      </c>
      <c r="J2089" s="7" t="n">
        <v>0</v>
      </c>
      <c r="K2089" s="9" t="n">
        <v>0.6899999999999999</v>
      </c>
      <c r="L2089" s="10" t="n">
        <v>3.68</v>
      </c>
      <c r="M2089" s="10" t="n">
        <v>1.43</v>
      </c>
      <c r="N2089" t="inlineStr">
        <is>
          <t>1</t>
        </is>
      </c>
      <c r="O2089" t="inlineStr">
        <is>
          <t xml:space="preserve">3 </t>
        </is>
      </c>
      <c r="P2089" t="inlineStr">
        <is>
          <t xml:space="preserve">30333   </t>
        </is>
      </c>
      <c r="Q2089" s="26" t="n">
        <v>6.9</v>
      </c>
      <c r="R2089" s="26">
        <f>Q2089*G2089</f>
        <v/>
      </c>
      <c r="S2089" t="n">
        <v>4.09</v>
      </c>
      <c r="T2089" s="18">
        <f>1 - V2089/S2089</f>
        <v/>
      </c>
      <c r="U2089" s="18" t="n">
        <v>0</v>
      </c>
      <c r="V2089" s="26" t="n">
        <v>4.09</v>
      </c>
      <c r="W2089" s="26">
        <f>V2089 - L2089</f>
        <v/>
      </c>
    </row>
    <row r="2090">
      <c r="A2090" s="11" t="n">
        <v>46224</v>
      </c>
      <c r="B2090" s="1" t="n">
        <v>20028</v>
      </c>
      <c r="C2090" s="1" t="inlineStr">
        <is>
          <t>021</t>
        </is>
      </c>
      <c r="D2090" s="1" t="inlineStr">
        <is>
          <t>186309</t>
        </is>
      </c>
      <c r="E2090" s="1" t="inlineStr">
        <is>
          <t xml:space="preserve">32457103       </t>
        </is>
      </c>
      <c r="F2090" s="5" t="inlineStr">
        <is>
          <t>TMZ BEAST MACHINES MONSTER JAWS A FRICCION PACK DE</t>
        </is>
      </c>
      <c r="G2090" t="n">
        <v>1</v>
      </c>
      <c r="H2090" s="7" t="n">
        <v>32.9</v>
      </c>
      <c r="I2090" s="7" t="n">
        <v>0</v>
      </c>
      <c r="J2090" s="7" t="n">
        <v>0</v>
      </c>
      <c r="K2090" s="9" t="n">
        <v>0</v>
      </c>
      <c r="L2090" s="10" t="n">
        <v>19.52</v>
      </c>
      <c r="M2090" s="10" t="n">
        <v>1.43</v>
      </c>
      <c r="N2090" t="inlineStr">
        <is>
          <t>1</t>
        </is>
      </c>
      <c r="O2090" t="inlineStr">
        <is>
          <t xml:space="preserve">2 </t>
        </is>
      </c>
      <c r="P2090" t="inlineStr">
        <is>
          <t xml:space="preserve">23741   </t>
        </is>
      </c>
      <c r="Q2090" s="26" t="n">
        <v>37.9</v>
      </c>
      <c r="R2090" s="26">
        <f>Q2090*G2090</f>
        <v/>
      </c>
      <c r="S2090" t="n">
        <v>22.48</v>
      </c>
      <c r="T2090" s="18">
        <f>1 - V2090/S2090</f>
        <v/>
      </c>
      <c r="U2090" s="18" t="n">
        <v>0.1319261213720316</v>
      </c>
      <c r="V2090" s="26" t="n">
        <v>16.75101694915254</v>
      </c>
      <c r="W2090" s="26">
        <f>V2090 - L2090</f>
        <v/>
      </c>
    </row>
    <row r="2091">
      <c r="A2091" s="11" t="n">
        <v>46224</v>
      </c>
      <c r="B2091" s="1" t="n">
        <v>20028</v>
      </c>
      <c r="C2091" s="1" t="inlineStr">
        <is>
          <t>021</t>
        </is>
      </c>
      <c r="D2091" s="1" t="inlineStr">
        <is>
          <t>186309</t>
        </is>
      </c>
      <c r="E2091" s="1" t="inlineStr">
        <is>
          <t xml:space="preserve">32457103       </t>
        </is>
      </c>
      <c r="F2091" s="5" t="inlineStr">
        <is>
          <t>TMZ BEAST MACHINES MONSTER JAWS A FRICCION PACK DE</t>
        </is>
      </c>
      <c r="G2091" t="n">
        <v>1</v>
      </c>
      <c r="H2091" s="7" t="n">
        <v>32.9</v>
      </c>
      <c r="I2091" s="7" t="n">
        <v>0</v>
      </c>
      <c r="J2091" s="7" t="n">
        <v>0</v>
      </c>
      <c r="K2091" s="9" t="n">
        <v>0</v>
      </c>
      <c r="L2091" s="10" t="n">
        <v>19.52</v>
      </c>
      <c r="M2091" s="10" t="n">
        <v>1.43</v>
      </c>
      <c r="N2091" t="inlineStr">
        <is>
          <t>1</t>
        </is>
      </c>
      <c r="O2091" t="inlineStr">
        <is>
          <t xml:space="preserve">2 </t>
        </is>
      </c>
      <c r="P2091" t="inlineStr">
        <is>
          <t xml:space="preserve">23741   </t>
        </is>
      </c>
      <c r="Q2091" s="26" t="n">
        <v>37.9</v>
      </c>
      <c r="R2091" s="26">
        <f>Q2091*G2091</f>
        <v/>
      </c>
      <c r="S2091" t="n">
        <v>22.48</v>
      </c>
      <c r="T2091" s="18">
        <f>1 - V2091/S2091</f>
        <v/>
      </c>
      <c r="U2091" s="18" t="n">
        <v>0.1319261213720316</v>
      </c>
      <c r="V2091" s="26" t="n">
        <v>16.75101694915254</v>
      </c>
      <c r="W2091" s="26">
        <f>V2091 - L2091</f>
        <v/>
      </c>
    </row>
    <row r="2092">
      <c r="A2092" s="11" t="n">
        <v>46224</v>
      </c>
      <c r="B2092" s="1" t="n">
        <v>20028</v>
      </c>
      <c r="C2092" s="1" t="inlineStr">
        <is>
          <t>021</t>
        </is>
      </c>
      <c r="D2092" s="1" t="inlineStr">
        <is>
          <t>186354</t>
        </is>
      </c>
      <c r="E2092" s="1" t="inlineStr">
        <is>
          <t xml:space="preserve">35685067       </t>
        </is>
      </c>
      <c r="F2092" s="5" t="inlineStr">
        <is>
          <t>HOT WHEELS POWER SET 3 EN 1</t>
        </is>
      </c>
      <c r="G2092" t="n">
        <v>1</v>
      </c>
      <c r="H2092" s="7" t="n">
        <v>49.9</v>
      </c>
      <c r="I2092" s="7" t="n">
        <v>4.99</v>
      </c>
      <c r="J2092" s="7" t="n">
        <v>0</v>
      </c>
      <c r="K2092" s="9" t="n">
        <v>4.99</v>
      </c>
      <c r="L2092" s="10" t="n">
        <v>26.64</v>
      </c>
      <c r="M2092" s="10" t="n">
        <v>1.43</v>
      </c>
      <c r="N2092" t="inlineStr">
        <is>
          <t>1</t>
        </is>
      </c>
      <c r="O2092" t="inlineStr">
        <is>
          <t xml:space="preserve">3 </t>
        </is>
      </c>
      <c r="P2092" t="inlineStr">
        <is>
          <t xml:space="preserve">23741   </t>
        </is>
      </c>
      <c r="Q2092" s="26" t="n">
        <v>49.9</v>
      </c>
      <c r="R2092" s="26">
        <f>Q2092*G2092</f>
        <v/>
      </c>
      <c r="S2092" t="n">
        <v>29.6</v>
      </c>
      <c r="T2092" s="18">
        <f>1 - V2092/S2092</f>
        <v/>
      </c>
      <c r="U2092" s="18" t="n">
        <v>0</v>
      </c>
      <c r="V2092" s="26" t="n">
        <v>29.6</v>
      </c>
      <c r="W2092" s="26">
        <f>V2092 - L2092</f>
        <v/>
      </c>
    </row>
    <row r="2093">
      <c r="A2093" s="11" t="n">
        <v>46224</v>
      </c>
      <c r="B2093" s="1" t="n">
        <v>20040</v>
      </c>
      <c r="C2093" s="1" t="inlineStr">
        <is>
          <t>036</t>
        </is>
      </c>
      <c r="D2093" s="1" t="inlineStr">
        <is>
          <t xml:space="preserve">3150  </t>
        </is>
      </c>
      <c r="E2093" s="1" t="inlineStr">
        <is>
          <t xml:space="preserve">32457105       </t>
        </is>
      </c>
      <c r="F2093" s="5" t="inlineStr">
        <is>
          <t>TMZ BEAST MACHINES MONSTER JAWS ATAQUE ESCORPION +</t>
        </is>
      </c>
      <c r="G2093" t="n">
        <v>1</v>
      </c>
      <c r="H2093" s="7" t="n">
        <v>49.9</v>
      </c>
      <c r="I2093" s="7" t="n">
        <v>0</v>
      </c>
      <c r="J2093" s="7" t="n">
        <v>0</v>
      </c>
      <c r="K2093" s="9" t="n">
        <v>0</v>
      </c>
      <c r="L2093" s="10" t="n">
        <v>29.6</v>
      </c>
      <c r="M2093" s="10" t="n">
        <v>1.43</v>
      </c>
      <c r="N2093" t="inlineStr">
        <is>
          <t>1</t>
        </is>
      </c>
      <c r="O2093" t="inlineStr">
        <is>
          <t>16</t>
        </is>
      </c>
      <c r="P2093" t="inlineStr">
        <is>
          <t xml:space="preserve">248842  </t>
        </is>
      </c>
      <c r="Q2093" s="26" t="n">
        <v>69.90000000000001</v>
      </c>
      <c r="R2093" s="26">
        <f>Q2093*G2093</f>
        <v/>
      </c>
      <c r="S2093" t="n">
        <v>41.47</v>
      </c>
      <c r="T2093" s="18">
        <f>1 - V2093/S2093</f>
        <v/>
      </c>
      <c r="U2093" s="18" t="n">
        <v>0.2861230329041489</v>
      </c>
      <c r="V2093" s="26" t="n">
        <v>31.71610169491525</v>
      </c>
      <c r="W2093" s="26">
        <f>V2093 - L2093</f>
        <v/>
      </c>
    </row>
    <row r="2094">
      <c r="A2094" s="11" t="n">
        <v>46224</v>
      </c>
      <c r="B2094" s="1" t="n">
        <v>20040</v>
      </c>
      <c r="C2094" s="1" t="inlineStr">
        <is>
          <t>073</t>
        </is>
      </c>
      <c r="D2094" s="1" t="inlineStr">
        <is>
          <t>255256</t>
        </is>
      </c>
      <c r="E2094" s="1" t="inlineStr">
        <is>
          <t xml:space="preserve">34840551       </t>
        </is>
      </c>
      <c r="F2094" s="5" t="inlineStr">
        <is>
          <t>TMZ HELI BOMBERO CON LUCES Y SONIDOS</t>
        </is>
      </c>
      <c r="G2094" t="n">
        <v>1</v>
      </c>
      <c r="H2094" s="7" t="n">
        <v>79.90000000000001</v>
      </c>
      <c r="I2094" s="7" t="n">
        <v>0</v>
      </c>
      <c r="J2094" s="7" t="n">
        <v>0</v>
      </c>
      <c r="K2094" s="9" t="n">
        <v>0</v>
      </c>
      <c r="L2094" s="10" t="n">
        <v>47.4</v>
      </c>
      <c r="M2094" s="10" t="n">
        <v>1.43</v>
      </c>
      <c r="N2094" t="inlineStr">
        <is>
          <t>1</t>
        </is>
      </c>
      <c r="O2094" t="inlineStr">
        <is>
          <t xml:space="preserve">2 </t>
        </is>
      </c>
      <c r="P2094" t="inlineStr">
        <is>
          <t xml:space="preserve">247177  </t>
        </is>
      </c>
      <c r="Q2094" s="26" t="n">
        <v>79.90000000000002</v>
      </c>
      <c r="R2094" s="26">
        <f>Q2094*G2094</f>
        <v/>
      </c>
      <c r="S2094" t="n">
        <v>47.4</v>
      </c>
      <c r="T2094" s="18">
        <f>1 - V2094/S2094</f>
        <v/>
      </c>
      <c r="U2094" s="18" t="n">
        <v>0</v>
      </c>
      <c r="V2094" s="26" t="n">
        <v>47.4</v>
      </c>
      <c r="W2094" s="26">
        <f>V2094 - L2094</f>
        <v/>
      </c>
    </row>
    <row r="2095">
      <c r="A2095" s="11" t="n">
        <v>46224</v>
      </c>
      <c r="B2095" s="1" t="n">
        <v>20040</v>
      </c>
      <c r="C2095" s="1" t="inlineStr">
        <is>
          <t>083</t>
        </is>
      </c>
      <c r="D2095" s="1" t="inlineStr">
        <is>
          <t>160342</t>
        </is>
      </c>
      <c r="E2095" s="1" t="inlineStr">
        <is>
          <t xml:space="preserve">32457099       </t>
        </is>
      </c>
      <c r="F2095" s="5" t="inlineStr">
        <is>
          <t>TMZ BEAST MACHINES MONSTER JAWS A FRICCION BLISTER</t>
        </is>
      </c>
      <c r="G2095" t="n">
        <v>1</v>
      </c>
      <c r="H2095" s="7" t="n">
        <v>17.9</v>
      </c>
      <c r="I2095" s="7" t="n">
        <v>0</v>
      </c>
      <c r="J2095" s="7" t="n">
        <v>0</v>
      </c>
      <c r="K2095" s="9" t="n">
        <v>0</v>
      </c>
      <c r="L2095" s="10" t="n">
        <v>10.62</v>
      </c>
      <c r="M2095" s="10" t="n">
        <v>1.43</v>
      </c>
      <c r="N2095" t="inlineStr">
        <is>
          <t>1</t>
        </is>
      </c>
      <c r="O2095" t="inlineStr">
        <is>
          <t>16</t>
        </is>
      </c>
      <c r="P2095" t="inlineStr">
        <is>
          <t xml:space="preserve">201916  </t>
        </is>
      </c>
      <c r="Q2095" s="26" t="n">
        <v>19.9</v>
      </c>
      <c r="R2095" s="26">
        <f>Q2095*G2095</f>
        <v/>
      </c>
      <c r="S2095" t="n">
        <v>11.81</v>
      </c>
      <c r="T2095" s="18">
        <f>1 - V2095/S2095</f>
        <v/>
      </c>
      <c r="U2095" s="18" t="n">
        <v>0.1005025125628141</v>
      </c>
      <c r="V2095" s="26" t="n">
        <v>8.417118644067797</v>
      </c>
      <c r="W2095" s="26">
        <f>V2095 - L2095</f>
        <v/>
      </c>
    </row>
    <row r="2096">
      <c r="A2096" s="11" t="n">
        <v>46224</v>
      </c>
      <c r="B2096" s="1" t="n">
        <v>20041</v>
      </c>
      <c r="C2096" s="1" t="inlineStr">
        <is>
          <t>031</t>
        </is>
      </c>
      <c r="D2096" s="1" t="inlineStr">
        <is>
          <t>166161</t>
        </is>
      </c>
      <c r="E2096" s="1" t="inlineStr">
        <is>
          <t xml:space="preserve">28194770       </t>
        </is>
      </c>
      <c r="F2096" s="5" t="inlineStr">
        <is>
          <t>AUTOS DE METAL 3 TEAMSTERZ EN BLISTER</t>
        </is>
      </c>
      <c r="G2096" t="n">
        <v>1</v>
      </c>
      <c r="H2096" s="7" t="n">
        <v>6.9</v>
      </c>
      <c r="I2096" s="7" t="n">
        <v>0</v>
      </c>
      <c r="J2096" s="7" t="n">
        <v>0</v>
      </c>
      <c r="K2096" s="9" t="n">
        <v>0</v>
      </c>
      <c r="L2096" s="10" t="n">
        <v>4.1</v>
      </c>
      <c r="M2096" s="10" t="n">
        <v>1.43</v>
      </c>
      <c r="N2096" t="inlineStr">
        <is>
          <t>1</t>
        </is>
      </c>
      <c r="O2096" t="inlineStr">
        <is>
          <t xml:space="preserve">3 </t>
        </is>
      </c>
      <c r="P2096" t="inlineStr">
        <is>
          <t xml:space="preserve">245842  </t>
        </is>
      </c>
      <c r="Q2096" s="26" t="n">
        <v>6.9</v>
      </c>
      <c r="R2096" s="26">
        <f>Q2096*G2096</f>
        <v/>
      </c>
      <c r="S2096" t="n">
        <v>4.09</v>
      </c>
      <c r="T2096" s="18">
        <f>1 - V2096/S2096</f>
        <v/>
      </c>
      <c r="U2096" s="18" t="n">
        <v>0</v>
      </c>
      <c r="V2096" s="26" t="n">
        <v>4.09</v>
      </c>
      <c r="W2096" s="26">
        <f>V2096 - L2096</f>
        <v/>
      </c>
    </row>
    <row r="2097">
      <c r="A2097" s="11" t="n">
        <v>46224</v>
      </c>
      <c r="B2097" s="1" t="n">
        <v>20041</v>
      </c>
      <c r="C2097" s="1" t="inlineStr">
        <is>
          <t>037</t>
        </is>
      </c>
      <c r="D2097" s="1" t="inlineStr">
        <is>
          <t>189957</t>
        </is>
      </c>
      <c r="E2097" s="1" t="inlineStr">
        <is>
          <t xml:space="preserve">28194770       </t>
        </is>
      </c>
      <c r="F2097" s="5" t="inlineStr">
        <is>
          <t>AUTOS DE METAL 3 TEAMSTERZ EN BLISTER</t>
        </is>
      </c>
      <c r="G2097" t="n">
        <v>1</v>
      </c>
      <c r="H2097" s="7" t="n">
        <v>6.9</v>
      </c>
      <c r="I2097" s="7" t="n">
        <v>0</v>
      </c>
      <c r="J2097" s="7" t="n">
        <v>0</v>
      </c>
      <c r="K2097" s="9" t="n">
        <v>0</v>
      </c>
      <c r="L2097" s="10" t="n">
        <v>4.1</v>
      </c>
      <c r="M2097" s="10" t="n">
        <v>1.43</v>
      </c>
      <c r="N2097" t="inlineStr">
        <is>
          <t>1</t>
        </is>
      </c>
      <c r="O2097" t="inlineStr">
        <is>
          <t xml:space="preserve">2 </t>
        </is>
      </c>
      <c r="P2097" t="inlineStr">
        <is>
          <t xml:space="preserve">243970  </t>
        </is>
      </c>
      <c r="Q2097" s="26" t="n">
        <v>6.9</v>
      </c>
      <c r="R2097" s="26">
        <f>Q2097*G2097</f>
        <v/>
      </c>
      <c r="S2097" t="n">
        <v>4.09</v>
      </c>
      <c r="T2097" s="18">
        <f>1 - V2097/S2097</f>
        <v/>
      </c>
      <c r="U2097" s="18" t="n">
        <v>0</v>
      </c>
      <c r="V2097" s="26" t="n">
        <v>4.09</v>
      </c>
      <c r="W2097" s="26">
        <f>V2097 - L2097</f>
        <v/>
      </c>
    </row>
    <row r="2098">
      <c r="A2098" s="11" t="n">
        <v>46224</v>
      </c>
      <c r="B2098" s="1" t="n">
        <v>20043</v>
      </c>
      <c r="C2098" s="1" t="inlineStr">
        <is>
          <t>029</t>
        </is>
      </c>
      <c r="D2098" s="1" t="inlineStr">
        <is>
          <t>169470</t>
        </is>
      </c>
      <c r="E2098" s="1" t="inlineStr">
        <is>
          <t xml:space="preserve">28194770       </t>
        </is>
      </c>
      <c r="F2098" s="5" t="inlineStr">
        <is>
          <t>AUTOS DE METAL 3 TEAMSTERZ EN BLISTER</t>
        </is>
      </c>
      <c r="G2098" t="n">
        <v>1</v>
      </c>
      <c r="H2098" s="7" t="n">
        <v>6.9</v>
      </c>
      <c r="I2098" s="7" t="n">
        <v>0.6899999999999999</v>
      </c>
      <c r="J2098" s="7" t="n">
        <v>0</v>
      </c>
      <c r="K2098" s="9" t="n">
        <v>0.6899999999999999</v>
      </c>
      <c r="L2098" s="10" t="n">
        <v>3.68</v>
      </c>
      <c r="M2098" s="10" t="n">
        <v>1.43</v>
      </c>
      <c r="N2098" t="inlineStr">
        <is>
          <t>1</t>
        </is>
      </c>
      <c r="O2098" t="inlineStr">
        <is>
          <t xml:space="preserve">3 </t>
        </is>
      </c>
      <c r="P2098" t="inlineStr">
        <is>
          <t xml:space="preserve">30705   </t>
        </is>
      </c>
      <c r="Q2098" s="26" t="n">
        <v>6.9</v>
      </c>
      <c r="R2098" s="26">
        <f>Q2098*G2098</f>
        <v/>
      </c>
      <c r="S2098" t="n">
        <v>4.09</v>
      </c>
      <c r="T2098" s="18">
        <f>1 - V2098/S2098</f>
        <v/>
      </c>
      <c r="U2098" s="18" t="n">
        <v>0</v>
      </c>
      <c r="V2098" s="26" t="n">
        <v>4.09</v>
      </c>
      <c r="W2098" s="26">
        <f>V2098 - L2098</f>
        <v/>
      </c>
    </row>
    <row r="2099">
      <c r="A2099" s="11" t="n">
        <v>46224</v>
      </c>
      <c r="B2099" s="1" t="n">
        <v>20043</v>
      </c>
      <c r="C2099" s="1" t="inlineStr">
        <is>
          <t>029</t>
        </is>
      </c>
      <c r="D2099" s="1" t="inlineStr">
        <is>
          <t>169470</t>
        </is>
      </c>
      <c r="E2099" s="1" t="inlineStr">
        <is>
          <t xml:space="preserve">28194770       </t>
        </is>
      </c>
      <c r="F2099" s="5" t="inlineStr">
        <is>
          <t>AUTOS DE METAL 3 TEAMSTERZ EN BLISTER</t>
        </is>
      </c>
      <c r="G2099" t="n">
        <v>1</v>
      </c>
      <c r="H2099" s="7" t="n">
        <v>6.9</v>
      </c>
      <c r="I2099" s="7" t="n">
        <v>0.6899999999999999</v>
      </c>
      <c r="J2099" s="7" t="n">
        <v>0</v>
      </c>
      <c r="K2099" s="9" t="n">
        <v>0.6899999999999999</v>
      </c>
      <c r="L2099" s="10" t="n">
        <v>3.68</v>
      </c>
      <c r="M2099" s="10" t="n">
        <v>1.43</v>
      </c>
      <c r="N2099" t="inlineStr">
        <is>
          <t>1</t>
        </is>
      </c>
      <c r="O2099" t="inlineStr">
        <is>
          <t xml:space="preserve">3 </t>
        </is>
      </c>
      <c r="P2099" t="inlineStr">
        <is>
          <t xml:space="preserve">30705   </t>
        </is>
      </c>
      <c r="Q2099" s="26" t="n">
        <v>6.9</v>
      </c>
      <c r="R2099" s="26">
        <f>Q2099*G2099</f>
        <v/>
      </c>
      <c r="S2099" t="n">
        <v>4.09</v>
      </c>
      <c r="T2099" s="18">
        <f>1 - V2099/S2099</f>
        <v/>
      </c>
      <c r="U2099" s="18" t="n">
        <v>0</v>
      </c>
      <c r="V2099" s="26" t="n">
        <v>4.09</v>
      </c>
      <c r="W2099" s="26">
        <f>V2099 - L2099</f>
        <v/>
      </c>
    </row>
    <row r="2100">
      <c r="A2100" s="11" t="n">
        <v>46224</v>
      </c>
      <c r="B2100" s="1" t="n">
        <v>20047</v>
      </c>
      <c r="C2100" s="1" t="inlineStr">
        <is>
          <t>191</t>
        </is>
      </c>
      <c r="D2100" s="1" t="inlineStr">
        <is>
          <t>462848</t>
        </is>
      </c>
      <c r="E2100" s="1" t="inlineStr">
        <is>
          <t xml:space="preserve">28194770       </t>
        </is>
      </c>
      <c r="F2100" s="5" t="inlineStr">
        <is>
          <t>AUTOS DE METAL 3 TEAMSTERZ EN BLISTER</t>
        </is>
      </c>
      <c r="G2100" t="n">
        <v>1</v>
      </c>
      <c r="H2100" s="7" t="n">
        <v>6.9</v>
      </c>
      <c r="I2100" s="7" t="n">
        <v>0</v>
      </c>
      <c r="J2100" s="7" t="n">
        <v>0</v>
      </c>
      <c r="K2100" s="9" t="n">
        <v>0</v>
      </c>
      <c r="L2100" s="10" t="n">
        <v>4.1</v>
      </c>
      <c r="M2100" s="10" t="n">
        <v>1.43</v>
      </c>
      <c r="N2100" t="inlineStr">
        <is>
          <t>1</t>
        </is>
      </c>
      <c r="O2100" t="inlineStr">
        <is>
          <t xml:space="preserve">2 </t>
        </is>
      </c>
      <c r="P2100" t="inlineStr">
        <is>
          <t xml:space="preserve">248817  </t>
        </is>
      </c>
      <c r="Q2100" s="26" t="n">
        <v>6.9</v>
      </c>
      <c r="R2100" s="26">
        <f>Q2100*G2100</f>
        <v/>
      </c>
      <c r="S2100" t="n">
        <v>4.09</v>
      </c>
      <c r="T2100" s="18">
        <f>1 - V2100/S2100</f>
        <v/>
      </c>
      <c r="U2100" s="18" t="n">
        <v>0</v>
      </c>
      <c r="V2100" s="26" t="n">
        <v>4.09</v>
      </c>
      <c r="W2100" s="26">
        <f>V2100 - L2100</f>
        <v/>
      </c>
    </row>
    <row r="2101">
      <c r="A2101" s="11" t="n">
        <v>46224</v>
      </c>
      <c r="B2101" s="1" t="n">
        <v>20048</v>
      </c>
      <c r="C2101" s="1" t="inlineStr">
        <is>
          <t>013</t>
        </is>
      </c>
      <c r="D2101" s="1" t="inlineStr">
        <is>
          <t>226115</t>
        </is>
      </c>
      <c r="E2101" s="1" t="inlineStr">
        <is>
          <t xml:space="preserve">29235700       </t>
        </is>
      </c>
      <c r="F2101" s="5" t="inlineStr">
        <is>
          <t>HOT WHEELS CASE METALICO PARA GUARDAR 18 CARRITOS</t>
        </is>
      </c>
      <c r="G2101" t="n">
        <v>1</v>
      </c>
      <c r="H2101" s="7" t="n">
        <v>49.9</v>
      </c>
      <c r="I2101" s="7" t="n">
        <v>0</v>
      </c>
      <c r="J2101" s="7" t="n">
        <v>0</v>
      </c>
      <c r="K2101" s="9" t="n">
        <v>0</v>
      </c>
      <c r="L2101" s="10" t="n">
        <v>29.6</v>
      </c>
      <c r="M2101" s="10" t="n">
        <v>1.43</v>
      </c>
      <c r="N2101" t="inlineStr">
        <is>
          <t>1</t>
        </is>
      </c>
      <c r="O2101" t="inlineStr">
        <is>
          <t xml:space="preserve">3 </t>
        </is>
      </c>
      <c r="P2101" t="inlineStr">
        <is>
          <t xml:space="preserve">45117   </t>
        </is>
      </c>
      <c r="Q2101" s="26" t="n">
        <v>49.90000000000001</v>
      </c>
      <c r="R2101" s="26">
        <f>Q2101*G2101</f>
        <v/>
      </c>
      <c r="S2101" t="n">
        <v>29.6</v>
      </c>
      <c r="T2101" s="18">
        <f>1 - V2101/S2101</f>
        <v/>
      </c>
      <c r="U2101" s="18" t="n">
        <v>0</v>
      </c>
      <c r="V2101" s="26" t="n">
        <v>29.6</v>
      </c>
      <c r="W2101" s="26">
        <f>V2101 - L2101</f>
        <v/>
      </c>
    </row>
    <row r="2102">
      <c r="A2102" s="11" t="n">
        <v>46224</v>
      </c>
      <c r="B2102" s="1" t="n">
        <v>20048</v>
      </c>
      <c r="C2102" s="1" t="inlineStr">
        <is>
          <t>013</t>
        </is>
      </c>
      <c r="D2102" s="1" t="inlineStr">
        <is>
          <t>226141</t>
        </is>
      </c>
      <c r="E2102" s="1" t="inlineStr">
        <is>
          <t xml:space="preserve">34840551       </t>
        </is>
      </c>
      <c r="F2102" s="5" t="inlineStr">
        <is>
          <t>TMZ HELI BOMBERO CON LUCES Y SONIDOS</t>
        </is>
      </c>
      <c r="G2102" t="n">
        <v>1</v>
      </c>
      <c r="H2102" s="7" t="n">
        <v>79.90000000000001</v>
      </c>
      <c r="I2102" s="7" t="n">
        <v>0</v>
      </c>
      <c r="J2102" s="7" t="n">
        <v>0</v>
      </c>
      <c r="K2102" s="9" t="n">
        <v>0</v>
      </c>
      <c r="L2102" s="10" t="n">
        <v>47.4</v>
      </c>
      <c r="M2102" s="10" t="n">
        <v>1.43</v>
      </c>
      <c r="N2102" t="inlineStr">
        <is>
          <t>1</t>
        </is>
      </c>
      <c r="O2102" t="inlineStr">
        <is>
          <t>16</t>
        </is>
      </c>
      <c r="P2102" t="inlineStr">
        <is>
          <t xml:space="preserve">45117   </t>
        </is>
      </c>
      <c r="Q2102" s="26" t="n">
        <v>79.90000000000002</v>
      </c>
      <c r="R2102" s="26">
        <f>Q2102*G2102</f>
        <v/>
      </c>
      <c r="S2102" t="n">
        <v>47.4</v>
      </c>
      <c r="T2102" s="18">
        <f>1 - V2102/S2102</f>
        <v/>
      </c>
      <c r="U2102" s="18" t="n">
        <v>0</v>
      </c>
      <c r="V2102" s="26" t="n">
        <v>47.4</v>
      </c>
      <c r="W2102" s="26">
        <f>V2102 - L2102</f>
        <v/>
      </c>
    </row>
    <row r="2103">
      <c r="A2103" s="11" t="n">
        <v>46224</v>
      </c>
      <c r="B2103" s="1" t="n">
        <v>20048</v>
      </c>
      <c r="C2103" s="1" t="inlineStr">
        <is>
          <t>017</t>
        </is>
      </c>
      <c r="D2103" s="1" t="inlineStr">
        <is>
          <t>167293</t>
        </is>
      </c>
      <c r="E2103" s="1" t="inlineStr">
        <is>
          <t xml:space="preserve">28194769       </t>
        </is>
      </c>
      <c r="F2103" s="5" t="inlineStr">
        <is>
          <t>AUTOS DE METAL 3 TEAMSTERZ PACK DE 2</t>
        </is>
      </c>
      <c r="G2103" t="n">
        <v>1</v>
      </c>
      <c r="H2103" s="7" t="n">
        <v>13.8</v>
      </c>
      <c r="I2103" s="7" t="n">
        <v>0</v>
      </c>
      <c r="J2103" s="7" t="n">
        <v>0</v>
      </c>
      <c r="K2103" s="9" t="n">
        <v>0</v>
      </c>
      <c r="L2103" s="10" t="n">
        <v>8.18</v>
      </c>
      <c r="M2103" s="10" t="n">
        <v>1.43</v>
      </c>
      <c r="N2103" t="inlineStr">
        <is>
          <t>1</t>
        </is>
      </c>
      <c r="O2103" t="inlineStr">
        <is>
          <t xml:space="preserve">2 </t>
        </is>
      </c>
      <c r="P2103" t="inlineStr">
        <is>
          <t xml:space="preserve">82617   </t>
        </is>
      </c>
      <c r="Q2103" s="26" t="n">
        <v>13.8</v>
      </c>
      <c r="R2103" s="26">
        <f>Q2103*G2103</f>
        <v/>
      </c>
      <c r="S2103" t="n">
        <v>8.19</v>
      </c>
      <c r="T2103" s="18">
        <f>1 - V2103/S2103</f>
        <v/>
      </c>
      <c r="U2103" s="18" t="n">
        <v>0</v>
      </c>
      <c r="V2103" s="26" t="n">
        <v>8.19</v>
      </c>
      <c r="W2103" s="26">
        <f>V2103 - L2103</f>
        <v/>
      </c>
    </row>
    <row r="2104">
      <c r="A2104" s="11" t="n">
        <v>46224</v>
      </c>
      <c r="B2104" s="1" t="n">
        <v>20048</v>
      </c>
      <c r="C2104" s="1" t="inlineStr">
        <is>
          <t>515</t>
        </is>
      </c>
      <c r="D2104" s="1" t="inlineStr">
        <is>
          <t xml:space="preserve">1583  </t>
        </is>
      </c>
      <c r="E2104" s="1" t="inlineStr">
        <is>
          <t xml:space="preserve">28194768       </t>
        </is>
      </c>
      <c r="F2104" s="5" t="inlineStr">
        <is>
          <t>AUTO COLOR CHANGE TEAMSTERZ SURTIDO</t>
        </is>
      </c>
      <c r="G2104" t="n">
        <v>1</v>
      </c>
      <c r="H2104" s="7" t="n">
        <v>14.9</v>
      </c>
      <c r="I2104" s="7" t="n">
        <v>0</v>
      </c>
      <c r="J2104" s="7" t="n">
        <v>0</v>
      </c>
      <c r="K2104" s="9" t="n">
        <v>0</v>
      </c>
      <c r="L2104" s="10" t="n">
        <v>8.84</v>
      </c>
      <c r="M2104" s="10" t="n">
        <v>1.43</v>
      </c>
      <c r="N2104" t="inlineStr">
        <is>
          <t>1</t>
        </is>
      </c>
      <c r="O2104" t="inlineStr">
        <is>
          <t>16</t>
        </is>
      </c>
      <c r="P2104" t="inlineStr">
        <is>
          <t xml:space="preserve">102671  </t>
        </is>
      </c>
      <c r="Q2104" s="26" t="n">
        <v>14.9</v>
      </c>
      <c r="R2104" s="26">
        <f>Q2104*G2104</f>
        <v/>
      </c>
      <c r="S2104" t="n">
        <v>8.84</v>
      </c>
      <c r="T2104" s="18">
        <f>1 - V2104/S2104</f>
        <v/>
      </c>
      <c r="U2104" s="18" t="n">
        <v>0</v>
      </c>
      <c r="V2104" s="26" t="n">
        <v>8.84</v>
      </c>
      <c r="W2104" s="26">
        <f>V2104 - L2104</f>
        <v/>
      </c>
    </row>
    <row r="2105">
      <c r="A2105" s="11" t="n">
        <v>46224</v>
      </c>
      <c r="B2105" s="1" t="n">
        <v>20049</v>
      </c>
      <c r="C2105" s="1" t="inlineStr">
        <is>
          <t>013</t>
        </is>
      </c>
      <c r="D2105" s="1" t="inlineStr">
        <is>
          <t>236914</t>
        </is>
      </c>
      <c r="E2105" s="1" t="inlineStr">
        <is>
          <t xml:space="preserve">28194781       </t>
        </is>
      </c>
      <c r="F2105" s="5" t="inlineStr">
        <is>
          <t>TROMPO BATALLA INFINITY NADO SERIE V CLASICA SURTI</t>
        </is>
      </c>
      <c r="G2105" t="n">
        <v>1</v>
      </c>
      <c r="H2105" s="7" t="n">
        <v>39.9</v>
      </c>
      <c r="I2105" s="7" t="n">
        <v>0</v>
      </c>
      <c r="J2105" s="7" t="n">
        <v>0</v>
      </c>
      <c r="K2105" s="9" t="n">
        <v>0</v>
      </c>
      <c r="L2105" s="10" t="n">
        <v>23.67</v>
      </c>
      <c r="M2105" s="10" t="n">
        <v>1.43</v>
      </c>
      <c r="N2105" t="inlineStr">
        <is>
          <t>1</t>
        </is>
      </c>
      <c r="O2105" t="inlineStr">
        <is>
          <t>16</t>
        </is>
      </c>
      <c r="P2105" t="inlineStr">
        <is>
          <t xml:space="preserve">245485  </t>
        </is>
      </c>
      <c r="Q2105" s="26" t="n">
        <v>59.9</v>
      </c>
      <c r="R2105" s="26">
        <f>Q2105*G2105</f>
        <v/>
      </c>
      <c r="S2105" t="n">
        <v>35.53</v>
      </c>
      <c r="T2105" s="18">
        <f>1 - V2105/S2105</f>
        <v/>
      </c>
      <c r="U2105" s="18" t="n">
        <v>0.333889816360601</v>
      </c>
      <c r="V2105" s="26" t="n">
        <v>25.36016949152542</v>
      </c>
      <c r="W2105" s="26">
        <f>V2105 - L2105</f>
        <v/>
      </c>
    </row>
    <row r="2106">
      <c r="A2106" s="11" t="n">
        <v>46224</v>
      </c>
      <c r="B2106" s="1" t="n">
        <v>20049</v>
      </c>
      <c r="C2106" s="1" t="inlineStr">
        <is>
          <t>013</t>
        </is>
      </c>
      <c r="D2106" s="1" t="inlineStr">
        <is>
          <t>236914</t>
        </is>
      </c>
      <c r="E2106" s="1" t="inlineStr">
        <is>
          <t xml:space="preserve">28194781       </t>
        </is>
      </c>
      <c r="F2106" s="5" t="inlineStr">
        <is>
          <t>TROMPO BATALLA INFINITY NADO SERIE V CLASICA SURTI</t>
        </is>
      </c>
      <c r="G2106" t="n">
        <v>1</v>
      </c>
      <c r="H2106" s="7" t="n">
        <v>39.9</v>
      </c>
      <c r="I2106" s="7" t="n">
        <v>0</v>
      </c>
      <c r="J2106" s="7" t="n">
        <v>0</v>
      </c>
      <c r="K2106" s="9" t="n">
        <v>0</v>
      </c>
      <c r="L2106" s="10" t="n">
        <v>23.67</v>
      </c>
      <c r="M2106" s="10" t="n">
        <v>1.43</v>
      </c>
      <c r="N2106" t="inlineStr">
        <is>
          <t>1</t>
        </is>
      </c>
      <c r="O2106" t="inlineStr">
        <is>
          <t>16</t>
        </is>
      </c>
      <c r="P2106" t="inlineStr">
        <is>
          <t xml:space="preserve">245485  </t>
        </is>
      </c>
      <c r="Q2106" s="26" t="n">
        <v>59.9</v>
      </c>
      <c r="R2106" s="26">
        <f>Q2106*G2106</f>
        <v/>
      </c>
      <c r="S2106" t="n">
        <v>35.53</v>
      </c>
      <c r="T2106" s="18">
        <f>1 - V2106/S2106</f>
        <v/>
      </c>
      <c r="U2106" s="18" t="n">
        <v>0.333889816360601</v>
      </c>
      <c r="V2106" s="26" t="n">
        <v>25.36016949152542</v>
      </c>
      <c r="W2106" s="26">
        <f>V2106 - L2106</f>
        <v/>
      </c>
    </row>
    <row r="2107">
      <c r="A2107" s="11" t="n">
        <v>46224</v>
      </c>
      <c r="B2107" s="1" t="n">
        <v>20049</v>
      </c>
      <c r="C2107" s="1" t="inlineStr">
        <is>
          <t>025</t>
        </is>
      </c>
      <c r="D2107" s="1" t="inlineStr">
        <is>
          <t xml:space="preserve">34390 </t>
        </is>
      </c>
      <c r="E2107" s="1" t="inlineStr">
        <is>
          <t xml:space="preserve">28194784       </t>
        </is>
      </c>
      <c r="F2107" s="5" t="inlineStr">
        <is>
          <t>SET DE ACROBACIAS INFINITY NADO CON TROMPO</t>
        </is>
      </c>
      <c r="G2107" t="n">
        <v>1</v>
      </c>
      <c r="H2107" s="7" t="n">
        <v>139</v>
      </c>
      <c r="I2107" s="7" t="n">
        <v>0</v>
      </c>
      <c r="J2107" s="7" t="n">
        <v>0</v>
      </c>
      <c r="K2107" s="9" t="n">
        <v>0</v>
      </c>
      <c r="L2107" s="10" t="n">
        <v>82.45999999999999</v>
      </c>
      <c r="M2107" s="10" t="n">
        <v>1.43</v>
      </c>
      <c r="N2107" t="inlineStr">
        <is>
          <t>1</t>
        </is>
      </c>
      <c r="O2107" t="inlineStr">
        <is>
          <t>16</t>
        </is>
      </c>
      <c r="P2107" t="inlineStr">
        <is>
          <t xml:space="preserve">248536  </t>
        </is>
      </c>
      <c r="Q2107" s="26" t="n">
        <v>179</v>
      </c>
      <c r="R2107" s="26">
        <f>Q2107*G2107</f>
        <v/>
      </c>
      <c r="S2107" t="n">
        <v>106.19</v>
      </c>
      <c r="T2107" s="18">
        <f>1 - V2107/S2107</f>
        <v/>
      </c>
      <c r="U2107" s="18" t="n">
        <v>0.223463687150838</v>
      </c>
      <c r="V2107" s="26" t="n">
        <v>88.34745762711864</v>
      </c>
      <c r="W2107" s="26">
        <f>V2107 - L2107</f>
        <v/>
      </c>
    </row>
    <row r="2108">
      <c r="A2108" s="11" t="n">
        <v>46224</v>
      </c>
      <c r="B2108" s="1" t="n">
        <v>20049</v>
      </c>
      <c r="C2108" s="1" t="inlineStr">
        <is>
          <t>802</t>
        </is>
      </c>
      <c r="D2108" s="1" t="inlineStr">
        <is>
          <t xml:space="preserve">2247  </t>
        </is>
      </c>
      <c r="E2108" s="1" t="inlineStr">
        <is>
          <t xml:space="preserve">28194769       </t>
        </is>
      </c>
      <c r="F2108" s="5" t="inlineStr">
        <is>
          <t>AUTOS DE METAL 3 TEAMSTERZ PACK DE 2</t>
        </is>
      </c>
      <c r="G2108" t="n">
        <v>1</v>
      </c>
      <c r="H2108" s="7" t="n">
        <v>13.8</v>
      </c>
      <c r="I2108" s="7" t="n">
        <v>0</v>
      </c>
      <c r="J2108" s="7" t="n">
        <v>0</v>
      </c>
      <c r="K2108" s="9" t="n">
        <v>0</v>
      </c>
      <c r="L2108" s="10" t="n">
        <v>8.18</v>
      </c>
      <c r="M2108" s="10" t="n">
        <v>1.43</v>
      </c>
      <c r="N2108" t="inlineStr">
        <is>
          <t>1</t>
        </is>
      </c>
      <c r="O2108" t="inlineStr">
        <is>
          <t>16</t>
        </is>
      </c>
      <c r="P2108" t="inlineStr">
        <is>
          <t xml:space="preserve">0       </t>
        </is>
      </c>
      <c r="Q2108" s="26" t="n">
        <v>13.8</v>
      </c>
      <c r="R2108" s="26">
        <f>Q2108*G2108</f>
        <v/>
      </c>
      <c r="S2108" t="n">
        <v>8.19</v>
      </c>
      <c r="T2108" s="18">
        <f>1 - V2108/S2108</f>
        <v/>
      </c>
      <c r="U2108" s="18" t="n">
        <v>0</v>
      </c>
      <c r="V2108" s="26" t="n">
        <v>8.19</v>
      </c>
      <c r="W2108" s="26">
        <f>V2108 - L2108</f>
        <v/>
      </c>
    </row>
    <row r="2109">
      <c r="A2109" s="11" t="n">
        <v>46224</v>
      </c>
      <c r="B2109" s="1" t="n">
        <v>20056</v>
      </c>
      <c r="C2109" s="1" t="inlineStr">
        <is>
          <t>023</t>
        </is>
      </c>
      <c r="D2109" s="1" t="inlineStr">
        <is>
          <t xml:space="preserve">31117 </t>
        </is>
      </c>
      <c r="E2109" s="1" t="inlineStr">
        <is>
          <t xml:space="preserve">31959956       </t>
        </is>
      </c>
      <c r="F2109" s="5" t="inlineStr">
        <is>
          <t>TEAMSTERZ CAMION TRANSPORTA ANIMALES SURTIDO</t>
        </is>
      </c>
      <c r="G2109" t="n">
        <v>1</v>
      </c>
      <c r="H2109" s="7" t="n">
        <v>17.9</v>
      </c>
      <c r="I2109" s="7" t="n">
        <v>0</v>
      </c>
      <c r="J2109" s="7" t="n">
        <v>0</v>
      </c>
      <c r="K2109" s="9" t="n">
        <v>0</v>
      </c>
      <c r="L2109" s="10" t="n">
        <v>10.62</v>
      </c>
      <c r="M2109" s="10" t="n">
        <v>1.43</v>
      </c>
      <c r="N2109" t="inlineStr">
        <is>
          <t>1</t>
        </is>
      </c>
      <c r="O2109" t="inlineStr">
        <is>
          <t xml:space="preserve">2 </t>
        </is>
      </c>
      <c r="P2109" t="inlineStr">
        <is>
          <t xml:space="preserve">241925  </t>
        </is>
      </c>
      <c r="Q2109" s="26" t="n">
        <v>17.9</v>
      </c>
      <c r="R2109" s="26">
        <f>Q2109*G2109</f>
        <v/>
      </c>
      <c r="S2109" t="n">
        <v>10.62</v>
      </c>
      <c r="T2109" s="18">
        <f>1 - V2109/S2109</f>
        <v/>
      </c>
      <c r="U2109" s="18" t="n">
        <v>0</v>
      </c>
      <c r="V2109" s="26" t="n">
        <v>10.62</v>
      </c>
      <c r="W2109" s="26">
        <f>V2109 - L2109</f>
        <v/>
      </c>
    </row>
    <row r="2110">
      <c r="A2110" s="11" t="n">
        <v>46224</v>
      </c>
      <c r="B2110" s="1" t="n">
        <v>20057</v>
      </c>
      <c r="C2110" s="1" t="inlineStr">
        <is>
          <t>033</t>
        </is>
      </c>
      <c r="D2110" s="1" t="inlineStr">
        <is>
          <t xml:space="preserve">67747 </t>
        </is>
      </c>
      <c r="E2110" s="1" t="inlineStr">
        <is>
          <t xml:space="preserve">28194769       </t>
        </is>
      </c>
      <c r="F2110" s="5" t="inlineStr">
        <is>
          <t>AUTOS DE METAL 3 TEAMSTERZ PACK DE 2</t>
        </is>
      </c>
      <c r="G2110" t="n">
        <v>1</v>
      </c>
      <c r="H2110" s="7" t="n">
        <v>13.8</v>
      </c>
      <c r="I2110" s="7" t="n">
        <v>0</v>
      </c>
      <c r="J2110" s="7" t="n">
        <v>0</v>
      </c>
      <c r="K2110" s="9" t="n">
        <v>0</v>
      </c>
      <c r="L2110" s="10" t="n">
        <v>8.18</v>
      </c>
      <c r="M2110" s="10" t="n">
        <v>1.43</v>
      </c>
      <c r="N2110" t="inlineStr">
        <is>
          <t>1</t>
        </is>
      </c>
      <c r="O2110" t="inlineStr">
        <is>
          <t>16</t>
        </is>
      </c>
      <c r="P2110" t="inlineStr">
        <is>
          <t xml:space="preserve">250522  </t>
        </is>
      </c>
      <c r="Q2110" s="26" t="n">
        <v>13.8</v>
      </c>
      <c r="R2110" s="26">
        <f>Q2110*G2110</f>
        <v/>
      </c>
      <c r="S2110" t="n">
        <v>8.19</v>
      </c>
      <c r="T2110" s="18">
        <f>1 - V2110/S2110</f>
        <v/>
      </c>
      <c r="U2110" s="18" t="n">
        <v>0</v>
      </c>
      <c r="V2110" s="26" t="n">
        <v>8.19</v>
      </c>
      <c r="W2110" s="26">
        <f>V2110 - L2110</f>
        <v/>
      </c>
    </row>
    <row r="2111">
      <c r="A2111" s="11" t="n">
        <v>46224</v>
      </c>
      <c r="B2111" s="1" t="n">
        <v>20057</v>
      </c>
      <c r="C2111" s="1" t="inlineStr">
        <is>
          <t>033</t>
        </is>
      </c>
      <c r="D2111" s="1" t="inlineStr">
        <is>
          <t xml:space="preserve">67801 </t>
        </is>
      </c>
      <c r="E2111" s="1" t="inlineStr">
        <is>
          <t xml:space="preserve">31675354       </t>
        </is>
      </c>
      <c r="F2111" s="5" t="inlineStr">
        <is>
          <t>NENUCO LLORON CON ACCESORIOS</t>
        </is>
      </c>
      <c r="G2111" t="n">
        <v>1</v>
      </c>
      <c r="H2111" s="7" t="n">
        <v>69.90000000000001</v>
      </c>
      <c r="I2111" s="7" t="n">
        <v>0</v>
      </c>
      <c r="J2111" s="7" t="n">
        <v>0</v>
      </c>
      <c r="K2111" s="9" t="n">
        <v>0</v>
      </c>
      <c r="L2111" s="10" t="n">
        <v>41.47</v>
      </c>
      <c r="M2111" s="10" t="n">
        <v>1.43</v>
      </c>
      <c r="N2111" t="inlineStr">
        <is>
          <t>1</t>
        </is>
      </c>
      <c r="O2111" t="inlineStr">
        <is>
          <t xml:space="preserve">2 </t>
        </is>
      </c>
      <c r="P2111" t="inlineStr">
        <is>
          <t xml:space="preserve">250522  </t>
        </is>
      </c>
      <c r="Q2111" s="26" t="n">
        <v>89.90000000000001</v>
      </c>
      <c r="R2111" s="26">
        <f>Q2111*G2111</f>
        <v/>
      </c>
      <c r="S2111" t="n">
        <v>53.33</v>
      </c>
      <c r="T2111" s="18">
        <f>1 - V2111/S2111</f>
        <v/>
      </c>
      <c r="U2111" s="18" t="n">
        <v>0.2224694104560623</v>
      </c>
      <c r="V2111" s="26" t="n">
        <v>44.42796610169492</v>
      </c>
      <c r="W2111" s="26">
        <f>V2111 - L2111</f>
        <v/>
      </c>
    </row>
    <row r="2112">
      <c r="A2112" s="11" t="n">
        <v>46224</v>
      </c>
      <c r="B2112" s="1" t="n">
        <v>20058</v>
      </c>
      <c r="C2112" s="1" t="inlineStr">
        <is>
          <t>038</t>
        </is>
      </c>
      <c r="D2112" s="1" t="inlineStr">
        <is>
          <t>210215</t>
        </is>
      </c>
      <c r="E2112" s="1" t="inlineStr">
        <is>
          <t xml:space="preserve">28194770       </t>
        </is>
      </c>
      <c r="F2112" s="5" t="inlineStr">
        <is>
          <t>AUTOS DE METAL 3 TEAMSTERZ EN BLISTER</t>
        </is>
      </c>
      <c r="G2112" t="n">
        <v>1</v>
      </c>
      <c r="H2112" s="7" t="n">
        <v>6.9</v>
      </c>
      <c r="I2112" s="7" t="n">
        <v>0.6899999999999999</v>
      </c>
      <c r="J2112" s="7" t="n">
        <v>0</v>
      </c>
      <c r="K2112" s="9" t="n">
        <v>0.6899999999999999</v>
      </c>
      <c r="L2112" s="10" t="n">
        <v>3.68</v>
      </c>
      <c r="M2112" s="10" t="n">
        <v>1.43</v>
      </c>
      <c r="N2112" t="inlineStr">
        <is>
          <t>1</t>
        </is>
      </c>
      <c r="O2112" t="inlineStr">
        <is>
          <t xml:space="preserve">3 </t>
        </is>
      </c>
      <c r="P2112" t="inlineStr">
        <is>
          <t xml:space="preserve">90759   </t>
        </is>
      </c>
      <c r="Q2112" s="26" t="n">
        <v>6.9</v>
      </c>
      <c r="R2112" s="26">
        <f>Q2112*G2112</f>
        <v/>
      </c>
      <c r="S2112" t="n">
        <v>4.09</v>
      </c>
      <c r="T2112" s="18">
        <f>1 - V2112/S2112</f>
        <v/>
      </c>
      <c r="U2112" s="18" t="n">
        <v>0</v>
      </c>
      <c r="V2112" s="26" t="n">
        <v>4.09</v>
      </c>
      <c r="W2112" s="26">
        <f>V2112 - L2112</f>
        <v/>
      </c>
    </row>
    <row r="2113">
      <c r="A2113" s="11" t="n">
        <v>46224</v>
      </c>
      <c r="B2113" s="1" t="n">
        <v>20058</v>
      </c>
      <c r="C2113" s="1" t="inlineStr">
        <is>
          <t>039</t>
        </is>
      </c>
      <c r="D2113" s="1" t="inlineStr">
        <is>
          <t>231176</t>
        </is>
      </c>
      <c r="E2113" s="1" t="inlineStr">
        <is>
          <t xml:space="preserve">33661538       </t>
        </is>
      </c>
      <c r="F2113" s="5" t="inlineStr">
        <is>
          <t>HOT WHEELS CASE GARAGE RUEDA METAL EN LLAMAS X 29</t>
        </is>
      </c>
      <c r="G2113" t="n">
        <v>1</v>
      </c>
      <c r="H2113" s="7" t="n">
        <v>69.90000000000001</v>
      </c>
      <c r="I2113" s="7" t="n">
        <v>0</v>
      </c>
      <c r="J2113" s="7" t="n">
        <v>0</v>
      </c>
      <c r="K2113" s="9" t="n">
        <v>0</v>
      </c>
      <c r="L2113" s="10" t="n">
        <v>41.47</v>
      </c>
      <c r="M2113" s="10" t="n">
        <v>1.43</v>
      </c>
      <c r="N2113" t="inlineStr">
        <is>
          <t>1</t>
        </is>
      </c>
      <c r="O2113" t="inlineStr">
        <is>
          <t xml:space="preserve">2 </t>
        </is>
      </c>
      <c r="P2113" t="inlineStr">
        <is>
          <t xml:space="preserve">241468  </t>
        </is>
      </c>
      <c r="Q2113" s="26" t="n">
        <v>69.90000000000001</v>
      </c>
      <c r="R2113" s="26">
        <f>Q2113*G2113</f>
        <v/>
      </c>
      <c r="S2113" t="n">
        <v>41.47</v>
      </c>
      <c r="T2113" s="18">
        <f>1 - V2113/S2113</f>
        <v/>
      </c>
      <c r="U2113" s="18" t="n">
        <v>0</v>
      </c>
      <c r="V2113" s="26" t="n">
        <v>41.47</v>
      </c>
      <c r="W2113" s="26">
        <f>V2113 - L2113</f>
        <v/>
      </c>
    </row>
    <row r="2114">
      <c r="A2114" s="11" t="n">
        <v>46224</v>
      </c>
      <c r="B2114" s="1" t="n">
        <v>20062</v>
      </c>
      <c r="C2114" s="1" t="inlineStr">
        <is>
          <t>017</t>
        </is>
      </c>
      <c r="D2114" s="1" t="inlineStr">
        <is>
          <t>236047</t>
        </is>
      </c>
      <c r="E2114" s="1" t="inlineStr">
        <is>
          <t xml:space="preserve">35685067       </t>
        </is>
      </c>
      <c r="F2114" s="5" t="inlineStr">
        <is>
          <t>HOT WHEELS POWER SET 3 EN 1</t>
        </is>
      </c>
      <c r="G2114" t="n">
        <v>1</v>
      </c>
      <c r="H2114" s="7" t="n">
        <v>49.9</v>
      </c>
      <c r="I2114" s="7" t="n">
        <v>0</v>
      </c>
      <c r="J2114" s="7" t="n">
        <v>0</v>
      </c>
      <c r="K2114" s="9" t="n">
        <v>0</v>
      </c>
      <c r="L2114" s="10" t="n">
        <v>29.6</v>
      </c>
      <c r="M2114" s="10" t="n">
        <v>1.43</v>
      </c>
      <c r="N2114" t="inlineStr">
        <is>
          <t>1</t>
        </is>
      </c>
      <c r="O2114" t="inlineStr">
        <is>
          <t>16</t>
        </is>
      </c>
      <c r="P2114" t="inlineStr">
        <is>
          <t xml:space="preserve">249823  </t>
        </is>
      </c>
      <c r="Q2114" s="26" t="n">
        <v>49.9</v>
      </c>
      <c r="R2114" s="26">
        <f>Q2114*G2114</f>
        <v/>
      </c>
      <c r="S2114" t="n">
        <v>29.6</v>
      </c>
      <c r="T2114" s="18">
        <f>1 - V2114/S2114</f>
        <v/>
      </c>
      <c r="U2114" s="18" t="n">
        <v>0</v>
      </c>
      <c r="V2114" s="26" t="n">
        <v>29.6</v>
      </c>
      <c r="W2114" s="26">
        <f>V2114 - L2114</f>
        <v/>
      </c>
    </row>
    <row r="2115">
      <c r="A2115" s="11" t="n">
        <v>46224</v>
      </c>
      <c r="B2115" s="1" t="n">
        <v>20066</v>
      </c>
      <c r="C2115" s="1" t="inlineStr">
        <is>
          <t>057</t>
        </is>
      </c>
      <c r="D2115" s="1" t="inlineStr">
        <is>
          <t>494553</t>
        </is>
      </c>
      <c r="E2115" s="1" t="inlineStr">
        <is>
          <t xml:space="preserve">28194770       </t>
        </is>
      </c>
      <c r="F2115" s="5" t="inlineStr">
        <is>
          <t>AUTOS DE METAL 3 TEAMSTERZ EN BLISTER</t>
        </is>
      </c>
      <c r="G2115" t="n">
        <v>1</v>
      </c>
      <c r="H2115" s="7" t="n">
        <v>6.9</v>
      </c>
      <c r="I2115" s="7" t="n">
        <v>0</v>
      </c>
      <c r="J2115" s="7" t="n">
        <v>0</v>
      </c>
      <c r="K2115" s="9" t="n">
        <v>0</v>
      </c>
      <c r="L2115" s="10" t="n">
        <v>4.1</v>
      </c>
      <c r="M2115" s="10" t="n">
        <v>1.43</v>
      </c>
      <c r="N2115" t="inlineStr">
        <is>
          <t>1</t>
        </is>
      </c>
      <c r="O2115" t="inlineStr">
        <is>
          <t>16</t>
        </is>
      </c>
      <c r="P2115" t="inlineStr">
        <is>
          <t xml:space="preserve">44050   </t>
        </is>
      </c>
      <c r="Q2115" s="26" t="n">
        <v>6.9</v>
      </c>
      <c r="R2115" s="26">
        <f>Q2115*G2115</f>
        <v/>
      </c>
      <c r="S2115" t="n">
        <v>4.09</v>
      </c>
      <c r="T2115" s="18">
        <f>1 - V2115/S2115</f>
        <v/>
      </c>
      <c r="U2115" s="18" t="n">
        <v>0</v>
      </c>
      <c r="V2115" s="26" t="n">
        <v>4.09</v>
      </c>
      <c r="W2115" s="26">
        <f>V2115 - L2115</f>
        <v/>
      </c>
    </row>
    <row r="2116">
      <c r="A2116" s="11" t="n">
        <v>46224</v>
      </c>
      <c r="B2116" s="1" t="n">
        <v>20066</v>
      </c>
      <c r="C2116" s="1" t="inlineStr">
        <is>
          <t>058</t>
        </is>
      </c>
      <c r="D2116" s="1" t="inlineStr">
        <is>
          <t xml:space="preserve">61027 </t>
        </is>
      </c>
      <c r="E2116" s="1" t="inlineStr">
        <is>
          <t xml:space="preserve">29235702       </t>
        </is>
      </c>
      <c r="F2116" s="5" t="inlineStr">
        <is>
          <t>INFINITY NADO TROMPO DE BATALLA - METAL C/ ANILLO</t>
        </is>
      </c>
      <c r="G2116" t="n">
        <v>1</v>
      </c>
      <c r="H2116" s="7" t="n">
        <v>49.9</v>
      </c>
      <c r="I2116" s="7" t="n">
        <v>0</v>
      </c>
      <c r="J2116" s="7" t="n">
        <v>0</v>
      </c>
      <c r="K2116" s="9" t="n">
        <v>0</v>
      </c>
      <c r="L2116" s="10" t="n">
        <v>29.6</v>
      </c>
      <c r="M2116" s="10" t="n">
        <v>1.43</v>
      </c>
      <c r="N2116" t="inlineStr">
        <is>
          <t>1</t>
        </is>
      </c>
      <c r="O2116" t="inlineStr">
        <is>
          <t>16</t>
        </is>
      </c>
      <c r="P2116" t="inlineStr">
        <is>
          <t xml:space="preserve">49848   </t>
        </is>
      </c>
      <c r="Q2116" s="26" t="n">
        <v>69.90000000000001</v>
      </c>
      <c r="R2116" s="26">
        <f>Q2116*G2116</f>
        <v/>
      </c>
      <c r="S2116" t="n">
        <v>41.47</v>
      </c>
      <c r="T2116" s="18">
        <f>1 - V2116/S2116</f>
        <v/>
      </c>
      <c r="U2116" s="18" t="n">
        <v>0.2861230329041489</v>
      </c>
      <c r="V2116" s="26" t="n">
        <v>31.71610169491525</v>
      </c>
      <c r="W2116" s="26">
        <f>V2116 - L2116</f>
        <v/>
      </c>
    </row>
    <row r="2117">
      <c r="A2117" s="11" t="n">
        <v>46224</v>
      </c>
      <c r="B2117" s="1" t="n">
        <v>20066</v>
      </c>
      <c r="C2117" s="1" t="inlineStr">
        <is>
          <t>058</t>
        </is>
      </c>
      <c r="D2117" s="1" t="inlineStr">
        <is>
          <t xml:space="preserve">61027 </t>
        </is>
      </c>
      <c r="E2117" s="1" t="inlineStr">
        <is>
          <t xml:space="preserve">29235702       </t>
        </is>
      </c>
      <c r="F2117" s="5" t="inlineStr">
        <is>
          <t>INFINITY NADO TROMPO DE BATALLA - METAL C/ ANILLO</t>
        </is>
      </c>
      <c r="G2117" t="n">
        <v>1</v>
      </c>
      <c r="H2117" s="7" t="n">
        <v>49.9</v>
      </c>
      <c r="I2117" s="7" t="n">
        <v>0</v>
      </c>
      <c r="J2117" s="7" t="n">
        <v>0</v>
      </c>
      <c r="K2117" s="9" t="n">
        <v>0</v>
      </c>
      <c r="L2117" s="10" t="n">
        <v>29.6</v>
      </c>
      <c r="M2117" s="10" t="n">
        <v>1.43</v>
      </c>
      <c r="N2117" t="inlineStr">
        <is>
          <t>1</t>
        </is>
      </c>
      <c r="O2117" t="inlineStr">
        <is>
          <t>16</t>
        </is>
      </c>
      <c r="P2117" t="inlineStr">
        <is>
          <t xml:space="preserve">49848   </t>
        </is>
      </c>
      <c r="Q2117" s="26" t="n">
        <v>69.90000000000001</v>
      </c>
      <c r="R2117" s="26">
        <f>Q2117*G2117</f>
        <v/>
      </c>
      <c r="S2117" t="n">
        <v>41.47</v>
      </c>
      <c r="T2117" s="18">
        <f>1 - V2117/S2117</f>
        <v/>
      </c>
      <c r="U2117" s="18" t="n">
        <v>0.2861230329041489</v>
      </c>
      <c r="V2117" s="26" t="n">
        <v>31.71610169491525</v>
      </c>
      <c r="W2117" s="26">
        <f>V2117 - L2117</f>
        <v/>
      </c>
    </row>
    <row r="2118">
      <c r="A2118" s="11" t="n">
        <v>46224</v>
      </c>
      <c r="B2118" s="1" t="n">
        <v>20066</v>
      </c>
      <c r="C2118" s="1" t="inlineStr">
        <is>
          <t>061</t>
        </is>
      </c>
      <c r="D2118" s="1" t="inlineStr">
        <is>
          <t xml:space="preserve">35740 </t>
        </is>
      </c>
      <c r="E2118" s="1" t="inlineStr">
        <is>
          <t xml:space="preserve">29235712       </t>
        </is>
      </c>
      <c r="F2118" s="5" t="inlineStr">
        <is>
          <t>TEAMSTERZ DISPARADOR DINOSAURIO INCL. 1 AUTO</t>
        </is>
      </c>
      <c r="G2118" t="n">
        <v>1</v>
      </c>
      <c r="H2118" s="7" t="n">
        <v>12.9</v>
      </c>
      <c r="I2118" s="7" t="n">
        <v>0</v>
      </c>
      <c r="J2118" s="7" t="n">
        <v>0</v>
      </c>
      <c r="K2118" s="9" t="n">
        <v>0</v>
      </c>
      <c r="L2118" s="10" t="n">
        <v>7.65</v>
      </c>
      <c r="M2118" s="10" t="n">
        <v>1.43</v>
      </c>
      <c r="N2118" t="inlineStr">
        <is>
          <t>1</t>
        </is>
      </c>
      <c r="O2118" t="inlineStr">
        <is>
          <t>16</t>
        </is>
      </c>
      <c r="P2118" t="inlineStr">
        <is>
          <t xml:space="preserve">49848   </t>
        </is>
      </c>
      <c r="Q2118" s="26" t="n">
        <v>29.9</v>
      </c>
      <c r="R2118" s="26">
        <f>Q2118*G2118</f>
        <v/>
      </c>
      <c r="S2118" t="n">
        <v>17.74</v>
      </c>
      <c r="T2118" s="18">
        <f>1 - V2118/S2118</f>
        <v/>
      </c>
      <c r="U2118" s="18" t="n">
        <v>0.568561872909699</v>
      </c>
      <c r="V2118" s="26" t="n">
        <v>9.29271186440678</v>
      </c>
      <c r="W2118" s="26">
        <f>V2118 - L2118</f>
        <v/>
      </c>
    </row>
    <row r="2119">
      <c r="A2119" s="11" t="n">
        <v>46224</v>
      </c>
      <c r="B2119" s="1" t="n">
        <v>20069</v>
      </c>
      <c r="C2119" s="1" t="inlineStr">
        <is>
          <t>508</t>
        </is>
      </c>
      <c r="D2119" s="1" t="inlineStr">
        <is>
          <t xml:space="preserve">3627  </t>
        </is>
      </c>
      <c r="E2119" s="1" t="inlineStr">
        <is>
          <t xml:space="preserve">30141782       </t>
        </is>
      </c>
      <c r="F2119" s="5" t="inlineStr">
        <is>
          <t>RELOJ DIGITAL TRANSFORMERS</t>
        </is>
      </c>
      <c r="G2119" t="n">
        <v>1</v>
      </c>
      <c r="H2119" s="7" t="n">
        <v>18.9</v>
      </c>
      <c r="I2119" s="7" t="n">
        <v>0</v>
      </c>
      <c r="J2119" s="7" t="n">
        <v>0</v>
      </c>
      <c r="K2119" s="9" t="n">
        <v>0</v>
      </c>
      <c r="L2119" s="10" t="n">
        <v>11.21</v>
      </c>
      <c r="M2119" s="10" t="n">
        <v>1.43</v>
      </c>
      <c r="N2119" t="inlineStr">
        <is>
          <t>1</t>
        </is>
      </c>
      <c r="O2119" t="inlineStr">
        <is>
          <t>16</t>
        </is>
      </c>
      <c r="P2119" t="inlineStr">
        <is>
          <t xml:space="preserve">248316  </t>
        </is>
      </c>
      <c r="Q2119" s="26" t="n">
        <v>18.9</v>
      </c>
      <c r="R2119" s="26">
        <f>Q2119*G2119</f>
        <v/>
      </c>
      <c r="S2119" t="n">
        <v>11.21</v>
      </c>
      <c r="T2119" s="18">
        <f>1 - V2119/S2119</f>
        <v/>
      </c>
      <c r="U2119" s="18" t="n">
        <v>0</v>
      </c>
      <c r="V2119" s="26" t="n">
        <v>11.21</v>
      </c>
      <c r="W2119" s="26">
        <f>V2119 - L2119</f>
        <v/>
      </c>
    </row>
    <row r="2120">
      <c r="A2120" s="11" t="n">
        <v>46224</v>
      </c>
      <c r="B2120" s="1" t="n">
        <v>20077</v>
      </c>
      <c r="C2120" s="1" t="inlineStr">
        <is>
          <t>029</t>
        </is>
      </c>
      <c r="D2120" s="1" t="inlineStr">
        <is>
          <t>156596</t>
        </is>
      </c>
      <c r="E2120" s="1" t="inlineStr">
        <is>
          <t xml:space="preserve">30232283       </t>
        </is>
      </c>
      <c r="F2120" s="5" t="inlineStr">
        <is>
          <t>INFINITY NADO PACK DE 2 TROMPOS DE BATALLA METAL</t>
        </is>
      </c>
      <c r="G2120" t="n">
        <v>1</v>
      </c>
      <c r="H2120" s="7" t="n">
        <v>59.9</v>
      </c>
      <c r="I2120" s="7" t="n">
        <v>0</v>
      </c>
      <c r="J2120" s="7" t="n">
        <v>0</v>
      </c>
      <c r="K2120" s="9" t="n">
        <v>0</v>
      </c>
      <c r="L2120" s="10" t="n">
        <v>35.53</v>
      </c>
      <c r="M2120" s="10" t="n">
        <v>1.43</v>
      </c>
      <c r="N2120" t="inlineStr">
        <is>
          <t>1</t>
        </is>
      </c>
      <c r="O2120" t="inlineStr">
        <is>
          <t xml:space="preserve">3 </t>
        </is>
      </c>
      <c r="P2120" t="inlineStr">
        <is>
          <t xml:space="preserve">48922   </t>
        </is>
      </c>
      <c r="Q2120" s="26" t="n">
        <v>79.90000000000001</v>
      </c>
      <c r="R2120" s="26">
        <f>Q2120*G2120</f>
        <v/>
      </c>
      <c r="S2120" t="n">
        <v>47.4</v>
      </c>
      <c r="T2120" s="18">
        <f>1 - V2120/S2120</f>
        <v/>
      </c>
      <c r="U2120" s="18" t="n">
        <v>0.2503128911138924</v>
      </c>
      <c r="V2120" s="26" t="n">
        <v>38.07203389830509</v>
      </c>
      <c r="W2120" s="26">
        <f>V2120 - L2120</f>
        <v/>
      </c>
    </row>
    <row r="2121">
      <c r="A2121" s="11" t="n">
        <v>46224</v>
      </c>
      <c r="B2121" s="1" t="n">
        <v>20077</v>
      </c>
      <c r="C2121" s="1" t="inlineStr">
        <is>
          <t>029</t>
        </is>
      </c>
      <c r="D2121" s="1" t="inlineStr">
        <is>
          <t>156641</t>
        </is>
      </c>
      <c r="E2121" s="1" t="inlineStr">
        <is>
          <t xml:space="preserve">32457099       </t>
        </is>
      </c>
      <c r="F2121" s="5" t="inlineStr">
        <is>
          <t>TMZ BEAST MACHINES MONSTER JAWS A FRICCION BLISTER</t>
        </is>
      </c>
      <c r="G2121" t="n">
        <v>1</v>
      </c>
      <c r="H2121" s="7" t="n">
        <v>17.9</v>
      </c>
      <c r="I2121" s="7" t="n">
        <v>0</v>
      </c>
      <c r="J2121" s="7" t="n">
        <v>0</v>
      </c>
      <c r="K2121" s="9" t="n">
        <v>0</v>
      </c>
      <c r="L2121" s="10" t="n">
        <v>10.62</v>
      </c>
      <c r="M2121" s="10" t="n">
        <v>1.43</v>
      </c>
      <c r="N2121" t="inlineStr">
        <is>
          <t>1</t>
        </is>
      </c>
      <c r="O2121" t="inlineStr">
        <is>
          <t>16</t>
        </is>
      </c>
      <c r="P2121" t="inlineStr">
        <is>
          <t xml:space="preserve">48922   </t>
        </is>
      </c>
      <c r="Q2121" s="26" t="n">
        <v>19.9</v>
      </c>
      <c r="R2121" s="26">
        <f>Q2121*G2121</f>
        <v/>
      </c>
      <c r="S2121" t="n">
        <v>11.81</v>
      </c>
      <c r="T2121" s="18">
        <f>1 - V2121/S2121</f>
        <v/>
      </c>
      <c r="U2121" s="18" t="n">
        <v>0.1005025125628141</v>
      </c>
      <c r="V2121" s="26" t="n">
        <v>8.417118644067797</v>
      </c>
      <c r="W2121" s="26">
        <f>V2121 - L2121</f>
        <v/>
      </c>
    </row>
    <row r="2122">
      <c r="A2122" s="11" t="n">
        <v>46224</v>
      </c>
      <c r="B2122" s="1" t="n">
        <v>20077</v>
      </c>
      <c r="C2122" s="1" t="inlineStr">
        <is>
          <t>029</t>
        </is>
      </c>
      <c r="D2122" s="1" t="inlineStr">
        <is>
          <t>156641</t>
        </is>
      </c>
      <c r="E2122" s="1" t="inlineStr">
        <is>
          <t xml:space="preserve">32457099       </t>
        </is>
      </c>
      <c r="F2122" s="5" t="inlineStr">
        <is>
          <t>TMZ BEAST MACHINES MONSTER JAWS A FRICCION BLISTER</t>
        </is>
      </c>
      <c r="G2122" t="n">
        <v>1</v>
      </c>
      <c r="H2122" s="7" t="n">
        <v>17.9</v>
      </c>
      <c r="I2122" s="7" t="n">
        <v>0</v>
      </c>
      <c r="J2122" s="7" t="n">
        <v>0</v>
      </c>
      <c r="K2122" s="9" t="n">
        <v>0</v>
      </c>
      <c r="L2122" s="10" t="n">
        <v>10.62</v>
      </c>
      <c r="M2122" s="10" t="n">
        <v>1.43</v>
      </c>
      <c r="N2122" t="inlineStr">
        <is>
          <t>1</t>
        </is>
      </c>
      <c r="O2122" t="inlineStr">
        <is>
          <t>16</t>
        </is>
      </c>
      <c r="P2122" t="inlineStr">
        <is>
          <t xml:space="preserve">48922   </t>
        </is>
      </c>
      <c r="Q2122" s="26" t="n">
        <v>19.9</v>
      </c>
      <c r="R2122" s="26">
        <f>Q2122*G2122</f>
        <v/>
      </c>
      <c r="S2122" t="n">
        <v>11.81</v>
      </c>
      <c r="T2122" s="18">
        <f>1 - V2122/S2122</f>
        <v/>
      </c>
      <c r="U2122" s="18" t="n">
        <v>0.1005025125628141</v>
      </c>
      <c r="V2122" s="26" t="n">
        <v>8.417118644067797</v>
      </c>
      <c r="W2122" s="26">
        <f>V2122 - L2122</f>
        <v/>
      </c>
    </row>
    <row r="2123">
      <c r="A2123" s="11" t="n">
        <v>46224</v>
      </c>
      <c r="B2123" s="1" t="n">
        <v>20077</v>
      </c>
      <c r="C2123" s="1" t="inlineStr">
        <is>
          <t>029</t>
        </is>
      </c>
      <c r="D2123" s="1" t="inlineStr">
        <is>
          <t>156641</t>
        </is>
      </c>
      <c r="E2123" s="1" t="inlineStr">
        <is>
          <t xml:space="preserve">32457099       </t>
        </is>
      </c>
      <c r="F2123" s="5" t="inlineStr">
        <is>
          <t>TMZ BEAST MACHINES MONSTER JAWS A FRICCION BLISTER</t>
        </is>
      </c>
      <c r="G2123" t="n">
        <v>1</v>
      </c>
      <c r="H2123" s="7" t="n">
        <v>17.9</v>
      </c>
      <c r="I2123" s="7" t="n">
        <v>0</v>
      </c>
      <c r="J2123" s="7" t="n">
        <v>0</v>
      </c>
      <c r="K2123" s="9" t="n">
        <v>0</v>
      </c>
      <c r="L2123" s="10" t="n">
        <v>10.62</v>
      </c>
      <c r="M2123" s="10" t="n">
        <v>1.43</v>
      </c>
      <c r="N2123" t="inlineStr">
        <is>
          <t>1</t>
        </is>
      </c>
      <c r="O2123" t="inlineStr">
        <is>
          <t>16</t>
        </is>
      </c>
      <c r="P2123" t="inlineStr">
        <is>
          <t xml:space="preserve">48922   </t>
        </is>
      </c>
      <c r="Q2123" s="26" t="n">
        <v>19.9</v>
      </c>
      <c r="R2123" s="26">
        <f>Q2123*G2123</f>
        <v/>
      </c>
      <c r="S2123" t="n">
        <v>11.81</v>
      </c>
      <c r="T2123" s="18">
        <f>1 - V2123/S2123</f>
        <v/>
      </c>
      <c r="U2123" s="18" t="n">
        <v>0.1005025125628141</v>
      </c>
      <c r="V2123" s="26" t="n">
        <v>8.417118644067797</v>
      </c>
      <c r="W2123" s="26">
        <f>V2123 - L2123</f>
        <v/>
      </c>
    </row>
    <row r="2124">
      <c r="A2124" s="11" t="n">
        <v>46224</v>
      </c>
      <c r="B2124" s="1" t="n">
        <v>20077</v>
      </c>
      <c r="C2124" s="1" t="inlineStr">
        <is>
          <t>038</t>
        </is>
      </c>
      <c r="D2124" s="1" t="inlineStr">
        <is>
          <t>111825</t>
        </is>
      </c>
      <c r="E2124" s="1" t="inlineStr">
        <is>
          <t xml:space="preserve">28194780       </t>
        </is>
      </c>
      <c r="F2124" s="5" t="inlineStr">
        <is>
          <t>TROMPO BATALLA INFINITY NADO PLSTICO SURTIDO</t>
        </is>
      </c>
      <c r="G2124" t="n">
        <v>1</v>
      </c>
      <c r="H2124" s="7" t="n">
        <v>19.9</v>
      </c>
      <c r="I2124" s="7" t="n">
        <v>1.99</v>
      </c>
      <c r="J2124" s="7" t="n">
        <v>0</v>
      </c>
      <c r="K2124" s="9" t="n">
        <v>1.99</v>
      </c>
      <c r="L2124" s="10" t="n">
        <v>10.63</v>
      </c>
      <c r="M2124" s="10" t="n">
        <v>1.43</v>
      </c>
      <c r="N2124" t="inlineStr">
        <is>
          <t>1</t>
        </is>
      </c>
      <c r="O2124" t="inlineStr">
        <is>
          <t xml:space="preserve">3 </t>
        </is>
      </c>
      <c r="P2124" t="inlineStr">
        <is>
          <t xml:space="preserve">63117   </t>
        </is>
      </c>
      <c r="Q2124" s="26" t="n">
        <v>19.9</v>
      </c>
      <c r="R2124" s="26">
        <f>Q2124*G2124</f>
        <v/>
      </c>
      <c r="S2124" t="n">
        <v>11.81</v>
      </c>
      <c r="T2124" s="18">
        <f>1 - V2124/S2124</f>
        <v/>
      </c>
      <c r="U2124" s="18" t="n">
        <v>0</v>
      </c>
      <c r="V2124" s="26" t="n">
        <v>11.81</v>
      </c>
      <c r="W2124" s="26">
        <f>V2124 - L2124</f>
        <v/>
      </c>
    </row>
    <row r="2125">
      <c r="A2125" s="11" t="n">
        <v>46224</v>
      </c>
      <c r="B2125" s="1" t="n">
        <v>20079</v>
      </c>
      <c r="C2125" s="1" t="inlineStr">
        <is>
          <t>045</t>
        </is>
      </c>
      <c r="D2125" s="1" t="inlineStr">
        <is>
          <t>332999</t>
        </is>
      </c>
      <c r="E2125" s="1" t="inlineStr">
        <is>
          <t xml:space="preserve">30232282       </t>
        </is>
      </c>
      <c r="F2125" s="5" t="inlineStr">
        <is>
          <t>MANDIBULAS JUEGO DE PESCA</t>
        </is>
      </c>
      <c r="G2125" t="n">
        <v>1</v>
      </c>
      <c r="H2125" s="7" t="n">
        <v>119</v>
      </c>
      <c r="I2125" s="7" t="n">
        <v>0</v>
      </c>
      <c r="J2125" s="7" t="n">
        <v>0</v>
      </c>
      <c r="K2125" s="9" t="n">
        <v>0</v>
      </c>
      <c r="L2125" s="10" t="n">
        <v>70.59999999999999</v>
      </c>
      <c r="M2125" s="10" t="n">
        <v>1.43</v>
      </c>
      <c r="N2125" t="inlineStr">
        <is>
          <t>1</t>
        </is>
      </c>
      <c r="O2125" t="inlineStr">
        <is>
          <t>16</t>
        </is>
      </c>
      <c r="P2125" t="inlineStr">
        <is>
          <t xml:space="preserve">47624   </t>
        </is>
      </c>
      <c r="Q2125" s="26" t="n">
        <v>119</v>
      </c>
      <c r="R2125" s="26">
        <f>Q2125*G2125</f>
        <v/>
      </c>
      <c r="S2125" t="n">
        <v>70.59</v>
      </c>
      <c r="T2125" s="18">
        <f>1 - V2125/S2125</f>
        <v/>
      </c>
      <c r="U2125" s="18" t="n">
        <v>0</v>
      </c>
      <c r="V2125" s="26" t="n">
        <v>70.59</v>
      </c>
      <c r="W2125" s="26">
        <f>V2125 - L2125</f>
        <v/>
      </c>
    </row>
    <row r="2126">
      <c r="A2126" s="11" t="n">
        <v>46224</v>
      </c>
      <c r="B2126" s="1" t="n">
        <v>20086</v>
      </c>
      <c r="C2126" s="1" t="inlineStr">
        <is>
          <t>191</t>
        </is>
      </c>
      <c r="D2126" s="1" t="inlineStr">
        <is>
          <t>292301</t>
        </is>
      </c>
      <c r="E2126" s="1" t="inlineStr">
        <is>
          <t xml:space="preserve">33483119       </t>
        </is>
      </c>
      <c r="F2126" s="5" t="inlineStr">
        <is>
          <t>MUNECA EVI LOVE TRAJE TIPICO CON ALPACA</t>
        </is>
      </c>
      <c r="G2126" t="n">
        <v>1</v>
      </c>
      <c r="H2126" s="7" t="n">
        <v>17.94</v>
      </c>
      <c r="I2126" s="7" t="n">
        <v>0</v>
      </c>
      <c r="J2126" s="7" t="n">
        <v>0</v>
      </c>
      <c r="K2126" s="9" t="n">
        <v>0</v>
      </c>
      <c r="L2126" s="10" t="n">
        <v>10.64</v>
      </c>
      <c r="M2126" s="10" t="n">
        <v>1.43</v>
      </c>
      <c r="N2126" t="inlineStr">
        <is>
          <t>1</t>
        </is>
      </c>
      <c r="O2126" t="inlineStr">
        <is>
          <t xml:space="preserve">2 </t>
        </is>
      </c>
      <c r="P2126" t="inlineStr">
        <is>
          <t xml:space="preserve">74931   </t>
        </is>
      </c>
      <c r="Q2126" s="26" t="n">
        <v>29.9</v>
      </c>
      <c r="R2126" s="26">
        <f>Q2126*G2126</f>
        <v/>
      </c>
      <c r="S2126" t="n">
        <v>17.74</v>
      </c>
      <c r="T2126" s="18">
        <f>1 - V2126/S2126</f>
        <v/>
      </c>
      <c r="U2126" s="18" t="n">
        <v>0.4</v>
      </c>
      <c r="V2126" s="26" t="n">
        <v>13.68305084745763</v>
      </c>
      <c r="W2126" s="26">
        <f>V2126 - L2126</f>
        <v/>
      </c>
    </row>
    <row r="2127">
      <c r="A2127" s="11" t="n">
        <v>46224</v>
      </c>
      <c r="B2127" s="1" t="n">
        <v>20088</v>
      </c>
      <c r="C2127" s="1" t="inlineStr">
        <is>
          <t>021</t>
        </is>
      </c>
      <c r="D2127" s="1" t="inlineStr">
        <is>
          <t xml:space="preserve">49720 </t>
        </is>
      </c>
      <c r="E2127" s="1" t="inlineStr">
        <is>
          <t xml:space="preserve">28194784       </t>
        </is>
      </c>
      <c r="F2127" s="5" t="inlineStr">
        <is>
          <t>SET DE ACROBACIAS INFINITY NADO CON TROMPO</t>
        </is>
      </c>
      <c r="G2127" t="n">
        <v>1</v>
      </c>
      <c r="H2127" s="7" t="n">
        <v>139</v>
      </c>
      <c r="I2127" s="7" t="n">
        <v>0</v>
      </c>
      <c r="J2127" s="7" t="n">
        <v>0</v>
      </c>
      <c r="K2127" s="9" t="n">
        <v>0</v>
      </c>
      <c r="L2127" s="10" t="n">
        <v>82.45999999999999</v>
      </c>
      <c r="M2127" s="10" t="n">
        <v>1.43</v>
      </c>
      <c r="N2127" t="inlineStr">
        <is>
          <t>1</t>
        </is>
      </c>
      <c r="O2127" t="inlineStr">
        <is>
          <t>16</t>
        </is>
      </c>
      <c r="P2127" t="inlineStr">
        <is>
          <t xml:space="preserve">234665  </t>
        </is>
      </c>
      <c r="Q2127" s="26" t="n">
        <v>179</v>
      </c>
      <c r="R2127" s="26">
        <f>Q2127*G2127</f>
        <v/>
      </c>
      <c r="S2127" t="n">
        <v>106.19</v>
      </c>
      <c r="T2127" s="18">
        <f>1 - V2127/S2127</f>
        <v/>
      </c>
      <c r="U2127" s="18" t="n">
        <v>0.223463687150838</v>
      </c>
      <c r="V2127" s="26" t="n">
        <v>88.34745762711864</v>
      </c>
      <c r="W2127" s="26">
        <f>V2127 - L2127</f>
        <v/>
      </c>
    </row>
    <row r="2128">
      <c r="A2128" s="11" t="n">
        <v>46224</v>
      </c>
      <c r="B2128" s="1" t="n">
        <v>20088</v>
      </c>
      <c r="C2128" s="1" t="inlineStr">
        <is>
          <t>023</t>
        </is>
      </c>
      <c r="D2128" s="1" t="inlineStr">
        <is>
          <t>127595</t>
        </is>
      </c>
      <c r="E2128" s="1" t="inlineStr">
        <is>
          <t xml:space="preserve">35685067       </t>
        </is>
      </c>
      <c r="F2128" s="5" t="inlineStr">
        <is>
          <t>HOT WHEELS POWER SET 3 EN 1</t>
        </is>
      </c>
      <c r="G2128" t="n">
        <v>1</v>
      </c>
      <c r="H2128" s="7" t="n">
        <v>49.9</v>
      </c>
      <c r="I2128" s="7" t="n">
        <v>9.98</v>
      </c>
      <c r="J2128" s="7" t="n">
        <v>0</v>
      </c>
      <c r="K2128" s="9" t="n">
        <v>9.98</v>
      </c>
      <c r="L2128" s="10" t="n">
        <v>23.68</v>
      </c>
      <c r="M2128" s="10" t="n">
        <v>1.43</v>
      </c>
      <c r="N2128" t="inlineStr">
        <is>
          <t>1</t>
        </is>
      </c>
      <c r="O2128" t="inlineStr">
        <is>
          <t xml:space="preserve">2 </t>
        </is>
      </c>
      <c r="P2128" t="inlineStr">
        <is>
          <t xml:space="preserve">47248   </t>
        </is>
      </c>
      <c r="Q2128" s="26" t="n">
        <v>49.9</v>
      </c>
      <c r="R2128" s="26">
        <f>Q2128*G2128</f>
        <v/>
      </c>
      <c r="S2128" t="n">
        <v>29.6</v>
      </c>
      <c r="T2128" s="18">
        <f>1 - V2128/S2128</f>
        <v/>
      </c>
      <c r="U2128" s="18" t="n">
        <v>0</v>
      </c>
      <c r="V2128" s="26" t="n">
        <v>29.6</v>
      </c>
      <c r="W2128" s="26">
        <f>V2128 - L2128</f>
        <v/>
      </c>
    </row>
    <row r="2129">
      <c r="A2129" s="11" t="n">
        <v>46224</v>
      </c>
      <c r="B2129" s="1" t="n">
        <v>20089</v>
      </c>
      <c r="C2129" s="1" t="inlineStr">
        <is>
          <t>025</t>
        </is>
      </c>
      <c r="D2129" s="1" t="inlineStr">
        <is>
          <t>122274</t>
        </is>
      </c>
      <c r="E2129" s="1" t="inlineStr">
        <is>
          <t xml:space="preserve">28194769       </t>
        </is>
      </c>
      <c r="F2129" s="5" t="inlineStr">
        <is>
          <t>AUTOS DE METAL 3 TEAMSTERZ PACK DE 2</t>
        </is>
      </c>
      <c r="G2129" t="n">
        <v>1</v>
      </c>
      <c r="H2129" s="7" t="n">
        <v>13.8</v>
      </c>
      <c r="I2129" s="7" t="n">
        <v>1.38</v>
      </c>
      <c r="J2129" s="7" t="n">
        <v>0</v>
      </c>
      <c r="K2129" s="9" t="n">
        <v>1.38</v>
      </c>
      <c r="L2129" s="10" t="n">
        <v>7.37</v>
      </c>
      <c r="M2129" s="10" t="n">
        <v>1.43</v>
      </c>
      <c r="N2129" t="inlineStr">
        <is>
          <t>1</t>
        </is>
      </c>
      <c r="O2129" t="inlineStr">
        <is>
          <t xml:space="preserve">3 </t>
        </is>
      </c>
      <c r="P2129" t="inlineStr">
        <is>
          <t xml:space="preserve">232968  </t>
        </is>
      </c>
      <c r="Q2129" s="26" t="n">
        <v>13.8</v>
      </c>
      <c r="R2129" s="26">
        <f>Q2129*G2129</f>
        <v/>
      </c>
      <c r="S2129" t="n">
        <v>8.19</v>
      </c>
      <c r="T2129" s="18">
        <f>1 - V2129/S2129</f>
        <v/>
      </c>
      <c r="U2129" s="18" t="n">
        <v>0</v>
      </c>
      <c r="V2129" s="26" t="n">
        <v>8.19</v>
      </c>
      <c r="W2129" s="26">
        <f>V2129 - L2129</f>
        <v/>
      </c>
    </row>
    <row r="2130">
      <c r="A2130" s="11" t="n">
        <v>46224</v>
      </c>
      <c r="B2130" s="1" t="n">
        <v>20089</v>
      </c>
      <c r="C2130" s="1" t="inlineStr">
        <is>
          <t>026</t>
        </is>
      </c>
      <c r="D2130" s="1" t="inlineStr">
        <is>
          <t xml:space="preserve">2012  </t>
        </is>
      </c>
      <c r="E2130" s="1" t="inlineStr">
        <is>
          <t xml:space="preserve">28194770       </t>
        </is>
      </c>
      <c r="F2130" s="5" t="inlineStr">
        <is>
          <t>AUTOS DE METAL 3 TEAMSTERZ EN BLISTER</t>
        </is>
      </c>
      <c r="G2130" t="n">
        <v>1</v>
      </c>
      <c r="H2130" s="7" t="n">
        <v>6.9</v>
      </c>
      <c r="I2130" s="7" t="n">
        <v>0</v>
      </c>
      <c r="J2130" s="7" t="n">
        <v>0</v>
      </c>
      <c r="K2130" s="9" t="n">
        <v>0</v>
      </c>
      <c r="L2130" s="10" t="n">
        <v>4.1</v>
      </c>
      <c r="M2130" s="10" t="n">
        <v>1.43</v>
      </c>
      <c r="N2130" t="inlineStr">
        <is>
          <t>1</t>
        </is>
      </c>
      <c r="O2130" t="inlineStr">
        <is>
          <t>16</t>
        </is>
      </c>
      <c r="P2130" t="inlineStr">
        <is>
          <t xml:space="preserve">109709  </t>
        </is>
      </c>
      <c r="Q2130" s="26" t="n">
        <v>6.9</v>
      </c>
      <c r="R2130" s="26">
        <f>Q2130*G2130</f>
        <v/>
      </c>
      <c r="S2130" t="n">
        <v>4.09</v>
      </c>
      <c r="T2130" s="18">
        <f>1 - V2130/S2130</f>
        <v/>
      </c>
      <c r="U2130" s="18" t="n">
        <v>0</v>
      </c>
      <c r="V2130" s="26" t="n">
        <v>4.09</v>
      </c>
      <c r="W2130" s="26">
        <f>V2130 - L2130</f>
        <v/>
      </c>
    </row>
    <row r="2131">
      <c r="A2131" s="11" t="n">
        <v>46224</v>
      </c>
      <c r="B2131" s="1" t="n">
        <v>20089</v>
      </c>
      <c r="C2131" s="1" t="inlineStr">
        <is>
          <t>026</t>
        </is>
      </c>
      <c r="D2131" s="1" t="inlineStr">
        <is>
          <t xml:space="preserve">2012  </t>
        </is>
      </c>
      <c r="E2131" s="1" t="inlineStr">
        <is>
          <t xml:space="preserve">30141766       </t>
        </is>
      </c>
      <c r="F2131" s="5" t="inlineStr">
        <is>
          <t>TMZ BEAST MACHINES AUTOS DE METAL BLISTER X 1</t>
        </is>
      </c>
      <c r="G2131" t="n">
        <v>1</v>
      </c>
      <c r="H2131" s="7" t="n">
        <v>7.9</v>
      </c>
      <c r="I2131" s="7" t="n">
        <v>0</v>
      </c>
      <c r="J2131" s="7" t="n">
        <v>0</v>
      </c>
      <c r="K2131" s="9" t="n">
        <v>0</v>
      </c>
      <c r="L2131" s="10" t="n">
        <v>4.68</v>
      </c>
      <c r="M2131" s="10" t="n">
        <v>1.43</v>
      </c>
      <c r="N2131" t="inlineStr">
        <is>
          <t>1</t>
        </is>
      </c>
      <c r="O2131" t="inlineStr">
        <is>
          <t>16</t>
        </is>
      </c>
      <c r="P2131" t="inlineStr">
        <is>
          <t xml:space="preserve">109709  </t>
        </is>
      </c>
      <c r="Q2131" s="26" t="n">
        <v>7.9</v>
      </c>
      <c r="R2131" s="26">
        <f>Q2131*G2131</f>
        <v/>
      </c>
      <c r="S2131" t="n">
        <v>4.69</v>
      </c>
      <c r="T2131" s="18">
        <f>1 - V2131/S2131</f>
        <v/>
      </c>
      <c r="U2131" s="18" t="n">
        <v>0</v>
      </c>
      <c r="V2131" s="26" t="n">
        <v>4.69</v>
      </c>
      <c r="W2131" s="26">
        <f>V2131 - L2131</f>
        <v/>
      </c>
    </row>
    <row r="2132">
      <c r="A2132" s="11" t="n">
        <v>46224</v>
      </c>
      <c r="B2132" s="1" t="n">
        <v>20089</v>
      </c>
      <c r="C2132" s="1" t="inlineStr">
        <is>
          <t>026</t>
        </is>
      </c>
      <c r="D2132" s="1" t="inlineStr">
        <is>
          <t xml:space="preserve">88374 </t>
        </is>
      </c>
      <c r="E2132" s="1" t="inlineStr">
        <is>
          <t xml:space="preserve">28194770       </t>
        </is>
      </c>
      <c r="F2132" s="5" t="inlineStr">
        <is>
          <t>AUTOS DE METAL 3 TEAMSTERZ EN BLISTER</t>
        </is>
      </c>
      <c r="G2132" t="n">
        <v>1</v>
      </c>
      <c r="H2132" s="7" t="n">
        <v>6.9</v>
      </c>
      <c r="I2132" s="7" t="n">
        <v>0</v>
      </c>
      <c r="J2132" s="7" t="n">
        <v>0</v>
      </c>
      <c r="K2132" s="9" t="n">
        <v>0</v>
      </c>
      <c r="L2132" s="10" t="n">
        <v>4.1</v>
      </c>
      <c r="M2132" s="10" t="n">
        <v>1.43</v>
      </c>
      <c r="N2132" t="inlineStr">
        <is>
          <t>1</t>
        </is>
      </c>
      <c r="O2132" t="inlineStr">
        <is>
          <t xml:space="preserve">2 </t>
        </is>
      </c>
      <c r="P2132" t="inlineStr">
        <is>
          <t xml:space="preserve">109709  </t>
        </is>
      </c>
      <c r="Q2132" s="26" t="n">
        <v>6.9</v>
      </c>
      <c r="R2132" s="26">
        <f>Q2132*G2132</f>
        <v/>
      </c>
      <c r="S2132" t="n">
        <v>4.09</v>
      </c>
      <c r="T2132" s="18">
        <f>1 - V2132/S2132</f>
        <v/>
      </c>
      <c r="U2132" s="18" t="n">
        <v>0</v>
      </c>
      <c r="V2132" s="26" t="n">
        <v>4.09</v>
      </c>
      <c r="W2132" s="26">
        <f>V2132 - L2132</f>
        <v/>
      </c>
    </row>
    <row r="2133">
      <c r="A2133" s="11" t="n">
        <v>46224</v>
      </c>
      <c r="B2133" s="1" t="n">
        <v>20089</v>
      </c>
      <c r="C2133" s="1" t="inlineStr">
        <is>
          <t>026</t>
        </is>
      </c>
      <c r="D2133" s="1" t="inlineStr">
        <is>
          <t xml:space="preserve">88406 </t>
        </is>
      </c>
      <c r="E2133" s="1" t="inlineStr">
        <is>
          <t xml:space="preserve">30141766       </t>
        </is>
      </c>
      <c r="F2133" s="5" t="inlineStr">
        <is>
          <t>TMZ BEAST MACHINES AUTOS DE METAL BLISTER X 1</t>
        </is>
      </c>
      <c r="G2133" t="n">
        <v>1</v>
      </c>
      <c r="H2133" s="7" t="n">
        <v>7.9</v>
      </c>
      <c r="I2133" s="7" t="n">
        <v>0</v>
      </c>
      <c r="J2133" s="7" t="n">
        <v>0</v>
      </c>
      <c r="K2133" s="9" t="n">
        <v>0</v>
      </c>
      <c r="L2133" s="10" t="n">
        <v>4.68</v>
      </c>
      <c r="M2133" s="10" t="n">
        <v>1.43</v>
      </c>
      <c r="N2133" t="inlineStr">
        <is>
          <t>1</t>
        </is>
      </c>
      <c r="O2133" t="inlineStr">
        <is>
          <t>16</t>
        </is>
      </c>
      <c r="P2133" t="inlineStr">
        <is>
          <t xml:space="preserve">109709  </t>
        </is>
      </c>
      <c r="Q2133" s="26" t="n">
        <v>7.9</v>
      </c>
      <c r="R2133" s="26">
        <f>Q2133*G2133</f>
        <v/>
      </c>
      <c r="S2133" t="n">
        <v>4.69</v>
      </c>
      <c r="T2133" s="18">
        <f>1 - V2133/S2133</f>
        <v/>
      </c>
      <c r="U2133" s="18" t="n">
        <v>0</v>
      </c>
      <c r="V2133" s="26" t="n">
        <v>4.69</v>
      </c>
      <c r="W2133" s="26">
        <f>V2133 - L2133</f>
        <v/>
      </c>
    </row>
    <row r="2134">
      <c r="A2134" s="11" t="n">
        <v>46224</v>
      </c>
      <c r="B2134" s="1" t="n">
        <v>20089</v>
      </c>
      <c r="C2134" s="1" t="inlineStr">
        <is>
          <t>800</t>
        </is>
      </c>
      <c r="D2134" s="1" t="inlineStr">
        <is>
          <t xml:space="preserve">4075  </t>
        </is>
      </c>
      <c r="E2134" s="1" t="inlineStr">
        <is>
          <t xml:space="preserve">32457099       </t>
        </is>
      </c>
      <c r="F2134" s="5" t="inlineStr">
        <is>
          <t>TMZ BEAST MACHINES MONSTER JAWS A FRICCION BLISTER</t>
        </is>
      </c>
      <c r="G2134" t="n">
        <v>1</v>
      </c>
      <c r="H2134" s="7" t="n">
        <v>17.9</v>
      </c>
      <c r="I2134" s="7" t="n">
        <v>0</v>
      </c>
      <c r="J2134" s="7" t="n">
        <v>0</v>
      </c>
      <c r="K2134" s="9" t="n">
        <v>0</v>
      </c>
      <c r="L2134" s="10" t="n">
        <v>10.62</v>
      </c>
      <c r="M2134" s="10" t="n">
        <v>1.43</v>
      </c>
      <c r="N2134" t="inlineStr">
        <is>
          <t>1</t>
        </is>
      </c>
      <c r="O2134" t="inlineStr">
        <is>
          <t>16</t>
        </is>
      </c>
      <c r="P2134" t="inlineStr">
        <is>
          <t xml:space="preserve">0       </t>
        </is>
      </c>
      <c r="Q2134" s="26" t="n">
        <v>19.9</v>
      </c>
      <c r="R2134" s="26">
        <f>Q2134*G2134</f>
        <v/>
      </c>
      <c r="S2134" t="n">
        <v>11.81</v>
      </c>
      <c r="T2134" s="18">
        <f>1 - V2134/S2134</f>
        <v/>
      </c>
      <c r="U2134" s="18" t="n">
        <v>0.1005025125628141</v>
      </c>
      <c r="V2134" s="26" t="n">
        <v>8.417118644067797</v>
      </c>
      <c r="W2134" s="26">
        <f>V2134 - L2134</f>
        <v/>
      </c>
    </row>
    <row r="2135">
      <c r="A2135" s="11" t="n">
        <v>46224</v>
      </c>
      <c r="B2135" s="1" t="n">
        <v>20095</v>
      </c>
      <c r="C2135" s="1" t="inlineStr">
        <is>
          <t>043</t>
        </is>
      </c>
      <c r="D2135" s="1" t="inlineStr">
        <is>
          <t>108350</t>
        </is>
      </c>
      <c r="E2135" s="1" t="inlineStr">
        <is>
          <t xml:space="preserve">28194770       </t>
        </is>
      </c>
      <c r="F2135" s="5" t="inlineStr">
        <is>
          <t>AUTOS DE METAL 3 TEAMSTERZ EN BLISTER</t>
        </is>
      </c>
      <c r="G2135" t="n">
        <v>1</v>
      </c>
      <c r="H2135" s="7" t="n">
        <v>6.9</v>
      </c>
      <c r="I2135" s="7" t="n">
        <v>0</v>
      </c>
      <c r="J2135" s="7" t="n">
        <v>0</v>
      </c>
      <c r="K2135" s="9" t="n">
        <v>0</v>
      </c>
      <c r="L2135" s="10" t="n">
        <v>4.1</v>
      </c>
      <c r="M2135" s="10" t="n">
        <v>1.43</v>
      </c>
      <c r="N2135" t="inlineStr">
        <is>
          <t>1</t>
        </is>
      </c>
      <c r="O2135" t="inlineStr">
        <is>
          <t>16</t>
        </is>
      </c>
      <c r="P2135" t="inlineStr">
        <is>
          <t xml:space="preserve">248294  </t>
        </is>
      </c>
      <c r="Q2135" s="26" t="n">
        <v>6.9</v>
      </c>
      <c r="R2135" s="26">
        <f>Q2135*G2135</f>
        <v/>
      </c>
      <c r="S2135" t="n">
        <v>4.09</v>
      </c>
      <c r="T2135" s="18">
        <f>1 - V2135/S2135</f>
        <v/>
      </c>
      <c r="U2135" s="18" t="n">
        <v>0</v>
      </c>
      <c r="V2135" s="26" t="n">
        <v>4.09</v>
      </c>
      <c r="W2135" s="26">
        <f>V2135 - L2135</f>
        <v/>
      </c>
    </row>
    <row r="2136">
      <c r="A2136" s="11" t="n">
        <v>46224</v>
      </c>
      <c r="B2136" s="1" t="n">
        <v>20095</v>
      </c>
      <c r="C2136" s="1" t="inlineStr">
        <is>
          <t>043</t>
        </is>
      </c>
      <c r="D2136" s="1" t="inlineStr">
        <is>
          <t>108432</t>
        </is>
      </c>
      <c r="E2136" s="1" t="inlineStr">
        <is>
          <t xml:space="preserve">30141766       </t>
        </is>
      </c>
      <c r="F2136" s="5" t="inlineStr">
        <is>
          <t>TMZ BEAST MACHINES AUTOS DE METAL BLISTER X 1</t>
        </is>
      </c>
      <c r="G2136" t="n">
        <v>1</v>
      </c>
      <c r="H2136" s="7" t="n">
        <v>7.9</v>
      </c>
      <c r="I2136" s="7" t="n">
        <v>0</v>
      </c>
      <c r="J2136" s="7" t="n">
        <v>0</v>
      </c>
      <c r="K2136" s="9" t="n">
        <v>0</v>
      </c>
      <c r="L2136" s="10" t="n">
        <v>4.68</v>
      </c>
      <c r="M2136" s="10" t="n">
        <v>1.43</v>
      </c>
      <c r="N2136" t="inlineStr">
        <is>
          <t>1</t>
        </is>
      </c>
      <c r="O2136" t="inlineStr">
        <is>
          <t>16</t>
        </is>
      </c>
      <c r="P2136" t="inlineStr">
        <is>
          <t xml:space="preserve">248294  </t>
        </is>
      </c>
      <c r="Q2136" s="26" t="n">
        <v>7.9</v>
      </c>
      <c r="R2136" s="26">
        <f>Q2136*G2136</f>
        <v/>
      </c>
      <c r="S2136" t="n">
        <v>4.69</v>
      </c>
      <c r="T2136" s="18">
        <f>1 - V2136/S2136</f>
        <v/>
      </c>
      <c r="U2136" s="18" t="n">
        <v>0</v>
      </c>
      <c r="V2136" s="26" t="n">
        <v>4.69</v>
      </c>
      <c r="W2136" s="26">
        <f>V2136 - L2136</f>
        <v/>
      </c>
    </row>
    <row r="2137">
      <c r="A2137" s="11" t="n">
        <v>46224</v>
      </c>
      <c r="B2137" s="1" t="n">
        <v>20095</v>
      </c>
      <c r="C2137" s="1" t="inlineStr">
        <is>
          <t>044</t>
        </is>
      </c>
      <c r="D2137" s="1" t="inlineStr">
        <is>
          <t xml:space="preserve">94326 </t>
        </is>
      </c>
      <c r="E2137" s="1" t="inlineStr">
        <is>
          <t xml:space="preserve">30141766       </t>
        </is>
      </c>
      <c r="F2137" s="5" t="inlineStr">
        <is>
          <t>TMZ BEAST MACHINES AUTOS DE METAL BLISTER X 1</t>
        </is>
      </c>
      <c r="G2137" t="n">
        <v>1</v>
      </c>
      <c r="H2137" s="7" t="n">
        <v>7.9</v>
      </c>
      <c r="I2137" s="7" t="n">
        <v>0</v>
      </c>
      <c r="J2137" s="7" t="n">
        <v>0</v>
      </c>
      <c r="K2137" s="9" t="n">
        <v>0</v>
      </c>
      <c r="L2137" s="10" t="n">
        <v>4.68</v>
      </c>
      <c r="M2137" s="10" t="n">
        <v>1.43</v>
      </c>
      <c r="N2137" t="inlineStr">
        <is>
          <t>1</t>
        </is>
      </c>
      <c r="O2137" t="inlineStr">
        <is>
          <t xml:space="preserve">3 </t>
        </is>
      </c>
      <c r="P2137" t="inlineStr">
        <is>
          <t xml:space="preserve">38948   </t>
        </is>
      </c>
      <c r="Q2137" s="26" t="n">
        <v>7.9</v>
      </c>
      <c r="R2137" s="26">
        <f>Q2137*G2137</f>
        <v/>
      </c>
      <c r="S2137" t="n">
        <v>4.69</v>
      </c>
      <c r="T2137" s="18">
        <f>1 - V2137/S2137</f>
        <v/>
      </c>
      <c r="U2137" s="18" t="n">
        <v>0</v>
      </c>
      <c r="V2137" s="26" t="n">
        <v>4.69</v>
      </c>
      <c r="W2137" s="26">
        <f>V2137 - L2137</f>
        <v/>
      </c>
    </row>
    <row r="2138">
      <c r="A2138" s="11" t="n">
        <v>46225</v>
      </c>
      <c r="B2138" s="1" t="n">
        <v>20021</v>
      </c>
      <c r="C2138" s="1" t="inlineStr">
        <is>
          <t>078</t>
        </is>
      </c>
      <c r="D2138" s="1" t="inlineStr">
        <is>
          <t>101479</t>
        </is>
      </c>
      <c r="E2138" s="1" t="inlineStr">
        <is>
          <t xml:space="preserve">28194770       </t>
        </is>
      </c>
      <c r="F2138" s="5" t="inlineStr">
        <is>
          <t>AUTOS DE METAL 3 TEAMSTERZ EN BLISTER</t>
        </is>
      </c>
      <c r="G2138" t="n">
        <v>1</v>
      </c>
      <c r="H2138" s="7" t="n">
        <v>6.9</v>
      </c>
      <c r="I2138" s="7" t="n">
        <v>0</v>
      </c>
      <c r="J2138" s="7" t="n">
        <v>0</v>
      </c>
      <c r="K2138" s="9" t="n">
        <v>0</v>
      </c>
      <c r="L2138" s="10" t="n">
        <v>4.1</v>
      </c>
      <c r="M2138" s="10" t="n">
        <v>1.43</v>
      </c>
      <c r="N2138" t="inlineStr">
        <is>
          <t>1</t>
        </is>
      </c>
      <c r="O2138" t="inlineStr">
        <is>
          <t>16</t>
        </is>
      </c>
      <c r="P2138" t="inlineStr">
        <is>
          <t xml:space="preserve">12097   </t>
        </is>
      </c>
      <c r="Q2138" s="26" t="n">
        <v>6.9</v>
      </c>
      <c r="R2138" s="26">
        <f>Q2138*G2138</f>
        <v/>
      </c>
      <c r="S2138" t="n">
        <v>4.09</v>
      </c>
      <c r="T2138" s="18">
        <f>1 - V2138/S2138</f>
        <v/>
      </c>
      <c r="U2138" s="18" t="n">
        <v>0</v>
      </c>
      <c r="V2138" s="26" t="n">
        <v>4.09</v>
      </c>
      <c r="W2138" s="26">
        <f>V2138 - L2138</f>
        <v/>
      </c>
    </row>
    <row r="2139">
      <c r="A2139" s="11" t="n">
        <v>46225</v>
      </c>
      <c r="B2139" s="1" t="n">
        <v>20023</v>
      </c>
      <c r="C2139" s="1" t="inlineStr">
        <is>
          <t>191</t>
        </is>
      </c>
      <c r="D2139" s="1" t="inlineStr">
        <is>
          <t xml:space="preserve">7991  </t>
        </is>
      </c>
      <c r="E2139" s="1" t="inlineStr">
        <is>
          <t xml:space="preserve">28194782       </t>
        </is>
      </c>
      <c r="F2139" s="5" t="inlineStr">
        <is>
          <t>TROMPO BATALLA INFINITY NADO SERIE V ORIGINAL SURT</t>
        </is>
      </c>
      <c r="G2139" t="n">
        <v>1</v>
      </c>
      <c r="H2139" s="7" t="n">
        <v>49.9</v>
      </c>
      <c r="I2139" s="7" t="n">
        <v>0</v>
      </c>
      <c r="J2139" s="7" t="n">
        <v>0</v>
      </c>
      <c r="K2139" s="9" t="n">
        <v>0</v>
      </c>
      <c r="L2139" s="10" t="n">
        <v>29.6</v>
      </c>
      <c r="M2139" s="10" t="n">
        <v>1.43</v>
      </c>
      <c r="N2139" t="inlineStr">
        <is>
          <t>1</t>
        </is>
      </c>
      <c r="O2139" t="inlineStr">
        <is>
          <t>16</t>
        </is>
      </c>
      <c r="P2139" t="inlineStr">
        <is>
          <t xml:space="preserve">32464   </t>
        </is>
      </c>
      <c r="Q2139" s="26" t="n">
        <v>69.90000000000001</v>
      </c>
      <c r="R2139" s="26">
        <f>Q2139*G2139</f>
        <v/>
      </c>
      <c r="S2139" t="n">
        <v>41.47</v>
      </c>
      <c r="T2139" s="18">
        <f>1 - V2139/S2139</f>
        <v/>
      </c>
      <c r="U2139" s="18" t="n">
        <v>0.2861230329041489</v>
      </c>
      <c r="V2139" s="26" t="n">
        <v>31.71610169491525</v>
      </c>
      <c r="W2139" s="26">
        <f>V2139 - L2139</f>
        <v/>
      </c>
    </row>
    <row r="2140">
      <c r="A2140" s="11" t="n">
        <v>46225</v>
      </c>
      <c r="B2140" s="1" t="n">
        <v>20024</v>
      </c>
      <c r="C2140" s="1" t="inlineStr">
        <is>
          <t>038</t>
        </is>
      </c>
      <c r="D2140" s="1" t="inlineStr">
        <is>
          <t xml:space="preserve">25895 </t>
        </is>
      </c>
      <c r="E2140" s="1" t="inlineStr">
        <is>
          <t xml:space="preserve">28194769       </t>
        </is>
      </c>
      <c r="F2140" s="5" t="inlineStr">
        <is>
          <t>AUTOS DE METAL 3 TEAMSTERZ PACK DE 2</t>
        </is>
      </c>
      <c r="G2140" t="n">
        <v>1</v>
      </c>
      <c r="H2140" s="7" t="n">
        <v>13.8</v>
      </c>
      <c r="I2140" s="7" t="n">
        <v>0</v>
      </c>
      <c r="J2140" s="7" t="n">
        <v>0</v>
      </c>
      <c r="K2140" s="9" t="n">
        <v>0</v>
      </c>
      <c r="L2140" s="10" t="n">
        <v>8.18</v>
      </c>
      <c r="M2140" s="10" t="n">
        <v>1.43</v>
      </c>
      <c r="N2140" t="inlineStr">
        <is>
          <t>1</t>
        </is>
      </c>
      <c r="O2140" t="inlineStr">
        <is>
          <t>16</t>
        </is>
      </c>
      <c r="P2140" t="inlineStr">
        <is>
          <t xml:space="preserve">65868   </t>
        </is>
      </c>
      <c r="Q2140" s="26" t="n">
        <v>13.8</v>
      </c>
      <c r="R2140" s="26">
        <f>Q2140*G2140</f>
        <v/>
      </c>
      <c r="S2140" t="n">
        <v>8.19</v>
      </c>
      <c r="T2140" s="18">
        <f>1 - V2140/S2140</f>
        <v/>
      </c>
      <c r="U2140" s="18" t="n">
        <v>0</v>
      </c>
      <c r="V2140" s="26" t="n">
        <v>8.19</v>
      </c>
      <c r="W2140" s="26">
        <f>V2140 - L2140</f>
        <v/>
      </c>
    </row>
    <row r="2141">
      <c r="A2141" s="11" t="n">
        <v>46225</v>
      </c>
      <c r="B2141" s="1" t="n">
        <v>20024</v>
      </c>
      <c r="C2141" s="1" t="inlineStr">
        <is>
          <t>038</t>
        </is>
      </c>
      <c r="D2141" s="1" t="inlineStr">
        <is>
          <t xml:space="preserve">25895 </t>
        </is>
      </c>
      <c r="E2141" s="1" t="inlineStr">
        <is>
          <t xml:space="preserve">28194769       </t>
        </is>
      </c>
      <c r="F2141" s="5" t="inlineStr">
        <is>
          <t>AUTOS DE METAL 3 TEAMSTERZ PACK DE 2</t>
        </is>
      </c>
      <c r="G2141" t="n">
        <v>1</v>
      </c>
      <c r="H2141" s="7" t="n">
        <v>13.8</v>
      </c>
      <c r="I2141" s="7" t="n">
        <v>0</v>
      </c>
      <c r="J2141" s="7" t="n">
        <v>0</v>
      </c>
      <c r="K2141" s="9" t="n">
        <v>0</v>
      </c>
      <c r="L2141" s="10" t="n">
        <v>8.18</v>
      </c>
      <c r="M2141" s="10" t="n">
        <v>1.43</v>
      </c>
      <c r="N2141" t="inlineStr">
        <is>
          <t>1</t>
        </is>
      </c>
      <c r="O2141" t="inlineStr">
        <is>
          <t>16</t>
        </is>
      </c>
      <c r="P2141" t="inlineStr">
        <is>
          <t xml:space="preserve">65868   </t>
        </is>
      </c>
      <c r="Q2141" s="26" t="n">
        <v>13.8</v>
      </c>
      <c r="R2141" s="26">
        <f>Q2141*G2141</f>
        <v/>
      </c>
      <c r="S2141" t="n">
        <v>8.19</v>
      </c>
      <c r="T2141" s="18">
        <f>1 - V2141/S2141</f>
        <v/>
      </c>
      <c r="U2141" s="18" t="n">
        <v>0</v>
      </c>
      <c r="V2141" s="26" t="n">
        <v>8.19</v>
      </c>
      <c r="W2141" s="26">
        <f>V2141 - L2141</f>
        <v/>
      </c>
    </row>
    <row r="2142">
      <c r="A2142" s="11" t="n">
        <v>46225</v>
      </c>
      <c r="B2142" s="1" t="n">
        <v>20024</v>
      </c>
      <c r="C2142" s="1" t="inlineStr">
        <is>
          <t>038</t>
        </is>
      </c>
      <c r="D2142" s="1" t="inlineStr">
        <is>
          <t xml:space="preserve">25895 </t>
        </is>
      </c>
      <c r="E2142" s="1" t="inlineStr">
        <is>
          <t xml:space="preserve">28194769       </t>
        </is>
      </c>
      <c r="F2142" s="5" t="inlineStr">
        <is>
          <t>AUTOS DE METAL 3 TEAMSTERZ PACK DE 2</t>
        </is>
      </c>
      <c r="G2142" t="n">
        <v>1</v>
      </c>
      <c r="H2142" s="7" t="n">
        <v>13.8</v>
      </c>
      <c r="I2142" s="7" t="n">
        <v>0</v>
      </c>
      <c r="J2142" s="7" t="n">
        <v>0</v>
      </c>
      <c r="K2142" s="9" t="n">
        <v>0</v>
      </c>
      <c r="L2142" s="10" t="n">
        <v>8.18</v>
      </c>
      <c r="M2142" s="10" t="n">
        <v>1.43</v>
      </c>
      <c r="N2142" t="inlineStr">
        <is>
          <t>1</t>
        </is>
      </c>
      <c r="O2142" t="inlineStr">
        <is>
          <t>16</t>
        </is>
      </c>
      <c r="P2142" t="inlineStr">
        <is>
          <t xml:space="preserve">65868   </t>
        </is>
      </c>
      <c r="Q2142" s="26" t="n">
        <v>13.8</v>
      </c>
      <c r="R2142" s="26">
        <f>Q2142*G2142</f>
        <v/>
      </c>
      <c r="S2142" t="n">
        <v>8.19</v>
      </c>
      <c r="T2142" s="18">
        <f>1 - V2142/S2142</f>
        <v/>
      </c>
      <c r="U2142" s="18" t="n">
        <v>0</v>
      </c>
      <c r="V2142" s="26" t="n">
        <v>8.19</v>
      </c>
      <c r="W2142" s="26">
        <f>V2142 - L2142</f>
        <v/>
      </c>
    </row>
    <row r="2143">
      <c r="A2143" s="11" t="n">
        <v>46225</v>
      </c>
      <c r="B2143" s="1" t="n">
        <v>20024</v>
      </c>
      <c r="C2143" s="1" t="inlineStr">
        <is>
          <t>038</t>
        </is>
      </c>
      <c r="D2143" s="1" t="inlineStr">
        <is>
          <t xml:space="preserve">25895 </t>
        </is>
      </c>
      <c r="E2143" s="1" t="inlineStr">
        <is>
          <t xml:space="preserve">28194769       </t>
        </is>
      </c>
      <c r="F2143" s="5" t="inlineStr">
        <is>
          <t>AUTOS DE METAL 3 TEAMSTERZ PACK DE 2</t>
        </is>
      </c>
      <c r="G2143" t="n">
        <v>1</v>
      </c>
      <c r="H2143" s="7" t="n">
        <v>13.8</v>
      </c>
      <c r="I2143" s="7" t="n">
        <v>0</v>
      </c>
      <c r="J2143" s="7" t="n">
        <v>0</v>
      </c>
      <c r="K2143" s="9" t="n">
        <v>0</v>
      </c>
      <c r="L2143" s="10" t="n">
        <v>8.18</v>
      </c>
      <c r="M2143" s="10" t="n">
        <v>1.43</v>
      </c>
      <c r="N2143" t="inlineStr">
        <is>
          <t>1</t>
        </is>
      </c>
      <c r="O2143" t="inlineStr">
        <is>
          <t>16</t>
        </is>
      </c>
      <c r="P2143" t="inlineStr">
        <is>
          <t xml:space="preserve">65868   </t>
        </is>
      </c>
      <c r="Q2143" s="26" t="n">
        <v>13.8</v>
      </c>
      <c r="R2143" s="26">
        <f>Q2143*G2143</f>
        <v/>
      </c>
      <c r="S2143" t="n">
        <v>8.19</v>
      </c>
      <c r="T2143" s="18">
        <f>1 - V2143/S2143</f>
        <v/>
      </c>
      <c r="U2143" s="18" t="n">
        <v>0</v>
      </c>
      <c r="V2143" s="26" t="n">
        <v>8.19</v>
      </c>
      <c r="W2143" s="26">
        <f>V2143 - L2143</f>
        <v/>
      </c>
    </row>
    <row r="2144">
      <c r="A2144" s="11" t="n">
        <v>46225</v>
      </c>
      <c r="B2144" s="1" t="n">
        <v>20024</v>
      </c>
      <c r="C2144" s="1" t="inlineStr">
        <is>
          <t>038</t>
        </is>
      </c>
      <c r="D2144" s="1" t="inlineStr">
        <is>
          <t xml:space="preserve">25895 </t>
        </is>
      </c>
      <c r="E2144" s="1" t="inlineStr">
        <is>
          <t xml:space="preserve">28194769       </t>
        </is>
      </c>
      <c r="F2144" s="5" t="inlineStr">
        <is>
          <t>AUTOS DE METAL 3 TEAMSTERZ PACK DE 2</t>
        </is>
      </c>
      <c r="G2144" t="n">
        <v>1</v>
      </c>
      <c r="H2144" s="7" t="n">
        <v>13.8</v>
      </c>
      <c r="I2144" s="7" t="n">
        <v>0</v>
      </c>
      <c r="J2144" s="7" t="n">
        <v>0</v>
      </c>
      <c r="K2144" s="9" t="n">
        <v>0</v>
      </c>
      <c r="L2144" s="10" t="n">
        <v>8.18</v>
      </c>
      <c r="M2144" s="10" t="n">
        <v>1.43</v>
      </c>
      <c r="N2144" t="inlineStr">
        <is>
          <t>1</t>
        </is>
      </c>
      <c r="O2144" t="inlineStr">
        <is>
          <t>16</t>
        </is>
      </c>
      <c r="P2144" t="inlineStr">
        <is>
          <t xml:space="preserve">65868   </t>
        </is>
      </c>
      <c r="Q2144" s="26" t="n">
        <v>13.8</v>
      </c>
      <c r="R2144" s="26">
        <f>Q2144*G2144</f>
        <v/>
      </c>
      <c r="S2144" t="n">
        <v>8.19</v>
      </c>
      <c r="T2144" s="18">
        <f>1 - V2144/S2144</f>
        <v/>
      </c>
      <c r="U2144" s="18" t="n">
        <v>0</v>
      </c>
      <c r="V2144" s="26" t="n">
        <v>8.19</v>
      </c>
      <c r="W2144" s="26">
        <f>V2144 - L2144</f>
        <v/>
      </c>
    </row>
    <row r="2145">
      <c r="A2145" s="11" t="n">
        <v>46225</v>
      </c>
      <c r="B2145" s="1" t="n">
        <v>20024</v>
      </c>
      <c r="C2145" s="1" t="inlineStr">
        <is>
          <t>075</t>
        </is>
      </c>
      <c r="D2145" s="1" t="inlineStr">
        <is>
          <t>164243</t>
        </is>
      </c>
      <c r="E2145" s="1" t="inlineStr">
        <is>
          <t xml:space="preserve">29235706       </t>
        </is>
      </c>
      <c r="F2145" s="5" t="inlineStr">
        <is>
          <t>TEAMSTERZ CAMION PARA GUARDAR 12 AUTOS INCL 4 AUTO</t>
        </is>
      </c>
      <c r="G2145" t="n">
        <v>1</v>
      </c>
      <c r="H2145" s="7" t="n">
        <v>59.9</v>
      </c>
      <c r="I2145" s="7" t="n">
        <v>0</v>
      </c>
      <c r="J2145" s="7" t="n">
        <v>0</v>
      </c>
      <c r="K2145" s="9" t="n">
        <v>0</v>
      </c>
      <c r="L2145" s="10" t="n">
        <v>35.53</v>
      </c>
      <c r="M2145" s="10" t="n">
        <v>1.43</v>
      </c>
      <c r="N2145" t="inlineStr">
        <is>
          <t>1</t>
        </is>
      </c>
      <c r="O2145" t="inlineStr">
        <is>
          <t>16</t>
        </is>
      </c>
      <c r="P2145" t="inlineStr">
        <is>
          <t xml:space="preserve">23463   </t>
        </is>
      </c>
      <c r="Q2145" s="26" t="n">
        <v>59.90000000000001</v>
      </c>
      <c r="R2145" s="26">
        <f>Q2145*G2145</f>
        <v/>
      </c>
      <c r="S2145" t="n">
        <v>35.53</v>
      </c>
      <c r="T2145" s="18">
        <f>1 - V2145/S2145</f>
        <v/>
      </c>
      <c r="U2145" s="18" t="n">
        <v>0</v>
      </c>
      <c r="V2145" s="26" t="n">
        <v>35.53</v>
      </c>
      <c r="W2145" s="26">
        <f>V2145 - L2145</f>
        <v/>
      </c>
    </row>
    <row r="2146">
      <c r="A2146" s="11" t="n">
        <v>46225</v>
      </c>
      <c r="B2146" s="1" t="n">
        <v>20024</v>
      </c>
      <c r="C2146" s="1" t="inlineStr">
        <is>
          <t>802</t>
        </is>
      </c>
      <c r="D2146" s="1" t="inlineStr">
        <is>
          <t xml:space="preserve">9865  </t>
        </is>
      </c>
      <c r="E2146" s="1" t="inlineStr">
        <is>
          <t xml:space="preserve">35685068       </t>
        </is>
      </c>
      <c r="F2146" s="5" t="inlineStr">
        <is>
          <t>BARBIE FASHION SET 3 EN 1</t>
        </is>
      </c>
      <c r="G2146" t="n">
        <v>1</v>
      </c>
      <c r="H2146" s="7" t="n">
        <v>49.9</v>
      </c>
      <c r="I2146" s="7" t="n">
        <v>0</v>
      </c>
      <c r="J2146" s="7" t="n">
        <v>0</v>
      </c>
      <c r="K2146" s="9" t="n">
        <v>0</v>
      </c>
      <c r="L2146" s="10" t="n">
        <v>29.6</v>
      </c>
      <c r="M2146" s="10" t="n">
        <v>1.43</v>
      </c>
      <c r="N2146" t="inlineStr">
        <is>
          <t>1</t>
        </is>
      </c>
      <c r="O2146" t="inlineStr">
        <is>
          <t>16</t>
        </is>
      </c>
      <c r="P2146" t="inlineStr">
        <is>
          <t xml:space="preserve">0       </t>
        </is>
      </c>
      <c r="Q2146" s="26" t="n">
        <v>49.9</v>
      </c>
      <c r="R2146" s="26">
        <f>Q2146*G2146</f>
        <v/>
      </c>
      <c r="S2146" t="n">
        <v>29.6</v>
      </c>
      <c r="T2146" s="18">
        <f>1 - V2146/S2146</f>
        <v/>
      </c>
      <c r="U2146" s="18" t="n">
        <v>0</v>
      </c>
      <c r="V2146" s="26" t="n">
        <v>29.6</v>
      </c>
      <c r="W2146" s="26">
        <f>V2146 - L2146</f>
        <v/>
      </c>
    </row>
    <row r="2147">
      <c r="A2147" s="11" t="n">
        <v>46225</v>
      </c>
      <c r="B2147" s="1" t="n">
        <v>20028</v>
      </c>
      <c r="C2147" s="1" t="inlineStr">
        <is>
          <t>021</t>
        </is>
      </c>
      <c r="D2147" s="1" t="inlineStr">
        <is>
          <t>186377</t>
        </is>
      </c>
      <c r="E2147" s="1" t="inlineStr">
        <is>
          <t xml:space="preserve">31754675       </t>
        </is>
      </c>
      <c r="F2147" s="5" t="inlineStr">
        <is>
          <t>INFINITY NADO SERIE 6 STARTER PACK - 4 MODELOS</t>
        </is>
      </c>
      <c r="G2147" t="n">
        <v>1</v>
      </c>
      <c r="H2147" s="7" t="n">
        <v>49.9</v>
      </c>
      <c r="I2147" s="7" t="n">
        <v>0</v>
      </c>
      <c r="J2147" s="7" t="n">
        <v>0</v>
      </c>
      <c r="K2147" s="9" t="n">
        <v>0</v>
      </c>
      <c r="L2147" s="10" t="n">
        <v>29.6</v>
      </c>
      <c r="M2147" s="10" t="n">
        <v>1.43</v>
      </c>
      <c r="N2147" t="inlineStr">
        <is>
          <t>1</t>
        </is>
      </c>
      <c r="O2147" t="inlineStr">
        <is>
          <t>16</t>
        </is>
      </c>
      <c r="P2147" t="inlineStr">
        <is>
          <t xml:space="preserve">23715   </t>
        </is>
      </c>
      <c r="Q2147" s="26" t="n">
        <v>69.90000000000001</v>
      </c>
      <c r="R2147" s="26">
        <f>Q2147*G2147</f>
        <v/>
      </c>
      <c r="S2147" t="n">
        <v>41.47</v>
      </c>
      <c r="T2147" s="18">
        <f>1 - V2147/S2147</f>
        <v/>
      </c>
      <c r="U2147" s="18" t="n">
        <v>0.2861230329041489</v>
      </c>
      <c r="V2147" s="26" t="n">
        <v>31.71610169491525</v>
      </c>
      <c r="W2147" s="26">
        <f>V2147 - L2147</f>
        <v/>
      </c>
    </row>
    <row r="2148">
      <c r="A2148" s="11" t="n">
        <v>46225</v>
      </c>
      <c r="B2148" s="1" t="n">
        <v>20030</v>
      </c>
      <c r="C2148" s="1" t="inlineStr">
        <is>
          <t>067</t>
        </is>
      </c>
      <c r="D2148" s="1" t="inlineStr">
        <is>
          <t>274827</t>
        </is>
      </c>
      <c r="E2148" s="1" t="inlineStr">
        <is>
          <t xml:space="preserve">30141766       </t>
        </is>
      </c>
      <c r="F2148" s="5" t="inlineStr">
        <is>
          <t>TMZ BEAST MACHINES AUTOS DE METAL BLISTER X 1</t>
        </is>
      </c>
      <c r="G2148" t="n">
        <v>1</v>
      </c>
      <c r="H2148" s="7" t="n">
        <v>7.9</v>
      </c>
      <c r="I2148" s="7" t="n">
        <v>0</v>
      </c>
      <c r="J2148" s="7" t="n">
        <v>0</v>
      </c>
      <c r="K2148" s="9" t="n">
        <v>0</v>
      </c>
      <c r="L2148" s="10" t="n">
        <v>4.68</v>
      </c>
      <c r="M2148" s="10" t="n">
        <v>1.43</v>
      </c>
      <c r="N2148" t="inlineStr">
        <is>
          <t>1</t>
        </is>
      </c>
      <c r="O2148" t="inlineStr">
        <is>
          <t>16</t>
        </is>
      </c>
      <c r="P2148" t="inlineStr">
        <is>
          <t xml:space="preserve">47899   </t>
        </is>
      </c>
      <c r="Q2148" s="26" t="n">
        <v>7.9</v>
      </c>
      <c r="R2148" s="26">
        <f>Q2148*G2148</f>
        <v/>
      </c>
      <c r="S2148" t="n">
        <v>4.69</v>
      </c>
      <c r="T2148" s="18">
        <f>1 - V2148/S2148</f>
        <v/>
      </c>
      <c r="U2148" s="18" t="n">
        <v>0</v>
      </c>
      <c r="V2148" s="26" t="n">
        <v>4.69</v>
      </c>
      <c r="W2148" s="26">
        <f>V2148 - L2148</f>
        <v/>
      </c>
    </row>
    <row r="2149">
      <c r="A2149" s="11" t="n">
        <v>46225</v>
      </c>
      <c r="B2149" s="1" t="n">
        <v>20041</v>
      </c>
      <c r="C2149" s="1" t="inlineStr">
        <is>
          <t>018</t>
        </is>
      </c>
      <c r="D2149" s="1" t="inlineStr">
        <is>
          <t xml:space="preserve">56728 </t>
        </is>
      </c>
      <c r="E2149" s="1" t="inlineStr">
        <is>
          <t xml:space="preserve">28194770       </t>
        </is>
      </c>
      <c r="F2149" s="5" t="inlineStr">
        <is>
          <t>AUTOS DE METAL 3 TEAMSTERZ EN BLISTER</t>
        </is>
      </c>
      <c r="G2149" t="n">
        <v>1</v>
      </c>
      <c r="H2149" s="7" t="n">
        <v>6.9</v>
      </c>
      <c r="I2149" s="7" t="n">
        <v>0</v>
      </c>
      <c r="J2149" s="7" t="n">
        <v>0</v>
      </c>
      <c r="K2149" s="9" t="n">
        <v>0</v>
      </c>
      <c r="L2149" s="10" t="n">
        <v>4.1</v>
      </c>
      <c r="M2149" s="10" t="n">
        <v>1.43</v>
      </c>
      <c r="N2149" t="inlineStr">
        <is>
          <t>1</t>
        </is>
      </c>
      <c r="O2149" t="inlineStr">
        <is>
          <t xml:space="preserve">2 </t>
        </is>
      </c>
      <c r="P2149" t="inlineStr">
        <is>
          <t xml:space="preserve">244965  </t>
        </is>
      </c>
      <c r="Q2149" s="26" t="n">
        <v>6.9</v>
      </c>
      <c r="R2149" s="26">
        <f>Q2149*G2149</f>
        <v/>
      </c>
      <c r="S2149" t="n">
        <v>4.09</v>
      </c>
      <c r="T2149" s="18">
        <f>1 - V2149/S2149</f>
        <v/>
      </c>
      <c r="U2149" s="18" t="n">
        <v>0</v>
      </c>
      <c r="V2149" s="26" t="n">
        <v>4.09</v>
      </c>
      <c r="W2149" s="26">
        <f>V2149 - L2149</f>
        <v/>
      </c>
    </row>
    <row r="2150">
      <c r="A2150" s="11" t="n">
        <v>46225</v>
      </c>
      <c r="B2150" s="1" t="n">
        <v>20047</v>
      </c>
      <c r="C2150" s="1" t="inlineStr">
        <is>
          <t>191</t>
        </is>
      </c>
      <c r="D2150" s="1" t="inlineStr">
        <is>
          <t>462940</t>
        </is>
      </c>
      <c r="E2150" s="1" t="inlineStr">
        <is>
          <t xml:space="preserve">28194770       </t>
        </is>
      </c>
      <c r="F2150" s="5" t="inlineStr">
        <is>
          <t>AUTOS DE METAL 3 TEAMSTERZ EN BLISTER</t>
        </is>
      </c>
      <c r="G2150" t="n">
        <v>1</v>
      </c>
      <c r="H2150" s="7" t="n">
        <v>6.9</v>
      </c>
      <c r="I2150" s="7" t="n">
        <v>0</v>
      </c>
      <c r="J2150" s="7" t="n">
        <v>0</v>
      </c>
      <c r="K2150" s="9" t="n">
        <v>0</v>
      </c>
      <c r="L2150" s="10" t="n">
        <v>4.1</v>
      </c>
      <c r="M2150" s="10" t="n">
        <v>1.43</v>
      </c>
      <c r="N2150" t="inlineStr">
        <is>
          <t>1</t>
        </is>
      </c>
      <c r="O2150" t="inlineStr">
        <is>
          <t xml:space="preserve">2 </t>
        </is>
      </c>
      <c r="P2150" t="inlineStr">
        <is>
          <t xml:space="preserve">78210   </t>
        </is>
      </c>
      <c r="Q2150" s="26" t="n">
        <v>6.9</v>
      </c>
      <c r="R2150" s="26">
        <f>Q2150*G2150</f>
        <v/>
      </c>
      <c r="S2150" t="n">
        <v>4.09</v>
      </c>
      <c r="T2150" s="18">
        <f>1 - V2150/S2150</f>
        <v/>
      </c>
      <c r="U2150" s="18" t="n">
        <v>0</v>
      </c>
      <c r="V2150" s="26" t="n">
        <v>4.09</v>
      </c>
      <c r="W2150" s="26">
        <f>V2150 - L2150</f>
        <v/>
      </c>
    </row>
    <row r="2151">
      <c r="A2151" s="11" t="n">
        <v>46225</v>
      </c>
      <c r="B2151" s="1" t="n">
        <v>20047</v>
      </c>
      <c r="C2151" s="1" t="inlineStr">
        <is>
          <t>191</t>
        </is>
      </c>
      <c r="D2151" s="1" t="inlineStr">
        <is>
          <t>462992</t>
        </is>
      </c>
      <c r="E2151" s="1" t="inlineStr">
        <is>
          <t xml:space="preserve">28194770       </t>
        </is>
      </c>
      <c r="F2151" s="5" t="inlineStr">
        <is>
          <t>AUTOS DE METAL 3 TEAMSTERZ EN BLISTER</t>
        </is>
      </c>
      <c r="G2151" t="n">
        <v>1</v>
      </c>
      <c r="H2151" s="7" t="n">
        <v>6.9</v>
      </c>
      <c r="I2151" s="7" t="n">
        <v>0</v>
      </c>
      <c r="J2151" s="7" t="n">
        <v>0</v>
      </c>
      <c r="K2151" s="9" t="n">
        <v>0</v>
      </c>
      <c r="L2151" s="10" t="n">
        <v>4.1</v>
      </c>
      <c r="M2151" s="10" t="n">
        <v>1.43</v>
      </c>
      <c r="N2151" t="inlineStr">
        <is>
          <t>1</t>
        </is>
      </c>
      <c r="O2151" t="inlineStr">
        <is>
          <t xml:space="preserve">2 </t>
        </is>
      </c>
      <c r="P2151" t="inlineStr">
        <is>
          <t xml:space="preserve">78210   </t>
        </is>
      </c>
      <c r="Q2151" s="26" t="n">
        <v>6.9</v>
      </c>
      <c r="R2151" s="26">
        <f>Q2151*G2151</f>
        <v/>
      </c>
      <c r="S2151" t="n">
        <v>4.09</v>
      </c>
      <c r="T2151" s="18">
        <f>1 - V2151/S2151</f>
        <v/>
      </c>
      <c r="U2151" s="18" t="n">
        <v>0</v>
      </c>
      <c r="V2151" s="26" t="n">
        <v>4.09</v>
      </c>
      <c r="W2151" s="26">
        <f>V2151 - L2151</f>
        <v/>
      </c>
    </row>
    <row r="2152">
      <c r="A2152" s="11" t="n">
        <v>46225</v>
      </c>
      <c r="B2152" s="1" t="n">
        <v>20047</v>
      </c>
      <c r="C2152" s="1" t="inlineStr">
        <is>
          <t>191</t>
        </is>
      </c>
      <c r="D2152" s="1" t="inlineStr">
        <is>
          <t>462992</t>
        </is>
      </c>
      <c r="E2152" s="1" t="inlineStr">
        <is>
          <t xml:space="preserve">28194770       </t>
        </is>
      </c>
      <c r="F2152" s="5" t="inlineStr">
        <is>
          <t>AUTOS DE METAL 3 TEAMSTERZ EN BLISTER</t>
        </is>
      </c>
      <c r="G2152" t="n">
        <v>1</v>
      </c>
      <c r="H2152" s="7" t="n">
        <v>6.9</v>
      </c>
      <c r="I2152" s="7" t="n">
        <v>0</v>
      </c>
      <c r="J2152" s="7" t="n">
        <v>0</v>
      </c>
      <c r="K2152" s="9" t="n">
        <v>0</v>
      </c>
      <c r="L2152" s="10" t="n">
        <v>4.1</v>
      </c>
      <c r="M2152" s="10" t="n">
        <v>1.43</v>
      </c>
      <c r="N2152" t="inlineStr">
        <is>
          <t>1</t>
        </is>
      </c>
      <c r="O2152" t="inlineStr">
        <is>
          <t xml:space="preserve">2 </t>
        </is>
      </c>
      <c r="P2152" t="inlineStr">
        <is>
          <t xml:space="preserve">78210   </t>
        </is>
      </c>
      <c r="Q2152" s="26" t="n">
        <v>6.9</v>
      </c>
      <c r="R2152" s="26">
        <f>Q2152*G2152</f>
        <v/>
      </c>
      <c r="S2152" t="n">
        <v>4.09</v>
      </c>
      <c r="T2152" s="18">
        <f>1 - V2152/S2152</f>
        <v/>
      </c>
      <c r="U2152" s="18" t="n">
        <v>0</v>
      </c>
      <c r="V2152" s="26" t="n">
        <v>4.09</v>
      </c>
      <c r="W2152" s="26">
        <f>V2152 - L2152</f>
        <v/>
      </c>
    </row>
    <row r="2153">
      <c r="A2153" s="11" t="n">
        <v>46225</v>
      </c>
      <c r="B2153" s="1" t="n">
        <v>20048</v>
      </c>
      <c r="C2153" s="1" t="inlineStr">
        <is>
          <t>013</t>
        </is>
      </c>
      <c r="D2153" s="1" t="inlineStr">
        <is>
          <t>226322</t>
        </is>
      </c>
      <c r="E2153" s="1" t="inlineStr">
        <is>
          <t xml:space="preserve">29235701       </t>
        </is>
      </c>
      <c r="F2153" s="5" t="inlineStr">
        <is>
          <t>INFINITY NADO TROMPO DE BATALLA - METAL EN CAJA</t>
        </is>
      </c>
      <c r="G2153" t="n">
        <v>1</v>
      </c>
      <c r="H2153" s="7" t="n">
        <v>29.9</v>
      </c>
      <c r="I2153" s="7" t="n">
        <v>0</v>
      </c>
      <c r="J2153" s="7" t="n">
        <v>0</v>
      </c>
      <c r="K2153" s="9" t="n">
        <v>0</v>
      </c>
      <c r="L2153" s="10" t="n">
        <v>17.74</v>
      </c>
      <c r="M2153" s="10" t="n">
        <v>1.43</v>
      </c>
      <c r="N2153" t="inlineStr">
        <is>
          <t>1</t>
        </is>
      </c>
      <c r="O2153" t="inlineStr">
        <is>
          <t>16</t>
        </is>
      </c>
      <c r="P2153" t="inlineStr">
        <is>
          <t xml:space="preserve">241949  </t>
        </is>
      </c>
      <c r="Q2153" s="26" t="n">
        <v>39.9</v>
      </c>
      <c r="R2153" s="26">
        <f>Q2153*G2153</f>
        <v/>
      </c>
      <c r="S2153" t="n">
        <v>23.67</v>
      </c>
      <c r="T2153" s="18">
        <f>1 - V2153/S2153</f>
        <v/>
      </c>
      <c r="U2153" s="18" t="n">
        <v>0.2506265664160401</v>
      </c>
      <c r="V2153" s="26" t="n">
        <v>19.00423728813559</v>
      </c>
      <c r="W2153" s="26">
        <f>V2153 - L2153</f>
        <v/>
      </c>
    </row>
    <row r="2154">
      <c r="A2154" s="11" t="n">
        <v>46225</v>
      </c>
      <c r="B2154" s="1" t="n">
        <v>20048</v>
      </c>
      <c r="C2154" s="1" t="inlineStr">
        <is>
          <t>018</t>
        </is>
      </c>
      <c r="D2154" s="1" t="inlineStr">
        <is>
          <t xml:space="preserve">47862 </t>
        </is>
      </c>
      <c r="E2154" s="1" t="inlineStr">
        <is>
          <t xml:space="preserve">31754675       </t>
        </is>
      </c>
      <c r="F2154" s="5" t="inlineStr">
        <is>
          <t>INFINITY NADO SERIE 6 STARTER PACK - 4 MODELOS</t>
        </is>
      </c>
      <c r="G2154" t="n">
        <v>1</v>
      </c>
      <c r="H2154" s="7" t="n">
        <v>49.9</v>
      </c>
      <c r="I2154" s="7" t="n">
        <v>0</v>
      </c>
      <c r="J2154" s="7" t="n">
        <v>0</v>
      </c>
      <c r="K2154" s="9" t="n">
        <v>0</v>
      </c>
      <c r="L2154" s="10" t="n">
        <v>29.6</v>
      </c>
      <c r="M2154" s="10" t="n">
        <v>1.43</v>
      </c>
      <c r="N2154" t="inlineStr">
        <is>
          <t>1</t>
        </is>
      </c>
      <c r="O2154" t="inlineStr">
        <is>
          <t>16</t>
        </is>
      </c>
      <c r="P2154" t="inlineStr">
        <is>
          <t xml:space="preserve">22083   </t>
        </is>
      </c>
      <c r="Q2154" s="26" t="n">
        <v>69.90000000000001</v>
      </c>
      <c r="R2154" s="26">
        <f>Q2154*G2154</f>
        <v/>
      </c>
      <c r="S2154" t="n">
        <v>41.47</v>
      </c>
      <c r="T2154" s="18">
        <f>1 - V2154/S2154</f>
        <v/>
      </c>
      <c r="U2154" s="18" t="n">
        <v>0.2861230329041489</v>
      </c>
      <c r="V2154" s="26" t="n">
        <v>31.71610169491525</v>
      </c>
      <c r="W2154" s="26">
        <f>V2154 - L2154</f>
        <v/>
      </c>
    </row>
    <row r="2155">
      <c r="A2155" s="11" t="n">
        <v>46225</v>
      </c>
      <c r="B2155" s="1" t="n">
        <v>20048</v>
      </c>
      <c r="C2155" s="1" t="inlineStr">
        <is>
          <t>018</t>
        </is>
      </c>
      <c r="D2155" s="1" t="inlineStr">
        <is>
          <t xml:space="preserve">47880 </t>
        </is>
      </c>
      <c r="E2155" s="1" t="inlineStr">
        <is>
          <t xml:space="preserve">28194768       </t>
        </is>
      </c>
      <c r="F2155" s="5" t="inlineStr">
        <is>
          <t>AUTO COLOR CHANGE TEAMSTERZ SURTIDO</t>
        </is>
      </c>
      <c r="G2155" t="n">
        <v>1</v>
      </c>
      <c r="H2155" s="7" t="n">
        <v>14.9</v>
      </c>
      <c r="I2155" s="7" t="n">
        <v>0</v>
      </c>
      <c r="J2155" s="7" t="n">
        <v>0</v>
      </c>
      <c r="K2155" s="9" t="n">
        <v>0</v>
      </c>
      <c r="L2155" s="10" t="n">
        <v>8.84</v>
      </c>
      <c r="M2155" s="10" t="n">
        <v>1.43</v>
      </c>
      <c r="N2155" t="inlineStr">
        <is>
          <t>1</t>
        </is>
      </c>
      <c r="O2155" t="inlineStr">
        <is>
          <t>16</t>
        </is>
      </c>
      <c r="P2155" t="inlineStr">
        <is>
          <t xml:space="preserve">200219  </t>
        </is>
      </c>
      <c r="Q2155" s="26" t="n">
        <v>14.9</v>
      </c>
      <c r="R2155" s="26">
        <f>Q2155*G2155</f>
        <v/>
      </c>
      <c r="S2155" t="n">
        <v>8.84</v>
      </c>
      <c r="T2155" s="18">
        <f>1 - V2155/S2155</f>
        <v/>
      </c>
      <c r="U2155" s="18" t="n">
        <v>0</v>
      </c>
      <c r="V2155" s="26" t="n">
        <v>8.84</v>
      </c>
      <c r="W2155" s="26">
        <f>V2155 - L2155</f>
        <v/>
      </c>
    </row>
    <row r="2156">
      <c r="A2156" s="11" t="n">
        <v>46225</v>
      </c>
      <c r="B2156" s="1" t="n">
        <v>20048</v>
      </c>
      <c r="C2156" s="1" t="inlineStr">
        <is>
          <t>018</t>
        </is>
      </c>
      <c r="D2156" s="1" t="inlineStr">
        <is>
          <t xml:space="preserve">47907 </t>
        </is>
      </c>
      <c r="E2156" s="1" t="inlineStr">
        <is>
          <t xml:space="preserve">28194770       </t>
        </is>
      </c>
      <c r="F2156" s="5" t="inlineStr">
        <is>
          <t>AUTOS DE METAL 3 TEAMSTERZ EN BLISTER</t>
        </is>
      </c>
      <c r="G2156" t="n">
        <v>1</v>
      </c>
      <c r="H2156" s="7" t="n">
        <v>6.9</v>
      </c>
      <c r="I2156" s="7" t="n">
        <v>0</v>
      </c>
      <c r="J2156" s="7" t="n">
        <v>0</v>
      </c>
      <c r="K2156" s="9" t="n">
        <v>0</v>
      </c>
      <c r="L2156" s="10" t="n">
        <v>4.1</v>
      </c>
      <c r="M2156" s="10" t="n">
        <v>1.43</v>
      </c>
      <c r="N2156" t="inlineStr">
        <is>
          <t>1</t>
        </is>
      </c>
      <c r="O2156" t="inlineStr">
        <is>
          <t>16</t>
        </is>
      </c>
      <c r="P2156" t="inlineStr">
        <is>
          <t xml:space="preserve">200219  </t>
        </is>
      </c>
      <c r="Q2156" s="26" t="n">
        <v>6.9</v>
      </c>
      <c r="R2156" s="26">
        <f>Q2156*G2156</f>
        <v/>
      </c>
      <c r="S2156" t="n">
        <v>4.09</v>
      </c>
      <c r="T2156" s="18">
        <f>1 - V2156/S2156</f>
        <v/>
      </c>
      <c r="U2156" s="18" t="n">
        <v>0</v>
      </c>
      <c r="V2156" s="26" t="n">
        <v>4.09</v>
      </c>
      <c r="W2156" s="26">
        <f>V2156 - L2156</f>
        <v/>
      </c>
    </row>
    <row r="2157">
      <c r="A2157" s="11" t="n">
        <v>46225</v>
      </c>
      <c r="B2157" s="1" t="n">
        <v>20048</v>
      </c>
      <c r="C2157" s="1" t="inlineStr">
        <is>
          <t>018</t>
        </is>
      </c>
      <c r="D2157" s="1" t="inlineStr">
        <is>
          <t xml:space="preserve">47907 </t>
        </is>
      </c>
      <c r="E2157" s="1" t="inlineStr">
        <is>
          <t xml:space="preserve">28194770       </t>
        </is>
      </c>
      <c r="F2157" s="5" t="inlineStr">
        <is>
          <t>AUTOS DE METAL 3 TEAMSTERZ EN BLISTER</t>
        </is>
      </c>
      <c r="G2157" t="n">
        <v>1</v>
      </c>
      <c r="H2157" s="7" t="n">
        <v>6.9</v>
      </c>
      <c r="I2157" s="7" t="n">
        <v>0</v>
      </c>
      <c r="J2157" s="7" t="n">
        <v>0</v>
      </c>
      <c r="K2157" s="9" t="n">
        <v>0</v>
      </c>
      <c r="L2157" s="10" t="n">
        <v>4.1</v>
      </c>
      <c r="M2157" s="10" t="n">
        <v>1.43</v>
      </c>
      <c r="N2157" t="inlineStr">
        <is>
          <t>1</t>
        </is>
      </c>
      <c r="O2157" t="inlineStr">
        <is>
          <t>16</t>
        </is>
      </c>
      <c r="P2157" t="inlineStr">
        <is>
          <t xml:space="preserve">200219  </t>
        </is>
      </c>
      <c r="Q2157" s="26" t="n">
        <v>6.9</v>
      </c>
      <c r="R2157" s="26">
        <f>Q2157*G2157</f>
        <v/>
      </c>
      <c r="S2157" t="n">
        <v>4.09</v>
      </c>
      <c r="T2157" s="18">
        <f>1 - V2157/S2157</f>
        <v/>
      </c>
      <c r="U2157" s="18" t="n">
        <v>0</v>
      </c>
      <c r="V2157" s="26" t="n">
        <v>4.09</v>
      </c>
      <c r="W2157" s="26">
        <f>V2157 - L2157</f>
        <v/>
      </c>
    </row>
    <row r="2158">
      <c r="A2158" s="11" t="n">
        <v>46225</v>
      </c>
      <c r="B2158" s="1" t="n">
        <v>20048</v>
      </c>
      <c r="C2158" s="1" t="inlineStr">
        <is>
          <t>018</t>
        </is>
      </c>
      <c r="D2158" s="1" t="inlineStr">
        <is>
          <t xml:space="preserve">47907 </t>
        </is>
      </c>
      <c r="E2158" s="1" t="inlineStr">
        <is>
          <t xml:space="preserve">28194770       </t>
        </is>
      </c>
      <c r="F2158" s="5" t="inlineStr">
        <is>
          <t>AUTOS DE METAL 3 TEAMSTERZ EN BLISTER</t>
        </is>
      </c>
      <c r="G2158" t="n">
        <v>1</v>
      </c>
      <c r="H2158" s="7" t="n">
        <v>6.9</v>
      </c>
      <c r="I2158" s="7" t="n">
        <v>0</v>
      </c>
      <c r="J2158" s="7" t="n">
        <v>0</v>
      </c>
      <c r="K2158" s="9" t="n">
        <v>0</v>
      </c>
      <c r="L2158" s="10" t="n">
        <v>4.1</v>
      </c>
      <c r="M2158" s="10" t="n">
        <v>1.43</v>
      </c>
      <c r="N2158" t="inlineStr">
        <is>
          <t>1</t>
        </is>
      </c>
      <c r="O2158" t="inlineStr">
        <is>
          <t>16</t>
        </is>
      </c>
      <c r="P2158" t="inlineStr">
        <is>
          <t xml:space="preserve">200219  </t>
        </is>
      </c>
      <c r="Q2158" s="26" t="n">
        <v>6.9</v>
      </c>
      <c r="R2158" s="26">
        <f>Q2158*G2158</f>
        <v/>
      </c>
      <c r="S2158" t="n">
        <v>4.09</v>
      </c>
      <c r="T2158" s="18">
        <f>1 - V2158/S2158</f>
        <v/>
      </c>
      <c r="U2158" s="18" t="n">
        <v>0</v>
      </c>
      <c r="V2158" s="26" t="n">
        <v>4.09</v>
      </c>
      <c r="W2158" s="26">
        <f>V2158 - L2158</f>
        <v/>
      </c>
    </row>
    <row r="2159">
      <c r="A2159" s="11" t="n">
        <v>46225</v>
      </c>
      <c r="B2159" s="1" t="n">
        <v>20048</v>
      </c>
      <c r="C2159" s="1" t="inlineStr">
        <is>
          <t>801</t>
        </is>
      </c>
      <c r="D2159" s="1" t="inlineStr">
        <is>
          <t xml:space="preserve">6728  </t>
        </is>
      </c>
      <c r="E2159" s="1" t="inlineStr">
        <is>
          <t xml:space="preserve">29235702       </t>
        </is>
      </c>
      <c r="F2159" s="5" t="inlineStr">
        <is>
          <t>INFINITY NADO TROMPO DE BATALLA - METAL C/ ANILLO</t>
        </is>
      </c>
      <c r="G2159" t="n">
        <v>1</v>
      </c>
      <c r="H2159" s="7" t="n">
        <v>49.9</v>
      </c>
      <c r="I2159" s="7" t="n">
        <v>0</v>
      </c>
      <c r="J2159" s="7" t="n">
        <v>0</v>
      </c>
      <c r="K2159" s="9" t="n">
        <v>0</v>
      </c>
      <c r="L2159" s="10" t="n">
        <v>29.6</v>
      </c>
      <c r="M2159" s="10" t="n">
        <v>1.43</v>
      </c>
      <c r="N2159" t="inlineStr">
        <is>
          <t>1</t>
        </is>
      </c>
      <c r="O2159" t="inlineStr">
        <is>
          <t>16</t>
        </is>
      </c>
      <c r="P2159" t="inlineStr">
        <is>
          <t xml:space="preserve">234984  </t>
        </is>
      </c>
      <c r="Q2159" s="26" t="n">
        <v>69.90000000000001</v>
      </c>
      <c r="R2159" s="26">
        <f>Q2159*G2159</f>
        <v/>
      </c>
      <c r="S2159" t="n">
        <v>41.47</v>
      </c>
      <c r="T2159" s="18">
        <f>1 - V2159/S2159</f>
        <v/>
      </c>
      <c r="U2159" s="18" t="n">
        <v>0.2861230329041489</v>
      </c>
      <c r="V2159" s="26" t="n">
        <v>31.71610169491525</v>
      </c>
      <c r="W2159" s="26">
        <f>V2159 - L2159</f>
        <v/>
      </c>
    </row>
    <row r="2160">
      <c r="A2160" s="11" t="n">
        <v>46225</v>
      </c>
      <c r="B2160" s="1" t="n">
        <v>20049</v>
      </c>
      <c r="C2160" s="1" t="inlineStr">
        <is>
          <t>017</t>
        </is>
      </c>
      <c r="D2160" s="1" t="inlineStr">
        <is>
          <t>239831</t>
        </is>
      </c>
      <c r="E2160" s="1" t="inlineStr">
        <is>
          <t xml:space="preserve">28194781       </t>
        </is>
      </c>
      <c r="F2160" s="5" t="inlineStr">
        <is>
          <t>TROMPO BATALLA INFINITY NADO SERIE V CLASICA SURTI</t>
        </is>
      </c>
      <c r="G2160" t="n">
        <v>1</v>
      </c>
      <c r="H2160" s="7" t="n">
        <v>39.9</v>
      </c>
      <c r="I2160" s="7" t="n">
        <v>0</v>
      </c>
      <c r="J2160" s="7" t="n">
        <v>0</v>
      </c>
      <c r="K2160" s="9" t="n">
        <v>0</v>
      </c>
      <c r="L2160" s="10" t="n">
        <v>23.67</v>
      </c>
      <c r="M2160" s="10" t="n">
        <v>1.43</v>
      </c>
      <c r="N2160" t="inlineStr">
        <is>
          <t>1</t>
        </is>
      </c>
      <c r="O2160" t="inlineStr">
        <is>
          <t>16</t>
        </is>
      </c>
      <c r="P2160" t="inlineStr">
        <is>
          <t xml:space="preserve">234411  </t>
        </is>
      </c>
      <c r="Q2160" s="26" t="n">
        <v>59.9</v>
      </c>
      <c r="R2160" s="26">
        <f>Q2160*G2160</f>
        <v/>
      </c>
      <c r="S2160" t="n">
        <v>35.53</v>
      </c>
      <c r="T2160" s="18">
        <f>1 - V2160/S2160</f>
        <v/>
      </c>
      <c r="U2160" s="18" t="n">
        <v>0.333889816360601</v>
      </c>
      <c r="V2160" s="26" t="n">
        <v>25.36016949152542</v>
      </c>
      <c r="W2160" s="26">
        <f>V2160 - L2160</f>
        <v/>
      </c>
    </row>
    <row r="2161">
      <c r="A2161" s="11" t="n">
        <v>46225</v>
      </c>
      <c r="B2161" s="1" t="n">
        <v>20049</v>
      </c>
      <c r="C2161" s="1" t="inlineStr">
        <is>
          <t>801</t>
        </is>
      </c>
      <c r="D2161" s="1" t="inlineStr">
        <is>
          <t xml:space="preserve">6162  </t>
        </is>
      </c>
      <c r="E2161" s="1" t="inlineStr">
        <is>
          <t xml:space="preserve">28194783       </t>
        </is>
      </c>
      <c r="F2161" s="5" t="inlineStr">
        <is>
          <t>SET DE BATALLA INFINITY NADO CON 2 TROMPOS</t>
        </is>
      </c>
      <c r="G2161" t="n">
        <v>1</v>
      </c>
      <c r="H2161" s="7" t="n">
        <v>159</v>
      </c>
      <c r="I2161" s="7" t="n">
        <v>0</v>
      </c>
      <c r="J2161" s="7" t="n">
        <v>0</v>
      </c>
      <c r="K2161" s="9" t="n">
        <v>0</v>
      </c>
      <c r="L2161" s="10" t="n">
        <v>94.33</v>
      </c>
      <c r="M2161" s="10" t="n">
        <v>1.43</v>
      </c>
      <c r="N2161" t="inlineStr">
        <is>
          <t>1</t>
        </is>
      </c>
      <c r="O2161" t="inlineStr">
        <is>
          <t>16</t>
        </is>
      </c>
      <c r="P2161" t="inlineStr">
        <is>
          <t xml:space="preserve">0       </t>
        </is>
      </c>
      <c r="Q2161" s="26" t="n">
        <v>159</v>
      </c>
      <c r="R2161" s="26">
        <f>Q2161*G2161</f>
        <v/>
      </c>
      <c r="S2161" t="n">
        <v>94.31999999999999</v>
      </c>
      <c r="T2161" s="18">
        <f>1 - V2161/S2161</f>
        <v/>
      </c>
      <c r="U2161" s="18" t="n">
        <v>0.1886792452830188</v>
      </c>
      <c r="V2161" s="26" t="n">
        <v>81.99152542372882</v>
      </c>
      <c r="W2161" s="26">
        <f>V2161 - L2161</f>
        <v/>
      </c>
    </row>
    <row r="2162">
      <c r="A2162" s="11" t="n">
        <v>46225</v>
      </c>
      <c r="B2162" s="1" t="n">
        <v>20049</v>
      </c>
      <c r="C2162" s="1" t="inlineStr">
        <is>
          <t>803</t>
        </is>
      </c>
      <c r="D2162" s="1" t="inlineStr">
        <is>
          <t xml:space="preserve">5643  </t>
        </is>
      </c>
      <c r="E2162" s="1" t="inlineStr">
        <is>
          <t xml:space="preserve">32457111       </t>
        </is>
      </c>
      <c r="F2162" s="5" t="inlineStr">
        <is>
          <t>TMZ BEAST MACHINES MONSTER JAWS A FRICCION PACK DE</t>
        </is>
      </c>
      <c r="G2162" t="n">
        <v>2</v>
      </c>
      <c r="H2162" s="7" t="n">
        <v>109.8</v>
      </c>
      <c r="I2162" s="7" t="n">
        <v>0</v>
      </c>
      <c r="J2162" s="7" t="n">
        <v>0</v>
      </c>
      <c r="K2162" s="9" t="n">
        <v>0</v>
      </c>
      <c r="L2162" s="10" t="n">
        <v>65.14</v>
      </c>
      <c r="M2162" s="10" t="n">
        <v>1.43</v>
      </c>
      <c r="N2162" t="inlineStr">
        <is>
          <t>1</t>
        </is>
      </c>
      <c r="O2162" t="inlineStr">
        <is>
          <t>16</t>
        </is>
      </c>
      <c r="P2162" t="inlineStr">
        <is>
          <t xml:space="preserve">0       </t>
        </is>
      </c>
      <c r="Q2162" s="26" t="n">
        <v>74.90000000000001</v>
      </c>
      <c r="R2162" s="26">
        <f>Q2162*G2162</f>
        <v/>
      </c>
      <c r="S2162" t="n">
        <v>88.86</v>
      </c>
      <c r="T2162" s="18">
        <f>1 - V2162/S2162</f>
        <v/>
      </c>
      <c r="U2162" s="18" t="n">
        <v>0.2670226969292391</v>
      </c>
      <c r="V2162" s="26" t="n">
        <v>63.84813559322033</v>
      </c>
      <c r="W2162" s="26">
        <f>V2162 - L2162</f>
        <v/>
      </c>
    </row>
    <row r="2163">
      <c r="A2163" s="11" t="n">
        <v>46225</v>
      </c>
      <c r="B2163" s="1" t="n">
        <v>20057</v>
      </c>
      <c r="C2163" s="1" t="inlineStr">
        <is>
          <t>032</t>
        </is>
      </c>
      <c r="D2163" s="1" t="inlineStr">
        <is>
          <t xml:space="preserve">2024  </t>
        </is>
      </c>
      <c r="E2163" s="1" t="inlineStr">
        <is>
          <t xml:space="preserve">34840526       </t>
        </is>
      </c>
      <c r="F2163" s="5" t="inlineStr">
        <is>
          <t>NENUCO ABRACITOS</t>
        </is>
      </c>
      <c r="G2163" t="n">
        <v>1</v>
      </c>
      <c r="H2163" s="7" t="n">
        <v>89.90000000000001</v>
      </c>
      <c r="I2163" s="7" t="n">
        <v>0</v>
      </c>
      <c r="J2163" s="7" t="n">
        <v>0</v>
      </c>
      <c r="K2163" s="9" t="n">
        <v>0</v>
      </c>
      <c r="L2163" s="10" t="n">
        <v>53.33</v>
      </c>
      <c r="M2163" s="10" t="n">
        <v>1.43</v>
      </c>
      <c r="N2163" t="inlineStr">
        <is>
          <t>1</t>
        </is>
      </c>
      <c r="O2163" t="inlineStr">
        <is>
          <t>16</t>
        </is>
      </c>
      <c r="P2163" t="inlineStr">
        <is>
          <t xml:space="preserve">241502  </t>
        </is>
      </c>
      <c r="Q2163" s="26" t="n">
        <v>119</v>
      </c>
      <c r="R2163" s="26">
        <f>Q2163*G2163</f>
        <v/>
      </c>
      <c r="S2163" t="n">
        <v>70.59</v>
      </c>
      <c r="T2163" s="18">
        <f>1 - V2163/S2163</f>
        <v/>
      </c>
      <c r="U2163" s="18" t="n">
        <v>0.2445378151260503</v>
      </c>
      <c r="V2163" s="26" t="n">
        <v>60.94915254237289</v>
      </c>
      <c r="W2163" s="26">
        <f>V2163 - L2163</f>
        <v/>
      </c>
    </row>
    <row r="2164">
      <c r="A2164" s="11" t="n">
        <v>46225</v>
      </c>
      <c r="B2164" s="1" t="n">
        <v>20057</v>
      </c>
      <c r="C2164" s="1" t="inlineStr">
        <is>
          <t>861</t>
        </is>
      </c>
      <c r="D2164" s="1" t="inlineStr">
        <is>
          <t xml:space="preserve">993   </t>
        </is>
      </c>
      <c r="E2164" s="1" t="inlineStr">
        <is>
          <t xml:space="preserve">28194770       </t>
        </is>
      </c>
      <c r="F2164" s="5" t="inlineStr">
        <is>
          <t>AUTOS DE METAL 3 TEAMSTERZ EN BLISTER</t>
        </is>
      </c>
      <c r="G2164" t="n">
        <v>2</v>
      </c>
      <c r="H2164" s="7" t="n">
        <v>13.8</v>
      </c>
      <c r="I2164" s="7" t="n">
        <v>0</v>
      </c>
      <c r="J2164" s="7" t="n">
        <v>0</v>
      </c>
      <c r="K2164" s="9" t="n">
        <v>0</v>
      </c>
      <c r="L2164" s="10" t="n">
        <v>8.18</v>
      </c>
      <c r="M2164" s="10" t="n">
        <v>1.43</v>
      </c>
      <c r="N2164" t="inlineStr">
        <is>
          <t>1</t>
        </is>
      </c>
      <c r="O2164" t="inlineStr">
        <is>
          <t>16</t>
        </is>
      </c>
      <c r="P2164" t="inlineStr">
        <is>
          <t xml:space="preserve">0       </t>
        </is>
      </c>
      <c r="Q2164" s="26" t="n">
        <v>6.9</v>
      </c>
      <c r="R2164" s="26">
        <f>Q2164*G2164</f>
        <v/>
      </c>
      <c r="S2164" t="n">
        <v>8.18</v>
      </c>
      <c r="T2164" s="18">
        <f>1 - V2164/S2164</f>
        <v/>
      </c>
      <c r="U2164" s="18" t="n">
        <v>0</v>
      </c>
      <c r="V2164" s="26" t="n">
        <v>8.18</v>
      </c>
      <c r="W2164" s="26">
        <f>V2164 - L2164</f>
        <v/>
      </c>
    </row>
    <row r="2165">
      <c r="A2165" s="11" t="n">
        <v>46225</v>
      </c>
      <c r="B2165" s="1" t="n">
        <v>20058</v>
      </c>
      <c r="C2165" s="1" t="inlineStr">
        <is>
          <t>039</t>
        </is>
      </c>
      <c r="D2165" s="1" t="inlineStr">
        <is>
          <t>231297</t>
        </is>
      </c>
      <c r="E2165" s="1" t="inlineStr">
        <is>
          <t xml:space="preserve">28194770       </t>
        </is>
      </c>
      <c r="F2165" s="5" t="inlineStr">
        <is>
          <t>AUTOS DE METAL 3 TEAMSTERZ EN BLISTER</t>
        </is>
      </c>
      <c r="G2165" t="n">
        <v>1</v>
      </c>
      <c r="H2165" s="7" t="n">
        <v>6.9</v>
      </c>
      <c r="I2165" s="7" t="n">
        <v>0</v>
      </c>
      <c r="J2165" s="7" t="n">
        <v>0</v>
      </c>
      <c r="K2165" s="9" t="n">
        <v>0</v>
      </c>
      <c r="L2165" s="10" t="n">
        <v>4.1</v>
      </c>
      <c r="M2165" s="10" t="n">
        <v>1.43</v>
      </c>
      <c r="N2165" t="inlineStr">
        <is>
          <t>1</t>
        </is>
      </c>
      <c r="O2165" t="inlineStr">
        <is>
          <t>16</t>
        </is>
      </c>
      <c r="P2165" t="inlineStr">
        <is>
          <t xml:space="preserve">241468  </t>
        </is>
      </c>
      <c r="Q2165" s="26" t="n">
        <v>6.9</v>
      </c>
      <c r="R2165" s="26">
        <f>Q2165*G2165</f>
        <v/>
      </c>
      <c r="S2165" t="n">
        <v>4.09</v>
      </c>
      <c r="T2165" s="18">
        <f>1 - V2165/S2165</f>
        <v/>
      </c>
      <c r="U2165" s="18" t="n">
        <v>0</v>
      </c>
      <c r="V2165" s="26" t="n">
        <v>4.09</v>
      </c>
      <c r="W2165" s="26">
        <f>V2165 - L2165</f>
        <v/>
      </c>
    </row>
    <row r="2166">
      <c r="A2166" s="11" t="n">
        <v>46225</v>
      </c>
      <c r="B2166" s="1" t="n">
        <v>20058</v>
      </c>
      <c r="C2166" s="1" t="inlineStr">
        <is>
          <t>039</t>
        </is>
      </c>
      <c r="D2166" s="1" t="inlineStr">
        <is>
          <t>231297</t>
        </is>
      </c>
      <c r="E2166" s="1" t="inlineStr">
        <is>
          <t xml:space="preserve">28194770       </t>
        </is>
      </c>
      <c r="F2166" s="5" t="inlineStr">
        <is>
          <t>AUTOS DE METAL 3 TEAMSTERZ EN BLISTER</t>
        </is>
      </c>
      <c r="G2166" t="n">
        <v>1</v>
      </c>
      <c r="H2166" s="7" t="n">
        <v>6.9</v>
      </c>
      <c r="I2166" s="7" t="n">
        <v>0</v>
      </c>
      <c r="J2166" s="7" t="n">
        <v>0</v>
      </c>
      <c r="K2166" s="9" t="n">
        <v>0</v>
      </c>
      <c r="L2166" s="10" t="n">
        <v>4.1</v>
      </c>
      <c r="M2166" s="10" t="n">
        <v>1.43</v>
      </c>
      <c r="N2166" t="inlineStr">
        <is>
          <t>1</t>
        </is>
      </c>
      <c r="O2166" t="inlineStr">
        <is>
          <t>16</t>
        </is>
      </c>
      <c r="P2166" t="inlineStr">
        <is>
          <t xml:space="preserve">241468  </t>
        </is>
      </c>
      <c r="Q2166" s="26" t="n">
        <v>6.9</v>
      </c>
      <c r="R2166" s="26">
        <f>Q2166*G2166</f>
        <v/>
      </c>
      <c r="S2166" t="n">
        <v>4.09</v>
      </c>
      <c r="T2166" s="18">
        <f>1 - V2166/S2166</f>
        <v/>
      </c>
      <c r="U2166" s="18" t="n">
        <v>0</v>
      </c>
      <c r="V2166" s="26" t="n">
        <v>4.09</v>
      </c>
      <c r="W2166" s="26">
        <f>V2166 - L2166</f>
        <v/>
      </c>
    </row>
    <row r="2167">
      <c r="A2167" s="11" t="n">
        <v>46225</v>
      </c>
      <c r="B2167" s="1" t="n">
        <v>20058</v>
      </c>
      <c r="C2167" s="1" t="inlineStr">
        <is>
          <t>039</t>
        </is>
      </c>
      <c r="D2167" s="1" t="inlineStr">
        <is>
          <t>231350</t>
        </is>
      </c>
      <c r="E2167" s="1" t="inlineStr">
        <is>
          <t xml:space="preserve">34840526       </t>
        </is>
      </c>
      <c r="F2167" s="5" t="inlineStr">
        <is>
          <t>NENUCO ABRACITOS</t>
        </is>
      </c>
      <c r="G2167" t="n">
        <v>1</v>
      </c>
      <c r="H2167" s="7" t="n">
        <v>89.90000000000001</v>
      </c>
      <c r="I2167" s="7" t="n">
        <v>0</v>
      </c>
      <c r="J2167" s="7" t="n">
        <v>0</v>
      </c>
      <c r="K2167" s="9" t="n">
        <v>0</v>
      </c>
      <c r="L2167" s="10" t="n">
        <v>53.33</v>
      </c>
      <c r="M2167" s="10" t="n">
        <v>1.43</v>
      </c>
      <c r="N2167" t="inlineStr">
        <is>
          <t>1</t>
        </is>
      </c>
      <c r="O2167" t="inlineStr">
        <is>
          <t>16</t>
        </is>
      </c>
      <c r="P2167" t="inlineStr">
        <is>
          <t xml:space="preserve">241468  </t>
        </is>
      </c>
      <c r="Q2167" s="26" t="n">
        <v>119</v>
      </c>
      <c r="R2167" s="26">
        <f>Q2167*G2167</f>
        <v/>
      </c>
      <c r="S2167" t="n">
        <v>70.59</v>
      </c>
      <c r="T2167" s="18">
        <f>1 - V2167/S2167</f>
        <v/>
      </c>
      <c r="U2167" s="18" t="n">
        <v>0.2445378151260503</v>
      </c>
      <c r="V2167" s="26" t="n">
        <v>60.94915254237289</v>
      </c>
      <c r="W2167" s="26">
        <f>V2167 - L2167</f>
        <v/>
      </c>
    </row>
    <row r="2168">
      <c r="A2168" s="11" t="n">
        <v>46225</v>
      </c>
      <c r="B2168" s="1" t="n">
        <v>20058</v>
      </c>
      <c r="C2168" s="1" t="inlineStr">
        <is>
          <t>197</t>
        </is>
      </c>
      <c r="D2168" s="1" t="inlineStr">
        <is>
          <t>170481</t>
        </is>
      </c>
      <c r="E2168" s="1" t="inlineStr">
        <is>
          <t xml:space="preserve">32656417       </t>
        </is>
      </c>
      <c r="F2168" s="5" t="inlineStr">
        <is>
          <t>NO DESPIERTES A PAPA</t>
        </is>
      </c>
      <c r="G2168" t="n">
        <v>1</v>
      </c>
      <c r="H2168" s="7" t="n">
        <v>39.9</v>
      </c>
      <c r="I2168" s="7" t="n">
        <v>0</v>
      </c>
      <c r="J2168" s="7" t="n">
        <v>0</v>
      </c>
      <c r="K2168" s="9" t="n">
        <v>0</v>
      </c>
      <c r="L2168" s="10" t="n">
        <v>23.67</v>
      </c>
      <c r="M2168" s="10" t="n">
        <v>1.43</v>
      </c>
      <c r="N2168" t="inlineStr">
        <is>
          <t>1</t>
        </is>
      </c>
      <c r="O2168" t="inlineStr">
        <is>
          <t>16</t>
        </is>
      </c>
      <c r="P2168" t="inlineStr">
        <is>
          <t xml:space="preserve">92832   </t>
        </is>
      </c>
      <c r="Q2168" s="26" t="n">
        <v>89.90000000000001</v>
      </c>
      <c r="R2168" s="26">
        <f>Q2168*G2168</f>
        <v/>
      </c>
      <c r="S2168" t="n">
        <v>53.33</v>
      </c>
      <c r="T2168" s="18">
        <f>1 - V2168/S2168</f>
        <v/>
      </c>
      <c r="U2168" s="18" t="n">
        <v>0.5561735261401557</v>
      </c>
      <c r="V2168" s="26" t="n">
        <v>32.11949152542373</v>
      </c>
      <c r="W2168" s="26">
        <f>V2168 - L2168</f>
        <v/>
      </c>
    </row>
    <row r="2169">
      <c r="A2169" s="11" t="n">
        <v>46225</v>
      </c>
      <c r="B2169" s="1" t="n">
        <v>20060</v>
      </c>
      <c r="C2169" s="1" t="inlineStr">
        <is>
          <t>300</t>
        </is>
      </c>
      <c r="D2169" s="1" t="inlineStr">
        <is>
          <t xml:space="preserve">655   </t>
        </is>
      </c>
      <c r="E2169" s="1" t="inlineStr">
        <is>
          <t xml:space="preserve">31754677       </t>
        </is>
      </c>
      <c r="F2169" s="5" t="inlineStr">
        <is>
          <t>INFINITY NADO SERIE 6 SET DE BATALL</t>
        </is>
      </c>
      <c r="G2169" t="n">
        <v>1</v>
      </c>
      <c r="H2169" s="7" t="n">
        <v>189</v>
      </c>
      <c r="I2169" s="7" t="n">
        <v>0</v>
      </c>
      <c r="J2169" s="7" t="n">
        <v>0</v>
      </c>
      <c r="K2169" s="9" t="n">
        <v>0</v>
      </c>
      <c r="L2169" s="10" t="n">
        <v>112.12</v>
      </c>
      <c r="M2169" s="10" t="n">
        <v>1.43</v>
      </c>
      <c r="N2169" t="inlineStr">
        <is>
          <t>1</t>
        </is>
      </c>
      <c r="O2169" t="inlineStr">
        <is>
          <t>16</t>
        </is>
      </c>
      <c r="P2169" t="inlineStr">
        <is>
          <t>82807346</t>
        </is>
      </c>
      <c r="Q2169" s="26" t="n">
        <v>189</v>
      </c>
      <c r="R2169" s="26">
        <f>Q2169*G2169</f>
        <v/>
      </c>
      <c r="S2169" t="n">
        <v>112.12</v>
      </c>
      <c r="T2169" s="18">
        <f>1 - V2169/S2169</f>
        <v/>
      </c>
      <c r="U2169" s="18" t="n">
        <v>0.2116402116402116</v>
      </c>
      <c r="V2169" s="26" t="n">
        <v>94.70338983050848</v>
      </c>
      <c r="W2169" s="26">
        <f>V2169 - L2169</f>
        <v/>
      </c>
    </row>
    <row r="2170">
      <c r="A2170" s="11" t="n">
        <v>46225</v>
      </c>
      <c r="B2170" s="1" t="n">
        <v>20062</v>
      </c>
      <c r="C2170" s="1" t="inlineStr">
        <is>
          <t>512</t>
        </is>
      </c>
      <c r="D2170" s="1" t="inlineStr">
        <is>
          <t xml:space="preserve">5720  </t>
        </is>
      </c>
      <c r="E2170" s="1" t="inlineStr">
        <is>
          <t xml:space="preserve">32457103       </t>
        </is>
      </c>
      <c r="F2170" s="5" t="inlineStr">
        <is>
          <t>TMZ BEAST MACHINES MONSTER JAWS A FRICCION PACK DE</t>
        </is>
      </c>
      <c r="G2170" t="n">
        <v>1</v>
      </c>
      <c r="H2170" s="7" t="n">
        <v>32.9</v>
      </c>
      <c r="I2170" s="7" t="n">
        <v>0</v>
      </c>
      <c r="J2170" s="7" t="n">
        <v>0</v>
      </c>
      <c r="K2170" s="9" t="n">
        <v>0</v>
      </c>
      <c r="L2170" s="10" t="n">
        <v>19.52</v>
      </c>
      <c r="M2170" s="10" t="n">
        <v>1.43</v>
      </c>
      <c r="N2170" t="inlineStr">
        <is>
          <t>1</t>
        </is>
      </c>
      <c r="O2170" t="inlineStr">
        <is>
          <t>16</t>
        </is>
      </c>
      <c r="P2170" t="inlineStr">
        <is>
          <t xml:space="preserve">250090  </t>
        </is>
      </c>
      <c r="Q2170" s="26" t="n">
        <v>37.9</v>
      </c>
      <c r="R2170" s="26">
        <f>Q2170*G2170</f>
        <v/>
      </c>
      <c r="S2170" t="n">
        <v>22.48</v>
      </c>
      <c r="T2170" s="18">
        <f>1 - V2170/S2170</f>
        <v/>
      </c>
      <c r="U2170" s="18" t="n">
        <v>0.1319261213720316</v>
      </c>
      <c r="V2170" s="26" t="n">
        <v>16.75101694915254</v>
      </c>
      <c r="W2170" s="26">
        <f>V2170 - L2170</f>
        <v/>
      </c>
    </row>
    <row r="2171">
      <c r="A2171" s="11" t="n">
        <v>46225</v>
      </c>
      <c r="B2171" s="1" t="n">
        <v>20066</v>
      </c>
      <c r="C2171" s="1" t="inlineStr">
        <is>
          <t>047</t>
        </is>
      </c>
      <c r="D2171" s="1" t="inlineStr">
        <is>
          <t xml:space="preserve">51040 </t>
        </is>
      </c>
      <c r="E2171" s="1" t="inlineStr">
        <is>
          <t xml:space="preserve">30141768       </t>
        </is>
      </c>
      <c r="F2171" s="5" t="inlineStr">
        <is>
          <t>TMZ BEAST MACHINES AUTOS DE METAL PACK 10 AUTOS</t>
        </is>
      </c>
      <c r="G2171" t="n">
        <v>1</v>
      </c>
      <c r="H2171" s="7" t="n">
        <v>69</v>
      </c>
      <c r="I2171" s="7" t="n">
        <v>0</v>
      </c>
      <c r="J2171" s="7" t="n">
        <v>0</v>
      </c>
      <c r="K2171" s="9" t="n">
        <v>0</v>
      </c>
      <c r="L2171" s="10" t="n">
        <v>40.93</v>
      </c>
      <c r="M2171" s="10" t="n">
        <v>1.43</v>
      </c>
      <c r="N2171" t="inlineStr">
        <is>
          <t>1</t>
        </is>
      </c>
      <c r="O2171" t="inlineStr">
        <is>
          <t xml:space="preserve">2 </t>
        </is>
      </c>
      <c r="P2171" t="inlineStr">
        <is>
          <t xml:space="preserve">19353   </t>
        </is>
      </c>
      <c r="Q2171" s="26" t="n">
        <v>79</v>
      </c>
      <c r="R2171" s="26">
        <f>Q2171*G2171</f>
        <v/>
      </c>
      <c r="S2171" t="n">
        <v>46.86</v>
      </c>
      <c r="T2171" s="18">
        <f>1 - V2171/S2171</f>
        <v/>
      </c>
      <c r="U2171" s="18" t="n">
        <v>0.1265822784810127</v>
      </c>
      <c r="V2171" s="26" t="n">
        <v>43.85593220338983</v>
      </c>
      <c r="W2171" s="26">
        <f>V2171 - L2171</f>
        <v/>
      </c>
    </row>
    <row r="2172">
      <c r="A2172" s="11" t="n">
        <v>46225</v>
      </c>
      <c r="B2172" s="1" t="n">
        <v>20066</v>
      </c>
      <c r="C2172" s="1" t="inlineStr">
        <is>
          <t>058</t>
        </is>
      </c>
      <c r="D2172" s="1" t="inlineStr">
        <is>
          <t xml:space="preserve">1517  </t>
        </is>
      </c>
      <c r="E2172" s="1" t="inlineStr">
        <is>
          <t xml:space="preserve">28194770       </t>
        </is>
      </c>
      <c r="F2172" s="5" t="inlineStr">
        <is>
          <t>AUTOS DE METAL 3 TEAMSTERZ EN BLISTER</t>
        </is>
      </c>
      <c r="G2172" t="n">
        <v>1</v>
      </c>
      <c r="H2172" s="7" t="n">
        <v>6.9</v>
      </c>
      <c r="I2172" s="7" t="n">
        <v>0</v>
      </c>
      <c r="J2172" s="7" t="n">
        <v>0</v>
      </c>
      <c r="K2172" s="9" t="n">
        <v>0</v>
      </c>
      <c r="L2172" s="10" t="n">
        <v>4.1</v>
      </c>
      <c r="M2172" s="10" t="n">
        <v>1.43</v>
      </c>
      <c r="N2172" t="inlineStr">
        <is>
          <t>1</t>
        </is>
      </c>
      <c r="O2172" t="inlineStr">
        <is>
          <t>16</t>
        </is>
      </c>
      <c r="P2172" t="inlineStr">
        <is>
          <t xml:space="preserve">234784  </t>
        </is>
      </c>
      <c r="Q2172" s="26" t="n">
        <v>6.9</v>
      </c>
      <c r="R2172" s="26">
        <f>Q2172*G2172</f>
        <v/>
      </c>
      <c r="S2172" t="n">
        <v>4.09</v>
      </c>
      <c r="T2172" s="18">
        <f>1 - V2172/S2172</f>
        <v/>
      </c>
      <c r="U2172" s="18" t="n">
        <v>0</v>
      </c>
      <c r="V2172" s="26" t="n">
        <v>4.09</v>
      </c>
      <c r="W2172" s="26">
        <f>V2172 - L2172</f>
        <v/>
      </c>
    </row>
    <row r="2173">
      <c r="A2173" s="11" t="n">
        <v>46225</v>
      </c>
      <c r="B2173" s="1" t="n">
        <v>20066</v>
      </c>
      <c r="C2173" s="1" t="inlineStr">
        <is>
          <t>058</t>
        </is>
      </c>
      <c r="D2173" s="1" t="inlineStr">
        <is>
          <t xml:space="preserve">1517  </t>
        </is>
      </c>
      <c r="E2173" s="1" t="inlineStr">
        <is>
          <t xml:space="preserve">30141766       </t>
        </is>
      </c>
      <c r="F2173" s="5" t="inlineStr">
        <is>
          <t>TMZ BEAST MACHINES AUTOS DE METAL BLISTER X 1</t>
        </is>
      </c>
      <c r="G2173" t="n">
        <v>1</v>
      </c>
      <c r="H2173" s="7" t="n">
        <v>7.9</v>
      </c>
      <c r="I2173" s="7" t="n">
        <v>0</v>
      </c>
      <c r="J2173" s="7" t="n">
        <v>0</v>
      </c>
      <c r="K2173" s="9" t="n">
        <v>0</v>
      </c>
      <c r="L2173" s="10" t="n">
        <v>4.68</v>
      </c>
      <c r="M2173" s="10" t="n">
        <v>1.43</v>
      </c>
      <c r="N2173" t="inlineStr">
        <is>
          <t>1</t>
        </is>
      </c>
      <c r="O2173" t="inlineStr">
        <is>
          <t>16</t>
        </is>
      </c>
      <c r="P2173" t="inlineStr">
        <is>
          <t xml:space="preserve">234784  </t>
        </is>
      </c>
      <c r="Q2173" s="26" t="n">
        <v>7.9</v>
      </c>
      <c r="R2173" s="26">
        <f>Q2173*G2173</f>
        <v/>
      </c>
      <c r="S2173" t="n">
        <v>4.69</v>
      </c>
      <c r="T2173" s="18">
        <f>1 - V2173/S2173</f>
        <v/>
      </c>
      <c r="U2173" s="18" t="n">
        <v>0</v>
      </c>
      <c r="V2173" s="26" t="n">
        <v>4.69</v>
      </c>
      <c r="W2173" s="26">
        <f>V2173 - L2173</f>
        <v/>
      </c>
    </row>
    <row r="2174">
      <c r="A2174" s="11" t="n">
        <v>46225</v>
      </c>
      <c r="B2174" s="1" t="n">
        <v>20069</v>
      </c>
      <c r="C2174" s="1" t="inlineStr">
        <is>
          <t>011</t>
        </is>
      </c>
      <c r="D2174" s="1" t="inlineStr">
        <is>
          <t>195710</t>
        </is>
      </c>
      <c r="E2174" s="1" t="inlineStr">
        <is>
          <t xml:space="preserve">30232284       </t>
        </is>
      </c>
      <c r="F2174" s="5" t="inlineStr">
        <is>
          <t>INFINITY NADO TROMPO DE BATALLA - METAL C/PUNTA DE</t>
        </is>
      </c>
      <c r="G2174" t="n">
        <v>1</v>
      </c>
      <c r="H2174" s="7" t="n">
        <v>34.9</v>
      </c>
      <c r="I2174" s="7" t="n">
        <v>0</v>
      </c>
      <c r="J2174" s="7" t="n">
        <v>0</v>
      </c>
      <c r="K2174" s="9" t="n">
        <v>0</v>
      </c>
      <c r="L2174" s="10" t="n">
        <v>20.71</v>
      </c>
      <c r="M2174" s="10" t="n">
        <v>1.43</v>
      </c>
      <c r="N2174" t="inlineStr">
        <is>
          <t>1</t>
        </is>
      </c>
      <c r="O2174" t="inlineStr">
        <is>
          <t>16</t>
        </is>
      </c>
      <c r="P2174" t="inlineStr">
        <is>
          <t xml:space="preserve">249779  </t>
        </is>
      </c>
      <c r="Q2174" s="26" t="n">
        <v>49.9</v>
      </c>
      <c r="R2174" s="26">
        <f>Q2174*G2174</f>
        <v/>
      </c>
      <c r="S2174" t="n">
        <v>29.6</v>
      </c>
      <c r="T2174" s="18">
        <f>1 - V2174/S2174</f>
        <v/>
      </c>
      <c r="U2174" s="18" t="n">
        <v>0.3006012024048096</v>
      </c>
      <c r="V2174" s="26" t="n">
        <v>22.18220338983051</v>
      </c>
      <c r="W2174" s="26">
        <f>V2174 - L2174</f>
        <v/>
      </c>
    </row>
    <row r="2175">
      <c r="A2175" s="11" t="n">
        <v>46225</v>
      </c>
      <c r="B2175" s="1" t="n">
        <v>20069</v>
      </c>
      <c r="C2175" s="1" t="inlineStr">
        <is>
          <t>024</t>
        </is>
      </c>
      <c r="D2175" s="1" t="inlineStr">
        <is>
          <t>105280</t>
        </is>
      </c>
      <c r="E2175" s="1" t="inlineStr">
        <is>
          <t xml:space="preserve">31675347       </t>
        </is>
      </c>
      <c r="F2175" s="5" t="inlineStr">
        <is>
          <t>PETRONIX FIGURA + MASCOTAMOBIL SURTIDO</t>
        </is>
      </c>
      <c r="G2175" t="n">
        <v>1</v>
      </c>
      <c r="H2175" s="7" t="n">
        <v>16.03</v>
      </c>
      <c r="I2175" s="7" t="n">
        <v>0</v>
      </c>
      <c r="J2175" s="7" t="n">
        <v>0</v>
      </c>
      <c r="K2175" s="9" t="n">
        <v>0</v>
      </c>
      <c r="L2175" s="10" t="n">
        <v>9.51</v>
      </c>
      <c r="M2175" s="10" t="n">
        <v>1.43</v>
      </c>
      <c r="N2175" t="inlineStr">
        <is>
          <t>1</t>
        </is>
      </c>
      <c r="O2175" t="inlineStr">
        <is>
          <t xml:space="preserve">2 </t>
        </is>
      </c>
      <c r="P2175" t="inlineStr">
        <is>
          <t xml:space="preserve">247845  </t>
        </is>
      </c>
      <c r="Q2175" s="26" t="n">
        <v>22.9</v>
      </c>
      <c r="R2175" s="26">
        <f>Q2175*G2175</f>
        <v/>
      </c>
      <c r="S2175" t="n">
        <v>13.58</v>
      </c>
      <c r="T2175" s="18">
        <f>1 - V2175/S2175</f>
        <v/>
      </c>
      <c r="U2175" s="18" t="n">
        <v>0.2999999999999999</v>
      </c>
      <c r="V2175" s="26" t="n">
        <v>10.86525423728814</v>
      </c>
      <c r="W2175" s="26">
        <f>V2175 - L2175</f>
        <v/>
      </c>
    </row>
    <row r="2176">
      <c r="A2176" s="11" t="n">
        <v>46225</v>
      </c>
      <c r="B2176" s="1" t="n">
        <v>20069</v>
      </c>
      <c r="C2176" s="1" t="inlineStr">
        <is>
          <t>024</t>
        </is>
      </c>
      <c r="D2176" s="1" t="inlineStr">
        <is>
          <t>105341</t>
        </is>
      </c>
      <c r="E2176" s="1" t="inlineStr">
        <is>
          <t xml:space="preserve">28194769       </t>
        </is>
      </c>
      <c r="F2176" s="5" t="inlineStr">
        <is>
          <t>AUTOS DE METAL 3 TEAMSTERZ PACK DE 2</t>
        </is>
      </c>
      <c r="G2176" t="n">
        <v>1</v>
      </c>
      <c r="H2176" s="7" t="n">
        <v>13.8</v>
      </c>
      <c r="I2176" s="7" t="n">
        <v>1.38</v>
      </c>
      <c r="J2176" s="7" t="n">
        <v>0</v>
      </c>
      <c r="K2176" s="9" t="n">
        <v>1.38</v>
      </c>
      <c r="L2176" s="10" t="n">
        <v>7.37</v>
      </c>
      <c r="M2176" s="10" t="n">
        <v>1.43</v>
      </c>
      <c r="N2176" t="inlineStr">
        <is>
          <t>1</t>
        </is>
      </c>
      <c r="O2176" t="inlineStr">
        <is>
          <t xml:space="preserve">3 </t>
        </is>
      </c>
      <c r="P2176" t="inlineStr">
        <is>
          <t xml:space="preserve">247845  </t>
        </is>
      </c>
      <c r="Q2176" s="26" t="n">
        <v>13.8</v>
      </c>
      <c r="R2176" s="26">
        <f>Q2176*G2176</f>
        <v/>
      </c>
      <c r="S2176" t="n">
        <v>8.19</v>
      </c>
      <c r="T2176" s="18">
        <f>1 - V2176/S2176</f>
        <v/>
      </c>
      <c r="U2176" s="18" t="n">
        <v>0</v>
      </c>
      <c r="V2176" s="26" t="n">
        <v>8.19</v>
      </c>
      <c r="W2176" s="26">
        <f>V2176 - L2176</f>
        <v/>
      </c>
    </row>
    <row r="2177">
      <c r="A2177" s="11" t="n">
        <v>46225</v>
      </c>
      <c r="B2177" s="1" t="n">
        <v>20069</v>
      </c>
      <c r="C2177" s="1" t="inlineStr">
        <is>
          <t>024</t>
        </is>
      </c>
      <c r="D2177" s="1" t="inlineStr">
        <is>
          <t>105360</t>
        </is>
      </c>
      <c r="E2177" s="1" t="inlineStr">
        <is>
          <t xml:space="preserve">28194770       </t>
        </is>
      </c>
      <c r="F2177" s="5" t="inlineStr">
        <is>
          <t>AUTOS DE METAL 3 TEAMSTERZ EN BLISTER</t>
        </is>
      </c>
      <c r="G2177" t="n">
        <v>1</v>
      </c>
      <c r="H2177" s="7" t="n">
        <v>6.9</v>
      </c>
      <c r="I2177" s="7" t="n">
        <v>0</v>
      </c>
      <c r="J2177" s="7" t="n">
        <v>0</v>
      </c>
      <c r="K2177" s="9" t="n">
        <v>0</v>
      </c>
      <c r="L2177" s="10" t="n">
        <v>4.1</v>
      </c>
      <c r="M2177" s="10" t="n">
        <v>1.43</v>
      </c>
      <c r="N2177" t="inlineStr">
        <is>
          <t>1</t>
        </is>
      </c>
      <c r="O2177" t="inlineStr">
        <is>
          <t xml:space="preserve">2 </t>
        </is>
      </c>
      <c r="P2177" t="inlineStr">
        <is>
          <t xml:space="preserve">247845  </t>
        </is>
      </c>
      <c r="Q2177" s="26" t="n">
        <v>6.9</v>
      </c>
      <c r="R2177" s="26">
        <f>Q2177*G2177</f>
        <v/>
      </c>
      <c r="S2177" t="n">
        <v>4.09</v>
      </c>
      <c r="T2177" s="18">
        <f>1 - V2177/S2177</f>
        <v/>
      </c>
      <c r="U2177" s="18" t="n">
        <v>0</v>
      </c>
      <c r="V2177" s="26" t="n">
        <v>4.09</v>
      </c>
      <c r="W2177" s="26">
        <f>V2177 - L2177</f>
        <v/>
      </c>
    </row>
    <row r="2178">
      <c r="A2178" s="11" t="n">
        <v>46225</v>
      </c>
      <c r="B2178" s="1" t="n">
        <v>20074</v>
      </c>
      <c r="C2178" s="1" t="inlineStr">
        <is>
          <t>015</t>
        </is>
      </c>
      <c r="D2178" s="1" t="inlineStr">
        <is>
          <t>228433</t>
        </is>
      </c>
      <c r="E2178" s="1" t="inlineStr">
        <is>
          <t xml:space="preserve">30232284       </t>
        </is>
      </c>
      <c r="F2178" s="5" t="inlineStr">
        <is>
          <t>INFINITY NADO TROMPO DE BATALLA - METAL C/PUNTA DE</t>
        </is>
      </c>
      <c r="G2178" t="n">
        <v>1</v>
      </c>
      <c r="H2178" s="7" t="n">
        <v>34.9</v>
      </c>
      <c r="I2178" s="7" t="n">
        <v>0</v>
      </c>
      <c r="J2178" s="7" t="n">
        <v>0</v>
      </c>
      <c r="K2178" s="9" t="n">
        <v>0</v>
      </c>
      <c r="L2178" s="10" t="n">
        <v>20.71</v>
      </c>
      <c r="M2178" s="10" t="n">
        <v>1.43</v>
      </c>
      <c r="N2178" t="inlineStr">
        <is>
          <t>1</t>
        </is>
      </c>
      <c r="O2178" t="inlineStr">
        <is>
          <t>16</t>
        </is>
      </c>
      <c r="P2178" t="inlineStr">
        <is>
          <t xml:space="preserve">251791  </t>
        </is>
      </c>
      <c r="Q2178" s="26" t="n">
        <v>49.9</v>
      </c>
      <c r="R2178" s="26">
        <f>Q2178*G2178</f>
        <v/>
      </c>
      <c r="S2178" t="n">
        <v>29.6</v>
      </c>
      <c r="T2178" s="18">
        <f>1 - V2178/S2178</f>
        <v/>
      </c>
      <c r="U2178" s="18" t="n">
        <v>0.3006012024048096</v>
      </c>
      <c r="V2178" s="26" t="n">
        <v>22.18220338983051</v>
      </c>
      <c r="W2178" s="26">
        <f>V2178 - L2178</f>
        <v/>
      </c>
    </row>
    <row r="2179">
      <c r="A2179" s="11" t="n">
        <v>46225</v>
      </c>
      <c r="B2179" s="1" t="n">
        <v>20074</v>
      </c>
      <c r="C2179" s="1" t="inlineStr">
        <is>
          <t>039</t>
        </is>
      </c>
      <c r="D2179" s="1" t="inlineStr">
        <is>
          <t xml:space="preserve">31094 </t>
        </is>
      </c>
      <c r="E2179" s="1" t="inlineStr">
        <is>
          <t xml:space="preserve">28194780       </t>
        </is>
      </c>
      <c r="F2179" s="5" t="inlineStr">
        <is>
          <t>TROMPO BATALLA INFINITY NADO PLSTICO SURTIDO</t>
        </is>
      </c>
      <c r="G2179" t="n">
        <v>1</v>
      </c>
      <c r="H2179" s="7" t="n">
        <v>19.9</v>
      </c>
      <c r="I2179" s="7" t="n">
        <v>0</v>
      </c>
      <c r="J2179" s="7" t="n">
        <v>0</v>
      </c>
      <c r="K2179" s="9" t="n">
        <v>0</v>
      </c>
      <c r="L2179" s="10" t="n">
        <v>11.8</v>
      </c>
      <c r="M2179" s="10" t="n">
        <v>1.43</v>
      </c>
      <c r="N2179" t="inlineStr">
        <is>
          <t>1</t>
        </is>
      </c>
      <c r="O2179" t="inlineStr">
        <is>
          <t>16</t>
        </is>
      </c>
      <c r="P2179" t="inlineStr">
        <is>
          <t xml:space="preserve">235827  </t>
        </is>
      </c>
      <c r="Q2179" s="26" t="n">
        <v>19.9</v>
      </c>
      <c r="R2179" s="26">
        <f>Q2179*G2179</f>
        <v/>
      </c>
      <c r="S2179" t="n">
        <v>11.81</v>
      </c>
      <c r="T2179" s="18">
        <f>1 - V2179/S2179</f>
        <v/>
      </c>
      <c r="U2179" s="18" t="n">
        <v>0</v>
      </c>
      <c r="V2179" s="26" t="n">
        <v>11.81</v>
      </c>
      <c r="W2179" s="26">
        <f>V2179 - L2179</f>
        <v/>
      </c>
    </row>
    <row r="2180">
      <c r="A2180" s="11" t="n">
        <v>46225</v>
      </c>
      <c r="B2180" s="1" t="n">
        <v>20077</v>
      </c>
      <c r="C2180" s="1" t="inlineStr">
        <is>
          <t>026</t>
        </is>
      </c>
      <c r="D2180" s="1" t="inlineStr">
        <is>
          <t>109245</t>
        </is>
      </c>
      <c r="E2180" s="1" t="inlineStr">
        <is>
          <t xml:space="preserve">30141766       </t>
        </is>
      </c>
      <c r="F2180" s="5" t="inlineStr">
        <is>
          <t>TMZ BEAST MACHINES AUTOS DE METAL BLISTER X 1</t>
        </is>
      </c>
      <c r="G2180" t="n">
        <v>1</v>
      </c>
      <c r="H2180" s="7" t="n">
        <v>7.9</v>
      </c>
      <c r="I2180" s="7" t="n">
        <v>0</v>
      </c>
      <c r="J2180" s="7" t="n">
        <v>0</v>
      </c>
      <c r="K2180" s="9" t="n">
        <v>0</v>
      </c>
      <c r="L2180" s="10" t="n">
        <v>4.68</v>
      </c>
      <c r="M2180" s="10" t="n">
        <v>1.43</v>
      </c>
      <c r="N2180" t="inlineStr">
        <is>
          <t>1</t>
        </is>
      </c>
      <c r="O2180" t="inlineStr">
        <is>
          <t>16</t>
        </is>
      </c>
      <c r="P2180" t="inlineStr">
        <is>
          <t xml:space="preserve">61615   </t>
        </is>
      </c>
      <c r="Q2180" s="26" t="n">
        <v>7.9</v>
      </c>
      <c r="R2180" s="26">
        <f>Q2180*G2180</f>
        <v/>
      </c>
      <c r="S2180" t="n">
        <v>4.69</v>
      </c>
      <c r="T2180" s="18">
        <f>1 - V2180/S2180</f>
        <v/>
      </c>
      <c r="U2180" s="18" t="n">
        <v>0</v>
      </c>
      <c r="V2180" s="26" t="n">
        <v>4.69</v>
      </c>
      <c r="W2180" s="26">
        <f>V2180 - L2180</f>
        <v/>
      </c>
    </row>
    <row r="2181">
      <c r="A2181" s="11" t="n">
        <v>46225</v>
      </c>
      <c r="B2181" s="1" t="n">
        <v>20078</v>
      </c>
      <c r="C2181" s="1" t="inlineStr">
        <is>
          <t>192</t>
        </is>
      </c>
      <c r="D2181" s="1" t="inlineStr">
        <is>
          <t>274682</t>
        </is>
      </c>
      <c r="E2181" s="1" t="inlineStr">
        <is>
          <t xml:space="preserve">32656408       </t>
        </is>
      </c>
      <c r="F2181" s="5" t="inlineStr">
        <is>
          <t>VIP PETS INFLUENCER</t>
        </is>
      </c>
      <c r="G2181" t="n">
        <v>1</v>
      </c>
      <c r="H2181" s="7" t="n">
        <v>77.40000000000001</v>
      </c>
      <c r="I2181" s="7" t="n">
        <v>0</v>
      </c>
      <c r="J2181" s="7" t="n">
        <v>0</v>
      </c>
      <c r="K2181" s="9" t="n">
        <v>0</v>
      </c>
      <c r="L2181" s="10" t="n">
        <v>45.91</v>
      </c>
      <c r="M2181" s="10" t="n">
        <v>1.43</v>
      </c>
      <c r="N2181" t="inlineStr">
        <is>
          <t>1</t>
        </is>
      </c>
      <c r="O2181" t="inlineStr">
        <is>
          <t xml:space="preserve">2 </t>
        </is>
      </c>
      <c r="P2181" t="inlineStr">
        <is>
          <t xml:space="preserve">70416   </t>
        </is>
      </c>
      <c r="Q2181" s="26" t="n">
        <v>129</v>
      </c>
      <c r="R2181" s="26">
        <f>Q2181*G2181</f>
        <v/>
      </c>
      <c r="S2181" t="n">
        <v>76.53</v>
      </c>
      <c r="T2181" s="18">
        <f>1 - V2181/S2181</f>
        <v/>
      </c>
      <c r="U2181" s="18" t="n">
        <v>0.3999999999999999</v>
      </c>
      <c r="V2181" s="26" t="n">
        <v>55.75457627118644</v>
      </c>
      <c r="W2181" s="26">
        <f>V2181 - L2181</f>
        <v/>
      </c>
    </row>
    <row r="2182">
      <c r="A2182" s="11" t="n">
        <v>46225</v>
      </c>
      <c r="B2182" s="1" t="n">
        <v>20079</v>
      </c>
      <c r="C2182" s="1" t="inlineStr">
        <is>
          <t>051</t>
        </is>
      </c>
      <c r="D2182" s="1" t="inlineStr">
        <is>
          <t>236745</t>
        </is>
      </c>
      <c r="E2182" s="1" t="inlineStr">
        <is>
          <t xml:space="preserve">32457111       </t>
        </is>
      </c>
      <c r="F2182" s="5" t="inlineStr">
        <is>
          <t>TMZ BEAST MACHINES MONSTER JAWS A FRICCION PACK DE</t>
        </is>
      </c>
      <c r="G2182" t="n">
        <v>1</v>
      </c>
      <c r="H2182" s="7" t="n">
        <v>54.9</v>
      </c>
      <c r="I2182" s="7" t="n">
        <v>0</v>
      </c>
      <c r="J2182" s="7" t="n">
        <v>0</v>
      </c>
      <c r="K2182" s="9" t="n">
        <v>0</v>
      </c>
      <c r="L2182" s="10" t="n">
        <v>32.57</v>
      </c>
      <c r="M2182" s="10" t="n">
        <v>1.43</v>
      </c>
      <c r="N2182" t="inlineStr">
        <is>
          <t>1</t>
        </is>
      </c>
      <c r="O2182" t="inlineStr">
        <is>
          <t>16</t>
        </is>
      </c>
      <c r="P2182" t="inlineStr">
        <is>
          <t xml:space="preserve">97404   </t>
        </is>
      </c>
      <c r="Q2182" s="26" t="n">
        <v>74.90000000000001</v>
      </c>
      <c r="R2182" s="26">
        <f>Q2182*G2182</f>
        <v/>
      </c>
      <c r="S2182" t="n">
        <v>44.43</v>
      </c>
      <c r="T2182" s="18">
        <f>1 - V2182/S2182</f>
        <v/>
      </c>
      <c r="U2182" s="18" t="n">
        <v>0.2670226969292391</v>
      </c>
      <c r="V2182" s="26" t="n">
        <v>31.92406779661017</v>
      </c>
      <c r="W2182" s="26">
        <f>V2182 - L2182</f>
        <v/>
      </c>
    </row>
    <row r="2183">
      <c r="A2183" s="11" t="n">
        <v>46225</v>
      </c>
      <c r="B2183" s="1" t="n">
        <v>20079</v>
      </c>
      <c r="C2183" s="1" t="inlineStr">
        <is>
          <t>051</t>
        </is>
      </c>
      <c r="D2183" s="1" t="inlineStr">
        <is>
          <t>236753</t>
        </is>
      </c>
      <c r="E2183" s="1" t="inlineStr">
        <is>
          <t xml:space="preserve">31754676       </t>
        </is>
      </c>
      <c r="F2183" s="5" t="inlineStr">
        <is>
          <t>INFINITY NADO SERIE 6 STD PACK LANZ ESPAD ANILLO M</t>
        </is>
      </c>
      <c r="G2183" t="n">
        <v>1</v>
      </c>
      <c r="H2183" s="7" t="n">
        <v>59.9</v>
      </c>
      <c r="I2183" s="7" t="n">
        <v>0</v>
      </c>
      <c r="J2183" s="7" t="n">
        <v>0</v>
      </c>
      <c r="K2183" s="9" t="n">
        <v>0</v>
      </c>
      <c r="L2183" s="10" t="n">
        <v>35.53</v>
      </c>
      <c r="M2183" s="10" t="n">
        <v>1.43</v>
      </c>
      <c r="N2183" t="inlineStr">
        <is>
          <t>1</t>
        </is>
      </c>
      <c r="O2183" t="inlineStr">
        <is>
          <t>16</t>
        </is>
      </c>
      <c r="P2183" t="inlineStr">
        <is>
          <t xml:space="preserve">97404   </t>
        </is>
      </c>
      <c r="Q2183" s="26" t="n">
        <v>79.90000000000001</v>
      </c>
      <c r="R2183" s="26">
        <f>Q2183*G2183</f>
        <v/>
      </c>
      <c r="S2183" t="n">
        <v>47.4</v>
      </c>
      <c r="T2183" s="18">
        <f>1 - V2183/S2183</f>
        <v/>
      </c>
      <c r="U2183" s="18" t="n">
        <v>0.2503128911138924</v>
      </c>
      <c r="V2183" s="26" t="n">
        <v>38.07203389830509</v>
      </c>
      <c r="W2183" s="26">
        <f>V2183 - L2183</f>
        <v/>
      </c>
    </row>
    <row r="2184">
      <c r="A2184" s="11" t="n">
        <v>46225</v>
      </c>
      <c r="B2184" s="1" t="n">
        <v>20086</v>
      </c>
      <c r="C2184" s="1" t="inlineStr">
        <is>
          <t>022</t>
        </is>
      </c>
      <c r="D2184" s="1" t="inlineStr">
        <is>
          <t>113306</t>
        </is>
      </c>
      <c r="E2184" s="1" t="inlineStr">
        <is>
          <t xml:space="preserve">28194770       </t>
        </is>
      </c>
      <c r="F2184" s="5" t="inlineStr">
        <is>
          <t>AUTOS DE METAL 3 TEAMSTERZ EN BLISTER</t>
        </is>
      </c>
      <c r="G2184" t="n">
        <v>1</v>
      </c>
      <c r="H2184" s="7" t="n">
        <v>6.9</v>
      </c>
      <c r="I2184" s="7" t="n">
        <v>0</v>
      </c>
      <c r="J2184" s="7" t="n">
        <v>0</v>
      </c>
      <c r="K2184" s="9" t="n">
        <v>0</v>
      </c>
      <c r="L2184" s="10" t="n">
        <v>4.1</v>
      </c>
      <c r="M2184" s="10" t="n">
        <v>1.43</v>
      </c>
      <c r="N2184" t="inlineStr">
        <is>
          <t>1</t>
        </is>
      </c>
      <c r="O2184" t="inlineStr">
        <is>
          <t xml:space="preserve">2 </t>
        </is>
      </c>
      <c r="P2184" t="inlineStr">
        <is>
          <t xml:space="preserve">231840  </t>
        </is>
      </c>
      <c r="Q2184" s="26" t="n">
        <v>6.9</v>
      </c>
      <c r="R2184" s="26">
        <f>Q2184*G2184</f>
        <v/>
      </c>
      <c r="S2184" t="n">
        <v>4.09</v>
      </c>
      <c r="T2184" s="18">
        <f>1 - V2184/S2184</f>
        <v/>
      </c>
      <c r="U2184" s="18" t="n">
        <v>0</v>
      </c>
      <c r="V2184" s="26" t="n">
        <v>4.09</v>
      </c>
      <c r="W2184" s="26">
        <f>V2184 - L2184</f>
        <v/>
      </c>
    </row>
    <row r="2185">
      <c r="A2185" s="11" t="n">
        <v>46225</v>
      </c>
      <c r="B2185" s="1" t="n">
        <v>20088</v>
      </c>
      <c r="C2185" s="1" t="inlineStr">
        <is>
          <t>021</t>
        </is>
      </c>
      <c r="D2185" s="1" t="inlineStr">
        <is>
          <t xml:space="preserve">49759 </t>
        </is>
      </c>
      <c r="E2185" s="1" t="inlineStr">
        <is>
          <t xml:space="preserve">28194784       </t>
        </is>
      </c>
      <c r="F2185" s="5" t="inlineStr">
        <is>
          <t>SET DE ACROBACIAS INFINITY NADO CON TROMPO</t>
        </is>
      </c>
      <c r="G2185" t="n">
        <v>1</v>
      </c>
      <c r="H2185" s="7" t="n">
        <v>139</v>
      </c>
      <c r="I2185" s="7" t="n">
        <v>0</v>
      </c>
      <c r="J2185" s="7" t="n">
        <v>0</v>
      </c>
      <c r="K2185" s="9" t="n">
        <v>0</v>
      </c>
      <c r="L2185" s="10" t="n">
        <v>82.45999999999999</v>
      </c>
      <c r="M2185" s="10" t="n">
        <v>1.43</v>
      </c>
      <c r="N2185" t="inlineStr">
        <is>
          <t>1</t>
        </is>
      </c>
      <c r="O2185" t="inlineStr">
        <is>
          <t>16</t>
        </is>
      </c>
      <c r="P2185" t="inlineStr">
        <is>
          <t xml:space="preserve">249601  </t>
        </is>
      </c>
      <c r="Q2185" s="26" t="n">
        <v>179</v>
      </c>
      <c r="R2185" s="26">
        <f>Q2185*G2185</f>
        <v/>
      </c>
      <c r="S2185" t="n">
        <v>106.19</v>
      </c>
      <c r="T2185" s="18">
        <f>1 - V2185/S2185</f>
        <v/>
      </c>
      <c r="U2185" s="18" t="n">
        <v>0.223463687150838</v>
      </c>
      <c r="V2185" s="26" t="n">
        <v>88.34745762711864</v>
      </c>
      <c r="W2185" s="26">
        <f>V2185 - L2185</f>
        <v/>
      </c>
    </row>
    <row r="2186">
      <c r="A2186" s="11" t="n">
        <v>46225</v>
      </c>
      <c r="B2186" s="1" t="n">
        <v>20088</v>
      </c>
      <c r="C2186" s="1" t="inlineStr">
        <is>
          <t>021</t>
        </is>
      </c>
      <c r="D2186" s="1" t="inlineStr">
        <is>
          <t xml:space="preserve">49759 </t>
        </is>
      </c>
      <c r="E2186" s="1" t="inlineStr">
        <is>
          <t xml:space="preserve">30232284       </t>
        </is>
      </c>
      <c r="F2186" s="5" t="inlineStr">
        <is>
          <t>INFINITY NADO TROMPO DE BATALLA - METAL C/PUNTA DE</t>
        </is>
      </c>
      <c r="G2186" t="n">
        <v>1</v>
      </c>
      <c r="H2186" s="7" t="n">
        <v>34.9</v>
      </c>
      <c r="I2186" s="7" t="n">
        <v>0</v>
      </c>
      <c r="J2186" s="7" t="n">
        <v>0</v>
      </c>
      <c r="K2186" s="9" t="n">
        <v>0</v>
      </c>
      <c r="L2186" s="10" t="n">
        <v>20.71</v>
      </c>
      <c r="M2186" s="10" t="n">
        <v>1.43</v>
      </c>
      <c r="N2186" t="inlineStr">
        <is>
          <t>1</t>
        </is>
      </c>
      <c r="O2186" t="inlineStr">
        <is>
          <t>16</t>
        </is>
      </c>
      <c r="P2186" t="inlineStr">
        <is>
          <t xml:space="preserve">249601  </t>
        </is>
      </c>
      <c r="Q2186" s="26" t="n">
        <v>49.9</v>
      </c>
      <c r="R2186" s="26">
        <f>Q2186*G2186</f>
        <v/>
      </c>
      <c r="S2186" t="n">
        <v>29.6</v>
      </c>
      <c r="T2186" s="18">
        <f>1 - V2186/S2186</f>
        <v/>
      </c>
      <c r="U2186" s="18" t="n">
        <v>0.3006012024048096</v>
      </c>
      <c r="V2186" s="26" t="n">
        <v>22.18220338983051</v>
      </c>
      <c r="W2186" s="26">
        <f>V2186 - L2186</f>
        <v/>
      </c>
    </row>
    <row r="2187">
      <c r="A2187" s="11" t="n">
        <v>46225</v>
      </c>
      <c r="B2187" s="1" t="n">
        <v>20088</v>
      </c>
      <c r="C2187" s="1" t="inlineStr">
        <is>
          <t>021</t>
        </is>
      </c>
      <c r="D2187" s="1" t="inlineStr">
        <is>
          <t xml:space="preserve">49765 </t>
        </is>
      </c>
      <c r="E2187" s="1" t="inlineStr">
        <is>
          <t xml:space="preserve">28194769       </t>
        </is>
      </c>
      <c r="F2187" s="5" t="inlineStr">
        <is>
          <t>AUTOS DE METAL 3 TEAMSTERZ PACK DE 2</t>
        </is>
      </c>
      <c r="G2187" t="n">
        <v>1</v>
      </c>
      <c r="H2187" s="7" t="n">
        <v>13.8</v>
      </c>
      <c r="I2187" s="7" t="n">
        <v>0</v>
      </c>
      <c r="J2187" s="7" t="n">
        <v>0</v>
      </c>
      <c r="K2187" s="9" t="n">
        <v>0</v>
      </c>
      <c r="L2187" s="10" t="n">
        <v>8.18</v>
      </c>
      <c r="M2187" s="10" t="n">
        <v>1.43</v>
      </c>
      <c r="N2187" t="inlineStr">
        <is>
          <t>1</t>
        </is>
      </c>
      <c r="O2187" t="inlineStr">
        <is>
          <t xml:space="preserve">2 </t>
        </is>
      </c>
      <c r="P2187" t="inlineStr">
        <is>
          <t xml:space="preserve">249601  </t>
        </is>
      </c>
      <c r="Q2187" s="26" t="n">
        <v>13.8</v>
      </c>
      <c r="R2187" s="26">
        <f>Q2187*G2187</f>
        <v/>
      </c>
      <c r="S2187" t="n">
        <v>8.19</v>
      </c>
      <c r="T2187" s="18">
        <f>1 - V2187/S2187</f>
        <v/>
      </c>
      <c r="U2187" s="18" t="n">
        <v>0</v>
      </c>
      <c r="V2187" s="26" t="n">
        <v>8.19</v>
      </c>
      <c r="W2187" s="26">
        <f>V2187 - L2187</f>
        <v/>
      </c>
    </row>
    <row r="2188">
      <c r="A2188" s="11" t="n">
        <v>46225</v>
      </c>
      <c r="B2188" s="1" t="n">
        <v>20088</v>
      </c>
      <c r="C2188" s="1" t="inlineStr">
        <is>
          <t>023</t>
        </is>
      </c>
      <c r="D2188" s="1" t="inlineStr">
        <is>
          <t>127632</t>
        </is>
      </c>
      <c r="E2188" s="1" t="inlineStr">
        <is>
          <t xml:space="preserve">32457104       </t>
        </is>
      </c>
      <c r="F2188" s="5" t="inlineStr">
        <is>
          <t>TMZ BEAST MACHINES PLAYSET DESASTRE REPTIL + 1 AUT</t>
        </is>
      </c>
      <c r="G2188" t="n">
        <v>1</v>
      </c>
      <c r="H2188" s="7" t="n">
        <v>49.9</v>
      </c>
      <c r="I2188" s="7" t="n">
        <v>0</v>
      </c>
      <c r="J2188" s="7" t="n">
        <v>0</v>
      </c>
      <c r="K2188" s="9" t="n">
        <v>0</v>
      </c>
      <c r="L2188" s="10" t="n">
        <v>29.6</v>
      </c>
      <c r="M2188" s="10" t="n">
        <v>1.43</v>
      </c>
      <c r="N2188" t="inlineStr">
        <is>
          <t>1</t>
        </is>
      </c>
      <c r="O2188" t="inlineStr">
        <is>
          <t xml:space="preserve">2 </t>
        </is>
      </c>
      <c r="P2188" t="inlineStr">
        <is>
          <t xml:space="preserve">232153  </t>
        </is>
      </c>
      <c r="Q2188" s="26" t="n">
        <v>69.90000000000001</v>
      </c>
      <c r="R2188" s="26">
        <f>Q2188*G2188</f>
        <v/>
      </c>
      <c r="S2188" t="n">
        <v>41.47</v>
      </c>
      <c r="T2188" s="18">
        <f>1 - V2188/S2188</f>
        <v/>
      </c>
      <c r="U2188" s="18" t="n">
        <v>0.2861230329041489</v>
      </c>
      <c r="V2188" s="26" t="n">
        <v>31.71610169491525</v>
      </c>
      <c r="W2188" s="26">
        <f>V2188 - L2188</f>
        <v/>
      </c>
    </row>
    <row r="2189">
      <c r="A2189" s="11" t="n">
        <v>46225</v>
      </c>
      <c r="B2189" s="1" t="n">
        <v>20088</v>
      </c>
      <c r="C2189" s="1" t="inlineStr">
        <is>
          <t>023</t>
        </is>
      </c>
      <c r="D2189" s="1" t="inlineStr">
        <is>
          <t>127662</t>
        </is>
      </c>
      <c r="E2189" s="1" t="inlineStr">
        <is>
          <t xml:space="preserve">28194770       </t>
        </is>
      </c>
      <c r="F2189" s="5" t="inlineStr">
        <is>
          <t>AUTOS DE METAL 3 TEAMSTERZ EN BLISTER</t>
        </is>
      </c>
      <c r="G2189" t="n">
        <v>1</v>
      </c>
      <c r="H2189" s="7" t="n">
        <v>6.9</v>
      </c>
      <c r="I2189" s="7" t="n">
        <v>0</v>
      </c>
      <c r="J2189" s="7" t="n">
        <v>0</v>
      </c>
      <c r="K2189" s="9" t="n">
        <v>0</v>
      </c>
      <c r="L2189" s="10" t="n">
        <v>4.1</v>
      </c>
      <c r="M2189" s="10" t="n">
        <v>1.43</v>
      </c>
      <c r="N2189" t="inlineStr">
        <is>
          <t>1</t>
        </is>
      </c>
      <c r="O2189" t="inlineStr">
        <is>
          <t>16</t>
        </is>
      </c>
      <c r="P2189" t="inlineStr">
        <is>
          <t xml:space="preserve">232153  </t>
        </is>
      </c>
      <c r="Q2189" s="26" t="n">
        <v>6.9</v>
      </c>
      <c r="R2189" s="26">
        <f>Q2189*G2189</f>
        <v/>
      </c>
      <c r="S2189" t="n">
        <v>4.09</v>
      </c>
      <c r="T2189" s="18">
        <f>1 - V2189/S2189</f>
        <v/>
      </c>
      <c r="U2189" s="18" t="n">
        <v>0</v>
      </c>
      <c r="V2189" s="26" t="n">
        <v>4.09</v>
      </c>
      <c r="W2189" s="26">
        <f>V2189 - L2189</f>
        <v/>
      </c>
    </row>
    <row r="2190">
      <c r="A2190" s="11" t="n">
        <v>46225</v>
      </c>
      <c r="B2190" s="1" t="n">
        <v>20088</v>
      </c>
      <c r="C2190" s="1" t="inlineStr">
        <is>
          <t>023</t>
        </is>
      </c>
      <c r="D2190" s="1" t="inlineStr">
        <is>
          <t>127662</t>
        </is>
      </c>
      <c r="E2190" s="1" t="inlineStr">
        <is>
          <t xml:space="preserve">30232284       </t>
        </is>
      </c>
      <c r="F2190" s="5" t="inlineStr">
        <is>
          <t>INFINITY NADO TROMPO DE BATALLA - METAL C/PUNTA DE</t>
        </is>
      </c>
      <c r="G2190" t="n">
        <v>1</v>
      </c>
      <c r="H2190" s="7" t="n">
        <v>34.9</v>
      </c>
      <c r="I2190" s="7" t="n">
        <v>0</v>
      </c>
      <c r="J2190" s="7" t="n">
        <v>0</v>
      </c>
      <c r="K2190" s="9" t="n">
        <v>0</v>
      </c>
      <c r="L2190" s="10" t="n">
        <v>20.71</v>
      </c>
      <c r="M2190" s="10" t="n">
        <v>1.43</v>
      </c>
      <c r="N2190" t="inlineStr">
        <is>
          <t>1</t>
        </is>
      </c>
      <c r="O2190" t="inlineStr">
        <is>
          <t>16</t>
        </is>
      </c>
      <c r="P2190" t="inlineStr">
        <is>
          <t xml:space="preserve">232153  </t>
        </is>
      </c>
      <c r="Q2190" s="26" t="n">
        <v>49.9</v>
      </c>
      <c r="R2190" s="26">
        <f>Q2190*G2190</f>
        <v/>
      </c>
      <c r="S2190" t="n">
        <v>29.6</v>
      </c>
      <c r="T2190" s="18">
        <f>1 - V2190/S2190</f>
        <v/>
      </c>
      <c r="U2190" s="18" t="n">
        <v>0.3006012024048096</v>
      </c>
      <c r="V2190" s="26" t="n">
        <v>22.18220338983051</v>
      </c>
      <c r="W2190" s="26">
        <f>V2190 - L2190</f>
        <v/>
      </c>
    </row>
    <row r="2191">
      <c r="A2191" s="11" t="n">
        <v>46225</v>
      </c>
      <c r="B2191" s="1" t="n">
        <v>20089</v>
      </c>
      <c r="C2191" s="1" t="inlineStr">
        <is>
          <t>025</t>
        </is>
      </c>
      <c r="D2191" s="1" t="inlineStr">
        <is>
          <t>122329</t>
        </is>
      </c>
      <c r="E2191" s="1" t="inlineStr">
        <is>
          <t xml:space="preserve">29235702       </t>
        </is>
      </c>
      <c r="F2191" s="5" t="inlineStr">
        <is>
          <t>INFINITY NADO TROMPO DE BATALLA - METAL C/ ANILLO</t>
        </is>
      </c>
      <c r="G2191" t="n">
        <v>1</v>
      </c>
      <c r="H2191" s="7" t="n">
        <v>49.9</v>
      </c>
      <c r="I2191" s="7" t="n">
        <v>0</v>
      </c>
      <c r="J2191" s="7" t="n">
        <v>0</v>
      </c>
      <c r="K2191" s="9" t="n">
        <v>0</v>
      </c>
      <c r="L2191" s="10" t="n">
        <v>29.6</v>
      </c>
      <c r="M2191" s="10" t="n">
        <v>1.43</v>
      </c>
      <c r="N2191" t="inlineStr">
        <is>
          <t>1</t>
        </is>
      </c>
      <c r="O2191" t="inlineStr">
        <is>
          <t>16</t>
        </is>
      </c>
      <c r="P2191" t="inlineStr">
        <is>
          <t xml:space="preserve">101864  </t>
        </is>
      </c>
      <c r="Q2191" s="26" t="n">
        <v>69.90000000000001</v>
      </c>
      <c r="R2191" s="26">
        <f>Q2191*G2191</f>
        <v/>
      </c>
      <c r="S2191" t="n">
        <v>41.47</v>
      </c>
      <c r="T2191" s="18">
        <f>1 - V2191/S2191</f>
        <v/>
      </c>
      <c r="U2191" s="18" t="n">
        <v>0.2861230329041489</v>
      </c>
      <c r="V2191" s="26" t="n">
        <v>31.71610169491525</v>
      </c>
      <c r="W2191" s="26">
        <f>V2191 - L2191</f>
        <v/>
      </c>
    </row>
    <row r="2192">
      <c r="A2192" s="11" t="n">
        <v>46225</v>
      </c>
      <c r="B2192" s="1" t="n">
        <v>20089</v>
      </c>
      <c r="C2192" s="1" t="inlineStr">
        <is>
          <t>025</t>
        </is>
      </c>
      <c r="D2192" s="1" t="inlineStr">
        <is>
          <t>122342</t>
        </is>
      </c>
      <c r="E2192" s="1" t="inlineStr">
        <is>
          <t xml:space="preserve">31754675       </t>
        </is>
      </c>
      <c r="F2192" s="5" t="inlineStr">
        <is>
          <t>INFINITY NADO SERIE 6 STARTER PACK - 4 MODELOS</t>
        </is>
      </c>
      <c r="G2192" t="n">
        <v>1</v>
      </c>
      <c r="H2192" s="7" t="n">
        <v>49.9</v>
      </c>
      <c r="I2192" s="7" t="n">
        <v>0</v>
      </c>
      <c r="J2192" s="7" t="n">
        <v>0</v>
      </c>
      <c r="K2192" s="9" t="n">
        <v>0</v>
      </c>
      <c r="L2192" s="10" t="n">
        <v>29.6</v>
      </c>
      <c r="M2192" s="10" t="n">
        <v>1.43</v>
      </c>
      <c r="N2192" t="inlineStr">
        <is>
          <t>1</t>
        </is>
      </c>
      <c r="O2192" t="inlineStr">
        <is>
          <t>16</t>
        </is>
      </c>
      <c r="P2192" t="inlineStr">
        <is>
          <t xml:space="preserve">101864  </t>
        </is>
      </c>
      <c r="Q2192" s="26" t="n">
        <v>69.90000000000001</v>
      </c>
      <c r="R2192" s="26">
        <f>Q2192*G2192</f>
        <v/>
      </c>
      <c r="S2192" t="n">
        <v>41.47</v>
      </c>
      <c r="T2192" s="18">
        <f>1 - V2192/S2192</f>
        <v/>
      </c>
      <c r="U2192" s="18" t="n">
        <v>0.2861230329041489</v>
      </c>
      <c r="V2192" s="26" t="n">
        <v>31.71610169491525</v>
      </c>
      <c r="W2192" s="26">
        <f>V2192 - L2192</f>
        <v/>
      </c>
    </row>
    <row r="2193">
      <c r="A2193" s="11" t="n">
        <v>46225</v>
      </c>
      <c r="B2193" s="1" t="n">
        <v>20089</v>
      </c>
      <c r="C2193" s="1" t="inlineStr">
        <is>
          <t>027</t>
        </is>
      </c>
      <c r="D2193" s="1" t="inlineStr">
        <is>
          <t xml:space="preserve">16119 </t>
        </is>
      </c>
      <c r="E2193" s="1" t="inlineStr">
        <is>
          <t xml:space="preserve">31959961       </t>
        </is>
      </c>
      <c r="F2193" s="5" t="inlineStr">
        <is>
          <t>TEAMSTERZ CAMBIA DE COLOR PACK DE 3 AUTOS</t>
        </is>
      </c>
      <c r="G2193" t="n">
        <v>1</v>
      </c>
      <c r="H2193" s="7" t="n">
        <v>49.9</v>
      </c>
      <c r="I2193" s="7" t="n">
        <v>0</v>
      </c>
      <c r="J2193" s="7" t="n">
        <v>0</v>
      </c>
      <c r="K2193" s="9" t="n">
        <v>0</v>
      </c>
      <c r="L2193" s="10" t="n">
        <v>29.6</v>
      </c>
      <c r="M2193" s="10" t="n">
        <v>1.43</v>
      </c>
      <c r="N2193" t="inlineStr">
        <is>
          <t>1</t>
        </is>
      </c>
      <c r="O2193" t="inlineStr">
        <is>
          <t xml:space="preserve">2 </t>
        </is>
      </c>
      <c r="P2193" t="inlineStr">
        <is>
          <t xml:space="preserve">82992   </t>
        </is>
      </c>
      <c r="Q2193" s="26" t="n">
        <v>49.9</v>
      </c>
      <c r="R2193" s="26">
        <f>Q2193*G2193</f>
        <v/>
      </c>
      <c r="S2193" t="n">
        <v>29.6</v>
      </c>
      <c r="T2193" s="18">
        <f>1 - V2193/S2193</f>
        <v/>
      </c>
      <c r="U2193" s="18" t="n">
        <v>0</v>
      </c>
      <c r="V2193" s="26" t="n">
        <v>29.6</v>
      </c>
      <c r="W2193" s="26">
        <f>V2193 - L2193</f>
        <v/>
      </c>
    </row>
    <row r="2194">
      <c r="A2194" s="11" t="n">
        <v>46225</v>
      </c>
      <c r="B2194" s="1" t="n">
        <v>20089</v>
      </c>
      <c r="C2194" s="1" t="inlineStr">
        <is>
          <t>027</t>
        </is>
      </c>
      <c r="D2194" s="1" t="inlineStr">
        <is>
          <t xml:space="preserve">16158 </t>
        </is>
      </c>
      <c r="E2194" s="1" t="inlineStr">
        <is>
          <t xml:space="preserve">34840552       </t>
        </is>
      </c>
      <c r="F2194" s="5" t="inlineStr">
        <is>
          <t>TMZ HELI POLICIA CON LUCES Y SONIDOS</t>
        </is>
      </c>
      <c r="G2194" t="n">
        <v>1</v>
      </c>
      <c r="H2194" s="7" t="n">
        <v>79.90000000000001</v>
      </c>
      <c r="I2194" s="7" t="n">
        <v>0</v>
      </c>
      <c r="J2194" s="7" t="n">
        <v>0</v>
      </c>
      <c r="K2194" s="9" t="n">
        <v>0</v>
      </c>
      <c r="L2194" s="10" t="n">
        <v>47.4</v>
      </c>
      <c r="M2194" s="10" t="n">
        <v>1.43</v>
      </c>
      <c r="N2194" t="inlineStr">
        <is>
          <t>1</t>
        </is>
      </c>
      <c r="O2194" t="inlineStr">
        <is>
          <t>16</t>
        </is>
      </c>
      <c r="P2194" t="inlineStr">
        <is>
          <t xml:space="preserve">82992   </t>
        </is>
      </c>
      <c r="Q2194" s="26" t="n">
        <v>79.90000000000002</v>
      </c>
      <c r="R2194" s="26">
        <f>Q2194*G2194</f>
        <v/>
      </c>
      <c r="S2194" t="n">
        <v>47.4</v>
      </c>
      <c r="T2194" s="18">
        <f>1 - V2194/S2194</f>
        <v/>
      </c>
      <c r="U2194" s="18" t="n">
        <v>0</v>
      </c>
      <c r="V2194" s="26" t="n">
        <v>47.4</v>
      </c>
      <c r="W2194" s="26">
        <f>V2194 - L2194</f>
        <v/>
      </c>
    </row>
    <row r="2195">
      <c r="A2195" s="11" t="n">
        <v>46225</v>
      </c>
      <c r="B2195" s="1" t="n">
        <v>20089</v>
      </c>
      <c r="C2195" s="1" t="inlineStr">
        <is>
          <t>860</t>
        </is>
      </c>
      <c r="D2195" s="1" t="inlineStr">
        <is>
          <t xml:space="preserve">9765  </t>
        </is>
      </c>
      <c r="E2195" s="1" t="inlineStr">
        <is>
          <t xml:space="preserve">31754677       </t>
        </is>
      </c>
      <c r="F2195" s="5" t="inlineStr">
        <is>
          <t>INFINITY NADO SERIE 6 SET DE BATALL</t>
        </is>
      </c>
      <c r="G2195" t="n">
        <v>1</v>
      </c>
      <c r="H2195" s="7" t="n">
        <v>149</v>
      </c>
      <c r="I2195" s="7" t="n">
        <v>0</v>
      </c>
      <c r="J2195" s="7" t="n">
        <v>0</v>
      </c>
      <c r="K2195" s="9" t="n">
        <v>0</v>
      </c>
      <c r="L2195" s="10" t="n">
        <v>88.39</v>
      </c>
      <c r="M2195" s="10" t="n">
        <v>1.43</v>
      </c>
      <c r="N2195" t="inlineStr">
        <is>
          <t>1</t>
        </is>
      </c>
      <c r="O2195" t="inlineStr">
        <is>
          <t>16</t>
        </is>
      </c>
      <c r="P2195" t="inlineStr">
        <is>
          <t xml:space="preserve">0       </t>
        </is>
      </c>
      <c r="Q2195" s="26" t="n">
        <v>189</v>
      </c>
      <c r="R2195" s="26">
        <f>Q2195*G2195</f>
        <v/>
      </c>
      <c r="S2195" t="n">
        <v>112.12</v>
      </c>
      <c r="T2195" s="18">
        <f>1 - V2195/S2195</f>
        <v/>
      </c>
      <c r="U2195" s="18" t="n">
        <v>0.2116402116402116</v>
      </c>
      <c r="V2195" s="26" t="n">
        <v>94.70338983050848</v>
      </c>
      <c r="W2195" s="26">
        <f>V2195 - L2195</f>
        <v/>
      </c>
    </row>
    <row r="2196">
      <c r="A2196" s="11" t="n">
        <v>46225</v>
      </c>
      <c r="B2196" s="1" t="n">
        <v>20089</v>
      </c>
      <c r="C2196" s="1" t="inlineStr">
        <is>
          <t>862</t>
        </is>
      </c>
      <c r="D2196" s="1" t="inlineStr">
        <is>
          <t xml:space="preserve">8724  </t>
        </is>
      </c>
      <c r="E2196" s="1" t="inlineStr">
        <is>
          <t xml:space="preserve">35685067       </t>
        </is>
      </c>
      <c r="F2196" s="5" t="inlineStr">
        <is>
          <t>HOT WHEELS POWER SET 3 EN 1</t>
        </is>
      </c>
      <c r="G2196" t="n">
        <v>1</v>
      </c>
      <c r="H2196" s="7" t="n">
        <v>49.9</v>
      </c>
      <c r="I2196" s="7" t="n">
        <v>0</v>
      </c>
      <c r="J2196" s="7" t="n">
        <v>0</v>
      </c>
      <c r="K2196" s="9" t="n">
        <v>0</v>
      </c>
      <c r="L2196" s="10" t="n">
        <v>29.6</v>
      </c>
      <c r="M2196" s="10" t="n">
        <v>1.43</v>
      </c>
      <c r="N2196" t="inlineStr">
        <is>
          <t>1</t>
        </is>
      </c>
      <c r="O2196" t="inlineStr">
        <is>
          <t>16</t>
        </is>
      </c>
      <c r="P2196" t="inlineStr">
        <is>
          <t xml:space="preserve">0       </t>
        </is>
      </c>
      <c r="Q2196" s="26" t="n">
        <v>49.9</v>
      </c>
      <c r="R2196" s="26">
        <f>Q2196*G2196</f>
        <v/>
      </c>
      <c r="S2196" t="n">
        <v>29.6</v>
      </c>
      <c r="T2196" s="18">
        <f>1 - V2196/S2196</f>
        <v/>
      </c>
      <c r="U2196" s="18" t="n">
        <v>0</v>
      </c>
      <c r="V2196" s="26" t="n">
        <v>29.6</v>
      </c>
      <c r="W2196" s="26">
        <f>V2196 - L2196</f>
        <v/>
      </c>
    </row>
    <row r="2197">
      <c r="A2197" s="11" t="n">
        <v>46225</v>
      </c>
      <c r="B2197" s="1" t="n">
        <v>20095</v>
      </c>
      <c r="C2197" s="1" t="inlineStr">
        <is>
          <t>043</t>
        </is>
      </c>
      <c r="D2197" s="1" t="inlineStr">
        <is>
          <t>108456</t>
        </is>
      </c>
      <c r="E2197" s="1" t="inlineStr">
        <is>
          <t xml:space="preserve">28194766       </t>
        </is>
      </c>
      <c r="F2197" s="5" t="inlineStr">
        <is>
          <t>CAMIONES TEAMSTERZ DE CIUDAD</t>
        </is>
      </c>
      <c r="G2197" t="n">
        <v>1</v>
      </c>
      <c r="H2197" s="7" t="n">
        <v>17.9</v>
      </c>
      <c r="I2197" s="7" t="n">
        <v>0</v>
      </c>
      <c r="J2197" s="7" t="n">
        <v>0</v>
      </c>
      <c r="K2197" s="9" t="n">
        <v>0</v>
      </c>
      <c r="L2197" s="10" t="n">
        <v>10.62</v>
      </c>
      <c r="M2197" s="10" t="n">
        <v>1.43</v>
      </c>
      <c r="N2197" t="inlineStr">
        <is>
          <t>1</t>
        </is>
      </c>
      <c r="O2197" t="inlineStr">
        <is>
          <t>16</t>
        </is>
      </c>
      <c r="P2197" t="inlineStr">
        <is>
          <t xml:space="preserve">250453  </t>
        </is>
      </c>
      <c r="Q2197" s="26" t="n">
        <v>17.9</v>
      </c>
      <c r="R2197" s="26">
        <f>Q2197*G2197</f>
        <v/>
      </c>
      <c r="S2197" t="n">
        <v>10.62</v>
      </c>
      <c r="T2197" s="18">
        <f>1 - V2197/S2197</f>
        <v/>
      </c>
      <c r="U2197" s="18" t="n">
        <v>0</v>
      </c>
      <c r="V2197" s="26" t="n">
        <v>10.62</v>
      </c>
      <c r="W2197" s="26">
        <f>V2197 - L2197</f>
        <v/>
      </c>
    </row>
    <row r="2198">
      <c r="A2198" s="11" t="n">
        <v>46226</v>
      </c>
      <c r="B2198" s="1" t="n">
        <v>20021</v>
      </c>
      <c r="C2198" s="1" t="inlineStr">
        <is>
          <t>065</t>
        </is>
      </c>
      <c r="D2198" s="1" t="inlineStr">
        <is>
          <t>174441</t>
        </is>
      </c>
      <c r="E2198" s="1" t="inlineStr">
        <is>
          <t xml:space="preserve">30141766       </t>
        </is>
      </c>
      <c r="F2198" s="5" t="inlineStr">
        <is>
          <t>TMZ BEAST MACHINES AUTOS DE METAL BLISTER X 1</t>
        </is>
      </c>
      <c r="G2198" t="n">
        <v>1</v>
      </c>
      <c r="H2198" s="7" t="n">
        <v>7.9</v>
      </c>
      <c r="I2198" s="7" t="n">
        <v>0.79</v>
      </c>
      <c r="J2198" s="7" t="n">
        <v>0</v>
      </c>
      <c r="K2198" s="9" t="n">
        <v>0.79</v>
      </c>
      <c r="L2198" s="10" t="n">
        <v>4.22</v>
      </c>
      <c r="M2198" s="10" t="n">
        <v>1.43</v>
      </c>
      <c r="N2198" t="inlineStr">
        <is>
          <t>1</t>
        </is>
      </c>
      <c r="O2198" t="inlineStr">
        <is>
          <t xml:space="preserve">3 </t>
        </is>
      </c>
      <c r="P2198" t="inlineStr">
        <is>
          <t xml:space="preserve">81066   </t>
        </is>
      </c>
      <c r="Q2198" s="26" t="n">
        <v>7.9</v>
      </c>
      <c r="R2198" s="26">
        <f>Q2198*G2198</f>
        <v/>
      </c>
      <c r="S2198" t="n">
        <v>4.69</v>
      </c>
      <c r="T2198" s="18">
        <f>1 - V2198/S2198</f>
        <v/>
      </c>
      <c r="U2198" s="18" t="n">
        <v>0</v>
      </c>
      <c r="V2198" s="26" t="n">
        <v>4.69</v>
      </c>
      <c r="W2198" s="26">
        <f>V2198 - L2198</f>
        <v/>
      </c>
    </row>
    <row r="2199">
      <c r="A2199" s="11" t="n">
        <v>46226</v>
      </c>
      <c r="B2199" s="1" t="n">
        <v>20021</v>
      </c>
      <c r="C2199" s="1" t="inlineStr">
        <is>
          <t>065</t>
        </is>
      </c>
      <c r="D2199" s="1" t="inlineStr">
        <is>
          <t>174441</t>
        </is>
      </c>
      <c r="E2199" s="1" t="inlineStr">
        <is>
          <t xml:space="preserve">30141766       </t>
        </is>
      </c>
      <c r="F2199" s="5" t="inlineStr">
        <is>
          <t>TMZ BEAST MACHINES AUTOS DE METAL BLISTER X 1</t>
        </is>
      </c>
      <c r="G2199" t="n">
        <v>1</v>
      </c>
      <c r="H2199" s="7" t="n">
        <v>7.9</v>
      </c>
      <c r="I2199" s="7" t="n">
        <v>0.79</v>
      </c>
      <c r="J2199" s="7" t="n">
        <v>0</v>
      </c>
      <c r="K2199" s="9" t="n">
        <v>0.79</v>
      </c>
      <c r="L2199" s="10" t="n">
        <v>4.22</v>
      </c>
      <c r="M2199" s="10" t="n">
        <v>1.43</v>
      </c>
      <c r="N2199" t="inlineStr">
        <is>
          <t>1</t>
        </is>
      </c>
      <c r="O2199" t="inlineStr">
        <is>
          <t xml:space="preserve">3 </t>
        </is>
      </c>
      <c r="P2199" t="inlineStr">
        <is>
          <t xml:space="preserve">81066   </t>
        </is>
      </c>
      <c r="Q2199" s="26" t="n">
        <v>7.9</v>
      </c>
      <c r="R2199" s="26">
        <f>Q2199*G2199</f>
        <v/>
      </c>
      <c r="S2199" t="n">
        <v>4.69</v>
      </c>
      <c r="T2199" s="18">
        <f>1 - V2199/S2199</f>
        <v/>
      </c>
      <c r="U2199" s="18" t="n">
        <v>0</v>
      </c>
      <c r="V2199" s="26" t="n">
        <v>4.69</v>
      </c>
      <c r="W2199" s="26">
        <f>V2199 - L2199</f>
        <v/>
      </c>
    </row>
    <row r="2200">
      <c r="A2200" s="11" t="n">
        <v>46226</v>
      </c>
      <c r="B2200" s="1" t="n">
        <v>20021</v>
      </c>
      <c r="C2200" s="1" t="inlineStr">
        <is>
          <t>069</t>
        </is>
      </c>
      <c r="D2200" s="1" t="inlineStr">
        <is>
          <t>130011</t>
        </is>
      </c>
      <c r="E2200" s="1" t="inlineStr">
        <is>
          <t xml:space="preserve">29235707       </t>
        </is>
      </c>
      <c r="F2200" s="5" t="inlineStr">
        <is>
          <t>TEAMSTERZ AUTO DE METAL 3  PACK DE 5</t>
        </is>
      </c>
      <c r="G2200" t="n">
        <v>1</v>
      </c>
      <c r="H2200" s="7" t="n">
        <v>34.5</v>
      </c>
      <c r="I2200" s="7" t="n">
        <v>0</v>
      </c>
      <c r="J2200" s="7" t="n">
        <v>0</v>
      </c>
      <c r="K2200" s="9" t="n">
        <v>0</v>
      </c>
      <c r="L2200" s="10" t="n">
        <v>20.47</v>
      </c>
      <c r="M2200" s="10" t="n">
        <v>1.43</v>
      </c>
      <c r="N2200" t="inlineStr">
        <is>
          <t>1</t>
        </is>
      </c>
      <c r="O2200" t="inlineStr">
        <is>
          <t>16</t>
        </is>
      </c>
      <c r="P2200" t="inlineStr">
        <is>
          <t xml:space="preserve">235838  </t>
        </is>
      </c>
      <c r="Q2200" s="26" t="n">
        <v>34.5</v>
      </c>
      <c r="R2200" s="26">
        <f>Q2200*G2200</f>
        <v/>
      </c>
      <c r="S2200" t="n">
        <v>20.47</v>
      </c>
      <c r="T2200" s="18">
        <f>1 - V2200/S2200</f>
        <v/>
      </c>
      <c r="U2200" s="18" t="n">
        <v>0</v>
      </c>
      <c r="V2200" s="26" t="n">
        <v>20.47</v>
      </c>
      <c r="W2200" s="26">
        <f>V2200 - L2200</f>
        <v/>
      </c>
    </row>
    <row r="2201">
      <c r="A2201" s="11" t="n">
        <v>46226</v>
      </c>
      <c r="B2201" s="1" t="n">
        <v>20021</v>
      </c>
      <c r="C2201" s="1" t="inlineStr">
        <is>
          <t>080</t>
        </is>
      </c>
      <c r="D2201" s="1" t="inlineStr">
        <is>
          <t>310124</t>
        </is>
      </c>
      <c r="E2201" s="1" t="inlineStr">
        <is>
          <t xml:space="preserve">28194770       </t>
        </is>
      </c>
      <c r="F2201" s="5" t="inlineStr">
        <is>
          <t>AUTOS DE METAL 3 TEAMSTERZ EN BLISTER</t>
        </is>
      </c>
      <c r="G2201" t="n">
        <v>1</v>
      </c>
      <c r="H2201" s="7" t="n">
        <v>6.9</v>
      </c>
      <c r="I2201" s="7" t="n">
        <v>0</v>
      </c>
      <c r="J2201" s="7" t="n">
        <v>0</v>
      </c>
      <c r="K2201" s="9" t="n">
        <v>0</v>
      </c>
      <c r="L2201" s="10" t="n">
        <v>4.1</v>
      </c>
      <c r="M2201" s="10" t="n">
        <v>1.43</v>
      </c>
      <c r="N2201" t="inlineStr">
        <is>
          <t>1</t>
        </is>
      </c>
      <c r="O2201" t="inlineStr">
        <is>
          <t>16</t>
        </is>
      </c>
      <c r="P2201" t="inlineStr">
        <is>
          <t xml:space="preserve">250202  </t>
        </is>
      </c>
      <c r="Q2201" s="26" t="n">
        <v>6.9</v>
      </c>
      <c r="R2201" s="26">
        <f>Q2201*G2201</f>
        <v/>
      </c>
      <c r="S2201" t="n">
        <v>4.09</v>
      </c>
      <c r="T2201" s="18">
        <f>1 - V2201/S2201</f>
        <v/>
      </c>
      <c r="U2201" s="18" t="n">
        <v>0</v>
      </c>
      <c r="V2201" s="26" t="n">
        <v>4.09</v>
      </c>
      <c r="W2201" s="26">
        <f>V2201 - L2201</f>
        <v/>
      </c>
    </row>
    <row r="2202">
      <c r="A2202" s="11" t="n">
        <v>46226</v>
      </c>
      <c r="B2202" s="1" t="n">
        <v>20021</v>
      </c>
      <c r="C2202" s="1" t="inlineStr">
        <is>
          <t>080</t>
        </is>
      </c>
      <c r="D2202" s="1" t="inlineStr">
        <is>
          <t>310129</t>
        </is>
      </c>
      <c r="E2202" s="1" t="inlineStr">
        <is>
          <t xml:space="preserve">34840550       </t>
        </is>
      </c>
      <c r="F2202" s="5" t="inlineStr">
        <is>
          <t>TEAMSTERZ M/MOVERZ TRANSPORTA GORILA</t>
        </is>
      </c>
      <c r="G2202" t="n">
        <v>1</v>
      </c>
      <c r="H2202" s="7" t="n">
        <v>129</v>
      </c>
      <c r="I2202" s="7" t="n">
        <v>0</v>
      </c>
      <c r="J2202" s="7" t="n">
        <v>0</v>
      </c>
      <c r="K2202" s="9" t="n">
        <v>0</v>
      </c>
      <c r="L2202" s="10" t="n">
        <v>76.52</v>
      </c>
      <c r="M2202" s="10" t="n">
        <v>1.43</v>
      </c>
      <c r="N2202" t="inlineStr">
        <is>
          <t>1</t>
        </is>
      </c>
      <c r="O2202" t="inlineStr">
        <is>
          <t>16</t>
        </is>
      </c>
      <c r="P2202" t="inlineStr">
        <is>
          <t xml:space="preserve">250202  </t>
        </is>
      </c>
      <c r="Q2202" s="26" t="n">
        <v>129</v>
      </c>
      <c r="R2202" s="26">
        <f>Q2202*G2202</f>
        <v/>
      </c>
      <c r="S2202" t="n">
        <v>76.53</v>
      </c>
      <c r="T2202" s="18">
        <f>1 - V2202/S2202</f>
        <v/>
      </c>
      <c r="U2202" s="18" t="n">
        <v>0</v>
      </c>
      <c r="V2202" s="26" t="n">
        <v>76.53</v>
      </c>
      <c r="W2202" s="26">
        <f>V2202 - L2202</f>
        <v/>
      </c>
    </row>
    <row r="2203">
      <c r="A2203" s="11" t="n">
        <v>46226</v>
      </c>
      <c r="B2203" s="1" t="n">
        <v>20023</v>
      </c>
      <c r="C2203" s="1" t="inlineStr">
        <is>
          <t>015</t>
        </is>
      </c>
      <c r="D2203" s="1" t="inlineStr">
        <is>
          <t>240117</t>
        </is>
      </c>
      <c r="E2203" s="1" t="inlineStr">
        <is>
          <t xml:space="preserve">30232284       </t>
        </is>
      </c>
      <c r="F2203" s="5" t="inlineStr">
        <is>
          <t>INFINITY NADO TROMPO DE BATALLA - METAL C/PUNTA DE</t>
        </is>
      </c>
      <c r="G2203" t="n">
        <v>1</v>
      </c>
      <c r="H2203" s="7" t="n">
        <v>34.9</v>
      </c>
      <c r="I2203" s="7" t="n">
        <v>0</v>
      </c>
      <c r="J2203" s="7" t="n">
        <v>0</v>
      </c>
      <c r="K2203" s="9" t="n">
        <v>0</v>
      </c>
      <c r="L2203" s="10" t="n">
        <v>20.71</v>
      </c>
      <c r="M2203" s="10" t="n">
        <v>1.43</v>
      </c>
      <c r="N2203" t="inlineStr">
        <is>
          <t>1</t>
        </is>
      </c>
      <c r="O2203" t="inlineStr">
        <is>
          <t xml:space="preserve">2 </t>
        </is>
      </c>
      <c r="P2203" t="inlineStr">
        <is>
          <t xml:space="preserve">32926   </t>
        </is>
      </c>
      <c r="Q2203" s="26" t="n">
        <v>49.9</v>
      </c>
      <c r="R2203" s="26">
        <f>Q2203*G2203</f>
        <v/>
      </c>
      <c r="S2203" t="n">
        <v>29.6</v>
      </c>
      <c r="T2203" s="18">
        <f>1 - V2203/S2203</f>
        <v/>
      </c>
      <c r="U2203" s="18" t="n">
        <v>0.3006012024048096</v>
      </c>
      <c r="V2203" s="26" t="n">
        <v>22.18220338983051</v>
      </c>
      <c r="W2203" s="26">
        <f>V2203 - L2203</f>
        <v/>
      </c>
    </row>
    <row r="2204">
      <c r="A2204" s="11" t="n">
        <v>46226</v>
      </c>
      <c r="B2204" s="1" t="n">
        <v>20023</v>
      </c>
      <c r="C2204" s="1" t="inlineStr">
        <is>
          <t>015</t>
        </is>
      </c>
      <c r="D2204" s="1" t="inlineStr">
        <is>
          <t>240117</t>
        </is>
      </c>
      <c r="E2204" s="1" t="inlineStr">
        <is>
          <t xml:space="preserve">30232284       </t>
        </is>
      </c>
      <c r="F2204" s="5" t="inlineStr">
        <is>
          <t>INFINITY NADO TROMPO DE BATALLA - METAL C/PUNTA DE</t>
        </is>
      </c>
      <c r="G2204" t="n">
        <v>1</v>
      </c>
      <c r="H2204" s="7" t="n">
        <v>34.9</v>
      </c>
      <c r="I2204" s="7" t="n">
        <v>0</v>
      </c>
      <c r="J2204" s="7" t="n">
        <v>0</v>
      </c>
      <c r="K2204" s="9" t="n">
        <v>0</v>
      </c>
      <c r="L2204" s="10" t="n">
        <v>20.71</v>
      </c>
      <c r="M2204" s="10" t="n">
        <v>1.43</v>
      </c>
      <c r="N2204" t="inlineStr">
        <is>
          <t>1</t>
        </is>
      </c>
      <c r="O2204" t="inlineStr">
        <is>
          <t xml:space="preserve">2 </t>
        </is>
      </c>
      <c r="P2204" t="inlineStr">
        <is>
          <t xml:space="preserve">32926   </t>
        </is>
      </c>
      <c r="Q2204" s="26" t="n">
        <v>49.9</v>
      </c>
      <c r="R2204" s="26">
        <f>Q2204*G2204</f>
        <v/>
      </c>
      <c r="S2204" t="n">
        <v>29.6</v>
      </c>
      <c r="T2204" s="18">
        <f>1 - V2204/S2204</f>
        <v/>
      </c>
      <c r="U2204" s="18" t="n">
        <v>0.3006012024048096</v>
      </c>
      <c r="V2204" s="26" t="n">
        <v>22.18220338983051</v>
      </c>
      <c r="W2204" s="26">
        <f>V2204 - L2204</f>
        <v/>
      </c>
    </row>
    <row r="2205">
      <c r="A2205" s="11" t="n">
        <v>46226</v>
      </c>
      <c r="B2205" s="1" t="n">
        <v>20023</v>
      </c>
      <c r="C2205" s="1" t="inlineStr">
        <is>
          <t>105</t>
        </is>
      </c>
      <c r="D2205" s="1" t="inlineStr">
        <is>
          <t xml:space="preserve">91503 </t>
        </is>
      </c>
      <c r="E2205" s="1" t="inlineStr">
        <is>
          <t xml:space="preserve">34840556       </t>
        </is>
      </c>
      <c r="F2205" s="5" t="inlineStr">
        <is>
          <t>TMZ BEAST MACH. TRANSPORT DINO +ACCS</t>
        </is>
      </c>
      <c r="G2205" t="n">
        <v>1</v>
      </c>
      <c r="H2205" s="7" t="n">
        <v>59.9</v>
      </c>
      <c r="I2205" s="7" t="n">
        <v>0</v>
      </c>
      <c r="J2205" s="7" t="n">
        <v>0</v>
      </c>
      <c r="K2205" s="9" t="n">
        <v>0</v>
      </c>
      <c r="L2205" s="10" t="n">
        <v>35.53</v>
      </c>
      <c r="M2205" s="10" t="n">
        <v>1.43</v>
      </c>
      <c r="N2205" t="inlineStr">
        <is>
          <t>1</t>
        </is>
      </c>
      <c r="O2205" t="inlineStr">
        <is>
          <t>16</t>
        </is>
      </c>
      <c r="P2205" t="inlineStr">
        <is>
          <t xml:space="preserve">23478   </t>
        </is>
      </c>
      <c r="Q2205" s="26" t="n">
        <v>79.90000000000002</v>
      </c>
      <c r="R2205" s="26">
        <f>Q2205*G2205</f>
        <v/>
      </c>
      <c r="S2205" t="n">
        <v>47.4</v>
      </c>
      <c r="T2205" s="18">
        <f>1 - V2205/S2205</f>
        <v/>
      </c>
      <c r="U2205" s="18" t="n">
        <v>0.2503128911138924</v>
      </c>
      <c r="V2205" s="26" t="n">
        <v>38.07203389830509</v>
      </c>
      <c r="W2205" s="26">
        <f>V2205 - L2205</f>
        <v/>
      </c>
    </row>
    <row r="2206">
      <c r="A2206" s="11" t="n">
        <v>46226</v>
      </c>
      <c r="B2206" s="1" t="n">
        <v>20023</v>
      </c>
      <c r="C2206" s="1" t="inlineStr">
        <is>
          <t>105</t>
        </is>
      </c>
      <c r="D2206" s="1" t="inlineStr">
        <is>
          <t xml:space="preserve">91542 </t>
        </is>
      </c>
      <c r="E2206" s="1" t="inlineStr">
        <is>
          <t xml:space="preserve">29235702       </t>
        </is>
      </c>
      <c r="F2206" s="5" t="inlineStr">
        <is>
          <t>INFINITY NADO TROMPO DE BATALLA - METAL C/ ANILLO</t>
        </is>
      </c>
      <c r="G2206" t="n">
        <v>1</v>
      </c>
      <c r="H2206" s="7" t="n">
        <v>49.9</v>
      </c>
      <c r="I2206" s="7" t="n">
        <v>0</v>
      </c>
      <c r="J2206" s="7" t="n">
        <v>0</v>
      </c>
      <c r="K2206" s="9" t="n">
        <v>0</v>
      </c>
      <c r="L2206" s="10" t="n">
        <v>29.6</v>
      </c>
      <c r="M2206" s="10" t="n">
        <v>1.43</v>
      </c>
      <c r="N2206" t="inlineStr">
        <is>
          <t>1</t>
        </is>
      </c>
      <c r="O2206" t="inlineStr">
        <is>
          <t>16</t>
        </is>
      </c>
      <c r="P2206" t="inlineStr">
        <is>
          <t xml:space="preserve">23478   </t>
        </is>
      </c>
      <c r="Q2206" s="26" t="n">
        <v>69.90000000000001</v>
      </c>
      <c r="R2206" s="26">
        <f>Q2206*G2206</f>
        <v/>
      </c>
      <c r="S2206" t="n">
        <v>41.47</v>
      </c>
      <c r="T2206" s="18">
        <f>1 - V2206/S2206</f>
        <v/>
      </c>
      <c r="U2206" s="18" t="n">
        <v>0.2861230329041489</v>
      </c>
      <c r="V2206" s="26" t="n">
        <v>31.71610169491525</v>
      </c>
      <c r="W2206" s="26">
        <f>V2206 - L2206</f>
        <v/>
      </c>
    </row>
    <row r="2207">
      <c r="A2207" s="11" t="n">
        <v>46226</v>
      </c>
      <c r="B2207" s="1" t="n">
        <v>20023</v>
      </c>
      <c r="C2207" s="1" t="inlineStr">
        <is>
          <t>191</t>
        </is>
      </c>
      <c r="D2207" s="1" t="inlineStr">
        <is>
          <t xml:space="preserve">8092  </t>
        </is>
      </c>
      <c r="E2207" s="1" t="inlineStr">
        <is>
          <t xml:space="preserve">31046049       </t>
        </is>
      </c>
      <c r="F2207" s="5" t="inlineStr">
        <is>
          <t>RELOJ DIGITAL HOT WHEELS</t>
        </is>
      </c>
      <c r="G2207" t="n">
        <v>1</v>
      </c>
      <c r="H2207" s="7" t="n">
        <v>18.9</v>
      </c>
      <c r="I2207" s="7" t="n">
        <v>0</v>
      </c>
      <c r="J2207" s="7" t="n">
        <v>0</v>
      </c>
      <c r="K2207" s="9" t="n">
        <v>0</v>
      </c>
      <c r="L2207" s="10" t="n">
        <v>11.21</v>
      </c>
      <c r="M2207" s="10" t="n">
        <v>1.43</v>
      </c>
      <c r="N2207" t="inlineStr">
        <is>
          <t>1</t>
        </is>
      </c>
      <c r="O2207" t="inlineStr">
        <is>
          <t>16</t>
        </is>
      </c>
      <c r="P2207" t="inlineStr">
        <is>
          <t xml:space="preserve">23508   </t>
        </is>
      </c>
      <c r="Q2207" s="26" t="n">
        <v>18.9</v>
      </c>
      <c r="R2207" s="26">
        <f>Q2207*G2207</f>
        <v/>
      </c>
      <c r="S2207" t="n">
        <v>11.21</v>
      </c>
      <c r="T2207" s="18">
        <f>1 - V2207/S2207</f>
        <v/>
      </c>
      <c r="U2207" s="18" t="n">
        <v>0</v>
      </c>
      <c r="V2207" s="26" t="n">
        <v>11.21</v>
      </c>
      <c r="W2207" s="26">
        <f>V2207 - L2207</f>
        <v/>
      </c>
    </row>
    <row r="2208">
      <c r="A2208" s="11" t="n">
        <v>46226</v>
      </c>
      <c r="B2208" s="1" t="n">
        <v>20024</v>
      </c>
      <c r="C2208" s="1" t="inlineStr">
        <is>
          <t>015</t>
        </is>
      </c>
      <c r="D2208" s="1" t="inlineStr">
        <is>
          <t xml:space="preserve">19186 </t>
        </is>
      </c>
      <c r="E2208" s="1" t="inlineStr">
        <is>
          <t xml:space="preserve">28194767       </t>
        </is>
      </c>
      <c r="F2208" s="5" t="inlineStr">
        <is>
          <t>CAMIONES TEAMSTERZ DE EMERGENCIA</t>
        </is>
      </c>
      <c r="G2208" t="n">
        <v>1</v>
      </c>
      <c r="H2208" s="7" t="n">
        <v>17.9</v>
      </c>
      <c r="I2208" s="7" t="n">
        <v>0</v>
      </c>
      <c r="J2208" s="7" t="n">
        <v>0</v>
      </c>
      <c r="K2208" s="9" t="n">
        <v>0</v>
      </c>
      <c r="L2208" s="10" t="n">
        <v>10.62</v>
      </c>
      <c r="M2208" s="10" t="n">
        <v>1.43</v>
      </c>
      <c r="N2208" t="inlineStr">
        <is>
          <t>1</t>
        </is>
      </c>
      <c r="O2208" t="inlineStr">
        <is>
          <t>16</t>
        </is>
      </c>
      <c r="P2208" t="inlineStr">
        <is>
          <t xml:space="preserve">28289   </t>
        </is>
      </c>
      <c r="Q2208" s="26" t="n">
        <v>17.9</v>
      </c>
      <c r="R2208" s="26">
        <f>Q2208*G2208</f>
        <v/>
      </c>
      <c r="S2208" t="n">
        <v>10.62</v>
      </c>
      <c r="T2208" s="18">
        <f>1 - V2208/S2208</f>
        <v/>
      </c>
      <c r="U2208" s="18" t="n">
        <v>0</v>
      </c>
      <c r="V2208" s="26" t="n">
        <v>10.62</v>
      </c>
      <c r="W2208" s="26">
        <f>V2208 - L2208</f>
        <v/>
      </c>
    </row>
    <row r="2209">
      <c r="A2209" s="11" t="n">
        <v>46226</v>
      </c>
      <c r="B2209" s="1" t="n">
        <v>20024</v>
      </c>
      <c r="C2209" s="1" t="inlineStr">
        <is>
          <t>118</t>
        </is>
      </c>
      <c r="D2209" s="1" t="inlineStr">
        <is>
          <t>256132</t>
        </is>
      </c>
      <c r="E2209" s="1" t="inlineStr">
        <is>
          <t xml:space="preserve">28194781       </t>
        </is>
      </c>
      <c r="F2209" s="5" t="inlineStr">
        <is>
          <t>TROMPO BATALLA INFINITY NADO SERIE V CLASICA SURTI</t>
        </is>
      </c>
      <c r="G2209" t="n">
        <v>1</v>
      </c>
      <c r="H2209" s="7" t="n">
        <v>39.9</v>
      </c>
      <c r="I2209" s="7" t="n">
        <v>0</v>
      </c>
      <c r="J2209" s="7" t="n">
        <v>0</v>
      </c>
      <c r="K2209" s="9" t="n">
        <v>0</v>
      </c>
      <c r="L2209" s="10" t="n">
        <v>23.67</v>
      </c>
      <c r="M2209" s="10" t="n">
        <v>1.43</v>
      </c>
      <c r="N2209" t="inlineStr">
        <is>
          <t>1</t>
        </is>
      </c>
      <c r="O2209" t="inlineStr">
        <is>
          <t>16</t>
        </is>
      </c>
      <c r="P2209" t="inlineStr">
        <is>
          <t xml:space="preserve">23463   </t>
        </is>
      </c>
      <c r="Q2209" s="26" t="n">
        <v>59.9</v>
      </c>
      <c r="R2209" s="26">
        <f>Q2209*G2209</f>
        <v/>
      </c>
      <c r="S2209" t="n">
        <v>35.53</v>
      </c>
      <c r="T2209" s="18">
        <f>1 - V2209/S2209</f>
        <v/>
      </c>
      <c r="U2209" s="18" t="n">
        <v>0.333889816360601</v>
      </c>
      <c r="V2209" s="26" t="n">
        <v>25.36016949152542</v>
      </c>
      <c r="W2209" s="26">
        <f>V2209 - L2209</f>
        <v/>
      </c>
    </row>
    <row r="2210">
      <c r="A2210" s="11" t="n">
        <v>46226</v>
      </c>
      <c r="B2210" s="1" t="n">
        <v>20024</v>
      </c>
      <c r="C2210" s="1" t="inlineStr">
        <is>
          <t>118</t>
        </is>
      </c>
      <c r="D2210" s="1" t="inlineStr">
        <is>
          <t>256211</t>
        </is>
      </c>
      <c r="E2210" s="1" t="inlineStr">
        <is>
          <t xml:space="preserve">31754676       </t>
        </is>
      </c>
      <c r="F2210" s="5" t="inlineStr">
        <is>
          <t>INFINITY NADO SERIE 6 STD PACK LANZ ESPAD ANILLO M</t>
        </is>
      </c>
      <c r="G2210" t="n">
        <v>1</v>
      </c>
      <c r="H2210" s="7" t="n">
        <v>59.9</v>
      </c>
      <c r="I2210" s="7" t="n">
        <v>0</v>
      </c>
      <c r="J2210" s="7" t="n">
        <v>0</v>
      </c>
      <c r="K2210" s="9" t="n">
        <v>0</v>
      </c>
      <c r="L2210" s="10" t="n">
        <v>35.53</v>
      </c>
      <c r="M2210" s="10" t="n">
        <v>1.43</v>
      </c>
      <c r="N2210" t="inlineStr">
        <is>
          <t>1</t>
        </is>
      </c>
      <c r="O2210" t="inlineStr">
        <is>
          <t>16</t>
        </is>
      </c>
      <c r="P2210" t="inlineStr">
        <is>
          <t xml:space="preserve">23463   </t>
        </is>
      </c>
      <c r="Q2210" s="26" t="n">
        <v>79.90000000000001</v>
      </c>
      <c r="R2210" s="26">
        <f>Q2210*G2210</f>
        <v/>
      </c>
      <c r="S2210" t="n">
        <v>47.4</v>
      </c>
      <c r="T2210" s="18">
        <f>1 - V2210/S2210</f>
        <v/>
      </c>
      <c r="U2210" s="18" t="n">
        <v>0.2503128911138924</v>
      </c>
      <c r="V2210" s="26" t="n">
        <v>38.07203389830509</v>
      </c>
      <c r="W2210" s="26">
        <f>V2210 - L2210</f>
        <v/>
      </c>
    </row>
    <row r="2211">
      <c r="A2211" s="11" t="n">
        <v>46226</v>
      </c>
      <c r="B2211" s="1" t="n">
        <v>20024</v>
      </c>
      <c r="C2211" s="1" t="inlineStr">
        <is>
          <t>800</t>
        </is>
      </c>
      <c r="D2211" s="1" t="inlineStr">
        <is>
          <t xml:space="preserve">6005  </t>
        </is>
      </c>
      <c r="E2211" s="1" t="inlineStr">
        <is>
          <t xml:space="preserve">28194782       </t>
        </is>
      </c>
      <c r="F2211" s="5" t="inlineStr">
        <is>
          <t>TROMPO BATALLA INFINITY NADO SERIE V ORIGINAL SURT</t>
        </is>
      </c>
      <c r="G2211" t="n">
        <v>1</v>
      </c>
      <c r="H2211" s="7" t="n">
        <v>49.9</v>
      </c>
      <c r="I2211" s="7" t="n">
        <v>0</v>
      </c>
      <c r="J2211" s="7" t="n">
        <v>0</v>
      </c>
      <c r="K2211" s="9" t="n">
        <v>0</v>
      </c>
      <c r="L2211" s="10" t="n">
        <v>29.6</v>
      </c>
      <c r="M2211" s="10" t="n">
        <v>1.43</v>
      </c>
      <c r="N2211" t="inlineStr">
        <is>
          <t>1</t>
        </is>
      </c>
      <c r="O2211" t="inlineStr">
        <is>
          <t>16</t>
        </is>
      </c>
      <c r="P2211" t="inlineStr">
        <is>
          <t xml:space="preserve">0       </t>
        </is>
      </c>
      <c r="Q2211" s="26" t="n">
        <v>69.90000000000001</v>
      </c>
      <c r="R2211" s="26">
        <f>Q2211*G2211</f>
        <v/>
      </c>
      <c r="S2211" t="n">
        <v>41.47</v>
      </c>
      <c r="T2211" s="18">
        <f>1 - V2211/S2211</f>
        <v/>
      </c>
      <c r="U2211" s="18" t="n">
        <v>0.2861230329041489</v>
      </c>
      <c r="V2211" s="26" t="n">
        <v>31.71610169491525</v>
      </c>
      <c r="W2211" s="26">
        <f>V2211 - L2211</f>
        <v/>
      </c>
    </row>
    <row r="2212">
      <c r="A2212" s="11" t="n">
        <v>46226</v>
      </c>
      <c r="B2212" s="1" t="n">
        <v>20025</v>
      </c>
      <c r="C2212" s="1" t="inlineStr">
        <is>
          <t>017</t>
        </is>
      </c>
      <c r="D2212" s="1" t="inlineStr">
        <is>
          <t>265826</t>
        </is>
      </c>
      <c r="E2212" s="1" t="inlineStr">
        <is>
          <t xml:space="preserve">29235712       </t>
        </is>
      </c>
      <c r="F2212" s="5" t="inlineStr">
        <is>
          <t>TEAMSTERZ DISPARADOR DINOSAURIO INCL. 1 AUTO</t>
        </is>
      </c>
      <c r="G2212" t="n">
        <v>1</v>
      </c>
      <c r="H2212" s="7" t="n">
        <v>12.9</v>
      </c>
      <c r="I2212" s="7" t="n">
        <v>0</v>
      </c>
      <c r="J2212" s="7" t="n">
        <v>0</v>
      </c>
      <c r="K2212" s="9" t="n">
        <v>0</v>
      </c>
      <c r="L2212" s="10" t="n">
        <v>7.65</v>
      </c>
      <c r="M2212" s="10" t="n">
        <v>1.43</v>
      </c>
      <c r="N2212" t="inlineStr">
        <is>
          <t>1</t>
        </is>
      </c>
      <c r="O2212" t="inlineStr">
        <is>
          <t>16</t>
        </is>
      </c>
      <c r="P2212" t="inlineStr">
        <is>
          <t xml:space="preserve">35124   </t>
        </is>
      </c>
      <c r="Q2212" s="26" t="n">
        <v>29.9</v>
      </c>
      <c r="R2212" s="26">
        <f>Q2212*G2212</f>
        <v/>
      </c>
      <c r="S2212" t="n">
        <v>17.74</v>
      </c>
      <c r="T2212" s="18">
        <f>1 - V2212/S2212</f>
        <v/>
      </c>
      <c r="U2212" s="18" t="n">
        <v>0.568561872909699</v>
      </c>
      <c r="V2212" s="26" t="n">
        <v>9.29271186440678</v>
      </c>
      <c r="W2212" s="26">
        <f>V2212 - L2212</f>
        <v/>
      </c>
    </row>
    <row r="2213">
      <c r="A2213" s="11" t="n">
        <v>46226</v>
      </c>
      <c r="B2213" s="1" t="n">
        <v>20025</v>
      </c>
      <c r="C2213" s="1" t="inlineStr">
        <is>
          <t>043</t>
        </is>
      </c>
      <c r="D2213" s="1" t="inlineStr">
        <is>
          <t xml:space="preserve">3043  </t>
        </is>
      </c>
      <c r="E2213" s="1" t="inlineStr">
        <is>
          <t xml:space="preserve">35685067       </t>
        </is>
      </c>
      <c r="F2213" s="5" t="inlineStr">
        <is>
          <t>HOT WHEELS POWER SET 3 EN 1</t>
        </is>
      </c>
      <c r="G2213" t="n">
        <v>1</v>
      </c>
      <c r="H2213" s="7" t="n">
        <v>49.9</v>
      </c>
      <c r="I2213" s="7" t="n">
        <v>0</v>
      </c>
      <c r="J2213" s="7" t="n">
        <v>0</v>
      </c>
      <c r="K2213" s="9" t="n">
        <v>0</v>
      </c>
      <c r="L2213" s="10" t="n">
        <v>29.6</v>
      </c>
      <c r="M2213" s="10" t="n">
        <v>1.43</v>
      </c>
      <c r="N2213" t="inlineStr">
        <is>
          <t>1</t>
        </is>
      </c>
      <c r="O2213" t="inlineStr">
        <is>
          <t>16</t>
        </is>
      </c>
      <c r="P2213" t="inlineStr">
        <is>
          <t xml:space="preserve">57293   </t>
        </is>
      </c>
      <c r="Q2213" s="26" t="n">
        <v>49.9</v>
      </c>
      <c r="R2213" s="26">
        <f>Q2213*G2213</f>
        <v/>
      </c>
      <c r="S2213" t="n">
        <v>29.6</v>
      </c>
      <c r="T2213" s="18">
        <f>1 - V2213/S2213</f>
        <v/>
      </c>
      <c r="U2213" s="18" t="n">
        <v>0</v>
      </c>
      <c r="V2213" s="26" t="n">
        <v>29.6</v>
      </c>
      <c r="W2213" s="26">
        <f>V2213 - L2213</f>
        <v/>
      </c>
    </row>
    <row r="2214">
      <c r="A2214" s="11" t="n">
        <v>46226</v>
      </c>
      <c r="B2214" s="1" t="n">
        <v>20025</v>
      </c>
      <c r="C2214" s="1" t="inlineStr">
        <is>
          <t>074</t>
        </is>
      </c>
      <c r="D2214" s="1" t="inlineStr">
        <is>
          <t xml:space="preserve">83483 </t>
        </is>
      </c>
      <c r="E2214" s="1" t="inlineStr">
        <is>
          <t xml:space="preserve">29235710       </t>
        </is>
      </c>
      <c r="F2214" s="5" t="inlineStr">
        <is>
          <t>TEAMSTERZ PLAYSET GRANDES CONSTRUCCIONES</t>
        </is>
      </c>
      <c r="G2214" t="n">
        <v>1</v>
      </c>
      <c r="H2214" s="7" t="n">
        <v>19.9</v>
      </c>
      <c r="I2214" s="7" t="n">
        <v>0</v>
      </c>
      <c r="J2214" s="7" t="n">
        <v>0</v>
      </c>
      <c r="K2214" s="9" t="n">
        <v>0</v>
      </c>
      <c r="L2214" s="10" t="n">
        <v>11.8</v>
      </c>
      <c r="M2214" s="10" t="n">
        <v>1.43</v>
      </c>
      <c r="N2214" t="inlineStr">
        <is>
          <t>1</t>
        </is>
      </c>
      <c r="O2214" t="inlineStr">
        <is>
          <t>16</t>
        </is>
      </c>
      <c r="P2214" t="inlineStr">
        <is>
          <t xml:space="preserve">251702  </t>
        </is>
      </c>
      <c r="Q2214" s="26" t="n">
        <v>19.9</v>
      </c>
      <c r="R2214" s="26">
        <f>Q2214*G2214</f>
        <v/>
      </c>
      <c r="S2214" t="n">
        <v>11.81</v>
      </c>
      <c r="T2214" s="18">
        <f>1 - V2214/S2214</f>
        <v/>
      </c>
      <c r="U2214" s="18" t="n">
        <v>0</v>
      </c>
      <c r="V2214" s="26" t="n">
        <v>11.81</v>
      </c>
      <c r="W2214" s="26">
        <f>V2214 - L2214</f>
        <v/>
      </c>
    </row>
    <row r="2215">
      <c r="A2215" s="11" t="n">
        <v>46226</v>
      </c>
      <c r="B2215" s="1" t="n">
        <v>20025</v>
      </c>
      <c r="C2215" s="1" t="inlineStr">
        <is>
          <t>076</t>
        </is>
      </c>
      <c r="D2215" s="1" t="inlineStr">
        <is>
          <t>148192</t>
        </is>
      </c>
      <c r="E2215" s="1" t="inlineStr">
        <is>
          <t xml:space="preserve">32457099       </t>
        </is>
      </c>
      <c r="F2215" s="5" t="inlineStr">
        <is>
          <t>TMZ BEAST MACHINES MONSTER JAWS A FRICCION BLISTER</t>
        </is>
      </c>
      <c r="G2215" t="n">
        <v>1</v>
      </c>
      <c r="H2215" s="7" t="n">
        <v>17.9</v>
      </c>
      <c r="I2215" s="7" t="n">
        <v>0</v>
      </c>
      <c r="J2215" s="7" t="n">
        <v>0</v>
      </c>
      <c r="K2215" s="9" t="n">
        <v>0</v>
      </c>
      <c r="L2215" s="10" t="n">
        <v>10.62</v>
      </c>
      <c r="M2215" s="10" t="n">
        <v>1.43</v>
      </c>
      <c r="N2215" t="inlineStr">
        <is>
          <t>1</t>
        </is>
      </c>
      <c r="O2215" t="inlineStr">
        <is>
          <t>16</t>
        </is>
      </c>
      <c r="P2215" t="inlineStr">
        <is>
          <t xml:space="preserve">250254  </t>
        </is>
      </c>
      <c r="Q2215" s="26" t="n">
        <v>19.9</v>
      </c>
      <c r="R2215" s="26">
        <f>Q2215*G2215</f>
        <v/>
      </c>
      <c r="S2215" t="n">
        <v>11.81</v>
      </c>
      <c r="T2215" s="18">
        <f>1 - V2215/S2215</f>
        <v/>
      </c>
      <c r="U2215" s="18" t="n">
        <v>0.1005025125628141</v>
      </c>
      <c r="V2215" s="26" t="n">
        <v>8.417118644067797</v>
      </c>
      <c r="W2215" s="26">
        <f>V2215 - L2215</f>
        <v/>
      </c>
    </row>
    <row r="2216">
      <c r="A2216" s="11" t="n">
        <v>46226</v>
      </c>
      <c r="B2216" s="1" t="n">
        <v>20027</v>
      </c>
      <c r="C2216" s="1" t="inlineStr">
        <is>
          <t>191</t>
        </is>
      </c>
      <c r="D2216" s="1" t="inlineStr">
        <is>
          <t>103718</t>
        </is>
      </c>
      <c r="E2216" s="1" t="inlineStr">
        <is>
          <t xml:space="preserve">28194769       </t>
        </is>
      </c>
      <c r="F2216" s="5" t="inlineStr">
        <is>
          <t>AUTOS DE METAL 3 TEAMSTERZ PACK DE 2</t>
        </is>
      </c>
      <c r="G2216" t="n">
        <v>1</v>
      </c>
      <c r="H2216" s="7" t="n">
        <v>13.8</v>
      </c>
      <c r="I2216" s="7" t="n">
        <v>0</v>
      </c>
      <c r="J2216" s="7" t="n">
        <v>0</v>
      </c>
      <c r="K2216" s="9" t="n">
        <v>0</v>
      </c>
      <c r="L2216" s="10" t="n">
        <v>8.18</v>
      </c>
      <c r="M2216" s="10" t="n">
        <v>1.43</v>
      </c>
      <c r="N2216" t="inlineStr">
        <is>
          <t>1</t>
        </is>
      </c>
      <c r="O2216" t="inlineStr">
        <is>
          <t>16</t>
        </is>
      </c>
      <c r="P2216" t="inlineStr">
        <is>
          <t xml:space="preserve">65829   </t>
        </is>
      </c>
      <c r="Q2216" s="26" t="n">
        <v>13.8</v>
      </c>
      <c r="R2216" s="26">
        <f>Q2216*G2216</f>
        <v/>
      </c>
      <c r="S2216" t="n">
        <v>8.19</v>
      </c>
      <c r="T2216" s="18">
        <f>1 - V2216/S2216</f>
        <v/>
      </c>
      <c r="U2216" s="18" t="n">
        <v>0</v>
      </c>
      <c r="V2216" s="26" t="n">
        <v>8.19</v>
      </c>
      <c r="W2216" s="26">
        <f>V2216 - L2216</f>
        <v/>
      </c>
    </row>
    <row r="2217">
      <c r="A2217" s="11" t="n">
        <v>46226</v>
      </c>
      <c r="B2217" s="1" t="n">
        <v>20028</v>
      </c>
      <c r="C2217" s="1" t="inlineStr">
        <is>
          <t>512</t>
        </is>
      </c>
      <c r="D2217" s="1" t="inlineStr">
        <is>
          <t xml:space="preserve">4103  </t>
        </is>
      </c>
      <c r="E2217" s="1" t="inlineStr">
        <is>
          <t xml:space="preserve">28194770       </t>
        </is>
      </c>
      <c r="F2217" s="5" t="inlineStr">
        <is>
          <t>AUTOS DE METAL 3 TEAMSTERZ EN BLISTER</t>
        </is>
      </c>
      <c r="G2217" t="n">
        <v>1</v>
      </c>
      <c r="H2217" s="7" t="n">
        <v>6.9</v>
      </c>
      <c r="I2217" s="7" t="n">
        <v>0</v>
      </c>
      <c r="J2217" s="7" t="n">
        <v>0</v>
      </c>
      <c r="K2217" s="9" t="n">
        <v>0</v>
      </c>
      <c r="L2217" s="10" t="n">
        <v>4.1</v>
      </c>
      <c r="M2217" s="10" t="n">
        <v>1.43</v>
      </c>
      <c r="N2217" t="inlineStr">
        <is>
          <t>1</t>
        </is>
      </c>
      <c r="O2217" t="inlineStr">
        <is>
          <t>16</t>
        </is>
      </c>
      <c r="P2217" t="inlineStr">
        <is>
          <t xml:space="preserve">108153  </t>
        </is>
      </c>
      <c r="Q2217" s="26" t="n">
        <v>6.9</v>
      </c>
      <c r="R2217" s="26">
        <f>Q2217*G2217</f>
        <v/>
      </c>
      <c r="S2217" t="n">
        <v>4.09</v>
      </c>
      <c r="T2217" s="18">
        <f>1 - V2217/S2217</f>
        <v/>
      </c>
      <c r="U2217" s="18" t="n">
        <v>0</v>
      </c>
      <c r="V2217" s="26" t="n">
        <v>4.09</v>
      </c>
      <c r="W2217" s="26">
        <f>V2217 - L2217</f>
        <v/>
      </c>
    </row>
    <row r="2218">
      <c r="A2218" s="11" t="n">
        <v>46226</v>
      </c>
      <c r="B2218" s="1" t="n">
        <v>20030</v>
      </c>
      <c r="C2218" s="1" t="inlineStr">
        <is>
          <t>067</t>
        </is>
      </c>
      <c r="D2218" s="1" t="inlineStr">
        <is>
          <t>274851</t>
        </is>
      </c>
      <c r="E2218" s="1" t="inlineStr">
        <is>
          <t xml:space="preserve">28194770       </t>
        </is>
      </c>
      <c r="F2218" s="5" t="inlineStr">
        <is>
          <t>AUTOS DE METAL 3 TEAMSTERZ EN BLISTER</t>
        </is>
      </c>
      <c r="G2218" t="n">
        <v>1</v>
      </c>
      <c r="H2218" s="7" t="n">
        <v>6.9</v>
      </c>
      <c r="I2218" s="7" t="n">
        <v>0.6899999999999999</v>
      </c>
      <c r="J2218" s="7" t="n">
        <v>0</v>
      </c>
      <c r="K2218" s="9" t="n">
        <v>0.6899999999999999</v>
      </c>
      <c r="L2218" s="10" t="n">
        <v>3.68</v>
      </c>
      <c r="M2218" s="10" t="n">
        <v>1.43</v>
      </c>
      <c r="N2218" t="inlineStr">
        <is>
          <t>1</t>
        </is>
      </c>
      <c r="O2218" t="inlineStr">
        <is>
          <t xml:space="preserve">3 </t>
        </is>
      </c>
      <c r="P2218" t="inlineStr">
        <is>
          <t xml:space="preserve">99737   </t>
        </is>
      </c>
      <c r="Q2218" s="26" t="n">
        <v>6.9</v>
      </c>
      <c r="R2218" s="26">
        <f>Q2218*G2218</f>
        <v/>
      </c>
      <c r="S2218" t="n">
        <v>4.09</v>
      </c>
      <c r="T2218" s="18">
        <f>1 - V2218/S2218</f>
        <v/>
      </c>
      <c r="U2218" s="18" t="n">
        <v>0</v>
      </c>
      <c r="V2218" s="26" t="n">
        <v>4.09</v>
      </c>
      <c r="W2218" s="26">
        <f>V2218 - L2218</f>
        <v/>
      </c>
    </row>
    <row r="2219">
      <c r="A2219" s="11" t="n">
        <v>46226</v>
      </c>
      <c r="B2219" s="1" t="n">
        <v>20030</v>
      </c>
      <c r="C2219" s="1" t="inlineStr">
        <is>
          <t>067</t>
        </is>
      </c>
      <c r="D2219" s="1" t="inlineStr">
        <is>
          <t>274851</t>
        </is>
      </c>
      <c r="E2219" s="1" t="inlineStr">
        <is>
          <t xml:space="preserve">28194770       </t>
        </is>
      </c>
      <c r="F2219" s="5" t="inlineStr">
        <is>
          <t>AUTOS DE METAL 3 TEAMSTERZ EN BLISTER</t>
        </is>
      </c>
      <c r="G2219" t="n">
        <v>1</v>
      </c>
      <c r="H2219" s="7" t="n">
        <v>6.9</v>
      </c>
      <c r="I2219" s="7" t="n">
        <v>0.6899999999999999</v>
      </c>
      <c r="J2219" s="7" t="n">
        <v>0</v>
      </c>
      <c r="K2219" s="9" t="n">
        <v>0.6899999999999999</v>
      </c>
      <c r="L2219" s="10" t="n">
        <v>3.68</v>
      </c>
      <c r="M2219" s="10" t="n">
        <v>1.43</v>
      </c>
      <c r="N2219" t="inlineStr">
        <is>
          <t>1</t>
        </is>
      </c>
      <c r="O2219" t="inlineStr">
        <is>
          <t xml:space="preserve">3 </t>
        </is>
      </c>
      <c r="P2219" t="inlineStr">
        <is>
          <t xml:space="preserve">99737   </t>
        </is>
      </c>
      <c r="Q2219" s="26" t="n">
        <v>6.9</v>
      </c>
      <c r="R2219" s="26">
        <f>Q2219*G2219</f>
        <v/>
      </c>
      <c r="S2219" t="n">
        <v>4.09</v>
      </c>
      <c r="T2219" s="18">
        <f>1 - V2219/S2219</f>
        <v/>
      </c>
      <c r="U2219" s="18" t="n">
        <v>0</v>
      </c>
      <c r="V2219" s="26" t="n">
        <v>4.09</v>
      </c>
      <c r="W2219" s="26">
        <f>V2219 - L2219</f>
        <v/>
      </c>
    </row>
    <row r="2220">
      <c r="A2220" s="11" t="n">
        <v>46226</v>
      </c>
      <c r="B2220" s="1" t="n">
        <v>20030</v>
      </c>
      <c r="C2220" s="1" t="inlineStr">
        <is>
          <t>067</t>
        </is>
      </c>
      <c r="D2220" s="1" t="inlineStr">
        <is>
          <t>274851</t>
        </is>
      </c>
      <c r="E2220" s="1" t="inlineStr">
        <is>
          <t xml:space="preserve">28194770       </t>
        </is>
      </c>
      <c r="F2220" s="5" t="inlineStr">
        <is>
          <t>AUTOS DE METAL 3 TEAMSTERZ EN BLISTER</t>
        </is>
      </c>
      <c r="G2220" t="n">
        <v>1</v>
      </c>
      <c r="H2220" s="7" t="n">
        <v>6.9</v>
      </c>
      <c r="I2220" s="7" t="n">
        <v>0.6899999999999999</v>
      </c>
      <c r="J2220" s="7" t="n">
        <v>0</v>
      </c>
      <c r="K2220" s="9" t="n">
        <v>0.6899999999999999</v>
      </c>
      <c r="L2220" s="10" t="n">
        <v>3.68</v>
      </c>
      <c r="M2220" s="10" t="n">
        <v>1.43</v>
      </c>
      <c r="N2220" t="inlineStr">
        <is>
          <t>1</t>
        </is>
      </c>
      <c r="O2220" t="inlineStr">
        <is>
          <t xml:space="preserve">3 </t>
        </is>
      </c>
      <c r="P2220" t="inlineStr">
        <is>
          <t xml:space="preserve">99737   </t>
        </is>
      </c>
      <c r="Q2220" s="26" t="n">
        <v>6.9</v>
      </c>
      <c r="R2220" s="26">
        <f>Q2220*G2220</f>
        <v/>
      </c>
      <c r="S2220" t="n">
        <v>4.09</v>
      </c>
      <c r="T2220" s="18">
        <f>1 - V2220/S2220</f>
        <v/>
      </c>
      <c r="U2220" s="18" t="n">
        <v>0</v>
      </c>
      <c r="V2220" s="26" t="n">
        <v>4.09</v>
      </c>
      <c r="W2220" s="26">
        <f>V2220 - L2220</f>
        <v/>
      </c>
    </row>
    <row r="2221">
      <c r="A2221" s="11" t="n">
        <v>46226</v>
      </c>
      <c r="B2221" s="1" t="n">
        <v>20030</v>
      </c>
      <c r="C2221" s="1" t="inlineStr">
        <is>
          <t>067</t>
        </is>
      </c>
      <c r="D2221" s="1" t="inlineStr">
        <is>
          <t>274851</t>
        </is>
      </c>
      <c r="E2221" s="1" t="inlineStr">
        <is>
          <t xml:space="preserve">28194770       </t>
        </is>
      </c>
      <c r="F2221" s="5" t="inlineStr">
        <is>
          <t>AUTOS DE METAL 3 TEAMSTERZ EN BLISTER</t>
        </is>
      </c>
      <c r="G2221" t="n">
        <v>1</v>
      </c>
      <c r="H2221" s="7" t="n">
        <v>6.9</v>
      </c>
      <c r="I2221" s="7" t="n">
        <v>0.6899999999999999</v>
      </c>
      <c r="J2221" s="7" t="n">
        <v>0</v>
      </c>
      <c r="K2221" s="9" t="n">
        <v>0.6899999999999999</v>
      </c>
      <c r="L2221" s="10" t="n">
        <v>3.68</v>
      </c>
      <c r="M2221" s="10" t="n">
        <v>1.43</v>
      </c>
      <c r="N2221" t="inlineStr">
        <is>
          <t>1</t>
        </is>
      </c>
      <c r="O2221" t="inlineStr">
        <is>
          <t xml:space="preserve">3 </t>
        </is>
      </c>
      <c r="P2221" t="inlineStr">
        <is>
          <t xml:space="preserve">99737   </t>
        </is>
      </c>
      <c r="Q2221" s="26" t="n">
        <v>6.9</v>
      </c>
      <c r="R2221" s="26">
        <f>Q2221*G2221</f>
        <v/>
      </c>
      <c r="S2221" t="n">
        <v>4.09</v>
      </c>
      <c r="T2221" s="18">
        <f>1 - V2221/S2221</f>
        <v/>
      </c>
      <c r="U2221" s="18" t="n">
        <v>0</v>
      </c>
      <c r="V2221" s="26" t="n">
        <v>4.09</v>
      </c>
      <c r="W2221" s="26">
        <f>V2221 - L2221</f>
        <v/>
      </c>
    </row>
    <row r="2222">
      <c r="A2222" s="11" t="n">
        <v>46226</v>
      </c>
      <c r="B2222" s="1" t="n">
        <v>20030</v>
      </c>
      <c r="C2222" s="1" t="inlineStr">
        <is>
          <t>067</t>
        </is>
      </c>
      <c r="D2222" s="1" t="inlineStr">
        <is>
          <t>274852</t>
        </is>
      </c>
      <c r="E2222" s="1" t="inlineStr">
        <is>
          <t xml:space="preserve">28194770       </t>
        </is>
      </c>
      <c r="F2222" s="5" t="inlineStr">
        <is>
          <t>AUTOS DE METAL 3 TEAMSTERZ EN BLISTER</t>
        </is>
      </c>
      <c r="G2222" t="n">
        <v>1</v>
      </c>
      <c r="H2222" s="7" t="n">
        <v>6.9</v>
      </c>
      <c r="I2222" s="7" t="n">
        <v>0</v>
      </c>
      <c r="J2222" s="7" t="n">
        <v>0</v>
      </c>
      <c r="K2222" s="9" t="n">
        <v>0</v>
      </c>
      <c r="L2222" s="10" t="n">
        <v>4.1</v>
      </c>
      <c r="M2222" s="10" t="n">
        <v>1.43</v>
      </c>
      <c r="N2222" t="inlineStr">
        <is>
          <t>1</t>
        </is>
      </c>
      <c r="O2222" t="inlineStr">
        <is>
          <t>16</t>
        </is>
      </c>
      <c r="P2222" t="inlineStr">
        <is>
          <t xml:space="preserve">99737   </t>
        </is>
      </c>
      <c r="Q2222" s="26" t="n">
        <v>6.9</v>
      </c>
      <c r="R2222" s="26">
        <f>Q2222*G2222</f>
        <v/>
      </c>
      <c r="S2222" t="n">
        <v>4.09</v>
      </c>
      <c r="T2222" s="18">
        <f>1 - V2222/S2222</f>
        <v/>
      </c>
      <c r="U2222" s="18" t="n">
        <v>0</v>
      </c>
      <c r="V2222" s="26" t="n">
        <v>4.09</v>
      </c>
      <c r="W2222" s="26">
        <f>V2222 - L2222</f>
        <v/>
      </c>
    </row>
    <row r="2223">
      <c r="A2223" s="11" t="n">
        <v>46226</v>
      </c>
      <c r="B2223" s="1" t="n">
        <v>20030</v>
      </c>
      <c r="C2223" s="1" t="inlineStr">
        <is>
          <t>073</t>
        </is>
      </c>
      <c r="D2223" s="1" t="inlineStr">
        <is>
          <t xml:space="preserve">84355 </t>
        </is>
      </c>
      <c r="E2223" s="1" t="inlineStr">
        <is>
          <t xml:space="preserve">30141766       </t>
        </is>
      </c>
      <c r="F2223" s="5" t="inlineStr">
        <is>
          <t>TMZ BEAST MACHINES AUTOS DE METAL BLISTER X 1</t>
        </is>
      </c>
      <c r="G2223" t="n">
        <v>1</v>
      </c>
      <c r="H2223" s="7" t="n">
        <v>7.9</v>
      </c>
      <c r="I2223" s="7" t="n">
        <v>0.79</v>
      </c>
      <c r="J2223" s="7" t="n">
        <v>0</v>
      </c>
      <c r="K2223" s="9" t="n">
        <v>0.79</v>
      </c>
      <c r="L2223" s="10" t="n">
        <v>4.22</v>
      </c>
      <c r="M2223" s="10" t="n">
        <v>1.43</v>
      </c>
      <c r="N2223" t="inlineStr">
        <is>
          <t>1</t>
        </is>
      </c>
      <c r="O2223" t="inlineStr">
        <is>
          <t xml:space="preserve">3 </t>
        </is>
      </c>
      <c r="P2223" t="inlineStr">
        <is>
          <t xml:space="preserve">29263   </t>
        </is>
      </c>
      <c r="Q2223" s="26" t="n">
        <v>7.9</v>
      </c>
      <c r="R2223" s="26">
        <f>Q2223*G2223</f>
        <v/>
      </c>
      <c r="S2223" t="n">
        <v>4.69</v>
      </c>
      <c r="T2223" s="18">
        <f>1 - V2223/S2223</f>
        <v/>
      </c>
      <c r="U2223" s="18" t="n">
        <v>0</v>
      </c>
      <c r="V2223" s="26" t="n">
        <v>4.69</v>
      </c>
      <c r="W2223" s="26">
        <f>V2223 - L2223</f>
        <v/>
      </c>
    </row>
    <row r="2224">
      <c r="A2224" s="11" t="n">
        <v>46226</v>
      </c>
      <c r="B2224" s="1" t="n">
        <v>20030</v>
      </c>
      <c r="C2224" s="1" t="inlineStr">
        <is>
          <t>077</t>
        </is>
      </c>
      <c r="D2224" s="1" t="inlineStr">
        <is>
          <t>232689</t>
        </is>
      </c>
      <c r="E2224" s="1" t="inlineStr">
        <is>
          <t xml:space="preserve">28194770       </t>
        </is>
      </c>
      <c r="F2224" s="5" t="inlineStr">
        <is>
          <t>AUTOS DE METAL 3 TEAMSTERZ EN BLISTER</t>
        </is>
      </c>
      <c r="G2224" t="n">
        <v>1</v>
      </c>
      <c r="H2224" s="7" t="n">
        <v>6.9</v>
      </c>
      <c r="I2224" s="7" t="n">
        <v>0</v>
      </c>
      <c r="J2224" s="7" t="n">
        <v>0</v>
      </c>
      <c r="K2224" s="9" t="n">
        <v>0</v>
      </c>
      <c r="L2224" s="10" t="n">
        <v>4.1</v>
      </c>
      <c r="M2224" s="10" t="n">
        <v>1.43</v>
      </c>
      <c r="N2224" t="inlineStr">
        <is>
          <t>1</t>
        </is>
      </c>
      <c r="O2224" t="inlineStr">
        <is>
          <t>16</t>
        </is>
      </c>
      <c r="P2224" t="inlineStr">
        <is>
          <t xml:space="preserve">65971   </t>
        </is>
      </c>
      <c r="Q2224" s="26" t="n">
        <v>6.9</v>
      </c>
      <c r="R2224" s="26">
        <f>Q2224*G2224</f>
        <v/>
      </c>
      <c r="S2224" t="n">
        <v>4.09</v>
      </c>
      <c r="T2224" s="18">
        <f>1 - V2224/S2224</f>
        <v/>
      </c>
      <c r="U2224" s="18" t="n">
        <v>0</v>
      </c>
      <c r="V2224" s="26" t="n">
        <v>4.09</v>
      </c>
      <c r="W2224" s="26">
        <f>V2224 - L2224</f>
        <v/>
      </c>
    </row>
    <row r="2225">
      <c r="A2225" s="11" t="n">
        <v>46226</v>
      </c>
      <c r="B2225" s="1" t="n">
        <v>20040</v>
      </c>
      <c r="C2225" s="1" t="inlineStr">
        <is>
          <t>036</t>
        </is>
      </c>
      <c r="D2225" s="1" t="inlineStr">
        <is>
          <t>192799</t>
        </is>
      </c>
      <c r="E2225" s="1" t="inlineStr">
        <is>
          <t xml:space="preserve">31754675       </t>
        </is>
      </c>
      <c r="F2225" s="5" t="inlineStr">
        <is>
          <t>INFINITY NADO SERIE 6 STARTER PACK - 4 MODELOS</t>
        </is>
      </c>
      <c r="G2225" t="n">
        <v>1</v>
      </c>
      <c r="H2225" s="7" t="n">
        <v>49.9</v>
      </c>
      <c r="I2225" s="7" t="n">
        <v>0</v>
      </c>
      <c r="J2225" s="7" t="n">
        <v>0</v>
      </c>
      <c r="K2225" s="9" t="n">
        <v>0</v>
      </c>
      <c r="L2225" s="10" t="n">
        <v>29.6</v>
      </c>
      <c r="M2225" s="10" t="n">
        <v>1.43</v>
      </c>
      <c r="N2225" t="inlineStr">
        <is>
          <t>1</t>
        </is>
      </c>
      <c r="O2225" t="inlineStr">
        <is>
          <t xml:space="preserve">2 </t>
        </is>
      </c>
      <c r="P2225" t="inlineStr">
        <is>
          <t xml:space="preserve">50087   </t>
        </is>
      </c>
      <c r="Q2225" s="26" t="n">
        <v>69.90000000000001</v>
      </c>
      <c r="R2225" s="26">
        <f>Q2225*G2225</f>
        <v/>
      </c>
      <c r="S2225" t="n">
        <v>41.47</v>
      </c>
      <c r="T2225" s="18">
        <f>1 - V2225/S2225</f>
        <v/>
      </c>
      <c r="U2225" s="18" t="n">
        <v>0.2861230329041489</v>
      </c>
      <c r="V2225" s="26" t="n">
        <v>31.71610169491525</v>
      </c>
      <c r="W2225" s="26">
        <f>V2225 - L2225</f>
        <v/>
      </c>
    </row>
    <row r="2226">
      <c r="A2226" s="11" t="n">
        <v>46226</v>
      </c>
      <c r="B2226" s="1" t="n">
        <v>20040</v>
      </c>
      <c r="C2226" s="1" t="inlineStr">
        <is>
          <t>072</t>
        </is>
      </c>
      <c r="D2226" s="1" t="inlineStr">
        <is>
          <t>252706</t>
        </is>
      </c>
      <c r="E2226" s="1" t="inlineStr">
        <is>
          <t xml:space="preserve">28194769       </t>
        </is>
      </c>
      <c r="F2226" s="5" t="inlineStr">
        <is>
          <t>AUTOS DE METAL 3 TEAMSTERZ PACK DE 2</t>
        </is>
      </c>
      <c r="G2226" t="n">
        <v>1</v>
      </c>
      <c r="H2226" s="7" t="n">
        <v>13.8</v>
      </c>
      <c r="I2226" s="7" t="n">
        <v>0</v>
      </c>
      <c r="J2226" s="7" t="n">
        <v>0</v>
      </c>
      <c r="K2226" s="9" t="n">
        <v>0</v>
      </c>
      <c r="L2226" s="10" t="n">
        <v>8.18</v>
      </c>
      <c r="M2226" s="10" t="n">
        <v>1.43</v>
      </c>
      <c r="N2226" t="inlineStr">
        <is>
          <t>1</t>
        </is>
      </c>
      <c r="O2226" t="inlineStr">
        <is>
          <t xml:space="preserve">6 </t>
        </is>
      </c>
      <c r="P2226" t="inlineStr">
        <is>
          <t xml:space="preserve">242657  </t>
        </is>
      </c>
      <c r="Q2226" s="26" t="n">
        <v>13.8</v>
      </c>
      <c r="R2226" s="26">
        <f>Q2226*G2226</f>
        <v/>
      </c>
      <c r="S2226" t="n">
        <v>8.19</v>
      </c>
      <c r="T2226" s="18">
        <f>1 - V2226/S2226</f>
        <v/>
      </c>
      <c r="U2226" s="18" t="n">
        <v>0</v>
      </c>
      <c r="V2226" s="26" t="n">
        <v>8.19</v>
      </c>
      <c r="W2226" s="26">
        <f>V2226 - L2226</f>
        <v/>
      </c>
    </row>
    <row r="2227">
      <c r="A2227" s="11" t="n">
        <v>46226</v>
      </c>
      <c r="B2227" s="1" t="n">
        <v>20040</v>
      </c>
      <c r="C2227" s="1" t="inlineStr">
        <is>
          <t>073</t>
        </is>
      </c>
      <c r="D2227" s="1" t="inlineStr">
        <is>
          <t>255386</t>
        </is>
      </c>
      <c r="E2227" s="1" t="inlineStr">
        <is>
          <t xml:space="preserve">28194781       </t>
        </is>
      </c>
      <c r="F2227" s="5" t="inlineStr">
        <is>
          <t>TROMPO BATALLA INFINITY NADO SERIE V CLASICA SURTI</t>
        </is>
      </c>
      <c r="G2227" t="n">
        <v>1</v>
      </c>
      <c r="H2227" s="7" t="n">
        <v>39.9</v>
      </c>
      <c r="I2227" s="7" t="n">
        <v>3.99</v>
      </c>
      <c r="J2227" s="7" t="n">
        <v>0</v>
      </c>
      <c r="K2227" s="9" t="n">
        <v>3.99</v>
      </c>
      <c r="L2227" s="10" t="n">
        <v>21.3</v>
      </c>
      <c r="M2227" s="10" t="n">
        <v>1.43</v>
      </c>
      <c r="N2227" t="inlineStr">
        <is>
          <t>1</t>
        </is>
      </c>
      <c r="O2227" t="inlineStr">
        <is>
          <t xml:space="preserve">3 </t>
        </is>
      </c>
      <c r="P2227" t="inlineStr">
        <is>
          <t xml:space="preserve">248842  </t>
        </is>
      </c>
      <c r="Q2227" s="26" t="n">
        <v>59.9</v>
      </c>
      <c r="R2227" s="26">
        <f>Q2227*G2227</f>
        <v/>
      </c>
      <c r="S2227" t="n">
        <v>35.53</v>
      </c>
      <c r="T2227" s="18">
        <f>1 - V2227/S2227</f>
        <v/>
      </c>
      <c r="U2227" s="18" t="n">
        <v>0.333889816360601</v>
      </c>
      <c r="V2227" s="26" t="n">
        <v>25.36016949152542</v>
      </c>
      <c r="W2227" s="26">
        <f>V2227 - L2227</f>
        <v/>
      </c>
    </row>
    <row r="2228">
      <c r="A2228" s="11" t="n">
        <v>46226</v>
      </c>
      <c r="B2228" s="1" t="n">
        <v>20040</v>
      </c>
      <c r="C2228" s="1" t="inlineStr">
        <is>
          <t>073</t>
        </is>
      </c>
      <c r="D2228" s="1" t="inlineStr">
        <is>
          <t>255386</t>
        </is>
      </c>
      <c r="E2228" s="1" t="inlineStr">
        <is>
          <t xml:space="preserve">30232284       </t>
        </is>
      </c>
      <c r="F2228" s="5" t="inlineStr">
        <is>
          <t>INFINITY NADO TROMPO DE BATALLA - METAL C/PUNTA DE</t>
        </is>
      </c>
      <c r="G2228" t="n">
        <v>1</v>
      </c>
      <c r="H2228" s="7" t="n">
        <v>34.9</v>
      </c>
      <c r="I2228" s="7" t="n">
        <v>3.49</v>
      </c>
      <c r="J2228" s="7" t="n">
        <v>0</v>
      </c>
      <c r="K2228" s="9" t="n">
        <v>3.49</v>
      </c>
      <c r="L2228" s="10" t="n">
        <v>18.63</v>
      </c>
      <c r="M2228" s="10" t="n">
        <v>1.43</v>
      </c>
      <c r="N2228" t="inlineStr">
        <is>
          <t>1</t>
        </is>
      </c>
      <c r="O2228" t="inlineStr">
        <is>
          <t xml:space="preserve">3 </t>
        </is>
      </c>
      <c r="P2228" t="inlineStr">
        <is>
          <t xml:space="preserve">248842  </t>
        </is>
      </c>
      <c r="Q2228" s="26" t="n">
        <v>49.9</v>
      </c>
      <c r="R2228" s="26">
        <f>Q2228*G2228</f>
        <v/>
      </c>
      <c r="S2228" t="n">
        <v>29.6</v>
      </c>
      <c r="T2228" s="18">
        <f>1 - V2228/S2228</f>
        <v/>
      </c>
      <c r="U2228" s="18" t="n">
        <v>0.3006012024048096</v>
      </c>
      <c r="V2228" s="26" t="n">
        <v>22.18220338983051</v>
      </c>
      <c r="W2228" s="26">
        <f>V2228 - L2228</f>
        <v/>
      </c>
    </row>
    <row r="2229">
      <c r="A2229" s="11" t="n">
        <v>46226</v>
      </c>
      <c r="B2229" s="1" t="n">
        <v>20040</v>
      </c>
      <c r="C2229" s="1" t="inlineStr">
        <is>
          <t>083</t>
        </is>
      </c>
      <c r="D2229" s="1" t="inlineStr">
        <is>
          <t>160550</t>
        </is>
      </c>
      <c r="E2229" s="1" t="inlineStr">
        <is>
          <t xml:space="preserve">32457099       </t>
        </is>
      </c>
      <c r="F2229" s="5" t="inlineStr">
        <is>
          <t>TMZ BEAST MACHINES MONSTER JAWS A FRICCION BLISTER</t>
        </is>
      </c>
      <c r="G2229" t="n">
        <v>1</v>
      </c>
      <c r="H2229" s="7" t="n">
        <v>17.9</v>
      </c>
      <c r="I2229" s="7" t="n">
        <v>0</v>
      </c>
      <c r="J2229" s="7" t="n">
        <v>0</v>
      </c>
      <c r="K2229" s="9" t="n">
        <v>0</v>
      </c>
      <c r="L2229" s="10" t="n">
        <v>10.62</v>
      </c>
      <c r="M2229" s="10" t="n">
        <v>1.43</v>
      </c>
      <c r="N2229" t="inlineStr">
        <is>
          <t>1</t>
        </is>
      </c>
      <c r="O2229" t="inlineStr">
        <is>
          <t xml:space="preserve">2 </t>
        </is>
      </c>
      <c r="P2229" t="inlineStr">
        <is>
          <t xml:space="preserve">243237  </t>
        </is>
      </c>
      <c r="Q2229" s="26" t="n">
        <v>19.9</v>
      </c>
      <c r="R2229" s="26">
        <f>Q2229*G2229</f>
        <v/>
      </c>
      <c r="S2229" t="n">
        <v>11.81</v>
      </c>
      <c r="T2229" s="18">
        <f>1 - V2229/S2229</f>
        <v/>
      </c>
      <c r="U2229" s="18" t="n">
        <v>0.1005025125628141</v>
      </c>
      <c r="V2229" s="26" t="n">
        <v>8.417118644067797</v>
      </c>
      <c r="W2229" s="26">
        <f>V2229 - L2229</f>
        <v/>
      </c>
    </row>
    <row r="2230">
      <c r="A2230" s="11" t="n">
        <v>46226</v>
      </c>
      <c r="B2230" s="1" t="n">
        <v>20040</v>
      </c>
      <c r="C2230" s="1" t="inlineStr">
        <is>
          <t>832</t>
        </is>
      </c>
      <c r="D2230" s="1" t="inlineStr">
        <is>
          <t xml:space="preserve">3423  </t>
        </is>
      </c>
      <c r="E2230" s="1" t="inlineStr">
        <is>
          <t xml:space="preserve">28194780       </t>
        </is>
      </c>
      <c r="F2230" s="5" t="inlineStr">
        <is>
          <t>TROMPO BATALLA INFINITY NADO PLSTICO SURTIDO</t>
        </is>
      </c>
      <c r="G2230" t="n">
        <v>1</v>
      </c>
      <c r="H2230" s="7" t="n">
        <v>19.9</v>
      </c>
      <c r="I2230" s="7" t="n">
        <v>0</v>
      </c>
      <c r="J2230" s="7" t="n">
        <v>0</v>
      </c>
      <c r="K2230" s="9" t="n">
        <v>0</v>
      </c>
      <c r="L2230" s="10" t="n">
        <v>11.8</v>
      </c>
      <c r="M2230" s="10" t="n">
        <v>1.43</v>
      </c>
      <c r="N2230" t="inlineStr">
        <is>
          <t>1</t>
        </is>
      </c>
      <c r="O2230" t="inlineStr">
        <is>
          <t>16</t>
        </is>
      </c>
      <c r="P2230" t="inlineStr">
        <is>
          <t xml:space="preserve">0       </t>
        </is>
      </c>
      <c r="Q2230" s="26" t="n">
        <v>19.9</v>
      </c>
      <c r="R2230" s="26">
        <f>Q2230*G2230</f>
        <v/>
      </c>
      <c r="S2230" t="n">
        <v>11.81</v>
      </c>
      <c r="T2230" s="18">
        <f>1 - V2230/S2230</f>
        <v/>
      </c>
      <c r="U2230" s="18" t="n">
        <v>0</v>
      </c>
      <c r="V2230" s="26" t="n">
        <v>11.81</v>
      </c>
      <c r="W2230" s="26">
        <f>V2230 - L2230</f>
        <v/>
      </c>
    </row>
    <row r="2231">
      <c r="A2231" s="11" t="n">
        <v>46226</v>
      </c>
      <c r="B2231" s="1" t="n">
        <v>20040</v>
      </c>
      <c r="C2231" s="1" t="inlineStr">
        <is>
          <t>832</t>
        </is>
      </c>
      <c r="D2231" s="1" t="inlineStr">
        <is>
          <t xml:space="preserve">3424  </t>
        </is>
      </c>
      <c r="E2231" s="1" t="inlineStr">
        <is>
          <t xml:space="preserve">28194768       </t>
        </is>
      </c>
      <c r="F2231" s="5" t="inlineStr">
        <is>
          <t>AUTO COLOR CHANGE TEAMSTERZ SURTIDO</t>
        </is>
      </c>
      <c r="G2231" t="n">
        <v>1</v>
      </c>
      <c r="H2231" s="7" t="n">
        <v>14.9</v>
      </c>
      <c r="I2231" s="7" t="n">
        <v>0</v>
      </c>
      <c r="J2231" s="7" t="n">
        <v>0</v>
      </c>
      <c r="K2231" s="9" t="n">
        <v>0</v>
      </c>
      <c r="L2231" s="10" t="n">
        <v>8.84</v>
      </c>
      <c r="M2231" s="10" t="n">
        <v>1.43</v>
      </c>
      <c r="N2231" t="inlineStr">
        <is>
          <t>1</t>
        </is>
      </c>
      <c r="O2231" t="inlineStr">
        <is>
          <t>16</t>
        </is>
      </c>
      <c r="P2231" t="inlineStr">
        <is>
          <t xml:space="preserve">0       </t>
        </is>
      </c>
      <c r="Q2231" s="26" t="n">
        <v>14.9</v>
      </c>
      <c r="R2231" s="26">
        <f>Q2231*G2231</f>
        <v/>
      </c>
      <c r="S2231" t="n">
        <v>8.84</v>
      </c>
      <c r="T2231" s="18">
        <f>1 - V2231/S2231</f>
        <v/>
      </c>
      <c r="U2231" s="18" t="n">
        <v>0</v>
      </c>
      <c r="V2231" s="26" t="n">
        <v>8.84</v>
      </c>
      <c r="W2231" s="26">
        <f>V2231 - L2231</f>
        <v/>
      </c>
    </row>
    <row r="2232">
      <c r="A2232" s="11" t="n">
        <v>46226</v>
      </c>
      <c r="B2232" s="1" t="n">
        <v>20040</v>
      </c>
      <c r="C2232" s="1" t="inlineStr">
        <is>
          <t>832</t>
        </is>
      </c>
      <c r="D2232" s="1" t="inlineStr">
        <is>
          <t xml:space="preserve">3438  </t>
        </is>
      </c>
      <c r="E2232" s="1" t="inlineStr">
        <is>
          <t xml:space="preserve">34840526       </t>
        </is>
      </c>
      <c r="F2232" s="5" t="inlineStr">
        <is>
          <t>NENUCO ABRACITOS</t>
        </is>
      </c>
      <c r="G2232" t="n">
        <v>1</v>
      </c>
      <c r="H2232" s="7" t="n">
        <v>89.90000000000001</v>
      </c>
      <c r="I2232" s="7" t="n">
        <v>0</v>
      </c>
      <c r="J2232" s="7" t="n">
        <v>0</v>
      </c>
      <c r="K2232" s="9" t="n">
        <v>0</v>
      </c>
      <c r="L2232" s="10" t="n">
        <v>53.33</v>
      </c>
      <c r="M2232" s="10" t="n">
        <v>1.43</v>
      </c>
      <c r="N2232" t="inlineStr">
        <is>
          <t>1</t>
        </is>
      </c>
      <c r="O2232" t="inlineStr">
        <is>
          <t>16</t>
        </is>
      </c>
      <c r="P2232" t="inlineStr">
        <is>
          <t xml:space="preserve">0       </t>
        </is>
      </c>
      <c r="Q2232" s="26" t="n">
        <v>119</v>
      </c>
      <c r="R2232" s="26">
        <f>Q2232*G2232</f>
        <v/>
      </c>
      <c r="S2232" t="n">
        <v>70.59</v>
      </c>
      <c r="T2232" s="18">
        <f>1 - V2232/S2232</f>
        <v/>
      </c>
      <c r="U2232" s="18" t="n">
        <v>0.2445378151260503</v>
      </c>
      <c r="V2232" s="26" t="n">
        <v>60.94915254237289</v>
      </c>
      <c r="W2232" s="26">
        <f>V2232 - L2232</f>
        <v/>
      </c>
    </row>
    <row r="2233">
      <c r="A2233" s="11" t="n">
        <v>46226</v>
      </c>
      <c r="B2233" s="1" t="n">
        <v>20040</v>
      </c>
      <c r="C2233" s="1" t="inlineStr">
        <is>
          <t>832</t>
        </is>
      </c>
      <c r="D2233" s="1" t="inlineStr">
        <is>
          <t xml:space="preserve">3463  </t>
        </is>
      </c>
      <c r="E2233" s="1" t="inlineStr">
        <is>
          <t xml:space="preserve">31754675       </t>
        </is>
      </c>
      <c r="F2233" s="5" t="inlineStr">
        <is>
          <t>INFINITY NADO SERIE 6 STARTER PACK - 4 MODELOS</t>
        </is>
      </c>
      <c r="G2233" t="n">
        <v>1</v>
      </c>
      <c r="H2233" s="7" t="n">
        <v>49.9</v>
      </c>
      <c r="I2233" s="7" t="n">
        <v>4.99</v>
      </c>
      <c r="J2233" s="7" t="n">
        <v>0</v>
      </c>
      <c r="K2233" s="9" t="n">
        <v>4.99</v>
      </c>
      <c r="L2233" s="10" t="n">
        <v>26.64</v>
      </c>
      <c r="M2233" s="10" t="n">
        <v>1.43</v>
      </c>
      <c r="N2233" t="inlineStr">
        <is>
          <t>1</t>
        </is>
      </c>
      <c r="O2233" t="inlineStr">
        <is>
          <t>16</t>
        </is>
      </c>
      <c r="P2233" t="inlineStr">
        <is>
          <t xml:space="preserve">0       </t>
        </is>
      </c>
      <c r="Q2233" s="26" t="n">
        <v>69.90000000000001</v>
      </c>
      <c r="R2233" s="26">
        <f>Q2233*G2233</f>
        <v/>
      </c>
      <c r="S2233" t="n">
        <v>41.47</v>
      </c>
      <c r="T2233" s="18">
        <f>1 - V2233/S2233</f>
        <v/>
      </c>
      <c r="U2233" s="18" t="n">
        <v>0.2861230329041489</v>
      </c>
      <c r="V2233" s="26" t="n">
        <v>31.71610169491525</v>
      </c>
      <c r="W2233" s="26">
        <f>V2233 - L2233</f>
        <v/>
      </c>
    </row>
    <row r="2234">
      <c r="A2234" s="11" t="n">
        <v>46226</v>
      </c>
      <c r="B2234" s="1" t="n">
        <v>20041</v>
      </c>
      <c r="C2234" s="1" t="inlineStr">
        <is>
          <t>031</t>
        </is>
      </c>
      <c r="D2234" s="1" t="inlineStr">
        <is>
          <t>166403</t>
        </is>
      </c>
      <c r="E2234" s="1" t="inlineStr">
        <is>
          <t xml:space="preserve">28194770       </t>
        </is>
      </c>
      <c r="F2234" s="5" t="inlineStr">
        <is>
          <t>AUTOS DE METAL 3 TEAMSTERZ EN BLISTER</t>
        </is>
      </c>
      <c r="G2234" t="n">
        <v>1</v>
      </c>
      <c r="H2234" s="7" t="n">
        <v>6.9</v>
      </c>
      <c r="I2234" s="7" t="n">
        <v>0</v>
      </c>
      <c r="J2234" s="7" t="n">
        <v>0</v>
      </c>
      <c r="K2234" s="9" t="n">
        <v>0</v>
      </c>
      <c r="L2234" s="10" t="n">
        <v>4.1</v>
      </c>
      <c r="M2234" s="10" t="n">
        <v>1.43</v>
      </c>
      <c r="N2234" t="inlineStr">
        <is>
          <t>1</t>
        </is>
      </c>
      <c r="O2234" t="inlineStr">
        <is>
          <t>16</t>
        </is>
      </c>
      <c r="P2234" t="inlineStr">
        <is>
          <t xml:space="preserve">245842  </t>
        </is>
      </c>
      <c r="Q2234" s="26" t="n">
        <v>6.9</v>
      </c>
      <c r="R2234" s="26">
        <f>Q2234*G2234</f>
        <v/>
      </c>
      <c r="S2234" t="n">
        <v>4.09</v>
      </c>
      <c r="T2234" s="18">
        <f>1 - V2234/S2234</f>
        <v/>
      </c>
      <c r="U2234" s="18" t="n">
        <v>0</v>
      </c>
      <c r="V2234" s="26" t="n">
        <v>4.09</v>
      </c>
      <c r="W2234" s="26">
        <f>V2234 - L2234</f>
        <v/>
      </c>
    </row>
    <row r="2235">
      <c r="A2235" s="11" t="n">
        <v>46226</v>
      </c>
      <c r="B2235" s="1" t="n">
        <v>20041</v>
      </c>
      <c r="C2235" s="1" t="inlineStr">
        <is>
          <t>031</t>
        </is>
      </c>
      <c r="D2235" s="1" t="inlineStr">
        <is>
          <t>166403</t>
        </is>
      </c>
      <c r="E2235" s="1" t="inlineStr">
        <is>
          <t xml:space="preserve">28194770       </t>
        </is>
      </c>
      <c r="F2235" s="5" t="inlineStr">
        <is>
          <t>AUTOS DE METAL 3 TEAMSTERZ EN BLISTER</t>
        </is>
      </c>
      <c r="G2235" t="n">
        <v>1</v>
      </c>
      <c r="H2235" s="7" t="n">
        <v>6.9</v>
      </c>
      <c r="I2235" s="7" t="n">
        <v>0</v>
      </c>
      <c r="J2235" s="7" t="n">
        <v>0</v>
      </c>
      <c r="K2235" s="9" t="n">
        <v>0</v>
      </c>
      <c r="L2235" s="10" t="n">
        <v>4.1</v>
      </c>
      <c r="M2235" s="10" t="n">
        <v>1.43</v>
      </c>
      <c r="N2235" t="inlineStr">
        <is>
          <t>1</t>
        </is>
      </c>
      <c r="O2235" t="inlineStr">
        <is>
          <t>16</t>
        </is>
      </c>
      <c r="P2235" t="inlineStr">
        <is>
          <t xml:space="preserve">245842  </t>
        </is>
      </c>
      <c r="Q2235" s="26" t="n">
        <v>6.9</v>
      </c>
      <c r="R2235" s="26">
        <f>Q2235*G2235</f>
        <v/>
      </c>
      <c r="S2235" t="n">
        <v>4.09</v>
      </c>
      <c r="T2235" s="18">
        <f>1 - V2235/S2235</f>
        <v/>
      </c>
      <c r="U2235" s="18" t="n">
        <v>0</v>
      </c>
      <c r="V2235" s="26" t="n">
        <v>4.09</v>
      </c>
      <c r="W2235" s="26">
        <f>V2235 - L2235</f>
        <v/>
      </c>
    </row>
    <row r="2236">
      <c r="A2236" s="11" t="n">
        <v>46226</v>
      </c>
      <c r="B2236" s="1" t="n">
        <v>20041</v>
      </c>
      <c r="C2236" s="1" t="inlineStr">
        <is>
          <t>037</t>
        </is>
      </c>
      <c r="D2236" s="1" t="inlineStr">
        <is>
          <t>189998</t>
        </is>
      </c>
      <c r="E2236" s="1" t="inlineStr">
        <is>
          <t xml:space="preserve">28194770       </t>
        </is>
      </c>
      <c r="F2236" s="5" t="inlineStr">
        <is>
          <t>AUTOS DE METAL 3 TEAMSTERZ EN BLISTER</t>
        </is>
      </c>
      <c r="G2236" t="n">
        <v>1</v>
      </c>
      <c r="H2236" s="7" t="n">
        <v>6.9</v>
      </c>
      <c r="I2236" s="7" t="n">
        <v>0</v>
      </c>
      <c r="J2236" s="7" t="n">
        <v>0</v>
      </c>
      <c r="K2236" s="9" t="n">
        <v>0</v>
      </c>
      <c r="L2236" s="10" t="n">
        <v>4.1</v>
      </c>
      <c r="M2236" s="10" t="n">
        <v>1.43</v>
      </c>
      <c r="N2236" t="inlineStr">
        <is>
          <t>1</t>
        </is>
      </c>
      <c r="O2236" t="inlineStr">
        <is>
          <t>16</t>
        </is>
      </c>
      <c r="P2236" t="inlineStr">
        <is>
          <t xml:space="preserve">245842  </t>
        </is>
      </c>
      <c r="Q2236" s="26" t="n">
        <v>6.9</v>
      </c>
      <c r="R2236" s="26">
        <f>Q2236*G2236</f>
        <v/>
      </c>
      <c r="S2236" t="n">
        <v>4.09</v>
      </c>
      <c r="T2236" s="18">
        <f>1 - V2236/S2236</f>
        <v/>
      </c>
      <c r="U2236" s="18" t="n">
        <v>0</v>
      </c>
      <c r="V2236" s="26" t="n">
        <v>4.09</v>
      </c>
      <c r="W2236" s="26">
        <f>V2236 - L2236</f>
        <v/>
      </c>
    </row>
    <row r="2237">
      <c r="A2237" s="11" t="n">
        <v>46226</v>
      </c>
      <c r="B2237" s="1" t="n">
        <v>20041</v>
      </c>
      <c r="C2237" s="1" t="inlineStr">
        <is>
          <t>037</t>
        </is>
      </c>
      <c r="D2237" s="1" t="inlineStr">
        <is>
          <t>190010</t>
        </is>
      </c>
      <c r="E2237" s="1" t="inlineStr">
        <is>
          <t xml:space="preserve">29235700       </t>
        </is>
      </c>
      <c r="F2237" s="5" t="inlineStr">
        <is>
          <t>HOT WHEELS CASE METALICO PARA GUARDAR 18 CARRITOS</t>
        </is>
      </c>
      <c r="G2237" t="n">
        <v>1</v>
      </c>
      <c r="H2237" s="7" t="n">
        <v>49.9</v>
      </c>
      <c r="I2237" s="7" t="n">
        <v>0</v>
      </c>
      <c r="J2237" s="7" t="n">
        <v>0</v>
      </c>
      <c r="K2237" s="9" t="n">
        <v>0</v>
      </c>
      <c r="L2237" s="10" t="n">
        <v>29.6</v>
      </c>
      <c r="M2237" s="10" t="n">
        <v>1.43</v>
      </c>
      <c r="N2237" t="inlineStr">
        <is>
          <t>1</t>
        </is>
      </c>
      <c r="O2237" t="inlineStr">
        <is>
          <t>16</t>
        </is>
      </c>
      <c r="P2237" t="inlineStr">
        <is>
          <t xml:space="preserve">245842  </t>
        </is>
      </c>
      <c r="Q2237" s="26" t="n">
        <v>49.90000000000001</v>
      </c>
      <c r="R2237" s="26">
        <f>Q2237*G2237</f>
        <v/>
      </c>
      <c r="S2237" t="n">
        <v>29.6</v>
      </c>
      <c r="T2237" s="18">
        <f>1 - V2237/S2237</f>
        <v/>
      </c>
      <c r="U2237" s="18" t="n">
        <v>0</v>
      </c>
      <c r="V2237" s="26" t="n">
        <v>29.6</v>
      </c>
      <c r="W2237" s="26">
        <f>V2237 - L2237</f>
        <v/>
      </c>
    </row>
    <row r="2238">
      <c r="A2238" s="11" t="n">
        <v>46226</v>
      </c>
      <c r="B2238" s="1" t="n">
        <v>20041</v>
      </c>
      <c r="C2238" s="1" t="inlineStr">
        <is>
          <t>037</t>
        </is>
      </c>
      <c r="D2238" s="1" t="inlineStr">
        <is>
          <t>190022</t>
        </is>
      </c>
      <c r="E2238" s="1" t="inlineStr">
        <is>
          <t xml:space="preserve">28194770       </t>
        </is>
      </c>
      <c r="F2238" s="5" t="inlineStr">
        <is>
          <t>AUTOS DE METAL 3 TEAMSTERZ EN BLISTER</t>
        </is>
      </c>
      <c r="G2238" t="n">
        <v>1</v>
      </c>
      <c r="H2238" s="7" t="n">
        <v>6.9</v>
      </c>
      <c r="I2238" s="7" t="n">
        <v>0</v>
      </c>
      <c r="J2238" s="7" t="n">
        <v>0</v>
      </c>
      <c r="K2238" s="9" t="n">
        <v>0</v>
      </c>
      <c r="L2238" s="10" t="n">
        <v>4.1</v>
      </c>
      <c r="M2238" s="10" t="n">
        <v>1.43</v>
      </c>
      <c r="N2238" t="inlineStr">
        <is>
          <t>1</t>
        </is>
      </c>
      <c r="O2238" t="inlineStr">
        <is>
          <t xml:space="preserve">2 </t>
        </is>
      </c>
      <c r="P2238" t="inlineStr">
        <is>
          <t xml:space="preserve">245842  </t>
        </is>
      </c>
      <c r="Q2238" s="26" t="n">
        <v>6.9</v>
      </c>
      <c r="R2238" s="26">
        <f>Q2238*G2238</f>
        <v/>
      </c>
      <c r="S2238" t="n">
        <v>4.09</v>
      </c>
      <c r="T2238" s="18">
        <f>1 - V2238/S2238</f>
        <v/>
      </c>
      <c r="U2238" s="18" t="n">
        <v>0</v>
      </c>
      <c r="V2238" s="26" t="n">
        <v>4.09</v>
      </c>
      <c r="W2238" s="26">
        <f>V2238 - L2238</f>
        <v/>
      </c>
    </row>
    <row r="2239">
      <c r="A2239" s="11" t="n">
        <v>46226</v>
      </c>
      <c r="B2239" s="1" t="n">
        <v>20041</v>
      </c>
      <c r="C2239" s="1" t="inlineStr">
        <is>
          <t>037</t>
        </is>
      </c>
      <c r="D2239" s="1" t="inlineStr">
        <is>
          <t>190026</t>
        </is>
      </c>
      <c r="E2239" s="1" t="inlineStr">
        <is>
          <t xml:space="preserve">32656401       </t>
        </is>
      </c>
      <c r="F2239" s="5" t="inlineStr">
        <is>
          <t>DART ZONE MAX DICTATOR</t>
        </is>
      </c>
      <c r="G2239" t="n">
        <v>1</v>
      </c>
      <c r="H2239" s="7" t="n">
        <v>74.5</v>
      </c>
      <c r="I2239" s="7" t="n">
        <v>0</v>
      </c>
      <c r="J2239" s="7" t="n">
        <v>0</v>
      </c>
      <c r="K2239" s="9" t="n">
        <v>0</v>
      </c>
      <c r="L2239" s="10" t="n">
        <v>44.2</v>
      </c>
      <c r="M2239" s="10" t="n">
        <v>1.43</v>
      </c>
      <c r="N2239" t="inlineStr">
        <is>
          <t>1</t>
        </is>
      </c>
      <c r="O2239" t="inlineStr">
        <is>
          <t>16</t>
        </is>
      </c>
      <c r="P2239" t="inlineStr">
        <is>
          <t xml:space="preserve">245842  </t>
        </is>
      </c>
      <c r="Q2239" s="26" t="n">
        <v>149</v>
      </c>
      <c r="R2239" s="26">
        <f>Q2239*G2239</f>
        <v/>
      </c>
      <c r="S2239" t="n">
        <v>88.39</v>
      </c>
      <c r="T2239" s="18">
        <f>1 - V2239/S2239</f>
        <v/>
      </c>
      <c r="U2239" s="18" t="n">
        <v>0.5</v>
      </c>
      <c r="V2239" s="26" t="n">
        <v>56.82016949152543</v>
      </c>
      <c r="W2239" s="26">
        <f>V2239 - L2239</f>
        <v/>
      </c>
    </row>
    <row r="2240">
      <c r="A2240" s="11" t="n">
        <v>46226</v>
      </c>
      <c r="B2240" s="1" t="n">
        <v>20041</v>
      </c>
      <c r="C2240" s="1" t="inlineStr">
        <is>
          <t>037</t>
        </is>
      </c>
      <c r="D2240" s="1" t="inlineStr">
        <is>
          <t>190040</t>
        </is>
      </c>
      <c r="E2240" s="1" t="inlineStr">
        <is>
          <t xml:space="preserve">28194780       </t>
        </is>
      </c>
      <c r="F2240" s="5" t="inlineStr">
        <is>
          <t>TROMPO BATALLA INFINITY NADO PLSTICO SURTIDO</t>
        </is>
      </c>
      <c r="G2240" t="n">
        <v>1</v>
      </c>
      <c r="H2240" s="7" t="n">
        <v>19.9</v>
      </c>
      <c r="I2240" s="7" t="n">
        <v>0</v>
      </c>
      <c r="J2240" s="7" t="n">
        <v>0</v>
      </c>
      <c r="K2240" s="9" t="n">
        <v>0</v>
      </c>
      <c r="L2240" s="10" t="n">
        <v>11.8</v>
      </c>
      <c r="M2240" s="10" t="n">
        <v>1.43</v>
      </c>
      <c r="N2240" t="inlineStr">
        <is>
          <t>1</t>
        </is>
      </c>
      <c r="O2240" t="inlineStr">
        <is>
          <t>16</t>
        </is>
      </c>
      <c r="P2240" t="inlineStr">
        <is>
          <t xml:space="preserve">245842  </t>
        </is>
      </c>
      <c r="Q2240" s="26" t="n">
        <v>19.9</v>
      </c>
      <c r="R2240" s="26">
        <f>Q2240*G2240</f>
        <v/>
      </c>
      <c r="S2240" t="n">
        <v>11.81</v>
      </c>
      <c r="T2240" s="18">
        <f>1 - V2240/S2240</f>
        <v/>
      </c>
      <c r="U2240" s="18" t="n">
        <v>0</v>
      </c>
      <c r="V2240" s="26" t="n">
        <v>11.81</v>
      </c>
      <c r="W2240" s="26">
        <f>V2240 - L2240</f>
        <v/>
      </c>
    </row>
    <row r="2241">
      <c r="A2241" s="11" t="n">
        <v>46226</v>
      </c>
      <c r="B2241" s="1" t="n">
        <v>20041</v>
      </c>
      <c r="C2241" s="1" t="inlineStr">
        <is>
          <t>037</t>
        </is>
      </c>
      <c r="D2241" s="1" t="inlineStr">
        <is>
          <t>190066</t>
        </is>
      </c>
      <c r="E2241" s="1" t="inlineStr">
        <is>
          <t xml:space="preserve">28194770       </t>
        </is>
      </c>
      <c r="F2241" s="5" t="inlineStr">
        <is>
          <t>AUTOS DE METAL 3 TEAMSTERZ EN BLISTER</t>
        </is>
      </c>
      <c r="G2241" t="n">
        <v>1</v>
      </c>
      <c r="H2241" s="7" t="n">
        <v>6.9</v>
      </c>
      <c r="I2241" s="7" t="n">
        <v>0.6899999999999999</v>
      </c>
      <c r="J2241" s="7" t="n">
        <v>0</v>
      </c>
      <c r="K2241" s="9" t="n">
        <v>0.6899999999999999</v>
      </c>
      <c r="L2241" s="10" t="n">
        <v>3.68</v>
      </c>
      <c r="M2241" s="10" t="n">
        <v>1.43</v>
      </c>
      <c r="N2241" t="inlineStr">
        <is>
          <t>1</t>
        </is>
      </c>
      <c r="O2241" t="inlineStr">
        <is>
          <t xml:space="preserve">3 </t>
        </is>
      </c>
      <c r="P2241" t="inlineStr">
        <is>
          <t xml:space="preserve">242746  </t>
        </is>
      </c>
      <c r="Q2241" s="26" t="n">
        <v>6.9</v>
      </c>
      <c r="R2241" s="26">
        <f>Q2241*G2241</f>
        <v/>
      </c>
      <c r="S2241" t="n">
        <v>4.09</v>
      </c>
      <c r="T2241" s="18">
        <f>1 - V2241/S2241</f>
        <v/>
      </c>
      <c r="U2241" s="18" t="n">
        <v>0</v>
      </c>
      <c r="V2241" s="26" t="n">
        <v>4.09</v>
      </c>
      <c r="W2241" s="26">
        <f>V2241 - L2241</f>
        <v/>
      </c>
    </row>
    <row r="2242">
      <c r="A2242" s="11" t="n">
        <v>46226</v>
      </c>
      <c r="B2242" s="1" t="n">
        <v>20041</v>
      </c>
      <c r="C2242" s="1" t="inlineStr">
        <is>
          <t>037</t>
        </is>
      </c>
      <c r="D2242" s="1" t="inlineStr">
        <is>
          <t>190084</t>
        </is>
      </c>
      <c r="E2242" s="1" t="inlineStr">
        <is>
          <t xml:space="preserve">28194770       </t>
        </is>
      </c>
      <c r="F2242" s="5" t="inlineStr">
        <is>
          <t>AUTOS DE METAL 3 TEAMSTERZ EN BLISTER</t>
        </is>
      </c>
      <c r="G2242" t="n">
        <v>1</v>
      </c>
      <c r="H2242" s="7" t="n">
        <v>6.9</v>
      </c>
      <c r="I2242" s="7" t="n">
        <v>0.6899999999999999</v>
      </c>
      <c r="J2242" s="7" t="n">
        <v>0</v>
      </c>
      <c r="K2242" s="9" t="n">
        <v>0.6899999999999999</v>
      </c>
      <c r="L2242" s="10" t="n">
        <v>3.68</v>
      </c>
      <c r="M2242" s="10" t="n">
        <v>1.43</v>
      </c>
      <c r="N2242" t="inlineStr">
        <is>
          <t>1</t>
        </is>
      </c>
      <c r="O2242" t="inlineStr">
        <is>
          <t xml:space="preserve">3 </t>
        </is>
      </c>
      <c r="P2242" t="inlineStr">
        <is>
          <t xml:space="preserve">242746  </t>
        </is>
      </c>
      <c r="Q2242" s="26" t="n">
        <v>6.9</v>
      </c>
      <c r="R2242" s="26">
        <f>Q2242*G2242</f>
        <v/>
      </c>
      <c r="S2242" t="n">
        <v>4.09</v>
      </c>
      <c r="T2242" s="18">
        <f>1 - V2242/S2242</f>
        <v/>
      </c>
      <c r="U2242" s="18" t="n">
        <v>0</v>
      </c>
      <c r="V2242" s="26" t="n">
        <v>4.09</v>
      </c>
      <c r="W2242" s="26">
        <f>V2242 - L2242</f>
        <v/>
      </c>
    </row>
    <row r="2243">
      <c r="A2243" s="11" t="n">
        <v>46226</v>
      </c>
      <c r="B2243" s="1" t="n">
        <v>20043</v>
      </c>
      <c r="C2243" s="1" t="inlineStr">
        <is>
          <t>014</t>
        </is>
      </c>
      <c r="D2243" s="1" t="inlineStr">
        <is>
          <t>138026</t>
        </is>
      </c>
      <c r="E2243" s="1" t="inlineStr">
        <is>
          <t xml:space="preserve">28194770       </t>
        </is>
      </c>
      <c r="F2243" s="5" t="inlineStr">
        <is>
          <t>AUTOS DE METAL 3 TEAMSTERZ EN BLISTER</t>
        </is>
      </c>
      <c r="G2243" t="n">
        <v>1</v>
      </c>
      <c r="H2243" s="7" t="n">
        <v>6.9</v>
      </c>
      <c r="I2243" s="7" t="n">
        <v>0</v>
      </c>
      <c r="J2243" s="7" t="n">
        <v>0</v>
      </c>
      <c r="K2243" s="9" t="n">
        <v>0</v>
      </c>
      <c r="L2243" s="10" t="n">
        <v>4.1</v>
      </c>
      <c r="M2243" s="10" t="n">
        <v>1.43</v>
      </c>
      <c r="N2243" t="inlineStr">
        <is>
          <t>1</t>
        </is>
      </c>
      <c r="O2243" t="inlineStr">
        <is>
          <t>16</t>
        </is>
      </c>
      <c r="P2243" t="inlineStr">
        <is>
          <t xml:space="preserve">20505   </t>
        </is>
      </c>
      <c r="Q2243" s="26" t="n">
        <v>6.9</v>
      </c>
      <c r="R2243" s="26">
        <f>Q2243*G2243</f>
        <v/>
      </c>
      <c r="S2243" t="n">
        <v>4.09</v>
      </c>
      <c r="T2243" s="18">
        <f>1 - V2243/S2243</f>
        <v/>
      </c>
      <c r="U2243" s="18" t="n">
        <v>0</v>
      </c>
      <c r="V2243" s="26" t="n">
        <v>4.09</v>
      </c>
      <c r="W2243" s="26">
        <f>V2243 - L2243</f>
        <v/>
      </c>
    </row>
    <row r="2244">
      <c r="A2244" s="11" t="n">
        <v>46226</v>
      </c>
      <c r="B2244" s="1" t="n">
        <v>20043</v>
      </c>
      <c r="C2244" s="1" t="inlineStr">
        <is>
          <t>014</t>
        </is>
      </c>
      <c r="D2244" s="1" t="inlineStr">
        <is>
          <t>138065</t>
        </is>
      </c>
      <c r="E2244" s="1" t="inlineStr">
        <is>
          <t xml:space="preserve">28194770       </t>
        </is>
      </c>
      <c r="F2244" s="5" t="inlineStr">
        <is>
          <t>AUTOS DE METAL 3 TEAMSTERZ EN BLISTER</t>
        </is>
      </c>
      <c r="G2244" t="n">
        <v>1</v>
      </c>
      <c r="H2244" s="7" t="n">
        <v>6.9</v>
      </c>
      <c r="I2244" s="7" t="n">
        <v>1.38</v>
      </c>
      <c r="J2244" s="7" t="n">
        <v>0</v>
      </c>
      <c r="K2244" s="9" t="n">
        <v>1.38</v>
      </c>
      <c r="L2244" s="10" t="n">
        <v>3.28</v>
      </c>
      <c r="M2244" s="10" t="n">
        <v>1.43</v>
      </c>
      <c r="N2244" t="inlineStr">
        <is>
          <t>1</t>
        </is>
      </c>
      <c r="O2244" t="inlineStr">
        <is>
          <t>16</t>
        </is>
      </c>
      <c r="P2244" t="inlineStr">
        <is>
          <t xml:space="preserve">20505   </t>
        </is>
      </c>
      <c r="Q2244" s="26" t="n">
        <v>6.9</v>
      </c>
      <c r="R2244" s="26">
        <f>Q2244*G2244</f>
        <v/>
      </c>
      <c r="S2244" t="n">
        <v>4.09</v>
      </c>
      <c r="T2244" s="18">
        <f>1 - V2244/S2244</f>
        <v/>
      </c>
      <c r="U2244" s="18" t="n">
        <v>0</v>
      </c>
      <c r="V2244" s="26" t="n">
        <v>4.09</v>
      </c>
      <c r="W2244" s="26">
        <f>V2244 - L2244</f>
        <v/>
      </c>
    </row>
    <row r="2245">
      <c r="A2245" s="11" t="n">
        <v>46226</v>
      </c>
      <c r="B2245" s="1" t="n">
        <v>20043</v>
      </c>
      <c r="C2245" s="1" t="inlineStr">
        <is>
          <t>054</t>
        </is>
      </c>
      <c r="D2245" s="1" t="inlineStr">
        <is>
          <t xml:space="preserve">15463 </t>
        </is>
      </c>
      <c r="E2245" s="1" t="inlineStr">
        <is>
          <t xml:space="preserve">28194770       </t>
        </is>
      </c>
      <c r="F2245" s="5" t="inlineStr">
        <is>
          <t>AUTOS DE METAL 3 TEAMSTERZ EN BLISTER</t>
        </is>
      </c>
      <c r="G2245" t="n">
        <v>1</v>
      </c>
      <c r="H2245" s="7" t="n">
        <v>6.9</v>
      </c>
      <c r="I2245" s="7" t="n">
        <v>0.6899999999999999</v>
      </c>
      <c r="J2245" s="7" t="n">
        <v>0</v>
      </c>
      <c r="K2245" s="9" t="n">
        <v>0.6899999999999999</v>
      </c>
      <c r="L2245" s="10" t="n">
        <v>3.68</v>
      </c>
      <c r="M2245" s="10" t="n">
        <v>1.43</v>
      </c>
      <c r="N2245" t="inlineStr">
        <is>
          <t>1</t>
        </is>
      </c>
      <c r="O2245" t="inlineStr">
        <is>
          <t xml:space="preserve">3 </t>
        </is>
      </c>
      <c r="P2245" t="inlineStr">
        <is>
          <t xml:space="preserve">248415  </t>
        </is>
      </c>
      <c r="Q2245" s="26" t="n">
        <v>6.9</v>
      </c>
      <c r="R2245" s="26">
        <f>Q2245*G2245</f>
        <v/>
      </c>
      <c r="S2245" t="n">
        <v>4.09</v>
      </c>
      <c r="T2245" s="18">
        <f>1 - V2245/S2245</f>
        <v/>
      </c>
      <c r="U2245" s="18" t="n">
        <v>0</v>
      </c>
      <c r="V2245" s="26" t="n">
        <v>4.09</v>
      </c>
      <c r="W2245" s="26">
        <f>V2245 - L2245</f>
        <v/>
      </c>
    </row>
    <row r="2246">
      <c r="A2246" s="11" t="n">
        <v>46226</v>
      </c>
      <c r="B2246" s="1" t="n">
        <v>20043</v>
      </c>
      <c r="C2246" s="1" t="inlineStr">
        <is>
          <t>054</t>
        </is>
      </c>
      <c r="D2246" s="1" t="inlineStr">
        <is>
          <t xml:space="preserve">15463 </t>
        </is>
      </c>
      <c r="E2246" s="1" t="inlineStr">
        <is>
          <t xml:space="preserve">30141766       </t>
        </is>
      </c>
      <c r="F2246" s="5" t="inlineStr">
        <is>
          <t>TMZ BEAST MACHINES AUTOS DE METAL BLISTER X 1</t>
        </is>
      </c>
      <c r="G2246" t="n">
        <v>1</v>
      </c>
      <c r="H2246" s="7" t="n">
        <v>7.9</v>
      </c>
      <c r="I2246" s="7" t="n">
        <v>0.79</v>
      </c>
      <c r="J2246" s="7" t="n">
        <v>0</v>
      </c>
      <c r="K2246" s="9" t="n">
        <v>0.79</v>
      </c>
      <c r="L2246" s="10" t="n">
        <v>4.22</v>
      </c>
      <c r="M2246" s="10" t="n">
        <v>1.43</v>
      </c>
      <c r="N2246" t="inlineStr">
        <is>
          <t>1</t>
        </is>
      </c>
      <c r="O2246" t="inlineStr">
        <is>
          <t xml:space="preserve">3 </t>
        </is>
      </c>
      <c r="P2246" t="inlineStr">
        <is>
          <t xml:space="preserve">248415  </t>
        </is>
      </c>
      <c r="Q2246" s="26" t="n">
        <v>7.9</v>
      </c>
      <c r="R2246" s="26">
        <f>Q2246*G2246</f>
        <v/>
      </c>
      <c r="S2246" t="n">
        <v>4.69</v>
      </c>
      <c r="T2246" s="18">
        <f>1 - V2246/S2246</f>
        <v/>
      </c>
      <c r="U2246" s="18" t="n">
        <v>0</v>
      </c>
      <c r="V2246" s="26" t="n">
        <v>4.69</v>
      </c>
      <c r="W2246" s="26">
        <f>V2246 - L2246</f>
        <v/>
      </c>
    </row>
    <row r="2247">
      <c r="A2247" s="11" t="n">
        <v>46226</v>
      </c>
      <c r="B2247" s="1" t="n">
        <v>20043</v>
      </c>
      <c r="C2247" s="1" t="inlineStr">
        <is>
          <t>054</t>
        </is>
      </c>
      <c r="D2247" s="1" t="inlineStr">
        <is>
          <t xml:space="preserve">15475 </t>
        </is>
      </c>
      <c r="E2247" s="1" t="inlineStr">
        <is>
          <t xml:space="preserve">28194770       </t>
        </is>
      </c>
      <c r="F2247" s="5" t="inlineStr">
        <is>
          <t>AUTOS DE METAL 3 TEAMSTERZ EN BLISTER</t>
        </is>
      </c>
      <c r="G2247" t="n">
        <v>1</v>
      </c>
      <c r="H2247" s="7" t="n">
        <v>6.9</v>
      </c>
      <c r="I2247" s="7" t="n">
        <v>0</v>
      </c>
      <c r="J2247" s="7" t="n">
        <v>0</v>
      </c>
      <c r="K2247" s="9" t="n">
        <v>0</v>
      </c>
      <c r="L2247" s="10" t="n">
        <v>4.1</v>
      </c>
      <c r="M2247" s="10" t="n">
        <v>1.43</v>
      </c>
      <c r="N2247" t="inlineStr">
        <is>
          <t>1</t>
        </is>
      </c>
      <c r="O2247" t="inlineStr">
        <is>
          <t>16</t>
        </is>
      </c>
      <c r="P2247" t="inlineStr">
        <is>
          <t xml:space="preserve">248415  </t>
        </is>
      </c>
      <c r="Q2247" s="26" t="n">
        <v>6.9</v>
      </c>
      <c r="R2247" s="26">
        <f>Q2247*G2247</f>
        <v/>
      </c>
      <c r="S2247" t="n">
        <v>4.09</v>
      </c>
      <c r="T2247" s="18">
        <f>1 - V2247/S2247</f>
        <v/>
      </c>
      <c r="U2247" s="18" t="n">
        <v>0</v>
      </c>
      <c r="V2247" s="26" t="n">
        <v>4.09</v>
      </c>
      <c r="W2247" s="26">
        <f>V2247 - L2247</f>
        <v/>
      </c>
    </row>
    <row r="2248">
      <c r="A2248" s="11" t="n">
        <v>46226</v>
      </c>
      <c r="B2248" s="1" t="n">
        <v>20043</v>
      </c>
      <c r="C2248" s="1" t="inlineStr">
        <is>
          <t>061</t>
        </is>
      </c>
      <c r="D2248" s="1" t="inlineStr">
        <is>
          <t>155480</t>
        </is>
      </c>
      <c r="E2248" s="1" t="inlineStr">
        <is>
          <t xml:space="preserve">28194770       </t>
        </is>
      </c>
      <c r="F2248" s="5" t="inlineStr">
        <is>
          <t>AUTOS DE METAL 3 TEAMSTERZ EN BLISTER</t>
        </is>
      </c>
      <c r="G2248" t="n">
        <v>1</v>
      </c>
      <c r="H2248" s="7" t="n">
        <v>6.9</v>
      </c>
      <c r="I2248" s="7" t="n">
        <v>0</v>
      </c>
      <c r="J2248" s="7" t="n">
        <v>0</v>
      </c>
      <c r="K2248" s="9" t="n">
        <v>0</v>
      </c>
      <c r="L2248" s="10" t="n">
        <v>4.1</v>
      </c>
      <c r="M2248" s="10" t="n">
        <v>1.43</v>
      </c>
      <c r="N2248" t="inlineStr">
        <is>
          <t>1</t>
        </is>
      </c>
      <c r="O2248" t="inlineStr">
        <is>
          <t xml:space="preserve">2 </t>
        </is>
      </c>
      <c r="P2248" t="inlineStr">
        <is>
          <t xml:space="preserve">52184   </t>
        </is>
      </c>
      <c r="Q2248" s="26" t="n">
        <v>6.9</v>
      </c>
      <c r="R2248" s="26">
        <f>Q2248*G2248</f>
        <v/>
      </c>
      <c r="S2248" t="n">
        <v>4.09</v>
      </c>
      <c r="T2248" s="18">
        <f>1 - V2248/S2248</f>
        <v/>
      </c>
      <c r="U2248" s="18" t="n">
        <v>0</v>
      </c>
      <c r="V2248" s="26" t="n">
        <v>4.09</v>
      </c>
      <c r="W2248" s="26">
        <f>V2248 - L2248</f>
        <v/>
      </c>
    </row>
    <row r="2249">
      <c r="A2249" s="11" t="n">
        <v>46226</v>
      </c>
      <c r="B2249" s="1" t="n">
        <v>20043</v>
      </c>
      <c r="C2249" s="1" t="inlineStr">
        <is>
          <t>061</t>
        </is>
      </c>
      <c r="D2249" s="1" t="inlineStr">
        <is>
          <t>155480</t>
        </is>
      </c>
      <c r="E2249" s="1" t="inlineStr">
        <is>
          <t xml:space="preserve">28194770       </t>
        </is>
      </c>
      <c r="F2249" s="5" t="inlineStr">
        <is>
          <t>AUTOS DE METAL 3 TEAMSTERZ EN BLISTER</t>
        </is>
      </c>
      <c r="G2249" t="n">
        <v>1</v>
      </c>
      <c r="H2249" s="7" t="n">
        <v>6.9</v>
      </c>
      <c r="I2249" s="7" t="n">
        <v>0</v>
      </c>
      <c r="J2249" s="7" t="n">
        <v>0</v>
      </c>
      <c r="K2249" s="9" t="n">
        <v>0</v>
      </c>
      <c r="L2249" s="10" t="n">
        <v>4.1</v>
      </c>
      <c r="M2249" s="10" t="n">
        <v>1.43</v>
      </c>
      <c r="N2249" t="inlineStr">
        <is>
          <t>1</t>
        </is>
      </c>
      <c r="O2249" t="inlineStr">
        <is>
          <t xml:space="preserve">2 </t>
        </is>
      </c>
      <c r="P2249" t="inlineStr">
        <is>
          <t xml:space="preserve">52184   </t>
        </is>
      </c>
      <c r="Q2249" s="26" t="n">
        <v>6.9</v>
      </c>
      <c r="R2249" s="26">
        <f>Q2249*G2249</f>
        <v/>
      </c>
      <c r="S2249" t="n">
        <v>4.09</v>
      </c>
      <c r="T2249" s="18">
        <f>1 - V2249/S2249</f>
        <v/>
      </c>
      <c r="U2249" s="18" t="n">
        <v>0</v>
      </c>
      <c r="V2249" s="26" t="n">
        <v>4.09</v>
      </c>
      <c r="W2249" s="26">
        <f>V2249 - L2249</f>
        <v/>
      </c>
    </row>
    <row r="2250">
      <c r="A2250" s="11" t="n">
        <v>46226</v>
      </c>
      <c r="B2250" s="1" t="n">
        <v>20043</v>
      </c>
      <c r="C2250" s="1" t="inlineStr">
        <is>
          <t>061</t>
        </is>
      </c>
      <c r="D2250" s="1" t="inlineStr">
        <is>
          <t>155481</t>
        </is>
      </c>
      <c r="E2250" s="1" t="inlineStr">
        <is>
          <t xml:space="preserve">28194770       </t>
        </is>
      </c>
      <c r="F2250" s="5" t="inlineStr">
        <is>
          <t>AUTOS DE METAL 3 TEAMSTERZ EN BLISTER</t>
        </is>
      </c>
      <c r="G2250" t="n">
        <v>1</v>
      </c>
      <c r="H2250" s="7" t="n">
        <v>6.9</v>
      </c>
      <c r="I2250" s="7" t="n">
        <v>0</v>
      </c>
      <c r="J2250" s="7" t="n">
        <v>0</v>
      </c>
      <c r="K2250" s="9" t="n">
        <v>0</v>
      </c>
      <c r="L2250" s="10" t="n">
        <v>4.1</v>
      </c>
      <c r="M2250" s="10" t="n">
        <v>1.43</v>
      </c>
      <c r="N2250" t="inlineStr">
        <is>
          <t>1</t>
        </is>
      </c>
      <c r="O2250" t="inlineStr">
        <is>
          <t>16</t>
        </is>
      </c>
      <c r="P2250" t="inlineStr">
        <is>
          <t xml:space="preserve">52184   </t>
        </is>
      </c>
      <c r="Q2250" s="26" t="n">
        <v>6.9</v>
      </c>
      <c r="R2250" s="26">
        <f>Q2250*G2250</f>
        <v/>
      </c>
      <c r="S2250" t="n">
        <v>4.09</v>
      </c>
      <c r="T2250" s="18">
        <f>1 - V2250/S2250</f>
        <v/>
      </c>
      <c r="U2250" s="18" t="n">
        <v>0</v>
      </c>
      <c r="V2250" s="26" t="n">
        <v>4.09</v>
      </c>
      <c r="W2250" s="26">
        <f>V2250 - L2250</f>
        <v/>
      </c>
    </row>
    <row r="2251">
      <c r="A2251" s="11" t="n">
        <v>46226</v>
      </c>
      <c r="B2251" s="1" t="n">
        <v>20043</v>
      </c>
      <c r="C2251" s="1" t="inlineStr">
        <is>
          <t>061</t>
        </is>
      </c>
      <c r="D2251" s="1" t="inlineStr">
        <is>
          <t>155482</t>
        </is>
      </c>
      <c r="E2251" s="1" t="inlineStr">
        <is>
          <t xml:space="preserve">28194770       </t>
        </is>
      </c>
      <c r="F2251" s="5" t="inlineStr">
        <is>
          <t>AUTOS DE METAL 3 TEAMSTERZ EN BLISTER</t>
        </is>
      </c>
      <c r="G2251" t="n">
        <v>1</v>
      </c>
      <c r="H2251" s="7" t="n">
        <v>6.9</v>
      </c>
      <c r="I2251" s="7" t="n">
        <v>0</v>
      </c>
      <c r="J2251" s="7" t="n">
        <v>0</v>
      </c>
      <c r="K2251" s="9" t="n">
        <v>0</v>
      </c>
      <c r="L2251" s="10" t="n">
        <v>4.1</v>
      </c>
      <c r="M2251" s="10" t="n">
        <v>1.43</v>
      </c>
      <c r="N2251" t="inlineStr">
        <is>
          <t>1</t>
        </is>
      </c>
      <c r="O2251" t="inlineStr">
        <is>
          <t>16</t>
        </is>
      </c>
      <c r="P2251" t="inlineStr">
        <is>
          <t xml:space="preserve">52184   </t>
        </is>
      </c>
      <c r="Q2251" s="26" t="n">
        <v>6.9</v>
      </c>
      <c r="R2251" s="26">
        <f>Q2251*G2251</f>
        <v/>
      </c>
      <c r="S2251" t="n">
        <v>4.09</v>
      </c>
      <c r="T2251" s="18">
        <f>1 - V2251/S2251</f>
        <v/>
      </c>
      <c r="U2251" s="18" t="n">
        <v>0</v>
      </c>
      <c r="V2251" s="26" t="n">
        <v>4.09</v>
      </c>
      <c r="W2251" s="26">
        <f>V2251 - L2251</f>
        <v/>
      </c>
    </row>
    <row r="2252">
      <c r="A2252" s="11" t="n">
        <v>46226</v>
      </c>
      <c r="B2252" s="1" t="n">
        <v>20043</v>
      </c>
      <c r="C2252" s="1" t="inlineStr">
        <is>
          <t>061</t>
        </is>
      </c>
      <c r="D2252" s="1" t="inlineStr">
        <is>
          <t>155483</t>
        </is>
      </c>
      <c r="E2252" s="1" t="inlineStr">
        <is>
          <t xml:space="preserve">28194770       </t>
        </is>
      </c>
      <c r="F2252" s="5" t="inlineStr">
        <is>
          <t>AUTOS DE METAL 3 TEAMSTERZ EN BLISTER</t>
        </is>
      </c>
      <c r="G2252" t="n">
        <v>1</v>
      </c>
      <c r="H2252" s="7" t="n">
        <v>6.9</v>
      </c>
      <c r="I2252" s="7" t="n">
        <v>0</v>
      </c>
      <c r="J2252" s="7" t="n">
        <v>0</v>
      </c>
      <c r="K2252" s="9" t="n">
        <v>0</v>
      </c>
      <c r="L2252" s="10" t="n">
        <v>4.1</v>
      </c>
      <c r="M2252" s="10" t="n">
        <v>1.43</v>
      </c>
      <c r="N2252" t="inlineStr">
        <is>
          <t>1</t>
        </is>
      </c>
      <c r="O2252" t="inlineStr">
        <is>
          <t>16</t>
        </is>
      </c>
      <c r="P2252" t="inlineStr">
        <is>
          <t xml:space="preserve">52184   </t>
        </is>
      </c>
      <c r="Q2252" s="26" t="n">
        <v>6.9</v>
      </c>
      <c r="R2252" s="26">
        <f>Q2252*G2252</f>
        <v/>
      </c>
      <c r="S2252" t="n">
        <v>4.09</v>
      </c>
      <c r="T2252" s="18">
        <f>1 - V2252/S2252</f>
        <v/>
      </c>
      <c r="U2252" s="18" t="n">
        <v>0</v>
      </c>
      <c r="V2252" s="26" t="n">
        <v>4.09</v>
      </c>
      <c r="W2252" s="26">
        <f>V2252 - L2252</f>
        <v/>
      </c>
    </row>
    <row r="2253">
      <c r="A2253" s="11" t="n">
        <v>46226</v>
      </c>
      <c r="B2253" s="1" t="n">
        <v>20043</v>
      </c>
      <c r="C2253" s="1" t="inlineStr">
        <is>
          <t>061</t>
        </is>
      </c>
      <c r="D2253" s="1" t="inlineStr">
        <is>
          <t>155503</t>
        </is>
      </c>
      <c r="E2253" s="1" t="inlineStr">
        <is>
          <t xml:space="preserve">28194769       </t>
        </is>
      </c>
      <c r="F2253" s="5" t="inlineStr">
        <is>
          <t>AUTOS DE METAL 3 TEAMSTERZ PACK DE 2</t>
        </is>
      </c>
      <c r="G2253" t="n">
        <v>1</v>
      </c>
      <c r="H2253" s="7" t="n">
        <v>13.8</v>
      </c>
      <c r="I2253" s="7" t="n">
        <v>1.38</v>
      </c>
      <c r="J2253" s="7" t="n">
        <v>0</v>
      </c>
      <c r="K2253" s="9" t="n">
        <v>1.38</v>
      </c>
      <c r="L2253" s="10" t="n">
        <v>7.37</v>
      </c>
      <c r="M2253" s="10" t="n">
        <v>1.43</v>
      </c>
      <c r="N2253" t="inlineStr">
        <is>
          <t>1</t>
        </is>
      </c>
      <c r="O2253" t="inlineStr">
        <is>
          <t xml:space="preserve">3 </t>
        </is>
      </c>
      <c r="P2253" t="inlineStr">
        <is>
          <t xml:space="preserve">52184   </t>
        </is>
      </c>
      <c r="Q2253" s="26" t="n">
        <v>13.8</v>
      </c>
      <c r="R2253" s="26">
        <f>Q2253*G2253</f>
        <v/>
      </c>
      <c r="S2253" t="n">
        <v>8.19</v>
      </c>
      <c r="T2253" s="18">
        <f>1 - V2253/S2253</f>
        <v/>
      </c>
      <c r="U2253" s="18" t="n">
        <v>0</v>
      </c>
      <c r="V2253" s="26" t="n">
        <v>8.19</v>
      </c>
      <c r="W2253" s="26">
        <f>V2253 - L2253</f>
        <v/>
      </c>
    </row>
    <row r="2254">
      <c r="A2254" s="11" t="n">
        <v>46226</v>
      </c>
      <c r="B2254" s="1" t="n">
        <v>20043</v>
      </c>
      <c r="C2254" s="1" t="inlineStr">
        <is>
          <t>061</t>
        </is>
      </c>
      <c r="D2254" s="1" t="inlineStr">
        <is>
          <t>155504</t>
        </is>
      </c>
      <c r="E2254" s="1" t="inlineStr">
        <is>
          <t xml:space="preserve">28194770       </t>
        </is>
      </c>
      <c r="F2254" s="5" t="inlineStr">
        <is>
          <t>AUTOS DE METAL 3 TEAMSTERZ EN BLISTER</t>
        </is>
      </c>
      <c r="G2254" t="n">
        <v>1</v>
      </c>
      <c r="H2254" s="7" t="n">
        <v>6.9</v>
      </c>
      <c r="I2254" s="7" t="n">
        <v>0.6899999999999999</v>
      </c>
      <c r="J2254" s="7" t="n">
        <v>0</v>
      </c>
      <c r="K2254" s="9" t="n">
        <v>0.6899999999999999</v>
      </c>
      <c r="L2254" s="10" t="n">
        <v>3.68</v>
      </c>
      <c r="M2254" s="10" t="n">
        <v>1.43</v>
      </c>
      <c r="N2254" t="inlineStr">
        <is>
          <t>1</t>
        </is>
      </c>
      <c r="O2254" t="inlineStr">
        <is>
          <t xml:space="preserve">3 </t>
        </is>
      </c>
      <c r="P2254" t="inlineStr">
        <is>
          <t xml:space="preserve">52184   </t>
        </is>
      </c>
      <c r="Q2254" s="26" t="n">
        <v>6.9</v>
      </c>
      <c r="R2254" s="26">
        <f>Q2254*G2254</f>
        <v/>
      </c>
      <c r="S2254" t="n">
        <v>4.09</v>
      </c>
      <c r="T2254" s="18">
        <f>1 - V2254/S2254</f>
        <v/>
      </c>
      <c r="U2254" s="18" t="n">
        <v>0</v>
      </c>
      <c r="V2254" s="26" t="n">
        <v>4.09</v>
      </c>
      <c r="W2254" s="26">
        <f>V2254 - L2254</f>
        <v/>
      </c>
    </row>
    <row r="2255">
      <c r="A2255" s="11" t="n">
        <v>46226</v>
      </c>
      <c r="B2255" s="1" t="n">
        <v>20047</v>
      </c>
      <c r="C2255" s="1" t="inlineStr">
        <is>
          <t>191</t>
        </is>
      </c>
      <c r="D2255" s="1" t="inlineStr">
        <is>
          <t>463062</t>
        </is>
      </c>
      <c r="E2255" s="1" t="inlineStr">
        <is>
          <t xml:space="preserve">28194770       </t>
        </is>
      </c>
      <c r="F2255" s="5" t="inlineStr">
        <is>
          <t>AUTOS DE METAL 3 TEAMSTERZ EN BLISTER</t>
        </is>
      </c>
      <c r="G2255" t="n">
        <v>1</v>
      </c>
      <c r="H2255" s="7" t="n">
        <v>6.9</v>
      </c>
      <c r="I2255" s="7" t="n">
        <v>0.6899999999999999</v>
      </c>
      <c r="J2255" s="7" t="n">
        <v>0</v>
      </c>
      <c r="K2255" s="9" t="n">
        <v>0.6899999999999999</v>
      </c>
      <c r="L2255" s="10" t="n">
        <v>3.68</v>
      </c>
      <c r="M2255" s="10" t="n">
        <v>1.43</v>
      </c>
      <c r="N2255" t="inlineStr">
        <is>
          <t>1</t>
        </is>
      </c>
      <c r="O2255" t="inlineStr">
        <is>
          <t xml:space="preserve">3 </t>
        </is>
      </c>
      <c r="P2255" t="inlineStr">
        <is>
          <t xml:space="preserve">245750  </t>
        </is>
      </c>
      <c r="Q2255" s="26" t="n">
        <v>6.9</v>
      </c>
      <c r="R2255" s="26">
        <f>Q2255*G2255</f>
        <v/>
      </c>
      <c r="S2255" t="n">
        <v>4.09</v>
      </c>
      <c r="T2255" s="18">
        <f>1 - V2255/S2255</f>
        <v/>
      </c>
      <c r="U2255" s="18" t="n">
        <v>0</v>
      </c>
      <c r="V2255" s="26" t="n">
        <v>4.09</v>
      </c>
      <c r="W2255" s="26">
        <f>V2255 - L2255</f>
        <v/>
      </c>
    </row>
    <row r="2256">
      <c r="A2256" s="11" t="n">
        <v>46226</v>
      </c>
      <c r="B2256" s="1" t="n">
        <v>20047</v>
      </c>
      <c r="C2256" s="1" t="inlineStr">
        <is>
          <t>191</t>
        </is>
      </c>
      <c r="D2256" s="1" t="inlineStr">
        <is>
          <t>463127</t>
        </is>
      </c>
      <c r="E2256" s="1" t="inlineStr">
        <is>
          <t xml:space="preserve">28194770       </t>
        </is>
      </c>
      <c r="F2256" s="5" t="inlineStr">
        <is>
          <t>AUTOS DE METAL 3 TEAMSTERZ EN BLISTER</t>
        </is>
      </c>
      <c r="G2256" t="n">
        <v>1</v>
      </c>
      <c r="H2256" s="7" t="n">
        <v>6.9</v>
      </c>
      <c r="I2256" s="7" t="n">
        <v>0.6899999999999999</v>
      </c>
      <c r="J2256" s="7" t="n">
        <v>0</v>
      </c>
      <c r="K2256" s="9" t="n">
        <v>0.6899999999999999</v>
      </c>
      <c r="L2256" s="10" t="n">
        <v>3.68</v>
      </c>
      <c r="M2256" s="10" t="n">
        <v>1.43</v>
      </c>
      <c r="N2256" t="inlineStr">
        <is>
          <t>1</t>
        </is>
      </c>
      <c r="O2256" t="inlineStr">
        <is>
          <t xml:space="preserve">3 </t>
        </is>
      </c>
      <c r="P2256" t="inlineStr">
        <is>
          <t xml:space="preserve">245862  </t>
        </is>
      </c>
      <c r="Q2256" s="26" t="n">
        <v>6.9</v>
      </c>
      <c r="R2256" s="26">
        <f>Q2256*G2256</f>
        <v/>
      </c>
      <c r="S2256" t="n">
        <v>4.09</v>
      </c>
      <c r="T2256" s="18">
        <f>1 - V2256/S2256</f>
        <v/>
      </c>
      <c r="U2256" s="18" t="n">
        <v>0</v>
      </c>
      <c r="V2256" s="26" t="n">
        <v>4.09</v>
      </c>
      <c r="W2256" s="26">
        <f>V2256 - L2256</f>
        <v/>
      </c>
    </row>
    <row r="2257">
      <c r="A2257" s="11" t="n">
        <v>46226</v>
      </c>
      <c r="B2257" s="1" t="n">
        <v>20047</v>
      </c>
      <c r="C2257" s="1" t="inlineStr">
        <is>
          <t>191</t>
        </is>
      </c>
      <c r="D2257" s="1" t="inlineStr">
        <is>
          <t>463132</t>
        </is>
      </c>
      <c r="E2257" s="1" t="inlineStr">
        <is>
          <t xml:space="preserve">28194770       </t>
        </is>
      </c>
      <c r="F2257" s="5" t="inlineStr">
        <is>
          <t>AUTOS DE METAL 3 TEAMSTERZ EN BLISTER</t>
        </is>
      </c>
      <c r="G2257" t="n">
        <v>1</v>
      </c>
      <c r="H2257" s="7" t="n">
        <v>6.9</v>
      </c>
      <c r="I2257" s="7" t="n">
        <v>0</v>
      </c>
      <c r="J2257" s="7" t="n">
        <v>0</v>
      </c>
      <c r="K2257" s="9" t="n">
        <v>0</v>
      </c>
      <c r="L2257" s="10" t="n">
        <v>4.1</v>
      </c>
      <c r="M2257" s="10" t="n">
        <v>1.43</v>
      </c>
      <c r="N2257" t="inlineStr">
        <is>
          <t>1</t>
        </is>
      </c>
      <c r="O2257" t="inlineStr">
        <is>
          <t xml:space="preserve">2 </t>
        </is>
      </c>
      <c r="P2257" t="inlineStr">
        <is>
          <t xml:space="preserve">245862  </t>
        </is>
      </c>
      <c r="Q2257" s="26" t="n">
        <v>6.9</v>
      </c>
      <c r="R2257" s="26">
        <f>Q2257*G2257</f>
        <v/>
      </c>
      <c r="S2257" t="n">
        <v>4.09</v>
      </c>
      <c r="T2257" s="18">
        <f>1 - V2257/S2257</f>
        <v/>
      </c>
      <c r="U2257" s="18" t="n">
        <v>0</v>
      </c>
      <c r="V2257" s="26" t="n">
        <v>4.09</v>
      </c>
      <c r="W2257" s="26">
        <f>V2257 - L2257</f>
        <v/>
      </c>
    </row>
    <row r="2258">
      <c r="A2258" s="11" t="n">
        <v>46226</v>
      </c>
      <c r="B2258" s="1" t="n">
        <v>20047</v>
      </c>
      <c r="C2258" s="1" t="inlineStr">
        <is>
          <t>501</t>
        </is>
      </c>
      <c r="D2258" s="1" t="inlineStr">
        <is>
          <t xml:space="preserve">3318  </t>
        </is>
      </c>
      <c r="E2258" s="1" t="inlineStr">
        <is>
          <t xml:space="preserve">28194770       </t>
        </is>
      </c>
      <c r="F2258" s="5" t="inlineStr">
        <is>
          <t>AUTOS DE METAL 3 TEAMSTERZ EN BLISTER</t>
        </is>
      </c>
      <c r="G2258" t="n">
        <v>1</v>
      </c>
      <c r="H2258" s="7" t="n">
        <v>6.9</v>
      </c>
      <c r="I2258" s="7" t="n">
        <v>0.6899999999999999</v>
      </c>
      <c r="J2258" s="7" t="n">
        <v>0</v>
      </c>
      <c r="K2258" s="9" t="n">
        <v>0.6899999999999999</v>
      </c>
      <c r="L2258" s="10" t="n">
        <v>3.68</v>
      </c>
      <c r="M2258" s="10" t="n">
        <v>1.43</v>
      </c>
      <c r="N2258" t="inlineStr">
        <is>
          <t>1</t>
        </is>
      </c>
      <c r="O2258" t="inlineStr">
        <is>
          <t>16</t>
        </is>
      </c>
      <c r="P2258" t="inlineStr">
        <is>
          <t xml:space="preserve">242227  </t>
        </is>
      </c>
      <c r="Q2258" s="26" t="n">
        <v>6.9</v>
      </c>
      <c r="R2258" s="26">
        <f>Q2258*G2258</f>
        <v/>
      </c>
      <c r="S2258" t="n">
        <v>4.09</v>
      </c>
      <c r="T2258" s="18">
        <f>1 - V2258/S2258</f>
        <v/>
      </c>
      <c r="U2258" s="18" t="n">
        <v>0</v>
      </c>
      <c r="V2258" s="26" t="n">
        <v>4.09</v>
      </c>
      <c r="W2258" s="26">
        <f>V2258 - L2258</f>
        <v/>
      </c>
    </row>
    <row r="2259">
      <c r="A2259" s="11" t="n">
        <v>46226</v>
      </c>
      <c r="B2259" s="1" t="n">
        <v>20047</v>
      </c>
      <c r="C2259" s="1" t="inlineStr">
        <is>
          <t>501</t>
        </is>
      </c>
      <c r="D2259" s="1" t="inlineStr">
        <is>
          <t xml:space="preserve">3318  </t>
        </is>
      </c>
      <c r="E2259" s="1" t="inlineStr">
        <is>
          <t xml:space="preserve">32457106       </t>
        </is>
      </c>
      <c r="F2259" s="5" t="inlineStr">
        <is>
          <t>TMZ BEAST MACHINES PLAYSET DESASTRE DRAGON + 1 AUT</t>
        </is>
      </c>
      <c r="G2259" t="n">
        <v>1</v>
      </c>
      <c r="H2259" s="7" t="n">
        <v>49.9</v>
      </c>
      <c r="I2259" s="7" t="n">
        <v>4.99</v>
      </c>
      <c r="J2259" s="7" t="n">
        <v>0</v>
      </c>
      <c r="K2259" s="9" t="n">
        <v>4.99</v>
      </c>
      <c r="L2259" s="10" t="n">
        <v>26.64</v>
      </c>
      <c r="M2259" s="10" t="n">
        <v>1.43</v>
      </c>
      <c r="N2259" t="inlineStr">
        <is>
          <t>1</t>
        </is>
      </c>
      <c r="O2259" t="inlineStr">
        <is>
          <t>16</t>
        </is>
      </c>
      <c r="P2259" t="inlineStr">
        <is>
          <t xml:space="preserve">242227  </t>
        </is>
      </c>
      <c r="Q2259" s="26" t="n">
        <v>69.90000000000001</v>
      </c>
      <c r="R2259" s="26">
        <f>Q2259*G2259</f>
        <v/>
      </c>
      <c r="S2259" t="n">
        <v>41.47</v>
      </c>
      <c r="T2259" s="18">
        <f>1 - V2259/S2259</f>
        <v/>
      </c>
      <c r="U2259" s="18" t="n">
        <v>0.2861230329041489</v>
      </c>
      <c r="V2259" s="26" t="n">
        <v>31.71610169491525</v>
      </c>
      <c r="W2259" s="26">
        <f>V2259 - L2259</f>
        <v/>
      </c>
    </row>
    <row r="2260">
      <c r="A2260" s="11" t="n">
        <v>46226</v>
      </c>
      <c r="B2260" s="1" t="n">
        <v>20048</v>
      </c>
      <c r="C2260" s="1" t="inlineStr">
        <is>
          <t>013</t>
        </is>
      </c>
      <c r="D2260" s="1" t="inlineStr">
        <is>
          <t>226359</t>
        </is>
      </c>
      <c r="E2260" s="1" t="inlineStr">
        <is>
          <t xml:space="preserve">32457099       </t>
        </is>
      </c>
      <c r="F2260" s="5" t="inlineStr">
        <is>
          <t>TMZ BEAST MACHINES MONSTER JAWS A FRICCION BLISTER</t>
        </is>
      </c>
      <c r="G2260" t="n">
        <v>1</v>
      </c>
      <c r="H2260" s="7" t="n">
        <v>17.9</v>
      </c>
      <c r="I2260" s="7" t="n">
        <v>0</v>
      </c>
      <c r="J2260" s="7" t="n">
        <v>0</v>
      </c>
      <c r="K2260" s="9" t="n">
        <v>0</v>
      </c>
      <c r="L2260" s="10" t="n">
        <v>10.62</v>
      </c>
      <c r="M2260" s="10" t="n">
        <v>1.43</v>
      </c>
      <c r="N2260" t="inlineStr">
        <is>
          <t>1</t>
        </is>
      </c>
      <c r="O2260" t="inlineStr">
        <is>
          <t>16</t>
        </is>
      </c>
      <c r="P2260" t="inlineStr">
        <is>
          <t xml:space="preserve">82617   </t>
        </is>
      </c>
      <c r="Q2260" s="26" t="n">
        <v>19.9</v>
      </c>
      <c r="R2260" s="26">
        <f>Q2260*G2260</f>
        <v/>
      </c>
      <c r="S2260" t="n">
        <v>11.81</v>
      </c>
      <c r="T2260" s="18">
        <f>1 - V2260/S2260</f>
        <v/>
      </c>
      <c r="U2260" s="18" t="n">
        <v>0.1005025125628141</v>
      </c>
      <c r="V2260" s="26" t="n">
        <v>8.417118644067797</v>
      </c>
      <c r="W2260" s="26">
        <f>V2260 - L2260</f>
        <v/>
      </c>
    </row>
    <row r="2261">
      <c r="A2261" s="11" t="n">
        <v>46226</v>
      </c>
      <c r="B2261" s="1" t="n">
        <v>20048</v>
      </c>
      <c r="C2261" s="1" t="inlineStr">
        <is>
          <t>017</t>
        </is>
      </c>
      <c r="D2261" s="1" t="inlineStr">
        <is>
          <t>167475</t>
        </is>
      </c>
      <c r="E2261" s="1" t="inlineStr">
        <is>
          <t xml:space="preserve">30141768       </t>
        </is>
      </c>
      <c r="F2261" s="5" t="inlineStr">
        <is>
          <t>TMZ BEAST MACHINES AUTOS DE METAL PACK 10 AUTOS</t>
        </is>
      </c>
      <c r="G2261" t="n">
        <v>1</v>
      </c>
      <c r="H2261" s="7" t="n">
        <v>69</v>
      </c>
      <c r="I2261" s="7" t="n">
        <v>0</v>
      </c>
      <c r="J2261" s="7" t="n">
        <v>0</v>
      </c>
      <c r="K2261" s="9" t="n">
        <v>0</v>
      </c>
      <c r="L2261" s="10" t="n">
        <v>40.93</v>
      </c>
      <c r="M2261" s="10" t="n">
        <v>1.43</v>
      </c>
      <c r="N2261" t="inlineStr">
        <is>
          <t>1</t>
        </is>
      </c>
      <c r="O2261" t="inlineStr">
        <is>
          <t xml:space="preserve">2 </t>
        </is>
      </c>
      <c r="P2261" t="inlineStr">
        <is>
          <t xml:space="preserve">250434  </t>
        </is>
      </c>
      <c r="Q2261" s="26" t="n">
        <v>79</v>
      </c>
      <c r="R2261" s="26">
        <f>Q2261*G2261</f>
        <v/>
      </c>
      <c r="S2261" t="n">
        <v>46.86</v>
      </c>
      <c r="T2261" s="18">
        <f>1 - V2261/S2261</f>
        <v/>
      </c>
      <c r="U2261" s="18" t="n">
        <v>0.1265822784810127</v>
      </c>
      <c r="V2261" s="26" t="n">
        <v>43.85593220338983</v>
      </c>
      <c r="W2261" s="26">
        <f>V2261 - L2261</f>
        <v/>
      </c>
    </row>
    <row r="2262">
      <c r="A2262" s="11" t="n">
        <v>46226</v>
      </c>
      <c r="B2262" s="1" t="n">
        <v>20048</v>
      </c>
      <c r="C2262" s="1" t="inlineStr">
        <is>
          <t>018</t>
        </is>
      </c>
      <c r="D2262" s="1" t="inlineStr">
        <is>
          <t xml:space="preserve">47937 </t>
        </is>
      </c>
      <c r="E2262" s="1" t="inlineStr">
        <is>
          <t xml:space="preserve">30141766       </t>
        </is>
      </c>
      <c r="F2262" s="5" t="inlineStr">
        <is>
          <t>TMZ BEAST MACHINES AUTOS DE METAL BLISTER X 1</t>
        </is>
      </c>
      <c r="G2262" t="n">
        <v>1</v>
      </c>
      <c r="H2262" s="7" t="n">
        <v>7.9</v>
      </c>
      <c r="I2262" s="7" t="n">
        <v>0</v>
      </c>
      <c r="J2262" s="7" t="n">
        <v>0</v>
      </c>
      <c r="K2262" s="9" t="n">
        <v>0</v>
      </c>
      <c r="L2262" s="10" t="n">
        <v>4.68</v>
      </c>
      <c r="M2262" s="10" t="n">
        <v>1.43</v>
      </c>
      <c r="N2262" t="inlineStr">
        <is>
          <t>1</t>
        </is>
      </c>
      <c r="O2262" t="inlineStr">
        <is>
          <t>16</t>
        </is>
      </c>
      <c r="P2262" t="inlineStr">
        <is>
          <t xml:space="preserve">243717  </t>
        </is>
      </c>
      <c r="Q2262" s="26" t="n">
        <v>7.9</v>
      </c>
      <c r="R2262" s="26">
        <f>Q2262*G2262</f>
        <v/>
      </c>
      <c r="S2262" t="n">
        <v>4.69</v>
      </c>
      <c r="T2262" s="18">
        <f>1 - V2262/S2262</f>
        <v/>
      </c>
      <c r="U2262" s="18" t="n">
        <v>0</v>
      </c>
      <c r="V2262" s="26" t="n">
        <v>4.69</v>
      </c>
      <c r="W2262" s="26">
        <f>V2262 - L2262</f>
        <v/>
      </c>
    </row>
    <row r="2263">
      <c r="A2263" s="11" t="n">
        <v>46226</v>
      </c>
      <c r="B2263" s="1" t="n">
        <v>20048</v>
      </c>
      <c r="C2263" s="1" t="inlineStr">
        <is>
          <t>800</t>
        </is>
      </c>
      <c r="D2263" s="1" t="inlineStr">
        <is>
          <t xml:space="preserve">4710  </t>
        </is>
      </c>
      <c r="E2263" s="1" t="inlineStr">
        <is>
          <t xml:space="preserve">34840556       </t>
        </is>
      </c>
      <c r="F2263" s="5" t="inlineStr">
        <is>
          <t>TMZ BEAST MACH. TRANSPORT DINO +ACCS</t>
        </is>
      </c>
      <c r="G2263" t="n">
        <v>1</v>
      </c>
      <c r="H2263" s="7" t="n">
        <v>59.9</v>
      </c>
      <c r="I2263" s="7" t="n">
        <v>5.99</v>
      </c>
      <c r="J2263" s="7" t="n">
        <v>0</v>
      </c>
      <c r="K2263" s="9" t="n">
        <v>5.99</v>
      </c>
      <c r="L2263" s="10" t="n">
        <v>31.98</v>
      </c>
      <c r="M2263" s="10" t="n">
        <v>1.43</v>
      </c>
      <c r="N2263" t="inlineStr">
        <is>
          <t>1</t>
        </is>
      </c>
      <c r="O2263" t="inlineStr">
        <is>
          <t>16</t>
        </is>
      </c>
      <c r="P2263" t="inlineStr">
        <is>
          <t xml:space="preserve">234984  </t>
        </is>
      </c>
      <c r="Q2263" s="26" t="n">
        <v>79.90000000000002</v>
      </c>
      <c r="R2263" s="26">
        <f>Q2263*G2263</f>
        <v/>
      </c>
      <c r="S2263" t="n">
        <v>47.4</v>
      </c>
      <c r="T2263" s="18">
        <f>1 - V2263/S2263</f>
        <v/>
      </c>
      <c r="U2263" s="18" t="n">
        <v>0.2503128911138924</v>
      </c>
      <c r="V2263" s="26" t="n">
        <v>38.07203389830509</v>
      </c>
      <c r="W2263" s="26">
        <f>V2263 - L2263</f>
        <v/>
      </c>
    </row>
    <row r="2264">
      <c r="A2264" s="11" t="n">
        <v>46226</v>
      </c>
      <c r="B2264" s="1" t="n">
        <v>20048</v>
      </c>
      <c r="C2264" s="1" t="inlineStr">
        <is>
          <t>800</t>
        </is>
      </c>
      <c r="D2264" s="1" t="inlineStr">
        <is>
          <t xml:space="preserve">4714  </t>
        </is>
      </c>
      <c r="E2264" s="1" t="inlineStr">
        <is>
          <t xml:space="preserve">28194770       </t>
        </is>
      </c>
      <c r="F2264" s="5" t="inlineStr">
        <is>
          <t>AUTOS DE METAL 3 TEAMSTERZ EN BLISTER</t>
        </is>
      </c>
      <c r="G2264" t="n">
        <v>1</v>
      </c>
      <c r="H2264" s="7" t="n">
        <v>6.9</v>
      </c>
      <c r="I2264" s="7" t="n">
        <v>0</v>
      </c>
      <c r="J2264" s="7" t="n">
        <v>0</v>
      </c>
      <c r="K2264" s="9" t="n">
        <v>0</v>
      </c>
      <c r="L2264" s="10" t="n">
        <v>4.1</v>
      </c>
      <c r="M2264" s="10" t="n">
        <v>1.43</v>
      </c>
      <c r="N2264" t="inlineStr">
        <is>
          <t>1</t>
        </is>
      </c>
      <c r="O2264" t="inlineStr">
        <is>
          <t>16</t>
        </is>
      </c>
      <c r="P2264" t="inlineStr">
        <is>
          <t xml:space="preserve">234984  </t>
        </is>
      </c>
      <c r="Q2264" s="26" t="n">
        <v>6.9</v>
      </c>
      <c r="R2264" s="26">
        <f>Q2264*G2264</f>
        <v/>
      </c>
      <c r="S2264" t="n">
        <v>4.09</v>
      </c>
      <c r="T2264" s="18">
        <f>1 - V2264/S2264</f>
        <v/>
      </c>
      <c r="U2264" s="18" t="n">
        <v>0</v>
      </c>
      <c r="V2264" s="26" t="n">
        <v>4.09</v>
      </c>
      <c r="W2264" s="26">
        <f>V2264 - L2264</f>
        <v/>
      </c>
    </row>
    <row r="2265">
      <c r="A2265" s="11" t="n">
        <v>46226</v>
      </c>
      <c r="B2265" s="1" t="n">
        <v>20048</v>
      </c>
      <c r="C2265" s="1" t="inlineStr">
        <is>
          <t>801</t>
        </is>
      </c>
      <c r="D2265" s="1" t="inlineStr">
        <is>
          <t xml:space="preserve">6767  </t>
        </is>
      </c>
      <c r="E2265" s="1" t="inlineStr">
        <is>
          <t xml:space="preserve">28194770       </t>
        </is>
      </c>
      <c r="F2265" s="5" t="inlineStr">
        <is>
          <t>AUTOS DE METAL 3 TEAMSTERZ EN BLISTER</t>
        </is>
      </c>
      <c r="G2265" t="n">
        <v>3</v>
      </c>
      <c r="H2265" s="7" t="n">
        <v>20.7</v>
      </c>
      <c r="I2265" s="7" t="n">
        <v>0</v>
      </c>
      <c r="J2265" s="7" t="n">
        <v>0</v>
      </c>
      <c r="K2265" s="9" t="n">
        <v>0</v>
      </c>
      <c r="L2265" s="10" t="n">
        <v>12.27</v>
      </c>
      <c r="M2265" s="10" t="n">
        <v>1.43</v>
      </c>
      <c r="N2265" t="inlineStr">
        <is>
          <t>1</t>
        </is>
      </c>
      <c r="O2265" t="inlineStr">
        <is>
          <t>16</t>
        </is>
      </c>
      <c r="P2265" t="inlineStr">
        <is>
          <t xml:space="preserve">252197  </t>
        </is>
      </c>
      <c r="Q2265" s="26" t="n">
        <v>6.9</v>
      </c>
      <c r="R2265" s="26">
        <f>Q2265*G2265</f>
        <v/>
      </c>
      <c r="S2265" t="n">
        <v>12.27</v>
      </c>
      <c r="T2265" s="18">
        <f>1 - V2265/S2265</f>
        <v/>
      </c>
      <c r="U2265" s="18" t="n">
        <v>0</v>
      </c>
      <c r="V2265" s="26" t="n">
        <v>12.27</v>
      </c>
      <c r="W2265" s="26">
        <f>V2265 - L2265</f>
        <v/>
      </c>
    </row>
    <row r="2266">
      <c r="A2266" s="11" t="n">
        <v>46226</v>
      </c>
      <c r="B2266" s="1" t="n">
        <v>20049</v>
      </c>
      <c r="C2266" s="1" t="inlineStr">
        <is>
          <t>026</t>
        </is>
      </c>
      <c r="D2266" s="1" t="inlineStr">
        <is>
          <t>234191</t>
        </is>
      </c>
      <c r="E2266" s="1" t="inlineStr">
        <is>
          <t xml:space="preserve">28194770       </t>
        </is>
      </c>
      <c r="F2266" s="5" t="inlineStr">
        <is>
          <t>AUTOS DE METAL 3 TEAMSTERZ EN BLISTER</t>
        </is>
      </c>
      <c r="G2266" t="n">
        <v>1</v>
      </c>
      <c r="H2266" s="7" t="n">
        <v>6.9</v>
      </c>
      <c r="I2266" s="7" t="n">
        <v>0</v>
      </c>
      <c r="J2266" s="7" t="n">
        <v>0</v>
      </c>
      <c r="K2266" s="9" t="n">
        <v>0</v>
      </c>
      <c r="L2266" s="10" t="n">
        <v>4.1</v>
      </c>
      <c r="M2266" s="10" t="n">
        <v>1.43</v>
      </c>
      <c r="N2266" t="inlineStr">
        <is>
          <t>1</t>
        </is>
      </c>
      <c r="O2266" t="inlineStr">
        <is>
          <t xml:space="preserve">2 </t>
        </is>
      </c>
      <c r="P2266" t="inlineStr">
        <is>
          <t xml:space="preserve">249970  </t>
        </is>
      </c>
      <c r="Q2266" s="26" t="n">
        <v>6.9</v>
      </c>
      <c r="R2266" s="26">
        <f>Q2266*G2266</f>
        <v/>
      </c>
      <c r="S2266" t="n">
        <v>4.09</v>
      </c>
      <c r="T2266" s="18">
        <f>1 - V2266/S2266</f>
        <v/>
      </c>
      <c r="U2266" s="18" t="n">
        <v>0</v>
      </c>
      <c r="V2266" s="26" t="n">
        <v>4.09</v>
      </c>
      <c r="W2266" s="26">
        <f>V2266 - L2266</f>
        <v/>
      </c>
    </row>
    <row r="2267">
      <c r="A2267" s="11" t="n">
        <v>46226</v>
      </c>
      <c r="B2267" s="1" t="n">
        <v>20049</v>
      </c>
      <c r="C2267" s="1" t="inlineStr">
        <is>
          <t>030</t>
        </is>
      </c>
      <c r="D2267" s="1" t="inlineStr">
        <is>
          <t>114330</t>
        </is>
      </c>
      <c r="E2267" s="1" t="inlineStr">
        <is>
          <t xml:space="preserve">35685067       </t>
        </is>
      </c>
      <c r="F2267" s="5" t="inlineStr">
        <is>
          <t>HOT WHEELS POWER SET 3 EN 1</t>
        </is>
      </c>
      <c r="G2267" t="n">
        <v>1</v>
      </c>
      <c r="H2267" s="7" t="n">
        <v>49.9</v>
      </c>
      <c r="I2267" s="7" t="n">
        <v>4.99</v>
      </c>
      <c r="J2267" s="7" t="n">
        <v>0</v>
      </c>
      <c r="K2267" s="9" t="n">
        <v>4.99</v>
      </c>
      <c r="L2267" s="10" t="n">
        <v>26.64</v>
      </c>
      <c r="M2267" s="10" t="n">
        <v>1.43</v>
      </c>
      <c r="N2267" t="inlineStr">
        <is>
          <t>1</t>
        </is>
      </c>
      <c r="O2267" t="inlineStr">
        <is>
          <t xml:space="preserve">3 </t>
        </is>
      </c>
      <c r="P2267" t="inlineStr">
        <is>
          <t xml:space="preserve">251771  </t>
        </is>
      </c>
      <c r="Q2267" s="26" t="n">
        <v>49.9</v>
      </c>
      <c r="R2267" s="26">
        <f>Q2267*G2267</f>
        <v/>
      </c>
      <c r="S2267" t="n">
        <v>29.6</v>
      </c>
      <c r="T2267" s="18">
        <f>1 - V2267/S2267</f>
        <v/>
      </c>
      <c r="U2267" s="18" t="n">
        <v>0</v>
      </c>
      <c r="V2267" s="26" t="n">
        <v>29.6</v>
      </c>
      <c r="W2267" s="26">
        <f>V2267 - L2267</f>
        <v/>
      </c>
    </row>
    <row r="2268">
      <c r="A2268" s="11" t="n">
        <v>46226</v>
      </c>
      <c r="B2268" s="1" t="n">
        <v>20049</v>
      </c>
      <c r="C2268" s="1" t="inlineStr">
        <is>
          <t>031</t>
        </is>
      </c>
      <c r="D2268" s="1" t="inlineStr">
        <is>
          <t>121288</t>
        </is>
      </c>
      <c r="E2268" s="1" t="inlineStr">
        <is>
          <t xml:space="preserve">30141769       </t>
        </is>
      </c>
      <c r="F2268" s="5" t="inlineStr">
        <is>
          <t>TMZ BEAST MACHINES TRANSPORTE DINOSAURIO + 3 AUTOS</t>
        </is>
      </c>
      <c r="G2268" t="n">
        <v>1</v>
      </c>
      <c r="H2268" s="7" t="n">
        <v>59.9</v>
      </c>
      <c r="I2268" s="7" t="n">
        <v>0</v>
      </c>
      <c r="J2268" s="7" t="n">
        <v>0</v>
      </c>
      <c r="K2268" s="9" t="n">
        <v>0</v>
      </c>
      <c r="L2268" s="10" t="n">
        <v>35.53</v>
      </c>
      <c r="M2268" s="10" t="n">
        <v>1.43</v>
      </c>
      <c r="N2268" t="inlineStr">
        <is>
          <t>1</t>
        </is>
      </c>
      <c r="O2268" t="inlineStr">
        <is>
          <t>16</t>
        </is>
      </c>
      <c r="P2268" t="inlineStr">
        <is>
          <t xml:space="preserve">234411  </t>
        </is>
      </c>
      <c r="Q2268" s="26" t="n">
        <v>79.90000000000001</v>
      </c>
      <c r="R2268" s="26">
        <f>Q2268*G2268</f>
        <v/>
      </c>
      <c r="S2268" t="n">
        <v>47.4</v>
      </c>
      <c r="T2268" s="18">
        <f>1 - V2268/S2268</f>
        <v/>
      </c>
      <c r="U2268" s="18" t="n">
        <v>0.2503128911138924</v>
      </c>
      <c r="V2268" s="26" t="n">
        <v>38.07203389830509</v>
      </c>
      <c r="W2268" s="26">
        <f>V2268 - L2268</f>
        <v/>
      </c>
    </row>
    <row r="2269">
      <c r="A2269" s="11" t="n">
        <v>46226</v>
      </c>
      <c r="B2269" s="1" t="n">
        <v>20049</v>
      </c>
      <c r="C2269" s="1" t="inlineStr">
        <is>
          <t>031</t>
        </is>
      </c>
      <c r="D2269" s="1" t="inlineStr">
        <is>
          <t>121288</t>
        </is>
      </c>
      <c r="E2269" s="1" t="inlineStr">
        <is>
          <t xml:space="preserve">31754676       </t>
        </is>
      </c>
      <c r="F2269" s="5" t="inlineStr">
        <is>
          <t>INFINITY NADO SERIE 6 STD PACK LANZ ESPAD ANILLO M</t>
        </is>
      </c>
      <c r="G2269" t="n">
        <v>1</v>
      </c>
      <c r="H2269" s="7" t="n">
        <v>59.9</v>
      </c>
      <c r="I2269" s="7" t="n">
        <v>0</v>
      </c>
      <c r="J2269" s="7" t="n">
        <v>0</v>
      </c>
      <c r="K2269" s="9" t="n">
        <v>0</v>
      </c>
      <c r="L2269" s="10" t="n">
        <v>35.53</v>
      </c>
      <c r="M2269" s="10" t="n">
        <v>1.43</v>
      </c>
      <c r="N2269" t="inlineStr">
        <is>
          <t>1</t>
        </is>
      </c>
      <c r="O2269" t="inlineStr">
        <is>
          <t>16</t>
        </is>
      </c>
      <c r="P2269" t="inlineStr">
        <is>
          <t xml:space="preserve">234411  </t>
        </is>
      </c>
      <c r="Q2269" s="26" t="n">
        <v>79.90000000000001</v>
      </c>
      <c r="R2269" s="26">
        <f>Q2269*G2269</f>
        <v/>
      </c>
      <c r="S2269" t="n">
        <v>47.4</v>
      </c>
      <c r="T2269" s="18">
        <f>1 - V2269/S2269</f>
        <v/>
      </c>
      <c r="U2269" s="18" t="n">
        <v>0.2503128911138924</v>
      </c>
      <c r="V2269" s="26" t="n">
        <v>38.07203389830509</v>
      </c>
      <c r="W2269" s="26">
        <f>V2269 - L2269</f>
        <v/>
      </c>
    </row>
    <row r="2270">
      <c r="A2270" s="11" t="n">
        <v>46226</v>
      </c>
      <c r="B2270" s="1" t="n">
        <v>20049</v>
      </c>
      <c r="C2270" s="1" t="inlineStr">
        <is>
          <t>800</t>
        </is>
      </c>
      <c r="D2270" s="1" t="inlineStr">
        <is>
          <t xml:space="preserve">6627  </t>
        </is>
      </c>
      <c r="E2270" s="1" t="inlineStr">
        <is>
          <t xml:space="preserve">28194769       </t>
        </is>
      </c>
      <c r="F2270" s="5" t="inlineStr">
        <is>
          <t>AUTOS DE METAL 3 TEAMSTERZ PACK DE 2</t>
        </is>
      </c>
      <c r="G2270" t="n">
        <v>1</v>
      </c>
      <c r="H2270" s="7" t="n">
        <v>13.8</v>
      </c>
      <c r="I2270" s="7" t="n">
        <v>0</v>
      </c>
      <c r="J2270" s="7" t="n">
        <v>0</v>
      </c>
      <c r="K2270" s="9" t="n">
        <v>0</v>
      </c>
      <c r="L2270" s="10" t="n">
        <v>8.18</v>
      </c>
      <c r="M2270" s="10" t="n">
        <v>1.43</v>
      </c>
      <c r="N2270" t="inlineStr">
        <is>
          <t>1</t>
        </is>
      </c>
      <c r="O2270" t="inlineStr">
        <is>
          <t>16</t>
        </is>
      </c>
      <c r="P2270" t="inlineStr">
        <is>
          <t xml:space="preserve">0       </t>
        </is>
      </c>
      <c r="Q2270" s="26" t="n">
        <v>13.8</v>
      </c>
      <c r="R2270" s="26">
        <f>Q2270*G2270</f>
        <v/>
      </c>
      <c r="S2270" t="n">
        <v>8.19</v>
      </c>
      <c r="T2270" s="18">
        <f>1 - V2270/S2270</f>
        <v/>
      </c>
      <c r="U2270" s="18" t="n">
        <v>0</v>
      </c>
      <c r="V2270" s="26" t="n">
        <v>8.19</v>
      </c>
      <c r="W2270" s="26">
        <f>V2270 - L2270</f>
        <v/>
      </c>
    </row>
    <row r="2271">
      <c r="A2271" s="11" t="n">
        <v>46226</v>
      </c>
      <c r="B2271" s="1" t="n">
        <v>20056</v>
      </c>
      <c r="C2271" s="1" t="inlineStr">
        <is>
          <t>022</t>
        </is>
      </c>
      <c r="D2271" s="1" t="inlineStr">
        <is>
          <t xml:space="preserve">55350 </t>
        </is>
      </c>
      <c r="E2271" s="1" t="inlineStr">
        <is>
          <t xml:space="preserve">31675354       </t>
        </is>
      </c>
      <c r="F2271" s="5" t="inlineStr">
        <is>
          <t>NENUCO LLORON CON ACCESORIOS</t>
        </is>
      </c>
      <c r="G2271" t="n">
        <v>1</v>
      </c>
      <c r="H2271" s="7" t="n">
        <v>69.90000000000001</v>
      </c>
      <c r="I2271" s="7" t="n">
        <v>0</v>
      </c>
      <c r="J2271" s="7" t="n">
        <v>0</v>
      </c>
      <c r="K2271" s="9" t="n">
        <v>0</v>
      </c>
      <c r="L2271" s="10" t="n">
        <v>41.47</v>
      </c>
      <c r="M2271" s="10" t="n">
        <v>1.43</v>
      </c>
      <c r="N2271" t="inlineStr">
        <is>
          <t>1</t>
        </is>
      </c>
      <c r="O2271" t="inlineStr">
        <is>
          <t xml:space="preserve">2 </t>
        </is>
      </c>
      <c r="P2271" t="inlineStr">
        <is>
          <t xml:space="preserve">247194  </t>
        </is>
      </c>
      <c r="Q2271" s="26" t="n">
        <v>89.90000000000001</v>
      </c>
      <c r="R2271" s="26">
        <f>Q2271*G2271</f>
        <v/>
      </c>
      <c r="S2271" t="n">
        <v>53.33</v>
      </c>
      <c r="T2271" s="18">
        <f>1 - V2271/S2271</f>
        <v/>
      </c>
      <c r="U2271" s="18" t="n">
        <v>0.2224694104560623</v>
      </c>
      <c r="V2271" s="26" t="n">
        <v>44.42796610169492</v>
      </c>
      <c r="W2271" s="26">
        <f>V2271 - L2271</f>
        <v/>
      </c>
    </row>
    <row r="2272">
      <c r="A2272" s="11" t="n">
        <v>46226</v>
      </c>
      <c r="B2272" s="1" t="n">
        <v>20057</v>
      </c>
      <c r="C2272" s="1" t="inlineStr">
        <is>
          <t>023</t>
        </is>
      </c>
      <c r="D2272" s="1" t="inlineStr">
        <is>
          <t xml:space="preserve">51598 </t>
        </is>
      </c>
      <c r="E2272" s="1" t="inlineStr">
        <is>
          <t xml:space="preserve">28194770       </t>
        </is>
      </c>
      <c r="F2272" s="5" t="inlineStr">
        <is>
          <t>AUTOS DE METAL 3 TEAMSTERZ EN BLISTER</t>
        </is>
      </c>
      <c r="G2272" t="n">
        <v>1</v>
      </c>
      <c r="H2272" s="7" t="n">
        <v>6.9</v>
      </c>
      <c r="I2272" s="7" t="n">
        <v>0.6899999999999999</v>
      </c>
      <c r="J2272" s="7" t="n">
        <v>0</v>
      </c>
      <c r="K2272" s="9" t="n">
        <v>0.6899999999999999</v>
      </c>
      <c r="L2272" s="10" t="n">
        <v>3.68</v>
      </c>
      <c r="M2272" s="10" t="n">
        <v>1.43</v>
      </c>
      <c r="N2272" t="inlineStr">
        <is>
          <t>1</t>
        </is>
      </c>
      <c r="O2272" t="inlineStr">
        <is>
          <t xml:space="preserve">3 </t>
        </is>
      </c>
      <c r="P2272" t="inlineStr">
        <is>
          <t xml:space="preserve">248132  </t>
        </is>
      </c>
      <c r="Q2272" s="26" t="n">
        <v>6.9</v>
      </c>
      <c r="R2272" s="26">
        <f>Q2272*G2272</f>
        <v/>
      </c>
      <c r="S2272" t="n">
        <v>4.09</v>
      </c>
      <c r="T2272" s="18">
        <f>1 - V2272/S2272</f>
        <v/>
      </c>
      <c r="U2272" s="18" t="n">
        <v>0</v>
      </c>
      <c r="V2272" s="26" t="n">
        <v>4.09</v>
      </c>
      <c r="W2272" s="26">
        <f>V2272 - L2272</f>
        <v/>
      </c>
    </row>
    <row r="2273">
      <c r="A2273" s="11" t="n">
        <v>46226</v>
      </c>
      <c r="B2273" s="1" t="n">
        <v>20057</v>
      </c>
      <c r="C2273" s="1" t="inlineStr">
        <is>
          <t>863</t>
        </is>
      </c>
      <c r="D2273" s="1" t="inlineStr">
        <is>
          <t xml:space="preserve">5015  </t>
        </is>
      </c>
      <c r="E2273" s="1" t="inlineStr">
        <is>
          <t xml:space="preserve">28194770       </t>
        </is>
      </c>
      <c r="F2273" s="5" t="inlineStr">
        <is>
          <t>AUTOS DE METAL 3 TEAMSTERZ EN BLISTER</t>
        </is>
      </c>
      <c r="G2273" t="n">
        <v>1</v>
      </c>
      <c r="H2273" s="7" t="n">
        <v>6.9</v>
      </c>
      <c r="I2273" s="7" t="n">
        <v>0.6899999999999999</v>
      </c>
      <c r="J2273" s="7" t="n">
        <v>0</v>
      </c>
      <c r="K2273" s="9" t="n">
        <v>0.6899999999999999</v>
      </c>
      <c r="L2273" s="10" t="n">
        <v>3.68</v>
      </c>
      <c r="M2273" s="10" t="n">
        <v>1.43</v>
      </c>
      <c r="N2273" t="inlineStr">
        <is>
          <t>1</t>
        </is>
      </c>
      <c r="O2273" t="inlineStr">
        <is>
          <t>16</t>
        </is>
      </c>
      <c r="P2273" t="inlineStr">
        <is>
          <t xml:space="preserve">0       </t>
        </is>
      </c>
      <c r="Q2273" s="26" t="n">
        <v>6.9</v>
      </c>
      <c r="R2273" s="26">
        <f>Q2273*G2273</f>
        <v/>
      </c>
      <c r="S2273" t="n">
        <v>4.09</v>
      </c>
      <c r="T2273" s="18">
        <f>1 - V2273/S2273</f>
        <v/>
      </c>
      <c r="U2273" s="18" t="n">
        <v>0</v>
      </c>
      <c r="V2273" s="26" t="n">
        <v>4.09</v>
      </c>
      <c r="W2273" s="26">
        <f>V2273 - L2273</f>
        <v/>
      </c>
    </row>
    <row r="2274">
      <c r="A2274" s="11" t="n">
        <v>46226</v>
      </c>
      <c r="B2274" s="1" t="n">
        <v>20057</v>
      </c>
      <c r="C2274" s="1" t="inlineStr">
        <is>
          <t>863</t>
        </is>
      </c>
      <c r="D2274" s="1" t="inlineStr">
        <is>
          <t xml:space="preserve">5044  </t>
        </is>
      </c>
      <c r="E2274" s="1" t="inlineStr">
        <is>
          <t xml:space="preserve">28194780       </t>
        </is>
      </c>
      <c r="F2274" s="5" t="inlineStr">
        <is>
          <t>TROMPO BATALLA INFINITY NADO PLSTICO SURTIDO</t>
        </is>
      </c>
      <c r="G2274" t="n">
        <v>1</v>
      </c>
      <c r="H2274" s="7" t="n">
        <v>19.9</v>
      </c>
      <c r="I2274" s="7" t="n">
        <v>0</v>
      </c>
      <c r="J2274" s="7" t="n">
        <v>0</v>
      </c>
      <c r="K2274" s="9" t="n">
        <v>0</v>
      </c>
      <c r="L2274" s="10" t="n">
        <v>11.8</v>
      </c>
      <c r="M2274" s="10" t="n">
        <v>1.43</v>
      </c>
      <c r="N2274" t="inlineStr">
        <is>
          <t>1</t>
        </is>
      </c>
      <c r="O2274" t="inlineStr">
        <is>
          <t>16</t>
        </is>
      </c>
      <c r="P2274" t="inlineStr">
        <is>
          <t xml:space="preserve">0       </t>
        </is>
      </c>
      <c r="Q2274" s="26" t="n">
        <v>19.9</v>
      </c>
      <c r="R2274" s="26">
        <f>Q2274*G2274</f>
        <v/>
      </c>
      <c r="S2274" t="n">
        <v>11.81</v>
      </c>
      <c r="T2274" s="18">
        <f>1 - V2274/S2274</f>
        <v/>
      </c>
      <c r="U2274" s="18" t="n">
        <v>0</v>
      </c>
      <c r="V2274" s="26" t="n">
        <v>11.81</v>
      </c>
      <c r="W2274" s="26">
        <f>V2274 - L2274</f>
        <v/>
      </c>
    </row>
    <row r="2275">
      <c r="A2275" s="11" t="n">
        <v>46226</v>
      </c>
      <c r="B2275" s="1" t="n">
        <v>20058</v>
      </c>
      <c r="C2275" s="1" t="inlineStr">
        <is>
          <t>035</t>
        </is>
      </c>
      <c r="D2275" s="1" t="inlineStr">
        <is>
          <t xml:space="preserve">6097  </t>
        </is>
      </c>
      <c r="E2275" s="1" t="inlineStr">
        <is>
          <t xml:space="preserve">28194781       </t>
        </is>
      </c>
      <c r="F2275" s="5" t="inlineStr">
        <is>
          <t>TROMPO BATALLA INFINITY NADO SERIE V CLASICA SURTI</t>
        </is>
      </c>
      <c r="G2275" t="n">
        <v>1</v>
      </c>
      <c r="H2275" s="7" t="n">
        <v>39.9</v>
      </c>
      <c r="I2275" s="7" t="n">
        <v>0</v>
      </c>
      <c r="J2275" s="7" t="n">
        <v>0</v>
      </c>
      <c r="K2275" s="9" t="n">
        <v>0</v>
      </c>
      <c r="L2275" s="10" t="n">
        <v>23.67</v>
      </c>
      <c r="M2275" s="10" t="n">
        <v>1.43</v>
      </c>
      <c r="N2275" t="inlineStr">
        <is>
          <t>1</t>
        </is>
      </c>
      <c r="O2275" t="inlineStr">
        <is>
          <t>16</t>
        </is>
      </c>
      <c r="P2275" t="inlineStr">
        <is>
          <t xml:space="preserve">231548  </t>
        </is>
      </c>
      <c r="Q2275" s="26" t="n">
        <v>59.9</v>
      </c>
      <c r="R2275" s="26">
        <f>Q2275*G2275</f>
        <v/>
      </c>
      <c r="S2275" t="n">
        <v>35.53</v>
      </c>
      <c r="T2275" s="18">
        <f>1 - V2275/S2275</f>
        <v/>
      </c>
      <c r="U2275" s="18" t="n">
        <v>0.333889816360601</v>
      </c>
      <c r="V2275" s="26" t="n">
        <v>25.36016949152542</v>
      </c>
      <c r="W2275" s="26">
        <f>V2275 - L2275</f>
        <v/>
      </c>
    </row>
    <row r="2276">
      <c r="A2276" s="11" t="n">
        <v>46226</v>
      </c>
      <c r="B2276" s="1" t="n">
        <v>20058</v>
      </c>
      <c r="C2276" s="1" t="inlineStr">
        <is>
          <t>035</t>
        </is>
      </c>
      <c r="D2276" s="1" t="inlineStr">
        <is>
          <t xml:space="preserve">6097  </t>
        </is>
      </c>
      <c r="E2276" s="1" t="inlineStr">
        <is>
          <t xml:space="preserve">28194781       </t>
        </is>
      </c>
      <c r="F2276" s="5" t="inlineStr">
        <is>
          <t>TROMPO BATALLA INFINITY NADO SERIE V CLASICA SURTI</t>
        </is>
      </c>
      <c r="G2276" t="n">
        <v>1</v>
      </c>
      <c r="H2276" s="7" t="n">
        <v>39.9</v>
      </c>
      <c r="I2276" s="7" t="n">
        <v>0</v>
      </c>
      <c r="J2276" s="7" t="n">
        <v>0</v>
      </c>
      <c r="K2276" s="9" t="n">
        <v>0</v>
      </c>
      <c r="L2276" s="10" t="n">
        <v>23.67</v>
      </c>
      <c r="M2276" s="10" t="n">
        <v>1.43</v>
      </c>
      <c r="N2276" t="inlineStr">
        <is>
          <t>1</t>
        </is>
      </c>
      <c r="O2276" t="inlineStr">
        <is>
          <t>16</t>
        </is>
      </c>
      <c r="P2276" t="inlineStr">
        <is>
          <t xml:space="preserve">231548  </t>
        </is>
      </c>
      <c r="Q2276" s="26" t="n">
        <v>59.9</v>
      </c>
      <c r="R2276" s="26">
        <f>Q2276*G2276</f>
        <v/>
      </c>
      <c r="S2276" t="n">
        <v>35.53</v>
      </c>
      <c r="T2276" s="18">
        <f>1 - V2276/S2276</f>
        <v/>
      </c>
      <c r="U2276" s="18" t="n">
        <v>0.333889816360601</v>
      </c>
      <c r="V2276" s="26" t="n">
        <v>25.36016949152542</v>
      </c>
      <c r="W2276" s="26">
        <f>V2276 - L2276</f>
        <v/>
      </c>
    </row>
    <row r="2277">
      <c r="A2277" s="11" t="n">
        <v>46226</v>
      </c>
      <c r="B2277" s="1" t="n">
        <v>20058</v>
      </c>
      <c r="C2277" s="1" t="inlineStr">
        <is>
          <t>038</t>
        </is>
      </c>
      <c r="D2277" s="1" t="inlineStr">
        <is>
          <t>210301</t>
        </is>
      </c>
      <c r="E2277" s="1" t="inlineStr">
        <is>
          <t xml:space="preserve">34840552       </t>
        </is>
      </c>
      <c r="F2277" s="5" t="inlineStr">
        <is>
          <t>TMZ HELI POLICIA CON LUCES Y SONIDOS</t>
        </is>
      </c>
      <c r="G2277" t="n">
        <v>1</v>
      </c>
      <c r="H2277" s="7" t="n">
        <v>79.90000000000001</v>
      </c>
      <c r="I2277" s="7" t="n">
        <v>0</v>
      </c>
      <c r="J2277" s="7" t="n">
        <v>0</v>
      </c>
      <c r="K2277" s="9" t="n">
        <v>0</v>
      </c>
      <c r="L2277" s="10" t="n">
        <v>47.4</v>
      </c>
      <c r="M2277" s="10" t="n">
        <v>1.43</v>
      </c>
      <c r="N2277" t="inlineStr">
        <is>
          <t>1</t>
        </is>
      </c>
      <c r="O2277" t="inlineStr">
        <is>
          <t>16</t>
        </is>
      </c>
      <c r="P2277" t="inlineStr">
        <is>
          <t xml:space="preserve">97366   </t>
        </is>
      </c>
      <c r="Q2277" s="26" t="n">
        <v>79.90000000000002</v>
      </c>
      <c r="R2277" s="26">
        <f>Q2277*G2277</f>
        <v/>
      </c>
      <c r="S2277" t="n">
        <v>47.4</v>
      </c>
      <c r="T2277" s="18">
        <f>1 - V2277/S2277</f>
        <v/>
      </c>
      <c r="U2277" s="18" t="n">
        <v>0</v>
      </c>
      <c r="V2277" s="26" t="n">
        <v>47.4</v>
      </c>
      <c r="W2277" s="26">
        <f>V2277 - L2277</f>
        <v/>
      </c>
    </row>
    <row r="2278">
      <c r="A2278" s="11" t="n">
        <v>46226</v>
      </c>
      <c r="B2278" s="1" t="n">
        <v>20058</v>
      </c>
      <c r="C2278" s="1" t="inlineStr">
        <is>
          <t>039</t>
        </is>
      </c>
      <c r="D2278" s="1" t="inlineStr">
        <is>
          <t>231369</t>
        </is>
      </c>
      <c r="E2278" s="1" t="inlineStr">
        <is>
          <t xml:space="preserve">28194765       </t>
        </is>
      </c>
      <c r="F2278" s="5" t="inlineStr">
        <is>
          <t>PLAYSET COLOR CHANGE TIBURN TEAMSTERZ  1 AUTITO</t>
        </is>
      </c>
      <c r="G2278" t="n">
        <v>1</v>
      </c>
      <c r="H2278" s="7" t="n">
        <v>79.90000000000001</v>
      </c>
      <c r="I2278" s="7" t="n">
        <v>7.99</v>
      </c>
      <c r="J2278" s="7" t="n">
        <v>0</v>
      </c>
      <c r="K2278" s="9" t="n">
        <v>7.99</v>
      </c>
      <c r="L2278" s="10" t="n">
        <v>42.66</v>
      </c>
      <c r="M2278" s="10" t="n">
        <v>1.43</v>
      </c>
      <c r="N2278" t="inlineStr">
        <is>
          <t>1</t>
        </is>
      </c>
      <c r="O2278" t="inlineStr">
        <is>
          <t xml:space="preserve">3 </t>
        </is>
      </c>
      <c r="P2278" t="inlineStr">
        <is>
          <t xml:space="preserve">251348  </t>
        </is>
      </c>
      <c r="Q2278" s="26" t="n">
        <v>79.90000000000001</v>
      </c>
      <c r="R2278" s="26">
        <f>Q2278*G2278</f>
        <v/>
      </c>
      <c r="S2278" t="n">
        <v>47.4</v>
      </c>
      <c r="T2278" s="18">
        <f>1 - V2278/S2278</f>
        <v/>
      </c>
      <c r="U2278" s="18" t="n">
        <v>0</v>
      </c>
      <c r="V2278" s="26" t="n">
        <v>47.4</v>
      </c>
      <c r="W2278" s="26">
        <f>V2278 - L2278</f>
        <v/>
      </c>
    </row>
    <row r="2279">
      <c r="A2279" s="11" t="n">
        <v>46226</v>
      </c>
      <c r="B2279" s="1" t="n">
        <v>20058</v>
      </c>
      <c r="C2279" s="1" t="inlineStr">
        <is>
          <t>039</t>
        </is>
      </c>
      <c r="D2279" s="1" t="inlineStr">
        <is>
          <t>231443</t>
        </is>
      </c>
      <c r="E2279" s="1" t="inlineStr">
        <is>
          <t xml:space="preserve">28194770       </t>
        </is>
      </c>
      <c r="F2279" s="5" t="inlineStr">
        <is>
          <t>AUTOS DE METAL 3 TEAMSTERZ EN BLISTER</t>
        </is>
      </c>
      <c r="G2279" t="n">
        <v>1</v>
      </c>
      <c r="H2279" s="7" t="n">
        <v>6.9</v>
      </c>
      <c r="I2279" s="7" t="n">
        <v>0.6899999999999999</v>
      </c>
      <c r="J2279" s="7" t="n">
        <v>0</v>
      </c>
      <c r="K2279" s="9" t="n">
        <v>0.6899999999999999</v>
      </c>
      <c r="L2279" s="10" t="n">
        <v>3.68</v>
      </c>
      <c r="M2279" s="10" t="n">
        <v>1.43</v>
      </c>
      <c r="N2279" t="inlineStr">
        <is>
          <t>1</t>
        </is>
      </c>
      <c r="O2279" t="inlineStr">
        <is>
          <t xml:space="preserve">3 </t>
        </is>
      </c>
      <c r="P2279" t="inlineStr">
        <is>
          <t xml:space="preserve">249068  </t>
        </is>
      </c>
      <c r="Q2279" s="26" t="n">
        <v>6.9</v>
      </c>
      <c r="R2279" s="26">
        <f>Q2279*G2279</f>
        <v/>
      </c>
      <c r="S2279" t="n">
        <v>4.09</v>
      </c>
      <c r="T2279" s="18">
        <f>1 - V2279/S2279</f>
        <v/>
      </c>
      <c r="U2279" s="18" t="n">
        <v>0</v>
      </c>
      <c r="V2279" s="26" t="n">
        <v>4.09</v>
      </c>
      <c r="W2279" s="26">
        <f>V2279 - L2279</f>
        <v/>
      </c>
    </row>
    <row r="2280">
      <c r="A2280" s="11" t="n">
        <v>46226</v>
      </c>
      <c r="B2280" s="1" t="n">
        <v>20058</v>
      </c>
      <c r="C2280" s="1" t="inlineStr">
        <is>
          <t>197</t>
        </is>
      </c>
      <c r="D2280" s="1" t="inlineStr">
        <is>
          <t>170534</t>
        </is>
      </c>
      <c r="E2280" s="1" t="inlineStr">
        <is>
          <t xml:space="preserve">32457099       </t>
        </is>
      </c>
      <c r="F2280" s="5" t="inlineStr">
        <is>
          <t>TMZ BEAST MACHINES MONSTER JAWS A FRICCION BLISTER</t>
        </is>
      </c>
      <c r="G2280" t="n">
        <v>1</v>
      </c>
      <c r="H2280" s="7" t="n">
        <v>17.9</v>
      </c>
      <c r="I2280" s="7" t="n">
        <v>0</v>
      </c>
      <c r="J2280" s="7" t="n">
        <v>0</v>
      </c>
      <c r="K2280" s="9" t="n">
        <v>0</v>
      </c>
      <c r="L2280" s="10" t="n">
        <v>10.62</v>
      </c>
      <c r="M2280" s="10" t="n">
        <v>1.43</v>
      </c>
      <c r="N2280" t="inlineStr">
        <is>
          <t>1</t>
        </is>
      </c>
      <c r="O2280" t="inlineStr">
        <is>
          <t>16</t>
        </is>
      </c>
      <c r="P2280" t="inlineStr">
        <is>
          <t xml:space="preserve">242648  </t>
        </is>
      </c>
      <c r="Q2280" s="26" t="n">
        <v>19.9</v>
      </c>
      <c r="R2280" s="26">
        <f>Q2280*G2280</f>
        <v/>
      </c>
      <c r="S2280" t="n">
        <v>11.81</v>
      </c>
      <c r="T2280" s="18">
        <f>1 - V2280/S2280</f>
        <v/>
      </c>
      <c r="U2280" s="18" t="n">
        <v>0.1005025125628141</v>
      </c>
      <c r="V2280" s="26" t="n">
        <v>8.417118644067797</v>
      </c>
      <c r="W2280" s="26">
        <f>V2280 - L2280</f>
        <v/>
      </c>
    </row>
    <row r="2281">
      <c r="A2281" s="11" t="n">
        <v>46226</v>
      </c>
      <c r="B2281" s="1" t="n">
        <v>20058</v>
      </c>
      <c r="C2281" s="1" t="inlineStr">
        <is>
          <t>197</t>
        </is>
      </c>
      <c r="D2281" s="1" t="inlineStr">
        <is>
          <t>170579</t>
        </is>
      </c>
      <c r="E2281" s="1" t="inlineStr">
        <is>
          <t xml:space="preserve">28194769       </t>
        </is>
      </c>
      <c r="F2281" s="5" t="inlineStr">
        <is>
          <t>AUTOS DE METAL 3 TEAMSTERZ PACK DE 2</t>
        </is>
      </c>
      <c r="G2281" t="n">
        <v>1</v>
      </c>
      <c r="H2281" s="7" t="n">
        <v>13.8</v>
      </c>
      <c r="I2281" s="7" t="n">
        <v>0</v>
      </c>
      <c r="J2281" s="7" t="n">
        <v>0</v>
      </c>
      <c r="K2281" s="9" t="n">
        <v>0</v>
      </c>
      <c r="L2281" s="10" t="n">
        <v>8.18</v>
      </c>
      <c r="M2281" s="10" t="n">
        <v>1.43</v>
      </c>
      <c r="N2281" t="inlineStr">
        <is>
          <t>1</t>
        </is>
      </c>
      <c r="O2281" t="inlineStr">
        <is>
          <t>16</t>
        </is>
      </c>
      <c r="P2281" t="inlineStr">
        <is>
          <t xml:space="preserve">242648  </t>
        </is>
      </c>
      <c r="Q2281" s="26" t="n">
        <v>13.8</v>
      </c>
      <c r="R2281" s="26">
        <f>Q2281*G2281</f>
        <v/>
      </c>
      <c r="S2281" t="n">
        <v>8.19</v>
      </c>
      <c r="T2281" s="18">
        <f>1 - V2281/S2281</f>
        <v/>
      </c>
      <c r="U2281" s="18" t="n">
        <v>0</v>
      </c>
      <c r="V2281" s="26" t="n">
        <v>8.19</v>
      </c>
      <c r="W2281" s="26">
        <f>V2281 - L2281</f>
        <v/>
      </c>
    </row>
    <row r="2282">
      <c r="A2282" s="11" t="n">
        <v>46226</v>
      </c>
      <c r="B2282" s="1" t="n">
        <v>20058</v>
      </c>
      <c r="C2282" s="1" t="inlineStr">
        <is>
          <t>197</t>
        </is>
      </c>
      <c r="D2282" s="1" t="inlineStr">
        <is>
          <t>170583</t>
        </is>
      </c>
      <c r="E2282" s="1" t="inlineStr">
        <is>
          <t xml:space="preserve">28194770       </t>
        </is>
      </c>
      <c r="F2282" s="5" t="inlineStr">
        <is>
          <t>AUTOS DE METAL 3 TEAMSTERZ EN BLISTER</t>
        </is>
      </c>
      <c r="G2282" t="n">
        <v>1</v>
      </c>
      <c r="H2282" s="7" t="n">
        <v>6.9</v>
      </c>
      <c r="I2282" s="7" t="n">
        <v>0</v>
      </c>
      <c r="J2282" s="7" t="n">
        <v>0</v>
      </c>
      <c r="K2282" s="9" t="n">
        <v>0</v>
      </c>
      <c r="L2282" s="10" t="n">
        <v>4.1</v>
      </c>
      <c r="M2282" s="10" t="n">
        <v>1.43</v>
      </c>
      <c r="N2282" t="inlineStr">
        <is>
          <t>1</t>
        </is>
      </c>
      <c r="O2282" t="inlineStr">
        <is>
          <t>16</t>
        </is>
      </c>
      <c r="P2282" t="inlineStr">
        <is>
          <t xml:space="preserve">242648  </t>
        </is>
      </c>
      <c r="Q2282" s="26" t="n">
        <v>6.9</v>
      </c>
      <c r="R2282" s="26">
        <f>Q2282*G2282</f>
        <v/>
      </c>
      <c r="S2282" t="n">
        <v>4.09</v>
      </c>
      <c r="T2282" s="18">
        <f>1 - V2282/S2282</f>
        <v/>
      </c>
      <c r="U2282" s="18" t="n">
        <v>0</v>
      </c>
      <c r="V2282" s="26" t="n">
        <v>4.09</v>
      </c>
      <c r="W2282" s="26">
        <f>V2282 - L2282</f>
        <v/>
      </c>
    </row>
    <row r="2283">
      <c r="A2283" s="11" t="n">
        <v>46226</v>
      </c>
      <c r="B2283" s="1" t="n">
        <v>20058</v>
      </c>
      <c r="C2283" s="1" t="inlineStr">
        <is>
          <t>197</t>
        </is>
      </c>
      <c r="D2283" s="1" t="inlineStr">
        <is>
          <t>170588</t>
        </is>
      </c>
      <c r="E2283" s="1" t="inlineStr">
        <is>
          <t xml:space="preserve">28194770       </t>
        </is>
      </c>
      <c r="F2283" s="5" t="inlineStr">
        <is>
          <t>AUTOS DE METAL 3 TEAMSTERZ EN BLISTER</t>
        </is>
      </c>
      <c r="G2283" t="n">
        <v>1</v>
      </c>
      <c r="H2283" s="7" t="n">
        <v>6.9</v>
      </c>
      <c r="I2283" s="7" t="n">
        <v>0</v>
      </c>
      <c r="J2283" s="7" t="n">
        <v>0</v>
      </c>
      <c r="K2283" s="9" t="n">
        <v>0</v>
      </c>
      <c r="L2283" s="10" t="n">
        <v>4.1</v>
      </c>
      <c r="M2283" s="10" t="n">
        <v>1.43</v>
      </c>
      <c r="N2283" t="inlineStr">
        <is>
          <t>1</t>
        </is>
      </c>
      <c r="O2283" t="inlineStr">
        <is>
          <t>16</t>
        </is>
      </c>
      <c r="P2283" t="inlineStr">
        <is>
          <t xml:space="preserve">242648  </t>
        </is>
      </c>
      <c r="Q2283" s="26" t="n">
        <v>6.9</v>
      </c>
      <c r="R2283" s="26">
        <f>Q2283*G2283</f>
        <v/>
      </c>
      <c r="S2283" t="n">
        <v>4.09</v>
      </c>
      <c r="T2283" s="18">
        <f>1 - V2283/S2283</f>
        <v/>
      </c>
      <c r="U2283" s="18" t="n">
        <v>0</v>
      </c>
      <c r="V2283" s="26" t="n">
        <v>4.09</v>
      </c>
      <c r="W2283" s="26">
        <f>V2283 - L2283</f>
        <v/>
      </c>
    </row>
    <row r="2284">
      <c r="A2284" s="11" t="n">
        <v>46226</v>
      </c>
      <c r="B2284" s="1" t="n">
        <v>20058</v>
      </c>
      <c r="C2284" s="1" t="inlineStr">
        <is>
          <t>197</t>
        </is>
      </c>
      <c r="D2284" s="1" t="inlineStr">
        <is>
          <t>170590</t>
        </is>
      </c>
      <c r="E2284" s="1" t="inlineStr">
        <is>
          <t xml:space="preserve">28194770       </t>
        </is>
      </c>
      <c r="F2284" s="5" t="inlineStr">
        <is>
          <t>AUTOS DE METAL 3 TEAMSTERZ EN BLISTER</t>
        </is>
      </c>
      <c r="G2284" t="n">
        <v>1</v>
      </c>
      <c r="H2284" s="7" t="n">
        <v>6.9</v>
      </c>
      <c r="I2284" s="7" t="n">
        <v>0</v>
      </c>
      <c r="J2284" s="7" t="n">
        <v>0</v>
      </c>
      <c r="K2284" s="9" t="n">
        <v>0</v>
      </c>
      <c r="L2284" s="10" t="n">
        <v>4.1</v>
      </c>
      <c r="M2284" s="10" t="n">
        <v>1.43</v>
      </c>
      <c r="N2284" t="inlineStr">
        <is>
          <t>1</t>
        </is>
      </c>
      <c r="O2284" t="inlineStr">
        <is>
          <t>16</t>
        </is>
      </c>
      <c r="P2284" t="inlineStr">
        <is>
          <t xml:space="preserve">244700  </t>
        </is>
      </c>
      <c r="Q2284" s="26" t="n">
        <v>6.9</v>
      </c>
      <c r="R2284" s="26">
        <f>Q2284*G2284</f>
        <v/>
      </c>
      <c r="S2284" t="n">
        <v>4.09</v>
      </c>
      <c r="T2284" s="18">
        <f>1 - V2284/S2284</f>
        <v/>
      </c>
      <c r="U2284" s="18" t="n">
        <v>0</v>
      </c>
      <c r="V2284" s="26" t="n">
        <v>4.09</v>
      </c>
      <c r="W2284" s="26">
        <f>V2284 - L2284</f>
        <v/>
      </c>
    </row>
    <row r="2285">
      <c r="A2285" s="11" t="n">
        <v>46226</v>
      </c>
      <c r="B2285" s="1" t="n">
        <v>20058</v>
      </c>
      <c r="C2285" s="1" t="inlineStr">
        <is>
          <t>197</t>
        </is>
      </c>
      <c r="D2285" s="1" t="inlineStr">
        <is>
          <t>170590</t>
        </is>
      </c>
      <c r="E2285" s="1" t="inlineStr">
        <is>
          <t xml:space="preserve">28194770       </t>
        </is>
      </c>
      <c r="F2285" s="5" t="inlineStr">
        <is>
          <t>AUTOS DE METAL 3 TEAMSTERZ EN BLISTER</t>
        </is>
      </c>
      <c r="G2285" t="n">
        <v>1</v>
      </c>
      <c r="H2285" s="7" t="n">
        <v>6.9</v>
      </c>
      <c r="I2285" s="7" t="n">
        <v>0</v>
      </c>
      <c r="J2285" s="7" t="n">
        <v>0</v>
      </c>
      <c r="K2285" s="9" t="n">
        <v>0</v>
      </c>
      <c r="L2285" s="10" t="n">
        <v>4.1</v>
      </c>
      <c r="M2285" s="10" t="n">
        <v>1.43</v>
      </c>
      <c r="N2285" t="inlineStr">
        <is>
          <t>1</t>
        </is>
      </c>
      <c r="O2285" t="inlineStr">
        <is>
          <t>16</t>
        </is>
      </c>
      <c r="P2285" t="inlineStr">
        <is>
          <t xml:space="preserve">244700  </t>
        </is>
      </c>
      <c r="Q2285" s="26" t="n">
        <v>6.9</v>
      </c>
      <c r="R2285" s="26">
        <f>Q2285*G2285</f>
        <v/>
      </c>
      <c r="S2285" t="n">
        <v>4.09</v>
      </c>
      <c r="T2285" s="18">
        <f>1 - V2285/S2285</f>
        <v/>
      </c>
      <c r="U2285" s="18" t="n">
        <v>0</v>
      </c>
      <c r="V2285" s="26" t="n">
        <v>4.09</v>
      </c>
      <c r="W2285" s="26">
        <f>V2285 - L2285</f>
        <v/>
      </c>
    </row>
    <row r="2286">
      <c r="A2286" s="11" t="n">
        <v>46226</v>
      </c>
      <c r="B2286" s="1" t="n">
        <v>20058</v>
      </c>
      <c r="C2286" s="1" t="inlineStr">
        <is>
          <t>197</t>
        </is>
      </c>
      <c r="D2286" s="1" t="inlineStr">
        <is>
          <t>170620</t>
        </is>
      </c>
      <c r="E2286" s="1" t="inlineStr">
        <is>
          <t xml:space="preserve">28194770       </t>
        </is>
      </c>
      <c r="F2286" s="5" t="inlineStr">
        <is>
          <t>AUTOS DE METAL 3 TEAMSTERZ EN BLISTER</t>
        </is>
      </c>
      <c r="G2286" t="n">
        <v>1</v>
      </c>
      <c r="H2286" s="7" t="n">
        <v>6.9</v>
      </c>
      <c r="I2286" s="7" t="n">
        <v>0</v>
      </c>
      <c r="J2286" s="7" t="n">
        <v>0</v>
      </c>
      <c r="K2286" s="9" t="n">
        <v>0</v>
      </c>
      <c r="L2286" s="10" t="n">
        <v>4.1</v>
      </c>
      <c r="M2286" s="10" t="n">
        <v>1.43</v>
      </c>
      <c r="N2286" t="inlineStr">
        <is>
          <t>1</t>
        </is>
      </c>
      <c r="O2286" t="inlineStr">
        <is>
          <t>16</t>
        </is>
      </c>
      <c r="P2286" t="inlineStr">
        <is>
          <t xml:space="preserve">244700  </t>
        </is>
      </c>
      <c r="Q2286" s="26" t="n">
        <v>6.9</v>
      </c>
      <c r="R2286" s="26">
        <f>Q2286*G2286</f>
        <v/>
      </c>
      <c r="S2286" t="n">
        <v>4.09</v>
      </c>
      <c r="T2286" s="18">
        <f>1 - V2286/S2286</f>
        <v/>
      </c>
      <c r="U2286" s="18" t="n">
        <v>0</v>
      </c>
      <c r="V2286" s="26" t="n">
        <v>4.09</v>
      </c>
      <c r="W2286" s="26">
        <f>V2286 - L2286</f>
        <v/>
      </c>
    </row>
    <row r="2287">
      <c r="A2287" s="11" t="n">
        <v>46226</v>
      </c>
      <c r="B2287" s="1" t="n">
        <v>20058</v>
      </c>
      <c r="C2287" s="1" t="inlineStr">
        <is>
          <t>198</t>
        </is>
      </c>
      <c r="D2287" s="1" t="inlineStr">
        <is>
          <t xml:space="preserve">18872 </t>
        </is>
      </c>
      <c r="E2287" s="1" t="inlineStr">
        <is>
          <t xml:space="preserve">28194768       </t>
        </is>
      </c>
      <c r="F2287" s="5" t="inlineStr">
        <is>
          <t>AUTO COLOR CHANGE TEAMSTERZ SURTIDO</t>
        </is>
      </c>
      <c r="G2287" t="n">
        <v>1</v>
      </c>
      <c r="H2287" s="7" t="n">
        <v>14.9</v>
      </c>
      <c r="I2287" s="7" t="n">
        <v>1.49</v>
      </c>
      <c r="J2287" s="7" t="n">
        <v>0</v>
      </c>
      <c r="K2287" s="9" t="n">
        <v>1.49</v>
      </c>
      <c r="L2287" s="10" t="n">
        <v>7.95</v>
      </c>
      <c r="M2287" s="10" t="n">
        <v>1.43</v>
      </c>
      <c r="N2287" t="inlineStr">
        <is>
          <t>1</t>
        </is>
      </c>
      <c r="O2287" t="inlineStr">
        <is>
          <t xml:space="preserve">3 </t>
        </is>
      </c>
      <c r="P2287" t="inlineStr">
        <is>
          <t xml:space="preserve">231899  </t>
        </is>
      </c>
      <c r="Q2287" s="26" t="n">
        <v>14.9</v>
      </c>
      <c r="R2287" s="26">
        <f>Q2287*G2287</f>
        <v/>
      </c>
      <c r="S2287" t="n">
        <v>8.84</v>
      </c>
      <c r="T2287" s="18">
        <f>1 - V2287/S2287</f>
        <v/>
      </c>
      <c r="U2287" s="18" t="n">
        <v>0</v>
      </c>
      <c r="V2287" s="26" t="n">
        <v>8.84</v>
      </c>
      <c r="W2287" s="26">
        <f>V2287 - L2287</f>
        <v/>
      </c>
    </row>
    <row r="2288">
      <c r="A2288" s="11" t="n">
        <v>46226</v>
      </c>
      <c r="B2288" s="1" t="n">
        <v>20058</v>
      </c>
      <c r="C2288" s="1" t="inlineStr">
        <is>
          <t>198</t>
        </is>
      </c>
      <c r="D2288" s="1" t="inlineStr">
        <is>
          <t xml:space="preserve">18872 </t>
        </is>
      </c>
      <c r="E2288" s="1" t="inlineStr">
        <is>
          <t xml:space="preserve">28194770       </t>
        </is>
      </c>
      <c r="F2288" s="5" t="inlineStr">
        <is>
          <t>AUTOS DE METAL 3 TEAMSTERZ EN BLISTER</t>
        </is>
      </c>
      <c r="G2288" t="n">
        <v>1</v>
      </c>
      <c r="H2288" s="7" t="n">
        <v>6.9</v>
      </c>
      <c r="I2288" s="7" t="n">
        <v>0.6899999999999999</v>
      </c>
      <c r="J2288" s="7" t="n">
        <v>0</v>
      </c>
      <c r="K2288" s="9" t="n">
        <v>0.6899999999999999</v>
      </c>
      <c r="L2288" s="10" t="n">
        <v>3.68</v>
      </c>
      <c r="M2288" s="10" t="n">
        <v>1.43</v>
      </c>
      <c r="N2288" t="inlineStr">
        <is>
          <t>1</t>
        </is>
      </c>
      <c r="O2288" t="inlineStr">
        <is>
          <t xml:space="preserve">3 </t>
        </is>
      </c>
      <c r="P2288" t="inlineStr">
        <is>
          <t xml:space="preserve">231899  </t>
        </is>
      </c>
      <c r="Q2288" s="26" t="n">
        <v>6.9</v>
      </c>
      <c r="R2288" s="26">
        <f>Q2288*G2288</f>
        <v/>
      </c>
      <c r="S2288" t="n">
        <v>4.09</v>
      </c>
      <c r="T2288" s="18">
        <f>1 - V2288/S2288</f>
        <v/>
      </c>
      <c r="U2288" s="18" t="n">
        <v>0</v>
      </c>
      <c r="V2288" s="26" t="n">
        <v>4.09</v>
      </c>
      <c r="W2288" s="26">
        <f>V2288 - L2288</f>
        <v/>
      </c>
    </row>
    <row r="2289">
      <c r="A2289" s="11" t="n">
        <v>46226</v>
      </c>
      <c r="B2289" s="1" t="n">
        <v>20058</v>
      </c>
      <c r="C2289" s="1" t="inlineStr">
        <is>
          <t>515</t>
        </is>
      </c>
      <c r="D2289" s="1" t="inlineStr">
        <is>
          <t xml:space="preserve">6146  </t>
        </is>
      </c>
      <c r="E2289" s="1" t="inlineStr">
        <is>
          <t xml:space="preserve">28194770       </t>
        </is>
      </c>
      <c r="F2289" s="5" t="inlineStr">
        <is>
          <t>AUTOS DE METAL 3 TEAMSTERZ EN BLISTER</t>
        </is>
      </c>
      <c r="G2289" t="n">
        <v>1</v>
      </c>
      <c r="H2289" s="7" t="n">
        <v>6.9</v>
      </c>
      <c r="I2289" s="7" t="n">
        <v>0</v>
      </c>
      <c r="J2289" s="7" t="n">
        <v>0</v>
      </c>
      <c r="K2289" s="9" t="n">
        <v>0</v>
      </c>
      <c r="L2289" s="10" t="n">
        <v>4.1</v>
      </c>
      <c r="M2289" s="10" t="n">
        <v>1.43</v>
      </c>
      <c r="N2289" t="inlineStr">
        <is>
          <t>1</t>
        </is>
      </c>
      <c r="O2289" t="inlineStr">
        <is>
          <t>16</t>
        </is>
      </c>
      <c r="P2289" t="inlineStr">
        <is>
          <t xml:space="preserve">251302  </t>
        </is>
      </c>
      <c r="Q2289" s="26" t="n">
        <v>6.9</v>
      </c>
      <c r="R2289" s="26">
        <f>Q2289*G2289</f>
        <v/>
      </c>
      <c r="S2289" t="n">
        <v>4.09</v>
      </c>
      <c r="T2289" s="18">
        <f>1 - V2289/S2289</f>
        <v/>
      </c>
      <c r="U2289" s="18" t="n">
        <v>0</v>
      </c>
      <c r="V2289" s="26" t="n">
        <v>4.09</v>
      </c>
      <c r="W2289" s="26">
        <f>V2289 - L2289</f>
        <v/>
      </c>
    </row>
    <row r="2290">
      <c r="A2290" s="11" t="n">
        <v>46226</v>
      </c>
      <c r="B2290" s="1" t="n">
        <v>20058</v>
      </c>
      <c r="C2290" s="1" t="inlineStr">
        <is>
          <t>532</t>
        </is>
      </c>
      <c r="D2290" s="1" t="inlineStr">
        <is>
          <t xml:space="preserve">4965  </t>
        </is>
      </c>
      <c r="E2290" s="1" t="inlineStr">
        <is>
          <t xml:space="preserve">34840551       </t>
        </is>
      </c>
      <c r="F2290" s="5" t="inlineStr">
        <is>
          <t>TMZ HELI BOMBERO CON LUCES Y SONIDOS</t>
        </is>
      </c>
      <c r="G2290" t="n">
        <v>1</v>
      </c>
      <c r="H2290" s="7" t="n">
        <v>79.90000000000001</v>
      </c>
      <c r="I2290" s="7" t="n">
        <v>0</v>
      </c>
      <c r="J2290" s="7" t="n">
        <v>0</v>
      </c>
      <c r="K2290" s="9" t="n">
        <v>0</v>
      </c>
      <c r="L2290" s="10" t="n">
        <v>47.4</v>
      </c>
      <c r="M2290" s="10" t="n">
        <v>1.43</v>
      </c>
      <c r="N2290" t="inlineStr">
        <is>
          <t>1</t>
        </is>
      </c>
      <c r="O2290" t="inlineStr">
        <is>
          <t>16</t>
        </is>
      </c>
      <c r="P2290" t="inlineStr">
        <is>
          <t xml:space="preserve">95364   </t>
        </is>
      </c>
      <c r="Q2290" s="26" t="n">
        <v>79.90000000000002</v>
      </c>
      <c r="R2290" s="26">
        <f>Q2290*G2290</f>
        <v/>
      </c>
      <c r="S2290" t="n">
        <v>47.4</v>
      </c>
      <c r="T2290" s="18">
        <f>1 - V2290/S2290</f>
        <v/>
      </c>
      <c r="U2290" s="18" t="n">
        <v>0</v>
      </c>
      <c r="V2290" s="26" t="n">
        <v>47.4</v>
      </c>
      <c r="W2290" s="26">
        <f>V2290 - L2290</f>
        <v/>
      </c>
    </row>
    <row r="2291">
      <c r="A2291" s="11" t="n">
        <v>46226</v>
      </c>
      <c r="B2291" s="1" t="n">
        <v>20058</v>
      </c>
      <c r="C2291" s="1" t="inlineStr">
        <is>
          <t>803</t>
        </is>
      </c>
      <c r="D2291" s="1" t="inlineStr">
        <is>
          <t xml:space="preserve">2059  </t>
        </is>
      </c>
      <c r="E2291" s="1" t="inlineStr">
        <is>
          <t xml:space="preserve">28194770       </t>
        </is>
      </c>
      <c r="F2291" s="5" t="inlineStr">
        <is>
          <t>AUTOS DE METAL 3 TEAMSTERZ EN BLISTER</t>
        </is>
      </c>
      <c r="G2291" t="n">
        <v>1</v>
      </c>
      <c r="H2291" s="7" t="n">
        <v>6.9</v>
      </c>
      <c r="I2291" s="7" t="n">
        <v>0.6899999999999999</v>
      </c>
      <c r="J2291" s="7" t="n">
        <v>0</v>
      </c>
      <c r="K2291" s="9" t="n">
        <v>0.6899999999999999</v>
      </c>
      <c r="L2291" s="10" t="n">
        <v>3.68</v>
      </c>
      <c r="M2291" s="10" t="n">
        <v>1.43</v>
      </c>
      <c r="N2291" t="inlineStr">
        <is>
          <t>1</t>
        </is>
      </c>
      <c r="O2291" t="inlineStr">
        <is>
          <t>16</t>
        </is>
      </c>
      <c r="P2291" t="inlineStr">
        <is>
          <t xml:space="preserve">252213  </t>
        </is>
      </c>
      <c r="Q2291" s="26" t="n">
        <v>6.9</v>
      </c>
      <c r="R2291" s="26">
        <f>Q2291*G2291</f>
        <v/>
      </c>
      <c r="S2291" t="n">
        <v>4.09</v>
      </c>
      <c r="T2291" s="18">
        <f>1 - V2291/S2291</f>
        <v/>
      </c>
      <c r="U2291" s="18" t="n">
        <v>0</v>
      </c>
      <c r="V2291" s="26" t="n">
        <v>4.09</v>
      </c>
      <c r="W2291" s="26">
        <f>V2291 - L2291</f>
        <v/>
      </c>
    </row>
    <row r="2292">
      <c r="A2292" s="11" t="n">
        <v>46226</v>
      </c>
      <c r="B2292" s="1" t="n">
        <v>20062</v>
      </c>
      <c r="C2292" s="1" t="inlineStr">
        <is>
          <t>512</t>
        </is>
      </c>
      <c r="D2292" s="1" t="inlineStr">
        <is>
          <t xml:space="preserve">5760  </t>
        </is>
      </c>
      <c r="E2292" s="1" t="inlineStr">
        <is>
          <t xml:space="preserve">30141769       </t>
        </is>
      </c>
      <c r="F2292" s="5" t="inlineStr">
        <is>
          <t>TMZ BEAST MACHINES TRANSPORTE DINOSAURIO + 3 AUTOS</t>
        </is>
      </c>
      <c r="G2292" t="n">
        <v>1</v>
      </c>
      <c r="H2292" s="7" t="n">
        <v>59.9</v>
      </c>
      <c r="I2292" s="7" t="n">
        <v>5.99</v>
      </c>
      <c r="J2292" s="7" t="n">
        <v>0</v>
      </c>
      <c r="K2292" s="9" t="n">
        <v>5.99</v>
      </c>
      <c r="L2292" s="10" t="n">
        <v>31.98</v>
      </c>
      <c r="M2292" s="10" t="n">
        <v>1.43</v>
      </c>
      <c r="N2292" t="inlineStr">
        <is>
          <t>1</t>
        </is>
      </c>
      <c r="O2292" t="inlineStr">
        <is>
          <t>16</t>
        </is>
      </c>
      <c r="P2292" t="inlineStr">
        <is>
          <t xml:space="preserve">86979   </t>
        </is>
      </c>
      <c r="Q2292" s="26" t="n">
        <v>79.90000000000001</v>
      </c>
      <c r="R2292" s="26">
        <f>Q2292*G2292</f>
        <v/>
      </c>
      <c r="S2292" t="n">
        <v>47.4</v>
      </c>
      <c r="T2292" s="18">
        <f>1 - V2292/S2292</f>
        <v/>
      </c>
      <c r="U2292" s="18" t="n">
        <v>0.2503128911138924</v>
      </c>
      <c r="V2292" s="26" t="n">
        <v>38.07203389830509</v>
      </c>
      <c r="W2292" s="26">
        <f>V2292 - L2292</f>
        <v/>
      </c>
    </row>
    <row r="2293">
      <c r="A2293" s="11" t="n">
        <v>46226</v>
      </c>
      <c r="B2293" s="1" t="n">
        <v>20066</v>
      </c>
      <c r="C2293" s="1" t="inlineStr">
        <is>
          <t>052</t>
        </is>
      </c>
      <c r="D2293" s="1" t="inlineStr">
        <is>
          <t>320662</t>
        </is>
      </c>
      <c r="E2293" s="1" t="inlineStr">
        <is>
          <t xml:space="preserve">28194770       </t>
        </is>
      </c>
      <c r="F2293" s="5" t="inlineStr">
        <is>
          <t>AUTOS DE METAL 3 TEAMSTERZ EN BLISTER</t>
        </is>
      </c>
      <c r="G2293" t="n">
        <v>1</v>
      </c>
      <c r="H2293" s="7" t="n">
        <v>6.9</v>
      </c>
      <c r="I2293" s="7" t="n">
        <v>0</v>
      </c>
      <c r="J2293" s="7" t="n">
        <v>0</v>
      </c>
      <c r="K2293" s="9" t="n">
        <v>0</v>
      </c>
      <c r="L2293" s="10" t="n">
        <v>4.1</v>
      </c>
      <c r="M2293" s="10" t="n">
        <v>1.43</v>
      </c>
      <c r="N2293" t="inlineStr">
        <is>
          <t>1</t>
        </is>
      </c>
      <c r="O2293" t="inlineStr">
        <is>
          <t xml:space="preserve">2 </t>
        </is>
      </c>
      <c r="P2293" t="inlineStr">
        <is>
          <t xml:space="preserve">49848   </t>
        </is>
      </c>
      <c r="Q2293" s="26" t="n">
        <v>6.9</v>
      </c>
      <c r="R2293" s="26">
        <f>Q2293*G2293</f>
        <v/>
      </c>
      <c r="S2293" t="n">
        <v>4.09</v>
      </c>
      <c r="T2293" s="18">
        <f>1 - V2293/S2293</f>
        <v/>
      </c>
      <c r="U2293" s="18" t="n">
        <v>0</v>
      </c>
      <c r="V2293" s="26" t="n">
        <v>4.09</v>
      </c>
      <c r="W2293" s="26">
        <f>V2293 - L2293</f>
        <v/>
      </c>
    </row>
    <row r="2294">
      <c r="A2294" s="11" t="n">
        <v>46226</v>
      </c>
      <c r="B2294" s="1" t="n">
        <v>20066</v>
      </c>
      <c r="C2294" s="1" t="inlineStr">
        <is>
          <t>052</t>
        </is>
      </c>
      <c r="D2294" s="1" t="inlineStr">
        <is>
          <t>320662</t>
        </is>
      </c>
      <c r="E2294" s="1" t="inlineStr">
        <is>
          <t xml:space="preserve">28194770       </t>
        </is>
      </c>
      <c r="F2294" s="5" t="inlineStr">
        <is>
          <t>AUTOS DE METAL 3 TEAMSTERZ EN BLISTER</t>
        </is>
      </c>
      <c r="G2294" t="n">
        <v>1</v>
      </c>
      <c r="H2294" s="7" t="n">
        <v>6.9</v>
      </c>
      <c r="I2294" s="7" t="n">
        <v>0</v>
      </c>
      <c r="J2294" s="7" t="n">
        <v>0</v>
      </c>
      <c r="K2294" s="9" t="n">
        <v>0</v>
      </c>
      <c r="L2294" s="10" t="n">
        <v>4.1</v>
      </c>
      <c r="M2294" s="10" t="n">
        <v>1.43</v>
      </c>
      <c r="N2294" t="inlineStr">
        <is>
          <t>1</t>
        </is>
      </c>
      <c r="O2294" t="inlineStr">
        <is>
          <t xml:space="preserve">2 </t>
        </is>
      </c>
      <c r="P2294" t="inlineStr">
        <is>
          <t xml:space="preserve">49848   </t>
        </is>
      </c>
      <c r="Q2294" s="26" t="n">
        <v>6.9</v>
      </c>
      <c r="R2294" s="26">
        <f>Q2294*G2294</f>
        <v/>
      </c>
      <c r="S2294" t="n">
        <v>4.09</v>
      </c>
      <c r="T2294" s="18">
        <f>1 - V2294/S2294</f>
        <v/>
      </c>
      <c r="U2294" s="18" t="n">
        <v>0</v>
      </c>
      <c r="V2294" s="26" t="n">
        <v>4.09</v>
      </c>
      <c r="W2294" s="26">
        <f>V2294 - L2294</f>
        <v/>
      </c>
    </row>
    <row r="2295">
      <c r="A2295" s="11" t="n">
        <v>46226</v>
      </c>
      <c r="B2295" s="1" t="n">
        <v>20066</v>
      </c>
      <c r="C2295" s="1" t="inlineStr">
        <is>
          <t>052</t>
        </is>
      </c>
      <c r="D2295" s="1" t="inlineStr">
        <is>
          <t>320662</t>
        </is>
      </c>
      <c r="E2295" s="1" t="inlineStr">
        <is>
          <t xml:space="preserve">28194770       </t>
        </is>
      </c>
      <c r="F2295" s="5" t="inlineStr">
        <is>
          <t>AUTOS DE METAL 3 TEAMSTERZ EN BLISTER</t>
        </is>
      </c>
      <c r="G2295" t="n">
        <v>1</v>
      </c>
      <c r="H2295" s="7" t="n">
        <v>6.9</v>
      </c>
      <c r="I2295" s="7" t="n">
        <v>0</v>
      </c>
      <c r="J2295" s="7" t="n">
        <v>0</v>
      </c>
      <c r="K2295" s="9" t="n">
        <v>0</v>
      </c>
      <c r="L2295" s="10" t="n">
        <v>4.1</v>
      </c>
      <c r="M2295" s="10" t="n">
        <v>1.43</v>
      </c>
      <c r="N2295" t="inlineStr">
        <is>
          <t>1</t>
        </is>
      </c>
      <c r="O2295" t="inlineStr">
        <is>
          <t xml:space="preserve">2 </t>
        </is>
      </c>
      <c r="P2295" t="inlineStr">
        <is>
          <t xml:space="preserve">49848   </t>
        </is>
      </c>
      <c r="Q2295" s="26" t="n">
        <v>6.9</v>
      </c>
      <c r="R2295" s="26">
        <f>Q2295*G2295</f>
        <v/>
      </c>
      <c r="S2295" t="n">
        <v>4.09</v>
      </c>
      <c r="T2295" s="18">
        <f>1 - V2295/S2295</f>
        <v/>
      </c>
      <c r="U2295" s="18" t="n">
        <v>0</v>
      </c>
      <c r="V2295" s="26" t="n">
        <v>4.09</v>
      </c>
      <c r="W2295" s="26">
        <f>V2295 - L2295</f>
        <v/>
      </c>
    </row>
    <row r="2296">
      <c r="A2296" s="11" t="n">
        <v>46226</v>
      </c>
      <c r="B2296" s="1" t="n">
        <v>20066</v>
      </c>
      <c r="C2296" s="1" t="inlineStr">
        <is>
          <t>059</t>
        </is>
      </c>
      <c r="D2296" s="1" t="inlineStr">
        <is>
          <t xml:space="preserve">19908 </t>
        </is>
      </c>
      <c r="E2296" s="1" t="inlineStr">
        <is>
          <t xml:space="preserve">28194770       </t>
        </is>
      </c>
      <c r="F2296" s="5" t="inlineStr">
        <is>
          <t>AUTOS DE METAL 3 TEAMSTERZ EN BLISTER</t>
        </is>
      </c>
      <c r="G2296" t="n">
        <v>1</v>
      </c>
      <c r="H2296" s="7" t="n">
        <v>6.9</v>
      </c>
      <c r="I2296" s="7" t="n">
        <v>0</v>
      </c>
      <c r="J2296" s="7" t="n">
        <v>0</v>
      </c>
      <c r="K2296" s="9" t="n">
        <v>0</v>
      </c>
      <c r="L2296" s="10" t="n">
        <v>4.1</v>
      </c>
      <c r="M2296" s="10" t="n">
        <v>1.43</v>
      </c>
      <c r="N2296" t="inlineStr">
        <is>
          <t>1</t>
        </is>
      </c>
      <c r="O2296" t="inlineStr">
        <is>
          <t>16</t>
        </is>
      </c>
      <c r="P2296" t="inlineStr">
        <is>
          <t xml:space="preserve">12745   </t>
        </is>
      </c>
      <c r="Q2296" s="26" t="n">
        <v>6.9</v>
      </c>
      <c r="R2296" s="26">
        <f>Q2296*G2296</f>
        <v/>
      </c>
      <c r="S2296" t="n">
        <v>4.09</v>
      </c>
      <c r="T2296" s="18">
        <f>1 - V2296/S2296</f>
        <v/>
      </c>
      <c r="U2296" s="18" t="n">
        <v>0</v>
      </c>
      <c r="V2296" s="26" t="n">
        <v>4.09</v>
      </c>
      <c r="W2296" s="26">
        <f>V2296 - L2296</f>
        <v/>
      </c>
    </row>
    <row r="2297">
      <c r="A2297" s="11" t="n">
        <v>46226</v>
      </c>
      <c r="B2297" s="1" t="n">
        <v>20066</v>
      </c>
      <c r="C2297" s="1" t="inlineStr">
        <is>
          <t>831</t>
        </is>
      </c>
      <c r="D2297" s="1" t="inlineStr">
        <is>
          <t xml:space="preserve">7160  </t>
        </is>
      </c>
      <c r="E2297" s="1" t="inlineStr">
        <is>
          <t xml:space="preserve">28194770       </t>
        </is>
      </c>
      <c r="F2297" s="5" t="inlineStr">
        <is>
          <t>AUTOS DE METAL 3 TEAMSTERZ EN BLISTER</t>
        </is>
      </c>
      <c r="G2297" t="n">
        <v>7</v>
      </c>
      <c r="H2297" s="7" t="n">
        <v>48.3</v>
      </c>
      <c r="I2297" s="7" t="n">
        <v>0</v>
      </c>
      <c r="J2297" s="7" t="n">
        <v>0</v>
      </c>
      <c r="K2297" s="9" t="n">
        <v>0</v>
      </c>
      <c r="L2297" s="10" t="n">
        <v>28.63</v>
      </c>
      <c r="M2297" s="10" t="n">
        <v>1.43</v>
      </c>
      <c r="N2297" t="inlineStr">
        <is>
          <t>1</t>
        </is>
      </c>
      <c r="O2297" t="inlineStr">
        <is>
          <t>16</t>
        </is>
      </c>
      <c r="P2297" t="inlineStr">
        <is>
          <t xml:space="preserve">0       </t>
        </is>
      </c>
      <c r="Q2297" s="26" t="n">
        <v>6.9</v>
      </c>
      <c r="R2297" s="26">
        <f>Q2297*G2297</f>
        <v/>
      </c>
      <c r="S2297" t="n">
        <v>28.63</v>
      </c>
      <c r="T2297" s="18">
        <f>1 - V2297/S2297</f>
        <v/>
      </c>
      <c r="U2297" s="18" t="n">
        <v>0</v>
      </c>
      <c r="V2297" s="26" t="n">
        <v>28.63</v>
      </c>
      <c r="W2297" s="26">
        <f>V2297 - L2297</f>
        <v/>
      </c>
    </row>
    <row r="2298">
      <c r="A2298" s="11" t="n">
        <v>46226</v>
      </c>
      <c r="B2298" s="1" t="n">
        <v>20066</v>
      </c>
      <c r="C2298" s="1" t="inlineStr">
        <is>
          <t>833</t>
        </is>
      </c>
      <c r="D2298" s="1" t="inlineStr">
        <is>
          <t xml:space="preserve">3967  </t>
        </is>
      </c>
      <c r="E2298" s="1" t="inlineStr">
        <is>
          <t xml:space="preserve">28194770       </t>
        </is>
      </c>
      <c r="F2298" s="5" t="inlineStr">
        <is>
          <t>AUTOS DE METAL 3 TEAMSTERZ EN BLISTER</t>
        </is>
      </c>
      <c r="G2298" t="n">
        <v>1</v>
      </c>
      <c r="H2298" s="7" t="n">
        <v>6.9</v>
      </c>
      <c r="I2298" s="7" t="n">
        <v>0</v>
      </c>
      <c r="J2298" s="7" t="n">
        <v>0</v>
      </c>
      <c r="K2298" s="9" t="n">
        <v>0</v>
      </c>
      <c r="L2298" s="10" t="n">
        <v>4.1</v>
      </c>
      <c r="M2298" s="10" t="n">
        <v>1.43</v>
      </c>
      <c r="N2298" t="inlineStr">
        <is>
          <t>1</t>
        </is>
      </c>
      <c r="O2298" t="inlineStr">
        <is>
          <t>16</t>
        </is>
      </c>
      <c r="P2298" t="inlineStr">
        <is>
          <t xml:space="preserve">0       </t>
        </is>
      </c>
      <c r="Q2298" s="26" t="n">
        <v>6.9</v>
      </c>
      <c r="R2298" s="26">
        <f>Q2298*G2298</f>
        <v/>
      </c>
      <c r="S2298" t="n">
        <v>4.09</v>
      </c>
      <c r="T2298" s="18">
        <f>1 - V2298/S2298</f>
        <v/>
      </c>
      <c r="U2298" s="18" t="n">
        <v>0</v>
      </c>
      <c r="V2298" s="26" t="n">
        <v>4.09</v>
      </c>
      <c r="W2298" s="26">
        <f>V2298 - L2298</f>
        <v/>
      </c>
    </row>
    <row r="2299">
      <c r="A2299" s="11" t="n">
        <v>46226</v>
      </c>
      <c r="B2299" s="1" t="n">
        <v>20069</v>
      </c>
      <c r="C2299" s="1" t="inlineStr">
        <is>
          <t>024</t>
        </is>
      </c>
      <c r="D2299" s="1" t="inlineStr">
        <is>
          <t>105397</t>
        </is>
      </c>
      <c r="E2299" s="1" t="inlineStr">
        <is>
          <t xml:space="preserve">30141775       </t>
        </is>
      </c>
      <c r="F2299" s="5" t="inlineStr">
        <is>
          <t>RELOJ DIGITAL PRINCESAS DISNEY</t>
        </is>
      </c>
      <c r="G2299" t="n">
        <v>1</v>
      </c>
      <c r="H2299" s="7" t="n">
        <v>18.9</v>
      </c>
      <c r="I2299" s="7" t="n">
        <v>0</v>
      </c>
      <c r="J2299" s="7" t="n">
        <v>0</v>
      </c>
      <c r="K2299" s="9" t="n">
        <v>0</v>
      </c>
      <c r="L2299" s="10" t="n">
        <v>11.21</v>
      </c>
      <c r="M2299" s="10" t="n">
        <v>1.43</v>
      </c>
      <c r="N2299" t="inlineStr">
        <is>
          <t>1</t>
        </is>
      </c>
      <c r="O2299" t="inlineStr">
        <is>
          <t>16</t>
        </is>
      </c>
      <c r="P2299" t="inlineStr">
        <is>
          <t xml:space="preserve">249236  </t>
        </is>
      </c>
      <c r="Q2299" s="26" t="n">
        <v>18.9</v>
      </c>
      <c r="R2299" s="26">
        <f>Q2299*G2299</f>
        <v/>
      </c>
      <c r="S2299" t="n">
        <v>11.21</v>
      </c>
      <c r="T2299" s="18">
        <f>1 - V2299/S2299</f>
        <v/>
      </c>
      <c r="U2299" s="18" t="n">
        <v>0</v>
      </c>
      <c r="V2299" s="26" t="n">
        <v>11.21</v>
      </c>
      <c r="W2299" s="26">
        <f>V2299 - L2299</f>
        <v/>
      </c>
    </row>
    <row r="2300">
      <c r="A2300" s="11" t="n">
        <v>46226</v>
      </c>
      <c r="B2300" s="1" t="n">
        <v>20069</v>
      </c>
      <c r="C2300" s="1" t="inlineStr">
        <is>
          <t>024</t>
        </is>
      </c>
      <c r="D2300" s="1" t="inlineStr">
        <is>
          <t>105440</t>
        </is>
      </c>
      <c r="E2300" s="1" t="inlineStr">
        <is>
          <t xml:space="preserve">28194770       </t>
        </is>
      </c>
      <c r="F2300" s="5" t="inlineStr">
        <is>
          <t>AUTOS DE METAL 3 TEAMSTERZ EN BLISTER</t>
        </is>
      </c>
      <c r="G2300" t="n">
        <v>1</v>
      </c>
      <c r="H2300" s="7" t="n">
        <v>6.9</v>
      </c>
      <c r="I2300" s="7" t="n">
        <v>0</v>
      </c>
      <c r="J2300" s="7" t="n">
        <v>0</v>
      </c>
      <c r="K2300" s="9" t="n">
        <v>0</v>
      </c>
      <c r="L2300" s="10" t="n">
        <v>4.1</v>
      </c>
      <c r="M2300" s="10" t="n">
        <v>1.43</v>
      </c>
      <c r="N2300" t="inlineStr">
        <is>
          <t>1</t>
        </is>
      </c>
      <c r="O2300" t="inlineStr">
        <is>
          <t xml:space="preserve">2 </t>
        </is>
      </c>
      <c r="P2300" t="inlineStr">
        <is>
          <t xml:space="preserve">249236  </t>
        </is>
      </c>
      <c r="Q2300" s="26" t="n">
        <v>6.9</v>
      </c>
      <c r="R2300" s="26">
        <f>Q2300*G2300</f>
        <v/>
      </c>
      <c r="S2300" t="n">
        <v>4.09</v>
      </c>
      <c r="T2300" s="18">
        <f>1 - V2300/S2300</f>
        <v/>
      </c>
      <c r="U2300" s="18" t="n">
        <v>0</v>
      </c>
      <c r="V2300" s="26" t="n">
        <v>4.09</v>
      </c>
      <c r="W2300" s="26">
        <f>V2300 - L2300</f>
        <v/>
      </c>
    </row>
    <row r="2301">
      <c r="A2301" s="11" t="n">
        <v>46226</v>
      </c>
      <c r="B2301" s="1" t="n">
        <v>20069</v>
      </c>
      <c r="C2301" s="1" t="inlineStr">
        <is>
          <t>024</t>
        </is>
      </c>
      <c r="D2301" s="1" t="inlineStr">
        <is>
          <t>105440</t>
        </is>
      </c>
      <c r="E2301" s="1" t="inlineStr">
        <is>
          <t xml:space="preserve">28194770       </t>
        </is>
      </c>
      <c r="F2301" s="5" t="inlineStr">
        <is>
          <t>AUTOS DE METAL 3 TEAMSTERZ EN BLISTER</t>
        </is>
      </c>
      <c r="G2301" t="n">
        <v>1</v>
      </c>
      <c r="H2301" s="7" t="n">
        <v>6.9</v>
      </c>
      <c r="I2301" s="7" t="n">
        <v>0</v>
      </c>
      <c r="J2301" s="7" t="n">
        <v>0</v>
      </c>
      <c r="K2301" s="9" t="n">
        <v>0</v>
      </c>
      <c r="L2301" s="10" t="n">
        <v>4.1</v>
      </c>
      <c r="M2301" s="10" t="n">
        <v>1.43</v>
      </c>
      <c r="N2301" t="inlineStr">
        <is>
          <t>1</t>
        </is>
      </c>
      <c r="O2301" t="inlineStr">
        <is>
          <t xml:space="preserve">2 </t>
        </is>
      </c>
      <c r="P2301" t="inlineStr">
        <is>
          <t xml:space="preserve">249236  </t>
        </is>
      </c>
      <c r="Q2301" s="26" t="n">
        <v>6.9</v>
      </c>
      <c r="R2301" s="26">
        <f>Q2301*G2301</f>
        <v/>
      </c>
      <c r="S2301" t="n">
        <v>4.09</v>
      </c>
      <c r="T2301" s="18">
        <f>1 - V2301/S2301</f>
        <v/>
      </c>
      <c r="U2301" s="18" t="n">
        <v>0</v>
      </c>
      <c r="V2301" s="26" t="n">
        <v>4.09</v>
      </c>
      <c r="W2301" s="26">
        <f>V2301 - L2301</f>
        <v/>
      </c>
    </row>
    <row r="2302">
      <c r="A2302" s="11" t="n">
        <v>46226</v>
      </c>
      <c r="B2302" s="1" t="n">
        <v>20069</v>
      </c>
      <c r="C2302" s="1" t="inlineStr">
        <is>
          <t>024</t>
        </is>
      </c>
      <c r="D2302" s="1" t="inlineStr">
        <is>
          <t>105440</t>
        </is>
      </c>
      <c r="E2302" s="1" t="inlineStr">
        <is>
          <t xml:space="preserve">28194770       </t>
        </is>
      </c>
      <c r="F2302" s="5" t="inlineStr">
        <is>
          <t>AUTOS DE METAL 3 TEAMSTERZ EN BLISTER</t>
        </is>
      </c>
      <c r="G2302" t="n">
        <v>1</v>
      </c>
      <c r="H2302" s="7" t="n">
        <v>6.9</v>
      </c>
      <c r="I2302" s="7" t="n">
        <v>0</v>
      </c>
      <c r="J2302" s="7" t="n">
        <v>0</v>
      </c>
      <c r="K2302" s="9" t="n">
        <v>0</v>
      </c>
      <c r="L2302" s="10" t="n">
        <v>4.1</v>
      </c>
      <c r="M2302" s="10" t="n">
        <v>1.43</v>
      </c>
      <c r="N2302" t="inlineStr">
        <is>
          <t>1</t>
        </is>
      </c>
      <c r="O2302" t="inlineStr">
        <is>
          <t xml:space="preserve">2 </t>
        </is>
      </c>
      <c r="P2302" t="inlineStr">
        <is>
          <t xml:space="preserve">249236  </t>
        </is>
      </c>
      <c r="Q2302" s="26" t="n">
        <v>6.9</v>
      </c>
      <c r="R2302" s="26">
        <f>Q2302*G2302</f>
        <v/>
      </c>
      <c r="S2302" t="n">
        <v>4.09</v>
      </c>
      <c r="T2302" s="18">
        <f>1 - V2302/S2302</f>
        <v/>
      </c>
      <c r="U2302" s="18" t="n">
        <v>0</v>
      </c>
      <c r="V2302" s="26" t="n">
        <v>4.09</v>
      </c>
      <c r="W2302" s="26">
        <f>V2302 - L2302</f>
        <v/>
      </c>
    </row>
    <row r="2303">
      <c r="A2303" s="11" t="n">
        <v>46226</v>
      </c>
      <c r="B2303" s="1" t="n">
        <v>20069</v>
      </c>
      <c r="C2303" s="1" t="inlineStr">
        <is>
          <t>024</t>
        </is>
      </c>
      <c r="D2303" s="1" t="inlineStr">
        <is>
          <t>105478</t>
        </is>
      </c>
      <c r="E2303" s="1" t="inlineStr">
        <is>
          <t xml:space="preserve">28194770       </t>
        </is>
      </c>
      <c r="F2303" s="5" t="inlineStr">
        <is>
          <t>AUTOS DE METAL 3 TEAMSTERZ EN BLISTER</t>
        </is>
      </c>
      <c r="G2303" t="n">
        <v>1</v>
      </c>
      <c r="H2303" s="7" t="n">
        <v>6.9</v>
      </c>
      <c r="I2303" s="7" t="n">
        <v>0.6899999999999999</v>
      </c>
      <c r="J2303" s="7" t="n">
        <v>0</v>
      </c>
      <c r="K2303" s="9" t="n">
        <v>0.6899999999999999</v>
      </c>
      <c r="L2303" s="10" t="n">
        <v>3.68</v>
      </c>
      <c r="M2303" s="10" t="n">
        <v>1.43</v>
      </c>
      <c r="N2303" t="inlineStr">
        <is>
          <t>1</t>
        </is>
      </c>
      <c r="O2303" t="inlineStr">
        <is>
          <t xml:space="preserve">3 </t>
        </is>
      </c>
      <c r="P2303" t="inlineStr">
        <is>
          <t xml:space="preserve">249236  </t>
        </is>
      </c>
      <c r="Q2303" s="26" t="n">
        <v>6.9</v>
      </c>
      <c r="R2303" s="26">
        <f>Q2303*G2303</f>
        <v/>
      </c>
      <c r="S2303" t="n">
        <v>4.09</v>
      </c>
      <c r="T2303" s="18">
        <f>1 - V2303/S2303</f>
        <v/>
      </c>
      <c r="U2303" s="18" t="n">
        <v>0</v>
      </c>
      <c r="V2303" s="26" t="n">
        <v>4.09</v>
      </c>
      <c r="W2303" s="26">
        <f>V2303 - L2303</f>
        <v/>
      </c>
    </row>
    <row r="2304">
      <c r="A2304" s="11" t="n">
        <v>46226</v>
      </c>
      <c r="B2304" s="1" t="n">
        <v>20069</v>
      </c>
      <c r="C2304" s="1" t="inlineStr">
        <is>
          <t>024</t>
        </is>
      </c>
      <c r="D2304" s="1" t="inlineStr">
        <is>
          <t>105478</t>
        </is>
      </c>
      <c r="E2304" s="1" t="inlineStr">
        <is>
          <t xml:space="preserve">28194770       </t>
        </is>
      </c>
      <c r="F2304" s="5" t="inlineStr">
        <is>
          <t>AUTOS DE METAL 3 TEAMSTERZ EN BLISTER</t>
        </is>
      </c>
      <c r="G2304" t="n">
        <v>1</v>
      </c>
      <c r="H2304" s="7" t="n">
        <v>6.9</v>
      </c>
      <c r="I2304" s="7" t="n">
        <v>0.6899999999999999</v>
      </c>
      <c r="J2304" s="7" t="n">
        <v>0</v>
      </c>
      <c r="K2304" s="9" t="n">
        <v>0.6899999999999999</v>
      </c>
      <c r="L2304" s="10" t="n">
        <v>3.68</v>
      </c>
      <c r="M2304" s="10" t="n">
        <v>1.43</v>
      </c>
      <c r="N2304" t="inlineStr">
        <is>
          <t>1</t>
        </is>
      </c>
      <c r="O2304" t="inlineStr">
        <is>
          <t xml:space="preserve">3 </t>
        </is>
      </c>
      <c r="P2304" t="inlineStr">
        <is>
          <t xml:space="preserve">249236  </t>
        </is>
      </c>
      <c r="Q2304" s="26" t="n">
        <v>6.9</v>
      </c>
      <c r="R2304" s="26">
        <f>Q2304*G2304</f>
        <v/>
      </c>
      <c r="S2304" t="n">
        <v>4.09</v>
      </c>
      <c r="T2304" s="18">
        <f>1 - V2304/S2304</f>
        <v/>
      </c>
      <c r="U2304" s="18" t="n">
        <v>0</v>
      </c>
      <c r="V2304" s="26" t="n">
        <v>4.09</v>
      </c>
      <c r="W2304" s="26">
        <f>V2304 - L2304</f>
        <v/>
      </c>
    </row>
    <row r="2305">
      <c r="A2305" s="11" t="n">
        <v>46226</v>
      </c>
      <c r="B2305" s="1" t="n">
        <v>20069</v>
      </c>
      <c r="C2305" s="1" t="inlineStr">
        <is>
          <t>026</t>
        </is>
      </c>
      <c r="D2305" s="1" t="inlineStr">
        <is>
          <t xml:space="preserve">12180 </t>
        </is>
      </c>
      <c r="E2305" s="1" t="inlineStr">
        <is>
          <t xml:space="preserve">30141780       </t>
        </is>
      </c>
      <c r="F2305" s="5" t="inlineStr">
        <is>
          <t>RELOJ DIGITAL PEPPA PIG</t>
        </is>
      </c>
      <c r="G2305" t="n">
        <v>-1</v>
      </c>
      <c r="H2305" s="7" t="n">
        <v>-18.9</v>
      </c>
      <c r="I2305" s="7" t="n">
        <v>0</v>
      </c>
      <c r="J2305" s="7" t="n">
        <v>0</v>
      </c>
      <c r="K2305" s="9" t="n">
        <v>0</v>
      </c>
      <c r="L2305" s="10" t="n">
        <v>-11.21</v>
      </c>
      <c r="M2305" s="10" t="n">
        <v>0</v>
      </c>
      <c r="N2305" t="inlineStr">
        <is>
          <t>3</t>
        </is>
      </c>
      <c r="O2305" t="inlineStr">
        <is>
          <t>26</t>
        </is>
      </c>
      <c r="P2305" t="inlineStr">
        <is>
          <t xml:space="preserve">250749  </t>
        </is>
      </c>
      <c r="Q2305" s="26" t="n">
        <v>18.9</v>
      </c>
      <c r="R2305" s="26">
        <f>Q2305*G2305</f>
        <v/>
      </c>
      <c r="S2305" t="n">
        <v>-11.21</v>
      </c>
      <c r="T2305" s="18">
        <f>1 - V2305/S2305</f>
        <v/>
      </c>
      <c r="U2305" s="18" t="n">
        <v>0</v>
      </c>
      <c r="V2305" s="26" t="n">
        <v>-11.21</v>
      </c>
      <c r="W2305" s="26">
        <f>V2305 - L2305</f>
        <v/>
      </c>
    </row>
    <row r="2306">
      <c r="A2306" s="11" t="n">
        <v>46226</v>
      </c>
      <c r="B2306" s="1" t="n">
        <v>20069</v>
      </c>
      <c r="C2306" s="1" t="inlineStr">
        <is>
          <t>026</t>
        </is>
      </c>
      <c r="D2306" s="1" t="inlineStr">
        <is>
          <t>360088</t>
        </is>
      </c>
      <c r="E2306" s="1" t="inlineStr">
        <is>
          <t xml:space="preserve">28194770       </t>
        </is>
      </c>
      <c r="F2306" s="5" t="inlineStr">
        <is>
          <t>AUTOS DE METAL 3 TEAMSTERZ EN BLISTER</t>
        </is>
      </c>
      <c r="G2306" t="n">
        <v>1</v>
      </c>
      <c r="H2306" s="7" t="n">
        <v>6.9</v>
      </c>
      <c r="I2306" s="7" t="n">
        <v>0</v>
      </c>
      <c r="J2306" s="7" t="n">
        <v>0</v>
      </c>
      <c r="K2306" s="9" t="n">
        <v>0</v>
      </c>
      <c r="L2306" s="10" t="n">
        <v>4.1</v>
      </c>
      <c r="M2306" s="10" t="n">
        <v>1.43</v>
      </c>
      <c r="N2306" t="inlineStr">
        <is>
          <t>1</t>
        </is>
      </c>
      <c r="O2306" t="inlineStr">
        <is>
          <t xml:space="preserve">2 </t>
        </is>
      </c>
      <c r="P2306" t="inlineStr">
        <is>
          <t xml:space="preserve">250750  </t>
        </is>
      </c>
      <c r="Q2306" s="26" t="n">
        <v>6.9</v>
      </c>
      <c r="R2306" s="26">
        <f>Q2306*G2306</f>
        <v/>
      </c>
      <c r="S2306" t="n">
        <v>4.09</v>
      </c>
      <c r="T2306" s="18">
        <f>1 - V2306/S2306</f>
        <v/>
      </c>
      <c r="U2306" s="18" t="n">
        <v>0</v>
      </c>
      <c r="V2306" s="26" t="n">
        <v>4.09</v>
      </c>
      <c r="W2306" s="26">
        <f>V2306 - L2306</f>
        <v/>
      </c>
    </row>
    <row r="2307">
      <c r="A2307" s="11" t="n">
        <v>46226</v>
      </c>
      <c r="B2307" s="1" t="n">
        <v>20069</v>
      </c>
      <c r="C2307" s="1" t="inlineStr">
        <is>
          <t>026</t>
        </is>
      </c>
      <c r="D2307" s="1" t="inlineStr">
        <is>
          <t>360088</t>
        </is>
      </c>
      <c r="E2307" s="1" t="inlineStr">
        <is>
          <t xml:space="preserve">28194770       </t>
        </is>
      </c>
      <c r="F2307" s="5" t="inlineStr">
        <is>
          <t>AUTOS DE METAL 3 TEAMSTERZ EN BLISTER</t>
        </is>
      </c>
      <c r="G2307" t="n">
        <v>1</v>
      </c>
      <c r="H2307" s="7" t="n">
        <v>6.9</v>
      </c>
      <c r="I2307" s="7" t="n">
        <v>0</v>
      </c>
      <c r="J2307" s="7" t="n">
        <v>0</v>
      </c>
      <c r="K2307" s="9" t="n">
        <v>0</v>
      </c>
      <c r="L2307" s="10" t="n">
        <v>4.1</v>
      </c>
      <c r="M2307" s="10" t="n">
        <v>1.43</v>
      </c>
      <c r="N2307" t="inlineStr">
        <is>
          <t>1</t>
        </is>
      </c>
      <c r="O2307" t="inlineStr">
        <is>
          <t xml:space="preserve">2 </t>
        </is>
      </c>
      <c r="P2307" t="inlineStr">
        <is>
          <t xml:space="preserve">250750  </t>
        </is>
      </c>
      <c r="Q2307" s="26" t="n">
        <v>6.9</v>
      </c>
      <c r="R2307" s="26">
        <f>Q2307*G2307</f>
        <v/>
      </c>
      <c r="S2307" t="n">
        <v>4.09</v>
      </c>
      <c r="T2307" s="18">
        <f>1 - V2307/S2307</f>
        <v/>
      </c>
      <c r="U2307" s="18" t="n">
        <v>0</v>
      </c>
      <c r="V2307" s="26" t="n">
        <v>4.09</v>
      </c>
      <c r="W2307" s="26">
        <f>V2307 - L2307</f>
        <v/>
      </c>
    </row>
    <row r="2308">
      <c r="A2308" s="11" t="n">
        <v>46226</v>
      </c>
      <c r="B2308" s="1" t="n">
        <v>20073</v>
      </c>
      <c r="C2308" s="1" t="inlineStr">
        <is>
          <t>016</t>
        </is>
      </c>
      <c r="D2308" s="1" t="inlineStr">
        <is>
          <t xml:space="preserve">14862 </t>
        </is>
      </c>
      <c r="E2308" s="1" t="inlineStr">
        <is>
          <t xml:space="preserve">28194781       </t>
        </is>
      </c>
      <c r="F2308" s="5" t="inlineStr">
        <is>
          <t>TROMPO BATALLA INFINITY NADO SERIE V CLASICA SURTI</t>
        </is>
      </c>
      <c r="G2308" t="n">
        <v>1</v>
      </c>
      <c r="H2308" s="7" t="n">
        <v>39.9</v>
      </c>
      <c r="I2308" s="7" t="n">
        <v>0</v>
      </c>
      <c r="J2308" s="7" t="n">
        <v>0</v>
      </c>
      <c r="K2308" s="9" t="n">
        <v>0</v>
      </c>
      <c r="L2308" s="10" t="n">
        <v>23.67</v>
      </c>
      <c r="M2308" s="10" t="n">
        <v>1.43</v>
      </c>
      <c r="N2308" t="inlineStr">
        <is>
          <t>1</t>
        </is>
      </c>
      <c r="O2308" t="inlineStr">
        <is>
          <t xml:space="preserve">2 </t>
        </is>
      </c>
      <c r="P2308" t="inlineStr">
        <is>
          <t xml:space="preserve">101947  </t>
        </is>
      </c>
      <c r="Q2308" s="26" t="n">
        <v>59.9</v>
      </c>
      <c r="R2308" s="26">
        <f>Q2308*G2308</f>
        <v/>
      </c>
      <c r="S2308" t="n">
        <v>35.53</v>
      </c>
      <c r="T2308" s="18">
        <f>1 - V2308/S2308</f>
        <v/>
      </c>
      <c r="U2308" s="18" t="n">
        <v>0.333889816360601</v>
      </c>
      <c r="V2308" s="26" t="n">
        <v>25.36016949152542</v>
      </c>
      <c r="W2308" s="26">
        <f>V2308 - L2308</f>
        <v/>
      </c>
    </row>
    <row r="2309">
      <c r="A2309" s="11" t="n">
        <v>46226</v>
      </c>
      <c r="B2309" s="1" t="n">
        <v>20073</v>
      </c>
      <c r="C2309" s="1" t="inlineStr">
        <is>
          <t>016</t>
        </is>
      </c>
      <c r="D2309" s="1" t="inlineStr">
        <is>
          <t xml:space="preserve">14862 </t>
        </is>
      </c>
      <c r="E2309" s="1" t="inlineStr">
        <is>
          <t xml:space="preserve">28194781       </t>
        </is>
      </c>
      <c r="F2309" s="5" t="inlineStr">
        <is>
          <t>TROMPO BATALLA INFINITY NADO SERIE V CLASICA SURTI</t>
        </is>
      </c>
      <c r="G2309" t="n">
        <v>1</v>
      </c>
      <c r="H2309" s="7" t="n">
        <v>39.9</v>
      </c>
      <c r="I2309" s="7" t="n">
        <v>0</v>
      </c>
      <c r="J2309" s="7" t="n">
        <v>0</v>
      </c>
      <c r="K2309" s="9" t="n">
        <v>0</v>
      </c>
      <c r="L2309" s="10" t="n">
        <v>23.67</v>
      </c>
      <c r="M2309" s="10" t="n">
        <v>1.43</v>
      </c>
      <c r="N2309" t="inlineStr">
        <is>
          <t>1</t>
        </is>
      </c>
      <c r="O2309" t="inlineStr">
        <is>
          <t xml:space="preserve">2 </t>
        </is>
      </c>
      <c r="P2309" t="inlineStr">
        <is>
          <t xml:space="preserve">101947  </t>
        </is>
      </c>
      <c r="Q2309" s="26" t="n">
        <v>59.9</v>
      </c>
      <c r="R2309" s="26">
        <f>Q2309*G2309</f>
        <v/>
      </c>
      <c r="S2309" t="n">
        <v>35.53</v>
      </c>
      <c r="T2309" s="18">
        <f>1 - V2309/S2309</f>
        <v/>
      </c>
      <c r="U2309" s="18" t="n">
        <v>0.333889816360601</v>
      </c>
      <c r="V2309" s="26" t="n">
        <v>25.36016949152542</v>
      </c>
      <c r="W2309" s="26">
        <f>V2309 - L2309</f>
        <v/>
      </c>
    </row>
    <row r="2310">
      <c r="A2310" s="11" t="n">
        <v>46226</v>
      </c>
      <c r="B2310" s="1" t="n">
        <v>20073</v>
      </c>
      <c r="C2310" s="1" t="inlineStr">
        <is>
          <t>016</t>
        </is>
      </c>
      <c r="D2310" s="1" t="inlineStr">
        <is>
          <t xml:space="preserve">14862 </t>
        </is>
      </c>
      <c r="E2310" s="1" t="inlineStr">
        <is>
          <t xml:space="preserve">30232284       </t>
        </is>
      </c>
      <c r="F2310" s="5" t="inlineStr">
        <is>
          <t>INFINITY NADO TROMPO DE BATALLA - METAL C/PUNTA DE</t>
        </is>
      </c>
      <c r="G2310" t="n">
        <v>1</v>
      </c>
      <c r="H2310" s="7" t="n">
        <v>34.9</v>
      </c>
      <c r="I2310" s="7" t="n">
        <v>0</v>
      </c>
      <c r="J2310" s="7" t="n">
        <v>0</v>
      </c>
      <c r="K2310" s="9" t="n">
        <v>0</v>
      </c>
      <c r="L2310" s="10" t="n">
        <v>20.71</v>
      </c>
      <c r="M2310" s="10" t="n">
        <v>1.43</v>
      </c>
      <c r="N2310" t="inlineStr">
        <is>
          <t>1</t>
        </is>
      </c>
      <c r="O2310" t="inlineStr">
        <is>
          <t xml:space="preserve">2 </t>
        </is>
      </c>
      <c r="P2310" t="inlineStr">
        <is>
          <t xml:space="preserve">101947  </t>
        </is>
      </c>
      <c r="Q2310" s="26" t="n">
        <v>49.9</v>
      </c>
      <c r="R2310" s="26">
        <f>Q2310*G2310</f>
        <v/>
      </c>
      <c r="S2310" t="n">
        <v>29.6</v>
      </c>
      <c r="T2310" s="18">
        <f>1 - V2310/S2310</f>
        <v/>
      </c>
      <c r="U2310" s="18" t="n">
        <v>0.3006012024048096</v>
      </c>
      <c r="V2310" s="26" t="n">
        <v>22.18220338983051</v>
      </c>
      <c r="W2310" s="26">
        <f>V2310 - L2310</f>
        <v/>
      </c>
    </row>
    <row r="2311">
      <c r="A2311" s="11" t="n">
        <v>46226</v>
      </c>
      <c r="B2311" s="1" t="n">
        <v>20073</v>
      </c>
      <c r="C2311" s="1" t="inlineStr">
        <is>
          <t>016</t>
        </is>
      </c>
      <c r="D2311" s="1" t="inlineStr">
        <is>
          <t xml:space="preserve">14863 </t>
        </is>
      </c>
      <c r="E2311" s="1" t="inlineStr">
        <is>
          <t xml:space="preserve">28194768       </t>
        </is>
      </c>
      <c r="F2311" s="5" t="inlineStr">
        <is>
          <t>AUTO COLOR CHANGE TEAMSTERZ SURTIDO</t>
        </is>
      </c>
      <c r="G2311" t="n">
        <v>1</v>
      </c>
      <c r="H2311" s="7" t="n">
        <v>14.9</v>
      </c>
      <c r="I2311" s="7" t="n">
        <v>0</v>
      </c>
      <c r="J2311" s="7" t="n">
        <v>0</v>
      </c>
      <c r="K2311" s="9" t="n">
        <v>0</v>
      </c>
      <c r="L2311" s="10" t="n">
        <v>8.84</v>
      </c>
      <c r="M2311" s="10" t="n">
        <v>1.43</v>
      </c>
      <c r="N2311" t="inlineStr">
        <is>
          <t>1</t>
        </is>
      </c>
      <c r="O2311" t="inlineStr">
        <is>
          <t xml:space="preserve">2 </t>
        </is>
      </c>
      <c r="P2311" t="inlineStr">
        <is>
          <t xml:space="preserve">101947  </t>
        </is>
      </c>
      <c r="Q2311" s="26" t="n">
        <v>14.9</v>
      </c>
      <c r="R2311" s="26">
        <f>Q2311*G2311</f>
        <v/>
      </c>
      <c r="S2311" t="n">
        <v>8.84</v>
      </c>
      <c r="T2311" s="18">
        <f>1 - V2311/S2311</f>
        <v/>
      </c>
      <c r="U2311" s="18" t="n">
        <v>0</v>
      </c>
      <c r="V2311" s="26" t="n">
        <v>8.84</v>
      </c>
      <c r="W2311" s="26">
        <f>V2311 - L2311</f>
        <v/>
      </c>
    </row>
    <row r="2312">
      <c r="A2312" s="11" t="n">
        <v>46226</v>
      </c>
      <c r="B2312" s="1" t="n">
        <v>20073</v>
      </c>
      <c r="C2312" s="1" t="inlineStr">
        <is>
          <t>028</t>
        </is>
      </c>
      <c r="D2312" s="1" t="inlineStr">
        <is>
          <t xml:space="preserve">84790 </t>
        </is>
      </c>
      <c r="E2312" s="1" t="inlineStr">
        <is>
          <t xml:space="preserve">28194770       </t>
        </is>
      </c>
      <c r="F2312" s="5" t="inlineStr">
        <is>
          <t>AUTOS DE METAL 3 TEAMSTERZ EN BLISTER</t>
        </is>
      </c>
      <c r="G2312" t="n">
        <v>1</v>
      </c>
      <c r="H2312" s="7" t="n">
        <v>6.9</v>
      </c>
      <c r="I2312" s="7" t="n">
        <v>0</v>
      </c>
      <c r="J2312" s="7" t="n">
        <v>0</v>
      </c>
      <c r="K2312" s="9" t="n">
        <v>0</v>
      </c>
      <c r="L2312" s="10" t="n">
        <v>4.1</v>
      </c>
      <c r="M2312" s="10" t="n">
        <v>1.43</v>
      </c>
      <c r="N2312" t="inlineStr">
        <is>
          <t>1</t>
        </is>
      </c>
      <c r="O2312" t="inlineStr">
        <is>
          <t xml:space="preserve">2 </t>
        </is>
      </c>
      <c r="P2312" t="inlineStr">
        <is>
          <t xml:space="preserve">14759   </t>
        </is>
      </c>
      <c r="Q2312" s="26" t="n">
        <v>6.9</v>
      </c>
      <c r="R2312" s="26">
        <f>Q2312*G2312</f>
        <v/>
      </c>
      <c r="S2312" t="n">
        <v>4.09</v>
      </c>
      <c r="T2312" s="18">
        <f>1 - V2312/S2312</f>
        <v/>
      </c>
      <c r="U2312" s="18" t="n">
        <v>0</v>
      </c>
      <c r="V2312" s="26" t="n">
        <v>4.09</v>
      </c>
      <c r="W2312" s="26">
        <f>V2312 - L2312</f>
        <v/>
      </c>
    </row>
    <row r="2313">
      <c r="A2313" s="11" t="n">
        <v>46226</v>
      </c>
      <c r="B2313" s="1" t="n">
        <v>20073</v>
      </c>
      <c r="C2313" s="1" t="inlineStr">
        <is>
          <t>028</t>
        </is>
      </c>
      <c r="D2313" s="1" t="inlineStr">
        <is>
          <t xml:space="preserve">84790 </t>
        </is>
      </c>
      <c r="E2313" s="1" t="inlineStr">
        <is>
          <t xml:space="preserve">28194770       </t>
        </is>
      </c>
      <c r="F2313" s="5" t="inlineStr">
        <is>
          <t>AUTOS DE METAL 3 TEAMSTERZ EN BLISTER</t>
        </is>
      </c>
      <c r="G2313" t="n">
        <v>1</v>
      </c>
      <c r="H2313" s="7" t="n">
        <v>6.9</v>
      </c>
      <c r="I2313" s="7" t="n">
        <v>0</v>
      </c>
      <c r="J2313" s="7" t="n">
        <v>0</v>
      </c>
      <c r="K2313" s="9" t="n">
        <v>0</v>
      </c>
      <c r="L2313" s="10" t="n">
        <v>4.1</v>
      </c>
      <c r="M2313" s="10" t="n">
        <v>1.43</v>
      </c>
      <c r="N2313" t="inlineStr">
        <is>
          <t>1</t>
        </is>
      </c>
      <c r="O2313" t="inlineStr">
        <is>
          <t xml:space="preserve">2 </t>
        </is>
      </c>
      <c r="P2313" t="inlineStr">
        <is>
          <t xml:space="preserve">14759   </t>
        </is>
      </c>
      <c r="Q2313" s="26" t="n">
        <v>6.9</v>
      </c>
      <c r="R2313" s="26">
        <f>Q2313*G2313</f>
        <v/>
      </c>
      <c r="S2313" t="n">
        <v>4.09</v>
      </c>
      <c r="T2313" s="18">
        <f>1 - V2313/S2313</f>
        <v/>
      </c>
      <c r="U2313" s="18" t="n">
        <v>0</v>
      </c>
      <c r="V2313" s="26" t="n">
        <v>4.09</v>
      </c>
      <c r="W2313" s="26">
        <f>V2313 - L2313</f>
        <v/>
      </c>
    </row>
    <row r="2314">
      <c r="A2314" s="11" t="n">
        <v>46226</v>
      </c>
      <c r="B2314" s="1" t="n">
        <v>20073</v>
      </c>
      <c r="C2314" s="1" t="inlineStr">
        <is>
          <t>032</t>
        </is>
      </c>
      <c r="D2314" s="1" t="inlineStr">
        <is>
          <t>380943</t>
        </is>
      </c>
      <c r="E2314" s="1" t="inlineStr">
        <is>
          <t xml:space="preserve">28194770       </t>
        </is>
      </c>
      <c r="F2314" s="5" t="inlineStr">
        <is>
          <t>AUTOS DE METAL 3 TEAMSTERZ EN BLISTER</t>
        </is>
      </c>
      <c r="G2314" t="n">
        <v>1</v>
      </c>
      <c r="H2314" s="7" t="n">
        <v>6.9</v>
      </c>
      <c r="I2314" s="7" t="n">
        <v>0</v>
      </c>
      <c r="J2314" s="7" t="n">
        <v>0</v>
      </c>
      <c r="K2314" s="9" t="n">
        <v>0</v>
      </c>
      <c r="L2314" s="10" t="n">
        <v>4.1</v>
      </c>
      <c r="M2314" s="10" t="n">
        <v>1.43</v>
      </c>
      <c r="N2314" t="inlineStr">
        <is>
          <t>1</t>
        </is>
      </c>
      <c r="O2314" t="inlineStr">
        <is>
          <t>16</t>
        </is>
      </c>
      <c r="P2314" t="inlineStr">
        <is>
          <t xml:space="preserve">57886   </t>
        </is>
      </c>
      <c r="Q2314" s="26" t="n">
        <v>6.9</v>
      </c>
      <c r="R2314" s="26">
        <f>Q2314*G2314</f>
        <v/>
      </c>
      <c r="S2314" t="n">
        <v>4.09</v>
      </c>
      <c r="T2314" s="18">
        <f>1 - V2314/S2314</f>
        <v/>
      </c>
      <c r="U2314" s="18" t="n">
        <v>0</v>
      </c>
      <c r="V2314" s="26" t="n">
        <v>4.09</v>
      </c>
      <c r="W2314" s="26">
        <f>V2314 - L2314</f>
        <v/>
      </c>
    </row>
    <row r="2315">
      <c r="A2315" s="11" t="n">
        <v>46226</v>
      </c>
      <c r="B2315" s="1" t="n">
        <v>20073</v>
      </c>
      <c r="C2315" s="1" t="inlineStr">
        <is>
          <t>033</t>
        </is>
      </c>
      <c r="D2315" s="1" t="inlineStr">
        <is>
          <t>314160</t>
        </is>
      </c>
      <c r="E2315" s="1" t="inlineStr">
        <is>
          <t xml:space="preserve">28194770       </t>
        </is>
      </c>
      <c r="F2315" s="5" t="inlineStr">
        <is>
          <t>AUTOS DE METAL 3 TEAMSTERZ EN BLISTER</t>
        </is>
      </c>
      <c r="G2315" t="n">
        <v>1</v>
      </c>
      <c r="H2315" s="7" t="n">
        <v>6.9</v>
      </c>
      <c r="I2315" s="7" t="n">
        <v>0</v>
      </c>
      <c r="J2315" s="7" t="n">
        <v>0</v>
      </c>
      <c r="K2315" s="9" t="n">
        <v>0</v>
      </c>
      <c r="L2315" s="10" t="n">
        <v>4.1</v>
      </c>
      <c r="M2315" s="10" t="n">
        <v>1.43</v>
      </c>
      <c r="N2315" t="inlineStr">
        <is>
          <t>1</t>
        </is>
      </c>
      <c r="O2315" t="inlineStr">
        <is>
          <t xml:space="preserve">2 </t>
        </is>
      </c>
      <c r="P2315" t="inlineStr">
        <is>
          <t xml:space="preserve">249001  </t>
        </is>
      </c>
      <c r="Q2315" s="26" t="n">
        <v>6.9</v>
      </c>
      <c r="R2315" s="26">
        <f>Q2315*G2315</f>
        <v/>
      </c>
      <c r="S2315" t="n">
        <v>4.09</v>
      </c>
      <c r="T2315" s="18">
        <f>1 - V2315/S2315</f>
        <v/>
      </c>
      <c r="U2315" s="18" t="n">
        <v>0</v>
      </c>
      <c r="V2315" s="26" t="n">
        <v>4.09</v>
      </c>
      <c r="W2315" s="26">
        <f>V2315 - L2315</f>
        <v/>
      </c>
    </row>
    <row r="2316">
      <c r="A2316" s="11" t="n">
        <v>46226</v>
      </c>
      <c r="B2316" s="1" t="n">
        <v>20073</v>
      </c>
      <c r="C2316" s="1" t="inlineStr">
        <is>
          <t>033</t>
        </is>
      </c>
      <c r="D2316" s="1" t="inlineStr">
        <is>
          <t>314160</t>
        </is>
      </c>
      <c r="E2316" s="1" t="inlineStr">
        <is>
          <t xml:space="preserve">28194770       </t>
        </is>
      </c>
      <c r="F2316" s="5" t="inlineStr">
        <is>
          <t>AUTOS DE METAL 3 TEAMSTERZ EN BLISTER</t>
        </is>
      </c>
      <c r="G2316" t="n">
        <v>1</v>
      </c>
      <c r="H2316" s="7" t="n">
        <v>6.9</v>
      </c>
      <c r="I2316" s="7" t="n">
        <v>0</v>
      </c>
      <c r="J2316" s="7" t="n">
        <v>0</v>
      </c>
      <c r="K2316" s="9" t="n">
        <v>0</v>
      </c>
      <c r="L2316" s="10" t="n">
        <v>4.1</v>
      </c>
      <c r="M2316" s="10" t="n">
        <v>1.43</v>
      </c>
      <c r="N2316" t="inlineStr">
        <is>
          <t>1</t>
        </is>
      </c>
      <c r="O2316" t="inlineStr">
        <is>
          <t xml:space="preserve">2 </t>
        </is>
      </c>
      <c r="P2316" t="inlineStr">
        <is>
          <t xml:space="preserve">249001  </t>
        </is>
      </c>
      <c r="Q2316" s="26" t="n">
        <v>6.9</v>
      </c>
      <c r="R2316" s="26">
        <f>Q2316*G2316</f>
        <v/>
      </c>
      <c r="S2316" t="n">
        <v>4.09</v>
      </c>
      <c r="T2316" s="18">
        <f>1 - V2316/S2316</f>
        <v/>
      </c>
      <c r="U2316" s="18" t="n">
        <v>0</v>
      </c>
      <c r="V2316" s="26" t="n">
        <v>4.09</v>
      </c>
      <c r="W2316" s="26">
        <f>V2316 - L2316</f>
        <v/>
      </c>
    </row>
    <row r="2317">
      <c r="A2317" s="11" t="n">
        <v>46226</v>
      </c>
      <c r="B2317" s="1" t="n">
        <v>20073</v>
      </c>
      <c r="C2317" s="1" t="inlineStr">
        <is>
          <t>035</t>
        </is>
      </c>
      <c r="D2317" s="1" t="inlineStr">
        <is>
          <t>277230</t>
        </is>
      </c>
      <c r="E2317" s="1" t="inlineStr">
        <is>
          <t xml:space="preserve">28194770       </t>
        </is>
      </c>
      <c r="F2317" s="5" t="inlineStr">
        <is>
          <t>AUTOS DE METAL 3 TEAMSTERZ EN BLISTER</t>
        </is>
      </c>
      <c r="G2317" t="n">
        <v>1</v>
      </c>
      <c r="H2317" s="7" t="n">
        <v>6.9</v>
      </c>
      <c r="I2317" s="7" t="n">
        <v>0</v>
      </c>
      <c r="J2317" s="7" t="n">
        <v>0</v>
      </c>
      <c r="K2317" s="9" t="n">
        <v>0</v>
      </c>
      <c r="L2317" s="10" t="n">
        <v>4.1</v>
      </c>
      <c r="M2317" s="10" t="n">
        <v>1.43</v>
      </c>
      <c r="N2317" t="inlineStr">
        <is>
          <t>1</t>
        </is>
      </c>
      <c r="O2317" t="inlineStr">
        <is>
          <t xml:space="preserve">2 </t>
        </is>
      </c>
      <c r="P2317" t="inlineStr">
        <is>
          <t xml:space="preserve">250389  </t>
        </is>
      </c>
      <c r="Q2317" s="26" t="n">
        <v>6.9</v>
      </c>
      <c r="R2317" s="26">
        <f>Q2317*G2317</f>
        <v/>
      </c>
      <c r="S2317" t="n">
        <v>4.09</v>
      </c>
      <c r="T2317" s="18">
        <f>1 - V2317/S2317</f>
        <v/>
      </c>
      <c r="U2317" s="18" t="n">
        <v>0</v>
      </c>
      <c r="V2317" s="26" t="n">
        <v>4.09</v>
      </c>
      <c r="W2317" s="26">
        <f>V2317 - L2317</f>
        <v/>
      </c>
    </row>
    <row r="2318">
      <c r="A2318" s="11" t="n">
        <v>46226</v>
      </c>
      <c r="B2318" s="1" t="n">
        <v>20073</v>
      </c>
      <c r="C2318" s="1" t="inlineStr">
        <is>
          <t>045</t>
        </is>
      </c>
      <c r="D2318" s="1" t="inlineStr">
        <is>
          <t>149785</t>
        </is>
      </c>
      <c r="E2318" s="1" t="inlineStr">
        <is>
          <t xml:space="preserve">28194769       </t>
        </is>
      </c>
      <c r="F2318" s="5" t="inlineStr">
        <is>
          <t>AUTOS DE METAL 3 TEAMSTERZ PACK DE 2</t>
        </is>
      </c>
      <c r="G2318" t="n">
        <v>1</v>
      </c>
      <c r="H2318" s="7" t="n">
        <v>13.8</v>
      </c>
      <c r="I2318" s="7" t="n">
        <v>1.38</v>
      </c>
      <c r="J2318" s="7" t="n">
        <v>0</v>
      </c>
      <c r="K2318" s="9" t="n">
        <v>1.38</v>
      </c>
      <c r="L2318" s="10" t="n">
        <v>7.37</v>
      </c>
      <c r="M2318" s="10" t="n">
        <v>1.43</v>
      </c>
      <c r="N2318" t="inlineStr">
        <is>
          <t>1</t>
        </is>
      </c>
      <c r="O2318" t="inlineStr">
        <is>
          <t xml:space="preserve">3 </t>
        </is>
      </c>
      <c r="P2318" t="inlineStr">
        <is>
          <t xml:space="preserve">61458   </t>
        </is>
      </c>
      <c r="Q2318" s="26" t="n">
        <v>13.8</v>
      </c>
      <c r="R2318" s="26">
        <f>Q2318*G2318</f>
        <v/>
      </c>
      <c r="S2318" t="n">
        <v>8.19</v>
      </c>
      <c r="T2318" s="18">
        <f>1 - V2318/S2318</f>
        <v/>
      </c>
      <c r="U2318" s="18" t="n">
        <v>0</v>
      </c>
      <c r="V2318" s="26" t="n">
        <v>8.19</v>
      </c>
      <c r="W2318" s="26">
        <f>V2318 - L2318</f>
        <v/>
      </c>
    </row>
    <row r="2319">
      <c r="A2319" s="11" t="n">
        <v>46226</v>
      </c>
      <c r="B2319" s="1" t="n">
        <v>20073</v>
      </c>
      <c r="C2319" s="1" t="inlineStr">
        <is>
          <t>046</t>
        </is>
      </c>
      <c r="D2319" s="1" t="inlineStr">
        <is>
          <t>207843</t>
        </is>
      </c>
      <c r="E2319" s="1" t="inlineStr">
        <is>
          <t xml:space="preserve">28194768       </t>
        </is>
      </c>
      <c r="F2319" s="5" t="inlineStr">
        <is>
          <t>AUTO COLOR CHANGE TEAMSTERZ SURTIDO</t>
        </is>
      </c>
      <c r="G2319" t="n">
        <v>1</v>
      </c>
      <c r="H2319" s="7" t="n">
        <v>14.9</v>
      </c>
      <c r="I2319" s="7" t="n">
        <v>0</v>
      </c>
      <c r="J2319" s="7" t="n">
        <v>0</v>
      </c>
      <c r="K2319" s="9" t="n">
        <v>0</v>
      </c>
      <c r="L2319" s="10" t="n">
        <v>8.84</v>
      </c>
      <c r="M2319" s="10" t="n">
        <v>1.43</v>
      </c>
      <c r="N2319" t="inlineStr">
        <is>
          <t>1</t>
        </is>
      </c>
      <c r="O2319" t="inlineStr">
        <is>
          <t xml:space="preserve">2 </t>
        </is>
      </c>
      <c r="P2319" t="inlineStr">
        <is>
          <t xml:space="preserve">74879   </t>
        </is>
      </c>
      <c r="Q2319" s="26" t="n">
        <v>14.9</v>
      </c>
      <c r="R2319" s="26">
        <f>Q2319*G2319</f>
        <v/>
      </c>
      <c r="S2319" t="n">
        <v>8.84</v>
      </c>
      <c r="T2319" s="18">
        <f>1 - V2319/S2319</f>
        <v/>
      </c>
      <c r="U2319" s="18" t="n">
        <v>0</v>
      </c>
      <c r="V2319" s="26" t="n">
        <v>8.84</v>
      </c>
      <c r="W2319" s="26">
        <f>V2319 - L2319</f>
        <v/>
      </c>
    </row>
    <row r="2320">
      <c r="A2320" s="11" t="n">
        <v>46226</v>
      </c>
      <c r="B2320" s="1" t="n">
        <v>20073</v>
      </c>
      <c r="C2320" s="1" t="inlineStr">
        <is>
          <t>046</t>
        </is>
      </c>
      <c r="D2320" s="1" t="inlineStr">
        <is>
          <t>207843</t>
        </is>
      </c>
      <c r="E2320" s="1" t="inlineStr">
        <is>
          <t xml:space="preserve">28194770       </t>
        </is>
      </c>
      <c r="F2320" s="5" t="inlineStr">
        <is>
          <t>AUTOS DE METAL 3 TEAMSTERZ EN BLISTER</t>
        </is>
      </c>
      <c r="G2320" t="n">
        <v>1</v>
      </c>
      <c r="H2320" s="7" t="n">
        <v>6.9</v>
      </c>
      <c r="I2320" s="7" t="n">
        <v>0</v>
      </c>
      <c r="J2320" s="7" t="n">
        <v>0</v>
      </c>
      <c r="K2320" s="9" t="n">
        <v>0</v>
      </c>
      <c r="L2320" s="10" t="n">
        <v>4.1</v>
      </c>
      <c r="M2320" s="10" t="n">
        <v>1.43</v>
      </c>
      <c r="N2320" t="inlineStr">
        <is>
          <t>1</t>
        </is>
      </c>
      <c r="O2320" t="inlineStr">
        <is>
          <t xml:space="preserve">2 </t>
        </is>
      </c>
      <c r="P2320" t="inlineStr">
        <is>
          <t xml:space="preserve">74879   </t>
        </is>
      </c>
      <c r="Q2320" s="26" t="n">
        <v>6.9</v>
      </c>
      <c r="R2320" s="26">
        <f>Q2320*G2320</f>
        <v/>
      </c>
      <c r="S2320" t="n">
        <v>4.09</v>
      </c>
      <c r="T2320" s="18">
        <f>1 - V2320/S2320</f>
        <v/>
      </c>
      <c r="U2320" s="18" t="n">
        <v>0</v>
      </c>
      <c r="V2320" s="26" t="n">
        <v>4.09</v>
      </c>
      <c r="W2320" s="26">
        <f>V2320 - L2320</f>
        <v/>
      </c>
    </row>
    <row r="2321">
      <c r="A2321" s="11" t="n">
        <v>46226</v>
      </c>
      <c r="B2321" s="1" t="n">
        <v>20073</v>
      </c>
      <c r="C2321" s="1" t="inlineStr">
        <is>
          <t>046</t>
        </is>
      </c>
      <c r="D2321" s="1" t="inlineStr">
        <is>
          <t>207843</t>
        </is>
      </c>
      <c r="E2321" s="1" t="inlineStr">
        <is>
          <t xml:space="preserve">28194770       </t>
        </is>
      </c>
      <c r="F2321" s="5" t="inlineStr">
        <is>
          <t>AUTOS DE METAL 3 TEAMSTERZ EN BLISTER</t>
        </is>
      </c>
      <c r="G2321" t="n">
        <v>1</v>
      </c>
      <c r="H2321" s="7" t="n">
        <v>6.9</v>
      </c>
      <c r="I2321" s="7" t="n">
        <v>0</v>
      </c>
      <c r="J2321" s="7" t="n">
        <v>0</v>
      </c>
      <c r="K2321" s="9" t="n">
        <v>0</v>
      </c>
      <c r="L2321" s="10" t="n">
        <v>4.1</v>
      </c>
      <c r="M2321" s="10" t="n">
        <v>1.43</v>
      </c>
      <c r="N2321" t="inlineStr">
        <is>
          <t>1</t>
        </is>
      </c>
      <c r="O2321" t="inlineStr">
        <is>
          <t xml:space="preserve">2 </t>
        </is>
      </c>
      <c r="P2321" t="inlineStr">
        <is>
          <t xml:space="preserve">74879   </t>
        </is>
      </c>
      <c r="Q2321" s="26" t="n">
        <v>6.9</v>
      </c>
      <c r="R2321" s="26">
        <f>Q2321*G2321</f>
        <v/>
      </c>
      <c r="S2321" t="n">
        <v>4.09</v>
      </c>
      <c r="T2321" s="18">
        <f>1 - V2321/S2321</f>
        <v/>
      </c>
      <c r="U2321" s="18" t="n">
        <v>0</v>
      </c>
      <c r="V2321" s="26" t="n">
        <v>4.09</v>
      </c>
      <c r="W2321" s="26">
        <f>V2321 - L2321</f>
        <v/>
      </c>
    </row>
    <row r="2322">
      <c r="A2322" s="11" t="n">
        <v>46226</v>
      </c>
      <c r="B2322" s="1" t="n">
        <v>20073</v>
      </c>
      <c r="C2322" s="1" t="inlineStr">
        <is>
          <t>046</t>
        </is>
      </c>
      <c r="D2322" s="1" t="inlineStr">
        <is>
          <t>207843</t>
        </is>
      </c>
      <c r="E2322" s="1" t="inlineStr">
        <is>
          <t xml:space="preserve">28194770       </t>
        </is>
      </c>
      <c r="F2322" s="5" t="inlineStr">
        <is>
          <t>AUTOS DE METAL 3 TEAMSTERZ EN BLISTER</t>
        </is>
      </c>
      <c r="G2322" t="n">
        <v>1</v>
      </c>
      <c r="H2322" s="7" t="n">
        <v>6.9</v>
      </c>
      <c r="I2322" s="7" t="n">
        <v>0</v>
      </c>
      <c r="J2322" s="7" t="n">
        <v>0</v>
      </c>
      <c r="K2322" s="9" t="n">
        <v>0</v>
      </c>
      <c r="L2322" s="10" t="n">
        <v>4.1</v>
      </c>
      <c r="M2322" s="10" t="n">
        <v>1.43</v>
      </c>
      <c r="N2322" t="inlineStr">
        <is>
          <t>1</t>
        </is>
      </c>
      <c r="O2322" t="inlineStr">
        <is>
          <t xml:space="preserve">2 </t>
        </is>
      </c>
      <c r="P2322" t="inlineStr">
        <is>
          <t xml:space="preserve">74879   </t>
        </is>
      </c>
      <c r="Q2322" s="26" t="n">
        <v>6.9</v>
      </c>
      <c r="R2322" s="26">
        <f>Q2322*G2322</f>
        <v/>
      </c>
      <c r="S2322" t="n">
        <v>4.09</v>
      </c>
      <c r="T2322" s="18">
        <f>1 - V2322/S2322</f>
        <v/>
      </c>
      <c r="U2322" s="18" t="n">
        <v>0</v>
      </c>
      <c r="V2322" s="26" t="n">
        <v>4.09</v>
      </c>
      <c r="W2322" s="26">
        <f>V2322 - L2322</f>
        <v/>
      </c>
    </row>
    <row r="2323">
      <c r="A2323" s="11" t="n">
        <v>46226</v>
      </c>
      <c r="B2323" s="1" t="n">
        <v>20074</v>
      </c>
      <c r="C2323" s="1" t="inlineStr">
        <is>
          <t>012</t>
        </is>
      </c>
      <c r="D2323" s="1" t="inlineStr">
        <is>
          <t>280098</t>
        </is>
      </c>
      <c r="E2323" s="1" t="inlineStr">
        <is>
          <t xml:space="preserve">29235702       </t>
        </is>
      </c>
      <c r="F2323" s="5" t="inlineStr">
        <is>
          <t>INFINITY NADO TROMPO DE BATALLA - METAL C/ ANILLO</t>
        </is>
      </c>
      <c r="G2323" t="n">
        <v>1</v>
      </c>
      <c r="H2323" s="7" t="n">
        <v>49.9</v>
      </c>
      <c r="I2323" s="7" t="n">
        <v>0</v>
      </c>
      <c r="J2323" s="7" t="n">
        <v>0</v>
      </c>
      <c r="K2323" s="9" t="n">
        <v>0</v>
      </c>
      <c r="L2323" s="10" t="n">
        <v>29.6</v>
      </c>
      <c r="M2323" s="10" t="n">
        <v>1.43</v>
      </c>
      <c r="N2323" t="inlineStr">
        <is>
          <t>1</t>
        </is>
      </c>
      <c r="O2323" t="inlineStr">
        <is>
          <t>16</t>
        </is>
      </c>
      <c r="P2323" t="inlineStr">
        <is>
          <t xml:space="preserve">102135  </t>
        </is>
      </c>
      <c r="Q2323" s="26" t="n">
        <v>69.90000000000001</v>
      </c>
      <c r="R2323" s="26">
        <f>Q2323*G2323</f>
        <v/>
      </c>
      <c r="S2323" t="n">
        <v>41.47</v>
      </c>
      <c r="T2323" s="18">
        <f>1 - V2323/S2323</f>
        <v/>
      </c>
      <c r="U2323" s="18" t="n">
        <v>0.2861230329041489</v>
      </c>
      <c r="V2323" s="26" t="n">
        <v>31.71610169491525</v>
      </c>
      <c r="W2323" s="26">
        <f>V2323 - L2323</f>
        <v/>
      </c>
    </row>
    <row r="2324">
      <c r="A2324" s="11" t="n">
        <v>46226</v>
      </c>
      <c r="B2324" s="1" t="n">
        <v>20074</v>
      </c>
      <c r="C2324" s="1" t="inlineStr">
        <is>
          <t>032</t>
        </is>
      </c>
      <c r="D2324" s="1" t="inlineStr">
        <is>
          <t>263027</t>
        </is>
      </c>
      <c r="E2324" s="1" t="inlineStr">
        <is>
          <t xml:space="preserve">28194770       </t>
        </is>
      </c>
      <c r="F2324" s="5" t="inlineStr">
        <is>
          <t>AUTOS DE METAL 3 TEAMSTERZ EN BLISTER</t>
        </is>
      </c>
      <c r="G2324" t="n">
        <v>1</v>
      </c>
      <c r="H2324" s="7" t="n">
        <v>6.9</v>
      </c>
      <c r="I2324" s="7" t="n">
        <v>0</v>
      </c>
      <c r="J2324" s="7" t="n">
        <v>0</v>
      </c>
      <c r="K2324" s="9" t="n">
        <v>0</v>
      </c>
      <c r="L2324" s="10" t="n">
        <v>4.1</v>
      </c>
      <c r="M2324" s="10" t="n">
        <v>1.43</v>
      </c>
      <c r="N2324" t="inlineStr">
        <is>
          <t>1</t>
        </is>
      </c>
      <c r="O2324" t="inlineStr">
        <is>
          <t>16</t>
        </is>
      </c>
      <c r="P2324" t="inlineStr">
        <is>
          <t xml:space="preserve">104416  </t>
        </is>
      </c>
      <c r="Q2324" s="26" t="n">
        <v>6.9</v>
      </c>
      <c r="R2324" s="26">
        <f>Q2324*G2324</f>
        <v/>
      </c>
      <c r="S2324" t="n">
        <v>4.09</v>
      </c>
      <c r="T2324" s="18">
        <f>1 - V2324/S2324</f>
        <v/>
      </c>
      <c r="U2324" s="18" t="n">
        <v>0</v>
      </c>
      <c r="V2324" s="26" t="n">
        <v>4.09</v>
      </c>
      <c r="W2324" s="26">
        <f>V2324 - L2324</f>
        <v/>
      </c>
    </row>
    <row r="2325">
      <c r="A2325" s="11" t="n">
        <v>46226</v>
      </c>
      <c r="B2325" s="1" t="n">
        <v>20074</v>
      </c>
      <c r="C2325" s="1" t="inlineStr">
        <is>
          <t>032</t>
        </is>
      </c>
      <c r="D2325" s="1" t="inlineStr">
        <is>
          <t>263027</t>
        </is>
      </c>
      <c r="E2325" s="1" t="inlineStr">
        <is>
          <t xml:space="preserve">28194770       </t>
        </is>
      </c>
      <c r="F2325" s="5" t="inlineStr">
        <is>
          <t>AUTOS DE METAL 3 TEAMSTERZ EN BLISTER</t>
        </is>
      </c>
      <c r="G2325" t="n">
        <v>1</v>
      </c>
      <c r="H2325" s="7" t="n">
        <v>6.9</v>
      </c>
      <c r="I2325" s="7" t="n">
        <v>0</v>
      </c>
      <c r="J2325" s="7" t="n">
        <v>0</v>
      </c>
      <c r="K2325" s="9" t="n">
        <v>0</v>
      </c>
      <c r="L2325" s="10" t="n">
        <v>4.1</v>
      </c>
      <c r="M2325" s="10" t="n">
        <v>1.43</v>
      </c>
      <c r="N2325" t="inlineStr">
        <is>
          <t>1</t>
        </is>
      </c>
      <c r="O2325" t="inlineStr">
        <is>
          <t>16</t>
        </is>
      </c>
      <c r="P2325" t="inlineStr">
        <is>
          <t xml:space="preserve">104416  </t>
        </is>
      </c>
      <c r="Q2325" s="26" t="n">
        <v>6.9</v>
      </c>
      <c r="R2325" s="26">
        <f>Q2325*G2325</f>
        <v/>
      </c>
      <c r="S2325" t="n">
        <v>4.09</v>
      </c>
      <c r="T2325" s="18">
        <f>1 - V2325/S2325</f>
        <v/>
      </c>
      <c r="U2325" s="18" t="n">
        <v>0</v>
      </c>
      <c r="V2325" s="26" t="n">
        <v>4.09</v>
      </c>
      <c r="W2325" s="26">
        <f>V2325 - L2325</f>
        <v/>
      </c>
    </row>
    <row r="2326">
      <c r="A2326" s="11" t="n">
        <v>46226</v>
      </c>
      <c r="B2326" s="1" t="n">
        <v>20077</v>
      </c>
      <c r="C2326" s="1" t="inlineStr">
        <is>
          <t>030</t>
        </is>
      </c>
      <c r="D2326" s="1" t="inlineStr">
        <is>
          <t xml:space="preserve">41194 </t>
        </is>
      </c>
      <c r="E2326" s="1" t="inlineStr">
        <is>
          <t xml:space="preserve">30141766       </t>
        </is>
      </c>
      <c r="F2326" s="5" t="inlineStr">
        <is>
          <t>TMZ BEAST MACHINES AUTOS DE METAL BLISTER X 1</t>
        </is>
      </c>
      <c r="G2326" t="n">
        <v>1</v>
      </c>
      <c r="H2326" s="7" t="n">
        <v>7.9</v>
      </c>
      <c r="I2326" s="7" t="n">
        <v>0</v>
      </c>
      <c r="J2326" s="7" t="n">
        <v>0</v>
      </c>
      <c r="K2326" s="9" t="n">
        <v>0</v>
      </c>
      <c r="L2326" s="10" t="n">
        <v>4.68</v>
      </c>
      <c r="M2326" s="10" t="n">
        <v>1.43</v>
      </c>
      <c r="N2326" t="inlineStr">
        <is>
          <t>1</t>
        </is>
      </c>
      <c r="O2326" t="inlineStr">
        <is>
          <t xml:space="preserve">2 </t>
        </is>
      </c>
      <c r="P2326" t="inlineStr">
        <is>
          <t xml:space="preserve">61615   </t>
        </is>
      </c>
      <c r="Q2326" s="26" t="n">
        <v>7.9</v>
      </c>
      <c r="R2326" s="26">
        <f>Q2326*G2326</f>
        <v/>
      </c>
      <c r="S2326" t="n">
        <v>4.69</v>
      </c>
      <c r="T2326" s="18">
        <f>1 - V2326/S2326</f>
        <v/>
      </c>
      <c r="U2326" s="18" t="n">
        <v>0</v>
      </c>
      <c r="V2326" s="26" t="n">
        <v>4.69</v>
      </c>
      <c r="W2326" s="26">
        <f>V2326 - L2326</f>
        <v/>
      </c>
    </row>
    <row r="2327">
      <c r="A2327" s="11" t="n">
        <v>46226</v>
      </c>
      <c r="B2327" s="1" t="n">
        <v>20077</v>
      </c>
      <c r="C2327" s="1" t="inlineStr">
        <is>
          <t>030</t>
        </is>
      </c>
      <c r="D2327" s="1" t="inlineStr">
        <is>
          <t xml:space="preserve">41205 </t>
        </is>
      </c>
      <c r="E2327" s="1" t="inlineStr">
        <is>
          <t xml:space="preserve">32457111       </t>
        </is>
      </c>
      <c r="F2327" s="5" t="inlineStr">
        <is>
          <t>TMZ BEAST MACHINES MONSTER JAWS A FRICCION PACK DE</t>
        </is>
      </c>
      <c r="G2327" t="n">
        <v>1</v>
      </c>
      <c r="H2327" s="7" t="n">
        <v>54.9</v>
      </c>
      <c r="I2327" s="7" t="n">
        <v>0</v>
      </c>
      <c r="J2327" s="7" t="n">
        <v>0</v>
      </c>
      <c r="K2327" s="9" t="n">
        <v>0</v>
      </c>
      <c r="L2327" s="10" t="n">
        <v>32.57</v>
      </c>
      <c r="M2327" s="10" t="n">
        <v>1.43</v>
      </c>
      <c r="N2327" t="inlineStr">
        <is>
          <t>1</t>
        </is>
      </c>
      <c r="O2327" t="inlineStr">
        <is>
          <t>16</t>
        </is>
      </c>
      <c r="P2327" t="inlineStr">
        <is>
          <t xml:space="preserve">61615   </t>
        </is>
      </c>
      <c r="Q2327" s="26" t="n">
        <v>74.90000000000001</v>
      </c>
      <c r="R2327" s="26">
        <f>Q2327*G2327</f>
        <v/>
      </c>
      <c r="S2327" t="n">
        <v>44.43</v>
      </c>
      <c r="T2327" s="18">
        <f>1 - V2327/S2327</f>
        <v/>
      </c>
      <c r="U2327" s="18" t="n">
        <v>0.2670226969292391</v>
      </c>
      <c r="V2327" s="26" t="n">
        <v>31.92406779661017</v>
      </c>
      <c r="W2327" s="26">
        <f>V2327 - L2327</f>
        <v/>
      </c>
    </row>
    <row r="2328">
      <c r="A2328" s="11" t="n">
        <v>46226</v>
      </c>
      <c r="B2328" s="1" t="n">
        <v>20079</v>
      </c>
      <c r="C2328" s="1" t="inlineStr">
        <is>
          <t>017</t>
        </is>
      </c>
      <c r="D2328" s="1" t="inlineStr">
        <is>
          <t>190673</t>
        </is>
      </c>
      <c r="E2328" s="1" t="inlineStr">
        <is>
          <t xml:space="preserve">32457103       </t>
        </is>
      </c>
      <c r="F2328" s="5" t="inlineStr">
        <is>
          <t>TMZ BEAST MACHINES MONSTER JAWS A FRICCION PACK DE</t>
        </is>
      </c>
      <c r="G2328" t="n">
        <v>1</v>
      </c>
      <c r="H2328" s="7" t="n">
        <v>32.9</v>
      </c>
      <c r="I2328" s="7" t="n">
        <v>0</v>
      </c>
      <c r="J2328" s="7" t="n">
        <v>0</v>
      </c>
      <c r="K2328" s="9" t="n">
        <v>0</v>
      </c>
      <c r="L2328" s="10" t="n">
        <v>19.52</v>
      </c>
      <c r="M2328" s="10" t="n">
        <v>1.43</v>
      </c>
      <c r="N2328" t="inlineStr">
        <is>
          <t>1</t>
        </is>
      </c>
      <c r="O2328" t="inlineStr">
        <is>
          <t>16</t>
        </is>
      </c>
      <c r="P2328" t="inlineStr">
        <is>
          <t xml:space="preserve">14729   </t>
        </is>
      </c>
      <c r="Q2328" s="26" t="n">
        <v>37.9</v>
      </c>
      <c r="R2328" s="26">
        <f>Q2328*G2328</f>
        <v/>
      </c>
      <c r="S2328" t="n">
        <v>22.48</v>
      </c>
      <c r="T2328" s="18">
        <f>1 - V2328/S2328</f>
        <v/>
      </c>
      <c r="U2328" s="18" t="n">
        <v>0.1319261213720316</v>
      </c>
      <c r="V2328" s="26" t="n">
        <v>16.75101694915254</v>
      </c>
      <c r="W2328" s="26">
        <f>V2328 - L2328</f>
        <v/>
      </c>
    </row>
    <row r="2329">
      <c r="A2329" s="11" t="n">
        <v>46226</v>
      </c>
      <c r="B2329" s="1" t="n">
        <v>20079</v>
      </c>
      <c r="C2329" s="1" t="inlineStr">
        <is>
          <t>045</t>
        </is>
      </c>
      <c r="D2329" s="1" t="inlineStr">
        <is>
          <t>333163</t>
        </is>
      </c>
      <c r="E2329" s="1" t="inlineStr">
        <is>
          <t xml:space="preserve">31754677       </t>
        </is>
      </c>
      <c r="F2329" s="5" t="inlineStr">
        <is>
          <t>INFINITY NADO SERIE 6 SET DE BATALL</t>
        </is>
      </c>
      <c r="G2329" t="n">
        <v>1</v>
      </c>
      <c r="H2329" s="7" t="n">
        <v>149</v>
      </c>
      <c r="I2329" s="7" t="n">
        <v>0</v>
      </c>
      <c r="J2329" s="7" t="n">
        <v>0</v>
      </c>
      <c r="K2329" s="9" t="n">
        <v>0</v>
      </c>
      <c r="L2329" s="10" t="n">
        <v>88.39</v>
      </c>
      <c r="M2329" s="10" t="n">
        <v>1.43</v>
      </c>
      <c r="N2329" t="inlineStr">
        <is>
          <t>1</t>
        </is>
      </c>
      <c r="O2329" t="inlineStr">
        <is>
          <t xml:space="preserve">2 </t>
        </is>
      </c>
      <c r="P2329" t="inlineStr">
        <is>
          <t xml:space="preserve">61558   </t>
        </is>
      </c>
      <c r="Q2329" s="26" t="n">
        <v>189</v>
      </c>
      <c r="R2329" s="26">
        <f>Q2329*G2329</f>
        <v/>
      </c>
      <c r="S2329" t="n">
        <v>112.12</v>
      </c>
      <c r="T2329" s="18">
        <f>1 - V2329/S2329</f>
        <v/>
      </c>
      <c r="U2329" s="18" t="n">
        <v>0.2116402116402116</v>
      </c>
      <c r="V2329" s="26" t="n">
        <v>94.70338983050848</v>
      </c>
      <c r="W2329" s="26">
        <f>V2329 - L2329</f>
        <v/>
      </c>
    </row>
    <row r="2330">
      <c r="A2330" s="11" t="n">
        <v>46226</v>
      </c>
      <c r="B2330" s="1" t="n">
        <v>20079</v>
      </c>
      <c r="C2330" s="1" t="inlineStr">
        <is>
          <t>051</t>
        </is>
      </c>
      <c r="D2330" s="1" t="inlineStr">
        <is>
          <t>236838</t>
        </is>
      </c>
      <c r="E2330" s="1" t="inlineStr">
        <is>
          <t xml:space="preserve">32457103       </t>
        </is>
      </c>
      <c r="F2330" s="5" t="inlineStr">
        <is>
          <t>TMZ BEAST MACHINES MONSTER JAWS A FRICCION PACK DE</t>
        </is>
      </c>
      <c r="G2330" t="n">
        <v>1</v>
      </c>
      <c r="H2330" s="7" t="n">
        <v>32.9</v>
      </c>
      <c r="I2330" s="7" t="n">
        <v>0</v>
      </c>
      <c r="J2330" s="7" t="n">
        <v>0</v>
      </c>
      <c r="K2330" s="9" t="n">
        <v>0</v>
      </c>
      <c r="L2330" s="10" t="n">
        <v>19.52</v>
      </c>
      <c r="M2330" s="10" t="n">
        <v>1.43</v>
      </c>
      <c r="N2330" t="inlineStr">
        <is>
          <t>1</t>
        </is>
      </c>
      <c r="O2330" t="inlineStr">
        <is>
          <t xml:space="preserve">2 </t>
        </is>
      </c>
      <c r="P2330" t="inlineStr">
        <is>
          <t xml:space="preserve">45006   </t>
        </is>
      </c>
      <c r="Q2330" s="26" t="n">
        <v>37.9</v>
      </c>
      <c r="R2330" s="26">
        <f>Q2330*G2330</f>
        <v/>
      </c>
      <c r="S2330" t="n">
        <v>22.48</v>
      </c>
      <c r="T2330" s="18">
        <f>1 - V2330/S2330</f>
        <v/>
      </c>
      <c r="U2330" s="18" t="n">
        <v>0.1319261213720316</v>
      </c>
      <c r="V2330" s="26" t="n">
        <v>16.75101694915254</v>
      </c>
      <c r="W2330" s="26">
        <f>V2330 - L2330</f>
        <v/>
      </c>
    </row>
    <row r="2331">
      <c r="A2331" s="11" t="n">
        <v>46226</v>
      </c>
      <c r="B2331" s="1" t="n">
        <v>20080</v>
      </c>
      <c r="C2331" s="1" t="inlineStr">
        <is>
          <t>012</t>
        </is>
      </c>
      <c r="D2331" s="1" t="inlineStr">
        <is>
          <t xml:space="preserve">59846 </t>
        </is>
      </c>
      <c r="E2331" s="1" t="inlineStr">
        <is>
          <t xml:space="preserve">28194769       </t>
        </is>
      </c>
      <c r="F2331" s="5" t="inlineStr">
        <is>
          <t>AUTOS DE METAL 3 TEAMSTERZ PACK DE 2</t>
        </is>
      </c>
      <c r="G2331" t="n">
        <v>1</v>
      </c>
      <c r="H2331" s="7" t="n">
        <v>13.8</v>
      </c>
      <c r="I2331" s="7" t="n">
        <v>0</v>
      </c>
      <c r="J2331" s="7" t="n">
        <v>0</v>
      </c>
      <c r="K2331" s="9" t="n">
        <v>0</v>
      </c>
      <c r="L2331" s="10" t="n">
        <v>8.18</v>
      </c>
      <c r="M2331" s="10" t="n">
        <v>1.43</v>
      </c>
      <c r="N2331" t="inlineStr">
        <is>
          <t>1</t>
        </is>
      </c>
      <c r="O2331" t="inlineStr">
        <is>
          <t>16</t>
        </is>
      </c>
      <c r="P2331" t="inlineStr">
        <is>
          <t xml:space="preserve">81033   </t>
        </is>
      </c>
      <c r="Q2331" s="26" t="n">
        <v>13.8</v>
      </c>
      <c r="R2331" s="26">
        <f>Q2331*G2331</f>
        <v/>
      </c>
      <c r="S2331" t="n">
        <v>8.19</v>
      </c>
      <c r="T2331" s="18">
        <f>1 - V2331/S2331</f>
        <v/>
      </c>
      <c r="U2331" s="18" t="n">
        <v>0</v>
      </c>
      <c r="V2331" s="26" t="n">
        <v>8.19</v>
      </c>
      <c r="W2331" s="26">
        <f>V2331 - L2331</f>
        <v/>
      </c>
    </row>
    <row r="2332">
      <c r="A2332" s="11" t="n">
        <v>46226</v>
      </c>
      <c r="B2332" s="1" t="n">
        <v>20080</v>
      </c>
      <c r="C2332" s="1" t="inlineStr">
        <is>
          <t>026</t>
        </is>
      </c>
      <c r="D2332" s="1" t="inlineStr">
        <is>
          <t>209227</t>
        </is>
      </c>
      <c r="E2332" s="1" t="inlineStr">
        <is>
          <t xml:space="preserve">33483118       </t>
        </is>
      </c>
      <c r="F2332" s="5" t="inlineStr">
        <is>
          <t>MUNECA EVI LOVE SET CUIDADO DE PERROS + ACC.</t>
        </is>
      </c>
      <c r="G2332" t="n">
        <v>1</v>
      </c>
      <c r="H2332" s="7" t="n">
        <v>23.94</v>
      </c>
      <c r="I2332" s="7" t="n">
        <v>0</v>
      </c>
      <c r="J2332" s="7" t="n">
        <v>0</v>
      </c>
      <c r="K2332" s="9" t="n">
        <v>0</v>
      </c>
      <c r="L2332" s="10" t="n">
        <v>14.2</v>
      </c>
      <c r="M2332" s="10" t="n">
        <v>1.43</v>
      </c>
      <c r="N2332" t="inlineStr">
        <is>
          <t>1</t>
        </is>
      </c>
      <c r="O2332" t="inlineStr">
        <is>
          <t>16</t>
        </is>
      </c>
      <c r="P2332" t="inlineStr">
        <is>
          <t xml:space="preserve">66621   </t>
        </is>
      </c>
      <c r="Q2332" s="26" t="n">
        <v>39.9</v>
      </c>
      <c r="R2332" s="26">
        <f>Q2332*G2332</f>
        <v/>
      </c>
      <c r="S2332" t="n">
        <v>23.67</v>
      </c>
      <c r="T2332" s="18">
        <f>1 - V2332/S2332</f>
        <v/>
      </c>
      <c r="U2332" s="18" t="n">
        <v>0.4</v>
      </c>
      <c r="V2332" s="26" t="n">
        <v>18.25932203389831</v>
      </c>
      <c r="W2332" s="26">
        <f>V2332 - L2332</f>
        <v/>
      </c>
    </row>
    <row r="2333">
      <c r="A2333" s="11" t="n">
        <v>46226</v>
      </c>
      <c r="B2333" s="1" t="n">
        <v>20080</v>
      </c>
      <c r="C2333" s="1" t="inlineStr">
        <is>
          <t>026</t>
        </is>
      </c>
      <c r="D2333" s="1" t="inlineStr">
        <is>
          <t>209288</t>
        </is>
      </c>
      <c r="E2333" s="1" t="inlineStr">
        <is>
          <t xml:space="preserve">31417427       </t>
        </is>
      </c>
      <c r="F2333" s="5" t="inlineStr">
        <is>
          <t>MUNECA EVI LOVE AMIGA DE MASCOTAS SURTIDO</t>
        </is>
      </c>
      <c r="G2333" t="n">
        <v>1</v>
      </c>
      <c r="H2333" s="7" t="n">
        <v>11.94</v>
      </c>
      <c r="I2333" s="7" t="n">
        <v>1.19</v>
      </c>
      <c r="J2333" s="7" t="n">
        <v>0</v>
      </c>
      <c r="K2333" s="9" t="n">
        <v>1.19</v>
      </c>
      <c r="L2333" s="10" t="n">
        <v>6.38</v>
      </c>
      <c r="M2333" s="10" t="n">
        <v>1.43</v>
      </c>
      <c r="N2333" t="inlineStr">
        <is>
          <t>1</t>
        </is>
      </c>
      <c r="O2333" t="inlineStr">
        <is>
          <t xml:space="preserve">3 </t>
        </is>
      </c>
      <c r="P2333" t="inlineStr">
        <is>
          <t xml:space="preserve">66621   </t>
        </is>
      </c>
      <c r="Q2333" s="26" t="n">
        <v>19.9</v>
      </c>
      <c r="R2333" s="26">
        <f>Q2333*G2333</f>
        <v/>
      </c>
      <c r="S2333" t="n">
        <v>11.81</v>
      </c>
      <c r="T2333" s="18">
        <f>1 - V2333/S2333</f>
        <v/>
      </c>
      <c r="U2333" s="18" t="n">
        <v>0.4</v>
      </c>
      <c r="V2333" s="26" t="n">
        <v>9.106779661016949</v>
      </c>
      <c r="W2333" s="26">
        <f>V2333 - L2333</f>
        <v/>
      </c>
    </row>
    <row r="2334">
      <c r="A2334" s="11" t="n">
        <v>46226</v>
      </c>
      <c r="B2334" s="1" t="n">
        <v>20080</v>
      </c>
      <c r="C2334" s="1" t="inlineStr">
        <is>
          <t>026</t>
        </is>
      </c>
      <c r="D2334" s="1" t="inlineStr">
        <is>
          <t>209288</t>
        </is>
      </c>
      <c r="E2334" s="1" t="inlineStr">
        <is>
          <t xml:space="preserve">33483116       </t>
        </is>
      </c>
      <c r="F2334" s="5" t="inlineStr">
        <is>
          <t>MUNECA EVI LOVE GATO + COCHE + ACC.</t>
        </is>
      </c>
      <c r="G2334" t="n">
        <v>1</v>
      </c>
      <c r="H2334" s="7" t="n">
        <v>20.94</v>
      </c>
      <c r="I2334" s="7" t="n">
        <v>2.1</v>
      </c>
      <c r="J2334" s="7" t="n">
        <v>0</v>
      </c>
      <c r="K2334" s="9" t="n">
        <v>2.1</v>
      </c>
      <c r="L2334" s="10" t="n">
        <v>11.18</v>
      </c>
      <c r="M2334" s="10" t="n">
        <v>1.43</v>
      </c>
      <c r="N2334" t="inlineStr">
        <is>
          <t>1</t>
        </is>
      </c>
      <c r="O2334" t="inlineStr">
        <is>
          <t xml:space="preserve">3 </t>
        </is>
      </c>
      <c r="P2334" t="inlineStr">
        <is>
          <t xml:space="preserve">66621   </t>
        </is>
      </c>
      <c r="Q2334" s="26" t="n">
        <v>34.9</v>
      </c>
      <c r="R2334" s="26">
        <f>Q2334*G2334</f>
        <v/>
      </c>
      <c r="S2334" t="n">
        <v>20.7</v>
      </c>
      <c r="T2334" s="18">
        <f>1 - V2334/S2334</f>
        <v/>
      </c>
      <c r="U2334" s="18" t="n">
        <v>0.4</v>
      </c>
      <c r="V2334" s="26" t="n">
        <v>15.97118644067796</v>
      </c>
      <c r="W2334" s="26">
        <f>V2334 - L2334</f>
        <v/>
      </c>
    </row>
    <row r="2335">
      <c r="A2335" s="11" t="n">
        <v>46226</v>
      </c>
      <c r="B2335" s="1" t="n">
        <v>20080</v>
      </c>
      <c r="C2335" s="1" t="inlineStr">
        <is>
          <t>026</t>
        </is>
      </c>
      <c r="D2335" s="1" t="inlineStr">
        <is>
          <t>209311</t>
        </is>
      </c>
      <c r="E2335" s="1" t="inlineStr">
        <is>
          <t xml:space="preserve">31754676       </t>
        </is>
      </c>
      <c r="F2335" s="5" t="inlineStr">
        <is>
          <t>INFINITY NADO SERIE 6 STD PACK LANZ ESPAD ANILLO M</t>
        </is>
      </c>
      <c r="G2335" t="n">
        <v>1</v>
      </c>
      <c r="H2335" s="7" t="n">
        <v>59.9</v>
      </c>
      <c r="I2335" s="7" t="n">
        <v>5.99</v>
      </c>
      <c r="J2335" s="7" t="n">
        <v>0</v>
      </c>
      <c r="K2335" s="9" t="n">
        <v>5.99</v>
      </c>
      <c r="L2335" s="10" t="n">
        <v>31.98</v>
      </c>
      <c r="M2335" s="10" t="n">
        <v>1.43</v>
      </c>
      <c r="N2335" t="inlineStr">
        <is>
          <t>1</t>
        </is>
      </c>
      <c r="O2335" t="inlineStr">
        <is>
          <t xml:space="preserve">3 </t>
        </is>
      </c>
      <c r="P2335" t="inlineStr">
        <is>
          <t xml:space="preserve">66621   </t>
        </is>
      </c>
      <c r="Q2335" s="26" t="n">
        <v>79.90000000000001</v>
      </c>
      <c r="R2335" s="26">
        <f>Q2335*G2335</f>
        <v/>
      </c>
      <c r="S2335" t="n">
        <v>47.4</v>
      </c>
      <c r="T2335" s="18">
        <f>1 - V2335/S2335</f>
        <v/>
      </c>
      <c r="U2335" s="18" t="n">
        <v>0.2503128911138924</v>
      </c>
      <c r="V2335" s="26" t="n">
        <v>38.07203389830509</v>
      </c>
      <c r="W2335" s="26">
        <f>V2335 - L2335</f>
        <v/>
      </c>
    </row>
    <row r="2336">
      <c r="A2336" s="11" t="n">
        <v>46226</v>
      </c>
      <c r="B2336" s="1" t="n">
        <v>20080</v>
      </c>
      <c r="C2336" s="1" t="inlineStr">
        <is>
          <t>026</t>
        </is>
      </c>
      <c r="D2336" s="1" t="inlineStr">
        <is>
          <t>209312</t>
        </is>
      </c>
      <c r="E2336" s="1" t="inlineStr">
        <is>
          <t xml:space="preserve">28194784       </t>
        </is>
      </c>
      <c r="F2336" s="5" t="inlineStr">
        <is>
          <t>SET DE ACROBACIAS INFINITY NADO CON TROMPO</t>
        </is>
      </c>
      <c r="G2336" t="n">
        <v>1</v>
      </c>
      <c r="H2336" s="7" t="n">
        <v>139</v>
      </c>
      <c r="I2336" s="7" t="n">
        <v>0</v>
      </c>
      <c r="J2336" s="7" t="n">
        <v>0</v>
      </c>
      <c r="K2336" s="9" t="n">
        <v>0</v>
      </c>
      <c r="L2336" s="10" t="n">
        <v>82.45999999999999</v>
      </c>
      <c r="M2336" s="10" t="n">
        <v>1.43</v>
      </c>
      <c r="N2336" t="inlineStr">
        <is>
          <t>1</t>
        </is>
      </c>
      <c r="O2336" t="inlineStr">
        <is>
          <t>16</t>
        </is>
      </c>
      <c r="P2336" t="inlineStr">
        <is>
          <t xml:space="preserve">66621   </t>
        </is>
      </c>
      <c r="Q2336" s="26" t="n">
        <v>179</v>
      </c>
      <c r="R2336" s="26">
        <f>Q2336*G2336</f>
        <v/>
      </c>
      <c r="S2336" t="n">
        <v>106.19</v>
      </c>
      <c r="T2336" s="18">
        <f>1 - V2336/S2336</f>
        <v/>
      </c>
      <c r="U2336" s="18" t="n">
        <v>0.223463687150838</v>
      </c>
      <c r="V2336" s="26" t="n">
        <v>88.34745762711864</v>
      </c>
      <c r="W2336" s="26">
        <f>V2336 - L2336</f>
        <v/>
      </c>
    </row>
    <row r="2337">
      <c r="A2337" s="11" t="n">
        <v>46226</v>
      </c>
      <c r="B2337" s="1" t="n">
        <v>20080</v>
      </c>
      <c r="C2337" s="1" t="inlineStr">
        <is>
          <t>026</t>
        </is>
      </c>
      <c r="D2337" s="1" t="inlineStr">
        <is>
          <t>209317</t>
        </is>
      </c>
      <c r="E2337" s="1" t="inlineStr">
        <is>
          <t xml:space="preserve">28194770       </t>
        </is>
      </c>
      <c r="F2337" s="5" t="inlineStr">
        <is>
          <t>AUTOS DE METAL 3 TEAMSTERZ EN BLISTER</t>
        </is>
      </c>
      <c r="G2337" t="n">
        <v>1</v>
      </c>
      <c r="H2337" s="7" t="n">
        <v>6.9</v>
      </c>
      <c r="I2337" s="7" t="n">
        <v>0</v>
      </c>
      <c r="J2337" s="7" t="n">
        <v>0</v>
      </c>
      <c r="K2337" s="9" t="n">
        <v>0</v>
      </c>
      <c r="L2337" s="10" t="n">
        <v>4.1</v>
      </c>
      <c r="M2337" s="10" t="n">
        <v>1.43</v>
      </c>
      <c r="N2337" t="inlineStr">
        <is>
          <t>1</t>
        </is>
      </c>
      <c r="O2337" t="inlineStr">
        <is>
          <t>16</t>
        </is>
      </c>
      <c r="P2337" t="inlineStr">
        <is>
          <t xml:space="preserve">66621   </t>
        </is>
      </c>
      <c r="Q2337" s="26" t="n">
        <v>6.9</v>
      </c>
      <c r="R2337" s="26">
        <f>Q2337*G2337</f>
        <v/>
      </c>
      <c r="S2337" t="n">
        <v>4.09</v>
      </c>
      <c r="T2337" s="18">
        <f>1 - V2337/S2337</f>
        <v/>
      </c>
      <c r="U2337" s="18" t="n">
        <v>0</v>
      </c>
      <c r="V2337" s="26" t="n">
        <v>4.09</v>
      </c>
      <c r="W2337" s="26">
        <f>V2337 - L2337</f>
        <v/>
      </c>
    </row>
    <row r="2338">
      <c r="A2338" s="11" t="n">
        <v>46226</v>
      </c>
      <c r="B2338" s="1" t="n">
        <v>20080</v>
      </c>
      <c r="C2338" s="1" t="inlineStr">
        <is>
          <t>029</t>
        </is>
      </c>
      <c r="D2338" s="1" t="inlineStr">
        <is>
          <t>226133</t>
        </is>
      </c>
      <c r="E2338" s="1" t="inlineStr">
        <is>
          <t xml:space="preserve">31754675       </t>
        </is>
      </c>
      <c r="F2338" s="5" t="inlineStr">
        <is>
          <t>INFINITY NADO SERIE 6 STARTER PACK - 4 MODELOS</t>
        </is>
      </c>
      <c r="G2338" t="n">
        <v>1</v>
      </c>
      <c r="H2338" s="7" t="n">
        <v>49.9</v>
      </c>
      <c r="I2338" s="7" t="n">
        <v>0</v>
      </c>
      <c r="J2338" s="7" t="n">
        <v>0</v>
      </c>
      <c r="K2338" s="9" t="n">
        <v>0</v>
      </c>
      <c r="L2338" s="10" t="n">
        <v>29.6</v>
      </c>
      <c r="M2338" s="10" t="n">
        <v>1.43</v>
      </c>
      <c r="N2338" t="inlineStr">
        <is>
          <t>1</t>
        </is>
      </c>
      <c r="O2338" t="inlineStr">
        <is>
          <t>16</t>
        </is>
      </c>
      <c r="P2338" t="inlineStr">
        <is>
          <t xml:space="preserve">76479   </t>
        </is>
      </c>
      <c r="Q2338" s="26" t="n">
        <v>69.90000000000001</v>
      </c>
      <c r="R2338" s="26">
        <f>Q2338*G2338</f>
        <v/>
      </c>
      <c r="S2338" t="n">
        <v>41.47</v>
      </c>
      <c r="T2338" s="18">
        <f>1 - V2338/S2338</f>
        <v/>
      </c>
      <c r="U2338" s="18" t="n">
        <v>0.2861230329041489</v>
      </c>
      <c r="V2338" s="26" t="n">
        <v>31.71610169491525</v>
      </c>
      <c r="W2338" s="26">
        <f>V2338 - L2338</f>
        <v/>
      </c>
    </row>
    <row r="2339">
      <c r="A2339" s="11" t="n">
        <v>46226</v>
      </c>
      <c r="B2339" s="1" t="n">
        <v>20080</v>
      </c>
      <c r="C2339" s="1" t="inlineStr">
        <is>
          <t>029</t>
        </is>
      </c>
      <c r="D2339" s="1" t="inlineStr">
        <is>
          <t>226148</t>
        </is>
      </c>
      <c r="E2339" s="1" t="inlineStr">
        <is>
          <t xml:space="preserve">28194770       </t>
        </is>
      </c>
      <c r="F2339" s="5" t="inlineStr">
        <is>
          <t>AUTOS DE METAL 3 TEAMSTERZ EN BLISTER</t>
        </is>
      </c>
      <c r="G2339" t="n">
        <v>1</v>
      </c>
      <c r="H2339" s="7" t="n">
        <v>6.9</v>
      </c>
      <c r="I2339" s="7" t="n">
        <v>0</v>
      </c>
      <c r="J2339" s="7" t="n">
        <v>0</v>
      </c>
      <c r="K2339" s="9" t="n">
        <v>0</v>
      </c>
      <c r="L2339" s="10" t="n">
        <v>4.1</v>
      </c>
      <c r="M2339" s="10" t="n">
        <v>1.43</v>
      </c>
      <c r="N2339" t="inlineStr">
        <is>
          <t>1</t>
        </is>
      </c>
      <c r="O2339" t="inlineStr">
        <is>
          <t xml:space="preserve">2 </t>
        </is>
      </c>
      <c r="P2339" t="inlineStr">
        <is>
          <t xml:space="preserve">81033   </t>
        </is>
      </c>
      <c r="Q2339" s="26" t="n">
        <v>6.9</v>
      </c>
      <c r="R2339" s="26">
        <f>Q2339*G2339</f>
        <v/>
      </c>
      <c r="S2339" t="n">
        <v>4.09</v>
      </c>
      <c r="T2339" s="18">
        <f>1 - V2339/S2339</f>
        <v/>
      </c>
      <c r="U2339" s="18" t="n">
        <v>0</v>
      </c>
      <c r="V2339" s="26" t="n">
        <v>4.09</v>
      </c>
      <c r="W2339" s="26">
        <f>V2339 - L2339</f>
        <v/>
      </c>
    </row>
    <row r="2340">
      <c r="A2340" s="11" t="n">
        <v>46226</v>
      </c>
      <c r="B2340" s="1" t="n">
        <v>20080</v>
      </c>
      <c r="C2340" s="1" t="inlineStr">
        <is>
          <t>029</t>
        </is>
      </c>
      <c r="D2340" s="1" t="inlineStr">
        <is>
          <t xml:space="preserve">4937  </t>
        </is>
      </c>
      <c r="E2340" s="1" t="inlineStr">
        <is>
          <t xml:space="preserve">33483128       </t>
        </is>
      </c>
      <c r="F2340" s="5" t="inlineStr">
        <is>
          <t>MUNECA STEFFI LOVE PASEADORA PERRITOS + ACC.</t>
        </is>
      </c>
      <c r="G2340" t="n">
        <v>1</v>
      </c>
      <c r="H2340" s="7" t="n">
        <v>35.94</v>
      </c>
      <c r="I2340" s="7" t="n">
        <v>0</v>
      </c>
      <c r="J2340" s="7" t="n">
        <v>0</v>
      </c>
      <c r="K2340" s="9" t="n">
        <v>0</v>
      </c>
      <c r="L2340" s="10" t="n">
        <v>21.32</v>
      </c>
      <c r="M2340" s="10" t="n">
        <v>1.43</v>
      </c>
      <c r="N2340" t="inlineStr">
        <is>
          <t>1</t>
        </is>
      </c>
      <c r="O2340" t="inlineStr">
        <is>
          <t>16</t>
        </is>
      </c>
      <c r="P2340" t="inlineStr">
        <is>
          <t xml:space="preserve">251454  </t>
        </is>
      </c>
      <c r="Q2340" s="26" t="n">
        <v>59.9</v>
      </c>
      <c r="R2340" s="26">
        <f>Q2340*G2340</f>
        <v/>
      </c>
      <c r="S2340" t="n">
        <v>35.53</v>
      </c>
      <c r="T2340" s="18">
        <f>1 - V2340/S2340</f>
        <v/>
      </c>
      <c r="U2340" s="18" t="n">
        <v>0.4</v>
      </c>
      <c r="V2340" s="26" t="n">
        <v>25.8793220338983</v>
      </c>
      <c r="W2340" s="26">
        <f>V2340 - L2340</f>
        <v/>
      </c>
    </row>
    <row r="2341">
      <c r="A2341" s="11" t="n">
        <v>46226</v>
      </c>
      <c r="B2341" s="1" t="n">
        <v>20080</v>
      </c>
      <c r="C2341" s="1" t="inlineStr">
        <is>
          <t>511</t>
        </is>
      </c>
      <c r="D2341" s="1" t="inlineStr">
        <is>
          <t xml:space="preserve">6927  </t>
        </is>
      </c>
      <c r="E2341" s="1" t="inlineStr">
        <is>
          <t xml:space="preserve">31675353       </t>
        </is>
      </c>
      <c r="F2341" s="5" t="inlineStr">
        <is>
          <t>NENUCO CON BIBERON Y SONAJERO</t>
        </is>
      </c>
      <c r="G2341" t="n">
        <v>1</v>
      </c>
      <c r="H2341" s="7" t="n">
        <v>59.9</v>
      </c>
      <c r="I2341" s="7" t="n">
        <v>0</v>
      </c>
      <c r="J2341" s="7" t="n">
        <v>0</v>
      </c>
      <c r="K2341" s="9" t="n">
        <v>0</v>
      </c>
      <c r="L2341" s="10" t="n">
        <v>35.53</v>
      </c>
      <c r="M2341" s="10" t="n">
        <v>1.43</v>
      </c>
      <c r="N2341" t="inlineStr">
        <is>
          <t>1</t>
        </is>
      </c>
      <c r="O2341" t="inlineStr">
        <is>
          <t>16</t>
        </is>
      </c>
      <c r="P2341" t="inlineStr">
        <is>
          <t xml:space="preserve">249326  </t>
        </is>
      </c>
      <c r="Q2341" s="26" t="n">
        <v>79.90000000000001</v>
      </c>
      <c r="R2341" s="26">
        <f>Q2341*G2341</f>
        <v/>
      </c>
      <c r="S2341" t="n">
        <v>47.4</v>
      </c>
      <c r="T2341" s="18">
        <f>1 - V2341/S2341</f>
        <v/>
      </c>
      <c r="U2341" s="18" t="n">
        <v>0.2503128911138924</v>
      </c>
      <c r="V2341" s="26" t="n">
        <v>38.07203389830509</v>
      </c>
      <c r="W2341" s="26">
        <f>V2341 - L2341</f>
        <v/>
      </c>
    </row>
    <row r="2342">
      <c r="A2342" s="11" t="n">
        <v>46226</v>
      </c>
      <c r="B2342" s="1" t="n">
        <v>20086</v>
      </c>
      <c r="C2342" s="1" t="inlineStr">
        <is>
          <t>192</t>
        </is>
      </c>
      <c r="D2342" s="1" t="inlineStr">
        <is>
          <t>129264</t>
        </is>
      </c>
      <c r="E2342" s="1" t="inlineStr">
        <is>
          <t xml:space="preserve">28194770       </t>
        </is>
      </c>
      <c r="F2342" s="5" t="inlineStr">
        <is>
          <t>AUTOS DE METAL 3 TEAMSTERZ EN BLISTER</t>
        </is>
      </c>
      <c r="G2342" t="n">
        <v>1</v>
      </c>
      <c r="H2342" s="7" t="n">
        <v>6.9</v>
      </c>
      <c r="I2342" s="7" t="n">
        <v>0</v>
      </c>
      <c r="J2342" s="7" t="n">
        <v>0</v>
      </c>
      <c r="K2342" s="9" t="n">
        <v>0</v>
      </c>
      <c r="L2342" s="10" t="n">
        <v>4.1</v>
      </c>
      <c r="M2342" s="10" t="n">
        <v>1.43</v>
      </c>
      <c r="N2342" t="inlineStr">
        <is>
          <t>1</t>
        </is>
      </c>
      <c r="O2342" t="inlineStr">
        <is>
          <t xml:space="preserve">2 </t>
        </is>
      </c>
      <c r="P2342" t="inlineStr">
        <is>
          <t xml:space="preserve">74619   </t>
        </is>
      </c>
      <c r="Q2342" s="26" t="n">
        <v>6.9</v>
      </c>
      <c r="R2342" s="26">
        <f>Q2342*G2342</f>
        <v/>
      </c>
      <c r="S2342" t="n">
        <v>4.09</v>
      </c>
      <c r="T2342" s="18">
        <f>1 - V2342/S2342</f>
        <v/>
      </c>
      <c r="U2342" s="18" t="n">
        <v>0</v>
      </c>
      <c r="V2342" s="26" t="n">
        <v>4.09</v>
      </c>
      <c r="W2342" s="26">
        <f>V2342 - L2342</f>
        <v/>
      </c>
    </row>
    <row r="2343">
      <c r="A2343" s="11" t="n">
        <v>46226</v>
      </c>
      <c r="B2343" s="1" t="n">
        <v>20086</v>
      </c>
      <c r="C2343" s="1" t="inlineStr">
        <is>
          <t>510</t>
        </is>
      </c>
      <c r="D2343" s="1" t="inlineStr">
        <is>
          <t xml:space="preserve">4239  </t>
        </is>
      </c>
      <c r="E2343" s="1" t="inlineStr">
        <is>
          <t xml:space="preserve">28194770       </t>
        </is>
      </c>
      <c r="F2343" s="5" t="inlineStr">
        <is>
          <t>AUTOS DE METAL 3 TEAMSTERZ EN BLISTER</t>
        </is>
      </c>
      <c r="G2343" t="n">
        <v>2</v>
      </c>
      <c r="H2343" s="7" t="n">
        <v>13.8</v>
      </c>
      <c r="I2343" s="7" t="n">
        <v>0</v>
      </c>
      <c r="J2343" s="7" t="n">
        <v>0</v>
      </c>
      <c r="K2343" s="9" t="n">
        <v>0</v>
      </c>
      <c r="L2343" s="10" t="n">
        <v>8.18</v>
      </c>
      <c r="M2343" s="10" t="n">
        <v>1.43</v>
      </c>
      <c r="N2343" t="inlineStr">
        <is>
          <t>1</t>
        </is>
      </c>
      <c r="O2343" t="inlineStr">
        <is>
          <t>16</t>
        </is>
      </c>
      <c r="P2343" t="inlineStr">
        <is>
          <t xml:space="preserve">250459  </t>
        </is>
      </c>
      <c r="Q2343" s="26" t="n">
        <v>6.9</v>
      </c>
      <c r="R2343" s="26">
        <f>Q2343*G2343</f>
        <v/>
      </c>
      <c r="S2343" t="n">
        <v>8.18</v>
      </c>
      <c r="T2343" s="18">
        <f>1 - V2343/S2343</f>
        <v/>
      </c>
      <c r="U2343" s="18" t="n">
        <v>0</v>
      </c>
      <c r="V2343" s="26" t="n">
        <v>8.18</v>
      </c>
      <c r="W2343" s="26">
        <f>V2343 - L2343</f>
        <v/>
      </c>
    </row>
    <row r="2344">
      <c r="A2344" s="11" t="n">
        <v>46226</v>
      </c>
      <c r="B2344" s="1" t="n">
        <v>20088</v>
      </c>
      <c r="C2344" s="1" t="inlineStr">
        <is>
          <t>021</t>
        </is>
      </c>
      <c r="D2344" s="1" t="inlineStr">
        <is>
          <t xml:space="preserve">49826 </t>
        </is>
      </c>
      <c r="E2344" s="1" t="inlineStr">
        <is>
          <t xml:space="preserve">34840526       </t>
        </is>
      </c>
      <c r="F2344" s="5" t="inlineStr">
        <is>
          <t>NENUCO ABRACITOS</t>
        </is>
      </c>
      <c r="G2344" t="n">
        <v>1</v>
      </c>
      <c r="H2344" s="7" t="n">
        <v>89.90000000000001</v>
      </c>
      <c r="I2344" s="7" t="n">
        <v>8.99</v>
      </c>
      <c r="J2344" s="7" t="n">
        <v>0</v>
      </c>
      <c r="K2344" s="9" t="n">
        <v>8.99</v>
      </c>
      <c r="L2344" s="10" t="n">
        <v>48</v>
      </c>
      <c r="M2344" s="10" t="n">
        <v>1.43</v>
      </c>
      <c r="N2344" t="inlineStr">
        <is>
          <t>1</t>
        </is>
      </c>
      <c r="O2344" t="inlineStr">
        <is>
          <t>16</t>
        </is>
      </c>
      <c r="P2344" t="inlineStr">
        <is>
          <t xml:space="preserve">248960  </t>
        </is>
      </c>
      <c r="Q2344" s="26" t="n">
        <v>119</v>
      </c>
      <c r="R2344" s="26">
        <f>Q2344*G2344</f>
        <v/>
      </c>
      <c r="S2344" t="n">
        <v>70.59</v>
      </c>
      <c r="T2344" s="18">
        <f>1 - V2344/S2344</f>
        <v/>
      </c>
      <c r="U2344" s="18" t="n">
        <v>0.2445378151260503</v>
      </c>
      <c r="V2344" s="26" t="n">
        <v>60.94915254237289</v>
      </c>
      <c r="W2344" s="26">
        <f>V2344 - L2344</f>
        <v/>
      </c>
    </row>
    <row r="2345">
      <c r="A2345" s="11" t="n">
        <v>46226</v>
      </c>
      <c r="B2345" s="1" t="n">
        <v>20088</v>
      </c>
      <c r="C2345" s="1" t="inlineStr">
        <is>
          <t>021</t>
        </is>
      </c>
      <c r="D2345" s="1" t="inlineStr">
        <is>
          <t xml:space="preserve">49899 </t>
        </is>
      </c>
      <c r="E2345" s="1" t="inlineStr">
        <is>
          <t xml:space="preserve">33661538       </t>
        </is>
      </c>
      <c r="F2345" s="5" t="inlineStr">
        <is>
          <t>HOT WHEELS CASE GARAGE RUEDA METAL EN LLAMAS X 29</t>
        </is>
      </c>
      <c r="G2345" t="n">
        <v>1</v>
      </c>
      <c r="H2345" s="7" t="n">
        <v>69.90000000000001</v>
      </c>
      <c r="I2345" s="7" t="n">
        <v>0</v>
      </c>
      <c r="J2345" s="7" t="n">
        <v>0</v>
      </c>
      <c r="K2345" s="9" t="n">
        <v>0</v>
      </c>
      <c r="L2345" s="10" t="n">
        <v>41.47</v>
      </c>
      <c r="M2345" s="10" t="n">
        <v>1.43</v>
      </c>
      <c r="N2345" t="inlineStr">
        <is>
          <t>1</t>
        </is>
      </c>
      <c r="O2345" t="inlineStr">
        <is>
          <t>16</t>
        </is>
      </c>
      <c r="P2345" t="inlineStr">
        <is>
          <t xml:space="preserve">248960  </t>
        </is>
      </c>
      <c r="Q2345" s="26" t="n">
        <v>69.90000000000001</v>
      </c>
      <c r="R2345" s="26">
        <f>Q2345*G2345</f>
        <v/>
      </c>
      <c r="S2345" t="n">
        <v>41.47</v>
      </c>
      <c r="T2345" s="18">
        <f>1 - V2345/S2345</f>
        <v/>
      </c>
      <c r="U2345" s="18" t="n">
        <v>0</v>
      </c>
      <c r="V2345" s="26" t="n">
        <v>41.47</v>
      </c>
      <c r="W2345" s="26">
        <f>V2345 - L2345</f>
        <v/>
      </c>
    </row>
    <row r="2346">
      <c r="A2346" s="11" t="n">
        <v>46226</v>
      </c>
      <c r="B2346" s="1" t="n">
        <v>20088</v>
      </c>
      <c r="C2346" s="1" t="inlineStr">
        <is>
          <t>022</t>
        </is>
      </c>
      <c r="D2346" s="1" t="inlineStr">
        <is>
          <t xml:space="preserve">84654 </t>
        </is>
      </c>
      <c r="E2346" s="1" t="inlineStr">
        <is>
          <t xml:space="preserve">28194783       </t>
        </is>
      </c>
      <c r="F2346" s="5" t="inlineStr">
        <is>
          <t>SET DE BATALLA INFINITY NADO CON 2 TROMPOS</t>
        </is>
      </c>
      <c r="G2346" t="n">
        <v>1</v>
      </c>
      <c r="H2346" s="7" t="n">
        <v>129</v>
      </c>
      <c r="I2346" s="7" t="n">
        <v>12.9</v>
      </c>
      <c r="J2346" s="7" t="n">
        <v>0</v>
      </c>
      <c r="K2346" s="9" t="n">
        <v>12.9</v>
      </c>
      <c r="L2346" s="10" t="n">
        <v>68.87</v>
      </c>
      <c r="M2346" s="10" t="n">
        <v>1.43</v>
      </c>
      <c r="N2346" t="inlineStr">
        <is>
          <t>1</t>
        </is>
      </c>
      <c r="O2346" t="inlineStr">
        <is>
          <t xml:space="preserve">3 </t>
        </is>
      </c>
      <c r="P2346" t="inlineStr">
        <is>
          <t xml:space="preserve">235264  </t>
        </is>
      </c>
      <c r="Q2346" s="26" t="n">
        <v>159</v>
      </c>
      <c r="R2346" s="26">
        <f>Q2346*G2346</f>
        <v/>
      </c>
      <c r="S2346" t="n">
        <v>94.31999999999999</v>
      </c>
      <c r="T2346" s="18">
        <f>1 - V2346/S2346</f>
        <v/>
      </c>
      <c r="U2346" s="18" t="n">
        <v>0.1886792452830188</v>
      </c>
      <c r="V2346" s="26" t="n">
        <v>81.99152542372882</v>
      </c>
      <c r="W2346" s="26">
        <f>V2346 - L2346</f>
        <v/>
      </c>
    </row>
    <row r="2347">
      <c r="A2347" s="11" t="n">
        <v>46226</v>
      </c>
      <c r="B2347" s="1" t="n">
        <v>20088</v>
      </c>
      <c r="C2347" s="1" t="inlineStr">
        <is>
          <t>802</t>
        </is>
      </c>
      <c r="D2347" s="1" t="inlineStr">
        <is>
          <t xml:space="preserve">8217  </t>
        </is>
      </c>
      <c r="E2347" s="1" t="inlineStr">
        <is>
          <t xml:space="preserve">34840553       </t>
        </is>
      </c>
      <c r="F2347" s="5" t="inlineStr">
        <is>
          <t>TMZ AUTO LUZ Y SONIDO ESQUELET DINO T-REX</t>
        </is>
      </c>
      <c r="G2347" t="n">
        <v>1</v>
      </c>
      <c r="H2347" s="7" t="n">
        <v>79.90000000000001</v>
      </c>
      <c r="I2347" s="7" t="n">
        <v>0</v>
      </c>
      <c r="J2347" s="7" t="n">
        <v>0</v>
      </c>
      <c r="K2347" s="9" t="n">
        <v>0</v>
      </c>
      <c r="L2347" s="10" t="n">
        <v>47.4</v>
      </c>
      <c r="M2347" s="10" t="n">
        <v>1.43</v>
      </c>
      <c r="N2347" t="inlineStr">
        <is>
          <t>1</t>
        </is>
      </c>
      <c r="O2347" t="inlineStr">
        <is>
          <t>16</t>
        </is>
      </c>
      <c r="P2347" t="inlineStr">
        <is>
          <t xml:space="preserve">0       </t>
        </is>
      </c>
      <c r="Q2347" s="26" t="n">
        <v>79.90000000000002</v>
      </c>
      <c r="R2347" s="26">
        <f>Q2347*G2347</f>
        <v/>
      </c>
      <c r="S2347" t="n">
        <v>47.4</v>
      </c>
      <c r="T2347" s="18">
        <f>1 - V2347/S2347</f>
        <v/>
      </c>
      <c r="U2347" s="18" t="n">
        <v>0</v>
      </c>
      <c r="V2347" s="26" t="n">
        <v>47.4</v>
      </c>
      <c r="W2347" s="26">
        <f>V2347 - L2347</f>
        <v/>
      </c>
    </row>
    <row r="2348">
      <c r="A2348" s="11" t="n">
        <v>46226</v>
      </c>
      <c r="B2348" s="1" t="n">
        <v>20089</v>
      </c>
      <c r="C2348" s="1" t="inlineStr">
        <is>
          <t>025</t>
        </is>
      </c>
      <c r="D2348" s="1" t="inlineStr">
        <is>
          <t>122356</t>
        </is>
      </c>
      <c r="E2348" s="1" t="inlineStr">
        <is>
          <t xml:space="preserve">31959960       </t>
        </is>
      </c>
      <c r="F2348" s="5" t="inlineStr">
        <is>
          <t>TEAMSTERZ PLAYSET DE CONSTRUCCION VEHICULOS + ACCE</t>
        </is>
      </c>
      <c r="G2348" t="n">
        <v>1</v>
      </c>
      <c r="H2348" s="7" t="n">
        <v>39.9</v>
      </c>
      <c r="I2348" s="7" t="n">
        <v>3.99</v>
      </c>
      <c r="J2348" s="7" t="n">
        <v>0</v>
      </c>
      <c r="K2348" s="9" t="n">
        <v>3.99</v>
      </c>
      <c r="L2348" s="10" t="n">
        <v>21.3</v>
      </c>
      <c r="M2348" s="10" t="n">
        <v>1.43</v>
      </c>
      <c r="N2348" t="inlineStr">
        <is>
          <t>1</t>
        </is>
      </c>
      <c r="O2348" t="inlineStr">
        <is>
          <t xml:space="preserve">3 </t>
        </is>
      </c>
      <c r="P2348" t="inlineStr">
        <is>
          <t xml:space="preserve">98400   </t>
        </is>
      </c>
      <c r="Q2348" s="26" t="n">
        <v>39.9</v>
      </c>
      <c r="R2348" s="26">
        <f>Q2348*G2348</f>
        <v/>
      </c>
      <c r="S2348" t="n">
        <v>23.67</v>
      </c>
      <c r="T2348" s="18">
        <f>1 - V2348/S2348</f>
        <v/>
      </c>
      <c r="U2348" s="18" t="n">
        <v>0</v>
      </c>
      <c r="V2348" s="26" t="n">
        <v>23.67</v>
      </c>
      <c r="W2348" s="26">
        <f>V2348 - L2348</f>
        <v/>
      </c>
    </row>
    <row r="2349">
      <c r="A2349" s="11" t="n">
        <v>46226</v>
      </c>
      <c r="B2349" s="1" t="n">
        <v>20089</v>
      </c>
      <c r="C2349" s="1" t="inlineStr">
        <is>
          <t>025</t>
        </is>
      </c>
      <c r="D2349" s="1" t="inlineStr">
        <is>
          <t>122400</t>
        </is>
      </c>
      <c r="E2349" s="1" t="inlineStr">
        <is>
          <t xml:space="preserve">28194770       </t>
        </is>
      </c>
      <c r="F2349" s="5" t="inlineStr">
        <is>
          <t>AUTOS DE METAL 3 TEAMSTERZ EN BLISTER</t>
        </is>
      </c>
      <c r="G2349" t="n">
        <v>1</v>
      </c>
      <c r="H2349" s="7" t="n">
        <v>6.9</v>
      </c>
      <c r="I2349" s="7" t="n">
        <v>0.6899999999999999</v>
      </c>
      <c r="J2349" s="7" t="n">
        <v>0</v>
      </c>
      <c r="K2349" s="9" t="n">
        <v>0.6899999999999999</v>
      </c>
      <c r="L2349" s="10" t="n">
        <v>3.68</v>
      </c>
      <c r="M2349" s="10" t="n">
        <v>1.43</v>
      </c>
      <c r="N2349" t="inlineStr">
        <is>
          <t>1</t>
        </is>
      </c>
      <c r="O2349" t="inlineStr">
        <is>
          <t>16</t>
        </is>
      </c>
      <c r="P2349" t="inlineStr">
        <is>
          <t xml:space="preserve">251360  </t>
        </is>
      </c>
      <c r="Q2349" s="26" t="n">
        <v>6.9</v>
      </c>
      <c r="R2349" s="26">
        <f>Q2349*G2349</f>
        <v/>
      </c>
      <c r="S2349" t="n">
        <v>4.09</v>
      </c>
      <c r="T2349" s="18">
        <f>1 - V2349/S2349</f>
        <v/>
      </c>
      <c r="U2349" s="18" t="n">
        <v>0</v>
      </c>
      <c r="V2349" s="26" t="n">
        <v>4.09</v>
      </c>
      <c r="W2349" s="26">
        <f>V2349 - L2349</f>
        <v/>
      </c>
    </row>
    <row r="2350">
      <c r="A2350" s="11" t="n">
        <v>46226</v>
      </c>
      <c r="B2350" s="1" t="n">
        <v>20089</v>
      </c>
      <c r="C2350" s="1" t="inlineStr">
        <is>
          <t>026</t>
        </is>
      </c>
      <c r="D2350" s="1" t="inlineStr">
        <is>
          <t xml:space="preserve">88522 </t>
        </is>
      </c>
      <c r="E2350" s="1" t="inlineStr">
        <is>
          <t xml:space="preserve">33661538       </t>
        </is>
      </c>
      <c r="F2350" s="5" t="inlineStr">
        <is>
          <t>HOT WHEELS CASE GARAGE RUEDA METAL EN LLAMAS X 29</t>
        </is>
      </c>
      <c r="G2350" t="n">
        <v>1</v>
      </c>
      <c r="H2350" s="7" t="n">
        <v>69.90000000000001</v>
      </c>
      <c r="I2350" s="7" t="n">
        <v>0</v>
      </c>
      <c r="J2350" s="7" t="n">
        <v>0</v>
      </c>
      <c r="K2350" s="9" t="n">
        <v>0</v>
      </c>
      <c r="L2350" s="10" t="n">
        <v>41.47</v>
      </c>
      <c r="M2350" s="10" t="n">
        <v>1.43</v>
      </c>
      <c r="N2350" t="inlineStr">
        <is>
          <t>1</t>
        </is>
      </c>
      <c r="O2350" t="inlineStr">
        <is>
          <t>16</t>
        </is>
      </c>
      <c r="P2350" t="inlineStr">
        <is>
          <t xml:space="preserve">233031  </t>
        </is>
      </c>
      <c r="Q2350" s="26" t="n">
        <v>69.90000000000001</v>
      </c>
      <c r="R2350" s="26">
        <f>Q2350*G2350</f>
        <v/>
      </c>
      <c r="S2350" t="n">
        <v>41.47</v>
      </c>
      <c r="T2350" s="18">
        <f>1 - V2350/S2350</f>
        <v/>
      </c>
      <c r="U2350" s="18" t="n">
        <v>0</v>
      </c>
      <c r="V2350" s="26" t="n">
        <v>41.47</v>
      </c>
      <c r="W2350" s="26">
        <f>V2350 - L2350</f>
        <v/>
      </c>
    </row>
    <row r="2351">
      <c r="A2351" s="11" t="n">
        <v>46226</v>
      </c>
      <c r="B2351" s="1" t="n">
        <v>20089</v>
      </c>
      <c r="C2351" s="1" t="inlineStr">
        <is>
          <t>032</t>
        </is>
      </c>
      <c r="D2351" s="1" t="inlineStr">
        <is>
          <t>163618</t>
        </is>
      </c>
      <c r="E2351" s="1" t="inlineStr">
        <is>
          <t xml:space="preserve">28194768       </t>
        </is>
      </c>
      <c r="F2351" s="5" t="inlineStr">
        <is>
          <t>AUTO COLOR CHANGE TEAMSTERZ SURTIDO</t>
        </is>
      </c>
      <c r="G2351" t="n">
        <v>1</v>
      </c>
      <c r="H2351" s="7" t="n">
        <v>14.9</v>
      </c>
      <c r="I2351" s="7" t="n">
        <v>0</v>
      </c>
      <c r="J2351" s="7" t="n">
        <v>0</v>
      </c>
      <c r="K2351" s="9" t="n">
        <v>0</v>
      </c>
      <c r="L2351" s="10" t="n">
        <v>8.84</v>
      </c>
      <c r="M2351" s="10" t="n">
        <v>1.43</v>
      </c>
      <c r="N2351" t="inlineStr">
        <is>
          <t>1</t>
        </is>
      </c>
      <c r="O2351" t="inlineStr">
        <is>
          <t xml:space="preserve">2 </t>
        </is>
      </c>
      <c r="P2351" t="inlineStr">
        <is>
          <t xml:space="preserve">82992   </t>
        </is>
      </c>
      <c r="Q2351" s="26" t="n">
        <v>14.9</v>
      </c>
      <c r="R2351" s="26">
        <f>Q2351*G2351</f>
        <v/>
      </c>
      <c r="S2351" t="n">
        <v>8.84</v>
      </c>
      <c r="T2351" s="18">
        <f>1 - V2351/S2351</f>
        <v/>
      </c>
      <c r="U2351" s="18" t="n">
        <v>0</v>
      </c>
      <c r="V2351" s="26" t="n">
        <v>8.84</v>
      </c>
      <c r="W2351" s="26">
        <f>V2351 - L2351</f>
        <v/>
      </c>
    </row>
    <row r="2352">
      <c r="A2352" s="11" t="n">
        <v>46226</v>
      </c>
      <c r="B2352" s="1" t="n">
        <v>20089</v>
      </c>
      <c r="C2352" s="1" t="inlineStr">
        <is>
          <t>862</t>
        </is>
      </c>
      <c r="D2352" s="1" t="inlineStr">
        <is>
          <t xml:space="preserve">8767  </t>
        </is>
      </c>
      <c r="E2352" s="1" t="inlineStr">
        <is>
          <t xml:space="preserve">31959957       </t>
        </is>
      </c>
      <c r="F2352" s="5" t="inlineStr">
        <is>
          <t>TEAMSTERZ PLAYSET RESCATE EN EL MAR</t>
        </is>
      </c>
      <c r="G2352" t="n">
        <v>1</v>
      </c>
      <c r="H2352" s="7" t="n">
        <v>19.9</v>
      </c>
      <c r="I2352" s="7" t="n">
        <v>0</v>
      </c>
      <c r="J2352" s="7" t="n">
        <v>0</v>
      </c>
      <c r="K2352" s="9" t="n">
        <v>0</v>
      </c>
      <c r="L2352" s="10" t="n">
        <v>11.8</v>
      </c>
      <c r="M2352" s="10" t="n">
        <v>1.43</v>
      </c>
      <c r="N2352" t="inlineStr">
        <is>
          <t>1</t>
        </is>
      </c>
      <c r="O2352" t="inlineStr">
        <is>
          <t>16</t>
        </is>
      </c>
      <c r="P2352" t="inlineStr">
        <is>
          <t xml:space="preserve">0       </t>
        </is>
      </c>
      <c r="Q2352" s="26" t="n">
        <v>19.9</v>
      </c>
      <c r="R2352" s="26">
        <f>Q2352*G2352</f>
        <v/>
      </c>
      <c r="S2352" t="n">
        <v>11.81</v>
      </c>
      <c r="T2352" s="18">
        <f>1 - V2352/S2352</f>
        <v/>
      </c>
      <c r="U2352" s="18" t="n">
        <v>0</v>
      </c>
      <c r="V2352" s="26" t="n">
        <v>11.81</v>
      </c>
      <c r="W2352" s="26">
        <f>V2352 - L2352</f>
        <v/>
      </c>
    </row>
    <row r="2353">
      <c r="A2353" s="11" t="n">
        <v>46226</v>
      </c>
      <c r="B2353" s="1" t="n">
        <v>20089</v>
      </c>
      <c r="C2353" s="1" t="inlineStr">
        <is>
          <t>862</t>
        </is>
      </c>
      <c r="D2353" s="1" t="inlineStr">
        <is>
          <t xml:space="preserve">8777  </t>
        </is>
      </c>
      <c r="E2353" s="1" t="inlineStr">
        <is>
          <t xml:space="preserve">32656523       </t>
        </is>
      </c>
      <c r="F2353" s="5" t="inlineStr">
        <is>
          <t>TMZ BEAST MACHINES TRANSPORT. T-REX ELECTR. + ACCE</t>
        </is>
      </c>
      <c r="G2353" t="n">
        <v>1</v>
      </c>
      <c r="H2353" s="7" t="n">
        <v>179</v>
      </c>
      <c r="I2353" s="7" t="n">
        <v>0</v>
      </c>
      <c r="J2353" s="7" t="n">
        <v>0</v>
      </c>
      <c r="K2353" s="9" t="n">
        <v>0</v>
      </c>
      <c r="L2353" s="10" t="n">
        <v>106.18</v>
      </c>
      <c r="M2353" s="10" t="n">
        <v>1.43</v>
      </c>
      <c r="N2353" t="inlineStr">
        <is>
          <t>1</t>
        </is>
      </c>
      <c r="O2353" t="inlineStr">
        <is>
          <t>16</t>
        </is>
      </c>
      <c r="P2353" t="inlineStr">
        <is>
          <t xml:space="preserve">0       </t>
        </is>
      </c>
      <c r="Q2353" s="26" t="n">
        <v>179</v>
      </c>
      <c r="R2353" s="26">
        <f>Q2353*G2353</f>
        <v/>
      </c>
      <c r="S2353" t="n">
        <v>106.19</v>
      </c>
      <c r="T2353" s="18">
        <f>1 - V2353/S2353</f>
        <v/>
      </c>
      <c r="U2353" s="18" t="n">
        <v>0</v>
      </c>
      <c r="V2353" s="26" t="n">
        <v>106.19</v>
      </c>
      <c r="W2353" s="26">
        <f>V2353 - L2353</f>
        <v/>
      </c>
    </row>
    <row r="2354">
      <c r="A2354" s="11" t="n">
        <v>46226</v>
      </c>
      <c r="B2354" s="1" t="n">
        <v>20095</v>
      </c>
      <c r="C2354" s="1" t="inlineStr">
        <is>
          <t>026</t>
        </is>
      </c>
      <c r="D2354" s="1" t="inlineStr">
        <is>
          <t xml:space="preserve">56037 </t>
        </is>
      </c>
      <c r="E2354" s="1" t="inlineStr">
        <is>
          <t xml:space="preserve">28194780       </t>
        </is>
      </c>
      <c r="F2354" s="5" t="inlineStr">
        <is>
          <t>TROMPO BATALLA INFINITY NADO PLSTICO SURTIDO</t>
        </is>
      </c>
      <c r="G2354" t="n">
        <v>1</v>
      </c>
      <c r="H2354" s="7" t="n">
        <v>19.9</v>
      </c>
      <c r="I2354" s="7" t="n">
        <v>0</v>
      </c>
      <c r="J2354" s="7" t="n">
        <v>0</v>
      </c>
      <c r="K2354" s="9" t="n">
        <v>0</v>
      </c>
      <c r="L2354" s="10" t="n">
        <v>11.8</v>
      </c>
      <c r="M2354" s="10" t="n">
        <v>1.43</v>
      </c>
      <c r="N2354" t="inlineStr">
        <is>
          <t>1</t>
        </is>
      </c>
      <c r="O2354" t="inlineStr">
        <is>
          <t xml:space="preserve">2 </t>
        </is>
      </c>
      <c r="P2354" t="inlineStr">
        <is>
          <t xml:space="preserve">248989  </t>
        </is>
      </c>
      <c r="Q2354" s="26" t="n">
        <v>19.9</v>
      </c>
      <c r="R2354" s="26">
        <f>Q2354*G2354</f>
        <v/>
      </c>
      <c r="S2354" t="n">
        <v>11.81</v>
      </c>
      <c r="T2354" s="18">
        <f>1 - V2354/S2354</f>
        <v/>
      </c>
      <c r="U2354" s="18" t="n">
        <v>0</v>
      </c>
      <c r="V2354" s="26" t="n">
        <v>11.81</v>
      </c>
      <c r="W2354" s="26">
        <f>V2354 - L2354</f>
        <v/>
      </c>
    </row>
    <row r="2355">
      <c r="A2355" s="11" t="n">
        <v>46226</v>
      </c>
      <c r="B2355" s="1" t="n">
        <v>20095</v>
      </c>
      <c r="C2355" s="1" t="inlineStr">
        <is>
          <t>043</t>
        </is>
      </c>
      <c r="D2355" s="1" t="inlineStr">
        <is>
          <t>108508</t>
        </is>
      </c>
      <c r="E2355" s="1" t="inlineStr">
        <is>
          <t xml:space="preserve">30141766       </t>
        </is>
      </c>
      <c r="F2355" s="5" t="inlineStr">
        <is>
          <t>TMZ BEAST MACHINES AUTOS DE METAL BLISTER X 1</t>
        </is>
      </c>
      <c r="G2355" t="n">
        <v>1</v>
      </c>
      <c r="H2355" s="7" t="n">
        <v>7.9</v>
      </c>
      <c r="I2355" s="7" t="n">
        <v>0</v>
      </c>
      <c r="J2355" s="7" t="n">
        <v>0</v>
      </c>
      <c r="K2355" s="9" t="n">
        <v>0</v>
      </c>
      <c r="L2355" s="10" t="n">
        <v>4.68</v>
      </c>
      <c r="M2355" s="10" t="n">
        <v>1.43</v>
      </c>
      <c r="N2355" t="inlineStr">
        <is>
          <t>1</t>
        </is>
      </c>
      <c r="O2355" t="inlineStr">
        <is>
          <t>16</t>
        </is>
      </c>
      <c r="P2355" t="inlineStr">
        <is>
          <t xml:space="preserve">241955  </t>
        </is>
      </c>
      <c r="Q2355" s="26" t="n">
        <v>7.9</v>
      </c>
      <c r="R2355" s="26">
        <f>Q2355*G2355</f>
        <v/>
      </c>
      <c r="S2355" t="n">
        <v>4.69</v>
      </c>
      <c r="T2355" s="18">
        <f>1 - V2355/S2355</f>
        <v/>
      </c>
      <c r="U2355" s="18" t="n">
        <v>0</v>
      </c>
      <c r="V2355" s="26" t="n">
        <v>4.69</v>
      </c>
      <c r="W2355" s="26">
        <f>V2355 - L2355</f>
        <v/>
      </c>
    </row>
    <row r="2356">
      <c r="A2356" s="11" t="n">
        <v>46226</v>
      </c>
      <c r="B2356" s="1" t="n">
        <v>20095</v>
      </c>
      <c r="C2356" s="1" t="inlineStr">
        <is>
          <t>043</t>
        </is>
      </c>
      <c r="D2356" s="1" t="inlineStr">
        <is>
          <t>108513</t>
        </is>
      </c>
      <c r="E2356" s="1" t="inlineStr">
        <is>
          <t xml:space="preserve">28194769       </t>
        </is>
      </c>
      <c r="F2356" s="5" t="inlineStr">
        <is>
          <t>AUTOS DE METAL 3 TEAMSTERZ PACK DE 2</t>
        </is>
      </c>
      <c r="G2356" t="n">
        <v>1</v>
      </c>
      <c r="H2356" s="7" t="n">
        <v>13.8</v>
      </c>
      <c r="I2356" s="7" t="n">
        <v>0</v>
      </c>
      <c r="J2356" s="7" t="n">
        <v>0</v>
      </c>
      <c r="K2356" s="9" t="n">
        <v>0</v>
      </c>
      <c r="L2356" s="10" t="n">
        <v>8.18</v>
      </c>
      <c r="M2356" s="10" t="n">
        <v>1.43</v>
      </c>
      <c r="N2356" t="inlineStr">
        <is>
          <t>1</t>
        </is>
      </c>
      <c r="O2356" t="inlineStr">
        <is>
          <t>16</t>
        </is>
      </c>
      <c r="P2356" t="inlineStr">
        <is>
          <t xml:space="preserve">241955  </t>
        </is>
      </c>
      <c r="Q2356" s="26" t="n">
        <v>13.8</v>
      </c>
      <c r="R2356" s="26">
        <f>Q2356*G2356</f>
        <v/>
      </c>
      <c r="S2356" t="n">
        <v>8.19</v>
      </c>
      <c r="T2356" s="18">
        <f>1 - V2356/S2356</f>
        <v/>
      </c>
      <c r="U2356" s="18" t="n">
        <v>0</v>
      </c>
      <c r="V2356" s="26" t="n">
        <v>8.19</v>
      </c>
      <c r="W2356" s="26">
        <f>V2356 - L2356</f>
        <v/>
      </c>
    </row>
    <row r="2357">
      <c r="A2357" s="11" t="n">
        <v>46226</v>
      </c>
      <c r="B2357" s="1" t="n">
        <v>20095</v>
      </c>
      <c r="C2357" s="1" t="inlineStr">
        <is>
          <t>043</t>
        </is>
      </c>
      <c r="D2357" s="1" t="inlineStr">
        <is>
          <t>108517</t>
        </is>
      </c>
      <c r="E2357" s="1" t="inlineStr">
        <is>
          <t xml:space="preserve">28194770       </t>
        </is>
      </c>
      <c r="F2357" s="5" t="inlineStr">
        <is>
          <t>AUTOS DE METAL 3 TEAMSTERZ EN BLISTER</t>
        </is>
      </c>
      <c r="G2357" t="n">
        <v>1</v>
      </c>
      <c r="H2357" s="7" t="n">
        <v>6.9</v>
      </c>
      <c r="I2357" s="7" t="n">
        <v>0</v>
      </c>
      <c r="J2357" s="7" t="n">
        <v>0</v>
      </c>
      <c r="K2357" s="9" t="n">
        <v>0</v>
      </c>
      <c r="L2357" s="10" t="n">
        <v>4.1</v>
      </c>
      <c r="M2357" s="10" t="n">
        <v>1.43</v>
      </c>
      <c r="N2357" t="inlineStr">
        <is>
          <t>1</t>
        </is>
      </c>
      <c r="O2357" t="inlineStr">
        <is>
          <t xml:space="preserve">2 </t>
        </is>
      </c>
      <c r="P2357" t="inlineStr">
        <is>
          <t xml:space="preserve">241955  </t>
        </is>
      </c>
      <c r="Q2357" s="26" t="n">
        <v>6.9</v>
      </c>
      <c r="R2357" s="26">
        <f>Q2357*G2357</f>
        <v/>
      </c>
      <c r="S2357" t="n">
        <v>4.09</v>
      </c>
      <c r="T2357" s="18">
        <f>1 - V2357/S2357</f>
        <v/>
      </c>
      <c r="U2357" s="18" t="n">
        <v>0</v>
      </c>
      <c r="V2357" s="26" t="n">
        <v>4.09</v>
      </c>
      <c r="W2357" s="26">
        <f>V2357 - L2357</f>
        <v/>
      </c>
    </row>
    <row r="2358">
      <c r="A2358" s="11" t="n">
        <v>46226</v>
      </c>
      <c r="B2358" s="1" t="n">
        <v>20095</v>
      </c>
      <c r="C2358" s="1" t="inlineStr">
        <is>
          <t>043</t>
        </is>
      </c>
      <c r="D2358" s="1" t="inlineStr">
        <is>
          <t>108554</t>
        </is>
      </c>
      <c r="E2358" s="1" t="inlineStr">
        <is>
          <t xml:space="preserve">31959961       </t>
        </is>
      </c>
      <c r="F2358" s="5" t="inlineStr">
        <is>
          <t>TEAMSTERZ CAMBIA DE COLOR PACK DE 3 AUTOS</t>
        </is>
      </c>
      <c r="G2358" t="n">
        <v>1</v>
      </c>
      <c r="H2358" s="7" t="n">
        <v>49.9</v>
      </c>
      <c r="I2358" s="7" t="n">
        <v>0</v>
      </c>
      <c r="J2358" s="7" t="n">
        <v>0</v>
      </c>
      <c r="K2358" s="9" t="n">
        <v>0</v>
      </c>
      <c r="L2358" s="10" t="n">
        <v>29.6</v>
      </c>
      <c r="M2358" s="10" t="n">
        <v>1.43</v>
      </c>
      <c r="N2358" t="inlineStr">
        <is>
          <t>1</t>
        </is>
      </c>
      <c r="O2358" t="inlineStr">
        <is>
          <t xml:space="preserve">2 </t>
        </is>
      </c>
      <c r="P2358" t="inlineStr">
        <is>
          <t xml:space="preserve">241955  </t>
        </is>
      </c>
      <c r="Q2358" s="26" t="n">
        <v>49.9</v>
      </c>
      <c r="R2358" s="26">
        <f>Q2358*G2358</f>
        <v/>
      </c>
      <c r="S2358" t="n">
        <v>29.6</v>
      </c>
      <c r="T2358" s="18">
        <f>1 - V2358/S2358</f>
        <v/>
      </c>
      <c r="U2358" s="18" t="n">
        <v>0</v>
      </c>
      <c r="V2358" s="26" t="n">
        <v>29.6</v>
      </c>
      <c r="W2358" s="26">
        <f>V2358 - L2358</f>
        <v/>
      </c>
    </row>
    <row r="2359">
      <c r="A2359" s="11" t="n">
        <v>46226</v>
      </c>
      <c r="B2359" s="1" t="n">
        <v>20095</v>
      </c>
      <c r="C2359" s="1" t="inlineStr">
        <is>
          <t>044</t>
        </is>
      </c>
      <c r="D2359" s="1" t="inlineStr">
        <is>
          <t xml:space="preserve">94364 </t>
        </is>
      </c>
      <c r="E2359" s="1" t="inlineStr">
        <is>
          <t xml:space="preserve">28194769       </t>
        </is>
      </c>
      <c r="F2359" s="5" t="inlineStr">
        <is>
          <t>AUTOS DE METAL 3 TEAMSTERZ PACK DE 2</t>
        </is>
      </c>
      <c r="G2359" t="n">
        <v>1</v>
      </c>
      <c r="H2359" s="7" t="n">
        <v>13.8</v>
      </c>
      <c r="I2359" s="7" t="n">
        <v>0</v>
      </c>
      <c r="J2359" s="7" t="n">
        <v>0</v>
      </c>
      <c r="K2359" s="9" t="n">
        <v>0</v>
      </c>
      <c r="L2359" s="10" t="n">
        <v>8.18</v>
      </c>
      <c r="M2359" s="10" t="n">
        <v>1.43</v>
      </c>
      <c r="N2359" t="inlineStr">
        <is>
          <t>1</t>
        </is>
      </c>
      <c r="O2359" t="inlineStr">
        <is>
          <t>16</t>
        </is>
      </c>
      <c r="P2359" t="inlineStr">
        <is>
          <t xml:space="preserve">250275  </t>
        </is>
      </c>
      <c r="Q2359" s="26" t="n">
        <v>13.8</v>
      </c>
      <c r="R2359" s="26">
        <f>Q2359*G2359</f>
        <v/>
      </c>
      <c r="S2359" t="n">
        <v>8.19</v>
      </c>
      <c r="T2359" s="18">
        <f>1 - V2359/S2359</f>
        <v/>
      </c>
      <c r="U2359" s="18" t="n">
        <v>0</v>
      </c>
      <c r="V2359" s="26" t="n">
        <v>8.19</v>
      </c>
      <c r="W2359" s="26">
        <f>V2359 - L2359</f>
        <v/>
      </c>
    </row>
    <row r="2360">
      <c r="A2360" s="11" t="n">
        <v>46226</v>
      </c>
      <c r="B2360" s="1" t="n">
        <v>20095</v>
      </c>
      <c r="C2360" s="1" t="inlineStr">
        <is>
          <t>044</t>
        </is>
      </c>
      <c r="D2360" s="1" t="inlineStr">
        <is>
          <t xml:space="preserve">94386 </t>
        </is>
      </c>
      <c r="E2360" s="1" t="inlineStr">
        <is>
          <t xml:space="preserve">28194770       </t>
        </is>
      </c>
      <c r="F2360" s="5" t="inlineStr">
        <is>
          <t>AUTOS DE METAL 3 TEAMSTERZ EN BLISTER</t>
        </is>
      </c>
      <c r="G2360" t="n">
        <v>1</v>
      </c>
      <c r="H2360" s="7" t="n">
        <v>6.9</v>
      </c>
      <c r="I2360" s="7" t="n">
        <v>0</v>
      </c>
      <c r="J2360" s="7" t="n">
        <v>0</v>
      </c>
      <c r="K2360" s="9" t="n">
        <v>0</v>
      </c>
      <c r="L2360" s="10" t="n">
        <v>4.1</v>
      </c>
      <c r="M2360" s="10" t="n">
        <v>1.43</v>
      </c>
      <c r="N2360" t="inlineStr">
        <is>
          <t>1</t>
        </is>
      </c>
      <c r="O2360" t="inlineStr">
        <is>
          <t>16</t>
        </is>
      </c>
      <c r="P2360" t="inlineStr">
        <is>
          <t xml:space="preserve">250275  </t>
        </is>
      </c>
      <c r="Q2360" s="26" t="n">
        <v>6.9</v>
      </c>
      <c r="R2360" s="26">
        <f>Q2360*G2360</f>
        <v/>
      </c>
      <c r="S2360" t="n">
        <v>4.09</v>
      </c>
      <c r="T2360" s="18">
        <f>1 - V2360/S2360</f>
        <v/>
      </c>
      <c r="U2360" s="18" t="n">
        <v>0</v>
      </c>
      <c r="V2360" s="26" t="n">
        <v>4.09</v>
      </c>
      <c r="W2360" s="26">
        <f>V2360 - L2360</f>
        <v/>
      </c>
    </row>
    <row r="2361">
      <c r="A2361" s="11" t="n">
        <v>46226</v>
      </c>
      <c r="B2361" s="1" t="n">
        <v>20095</v>
      </c>
      <c r="C2361" s="1" t="inlineStr">
        <is>
          <t>044</t>
        </is>
      </c>
      <c r="D2361" s="1" t="inlineStr">
        <is>
          <t xml:space="preserve">94406 </t>
        </is>
      </c>
      <c r="E2361" s="1" t="inlineStr">
        <is>
          <t xml:space="preserve">28194770       </t>
        </is>
      </c>
      <c r="F2361" s="5" t="inlineStr">
        <is>
          <t>AUTOS DE METAL 3 TEAMSTERZ EN BLISTER</t>
        </is>
      </c>
      <c r="G2361" t="n">
        <v>1</v>
      </c>
      <c r="H2361" s="7" t="n">
        <v>6.9</v>
      </c>
      <c r="I2361" s="7" t="n">
        <v>0</v>
      </c>
      <c r="J2361" s="7" t="n">
        <v>0</v>
      </c>
      <c r="K2361" s="9" t="n">
        <v>0</v>
      </c>
      <c r="L2361" s="10" t="n">
        <v>4.1</v>
      </c>
      <c r="M2361" s="10" t="n">
        <v>1.43</v>
      </c>
      <c r="N2361" t="inlineStr">
        <is>
          <t>1</t>
        </is>
      </c>
      <c r="O2361" t="inlineStr">
        <is>
          <t xml:space="preserve">2 </t>
        </is>
      </c>
      <c r="P2361" t="inlineStr">
        <is>
          <t xml:space="preserve">250275  </t>
        </is>
      </c>
      <c r="Q2361" s="26" t="n">
        <v>6.9</v>
      </c>
      <c r="R2361" s="26">
        <f>Q2361*G2361</f>
        <v/>
      </c>
      <c r="S2361" t="n">
        <v>4.09</v>
      </c>
      <c r="T2361" s="18">
        <f>1 - V2361/S2361</f>
        <v/>
      </c>
      <c r="U2361" s="18" t="n">
        <v>0</v>
      </c>
      <c r="V2361" s="26" t="n">
        <v>4.09</v>
      </c>
      <c r="W2361" s="26">
        <f>V2361 - L2361</f>
        <v/>
      </c>
    </row>
    <row r="2362">
      <c r="A2362" s="11" t="n">
        <v>46226</v>
      </c>
      <c r="B2362" s="1" t="n">
        <v>20095</v>
      </c>
      <c r="C2362" s="1" t="inlineStr">
        <is>
          <t>044</t>
        </is>
      </c>
      <c r="D2362" s="1" t="inlineStr">
        <is>
          <t xml:space="preserve">94416 </t>
        </is>
      </c>
      <c r="E2362" s="1" t="inlineStr">
        <is>
          <t xml:space="preserve">28194770       </t>
        </is>
      </c>
      <c r="F2362" s="5" t="inlineStr">
        <is>
          <t>AUTOS DE METAL 3 TEAMSTERZ EN BLISTER</t>
        </is>
      </c>
      <c r="G2362" t="n">
        <v>1</v>
      </c>
      <c r="H2362" s="7" t="n">
        <v>6.9</v>
      </c>
      <c r="I2362" s="7" t="n">
        <v>0.6899999999999999</v>
      </c>
      <c r="J2362" s="7" t="n">
        <v>0</v>
      </c>
      <c r="K2362" s="9" t="n">
        <v>0.6899999999999999</v>
      </c>
      <c r="L2362" s="10" t="n">
        <v>3.68</v>
      </c>
      <c r="M2362" s="10" t="n">
        <v>1.43</v>
      </c>
      <c r="N2362" t="inlineStr">
        <is>
          <t>1</t>
        </is>
      </c>
      <c r="O2362" t="inlineStr">
        <is>
          <t xml:space="preserve">3 </t>
        </is>
      </c>
      <c r="P2362" t="inlineStr">
        <is>
          <t xml:space="preserve">250275  </t>
        </is>
      </c>
      <c r="Q2362" s="26" t="n">
        <v>6.9</v>
      </c>
      <c r="R2362" s="26">
        <f>Q2362*G2362</f>
        <v/>
      </c>
      <c r="S2362" t="n">
        <v>4.09</v>
      </c>
      <c r="T2362" s="18">
        <f>1 - V2362/S2362</f>
        <v/>
      </c>
      <c r="U2362" s="18" t="n">
        <v>0</v>
      </c>
      <c r="V2362" s="26" t="n">
        <v>4.09</v>
      </c>
      <c r="W2362" s="26">
        <f>V2362 - L2362</f>
        <v/>
      </c>
    </row>
    <row r="2363">
      <c r="A2363" s="11" t="n">
        <v>46226</v>
      </c>
      <c r="B2363" s="1" t="n">
        <v>20095</v>
      </c>
      <c r="C2363" s="1" t="inlineStr">
        <is>
          <t>044</t>
        </is>
      </c>
      <c r="D2363" s="1" t="inlineStr">
        <is>
          <t xml:space="preserve">94437 </t>
        </is>
      </c>
      <c r="E2363" s="1" t="inlineStr">
        <is>
          <t xml:space="preserve">30141766       </t>
        </is>
      </c>
      <c r="F2363" s="5" t="inlineStr">
        <is>
          <t>TMZ BEAST MACHINES AUTOS DE METAL BLISTER X 1</t>
        </is>
      </c>
      <c r="G2363" t="n">
        <v>1</v>
      </c>
      <c r="H2363" s="7" t="n">
        <v>7.9</v>
      </c>
      <c r="I2363" s="7" t="n">
        <v>0</v>
      </c>
      <c r="J2363" s="7" t="n">
        <v>0</v>
      </c>
      <c r="K2363" s="9" t="n">
        <v>0</v>
      </c>
      <c r="L2363" s="10" t="n">
        <v>4.68</v>
      </c>
      <c r="M2363" s="10" t="n">
        <v>1.43</v>
      </c>
      <c r="N2363" t="inlineStr">
        <is>
          <t>1</t>
        </is>
      </c>
      <c r="O2363" t="inlineStr">
        <is>
          <t xml:space="preserve">2 </t>
        </is>
      </c>
      <c r="P2363" t="inlineStr">
        <is>
          <t xml:space="preserve">250275  </t>
        </is>
      </c>
      <c r="Q2363" s="26" t="n">
        <v>7.9</v>
      </c>
      <c r="R2363" s="26">
        <f>Q2363*G2363</f>
        <v/>
      </c>
      <c r="S2363" t="n">
        <v>4.69</v>
      </c>
      <c r="T2363" s="18">
        <f>1 - V2363/S2363</f>
        <v/>
      </c>
      <c r="U2363" s="18" t="n">
        <v>0</v>
      </c>
      <c r="V2363" s="26" t="n">
        <v>4.69</v>
      </c>
      <c r="W2363" s="26">
        <f>V2363 - L2363</f>
        <v/>
      </c>
    </row>
    <row r="2364">
      <c r="A2364" s="11" t="n">
        <v>46227</v>
      </c>
      <c r="B2364" s="1" t="n">
        <v>20021</v>
      </c>
      <c r="C2364" s="1" t="inlineStr">
        <is>
          <t>034</t>
        </is>
      </c>
      <c r="D2364" s="1" t="inlineStr">
        <is>
          <t xml:space="preserve">45858 </t>
        </is>
      </c>
      <c r="E2364" s="1" t="inlineStr">
        <is>
          <t xml:space="preserve">29854051       </t>
        </is>
      </c>
      <c r="F2364" s="5" t="inlineStr">
        <is>
          <t>TEAMSTERZ AUTO DE METAL PACK 10 AUTOS</t>
        </is>
      </c>
      <c r="G2364" t="n">
        <v>1</v>
      </c>
      <c r="H2364" s="7" t="n">
        <v>69</v>
      </c>
      <c r="I2364" s="7" t="n">
        <v>6.9</v>
      </c>
      <c r="J2364" s="7" t="n">
        <v>0</v>
      </c>
      <c r="K2364" s="9" t="n">
        <v>6.9</v>
      </c>
      <c r="L2364" s="10" t="n">
        <v>36.84</v>
      </c>
      <c r="M2364" s="10" t="n">
        <v>1.43</v>
      </c>
      <c r="N2364" t="inlineStr">
        <is>
          <t>1</t>
        </is>
      </c>
      <c r="O2364" t="inlineStr">
        <is>
          <t xml:space="preserve">3 </t>
        </is>
      </c>
      <c r="P2364" t="inlineStr">
        <is>
          <t xml:space="preserve">74460   </t>
        </is>
      </c>
      <c r="Q2364" s="26" t="n">
        <v>69</v>
      </c>
      <c r="R2364" s="26">
        <f>Q2364*G2364</f>
        <v/>
      </c>
      <c r="S2364" t="n">
        <v>40.93</v>
      </c>
      <c r="T2364" s="18">
        <f>1 - V2364/S2364</f>
        <v/>
      </c>
      <c r="U2364" s="18" t="n">
        <v>0</v>
      </c>
      <c r="V2364" s="26" t="n">
        <v>40.93</v>
      </c>
      <c r="W2364" s="26">
        <f>V2364 - L2364</f>
        <v/>
      </c>
    </row>
    <row r="2365">
      <c r="A2365" s="11" t="n">
        <v>46227</v>
      </c>
      <c r="B2365" s="1" t="n">
        <v>20021</v>
      </c>
      <c r="C2365" s="1" t="inlineStr">
        <is>
          <t>034</t>
        </is>
      </c>
      <c r="D2365" s="1" t="inlineStr">
        <is>
          <t xml:space="preserve">45858 </t>
        </is>
      </c>
      <c r="E2365" s="1" t="inlineStr">
        <is>
          <t xml:space="preserve">29854051       </t>
        </is>
      </c>
      <c r="F2365" s="5" t="inlineStr">
        <is>
          <t>TEAMSTERZ AUTO DE METAL PACK 10 AUTOS</t>
        </is>
      </c>
      <c r="G2365" t="n">
        <v>1</v>
      </c>
      <c r="H2365" s="7" t="n">
        <v>69</v>
      </c>
      <c r="I2365" s="7" t="n">
        <v>6.9</v>
      </c>
      <c r="J2365" s="7" t="n">
        <v>0</v>
      </c>
      <c r="K2365" s="9" t="n">
        <v>6.9</v>
      </c>
      <c r="L2365" s="10" t="n">
        <v>36.84</v>
      </c>
      <c r="M2365" s="10" t="n">
        <v>1.43</v>
      </c>
      <c r="N2365" t="inlineStr">
        <is>
          <t>1</t>
        </is>
      </c>
      <c r="O2365" t="inlineStr">
        <is>
          <t xml:space="preserve">3 </t>
        </is>
      </c>
      <c r="P2365" t="inlineStr">
        <is>
          <t xml:space="preserve">74460   </t>
        </is>
      </c>
      <c r="Q2365" s="26" t="n">
        <v>69</v>
      </c>
      <c r="R2365" s="26">
        <f>Q2365*G2365</f>
        <v/>
      </c>
      <c r="S2365" t="n">
        <v>40.93</v>
      </c>
      <c r="T2365" s="18">
        <f>1 - V2365/S2365</f>
        <v/>
      </c>
      <c r="U2365" s="18" t="n">
        <v>0</v>
      </c>
      <c r="V2365" s="26" t="n">
        <v>40.93</v>
      </c>
      <c r="W2365" s="26">
        <f>V2365 - L2365</f>
        <v/>
      </c>
    </row>
    <row r="2366">
      <c r="A2366" s="11" t="n">
        <v>46227</v>
      </c>
      <c r="B2366" s="1" t="n">
        <v>20021</v>
      </c>
      <c r="C2366" s="1" t="inlineStr">
        <is>
          <t>055</t>
        </is>
      </c>
      <c r="D2366" s="1" t="inlineStr">
        <is>
          <t>155764</t>
        </is>
      </c>
      <c r="E2366" s="1" t="inlineStr">
        <is>
          <t xml:space="preserve">30141766       </t>
        </is>
      </c>
      <c r="F2366" s="5" t="inlineStr">
        <is>
          <t>TMZ BEAST MACHINES AUTOS DE METAL BLISTER X 1</t>
        </is>
      </c>
      <c r="G2366" t="n">
        <v>1</v>
      </c>
      <c r="H2366" s="7" t="n">
        <v>7.9</v>
      </c>
      <c r="I2366" s="7" t="n">
        <v>0</v>
      </c>
      <c r="J2366" s="7" t="n">
        <v>0</v>
      </c>
      <c r="K2366" s="9" t="n">
        <v>0</v>
      </c>
      <c r="L2366" s="10" t="n">
        <v>4.68</v>
      </c>
      <c r="M2366" s="10" t="n">
        <v>1.43</v>
      </c>
      <c r="N2366" t="inlineStr">
        <is>
          <t>1</t>
        </is>
      </c>
      <c r="O2366" t="inlineStr">
        <is>
          <t xml:space="preserve">2 </t>
        </is>
      </c>
      <c r="P2366" t="inlineStr">
        <is>
          <t xml:space="preserve">36042   </t>
        </is>
      </c>
      <c r="Q2366" s="26" t="n">
        <v>7.9</v>
      </c>
      <c r="R2366" s="26">
        <f>Q2366*G2366</f>
        <v/>
      </c>
      <c r="S2366" t="n">
        <v>4.69</v>
      </c>
      <c r="T2366" s="18">
        <f>1 - V2366/S2366</f>
        <v/>
      </c>
      <c r="U2366" s="18" t="n">
        <v>0</v>
      </c>
      <c r="V2366" s="26" t="n">
        <v>4.69</v>
      </c>
      <c r="W2366" s="26">
        <f>V2366 - L2366</f>
        <v/>
      </c>
    </row>
    <row r="2367">
      <c r="A2367" s="11" t="n">
        <v>46227</v>
      </c>
      <c r="B2367" s="1" t="n">
        <v>20021</v>
      </c>
      <c r="C2367" s="1" t="inlineStr">
        <is>
          <t>063</t>
        </is>
      </c>
      <c r="D2367" s="1" t="inlineStr">
        <is>
          <t xml:space="preserve">3712  </t>
        </is>
      </c>
      <c r="E2367" s="1" t="inlineStr">
        <is>
          <t xml:space="preserve">31959961       </t>
        </is>
      </c>
      <c r="F2367" s="5" t="inlineStr">
        <is>
          <t>TEAMSTERZ CAMBIA DE COLOR PACK DE 3 AUTOS</t>
        </is>
      </c>
      <c r="G2367" t="n">
        <v>1</v>
      </c>
      <c r="H2367" s="7" t="n">
        <v>49.9</v>
      </c>
      <c r="I2367" s="7" t="n">
        <v>0</v>
      </c>
      <c r="J2367" s="7" t="n">
        <v>0</v>
      </c>
      <c r="K2367" s="9" t="n">
        <v>0</v>
      </c>
      <c r="L2367" s="10" t="n">
        <v>29.6</v>
      </c>
      <c r="M2367" s="10" t="n">
        <v>1.43</v>
      </c>
      <c r="N2367" t="inlineStr">
        <is>
          <t>1</t>
        </is>
      </c>
      <c r="O2367" t="inlineStr">
        <is>
          <t>16</t>
        </is>
      </c>
      <c r="P2367" t="inlineStr">
        <is>
          <t xml:space="preserve">20360   </t>
        </is>
      </c>
      <c r="Q2367" s="26" t="n">
        <v>49.9</v>
      </c>
      <c r="R2367" s="26">
        <f>Q2367*G2367</f>
        <v/>
      </c>
      <c r="S2367" t="n">
        <v>29.6</v>
      </c>
      <c r="T2367" s="18">
        <f>1 - V2367/S2367</f>
        <v/>
      </c>
      <c r="U2367" s="18" t="n">
        <v>0</v>
      </c>
      <c r="V2367" s="26" t="n">
        <v>29.6</v>
      </c>
      <c r="W2367" s="26">
        <f>V2367 - L2367</f>
        <v/>
      </c>
    </row>
    <row r="2368">
      <c r="A2368" s="11" t="n">
        <v>46227</v>
      </c>
      <c r="B2368" s="1" t="n">
        <v>20021</v>
      </c>
      <c r="C2368" s="1" t="inlineStr">
        <is>
          <t>080</t>
        </is>
      </c>
      <c r="D2368" s="1" t="inlineStr">
        <is>
          <t xml:space="preserve">5538  </t>
        </is>
      </c>
      <c r="E2368" s="1" t="inlineStr">
        <is>
          <t xml:space="preserve">28194769       </t>
        </is>
      </c>
      <c r="F2368" s="5" t="inlineStr">
        <is>
          <t>AUTOS DE METAL 3 TEAMSTERZ PACK DE 2</t>
        </is>
      </c>
      <c r="G2368" t="n">
        <v>1</v>
      </c>
      <c r="H2368" s="7" t="n">
        <v>13.8</v>
      </c>
      <c r="I2368" s="7" t="n">
        <v>0</v>
      </c>
      <c r="J2368" s="7" t="n">
        <v>0</v>
      </c>
      <c r="K2368" s="9" t="n">
        <v>0</v>
      </c>
      <c r="L2368" s="10" t="n">
        <v>8.18</v>
      </c>
      <c r="M2368" s="10" t="n">
        <v>1.43</v>
      </c>
      <c r="N2368" t="inlineStr">
        <is>
          <t>1</t>
        </is>
      </c>
      <c r="O2368" t="inlineStr">
        <is>
          <t>16</t>
        </is>
      </c>
      <c r="P2368" t="inlineStr">
        <is>
          <t xml:space="preserve">251363  </t>
        </is>
      </c>
      <c r="Q2368" s="26" t="n">
        <v>13.8</v>
      </c>
      <c r="R2368" s="26">
        <f>Q2368*G2368</f>
        <v/>
      </c>
      <c r="S2368" t="n">
        <v>8.19</v>
      </c>
      <c r="T2368" s="18">
        <f>1 - V2368/S2368</f>
        <v/>
      </c>
      <c r="U2368" s="18" t="n">
        <v>0</v>
      </c>
      <c r="V2368" s="26" t="n">
        <v>8.19</v>
      </c>
      <c r="W2368" s="26">
        <f>V2368 - L2368</f>
        <v/>
      </c>
    </row>
    <row r="2369">
      <c r="A2369" s="11" t="n">
        <v>46227</v>
      </c>
      <c r="B2369" s="1" t="n">
        <v>20021</v>
      </c>
      <c r="C2369" s="1" t="inlineStr">
        <is>
          <t>082</t>
        </is>
      </c>
      <c r="D2369" s="1" t="inlineStr">
        <is>
          <t>270517</t>
        </is>
      </c>
      <c r="E2369" s="1" t="inlineStr">
        <is>
          <t xml:space="preserve">28194770       </t>
        </is>
      </c>
      <c r="F2369" s="5" t="inlineStr">
        <is>
          <t>AUTOS DE METAL 3 TEAMSTERZ EN BLISTER</t>
        </is>
      </c>
      <c r="G2369" t="n">
        <v>1</v>
      </c>
      <c r="H2369" s="7" t="n">
        <v>6.9</v>
      </c>
      <c r="I2369" s="7" t="n">
        <v>0</v>
      </c>
      <c r="J2369" s="7" t="n">
        <v>0</v>
      </c>
      <c r="K2369" s="9" t="n">
        <v>0</v>
      </c>
      <c r="L2369" s="10" t="n">
        <v>4.1</v>
      </c>
      <c r="M2369" s="10" t="n">
        <v>1.43</v>
      </c>
      <c r="N2369" t="inlineStr">
        <is>
          <t>1</t>
        </is>
      </c>
      <c r="O2369" t="inlineStr">
        <is>
          <t>16</t>
        </is>
      </c>
      <c r="P2369" t="inlineStr">
        <is>
          <t xml:space="preserve">250202  </t>
        </is>
      </c>
      <c r="Q2369" s="26" t="n">
        <v>6.9</v>
      </c>
      <c r="R2369" s="26">
        <f>Q2369*G2369</f>
        <v/>
      </c>
      <c r="S2369" t="n">
        <v>4.09</v>
      </c>
      <c r="T2369" s="18">
        <f>1 - V2369/S2369</f>
        <v/>
      </c>
      <c r="U2369" s="18" t="n">
        <v>0</v>
      </c>
      <c r="V2369" s="26" t="n">
        <v>4.09</v>
      </c>
      <c r="W2369" s="26">
        <f>V2369 - L2369</f>
        <v/>
      </c>
    </row>
    <row r="2370">
      <c r="A2370" s="11" t="n">
        <v>46227</v>
      </c>
      <c r="B2370" s="1" t="n">
        <v>20021</v>
      </c>
      <c r="C2370" s="1" t="inlineStr">
        <is>
          <t>082</t>
        </is>
      </c>
      <c r="D2370" s="1" t="inlineStr">
        <is>
          <t>270517</t>
        </is>
      </c>
      <c r="E2370" s="1" t="inlineStr">
        <is>
          <t xml:space="preserve">28194770       </t>
        </is>
      </c>
      <c r="F2370" s="5" t="inlineStr">
        <is>
          <t>AUTOS DE METAL 3 TEAMSTERZ EN BLISTER</t>
        </is>
      </c>
      <c r="G2370" t="n">
        <v>1</v>
      </c>
      <c r="H2370" s="7" t="n">
        <v>6.9</v>
      </c>
      <c r="I2370" s="7" t="n">
        <v>0</v>
      </c>
      <c r="J2370" s="7" t="n">
        <v>0</v>
      </c>
      <c r="K2370" s="9" t="n">
        <v>0</v>
      </c>
      <c r="L2370" s="10" t="n">
        <v>4.1</v>
      </c>
      <c r="M2370" s="10" t="n">
        <v>1.43</v>
      </c>
      <c r="N2370" t="inlineStr">
        <is>
          <t>1</t>
        </is>
      </c>
      <c r="O2370" t="inlineStr">
        <is>
          <t>16</t>
        </is>
      </c>
      <c r="P2370" t="inlineStr">
        <is>
          <t xml:space="preserve">250202  </t>
        </is>
      </c>
      <c r="Q2370" s="26" t="n">
        <v>6.9</v>
      </c>
      <c r="R2370" s="26">
        <f>Q2370*G2370</f>
        <v/>
      </c>
      <c r="S2370" t="n">
        <v>4.09</v>
      </c>
      <c r="T2370" s="18">
        <f>1 - V2370/S2370</f>
        <v/>
      </c>
      <c r="U2370" s="18" t="n">
        <v>0</v>
      </c>
      <c r="V2370" s="26" t="n">
        <v>4.09</v>
      </c>
      <c r="W2370" s="26">
        <f>V2370 - L2370</f>
        <v/>
      </c>
    </row>
    <row r="2371">
      <c r="A2371" s="11" t="n">
        <v>46227</v>
      </c>
      <c r="B2371" s="1" t="n">
        <v>20021</v>
      </c>
      <c r="C2371" s="1" t="inlineStr">
        <is>
          <t>083</t>
        </is>
      </c>
      <c r="D2371" s="1" t="inlineStr">
        <is>
          <t xml:space="preserve">97623 </t>
        </is>
      </c>
      <c r="E2371" s="1" t="inlineStr">
        <is>
          <t xml:space="preserve">28194768       </t>
        </is>
      </c>
      <c r="F2371" s="5" t="inlineStr">
        <is>
          <t>AUTO COLOR CHANGE TEAMSTERZ SURTIDO</t>
        </is>
      </c>
      <c r="G2371" t="n">
        <v>-1</v>
      </c>
      <c r="H2371" s="7" t="n">
        <v>-14.9</v>
      </c>
      <c r="I2371" s="7" t="n">
        <v>0</v>
      </c>
      <c r="J2371" s="7" t="n">
        <v>0</v>
      </c>
      <c r="K2371" s="9" t="n">
        <v>0</v>
      </c>
      <c r="L2371" s="10" t="n">
        <v>-8.84</v>
      </c>
      <c r="M2371" s="10" t="n">
        <v>0</v>
      </c>
      <c r="N2371" t="inlineStr">
        <is>
          <t>3</t>
        </is>
      </c>
      <c r="O2371" t="inlineStr">
        <is>
          <t>36</t>
        </is>
      </c>
      <c r="P2371" t="inlineStr">
        <is>
          <t xml:space="preserve">250150  </t>
        </is>
      </c>
      <c r="Q2371" s="26" t="n">
        <v>14.9</v>
      </c>
      <c r="R2371" s="26">
        <f>Q2371*G2371</f>
        <v/>
      </c>
      <c r="S2371" t="n">
        <v>-8.84</v>
      </c>
      <c r="T2371" s="18">
        <f>1 - V2371/S2371</f>
        <v/>
      </c>
      <c r="U2371" s="18" t="n">
        <v>0</v>
      </c>
      <c r="V2371" s="26" t="n">
        <v>-8.84</v>
      </c>
      <c r="W2371" s="26">
        <f>V2371 - L2371</f>
        <v/>
      </c>
    </row>
    <row r="2372">
      <c r="A2372" s="11" t="n">
        <v>46227</v>
      </c>
      <c r="B2372" s="1" t="n">
        <v>20023</v>
      </c>
      <c r="C2372" s="1" t="inlineStr">
        <is>
          <t>079</t>
        </is>
      </c>
      <c r="D2372" s="1" t="inlineStr">
        <is>
          <t>290366</t>
        </is>
      </c>
      <c r="E2372" s="1" t="inlineStr">
        <is>
          <t xml:space="preserve">29854052       </t>
        </is>
      </c>
      <c r="F2372" s="5" t="inlineStr">
        <is>
          <t>PLAYSET CAMBIA DE COLOR CROC BITE</t>
        </is>
      </c>
      <c r="G2372" t="n">
        <v>1</v>
      </c>
      <c r="H2372" s="7" t="n">
        <v>79.90000000000001</v>
      </c>
      <c r="I2372" s="7" t="n">
        <v>0</v>
      </c>
      <c r="J2372" s="7" t="n">
        <v>0</v>
      </c>
      <c r="K2372" s="9" t="n">
        <v>0</v>
      </c>
      <c r="L2372" s="10" t="n">
        <v>47.4</v>
      </c>
      <c r="M2372" s="10" t="n">
        <v>1.43</v>
      </c>
      <c r="N2372" t="inlineStr">
        <is>
          <t>1</t>
        </is>
      </c>
      <c r="O2372" t="inlineStr">
        <is>
          <t>16</t>
        </is>
      </c>
      <c r="P2372" t="inlineStr">
        <is>
          <t xml:space="preserve">32926   </t>
        </is>
      </c>
      <c r="Q2372" s="26" t="n">
        <v>79.90000000000001</v>
      </c>
      <c r="R2372" s="26">
        <f>Q2372*G2372</f>
        <v/>
      </c>
      <c r="S2372" t="n">
        <v>47.4</v>
      </c>
      <c r="T2372" s="18">
        <f>1 - V2372/S2372</f>
        <v/>
      </c>
      <c r="U2372" s="18" t="n">
        <v>0</v>
      </c>
      <c r="V2372" s="26" t="n">
        <v>47.4</v>
      </c>
      <c r="W2372" s="26">
        <f>V2372 - L2372</f>
        <v/>
      </c>
    </row>
    <row r="2373">
      <c r="A2373" s="11" t="n">
        <v>46227</v>
      </c>
      <c r="B2373" s="1" t="n">
        <v>20023</v>
      </c>
      <c r="C2373" s="1" t="inlineStr">
        <is>
          <t>191</t>
        </is>
      </c>
      <c r="D2373" s="1" t="inlineStr">
        <is>
          <t xml:space="preserve">8170  </t>
        </is>
      </c>
      <c r="E2373" s="1" t="inlineStr">
        <is>
          <t xml:space="preserve">28194769       </t>
        </is>
      </c>
      <c r="F2373" s="5" t="inlineStr">
        <is>
          <t>AUTOS DE METAL 3 TEAMSTERZ PACK DE 2</t>
        </is>
      </c>
      <c r="G2373" t="n">
        <v>1</v>
      </c>
      <c r="H2373" s="7" t="n">
        <v>13.8</v>
      </c>
      <c r="I2373" s="7" t="n">
        <v>0</v>
      </c>
      <c r="J2373" s="7" t="n">
        <v>0</v>
      </c>
      <c r="K2373" s="9" t="n">
        <v>0</v>
      </c>
      <c r="L2373" s="10" t="n">
        <v>8.18</v>
      </c>
      <c r="M2373" s="10" t="n">
        <v>1.43</v>
      </c>
      <c r="N2373" t="inlineStr">
        <is>
          <t>1</t>
        </is>
      </c>
      <c r="O2373" t="inlineStr">
        <is>
          <t>16</t>
        </is>
      </c>
      <c r="P2373" t="inlineStr">
        <is>
          <t xml:space="preserve">21405   </t>
        </is>
      </c>
      <c r="Q2373" s="26" t="n">
        <v>13.8</v>
      </c>
      <c r="R2373" s="26">
        <f>Q2373*G2373</f>
        <v/>
      </c>
      <c r="S2373" t="n">
        <v>8.19</v>
      </c>
      <c r="T2373" s="18">
        <f>1 - V2373/S2373</f>
        <v/>
      </c>
      <c r="U2373" s="18" t="n">
        <v>0</v>
      </c>
      <c r="V2373" s="26" t="n">
        <v>8.19</v>
      </c>
      <c r="W2373" s="26">
        <f>V2373 - L2373</f>
        <v/>
      </c>
    </row>
    <row r="2374">
      <c r="A2374" s="11" t="n">
        <v>46227</v>
      </c>
      <c r="B2374" s="1" t="n">
        <v>20024</v>
      </c>
      <c r="C2374" s="1" t="inlineStr">
        <is>
          <t>075</t>
        </is>
      </c>
      <c r="D2374" s="1" t="inlineStr">
        <is>
          <t>164370</t>
        </is>
      </c>
      <c r="E2374" s="1" t="inlineStr">
        <is>
          <t xml:space="preserve">29235701       </t>
        </is>
      </c>
      <c r="F2374" s="5" t="inlineStr">
        <is>
          <t>INFINITY NADO TROMPO DE BATALLA - METAL EN CAJA</t>
        </is>
      </c>
      <c r="G2374" t="n">
        <v>1</v>
      </c>
      <c r="H2374" s="7" t="n">
        <v>29.9</v>
      </c>
      <c r="I2374" s="7" t="n">
        <v>2.99</v>
      </c>
      <c r="J2374" s="7" t="n">
        <v>0</v>
      </c>
      <c r="K2374" s="9" t="n">
        <v>2.99</v>
      </c>
      <c r="L2374" s="10" t="n">
        <v>15.97</v>
      </c>
      <c r="M2374" s="10" t="n">
        <v>1.43</v>
      </c>
      <c r="N2374" t="inlineStr">
        <is>
          <t>1</t>
        </is>
      </c>
      <c r="O2374" t="inlineStr">
        <is>
          <t xml:space="preserve">3 </t>
        </is>
      </c>
      <c r="P2374" t="inlineStr">
        <is>
          <t xml:space="preserve">28289   </t>
        </is>
      </c>
      <c r="Q2374" s="26" t="n">
        <v>39.9</v>
      </c>
      <c r="R2374" s="26">
        <f>Q2374*G2374</f>
        <v/>
      </c>
      <c r="S2374" t="n">
        <v>23.67</v>
      </c>
      <c r="T2374" s="18">
        <f>1 - V2374/S2374</f>
        <v/>
      </c>
      <c r="U2374" s="18" t="n">
        <v>0.2506265664160401</v>
      </c>
      <c r="V2374" s="26" t="n">
        <v>19.00423728813559</v>
      </c>
      <c r="W2374" s="26">
        <f>V2374 - L2374</f>
        <v/>
      </c>
    </row>
    <row r="2375">
      <c r="A2375" s="11" t="n">
        <v>46227</v>
      </c>
      <c r="B2375" s="1" t="n">
        <v>20024</v>
      </c>
      <c r="C2375" s="1" t="inlineStr">
        <is>
          <t>075</t>
        </is>
      </c>
      <c r="D2375" s="1" t="inlineStr">
        <is>
          <t>164370</t>
        </is>
      </c>
      <c r="E2375" s="1" t="inlineStr">
        <is>
          <t xml:space="preserve">29235701       </t>
        </is>
      </c>
      <c r="F2375" s="5" t="inlineStr">
        <is>
          <t>INFINITY NADO TROMPO DE BATALLA - METAL EN CAJA</t>
        </is>
      </c>
      <c r="G2375" t="n">
        <v>1</v>
      </c>
      <c r="H2375" s="7" t="n">
        <v>29.9</v>
      </c>
      <c r="I2375" s="7" t="n">
        <v>2.99</v>
      </c>
      <c r="J2375" s="7" t="n">
        <v>0</v>
      </c>
      <c r="K2375" s="9" t="n">
        <v>2.99</v>
      </c>
      <c r="L2375" s="10" t="n">
        <v>15.97</v>
      </c>
      <c r="M2375" s="10" t="n">
        <v>1.43</v>
      </c>
      <c r="N2375" t="inlineStr">
        <is>
          <t>1</t>
        </is>
      </c>
      <c r="O2375" t="inlineStr">
        <is>
          <t xml:space="preserve">3 </t>
        </is>
      </c>
      <c r="P2375" t="inlineStr">
        <is>
          <t xml:space="preserve">28289   </t>
        </is>
      </c>
      <c r="Q2375" s="26" t="n">
        <v>39.9</v>
      </c>
      <c r="R2375" s="26">
        <f>Q2375*G2375</f>
        <v/>
      </c>
      <c r="S2375" t="n">
        <v>23.67</v>
      </c>
      <c r="T2375" s="18">
        <f>1 - V2375/S2375</f>
        <v/>
      </c>
      <c r="U2375" s="18" t="n">
        <v>0.2506265664160401</v>
      </c>
      <c r="V2375" s="26" t="n">
        <v>19.00423728813559</v>
      </c>
      <c r="W2375" s="26">
        <f>V2375 - L2375</f>
        <v/>
      </c>
    </row>
    <row r="2376">
      <c r="A2376" s="11" t="n">
        <v>46227</v>
      </c>
      <c r="B2376" s="1" t="n">
        <v>20024</v>
      </c>
      <c r="C2376" s="1" t="inlineStr">
        <is>
          <t>075</t>
        </is>
      </c>
      <c r="D2376" s="1" t="inlineStr">
        <is>
          <t>164420</t>
        </is>
      </c>
      <c r="E2376" s="1" t="inlineStr">
        <is>
          <t xml:space="preserve">28194769       </t>
        </is>
      </c>
      <c r="F2376" s="5" t="inlineStr">
        <is>
          <t>AUTOS DE METAL 3 TEAMSTERZ PACK DE 2</t>
        </is>
      </c>
      <c r="G2376" t="n">
        <v>1</v>
      </c>
      <c r="H2376" s="7" t="n">
        <v>13.8</v>
      </c>
      <c r="I2376" s="7" t="n">
        <v>0</v>
      </c>
      <c r="J2376" s="7" t="n">
        <v>0</v>
      </c>
      <c r="K2376" s="9" t="n">
        <v>0</v>
      </c>
      <c r="L2376" s="10" t="n">
        <v>8.18</v>
      </c>
      <c r="M2376" s="10" t="n">
        <v>1.43</v>
      </c>
      <c r="N2376" t="inlineStr">
        <is>
          <t>1</t>
        </is>
      </c>
      <c r="O2376" t="inlineStr">
        <is>
          <t xml:space="preserve">2 </t>
        </is>
      </c>
      <c r="P2376" t="inlineStr">
        <is>
          <t xml:space="preserve">28289   </t>
        </is>
      </c>
      <c r="Q2376" s="26" t="n">
        <v>13.8</v>
      </c>
      <c r="R2376" s="26">
        <f>Q2376*G2376</f>
        <v/>
      </c>
      <c r="S2376" t="n">
        <v>8.19</v>
      </c>
      <c r="T2376" s="18">
        <f>1 - V2376/S2376</f>
        <v/>
      </c>
      <c r="U2376" s="18" t="n">
        <v>0</v>
      </c>
      <c r="V2376" s="26" t="n">
        <v>8.19</v>
      </c>
      <c r="W2376" s="26">
        <f>V2376 - L2376</f>
        <v/>
      </c>
    </row>
    <row r="2377">
      <c r="A2377" s="11" t="n">
        <v>46227</v>
      </c>
      <c r="B2377" s="1" t="n">
        <v>20024</v>
      </c>
      <c r="C2377" s="1" t="inlineStr">
        <is>
          <t>118</t>
        </is>
      </c>
      <c r="D2377" s="1" t="inlineStr">
        <is>
          <t>256306</t>
        </is>
      </c>
      <c r="E2377" s="1" t="inlineStr">
        <is>
          <t xml:space="preserve">34840558       </t>
        </is>
      </c>
      <c r="F2377" s="5" t="inlineStr">
        <is>
          <t>TMZ CAMBIA DE COLOR PLAYSET CALAVERA + 1 AUTO</t>
        </is>
      </c>
      <c r="G2377" t="n">
        <v>1</v>
      </c>
      <c r="H2377" s="7" t="n">
        <v>59.9</v>
      </c>
      <c r="I2377" s="7" t="n">
        <v>5.99</v>
      </c>
      <c r="J2377" s="7" t="n">
        <v>0</v>
      </c>
      <c r="K2377" s="9" t="n">
        <v>5.99</v>
      </c>
      <c r="L2377" s="10" t="n">
        <v>31.98</v>
      </c>
      <c r="M2377" s="10" t="n">
        <v>1.43</v>
      </c>
      <c r="N2377" t="inlineStr">
        <is>
          <t>1</t>
        </is>
      </c>
      <c r="O2377" t="inlineStr">
        <is>
          <t xml:space="preserve">3 </t>
        </is>
      </c>
      <c r="P2377" t="inlineStr">
        <is>
          <t xml:space="preserve">43118   </t>
        </is>
      </c>
      <c r="Q2377" s="26" t="n">
        <v>99</v>
      </c>
      <c r="R2377" s="26">
        <f>Q2377*G2377</f>
        <v/>
      </c>
      <c r="S2377" t="n">
        <v>58.73</v>
      </c>
      <c r="T2377" s="18">
        <f>1 - V2377/S2377</f>
        <v/>
      </c>
      <c r="U2377" s="18" t="n">
        <v>0.3949494949494949</v>
      </c>
      <c r="V2377" s="26" t="n">
        <v>40.61016949152543</v>
      </c>
      <c r="W2377" s="26">
        <f>V2377 - L2377</f>
        <v/>
      </c>
    </row>
    <row r="2378">
      <c r="A2378" s="11" t="n">
        <v>46227</v>
      </c>
      <c r="B2378" s="1" t="n">
        <v>20025</v>
      </c>
      <c r="C2378" s="1" t="inlineStr">
        <is>
          <t>047</t>
        </is>
      </c>
      <c r="D2378" s="1" t="inlineStr">
        <is>
          <t>351610</t>
        </is>
      </c>
      <c r="E2378" s="1" t="inlineStr">
        <is>
          <t xml:space="preserve">33483121       </t>
        </is>
      </c>
      <c r="F2378" s="5" t="inlineStr">
        <is>
          <t>HOT WHEELS ESTUCHE PARA 15 AUTOS SURTIDO</t>
        </is>
      </c>
      <c r="G2378" t="n">
        <v>1</v>
      </c>
      <c r="H2378" s="7" t="n">
        <v>34.9</v>
      </c>
      <c r="I2378" s="7" t="n">
        <v>3.49</v>
      </c>
      <c r="J2378" s="7" t="n">
        <v>0</v>
      </c>
      <c r="K2378" s="9" t="n">
        <v>3.49</v>
      </c>
      <c r="L2378" s="10" t="n">
        <v>18.63</v>
      </c>
      <c r="M2378" s="10" t="n">
        <v>1.43</v>
      </c>
      <c r="N2378" t="inlineStr">
        <is>
          <t>1</t>
        </is>
      </c>
      <c r="O2378" t="inlineStr">
        <is>
          <t xml:space="preserve">3 </t>
        </is>
      </c>
      <c r="P2378" t="inlineStr">
        <is>
          <t xml:space="preserve">22890   </t>
        </is>
      </c>
      <c r="Q2378" s="26" t="n">
        <v>34.9</v>
      </c>
      <c r="R2378" s="26">
        <f>Q2378*G2378</f>
        <v/>
      </c>
      <c r="S2378" t="n">
        <v>20.7</v>
      </c>
      <c r="T2378" s="18">
        <f>1 - V2378/S2378</f>
        <v/>
      </c>
      <c r="U2378" s="18" t="n">
        <v>0</v>
      </c>
      <c r="V2378" s="26" t="n">
        <v>20.7</v>
      </c>
      <c r="W2378" s="26">
        <f>V2378 - L2378</f>
        <v/>
      </c>
    </row>
    <row r="2379">
      <c r="A2379" s="11" t="n">
        <v>46227</v>
      </c>
      <c r="B2379" s="1" t="n">
        <v>20027</v>
      </c>
      <c r="C2379" s="1" t="inlineStr">
        <is>
          <t>080</t>
        </is>
      </c>
      <c r="D2379" s="1" t="inlineStr">
        <is>
          <t xml:space="preserve">1890  </t>
        </is>
      </c>
      <c r="E2379" s="1" t="inlineStr">
        <is>
          <t xml:space="preserve">28194769       </t>
        </is>
      </c>
      <c r="F2379" s="5" t="inlineStr">
        <is>
          <t>AUTOS DE METAL 3 TEAMSTERZ PACK DE 2</t>
        </is>
      </c>
      <c r="G2379" t="n">
        <v>1</v>
      </c>
      <c r="H2379" s="7" t="n">
        <v>13.8</v>
      </c>
      <c r="I2379" s="7" t="n">
        <v>0</v>
      </c>
      <c r="J2379" s="7" t="n">
        <v>0</v>
      </c>
      <c r="K2379" s="9" t="n">
        <v>0</v>
      </c>
      <c r="L2379" s="10" t="n">
        <v>8.18</v>
      </c>
      <c r="M2379" s="10" t="n">
        <v>1.43</v>
      </c>
      <c r="N2379" t="inlineStr">
        <is>
          <t>1</t>
        </is>
      </c>
      <c r="O2379" t="inlineStr">
        <is>
          <t xml:space="preserve">2 </t>
        </is>
      </c>
      <c r="P2379" t="inlineStr">
        <is>
          <t xml:space="preserve">65829   </t>
        </is>
      </c>
      <c r="Q2379" s="26" t="n">
        <v>13.8</v>
      </c>
      <c r="R2379" s="26">
        <f>Q2379*G2379</f>
        <v/>
      </c>
      <c r="S2379" t="n">
        <v>8.19</v>
      </c>
      <c r="T2379" s="18">
        <f>1 - V2379/S2379</f>
        <v/>
      </c>
      <c r="U2379" s="18" t="n">
        <v>0</v>
      </c>
      <c r="V2379" s="26" t="n">
        <v>8.19</v>
      </c>
      <c r="W2379" s="26">
        <f>V2379 - L2379</f>
        <v/>
      </c>
    </row>
    <row r="2380">
      <c r="A2380" s="11" t="n">
        <v>46227</v>
      </c>
      <c r="B2380" s="1" t="n">
        <v>20028</v>
      </c>
      <c r="C2380" s="1" t="inlineStr">
        <is>
          <t>011</t>
        </is>
      </c>
      <c r="D2380" s="1" t="inlineStr">
        <is>
          <t xml:space="preserve">34095 </t>
        </is>
      </c>
      <c r="E2380" s="1" t="inlineStr">
        <is>
          <t xml:space="preserve">30232283       </t>
        </is>
      </c>
      <c r="F2380" s="5" t="inlineStr">
        <is>
          <t>INFINITY NADO PACK DE 2 TROMPOS DE BATALLA METAL</t>
        </is>
      </c>
      <c r="G2380" t="n">
        <v>1</v>
      </c>
      <c r="H2380" s="7" t="n">
        <v>59.9</v>
      </c>
      <c r="I2380" s="7" t="n">
        <v>0</v>
      </c>
      <c r="J2380" s="7" t="n">
        <v>0</v>
      </c>
      <c r="K2380" s="9" t="n">
        <v>0</v>
      </c>
      <c r="L2380" s="10" t="n">
        <v>35.53</v>
      </c>
      <c r="M2380" s="10" t="n">
        <v>1.43</v>
      </c>
      <c r="N2380" t="inlineStr">
        <is>
          <t>1</t>
        </is>
      </c>
      <c r="O2380" t="inlineStr">
        <is>
          <t>16</t>
        </is>
      </c>
      <c r="P2380" t="inlineStr">
        <is>
          <t xml:space="preserve">35540   </t>
        </is>
      </c>
      <c r="Q2380" s="26" t="n">
        <v>79.90000000000001</v>
      </c>
      <c r="R2380" s="26">
        <f>Q2380*G2380</f>
        <v/>
      </c>
      <c r="S2380" t="n">
        <v>47.4</v>
      </c>
      <c r="T2380" s="18">
        <f>1 - V2380/S2380</f>
        <v/>
      </c>
      <c r="U2380" s="18" t="n">
        <v>0.2503128911138924</v>
      </c>
      <c r="V2380" s="26" t="n">
        <v>38.07203389830509</v>
      </c>
      <c r="W2380" s="26">
        <f>V2380 - L2380</f>
        <v/>
      </c>
    </row>
    <row r="2381">
      <c r="A2381" s="11" t="n">
        <v>46227</v>
      </c>
      <c r="B2381" s="1" t="n">
        <v>20028</v>
      </c>
      <c r="C2381" s="1" t="inlineStr">
        <is>
          <t>021</t>
        </is>
      </c>
      <c r="D2381" s="1" t="inlineStr">
        <is>
          <t>186536</t>
        </is>
      </c>
      <c r="E2381" s="1" t="inlineStr">
        <is>
          <t xml:space="preserve">28194770       </t>
        </is>
      </c>
      <c r="F2381" s="5" t="inlineStr">
        <is>
          <t>AUTOS DE METAL 3 TEAMSTERZ EN BLISTER</t>
        </is>
      </c>
      <c r="G2381" t="n">
        <v>1</v>
      </c>
      <c r="H2381" s="7" t="n">
        <v>6.9</v>
      </c>
      <c r="I2381" s="7" t="n">
        <v>0</v>
      </c>
      <c r="J2381" s="7" t="n">
        <v>0</v>
      </c>
      <c r="K2381" s="9" t="n">
        <v>0</v>
      </c>
      <c r="L2381" s="10" t="n">
        <v>4.1</v>
      </c>
      <c r="M2381" s="10" t="n">
        <v>1.43</v>
      </c>
      <c r="N2381" t="inlineStr">
        <is>
          <t>1</t>
        </is>
      </c>
      <c r="O2381" t="inlineStr">
        <is>
          <t>16</t>
        </is>
      </c>
      <c r="P2381" t="inlineStr">
        <is>
          <t xml:space="preserve">74495   </t>
        </is>
      </c>
      <c r="Q2381" s="26" t="n">
        <v>6.9</v>
      </c>
      <c r="R2381" s="26">
        <f>Q2381*G2381</f>
        <v/>
      </c>
      <c r="S2381" t="n">
        <v>4.09</v>
      </c>
      <c r="T2381" s="18">
        <f>1 - V2381/S2381</f>
        <v/>
      </c>
      <c r="U2381" s="18" t="n">
        <v>0</v>
      </c>
      <c r="V2381" s="26" t="n">
        <v>4.09</v>
      </c>
      <c r="W2381" s="26">
        <f>V2381 - L2381</f>
        <v/>
      </c>
    </row>
    <row r="2382">
      <c r="A2382" s="11" t="n">
        <v>46227</v>
      </c>
      <c r="B2382" s="1" t="n">
        <v>20028</v>
      </c>
      <c r="C2382" s="1" t="inlineStr">
        <is>
          <t>021</t>
        </is>
      </c>
      <c r="D2382" s="1" t="inlineStr">
        <is>
          <t>186536</t>
        </is>
      </c>
      <c r="E2382" s="1" t="inlineStr">
        <is>
          <t xml:space="preserve">28194770       </t>
        </is>
      </c>
      <c r="F2382" s="5" t="inlineStr">
        <is>
          <t>AUTOS DE METAL 3 TEAMSTERZ EN BLISTER</t>
        </is>
      </c>
      <c r="G2382" t="n">
        <v>1</v>
      </c>
      <c r="H2382" s="7" t="n">
        <v>6.9</v>
      </c>
      <c r="I2382" s="7" t="n">
        <v>0</v>
      </c>
      <c r="J2382" s="7" t="n">
        <v>0</v>
      </c>
      <c r="K2382" s="9" t="n">
        <v>0</v>
      </c>
      <c r="L2382" s="10" t="n">
        <v>4.1</v>
      </c>
      <c r="M2382" s="10" t="n">
        <v>1.43</v>
      </c>
      <c r="N2382" t="inlineStr">
        <is>
          <t>1</t>
        </is>
      </c>
      <c r="O2382" t="inlineStr">
        <is>
          <t>16</t>
        </is>
      </c>
      <c r="P2382" t="inlineStr">
        <is>
          <t xml:space="preserve">74495   </t>
        </is>
      </c>
      <c r="Q2382" s="26" t="n">
        <v>6.9</v>
      </c>
      <c r="R2382" s="26">
        <f>Q2382*G2382</f>
        <v/>
      </c>
      <c r="S2382" t="n">
        <v>4.09</v>
      </c>
      <c r="T2382" s="18">
        <f>1 - V2382/S2382</f>
        <v/>
      </c>
      <c r="U2382" s="18" t="n">
        <v>0</v>
      </c>
      <c r="V2382" s="26" t="n">
        <v>4.09</v>
      </c>
      <c r="W2382" s="26">
        <f>V2382 - L2382</f>
        <v/>
      </c>
    </row>
    <row r="2383">
      <c r="A2383" s="11" t="n">
        <v>46227</v>
      </c>
      <c r="B2383" s="1" t="n">
        <v>20028</v>
      </c>
      <c r="C2383" s="1" t="inlineStr">
        <is>
          <t>140</t>
        </is>
      </c>
      <c r="D2383" s="1" t="inlineStr">
        <is>
          <t>225512</t>
        </is>
      </c>
      <c r="E2383" s="1" t="inlineStr">
        <is>
          <t xml:space="preserve">28194770       </t>
        </is>
      </c>
      <c r="F2383" s="5" t="inlineStr">
        <is>
          <t>AUTOS DE METAL 3 TEAMSTERZ EN BLISTER</t>
        </is>
      </c>
      <c r="G2383" t="n">
        <v>1</v>
      </c>
      <c r="H2383" s="7" t="n">
        <v>6.9</v>
      </c>
      <c r="I2383" s="7" t="n">
        <v>0</v>
      </c>
      <c r="J2383" s="7" t="n">
        <v>0</v>
      </c>
      <c r="K2383" s="9" t="n">
        <v>0</v>
      </c>
      <c r="L2383" s="10" t="n">
        <v>4.1</v>
      </c>
      <c r="M2383" s="10" t="n">
        <v>1.43</v>
      </c>
      <c r="N2383" t="inlineStr">
        <is>
          <t>1</t>
        </is>
      </c>
      <c r="O2383" t="inlineStr">
        <is>
          <t>16</t>
        </is>
      </c>
      <c r="P2383" t="inlineStr">
        <is>
          <t xml:space="preserve">33914   </t>
        </is>
      </c>
      <c r="Q2383" s="26" t="n">
        <v>6.9</v>
      </c>
      <c r="R2383" s="26">
        <f>Q2383*G2383</f>
        <v/>
      </c>
      <c r="S2383" t="n">
        <v>4.09</v>
      </c>
      <c r="T2383" s="18">
        <f>1 - V2383/S2383</f>
        <v/>
      </c>
      <c r="U2383" s="18" t="n">
        <v>0</v>
      </c>
      <c r="V2383" s="26" t="n">
        <v>4.09</v>
      </c>
      <c r="W2383" s="26">
        <f>V2383 - L2383</f>
        <v/>
      </c>
    </row>
    <row r="2384">
      <c r="A2384" s="11" t="n">
        <v>46227</v>
      </c>
      <c r="B2384" s="1" t="n">
        <v>20028</v>
      </c>
      <c r="C2384" s="1" t="inlineStr">
        <is>
          <t>140</t>
        </is>
      </c>
      <c r="D2384" s="1" t="inlineStr">
        <is>
          <t>225512</t>
        </is>
      </c>
      <c r="E2384" s="1" t="inlineStr">
        <is>
          <t xml:space="preserve">28194770       </t>
        </is>
      </c>
      <c r="F2384" s="5" t="inlineStr">
        <is>
          <t>AUTOS DE METAL 3 TEAMSTERZ EN BLISTER</t>
        </is>
      </c>
      <c r="G2384" t="n">
        <v>1</v>
      </c>
      <c r="H2384" s="7" t="n">
        <v>6.9</v>
      </c>
      <c r="I2384" s="7" t="n">
        <v>0</v>
      </c>
      <c r="J2384" s="7" t="n">
        <v>0</v>
      </c>
      <c r="K2384" s="9" t="n">
        <v>0</v>
      </c>
      <c r="L2384" s="10" t="n">
        <v>4.1</v>
      </c>
      <c r="M2384" s="10" t="n">
        <v>1.43</v>
      </c>
      <c r="N2384" t="inlineStr">
        <is>
          <t>1</t>
        </is>
      </c>
      <c r="O2384" t="inlineStr">
        <is>
          <t>16</t>
        </is>
      </c>
      <c r="P2384" t="inlineStr">
        <is>
          <t xml:space="preserve">33914   </t>
        </is>
      </c>
      <c r="Q2384" s="26" t="n">
        <v>6.9</v>
      </c>
      <c r="R2384" s="26">
        <f>Q2384*G2384</f>
        <v/>
      </c>
      <c r="S2384" t="n">
        <v>4.09</v>
      </c>
      <c r="T2384" s="18">
        <f>1 - V2384/S2384</f>
        <v/>
      </c>
      <c r="U2384" s="18" t="n">
        <v>0</v>
      </c>
      <c r="V2384" s="26" t="n">
        <v>4.09</v>
      </c>
      <c r="W2384" s="26">
        <f>V2384 - L2384</f>
        <v/>
      </c>
    </row>
    <row r="2385">
      <c r="A2385" s="11" t="n">
        <v>46227</v>
      </c>
      <c r="B2385" s="1" t="n">
        <v>20028</v>
      </c>
      <c r="C2385" s="1" t="inlineStr">
        <is>
          <t>140</t>
        </is>
      </c>
      <c r="D2385" s="1" t="inlineStr">
        <is>
          <t>225512</t>
        </is>
      </c>
      <c r="E2385" s="1" t="inlineStr">
        <is>
          <t xml:space="preserve">28194770       </t>
        </is>
      </c>
      <c r="F2385" s="5" t="inlineStr">
        <is>
          <t>AUTOS DE METAL 3 TEAMSTERZ EN BLISTER</t>
        </is>
      </c>
      <c r="G2385" t="n">
        <v>1</v>
      </c>
      <c r="H2385" s="7" t="n">
        <v>6.9</v>
      </c>
      <c r="I2385" s="7" t="n">
        <v>0</v>
      </c>
      <c r="J2385" s="7" t="n">
        <v>0</v>
      </c>
      <c r="K2385" s="9" t="n">
        <v>0</v>
      </c>
      <c r="L2385" s="10" t="n">
        <v>4.1</v>
      </c>
      <c r="M2385" s="10" t="n">
        <v>1.43</v>
      </c>
      <c r="N2385" t="inlineStr">
        <is>
          <t>1</t>
        </is>
      </c>
      <c r="O2385" t="inlineStr">
        <is>
          <t>16</t>
        </is>
      </c>
      <c r="P2385" t="inlineStr">
        <is>
          <t xml:space="preserve">33914   </t>
        </is>
      </c>
      <c r="Q2385" s="26" t="n">
        <v>6.9</v>
      </c>
      <c r="R2385" s="26">
        <f>Q2385*G2385</f>
        <v/>
      </c>
      <c r="S2385" t="n">
        <v>4.09</v>
      </c>
      <c r="T2385" s="18">
        <f>1 - V2385/S2385</f>
        <v/>
      </c>
      <c r="U2385" s="18" t="n">
        <v>0</v>
      </c>
      <c r="V2385" s="26" t="n">
        <v>4.09</v>
      </c>
      <c r="W2385" s="26">
        <f>V2385 - L2385</f>
        <v/>
      </c>
    </row>
    <row r="2386">
      <c r="A2386" s="11" t="n">
        <v>46227</v>
      </c>
      <c r="B2386" s="1" t="n">
        <v>20028</v>
      </c>
      <c r="C2386" s="1" t="inlineStr">
        <is>
          <t>140</t>
        </is>
      </c>
      <c r="D2386" s="1" t="inlineStr">
        <is>
          <t>225512</t>
        </is>
      </c>
      <c r="E2386" s="1" t="inlineStr">
        <is>
          <t xml:space="preserve">30141766       </t>
        </is>
      </c>
      <c r="F2386" s="5" t="inlineStr">
        <is>
          <t>TMZ BEAST MACHINES AUTOS DE METAL BLISTER X 1</t>
        </is>
      </c>
      <c r="G2386" t="n">
        <v>1</v>
      </c>
      <c r="H2386" s="7" t="n">
        <v>7.9</v>
      </c>
      <c r="I2386" s="7" t="n">
        <v>0</v>
      </c>
      <c r="J2386" s="7" t="n">
        <v>0</v>
      </c>
      <c r="K2386" s="9" t="n">
        <v>0</v>
      </c>
      <c r="L2386" s="10" t="n">
        <v>4.68</v>
      </c>
      <c r="M2386" s="10" t="n">
        <v>1.43</v>
      </c>
      <c r="N2386" t="inlineStr">
        <is>
          <t>1</t>
        </is>
      </c>
      <c r="O2386" t="inlineStr">
        <is>
          <t>16</t>
        </is>
      </c>
      <c r="P2386" t="inlineStr">
        <is>
          <t xml:space="preserve">33914   </t>
        </is>
      </c>
      <c r="Q2386" s="26" t="n">
        <v>7.9</v>
      </c>
      <c r="R2386" s="26">
        <f>Q2386*G2386</f>
        <v/>
      </c>
      <c r="S2386" t="n">
        <v>4.69</v>
      </c>
      <c r="T2386" s="18">
        <f>1 - V2386/S2386</f>
        <v/>
      </c>
      <c r="U2386" s="18" t="n">
        <v>0</v>
      </c>
      <c r="V2386" s="26" t="n">
        <v>4.69</v>
      </c>
      <c r="W2386" s="26">
        <f>V2386 - L2386</f>
        <v/>
      </c>
    </row>
    <row r="2387">
      <c r="A2387" s="11" t="n">
        <v>46227</v>
      </c>
      <c r="B2387" s="1" t="n">
        <v>20030</v>
      </c>
      <c r="C2387" s="1" t="inlineStr">
        <is>
          <t>055</t>
        </is>
      </c>
      <c r="D2387" s="1" t="inlineStr">
        <is>
          <t>249473</t>
        </is>
      </c>
      <c r="E2387" s="1" t="inlineStr">
        <is>
          <t xml:space="preserve">34840556       </t>
        </is>
      </c>
      <c r="F2387" s="5" t="inlineStr">
        <is>
          <t>TMZ BEAST MACH. TRANSPORT DINO +ACCS</t>
        </is>
      </c>
      <c r="G2387" t="n">
        <v>1</v>
      </c>
      <c r="H2387" s="7" t="n">
        <v>59.9</v>
      </c>
      <c r="I2387" s="7" t="n">
        <v>0</v>
      </c>
      <c r="J2387" s="7" t="n">
        <v>0</v>
      </c>
      <c r="K2387" s="9" t="n">
        <v>0</v>
      </c>
      <c r="L2387" s="10" t="n">
        <v>35.53</v>
      </c>
      <c r="M2387" s="10" t="n">
        <v>1.43</v>
      </c>
      <c r="N2387" t="inlineStr">
        <is>
          <t>1</t>
        </is>
      </c>
      <c r="O2387" t="inlineStr">
        <is>
          <t xml:space="preserve">2 </t>
        </is>
      </c>
      <c r="P2387" t="inlineStr">
        <is>
          <t xml:space="preserve">23370   </t>
        </is>
      </c>
      <c r="Q2387" s="26" t="n">
        <v>79.90000000000002</v>
      </c>
      <c r="R2387" s="26">
        <f>Q2387*G2387</f>
        <v/>
      </c>
      <c r="S2387" t="n">
        <v>47.4</v>
      </c>
      <c r="T2387" s="18">
        <f>1 - V2387/S2387</f>
        <v/>
      </c>
      <c r="U2387" s="18" t="n">
        <v>0.2503128911138924</v>
      </c>
      <c r="V2387" s="26" t="n">
        <v>38.07203389830509</v>
      </c>
      <c r="W2387" s="26">
        <f>V2387 - L2387</f>
        <v/>
      </c>
    </row>
    <row r="2388">
      <c r="A2388" s="11" t="n">
        <v>46227</v>
      </c>
      <c r="B2388" s="1" t="n">
        <v>20030</v>
      </c>
      <c r="C2388" s="1" t="inlineStr">
        <is>
          <t>067</t>
        </is>
      </c>
      <c r="D2388" s="1" t="inlineStr">
        <is>
          <t>274942</t>
        </is>
      </c>
      <c r="E2388" s="1" t="inlineStr">
        <is>
          <t xml:space="preserve">31959961       </t>
        </is>
      </c>
      <c r="F2388" s="5" t="inlineStr">
        <is>
          <t>TEAMSTERZ CAMBIA DE COLOR PACK DE 3 AUTOS</t>
        </is>
      </c>
      <c r="G2388" t="n">
        <v>1</v>
      </c>
      <c r="H2388" s="7" t="n">
        <v>49.9</v>
      </c>
      <c r="I2388" s="7" t="n">
        <v>0</v>
      </c>
      <c r="J2388" s="7" t="n">
        <v>0</v>
      </c>
      <c r="K2388" s="9" t="n">
        <v>0</v>
      </c>
      <c r="L2388" s="10" t="n">
        <v>29.6</v>
      </c>
      <c r="M2388" s="10" t="n">
        <v>1.43</v>
      </c>
      <c r="N2388" t="inlineStr">
        <is>
          <t>1</t>
        </is>
      </c>
      <c r="O2388" t="inlineStr">
        <is>
          <t>16</t>
        </is>
      </c>
      <c r="P2388" t="inlineStr">
        <is>
          <t xml:space="preserve">22672   </t>
        </is>
      </c>
      <c r="Q2388" s="26" t="n">
        <v>49.9</v>
      </c>
      <c r="R2388" s="26">
        <f>Q2388*G2388</f>
        <v/>
      </c>
      <c r="S2388" t="n">
        <v>29.6</v>
      </c>
      <c r="T2388" s="18">
        <f>1 - V2388/S2388</f>
        <v/>
      </c>
      <c r="U2388" s="18" t="n">
        <v>0</v>
      </c>
      <c r="V2388" s="26" t="n">
        <v>29.6</v>
      </c>
      <c r="W2388" s="26">
        <f>V2388 - L2388</f>
        <v/>
      </c>
    </row>
    <row r="2389">
      <c r="A2389" s="11" t="n">
        <v>46227</v>
      </c>
      <c r="B2389" s="1" t="n">
        <v>20040</v>
      </c>
      <c r="C2389" s="1" t="inlineStr">
        <is>
          <t>083</t>
        </is>
      </c>
      <c r="D2389" s="1" t="inlineStr">
        <is>
          <t>160651</t>
        </is>
      </c>
      <c r="E2389" s="1" t="inlineStr">
        <is>
          <t xml:space="preserve">30232284       </t>
        </is>
      </c>
      <c r="F2389" s="5" t="inlineStr">
        <is>
          <t>INFINITY NADO TROMPO DE BATALLA - METAL C/PUNTA DE</t>
        </is>
      </c>
      <c r="G2389" t="n">
        <v>1</v>
      </c>
      <c r="H2389" s="7" t="n">
        <v>34.9</v>
      </c>
      <c r="I2389" s="7" t="n">
        <v>3.49</v>
      </c>
      <c r="J2389" s="7" t="n">
        <v>0</v>
      </c>
      <c r="K2389" s="9" t="n">
        <v>3.49</v>
      </c>
      <c r="L2389" s="10" t="n">
        <v>18.63</v>
      </c>
      <c r="M2389" s="10" t="n">
        <v>1.43</v>
      </c>
      <c r="N2389" t="inlineStr">
        <is>
          <t>1</t>
        </is>
      </c>
      <c r="O2389" t="inlineStr">
        <is>
          <t xml:space="preserve">3 </t>
        </is>
      </c>
      <c r="P2389" t="inlineStr">
        <is>
          <t xml:space="preserve">248914  </t>
        </is>
      </c>
      <c r="Q2389" s="26" t="n">
        <v>49.9</v>
      </c>
      <c r="R2389" s="26">
        <f>Q2389*G2389</f>
        <v/>
      </c>
      <c r="S2389" t="n">
        <v>29.6</v>
      </c>
      <c r="T2389" s="18">
        <f>1 - V2389/S2389</f>
        <v/>
      </c>
      <c r="U2389" s="18" t="n">
        <v>0.3006012024048096</v>
      </c>
      <c r="V2389" s="26" t="n">
        <v>22.18220338983051</v>
      </c>
      <c r="W2389" s="26">
        <f>V2389 - L2389</f>
        <v/>
      </c>
    </row>
    <row r="2390">
      <c r="A2390" s="11" t="n">
        <v>46227</v>
      </c>
      <c r="B2390" s="1" t="n">
        <v>20040</v>
      </c>
      <c r="C2390" s="1" t="inlineStr">
        <is>
          <t>526</t>
        </is>
      </c>
      <c r="D2390" s="1" t="inlineStr">
        <is>
          <t xml:space="preserve">9068  </t>
        </is>
      </c>
      <c r="E2390" s="1" t="inlineStr">
        <is>
          <t xml:space="preserve">31675353       </t>
        </is>
      </c>
      <c r="F2390" s="5" t="inlineStr">
        <is>
          <t>NENUCO CON BIBERON Y SONAJERO</t>
        </is>
      </c>
      <c r="G2390" t="n">
        <v>1</v>
      </c>
      <c r="H2390" s="7" t="n">
        <v>59.9</v>
      </c>
      <c r="I2390" s="7" t="n">
        <v>5.99</v>
      </c>
      <c r="J2390" s="7" t="n">
        <v>0</v>
      </c>
      <c r="K2390" s="9" t="n">
        <v>5.99</v>
      </c>
      <c r="L2390" s="10" t="n">
        <v>31.98</v>
      </c>
      <c r="M2390" s="10" t="n">
        <v>1.43</v>
      </c>
      <c r="N2390" t="inlineStr">
        <is>
          <t>1</t>
        </is>
      </c>
      <c r="O2390" t="inlineStr">
        <is>
          <t>16</t>
        </is>
      </c>
      <c r="P2390" t="inlineStr">
        <is>
          <t xml:space="preserve">86916   </t>
        </is>
      </c>
      <c r="Q2390" s="26" t="n">
        <v>79.90000000000001</v>
      </c>
      <c r="R2390" s="26">
        <f>Q2390*G2390</f>
        <v/>
      </c>
      <c r="S2390" t="n">
        <v>47.4</v>
      </c>
      <c r="T2390" s="18">
        <f>1 - V2390/S2390</f>
        <v/>
      </c>
      <c r="U2390" s="18" t="n">
        <v>0.2503128911138924</v>
      </c>
      <c r="V2390" s="26" t="n">
        <v>38.07203389830509</v>
      </c>
      <c r="W2390" s="26">
        <f>V2390 - L2390</f>
        <v/>
      </c>
    </row>
    <row r="2391">
      <c r="A2391" s="11" t="n">
        <v>46227</v>
      </c>
      <c r="B2391" s="1" t="n">
        <v>20040</v>
      </c>
      <c r="C2391" s="1" t="inlineStr">
        <is>
          <t>800</t>
        </is>
      </c>
      <c r="D2391" s="1" t="inlineStr">
        <is>
          <t xml:space="preserve">4029  </t>
        </is>
      </c>
      <c r="E2391" s="1" t="inlineStr">
        <is>
          <t xml:space="preserve">32457099       </t>
        </is>
      </c>
      <c r="F2391" s="5" t="inlineStr">
        <is>
          <t>TMZ BEAST MACHINES MONSTER JAWS A FRICCION BLISTER</t>
        </is>
      </c>
      <c r="G2391" t="n">
        <v>1</v>
      </c>
      <c r="H2391" s="7" t="n">
        <v>17.9</v>
      </c>
      <c r="I2391" s="7" t="n">
        <v>1.79</v>
      </c>
      <c r="J2391" s="7" t="n">
        <v>0</v>
      </c>
      <c r="K2391" s="9" t="n">
        <v>1.79</v>
      </c>
      <c r="L2391" s="10" t="n">
        <v>9.56</v>
      </c>
      <c r="M2391" s="10" t="n">
        <v>1.43</v>
      </c>
      <c r="N2391" t="inlineStr">
        <is>
          <t>1</t>
        </is>
      </c>
      <c r="O2391" t="inlineStr">
        <is>
          <t>16</t>
        </is>
      </c>
      <c r="P2391" t="inlineStr">
        <is>
          <t xml:space="preserve">0       </t>
        </is>
      </c>
      <c r="Q2391" s="26" t="n">
        <v>19.9</v>
      </c>
      <c r="R2391" s="26">
        <f>Q2391*G2391</f>
        <v/>
      </c>
      <c r="S2391" t="n">
        <v>11.81</v>
      </c>
      <c r="T2391" s="18">
        <f>1 - V2391/S2391</f>
        <v/>
      </c>
      <c r="U2391" s="18" t="n">
        <v>0.1005025125628141</v>
      </c>
      <c r="V2391" s="26" t="n">
        <v>8.417118644067797</v>
      </c>
      <c r="W2391" s="26">
        <f>V2391 - L2391</f>
        <v/>
      </c>
    </row>
    <row r="2392">
      <c r="A2392" s="11" t="n">
        <v>46227</v>
      </c>
      <c r="B2392" s="1" t="n">
        <v>20041</v>
      </c>
      <c r="C2392" s="1" t="inlineStr">
        <is>
          <t>013</t>
        </is>
      </c>
      <c r="D2392" s="1" t="inlineStr">
        <is>
          <t>459958</t>
        </is>
      </c>
      <c r="E2392" s="1" t="inlineStr">
        <is>
          <t xml:space="preserve">28194770       </t>
        </is>
      </c>
      <c r="F2392" s="5" t="inlineStr">
        <is>
          <t>AUTOS DE METAL 3 TEAMSTERZ EN BLISTER</t>
        </is>
      </c>
      <c r="G2392" t="n">
        <v>1</v>
      </c>
      <c r="H2392" s="7" t="n">
        <v>6.9</v>
      </c>
      <c r="I2392" s="7" t="n">
        <v>0</v>
      </c>
      <c r="J2392" s="7" t="n">
        <v>0</v>
      </c>
      <c r="K2392" s="9" t="n">
        <v>0</v>
      </c>
      <c r="L2392" s="10" t="n">
        <v>4.1</v>
      </c>
      <c r="M2392" s="10" t="n">
        <v>1.43</v>
      </c>
      <c r="N2392" t="inlineStr">
        <is>
          <t>1</t>
        </is>
      </c>
      <c r="O2392" t="inlineStr">
        <is>
          <t xml:space="preserve">2 </t>
        </is>
      </c>
      <c r="P2392" t="inlineStr">
        <is>
          <t xml:space="preserve">36767   </t>
        </is>
      </c>
      <c r="Q2392" s="26" t="n">
        <v>6.9</v>
      </c>
      <c r="R2392" s="26">
        <f>Q2392*G2392</f>
        <v/>
      </c>
      <c r="S2392" t="n">
        <v>4.09</v>
      </c>
      <c r="T2392" s="18">
        <f>1 - V2392/S2392</f>
        <v/>
      </c>
      <c r="U2392" s="18" t="n">
        <v>0</v>
      </c>
      <c r="V2392" s="26" t="n">
        <v>4.09</v>
      </c>
      <c r="W2392" s="26">
        <f>V2392 - L2392</f>
        <v/>
      </c>
    </row>
    <row r="2393">
      <c r="A2393" s="11" t="n">
        <v>46227</v>
      </c>
      <c r="B2393" s="1" t="n">
        <v>20041</v>
      </c>
      <c r="C2393" s="1" t="inlineStr">
        <is>
          <t>031</t>
        </is>
      </c>
      <c r="D2393" s="1" t="inlineStr">
        <is>
          <t>166577</t>
        </is>
      </c>
      <c r="E2393" s="1" t="inlineStr">
        <is>
          <t xml:space="preserve">29854051       </t>
        </is>
      </c>
      <c r="F2393" s="5" t="inlineStr">
        <is>
          <t>TEAMSTERZ AUTO DE METAL PACK 10 AUTOS</t>
        </is>
      </c>
      <c r="G2393" t="n">
        <v>1</v>
      </c>
      <c r="H2393" s="7" t="n">
        <v>69</v>
      </c>
      <c r="I2393" s="7" t="n">
        <v>0</v>
      </c>
      <c r="J2393" s="7" t="n">
        <v>0</v>
      </c>
      <c r="K2393" s="9" t="n">
        <v>0</v>
      </c>
      <c r="L2393" s="10" t="n">
        <v>40.93</v>
      </c>
      <c r="M2393" s="10" t="n">
        <v>1.43</v>
      </c>
      <c r="N2393" t="inlineStr">
        <is>
          <t>1</t>
        </is>
      </c>
      <c r="O2393" t="inlineStr">
        <is>
          <t>16</t>
        </is>
      </c>
      <c r="P2393" t="inlineStr">
        <is>
          <t xml:space="preserve">57146   </t>
        </is>
      </c>
      <c r="Q2393" s="26" t="n">
        <v>69</v>
      </c>
      <c r="R2393" s="26">
        <f>Q2393*G2393</f>
        <v/>
      </c>
      <c r="S2393" t="n">
        <v>40.93</v>
      </c>
      <c r="T2393" s="18">
        <f>1 - V2393/S2393</f>
        <v/>
      </c>
      <c r="U2393" s="18" t="n">
        <v>0</v>
      </c>
      <c r="V2393" s="26" t="n">
        <v>40.93</v>
      </c>
      <c r="W2393" s="26">
        <f>V2393 - L2393</f>
        <v/>
      </c>
    </row>
    <row r="2394">
      <c r="A2394" s="11" t="n">
        <v>46227</v>
      </c>
      <c r="B2394" s="1" t="n">
        <v>20041</v>
      </c>
      <c r="C2394" s="1" t="inlineStr">
        <is>
          <t>031</t>
        </is>
      </c>
      <c r="D2394" s="1" t="inlineStr">
        <is>
          <t>166629</t>
        </is>
      </c>
      <c r="E2394" s="1" t="inlineStr">
        <is>
          <t xml:space="preserve">28194770       </t>
        </is>
      </c>
      <c r="F2394" s="5" t="inlineStr">
        <is>
          <t>AUTOS DE METAL 3 TEAMSTERZ EN BLISTER</t>
        </is>
      </c>
      <c r="G2394" t="n">
        <v>1</v>
      </c>
      <c r="H2394" s="7" t="n">
        <v>6.9</v>
      </c>
      <c r="I2394" s="7" t="n">
        <v>0</v>
      </c>
      <c r="J2394" s="7" t="n">
        <v>0</v>
      </c>
      <c r="K2394" s="9" t="n">
        <v>0</v>
      </c>
      <c r="L2394" s="10" t="n">
        <v>4.1</v>
      </c>
      <c r="M2394" s="10" t="n">
        <v>1.43</v>
      </c>
      <c r="N2394" t="inlineStr">
        <is>
          <t>1</t>
        </is>
      </c>
      <c r="O2394" t="inlineStr">
        <is>
          <t xml:space="preserve">2 </t>
        </is>
      </c>
      <c r="P2394" t="inlineStr">
        <is>
          <t xml:space="preserve">57146   </t>
        </is>
      </c>
      <c r="Q2394" s="26" t="n">
        <v>6.9</v>
      </c>
      <c r="R2394" s="26">
        <f>Q2394*G2394</f>
        <v/>
      </c>
      <c r="S2394" t="n">
        <v>4.09</v>
      </c>
      <c r="T2394" s="18">
        <f>1 - V2394/S2394</f>
        <v/>
      </c>
      <c r="U2394" s="18" t="n">
        <v>0</v>
      </c>
      <c r="V2394" s="26" t="n">
        <v>4.09</v>
      </c>
      <c r="W2394" s="26">
        <f>V2394 - L2394</f>
        <v/>
      </c>
    </row>
    <row r="2395">
      <c r="A2395" s="11" t="n">
        <v>46227</v>
      </c>
      <c r="B2395" s="1" t="n">
        <v>20041</v>
      </c>
      <c r="C2395" s="1" t="inlineStr">
        <is>
          <t>037</t>
        </is>
      </c>
      <c r="D2395" s="1" t="inlineStr">
        <is>
          <t>190211</t>
        </is>
      </c>
      <c r="E2395" s="1" t="inlineStr">
        <is>
          <t xml:space="preserve">28194770       </t>
        </is>
      </c>
      <c r="F2395" s="5" t="inlineStr">
        <is>
          <t>AUTOS DE METAL 3 TEAMSTERZ EN BLISTER</t>
        </is>
      </c>
      <c r="G2395" t="n">
        <v>1</v>
      </c>
      <c r="H2395" s="7" t="n">
        <v>6.9</v>
      </c>
      <c r="I2395" s="7" t="n">
        <v>0.6899999999999999</v>
      </c>
      <c r="J2395" s="7" t="n">
        <v>0</v>
      </c>
      <c r="K2395" s="9" t="n">
        <v>0.6899999999999999</v>
      </c>
      <c r="L2395" s="10" t="n">
        <v>3.68</v>
      </c>
      <c r="M2395" s="10" t="n">
        <v>1.43</v>
      </c>
      <c r="N2395" t="inlineStr">
        <is>
          <t>1</t>
        </is>
      </c>
      <c r="O2395" t="inlineStr">
        <is>
          <t xml:space="preserve">3 </t>
        </is>
      </c>
      <c r="P2395" t="inlineStr">
        <is>
          <t xml:space="preserve">243698  </t>
        </is>
      </c>
      <c r="Q2395" s="26" t="n">
        <v>6.9</v>
      </c>
      <c r="R2395" s="26">
        <f>Q2395*G2395</f>
        <v/>
      </c>
      <c r="S2395" t="n">
        <v>4.09</v>
      </c>
      <c r="T2395" s="18">
        <f>1 - V2395/S2395</f>
        <v/>
      </c>
      <c r="U2395" s="18" t="n">
        <v>0</v>
      </c>
      <c r="V2395" s="26" t="n">
        <v>4.09</v>
      </c>
      <c r="W2395" s="26">
        <f>V2395 - L2395</f>
        <v/>
      </c>
    </row>
    <row r="2396">
      <c r="A2396" s="11" t="n">
        <v>46227</v>
      </c>
      <c r="B2396" s="1" t="n">
        <v>20041</v>
      </c>
      <c r="C2396" s="1" t="inlineStr">
        <is>
          <t>037</t>
        </is>
      </c>
      <c r="D2396" s="1" t="inlineStr">
        <is>
          <t>190211</t>
        </is>
      </c>
      <c r="E2396" s="1" t="inlineStr">
        <is>
          <t xml:space="preserve">28194770       </t>
        </is>
      </c>
      <c r="F2396" s="5" t="inlineStr">
        <is>
          <t>AUTOS DE METAL 3 TEAMSTERZ EN BLISTER</t>
        </is>
      </c>
      <c r="G2396" t="n">
        <v>1</v>
      </c>
      <c r="H2396" s="7" t="n">
        <v>6.9</v>
      </c>
      <c r="I2396" s="7" t="n">
        <v>0.6899999999999999</v>
      </c>
      <c r="J2396" s="7" t="n">
        <v>0</v>
      </c>
      <c r="K2396" s="9" t="n">
        <v>0.6899999999999999</v>
      </c>
      <c r="L2396" s="10" t="n">
        <v>3.68</v>
      </c>
      <c r="M2396" s="10" t="n">
        <v>1.43</v>
      </c>
      <c r="N2396" t="inlineStr">
        <is>
          <t>1</t>
        </is>
      </c>
      <c r="O2396" t="inlineStr">
        <is>
          <t xml:space="preserve">3 </t>
        </is>
      </c>
      <c r="P2396" t="inlineStr">
        <is>
          <t xml:space="preserve">243698  </t>
        </is>
      </c>
      <c r="Q2396" s="26" t="n">
        <v>6.9</v>
      </c>
      <c r="R2396" s="26">
        <f>Q2396*G2396</f>
        <v/>
      </c>
      <c r="S2396" t="n">
        <v>4.09</v>
      </c>
      <c r="T2396" s="18">
        <f>1 - V2396/S2396</f>
        <v/>
      </c>
      <c r="U2396" s="18" t="n">
        <v>0</v>
      </c>
      <c r="V2396" s="26" t="n">
        <v>4.09</v>
      </c>
      <c r="W2396" s="26">
        <f>V2396 - L2396</f>
        <v/>
      </c>
    </row>
    <row r="2397">
      <c r="A2397" s="11" t="n">
        <v>46227</v>
      </c>
      <c r="B2397" s="1" t="n">
        <v>20041</v>
      </c>
      <c r="C2397" s="1" t="inlineStr">
        <is>
          <t>525</t>
        </is>
      </c>
      <c r="D2397" s="1" t="inlineStr">
        <is>
          <t xml:space="preserve">1415  </t>
        </is>
      </c>
      <c r="E2397" s="1" t="inlineStr">
        <is>
          <t xml:space="preserve">28194770       </t>
        </is>
      </c>
      <c r="F2397" s="5" t="inlineStr">
        <is>
          <t>AUTOS DE METAL 3 TEAMSTERZ EN BLISTER</t>
        </is>
      </c>
      <c r="G2397" t="n">
        <v>1</v>
      </c>
      <c r="H2397" s="7" t="n">
        <v>6.9</v>
      </c>
      <c r="I2397" s="7" t="n">
        <v>0</v>
      </c>
      <c r="J2397" s="7" t="n">
        <v>0</v>
      </c>
      <c r="K2397" s="9" t="n">
        <v>0</v>
      </c>
      <c r="L2397" s="10" t="n">
        <v>4.1</v>
      </c>
      <c r="M2397" s="10" t="n">
        <v>1.43</v>
      </c>
      <c r="N2397" t="inlineStr">
        <is>
          <t>1</t>
        </is>
      </c>
      <c r="O2397" t="inlineStr">
        <is>
          <t>16</t>
        </is>
      </c>
      <c r="P2397" t="inlineStr">
        <is>
          <t xml:space="preserve">250418  </t>
        </is>
      </c>
      <c r="Q2397" s="26" t="n">
        <v>6.9</v>
      </c>
      <c r="R2397" s="26">
        <f>Q2397*G2397</f>
        <v/>
      </c>
      <c r="S2397" t="n">
        <v>4.09</v>
      </c>
      <c r="T2397" s="18">
        <f>1 - V2397/S2397</f>
        <v/>
      </c>
      <c r="U2397" s="18" t="n">
        <v>0</v>
      </c>
      <c r="V2397" s="26" t="n">
        <v>4.09</v>
      </c>
      <c r="W2397" s="26">
        <f>V2397 - L2397</f>
        <v/>
      </c>
    </row>
    <row r="2398">
      <c r="A2398" s="11" t="n">
        <v>46227</v>
      </c>
      <c r="B2398" s="1" t="n">
        <v>20043</v>
      </c>
      <c r="C2398" s="1" t="inlineStr">
        <is>
          <t>029</t>
        </is>
      </c>
      <c r="D2398" s="1" t="inlineStr">
        <is>
          <t>169910</t>
        </is>
      </c>
      <c r="E2398" s="1" t="inlineStr">
        <is>
          <t xml:space="preserve">28194770       </t>
        </is>
      </c>
      <c r="F2398" s="5" t="inlineStr">
        <is>
          <t>AUTOS DE METAL 3 TEAMSTERZ EN BLISTER</t>
        </is>
      </c>
      <c r="G2398" t="n">
        <v>1</v>
      </c>
      <c r="H2398" s="7" t="n">
        <v>6.9</v>
      </c>
      <c r="I2398" s="7" t="n">
        <v>0</v>
      </c>
      <c r="J2398" s="7" t="n">
        <v>0</v>
      </c>
      <c r="K2398" s="9" t="n">
        <v>0</v>
      </c>
      <c r="L2398" s="10" t="n">
        <v>4.1</v>
      </c>
      <c r="M2398" s="10" t="n">
        <v>1.43</v>
      </c>
      <c r="N2398" t="inlineStr">
        <is>
          <t>1</t>
        </is>
      </c>
      <c r="O2398" t="inlineStr">
        <is>
          <t>16</t>
        </is>
      </c>
      <c r="P2398" t="inlineStr">
        <is>
          <t xml:space="preserve">244278  </t>
        </is>
      </c>
      <c r="Q2398" s="26" t="n">
        <v>6.9</v>
      </c>
      <c r="R2398" s="26">
        <f>Q2398*G2398</f>
        <v/>
      </c>
      <c r="S2398" t="n">
        <v>4.09</v>
      </c>
      <c r="T2398" s="18">
        <f>1 - V2398/S2398</f>
        <v/>
      </c>
      <c r="U2398" s="18" t="n">
        <v>0</v>
      </c>
      <c r="V2398" s="26" t="n">
        <v>4.09</v>
      </c>
      <c r="W2398" s="26">
        <f>V2398 - L2398</f>
        <v/>
      </c>
    </row>
    <row r="2399">
      <c r="A2399" s="11" t="n">
        <v>46227</v>
      </c>
      <c r="B2399" s="1" t="n">
        <v>20043</v>
      </c>
      <c r="C2399" s="1" t="inlineStr">
        <is>
          <t>029</t>
        </is>
      </c>
      <c r="D2399" s="1" t="inlineStr">
        <is>
          <t>169910</t>
        </is>
      </c>
      <c r="E2399" s="1" t="inlineStr">
        <is>
          <t xml:space="preserve">28194770       </t>
        </is>
      </c>
      <c r="F2399" s="5" t="inlineStr">
        <is>
          <t>AUTOS DE METAL 3 TEAMSTERZ EN BLISTER</t>
        </is>
      </c>
      <c r="G2399" t="n">
        <v>1</v>
      </c>
      <c r="H2399" s="7" t="n">
        <v>6.9</v>
      </c>
      <c r="I2399" s="7" t="n">
        <v>0</v>
      </c>
      <c r="J2399" s="7" t="n">
        <v>0</v>
      </c>
      <c r="K2399" s="9" t="n">
        <v>0</v>
      </c>
      <c r="L2399" s="10" t="n">
        <v>4.1</v>
      </c>
      <c r="M2399" s="10" t="n">
        <v>1.43</v>
      </c>
      <c r="N2399" t="inlineStr">
        <is>
          <t>1</t>
        </is>
      </c>
      <c r="O2399" t="inlineStr">
        <is>
          <t>16</t>
        </is>
      </c>
      <c r="P2399" t="inlineStr">
        <is>
          <t xml:space="preserve">244278  </t>
        </is>
      </c>
      <c r="Q2399" s="26" t="n">
        <v>6.9</v>
      </c>
      <c r="R2399" s="26">
        <f>Q2399*G2399</f>
        <v/>
      </c>
      <c r="S2399" t="n">
        <v>4.09</v>
      </c>
      <c r="T2399" s="18">
        <f>1 - V2399/S2399</f>
        <v/>
      </c>
      <c r="U2399" s="18" t="n">
        <v>0</v>
      </c>
      <c r="V2399" s="26" t="n">
        <v>4.09</v>
      </c>
      <c r="W2399" s="26">
        <f>V2399 - L2399</f>
        <v/>
      </c>
    </row>
    <row r="2400">
      <c r="A2400" s="11" t="n">
        <v>46227</v>
      </c>
      <c r="B2400" s="1" t="n">
        <v>20043</v>
      </c>
      <c r="C2400" s="1" t="inlineStr">
        <is>
          <t>029</t>
        </is>
      </c>
      <c r="D2400" s="1" t="inlineStr">
        <is>
          <t>169910</t>
        </is>
      </c>
      <c r="E2400" s="1" t="inlineStr">
        <is>
          <t xml:space="preserve">28194770       </t>
        </is>
      </c>
      <c r="F2400" s="5" t="inlineStr">
        <is>
          <t>AUTOS DE METAL 3 TEAMSTERZ EN BLISTER</t>
        </is>
      </c>
      <c r="G2400" t="n">
        <v>1</v>
      </c>
      <c r="H2400" s="7" t="n">
        <v>6.9</v>
      </c>
      <c r="I2400" s="7" t="n">
        <v>0</v>
      </c>
      <c r="J2400" s="7" t="n">
        <v>0</v>
      </c>
      <c r="K2400" s="9" t="n">
        <v>0</v>
      </c>
      <c r="L2400" s="10" t="n">
        <v>4.1</v>
      </c>
      <c r="M2400" s="10" t="n">
        <v>1.43</v>
      </c>
      <c r="N2400" t="inlineStr">
        <is>
          <t>1</t>
        </is>
      </c>
      <c r="O2400" t="inlineStr">
        <is>
          <t>16</t>
        </is>
      </c>
      <c r="P2400" t="inlineStr">
        <is>
          <t xml:space="preserve">244278  </t>
        </is>
      </c>
      <c r="Q2400" s="26" t="n">
        <v>6.9</v>
      </c>
      <c r="R2400" s="26">
        <f>Q2400*G2400</f>
        <v/>
      </c>
      <c r="S2400" t="n">
        <v>4.09</v>
      </c>
      <c r="T2400" s="18">
        <f>1 - V2400/S2400</f>
        <v/>
      </c>
      <c r="U2400" s="18" t="n">
        <v>0</v>
      </c>
      <c r="V2400" s="26" t="n">
        <v>4.09</v>
      </c>
      <c r="W2400" s="26">
        <f>V2400 - L2400</f>
        <v/>
      </c>
    </row>
    <row r="2401">
      <c r="A2401" s="11" t="n">
        <v>46227</v>
      </c>
      <c r="B2401" s="1" t="n">
        <v>20043</v>
      </c>
      <c r="C2401" s="1" t="inlineStr">
        <is>
          <t>051</t>
        </is>
      </c>
      <c r="D2401" s="1" t="inlineStr">
        <is>
          <t>105679</t>
        </is>
      </c>
      <c r="E2401" s="1" t="inlineStr">
        <is>
          <t xml:space="preserve">28194770       </t>
        </is>
      </c>
      <c r="F2401" s="5" t="inlineStr">
        <is>
          <t>AUTOS DE METAL 3 TEAMSTERZ EN BLISTER</t>
        </is>
      </c>
      <c r="G2401" t="n">
        <v>1</v>
      </c>
      <c r="H2401" s="7" t="n">
        <v>6.9</v>
      </c>
      <c r="I2401" s="7" t="n">
        <v>0</v>
      </c>
      <c r="J2401" s="7" t="n">
        <v>0</v>
      </c>
      <c r="K2401" s="9" t="n">
        <v>0</v>
      </c>
      <c r="L2401" s="10" t="n">
        <v>4.1</v>
      </c>
      <c r="M2401" s="10" t="n">
        <v>1.43</v>
      </c>
      <c r="N2401" t="inlineStr">
        <is>
          <t>1</t>
        </is>
      </c>
      <c r="O2401" t="inlineStr">
        <is>
          <t>16</t>
        </is>
      </c>
      <c r="P2401" t="inlineStr">
        <is>
          <t xml:space="preserve">47299   </t>
        </is>
      </c>
      <c r="Q2401" s="26" t="n">
        <v>6.9</v>
      </c>
      <c r="R2401" s="26">
        <f>Q2401*G2401</f>
        <v/>
      </c>
      <c r="S2401" t="n">
        <v>4.09</v>
      </c>
      <c r="T2401" s="18">
        <f>1 - V2401/S2401</f>
        <v/>
      </c>
      <c r="U2401" s="18" t="n">
        <v>0</v>
      </c>
      <c r="V2401" s="26" t="n">
        <v>4.09</v>
      </c>
      <c r="W2401" s="26">
        <f>V2401 - L2401</f>
        <v/>
      </c>
    </row>
    <row r="2402">
      <c r="A2402" s="11" t="n">
        <v>46227</v>
      </c>
      <c r="B2402" s="1" t="n">
        <v>20043</v>
      </c>
      <c r="C2402" s="1" t="inlineStr">
        <is>
          <t>061</t>
        </is>
      </c>
      <c r="D2402" s="1" t="inlineStr">
        <is>
          <t>155589</t>
        </is>
      </c>
      <c r="E2402" s="1" t="inlineStr">
        <is>
          <t xml:space="preserve">28194770       </t>
        </is>
      </c>
      <c r="F2402" s="5" t="inlineStr">
        <is>
          <t>AUTOS DE METAL 3 TEAMSTERZ EN BLISTER</t>
        </is>
      </c>
      <c r="G2402" t="n">
        <v>1</v>
      </c>
      <c r="H2402" s="7" t="n">
        <v>6.9</v>
      </c>
      <c r="I2402" s="7" t="n">
        <v>0</v>
      </c>
      <c r="J2402" s="7" t="n">
        <v>0</v>
      </c>
      <c r="K2402" s="9" t="n">
        <v>0</v>
      </c>
      <c r="L2402" s="10" t="n">
        <v>4.1</v>
      </c>
      <c r="M2402" s="10" t="n">
        <v>1.43</v>
      </c>
      <c r="N2402" t="inlineStr">
        <is>
          <t>1</t>
        </is>
      </c>
      <c r="O2402" t="inlineStr">
        <is>
          <t xml:space="preserve">2 </t>
        </is>
      </c>
      <c r="P2402" t="inlineStr">
        <is>
          <t xml:space="preserve">30705   </t>
        </is>
      </c>
      <c r="Q2402" s="26" t="n">
        <v>6.9</v>
      </c>
      <c r="R2402" s="26">
        <f>Q2402*G2402</f>
        <v/>
      </c>
      <c r="S2402" t="n">
        <v>4.09</v>
      </c>
      <c r="T2402" s="18">
        <f>1 - V2402/S2402</f>
        <v/>
      </c>
      <c r="U2402" s="18" t="n">
        <v>0</v>
      </c>
      <c r="V2402" s="26" t="n">
        <v>4.09</v>
      </c>
      <c r="W2402" s="26">
        <f>V2402 - L2402</f>
        <v/>
      </c>
    </row>
    <row r="2403">
      <c r="A2403" s="11" t="n">
        <v>46227</v>
      </c>
      <c r="B2403" s="1" t="n">
        <v>20043</v>
      </c>
      <c r="C2403" s="1" t="inlineStr">
        <is>
          <t>063</t>
        </is>
      </c>
      <c r="D2403" s="1" t="inlineStr">
        <is>
          <t>157726</t>
        </is>
      </c>
      <c r="E2403" s="1" t="inlineStr">
        <is>
          <t xml:space="preserve">28194781       </t>
        </is>
      </c>
      <c r="F2403" s="5" t="inlineStr">
        <is>
          <t>TROMPO BATALLA INFINITY NADO SERIE V CLASICA SURTI</t>
        </is>
      </c>
      <c r="G2403" t="n">
        <v>1</v>
      </c>
      <c r="H2403" s="7" t="n">
        <v>39.9</v>
      </c>
      <c r="I2403" s="7" t="n">
        <v>0</v>
      </c>
      <c r="J2403" s="7" t="n">
        <v>0</v>
      </c>
      <c r="K2403" s="9" t="n">
        <v>0</v>
      </c>
      <c r="L2403" s="10" t="n">
        <v>23.67</v>
      </c>
      <c r="M2403" s="10" t="n">
        <v>1.43</v>
      </c>
      <c r="N2403" t="inlineStr">
        <is>
          <t>1</t>
        </is>
      </c>
      <c r="O2403" t="inlineStr">
        <is>
          <t xml:space="preserve">2 </t>
        </is>
      </c>
      <c r="P2403" t="inlineStr">
        <is>
          <t xml:space="preserve">30787   </t>
        </is>
      </c>
      <c r="Q2403" s="26" t="n">
        <v>59.9</v>
      </c>
      <c r="R2403" s="26">
        <f>Q2403*G2403</f>
        <v/>
      </c>
      <c r="S2403" t="n">
        <v>35.53</v>
      </c>
      <c r="T2403" s="18">
        <f>1 - V2403/S2403</f>
        <v/>
      </c>
      <c r="U2403" s="18" t="n">
        <v>0.333889816360601</v>
      </c>
      <c r="V2403" s="26" t="n">
        <v>25.36016949152542</v>
      </c>
      <c r="W2403" s="26">
        <f>V2403 - L2403</f>
        <v/>
      </c>
    </row>
    <row r="2404">
      <c r="A2404" s="11" t="n">
        <v>46227</v>
      </c>
      <c r="B2404" s="1" t="n">
        <v>20043</v>
      </c>
      <c r="C2404" s="1" t="inlineStr">
        <is>
          <t>063</t>
        </is>
      </c>
      <c r="D2404" s="1" t="inlineStr">
        <is>
          <t>157752</t>
        </is>
      </c>
      <c r="E2404" s="1" t="inlineStr">
        <is>
          <t xml:space="preserve">28194770       </t>
        </is>
      </c>
      <c r="F2404" s="5" t="inlineStr">
        <is>
          <t>AUTOS DE METAL 3 TEAMSTERZ EN BLISTER</t>
        </is>
      </c>
      <c r="G2404" t="n">
        <v>1</v>
      </c>
      <c r="H2404" s="7" t="n">
        <v>6.9</v>
      </c>
      <c r="I2404" s="7" t="n">
        <v>0.6899999999999999</v>
      </c>
      <c r="J2404" s="7" t="n">
        <v>0</v>
      </c>
      <c r="K2404" s="9" t="n">
        <v>0.6899999999999999</v>
      </c>
      <c r="L2404" s="10" t="n">
        <v>3.68</v>
      </c>
      <c r="M2404" s="10" t="n">
        <v>1.43</v>
      </c>
      <c r="N2404" t="inlineStr">
        <is>
          <t>1</t>
        </is>
      </c>
      <c r="O2404" t="inlineStr">
        <is>
          <t xml:space="preserve">3 </t>
        </is>
      </c>
      <c r="P2404" t="inlineStr">
        <is>
          <t xml:space="preserve">30787   </t>
        </is>
      </c>
      <c r="Q2404" s="26" t="n">
        <v>6.9</v>
      </c>
      <c r="R2404" s="26">
        <f>Q2404*G2404</f>
        <v/>
      </c>
      <c r="S2404" t="n">
        <v>4.09</v>
      </c>
      <c r="T2404" s="18">
        <f>1 - V2404/S2404</f>
        <v/>
      </c>
      <c r="U2404" s="18" t="n">
        <v>0</v>
      </c>
      <c r="V2404" s="26" t="n">
        <v>4.09</v>
      </c>
      <c r="W2404" s="26">
        <f>V2404 - L2404</f>
        <v/>
      </c>
    </row>
    <row r="2405">
      <c r="A2405" s="11" t="n">
        <v>46227</v>
      </c>
      <c r="B2405" s="1" t="n">
        <v>20048</v>
      </c>
      <c r="C2405" s="1" t="inlineStr">
        <is>
          <t>013</t>
        </is>
      </c>
      <c r="D2405" s="1" t="inlineStr">
        <is>
          <t>226524</t>
        </is>
      </c>
      <c r="E2405" s="1" t="inlineStr">
        <is>
          <t xml:space="preserve">30141766       </t>
        </is>
      </c>
      <c r="F2405" s="5" t="inlineStr">
        <is>
          <t>TMZ BEAST MACHINES AUTOS DE METAL BLISTER X 1</t>
        </is>
      </c>
      <c r="G2405" t="n">
        <v>1</v>
      </c>
      <c r="H2405" s="7" t="n">
        <v>7.9</v>
      </c>
      <c r="I2405" s="7" t="n">
        <v>0</v>
      </c>
      <c r="J2405" s="7" t="n">
        <v>0</v>
      </c>
      <c r="K2405" s="9" t="n">
        <v>0</v>
      </c>
      <c r="L2405" s="10" t="n">
        <v>4.68</v>
      </c>
      <c r="M2405" s="10" t="n">
        <v>1.43</v>
      </c>
      <c r="N2405" t="inlineStr">
        <is>
          <t>1</t>
        </is>
      </c>
      <c r="O2405" t="inlineStr">
        <is>
          <t>16</t>
        </is>
      </c>
      <c r="P2405" t="inlineStr">
        <is>
          <t xml:space="preserve">85763   </t>
        </is>
      </c>
      <c r="Q2405" s="26" t="n">
        <v>7.9</v>
      </c>
      <c r="R2405" s="26">
        <f>Q2405*G2405</f>
        <v/>
      </c>
      <c r="S2405" t="n">
        <v>4.69</v>
      </c>
      <c r="T2405" s="18">
        <f>1 - V2405/S2405</f>
        <v/>
      </c>
      <c r="U2405" s="18" t="n">
        <v>0</v>
      </c>
      <c r="V2405" s="26" t="n">
        <v>4.69</v>
      </c>
      <c r="W2405" s="26">
        <f>V2405 - L2405</f>
        <v/>
      </c>
    </row>
    <row r="2406">
      <c r="A2406" s="11" t="n">
        <v>46227</v>
      </c>
      <c r="B2406" s="1" t="n">
        <v>20048</v>
      </c>
      <c r="C2406" s="1" t="inlineStr">
        <is>
          <t>013</t>
        </is>
      </c>
      <c r="D2406" s="1" t="inlineStr">
        <is>
          <t>226562</t>
        </is>
      </c>
      <c r="E2406" s="1" t="inlineStr">
        <is>
          <t xml:space="preserve">28194770       </t>
        </is>
      </c>
      <c r="F2406" s="5" t="inlineStr">
        <is>
          <t>AUTOS DE METAL 3 TEAMSTERZ EN BLISTER</t>
        </is>
      </c>
      <c r="G2406" t="n">
        <v>1</v>
      </c>
      <c r="H2406" s="7" t="n">
        <v>6.9</v>
      </c>
      <c r="I2406" s="7" t="n">
        <v>0</v>
      </c>
      <c r="J2406" s="7" t="n">
        <v>0</v>
      </c>
      <c r="K2406" s="9" t="n">
        <v>0</v>
      </c>
      <c r="L2406" s="10" t="n">
        <v>4.1</v>
      </c>
      <c r="M2406" s="10" t="n">
        <v>1.43</v>
      </c>
      <c r="N2406" t="inlineStr">
        <is>
          <t>1</t>
        </is>
      </c>
      <c r="O2406" t="inlineStr">
        <is>
          <t>16</t>
        </is>
      </c>
      <c r="P2406" t="inlineStr">
        <is>
          <t xml:space="preserve">85763   </t>
        </is>
      </c>
      <c r="Q2406" s="26" t="n">
        <v>6.9</v>
      </c>
      <c r="R2406" s="26">
        <f>Q2406*G2406</f>
        <v/>
      </c>
      <c r="S2406" t="n">
        <v>4.09</v>
      </c>
      <c r="T2406" s="18">
        <f>1 - V2406/S2406</f>
        <v/>
      </c>
      <c r="U2406" s="18" t="n">
        <v>0</v>
      </c>
      <c r="V2406" s="26" t="n">
        <v>4.09</v>
      </c>
      <c r="W2406" s="26">
        <f>V2406 - L2406</f>
        <v/>
      </c>
    </row>
    <row r="2407">
      <c r="A2407" s="11" t="n">
        <v>46227</v>
      </c>
      <c r="B2407" s="1" t="n">
        <v>20048</v>
      </c>
      <c r="C2407" s="1" t="inlineStr">
        <is>
          <t>515</t>
        </is>
      </c>
      <c r="D2407" s="1" t="inlineStr">
        <is>
          <t xml:space="preserve">1621  </t>
        </is>
      </c>
      <c r="E2407" s="1" t="inlineStr">
        <is>
          <t xml:space="preserve">28194770       </t>
        </is>
      </c>
      <c r="F2407" s="5" t="inlineStr">
        <is>
          <t>AUTOS DE METAL 3 TEAMSTERZ EN BLISTER</t>
        </is>
      </c>
      <c r="G2407" t="n">
        <v>1</v>
      </c>
      <c r="H2407" s="7" t="n">
        <v>6.9</v>
      </c>
      <c r="I2407" s="7" t="n">
        <v>0.6899999999999999</v>
      </c>
      <c r="J2407" s="7" t="n">
        <v>0</v>
      </c>
      <c r="K2407" s="9" t="n">
        <v>0.6899999999999999</v>
      </c>
      <c r="L2407" s="10" t="n">
        <v>3.68</v>
      </c>
      <c r="M2407" s="10" t="n">
        <v>1.43</v>
      </c>
      <c r="N2407" t="inlineStr">
        <is>
          <t>1</t>
        </is>
      </c>
      <c r="O2407" t="inlineStr">
        <is>
          <t>16</t>
        </is>
      </c>
      <c r="P2407" t="inlineStr">
        <is>
          <t xml:space="preserve">102671  </t>
        </is>
      </c>
      <c r="Q2407" s="26" t="n">
        <v>6.9</v>
      </c>
      <c r="R2407" s="26">
        <f>Q2407*G2407</f>
        <v/>
      </c>
      <c r="S2407" t="n">
        <v>4.09</v>
      </c>
      <c r="T2407" s="18">
        <f>1 - V2407/S2407</f>
        <v/>
      </c>
      <c r="U2407" s="18" t="n">
        <v>0</v>
      </c>
      <c r="V2407" s="26" t="n">
        <v>4.09</v>
      </c>
      <c r="W2407" s="26">
        <f>V2407 - L2407</f>
        <v/>
      </c>
    </row>
    <row r="2408">
      <c r="A2408" s="11" t="n">
        <v>46227</v>
      </c>
      <c r="B2408" s="1" t="n">
        <v>20048</v>
      </c>
      <c r="C2408" s="1" t="inlineStr">
        <is>
          <t>831</t>
        </is>
      </c>
      <c r="D2408" s="1" t="inlineStr">
        <is>
          <t xml:space="preserve">5720  </t>
        </is>
      </c>
      <c r="E2408" s="1" t="inlineStr">
        <is>
          <t xml:space="preserve">29235702       </t>
        </is>
      </c>
      <c r="F2408" s="5" t="inlineStr">
        <is>
          <t>INFINITY NADO TROMPO DE BATALLA - METAL C/ ANILLO</t>
        </is>
      </c>
      <c r="G2408" t="n">
        <v>1</v>
      </c>
      <c r="H2408" s="7" t="n">
        <v>49.9</v>
      </c>
      <c r="I2408" s="7" t="n">
        <v>0</v>
      </c>
      <c r="J2408" s="7" t="n">
        <v>0</v>
      </c>
      <c r="K2408" s="9" t="n">
        <v>0</v>
      </c>
      <c r="L2408" s="10" t="n">
        <v>29.6</v>
      </c>
      <c r="M2408" s="10" t="n">
        <v>1.43</v>
      </c>
      <c r="N2408" t="inlineStr">
        <is>
          <t>1</t>
        </is>
      </c>
      <c r="O2408" t="inlineStr">
        <is>
          <t>16</t>
        </is>
      </c>
      <c r="P2408" t="inlineStr">
        <is>
          <t xml:space="preserve">0       </t>
        </is>
      </c>
      <c r="Q2408" s="26" t="n">
        <v>69.90000000000001</v>
      </c>
      <c r="R2408" s="26">
        <f>Q2408*G2408</f>
        <v/>
      </c>
      <c r="S2408" t="n">
        <v>41.47</v>
      </c>
      <c r="T2408" s="18">
        <f>1 - V2408/S2408</f>
        <v/>
      </c>
      <c r="U2408" s="18" t="n">
        <v>0.2861230329041489</v>
      </c>
      <c r="V2408" s="26" t="n">
        <v>31.71610169491525</v>
      </c>
      <c r="W2408" s="26">
        <f>V2408 - L2408</f>
        <v/>
      </c>
    </row>
    <row r="2409">
      <c r="A2409" s="11" t="n">
        <v>46227</v>
      </c>
      <c r="B2409" s="1" t="n">
        <v>20049</v>
      </c>
      <c r="C2409" s="1" t="inlineStr">
        <is>
          <t>013</t>
        </is>
      </c>
      <c r="D2409" s="1" t="inlineStr">
        <is>
          <t>237295</t>
        </is>
      </c>
      <c r="E2409" s="1" t="inlineStr">
        <is>
          <t xml:space="preserve">34840551       </t>
        </is>
      </c>
      <c r="F2409" s="5" t="inlineStr">
        <is>
          <t>TMZ HELI BOMBERO CON LUCES Y SONIDOS</t>
        </is>
      </c>
      <c r="G2409" t="n">
        <v>1</v>
      </c>
      <c r="H2409" s="7" t="n">
        <v>79.90000000000001</v>
      </c>
      <c r="I2409" s="7" t="n">
        <v>0</v>
      </c>
      <c r="J2409" s="7" t="n">
        <v>0</v>
      </c>
      <c r="K2409" s="9" t="n">
        <v>0</v>
      </c>
      <c r="L2409" s="10" t="n">
        <v>47.4</v>
      </c>
      <c r="M2409" s="10" t="n">
        <v>1.43</v>
      </c>
      <c r="N2409" t="inlineStr">
        <is>
          <t>1</t>
        </is>
      </c>
      <c r="O2409" t="inlineStr">
        <is>
          <t xml:space="preserve">2 </t>
        </is>
      </c>
      <c r="P2409" t="inlineStr">
        <is>
          <t xml:space="preserve">48754   </t>
        </is>
      </c>
      <c r="Q2409" s="26" t="n">
        <v>79.90000000000002</v>
      </c>
      <c r="R2409" s="26">
        <f>Q2409*G2409</f>
        <v/>
      </c>
      <c r="S2409" t="n">
        <v>47.4</v>
      </c>
      <c r="T2409" s="18">
        <f>1 - V2409/S2409</f>
        <v/>
      </c>
      <c r="U2409" s="18" t="n">
        <v>0</v>
      </c>
      <c r="V2409" s="26" t="n">
        <v>47.4</v>
      </c>
      <c r="W2409" s="26">
        <f>V2409 - L2409</f>
        <v/>
      </c>
    </row>
    <row r="2410">
      <c r="A2410" s="11" t="n">
        <v>46227</v>
      </c>
      <c r="B2410" s="1" t="n">
        <v>20049</v>
      </c>
      <c r="C2410" s="1" t="inlineStr">
        <is>
          <t>025</t>
        </is>
      </c>
      <c r="D2410" s="1" t="inlineStr">
        <is>
          <t xml:space="preserve">34707 </t>
        </is>
      </c>
      <c r="E2410" s="1" t="inlineStr">
        <is>
          <t xml:space="preserve">31754676       </t>
        </is>
      </c>
      <c r="F2410" s="5" t="inlineStr">
        <is>
          <t>INFINITY NADO SERIE 6 STD PACK LANZ ESPAD ANILLO M</t>
        </is>
      </c>
      <c r="G2410" t="n">
        <v>1</v>
      </c>
      <c r="H2410" s="7" t="n">
        <v>59.9</v>
      </c>
      <c r="I2410" s="7" t="n">
        <v>0</v>
      </c>
      <c r="J2410" s="7" t="n">
        <v>0</v>
      </c>
      <c r="K2410" s="9" t="n">
        <v>0</v>
      </c>
      <c r="L2410" s="10" t="n">
        <v>35.53</v>
      </c>
      <c r="M2410" s="10" t="n">
        <v>1.43</v>
      </c>
      <c r="N2410" t="inlineStr">
        <is>
          <t>1</t>
        </is>
      </c>
      <c r="O2410" t="inlineStr">
        <is>
          <t>16</t>
        </is>
      </c>
      <c r="P2410" t="inlineStr">
        <is>
          <t xml:space="preserve">48754   </t>
        </is>
      </c>
      <c r="Q2410" s="26" t="n">
        <v>79.90000000000001</v>
      </c>
      <c r="R2410" s="26">
        <f>Q2410*G2410</f>
        <v/>
      </c>
      <c r="S2410" t="n">
        <v>47.4</v>
      </c>
      <c r="T2410" s="18">
        <f>1 - V2410/S2410</f>
        <v/>
      </c>
      <c r="U2410" s="18" t="n">
        <v>0.2503128911138924</v>
      </c>
      <c r="V2410" s="26" t="n">
        <v>38.07203389830509</v>
      </c>
      <c r="W2410" s="26">
        <f>V2410 - L2410</f>
        <v/>
      </c>
    </row>
    <row r="2411">
      <c r="A2411" s="11" t="n">
        <v>46227</v>
      </c>
      <c r="B2411" s="1" t="n">
        <v>20049</v>
      </c>
      <c r="C2411" s="1" t="inlineStr">
        <is>
          <t>510</t>
        </is>
      </c>
      <c r="D2411" s="1" t="inlineStr">
        <is>
          <t xml:space="preserve">1301  </t>
        </is>
      </c>
      <c r="E2411" s="1" t="inlineStr">
        <is>
          <t xml:space="preserve">28194781       </t>
        </is>
      </c>
      <c r="F2411" s="5" t="inlineStr">
        <is>
          <t>TROMPO BATALLA INFINITY NADO SERIE V CLASICA SURTI</t>
        </is>
      </c>
      <c r="G2411" t="n">
        <v>1</v>
      </c>
      <c r="H2411" s="7" t="n">
        <v>39.9</v>
      </c>
      <c r="I2411" s="7" t="n">
        <v>0</v>
      </c>
      <c r="J2411" s="7" t="n">
        <v>0</v>
      </c>
      <c r="K2411" s="9" t="n">
        <v>0</v>
      </c>
      <c r="L2411" s="10" t="n">
        <v>23.67</v>
      </c>
      <c r="M2411" s="10" t="n">
        <v>1.43</v>
      </c>
      <c r="N2411" t="inlineStr">
        <is>
          <t>1</t>
        </is>
      </c>
      <c r="O2411" t="inlineStr">
        <is>
          <t>16</t>
        </is>
      </c>
      <c r="P2411" t="inlineStr">
        <is>
          <t xml:space="preserve">247092  </t>
        </is>
      </c>
      <c r="Q2411" s="26" t="n">
        <v>59.9</v>
      </c>
      <c r="R2411" s="26">
        <f>Q2411*G2411</f>
        <v/>
      </c>
      <c r="S2411" t="n">
        <v>35.53</v>
      </c>
      <c r="T2411" s="18">
        <f>1 - V2411/S2411</f>
        <v/>
      </c>
      <c r="U2411" s="18" t="n">
        <v>0.333889816360601</v>
      </c>
      <c r="V2411" s="26" t="n">
        <v>25.36016949152542</v>
      </c>
      <c r="W2411" s="26">
        <f>V2411 - L2411</f>
        <v/>
      </c>
    </row>
    <row r="2412">
      <c r="A2412" s="11" t="n">
        <v>46227</v>
      </c>
      <c r="B2412" s="1" t="n">
        <v>20049</v>
      </c>
      <c r="C2412" s="1" t="inlineStr">
        <is>
          <t>800</t>
        </is>
      </c>
      <c r="D2412" s="1" t="inlineStr">
        <is>
          <t xml:space="preserve">6637  </t>
        </is>
      </c>
      <c r="E2412" s="1" t="inlineStr">
        <is>
          <t xml:space="preserve">30141766       </t>
        </is>
      </c>
      <c r="F2412" s="5" t="inlineStr">
        <is>
          <t>TMZ BEAST MACHINES AUTOS DE METAL BLISTER X 1</t>
        </is>
      </c>
      <c r="G2412" t="n">
        <v>1</v>
      </c>
      <c r="H2412" s="7" t="n">
        <v>7.9</v>
      </c>
      <c r="I2412" s="7" t="n">
        <v>0</v>
      </c>
      <c r="J2412" s="7" t="n">
        <v>0</v>
      </c>
      <c r="K2412" s="9" t="n">
        <v>0</v>
      </c>
      <c r="L2412" s="10" t="n">
        <v>4.68</v>
      </c>
      <c r="M2412" s="10" t="n">
        <v>1.43</v>
      </c>
      <c r="N2412" t="inlineStr">
        <is>
          <t>1</t>
        </is>
      </c>
      <c r="O2412" t="inlineStr">
        <is>
          <t>16</t>
        </is>
      </c>
      <c r="P2412" t="inlineStr">
        <is>
          <t xml:space="preserve">0       </t>
        </is>
      </c>
      <c r="Q2412" s="26" t="n">
        <v>7.9</v>
      </c>
      <c r="R2412" s="26">
        <f>Q2412*G2412</f>
        <v/>
      </c>
      <c r="S2412" t="n">
        <v>4.69</v>
      </c>
      <c r="T2412" s="18">
        <f>1 - V2412/S2412</f>
        <v/>
      </c>
      <c r="U2412" s="18" t="n">
        <v>0</v>
      </c>
      <c r="V2412" s="26" t="n">
        <v>4.69</v>
      </c>
      <c r="W2412" s="26">
        <f>V2412 - L2412</f>
        <v/>
      </c>
    </row>
    <row r="2413">
      <c r="A2413" s="11" t="n">
        <v>46227</v>
      </c>
      <c r="B2413" s="1" t="n">
        <v>20056</v>
      </c>
      <c r="C2413" s="1" t="inlineStr">
        <is>
          <t>021</t>
        </is>
      </c>
      <c r="D2413" s="1" t="inlineStr">
        <is>
          <t xml:space="preserve">52868 </t>
        </is>
      </c>
      <c r="E2413" s="1" t="inlineStr">
        <is>
          <t xml:space="preserve">28194781       </t>
        </is>
      </c>
      <c r="F2413" s="5" t="inlineStr">
        <is>
          <t>TROMPO BATALLA INFINITY NADO SERIE V CLASICA SURTI</t>
        </is>
      </c>
      <c r="G2413" t="n">
        <v>1</v>
      </c>
      <c r="H2413" s="7" t="n">
        <v>39.9</v>
      </c>
      <c r="I2413" s="7" t="n">
        <v>0</v>
      </c>
      <c r="J2413" s="7" t="n">
        <v>0</v>
      </c>
      <c r="K2413" s="9" t="n">
        <v>0</v>
      </c>
      <c r="L2413" s="10" t="n">
        <v>23.67</v>
      </c>
      <c r="M2413" s="10" t="n">
        <v>1.43</v>
      </c>
      <c r="N2413" t="inlineStr">
        <is>
          <t>1</t>
        </is>
      </c>
      <c r="O2413" t="inlineStr">
        <is>
          <t>16</t>
        </is>
      </c>
      <c r="P2413" t="inlineStr">
        <is>
          <t xml:space="preserve">250152  </t>
        </is>
      </c>
      <c r="Q2413" s="26" t="n">
        <v>59.9</v>
      </c>
      <c r="R2413" s="26">
        <f>Q2413*G2413</f>
        <v/>
      </c>
      <c r="S2413" t="n">
        <v>35.53</v>
      </c>
      <c r="T2413" s="18">
        <f>1 - V2413/S2413</f>
        <v/>
      </c>
      <c r="U2413" s="18" t="n">
        <v>0.333889816360601</v>
      </c>
      <c r="V2413" s="26" t="n">
        <v>25.36016949152542</v>
      </c>
      <c r="W2413" s="26">
        <f>V2413 - L2413</f>
        <v/>
      </c>
    </row>
    <row r="2414">
      <c r="A2414" s="11" t="n">
        <v>46227</v>
      </c>
      <c r="B2414" s="1" t="n">
        <v>20057</v>
      </c>
      <c r="C2414" s="1" t="inlineStr">
        <is>
          <t>032</t>
        </is>
      </c>
      <c r="D2414" s="1" t="inlineStr">
        <is>
          <t xml:space="preserve">75705 </t>
        </is>
      </c>
      <c r="E2414" s="1" t="inlineStr">
        <is>
          <t xml:space="preserve">28194770       </t>
        </is>
      </c>
      <c r="F2414" s="5" t="inlineStr">
        <is>
          <t>AUTOS DE METAL 3 TEAMSTERZ EN BLISTER</t>
        </is>
      </c>
      <c r="G2414" t="n">
        <v>1</v>
      </c>
      <c r="H2414" s="7" t="n">
        <v>6.9</v>
      </c>
      <c r="I2414" s="7" t="n">
        <v>0</v>
      </c>
      <c r="J2414" s="7" t="n">
        <v>0</v>
      </c>
      <c r="K2414" s="9" t="n">
        <v>0</v>
      </c>
      <c r="L2414" s="10" t="n">
        <v>4.1</v>
      </c>
      <c r="M2414" s="10" t="n">
        <v>1.43</v>
      </c>
      <c r="N2414" t="inlineStr">
        <is>
          <t>1</t>
        </is>
      </c>
      <c r="O2414" t="inlineStr">
        <is>
          <t>16</t>
        </is>
      </c>
      <c r="P2414" t="inlineStr">
        <is>
          <t xml:space="preserve">62973   </t>
        </is>
      </c>
      <c r="Q2414" s="26" t="n">
        <v>6.9</v>
      </c>
      <c r="R2414" s="26">
        <f>Q2414*G2414</f>
        <v/>
      </c>
      <c r="S2414" t="n">
        <v>4.09</v>
      </c>
      <c r="T2414" s="18">
        <f>1 - V2414/S2414</f>
        <v/>
      </c>
      <c r="U2414" s="18" t="n">
        <v>0</v>
      </c>
      <c r="V2414" s="26" t="n">
        <v>4.09</v>
      </c>
      <c r="W2414" s="26">
        <f>V2414 - L2414</f>
        <v/>
      </c>
    </row>
    <row r="2415">
      <c r="A2415" s="11" t="n">
        <v>46227</v>
      </c>
      <c r="B2415" s="1" t="n">
        <v>20057</v>
      </c>
      <c r="C2415" s="1" t="inlineStr">
        <is>
          <t>032</t>
        </is>
      </c>
      <c r="D2415" s="1" t="inlineStr">
        <is>
          <t xml:space="preserve">75705 </t>
        </is>
      </c>
      <c r="E2415" s="1" t="inlineStr">
        <is>
          <t xml:space="preserve">28194770       </t>
        </is>
      </c>
      <c r="F2415" s="5" t="inlineStr">
        <is>
          <t>AUTOS DE METAL 3 TEAMSTERZ EN BLISTER</t>
        </is>
      </c>
      <c r="G2415" t="n">
        <v>1</v>
      </c>
      <c r="H2415" s="7" t="n">
        <v>6.9</v>
      </c>
      <c r="I2415" s="7" t="n">
        <v>0</v>
      </c>
      <c r="J2415" s="7" t="n">
        <v>0</v>
      </c>
      <c r="K2415" s="9" t="n">
        <v>0</v>
      </c>
      <c r="L2415" s="10" t="n">
        <v>4.1</v>
      </c>
      <c r="M2415" s="10" t="n">
        <v>1.43</v>
      </c>
      <c r="N2415" t="inlineStr">
        <is>
          <t>1</t>
        </is>
      </c>
      <c r="O2415" t="inlineStr">
        <is>
          <t>16</t>
        </is>
      </c>
      <c r="P2415" t="inlineStr">
        <is>
          <t xml:space="preserve">62973   </t>
        </is>
      </c>
      <c r="Q2415" s="26" t="n">
        <v>6.9</v>
      </c>
      <c r="R2415" s="26">
        <f>Q2415*G2415</f>
        <v/>
      </c>
      <c r="S2415" t="n">
        <v>4.09</v>
      </c>
      <c r="T2415" s="18">
        <f>1 - V2415/S2415</f>
        <v/>
      </c>
      <c r="U2415" s="18" t="n">
        <v>0</v>
      </c>
      <c r="V2415" s="26" t="n">
        <v>4.09</v>
      </c>
      <c r="W2415" s="26">
        <f>V2415 - L2415</f>
        <v/>
      </c>
    </row>
    <row r="2416">
      <c r="A2416" s="11" t="n">
        <v>46227</v>
      </c>
      <c r="B2416" s="1" t="n">
        <v>20057</v>
      </c>
      <c r="C2416" s="1" t="inlineStr">
        <is>
          <t>032</t>
        </is>
      </c>
      <c r="D2416" s="1" t="inlineStr">
        <is>
          <t xml:space="preserve">75705 </t>
        </is>
      </c>
      <c r="E2416" s="1" t="inlineStr">
        <is>
          <t xml:space="preserve">28194770       </t>
        </is>
      </c>
      <c r="F2416" s="5" t="inlineStr">
        <is>
          <t>AUTOS DE METAL 3 TEAMSTERZ EN BLISTER</t>
        </is>
      </c>
      <c r="G2416" t="n">
        <v>1</v>
      </c>
      <c r="H2416" s="7" t="n">
        <v>6.9</v>
      </c>
      <c r="I2416" s="7" t="n">
        <v>0</v>
      </c>
      <c r="J2416" s="7" t="n">
        <v>0</v>
      </c>
      <c r="K2416" s="9" t="n">
        <v>0</v>
      </c>
      <c r="L2416" s="10" t="n">
        <v>4.1</v>
      </c>
      <c r="M2416" s="10" t="n">
        <v>1.43</v>
      </c>
      <c r="N2416" t="inlineStr">
        <is>
          <t>1</t>
        </is>
      </c>
      <c r="O2416" t="inlineStr">
        <is>
          <t>16</t>
        </is>
      </c>
      <c r="P2416" t="inlineStr">
        <is>
          <t xml:space="preserve">62973   </t>
        </is>
      </c>
      <c r="Q2416" s="26" t="n">
        <v>6.9</v>
      </c>
      <c r="R2416" s="26">
        <f>Q2416*G2416</f>
        <v/>
      </c>
      <c r="S2416" t="n">
        <v>4.09</v>
      </c>
      <c r="T2416" s="18">
        <f>1 - V2416/S2416</f>
        <v/>
      </c>
      <c r="U2416" s="18" t="n">
        <v>0</v>
      </c>
      <c r="V2416" s="26" t="n">
        <v>4.09</v>
      </c>
      <c r="W2416" s="26">
        <f>V2416 - L2416</f>
        <v/>
      </c>
    </row>
    <row r="2417">
      <c r="A2417" s="11" t="n">
        <v>46227</v>
      </c>
      <c r="B2417" s="1" t="n">
        <v>20057</v>
      </c>
      <c r="C2417" s="1" t="inlineStr">
        <is>
          <t>032</t>
        </is>
      </c>
      <c r="D2417" s="1" t="inlineStr">
        <is>
          <t xml:space="preserve">75744 </t>
        </is>
      </c>
      <c r="E2417" s="1" t="inlineStr">
        <is>
          <t xml:space="preserve">29235701       </t>
        </is>
      </c>
      <c r="F2417" s="5" t="inlineStr">
        <is>
          <t>INFINITY NADO TROMPO DE BATALLA - METAL EN CAJA</t>
        </is>
      </c>
      <c r="G2417" t="n">
        <v>1</v>
      </c>
      <c r="H2417" s="7" t="n">
        <v>29.9</v>
      </c>
      <c r="I2417" s="7" t="n">
        <v>0</v>
      </c>
      <c r="J2417" s="7" t="n">
        <v>0</v>
      </c>
      <c r="K2417" s="9" t="n">
        <v>0</v>
      </c>
      <c r="L2417" s="10" t="n">
        <v>17.74</v>
      </c>
      <c r="M2417" s="10" t="n">
        <v>1.43</v>
      </c>
      <c r="N2417" t="inlineStr">
        <is>
          <t>1</t>
        </is>
      </c>
      <c r="O2417" t="inlineStr">
        <is>
          <t>16</t>
        </is>
      </c>
      <c r="P2417" t="inlineStr">
        <is>
          <t xml:space="preserve">62973   </t>
        </is>
      </c>
      <c r="Q2417" s="26" t="n">
        <v>39.9</v>
      </c>
      <c r="R2417" s="26">
        <f>Q2417*G2417</f>
        <v/>
      </c>
      <c r="S2417" t="n">
        <v>23.67</v>
      </c>
      <c r="T2417" s="18">
        <f>1 - V2417/S2417</f>
        <v/>
      </c>
      <c r="U2417" s="18" t="n">
        <v>0.2506265664160401</v>
      </c>
      <c r="V2417" s="26" t="n">
        <v>19.00423728813559</v>
      </c>
      <c r="W2417" s="26">
        <f>V2417 - L2417</f>
        <v/>
      </c>
    </row>
    <row r="2418">
      <c r="A2418" s="11" t="n">
        <v>46227</v>
      </c>
      <c r="B2418" s="1" t="n">
        <v>20057</v>
      </c>
      <c r="C2418" s="1" t="inlineStr">
        <is>
          <t>032</t>
        </is>
      </c>
      <c r="D2418" s="1" t="inlineStr">
        <is>
          <t xml:space="preserve">75776 </t>
        </is>
      </c>
      <c r="E2418" s="1" t="inlineStr">
        <is>
          <t xml:space="preserve">28194780       </t>
        </is>
      </c>
      <c r="F2418" s="5" t="inlineStr">
        <is>
          <t>TROMPO BATALLA INFINITY NADO PLSTICO SURTIDO</t>
        </is>
      </c>
      <c r="G2418" t="n">
        <v>1</v>
      </c>
      <c r="H2418" s="7" t="n">
        <v>19.9</v>
      </c>
      <c r="I2418" s="7" t="n">
        <v>0</v>
      </c>
      <c r="J2418" s="7" t="n">
        <v>0</v>
      </c>
      <c r="K2418" s="9" t="n">
        <v>0</v>
      </c>
      <c r="L2418" s="10" t="n">
        <v>11.8</v>
      </c>
      <c r="M2418" s="10" t="n">
        <v>1.43</v>
      </c>
      <c r="N2418" t="inlineStr">
        <is>
          <t>1</t>
        </is>
      </c>
      <c r="O2418" t="inlineStr">
        <is>
          <t>16</t>
        </is>
      </c>
      <c r="P2418" t="inlineStr">
        <is>
          <t xml:space="preserve">62973   </t>
        </is>
      </c>
      <c r="Q2418" s="26" t="n">
        <v>19.9</v>
      </c>
      <c r="R2418" s="26">
        <f>Q2418*G2418</f>
        <v/>
      </c>
      <c r="S2418" t="n">
        <v>11.81</v>
      </c>
      <c r="T2418" s="18">
        <f>1 - V2418/S2418</f>
        <v/>
      </c>
      <c r="U2418" s="18" t="n">
        <v>0</v>
      </c>
      <c r="V2418" s="26" t="n">
        <v>11.81</v>
      </c>
      <c r="W2418" s="26">
        <f>V2418 - L2418</f>
        <v/>
      </c>
    </row>
    <row r="2419">
      <c r="A2419" s="11" t="n">
        <v>46227</v>
      </c>
      <c r="B2419" s="1" t="n">
        <v>20057</v>
      </c>
      <c r="C2419" s="1" t="inlineStr">
        <is>
          <t>032</t>
        </is>
      </c>
      <c r="D2419" s="1" t="inlineStr">
        <is>
          <t xml:space="preserve">75776 </t>
        </is>
      </c>
      <c r="E2419" s="1" t="inlineStr">
        <is>
          <t xml:space="preserve">29235702       </t>
        </is>
      </c>
      <c r="F2419" s="5" t="inlineStr">
        <is>
          <t>INFINITY NADO TROMPO DE BATALLA - METAL C/ ANILLO</t>
        </is>
      </c>
      <c r="G2419" t="n">
        <v>1</v>
      </c>
      <c r="H2419" s="7" t="n">
        <v>49.9</v>
      </c>
      <c r="I2419" s="7" t="n">
        <v>0</v>
      </c>
      <c r="J2419" s="7" t="n">
        <v>0</v>
      </c>
      <c r="K2419" s="9" t="n">
        <v>0</v>
      </c>
      <c r="L2419" s="10" t="n">
        <v>29.6</v>
      </c>
      <c r="M2419" s="10" t="n">
        <v>1.43</v>
      </c>
      <c r="N2419" t="inlineStr">
        <is>
          <t>1</t>
        </is>
      </c>
      <c r="O2419" t="inlineStr">
        <is>
          <t>16</t>
        </is>
      </c>
      <c r="P2419" t="inlineStr">
        <is>
          <t xml:space="preserve">62973   </t>
        </is>
      </c>
      <c r="Q2419" s="26" t="n">
        <v>69.90000000000001</v>
      </c>
      <c r="R2419" s="26">
        <f>Q2419*G2419</f>
        <v/>
      </c>
      <c r="S2419" t="n">
        <v>41.47</v>
      </c>
      <c r="T2419" s="18">
        <f>1 - V2419/S2419</f>
        <v/>
      </c>
      <c r="U2419" s="18" t="n">
        <v>0.2861230329041489</v>
      </c>
      <c r="V2419" s="26" t="n">
        <v>31.71610169491525</v>
      </c>
      <c r="W2419" s="26">
        <f>V2419 - L2419</f>
        <v/>
      </c>
    </row>
    <row r="2420">
      <c r="A2420" s="11" t="n">
        <v>46227</v>
      </c>
      <c r="B2420" s="1" t="n">
        <v>20057</v>
      </c>
      <c r="C2420" s="1" t="inlineStr">
        <is>
          <t>033</t>
        </is>
      </c>
      <c r="D2420" s="1" t="inlineStr">
        <is>
          <t xml:space="preserve">68132 </t>
        </is>
      </c>
      <c r="E2420" s="1" t="inlineStr">
        <is>
          <t xml:space="preserve">33483123       </t>
        </is>
      </c>
      <c r="F2420" s="5" t="inlineStr">
        <is>
          <t>NENUCO DISFRACES</t>
        </is>
      </c>
      <c r="G2420" t="n">
        <v>1</v>
      </c>
      <c r="H2420" s="7" t="n">
        <v>69.90000000000001</v>
      </c>
      <c r="I2420" s="7" t="n">
        <v>0</v>
      </c>
      <c r="J2420" s="7" t="n">
        <v>0</v>
      </c>
      <c r="K2420" s="9" t="n">
        <v>0</v>
      </c>
      <c r="L2420" s="10" t="n">
        <v>41.47</v>
      </c>
      <c r="M2420" s="10" t="n">
        <v>1.43</v>
      </c>
      <c r="N2420" t="inlineStr">
        <is>
          <t>1</t>
        </is>
      </c>
      <c r="O2420" t="inlineStr">
        <is>
          <t>16</t>
        </is>
      </c>
      <c r="P2420" t="inlineStr">
        <is>
          <t xml:space="preserve">105593  </t>
        </is>
      </c>
      <c r="Q2420" s="26" t="n">
        <v>89.90000000000001</v>
      </c>
      <c r="R2420" s="26">
        <f>Q2420*G2420</f>
        <v/>
      </c>
      <c r="S2420" t="n">
        <v>53.33</v>
      </c>
      <c r="T2420" s="18">
        <f>1 - V2420/S2420</f>
        <v/>
      </c>
      <c r="U2420" s="18" t="n">
        <v>0.2224694104560623</v>
      </c>
      <c r="V2420" s="26" t="n">
        <v>44.42796610169492</v>
      </c>
      <c r="W2420" s="26">
        <f>V2420 - L2420</f>
        <v/>
      </c>
    </row>
    <row r="2421">
      <c r="A2421" s="11" t="n">
        <v>46227</v>
      </c>
      <c r="B2421" s="1" t="n">
        <v>20058</v>
      </c>
      <c r="C2421" s="1" t="inlineStr">
        <is>
          <t>032</t>
        </is>
      </c>
      <c r="D2421" s="1" t="inlineStr">
        <is>
          <t>208706</t>
        </is>
      </c>
      <c r="E2421" s="1" t="inlineStr">
        <is>
          <t xml:space="preserve">32457099       </t>
        </is>
      </c>
      <c r="F2421" s="5" t="inlineStr">
        <is>
          <t>TMZ BEAST MACHINES MONSTER JAWS A FRICCION BLISTER</t>
        </is>
      </c>
      <c r="G2421" t="n">
        <v>1</v>
      </c>
      <c r="H2421" s="7" t="n">
        <v>17.9</v>
      </c>
      <c r="I2421" s="7" t="n">
        <v>0</v>
      </c>
      <c r="J2421" s="7" t="n">
        <v>0</v>
      </c>
      <c r="K2421" s="9" t="n">
        <v>0</v>
      </c>
      <c r="L2421" s="10" t="n">
        <v>10.62</v>
      </c>
      <c r="M2421" s="10" t="n">
        <v>1.43</v>
      </c>
      <c r="N2421" t="inlineStr">
        <is>
          <t>1</t>
        </is>
      </c>
      <c r="O2421" t="inlineStr">
        <is>
          <t>16</t>
        </is>
      </c>
      <c r="P2421" t="inlineStr">
        <is>
          <t xml:space="preserve">248289  </t>
        </is>
      </c>
      <c r="Q2421" s="26" t="n">
        <v>19.9</v>
      </c>
      <c r="R2421" s="26">
        <f>Q2421*G2421</f>
        <v/>
      </c>
      <c r="S2421" t="n">
        <v>11.81</v>
      </c>
      <c r="T2421" s="18">
        <f>1 - V2421/S2421</f>
        <v/>
      </c>
      <c r="U2421" s="18" t="n">
        <v>0.1005025125628141</v>
      </c>
      <c r="V2421" s="26" t="n">
        <v>8.417118644067797</v>
      </c>
      <c r="W2421" s="26">
        <f>V2421 - L2421</f>
        <v/>
      </c>
    </row>
    <row r="2422">
      <c r="A2422" s="11" t="n">
        <v>46227</v>
      </c>
      <c r="B2422" s="1" t="n">
        <v>20058</v>
      </c>
      <c r="C2422" s="1" t="inlineStr">
        <is>
          <t>032</t>
        </is>
      </c>
      <c r="D2422" s="1" t="inlineStr">
        <is>
          <t>208735</t>
        </is>
      </c>
      <c r="E2422" s="1" t="inlineStr">
        <is>
          <t xml:space="preserve">28194768       </t>
        </is>
      </c>
      <c r="F2422" s="5" t="inlineStr">
        <is>
          <t>AUTO COLOR CHANGE TEAMSTERZ SURTIDO</t>
        </is>
      </c>
      <c r="G2422" t="n">
        <v>1</v>
      </c>
      <c r="H2422" s="7" t="n">
        <v>14.9</v>
      </c>
      <c r="I2422" s="7" t="n">
        <v>1.49</v>
      </c>
      <c r="J2422" s="7" t="n">
        <v>0</v>
      </c>
      <c r="K2422" s="9" t="n">
        <v>1.49</v>
      </c>
      <c r="L2422" s="10" t="n">
        <v>7.95</v>
      </c>
      <c r="M2422" s="10" t="n">
        <v>1.43</v>
      </c>
      <c r="N2422" t="inlineStr">
        <is>
          <t>1</t>
        </is>
      </c>
      <c r="O2422" t="inlineStr">
        <is>
          <t xml:space="preserve">3 </t>
        </is>
      </c>
      <c r="P2422" t="inlineStr">
        <is>
          <t xml:space="preserve">248289  </t>
        </is>
      </c>
      <c r="Q2422" s="26" t="n">
        <v>14.9</v>
      </c>
      <c r="R2422" s="26">
        <f>Q2422*G2422</f>
        <v/>
      </c>
      <c r="S2422" t="n">
        <v>8.84</v>
      </c>
      <c r="T2422" s="18">
        <f>1 - V2422/S2422</f>
        <v/>
      </c>
      <c r="U2422" s="18" t="n">
        <v>0</v>
      </c>
      <c r="V2422" s="26" t="n">
        <v>8.84</v>
      </c>
      <c r="W2422" s="26">
        <f>V2422 - L2422</f>
        <v/>
      </c>
    </row>
    <row r="2423">
      <c r="A2423" s="11" t="n">
        <v>46227</v>
      </c>
      <c r="B2423" s="1" t="n">
        <v>20058</v>
      </c>
      <c r="C2423" s="1" t="inlineStr">
        <is>
          <t>032</t>
        </is>
      </c>
      <c r="D2423" s="1" t="inlineStr">
        <is>
          <t>208735</t>
        </is>
      </c>
      <c r="E2423" s="1" t="inlineStr">
        <is>
          <t xml:space="preserve">31959961       </t>
        </is>
      </c>
      <c r="F2423" s="5" t="inlineStr">
        <is>
          <t>TEAMSTERZ CAMBIA DE COLOR PACK DE 3 AUTOS</t>
        </is>
      </c>
      <c r="G2423" t="n">
        <v>1</v>
      </c>
      <c r="H2423" s="7" t="n">
        <v>49.9</v>
      </c>
      <c r="I2423" s="7" t="n">
        <v>4.99</v>
      </c>
      <c r="J2423" s="7" t="n">
        <v>0</v>
      </c>
      <c r="K2423" s="9" t="n">
        <v>4.99</v>
      </c>
      <c r="L2423" s="10" t="n">
        <v>26.64</v>
      </c>
      <c r="M2423" s="10" t="n">
        <v>1.43</v>
      </c>
      <c r="N2423" t="inlineStr">
        <is>
          <t>1</t>
        </is>
      </c>
      <c r="O2423" t="inlineStr">
        <is>
          <t xml:space="preserve">3 </t>
        </is>
      </c>
      <c r="P2423" t="inlineStr">
        <is>
          <t xml:space="preserve">248289  </t>
        </is>
      </c>
      <c r="Q2423" s="26" t="n">
        <v>49.9</v>
      </c>
      <c r="R2423" s="26">
        <f>Q2423*G2423</f>
        <v/>
      </c>
      <c r="S2423" t="n">
        <v>29.6</v>
      </c>
      <c r="T2423" s="18">
        <f>1 - V2423/S2423</f>
        <v/>
      </c>
      <c r="U2423" s="18" t="n">
        <v>0</v>
      </c>
      <c r="V2423" s="26" t="n">
        <v>29.6</v>
      </c>
      <c r="W2423" s="26">
        <f>V2423 - L2423</f>
        <v/>
      </c>
    </row>
    <row r="2424">
      <c r="A2424" s="11" t="n">
        <v>46227</v>
      </c>
      <c r="B2424" s="1" t="n">
        <v>20058</v>
      </c>
      <c r="C2424" s="1" t="inlineStr">
        <is>
          <t>038</t>
        </is>
      </c>
      <c r="D2424" s="1" t="inlineStr">
        <is>
          <t>210381</t>
        </is>
      </c>
      <c r="E2424" s="1" t="inlineStr">
        <is>
          <t xml:space="preserve">34840526       </t>
        </is>
      </c>
      <c r="F2424" s="5" t="inlineStr">
        <is>
          <t>NENUCO ABRACITOS</t>
        </is>
      </c>
      <c r="G2424" t="n">
        <v>1</v>
      </c>
      <c r="H2424" s="7" t="n">
        <v>89.90000000000001</v>
      </c>
      <c r="I2424" s="7" t="n">
        <v>0</v>
      </c>
      <c r="J2424" s="7" t="n">
        <v>0</v>
      </c>
      <c r="K2424" s="9" t="n">
        <v>0</v>
      </c>
      <c r="L2424" s="10" t="n">
        <v>53.33</v>
      </c>
      <c r="M2424" s="10" t="n">
        <v>1.43</v>
      </c>
      <c r="N2424" t="inlineStr">
        <is>
          <t>1</t>
        </is>
      </c>
      <c r="O2424" t="inlineStr">
        <is>
          <t>16</t>
        </is>
      </c>
      <c r="P2424" t="inlineStr">
        <is>
          <t xml:space="preserve">94051   </t>
        </is>
      </c>
      <c r="Q2424" s="26" t="n">
        <v>119</v>
      </c>
      <c r="R2424" s="26">
        <f>Q2424*G2424</f>
        <v/>
      </c>
      <c r="S2424" t="n">
        <v>70.59</v>
      </c>
      <c r="T2424" s="18">
        <f>1 - V2424/S2424</f>
        <v/>
      </c>
      <c r="U2424" s="18" t="n">
        <v>0.2445378151260503</v>
      </c>
      <c r="V2424" s="26" t="n">
        <v>60.94915254237289</v>
      </c>
      <c r="W2424" s="26">
        <f>V2424 - L2424</f>
        <v/>
      </c>
    </row>
    <row r="2425">
      <c r="A2425" s="11" t="n">
        <v>46227</v>
      </c>
      <c r="B2425" s="1" t="n">
        <v>20058</v>
      </c>
      <c r="C2425" s="1" t="inlineStr">
        <is>
          <t>039</t>
        </is>
      </c>
      <c r="D2425" s="1" t="inlineStr">
        <is>
          <t>231574</t>
        </is>
      </c>
      <c r="E2425" s="1" t="inlineStr">
        <is>
          <t xml:space="preserve">31754675       </t>
        </is>
      </c>
      <c r="F2425" s="5" t="inlineStr">
        <is>
          <t>INFINITY NADO SERIE 6 STARTER PACK - 4 MODELOS</t>
        </is>
      </c>
      <c r="G2425" t="n">
        <v>1</v>
      </c>
      <c r="H2425" s="7" t="n">
        <v>49.9</v>
      </c>
      <c r="I2425" s="7" t="n">
        <v>0</v>
      </c>
      <c r="J2425" s="7" t="n">
        <v>0</v>
      </c>
      <c r="K2425" s="9" t="n">
        <v>0</v>
      </c>
      <c r="L2425" s="10" t="n">
        <v>29.6</v>
      </c>
      <c r="M2425" s="10" t="n">
        <v>1.43</v>
      </c>
      <c r="N2425" t="inlineStr">
        <is>
          <t>1</t>
        </is>
      </c>
      <c r="O2425" t="inlineStr">
        <is>
          <t>16</t>
        </is>
      </c>
      <c r="P2425" t="inlineStr">
        <is>
          <t xml:space="preserve">246156  </t>
        </is>
      </c>
      <c r="Q2425" s="26" t="n">
        <v>69.90000000000001</v>
      </c>
      <c r="R2425" s="26">
        <f>Q2425*G2425</f>
        <v/>
      </c>
      <c r="S2425" t="n">
        <v>41.47</v>
      </c>
      <c r="T2425" s="18">
        <f>1 - V2425/S2425</f>
        <v/>
      </c>
      <c r="U2425" s="18" t="n">
        <v>0.2861230329041489</v>
      </c>
      <c r="V2425" s="26" t="n">
        <v>31.71610169491525</v>
      </c>
      <c r="W2425" s="26">
        <f>V2425 - L2425</f>
        <v/>
      </c>
    </row>
    <row r="2426">
      <c r="A2426" s="11" t="n">
        <v>46227</v>
      </c>
      <c r="B2426" s="1" t="n">
        <v>20058</v>
      </c>
      <c r="C2426" s="1" t="inlineStr">
        <is>
          <t>039</t>
        </is>
      </c>
      <c r="D2426" s="1" t="inlineStr">
        <is>
          <t>231609</t>
        </is>
      </c>
      <c r="E2426" s="1" t="inlineStr">
        <is>
          <t xml:space="preserve">34840526       </t>
        </is>
      </c>
      <c r="F2426" s="5" t="inlineStr">
        <is>
          <t>NENUCO ABRACITOS</t>
        </is>
      </c>
      <c r="G2426" t="n">
        <v>1</v>
      </c>
      <c r="H2426" s="7" t="n">
        <v>89.90000000000001</v>
      </c>
      <c r="I2426" s="7" t="n">
        <v>0</v>
      </c>
      <c r="J2426" s="7" t="n">
        <v>0</v>
      </c>
      <c r="K2426" s="9" t="n">
        <v>0</v>
      </c>
      <c r="L2426" s="10" t="n">
        <v>53.33</v>
      </c>
      <c r="M2426" s="10" t="n">
        <v>1.43</v>
      </c>
      <c r="N2426" t="inlineStr">
        <is>
          <t>1</t>
        </is>
      </c>
      <c r="O2426" t="inlineStr">
        <is>
          <t>16</t>
        </is>
      </c>
      <c r="P2426" t="inlineStr">
        <is>
          <t xml:space="preserve">92832   </t>
        </is>
      </c>
      <c r="Q2426" s="26" t="n">
        <v>119</v>
      </c>
      <c r="R2426" s="26">
        <f>Q2426*G2426</f>
        <v/>
      </c>
      <c r="S2426" t="n">
        <v>70.59</v>
      </c>
      <c r="T2426" s="18">
        <f>1 - V2426/S2426</f>
        <v/>
      </c>
      <c r="U2426" s="18" t="n">
        <v>0.2445378151260503</v>
      </c>
      <c r="V2426" s="26" t="n">
        <v>60.94915254237289</v>
      </c>
      <c r="W2426" s="26">
        <f>V2426 - L2426</f>
        <v/>
      </c>
    </row>
    <row r="2427">
      <c r="A2427" s="11" t="n">
        <v>46227</v>
      </c>
      <c r="B2427" s="1" t="n">
        <v>20058</v>
      </c>
      <c r="C2427" s="1" t="inlineStr">
        <is>
          <t>803</t>
        </is>
      </c>
      <c r="D2427" s="1" t="inlineStr">
        <is>
          <t xml:space="preserve">2084  </t>
        </is>
      </c>
      <c r="E2427" s="1" t="inlineStr">
        <is>
          <t xml:space="preserve">28194768       </t>
        </is>
      </c>
      <c r="F2427" s="5" t="inlineStr">
        <is>
          <t>AUTO COLOR CHANGE TEAMSTERZ SURTIDO</t>
        </is>
      </c>
      <c r="G2427" t="n">
        <v>1</v>
      </c>
      <c r="H2427" s="7" t="n">
        <v>14.9</v>
      </c>
      <c r="I2427" s="7" t="n">
        <v>0</v>
      </c>
      <c r="J2427" s="7" t="n">
        <v>0</v>
      </c>
      <c r="K2427" s="9" t="n">
        <v>0</v>
      </c>
      <c r="L2427" s="10" t="n">
        <v>8.84</v>
      </c>
      <c r="M2427" s="10" t="n">
        <v>1.43</v>
      </c>
      <c r="N2427" t="inlineStr">
        <is>
          <t>1</t>
        </is>
      </c>
      <c r="O2427" t="inlineStr">
        <is>
          <t>16</t>
        </is>
      </c>
      <c r="P2427" t="inlineStr">
        <is>
          <t xml:space="preserve">250714  </t>
        </is>
      </c>
      <c r="Q2427" s="26" t="n">
        <v>14.9</v>
      </c>
      <c r="R2427" s="26">
        <f>Q2427*G2427</f>
        <v/>
      </c>
      <c r="S2427" t="n">
        <v>8.84</v>
      </c>
      <c r="T2427" s="18">
        <f>1 - V2427/S2427</f>
        <v/>
      </c>
      <c r="U2427" s="18" t="n">
        <v>0</v>
      </c>
      <c r="V2427" s="26" t="n">
        <v>8.84</v>
      </c>
      <c r="W2427" s="26">
        <f>V2427 - L2427</f>
        <v/>
      </c>
    </row>
    <row r="2428">
      <c r="A2428" s="11" t="n">
        <v>46227</v>
      </c>
      <c r="B2428" s="1" t="n">
        <v>20062</v>
      </c>
      <c r="C2428" s="1" t="inlineStr">
        <is>
          <t>014</t>
        </is>
      </c>
      <c r="D2428" s="1" t="inlineStr">
        <is>
          <t>228875</t>
        </is>
      </c>
      <c r="E2428" s="1" t="inlineStr">
        <is>
          <t xml:space="preserve">35685067       </t>
        </is>
      </c>
      <c r="F2428" s="5" t="inlineStr">
        <is>
          <t>HOT WHEELS POWER SET 3 EN 1</t>
        </is>
      </c>
      <c r="G2428" t="n">
        <v>1</v>
      </c>
      <c r="H2428" s="7" t="n">
        <v>49.9</v>
      </c>
      <c r="I2428" s="7" t="n">
        <v>0</v>
      </c>
      <c r="J2428" s="7" t="n">
        <v>0</v>
      </c>
      <c r="K2428" s="9" t="n">
        <v>0</v>
      </c>
      <c r="L2428" s="10" t="n">
        <v>29.6</v>
      </c>
      <c r="M2428" s="10" t="n">
        <v>1.43</v>
      </c>
      <c r="N2428" t="inlineStr">
        <is>
          <t>1</t>
        </is>
      </c>
      <c r="O2428" t="inlineStr">
        <is>
          <t>16</t>
        </is>
      </c>
      <c r="P2428" t="inlineStr">
        <is>
          <t xml:space="preserve">57106   </t>
        </is>
      </c>
      <c r="Q2428" s="26" t="n">
        <v>49.9</v>
      </c>
      <c r="R2428" s="26">
        <f>Q2428*G2428</f>
        <v/>
      </c>
      <c r="S2428" t="n">
        <v>29.6</v>
      </c>
      <c r="T2428" s="18">
        <f>1 - V2428/S2428</f>
        <v/>
      </c>
      <c r="U2428" s="18" t="n">
        <v>0</v>
      </c>
      <c r="V2428" s="26" t="n">
        <v>29.6</v>
      </c>
      <c r="W2428" s="26">
        <f>V2428 - L2428</f>
        <v/>
      </c>
    </row>
    <row r="2429">
      <c r="A2429" s="11" t="n">
        <v>46227</v>
      </c>
      <c r="B2429" s="1" t="n">
        <v>20062</v>
      </c>
      <c r="C2429" s="1" t="inlineStr">
        <is>
          <t>053</t>
        </is>
      </c>
      <c r="D2429" s="1" t="inlineStr">
        <is>
          <t>243850</t>
        </is>
      </c>
      <c r="E2429" s="1" t="inlineStr">
        <is>
          <t xml:space="preserve">31754676       </t>
        </is>
      </c>
      <c r="F2429" s="5" t="inlineStr">
        <is>
          <t>INFINITY NADO SERIE 6 STD PACK LANZ ESPAD ANILLO M</t>
        </is>
      </c>
      <c r="G2429" t="n">
        <v>1</v>
      </c>
      <c r="H2429" s="7" t="n">
        <v>59.9</v>
      </c>
      <c r="I2429" s="7" t="n">
        <v>0</v>
      </c>
      <c r="J2429" s="7" t="n">
        <v>0</v>
      </c>
      <c r="K2429" s="9" t="n">
        <v>0</v>
      </c>
      <c r="L2429" s="10" t="n">
        <v>35.53</v>
      </c>
      <c r="M2429" s="10" t="n">
        <v>1.43</v>
      </c>
      <c r="N2429" t="inlineStr">
        <is>
          <t>1</t>
        </is>
      </c>
      <c r="O2429" t="inlineStr">
        <is>
          <t xml:space="preserve">2 </t>
        </is>
      </c>
      <c r="P2429" t="inlineStr">
        <is>
          <t xml:space="preserve">237521  </t>
        </is>
      </c>
      <c r="Q2429" s="26" t="n">
        <v>79.90000000000001</v>
      </c>
      <c r="R2429" s="26">
        <f>Q2429*G2429</f>
        <v/>
      </c>
      <c r="S2429" t="n">
        <v>47.4</v>
      </c>
      <c r="T2429" s="18">
        <f>1 - V2429/S2429</f>
        <v/>
      </c>
      <c r="U2429" s="18" t="n">
        <v>0.2503128911138924</v>
      </c>
      <c r="V2429" s="26" t="n">
        <v>38.07203389830509</v>
      </c>
      <c r="W2429" s="26">
        <f>V2429 - L2429</f>
        <v/>
      </c>
    </row>
    <row r="2430">
      <c r="A2430" s="11" t="n">
        <v>46227</v>
      </c>
      <c r="B2430" s="1" t="n">
        <v>20069</v>
      </c>
      <c r="C2430" s="1" t="inlineStr">
        <is>
          <t>024</t>
        </is>
      </c>
      <c r="D2430" s="1" t="inlineStr">
        <is>
          <t>105543</t>
        </is>
      </c>
      <c r="E2430" s="1" t="inlineStr">
        <is>
          <t xml:space="preserve">28194770       </t>
        </is>
      </c>
      <c r="F2430" s="5" t="inlineStr">
        <is>
          <t>AUTOS DE METAL 3 TEAMSTERZ EN BLISTER</t>
        </is>
      </c>
      <c r="G2430" t="n">
        <v>1</v>
      </c>
      <c r="H2430" s="7" t="n">
        <v>6.9</v>
      </c>
      <c r="I2430" s="7" t="n">
        <v>0</v>
      </c>
      <c r="J2430" s="7" t="n">
        <v>0</v>
      </c>
      <c r="K2430" s="9" t="n">
        <v>0</v>
      </c>
      <c r="L2430" s="10" t="n">
        <v>4.1</v>
      </c>
      <c r="M2430" s="10" t="n">
        <v>1.43</v>
      </c>
      <c r="N2430" t="inlineStr">
        <is>
          <t>1</t>
        </is>
      </c>
      <c r="O2430" t="inlineStr">
        <is>
          <t>16</t>
        </is>
      </c>
      <c r="P2430" t="inlineStr">
        <is>
          <t xml:space="preserve">247842  </t>
        </is>
      </c>
      <c r="Q2430" s="26" t="n">
        <v>6.9</v>
      </c>
      <c r="R2430" s="26">
        <f>Q2430*G2430</f>
        <v/>
      </c>
      <c r="S2430" t="n">
        <v>4.09</v>
      </c>
      <c r="T2430" s="18">
        <f>1 - V2430/S2430</f>
        <v/>
      </c>
      <c r="U2430" s="18" t="n">
        <v>0</v>
      </c>
      <c r="V2430" s="26" t="n">
        <v>4.09</v>
      </c>
      <c r="W2430" s="26">
        <f>V2430 - L2430</f>
        <v/>
      </c>
    </row>
    <row r="2431">
      <c r="A2431" s="11" t="n">
        <v>46227</v>
      </c>
      <c r="B2431" s="1" t="n">
        <v>20069</v>
      </c>
      <c r="C2431" s="1" t="inlineStr">
        <is>
          <t>026</t>
        </is>
      </c>
      <c r="D2431" s="1" t="inlineStr">
        <is>
          <t>360146</t>
        </is>
      </c>
      <c r="E2431" s="1" t="inlineStr">
        <is>
          <t xml:space="preserve">28194769       </t>
        </is>
      </c>
      <c r="F2431" s="5" t="inlineStr">
        <is>
          <t>AUTOS DE METAL 3 TEAMSTERZ PACK DE 2</t>
        </is>
      </c>
      <c r="G2431" t="n">
        <v>1</v>
      </c>
      <c r="H2431" s="7" t="n">
        <v>13.8</v>
      </c>
      <c r="I2431" s="7" t="n">
        <v>0</v>
      </c>
      <c r="J2431" s="7" t="n">
        <v>0</v>
      </c>
      <c r="K2431" s="9" t="n">
        <v>0</v>
      </c>
      <c r="L2431" s="10" t="n">
        <v>8.18</v>
      </c>
      <c r="M2431" s="10" t="n">
        <v>1.43</v>
      </c>
      <c r="N2431" t="inlineStr">
        <is>
          <t>1</t>
        </is>
      </c>
      <c r="O2431" t="inlineStr">
        <is>
          <t xml:space="preserve">2 </t>
        </is>
      </c>
      <c r="P2431" t="inlineStr">
        <is>
          <t xml:space="preserve">249780  </t>
        </is>
      </c>
      <c r="Q2431" s="26" t="n">
        <v>13.8</v>
      </c>
      <c r="R2431" s="26">
        <f>Q2431*G2431</f>
        <v/>
      </c>
      <c r="S2431" t="n">
        <v>8.19</v>
      </c>
      <c r="T2431" s="18">
        <f>1 - V2431/S2431</f>
        <v/>
      </c>
      <c r="U2431" s="18" t="n">
        <v>0</v>
      </c>
      <c r="V2431" s="26" t="n">
        <v>8.19</v>
      </c>
      <c r="W2431" s="26">
        <f>V2431 - L2431</f>
        <v/>
      </c>
    </row>
    <row r="2432">
      <c r="A2432" s="11" t="n">
        <v>46227</v>
      </c>
      <c r="B2432" s="1" t="n">
        <v>20069</v>
      </c>
      <c r="C2432" s="1" t="inlineStr">
        <is>
          <t>801</t>
        </is>
      </c>
      <c r="D2432" s="1" t="inlineStr">
        <is>
          <t xml:space="preserve">1665  </t>
        </is>
      </c>
      <c r="E2432" s="1" t="inlineStr">
        <is>
          <t xml:space="preserve">30141780       </t>
        </is>
      </c>
      <c r="F2432" s="5" t="inlineStr">
        <is>
          <t>RELOJ DIGITAL PEPPA PIG</t>
        </is>
      </c>
      <c r="G2432" t="n">
        <v>1</v>
      </c>
      <c r="H2432" s="7" t="n">
        <v>18.9</v>
      </c>
      <c r="I2432" s="7" t="n">
        <v>0</v>
      </c>
      <c r="J2432" s="7" t="n">
        <v>0</v>
      </c>
      <c r="K2432" s="9" t="n">
        <v>0</v>
      </c>
      <c r="L2432" s="10" t="n">
        <v>11.21</v>
      </c>
      <c r="M2432" s="10" t="n">
        <v>1.43</v>
      </c>
      <c r="N2432" t="inlineStr">
        <is>
          <t>1</t>
        </is>
      </c>
      <c r="O2432" t="inlineStr">
        <is>
          <t>16</t>
        </is>
      </c>
      <c r="P2432" t="inlineStr">
        <is>
          <t xml:space="preserve">0       </t>
        </is>
      </c>
      <c r="Q2432" s="26" t="n">
        <v>18.9</v>
      </c>
      <c r="R2432" s="26">
        <f>Q2432*G2432</f>
        <v/>
      </c>
      <c r="S2432" t="n">
        <v>11.21</v>
      </c>
      <c r="T2432" s="18">
        <f>1 - V2432/S2432</f>
        <v/>
      </c>
      <c r="U2432" s="18" t="n">
        <v>0</v>
      </c>
      <c r="V2432" s="26" t="n">
        <v>11.21</v>
      </c>
      <c r="W2432" s="26">
        <f>V2432 - L2432</f>
        <v/>
      </c>
    </row>
    <row r="2433">
      <c r="A2433" s="11" t="n">
        <v>46227</v>
      </c>
      <c r="B2433" s="1" t="n">
        <v>20073</v>
      </c>
      <c r="C2433" s="1" t="inlineStr">
        <is>
          <t>046</t>
        </is>
      </c>
      <c r="D2433" s="1" t="inlineStr">
        <is>
          <t>207876</t>
        </is>
      </c>
      <c r="E2433" s="1" t="inlineStr">
        <is>
          <t xml:space="preserve">32457099       </t>
        </is>
      </c>
      <c r="F2433" s="5" t="inlineStr">
        <is>
          <t>TMZ BEAST MACHINES MONSTER JAWS A FRICCION BLISTER</t>
        </is>
      </c>
      <c r="G2433" t="n">
        <v>1</v>
      </c>
      <c r="H2433" s="7" t="n">
        <v>17.9</v>
      </c>
      <c r="I2433" s="7" t="n">
        <v>0</v>
      </c>
      <c r="J2433" s="7" t="n">
        <v>0</v>
      </c>
      <c r="K2433" s="9" t="n">
        <v>0</v>
      </c>
      <c r="L2433" s="10" t="n">
        <v>10.62</v>
      </c>
      <c r="M2433" s="10" t="n">
        <v>1.43</v>
      </c>
      <c r="N2433" t="inlineStr">
        <is>
          <t>1</t>
        </is>
      </c>
      <c r="O2433" t="inlineStr">
        <is>
          <t xml:space="preserve">2 </t>
        </is>
      </c>
      <c r="P2433" t="inlineStr">
        <is>
          <t xml:space="preserve">74879   </t>
        </is>
      </c>
      <c r="Q2433" s="26" t="n">
        <v>19.9</v>
      </c>
      <c r="R2433" s="26">
        <f>Q2433*G2433</f>
        <v/>
      </c>
      <c r="S2433" t="n">
        <v>11.81</v>
      </c>
      <c r="T2433" s="18">
        <f>1 - V2433/S2433</f>
        <v/>
      </c>
      <c r="U2433" s="18" t="n">
        <v>0.1005025125628141</v>
      </c>
      <c r="V2433" s="26" t="n">
        <v>8.417118644067797</v>
      </c>
      <c r="W2433" s="26">
        <f>V2433 - L2433</f>
        <v/>
      </c>
    </row>
    <row r="2434">
      <c r="A2434" s="11" t="n">
        <v>46227</v>
      </c>
      <c r="B2434" s="1" t="n">
        <v>20074</v>
      </c>
      <c r="C2434" s="1" t="inlineStr">
        <is>
          <t>048</t>
        </is>
      </c>
      <c r="D2434" s="1" t="inlineStr">
        <is>
          <t>145705</t>
        </is>
      </c>
      <c r="E2434" s="1" t="inlineStr">
        <is>
          <t xml:space="preserve">28194770       </t>
        </is>
      </c>
      <c r="F2434" s="5" t="inlineStr">
        <is>
          <t>AUTOS DE METAL 3 TEAMSTERZ EN BLISTER</t>
        </is>
      </c>
      <c r="G2434" t="n">
        <v>1</v>
      </c>
      <c r="H2434" s="7" t="n">
        <v>6.9</v>
      </c>
      <c r="I2434" s="7" t="n">
        <v>0</v>
      </c>
      <c r="J2434" s="7" t="n">
        <v>0</v>
      </c>
      <c r="K2434" s="9" t="n">
        <v>0</v>
      </c>
      <c r="L2434" s="10" t="n">
        <v>4.1</v>
      </c>
      <c r="M2434" s="10" t="n">
        <v>1.43</v>
      </c>
      <c r="N2434" t="inlineStr">
        <is>
          <t>1</t>
        </is>
      </c>
      <c r="O2434" t="inlineStr">
        <is>
          <t>16</t>
        </is>
      </c>
      <c r="P2434" t="inlineStr">
        <is>
          <t xml:space="preserve">250534  </t>
        </is>
      </c>
      <c r="Q2434" s="26" t="n">
        <v>6.9</v>
      </c>
      <c r="R2434" s="26">
        <f>Q2434*G2434</f>
        <v/>
      </c>
      <c r="S2434" t="n">
        <v>4.09</v>
      </c>
      <c r="T2434" s="18">
        <f>1 - V2434/S2434</f>
        <v/>
      </c>
      <c r="U2434" s="18" t="n">
        <v>0</v>
      </c>
      <c r="V2434" s="26" t="n">
        <v>4.09</v>
      </c>
      <c r="W2434" s="26">
        <f>V2434 - L2434</f>
        <v/>
      </c>
    </row>
    <row r="2435">
      <c r="A2435" s="11" t="n">
        <v>46227</v>
      </c>
      <c r="B2435" s="1" t="n">
        <v>20077</v>
      </c>
      <c r="C2435" s="1" t="inlineStr">
        <is>
          <t>029</t>
        </is>
      </c>
      <c r="D2435" s="1" t="inlineStr">
        <is>
          <t>156807</t>
        </is>
      </c>
      <c r="E2435" s="1" t="inlineStr">
        <is>
          <t xml:space="preserve">31754676       </t>
        </is>
      </c>
      <c r="F2435" s="5" t="inlineStr">
        <is>
          <t>INFINITY NADO SERIE 6 STD PACK LANZ ESPAD ANILLO M</t>
        </is>
      </c>
      <c r="G2435" t="n">
        <v>1</v>
      </c>
      <c r="H2435" s="7" t="n">
        <v>59.9</v>
      </c>
      <c r="I2435" s="7" t="n">
        <v>0</v>
      </c>
      <c r="J2435" s="7" t="n">
        <v>0</v>
      </c>
      <c r="K2435" s="9" t="n">
        <v>0</v>
      </c>
      <c r="L2435" s="10" t="n">
        <v>35.53</v>
      </c>
      <c r="M2435" s="10" t="n">
        <v>1.43</v>
      </c>
      <c r="N2435" t="inlineStr">
        <is>
          <t>1</t>
        </is>
      </c>
      <c r="O2435" t="inlineStr">
        <is>
          <t>16</t>
        </is>
      </c>
      <c r="P2435" t="inlineStr">
        <is>
          <t xml:space="preserve">43639   </t>
        </is>
      </c>
      <c r="Q2435" s="26" t="n">
        <v>79.90000000000001</v>
      </c>
      <c r="R2435" s="26">
        <f>Q2435*G2435</f>
        <v/>
      </c>
      <c r="S2435" t="n">
        <v>47.4</v>
      </c>
      <c r="T2435" s="18">
        <f>1 - V2435/S2435</f>
        <v/>
      </c>
      <c r="U2435" s="18" t="n">
        <v>0.2503128911138924</v>
      </c>
      <c r="V2435" s="26" t="n">
        <v>38.07203389830509</v>
      </c>
      <c r="W2435" s="26">
        <f>V2435 - L2435</f>
        <v/>
      </c>
    </row>
    <row r="2436">
      <c r="A2436" s="11" t="n">
        <v>46227</v>
      </c>
      <c r="B2436" s="1" t="n">
        <v>20077</v>
      </c>
      <c r="C2436" s="1" t="inlineStr">
        <is>
          <t>031</t>
        </is>
      </c>
      <c r="D2436" s="1" t="inlineStr">
        <is>
          <t>186649</t>
        </is>
      </c>
      <c r="E2436" s="1" t="inlineStr">
        <is>
          <t xml:space="preserve">28194769       </t>
        </is>
      </c>
      <c r="F2436" s="5" t="inlineStr">
        <is>
          <t>AUTOS DE METAL 3 TEAMSTERZ PACK DE 2</t>
        </is>
      </c>
      <c r="G2436" t="n">
        <v>1</v>
      </c>
      <c r="H2436" s="7" t="n">
        <v>13.8</v>
      </c>
      <c r="I2436" s="7" t="n">
        <v>0</v>
      </c>
      <c r="J2436" s="7" t="n">
        <v>0</v>
      </c>
      <c r="K2436" s="9" t="n">
        <v>0</v>
      </c>
      <c r="L2436" s="10" t="n">
        <v>8.18</v>
      </c>
      <c r="M2436" s="10" t="n">
        <v>1.43</v>
      </c>
      <c r="N2436" t="inlineStr">
        <is>
          <t>1</t>
        </is>
      </c>
      <c r="O2436" t="inlineStr">
        <is>
          <t xml:space="preserve">2 </t>
        </is>
      </c>
      <c r="P2436" t="inlineStr">
        <is>
          <t xml:space="preserve">238746  </t>
        </is>
      </c>
      <c r="Q2436" s="26" t="n">
        <v>13.8</v>
      </c>
      <c r="R2436" s="26">
        <f>Q2436*G2436</f>
        <v/>
      </c>
      <c r="S2436" t="n">
        <v>8.19</v>
      </c>
      <c r="T2436" s="18">
        <f>1 - V2436/S2436</f>
        <v/>
      </c>
      <c r="U2436" s="18" t="n">
        <v>0</v>
      </c>
      <c r="V2436" s="26" t="n">
        <v>8.19</v>
      </c>
      <c r="W2436" s="26">
        <f>V2436 - L2436</f>
        <v/>
      </c>
    </row>
    <row r="2437">
      <c r="A2437" s="11" t="n">
        <v>46227</v>
      </c>
      <c r="B2437" s="1" t="n">
        <v>20077</v>
      </c>
      <c r="C2437" s="1" t="inlineStr">
        <is>
          <t>031</t>
        </is>
      </c>
      <c r="D2437" s="1" t="inlineStr">
        <is>
          <t>186649</t>
        </is>
      </c>
      <c r="E2437" s="1" t="inlineStr">
        <is>
          <t xml:space="preserve">28194780       </t>
        </is>
      </c>
      <c r="F2437" s="5" t="inlineStr">
        <is>
          <t>TROMPO BATALLA INFINITY NADO PLSTICO SURTIDO</t>
        </is>
      </c>
      <c r="G2437" t="n">
        <v>1</v>
      </c>
      <c r="H2437" s="7" t="n">
        <v>19.9</v>
      </c>
      <c r="I2437" s="7" t="n">
        <v>0</v>
      </c>
      <c r="J2437" s="7" t="n">
        <v>0</v>
      </c>
      <c r="K2437" s="9" t="n">
        <v>0</v>
      </c>
      <c r="L2437" s="10" t="n">
        <v>11.8</v>
      </c>
      <c r="M2437" s="10" t="n">
        <v>1.43</v>
      </c>
      <c r="N2437" t="inlineStr">
        <is>
          <t>1</t>
        </is>
      </c>
      <c r="O2437" t="inlineStr">
        <is>
          <t xml:space="preserve">2 </t>
        </is>
      </c>
      <c r="P2437" t="inlineStr">
        <is>
          <t xml:space="preserve">238746  </t>
        </is>
      </c>
      <c r="Q2437" s="26" t="n">
        <v>19.9</v>
      </c>
      <c r="R2437" s="26">
        <f>Q2437*G2437</f>
        <v/>
      </c>
      <c r="S2437" t="n">
        <v>11.81</v>
      </c>
      <c r="T2437" s="18">
        <f>1 - V2437/S2437</f>
        <v/>
      </c>
      <c r="U2437" s="18" t="n">
        <v>0</v>
      </c>
      <c r="V2437" s="26" t="n">
        <v>11.81</v>
      </c>
      <c r="W2437" s="26">
        <f>V2437 - L2437</f>
        <v/>
      </c>
    </row>
    <row r="2438">
      <c r="A2438" s="11" t="n">
        <v>46227</v>
      </c>
      <c r="B2438" s="1" t="n">
        <v>20077</v>
      </c>
      <c r="C2438" s="1" t="inlineStr">
        <is>
          <t>039</t>
        </is>
      </c>
      <c r="D2438" s="1" t="inlineStr">
        <is>
          <t>279972</t>
        </is>
      </c>
      <c r="E2438" s="1" t="inlineStr">
        <is>
          <t xml:space="preserve">30232284       </t>
        </is>
      </c>
      <c r="F2438" s="5" t="inlineStr">
        <is>
          <t>INFINITY NADO TROMPO DE BATALLA - METAL C/PUNTA DE</t>
        </is>
      </c>
      <c r="G2438" t="n">
        <v>1</v>
      </c>
      <c r="H2438" s="7" t="n">
        <v>34.9</v>
      </c>
      <c r="I2438" s="7" t="n">
        <v>0</v>
      </c>
      <c r="J2438" s="7" t="n">
        <v>0</v>
      </c>
      <c r="K2438" s="9" t="n">
        <v>0</v>
      </c>
      <c r="L2438" s="10" t="n">
        <v>20.71</v>
      </c>
      <c r="M2438" s="10" t="n">
        <v>1.43</v>
      </c>
      <c r="N2438" t="inlineStr">
        <is>
          <t>1</t>
        </is>
      </c>
      <c r="O2438" t="inlineStr">
        <is>
          <t>16</t>
        </is>
      </c>
      <c r="P2438" t="inlineStr">
        <is>
          <t xml:space="preserve">43863   </t>
        </is>
      </c>
      <c r="Q2438" s="26" t="n">
        <v>49.9</v>
      </c>
      <c r="R2438" s="26">
        <f>Q2438*G2438</f>
        <v/>
      </c>
      <c r="S2438" t="n">
        <v>29.6</v>
      </c>
      <c r="T2438" s="18">
        <f>1 - V2438/S2438</f>
        <v/>
      </c>
      <c r="U2438" s="18" t="n">
        <v>0.3006012024048096</v>
      </c>
      <c r="V2438" s="26" t="n">
        <v>22.18220338983051</v>
      </c>
      <c r="W2438" s="26">
        <f>V2438 - L2438</f>
        <v/>
      </c>
    </row>
    <row r="2439">
      <c r="A2439" s="11" t="n">
        <v>46227</v>
      </c>
      <c r="B2439" s="1" t="n">
        <v>20080</v>
      </c>
      <c r="C2439" s="1" t="inlineStr">
        <is>
          <t>029</t>
        </is>
      </c>
      <c r="D2439" s="1" t="inlineStr">
        <is>
          <t>226249</t>
        </is>
      </c>
      <c r="E2439" s="1" t="inlineStr">
        <is>
          <t xml:space="preserve">33483116       </t>
        </is>
      </c>
      <c r="F2439" s="5" t="inlineStr">
        <is>
          <t>MUNECA EVI LOVE GATO + COCHE + ACC.</t>
        </is>
      </c>
      <c r="G2439" t="n">
        <v>1</v>
      </c>
      <c r="H2439" s="7" t="n">
        <v>20.94</v>
      </c>
      <c r="I2439" s="7" t="n">
        <v>2.09</v>
      </c>
      <c r="J2439" s="7" t="n">
        <v>0</v>
      </c>
      <c r="K2439" s="9" t="n">
        <v>2.09</v>
      </c>
      <c r="L2439" s="10" t="n">
        <v>11.18</v>
      </c>
      <c r="M2439" s="10" t="n">
        <v>1.43</v>
      </c>
      <c r="N2439" t="inlineStr">
        <is>
          <t>1</t>
        </is>
      </c>
      <c r="O2439" t="inlineStr">
        <is>
          <t xml:space="preserve">3 </t>
        </is>
      </c>
      <c r="P2439" t="inlineStr">
        <is>
          <t xml:space="preserve">79951   </t>
        </is>
      </c>
      <c r="Q2439" s="26" t="n">
        <v>34.9</v>
      </c>
      <c r="R2439" s="26">
        <f>Q2439*G2439</f>
        <v/>
      </c>
      <c r="S2439" t="n">
        <v>20.7</v>
      </c>
      <c r="T2439" s="18">
        <f>1 - V2439/S2439</f>
        <v/>
      </c>
      <c r="U2439" s="18" t="n">
        <v>0.4</v>
      </c>
      <c r="V2439" s="26" t="n">
        <v>15.97118644067796</v>
      </c>
      <c r="W2439" s="26">
        <f>V2439 - L2439</f>
        <v/>
      </c>
    </row>
    <row r="2440">
      <c r="A2440" s="11" t="n">
        <v>46227</v>
      </c>
      <c r="B2440" s="1" t="n">
        <v>20086</v>
      </c>
      <c r="C2440" s="1" t="inlineStr">
        <is>
          <t>014</t>
        </is>
      </c>
      <c r="D2440" s="1" t="inlineStr">
        <is>
          <t>127418</t>
        </is>
      </c>
      <c r="E2440" s="1" t="inlineStr">
        <is>
          <t xml:space="preserve">28194770       </t>
        </is>
      </c>
      <c r="F2440" s="5" t="inlineStr">
        <is>
          <t>AUTOS DE METAL 3 TEAMSTERZ EN BLISTER</t>
        </is>
      </c>
      <c r="G2440" t="n">
        <v>1</v>
      </c>
      <c r="H2440" s="7" t="n">
        <v>6.9</v>
      </c>
      <c r="I2440" s="7" t="n">
        <v>0</v>
      </c>
      <c r="J2440" s="7" t="n">
        <v>0</v>
      </c>
      <c r="K2440" s="9" t="n">
        <v>0</v>
      </c>
      <c r="L2440" s="10" t="n">
        <v>4.1</v>
      </c>
      <c r="M2440" s="10" t="n">
        <v>1.43</v>
      </c>
      <c r="N2440" t="inlineStr">
        <is>
          <t>1</t>
        </is>
      </c>
      <c r="O2440" t="inlineStr">
        <is>
          <t xml:space="preserve">2 </t>
        </is>
      </c>
      <c r="P2440" t="inlineStr">
        <is>
          <t xml:space="preserve">74697   </t>
        </is>
      </c>
      <c r="Q2440" s="26" t="n">
        <v>6.9</v>
      </c>
      <c r="R2440" s="26">
        <f>Q2440*G2440</f>
        <v/>
      </c>
      <c r="S2440" t="n">
        <v>4.09</v>
      </c>
      <c r="T2440" s="18">
        <f>1 - V2440/S2440</f>
        <v/>
      </c>
      <c r="U2440" s="18" t="n">
        <v>0</v>
      </c>
      <c r="V2440" s="26" t="n">
        <v>4.09</v>
      </c>
      <c r="W2440" s="26">
        <f>V2440 - L2440</f>
        <v/>
      </c>
    </row>
    <row r="2441">
      <c r="A2441" s="11" t="n">
        <v>46227</v>
      </c>
      <c r="B2441" s="1" t="n">
        <v>20086</v>
      </c>
      <c r="C2441" s="1" t="inlineStr">
        <is>
          <t>022</t>
        </is>
      </c>
      <c r="D2441" s="1" t="inlineStr">
        <is>
          <t>113412</t>
        </is>
      </c>
      <c r="E2441" s="1" t="inlineStr">
        <is>
          <t xml:space="preserve">28194770       </t>
        </is>
      </c>
      <c r="F2441" s="5" t="inlineStr">
        <is>
          <t>AUTOS DE METAL 3 TEAMSTERZ EN BLISTER</t>
        </is>
      </c>
      <c r="G2441" t="n">
        <v>1</v>
      </c>
      <c r="H2441" s="7" t="n">
        <v>6.9</v>
      </c>
      <c r="I2441" s="7" t="n">
        <v>0</v>
      </c>
      <c r="J2441" s="7" t="n">
        <v>0</v>
      </c>
      <c r="K2441" s="9" t="n">
        <v>0</v>
      </c>
      <c r="L2441" s="10" t="n">
        <v>4.1</v>
      </c>
      <c r="M2441" s="10" t="n">
        <v>1.43</v>
      </c>
      <c r="N2441" t="inlineStr">
        <is>
          <t>1</t>
        </is>
      </c>
      <c r="O2441" t="inlineStr">
        <is>
          <t xml:space="preserve">2 </t>
        </is>
      </c>
      <c r="P2441" t="inlineStr">
        <is>
          <t xml:space="preserve">109714  </t>
        </is>
      </c>
      <c r="Q2441" s="26" t="n">
        <v>6.9</v>
      </c>
      <c r="R2441" s="26">
        <f>Q2441*G2441</f>
        <v/>
      </c>
      <c r="S2441" t="n">
        <v>4.09</v>
      </c>
      <c r="T2441" s="18">
        <f>1 - V2441/S2441</f>
        <v/>
      </c>
      <c r="U2441" s="18" t="n">
        <v>0</v>
      </c>
      <c r="V2441" s="26" t="n">
        <v>4.09</v>
      </c>
      <c r="W2441" s="26">
        <f>V2441 - L2441</f>
        <v/>
      </c>
    </row>
    <row r="2442">
      <c r="A2442" s="11" t="n">
        <v>46227</v>
      </c>
      <c r="B2442" s="1" t="n">
        <v>20088</v>
      </c>
      <c r="C2442" s="1" t="inlineStr">
        <is>
          <t>021</t>
        </is>
      </c>
      <c r="D2442" s="1" t="inlineStr">
        <is>
          <t xml:space="preserve">49999 </t>
        </is>
      </c>
      <c r="E2442" s="1" t="inlineStr">
        <is>
          <t xml:space="preserve">28194769       </t>
        </is>
      </c>
      <c r="F2442" s="5" t="inlineStr">
        <is>
          <t>AUTOS DE METAL 3 TEAMSTERZ PACK DE 2</t>
        </is>
      </c>
      <c r="G2442" t="n">
        <v>1</v>
      </c>
      <c r="H2442" s="7" t="n">
        <v>13.8</v>
      </c>
      <c r="I2442" s="7" t="n">
        <v>0</v>
      </c>
      <c r="J2442" s="7" t="n">
        <v>0</v>
      </c>
      <c r="K2442" s="9" t="n">
        <v>0</v>
      </c>
      <c r="L2442" s="10" t="n">
        <v>8.18</v>
      </c>
      <c r="M2442" s="10" t="n">
        <v>1.43</v>
      </c>
      <c r="N2442" t="inlineStr">
        <is>
          <t>1</t>
        </is>
      </c>
      <c r="O2442" t="inlineStr">
        <is>
          <t>16</t>
        </is>
      </c>
      <c r="P2442" t="inlineStr">
        <is>
          <t xml:space="preserve">249601  </t>
        </is>
      </c>
      <c r="Q2442" s="26" t="n">
        <v>13.8</v>
      </c>
      <c r="R2442" s="26">
        <f>Q2442*G2442</f>
        <v/>
      </c>
      <c r="S2442" t="n">
        <v>8.19</v>
      </c>
      <c r="T2442" s="18">
        <f>1 - V2442/S2442</f>
        <v/>
      </c>
      <c r="U2442" s="18" t="n">
        <v>0</v>
      </c>
      <c r="V2442" s="26" t="n">
        <v>8.19</v>
      </c>
      <c r="W2442" s="26">
        <f>V2442 - L2442</f>
        <v/>
      </c>
    </row>
    <row r="2443">
      <c r="A2443" s="11" t="n">
        <v>46227</v>
      </c>
      <c r="B2443" s="1" t="n">
        <v>20088</v>
      </c>
      <c r="C2443" s="1" t="inlineStr">
        <is>
          <t>021</t>
        </is>
      </c>
      <c r="D2443" s="1" t="inlineStr">
        <is>
          <t xml:space="preserve">49999 </t>
        </is>
      </c>
      <c r="E2443" s="1" t="inlineStr">
        <is>
          <t xml:space="preserve">29235706       </t>
        </is>
      </c>
      <c r="F2443" s="5" t="inlineStr">
        <is>
          <t>TEAMSTERZ CAMION PARA GUARDAR 12 AUTOS INCL 4 AUTO</t>
        </is>
      </c>
      <c r="G2443" t="n">
        <v>1</v>
      </c>
      <c r="H2443" s="7" t="n">
        <v>59.9</v>
      </c>
      <c r="I2443" s="7" t="n">
        <v>0</v>
      </c>
      <c r="J2443" s="7" t="n">
        <v>0</v>
      </c>
      <c r="K2443" s="9" t="n">
        <v>0</v>
      </c>
      <c r="L2443" s="10" t="n">
        <v>35.53</v>
      </c>
      <c r="M2443" s="10" t="n">
        <v>1.43</v>
      </c>
      <c r="N2443" t="inlineStr">
        <is>
          <t>1</t>
        </is>
      </c>
      <c r="O2443" t="inlineStr">
        <is>
          <t>16</t>
        </is>
      </c>
      <c r="P2443" t="inlineStr">
        <is>
          <t xml:space="preserve">249601  </t>
        </is>
      </c>
      <c r="Q2443" s="26" t="n">
        <v>59.90000000000001</v>
      </c>
      <c r="R2443" s="26">
        <f>Q2443*G2443</f>
        <v/>
      </c>
      <c r="S2443" t="n">
        <v>35.53</v>
      </c>
      <c r="T2443" s="18">
        <f>1 - V2443/S2443</f>
        <v/>
      </c>
      <c r="U2443" s="18" t="n">
        <v>0</v>
      </c>
      <c r="V2443" s="26" t="n">
        <v>35.53</v>
      </c>
      <c r="W2443" s="26">
        <f>V2443 - L2443</f>
        <v/>
      </c>
    </row>
    <row r="2444">
      <c r="A2444" s="11" t="n">
        <v>46227</v>
      </c>
      <c r="B2444" s="1" t="n">
        <v>20088</v>
      </c>
      <c r="C2444" s="1" t="inlineStr">
        <is>
          <t>021</t>
        </is>
      </c>
      <c r="D2444" s="1" t="inlineStr">
        <is>
          <t xml:space="preserve">50005 </t>
        </is>
      </c>
      <c r="E2444" s="1" t="inlineStr">
        <is>
          <t xml:space="preserve">28194769       </t>
        </is>
      </c>
      <c r="F2444" s="5" t="inlineStr">
        <is>
          <t>AUTOS DE METAL 3 TEAMSTERZ PACK DE 2</t>
        </is>
      </c>
      <c r="G2444" t="n">
        <v>1</v>
      </c>
      <c r="H2444" s="7" t="n">
        <v>13.8</v>
      </c>
      <c r="I2444" s="7" t="n">
        <v>0</v>
      </c>
      <c r="J2444" s="7" t="n">
        <v>0</v>
      </c>
      <c r="K2444" s="9" t="n">
        <v>0</v>
      </c>
      <c r="L2444" s="10" t="n">
        <v>8.18</v>
      </c>
      <c r="M2444" s="10" t="n">
        <v>1.43</v>
      </c>
      <c r="N2444" t="inlineStr">
        <is>
          <t>1</t>
        </is>
      </c>
      <c r="O2444" t="inlineStr">
        <is>
          <t>16</t>
        </is>
      </c>
      <c r="P2444" t="inlineStr">
        <is>
          <t xml:space="preserve">249601  </t>
        </is>
      </c>
      <c r="Q2444" s="26" t="n">
        <v>13.8</v>
      </c>
      <c r="R2444" s="26">
        <f>Q2444*G2444</f>
        <v/>
      </c>
      <c r="S2444" t="n">
        <v>8.19</v>
      </c>
      <c r="T2444" s="18">
        <f>1 - V2444/S2444</f>
        <v/>
      </c>
      <c r="U2444" s="18" t="n">
        <v>0</v>
      </c>
      <c r="V2444" s="26" t="n">
        <v>8.19</v>
      </c>
      <c r="W2444" s="26">
        <f>V2444 - L2444</f>
        <v/>
      </c>
    </row>
    <row r="2445">
      <c r="A2445" s="11" t="n">
        <v>46227</v>
      </c>
      <c r="B2445" s="1" t="n">
        <v>20088</v>
      </c>
      <c r="C2445" s="1" t="inlineStr">
        <is>
          <t>021</t>
        </is>
      </c>
      <c r="D2445" s="1" t="inlineStr">
        <is>
          <t xml:space="preserve">50005 </t>
        </is>
      </c>
      <c r="E2445" s="1" t="inlineStr">
        <is>
          <t xml:space="preserve">28194770       </t>
        </is>
      </c>
      <c r="F2445" s="5" t="inlineStr">
        <is>
          <t>AUTOS DE METAL 3 TEAMSTERZ EN BLISTER</t>
        </is>
      </c>
      <c r="G2445" t="n">
        <v>1</v>
      </c>
      <c r="H2445" s="7" t="n">
        <v>6.9</v>
      </c>
      <c r="I2445" s="7" t="n">
        <v>0</v>
      </c>
      <c r="J2445" s="7" t="n">
        <v>0</v>
      </c>
      <c r="K2445" s="9" t="n">
        <v>0</v>
      </c>
      <c r="L2445" s="10" t="n">
        <v>4.1</v>
      </c>
      <c r="M2445" s="10" t="n">
        <v>1.43</v>
      </c>
      <c r="N2445" t="inlineStr">
        <is>
          <t>1</t>
        </is>
      </c>
      <c r="O2445" t="inlineStr">
        <is>
          <t>16</t>
        </is>
      </c>
      <c r="P2445" t="inlineStr">
        <is>
          <t xml:space="preserve">249601  </t>
        </is>
      </c>
      <c r="Q2445" s="26" t="n">
        <v>6.9</v>
      </c>
      <c r="R2445" s="26">
        <f>Q2445*G2445</f>
        <v/>
      </c>
      <c r="S2445" t="n">
        <v>4.09</v>
      </c>
      <c r="T2445" s="18">
        <f>1 - V2445/S2445</f>
        <v/>
      </c>
      <c r="U2445" s="18" t="n">
        <v>0</v>
      </c>
      <c r="V2445" s="26" t="n">
        <v>4.09</v>
      </c>
      <c r="W2445" s="26">
        <f>V2445 - L2445</f>
        <v/>
      </c>
    </row>
    <row r="2446">
      <c r="A2446" s="11" t="n">
        <v>46227</v>
      </c>
      <c r="B2446" s="1" t="n">
        <v>20088</v>
      </c>
      <c r="C2446" s="1" t="inlineStr">
        <is>
          <t>023</t>
        </is>
      </c>
      <c r="D2446" s="1" t="inlineStr">
        <is>
          <t>127853</t>
        </is>
      </c>
      <c r="E2446" s="1" t="inlineStr">
        <is>
          <t xml:space="preserve">32457099       </t>
        </is>
      </c>
      <c r="F2446" s="5" t="inlineStr">
        <is>
          <t>TMZ BEAST MACHINES MONSTER JAWS A FRICCION BLISTER</t>
        </is>
      </c>
      <c r="G2446" t="n">
        <v>1</v>
      </c>
      <c r="H2446" s="7" t="n">
        <v>17.9</v>
      </c>
      <c r="I2446" s="7" t="n">
        <v>0</v>
      </c>
      <c r="J2446" s="7" t="n">
        <v>0</v>
      </c>
      <c r="K2446" s="9" t="n">
        <v>0</v>
      </c>
      <c r="L2446" s="10" t="n">
        <v>10.62</v>
      </c>
      <c r="M2446" s="10" t="n">
        <v>1.43</v>
      </c>
      <c r="N2446" t="inlineStr">
        <is>
          <t>1</t>
        </is>
      </c>
      <c r="O2446" t="inlineStr">
        <is>
          <t>16</t>
        </is>
      </c>
      <c r="P2446" t="inlineStr">
        <is>
          <t xml:space="preserve">232153  </t>
        </is>
      </c>
      <c r="Q2446" s="26" t="n">
        <v>19.9</v>
      </c>
      <c r="R2446" s="26">
        <f>Q2446*G2446</f>
        <v/>
      </c>
      <c r="S2446" t="n">
        <v>11.81</v>
      </c>
      <c r="T2446" s="18">
        <f>1 - V2446/S2446</f>
        <v/>
      </c>
      <c r="U2446" s="18" t="n">
        <v>0.1005025125628141</v>
      </c>
      <c r="V2446" s="26" t="n">
        <v>8.417118644067797</v>
      </c>
      <c r="W2446" s="26">
        <f>V2446 - L2446</f>
        <v/>
      </c>
    </row>
    <row r="2447">
      <c r="A2447" s="11" t="n">
        <v>46227</v>
      </c>
      <c r="B2447" s="1" t="n">
        <v>20088</v>
      </c>
      <c r="C2447" s="1" t="inlineStr">
        <is>
          <t>034</t>
        </is>
      </c>
      <c r="D2447" s="1" t="inlineStr">
        <is>
          <t xml:space="preserve">16601 </t>
        </is>
      </c>
      <c r="E2447" s="1" t="inlineStr">
        <is>
          <t xml:space="preserve">30232284       </t>
        </is>
      </c>
      <c r="F2447" s="5" t="inlineStr">
        <is>
          <t>INFINITY NADO TROMPO DE BATALLA - METAL C/PUNTA DE</t>
        </is>
      </c>
      <c r="G2447" t="n">
        <v>1</v>
      </c>
      <c r="H2447" s="7" t="n">
        <v>34.9</v>
      </c>
      <c r="I2447" s="7" t="n">
        <v>3.49</v>
      </c>
      <c r="J2447" s="7" t="n">
        <v>0</v>
      </c>
      <c r="K2447" s="9" t="n">
        <v>3.49</v>
      </c>
      <c r="L2447" s="10" t="n">
        <v>18.63</v>
      </c>
      <c r="M2447" s="10" t="n">
        <v>1.43</v>
      </c>
      <c r="N2447" t="inlineStr">
        <is>
          <t>1</t>
        </is>
      </c>
      <c r="O2447" t="inlineStr">
        <is>
          <t xml:space="preserve">3 </t>
        </is>
      </c>
      <c r="P2447" t="inlineStr">
        <is>
          <t xml:space="preserve">90566   </t>
        </is>
      </c>
      <c r="Q2447" s="26" t="n">
        <v>49.9</v>
      </c>
      <c r="R2447" s="26">
        <f>Q2447*G2447</f>
        <v/>
      </c>
      <c r="S2447" t="n">
        <v>29.6</v>
      </c>
      <c r="T2447" s="18">
        <f>1 - V2447/S2447</f>
        <v/>
      </c>
      <c r="U2447" s="18" t="n">
        <v>0.3006012024048096</v>
      </c>
      <c r="V2447" s="26" t="n">
        <v>22.18220338983051</v>
      </c>
      <c r="W2447" s="26">
        <f>V2447 - L2447</f>
        <v/>
      </c>
    </row>
    <row r="2448">
      <c r="A2448" s="11" t="n">
        <v>46227</v>
      </c>
      <c r="B2448" s="1" t="n">
        <v>20089</v>
      </c>
      <c r="C2448" s="1" t="inlineStr">
        <is>
          <t>025</t>
        </is>
      </c>
      <c r="D2448" s="1" t="inlineStr">
        <is>
          <t>122426</t>
        </is>
      </c>
      <c r="E2448" s="1" t="inlineStr">
        <is>
          <t xml:space="preserve">28194769       </t>
        </is>
      </c>
      <c r="F2448" s="5" t="inlineStr">
        <is>
          <t>AUTOS DE METAL 3 TEAMSTERZ PACK DE 2</t>
        </is>
      </c>
      <c r="G2448" t="n">
        <v>1</v>
      </c>
      <c r="H2448" s="7" t="n">
        <v>13.8</v>
      </c>
      <c r="I2448" s="7" t="n">
        <v>0</v>
      </c>
      <c r="J2448" s="7" t="n">
        <v>0</v>
      </c>
      <c r="K2448" s="9" t="n">
        <v>0</v>
      </c>
      <c r="L2448" s="10" t="n">
        <v>8.18</v>
      </c>
      <c r="M2448" s="10" t="n">
        <v>1.43</v>
      </c>
      <c r="N2448" t="inlineStr">
        <is>
          <t>1</t>
        </is>
      </c>
      <c r="O2448" t="inlineStr">
        <is>
          <t>16</t>
        </is>
      </c>
      <c r="P2448" t="inlineStr">
        <is>
          <t xml:space="preserve">109709  </t>
        </is>
      </c>
      <c r="Q2448" s="26" t="n">
        <v>13.8</v>
      </c>
      <c r="R2448" s="26">
        <f>Q2448*G2448</f>
        <v/>
      </c>
      <c r="S2448" t="n">
        <v>8.19</v>
      </c>
      <c r="T2448" s="18">
        <f>1 - V2448/S2448</f>
        <v/>
      </c>
      <c r="U2448" s="18" t="n">
        <v>0</v>
      </c>
      <c r="V2448" s="26" t="n">
        <v>8.19</v>
      </c>
      <c r="W2448" s="26">
        <f>V2448 - L2448</f>
        <v/>
      </c>
    </row>
    <row r="2449">
      <c r="A2449" s="11" t="n">
        <v>46227</v>
      </c>
      <c r="B2449" s="1" t="n">
        <v>20089</v>
      </c>
      <c r="C2449" s="1" t="inlineStr">
        <is>
          <t>025</t>
        </is>
      </c>
      <c r="D2449" s="1" t="inlineStr">
        <is>
          <t>122433</t>
        </is>
      </c>
      <c r="E2449" s="1" t="inlineStr">
        <is>
          <t xml:space="preserve">32457099       </t>
        </is>
      </c>
      <c r="F2449" s="5" t="inlineStr">
        <is>
          <t>TMZ BEAST MACHINES MONSTER JAWS A FRICCION BLISTER</t>
        </is>
      </c>
      <c r="G2449" t="n">
        <v>1</v>
      </c>
      <c r="H2449" s="7" t="n">
        <v>17.9</v>
      </c>
      <c r="I2449" s="7" t="n">
        <v>0</v>
      </c>
      <c r="J2449" s="7" t="n">
        <v>0</v>
      </c>
      <c r="K2449" s="9" t="n">
        <v>0</v>
      </c>
      <c r="L2449" s="10" t="n">
        <v>10.62</v>
      </c>
      <c r="M2449" s="10" t="n">
        <v>1.43</v>
      </c>
      <c r="N2449" t="inlineStr">
        <is>
          <t>1</t>
        </is>
      </c>
      <c r="O2449" t="inlineStr">
        <is>
          <t xml:space="preserve">2 </t>
        </is>
      </c>
      <c r="P2449" t="inlineStr">
        <is>
          <t xml:space="preserve">109709  </t>
        </is>
      </c>
      <c r="Q2449" s="26" t="n">
        <v>19.9</v>
      </c>
      <c r="R2449" s="26">
        <f>Q2449*G2449</f>
        <v/>
      </c>
      <c r="S2449" t="n">
        <v>11.81</v>
      </c>
      <c r="T2449" s="18">
        <f>1 - V2449/S2449</f>
        <v/>
      </c>
      <c r="U2449" s="18" t="n">
        <v>0.1005025125628141</v>
      </c>
      <c r="V2449" s="26" t="n">
        <v>8.417118644067797</v>
      </c>
      <c r="W2449" s="26">
        <f>V2449 - L2449</f>
        <v/>
      </c>
    </row>
    <row r="2450">
      <c r="A2450" s="11" t="n">
        <v>46227</v>
      </c>
      <c r="B2450" s="1" t="n">
        <v>20089</v>
      </c>
      <c r="C2450" s="1" t="inlineStr">
        <is>
          <t>025</t>
        </is>
      </c>
      <c r="D2450" s="1" t="inlineStr">
        <is>
          <t>122464</t>
        </is>
      </c>
      <c r="E2450" s="1" t="inlineStr">
        <is>
          <t xml:space="preserve">28194770       </t>
        </is>
      </c>
      <c r="F2450" s="5" t="inlineStr">
        <is>
          <t>AUTOS DE METAL 3 TEAMSTERZ EN BLISTER</t>
        </is>
      </c>
      <c r="G2450" t="n">
        <v>1</v>
      </c>
      <c r="H2450" s="7" t="n">
        <v>6.9</v>
      </c>
      <c r="I2450" s="7" t="n">
        <v>0</v>
      </c>
      <c r="J2450" s="7" t="n">
        <v>0</v>
      </c>
      <c r="K2450" s="9" t="n">
        <v>0</v>
      </c>
      <c r="L2450" s="10" t="n">
        <v>4.1</v>
      </c>
      <c r="M2450" s="10" t="n">
        <v>1.43</v>
      </c>
      <c r="N2450" t="inlineStr">
        <is>
          <t>1</t>
        </is>
      </c>
      <c r="O2450" t="inlineStr">
        <is>
          <t xml:space="preserve">2 </t>
        </is>
      </c>
      <c r="P2450" t="inlineStr">
        <is>
          <t xml:space="preserve">109709  </t>
        </is>
      </c>
      <c r="Q2450" s="26" t="n">
        <v>6.9</v>
      </c>
      <c r="R2450" s="26">
        <f>Q2450*G2450</f>
        <v/>
      </c>
      <c r="S2450" t="n">
        <v>4.09</v>
      </c>
      <c r="T2450" s="18">
        <f>1 - V2450/S2450</f>
        <v/>
      </c>
      <c r="U2450" s="18" t="n">
        <v>0</v>
      </c>
      <c r="V2450" s="26" t="n">
        <v>4.09</v>
      </c>
      <c r="W2450" s="26">
        <f>V2450 - L2450</f>
        <v/>
      </c>
    </row>
    <row r="2451">
      <c r="A2451" s="11" t="n">
        <v>46227</v>
      </c>
      <c r="B2451" s="1" t="n">
        <v>20089</v>
      </c>
      <c r="C2451" s="1" t="inlineStr">
        <is>
          <t>025</t>
        </is>
      </c>
      <c r="D2451" s="1" t="inlineStr">
        <is>
          <t>122464</t>
        </is>
      </c>
      <c r="E2451" s="1" t="inlineStr">
        <is>
          <t xml:space="preserve">28194770       </t>
        </is>
      </c>
      <c r="F2451" s="5" t="inlineStr">
        <is>
          <t>AUTOS DE METAL 3 TEAMSTERZ EN BLISTER</t>
        </is>
      </c>
      <c r="G2451" t="n">
        <v>1</v>
      </c>
      <c r="H2451" s="7" t="n">
        <v>6.9</v>
      </c>
      <c r="I2451" s="7" t="n">
        <v>0</v>
      </c>
      <c r="J2451" s="7" t="n">
        <v>0</v>
      </c>
      <c r="K2451" s="9" t="n">
        <v>0</v>
      </c>
      <c r="L2451" s="10" t="n">
        <v>4.1</v>
      </c>
      <c r="M2451" s="10" t="n">
        <v>1.43</v>
      </c>
      <c r="N2451" t="inlineStr">
        <is>
          <t>1</t>
        </is>
      </c>
      <c r="O2451" t="inlineStr">
        <is>
          <t xml:space="preserve">2 </t>
        </is>
      </c>
      <c r="P2451" t="inlineStr">
        <is>
          <t xml:space="preserve">109709  </t>
        </is>
      </c>
      <c r="Q2451" s="26" t="n">
        <v>6.9</v>
      </c>
      <c r="R2451" s="26">
        <f>Q2451*G2451</f>
        <v/>
      </c>
      <c r="S2451" t="n">
        <v>4.09</v>
      </c>
      <c r="T2451" s="18">
        <f>1 - V2451/S2451</f>
        <v/>
      </c>
      <c r="U2451" s="18" t="n">
        <v>0</v>
      </c>
      <c r="V2451" s="26" t="n">
        <v>4.09</v>
      </c>
      <c r="W2451" s="26">
        <f>V2451 - L2451</f>
        <v/>
      </c>
    </row>
    <row r="2452">
      <c r="A2452" s="11" t="n">
        <v>46227</v>
      </c>
      <c r="B2452" s="1" t="n">
        <v>20089</v>
      </c>
      <c r="C2452" s="1" t="inlineStr">
        <is>
          <t>026</t>
        </is>
      </c>
      <c r="D2452" s="1" t="inlineStr">
        <is>
          <t xml:space="preserve">88566 </t>
        </is>
      </c>
      <c r="E2452" s="1" t="inlineStr">
        <is>
          <t xml:space="preserve">28194770       </t>
        </is>
      </c>
      <c r="F2452" s="5" t="inlineStr">
        <is>
          <t>AUTOS DE METAL 3 TEAMSTERZ EN BLISTER</t>
        </is>
      </c>
      <c r="G2452" t="n">
        <v>1</v>
      </c>
      <c r="H2452" s="7" t="n">
        <v>6.9</v>
      </c>
      <c r="I2452" s="7" t="n">
        <v>0</v>
      </c>
      <c r="J2452" s="7" t="n">
        <v>0</v>
      </c>
      <c r="K2452" s="9" t="n">
        <v>0</v>
      </c>
      <c r="L2452" s="10" t="n">
        <v>4.1</v>
      </c>
      <c r="M2452" s="10" t="n">
        <v>1.43</v>
      </c>
      <c r="N2452" t="inlineStr">
        <is>
          <t>1</t>
        </is>
      </c>
      <c r="O2452" t="inlineStr">
        <is>
          <t>16</t>
        </is>
      </c>
      <c r="P2452" t="inlineStr">
        <is>
          <t xml:space="preserve">94948   </t>
        </is>
      </c>
      <c r="Q2452" s="26" t="n">
        <v>6.9</v>
      </c>
      <c r="R2452" s="26">
        <f>Q2452*G2452</f>
        <v/>
      </c>
      <c r="S2452" t="n">
        <v>4.09</v>
      </c>
      <c r="T2452" s="18">
        <f>1 - V2452/S2452</f>
        <v/>
      </c>
      <c r="U2452" s="18" t="n">
        <v>0</v>
      </c>
      <c r="V2452" s="26" t="n">
        <v>4.09</v>
      </c>
      <c r="W2452" s="26">
        <f>V2452 - L2452</f>
        <v/>
      </c>
    </row>
    <row r="2453">
      <c r="A2453" s="11" t="n">
        <v>46227</v>
      </c>
      <c r="B2453" s="1" t="n">
        <v>20089</v>
      </c>
      <c r="C2453" s="1" t="inlineStr">
        <is>
          <t>026</t>
        </is>
      </c>
      <c r="D2453" s="1" t="inlineStr">
        <is>
          <t xml:space="preserve">88593 </t>
        </is>
      </c>
      <c r="E2453" s="1" t="inlineStr">
        <is>
          <t xml:space="preserve">30141766       </t>
        </is>
      </c>
      <c r="F2453" s="5" t="inlineStr">
        <is>
          <t>TMZ BEAST MACHINES AUTOS DE METAL BLISTER X 1</t>
        </is>
      </c>
      <c r="G2453" t="n">
        <v>1</v>
      </c>
      <c r="H2453" s="7" t="n">
        <v>7.9</v>
      </c>
      <c r="I2453" s="7" t="n">
        <v>0</v>
      </c>
      <c r="J2453" s="7" t="n">
        <v>0</v>
      </c>
      <c r="K2453" s="9" t="n">
        <v>0</v>
      </c>
      <c r="L2453" s="10" t="n">
        <v>4.68</v>
      </c>
      <c r="M2453" s="10" t="n">
        <v>1.43</v>
      </c>
      <c r="N2453" t="inlineStr">
        <is>
          <t>1</t>
        </is>
      </c>
      <c r="O2453" t="inlineStr">
        <is>
          <t xml:space="preserve">2 </t>
        </is>
      </c>
      <c r="P2453" t="inlineStr">
        <is>
          <t xml:space="preserve">94948   </t>
        </is>
      </c>
      <c r="Q2453" s="26" t="n">
        <v>7.9</v>
      </c>
      <c r="R2453" s="26">
        <f>Q2453*G2453</f>
        <v/>
      </c>
      <c r="S2453" t="n">
        <v>4.69</v>
      </c>
      <c r="T2453" s="18">
        <f>1 - V2453/S2453</f>
        <v/>
      </c>
      <c r="U2453" s="18" t="n">
        <v>0</v>
      </c>
      <c r="V2453" s="26" t="n">
        <v>4.69</v>
      </c>
      <c r="W2453" s="26">
        <f>V2453 - L2453</f>
        <v/>
      </c>
    </row>
    <row r="2454">
      <c r="A2454" s="11" t="n">
        <v>46227</v>
      </c>
      <c r="B2454" s="1" t="n">
        <v>20089</v>
      </c>
      <c r="C2454" s="1" t="inlineStr">
        <is>
          <t>026</t>
        </is>
      </c>
      <c r="D2454" s="1" t="inlineStr">
        <is>
          <t xml:space="preserve">88634 </t>
        </is>
      </c>
      <c r="E2454" s="1" t="inlineStr">
        <is>
          <t xml:space="preserve">28194770       </t>
        </is>
      </c>
      <c r="F2454" s="5" t="inlineStr">
        <is>
          <t>AUTOS DE METAL 3 TEAMSTERZ EN BLISTER</t>
        </is>
      </c>
      <c r="G2454" t="n">
        <v>1</v>
      </c>
      <c r="H2454" s="7" t="n">
        <v>6.9</v>
      </c>
      <c r="I2454" s="7" t="n">
        <v>0.6899999999999999</v>
      </c>
      <c r="J2454" s="7" t="n">
        <v>0</v>
      </c>
      <c r="K2454" s="9" t="n">
        <v>0.6899999999999999</v>
      </c>
      <c r="L2454" s="10" t="n">
        <v>3.68</v>
      </c>
      <c r="M2454" s="10" t="n">
        <v>1.43</v>
      </c>
      <c r="N2454" t="inlineStr">
        <is>
          <t>1</t>
        </is>
      </c>
      <c r="O2454" t="inlineStr">
        <is>
          <t xml:space="preserve">3 </t>
        </is>
      </c>
      <c r="P2454" t="inlineStr">
        <is>
          <t xml:space="preserve">94948   </t>
        </is>
      </c>
      <c r="Q2454" s="26" t="n">
        <v>6.9</v>
      </c>
      <c r="R2454" s="26">
        <f>Q2454*G2454</f>
        <v/>
      </c>
      <c r="S2454" t="n">
        <v>4.09</v>
      </c>
      <c r="T2454" s="18">
        <f>1 - V2454/S2454</f>
        <v/>
      </c>
      <c r="U2454" s="18" t="n">
        <v>0</v>
      </c>
      <c r="V2454" s="26" t="n">
        <v>4.09</v>
      </c>
      <c r="W2454" s="26">
        <f>V2454 - L2454</f>
        <v/>
      </c>
    </row>
    <row r="2455">
      <c r="A2455" s="11" t="n">
        <v>46227</v>
      </c>
      <c r="B2455" s="1" t="n">
        <v>20089</v>
      </c>
      <c r="C2455" s="1" t="inlineStr">
        <is>
          <t>516</t>
        </is>
      </c>
      <c r="D2455" s="1" t="inlineStr">
        <is>
          <t xml:space="preserve">3548  </t>
        </is>
      </c>
      <c r="E2455" s="1" t="inlineStr">
        <is>
          <t xml:space="preserve">30141766       </t>
        </is>
      </c>
      <c r="F2455" s="5" t="inlineStr">
        <is>
          <t>TMZ BEAST MACHINES AUTOS DE METAL BLISTER X 1</t>
        </is>
      </c>
      <c r="G2455" t="n">
        <v>1</v>
      </c>
      <c r="H2455" s="7" t="n">
        <v>7.9</v>
      </c>
      <c r="I2455" s="7" t="n">
        <v>0</v>
      </c>
      <c r="J2455" s="7" t="n">
        <v>0</v>
      </c>
      <c r="K2455" s="9" t="n">
        <v>0</v>
      </c>
      <c r="L2455" s="10" t="n">
        <v>4.68</v>
      </c>
      <c r="M2455" s="10" t="n">
        <v>1.43</v>
      </c>
      <c r="N2455" t="inlineStr">
        <is>
          <t>1</t>
        </is>
      </c>
      <c r="O2455" t="inlineStr">
        <is>
          <t>16</t>
        </is>
      </c>
      <c r="P2455" t="inlineStr">
        <is>
          <t xml:space="preserve">249890  </t>
        </is>
      </c>
      <c r="Q2455" s="26" t="n">
        <v>7.9</v>
      </c>
      <c r="R2455" s="26">
        <f>Q2455*G2455</f>
        <v/>
      </c>
      <c r="S2455" t="n">
        <v>4.69</v>
      </c>
      <c r="T2455" s="18">
        <f>1 - V2455/S2455</f>
        <v/>
      </c>
      <c r="U2455" s="18" t="n">
        <v>0</v>
      </c>
      <c r="V2455" s="26" t="n">
        <v>4.69</v>
      </c>
      <c r="W2455" s="26">
        <f>V2455 - L2455</f>
        <v/>
      </c>
    </row>
    <row r="2456">
      <c r="A2456" s="11" t="n">
        <v>46227</v>
      </c>
      <c r="B2456" s="1" t="n">
        <v>20089</v>
      </c>
      <c r="C2456" s="1" t="inlineStr">
        <is>
          <t>862</t>
        </is>
      </c>
      <c r="D2456" s="1" t="inlineStr">
        <is>
          <t xml:space="preserve">8810  </t>
        </is>
      </c>
      <c r="E2456" s="1" t="inlineStr">
        <is>
          <t xml:space="preserve">32457104       </t>
        </is>
      </c>
      <c r="F2456" s="5" t="inlineStr">
        <is>
          <t>TMZ BEAST MACHINES PLAYSET DESASTRE REPTIL + 1 AUT</t>
        </is>
      </c>
      <c r="G2456" t="n">
        <v>1</v>
      </c>
      <c r="H2456" s="7" t="n">
        <v>49.9</v>
      </c>
      <c r="I2456" s="7" t="n">
        <v>0</v>
      </c>
      <c r="J2456" s="7" t="n">
        <v>0</v>
      </c>
      <c r="K2456" s="9" t="n">
        <v>0</v>
      </c>
      <c r="L2456" s="10" t="n">
        <v>29.6</v>
      </c>
      <c r="M2456" s="10" t="n">
        <v>1.43</v>
      </c>
      <c r="N2456" t="inlineStr">
        <is>
          <t>1</t>
        </is>
      </c>
      <c r="O2456" t="inlineStr">
        <is>
          <t>16</t>
        </is>
      </c>
      <c r="P2456" t="inlineStr">
        <is>
          <t xml:space="preserve">0       </t>
        </is>
      </c>
      <c r="Q2456" s="26" t="n">
        <v>69.90000000000001</v>
      </c>
      <c r="R2456" s="26">
        <f>Q2456*G2456</f>
        <v/>
      </c>
      <c r="S2456" t="n">
        <v>41.47</v>
      </c>
      <c r="T2456" s="18">
        <f>1 - V2456/S2456</f>
        <v/>
      </c>
      <c r="U2456" s="18" t="n">
        <v>0.2861230329041489</v>
      </c>
      <c r="V2456" s="26" t="n">
        <v>31.71610169491525</v>
      </c>
      <c r="W2456" s="26">
        <f>V2456 - L2456</f>
        <v/>
      </c>
    </row>
    <row r="2457">
      <c r="A2457" s="11" t="n">
        <v>46227</v>
      </c>
      <c r="B2457" s="1" t="n">
        <v>20095</v>
      </c>
      <c r="C2457" s="1" t="inlineStr">
        <is>
          <t>043</t>
        </is>
      </c>
      <c r="D2457" s="1" t="inlineStr">
        <is>
          <t>108638</t>
        </is>
      </c>
      <c r="E2457" s="1" t="inlineStr">
        <is>
          <t xml:space="preserve">28194770       </t>
        </is>
      </c>
      <c r="F2457" s="5" t="inlineStr">
        <is>
          <t>AUTOS DE METAL 3 TEAMSTERZ EN BLISTER</t>
        </is>
      </c>
      <c r="G2457" t="n">
        <v>1</v>
      </c>
      <c r="H2457" s="7" t="n">
        <v>6.9</v>
      </c>
      <c r="I2457" s="7" t="n">
        <v>0</v>
      </c>
      <c r="J2457" s="7" t="n">
        <v>0</v>
      </c>
      <c r="K2457" s="9" t="n">
        <v>0</v>
      </c>
      <c r="L2457" s="10" t="n">
        <v>4.1</v>
      </c>
      <c r="M2457" s="10" t="n">
        <v>1.43</v>
      </c>
      <c r="N2457" t="inlineStr">
        <is>
          <t>1</t>
        </is>
      </c>
      <c r="O2457" t="inlineStr">
        <is>
          <t>16</t>
        </is>
      </c>
      <c r="P2457" t="inlineStr">
        <is>
          <t xml:space="preserve">57866   </t>
        </is>
      </c>
      <c r="Q2457" s="26" t="n">
        <v>6.9</v>
      </c>
      <c r="R2457" s="26">
        <f>Q2457*G2457</f>
        <v/>
      </c>
      <c r="S2457" t="n">
        <v>4.09</v>
      </c>
      <c r="T2457" s="18">
        <f>1 - V2457/S2457</f>
        <v/>
      </c>
      <c r="U2457" s="18" t="n">
        <v>0</v>
      </c>
      <c r="V2457" s="26" t="n">
        <v>4.09</v>
      </c>
      <c r="W2457" s="26">
        <f>V2457 - L2457</f>
        <v/>
      </c>
    </row>
    <row r="2458">
      <c r="A2458" s="11" t="n">
        <v>46228</v>
      </c>
      <c r="B2458" s="1" t="n">
        <v>20021</v>
      </c>
      <c r="C2458" s="1" t="inlineStr">
        <is>
          <t>013</t>
        </is>
      </c>
      <c r="D2458" s="1" t="inlineStr">
        <is>
          <t>135616</t>
        </is>
      </c>
      <c r="E2458" s="1" t="inlineStr">
        <is>
          <t xml:space="preserve">34840555       </t>
        </is>
      </c>
      <c r="F2458" s="5" t="inlineStr">
        <is>
          <t>TMZ BEAST MACH. TRANSPORT TIBURON +ACCS</t>
        </is>
      </c>
      <c r="G2458" t="n">
        <v>1</v>
      </c>
      <c r="H2458" s="7" t="n">
        <v>59.9</v>
      </c>
      <c r="I2458" s="7" t="n">
        <v>0</v>
      </c>
      <c r="J2458" s="7" t="n">
        <v>0</v>
      </c>
      <c r="K2458" s="9" t="n">
        <v>0</v>
      </c>
      <c r="L2458" s="10" t="n">
        <v>35.53</v>
      </c>
      <c r="M2458" s="10" t="n">
        <v>1.43</v>
      </c>
      <c r="N2458" t="inlineStr">
        <is>
          <t>1</t>
        </is>
      </c>
      <c r="O2458" t="inlineStr">
        <is>
          <t>16</t>
        </is>
      </c>
      <c r="P2458" t="inlineStr">
        <is>
          <t xml:space="preserve">42152   </t>
        </is>
      </c>
      <c r="Q2458" s="26" t="n">
        <v>79.90000000000002</v>
      </c>
      <c r="R2458" s="26">
        <f>Q2458*G2458</f>
        <v/>
      </c>
      <c r="S2458" t="n">
        <v>47.4</v>
      </c>
      <c r="T2458" s="18">
        <f>1 - V2458/S2458</f>
        <v/>
      </c>
      <c r="U2458" s="18" t="n">
        <v>0.2503128911138924</v>
      </c>
      <c r="V2458" s="26" t="n">
        <v>38.07203389830509</v>
      </c>
      <c r="W2458" s="26">
        <f>V2458 - L2458</f>
        <v/>
      </c>
    </row>
    <row r="2459">
      <c r="A2459" s="11" t="n">
        <v>46228</v>
      </c>
      <c r="B2459" s="1" t="n">
        <v>20021</v>
      </c>
      <c r="C2459" s="1" t="inlineStr">
        <is>
          <t>055</t>
        </is>
      </c>
      <c r="D2459" s="1" t="inlineStr">
        <is>
          <t>155794</t>
        </is>
      </c>
      <c r="E2459" s="1" t="inlineStr">
        <is>
          <t xml:space="preserve">28194770       </t>
        </is>
      </c>
      <c r="F2459" s="5" t="inlineStr">
        <is>
          <t>AUTOS DE METAL 3 TEAMSTERZ EN BLISTER</t>
        </is>
      </c>
      <c r="G2459" t="n">
        <v>1</v>
      </c>
      <c r="H2459" s="7" t="n">
        <v>6.9</v>
      </c>
      <c r="I2459" s="7" t="n">
        <v>0</v>
      </c>
      <c r="J2459" s="7" t="n">
        <v>0</v>
      </c>
      <c r="K2459" s="9" t="n">
        <v>0</v>
      </c>
      <c r="L2459" s="10" t="n">
        <v>4.1</v>
      </c>
      <c r="M2459" s="10" t="n">
        <v>1.43</v>
      </c>
      <c r="N2459" t="inlineStr">
        <is>
          <t>1</t>
        </is>
      </c>
      <c r="O2459" t="inlineStr">
        <is>
          <t xml:space="preserve">2 </t>
        </is>
      </c>
      <c r="P2459" t="inlineStr">
        <is>
          <t xml:space="preserve">61491   </t>
        </is>
      </c>
      <c r="Q2459" s="26" t="n">
        <v>6.9</v>
      </c>
      <c r="R2459" s="26">
        <f>Q2459*G2459</f>
        <v/>
      </c>
      <c r="S2459" t="n">
        <v>4.09</v>
      </c>
      <c r="T2459" s="18">
        <f>1 - V2459/S2459</f>
        <v/>
      </c>
      <c r="U2459" s="18" t="n">
        <v>0</v>
      </c>
      <c r="V2459" s="26" t="n">
        <v>4.09</v>
      </c>
      <c r="W2459" s="26">
        <f>V2459 - L2459</f>
        <v/>
      </c>
    </row>
    <row r="2460">
      <c r="A2460" s="11" t="n">
        <v>46228</v>
      </c>
      <c r="B2460" s="1" t="n">
        <v>20021</v>
      </c>
      <c r="C2460" s="1" t="inlineStr">
        <is>
          <t>063</t>
        </is>
      </c>
      <c r="D2460" s="1" t="inlineStr">
        <is>
          <t>154057</t>
        </is>
      </c>
      <c r="E2460" s="1" t="inlineStr">
        <is>
          <t xml:space="preserve">32457099       </t>
        </is>
      </c>
      <c r="F2460" s="5" t="inlineStr">
        <is>
          <t>TMZ BEAST MACHINES MONSTER JAWS A FRICCION BLISTER</t>
        </is>
      </c>
      <c r="G2460" t="n">
        <v>1</v>
      </c>
      <c r="H2460" s="7" t="n">
        <v>17.9</v>
      </c>
      <c r="I2460" s="7" t="n">
        <v>0</v>
      </c>
      <c r="J2460" s="7" t="n">
        <v>0</v>
      </c>
      <c r="K2460" s="9" t="n">
        <v>0</v>
      </c>
      <c r="L2460" s="10" t="n">
        <v>10.62</v>
      </c>
      <c r="M2460" s="10" t="n">
        <v>1.43</v>
      </c>
      <c r="N2460" t="inlineStr">
        <is>
          <t>1</t>
        </is>
      </c>
      <c r="O2460" t="inlineStr">
        <is>
          <t>16</t>
        </is>
      </c>
      <c r="P2460" t="inlineStr">
        <is>
          <t xml:space="preserve">32209   </t>
        </is>
      </c>
      <c r="Q2460" s="26" t="n">
        <v>19.9</v>
      </c>
      <c r="R2460" s="26">
        <f>Q2460*G2460</f>
        <v/>
      </c>
      <c r="S2460" t="n">
        <v>11.81</v>
      </c>
      <c r="T2460" s="18">
        <f>1 - V2460/S2460</f>
        <v/>
      </c>
      <c r="U2460" s="18" t="n">
        <v>0.1005025125628141</v>
      </c>
      <c r="V2460" s="26" t="n">
        <v>8.417118644067797</v>
      </c>
      <c r="W2460" s="26">
        <f>V2460 - L2460</f>
        <v/>
      </c>
    </row>
    <row r="2461">
      <c r="A2461" s="11" t="n">
        <v>46228</v>
      </c>
      <c r="B2461" s="1" t="n">
        <v>20021</v>
      </c>
      <c r="C2461" s="1" t="inlineStr">
        <is>
          <t>082</t>
        </is>
      </c>
      <c r="D2461" s="1" t="inlineStr">
        <is>
          <t>270574</t>
        </is>
      </c>
      <c r="E2461" s="1" t="inlineStr">
        <is>
          <t xml:space="preserve">30141766       </t>
        </is>
      </c>
      <c r="F2461" s="5" t="inlineStr">
        <is>
          <t>TMZ BEAST MACHINES AUTOS DE METAL BLISTER X 1</t>
        </is>
      </c>
      <c r="G2461" t="n">
        <v>1</v>
      </c>
      <c r="H2461" s="7" t="n">
        <v>7.9</v>
      </c>
      <c r="I2461" s="7" t="n">
        <v>0</v>
      </c>
      <c r="J2461" s="7" t="n">
        <v>0</v>
      </c>
      <c r="K2461" s="9" t="n">
        <v>0</v>
      </c>
      <c r="L2461" s="10" t="n">
        <v>4.68</v>
      </c>
      <c r="M2461" s="10" t="n">
        <v>1.43</v>
      </c>
      <c r="N2461" t="inlineStr">
        <is>
          <t>1</t>
        </is>
      </c>
      <c r="O2461" t="inlineStr">
        <is>
          <t>16</t>
        </is>
      </c>
      <c r="P2461" t="inlineStr">
        <is>
          <t xml:space="preserve">109073  </t>
        </is>
      </c>
      <c r="Q2461" s="26" t="n">
        <v>7.9</v>
      </c>
      <c r="R2461" s="26">
        <f>Q2461*G2461</f>
        <v/>
      </c>
      <c r="S2461" t="n">
        <v>4.69</v>
      </c>
      <c r="T2461" s="18">
        <f>1 - V2461/S2461</f>
        <v/>
      </c>
      <c r="U2461" s="18" t="n">
        <v>0</v>
      </c>
      <c r="V2461" s="26" t="n">
        <v>4.69</v>
      </c>
      <c r="W2461" s="26">
        <f>V2461 - L2461</f>
        <v/>
      </c>
    </row>
    <row r="2462">
      <c r="A2462" s="11" t="n">
        <v>46228</v>
      </c>
      <c r="B2462" s="1" t="n">
        <v>20021</v>
      </c>
      <c r="C2462" s="1" t="inlineStr">
        <is>
          <t>511</t>
        </is>
      </c>
      <c r="D2462" s="1" t="inlineStr">
        <is>
          <t xml:space="preserve">3476  </t>
        </is>
      </c>
      <c r="E2462" s="1" t="inlineStr">
        <is>
          <t xml:space="preserve">31959958       </t>
        </is>
      </c>
      <c r="F2462" s="5" t="inlineStr">
        <is>
          <t>TMZ BEAST MACHINE AUTOS DE METAL PACK 3 AUTOS</t>
        </is>
      </c>
      <c r="G2462" t="n">
        <v>1</v>
      </c>
      <c r="H2462" s="7" t="n">
        <v>23.7</v>
      </c>
      <c r="I2462" s="7" t="n">
        <v>0</v>
      </c>
      <c r="J2462" s="7" t="n">
        <v>0</v>
      </c>
      <c r="K2462" s="9" t="n">
        <v>0</v>
      </c>
      <c r="L2462" s="10" t="n">
        <v>14.06</v>
      </c>
      <c r="M2462" s="10" t="n">
        <v>1.43</v>
      </c>
      <c r="N2462" t="inlineStr">
        <is>
          <t>1</t>
        </is>
      </c>
      <c r="O2462" t="inlineStr">
        <is>
          <t>16</t>
        </is>
      </c>
      <c r="P2462" t="inlineStr">
        <is>
          <t xml:space="preserve">108348  </t>
        </is>
      </c>
      <c r="Q2462" s="26" t="n">
        <v>23.7</v>
      </c>
      <c r="R2462" s="26">
        <f>Q2462*G2462</f>
        <v/>
      </c>
      <c r="S2462" t="n">
        <v>14.06</v>
      </c>
      <c r="T2462" s="18">
        <f>1 - V2462/S2462</f>
        <v/>
      </c>
      <c r="U2462" s="18" t="n">
        <v>0</v>
      </c>
      <c r="V2462" s="26" t="n">
        <v>14.06</v>
      </c>
      <c r="W2462" s="26">
        <f>V2462 - L2462</f>
        <v/>
      </c>
    </row>
    <row r="2463">
      <c r="A2463" s="11" t="n">
        <v>46228</v>
      </c>
      <c r="B2463" s="1" t="n">
        <v>20024</v>
      </c>
      <c r="C2463" s="1" t="inlineStr">
        <is>
          <t>021</t>
        </is>
      </c>
      <c r="D2463" s="1" t="inlineStr">
        <is>
          <t>215979</t>
        </is>
      </c>
      <c r="E2463" s="1" t="inlineStr">
        <is>
          <t xml:space="preserve">34840551       </t>
        </is>
      </c>
      <c r="F2463" s="5" t="inlineStr">
        <is>
          <t>TMZ HELI BOMBERO CON LUCES Y SONIDOS</t>
        </is>
      </c>
      <c r="G2463" t="n">
        <v>1</v>
      </c>
      <c r="H2463" s="7" t="n">
        <v>79.90000000000001</v>
      </c>
      <c r="I2463" s="7" t="n">
        <v>7.99</v>
      </c>
      <c r="J2463" s="7" t="n">
        <v>0</v>
      </c>
      <c r="K2463" s="9" t="n">
        <v>7.99</v>
      </c>
      <c r="L2463" s="10" t="n">
        <v>42.66</v>
      </c>
      <c r="M2463" s="10" t="n">
        <v>1.43</v>
      </c>
      <c r="N2463" t="inlineStr">
        <is>
          <t>1</t>
        </is>
      </c>
      <c r="O2463" t="inlineStr">
        <is>
          <t xml:space="preserve">3 </t>
        </is>
      </c>
      <c r="P2463" t="inlineStr">
        <is>
          <t xml:space="preserve">81108   </t>
        </is>
      </c>
      <c r="Q2463" s="26" t="n">
        <v>79.90000000000002</v>
      </c>
      <c r="R2463" s="26">
        <f>Q2463*G2463</f>
        <v/>
      </c>
      <c r="S2463" t="n">
        <v>47.4</v>
      </c>
      <c r="T2463" s="18">
        <f>1 - V2463/S2463</f>
        <v/>
      </c>
      <c r="U2463" s="18" t="n">
        <v>0</v>
      </c>
      <c r="V2463" s="26" t="n">
        <v>47.4</v>
      </c>
      <c r="W2463" s="26">
        <f>V2463 - L2463</f>
        <v/>
      </c>
    </row>
    <row r="2464">
      <c r="A2464" s="11" t="n">
        <v>46228</v>
      </c>
      <c r="B2464" s="1" t="n">
        <v>20024</v>
      </c>
      <c r="C2464" s="1" t="inlineStr">
        <is>
          <t>509</t>
        </is>
      </c>
      <c r="D2464" s="1" t="inlineStr">
        <is>
          <t xml:space="preserve">9052  </t>
        </is>
      </c>
      <c r="E2464" s="1" t="inlineStr">
        <is>
          <t xml:space="preserve">30141766       </t>
        </is>
      </c>
      <c r="F2464" s="5" t="inlineStr">
        <is>
          <t>TMZ BEAST MACHINES AUTOS DE METAL BLISTER X 1</t>
        </is>
      </c>
      <c r="G2464" t="n">
        <v>1</v>
      </c>
      <c r="H2464" s="7" t="n">
        <v>7.9</v>
      </c>
      <c r="I2464" s="7" t="n">
        <v>0.79</v>
      </c>
      <c r="J2464" s="7" t="n">
        <v>0</v>
      </c>
      <c r="K2464" s="9" t="n">
        <v>0.79</v>
      </c>
      <c r="L2464" s="10" t="n">
        <v>4.22</v>
      </c>
      <c r="M2464" s="10" t="n">
        <v>1.43</v>
      </c>
      <c r="N2464" t="inlineStr">
        <is>
          <t>1</t>
        </is>
      </c>
      <c r="O2464" t="inlineStr">
        <is>
          <t>16</t>
        </is>
      </c>
      <c r="P2464" t="inlineStr">
        <is>
          <t xml:space="preserve">252187  </t>
        </is>
      </c>
      <c r="Q2464" s="26" t="n">
        <v>7.9</v>
      </c>
      <c r="R2464" s="26">
        <f>Q2464*G2464</f>
        <v/>
      </c>
      <c r="S2464" t="n">
        <v>4.69</v>
      </c>
      <c r="T2464" s="18">
        <f>1 - V2464/S2464</f>
        <v/>
      </c>
      <c r="U2464" s="18" t="n">
        <v>0</v>
      </c>
      <c r="V2464" s="26" t="n">
        <v>4.69</v>
      </c>
      <c r="W2464" s="26">
        <f>V2464 - L2464</f>
        <v/>
      </c>
    </row>
    <row r="2465">
      <c r="A2465" s="11" t="n">
        <v>46228</v>
      </c>
      <c r="B2465" s="1" t="n">
        <v>20024</v>
      </c>
      <c r="C2465" s="1" t="inlineStr">
        <is>
          <t>520</t>
        </is>
      </c>
      <c r="D2465" s="1" t="inlineStr">
        <is>
          <t xml:space="preserve">703   </t>
        </is>
      </c>
      <c r="E2465" s="1" t="inlineStr">
        <is>
          <t xml:space="preserve">32457111       </t>
        </is>
      </c>
      <c r="F2465" s="5" t="inlineStr">
        <is>
          <t>TMZ BEAST MACHINES MONSTER JAWS A FRICCION PACK DE</t>
        </is>
      </c>
      <c r="G2465" t="n">
        <v>1</v>
      </c>
      <c r="H2465" s="7" t="n">
        <v>54.9</v>
      </c>
      <c r="I2465" s="7" t="n">
        <v>5.49</v>
      </c>
      <c r="J2465" s="7" t="n">
        <v>0</v>
      </c>
      <c r="K2465" s="9" t="n">
        <v>5.49</v>
      </c>
      <c r="L2465" s="10" t="n">
        <v>29.31</v>
      </c>
      <c r="M2465" s="10" t="n">
        <v>1.43</v>
      </c>
      <c r="N2465" t="inlineStr">
        <is>
          <t>1</t>
        </is>
      </c>
      <c r="O2465" t="inlineStr">
        <is>
          <t>16</t>
        </is>
      </c>
      <c r="P2465" t="inlineStr">
        <is>
          <t xml:space="preserve">250403  </t>
        </is>
      </c>
      <c r="Q2465" s="26" t="n">
        <v>74.90000000000001</v>
      </c>
      <c r="R2465" s="26">
        <f>Q2465*G2465</f>
        <v/>
      </c>
      <c r="S2465" t="n">
        <v>44.43</v>
      </c>
      <c r="T2465" s="18">
        <f>1 - V2465/S2465</f>
        <v/>
      </c>
      <c r="U2465" s="18" t="n">
        <v>0.2670226969292391</v>
      </c>
      <c r="V2465" s="26" t="n">
        <v>31.92406779661017</v>
      </c>
      <c r="W2465" s="26">
        <f>V2465 - L2465</f>
        <v/>
      </c>
    </row>
    <row r="2466">
      <c r="A2466" s="11" t="n">
        <v>46228</v>
      </c>
      <c r="B2466" s="1" t="n">
        <v>20024</v>
      </c>
      <c r="C2466" s="1" t="inlineStr">
        <is>
          <t>532</t>
        </is>
      </c>
      <c r="D2466" s="1" t="inlineStr">
        <is>
          <t xml:space="preserve">8337  </t>
        </is>
      </c>
      <c r="E2466" s="1" t="inlineStr">
        <is>
          <t xml:space="preserve">34840552       </t>
        </is>
      </c>
      <c r="F2466" s="5" t="inlineStr">
        <is>
          <t>TMZ HELI POLICIA CON LUCES Y SONIDOS</t>
        </is>
      </c>
      <c r="G2466" t="n">
        <v>1</v>
      </c>
      <c r="H2466" s="7" t="n">
        <v>79.90000000000001</v>
      </c>
      <c r="I2466" s="7" t="n">
        <v>0</v>
      </c>
      <c r="J2466" s="7" t="n">
        <v>0</v>
      </c>
      <c r="K2466" s="9" t="n">
        <v>0</v>
      </c>
      <c r="L2466" s="10" t="n">
        <v>47.4</v>
      </c>
      <c r="M2466" s="10" t="n">
        <v>1.43</v>
      </c>
      <c r="N2466" t="inlineStr">
        <is>
          <t>1</t>
        </is>
      </c>
      <c r="O2466" t="inlineStr">
        <is>
          <t>16</t>
        </is>
      </c>
      <c r="P2466" t="inlineStr">
        <is>
          <t xml:space="preserve">250067  </t>
        </is>
      </c>
      <c r="Q2466" s="26" t="n">
        <v>79.90000000000002</v>
      </c>
      <c r="R2466" s="26">
        <f>Q2466*G2466</f>
        <v/>
      </c>
      <c r="S2466" t="n">
        <v>47.4</v>
      </c>
      <c r="T2466" s="18">
        <f>1 - V2466/S2466</f>
        <v/>
      </c>
      <c r="U2466" s="18" t="n">
        <v>0</v>
      </c>
      <c r="V2466" s="26" t="n">
        <v>47.4</v>
      </c>
      <c r="W2466" s="26">
        <f>V2466 - L2466</f>
        <v/>
      </c>
    </row>
    <row r="2467">
      <c r="A2467" s="11" t="n">
        <v>46228</v>
      </c>
      <c r="B2467" s="1" t="n">
        <v>20024</v>
      </c>
      <c r="C2467" s="1" t="inlineStr">
        <is>
          <t>803</t>
        </is>
      </c>
      <c r="D2467" s="1" t="inlineStr">
        <is>
          <t xml:space="preserve">7563  </t>
        </is>
      </c>
      <c r="E2467" s="1" t="inlineStr">
        <is>
          <t xml:space="preserve">29625602       </t>
        </is>
      </c>
      <c r="F2467" s="5" t="inlineStr">
        <is>
          <t>HOT WHEELS CAR CASE MULTIMODULAR POR 28 PCS</t>
        </is>
      </c>
      <c r="G2467" t="n">
        <v>1</v>
      </c>
      <c r="H2467" s="7" t="n">
        <v>94.90000000000001</v>
      </c>
      <c r="I2467" s="7" t="n">
        <v>0</v>
      </c>
      <c r="J2467" s="7" t="n">
        <v>0</v>
      </c>
      <c r="K2467" s="9" t="n">
        <v>0</v>
      </c>
      <c r="L2467" s="10" t="n">
        <v>56.29</v>
      </c>
      <c r="M2467" s="10" t="n">
        <v>1.43</v>
      </c>
      <c r="N2467" t="inlineStr">
        <is>
          <t>1</t>
        </is>
      </c>
      <c r="O2467" t="inlineStr">
        <is>
          <t>16</t>
        </is>
      </c>
      <c r="P2467" t="inlineStr">
        <is>
          <t xml:space="preserve">0       </t>
        </is>
      </c>
      <c r="Q2467" s="26" t="n">
        <v>94.90000000000001</v>
      </c>
      <c r="R2467" s="26">
        <f>Q2467*G2467</f>
        <v/>
      </c>
      <c r="S2467" t="n">
        <v>56.3</v>
      </c>
      <c r="T2467" s="18">
        <f>1 - V2467/S2467</f>
        <v/>
      </c>
      <c r="U2467" s="18" t="n">
        <v>0</v>
      </c>
      <c r="V2467" s="26" t="n">
        <v>56.3</v>
      </c>
      <c r="W2467" s="26">
        <f>V2467 - L2467</f>
        <v/>
      </c>
    </row>
    <row r="2468">
      <c r="A2468" s="11" t="n">
        <v>46228</v>
      </c>
      <c r="B2468" s="1" t="n">
        <v>20024</v>
      </c>
      <c r="C2468" s="1" t="inlineStr">
        <is>
          <t>804</t>
        </is>
      </c>
      <c r="D2468" s="1" t="inlineStr">
        <is>
          <t xml:space="preserve">431   </t>
        </is>
      </c>
      <c r="E2468" s="1" t="inlineStr">
        <is>
          <t xml:space="preserve">28194784       </t>
        </is>
      </c>
      <c r="F2468" s="5" t="inlineStr">
        <is>
          <t>SET DE ACROBACIAS INFINITY NADO CON TROMPO</t>
        </is>
      </c>
      <c r="G2468" t="n">
        <v>1</v>
      </c>
      <c r="H2468" s="7" t="n">
        <v>139</v>
      </c>
      <c r="I2468" s="7" t="n">
        <v>0</v>
      </c>
      <c r="J2468" s="7" t="n">
        <v>0</v>
      </c>
      <c r="K2468" s="9" t="n">
        <v>0</v>
      </c>
      <c r="L2468" s="10" t="n">
        <v>82.45999999999999</v>
      </c>
      <c r="M2468" s="10" t="n">
        <v>1.43</v>
      </c>
      <c r="N2468" t="inlineStr">
        <is>
          <t>1</t>
        </is>
      </c>
      <c r="O2468" t="inlineStr">
        <is>
          <t>16</t>
        </is>
      </c>
      <c r="P2468" t="inlineStr">
        <is>
          <t xml:space="preserve">0       </t>
        </is>
      </c>
      <c r="Q2468" s="26" t="n">
        <v>179</v>
      </c>
      <c r="R2468" s="26">
        <f>Q2468*G2468</f>
        <v/>
      </c>
      <c r="S2468" t="n">
        <v>106.19</v>
      </c>
      <c r="T2468" s="18">
        <f>1 - V2468/S2468</f>
        <v/>
      </c>
      <c r="U2468" s="18" t="n">
        <v>0.223463687150838</v>
      </c>
      <c r="V2468" s="26" t="n">
        <v>88.34745762711864</v>
      </c>
      <c r="W2468" s="26">
        <f>V2468 - L2468</f>
        <v/>
      </c>
    </row>
    <row r="2469">
      <c r="A2469" s="11" t="n">
        <v>46228</v>
      </c>
      <c r="B2469" s="1" t="n">
        <v>20025</v>
      </c>
      <c r="C2469" s="1" t="inlineStr">
        <is>
          <t>074</t>
        </is>
      </c>
      <c r="D2469" s="1" t="inlineStr">
        <is>
          <t xml:space="preserve">83621 </t>
        </is>
      </c>
      <c r="E2469" s="1" t="inlineStr">
        <is>
          <t xml:space="preserve">29235700       </t>
        </is>
      </c>
      <c r="F2469" s="5" t="inlineStr">
        <is>
          <t>HOT WHEELS CASE METALICO PARA GUARDAR 18 CARRITOS</t>
        </is>
      </c>
      <c r="G2469" t="n">
        <v>1</v>
      </c>
      <c r="H2469" s="7" t="n">
        <v>49.9</v>
      </c>
      <c r="I2469" s="7" t="n">
        <v>0</v>
      </c>
      <c r="J2469" s="7" t="n">
        <v>0</v>
      </c>
      <c r="K2469" s="9" t="n">
        <v>0</v>
      </c>
      <c r="L2469" s="10" t="n">
        <v>29.6</v>
      </c>
      <c r="M2469" s="10" t="n">
        <v>1.43</v>
      </c>
      <c r="N2469" t="inlineStr">
        <is>
          <t>1</t>
        </is>
      </c>
      <c r="O2469" t="inlineStr">
        <is>
          <t>16</t>
        </is>
      </c>
      <c r="P2469" t="inlineStr">
        <is>
          <t xml:space="preserve">19265   </t>
        </is>
      </c>
      <c r="Q2469" s="26" t="n">
        <v>49.90000000000001</v>
      </c>
      <c r="R2469" s="26">
        <f>Q2469*G2469</f>
        <v/>
      </c>
      <c r="S2469" t="n">
        <v>29.6</v>
      </c>
      <c r="T2469" s="18">
        <f>1 - V2469/S2469</f>
        <v/>
      </c>
      <c r="U2469" s="18" t="n">
        <v>0</v>
      </c>
      <c r="V2469" s="26" t="n">
        <v>29.6</v>
      </c>
      <c r="W2469" s="26">
        <f>V2469 - L2469</f>
        <v/>
      </c>
    </row>
    <row r="2470">
      <c r="A2470" s="11" t="n">
        <v>46228</v>
      </c>
      <c r="B2470" s="1" t="n">
        <v>20025</v>
      </c>
      <c r="C2470" s="1" t="inlineStr">
        <is>
          <t>076</t>
        </is>
      </c>
      <c r="D2470" s="1" t="inlineStr">
        <is>
          <t>148387</t>
        </is>
      </c>
      <c r="E2470" s="1" t="inlineStr">
        <is>
          <t xml:space="preserve">29235700       </t>
        </is>
      </c>
      <c r="F2470" s="5" t="inlineStr">
        <is>
          <t>HOT WHEELS CASE METALICO PARA GUARDAR 18 CARRITOS</t>
        </is>
      </c>
      <c r="G2470" t="n">
        <v>1</v>
      </c>
      <c r="H2470" s="7" t="n">
        <v>49.9</v>
      </c>
      <c r="I2470" s="7" t="n">
        <v>0</v>
      </c>
      <c r="J2470" s="7" t="n">
        <v>0</v>
      </c>
      <c r="K2470" s="9" t="n">
        <v>0</v>
      </c>
      <c r="L2470" s="10" t="n">
        <v>29.6</v>
      </c>
      <c r="M2470" s="10" t="n">
        <v>1.43</v>
      </c>
      <c r="N2470" t="inlineStr">
        <is>
          <t>1</t>
        </is>
      </c>
      <c r="O2470" t="inlineStr">
        <is>
          <t>16</t>
        </is>
      </c>
      <c r="P2470" t="inlineStr">
        <is>
          <t xml:space="preserve">22890   </t>
        </is>
      </c>
      <c r="Q2470" s="26" t="n">
        <v>49.90000000000001</v>
      </c>
      <c r="R2470" s="26">
        <f>Q2470*G2470</f>
        <v/>
      </c>
      <c r="S2470" t="n">
        <v>29.6</v>
      </c>
      <c r="T2470" s="18">
        <f>1 - V2470/S2470</f>
        <v/>
      </c>
      <c r="U2470" s="18" t="n">
        <v>0</v>
      </c>
      <c r="V2470" s="26" t="n">
        <v>29.6</v>
      </c>
      <c r="W2470" s="26">
        <f>V2470 - L2470</f>
        <v/>
      </c>
    </row>
    <row r="2471">
      <c r="A2471" s="11" t="n">
        <v>46228</v>
      </c>
      <c r="B2471" s="1" t="n">
        <v>20025</v>
      </c>
      <c r="C2471" s="1" t="inlineStr">
        <is>
          <t>076</t>
        </is>
      </c>
      <c r="D2471" s="1" t="inlineStr">
        <is>
          <t>148397</t>
        </is>
      </c>
      <c r="E2471" s="1" t="inlineStr">
        <is>
          <t xml:space="preserve">30141769       </t>
        </is>
      </c>
      <c r="F2471" s="5" t="inlineStr">
        <is>
          <t>TMZ BEAST MACHINES TRANSPORTE DINOSAURIO + 3 AUTOS</t>
        </is>
      </c>
      <c r="G2471" t="n">
        <v>1</v>
      </c>
      <c r="H2471" s="7" t="n">
        <v>59.9</v>
      </c>
      <c r="I2471" s="7" t="n">
        <v>0</v>
      </c>
      <c r="J2471" s="7" t="n">
        <v>0</v>
      </c>
      <c r="K2471" s="9" t="n">
        <v>0</v>
      </c>
      <c r="L2471" s="10" t="n">
        <v>35.53</v>
      </c>
      <c r="M2471" s="10" t="n">
        <v>1.43</v>
      </c>
      <c r="N2471" t="inlineStr">
        <is>
          <t>1</t>
        </is>
      </c>
      <c r="O2471" t="inlineStr">
        <is>
          <t>16</t>
        </is>
      </c>
      <c r="P2471" t="inlineStr">
        <is>
          <t xml:space="preserve">22890   </t>
        </is>
      </c>
      <c r="Q2471" s="26" t="n">
        <v>79.90000000000001</v>
      </c>
      <c r="R2471" s="26">
        <f>Q2471*G2471</f>
        <v/>
      </c>
      <c r="S2471" t="n">
        <v>47.4</v>
      </c>
      <c r="T2471" s="18">
        <f>1 - V2471/S2471</f>
        <v/>
      </c>
      <c r="U2471" s="18" t="n">
        <v>0.2503128911138924</v>
      </c>
      <c r="V2471" s="26" t="n">
        <v>38.07203389830509</v>
      </c>
      <c r="W2471" s="26">
        <f>V2471 - L2471</f>
        <v/>
      </c>
    </row>
    <row r="2472">
      <c r="A2472" s="11" t="n">
        <v>46228</v>
      </c>
      <c r="B2472" s="1" t="n">
        <v>20025</v>
      </c>
      <c r="C2472" s="1" t="inlineStr">
        <is>
          <t>081</t>
        </is>
      </c>
      <c r="D2472" s="1" t="inlineStr">
        <is>
          <t>267075</t>
        </is>
      </c>
      <c r="E2472" s="1" t="inlineStr">
        <is>
          <t xml:space="preserve">29235712       </t>
        </is>
      </c>
      <c r="F2472" s="5" t="inlineStr">
        <is>
          <t>TEAMSTERZ DISPARADOR DINOSAURIO INCL. 1 AUTO</t>
        </is>
      </c>
      <c r="G2472" t="n">
        <v>1</v>
      </c>
      <c r="H2472" s="7" t="n">
        <v>12.9</v>
      </c>
      <c r="I2472" s="7" t="n">
        <v>1.29</v>
      </c>
      <c r="J2472" s="7" t="n">
        <v>0</v>
      </c>
      <c r="K2472" s="9" t="n">
        <v>1.29</v>
      </c>
      <c r="L2472" s="10" t="n">
        <v>6.89</v>
      </c>
      <c r="M2472" s="10" t="n">
        <v>1.43</v>
      </c>
      <c r="N2472" t="inlineStr">
        <is>
          <t>1</t>
        </is>
      </c>
      <c r="O2472" t="inlineStr">
        <is>
          <t xml:space="preserve">3 </t>
        </is>
      </c>
      <c r="P2472" t="inlineStr">
        <is>
          <t xml:space="preserve">45039   </t>
        </is>
      </c>
      <c r="Q2472" s="26" t="n">
        <v>29.9</v>
      </c>
      <c r="R2472" s="26">
        <f>Q2472*G2472</f>
        <v/>
      </c>
      <c r="S2472" t="n">
        <v>17.74</v>
      </c>
      <c r="T2472" s="18">
        <f>1 - V2472/S2472</f>
        <v/>
      </c>
      <c r="U2472" s="18" t="n">
        <v>0.568561872909699</v>
      </c>
      <c r="V2472" s="26" t="n">
        <v>9.29271186440678</v>
      </c>
      <c r="W2472" s="26">
        <f>V2472 - L2472</f>
        <v/>
      </c>
    </row>
    <row r="2473">
      <c r="A2473" s="11" t="n">
        <v>46228</v>
      </c>
      <c r="B2473" s="1" t="n">
        <v>20025</v>
      </c>
      <c r="C2473" s="1" t="inlineStr">
        <is>
          <t>112</t>
        </is>
      </c>
      <c r="D2473" s="1" t="inlineStr">
        <is>
          <t xml:space="preserve">11568 </t>
        </is>
      </c>
      <c r="E2473" s="1" t="inlineStr">
        <is>
          <t xml:space="preserve">28194769       </t>
        </is>
      </c>
      <c r="F2473" s="5" t="inlineStr">
        <is>
          <t>AUTOS DE METAL 3 TEAMSTERZ PACK DE 2</t>
        </is>
      </c>
      <c r="G2473" t="n">
        <v>1</v>
      </c>
      <c r="H2473" s="7" t="n">
        <v>13.8</v>
      </c>
      <c r="I2473" s="7" t="n">
        <v>0</v>
      </c>
      <c r="J2473" s="7" t="n">
        <v>0</v>
      </c>
      <c r="K2473" s="9" t="n">
        <v>0</v>
      </c>
      <c r="L2473" s="10" t="n">
        <v>8.18</v>
      </c>
      <c r="M2473" s="10" t="n">
        <v>1.43</v>
      </c>
      <c r="N2473" t="inlineStr">
        <is>
          <t>1</t>
        </is>
      </c>
      <c r="O2473" t="inlineStr">
        <is>
          <t>16</t>
        </is>
      </c>
      <c r="P2473" t="inlineStr">
        <is>
          <t xml:space="preserve">251187  </t>
        </is>
      </c>
      <c r="Q2473" s="26" t="n">
        <v>13.8</v>
      </c>
      <c r="R2473" s="26">
        <f>Q2473*G2473</f>
        <v/>
      </c>
      <c r="S2473" t="n">
        <v>8.19</v>
      </c>
      <c r="T2473" s="18">
        <f>1 - V2473/S2473</f>
        <v/>
      </c>
      <c r="U2473" s="18" t="n">
        <v>0</v>
      </c>
      <c r="V2473" s="26" t="n">
        <v>8.19</v>
      </c>
      <c r="W2473" s="26">
        <f>V2473 - L2473</f>
        <v/>
      </c>
    </row>
    <row r="2474">
      <c r="A2474" s="11" t="n">
        <v>46228</v>
      </c>
      <c r="B2474" s="1" t="n">
        <v>20028</v>
      </c>
      <c r="C2474" s="1" t="inlineStr">
        <is>
          <t>011</t>
        </is>
      </c>
      <c r="D2474" s="1" t="inlineStr">
        <is>
          <t xml:space="preserve">34156 </t>
        </is>
      </c>
      <c r="E2474" s="1" t="inlineStr">
        <is>
          <t xml:space="preserve">28194769       </t>
        </is>
      </c>
      <c r="F2474" s="5" t="inlineStr">
        <is>
          <t>AUTOS DE METAL 3 TEAMSTERZ PACK DE 2</t>
        </is>
      </c>
      <c r="G2474" t="n">
        <v>1</v>
      </c>
      <c r="H2474" s="7" t="n">
        <v>13.8</v>
      </c>
      <c r="I2474" s="7" t="n">
        <v>0</v>
      </c>
      <c r="J2474" s="7" t="n">
        <v>0</v>
      </c>
      <c r="K2474" s="9" t="n">
        <v>0</v>
      </c>
      <c r="L2474" s="10" t="n">
        <v>8.18</v>
      </c>
      <c r="M2474" s="10" t="n">
        <v>1.43</v>
      </c>
      <c r="N2474" t="inlineStr">
        <is>
          <t>1</t>
        </is>
      </c>
      <c r="O2474" t="inlineStr">
        <is>
          <t xml:space="preserve">2 </t>
        </is>
      </c>
      <c r="P2474" t="inlineStr">
        <is>
          <t xml:space="preserve">31171   </t>
        </is>
      </c>
      <c r="Q2474" s="26" t="n">
        <v>13.8</v>
      </c>
      <c r="R2474" s="26">
        <f>Q2474*G2474</f>
        <v/>
      </c>
      <c r="S2474" t="n">
        <v>8.19</v>
      </c>
      <c r="T2474" s="18">
        <f>1 - V2474/S2474</f>
        <v/>
      </c>
      <c r="U2474" s="18" t="n">
        <v>0</v>
      </c>
      <c r="V2474" s="26" t="n">
        <v>8.19</v>
      </c>
      <c r="W2474" s="26">
        <f>V2474 - L2474</f>
        <v/>
      </c>
    </row>
    <row r="2475">
      <c r="A2475" s="11" t="n">
        <v>46228</v>
      </c>
      <c r="B2475" s="1" t="n">
        <v>20028</v>
      </c>
      <c r="C2475" s="1" t="inlineStr">
        <is>
          <t>011</t>
        </is>
      </c>
      <c r="D2475" s="1" t="inlineStr">
        <is>
          <t xml:space="preserve">34156 </t>
        </is>
      </c>
      <c r="E2475" s="1" t="inlineStr">
        <is>
          <t xml:space="preserve">28194770       </t>
        </is>
      </c>
      <c r="F2475" s="5" t="inlineStr">
        <is>
          <t>AUTOS DE METAL 3 TEAMSTERZ EN BLISTER</t>
        </is>
      </c>
      <c r="G2475" t="n">
        <v>1</v>
      </c>
      <c r="H2475" s="7" t="n">
        <v>6.9</v>
      </c>
      <c r="I2475" s="7" t="n">
        <v>0</v>
      </c>
      <c r="J2475" s="7" t="n">
        <v>0</v>
      </c>
      <c r="K2475" s="9" t="n">
        <v>0</v>
      </c>
      <c r="L2475" s="10" t="n">
        <v>4.1</v>
      </c>
      <c r="M2475" s="10" t="n">
        <v>1.43</v>
      </c>
      <c r="N2475" t="inlineStr">
        <is>
          <t>1</t>
        </is>
      </c>
      <c r="O2475" t="inlineStr">
        <is>
          <t xml:space="preserve">2 </t>
        </is>
      </c>
      <c r="P2475" t="inlineStr">
        <is>
          <t xml:space="preserve">31171   </t>
        </is>
      </c>
      <c r="Q2475" s="26" t="n">
        <v>6.9</v>
      </c>
      <c r="R2475" s="26">
        <f>Q2475*G2475</f>
        <v/>
      </c>
      <c r="S2475" t="n">
        <v>4.09</v>
      </c>
      <c r="T2475" s="18">
        <f>1 - V2475/S2475</f>
        <v/>
      </c>
      <c r="U2475" s="18" t="n">
        <v>0</v>
      </c>
      <c r="V2475" s="26" t="n">
        <v>4.09</v>
      </c>
      <c r="W2475" s="26">
        <f>V2475 - L2475</f>
        <v/>
      </c>
    </row>
    <row r="2476">
      <c r="A2476" s="11" t="n">
        <v>46228</v>
      </c>
      <c r="B2476" s="1" t="n">
        <v>20028</v>
      </c>
      <c r="C2476" s="1" t="inlineStr">
        <is>
          <t>011</t>
        </is>
      </c>
      <c r="D2476" s="1" t="inlineStr">
        <is>
          <t xml:space="preserve">34156 </t>
        </is>
      </c>
      <c r="E2476" s="1" t="inlineStr">
        <is>
          <t xml:space="preserve">28194770       </t>
        </is>
      </c>
      <c r="F2476" s="5" t="inlineStr">
        <is>
          <t>AUTOS DE METAL 3 TEAMSTERZ EN BLISTER</t>
        </is>
      </c>
      <c r="G2476" t="n">
        <v>1</v>
      </c>
      <c r="H2476" s="7" t="n">
        <v>6.9</v>
      </c>
      <c r="I2476" s="7" t="n">
        <v>0</v>
      </c>
      <c r="J2476" s="7" t="n">
        <v>0</v>
      </c>
      <c r="K2476" s="9" t="n">
        <v>0</v>
      </c>
      <c r="L2476" s="10" t="n">
        <v>4.1</v>
      </c>
      <c r="M2476" s="10" t="n">
        <v>1.43</v>
      </c>
      <c r="N2476" t="inlineStr">
        <is>
          <t>1</t>
        </is>
      </c>
      <c r="O2476" t="inlineStr">
        <is>
          <t xml:space="preserve">2 </t>
        </is>
      </c>
      <c r="P2476" t="inlineStr">
        <is>
          <t xml:space="preserve">31171   </t>
        </is>
      </c>
      <c r="Q2476" s="26" t="n">
        <v>6.9</v>
      </c>
      <c r="R2476" s="26">
        <f>Q2476*G2476</f>
        <v/>
      </c>
      <c r="S2476" t="n">
        <v>4.09</v>
      </c>
      <c r="T2476" s="18">
        <f>1 - V2476/S2476</f>
        <v/>
      </c>
      <c r="U2476" s="18" t="n">
        <v>0</v>
      </c>
      <c r="V2476" s="26" t="n">
        <v>4.09</v>
      </c>
      <c r="W2476" s="26">
        <f>V2476 - L2476</f>
        <v/>
      </c>
    </row>
    <row r="2477">
      <c r="A2477" s="11" t="n">
        <v>46228</v>
      </c>
      <c r="B2477" s="1" t="n">
        <v>20028</v>
      </c>
      <c r="C2477" s="1" t="inlineStr">
        <is>
          <t>011</t>
        </is>
      </c>
      <c r="D2477" s="1" t="inlineStr">
        <is>
          <t xml:space="preserve">34156 </t>
        </is>
      </c>
      <c r="E2477" s="1" t="inlineStr">
        <is>
          <t xml:space="preserve">28194770       </t>
        </is>
      </c>
      <c r="F2477" s="5" t="inlineStr">
        <is>
          <t>AUTOS DE METAL 3 TEAMSTERZ EN BLISTER</t>
        </is>
      </c>
      <c r="G2477" t="n">
        <v>1</v>
      </c>
      <c r="H2477" s="7" t="n">
        <v>6.9</v>
      </c>
      <c r="I2477" s="7" t="n">
        <v>0</v>
      </c>
      <c r="J2477" s="7" t="n">
        <v>0</v>
      </c>
      <c r="K2477" s="9" t="n">
        <v>0</v>
      </c>
      <c r="L2477" s="10" t="n">
        <v>4.1</v>
      </c>
      <c r="M2477" s="10" t="n">
        <v>1.43</v>
      </c>
      <c r="N2477" t="inlineStr">
        <is>
          <t>1</t>
        </is>
      </c>
      <c r="O2477" t="inlineStr">
        <is>
          <t xml:space="preserve">2 </t>
        </is>
      </c>
      <c r="P2477" t="inlineStr">
        <is>
          <t xml:space="preserve">31171   </t>
        </is>
      </c>
      <c r="Q2477" s="26" t="n">
        <v>6.9</v>
      </c>
      <c r="R2477" s="26">
        <f>Q2477*G2477</f>
        <v/>
      </c>
      <c r="S2477" t="n">
        <v>4.09</v>
      </c>
      <c r="T2477" s="18">
        <f>1 - V2477/S2477</f>
        <v/>
      </c>
      <c r="U2477" s="18" t="n">
        <v>0</v>
      </c>
      <c r="V2477" s="26" t="n">
        <v>4.09</v>
      </c>
      <c r="W2477" s="26">
        <f>V2477 - L2477</f>
        <v/>
      </c>
    </row>
    <row r="2478">
      <c r="A2478" s="11" t="n">
        <v>46228</v>
      </c>
      <c r="B2478" s="1" t="n">
        <v>20028</v>
      </c>
      <c r="C2478" s="1" t="inlineStr">
        <is>
          <t>011</t>
        </is>
      </c>
      <c r="D2478" s="1" t="inlineStr">
        <is>
          <t xml:space="preserve">34156 </t>
        </is>
      </c>
      <c r="E2478" s="1" t="inlineStr">
        <is>
          <t xml:space="preserve">28194770       </t>
        </is>
      </c>
      <c r="F2478" s="5" t="inlineStr">
        <is>
          <t>AUTOS DE METAL 3 TEAMSTERZ EN BLISTER</t>
        </is>
      </c>
      <c r="G2478" t="n">
        <v>1</v>
      </c>
      <c r="H2478" s="7" t="n">
        <v>6.9</v>
      </c>
      <c r="I2478" s="7" t="n">
        <v>0</v>
      </c>
      <c r="J2478" s="7" t="n">
        <v>0</v>
      </c>
      <c r="K2478" s="9" t="n">
        <v>0</v>
      </c>
      <c r="L2478" s="10" t="n">
        <v>4.1</v>
      </c>
      <c r="M2478" s="10" t="n">
        <v>1.43</v>
      </c>
      <c r="N2478" t="inlineStr">
        <is>
          <t>1</t>
        </is>
      </c>
      <c r="O2478" t="inlineStr">
        <is>
          <t xml:space="preserve">2 </t>
        </is>
      </c>
      <c r="P2478" t="inlineStr">
        <is>
          <t xml:space="preserve">31171   </t>
        </is>
      </c>
      <c r="Q2478" s="26" t="n">
        <v>6.9</v>
      </c>
      <c r="R2478" s="26">
        <f>Q2478*G2478</f>
        <v/>
      </c>
      <c r="S2478" t="n">
        <v>4.09</v>
      </c>
      <c r="T2478" s="18">
        <f>1 - V2478/S2478</f>
        <v/>
      </c>
      <c r="U2478" s="18" t="n">
        <v>0</v>
      </c>
      <c r="V2478" s="26" t="n">
        <v>4.09</v>
      </c>
      <c r="W2478" s="26">
        <f>V2478 - L2478</f>
        <v/>
      </c>
    </row>
    <row r="2479">
      <c r="A2479" s="11" t="n">
        <v>46228</v>
      </c>
      <c r="B2479" s="1" t="n">
        <v>20028</v>
      </c>
      <c r="C2479" s="1" t="inlineStr">
        <is>
          <t>011</t>
        </is>
      </c>
      <c r="D2479" s="1" t="inlineStr">
        <is>
          <t xml:space="preserve">34156 </t>
        </is>
      </c>
      <c r="E2479" s="1" t="inlineStr">
        <is>
          <t xml:space="preserve">28194770       </t>
        </is>
      </c>
      <c r="F2479" s="5" t="inlineStr">
        <is>
          <t>AUTOS DE METAL 3 TEAMSTERZ EN BLISTER</t>
        </is>
      </c>
      <c r="G2479" t="n">
        <v>1</v>
      </c>
      <c r="H2479" s="7" t="n">
        <v>6.9</v>
      </c>
      <c r="I2479" s="7" t="n">
        <v>0</v>
      </c>
      <c r="J2479" s="7" t="n">
        <v>0</v>
      </c>
      <c r="K2479" s="9" t="n">
        <v>0</v>
      </c>
      <c r="L2479" s="10" t="n">
        <v>4.1</v>
      </c>
      <c r="M2479" s="10" t="n">
        <v>1.43</v>
      </c>
      <c r="N2479" t="inlineStr">
        <is>
          <t>1</t>
        </is>
      </c>
      <c r="O2479" t="inlineStr">
        <is>
          <t xml:space="preserve">2 </t>
        </is>
      </c>
      <c r="P2479" t="inlineStr">
        <is>
          <t xml:space="preserve">31171   </t>
        </is>
      </c>
      <c r="Q2479" s="26" t="n">
        <v>6.9</v>
      </c>
      <c r="R2479" s="26">
        <f>Q2479*G2479</f>
        <v/>
      </c>
      <c r="S2479" t="n">
        <v>4.09</v>
      </c>
      <c r="T2479" s="18">
        <f>1 - V2479/S2479</f>
        <v/>
      </c>
      <c r="U2479" s="18" t="n">
        <v>0</v>
      </c>
      <c r="V2479" s="26" t="n">
        <v>4.09</v>
      </c>
      <c r="W2479" s="26">
        <f>V2479 - L2479</f>
        <v/>
      </c>
    </row>
    <row r="2480">
      <c r="A2480" s="11" t="n">
        <v>46228</v>
      </c>
      <c r="B2480" s="1" t="n">
        <v>20030</v>
      </c>
      <c r="C2480" s="1" t="inlineStr">
        <is>
          <t>067</t>
        </is>
      </c>
      <c r="D2480" s="1" t="inlineStr">
        <is>
          <t>275046</t>
        </is>
      </c>
      <c r="E2480" s="1" t="inlineStr">
        <is>
          <t xml:space="preserve">28194770       </t>
        </is>
      </c>
      <c r="F2480" s="5" t="inlineStr">
        <is>
          <t>AUTOS DE METAL 3 TEAMSTERZ EN BLISTER</t>
        </is>
      </c>
      <c r="G2480" t="n">
        <v>1</v>
      </c>
      <c r="H2480" s="7" t="n">
        <v>6.9</v>
      </c>
      <c r="I2480" s="7" t="n">
        <v>0.6899999999999999</v>
      </c>
      <c r="J2480" s="7" t="n">
        <v>0</v>
      </c>
      <c r="K2480" s="9" t="n">
        <v>0.6899999999999999</v>
      </c>
      <c r="L2480" s="10" t="n">
        <v>3.68</v>
      </c>
      <c r="M2480" s="10" t="n">
        <v>1.43</v>
      </c>
      <c r="N2480" t="inlineStr">
        <is>
          <t>1</t>
        </is>
      </c>
      <c r="O2480" t="inlineStr">
        <is>
          <t>16</t>
        </is>
      </c>
      <c r="P2480" t="inlineStr">
        <is>
          <t xml:space="preserve">44915   </t>
        </is>
      </c>
      <c r="Q2480" s="26" t="n">
        <v>6.9</v>
      </c>
      <c r="R2480" s="26">
        <f>Q2480*G2480</f>
        <v/>
      </c>
      <c r="S2480" t="n">
        <v>4.09</v>
      </c>
      <c r="T2480" s="18">
        <f>1 - V2480/S2480</f>
        <v/>
      </c>
      <c r="U2480" s="18" t="n">
        <v>0</v>
      </c>
      <c r="V2480" s="26" t="n">
        <v>4.09</v>
      </c>
      <c r="W2480" s="26">
        <f>V2480 - L2480</f>
        <v/>
      </c>
    </row>
    <row r="2481">
      <c r="A2481" s="11" t="n">
        <v>46228</v>
      </c>
      <c r="B2481" s="1" t="n">
        <v>20030</v>
      </c>
      <c r="C2481" s="1" t="inlineStr">
        <is>
          <t>067</t>
        </is>
      </c>
      <c r="D2481" s="1" t="inlineStr">
        <is>
          <t>275046</t>
        </is>
      </c>
      <c r="E2481" s="1" t="inlineStr">
        <is>
          <t xml:space="preserve">28194770       </t>
        </is>
      </c>
      <c r="F2481" s="5" t="inlineStr">
        <is>
          <t>AUTOS DE METAL 3 TEAMSTERZ EN BLISTER</t>
        </is>
      </c>
      <c r="G2481" t="n">
        <v>1</v>
      </c>
      <c r="H2481" s="7" t="n">
        <v>6.9</v>
      </c>
      <c r="I2481" s="7" t="n">
        <v>0.6899999999999999</v>
      </c>
      <c r="J2481" s="7" t="n">
        <v>0</v>
      </c>
      <c r="K2481" s="9" t="n">
        <v>0.6899999999999999</v>
      </c>
      <c r="L2481" s="10" t="n">
        <v>3.68</v>
      </c>
      <c r="M2481" s="10" t="n">
        <v>1.43</v>
      </c>
      <c r="N2481" t="inlineStr">
        <is>
          <t>1</t>
        </is>
      </c>
      <c r="O2481" t="inlineStr">
        <is>
          <t>16</t>
        </is>
      </c>
      <c r="P2481" t="inlineStr">
        <is>
          <t xml:space="preserve">44915   </t>
        </is>
      </c>
      <c r="Q2481" s="26" t="n">
        <v>6.9</v>
      </c>
      <c r="R2481" s="26">
        <f>Q2481*G2481</f>
        <v/>
      </c>
      <c r="S2481" t="n">
        <v>4.09</v>
      </c>
      <c r="T2481" s="18">
        <f>1 - V2481/S2481</f>
        <v/>
      </c>
      <c r="U2481" s="18" t="n">
        <v>0</v>
      </c>
      <c r="V2481" s="26" t="n">
        <v>4.09</v>
      </c>
      <c r="W2481" s="26">
        <f>V2481 - L2481</f>
        <v/>
      </c>
    </row>
    <row r="2482">
      <c r="A2482" s="11" t="n">
        <v>46228</v>
      </c>
      <c r="B2482" s="1" t="n">
        <v>20030</v>
      </c>
      <c r="C2482" s="1" t="inlineStr">
        <is>
          <t>067</t>
        </is>
      </c>
      <c r="D2482" s="1" t="inlineStr">
        <is>
          <t>275079</t>
        </is>
      </c>
      <c r="E2482" s="1" t="inlineStr">
        <is>
          <t xml:space="preserve">30141766       </t>
        </is>
      </c>
      <c r="F2482" s="5" t="inlineStr">
        <is>
          <t>TMZ BEAST MACHINES AUTOS DE METAL BLISTER X 1</t>
        </is>
      </c>
      <c r="G2482" t="n">
        <v>1</v>
      </c>
      <c r="H2482" s="7" t="n">
        <v>7.9</v>
      </c>
      <c r="I2482" s="7" t="n">
        <v>0</v>
      </c>
      <c r="J2482" s="7" t="n">
        <v>0</v>
      </c>
      <c r="K2482" s="9" t="n">
        <v>0</v>
      </c>
      <c r="L2482" s="10" t="n">
        <v>4.68</v>
      </c>
      <c r="M2482" s="10" t="n">
        <v>1.43</v>
      </c>
      <c r="N2482" t="inlineStr">
        <is>
          <t>1</t>
        </is>
      </c>
      <c r="O2482" t="inlineStr">
        <is>
          <t xml:space="preserve">6 </t>
        </is>
      </c>
      <c r="P2482" t="inlineStr">
        <is>
          <t xml:space="preserve">44915   </t>
        </is>
      </c>
      <c r="Q2482" s="26" t="n">
        <v>7.9</v>
      </c>
      <c r="R2482" s="26">
        <f>Q2482*G2482</f>
        <v/>
      </c>
      <c r="S2482" t="n">
        <v>4.69</v>
      </c>
      <c r="T2482" s="18">
        <f>1 - V2482/S2482</f>
        <v/>
      </c>
      <c r="U2482" s="18" t="n">
        <v>0</v>
      </c>
      <c r="V2482" s="26" t="n">
        <v>4.69</v>
      </c>
      <c r="W2482" s="26">
        <f>V2482 - L2482</f>
        <v/>
      </c>
    </row>
    <row r="2483">
      <c r="A2483" s="11" t="n">
        <v>46228</v>
      </c>
      <c r="B2483" s="1" t="n">
        <v>20030</v>
      </c>
      <c r="C2483" s="1" t="inlineStr">
        <is>
          <t>077</t>
        </is>
      </c>
      <c r="D2483" s="1" t="inlineStr">
        <is>
          <t>232841</t>
        </is>
      </c>
      <c r="E2483" s="1" t="inlineStr">
        <is>
          <t xml:space="preserve">28194769       </t>
        </is>
      </c>
      <c r="F2483" s="5" t="inlineStr">
        <is>
          <t>AUTOS DE METAL 3 TEAMSTERZ PACK DE 2</t>
        </is>
      </c>
      <c r="G2483" t="n">
        <v>1</v>
      </c>
      <c r="H2483" s="7" t="n">
        <v>13.8</v>
      </c>
      <c r="I2483" s="7" t="n">
        <v>0</v>
      </c>
      <c r="J2483" s="7" t="n">
        <v>0</v>
      </c>
      <c r="K2483" s="9" t="n">
        <v>0</v>
      </c>
      <c r="L2483" s="10" t="n">
        <v>8.18</v>
      </c>
      <c r="M2483" s="10" t="n">
        <v>1.43</v>
      </c>
      <c r="N2483" t="inlineStr">
        <is>
          <t>1</t>
        </is>
      </c>
      <c r="O2483" t="inlineStr">
        <is>
          <t>16</t>
        </is>
      </c>
      <c r="P2483" t="inlineStr">
        <is>
          <t xml:space="preserve">15567   </t>
        </is>
      </c>
      <c r="Q2483" s="26" t="n">
        <v>13.8</v>
      </c>
      <c r="R2483" s="26">
        <f>Q2483*G2483</f>
        <v/>
      </c>
      <c r="S2483" t="n">
        <v>8.19</v>
      </c>
      <c r="T2483" s="18">
        <f>1 - V2483/S2483</f>
        <v/>
      </c>
      <c r="U2483" s="18" t="n">
        <v>0</v>
      </c>
      <c r="V2483" s="26" t="n">
        <v>8.19</v>
      </c>
      <c r="W2483" s="26">
        <f>V2483 - L2483</f>
        <v/>
      </c>
    </row>
    <row r="2484">
      <c r="A2484" s="11" t="n">
        <v>46228</v>
      </c>
      <c r="B2484" s="1" t="n">
        <v>20030</v>
      </c>
      <c r="C2484" s="1" t="inlineStr">
        <is>
          <t>077</t>
        </is>
      </c>
      <c r="D2484" s="1" t="inlineStr">
        <is>
          <t>232846</t>
        </is>
      </c>
      <c r="E2484" s="1" t="inlineStr">
        <is>
          <t xml:space="preserve">28194769       </t>
        </is>
      </c>
      <c r="F2484" s="5" t="inlineStr">
        <is>
          <t>AUTOS DE METAL 3 TEAMSTERZ PACK DE 2</t>
        </is>
      </c>
      <c r="G2484" t="n">
        <v>1</v>
      </c>
      <c r="H2484" s="7" t="n">
        <v>13.8</v>
      </c>
      <c r="I2484" s="7" t="n">
        <v>0</v>
      </c>
      <c r="J2484" s="7" t="n">
        <v>0</v>
      </c>
      <c r="K2484" s="9" t="n">
        <v>0</v>
      </c>
      <c r="L2484" s="10" t="n">
        <v>8.18</v>
      </c>
      <c r="M2484" s="10" t="n">
        <v>1.43</v>
      </c>
      <c r="N2484" t="inlineStr">
        <is>
          <t>1</t>
        </is>
      </c>
      <c r="O2484" t="inlineStr">
        <is>
          <t>16</t>
        </is>
      </c>
      <c r="P2484" t="inlineStr">
        <is>
          <t xml:space="preserve">15567   </t>
        </is>
      </c>
      <c r="Q2484" s="26" t="n">
        <v>13.8</v>
      </c>
      <c r="R2484" s="26">
        <f>Q2484*G2484</f>
        <v/>
      </c>
      <c r="S2484" t="n">
        <v>8.19</v>
      </c>
      <c r="T2484" s="18">
        <f>1 - V2484/S2484</f>
        <v/>
      </c>
      <c r="U2484" s="18" t="n">
        <v>0</v>
      </c>
      <c r="V2484" s="26" t="n">
        <v>8.19</v>
      </c>
      <c r="W2484" s="26">
        <f>V2484 - L2484</f>
        <v/>
      </c>
    </row>
    <row r="2485">
      <c r="A2485" s="11" t="n">
        <v>46228</v>
      </c>
      <c r="B2485" s="1" t="n">
        <v>20030</v>
      </c>
      <c r="C2485" s="1" t="inlineStr">
        <is>
          <t>077</t>
        </is>
      </c>
      <c r="D2485" s="1" t="inlineStr">
        <is>
          <t xml:space="preserve">8671  </t>
        </is>
      </c>
      <c r="E2485" s="1" t="inlineStr">
        <is>
          <t xml:space="preserve">28194769       </t>
        </is>
      </c>
      <c r="F2485" s="5" t="inlineStr">
        <is>
          <t>AUTOS DE METAL 3 TEAMSTERZ PACK DE 2</t>
        </is>
      </c>
      <c r="G2485" t="n">
        <v>-1</v>
      </c>
      <c r="H2485" s="7" t="n">
        <v>-13.8</v>
      </c>
      <c r="I2485" s="7" t="n">
        <v>0</v>
      </c>
      <c r="J2485" s="7" t="n">
        <v>0</v>
      </c>
      <c r="K2485" s="9" t="n">
        <v>0</v>
      </c>
      <c r="L2485" s="10" t="n">
        <v>-8.18</v>
      </c>
      <c r="M2485" s="10" t="n">
        <v>0</v>
      </c>
      <c r="N2485" t="inlineStr">
        <is>
          <t>3</t>
        </is>
      </c>
      <c r="O2485" t="inlineStr">
        <is>
          <t>36</t>
        </is>
      </c>
      <c r="P2485" t="inlineStr">
        <is>
          <t xml:space="preserve">52454   </t>
        </is>
      </c>
      <c r="Q2485" s="26" t="n">
        <v>13.8</v>
      </c>
      <c r="R2485" s="26">
        <f>Q2485*G2485</f>
        <v/>
      </c>
      <c r="S2485" t="n">
        <v>-8.19</v>
      </c>
      <c r="T2485" s="18">
        <f>1 - V2485/S2485</f>
        <v/>
      </c>
      <c r="U2485" s="18" t="n">
        <v>0</v>
      </c>
      <c r="V2485" s="26" t="n">
        <v>-8.19</v>
      </c>
      <c r="W2485" s="26">
        <f>V2485 - L2485</f>
        <v/>
      </c>
    </row>
    <row r="2486">
      <c r="A2486" s="11" t="n">
        <v>46228</v>
      </c>
      <c r="B2486" s="1" t="n">
        <v>20030</v>
      </c>
      <c r="C2486" s="1" t="inlineStr">
        <is>
          <t>525</t>
        </is>
      </c>
      <c r="D2486" s="1" t="inlineStr">
        <is>
          <t xml:space="preserve">3659  </t>
        </is>
      </c>
      <c r="E2486" s="1" t="inlineStr">
        <is>
          <t xml:space="preserve">28194768       </t>
        </is>
      </c>
      <c r="F2486" s="5" t="inlineStr">
        <is>
          <t>AUTO COLOR CHANGE TEAMSTERZ SURTIDO</t>
        </is>
      </c>
      <c r="G2486" t="n">
        <v>1</v>
      </c>
      <c r="H2486" s="7" t="n">
        <v>14.9</v>
      </c>
      <c r="I2486" s="7" t="n">
        <v>0</v>
      </c>
      <c r="J2486" s="7" t="n">
        <v>0</v>
      </c>
      <c r="K2486" s="9" t="n">
        <v>0</v>
      </c>
      <c r="L2486" s="10" t="n">
        <v>8.84</v>
      </c>
      <c r="M2486" s="10" t="n">
        <v>1.43</v>
      </c>
      <c r="N2486" t="inlineStr">
        <is>
          <t>1</t>
        </is>
      </c>
      <c r="O2486" t="inlineStr">
        <is>
          <t>16</t>
        </is>
      </c>
      <c r="P2486" t="inlineStr">
        <is>
          <t xml:space="preserve">248502  </t>
        </is>
      </c>
      <c r="Q2486" s="26" t="n">
        <v>14.9</v>
      </c>
      <c r="R2486" s="26">
        <f>Q2486*G2486</f>
        <v/>
      </c>
      <c r="S2486" t="n">
        <v>8.84</v>
      </c>
      <c r="T2486" s="18">
        <f>1 - V2486/S2486</f>
        <v/>
      </c>
      <c r="U2486" s="18" t="n">
        <v>0</v>
      </c>
      <c r="V2486" s="26" t="n">
        <v>8.84</v>
      </c>
      <c r="W2486" s="26">
        <f>V2486 - L2486</f>
        <v/>
      </c>
    </row>
    <row r="2487">
      <c r="A2487" s="11" t="n">
        <v>46228</v>
      </c>
      <c r="B2487" s="1" t="n">
        <v>20040</v>
      </c>
      <c r="C2487" s="1" t="inlineStr">
        <is>
          <t>072</t>
        </is>
      </c>
      <c r="D2487" s="1" t="inlineStr">
        <is>
          <t>252833</t>
        </is>
      </c>
      <c r="E2487" s="1" t="inlineStr">
        <is>
          <t xml:space="preserve">31754677       </t>
        </is>
      </c>
      <c r="F2487" s="5" t="inlineStr">
        <is>
          <t>INFINITY NADO SERIE 6 SET DE BATALL</t>
        </is>
      </c>
      <c r="G2487" t="n">
        <v>1</v>
      </c>
      <c r="H2487" s="7" t="n">
        <v>149</v>
      </c>
      <c r="I2487" s="7" t="n">
        <v>0</v>
      </c>
      <c r="J2487" s="7" t="n">
        <v>0</v>
      </c>
      <c r="K2487" s="9" t="n">
        <v>0</v>
      </c>
      <c r="L2487" s="10" t="n">
        <v>88.39</v>
      </c>
      <c r="M2487" s="10" t="n">
        <v>1.43</v>
      </c>
      <c r="N2487" t="inlineStr">
        <is>
          <t>1</t>
        </is>
      </c>
      <c r="O2487" t="inlineStr">
        <is>
          <t xml:space="preserve">2 </t>
        </is>
      </c>
      <c r="P2487" t="inlineStr">
        <is>
          <t xml:space="preserve">241003  </t>
        </is>
      </c>
      <c r="Q2487" s="26" t="n">
        <v>189</v>
      </c>
      <c r="R2487" s="26">
        <f>Q2487*G2487</f>
        <v/>
      </c>
      <c r="S2487" t="n">
        <v>112.12</v>
      </c>
      <c r="T2487" s="18">
        <f>1 - V2487/S2487</f>
        <v/>
      </c>
      <c r="U2487" s="18" t="n">
        <v>0.2116402116402116</v>
      </c>
      <c r="V2487" s="26" t="n">
        <v>94.70338983050848</v>
      </c>
      <c r="W2487" s="26">
        <f>V2487 - L2487</f>
        <v/>
      </c>
    </row>
    <row r="2488">
      <c r="A2488" s="11" t="n">
        <v>46228</v>
      </c>
      <c r="B2488" s="1" t="n">
        <v>20040</v>
      </c>
      <c r="C2488" s="1" t="inlineStr">
        <is>
          <t>072</t>
        </is>
      </c>
      <c r="D2488" s="1" t="inlineStr">
        <is>
          <t>252916</t>
        </is>
      </c>
      <c r="E2488" s="1" t="inlineStr">
        <is>
          <t xml:space="preserve">32457099       </t>
        </is>
      </c>
      <c r="F2488" s="5" t="inlineStr">
        <is>
          <t>TMZ BEAST MACHINES MONSTER JAWS A FRICCION BLISTER</t>
        </is>
      </c>
      <c r="G2488" t="n">
        <v>1</v>
      </c>
      <c r="H2488" s="7" t="n">
        <v>17.9</v>
      </c>
      <c r="I2488" s="7" t="n">
        <v>1.79</v>
      </c>
      <c r="J2488" s="7" t="n">
        <v>0</v>
      </c>
      <c r="K2488" s="9" t="n">
        <v>1.79</v>
      </c>
      <c r="L2488" s="10" t="n">
        <v>9.56</v>
      </c>
      <c r="M2488" s="10" t="n">
        <v>1.43</v>
      </c>
      <c r="N2488" t="inlineStr">
        <is>
          <t>1</t>
        </is>
      </c>
      <c r="O2488" t="inlineStr">
        <is>
          <t xml:space="preserve">3 </t>
        </is>
      </c>
      <c r="P2488" t="inlineStr">
        <is>
          <t xml:space="preserve">248914  </t>
        </is>
      </c>
      <c r="Q2488" s="26" t="n">
        <v>19.9</v>
      </c>
      <c r="R2488" s="26">
        <f>Q2488*G2488</f>
        <v/>
      </c>
      <c r="S2488" t="n">
        <v>11.81</v>
      </c>
      <c r="T2488" s="18">
        <f>1 - V2488/S2488</f>
        <v/>
      </c>
      <c r="U2488" s="18" t="n">
        <v>0.1005025125628141</v>
      </c>
      <c r="V2488" s="26" t="n">
        <v>8.417118644067797</v>
      </c>
      <c r="W2488" s="26">
        <f>V2488 - L2488</f>
        <v/>
      </c>
    </row>
    <row r="2489">
      <c r="A2489" s="11" t="n">
        <v>46228</v>
      </c>
      <c r="B2489" s="1" t="n">
        <v>20040</v>
      </c>
      <c r="C2489" s="1" t="inlineStr">
        <is>
          <t>073</t>
        </is>
      </c>
      <c r="D2489" s="1" t="inlineStr">
        <is>
          <t>255627</t>
        </is>
      </c>
      <c r="E2489" s="1" t="inlineStr">
        <is>
          <t xml:space="preserve">29235706       </t>
        </is>
      </c>
      <c r="F2489" s="5" t="inlineStr">
        <is>
          <t>TEAMSTERZ CAMION PARA GUARDAR 12 AUTOS INCL 4 AUTO</t>
        </is>
      </c>
      <c r="G2489" t="n">
        <v>1</v>
      </c>
      <c r="H2489" s="7" t="n">
        <v>59.9</v>
      </c>
      <c r="I2489" s="7" t="n">
        <v>5.99</v>
      </c>
      <c r="J2489" s="7" t="n">
        <v>0</v>
      </c>
      <c r="K2489" s="9" t="n">
        <v>5.99</v>
      </c>
      <c r="L2489" s="10" t="n">
        <v>31.98</v>
      </c>
      <c r="M2489" s="10" t="n">
        <v>1.43</v>
      </c>
      <c r="N2489" t="inlineStr">
        <is>
          <t>1</t>
        </is>
      </c>
      <c r="O2489" t="inlineStr">
        <is>
          <t xml:space="preserve">3 </t>
        </is>
      </c>
      <c r="P2489" t="inlineStr">
        <is>
          <t xml:space="preserve">247275  </t>
        </is>
      </c>
      <c r="Q2489" s="26" t="n">
        <v>59.90000000000001</v>
      </c>
      <c r="R2489" s="26">
        <f>Q2489*G2489</f>
        <v/>
      </c>
      <c r="S2489" t="n">
        <v>35.53</v>
      </c>
      <c r="T2489" s="18">
        <f>1 - V2489/S2489</f>
        <v/>
      </c>
      <c r="U2489" s="18" t="n">
        <v>0</v>
      </c>
      <c r="V2489" s="26" t="n">
        <v>35.53</v>
      </c>
      <c r="W2489" s="26">
        <f>V2489 - L2489</f>
        <v/>
      </c>
    </row>
    <row r="2490">
      <c r="A2490" s="11" t="n">
        <v>46228</v>
      </c>
      <c r="B2490" s="1" t="n">
        <v>20040</v>
      </c>
      <c r="C2490" s="1" t="inlineStr">
        <is>
          <t>073</t>
        </is>
      </c>
      <c r="D2490" s="1" t="inlineStr">
        <is>
          <t>255627</t>
        </is>
      </c>
      <c r="E2490" s="1" t="inlineStr">
        <is>
          <t xml:space="preserve">29235706       </t>
        </is>
      </c>
      <c r="F2490" s="5" t="inlineStr">
        <is>
          <t>TEAMSTERZ CAMION PARA GUARDAR 12 AUTOS INCL 4 AUTO</t>
        </is>
      </c>
      <c r="G2490" t="n">
        <v>1</v>
      </c>
      <c r="H2490" s="7" t="n">
        <v>59.9</v>
      </c>
      <c r="I2490" s="7" t="n">
        <v>5.99</v>
      </c>
      <c r="J2490" s="7" t="n">
        <v>0</v>
      </c>
      <c r="K2490" s="9" t="n">
        <v>5.99</v>
      </c>
      <c r="L2490" s="10" t="n">
        <v>31.98</v>
      </c>
      <c r="M2490" s="10" t="n">
        <v>1.43</v>
      </c>
      <c r="N2490" t="inlineStr">
        <is>
          <t>1</t>
        </is>
      </c>
      <c r="O2490" t="inlineStr">
        <is>
          <t xml:space="preserve">3 </t>
        </is>
      </c>
      <c r="P2490" t="inlineStr">
        <is>
          <t xml:space="preserve">247275  </t>
        </is>
      </c>
      <c r="Q2490" s="26" t="n">
        <v>59.90000000000001</v>
      </c>
      <c r="R2490" s="26">
        <f>Q2490*G2490</f>
        <v/>
      </c>
      <c r="S2490" t="n">
        <v>35.53</v>
      </c>
      <c r="T2490" s="18">
        <f>1 - V2490/S2490</f>
        <v/>
      </c>
      <c r="U2490" s="18" t="n">
        <v>0</v>
      </c>
      <c r="V2490" s="26" t="n">
        <v>35.53</v>
      </c>
      <c r="W2490" s="26">
        <f>V2490 - L2490</f>
        <v/>
      </c>
    </row>
    <row r="2491">
      <c r="A2491" s="11" t="n">
        <v>46228</v>
      </c>
      <c r="B2491" s="1" t="n">
        <v>20040</v>
      </c>
      <c r="C2491" s="1" t="inlineStr">
        <is>
          <t>083</t>
        </is>
      </c>
      <c r="D2491" s="1" t="inlineStr">
        <is>
          <t>160679</t>
        </is>
      </c>
      <c r="E2491" s="1" t="inlineStr">
        <is>
          <t xml:space="preserve">31754677       </t>
        </is>
      </c>
      <c r="F2491" s="5" t="inlineStr">
        <is>
          <t>INFINITY NADO SERIE 6 SET DE BATALL</t>
        </is>
      </c>
      <c r="G2491" t="n">
        <v>1</v>
      </c>
      <c r="H2491" s="7" t="n">
        <v>149</v>
      </c>
      <c r="I2491" s="7" t="n">
        <v>0</v>
      </c>
      <c r="J2491" s="7" t="n">
        <v>0</v>
      </c>
      <c r="K2491" s="9" t="n">
        <v>0</v>
      </c>
      <c r="L2491" s="10" t="n">
        <v>88.39</v>
      </c>
      <c r="M2491" s="10" t="n">
        <v>1.43</v>
      </c>
      <c r="N2491" t="inlineStr">
        <is>
          <t>1</t>
        </is>
      </c>
      <c r="O2491" t="inlineStr">
        <is>
          <t xml:space="preserve">2 </t>
        </is>
      </c>
      <c r="P2491" t="inlineStr">
        <is>
          <t xml:space="preserve">52786   </t>
        </is>
      </c>
      <c r="Q2491" s="26" t="n">
        <v>189</v>
      </c>
      <c r="R2491" s="26">
        <f>Q2491*G2491</f>
        <v/>
      </c>
      <c r="S2491" t="n">
        <v>112.12</v>
      </c>
      <c r="T2491" s="18">
        <f>1 - V2491/S2491</f>
        <v/>
      </c>
      <c r="U2491" s="18" t="n">
        <v>0.2116402116402116</v>
      </c>
      <c r="V2491" s="26" t="n">
        <v>94.70338983050848</v>
      </c>
      <c r="W2491" s="26">
        <f>V2491 - L2491</f>
        <v/>
      </c>
    </row>
    <row r="2492">
      <c r="A2492" s="11" t="n">
        <v>46228</v>
      </c>
      <c r="B2492" s="1" t="n">
        <v>20040</v>
      </c>
      <c r="C2492" s="1" t="inlineStr">
        <is>
          <t>832</t>
        </is>
      </c>
      <c r="D2492" s="1" t="inlineStr">
        <is>
          <t xml:space="preserve">3583  </t>
        </is>
      </c>
      <c r="E2492" s="1" t="inlineStr">
        <is>
          <t xml:space="preserve">28194769       </t>
        </is>
      </c>
      <c r="F2492" s="5" t="inlineStr">
        <is>
          <t>AUTOS DE METAL 3 TEAMSTERZ PACK DE 2</t>
        </is>
      </c>
      <c r="G2492" t="n">
        <v>1</v>
      </c>
      <c r="H2492" s="7" t="n">
        <v>13.8</v>
      </c>
      <c r="I2492" s="7" t="n">
        <v>0</v>
      </c>
      <c r="J2492" s="7" t="n">
        <v>0</v>
      </c>
      <c r="K2492" s="9" t="n">
        <v>0</v>
      </c>
      <c r="L2492" s="10" t="n">
        <v>8.18</v>
      </c>
      <c r="M2492" s="10" t="n">
        <v>1.43</v>
      </c>
      <c r="N2492" t="inlineStr">
        <is>
          <t>1</t>
        </is>
      </c>
      <c r="O2492" t="inlineStr">
        <is>
          <t>16</t>
        </is>
      </c>
      <c r="P2492" t="inlineStr">
        <is>
          <t xml:space="preserve">0       </t>
        </is>
      </c>
      <c r="Q2492" s="26" t="n">
        <v>13.8</v>
      </c>
      <c r="R2492" s="26">
        <f>Q2492*G2492</f>
        <v/>
      </c>
      <c r="S2492" t="n">
        <v>8.19</v>
      </c>
      <c r="T2492" s="18">
        <f>1 - V2492/S2492</f>
        <v/>
      </c>
      <c r="U2492" s="18" t="n">
        <v>0</v>
      </c>
      <c r="V2492" s="26" t="n">
        <v>8.19</v>
      </c>
      <c r="W2492" s="26">
        <f>V2492 - L2492</f>
        <v/>
      </c>
    </row>
    <row r="2493">
      <c r="A2493" s="11" t="n">
        <v>46228</v>
      </c>
      <c r="B2493" s="1" t="n">
        <v>20041</v>
      </c>
      <c r="C2493" s="1" t="inlineStr">
        <is>
          <t>032</t>
        </is>
      </c>
      <c r="D2493" s="1" t="inlineStr">
        <is>
          <t xml:space="preserve">9129  </t>
        </is>
      </c>
      <c r="E2493" s="1" t="inlineStr">
        <is>
          <t xml:space="preserve">28194770       </t>
        </is>
      </c>
      <c r="F2493" s="5" t="inlineStr">
        <is>
          <t>AUTOS DE METAL 3 TEAMSTERZ EN BLISTER</t>
        </is>
      </c>
      <c r="G2493" t="n">
        <v>1</v>
      </c>
      <c r="H2493" s="7" t="n">
        <v>6.9</v>
      </c>
      <c r="I2493" s="7" t="n">
        <v>0</v>
      </c>
      <c r="J2493" s="7" t="n">
        <v>0</v>
      </c>
      <c r="K2493" s="9" t="n">
        <v>0</v>
      </c>
      <c r="L2493" s="10" t="n">
        <v>4.1</v>
      </c>
      <c r="M2493" s="10" t="n">
        <v>1.43</v>
      </c>
      <c r="N2493" t="inlineStr">
        <is>
          <t>1</t>
        </is>
      </c>
      <c r="O2493" t="inlineStr">
        <is>
          <t>16</t>
        </is>
      </c>
      <c r="P2493" t="inlineStr">
        <is>
          <t xml:space="preserve">242748  </t>
        </is>
      </c>
      <c r="Q2493" s="26" t="n">
        <v>6.9</v>
      </c>
      <c r="R2493" s="26">
        <f>Q2493*G2493</f>
        <v/>
      </c>
      <c r="S2493" t="n">
        <v>4.09</v>
      </c>
      <c r="T2493" s="18">
        <f>1 - V2493/S2493</f>
        <v/>
      </c>
      <c r="U2493" s="18" t="n">
        <v>0</v>
      </c>
      <c r="V2493" s="26" t="n">
        <v>4.09</v>
      </c>
      <c r="W2493" s="26">
        <f>V2493 - L2493</f>
        <v/>
      </c>
    </row>
    <row r="2494">
      <c r="A2494" s="11" t="n">
        <v>46228</v>
      </c>
      <c r="B2494" s="1" t="n">
        <v>20041</v>
      </c>
      <c r="C2494" s="1" t="inlineStr">
        <is>
          <t>032</t>
        </is>
      </c>
      <c r="D2494" s="1" t="inlineStr">
        <is>
          <t xml:space="preserve">9129  </t>
        </is>
      </c>
      <c r="E2494" s="1" t="inlineStr">
        <is>
          <t xml:space="preserve">28194770       </t>
        </is>
      </c>
      <c r="F2494" s="5" t="inlineStr">
        <is>
          <t>AUTOS DE METAL 3 TEAMSTERZ EN BLISTER</t>
        </is>
      </c>
      <c r="G2494" t="n">
        <v>1</v>
      </c>
      <c r="H2494" s="7" t="n">
        <v>6.9</v>
      </c>
      <c r="I2494" s="7" t="n">
        <v>0</v>
      </c>
      <c r="J2494" s="7" t="n">
        <v>0</v>
      </c>
      <c r="K2494" s="9" t="n">
        <v>0</v>
      </c>
      <c r="L2494" s="10" t="n">
        <v>4.1</v>
      </c>
      <c r="M2494" s="10" t="n">
        <v>1.43</v>
      </c>
      <c r="N2494" t="inlineStr">
        <is>
          <t>1</t>
        </is>
      </c>
      <c r="O2494" t="inlineStr">
        <is>
          <t>16</t>
        </is>
      </c>
      <c r="P2494" t="inlineStr">
        <is>
          <t xml:space="preserve">242748  </t>
        </is>
      </c>
      <c r="Q2494" s="26" t="n">
        <v>6.9</v>
      </c>
      <c r="R2494" s="26">
        <f>Q2494*G2494</f>
        <v/>
      </c>
      <c r="S2494" t="n">
        <v>4.09</v>
      </c>
      <c r="T2494" s="18">
        <f>1 - V2494/S2494</f>
        <v/>
      </c>
      <c r="U2494" s="18" t="n">
        <v>0</v>
      </c>
      <c r="V2494" s="26" t="n">
        <v>4.09</v>
      </c>
      <c r="W2494" s="26">
        <f>V2494 - L2494</f>
        <v/>
      </c>
    </row>
    <row r="2495">
      <c r="A2495" s="11" t="n">
        <v>46228</v>
      </c>
      <c r="B2495" s="1" t="n">
        <v>20041</v>
      </c>
      <c r="C2495" s="1" t="inlineStr">
        <is>
          <t>037</t>
        </is>
      </c>
      <c r="D2495" s="1" t="inlineStr">
        <is>
          <t>190282</t>
        </is>
      </c>
      <c r="E2495" s="1" t="inlineStr">
        <is>
          <t xml:space="preserve">28194770       </t>
        </is>
      </c>
      <c r="F2495" s="5" t="inlineStr">
        <is>
          <t>AUTOS DE METAL 3 TEAMSTERZ EN BLISTER</t>
        </is>
      </c>
      <c r="G2495" t="n">
        <v>1</v>
      </c>
      <c r="H2495" s="7" t="n">
        <v>6.9</v>
      </c>
      <c r="I2495" s="7" t="n">
        <v>0</v>
      </c>
      <c r="J2495" s="7" t="n">
        <v>0</v>
      </c>
      <c r="K2495" s="9" t="n">
        <v>0</v>
      </c>
      <c r="L2495" s="10" t="n">
        <v>4.1</v>
      </c>
      <c r="M2495" s="10" t="n">
        <v>1.43</v>
      </c>
      <c r="N2495" t="inlineStr">
        <is>
          <t>1</t>
        </is>
      </c>
      <c r="O2495" t="inlineStr">
        <is>
          <t>16</t>
        </is>
      </c>
      <c r="P2495" t="inlineStr">
        <is>
          <t xml:space="preserve">242747  </t>
        </is>
      </c>
      <c r="Q2495" s="26" t="n">
        <v>6.9</v>
      </c>
      <c r="R2495" s="26">
        <f>Q2495*G2495</f>
        <v/>
      </c>
      <c r="S2495" t="n">
        <v>4.09</v>
      </c>
      <c r="T2495" s="18">
        <f>1 - V2495/S2495</f>
        <v/>
      </c>
      <c r="U2495" s="18" t="n">
        <v>0</v>
      </c>
      <c r="V2495" s="26" t="n">
        <v>4.09</v>
      </c>
      <c r="W2495" s="26">
        <f>V2495 - L2495</f>
        <v/>
      </c>
    </row>
    <row r="2496">
      <c r="A2496" s="11" t="n">
        <v>46228</v>
      </c>
      <c r="B2496" s="1" t="n">
        <v>20041</v>
      </c>
      <c r="C2496" s="1" t="inlineStr">
        <is>
          <t>037</t>
        </is>
      </c>
      <c r="D2496" s="1" t="inlineStr">
        <is>
          <t>190282</t>
        </is>
      </c>
      <c r="E2496" s="1" t="inlineStr">
        <is>
          <t xml:space="preserve">28194770       </t>
        </is>
      </c>
      <c r="F2496" s="5" t="inlineStr">
        <is>
          <t>AUTOS DE METAL 3 TEAMSTERZ EN BLISTER</t>
        </is>
      </c>
      <c r="G2496" t="n">
        <v>1</v>
      </c>
      <c r="H2496" s="7" t="n">
        <v>6.9</v>
      </c>
      <c r="I2496" s="7" t="n">
        <v>0</v>
      </c>
      <c r="J2496" s="7" t="n">
        <v>0</v>
      </c>
      <c r="K2496" s="9" t="n">
        <v>0</v>
      </c>
      <c r="L2496" s="10" t="n">
        <v>4.1</v>
      </c>
      <c r="M2496" s="10" t="n">
        <v>1.43</v>
      </c>
      <c r="N2496" t="inlineStr">
        <is>
          <t>1</t>
        </is>
      </c>
      <c r="O2496" t="inlineStr">
        <is>
          <t>16</t>
        </is>
      </c>
      <c r="P2496" t="inlineStr">
        <is>
          <t xml:space="preserve">242747  </t>
        </is>
      </c>
      <c r="Q2496" s="26" t="n">
        <v>6.9</v>
      </c>
      <c r="R2496" s="26">
        <f>Q2496*G2496</f>
        <v/>
      </c>
      <c r="S2496" t="n">
        <v>4.09</v>
      </c>
      <c r="T2496" s="18">
        <f>1 - V2496/S2496</f>
        <v/>
      </c>
      <c r="U2496" s="18" t="n">
        <v>0</v>
      </c>
      <c r="V2496" s="26" t="n">
        <v>4.09</v>
      </c>
      <c r="W2496" s="26">
        <f>V2496 - L2496</f>
        <v/>
      </c>
    </row>
    <row r="2497">
      <c r="A2497" s="11" t="n">
        <v>46228</v>
      </c>
      <c r="B2497" s="1" t="n">
        <v>20041</v>
      </c>
      <c r="C2497" s="1" t="inlineStr">
        <is>
          <t>037</t>
        </is>
      </c>
      <c r="D2497" s="1" t="inlineStr">
        <is>
          <t>190283</t>
        </is>
      </c>
      <c r="E2497" s="1" t="inlineStr">
        <is>
          <t xml:space="preserve">28194770       </t>
        </is>
      </c>
      <c r="F2497" s="5" t="inlineStr">
        <is>
          <t>AUTOS DE METAL 3 TEAMSTERZ EN BLISTER</t>
        </is>
      </c>
      <c r="G2497" t="n">
        <v>1</v>
      </c>
      <c r="H2497" s="7" t="n">
        <v>6.9</v>
      </c>
      <c r="I2497" s="7" t="n">
        <v>0</v>
      </c>
      <c r="J2497" s="7" t="n">
        <v>0</v>
      </c>
      <c r="K2497" s="9" t="n">
        <v>0</v>
      </c>
      <c r="L2497" s="10" t="n">
        <v>4.1</v>
      </c>
      <c r="M2497" s="10" t="n">
        <v>1.43</v>
      </c>
      <c r="N2497" t="inlineStr">
        <is>
          <t>1</t>
        </is>
      </c>
      <c r="O2497" t="inlineStr">
        <is>
          <t>16</t>
        </is>
      </c>
      <c r="P2497" t="inlineStr">
        <is>
          <t xml:space="preserve">242747  </t>
        </is>
      </c>
      <c r="Q2497" s="26" t="n">
        <v>6.9</v>
      </c>
      <c r="R2497" s="26">
        <f>Q2497*G2497</f>
        <v/>
      </c>
      <c r="S2497" t="n">
        <v>4.09</v>
      </c>
      <c r="T2497" s="18">
        <f>1 - V2497/S2497</f>
        <v/>
      </c>
      <c r="U2497" s="18" t="n">
        <v>0</v>
      </c>
      <c r="V2497" s="26" t="n">
        <v>4.09</v>
      </c>
      <c r="W2497" s="26">
        <f>V2497 - L2497</f>
        <v/>
      </c>
    </row>
    <row r="2498">
      <c r="A2498" s="11" t="n">
        <v>46228</v>
      </c>
      <c r="B2498" s="1" t="n">
        <v>20041</v>
      </c>
      <c r="C2498" s="1" t="inlineStr">
        <is>
          <t>037</t>
        </is>
      </c>
      <c r="D2498" s="1" t="inlineStr">
        <is>
          <t>190283</t>
        </is>
      </c>
      <c r="E2498" s="1" t="inlineStr">
        <is>
          <t xml:space="preserve">28194770       </t>
        </is>
      </c>
      <c r="F2498" s="5" t="inlineStr">
        <is>
          <t>AUTOS DE METAL 3 TEAMSTERZ EN BLISTER</t>
        </is>
      </c>
      <c r="G2498" t="n">
        <v>1</v>
      </c>
      <c r="H2498" s="7" t="n">
        <v>6.9</v>
      </c>
      <c r="I2498" s="7" t="n">
        <v>0</v>
      </c>
      <c r="J2498" s="7" t="n">
        <v>0</v>
      </c>
      <c r="K2498" s="9" t="n">
        <v>0</v>
      </c>
      <c r="L2498" s="10" t="n">
        <v>4.1</v>
      </c>
      <c r="M2498" s="10" t="n">
        <v>1.43</v>
      </c>
      <c r="N2498" t="inlineStr">
        <is>
          <t>1</t>
        </is>
      </c>
      <c r="O2498" t="inlineStr">
        <is>
          <t>16</t>
        </is>
      </c>
      <c r="P2498" t="inlineStr">
        <is>
          <t xml:space="preserve">242747  </t>
        </is>
      </c>
      <c r="Q2498" s="26" t="n">
        <v>6.9</v>
      </c>
      <c r="R2498" s="26">
        <f>Q2498*G2498</f>
        <v/>
      </c>
      <c r="S2498" t="n">
        <v>4.09</v>
      </c>
      <c r="T2498" s="18">
        <f>1 - V2498/S2498</f>
        <v/>
      </c>
      <c r="U2498" s="18" t="n">
        <v>0</v>
      </c>
      <c r="V2498" s="26" t="n">
        <v>4.09</v>
      </c>
      <c r="W2498" s="26">
        <f>V2498 - L2498</f>
        <v/>
      </c>
    </row>
    <row r="2499">
      <c r="A2499" s="11" t="n">
        <v>46228</v>
      </c>
      <c r="B2499" s="1" t="n">
        <v>20041</v>
      </c>
      <c r="C2499" s="1" t="inlineStr">
        <is>
          <t>037</t>
        </is>
      </c>
      <c r="D2499" s="1" t="inlineStr">
        <is>
          <t>190288</t>
        </is>
      </c>
      <c r="E2499" s="1" t="inlineStr">
        <is>
          <t xml:space="preserve">34840534       </t>
        </is>
      </c>
      <c r="F2499" s="5" t="inlineStr">
        <is>
          <t>PINYPON TENEBROSA SERIE 14 CDU 24X2</t>
        </is>
      </c>
      <c r="G2499" t="n">
        <v>1</v>
      </c>
      <c r="H2499" s="7" t="n">
        <v>10.74</v>
      </c>
      <c r="I2499" s="7" t="n">
        <v>0</v>
      </c>
      <c r="J2499" s="7" t="n">
        <v>0</v>
      </c>
      <c r="K2499" s="9" t="n">
        <v>0</v>
      </c>
      <c r="L2499" s="10" t="n">
        <v>6.37</v>
      </c>
      <c r="M2499" s="10" t="n">
        <v>1.43</v>
      </c>
      <c r="N2499" t="inlineStr">
        <is>
          <t>1</t>
        </is>
      </c>
      <c r="O2499" t="inlineStr">
        <is>
          <t xml:space="preserve">2 </t>
        </is>
      </c>
      <c r="P2499" t="inlineStr">
        <is>
          <t xml:space="preserve">242747  </t>
        </is>
      </c>
      <c r="Q2499" s="26" t="n">
        <v>17.9</v>
      </c>
      <c r="R2499" s="26">
        <f>Q2499*G2499</f>
        <v/>
      </c>
      <c r="S2499" t="n">
        <v>10.62</v>
      </c>
      <c r="T2499" s="18">
        <f>1 - V2499/S2499</f>
        <v/>
      </c>
      <c r="U2499" s="18" t="n">
        <v>0.3999999999999999</v>
      </c>
      <c r="V2499" s="26" t="n">
        <v>7.281355932203391</v>
      </c>
      <c r="W2499" s="26">
        <f>V2499 - L2499</f>
        <v/>
      </c>
    </row>
    <row r="2500">
      <c r="A2500" s="11" t="n">
        <v>46228</v>
      </c>
      <c r="B2500" s="1" t="n">
        <v>20041</v>
      </c>
      <c r="C2500" s="1" t="inlineStr">
        <is>
          <t>037</t>
        </is>
      </c>
      <c r="D2500" s="1" t="inlineStr">
        <is>
          <t>190296</t>
        </is>
      </c>
      <c r="E2500" s="1" t="inlineStr">
        <is>
          <t xml:space="preserve">28194770       </t>
        </is>
      </c>
      <c r="F2500" s="5" t="inlineStr">
        <is>
          <t>AUTOS DE METAL 3 TEAMSTERZ EN BLISTER</t>
        </is>
      </c>
      <c r="G2500" t="n">
        <v>1</v>
      </c>
      <c r="H2500" s="7" t="n">
        <v>6.9</v>
      </c>
      <c r="I2500" s="7" t="n">
        <v>0</v>
      </c>
      <c r="J2500" s="7" t="n">
        <v>0</v>
      </c>
      <c r="K2500" s="9" t="n">
        <v>0</v>
      </c>
      <c r="L2500" s="10" t="n">
        <v>4.1</v>
      </c>
      <c r="M2500" s="10" t="n">
        <v>1.43</v>
      </c>
      <c r="N2500" t="inlineStr">
        <is>
          <t>1</t>
        </is>
      </c>
      <c r="O2500" t="inlineStr">
        <is>
          <t>16</t>
        </is>
      </c>
      <c r="P2500" t="inlineStr">
        <is>
          <t xml:space="preserve">242747  </t>
        </is>
      </c>
      <c r="Q2500" s="26" t="n">
        <v>6.9</v>
      </c>
      <c r="R2500" s="26">
        <f>Q2500*G2500</f>
        <v/>
      </c>
      <c r="S2500" t="n">
        <v>4.09</v>
      </c>
      <c r="T2500" s="18">
        <f>1 - V2500/S2500</f>
        <v/>
      </c>
      <c r="U2500" s="18" t="n">
        <v>0</v>
      </c>
      <c r="V2500" s="26" t="n">
        <v>4.09</v>
      </c>
      <c r="W2500" s="26">
        <f>V2500 - L2500</f>
        <v/>
      </c>
    </row>
    <row r="2501">
      <c r="A2501" s="11" t="n">
        <v>46228</v>
      </c>
      <c r="B2501" s="1" t="n">
        <v>20043</v>
      </c>
      <c r="C2501" s="1" t="inlineStr">
        <is>
          <t>051</t>
        </is>
      </c>
      <c r="D2501" s="1" t="inlineStr">
        <is>
          <t>105705</t>
        </is>
      </c>
      <c r="E2501" s="1" t="inlineStr">
        <is>
          <t xml:space="preserve">28194770       </t>
        </is>
      </c>
      <c r="F2501" s="5" t="inlineStr">
        <is>
          <t>AUTOS DE METAL 3 TEAMSTERZ EN BLISTER</t>
        </is>
      </c>
      <c r="G2501" t="n">
        <v>1</v>
      </c>
      <c r="H2501" s="7" t="n">
        <v>6.9</v>
      </c>
      <c r="I2501" s="7" t="n">
        <v>0</v>
      </c>
      <c r="J2501" s="7" t="n">
        <v>0</v>
      </c>
      <c r="K2501" s="9" t="n">
        <v>0</v>
      </c>
      <c r="L2501" s="10" t="n">
        <v>4.1</v>
      </c>
      <c r="M2501" s="10" t="n">
        <v>1.43</v>
      </c>
      <c r="N2501" t="inlineStr">
        <is>
          <t>1</t>
        </is>
      </c>
      <c r="O2501" t="inlineStr">
        <is>
          <t>16</t>
        </is>
      </c>
      <c r="P2501" t="inlineStr">
        <is>
          <t xml:space="preserve">244243  </t>
        </is>
      </c>
      <c r="Q2501" s="26" t="n">
        <v>6.9</v>
      </c>
      <c r="R2501" s="26">
        <f>Q2501*G2501</f>
        <v/>
      </c>
      <c r="S2501" t="n">
        <v>4.09</v>
      </c>
      <c r="T2501" s="18">
        <f>1 - V2501/S2501</f>
        <v/>
      </c>
      <c r="U2501" s="18" t="n">
        <v>0</v>
      </c>
      <c r="V2501" s="26" t="n">
        <v>4.09</v>
      </c>
      <c r="W2501" s="26">
        <f>V2501 - L2501</f>
        <v/>
      </c>
    </row>
    <row r="2502">
      <c r="A2502" s="11" t="n">
        <v>46228</v>
      </c>
      <c r="B2502" s="1" t="n">
        <v>20043</v>
      </c>
      <c r="C2502" s="1" t="inlineStr">
        <is>
          <t>051</t>
        </is>
      </c>
      <c r="D2502" s="1" t="inlineStr">
        <is>
          <t>105706</t>
        </is>
      </c>
      <c r="E2502" s="1" t="inlineStr">
        <is>
          <t xml:space="preserve">28194770       </t>
        </is>
      </c>
      <c r="F2502" s="5" t="inlineStr">
        <is>
          <t>AUTOS DE METAL 3 TEAMSTERZ EN BLISTER</t>
        </is>
      </c>
      <c r="G2502" t="n">
        <v>1</v>
      </c>
      <c r="H2502" s="7" t="n">
        <v>6.9</v>
      </c>
      <c r="I2502" s="7" t="n">
        <v>0</v>
      </c>
      <c r="J2502" s="7" t="n">
        <v>0</v>
      </c>
      <c r="K2502" s="9" t="n">
        <v>0</v>
      </c>
      <c r="L2502" s="10" t="n">
        <v>4.1</v>
      </c>
      <c r="M2502" s="10" t="n">
        <v>1.43</v>
      </c>
      <c r="N2502" t="inlineStr">
        <is>
          <t>1</t>
        </is>
      </c>
      <c r="O2502" t="inlineStr">
        <is>
          <t xml:space="preserve">2 </t>
        </is>
      </c>
      <c r="P2502" t="inlineStr">
        <is>
          <t xml:space="preserve">244243  </t>
        </is>
      </c>
      <c r="Q2502" s="26" t="n">
        <v>6.9</v>
      </c>
      <c r="R2502" s="26">
        <f>Q2502*G2502</f>
        <v/>
      </c>
      <c r="S2502" t="n">
        <v>4.09</v>
      </c>
      <c r="T2502" s="18">
        <f>1 - V2502/S2502</f>
        <v/>
      </c>
      <c r="U2502" s="18" t="n">
        <v>0</v>
      </c>
      <c r="V2502" s="26" t="n">
        <v>4.09</v>
      </c>
      <c r="W2502" s="26">
        <f>V2502 - L2502</f>
        <v/>
      </c>
    </row>
    <row r="2503">
      <c r="A2503" s="11" t="n">
        <v>46228</v>
      </c>
      <c r="B2503" s="1" t="n">
        <v>20048</v>
      </c>
      <c r="C2503" s="1" t="inlineStr">
        <is>
          <t>017</t>
        </is>
      </c>
      <c r="D2503" s="1" t="inlineStr">
        <is>
          <t>167633</t>
        </is>
      </c>
      <c r="E2503" s="1" t="inlineStr">
        <is>
          <t xml:space="preserve">28194770       </t>
        </is>
      </c>
      <c r="F2503" s="5" t="inlineStr">
        <is>
          <t>AUTOS DE METAL 3 TEAMSTERZ EN BLISTER</t>
        </is>
      </c>
      <c r="G2503" t="n">
        <v>1</v>
      </c>
      <c r="H2503" s="7" t="n">
        <v>6.9</v>
      </c>
      <c r="I2503" s="7" t="n">
        <v>0</v>
      </c>
      <c r="J2503" s="7" t="n">
        <v>0</v>
      </c>
      <c r="K2503" s="9" t="n">
        <v>0</v>
      </c>
      <c r="L2503" s="10" t="n">
        <v>4.1</v>
      </c>
      <c r="M2503" s="10" t="n">
        <v>1.43</v>
      </c>
      <c r="N2503" t="inlineStr">
        <is>
          <t>1</t>
        </is>
      </c>
      <c r="O2503" t="inlineStr">
        <is>
          <t xml:space="preserve">2 </t>
        </is>
      </c>
      <c r="P2503" t="inlineStr">
        <is>
          <t xml:space="preserve">80084   </t>
        </is>
      </c>
      <c r="Q2503" s="26" t="n">
        <v>6.9</v>
      </c>
      <c r="R2503" s="26">
        <f>Q2503*G2503</f>
        <v/>
      </c>
      <c r="S2503" t="n">
        <v>4.09</v>
      </c>
      <c r="T2503" s="18">
        <f>1 - V2503/S2503</f>
        <v/>
      </c>
      <c r="U2503" s="18" t="n">
        <v>0</v>
      </c>
      <c r="V2503" s="26" t="n">
        <v>4.09</v>
      </c>
      <c r="W2503" s="26">
        <f>V2503 - L2503</f>
        <v/>
      </c>
    </row>
    <row r="2504">
      <c r="A2504" s="11" t="n">
        <v>46228</v>
      </c>
      <c r="B2504" s="1" t="n">
        <v>20048</v>
      </c>
      <c r="C2504" s="1" t="inlineStr">
        <is>
          <t>018</t>
        </is>
      </c>
      <c r="D2504" s="1" t="inlineStr">
        <is>
          <t xml:space="preserve">48257 </t>
        </is>
      </c>
      <c r="E2504" s="1" t="inlineStr">
        <is>
          <t xml:space="preserve">28194770       </t>
        </is>
      </c>
      <c r="F2504" s="5" t="inlineStr">
        <is>
          <t>AUTOS DE METAL 3 TEAMSTERZ EN BLISTER</t>
        </is>
      </c>
      <c r="G2504" t="n">
        <v>1</v>
      </c>
      <c r="H2504" s="7" t="n">
        <v>6.9</v>
      </c>
      <c r="I2504" s="7" t="n">
        <v>0.6899999999999999</v>
      </c>
      <c r="J2504" s="7" t="n">
        <v>0</v>
      </c>
      <c r="K2504" s="9" t="n">
        <v>0.6899999999999999</v>
      </c>
      <c r="L2504" s="10" t="n">
        <v>3.68</v>
      </c>
      <c r="M2504" s="10" t="n">
        <v>1.43</v>
      </c>
      <c r="N2504" t="inlineStr">
        <is>
          <t>1</t>
        </is>
      </c>
      <c r="O2504" t="inlineStr">
        <is>
          <t xml:space="preserve">3 </t>
        </is>
      </c>
      <c r="P2504" t="inlineStr">
        <is>
          <t xml:space="preserve">241949  </t>
        </is>
      </c>
      <c r="Q2504" s="26" t="n">
        <v>6.9</v>
      </c>
      <c r="R2504" s="26">
        <f>Q2504*G2504</f>
        <v/>
      </c>
      <c r="S2504" t="n">
        <v>4.09</v>
      </c>
      <c r="T2504" s="18">
        <f>1 - V2504/S2504</f>
        <v/>
      </c>
      <c r="U2504" s="18" t="n">
        <v>0</v>
      </c>
      <c r="V2504" s="26" t="n">
        <v>4.09</v>
      </c>
      <c r="W2504" s="26">
        <f>V2504 - L2504</f>
        <v/>
      </c>
    </row>
    <row r="2505">
      <c r="A2505" s="11" t="n">
        <v>46228</v>
      </c>
      <c r="B2505" s="1" t="n">
        <v>20048</v>
      </c>
      <c r="C2505" s="1" t="inlineStr">
        <is>
          <t>018</t>
        </is>
      </c>
      <c r="D2505" s="1" t="inlineStr">
        <is>
          <t xml:space="preserve">48257 </t>
        </is>
      </c>
      <c r="E2505" s="1" t="inlineStr">
        <is>
          <t xml:space="preserve">30141766       </t>
        </is>
      </c>
      <c r="F2505" s="5" t="inlineStr">
        <is>
          <t>TMZ BEAST MACHINES AUTOS DE METAL BLISTER X 1</t>
        </is>
      </c>
      <c r="G2505" t="n">
        <v>1</v>
      </c>
      <c r="H2505" s="7" t="n">
        <v>7.9</v>
      </c>
      <c r="I2505" s="7" t="n">
        <v>0.79</v>
      </c>
      <c r="J2505" s="7" t="n">
        <v>0</v>
      </c>
      <c r="K2505" s="9" t="n">
        <v>0.79</v>
      </c>
      <c r="L2505" s="10" t="n">
        <v>4.22</v>
      </c>
      <c r="M2505" s="10" t="n">
        <v>1.43</v>
      </c>
      <c r="N2505" t="inlineStr">
        <is>
          <t>1</t>
        </is>
      </c>
      <c r="O2505" t="inlineStr">
        <is>
          <t xml:space="preserve">3 </t>
        </is>
      </c>
      <c r="P2505" t="inlineStr">
        <is>
          <t xml:space="preserve">241949  </t>
        </is>
      </c>
      <c r="Q2505" s="26" t="n">
        <v>7.9</v>
      </c>
      <c r="R2505" s="26">
        <f>Q2505*G2505</f>
        <v/>
      </c>
      <c r="S2505" t="n">
        <v>4.69</v>
      </c>
      <c r="T2505" s="18">
        <f>1 - V2505/S2505</f>
        <v/>
      </c>
      <c r="U2505" s="18" t="n">
        <v>0</v>
      </c>
      <c r="V2505" s="26" t="n">
        <v>4.69</v>
      </c>
      <c r="W2505" s="26">
        <f>V2505 - L2505</f>
        <v/>
      </c>
    </row>
    <row r="2506">
      <c r="A2506" s="11" t="n">
        <v>46228</v>
      </c>
      <c r="B2506" s="1" t="n">
        <v>20048</v>
      </c>
      <c r="C2506" s="1" t="inlineStr">
        <is>
          <t>018</t>
        </is>
      </c>
      <c r="D2506" s="1" t="inlineStr">
        <is>
          <t xml:space="preserve">48291 </t>
        </is>
      </c>
      <c r="E2506" s="1" t="inlineStr">
        <is>
          <t xml:space="preserve">28194770       </t>
        </is>
      </c>
      <c r="F2506" s="5" t="inlineStr">
        <is>
          <t>AUTOS DE METAL 3 TEAMSTERZ EN BLISTER</t>
        </is>
      </c>
      <c r="G2506" t="n">
        <v>1</v>
      </c>
      <c r="H2506" s="7" t="n">
        <v>6.9</v>
      </c>
      <c r="I2506" s="7" t="n">
        <v>0</v>
      </c>
      <c r="J2506" s="7" t="n">
        <v>0</v>
      </c>
      <c r="K2506" s="9" t="n">
        <v>0</v>
      </c>
      <c r="L2506" s="10" t="n">
        <v>4.1</v>
      </c>
      <c r="M2506" s="10" t="n">
        <v>1.43</v>
      </c>
      <c r="N2506" t="inlineStr">
        <is>
          <t>1</t>
        </is>
      </c>
      <c r="O2506" t="inlineStr">
        <is>
          <t>16</t>
        </is>
      </c>
      <c r="P2506" t="inlineStr">
        <is>
          <t xml:space="preserve">241949  </t>
        </is>
      </c>
      <c r="Q2506" s="26" t="n">
        <v>6.9</v>
      </c>
      <c r="R2506" s="26">
        <f>Q2506*G2506</f>
        <v/>
      </c>
      <c r="S2506" t="n">
        <v>4.09</v>
      </c>
      <c r="T2506" s="18">
        <f>1 - V2506/S2506</f>
        <v/>
      </c>
      <c r="U2506" s="18" t="n">
        <v>0</v>
      </c>
      <c r="V2506" s="26" t="n">
        <v>4.09</v>
      </c>
      <c r="W2506" s="26">
        <f>V2506 - L2506</f>
        <v/>
      </c>
    </row>
    <row r="2507">
      <c r="A2507" s="11" t="n">
        <v>46228</v>
      </c>
      <c r="B2507" s="1" t="n">
        <v>20048</v>
      </c>
      <c r="C2507" s="1" t="inlineStr">
        <is>
          <t>018</t>
        </is>
      </c>
      <c r="D2507" s="1" t="inlineStr">
        <is>
          <t xml:space="preserve">48291 </t>
        </is>
      </c>
      <c r="E2507" s="1" t="inlineStr">
        <is>
          <t xml:space="preserve">30141766       </t>
        </is>
      </c>
      <c r="F2507" s="5" t="inlineStr">
        <is>
          <t>TMZ BEAST MACHINES AUTOS DE METAL BLISTER X 1</t>
        </is>
      </c>
      <c r="G2507" t="n">
        <v>1</v>
      </c>
      <c r="H2507" s="7" t="n">
        <v>7.9</v>
      </c>
      <c r="I2507" s="7" t="n">
        <v>0</v>
      </c>
      <c r="J2507" s="7" t="n">
        <v>0</v>
      </c>
      <c r="K2507" s="9" t="n">
        <v>0</v>
      </c>
      <c r="L2507" s="10" t="n">
        <v>4.68</v>
      </c>
      <c r="M2507" s="10" t="n">
        <v>1.43</v>
      </c>
      <c r="N2507" t="inlineStr">
        <is>
          <t>1</t>
        </is>
      </c>
      <c r="O2507" t="inlineStr">
        <is>
          <t>16</t>
        </is>
      </c>
      <c r="P2507" t="inlineStr">
        <is>
          <t xml:space="preserve">241949  </t>
        </is>
      </c>
      <c r="Q2507" s="26" t="n">
        <v>7.9</v>
      </c>
      <c r="R2507" s="26">
        <f>Q2507*G2507</f>
        <v/>
      </c>
      <c r="S2507" t="n">
        <v>4.69</v>
      </c>
      <c r="T2507" s="18">
        <f>1 - V2507/S2507</f>
        <v/>
      </c>
      <c r="U2507" s="18" t="n">
        <v>0</v>
      </c>
      <c r="V2507" s="26" t="n">
        <v>4.69</v>
      </c>
      <c r="W2507" s="26">
        <f>V2507 - L2507</f>
        <v/>
      </c>
    </row>
    <row r="2508">
      <c r="A2508" s="11" t="n">
        <v>46228</v>
      </c>
      <c r="B2508" s="1" t="n">
        <v>20048</v>
      </c>
      <c r="C2508" s="1" t="inlineStr">
        <is>
          <t>018</t>
        </is>
      </c>
      <c r="D2508" s="1" t="inlineStr">
        <is>
          <t xml:space="preserve">48291 </t>
        </is>
      </c>
      <c r="E2508" s="1" t="inlineStr">
        <is>
          <t xml:space="preserve">30141766       </t>
        </is>
      </c>
      <c r="F2508" s="5" t="inlineStr">
        <is>
          <t>TMZ BEAST MACHINES AUTOS DE METAL BLISTER X 1</t>
        </is>
      </c>
      <c r="G2508" t="n">
        <v>1</v>
      </c>
      <c r="H2508" s="7" t="n">
        <v>7.9</v>
      </c>
      <c r="I2508" s="7" t="n">
        <v>0</v>
      </c>
      <c r="J2508" s="7" t="n">
        <v>0</v>
      </c>
      <c r="K2508" s="9" t="n">
        <v>0</v>
      </c>
      <c r="L2508" s="10" t="n">
        <v>4.68</v>
      </c>
      <c r="M2508" s="10" t="n">
        <v>1.43</v>
      </c>
      <c r="N2508" t="inlineStr">
        <is>
          <t>1</t>
        </is>
      </c>
      <c r="O2508" t="inlineStr">
        <is>
          <t>16</t>
        </is>
      </c>
      <c r="P2508" t="inlineStr">
        <is>
          <t xml:space="preserve">241949  </t>
        </is>
      </c>
      <c r="Q2508" s="26" t="n">
        <v>7.9</v>
      </c>
      <c r="R2508" s="26">
        <f>Q2508*G2508</f>
        <v/>
      </c>
      <c r="S2508" t="n">
        <v>4.69</v>
      </c>
      <c r="T2508" s="18">
        <f>1 - V2508/S2508</f>
        <v/>
      </c>
      <c r="U2508" s="18" t="n">
        <v>0</v>
      </c>
      <c r="V2508" s="26" t="n">
        <v>4.69</v>
      </c>
      <c r="W2508" s="26">
        <f>V2508 - L2508</f>
        <v/>
      </c>
    </row>
    <row r="2509">
      <c r="A2509" s="11" t="n">
        <v>46228</v>
      </c>
      <c r="B2509" s="1" t="n">
        <v>20048</v>
      </c>
      <c r="C2509" s="1" t="inlineStr">
        <is>
          <t>018</t>
        </is>
      </c>
      <c r="D2509" s="1" t="inlineStr">
        <is>
          <t xml:space="preserve">48342 </t>
        </is>
      </c>
      <c r="E2509" s="1" t="inlineStr">
        <is>
          <t xml:space="preserve">28194770       </t>
        </is>
      </c>
      <c r="F2509" s="5" t="inlineStr">
        <is>
          <t>AUTOS DE METAL 3 TEAMSTERZ EN BLISTER</t>
        </is>
      </c>
      <c r="G2509" t="n">
        <v>1</v>
      </c>
      <c r="H2509" s="7" t="n">
        <v>6.9</v>
      </c>
      <c r="I2509" s="7" t="n">
        <v>0</v>
      </c>
      <c r="J2509" s="7" t="n">
        <v>0</v>
      </c>
      <c r="K2509" s="9" t="n">
        <v>0</v>
      </c>
      <c r="L2509" s="10" t="n">
        <v>4.1</v>
      </c>
      <c r="M2509" s="10" t="n">
        <v>1.43</v>
      </c>
      <c r="N2509" t="inlineStr">
        <is>
          <t>1</t>
        </is>
      </c>
      <c r="O2509" t="inlineStr">
        <is>
          <t xml:space="preserve">2 </t>
        </is>
      </c>
      <c r="P2509" t="inlineStr">
        <is>
          <t xml:space="preserve">241949  </t>
        </is>
      </c>
      <c r="Q2509" s="26" t="n">
        <v>6.9</v>
      </c>
      <c r="R2509" s="26">
        <f>Q2509*G2509</f>
        <v/>
      </c>
      <c r="S2509" t="n">
        <v>4.09</v>
      </c>
      <c r="T2509" s="18">
        <f>1 - V2509/S2509</f>
        <v/>
      </c>
      <c r="U2509" s="18" t="n">
        <v>0</v>
      </c>
      <c r="V2509" s="26" t="n">
        <v>4.09</v>
      </c>
      <c r="W2509" s="26">
        <f>V2509 - L2509</f>
        <v/>
      </c>
    </row>
    <row r="2510">
      <c r="A2510" s="11" t="n">
        <v>46228</v>
      </c>
      <c r="B2510" s="1" t="n">
        <v>20048</v>
      </c>
      <c r="C2510" s="1" t="inlineStr">
        <is>
          <t>800</t>
        </is>
      </c>
      <c r="D2510" s="1" t="inlineStr">
        <is>
          <t xml:space="preserve">4873  </t>
        </is>
      </c>
      <c r="E2510" s="1" t="inlineStr">
        <is>
          <t xml:space="preserve">28194770       </t>
        </is>
      </c>
      <c r="F2510" s="5" t="inlineStr">
        <is>
          <t>AUTOS DE METAL 3 TEAMSTERZ EN BLISTER</t>
        </is>
      </c>
      <c r="G2510" t="n">
        <v>1</v>
      </c>
      <c r="H2510" s="7" t="n">
        <v>6.9</v>
      </c>
      <c r="I2510" s="7" t="n">
        <v>0</v>
      </c>
      <c r="J2510" s="7" t="n">
        <v>0</v>
      </c>
      <c r="K2510" s="9" t="n">
        <v>0</v>
      </c>
      <c r="L2510" s="10" t="n">
        <v>4.1</v>
      </c>
      <c r="M2510" s="10" t="n">
        <v>1.43</v>
      </c>
      <c r="N2510" t="inlineStr">
        <is>
          <t>1</t>
        </is>
      </c>
      <c r="O2510" t="inlineStr">
        <is>
          <t>16</t>
        </is>
      </c>
      <c r="P2510" t="inlineStr">
        <is>
          <t xml:space="preserve">234984  </t>
        </is>
      </c>
      <c r="Q2510" s="26" t="n">
        <v>6.9</v>
      </c>
      <c r="R2510" s="26">
        <f>Q2510*G2510</f>
        <v/>
      </c>
      <c r="S2510" t="n">
        <v>4.09</v>
      </c>
      <c r="T2510" s="18">
        <f>1 - V2510/S2510</f>
        <v/>
      </c>
      <c r="U2510" s="18" t="n">
        <v>0</v>
      </c>
      <c r="V2510" s="26" t="n">
        <v>4.09</v>
      </c>
      <c r="W2510" s="26">
        <f>V2510 - L2510</f>
        <v/>
      </c>
    </row>
    <row r="2511">
      <c r="A2511" s="11" t="n">
        <v>46228</v>
      </c>
      <c r="B2511" s="1" t="n">
        <v>20049</v>
      </c>
      <c r="C2511" s="1" t="inlineStr">
        <is>
          <t>030</t>
        </is>
      </c>
      <c r="D2511" s="1" t="inlineStr">
        <is>
          <t>114518</t>
        </is>
      </c>
      <c r="E2511" s="1" t="inlineStr">
        <is>
          <t xml:space="preserve">34840556       </t>
        </is>
      </c>
      <c r="F2511" s="5" t="inlineStr">
        <is>
          <t>TMZ BEAST MACH. TRANSPORT DINO +ACCS</t>
        </is>
      </c>
      <c r="G2511" t="n">
        <v>1</v>
      </c>
      <c r="H2511" s="7" t="n">
        <v>59.9</v>
      </c>
      <c r="I2511" s="7" t="n">
        <v>5.99</v>
      </c>
      <c r="J2511" s="7" t="n">
        <v>0</v>
      </c>
      <c r="K2511" s="9" t="n">
        <v>5.99</v>
      </c>
      <c r="L2511" s="10" t="n">
        <v>31.98</v>
      </c>
      <c r="M2511" s="10" t="n">
        <v>1.43</v>
      </c>
      <c r="N2511" t="inlineStr">
        <is>
          <t>1</t>
        </is>
      </c>
      <c r="O2511" t="inlineStr">
        <is>
          <t xml:space="preserve">3 </t>
        </is>
      </c>
      <c r="P2511" t="inlineStr">
        <is>
          <t xml:space="preserve">234411  </t>
        </is>
      </c>
      <c r="Q2511" s="26" t="n">
        <v>79.90000000000002</v>
      </c>
      <c r="R2511" s="26">
        <f>Q2511*G2511</f>
        <v/>
      </c>
      <c r="S2511" t="n">
        <v>47.4</v>
      </c>
      <c r="T2511" s="18">
        <f>1 - V2511/S2511</f>
        <v/>
      </c>
      <c r="U2511" s="18" t="n">
        <v>0.2503128911138924</v>
      </c>
      <c r="V2511" s="26" t="n">
        <v>38.07203389830509</v>
      </c>
      <c r="W2511" s="26">
        <f>V2511 - L2511</f>
        <v/>
      </c>
    </row>
    <row r="2512">
      <c r="A2512" s="11" t="n">
        <v>46228</v>
      </c>
      <c r="B2512" s="1" t="n">
        <v>20049</v>
      </c>
      <c r="C2512" s="1" t="inlineStr">
        <is>
          <t>500</t>
        </is>
      </c>
      <c r="D2512" s="1" t="inlineStr">
        <is>
          <t xml:space="preserve">6887  </t>
        </is>
      </c>
      <c r="E2512" s="1" t="inlineStr">
        <is>
          <t xml:space="preserve">28194769       </t>
        </is>
      </c>
      <c r="F2512" s="5" t="inlineStr">
        <is>
          <t>AUTOS DE METAL 3 TEAMSTERZ PACK DE 2</t>
        </is>
      </c>
      <c r="G2512" t="n">
        <v>1</v>
      </c>
      <c r="H2512" s="7" t="n">
        <v>13.8</v>
      </c>
      <c r="I2512" s="7" t="n">
        <v>1.38</v>
      </c>
      <c r="J2512" s="7" t="n">
        <v>0</v>
      </c>
      <c r="K2512" s="9" t="n">
        <v>1.38</v>
      </c>
      <c r="L2512" s="10" t="n">
        <v>7.37</v>
      </c>
      <c r="M2512" s="10" t="n">
        <v>1.43</v>
      </c>
      <c r="N2512" t="inlineStr">
        <is>
          <t>1</t>
        </is>
      </c>
      <c r="O2512" t="inlineStr">
        <is>
          <t>16</t>
        </is>
      </c>
      <c r="P2512" t="inlineStr">
        <is>
          <t xml:space="preserve">247905  </t>
        </is>
      </c>
      <c r="Q2512" s="26" t="n">
        <v>13.8</v>
      </c>
      <c r="R2512" s="26">
        <f>Q2512*G2512</f>
        <v/>
      </c>
      <c r="S2512" t="n">
        <v>8.19</v>
      </c>
      <c r="T2512" s="18">
        <f>1 - V2512/S2512</f>
        <v/>
      </c>
      <c r="U2512" s="18" t="n">
        <v>0</v>
      </c>
      <c r="V2512" s="26" t="n">
        <v>8.19</v>
      </c>
      <c r="W2512" s="26">
        <f>V2512 - L2512</f>
        <v/>
      </c>
    </row>
    <row r="2513">
      <c r="A2513" s="11" t="n">
        <v>46228</v>
      </c>
      <c r="B2513" s="1" t="n">
        <v>20056</v>
      </c>
      <c r="C2513" s="1" t="inlineStr">
        <is>
          <t>012</t>
        </is>
      </c>
      <c r="D2513" s="1" t="inlineStr">
        <is>
          <t xml:space="preserve">67743 </t>
        </is>
      </c>
      <c r="E2513" s="1" t="inlineStr">
        <is>
          <t xml:space="preserve">32457106       </t>
        </is>
      </c>
      <c r="F2513" s="5" t="inlineStr">
        <is>
          <t>TMZ BEAST MACHINES PLAYSET DESASTRE DRAGON + 1 AUT</t>
        </is>
      </c>
      <c r="G2513" t="n">
        <v>1</v>
      </c>
      <c r="H2513" s="7" t="n">
        <v>49.9</v>
      </c>
      <c r="I2513" s="7" t="n">
        <v>0</v>
      </c>
      <c r="J2513" s="7" t="n">
        <v>0</v>
      </c>
      <c r="K2513" s="9" t="n">
        <v>0</v>
      </c>
      <c r="L2513" s="10" t="n">
        <v>29.6</v>
      </c>
      <c r="M2513" s="10" t="n">
        <v>1.43</v>
      </c>
      <c r="N2513" t="inlineStr">
        <is>
          <t>1</t>
        </is>
      </c>
      <c r="O2513" t="inlineStr">
        <is>
          <t>16</t>
        </is>
      </c>
      <c r="P2513" t="inlineStr">
        <is>
          <t xml:space="preserve">246478  </t>
        </is>
      </c>
      <c r="Q2513" s="26" t="n">
        <v>69.90000000000001</v>
      </c>
      <c r="R2513" s="26">
        <f>Q2513*G2513</f>
        <v/>
      </c>
      <c r="S2513" t="n">
        <v>41.47</v>
      </c>
      <c r="T2513" s="18">
        <f>1 - V2513/S2513</f>
        <v/>
      </c>
      <c r="U2513" s="18" t="n">
        <v>0.2861230329041489</v>
      </c>
      <c r="V2513" s="26" t="n">
        <v>31.71610169491525</v>
      </c>
      <c r="W2513" s="26">
        <f>V2513 - L2513</f>
        <v/>
      </c>
    </row>
    <row r="2514">
      <c r="A2514" s="11" t="n">
        <v>46228</v>
      </c>
      <c r="B2514" s="1" t="n">
        <v>20056</v>
      </c>
      <c r="C2514" s="1" t="inlineStr">
        <is>
          <t>022</t>
        </is>
      </c>
      <c r="D2514" s="1" t="inlineStr">
        <is>
          <t xml:space="preserve">55433 </t>
        </is>
      </c>
      <c r="E2514" s="1" t="inlineStr">
        <is>
          <t xml:space="preserve">31675352       </t>
        </is>
      </c>
      <c r="F2514" s="5" t="inlineStr">
        <is>
          <t>MI PEQUENO NENUCO</t>
        </is>
      </c>
      <c r="G2514" t="n">
        <v>1</v>
      </c>
      <c r="H2514" s="7" t="n">
        <v>49.9</v>
      </c>
      <c r="I2514" s="7" t="n">
        <v>0</v>
      </c>
      <c r="J2514" s="7" t="n">
        <v>0</v>
      </c>
      <c r="K2514" s="9" t="n">
        <v>0</v>
      </c>
      <c r="L2514" s="10" t="n">
        <v>29.6</v>
      </c>
      <c r="M2514" s="10" t="n">
        <v>1.43</v>
      </c>
      <c r="N2514" t="inlineStr">
        <is>
          <t>1</t>
        </is>
      </c>
      <c r="O2514" t="inlineStr">
        <is>
          <t xml:space="preserve">2 </t>
        </is>
      </c>
      <c r="P2514" t="inlineStr">
        <is>
          <t xml:space="preserve">247194  </t>
        </is>
      </c>
      <c r="Q2514" s="26" t="n">
        <v>69.90000000000001</v>
      </c>
      <c r="R2514" s="26">
        <f>Q2514*G2514</f>
        <v/>
      </c>
      <c r="S2514" t="n">
        <v>41.47</v>
      </c>
      <c r="T2514" s="18">
        <f>1 - V2514/S2514</f>
        <v/>
      </c>
      <c r="U2514" s="18" t="n">
        <v>0.2861230329041489</v>
      </c>
      <c r="V2514" s="26" t="n">
        <v>31.71610169491525</v>
      </c>
      <c r="W2514" s="26">
        <f>V2514 - L2514</f>
        <v/>
      </c>
    </row>
    <row r="2515">
      <c r="A2515" s="11" t="n">
        <v>46228</v>
      </c>
      <c r="B2515" s="1" t="n">
        <v>20056</v>
      </c>
      <c r="C2515" s="1" t="inlineStr">
        <is>
          <t>024</t>
        </is>
      </c>
      <c r="D2515" s="1" t="inlineStr">
        <is>
          <t xml:space="preserve">10613 </t>
        </is>
      </c>
      <c r="E2515" s="1" t="inlineStr">
        <is>
          <t xml:space="preserve">28194767       </t>
        </is>
      </c>
      <c r="F2515" s="5" t="inlineStr">
        <is>
          <t>CAMIONES TEAMSTERZ DE EMERGENCIA</t>
        </is>
      </c>
      <c r="G2515" t="n">
        <v>1</v>
      </c>
      <c r="H2515" s="7" t="n">
        <v>17.9</v>
      </c>
      <c r="I2515" s="7" t="n">
        <v>1.79</v>
      </c>
      <c r="J2515" s="7" t="n">
        <v>0</v>
      </c>
      <c r="K2515" s="9" t="n">
        <v>1.79</v>
      </c>
      <c r="L2515" s="10" t="n">
        <v>9.56</v>
      </c>
      <c r="M2515" s="10" t="n">
        <v>1.43</v>
      </c>
      <c r="N2515" t="inlineStr">
        <is>
          <t>1</t>
        </is>
      </c>
      <c r="O2515" t="inlineStr">
        <is>
          <t>16</t>
        </is>
      </c>
      <c r="P2515" t="inlineStr">
        <is>
          <t xml:space="preserve">235023  </t>
        </is>
      </c>
      <c r="Q2515" s="26" t="n">
        <v>17.9</v>
      </c>
      <c r="R2515" s="26">
        <f>Q2515*G2515</f>
        <v/>
      </c>
      <c r="S2515" t="n">
        <v>10.62</v>
      </c>
      <c r="T2515" s="18">
        <f>1 - V2515/S2515</f>
        <v/>
      </c>
      <c r="U2515" s="18" t="n">
        <v>0</v>
      </c>
      <c r="V2515" s="26" t="n">
        <v>10.62</v>
      </c>
      <c r="W2515" s="26">
        <f>V2515 - L2515</f>
        <v/>
      </c>
    </row>
    <row r="2516">
      <c r="A2516" s="11" t="n">
        <v>46228</v>
      </c>
      <c r="B2516" s="1" t="n">
        <v>20056</v>
      </c>
      <c r="C2516" s="1" t="inlineStr">
        <is>
          <t>024</t>
        </is>
      </c>
      <c r="D2516" s="1" t="inlineStr">
        <is>
          <t xml:space="preserve">10613 </t>
        </is>
      </c>
      <c r="E2516" s="1" t="inlineStr">
        <is>
          <t xml:space="preserve">28194767       </t>
        </is>
      </c>
      <c r="F2516" s="5" t="inlineStr">
        <is>
          <t>CAMIONES TEAMSTERZ DE EMERGENCIA</t>
        </is>
      </c>
      <c r="G2516" t="n">
        <v>1</v>
      </c>
      <c r="H2516" s="7" t="n">
        <v>17.9</v>
      </c>
      <c r="I2516" s="7" t="n">
        <v>1.79</v>
      </c>
      <c r="J2516" s="7" t="n">
        <v>0</v>
      </c>
      <c r="K2516" s="9" t="n">
        <v>1.79</v>
      </c>
      <c r="L2516" s="10" t="n">
        <v>9.56</v>
      </c>
      <c r="M2516" s="10" t="n">
        <v>1.43</v>
      </c>
      <c r="N2516" t="inlineStr">
        <is>
          <t>1</t>
        </is>
      </c>
      <c r="O2516" t="inlineStr">
        <is>
          <t>16</t>
        </is>
      </c>
      <c r="P2516" t="inlineStr">
        <is>
          <t xml:space="preserve">235023  </t>
        </is>
      </c>
      <c r="Q2516" s="26" t="n">
        <v>17.9</v>
      </c>
      <c r="R2516" s="26">
        <f>Q2516*G2516</f>
        <v/>
      </c>
      <c r="S2516" t="n">
        <v>10.62</v>
      </c>
      <c r="T2516" s="18">
        <f>1 - V2516/S2516</f>
        <v/>
      </c>
      <c r="U2516" s="18" t="n">
        <v>0</v>
      </c>
      <c r="V2516" s="26" t="n">
        <v>10.62</v>
      </c>
      <c r="W2516" s="26">
        <f>V2516 - L2516</f>
        <v/>
      </c>
    </row>
    <row r="2517">
      <c r="A2517" s="11" t="n">
        <v>46228</v>
      </c>
      <c r="B2517" s="1" t="n">
        <v>20057</v>
      </c>
      <c r="C2517" s="1" t="inlineStr">
        <is>
          <t>032</t>
        </is>
      </c>
      <c r="D2517" s="1" t="inlineStr">
        <is>
          <t xml:space="preserve">75883 </t>
        </is>
      </c>
      <c r="E2517" s="1" t="inlineStr">
        <is>
          <t xml:space="preserve">28194770       </t>
        </is>
      </c>
      <c r="F2517" s="5" t="inlineStr">
        <is>
          <t>AUTOS DE METAL 3 TEAMSTERZ EN BLISTER</t>
        </is>
      </c>
      <c r="G2517" t="n">
        <v>1</v>
      </c>
      <c r="H2517" s="7" t="n">
        <v>6.9</v>
      </c>
      <c r="I2517" s="7" t="n">
        <v>0</v>
      </c>
      <c r="J2517" s="7" t="n">
        <v>0</v>
      </c>
      <c r="K2517" s="9" t="n">
        <v>0</v>
      </c>
      <c r="L2517" s="10" t="n">
        <v>4.1</v>
      </c>
      <c r="M2517" s="10" t="n">
        <v>1.43</v>
      </c>
      <c r="N2517" t="inlineStr">
        <is>
          <t>1</t>
        </is>
      </c>
      <c r="O2517" t="inlineStr">
        <is>
          <t>16</t>
        </is>
      </c>
      <c r="P2517" t="inlineStr">
        <is>
          <t xml:space="preserve">248132  </t>
        </is>
      </c>
      <c r="Q2517" s="26" t="n">
        <v>6.9</v>
      </c>
      <c r="R2517" s="26">
        <f>Q2517*G2517</f>
        <v/>
      </c>
      <c r="S2517" t="n">
        <v>4.09</v>
      </c>
      <c r="T2517" s="18">
        <f>1 - V2517/S2517</f>
        <v/>
      </c>
      <c r="U2517" s="18" t="n">
        <v>0</v>
      </c>
      <c r="V2517" s="26" t="n">
        <v>4.09</v>
      </c>
      <c r="W2517" s="26">
        <f>V2517 - L2517</f>
        <v/>
      </c>
    </row>
    <row r="2518">
      <c r="A2518" s="11" t="n">
        <v>46228</v>
      </c>
      <c r="B2518" s="1" t="n">
        <v>20057</v>
      </c>
      <c r="C2518" s="1" t="inlineStr">
        <is>
          <t>032</t>
        </is>
      </c>
      <c r="D2518" s="1" t="inlineStr">
        <is>
          <t xml:space="preserve">75905 </t>
        </is>
      </c>
      <c r="E2518" s="1" t="inlineStr">
        <is>
          <t xml:space="preserve">28194769       </t>
        </is>
      </c>
      <c r="F2518" s="5" t="inlineStr">
        <is>
          <t>AUTOS DE METAL 3 TEAMSTERZ PACK DE 2</t>
        </is>
      </c>
      <c r="G2518" t="n">
        <v>1</v>
      </c>
      <c r="H2518" s="7" t="n">
        <v>13.8</v>
      </c>
      <c r="I2518" s="7" t="n">
        <v>0</v>
      </c>
      <c r="J2518" s="7" t="n">
        <v>0</v>
      </c>
      <c r="K2518" s="9" t="n">
        <v>0</v>
      </c>
      <c r="L2518" s="10" t="n">
        <v>8.18</v>
      </c>
      <c r="M2518" s="10" t="n">
        <v>1.43</v>
      </c>
      <c r="N2518" t="inlineStr">
        <is>
          <t>1</t>
        </is>
      </c>
      <c r="O2518" t="inlineStr">
        <is>
          <t xml:space="preserve">2 </t>
        </is>
      </c>
      <c r="P2518" t="inlineStr">
        <is>
          <t xml:space="preserve">243704  </t>
        </is>
      </c>
      <c r="Q2518" s="26" t="n">
        <v>13.8</v>
      </c>
      <c r="R2518" s="26">
        <f>Q2518*G2518</f>
        <v/>
      </c>
      <c r="S2518" t="n">
        <v>8.19</v>
      </c>
      <c r="T2518" s="18">
        <f>1 - V2518/S2518</f>
        <v/>
      </c>
      <c r="U2518" s="18" t="n">
        <v>0</v>
      </c>
      <c r="V2518" s="26" t="n">
        <v>8.19</v>
      </c>
      <c r="W2518" s="26">
        <f>V2518 - L2518</f>
        <v/>
      </c>
    </row>
    <row r="2519">
      <c r="A2519" s="11" t="n">
        <v>46228</v>
      </c>
      <c r="B2519" s="1" t="n">
        <v>20057</v>
      </c>
      <c r="C2519" s="1" t="inlineStr">
        <is>
          <t>032</t>
        </is>
      </c>
      <c r="D2519" s="1" t="inlineStr">
        <is>
          <t xml:space="preserve">75905 </t>
        </is>
      </c>
      <c r="E2519" s="1" t="inlineStr">
        <is>
          <t xml:space="preserve">28194769       </t>
        </is>
      </c>
      <c r="F2519" s="5" t="inlineStr">
        <is>
          <t>AUTOS DE METAL 3 TEAMSTERZ PACK DE 2</t>
        </is>
      </c>
      <c r="G2519" t="n">
        <v>1</v>
      </c>
      <c r="H2519" s="7" t="n">
        <v>13.8</v>
      </c>
      <c r="I2519" s="7" t="n">
        <v>0</v>
      </c>
      <c r="J2519" s="7" t="n">
        <v>0</v>
      </c>
      <c r="K2519" s="9" t="n">
        <v>0</v>
      </c>
      <c r="L2519" s="10" t="n">
        <v>8.18</v>
      </c>
      <c r="M2519" s="10" t="n">
        <v>1.43</v>
      </c>
      <c r="N2519" t="inlineStr">
        <is>
          <t>1</t>
        </is>
      </c>
      <c r="O2519" t="inlineStr">
        <is>
          <t xml:space="preserve">2 </t>
        </is>
      </c>
      <c r="P2519" t="inlineStr">
        <is>
          <t xml:space="preserve">243704  </t>
        </is>
      </c>
      <c r="Q2519" s="26" t="n">
        <v>13.8</v>
      </c>
      <c r="R2519" s="26">
        <f>Q2519*G2519</f>
        <v/>
      </c>
      <c r="S2519" t="n">
        <v>8.19</v>
      </c>
      <c r="T2519" s="18">
        <f>1 - V2519/S2519</f>
        <v/>
      </c>
      <c r="U2519" s="18" t="n">
        <v>0</v>
      </c>
      <c r="V2519" s="26" t="n">
        <v>8.19</v>
      </c>
      <c r="W2519" s="26">
        <f>V2519 - L2519</f>
        <v/>
      </c>
    </row>
    <row r="2520">
      <c r="A2520" s="11" t="n">
        <v>46228</v>
      </c>
      <c r="B2520" s="1" t="n">
        <v>20057</v>
      </c>
      <c r="C2520" s="1" t="inlineStr">
        <is>
          <t>033</t>
        </is>
      </c>
      <c r="D2520" s="1" t="inlineStr">
        <is>
          <t xml:space="preserve">68218 </t>
        </is>
      </c>
      <c r="E2520" s="1" t="inlineStr">
        <is>
          <t xml:space="preserve">29235706       </t>
        </is>
      </c>
      <c r="F2520" s="5" t="inlineStr">
        <is>
          <t>TEAMSTERZ CAMION PARA GUARDAR 12 AUTOS INCL 4 AUTO</t>
        </is>
      </c>
      <c r="G2520" t="n">
        <v>1</v>
      </c>
      <c r="H2520" s="7" t="n">
        <v>59.9</v>
      </c>
      <c r="I2520" s="7" t="n">
        <v>0</v>
      </c>
      <c r="J2520" s="7" t="n">
        <v>0</v>
      </c>
      <c r="K2520" s="9" t="n">
        <v>0</v>
      </c>
      <c r="L2520" s="10" t="n">
        <v>35.53</v>
      </c>
      <c r="M2520" s="10" t="n">
        <v>1.43</v>
      </c>
      <c r="N2520" t="inlineStr">
        <is>
          <t>1</t>
        </is>
      </c>
      <c r="O2520" t="inlineStr">
        <is>
          <t>16</t>
        </is>
      </c>
      <c r="P2520" t="inlineStr">
        <is>
          <t xml:space="preserve">248132  </t>
        </is>
      </c>
      <c r="Q2520" s="26" t="n">
        <v>59.90000000000001</v>
      </c>
      <c r="R2520" s="26">
        <f>Q2520*G2520</f>
        <v/>
      </c>
      <c r="S2520" t="n">
        <v>35.53</v>
      </c>
      <c r="T2520" s="18">
        <f>1 - V2520/S2520</f>
        <v/>
      </c>
      <c r="U2520" s="18" t="n">
        <v>0</v>
      </c>
      <c r="V2520" s="26" t="n">
        <v>35.53</v>
      </c>
      <c r="W2520" s="26">
        <f>V2520 - L2520</f>
        <v/>
      </c>
    </row>
    <row r="2521">
      <c r="A2521" s="11" t="n">
        <v>46228</v>
      </c>
      <c r="B2521" s="1" t="n">
        <v>20057</v>
      </c>
      <c r="C2521" s="1" t="inlineStr">
        <is>
          <t>033</t>
        </is>
      </c>
      <c r="D2521" s="1" t="inlineStr">
        <is>
          <t xml:space="preserve">68223 </t>
        </is>
      </c>
      <c r="E2521" s="1" t="inlineStr">
        <is>
          <t xml:space="preserve">33661538       </t>
        </is>
      </c>
      <c r="F2521" s="5" t="inlineStr">
        <is>
          <t>HOT WHEELS CASE GARAGE RUEDA METAL EN LLAMAS X 29</t>
        </is>
      </c>
      <c r="G2521" t="n">
        <v>1</v>
      </c>
      <c r="H2521" s="7" t="n">
        <v>69.90000000000001</v>
      </c>
      <c r="I2521" s="7" t="n">
        <v>0</v>
      </c>
      <c r="J2521" s="7" t="n">
        <v>0</v>
      </c>
      <c r="K2521" s="9" t="n">
        <v>0</v>
      </c>
      <c r="L2521" s="10" t="n">
        <v>41.47</v>
      </c>
      <c r="M2521" s="10" t="n">
        <v>1.43</v>
      </c>
      <c r="N2521" t="inlineStr">
        <is>
          <t>1</t>
        </is>
      </c>
      <c r="O2521" t="inlineStr">
        <is>
          <t>16</t>
        </is>
      </c>
      <c r="P2521" t="inlineStr">
        <is>
          <t xml:space="preserve">248132  </t>
        </is>
      </c>
      <c r="Q2521" s="26" t="n">
        <v>69.90000000000001</v>
      </c>
      <c r="R2521" s="26">
        <f>Q2521*G2521</f>
        <v/>
      </c>
      <c r="S2521" t="n">
        <v>41.47</v>
      </c>
      <c r="T2521" s="18">
        <f>1 - V2521/S2521</f>
        <v/>
      </c>
      <c r="U2521" s="18" t="n">
        <v>0</v>
      </c>
      <c r="V2521" s="26" t="n">
        <v>41.47</v>
      </c>
      <c r="W2521" s="26">
        <f>V2521 - L2521</f>
        <v/>
      </c>
    </row>
    <row r="2522">
      <c r="A2522" s="11" t="n">
        <v>46228</v>
      </c>
      <c r="B2522" s="1" t="n">
        <v>20057</v>
      </c>
      <c r="C2522" s="1" t="inlineStr">
        <is>
          <t>033</t>
        </is>
      </c>
      <c r="D2522" s="1" t="inlineStr">
        <is>
          <t xml:space="preserve">68224 </t>
        </is>
      </c>
      <c r="E2522" s="1" t="inlineStr">
        <is>
          <t xml:space="preserve">28194770       </t>
        </is>
      </c>
      <c r="F2522" s="5" t="inlineStr">
        <is>
          <t>AUTOS DE METAL 3 TEAMSTERZ EN BLISTER</t>
        </is>
      </c>
      <c r="G2522" t="n">
        <v>1</v>
      </c>
      <c r="H2522" s="7" t="n">
        <v>6.9</v>
      </c>
      <c r="I2522" s="7" t="n">
        <v>0</v>
      </c>
      <c r="J2522" s="7" t="n">
        <v>0</v>
      </c>
      <c r="K2522" s="9" t="n">
        <v>0</v>
      </c>
      <c r="L2522" s="10" t="n">
        <v>4.1</v>
      </c>
      <c r="M2522" s="10" t="n">
        <v>1.43</v>
      </c>
      <c r="N2522" t="inlineStr">
        <is>
          <t>1</t>
        </is>
      </c>
      <c r="O2522" t="inlineStr">
        <is>
          <t xml:space="preserve">2 </t>
        </is>
      </c>
      <c r="P2522" t="inlineStr">
        <is>
          <t xml:space="preserve">248132  </t>
        </is>
      </c>
      <c r="Q2522" s="26" t="n">
        <v>6.9</v>
      </c>
      <c r="R2522" s="26">
        <f>Q2522*G2522</f>
        <v/>
      </c>
      <c r="S2522" t="n">
        <v>4.09</v>
      </c>
      <c r="T2522" s="18">
        <f>1 - V2522/S2522</f>
        <v/>
      </c>
      <c r="U2522" s="18" t="n">
        <v>0</v>
      </c>
      <c r="V2522" s="26" t="n">
        <v>4.09</v>
      </c>
      <c r="W2522" s="26">
        <f>V2522 - L2522</f>
        <v/>
      </c>
    </row>
    <row r="2523">
      <c r="A2523" s="11" t="n">
        <v>46228</v>
      </c>
      <c r="B2523" s="1" t="n">
        <v>20057</v>
      </c>
      <c r="C2523" s="1" t="inlineStr">
        <is>
          <t>037</t>
        </is>
      </c>
      <c r="D2523" s="1" t="inlineStr">
        <is>
          <t xml:space="preserve">4645  </t>
        </is>
      </c>
      <c r="E2523" s="1" t="inlineStr">
        <is>
          <t xml:space="preserve">28194770       </t>
        </is>
      </c>
      <c r="F2523" s="5" t="inlineStr">
        <is>
          <t>AUTOS DE METAL 3 TEAMSTERZ EN BLISTER</t>
        </is>
      </c>
      <c r="G2523" t="n">
        <v>1</v>
      </c>
      <c r="H2523" s="7" t="n">
        <v>6.9</v>
      </c>
      <c r="I2523" s="7" t="n">
        <v>0</v>
      </c>
      <c r="J2523" s="7" t="n">
        <v>0</v>
      </c>
      <c r="K2523" s="9" t="n">
        <v>0</v>
      </c>
      <c r="L2523" s="10" t="n">
        <v>4.1</v>
      </c>
      <c r="M2523" s="10" t="n">
        <v>1.43</v>
      </c>
      <c r="N2523" t="inlineStr">
        <is>
          <t>1</t>
        </is>
      </c>
      <c r="O2523" t="inlineStr">
        <is>
          <t xml:space="preserve">2 </t>
        </is>
      </c>
      <c r="P2523" t="inlineStr">
        <is>
          <t xml:space="preserve">241502  </t>
        </is>
      </c>
      <c r="Q2523" s="26" t="n">
        <v>6.9</v>
      </c>
      <c r="R2523" s="26">
        <f>Q2523*G2523</f>
        <v/>
      </c>
      <c r="S2523" t="n">
        <v>4.09</v>
      </c>
      <c r="T2523" s="18">
        <f>1 - V2523/S2523</f>
        <v/>
      </c>
      <c r="U2523" s="18" t="n">
        <v>0</v>
      </c>
      <c r="V2523" s="26" t="n">
        <v>4.09</v>
      </c>
      <c r="W2523" s="26">
        <f>V2523 - L2523</f>
        <v/>
      </c>
    </row>
    <row r="2524">
      <c r="A2524" s="11" t="n">
        <v>46228</v>
      </c>
      <c r="B2524" s="1" t="n">
        <v>20057</v>
      </c>
      <c r="C2524" s="1" t="inlineStr">
        <is>
          <t>862</t>
        </is>
      </c>
      <c r="D2524" s="1" t="inlineStr">
        <is>
          <t xml:space="preserve">8171  </t>
        </is>
      </c>
      <c r="E2524" s="1" t="inlineStr">
        <is>
          <t xml:space="preserve">28194780       </t>
        </is>
      </c>
      <c r="F2524" s="5" t="inlineStr">
        <is>
          <t>TROMPO BATALLA INFINITY NADO PLSTICO SURTIDO</t>
        </is>
      </c>
      <c r="G2524" t="n">
        <v>1</v>
      </c>
      <c r="H2524" s="7" t="n">
        <v>19.9</v>
      </c>
      <c r="I2524" s="7" t="n">
        <v>0</v>
      </c>
      <c r="J2524" s="7" t="n">
        <v>0</v>
      </c>
      <c r="K2524" s="9" t="n">
        <v>0</v>
      </c>
      <c r="L2524" s="10" t="n">
        <v>11.8</v>
      </c>
      <c r="M2524" s="10" t="n">
        <v>1.43</v>
      </c>
      <c r="N2524" t="inlineStr">
        <is>
          <t>1</t>
        </is>
      </c>
      <c r="O2524" t="inlineStr">
        <is>
          <t>16</t>
        </is>
      </c>
      <c r="P2524" t="inlineStr">
        <is>
          <t xml:space="preserve">0       </t>
        </is>
      </c>
      <c r="Q2524" s="26" t="n">
        <v>19.9</v>
      </c>
      <c r="R2524" s="26">
        <f>Q2524*G2524</f>
        <v/>
      </c>
      <c r="S2524" t="n">
        <v>11.81</v>
      </c>
      <c r="T2524" s="18">
        <f>1 - V2524/S2524</f>
        <v/>
      </c>
      <c r="U2524" s="18" t="n">
        <v>0</v>
      </c>
      <c r="V2524" s="26" t="n">
        <v>11.81</v>
      </c>
      <c r="W2524" s="26">
        <f>V2524 - L2524</f>
        <v/>
      </c>
    </row>
    <row r="2525">
      <c r="A2525" s="11" t="n">
        <v>46228</v>
      </c>
      <c r="B2525" s="1" t="n">
        <v>20057</v>
      </c>
      <c r="C2525" s="1" t="inlineStr">
        <is>
          <t>862</t>
        </is>
      </c>
      <c r="D2525" s="1" t="inlineStr">
        <is>
          <t xml:space="preserve">8171  </t>
        </is>
      </c>
      <c r="E2525" s="1" t="inlineStr">
        <is>
          <t xml:space="preserve">29235701       </t>
        </is>
      </c>
      <c r="F2525" s="5" t="inlineStr">
        <is>
          <t>INFINITY NADO TROMPO DE BATALLA - METAL EN CAJA</t>
        </is>
      </c>
      <c r="G2525" t="n">
        <v>1</v>
      </c>
      <c r="H2525" s="7" t="n">
        <v>29.9</v>
      </c>
      <c r="I2525" s="7" t="n">
        <v>0</v>
      </c>
      <c r="J2525" s="7" t="n">
        <v>0</v>
      </c>
      <c r="K2525" s="9" t="n">
        <v>0</v>
      </c>
      <c r="L2525" s="10" t="n">
        <v>17.74</v>
      </c>
      <c r="M2525" s="10" t="n">
        <v>1.43</v>
      </c>
      <c r="N2525" t="inlineStr">
        <is>
          <t>1</t>
        </is>
      </c>
      <c r="O2525" t="inlineStr">
        <is>
          <t>16</t>
        </is>
      </c>
      <c r="P2525" t="inlineStr">
        <is>
          <t xml:space="preserve">0       </t>
        </is>
      </c>
      <c r="Q2525" s="26" t="n">
        <v>39.9</v>
      </c>
      <c r="R2525" s="26">
        <f>Q2525*G2525</f>
        <v/>
      </c>
      <c r="S2525" t="n">
        <v>23.67</v>
      </c>
      <c r="T2525" s="18">
        <f>1 - V2525/S2525</f>
        <v/>
      </c>
      <c r="U2525" s="18" t="n">
        <v>0.2506265664160401</v>
      </c>
      <c r="V2525" s="26" t="n">
        <v>19.00423728813559</v>
      </c>
      <c r="W2525" s="26">
        <f>V2525 - L2525</f>
        <v/>
      </c>
    </row>
    <row r="2526">
      <c r="A2526" s="11" t="n">
        <v>46228</v>
      </c>
      <c r="B2526" s="1" t="n">
        <v>20057</v>
      </c>
      <c r="C2526" s="1" t="inlineStr">
        <is>
          <t>863</t>
        </is>
      </c>
      <c r="D2526" s="1" t="inlineStr">
        <is>
          <t xml:space="preserve">5083  </t>
        </is>
      </c>
      <c r="E2526" s="1" t="inlineStr">
        <is>
          <t xml:space="preserve">28194770       </t>
        </is>
      </c>
      <c r="F2526" s="5" t="inlineStr">
        <is>
          <t>AUTOS DE METAL 3 TEAMSTERZ EN BLISTER</t>
        </is>
      </c>
      <c r="G2526" t="n">
        <v>2</v>
      </c>
      <c r="H2526" s="7" t="n">
        <v>13.8</v>
      </c>
      <c r="I2526" s="7" t="n">
        <v>0</v>
      </c>
      <c r="J2526" s="7" t="n">
        <v>0</v>
      </c>
      <c r="K2526" s="9" t="n">
        <v>0</v>
      </c>
      <c r="L2526" s="10" t="n">
        <v>8.18</v>
      </c>
      <c r="M2526" s="10" t="n">
        <v>1.43</v>
      </c>
      <c r="N2526" t="inlineStr">
        <is>
          <t>1</t>
        </is>
      </c>
      <c r="O2526" t="inlineStr">
        <is>
          <t>16</t>
        </is>
      </c>
      <c r="P2526" t="inlineStr">
        <is>
          <t xml:space="preserve">0       </t>
        </is>
      </c>
      <c r="Q2526" s="26" t="n">
        <v>6.9</v>
      </c>
      <c r="R2526" s="26">
        <f>Q2526*G2526</f>
        <v/>
      </c>
      <c r="S2526" t="n">
        <v>8.18</v>
      </c>
      <c r="T2526" s="18">
        <f>1 - V2526/S2526</f>
        <v/>
      </c>
      <c r="U2526" s="18" t="n">
        <v>0</v>
      </c>
      <c r="V2526" s="26" t="n">
        <v>8.18</v>
      </c>
      <c r="W2526" s="26">
        <f>V2526 - L2526</f>
        <v/>
      </c>
    </row>
    <row r="2527">
      <c r="A2527" s="11" t="n">
        <v>46228</v>
      </c>
      <c r="B2527" s="1" t="n">
        <v>20058</v>
      </c>
      <c r="C2527" s="1" t="inlineStr">
        <is>
          <t>011</t>
        </is>
      </c>
      <c r="D2527" s="1" t="inlineStr">
        <is>
          <t>186295</t>
        </is>
      </c>
      <c r="E2527" s="1" t="inlineStr">
        <is>
          <t xml:space="preserve">28194770       </t>
        </is>
      </c>
      <c r="F2527" s="5" t="inlineStr">
        <is>
          <t>AUTOS DE METAL 3 TEAMSTERZ EN BLISTER</t>
        </is>
      </c>
      <c r="G2527" t="n">
        <v>1</v>
      </c>
      <c r="H2527" s="7" t="n">
        <v>6.9</v>
      </c>
      <c r="I2527" s="7" t="n">
        <v>0</v>
      </c>
      <c r="J2527" s="7" t="n">
        <v>0</v>
      </c>
      <c r="K2527" s="9" t="n">
        <v>0</v>
      </c>
      <c r="L2527" s="10" t="n">
        <v>4.1</v>
      </c>
      <c r="M2527" s="10" t="n">
        <v>1.43</v>
      </c>
      <c r="N2527" t="inlineStr">
        <is>
          <t>1</t>
        </is>
      </c>
      <c r="O2527" t="inlineStr">
        <is>
          <t>16</t>
        </is>
      </c>
      <c r="P2527" t="inlineStr">
        <is>
          <t xml:space="preserve">244733  </t>
        </is>
      </c>
      <c r="Q2527" s="26" t="n">
        <v>6.9</v>
      </c>
      <c r="R2527" s="26">
        <f>Q2527*G2527</f>
        <v/>
      </c>
      <c r="S2527" t="n">
        <v>4.09</v>
      </c>
      <c r="T2527" s="18">
        <f>1 - V2527/S2527</f>
        <v/>
      </c>
      <c r="U2527" s="18" t="n">
        <v>0</v>
      </c>
      <c r="V2527" s="26" t="n">
        <v>4.09</v>
      </c>
      <c r="W2527" s="26">
        <f>V2527 - L2527</f>
        <v/>
      </c>
    </row>
    <row r="2528">
      <c r="A2528" s="11" t="n">
        <v>46228</v>
      </c>
      <c r="B2528" s="1" t="n">
        <v>20058</v>
      </c>
      <c r="C2528" s="1" t="inlineStr">
        <is>
          <t>011</t>
        </is>
      </c>
      <c r="D2528" s="1" t="inlineStr">
        <is>
          <t>186295</t>
        </is>
      </c>
      <c r="E2528" s="1" t="inlineStr">
        <is>
          <t xml:space="preserve">28194770       </t>
        </is>
      </c>
      <c r="F2528" s="5" t="inlineStr">
        <is>
          <t>AUTOS DE METAL 3 TEAMSTERZ EN BLISTER</t>
        </is>
      </c>
      <c r="G2528" t="n">
        <v>1</v>
      </c>
      <c r="H2528" s="7" t="n">
        <v>6.9</v>
      </c>
      <c r="I2528" s="7" t="n">
        <v>0</v>
      </c>
      <c r="J2528" s="7" t="n">
        <v>0</v>
      </c>
      <c r="K2528" s="9" t="n">
        <v>0</v>
      </c>
      <c r="L2528" s="10" t="n">
        <v>4.1</v>
      </c>
      <c r="M2528" s="10" t="n">
        <v>1.43</v>
      </c>
      <c r="N2528" t="inlineStr">
        <is>
          <t>1</t>
        </is>
      </c>
      <c r="O2528" t="inlineStr">
        <is>
          <t>16</t>
        </is>
      </c>
      <c r="P2528" t="inlineStr">
        <is>
          <t xml:space="preserve">244733  </t>
        </is>
      </c>
      <c r="Q2528" s="26" t="n">
        <v>6.9</v>
      </c>
      <c r="R2528" s="26">
        <f>Q2528*G2528</f>
        <v/>
      </c>
      <c r="S2528" t="n">
        <v>4.09</v>
      </c>
      <c r="T2528" s="18">
        <f>1 - V2528/S2528</f>
        <v/>
      </c>
      <c r="U2528" s="18" t="n">
        <v>0</v>
      </c>
      <c r="V2528" s="26" t="n">
        <v>4.09</v>
      </c>
      <c r="W2528" s="26">
        <f>V2528 - L2528</f>
        <v/>
      </c>
    </row>
    <row r="2529">
      <c r="A2529" s="11" t="n">
        <v>46228</v>
      </c>
      <c r="B2529" s="1" t="n">
        <v>20058</v>
      </c>
      <c r="C2529" s="1" t="inlineStr">
        <is>
          <t>030</t>
        </is>
      </c>
      <c r="D2529" s="1" t="inlineStr">
        <is>
          <t xml:space="preserve">48791 </t>
        </is>
      </c>
      <c r="E2529" s="1" t="inlineStr">
        <is>
          <t xml:space="preserve">29235706       </t>
        </is>
      </c>
      <c r="F2529" s="5" t="inlineStr">
        <is>
          <t>TEAMSTERZ CAMION PARA GUARDAR 12 AUTOS INCL 4 AUTO</t>
        </is>
      </c>
      <c r="G2529" t="n">
        <v>1</v>
      </c>
      <c r="H2529" s="7" t="n">
        <v>59.9</v>
      </c>
      <c r="I2529" s="7" t="n">
        <v>0</v>
      </c>
      <c r="J2529" s="7" t="n">
        <v>0</v>
      </c>
      <c r="K2529" s="9" t="n">
        <v>0</v>
      </c>
      <c r="L2529" s="10" t="n">
        <v>35.53</v>
      </c>
      <c r="M2529" s="10" t="n">
        <v>1.43</v>
      </c>
      <c r="N2529" t="inlineStr">
        <is>
          <t>1</t>
        </is>
      </c>
      <c r="O2529" t="inlineStr">
        <is>
          <t>16</t>
        </is>
      </c>
      <c r="P2529" t="inlineStr">
        <is>
          <t xml:space="preserve">239096  </t>
        </is>
      </c>
      <c r="Q2529" s="26" t="n">
        <v>59.90000000000001</v>
      </c>
      <c r="R2529" s="26">
        <f>Q2529*G2529</f>
        <v/>
      </c>
      <c r="S2529" t="n">
        <v>35.53</v>
      </c>
      <c r="T2529" s="18">
        <f>1 - V2529/S2529</f>
        <v/>
      </c>
      <c r="U2529" s="18" t="n">
        <v>0</v>
      </c>
      <c r="V2529" s="26" t="n">
        <v>35.53</v>
      </c>
      <c r="W2529" s="26">
        <f>V2529 - L2529</f>
        <v/>
      </c>
    </row>
    <row r="2530">
      <c r="A2530" s="11" t="n">
        <v>46228</v>
      </c>
      <c r="B2530" s="1" t="n">
        <v>20058</v>
      </c>
      <c r="C2530" s="1" t="inlineStr">
        <is>
          <t>035</t>
        </is>
      </c>
      <c r="D2530" s="1" t="inlineStr">
        <is>
          <t xml:space="preserve">6190  </t>
        </is>
      </c>
      <c r="E2530" s="1" t="inlineStr">
        <is>
          <t xml:space="preserve">28194770       </t>
        </is>
      </c>
      <c r="F2530" s="5" t="inlineStr">
        <is>
          <t>AUTOS DE METAL 3 TEAMSTERZ EN BLISTER</t>
        </is>
      </c>
      <c r="G2530" t="n">
        <v>1</v>
      </c>
      <c r="H2530" s="7" t="n">
        <v>6.9</v>
      </c>
      <c r="I2530" s="7" t="n">
        <v>0</v>
      </c>
      <c r="J2530" s="7" t="n">
        <v>0</v>
      </c>
      <c r="K2530" s="9" t="n">
        <v>0</v>
      </c>
      <c r="L2530" s="10" t="n">
        <v>4.1</v>
      </c>
      <c r="M2530" s="10" t="n">
        <v>1.43</v>
      </c>
      <c r="N2530" t="inlineStr">
        <is>
          <t>1</t>
        </is>
      </c>
      <c r="O2530" t="inlineStr">
        <is>
          <t xml:space="preserve">2 </t>
        </is>
      </c>
      <c r="P2530" t="inlineStr">
        <is>
          <t xml:space="preserve">105239  </t>
        </is>
      </c>
      <c r="Q2530" s="26" t="n">
        <v>6.9</v>
      </c>
      <c r="R2530" s="26">
        <f>Q2530*G2530</f>
        <v/>
      </c>
      <c r="S2530" t="n">
        <v>4.09</v>
      </c>
      <c r="T2530" s="18">
        <f>1 - V2530/S2530</f>
        <v/>
      </c>
      <c r="U2530" s="18" t="n">
        <v>0</v>
      </c>
      <c r="V2530" s="26" t="n">
        <v>4.09</v>
      </c>
      <c r="W2530" s="26">
        <f>V2530 - L2530</f>
        <v/>
      </c>
    </row>
    <row r="2531">
      <c r="A2531" s="11" t="n">
        <v>46228</v>
      </c>
      <c r="B2531" s="1" t="n">
        <v>20058</v>
      </c>
      <c r="C2531" s="1" t="inlineStr">
        <is>
          <t>038</t>
        </is>
      </c>
      <c r="D2531" s="1" t="inlineStr">
        <is>
          <t>210454</t>
        </is>
      </c>
      <c r="E2531" s="1" t="inlineStr">
        <is>
          <t xml:space="preserve">28194770       </t>
        </is>
      </c>
      <c r="F2531" s="5" t="inlineStr">
        <is>
          <t>AUTOS DE METAL 3 TEAMSTERZ EN BLISTER</t>
        </is>
      </c>
      <c r="G2531" t="n">
        <v>1</v>
      </c>
      <c r="H2531" s="7" t="n">
        <v>6.9</v>
      </c>
      <c r="I2531" s="7" t="n">
        <v>0.6899999999999999</v>
      </c>
      <c r="J2531" s="7" t="n">
        <v>0</v>
      </c>
      <c r="K2531" s="9" t="n">
        <v>0.6899999999999999</v>
      </c>
      <c r="L2531" s="10" t="n">
        <v>3.68</v>
      </c>
      <c r="M2531" s="10" t="n">
        <v>1.43</v>
      </c>
      <c r="N2531" t="inlineStr">
        <is>
          <t>1</t>
        </is>
      </c>
      <c r="O2531" t="inlineStr">
        <is>
          <t xml:space="preserve">3 </t>
        </is>
      </c>
      <c r="P2531" t="inlineStr">
        <is>
          <t xml:space="preserve">97366   </t>
        </is>
      </c>
      <c r="Q2531" s="26" t="n">
        <v>6.9</v>
      </c>
      <c r="R2531" s="26">
        <f>Q2531*G2531</f>
        <v/>
      </c>
      <c r="S2531" t="n">
        <v>4.09</v>
      </c>
      <c r="T2531" s="18">
        <f>1 - V2531/S2531</f>
        <v/>
      </c>
      <c r="U2531" s="18" t="n">
        <v>0</v>
      </c>
      <c r="V2531" s="26" t="n">
        <v>4.09</v>
      </c>
      <c r="W2531" s="26">
        <f>V2531 - L2531</f>
        <v/>
      </c>
    </row>
    <row r="2532">
      <c r="A2532" s="11" t="n">
        <v>46228</v>
      </c>
      <c r="B2532" s="1" t="n">
        <v>20058</v>
      </c>
      <c r="C2532" s="1" t="inlineStr">
        <is>
          <t>038</t>
        </is>
      </c>
      <c r="D2532" s="1" t="inlineStr">
        <is>
          <t>210454</t>
        </is>
      </c>
      <c r="E2532" s="1" t="inlineStr">
        <is>
          <t xml:space="preserve">28194770       </t>
        </is>
      </c>
      <c r="F2532" s="5" t="inlineStr">
        <is>
          <t>AUTOS DE METAL 3 TEAMSTERZ EN BLISTER</t>
        </is>
      </c>
      <c r="G2532" t="n">
        <v>1</v>
      </c>
      <c r="H2532" s="7" t="n">
        <v>6.9</v>
      </c>
      <c r="I2532" s="7" t="n">
        <v>0.6899999999999999</v>
      </c>
      <c r="J2532" s="7" t="n">
        <v>0</v>
      </c>
      <c r="K2532" s="9" t="n">
        <v>0.6899999999999999</v>
      </c>
      <c r="L2532" s="10" t="n">
        <v>3.68</v>
      </c>
      <c r="M2532" s="10" t="n">
        <v>1.43</v>
      </c>
      <c r="N2532" t="inlineStr">
        <is>
          <t>1</t>
        </is>
      </c>
      <c r="O2532" t="inlineStr">
        <is>
          <t xml:space="preserve">3 </t>
        </is>
      </c>
      <c r="P2532" t="inlineStr">
        <is>
          <t xml:space="preserve">97366   </t>
        </is>
      </c>
      <c r="Q2532" s="26" t="n">
        <v>6.9</v>
      </c>
      <c r="R2532" s="26">
        <f>Q2532*G2532</f>
        <v/>
      </c>
      <c r="S2532" t="n">
        <v>4.09</v>
      </c>
      <c r="T2532" s="18">
        <f>1 - V2532/S2532</f>
        <v/>
      </c>
      <c r="U2532" s="18" t="n">
        <v>0</v>
      </c>
      <c r="V2532" s="26" t="n">
        <v>4.09</v>
      </c>
      <c r="W2532" s="26">
        <f>V2532 - L2532</f>
        <v/>
      </c>
    </row>
    <row r="2533">
      <c r="A2533" s="11" t="n">
        <v>46228</v>
      </c>
      <c r="B2533" s="1" t="n">
        <v>20058</v>
      </c>
      <c r="C2533" s="1" t="inlineStr">
        <is>
          <t>039</t>
        </is>
      </c>
      <c r="D2533" s="1" t="inlineStr">
        <is>
          <t>231706</t>
        </is>
      </c>
      <c r="E2533" s="1" t="inlineStr">
        <is>
          <t xml:space="preserve">31754675       </t>
        </is>
      </c>
      <c r="F2533" s="5" t="inlineStr">
        <is>
          <t>INFINITY NADO SERIE 6 STARTER PACK - 4 MODELOS</t>
        </is>
      </c>
      <c r="G2533" t="n">
        <v>1</v>
      </c>
      <c r="H2533" s="7" t="n">
        <v>49.9</v>
      </c>
      <c r="I2533" s="7" t="n">
        <v>4.99</v>
      </c>
      <c r="J2533" s="7" t="n">
        <v>0</v>
      </c>
      <c r="K2533" s="9" t="n">
        <v>4.99</v>
      </c>
      <c r="L2533" s="10" t="n">
        <v>26.64</v>
      </c>
      <c r="M2533" s="10" t="n">
        <v>1.43</v>
      </c>
      <c r="N2533" t="inlineStr">
        <is>
          <t>1</t>
        </is>
      </c>
      <c r="O2533" t="inlineStr">
        <is>
          <t xml:space="preserve">3 </t>
        </is>
      </c>
      <c r="P2533" t="inlineStr">
        <is>
          <t xml:space="preserve">96954   </t>
        </is>
      </c>
      <c r="Q2533" s="26" t="n">
        <v>69.90000000000001</v>
      </c>
      <c r="R2533" s="26">
        <f>Q2533*G2533</f>
        <v/>
      </c>
      <c r="S2533" t="n">
        <v>41.47</v>
      </c>
      <c r="T2533" s="18">
        <f>1 - V2533/S2533</f>
        <v/>
      </c>
      <c r="U2533" s="18" t="n">
        <v>0.2861230329041489</v>
      </c>
      <c r="V2533" s="26" t="n">
        <v>31.71610169491525</v>
      </c>
      <c r="W2533" s="26">
        <f>V2533 - L2533</f>
        <v/>
      </c>
    </row>
    <row r="2534">
      <c r="A2534" s="11" t="n">
        <v>46228</v>
      </c>
      <c r="B2534" s="1" t="n">
        <v>20058</v>
      </c>
      <c r="C2534" s="1" t="inlineStr">
        <is>
          <t>039</t>
        </is>
      </c>
      <c r="D2534" s="1" t="inlineStr">
        <is>
          <t>231708</t>
        </is>
      </c>
      <c r="E2534" s="1" t="inlineStr">
        <is>
          <t xml:space="preserve">28194770       </t>
        </is>
      </c>
      <c r="F2534" s="5" t="inlineStr">
        <is>
          <t>AUTOS DE METAL 3 TEAMSTERZ EN BLISTER</t>
        </is>
      </c>
      <c r="G2534" t="n">
        <v>1</v>
      </c>
      <c r="H2534" s="7" t="n">
        <v>6.9</v>
      </c>
      <c r="I2534" s="7" t="n">
        <v>0</v>
      </c>
      <c r="J2534" s="7" t="n">
        <v>0</v>
      </c>
      <c r="K2534" s="9" t="n">
        <v>0</v>
      </c>
      <c r="L2534" s="10" t="n">
        <v>4.1</v>
      </c>
      <c r="M2534" s="10" t="n">
        <v>1.43</v>
      </c>
      <c r="N2534" t="inlineStr">
        <is>
          <t>1</t>
        </is>
      </c>
      <c r="O2534" t="inlineStr">
        <is>
          <t>16</t>
        </is>
      </c>
      <c r="P2534" t="inlineStr">
        <is>
          <t xml:space="preserve">96954   </t>
        </is>
      </c>
      <c r="Q2534" s="26" t="n">
        <v>6.9</v>
      </c>
      <c r="R2534" s="26">
        <f>Q2534*G2534</f>
        <v/>
      </c>
      <c r="S2534" t="n">
        <v>4.09</v>
      </c>
      <c r="T2534" s="18">
        <f>1 - V2534/S2534</f>
        <v/>
      </c>
      <c r="U2534" s="18" t="n">
        <v>0</v>
      </c>
      <c r="V2534" s="26" t="n">
        <v>4.09</v>
      </c>
      <c r="W2534" s="26">
        <f>V2534 - L2534</f>
        <v/>
      </c>
    </row>
    <row r="2535">
      <c r="A2535" s="11" t="n">
        <v>46228</v>
      </c>
      <c r="B2535" s="1" t="n">
        <v>20058</v>
      </c>
      <c r="C2535" s="1" t="inlineStr">
        <is>
          <t>039</t>
        </is>
      </c>
      <c r="D2535" s="1" t="inlineStr">
        <is>
          <t>231758</t>
        </is>
      </c>
      <c r="E2535" s="1" t="inlineStr">
        <is>
          <t xml:space="preserve">35685067       </t>
        </is>
      </c>
      <c r="F2535" s="5" t="inlineStr">
        <is>
          <t>HOT WHEELS POWER SET 3 EN 1</t>
        </is>
      </c>
      <c r="G2535" t="n">
        <v>1</v>
      </c>
      <c r="H2535" s="7" t="n">
        <v>49.9</v>
      </c>
      <c r="I2535" s="7" t="n">
        <v>0</v>
      </c>
      <c r="J2535" s="7" t="n">
        <v>0</v>
      </c>
      <c r="K2535" s="9" t="n">
        <v>0</v>
      </c>
      <c r="L2535" s="10" t="n">
        <v>29.6</v>
      </c>
      <c r="M2535" s="10" t="n">
        <v>1.43</v>
      </c>
      <c r="N2535" t="inlineStr">
        <is>
          <t>1</t>
        </is>
      </c>
      <c r="O2535" t="inlineStr">
        <is>
          <t>16</t>
        </is>
      </c>
      <c r="P2535" t="inlineStr">
        <is>
          <t xml:space="preserve">96954   </t>
        </is>
      </c>
      <c r="Q2535" s="26" t="n">
        <v>49.9</v>
      </c>
      <c r="R2535" s="26">
        <f>Q2535*G2535</f>
        <v/>
      </c>
      <c r="S2535" t="n">
        <v>29.6</v>
      </c>
      <c r="T2535" s="18">
        <f>1 - V2535/S2535</f>
        <v/>
      </c>
      <c r="U2535" s="18" t="n">
        <v>0</v>
      </c>
      <c r="V2535" s="26" t="n">
        <v>29.6</v>
      </c>
      <c r="W2535" s="26">
        <f>V2535 - L2535</f>
        <v/>
      </c>
    </row>
    <row r="2536">
      <c r="A2536" s="11" t="n">
        <v>46228</v>
      </c>
      <c r="B2536" s="1" t="n">
        <v>20058</v>
      </c>
      <c r="C2536" s="1" t="inlineStr">
        <is>
          <t>039</t>
        </is>
      </c>
      <c r="D2536" s="1" t="inlineStr">
        <is>
          <t>231772</t>
        </is>
      </c>
      <c r="E2536" s="1" t="inlineStr">
        <is>
          <t xml:space="preserve">28194770       </t>
        </is>
      </c>
      <c r="F2536" s="5" t="inlineStr">
        <is>
          <t>AUTOS DE METAL 3 TEAMSTERZ EN BLISTER</t>
        </is>
      </c>
      <c r="G2536" t="n">
        <v>1</v>
      </c>
      <c r="H2536" s="7" t="n">
        <v>6.9</v>
      </c>
      <c r="I2536" s="7" t="n">
        <v>0</v>
      </c>
      <c r="J2536" s="7" t="n">
        <v>0</v>
      </c>
      <c r="K2536" s="9" t="n">
        <v>0</v>
      </c>
      <c r="L2536" s="10" t="n">
        <v>4.1</v>
      </c>
      <c r="M2536" s="10" t="n">
        <v>1.43</v>
      </c>
      <c r="N2536" t="inlineStr">
        <is>
          <t>1</t>
        </is>
      </c>
      <c r="O2536" t="inlineStr">
        <is>
          <t>16</t>
        </is>
      </c>
      <c r="P2536" t="inlineStr">
        <is>
          <t xml:space="preserve">96954   </t>
        </is>
      </c>
      <c r="Q2536" s="26" t="n">
        <v>6.9</v>
      </c>
      <c r="R2536" s="26">
        <f>Q2536*G2536</f>
        <v/>
      </c>
      <c r="S2536" t="n">
        <v>4.09</v>
      </c>
      <c r="T2536" s="18">
        <f>1 - V2536/S2536</f>
        <v/>
      </c>
      <c r="U2536" s="18" t="n">
        <v>0</v>
      </c>
      <c r="V2536" s="26" t="n">
        <v>4.09</v>
      </c>
      <c r="W2536" s="26">
        <f>V2536 - L2536</f>
        <v/>
      </c>
    </row>
    <row r="2537">
      <c r="A2537" s="11" t="n">
        <v>46228</v>
      </c>
      <c r="B2537" s="1" t="n">
        <v>20058</v>
      </c>
      <c r="C2537" s="1" t="inlineStr">
        <is>
          <t>039</t>
        </is>
      </c>
      <c r="D2537" s="1" t="inlineStr">
        <is>
          <t>231772</t>
        </is>
      </c>
      <c r="E2537" s="1" t="inlineStr">
        <is>
          <t xml:space="preserve">28194770       </t>
        </is>
      </c>
      <c r="F2537" s="5" t="inlineStr">
        <is>
          <t>AUTOS DE METAL 3 TEAMSTERZ EN BLISTER</t>
        </is>
      </c>
      <c r="G2537" t="n">
        <v>1</v>
      </c>
      <c r="H2537" s="7" t="n">
        <v>6.9</v>
      </c>
      <c r="I2537" s="7" t="n">
        <v>0</v>
      </c>
      <c r="J2537" s="7" t="n">
        <v>0</v>
      </c>
      <c r="K2537" s="9" t="n">
        <v>0</v>
      </c>
      <c r="L2537" s="10" t="n">
        <v>4.1</v>
      </c>
      <c r="M2537" s="10" t="n">
        <v>1.43</v>
      </c>
      <c r="N2537" t="inlineStr">
        <is>
          <t>1</t>
        </is>
      </c>
      <c r="O2537" t="inlineStr">
        <is>
          <t>16</t>
        </is>
      </c>
      <c r="P2537" t="inlineStr">
        <is>
          <t xml:space="preserve">96954   </t>
        </is>
      </c>
      <c r="Q2537" s="26" t="n">
        <v>6.9</v>
      </c>
      <c r="R2537" s="26">
        <f>Q2537*G2537</f>
        <v/>
      </c>
      <c r="S2537" t="n">
        <v>4.09</v>
      </c>
      <c r="T2537" s="18">
        <f>1 - V2537/S2537</f>
        <v/>
      </c>
      <c r="U2537" s="18" t="n">
        <v>0</v>
      </c>
      <c r="V2537" s="26" t="n">
        <v>4.09</v>
      </c>
      <c r="W2537" s="26">
        <f>V2537 - L2537</f>
        <v/>
      </c>
    </row>
    <row r="2538">
      <c r="A2538" s="11" t="n">
        <v>46228</v>
      </c>
      <c r="B2538" s="1" t="n">
        <v>20058</v>
      </c>
      <c r="C2538" s="1" t="inlineStr">
        <is>
          <t>197</t>
        </is>
      </c>
      <c r="D2538" s="1" t="inlineStr">
        <is>
          <t>170773</t>
        </is>
      </c>
      <c r="E2538" s="1" t="inlineStr">
        <is>
          <t xml:space="preserve">28194784       </t>
        </is>
      </c>
      <c r="F2538" s="5" t="inlineStr">
        <is>
          <t>SET DE ACROBACIAS INFINITY NADO CON TROMPO</t>
        </is>
      </c>
      <c r="G2538" t="n">
        <v>1</v>
      </c>
      <c r="H2538" s="7" t="n">
        <v>139</v>
      </c>
      <c r="I2538" s="7" t="n">
        <v>0</v>
      </c>
      <c r="J2538" s="7" t="n">
        <v>0</v>
      </c>
      <c r="K2538" s="9" t="n">
        <v>0</v>
      </c>
      <c r="L2538" s="10" t="n">
        <v>82.45999999999999</v>
      </c>
      <c r="M2538" s="10" t="n">
        <v>1.43</v>
      </c>
      <c r="N2538" t="inlineStr">
        <is>
          <t>1</t>
        </is>
      </c>
      <c r="O2538" t="inlineStr">
        <is>
          <t>16</t>
        </is>
      </c>
      <c r="P2538" t="inlineStr">
        <is>
          <t xml:space="preserve">236703  </t>
        </is>
      </c>
      <c r="Q2538" s="26" t="n">
        <v>179</v>
      </c>
      <c r="R2538" s="26">
        <f>Q2538*G2538</f>
        <v/>
      </c>
      <c r="S2538" t="n">
        <v>106.19</v>
      </c>
      <c r="T2538" s="18">
        <f>1 - V2538/S2538</f>
        <v/>
      </c>
      <c r="U2538" s="18" t="n">
        <v>0.223463687150838</v>
      </c>
      <c r="V2538" s="26" t="n">
        <v>88.34745762711864</v>
      </c>
      <c r="W2538" s="26">
        <f>V2538 - L2538</f>
        <v/>
      </c>
    </row>
    <row r="2539">
      <c r="A2539" s="11" t="n">
        <v>46228</v>
      </c>
      <c r="B2539" s="1" t="n">
        <v>20058</v>
      </c>
      <c r="C2539" s="1" t="inlineStr">
        <is>
          <t>197</t>
        </is>
      </c>
      <c r="D2539" s="1" t="inlineStr">
        <is>
          <t>170790</t>
        </is>
      </c>
      <c r="E2539" s="1" t="inlineStr">
        <is>
          <t xml:space="preserve">29235702       </t>
        </is>
      </c>
      <c r="F2539" s="5" t="inlineStr">
        <is>
          <t>INFINITY NADO TROMPO DE BATALLA - METAL C/ ANILLO</t>
        </is>
      </c>
      <c r="G2539" t="n">
        <v>1</v>
      </c>
      <c r="H2539" s="7" t="n">
        <v>49.9</v>
      </c>
      <c r="I2539" s="7" t="n">
        <v>0</v>
      </c>
      <c r="J2539" s="7" t="n">
        <v>0</v>
      </c>
      <c r="K2539" s="9" t="n">
        <v>0</v>
      </c>
      <c r="L2539" s="10" t="n">
        <v>29.6</v>
      </c>
      <c r="M2539" s="10" t="n">
        <v>1.43</v>
      </c>
      <c r="N2539" t="inlineStr">
        <is>
          <t>1</t>
        </is>
      </c>
      <c r="O2539" t="inlineStr">
        <is>
          <t>16</t>
        </is>
      </c>
      <c r="P2539" t="inlineStr">
        <is>
          <t xml:space="preserve">249637  </t>
        </is>
      </c>
      <c r="Q2539" s="26" t="n">
        <v>69.90000000000001</v>
      </c>
      <c r="R2539" s="26">
        <f>Q2539*G2539</f>
        <v/>
      </c>
      <c r="S2539" t="n">
        <v>41.47</v>
      </c>
      <c r="T2539" s="18">
        <f>1 - V2539/S2539</f>
        <v/>
      </c>
      <c r="U2539" s="18" t="n">
        <v>0.2861230329041489</v>
      </c>
      <c r="V2539" s="26" t="n">
        <v>31.71610169491525</v>
      </c>
      <c r="W2539" s="26">
        <f>V2539 - L2539</f>
        <v/>
      </c>
    </row>
    <row r="2540">
      <c r="A2540" s="11" t="n">
        <v>46228</v>
      </c>
      <c r="B2540" s="1" t="n">
        <v>20058</v>
      </c>
      <c r="C2540" s="1" t="inlineStr">
        <is>
          <t>197</t>
        </is>
      </c>
      <c r="D2540" s="1" t="inlineStr">
        <is>
          <t>170791</t>
        </is>
      </c>
      <c r="E2540" s="1" t="inlineStr">
        <is>
          <t xml:space="preserve">28194769       </t>
        </is>
      </c>
      <c r="F2540" s="5" t="inlineStr">
        <is>
          <t>AUTOS DE METAL 3 TEAMSTERZ PACK DE 2</t>
        </is>
      </c>
      <c r="G2540" t="n">
        <v>1</v>
      </c>
      <c r="H2540" s="7" t="n">
        <v>13.8</v>
      </c>
      <c r="I2540" s="7" t="n">
        <v>0</v>
      </c>
      <c r="J2540" s="7" t="n">
        <v>0</v>
      </c>
      <c r="K2540" s="9" t="n">
        <v>0</v>
      </c>
      <c r="L2540" s="10" t="n">
        <v>8.18</v>
      </c>
      <c r="M2540" s="10" t="n">
        <v>1.43</v>
      </c>
      <c r="N2540" t="inlineStr">
        <is>
          <t>1</t>
        </is>
      </c>
      <c r="O2540" t="inlineStr">
        <is>
          <t>16</t>
        </is>
      </c>
      <c r="P2540" t="inlineStr">
        <is>
          <t xml:space="preserve">249637  </t>
        </is>
      </c>
      <c r="Q2540" s="26" t="n">
        <v>13.8</v>
      </c>
      <c r="R2540" s="26">
        <f>Q2540*G2540</f>
        <v/>
      </c>
      <c r="S2540" t="n">
        <v>8.19</v>
      </c>
      <c r="T2540" s="18">
        <f>1 - V2540/S2540</f>
        <v/>
      </c>
      <c r="U2540" s="18" t="n">
        <v>0</v>
      </c>
      <c r="V2540" s="26" t="n">
        <v>8.19</v>
      </c>
      <c r="W2540" s="26">
        <f>V2540 - L2540</f>
        <v/>
      </c>
    </row>
    <row r="2541">
      <c r="A2541" s="11" t="n">
        <v>46228</v>
      </c>
      <c r="B2541" s="1" t="n">
        <v>20058</v>
      </c>
      <c r="C2541" s="1" t="inlineStr">
        <is>
          <t>197</t>
        </is>
      </c>
      <c r="D2541" s="1" t="inlineStr">
        <is>
          <t>170792</t>
        </is>
      </c>
      <c r="E2541" s="1" t="inlineStr">
        <is>
          <t xml:space="preserve">28194770       </t>
        </is>
      </c>
      <c r="F2541" s="5" t="inlineStr">
        <is>
          <t>AUTOS DE METAL 3 TEAMSTERZ EN BLISTER</t>
        </is>
      </c>
      <c r="G2541" t="n">
        <v>1</v>
      </c>
      <c r="H2541" s="7" t="n">
        <v>6.9</v>
      </c>
      <c r="I2541" s="7" t="n">
        <v>0</v>
      </c>
      <c r="J2541" s="7" t="n">
        <v>0</v>
      </c>
      <c r="K2541" s="9" t="n">
        <v>0</v>
      </c>
      <c r="L2541" s="10" t="n">
        <v>4.1</v>
      </c>
      <c r="M2541" s="10" t="n">
        <v>1.43</v>
      </c>
      <c r="N2541" t="inlineStr">
        <is>
          <t>1</t>
        </is>
      </c>
      <c r="O2541" t="inlineStr">
        <is>
          <t>16</t>
        </is>
      </c>
      <c r="P2541" t="inlineStr">
        <is>
          <t xml:space="preserve">249637  </t>
        </is>
      </c>
      <c r="Q2541" s="26" t="n">
        <v>6.9</v>
      </c>
      <c r="R2541" s="26">
        <f>Q2541*G2541</f>
        <v/>
      </c>
      <c r="S2541" t="n">
        <v>4.09</v>
      </c>
      <c r="T2541" s="18">
        <f>1 - V2541/S2541</f>
        <v/>
      </c>
      <c r="U2541" s="18" t="n">
        <v>0</v>
      </c>
      <c r="V2541" s="26" t="n">
        <v>4.09</v>
      </c>
      <c r="W2541" s="26">
        <f>V2541 - L2541</f>
        <v/>
      </c>
    </row>
    <row r="2542">
      <c r="A2542" s="11" t="n">
        <v>46228</v>
      </c>
      <c r="B2542" s="1" t="n">
        <v>20058</v>
      </c>
      <c r="C2542" s="1" t="inlineStr">
        <is>
          <t>197</t>
        </is>
      </c>
      <c r="D2542" s="1" t="inlineStr">
        <is>
          <t>170797</t>
        </is>
      </c>
      <c r="E2542" s="1" t="inlineStr">
        <is>
          <t xml:space="preserve">28194769       </t>
        </is>
      </c>
      <c r="F2542" s="5" t="inlineStr">
        <is>
          <t>AUTOS DE METAL 3 TEAMSTERZ PACK DE 2</t>
        </is>
      </c>
      <c r="G2542" t="n">
        <v>1</v>
      </c>
      <c r="H2542" s="7" t="n">
        <v>13.8</v>
      </c>
      <c r="I2542" s="7" t="n">
        <v>0</v>
      </c>
      <c r="J2542" s="7" t="n">
        <v>0</v>
      </c>
      <c r="K2542" s="9" t="n">
        <v>0</v>
      </c>
      <c r="L2542" s="10" t="n">
        <v>8.18</v>
      </c>
      <c r="M2542" s="10" t="n">
        <v>1.43</v>
      </c>
      <c r="N2542" t="inlineStr">
        <is>
          <t>1</t>
        </is>
      </c>
      <c r="O2542" t="inlineStr">
        <is>
          <t xml:space="preserve">2 </t>
        </is>
      </c>
      <c r="P2542" t="inlineStr">
        <is>
          <t xml:space="preserve">249637  </t>
        </is>
      </c>
      <c r="Q2542" s="26" t="n">
        <v>13.8</v>
      </c>
      <c r="R2542" s="26">
        <f>Q2542*G2542</f>
        <v/>
      </c>
      <c r="S2542" t="n">
        <v>8.19</v>
      </c>
      <c r="T2542" s="18">
        <f>1 - V2542/S2542</f>
        <v/>
      </c>
      <c r="U2542" s="18" t="n">
        <v>0</v>
      </c>
      <c r="V2542" s="26" t="n">
        <v>8.19</v>
      </c>
      <c r="W2542" s="26">
        <f>V2542 - L2542</f>
        <v/>
      </c>
    </row>
    <row r="2543">
      <c r="A2543" s="11" t="n">
        <v>46228</v>
      </c>
      <c r="B2543" s="1" t="n">
        <v>20058</v>
      </c>
      <c r="C2543" s="1" t="inlineStr">
        <is>
          <t>198</t>
        </is>
      </c>
      <c r="D2543" s="1" t="inlineStr">
        <is>
          <t xml:space="preserve">19009 </t>
        </is>
      </c>
      <c r="E2543" s="1" t="inlineStr">
        <is>
          <t xml:space="preserve">28194770       </t>
        </is>
      </c>
      <c r="F2543" s="5" t="inlineStr">
        <is>
          <t>AUTOS DE METAL 3 TEAMSTERZ EN BLISTER</t>
        </is>
      </c>
      <c r="G2543" t="n">
        <v>1</v>
      </c>
      <c r="H2543" s="7" t="n">
        <v>6.9</v>
      </c>
      <c r="I2543" s="7" t="n">
        <v>0.6899999999999999</v>
      </c>
      <c r="J2543" s="7" t="n">
        <v>0</v>
      </c>
      <c r="K2543" s="9" t="n">
        <v>0.6899999999999999</v>
      </c>
      <c r="L2543" s="10" t="n">
        <v>3.68</v>
      </c>
      <c r="M2543" s="10" t="n">
        <v>1.43</v>
      </c>
      <c r="N2543" t="inlineStr">
        <is>
          <t>1</t>
        </is>
      </c>
      <c r="O2543" t="inlineStr">
        <is>
          <t xml:space="preserve">3 </t>
        </is>
      </c>
      <c r="P2543" t="inlineStr">
        <is>
          <t xml:space="preserve">231899  </t>
        </is>
      </c>
      <c r="Q2543" s="26" t="n">
        <v>6.9</v>
      </c>
      <c r="R2543" s="26">
        <f>Q2543*G2543</f>
        <v/>
      </c>
      <c r="S2543" t="n">
        <v>4.09</v>
      </c>
      <c r="T2543" s="18">
        <f>1 - V2543/S2543</f>
        <v/>
      </c>
      <c r="U2543" s="18" t="n">
        <v>0</v>
      </c>
      <c r="V2543" s="26" t="n">
        <v>4.09</v>
      </c>
      <c r="W2543" s="26">
        <f>V2543 - L2543</f>
        <v/>
      </c>
    </row>
    <row r="2544">
      <c r="A2544" s="11" t="n">
        <v>46228</v>
      </c>
      <c r="B2544" s="1" t="n">
        <v>20058</v>
      </c>
      <c r="C2544" s="1" t="inlineStr">
        <is>
          <t>801</t>
        </is>
      </c>
      <c r="D2544" s="1" t="inlineStr">
        <is>
          <t xml:space="preserve">3560  </t>
        </is>
      </c>
      <c r="E2544" s="1" t="inlineStr">
        <is>
          <t xml:space="preserve">28194770       </t>
        </is>
      </c>
      <c r="F2544" s="5" t="inlineStr">
        <is>
          <t>AUTOS DE METAL 3 TEAMSTERZ EN BLISTER</t>
        </is>
      </c>
      <c r="G2544" t="n">
        <v>1</v>
      </c>
      <c r="H2544" s="7" t="n">
        <v>6.9</v>
      </c>
      <c r="I2544" s="7" t="n">
        <v>0</v>
      </c>
      <c r="J2544" s="7" t="n">
        <v>0</v>
      </c>
      <c r="K2544" s="9" t="n">
        <v>0</v>
      </c>
      <c r="L2544" s="10" t="n">
        <v>4.1</v>
      </c>
      <c r="M2544" s="10" t="n">
        <v>1.43</v>
      </c>
      <c r="N2544" t="inlineStr">
        <is>
          <t>1</t>
        </is>
      </c>
      <c r="O2544" t="inlineStr">
        <is>
          <t>16</t>
        </is>
      </c>
      <c r="P2544" t="inlineStr">
        <is>
          <t xml:space="preserve">251350  </t>
        </is>
      </c>
      <c r="Q2544" s="26" t="n">
        <v>6.9</v>
      </c>
      <c r="R2544" s="26">
        <f>Q2544*G2544</f>
        <v/>
      </c>
      <c r="S2544" t="n">
        <v>4.09</v>
      </c>
      <c r="T2544" s="18">
        <f>1 - V2544/S2544</f>
        <v/>
      </c>
      <c r="U2544" s="18" t="n">
        <v>0</v>
      </c>
      <c r="V2544" s="26" t="n">
        <v>4.09</v>
      </c>
      <c r="W2544" s="26">
        <f>V2544 - L2544</f>
        <v/>
      </c>
    </row>
    <row r="2545">
      <c r="A2545" s="11" t="n">
        <v>46228</v>
      </c>
      <c r="B2545" s="1" t="n">
        <v>20062</v>
      </c>
      <c r="C2545" s="1" t="inlineStr">
        <is>
          <t>053</t>
        </is>
      </c>
      <c r="D2545" s="1" t="inlineStr">
        <is>
          <t>243990</t>
        </is>
      </c>
      <c r="E2545" s="1" t="inlineStr">
        <is>
          <t xml:space="preserve">29235712       </t>
        </is>
      </c>
      <c r="F2545" s="5" t="inlineStr">
        <is>
          <t>TEAMSTERZ DISPARADOR DINOSAURIO INCL. 1 AUTO</t>
        </is>
      </c>
      <c r="G2545" t="n">
        <v>1</v>
      </c>
      <c r="H2545" s="7" t="n">
        <v>12.9</v>
      </c>
      <c r="I2545" s="7" t="n">
        <v>0</v>
      </c>
      <c r="J2545" s="7" t="n">
        <v>0</v>
      </c>
      <c r="K2545" s="9" t="n">
        <v>0</v>
      </c>
      <c r="L2545" s="10" t="n">
        <v>7.65</v>
      </c>
      <c r="M2545" s="10" t="n">
        <v>1.43</v>
      </c>
      <c r="N2545" t="inlineStr">
        <is>
          <t>1</t>
        </is>
      </c>
      <c r="O2545" t="inlineStr">
        <is>
          <t xml:space="preserve">2 </t>
        </is>
      </c>
      <c r="P2545" t="inlineStr">
        <is>
          <t xml:space="preserve">88849   </t>
        </is>
      </c>
      <c r="Q2545" s="26" t="n">
        <v>29.9</v>
      </c>
      <c r="R2545" s="26">
        <f>Q2545*G2545</f>
        <v/>
      </c>
      <c r="S2545" t="n">
        <v>17.74</v>
      </c>
      <c r="T2545" s="18">
        <f>1 - V2545/S2545</f>
        <v/>
      </c>
      <c r="U2545" s="18" t="n">
        <v>0.568561872909699</v>
      </c>
      <c r="V2545" s="26" t="n">
        <v>9.29271186440678</v>
      </c>
      <c r="W2545" s="26">
        <f>V2545 - L2545</f>
        <v/>
      </c>
    </row>
    <row r="2546">
      <c r="A2546" s="11" t="n">
        <v>46228</v>
      </c>
      <c r="B2546" s="1" t="n">
        <v>20062</v>
      </c>
      <c r="C2546" s="1" t="inlineStr">
        <is>
          <t>053</t>
        </is>
      </c>
      <c r="D2546" s="1" t="inlineStr">
        <is>
          <t>243990</t>
        </is>
      </c>
      <c r="E2546" s="1" t="inlineStr">
        <is>
          <t xml:space="preserve">33483119       </t>
        </is>
      </c>
      <c r="F2546" s="5" t="inlineStr">
        <is>
          <t>MUNECA EVI LOVE TRAJE TIPICO CON ALPACA</t>
        </is>
      </c>
      <c r="G2546" t="n">
        <v>1</v>
      </c>
      <c r="H2546" s="7" t="n">
        <v>17.94</v>
      </c>
      <c r="I2546" s="7" t="n">
        <v>0</v>
      </c>
      <c r="J2546" s="7" t="n">
        <v>0</v>
      </c>
      <c r="K2546" s="9" t="n">
        <v>0</v>
      </c>
      <c r="L2546" s="10" t="n">
        <v>10.64</v>
      </c>
      <c r="M2546" s="10" t="n">
        <v>1.43</v>
      </c>
      <c r="N2546" t="inlineStr">
        <is>
          <t>1</t>
        </is>
      </c>
      <c r="O2546" t="inlineStr">
        <is>
          <t xml:space="preserve">2 </t>
        </is>
      </c>
      <c r="P2546" t="inlineStr">
        <is>
          <t xml:space="preserve">88849   </t>
        </is>
      </c>
      <c r="Q2546" s="26" t="n">
        <v>29.9</v>
      </c>
      <c r="R2546" s="26">
        <f>Q2546*G2546</f>
        <v/>
      </c>
      <c r="S2546" t="n">
        <v>17.74</v>
      </c>
      <c r="T2546" s="18">
        <f>1 - V2546/S2546</f>
        <v/>
      </c>
      <c r="U2546" s="18" t="n">
        <v>0.4</v>
      </c>
      <c r="V2546" s="26" t="n">
        <v>13.68305084745763</v>
      </c>
      <c r="W2546" s="26">
        <f>V2546 - L2546</f>
        <v/>
      </c>
    </row>
    <row r="2547">
      <c r="A2547" s="11" t="n">
        <v>46228</v>
      </c>
      <c r="B2547" s="1" t="n">
        <v>20066</v>
      </c>
      <c r="C2547" s="1" t="inlineStr">
        <is>
          <t>047</t>
        </is>
      </c>
      <c r="D2547" s="1" t="inlineStr">
        <is>
          <t xml:space="preserve">51439 </t>
        </is>
      </c>
      <c r="E2547" s="1" t="inlineStr">
        <is>
          <t xml:space="preserve">29235701       </t>
        </is>
      </c>
      <c r="F2547" s="5" t="inlineStr">
        <is>
          <t>INFINITY NADO TROMPO DE BATALLA - METAL EN CAJA</t>
        </is>
      </c>
      <c r="G2547" t="n">
        <v>1</v>
      </c>
      <c r="H2547" s="7" t="n">
        <v>29.9</v>
      </c>
      <c r="I2547" s="7" t="n">
        <v>0</v>
      </c>
      <c r="J2547" s="7" t="n">
        <v>0</v>
      </c>
      <c r="K2547" s="9" t="n">
        <v>0</v>
      </c>
      <c r="L2547" s="10" t="n">
        <v>17.74</v>
      </c>
      <c r="M2547" s="10" t="n">
        <v>1.43</v>
      </c>
      <c r="N2547" t="inlineStr">
        <is>
          <t>1</t>
        </is>
      </c>
      <c r="O2547" t="inlineStr">
        <is>
          <t>16</t>
        </is>
      </c>
      <c r="P2547" t="inlineStr">
        <is>
          <t xml:space="preserve">19353   </t>
        </is>
      </c>
      <c r="Q2547" s="26" t="n">
        <v>39.9</v>
      </c>
      <c r="R2547" s="26">
        <f>Q2547*G2547</f>
        <v/>
      </c>
      <c r="S2547" t="n">
        <v>23.67</v>
      </c>
      <c r="T2547" s="18">
        <f>1 - V2547/S2547</f>
        <v/>
      </c>
      <c r="U2547" s="18" t="n">
        <v>0.2506265664160401</v>
      </c>
      <c r="V2547" s="26" t="n">
        <v>19.00423728813559</v>
      </c>
      <c r="W2547" s="26">
        <f>V2547 - L2547</f>
        <v/>
      </c>
    </row>
    <row r="2548">
      <c r="A2548" s="11" t="n">
        <v>46228</v>
      </c>
      <c r="B2548" s="1" t="n">
        <v>20066</v>
      </c>
      <c r="C2548" s="1" t="inlineStr">
        <is>
          <t>059</t>
        </is>
      </c>
      <c r="D2548" s="1" t="inlineStr">
        <is>
          <t xml:space="preserve">20352 </t>
        </is>
      </c>
      <c r="E2548" s="1" t="inlineStr">
        <is>
          <t xml:space="preserve">28194767       </t>
        </is>
      </c>
      <c r="F2548" s="5" t="inlineStr">
        <is>
          <t>CAMIONES TEAMSTERZ DE EMERGENCIA</t>
        </is>
      </c>
      <c r="G2548" t="n">
        <v>1</v>
      </c>
      <c r="H2548" s="7" t="n">
        <v>17.9</v>
      </c>
      <c r="I2548" s="7" t="n">
        <v>0</v>
      </c>
      <c r="J2548" s="7" t="n">
        <v>0</v>
      </c>
      <c r="K2548" s="9" t="n">
        <v>0</v>
      </c>
      <c r="L2548" s="10" t="n">
        <v>10.62</v>
      </c>
      <c r="M2548" s="10" t="n">
        <v>1.43</v>
      </c>
      <c r="N2548" t="inlineStr">
        <is>
          <t>1</t>
        </is>
      </c>
      <c r="O2548" t="inlineStr">
        <is>
          <t>16</t>
        </is>
      </c>
      <c r="P2548" t="inlineStr">
        <is>
          <t xml:space="preserve">21979   </t>
        </is>
      </c>
      <c r="Q2548" s="26" t="n">
        <v>17.9</v>
      </c>
      <c r="R2548" s="26">
        <f>Q2548*G2548</f>
        <v/>
      </c>
      <c r="S2548" t="n">
        <v>10.62</v>
      </c>
      <c r="T2548" s="18">
        <f>1 - V2548/S2548</f>
        <v/>
      </c>
      <c r="U2548" s="18" t="n">
        <v>0</v>
      </c>
      <c r="V2548" s="26" t="n">
        <v>10.62</v>
      </c>
      <c r="W2548" s="26">
        <f>V2548 - L2548</f>
        <v/>
      </c>
    </row>
    <row r="2549">
      <c r="A2549" s="11" t="n">
        <v>46228</v>
      </c>
      <c r="B2549" s="1" t="n">
        <v>20066</v>
      </c>
      <c r="C2549" s="1" t="inlineStr">
        <is>
          <t>805</t>
        </is>
      </c>
      <c r="D2549" s="1" t="inlineStr">
        <is>
          <t xml:space="preserve">2159  </t>
        </is>
      </c>
      <c r="E2549" s="1" t="inlineStr">
        <is>
          <t xml:space="preserve">31959961       </t>
        </is>
      </c>
      <c r="F2549" s="5" t="inlineStr">
        <is>
          <t>TEAMSTERZ CAMBIA DE COLOR PACK DE 3 AUTOS</t>
        </is>
      </c>
      <c r="G2549" t="n">
        <v>1</v>
      </c>
      <c r="H2549" s="7" t="n">
        <v>49.9</v>
      </c>
      <c r="I2549" s="7" t="n">
        <v>0</v>
      </c>
      <c r="J2549" s="7" t="n">
        <v>0</v>
      </c>
      <c r="K2549" s="9" t="n">
        <v>0</v>
      </c>
      <c r="L2549" s="10" t="n">
        <v>29.6</v>
      </c>
      <c r="M2549" s="10" t="n">
        <v>1.43</v>
      </c>
      <c r="N2549" t="inlineStr">
        <is>
          <t>1</t>
        </is>
      </c>
      <c r="O2549" t="inlineStr">
        <is>
          <t>16</t>
        </is>
      </c>
      <c r="P2549" t="inlineStr">
        <is>
          <t xml:space="preserve">0       </t>
        </is>
      </c>
      <c r="Q2549" s="26" t="n">
        <v>49.9</v>
      </c>
      <c r="R2549" s="26">
        <f>Q2549*G2549</f>
        <v/>
      </c>
      <c r="S2549" t="n">
        <v>29.6</v>
      </c>
      <c r="T2549" s="18">
        <f>1 - V2549/S2549</f>
        <v/>
      </c>
      <c r="U2549" s="18" t="n">
        <v>0</v>
      </c>
      <c r="V2549" s="26" t="n">
        <v>29.6</v>
      </c>
      <c r="W2549" s="26">
        <f>V2549 - L2549</f>
        <v/>
      </c>
    </row>
    <row r="2550">
      <c r="A2550" s="11" t="n">
        <v>46228</v>
      </c>
      <c r="B2550" s="1" t="n">
        <v>20066</v>
      </c>
      <c r="C2550" s="1" t="inlineStr">
        <is>
          <t>833</t>
        </is>
      </c>
      <c r="D2550" s="1" t="inlineStr">
        <is>
          <t xml:space="preserve">4227  </t>
        </is>
      </c>
      <c r="E2550" s="1" t="inlineStr">
        <is>
          <t xml:space="preserve">28194770       </t>
        </is>
      </c>
      <c r="F2550" s="5" t="inlineStr">
        <is>
          <t>AUTOS DE METAL 3 TEAMSTERZ EN BLISTER</t>
        </is>
      </c>
      <c r="G2550" t="n">
        <v>1</v>
      </c>
      <c r="H2550" s="7" t="n">
        <v>6.9</v>
      </c>
      <c r="I2550" s="7" t="n">
        <v>0</v>
      </c>
      <c r="J2550" s="7" t="n">
        <v>0</v>
      </c>
      <c r="K2550" s="9" t="n">
        <v>0</v>
      </c>
      <c r="L2550" s="10" t="n">
        <v>4.1</v>
      </c>
      <c r="M2550" s="10" t="n">
        <v>1.43</v>
      </c>
      <c r="N2550" t="inlineStr">
        <is>
          <t>1</t>
        </is>
      </c>
      <c r="O2550" t="inlineStr">
        <is>
          <t>16</t>
        </is>
      </c>
      <c r="P2550" t="inlineStr">
        <is>
          <t xml:space="preserve">0       </t>
        </is>
      </c>
      <c r="Q2550" s="26" t="n">
        <v>6.9</v>
      </c>
      <c r="R2550" s="26">
        <f>Q2550*G2550</f>
        <v/>
      </c>
      <c r="S2550" t="n">
        <v>4.09</v>
      </c>
      <c r="T2550" s="18">
        <f>1 - V2550/S2550</f>
        <v/>
      </c>
      <c r="U2550" s="18" t="n">
        <v>0</v>
      </c>
      <c r="V2550" s="26" t="n">
        <v>4.09</v>
      </c>
      <c r="W2550" s="26">
        <f>V2550 - L2550</f>
        <v/>
      </c>
    </row>
    <row r="2551">
      <c r="A2551" s="11" t="n">
        <v>46228</v>
      </c>
      <c r="B2551" s="1" t="n">
        <v>20073</v>
      </c>
      <c r="C2551" s="1" t="inlineStr">
        <is>
          <t>034</t>
        </is>
      </c>
      <c r="D2551" s="1" t="inlineStr">
        <is>
          <t>345570</t>
        </is>
      </c>
      <c r="E2551" s="1" t="inlineStr">
        <is>
          <t xml:space="preserve">30141766       </t>
        </is>
      </c>
      <c r="F2551" s="5" t="inlineStr">
        <is>
          <t>TMZ BEAST MACHINES AUTOS DE METAL BLISTER X 1</t>
        </is>
      </c>
      <c r="G2551" t="n">
        <v>1</v>
      </c>
      <c r="H2551" s="7" t="n">
        <v>7.9</v>
      </c>
      <c r="I2551" s="7" t="n">
        <v>0</v>
      </c>
      <c r="J2551" s="7" t="n">
        <v>0</v>
      </c>
      <c r="K2551" s="9" t="n">
        <v>0</v>
      </c>
      <c r="L2551" s="10" t="n">
        <v>4.68</v>
      </c>
      <c r="M2551" s="10" t="n">
        <v>1.43</v>
      </c>
      <c r="N2551" t="inlineStr">
        <is>
          <t>1</t>
        </is>
      </c>
      <c r="O2551" t="inlineStr">
        <is>
          <t>16</t>
        </is>
      </c>
      <c r="P2551" t="inlineStr">
        <is>
          <t xml:space="preserve">57916   </t>
        </is>
      </c>
      <c r="Q2551" s="26" t="n">
        <v>7.9</v>
      </c>
      <c r="R2551" s="26">
        <f>Q2551*G2551</f>
        <v/>
      </c>
      <c r="S2551" t="n">
        <v>4.69</v>
      </c>
      <c r="T2551" s="18">
        <f>1 - V2551/S2551</f>
        <v/>
      </c>
      <c r="U2551" s="18" t="n">
        <v>0</v>
      </c>
      <c r="V2551" s="26" t="n">
        <v>4.69</v>
      </c>
      <c r="W2551" s="26">
        <f>V2551 - L2551</f>
        <v/>
      </c>
    </row>
    <row r="2552">
      <c r="A2552" s="11" t="n">
        <v>46228</v>
      </c>
      <c r="B2552" s="1" t="n">
        <v>20073</v>
      </c>
      <c r="C2552" s="1" t="inlineStr">
        <is>
          <t>034</t>
        </is>
      </c>
      <c r="D2552" s="1" t="inlineStr">
        <is>
          <t>345570</t>
        </is>
      </c>
      <c r="E2552" s="1" t="inlineStr">
        <is>
          <t xml:space="preserve">30141766       </t>
        </is>
      </c>
      <c r="F2552" s="5" t="inlineStr">
        <is>
          <t>TMZ BEAST MACHINES AUTOS DE METAL BLISTER X 1</t>
        </is>
      </c>
      <c r="G2552" t="n">
        <v>1</v>
      </c>
      <c r="H2552" s="7" t="n">
        <v>7.9</v>
      </c>
      <c r="I2552" s="7" t="n">
        <v>0</v>
      </c>
      <c r="J2552" s="7" t="n">
        <v>0</v>
      </c>
      <c r="K2552" s="9" t="n">
        <v>0</v>
      </c>
      <c r="L2552" s="10" t="n">
        <v>4.68</v>
      </c>
      <c r="M2552" s="10" t="n">
        <v>1.43</v>
      </c>
      <c r="N2552" t="inlineStr">
        <is>
          <t>1</t>
        </is>
      </c>
      <c r="O2552" t="inlineStr">
        <is>
          <t>16</t>
        </is>
      </c>
      <c r="P2552" t="inlineStr">
        <is>
          <t xml:space="preserve">57916   </t>
        </is>
      </c>
      <c r="Q2552" s="26" t="n">
        <v>7.9</v>
      </c>
      <c r="R2552" s="26">
        <f>Q2552*G2552</f>
        <v/>
      </c>
      <c r="S2552" t="n">
        <v>4.69</v>
      </c>
      <c r="T2552" s="18">
        <f>1 - V2552/S2552</f>
        <v/>
      </c>
      <c r="U2552" s="18" t="n">
        <v>0</v>
      </c>
      <c r="V2552" s="26" t="n">
        <v>4.69</v>
      </c>
      <c r="W2552" s="26">
        <f>V2552 - L2552</f>
        <v/>
      </c>
    </row>
    <row r="2553">
      <c r="A2553" s="11" t="n">
        <v>46228</v>
      </c>
      <c r="B2553" s="1" t="n">
        <v>20073</v>
      </c>
      <c r="C2553" s="1" t="inlineStr">
        <is>
          <t>046</t>
        </is>
      </c>
      <c r="D2553" s="1" t="inlineStr">
        <is>
          <t>207879</t>
        </is>
      </c>
      <c r="E2553" s="1" t="inlineStr">
        <is>
          <t xml:space="preserve">28194770       </t>
        </is>
      </c>
      <c r="F2553" s="5" t="inlineStr">
        <is>
          <t>AUTOS DE METAL 3 TEAMSTERZ EN BLISTER</t>
        </is>
      </c>
      <c r="G2553" t="n">
        <v>1</v>
      </c>
      <c r="H2553" s="7" t="n">
        <v>6.9</v>
      </c>
      <c r="I2553" s="7" t="n">
        <v>0</v>
      </c>
      <c r="J2553" s="7" t="n">
        <v>0</v>
      </c>
      <c r="K2553" s="9" t="n">
        <v>0</v>
      </c>
      <c r="L2553" s="10" t="n">
        <v>4.1</v>
      </c>
      <c r="M2553" s="10" t="n">
        <v>1.43</v>
      </c>
      <c r="N2553" t="inlineStr">
        <is>
          <t>1</t>
        </is>
      </c>
      <c r="O2553" t="inlineStr">
        <is>
          <t xml:space="preserve">2 </t>
        </is>
      </c>
      <c r="P2553" t="inlineStr">
        <is>
          <t xml:space="preserve">102492  </t>
        </is>
      </c>
      <c r="Q2553" s="26" t="n">
        <v>6.9</v>
      </c>
      <c r="R2553" s="26">
        <f>Q2553*G2553</f>
        <v/>
      </c>
      <c r="S2553" t="n">
        <v>4.09</v>
      </c>
      <c r="T2553" s="18">
        <f>1 - V2553/S2553</f>
        <v/>
      </c>
      <c r="U2553" s="18" t="n">
        <v>0</v>
      </c>
      <c r="V2553" s="26" t="n">
        <v>4.09</v>
      </c>
      <c r="W2553" s="26">
        <f>V2553 - L2553</f>
        <v/>
      </c>
    </row>
    <row r="2554">
      <c r="A2554" s="11" t="n">
        <v>46228</v>
      </c>
      <c r="B2554" s="1" t="n">
        <v>20074</v>
      </c>
      <c r="C2554" s="1" t="inlineStr">
        <is>
          <t>032</t>
        </is>
      </c>
      <c r="D2554" s="1" t="inlineStr">
        <is>
          <t>263144</t>
        </is>
      </c>
      <c r="E2554" s="1" t="inlineStr">
        <is>
          <t xml:space="preserve">29854051       </t>
        </is>
      </c>
      <c r="F2554" s="5" t="inlineStr">
        <is>
          <t>TEAMSTERZ AUTO DE METAL PACK 10 AUTOS</t>
        </is>
      </c>
      <c r="G2554" t="n">
        <v>1</v>
      </c>
      <c r="H2554" s="7" t="n">
        <v>69</v>
      </c>
      <c r="I2554" s="7" t="n">
        <v>0</v>
      </c>
      <c r="J2554" s="7" t="n">
        <v>0</v>
      </c>
      <c r="K2554" s="9" t="n">
        <v>0</v>
      </c>
      <c r="L2554" s="10" t="n">
        <v>40.93</v>
      </c>
      <c r="M2554" s="10" t="n">
        <v>1.43</v>
      </c>
      <c r="N2554" t="inlineStr">
        <is>
          <t>1</t>
        </is>
      </c>
      <c r="O2554" t="inlineStr">
        <is>
          <t>16</t>
        </is>
      </c>
      <c r="P2554" t="inlineStr">
        <is>
          <t xml:space="preserve">94055   </t>
        </is>
      </c>
      <c r="Q2554" s="26" t="n">
        <v>69</v>
      </c>
      <c r="R2554" s="26">
        <f>Q2554*G2554</f>
        <v/>
      </c>
      <c r="S2554" t="n">
        <v>40.93</v>
      </c>
      <c r="T2554" s="18">
        <f>1 - V2554/S2554</f>
        <v/>
      </c>
      <c r="U2554" s="18" t="n">
        <v>0</v>
      </c>
      <c r="V2554" s="26" t="n">
        <v>40.93</v>
      </c>
      <c r="W2554" s="26">
        <f>V2554 - L2554</f>
        <v/>
      </c>
    </row>
    <row r="2555">
      <c r="A2555" s="11" t="n">
        <v>46228</v>
      </c>
      <c r="B2555" s="1" t="n">
        <v>20074</v>
      </c>
      <c r="C2555" s="1" t="inlineStr">
        <is>
          <t>044</t>
        </is>
      </c>
      <c r="D2555" s="1" t="inlineStr">
        <is>
          <t xml:space="preserve">31389 </t>
        </is>
      </c>
      <c r="E2555" s="1" t="inlineStr">
        <is>
          <t xml:space="preserve">29235712       </t>
        </is>
      </c>
      <c r="F2555" s="5" t="inlineStr">
        <is>
          <t>TEAMSTERZ DISPARADOR DINOSAURIO INCL. 1 AUTO</t>
        </is>
      </c>
      <c r="G2555" t="n">
        <v>1</v>
      </c>
      <c r="H2555" s="7" t="n">
        <v>12.9</v>
      </c>
      <c r="I2555" s="7" t="n">
        <v>0</v>
      </c>
      <c r="J2555" s="7" t="n">
        <v>0</v>
      </c>
      <c r="K2555" s="9" t="n">
        <v>0</v>
      </c>
      <c r="L2555" s="10" t="n">
        <v>7.65</v>
      </c>
      <c r="M2555" s="10" t="n">
        <v>1.43</v>
      </c>
      <c r="N2555" t="inlineStr">
        <is>
          <t>1</t>
        </is>
      </c>
      <c r="O2555" t="inlineStr">
        <is>
          <t xml:space="preserve">6 </t>
        </is>
      </c>
      <c r="P2555" t="inlineStr">
        <is>
          <t xml:space="preserve">248131  </t>
        </is>
      </c>
      <c r="Q2555" s="26" t="n">
        <v>29.9</v>
      </c>
      <c r="R2555" s="26">
        <f>Q2555*G2555</f>
        <v/>
      </c>
      <c r="S2555" t="n">
        <v>17.74</v>
      </c>
      <c r="T2555" s="18">
        <f>1 - V2555/S2555</f>
        <v/>
      </c>
      <c r="U2555" s="18" t="n">
        <v>0.568561872909699</v>
      </c>
      <c r="V2555" s="26" t="n">
        <v>9.29271186440678</v>
      </c>
      <c r="W2555" s="26">
        <f>V2555 - L2555</f>
        <v/>
      </c>
    </row>
    <row r="2556">
      <c r="A2556" s="11" t="n">
        <v>46228</v>
      </c>
      <c r="B2556" s="1" t="n">
        <v>20077</v>
      </c>
      <c r="C2556" s="1" t="inlineStr">
        <is>
          <t>011</t>
        </is>
      </c>
      <c r="D2556" s="1" t="inlineStr">
        <is>
          <t xml:space="preserve">85556 </t>
        </is>
      </c>
      <c r="E2556" s="1" t="inlineStr">
        <is>
          <t xml:space="preserve">34840551       </t>
        </is>
      </c>
      <c r="F2556" s="5" t="inlineStr">
        <is>
          <t>TMZ HELI BOMBERO CON LUCES Y SONIDOS</t>
        </is>
      </c>
      <c r="G2556" t="n">
        <v>1</v>
      </c>
      <c r="H2556" s="7" t="n">
        <v>79.90000000000001</v>
      </c>
      <c r="I2556" s="7" t="n">
        <v>0</v>
      </c>
      <c r="J2556" s="7" t="n">
        <v>0</v>
      </c>
      <c r="K2556" s="9" t="n">
        <v>0</v>
      </c>
      <c r="L2556" s="10" t="n">
        <v>47.4</v>
      </c>
      <c r="M2556" s="10" t="n">
        <v>1.43</v>
      </c>
      <c r="N2556" t="inlineStr">
        <is>
          <t>1</t>
        </is>
      </c>
      <c r="O2556" t="inlineStr">
        <is>
          <t xml:space="preserve">2 </t>
        </is>
      </c>
      <c r="P2556" t="inlineStr">
        <is>
          <t xml:space="preserve">62762   </t>
        </is>
      </c>
      <c r="Q2556" s="26" t="n">
        <v>79.90000000000002</v>
      </c>
      <c r="R2556" s="26">
        <f>Q2556*G2556</f>
        <v/>
      </c>
      <c r="S2556" t="n">
        <v>47.4</v>
      </c>
      <c r="T2556" s="18">
        <f>1 - V2556/S2556</f>
        <v/>
      </c>
      <c r="U2556" s="18" t="n">
        <v>0</v>
      </c>
      <c r="V2556" s="26" t="n">
        <v>47.4</v>
      </c>
      <c r="W2556" s="26">
        <f>V2556 - L2556</f>
        <v/>
      </c>
    </row>
    <row r="2557">
      <c r="A2557" s="11" t="n">
        <v>46228</v>
      </c>
      <c r="B2557" s="1" t="n">
        <v>20077</v>
      </c>
      <c r="C2557" s="1" t="inlineStr">
        <is>
          <t>016</t>
        </is>
      </c>
      <c r="D2557" s="1" t="inlineStr">
        <is>
          <t>123281</t>
        </is>
      </c>
      <c r="E2557" s="1" t="inlineStr">
        <is>
          <t xml:space="preserve">31754676       </t>
        </is>
      </c>
      <c r="F2557" s="5" t="inlineStr">
        <is>
          <t>INFINITY NADO SERIE 6 STD PACK LANZ ESPAD ANILLO M</t>
        </is>
      </c>
      <c r="G2557" t="n">
        <v>1</v>
      </c>
      <c r="H2557" s="7" t="n">
        <v>59.9</v>
      </c>
      <c r="I2557" s="7" t="n">
        <v>5.99</v>
      </c>
      <c r="J2557" s="7" t="n">
        <v>0</v>
      </c>
      <c r="K2557" s="9" t="n">
        <v>5.99</v>
      </c>
      <c r="L2557" s="10" t="n">
        <v>31.98</v>
      </c>
      <c r="M2557" s="10" t="n">
        <v>1.43</v>
      </c>
      <c r="N2557" t="inlineStr">
        <is>
          <t>1</t>
        </is>
      </c>
      <c r="O2557" t="inlineStr">
        <is>
          <t xml:space="preserve">3 </t>
        </is>
      </c>
      <c r="P2557" t="inlineStr">
        <is>
          <t xml:space="preserve">70656   </t>
        </is>
      </c>
      <c r="Q2557" s="26" t="n">
        <v>79.90000000000001</v>
      </c>
      <c r="R2557" s="26">
        <f>Q2557*G2557</f>
        <v/>
      </c>
      <c r="S2557" t="n">
        <v>47.4</v>
      </c>
      <c r="T2557" s="18">
        <f>1 - V2557/S2557</f>
        <v/>
      </c>
      <c r="U2557" s="18" t="n">
        <v>0.2503128911138924</v>
      </c>
      <c r="V2557" s="26" t="n">
        <v>38.07203389830509</v>
      </c>
      <c r="W2557" s="26">
        <f>V2557 - L2557</f>
        <v/>
      </c>
    </row>
    <row r="2558">
      <c r="A2558" s="11" t="n">
        <v>46228</v>
      </c>
      <c r="B2558" s="1" t="n">
        <v>20077</v>
      </c>
      <c r="C2558" s="1" t="inlineStr">
        <is>
          <t>016</t>
        </is>
      </c>
      <c r="D2558" s="1" t="inlineStr">
        <is>
          <t>123291</t>
        </is>
      </c>
      <c r="E2558" s="1" t="inlineStr">
        <is>
          <t xml:space="preserve">33483123       </t>
        </is>
      </c>
      <c r="F2558" s="5" t="inlineStr">
        <is>
          <t>NENUCO DISFRACES</t>
        </is>
      </c>
      <c r="G2558" t="n">
        <v>1</v>
      </c>
      <c r="H2558" s="7" t="n">
        <v>69.90000000000001</v>
      </c>
      <c r="I2558" s="7" t="n">
        <v>0</v>
      </c>
      <c r="J2558" s="7" t="n">
        <v>0</v>
      </c>
      <c r="K2558" s="9" t="n">
        <v>0</v>
      </c>
      <c r="L2558" s="10" t="n">
        <v>41.47</v>
      </c>
      <c r="M2558" s="10" t="n">
        <v>1.43</v>
      </c>
      <c r="N2558" t="inlineStr">
        <is>
          <t>1</t>
        </is>
      </c>
      <c r="O2558" t="inlineStr">
        <is>
          <t>16</t>
        </is>
      </c>
      <c r="P2558" t="inlineStr">
        <is>
          <t xml:space="preserve">70656   </t>
        </is>
      </c>
      <c r="Q2558" s="26" t="n">
        <v>89.90000000000001</v>
      </c>
      <c r="R2558" s="26">
        <f>Q2558*G2558</f>
        <v/>
      </c>
      <c r="S2558" t="n">
        <v>53.33</v>
      </c>
      <c r="T2558" s="18">
        <f>1 - V2558/S2558</f>
        <v/>
      </c>
      <c r="U2558" s="18" t="n">
        <v>0.2224694104560623</v>
      </c>
      <c r="V2558" s="26" t="n">
        <v>44.42796610169492</v>
      </c>
      <c r="W2558" s="26">
        <f>V2558 - L2558</f>
        <v/>
      </c>
    </row>
    <row r="2559">
      <c r="A2559" s="11" t="n">
        <v>46228</v>
      </c>
      <c r="B2559" s="1" t="n">
        <v>20077</v>
      </c>
      <c r="C2559" s="1" t="inlineStr">
        <is>
          <t>029</t>
        </is>
      </c>
      <c r="D2559" s="1" t="inlineStr">
        <is>
          <t>156950</t>
        </is>
      </c>
      <c r="E2559" s="1" t="inlineStr">
        <is>
          <t xml:space="preserve">28194781       </t>
        </is>
      </c>
      <c r="F2559" s="5" t="inlineStr">
        <is>
          <t>TROMPO BATALLA INFINITY NADO SERIE V CLASICA SURTI</t>
        </is>
      </c>
      <c r="G2559" t="n">
        <v>1</v>
      </c>
      <c r="H2559" s="7" t="n">
        <v>39.9</v>
      </c>
      <c r="I2559" s="7" t="n">
        <v>3.99</v>
      </c>
      <c r="J2559" s="7" t="n">
        <v>0</v>
      </c>
      <c r="K2559" s="9" t="n">
        <v>3.99</v>
      </c>
      <c r="L2559" s="10" t="n">
        <v>21.3</v>
      </c>
      <c r="M2559" s="10" t="n">
        <v>1.43</v>
      </c>
      <c r="N2559" t="inlineStr">
        <is>
          <t>1</t>
        </is>
      </c>
      <c r="O2559" t="inlineStr">
        <is>
          <t xml:space="preserve">3 </t>
        </is>
      </c>
      <c r="P2559" t="inlineStr">
        <is>
          <t xml:space="preserve">244089  </t>
        </is>
      </c>
      <c r="Q2559" s="26" t="n">
        <v>59.9</v>
      </c>
      <c r="R2559" s="26">
        <f>Q2559*G2559</f>
        <v/>
      </c>
      <c r="S2559" t="n">
        <v>35.53</v>
      </c>
      <c r="T2559" s="18">
        <f>1 - V2559/S2559</f>
        <v/>
      </c>
      <c r="U2559" s="18" t="n">
        <v>0.333889816360601</v>
      </c>
      <c r="V2559" s="26" t="n">
        <v>25.36016949152542</v>
      </c>
      <c r="W2559" s="26">
        <f>V2559 - L2559</f>
        <v/>
      </c>
    </row>
    <row r="2560">
      <c r="A2560" s="11" t="n">
        <v>46228</v>
      </c>
      <c r="B2560" s="1" t="n">
        <v>20078</v>
      </c>
      <c r="C2560" s="1" t="inlineStr">
        <is>
          <t>516</t>
        </is>
      </c>
      <c r="D2560" s="1" t="inlineStr">
        <is>
          <t xml:space="preserve">2434  </t>
        </is>
      </c>
      <c r="E2560" s="1" t="inlineStr">
        <is>
          <t xml:space="preserve">31675353       </t>
        </is>
      </c>
      <c r="F2560" s="5" t="inlineStr">
        <is>
          <t>NENUCO CON BIBERON Y SONAJERO</t>
        </is>
      </c>
      <c r="G2560" t="n">
        <v>1</v>
      </c>
      <c r="H2560" s="7" t="n">
        <v>59.9</v>
      </c>
      <c r="I2560" s="7" t="n">
        <v>0</v>
      </c>
      <c r="J2560" s="7" t="n">
        <v>0</v>
      </c>
      <c r="K2560" s="9" t="n">
        <v>0</v>
      </c>
      <c r="L2560" s="10" t="n">
        <v>35.53</v>
      </c>
      <c r="M2560" s="10" t="n">
        <v>1.43</v>
      </c>
      <c r="N2560" t="inlineStr">
        <is>
          <t>1</t>
        </is>
      </c>
      <c r="O2560" t="inlineStr">
        <is>
          <t>16</t>
        </is>
      </c>
      <c r="P2560" t="inlineStr">
        <is>
          <t xml:space="preserve">247008  </t>
        </is>
      </c>
      <c r="Q2560" s="26" t="n">
        <v>79.90000000000001</v>
      </c>
      <c r="R2560" s="26">
        <f>Q2560*G2560</f>
        <v/>
      </c>
      <c r="S2560" t="n">
        <v>47.4</v>
      </c>
      <c r="T2560" s="18">
        <f>1 - V2560/S2560</f>
        <v/>
      </c>
      <c r="U2560" s="18" t="n">
        <v>0.2503128911138924</v>
      </c>
      <c r="V2560" s="26" t="n">
        <v>38.07203389830509</v>
      </c>
      <c r="W2560" s="26">
        <f>V2560 - L2560</f>
        <v/>
      </c>
    </row>
    <row r="2561">
      <c r="A2561" s="11" t="n">
        <v>46228</v>
      </c>
      <c r="B2561" s="1" t="n">
        <v>20079</v>
      </c>
      <c r="C2561" s="1" t="inlineStr">
        <is>
          <t>045</t>
        </is>
      </c>
      <c r="D2561" s="1" t="inlineStr">
        <is>
          <t>333428</t>
        </is>
      </c>
      <c r="E2561" s="1" t="inlineStr">
        <is>
          <t xml:space="preserve">34840550       </t>
        </is>
      </c>
      <c r="F2561" s="5" t="inlineStr">
        <is>
          <t>TEAMSTERZ M/MOVERZ TRANSPORTA GORILA</t>
        </is>
      </c>
      <c r="G2561" t="n">
        <v>1</v>
      </c>
      <c r="H2561" s="7" t="n">
        <v>129</v>
      </c>
      <c r="I2561" s="7" t="n">
        <v>0</v>
      </c>
      <c r="J2561" s="7" t="n">
        <v>0</v>
      </c>
      <c r="K2561" s="9" t="n">
        <v>0</v>
      </c>
      <c r="L2561" s="10" t="n">
        <v>76.52</v>
      </c>
      <c r="M2561" s="10" t="n">
        <v>1.43</v>
      </c>
      <c r="N2561" t="inlineStr">
        <is>
          <t>1</t>
        </is>
      </c>
      <c r="O2561" t="inlineStr">
        <is>
          <t>16</t>
        </is>
      </c>
      <c r="P2561" t="inlineStr">
        <is>
          <t xml:space="preserve">45006   </t>
        </is>
      </c>
      <c r="Q2561" s="26" t="n">
        <v>129</v>
      </c>
      <c r="R2561" s="26">
        <f>Q2561*G2561</f>
        <v/>
      </c>
      <c r="S2561" t="n">
        <v>76.53</v>
      </c>
      <c r="T2561" s="18">
        <f>1 - V2561/S2561</f>
        <v/>
      </c>
      <c r="U2561" s="18" t="n">
        <v>0</v>
      </c>
      <c r="V2561" s="26" t="n">
        <v>76.53</v>
      </c>
      <c r="W2561" s="26">
        <f>V2561 - L2561</f>
        <v/>
      </c>
    </row>
    <row r="2562">
      <c r="A2562" s="11" t="n">
        <v>46228</v>
      </c>
      <c r="B2562" s="1" t="n">
        <v>20079</v>
      </c>
      <c r="C2562" s="1" t="inlineStr">
        <is>
          <t>051</t>
        </is>
      </c>
      <c r="D2562" s="1" t="inlineStr">
        <is>
          <t>236974</t>
        </is>
      </c>
      <c r="E2562" s="1" t="inlineStr">
        <is>
          <t xml:space="preserve">32457099       </t>
        </is>
      </c>
      <c r="F2562" s="5" t="inlineStr">
        <is>
          <t>TMZ BEAST MACHINES MONSTER JAWS A FRICCION BLISTER</t>
        </is>
      </c>
      <c r="G2562" t="n">
        <v>1</v>
      </c>
      <c r="H2562" s="7" t="n">
        <v>17.9</v>
      </c>
      <c r="I2562" s="7" t="n">
        <v>0</v>
      </c>
      <c r="J2562" s="7" t="n">
        <v>0</v>
      </c>
      <c r="K2562" s="9" t="n">
        <v>0</v>
      </c>
      <c r="L2562" s="10" t="n">
        <v>10.62</v>
      </c>
      <c r="M2562" s="10" t="n">
        <v>1.43</v>
      </c>
      <c r="N2562" t="inlineStr">
        <is>
          <t>1</t>
        </is>
      </c>
      <c r="O2562" t="inlineStr">
        <is>
          <t>16</t>
        </is>
      </c>
      <c r="P2562" t="inlineStr">
        <is>
          <t xml:space="preserve">57836   </t>
        </is>
      </c>
      <c r="Q2562" s="26" t="n">
        <v>19.9</v>
      </c>
      <c r="R2562" s="26">
        <f>Q2562*G2562</f>
        <v/>
      </c>
      <c r="S2562" t="n">
        <v>11.81</v>
      </c>
      <c r="T2562" s="18">
        <f>1 - V2562/S2562</f>
        <v/>
      </c>
      <c r="U2562" s="18" t="n">
        <v>0.1005025125628141</v>
      </c>
      <c r="V2562" s="26" t="n">
        <v>8.417118644067797</v>
      </c>
      <c r="W2562" s="26">
        <f>V2562 - L2562</f>
        <v/>
      </c>
    </row>
    <row r="2563">
      <c r="A2563" s="11" t="n">
        <v>46228</v>
      </c>
      <c r="B2563" s="1" t="n">
        <v>20079</v>
      </c>
      <c r="C2563" s="1" t="inlineStr">
        <is>
          <t>051</t>
        </is>
      </c>
      <c r="D2563" s="1" t="inlineStr">
        <is>
          <t>237002</t>
        </is>
      </c>
      <c r="E2563" s="1" t="inlineStr">
        <is>
          <t xml:space="preserve">28194784       </t>
        </is>
      </c>
      <c r="F2563" s="5" t="inlineStr">
        <is>
          <t>SET DE ACROBACIAS INFINITY NADO CON TROMPO</t>
        </is>
      </c>
      <c r="G2563" t="n">
        <v>1</v>
      </c>
      <c r="H2563" s="7" t="n">
        <v>139</v>
      </c>
      <c r="I2563" s="7" t="n">
        <v>0</v>
      </c>
      <c r="J2563" s="7" t="n">
        <v>0</v>
      </c>
      <c r="K2563" s="9" t="n">
        <v>0</v>
      </c>
      <c r="L2563" s="10" t="n">
        <v>82.45999999999999</v>
      </c>
      <c r="M2563" s="10" t="n">
        <v>1.43</v>
      </c>
      <c r="N2563" t="inlineStr">
        <is>
          <t>1</t>
        </is>
      </c>
      <c r="O2563" t="inlineStr">
        <is>
          <t>16</t>
        </is>
      </c>
      <c r="P2563" t="inlineStr">
        <is>
          <t xml:space="preserve">57836   </t>
        </is>
      </c>
      <c r="Q2563" s="26" t="n">
        <v>179</v>
      </c>
      <c r="R2563" s="26">
        <f>Q2563*G2563</f>
        <v/>
      </c>
      <c r="S2563" t="n">
        <v>106.19</v>
      </c>
      <c r="T2563" s="18">
        <f>1 - V2563/S2563</f>
        <v/>
      </c>
      <c r="U2563" s="18" t="n">
        <v>0.223463687150838</v>
      </c>
      <c r="V2563" s="26" t="n">
        <v>88.34745762711864</v>
      </c>
      <c r="W2563" s="26">
        <f>V2563 - L2563</f>
        <v/>
      </c>
    </row>
    <row r="2564">
      <c r="A2564" s="11" t="n">
        <v>46228</v>
      </c>
      <c r="B2564" s="1" t="n">
        <v>20079</v>
      </c>
      <c r="C2564" s="1" t="inlineStr">
        <is>
          <t>051</t>
        </is>
      </c>
      <c r="D2564" s="1" t="inlineStr">
        <is>
          <t>237002</t>
        </is>
      </c>
      <c r="E2564" s="1" t="inlineStr">
        <is>
          <t xml:space="preserve">31754675       </t>
        </is>
      </c>
      <c r="F2564" s="5" t="inlineStr">
        <is>
          <t>INFINITY NADO SERIE 6 STARTER PACK - 4 MODELOS</t>
        </is>
      </c>
      <c r="G2564" t="n">
        <v>1</v>
      </c>
      <c r="H2564" s="7" t="n">
        <v>49.9</v>
      </c>
      <c r="I2564" s="7" t="n">
        <v>0</v>
      </c>
      <c r="J2564" s="7" t="n">
        <v>0</v>
      </c>
      <c r="K2564" s="9" t="n">
        <v>0</v>
      </c>
      <c r="L2564" s="10" t="n">
        <v>29.6</v>
      </c>
      <c r="M2564" s="10" t="n">
        <v>1.43</v>
      </c>
      <c r="N2564" t="inlineStr">
        <is>
          <t>1</t>
        </is>
      </c>
      <c r="O2564" t="inlineStr">
        <is>
          <t>16</t>
        </is>
      </c>
      <c r="P2564" t="inlineStr">
        <is>
          <t xml:space="preserve">57836   </t>
        </is>
      </c>
      <c r="Q2564" s="26" t="n">
        <v>69.90000000000001</v>
      </c>
      <c r="R2564" s="26">
        <f>Q2564*G2564</f>
        <v/>
      </c>
      <c r="S2564" t="n">
        <v>41.47</v>
      </c>
      <c r="T2564" s="18">
        <f>1 - V2564/S2564</f>
        <v/>
      </c>
      <c r="U2564" s="18" t="n">
        <v>0.2861230329041489</v>
      </c>
      <c r="V2564" s="26" t="n">
        <v>31.71610169491525</v>
      </c>
      <c r="W2564" s="26">
        <f>V2564 - L2564</f>
        <v/>
      </c>
    </row>
    <row r="2565">
      <c r="A2565" s="11" t="n">
        <v>46228</v>
      </c>
      <c r="B2565" s="1" t="n">
        <v>20079</v>
      </c>
      <c r="C2565" s="1" t="inlineStr">
        <is>
          <t>051</t>
        </is>
      </c>
      <c r="D2565" s="1" t="inlineStr">
        <is>
          <t>237089</t>
        </is>
      </c>
      <c r="E2565" s="1" t="inlineStr">
        <is>
          <t xml:space="preserve">28194769       </t>
        </is>
      </c>
      <c r="F2565" s="5" t="inlineStr">
        <is>
          <t>AUTOS DE METAL 3 TEAMSTERZ PACK DE 2</t>
        </is>
      </c>
      <c r="G2565" t="n">
        <v>1</v>
      </c>
      <c r="H2565" s="7" t="n">
        <v>13.8</v>
      </c>
      <c r="I2565" s="7" t="n">
        <v>0</v>
      </c>
      <c r="J2565" s="7" t="n">
        <v>0</v>
      </c>
      <c r="K2565" s="9" t="n">
        <v>0</v>
      </c>
      <c r="L2565" s="10" t="n">
        <v>8.18</v>
      </c>
      <c r="M2565" s="10" t="n">
        <v>1.43</v>
      </c>
      <c r="N2565" t="inlineStr">
        <is>
          <t>1</t>
        </is>
      </c>
      <c r="O2565" t="inlineStr">
        <is>
          <t xml:space="preserve">2 </t>
        </is>
      </c>
      <c r="P2565" t="inlineStr">
        <is>
          <t xml:space="preserve">57836   </t>
        </is>
      </c>
      <c r="Q2565" s="26" t="n">
        <v>13.8</v>
      </c>
      <c r="R2565" s="26">
        <f>Q2565*G2565</f>
        <v/>
      </c>
      <c r="S2565" t="n">
        <v>8.19</v>
      </c>
      <c r="T2565" s="18">
        <f>1 - V2565/S2565</f>
        <v/>
      </c>
      <c r="U2565" s="18" t="n">
        <v>0</v>
      </c>
      <c r="V2565" s="26" t="n">
        <v>8.19</v>
      </c>
      <c r="W2565" s="26">
        <f>V2565 - L2565</f>
        <v/>
      </c>
    </row>
    <row r="2566">
      <c r="A2566" s="11" t="n">
        <v>46228</v>
      </c>
      <c r="B2566" s="1" t="n">
        <v>20080</v>
      </c>
      <c r="C2566" s="1" t="inlineStr">
        <is>
          <t>026</t>
        </is>
      </c>
      <c r="D2566" s="1" t="inlineStr">
        <is>
          <t>209456</t>
        </is>
      </c>
      <c r="E2566" s="1" t="inlineStr">
        <is>
          <t xml:space="preserve">32656416       </t>
        </is>
      </c>
      <c r="F2566" s="5" t="inlineStr">
        <is>
          <t>EL PISO ES LAVA</t>
        </is>
      </c>
      <c r="G2566" t="n">
        <v>1</v>
      </c>
      <c r="H2566" s="7" t="n">
        <v>34.9</v>
      </c>
      <c r="I2566" s="7" t="n">
        <v>0</v>
      </c>
      <c r="J2566" s="7" t="n">
        <v>0</v>
      </c>
      <c r="K2566" s="9" t="n">
        <v>0</v>
      </c>
      <c r="L2566" s="10" t="n">
        <v>20.71</v>
      </c>
      <c r="M2566" s="10" t="n">
        <v>1.43</v>
      </c>
      <c r="N2566" t="inlineStr">
        <is>
          <t>1</t>
        </is>
      </c>
      <c r="O2566" t="inlineStr">
        <is>
          <t>16</t>
        </is>
      </c>
      <c r="P2566" t="inlineStr">
        <is>
          <t xml:space="preserve">79951   </t>
        </is>
      </c>
      <c r="Q2566" s="26" t="n">
        <v>79.90000000000001</v>
      </c>
      <c r="R2566" s="26">
        <f>Q2566*G2566</f>
        <v/>
      </c>
      <c r="S2566" t="n">
        <v>47.4</v>
      </c>
      <c r="T2566" s="18">
        <f>1 - V2566/S2566</f>
        <v/>
      </c>
      <c r="U2566" s="18" t="n">
        <v>0.5632040050062579</v>
      </c>
      <c r="V2566" s="26" t="n">
        <v>28.10169491525424</v>
      </c>
      <c r="W2566" s="26">
        <f>V2566 - L2566</f>
        <v/>
      </c>
    </row>
    <row r="2567">
      <c r="A2567" s="11" t="n">
        <v>46228</v>
      </c>
      <c r="B2567" s="1" t="n">
        <v>20080</v>
      </c>
      <c r="C2567" s="1" t="inlineStr">
        <is>
          <t>026</t>
        </is>
      </c>
      <c r="D2567" s="1" t="inlineStr">
        <is>
          <t>209517</t>
        </is>
      </c>
      <c r="E2567" s="1" t="inlineStr">
        <is>
          <t xml:space="preserve">32656523       </t>
        </is>
      </c>
      <c r="F2567" s="5" t="inlineStr">
        <is>
          <t>TMZ BEAST MACHINES TRANSPORT. T-REX ELECTR. + ACCE</t>
        </is>
      </c>
      <c r="G2567" t="n">
        <v>1</v>
      </c>
      <c r="H2567" s="7" t="n">
        <v>179</v>
      </c>
      <c r="I2567" s="7" t="n">
        <v>0</v>
      </c>
      <c r="J2567" s="7" t="n">
        <v>0</v>
      </c>
      <c r="K2567" s="9" t="n">
        <v>0</v>
      </c>
      <c r="L2567" s="10" t="n">
        <v>106.18</v>
      </c>
      <c r="M2567" s="10" t="n">
        <v>1.43</v>
      </c>
      <c r="N2567" t="inlineStr">
        <is>
          <t>1</t>
        </is>
      </c>
      <c r="O2567" t="inlineStr">
        <is>
          <t>16</t>
        </is>
      </c>
      <c r="P2567" t="inlineStr">
        <is>
          <t xml:space="preserve">79951   </t>
        </is>
      </c>
      <c r="Q2567" s="26" t="n">
        <v>179</v>
      </c>
      <c r="R2567" s="26">
        <f>Q2567*G2567</f>
        <v/>
      </c>
      <c r="S2567" t="n">
        <v>106.19</v>
      </c>
      <c r="T2567" s="18">
        <f>1 - V2567/S2567</f>
        <v/>
      </c>
      <c r="U2567" s="18" t="n">
        <v>0</v>
      </c>
      <c r="V2567" s="26" t="n">
        <v>106.19</v>
      </c>
      <c r="W2567" s="26">
        <f>V2567 - L2567</f>
        <v/>
      </c>
    </row>
    <row r="2568">
      <c r="A2568" s="11" t="n">
        <v>46228</v>
      </c>
      <c r="B2568" s="1" t="n">
        <v>20080</v>
      </c>
      <c r="C2568" s="1" t="inlineStr">
        <is>
          <t>029</t>
        </is>
      </c>
      <c r="D2568" s="1" t="inlineStr">
        <is>
          <t>226311</t>
        </is>
      </c>
      <c r="E2568" s="1" t="inlineStr">
        <is>
          <t xml:space="preserve">28194769       </t>
        </is>
      </c>
      <c r="F2568" s="5" t="inlineStr">
        <is>
          <t>AUTOS DE METAL 3 TEAMSTERZ PACK DE 2</t>
        </is>
      </c>
      <c r="G2568" t="n">
        <v>1</v>
      </c>
      <c r="H2568" s="7" t="n">
        <v>13.8</v>
      </c>
      <c r="I2568" s="7" t="n">
        <v>0</v>
      </c>
      <c r="J2568" s="7" t="n">
        <v>0</v>
      </c>
      <c r="K2568" s="9" t="n">
        <v>0</v>
      </c>
      <c r="L2568" s="10" t="n">
        <v>8.18</v>
      </c>
      <c r="M2568" s="10" t="n">
        <v>1.43</v>
      </c>
      <c r="N2568" t="inlineStr">
        <is>
          <t>1</t>
        </is>
      </c>
      <c r="O2568" t="inlineStr">
        <is>
          <t xml:space="preserve">2 </t>
        </is>
      </c>
      <c r="P2568" t="inlineStr">
        <is>
          <t xml:space="preserve">66621   </t>
        </is>
      </c>
      <c r="Q2568" s="26" t="n">
        <v>13.8</v>
      </c>
      <c r="R2568" s="26">
        <f>Q2568*G2568</f>
        <v/>
      </c>
      <c r="S2568" t="n">
        <v>8.19</v>
      </c>
      <c r="T2568" s="18">
        <f>1 - V2568/S2568</f>
        <v/>
      </c>
      <c r="U2568" s="18" t="n">
        <v>0</v>
      </c>
      <c r="V2568" s="26" t="n">
        <v>8.19</v>
      </c>
      <c r="W2568" s="26">
        <f>V2568 - L2568</f>
        <v/>
      </c>
    </row>
    <row r="2569">
      <c r="A2569" s="11" t="n">
        <v>46228</v>
      </c>
      <c r="B2569" s="1" t="n">
        <v>20080</v>
      </c>
      <c r="C2569" s="1" t="inlineStr">
        <is>
          <t>029</t>
        </is>
      </c>
      <c r="D2569" s="1" t="inlineStr">
        <is>
          <t>226320</t>
        </is>
      </c>
      <c r="E2569" s="1" t="inlineStr">
        <is>
          <t xml:space="preserve">34840526       </t>
        </is>
      </c>
      <c r="F2569" s="5" t="inlineStr">
        <is>
          <t>NENUCO ABRACITOS</t>
        </is>
      </c>
      <c r="G2569" t="n">
        <v>1</v>
      </c>
      <c r="H2569" s="7" t="n">
        <v>89.90000000000001</v>
      </c>
      <c r="I2569" s="7" t="n">
        <v>8.99</v>
      </c>
      <c r="J2569" s="7" t="n">
        <v>0</v>
      </c>
      <c r="K2569" s="9" t="n">
        <v>8.99</v>
      </c>
      <c r="L2569" s="10" t="n">
        <v>48</v>
      </c>
      <c r="M2569" s="10" t="n">
        <v>1.43</v>
      </c>
      <c r="N2569" t="inlineStr">
        <is>
          <t>1</t>
        </is>
      </c>
      <c r="O2569" t="inlineStr">
        <is>
          <t xml:space="preserve">3 </t>
        </is>
      </c>
      <c r="P2569" t="inlineStr">
        <is>
          <t xml:space="preserve">66621   </t>
        </is>
      </c>
      <c r="Q2569" s="26" t="n">
        <v>119</v>
      </c>
      <c r="R2569" s="26">
        <f>Q2569*G2569</f>
        <v/>
      </c>
      <c r="S2569" t="n">
        <v>70.59</v>
      </c>
      <c r="T2569" s="18">
        <f>1 - V2569/S2569</f>
        <v/>
      </c>
      <c r="U2569" s="18" t="n">
        <v>0.2445378151260503</v>
      </c>
      <c r="V2569" s="26" t="n">
        <v>60.94915254237289</v>
      </c>
      <c r="W2569" s="26">
        <f>V2569 - L2569</f>
        <v/>
      </c>
    </row>
    <row r="2570">
      <c r="A2570" s="11" t="n">
        <v>46228</v>
      </c>
      <c r="B2570" s="1" t="n">
        <v>20080</v>
      </c>
      <c r="C2570" s="1" t="inlineStr">
        <is>
          <t>029</t>
        </is>
      </c>
      <c r="D2570" s="1" t="inlineStr">
        <is>
          <t>226332</t>
        </is>
      </c>
      <c r="E2570" s="1" t="inlineStr">
        <is>
          <t xml:space="preserve">28194769       </t>
        </is>
      </c>
      <c r="F2570" s="5" t="inlineStr">
        <is>
          <t>AUTOS DE METAL 3 TEAMSTERZ PACK DE 2</t>
        </is>
      </c>
      <c r="G2570" t="n">
        <v>1</v>
      </c>
      <c r="H2570" s="7" t="n">
        <v>13.8</v>
      </c>
      <c r="I2570" s="7" t="n">
        <v>0</v>
      </c>
      <c r="J2570" s="7" t="n">
        <v>0</v>
      </c>
      <c r="K2570" s="9" t="n">
        <v>0</v>
      </c>
      <c r="L2570" s="10" t="n">
        <v>8.18</v>
      </c>
      <c r="M2570" s="10" t="n">
        <v>1.43</v>
      </c>
      <c r="N2570" t="inlineStr">
        <is>
          <t>1</t>
        </is>
      </c>
      <c r="O2570" t="inlineStr">
        <is>
          <t xml:space="preserve">2 </t>
        </is>
      </c>
      <c r="P2570" t="inlineStr">
        <is>
          <t xml:space="preserve">66621   </t>
        </is>
      </c>
      <c r="Q2570" s="26" t="n">
        <v>13.8</v>
      </c>
      <c r="R2570" s="26">
        <f>Q2570*G2570</f>
        <v/>
      </c>
      <c r="S2570" t="n">
        <v>8.19</v>
      </c>
      <c r="T2570" s="18">
        <f>1 - V2570/S2570</f>
        <v/>
      </c>
      <c r="U2570" s="18" t="n">
        <v>0</v>
      </c>
      <c r="V2570" s="26" t="n">
        <v>8.19</v>
      </c>
      <c r="W2570" s="26">
        <f>V2570 - L2570</f>
        <v/>
      </c>
    </row>
    <row r="2571">
      <c r="A2571" s="11" t="n">
        <v>46228</v>
      </c>
      <c r="B2571" s="1" t="n">
        <v>20086</v>
      </c>
      <c r="C2571" s="1" t="inlineStr">
        <is>
          <t>014</t>
        </is>
      </c>
      <c r="D2571" s="1" t="inlineStr">
        <is>
          <t>127513</t>
        </is>
      </c>
      <c r="E2571" s="1" t="inlineStr">
        <is>
          <t xml:space="preserve">28194770       </t>
        </is>
      </c>
      <c r="F2571" s="5" t="inlineStr">
        <is>
          <t>AUTOS DE METAL 3 TEAMSTERZ EN BLISTER</t>
        </is>
      </c>
      <c r="G2571" t="n">
        <v>1</v>
      </c>
      <c r="H2571" s="7" t="n">
        <v>6.9</v>
      </c>
      <c r="I2571" s="7" t="n">
        <v>0</v>
      </c>
      <c r="J2571" s="7" t="n">
        <v>0</v>
      </c>
      <c r="K2571" s="9" t="n">
        <v>0</v>
      </c>
      <c r="L2571" s="10" t="n">
        <v>4.1</v>
      </c>
      <c r="M2571" s="10" t="n">
        <v>1.43</v>
      </c>
      <c r="N2571" t="inlineStr">
        <is>
          <t>1</t>
        </is>
      </c>
      <c r="O2571" t="inlineStr">
        <is>
          <t xml:space="preserve">2 </t>
        </is>
      </c>
      <c r="P2571" t="inlineStr">
        <is>
          <t xml:space="preserve">250782  </t>
        </is>
      </c>
      <c r="Q2571" s="26" t="n">
        <v>6.9</v>
      </c>
      <c r="R2571" s="26">
        <f>Q2571*G2571</f>
        <v/>
      </c>
      <c r="S2571" t="n">
        <v>4.09</v>
      </c>
      <c r="T2571" s="18">
        <f>1 - V2571/S2571</f>
        <v/>
      </c>
      <c r="U2571" s="18" t="n">
        <v>0</v>
      </c>
      <c r="V2571" s="26" t="n">
        <v>4.09</v>
      </c>
      <c r="W2571" s="26">
        <f>V2571 - L2571</f>
        <v/>
      </c>
    </row>
    <row r="2572">
      <c r="A2572" s="11" t="n">
        <v>46228</v>
      </c>
      <c r="B2572" s="1" t="n">
        <v>20086</v>
      </c>
      <c r="C2572" s="1" t="inlineStr">
        <is>
          <t>192</t>
        </is>
      </c>
      <c r="D2572" s="1" t="inlineStr">
        <is>
          <t>129282</t>
        </is>
      </c>
      <c r="E2572" s="1" t="inlineStr">
        <is>
          <t xml:space="preserve">32457120       </t>
        </is>
      </c>
      <c r="F2572" s="5" t="inlineStr">
        <is>
          <t>MUNECA STEFFI LOVE PEINADO DE PERLAS + ACCESS.</t>
        </is>
      </c>
      <c r="G2572" t="n">
        <v>1</v>
      </c>
      <c r="H2572" s="7" t="n">
        <v>41.94</v>
      </c>
      <c r="I2572" s="7" t="n">
        <v>0</v>
      </c>
      <c r="J2572" s="7" t="n">
        <v>0</v>
      </c>
      <c r="K2572" s="9" t="n">
        <v>0</v>
      </c>
      <c r="L2572" s="10" t="n">
        <v>24.88</v>
      </c>
      <c r="M2572" s="10" t="n">
        <v>1.43</v>
      </c>
      <c r="N2572" t="inlineStr">
        <is>
          <t>1</t>
        </is>
      </c>
      <c r="O2572" t="inlineStr">
        <is>
          <t>16</t>
        </is>
      </c>
      <c r="P2572" t="inlineStr">
        <is>
          <t xml:space="preserve">74697   </t>
        </is>
      </c>
      <c r="Q2572" s="26" t="n">
        <v>69.90000000000001</v>
      </c>
      <c r="R2572" s="26">
        <f>Q2572*G2572</f>
        <v/>
      </c>
      <c r="S2572" t="n">
        <v>41.47</v>
      </c>
      <c r="T2572" s="18">
        <f>1 - V2572/S2572</f>
        <v/>
      </c>
      <c r="U2572" s="18" t="n">
        <v>0.4</v>
      </c>
      <c r="V2572" s="26" t="n">
        <v>30.2206779661017</v>
      </c>
      <c r="W2572" s="26">
        <f>V2572 - L2572</f>
        <v/>
      </c>
    </row>
    <row r="2573">
      <c r="A2573" s="11" t="n">
        <v>46228</v>
      </c>
      <c r="B2573" s="1" t="n">
        <v>20086</v>
      </c>
      <c r="C2573" s="1" t="inlineStr">
        <is>
          <t>192</t>
        </is>
      </c>
      <c r="D2573" s="1" t="inlineStr">
        <is>
          <t>129309</t>
        </is>
      </c>
      <c r="E2573" s="1" t="inlineStr">
        <is>
          <t xml:space="preserve">28194770       </t>
        </is>
      </c>
      <c r="F2573" s="5" t="inlineStr">
        <is>
          <t>AUTOS DE METAL 3 TEAMSTERZ EN BLISTER</t>
        </is>
      </c>
      <c r="G2573" t="n">
        <v>1</v>
      </c>
      <c r="H2573" s="7" t="n">
        <v>6.9</v>
      </c>
      <c r="I2573" s="7" t="n">
        <v>0.6899999999999999</v>
      </c>
      <c r="J2573" s="7" t="n">
        <v>0</v>
      </c>
      <c r="K2573" s="9" t="n">
        <v>0.6899999999999999</v>
      </c>
      <c r="L2573" s="10" t="n">
        <v>3.68</v>
      </c>
      <c r="M2573" s="10" t="n">
        <v>1.43</v>
      </c>
      <c r="N2573" t="inlineStr">
        <is>
          <t>1</t>
        </is>
      </c>
      <c r="O2573" t="inlineStr">
        <is>
          <t xml:space="preserve">3 </t>
        </is>
      </c>
      <c r="P2573" t="inlineStr">
        <is>
          <t xml:space="preserve">74697   </t>
        </is>
      </c>
      <c r="Q2573" s="26" t="n">
        <v>6.9</v>
      </c>
      <c r="R2573" s="26">
        <f>Q2573*G2573</f>
        <v/>
      </c>
      <c r="S2573" t="n">
        <v>4.09</v>
      </c>
      <c r="T2573" s="18">
        <f>1 - V2573/S2573</f>
        <v/>
      </c>
      <c r="U2573" s="18" t="n">
        <v>0</v>
      </c>
      <c r="V2573" s="26" t="n">
        <v>4.09</v>
      </c>
      <c r="W2573" s="26">
        <f>V2573 - L2573</f>
        <v/>
      </c>
    </row>
    <row r="2574">
      <c r="A2574" s="11" t="n">
        <v>46228</v>
      </c>
      <c r="B2574" s="1" t="n">
        <v>20086</v>
      </c>
      <c r="C2574" s="1" t="inlineStr">
        <is>
          <t>192</t>
        </is>
      </c>
      <c r="D2574" s="1" t="inlineStr">
        <is>
          <t>129330</t>
        </is>
      </c>
      <c r="E2574" s="1" t="inlineStr">
        <is>
          <t xml:space="preserve">28194770       </t>
        </is>
      </c>
      <c r="F2574" s="5" t="inlineStr">
        <is>
          <t>AUTOS DE METAL 3 TEAMSTERZ EN BLISTER</t>
        </is>
      </c>
      <c r="G2574" t="n">
        <v>1</v>
      </c>
      <c r="H2574" s="7" t="n">
        <v>6.9</v>
      </c>
      <c r="I2574" s="7" t="n">
        <v>0</v>
      </c>
      <c r="J2574" s="7" t="n">
        <v>0</v>
      </c>
      <c r="K2574" s="9" t="n">
        <v>0</v>
      </c>
      <c r="L2574" s="10" t="n">
        <v>4.1</v>
      </c>
      <c r="M2574" s="10" t="n">
        <v>1.43</v>
      </c>
      <c r="N2574" t="inlineStr">
        <is>
          <t>1</t>
        </is>
      </c>
      <c r="O2574" t="inlineStr">
        <is>
          <t xml:space="preserve">2 </t>
        </is>
      </c>
      <c r="P2574" t="inlineStr">
        <is>
          <t xml:space="preserve">74697   </t>
        </is>
      </c>
      <c r="Q2574" s="26" t="n">
        <v>6.9</v>
      </c>
      <c r="R2574" s="26">
        <f>Q2574*G2574</f>
        <v/>
      </c>
      <c r="S2574" t="n">
        <v>4.09</v>
      </c>
      <c r="T2574" s="18">
        <f>1 - V2574/S2574</f>
        <v/>
      </c>
      <c r="U2574" s="18" t="n">
        <v>0</v>
      </c>
      <c r="V2574" s="26" t="n">
        <v>4.09</v>
      </c>
      <c r="W2574" s="26">
        <f>V2574 - L2574</f>
        <v/>
      </c>
    </row>
    <row r="2575">
      <c r="A2575" s="11" t="n">
        <v>46228</v>
      </c>
      <c r="B2575" s="1" t="n">
        <v>20088</v>
      </c>
      <c r="C2575" s="1" t="inlineStr">
        <is>
          <t>022</t>
        </is>
      </c>
      <c r="D2575" s="1" t="inlineStr">
        <is>
          <t xml:space="preserve">84777 </t>
        </is>
      </c>
      <c r="E2575" s="1" t="inlineStr">
        <is>
          <t xml:space="preserve">28194769       </t>
        </is>
      </c>
      <c r="F2575" s="5" t="inlineStr">
        <is>
          <t>AUTOS DE METAL 3 TEAMSTERZ PACK DE 2</t>
        </is>
      </c>
      <c r="G2575" t="n">
        <v>1</v>
      </c>
      <c r="H2575" s="7" t="n">
        <v>13.8</v>
      </c>
      <c r="I2575" s="7" t="n">
        <v>0</v>
      </c>
      <c r="J2575" s="7" t="n">
        <v>0</v>
      </c>
      <c r="K2575" s="9" t="n">
        <v>0</v>
      </c>
      <c r="L2575" s="10" t="n">
        <v>8.18</v>
      </c>
      <c r="M2575" s="10" t="n">
        <v>1.43</v>
      </c>
      <c r="N2575" t="inlineStr">
        <is>
          <t>1</t>
        </is>
      </c>
      <c r="O2575" t="inlineStr">
        <is>
          <t>16</t>
        </is>
      </c>
      <c r="P2575" t="inlineStr">
        <is>
          <t xml:space="preserve">47248   </t>
        </is>
      </c>
      <c r="Q2575" s="26" t="n">
        <v>13.8</v>
      </c>
      <c r="R2575" s="26">
        <f>Q2575*G2575</f>
        <v/>
      </c>
      <c r="S2575" t="n">
        <v>8.19</v>
      </c>
      <c r="T2575" s="18">
        <f>1 - V2575/S2575</f>
        <v/>
      </c>
      <c r="U2575" s="18" t="n">
        <v>0</v>
      </c>
      <c r="V2575" s="26" t="n">
        <v>8.19</v>
      </c>
      <c r="W2575" s="26">
        <f>V2575 - L2575</f>
        <v/>
      </c>
    </row>
    <row r="2576">
      <c r="A2576" s="11" t="n">
        <v>46228</v>
      </c>
      <c r="B2576" s="1" t="n">
        <v>20088</v>
      </c>
      <c r="C2576" s="1" t="inlineStr">
        <is>
          <t>022</t>
        </is>
      </c>
      <c r="D2576" s="1" t="inlineStr">
        <is>
          <t xml:space="preserve">84777 </t>
        </is>
      </c>
      <c r="E2576" s="1" t="inlineStr">
        <is>
          <t xml:space="preserve">28194769       </t>
        </is>
      </c>
      <c r="F2576" s="5" t="inlineStr">
        <is>
          <t>AUTOS DE METAL 3 TEAMSTERZ PACK DE 2</t>
        </is>
      </c>
      <c r="G2576" t="n">
        <v>1</v>
      </c>
      <c r="H2576" s="7" t="n">
        <v>13.8</v>
      </c>
      <c r="I2576" s="7" t="n">
        <v>0</v>
      </c>
      <c r="J2576" s="7" t="n">
        <v>0</v>
      </c>
      <c r="K2576" s="9" t="n">
        <v>0</v>
      </c>
      <c r="L2576" s="10" t="n">
        <v>8.18</v>
      </c>
      <c r="M2576" s="10" t="n">
        <v>1.43</v>
      </c>
      <c r="N2576" t="inlineStr">
        <is>
          <t>1</t>
        </is>
      </c>
      <c r="O2576" t="inlineStr">
        <is>
          <t>16</t>
        </is>
      </c>
      <c r="P2576" t="inlineStr">
        <is>
          <t xml:space="preserve">47248   </t>
        </is>
      </c>
      <c r="Q2576" s="26" t="n">
        <v>13.8</v>
      </c>
      <c r="R2576" s="26">
        <f>Q2576*G2576</f>
        <v/>
      </c>
      <c r="S2576" t="n">
        <v>8.19</v>
      </c>
      <c r="T2576" s="18">
        <f>1 - V2576/S2576</f>
        <v/>
      </c>
      <c r="U2576" s="18" t="n">
        <v>0</v>
      </c>
      <c r="V2576" s="26" t="n">
        <v>8.19</v>
      </c>
      <c r="W2576" s="26">
        <f>V2576 - L2576</f>
        <v/>
      </c>
    </row>
    <row r="2577">
      <c r="A2577" s="11" t="n">
        <v>46228</v>
      </c>
      <c r="B2577" s="1" t="n">
        <v>20088</v>
      </c>
      <c r="C2577" s="1" t="inlineStr">
        <is>
          <t>022</t>
        </is>
      </c>
      <c r="D2577" s="1" t="inlineStr">
        <is>
          <t xml:space="preserve">84777 </t>
        </is>
      </c>
      <c r="E2577" s="1" t="inlineStr">
        <is>
          <t xml:space="preserve">30141766       </t>
        </is>
      </c>
      <c r="F2577" s="5" t="inlineStr">
        <is>
          <t>TMZ BEAST MACHINES AUTOS DE METAL BLISTER X 1</t>
        </is>
      </c>
      <c r="G2577" t="n">
        <v>1</v>
      </c>
      <c r="H2577" s="7" t="n">
        <v>7.9</v>
      </c>
      <c r="I2577" s="7" t="n">
        <v>0</v>
      </c>
      <c r="J2577" s="7" t="n">
        <v>0</v>
      </c>
      <c r="K2577" s="9" t="n">
        <v>0</v>
      </c>
      <c r="L2577" s="10" t="n">
        <v>4.68</v>
      </c>
      <c r="M2577" s="10" t="n">
        <v>1.43</v>
      </c>
      <c r="N2577" t="inlineStr">
        <is>
          <t>1</t>
        </is>
      </c>
      <c r="O2577" t="inlineStr">
        <is>
          <t>16</t>
        </is>
      </c>
      <c r="P2577" t="inlineStr">
        <is>
          <t xml:space="preserve">47248   </t>
        </is>
      </c>
      <c r="Q2577" s="26" t="n">
        <v>7.9</v>
      </c>
      <c r="R2577" s="26">
        <f>Q2577*G2577</f>
        <v/>
      </c>
      <c r="S2577" t="n">
        <v>4.69</v>
      </c>
      <c r="T2577" s="18">
        <f>1 - V2577/S2577</f>
        <v/>
      </c>
      <c r="U2577" s="18" t="n">
        <v>0</v>
      </c>
      <c r="V2577" s="26" t="n">
        <v>4.69</v>
      </c>
      <c r="W2577" s="26">
        <f>V2577 - L2577</f>
        <v/>
      </c>
    </row>
    <row r="2578">
      <c r="A2578" s="11" t="n">
        <v>46228</v>
      </c>
      <c r="B2578" s="1" t="n">
        <v>20088</v>
      </c>
      <c r="C2578" s="1" t="inlineStr">
        <is>
          <t>022</t>
        </is>
      </c>
      <c r="D2578" s="1" t="inlineStr">
        <is>
          <t xml:space="preserve">84777 </t>
        </is>
      </c>
      <c r="E2578" s="1" t="inlineStr">
        <is>
          <t xml:space="preserve">30232284       </t>
        </is>
      </c>
      <c r="F2578" s="5" t="inlineStr">
        <is>
          <t>INFINITY NADO TROMPO DE BATALLA - METAL C/PUNTA DE</t>
        </is>
      </c>
      <c r="G2578" t="n">
        <v>1</v>
      </c>
      <c r="H2578" s="7" t="n">
        <v>34.9</v>
      </c>
      <c r="I2578" s="7" t="n">
        <v>0</v>
      </c>
      <c r="J2578" s="7" t="n">
        <v>0</v>
      </c>
      <c r="K2578" s="9" t="n">
        <v>0</v>
      </c>
      <c r="L2578" s="10" t="n">
        <v>20.71</v>
      </c>
      <c r="M2578" s="10" t="n">
        <v>1.43</v>
      </c>
      <c r="N2578" t="inlineStr">
        <is>
          <t>1</t>
        </is>
      </c>
      <c r="O2578" t="inlineStr">
        <is>
          <t>16</t>
        </is>
      </c>
      <c r="P2578" t="inlineStr">
        <is>
          <t xml:space="preserve">47248   </t>
        </is>
      </c>
      <c r="Q2578" s="26" t="n">
        <v>49.9</v>
      </c>
      <c r="R2578" s="26">
        <f>Q2578*G2578</f>
        <v/>
      </c>
      <c r="S2578" t="n">
        <v>29.6</v>
      </c>
      <c r="T2578" s="18">
        <f>1 - V2578/S2578</f>
        <v/>
      </c>
      <c r="U2578" s="18" t="n">
        <v>0.3006012024048096</v>
      </c>
      <c r="V2578" s="26" t="n">
        <v>22.18220338983051</v>
      </c>
      <c r="W2578" s="26">
        <f>V2578 - L2578</f>
        <v/>
      </c>
    </row>
    <row r="2579">
      <c r="A2579" s="11" t="n">
        <v>46228</v>
      </c>
      <c r="B2579" s="1" t="n">
        <v>20088</v>
      </c>
      <c r="C2579" s="1" t="inlineStr">
        <is>
          <t>023</t>
        </is>
      </c>
      <c r="D2579" s="1" t="inlineStr">
        <is>
          <t>127906</t>
        </is>
      </c>
      <c r="E2579" s="1" t="inlineStr">
        <is>
          <t xml:space="preserve">28194770       </t>
        </is>
      </c>
      <c r="F2579" s="5" t="inlineStr">
        <is>
          <t>AUTOS DE METAL 3 TEAMSTERZ EN BLISTER</t>
        </is>
      </c>
      <c r="G2579" t="n">
        <v>1</v>
      </c>
      <c r="H2579" s="7" t="n">
        <v>6.9</v>
      </c>
      <c r="I2579" s="7" t="n">
        <v>0</v>
      </c>
      <c r="J2579" s="7" t="n">
        <v>0</v>
      </c>
      <c r="K2579" s="9" t="n">
        <v>0</v>
      </c>
      <c r="L2579" s="10" t="n">
        <v>4.1</v>
      </c>
      <c r="M2579" s="10" t="n">
        <v>1.43</v>
      </c>
      <c r="N2579" t="inlineStr">
        <is>
          <t>1</t>
        </is>
      </c>
      <c r="O2579" t="inlineStr">
        <is>
          <t xml:space="preserve">2 </t>
        </is>
      </c>
      <c r="P2579" t="inlineStr">
        <is>
          <t xml:space="preserve">242181  </t>
        </is>
      </c>
      <c r="Q2579" s="26" t="n">
        <v>6.9</v>
      </c>
      <c r="R2579" s="26">
        <f>Q2579*G2579</f>
        <v/>
      </c>
      <c r="S2579" t="n">
        <v>4.09</v>
      </c>
      <c r="T2579" s="18">
        <f>1 - V2579/S2579</f>
        <v/>
      </c>
      <c r="U2579" s="18" t="n">
        <v>0</v>
      </c>
      <c r="V2579" s="26" t="n">
        <v>4.09</v>
      </c>
      <c r="W2579" s="26">
        <f>V2579 - L2579</f>
        <v/>
      </c>
    </row>
    <row r="2580">
      <c r="A2580" s="11" t="n">
        <v>46228</v>
      </c>
      <c r="B2580" s="1" t="n">
        <v>20088</v>
      </c>
      <c r="C2580" s="1" t="inlineStr">
        <is>
          <t>023</t>
        </is>
      </c>
      <c r="D2580" s="1" t="inlineStr">
        <is>
          <t>127952</t>
        </is>
      </c>
      <c r="E2580" s="1" t="inlineStr">
        <is>
          <t xml:space="preserve">30232284       </t>
        </is>
      </c>
      <c r="F2580" s="5" t="inlineStr">
        <is>
          <t>INFINITY NADO TROMPO DE BATALLA - METAL C/PUNTA DE</t>
        </is>
      </c>
      <c r="G2580" t="n">
        <v>1</v>
      </c>
      <c r="H2580" s="7" t="n">
        <v>34.9</v>
      </c>
      <c r="I2580" s="7" t="n">
        <v>0</v>
      </c>
      <c r="J2580" s="7" t="n">
        <v>0</v>
      </c>
      <c r="K2580" s="9" t="n">
        <v>0</v>
      </c>
      <c r="L2580" s="10" t="n">
        <v>20.71</v>
      </c>
      <c r="M2580" s="10" t="n">
        <v>1.43</v>
      </c>
      <c r="N2580" t="inlineStr">
        <is>
          <t>1</t>
        </is>
      </c>
      <c r="O2580" t="inlineStr">
        <is>
          <t xml:space="preserve">2 </t>
        </is>
      </c>
      <c r="P2580" t="inlineStr">
        <is>
          <t xml:space="preserve">242181  </t>
        </is>
      </c>
      <c r="Q2580" s="26" t="n">
        <v>49.9</v>
      </c>
      <c r="R2580" s="26">
        <f>Q2580*G2580</f>
        <v/>
      </c>
      <c r="S2580" t="n">
        <v>29.6</v>
      </c>
      <c r="T2580" s="18">
        <f>1 - V2580/S2580</f>
        <v/>
      </c>
      <c r="U2580" s="18" t="n">
        <v>0.3006012024048096</v>
      </c>
      <c r="V2580" s="26" t="n">
        <v>22.18220338983051</v>
      </c>
      <c r="W2580" s="26">
        <f>V2580 - L2580</f>
        <v/>
      </c>
    </row>
    <row r="2581">
      <c r="A2581" s="11" t="n">
        <v>46228</v>
      </c>
      <c r="B2581" s="1" t="n">
        <v>20088</v>
      </c>
      <c r="C2581" s="1" t="inlineStr">
        <is>
          <t>034</t>
        </is>
      </c>
      <c r="D2581" s="1" t="inlineStr">
        <is>
          <t xml:space="preserve">16668 </t>
        </is>
      </c>
      <c r="E2581" s="1" t="inlineStr">
        <is>
          <t xml:space="preserve">28194770       </t>
        </is>
      </c>
      <c r="F2581" s="5" t="inlineStr">
        <is>
          <t>AUTOS DE METAL 3 TEAMSTERZ EN BLISTER</t>
        </is>
      </c>
      <c r="G2581" t="n">
        <v>1</v>
      </c>
      <c r="H2581" s="7" t="n">
        <v>6.9</v>
      </c>
      <c r="I2581" s="7" t="n">
        <v>0.6899999999999999</v>
      </c>
      <c r="J2581" s="7" t="n">
        <v>0</v>
      </c>
      <c r="K2581" s="9" t="n">
        <v>0.6899999999999999</v>
      </c>
      <c r="L2581" s="10" t="n">
        <v>3.68</v>
      </c>
      <c r="M2581" s="10" t="n">
        <v>1.43</v>
      </c>
      <c r="N2581" t="inlineStr">
        <is>
          <t>1</t>
        </is>
      </c>
      <c r="O2581" t="inlineStr">
        <is>
          <t xml:space="preserve">3 </t>
        </is>
      </c>
      <c r="P2581" t="inlineStr">
        <is>
          <t xml:space="preserve">241571  </t>
        </is>
      </c>
      <c r="Q2581" s="26" t="n">
        <v>6.9</v>
      </c>
      <c r="R2581" s="26">
        <f>Q2581*G2581</f>
        <v/>
      </c>
      <c r="S2581" t="n">
        <v>4.09</v>
      </c>
      <c r="T2581" s="18">
        <f>1 - V2581/S2581</f>
        <v/>
      </c>
      <c r="U2581" s="18" t="n">
        <v>0</v>
      </c>
      <c r="V2581" s="26" t="n">
        <v>4.09</v>
      </c>
      <c r="W2581" s="26">
        <f>V2581 - L2581</f>
        <v/>
      </c>
    </row>
    <row r="2582">
      <c r="A2582" s="11" t="n">
        <v>46228</v>
      </c>
      <c r="B2582" s="1" t="n">
        <v>20088</v>
      </c>
      <c r="C2582" s="1" t="inlineStr">
        <is>
          <t>034</t>
        </is>
      </c>
      <c r="D2582" s="1" t="inlineStr">
        <is>
          <t xml:space="preserve">16668 </t>
        </is>
      </c>
      <c r="E2582" s="1" t="inlineStr">
        <is>
          <t xml:space="preserve">28194770       </t>
        </is>
      </c>
      <c r="F2582" s="5" t="inlineStr">
        <is>
          <t>AUTOS DE METAL 3 TEAMSTERZ EN BLISTER</t>
        </is>
      </c>
      <c r="G2582" t="n">
        <v>1</v>
      </c>
      <c r="H2582" s="7" t="n">
        <v>6.9</v>
      </c>
      <c r="I2582" s="7" t="n">
        <v>0.6899999999999999</v>
      </c>
      <c r="J2582" s="7" t="n">
        <v>0</v>
      </c>
      <c r="K2582" s="9" t="n">
        <v>0.6899999999999999</v>
      </c>
      <c r="L2582" s="10" t="n">
        <v>3.68</v>
      </c>
      <c r="M2582" s="10" t="n">
        <v>1.43</v>
      </c>
      <c r="N2582" t="inlineStr">
        <is>
          <t>1</t>
        </is>
      </c>
      <c r="O2582" t="inlineStr">
        <is>
          <t xml:space="preserve">3 </t>
        </is>
      </c>
      <c r="P2582" t="inlineStr">
        <is>
          <t xml:space="preserve">241571  </t>
        </is>
      </c>
      <c r="Q2582" s="26" t="n">
        <v>6.9</v>
      </c>
      <c r="R2582" s="26">
        <f>Q2582*G2582</f>
        <v/>
      </c>
      <c r="S2582" t="n">
        <v>4.09</v>
      </c>
      <c r="T2582" s="18">
        <f>1 - V2582/S2582</f>
        <v/>
      </c>
      <c r="U2582" s="18" t="n">
        <v>0</v>
      </c>
      <c r="V2582" s="26" t="n">
        <v>4.09</v>
      </c>
      <c r="W2582" s="26">
        <f>V2582 - L2582</f>
        <v/>
      </c>
    </row>
    <row r="2583">
      <c r="A2583" s="11" t="n">
        <v>46228</v>
      </c>
      <c r="B2583" s="1" t="n">
        <v>20088</v>
      </c>
      <c r="C2583" s="1" t="inlineStr">
        <is>
          <t>034</t>
        </is>
      </c>
      <c r="D2583" s="1" t="inlineStr">
        <is>
          <t xml:space="preserve">16668 </t>
        </is>
      </c>
      <c r="E2583" s="1" t="inlineStr">
        <is>
          <t xml:space="preserve">28194770       </t>
        </is>
      </c>
      <c r="F2583" s="5" t="inlineStr">
        <is>
          <t>AUTOS DE METAL 3 TEAMSTERZ EN BLISTER</t>
        </is>
      </c>
      <c r="G2583" t="n">
        <v>1</v>
      </c>
      <c r="H2583" s="7" t="n">
        <v>6.9</v>
      </c>
      <c r="I2583" s="7" t="n">
        <v>0.6899999999999999</v>
      </c>
      <c r="J2583" s="7" t="n">
        <v>0</v>
      </c>
      <c r="K2583" s="9" t="n">
        <v>0.6899999999999999</v>
      </c>
      <c r="L2583" s="10" t="n">
        <v>3.68</v>
      </c>
      <c r="M2583" s="10" t="n">
        <v>1.43</v>
      </c>
      <c r="N2583" t="inlineStr">
        <is>
          <t>1</t>
        </is>
      </c>
      <c r="O2583" t="inlineStr">
        <is>
          <t xml:space="preserve">3 </t>
        </is>
      </c>
      <c r="P2583" t="inlineStr">
        <is>
          <t xml:space="preserve">241571  </t>
        </is>
      </c>
      <c r="Q2583" s="26" t="n">
        <v>6.9</v>
      </c>
      <c r="R2583" s="26">
        <f>Q2583*G2583</f>
        <v/>
      </c>
      <c r="S2583" t="n">
        <v>4.09</v>
      </c>
      <c r="T2583" s="18">
        <f>1 - V2583/S2583</f>
        <v/>
      </c>
      <c r="U2583" s="18" t="n">
        <v>0</v>
      </c>
      <c r="V2583" s="26" t="n">
        <v>4.09</v>
      </c>
      <c r="W2583" s="26">
        <f>V2583 - L2583</f>
        <v/>
      </c>
    </row>
    <row r="2584">
      <c r="A2584" s="11" t="n">
        <v>46228</v>
      </c>
      <c r="B2584" s="1" t="n">
        <v>20088</v>
      </c>
      <c r="C2584" s="1" t="inlineStr">
        <is>
          <t>523</t>
        </is>
      </c>
      <c r="D2584" s="1" t="inlineStr">
        <is>
          <t xml:space="preserve">3733  </t>
        </is>
      </c>
      <c r="E2584" s="1" t="inlineStr">
        <is>
          <t xml:space="preserve">30141766       </t>
        </is>
      </c>
      <c r="F2584" s="5" t="inlineStr">
        <is>
          <t>TMZ BEAST MACHINES AUTOS DE METAL BLISTER X 1</t>
        </is>
      </c>
      <c r="G2584" t="n">
        <v>1</v>
      </c>
      <c r="H2584" s="7" t="n">
        <v>7.9</v>
      </c>
      <c r="I2584" s="7" t="n">
        <v>0</v>
      </c>
      <c r="J2584" s="7" t="n">
        <v>0</v>
      </c>
      <c r="K2584" s="9" t="n">
        <v>0</v>
      </c>
      <c r="L2584" s="10" t="n">
        <v>4.68</v>
      </c>
      <c r="M2584" s="10" t="n">
        <v>1.43</v>
      </c>
      <c r="N2584" t="inlineStr">
        <is>
          <t>1</t>
        </is>
      </c>
      <c r="O2584" t="inlineStr">
        <is>
          <t>16</t>
        </is>
      </c>
      <c r="P2584" t="inlineStr">
        <is>
          <t xml:space="preserve">36199   </t>
        </is>
      </c>
      <c r="Q2584" s="26" t="n">
        <v>7.9</v>
      </c>
      <c r="R2584" s="26">
        <f>Q2584*G2584</f>
        <v/>
      </c>
      <c r="S2584" t="n">
        <v>4.69</v>
      </c>
      <c r="T2584" s="18">
        <f>1 - V2584/S2584</f>
        <v/>
      </c>
      <c r="U2584" s="18" t="n">
        <v>0</v>
      </c>
      <c r="V2584" s="26" t="n">
        <v>4.69</v>
      </c>
      <c r="W2584" s="26">
        <f>V2584 - L2584</f>
        <v/>
      </c>
    </row>
    <row r="2585">
      <c r="A2585" s="11" t="n">
        <v>46228</v>
      </c>
      <c r="B2585" s="1" t="n">
        <v>20089</v>
      </c>
      <c r="C2585" s="1" t="inlineStr">
        <is>
          <t>026</t>
        </is>
      </c>
      <c r="D2585" s="1" t="inlineStr">
        <is>
          <t xml:space="preserve">88686 </t>
        </is>
      </c>
      <c r="E2585" s="1" t="inlineStr">
        <is>
          <t xml:space="preserve">28194780       </t>
        </is>
      </c>
      <c r="F2585" s="5" t="inlineStr">
        <is>
          <t>TROMPO BATALLA INFINITY NADO PLSTICO SURTIDO</t>
        </is>
      </c>
      <c r="G2585" t="n">
        <v>1</v>
      </c>
      <c r="H2585" s="7" t="n">
        <v>19.9</v>
      </c>
      <c r="I2585" s="7" t="n">
        <v>0</v>
      </c>
      <c r="J2585" s="7" t="n">
        <v>0</v>
      </c>
      <c r="K2585" s="9" t="n">
        <v>0</v>
      </c>
      <c r="L2585" s="10" t="n">
        <v>11.8</v>
      </c>
      <c r="M2585" s="10" t="n">
        <v>1.43</v>
      </c>
      <c r="N2585" t="inlineStr">
        <is>
          <t>1</t>
        </is>
      </c>
      <c r="O2585" t="inlineStr">
        <is>
          <t>16</t>
        </is>
      </c>
      <c r="P2585" t="inlineStr">
        <is>
          <t xml:space="preserve">238367  </t>
        </is>
      </c>
      <c r="Q2585" s="26" t="n">
        <v>19.9</v>
      </c>
      <c r="R2585" s="26">
        <f>Q2585*G2585</f>
        <v/>
      </c>
      <c r="S2585" t="n">
        <v>11.81</v>
      </c>
      <c r="T2585" s="18">
        <f>1 - V2585/S2585</f>
        <v/>
      </c>
      <c r="U2585" s="18" t="n">
        <v>0</v>
      </c>
      <c r="V2585" s="26" t="n">
        <v>11.81</v>
      </c>
      <c r="W2585" s="26">
        <f>V2585 - L2585</f>
        <v/>
      </c>
    </row>
    <row r="2586">
      <c r="A2586" s="11" t="n">
        <v>46228</v>
      </c>
      <c r="B2586" s="1" t="n">
        <v>20089</v>
      </c>
      <c r="C2586" s="1" t="inlineStr">
        <is>
          <t>026</t>
        </is>
      </c>
      <c r="D2586" s="1" t="inlineStr">
        <is>
          <t xml:space="preserve">88702 </t>
        </is>
      </c>
      <c r="E2586" s="1" t="inlineStr">
        <is>
          <t xml:space="preserve">28194770       </t>
        </is>
      </c>
      <c r="F2586" s="5" t="inlineStr">
        <is>
          <t>AUTOS DE METAL 3 TEAMSTERZ EN BLISTER</t>
        </is>
      </c>
      <c r="G2586" t="n">
        <v>1</v>
      </c>
      <c r="H2586" s="7" t="n">
        <v>6.9</v>
      </c>
      <c r="I2586" s="7" t="n">
        <v>0</v>
      </c>
      <c r="J2586" s="7" t="n">
        <v>0</v>
      </c>
      <c r="K2586" s="9" t="n">
        <v>0</v>
      </c>
      <c r="L2586" s="10" t="n">
        <v>4.1</v>
      </c>
      <c r="M2586" s="10" t="n">
        <v>1.43</v>
      </c>
      <c r="N2586" t="inlineStr">
        <is>
          <t>1</t>
        </is>
      </c>
      <c r="O2586" t="inlineStr">
        <is>
          <t xml:space="preserve">2 </t>
        </is>
      </c>
      <c r="P2586" t="inlineStr">
        <is>
          <t xml:space="preserve">238367  </t>
        </is>
      </c>
      <c r="Q2586" s="26" t="n">
        <v>6.9</v>
      </c>
      <c r="R2586" s="26">
        <f>Q2586*G2586</f>
        <v/>
      </c>
      <c r="S2586" t="n">
        <v>4.09</v>
      </c>
      <c r="T2586" s="18">
        <f>1 - V2586/S2586</f>
        <v/>
      </c>
      <c r="U2586" s="18" t="n">
        <v>0</v>
      </c>
      <c r="V2586" s="26" t="n">
        <v>4.09</v>
      </c>
      <c r="W2586" s="26">
        <f>V2586 - L2586</f>
        <v/>
      </c>
    </row>
    <row r="2587">
      <c r="A2587" s="11" t="n">
        <v>46228</v>
      </c>
      <c r="B2587" s="1" t="n">
        <v>20089</v>
      </c>
      <c r="C2587" s="1" t="inlineStr">
        <is>
          <t>026</t>
        </is>
      </c>
      <c r="D2587" s="1" t="inlineStr">
        <is>
          <t xml:space="preserve">88717 </t>
        </is>
      </c>
      <c r="E2587" s="1" t="inlineStr">
        <is>
          <t xml:space="preserve">28194770       </t>
        </is>
      </c>
      <c r="F2587" s="5" t="inlineStr">
        <is>
          <t>AUTOS DE METAL 3 TEAMSTERZ EN BLISTER</t>
        </is>
      </c>
      <c r="G2587" t="n">
        <v>1</v>
      </c>
      <c r="H2587" s="7" t="n">
        <v>6.9</v>
      </c>
      <c r="I2587" s="7" t="n">
        <v>0</v>
      </c>
      <c r="J2587" s="7" t="n">
        <v>0</v>
      </c>
      <c r="K2587" s="9" t="n">
        <v>0</v>
      </c>
      <c r="L2587" s="10" t="n">
        <v>4.1</v>
      </c>
      <c r="M2587" s="10" t="n">
        <v>1.43</v>
      </c>
      <c r="N2587" t="inlineStr">
        <is>
          <t>1</t>
        </is>
      </c>
      <c r="O2587" t="inlineStr">
        <is>
          <t>16</t>
        </is>
      </c>
      <c r="P2587" t="inlineStr">
        <is>
          <t xml:space="preserve">238367  </t>
        </is>
      </c>
      <c r="Q2587" s="26" t="n">
        <v>6.9</v>
      </c>
      <c r="R2587" s="26">
        <f>Q2587*G2587</f>
        <v/>
      </c>
      <c r="S2587" t="n">
        <v>4.09</v>
      </c>
      <c r="T2587" s="18">
        <f>1 - V2587/S2587</f>
        <v/>
      </c>
      <c r="U2587" s="18" t="n">
        <v>0</v>
      </c>
      <c r="V2587" s="26" t="n">
        <v>4.09</v>
      </c>
      <c r="W2587" s="26">
        <f>V2587 - L2587</f>
        <v/>
      </c>
    </row>
    <row r="2588">
      <c r="A2588" s="11" t="n">
        <v>46228</v>
      </c>
      <c r="B2588" s="1" t="n">
        <v>20089</v>
      </c>
      <c r="C2588" s="1" t="inlineStr">
        <is>
          <t>027</t>
        </is>
      </c>
      <c r="D2588" s="1" t="inlineStr">
        <is>
          <t xml:space="preserve">16296 </t>
        </is>
      </c>
      <c r="E2588" s="1" t="inlineStr">
        <is>
          <t xml:space="preserve">28194770       </t>
        </is>
      </c>
      <c r="F2588" s="5" t="inlineStr">
        <is>
          <t>AUTOS DE METAL 3 TEAMSTERZ EN BLISTER</t>
        </is>
      </c>
      <c r="G2588" t="n">
        <v>1</v>
      </c>
      <c r="H2588" s="7" t="n">
        <v>6.9</v>
      </c>
      <c r="I2588" s="7" t="n">
        <v>0</v>
      </c>
      <c r="J2588" s="7" t="n">
        <v>0</v>
      </c>
      <c r="K2588" s="9" t="n">
        <v>0</v>
      </c>
      <c r="L2588" s="10" t="n">
        <v>4.1</v>
      </c>
      <c r="M2588" s="10" t="n">
        <v>1.43</v>
      </c>
      <c r="N2588" t="inlineStr">
        <is>
          <t>1</t>
        </is>
      </c>
      <c r="O2588" t="inlineStr">
        <is>
          <t>16</t>
        </is>
      </c>
      <c r="P2588" t="inlineStr">
        <is>
          <t xml:space="preserve">82992   </t>
        </is>
      </c>
      <c r="Q2588" s="26" t="n">
        <v>6.9</v>
      </c>
      <c r="R2588" s="26">
        <f>Q2588*G2588</f>
        <v/>
      </c>
      <c r="S2588" t="n">
        <v>4.09</v>
      </c>
      <c r="T2588" s="18">
        <f>1 - V2588/S2588</f>
        <v/>
      </c>
      <c r="U2588" s="18" t="n">
        <v>0</v>
      </c>
      <c r="V2588" s="26" t="n">
        <v>4.09</v>
      </c>
      <c r="W2588" s="26">
        <f>V2588 - L2588</f>
        <v/>
      </c>
    </row>
    <row r="2589">
      <c r="A2589" s="11" t="n">
        <v>46228</v>
      </c>
      <c r="B2589" s="1" t="n">
        <v>20089</v>
      </c>
      <c r="C2589" s="1" t="inlineStr">
        <is>
          <t>027</t>
        </is>
      </c>
      <c r="D2589" s="1" t="inlineStr">
        <is>
          <t xml:space="preserve">16337 </t>
        </is>
      </c>
      <c r="E2589" s="1" t="inlineStr">
        <is>
          <t xml:space="preserve">31959957       </t>
        </is>
      </c>
      <c r="F2589" s="5" t="inlineStr">
        <is>
          <t>TEAMSTERZ PLAYSET RESCATE EN EL MAR</t>
        </is>
      </c>
      <c r="G2589" t="n">
        <v>1</v>
      </c>
      <c r="H2589" s="7" t="n">
        <v>19.9</v>
      </c>
      <c r="I2589" s="7" t="n">
        <v>0</v>
      </c>
      <c r="J2589" s="7" t="n">
        <v>0</v>
      </c>
      <c r="K2589" s="9" t="n">
        <v>0</v>
      </c>
      <c r="L2589" s="10" t="n">
        <v>11.8</v>
      </c>
      <c r="M2589" s="10" t="n">
        <v>1.43</v>
      </c>
      <c r="N2589" t="inlineStr">
        <is>
          <t>1</t>
        </is>
      </c>
      <c r="O2589" t="inlineStr">
        <is>
          <t>16</t>
        </is>
      </c>
      <c r="P2589" t="inlineStr">
        <is>
          <t xml:space="preserve">82992   </t>
        </is>
      </c>
      <c r="Q2589" s="26" t="n">
        <v>19.9</v>
      </c>
      <c r="R2589" s="26">
        <f>Q2589*G2589</f>
        <v/>
      </c>
      <c r="S2589" t="n">
        <v>11.81</v>
      </c>
      <c r="T2589" s="18">
        <f>1 - V2589/S2589</f>
        <v/>
      </c>
      <c r="U2589" s="18" t="n">
        <v>0</v>
      </c>
      <c r="V2589" s="26" t="n">
        <v>11.81</v>
      </c>
      <c r="W2589" s="26">
        <f>V2589 - L2589</f>
        <v/>
      </c>
    </row>
    <row r="2590">
      <c r="A2590" s="11" t="n">
        <v>46228</v>
      </c>
      <c r="B2590" s="1" t="n">
        <v>20089</v>
      </c>
      <c r="C2590" s="1" t="inlineStr">
        <is>
          <t>862</t>
        </is>
      </c>
      <c r="D2590" s="1" t="inlineStr">
        <is>
          <t xml:space="preserve">8841  </t>
        </is>
      </c>
      <c r="E2590" s="1" t="inlineStr">
        <is>
          <t xml:space="preserve">28194768       </t>
        </is>
      </c>
      <c r="F2590" s="5" t="inlineStr">
        <is>
          <t>AUTO COLOR CHANGE TEAMSTERZ SURTIDO</t>
        </is>
      </c>
      <c r="G2590" t="n">
        <v>1</v>
      </c>
      <c r="H2590" s="7" t="n">
        <v>14.9</v>
      </c>
      <c r="I2590" s="7" t="n">
        <v>0</v>
      </c>
      <c r="J2590" s="7" t="n">
        <v>0</v>
      </c>
      <c r="K2590" s="9" t="n">
        <v>0</v>
      </c>
      <c r="L2590" s="10" t="n">
        <v>8.84</v>
      </c>
      <c r="M2590" s="10" t="n">
        <v>1.43</v>
      </c>
      <c r="N2590" t="inlineStr">
        <is>
          <t>1</t>
        </is>
      </c>
      <c r="O2590" t="inlineStr">
        <is>
          <t>16</t>
        </is>
      </c>
      <c r="P2590" t="inlineStr">
        <is>
          <t xml:space="preserve">0       </t>
        </is>
      </c>
      <c r="Q2590" s="26" t="n">
        <v>14.9</v>
      </c>
      <c r="R2590" s="26">
        <f>Q2590*G2590</f>
        <v/>
      </c>
      <c r="S2590" t="n">
        <v>8.84</v>
      </c>
      <c r="T2590" s="18">
        <f>1 - V2590/S2590</f>
        <v/>
      </c>
      <c r="U2590" s="18" t="n">
        <v>0</v>
      </c>
      <c r="V2590" s="26" t="n">
        <v>8.84</v>
      </c>
      <c r="W2590" s="26">
        <f>V2590 - L2590</f>
        <v/>
      </c>
    </row>
    <row r="2591">
      <c r="A2591" s="11" t="n">
        <v>46228</v>
      </c>
      <c r="B2591" s="1" t="n">
        <v>20095</v>
      </c>
      <c r="C2591" s="1" t="inlineStr">
        <is>
          <t>043</t>
        </is>
      </c>
      <c r="D2591" s="1" t="inlineStr">
        <is>
          <t>108739</t>
        </is>
      </c>
      <c r="E2591" s="1" t="inlineStr">
        <is>
          <t xml:space="preserve">28194769       </t>
        </is>
      </c>
      <c r="F2591" s="5" t="inlineStr">
        <is>
          <t>AUTOS DE METAL 3 TEAMSTERZ PACK DE 2</t>
        </is>
      </c>
      <c r="G2591" t="n">
        <v>1</v>
      </c>
      <c r="H2591" s="7" t="n">
        <v>13.8</v>
      </c>
      <c r="I2591" s="7" t="n">
        <v>0</v>
      </c>
      <c r="J2591" s="7" t="n">
        <v>0</v>
      </c>
      <c r="K2591" s="9" t="n">
        <v>0</v>
      </c>
      <c r="L2591" s="10" t="n">
        <v>8.18</v>
      </c>
      <c r="M2591" s="10" t="n">
        <v>1.43</v>
      </c>
      <c r="N2591" t="inlineStr">
        <is>
          <t>1</t>
        </is>
      </c>
      <c r="O2591" t="inlineStr">
        <is>
          <t>16</t>
        </is>
      </c>
      <c r="P2591" t="inlineStr">
        <is>
          <t xml:space="preserve">38948   </t>
        </is>
      </c>
      <c r="Q2591" s="26" t="n">
        <v>13.8</v>
      </c>
      <c r="R2591" s="26">
        <f>Q2591*G2591</f>
        <v/>
      </c>
      <c r="S2591" t="n">
        <v>8.19</v>
      </c>
      <c r="T2591" s="18">
        <f>1 - V2591/S2591</f>
        <v/>
      </c>
      <c r="U2591" s="18" t="n">
        <v>0</v>
      </c>
      <c r="V2591" s="26" t="n">
        <v>8.19</v>
      </c>
      <c r="W2591" s="26">
        <f>V2591 - L2591</f>
        <v/>
      </c>
    </row>
    <row r="2592">
      <c r="A2592" s="11" t="n">
        <v>46228</v>
      </c>
      <c r="B2592" s="1" t="n">
        <v>20095</v>
      </c>
      <c r="C2592" s="1" t="inlineStr">
        <is>
          <t>043</t>
        </is>
      </c>
      <c r="D2592" s="1" t="inlineStr">
        <is>
          <t>108755</t>
        </is>
      </c>
      <c r="E2592" s="1" t="inlineStr">
        <is>
          <t xml:space="preserve">30141766       </t>
        </is>
      </c>
      <c r="F2592" s="5" t="inlineStr">
        <is>
          <t>TMZ BEAST MACHINES AUTOS DE METAL BLISTER X 1</t>
        </is>
      </c>
      <c r="G2592" t="n">
        <v>1</v>
      </c>
      <c r="H2592" s="7" t="n">
        <v>7.9</v>
      </c>
      <c r="I2592" s="7" t="n">
        <v>0</v>
      </c>
      <c r="J2592" s="7" t="n">
        <v>0</v>
      </c>
      <c r="K2592" s="9" t="n">
        <v>0</v>
      </c>
      <c r="L2592" s="10" t="n">
        <v>4.68</v>
      </c>
      <c r="M2592" s="10" t="n">
        <v>1.43</v>
      </c>
      <c r="N2592" t="inlineStr">
        <is>
          <t>1</t>
        </is>
      </c>
      <c r="O2592" t="inlineStr">
        <is>
          <t xml:space="preserve">2 </t>
        </is>
      </c>
      <c r="P2592" t="inlineStr">
        <is>
          <t xml:space="preserve">38948   </t>
        </is>
      </c>
      <c r="Q2592" s="26" t="n">
        <v>7.9</v>
      </c>
      <c r="R2592" s="26">
        <f>Q2592*G2592</f>
        <v/>
      </c>
      <c r="S2592" t="n">
        <v>4.69</v>
      </c>
      <c r="T2592" s="18">
        <f>1 - V2592/S2592</f>
        <v/>
      </c>
      <c r="U2592" s="18" t="n">
        <v>0</v>
      </c>
      <c r="V2592" s="26" t="n">
        <v>4.69</v>
      </c>
      <c r="W2592" s="26">
        <f>V2592 - L2592</f>
        <v/>
      </c>
    </row>
    <row r="2593">
      <c r="A2593" s="11" t="n">
        <v>46228</v>
      </c>
      <c r="B2593" s="1" t="n">
        <v>20095</v>
      </c>
      <c r="C2593" s="1" t="inlineStr">
        <is>
          <t>044</t>
        </is>
      </c>
      <c r="D2593" s="1" t="inlineStr">
        <is>
          <t xml:space="preserve">94536 </t>
        </is>
      </c>
      <c r="E2593" s="1" t="inlineStr">
        <is>
          <t xml:space="preserve">28194781       </t>
        </is>
      </c>
      <c r="F2593" s="5" t="inlineStr">
        <is>
          <t>TROMPO BATALLA INFINITY NADO SERIE V CLASICA SURTI</t>
        </is>
      </c>
      <c r="G2593" t="n">
        <v>1</v>
      </c>
      <c r="H2593" s="7" t="n">
        <v>39.9</v>
      </c>
      <c r="I2593" s="7" t="n">
        <v>0</v>
      </c>
      <c r="J2593" s="7" t="n">
        <v>0</v>
      </c>
      <c r="K2593" s="9" t="n">
        <v>0</v>
      </c>
      <c r="L2593" s="10" t="n">
        <v>23.67</v>
      </c>
      <c r="M2593" s="10" t="n">
        <v>1.43</v>
      </c>
      <c r="N2593" t="inlineStr">
        <is>
          <t>1</t>
        </is>
      </c>
      <c r="O2593" t="inlineStr">
        <is>
          <t>16</t>
        </is>
      </c>
      <c r="P2593" t="inlineStr">
        <is>
          <t xml:space="preserve">246365  </t>
        </is>
      </c>
      <c r="Q2593" s="26" t="n">
        <v>59.9</v>
      </c>
      <c r="R2593" s="26">
        <f>Q2593*G2593</f>
        <v/>
      </c>
      <c r="S2593" t="n">
        <v>35.53</v>
      </c>
      <c r="T2593" s="18">
        <f>1 - V2593/S2593</f>
        <v/>
      </c>
      <c r="U2593" s="18" t="n">
        <v>0.333889816360601</v>
      </c>
      <c r="V2593" s="26" t="n">
        <v>25.36016949152542</v>
      </c>
      <c r="W2593" s="26">
        <f>V2593 - L2593</f>
        <v/>
      </c>
    </row>
    <row r="2594">
      <c r="A2594" s="11" t="n">
        <v>46228</v>
      </c>
      <c r="B2594" s="1" t="n">
        <v>20095</v>
      </c>
      <c r="C2594" s="1" t="inlineStr">
        <is>
          <t>044</t>
        </is>
      </c>
      <c r="D2594" s="1" t="inlineStr">
        <is>
          <t xml:space="preserve">94559 </t>
        </is>
      </c>
      <c r="E2594" s="1" t="inlineStr">
        <is>
          <t xml:space="preserve">28194767       </t>
        </is>
      </c>
      <c r="F2594" s="5" t="inlineStr">
        <is>
          <t>CAMIONES TEAMSTERZ DE EMERGENCIA</t>
        </is>
      </c>
      <c r="G2594" t="n">
        <v>1</v>
      </c>
      <c r="H2594" s="7" t="n">
        <v>17.9</v>
      </c>
      <c r="I2594" s="7" t="n">
        <v>0</v>
      </c>
      <c r="J2594" s="7" t="n">
        <v>0</v>
      </c>
      <c r="K2594" s="9" t="n">
        <v>0</v>
      </c>
      <c r="L2594" s="10" t="n">
        <v>10.62</v>
      </c>
      <c r="M2594" s="10" t="n">
        <v>1.43</v>
      </c>
      <c r="N2594" t="inlineStr">
        <is>
          <t>1</t>
        </is>
      </c>
      <c r="O2594" t="inlineStr">
        <is>
          <t>16</t>
        </is>
      </c>
      <c r="P2594" t="inlineStr">
        <is>
          <t xml:space="preserve">243250  </t>
        </is>
      </c>
      <c r="Q2594" s="26" t="n">
        <v>17.9</v>
      </c>
      <c r="R2594" s="26">
        <f>Q2594*G2594</f>
        <v/>
      </c>
      <c r="S2594" t="n">
        <v>10.62</v>
      </c>
      <c r="T2594" s="18">
        <f>1 - V2594/S2594</f>
        <v/>
      </c>
      <c r="U2594" s="18" t="n">
        <v>0</v>
      </c>
      <c r="V2594" s="26" t="n">
        <v>10.62</v>
      </c>
      <c r="W2594" s="26">
        <f>V2594 - L2594</f>
        <v/>
      </c>
    </row>
    <row r="2595">
      <c r="A2595" s="11" t="n">
        <v>46228</v>
      </c>
      <c r="B2595" s="1" t="n">
        <v>20095</v>
      </c>
      <c r="C2595" s="1" t="inlineStr">
        <is>
          <t>044</t>
        </is>
      </c>
      <c r="D2595" s="1" t="inlineStr">
        <is>
          <t xml:space="preserve">94615 </t>
        </is>
      </c>
      <c r="E2595" s="1" t="inlineStr">
        <is>
          <t xml:space="preserve">30141766       </t>
        </is>
      </c>
      <c r="F2595" s="5" t="inlineStr">
        <is>
          <t>TMZ BEAST MACHINES AUTOS DE METAL BLISTER X 1</t>
        </is>
      </c>
      <c r="G2595" t="n">
        <v>1</v>
      </c>
      <c r="H2595" s="7" t="n">
        <v>7.9</v>
      </c>
      <c r="I2595" s="7" t="n">
        <v>0.79</v>
      </c>
      <c r="J2595" s="7" t="n">
        <v>0</v>
      </c>
      <c r="K2595" s="9" t="n">
        <v>0.79</v>
      </c>
      <c r="L2595" s="10" t="n">
        <v>4.22</v>
      </c>
      <c r="M2595" s="10" t="n">
        <v>1.43</v>
      </c>
      <c r="N2595" t="inlineStr">
        <is>
          <t>1</t>
        </is>
      </c>
      <c r="O2595" t="inlineStr">
        <is>
          <t xml:space="preserve">3 </t>
        </is>
      </c>
      <c r="P2595" t="inlineStr">
        <is>
          <t xml:space="preserve">243250  </t>
        </is>
      </c>
      <c r="Q2595" s="26" t="n">
        <v>7.9</v>
      </c>
      <c r="R2595" s="26">
        <f>Q2595*G2595</f>
        <v/>
      </c>
      <c r="S2595" t="n">
        <v>4.69</v>
      </c>
      <c r="T2595" s="18">
        <f>1 - V2595/S2595</f>
        <v/>
      </c>
      <c r="U2595" s="18" t="n">
        <v>0</v>
      </c>
      <c r="V2595" s="26" t="n">
        <v>4.69</v>
      </c>
      <c r="W2595" s="26">
        <f>V2595 - L2595</f>
        <v/>
      </c>
    </row>
    <row r="2596">
      <c r="A2596" s="11" t="n">
        <v>46229</v>
      </c>
      <c r="B2596" s="1" t="n">
        <v>20021</v>
      </c>
      <c r="C2596" s="1" t="inlineStr">
        <is>
          <t>064</t>
        </is>
      </c>
      <c r="D2596" s="1" t="inlineStr">
        <is>
          <t>147140</t>
        </is>
      </c>
      <c r="E2596" s="1" t="inlineStr">
        <is>
          <t xml:space="preserve">28194769       </t>
        </is>
      </c>
      <c r="F2596" s="5" t="inlineStr">
        <is>
          <t>AUTOS DE METAL 3 TEAMSTERZ PACK DE 2</t>
        </is>
      </c>
      <c r="G2596" t="n">
        <v>1</v>
      </c>
      <c r="H2596" s="7" t="n">
        <v>13.8</v>
      </c>
      <c r="I2596" s="7" t="n">
        <v>0</v>
      </c>
      <c r="J2596" s="7" t="n">
        <v>0</v>
      </c>
      <c r="K2596" s="9" t="n">
        <v>0</v>
      </c>
      <c r="L2596" s="10" t="n">
        <v>8.18</v>
      </c>
      <c r="M2596" s="10" t="n">
        <v>1.43</v>
      </c>
      <c r="N2596" t="inlineStr">
        <is>
          <t>1</t>
        </is>
      </c>
      <c r="O2596" t="inlineStr">
        <is>
          <t>16</t>
        </is>
      </c>
      <c r="P2596" t="inlineStr">
        <is>
          <t xml:space="preserve">22701   </t>
        </is>
      </c>
      <c r="Q2596" s="26" t="n">
        <v>13.8</v>
      </c>
      <c r="R2596" s="26">
        <f>Q2596*G2596</f>
        <v/>
      </c>
      <c r="S2596" t="n">
        <v>8.19</v>
      </c>
      <c r="T2596" s="18">
        <f>1 - V2596/S2596</f>
        <v/>
      </c>
      <c r="U2596" s="18" t="n">
        <v>0</v>
      </c>
      <c r="V2596" s="26" t="n">
        <v>8.19</v>
      </c>
      <c r="W2596" s="26">
        <f>V2596 - L2596</f>
        <v/>
      </c>
    </row>
    <row r="2597">
      <c r="A2597" s="11" t="n">
        <v>46229</v>
      </c>
      <c r="B2597" s="1" t="n">
        <v>20021</v>
      </c>
      <c r="C2597" s="1" t="inlineStr">
        <is>
          <t>082</t>
        </is>
      </c>
      <c r="D2597" s="1" t="inlineStr">
        <is>
          <t>270611</t>
        </is>
      </c>
      <c r="E2597" s="1" t="inlineStr">
        <is>
          <t xml:space="preserve">28194770       </t>
        </is>
      </c>
      <c r="F2597" s="5" t="inlineStr">
        <is>
          <t>AUTOS DE METAL 3 TEAMSTERZ EN BLISTER</t>
        </is>
      </c>
      <c r="G2597" t="n">
        <v>1</v>
      </c>
      <c r="H2597" s="7" t="n">
        <v>6.9</v>
      </c>
      <c r="I2597" s="7" t="n">
        <v>0</v>
      </c>
      <c r="J2597" s="7" t="n">
        <v>0</v>
      </c>
      <c r="K2597" s="9" t="n">
        <v>0</v>
      </c>
      <c r="L2597" s="10" t="n">
        <v>4.1</v>
      </c>
      <c r="M2597" s="10" t="n">
        <v>1.43</v>
      </c>
      <c r="N2597" t="inlineStr">
        <is>
          <t>1</t>
        </is>
      </c>
      <c r="O2597" t="inlineStr">
        <is>
          <t xml:space="preserve">2 </t>
        </is>
      </c>
      <c r="P2597" t="inlineStr">
        <is>
          <t xml:space="preserve">12097   </t>
        </is>
      </c>
      <c r="Q2597" s="26" t="n">
        <v>6.9</v>
      </c>
      <c r="R2597" s="26">
        <f>Q2597*G2597</f>
        <v/>
      </c>
      <c r="S2597" t="n">
        <v>4.09</v>
      </c>
      <c r="T2597" s="18">
        <f>1 - V2597/S2597</f>
        <v/>
      </c>
      <c r="U2597" s="18" t="n">
        <v>0</v>
      </c>
      <c r="V2597" s="26" t="n">
        <v>4.09</v>
      </c>
      <c r="W2597" s="26">
        <f>V2597 - L2597</f>
        <v/>
      </c>
    </row>
    <row r="2598">
      <c r="A2598" s="11" t="n">
        <v>46229</v>
      </c>
      <c r="B2598" s="1" t="n">
        <v>20021</v>
      </c>
      <c r="C2598" s="1" t="inlineStr">
        <is>
          <t>082</t>
        </is>
      </c>
      <c r="D2598" s="1" t="inlineStr">
        <is>
          <t>270611</t>
        </is>
      </c>
      <c r="E2598" s="1" t="inlineStr">
        <is>
          <t xml:space="preserve">28194770       </t>
        </is>
      </c>
      <c r="F2598" s="5" t="inlineStr">
        <is>
          <t>AUTOS DE METAL 3 TEAMSTERZ EN BLISTER</t>
        </is>
      </c>
      <c r="G2598" t="n">
        <v>1</v>
      </c>
      <c r="H2598" s="7" t="n">
        <v>6.9</v>
      </c>
      <c r="I2598" s="7" t="n">
        <v>0</v>
      </c>
      <c r="J2598" s="7" t="n">
        <v>0</v>
      </c>
      <c r="K2598" s="9" t="n">
        <v>0</v>
      </c>
      <c r="L2598" s="10" t="n">
        <v>4.1</v>
      </c>
      <c r="M2598" s="10" t="n">
        <v>1.43</v>
      </c>
      <c r="N2598" t="inlineStr">
        <is>
          <t>1</t>
        </is>
      </c>
      <c r="O2598" t="inlineStr">
        <is>
          <t xml:space="preserve">2 </t>
        </is>
      </c>
      <c r="P2598" t="inlineStr">
        <is>
          <t xml:space="preserve">12097   </t>
        </is>
      </c>
      <c r="Q2598" s="26" t="n">
        <v>6.9</v>
      </c>
      <c r="R2598" s="26">
        <f>Q2598*G2598</f>
        <v/>
      </c>
      <c r="S2598" t="n">
        <v>4.09</v>
      </c>
      <c r="T2598" s="18">
        <f>1 - V2598/S2598</f>
        <v/>
      </c>
      <c r="U2598" s="18" t="n">
        <v>0</v>
      </c>
      <c r="V2598" s="26" t="n">
        <v>4.09</v>
      </c>
      <c r="W2598" s="26">
        <f>V2598 - L2598</f>
        <v/>
      </c>
    </row>
    <row r="2599">
      <c r="A2599" s="11" t="n">
        <v>46229</v>
      </c>
      <c r="B2599" s="1" t="n">
        <v>20021</v>
      </c>
      <c r="C2599" s="1" t="inlineStr">
        <is>
          <t>082</t>
        </is>
      </c>
      <c r="D2599" s="1" t="inlineStr">
        <is>
          <t>270664</t>
        </is>
      </c>
      <c r="E2599" s="1" t="inlineStr">
        <is>
          <t xml:space="preserve">28194770       </t>
        </is>
      </c>
      <c r="F2599" s="5" t="inlineStr">
        <is>
          <t>AUTOS DE METAL 3 TEAMSTERZ EN BLISTER</t>
        </is>
      </c>
      <c r="G2599" t="n">
        <v>1</v>
      </c>
      <c r="H2599" s="7" t="n">
        <v>6.9</v>
      </c>
      <c r="I2599" s="7" t="n">
        <v>0</v>
      </c>
      <c r="J2599" s="7" t="n">
        <v>0</v>
      </c>
      <c r="K2599" s="9" t="n">
        <v>0</v>
      </c>
      <c r="L2599" s="10" t="n">
        <v>4.1</v>
      </c>
      <c r="M2599" s="10" t="n">
        <v>1.43</v>
      </c>
      <c r="N2599" t="inlineStr">
        <is>
          <t>1</t>
        </is>
      </c>
      <c r="O2599" t="inlineStr">
        <is>
          <t>16</t>
        </is>
      </c>
      <c r="P2599" t="inlineStr">
        <is>
          <t xml:space="preserve">12097   </t>
        </is>
      </c>
      <c r="Q2599" s="26" t="n">
        <v>6.9</v>
      </c>
      <c r="R2599" s="26">
        <f>Q2599*G2599</f>
        <v/>
      </c>
      <c r="S2599" t="n">
        <v>4.09</v>
      </c>
      <c r="T2599" s="18">
        <f>1 - V2599/S2599</f>
        <v/>
      </c>
      <c r="U2599" s="18" t="n">
        <v>0</v>
      </c>
      <c r="V2599" s="26" t="n">
        <v>4.09</v>
      </c>
      <c r="W2599" s="26">
        <f>V2599 - L2599</f>
        <v/>
      </c>
    </row>
    <row r="2600">
      <c r="A2600" s="11" t="n">
        <v>46229</v>
      </c>
      <c r="B2600" s="1" t="n">
        <v>20023</v>
      </c>
      <c r="C2600" s="1" t="inlineStr">
        <is>
          <t>150</t>
        </is>
      </c>
      <c r="D2600" s="1" t="inlineStr">
        <is>
          <t>179075</t>
        </is>
      </c>
      <c r="E2600" s="1" t="inlineStr">
        <is>
          <t xml:space="preserve">28194769       </t>
        </is>
      </c>
      <c r="F2600" s="5" t="inlineStr">
        <is>
          <t>AUTOS DE METAL 3 TEAMSTERZ PACK DE 2</t>
        </is>
      </c>
      <c r="G2600" t="n">
        <v>1</v>
      </c>
      <c r="H2600" s="7" t="n">
        <v>13.8</v>
      </c>
      <c r="I2600" s="7" t="n">
        <v>1.38</v>
      </c>
      <c r="J2600" s="7" t="n">
        <v>0</v>
      </c>
      <c r="K2600" s="9" t="n">
        <v>1.38</v>
      </c>
      <c r="L2600" s="10" t="n">
        <v>7.37</v>
      </c>
      <c r="M2600" s="10" t="n">
        <v>1.43</v>
      </c>
      <c r="N2600" t="inlineStr">
        <is>
          <t>1</t>
        </is>
      </c>
      <c r="O2600" t="inlineStr">
        <is>
          <t xml:space="preserve">3 </t>
        </is>
      </c>
      <c r="P2600" t="inlineStr">
        <is>
          <t xml:space="preserve">23508   </t>
        </is>
      </c>
      <c r="Q2600" s="26" t="n">
        <v>13.8</v>
      </c>
      <c r="R2600" s="26">
        <f>Q2600*G2600</f>
        <v/>
      </c>
      <c r="S2600" t="n">
        <v>8.19</v>
      </c>
      <c r="T2600" s="18">
        <f>1 - V2600/S2600</f>
        <v/>
      </c>
      <c r="U2600" s="18" t="n">
        <v>0</v>
      </c>
      <c r="V2600" s="26" t="n">
        <v>8.19</v>
      </c>
      <c r="W2600" s="26">
        <f>V2600 - L2600</f>
        <v/>
      </c>
    </row>
    <row r="2601">
      <c r="A2601" s="11" t="n">
        <v>46229</v>
      </c>
      <c r="B2601" s="1" t="n">
        <v>20023</v>
      </c>
      <c r="C2601" s="1" t="inlineStr">
        <is>
          <t>150</t>
        </is>
      </c>
      <c r="D2601" s="1" t="inlineStr">
        <is>
          <t>179075</t>
        </is>
      </c>
      <c r="E2601" s="1" t="inlineStr">
        <is>
          <t xml:space="preserve">28194769       </t>
        </is>
      </c>
      <c r="F2601" s="5" t="inlineStr">
        <is>
          <t>AUTOS DE METAL 3 TEAMSTERZ PACK DE 2</t>
        </is>
      </c>
      <c r="G2601" t="n">
        <v>1</v>
      </c>
      <c r="H2601" s="7" t="n">
        <v>13.8</v>
      </c>
      <c r="I2601" s="7" t="n">
        <v>1.38</v>
      </c>
      <c r="J2601" s="7" t="n">
        <v>0</v>
      </c>
      <c r="K2601" s="9" t="n">
        <v>1.38</v>
      </c>
      <c r="L2601" s="10" t="n">
        <v>7.37</v>
      </c>
      <c r="M2601" s="10" t="n">
        <v>1.43</v>
      </c>
      <c r="N2601" t="inlineStr">
        <is>
          <t>1</t>
        </is>
      </c>
      <c r="O2601" t="inlineStr">
        <is>
          <t xml:space="preserve">3 </t>
        </is>
      </c>
      <c r="P2601" t="inlineStr">
        <is>
          <t xml:space="preserve">23508   </t>
        </is>
      </c>
      <c r="Q2601" s="26" t="n">
        <v>13.8</v>
      </c>
      <c r="R2601" s="26">
        <f>Q2601*G2601</f>
        <v/>
      </c>
      <c r="S2601" t="n">
        <v>8.19</v>
      </c>
      <c r="T2601" s="18">
        <f>1 - V2601/S2601</f>
        <v/>
      </c>
      <c r="U2601" s="18" t="n">
        <v>0</v>
      </c>
      <c r="V2601" s="26" t="n">
        <v>8.19</v>
      </c>
      <c r="W2601" s="26">
        <f>V2601 - L2601</f>
        <v/>
      </c>
    </row>
    <row r="2602">
      <c r="A2602" s="11" t="n">
        <v>46229</v>
      </c>
      <c r="B2602" s="1" t="n">
        <v>20024</v>
      </c>
      <c r="C2602" s="1" t="inlineStr">
        <is>
          <t>093</t>
        </is>
      </c>
      <c r="D2602" s="1" t="inlineStr">
        <is>
          <t>426370</t>
        </is>
      </c>
      <c r="E2602" s="1" t="inlineStr">
        <is>
          <t xml:space="preserve">33483120       </t>
        </is>
      </c>
      <c r="F2602" s="5" t="inlineStr">
        <is>
          <t>HOT WHEELS 2 EN 1 AUTO DE CARRERAS + GUARDA AUTOS</t>
        </is>
      </c>
      <c r="G2602" t="n">
        <v>1</v>
      </c>
      <c r="H2602" s="7" t="n">
        <v>79.90000000000001</v>
      </c>
      <c r="I2602" s="7" t="n">
        <v>0</v>
      </c>
      <c r="J2602" s="7" t="n">
        <v>0</v>
      </c>
      <c r="K2602" s="9" t="n">
        <v>0</v>
      </c>
      <c r="L2602" s="10" t="n">
        <v>47.4</v>
      </c>
      <c r="M2602" s="10" t="n">
        <v>1.43</v>
      </c>
      <c r="N2602" t="inlineStr">
        <is>
          <t>1</t>
        </is>
      </c>
      <c r="O2602" t="inlineStr">
        <is>
          <t xml:space="preserve">2 </t>
        </is>
      </c>
      <c r="P2602" t="inlineStr">
        <is>
          <t xml:space="preserve">57844   </t>
        </is>
      </c>
      <c r="Q2602" s="26" t="n">
        <v>79.90000000000001</v>
      </c>
      <c r="R2602" s="26">
        <f>Q2602*G2602</f>
        <v/>
      </c>
      <c r="S2602" t="n">
        <v>47.4</v>
      </c>
      <c r="T2602" s="18">
        <f>1 - V2602/S2602</f>
        <v/>
      </c>
      <c r="U2602" s="18" t="n">
        <v>0</v>
      </c>
      <c r="V2602" s="26" t="n">
        <v>47.4</v>
      </c>
      <c r="W2602" s="26">
        <f>V2602 - L2602</f>
        <v/>
      </c>
    </row>
    <row r="2603">
      <c r="A2603" s="11" t="n">
        <v>46229</v>
      </c>
      <c r="B2603" s="1" t="n">
        <v>20024</v>
      </c>
      <c r="C2603" s="1" t="inlineStr">
        <is>
          <t>093</t>
        </is>
      </c>
      <c r="D2603" s="1" t="inlineStr">
        <is>
          <t>426377</t>
        </is>
      </c>
      <c r="E2603" s="1" t="inlineStr">
        <is>
          <t xml:space="preserve">34840553       </t>
        </is>
      </c>
      <c r="F2603" s="5" t="inlineStr">
        <is>
          <t>TMZ AUTO LUZ Y SONIDO ESQUELET DINO T-REX</t>
        </is>
      </c>
      <c r="G2603" t="n">
        <v>1</v>
      </c>
      <c r="H2603" s="7" t="n">
        <v>79.90000000000001</v>
      </c>
      <c r="I2603" s="7" t="n">
        <v>0</v>
      </c>
      <c r="J2603" s="7" t="n">
        <v>0</v>
      </c>
      <c r="K2603" s="9" t="n">
        <v>0</v>
      </c>
      <c r="L2603" s="10" t="n">
        <v>47.4</v>
      </c>
      <c r="M2603" s="10" t="n">
        <v>1.43</v>
      </c>
      <c r="N2603" t="inlineStr">
        <is>
          <t>1</t>
        </is>
      </c>
      <c r="O2603" t="inlineStr">
        <is>
          <t xml:space="preserve">2 </t>
        </is>
      </c>
      <c r="P2603" t="inlineStr">
        <is>
          <t xml:space="preserve">57844   </t>
        </is>
      </c>
      <c r="Q2603" s="26" t="n">
        <v>79.90000000000002</v>
      </c>
      <c r="R2603" s="26">
        <f>Q2603*G2603</f>
        <v/>
      </c>
      <c r="S2603" t="n">
        <v>47.4</v>
      </c>
      <c r="T2603" s="18">
        <f>1 - V2603/S2603</f>
        <v/>
      </c>
      <c r="U2603" s="18" t="n">
        <v>0</v>
      </c>
      <c r="V2603" s="26" t="n">
        <v>47.4</v>
      </c>
      <c r="W2603" s="26">
        <f>V2603 - L2603</f>
        <v/>
      </c>
    </row>
    <row r="2604">
      <c r="A2604" s="11" t="n">
        <v>46229</v>
      </c>
      <c r="B2604" s="1" t="n">
        <v>20024</v>
      </c>
      <c r="C2604" s="1" t="inlineStr">
        <is>
          <t>093</t>
        </is>
      </c>
      <c r="D2604" s="1" t="inlineStr">
        <is>
          <t>426386</t>
        </is>
      </c>
      <c r="E2604" s="1" t="inlineStr">
        <is>
          <t xml:space="preserve">30141781       </t>
        </is>
      </c>
      <c r="F2604" s="5" t="inlineStr">
        <is>
          <t>RELOJ DIGITAL POLLY POCKET</t>
        </is>
      </c>
      <c r="G2604" t="n">
        <v>1</v>
      </c>
      <c r="H2604" s="7" t="n">
        <v>18.9</v>
      </c>
      <c r="I2604" s="7" t="n">
        <v>0</v>
      </c>
      <c r="J2604" s="7" t="n">
        <v>0</v>
      </c>
      <c r="K2604" s="9" t="n">
        <v>0</v>
      </c>
      <c r="L2604" s="10" t="n">
        <v>11.21</v>
      </c>
      <c r="M2604" s="10" t="n">
        <v>1.43</v>
      </c>
      <c r="N2604" t="inlineStr">
        <is>
          <t>1</t>
        </is>
      </c>
      <c r="O2604" t="inlineStr">
        <is>
          <t xml:space="preserve">6 </t>
        </is>
      </c>
      <c r="P2604" t="inlineStr">
        <is>
          <t xml:space="preserve">57844   </t>
        </is>
      </c>
      <c r="Q2604" s="26" t="n">
        <v>18.9</v>
      </c>
      <c r="R2604" s="26">
        <f>Q2604*G2604</f>
        <v/>
      </c>
      <c r="S2604" t="n">
        <v>11.21</v>
      </c>
      <c r="T2604" s="18">
        <f>1 - V2604/S2604</f>
        <v/>
      </c>
      <c r="U2604" s="18" t="n">
        <v>0</v>
      </c>
      <c r="V2604" s="26" t="n">
        <v>11.21</v>
      </c>
      <c r="W2604" s="26">
        <f>V2604 - L2604</f>
        <v/>
      </c>
    </row>
    <row r="2605">
      <c r="A2605" s="11" t="n">
        <v>46229</v>
      </c>
      <c r="B2605" s="1" t="n">
        <v>20024</v>
      </c>
      <c r="C2605" s="1" t="inlineStr">
        <is>
          <t>095</t>
        </is>
      </c>
      <c r="D2605" s="1" t="inlineStr">
        <is>
          <t>262669</t>
        </is>
      </c>
      <c r="E2605" s="1" t="inlineStr">
        <is>
          <t xml:space="preserve">28194769       </t>
        </is>
      </c>
      <c r="F2605" s="5" t="inlineStr">
        <is>
          <t>AUTOS DE METAL 3 TEAMSTERZ PACK DE 2</t>
        </is>
      </c>
      <c r="G2605" t="n">
        <v>1</v>
      </c>
      <c r="H2605" s="7" t="n">
        <v>13.8</v>
      </c>
      <c r="I2605" s="7" t="n">
        <v>0</v>
      </c>
      <c r="J2605" s="7" t="n">
        <v>0</v>
      </c>
      <c r="K2605" s="9" t="n">
        <v>0</v>
      </c>
      <c r="L2605" s="10" t="n">
        <v>8.18</v>
      </c>
      <c r="M2605" s="10" t="n">
        <v>1.43</v>
      </c>
      <c r="N2605" t="inlineStr">
        <is>
          <t>1</t>
        </is>
      </c>
      <c r="O2605" t="inlineStr">
        <is>
          <t xml:space="preserve">2 </t>
        </is>
      </c>
      <c r="P2605" t="inlineStr">
        <is>
          <t xml:space="preserve">203142  </t>
        </is>
      </c>
      <c r="Q2605" s="26" t="n">
        <v>13.8</v>
      </c>
      <c r="R2605" s="26">
        <f>Q2605*G2605</f>
        <v/>
      </c>
      <c r="S2605" t="n">
        <v>8.19</v>
      </c>
      <c r="T2605" s="18">
        <f>1 - V2605/S2605</f>
        <v/>
      </c>
      <c r="U2605" s="18" t="n">
        <v>0</v>
      </c>
      <c r="V2605" s="26" t="n">
        <v>8.19</v>
      </c>
      <c r="W2605" s="26">
        <f>V2605 - L2605</f>
        <v/>
      </c>
    </row>
    <row r="2606">
      <c r="A2606" s="11" t="n">
        <v>46229</v>
      </c>
      <c r="B2606" s="1" t="n">
        <v>20024</v>
      </c>
      <c r="C2606" s="1" t="inlineStr">
        <is>
          <t>095</t>
        </is>
      </c>
      <c r="D2606" s="1" t="inlineStr">
        <is>
          <t>262669</t>
        </is>
      </c>
      <c r="E2606" s="1" t="inlineStr">
        <is>
          <t xml:space="preserve">32457099       </t>
        </is>
      </c>
      <c r="F2606" s="5" t="inlineStr">
        <is>
          <t>TMZ BEAST MACHINES MONSTER JAWS A FRICCION BLISTER</t>
        </is>
      </c>
      <c r="G2606" t="n">
        <v>1</v>
      </c>
      <c r="H2606" s="7" t="n">
        <v>17.9</v>
      </c>
      <c r="I2606" s="7" t="n">
        <v>0</v>
      </c>
      <c r="J2606" s="7" t="n">
        <v>0</v>
      </c>
      <c r="K2606" s="9" t="n">
        <v>0</v>
      </c>
      <c r="L2606" s="10" t="n">
        <v>10.62</v>
      </c>
      <c r="M2606" s="10" t="n">
        <v>1.43</v>
      </c>
      <c r="N2606" t="inlineStr">
        <is>
          <t>1</t>
        </is>
      </c>
      <c r="O2606" t="inlineStr">
        <is>
          <t xml:space="preserve">2 </t>
        </is>
      </c>
      <c r="P2606" t="inlineStr">
        <is>
          <t xml:space="preserve">203142  </t>
        </is>
      </c>
      <c r="Q2606" s="26" t="n">
        <v>19.9</v>
      </c>
      <c r="R2606" s="26">
        <f>Q2606*G2606</f>
        <v/>
      </c>
      <c r="S2606" t="n">
        <v>11.81</v>
      </c>
      <c r="T2606" s="18">
        <f>1 - V2606/S2606</f>
        <v/>
      </c>
      <c r="U2606" s="18" t="n">
        <v>0.1005025125628141</v>
      </c>
      <c r="V2606" s="26" t="n">
        <v>8.417118644067797</v>
      </c>
      <c r="W2606" s="26">
        <f>V2606 - L2606</f>
        <v/>
      </c>
    </row>
    <row r="2607">
      <c r="A2607" s="11" t="n">
        <v>46229</v>
      </c>
      <c r="B2607" s="1" t="n">
        <v>20024</v>
      </c>
      <c r="C2607" s="1" t="inlineStr">
        <is>
          <t>118</t>
        </is>
      </c>
      <c r="D2607" s="1" t="inlineStr">
        <is>
          <t>256458</t>
        </is>
      </c>
      <c r="E2607" s="1" t="inlineStr">
        <is>
          <t xml:space="preserve">28194770       </t>
        </is>
      </c>
      <c r="F2607" s="5" t="inlineStr">
        <is>
          <t>AUTOS DE METAL 3 TEAMSTERZ EN BLISTER</t>
        </is>
      </c>
      <c r="G2607" t="n">
        <v>1</v>
      </c>
      <c r="H2607" s="7" t="n">
        <v>6.9</v>
      </c>
      <c r="I2607" s="7" t="n">
        <v>0</v>
      </c>
      <c r="J2607" s="7" t="n">
        <v>0</v>
      </c>
      <c r="K2607" s="9" t="n">
        <v>0</v>
      </c>
      <c r="L2607" s="10" t="n">
        <v>4.1</v>
      </c>
      <c r="M2607" s="10" t="n">
        <v>1.43</v>
      </c>
      <c r="N2607" t="inlineStr">
        <is>
          <t>1</t>
        </is>
      </c>
      <c r="O2607" t="inlineStr">
        <is>
          <t xml:space="preserve">2 </t>
        </is>
      </c>
      <c r="P2607" t="inlineStr">
        <is>
          <t xml:space="preserve">47217   </t>
        </is>
      </c>
      <c r="Q2607" s="26" t="n">
        <v>6.9</v>
      </c>
      <c r="R2607" s="26">
        <f>Q2607*G2607</f>
        <v/>
      </c>
      <c r="S2607" t="n">
        <v>4.09</v>
      </c>
      <c r="T2607" s="18">
        <f>1 - V2607/S2607</f>
        <v/>
      </c>
      <c r="U2607" s="18" t="n">
        <v>0</v>
      </c>
      <c r="V2607" s="26" t="n">
        <v>4.09</v>
      </c>
      <c r="W2607" s="26">
        <f>V2607 - L2607</f>
        <v/>
      </c>
    </row>
    <row r="2608">
      <c r="A2608" s="11" t="n">
        <v>46229</v>
      </c>
      <c r="B2608" s="1" t="n">
        <v>20024</v>
      </c>
      <c r="C2608" s="1" t="inlineStr">
        <is>
          <t>533</t>
        </is>
      </c>
      <c r="D2608" s="1" t="inlineStr">
        <is>
          <t xml:space="preserve">8166  </t>
        </is>
      </c>
      <c r="E2608" s="1" t="inlineStr">
        <is>
          <t xml:space="preserve">30141766       </t>
        </is>
      </c>
      <c r="F2608" s="5" t="inlineStr">
        <is>
          <t>TMZ BEAST MACHINES AUTOS DE METAL BLISTER X 1</t>
        </is>
      </c>
      <c r="G2608" t="n">
        <v>1</v>
      </c>
      <c r="H2608" s="7" t="n">
        <v>7.9</v>
      </c>
      <c r="I2608" s="7" t="n">
        <v>0</v>
      </c>
      <c r="J2608" s="7" t="n">
        <v>0</v>
      </c>
      <c r="K2608" s="9" t="n">
        <v>0</v>
      </c>
      <c r="L2608" s="10" t="n">
        <v>4.68</v>
      </c>
      <c r="M2608" s="10" t="n">
        <v>1.43</v>
      </c>
      <c r="N2608" t="inlineStr">
        <is>
          <t>1</t>
        </is>
      </c>
      <c r="O2608" t="inlineStr">
        <is>
          <t>16</t>
        </is>
      </c>
      <c r="P2608" t="inlineStr">
        <is>
          <t xml:space="preserve">250067  </t>
        </is>
      </c>
      <c r="Q2608" s="26" t="n">
        <v>7.9</v>
      </c>
      <c r="R2608" s="26">
        <f>Q2608*G2608</f>
        <v/>
      </c>
      <c r="S2608" t="n">
        <v>4.69</v>
      </c>
      <c r="T2608" s="18">
        <f>1 - V2608/S2608</f>
        <v/>
      </c>
      <c r="U2608" s="18" t="n">
        <v>0</v>
      </c>
      <c r="V2608" s="26" t="n">
        <v>4.69</v>
      </c>
      <c r="W2608" s="26">
        <f>V2608 - L2608</f>
        <v/>
      </c>
    </row>
    <row r="2609">
      <c r="A2609" s="11" t="n">
        <v>46229</v>
      </c>
      <c r="B2609" s="1" t="n">
        <v>20024</v>
      </c>
      <c r="C2609" s="1" t="inlineStr">
        <is>
          <t>803</t>
        </is>
      </c>
      <c r="D2609" s="1" t="inlineStr">
        <is>
          <t xml:space="preserve">7597  </t>
        </is>
      </c>
      <c r="E2609" s="1" t="inlineStr">
        <is>
          <t xml:space="preserve">32457099       </t>
        </is>
      </c>
      <c r="F2609" s="5" t="inlineStr">
        <is>
          <t>TMZ BEAST MACHINES MONSTER JAWS A FRICCION BLISTER</t>
        </is>
      </c>
      <c r="G2609" t="n">
        <v>1</v>
      </c>
      <c r="H2609" s="7" t="n">
        <v>17.9</v>
      </c>
      <c r="I2609" s="7" t="n">
        <v>0</v>
      </c>
      <c r="J2609" s="7" t="n">
        <v>0</v>
      </c>
      <c r="K2609" s="9" t="n">
        <v>0</v>
      </c>
      <c r="L2609" s="10" t="n">
        <v>10.62</v>
      </c>
      <c r="M2609" s="10" t="n">
        <v>1.43</v>
      </c>
      <c r="N2609" t="inlineStr">
        <is>
          <t>1</t>
        </is>
      </c>
      <c r="O2609" t="inlineStr">
        <is>
          <t>16</t>
        </is>
      </c>
      <c r="P2609" t="inlineStr">
        <is>
          <t xml:space="preserve">0       </t>
        </is>
      </c>
      <c r="Q2609" s="26" t="n">
        <v>19.9</v>
      </c>
      <c r="R2609" s="26">
        <f>Q2609*G2609</f>
        <v/>
      </c>
      <c r="S2609" t="n">
        <v>11.81</v>
      </c>
      <c r="T2609" s="18">
        <f>1 - V2609/S2609</f>
        <v/>
      </c>
      <c r="U2609" s="18" t="n">
        <v>0.1005025125628141</v>
      </c>
      <c r="V2609" s="26" t="n">
        <v>8.417118644067797</v>
      </c>
      <c r="W2609" s="26">
        <f>V2609 - L2609</f>
        <v/>
      </c>
    </row>
    <row r="2610">
      <c r="A2610" s="11" t="n">
        <v>46229</v>
      </c>
      <c r="B2610" s="1" t="n">
        <v>20025</v>
      </c>
      <c r="C2610" s="1" t="inlineStr">
        <is>
          <t>130</t>
        </is>
      </c>
      <c r="D2610" s="1" t="inlineStr">
        <is>
          <t>100946</t>
        </is>
      </c>
      <c r="E2610" s="1" t="inlineStr">
        <is>
          <t xml:space="preserve">28194770       </t>
        </is>
      </c>
      <c r="F2610" s="5" t="inlineStr">
        <is>
          <t>AUTOS DE METAL 3 TEAMSTERZ EN BLISTER</t>
        </is>
      </c>
      <c r="G2610" t="n">
        <v>1</v>
      </c>
      <c r="H2610" s="7" t="n">
        <v>6.9</v>
      </c>
      <c r="I2610" s="7" t="n">
        <v>0</v>
      </c>
      <c r="J2610" s="7" t="n">
        <v>0</v>
      </c>
      <c r="K2610" s="9" t="n">
        <v>0</v>
      </c>
      <c r="L2610" s="10" t="n">
        <v>4.1</v>
      </c>
      <c r="M2610" s="10" t="n">
        <v>1.43</v>
      </c>
      <c r="N2610" t="inlineStr">
        <is>
          <t>1</t>
        </is>
      </c>
      <c r="O2610" t="inlineStr">
        <is>
          <t>16</t>
        </is>
      </c>
      <c r="P2610" t="inlineStr">
        <is>
          <t xml:space="preserve">39591   </t>
        </is>
      </c>
      <c r="Q2610" s="26" t="n">
        <v>6.9</v>
      </c>
      <c r="R2610" s="26">
        <f>Q2610*G2610</f>
        <v/>
      </c>
      <c r="S2610" t="n">
        <v>4.09</v>
      </c>
      <c r="T2610" s="18">
        <f>1 - V2610/S2610</f>
        <v/>
      </c>
      <c r="U2610" s="18" t="n">
        <v>0</v>
      </c>
      <c r="V2610" s="26" t="n">
        <v>4.09</v>
      </c>
      <c r="W2610" s="26">
        <f>V2610 - L2610</f>
        <v/>
      </c>
    </row>
    <row r="2611">
      <c r="A2611" s="11" t="n">
        <v>46229</v>
      </c>
      <c r="B2611" s="1" t="n">
        <v>20028</v>
      </c>
      <c r="C2611" s="1" t="inlineStr">
        <is>
          <t>021</t>
        </is>
      </c>
      <c r="D2611" s="1" t="inlineStr">
        <is>
          <t>186694</t>
        </is>
      </c>
      <c r="E2611" s="1" t="inlineStr">
        <is>
          <t xml:space="preserve">28194766       </t>
        </is>
      </c>
      <c r="F2611" s="5" t="inlineStr">
        <is>
          <t>CAMIONES TEAMSTERZ DE CIUDAD</t>
        </is>
      </c>
      <c r="G2611" t="n">
        <v>1</v>
      </c>
      <c r="H2611" s="7" t="n">
        <v>17.9</v>
      </c>
      <c r="I2611" s="7" t="n">
        <v>0</v>
      </c>
      <c r="J2611" s="7" t="n">
        <v>0</v>
      </c>
      <c r="K2611" s="9" t="n">
        <v>0</v>
      </c>
      <c r="L2611" s="10" t="n">
        <v>10.62</v>
      </c>
      <c r="M2611" s="10" t="n">
        <v>1.43</v>
      </c>
      <c r="N2611" t="inlineStr">
        <is>
          <t>1</t>
        </is>
      </c>
      <c r="O2611" t="inlineStr">
        <is>
          <t>16</t>
        </is>
      </c>
      <c r="P2611" t="inlineStr">
        <is>
          <t xml:space="preserve">23741   </t>
        </is>
      </c>
      <c r="Q2611" s="26" t="n">
        <v>17.9</v>
      </c>
      <c r="R2611" s="26">
        <f>Q2611*G2611</f>
        <v/>
      </c>
      <c r="S2611" t="n">
        <v>10.62</v>
      </c>
      <c r="T2611" s="18">
        <f>1 - V2611/S2611</f>
        <v/>
      </c>
      <c r="U2611" s="18" t="n">
        <v>0</v>
      </c>
      <c r="V2611" s="26" t="n">
        <v>10.62</v>
      </c>
      <c r="W2611" s="26">
        <f>V2611 - L2611</f>
        <v/>
      </c>
    </row>
    <row r="2612">
      <c r="A2612" s="11" t="n">
        <v>46229</v>
      </c>
      <c r="B2612" s="1" t="n">
        <v>20030</v>
      </c>
      <c r="C2612" s="1" t="inlineStr">
        <is>
          <t>077</t>
        </is>
      </c>
      <c r="D2612" s="1" t="inlineStr">
        <is>
          <t>232978</t>
        </is>
      </c>
      <c r="E2612" s="1" t="inlineStr">
        <is>
          <t xml:space="preserve">28194770       </t>
        </is>
      </c>
      <c r="F2612" s="5" t="inlineStr">
        <is>
          <t>AUTOS DE METAL 3 TEAMSTERZ EN BLISTER</t>
        </is>
      </c>
      <c r="G2612" t="n">
        <v>1</v>
      </c>
      <c r="H2612" s="7" t="n">
        <v>6.9</v>
      </c>
      <c r="I2612" s="7" t="n">
        <v>0.6899999999999999</v>
      </c>
      <c r="J2612" s="7" t="n">
        <v>0</v>
      </c>
      <c r="K2612" s="9" t="n">
        <v>0.6899999999999999</v>
      </c>
      <c r="L2612" s="10" t="n">
        <v>3.68</v>
      </c>
      <c r="M2612" s="10" t="n">
        <v>1.43</v>
      </c>
      <c r="N2612" t="inlineStr">
        <is>
          <t>1</t>
        </is>
      </c>
      <c r="O2612" t="inlineStr">
        <is>
          <t xml:space="preserve">3 </t>
        </is>
      </c>
      <c r="P2612" t="inlineStr">
        <is>
          <t xml:space="preserve">52224   </t>
        </is>
      </c>
      <c r="Q2612" s="26" t="n">
        <v>6.9</v>
      </c>
      <c r="R2612" s="26">
        <f>Q2612*G2612</f>
        <v/>
      </c>
      <c r="S2612" t="n">
        <v>4.09</v>
      </c>
      <c r="T2612" s="18">
        <f>1 - V2612/S2612</f>
        <v/>
      </c>
      <c r="U2612" s="18" t="n">
        <v>0</v>
      </c>
      <c r="V2612" s="26" t="n">
        <v>4.09</v>
      </c>
      <c r="W2612" s="26">
        <f>V2612 - L2612</f>
        <v/>
      </c>
    </row>
    <row r="2613">
      <c r="A2613" s="11" t="n">
        <v>46229</v>
      </c>
      <c r="B2613" s="1" t="n">
        <v>20030</v>
      </c>
      <c r="C2613" s="1" t="inlineStr">
        <is>
          <t>077</t>
        </is>
      </c>
      <c r="D2613" s="1" t="inlineStr">
        <is>
          <t xml:space="preserve">6880  </t>
        </is>
      </c>
      <c r="E2613" s="1" t="inlineStr">
        <is>
          <t xml:space="preserve">28194780       </t>
        </is>
      </c>
      <c r="F2613" s="5" t="inlineStr">
        <is>
          <t>TROMPO BATALLA INFINITY NADO PLSTICO SURTIDO</t>
        </is>
      </c>
      <c r="G2613" t="n">
        <v>1</v>
      </c>
      <c r="H2613" s="7" t="n">
        <v>19.9</v>
      </c>
      <c r="I2613" s="7" t="n">
        <v>0</v>
      </c>
      <c r="J2613" s="7" t="n">
        <v>0</v>
      </c>
      <c r="K2613" s="9" t="n">
        <v>0</v>
      </c>
      <c r="L2613" s="10" t="n">
        <v>11.8</v>
      </c>
      <c r="M2613" s="10" t="n">
        <v>1.43</v>
      </c>
      <c r="N2613" t="inlineStr">
        <is>
          <t>1</t>
        </is>
      </c>
      <c r="O2613" t="inlineStr">
        <is>
          <t>16</t>
        </is>
      </c>
      <c r="P2613" t="inlineStr">
        <is>
          <t xml:space="preserve">52224   </t>
        </is>
      </c>
      <c r="Q2613" s="26" t="n">
        <v>19.9</v>
      </c>
      <c r="R2613" s="26">
        <f>Q2613*G2613</f>
        <v/>
      </c>
      <c r="S2613" t="n">
        <v>11.81</v>
      </c>
      <c r="T2613" s="18">
        <f>1 - V2613/S2613</f>
        <v/>
      </c>
      <c r="U2613" s="18" t="n">
        <v>0</v>
      </c>
      <c r="V2613" s="26" t="n">
        <v>11.81</v>
      </c>
      <c r="W2613" s="26">
        <f>V2613 - L2613</f>
        <v/>
      </c>
    </row>
    <row r="2614">
      <c r="A2614" s="11" t="n">
        <v>46229</v>
      </c>
      <c r="B2614" s="1" t="n">
        <v>20030</v>
      </c>
      <c r="C2614" s="1" t="inlineStr">
        <is>
          <t>077</t>
        </is>
      </c>
      <c r="D2614" s="1" t="inlineStr">
        <is>
          <t xml:space="preserve">6880  </t>
        </is>
      </c>
      <c r="E2614" s="1" t="inlineStr">
        <is>
          <t xml:space="preserve">28194780       </t>
        </is>
      </c>
      <c r="F2614" s="5" t="inlineStr">
        <is>
          <t>TROMPO BATALLA INFINITY NADO PLSTICO SURTIDO</t>
        </is>
      </c>
      <c r="G2614" t="n">
        <v>1</v>
      </c>
      <c r="H2614" s="7" t="n">
        <v>19.9</v>
      </c>
      <c r="I2614" s="7" t="n">
        <v>0</v>
      </c>
      <c r="J2614" s="7" t="n">
        <v>0</v>
      </c>
      <c r="K2614" s="9" t="n">
        <v>0</v>
      </c>
      <c r="L2614" s="10" t="n">
        <v>11.8</v>
      </c>
      <c r="M2614" s="10" t="n">
        <v>1.43</v>
      </c>
      <c r="N2614" t="inlineStr">
        <is>
          <t>1</t>
        </is>
      </c>
      <c r="O2614" t="inlineStr">
        <is>
          <t>16</t>
        </is>
      </c>
      <c r="P2614" t="inlineStr">
        <is>
          <t xml:space="preserve">52224   </t>
        </is>
      </c>
      <c r="Q2614" s="26" t="n">
        <v>19.9</v>
      </c>
      <c r="R2614" s="26">
        <f>Q2614*G2614</f>
        <v/>
      </c>
      <c r="S2614" t="n">
        <v>11.81</v>
      </c>
      <c r="T2614" s="18">
        <f>1 - V2614/S2614</f>
        <v/>
      </c>
      <c r="U2614" s="18" t="n">
        <v>0</v>
      </c>
      <c r="V2614" s="26" t="n">
        <v>11.81</v>
      </c>
      <c r="W2614" s="26">
        <f>V2614 - L2614</f>
        <v/>
      </c>
    </row>
    <row r="2615">
      <c r="A2615" s="11" t="n">
        <v>46229</v>
      </c>
      <c r="B2615" s="1" t="n">
        <v>20040</v>
      </c>
      <c r="C2615" s="1" t="inlineStr">
        <is>
          <t>036</t>
        </is>
      </c>
      <c r="D2615" s="1" t="inlineStr">
        <is>
          <t>193194</t>
        </is>
      </c>
      <c r="E2615" s="1" t="inlineStr">
        <is>
          <t xml:space="preserve">29854051       </t>
        </is>
      </c>
      <c r="F2615" s="5" t="inlineStr">
        <is>
          <t>TEAMSTERZ AUTO DE METAL PACK 10 AUTOS</t>
        </is>
      </c>
      <c r="G2615" t="n">
        <v>1</v>
      </c>
      <c r="H2615" s="7" t="n">
        <v>69</v>
      </c>
      <c r="I2615" s="7" t="n">
        <v>0</v>
      </c>
      <c r="J2615" s="7" t="n">
        <v>0</v>
      </c>
      <c r="K2615" s="9" t="n">
        <v>0</v>
      </c>
      <c r="L2615" s="10" t="n">
        <v>40.93</v>
      </c>
      <c r="M2615" s="10" t="n">
        <v>1.43</v>
      </c>
      <c r="N2615" t="inlineStr">
        <is>
          <t>1</t>
        </is>
      </c>
      <c r="O2615" t="inlineStr">
        <is>
          <t>16</t>
        </is>
      </c>
      <c r="P2615" t="inlineStr">
        <is>
          <t xml:space="preserve">248914  </t>
        </is>
      </c>
      <c r="Q2615" s="26" t="n">
        <v>69</v>
      </c>
      <c r="R2615" s="26">
        <f>Q2615*G2615</f>
        <v/>
      </c>
      <c r="S2615" t="n">
        <v>40.93</v>
      </c>
      <c r="T2615" s="18">
        <f>1 - V2615/S2615</f>
        <v/>
      </c>
      <c r="U2615" s="18" t="n">
        <v>0</v>
      </c>
      <c r="V2615" s="26" t="n">
        <v>40.93</v>
      </c>
      <c r="W2615" s="26">
        <f>V2615 - L2615</f>
        <v/>
      </c>
    </row>
    <row r="2616">
      <c r="A2616" s="11" t="n">
        <v>46229</v>
      </c>
      <c r="B2616" s="1" t="n">
        <v>20040</v>
      </c>
      <c r="C2616" s="1" t="inlineStr">
        <is>
          <t>073</t>
        </is>
      </c>
      <c r="D2616" s="1" t="inlineStr">
        <is>
          <t>255756</t>
        </is>
      </c>
      <c r="E2616" s="1" t="inlineStr">
        <is>
          <t xml:space="preserve">34840550       </t>
        </is>
      </c>
      <c r="F2616" s="5" t="inlineStr">
        <is>
          <t>TEAMSTERZ M/MOVERZ TRANSPORTA GORILA</t>
        </is>
      </c>
      <c r="G2616" t="n">
        <v>1</v>
      </c>
      <c r="H2616" s="7" t="n">
        <v>129</v>
      </c>
      <c r="I2616" s="7" t="n">
        <v>0</v>
      </c>
      <c r="J2616" s="7" t="n">
        <v>0</v>
      </c>
      <c r="K2616" s="9" t="n">
        <v>0</v>
      </c>
      <c r="L2616" s="10" t="n">
        <v>76.52</v>
      </c>
      <c r="M2616" s="10" t="n">
        <v>1.43</v>
      </c>
      <c r="N2616" t="inlineStr">
        <is>
          <t>1</t>
        </is>
      </c>
      <c r="O2616" t="inlineStr">
        <is>
          <t xml:space="preserve">2 </t>
        </is>
      </c>
      <c r="P2616" t="inlineStr">
        <is>
          <t xml:space="preserve">250039  </t>
        </is>
      </c>
      <c r="Q2616" s="26" t="n">
        <v>129</v>
      </c>
      <c r="R2616" s="26">
        <f>Q2616*G2616</f>
        <v/>
      </c>
      <c r="S2616" t="n">
        <v>76.53</v>
      </c>
      <c r="T2616" s="18">
        <f>1 - V2616/S2616</f>
        <v/>
      </c>
      <c r="U2616" s="18" t="n">
        <v>0</v>
      </c>
      <c r="V2616" s="26" t="n">
        <v>76.53</v>
      </c>
      <c r="W2616" s="26">
        <f>V2616 - L2616</f>
        <v/>
      </c>
    </row>
    <row r="2617">
      <c r="A2617" s="11" t="n">
        <v>46229</v>
      </c>
      <c r="B2617" s="1" t="n">
        <v>20040</v>
      </c>
      <c r="C2617" s="1" t="inlineStr">
        <is>
          <t>073</t>
        </is>
      </c>
      <c r="D2617" s="1" t="inlineStr">
        <is>
          <t>255794</t>
        </is>
      </c>
      <c r="E2617" s="1" t="inlineStr">
        <is>
          <t xml:space="preserve">30232283       </t>
        </is>
      </c>
      <c r="F2617" s="5" t="inlineStr">
        <is>
          <t>INFINITY NADO PACK DE 2 TROMPOS DE BATALLA METAL</t>
        </is>
      </c>
      <c r="G2617" t="n">
        <v>1</v>
      </c>
      <c r="H2617" s="7" t="n">
        <v>59.9</v>
      </c>
      <c r="I2617" s="7" t="n">
        <v>0</v>
      </c>
      <c r="J2617" s="7" t="n">
        <v>0</v>
      </c>
      <c r="K2617" s="9" t="n">
        <v>0</v>
      </c>
      <c r="L2617" s="10" t="n">
        <v>35.53</v>
      </c>
      <c r="M2617" s="10" t="n">
        <v>1.43</v>
      </c>
      <c r="N2617" t="inlineStr">
        <is>
          <t>1</t>
        </is>
      </c>
      <c r="O2617" t="inlineStr">
        <is>
          <t>16</t>
        </is>
      </c>
      <c r="P2617" t="inlineStr">
        <is>
          <t xml:space="preserve">250039  </t>
        </is>
      </c>
      <c r="Q2617" s="26" t="n">
        <v>79.90000000000001</v>
      </c>
      <c r="R2617" s="26">
        <f>Q2617*G2617</f>
        <v/>
      </c>
      <c r="S2617" t="n">
        <v>47.4</v>
      </c>
      <c r="T2617" s="18">
        <f>1 - V2617/S2617</f>
        <v/>
      </c>
      <c r="U2617" s="18" t="n">
        <v>0.2503128911138924</v>
      </c>
      <c r="V2617" s="26" t="n">
        <v>38.07203389830509</v>
      </c>
      <c r="W2617" s="26">
        <f>V2617 - L2617</f>
        <v/>
      </c>
    </row>
    <row r="2618">
      <c r="A2618" s="11" t="n">
        <v>46229</v>
      </c>
      <c r="B2618" s="1" t="n">
        <v>20040</v>
      </c>
      <c r="C2618" s="1" t="inlineStr">
        <is>
          <t>190</t>
        </is>
      </c>
      <c r="D2618" s="1" t="inlineStr">
        <is>
          <t>369062</t>
        </is>
      </c>
      <c r="E2618" s="1" t="inlineStr">
        <is>
          <t xml:space="preserve">30141769       </t>
        </is>
      </c>
      <c r="F2618" s="5" t="inlineStr">
        <is>
          <t>TMZ BEAST MACHINES TRANSPORTE DINOSAURIO + 3 AUTOS</t>
        </is>
      </c>
      <c r="G2618" t="n">
        <v>1</v>
      </c>
      <c r="H2618" s="7" t="n">
        <v>59.9</v>
      </c>
      <c r="I2618" s="7" t="n">
        <v>0</v>
      </c>
      <c r="J2618" s="7" t="n">
        <v>0</v>
      </c>
      <c r="K2618" s="9" t="n">
        <v>0</v>
      </c>
      <c r="L2618" s="10" t="n">
        <v>35.53</v>
      </c>
      <c r="M2618" s="10" t="n">
        <v>1.43</v>
      </c>
      <c r="N2618" t="inlineStr">
        <is>
          <t>1</t>
        </is>
      </c>
      <c r="O2618" t="inlineStr">
        <is>
          <t xml:space="preserve">2 </t>
        </is>
      </c>
      <c r="P2618" t="inlineStr">
        <is>
          <t xml:space="preserve">61602   </t>
        </is>
      </c>
      <c r="Q2618" s="26" t="n">
        <v>79.90000000000001</v>
      </c>
      <c r="R2618" s="26">
        <f>Q2618*G2618</f>
        <v/>
      </c>
      <c r="S2618" t="n">
        <v>47.4</v>
      </c>
      <c r="T2618" s="18">
        <f>1 - V2618/S2618</f>
        <v/>
      </c>
      <c r="U2618" s="18" t="n">
        <v>0.2503128911138924</v>
      </c>
      <c r="V2618" s="26" t="n">
        <v>38.07203389830509</v>
      </c>
      <c r="W2618" s="26">
        <f>V2618 - L2618</f>
        <v/>
      </c>
    </row>
    <row r="2619">
      <c r="A2619" s="11" t="n">
        <v>46229</v>
      </c>
      <c r="B2619" s="1" t="n">
        <v>20041</v>
      </c>
      <c r="C2619" s="1" t="inlineStr">
        <is>
          <t>016</t>
        </is>
      </c>
      <c r="D2619" s="1" t="inlineStr">
        <is>
          <t>216960</t>
        </is>
      </c>
      <c r="E2619" s="1" t="inlineStr">
        <is>
          <t xml:space="preserve">28194770       </t>
        </is>
      </c>
      <c r="F2619" s="5" t="inlineStr">
        <is>
          <t>AUTOS DE METAL 3 TEAMSTERZ EN BLISTER</t>
        </is>
      </c>
      <c r="G2619" t="n">
        <v>1</v>
      </c>
      <c r="H2619" s="7" t="n">
        <v>6.9</v>
      </c>
      <c r="I2619" s="7" t="n">
        <v>0</v>
      </c>
      <c r="J2619" s="7" t="n">
        <v>0</v>
      </c>
      <c r="K2619" s="9" t="n">
        <v>0</v>
      </c>
      <c r="L2619" s="10" t="n">
        <v>4.1</v>
      </c>
      <c r="M2619" s="10" t="n">
        <v>1.43</v>
      </c>
      <c r="N2619" t="inlineStr">
        <is>
          <t>1</t>
        </is>
      </c>
      <c r="O2619" t="inlineStr">
        <is>
          <t xml:space="preserve">2 </t>
        </is>
      </c>
      <c r="P2619" t="inlineStr">
        <is>
          <t xml:space="preserve">91630   </t>
        </is>
      </c>
      <c r="Q2619" s="26" t="n">
        <v>6.9</v>
      </c>
      <c r="R2619" s="26">
        <f>Q2619*G2619</f>
        <v/>
      </c>
      <c r="S2619" t="n">
        <v>4.09</v>
      </c>
      <c r="T2619" s="18">
        <f>1 - V2619/S2619</f>
        <v/>
      </c>
      <c r="U2619" s="18" t="n">
        <v>0</v>
      </c>
      <c r="V2619" s="26" t="n">
        <v>4.09</v>
      </c>
      <c r="W2619" s="26">
        <f>V2619 - L2619</f>
        <v/>
      </c>
    </row>
    <row r="2620">
      <c r="A2620" s="11" t="n">
        <v>46229</v>
      </c>
      <c r="B2620" s="1" t="n">
        <v>20041</v>
      </c>
      <c r="C2620" s="1" t="inlineStr">
        <is>
          <t>016</t>
        </is>
      </c>
      <c r="D2620" s="1" t="inlineStr">
        <is>
          <t>216979</t>
        </is>
      </c>
      <c r="E2620" s="1" t="inlineStr">
        <is>
          <t xml:space="preserve">28194770       </t>
        </is>
      </c>
      <c r="F2620" s="5" t="inlineStr">
        <is>
          <t>AUTOS DE METAL 3 TEAMSTERZ EN BLISTER</t>
        </is>
      </c>
      <c r="G2620" t="n">
        <v>1</v>
      </c>
      <c r="H2620" s="7" t="n">
        <v>6.9</v>
      </c>
      <c r="I2620" s="7" t="n">
        <v>0</v>
      </c>
      <c r="J2620" s="7" t="n">
        <v>0</v>
      </c>
      <c r="K2620" s="9" t="n">
        <v>0</v>
      </c>
      <c r="L2620" s="10" t="n">
        <v>4.1</v>
      </c>
      <c r="M2620" s="10" t="n">
        <v>1.43</v>
      </c>
      <c r="N2620" t="inlineStr">
        <is>
          <t>1</t>
        </is>
      </c>
      <c r="O2620" t="inlineStr">
        <is>
          <t xml:space="preserve">2 </t>
        </is>
      </c>
      <c r="P2620" t="inlineStr">
        <is>
          <t xml:space="preserve">91630   </t>
        </is>
      </c>
      <c r="Q2620" s="26" t="n">
        <v>6.9</v>
      </c>
      <c r="R2620" s="26">
        <f>Q2620*G2620</f>
        <v/>
      </c>
      <c r="S2620" t="n">
        <v>4.09</v>
      </c>
      <c r="T2620" s="18">
        <f>1 - V2620/S2620</f>
        <v/>
      </c>
      <c r="U2620" s="18" t="n">
        <v>0</v>
      </c>
      <c r="V2620" s="26" t="n">
        <v>4.09</v>
      </c>
      <c r="W2620" s="26">
        <f>V2620 - L2620</f>
        <v/>
      </c>
    </row>
    <row r="2621">
      <c r="A2621" s="11" t="n">
        <v>46229</v>
      </c>
      <c r="B2621" s="1" t="n">
        <v>20041</v>
      </c>
      <c r="C2621" s="1" t="inlineStr">
        <is>
          <t>016</t>
        </is>
      </c>
      <c r="D2621" s="1" t="inlineStr">
        <is>
          <t>216979</t>
        </is>
      </c>
      <c r="E2621" s="1" t="inlineStr">
        <is>
          <t xml:space="preserve">28194770       </t>
        </is>
      </c>
      <c r="F2621" s="5" t="inlineStr">
        <is>
          <t>AUTOS DE METAL 3 TEAMSTERZ EN BLISTER</t>
        </is>
      </c>
      <c r="G2621" t="n">
        <v>1</v>
      </c>
      <c r="H2621" s="7" t="n">
        <v>6.9</v>
      </c>
      <c r="I2621" s="7" t="n">
        <v>0</v>
      </c>
      <c r="J2621" s="7" t="n">
        <v>0</v>
      </c>
      <c r="K2621" s="9" t="n">
        <v>0</v>
      </c>
      <c r="L2621" s="10" t="n">
        <v>4.1</v>
      </c>
      <c r="M2621" s="10" t="n">
        <v>1.43</v>
      </c>
      <c r="N2621" t="inlineStr">
        <is>
          <t>1</t>
        </is>
      </c>
      <c r="O2621" t="inlineStr">
        <is>
          <t xml:space="preserve">2 </t>
        </is>
      </c>
      <c r="P2621" t="inlineStr">
        <is>
          <t xml:space="preserve">91630   </t>
        </is>
      </c>
      <c r="Q2621" s="26" t="n">
        <v>6.9</v>
      </c>
      <c r="R2621" s="26">
        <f>Q2621*G2621</f>
        <v/>
      </c>
      <c r="S2621" t="n">
        <v>4.09</v>
      </c>
      <c r="T2621" s="18">
        <f>1 - V2621/S2621</f>
        <v/>
      </c>
      <c r="U2621" s="18" t="n">
        <v>0</v>
      </c>
      <c r="V2621" s="26" t="n">
        <v>4.09</v>
      </c>
      <c r="W2621" s="26">
        <f>V2621 - L2621</f>
        <v/>
      </c>
    </row>
    <row r="2622">
      <c r="A2622" s="11" t="n">
        <v>46229</v>
      </c>
      <c r="B2622" s="1" t="n">
        <v>20041</v>
      </c>
      <c r="C2622" s="1" t="inlineStr">
        <is>
          <t>036</t>
        </is>
      </c>
      <c r="D2622" s="1" t="inlineStr">
        <is>
          <t>320808</t>
        </is>
      </c>
      <c r="E2622" s="1" t="inlineStr">
        <is>
          <t xml:space="preserve">28194770       </t>
        </is>
      </c>
      <c r="F2622" s="5" t="inlineStr">
        <is>
          <t>AUTOS DE METAL 3 TEAMSTERZ EN BLISTER</t>
        </is>
      </c>
      <c r="G2622" t="n">
        <v>1</v>
      </c>
      <c r="H2622" s="7" t="n">
        <v>6.9</v>
      </c>
      <c r="I2622" s="7" t="n">
        <v>0</v>
      </c>
      <c r="J2622" s="7" t="n">
        <v>0</v>
      </c>
      <c r="K2622" s="9" t="n">
        <v>0</v>
      </c>
      <c r="L2622" s="10" t="n">
        <v>4.1</v>
      </c>
      <c r="M2622" s="10" t="n">
        <v>1.43</v>
      </c>
      <c r="N2622" t="inlineStr">
        <is>
          <t>1</t>
        </is>
      </c>
      <c r="O2622" t="inlineStr">
        <is>
          <t>16</t>
        </is>
      </c>
      <c r="P2622" t="inlineStr">
        <is>
          <t xml:space="preserve">46327   </t>
        </is>
      </c>
      <c r="Q2622" s="26" t="n">
        <v>6.9</v>
      </c>
      <c r="R2622" s="26">
        <f>Q2622*G2622</f>
        <v/>
      </c>
      <c r="S2622" t="n">
        <v>4.09</v>
      </c>
      <c r="T2622" s="18">
        <f>1 - V2622/S2622</f>
        <v/>
      </c>
      <c r="U2622" s="18" t="n">
        <v>0</v>
      </c>
      <c r="V2622" s="26" t="n">
        <v>4.09</v>
      </c>
      <c r="W2622" s="26">
        <f>V2622 - L2622</f>
        <v/>
      </c>
    </row>
    <row r="2623">
      <c r="A2623" s="11" t="n">
        <v>46229</v>
      </c>
      <c r="B2623" s="1" t="n">
        <v>20041</v>
      </c>
      <c r="C2623" s="1" t="inlineStr">
        <is>
          <t>507</t>
        </is>
      </c>
      <c r="D2623" s="1" t="inlineStr">
        <is>
          <t xml:space="preserve">3451  </t>
        </is>
      </c>
      <c r="E2623" s="1" t="inlineStr">
        <is>
          <t xml:space="preserve">28194770       </t>
        </is>
      </c>
      <c r="F2623" s="5" t="inlineStr">
        <is>
          <t>AUTOS DE METAL 3 TEAMSTERZ EN BLISTER</t>
        </is>
      </c>
      <c r="G2623" t="n">
        <v>2</v>
      </c>
      <c r="H2623" s="7" t="n">
        <v>13.8</v>
      </c>
      <c r="I2623" s="7" t="n">
        <v>0</v>
      </c>
      <c r="J2623" s="7" t="n">
        <v>0</v>
      </c>
      <c r="K2623" s="9" t="n">
        <v>0</v>
      </c>
      <c r="L2623" s="10" t="n">
        <v>8.18</v>
      </c>
      <c r="M2623" s="10" t="n">
        <v>1.43</v>
      </c>
      <c r="N2623" t="inlineStr">
        <is>
          <t>1</t>
        </is>
      </c>
      <c r="O2623" t="inlineStr">
        <is>
          <t>16</t>
        </is>
      </c>
      <c r="P2623" t="inlineStr">
        <is>
          <t xml:space="preserve">46346   </t>
        </is>
      </c>
      <c r="Q2623" s="26" t="n">
        <v>6.9</v>
      </c>
      <c r="R2623" s="26">
        <f>Q2623*G2623</f>
        <v/>
      </c>
      <c r="S2623" t="n">
        <v>8.18</v>
      </c>
      <c r="T2623" s="18">
        <f>1 - V2623/S2623</f>
        <v/>
      </c>
      <c r="U2623" s="18" t="n">
        <v>0</v>
      </c>
      <c r="V2623" s="26" t="n">
        <v>8.18</v>
      </c>
      <c r="W2623" s="26">
        <f>V2623 - L2623</f>
        <v/>
      </c>
    </row>
    <row r="2624">
      <c r="A2624" s="11" t="n">
        <v>46229</v>
      </c>
      <c r="B2624" s="1" t="n">
        <v>20043</v>
      </c>
      <c r="C2624" s="1" t="inlineStr">
        <is>
          <t>030</t>
        </is>
      </c>
      <c r="D2624" s="1" t="inlineStr">
        <is>
          <t>258677</t>
        </is>
      </c>
      <c r="E2624" s="1" t="inlineStr">
        <is>
          <t xml:space="preserve">28194770       </t>
        </is>
      </c>
      <c r="F2624" s="5" t="inlineStr">
        <is>
          <t>AUTOS DE METAL 3 TEAMSTERZ EN BLISTER</t>
        </is>
      </c>
      <c r="G2624" t="n">
        <v>1</v>
      </c>
      <c r="H2624" s="7" t="n">
        <v>6.9</v>
      </c>
      <c r="I2624" s="7" t="n">
        <v>0.6899999999999999</v>
      </c>
      <c r="J2624" s="7" t="n">
        <v>0</v>
      </c>
      <c r="K2624" s="9" t="n">
        <v>0.6899999999999999</v>
      </c>
      <c r="L2624" s="10" t="n">
        <v>3.68</v>
      </c>
      <c r="M2624" s="10" t="n">
        <v>1.43</v>
      </c>
      <c r="N2624" t="inlineStr">
        <is>
          <t>1</t>
        </is>
      </c>
      <c r="O2624" t="inlineStr">
        <is>
          <t>16</t>
        </is>
      </c>
      <c r="P2624" t="inlineStr">
        <is>
          <t xml:space="preserve">244243  </t>
        </is>
      </c>
      <c r="Q2624" s="26" t="n">
        <v>6.9</v>
      </c>
      <c r="R2624" s="26">
        <f>Q2624*G2624</f>
        <v/>
      </c>
      <c r="S2624" t="n">
        <v>4.09</v>
      </c>
      <c r="T2624" s="18">
        <f>1 - V2624/S2624</f>
        <v/>
      </c>
      <c r="U2624" s="18" t="n">
        <v>0</v>
      </c>
      <c r="V2624" s="26" t="n">
        <v>4.09</v>
      </c>
      <c r="W2624" s="26">
        <f>V2624 - L2624</f>
        <v/>
      </c>
    </row>
    <row r="2625">
      <c r="A2625" s="11" t="n">
        <v>46229</v>
      </c>
      <c r="B2625" s="1" t="n">
        <v>20043</v>
      </c>
      <c r="C2625" s="1" t="inlineStr">
        <is>
          <t>030</t>
        </is>
      </c>
      <c r="D2625" s="1" t="inlineStr">
        <is>
          <t>258677</t>
        </is>
      </c>
      <c r="E2625" s="1" t="inlineStr">
        <is>
          <t xml:space="preserve">28194770       </t>
        </is>
      </c>
      <c r="F2625" s="5" t="inlineStr">
        <is>
          <t>AUTOS DE METAL 3 TEAMSTERZ EN BLISTER</t>
        </is>
      </c>
      <c r="G2625" t="n">
        <v>1</v>
      </c>
      <c r="H2625" s="7" t="n">
        <v>6.9</v>
      </c>
      <c r="I2625" s="7" t="n">
        <v>0.6899999999999999</v>
      </c>
      <c r="J2625" s="7" t="n">
        <v>0</v>
      </c>
      <c r="K2625" s="9" t="n">
        <v>0.6899999999999999</v>
      </c>
      <c r="L2625" s="10" t="n">
        <v>3.68</v>
      </c>
      <c r="M2625" s="10" t="n">
        <v>1.43</v>
      </c>
      <c r="N2625" t="inlineStr">
        <is>
          <t>1</t>
        </is>
      </c>
      <c r="O2625" t="inlineStr">
        <is>
          <t>16</t>
        </is>
      </c>
      <c r="P2625" t="inlineStr">
        <is>
          <t xml:space="preserve">244243  </t>
        </is>
      </c>
      <c r="Q2625" s="26" t="n">
        <v>6.9</v>
      </c>
      <c r="R2625" s="26">
        <f>Q2625*G2625</f>
        <v/>
      </c>
      <c r="S2625" t="n">
        <v>4.09</v>
      </c>
      <c r="T2625" s="18">
        <f>1 - V2625/S2625</f>
        <v/>
      </c>
      <c r="U2625" s="18" t="n">
        <v>0</v>
      </c>
      <c r="V2625" s="26" t="n">
        <v>4.09</v>
      </c>
      <c r="W2625" s="26">
        <f>V2625 - L2625</f>
        <v/>
      </c>
    </row>
    <row r="2626">
      <c r="A2626" s="11" t="n">
        <v>46229</v>
      </c>
      <c r="B2626" s="1" t="n">
        <v>20043</v>
      </c>
      <c r="C2626" s="1" t="inlineStr">
        <is>
          <t>051</t>
        </is>
      </c>
      <c r="D2626" s="1" t="inlineStr">
        <is>
          <t>105841</t>
        </is>
      </c>
      <c r="E2626" s="1" t="inlineStr">
        <is>
          <t xml:space="preserve">28194770       </t>
        </is>
      </c>
      <c r="F2626" s="5" t="inlineStr">
        <is>
          <t>AUTOS DE METAL 3 TEAMSTERZ EN BLISTER</t>
        </is>
      </c>
      <c r="G2626" t="n">
        <v>1</v>
      </c>
      <c r="H2626" s="7" t="n">
        <v>6.9</v>
      </c>
      <c r="I2626" s="7" t="n">
        <v>0</v>
      </c>
      <c r="J2626" s="7" t="n">
        <v>0</v>
      </c>
      <c r="K2626" s="9" t="n">
        <v>0</v>
      </c>
      <c r="L2626" s="10" t="n">
        <v>4.1</v>
      </c>
      <c r="M2626" s="10" t="n">
        <v>1.43</v>
      </c>
      <c r="N2626" t="inlineStr">
        <is>
          <t>1</t>
        </is>
      </c>
      <c r="O2626" t="inlineStr">
        <is>
          <t>16</t>
        </is>
      </c>
      <c r="P2626" t="inlineStr">
        <is>
          <t xml:space="preserve">52184   </t>
        </is>
      </c>
      <c r="Q2626" s="26" t="n">
        <v>6.9</v>
      </c>
      <c r="R2626" s="26">
        <f>Q2626*G2626</f>
        <v/>
      </c>
      <c r="S2626" t="n">
        <v>4.09</v>
      </c>
      <c r="T2626" s="18">
        <f>1 - V2626/S2626</f>
        <v/>
      </c>
      <c r="U2626" s="18" t="n">
        <v>0</v>
      </c>
      <c r="V2626" s="26" t="n">
        <v>4.09</v>
      </c>
      <c r="W2626" s="26">
        <f>V2626 - L2626</f>
        <v/>
      </c>
    </row>
    <row r="2627">
      <c r="A2627" s="11" t="n">
        <v>46229</v>
      </c>
      <c r="B2627" s="1" t="n">
        <v>20043</v>
      </c>
      <c r="C2627" s="1" t="inlineStr">
        <is>
          <t>059</t>
        </is>
      </c>
      <c r="D2627" s="1" t="inlineStr">
        <is>
          <t>151124</t>
        </is>
      </c>
      <c r="E2627" s="1" t="inlineStr">
        <is>
          <t xml:space="preserve">28194770       </t>
        </is>
      </c>
      <c r="F2627" s="5" t="inlineStr">
        <is>
          <t>AUTOS DE METAL 3 TEAMSTERZ EN BLISTER</t>
        </is>
      </c>
      <c r="G2627" t="n">
        <v>1</v>
      </c>
      <c r="H2627" s="7" t="n">
        <v>6.9</v>
      </c>
      <c r="I2627" s="7" t="n">
        <v>0</v>
      </c>
      <c r="J2627" s="7" t="n">
        <v>0</v>
      </c>
      <c r="K2627" s="9" t="n">
        <v>0</v>
      </c>
      <c r="L2627" s="10" t="n">
        <v>4.1</v>
      </c>
      <c r="M2627" s="10" t="n">
        <v>1.43</v>
      </c>
      <c r="N2627" t="inlineStr">
        <is>
          <t>1</t>
        </is>
      </c>
      <c r="O2627" t="inlineStr">
        <is>
          <t xml:space="preserve">2 </t>
        </is>
      </c>
      <c r="P2627" t="inlineStr">
        <is>
          <t xml:space="preserve">55076   </t>
        </is>
      </c>
      <c r="Q2627" s="26" t="n">
        <v>6.9</v>
      </c>
      <c r="R2627" s="26">
        <f>Q2627*G2627</f>
        <v/>
      </c>
      <c r="S2627" t="n">
        <v>4.09</v>
      </c>
      <c r="T2627" s="18">
        <f>1 - V2627/S2627</f>
        <v/>
      </c>
      <c r="U2627" s="18" t="n">
        <v>0</v>
      </c>
      <c r="V2627" s="26" t="n">
        <v>4.09</v>
      </c>
      <c r="W2627" s="26">
        <f>V2627 - L2627</f>
        <v/>
      </c>
    </row>
    <row r="2628">
      <c r="A2628" s="11" t="n">
        <v>46229</v>
      </c>
      <c r="B2628" s="1" t="n">
        <v>20047</v>
      </c>
      <c r="C2628" s="1" t="inlineStr">
        <is>
          <t>012</t>
        </is>
      </c>
      <c r="D2628" s="1" t="inlineStr">
        <is>
          <t>334284</t>
        </is>
      </c>
      <c r="E2628" s="1" t="inlineStr">
        <is>
          <t xml:space="preserve">28194767       </t>
        </is>
      </c>
      <c r="F2628" s="5" t="inlineStr">
        <is>
          <t>CAMIONES TEAMSTERZ DE EMERGENCIA</t>
        </is>
      </c>
      <c r="G2628" t="n">
        <v>1</v>
      </c>
      <c r="H2628" s="7" t="n">
        <v>17.9</v>
      </c>
      <c r="I2628" s="7" t="n">
        <v>0</v>
      </c>
      <c r="J2628" s="7" t="n">
        <v>0</v>
      </c>
      <c r="K2628" s="9" t="n">
        <v>0</v>
      </c>
      <c r="L2628" s="10" t="n">
        <v>10.62</v>
      </c>
      <c r="M2628" s="10" t="n">
        <v>1.43</v>
      </c>
      <c r="N2628" t="inlineStr">
        <is>
          <t>1</t>
        </is>
      </c>
      <c r="O2628" t="inlineStr">
        <is>
          <t>16</t>
        </is>
      </c>
      <c r="P2628" t="inlineStr">
        <is>
          <t xml:space="preserve">245862  </t>
        </is>
      </c>
      <c r="Q2628" s="26" t="n">
        <v>17.9</v>
      </c>
      <c r="R2628" s="26">
        <f>Q2628*G2628</f>
        <v/>
      </c>
      <c r="S2628" t="n">
        <v>10.62</v>
      </c>
      <c r="T2628" s="18">
        <f>1 - V2628/S2628</f>
        <v/>
      </c>
      <c r="U2628" s="18" t="n">
        <v>0</v>
      </c>
      <c r="V2628" s="26" t="n">
        <v>10.62</v>
      </c>
      <c r="W2628" s="26">
        <f>V2628 - L2628</f>
        <v/>
      </c>
    </row>
    <row r="2629">
      <c r="A2629" s="11" t="n">
        <v>46229</v>
      </c>
      <c r="B2629" s="1" t="n">
        <v>20047</v>
      </c>
      <c r="C2629" s="1" t="inlineStr">
        <is>
          <t>015</t>
        </is>
      </c>
      <c r="D2629" s="1" t="inlineStr">
        <is>
          <t>263254</t>
        </is>
      </c>
      <c r="E2629" s="1" t="inlineStr">
        <is>
          <t xml:space="preserve">28194770       </t>
        </is>
      </c>
      <c r="F2629" s="5" t="inlineStr">
        <is>
          <t>AUTOS DE METAL 3 TEAMSTERZ EN BLISTER</t>
        </is>
      </c>
      <c r="G2629" t="n">
        <v>1</v>
      </c>
      <c r="H2629" s="7" t="n">
        <v>6.9</v>
      </c>
      <c r="I2629" s="7" t="n">
        <v>0</v>
      </c>
      <c r="J2629" s="7" t="n">
        <v>0</v>
      </c>
      <c r="K2629" s="9" t="n">
        <v>0</v>
      </c>
      <c r="L2629" s="10" t="n">
        <v>4.1</v>
      </c>
      <c r="M2629" s="10" t="n">
        <v>1.43</v>
      </c>
      <c r="N2629" t="inlineStr">
        <is>
          <t>1</t>
        </is>
      </c>
      <c r="O2629" t="inlineStr">
        <is>
          <t>16</t>
        </is>
      </c>
      <c r="P2629" t="inlineStr">
        <is>
          <t xml:space="preserve">240556  </t>
        </is>
      </c>
      <c r="Q2629" s="26" t="n">
        <v>6.9</v>
      </c>
      <c r="R2629" s="26">
        <f>Q2629*G2629</f>
        <v/>
      </c>
      <c r="S2629" t="n">
        <v>4.09</v>
      </c>
      <c r="T2629" s="18">
        <f>1 - V2629/S2629</f>
        <v/>
      </c>
      <c r="U2629" s="18" t="n">
        <v>0</v>
      </c>
      <c r="V2629" s="26" t="n">
        <v>4.09</v>
      </c>
      <c r="W2629" s="26">
        <f>V2629 - L2629</f>
        <v/>
      </c>
    </row>
    <row r="2630">
      <c r="A2630" s="11" t="n">
        <v>46229</v>
      </c>
      <c r="B2630" s="1" t="n">
        <v>20047</v>
      </c>
      <c r="C2630" s="1" t="inlineStr">
        <is>
          <t>015</t>
        </is>
      </c>
      <c r="D2630" s="1" t="inlineStr">
        <is>
          <t>263283</t>
        </is>
      </c>
      <c r="E2630" s="1" t="inlineStr">
        <is>
          <t xml:space="preserve">28194770       </t>
        </is>
      </c>
      <c r="F2630" s="5" t="inlineStr">
        <is>
          <t>AUTOS DE METAL 3 TEAMSTERZ EN BLISTER</t>
        </is>
      </c>
      <c r="G2630" t="n">
        <v>1</v>
      </c>
      <c r="H2630" s="7" t="n">
        <v>6.9</v>
      </c>
      <c r="I2630" s="7" t="n">
        <v>0</v>
      </c>
      <c r="J2630" s="7" t="n">
        <v>0</v>
      </c>
      <c r="K2630" s="9" t="n">
        <v>0</v>
      </c>
      <c r="L2630" s="10" t="n">
        <v>4.1</v>
      </c>
      <c r="M2630" s="10" t="n">
        <v>1.43</v>
      </c>
      <c r="N2630" t="inlineStr">
        <is>
          <t>1</t>
        </is>
      </c>
      <c r="O2630" t="inlineStr">
        <is>
          <t xml:space="preserve">2 </t>
        </is>
      </c>
      <c r="P2630" t="inlineStr">
        <is>
          <t xml:space="preserve">248817  </t>
        </is>
      </c>
      <c r="Q2630" s="26" t="n">
        <v>6.9</v>
      </c>
      <c r="R2630" s="26">
        <f>Q2630*G2630</f>
        <v/>
      </c>
      <c r="S2630" t="n">
        <v>4.09</v>
      </c>
      <c r="T2630" s="18">
        <f>1 - V2630/S2630</f>
        <v/>
      </c>
      <c r="U2630" s="18" t="n">
        <v>0</v>
      </c>
      <c r="V2630" s="26" t="n">
        <v>4.09</v>
      </c>
      <c r="W2630" s="26">
        <f>V2630 - L2630</f>
        <v/>
      </c>
    </row>
    <row r="2631">
      <c r="A2631" s="11" t="n">
        <v>46229</v>
      </c>
      <c r="B2631" s="1" t="n">
        <v>20047</v>
      </c>
      <c r="C2631" s="1" t="inlineStr">
        <is>
          <t>191</t>
        </is>
      </c>
      <c r="D2631" s="1" t="inlineStr">
        <is>
          <t>463723</t>
        </is>
      </c>
      <c r="E2631" s="1" t="inlineStr">
        <is>
          <t xml:space="preserve">28194770       </t>
        </is>
      </c>
      <c r="F2631" s="5" t="inlineStr">
        <is>
          <t>AUTOS DE METAL 3 TEAMSTERZ EN BLISTER</t>
        </is>
      </c>
      <c r="G2631" t="n">
        <v>1</v>
      </c>
      <c r="H2631" s="7" t="n">
        <v>6.9</v>
      </c>
      <c r="I2631" s="7" t="n">
        <v>0</v>
      </c>
      <c r="J2631" s="7" t="n">
        <v>0</v>
      </c>
      <c r="K2631" s="9" t="n">
        <v>0</v>
      </c>
      <c r="L2631" s="10" t="n">
        <v>4.1</v>
      </c>
      <c r="M2631" s="10" t="n">
        <v>1.43</v>
      </c>
      <c r="N2631" t="inlineStr">
        <is>
          <t>1</t>
        </is>
      </c>
      <c r="O2631" t="inlineStr">
        <is>
          <t>16</t>
        </is>
      </c>
      <c r="P2631" t="inlineStr">
        <is>
          <t xml:space="preserve">245257  </t>
        </is>
      </c>
      <c r="Q2631" s="26" t="n">
        <v>6.9</v>
      </c>
      <c r="R2631" s="26">
        <f>Q2631*G2631</f>
        <v/>
      </c>
      <c r="S2631" t="n">
        <v>4.09</v>
      </c>
      <c r="T2631" s="18">
        <f>1 - V2631/S2631</f>
        <v/>
      </c>
      <c r="U2631" s="18" t="n">
        <v>0</v>
      </c>
      <c r="V2631" s="26" t="n">
        <v>4.09</v>
      </c>
      <c r="W2631" s="26">
        <f>V2631 - L2631</f>
        <v/>
      </c>
    </row>
    <row r="2632">
      <c r="A2632" s="11" t="n">
        <v>46229</v>
      </c>
      <c r="B2632" s="1" t="n">
        <v>20048</v>
      </c>
      <c r="C2632" s="1" t="inlineStr">
        <is>
          <t>017</t>
        </is>
      </c>
      <c r="D2632" s="1" t="inlineStr">
        <is>
          <t>167699</t>
        </is>
      </c>
      <c r="E2632" s="1" t="inlineStr">
        <is>
          <t xml:space="preserve">28194769       </t>
        </is>
      </c>
      <c r="F2632" s="5" t="inlineStr">
        <is>
          <t>AUTOS DE METAL 3 TEAMSTERZ PACK DE 2</t>
        </is>
      </c>
      <c r="G2632" t="n">
        <v>1</v>
      </c>
      <c r="H2632" s="7" t="n">
        <v>13.8</v>
      </c>
      <c r="I2632" s="7" t="n">
        <v>0</v>
      </c>
      <c r="J2632" s="7" t="n">
        <v>0</v>
      </c>
      <c r="K2632" s="9" t="n">
        <v>0</v>
      </c>
      <c r="L2632" s="10" t="n">
        <v>8.18</v>
      </c>
      <c r="M2632" s="10" t="n">
        <v>1.43</v>
      </c>
      <c r="N2632" t="inlineStr">
        <is>
          <t>1</t>
        </is>
      </c>
      <c r="O2632" t="inlineStr">
        <is>
          <t>16</t>
        </is>
      </c>
      <c r="P2632" t="inlineStr">
        <is>
          <t xml:space="preserve">247622  </t>
        </is>
      </c>
      <c r="Q2632" s="26" t="n">
        <v>13.8</v>
      </c>
      <c r="R2632" s="26">
        <f>Q2632*G2632</f>
        <v/>
      </c>
      <c r="S2632" t="n">
        <v>8.19</v>
      </c>
      <c r="T2632" s="18">
        <f>1 - V2632/S2632</f>
        <v/>
      </c>
      <c r="U2632" s="18" t="n">
        <v>0</v>
      </c>
      <c r="V2632" s="26" t="n">
        <v>8.19</v>
      </c>
      <c r="W2632" s="26">
        <f>V2632 - L2632</f>
        <v/>
      </c>
    </row>
    <row r="2633">
      <c r="A2633" s="11" t="n">
        <v>46229</v>
      </c>
      <c r="B2633" s="1" t="n">
        <v>20048</v>
      </c>
      <c r="C2633" s="1" t="inlineStr">
        <is>
          <t>027</t>
        </is>
      </c>
      <c r="D2633" s="1" t="inlineStr">
        <is>
          <t>324248</t>
        </is>
      </c>
      <c r="E2633" s="1" t="inlineStr">
        <is>
          <t xml:space="preserve">28194770       </t>
        </is>
      </c>
      <c r="F2633" s="5" t="inlineStr">
        <is>
          <t>AUTOS DE METAL 3 TEAMSTERZ EN BLISTER</t>
        </is>
      </c>
      <c r="G2633" t="n">
        <v>1</v>
      </c>
      <c r="H2633" s="7" t="n">
        <v>6.9</v>
      </c>
      <c r="I2633" s="7" t="n">
        <v>0</v>
      </c>
      <c r="J2633" s="7" t="n">
        <v>0</v>
      </c>
      <c r="K2633" s="9" t="n">
        <v>0</v>
      </c>
      <c r="L2633" s="10" t="n">
        <v>4.1</v>
      </c>
      <c r="M2633" s="10" t="n">
        <v>1.43</v>
      </c>
      <c r="N2633" t="inlineStr">
        <is>
          <t>1</t>
        </is>
      </c>
      <c r="O2633" t="inlineStr">
        <is>
          <t xml:space="preserve">2 </t>
        </is>
      </c>
      <c r="P2633" t="inlineStr">
        <is>
          <t xml:space="preserve">249966  </t>
        </is>
      </c>
      <c r="Q2633" s="26" t="n">
        <v>6.9</v>
      </c>
      <c r="R2633" s="26">
        <f>Q2633*G2633</f>
        <v/>
      </c>
      <c r="S2633" t="n">
        <v>4.09</v>
      </c>
      <c r="T2633" s="18">
        <f>1 - V2633/S2633</f>
        <v/>
      </c>
      <c r="U2633" s="18" t="n">
        <v>0</v>
      </c>
      <c r="V2633" s="26" t="n">
        <v>4.09</v>
      </c>
      <c r="W2633" s="26">
        <f>V2633 - L2633</f>
        <v/>
      </c>
    </row>
    <row r="2634">
      <c r="A2634" s="11" t="n">
        <v>46229</v>
      </c>
      <c r="B2634" s="1" t="n">
        <v>20048</v>
      </c>
      <c r="C2634" s="1" t="inlineStr">
        <is>
          <t>027</t>
        </is>
      </c>
      <c r="D2634" s="1" t="inlineStr">
        <is>
          <t>324299</t>
        </is>
      </c>
      <c r="E2634" s="1" t="inlineStr">
        <is>
          <t xml:space="preserve">28194784       </t>
        </is>
      </c>
      <c r="F2634" s="5" t="inlineStr">
        <is>
          <t>SET DE ACROBACIAS INFINITY NADO CON TROMPO</t>
        </is>
      </c>
      <c r="G2634" t="n">
        <v>1</v>
      </c>
      <c r="H2634" s="7" t="n">
        <v>139</v>
      </c>
      <c r="I2634" s="7" t="n">
        <v>0</v>
      </c>
      <c r="J2634" s="7" t="n">
        <v>0</v>
      </c>
      <c r="K2634" s="9" t="n">
        <v>0</v>
      </c>
      <c r="L2634" s="10" t="n">
        <v>82.45999999999999</v>
      </c>
      <c r="M2634" s="10" t="n">
        <v>1.43</v>
      </c>
      <c r="N2634" t="inlineStr">
        <is>
          <t>1</t>
        </is>
      </c>
      <c r="O2634" t="inlineStr">
        <is>
          <t>16</t>
        </is>
      </c>
      <c r="P2634" t="inlineStr">
        <is>
          <t xml:space="preserve">249966  </t>
        </is>
      </c>
      <c r="Q2634" s="26" t="n">
        <v>179</v>
      </c>
      <c r="R2634" s="26">
        <f>Q2634*G2634</f>
        <v/>
      </c>
      <c r="S2634" t="n">
        <v>106.19</v>
      </c>
      <c r="T2634" s="18">
        <f>1 - V2634/S2634</f>
        <v/>
      </c>
      <c r="U2634" s="18" t="n">
        <v>0.223463687150838</v>
      </c>
      <c r="V2634" s="26" t="n">
        <v>88.34745762711864</v>
      </c>
      <c r="W2634" s="26">
        <f>V2634 - L2634</f>
        <v/>
      </c>
    </row>
    <row r="2635">
      <c r="A2635" s="11" t="n">
        <v>46229</v>
      </c>
      <c r="B2635" s="1" t="n">
        <v>20048</v>
      </c>
      <c r="C2635" s="1" t="inlineStr">
        <is>
          <t>027</t>
        </is>
      </c>
      <c r="D2635" s="1" t="inlineStr">
        <is>
          <t>324299</t>
        </is>
      </c>
      <c r="E2635" s="1" t="inlineStr">
        <is>
          <t xml:space="preserve">31754675       </t>
        </is>
      </c>
      <c r="F2635" s="5" t="inlineStr">
        <is>
          <t>INFINITY NADO SERIE 6 STARTER PACK - 4 MODELOS</t>
        </is>
      </c>
      <c r="G2635" t="n">
        <v>1</v>
      </c>
      <c r="H2635" s="7" t="n">
        <v>49.9</v>
      </c>
      <c r="I2635" s="7" t="n">
        <v>0</v>
      </c>
      <c r="J2635" s="7" t="n">
        <v>0</v>
      </c>
      <c r="K2635" s="9" t="n">
        <v>0</v>
      </c>
      <c r="L2635" s="10" t="n">
        <v>29.6</v>
      </c>
      <c r="M2635" s="10" t="n">
        <v>1.43</v>
      </c>
      <c r="N2635" t="inlineStr">
        <is>
          <t>1</t>
        </is>
      </c>
      <c r="O2635" t="inlineStr">
        <is>
          <t>16</t>
        </is>
      </c>
      <c r="P2635" t="inlineStr">
        <is>
          <t xml:space="preserve">249966  </t>
        </is>
      </c>
      <c r="Q2635" s="26" t="n">
        <v>69.90000000000001</v>
      </c>
      <c r="R2635" s="26">
        <f>Q2635*G2635</f>
        <v/>
      </c>
      <c r="S2635" t="n">
        <v>41.47</v>
      </c>
      <c r="T2635" s="18">
        <f>1 - V2635/S2635</f>
        <v/>
      </c>
      <c r="U2635" s="18" t="n">
        <v>0.2861230329041489</v>
      </c>
      <c r="V2635" s="26" t="n">
        <v>31.71610169491525</v>
      </c>
      <c r="W2635" s="26">
        <f>V2635 - L2635</f>
        <v/>
      </c>
    </row>
    <row r="2636">
      <c r="A2636" s="11" t="n">
        <v>46229</v>
      </c>
      <c r="B2636" s="1" t="n">
        <v>20048</v>
      </c>
      <c r="C2636" s="1" t="inlineStr">
        <is>
          <t>194</t>
        </is>
      </c>
      <c r="D2636" s="1" t="inlineStr">
        <is>
          <t>194170</t>
        </is>
      </c>
      <c r="E2636" s="1" t="inlineStr">
        <is>
          <t xml:space="preserve">28194768       </t>
        </is>
      </c>
      <c r="F2636" s="5" t="inlineStr">
        <is>
          <t>AUTO COLOR CHANGE TEAMSTERZ SURTIDO</t>
        </is>
      </c>
      <c r="G2636" t="n">
        <v>1</v>
      </c>
      <c r="H2636" s="7" t="n">
        <v>14.9</v>
      </c>
      <c r="I2636" s="7" t="n">
        <v>1.49</v>
      </c>
      <c r="J2636" s="7" t="n">
        <v>0</v>
      </c>
      <c r="K2636" s="9" t="n">
        <v>1.49</v>
      </c>
      <c r="L2636" s="10" t="n">
        <v>7.95</v>
      </c>
      <c r="M2636" s="10" t="n">
        <v>1.43</v>
      </c>
      <c r="N2636" t="inlineStr">
        <is>
          <t>1</t>
        </is>
      </c>
      <c r="O2636" t="inlineStr">
        <is>
          <t xml:space="preserve">3 </t>
        </is>
      </c>
      <c r="P2636" t="inlineStr">
        <is>
          <t xml:space="preserve">241949  </t>
        </is>
      </c>
      <c r="Q2636" s="26" t="n">
        <v>14.9</v>
      </c>
      <c r="R2636" s="26">
        <f>Q2636*G2636</f>
        <v/>
      </c>
      <c r="S2636" t="n">
        <v>8.84</v>
      </c>
      <c r="T2636" s="18">
        <f>1 - V2636/S2636</f>
        <v/>
      </c>
      <c r="U2636" s="18" t="n">
        <v>0</v>
      </c>
      <c r="V2636" s="26" t="n">
        <v>8.84</v>
      </c>
      <c r="W2636" s="26">
        <f>V2636 - L2636</f>
        <v/>
      </c>
    </row>
    <row r="2637">
      <c r="A2637" s="11" t="n">
        <v>46229</v>
      </c>
      <c r="B2637" s="1" t="n">
        <v>20048</v>
      </c>
      <c r="C2637" s="1" t="inlineStr">
        <is>
          <t>194</t>
        </is>
      </c>
      <c r="D2637" s="1" t="inlineStr">
        <is>
          <t>194170</t>
        </is>
      </c>
      <c r="E2637" s="1" t="inlineStr">
        <is>
          <t xml:space="preserve">28194768       </t>
        </is>
      </c>
      <c r="F2637" s="5" t="inlineStr">
        <is>
          <t>AUTO COLOR CHANGE TEAMSTERZ SURTIDO</t>
        </is>
      </c>
      <c r="G2637" t="n">
        <v>1</v>
      </c>
      <c r="H2637" s="7" t="n">
        <v>14.9</v>
      </c>
      <c r="I2637" s="7" t="n">
        <v>1.49</v>
      </c>
      <c r="J2637" s="7" t="n">
        <v>0</v>
      </c>
      <c r="K2637" s="9" t="n">
        <v>1.49</v>
      </c>
      <c r="L2637" s="10" t="n">
        <v>7.95</v>
      </c>
      <c r="M2637" s="10" t="n">
        <v>1.43</v>
      </c>
      <c r="N2637" t="inlineStr">
        <is>
          <t>1</t>
        </is>
      </c>
      <c r="O2637" t="inlineStr">
        <is>
          <t xml:space="preserve">3 </t>
        </is>
      </c>
      <c r="P2637" t="inlineStr">
        <is>
          <t xml:space="preserve">241949  </t>
        </is>
      </c>
      <c r="Q2637" s="26" t="n">
        <v>14.9</v>
      </c>
      <c r="R2637" s="26">
        <f>Q2637*G2637</f>
        <v/>
      </c>
      <c r="S2637" t="n">
        <v>8.84</v>
      </c>
      <c r="T2637" s="18">
        <f>1 - V2637/S2637</f>
        <v/>
      </c>
      <c r="U2637" s="18" t="n">
        <v>0</v>
      </c>
      <c r="V2637" s="26" t="n">
        <v>8.84</v>
      </c>
      <c r="W2637" s="26">
        <f>V2637 - L2637</f>
        <v/>
      </c>
    </row>
    <row r="2638">
      <c r="A2638" s="11" t="n">
        <v>46229</v>
      </c>
      <c r="B2638" s="1" t="n">
        <v>20048</v>
      </c>
      <c r="C2638" s="1" t="inlineStr">
        <is>
          <t>800</t>
        </is>
      </c>
      <c r="D2638" s="1" t="inlineStr">
        <is>
          <t xml:space="preserve">4994  </t>
        </is>
      </c>
      <c r="E2638" s="1" t="inlineStr">
        <is>
          <t xml:space="preserve">28194770       </t>
        </is>
      </c>
      <c r="F2638" s="5" t="inlineStr">
        <is>
          <t>AUTOS DE METAL 3 TEAMSTERZ EN BLISTER</t>
        </is>
      </c>
      <c r="G2638" t="n">
        <v>1</v>
      </c>
      <c r="H2638" s="7" t="n">
        <v>6.9</v>
      </c>
      <c r="I2638" s="7" t="n">
        <v>0</v>
      </c>
      <c r="J2638" s="7" t="n">
        <v>0</v>
      </c>
      <c r="K2638" s="9" t="n">
        <v>0</v>
      </c>
      <c r="L2638" s="10" t="n">
        <v>4.1</v>
      </c>
      <c r="M2638" s="10" t="n">
        <v>1.43</v>
      </c>
      <c r="N2638" t="inlineStr">
        <is>
          <t>1</t>
        </is>
      </c>
      <c r="O2638" t="inlineStr">
        <is>
          <t>16</t>
        </is>
      </c>
      <c r="P2638" t="inlineStr">
        <is>
          <t xml:space="preserve">252196  </t>
        </is>
      </c>
      <c r="Q2638" s="26" t="n">
        <v>6.9</v>
      </c>
      <c r="R2638" s="26">
        <f>Q2638*G2638</f>
        <v/>
      </c>
      <c r="S2638" t="n">
        <v>4.09</v>
      </c>
      <c r="T2638" s="18">
        <f>1 - V2638/S2638</f>
        <v/>
      </c>
      <c r="U2638" s="18" t="n">
        <v>0</v>
      </c>
      <c r="V2638" s="26" t="n">
        <v>4.09</v>
      </c>
      <c r="W2638" s="26">
        <f>V2638 - L2638</f>
        <v/>
      </c>
    </row>
    <row r="2639">
      <c r="A2639" s="11" t="n">
        <v>46229</v>
      </c>
      <c r="B2639" s="1" t="n">
        <v>20056</v>
      </c>
      <c r="C2639" s="1" t="inlineStr">
        <is>
          <t>021</t>
        </is>
      </c>
      <c r="D2639" s="1" t="inlineStr">
        <is>
          <t xml:space="preserve">52991 </t>
        </is>
      </c>
      <c r="E2639" s="1" t="inlineStr">
        <is>
          <t xml:space="preserve">33661542       </t>
        </is>
      </c>
      <c r="F2639" s="5" t="inlineStr">
        <is>
          <t>RELOJ DIGITAL MR. POTATO SR. CARA DE PAPA</t>
        </is>
      </c>
      <c r="G2639" t="n">
        <v>1</v>
      </c>
      <c r="H2639" s="7" t="n">
        <v>18.9</v>
      </c>
      <c r="I2639" s="7" t="n">
        <v>0</v>
      </c>
      <c r="J2639" s="7" t="n">
        <v>0</v>
      </c>
      <c r="K2639" s="9" t="n">
        <v>0</v>
      </c>
      <c r="L2639" s="10" t="n">
        <v>11.21</v>
      </c>
      <c r="M2639" s="10" t="n">
        <v>1.43</v>
      </c>
      <c r="N2639" t="inlineStr">
        <is>
          <t>1</t>
        </is>
      </c>
      <c r="O2639" t="inlineStr">
        <is>
          <t xml:space="preserve">2 </t>
        </is>
      </c>
      <c r="P2639" t="inlineStr">
        <is>
          <t xml:space="preserve">247194  </t>
        </is>
      </c>
      <c r="Q2639" s="26" t="n">
        <v>18.9</v>
      </c>
      <c r="R2639" s="26">
        <f>Q2639*G2639</f>
        <v/>
      </c>
      <c r="S2639" t="n">
        <v>11.21</v>
      </c>
      <c r="T2639" s="18">
        <f>1 - V2639/S2639</f>
        <v/>
      </c>
      <c r="U2639" s="18" t="n">
        <v>0</v>
      </c>
      <c r="V2639" s="26" t="n">
        <v>11.21</v>
      </c>
      <c r="W2639" s="26">
        <f>V2639 - L2639</f>
        <v/>
      </c>
    </row>
    <row r="2640">
      <c r="A2640" s="11" t="n">
        <v>46229</v>
      </c>
      <c r="B2640" s="1" t="n">
        <v>20056</v>
      </c>
      <c r="C2640" s="1" t="inlineStr">
        <is>
          <t>516</t>
        </is>
      </c>
      <c r="D2640" s="1" t="inlineStr">
        <is>
          <t xml:space="preserve">4350  </t>
        </is>
      </c>
      <c r="E2640" s="1" t="inlineStr">
        <is>
          <t xml:space="preserve">29235700       </t>
        </is>
      </c>
      <c r="F2640" s="5" t="inlineStr">
        <is>
          <t>HOT WHEELS CASE METALICO PARA GUARDAR 18 CARRITOS</t>
        </is>
      </c>
      <c r="G2640" t="n">
        <v>1</v>
      </c>
      <c r="H2640" s="7" t="n">
        <v>49.9</v>
      </c>
      <c r="I2640" s="7" t="n">
        <v>4.99</v>
      </c>
      <c r="J2640" s="7" t="n">
        <v>0</v>
      </c>
      <c r="K2640" s="9" t="n">
        <v>4.99</v>
      </c>
      <c r="L2640" s="10" t="n">
        <v>26.64</v>
      </c>
      <c r="M2640" s="10" t="n">
        <v>1.43</v>
      </c>
      <c r="N2640" t="inlineStr">
        <is>
          <t>1</t>
        </is>
      </c>
      <c r="O2640" t="inlineStr">
        <is>
          <t>16</t>
        </is>
      </c>
      <c r="P2640" t="inlineStr">
        <is>
          <t xml:space="preserve">241220  </t>
        </is>
      </c>
      <c r="Q2640" s="26" t="n">
        <v>49.90000000000001</v>
      </c>
      <c r="R2640" s="26">
        <f>Q2640*G2640</f>
        <v/>
      </c>
      <c r="S2640" t="n">
        <v>29.6</v>
      </c>
      <c r="T2640" s="18">
        <f>1 - V2640/S2640</f>
        <v/>
      </c>
      <c r="U2640" s="18" t="n">
        <v>0</v>
      </c>
      <c r="V2640" s="26" t="n">
        <v>29.6</v>
      </c>
      <c r="W2640" s="26">
        <f>V2640 - L2640</f>
        <v/>
      </c>
    </row>
    <row r="2641">
      <c r="A2641" s="11" t="n">
        <v>46229</v>
      </c>
      <c r="B2641" s="1" t="n">
        <v>20057</v>
      </c>
      <c r="C2641" s="1" t="inlineStr">
        <is>
          <t>031</t>
        </is>
      </c>
      <c r="D2641" s="1" t="inlineStr">
        <is>
          <t xml:space="preserve">40145 </t>
        </is>
      </c>
      <c r="E2641" s="1" t="inlineStr">
        <is>
          <t xml:space="preserve">28194770       </t>
        </is>
      </c>
      <c r="F2641" s="5" t="inlineStr">
        <is>
          <t>AUTOS DE METAL 3 TEAMSTERZ EN BLISTER</t>
        </is>
      </c>
      <c r="G2641" t="n">
        <v>1</v>
      </c>
      <c r="H2641" s="7" t="n">
        <v>6.9</v>
      </c>
      <c r="I2641" s="7" t="n">
        <v>0</v>
      </c>
      <c r="J2641" s="7" t="n">
        <v>0</v>
      </c>
      <c r="K2641" s="9" t="n">
        <v>0</v>
      </c>
      <c r="L2641" s="10" t="n">
        <v>4.1</v>
      </c>
      <c r="M2641" s="10" t="n">
        <v>1.43</v>
      </c>
      <c r="N2641" t="inlineStr">
        <is>
          <t>1</t>
        </is>
      </c>
      <c r="O2641" t="inlineStr">
        <is>
          <t>16</t>
        </is>
      </c>
      <c r="P2641" t="inlineStr">
        <is>
          <t xml:space="preserve">242831  </t>
        </is>
      </c>
      <c r="Q2641" s="26" t="n">
        <v>6.9</v>
      </c>
      <c r="R2641" s="26">
        <f>Q2641*G2641</f>
        <v/>
      </c>
      <c r="S2641" t="n">
        <v>4.09</v>
      </c>
      <c r="T2641" s="18">
        <f>1 - V2641/S2641</f>
        <v/>
      </c>
      <c r="U2641" s="18" t="n">
        <v>0</v>
      </c>
      <c r="V2641" s="26" t="n">
        <v>4.09</v>
      </c>
      <c r="W2641" s="26">
        <f>V2641 - L2641</f>
        <v/>
      </c>
    </row>
    <row r="2642">
      <c r="A2642" s="11" t="n">
        <v>46229</v>
      </c>
      <c r="B2642" s="1" t="n">
        <v>20057</v>
      </c>
      <c r="C2642" s="1" t="inlineStr">
        <is>
          <t>032</t>
        </is>
      </c>
      <c r="D2642" s="1" t="inlineStr">
        <is>
          <t xml:space="preserve">75932 </t>
        </is>
      </c>
      <c r="E2642" s="1" t="inlineStr">
        <is>
          <t xml:space="preserve">28194770       </t>
        </is>
      </c>
      <c r="F2642" s="5" t="inlineStr">
        <is>
          <t>AUTOS DE METAL 3 TEAMSTERZ EN BLISTER</t>
        </is>
      </c>
      <c r="G2642" t="n">
        <v>1</v>
      </c>
      <c r="H2642" s="7" t="n">
        <v>6.9</v>
      </c>
      <c r="I2642" s="7" t="n">
        <v>0</v>
      </c>
      <c r="J2642" s="7" t="n">
        <v>0</v>
      </c>
      <c r="K2642" s="9" t="n">
        <v>0</v>
      </c>
      <c r="L2642" s="10" t="n">
        <v>4.1</v>
      </c>
      <c r="M2642" s="10" t="n">
        <v>1.43</v>
      </c>
      <c r="N2642" t="inlineStr">
        <is>
          <t>1</t>
        </is>
      </c>
      <c r="O2642" t="inlineStr">
        <is>
          <t>16</t>
        </is>
      </c>
      <c r="P2642" t="inlineStr">
        <is>
          <t xml:space="preserve">203426  </t>
        </is>
      </c>
      <c r="Q2642" s="26" t="n">
        <v>6.9</v>
      </c>
      <c r="R2642" s="26">
        <f>Q2642*G2642</f>
        <v/>
      </c>
      <c r="S2642" t="n">
        <v>4.09</v>
      </c>
      <c r="T2642" s="18">
        <f>1 - V2642/S2642</f>
        <v/>
      </c>
      <c r="U2642" s="18" t="n">
        <v>0</v>
      </c>
      <c r="V2642" s="26" t="n">
        <v>4.09</v>
      </c>
      <c r="W2642" s="26">
        <f>V2642 - L2642</f>
        <v/>
      </c>
    </row>
    <row r="2643">
      <c r="A2643" s="11" t="n">
        <v>46229</v>
      </c>
      <c r="B2643" s="1" t="n">
        <v>20057</v>
      </c>
      <c r="C2643" s="1" t="inlineStr">
        <is>
          <t>032</t>
        </is>
      </c>
      <c r="D2643" s="1" t="inlineStr">
        <is>
          <t xml:space="preserve">75959 </t>
        </is>
      </c>
      <c r="E2643" s="1" t="inlineStr">
        <is>
          <t xml:space="preserve">31675354       </t>
        </is>
      </c>
      <c r="F2643" s="5" t="inlineStr">
        <is>
          <t>NENUCO LLORON CON ACCESORIOS</t>
        </is>
      </c>
      <c r="G2643" t="n">
        <v>1</v>
      </c>
      <c r="H2643" s="7" t="n">
        <v>69.90000000000001</v>
      </c>
      <c r="I2643" s="7" t="n">
        <v>0</v>
      </c>
      <c r="J2643" s="7" t="n">
        <v>0</v>
      </c>
      <c r="K2643" s="9" t="n">
        <v>0</v>
      </c>
      <c r="L2643" s="10" t="n">
        <v>41.47</v>
      </c>
      <c r="M2643" s="10" t="n">
        <v>1.43</v>
      </c>
      <c r="N2643" t="inlineStr">
        <is>
          <t>1</t>
        </is>
      </c>
      <c r="O2643" t="inlineStr">
        <is>
          <t>16</t>
        </is>
      </c>
      <c r="P2643" t="inlineStr">
        <is>
          <t xml:space="preserve">203426  </t>
        </is>
      </c>
      <c r="Q2643" s="26" t="n">
        <v>89.90000000000001</v>
      </c>
      <c r="R2643" s="26">
        <f>Q2643*G2643</f>
        <v/>
      </c>
      <c r="S2643" t="n">
        <v>53.33</v>
      </c>
      <c r="T2643" s="18">
        <f>1 - V2643/S2643</f>
        <v/>
      </c>
      <c r="U2643" s="18" t="n">
        <v>0.2224694104560623</v>
      </c>
      <c r="V2643" s="26" t="n">
        <v>44.42796610169492</v>
      </c>
      <c r="W2643" s="26">
        <f>V2643 - L2643</f>
        <v/>
      </c>
    </row>
    <row r="2644">
      <c r="A2644" s="11" t="n">
        <v>46229</v>
      </c>
      <c r="B2644" s="1" t="n">
        <v>20057</v>
      </c>
      <c r="C2644" s="1" t="inlineStr">
        <is>
          <t>033</t>
        </is>
      </c>
      <c r="D2644" s="1" t="inlineStr">
        <is>
          <t xml:space="preserve">68334 </t>
        </is>
      </c>
      <c r="E2644" s="1" t="inlineStr">
        <is>
          <t xml:space="preserve">28194770       </t>
        </is>
      </c>
      <c r="F2644" s="5" t="inlineStr">
        <is>
          <t>AUTOS DE METAL 3 TEAMSTERZ EN BLISTER</t>
        </is>
      </c>
      <c r="G2644" t="n">
        <v>1</v>
      </c>
      <c r="H2644" s="7" t="n">
        <v>6.9</v>
      </c>
      <c r="I2644" s="7" t="n">
        <v>0</v>
      </c>
      <c r="J2644" s="7" t="n">
        <v>0</v>
      </c>
      <c r="K2644" s="9" t="n">
        <v>0</v>
      </c>
      <c r="L2644" s="10" t="n">
        <v>4.1</v>
      </c>
      <c r="M2644" s="10" t="n">
        <v>1.43</v>
      </c>
      <c r="N2644" t="inlineStr">
        <is>
          <t>1</t>
        </is>
      </c>
      <c r="O2644" t="inlineStr">
        <is>
          <t>16</t>
        </is>
      </c>
      <c r="P2644" t="inlineStr">
        <is>
          <t xml:space="preserve">238606  </t>
        </is>
      </c>
      <c r="Q2644" s="26" t="n">
        <v>6.9</v>
      </c>
      <c r="R2644" s="26">
        <f>Q2644*G2644</f>
        <v/>
      </c>
      <c r="S2644" t="n">
        <v>4.09</v>
      </c>
      <c r="T2644" s="18">
        <f>1 - V2644/S2644</f>
        <v/>
      </c>
      <c r="U2644" s="18" t="n">
        <v>0</v>
      </c>
      <c r="V2644" s="26" t="n">
        <v>4.09</v>
      </c>
      <c r="W2644" s="26">
        <f>V2644 - L2644</f>
        <v/>
      </c>
    </row>
    <row r="2645">
      <c r="A2645" s="11" t="n">
        <v>46229</v>
      </c>
      <c r="B2645" s="1" t="n">
        <v>20057</v>
      </c>
      <c r="C2645" s="1" t="inlineStr">
        <is>
          <t>033</t>
        </is>
      </c>
      <c r="D2645" s="1" t="inlineStr">
        <is>
          <t xml:space="preserve">68334 </t>
        </is>
      </c>
      <c r="E2645" s="1" t="inlineStr">
        <is>
          <t xml:space="preserve">28194770       </t>
        </is>
      </c>
      <c r="F2645" s="5" t="inlineStr">
        <is>
          <t>AUTOS DE METAL 3 TEAMSTERZ EN BLISTER</t>
        </is>
      </c>
      <c r="G2645" t="n">
        <v>1</v>
      </c>
      <c r="H2645" s="7" t="n">
        <v>6.9</v>
      </c>
      <c r="I2645" s="7" t="n">
        <v>0</v>
      </c>
      <c r="J2645" s="7" t="n">
        <v>0</v>
      </c>
      <c r="K2645" s="9" t="n">
        <v>0</v>
      </c>
      <c r="L2645" s="10" t="n">
        <v>4.1</v>
      </c>
      <c r="M2645" s="10" t="n">
        <v>1.43</v>
      </c>
      <c r="N2645" t="inlineStr">
        <is>
          <t>1</t>
        </is>
      </c>
      <c r="O2645" t="inlineStr">
        <is>
          <t>16</t>
        </is>
      </c>
      <c r="P2645" t="inlineStr">
        <is>
          <t xml:space="preserve">238606  </t>
        </is>
      </c>
      <c r="Q2645" s="26" t="n">
        <v>6.9</v>
      </c>
      <c r="R2645" s="26">
        <f>Q2645*G2645</f>
        <v/>
      </c>
      <c r="S2645" t="n">
        <v>4.09</v>
      </c>
      <c r="T2645" s="18">
        <f>1 - V2645/S2645</f>
        <v/>
      </c>
      <c r="U2645" s="18" t="n">
        <v>0</v>
      </c>
      <c r="V2645" s="26" t="n">
        <v>4.09</v>
      </c>
      <c r="W2645" s="26">
        <f>V2645 - L2645</f>
        <v/>
      </c>
    </row>
    <row r="2646">
      <c r="A2646" s="11" t="n">
        <v>46229</v>
      </c>
      <c r="B2646" s="1" t="n">
        <v>20057</v>
      </c>
      <c r="C2646" s="1" t="inlineStr">
        <is>
          <t>861</t>
        </is>
      </c>
      <c r="D2646" s="1" t="inlineStr">
        <is>
          <t xml:space="preserve">1111  </t>
        </is>
      </c>
      <c r="E2646" s="1" t="inlineStr">
        <is>
          <t xml:space="preserve">30232284       </t>
        </is>
      </c>
      <c r="F2646" s="5" t="inlineStr">
        <is>
          <t>INFINITY NADO TROMPO DE BATALLA - METAL C/PUNTA DE</t>
        </is>
      </c>
      <c r="G2646" t="n">
        <v>1</v>
      </c>
      <c r="H2646" s="7" t="n">
        <v>34.9</v>
      </c>
      <c r="I2646" s="7" t="n">
        <v>0</v>
      </c>
      <c r="J2646" s="7" t="n">
        <v>0</v>
      </c>
      <c r="K2646" s="9" t="n">
        <v>0</v>
      </c>
      <c r="L2646" s="10" t="n">
        <v>20.71</v>
      </c>
      <c r="M2646" s="10" t="n">
        <v>1.43</v>
      </c>
      <c r="N2646" t="inlineStr">
        <is>
          <t>1</t>
        </is>
      </c>
      <c r="O2646" t="inlineStr">
        <is>
          <t>16</t>
        </is>
      </c>
      <c r="P2646" t="inlineStr">
        <is>
          <t xml:space="preserve">0       </t>
        </is>
      </c>
      <c r="Q2646" s="26" t="n">
        <v>49.9</v>
      </c>
      <c r="R2646" s="26">
        <f>Q2646*G2646</f>
        <v/>
      </c>
      <c r="S2646" t="n">
        <v>29.6</v>
      </c>
      <c r="T2646" s="18">
        <f>1 - V2646/S2646</f>
        <v/>
      </c>
      <c r="U2646" s="18" t="n">
        <v>0.3006012024048096</v>
      </c>
      <c r="V2646" s="26" t="n">
        <v>22.18220338983051</v>
      </c>
      <c r="W2646" s="26">
        <f>V2646 - L2646</f>
        <v/>
      </c>
    </row>
    <row r="2647">
      <c r="A2647" s="11" t="n">
        <v>46229</v>
      </c>
      <c r="B2647" s="1" t="n">
        <v>20058</v>
      </c>
      <c r="C2647" s="1" t="inlineStr">
        <is>
          <t>038</t>
        </is>
      </c>
      <c r="D2647" s="1" t="inlineStr">
        <is>
          <t>210558</t>
        </is>
      </c>
      <c r="E2647" s="1" t="inlineStr">
        <is>
          <t xml:space="preserve">28194769       </t>
        </is>
      </c>
      <c r="F2647" s="5" t="inlineStr">
        <is>
          <t>AUTOS DE METAL 3 TEAMSTERZ PACK DE 2</t>
        </is>
      </c>
      <c r="G2647" t="n">
        <v>1</v>
      </c>
      <c r="H2647" s="7" t="n">
        <v>13.8</v>
      </c>
      <c r="I2647" s="7" t="n">
        <v>0</v>
      </c>
      <c r="J2647" s="7" t="n">
        <v>0</v>
      </c>
      <c r="K2647" s="9" t="n">
        <v>0</v>
      </c>
      <c r="L2647" s="10" t="n">
        <v>8.18</v>
      </c>
      <c r="M2647" s="10" t="n">
        <v>1.43</v>
      </c>
      <c r="N2647" t="inlineStr">
        <is>
          <t>1</t>
        </is>
      </c>
      <c r="O2647" t="inlineStr">
        <is>
          <t>16</t>
        </is>
      </c>
      <c r="P2647" t="inlineStr">
        <is>
          <t xml:space="preserve">80570   </t>
        </is>
      </c>
      <c r="Q2647" s="26" t="n">
        <v>13.8</v>
      </c>
      <c r="R2647" s="26">
        <f>Q2647*G2647</f>
        <v/>
      </c>
      <c r="S2647" t="n">
        <v>8.19</v>
      </c>
      <c r="T2647" s="18">
        <f>1 - V2647/S2647</f>
        <v/>
      </c>
      <c r="U2647" s="18" t="n">
        <v>0</v>
      </c>
      <c r="V2647" s="26" t="n">
        <v>8.19</v>
      </c>
      <c r="W2647" s="26">
        <f>V2647 - L2647</f>
        <v/>
      </c>
    </row>
    <row r="2648">
      <c r="A2648" s="11" t="n">
        <v>46229</v>
      </c>
      <c r="B2648" s="1" t="n">
        <v>20058</v>
      </c>
      <c r="C2648" s="1" t="inlineStr">
        <is>
          <t>038</t>
        </is>
      </c>
      <c r="D2648" s="1" t="inlineStr">
        <is>
          <t>210707</t>
        </is>
      </c>
      <c r="E2648" s="1" t="inlineStr">
        <is>
          <t xml:space="preserve">28194770       </t>
        </is>
      </c>
      <c r="F2648" s="5" t="inlineStr">
        <is>
          <t>AUTOS DE METAL 3 TEAMSTERZ EN BLISTER</t>
        </is>
      </c>
      <c r="G2648" t="n">
        <v>1</v>
      </c>
      <c r="H2648" s="7" t="n">
        <v>6.9</v>
      </c>
      <c r="I2648" s="7" t="n">
        <v>0</v>
      </c>
      <c r="J2648" s="7" t="n">
        <v>0</v>
      </c>
      <c r="K2648" s="9" t="n">
        <v>0</v>
      </c>
      <c r="L2648" s="10" t="n">
        <v>4.1</v>
      </c>
      <c r="M2648" s="10" t="n">
        <v>1.43</v>
      </c>
      <c r="N2648" t="inlineStr">
        <is>
          <t>1</t>
        </is>
      </c>
      <c r="O2648" t="inlineStr">
        <is>
          <t xml:space="preserve">2 </t>
        </is>
      </c>
      <c r="P2648" t="inlineStr">
        <is>
          <t xml:space="preserve">80570   </t>
        </is>
      </c>
      <c r="Q2648" s="26" t="n">
        <v>6.9</v>
      </c>
      <c r="R2648" s="26">
        <f>Q2648*G2648</f>
        <v/>
      </c>
      <c r="S2648" t="n">
        <v>4.09</v>
      </c>
      <c r="T2648" s="18">
        <f>1 - V2648/S2648</f>
        <v/>
      </c>
      <c r="U2648" s="18" t="n">
        <v>0</v>
      </c>
      <c r="V2648" s="26" t="n">
        <v>4.09</v>
      </c>
      <c r="W2648" s="26">
        <f>V2648 - L2648</f>
        <v/>
      </c>
    </row>
    <row r="2649">
      <c r="A2649" s="11" t="n">
        <v>46229</v>
      </c>
      <c r="B2649" s="1" t="n">
        <v>20058</v>
      </c>
      <c r="C2649" s="1" t="inlineStr">
        <is>
          <t>038</t>
        </is>
      </c>
      <c r="D2649" s="1" t="inlineStr">
        <is>
          <t>210707</t>
        </is>
      </c>
      <c r="E2649" s="1" t="inlineStr">
        <is>
          <t xml:space="preserve">28194770       </t>
        </is>
      </c>
      <c r="F2649" s="5" t="inlineStr">
        <is>
          <t>AUTOS DE METAL 3 TEAMSTERZ EN BLISTER</t>
        </is>
      </c>
      <c r="G2649" t="n">
        <v>1</v>
      </c>
      <c r="H2649" s="7" t="n">
        <v>6.9</v>
      </c>
      <c r="I2649" s="7" t="n">
        <v>0</v>
      </c>
      <c r="J2649" s="7" t="n">
        <v>0</v>
      </c>
      <c r="K2649" s="9" t="n">
        <v>0</v>
      </c>
      <c r="L2649" s="10" t="n">
        <v>4.1</v>
      </c>
      <c r="M2649" s="10" t="n">
        <v>1.43</v>
      </c>
      <c r="N2649" t="inlineStr">
        <is>
          <t>1</t>
        </is>
      </c>
      <c r="O2649" t="inlineStr">
        <is>
          <t xml:space="preserve">2 </t>
        </is>
      </c>
      <c r="P2649" t="inlineStr">
        <is>
          <t xml:space="preserve">80570   </t>
        </is>
      </c>
      <c r="Q2649" s="26" t="n">
        <v>6.9</v>
      </c>
      <c r="R2649" s="26">
        <f>Q2649*G2649</f>
        <v/>
      </c>
      <c r="S2649" t="n">
        <v>4.09</v>
      </c>
      <c r="T2649" s="18">
        <f>1 - V2649/S2649</f>
        <v/>
      </c>
      <c r="U2649" s="18" t="n">
        <v>0</v>
      </c>
      <c r="V2649" s="26" t="n">
        <v>4.09</v>
      </c>
      <c r="W2649" s="26">
        <f>V2649 - L2649</f>
        <v/>
      </c>
    </row>
    <row r="2650">
      <c r="A2650" s="11" t="n">
        <v>46229</v>
      </c>
      <c r="B2650" s="1" t="n">
        <v>20058</v>
      </c>
      <c r="C2650" s="1" t="inlineStr">
        <is>
          <t>039</t>
        </is>
      </c>
      <c r="D2650" s="1" t="inlineStr">
        <is>
          <t>231818</t>
        </is>
      </c>
      <c r="E2650" s="1" t="inlineStr">
        <is>
          <t xml:space="preserve">28194769       </t>
        </is>
      </c>
      <c r="F2650" s="5" t="inlineStr">
        <is>
          <t>AUTOS DE METAL 3 TEAMSTERZ PACK DE 2</t>
        </is>
      </c>
      <c r="G2650" t="n">
        <v>1</v>
      </c>
      <c r="H2650" s="7" t="n">
        <v>13.8</v>
      </c>
      <c r="I2650" s="7" t="n">
        <v>0</v>
      </c>
      <c r="J2650" s="7" t="n">
        <v>0</v>
      </c>
      <c r="K2650" s="9" t="n">
        <v>0</v>
      </c>
      <c r="L2650" s="10" t="n">
        <v>8.18</v>
      </c>
      <c r="M2650" s="10" t="n">
        <v>1.43</v>
      </c>
      <c r="N2650" t="inlineStr">
        <is>
          <t>1</t>
        </is>
      </c>
      <c r="O2650" t="inlineStr">
        <is>
          <t>16</t>
        </is>
      </c>
      <c r="P2650" t="inlineStr">
        <is>
          <t xml:space="preserve">249636  </t>
        </is>
      </c>
      <c r="Q2650" s="26" t="n">
        <v>13.8</v>
      </c>
      <c r="R2650" s="26">
        <f>Q2650*G2650</f>
        <v/>
      </c>
      <c r="S2650" t="n">
        <v>8.19</v>
      </c>
      <c r="T2650" s="18">
        <f>1 - V2650/S2650</f>
        <v/>
      </c>
      <c r="U2650" s="18" t="n">
        <v>0</v>
      </c>
      <c r="V2650" s="26" t="n">
        <v>8.19</v>
      </c>
      <c r="W2650" s="26">
        <f>V2650 - L2650</f>
        <v/>
      </c>
    </row>
    <row r="2651">
      <c r="A2651" s="11" t="n">
        <v>46229</v>
      </c>
      <c r="B2651" s="1" t="n">
        <v>20058</v>
      </c>
      <c r="C2651" s="1" t="inlineStr">
        <is>
          <t>039</t>
        </is>
      </c>
      <c r="D2651" s="1" t="inlineStr">
        <is>
          <t>231838</t>
        </is>
      </c>
      <c r="E2651" s="1" t="inlineStr">
        <is>
          <t xml:space="preserve">28194765       </t>
        </is>
      </c>
      <c r="F2651" s="5" t="inlineStr">
        <is>
          <t>PLAYSET COLOR CHANGE TIBURN TEAMSTERZ  1 AUTITO</t>
        </is>
      </c>
      <c r="G2651" t="n">
        <v>1</v>
      </c>
      <c r="H2651" s="7" t="n">
        <v>79.90000000000001</v>
      </c>
      <c r="I2651" s="7" t="n">
        <v>7.99</v>
      </c>
      <c r="J2651" s="7" t="n">
        <v>0</v>
      </c>
      <c r="K2651" s="9" t="n">
        <v>7.99</v>
      </c>
      <c r="L2651" s="10" t="n">
        <v>42.66</v>
      </c>
      <c r="M2651" s="10" t="n">
        <v>1.43</v>
      </c>
      <c r="N2651" t="inlineStr">
        <is>
          <t>1</t>
        </is>
      </c>
      <c r="O2651" t="inlineStr">
        <is>
          <t xml:space="preserve">3 </t>
        </is>
      </c>
      <c r="P2651" t="inlineStr">
        <is>
          <t xml:space="preserve">249636  </t>
        </is>
      </c>
      <c r="Q2651" s="26" t="n">
        <v>79.90000000000001</v>
      </c>
      <c r="R2651" s="26">
        <f>Q2651*G2651</f>
        <v/>
      </c>
      <c r="S2651" t="n">
        <v>47.4</v>
      </c>
      <c r="T2651" s="18">
        <f>1 - V2651/S2651</f>
        <v/>
      </c>
      <c r="U2651" s="18" t="n">
        <v>0</v>
      </c>
      <c r="V2651" s="26" t="n">
        <v>47.4</v>
      </c>
      <c r="W2651" s="26">
        <f>V2651 - L2651</f>
        <v/>
      </c>
    </row>
    <row r="2652">
      <c r="A2652" s="11" t="n">
        <v>46229</v>
      </c>
      <c r="B2652" s="1" t="n">
        <v>20058</v>
      </c>
      <c r="C2652" s="1" t="inlineStr">
        <is>
          <t>039</t>
        </is>
      </c>
      <c r="D2652" s="1" t="inlineStr">
        <is>
          <t>231844</t>
        </is>
      </c>
      <c r="E2652" s="1" t="inlineStr">
        <is>
          <t xml:space="preserve">28194770       </t>
        </is>
      </c>
      <c r="F2652" s="5" t="inlineStr">
        <is>
          <t>AUTOS DE METAL 3 TEAMSTERZ EN BLISTER</t>
        </is>
      </c>
      <c r="G2652" t="n">
        <v>1</v>
      </c>
      <c r="H2652" s="7" t="n">
        <v>6.9</v>
      </c>
      <c r="I2652" s="7" t="n">
        <v>0</v>
      </c>
      <c r="J2652" s="7" t="n">
        <v>0</v>
      </c>
      <c r="K2652" s="9" t="n">
        <v>0</v>
      </c>
      <c r="L2652" s="10" t="n">
        <v>4.1</v>
      </c>
      <c r="M2652" s="10" t="n">
        <v>1.43</v>
      </c>
      <c r="N2652" t="inlineStr">
        <is>
          <t>1</t>
        </is>
      </c>
      <c r="O2652" t="inlineStr">
        <is>
          <t>16</t>
        </is>
      </c>
      <c r="P2652" t="inlineStr">
        <is>
          <t xml:space="preserve">249636  </t>
        </is>
      </c>
      <c r="Q2652" s="26" t="n">
        <v>6.9</v>
      </c>
      <c r="R2652" s="26">
        <f>Q2652*G2652</f>
        <v/>
      </c>
      <c r="S2652" t="n">
        <v>4.09</v>
      </c>
      <c r="T2652" s="18">
        <f>1 - V2652/S2652</f>
        <v/>
      </c>
      <c r="U2652" s="18" t="n">
        <v>0</v>
      </c>
      <c r="V2652" s="26" t="n">
        <v>4.09</v>
      </c>
      <c r="W2652" s="26">
        <f>V2652 - L2652</f>
        <v/>
      </c>
    </row>
    <row r="2653">
      <c r="A2653" s="11" t="n">
        <v>46229</v>
      </c>
      <c r="B2653" s="1" t="n">
        <v>20058</v>
      </c>
      <c r="C2653" s="1" t="inlineStr">
        <is>
          <t>039</t>
        </is>
      </c>
      <c r="D2653" s="1" t="inlineStr">
        <is>
          <t>231871</t>
        </is>
      </c>
      <c r="E2653" s="1" t="inlineStr">
        <is>
          <t xml:space="preserve">28194769       </t>
        </is>
      </c>
      <c r="F2653" s="5" t="inlineStr">
        <is>
          <t>AUTOS DE METAL 3 TEAMSTERZ PACK DE 2</t>
        </is>
      </c>
      <c r="G2653" t="n">
        <v>1</v>
      </c>
      <c r="H2653" s="7" t="n">
        <v>13.8</v>
      </c>
      <c r="I2653" s="7" t="n">
        <v>0</v>
      </c>
      <c r="J2653" s="7" t="n">
        <v>0</v>
      </c>
      <c r="K2653" s="9" t="n">
        <v>0</v>
      </c>
      <c r="L2653" s="10" t="n">
        <v>8.18</v>
      </c>
      <c r="M2653" s="10" t="n">
        <v>1.43</v>
      </c>
      <c r="N2653" t="inlineStr">
        <is>
          <t>1</t>
        </is>
      </c>
      <c r="O2653" t="inlineStr">
        <is>
          <t xml:space="preserve">2 </t>
        </is>
      </c>
      <c r="P2653" t="inlineStr">
        <is>
          <t xml:space="preserve">249636  </t>
        </is>
      </c>
      <c r="Q2653" s="26" t="n">
        <v>13.8</v>
      </c>
      <c r="R2653" s="26">
        <f>Q2653*G2653</f>
        <v/>
      </c>
      <c r="S2653" t="n">
        <v>8.19</v>
      </c>
      <c r="T2653" s="18">
        <f>1 - V2653/S2653</f>
        <v/>
      </c>
      <c r="U2653" s="18" t="n">
        <v>0</v>
      </c>
      <c r="V2653" s="26" t="n">
        <v>8.19</v>
      </c>
      <c r="W2653" s="26">
        <f>V2653 - L2653</f>
        <v/>
      </c>
    </row>
    <row r="2654">
      <c r="A2654" s="11" t="n">
        <v>46229</v>
      </c>
      <c r="B2654" s="1" t="n">
        <v>20058</v>
      </c>
      <c r="C2654" s="1" t="inlineStr">
        <is>
          <t>039</t>
        </is>
      </c>
      <c r="D2654" s="1" t="inlineStr">
        <is>
          <t>231885</t>
        </is>
      </c>
      <c r="E2654" s="1" t="inlineStr">
        <is>
          <t xml:space="preserve">28194768       </t>
        </is>
      </c>
      <c r="F2654" s="5" t="inlineStr">
        <is>
          <t>AUTO COLOR CHANGE TEAMSTERZ SURTIDO</t>
        </is>
      </c>
      <c r="G2654" t="n">
        <v>1</v>
      </c>
      <c r="H2654" s="7" t="n">
        <v>14.9</v>
      </c>
      <c r="I2654" s="7" t="n">
        <v>0</v>
      </c>
      <c r="J2654" s="7" t="n">
        <v>0</v>
      </c>
      <c r="K2654" s="9" t="n">
        <v>0</v>
      </c>
      <c r="L2654" s="10" t="n">
        <v>8.84</v>
      </c>
      <c r="M2654" s="10" t="n">
        <v>1.43</v>
      </c>
      <c r="N2654" t="inlineStr">
        <is>
          <t>1</t>
        </is>
      </c>
      <c r="O2654" t="inlineStr">
        <is>
          <t>16</t>
        </is>
      </c>
      <c r="P2654" t="inlineStr">
        <is>
          <t xml:space="preserve">239096  </t>
        </is>
      </c>
      <c r="Q2654" s="26" t="n">
        <v>14.9</v>
      </c>
      <c r="R2654" s="26">
        <f>Q2654*G2654</f>
        <v/>
      </c>
      <c r="S2654" t="n">
        <v>8.84</v>
      </c>
      <c r="T2654" s="18">
        <f>1 - V2654/S2654</f>
        <v/>
      </c>
      <c r="U2654" s="18" t="n">
        <v>0</v>
      </c>
      <c r="V2654" s="26" t="n">
        <v>8.84</v>
      </c>
      <c r="W2654" s="26">
        <f>V2654 - L2654</f>
        <v/>
      </c>
    </row>
    <row r="2655">
      <c r="A2655" s="11" t="n">
        <v>46229</v>
      </c>
      <c r="B2655" s="1" t="n">
        <v>20058</v>
      </c>
      <c r="C2655" s="1" t="inlineStr">
        <is>
          <t>039</t>
        </is>
      </c>
      <c r="D2655" s="1" t="inlineStr">
        <is>
          <t>231934</t>
        </is>
      </c>
      <c r="E2655" s="1" t="inlineStr">
        <is>
          <t xml:space="preserve">28194770       </t>
        </is>
      </c>
      <c r="F2655" s="5" t="inlineStr">
        <is>
          <t>AUTOS DE METAL 3 TEAMSTERZ EN BLISTER</t>
        </is>
      </c>
      <c r="G2655" t="n">
        <v>1</v>
      </c>
      <c r="H2655" s="7" t="n">
        <v>6.9</v>
      </c>
      <c r="I2655" s="7" t="n">
        <v>0</v>
      </c>
      <c r="J2655" s="7" t="n">
        <v>0</v>
      </c>
      <c r="K2655" s="9" t="n">
        <v>0</v>
      </c>
      <c r="L2655" s="10" t="n">
        <v>4.1</v>
      </c>
      <c r="M2655" s="10" t="n">
        <v>1.43</v>
      </c>
      <c r="N2655" t="inlineStr">
        <is>
          <t>1</t>
        </is>
      </c>
      <c r="O2655" t="inlineStr">
        <is>
          <t xml:space="preserve">2 </t>
        </is>
      </c>
      <c r="P2655" t="inlineStr">
        <is>
          <t xml:space="preserve">239096  </t>
        </is>
      </c>
      <c r="Q2655" s="26" t="n">
        <v>6.9</v>
      </c>
      <c r="R2655" s="26">
        <f>Q2655*G2655</f>
        <v/>
      </c>
      <c r="S2655" t="n">
        <v>4.09</v>
      </c>
      <c r="T2655" s="18">
        <f>1 - V2655/S2655</f>
        <v/>
      </c>
      <c r="U2655" s="18" t="n">
        <v>0</v>
      </c>
      <c r="V2655" s="26" t="n">
        <v>4.09</v>
      </c>
      <c r="W2655" s="26">
        <f>V2655 - L2655</f>
        <v/>
      </c>
    </row>
    <row r="2656">
      <c r="A2656" s="11" t="n">
        <v>46229</v>
      </c>
      <c r="B2656" s="1" t="n">
        <v>20058</v>
      </c>
      <c r="C2656" s="1" t="inlineStr">
        <is>
          <t>039</t>
        </is>
      </c>
      <c r="D2656" s="1" t="inlineStr">
        <is>
          <t>231934</t>
        </is>
      </c>
      <c r="E2656" s="1" t="inlineStr">
        <is>
          <t xml:space="preserve">28194770       </t>
        </is>
      </c>
      <c r="F2656" s="5" t="inlineStr">
        <is>
          <t>AUTOS DE METAL 3 TEAMSTERZ EN BLISTER</t>
        </is>
      </c>
      <c r="G2656" t="n">
        <v>1</v>
      </c>
      <c r="H2656" s="7" t="n">
        <v>6.9</v>
      </c>
      <c r="I2656" s="7" t="n">
        <v>0</v>
      </c>
      <c r="J2656" s="7" t="n">
        <v>0</v>
      </c>
      <c r="K2656" s="9" t="n">
        <v>0</v>
      </c>
      <c r="L2656" s="10" t="n">
        <v>4.1</v>
      </c>
      <c r="M2656" s="10" t="n">
        <v>1.43</v>
      </c>
      <c r="N2656" t="inlineStr">
        <is>
          <t>1</t>
        </is>
      </c>
      <c r="O2656" t="inlineStr">
        <is>
          <t xml:space="preserve">2 </t>
        </is>
      </c>
      <c r="P2656" t="inlineStr">
        <is>
          <t xml:space="preserve">239096  </t>
        </is>
      </c>
      <c r="Q2656" s="26" t="n">
        <v>6.9</v>
      </c>
      <c r="R2656" s="26">
        <f>Q2656*G2656</f>
        <v/>
      </c>
      <c r="S2656" t="n">
        <v>4.09</v>
      </c>
      <c r="T2656" s="18">
        <f>1 - V2656/S2656</f>
        <v/>
      </c>
      <c r="U2656" s="18" t="n">
        <v>0</v>
      </c>
      <c r="V2656" s="26" t="n">
        <v>4.09</v>
      </c>
      <c r="W2656" s="26">
        <f>V2656 - L2656</f>
        <v/>
      </c>
    </row>
    <row r="2657">
      <c r="A2657" s="11" t="n">
        <v>46229</v>
      </c>
      <c r="B2657" s="1" t="n">
        <v>20058</v>
      </c>
      <c r="C2657" s="1" t="inlineStr">
        <is>
          <t>039</t>
        </is>
      </c>
      <c r="D2657" s="1" t="inlineStr">
        <is>
          <t>231952</t>
        </is>
      </c>
      <c r="E2657" s="1" t="inlineStr">
        <is>
          <t xml:space="preserve">28194768       </t>
        </is>
      </c>
      <c r="F2657" s="5" t="inlineStr">
        <is>
          <t>AUTO COLOR CHANGE TEAMSTERZ SURTIDO</t>
        </is>
      </c>
      <c r="G2657" t="n">
        <v>1</v>
      </c>
      <c r="H2657" s="7" t="n">
        <v>14.9</v>
      </c>
      <c r="I2657" s="7" t="n">
        <v>0</v>
      </c>
      <c r="J2657" s="7" t="n">
        <v>0</v>
      </c>
      <c r="K2657" s="9" t="n">
        <v>0</v>
      </c>
      <c r="L2657" s="10" t="n">
        <v>8.84</v>
      </c>
      <c r="M2657" s="10" t="n">
        <v>1.43</v>
      </c>
      <c r="N2657" t="inlineStr">
        <is>
          <t>1</t>
        </is>
      </c>
      <c r="O2657" t="inlineStr">
        <is>
          <t>16</t>
        </is>
      </c>
      <c r="P2657" t="inlineStr">
        <is>
          <t xml:space="preserve">239096  </t>
        </is>
      </c>
      <c r="Q2657" s="26" t="n">
        <v>14.9</v>
      </c>
      <c r="R2657" s="26">
        <f>Q2657*G2657</f>
        <v/>
      </c>
      <c r="S2657" t="n">
        <v>8.84</v>
      </c>
      <c r="T2657" s="18">
        <f>1 - V2657/S2657</f>
        <v/>
      </c>
      <c r="U2657" s="18" t="n">
        <v>0</v>
      </c>
      <c r="V2657" s="26" t="n">
        <v>8.84</v>
      </c>
      <c r="W2657" s="26">
        <f>V2657 - L2657</f>
        <v/>
      </c>
    </row>
    <row r="2658">
      <c r="A2658" s="11" t="n">
        <v>46229</v>
      </c>
      <c r="B2658" s="1" t="n">
        <v>20058</v>
      </c>
      <c r="C2658" s="1" t="inlineStr">
        <is>
          <t>197</t>
        </is>
      </c>
      <c r="D2658" s="1" t="inlineStr">
        <is>
          <t>170879</t>
        </is>
      </c>
      <c r="E2658" s="1" t="inlineStr">
        <is>
          <t xml:space="preserve">28194770       </t>
        </is>
      </c>
      <c r="F2658" s="5" t="inlineStr">
        <is>
          <t>AUTOS DE METAL 3 TEAMSTERZ EN BLISTER</t>
        </is>
      </c>
      <c r="G2658" t="n">
        <v>1</v>
      </c>
      <c r="H2658" s="7" t="n">
        <v>6.9</v>
      </c>
      <c r="I2658" s="7" t="n">
        <v>0</v>
      </c>
      <c r="J2658" s="7" t="n">
        <v>0</v>
      </c>
      <c r="K2658" s="9" t="n">
        <v>0</v>
      </c>
      <c r="L2658" s="10" t="n">
        <v>4.1</v>
      </c>
      <c r="M2658" s="10" t="n">
        <v>1.43</v>
      </c>
      <c r="N2658" t="inlineStr">
        <is>
          <t>1</t>
        </is>
      </c>
      <c r="O2658" t="inlineStr">
        <is>
          <t xml:space="preserve">2 </t>
        </is>
      </c>
      <c r="P2658" t="inlineStr">
        <is>
          <t xml:space="preserve">249068  </t>
        </is>
      </c>
      <c r="Q2658" s="26" t="n">
        <v>6.9</v>
      </c>
      <c r="R2658" s="26">
        <f>Q2658*G2658</f>
        <v/>
      </c>
      <c r="S2658" t="n">
        <v>4.09</v>
      </c>
      <c r="T2658" s="18">
        <f>1 - V2658/S2658</f>
        <v/>
      </c>
      <c r="U2658" s="18" t="n">
        <v>0</v>
      </c>
      <c r="V2658" s="26" t="n">
        <v>4.09</v>
      </c>
      <c r="W2658" s="26">
        <f>V2658 - L2658</f>
        <v/>
      </c>
    </row>
    <row r="2659">
      <c r="A2659" s="11" t="n">
        <v>46229</v>
      </c>
      <c r="B2659" s="1" t="n">
        <v>20058</v>
      </c>
      <c r="C2659" s="1" t="inlineStr">
        <is>
          <t>519</t>
        </is>
      </c>
      <c r="D2659" s="1" t="inlineStr">
        <is>
          <t xml:space="preserve">7511  </t>
        </is>
      </c>
      <c r="E2659" s="1" t="inlineStr">
        <is>
          <t xml:space="preserve">28194768       </t>
        </is>
      </c>
      <c r="F2659" s="5" t="inlineStr">
        <is>
          <t>AUTO COLOR CHANGE TEAMSTERZ SURTIDO</t>
        </is>
      </c>
      <c r="G2659" t="n">
        <v>1</v>
      </c>
      <c r="H2659" s="7" t="n">
        <v>14.9</v>
      </c>
      <c r="I2659" s="7" t="n">
        <v>0</v>
      </c>
      <c r="J2659" s="7" t="n">
        <v>0</v>
      </c>
      <c r="K2659" s="9" t="n">
        <v>0</v>
      </c>
      <c r="L2659" s="10" t="n">
        <v>8.84</v>
      </c>
      <c r="M2659" s="10" t="n">
        <v>1.43</v>
      </c>
      <c r="N2659" t="inlineStr">
        <is>
          <t>1</t>
        </is>
      </c>
      <c r="O2659" t="inlineStr">
        <is>
          <t>16</t>
        </is>
      </c>
      <c r="P2659" t="inlineStr">
        <is>
          <t xml:space="preserve">99469   </t>
        </is>
      </c>
      <c r="Q2659" s="26" t="n">
        <v>14.9</v>
      </c>
      <c r="R2659" s="26">
        <f>Q2659*G2659</f>
        <v/>
      </c>
      <c r="S2659" t="n">
        <v>8.84</v>
      </c>
      <c r="T2659" s="18">
        <f>1 - V2659/S2659</f>
        <v/>
      </c>
      <c r="U2659" s="18" t="n">
        <v>0</v>
      </c>
      <c r="V2659" s="26" t="n">
        <v>8.84</v>
      </c>
      <c r="W2659" s="26">
        <f>V2659 - L2659</f>
        <v/>
      </c>
    </row>
    <row r="2660">
      <c r="A2660" s="11" t="n">
        <v>46229</v>
      </c>
      <c r="B2660" s="1" t="n">
        <v>20062</v>
      </c>
      <c r="C2660" s="1" t="inlineStr">
        <is>
          <t>017</t>
        </is>
      </c>
      <c r="D2660" s="1" t="inlineStr">
        <is>
          <t>236364</t>
        </is>
      </c>
      <c r="E2660" s="1" t="inlineStr">
        <is>
          <t xml:space="preserve">32656523       </t>
        </is>
      </c>
      <c r="F2660" s="5" t="inlineStr">
        <is>
          <t>TMZ BEAST MACHINES TRANSPORT. T-REX ELECTR. + ACCE</t>
        </is>
      </c>
      <c r="G2660" t="n">
        <v>1</v>
      </c>
      <c r="H2660" s="7" t="n">
        <v>179</v>
      </c>
      <c r="I2660" s="7" t="n">
        <v>17.9</v>
      </c>
      <c r="J2660" s="7" t="n">
        <v>0</v>
      </c>
      <c r="K2660" s="9" t="n">
        <v>17.9</v>
      </c>
      <c r="L2660" s="10" t="n">
        <v>95.56999999999999</v>
      </c>
      <c r="M2660" s="10" t="n">
        <v>1.43</v>
      </c>
      <c r="N2660" t="inlineStr">
        <is>
          <t>1</t>
        </is>
      </c>
      <c r="O2660" t="inlineStr">
        <is>
          <t xml:space="preserve">3 </t>
        </is>
      </c>
      <c r="P2660" t="inlineStr">
        <is>
          <t xml:space="preserve">252248  </t>
        </is>
      </c>
      <c r="Q2660" s="26" t="n">
        <v>179</v>
      </c>
      <c r="R2660" s="26">
        <f>Q2660*G2660</f>
        <v/>
      </c>
      <c r="S2660" t="n">
        <v>106.19</v>
      </c>
      <c r="T2660" s="18">
        <f>1 - V2660/S2660</f>
        <v/>
      </c>
      <c r="U2660" s="18" t="n">
        <v>0</v>
      </c>
      <c r="V2660" s="26" t="n">
        <v>106.19</v>
      </c>
      <c r="W2660" s="26">
        <f>V2660 - L2660</f>
        <v/>
      </c>
    </row>
    <row r="2661">
      <c r="A2661" s="11" t="n">
        <v>46229</v>
      </c>
      <c r="B2661" s="1" t="n">
        <v>20062</v>
      </c>
      <c r="C2661" s="1" t="inlineStr">
        <is>
          <t>017</t>
        </is>
      </c>
      <c r="D2661" s="1" t="inlineStr">
        <is>
          <t>236388</t>
        </is>
      </c>
      <c r="E2661" s="1" t="inlineStr">
        <is>
          <t xml:space="preserve">32457101       </t>
        </is>
      </c>
      <c r="F2661" s="5" t="inlineStr">
        <is>
          <t>TMZ BEAST MACHINES TRANSPORTE PESADO + 2 AUTOS SUR</t>
        </is>
      </c>
      <c r="G2661" t="n">
        <v>1</v>
      </c>
      <c r="H2661" s="7" t="n">
        <v>17.9</v>
      </c>
      <c r="I2661" s="7" t="n">
        <v>1.79</v>
      </c>
      <c r="J2661" s="7" t="n">
        <v>0</v>
      </c>
      <c r="K2661" s="9" t="n">
        <v>1.79</v>
      </c>
      <c r="L2661" s="10" t="n">
        <v>9.56</v>
      </c>
      <c r="M2661" s="10" t="n">
        <v>1.43</v>
      </c>
      <c r="N2661" t="inlineStr">
        <is>
          <t>1</t>
        </is>
      </c>
      <c r="O2661" t="inlineStr">
        <is>
          <t xml:space="preserve">3 </t>
        </is>
      </c>
      <c r="P2661" t="inlineStr">
        <is>
          <t xml:space="preserve">252248  </t>
        </is>
      </c>
      <c r="Q2661" s="26" t="n">
        <v>37.9</v>
      </c>
      <c r="R2661" s="26">
        <f>Q2661*G2661</f>
        <v/>
      </c>
      <c r="S2661" t="n">
        <v>22.48</v>
      </c>
      <c r="T2661" s="18">
        <f>1 - V2661/S2661</f>
        <v/>
      </c>
      <c r="U2661" s="18" t="n">
        <v>0.5277044854881267</v>
      </c>
      <c r="V2661" s="26" t="n">
        <v>12.88694915254237</v>
      </c>
      <c r="W2661" s="26">
        <f>V2661 - L2661</f>
        <v/>
      </c>
    </row>
    <row r="2662">
      <c r="A2662" s="11" t="n">
        <v>46229</v>
      </c>
      <c r="B2662" s="1" t="n">
        <v>20062</v>
      </c>
      <c r="C2662" s="1" t="inlineStr">
        <is>
          <t>831</t>
        </is>
      </c>
      <c r="D2662" s="1" t="inlineStr">
        <is>
          <t xml:space="preserve">1794  </t>
        </is>
      </c>
      <c r="E2662" s="1" t="inlineStr">
        <is>
          <t xml:space="preserve">33483128       </t>
        </is>
      </c>
      <c r="F2662" s="5" t="inlineStr">
        <is>
          <t>MUNECA STEFFI LOVE PASEADORA PERRITOS + ACC.</t>
        </is>
      </c>
      <c r="G2662" t="n">
        <v>1</v>
      </c>
      <c r="H2662" s="7" t="n">
        <v>35.94</v>
      </c>
      <c r="I2662" s="7" t="n">
        <v>3.59</v>
      </c>
      <c r="J2662" s="7" t="n">
        <v>0</v>
      </c>
      <c r="K2662" s="9" t="n">
        <v>3.59</v>
      </c>
      <c r="L2662" s="10" t="n">
        <v>19.19</v>
      </c>
      <c r="M2662" s="10" t="n">
        <v>1.43</v>
      </c>
      <c r="N2662" t="inlineStr">
        <is>
          <t>1</t>
        </is>
      </c>
      <c r="O2662" t="inlineStr">
        <is>
          <t>16</t>
        </is>
      </c>
      <c r="P2662" t="inlineStr">
        <is>
          <t xml:space="preserve">248412  </t>
        </is>
      </c>
      <c r="Q2662" s="26" t="n">
        <v>59.9</v>
      </c>
      <c r="R2662" s="26">
        <f>Q2662*G2662</f>
        <v/>
      </c>
      <c r="S2662" t="n">
        <v>35.53</v>
      </c>
      <c r="T2662" s="18">
        <f>1 - V2662/S2662</f>
        <v/>
      </c>
      <c r="U2662" s="18" t="n">
        <v>0.4</v>
      </c>
      <c r="V2662" s="26" t="n">
        <v>25.8793220338983</v>
      </c>
      <c r="W2662" s="26">
        <f>V2662 - L2662</f>
        <v/>
      </c>
    </row>
    <row r="2663">
      <c r="A2663" s="11" t="n">
        <v>46229</v>
      </c>
      <c r="B2663" s="1" t="n">
        <v>20066</v>
      </c>
      <c r="C2663" s="1" t="inlineStr">
        <is>
          <t>011</t>
        </is>
      </c>
      <c r="D2663" s="1" t="inlineStr">
        <is>
          <t>112977</t>
        </is>
      </c>
      <c r="E2663" s="1" t="inlineStr">
        <is>
          <t xml:space="preserve">28194766       </t>
        </is>
      </c>
      <c r="F2663" s="5" t="inlineStr">
        <is>
          <t>CAMIONES TEAMSTERZ DE CIUDAD</t>
        </is>
      </c>
      <c r="G2663" t="n">
        <v>1</v>
      </c>
      <c r="H2663" s="7" t="n">
        <v>17.9</v>
      </c>
      <c r="I2663" s="7" t="n">
        <v>0</v>
      </c>
      <c r="J2663" s="7" t="n">
        <v>0</v>
      </c>
      <c r="K2663" s="9" t="n">
        <v>0</v>
      </c>
      <c r="L2663" s="10" t="n">
        <v>10.62</v>
      </c>
      <c r="M2663" s="10" t="n">
        <v>1.43</v>
      </c>
      <c r="N2663" t="inlineStr">
        <is>
          <t>1</t>
        </is>
      </c>
      <c r="O2663" t="inlineStr">
        <is>
          <t>16</t>
        </is>
      </c>
      <c r="P2663" t="inlineStr">
        <is>
          <t xml:space="preserve">44050   </t>
        </is>
      </c>
      <c r="Q2663" s="26" t="n">
        <v>17.9</v>
      </c>
      <c r="R2663" s="26">
        <f>Q2663*G2663</f>
        <v/>
      </c>
      <c r="S2663" t="n">
        <v>10.62</v>
      </c>
      <c r="T2663" s="18">
        <f>1 - V2663/S2663</f>
        <v/>
      </c>
      <c r="U2663" s="18" t="n">
        <v>0</v>
      </c>
      <c r="V2663" s="26" t="n">
        <v>10.62</v>
      </c>
      <c r="W2663" s="26">
        <f>V2663 - L2663</f>
        <v/>
      </c>
    </row>
    <row r="2664">
      <c r="A2664" s="11" t="n">
        <v>46229</v>
      </c>
      <c r="B2664" s="1" t="n">
        <v>20066</v>
      </c>
      <c r="C2664" s="1" t="inlineStr">
        <is>
          <t>011</t>
        </is>
      </c>
      <c r="D2664" s="1" t="inlineStr">
        <is>
          <t>112977</t>
        </is>
      </c>
      <c r="E2664" s="1" t="inlineStr">
        <is>
          <t xml:space="preserve">28194767       </t>
        </is>
      </c>
      <c r="F2664" s="5" t="inlineStr">
        <is>
          <t>CAMIONES TEAMSTERZ DE EMERGENCIA</t>
        </is>
      </c>
      <c r="G2664" t="n">
        <v>1</v>
      </c>
      <c r="H2664" s="7" t="n">
        <v>17.9</v>
      </c>
      <c r="I2664" s="7" t="n">
        <v>0</v>
      </c>
      <c r="J2664" s="7" t="n">
        <v>0</v>
      </c>
      <c r="K2664" s="9" t="n">
        <v>0</v>
      </c>
      <c r="L2664" s="10" t="n">
        <v>10.62</v>
      </c>
      <c r="M2664" s="10" t="n">
        <v>1.43</v>
      </c>
      <c r="N2664" t="inlineStr">
        <is>
          <t>1</t>
        </is>
      </c>
      <c r="O2664" t="inlineStr">
        <is>
          <t>16</t>
        </is>
      </c>
      <c r="P2664" t="inlineStr">
        <is>
          <t xml:space="preserve">44050   </t>
        </is>
      </c>
      <c r="Q2664" s="26" t="n">
        <v>17.9</v>
      </c>
      <c r="R2664" s="26">
        <f>Q2664*G2664</f>
        <v/>
      </c>
      <c r="S2664" t="n">
        <v>10.62</v>
      </c>
      <c r="T2664" s="18">
        <f>1 - V2664/S2664</f>
        <v/>
      </c>
      <c r="U2664" s="18" t="n">
        <v>0</v>
      </c>
      <c r="V2664" s="26" t="n">
        <v>10.62</v>
      </c>
      <c r="W2664" s="26">
        <f>V2664 - L2664</f>
        <v/>
      </c>
    </row>
    <row r="2665">
      <c r="A2665" s="11" t="n">
        <v>46229</v>
      </c>
      <c r="B2665" s="1" t="n">
        <v>20066</v>
      </c>
      <c r="C2665" s="1" t="inlineStr">
        <is>
          <t>011</t>
        </is>
      </c>
      <c r="D2665" s="1" t="inlineStr">
        <is>
          <t>112977</t>
        </is>
      </c>
      <c r="E2665" s="1" t="inlineStr">
        <is>
          <t xml:space="preserve">29235710       </t>
        </is>
      </c>
      <c r="F2665" s="5" t="inlineStr">
        <is>
          <t>TEAMSTERZ PLAYSET GRANDES CONSTRUCCIONES</t>
        </is>
      </c>
      <c r="G2665" t="n">
        <v>1</v>
      </c>
      <c r="H2665" s="7" t="n">
        <v>19.9</v>
      </c>
      <c r="I2665" s="7" t="n">
        <v>0</v>
      </c>
      <c r="J2665" s="7" t="n">
        <v>0</v>
      </c>
      <c r="K2665" s="9" t="n">
        <v>0</v>
      </c>
      <c r="L2665" s="10" t="n">
        <v>11.8</v>
      </c>
      <c r="M2665" s="10" t="n">
        <v>1.43</v>
      </c>
      <c r="N2665" t="inlineStr">
        <is>
          <t>1</t>
        </is>
      </c>
      <c r="O2665" t="inlineStr">
        <is>
          <t>16</t>
        </is>
      </c>
      <c r="P2665" t="inlineStr">
        <is>
          <t xml:space="preserve">44050   </t>
        </is>
      </c>
      <c r="Q2665" s="26" t="n">
        <v>19.9</v>
      </c>
      <c r="R2665" s="26">
        <f>Q2665*G2665</f>
        <v/>
      </c>
      <c r="S2665" t="n">
        <v>11.81</v>
      </c>
      <c r="T2665" s="18">
        <f>1 - V2665/S2665</f>
        <v/>
      </c>
      <c r="U2665" s="18" t="n">
        <v>0</v>
      </c>
      <c r="V2665" s="26" t="n">
        <v>11.81</v>
      </c>
      <c r="W2665" s="26">
        <f>V2665 - L2665</f>
        <v/>
      </c>
    </row>
    <row r="2666">
      <c r="A2666" s="11" t="n">
        <v>46229</v>
      </c>
      <c r="B2666" s="1" t="n">
        <v>20066</v>
      </c>
      <c r="C2666" s="1" t="inlineStr">
        <is>
          <t>052</t>
        </is>
      </c>
      <c r="D2666" s="1" t="inlineStr">
        <is>
          <t>320928</t>
        </is>
      </c>
      <c r="E2666" s="1" t="inlineStr">
        <is>
          <t xml:space="preserve">31675354       </t>
        </is>
      </c>
      <c r="F2666" s="5" t="inlineStr">
        <is>
          <t>NENUCO LLORON CON ACCESORIOS</t>
        </is>
      </c>
      <c r="G2666" t="n">
        <v>1</v>
      </c>
      <c r="H2666" s="7" t="n">
        <v>69.90000000000001</v>
      </c>
      <c r="I2666" s="7" t="n">
        <v>0</v>
      </c>
      <c r="J2666" s="7" t="n">
        <v>0</v>
      </c>
      <c r="K2666" s="9" t="n">
        <v>0</v>
      </c>
      <c r="L2666" s="10" t="n">
        <v>41.47</v>
      </c>
      <c r="M2666" s="10" t="n">
        <v>1.43</v>
      </c>
      <c r="N2666" t="inlineStr">
        <is>
          <t>1</t>
        </is>
      </c>
      <c r="O2666" t="inlineStr">
        <is>
          <t xml:space="preserve">2 </t>
        </is>
      </c>
      <c r="P2666" t="inlineStr">
        <is>
          <t xml:space="preserve">62683   </t>
        </is>
      </c>
      <c r="Q2666" s="26" t="n">
        <v>89.90000000000001</v>
      </c>
      <c r="R2666" s="26">
        <f>Q2666*G2666</f>
        <v/>
      </c>
      <c r="S2666" t="n">
        <v>53.33</v>
      </c>
      <c r="T2666" s="18">
        <f>1 - V2666/S2666</f>
        <v/>
      </c>
      <c r="U2666" s="18" t="n">
        <v>0.2224694104560623</v>
      </c>
      <c r="V2666" s="26" t="n">
        <v>44.42796610169492</v>
      </c>
      <c r="W2666" s="26">
        <f>V2666 - L2666</f>
        <v/>
      </c>
    </row>
    <row r="2667">
      <c r="A2667" s="11" t="n">
        <v>46229</v>
      </c>
      <c r="B2667" s="1" t="n">
        <v>20066</v>
      </c>
      <c r="C2667" s="1" t="inlineStr">
        <is>
          <t>052</t>
        </is>
      </c>
      <c r="D2667" s="1" t="inlineStr">
        <is>
          <t>320974</t>
        </is>
      </c>
      <c r="E2667" s="1" t="inlineStr">
        <is>
          <t xml:space="preserve">32656420       </t>
        </is>
      </c>
      <c r="F2667" s="5" t="inlineStr">
        <is>
          <t>PINYPON ACTION EXPLORADOR + FIGURA Y ANIMAL</t>
        </is>
      </c>
      <c r="G2667" t="n">
        <v>1</v>
      </c>
      <c r="H2667" s="7" t="n">
        <v>27.9</v>
      </c>
      <c r="I2667" s="7" t="n">
        <v>0</v>
      </c>
      <c r="J2667" s="7" t="n">
        <v>0</v>
      </c>
      <c r="K2667" s="9" t="n">
        <v>0</v>
      </c>
      <c r="L2667" s="10" t="n">
        <v>16.55</v>
      </c>
      <c r="M2667" s="10" t="n">
        <v>1.43</v>
      </c>
      <c r="N2667" t="inlineStr">
        <is>
          <t>1</t>
        </is>
      </c>
      <c r="O2667" t="inlineStr">
        <is>
          <t>16</t>
        </is>
      </c>
      <c r="P2667" t="inlineStr">
        <is>
          <t xml:space="preserve">62683   </t>
        </is>
      </c>
      <c r="Q2667" s="26" t="n">
        <v>27.9</v>
      </c>
      <c r="R2667" s="26">
        <f>Q2667*G2667</f>
        <v/>
      </c>
      <c r="S2667" t="n">
        <v>16.55</v>
      </c>
      <c r="T2667" s="18">
        <f>1 - V2667/S2667</f>
        <v/>
      </c>
      <c r="U2667" s="18" t="n">
        <v>0</v>
      </c>
      <c r="V2667" s="26" t="n">
        <v>16.55</v>
      </c>
      <c r="W2667" s="26">
        <f>V2667 - L2667</f>
        <v/>
      </c>
    </row>
    <row r="2668">
      <c r="A2668" s="11" t="n">
        <v>46229</v>
      </c>
      <c r="B2668" s="1" t="n">
        <v>20066</v>
      </c>
      <c r="C2668" s="1" t="inlineStr">
        <is>
          <t>052</t>
        </is>
      </c>
      <c r="D2668" s="1" t="inlineStr">
        <is>
          <t>320978</t>
        </is>
      </c>
      <c r="E2668" s="1" t="inlineStr">
        <is>
          <t xml:space="preserve">28194766       </t>
        </is>
      </c>
      <c r="F2668" s="5" t="inlineStr">
        <is>
          <t>CAMIONES TEAMSTERZ DE CIUDAD</t>
        </is>
      </c>
      <c r="G2668" t="n">
        <v>1</v>
      </c>
      <c r="H2668" s="7" t="n">
        <v>17.9</v>
      </c>
      <c r="I2668" s="7" t="n">
        <v>0</v>
      </c>
      <c r="J2668" s="7" t="n">
        <v>0</v>
      </c>
      <c r="K2668" s="9" t="n">
        <v>0</v>
      </c>
      <c r="L2668" s="10" t="n">
        <v>10.62</v>
      </c>
      <c r="M2668" s="10" t="n">
        <v>1.43</v>
      </c>
      <c r="N2668" t="inlineStr">
        <is>
          <t>1</t>
        </is>
      </c>
      <c r="O2668" t="inlineStr">
        <is>
          <t>16</t>
        </is>
      </c>
      <c r="P2668" t="inlineStr">
        <is>
          <t xml:space="preserve">62683   </t>
        </is>
      </c>
      <c r="Q2668" s="26" t="n">
        <v>17.9</v>
      </c>
      <c r="R2668" s="26">
        <f>Q2668*G2668</f>
        <v/>
      </c>
      <c r="S2668" t="n">
        <v>10.62</v>
      </c>
      <c r="T2668" s="18">
        <f>1 - V2668/S2668</f>
        <v/>
      </c>
      <c r="U2668" s="18" t="n">
        <v>0</v>
      </c>
      <c r="V2668" s="26" t="n">
        <v>10.62</v>
      </c>
      <c r="W2668" s="26">
        <f>V2668 - L2668</f>
        <v/>
      </c>
    </row>
    <row r="2669">
      <c r="A2669" s="11" t="n">
        <v>46229</v>
      </c>
      <c r="B2669" s="1" t="n">
        <v>20066</v>
      </c>
      <c r="C2669" s="1" t="inlineStr">
        <is>
          <t>058</t>
        </is>
      </c>
      <c r="D2669" s="1" t="inlineStr">
        <is>
          <t xml:space="preserve">61338 </t>
        </is>
      </c>
      <c r="E2669" s="1" t="inlineStr">
        <is>
          <t xml:space="preserve">28194770       </t>
        </is>
      </c>
      <c r="F2669" s="5" t="inlineStr">
        <is>
          <t>AUTOS DE METAL 3 TEAMSTERZ EN BLISTER</t>
        </is>
      </c>
      <c r="G2669" t="n">
        <v>1</v>
      </c>
      <c r="H2669" s="7" t="n">
        <v>6.9</v>
      </c>
      <c r="I2669" s="7" t="n">
        <v>0</v>
      </c>
      <c r="J2669" s="7" t="n">
        <v>0</v>
      </c>
      <c r="K2669" s="9" t="n">
        <v>0</v>
      </c>
      <c r="L2669" s="10" t="n">
        <v>4.1</v>
      </c>
      <c r="M2669" s="10" t="n">
        <v>1.43</v>
      </c>
      <c r="N2669" t="inlineStr">
        <is>
          <t>1</t>
        </is>
      </c>
      <c r="O2669" t="inlineStr">
        <is>
          <t>16</t>
        </is>
      </c>
      <c r="P2669" t="inlineStr">
        <is>
          <t xml:space="preserve">250269  </t>
        </is>
      </c>
      <c r="Q2669" s="26" t="n">
        <v>6.9</v>
      </c>
      <c r="R2669" s="26">
        <f>Q2669*G2669</f>
        <v/>
      </c>
      <c r="S2669" t="n">
        <v>4.09</v>
      </c>
      <c r="T2669" s="18">
        <f>1 - V2669/S2669</f>
        <v/>
      </c>
      <c r="U2669" s="18" t="n">
        <v>0</v>
      </c>
      <c r="V2669" s="26" t="n">
        <v>4.09</v>
      </c>
      <c r="W2669" s="26">
        <f>V2669 - L2669</f>
        <v/>
      </c>
    </row>
    <row r="2670">
      <c r="A2670" s="11" t="n">
        <v>46229</v>
      </c>
      <c r="B2670" s="1" t="n">
        <v>20066</v>
      </c>
      <c r="C2670" s="1" t="inlineStr">
        <is>
          <t>058</t>
        </is>
      </c>
      <c r="D2670" s="1" t="inlineStr">
        <is>
          <t xml:space="preserve">61338 </t>
        </is>
      </c>
      <c r="E2670" s="1" t="inlineStr">
        <is>
          <t xml:space="preserve">28194770       </t>
        </is>
      </c>
      <c r="F2670" s="5" t="inlineStr">
        <is>
          <t>AUTOS DE METAL 3 TEAMSTERZ EN BLISTER</t>
        </is>
      </c>
      <c r="G2670" t="n">
        <v>1</v>
      </c>
      <c r="H2670" s="7" t="n">
        <v>6.9</v>
      </c>
      <c r="I2670" s="7" t="n">
        <v>0</v>
      </c>
      <c r="J2670" s="7" t="n">
        <v>0</v>
      </c>
      <c r="K2670" s="9" t="n">
        <v>0</v>
      </c>
      <c r="L2670" s="10" t="n">
        <v>4.1</v>
      </c>
      <c r="M2670" s="10" t="n">
        <v>1.43</v>
      </c>
      <c r="N2670" t="inlineStr">
        <is>
          <t>1</t>
        </is>
      </c>
      <c r="O2670" t="inlineStr">
        <is>
          <t>16</t>
        </is>
      </c>
      <c r="P2670" t="inlineStr">
        <is>
          <t xml:space="preserve">250269  </t>
        </is>
      </c>
      <c r="Q2670" s="26" t="n">
        <v>6.9</v>
      </c>
      <c r="R2670" s="26">
        <f>Q2670*G2670</f>
        <v/>
      </c>
      <c r="S2670" t="n">
        <v>4.09</v>
      </c>
      <c r="T2670" s="18">
        <f>1 - V2670/S2670</f>
        <v/>
      </c>
      <c r="U2670" s="18" t="n">
        <v>0</v>
      </c>
      <c r="V2670" s="26" t="n">
        <v>4.09</v>
      </c>
      <c r="W2670" s="26">
        <f>V2670 - L2670</f>
        <v/>
      </c>
    </row>
    <row r="2671">
      <c r="A2671" s="11" t="n">
        <v>46229</v>
      </c>
      <c r="B2671" s="1" t="n">
        <v>20066</v>
      </c>
      <c r="C2671" s="1" t="inlineStr">
        <is>
          <t>058</t>
        </is>
      </c>
      <c r="D2671" s="1" t="inlineStr">
        <is>
          <t xml:space="preserve">61338 </t>
        </is>
      </c>
      <c r="E2671" s="1" t="inlineStr">
        <is>
          <t xml:space="preserve">28194770       </t>
        </is>
      </c>
      <c r="F2671" s="5" t="inlineStr">
        <is>
          <t>AUTOS DE METAL 3 TEAMSTERZ EN BLISTER</t>
        </is>
      </c>
      <c r="G2671" t="n">
        <v>1</v>
      </c>
      <c r="H2671" s="7" t="n">
        <v>6.9</v>
      </c>
      <c r="I2671" s="7" t="n">
        <v>0</v>
      </c>
      <c r="J2671" s="7" t="n">
        <v>0</v>
      </c>
      <c r="K2671" s="9" t="n">
        <v>0</v>
      </c>
      <c r="L2671" s="10" t="n">
        <v>4.1</v>
      </c>
      <c r="M2671" s="10" t="n">
        <v>1.43</v>
      </c>
      <c r="N2671" t="inlineStr">
        <is>
          <t>1</t>
        </is>
      </c>
      <c r="O2671" t="inlineStr">
        <is>
          <t>16</t>
        </is>
      </c>
      <c r="P2671" t="inlineStr">
        <is>
          <t xml:space="preserve">250269  </t>
        </is>
      </c>
      <c r="Q2671" s="26" t="n">
        <v>6.9</v>
      </c>
      <c r="R2671" s="26">
        <f>Q2671*G2671</f>
        <v/>
      </c>
      <c r="S2671" t="n">
        <v>4.09</v>
      </c>
      <c r="T2671" s="18">
        <f>1 - V2671/S2671</f>
        <v/>
      </c>
      <c r="U2671" s="18" t="n">
        <v>0</v>
      </c>
      <c r="V2671" s="26" t="n">
        <v>4.09</v>
      </c>
      <c r="W2671" s="26">
        <f>V2671 - L2671</f>
        <v/>
      </c>
    </row>
    <row r="2672">
      <c r="A2672" s="11" t="n">
        <v>46229</v>
      </c>
      <c r="B2672" s="1" t="n">
        <v>20066</v>
      </c>
      <c r="C2672" s="1" t="inlineStr">
        <is>
          <t>058</t>
        </is>
      </c>
      <c r="D2672" s="1" t="inlineStr">
        <is>
          <t xml:space="preserve">61338 </t>
        </is>
      </c>
      <c r="E2672" s="1" t="inlineStr">
        <is>
          <t xml:space="preserve">31754675       </t>
        </is>
      </c>
      <c r="F2672" s="5" t="inlineStr">
        <is>
          <t>INFINITY NADO SERIE 6 STARTER PACK - 4 MODELOS</t>
        </is>
      </c>
      <c r="G2672" t="n">
        <v>1</v>
      </c>
      <c r="H2672" s="7" t="n">
        <v>49.9</v>
      </c>
      <c r="I2672" s="7" t="n">
        <v>0</v>
      </c>
      <c r="J2672" s="7" t="n">
        <v>0</v>
      </c>
      <c r="K2672" s="9" t="n">
        <v>0</v>
      </c>
      <c r="L2672" s="10" t="n">
        <v>29.6</v>
      </c>
      <c r="M2672" s="10" t="n">
        <v>1.43</v>
      </c>
      <c r="N2672" t="inlineStr">
        <is>
          <t>1</t>
        </is>
      </c>
      <c r="O2672" t="inlineStr">
        <is>
          <t>16</t>
        </is>
      </c>
      <c r="P2672" t="inlineStr">
        <is>
          <t xml:space="preserve">250269  </t>
        </is>
      </c>
      <c r="Q2672" s="26" t="n">
        <v>69.90000000000001</v>
      </c>
      <c r="R2672" s="26">
        <f>Q2672*G2672</f>
        <v/>
      </c>
      <c r="S2672" t="n">
        <v>41.47</v>
      </c>
      <c r="T2672" s="18">
        <f>1 - V2672/S2672</f>
        <v/>
      </c>
      <c r="U2672" s="18" t="n">
        <v>0.2861230329041489</v>
      </c>
      <c r="V2672" s="26" t="n">
        <v>31.71610169491525</v>
      </c>
      <c r="W2672" s="26">
        <f>V2672 - L2672</f>
        <v/>
      </c>
    </row>
    <row r="2673">
      <c r="A2673" s="11" t="n">
        <v>46229</v>
      </c>
      <c r="B2673" s="1" t="n">
        <v>20066</v>
      </c>
      <c r="C2673" s="1" t="inlineStr">
        <is>
          <t>059</t>
        </is>
      </c>
      <c r="D2673" s="1" t="inlineStr">
        <is>
          <t xml:space="preserve">20471 </t>
        </is>
      </c>
      <c r="E2673" s="1" t="inlineStr">
        <is>
          <t xml:space="preserve">28194770       </t>
        </is>
      </c>
      <c r="F2673" s="5" t="inlineStr">
        <is>
          <t>AUTOS DE METAL 3 TEAMSTERZ EN BLISTER</t>
        </is>
      </c>
      <c r="G2673" t="n">
        <v>1</v>
      </c>
      <c r="H2673" s="7" t="n">
        <v>6.9</v>
      </c>
      <c r="I2673" s="7" t="n">
        <v>0</v>
      </c>
      <c r="J2673" s="7" t="n">
        <v>0</v>
      </c>
      <c r="K2673" s="9" t="n">
        <v>0</v>
      </c>
      <c r="L2673" s="10" t="n">
        <v>4.1</v>
      </c>
      <c r="M2673" s="10" t="n">
        <v>1.43</v>
      </c>
      <c r="N2673" t="inlineStr">
        <is>
          <t>1</t>
        </is>
      </c>
      <c r="O2673" t="inlineStr">
        <is>
          <t>16</t>
        </is>
      </c>
      <c r="P2673" t="inlineStr">
        <is>
          <t xml:space="preserve">12745   </t>
        </is>
      </c>
      <c r="Q2673" s="26" t="n">
        <v>6.9</v>
      </c>
      <c r="R2673" s="26">
        <f>Q2673*G2673</f>
        <v/>
      </c>
      <c r="S2673" t="n">
        <v>4.09</v>
      </c>
      <c r="T2673" s="18">
        <f>1 - V2673/S2673</f>
        <v/>
      </c>
      <c r="U2673" s="18" t="n">
        <v>0</v>
      </c>
      <c r="V2673" s="26" t="n">
        <v>4.09</v>
      </c>
      <c r="W2673" s="26">
        <f>V2673 - L2673</f>
        <v/>
      </c>
    </row>
    <row r="2674">
      <c r="A2674" s="11" t="n">
        <v>46229</v>
      </c>
      <c r="B2674" s="1" t="n">
        <v>20066</v>
      </c>
      <c r="C2674" s="1" t="inlineStr">
        <is>
          <t>059</t>
        </is>
      </c>
      <c r="D2674" s="1" t="inlineStr">
        <is>
          <t xml:space="preserve">20517 </t>
        </is>
      </c>
      <c r="E2674" s="1" t="inlineStr">
        <is>
          <t xml:space="preserve">28194770       </t>
        </is>
      </c>
      <c r="F2674" s="5" t="inlineStr">
        <is>
          <t>AUTOS DE METAL 3 TEAMSTERZ EN BLISTER</t>
        </is>
      </c>
      <c r="G2674" t="n">
        <v>1</v>
      </c>
      <c r="H2674" s="7" t="n">
        <v>6.9</v>
      </c>
      <c r="I2674" s="7" t="n">
        <v>0</v>
      </c>
      <c r="J2674" s="7" t="n">
        <v>0</v>
      </c>
      <c r="K2674" s="9" t="n">
        <v>0</v>
      </c>
      <c r="L2674" s="10" t="n">
        <v>4.1</v>
      </c>
      <c r="M2674" s="10" t="n">
        <v>1.43</v>
      </c>
      <c r="N2674" t="inlineStr">
        <is>
          <t>1</t>
        </is>
      </c>
      <c r="O2674" t="inlineStr">
        <is>
          <t>16</t>
        </is>
      </c>
      <c r="P2674" t="inlineStr">
        <is>
          <t xml:space="preserve">12745   </t>
        </is>
      </c>
      <c r="Q2674" s="26" t="n">
        <v>6.9</v>
      </c>
      <c r="R2674" s="26">
        <f>Q2674*G2674</f>
        <v/>
      </c>
      <c r="S2674" t="n">
        <v>4.09</v>
      </c>
      <c r="T2674" s="18">
        <f>1 - V2674/S2674</f>
        <v/>
      </c>
      <c r="U2674" s="18" t="n">
        <v>0</v>
      </c>
      <c r="V2674" s="26" t="n">
        <v>4.09</v>
      </c>
      <c r="W2674" s="26">
        <f>V2674 - L2674</f>
        <v/>
      </c>
    </row>
    <row r="2675">
      <c r="A2675" s="11" t="n">
        <v>46229</v>
      </c>
      <c r="B2675" s="1" t="n">
        <v>20066</v>
      </c>
      <c r="C2675" s="1" t="inlineStr">
        <is>
          <t>061</t>
        </is>
      </c>
      <c r="D2675" s="1" t="inlineStr">
        <is>
          <t xml:space="preserve">36351 </t>
        </is>
      </c>
      <c r="E2675" s="1" t="inlineStr">
        <is>
          <t xml:space="preserve">28194770       </t>
        </is>
      </c>
      <c r="F2675" s="5" t="inlineStr">
        <is>
          <t>AUTOS DE METAL 3 TEAMSTERZ EN BLISTER</t>
        </is>
      </c>
      <c r="G2675" t="n">
        <v>1</v>
      </c>
      <c r="H2675" s="7" t="n">
        <v>6.9</v>
      </c>
      <c r="I2675" s="7" t="n">
        <v>0</v>
      </c>
      <c r="J2675" s="7" t="n">
        <v>0</v>
      </c>
      <c r="K2675" s="9" t="n">
        <v>0</v>
      </c>
      <c r="L2675" s="10" t="n">
        <v>4.1</v>
      </c>
      <c r="M2675" s="10" t="n">
        <v>1.43</v>
      </c>
      <c r="N2675" t="inlineStr">
        <is>
          <t>1</t>
        </is>
      </c>
      <c r="O2675" t="inlineStr">
        <is>
          <t xml:space="preserve">2 </t>
        </is>
      </c>
      <c r="P2675" t="inlineStr">
        <is>
          <t xml:space="preserve">43713   </t>
        </is>
      </c>
      <c r="Q2675" s="26" t="n">
        <v>6.9</v>
      </c>
      <c r="R2675" s="26">
        <f>Q2675*G2675</f>
        <v/>
      </c>
      <c r="S2675" t="n">
        <v>4.09</v>
      </c>
      <c r="T2675" s="18">
        <f>1 - V2675/S2675</f>
        <v/>
      </c>
      <c r="U2675" s="18" t="n">
        <v>0</v>
      </c>
      <c r="V2675" s="26" t="n">
        <v>4.09</v>
      </c>
      <c r="W2675" s="26">
        <f>V2675 - L2675</f>
        <v/>
      </c>
    </row>
    <row r="2676">
      <c r="A2676" s="11" t="n">
        <v>46229</v>
      </c>
      <c r="B2676" s="1" t="n">
        <v>20069</v>
      </c>
      <c r="C2676" s="1" t="inlineStr">
        <is>
          <t>801</t>
        </is>
      </c>
      <c r="D2676" s="1" t="inlineStr">
        <is>
          <t xml:space="preserve">1820  </t>
        </is>
      </c>
      <c r="E2676" s="1" t="inlineStr">
        <is>
          <t xml:space="preserve">29235708       </t>
        </is>
      </c>
      <c r="F2676" s="5" t="inlineStr">
        <is>
          <t>TEAMSTERZ RESCATE POR AIRE Y MAR</t>
        </is>
      </c>
      <c r="G2676" t="n">
        <v>1</v>
      </c>
      <c r="H2676" s="7" t="n">
        <v>39.9</v>
      </c>
      <c r="I2676" s="7" t="n">
        <v>0</v>
      </c>
      <c r="J2676" s="7" t="n">
        <v>0</v>
      </c>
      <c r="K2676" s="9" t="n">
        <v>0</v>
      </c>
      <c r="L2676" s="10" t="n">
        <v>23.67</v>
      </c>
      <c r="M2676" s="10" t="n">
        <v>1.43</v>
      </c>
      <c r="N2676" t="inlineStr">
        <is>
          <t>1</t>
        </is>
      </c>
      <c r="O2676" t="inlineStr">
        <is>
          <t>16</t>
        </is>
      </c>
      <c r="P2676" t="inlineStr">
        <is>
          <t xml:space="preserve">0       </t>
        </is>
      </c>
      <c r="Q2676" s="26" t="n">
        <v>39.9</v>
      </c>
      <c r="R2676" s="26">
        <f>Q2676*G2676</f>
        <v/>
      </c>
      <c r="S2676" t="n">
        <v>23.67</v>
      </c>
      <c r="T2676" s="18">
        <f>1 - V2676/S2676</f>
        <v/>
      </c>
      <c r="U2676" s="18" t="n">
        <v>0</v>
      </c>
      <c r="V2676" s="26" t="n">
        <v>23.67</v>
      </c>
      <c r="W2676" s="26">
        <f>V2676 - L2676</f>
        <v/>
      </c>
    </row>
    <row r="2677">
      <c r="A2677" s="11" t="n">
        <v>46229</v>
      </c>
      <c r="B2677" s="1" t="n">
        <v>20072</v>
      </c>
      <c r="C2677" s="1" t="inlineStr">
        <is>
          <t>033</t>
        </is>
      </c>
      <c r="D2677" s="1" t="inlineStr">
        <is>
          <t>285657</t>
        </is>
      </c>
      <c r="E2677" s="1" t="inlineStr">
        <is>
          <t xml:space="preserve">28194767       </t>
        </is>
      </c>
      <c r="F2677" s="5" t="inlineStr">
        <is>
          <t>CAMIONES TEAMSTERZ DE EMERGENCIA</t>
        </is>
      </c>
      <c r="G2677" t="n">
        <v>1</v>
      </c>
      <c r="H2677" s="7" t="n">
        <v>17.9</v>
      </c>
      <c r="I2677" s="7" t="n">
        <v>0</v>
      </c>
      <c r="J2677" s="7" t="n">
        <v>0</v>
      </c>
      <c r="K2677" s="9" t="n">
        <v>0</v>
      </c>
      <c r="L2677" s="10" t="n">
        <v>10.62</v>
      </c>
      <c r="M2677" s="10" t="n">
        <v>1.43</v>
      </c>
      <c r="N2677" t="inlineStr">
        <is>
          <t>1</t>
        </is>
      </c>
      <c r="O2677" t="inlineStr">
        <is>
          <t>16</t>
        </is>
      </c>
      <c r="P2677" t="inlineStr">
        <is>
          <t xml:space="preserve">91479   </t>
        </is>
      </c>
      <c r="Q2677" s="26" t="n">
        <v>17.9</v>
      </c>
      <c r="R2677" s="26">
        <f>Q2677*G2677</f>
        <v/>
      </c>
      <c r="S2677" t="n">
        <v>10.62</v>
      </c>
      <c r="T2677" s="18">
        <f>1 - V2677/S2677</f>
        <v/>
      </c>
      <c r="U2677" s="18" t="n">
        <v>0</v>
      </c>
      <c r="V2677" s="26" t="n">
        <v>10.62</v>
      </c>
      <c r="W2677" s="26">
        <f>V2677 - L2677</f>
        <v/>
      </c>
    </row>
    <row r="2678">
      <c r="A2678" s="11" t="n">
        <v>46229</v>
      </c>
      <c r="B2678" s="1" t="n">
        <v>20072</v>
      </c>
      <c r="C2678" s="1" t="inlineStr">
        <is>
          <t>036</t>
        </is>
      </c>
      <c r="D2678" s="1" t="inlineStr">
        <is>
          <t>180508</t>
        </is>
      </c>
      <c r="E2678" s="1" t="inlineStr">
        <is>
          <t xml:space="preserve">28194780       </t>
        </is>
      </c>
      <c r="F2678" s="5" t="inlineStr">
        <is>
          <t>TROMPO BATALLA INFINITY NADO PLSTICO SURTIDO</t>
        </is>
      </c>
      <c r="G2678" t="n">
        <v>1</v>
      </c>
      <c r="H2678" s="7" t="n">
        <v>19.9</v>
      </c>
      <c r="I2678" s="7" t="n">
        <v>0</v>
      </c>
      <c r="J2678" s="7" t="n">
        <v>0</v>
      </c>
      <c r="K2678" s="9" t="n">
        <v>0</v>
      </c>
      <c r="L2678" s="10" t="n">
        <v>11.8</v>
      </c>
      <c r="M2678" s="10" t="n">
        <v>1.43</v>
      </c>
      <c r="N2678" t="inlineStr">
        <is>
          <t>1</t>
        </is>
      </c>
      <c r="O2678" t="inlineStr">
        <is>
          <t>16</t>
        </is>
      </c>
      <c r="P2678" t="inlineStr">
        <is>
          <t xml:space="preserve">71221   </t>
        </is>
      </c>
      <c r="Q2678" s="26" t="n">
        <v>19.9</v>
      </c>
      <c r="R2678" s="26">
        <f>Q2678*G2678</f>
        <v/>
      </c>
      <c r="S2678" t="n">
        <v>11.81</v>
      </c>
      <c r="T2678" s="18">
        <f>1 - V2678/S2678</f>
        <v/>
      </c>
      <c r="U2678" s="18" t="n">
        <v>0</v>
      </c>
      <c r="V2678" s="26" t="n">
        <v>11.81</v>
      </c>
      <c r="W2678" s="26">
        <f>V2678 - L2678</f>
        <v/>
      </c>
    </row>
    <row r="2679">
      <c r="A2679" s="11" t="n">
        <v>46229</v>
      </c>
      <c r="B2679" s="1" t="n">
        <v>20072</v>
      </c>
      <c r="C2679" s="1" t="inlineStr">
        <is>
          <t>036</t>
        </is>
      </c>
      <c r="D2679" s="1" t="inlineStr">
        <is>
          <t>180508</t>
        </is>
      </c>
      <c r="E2679" s="1" t="inlineStr">
        <is>
          <t xml:space="preserve">28194782       </t>
        </is>
      </c>
      <c r="F2679" s="5" t="inlineStr">
        <is>
          <t>TROMPO BATALLA INFINITY NADO SERIE V ORIGINAL SURT</t>
        </is>
      </c>
      <c r="G2679" t="n">
        <v>1</v>
      </c>
      <c r="H2679" s="7" t="n">
        <v>49.9</v>
      </c>
      <c r="I2679" s="7" t="n">
        <v>0</v>
      </c>
      <c r="J2679" s="7" t="n">
        <v>0</v>
      </c>
      <c r="K2679" s="9" t="n">
        <v>0</v>
      </c>
      <c r="L2679" s="10" t="n">
        <v>29.6</v>
      </c>
      <c r="M2679" s="10" t="n">
        <v>1.43</v>
      </c>
      <c r="N2679" t="inlineStr">
        <is>
          <t>1</t>
        </is>
      </c>
      <c r="O2679" t="inlineStr">
        <is>
          <t>16</t>
        </is>
      </c>
      <c r="P2679" t="inlineStr">
        <is>
          <t xml:space="preserve">71221   </t>
        </is>
      </c>
      <c r="Q2679" s="26" t="n">
        <v>69.90000000000001</v>
      </c>
      <c r="R2679" s="26">
        <f>Q2679*G2679</f>
        <v/>
      </c>
      <c r="S2679" t="n">
        <v>41.47</v>
      </c>
      <c r="T2679" s="18">
        <f>1 - V2679/S2679</f>
        <v/>
      </c>
      <c r="U2679" s="18" t="n">
        <v>0.2861230329041489</v>
      </c>
      <c r="V2679" s="26" t="n">
        <v>31.71610169491525</v>
      </c>
      <c r="W2679" s="26">
        <f>V2679 - L2679</f>
        <v/>
      </c>
    </row>
    <row r="2680">
      <c r="A2680" s="11" t="n">
        <v>46229</v>
      </c>
      <c r="B2680" s="1" t="n">
        <v>20073</v>
      </c>
      <c r="C2680" s="1" t="inlineStr">
        <is>
          <t>016</t>
        </is>
      </c>
      <c r="D2680" s="1" t="inlineStr">
        <is>
          <t xml:space="preserve">14958 </t>
        </is>
      </c>
      <c r="E2680" s="1" t="inlineStr">
        <is>
          <t xml:space="preserve">28194770       </t>
        </is>
      </c>
      <c r="F2680" s="5" t="inlineStr">
        <is>
          <t>AUTOS DE METAL 3 TEAMSTERZ EN BLISTER</t>
        </is>
      </c>
      <c r="G2680" t="n">
        <v>1</v>
      </c>
      <c r="H2680" s="7" t="n">
        <v>6.9</v>
      </c>
      <c r="I2680" s="7" t="n">
        <v>0</v>
      </c>
      <c r="J2680" s="7" t="n">
        <v>0</v>
      </c>
      <c r="K2680" s="9" t="n">
        <v>0</v>
      </c>
      <c r="L2680" s="10" t="n">
        <v>4.1</v>
      </c>
      <c r="M2680" s="10" t="n">
        <v>1.43</v>
      </c>
      <c r="N2680" t="inlineStr">
        <is>
          <t>1</t>
        </is>
      </c>
      <c r="O2680" t="inlineStr">
        <is>
          <t>16</t>
        </is>
      </c>
      <c r="P2680" t="inlineStr">
        <is>
          <t xml:space="preserve">101947  </t>
        </is>
      </c>
      <c r="Q2680" s="26" t="n">
        <v>6.9</v>
      </c>
      <c r="R2680" s="26">
        <f>Q2680*G2680</f>
        <v/>
      </c>
      <c r="S2680" t="n">
        <v>4.09</v>
      </c>
      <c r="T2680" s="18">
        <f>1 - V2680/S2680</f>
        <v/>
      </c>
      <c r="U2680" s="18" t="n">
        <v>0</v>
      </c>
      <c r="V2680" s="26" t="n">
        <v>4.09</v>
      </c>
      <c r="W2680" s="26">
        <f>V2680 - L2680</f>
        <v/>
      </c>
    </row>
    <row r="2681">
      <c r="A2681" s="11" t="n">
        <v>46229</v>
      </c>
      <c r="B2681" s="1" t="n">
        <v>20073</v>
      </c>
      <c r="C2681" s="1" t="inlineStr">
        <is>
          <t>016</t>
        </is>
      </c>
      <c r="D2681" s="1" t="inlineStr">
        <is>
          <t xml:space="preserve">14958 </t>
        </is>
      </c>
      <c r="E2681" s="1" t="inlineStr">
        <is>
          <t xml:space="preserve">28194770       </t>
        </is>
      </c>
      <c r="F2681" s="5" t="inlineStr">
        <is>
          <t>AUTOS DE METAL 3 TEAMSTERZ EN BLISTER</t>
        </is>
      </c>
      <c r="G2681" t="n">
        <v>1</v>
      </c>
      <c r="H2681" s="7" t="n">
        <v>6.9</v>
      </c>
      <c r="I2681" s="7" t="n">
        <v>0</v>
      </c>
      <c r="J2681" s="7" t="n">
        <v>0</v>
      </c>
      <c r="K2681" s="9" t="n">
        <v>0</v>
      </c>
      <c r="L2681" s="10" t="n">
        <v>4.1</v>
      </c>
      <c r="M2681" s="10" t="n">
        <v>1.43</v>
      </c>
      <c r="N2681" t="inlineStr">
        <is>
          <t>1</t>
        </is>
      </c>
      <c r="O2681" t="inlineStr">
        <is>
          <t>16</t>
        </is>
      </c>
      <c r="P2681" t="inlineStr">
        <is>
          <t xml:space="preserve">101947  </t>
        </is>
      </c>
      <c r="Q2681" s="26" t="n">
        <v>6.9</v>
      </c>
      <c r="R2681" s="26">
        <f>Q2681*G2681</f>
        <v/>
      </c>
      <c r="S2681" t="n">
        <v>4.09</v>
      </c>
      <c r="T2681" s="18">
        <f>1 - V2681/S2681</f>
        <v/>
      </c>
      <c r="U2681" s="18" t="n">
        <v>0</v>
      </c>
      <c r="V2681" s="26" t="n">
        <v>4.09</v>
      </c>
      <c r="W2681" s="26">
        <f>V2681 - L2681</f>
        <v/>
      </c>
    </row>
    <row r="2682">
      <c r="A2682" s="11" t="n">
        <v>46229</v>
      </c>
      <c r="B2682" s="1" t="n">
        <v>20073</v>
      </c>
      <c r="C2682" s="1" t="inlineStr">
        <is>
          <t>016</t>
        </is>
      </c>
      <c r="D2682" s="1" t="inlineStr">
        <is>
          <t xml:space="preserve">14958 </t>
        </is>
      </c>
      <c r="E2682" s="1" t="inlineStr">
        <is>
          <t xml:space="preserve">28194770       </t>
        </is>
      </c>
      <c r="F2682" s="5" t="inlineStr">
        <is>
          <t>AUTOS DE METAL 3 TEAMSTERZ EN BLISTER</t>
        </is>
      </c>
      <c r="G2682" t="n">
        <v>1</v>
      </c>
      <c r="H2682" s="7" t="n">
        <v>6.9</v>
      </c>
      <c r="I2682" s="7" t="n">
        <v>0</v>
      </c>
      <c r="J2682" s="7" t="n">
        <v>0</v>
      </c>
      <c r="K2682" s="9" t="n">
        <v>0</v>
      </c>
      <c r="L2682" s="10" t="n">
        <v>4.1</v>
      </c>
      <c r="M2682" s="10" t="n">
        <v>1.43</v>
      </c>
      <c r="N2682" t="inlineStr">
        <is>
          <t>1</t>
        </is>
      </c>
      <c r="O2682" t="inlineStr">
        <is>
          <t>16</t>
        </is>
      </c>
      <c r="P2682" t="inlineStr">
        <is>
          <t xml:space="preserve">101947  </t>
        </is>
      </c>
      <c r="Q2682" s="26" t="n">
        <v>6.9</v>
      </c>
      <c r="R2682" s="26">
        <f>Q2682*G2682</f>
        <v/>
      </c>
      <c r="S2682" t="n">
        <v>4.09</v>
      </c>
      <c r="T2682" s="18">
        <f>1 - V2682/S2682</f>
        <v/>
      </c>
      <c r="U2682" s="18" t="n">
        <v>0</v>
      </c>
      <c r="V2682" s="26" t="n">
        <v>4.09</v>
      </c>
      <c r="W2682" s="26">
        <f>V2682 - L2682</f>
        <v/>
      </c>
    </row>
    <row r="2683">
      <c r="A2683" s="11" t="n">
        <v>46229</v>
      </c>
      <c r="B2683" s="1" t="n">
        <v>20073</v>
      </c>
      <c r="C2683" s="1" t="inlineStr">
        <is>
          <t>016</t>
        </is>
      </c>
      <c r="D2683" s="1" t="inlineStr">
        <is>
          <t xml:space="preserve">14979 </t>
        </is>
      </c>
      <c r="E2683" s="1" t="inlineStr">
        <is>
          <t xml:space="preserve">28194770       </t>
        </is>
      </c>
      <c r="F2683" s="5" t="inlineStr">
        <is>
          <t>AUTOS DE METAL 3 TEAMSTERZ EN BLISTER</t>
        </is>
      </c>
      <c r="G2683" t="n">
        <v>1</v>
      </c>
      <c r="H2683" s="7" t="n">
        <v>6.9</v>
      </c>
      <c r="I2683" s="7" t="n">
        <v>0</v>
      </c>
      <c r="J2683" s="7" t="n">
        <v>0</v>
      </c>
      <c r="K2683" s="9" t="n">
        <v>0</v>
      </c>
      <c r="L2683" s="10" t="n">
        <v>4.1</v>
      </c>
      <c r="M2683" s="10" t="n">
        <v>1.43</v>
      </c>
      <c r="N2683" t="inlineStr">
        <is>
          <t>1</t>
        </is>
      </c>
      <c r="O2683" t="inlineStr">
        <is>
          <t xml:space="preserve">2 </t>
        </is>
      </c>
      <c r="P2683" t="inlineStr">
        <is>
          <t xml:space="preserve">101947  </t>
        </is>
      </c>
      <c r="Q2683" s="26" t="n">
        <v>6.9</v>
      </c>
      <c r="R2683" s="26">
        <f>Q2683*G2683</f>
        <v/>
      </c>
      <c r="S2683" t="n">
        <v>4.09</v>
      </c>
      <c r="T2683" s="18">
        <f>1 - V2683/S2683</f>
        <v/>
      </c>
      <c r="U2683" s="18" t="n">
        <v>0</v>
      </c>
      <c r="V2683" s="26" t="n">
        <v>4.09</v>
      </c>
      <c r="W2683" s="26">
        <f>V2683 - L2683</f>
        <v/>
      </c>
    </row>
    <row r="2684">
      <c r="A2684" s="11" t="n">
        <v>46229</v>
      </c>
      <c r="B2684" s="1" t="n">
        <v>20073</v>
      </c>
      <c r="C2684" s="1" t="inlineStr">
        <is>
          <t>016</t>
        </is>
      </c>
      <c r="D2684" s="1" t="inlineStr">
        <is>
          <t xml:space="preserve">14979 </t>
        </is>
      </c>
      <c r="E2684" s="1" t="inlineStr">
        <is>
          <t xml:space="preserve">30141766       </t>
        </is>
      </c>
      <c r="F2684" s="5" t="inlineStr">
        <is>
          <t>TMZ BEAST MACHINES AUTOS DE METAL BLISTER X 1</t>
        </is>
      </c>
      <c r="G2684" t="n">
        <v>1</v>
      </c>
      <c r="H2684" s="7" t="n">
        <v>7.9</v>
      </c>
      <c r="I2684" s="7" t="n">
        <v>0</v>
      </c>
      <c r="J2684" s="7" t="n">
        <v>0</v>
      </c>
      <c r="K2684" s="9" t="n">
        <v>0</v>
      </c>
      <c r="L2684" s="10" t="n">
        <v>4.68</v>
      </c>
      <c r="M2684" s="10" t="n">
        <v>1.43</v>
      </c>
      <c r="N2684" t="inlineStr">
        <is>
          <t>1</t>
        </is>
      </c>
      <c r="O2684" t="inlineStr">
        <is>
          <t xml:space="preserve">2 </t>
        </is>
      </c>
      <c r="P2684" t="inlineStr">
        <is>
          <t xml:space="preserve">101947  </t>
        </is>
      </c>
      <c r="Q2684" s="26" t="n">
        <v>7.9</v>
      </c>
      <c r="R2684" s="26">
        <f>Q2684*G2684</f>
        <v/>
      </c>
      <c r="S2684" t="n">
        <v>4.69</v>
      </c>
      <c r="T2684" s="18">
        <f>1 - V2684/S2684</f>
        <v/>
      </c>
      <c r="U2684" s="18" t="n">
        <v>0</v>
      </c>
      <c r="V2684" s="26" t="n">
        <v>4.69</v>
      </c>
      <c r="W2684" s="26">
        <f>V2684 - L2684</f>
        <v/>
      </c>
    </row>
    <row r="2685">
      <c r="A2685" s="11" t="n">
        <v>46229</v>
      </c>
      <c r="B2685" s="1" t="n">
        <v>20073</v>
      </c>
      <c r="C2685" s="1" t="inlineStr">
        <is>
          <t>034</t>
        </is>
      </c>
      <c r="D2685" s="1" t="inlineStr">
        <is>
          <t>345637</t>
        </is>
      </c>
      <c r="E2685" s="1" t="inlineStr">
        <is>
          <t xml:space="preserve">32457099       </t>
        </is>
      </c>
      <c r="F2685" s="5" t="inlineStr">
        <is>
          <t>TMZ BEAST MACHINES MONSTER JAWS A FRICCION BLISTER</t>
        </is>
      </c>
      <c r="G2685" t="n">
        <v>1</v>
      </c>
      <c r="H2685" s="7" t="n">
        <v>17.9</v>
      </c>
      <c r="I2685" s="7" t="n">
        <v>0</v>
      </c>
      <c r="J2685" s="7" t="n">
        <v>0</v>
      </c>
      <c r="K2685" s="9" t="n">
        <v>0</v>
      </c>
      <c r="L2685" s="10" t="n">
        <v>10.62</v>
      </c>
      <c r="M2685" s="10" t="n">
        <v>1.43</v>
      </c>
      <c r="N2685" t="inlineStr">
        <is>
          <t>1</t>
        </is>
      </c>
      <c r="O2685" t="inlineStr">
        <is>
          <t>16</t>
        </is>
      </c>
      <c r="P2685" t="inlineStr">
        <is>
          <t xml:space="preserve">250460  </t>
        </is>
      </c>
      <c r="Q2685" s="26" t="n">
        <v>19.9</v>
      </c>
      <c r="R2685" s="26">
        <f>Q2685*G2685</f>
        <v/>
      </c>
      <c r="S2685" t="n">
        <v>11.81</v>
      </c>
      <c r="T2685" s="18">
        <f>1 - V2685/S2685</f>
        <v/>
      </c>
      <c r="U2685" s="18" t="n">
        <v>0.1005025125628141</v>
      </c>
      <c r="V2685" s="26" t="n">
        <v>8.417118644067797</v>
      </c>
      <c r="W2685" s="26">
        <f>V2685 - L2685</f>
        <v/>
      </c>
    </row>
    <row r="2686">
      <c r="A2686" s="11" t="n">
        <v>46229</v>
      </c>
      <c r="B2686" s="1" t="n">
        <v>20073</v>
      </c>
      <c r="C2686" s="1" t="inlineStr">
        <is>
          <t>045</t>
        </is>
      </c>
      <c r="D2686" s="1" t="inlineStr">
        <is>
          <t>149915</t>
        </is>
      </c>
      <c r="E2686" s="1" t="inlineStr">
        <is>
          <t xml:space="preserve">30141766       </t>
        </is>
      </c>
      <c r="F2686" s="5" t="inlineStr">
        <is>
          <t>TMZ BEAST MACHINES AUTOS DE METAL BLISTER X 1</t>
        </is>
      </c>
      <c r="G2686" t="n">
        <v>1</v>
      </c>
      <c r="H2686" s="7" t="n">
        <v>7.9</v>
      </c>
      <c r="I2686" s="7" t="n">
        <v>0</v>
      </c>
      <c r="J2686" s="7" t="n">
        <v>0</v>
      </c>
      <c r="K2686" s="9" t="n">
        <v>0</v>
      </c>
      <c r="L2686" s="10" t="n">
        <v>4.68</v>
      </c>
      <c r="M2686" s="10" t="n">
        <v>1.43</v>
      </c>
      <c r="N2686" t="inlineStr">
        <is>
          <t>1</t>
        </is>
      </c>
      <c r="O2686" t="inlineStr">
        <is>
          <t>16</t>
        </is>
      </c>
      <c r="P2686" t="inlineStr">
        <is>
          <t xml:space="preserve">73225   </t>
        </is>
      </c>
      <c r="Q2686" s="26" t="n">
        <v>7.9</v>
      </c>
      <c r="R2686" s="26">
        <f>Q2686*G2686</f>
        <v/>
      </c>
      <c r="S2686" t="n">
        <v>4.69</v>
      </c>
      <c r="T2686" s="18">
        <f>1 - V2686/S2686</f>
        <v/>
      </c>
      <c r="U2686" s="18" t="n">
        <v>0</v>
      </c>
      <c r="V2686" s="26" t="n">
        <v>4.69</v>
      </c>
      <c r="W2686" s="26">
        <f>V2686 - L2686</f>
        <v/>
      </c>
    </row>
    <row r="2687">
      <c r="A2687" s="11" t="n">
        <v>46229</v>
      </c>
      <c r="B2687" s="1" t="n">
        <v>20073</v>
      </c>
      <c r="C2687" s="1" t="inlineStr">
        <is>
          <t>045</t>
        </is>
      </c>
      <c r="D2687" s="1" t="inlineStr">
        <is>
          <t>149915</t>
        </is>
      </c>
      <c r="E2687" s="1" t="inlineStr">
        <is>
          <t xml:space="preserve">30141766       </t>
        </is>
      </c>
      <c r="F2687" s="5" t="inlineStr">
        <is>
          <t>TMZ BEAST MACHINES AUTOS DE METAL BLISTER X 1</t>
        </is>
      </c>
      <c r="G2687" t="n">
        <v>1</v>
      </c>
      <c r="H2687" s="7" t="n">
        <v>7.9</v>
      </c>
      <c r="I2687" s="7" t="n">
        <v>0</v>
      </c>
      <c r="J2687" s="7" t="n">
        <v>0</v>
      </c>
      <c r="K2687" s="9" t="n">
        <v>0</v>
      </c>
      <c r="L2687" s="10" t="n">
        <v>4.68</v>
      </c>
      <c r="M2687" s="10" t="n">
        <v>1.43</v>
      </c>
      <c r="N2687" t="inlineStr">
        <is>
          <t>1</t>
        </is>
      </c>
      <c r="O2687" t="inlineStr">
        <is>
          <t>16</t>
        </is>
      </c>
      <c r="P2687" t="inlineStr">
        <is>
          <t xml:space="preserve">73225   </t>
        </is>
      </c>
      <c r="Q2687" s="26" t="n">
        <v>7.9</v>
      </c>
      <c r="R2687" s="26">
        <f>Q2687*G2687</f>
        <v/>
      </c>
      <c r="S2687" t="n">
        <v>4.69</v>
      </c>
      <c r="T2687" s="18">
        <f>1 - V2687/S2687</f>
        <v/>
      </c>
      <c r="U2687" s="18" t="n">
        <v>0</v>
      </c>
      <c r="V2687" s="26" t="n">
        <v>4.69</v>
      </c>
      <c r="W2687" s="26">
        <f>V2687 - L2687</f>
        <v/>
      </c>
    </row>
    <row r="2688">
      <c r="A2688" s="11" t="n">
        <v>46229</v>
      </c>
      <c r="B2688" s="1" t="n">
        <v>20073</v>
      </c>
      <c r="C2688" s="1" t="inlineStr">
        <is>
          <t>045</t>
        </is>
      </c>
      <c r="D2688" s="1" t="inlineStr">
        <is>
          <t>149919</t>
        </is>
      </c>
      <c r="E2688" s="1" t="inlineStr">
        <is>
          <t xml:space="preserve">31959959       </t>
        </is>
      </c>
      <c r="F2688" s="5" t="inlineStr">
        <is>
          <t>TMZ CAMBIA DE COLOR LANZADOR SPIN SPLASH + 1 AUTO</t>
        </is>
      </c>
      <c r="G2688" t="n">
        <v>1</v>
      </c>
      <c r="H2688" s="7" t="n">
        <v>14.9</v>
      </c>
      <c r="I2688" s="7" t="n">
        <v>0</v>
      </c>
      <c r="J2688" s="7" t="n">
        <v>0</v>
      </c>
      <c r="K2688" s="9" t="n">
        <v>0</v>
      </c>
      <c r="L2688" s="10" t="n">
        <v>8.84</v>
      </c>
      <c r="M2688" s="10" t="n">
        <v>1.43</v>
      </c>
      <c r="N2688" t="inlineStr">
        <is>
          <t>1</t>
        </is>
      </c>
      <c r="O2688" t="inlineStr">
        <is>
          <t xml:space="preserve">2 </t>
        </is>
      </c>
      <c r="P2688" t="inlineStr">
        <is>
          <t xml:space="preserve">73225   </t>
        </is>
      </c>
      <c r="Q2688" s="26" t="n">
        <v>39.9</v>
      </c>
      <c r="R2688" s="26">
        <f>Q2688*G2688</f>
        <v/>
      </c>
      <c r="S2688" t="n">
        <v>23.67</v>
      </c>
      <c r="T2688" s="18">
        <f>1 - V2688/S2688</f>
        <v/>
      </c>
      <c r="U2688" s="18" t="n">
        <v>0.6265664160401002</v>
      </c>
      <c r="V2688" s="26" t="n">
        <v>10.73050847457628</v>
      </c>
      <c r="W2688" s="26">
        <f>V2688 - L2688</f>
        <v/>
      </c>
    </row>
    <row r="2689">
      <c r="A2689" s="11" t="n">
        <v>46229</v>
      </c>
      <c r="B2689" s="1" t="n">
        <v>20073</v>
      </c>
      <c r="C2689" s="1" t="inlineStr">
        <is>
          <t>510</t>
        </is>
      </c>
      <c r="D2689" s="1" t="inlineStr">
        <is>
          <t xml:space="preserve">7460  </t>
        </is>
      </c>
      <c r="E2689" s="1" t="inlineStr">
        <is>
          <t xml:space="preserve">28194770       </t>
        </is>
      </c>
      <c r="F2689" s="5" t="inlineStr">
        <is>
          <t>AUTOS DE METAL 3 TEAMSTERZ EN BLISTER</t>
        </is>
      </c>
      <c r="G2689" t="n">
        <v>1</v>
      </c>
      <c r="H2689" s="7" t="n">
        <v>6.9</v>
      </c>
      <c r="I2689" s="7" t="n">
        <v>0</v>
      </c>
      <c r="J2689" s="7" t="n">
        <v>0</v>
      </c>
      <c r="K2689" s="9" t="n">
        <v>0</v>
      </c>
      <c r="L2689" s="10" t="n">
        <v>4.1</v>
      </c>
      <c r="M2689" s="10" t="n">
        <v>1.43</v>
      </c>
      <c r="N2689" t="inlineStr">
        <is>
          <t>1</t>
        </is>
      </c>
      <c r="O2689" t="inlineStr">
        <is>
          <t>16</t>
        </is>
      </c>
      <c r="P2689" t="inlineStr">
        <is>
          <t xml:space="preserve">101947  </t>
        </is>
      </c>
      <c r="Q2689" s="26" t="n">
        <v>6.9</v>
      </c>
      <c r="R2689" s="26">
        <f>Q2689*G2689</f>
        <v/>
      </c>
      <c r="S2689" t="n">
        <v>4.09</v>
      </c>
      <c r="T2689" s="18">
        <f>1 - V2689/S2689</f>
        <v/>
      </c>
      <c r="U2689" s="18" t="n">
        <v>0</v>
      </c>
      <c r="V2689" s="26" t="n">
        <v>4.09</v>
      </c>
      <c r="W2689" s="26">
        <f>V2689 - L2689</f>
        <v/>
      </c>
    </row>
    <row r="2690">
      <c r="A2690" s="11" t="n">
        <v>46229</v>
      </c>
      <c r="B2690" s="1" t="n">
        <v>20074</v>
      </c>
      <c r="C2690" s="1" t="inlineStr">
        <is>
          <t>024</t>
        </is>
      </c>
      <c r="D2690" s="1" t="inlineStr">
        <is>
          <t>365955</t>
        </is>
      </c>
      <c r="E2690" s="1" t="inlineStr">
        <is>
          <t xml:space="preserve">28194770       </t>
        </is>
      </c>
      <c r="F2690" s="5" t="inlineStr">
        <is>
          <t>AUTOS DE METAL 3 TEAMSTERZ EN BLISTER</t>
        </is>
      </c>
      <c r="G2690" t="n">
        <v>1</v>
      </c>
      <c r="H2690" s="7" t="n">
        <v>6.9</v>
      </c>
      <c r="I2690" s="7" t="n">
        <v>0</v>
      </c>
      <c r="J2690" s="7" t="n">
        <v>0</v>
      </c>
      <c r="K2690" s="9" t="n">
        <v>0</v>
      </c>
      <c r="L2690" s="10" t="n">
        <v>4.1</v>
      </c>
      <c r="M2690" s="10" t="n">
        <v>1.43</v>
      </c>
      <c r="N2690" t="inlineStr">
        <is>
          <t>1</t>
        </is>
      </c>
      <c r="O2690" t="inlineStr">
        <is>
          <t>16</t>
        </is>
      </c>
      <c r="P2690" t="inlineStr">
        <is>
          <t xml:space="preserve">251008  </t>
        </is>
      </c>
      <c r="Q2690" s="26" t="n">
        <v>6.9</v>
      </c>
      <c r="R2690" s="26">
        <f>Q2690*G2690</f>
        <v/>
      </c>
      <c r="S2690" t="n">
        <v>4.09</v>
      </c>
      <c r="T2690" s="18">
        <f>1 - V2690/S2690</f>
        <v/>
      </c>
      <c r="U2690" s="18" t="n">
        <v>0</v>
      </c>
      <c r="V2690" s="26" t="n">
        <v>4.09</v>
      </c>
      <c r="W2690" s="26">
        <f>V2690 - L2690</f>
        <v/>
      </c>
    </row>
    <row r="2691">
      <c r="A2691" s="11" t="n">
        <v>46229</v>
      </c>
      <c r="B2691" s="1" t="n">
        <v>20074</v>
      </c>
      <c r="C2691" s="1" t="inlineStr">
        <is>
          <t>028</t>
        </is>
      </c>
      <c r="D2691" s="1" t="inlineStr">
        <is>
          <t>184899</t>
        </is>
      </c>
      <c r="E2691" s="1" t="inlineStr">
        <is>
          <t xml:space="preserve">33483121       </t>
        </is>
      </c>
      <c r="F2691" s="5" t="inlineStr">
        <is>
          <t>HOT WHEELS ESTUCHE PARA 15 AUTOS SURTIDO</t>
        </is>
      </c>
      <c r="G2691" t="n">
        <v>1</v>
      </c>
      <c r="H2691" s="7" t="n">
        <v>34.9</v>
      </c>
      <c r="I2691" s="7" t="n">
        <v>0</v>
      </c>
      <c r="J2691" s="7" t="n">
        <v>0</v>
      </c>
      <c r="K2691" s="9" t="n">
        <v>0</v>
      </c>
      <c r="L2691" s="10" t="n">
        <v>20.71</v>
      </c>
      <c r="M2691" s="10" t="n">
        <v>1.43</v>
      </c>
      <c r="N2691" t="inlineStr">
        <is>
          <t>1</t>
        </is>
      </c>
      <c r="O2691" t="inlineStr">
        <is>
          <t>16</t>
        </is>
      </c>
      <c r="P2691" t="inlineStr">
        <is>
          <t xml:space="preserve">12059   </t>
        </is>
      </c>
      <c r="Q2691" s="26" t="n">
        <v>34.9</v>
      </c>
      <c r="R2691" s="26">
        <f>Q2691*G2691</f>
        <v/>
      </c>
      <c r="S2691" t="n">
        <v>20.7</v>
      </c>
      <c r="T2691" s="18">
        <f>1 - V2691/S2691</f>
        <v/>
      </c>
      <c r="U2691" s="18" t="n">
        <v>0</v>
      </c>
      <c r="V2691" s="26" t="n">
        <v>20.7</v>
      </c>
      <c r="W2691" s="26">
        <f>V2691 - L2691</f>
        <v/>
      </c>
    </row>
    <row r="2692">
      <c r="A2692" s="11" t="n">
        <v>46229</v>
      </c>
      <c r="B2692" s="1" t="n">
        <v>20074</v>
      </c>
      <c r="C2692" s="1" t="inlineStr">
        <is>
          <t>028</t>
        </is>
      </c>
      <c r="D2692" s="1" t="inlineStr">
        <is>
          <t>185015</t>
        </is>
      </c>
      <c r="E2692" s="1" t="inlineStr">
        <is>
          <t xml:space="preserve">34840551       </t>
        </is>
      </c>
      <c r="F2692" s="5" t="inlineStr">
        <is>
          <t>TMZ HELI BOMBERO CON LUCES Y SONIDOS</t>
        </is>
      </c>
      <c r="G2692" t="n">
        <v>1</v>
      </c>
      <c r="H2692" s="7" t="n">
        <v>79.90000000000001</v>
      </c>
      <c r="I2692" s="7" t="n">
        <v>7.99</v>
      </c>
      <c r="J2692" s="7" t="n">
        <v>0</v>
      </c>
      <c r="K2692" s="9" t="n">
        <v>7.99</v>
      </c>
      <c r="L2692" s="10" t="n">
        <v>42.66</v>
      </c>
      <c r="M2692" s="10" t="n">
        <v>1.43</v>
      </c>
      <c r="N2692" t="inlineStr">
        <is>
          <t>1</t>
        </is>
      </c>
      <c r="O2692" t="inlineStr">
        <is>
          <t xml:space="preserve">3 </t>
        </is>
      </c>
      <c r="P2692" t="inlineStr">
        <is>
          <t xml:space="preserve">12059   </t>
        </is>
      </c>
      <c r="Q2692" s="26" t="n">
        <v>79.90000000000002</v>
      </c>
      <c r="R2692" s="26">
        <f>Q2692*G2692</f>
        <v/>
      </c>
      <c r="S2692" t="n">
        <v>47.4</v>
      </c>
      <c r="T2692" s="18">
        <f>1 - V2692/S2692</f>
        <v/>
      </c>
      <c r="U2692" s="18" t="n">
        <v>0</v>
      </c>
      <c r="V2692" s="26" t="n">
        <v>47.4</v>
      </c>
      <c r="W2692" s="26">
        <f>V2692 - L2692</f>
        <v/>
      </c>
    </row>
    <row r="2693">
      <c r="A2693" s="11" t="n">
        <v>46229</v>
      </c>
      <c r="B2693" s="1" t="n">
        <v>20077</v>
      </c>
      <c r="C2693" s="1" t="inlineStr">
        <is>
          <t>801</t>
        </is>
      </c>
      <c r="D2693" s="1" t="inlineStr">
        <is>
          <t xml:space="preserve">2319  </t>
        </is>
      </c>
      <c r="E2693" s="1" t="inlineStr">
        <is>
          <t xml:space="preserve">32457099       </t>
        </is>
      </c>
      <c r="F2693" s="5" t="inlineStr">
        <is>
          <t>TMZ BEAST MACHINES MONSTER JAWS A FRICCION BLISTER</t>
        </is>
      </c>
      <c r="G2693" t="n">
        <v>1</v>
      </c>
      <c r="H2693" s="7" t="n">
        <v>17.9</v>
      </c>
      <c r="I2693" s="7" t="n">
        <v>1.79</v>
      </c>
      <c r="J2693" s="7" t="n">
        <v>0</v>
      </c>
      <c r="K2693" s="9" t="n">
        <v>1.79</v>
      </c>
      <c r="L2693" s="10" t="n">
        <v>9.56</v>
      </c>
      <c r="M2693" s="10" t="n">
        <v>1.43</v>
      </c>
      <c r="N2693" t="inlineStr">
        <is>
          <t>1</t>
        </is>
      </c>
      <c r="O2693" t="inlineStr">
        <is>
          <t>16</t>
        </is>
      </c>
      <c r="P2693" t="inlineStr">
        <is>
          <t xml:space="preserve">55315   </t>
        </is>
      </c>
      <c r="Q2693" s="26" t="n">
        <v>19.9</v>
      </c>
      <c r="R2693" s="26">
        <f>Q2693*G2693</f>
        <v/>
      </c>
      <c r="S2693" t="n">
        <v>11.81</v>
      </c>
      <c r="T2693" s="18">
        <f>1 - V2693/S2693</f>
        <v/>
      </c>
      <c r="U2693" s="18" t="n">
        <v>0.1005025125628141</v>
      </c>
      <c r="V2693" s="26" t="n">
        <v>8.417118644067797</v>
      </c>
      <c r="W2693" s="26">
        <f>V2693 - L2693</f>
        <v/>
      </c>
    </row>
    <row r="2694">
      <c r="A2694" s="11" t="n">
        <v>46229</v>
      </c>
      <c r="B2694" s="1" t="n">
        <v>20079</v>
      </c>
      <c r="C2694" s="1" t="inlineStr">
        <is>
          <t>045</t>
        </is>
      </c>
      <c r="D2694" s="1" t="inlineStr">
        <is>
          <t>333469</t>
        </is>
      </c>
      <c r="E2694" s="1" t="inlineStr">
        <is>
          <t xml:space="preserve">28194783       </t>
        </is>
      </c>
      <c r="F2694" s="5" t="inlineStr">
        <is>
          <t>SET DE BATALLA INFINITY NADO CON 2 TROMPOS</t>
        </is>
      </c>
      <c r="G2694" t="n">
        <v>1</v>
      </c>
      <c r="H2694" s="7" t="n">
        <v>159</v>
      </c>
      <c r="I2694" s="7" t="n">
        <v>30</v>
      </c>
      <c r="J2694" s="7" t="n">
        <v>0</v>
      </c>
      <c r="K2694" s="9" t="n">
        <v>30</v>
      </c>
      <c r="L2694" s="10" t="n">
        <v>76.52</v>
      </c>
      <c r="M2694" s="10" t="n">
        <v>1.43</v>
      </c>
      <c r="N2694" t="inlineStr">
        <is>
          <t>1</t>
        </is>
      </c>
      <c r="O2694" t="inlineStr">
        <is>
          <t xml:space="preserve">2 </t>
        </is>
      </c>
      <c r="P2694" t="inlineStr">
        <is>
          <t xml:space="preserve">38146   </t>
        </is>
      </c>
      <c r="Q2694" s="26" t="n">
        <v>159</v>
      </c>
      <c r="R2694" s="26">
        <f>Q2694*G2694</f>
        <v/>
      </c>
      <c r="S2694" t="n">
        <v>94.31999999999999</v>
      </c>
      <c r="T2694" s="18">
        <f>1 - V2694/S2694</f>
        <v/>
      </c>
      <c r="U2694" s="18" t="n">
        <v>0.1886792452830188</v>
      </c>
      <c r="V2694" s="26" t="n">
        <v>81.99152542372882</v>
      </c>
      <c r="W2694" s="26">
        <f>V2694 - L2694</f>
        <v/>
      </c>
    </row>
    <row r="2695">
      <c r="A2695" s="11" t="n">
        <v>46229</v>
      </c>
      <c r="B2695" s="1" t="n">
        <v>20079</v>
      </c>
      <c r="C2695" s="1" t="inlineStr">
        <is>
          <t>045</t>
        </is>
      </c>
      <c r="D2695" s="1" t="inlineStr">
        <is>
          <t>333488</t>
        </is>
      </c>
      <c r="E2695" s="1" t="inlineStr">
        <is>
          <t xml:space="preserve">30141780       </t>
        </is>
      </c>
      <c r="F2695" s="5" t="inlineStr">
        <is>
          <t>RELOJ DIGITAL PEPPA PIG</t>
        </is>
      </c>
      <c r="G2695" t="n">
        <v>1</v>
      </c>
      <c r="H2695" s="7" t="n">
        <v>18.9</v>
      </c>
      <c r="I2695" s="7" t="n">
        <v>0</v>
      </c>
      <c r="J2695" s="7" t="n">
        <v>0</v>
      </c>
      <c r="K2695" s="9" t="n">
        <v>0</v>
      </c>
      <c r="L2695" s="10" t="n">
        <v>11.21</v>
      </c>
      <c r="M2695" s="10" t="n">
        <v>1.43</v>
      </c>
      <c r="N2695" t="inlineStr">
        <is>
          <t>1</t>
        </is>
      </c>
      <c r="O2695" t="inlineStr">
        <is>
          <t>16</t>
        </is>
      </c>
      <c r="P2695" t="inlineStr">
        <is>
          <t xml:space="preserve">38146   </t>
        </is>
      </c>
      <c r="Q2695" s="26" t="n">
        <v>18.9</v>
      </c>
      <c r="R2695" s="26">
        <f>Q2695*G2695</f>
        <v/>
      </c>
      <c r="S2695" t="n">
        <v>11.21</v>
      </c>
      <c r="T2695" s="18">
        <f>1 - V2695/S2695</f>
        <v/>
      </c>
      <c r="U2695" s="18" t="n">
        <v>0</v>
      </c>
      <c r="V2695" s="26" t="n">
        <v>11.21</v>
      </c>
      <c r="W2695" s="26">
        <f>V2695 - L2695</f>
        <v/>
      </c>
    </row>
    <row r="2696">
      <c r="A2696" s="11" t="n">
        <v>46229</v>
      </c>
      <c r="B2696" s="1" t="n">
        <v>20079</v>
      </c>
      <c r="C2696" s="1" t="inlineStr">
        <is>
          <t>051</t>
        </is>
      </c>
      <c r="D2696" s="1" t="inlineStr">
        <is>
          <t>237204</t>
        </is>
      </c>
      <c r="E2696" s="1" t="inlineStr">
        <is>
          <t xml:space="preserve">28194769       </t>
        </is>
      </c>
      <c r="F2696" s="5" t="inlineStr">
        <is>
          <t>AUTOS DE METAL 3 TEAMSTERZ PACK DE 2</t>
        </is>
      </c>
      <c r="G2696" t="n">
        <v>1</v>
      </c>
      <c r="H2696" s="7" t="n">
        <v>13.8</v>
      </c>
      <c r="I2696" s="7" t="n">
        <v>0</v>
      </c>
      <c r="J2696" s="7" t="n">
        <v>0</v>
      </c>
      <c r="K2696" s="9" t="n">
        <v>0</v>
      </c>
      <c r="L2696" s="10" t="n">
        <v>8.18</v>
      </c>
      <c r="M2696" s="10" t="n">
        <v>1.43</v>
      </c>
      <c r="N2696" t="inlineStr">
        <is>
          <t>1</t>
        </is>
      </c>
      <c r="O2696" t="inlineStr">
        <is>
          <t>16</t>
        </is>
      </c>
      <c r="P2696" t="inlineStr">
        <is>
          <t xml:space="preserve">61558   </t>
        </is>
      </c>
      <c r="Q2696" s="26" t="n">
        <v>13.8</v>
      </c>
      <c r="R2696" s="26">
        <f>Q2696*G2696</f>
        <v/>
      </c>
      <c r="S2696" t="n">
        <v>8.19</v>
      </c>
      <c r="T2696" s="18">
        <f>1 - V2696/S2696</f>
        <v/>
      </c>
      <c r="U2696" s="18" t="n">
        <v>0</v>
      </c>
      <c r="V2696" s="26" t="n">
        <v>8.19</v>
      </c>
      <c r="W2696" s="26">
        <f>V2696 - L2696</f>
        <v/>
      </c>
    </row>
    <row r="2697">
      <c r="A2697" s="11" t="n">
        <v>46229</v>
      </c>
      <c r="B2697" s="1" t="n">
        <v>20080</v>
      </c>
      <c r="C2697" s="1" t="inlineStr">
        <is>
          <t>012</t>
        </is>
      </c>
      <c r="D2697" s="1" t="inlineStr">
        <is>
          <t xml:space="preserve">60277 </t>
        </is>
      </c>
      <c r="E2697" s="1" t="inlineStr">
        <is>
          <t xml:space="preserve">33483116       </t>
        </is>
      </c>
      <c r="F2697" s="5" t="inlineStr">
        <is>
          <t>MUNECA EVI LOVE GATO + COCHE + ACC.</t>
        </is>
      </c>
      <c r="G2697" t="n">
        <v>1</v>
      </c>
      <c r="H2697" s="7" t="n">
        <v>20.94</v>
      </c>
      <c r="I2697" s="7" t="n">
        <v>0</v>
      </c>
      <c r="J2697" s="7" t="n">
        <v>0</v>
      </c>
      <c r="K2697" s="9" t="n">
        <v>0</v>
      </c>
      <c r="L2697" s="10" t="n">
        <v>12.43</v>
      </c>
      <c r="M2697" s="10" t="n">
        <v>1.43</v>
      </c>
      <c r="N2697" t="inlineStr">
        <is>
          <t>1</t>
        </is>
      </c>
      <c r="O2697" t="inlineStr">
        <is>
          <t>16</t>
        </is>
      </c>
      <c r="P2697" t="inlineStr">
        <is>
          <t xml:space="preserve">81033   </t>
        </is>
      </c>
      <c r="Q2697" s="26" t="n">
        <v>34.9</v>
      </c>
      <c r="R2697" s="26">
        <f>Q2697*G2697</f>
        <v/>
      </c>
      <c r="S2697" t="n">
        <v>20.7</v>
      </c>
      <c r="T2697" s="18">
        <f>1 - V2697/S2697</f>
        <v/>
      </c>
      <c r="U2697" s="18" t="n">
        <v>0.4</v>
      </c>
      <c r="V2697" s="26" t="n">
        <v>15.97118644067796</v>
      </c>
      <c r="W2697" s="26">
        <f>V2697 - L2697</f>
        <v/>
      </c>
    </row>
    <row r="2698">
      <c r="A2698" s="11" t="n">
        <v>46229</v>
      </c>
      <c r="B2698" s="1" t="n">
        <v>20080</v>
      </c>
      <c r="C2698" s="1" t="inlineStr">
        <is>
          <t>026</t>
        </is>
      </c>
      <c r="D2698" s="1" t="inlineStr">
        <is>
          <t>209662</t>
        </is>
      </c>
      <c r="E2698" s="1" t="inlineStr">
        <is>
          <t xml:space="preserve">28194768       </t>
        </is>
      </c>
      <c r="F2698" s="5" t="inlineStr">
        <is>
          <t>AUTO COLOR CHANGE TEAMSTERZ SURTIDO</t>
        </is>
      </c>
      <c r="G2698" t="n">
        <v>1</v>
      </c>
      <c r="H2698" s="7" t="n">
        <v>14.9</v>
      </c>
      <c r="I2698" s="7" t="n">
        <v>0</v>
      </c>
      <c r="J2698" s="7" t="n">
        <v>0</v>
      </c>
      <c r="K2698" s="9" t="n">
        <v>0</v>
      </c>
      <c r="L2698" s="10" t="n">
        <v>8.84</v>
      </c>
      <c r="M2698" s="10" t="n">
        <v>1.43</v>
      </c>
      <c r="N2698" t="inlineStr">
        <is>
          <t>1</t>
        </is>
      </c>
      <c r="O2698" t="inlineStr">
        <is>
          <t>16</t>
        </is>
      </c>
      <c r="P2698" t="inlineStr">
        <is>
          <t xml:space="preserve">66628   </t>
        </is>
      </c>
      <c r="Q2698" s="26" t="n">
        <v>14.9</v>
      </c>
      <c r="R2698" s="26">
        <f>Q2698*G2698</f>
        <v/>
      </c>
      <c r="S2698" t="n">
        <v>8.84</v>
      </c>
      <c r="T2698" s="18">
        <f>1 - V2698/S2698</f>
        <v/>
      </c>
      <c r="U2698" s="18" t="n">
        <v>0</v>
      </c>
      <c r="V2698" s="26" t="n">
        <v>8.84</v>
      </c>
      <c r="W2698" s="26">
        <f>V2698 - L2698</f>
        <v/>
      </c>
    </row>
    <row r="2699">
      <c r="A2699" s="11" t="n">
        <v>46229</v>
      </c>
      <c r="B2699" s="1" t="n">
        <v>20086</v>
      </c>
      <c r="C2699" s="1" t="inlineStr">
        <is>
          <t>023</t>
        </is>
      </c>
      <c r="D2699" s="1" t="inlineStr">
        <is>
          <t xml:space="preserve">47701 </t>
        </is>
      </c>
      <c r="E2699" s="1" t="inlineStr">
        <is>
          <t xml:space="preserve">28194770       </t>
        </is>
      </c>
      <c r="F2699" s="5" t="inlineStr">
        <is>
          <t>AUTOS DE METAL 3 TEAMSTERZ EN BLISTER</t>
        </is>
      </c>
      <c r="G2699" t="n">
        <v>1</v>
      </c>
      <c r="H2699" s="7" t="n">
        <v>6.9</v>
      </c>
      <c r="I2699" s="7" t="n">
        <v>0</v>
      </c>
      <c r="J2699" s="7" t="n">
        <v>0</v>
      </c>
      <c r="K2699" s="9" t="n">
        <v>0</v>
      </c>
      <c r="L2699" s="10" t="n">
        <v>4.1</v>
      </c>
      <c r="M2699" s="10" t="n">
        <v>1.43</v>
      </c>
      <c r="N2699" t="inlineStr">
        <is>
          <t>1</t>
        </is>
      </c>
      <c r="O2699" t="inlineStr">
        <is>
          <t>16</t>
        </is>
      </c>
      <c r="P2699" t="inlineStr">
        <is>
          <t xml:space="preserve">250782  </t>
        </is>
      </c>
      <c r="Q2699" s="26" t="n">
        <v>6.9</v>
      </c>
      <c r="R2699" s="26">
        <f>Q2699*G2699</f>
        <v/>
      </c>
      <c r="S2699" t="n">
        <v>4.09</v>
      </c>
      <c r="T2699" s="18">
        <f>1 - V2699/S2699</f>
        <v/>
      </c>
      <c r="U2699" s="18" t="n">
        <v>0</v>
      </c>
      <c r="V2699" s="26" t="n">
        <v>4.09</v>
      </c>
      <c r="W2699" s="26">
        <f>V2699 - L2699</f>
        <v/>
      </c>
    </row>
    <row r="2700">
      <c r="A2700" s="11" t="n">
        <v>46229</v>
      </c>
      <c r="B2700" s="1" t="n">
        <v>20086</v>
      </c>
      <c r="C2700" s="1" t="inlineStr">
        <is>
          <t>023</t>
        </is>
      </c>
      <c r="D2700" s="1" t="inlineStr">
        <is>
          <t xml:space="preserve">47709 </t>
        </is>
      </c>
      <c r="E2700" s="1" t="inlineStr">
        <is>
          <t xml:space="preserve">28194770       </t>
        </is>
      </c>
      <c r="F2700" s="5" t="inlineStr">
        <is>
          <t>AUTOS DE METAL 3 TEAMSTERZ EN BLISTER</t>
        </is>
      </c>
      <c r="G2700" t="n">
        <v>1</v>
      </c>
      <c r="H2700" s="7" t="n">
        <v>6.9</v>
      </c>
      <c r="I2700" s="7" t="n">
        <v>0</v>
      </c>
      <c r="J2700" s="7" t="n">
        <v>0</v>
      </c>
      <c r="K2700" s="9" t="n">
        <v>0</v>
      </c>
      <c r="L2700" s="10" t="n">
        <v>4.1</v>
      </c>
      <c r="M2700" s="10" t="n">
        <v>1.43</v>
      </c>
      <c r="N2700" t="inlineStr">
        <is>
          <t>1</t>
        </is>
      </c>
      <c r="O2700" t="inlineStr">
        <is>
          <t xml:space="preserve">2 </t>
        </is>
      </c>
      <c r="P2700" t="inlineStr">
        <is>
          <t xml:space="preserve">250782  </t>
        </is>
      </c>
      <c r="Q2700" s="26" t="n">
        <v>6.9</v>
      </c>
      <c r="R2700" s="26">
        <f>Q2700*G2700</f>
        <v/>
      </c>
      <c r="S2700" t="n">
        <v>4.09</v>
      </c>
      <c r="T2700" s="18">
        <f>1 - V2700/S2700</f>
        <v/>
      </c>
      <c r="U2700" s="18" t="n">
        <v>0</v>
      </c>
      <c r="V2700" s="26" t="n">
        <v>4.09</v>
      </c>
      <c r="W2700" s="26">
        <f>V2700 - L2700</f>
        <v/>
      </c>
    </row>
    <row r="2701">
      <c r="A2701" s="11" t="n">
        <v>46229</v>
      </c>
      <c r="B2701" s="1" t="n">
        <v>20086</v>
      </c>
      <c r="C2701" s="1" t="inlineStr">
        <is>
          <t>191</t>
        </is>
      </c>
      <c r="D2701" s="1" t="inlineStr">
        <is>
          <t>292775</t>
        </is>
      </c>
      <c r="E2701" s="1" t="inlineStr">
        <is>
          <t xml:space="preserve">28194769       </t>
        </is>
      </c>
      <c r="F2701" s="5" t="inlineStr">
        <is>
          <t>AUTOS DE METAL 3 TEAMSTERZ PACK DE 2</t>
        </is>
      </c>
      <c r="G2701" t="n">
        <v>1</v>
      </c>
      <c r="H2701" s="7" t="n">
        <v>13.8</v>
      </c>
      <c r="I2701" s="7" t="n">
        <v>0</v>
      </c>
      <c r="J2701" s="7" t="n">
        <v>0</v>
      </c>
      <c r="K2701" s="9" t="n">
        <v>0</v>
      </c>
      <c r="L2701" s="10" t="n">
        <v>8.18</v>
      </c>
      <c r="M2701" s="10" t="n">
        <v>1.43</v>
      </c>
      <c r="N2701" t="inlineStr">
        <is>
          <t>1</t>
        </is>
      </c>
      <c r="O2701" t="inlineStr">
        <is>
          <t>16</t>
        </is>
      </c>
      <c r="P2701" t="inlineStr">
        <is>
          <t xml:space="preserve">241305  </t>
        </is>
      </c>
      <c r="Q2701" s="26" t="n">
        <v>13.8</v>
      </c>
      <c r="R2701" s="26">
        <f>Q2701*G2701</f>
        <v/>
      </c>
      <c r="S2701" t="n">
        <v>8.19</v>
      </c>
      <c r="T2701" s="18">
        <f>1 - V2701/S2701</f>
        <v/>
      </c>
      <c r="U2701" s="18" t="n">
        <v>0</v>
      </c>
      <c r="V2701" s="26" t="n">
        <v>8.19</v>
      </c>
      <c r="W2701" s="26">
        <f>V2701 - L2701</f>
        <v/>
      </c>
    </row>
    <row r="2702">
      <c r="A2702" s="11" t="n">
        <v>46229</v>
      </c>
      <c r="B2702" s="1" t="n">
        <v>20086</v>
      </c>
      <c r="C2702" s="1" t="inlineStr">
        <is>
          <t>191</t>
        </is>
      </c>
      <c r="D2702" s="1" t="inlineStr">
        <is>
          <t>292827</t>
        </is>
      </c>
      <c r="E2702" s="1" t="inlineStr">
        <is>
          <t xml:space="preserve">28194770       </t>
        </is>
      </c>
      <c r="F2702" s="5" t="inlineStr">
        <is>
          <t>AUTOS DE METAL 3 TEAMSTERZ EN BLISTER</t>
        </is>
      </c>
      <c r="G2702" t="n">
        <v>1</v>
      </c>
      <c r="H2702" s="7" t="n">
        <v>6.9</v>
      </c>
      <c r="I2702" s="7" t="n">
        <v>0</v>
      </c>
      <c r="J2702" s="7" t="n">
        <v>0</v>
      </c>
      <c r="K2702" s="9" t="n">
        <v>0</v>
      </c>
      <c r="L2702" s="10" t="n">
        <v>4.1</v>
      </c>
      <c r="M2702" s="10" t="n">
        <v>1.43</v>
      </c>
      <c r="N2702" t="inlineStr">
        <is>
          <t>1</t>
        </is>
      </c>
      <c r="O2702" t="inlineStr">
        <is>
          <t>16</t>
        </is>
      </c>
      <c r="P2702" t="inlineStr">
        <is>
          <t xml:space="preserve">248985  </t>
        </is>
      </c>
      <c r="Q2702" s="26" t="n">
        <v>6.9</v>
      </c>
      <c r="R2702" s="26">
        <f>Q2702*G2702</f>
        <v/>
      </c>
      <c r="S2702" t="n">
        <v>4.09</v>
      </c>
      <c r="T2702" s="18">
        <f>1 - V2702/S2702</f>
        <v/>
      </c>
      <c r="U2702" s="18" t="n">
        <v>0</v>
      </c>
      <c r="V2702" s="26" t="n">
        <v>4.09</v>
      </c>
      <c r="W2702" s="26">
        <f>V2702 - L2702</f>
        <v/>
      </c>
    </row>
    <row r="2703">
      <c r="A2703" s="11" t="n">
        <v>46229</v>
      </c>
      <c r="B2703" s="1" t="n">
        <v>20088</v>
      </c>
      <c r="C2703" s="1" t="inlineStr">
        <is>
          <t>013</t>
        </is>
      </c>
      <c r="D2703" s="1" t="inlineStr">
        <is>
          <t xml:space="preserve">43415 </t>
        </is>
      </c>
      <c r="E2703" s="1" t="inlineStr">
        <is>
          <t xml:space="preserve">28194768       </t>
        </is>
      </c>
      <c r="F2703" s="5" t="inlineStr">
        <is>
          <t>AUTO COLOR CHANGE TEAMSTERZ SURTIDO</t>
        </is>
      </c>
      <c r="G2703" t="n">
        <v>1</v>
      </c>
      <c r="H2703" s="7" t="n">
        <v>14.9</v>
      </c>
      <c r="I2703" s="7" t="n">
        <v>0</v>
      </c>
      <c r="J2703" s="7" t="n">
        <v>0</v>
      </c>
      <c r="K2703" s="9" t="n">
        <v>0</v>
      </c>
      <c r="L2703" s="10" t="n">
        <v>8.84</v>
      </c>
      <c r="M2703" s="10" t="n">
        <v>1.43</v>
      </c>
      <c r="N2703" t="inlineStr">
        <is>
          <t>1</t>
        </is>
      </c>
      <c r="O2703" t="inlineStr">
        <is>
          <t>16</t>
        </is>
      </c>
      <c r="P2703" t="inlineStr">
        <is>
          <t xml:space="preserve">235264  </t>
        </is>
      </c>
      <c r="Q2703" s="26" t="n">
        <v>14.9</v>
      </c>
      <c r="R2703" s="26">
        <f>Q2703*G2703</f>
        <v/>
      </c>
      <c r="S2703" t="n">
        <v>8.84</v>
      </c>
      <c r="T2703" s="18">
        <f>1 - V2703/S2703</f>
        <v/>
      </c>
      <c r="U2703" s="18" t="n">
        <v>0</v>
      </c>
      <c r="V2703" s="26" t="n">
        <v>8.84</v>
      </c>
      <c r="W2703" s="26">
        <f>V2703 - L2703</f>
        <v/>
      </c>
    </row>
    <row r="2704">
      <c r="A2704" s="11" t="n">
        <v>46229</v>
      </c>
      <c r="B2704" s="1" t="n">
        <v>20088</v>
      </c>
      <c r="C2704" s="1" t="inlineStr">
        <is>
          <t>013</t>
        </is>
      </c>
      <c r="D2704" s="1" t="inlineStr">
        <is>
          <t xml:space="preserve">43428 </t>
        </is>
      </c>
      <c r="E2704" s="1" t="inlineStr">
        <is>
          <t xml:space="preserve">32457099       </t>
        </is>
      </c>
      <c r="F2704" s="5" t="inlineStr">
        <is>
          <t>TMZ BEAST MACHINES MONSTER JAWS A FRICCION BLISTER</t>
        </is>
      </c>
      <c r="G2704" t="n">
        <v>1</v>
      </c>
      <c r="H2704" s="7" t="n">
        <v>17.9</v>
      </c>
      <c r="I2704" s="7" t="n">
        <v>0</v>
      </c>
      <c r="J2704" s="7" t="n">
        <v>0</v>
      </c>
      <c r="K2704" s="9" t="n">
        <v>0</v>
      </c>
      <c r="L2704" s="10" t="n">
        <v>10.62</v>
      </c>
      <c r="M2704" s="10" t="n">
        <v>1.43</v>
      </c>
      <c r="N2704" t="inlineStr">
        <is>
          <t>1</t>
        </is>
      </c>
      <c r="O2704" t="inlineStr">
        <is>
          <t>16</t>
        </is>
      </c>
      <c r="P2704" t="inlineStr">
        <is>
          <t xml:space="preserve">235264  </t>
        </is>
      </c>
      <c r="Q2704" s="26" t="n">
        <v>19.9</v>
      </c>
      <c r="R2704" s="26">
        <f>Q2704*G2704</f>
        <v/>
      </c>
      <c r="S2704" t="n">
        <v>11.81</v>
      </c>
      <c r="T2704" s="18">
        <f>1 - V2704/S2704</f>
        <v/>
      </c>
      <c r="U2704" s="18" t="n">
        <v>0.1005025125628141</v>
      </c>
      <c r="V2704" s="26" t="n">
        <v>8.417118644067797</v>
      </c>
      <c r="W2704" s="26">
        <f>V2704 - L2704</f>
        <v/>
      </c>
    </row>
    <row r="2705">
      <c r="A2705" s="11" t="n">
        <v>46229</v>
      </c>
      <c r="B2705" s="1" t="n">
        <v>20088</v>
      </c>
      <c r="C2705" s="1" t="inlineStr">
        <is>
          <t>021</t>
        </is>
      </c>
      <c r="D2705" s="1" t="inlineStr">
        <is>
          <t xml:space="preserve">50170 </t>
        </is>
      </c>
      <c r="E2705" s="1" t="inlineStr">
        <is>
          <t xml:space="preserve">31754675       </t>
        </is>
      </c>
      <c r="F2705" s="5" t="inlineStr">
        <is>
          <t>INFINITY NADO SERIE 6 STARTER PACK - 4 MODELOS</t>
        </is>
      </c>
      <c r="G2705" t="n">
        <v>1</v>
      </c>
      <c r="H2705" s="7" t="n">
        <v>49.9</v>
      </c>
      <c r="I2705" s="7" t="n">
        <v>0</v>
      </c>
      <c r="J2705" s="7" t="n">
        <v>0</v>
      </c>
      <c r="K2705" s="9" t="n">
        <v>0</v>
      </c>
      <c r="L2705" s="10" t="n">
        <v>29.6</v>
      </c>
      <c r="M2705" s="10" t="n">
        <v>1.43</v>
      </c>
      <c r="N2705" t="inlineStr">
        <is>
          <t>1</t>
        </is>
      </c>
      <c r="O2705" t="inlineStr">
        <is>
          <t>16</t>
        </is>
      </c>
      <c r="P2705" t="inlineStr">
        <is>
          <t xml:space="preserve">242181  </t>
        </is>
      </c>
      <c r="Q2705" s="26" t="n">
        <v>69.90000000000001</v>
      </c>
      <c r="R2705" s="26">
        <f>Q2705*G2705</f>
        <v/>
      </c>
      <c r="S2705" t="n">
        <v>41.47</v>
      </c>
      <c r="T2705" s="18">
        <f>1 - V2705/S2705</f>
        <v/>
      </c>
      <c r="U2705" s="18" t="n">
        <v>0.2861230329041489</v>
      </c>
      <c r="V2705" s="26" t="n">
        <v>31.71610169491525</v>
      </c>
      <c r="W2705" s="26">
        <f>V2705 - L2705</f>
        <v/>
      </c>
    </row>
    <row r="2706">
      <c r="A2706" s="11" t="n">
        <v>46229</v>
      </c>
      <c r="B2706" s="1" t="n">
        <v>20088</v>
      </c>
      <c r="C2706" s="1" t="inlineStr">
        <is>
          <t>021</t>
        </is>
      </c>
      <c r="D2706" s="1" t="inlineStr">
        <is>
          <t xml:space="preserve">50195 </t>
        </is>
      </c>
      <c r="E2706" s="1" t="inlineStr">
        <is>
          <t xml:space="preserve">28194770       </t>
        </is>
      </c>
      <c r="F2706" s="5" t="inlineStr">
        <is>
          <t>AUTOS DE METAL 3 TEAMSTERZ EN BLISTER</t>
        </is>
      </c>
      <c r="G2706" t="n">
        <v>1</v>
      </c>
      <c r="H2706" s="7" t="n">
        <v>6.9</v>
      </c>
      <c r="I2706" s="7" t="n">
        <v>0</v>
      </c>
      <c r="J2706" s="7" t="n">
        <v>0</v>
      </c>
      <c r="K2706" s="9" t="n">
        <v>0</v>
      </c>
      <c r="L2706" s="10" t="n">
        <v>4.1</v>
      </c>
      <c r="M2706" s="10" t="n">
        <v>1.43</v>
      </c>
      <c r="N2706" t="inlineStr">
        <is>
          <t>1</t>
        </is>
      </c>
      <c r="O2706" t="inlineStr">
        <is>
          <t>16</t>
        </is>
      </c>
      <c r="P2706" t="inlineStr">
        <is>
          <t xml:space="preserve">242181  </t>
        </is>
      </c>
      <c r="Q2706" s="26" t="n">
        <v>6.9</v>
      </c>
      <c r="R2706" s="26">
        <f>Q2706*G2706</f>
        <v/>
      </c>
      <c r="S2706" t="n">
        <v>4.09</v>
      </c>
      <c r="T2706" s="18">
        <f>1 - V2706/S2706</f>
        <v/>
      </c>
      <c r="U2706" s="18" t="n">
        <v>0</v>
      </c>
      <c r="V2706" s="26" t="n">
        <v>4.09</v>
      </c>
      <c r="W2706" s="26">
        <f>V2706 - L2706</f>
        <v/>
      </c>
    </row>
    <row r="2707">
      <c r="A2707" s="11" t="n">
        <v>46229</v>
      </c>
      <c r="B2707" s="1" t="n">
        <v>20088</v>
      </c>
      <c r="C2707" s="1" t="inlineStr">
        <is>
          <t>021</t>
        </is>
      </c>
      <c r="D2707" s="1" t="inlineStr">
        <is>
          <t xml:space="preserve">50286 </t>
        </is>
      </c>
      <c r="E2707" s="1" t="inlineStr">
        <is>
          <t xml:space="preserve">34840556       </t>
        </is>
      </c>
      <c r="F2707" s="5" t="inlineStr">
        <is>
          <t>TMZ BEAST MACH. TRANSPORT DINO +ACCS</t>
        </is>
      </c>
      <c r="G2707" t="n">
        <v>1</v>
      </c>
      <c r="H2707" s="7" t="n">
        <v>59.9</v>
      </c>
      <c r="I2707" s="7" t="n">
        <v>0</v>
      </c>
      <c r="J2707" s="7" t="n">
        <v>0</v>
      </c>
      <c r="K2707" s="9" t="n">
        <v>0</v>
      </c>
      <c r="L2707" s="10" t="n">
        <v>35.53</v>
      </c>
      <c r="M2707" s="10" t="n">
        <v>1.43</v>
      </c>
      <c r="N2707" t="inlineStr">
        <is>
          <t>1</t>
        </is>
      </c>
      <c r="O2707" t="inlineStr">
        <is>
          <t>16</t>
        </is>
      </c>
      <c r="P2707" t="inlineStr">
        <is>
          <t xml:space="preserve">242181  </t>
        </is>
      </c>
      <c r="Q2707" s="26" t="n">
        <v>79.90000000000002</v>
      </c>
      <c r="R2707" s="26">
        <f>Q2707*G2707</f>
        <v/>
      </c>
      <c r="S2707" t="n">
        <v>47.4</v>
      </c>
      <c r="T2707" s="18">
        <f>1 - V2707/S2707</f>
        <v/>
      </c>
      <c r="U2707" s="18" t="n">
        <v>0.2503128911138924</v>
      </c>
      <c r="V2707" s="26" t="n">
        <v>38.07203389830509</v>
      </c>
      <c r="W2707" s="26">
        <f>V2707 - L2707</f>
        <v/>
      </c>
    </row>
    <row r="2708">
      <c r="A2708" s="11" t="n">
        <v>46229</v>
      </c>
      <c r="B2708" s="1" t="n">
        <v>20088</v>
      </c>
      <c r="C2708" s="1" t="inlineStr">
        <is>
          <t>023</t>
        </is>
      </c>
      <c r="D2708" s="1" t="inlineStr">
        <is>
          <t>127984</t>
        </is>
      </c>
      <c r="E2708" s="1" t="inlineStr">
        <is>
          <t xml:space="preserve">30141766       </t>
        </is>
      </c>
      <c r="F2708" s="5" t="inlineStr">
        <is>
          <t>TMZ BEAST MACHINES AUTOS DE METAL BLISTER X 1</t>
        </is>
      </c>
      <c r="G2708" t="n">
        <v>1</v>
      </c>
      <c r="H2708" s="7" t="n">
        <v>7.9</v>
      </c>
      <c r="I2708" s="7" t="n">
        <v>0</v>
      </c>
      <c r="J2708" s="7" t="n">
        <v>0</v>
      </c>
      <c r="K2708" s="9" t="n">
        <v>0</v>
      </c>
      <c r="L2708" s="10" t="n">
        <v>4.68</v>
      </c>
      <c r="M2708" s="10" t="n">
        <v>1.43</v>
      </c>
      <c r="N2708" t="inlineStr">
        <is>
          <t>1</t>
        </is>
      </c>
      <c r="O2708" t="inlineStr">
        <is>
          <t>16</t>
        </is>
      </c>
      <c r="P2708" t="inlineStr">
        <is>
          <t xml:space="preserve">232153  </t>
        </is>
      </c>
      <c r="Q2708" s="26" t="n">
        <v>7.9</v>
      </c>
      <c r="R2708" s="26">
        <f>Q2708*G2708</f>
        <v/>
      </c>
      <c r="S2708" t="n">
        <v>4.69</v>
      </c>
      <c r="T2708" s="18">
        <f>1 - V2708/S2708</f>
        <v/>
      </c>
      <c r="U2708" s="18" t="n">
        <v>0</v>
      </c>
      <c r="V2708" s="26" t="n">
        <v>4.69</v>
      </c>
      <c r="W2708" s="26">
        <f>V2708 - L2708</f>
        <v/>
      </c>
    </row>
    <row r="2709">
      <c r="A2709" s="11" t="n">
        <v>46229</v>
      </c>
      <c r="B2709" s="1" t="n">
        <v>20088</v>
      </c>
      <c r="C2709" s="1" t="inlineStr">
        <is>
          <t>023</t>
        </is>
      </c>
      <c r="D2709" s="1" t="inlineStr">
        <is>
          <t>128108</t>
        </is>
      </c>
      <c r="E2709" s="1" t="inlineStr">
        <is>
          <t xml:space="preserve">28194769       </t>
        </is>
      </c>
      <c r="F2709" s="5" t="inlineStr">
        <is>
          <t>AUTOS DE METAL 3 TEAMSTERZ PACK DE 2</t>
        </is>
      </c>
      <c r="G2709" t="n">
        <v>1</v>
      </c>
      <c r="H2709" s="7" t="n">
        <v>13.8</v>
      </c>
      <c r="I2709" s="7" t="n">
        <v>0</v>
      </c>
      <c r="J2709" s="7" t="n">
        <v>0</v>
      </c>
      <c r="K2709" s="9" t="n">
        <v>0</v>
      </c>
      <c r="L2709" s="10" t="n">
        <v>8.18</v>
      </c>
      <c r="M2709" s="10" t="n">
        <v>1.43</v>
      </c>
      <c r="N2709" t="inlineStr">
        <is>
          <t>1</t>
        </is>
      </c>
      <c r="O2709" t="inlineStr">
        <is>
          <t>16</t>
        </is>
      </c>
      <c r="P2709" t="inlineStr">
        <is>
          <t xml:space="preserve">232153  </t>
        </is>
      </c>
      <c r="Q2709" s="26" t="n">
        <v>13.8</v>
      </c>
      <c r="R2709" s="26">
        <f>Q2709*G2709</f>
        <v/>
      </c>
      <c r="S2709" t="n">
        <v>8.19</v>
      </c>
      <c r="T2709" s="18">
        <f>1 - V2709/S2709</f>
        <v/>
      </c>
      <c r="U2709" s="18" t="n">
        <v>0</v>
      </c>
      <c r="V2709" s="26" t="n">
        <v>8.19</v>
      </c>
      <c r="W2709" s="26">
        <f>V2709 - L2709</f>
        <v/>
      </c>
    </row>
    <row r="2710">
      <c r="A2710" s="11" t="n">
        <v>46229</v>
      </c>
      <c r="B2710" s="1" t="n">
        <v>20089</v>
      </c>
      <c r="C2710" s="1" t="inlineStr">
        <is>
          <t>025</t>
        </is>
      </c>
      <c r="D2710" s="1" t="inlineStr">
        <is>
          <t>122546</t>
        </is>
      </c>
      <c r="E2710" s="1" t="inlineStr">
        <is>
          <t xml:space="preserve">28194770       </t>
        </is>
      </c>
      <c r="F2710" s="5" t="inlineStr">
        <is>
          <t>AUTOS DE METAL 3 TEAMSTERZ EN BLISTER</t>
        </is>
      </c>
      <c r="G2710" t="n">
        <v>1</v>
      </c>
      <c r="H2710" s="7" t="n">
        <v>6.9</v>
      </c>
      <c r="I2710" s="7" t="n">
        <v>0</v>
      </c>
      <c r="J2710" s="7" t="n">
        <v>0</v>
      </c>
      <c r="K2710" s="9" t="n">
        <v>0</v>
      </c>
      <c r="L2710" s="10" t="n">
        <v>4.1</v>
      </c>
      <c r="M2710" s="10" t="n">
        <v>1.43</v>
      </c>
      <c r="N2710" t="inlineStr">
        <is>
          <t>1</t>
        </is>
      </c>
      <c r="O2710" t="inlineStr">
        <is>
          <t>16</t>
        </is>
      </c>
      <c r="P2710" t="inlineStr">
        <is>
          <t xml:space="preserve">82992   </t>
        </is>
      </c>
      <c r="Q2710" s="26" t="n">
        <v>6.9</v>
      </c>
      <c r="R2710" s="26">
        <f>Q2710*G2710</f>
        <v/>
      </c>
      <c r="S2710" t="n">
        <v>4.09</v>
      </c>
      <c r="T2710" s="18">
        <f>1 - V2710/S2710</f>
        <v/>
      </c>
      <c r="U2710" s="18" t="n">
        <v>0</v>
      </c>
      <c r="V2710" s="26" t="n">
        <v>4.09</v>
      </c>
      <c r="W2710" s="26">
        <f>V2710 - L2710</f>
        <v/>
      </c>
    </row>
    <row r="2711">
      <c r="A2711" s="11" t="n">
        <v>46229</v>
      </c>
      <c r="B2711" s="1" t="n">
        <v>20089</v>
      </c>
      <c r="C2711" s="1" t="inlineStr">
        <is>
          <t>025</t>
        </is>
      </c>
      <c r="D2711" s="1" t="inlineStr">
        <is>
          <t>122599</t>
        </is>
      </c>
      <c r="E2711" s="1" t="inlineStr">
        <is>
          <t xml:space="preserve">28194768       </t>
        </is>
      </c>
      <c r="F2711" s="5" t="inlineStr">
        <is>
          <t>AUTO COLOR CHANGE TEAMSTERZ SURTIDO</t>
        </is>
      </c>
      <c r="G2711" t="n">
        <v>1</v>
      </c>
      <c r="H2711" s="7" t="n">
        <v>14.9</v>
      </c>
      <c r="I2711" s="7" t="n">
        <v>0</v>
      </c>
      <c r="J2711" s="7" t="n">
        <v>0</v>
      </c>
      <c r="K2711" s="9" t="n">
        <v>0</v>
      </c>
      <c r="L2711" s="10" t="n">
        <v>8.84</v>
      </c>
      <c r="M2711" s="10" t="n">
        <v>1.43</v>
      </c>
      <c r="N2711" t="inlineStr">
        <is>
          <t>1</t>
        </is>
      </c>
      <c r="O2711" t="inlineStr">
        <is>
          <t>16</t>
        </is>
      </c>
      <c r="P2711" t="inlineStr">
        <is>
          <t xml:space="preserve">82992   </t>
        </is>
      </c>
      <c r="Q2711" s="26" t="n">
        <v>14.9</v>
      </c>
      <c r="R2711" s="26">
        <f>Q2711*G2711</f>
        <v/>
      </c>
      <c r="S2711" t="n">
        <v>8.84</v>
      </c>
      <c r="T2711" s="18">
        <f>1 - V2711/S2711</f>
        <v/>
      </c>
      <c r="U2711" s="18" t="n">
        <v>0</v>
      </c>
      <c r="V2711" s="26" t="n">
        <v>8.84</v>
      </c>
      <c r="W2711" s="26">
        <f>V2711 - L2711</f>
        <v/>
      </c>
    </row>
    <row r="2712">
      <c r="A2712" s="11" t="n">
        <v>46229</v>
      </c>
      <c r="B2712" s="1" t="n">
        <v>20089</v>
      </c>
      <c r="C2712" s="1" t="inlineStr">
        <is>
          <t>025</t>
        </is>
      </c>
      <c r="D2712" s="1" t="inlineStr">
        <is>
          <t>122604</t>
        </is>
      </c>
      <c r="E2712" s="1" t="inlineStr">
        <is>
          <t xml:space="preserve">30141766       </t>
        </is>
      </c>
      <c r="F2712" s="5" t="inlineStr">
        <is>
          <t>TMZ BEAST MACHINES AUTOS DE METAL BLISTER X 1</t>
        </is>
      </c>
      <c r="G2712" t="n">
        <v>1</v>
      </c>
      <c r="H2712" s="7" t="n">
        <v>7.9</v>
      </c>
      <c r="I2712" s="7" t="n">
        <v>0</v>
      </c>
      <c r="J2712" s="7" t="n">
        <v>0</v>
      </c>
      <c r="K2712" s="9" t="n">
        <v>0</v>
      </c>
      <c r="L2712" s="10" t="n">
        <v>4.68</v>
      </c>
      <c r="M2712" s="10" t="n">
        <v>1.43</v>
      </c>
      <c r="N2712" t="inlineStr">
        <is>
          <t>1</t>
        </is>
      </c>
      <c r="O2712" t="inlineStr">
        <is>
          <t>16</t>
        </is>
      </c>
      <c r="P2712" t="inlineStr">
        <is>
          <t xml:space="preserve">82992   </t>
        </is>
      </c>
      <c r="Q2712" s="26" t="n">
        <v>7.9</v>
      </c>
      <c r="R2712" s="26">
        <f>Q2712*G2712</f>
        <v/>
      </c>
      <c r="S2712" t="n">
        <v>4.69</v>
      </c>
      <c r="T2712" s="18">
        <f>1 - V2712/S2712</f>
        <v/>
      </c>
      <c r="U2712" s="18" t="n">
        <v>0</v>
      </c>
      <c r="V2712" s="26" t="n">
        <v>4.69</v>
      </c>
      <c r="W2712" s="26">
        <f>V2712 - L2712</f>
        <v/>
      </c>
    </row>
    <row r="2713">
      <c r="A2713" s="11" t="n">
        <v>46229</v>
      </c>
      <c r="B2713" s="1" t="n">
        <v>20089</v>
      </c>
      <c r="C2713" s="1" t="inlineStr">
        <is>
          <t>025</t>
        </is>
      </c>
      <c r="D2713" s="1" t="inlineStr">
        <is>
          <t>122604</t>
        </is>
      </c>
      <c r="E2713" s="1" t="inlineStr">
        <is>
          <t xml:space="preserve">32457103       </t>
        </is>
      </c>
      <c r="F2713" s="5" t="inlineStr">
        <is>
          <t>TMZ BEAST MACHINES MONSTER JAWS A FRICCION PACK DE</t>
        </is>
      </c>
      <c r="G2713" t="n">
        <v>1</v>
      </c>
      <c r="H2713" s="7" t="n">
        <v>32.9</v>
      </c>
      <c r="I2713" s="7" t="n">
        <v>0</v>
      </c>
      <c r="J2713" s="7" t="n">
        <v>0</v>
      </c>
      <c r="K2713" s="9" t="n">
        <v>0</v>
      </c>
      <c r="L2713" s="10" t="n">
        <v>19.52</v>
      </c>
      <c r="M2713" s="10" t="n">
        <v>1.43</v>
      </c>
      <c r="N2713" t="inlineStr">
        <is>
          <t>1</t>
        </is>
      </c>
      <c r="O2713" t="inlineStr">
        <is>
          <t>16</t>
        </is>
      </c>
      <c r="P2713" t="inlineStr">
        <is>
          <t xml:space="preserve">82992   </t>
        </is>
      </c>
      <c r="Q2713" s="26" t="n">
        <v>37.9</v>
      </c>
      <c r="R2713" s="26">
        <f>Q2713*G2713</f>
        <v/>
      </c>
      <c r="S2713" t="n">
        <v>22.48</v>
      </c>
      <c r="T2713" s="18">
        <f>1 - V2713/S2713</f>
        <v/>
      </c>
      <c r="U2713" s="18" t="n">
        <v>0.1319261213720316</v>
      </c>
      <c r="V2713" s="26" t="n">
        <v>16.75101694915254</v>
      </c>
      <c r="W2713" s="26">
        <f>V2713 - L2713</f>
        <v/>
      </c>
    </row>
    <row r="2714">
      <c r="A2714" s="11" t="n">
        <v>46229</v>
      </c>
      <c r="B2714" s="1" t="n">
        <v>20089</v>
      </c>
      <c r="C2714" s="1" t="inlineStr">
        <is>
          <t>026</t>
        </is>
      </c>
      <c r="D2714" s="1" t="inlineStr">
        <is>
          <t xml:space="preserve">88755 </t>
        </is>
      </c>
      <c r="E2714" s="1" t="inlineStr">
        <is>
          <t xml:space="preserve">32457099       </t>
        </is>
      </c>
      <c r="F2714" s="5" t="inlineStr">
        <is>
          <t>TMZ BEAST MACHINES MONSTER JAWS A FRICCION BLISTER</t>
        </is>
      </c>
      <c r="G2714" t="n">
        <v>1</v>
      </c>
      <c r="H2714" s="7" t="n">
        <v>17.9</v>
      </c>
      <c r="I2714" s="7" t="n">
        <v>0</v>
      </c>
      <c r="J2714" s="7" t="n">
        <v>0</v>
      </c>
      <c r="K2714" s="9" t="n">
        <v>0</v>
      </c>
      <c r="L2714" s="10" t="n">
        <v>10.62</v>
      </c>
      <c r="M2714" s="10" t="n">
        <v>1.43</v>
      </c>
      <c r="N2714" t="inlineStr">
        <is>
          <t>1</t>
        </is>
      </c>
      <c r="O2714" t="inlineStr">
        <is>
          <t xml:space="preserve">2 </t>
        </is>
      </c>
      <c r="P2714" t="inlineStr">
        <is>
          <t xml:space="preserve">69718   </t>
        </is>
      </c>
      <c r="Q2714" s="26" t="n">
        <v>19.9</v>
      </c>
      <c r="R2714" s="26">
        <f>Q2714*G2714</f>
        <v/>
      </c>
      <c r="S2714" t="n">
        <v>11.81</v>
      </c>
      <c r="T2714" s="18">
        <f>1 - V2714/S2714</f>
        <v/>
      </c>
      <c r="U2714" s="18" t="n">
        <v>0.1005025125628141</v>
      </c>
      <c r="V2714" s="26" t="n">
        <v>8.417118644067797</v>
      </c>
      <c r="W2714" s="26">
        <f>V2714 - L2714</f>
        <v/>
      </c>
    </row>
    <row r="2715">
      <c r="A2715" s="11" t="n">
        <v>46229</v>
      </c>
      <c r="B2715" s="1" t="n">
        <v>20089</v>
      </c>
      <c r="C2715" s="1" t="inlineStr">
        <is>
          <t>026</t>
        </is>
      </c>
      <c r="D2715" s="1" t="inlineStr">
        <is>
          <t xml:space="preserve">88774 </t>
        </is>
      </c>
      <c r="E2715" s="1" t="inlineStr">
        <is>
          <t xml:space="preserve">32457099       </t>
        </is>
      </c>
      <c r="F2715" s="5" t="inlineStr">
        <is>
          <t>TMZ BEAST MACHINES MONSTER JAWS A FRICCION BLISTER</t>
        </is>
      </c>
      <c r="G2715" t="n">
        <v>1</v>
      </c>
      <c r="H2715" s="7" t="n">
        <v>17.9</v>
      </c>
      <c r="I2715" s="7" t="n">
        <v>0</v>
      </c>
      <c r="J2715" s="7" t="n">
        <v>0</v>
      </c>
      <c r="K2715" s="9" t="n">
        <v>0</v>
      </c>
      <c r="L2715" s="10" t="n">
        <v>10.62</v>
      </c>
      <c r="M2715" s="10" t="n">
        <v>1.43</v>
      </c>
      <c r="N2715" t="inlineStr">
        <is>
          <t>1</t>
        </is>
      </c>
      <c r="O2715" t="inlineStr">
        <is>
          <t>16</t>
        </is>
      </c>
      <c r="P2715" t="inlineStr">
        <is>
          <t xml:space="preserve">82992   </t>
        </is>
      </c>
      <c r="Q2715" s="26" t="n">
        <v>19.9</v>
      </c>
      <c r="R2715" s="26">
        <f>Q2715*G2715</f>
        <v/>
      </c>
      <c r="S2715" t="n">
        <v>11.81</v>
      </c>
      <c r="T2715" s="18">
        <f>1 - V2715/S2715</f>
        <v/>
      </c>
      <c r="U2715" s="18" t="n">
        <v>0.1005025125628141</v>
      </c>
      <c r="V2715" s="26" t="n">
        <v>8.417118644067797</v>
      </c>
      <c r="W2715" s="26">
        <f>V2715 - L2715</f>
        <v/>
      </c>
    </row>
    <row r="2716">
      <c r="A2716" s="11" t="n">
        <v>46229</v>
      </c>
      <c r="B2716" s="1" t="n">
        <v>20089</v>
      </c>
      <c r="C2716" s="1" t="inlineStr">
        <is>
          <t>026</t>
        </is>
      </c>
      <c r="D2716" s="1" t="inlineStr">
        <is>
          <t xml:space="preserve">88774 </t>
        </is>
      </c>
      <c r="E2716" s="1" t="inlineStr">
        <is>
          <t xml:space="preserve">32457099       </t>
        </is>
      </c>
      <c r="F2716" s="5" t="inlineStr">
        <is>
          <t>TMZ BEAST MACHINES MONSTER JAWS A FRICCION BLISTER</t>
        </is>
      </c>
      <c r="G2716" t="n">
        <v>1</v>
      </c>
      <c r="H2716" s="7" t="n">
        <v>17.9</v>
      </c>
      <c r="I2716" s="7" t="n">
        <v>0</v>
      </c>
      <c r="J2716" s="7" t="n">
        <v>0</v>
      </c>
      <c r="K2716" s="9" t="n">
        <v>0</v>
      </c>
      <c r="L2716" s="10" t="n">
        <v>10.62</v>
      </c>
      <c r="M2716" s="10" t="n">
        <v>1.43</v>
      </c>
      <c r="N2716" t="inlineStr">
        <is>
          <t>1</t>
        </is>
      </c>
      <c r="O2716" t="inlineStr">
        <is>
          <t>16</t>
        </is>
      </c>
      <c r="P2716" t="inlineStr">
        <is>
          <t xml:space="preserve">82992   </t>
        </is>
      </c>
      <c r="Q2716" s="26" t="n">
        <v>19.9</v>
      </c>
      <c r="R2716" s="26">
        <f>Q2716*G2716</f>
        <v/>
      </c>
      <c r="S2716" t="n">
        <v>11.81</v>
      </c>
      <c r="T2716" s="18">
        <f>1 - V2716/S2716</f>
        <v/>
      </c>
      <c r="U2716" s="18" t="n">
        <v>0.1005025125628141</v>
      </c>
      <c r="V2716" s="26" t="n">
        <v>8.417118644067797</v>
      </c>
      <c r="W2716" s="26">
        <f>V2716 - L2716</f>
        <v/>
      </c>
    </row>
    <row r="2717">
      <c r="A2717" s="11" t="n">
        <v>46229</v>
      </c>
      <c r="B2717" s="1" t="n">
        <v>20089</v>
      </c>
      <c r="C2717" s="1" t="inlineStr">
        <is>
          <t>026</t>
        </is>
      </c>
      <c r="D2717" s="1" t="inlineStr">
        <is>
          <t xml:space="preserve">88787 </t>
        </is>
      </c>
      <c r="E2717" s="1" t="inlineStr">
        <is>
          <t xml:space="preserve">32457099       </t>
        </is>
      </c>
      <c r="F2717" s="5" t="inlineStr">
        <is>
          <t>TMZ BEAST MACHINES MONSTER JAWS A FRICCION BLISTER</t>
        </is>
      </c>
      <c r="G2717" t="n">
        <v>1</v>
      </c>
      <c r="H2717" s="7" t="n">
        <v>17.9</v>
      </c>
      <c r="I2717" s="7" t="n">
        <v>0</v>
      </c>
      <c r="J2717" s="7" t="n">
        <v>0</v>
      </c>
      <c r="K2717" s="9" t="n">
        <v>0</v>
      </c>
      <c r="L2717" s="10" t="n">
        <v>10.62</v>
      </c>
      <c r="M2717" s="10" t="n">
        <v>1.43</v>
      </c>
      <c r="N2717" t="inlineStr">
        <is>
          <t>1</t>
        </is>
      </c>
      <c r="O2717" t="inlineStr">
        <is>
          <t xml:space="preserve">2 </t>
        </is>
      </c>
      <c r="P2717" t="inlineStr">
        <is>
          <t xml:space="preserve">69718   </t>
        </is>
      </c>
      <c r="Q2717" s="26" t="n">
        <v>19.9</v>
      </c>
      <c r="R2717" s="26">
        <f>Q2717*G2717</f>
        <v/>
      </c>
      <c r="S2717" t="n">
        <v>11.81</v>
      </c>
      <c r="T2717" s="18">
        <f>1 - V2717/S2717</f>
        <v/>
      </c>
      <c r="U2717" s="18" t="n">
        <v>0.1005025125628141</v>
      </c>
      <c r="V2717" s="26" t="n">
        <v>8.417118644067797</v>
      </c>
      <c r="W2717" s="26">
        <f>V2717 - L2717</f>
        <v/>
      </c>
    </row>
    <row r="2718">
      <c r="A2718" s="11" t="n">
        <v>46229</v>
      </c>
      <c r="B2718" s="1" t="n">
        <v>20089</v>
      </c>
      <c r="C2718" s="1" t="inlineStr">
        <is>
          <t>026</t>
        </is>
      </c>
      <c r="D2718" s="1" t="inlineStr">
        <is>
          <t xml:space="preserve">88787 </t>
        </is>
      </c>
      <c r="E2718" s="1" t="inlineStr">
        <is>
          <t xml:space="preserve">32457099       </t>
        </is>
      </c>
      <c r="F2718" s="5" t="inlineStr">
        <is>
          <t>TMZ BEAST MACHINES MONSTER JAWS A FRICCION BLISTER</t>
        </is>
      </c>
      <c r="G2718" t="n">
        <v>1</v>
      </c>
      <c r="H2718" s="7" t="n">
        <v>17.9</v>
      </c>
      <c r="I2718" s="7" t="n">
        <v>0</v>
      </c>
      <c r="J2718" s="7" t="n">
        <v>0</v>
      </c>
      <c r="K2718" s="9" t="n">
        <v>0</v>
      </c>
      <c r="L2718" s="10" t="n">
        <v>10.62</v>
      </c>
      <c r="M2718" s="10" t="n">
        <v>1.43</v>
      </c>
      <c r="N2718" t="inlineStr">
        <is>
          <t>1</t>
        </is>
      </c>
      <c r="O2718" t="inlineStr">
        <is>
          <t xml:space="preserve">2 </t>
        </is>
      </c>
      <c r="P2718" t="inlineStr">
        <is>
          <t xml:space="preserve">69718   </t>
        </is>
      </c>
      <c r="Q2718" s="26" t="n">
        <v>19.9</v>
      </c>
      <c r="R2718" s="26">
        <f>Q2718*G2718</f>
        <v/>
      </c>
      <c r="S2718" t="n">
        <v>11.81</v>
      </c>
      <c r="T2718" s="18">
        <f>1 - V2718/S2718</f>
        <v/>
      </c>
      <c r="U2718" s="18" t="n">
        <v>0.1005025125628141</v>
      </c>
      <c r="V2718" s="26" t="n">
        <v>8.417118644067797</v>
      </c>
      <c r="W2718" s="26">
        <f>V2718 - L2718</f>
        <v/>
      </c>
    </row>
    <row r="2719">
      <c r="A2719" s="11" t="n">
        <v>46229</v>
      </c>
      <c r="B2719" s="1" t="n">
        <v>20089</v>
      </c>
      <c r="C2719" s="1" t="inlineStr">
        <is>
          <t>537</t>
        </is>
      </c>
      <c r="D2719" s="1" t="inlineStr">
        <is>
          <t xml:space="preserve">1898  </t>
        </is>
      </c>
      <c r="E2719" s="1" t="inlineStr">
        <is>
          <t xml:space="preserve">28194769       </t>
        </is>
      </c>
      <c r="F2719" s="5" t="inlineStr">
        <is>
          <t>AUTOS DE METAL 3 TEAMSTERZ PACK DE 2</t>
        </is>
      </c>
      <c r="G2719" t="n">
        <v>1</v>
      </c>
      <c r="H2719" s="7" t="n">
        <v>13.8</v>
      </c>
      <c r="I2719" s="7" t="n">
        <v>1.38</v>
      </c>
      <c r="J2719" s="7" t="n">
        <v>0</v>
      </c>
      <c r="K2719" s="9" t="n">
        <v>1.38</v>
      </c>
      <c r="L2719" s="10" t="n">
        <v>7.37</v>
      </c>
      <c r="M2719" s="10" t="n">
        <v>1.43</v>
      </c>
      <c r="N2719" t="inlineStr">
        <is>
          <t>1</t>
        </is>
      </c>
      <c r="O2719" t="inlineStr">
        <is>
          <t>16</t>
        </is>
      </c>
      <c r="P2719" t="inlineStr">
        <is>
          <t xml:space="preserve">250455  </t>
        </is>
      </c>
      <c r="Q2719" s="26" t="n">
        <v>13.8</v>
      </c>
      <c r="R2719" s="26">
        <f>Q2719*G2719</f>
        <v/>
      </c>
      <c r="S2719" t="n">
        <v>8.19</v>
      </c>
      <c r="T2719" s="18">
        <f>1 - V2719/S2719</f>
        <v/>
      </c>
      <c r="U2719" s="18" t="n">
        <v>0</v>
      </c>
      <c r="V2719" s="26" t="n">
        <v>8.19</v>
      </c>
      <c r="W2719" s="26">
        <f>V2719 - L2719</f>
        <v/>
      </c>
    </row>
    <row r="2720">
      <c r="A2720" s="11" t="n">
        <v>46229</v>
      </c>
      <c r="B2720" s="1" t="n">
        <v>20089</v>
      </c>
      <c r="C2720" s="1" t="inlineStr">
        <is>
          <t>800</t>
        </is>
      </c>
      <c r="D2720" s="1" t="inlineStr">
        <is>
          <t xml:space="preserve">4342  </t>
        </is>
      </c>
      <c r="E2720" s="1" t="inlineStr">
        <is>
          <t xml:space="preserve">28194766       </t>
        </is>
      </c>
      <c r="F2720" s="5" t="inlineStr">
        <is>
          <t>CAMIONES TEAMSTERZ DE CIUDAD</t>
        </is>
      </c>
      <c r="G2720" t="n">
        <v>1</v>
      </c>
      <c r="H2720" s="7" t="n">
        <v>17.9</v>
      </c>
      <c r="I2720" s="7" t="n">
        <v>1.79</v>
      </c>
      <c r="J2720" s="7" t="n">
        <v>0</v>
      </c>
      <c r="K2720" s="9" t="n">
        <v>1.79</v>
      </c>
      <c r="L2720" s="10" t="n">
        <v>9.56</v>
      </c>
      <c r="M2720" s="10" t="n">
        <v>1.43</v>
      </c>
      <c r="N2720" t="inlineStr">
        <is>
          <t>1</t>
        </is>
      </c>
      <c r="O2720" t="inlineStr">
        <is>
          <t>16</t>
        </is>
      </c>
      <c r="P2720" t="inlineStr">
        <is>
          <t xml:space="preserve">0       </t>
        </is>
      </c>
      <c r="Q2720" s="26" t="n">
        <v>17.9</v>
      </c>
      <c r="R2720" s="26">
        <f>Q2720*G2720</f>
        <v/>
      </c>
      <c r="S2720" t="n">
        <v>10.62</v>
      </c>
      <c r="T2720" s="18">
        <f>1 - V2720/S2720</f>
        <v/>
      </c>
      <c r="U2720" s="18" t="n">
        <v>0</v>
      </c>
      <c r="V2720" s="26" t="n">
        <v>10.62</v>
      </c>
      <c r="W2720" s="26">
        <f>V2720 - L2720</f>
        <v/>
      </c>
    </row>
    <row r="2721">
      <c r="A2721" s="11" t="n">
        <v>46229</v>
      </c>
      <c r="B2721" s="1" t="n">
        <v>20089</v>
      </c>
      <c r="C2721" s="1" t="inlineStr">
        <is>
          <t>801</t>
        </is>
      </c>
      <c r="D2721" s="1" t="inlineStr">
        <is>
          <t xml:space="preserve">9198  </t>
        </is>
      </c>
      <c r="E2721" s="1" t="inlineStr">
        <is>
          <t xml:space="preserve">28194770       </t>
        </is>
      </c>
      <c r="F2721" s="5" t="inlineStr">
        <is>
          <t>AUTOS DE METAL 3 TEAMSTERZ EN BLISTER</t>
        </is>
      </c>
      <c r="G2721" t="n">
        <v>1</v>
      </c>
      <c r="H2721" s="7" t="n">
        <v>6.9</v>
      </c>
      <c r="I2721" s="7" t="n">
        <v>0</v>
      </c>
      <c r="J2721" s="7" t="n">
        <v>0</v>
      </c>
      <c r="K2721" s="9" t="n">
        <v>0</v>
      </c>
      <c r="L2721" s="10" t="n">
        <v>4.1</v>
      </c>
      <c r="M2721" s="10" t="n">
        <v>1.43</v>
      </c>
      <c r="N2721" t="inlineStr">
        <is>
          <t>1</t>
        </is>
      </c>
      <c r="O2721" t="inlineStr">
        <is>
          <t>16</t>
        </is>
      </c>
      <c r="P2721" t="inlineStr">
        <is>
          <t xml:space="preserve">0       </t>
        </is>
      </c>
      <c r="Q2721" s="26" t="n">
        <v>6.9</v>
      </c>
      <c r="R2721" s="26">
        <f>Q2721*G2721</f>
        <v/>
      </c>
      <c r="S2721" t="n">
        <v>4.09</v>
      </c>
      <c r="T2721" s="18">
        <f>1 - V2721/S2721</f>
        <v/>
      </c>
      <c r="U2721" s="18" t="n">
        <v>0</v>
      </c>
      <c r="V2721" s="26" t="n">
        <v>4.09</v>
      </c>
      <c r="W2721" s="26">
        <f>V2721 - L2721</f>
        <v/>
      </c>
    </row>
    <row r="2722">
      <c r="A2722" s="11" t="n">
        <v>46229</v>
      </c>
      <c r="B2722" s="1" t="n">
        <v>20089</v>
      </c>
      <c r="C2722" s="1" t="inlineStr">
        <is>
          <t>860</t>
        </is>
      </c>
      <c r="D2722" s="1" t="inlineStr">
        <is>
          <t xml:space="preserve">9936  </t>
        </is>
      </c>
      <c r="E2722" s="1" t="inlineStr">
        <is>
          <t xml:space="preserve">28194770       </t>
        </is>
      </c>
      <c r="F2722" s="5" t="inlineStr">
        <is>
          <t>AUTOS DE METAL 3 TEAMSTERZ EN BLISTER</t>
        </is>
      </c>
      <c r="G2722" t="n">
        <v>1</v>
      </c>
      <c r="H2722" s="7" t="n">
        <v>6.9</v>
      </c>
      <c r="I2722" s="7" t="n">
        <v>0</v>
      </c>
      <c r="J2722" s="7" t="n">
        <v>0</v>
      </c>
      <c r="K2722" s="9" t="n">
        <v>0</v>
      </c>
      <c r="L2722" s="10" t="n">
        <v>4.1</v>
      </c>
      <c r="M2722" s="10" t="n">
        <v>1.43</v>
      </c>
      <c r="N2722" t="inlineStr">
        <is>
          <t>1</t>
        </is>
      </c>
      <c r="O2722" t="inlineStr">
        <is>
          <t>16</t>
        </is>
      </c>
      <c r="P2722" t="inlineStr">
        <is>
          <t xml:space="preserve">0       </t>
        </is>
      </c>
      <c r="Q2722" s="26" t="n">
        <v>6.9</v>
      </c>
      <c r="R2722" s="26">
        <f>Q2722*G2722</f>
        <v/>
      </c>
      <c r="S2722" t="n">
        <v>4.09</v>
      </c>
      <c r="T2722" s="18">
        <f>1 - V2722/S2722</f>
        <v/>
      </c>
      <c r="U2722" s="18" t="n">
        <v>0</v>
      </c>
      <c r="V2722" s="26" t="n">
        <v>4.09</v>
      </c>
      <c r="W2722" s="26">
        <f>V2722 - L2722</f>
        <v/>
      </c>
    </row>
    <row r="2723">
      <c r="A2723" s="11" t="n">
        <v>46229</v>
      </c>
      <c r="B2723" s="1" t="n">
        <v>20095</v>
      </c>
      <c r="C2723" s="1" t="inlineStr">
        <is>
          <t>028</t>
        </is>
      </c>
      <c r="D2723" s="1" t="inlineStr">
        <is>
          <t xml:space="preserve">42096 </t>
        </is>
      </c>
      <c r="E2723" s="1" t="inlineStr">
        <is>
          <t xml:space="preserve">32457111       </t>
        </is>
      </c>
      <c r="F2723" s="5" t="inlineStr">
        <is>
          <t>TMZ BEAST MACHINES MONSTER JAWS A FRICCION PACK DE</t>
        </is>
      </c>
      <c r="G2723" t="n">
        <v>1</v>
      </c>
      <c r="H2723" s="7" t="n">
        <v>54.9</v>
      </c>
      <c r="I2723" s="7" t="n">
        <v>5.49</v>
      </c>
      <c r="J2723" s="7" t="n">
        <v>0</v>
      </c>
      <c r="K2723" s="9" t="n">
        <v>5.49</v>
      </c>
      <c r="L2723" s="10" t="n">
        <v>29.31</v>
      </c>
      <c r="M2723" s="10" t="n">
        <v>1.43</v>
      </c>
      <c r="N2723" t="inlineStr">
        <is>
          <t>1</t>
        </is>
      </c>
      <c r="O2723" t="inlineStr">
        <is>
          <t xml:space="preserve">3 </t>
        </is>
      </c>
      <c r="P2723" t="inlineStr">
        <is>
          <t xml:space="preserve">20304   </t>
        </is>
      </c>
      <c r="Q2723" s="26" t="n">
        <v>74.90000000000001</v>
      </c>
      <c r="R2723" s="26">
        <f>Q2723*G2723</f>
        <v/>
      </c>
      <c r="S2723" t="n">
        <v>44.43</v>
      </c>
      <c r="T2723" s="18">
        <f>1 - V2723/S2723</f>
        <v/>
      </c>
      <c r="U2723" s="18" t="n">
        <v>0.2670226969292391</v>
      </c>
      <c r="V2723" s="26" t="n">
        <v>31.92406779661017</v>
      </c>
      <c r="W2723" s="26">
        <f>V2723 - L2723</f>
        <v/>
      </c>
    </row>
    <row r="2724">
      <c r="A2724" s="11" t="n">
        <v>46229</v>
      </c>
      <c r="B2724" s="1" t="n">
        <v>20095</v>
      </c>
      <c r="C2724" s="1" t="inlineStr">
        <is>
          <t>043</t>
        </is>
      </c>
      <c r="D2724" s="1" t="inlineStr">
        <is>
          <t>108858</t>
        </is>
      </c>
      <c r="E2724" s="1" t="inlineStr">
        <is>
          <t xml:space="preserve">32656523       </t>
        </is>
      </c>
      <c r="F2724" s="5" t="inlineStr">
        <is>
          <t>TMZ BEAST MACHINES TRANSPORT. T-REX ELECTR. + ACCE</t>
        </is>
      </c>
      <c r="G2724" t="n">
        <v>1</v>
      </c>
      <c r="H2724" s="7" t="n">
        <v>179</v>
      </c>
      <c r="I2724" s="7" t="n">
        <v>0</v>
      </c>
      <c r="J2724" s="7" t="n">
        <v>0</v>
      </c>
      <c r="K2724" s="9" t="n">
        <v>0</v>
      </c>
      <c r="L2724" s="10" t="n">
        <v>106.18</v>
      </c>
      <c r="M2724" s="10" t="n">
        <v>1.43</v>
      </c>
      <c r="N2724" t="inlineStr">
        <is>
          <t>1</t>
        </is>
      </c>
      <c r="O2724" t="inlineStr">
        <is>
          <t>16</t>
        </is>
      </c>
      <c r="P2724" t="inlineStr">
        <is>
          <t xml:space="preserve">248232  </t>
        </is>
      </c>
      <c r="Q2724" s="26" t="n">
        <v>179</v>
      </c>
      <c r="R2724" s="26">
        <f>Q2724*G2724</f>
        <v/>
      </c>
      <c r="S2724" t="n">
        <v>106.19</v>
      </c>
      <c r="T2724" s="18">
        <f>1 - V2724/S2724</f>
        <v/>
      </c>
      <c r="U2724" s="18" t="n">
        <v>0</v>
      </c>
      <c r="V2724" s="26" t="n">
        <v>106.19</v>
      </c>
      <c r="W2724" s="26">
        <f>V2724 - L2724</f>
        <v/>
      </c>
    </row>
    <row r="2725">
      <c r="A2725" s="11" t="n">
        <v>46229</v>
      </c>
      <c r="B2725" s="1" t="n">
        <v>20095</v>
      </c>
      <c r="C2725" s="1" t="inlineStr">
        <is>
          <t>043</t>
        </is>
      </c>
      <c r="D2725" s="1" t="inlineStr">
        <is>
          <t>108886</t>
        </is>
      </c>
      <c r="E2725" s="1" t="inlineStr">
        <is>
          <t xml:space="preserve">30141766       </t>
        </is>
      </c>
      <c r="F2725" s="5" t="inlineStr">
        <is>
          <t>TMZ BEAST MACHINES AUTOS DE METAL BLISTER X 1</t>
        </is>
      </c>
      <c r="G2725" t="n">
        <v>1</v>
      </c>
      <c r="H2725" s="7" t="n">
        <v>7.9</v>
      </c>
      <c r="I2725" s="7" t="n">
        <v>0</v>
      </c>
      <c r="J2725" s="7" t="n">
        <v>0</v>
      </c>
      <c r="K2725" s="9" t="n">
        <v>0</v>
      </c>
      <c r="L2725" s="10" t="n">
        <v>4.68</v>
      </c>
      <c r="M2725" s="10" t="n">
        <v>1.43</v>
      </c>
      <c r="N2725" t="inlineStr">
        <is>
          <t>1</t>
        </is>
      </c>
      <c r="O2725" t="inlineStr">
        <is>
          <t>16</t>
        </is>
      </c>
      <c r="P2725" t="inlineStr">
        <is>
          <t xml:space="preserve">248232  </t>
        </is>
      </c>
      <c r="Q2725" s="26" t="n">
        <v>7.9</v>
      </c>
      <c r="R2725" s="26">
        <f>Q2725*G2725</f>
        <v/>
      </c>
      <c r="S2725" t="n">
        <v>4.69</v>
      </c>
      <c r="T2725" s="18">
        <f>1 - V2725/S2725</f>
        <v/>
      </c>
      <c r="U2725" s="18" t="n">
        <v>0</v>
      </c>
      <c r="V2725" s="26" t="n">
        <v>4.69</v>
      </c>
      <c r="W2725" s="26">
        <f>V2725 - L2725</f>
        <v/>
      </c>
    </row>
    <row r="2726">
      <c r="A2726" s="11" t="n">
        <v>46229</v>
      </c>
      <c r="B2726" s="1" t="n">
        <v>20095</v>
      </c>
      <c r="C2726" s="1" t="inlineStr">
        <is>
          <t>044</t>
        </is>
      </c>
      <c r="D2726" s="1" t="inlineStr">
        <is>
          <t xml:space="preserve">94744 </t>
        </is>
      </c>
      <c r="E2726" s="1" t="inlineStr">
        <is>
          <t xml:space="preserve">29235707       </t>
        </is>
      </c>
      <c r="F2726" s="5" t="inlineStr">
        <is>
          <t>TEAMSTERZ AUTO DE METAL 3  PACK DE 5</t>
        </is>
      </c>
      <c r="G2726" t="n">
        <v>1</v>
      </c>
      <c r="H2726" s="7" t="n">
        <v>34.5</v>
      </c>
      <c r="I2726" s="7" t="n">
        <v>0</v>
      </c>
      <c r="J2726" s="7" t="n">
        <v>0</v>
      </c>
      <c r="K2726" s="9" t="n">
        <v>0</v>
      </c>
      <c r="L2726" s="10" t="n">
        <v>20.47</v>
      </c>
      <c r="M2726" s="10" t="n">
        <v>1.43</v>
      </c>
      <c r="N2726" t="inlineStr">
        <is>
          <t>1</t>
        </is>
      </c>
      <c r="O2726" t="inlineStr">
        <is>
          <t xml:space="preserve">2 </t>
        </is>
      </c>
      <c r="P2726" t="inlineStr">
        <is>
          <t xml:space="preserve">57461   </t>
        </is>
      </c>
      <c r="Q2726" s="26" t="n">
        <v>34.5</v>
      </c>
      <c r="R2726" s="26">
        <f>Q2726*G2726</f>
        <v/>
      </c>
      <c r="S2726" t="n">
        <v>20.47</v>
      </c>
      <c r="T2726" s="18">
        <f>1 - V2726/S2726</f>
        <v/>
      </c>
      <c r="U2726" s="18" t="n">
        <v>0</v>
      </c>
      <c r="V2726" s="26" t="n">
        <v>20.47</v>
      </c>
      <c r="W2726" s="26">
        <f>V2726 - L2726</f>
        <v/>
      </c>
    </row>
    <row r="2727">
      <c r="A2727" s="11" t="n">
        <v>46230</v>
      </c>
      <c r="B2727" s="1" t="n">
        <v>20021</v>
      </c>
      <c r="C2727" s="1" t="inlineStr">
        <is>
          <t>055</t>
        </is>
      </c>
      <c r="D2727" s="1" t="inlineStr">
        <is>
          <t>156061</t>
        </is>
      </c>
      <c r="E2727" s="1" t="inlineStr">
        <is>
          <t xml:space="preserve">34840552       </t>
        </is>
      </c>
      <c r="F2727" s="5" t="inlineStr">
        <is>
          <t>TMZ HELI POLICIA CON LUCES Y SONIDOS</t>
        </is>
      </c>
      <c r="G2727" t="n">
        <v>1</v>
      </c>
      <c r="H2727" s="7" t="n">
        <v>79.90000000000001</v>
      </c>
      <c r="I2727" s="7" t="n">
        <v>7.99</v>
      </c>
      <c r="J2727" s="7" t="n">
        <v>0</v>
      </c>
      <c r="K2727" s="9" t="n">
        <v>7.99</v>
      </c>
      <c r="L2727" s="10" t="n">
        <v>42.66</v>
      </c>
      <c r="M2727" s="10" t="n">
        <v>1.43</v>
      </c>
      <c r="N2727" t="inlineStr">
        <is>
          <t>1</t>
        </is>
      </c>
      <c r="O2727" t="inlineStr">
        <is>
          <t>16</t>
        </is>
      </c>
      <c r="P2727" t="inlineStr">
        <is>
          <t xml:space="preserve">42929   </t>
        </is>
      </c>
      <c r="Q2727" s="26" t="n">
        <v>79.90000000000002</v>
      </c>
      <c r="R2727" s="26">
        <f>Q2727*G2727</f>
        <v/>
      </c>
      <c r="S2727" t="n">
        <v>47.4</v>
      </c>
      <c r="T2727" s="18">
        <f>1 - V2727/S2727</f>
        <v/>
      </c>
      <c r="U2727" s="18" t="n">
        <v>0</v>
      </c>
      <c r="V2727" s="26" t="n">
        <v>47.4</v>
      </c>
      <c r="W2727" s="26">
        <f>V2727 - L2727</f>
        <v/>
      </c>
    </row>
    <row r="2728">
      <c r="A2728" s="11" t="n">
        <v>46230</v>
      </c>
      <c r="B2728" s="1" t="n">
        <v>20021</v>
      </c>
      <c r="C2728" s="1" t="inlineStr">
        <is>
          <t>082</t>
        </is>
      </c>
      <c r="D2728" s="1" t="inlineStr">
        <is>
          <t>270689</t>
        </is>
      </c>
      <c r="E2728" s="1" t="inlineStr">
        <is>
          <t xml:space="preserve">28194768       </t>
        </is>
      </c>
      <c r="F2728" s="5" t="inlineStr">
        <is>
          <t>AUTO COLOR CHANGE TEAMSTERZ SURTIDO</t>
        </is>
      </c>
      <c r="G2728" t="n">
        <v>1</v>
      </c>
      <c r="H2728" s="7" t="n">
        <v>14.9</v>
      </c>
      <c r="I2728" s="7" t="n">
        <v>0</v>
      </c>
      <c r="J2728" s="7" t="n">
        <v>0</v>
      </c>
      <c r="K2728" s="9" t="n">
        <v>0</v>
      </c>
      <c r="L2728" s="10" t="n">
        <v>8.84</v>
      </c>
      <c r="M2728" s="10" t="n">
        <v>1.43</v>
      </c>
      <c r="N2728" t="inlineStr">
        <is>
          <t>1</t>
        </is>
      </c>
      <c r="O2728" t="inlineStr">
        <is>
          <t>16</t>
        </is>
      </c>
      <c r="P2728" t="inlineStr">
        <is>
          <t xml:space="preserve">243383  </t>
        </is>
      </c>
      <c r="Q2728" s="26" t="n">
        <v>14.9</v>
      </c>
      <c r="R2728" s="26">
        <f>Q2728*G2728</f>
        <v/>
      </c>
      <c r="S2728" t="n">
        <v>8.84</v>
      </c>
      <c r="T2728" s="18">
        <f>1 - V2728/S2728</f>
        <v/>
      </c>
      <c r="U2728" s="18" t="n">
        <v>0</v>
      </c>
      <c r="V2728" s="26" t="n">
        <v>8.84</v>
      </c>
      <c r="W2728" s="26">
        <f>V2728 - L2728</f>
        <v/>
      </c>
    </row>
    <row r="2729">
      <c r="A2729" s="11" t="n">
        <v>46230</v>
      </c>
      <c r="B2729" s="1" t="n">
        <v>20021</v>
      </c>
      <c r="C2729" s="1" t="inlineStr">
        <is>
          <t>082</t>
        </is>
      </c>
      <c r="D2729" s="1" t="inlineStr">
        <is>
          <t>270722</t>
        </is>
      </c>
      <c r="E2729" s="1" t="inlineStr">
        <is>
          <t xml:space="preserve">28194770       </t>
        </is>
      </c>
      <c r="F2729" s="5" t="inlineStr">
        <is>
          <t>AUTOS DE METAL 3 TEAMSTERZ EN BLISTER</t>
        </is>
      </c>
      <c r="G2729" t="n">
        <v>1</v>
      </c>
      <c r="H2729" s="7" t="n">
        <v>6.9</v>
      </c>
      <c r="I2729" s="7" t="n">
        <v>0</v>
      </c>
      <c r="J2729" s="7" t="n">
        <v>0</v>
      </c>
      <c r="K2729" s="9" t="n">
        <v>0</v>
      </c>
      <c r="L2729" s="10" t="n">
        <v>4.1</v>
      </c>
      <c r="M2729" s="10" t="n">
        <v>1.43</v>
      </c>
      <c r="N2729" t="inlineStr">
        <is>
          <t>1</t>
        </is>
      </c>
      <c r="O2729" t="inlineStr">
        <is>
          <t xml:space="preserve">6 </t>
        </is>
      </c>
      <c r="P2729" t="inlineStr">
        <is>
          <t xml:space="preserve">250202  </t>
        </is>
      </c>
      <c r="Q2729" s="26" t="n">
        <v>6.9</v>
      </c>
      <c r="R2729" s="26">
        <f>Q2729*G2729</f>
        <v/>
      </c>
      <c r="S2729" t="n">
        <v>4.09</v>
      </c>
      <c r="T2729" s="18">
        <f>1 - V2729/S2729</f>
        <v/>
      </c>
      <c r="U2729" s="18" t="n">
        <v>0</v>
      </c>
      <c r="V2729" s="26" t="n">
        <v>4.09</v>
      </c>
      <c r="W2729" s="26">
        <f>V2729 - L2729</f>
        <v/>
      </c>
    </row>
    <row r="2730">
      <c r="A2730" s="11" t="n">
        <v>46230</v>
      </c>
      <c r="B2730" s="1" t="n">
        <v>20023</v>
      </c>
      <c r="C2730" s="1" t="inlineStr">
        <is>
          <t>025</t>
        </is>
      </c>
      <c r="D2730" s="1" t="inlineStr">
        <is>
          <t>177960</t>
        </is>
      </c>
      <c r="E2730" s="1" t="inlineStr">
        <is>
          <t xml:space="preserve">28194768       </t>
        </is>
      </c>
      <c r="F2730" s="5" t="inlineStr">
        <is>
          <t>AUTO COLOR CHANGE TEAMSTERZ SURTIDO</t>
        </is>
      </c>
      <c r="G2730" t="n">
        <v>1</v>
      </c>
      <c r="H2730" s="7" t="n">
        <v>14.9</v>
      </c>
      <c r="I2730" s="7" t="n">
        <v>0</v>
      </c>
      <c r="J2730" s="7" t="n">
        <v>0</v>
      </c>
      <c r="K2730" s="9" t="n">
        <v>0</v>
      </c>
      <c r="L2730" s="10" t="n">
        <v>8.84</v>
      </c>
      <c r="M2730" s="10" t="n">
        <v>1.43</v>
      </c>
      <c r="N2730" t="inlineStr">
        <is>
          <t>1</t>
        </is>
      </c>
      <c r="O2730" t="inlineStr">
        <is>
          <t>16</t>
        </is>
      </c>
      <c r="P2730" t="inlineStr">
        <is>
          <t xml:space="preserve">32921   </t>
        </is>
      </c>
      <c r="Q2730" s="26" t="n">
        <v>14.9</v>
      </c>
      <c r="R2730" s="26">
        <f>Q2730*G2730</f>
        <v/>
      </c>
      <c r="S2730" t="n">
        <v>8.84</v>
      </c>
      <c r="T2730" s="18">
        <f>1 - V2730/S2730</f>
        <v/>
      </c>
      <c r="U2730" s="18" t="n">
        <v>0</v>
      </c>
      <c r="V2730" s="26" t="n">
        <v>8.84</v>
      </c>
      <c r="W2730" s="26">
        <f>V2730 - L2730</f>
        <v/>
      </c>
    </row>
    <row r="2731">
      <c r="A2731" s="11" t="n">
        <v>46230</v>
      </c>
      <c r="B2731" s="1" t="n">
        <v>20023</v>
      </c>
      <c r="C2731" s="1" t="inlineStr">
        <is>
          <t>025</t>
        </is>
      </c>
      <c r="D2731" s="1" t="inlineStr">
        <is>
          <t>177960</t>
        </is>
      </c>
      <c r="E2731" s="1" t="inlineStr">
        <is>
          <t xml:space="preserve">28194768       </t>
        </is>
      </c>
      <c r="F2731" s="5" t="inlineStr">
        <is>
          <t>AUTO COLOR CHANGE TEAMSTERZ SURTIDO</t>
        </is>
      </c>
      <c r="G2731" t="n">
        <v>1</v>
      </c>
      <c r="H2731" s="7" t="n">
        <v>14.9</v>
      </c>
      <c r="I2731" s="7" t="n">
        <v>0</v>
      </c>
      <c r="J2731" s="7" t="n">
        <v>0</v>
      </c>
      <c r="K2731" s="9" t="n">
        <v>0</v>
      </c>
      <c r="L2731" s="10" t="n">
        <v>8.84</v>
      </c>
      <c r="M2731" s="10" t="n">
        <v>1.43</v>
      </c>
      <c r="N2731" t="inlineStr">
        <is>
          <t>1</t>
        </is>
      </c>
      <c r="O2731" t="inlineStr">
        <is>
          <t>16</t>
        </is>
      </c>
      <c r="P2731" t="inlineStr">
        <is>
          <t xml:space="preserve">32921   </t>
        </is>
      </c>
      <c r="Q2731" s="26" t="n">
        <v>14.9</v>
      </c>
      <c r="R2731" s="26">
        <f>Q2731*G2731</f>
        <v/>
      </c>
      <c r="S2731" t="n">
        <v>8.84</v>
      </c>
      <c r="T2731" s="18">
        <f>1 - V2731/S2731</f>
        <v/>
      </c>
      <c r="U2731" s="18" t="n">
        <v>0</v>
      </c>
      <c r="V2731" s="26" t="n">
        <v>8.84</v>
      </c>
      <c r="W2731" s="26">
        <f>V2731 - L2731</f>
        <v/>
      </c>
    </row>
    <row r="2732">
      <c r="A2732" s="11" t="n">
        <v>46230</v>
      </c>
      <c r="B2732" s="1" t="n">
        <v>20023</v>
      </c>
      <c r="C2732" s="1" t="inlineStr">
        <is>
          <t>079</t>
        </is>
      </c>
      <c r="D2732" s="1" t="inlineStr">
        <is>
          <t>290821</t>
        </is>
      </c>
      <c r="E2732" s="1" t="inlineStr">
        <is>
          <t xml:space="preserve">29235702       </t>
        </is>
      </c>
      <c r="F2732" s="5" t="inlineStr">
        <is>
          <t>INFINITY NADO TROMPO DE BATALLA - METAL C/ ANILLO</t>
        </is>
      </c>
      <c r="G2732" t="n">
        <v>1</v>
      </c>
      <c r="H2732" s="7" t="n">
        <v>49.9</v>
      </c>
      <c r="I2732" s="7" t="n">
        <v>0</v>
      </c>
      <c r="J2732" s="7" t="n">
        <v>0</v>
      </c>
      <c r="K2732" s="9" t="n">
        <v>0</v>
      </c>
      <c r="L2732" s="10" t="n">
        <v>29.6</v>
      </c>
      <c r="M2732" s="10" t="n">
        <v>1.43</v>
      </c>
      <c r="N2732" t="inlineStr">
        <is>
          <t>1</t>
        </is>
      </c>
      <c r="O2732" t="inlineStr">
        <is>
          <t>16</t>
        </is>
      </c>
      <c r="P2732" t="inlineStr">
        <is>
          <t xml:space="preserve">236216  </t>
        </is>
      </c>
      <c r="Q2732" s="26" t="n">
        <v>69.90000000000001</v>
      </c>
      <c r="R2732" s="26">
        <f>Q2732*G2732</f>
        <v/>
      </c>
      <c r="S2732" t="n">
        <v>41.47</v>
      </c>
      <c r="T2732" s="18">
        <f>1 - V2732/S2732</f>
        <v/>
      </c>
      <c r="U2732" s="18" t="n">
        <v>0.2861230329041489</v>
      </c>
      <c r="V2732" s="26" t="n">
        <v>31.71610169491525</v>
      </c>
      <c r="W2732" s="26">
        <f>V2732 - L2732</f>
        <v/>
      </c>
    </row>
    <row r="2733">
      <c r="A2733" s="11" t="n">
        <v>46230</v>
      </c>
      <c r="B2733" s="1" t="n">
        <v>20023</v>
      </c>
      <c r="C2733" s="1" t="inlineStr">
        <is>
          <t>088</t>
        </is>
      </c>
      <c r="D2733" s="1" t="inlineStr">
        <is>
          <t>131067</t>
        </is>
      </c>
      <c r="E2733" s="1" t="inlineStr">
        <is>
          <t xml:space="preserve">28194768       </t>
        </is>
      </c>
      <c r="F2733" s="5" t="inlineStr">
        <is>
          <t>AUTO COLOR CHANGE TEAMSTERZ SURTIDO</t>
        </is>
      </c>
      <c r="G2733" t="n">
        <v>1</v>
      </c>
      <c r="H2733" s="7" t="n">
        <v>14.9</v>
      </c>
      <c r="I2733" s="7" t="n">
        <v>0</v>
      </c>
      <c r="J2733" s="7" t="n">
        <v>0</v>
      </c>
      <c r="K2733" s="9" t="n">
        <v>0</v>
      </c>
      <c r="L2733" s="10" t="n">
        <v>8.84</v>
      </c>
      <c r="M2733" s="10" t="n">
        <v>1.43</v>
      </c>
      <c r="N2733" t="inlineStr">
        <is>
          <t>1</t>
        </is>
      </c>
      <c r="O2733" t="inlineStr">
        <is>
          <t xml:space="preserve">2 </t>
        </is>
      </c>
      <c r="P2733" t="inlineStr">
        <is>
          <t xml:space="preserve">83903   </t>
        </is>
      </c>
      <c r="Q2733" s="26" t="n">
        <v>14.9</v>
      </c>
      <c r="R2733" s="26">
        <f>Q2733*G2733</f>
        <v/>
      </c>
      <c r="S2733" t="n">
        <v>8.84</v>
      </c>
      <c r="T2733" s="18">
        <f>1 - V2733/S2733</f>
        <v/>
      </c>
      <c r="U2733" s="18" t="n">
        <v>0</v>
      </c>
      <c r="V2733" s="26" t="n">
        <v>8.84</v>
      </c>
      <c r="W2733" s="26">
        <f>V2733 - L2733</f>
        <v/>
      </c>
    </row>
    <row r="2734">
      <c r="A2734" s="11" t="n">
        <v>46230</v>
      </c>
      <c r="B2734" s="1" t="n">
        <v>20024</v>
      </c>
      <c r="C2734" s="1" t="inlineStr">
        <is>
          <t>805</t>
        </is>
      </c>
      <c r="D2734" s="1" t="inlineStr">
        <is>
          <t xml:space="preserve">3166  </t>
        </is>
      </c>
      <c r="E2734" s="1" t="inlineStr">
        <is>
          <t xml:space="preserve">28194770       </t>
        </is>
      </c>
      <c r="F2734" s="5" t="inlineStr">
        <is>
          <t>AUTOS DE METAL 3 TEAMSTERZ EN BLISTER</t>
        </is>
      </c>
      <c r="G2734" t="n">
        <v>1</v>
      </c>
      <c r="H2734" s="7" t="n">
        <v>6.9</v>
      </c>
      <c r="I2734" s="7" t="n">
        <v>0</v>
      </c>
      <c r="J2734" s="7" t="n">
        <v>0</v>
      </c>
      <c r="K2734" s="9" t="n">
        <v>0</v>
      </c>
      <c r="L2734" s="10" t="n">
        <v>4.1</v>
      </c>
      <c r="M2734" s="10" t="n">
        <v>1.43</v>
      </c>
      <c r="N2734" t="inlineStr">
        <is>
          <t>1</t>
        </is>
      </c>
      <c r="O2734" t="inlineStr">
        <is>
          <t>16</t>
        </is>
      </c>
      <c r="P2734" t="inlineStr">
        <is>
          <t xml:space="preserve">0       </t>
        </is>
      </c>
      <c r="Q2734" s="26" t="n">
        <v>6.9</v>
      </c>
      <c r="R2734" s="26">
        <f>Q2734*G2734</f>
        <v/>
      </c>
      <c r="S2734" t="n">
        <v>4.09</v>
      </c>
      <c r="T2734" s="18">
        <f>1 - V2734/S2734</f>
        <v/>
      </c>
      <c r="U2734" s="18" t="n">
        <v>0</v>
      </c>
      <c r="V2734" s="26" t="n">
        <v>4.09</v>
      </c>
      <c r="W2734" s="26">
        <f>V2734 - L2734</f>
        <v/>
      </c>
    </row>
    <row r="2735">
      <c r="A2735" s="11" t="n">
        <v>46230</v>
      </c>
      <c r="B2735" s="1" t="n">
        <v>20028</v>
      </c>
      <c r="C2735" s="1" t="inlineStr">
        <is>
          <t>021</t>
        </is>
      </c>
      <c r="D2735" s="1" t="inlineStr">
        <is>
          <t>186709</t>
        </is>
      </c>
      <c r="E2735" s="1" t="inlineStr">
        <is>
          <t xml:space="preserve">32457103       </t>
        </is>
      </c>
      <c r="F2735" s="5" t="inlineStr">
        <is>
          <t>TMZ BEAST MACHINES MONSTER JAWS A FRICCION PACK DE</t>
        </is>
      </c>
      <c r="G2735" t="n">
        <v>1</v>
      </c>
      <c r="H2735" s="7" t="n">
        <v>32.9</v>
      </c>
      <c r="I2735" s="7" t="n">
        <v>0</v>
      </c>
      <c r="J2735" s="7" t="n">
        <v>0</v>
      </c>
      <c r="K2735" s="9" t="n">
        <v>0</v>
      </c>
      <c r="L2735" s="10" t="n">
        <v>19.52</v>
      </c>
      <c r="M2735" s="10" t="n">
        <v>1.43</v>
      </c>
      <c r="N2735" t="inlineStr">
        <is>
          <t>1</t>
        </is>
      </c>
      <c r="O2735" t="inlineStr">
        <is>
          <t>16</t>
        </is>
      </c>
      <c r="P2735" t="inlineStr">
        <is>
          <t xml:space="preserve">31171   </t>
        </is>
      </c>
      <c r="Q2735" s="26" t="n">
        <v>37.9</v>
      </c>
      <c r="R2735" s="26">
        <f>Q2735*G2735</f>
        <v/>
      </c>
      <c r="S2735" t="n">
        <v>22.48</v>
      </c>
      <c r="T2735" s="18">
        <f>1 - V2735/S2735</f>
        <v/>
      </c>
      <c r="U2735" s="18" t="n">
        <v>0.1319261213720316</v>
      </c>
      <c r="V2735" s="26" t="n">
        <v>16.75101694915254</v>
      </c>
      <c r="W2735" s="26">
        <f>V2735 - L2735</f>
        <v/>
      </c>
    </row>
    <row r="2736">
      <c r="A2736" s="11" t="n">
        <v>46230</v>
      </c>
      <c r="B2736" s="1" t="n">
        <v>20030</v>
      </c>
      <c r="C2736" s="1" t="inlineStr">
        <is>
          <t>030</t>
        </is>
      </c>
      <c r="D2736" s="1" t="inlineStr">
        <is>
          <t>360648</t>
        </is>
      </c>
      <c r="E2736" s="1" t="inlineStr">
        <is>
          <t xml:space="preserve">28194769       </t>
        </is>
      </c>
      <c r="F2736" s="5" t="inlineStr">
        <is>
          <t>AUTOS DE METAL 3 TEAMSTERZ PACK DE 2</t>
        </is>
      </c>
      <c r="G2736" t="n">
        <v>1</v>
      </c>
      <c r="H2736" s="7" t="n">
        <v>13.8</v>
      </c>
      <c r="I2736" s="7" t="n">
        <v>0</v>
      </c>
      <c r="J2736" s="7" t="n">
        <v>0</v>
      </c>
      <c r="K2736" s="9" t="n">
        <v>0</v>
      </c>
      <c r="L2736" s="10" t="n">
        <v>8.18</v>
      </c>
      <c r="M2736" s="10" t="n">
        <v>1.43</v>
      </c>
      <c r="N2736" t="inlineStr">
        <is>
          <t>1</t>
        </is>
      </c>
      <c r="O2736" t="inlineStr">
        <is>
          <t>16</t>
        </is>
      </c>
      <c r="P2736" t="inlineStr">
        <is>
          <t xml:space="preserve">22672   </t>
        </is>
      </c>
      <c r="Q2736" s="26" t="n">
        <v>13.8</v>
      </c>
      <c r="R2736" s="26">
        <f>Q2736*G2736</f>
        <v/>
      </c>
      <c r="S2736" t="n">
        <v>8.19</v>
      </c>
      <c r="T2736" s="18">
        <f>1 - V2736/S2736</f>
        <v/>
      </c>
      <c r="U2736" s="18" t="n">
        <v>0</v>
      </c>
      <c r="V2736" s="26" t="n">
        <v>8.19</v>
      </c>
      <c r="W2736" s="26">
        <f>V2736 - L2736</f>
        <v/>
      </c>
    </row>
    <row r="2737">
      <c r="A2737" s="11" t="n">
        <v>46230</v>
      </c>
      <c r="B2737" s="1" t="n">
        <v>20030</v>
      </c>
      <c r="C2737" s="1" t="inlineStr">
        <is>
          <t>030</t>
        </is>
      </c>
      <c r="D2737" s="1" t="inlineStr">
        <is>
          <t>360648</t>
        </is>
      </c>
      <c r="E2737" s="1" t="inlineStr">
        <is>
          <t xml:space="preserve">28194770       </t>
        </is>
      </c>
      <c r="F2737" s="5" t="inlineStr">
        <is>
          <t>AUTOS DE METAL 3 TEAMSTERZ EN BLISTER</t>
        </is>
      </c>
      <c r="G2737" t="n">
        <v>1</v>
      </c>
      <c r="H2737" s="7" t="n">
        <v>6.9</v>
      </c>
      <c r="I2737" s="7" t="n">
        <v>0</v>
      </c>
      <c r="J2737" s="7" t="n">
        <v>0</v>
      </c>
      <c r="K2737" s="9" t="n">
        <v>0</v>
      </c>
      <c r="L2737" s="10" t="n">
        <v>4.1</v>
      </c>
      <c r="M2737" s="10" t="n">
        <v>1.43</v>
      </c>
      <c r="N2737" t="inlineStr">
        <is>
          <t>1</t>
        </is>
      </c>
      <c r="O2737" t="inlineStr">
        <is>
          <t>16</t>
        </is>
      </c>
      <c r="P2737" t="inlineStr">
        <is>
          <t xml:space="preserve">22672   </t>
        </is>
      </c>
      <c r="Q2737" s="26" t="n">
        <v>6.9</v>
      </c>
      <c r="R2737" s="26">
        <f>Q2737*G2737</f>
        <v/>
      </c>
      <c r="S2737" t="n">
        <v>4.09</v>
      </c>
      <c r="T2737" s="18">
        <f>1 - V2737/S2737</f>
        <v/>
      </c>
      <c r="U2737" s="18" t="n">
        <v>0</v>
      </c>
      <c r="V2737" s="26" t="n">
        <v>4.09</v>
      </c>
      <c r="W2737" s="26">
        <f>V2737 - L2737</f>
        <v/>
      </c>
    </row>
    <row r="2738">
      <c r="A2738" s="11" t="n">
        <v>46230</v>
      </c>
      <c r="B2738" s="1" t="n">
        <v>20030</v>
      </c>
      <c r="C2738" s="1" t="inlineStr">
        <is>
          <t>067</t>
        </is>
      </c>
      <c r="D2738" s="1" t="inlineStr">
        <is>
          <t>275182</t>
        </is>
      </c>
      <c r="E2738" s="1" t="inlineStr">
        <is>
          <t xml:space="preserve">28194770       </t>
        </is>
      </c>
      <c r="F2738" s="5" t="inlineStr">
        <is>
          <t>AUTOS DE METAL 3 TEAMSTERZ EN BLISTER</t>
        </is>
      </c>
      <c r="G2738" t="n">
        <v>1</v>
      </c>
      <c r="H2738" s="7" t="n">
        <v>6.9</v>
      </c>
      <c r="I2738" s="7" t="n">
        <v>0</v>
      </c>
      <c r="J2738" s="7" t="n">
        <v>0</v>
      </c>
      <c r="K2738" s="9" t="n">
        <v>0</v>
      </c>
      <c r="L2738" s="10" t="n">
        <v>4.1</v>
      </c>
      <c r="M2738" s="10" t="n">
        <v>1.43</v>
      </c>
      <c r="N2738" t="inlineStr">
        <is>
          <t>1</t>
        </is>
      </c>
      <c r="O2738" t="inlineStr">
        <is>
          <t>16</t>
        </is>
      </c>
      <c r="P2738" t="inlineStr">
        <is>
          <t xml:space="preserve">39099   </t>
        </is>
      </c>
      <c r="Q2738" s="26" t="n">
        <v>6.9</v>
      </c>
      <c r="R2738" s="26">
        <f>Q2738*G2738</f>
        <v/>
      </c>
      <c r="S2738" t="n">
        <v>4.09</v>
      </c>
      <c r="T2738" s="18">
        <f>1 - V2738/S2738</f>
        <v/>
      </c>
      <c r="U2738" s="18" t="n">
        <v>0</v>
      </c>
      <c r="V2738" s="26" t="n">
        <v>4.09</v>
      </c>
      <c r="W2738" s="26">
        <f>V2738 - L2738</f>
        <v/>
      </c>
    </row>
    <row r="2739">
      <c r="A2739" s="11" t="n">
        <v>46230</v>
      </c>
      <c r="B2739" s="1" t="n">
        <v>20030</v>
      </c>
      <c r="C2739" s="1" t="inlineStr">
        <is>
          <t>077</t>
        </is>
      </c>
      <c r="D2739" s="1" t="inlineStr">
        <is>
          <t>233019</t>
        </is>
      </c>
      <c r="E2739" s="1" t="inlineStr">
        <is>
          <t xml:space="preserve">28194770       </t>
        </is>
      </c>
      <c r="F2739" s="5" t="inlineStr">
        <is>
          <t>AUTOS DE METAL 3 TEAMSTERZ EN BLISTER</t>
        </is>
      </c>
      <c r="G2739" t="n">
        <v>1</v>
      </c>
      <c r="H2739" s="7" t="n">
        <v>6.9</v>
      </c>
      <c r="I2739" s="7" t="n">
        <v>0.6899999999999999</v>
      </c>
      <c r="J2739" s="7" t="n">
        <v>0</v>
      </c>
      <c r="K2739" s="9" t="n">
        <v>0.6899999999999999</v>
      </c>
      <c r="L2739" s="10" t="n">
        <v>3.68</v>
      </c>
      <c r="M2739" s="10" t="n">
        <v>1.43</v>
      </c>
      <c r="N2739" t="inlineStr">
        <is>
          <t>1</t>
        </is>
      </c>
      <c r="O2739" t="inlineStr">
        <is>
          <t xml:space="preserve">3 </t>
        </is>
      </c>
      <c r="P2739" t="inlineStr">
        <is>
          <t xml:space="preserve">58683   </t>
        </is>
      </c>
      <c r="Q2739" s="26" t="n">
        <v>6.9</v>
      </c>
      <c r="R2739" s="26">
        <f>Q2739*G2739</f>
        <v/>
      </c>
      <c r="S2739" t="n">
        <v>4.09</v>
      </c>
      <c r="T2739" s="18">
        <f>1 - V2739/S2739</f>
        <v/>
      </c>
      <c r="U2739" s="18" t="n">
        <v>0</v>
      </c>
      <c r="V2739" s="26" t="n">
        <v>4.09</v>
      </c>
      <c r="W2739" s="26">
        <f>V2739 - L2739</f>
        <v/>
      </c>
    </row>
    <row r="2740">
      <c r="A2740" s="11" t="n">
        <v>46230</v>
      </c>
      <c r="B2740" s="1" t="n">
        <v>20040</v>
      </c>
      <c r="C2740" s="1" t="inlineStr">
        <is>
          <t>072</t>
        </is>
      </c>
      <c r="D2740" s="1" t="inlineStr">
        <is>
          <t>253060</t>
        </is>
      </c>
      <c r="E2740" s="1" t="inlineStr">
        <is>
          <t xml:space="preserve">34840550       </t>
        </is>
      </c>
      <c r="F2740" s="5" t="inlineStr">
        <is>
          <t>TEAMSTERZ M/MOVERZ TRANSPORTA GORILA</t>
        </is>
      </c>
      <c r="G2740" t="n">
        <v>1</v>
      </c>
      <c r="H2740" s="7" t="n">
        <v>129</v>
      </c>
      <c r="I2740" s="7" t="n">
        <v>12.9</v>
      </c>
      <c r="J2740" s="7" t="n">
        <v>0</v>
      </c>
      <c r="K2740" s="9" t="n">
        <v>12.9</v>
      </c>
      <c r="L2740" s="10" t="n">
        <v>68.87</v>
      </c>
      <c r="M2740" s="10" t="n">
        <v>1.43</v>
      </c>
      <c r="N2740" t="inlineStr">
        <is>
          <t>1</t>
        </is>
      </c>
      <c r="O2740" t="inlineStr">
        <is>
          <t xml:space="preserve">3 </t>
        </is>
      </c>
      <c r="P2740" t="inlineStr">
        <is>
          <t xml:space="preserve">61602   </t>
        </is>
      </c>
      <c r="Q2740" s="26" t="n">
        <v>129</v>
      </c>
      <c r="R2740" s="26">
        <f>Q2740*G2740</f>
        <v/>
      </c>
      <c r="S2740" t="n">
        <v>76.53</v>
      </c>
      <c r="T2740" s="18">
        <f>1 - V2740/S2740</f>
        <v/>
      </c>
      <c r="U2740" s="18" t="n">
        <v>0</v>
      </c>
      <c r="V2740" s="26" t="n">
        <v>76.53</v>
      </c>
      <c r="W2740" s="26">
        <f>V2740 - L2740</f>
        <v/>
      </c>
    </row>
    <row r="2741">
      <c r="A2741" s="11" t="n">
        <v>46230</v>
      </c>
      <c r="B2741" s="1" t="n">
        <v>20040</v>
      </c>
      <c r="C2741" s="1" t="inlineStr">
        <is>
          <t>072</t>
        </is>
      </c>
      <c r="D2741" s="1" t="inlineStr">
        <is>
          <t>253177</t>
        </is>
      </c>
      <c r="E2741" s="1" t="inlineStr">
        <is>
          <t xml:space="preserve">34840552       </t>
        </is>
      </c>
      <c r="F2741" s="5" t="inlineStr">
        <is>
          <t>TMZ HELI POLICIA CON LUCES Y SONIDOS</t>
        </is>
      </c>
      <c r="G2741" t="n">
        <v>1</v>
      </c>
      <c r="H2741" s="7" t="n">
        <v>79.90000000000001</v>
      </c>
      <c r="I2741" s="7" t="n">
        <v>0</v>
      </c>
      <c r="J2741" s="7" t="n">
        <v>0</v>
      </c>
      <c r="K2741" s="9" t="n">
        <v>0</v>
      </c>
      <c r="L2741" s="10" t="n">
        <v>47.4</v>
      </c>
      <c r="M2741" s="10" t="n">
        <v>1.43</v>
      </c>
      <c r="N2741" t="inlineStr">
        <is>
          <t>1</t>
        </is>
      </c>
      <c r="O2741" t="inlineStr">
        <is>
          <t xml:space="preserve">2 </t>
        </is>
      </c>
      <c r="P2741" t="inlineStr">
        <is>
          <t xml:space="preserve">61602   </t>
        </is>
      </c>
      <c r="Q2741" s="26" t="n">
        <v>79.90000000000002</v>
      </c>
      <c r="R2741" s="26">
        <f>Q2741*G2741</f>
        <v/>
      </c>
      <c r="S2741" t="n">
        <v>47.4</v>
      </c>
      <c r="T2741" s="18">
        <f>1 - V2741/S2741</f>
        <v/>
      </c>
      <c r="U2741" s="18" t="n">
        <v>0</v>
      </c>
      <c r="V2741" s="26" t="n">
        <v>47.4</v>
      </c>
      <c r="W2741" s="26">
        <f>V2741 - L2741</f>
        <v/>
      </c>
    </row>
    <row r="2742">
      <c r="A2742" s="11" t="n">
        <v>46230</v>
      </c>
      <c r="B2742" s="1" t="n">
        <v>20040</v>
      </c>
      <c r="C2742" s="1" t="inlineStr">
        <is>
          <t>073</t>
        </is>
      </c>
      <c r="D2742" s="1" t="inlineStr">
        <is>
          <t>255850</t>
        </is>
      </c>
      <c r="E2742" s="1" t="inlineStr">
        <is>
          <t xml:space="preserve">30141769       </t>
        </is>
      </c>
      <c r="F2742" s="5" t="inlineStr">
        <is>
          <t>TMZ BEAST MACHINES TRANSPORTE DINOSAURIO + 3 AUTOS</t>
        </is>
      </c>
      <c r="G2742" t="n">
        <v>1</v>
      </c>
      <c r="H2742" s="7" t="n">
        <v>59.9</v>
      </c>
      <c r="I2742" s="7" t="n">
        <v>5.99</v>
      </c>
      <c r="J2742" s="7" t="n">
        <v>0</v>
      </c>
      <c r="K2742" s="9" t="n">
        <v>5.99</v>
      </c>
      <c r="L2742" s="10" t="n">
        <v>31.98</v>
      </c>
      <c r="M2742" s="10" t="n">
        <v>1.43</v>
      </c>
      <c r="N2742" t="inlineStr">
        <is>
          <t>1</t>
        </is>
      </c>
      <c r="O2742" t="inlineStr">
        <is>
          <t xml:space="preserve">3 </t>
        </is>
      </c>
      <c r="P2742" t="inlineStr">
        <is>
          <t xml:space="preserve">52786   </t>
        </is>
      </c>
      <c r="Q2742" s="26" t="n">
        <v>79.90000000000001</v>
      </c>
      <c r="R2742" s="26">
        <f>Q2742*G2742</f>
        <v/>
      </c>
      <c r="S2742" t="n">
        <v>47.4</v>
      </c>
      <c r="T2742" s="18">
        <f>1 - V2742/S2742</f>
        <v/>
      </c>
      <c r="U2742" s="18" t="n">
        <v>0.2503128911138924</v>
      </c>
      <c r="V2742" s="26" t="n">
        <v>38.07203389830509</v>
      </c>
      <c r="W2742" s="26">
        <f>V2742 - L2742</f>
        <v/>
      </c>
    </row>
    <row r="2743">
      <c r="A2743" s="11" t="n">
        <v>46230</v>
      </c>
      <c r="B2743" s="1" t="n">
        <v>20040</v>
      </c>
      <c r="C2743" s="1" t="inlineStr">
        <is>
          <t>190</t>
        </is>
      </c>
      <c r="D2743" s="1" t="inlineStr">
        <is>
          <t>369200</t>
        </is>
      </c>
      <c r="E2743" s="1" t="inlineStr">
        <is>
          <t xml:space="preserve">30232283       </t>
        </is>
      </c>
      <c r="F2743" s="5" t="inlineStr">
        <is>
          <t>INFINITY NADO PACK DE 2 TROMPOS DE BATALLA METAL</t>
        </is>
      </c>
      <c r="G2743" t="n">
        <v>1</v>
      </c>
      <c r="H2743" s="7" t="n">
        <v>59.9</v>
      </c>
      <c r="I2743" s="7" t="n">
        <v>0</v>
      </c>
      <c r="J2743" s="7" t="n">
        <v>0</v>
      </c>
      <c r="K2743" s="9" t="n">
        <v>0</v>
      </c>
      <c r="L2743" s="10" t="n">
        <v>35.53</v>
      </c>
      <c r="M2743" s="10" t="n">
        <v>1.43</v>
      </c>
      <c r="N2743" t="inlineStr">
        <is>
          <t>1</t>
        </is>
      </c>
      <c r="O2743" t="inlineStr">
        <is>
          <t>16</t>
        </is>
      </c>
      <c r="P2743" t="inlineStr">
        <is>
          <t xml:space="preserve">250040  </t>
        </is>
      </c>
      <c r="Q2743" s="26" t="n">
        <v>79.90000000000001</v>
      </c>
      <c r="R2743" s="26">
        <f>Q2743*G2743</f>
        <v/>
      </c>
      <c r="S2743" t="n">
        <v>47.4</v>
      </c>
      <c r="T2743" s="18">
        <f>1 - V2743/S2743</f>
        <v/>
      </c>
      <c r="U2743" s="18" t="n">
        <v>0.2503128911138924</v>
      </c>
      <c r="V2743" s="26" t="n">
        <v>38.07203389830509</v>
      </c>
      <c r="W2743" s="26">
        <f>V2743 - L2743</f>
        <v/>
      </c>
    </row>
    <row r="2744">
      <c r="A2744" s="11" t="n">
        <v>46230</v>
      </c>
      <c r="B2744" s="1" t="n">
        <v>20040</v>
      </c>
      <c r="C2744" s="1" t="inlineStr">
        <is>
          <t>190</t>
        </is>
      </c>
      <c r="D2744" s="1" t="inlineStr">
        <is>
          <t>369200</t>
        </is>
      </c>
      <c r="E2744" s="1" t="inlineStr">
        <is>
          <t xml:space="preserve">31754676       </t>
        </is>
      </c>
      <c r="F2744" s="5" t="inlineStr">
        <is>
          <t>INFINITY NADO SERIE 6 STD PACK LANZ ESPAD ANILLO M</t>
        </is>
      </c>
      <c r="G2744" t="n">
        <v>1</v>
      </c>
      <c r="H2744" s="7" t="n">
        <v>59.9</v>
      </c>
      <c r="I2744" s="7" t="n">
        <v>0</v>
      </c>
      <c r="J2744" s="7" t="n">
        <v>0</v>
      </c>
      <c r="K2744" s="9" t="n">
        <v>0</v>
      </c>
      <c r="L2744" s="10" t="n">
        <v>35.53</v>
      </c>
      <c r="M2744" s="10" t="n">
        <v>1.43</v>
      </c>
      <c r="N2744" t="inlineStr">
        <is>
          <t>1</t>
        </is>
      </c>
      <c r="O2744" t="inlineStr">
        <is>
          <t>16</t>
        </is>
      </c>
      <c r="P2744" t="inlineStr">
        <is>
          <t xml:space="preserve">250040  </t>
        </is>
      </c>
      <c r="Q2744" s="26" t="n">
        <v>79.90000000000001</v>
      </c>
      <c r="R2744" s="26">
        <f>Q2744*G2744</f>
        <v/>
      </c>
      <c r="S2744" t="n">
        <v>47.4</v>
      </c>
      <c r="T2744" s="18">
        <f>1 - V2744/S2744</f>
        <v/>
      </c>
      <c r="U2744" s="18" t="n">
        <v>0.2503128911138924</v>
      </c>
      <c r="V2744" s="26" t="n">
        <v>38.07203389830509</v>
      </c>
      <c r="W2744" s="26">
        <f>V2744 - L2744</f>
        <v/>
      </c>
    </row>
    <row r="2745">
      <c r="A2745" s="11" t="n">
        <v>46230</v>
      </c>
      <c r="B2745" s="1" t="n">
        <v>20040</v>
      </c>
      <c r="C2745" s="1" t="inlineStr">
        <is>
          <t>190</t>
        </is>
      </c>
      <c r="D2745" s="1" t="inlineStr">
        <is>
          <t>369221</t>
        </is>
      </c>
      <c r="E2745" s="1" t="inlineStr">
        <is>
          <t xml:space="preserve">33483121       </t>
        </is>
      </c>
      <c r="F2745" s="5" t="inlineStr">
        <is>
          <t>HOT WHEELS ESTUCHE PARA 15 AUTOS SURTIDO</t>
        </is>
      </c>
      <c r="G2745" t="n">
        <v>1</v>
      </c>
      <c r="H2745" s="7" t="n">
        <v>34.9</v>
      </c>
      <c r="I2745" s="7" t="n">
        <v>0</v>
      </c>
      <c r="J2745" s="7" t="n">
        <v>0</v>
      </c>
      <c r="K2745" s="9" t="n">
        <v>0</v>
      </c>
      <c r="L2745" s="10" t="n">
        <v>20.71</v>
      </c>
      <c r="M2745" s="10" t="n">
        <v>1.43</v>
      </c>
      <c r="N2745" t="inlineStr">
        <is>
          <t>1</t>
        </is>
      </c>
      <c r="O2745" t="inlineStr">
        <is>
          <t>16</t>
        </is>
      </c>
      <c r="P2745" t="inlineStr">
        <is>
          <t xml:space="preserve">250040  </t>
        </is>
      </c>
      <c r="Q2745" s="26" t="n">
        <v>34.9</v>
      </c>
      <c r="R2745" s="26">
        <f>Q2745*G2745</f>
        <v/>
      </c>
      <c r="S2745" t="n">
        <v>20.7</v>
      </c>
      <c r="T2745" s="18">
        <f>1 - V2745/S2745</f>
        <v/>
      </c>
      <c r="U2745" s="18" t="n">
        <v>0</v>
      </c>
      <c r="V2745" s="26" t="n">
        <v>20.7</v>
      </c>
      <c r="W2745" s="26">
        <f>V2745 - L2745</f>
        <v/>
      </c>
    </row>
    <row r="2746">
      <c r="A2746" s="11" t="n">
        <v>46230</v>
      </c>
      <c r="B2746" s="1" t="n">
        <v>20041</v>
      </c>
      <c r="C2746" s="1" t="inlineStr">
        <is>
          <t>012</t>
        </is>
      </c>
      <c r="D2746" s="1" t="inlineStr">
        <is>
          <t>323900</t>
        </is>
      </c>
      <c r="E2746" s="1" t="inlineStr">
        <is>
          <t xml:space="preserve">34840515       </t>
        </is>
      </c>
      <c r="F2746" s="5" t="inlineStr">
        <is>
          <t>MUNECA EVI LOVE PRINCESA + UNICORNIO</t>
        </is>
      </c>
      <c r="G2746" t="n">
        <v>1</v>
      </c>
      <c r="H2746" s="7" t="n">
        <v>19.74</v>
      </c>
      <c r="I2746" s="7" t="n">
        <v>1.97</v>
      </c>
      <c r="J2746" s="7" t="n">
        <v>0</v>
      </c>
      <c r="K2746" s="9" t="n">
        <v>1.97</v>
      </c>
      <c r="L2746" s="10" t="n">
        <v>10.54</v>
      </c>
      <c r="M2746" s="10" t="n">
        <v>1.43</v>
      </c>
      <c r="N2746" t="inlineStr">
        <is>
          <t>1</t>
        </is>
      </c>
      <c r="O2746" t="inlineStr">
        <is>
          <t xml:space="preserve">3 </t>
        </is>
      </c>
      <c r="P2746" t="inlineStr">
        <is>
          <t xml:space="preserve">36128   </t>
        </is>
      </c>
      <c r="Q2746" s="26" t="n">
        <v>32.89999999999998</v>
      </c>
      <c r="R2746" s="26">
        <f>Q2746*G2746</f>
        <v/>
      </c>
      <c r="S2746" t="n">
        <v>19.52</v>
      </c>
      <c r="T2746" s="18">
        <f>1 - V2746/S2746</f>
        <v/>
      </c>
      <c r="U2746" s="18" t="n">
        <v>0.4</v>
      </c>
      <c r="V2746" s="26" t="n">
        <v>15.05593220338983</v>
      </c>
      <c r="W2746" s="26">
        <f>V2746 - L2746</f>
        <v/>
      </c>
    </row>
    <row r="2747">
      <c r="A2747" s="11" t="n">
        <v>46230</v>
      </c>
      <c r="B2747" s="1" t="n">
        <v>20041</v>
      </c>
      <c r="C2747" s="1" t="inlineStr">
        <is>
          <t>031</t>
        </is>
      </c>
      <c r="D2747" s="1" t="inlineStr">
        <is>
          <t>166985</t>
        </is>
      </c>
      <c r="E2747" s="1" t="inlineStr">
        <is>
          <t xml:space="preserve">29854051       </t>
        </is>
      </c>
      <c r="F2747" s="5" t="inlineStr">
        <is>
          <t>TEAMSTERZ AUTO DE METAL PACK 10 AUTOS</t>
        </is>
      </c>
      <c r="G2747" t="n">
        <v>1</v>
      </c>
      <c r="H2747" s="7" t="n">
        <v>69</v>
      </c>
      <c r="I2747" s="7" t="n">
        <v>0</v>
      </c>
      <c r="J2747" s="7" t="n">
        <v>0</v>
      </c>
      <c r="K2747" s="9" t="n">
        <v>0</v>
      </c>
      <c r="L2747" s="10" t="n">
        <v>40.93</v>
      </c>
      <c r="M2747" s="10" t="n">
        <v>1.43</v>
      </c>
      <c r="N2747" t="inlineStr">
        <is>
          <t>1</t>
        </is>
      </c>
      <c r="O2747" t="inlineStr">
        <is>
          <t>16</t>
        </is>
      </c>
      <c r="P2747" t="inlineStr">
        <is>
          <t xml:space="preserve">240974  </t>
        </is>
      </c>
      <c r="Q2747" s="26" t="n">
        <v>69</v>
      </c>
      <c r="R2747" s="26">
        <f>Q2747*G2747</f>
        <v/>
      </c>
      <c r="S2747" t="n">
        <v>40.93</v>
      </c>
      <c r="T2747" s="18">
        <f>1 - V2747/S2747</f>
        <v/>
      </c>
      <c r="U2747" s="18" t="n">
        <v>0</v>
      </c>
      <c r="V2747" s="26" t="n">
        <v>40.93</v>
      </c>
      <c r="W2747" s="26">
        <f>V2747 - L2747</f>
        <v/>
      </c>
    </row>
    <row r="2748">
      <c r="A2748" s="11" t="n">
        <v>46230</v>
      </c>
      <c r="B2748" s="1" t="n">
        <v>20041</v>
      </c>
      <c r="C2748" s="1" t="inlineStr">
        <is>
          <t>037</t>
        </is>
      </c>
      <c r="D2748" s="1" t="inlineStr">
        <is>
          <t>190354</t>
        </is>
      </c>
      <c r="E2748" s="1" t="inlineStr">
        <is>
          <t xml:space="preserve">28194770       </t>
        </is>
      </c>
      <c r="F2748" s="5" t="inlineStr">
        <is>
          <t>AUTOS DE METAL 3 TEAMSTERZ EN BLISTER</t>
        </is>
      </c>
      <c r="G2748" t="n">
        <v>1</v>
      </c>
      <c r="H2748" s="7" t="n">
        <v>6.9</v>
      </c>
      <c r="I2748" s="7" t="n">
        <v>0</v>
      </c>
      <c r="J2748" s="7" t="n">
        <v>0</v>
      </c>
      <c r="K2748" s="9" t="n">
        <v>0</v>
      </c>
      <c r="L2748" s="10" t="n">
        <v>4.1</v>
      </c>
      <c r="M2748" s="10" t="n">
        <v>1.43</v>
      </c>
      <c r="N2748" t="inlineStr">
        <is>
          <t>1</t>
        </is>
      </c>
      <c r="O2748" t="inlineStr">
        <is>
          <t>16</t>
        </is>
      </c>
      <c r="P2748" t="inlineStr">
        <is>
          <t xml:space="preserve">244965  </t>
        </is>
      </c>
      <c r="Q2748" s="26" t="n">
        <v>6.9</v>
      </c>
      <c r="R2748" s="26">
        <f>Q2748*G2748</f>
        <v/>
      </c>
      <c r="S2748" t="n">
        <v>4.09</v>
      </c>
      <c r="T2748" s="18">
        <f>1 - V2748/S2748</f>
        <v/>
      </c>
      <c r="U2748" s="18" t="n">
        <v>0</v>
      </c>
      <c r="V2748" s="26" t="n">
        <v>4.09</v>
      </c>
      <c r="W2748" s="26">
        <f>V2748 - L2748</f>
        <v/>
      </c>
    </row>
    <row r="2749">
      <c r="A2749" s="11" t="n">
        <v>46230</v>
      </c>
      <c r="B2749" s="1" t="n">
        <v>20041</v>
      </c>
      <c r="C2749" s="1" t="inlineStr">
        <is>
          <t>037</t>
        </is>
      </c>
      <c r="D2749" s="1" t="inlineStr">
        <is>
          <t>190394</t>
        </is>
      </c>
      <c r="E2749" s="1" t="inlineStr">
        <is>
          <t xml:space="preserve">28194770       </t>
        </is>
      </c>
      <c r="F2749" s="5" t="inlineStr">
        <is>
          <t>AUTOS DE METAL 3 TEAMSTERZ EN BLISTER</t>
        </is>
      </c>
      <c r="G2749" t="n">
        <v>1</v>
      </c>
      <c r="H2749" s="7" t="n">
        <v>6.9</v>
      </c>
      <c r="I2749" s="7" t="n">
        <v>0</v>
      </c>
      <c r="J2749" s="7" t="n">
        <v>0</v>
      </c>
      <c r="K2749" s="9" t="n">
        <v>0</v>
      </c>
      <c r="L2749" s="10" t="n">
        <v>4.1</v>
      </c>
      <c r="M2749" s="10" t="n">
        <v>1.43</v>
      </c>
      <c r="N2749" t="inlineStr">
        <is>
          <t>1</t>
        </is>
      </c>
      <c r="O2749" t="inlineStr">
        <is>
          <t xml:space="preserve">2 </t>
        </is>
      </c>
      <c r="P2749" t="inlineStr">
        <is>
          <t xml:space="preserve">244965  </t>
        </is>
      </c>
      <c r="Q2749" s="26" t="n">
        <v>6.9</v>
      </c>
      <c r="R2749" s="26">
        <f>Q2749*G2749</f>
        <v/>
      </c>
      <c r="S2749" t="n">
        <v>4.09</v>
      </c>
      <c r="T2749" s="18">
        <f>1 - V2749/S2749</f>
        <v/>
      </c>
      <c r="U2749" s="18" t="n">
        <v>0</v>
      </c>
      <c r="V2749" s="26" t="n">
        <v>4.09</v>
      </c>
      <c r="W2749" s="26">
        <f>V2749 - L2749</f>
        <v/>
      </c>
    </row>
    <row r="2750">
      <c r="A2750" s="11" t="n">
        <v>46230</v>
      </c>
      <c r="B2750" s="1" t="n">
        <v>20041</v>
      </c>
      <c r="C2750" s="1" t="inlineStr">
        <is>
          <t>190</t>
        </is>
      </c>
      <c r="D2750" s="1" t="inlineStr">
        <is>
          <t xml:space="preserve">4025  </t>
        </is>
      </c>
      <c r="E2750" s="1" t="inlineStr">
        <is>
          <t xml:space="preserve">28194770       </t>
        </is>
      </c>
      <c r="F2750" s="5" t="inlineStr">
        <is>
          <t>AUTOS DE METAL 3 TEAMSTERZ EN BLISTER</t>
        </is>
      </c>
      <c r="G2750" t="n">
        <v>1</v>
      </c>
      <c r="H2750" s="7" t="n">
        <v>6.9</v>
      </c>
      <c r="I2750" s="7" t="n">
        <v>0</v>
      </c>
      <c r="J2750" s="7" t="n">
        <v>0</v>
      </c>
      <c r="K2750" s="9" t="n">
        <v>0</v>
      </c>
      <c r="L2750" s="10" t="n">
        <v>4.1</v>
      </c>
      <c r="M2750" s="10" t="n">
        <v>1.43</v>
      </c>
      <c r="N2750" t="inlineStr">
        <is>
          <t>1</t>
        </is>
      </c>
      <c r="O2750" t="inlineStr">
        <is>
          <t>16</t>
        </is>
      </c>
      <c r="P2750" t="inlineStr">
        <is>
          <t xml:space="preserve">240974  </t>
        </is>
      </c>
      <c r="Q2750" s="26" t="n">
        <v>6.9</v>
      </c>
      <c r="R2750" s="26">
        <f>Q2750*G2750</f>
        <v/>
      </c>
      <c r="S2750" t="n">
        <v>4.09</v>
      </c>
      <c r="T2750" s="18">
        <f>1 - V2750/S2750</f>
        <v/>
      </c>
      <c r="U2750" s="18" t="n">
        <v>0</v>
      </c>
      <c r="V2750" s="26" t="n">
        <v>4.09</v>
      </c>
      <c r="W2750" s="26">
        <f>V2750 - L2750</f>
        <v/>
      </c>
    </row>
    <row r="2751">
      <c r="A2751" s="11" t="n">
        <v>46230</v>
      </c>
      <c r="B2751" s="1" t="n">
        <v>20043</v>
      </c>
      <c r="C2751" s="1" t="inlineStr">
        <is>
          <t>051</t>
        </is>
      </c>
      <c r="D2751" s="1" t="inlineStr">
        <is>
          <t>105887</t>
        </is>
      </c>
      <c r="E2751" s="1" t="inlineStr">
        <is>
          <t xml:space="preserve">30232284       </t>
        </is>
      </c>
      <c r="F2751" s="5" t="inlineStr">
        <is>
          <t>INFINITY NADO TROMPO DE BATALLA - METAL C/PUNTA DE</t>
        </is>
      </c>
      <c r="G2751" t="n">
        <v>1</v>
      </c>
      <c r="H2751" s="7" t="n">
        <v>34.9</v>
      </c>
      <c r="I2751" s="7" t="n">
        <v>0</v>
      </c>
      <c r="J2751" s="7" t="n">
        <v>0</v>
      </c>
      <c r="K2751" s="9" t="n">
        <v>0</v>
      </c>
      <c r="L2751" s="10" t="n">
        <v>20.71</v>
      </c>
      <c r="M2751" s="10" t="n">
        <v>1.43</v>
      </c>
      <c r="N2751" t="inlineStr">
        <is>
          <t>1</t>
        </is>
      </c>
      <c r="O2751" t="inlineStr">
        <is>
          <t xml:space="preserve">2 </t>
        </is>
      </c>
      <c r="P2751" t="inlineStr">
        <is>
          <t xml:space="preserve">30705   </t>
        </is>
      </c>
      <c r="Q2751" s="26" t="n">
        <v>49.9</v>
      </c>
      <c r="R2751" s="26">
        <f>Q2751*G2751</f>
        <v/>
      </c>
      <c r="S2751" t="n">
        <v>29.6</v>
      </c>
      <c r="T2751" s="18">
        <f>1 - V2751/S2751</f>
        <v/>
      </c>
      <c r="U2751" s="18" t="n">
        <v>0.3006012024048096</v>
      </c>
      <c r="V2751" s="26" t="n">
        <v>22.18220338983051</v>
      </c>
      <c r="W2751" s="26">
        <f>V2751 - L2751</f>
        <v/>
      </c>
    </row>
    <row r="2752">
      <c r="A2752" s="11" t="n">
        <v>46230</v>
      </c>
      <c r="B2752" s="1" t="n">
        <v>20043</v>
      </c>
      <c r="C2752" s="1" t="inlineStr">
        <is>
          <t>051</t>
        </is>
      </c>
      <c r="D2752" s="1" t="inlineStr">
        <is>
          <t>105887</t>
        </is>
      </c>
      <c r="E2752" s="1" t="inlineStr">
        <is>
          <t xml:space="preserve">30232284       </t>
        </is>
      </c>
      <c r="F2752" s="5" t="inlineStr">
        <is>
          <t>INFINITY NADO TROMPO DE BATALLA - METAL C/PUNTA DE</t>
        </is>
      </c>
      <c r="G2752" t="n">
        <v>1</v>
      </c>
      <c r="H2752" s="7" t="n">
        <v>34.9</v>
      </c>
      <c r="I2752" s="7" t="n">
        <v>0</v>
      </c>
      <c r="J2752" s="7" t="n">
        <v>0</v>
      </c>
      <c r="K2752" s="9" t="n">
        <v>0</v>
      </c>
      <c r="L2752" s="10" t="n">
        <v>20.71</v>
      </c>
      <c r="M2752" s="10" t="n">
        <v>1.43</v>
      </c>
      <c r="N2752" t="inlineStr">
        <is>
          <t>1</t>
        </is>
      </c>
      <c r="O2752" t="inlineStr">
        <is>
          <t xml:space="preserve">2 </t>
        </is>
      </c>
      <c r="P2752" t="inlineStr">
        <is>
          <t xml:space="preserve">30705   </t>
        </is>
      </c>
      <c r="Q2752" s="26" t="n">
        <v>49.9</v>
      </c>
      <c r="R2752" s="26">
        <f>Q2752*G2752</f>
        <v/>
      </c>
      <c r="S2752" t="n">
        <v>29.6</v>
      </c>
      <c r="T2752" s="18">
        <f>1 - V2752/S2752</f>
        <v/>
      </c>
      <c r="U2752" s="18" t="n">
        <v>0.3006012024048096</v>
      </c>
      <c r="V2752" s="26" t="n">
        <v>22.18220338983051</v>
      </c>
      <c r="W2752" s="26">
        <f>V2752 - L2752</f>
        <v/>
      </c>
    </row>
    <row r="2753">
      <c r="A2753" s="11" t="n">
        <v>46230</v>
      </c>
      <c r="B2753" s="1" t="n">
        <v>20047</v>
      </c>
      <c r="C2753" s="1" t="inlineStr">
        <is>
          <t>012</t>
        </is>
      </c>
      <c r="D2753" s="1" t="inlineStr">
        <is>
          <t>334339</t>
        </is>
      </c>
      <c r="E2753" s="1" t="inlineStr">
        <is>
          <t xml:space="preserve">28194770       </t>
        </is>
      </c>
      <c r="F2753" s="5" t="inlineStr">
        <is>
          <t>AUTOS DE METAL 3 TEAMSTERZ EN BLISTER</t>
        </is>
      </c>
      <c r="G2753" t="n">
        <v>1</v>
      </c>
      <c r="H2753" s="7" t="n">
        <v>6.9</v>
      </c>
      <c r="I2753" s="7" t="n">
        <v>0.6899999999999999</v>
      </c>
      <c r="J2753" s="7" t="n">
        <v>0</v>
      </c>
      <c r="K2753" s="9" t="n">
        <v>0.6899999999999999</v>
      </c>
      <c r="L2753" s="10" t="n">
        <v>3.68</v>
      </c>
      <c r="M2753" s="10" t="n">
        <v>1.43</v>
      </c>
      <c r="N2753" t="inlineStr">
        <is>
          <t>1</t>
        </is>
      </c>
      <c r="O2753" t="inlineStr">
        <is>
          <t xml:space="preserve">3 </t>
        </is>
      </c>
      <c r="P2753" t="inlineStr">
        <is>
          <t xml:space="preserve">245862  </t>
        </is>
      </c>
      <c r="Q2753" s="26" t="n">
        <v>6.9</v>
      </c>
      <c r="R2753" s="26">
        <f>Q2753*G2753</f>
        <v/>
      </c>
      <c r="S2753" t="n">
        <v>4.09</v>
      </c>
      <c r="T2753" s="18">
        <f>1 - V2753/S2753</f>
        <v/>
      </c>
      <c r="U2753" s="18" t="n">
        <v>0</v>
      </c>
      <c r="V2753" s="26" t="n">
        <v>4.09</v>
      </c>
      <c r="W2753" s="26">
        <f>V2753 - L2753</f>
        <v/>
      </c>
    </row>
    <row r="2754">
      <c r="A2754" s="11" t="n">
        <v>46230</v>
      </c>
      <c r="B2754" s="1" t="n">
        <v>20047</v>
      </c>
      <c r="C2754" s="1" t="inlineStr">
        <is>
          <t>012</t>
        </is>
      </c>
      <c r="D2754" s="1" t="inlineStr">
        <is>
          <t>334401</t>
        </is>
      </c>
      <c r="E2754" s="1" t="inlineStr">
        <is>
          <t xml:space="preserve">28194770       </t>
        </is>
      </c>
      <c r="F2754" s="5" t="inlineStr">
        <is>
          <t>AUTOS DE METAL 3 TEAMSTERZ EN BLISTER</t>
        </is>
      </c>
      <c r="G2754" t="n">
        <v>1</v>
      </c>
      <c r="H2754" s="7" t="n">
        <v>6.9</v>
      </c>
      <c r="I2754" s="7" t="n">
        <v>0</v>
      </c>
      <c r="J2754" s="7" t="n">
        <v>0</v>
      </c>
      <c r="K2754" s="9" t="n">
        <v>0</v>
      </c>
      <c r="L2754" s="10" t="n">
        <v>4.1</v>
      </c>
      <c r="M2754" s="10" t="n">
        <v>1.43</v>
      </c>
      <c r="N2754" t="inlineStr">
        <is>
          <t>1</t>
        </is>
      </c>
      <c r="O2754" t="inlineStr">
        <is>
          <t>16</t>
        </is>
      </c>
      <c r="P2754" t="inlineStr">
        <is>
          <t xml:space="preserve">248438  </t>
        </is>
      </c>
      <c r="Q2754" s="26" t="n">
        <v>6.9</v>
      </c>
      <c r="R2754" s="26">
        <f>Q2754*G2754</f>
        <v/>
      </c>
      <c r="S2754" t="n">
        <v>4.09</v>
      </c>
      <c r="T2754" s="18">
        <f>1 - V2754/S2754</f>
        <v/>
      </c>
      <c r="U2754" s="18" t="n">
        <v>0</v>
      </c>
      <c r="V2754" s="26" t="n">
        <v>4.09</v>
      </c>
      <c r="W2754" s="26">
        <f>V2754 - L2754</f>
        <v/>
      </c>
    </row>
    <row r="2755">
      <c r="A2755" s="11" t="n">
        <v>46230</v>
      </c>
      <c r="B2755" s="1" t="n">
        <v>20047</v>
      </c>
      <c r="C2755" s="1" t="inlineStr">
        <is>
          <t>191</t>
        </is>
      </c>
      <c r="D2755" s="1" t="inlineStr">
        <is>
          <t>463791</t>
        </is>
      </c>
      <c r="E2755" s="1" t="inlineStr">
        <is>
          <t xml:space="preserve">28194770       </t>
        </is>
      </c>
      <c r="F2755" s="5" t="inlineStr">
        <is>
          <t>AUTOS DE METAL 3 TEAMSTERZ EN BLISTER</t>
        </is>
      </c>
      <c r="G2755" t="n">
        <v>1</v>
      </c>
      <c r="H2755" s="7" t="n">
        <v>6.9</v>
      </c>
      <c r="I2755" s="7" t="n">
        <v>0</v>
      </c>
      <c r="J2755" s="7" t="n">
        <v>0</v>
      </c>
      <c r="K2755" s="9" t="n">
        <v>0</v>
      </c>
      <c r="L2755" s="10" t="n">
        <v>4.1</v>
      </c>
      <c r="M2755" s="10" t="n">
        <v>1.43</v>
      </c>
      <c r="N2755" t="inlineStr">
        <is>
          <t>1</t>
        </is>
      </c>
      <c r="O2755" t="inlineStr">
        <is>
          <t xml:space="preserve">2 </t>
        </is>
      </c>
      <c r="P2755" t="inlineStr">
        <is>
          <t xml:space="preserve">245750  </t>
        </is>
      </c>
      <c r="Q2755" s="26" t="n">
        <v>6.9</v>
      </c>
      <c r="R2755" s="26">
        <f>Q2755*G2755</f>
        <v/>
      </c>
      <c r="S2755" t="n">
        <v>4.09</v>
      </c>
      <c r="T2755" s="18">
        <f>1 - V2755/S2755</f>
        <v/>
      </c>
      <c r="U2755" s="18" t="n">
        <v>0</v>
      </c>
      <c r="V2755" s="26" t="n">
        <v>4.09</v>
      </c>
      <c r="W2755" s="26">
        <f>V2755 - L2755</f>
        <v/>
      </c>
    </row>
    <row r="2756">
      <c r="A2756" s="11" t="n">
        <v>46230</v>
      </c>
      <c r="B2756" s="1" t="n">
        <v>20047</v>
      </c>
      <c r="C2756" s="1" t="inlineStr">
        <is>
          <t>191</t>
        </is>
      </c>
      <c r="D2756" s="1" t="inlineStr">
        <is>
          <t>463791</t>
        </is>
      </c>
      <c r="E2756" s="1" t="inlineStr">
        <is>
          <t xml:space="preserve">28194770       </t>
        </is>
      </c>
      <c r="F2756" s="5" t="inlineStr">
        <is>
          <t>AUTOS DE METAL 3 TEAMSTERZ EN BLISTER</t>
        </is>
      </c>
      <c r="G2756" t="n">
        <v>1</v>
      </c>
      <c r="H2756" s="7" t="n">
        <v>6.9</v>
      </c>
      <c r="I2756" s="7" t="n">
        <v>0</v>
      </c>
      <c r="J2756" s="7" t="n">
        <v>0</v>
      </c>
      <c r="K2756" s="9" t="n">
        <v>0</v>
      </c>
      <c r="L2756" s="10" t="n">
        <v>4.1</v>
      </c>
      <c r="M2756" s="10" t="n">
        <v>1.43</v>
      </c>
      <c r="N2756" t="inlineStr">
        <is>
          <t>1</t>
        </is>
      </c>
      <c r="O2756" t="inlineStr">
        <is>
          <t xml:space="preserve">2 </t>
        </is>
      </c>
      <c r="P2756" t="inlineStr">
        <is>
          <t xml:space="preserve">245750  </t>
        </is>
      </c>
      <c r="Q2756" s="26" t="n">
        <v>6.9</v>
      </c>
      <c r="R2756" s="26">
        <f>Q2756*G2756</f>
        <v/>
      </c>
      <c r="S2756" t="n">
        <v>4.09</v>
      </c>
      <c r="T2756" s="18">
        <f>1 - V2756/S2756</f>
        <v/>
      </c>
      <c r="U2756" s="18" t="n">
        <v>0</v>
      </c>
      <c r="V2756" s="26" t="n">
        <v>4.09</v>
      </c>
      <c r="W2756" s="26">
        <f>V2756 - L2756</f>
        <v/>
      </c>
    </row>
    <row r="2757">
      <c r="A2757" s="11" t="n">
        <v>46230</v>
      </c>
      <c r="B2757" s="1" t="n">
        <v>20048</v>
      </c>
      <c r="C2757" s="1" t="inlineStr">
        <is>
          <t>017</t>
        </is>
      </c>
      <c r="D2757" s="1" t="inlineStr">
        <is>
          <t>167817</t>
        </is>
      </c>
      <c r="E2757" s="1" t="inlineStr">
        <is>
          <t xml:space="preserve">28194768       </t>
        </is>
      </c>
      <c r="F2757" s="5" t="inlineStr">
        <is>
          <t>AUTO COLOR CHANGE TEAMSTERZ SURTIDO</t>
        </is>
      </c>
      <c r="G2757" t="n">
        <v>1</v>
      </c>
      <c r="H2757" s="7" t="n">
        <v>14.9</v>
      </c>
      <c r="I2757" s="7" t="n">
        <v>0</v>
      </c>
      <c r="J2757" s="7" t="n">
        <v>0</v>
      </c>
      <c r="K2757" s="9" t="n">
        <v>0</v>
      </c>
      <c r="L2757" s="10" t="n">
        <v>8.84</v>
      </c>
      <c r="M2757" s="10" t="n">
        <v>1.43</v>
      </c>
      <c r="N2757" t="inlineStr">
        <is>
          <t>1</t>
        </is>
      </c>
      <c r="O2757" t="inlineStr">
        <is>
          <t>16</t>
        </is>
      </c>
      <c r="P2757" t="inlineStr">
        <is>
          <t xml:space="preserve">252196  </t>
        </is>
      </c>
      <c r="Q2757" s="26" t="n">
        <v>14.9</v>
      </c>
      <c r="R2757" s="26">
        <f>Q2757*G2757</f>
        <v/>
      </c>
      <c r="S2757" t="n">
        <v>8.84</v>
      </c>
      <c r="T2757" s="18">
        <f>1 - V2757/S2757</f>
        <v/>
      </c>
      <c r="U2757" s="18" t="n">
        <v>0</v>
      </c>
      <c r="V2757" s="26" t="n">
        <v>8.84</v>
      </c>
      <c r="W2757" s="26">
        <f>V2757 - L2757</f>
        <v/>
      </c>
    </row>
    <row r="2758">
      <c r="A2758" s="11" t="n">
        <v>46230</v>
      </c>
      <c r="B2758" s="1" t="n">
        <v>20048</v>
      </c>
      <c r="C2758" s="1" t="inlineStr">
        <is>
          <t>017</t>
        </is>
      </c>
      <c r="D2758" s="1" t="inlineStr">
        <is>
          <t>167870</t>
        </is>
      </c>
      <c r="E2758" s="1" t="inlineStr">
        <is>
          <t xml:space="preserve">28194770       </t>
        </is>
      </c>
      <c r="F2758" s="5" t="inlineStr">
        <is>
          <t>AUTOS DE METAL 3 TEAMSTERZ EN BLISTER</t>
        </is>
      </c>
      <c r="G2758" t="n">
        <v>1</v>
      </c>
      <c r="H2758" s="7" t="n">
        <v>6.9</v>
      </c>
      <c r="I2758" s="7" t="n">
        <v>0</v>
      </c>
      <c r="J2758" s="7" t="n">
        <v>0</v>
      </c>
      <c r="K2758" s="9" t="n">
        <v>0</v>
      </c>
      <c r="L2758" s="10" t="n">
        <v>4.1</v>
      </c>
      <c r="M2758" s="10" t="n">
        <v>1.43</v>
      </c>
      <c r="N2758" t="inlineStr">
        <is>
          <t>1</t>
        </is>
      </c>
      <c r="O2758" t="inlineStr">
        <is>
          <t>16</t>
        </is>
      </c>
      <c r="P2758" t="inlineStr">
        <is>
          <t xml:space="preserve">248416  </t>
        </is>
      </c>
      <c r="Q2758" s="26" t="n">
        <v>6.9</v>
      </c>
      <c r="R2758" s="26">
        <f>Q2758*G2758</f>
        <v/>
      </c>
      <c r="S2758" t="n">
        <v>4.09</v>
      </c>
      <c r="T2758" s="18">
        <f>1 - V2758/S2758</f>
        <v/>
      </c>
      <c r="U2758" s="18" t="n">
        <v>0</v>
      </c>
      <c r="V2758" s="26" t="n">
        <v>4.09</v>
      </c>
      <c r="W2758" s="26">
        <f>V2758 - L2758</f>
        <v/>
      </c>
    </row>
    <row r="2759">
      <c r="A2759" s="11" t="n">
        <v>46230</v>
      </c>
      <c r="B2759" s="1" t="n">
        <v>20048</v>
      </c>
      <c r="C2759" s="1" t="inlineStr">
        <is>
          <t>017</t>
        </is>
      </c>
      <c r="D2759" s="1" t="inlineStr">
        <is>
          <t>167870</t>
        </is>
      </c>
      <c r="E2759" s="1" t="inlineStr">
        <is>
          <t xml:space="preserve">28194770       </t>
        </is>
      </c>
      <c r="F2759" s="5" t="inlineStr">
        <is>
          <t>AUTOS DE METAL 3 TEAMSTERZ EN BLISTER</t>
        </is>
      </c>
      <c r="G2759" t="n">
        <v>1</v>
      </c>
      <c r="H2759" s="7" t="n">
        <v>6.9</v>
      </c>
      <c r="I2759" s="7" t="n">
        <v>0</v>
      </c>
      <c r="J2759" s="7" t="n">
        <v>0</v>
      </c>
      <c r="K2759" s="9" t="n">
        <v>0</v>
      </c>
      <c r="L2759" s="10" t="n">
        <v>4.1</v>
      </c>
      <c r="M2759" s="10" t="n">
        <v>1.43</v>
      </c>
      <c r="N2759" t="inlineStr">
        <is>
          <t>1</t>
        </is>
      </c>
      <c r="O2759" t="inlineStr">
        <is>
          <t>16</t>
        </is>
      </c>
      <c r="P2759" t="inlineStr">
        <is>
          <t xml:space="preserve">248416  </t>
        </is>
      </c>
      <c r="Q2759" s="26" t="n">
        <v>6.9</v>
      </c>
      <c r="R2759" s="26">
        <f>Q2759*G2759</f>
        <v/>
      </c>
      <c r="S2759" t="n">
        <v>4.09</v>
      </c>
      <c r="T2759" s="18">
        <f>1 - V2759/S2759</f>
        <v/>
      </c>
      <c r="U2759" s="18" t="n">
        <v>0</v>
      </c>
      <c r="V2759" s="26" t="n">
        <v>4.09</v>
      </c>
      <c r="W2759" s="26">
        <f>V2759 - L2759</f>
        <v/>
      </c>
    </row>
    <row r="2760">
      <c r="A2760" s="11" t="n">
        <v>46230</v>
      </c>
      <c r="B2760" s="1" t="n">
        <v>20048</v>
      </c>
      <c r="C2760" s="1" t="inlineStr">
        <is>
          <t>801</t>
        </is>
      </c>
      <c r="D2760" s="1" t="inlineStr">
        <is>
          <t xml:space="preserve">7096  </t>
        </is>
      </c>
      <c r="E2760" s="1" t="inlineStr">
        <is>
          <t xml:space="preserve">30141767       </t>
        </is>
      </c>
      <c r="F2760" s="5" t="inlineStr">
        <is>
          <t>TMZ BEAST MACHINES AUTOS DE METAL PACK 5 AUTOS</t>
        </is>
      </c>
      <c r="G2760" t="n">
        <v>1</v>
      </c>
      <c r="H2760" s="7" t="n">
        <v>29.9</v>
      </c>
      <c r="I2760" s="7" t="n">
        <v>0</v>
      </c>
      <c r="J2760" s="7" t="n">
        <v>0</v>
      </c>
      <c r="K2760" s="9" t="n">
        <v>0</v>
      </c>
      <c r="L2760" s="10" t="n">
        <v>17.74</v>
      </c>
      <c r="M2760" s="10" t="n">
        <v>1.43</v>
      </c>
      <c r="N2760" t="inlineStr">
        <is>
          <t>1</t>
        </is>
      </c>
      <c r="O2760" t="inlineStr">
        <is>
          <t>16</t>
        </is>
      </c>
      <c r="P2760" t="inlineStr">
        <is>
          <t xml:space="preserve">252196  </t>
        </is>
      </c>
      <c r="Q2760" s="26" t="n">
        <v>39.5</v>
      </c>
      <c r="R2760" s="26">
        <f>Q2760*G2760</f>
        <v/>
      </c>
      <c r="S2760" t="n">
        <v>23.43</v>
      </c>
      <c r="T2760" s="18">
        <f>1 - V2760/S2760</f>
        <v/>
      </c>
      <c r="U2760" s="18" t="n">
        <v>0.2430379746835444</v>
      </c>
      <c r="V2760" s="26" t="n">
        <v>19.00423728813559</v>
      </c>
      <c r="W2760" s="26">
        <f>V2760 - L2760</f>
        <v/>
      </c>
    </row>
    <row r="2761">
      <c r="A2761" s="11" t="n">
        <v>46230</v>
      </c>
      <c r="B2761" s="1" t="n">
        <v>20049</v>
      </c>
      <c r="C2761" s="1" t="inlineStr">
        <is>
          <t>031</t>
        </is>
      </c>
      <c r="D2761" s="1" t="inlineStr">
        <is>
          <t>121482</t>
        </is>
      </c>
      <c r="E2761" s="1" t="inlineStr">
        <is>
          <t xml:space="preserve">34840525       </t>
        </is>
      </c>
      <c r="F2761" s="5" t="inlineStr">
        <is>
          <t>NENUCO VAMOS DE PASEO</t>
        </is>
      </c>
      <c r="G2761" t="n">
        <v>1</v>
      </c>
      <c r="H2761" s="7" t="n">
        <v>79.90000000000001</v>
      </c>
      <c r="I2761" s="7" t="n">
        <v>0</v>
      </c>
      <c r="J2761" s="7" t="n">
        <v>0</v>
      </c>
      <c r="K2761" s="9" t="n">
        <v>0</v>
      </c>
      <c r="L2761" s="10" t="n">
        <v>47.4</v>
      </c>
      <c r="M2761" s="10" t="n">
        <v>1.43</v>
      </c>
      <c r="N2761" t="inlineStr">
        <is>
          <t>1</t>
        </is>
      </c>
      <c r="O2761" t="inlineStr">
        <is>
          <t xml:space="preserve">2 </t>
        </is>
      </c>
      <c r="P2761" t="inlineStr">
        <is>
          <t xml:space="preserve">245485  </t>
        </is>
      </c>
      <c r="Q2761" s="26" t="n">
        <v>99</v>
      </c>
      <c r="R2761" s="26">
        <f>Q2761*G2761</f>
        <v/>
      </c>
      <c r="S2761" t="n">
        <v>58.73</v>
      </c>
      <c r="T2761" s="18">
        <f>1 - V2761/S2761</f>
        <v/>
      </c>
      <c r="U2761" s="18" t="n">
        <v>0.1929292929292928</v>
      </c>
      <c r="V2761" s="26" t="n">
        <v>50.78389830508475</v>
      </c>
      <c r="W2761" s="26">
        <f>V2761 - L2761</f>
        <v/>
      </c>
    </row>
    <row r="2762">
      <c r="A2762" s="11" t="n">
        <v>46230</v>
      </c>
      <c r="B2762" s="1" t="n">
        <v>20049</v>
      </c>
      <c r="C2762" s="1" t="inlineStr">
        <is>
          <t>031</t>
        </is>
      </c>
      <c r="D2762" s="1" t="inlineStr">
        <is>
          <t>121486</t>
        </is>
      </c>
      <c r="E2762" s="1" t="inlineStr">
        <is>
          <t xml:space="preserve">28194783       </t>
        </is>
      </c>
      <c r="F2762" s="5" t="inlineStr">
        <is>
          <t>SET DE BATALLA INFINITY NADO CON 2 TROMPOS</t>
        </is>
      </c>
      <c r="G2762" t="n">
        <v>1</v>
      </c>
      <c r="H2762" s="7" t="n">
        <v>159</v>
      </c>
      <c r="I2762" s="7" t="n">
        <v>0</v>
      </c>
      <c r="J2762" s="7" t="n">
        <v>0</v>
      </c>
      <c r="K2762" s="9" t="n">
        <v>0</v>
      </c>
      <c r="L2762" s="10" t="n">
        <v>94.33</v>
      </c>
      <c r="M2762" s="10" t="n">
        <v>1.43</v>
      </c>
      <c r="N2762" t="inlineStr">
        <is>
          <t>1</t>
        </is>
      </c>
      <c r="O2762" t="inlineStr">
        <is>
          <t xml:space="preserve">2 </t>
        </is>
      </c>
      <c r="P2762" t="inlineStr">
        <is>
          <t xml:space="preserve">245485  </t>
        </is>
      </c>
      <c r="Q2762" s="26" t="n">
        <v>159</v>
      </c>
      <c r="R2762" s="26">
        <f>Q2762*G2762</f>
        <v/>
      </c>
      <c r="S2762" t="n">
        <v>94.31999999999999</v>
      </c>
      <c r="T2762" s="18">
        <f>1 - V2762/S2762</f>
        <v/>
      </c>
      <c r="U2762" s="18" t="n">
        <v>0.1886792452830188</v>
      </c>
      <c r="V2762" s="26" t="n">
        <v>81.99152542372882</v>
      </c>
      <c r="W2762" s="26">
        <f>V2762 - L2762</f>
        <v/>
      </c>
    </row>
    <row r="2763">
      <c r="A2763" s="11" t="n">
        <v>46230</v>
      </c>
      <c r="B2763" s="1" t="n">
        <v>20056</v>
      </c>
      <c r="C2763" s="1" t="inlineStr">
        <is>
          <t>022</t>
        </is>
      </c>
      <c r="D2763" s="1" t="inlineStr">
        <is>
          <t xml:space="preserve">55464 </t>
        </is>
      </c>
      <c r="E2763" s="1" t="inlineStr">
        <is>
          <t xml:space="preserve">28194769       </t>
        </is>
      </c>
      <c r="F2763" s="5" t="inlineStr">
        <is>
          <t>AUTOS DE METAL 3 TEAMSTERZ PACK DE 2</t>
        </is>
      </c>
      <c r="G2763" t="n">
        <v>1</v>
      </c>
      <c r="H2763" s="7" t="n">
        <v>13.8</v>
      </c>
      <c r="I2763" s="7" t="n">
        <v>0</v>
      </c>
      <c r="J2763" s="7" t="n">
        <v>0</v>
      </c>
      <c r="K2763" s="9" t="n">
        <v>0</v>
      </c>
      <c r="L2763" s="10" t="n">
        <v>8.18</v>
      </c>
      <c r="M2763" s="10" t="n">
        <v>1.43</v>
      </c>
      <c r="N2763" t="inlineStr">
        <is>
          <t>1</t>
        </is>
      </c>
      <c r="O2763" t="inlineStr">
        <is>
          <t>16</t>
        </is>
      </c>
      <c r="P2763" t="inlineStr">
        <is>
          <t xml:space="preserve">246533  </t>
        </is>
      </c>
      <c r="Q2763" s="26" t="n">
        <v>13.8</v>
      </c>
      <c r="R2763" s="26">
        <f>Q2763*G2763</f>
        <v/>
      </c>
      <c r="S2763" t="n">
        <v>8.19</v>
      </c>
      <c r="T2763" s="18">
        <f>1 - V2763/S2763</f>
        <v/>
      </c>
      <c r="U2763" s="18" t="n">
        <v>0</v>
      </c>
      <c r="V2763" s="26" t="n">
        <v>8.19</v>
      </c>
      <c r="W2763" s="26">
        <f>V2763 - L2763</f>
        <v/>
      </c>
    </row>
    <row r="2764">
      <c r="A2764" s="11" t="n">
        <v>46230</v>
      </c>
      <c r="B2764" s="1" t="n">
        <v>20058</v>
      </c>
      <c r="C2764" s="1" t="inlineStr">
        <is>
          <t>038</t>
        </is>
      </c>
      <c r="D2764" s="1" t="inlineStr">
        <is>
          <t>210759</t>
        </is>
      </c>
      <c r="E2764" s="1" t="inlineStr">
        <is>
          <t xml:space="preserve">28194770       </t>
        </is>
      </c>
      <c r="F2764" s="5" t="inlineStr">
        <is>
          <t>AUTOS DE METAL 3 TEAMSTERZ EN BLISTER</t>
        </is>
      </c>
      <c r="G2764" t="n">
        <v>1</v>
      </c>
      <c r="H2764" s="7" t="n">
        <v>6.9</v>
      </c>
      <c r="I2764" s="7" t="n">
        <v>0</v>
      </c>
      <c r="J2764" s="7" t="n">
        <v>0</v>
      </c>
      <c r="K2764" s="9" t="n">
        <v>0</v>
      </c>
      <c r="L2764" s="10" t="n">
        <v>4.1</v>
      </c>
      <c r="M2764" s="10" t="n">
        <v>1.43</v>
      </c>
      <c r="N2764" t="inlineStr">
        <is>
          <t>1</t>
        </is>
      </c>
      <c r="O2764" t="inlineStr">
        <is>
          <t xml:space="preserve">2 </t>
        </is>
      </c>
      <c r="P2764" t="inlineStr">
        <is>
          <t xml:space="preserve">90737   </t>
        </is>
      </c>
      <c r="Q2764" s="26" t="n">
        <v>6.9</v>
      </c>
      <c r="R2764" s="26">
        <f>Q2764*G2764</f>
        <v/>
      </c>
      <c r="S2764" t="n">
        <v>4.09</v>
      </c>
      <c r="T2764" s="18">
        <f>1 - V2764/S2764</f>
        <v/>
      </c>
      <c r="U2764" s="18" t="n">
        <v>0</v>
      </c>
      <c r="V2764" s="26" t="n">
        <v>4.09</v>
      </c>
      <c r="W2764" s="26">
        <f>V2764 - L2764</f>
        <v/>
      </c>
    </row>
    <row r="2765">
      <c r="A2765" s="11" t="n">
        <v>46230</v>
      </c>
      <c r="B2765" s="1" t="n">
        <v>20058</v>
      </c>
      <c r="C2765" s="1" t="inlineStr">
        <is>
          <t>038</t>
        </is>
      </c>
      <c r="D2765" s="1" t="inlineStr">
        <is>
          <t>210759</t>
        </is>
      </c>
      <c r="E2765" s="1" t="inlineStr">
        <is>
          <t xml:space="preserve">28194770       </t>
        </is>
      </c>
      <c r="F2765" s="5" t="inlineStr">
        <is>
          <t>AUTOS DE METAL 3 TEAMSTERZ EN BLISTER</t>
        </is>
      </c>
      <c r="G2765" t="n">
        <v>1</v>
      </c>
      <c r="H2765" s="7" t="n">
        <v>6.9</v>
      </c>
      <c r="I2765" s="7" t="n">
        <v>0</v>
      </c>
      <c r="J2765" s="7" t="n">
        <v>0</v>
      </c>
      <c r="K2765" s="9" t="n">
        <v>0</v>
      </c>
      <c r="L2765" s="10" t="n">
        <v>4.1</v>
      </c>
      <c r="M2765" s="10" t="n">
        <v>1.43</v>
      </c>
      <c r="N2765" t="inlineStr">
        <is>
          <t>1</t>
        </is>
      </c>
      <c r="O2765" t="inlineStr">
        <is>
          <t xml:space="preserve">2 </t>
        </is>
      </c>
      <c r="P2765" t="inlineStr">
        <is>
          <t xml:space="preserve">90737   </t>
        </is>
      </c>
      <c r="Q2765" s="26" t="n">
        <v>6.9</v>
      </c>
      <c r="R2765" s="26">
        <f>Q2765*G2765</f>
        <v/>
      </c>
      <c r="S2765" t="n">
        <v>4.09</v>
      </c>
      <c r="T2765" s="18">
        <f>1 - V2765/S2765</f>
        <v/>
      </c>
      <c r="U2765" s="18" t="n">
        <v>0</v>
      </c>
      <c r="V2765" s="26" t="n">
        <v>4.09</v>
      </c>
      <c r="W2765" s="26">
        <f>V2765 - L2765</f>
        <v/>
      </c>
    </row>
    <row r="2766">
      <c r="A2766" s="11" t="n">
        <v>46230</v>
      </c>
      <c r="B2766" s="1" t="n">
        <v>20058</v>
      </c>
      <c r="C2766" s="1" t="inlineStr">
        <is>
          <t>039</t>
        </is>
      </c>
      <c r="D2766" s="1" t="inlineStr">
        <is>
          <t>232048</t>
        </is>
      </c>
      <c r="E2766" s="1" t="inlineStr">
        <is>
          <t xml:space="preserve">29235702       </t>
        </is>
      </c>
      <c r="F2766" s="5" t="inlineStr">
        <is>
          <t>INFINITY NADO TROMPO DE BATALLA - METAL C/ ANILLO</t>
        </is>
      </c>
      <c r="G2766" t="n">
        <v>1</v>
      </c>
      <c r="H2766" s="7" t="n">
        <v>49.9</v>
      </c>
      <c r="I2766" s="7" t="n">
        <v>0</v>
      </c>
      <c r="J2766" s="7" t="n">
        <v>0</v>
      </c>
      <c r="K2766" s="9" t="n">
        <v>0</v>
      </c>
      <c r="L2766" s="10" t="n">
        <v>29.6</v>
      </c>
      <c r="M2766" s="10" t="n">
        <v>1.43</v>
      </c>
      <c r="N2766" t="inlineStr">
        <is>
          <t>1</t>
        </is>
      </c>
      <c r="O2766" t="inlineStr">
        <is>
          <t>16</t>
        </is>
      </c>
      <c r="P2766" t="inlineStr">
        <is>
          <t xml:space="preserve">92832   </t>
        </is>
      </c>
      <c r="Q2766" s="26" t="n">
        <v>69.90000000000001</v>
      </c>
      <c r="R2766" s="26">
        <f>Q2766*G2766</f>
        <v/>
      </c>
      <c r="S2766" t="n">
        <v>41.47</v>
      </c>
      <c r="T2766" s="18">
        <f>1 - V2766/S2766</f>
        <v/>
      </c>
      <c r="U2766" s="18" t="n">
        <v>0.2861230329041489</v>
      </c>
      <c r="V2766" s="26" t="n">
        <v>31.71610169491525</v>
      </c>
      <c r="W2766" s="26">
        <f>V2766 - L2766</f>
        <v/>
      </c>
    </row>
    <row r="2767">
      <c r="A2767" s="11" t="n">
        <v>46230</v>
      </c>
      <c r="B2767" s="1" t="n">
        <v>20058</v>
      </c>
      <c r="C2767" s="1" t="inlineStr">
        <is>
          <t>197</t>
        </is>
      </c>
      <c r="D2767" s="1" t="inlineStr">
        <is>
          <t>170955</t>
        </is>
      </c>
      <c r="E2767" s="1" t="inlineStr">
        <is>
          <t xml:space="preserve">28194769       </t>
        </is>
      </c>
      <c r="F2767" s="5" t="inlineStr">
        <is>
          <t>AUTOS DE METAL 3 TEAMSTERZ PACK DE 2</t>
        </is>
      </c>
      <c r="G2767" t="n">
        <v>1</v>
      </c>
      <c r="H2767" s="7" t="n">
        <v>13.8</v>
      </c>
      <c r="I2767" s="7" t="n">
        <v>0</v>
      </c>
      <c r="J2767" s="7" t="n">
        <v>0</v>
      </c>
      <c r="K2767" s="9" t="n">
        <v>0</v>
      </c>
      <c r="L2767" s="10" t="n">
        <v>8.18</v>
      </c>
      <c r="M2767" s="10" t="n">
        <v>1.43</v>
      </c>
      <c r="N2767" t="inlineStr">
        <is>
          <t>1</t>
        </is>
      </c>
      <c r="O2767" t="inlineStr">
        <is>
          <t>16</t>
        </is>
      </c>
      <c r="P2767" t="inlineStr">
        <is>
          <t xml:space="preserve">250714  </t>
        </is>
      </c>
      <c r="Q2767" s="26" t="n">
        <v>13.8</v>
      </c>
      <c r="R2767" s="26">
        <f>Q2767*G2767</f>
        <v/>
      </c>
      <c r="S2767" t="n">
        <v>8.19</v>
      </c>
      <c r="T2767" s="18">
        <f>1 - V2767/S2767</f>
        <v/>
      </c>
      <c r="U2767" s="18" t="n">
        <v>0</v>
      </c>
      <c r="V2767" s="26" t="n">
        <v>8.19</v>
      </c>
      <c r="W2767" s="26">
        <f>V2767 - L2767</f>
        <v/>
      </c>
    </row>
    <row r="2768">
      <c r="A2768" s="11" t="n">
        <v>46230</v>
      </c>
      <c r="B2768" s="1" t="n">
        <v>20058</v>
      </c>
      <c r="C2768" s="1" t="inlineStr">
        <is>
          <t>197</t>
        </is>
      </c>
      <c r="D2768" s="1" t="inlineStr">
        <is>
          <t>170955</t>
        </is>
      </c>
      <c r="E2768" s="1" t="inlineStr">
        <is>
          <t xml:space="preserve">28194769       </t>
        </is>
      </c>
      <c r="F2768" s="5" t="inlineStr">
        <is>
          <t>AUTOS DE METAL 3 TEAMSTERZ PACK DE 2</t>
        </is>
      </c>
      <c r="G2768" t="n">
        <v>1</v>
      </c>
      <c r="H2768" s="7" t="n">
        <v>13.8</v>
      </c>
      <c r="I2768" s="7" t="n">
        <v>0</v>
      </c>
      <c r="J2768" s="7" t="n">
        <v>0</v>
      </c>
      <c r="K2768" s="9" t="n">
        <v>0</v>
      </c>
      <c r="L2768" s="10" t="n">
        <v>8.18</v>
      </c>
      <c r="M2768" s="10" t="n">
        <v>1.43</v>
      </c>
      <c r="N2768" t="inlineStr">
        <is>
          <t>1</t>
        </is>
      </c>
      <c r="O2768" t="inlineStr">
        <is>
          <t>16</t>
        </is>
      </c>
      <c r="P2768" t="inlineStr">
        <is>
          <t xml:space="preserve">250714  </t>
        </is>
      </c>
      <c r="Q2768" s="26" t="n">
        <v>13.8</v>
      </c>
      <c r="R2768" s="26">
        <f>Q2768*G2768</f>
        <v/>
      </c>
      <c r="S2768" t="n">
        <v>8.19</v>
      </c>
      <c r="T2768" s="18">
        <f>1 - V2768/S2768</f>
        <v/>
      </c>
      <c r="U2768" s="18" t="n">
        <v>0</v>
      </c>
      <c r="V2768" s="26" t="n">
        <v>8.19</v>
      </c>
      <c r="W2768" s="26">
        <f>V2768 - L2768</f>
        <v/>
      </c>
    </row>
    <row r="2769">
      <c r="A2769" s="11" t="n">
        <v>46230</v>
      </c>
      <c r="B2769" s="1" t="n">
        <v>20058</v>
      </c>
      <c r="C2769" s="1" t="inlineStr">
        <is>
          <t>197</t>
        </is>
      </c>
      <c r="D2769" s="1" t="inlineStr">
        <is>
          <t>170955</t>
        </is>
      </c>
      <c r="E2769" s="1" t="inlineStr">
        <is>
          <t xml:space="preserve">28194770       </t>
        </is>
      </c>
      <c r="F2769" s="5" t="inlineStr">
        <is>
          <t>AUTOS DE METAL 3 TEAMSTERZ EN BLISTER</t>
        </is>
      </c>
      <c r="G2769" t="n">
        <v>1</v>
      </c>
      <c r="H2769" s="7" t="n">
        <v>6.9</v>
      </c>
      <c r="I2769" s="7" t="n">
        <v>0</v>
      </c>
      <c r="J2769" s="7" t="n">
        <v>0</v>
      </c>
      <c r="K2769" s="9" t="n">
        <v>0</v>
      </c>
      <c r="L2769" s="10" t="n">
        <v>4.1</v>
      </c>
      <c r="M2769" s="10" t="n">
        <v>1.43</v>
      </c>
      <c r="N2769" t="inlineStr">
        <is>
          <t>1</t>
        </is>
      </c>
      <c r="O2769" t="inlineStr">
        <is>
          <t>16</t>
        </is>
      </c>
      <c r="P2769" t="inlineStr">
        <is>
          <t xml:space="preserve">250714  </t>
        </is>
      </c>
      <c r="Q2769" s="26" t="n">
        <v>6.9</v>
      </c>
      <c r="R2769" s="26">
        <f>Q2769*G2769</f>
        <v/>
      </c>
      <c r="S2769" t="n">
        <v>4.09</v>
      </c>
      <c r="T2769" s="18">
        <f>1 - V2769/S2769</f>
        <v/>
      </c>
      <c r="U2769" s="18" t="n">
        <v>0</v>
      </c>
      <c r="V2769" s="26" t="n">
        <v>4.09</v>
      </c>
      <c r="W2769" s="26">
        <f>V2769 - L2769</f>
        <v/>
      </c>
    </row>
    <row r="2770">
      <c r="A2770" s="11" t="n">
        <v>46230</v>
      </c>
      <c r="B2770" s="1" t="n">
        <v>20058</v>
      </c>
      <c r="C2770" s="1" t="inlineStr">
        <is>
          <t>197</t>
        </is>
      </c>
      <c r="D2770" s="1" t="inlineStr">
        <is>
          <t>170955</t>
        </is>
      </c>
      <c r="E2770" s="1" t="inlineStr">
        <is>
          <t xml:space="preserve">28194770       </t>
        </is>
      </c>
      <c r="F2770" s="5" t="inlineStr">
        <is>
          <t>AUTOS DE METAL 3 TEAMSTERZ EN BLISTER</t>
        </is>
      </c>
      <c r="G2770" t="n">
        <v>1</v>
      </c>
      <c r="H2770" s="7" t="n">
        <v>6.9</v>
      </c>
      <c r="I2770" s="7" t="n">
        <v>0</v>
      </c>
      <c r="J2770" s="7" t="n">
        <v>0</v>
      </c>
      <c r="K2770" s="9" t="n">
        <v>0</v>
      </c>
      <c r="L2770" s="10" t="n">
        <v>4.1</v>
      </c>
      <c r="M2770" s="10" t="n">
        <v>1.43</v>
      </c>
      <c r="N2770" t="inlineStr">
        <is>
          <t>1</t>
        </is>
      </c>
      <c r="O2770" t="inlineStr">
        <is>
          <t>16</t>
        </is>
      </c>
      <c r="P2770" t="inlineStr">
        <is>
          <t xml:space="preserve">250714  </t>
        </is>
      </c>
      <c r="Q2770" s="26" t="n">
        <v>6.9</v>
      </c>
      <c r="R2770" s="26">
        <f>Q2770*G2770</f>
        <v/>
      </c>
      <c r="S2770" t="n">
        <v>4.09</v>
      </c>
      <c r="T2770" s="18">
        <f>1 - V2770/S2770</f>
        <v/>
      </c>
      <c r="U2770" s="18" t="n">
        <v>0</v>
      </c>
      <c r="V2770" s="26" t="n">
        <v>4.09</v>
      </c>
      <c r="W2770" s="26">
        <f>V2770 - L2770</f>
        <v/>
      </c>
    </row>
    <row r="2771">
      <c r="A2771" s="11" t="n">
        <v>46230</v>
      </c>
      <c r="B2771" s="1" t="n">
        <v>20058</v>
      </c>
      <c r="C2771" s="1" t="inlineStr">
        <is>
          <t>197</t>
        </is>
      </c>
      <c r="D2771" s="1" t="inlineStr">
        <is>
          <t>170955</t>
        </is>
      </c>
      <c r="E2771" s="1" t="inlineStr">
        <is>
          <t xml:space="preserve">28194770       </t>
        </is>
      </c>
      <c r="F2771" s="5" t="inlineStr">
        <is>
          <t>AUTOS DE METAL 3 TEAMSTERZ EN BLISTER</t>
        </is>
      </c>
      <c r="G2771" t="n">
        <v>1</v>
      </c>
      <c r="H2771" s="7" t="n">
        <v>6.9</v>
      </c>
      <c r="I2771" s="7" t="n">
        <v>0</v>
      </c>
      <c r="J2771" s="7" t="n">
        <v>0</v>
      </c>
      <c r="K2771" s="9" t="n">
        <v>0</v>
      </c>
      <c r="L2771" s="10" t="n">
        <v>4.1</v>
      </c>
      <c r="M2771" s="10" t="n">
        <v>1.43</v>
      </c>
      <c r="N2771" t="inlineStr">
        <is>
          <t>1</t>
        </is>
      </c>
      <c r="O2771" t="inlineStr">
        <is>
          <t>16</t>
        </is>
      </c>
      <c r="P2771" t="inlineStr">
        <is>
          <t xml:space="preserve">250714  </t>
        </is>
      </c>
      <c r="Q2771" s="26" t="n">
        <v>6.9</v>
      </c>
      <c r="R2771" s="26">
        <f>Q2771*G2771</f>
        <v/>
      </c>
      <c r="S2771" t="n">
        <v>4.09</v>
      </c>
      <c r="T2771" s="18">
        <f>1 - V2771/S2771</f>
        <v/>
      </c>
      <c r="U2771" s="18" t="n">
        <v>0</v>
      </c>
      <c r="V2771" s="26" t="n">
        <v>4.09</v>
      </c>
      <c r="W2771" s="26">
        <f>V2771 - L2771</f>
        <v/>
      </c>
    </row>
    <row r="2772">
      <c r="A2772" s="11" t="n">
        <v>46230</v>
      </c>
      <c r="B2772" s="1" t="n">
        <v>20058</v>
      </c>
      <c r="C2772" s="1" t="inlineStr">
        <is>
          <t>197</t>
        </is>
      </c>
      <c r="D2772" s="1" t="inlineStr">
        <is>
          <t>170955</t>
        </is>
      </c>
      <c r="E2772" s="1" t="inlineStr">
        <is>
          <t xml:space="preserve">28194770       </t>
        </is>
      </c>
      <c r="F2772" s="5" t="inlineStr">
        <is>
          <t>AUTOS DE METAL 3 TEAMSTERZ EN BLISTER</t>
        </is>
      </c>
      <c r="G2772" t="n">
        <v>1</v>
      </c>
      <c r="H2772" s="7" t="n">
        <v>6.9</v>
      </c>
      <c r="I2772" s="7" t="n">
        <v>0</v>
      </c>
      <c r="J2772" s="7" t="n">
        <v>0</v>
      </c>
      <c r="K2772" s="9" t="n">
        <v>0</v>
      </c>
      <c r="L2772" s="10" t="n">
        <v>4.1</v>
      </c>
      <c r="M2772" s="10" t="n">
        <v>1.43</v>
      </c>
      <c r="N2772" t="inlineStr">
        <is>
          <t>1</t>
        </is>
      </c>
      <c r="O2772" t="inlineStr">
        <is>
          <t>16</t>
        </is>
      </c>
      <c r="P2772" t="inlineStr">
        <is>
          <t xml:space="preserve">250714  </t>
        </is>
      </c>
      <c r="Q2772" s="26" t="n">
        <v>6.9</v>
      </c>
      <c r="R2772" s="26">
        <f>Q2772*G2772</f>
        <v/>
      </c>
      <c r="S2772" t="n">
        <v>4.09</v>
      </c>
      <c r="T2772" s="18">
        <f>1 - V2772/S2772</f>
        <v/>
      </c>
      <c r="U2772" s="18" t="n">
        <v>0</v>
      </c>
      <c r="V2772" s="26" t="n">
        <v>4.09</v>
      </c>
      <c r="W2772" s="26">
        <f>V2772 - L2772</f>
        <v/>
      </c>
    </row>
    <row r="2773">
      <c r="A2773" s="11" t="n">
        <v>46230</v>
      </c>
      <c r="B2773" s="1" t="n">
        <v>20058</v>
      </c>
      <c r="C2773" s="1" t="inlineStr">
        <is>
          <t>197</t>
        </is>
      </c>
      <c r="D2773" s="1" t="inlineStr">
        <is>
          <t>170955</t>
        </is>
      </c>
      <c r="E2773" s="1" t="inlineStr">
        <is>
          <t xml:space="preserve">28194770       </t>
        </is>
      </c>
      <c r="F2773" s="5" t="inlineStr">
        <is>
          <t>AUTOS DE METAL 3 TEAMSTERZ EN BLISTER</t>
        </is>
      </c>
      <c r="G2773" t="n">
        <v>1</v>
      </c>
      <c r="H2773" s="7" t="n">
        <v>6.9</v>
      </c>
      <c r="I2773" s="7" t="n">
        <v>0</v>
      </c>
      <c r="J2773" s="7" t="n">
        <v>0</v>
      </c>
      <c r="K2773" s="9" t="n">
        <v>0</v>
      </c>
      <c r="L2773" s="10" t="n">
        <v>4.1</v>
      </c>
      <c r="M2773" s="10" t="n">
        <v>1.43</v>
      </c>
      <c r="N2773" t="inlineStr">
        <is>
          <t>1</t>
        </is>
      </c>
      <c r="O2773" t="inlineStr">
        <is>
          <t>16</t>
        </is>
      </c>
      <c r="P2773" t="inlineStr">
        <is>
          <t xml:space="preserve">250714  </t>
        </is>
      </c>
      <c r="Q2773" s="26" t="n">
        <v>6.9</v>
      </c>
      <c r="R2773" s="26">
        <f>Q2773*G2773</f>
        <v/>
      </c>
      <c r="S2773" t="n">
        <v>4.09</v>
      </c>
      <c r="T2773" s="18">
        <f>1 - V2773/S2773</f>
        <v/>
      </c>
      <c r="U2773" s="18" t="n">
        <v>0</v>
      </c>
      <c r="V2773" s="26" t="n">
        <v>4.09</v>
      </c>
      <c r="W2773" s="26">
        <f>V2773 - L2773</f>
        <v/>
      </c>
    </row>
    <row r="2774">
      <c r="A2774" s="11" t="n">
        <v>46230</v>
      </c>
      <c r="B2774" s="1" t="n">
        <v>20058</v>
      </c>
      <c r="C2774" s="1" t="inlineStr">
        <is>
          <t>513</t>
        </is>
      </c>
      <c r="D2774" s="1" t="inlineStr">
        <is>
          <t xml:space="preserve">4748  </t>
        </is>
      </c>
      <c r="E2774" s="1" t="inlineStr">
        <is>
          <t xml:space="preserve">28194770       </t>
        </is>
      </c>
      <c r="F2774" s="5" t="inlineStr">
        <is>
          <t>AUTOS DE METAL 3 TEAMSTERZ EN BLISTER</t>
        </is>
      </c>
      <c r="G2774" t="n">
        <v>1</v>
      </c>
      <c r="H2774" s="7" t="n">
        <v>6.9</v>
      </c>
      <c r="I2774" s="7" t="n">
        <v>0.6899999999999999</v>
      </c>
      <c r="J2774" s="7" t="n">
        <v>0</v>
      </c>
      <c r="K2774" s="9" t="n">
        <v>0.6899999999999999</v>
      </c>
      <c r="L2774" s="10" t="n">
        <v>3.68</v>
      </c>
      <c r="M2774" s="10" t="n">
        <v>1.43</v>
      </c>
      <c r="N2774" t="inlineStr">
        <is>
          <t>1</t>
        </is>
      </c>
      <c r="O2774" t="inlineStr">
        <is>
          <t>16</t>
        </is>
      </c>
      <c r="P2774" t="inlineStr">
        <is>
          <t xml:space="preserve">248978  </t>
        </is>
      </c>
      <c r="Q2774" s="26" t="n">
        <v>6.9</v>
      </c>
      <c r="R2774" s="26">
        <f>Q2774*G2774</f>
        <v/>
      </c>
      <c r="S2774" t="n">
        <v>4.09</v>
      </c>
      <c r="T2774" s="18">
        <f>1 - V2774/S2774</f>
        <v/>
      </c>
      <c r="U2774" s="18" t="n">
        <v>0</v>
      </c>
      <c r="V2774" s="26" t="n">
        <v>4.09</v>
      </c>
      <c r="W2774" s="26">
        <f>V2774 - L2774</f>
        <v/>
      </c>
    </row>
    <row r="2775">
      <c r="A2775" s="11" t="n">
        <v>46230</v>
      </c>
      <c r="B2775" s="1" t="n">
        <v>20060</v>
      </c>
      <c r="C2775" s="1" t="inlineStr">
        <is>
          <t>300</t>
        </is>
      </c>
      <c r="D2775" s="1" t="inlineStr">
        <is>
          <t xml:space="preserve">3386  </t>
        </is>
      </c>
      <c r="E2775" s="1" t="inlineStr">
        <is>
          <t xml:space="preserve">31754676       </t>
        </is>
      </c>
      <c r="F2775" s="5" t="inlineStr">
        <is>
          <t>INFINITY NADO SERIE 6 STD PACK LANZ ESPAD ANILLO M</t>
        </is>
      </c>
      <c r="G2775" t="n">
        <v>1</v>
      </c>
      <c r="H2775" s="7" t="n">
        <v>79.90000000000001</v>
      </c>
      <c r="I2775" s="7" t="n">
        <v>0</v>
      </c>
      <c r="J2775" s="7" t="n">
        <v>0</v>
      </c>
      <c r="K2775" s="9" t="n">
        <v>0</v>
      </c>
      <c r="L2775" s="10" t="n">
        <v>47.4</v>
      </c>
      <c r="M2775" s="10" t="n">
        <v>1.43</v>
      </c>
      <c r="N2775" t="inlineStr">
        <is>
          <t>1</t>
        </is>
      </c>
      <c r="O2775" t="inlineStr">
        <is>
          <t>16</t>
        </is>
      </c>
      <c r="P2775" t="inlineStr">
        <is>
          <t>82807346</t>
        </is>
      </c>
      <c r="Q2775" s="26" t="n">
        <v>79.90000000000001</v>
      </c>
      <c r="R2775" s="26">
        <f>Q2775*G2775</f>
        <v/>
      </c>
      <c r="S2775" t="n">
        <v>47.4</v>
      </c>
      <c r="T2775" s="18">
        <f>1 - V2775/S2775</f>
        <v/>
      </c>
      <c r="U2775" s="18" t="n">
        <v>0.2503128911138924</v>
      </c>
      <c r="V2775" s="26" t="n">
        <v>38.07203389830509</v>
      </c>
      <c r="W2775" s="26">
        <f>V2775 - L2775</f>
        <v/>
      </c>
    </row>
    <row r="2776">
      <c r="A2776" s="11" t="n">
        <v>46230</v>
      </c>
      <c r="B2776" s="1" t="n">
        <v>20062</v>
      </c>
      <c r="C2776" s="1" t="inlineStr">
        <is>
          <t>017</t>
        </is>
      </c>
      <c r="D2776" s="1" t="inlineStr">
        <is>
          <t>236483</t>
        </is>
      </c>
      <c r="E2776" s="1" t="inlineStr">
        <is>
          <t xml:space="preserve">28194780       </t>
        </is>
      </c>
      <c r="F2776" s="5" t="inlineStr">
        <is>
          <t>TROMPO BATALLA INFINITY NADO PLSTICO SURTIDO</t>
        </is>
      </c>
      <c r="G2776" t="n">
        <v>1</v>
      </c>
      <c r="H2776" s="7" t="n">
        <v>19.9</v>
      </c>
      <c r="I2776" s="7" t="n">
        <v>0</v>
      </c>
      <c r="J2776" s="7" t="n">
        <v>0</v>
      </c>
      <c r="K2776" s="9" t="n">
        <v>0</v>
      </c>
      <c r="L2776" s="10" t="n">
        <v>11.8</v>
      </c>
      <c r="M2776" s="10" t="n">
        <v>1.43</v>
      </c>
      <c r="N2776" t="inlineStr">
        <is>
          <t>1</t>
        </is>
      </c>
      <c r="O2776" t="inlineStr">
        <is>
          <t>16</t>
        </is>
      </c>
      <c r="P2776" t="inlineStr">
        <is>
          <t xml:space="preserve">88849   </t>
        </is>
      </c>
      <c r="Q2776" s="26" t="n">
        <v>19.9</v>
      </c>
      <c r="R2776" s="26">
        <f>Q2776*G2776</f>
        <v/>
      </c>
      <c r="S2776" t="n">
        <v>11.81</v>
      </c>
      <c r="T2776" s="18">
        <f>1 - V2776/S2776</f>
        <v/>
      </c>
      <c r="U2776" s="18" t="n">
        <v>0</v>
      </c>
      <c r="V2776" s="26" t="n">
        <v>11.81</v>
      </c>
      <c r="W2776" s="26">
        <f>V2776 - L2776</f>
        <v/>
      </c>
    </row>
    <row r="2777">
      <c r="A2777" s="11" t="n">
        <v>46230</v>
      </c>
      <c r="B2777" s="1" t="n">
        <v>20062</v>
      </c>
      <c r="C2777" s="1" t="inlineStr">
        <is>
          <t>017</t>
        </is>
      </c>
      <c r="D2777" s="1" t="inlineStr">
        <is>
          <t>236483</t>
        </is>
      </c>
      <c r="E2777" s="1" t="inlineStr">
        <is>
          <t xml:space="preserve">30232284       </t>
        </is>
      </c>
      <c r="F2777" s="5" t="inlineStr">
        <is>
          <t>INFINITY NADO TROMPO DE BATALLA - METAL C/PUNTA DE</t>
        </is>
      </c>
      <c r="G2777" t="n">
        <v>1</v>
      </c>
      <c r="H2777" s="7" t="n">
        <v>34.9</v>
      </c>
      <c r="I2777" s="7" t="n">
        <v>0</v>
      </c>
      <c r="J2777" s="7" t="n">
        <v>0</v>
      </c>
      <c r="K2777" s="9" t="n">
        <v>0</v>
      </c>
      <c r="L2777" s="10" t="n">
        <v>20.71</v>
      </c>
      <c r="M2777" s="10" t="n">
        <v>1.43</v>
      </c>
      <c r="N2777" t="inlineStr">
        <is>
          <t>1</t>
        </is>
      </c>
      <c r="O2777" t="inlineStr">
        <is>
          <t>16</t>
        </is>
      </c>
      <c r="P2777" t="inlineStr">
        <is>
          <t xml:space="preserve">88849   </t>
        </is>
      </c>
      <c r="Q2777" s="26" t="n">
        <v>49.9</v>
      </c>
      <c r="R2777" s="26">
        <f>Q2777*G2777</f>
        <v/>
      </c>
      <c r="S2777" t="n">
        <v>29.6</v>
      </c>
      <c r="T2777" s="18">
        <f>1 - V2777/S2777</f>
        <v/>
      </c>
      <c r="U2777" s="18" t="n">
        <v>0.3006012024048096</v>
      </c>
      <c r="V2777" s="26" t="n">
        <v>22.18220338983051</v>
      </c>
      <c r="W2777" s="26">
        <f>V2777 - L2777</f>
        <v/>
      </c>
    </row>
    <row r="2778">
      <c r="A2778" s="11" t="n">
        <v>46230</v>
      </c>
      <c r="B2778" s="1" t="n">
        <v>20062</v>
      </c>
      <c r="C2778" s="1" t="inlineStr">
        <is>
          <t>038</t>
        </is>
      </c>
      <c r="D2778" s="1" t="inlineStr">
        <is>
          <t>174477</t>
        </is>
      </c>
      <c r="E2778" s="1" t="inlineStr">
        <is>
          <t xml:space="preserve">30141767       </t>
        </is>
      </c>
      <c r="F2778" s="5" t="inlineStr">
        <is>
          <t>TMZ BEAST MACHINES AUTOS DE METAL PACK 5 AUTOS</t>
        </is>
      </c>
      <c r="G2778" t="n">
        <v>1</v>
      </c>
      <c r="H2778" s="7" t="n">
        <v>29.9</v>
      </c>
      <c r="I2778" s="7" t="n">
        <v>0</v>
      </c>
      <c r="J2778" s="7" t="n">
        <v>0</v>
      </c>
      <c r="K2778" s="9" t="n">
        <v>0</v>
      </c>
      <c r="L2778" s="10" t="n">
        <v>17.74</v>
      </c>
      <c r="M2778" s="10" t="n">
        <v>1.43</v>
      </c>
      <c r="N2778" t="inlineStr">
        <is>
          <t>1</t>
        </is>
      </c>
      <c r="O2778" t="inlineStr">
        <is>
          <t>16</t>
        </is>
      </c>
      <c r="P2778" t="inlineStr">
        <is>
          <t xml:space="preserve">251762  </t>
        </is>
      </c>
      <c r="Q2778" s="26" t="n">
        <v>39.5</v>
      </c>
      <c r="R2778" s="26">
        <f>Q2778*G2778</f>
        <v/>
      </c>
      <c r="S2778" t="n">
        <v>23.43</v>
      </c>
      <c r="T2778" s="18">
        <f>1 - V2778/S2778</f>
        <v/>
      </c>
      <c r="U2778" s="18" t="n">
        <v>0.2430379746835444</v>
      </c>
      <c r="V2778" s="26" t="n">
        <v>19.00423728813559</v>
      </c>
      <c r="W2778" s="26">
        <f>V2778 - L2778</f>
        <v/>
      </c>
    </row>
    <row r="2779">
      <c r="A2779" s="11" t="n">
        <v>46230</v>
      </c>
      <c r="B2779" s="1" t="n">
        <v>20062</v>
      </c>
      <c r="C2779" s="1" t="inlineStr">
        <is>
          <t>053</t>
        </is>
      </c>
      <c r="D2779" s="1" t="inlineStr">
        <is>
          <t>244199</t>
        </is>
      </c>
      <c r="E2779" s="1" t="inlineStr">
        <is>
          <t xml:space="preserve">28194770       </t>
        </is>
      </c>
      <c r="F2779" s="5" t="inlineStr">
        <is>
          <t>AUTOS DE METAL 3 TEAMSTERZ EN BLISTER</t>
        </is>
      </c>
      <c r="G2779" t="n">
        <v>1</v>
      </c>
      <c r="H2779" s="7" t="n">
        <v>6.9</v>
      </c>
      <c r="I2779" s="7" t="n">
        <v>0</v>
      </c>
      <c r="J2779" s="7" t="n">
        <v>0</v>
      </c>
      <c r="K2779" s="9" t="n">
        <v>0</v>
      </c>
      <c r="L2779" s="10" t="n">
        <v>4.1</v>
      </c>
      <c r="M2779" s="10" t="n">
        <v>1.43</v>
      </c>
      <c r="N2779" t="inlineStr">
        <is>
          <t>1</t>
        </is>
      </c>
      <c r="O2779" t="inlineStr">
        <is>
          <t>16</t>
        </is>
      </c>
      <c r="P2779" t="inlineStr">
        <is>
          <t xml:space="preserve">250430  </t>
        </is>
      </c>
      <c r="Q2779" s="26" t="n">
        <v>6.9</v>
      </c>
      <c r="R2779" s="26">
        <f>Q2779*G2779</f>
        <v/>
      </c>
      <c r="S2779" t="n">
        <v>4.09</v>
      </c>
      <c r="T2779" s="18">
        <f>1 - V2779/S2779</f>
        <v/>
      </c>
      <c r="U2779" s="18" t="n">
        <v>0</v>
      </c>
      <c r="V2779" s="26" t="n">
        <v>4.09</v>
      </c>
      <c r="W2779" s="26">
        <f>V2779 - L2779</f>
        <v/>
      </c>
    </row>
    <row r="2780">
      <c r="A2780" s="11" t="n">
        <v>46230</v>
      </c>
      <c r="B2780" s="1" t="n">
        <v>20062</v>
      </c>
      <c r="C2780" s="1" t="inlineStr">
        <is>
          <t>831</t>
        </is>
      </c>
      <c r="D2780" s="1" t="inlineStr">
        <is>
          <t xml:space="preserve">1833  </t>
        </is>
      </c>
      <c r="E2780" s="1" t="inlineStr">
        <is>
          <t xml:space="preserve">29235711       </t>
        </is>
      </c>
      <c r="F2780" s="5" t="inlineStr">
        <is>
          <t>TEAMSTERZ DISPARADORES TIBURON INCL. 1 AUTO</t>
        </is>
      </c>
      <c r="G2780" t="n">
        <v>1</v>
      </c>
      <c r="H2780" s="7" t="n">
        <v>29.9</v>
      </c>
      <c r="I2780" s="7" t="n">
        <v>0</v>
      </c>
      <c r="J2780" s="7" t="n">
        <v>0</v>
      </c>
      <c r="K2780" s="9" t="n">
        <v>0</v>
      </c>
      <c r="L2780" s="10" t="n">
        <v>17.74</v>
      </c>
      <c r="M2780" s="10" t="n">
        <v>1.43</v>
      </c>
      <c r="N2780" t="inlineStr">
        <is>
          <t>1</t>
        </is>
      </c>
      <c r="O2780" t="inlineStr">
        <is>
          <t>16</t>
        </is>
      </c>
      <c r="P2780" t="inlineStr">
        <is>
          <t xml:space="preserve">250430  </t>
        </is>
      </c>
      <c r="Q2780" s="26" t="n">
        <v>29.9</v>
      </c>
      <c r="R2780" s="26">
        <f>Q2780*G2780</f>
        <v/>
      </c>
      <c r="S2780" t="n">
        <v>17.74</v>
      </c>
      <c r="T2780" s="18">
        <f>1 - V2780/S2780</f>
        <v/>
      </c>
      <c r="U2780" s="18" t="n">
        <v>0</v>
      </c>
      <c r="V2780" s="26" t="n">
        <v>17.74</v>
      </c>
      <c r="W2780" s="26">
        <f>V2780 - L2780</f>
        <v/>
      </c>
    </row>
    <row r="2781">
      <c r="A2781" s="11" t="n">
        <v>46230</v>
      </c>
      <c r="B2781" s="1" t="n">
        <v>20066</v>
      </c>
      <c r="C2781" s="1" t="inlineStr">
        <is>
          <t>052</t>
        </is>
      </c>
      <c r="D2781" s="1" t="inlineStr">
        <is>
          <t>321080</t>
        </is>
      </c>
      <c r="E2781" s="1" t="inlineStr">
        <is>
          <t xml:space="preserve">28194770       </t>
        </is>
      </c>
      <c r="F2781" s="5" t="inlineStr">
        <is>
          <t>AUTOS DE METAL 3 TEAMSTERZ EN BLISTER</t>
        </is>
      </c>
      <c r="G2781" t="n">
        <v>1</v>
      </c>
      <c r="H2781" s="7" t="n">
        <v>6.9</v>
      </c>
      <c r="I2781" s="7" t="n">
        <v>0</v>
      </c>
      <c r="J2781" s="7" t="n">
        <v>0</v>
      </c>
      <c r="K2781" s="9" t="n">
        <v>0</v>
      </c>
      <c r="L2781" s="10" t="n">
        <v>4.1</v>
      </c>
      <c r="M2781" s="10" t="n">
        <v>1.43</v>
      </c>
      <c r="N2781" t="inlineStr">
        <is>
          <t>1</t>
        </is>
      </c>
      <c r="O2781" t="inlineStr">
        <is>
          <t xml:space="preserve">2 </t>
        </is>
      </c>
      <c r="P2781" t="inlineStr">
        <is>
          <t xml:space="preserve">231271  </t>
        </is>
      </c>
      <c r="Q2781" s="26" t="n">
        <v>6.9</v>
      </c>
      <c r="R2781" s="26">
        <f>Q2781*G2781</f>
        <v/>
      </c>
      <c r="S2781" t="n">
        <v>4.09</v>
      </c>
      <c r="T2781" s="18">
        <f>1 - V2781/S2781</f>
        <v/>
      </c>
      <c r="U2781" s="18" t="n">
        <v>0</v>
      </c>
      <c r="V2781" s="26" t="n">
        <v>4.09</v>
      </c>
      <c r="W2781" s="26">
        <f>V2781 - L2781</f>
        <v/>
      </c>
    </row>
    <row r="2782">
      <c r="A2782" s="11" t="n">
        <v>46230</v>
      </c>
      <c r="B2782" s="1" t="n">
        <v>20066</v>
      </c>
      <c r="C2782" s="1" t="inlineStr">
        <is>
          <t>061</t>
        </is>
      </c>
      <c r="D2782" s="1" t="inlineStr">
        <is>
          <t xml:space="preserve">36458 </t>
        </is>
      </c>
      <c r="E2782" s="1" t="inlineStr">
        <is>
          <t xml:space="preserve">28194770       </t>
        </is>
      </c>
      <c r="F2782" s="5" t="inlineStr">
        <is>
          <t>AUTOS DE METAL 3 TEAMSTERZ EN BLISTER</t>
        </is>
      </c>
      <c r="G2782" t="n">
        <v>1</v>
      </c>
      <c r="H2782" s="7" t="n">
        <v>6.9</v>
      </c>
      <c r="I2782" s="7" t="n">
        <v>0</v>
      </c>
      <c r="J2782" s="7" t="n">
        <v>0</v>
      </c>
      <c r="K2782" s="9" t="n">
        <v>0</v>
      </c>
      <c r="L2782" s="10" t="n">
        <v>4.1</v>
      </c>
      <c r="M2782" s="10" t="n">
        <v>1.43</v>
      </c>
      <c r="N2782" t="inlineStr">
        <is>
          <t>1</t>
        </is>
      </c>
      <c r="O2782" t="inlineStr">
        <is>
          <t xml:space="preserve">2 </t>
        </is>
      </c>
      <c r="P2782" t="inlineStr">
        <is>
          <t xml:space="preserve">49848   </t>
        </is>
      </c>
      <c r="Q2782" s="26" t="n">
        <v>6.9</v>
      </c>
      <c r="R2782" s="26">
        <f>Q2782*G2782</f>
        <v/>
      </c>
      <c r="S2782" t="n">
        <v>4.09</v>
      </c>
      <c r="T2782" s="18">
        <f>1 - V2782/S2782</f>
        <v/>
      </c>
      <c r="U2782" s="18" t="n">
        <v>0</v>
      </c>
      <c r="V2782" s="26" t="n">
        <v>4.09</v>
      </c>
      <c r="W2782" s="26">
        <f>V2782 - L2782</f>
        <v/>
      </c>
    </row>
    <row r="2783">
      <c r="A2783" s="11" t="n">
        <v>46230</v>
      </c>
      <c r="B2783" s="1" t="n">
        <v>20066</v>
      </c>
      <c r="C2783" s="1" t="inlineStr">
        <is>
          <t>831</t>
        </is>
      </c>
      <c r="D2783" s="1" t="inlineStr">
        <is>
          <t xml:space="preserve">7374  </t>
        </is>
      </c>
      <c r="E2783" s="1" t="inlineStr">
        <is>
          <t xml:space="preserve">28194770       </t>
        </is>
      </c>
      <c r="F2783" s="5" t="inlineStr">
        <is>
          <t>AUTOS DE METAL 3 TEAMSTERZ EN BLISTER</t>
        </is>
      </c>
      <c r="G2783" t="n">
        <v>1</v>
      </c>
      <c r="H2783" s="7" t="n">
        <v>6.9</v>
      </c>
      <c r="I2783" s="7" t="n">
        <v>0</v>
      </c>
      <c r="J2783" s="7" t="n">
        <v>0</v>
      </c>
      <c r="K2783" s="9" t="n">
        <v>0</v>
      </c>
      <c r="L2783" s="10" t="n">
        <v>4.1</v>
      </c>
      <c r="M2783" s="10" t="n">
        <v>1.43</v>
      </c>
      <c r="N2783" t="inlineStr">
        <is>
          <t>1</t>
        </is>
      </c>
      <c r="O2783" t="inlineStr">
        <is>
          <t>16</t>
        </is>
      </c>
      <c r="P2783" t="inlineStr">
        <is>
          <t xml:space="preserve">91152   </t>
        </is>
      </c>
      <c r="Q2783" s="26" t="n">
        <v>6.9</v>
      </c>
      <c r="R2783" s="26">
        <f>Q2783*G2783</f>
        <v/>
      </c>
      <c r="S2783" t="n">
        <v>4.09</v>
      </c>
      <c r="T2783" s="18">
        <f>1 - V2783/S2783</f>
        <v/>
      </c>
      <c r="U2783" s="18" t="n">
        <v>0</v>
      </c>
      <c r="V2783" s="26" t="n">
        <v>4.09</v>
      </c>
      <c r="W2783" s="26">
        <f>V2783 - L2783</f>
        <v/>
      </c>
    </row>
    <row r="2784">
      <c r="A2784" s="11" t="n">
        <v>46230</v>
      </c>
      <c r="B2784" s="1" t="n">
        <v>20069</v>
      </c>
      <c r="C2784" s="1" t="inlineStr">
        <is>
          <t>026</t>
        </is>
      </c>
      <c r="D2784" s="1" t="inlineStr">
        <is>
          <t>360419</t>
        </is>
      </c>
      <c r="E2784" s="1" t="inlineStr">
        <is>
          <t xml:space="preserve">28194770       </t>
        </is>
      </c>
      <c r="F2784" s="5" t="inlineStr">
        <is>
          <t>AUTOS DE METAL 3 TEAMSTERZ EN BLISTER</t>
        </is>
      </c>
      <c r="G2784" t="n">
        <v>1</v>
      </c>
      <c r="H2784" s="7" t="n">
        <v>6.9</v>
      </c>
      <c r="I2784" s="7" t="n">
        <v>0</v>
      </c>
      <c r="J2784" s="7" t="n">
        <v>0</v>
      </c>
      <c r="K2784" s="9" t="n">
        <v>0</v>
      </c>
      <c r="L2784" s="10" t="n">
        <v>4.1</v>
      </c>
      <c r="M2784" s="10" t="n">
        <v>1.43</v>
      </c>
      <c r="N2784" t="inlineStr">
        <is>
          <t>1</t>
        </is>
      </c>
      <c r="O2784" t="inlineStr">
        <is>
          <t xml:space="preserve">2 </t>
        </is>
      </c>
      <c r="P2784" t="inlineStr">
        <is>
          <t xml:space="preserve">249236  </t>
        </is>
      </c>
      <c r="Q2784" s="26" t="n">
        <v>6.9</v>
      </c>
      <c r="R2784" s="26">
        <f>Q2784*G2784</f>
        <v/>
      </c>
      <c r="S2784" t="n">
        <v>4.09</v>
      </c>
      <c r="T2784" s="18">
        <f>1 - V2784/S2784</f>
        <v/>
      </c>
      <c r="U2784" s="18" t="n">
        <v>0</v>
      </c>
      <c r="V2784" s="26" t="n">
        <v>4.09</v>
      </c>
      <c r="W2784" s="26">
        <f>V2784 - L2784</f>
        <v/>
      </c>
    </row>
    <row r="2785">
      <c r="A2785" s="11" t="n">
        <v>46230</v>
      </c>
      <c r="B2785" s="1" t="n">
        <v>20072</v>
      </c>
      <c r="C2785" s="1" t="inlineStr">
        <is>
          <t>032</t>
        </is>
      </c>
      <c r="D2785" s="1" t="inlineStr">
        <is>
          <t>309316</t>
        </is>
      </c>
      <c r="E2785" s="1" t="inlineStr">
        <is>
          <t xml:space="preserve">28194780       </t>
        </is>
      </c>
      <c r="F2785" s="5" t="inlineStr">
        <is>
          <t>TROMPO BATALLA INFINITY NADO PLSTICO SURTIDO</t>
        </is>
      </c>
      <c r="G2785" t="n">
        <v>1</v>
      </c>
      <c r="H2785" s="7" t="n">
        <v>19.9</v>
      </c>
      <c r="I2785" s="7" t="n">
        <v>0</v>
      </c>
      <c r="J2785" s="7" t="n">
        <v>0</v>
      </c>
      <c r="K2785" s="9" t="n">
        <v>0</v>
      </c>
      <c r="L2785" s="10" t="n">
        <v>11.8</v>
      </c>
      <c r="M2785" s="10" t="n">
        <v>1.43</v>
      </c>
      <c r="N2785" t="inlineStr">
        <is>
          <t>1</t>
        </is>
      </c>
      <c r="O2785" t="inlineStr">
        <is>
          <t xml:space="preserve">2 </t>
        </is>
      </c>
      <c r="P2785" t="inlineStr">
        <is>
          <t xml:space="preserve">92485   </t>
        </is>
      </c>
      <c r="Q2785" s="26" t="n">
        <v>19.9</v>
      </c>
      <c r="R2785" s="26">
        <f>Q2785*G2785</f>
        <v/>
      </c>
      <c r="S2785" t="n">
        <v>11.81</v>
      </c>
      <c r="T2785" s="18">
        <f>1 - V2785/S2785</f>
        <v/>
      </c>
      <c r="U2785" s="18" t="n">
        <v>0</v>
      </c>
      <c r="V2785" s="26" t="n">
        <v>11.81</v>
      </c>
      <c r="W2785" s="26">
        <f>V2785 - L2785</f>
        <v/>
      </c>
    </row>
    <row r="2786">
      <c r="A2786" s="11" t="n">
        <v>46230</v>
      </c>
      <c r="B2786" s="1" t="n">
        <v>20072</v>
      </c>
      <c r="C2786" s="1" t="inlineStr">
        <is>
          <t>033</t>
        </is>
      </c>
      <c r="D2786" s="1" t="inlineStr">
        <is>
          <t>285751</t>
        </is>
      </c>
      <c r="E2786" s="1" t="inlineStr">
        <is>
          <t xml:space="preserve">33483123       </t>
        </is>
      </c>
      <c r="F2786" s="5" t="inlineStr">
        <is>
          <t>NENUCO DISFRACES</t>
        </is>
      </c>
      <c r="G2786" t="n">
        <v>1</v>
      </c>
      <c r="H2786" s="7" t="n">
        <v>69.90000000000001</v>
      </c>
      <c r="I2786" s="7" t="n">
        <v>0</v>
      </c>
      <c r="J2786" s="7" t="n">
        <v>0</v>
      </c>
      <c r="K2786" s="9" t="n">
        <v>0</v>
      </c>
      <c r="L2786" s="10" t="n">
        <v>41.47</v>
      </c>
      <c r="M2786" s="10" t="n">
        <v>1.43</v>
      </c>
      <c r="N2786" t="inlineStr">
        <is>
          <t>1</t>
        </is>
      </c>
      <c r="O2786" t="inlineStr">
        <is>
          <t>16</t>
        </is>
      </c>
      <c r="P2786" t="inlineStr">
        <is>
          <t xml:space="preserve">59850   </t>
        </is>
      </c>
      <c r="Q2786" s="26" t="n">
        <v>89.90000000000001</v>
      </c>
      <c r="R2786" s="26">
        <f>Q2786*G2786</f>
        <v/>
      </c>
      <c r="S2786" t="n">
        <v>53.33</v>
      </c>
      <c r="T2786" s="18">
        <f>1 - V2786/S2786</f>
        <v/>
      </c>
      <c r="U2786" s="18" t="n">
        <v>0.2224694104560623</v>
      </c>
      <c r="V2786" s="26" t="n">
        <v>44.42796610169492</v>
      </c>
      <c r="W2786" s="26">
        <f>V2786 - L2786</f>
        <v/>
      </c>
    </row>
    <row r="2787">
      <c r="A2787" s="11" t="n">
        <v>46230</v>
      </c>
      <c r="B2787" s="1" t="n">
        <v>20072</v>
      </c>
      <c r="C2787" s="1" t="inlineStr">
        <is>
          <t>033</t>
        </is>
      </c>
      <c r="D2787" s="1" t="inlineStr">
        <is>
          <t>285809</t>
        </is>
      </c>
      <c r="E2787" s="1" t="inlineStr">
        <is>
          <t xml:space="preserve">29235708       </t>
        </is>
      </c>
      <c r="F2787" s="5" t="inlineStr">
        <is>
          <t>TEAMSTERZ RESCATE POR AIRE Y MAR</t>
        </is>
      </c>
      <c r="G2787" t="n">
        <v>1</v>
      </c>
      <c r="H2787" s="7" t="n">
        <v>39.9</v>
      </c>
      <c r="I2787" s="7" t="n">
        <v>0</v>
      </c>
      <c r="J2787" s="7" t="n">
        <v>0</v>
      </c>
      <c r="K2787" s="9" t="n">
        <v>0</v>
      </c>
      <c r="L2787" s="10" t="n">
        <v>23.67</v>
      </c>
      <c r="M2787" s="10" t="n">
        <v>1.43</v>
      </c>
      <c r="N2787" t="inlineStr">
        <is>
          <t>1</t>
        </is>
      </c>
      <c r="O2787" t="inlineStr">
        <is>
          <t>16</t>
        </is>
      </c>
      <c r="P2787" t="inlineStr">
        <is>
          <t xml:space="preserve">59850   </t>
        </is>
      </c>
      <c r="Q2787" s="26" t="n">
        <v>39.9</v>
      </c>
      <c r="R2787" s="26">
        <f>Q2787*G2787</f>
        <v/>
      </c>
      <c r="S2787" t="n">
        <v>23.67</v>
      </c>
      <c r="T2787" s="18">
        <f>1 - V2787/S2787</f>
        <v/>
      </c>
      <c r="U2787" s="18" t="n">
        <v>0</v>
      </c>
      <c r="V2787" s="26" t="n">
        <v>23.67</v>
      </c>
      <c r="W2787" s="26">
        <f>V2787 - L2787</f>
        <v/>
      </c>
    </row>
    <row r="2788">
      <c r="A2788" s="11" t="n">
        <v>46230</v>
      </c>
      <c r="B2788" s="1" t="n">
        <v>20073</v>
      </c>
      <c r="C2788" s="1" t="inlineStr">
        <is>
          <t>023</t>
        </is>
      </c>
      <c r="D2788" s="1" t="inlineStr">
        <is>
          <t xml:space="preserve">96929 </t>
        </is>
      </c>
      <c r="E2788" s="1" t="inlineStr">
        <is>
          <t xml:space="preserve">28194770       </t>
        </is>
      </c>
      <c r="F2788" s="5" t="inlineStr">
        <is>
          <t>AUTOS DE METAL 3 TEAMSTERZ EN BLISTER</t>
        </is>
      </c>
      <c r="G2788" t="n">
        <v>1</v>
      </c>
      <c r="H2788" s="7" t="n">
        <v>6.9</v>
      </c>
      <c r="I2788" s="7" t="n">
        <v>0</v>
      </c>
      <c r="J2788" s="7" t="n">
        <v>0</v>
      </c>
      <c r="K2788" s="9" t="n">
        <v>0</v>
      </c>
      <c r="L2788" s="10" t="n">
        <v>4.1</v>
      </c>
      <c r="M2788" s="10" t="n">
        <v>1.43</v>
      </c>
      <c r="N2788" t="inlineStr">
        <is>
          <t>1</t>
        </is>
      </c>
      <c r="O2788" t="inlineStr">
        <is>
          <t xml:space="preserve">2 </t>
        </is>
      </c>
      <c r="P2788" t="inlineStr">
        <is>
          <t xml:space="preserve">64168   </t>
        </is>
      </c>
      <c r="Q2788" s="26" t="n">
        <v>6.9</v>
      </c>
      <c r="R2788" s="26">
        <f>Q2788*G2788</f>
        <v/>
      </c>
      <c r="S2788" t="n">
        <v>4.09</v>
      </c>
      <c r="T2788" s="18">
        <f>1 - V2788/S2788</f>
        <v/>
      </c>
      <c r="U2788" s="18" t="n">
        <v>0</v>
      </c>
      <c r="V2788" s="26" t="n">
        <v>4.09</v>
      </c>
      <c r="W2788" s="26">
        <f>V2788 - L2788</f>
        <v/>
      </c>
    </row>
    <row r="2789">
      <c r="A2789" s="11" t="n">
        <v>46230</v>
      </c>
      <c r="B2789" s="1" t="n">
        <v>20073</v>
      </c>
      <c r="C2789" s="1" t="inlineStr">
        <is>
          <t>801</t>
        </is>
      </c>
      <c r="D2789" s="1" t="inlineStr">
        <is>
          <t xml:space="preserve">6440  </t>
        </is>
      </c>
      <c r="E2789" s="1" t="inlineStr">
        <is>
          <t xml:space="preserve">28194768       </t>
        </is>
      </c>
      <c r="F2789" s="5" t="inlineStr">
        <is>
          <t>AUTO COLOR CHANGE TEAMSTERZ SURTIDO</t>
        </is>
      </c>
      <c r="G2789" t="n">
        <v>1</v>
      </c>
      <c r="H2789" s="7" t="n">
        <v>14.9</v>
      </c>
      <c r="I2789" s="7" t="n">
        <v>0</v>
      </c>
      <c r="J2789" s="7" t="n">
        <v>0</v>
      </c>
      <c r="K2789" s="9" t="n">
        <v>0</v>
      </c>
      <c r="L2789" s="10" t="n">
        <v>8.84</v>
      </c>
      <c r="M2789" s="10" t="n">
        <v>1.43</v>
      </c>
      <c r="N2789" t="inlineStr">
        <is>
          <t>1</t>
        </is>
      </c>
      <c r="O2789" t="inlineStr">
        <is>
          <t>16</t>
        </is>
      </c>
      <c r="P2789" t="inlineStr">
        <is>
          <t xml:space="preserve">0       </t>
        </is>
      </c>
      <c r="Q2789" s="26" t="n">
        <v>14.9</v>
      </c>
      <c r="R2789" s="26">
        <f>Q2789*G2789</f>
        <v/>
      </c>
      <c r="S2789" t="n">
        <v>8.84</v>
      </c>
      <c r="T2789" s="18">
        <f>1 - V2789/S2789</f>
        <v/>
      </c>
      <c r="U2789" s="18" t="n">
        <v>0</v>
      </c>
      <c r="V2789" s="26" t="n">
        <v>8.84</v>
      </c>
      <c r="W2789" s="26">
        <f>V2789 - L2789</f>
        <v/>
      </c>
    </row>
    <row r="2790">
      <c r="A2790" s="11" t="n">
        <v>46230</v>
      </c>
      <c r="B2790" s="1" t="n">
        <v>20074</v>
      </c>
      <c r="C2790" s="1" t="inlineStr">
        <is>
          <t>048</t>
        </is>
      </c>
      <c r="D2790" s="1" t="inlineStr">
        <is>
          <t xml:space="preserve">6311  </t>
        </is>
      </c>
      <c r="E2790" s="1" t="inlineStr">
        <is>
          <t xml:space="preserve">28194770       </t>
        </is>
      </c>
      <c r="F2790" s="5" t="inlineStr">
        <is>
          <t>AUTOS DE METAL 3 TEAMSTERZ EN BLISTER</t>
        </is>
      </c>
      <c r="G2790" t="n">
        <v>1</v>
      </c>
      <c r="H2790" s="7" t="n">
        <v>6.9</v>
      </c>
      <c r="I2790" s="7" t="n">
        <v>0</v>
      </c>
      <c r="J2790" s="7" t="n">
        <v>0</v>
      </c>
      <c r="K2790" s="9" t="n">
        <v>0</v>
      </c>
      <c r="L2790" s="10" t="n">
        <v>4.1</v>
      </c>
      <c r="M2790" s="10" t="n">
        <v>1.43</v>
      </c>
      <c r="N2790" t="inlineStr">
        <is>
          <t>1</t>
        </is>
      </c>
      <c r="O2790" t="inlineStr">
        <is>
          <t xml:space="preserve">2 </t>
        </is>
      </c>
      <c r="P2790" t="inlineStr">
        <is>
          <t xml:space="preserve">248567  </t>
        </is>
      </c>
      <c r="Q2790" s="26" t="n">
        <v>6.9</v>
      </c>
      <c r="R2790" s="26">
        <f>Q2790*G2790</f>
        <v/>
      </c>
      <c r="S2790" t="n">
        <v>4.09</v>
      </c>
      <c r="T2790" s="18">
        <f>1 - V2790/S2790</f>
        <v/>
      </c>
      <c r="U2790" s="18" t="n">
        <v>0</v>
      </c>
      <c r="V2790" s="26" t="n">
        <v>4.09</v>
      </c>
      <c r="W2790" s="26">
        <f>V2790 - L2790</f>
        <v/>
      </c>
    </row>
    <row r="2791">
      <c r="A2791" s="11" t="n">
        <v>46230</v>
      </c>
      <c r="B2791" s="1" t="n">
        <v>20074</v>
      </c>
      <c r="C2791" s="1" t="inlineStr">
        <is>
          <t>048</t>
        </is>
      </c>
      <c r="D2791" s="1" t="inlineStr">
        <is>
          <t xml:space="preserve">6311  </t>
        </is>
      </c>
      <c r="E2791" s="1" t="inlineStr">
        <is>
          <t xml:space="preserve">28194770       </t>
        </is>
      </c>
      <c r="F2791" s="5" t="inlineStr">
        <is>
          <t>AUTOS DE METAL 3 TEAMSTERZ EN BLISTER</t>
        </is>
      </c>
      <c r="G2791" t="n">
        <v>1</v>
      </c>
      <c r="H2791" s="7" t="n">
        <v>6.9</v>
      </c>
      <c r="I2791" s="7" t="n">
        <v>0</v>
      </c>
      <c r="J2791" s="7" t="n">
        <v>0</v>
      </c>
      <c r="K2791" s="9" t="n">
        <v>0</v>
      </c>
      <c r="L2791" s="10" t="n">
        <v>4.1</v>
      </c>
      <c r="M2791" s="10" t="n">
        <v>1.43</v>
      </c>
      <c r="N2791" t="inlineStr">
        <is>
          <t>1</t>
        </is>
      </c>
      <c r="O2791" t="inlineStr">
        <is>
          <t xml:space="preserve">2 </t>
        </is>
      </c>
      <c r="P2791" t="inlineStr">
        <is>
          <t xml:space="preserve">248567  </t>
        </is>
      </c>
      <c r="Q2791" s="26" t="n">
        <v>6.9</v>
      </c>
      <c r="R2791" s="26">
        <f>Q2791*G2791</f>
        <v/>
      </c>
      <c r="S2791" t="n">
        <v>4.09</v>
      </c>
      <c r="T2791" s="18">
        <f>1 - V2791/S2791</f>
        <v/>
      </c>
      <c r="U2791" s="18" t="n">
        <v>0</v>
      </c>
      <c r="V2791" s="26" t="n">
        <v>4.09</v>
      </c>
      <c r="W2791" s="26">
        <f>V2791 - L2791</f>
        <v/>
      </c>
    </row>
    <row r="2792">
      <c r="A2792" s="11" t="n">
        <v>46230</v>
      </c>
      <c r="B2792" s="1" t="n">
        <v>20077</v>
      </c>
      <c r="C2792" s="1" t="inlineStr">
        <is>
          <t>029</t>
        </is>
      </c>
      <c r="D2792" s="1" t="inlineStr">
        <is>
          <t>157210</t>
        </is>
      </c>
      <c r="E2792" s="1" t="inlineStr">
        <is>
          <t xml:space="preserve">30141768       </t>
        </is>
      </c>
      <c r="F2792" s="5" t="inlineStr">
        <is>
          <t>TMZ BEAST MACHINES AUTOS DE METAL PACK 10 AUTOS</t>
        </is>
      </c>
      <c r="G2792" t="n">
        <v>1</v>
      </c>
      <c r="H2792" s="7" t="n">
        <v>69</v>
      </c>
      <c r="I2792" s="7" t="n">
        <v>0</v>
      </c>
      <c r="J2792" s="7" t="n">
        <v>0</v>
      </c>
      <c r="K2792" s="9" t="n">
        <v>0</v>
      </c>
      <c r="L2792" s="10" t="n">
        <v>40.93</v>
      </c>
      <c r="M2792" s="10" t="n">
        <v>1.43</v>
      </c>
      <c r="N2792" t="inlineStr">
        <is>
          <t>1</t>
        </is>
      </c>
      <c r="O2792" t="inlineStr">
        <is>
          <t>16</t>
        </is>
      </c>
      <c r="P2792" t="inlineStr">
        <is>
          <t xml:space="preserve">43639   </t>
        </is>
      </c>
      <c r="Q2792" s="26" t="n">
        <v>79</v>
      </c>
      <c r="R2792" s="26">
        <f>Q2792*G2792</f>
        <v/>
      </c>
      <c r="S2792" t="n">
        <v>46.86</v>
      </c>
      <c r="T2792" s="18">
        <f>1 - V2792/S2792</f>
        <v/>
      </c>
      <c r="U2792" s="18" t="n">
        <v>0.1265822784810127</v>
      </c>
      <c r="V2792" s="26" t="n">
        <v>43.85593220338983</v>
      </c>
      <c r="W2792" s="26">
        <f>V2792 - L2792</f>
        <v/>
      </c>
    </row>
    <row r="2793">
      <c r="A2793" s="11" t="n">
        <v>46230</v>
      </c>
      <c r="B2793" s="1" t="n">
        <v>20077</v>
      </c>
      <c r="C2793" s="1" t="inlineStr">
        <is>
          <t>030</t>
        </is>
      </c>
      <c r="D2793" s="1" t="inlineStr">
        <is>
          <t xml:space="preserve">41413 </t>
        </is>
      </c>
      <c r="E2793" s="1" t="inlineStr">
        <is>
          <t xml:space="preserve">33483121       </t>
        </is>
      </c>
      <c r="F2793" s="5" t="inlineStr">
        <is>
          <t>HOT WHEELS ESTUCHE PARA 15 AUTOS SURTIDO</t>
        </is>
      </c>
      <c r="G2793" t="n">
        <v>1</v>
      </c>
      <c r="H2793" s="7" t="n">
        <v>34.9</v>
      </c>
      <c r="I2793" s="7" t="n">
        <v>0</v>
      </c>
      <c r="J2793" s="7" t="n">
        <v>0</v>
      </c>
      <c r="K2793" s="9" t="n">
        <v>0</v>
      </c>
      <c r="L2793" s="10" t="n">
        <v>20.71</v>
      </c>
      <c r="M2793" s="10" t="n">
        <v>1.43</v>
      </c>
      <c r="N2793" t="inlineStr">
        <is>
          <t>1</t>
        </is>
      </c>
      <c r="O2793" t="inlineStr">
        <is>
          <t xml:space="preserve">2 </t>
        </is>
      </c>
      <c r="P2793" t="inlineStr">
        <is>
          <t xml:space="preserve">246990  </t>
        </is>
      </c>
      <c r="Q2793" s="26" t="n">
        <v>34.9</v>
      </c>
      <c r="R2793" s="26">
        <f>Q2793*G2793</f>
        <v/>
      </c>
      <c r="S2793" t="n">
        <v>20.7</v>
      </c>
      <c r="T2793" s="18">
        <f>1 - V2793/S2793</f>
        <v/>
      </c>
      <c r="U2793" s="18" t="n">
        <v>0</v>
      </c>
      <c r="V2793" s="26" t="n">
        <v>20.7</v>
      </c>
      <c r="W2793" s="26">
        <f>V2793 - L2793</f>
        <v/>
      </c>
    </row>
    <row r="2794">
      <c r="A2794" s="11" t="n">
        <v>46230</v>
      </c>
      <c r="B2794" s="1" t="n">
        <v>20078</v>
      </c>
      <c r="C2794" s="1" t="inlineStr">
        <is>
          <t>025</t>
        </is>
      </c>
      <c r="D2794" s="1" t="inlineStr">
        <is>
          <t>244242</t>
        </is>
      </c>
      <c r="E2794" s="1" t="inlineStr">
        <is>
          <t xml:space="preserve">28194767       </t>
        </is>
      </c>
      <c r="F2794" s="5" t="inlineStr">
        <is>
          <t>CAMIONES TEAMSTERZ DE EMERGENCIA</t>
        </is>
      </c>
      <c r="G2794" t="n">
        <v>1</v>
      </c>
      <c r="H2794" s="7" t="n">
        <v>17.9</v>
      </c>
      <c r="I2794" s="7" t="n">
        <v>0</v>
      </c>
      <c r="J2794" s="7" t="n">
        <v>0</v>
      </c>
      <c r="K2794" s="9" t="n">
        <v>0</v>
      </c>
      <c r="L2794" s="10" t="n">
        <v>10.62</v>
      </c>
      <c r="M2794" s="10" t="n">
        <v>1.43</v>
      </c>
      <c r="N2794" t="inlineStr">
        <is>
          <t>1</t>
        </is>
      </c>
      <c r="O2794" t="inlineStr">
        <is>
          <t>16</t>
        </is>
      </c>
      <c r="P2794" t="inlineStr">
        <is>
          <t xml:space="preserve">237331  </t>
        </is>
      </c>
      <c r="Q2794" s="26" t="n">
        <v>17.9</v>
      </c>
      <c r="R2794" s="26">
        <f>Q2794*G2794</f>
        <v/>
      </c>
      <c r="S2794" t="n">
        <v>10.62</v>
      </c>
      <c r="T2794" s="18">
        <f>1 - V2794/S2794</f>
        <v/>
      </c>
      <c r="U2794" s="18" t="n">
        <v>0</v>
      </c>
      <c r="V2794" s="26" t="n">
        <v>10.62</v>
      </c>
      <c r="W2794" s="26">
        <f>V2794 - L2794</f>
        <v/>
      </c>
    </row>
    <row r="2795">
      <c r="A2795" s="11" t="n">
        <v>46230</v>
      </c>
      <c r="B2795" s="1" t="n">
        <v>20080</v>
      </c>
      <c r="C2795" s="1" t="inlineStr">
        <is>
          <t>026</t>
        </is>
      </c>
      <c r="D2795" s="1" t="inlineStr">
        <is>
          <t>209726</t>
        </is>
      </c>
      <c r="E2795" s="1" t="inlineStr">
        <is>
          <t xml:space="preserve">31675354       </t>
        </is>
      </c>
      <c r="F2795" s="5" t="inlineStr">
        <is>
          <t>NENUCO LLORON CON ACCESORIOS</t>
        </is>
      </c>
      <c r="G2795" t="n">
        <v>1</v>
      </c>
      <c r="H2795" s="7" t="n">
        <v>69.90000000000001</v>
      </c>
      <c r="I2795" s="7" t="n">
        <v>0</v>
      </c>
      <c r="J2795" s="7" t="n">
        <v>0</v>
      </c>
      <c r="K2795" s="9" t="n">
        <v>0</v>
      </c>
      <c r="L2795" s="10" t="n">
        <v>41.47</v>
      </c>
      <c r="M2795" s="10" t="n">
        <v>1.43</v>
      </c>
      <c r="N2795" t="inlineStr">
        <is>
          <t>1</t>
        </is>
      </c>
      <c r="O2795" t="inlineStr">
        <is>
          <t>16</t>
        </is>
      </c>
      <c r="P2795" t="inlineStr">
        <is>
          <t xml:space="preserve">251454  </t>
        </is>
      </c>
      <c r="Q2795" s="26" t="n">
        <v>89.90000000000001</v>
      </c>
      <c r="R2795" s="26">
        <f>Q2795*G2795</f>
        <v/>
      </c>
      <c r="S2795" t="n">
        <v>53.33</v>
      </c>
      <c r="T2795" s="18">
        <f>1 - V2795/S2795</f>
        <v/>
      </c>
      <c r="U2795" s="18" t="n">
        <v>0.2224694104560623</v>
      </c>
      <c r="V2795" s="26" t="n">
        <v>44.42796610169492</v>
      </c>
      <c r="W2795" s="26">
        <f>V2795 - L2795</f>
        <v/>
      </c>
    </row>
    <row r="2796">
      <c r="A2796" s="11" t="n">
        <v>46230</v>
      </c>
      <c r="B2796" s="1" t="n">
        <v>20080</v>
      </c>
      <c r="C2796" s="1" t="inlineStr">
        <is>
          <t>029</t>
        </is>
      </c>
      <c r="D2796" s="1" t="inlineStr">
        <is>
          <t>226498</t>
        </is>
      </c>
      <c r="E2796" s="1" t="inlineStr">
        <is>
          <t xml:space="preserve">28194784       </t>
        </is>
      </c>
      <c r="F2796" s="5" t="inlineStr">
        <is>
          <t>SET DE ACROBACIAS INFINITY NADO CON TROMPO</t>
        </is>
      </c>
      <c r="G2796" t="n">
        <v>1</v>
      </c>
      <c r="H2796" s="7" t="n">
        <v>139</v>
      </c>
      <c r="I2796" s="7" t="n">
        <v>0</v>
      </c>
      <c r="J2796" s="7" t="n">
        <v>0</v>
      </c>
      <c r="K2796" s="9" t="n">
        <v>0</v>
      </c>
      <c r="L2796" s="10" t="n">
        <v>82.45999999999999</v>
      </c>
      <c r="M2796" s="10" t="n">
        <v>1.43</v>
      </c>
      <c r="N2796" t="inlineStr">
        <is>
          <t>1</t>
        </is>
      </c>
      <c r="O2796" t="inlineStr">
        <is>
          <t>16</t>
        </is>
      </c>
      <c r="P2796" t="inlineStr">
        <is>
          <t xml:space="preserve">66621   </t>
        </is>
      </c>
      <c r="Q2796" s="26" t="n">
        <v>179</v>
      </c>
      <c r="R2796" s="26">
        <f>Q2796*G2796</f>
        <v/>
      </c>
      <c r="S2796" t="n">
        <v>106.19</v>
      </c>
      <c r="T2796" s="18">
        <f>1 - V2796/S2796</f>
        <v/>
      </c>
      <c r="U2796" s="18" t="n">
        <v>0.223463687150838</v>
      </c>
      <c r="V2796" s="26" t="n">
        <v>88.34745762711864</v>
      </c>
      <c r="W2796" s="26">
        <f>V2796 - L2796</f>
        <v/>
      </c>
    </row>
    <row r="2797">
      <c r="A2797" s="11" t="n">
        <v>46230</v>
      </c>
      <c r="B2797" s="1" t="n">
        <v>20080</v>
      </c>
      <c r="C2797" s="1" t="inlineStr">
        <is>
          <t>029</t>
        </is>
      </c>
      <c r="D2797" s="1" t="inlineStr">
        <is>
          <t>226521</t>
        </is>
      </c>
      <c r="E2797" s="1" t="inlineStr">
        <is>
          <t xml:space="preserve">28194768       </t>
        </is>
      </c>
      <c r="F2797" s="5" t="inlineStr">
        <is>
          <t>AUTO COLOR CHANGE TEAMSTERZ SURTIDO</t>
        </is>
      </c>
      <c r="G2797" t="n">
        <v>1</v>
      </c>
      <c r="H2797" s="7" t="n">
        <v>14.9</v>
      </c>
      <c r="I2797" s="7" t="n">
        <v>0</v>
      </c>
      <c r="J2797" s="7" t="n">
        <v>0</v>
      </c>
      <c r="K2797" s="9" t="n">
        <v>0</v>
      </c>
      <c r="L2797" s="10" t="n">
        <v>8.84</v>
      </c>
      <c r="M2797" s="10" t="n">
        <v>1.43</v>
      </c>
      <c r="N2797" t="inlineStr">
        <is>
          <t>1</t>
        </is>
      </c>
      <c r="O2797" t="inlineStr">
        <is>
          <t>16</t>
        </is>
      </c>
      <c r="P2797" t="inlineStr">
        <is>
          <t xml:space="preserve">66621   </t>
        </is>
      </c>
      <c r="Q2797" s="26" t="n">
        <v>14.9</v>
      </c>
      <c r="R2797" s="26">
        <f>Q2797*G2797</f>
        <v/>
      </c>
      <c r="S2797" t="n">
        <v>8.84</v>
      </c>
      <c r="T2797" s="18">
        <f>1 - V2797/S2797</f>
        <v/>
      </c>
      <c r="U2797" s="18" t="n">
        <v>0</v>
      </c>
      <c r="V2797" s="26" t="n">
        <v>8.84</v>
      </c>
      <c r="W2797" s="26">
        <f>V2797 - L2797</f>
        <v/>
      </c>
    </row>
    <row r="2798">
      <c r="A2798" s="11" t="n">
        <v>46230</v>
      </c>
      <c r="B2798" s="1" t="n">
        <v>20086</v>
      </c>
      <c r="C2798" s="1" t="inlineStr">
        <is>
          <t>015</t>
        </is>
      </c>
      <c r="D2798" s="1" t="inlineStr">
        <is>
          <t xml:space="preserve">4925  </t>
        </is>
      </c>
      <c r="E2798" s="1" t="inlineStr">
        <is>
          <t xml:space="preserve">28194769       </t>
        </is>
      </c>
      <c r="F2798" s="5" t="inlineStr">
        <is>
          <t>AUTOS DE METAL 3 TEAMSTERZ PACK DE 2</t>
        </is>
      </c>
      <c r="G2798" t="n">
        <v>1</v>
      </c>
      <c r="H2798" s="7" t="n">
        <v>13.8</v>
      </c>
      <c r="I2798" s="7" t="n">
        <v>0</v>
      </c>
      <c r="J2798" s="7" t="n">
        <v>0</v>
      </c>
      <c r="K2798" s="9" t="n">
        <v>0</v>
      </c>
      <c r="L2798" s="10" t="n">
        <v>8.18</v>
      </c>
      <c r="M2798" s="10" t="n">
        <v>1.43</v>
      </c>
      <c r="N2798" t="inlineStr">
        <is>
          <t>1</t>
        </is>
      </c>
      <c r="O2798" t="inlineStr">
        <is>
          <t>16</t>
        </is>
      </c>
      <c r="P2798" t="inlineStr">
        <is>
          <t xml:space="preserve">250783  </t>
        </is>
      </c>
      <c r="Q2798" s="26" t="n">
        <v>13.8</v>
      </c>
      <c r="R2798" s="26">
        <f>Q2798*G2798</f>
        <v/>
      </c>
      <c r="S2798" t="n">
        <v>8.19</v>
      </c>
      <c r="T2798" s="18">
        <f>1 - V2798/S2798</f>
        <v/>
      </c>
      <c r="U2798" s="18" t="n">
        <v>0</v>
      </c>
      <c r="V2798" s="26" t="n">
        <v>8.19</v>
      </c>
      <c r="W2798" s="26">
        <f>V2798 - L2798</f>
        <v/>
      </c>
    </row>
    <row r="2799">
      <c r="A2799" s="11" t="n">
        <v>46230</v>
      </c>
      <c r="B2799" s="1" t="n">
        <v>20088</v>
      </c>
      <c r="C2799" s="1" t="inlineStr">
        <is>
          <t>021</t>
        </is>
      </c>
      <c r="D2799" s="1" t="inlineStr">
        <is>
          <t xml:space="preserve">50400 </t>
        </is>
      </c>
      <c r="E2799" s="1" t="inlineStr">
        <is>
          <t xml:space="preserve">31754676       </t>
        </is>
      </c>
      <c r="F2799" s="5" t="inlineStr">
        <is>
          <t>INFINITY NADO SERIE 6 STD PACK LANZ ESPAD ANILLO M</t>
        </is>
      </c>
      <c r="G2799" t="n">
        <v>1</v>
      </c>
      <c r="H2799" s="7" t="n">
        <v>59.9</v>
      </c>
      <c r="I2799" s="7" t="n">
        <v>0</v>
      </c>
      <c r="J2799" s="7" t="n">
        <v>0</v>
      </c>
      <c r="K2799" s="9" t="n">
        <v>0</v>
      </c>
      <c r="L2799" s="10" t="n">
        <v>35.53</v>
      </c>
      <c r="M2799" s="10" t="n">
        <v>1.43</v>
      </c>
      <c r="N2799" t="inlineStr">
        <is>
          <t>1</t>
        </is>
      </c>
      <c r="O2799" t="inlineStr">
        <is>
          <t>16</t>
        </is>
      </c>
      <c r="P2799" t="inlineStr">
        <is>
          <t xml:space="preserve">235264  </t>
        </is>
      </c>
      <c r="Q2799" s="26" t="n">
        <v>79.90000000000001</v>
      </c>
      <c r="R2799" s="26">
        <f>Q2799*G2799</f>
        <v/>
      </c>
      <c r="S2799" t="n">
        <v>47.4</v>
      </c>
      <c r="T2799" s="18">
        <f>1 - V2799/S2799</f>
        <v/>
      </c>
      <c r="U2799" s="18" t="n">
        <v>0.2503128911138924</v>
      </c>
      <c r="V2799" s="26" t="n">
        <v>38.07203389830509</v>
      </c>
      <c r="W2799" s="26">
        <f>V2799 - L2799</f>
        <v/>
      </c>
    </row>
    <row r="2800">
      <c r="A2800" s="11" t="n">
        <v>46230</v>
      </c>
      <c r="B2800" s="1" t="n">
        <v>20088</v>
      </c>
      <c r="C2800" s="1" t="inlineStr">
        <is>
          <t>021</t>
        </is>
      </c>
      <c r="D2800" s="1" t="inlineStr">
        <is>
          <t xml:space="preserve">50400 </t>
        </is>
      </c>
      <c r="E2800" s="1" t="inlineStr">
        <is>
          <t xml:space="preserve">31754676       </t>
        </is>
      </c>
      <c r="F2800" s="5" t="inlineStr">
        <is>
          <t>INFINITY NADO SERIE 6 STD PACK LANZ ESPAD ANILLO M</t>
        </is>
      </c>
      <c r="G2800" t="n">
        <v>1</v>
      </c>
      <c r="H2800" s="7" t="n">
        <v>59.9</v>
      </c>
      <c r="I2800" s="7" t="n">
        <v>0</v>
      </c>
      <c r="J2800" s="7" t="n">
        <v>0</v>
      </c>
      <c r="K2800" s="9" t="n">
        <v>0</v>
      </c>
      <c r="L2800" s="10" t="n">
        <v>35.53</v>
      </c>
      <c r="M2800" s="10" t="n">
        <v>1.43</v>
      </c>
      <c r="N2800" t="inlineStr">
        <is>
          <t>1</t>
        </is>
      </c>
      <c r="O2800" t="inlineStr">
        <is>
          <t>16</t>
        </is>
      </c>
      <c r="P2800" t="inlineStr">
        <is>
          <t xml:space="preserve">235264  </t>
        </is>
      </c>
      <c r="Q2800" s="26" t="n">
        <v>79.90000000000001</v>
      </c>
      <c r="R2800" s="26">
        <f>Q2800*G2800</f>
        <v/>
      </c>
      <c r="S2800" t="n">
        <v>47.4</v>
      </c>
      <c r="T2800" s="18">
        <f>1 - V2800/S2800</f>
        <v/>
      </c>
      <c r="U2800" s="18" t="n">
        <v>0.2503128911138924</v>
      </c>
      <c r="V2800" s="26" t="n">
        <v>38.07203389830509</v>
      </c>
      <c r="W2800" s="26">
        <f>V2800 - L2800</f>
        <v/>
      </c>
    </row>
    <row r="2801">
      <c r="A2801" s="11" t="n">
        <v>46230</v>
      </c>
      <c r="B2801" s="1" t="n">
        <v>20088</v>
      </c>
      <c r="C2801" s="1" t="inlineStr">
        <is>
          <t>021</t>
        </is>
      </c>
      <c r="D2801" s="1" t="inlineStr">
        <is>
          <t xml:space="preserve">50400 </t>
        </is>
      </c>
      <c r="E2801" s="1" t="inlineStr">
        <is>
          <t xml:space="preserve">31754676       </t>
        </is>
      </c>
      <c r="F2801" s="5" t="inlineStr">
        <is>
          <t>INFINITY NADO SERIE 6 STD PACK LANZ ESPAD ANILLO M</t>
        </is>
      </c>
      <c r="G2801" t="n">
        <v>1</v>
      </c>
      <c r="H2801" s="7" t="n">
        <v>59.9</v>
      </c>
      <c r="I2801" s="7" t="n">
        <v>0</v>
      </c>
      <c r="J2801" s="7" t="n">
        <v>0</v>
      </c>
      <c r="K2801" s="9" t="n">
        <v>0</v>
      </c>
      <c r="L2801" s="10" t="n">
        <v>35.53</v>
      </c>
      <c r="M2801" s="10" t="n">
        <v>1.43</v>
      </c>
      <c r="N2801" t="inlineStr">
        <is>
          <t>1</t>
        </is>
      </c>
      <c r="O2801" t="inlineStr">
        <is>
          <t>16</t>
        </is>
      </c>
      <c r="P2801" t="inlineStr">
        <is>
          <t xml:space="preserve">235264  </t>
        </is>
      </c>
      <c r="Q2801" s="26" t="n">
        <v>79.90000000000001</v>
      </c>
      <c r="R2801" s="26">
        <f>Q2801*G2801</f>
        <v/>
      </c>
      <c r="S2801" t="n">
        <v>47.4</v>
      </c>
      <c r="T2801" s="18">
        <f>1 - V2801/S2801</f>
        <v/>
      </c>
      <c r="U2801" s="18" t="n">
        <v>0.2503128911138924</v>
      </c>
      <c r="V2801" s="26" t="n">
        <v>38.07203389830509</v>
      </c>
      <c r="W2801" s="26">
        <f>V2801 - L2801</f>
        <v/>
      </c>
    </row>
    <row r="2802">
      <c r="A2802" s="11" t="n">
        <v>46230</v>
      </c>
      <c r="B2802" s="1" t="n">
        <v>20088</v>
      </c>
      <c r="C2802" s="1" t="inlineStr">
        <is>
          <t>023</t>
        </is>
      </c>
      <c r="D2802" s="1" t="inlineStr">
        <is>
          <t>128240</t>
        </is>
      </c>
      <c r="E2802" s="1" t="inlineStr">
        <is>
          <t xml:space="preserve">28194769       </t>
        </is>
      </c>
      <c r="F2802" s="5" t="inlineStr">
        <is>
          <t>AUTOS DE METAL 3 TEAMSTERZ PACK DE 2</t>
        </is>
      </c>
      <c r="G2802" t="n">
        <v>1</v>
      </c>
      <c r="H2802" s="7" t="n">
        <v>13.8</v>
      </c>
      <c r="I2802" s="7" t="n">
        <v>0</v>
      </c>
      <c r="J2802" s="7" t="n">
        <v>0</v>
      </c>
      <c r="K2802" s="9" t="n">
        <v>0</v>
      </c>
      <c r="L2802" s="10" t="n">
        <v>8.18</v>
      </c>
      <c r="M2802" s="10" t="n">
        <v>1.43</v>
      </c>
      <c r="N2802" t="inlineStr">
        <is>
          <t>1</t>
        </is>
      </c>
      <c r="O2802" t="inlineStr">
        <is>
          <t xml:space="preserve">2 </t>
        </is>
      </c>
      <c r="P2802" t="inlineStr">
        <is>
          <t xml:space="preserve">234665  </t>
        </is>
      </c>
      <c r="Q2802" s="26" t="n">
        <v>13.8</v>
      </c>
      <c r="R2802" s="26">
        <f>Q2802*G2802</f>
        <v/>
      </c>
      <c r="S2802" t="n">
        <v>8.19</v>
      </c>
      <c r="T2802" s="18">
        <f>1 - V2802/S2802</f>
        <v/>
      </c>
      <c r="U2802" s="18" t="n">
        <v>0</v>
      </c>
      <c r="V2802" s="26" t="n">
        <v>8.19</v>
      </c>
      <c r="W2802" s="26">
        <f>V2802 - L2802</f>
        <v/>
      </c>
    </row>
    <row r="2803">
      <c r="A2803" s="11" t="n">
        <v>46230</v>
      </c>
      <c r="B2803" s="1" t="n">
        <v>20088</v>
      </c>
      <c r="C2803" s="1" t="inlineStr">
        <is>
          <t>023</t>
        </is>
      </c>
      <c r="D2803" s="1" t="inlineStr">
        <is>
          <t>128241</t>
        </is>
      </c>
      <c r="E2803" s="1" t="inlineStr">
        <is>
          <t xml:space="preserve">28194768       </t>
        </is>
      </c>
      <c r="F2803" s="5" t="inlineStr">
        <is>
          <t>AUTO COLOR CHANGE TEAMSTERZ SURTIDO</t>
        </is>
      </c>
      <c r="G2803" t="n">
        <v>1</v>
      </c>
      <c r="H2803" s="7" t="n">
        <v>14.9</v>
      </c>
      <c r="I2803" s="7" t="n">
        <v>0</v>
      </c>
      <c r="J2803" s="7" t="n">
        <v>0</v>
      </c>
      <c r="K2803" s="9" t="n">
        <v>0</v>
      </c>
      <c r="L2803" s="10" t="n">
        <v>8.84</v>
      </c>
      <c r="M2803" s="10" t="n">
        <v>1.43</v>
      </c>
      <c r="N2803" t="inlineStr">
        <is>
          <t>1</t>
        </is>
      </c>
      <c r="O2803" t="inlineStr">
        <is>
          <t>16</t>
        </is>
      </c>
      <c r="P2803" t="inlineStr">
        <is>
          <t xml:space="preserve">234665  </t>
        </is>
      </c>
      <c r="Q2803" s="26" t="n">
        <v>14.9</v>
      </c>
      <c r="R2803" s="26">
        <f>Q2803*G2803</f>
        <v/>
      </c>
      <c r="S2803" t="n">
        <v>8.84</v>
      </c>
      <c r="T2803" s="18">
        <f>1 - V2803/S2803</f>
        <v/>
      </c>
      <c r="U2803" s="18" t="n">
        <v>0</v>
      </c>
      <c r="V2803" s="26" t="n">
        <v>8.84</v>
      </c>
      <c r="W2803" s="26">
        <f>V2803 - L2803</f>
        <v/>
      </c>
    </row>
    <row r="2804">
      <c r="A2804" s="11" t="n">
        <v>46230</v>
      </c>
      <c r="B2804" s="1" t="n">
        <v>20088</v>
      </c>
      <c r="C2804" s="1" t="inlineStr">
        <is>
          <t>801</t>
        </is>
      </c>
      <c r="D2804" s="1" t="inlineStr">
        <is>
          <t xml:space="preserve">7200  </t>
        </is>
      </c>
      <c r="E2804" s="1" t="inlineStr">
        <is>
          <t xml:space="preserve">31754675       </t>
        </is>
      </c>
      <c r="F2804" s="5" t="inlineStr">
        <is>
          <t>INFINITY NADO SERIE 6 STARTER PACK - 4 MODELOS</t>
        </is>
      </c>
      <c r="G2804" t="n">
        <v>1</v>
      </c>
      <c r="H2804" s="7" t="n">
        <v>49.9</v>
      </c>
      <c r="I2804" s="7" t="n">
        <v>0</v>
      </c>
      <c r="J2804" s="7" t="n">
        <v>0</v>
      </c>
      <c r="K2804" s="9" t="n">
        <v>0</v>
      </c>
      <c r="L2804" s="10" t="n">
        <v>29.6</v>
      </c>
      <c r="M2804" s="10" t="n">
        <v>1.43</v>
      </c>
      <c r="N2804" t="inlineStr">
        <is>
          <t>1</t>
        </is>
      </c>
      <c r="O2804" t="inlineStr">
        <is>
          <t>16</t>
        </is>
      </c>
      <c r="P2804" t="inlineStr">
        <is>
          <t xml:space="preserve">0       </t>
        </is>
      </c>
      <c r="Q2804" s="26" t="n">
        <v>69.90000000000001</v>
      </c>
      <c r="R2804" s="26">
        <f>Q2804*G2804</f>
        <v/>
      </c>
      <c r="S2804" t="n">
        <v>41.47</v>
      </c>
      <c r="T2804" s="18">
        <f>1 - V2804/S2804</f>
        <v/>
      </c>
      <c r="U2804" s="18" t="n">
        <v>0.2861230329041489</v>
      </c>
      <c r="V2804" s="26" t="n">
        <v>31.71610169491525</v>
      </c>
      <c r="W2804" s="26">
        <f>V2804 - L2804</f>
        <v/>
      </c>
    </row>
    <row r="2805">
      <c r="A2805" s="11" t="n">
        <v>46230</v>
      </c>
      <c r="B2805" s="1" t="n">
        <v>20089</v>
      </c>
      <c r="C2805" s="1" t="inlineStr">
        <is>
          <t>025</t>
        </is>
      </c>
      <c r="D2805" s="1" t="inlineStr">
        <is>
          <t>122685</t>
        </is>
      </c>
      <c r="E2805" s="1" t="inlineStr">
        <is>
          <t xml:space="preserve">30141766       </t>
        </is>
      </c>
      <c r="F2805" s="5" t="inlineStr">
        <is>
          <t>TMZ BEAST MACHINES AUTOS DE METAL BLISTER X 1</t>
        </is>
      </c>
      <c r="G2805" t="n">
        <v>1</v>
      </c>
      <c r="H2805" s="7" t="n">
        <v>7.9</v>
      </c>
      <c r="I2805" s="7" t="n">
        <v>0.79</v>
      </c>
      <c r="J2805" s="7" t="n">
        <v>0</v>
      </c>
      <c r="K2805" s="9" t="n">
        <v>0.79</v>
      </c>
      <c r="L2805" s="10" t="n">
        <v>4.22</v>
      </c>
      <c r="M2805" s="10" t="n">
        <v>1.43</v>
      </c>
      <c r="N2805" t="inlineStr">
        <is>
          <t>1</t>
        </is>
      </c>
      <c r="O2805" t="inlineStr">
        <is>
          <t>16</t>
        </is>
      </c>
      <c r="P2805" t="inlineStr">
        <is>
          <t xml:space="preserve">238367  </t>
        </is>
      </c>
      <c r="Q2805" s="26" t="n">
        <v>7.9</v>
      </c>
      <c r="R2805" s="26">
        <f>Q2805*G2805</f>
        <v/>
      </c>
      <c r="S2805" t="n">
        <v>4.69</v>
      </c>
      <c r="T2805" s="18">
        <f>1 - V2805/S2805</f>
        <v/>
      </c>
      <c r="U2805" s="18" t="n">
        <v>0</v>
      </c>
      <c r="V2805" s="26" t="n">
        <v>4.69</v>
      </c>
      <c r="W2805" s="26">
        <f>V2805 - L2805</f>
        <v/>
      </c>
    </row>
    <row r="2806">
      <c r="A2806" s="11" t="n">
        <v>46230</v>
      </c>
      <c r="B2806" s="1" t="n">
        <v>20089</v>
      </c>
      <c r="C2806" s="1" t="inlineStr">
        <is>
          <t>026</t>
        </is>
      </c>
      <c r="D2806" s="1" t="inlineStr">
        <is>
          <t xml:space="preserve">88863 </t>
        </is>
      </c>
      <c r="E2806" s="1" t="inlineStr">
        <is>
          <t xml:space="preserve">28194770       </t>
        </is>
      </c>
      <c r="F2806" s="5" t="inlineStr">
        <is>
          <t>AUTOS DE METAL 3 TEAMSTERZ EN BLISTER</t>
        </is>
      </c>
      <c r="G2806" t="n">
        <v>1</v>
      </c>
      <c r="H2806" s="7" t="n">
        <v>6.9</v>
      </c>
      <c r="I2806" s="7" t="n">
        <v>0</v>
      </c>
      <c r="J2806" s="7" t="n">
        <v>0</v>
      </c>
      <c r="K2806" s="9" t="n">
        <v>0</v>
      </c>
      <c r="L2806" s="10" t="n">
        <v>4.1</v>
      </c>
      <c r="M2806" s="10" t="n">
        <v>1.43</v>
      </c>
      <c r="N2806" t="inlineStr">
        <is>
          <t>1</t>
        </is>
      </c>
      <c r="O2806" t="inlineStr">
        <is>
          <t xml:space="preserve">2 </t>
        </is>
      </c>
      <c r="P2806" t="inlineStr">
        <is>
          <t xml:space="preserve">232968  </t>
        </is>
      </c>
      <c r="Q2806" s="26" t="n">
        <v>6.9</v>
      </c>
      <c r="R2806" s="26">
        <f>Q2806*G2806</f>
        <v/>
      </c>
      <c r="S2806" t="n">
        <v>4.09</v>
      </c>
      <c r="T2806" s="18">
        <f>1 - V2806/S2806</f>
        <v/>
      </c>
      <c r="U2806" s="18" t="n">
        <v>0</v>
      </c>
      <c r="V2806" s="26" t="n">
        <v>4.09</v>
      </c>
      <c r="W2806" s="26">
        <f>V2806 - L2806</f>
        <v/>
      </c>
    </row>
    <row r="2807">
      <c r="A2807" s="11" t="n">
        <v>46230</v>
      </c>
      <c r="B2807" s="1" t="n">
        <v>20089</v>
      </c>
      <c r="C2807" s="1" t="inlineStr">
        <is>
          <t>026</t>
        </is>
      </c>
      <c r="D2807" s="1" t="inlineStr">
        <is>
          <t xml:space="preserve">88863 </t>
        </is>
      </c>
      <c r="E2807" s="1" t="inlineStr">
        <is>
          <t xml:space="preserve">28194770       </t>
        </is>
      </c>
      <c r="F2807" s="5" t="inlineStr">
        <is>
          <t>AUTOS DE METAL 3 TEAMSTERZ EN BLISTER</t>
        </is>
      </c>
      <c r="G2807" t="n">
        <v>1</v>
      </c>
      <c r="H2807" s="7" t="n">
        <v>6.9</v>
      </c>
      <c r="I2807" s="7" t="n">
        <v>0</v>
      </c>
      <c r="J2807" s="7" t="n">
        <v>0</v>
      </c>
      <c r="K2807" s="9" t="n">
        <v>0</v>
      </c>
      <c r="L2807" s="10" t="n">
        <v>4.1</v>
      </c>
      <c r="M2807" s="10" t="n">
        <v>1.43</v>
      </c>
      <c r="N2807" t="inlineStr">
        <is>
          <t>1</t>
        </is>
      </c>
      <c r="O2807" t="inlineStr">
        <is>
          <t xml:space="preserve">2 </t>
        </is>
      </c>
      <c r="P2807" t="inlineStr">
        <is>
          <t xml:space="preserve">232968  </t>
        </is>
      </c>
      <c r="Q2807" s="26" t="n">
        <v>6.9</v>
      </c>
      <c r="R2807" s="26">
        <f>Q2807*G2807</f>
        <v/>
      </c>
      <c r="S2807" t="n">
        <v>4.09</v>
      </c>
      <c r="T2807" s="18">
        <f>1 - V2807/S2807</f>
        <v/>
      </c>
      <c r="U2807" s="18" t="n">
        <v>0</v>
      </c>
      <c r="V2807" s="26" t="n">
        <v>4.09</v>
      </c>
      <c r="W2807" s="26">
        <f>V2807 - L2807</f>
        <v/>
      </c>
    </row>
    <row r="2808">
      <c r="A2808" s="11" t="n">
        <v>46230</v>
      </c>
      <c r="B2808" s="1" t="n">
        <v>20089</v>
      </c>
      <c r="C2808" s="1" t="inlineStr">
        <is>
          <t>026</t>
        </is>
      </c>
      <c r="D2808" s="1" t="inlineStr">
        <is>
          <t xml:space="preserve">88863 </t>
        </is>
      </c>
      <c r="E2808" s="1" t="inlineStr">
        <is>
          <t xml:space="preserve">30141766       </t>
        </is>
      </c>
      <c r="F2808" s="5" t="inlineStr">
        <is>
          <t>TMZ BEAST MACHINES AUTOS DE METAL BLISTER X 1</t>
        </is>
      </c>
      <c r="G2808" t="n">
        <v>1</v>
      </c>
      <c r="H2808" s="7" t="n">
        <v>7.9</v>
      </c>
      <c r="I2808" s="7" t="n">
        <v>0</v>
      </c>
      <c r="J2808" s="7" t="n">
        <v>0</v>
      </c>
      <c r="K2808" s="9" t="n">
        <v>0</v>
      </c>
      <c r="L2808" s="10" t="n">
        <v>4.68</v>
      </c>
      <c r="M2808" s="10" t="n">
        <v>1.43</v>
      </c>
      <c r="N2808" t="inlineStr">
        <is>
          <t>1</t>
        </is>
      </c>
      <c r="O2808" t="inlineStr">
        <is>
          <t xml:space="preserve">2 </t>
        </is>
      </c>
      <c r="P2808" t="inlineStr">
        <is>
          <t xml:space="preserve">232968  </t>
        </is>
      </c>
      <c r="Q2808" s="26" t="n">
        <v>7.9</v>
      </c>
      <c r="R2808" s="26">
        <f>Q2808*G2808</f>
        <v/>
      </c>
      <c r="S2808" t="n">
        <v>4.69</v>
      </c>
      <c r="T2808" s="18">
        <f>1 - V2808/S2808</f>
        <v/>
      </c>
      <c r="U2808" s="18" t="n">
        <v>0</v>
      </c>
      <c r="V2808" s="26" t="n">
        <v>4.69</v>
      </c>
      <c r="W2808" s="26">
        <f>V2808 - L2808</f>
        <v/>
      </c>
    </row>
    <row r="2809">
      <c r="A2809" s="11" t="n">
        <v>46230</v>
      </c>
      <c r="B2809" s="1" t="n">
        <v>20089</v>
      </c>
      <c r="C2809" s="1" t="inlineStr">
        <is>
          <t>026</t>
        </is>
      </c>
      <c r="D2809" s="1" t="inlineStr">
        <is>
          <t xml:space="preserve">88863 </t>
        </is>
      </c>
      <c r="E2809" s="1" t="inlineStr">
        <is>
          <t xml:space="preserve">30141766       </t>
        </is>
      </c>
      <c r="F2809" s="5" t="inlineStr">
        <is>
          <t>TMZ BEAST MACHINES AUTOS DE METAL BLISTER X 1</t>
        </is>
      </c>
      <c r="G2809" t="n">
        <v>1</v>
      </c>
      <c r="H2809" s="7" t="n">
        <v>7.9</v>
      </c>
      <c r="I2809" s="7" t="n">
        <v>0</v>
      </c>
      <c r="J2809" s="7" t="n">
        <v>0</v>
      </c>
      <c r="K2809" s="9" t="n">
        <v>0</v>
      </c>
      <c r="L2809" s="10" t="n">
        <v>4.68</v>
      </c>
      <c r="M2809" s="10" t="n">
        <v>1.43</v>
      </c>
      <c r="N2809" t="inlineStr">
        <is>
          <t>1</t>
        </is>
      </c>
      <c r="O2809" t="inlineStr">
        <is>
          <t xml:space="preserve">2 </t>
        </is>
      </c>
      <c r="P2809" t="inlineStr">
        <is>
          <t xml:space="preserve">232968  </t>
        </is>
      </c>
      <c r="Q2809" s="26" t="n">
        <v>7.9</v>
      </c>
      <c r="R2809" s="26">
        <f>Q2809*G2809</f>
        <v/>
      </c>
      <c r="S2809" t="n">
        <v>4.69</v>
      </c>
      <c r="T2809" s="18">
        <f>1 - V2809/S2809</f>
        <v/>
      </c>
      <c r="U2809" s="18" t="n">
        <v>0</v>
      </c>
      <c r="V2809" s="26" t="n">
        <v>4.69</v>
      </c>
      <c r="W2809" s="26">
        <f>V2809 - L2809</f>
        <v/>
      </c>
    </row>
    <row r="2810">
      <c r="A2810" s="11" t="n">
        <v>46230</v>
      </c>
      <c r="B2810" s="1" t="n">
        <v>20089</v>
      </c>
      <c r="C2810" s="1" t="inlineStr">
        <is>
          <t>026</t>
        </is>
      </c>
      <c r="D2810" s="1" t="inlineStr">
        <is>
          <t xml:space="preserve">88863 </t>
        </is>
      </c>
      <c r="E2810" s="1" t="inlineStr">
        <is>
          <t xml:space="preserve">30141766       </t>
        </is>
      </c>
      <c r="F2810" s="5" t="inlineStr">
        <is>
          <t>TMZ BEAST MACHINES AUTOS DE METAL BLISTER X 1</t>
        </is>
      </c>
      <c r="G2810" t="n">
        <v>1</v>
      </c>
      <c r="H2810" s="7" t="n">
        <v>7.9</v>
      </c>
      <c r="I2810" s="7" t="n">
        <v>0</v>
      </c>
      <c r="J2810" s="7" t="n">
        <v>0</v>
      </c>
      <c r="K2810" s="9" t="n">
        <v>0</v>
      </c>
      <c r="L2810" s="10" t="n">
        <v>4.68</v>
      </c>
      <c r="M2810" s="10" t="n">
        <v>1.43</v>
      </c>
      <c r="N2810" t="inlineStr">
        <is>
          <t>1</t>
        </is>
      </c>
      <c r="O2810" t="inlineStr">
        <is>
          <t xml:space="preserve">2 </t>
        </is>
      </c>
      <c r="P2810" t="inlineStr">
        <is>
          <t xml:space="preserve">232968  </t>
        </is>
      </c>
      <c r="Q2810" s="26" t="n">
        <v>7.9</v>
      </c>
      <c r="R2810" s="26">
        <f>Q2810*G2810</f>
        <v/>
      </c>
      <c r="S2810" t="n">
        <v>4.69</v>
      </c>
      <c r="T2810" s="18">
        <f>1 - V2810/S2810</f>
        <v/>
      </c>
      <c r="U2810" s="18" t="n">
        <v>0</v>
      </c>
      <c r="V2810" s="26" t="n">
        <v>4.69</v>
      </c>
      <c r="W2810" s="26">
        <f>V2810 - L2810</f>
        <v/>
      </c>
    </row>
    <row r="2811">
      <c r="A2811" s="11" t="n">
        <v>46230</v>
      </c>
      <c r="B2811" s="1" t="n">
        <v>20089</v>
      </c>
      <c r="C2811" s="1" t="inlineStr">
        <is>
          <t>026</t>
        </is>
      </c>
      <c r="D2811" s="1" t="inlineStr">
        <is>
          <t xml:space="preserve">88863 </t>
        </is>
      </c>
      <c r="E2811" s="1" t="inlineStr">
        <is>
          <t xml:space="preserve">30141766       </t>
        </is>
      </c>
      <c r="F2811" s="5" t="inlineStr">
        <is>
          <t>TMZ BEAST MACHINES AUTOS DE METAL BLISTER X 1</t>
        </is>
      </c>
      <c r="G2811" t="n">
        <v>1</v>
      </c>
      <c r="H2811" s="7" t="n">
        <v>7.9</v>
      </c>
      <c r="I2811" s="7" t="n">
        <v>0</v>
      </c>
      <c r="J2811" s="7" t="n">
        <v>0</v>
      </c>
      <c r="K2811" s="9" t="n">
        <v>0</v>
      </c>
      <c r="L2811" s="10" t="n">
        <v>4.68</v>
      </c>
      <c r="M2811" s="10" t="n">
        <v>1.43</v>
      </c>
      <c r="N2811" t="inlineStr">
        <is>
          <t>1</t>
        </is>
      </c>
      <c r="O2811" t="inlineStr">
        <is>
          <t xml:space="preserve">2 </t>
        </is>
      </c>
      <c r="P2811" t="inlineStr">
        <is>
          <t xml:space="preserve">232968  </t>
        </is>
      </c>
      <c r="Q2811" s="26" t="n">
        <v>7.9</v>
      </c>
      <c r="R2811" s="26">
        <f>Q2811*G2811</f>
        <v/>
      </c>
      <c r="S2811" t="n">
        <v>4.69</v>
      </c>
      <c r="T2811" s="18">
        <f>1 - V2811/S2811</f>
        <v/>
      </c>
      <c r="U2811" s="18" t="n">
        <v>0</v>
      </c>
      <c r="V2811" s="26" t="n">
        <v>4.69</v>
      </c>
      <c r="W2811" s="26">
        <f>V2811 - L2811</f>
        <v/>
      </c>
    </row>
    <row r="2812">
      <c r="A2812" s="11" t="n">
        <v>46230</v>
      </c>
      <c r="B2812" s="1" t="n">
        <v>20089</v>
      </c>
      <c r="C2812" s="1" t="inlineStr">
        <is>
          <t>029</t>
        </is>
      </c>
      <c r="D2812" s="1" t="inlineStr">
        <is>
          <t xml:space="preserve">3065  </t>
        </is>
      </c>
      <c r="E2812" s="1" t="inlineStr">
        <is>
          <t xml:space="preserve">30141766       </t>
        </is>
      </c>
      <c r="F2812" s="5" t="inlineStr">
        <is>
          <t>TMZ BEAST MACHINES AUTOS DE METAL BLISTER X 1</t>
        </is>
      </c>
      <c r="G2812" t="n">
        <v>1</v>
      </c>
      <c r="H2812" s="7" t="n">
        <v>7.9</v>
      </c>
      <c r="I2812" s="7" t="n">
        <v>0</v>
      </c>
      <c r="J2812" s="7" t="n">
        <v>0</v>
      </c>
      <c r="K2812" s="9" t="n">
        <v>0</v>
      </c>
      <c r="L2812" s="10" t="n">
        <v>4.68</v>
      </c>
      <c r="M2812" s="10" t="n">
        <v>1.43</v>
      </c>
      <c r="N2812" t="inlineStr">
        <is>
          <t>1</t>
        </is>
      </c>
      <c r="O2812" t="inlineStr">
        <is>
          <t xml:space="preserve">2 </t>
        </is>
      </c>
      <c r="P2812" t="inlineStr">
        <is>
          <t xml:space="preserve">250455  </t>
        </is>
      </c>
      <c r="Q2812" s="26" t="n">
        <v>7.9</v>
      </c>
      <c r="R2812" s="26">
        <f>Q2812*G2812</f>
        <v/>
      </c>
      <c r="S2812" t="n">
        <v>4.69</v>
      </c>
      <c r="T2812" s="18">
        <f>1 - V2812/S2812</f>
        <v/>
      </c>
      <c r="U2812" s="18" t="n">
        <v>0</v>
      </c>
      <c r="V2812" s="26" t="n">
        <v>4.69</v>
      </c>
      <c r="W2812" s="26">
        <f>V2812 - L2812</f>
        <v/>
      </c>
    </row>
    <row r="2813">
      <c r="A2813" s="11" t="n">
        <v>46230</v>
      </c>
      <c r="B2813" s="1" t="n">
        <v>20089</v>
      </c>
      <c r="C2813" s="1" t="inlineStr">
        <is>
          <t>860</t>
        </is>
      </c>
      <c r="D2813" s="1" t="inlineStr">
        <is>
          <t xml:space="preserve">9970  </t>
        </is>
      </c>
      <c r="E2813" s="1" t="inlineStr">
        <is>
          <t xml:space="preserve">28194770       </t>
        </is>
      </c>
      <c r="F2813" s="5" t="inlineStr">
        <is>
          <t>AUTOS DE METAL 3 TEAMSTERZ EN BLISTER</t>
        </is>
      </c>
      <c r="G2813" t="n">
        <v>2</v>
      </c>
      <c r="H2813" s="7" t="n">
        <v>13.8</v>
      </c>
      <c r="I2813" s="7" t="n">
        <v>0</v>
      </c>
      <c r="J2813" s="7" t="n">
        <v>0</v>
      </c>
      <c r="K2813" s="9" t="n">
        <v>0</v>
      </c>
      <c r="L2813" s="10" t="n">
        <v>8.18</v>
      </c>
      <c r="M2813" s="10" t="n">
        <v>1.43</v>
      </c>
      <c r="N2813" t="inlineStr">
        <is>
          <t>1</t>
        </is>
      </c>
      <c r="O2813" t="inlineStr">
        <is>
          <t>16</t>
        </is>
      </c>
      <c r="P2813" t="inlineStr">
        <is>
          <t xml:space="preserve">0       </t>
        </is>
      </c>
      <c r="Q2813" s="26" t="n">
        <v>6.9</v>
      </c>
      <c r="R2813" s="26">
        <f>Q2813*G2813</f>
        <v/>
      </c>
      <c r="S2813" t="n">
        <v>8.18</v>
      </c>
      <c r="T2813" s="18">
        <f>1 - V2813/S2813</f>
        <v/>
      </c>
      <c r="U2813" s="18" t="n">
        <v>0</v>
      </c>
      <c r="V2813" s="26" t="n">
        <v>8.18</v>
      </c>
      <c r="W2813" s="26">
        <f>V2813 - L2813</f>
        <v/>
      </c>
    </row>
    <row r="2814">
      <c r="A2814" s="11" t="n">
        <v>46230</v>
      </c>
      <c r="B2814" s="1" t="n">
        <v>20089</v>
      </c>
      <c r="C2814" s="1" t="inlineStr">
        <is>
          <t>862</t>
        </is>
      </c>
      <c r="D2814" s="1" t="inlineStr">
        <is>
          <t xml:space="preserve">8938  </t>
        </is>
      </c>
      <c r="E2814" s="1" t="inlineStr">
        <is>
          <t xml:space="preserve">30141766       </t>
        </is>
      </c>
      <c r="F2814" s="5" t="inlineStr">
        <is>
          <t>TMZ BEAST MACHINES AUTOS DE METAL BLISTER X 1</t>
        </is>
      </c>
      <c r="G2814" t="n">
        <v>1</v>
      </c>
      <c r="H2814" s="7" t="n">
        <v>7.9</v>
      </c>
      <c r="I2814" s="7" t="n">
        <v>0.79</v>
      </c>
      <c r="J2814" s="7" t="n">
        <v>0</v>
      </c>
      <c r="K2814" s="9" t="n">
        <v>0.79</v>
      </c>
      <c r="L2814" s="10" t="n">
        <v>4.22</v>
      </c>
      <c r="M2814" s="10" t="n">
        <v>1.43</v>
      </c>
      <c r="N2814" t="inlineStr">
        <is>
          <t>1</t>
        </is>
      </c>
      <c r="O2814" t="inlineStr">
        <is>
          <t>16</t>
        </is>
      </c>
      <c r="P2814" t="inlineStr">
        <is>
          <t xml:space="preserve">0       </t>
        </is>
      </c>
      <c r="Q2814" s="26" t="n">
        <v>7.9</v>
      </c>
      <c r="R2814" s="26">
        <f>Q2814*G2814</f>
        <v/>
      </c>
      <c r="S2814" t="n">
        <v>4.69</v>
      </c>
      <c r="T2814" s="18">
        <f>1 - V2814/S2814</f>
        <v/>
      </c>
      <c r="U2814" s="18" t="n">
        <v>0</v>
      </c>
      <c r="V2814" s="26" t="n">
        <v>4.69</v>
      </c>
      <c r="W2814" s="26">
        <f>V2814 - L2814</f>
        <v/>
      </c>
    </row>
    <row r="2815">
      <c r="A2815" s="11" t="n">
        <v>46230</v>
      </c>
      <c r="B2815" s="1" t="n">
        <v>20095</v>
      </c>
      <c r="C2815" s="1" t="inlineStr">
        <is>
          <t>043</t>
        </is>
      </c>
      <c r="D2815" s="1" t="inlineStr">
        <is>
          <t>108920</t>
        </is>
      </c>
      <c r="E2815" s="1" t="inlineStr">
        <is>
          <t xml:space="preserve">29235702       </t>
        </is>
      </c>
      <c r="F2815" s="5" t="inlineStr">
        <is>
          <t>INFINITY NADO TROMPO DE BATALLA - METAL C/ ANILLO</t>
        </is>
      </c>
      <c r="G2815" t="n">
        <v>1</v>
      </c>
      <c r="H2815" s="7" t="n">
        <v>49.9</v>
      </c>
      <c r="I2815" s="7" t="n">
        <v>0</v>
      </c>
      <c r="J2815" s="7" t="n">
        <v>0</v>
      </c>
      <c r="K2815" s="9" t="n">
        <v>0</v>
      </c>
      <c r="L2815" s="10" t="n">
        <v>29.6</v>
      </c>
      <c r="M2815" s="10" t="n">
        <v>1.43</v>
      </c>
      <c r="N2815" t="inlineStr">
        <is>
          <t>1</t>
        </is>
      </c>
      <c r="O2815" t="inlineStr">
        <is>
          <t>16</t>
        </is>
      </c>
      <c r="P2815" t="inlineStr">
        <is>
          <t xml:space="preserve">38948   </t>
        </is>
      </c>
      <c r="Q2815" s="26" t="n">
        <v>69.90000000000001</v>
      </c>
      <c r="R2815" s="26">
        <f>Q2815*G2815</f>
        <v/>
      </c>
      <c r="S2815" t="n">
        <v>41.47</v>
      </c>
      <c r="T2815" s="18">
        <f>1 - V2815/S2815</f>
        <v/>
      </c>
      <c r="U2815" s="18" t="n">
        <v>0.2861230329041489</v>
      </c>
      <c r="V2815" s="26" t="n">
        <v>31.71610169491525</v>
      </c>
      <c r="W2815" s="26">
        <f>V2815 - L2815</f>
        <v/>
      </c>
    </row>
    <row r="2816">
      <c r="A2816" s="11" t="n">
        <v>46230</v>
      </c>
      <c r="B2816" s="1" t="n">
        <v>20095</v>
      </c>
      <c r="C2816" s="1" t="inlineStr">
        <is>
          <t>043</t>
        </is>
      </c>
      <c r="D2816" s="1" t="inlineStr">
        <is>
          <t>108957</t>
        </is>
      </c>
      <c r="E2816" s="1" t="inlineStr">
        <is>
          <t xml:space="preserve">28194770       </t>
        </is>
      </c>
      <c r="F2816" s="5" t="inlineStr">
        <is>
          <t>AUTOS DE METAL 3 TEAMSTERZ EN BLISTER</t>
        </is>
      </c>
      <c r="G2816" t="n">
        <v>1</v>
      </c>
      <c r="H2816" s="7" t="n">
        <v>6.9</v>
      </c>
      <c r="I2816" s="7" t="n">
        <v>0</v>
      </c>
      <c r="J2816" s="7" t="n">
        <v>0</v>
      </c>
      <c r="K2816" s="9" t="n">
        <v>0</v>
      </c>
      <c r="L2816" s="10" t="n">
        <v>4.1</v>
      </c>
      <c r="M2816" s="10" t="n">
        <v>1.43</v>
      </c>
      <c r="N2816" t="inlineStr">
        <is>
          <t>1</t>
        </is>
      </c>
      <c r="O2816" t="inlineStr">
        <is>
          <t xml:space="preserve">2 </t>
        </is>
      </c>
      <c r="P2816" t="inlineStr">
        <is>
          <t xml:space="preserve">38948   </t>
        </is>
      </c>
      <c r="Q2816" s="26" t="n">
        <v>6.9</v>
      </c>
      <c r="R2816" s="26">
        <f>Q2816*G2816</f>
        <v/>
      </c>
      <c r="S2816" t="n">
        <v>4.09</v>
      </c>
      <c r="T2816" s="18">
        <f>1 - V2816/S2816</f>
        <v/>
      </c>
      <c r="U2816" s="18" t="n">
        <v>0</v>
      </c>
      <c r="V2816" s="26" t="n">
        <v>4.09</v>
      </c>
      <c r="W2816" s="26">
        <f>V2816 - L2816</f>
        <v/>
      </c>
    </row>
    <row r="2817">
      <c r="A2817" s="11" t="n">
        <v>46230</v>
      </c>
      <c r="B2817" s="1" t="n">
        <v>20095</v>
      </c>
      <c r="C2817" s="1" t="inlineStr">
        <is>
          <t>043</t>
        </is>
      </c>
      <c r="D2817" s="1" t="inlineStr">
        <is>
          <t>108963</t>
        </is>
      </c>
      <c r="E2817" s="1" t="inlineStr">
        <is>
          <t xml:space="preserve">31675354       </t>
        </is>
      </c>
      <c r="F2817" s="5" t="inlineStr">
        <is>
          <t>NENUCO LLORON CON ACCESORIOS</t>
        </is>
      </c>
      <c r="G2817" t="n">
        <v>1</v>
      </c>
      <c r="H2817" s="7" t="n">
        <v>69.90000000000001</v>
      </c>
      <c r="I2817" s="7" t="n">
        <v>0</v>
      </c>
      <c r="J2817" s="7" t="n">
        <v>0</v>
      </c>
      <c r="K2817" s="9" t="n">
        <v>0</v>
      </c>
      <c r="L2817" s="10" t="n">
        <v>41.47</v>
      </c>
      <c r="M2817" s="10" t="n">
        <v>1.43</v>
      </c>
      <c r="N2817" t="inlineStr">
        <is>
          <t>1</t>
        </is>
      </c>
      <c r="O2817" t="inlineStr">
        <is>
          <t>16</t>
        </is>
      </c>
      <c r="P2817" t="inlineStr">
        <is>
          <t xml:space="preserve">38948   </t>
        </is>
      </c>
      <c r="Q2817" s="26" t="n">
        <v>89.90000000000001</v>
      </c>
      <c r="R2817" s="26">
        <f>Q2817*G2817</f>
        <v/>
      </c>
      <c r="S2817" t="n">
        <v>53.33</v>
      </c>
      <c r="T2817" s="18">
        <f>1 - V2817/S2817</f>
        <v/>
      </c>
      <c r="U2817" s="18" t="n">
        <v>0.2224694104560623</v>
      </c>
      <c r="V2817" s="26" t="n">
        <v>44.42796610169492</v>
      </c>
      <c r="W2817" s="26">
        <f>V2817 - L2817</f>
        <v/>
      </c>
    </row>
    <row r="2818">
      <c r="A2818" s="11" t="n">
        <v>46230</v>
      </c>
      <c r="B2818" s="1" t="n">
        <v>20095</v>
      </c>
      <c r="C2818" s="1" t="inlineStr">
        <is>
          <t>044</t>
        </is>
      </c>
      <c r="D2818" s="1" t="inlineStr">
        <is>
          <t xml:space="preserve">94838 </t>
        </is>
      </c>
      <c r="E2818" s="1" t="inlineStr">
        <is>
          <t xml:space="preserve">30141769       </t>
        </is>
      </c>
      <c r="F2818" s="5" t="inlineStr">
        <is>
          <t>TMZ BEAST MACHINES TRANSPORTE DINOSAURIO + 3 AUTOS</t>
        </is>
      </c>
      <c r="G2818" t="n">
        <v>1</v>
      </c>
      <c r="H2818" s="7" t="n">
        <v>59.9</v>
      </c>
      <c r="I2818" s="7" t="n">
        <v>0</v>
      </c>
      <c r="J2818" s="7" t="n">
        <v>0</v>
      </c>
      <c r="K2818" s="9" t="n">
        <v>0</v>
      </c>
      <c r="L2818" s="10" t="n">
        <v>35.53</v>
      </c>
      <c r="M2818" s="10" t="n">
        <v>1.43</v>
      </c>
      <c r="N2818" t="inlineStr">
        <is>
          <t>1</t>
        </is>
      </c>
      <c r="O2818" t="inlineStr">
        <is>
          <t>16</t>
        </is>
      </c>
      <c r="P2818" t="inlineStr">
        <is>
          <t xml:space="preserve">248294  </t>
        </is>
      </c>
      <c r="Q2818" s="26" t="n">
        <v>79.90000000000001</v>
      </c>
      <c r="R2818" s="26">
        <f>Q2818*G2818</f>
        <v/>
      </c>
      <c r="S2818" t="n">
        <v>47.4</v>
      </c>
      <c r="T2818" s="18">
        <f>1 - V2818/S2818</f>
        <v/>
      </c>
      <c r="U2818" s="18" t="n">
        <v>0.2503128911138924</v>
      </c>
      <c r="V2818" s="26" t="n">
        <v>38.07203389830509</v>
      </c>
      <c r="W2818" s="26">
        <f>V2818 - L2818</f>
        <v/>
      </c>
    </row>
    <row r="2819">
      <c r="A2819" s="11" t="n">
        <v>46231</v>
      </c>
      <c r="B2819" s="1" t="n">
        <v>20021</v>
      </c>
      <c r="C2819" s="1" t="inlineStr">
        <is>
          <t>064</t>
        </is>
      </c>
      <c r="D2819" s="1" t="inlineStr">
        <is>
          <t>147281</t>
        </is>
      </c>
      <c r="E2819" s="1" t="inlineStr">
        <is>
          <t xml:space="preserve">28194770       </t>
        </is>
      </c>
      <c r="F2819" s="5" t="inlineStr">
        <is>
          <t>AUTOS DE METAL 3 TEAMSTERZ EN BLISTER</t>
        </is>
      </c>
      <c r="G2819" t="n">
        <v>1</v>
      </c>
      <c r="H2819" s="7" t="n">
        <v>6.9</v>
      </c>
      <c r="I2819" s="7" t="n">
        <v>0</v>
      </c>
      <c r="J2819" s="7" t="n">
        <v>0</v>
      </c>
      <c r="K2819" s="9" t="n">
        <v>0</v>
      </c>
      <c r="L2819" s="10" t="n">
        <v>4.1</v>
      </c>
      <c r="M2819" s="10" t="n">
        <v>1.43</v>
      </c>
      <c r="N2819" t="inlineStr">
        <is>
          <t>1</t>
        </is>
      </c>
      <c r="O2819" t="inlineStr">
        <is>
          <t xml:space="preserve">2 </t>
        </is>
      </c>
      <c r="P2819" t="inlineStr">
        <is>
          <t xml:space="preserve">32209   </t>
        </is>
      </c>
      <c r="Q2819" s="26" t="n">
        <v>6.9</v>
      </c>
      <c r="R2819" s="26">
        <f>Q2819*G2819</f>
        <v/>
      </c>
      <c r="S2819" t="n">
        <v>4.09</v>
      </c>
      <c r="T2819" s="18">
        <f>1 - V2819/S2819</f>
        <v/>
      </c>
      <c r="U2819" s="18" t="n">
        <v>0</v>
      </c>
      <c r="V2819" s="26" t="n">
        <v>4.09</v>
      </c>
      <c r="W2819" s="26">
        <f>V2819 - L2819</f>
        <v/>
      </c>
    </row>
    <row r="2820">
      <c r="A2820" s="11" t="n">
        <v>46231</v>
      </c>
      <c r="B2820" s="1" t="n">
        <v>20021</v>
      </c>
      <c r="C2820" s="1" t="inlineStr">
        <is>
          <t>065</t>
        </is>
      </c>
      <c r="D2820" s="1" t="inlineStr">
        <is>
          <t>174667</t>
        </is>
      </c>
      <c r="E2820" s="1" t="inlineStr">
        <is>
          <t xml:space="preserve">28194770       </t>
        </is>
      </c>
      <c r="F2820" s="5" t="inlineStr">
        <is>
          <t>AUTOS DE METAL 3 TEAMSTERZ EN BLISTER</t>
        </is>
      </c>
      <c r="G2820" t="n">
        <v>1</v>
      </c>
      <c r="H2820" s="7" t="n">
        <v>6.9</v>
      </c>
      <c r="I2820" s="7" t="n">
        <v>0</v>
      </c>
      <c r="J2820" s="7" t="n">
        <v>0</v>
      </c>
      <c r="K2820" s="9" t="n">
        <v>0</v>
      </c>
      <c r="L2820" s="10" t="n">
        <v>4.1</v>
      </c>
      <c r="M2820" s="10" t="n">
        <v>1.43</v>
      </c>
      <c r="N2820" t="inlineStr">
        <is>
          <t>1</t>
        </is>
      </c>
      <c r="O2820" t="inlineStr">
        <is>
          <t xml:space="preserve">2 </t>
        </is>
      </c>
      <c r="P2820" t="inlineStr">
        <is>
          <t xml:space="preserve">81066   </t>
        </is>
      </c>
      <c r="Q2820" s="26" t="n">
        <v>6.9</v>
      </c>
      <c r="R2820" s="26">
        <f>Q2820*G2820</f>
        <v/>
      </c>
      <c r="S2820" t="n">
        <v>4.09</v>
      </c>
      <c r="T2820" s="18">
        <f>1 - V2820/S2820</f>
        <v/>
      </c>
      <c r="U2820" s="18" t="n">
        <v>0</v>
      </c>
      <c r="V2820" s="26" t="n">
        <v>4.09</v>
      </c>
      <c r="W2820" s="26">
        <f>V2820 - L2820</f>
        <v/>
      </c>
    </row>
    <row r="2821">
      <c r="A2821" s="11" t="n">
        <v>46231</v>
      </c>
      <c r="B2821" s="1" t="n">
        <v>20021</v>
      </c>
      <c r="C2821" s="1" t="inlineStr">
        <is>
          <t>065</t>
        </is>
      </c>
      <c r="D2821" s="1" t="inlineStr">
        <is>
          <t>174667</t>
        </is>
      </c>
      <c r="E2821" s="1" t="inlineStr">
        <is>
          <t xml:space="preserve">28194770       </t>
        </is>
      </c>
      <c r="F2821" s="5" t="inlineStr">
        <is>
          <t>AUTOS DE METAL 3 TEAMSTERZ EN BLISTER</t>
        </is>
      </c>
      <c r="G2821" t="n">
        <v>1</v>
      </c>
      <c r="H2821" s="7" t="n">
        <v>6.9</v>
      </c>
      <c r="I2821" s="7" t="n">
        <v>0</v>
      </c>
      <c r="J2821" s="7" t="n">
        <v>0</v>
      </c>
      <c r="K2821" s="9" t="n">
        <v>0</v>
      </c>
      <c r="L2821" s="10" t="n">
        <v>4.1</v>
      </c>
      <c r="M2821" s="10" t="n">
        <v>1.43</v>
      </c>
      <c r="N2821" t="inlineStr">
        <is>
          <t>1</t>
        </is>
      </c>
      <c r="O2821" t="inlineStr">
        <is>
          <t xml:space="preserve">2 </t>
        </is>
      </c>
      <c r="P2821" t="inlineStr">
        <is>
          <t xml:space="preserve">81066   </t>
        </is>
      </c>
      <c r="Q2821" s="26" t="n">
        <v>6.9</v>
      </c>
      <c r="R2821" s="26">
        <f>Q2821*G2821</f>
        <v/>
      </c>
      <c r="S2821" t="n">
        <v>4.09</v>
      </c>
      <c r="T2821" s="18">
        <f>1 - V2821/S2821</f>
        <v/>
      </c>
      <c r="U2821" s="18" t="n">
        <v>0</v>
      </c>
      <c r="V2821" s="26" t="n">
        <v>4.09</v>
      </c>
      <c r="W2821" s="26">
        <f>V2821 - L2821</f>
        <v/>
      </c>
    </row>
    <row r="2822">
      <c r="A2822" s="11" t="n">
        <v>46231</v>
      </c>
      <c r="B2822" s="1" t="n">
        <v>20021</v>
      </c>
      <c r="C2822" s="1" t="inlineStr">
        <is>
          <t>065</t>
        </is>
      </c>
      <c r="D2822" s="1" t="inlineStr">
        <is>
          <t>174667</t>
        </is>
      </c>
      <c r="E2822" s="1" t="inlineStr">
        <is>
          <t xml:space="preserve">28194770       </t>
        </is>
      </c>
      <c r="F2822" s="5" t="inlineStr">
        <is>
          <t>AUTOS DE METAL 3 TEAMSTERZ EN BLISTER</t>
        </is>
      </c>
      <c r="G2822" t="n">
        <v>1</v>
      </c>
      <c r="H2822" s="7" t="n">
        <v>6.9</v>
      </c>
      <c r="I2822" s="7" t="n">
        <v>0</v>
      </c>
      <c r="J2822" s="7" t="n">
        <v>0</v>
      </c>
      <c r="K2822" s="9" t="n">
        <v>0</v>
      </c>
      <c r="L2822" s="10" t="n">
        <v>4.1</v>
      </c>
      <c r="M2822" s="10" t="n">
        <v>1.43</v>
      </c>
      <c r="N2822" t="inlineStr">
        <is>
          <t>1</t>
        </is>
      </c>
      <c r="O2822" t="inlineStr">
        <is>
          <t xml:space="preserve">2 </t>
        </is>
      </c>
      <c r="P2822" t="inlineStr">
        <is>
          <t xml:space="preserve">81066   </t>
        </is>
      </c>
      <c r="Q2822" s="26" t="n">
        <v>6.9</v>
      </c>
      <c r="R2822" s="26">
        <f>Q2822*G2822</f>
        <v/>
      </c>
      <c r="S2822" t="n">
        <v>4.09</v>
      </c>
      <c r="T2822" s="18">
        <f>1 - V2822/S2822</f>
        <v/>
      </c>
      <c r="U2822" s="18" t="n">
        <v>0</v>
      </c>
      <c r="V2822" s="26" t="n">
        <v>4.09</v>
      </c>
      <c r="W2822" s="26">
        <f>V2822 - L2822</f>
        <v/>
      </c>
    </row>
    <row r="2823">
      <c r="A2823" s="11" t="n">
        <v>46231</v>
      </c>
      <c r="B2823" s="1" t="n">
        <v>20021</v>
      </c>
      <c r="C2823" s="1" t="inlineStr">
        <is>
          <t>065</t>
        </is>
      </c>
      <c r="D2823" s="1" t="inlineStr">
        <is>
          <t>174668</t>
        </is>
      </c>
      <c r="E2823" s="1" t="inlineStr">
        <is>
          <t xml:space="preserve">32457111       </t>
        </is>
      </c>
      <c r="F2823" s="5" t="inlineStr">
        <is>
          <t>TMZ BEAST MACHINES MONSTER JAWS A FRICCION PACK DE</t>
        </is>
      </c>
      <c r="G2823" t="n">
        <v>1</v>
      </c>
      <c r="H2823" s="7" t="n">
        <v>54.9</v>
      </c>
      <c r="I2823" s="7" t="n">
        <v>0</v>
      </c>
      <c r="J2823" s="7" t="n">
        <v>0</v>
      </c>
      <c r="K2823" s="9" t="n">
        <v>0</v>
      </c>
      <c r="L2823" s="10" t="n">
        <v>32.57</v>
      </c>
      <c r="M2823" s="10" t="n">
        <v>1.43</v>
      </c>
      <c r="N2823" t="inlineStr">
        <is>
          <t>1</t>
        </is>
      </c>
      <c r="O2823" t="inlineStr">
        <is>
          <t>16</t>
        </is>
      </c>
      <c r="P2823" t="inlineStr">
        <is>
          <t xml:space="preserve">81066   </t>
        </is>
      </c>
      <c r="Q2823" s="26" t="n">
        <v>74.90000000000001</v>
      </c>
      <c r="R2823" s="26">
        <f>Q2823*G2823</f>
        <v/>
      </c>
      <c r="S2823" t="n">
        <v>44.43</v>
      </c>
      <c r="T2823" s="18">
        <f>1 - V2823/S2823</f>
        <v/>
      </c>
      <c r="U2823" s="18" t="n">
        <v>0.2670226969292391</v>
      </c>
      <c r="V2823" s="26" t="n">
        <v>31.92406779661017</v>
      </c>
      <c r="W2823" s="26">
        <f>V2823 - L2823</f>
        <v/>
      </c>
    </row>
    <row r="2824">
      <c r="A2824" s="11" t="n">
        <v>46231</v>
      </c>
      <c r="B2824" s="1" t="n">
        <v>20021</v>
      </c>
      <c r="C2824" s="1" t="inlineStr">
        <is>
          <t>078</t>
        </is>
      </c>
      <c r="D2824" s="1" t="inlineStr">
        <is>
          <t>102040</t>
        </is>
      </c>
      <c r="E2824" s="1" t="inlineStr">
        <is>
          <t xml:space="preserve">28194770       </t>
        </is>
      </c>
      <c r="F2824" s="5" t="inlineStr">
        <is>
          <t>AUTOS DE METAL 3 TEAMSTERZ EN BLISTER</t>
        </is>
      </c>
      <c r="G2824" t="n">
        <v>1</v>
      </c>
      <c r="H2824" s="7" t="n">
        <v>6.9</v>
      </c>
      <c r="I2824" s="7" t="n">
        <v>0</v>
      </c>
      <c r="J2824" s="7" t="n">
        <v>0</v>
      </c>
      <c r="K2824" s="9" t="n">
        <v>0</v>
      </c>
      <c r="L2824" s="10" t="n">
        <v>4.1</v>
      </c>
      <c r="M2824" s="10" t="n">
        <v>1.43</v>
      </c>
      <c r="N2824" t="inlineStr">
        <is>
          <t>1</t>
        </is>
      </c>
      <c r="O2824" t="inlineStr">
        <is>
          <t xml:space="preserve">2 </t>
        </is>
      </c>
      <c r="P2824" t="inlineStr">
        <is>
          <t xml:space="preserve">109073  </t>
        </is>
      </c>
      <c r="Q2824" s="26" t="n">
        <v>6.9</v>
      </c>
      <c r="R2824" s="26">
        <f>Q2824*G2824</f>
        <v/>
      </c>
      <c r="S2824" t="n">
        <v>4.09</v>
      </c>
      <c r="T2824" s="18">
        <f>1 - V2824/S2824</f>
        <v/>
      </c>
      <c r="U2824" s="18" t="n">
        <v>0</v>
      </c>
      <c r="V2824" s="26" t="n">
        <v>4.09</v>
      </c>
      <c r="W2824" s="26">
        <f>V2824 - L2824</f>
        <v/>
      </c>
    </row>
    <row r="2825">
      <c r="A2825" s="11" t="n">
        <v>46231</v>
      </c>
      <c r="B2825" s="1" t="n">
        <v>20021</v>
      </c>
      <c r="C2825" s="1" t="inlineStr">
        <is>
          <t>082</t>
        </is>
      </c>
      <c r="D2825" s="1" t="inlineStr">
        <is>
          <t>270746</t>
        </is>
      </c>
      <c r="E2825" s="1" t="inlineStr">
        <is>
          <t xml:space="preserve">30141766       </t>
        </is>
      </c>
      <c r="F2825" s="5" t="inlineStr">
        <is>
          <t>TMZ BEAST MACHINES AUTOS DE METAL BLISTER X 1</t>
        </is>
      </c>
      <c r="G2825" t="n">
        <v>1</v>
      </c>
      <c r="H2825" s="7" t="n">
        <v>7.9</v>
      </c>
      <c r="I2825" s="7" t="n">
        <v>0</v>
      </c>
      <c r="J2825" s="7" t="n">
        <v>0</v>
      </c>
      <c r="K2825" s="9" t="n">
        <v>0</v>
      </c>
      <c r="L2825" s="10" t="n">
        <v>4.68</v>
      </c>
      <c r="M2825" s="10" t="n">
        <v>1.43</v>
      </c>
      <c r="N2825" t="inlineStr">
        <is>
          <t>1</t>
        </is>
      </c>
      <c r="O2825" t="inlineStr">
        <is>
          <t>16</t>
        </is>
      </c>
      <c r="P2825" t="inlineStr">
        <is>
          <t xml:space="preserve">243383  </t>
        </is>
      </c>
      <c r="Q2825" s="26" t="n">
        <v>7.9</v>
      </c>
      <c r="R2825" s="26">
        <f>Q2825*G2825</f>
        <v/>
      </c>
      <c r="S2825" t="n">
        <v>4.69</v>
      </c>
      <c r="T2825" s="18">
        <f>1 - V2825/S2825</f>
        <v/>
      </c>
      <c r="U2825" s="18" t="n">
        <v>0</v>
      </c>
      <c r="V2825" s="26" t="n">
        <v>4.69</v>
      </c>
      <c r="W2825" s="26">
        <f>V2825 - L2825</f>
        <v/>
      </c>
    </row>
    <row r="2826">
      <c r="A2826" s="11" t="n">
        <v>46231</v>
      </c>
      <c r="B2826" s="1" t="n">
        <v>20021</v>
      </c>
      <c r="C2826" s="1" t="inlineStr">
        <is>
          <t>082</t>
        </is>
      </c>
      <c r="D2826" s="1" t="inlineStr">
        <is>
          <t>270746</t>
        </is>
      </c>
      <c r="E2826" s="1" t="inlineStr">
        <is>
          <t xml:space="preserve">33483121       </t>
        </is>
      </c>
      <c r="F2826" s="5" t="inlineStr">
        <is>
          <t>HOT WHEELS ESTUCHE PARA 15 AUTOS SURTIDO</t>
        </is>
      </c>
      <c r="G2826" t="n">
        <v>1</v>
      </c>
      <c r="H2826" s="7" t="n">
        <v>34.9</v>
      </c>
      <c r="I2826" s="7" t="n">
        <v>0</v>
      </c>
      <c r="J2826" s="7" t="n">
        <v>0</v>
      </c>
      <c r="K2826" s="9" t="n">
        <v>0</v>
      </c>
      <c r="L2826" s="10" t="n">
        <v>20.71</v>
      </c>
      <c r="M2826" s="10" t="n">
        <v>1.43</v>
      </c>
      <c r="N2826" t="inlineStr">
        <is>
          <t>1</t>
        </is>
      </c>
      <c r="O2826" t="inlineStr">
        <is>
          <t>16</t>
        </is>
      </c>
      <c r="P2826" t="inlineStr">
        <is>
          <t xml:space="preserve">243383  </t>
        </is>
      </c>
      <c r="Q2826" s="26" t="n">
        <v>34.9</v>
      </c>
      <c r="R2826" s="26">
        <f>Q2826*G2826</f>
        <v/>
      </c>
      <c r="S2826" t="n">
        <v>20.7</v>
      </c>
      <c r="T2826" s="18">
        <f>1 - V2826/S2826</f>
        <v/>
      </c>
      <c r="U2826" s="18" t="n">
        <v>0</v>
      </c>
      <c r="V2826" s="26" t="n">
        <v>20.7</v>
      </c>
      <c r="W2826" s="26">
        <f>V2826 - L2826</f>
        <v/>
      </c>
    </row>
    <row r="2827">
      <c r="A2827" s="11" t="n">
        <v>46231</v>
      </c>
      <c r="B2827" s="1" t="n">
        <v>20021</v>
      </c>
      <c r="C2827" s="1" t="inlineStr">
        <is>
          <t>516</t>
        </is>
      </c>
      <c r="D2827" s="1" t="inlineStr">
        <is>
          <t xml:space="preserve">5494  </t>
        </is>
      </c>
      <c r="E2827" s="1" t="inlineStr">
        <is>
          <t xml:space="preserve">28194765       </t>
        </is>
      </c>
      <c r="F2827" s="5" t="inlineStr">
        <is>
          <t>PLAYSET COLOR CHANGE TIBURN TEAMSTERZ  1 AUTITO</t>
        </is>
      </c>
      <c r="G2827" t="n">
        <v>1</v>
      </c>
      <c r="H2827" s="7" t="n">
        <v>79.90000000000001</v>
      </c>
      <c r="I2827" s="7" t="n">
        <v>0</v>
      </c>
      <c r="J2827" s="7" t="n">
        <v>0</v>
      </c>
      <c r="K2827" s="9" t="n">
        <v>0</v>
      </c>
      <c r="L2827" s="10" t="n">
        <v>47.4</v>
      </c>
      <c r="M2827" s="10" t="n">
        <v>1.43</v>
      </c>
      <c r="N2827" t="inlineStr">
        <is>
          <t>1</t>
        </is>
      </c>
      <c r="O2827" t="inlineStr">
        <is>
          <t>16</t>
        </is>
      </c>
      <c r="P2827" t="inlineStr">
        <is>
          <t xml:space="preserve">250325  </t>
        </is>
      </c>
      <c r="Q2827" s="26" t="n">
        <v>79.90000000000001</v>
      </c>
      <c r="R2827" s="26">
        <f>Q2827*G2827</f>
        <v/>
      </c>
      <c r="S2827" t="n">
        <v>47.4</v>
      </c>
      <c r="T2827" s="18">
        <f>1 - V2827/S2827</f>
        <v/>
      </c>
      <c r="U2827" s="18" t="n">
        <v>0</v>
      </c>
      <c r="V2827" s="26" t="n">
        <v>47.4</v>
      </c>
      <c r="W2827" s="26">
        <f>V2827 - L2827</f>
        <v/>
      </c>
    </row>
    <row r="2828">
      <c r="A2828" s="11" t="n">
        <v>46231</v>
      </c>
      <c r="B2828" s="1" t="n">
        <v>20023</v>
      </c>
      <c r="C2828" s="1" t="inlineStr">
        <is>
          <t>079</t>
        </is>
      </c>
      <c r="D2828" s="1" t="inlineStr">
        <is>
          <t>290930</t>
        </is>
      </c>
      <c r="E2828" s="1" t="inlineStr">
        <is>
          <t xml:space="preserve">30141766       </t>
        </is>
      </c>
      <c r="F2828" s="5" t="inlineStr">
        <is>
          <t>TMZ BEAST MACHINES AUTOS DE METAL BLISTER X 1</t>
        </is>
      </c>
      <c r="G2828" t="n">
        <v>1</v>
      </c>
      <c r="H2828" s="7" t="n">
        <v>7.9</v>
      </c>
      <c r="I2828" s="7" t="n">
        <v>0</v>
      </c>
      <c r="J2828" s="7" t="n">
        <v>0</v>
      </c>
      <c r="K2828" s="9" t="n">
        <v>0</v>
      </c>
      <c r="L2828" s="10" t="n">
        <v>4.68</v>
      </c>
      <c r="M2828" s="10" t="n">
        <v>1.43</v>
      </c>
      <c r="N2828" t="inlineStr">
        <is>
          <t>1</t>
        </is>
      </c>
      <c r="O2828" t="inlineStr">
        <is>
          <t xml:space="preserve">2 </t>
        </is>
      </c>
      <c r="P2828" t="inlineStr">
        <is>
          <t xml:space="preserve">32921   </t>
        </is>
      </c>
      <c r="Q2828" s="26" t="n">
        <v>7.9</v>
      </c>
      <c r="R2828" s="26">
        <f>Q2828*G2828</f>
        <v/>
      </c>
      <c r="S2828" t="n">
        <v>4.69</v>
      </c>
      <c r="T2828" s="18">
        <f>1 - V2828/S2828</f>
        <v/>
      </c>
      <c r="U2828" s="18" t="n">
        <v>0</v>
      </c>
      <c r="V2828" s="26" t="n">
        <v>4.69</v>
      </c>
      <c r="W2828" s="26">
        <f>V2828 - L2828</f>
        <v/>
      </c>
    </row>
    <row r="2829">
      <c r="A2829" s="11" t="n">
        <v>46231</v>
      </c>
      <c r="B2829" s="1" t="n">
        <v>20024</v>
      </c>
      <c r="C2829" s="1" t="inlineStr">
        <is>
          <t>015</t>
        </is>
      </c>
      <c r="D2829" s="1" t="inlineStr">
        <is>
          <t xml:space="preserve">19494 </t>
        </is>
      </c>
      <c r="E2829" s="1" t="inlineStr">
        <is>
          <t xml:space="preserve">34840553       </t>
        </is>
      </c>
      <c r="F2829" s="5" t="inlineStr">
        <is>
          <t>TMZ AUTO LUZ Y SONIDO ESQUELET DINO T-REX</t>
        </is>
      </c>
      <c r="G2829" t="n">
        <v>1</v>
      </c>
      <c r="H2829" s="7" t="n">
        <v>79.90000000000001</v>
      </c>
      <c r="I2829" s="7" t="n">
        <v>0</v>
      </c>
      <c r="J2829" s="7" t="n">
        <v>0</v>
      </c>
      <c r="K2829" s="9" t="n">
        <v>0</v>
      </c>
      <c r="L2829" s="10" t="n">
        <v>47.4</v>
      </c>
      <c r="M2829" s="10" t="n">
        <v>1.43</v>
      </c>
      <c r="N2829" t="inlineStr">
        <is>
          <t>1</t>
        </is>
      </c>
      <c r="O2829" t="inlineStr">
        <is>
          <t>16</t>
        </is>
      </c>
      <c r="P2829" t="inlineStr">
        <is>
          <t xml:space="preserve">47217   </t>
        </is>
      </c>
      <c r="Q2829" s="26" t="n">
        <v>79.90000000000002</v>
      </c>
      <c r="R2829" s="26">
        <f>Q2829*G2829</f>
        <v/>
      </c>
      <c r="S2829" t="n">
        <v>47.4</v>
      </c>
      <c r="T2829" s="18">
        <f>1 - V2829/S2829</f>
        <v/>
      </c>
      <c r="U2829" s="18" t="n">
        <v>0</v>
      </c>
      <c r="V2829" s="26" t="n">
        <v>47.4</v>
      </c>
      <c r="W2829" s="26">
        <f>V2829 - L2829</f>
        <v/>
      </c>
    </row>
    <row r="2830">
      <c r="A2830" s="11" t="n">
        <v>46231</v>
      </c>
      <c r="B2830" s="1" t="n">
        <v>20024</v>
      </c>
      <c r="C2830" s="1" t="inlineStr">
        <is>
          <t>032</t>
        </is>
      </c>
      <c r="D2830" s="1" t="inlineStr">
        <is>
          <t>366271</t>
        </is>
      </c>
      <c r="E2830" s="1" t="inlineStr">
        <is>
          <t xml:space="preserve">31754676       </t>
        </is>
      </c>
      <c r="F2830" s="5" t="inlineStr">
        <is>
          <t>INFINITY NADO SERIE 6 STD PACK LANZ ESPAD ANILLO M</t>
        </is>
      </c>
      <c r="G2830" t="n">
        <v>1</v>
      </c>
      <c r="H2830" s="7" t="n">
        <v>59.9</v>
      </c>
      <c r="I2830" s="7" t="n">
        <v>0</v>
      </c>
      <c r="J2830" s="7" t="n">
        <v>0</v>
      </c>
      <c r="K2830" s="9" t="n">
        <v>0</v>
      </c>
      <c r="L2830" s="10" t="n">
        <v>35.53</v>
      </c>
      <c r="M2830" s="10" t="n">
        <v>1.43</v>
      </c>
      <c r="N2830" t="inlineStr">
        <is>
          <t>1</t>
        </is>
      </c>
      <c r="O2830" t="inlineStr">
        <is>
          <t>16</t>
        </is>
      </c>
      <c r="P2830" t="inlineStr">
        <is>
          <t xml:space="preserve">23463   </t>
        </is>
      </c>
      <c r="Q2830" s="26" t="n">
        <v>79.90000000000001</v>
      </c>
      <c r="R2830" s="26">
        <f>Q2830*G2830</f>
        <v/>
      </c>
      <c r="S2830" t="n">
        <v>47.4</v>
      </c>
      <c r="T2830" s="18">
        <f>1 - V2830/S2830</f>
        <v/>
      </c>
      <c r="U2830" s="18" t="n">
        <v>0.2503128911138924</v>
      </c>
      <c r="V2830" s="26" t="n">
        <v>38.07203389830509</v>
      </c>
      <c r="W2830" s="26">
        <f>V2830 - L2830</f>
        <v/>
      </c>
    </row>
    <row r="2831">
      <c r="A2831" s="11" t="n">
        <v>46231</v>
      </c>
      <c r="B2831" s="1" t="n">
        <v>20024</v>
      </c>
      <c r="C2831" s="1" t="inlineStr">
        <is>
          <t>032</t>
        </is>
      </c>
      <c r="D2831" s="1" t="inlineStr">
        <is>
          <t>366339</t>
        </is>
      </c>
      <c r="E2831" s="1" t="inlineStr">
        <is>
          <t xml:space="preserve">28194781       </t>
        </is>
      </c>
      <c r="F2831" s="5" t="inlineStr">
        <is>
          <t>TROMPO BATALLA INFINITY NADO SERIE V CLASICA SURTI</t>
        </is>
      </c>
      <c r="G2831" t="n">
        <v>1</v>
      </c>
      <c r="H2831" s="7" t="n">
        <v>39.9</v>
      </c>
      <c r="I2831" s="7" t="n">
        <v>0</v>
      </c>
      <c r="J2831" s="7" t="n">
        <v>0</v>
      </c>
      <c r="K2831" s="9" t="n">
        <v>0</v>
      </c>
      <c r="L2831" s="10" t="n">
        <v>23.67</v>
      </c>
      <c r="M2831" s="10" t="n">
        <v>1.43</v>
      </c>
      <c r="N2831" t="inlineStr">
        <is>
          <t>1</t>
        </is>
      </c>
      <c r="O2831" t="inlineStr">
        <is>
          <t>16</t>
        </is>
      </c>
      <c r="P2831" t="inlineStr">
        <is>
          <t xml:space="preserve">81108   </t>
        </is>
      </c>
      <c r="Q2831" s="26" t="n">
        <v>59.9</v>
      </c>
      <c r="R2831" s="26">
        <f>Q2831*G2831</f>
        <v/>
      </c>
      <c r="S2831" t="n">
        <v>35.53</v>
      </c>
      <c r="T2831" s="18">
        <f>1 - V2831/S2831</f>
        <v/>
      </c>
      <c r="U2831" s="18" t="n">
        <v>0.333889816360601</v>
      </c>
      <c r="V2831" s="26" t="n">
        <v>25.36016949152542</v>
      </c>
      <c r="W2831" s="26">
        <f>V2831 - L2831</f>
        <v/>
      </c>
    </row>
    <row r="2832">
      <c r="A2832" s="11" t="n">
        <v>46231</v>
      </c>
      <c r="B2832" s="1" t="n">
        <v>20024</v>
      </c>
      <c r="C2832" s="1" t="inlineStr">
        <is>
          <t>032</t>
        </is>
      </c>
      <c r="D2832" s="1" t="inlineStr">
        <is>
          <t>366339</t>
        </is>
      </c>
      <c r="E2832" s="1" t="inlineStr">
        <is>
          <t xml:space="preserve">28194781       </t>
        </is>
      </c>
      <c r="F2832" s="5" t="inlineStr">
        <is>
          <t>TROMPO BATALLA INFINITY NADO SERIE V CLASICA SURTI</t>
        </is>
      </c>
      <c r="G2832" t="n">
        <v>1</v>
      </c>
      <c r="H2832" s="7" t="n">
        <v>39.9</v>
      </c>
      <c r="I2832" s="7" t="n">
        <v>0</v>
      </c>
      <c r="J2832" s="7" t="n">
        <v>0</v>
      </c>
      <c r="K2832" s="9" t="n">
        <v>0</v>
      </c>
      <c r="L2832" s="10" t="n">
        <v>23.67</v>
      </c>
      <c r="M2832" s="10" t="n">
        <v>1.43</v>
      </c>
      <c r="N2832" t="inlineStr">
        <is>
          <t>1</t>
        </is>
      </c>
      <c r="O2832" t="inlineStr">
        <is>
          <t>16</t>
        </is>
      </c>
      <c r="P2832" t="inlineStr">
        <is>
          <t xml:space="preserve">81108   </t>
        </is>
      </c>
      <c r="Q2832" s="26" t="n">
        <v>59.9</v>
      </c>
      <c r="R2832" s="26">
        <f>Q2832*G2832</f>
        <v/>
      </c>
      <c r="S2832" t="n">
        <v>35.53</v>
      </c>
      <c r="T2832" s="18">
        <f>1 - V2832/S2832</f>
        <v/>
      </c>
      <c r="U2832" s="18" t="n">
        <v>0.333889816360601</v>
      </c>
      <c r="V2832" s="26" t="n">
        <v>25.36016949152542</v>
      </c>
      <c r="W2832" s="26">
        <f>V2832 - L2832</f>
        <v/>
      </c>
    </row>
    <row r="2833">
      <c r="A2833" s="11" t="n">
        <v>46231</v>
      </c>
      <c r="B2833" s="1" t="n">
        <v>20024</v>
      </c>
      <c r="C2833" s="1" t="inlineStr">
        <is>
          <t>032</t>
        </is>
      </c>
      <c r="D2833" s="1" t="inlineStr">
        <is>
          <t>366351</t>
        </is>
      </c>
      <c r="E2833" s="1" t="inlineStr">
        <is>
          <t xml:space="preserve">28194766       </t>
        </is>
      </c>
      <c r="F2833" s="5" t="inlineStr">
        <is>
          <t>CAMIONES TEAMSTERZ DE CIUDAD</t>
        </is>
      </c>
      <c r="G2833" t="n">
        <v>1</v>
      </c>
      <c r="H2833" s="7" t="n">
        <v>17.9</v>
      </c>
      <c r="I2833" s="7" t="n">
        <v>0</v>
      </c>
      <c r="J2833" s="7" t="n">
        <v>0</v>
      </c>
      <c r="K2833" s="9" t="n">
        <v>0</v>
      </c>
      <c r="L2833" s="10" t="n">
        <v>10.62</v>
      </c>
      <c r="M2833" s="10" t="n">
        <v>1.43</v>
      </c>
      <c r="N2833" t="inlineStr">
        <is>
          <t>1</t>
        </is>
      </c>
      <c r="O2833" t="inlineStr">
        <is>
          <t xml:space="preserve">2 </t>
        </is>
      </c>
      <c r="P2833" t="inlineStr">
        <is>
          <t xml:space="preserve">23463   </t>
        </is>
      </c>
      <c r="Q2833" s="26" t="n">
        <v>17.9</v>
      </c>
      <c r="R2833" s="26">
        <f>Q2833*G2833</f>
        <v/>
      </c>
      <c r="S2833" t="n">
        <v>10.62</v>
      </c>
      <c r="T2833" s="18">
        <f>1 - V2833/S2833</f>
        <v/>
      </c>
      <c r="U2833" s="18" t="n">
        <v>0</v>
      </c>
      <c r="V2833" s="26" t="n">
        <v>10.62</v>
      </c>
      <c r="W2833" s="26">
        <f>V2833 - L2833</f>
        <v/>
      </c>
    </row>
    <row r="2834">
      <c r="A2834" s="11" t="n">
        <v>46231</v>
      </c>
      <c r="B2834" s="1" t="n">
        <v>20024</v>
      </c>
      <c r="C2834" s="1" t="inlineStr">
        <is>
          <t>032</t>
        </is>
      </c>
      <c r="D2834" s="1" t="inlineStr">
        <is>
          <t>366351</t>
        </is>
      </c>
      <c r="E2834" s="1" t="inlineStr">
        <is>
          <t xml:space="preserve">28194767       </t>
        </is>
      </c>
      <c r="F2834" s="5" t="inlineStr">
        <is>
          <t>CAMIONES TEAMSTERZ DE EMERGENCIA</t>
        </is>
      </c>
      <c r="G2834" t="n">
        <v>1</v>
      </c>
      <c r="H2834" s="7" t="n">
        <v>17.9</v>
      </c>
      <c r="I2834" s="7" t="n">
        <v>0</v>
      </c>
      <c r="J2834" s="7" t="n">
        <v>0</v>
      </c>
      <c r="K2834" s="9" t="n">
        <v>0</v>
      </c>
      <c r="L2834" s="10" t="n">
        <v>10.62</v>
      </c>
      <c r="M2834" s="10" t="n">
        <v>1.43</v>
      </c>
      <c r="N2834" t="inlineStr">
        <is>
          <t>1</t>
        </is>
      </c>
      <c r="O2834" t="inlineStr">
        <is>
          <t xml:space="preserve">2 </t>
        </is>
      </c>
      <c r="P2834" t="inlineStr">
        <is>
          <t xml:space="preserve">23463   </t>
        </is>
      </c>
      <c r="Q2834" s="26" t="n">
        <v>17.9</v>
      </c>
      <c r="R2834" s="26">
        <f>Q2834*G2834</f>
        <v/>
      </c>
      <c r="S2834" t="n">
        <v>10.62</v>
      </c>
      <c r="T2834" s="18">
        <f>1 - V2834/S2834</f>
        <v/>
      </c>
      <c r="U2834" s="18" t="n">
        <v>0</v>
      </c>
      <c r="V2834" s="26" t="n">
        <v>10.62</v>
      </c>
      <c r="W2834" s="26">
        <f>V2834 - L2834</f>
        <v/>
      </c>
    </row>
    <row r="2835">
      <c r="A2835" s="11" t="n">
        <v>46231</v>
      </c>
      <c r="B2835" s="1" t="n">
        <v>20024</v>
      </c>
      <c r="C2835" s="1" t="inlineStr">
        <is>
          <t>032</t>
        </is>
      </c>
      <c r="D2835" s="1" t="inlineStr">
        <is>
          <t>366351</t>
        </is>
      </c>
      <c r="E2835" s="1" t="inlineStr">
        <is>
          <t xml:space="preserve">28194767       </t>
        </is>
      </c>
      <c r="F2835" s="5" t="inlineStr">
        <is>
          <t>CAMIONES TEAMSTERZ DE EMERGENCIA</t>
        </is>
      </c>
      <c r="G2835" t="n">
        <v>1</v>
      </c>
      <c r="H2835" s="7" t="n">
        <v>17.9</v>
      </c>
      <c r="I2835" s="7" t="n">
        <v>0</v>
      </c>
      <c r="J2835" s="7" t="n">
        <v>0</v>
      </c>
      <c r="K2835" s="9" t="n">
        <v>0</v>
      </c>
      <c r="L2835" s="10" t="n">
        <v>10.62</v>
      </c>
      <c r="M2835" s="10" t="n">
        <v>1.43</v>
      </c>
      <c r="N2835" t="inlineStr">
        <is>
          <t>1</t>
        </is>
      </c>
      <c r="O2835" t="inlineStr">
        <is>
          <t xml:space="preserve">2 </t>
        </is>
      </c>
      <c r="P2835" t="inlineStr">
        <is>
          <t xml:space="preserve">23463   </t>
        </is>
      </c>
      <c r="Q2835" s="26" t="n">
        <v>17.9</v>
      </c>
      <c r="R2835" s="26">
        <f>Q2835*G2835</f>
        <v/>
      </c>
      <c r="S2835" t="n">
        <v>10.62</v>
      </c>
      <c r="T2835" s="18">
        <f>1 - V2835/S2835</f>
        <v/>
      </c>
      <c r="U2835" s="18" t="n">
        <v>0</v>
      </c>
      <c r="V2835" s="26" t="n">
        <v>10.62</v>
      </c>
      <c r="W2835" s="26">
        <f>V2835 - L2835</f>
        <v/>
      </c>
    </row>
    <row r="2836">
      <c r="A2836" s="11" t="n">
        <v>46231</v>
      </c>
      <c r="B2836" s="1" t="n">
        <v>20024</v>
      </c>
      <c r="C2836" s="1" t="inlineStr">
        <is>
          <t>032</t>
        </is>
      </c>
      <c r="D2836" s="1" t="inlineStr">
        <is>
          <t>366351</t>
        </is>
      </c>
      <c r="E2836" s="1" t="inlineStr">
        <is>
          <t xml:space="preserve">28194767       </t>
        </is>
      </c>
      <c r="F2836" s="5" t="inlineStr">
        <is>
          <t>CAMIONES TEAMSTERZ DE EMERGENCIA</t>
        </is>
      </c>
      <c r="G2836" t="n">
        <v>1</v>
      </c>
      <c r="H2836" s="7" t="n">
        <v>17.9</v>
      </c>
      <c r="I2836" s="7" t="n">
        <v>0</v>
      </c>
      <c r="J2836" s="7" t="n">
        <v>0</v>
      </c>
      <c r="K2836" s="9" t="n">
        <v>0</v>
      </c>
      <c r="L2836" s="10" t="n">
        <v>10.62</v>
      </c>
      <c r="M2836" s="10" t="n">
        <v>1.43</v>
      </c>
      <c r="N2836" t="inlineStr">
        <is>
          <t>1</t>
        </is>
      </c>
      <c r="O2836" t="inlineStr">
        <is>
          <t xml:space="preserve">2 </t>
        </is>
      </c>
      <c r="P2836" t="inlineStr">
        <is>
          <t xml:space="preserve">23463   </t>
        </is>
      </c>
      <c r="Q2836" s="26" t="n">
        <v>17.9</v>
      </c>
      <c r="R2836" s="26">
        <f>Q2836*G2836</f>
        <v/>
      </c>
      <c r="S2836" t="n">
        <v>10.62</v>
      </c>
      <c r="T2836" s="18">
        <f>1 - V2836/S2836</f>
        <v/>
      </c>
      <c r="U2836" s="18" t="n">
        <v>0</v>
      </c>
      <c r="V2836" s="26" t="n">
        <v>10.62</v>
      </c>
      <c r="W2836" s="26">
        <f>V2836 - L2836</f>
        <v/>
      </c>
    </row>
    <row r="2837">
      <c r="A2837" s="11" t="n">
        <v>46231</v>
      </c>
      <c r="B2837" s="1" t="n">
        <v>20024</v>
      </c>
      <c r="C2837" s="1" t="inlineStr">
        <is>
          <t>806</t>
        </is>
      </c>
      <c r="D2837" s="1" t="inlineStr">
        <is>
          <t xml:space="preserve">9502  </t>
        </is>
      </c>
      <c r="E2837" s="1" t="inlineStr">
        <is>
          <t xml:space="preserve">32656417       </t>
        </is>
      </c>
      <c r="F2837" s="5" t="inlineStr">
        <is>
          <t>NO DESPIERTES A PAPA</t>
        </is>
      </c>
      <c r="G2837" t="n">
        <v>1</v>
      </c>
      <c r="H2837" s="7" t="n">
        <v>39.9</v>
      </c>
      <c r="I2837" s="7" t="n">
        <v>0</v>
      </c>
      <c r="J2837" s="7" t="n">
        <v>0</v>
      </c>
      <c r="K2837" s="9" t="n">
        <v>0</v>
      </c>
      <c r="L2837" s="10" t="n">
        <v>23.67</v>
      </c>
      <c r="M2837" s="10" t="n">
        <v>1.43</v>
      </c>
      <c r="N2837" t="inlineStr">
        <is>
          <t>1</t>
        </is>
      </c>
      <c r="O2837" t="inlineStr">
        <is>
          <t>16</t>
        </is>
      </c>
      <c r="P2837" t="inlineStr">
        <is>
          <t xml:space="preserve">0       </t>
        </is>
      </c>
      <c r="Q2837" s="26" t="n">
        <v>89.90000000000001</v>
      </c>
      <c r="R2837" s="26">
        <f>Q2837*G2837</f>
        <v/>
      </c>
      <c r="S2837" t="n">
        <v>53.33</v>
      </c>
      <c r="T2837" s="18">
        <f>1 - V2837/S2837</f>
        <v/>
      </c>
      <c r="U2837" s="18" t="n">
        <v>0.5561735261401557</v>
      </c>
      <c r="V2837" s="26" t="n">
        <v>32.11949152542373</v>
      </c>
      <c r="W2837" s="26">
        <f>V2837 - L2837</f>
        <v/>
      </c>
    </row>
    <row r="2838">
      <c r="A2838" s="11" t="n">
        <v>46231</v>
      </c>
      <c r="B2838" s="1" t="n">
        <v>20025</v>
      </c>
      <c r="C2838" s="1" t="inlineStr">
        <is>
          <t>074</t>
        </is>
      </c>
      <c r="D2838" s="1" t="inlineStr">
        <is>
          <t xml:space="preserve">83775 </t>
        </is>
      </c>
      <c r="E2838" s="1" t="inlineStr">
        <is>
          <t xml:space="preserve">31959961       </t>
        </is>
      </c>
      <c r="F2838" s="5" t="inlineStr">
        <is>
          <t>TEAMSTERZ CAMBIA DE COLOR PACK DE 3 AUTOS</t>
        </is>
      </c>
      <c r="G2838" t="n">
        <v>1</v>
      </c>
      <c r="H2838" s="7" t="n">
        <v>49.9</v>
      </c>
      <c r="I2838" s="7" t="n">
        <v>4.99</v>
      </c>
      <c r="J2838" s="7" t="n">
        <v>0</v>
      </c>
      <c r="K2838" s="9" t="n">
        <v>4.99</v>
      </c>
      <c r="L2838" s="10" t="n">
        <v>26.64</v>
      </c>
      <c r="M2838" s="10" t="n">
        <v>1.43</v>
      </c>
      <c r="N2838" t="inlineStr">
        <is>
          <t>1</t>
        </is>
      </c>
      <c r="O2838" t="inlineStr">
        <is>
          <t xml:space="preserve">3 </t>
        </is>
      </c>
      <c r="P2838" t="inlineStr">
        <is>
          <t xml:space="preserve">250254  </t>
        </is>
      </c>
      <c r="Q2838" s="26" t="n">
        <v>49.9</v>
      </c>
      <c r="R2838" s="26">
        <f>Q2838*G2838</f>
        <v/>
      </c>
      <c r="S2838" t="n">
        <v>29.6</v>
      </c>
      <c r="T2838" s="18">
        <f>1 - V2838/S2838</f>
        <v/>
      </c>
      <c r="U2838" s="18" t="n">
        <v>0</v>
      </c>
      <c r="V2838" s="26" t="n">
        <v>29.6</v>
      </c>
      <c r="W2838" s="26">
        <f>V2838 - L2838</f>
        <v/>
      </c>
    </row>
    <row r="2839">
      <c r="A2839" s="11" t="n">
        <v>46231</v>
      </c>
      <c r="B2839" s="1" t="n">
        <v>20025</v>
      </c>
      <c r="C2839" s="1" t="inlineStr">
        <is>
          <t>074</t>
        </is>
      </c>
      <c r="D2839" s="1" t="inlineStr">
        <is>
          <t xml:space="preserve">83789 </t>
        </is>
      </c>
      <c r="E2839" s="1" t="inlineStr">
        <is>
          <t xml:space="preserve">31959958       </t>
        </is>
      </c>
      <c r="F2839" s="5" t="inlineStr">
        <is>
          <t>TMZ BEAST MACHINE AUTOS DE METAL PACK 3 AUTOS</t>
        </is>
      </c>
      <c r="G2839" t="n">
        <v>1</v>
      </c>
      <c r="H2839" s="7" t="n">
        <v>23.7</v>
      </c>
      <c r="I2839" s="7" t="n">
        <v>0</v>
      </c>
      <c r="J2839" s="7" t="n">
        <v>0</v>
      </c>
      <c r="K2839" s="9" t="n">
        <v>0</v>
      </c>
      <c r="L2839" s="10" t="n">
        <v>14.06</v>
      </c>
      <c r="M2839" s="10" t="n">
        <v>1.43</v>
      </c>
      <c r="N2839" t="inlineStr">
        <is>
          <t>1</t>
        </is>
      </c>
      <c r="O2839" t="inlineStr">
        <is>
          <t>16</t>
        </is>
      </c>
      <c r="P2839" t="inlineStr">
        <is>
          <t xml:space="preserve">250254  </t>
        </is>
      </c>
      <c r="Q2839" s="26" t="n">
        <v>23.7</v>
      </c>
      <c r="R2839" s="26">
        <f>Q2839*G2839</f>
        <v/>
      </c>
      <c r="S2839" t="n">
        <v>14.06</v>
      </c>
      <c r="T2839" s="18">
        <f>1 - V2839/S2839</f>
        <v/>
      </c>
      <c r="U2839" s="18" t="n">
        <v>0</v>
      </c>
      <c r="V2839" s="26" t="n">
        <v>14.06</v>
      </c>
      <c r="W2839" s="26">
        <f>V2839 - L2839</f>
        <v/>
      </c>
    </row>
    <row r="2840">
      <c r="A2840" s="11" t="n">
        <v>46231</v>
      </c>
      <c r="B2840" s="1" t="n">
        <v>20028</v>
      </c>
      <c r="C2840" s="1" t="inlineStr">
        <is>
          <t>019</t>
        </is>
      </c>
      <c r="D2840" s="1" t="inlineStr">
        <is>
          <t>115024</t>
        </is>
      </c>
      <c r="E2840" s="1" t="inlineStr">
        <is>
          <t xml:space="preserve">28194780       </t>
        </is>
      </c>
      <c r="F2840" s="5" t="inlineStr">
        <is>
          <t>TROMPO BATALLA INFINITY NADO PLSTICO SURTIDO</t>
        </is>
      </c>
      <c r="G2840" t="n">
        <v>1</v>
      </c>
      <c r="H2840" s="7" t="n">
        <v>19.9</v>
      </c>
      <c r="I2840" s="7" t="n">
        <v>1.99</v>
      </c>
      <c r="J2840" s="7" t="n">
        <v>0</v>
      </c>
      <c r="K2840" s="9" t="n">
        <v>1.99</v>
      </c>
      <c r="L2840" s="10" t="n">
        <v>10.63</v>
      </c>
      <c r="M2840" s="10" t="n">
        <v>1.43</v>
      </c>
      <c r="N2840" t="inlineStr">
        <is>
          <t>1</t>
        </is>
      </c>
      <c r="O2840" t="inlineStr">
        <is>
          <t xml:space="preserve">3 </t>
        </is>
      </c>
      <c r="P2840" t="inlineStr">
        <is>
          <t xml:space="preserve">35540   </t>
        </is>
      </c>
      <c r="Q2840" s="26" t="n">
        <v>19.9</v>
      </c>
      <c r="R2840" s="26">
        <f>Q2840*G2840</f>
        <v/>
      </c>
      <c r="S2840" t="n">
        <v>11.81</v>
      </c>
      <c r="T2840" s="18">
        <f>1 - V2840/S2840</f>
        <v/>
      </c>
      <c r="U2840" s="18" t="n">
        <v>0</v>
      </c>
      <c r="V2840" s="26" t="n">
        <v>11.81</v>
      </c>
      <c r="W2840" s="26">
        <f>V2840 - L2840</f>
        <v/>
      </c>
    </row>
    <row r="2841">
      <c r="A2841" s="11" t="n">
        <v>46231</v>
      </c>
      <c r="B2841" s="1" t="n">
        <v>20028</v>
      </c>
      <c r="C2841" s="1" t="inlineStr">
        <is>
          <t>019</t>
        </is>
      </c>
      <c r="D2841" s="1" t="inlineStr">
        <is>
          <t>115024</t>
        </is>
      </c>
      <c r="E2841" s="1" t="inlineStr">
        <is>
          <t xml:space="preserve">28194780       </t>
        </is>
      </c>
      <c r="F2841" s="5" t="inlineStr">
        <is>
          <t>TROMPO BATALLA INFINITY NADO PLSTICO SURTIDO</t>
        </is>
      </c>
      <c r="G2841" t="n">
        <v>1</v>
      </c>
      <c r="H2841" s="7" t="n">
        <v>19.9</v>
      </c>
      <c r="I2841" s="7" t="n">
        <v>1.99</v>
      </c>
      <c r="J2841" s="7" t="n">
        <v>0</v>
      </c>
      <c r="K2841" s="9" t="n">
        <v>1.99</v>
      </c>
      <c r="L2841" s="10" t="n">
        <v>10.63</v>
      </c>
      <c r="M2841" s="10" t="n">
        <v>1.43</v>
      </c>
      <c r="N2841" t="inlineStr">
        <is>
          <t>1</t>
        </is>
      </c>
      <c r="O2841" t="inlineStr">
        <is>
          <t xml:space="preserve">3 </t>
        </is>
      </c>
      <c r="P2841" t="inlineStr">
        <is>
          <t xml:space="preserve">35540   </t>
        </is>
      </c>
      <c r="Q2841" s="26" t="n">
        <v>19.9</v>
      </c>
      <c r="R2841" s="26">
        <f>Q2841*G2841</f>
        <v/>
      </c>
      <c r="S2841" t="n">
        <v>11.81</v>
      </c>
      <c r="T2841" s="18">
        <f>1 - V2841/S2841</f>
        <v/>
      </c>
      <c r="U2841" s="18" t="n">
        <v>0</v>
      </c>
      <c r="V2841" s="26" t="n">
        <v>11.81</v>
      </c>
      <c r="W2841" s="26">
        <f>V2841 - L2841</f>
        <v/>
      </c>
    </row>
    <row r="2842">
      <c r="A2842" s="11" t="n">
        <v>46231</v>
      </c>
      <c r="B2842" s="1" t="n">
        <v>20028</v>
      </c>
      <c r="C2842" s="1" t="inlineStr">
        <is>
          <t>019</t>
        </is>
      </c>
      <c r="D2842" s="1" t="inlineStr">
        <is>
          <t>115024</t>
        </is>
      </c>
      <c r="E2842" s="1" t="inlineStr">
        <is>
          <t xml:space="preserve">28194780       </t>
        </is>
      </c>
      <c r="F2842" s="5" t="inlineStr">
        <is>
          <t>TROMPO BATALLA INFINITY NADO PLSTICO SURTIDO</t>
        </is>
      </c>
      <c r="G2842" t="n">
        <v>1</v>
      </c>
      <c r="H2842" s="7" t="n">
        <v>19.9</v>
      </c>
      <c r="I2842" s="7" t="n">
        <v>1.99</v>
      </c>
      <c r="J2842" s="7" t="n">
        <v>0</v>
      </c>
      <c r="K2842" s="9" t="n">
        <v>1.99</v>
      </c>
      <c r="L2842" s="10" t="n">
        <v>10.63</v>
      </c>
      <c r="M2842" s="10" t="n">
        <v>1.43</v>
      </c>
      <c r="N2842" t="inlineStr">
        <is>
          <t>1</t>
        </is>
      </c>
      <c r="O2842" t="inlineStr">
        <is>
          <t xml:space="preserve">3 </t>
        </is>
      </c>
      <c r="P2842" t="inlineStr">
        <is>
          <t xml:space="preserve">35540   </t>
        </is>
      </c>
      <c r="Q2842" s="26" t="n">
        <v>19.9</v>
      </c>
      <c r="R2842" s="26">
        <f>Q2842*G2842</f>
        <v/>
      </c>
      <c r="S2842" t="n">
        <v>11.81</v>
      </c>
      <c r="T2842" s="18">
        <f>1 - V2842/S2842</f>
        <v/>
      </c>
      <c r="U2842" s="18" t="n">
        <v>0</v>
      </c>
      <c r="V2842" s="26" t="n">
        <v>11.81</v>
      </c>
      <c r="W2842" s="26">
        <f>V2842 - L2842</f>
        <v/>
      </c>
    </row>
    <row r="2843">
      <c r="A2843" s="11" t="n">
        <v>46231</v>
      </c>
      <c r="B2843" s="1" t="n">
        <v>20028</v>
      </c>
      <c r="C2843" s="1" t="inlineStr">
        <is>
          <t>019</t>
        </is>
      </c>
      <c r="D2843" s="1" t="inlineStr">
        <is>
          <t>115024</t>
        </is>
      </c>
      <c r="E2843" s="1" t="inlineStr">
        <is>
          <t xml:space="preserve">28194780       </t>
        </is>
      </c>
      <c r="F2843" s="5" t="inlineStr">
        <is>
          <t>TROMPO BATALLA INFINITY NADO PLSTICO SURTIDO</t>
        </is>
      </c>
      <c r="G2843" t="n">
        <v>1</v>
      </c>
      <c r="H2843" s="7" t="n">
        <v>19.9</v>
      </c>
      <c r="I2843" s="7" t="n">
        <v>1.99</v>
      </c>
      <c r="J2843" s="7" t="n">
        <v>0</v>
      </c>
      <c r="K2843" s="9" t="n">
        <v>1.99</v>
      </c>
      <c r="L2843" s="10" t="n">
        <v>10.63</v>
      </c>
      <c r="M2843" s="10" t="n">
        <v>1.43</v>
      </c>
      <c r="N2843" t="inlineStr">
        <is>
          <t>1</t>
        </is>
      </c>
      <c r="O2843" t="inlineStr">
        <is>
          <t xml:space="preserve">3 </t>
        </is>
      </c>
      <c r="P2843" t="inlineStr">
        <is>
          <t xml:space="preserve">35540   </t>
        </is>
      </c>
      <c r="Q2843" s="26" t="n">
        <v>19.9</v>
      </c>
      <c r="R2843" s="26">
        <f>Q2843*G2843</f>
        <v/>
      </c>
      <c r="S2843" t="n">
        <v>11.81</v>
      </c>
      <c r="T2843" s="18">
        <f>1 - V2843/S2843</f>
        <v/>
      </c>
      <c r="U2843" s="18" t="n">
        <v>0</v>
      </c>
      <c r="V2843" s="26" t="n">
        <v>11.81</v>
      </c>
      <c r="W2843" s="26">
        <f>V2843 - L2843</f>
        <v/>
      </c>
    </row>
    <row r="2844">
      <c r="A2844" s="11" t="n">
        <v>46231</v>
      </c>
      <c r="B2844" s="1" t="n">
        <v>20028</v>
      </c>
      <c r="C2844" s="1" t="inlineStr">
        <is>
          <t>019</t>
        </is>
      </c>
      <c r="D2844" s="1" t="inlineStr">
        <is>
          <t>115024</t>
        </is>
      </c>
      <c r="E2844" s="1" t="inlineStr">
        <is>
          <t xml:space="preserve">28194780       </t>
        </is>
      </c>
      <c r="F2844" s="5" t="inlineStr">
        <is>
          <t>TROMPO BATALLA INFINITY NADO PLSTICO SURTIDO</t>
        </is>
      </c>
      <c r="G2844" t="n">
        <v>1</v>
      </c>
      <c r="H2844" s="7" t="n">
        <v>19.9</v>
      </c>
      <c r="I2844" s="7" t="n">
        <v>1.99</v>
      </c>
      <c r="J2844" s="7" t="n">
        <v>0</v>
      </c>
      <c r="K2844" s="9" t="n">
        <v>1.99</v>
      </c>
      <c r="L2844" s="10" t="n">
        <v>10.63</v>
      </c>
      <c r="M2844" s="10" t="n">
        <v>1.43</v>
      </c>
      <c r="N2844" t="inlineStr">
        <is>
          <t>1</t>
        </is>
      </c>
      <c r="O2844" t="inlineStr">
        <is>
          <t xml:space="preserve">3 </t>
        </is>
      </c>
      <c r="P2844" t="inlineStr">
        <is>
          <t xml:space="preserve">35540   </t>
        </is>
      </c>
      <c r="Q2844" s="26" t="n">
        <v>19.9</v>
      </c>
      <c r="R2844" s="26">
        <f>Q2844*G2844</f>
        <v/>
      </c>
      <c r="S2844" t="n">
        <v>11.81</v>
      </c>
      <c r="T2844" s="18">
        <f>1 - V2844/S2844</f>
        <v/>
      </c>
      <c r="U2844" s="18" t="n">
        <v>0</v>
      </c>
      <c r="V2844" s="26" t="n">
        <v>11.81</v>
      </c>
      <c r="W2844" s="26">
        <f>V2844 - L2844</f>
        <v/>
      </c>
    </row>
    <row r="2845">
      <c r="A2845" s="11" t="n">
        <v>46231</v>
      </c>
      <c r="B2845" s="1" t="n">
        <v>20028</v>
      </c>
      <c r="C2845" s="1" t="inlineStr">
        <is>
          <t>068</t>
        </is>
      </c>
      <c r="D2845" s="1" t="inlineStr">
        <is>
          <t>166296</t>
        </is>
      </c>
      <c r="E2845" s="1" t="inlineStr">
        <is>
          <t xml:space="preserve">28194780       </t>
        </is>
      </c>
      <c r="F2845" s="5" t="inlineStr">
        <is>
          <t>TROMPO BATALLA INFINITY NADO PLSTICO SURTIDO</t>
        </is>
      </c>
      <c r="G2845" t="n">
        <v>1</v>
      </c>
      <c r="H2845" s="7" t="n">
        <v>19.9</v>
      </c>
      <c r="I2845" s="7" t="n">
        <v>3.98</v>
      </c>
      <c r="J2845" s="7" t="n">
        <v>0</v>
      </c>
      <c r="K2845" s="9" t="n">
        <v>3.98</v>
      </c>
      <c r="L2845" s="10" t="n">
        <v>9.44</v>
      </c>
      <c r="M2845" s="10" t="n">
        <v>1.43</v>
      </c>
      <c r="N2845" t="inlineStr">
        <is>
          <t>1</t>
        </is>
      </c>
      <c r="O2845" t="inlineStr">
        <is>
          <t xml:space="preserve">6 </t>
        </is>
      </c>
      <c r="P2845" t="inlineStr">
        <is>
          <t xml:space="preserve">234051  </t>
        </is>
      </c>
      <c r="Q2845" s="26" t="n">
        <v>19.9</v>
      </c>
      <c r="R2845" s="26">
        <f>Q2845*G2845</f>
        <v/>
      </c>
      <c r="S2845" t="n">
        <v>11.81</v>
      </c>
      <c r="T2845" s="18">
        <f>1 - V2845/S2845</f>
        <v/>
      </c>
      <c r="U2845" s="18" t="n">
        <v>0</v>
      </c>
      <c r="V2845" s="26" t="n">
        <v>11.81</v>
      </c>
      <c r="W2845" s="26">
        <f>V2845 - L2845</f>
        <v/>
      </c>
    </row>
    <row r="2846">
      <c r="A2846" s="11" t="n">
        <v>46231</v>
      </c>
      <c r="B2846" s="1" t="n">
        <v>20028</v>
      </c>
      <c r="C2846" s="1" t="inlineStr">
        <is>
          <t>068</t>
        </is>
      </c>
      <c r="D2846" s="1" t="inlineStr">
        <is>
          <t>166296</t>
        </is>
      </c>
      <c r="E2846" s="1" t="inlineStr">
        <is>
          <t xml:space="preserve">28194780       </t>
        </is>
      </c>
      <c r="F2846" s="5" t="inlineStr">
        <is>
          <t>TROMPO BATALLA INFINITY NADO PLSTICO SURTIDO</t>
        </is>
      </c>
      <c r="G2846" t="n">
        <v>1</v>
      </c>
      <c r="H2846" s="7" t="n">
        <v>19.9</v>
      </c>
      <c r="I2846" s="7" t="n">
        <v>3.98</v>
      </c>
      <c r="J2846" s="7" t="n">
        <v>0</v>
      </c>
      <c r="K2846" s="9" t="n">
        <v>3.98</v>
      </c>
      <c r="L2846" s="10" t="n">
        <v>9.44</v>
      </c>
      <c r="M2846" s="10" t="n">
        <v>1.43</v>
      </c>
      <c r="N2846" t="inlineStr">
        <is>
          <t>1</t>
        </is>
      </c>
      <c r="O2846" t="inlineStr">
        <is>
          <t xml:space="preserve">6 </t>
        </is>
      </c>
      <c r="P2846" t="inlineStr">
        <is>
          <t xml:space="preserve">234051  </t>
        </is>
      </c>
      <c r="Q2846" s="26" t="n">
        <v>19.9</v>
      </c>
      <c r="R2846" s="26">
        <f>Q2846*G2846</f>
        <v/>
      </c>
      <c r="S2846" t="n">
        <v>11.81</v>
      </c>
      <c r="T2846" s="18">
        <f>1 - V2846/S2846</f>
        <v/>
      </c>
      <c r="U2846" s="18" t="n">
        <v>0</v>
      </c>
      <c r="V2846" s="26" t="n">
        <v>11.81</v>
      </c>
      <c r="W2846" s="26">
        <f>V2846 - L2846</f>
        <v/>
      </c>
    </row>
    <row r="2847">
      <c r="A2847" s="11" t="n">
        <v>46231</v>
      </c>
      <c r="B2847" s="1" t="n">
        <v>20028</v>
      </c>
      <c r="C2847" s="1" t="inlineStr">
        <is>
          <t>802</t>
        </is>
      </c>
      <c r="D2847" s="1" t="inlineStr">
        <is>
          <t xml:space="preserve">9322  </t>
        </is>
      </c>
      <c r="E2847" s="1" t="inlineStr">
        <is>
          <t xml:space="preserve">31754675       </t>
        </is>
      </c>
      <c r="F2847" s="5" t="inlineStr">
        <is>
          <t>INFINITY NADO SERIE 6 STARTER PACK - 4 MODELOS</t>
        </is>
      </c>
      <c r="G2847" t="n">
        <v>1</v>
      </c>
      <c r="H2847" s="7" t="n">
        <v>49.9</v>
      </c>
      <c r="I2847" s="7" t="n">
        <v>4.99</v>
      </c>
      <c r="J2847" s="7" t="n">
        <v>0</v>
      </c>
      <c r="K2847" s="9" t="n">
        <v>4.99</v>
      </c>
      <c r="L2847" s="10" t="n">
        <v>26.64</v>
      </c>
      <c r="M2847" s="10" t="n">
        <v>1.43</v>
      </c>
      <c r="N2847" t="inlineStr">
        <is>
          <t>1</t>
        </is>
      </c>
      <c r="O2847" t="inlineStr">
        <is>
          <t>16</t>
        </is>
      </c>
      <c r="P2847" t="inlineStr">
        <is>
          <t xml:space="preserve">0       </t>
        </is>
      </c>
      <c r="Q2847" s="26" t="n">
        <v>69.90000000000001</v>
      </c>
      <c r="R2847" s="26">
        <f>Q2847*G2847</f>
        <v/>
      </c>
      <c r="S2847" t="n">
        <v>41.47</v>
      </c>
      <c r="T2847" s="18">
        <f>1 - V2847/S2847</f>
        <v/>
      </c>
      <c r="U2847" s="18" t="n">
        <v>0.2861230329041489</v>
      </c>
      <c r="V2847" s="26" t="n">
        <v>31.71610169491525</v>
      </c>
      <c r="W2847" s="26">
        <f>V2847 - L2847</f>
        <v/>
      </c>
    </row>
    <row r="2848">
      <c r="A2848" s="11" t="n">
        <v>46231</v>
      </c>
      <c r="B2848" s="1" t="n">
        <v>20030</v>
      </c>
      <c r="C2848" s="1" t="inlineStr">
        <is>
          <t>067</t>
        </is>
      </c>
      <c r="D2848" s="1" t="inlineStr">
        <is>
          <t>275289</t>
        </is>
      </c>
      <c r="E2848" s="1" t="inlineStr">
        <is>
          <t xml:space="preserve">28194770       </t>
        </is>
      </c>
      <c r="F2848" s="5" t="inlineStr">
        <is>
          <t>AUTOS DE METAL 3 TEAMSTERZ EN BLISTER</t>
        </is>
      </c>
      <c r="G2848" t="n">
        <v>1</v>
      </c>
      <c r="H2848" s="7" t="n">
        <v>6.9</v>
      </c>
      <c r="I2848" s="7" t="n">
        <v>0</v>
      </c>
      <c r="J2848" s="7" t="n">
        <v>0</v>
      </c>
      <c r="K2848" s="9" t="n">
        <v>0</v>
      </c>
      <c r="L2848" s="10" t="n">
        <v>4.1</v>
      </c>
      <c r="M2848" s="10" t="n">
        <v>1.43</v>
      </c>
      <c r="N2848" t="inlineStr">
        <is>
          <t>1</t>
        </is>
      </c>
      <c r="O2848" t="inlineStr">
        <is>
          <t>16</t>
        </is>
      </c>
      <c r="P2848" t="inlineStr">
        <is>
          <t xml:space="preserve">27455   </t>
        </is>
      </c>
      <c r="Q2848" s="26" t="n">
        <v>6.9</v>
      </c>
      <c r="R2848" s="26">
        <f>Q2848*G2848</f>
        <v/>
      </c>
      <c r="S2848" t="n">
        <v>4.09</v>
      </c>
      <c r="T2848" s="18">
        <f>1 - V2848/S2848</f>
        <v/>
      </c>
      <c r="U2848" s="18" t="n">
        <v>0</v>
      </c>
      <c r="V2848" s="26" t="n">
        <v>4.09</v>
      </c>
      <c r="W2848" s="26">
        <f>V2848 - L2848</f>
        <v/>
      </c>
    </row>
    <row r="2849">
      <c r="A2849" s="11" t="n">
        <v>46231</v>
      </c>
      <c r="B2849" s="1" t="n">
        <v>20030</v>
      </c>
      <c r="C2849" s="1" t="inlineStr">
        <is>
          <t>067</t>
        </is>
      </c>
      <c r="D2849" s="1" t="inlineStr">
        <is>
          <t>275289</t>
        </is>
      </c>
      <c r="E2849" s="1" t="inlineStr">
        <is>
          <t xml:space="preserve">28194770       </t>
        </is>
      </c>
      <c r="F2849" s="5" t="inlineStr">
        <is>
          <t>AUTOS DE METAL 3 TEAMSTERZ EN BLISTER</t>
        </is>
      </c>
      <c r="G2849" t="n">
        <v>1</v>
      </c>
      <c r="H2849" s="7" t="n">
        <v>6.9</v>
      </c>
      <c r="I2849" s="7" t="n">
        <v>0</v>
      </c>
      <c r="J2849" s="7" t="n">
        <v>0</v>
      </c>
      <c r="K2849" s="9" t="n">
        <v>0</v>
      </c>
      <c r="L2849" s="10" t="n">
        <v>4.1</v>
      </c>
      <c r="M2849" s="10" t="n">
        <v>1.43</v>
      </c>
      <c r="N2849" t="inlineStr">
        <is>
          <t>1</t>
        </is>
      </c>
      <c r="O2849" t="inlineStr">
        <is>
          <t>16</t>
        </is>
      </c>
      <c r="P2849" t="inlineStr">
        <is>
          <t xml:space="preserve">27455   </t>
        </is>
      </c>
      <c r="Q2849" s="26" t="n">
        <v>6.9</v>
      </c>
      <c r="R2849" s="26">
        <f>Q2849*G2849</f>
        <v/>
      </c>
      <c r="S2849" t="n">
        <v>4.09</v>
      </c>
      <c r="T2849" s="18">
        <f>1 - V2849/S2849</f>
        <v/>
      </c>
      <c r="U2849" s="18" t="n">
        <v>0</v>
      </c>
      <c r="V2849" s="26" t="n">
        <v>4.09</v>
      </c>
      <c r="W2849" s="26">
        <f>V2849 - L2849</f>
        <v/>
      </c>
    </row>
    <row r="2850">
      <c r="A2850" s="11" t="n">
        <v>46231</v>
      </c>
      <c r="B2850" s="1" t="n">
        <v>20040</v>
      </c>
      <c r="C2850" s="1" t="inlineStr">
        <is>
          <t>083</t>
        </is>
      </c>
      <c r="D2850" s="1" t="inlineStr">
        <is>
          <t>160970</t>
        </is>
      </c>
      <c r="E2850" s="1" t="inlineStr">
        <is>
          <t xml:space="preserve">31675352       </t>
        </is>
      </c>
      <c r="F2850" s="5" t="inlineStr">
        <is>
          <t>MI PEQUENO NENUCO</t>
        </is>
      </c>
      <c r="G2850" t="n">
        <v>1</v>
      </c>
      <c r="H2850" s="7" t="n">
        <v>49.9</v>
      </c>
      <c r="I2850" s="7" t="n">
        <v>0</v>
      </c>
      <c r="J2850" s="7" t="n">
        <v>0</v>
      </c>
      <c r="K2850" s="9" t="n">
        <v>0</v>
      </c>
      <c r="L2850" s="10" t="n">
        <v>29.6</v>
      </c>
      <c r="M2850" s="10" t="n">
        <v>1.43</v>
      </c>
      <c r="N2850" t="inlineStr">
        <is>
          <t>1</t>
        </is>
      </c>
      <c r="O2850" t="inlineStr">
        <is>
          <t xml:space="preserve">2 </t>
        </is>
      </c>
      <c r="P2850" t="inlineStr">
        <is>
          <t xml:space="preserve">242786  </t>
        </is>
      </c>
      <c r="Q2850" s="26" t="n">
        <v>69.90000000000001</v>
      </c>
      <c r="R2850" s="26">
        <f>Q2850*G2850</f>
        <v/>
      </c>
      <c r="S2850" t="n">
        <v>41.47</v>
      </c>
      <c r="T2850" s="18">
        <f>1 - V2850/S2850</f>
        <v/>
      </c>
      <c r="U2850" s="18" t="n">
        <v>0.2861230329041489</v>
      </c>
      <c r="V2850" s="26" t="n">
        <v>31.71610169491525</v>
      </c>
      <c r="W2850" s="26">
        <f>V2850 - L2850</f>
        <v/>
      </c>
    </row>
    <row r="2851">
      <c r="A2851" s="11" t="n">
        <v>46231</v>
      </c>
      <c r="B2851" s="1" t="n">
        <v>20040</v>
      </c>
      <c r="C2851" s="1" t="inlineStr">
        <is>
          <t>190</t>
        </is>
      </c>
      <c r="D2851" s="1" t="inlineStr">
        <is>
          <t>369322</t>
        </is>
      </c>
      <c r="E2851" s="1" t="inlineStr">
        <is>
          <t xml:space="preserve">30232283       </t>
        </is>
      </c>
      <c r="F2851" s="5" t="inlineStr">
        <is>
          <t>INFINITY NADO PACK DE 2 TROMPOS DE BATALLA METAL</t>
        </is>
      </c>
      <c r="G2851" t="n">
        <v>1</v>
      </c>
      <c r="H2851" s="7" t="n">
        <v>59.9</v>
      </c>
      <c r="I2851" s="7" t="n">
        <v>0</v>
      </c>
      <c r="J2851" s="7" t="n">
        <v>0</v>
      </c>
      <c r="K2851" s="9" t="n">
        <v>0</v>
      </c>
      <c r="L2851" s="10" t="n">
        <v>35.53</v>
      </c>
      <c r="M2851" s="10" t="n">
        <v>1.43</v>
      </c>
      <c r="N2851" t="inlineStr">
        <is>
          <t>1</t>
        </is>
      </c>
      <c r="O2851" t="inlineStr">
        <is>
          <t xml:space="preserve">2 </t>
        </is>
      </c>
      <c r="P2851" t="inlineStr">
        <is>
          <t xml:space="preserve">247275  </t>
        </is>
      </c>
      <c r="Q2851" s="26" t="n">
        <v>79.90000000000001</v>
      </c>
      <c r="R2851" s="26">
        <f>Q2851*G2851</f>
        <v/>
      </c>
      <c r="S2851" t="n">
        <v>47.4</v>
      </c>
      <c r="T2851" s="18">
        <f>1 - V2851/S2851</f>
        <v/>
      </c>
      <c r="U2851" s="18" t="n">
        <v>0.2503128911138924</v>
      </c>
      <c r="V2851" s="26" t="n">
        <v>38.07203389830509</v>
      </c>
      <c r="W2851" s="26">
        <f>V2851 - L2851</f>
        <v/>
      </c>
    </row>
    <row r="2852">
      <c r="A2852" s="11" t="n">
        <v>46231</v>
      </c>
      <c r="B2852" s="1" t="n">
        <v>20040</v>
      </c>
      <c r="C2852" s="1" t="inlineStr">
        <is>
          <t>832</t>
        </is>
      </c>
      <c r="D2852" s="1" t="inlineStr">
        <is>
          <t xml:space="preserve">3748  </t>
        </is>
      </c>
      <c r="E2852" s="1" t="inlineStr">
        <is>
          <t xml:space="preserve">31754676       </t>
        </is>
      </c>
      <c r="F2852" s="5" t="inlineStr">
        <is>
          <t>INFINITY NADO SERIE 6 STD PACK LANZ ESPAD ANILLO M</t>
        </is>
      </c>
      <c r="G2852" t="n">
        <v>1</v>
      </c>
      <c r="H2852" s="7" t="n">
        <v>59.9</v>
      </c>
      <c r="I2852" s="7" t="n">
        <v>0</v>
      </c>
      <c r="J2852" s="7" t="n">
        <v>0</v>
      </c>
      <c r="K2852" s="9" t="n">
        <v>0</v>
      </c>
      <c r="L2852" s="10" t="n">
        <v>35.53</v>
      </c>
      <c r="M2852" s="10" t="n">
        <v>1.43</v>
      </c>
      <c r="N2852" t="inlineStr">
        <is>
          <t>1</t>
        </is>
      </c>
      <c r="O2852" t="inlineStr">
        <is>
          <t>16</t>
        </is>
      </c>
      <c r="P2852" t="inlineStr">
        <is>
          <t xml:space="preserve">0       </t>
        </is>
      </c>
      <c r="Q2852" s="26" t="n">
        <v>79.90000000000001</v>
      </c>
      <c r="R2852" s="26">
        <f>Q2852*G2852</f>
        <v/>
      </c>
      <c r="S2852" t="n">
        <v>47.4</v>
      </c>
      <c r="T2852" s="18">
        <f>1 - V2852/S2852</f>
        <v/>
      </c>
      <c r="U2852" s="18" t="n">
        <v>0.2503128911138924</v>
      </c>
      <c r="V2852" s="26" t="n">
        <v>38.07203389830509</v>
      </c>
      <c r="W2852" s="26">
        <f>V2852 - L2852</f>
        <v/>
      </c>
    </row>
    <row r="2853">
      <c r="A2853" s="11" t="n">
        <v>46231</v>
      </c>
      <c r="B2853" s="1" t="n">
        <v>20041</v>
      </c>
      <c r="C2853" s="1" t="inlineStr">
        <is>
          <t>016</t>
        </is>
      </c>
      <c r="D2853" s="1" t="inlineStr">
        <is>
          <t>217128</t>
        </is>
      </c>
      <c r="E2853" s="1" t="inlineStr">
        <is>
          <t xml:space="preserve">28194770       </t>
        </is>
      </c>
      <c r="F2853" s="5" t="inlineStr">
        <is>
          <t>AUTOS DE METAL 3 TEAMSTERZ EN BLISTER</t>
        </is>
      </c>
      <c r="G2853" t="n">
        <v>1</v>
      </c>
      <c r="H2853" s="7" t="n">
        <v>6.9</v>
      </c>
      <c r="I2853" s="7" t="n">
        <v>0</v>
      </c>
      <c r="J2853" s="7" t="n">
        <v>0</v>
      </c>
      <c r="K2853" s="9" t="n">
        <v>0</v>
      </c>
      <c r="L2853" s="10" t="n">
        <v>4.1</v>
      </c>
      <c r="M2853" s="10" t="n">
        <v>1.43</v>
      </c>
      <c r="N2853" t="inlineStr">
        <is>
          <t>1</t>
        </is>
      </c>
      <c r="O2853" t="inlineStr">
        <is>
          <t>16</t>
        </is>
      </c>
      <c r="P2853" t="inlineStr">
        <is>
          <t xml:space="preserve">242748  </t>
        </is>
      </c>
      <c r="Q2853" s="26" t="n">
        <v>6.9</v>
      </c>
      <c r="R2853" s="26">
        <f>Q2853*G2853</f>
        <v/>
      </c>
      <c r="S2853" t="n">
        <v>4.09</v>
      </c>
      <c r="T2853" s="18">
        <f>1 - V2853/S2853</f>
        <v/>
      </c>
      <c r="U2853" s="18" t="n">
        <v>0</v>
      </c>
      <c r="V2853" s="26" t="n">
        <v>4.09</v>
      </c>
      <c r="W2853" s="26">
        <f>V2853 - L2853</f>
        <v/>
      </c>
    </row>
    <row r="2854">
      <c r="A2854" s="11" t="n">
        <v>46231</v>
      </c>
      <c r="B2854" s="1" t="n">
        <v>20041</v>
      </c>
      <c r="C2854" s="1" t="inlineStr">
        <is>
          <t>018</t>
        </is>
      </c>
      <c r="D2854" s="1" t="inlineStr">
        <is>
          <t xml:space="preserve">57306 </t>
        </is>
      </c>
      <c r="E2854" s="1" t="inlineStr">
        <is>
          <t xml:space="preserve">28194766       </t>
        </is>
      </c>
      <c r="F2854" s="5" t="inlineStr">
        <is>
          <t>CAMIONES TEAMSTERZ DE CIUDAD</t>
        </is>
      </c>
      <c r="G2854" t="n">
        <v>1</v>
      </c>
      <c r="H2854" s="7" t="n">
        <v>17.9</v>
      </c>
      <c r="I2854" s="7" t="n">
        <v>0</v>
      </c>
      <c r="J2854" s="7" t="n">
        <v>0</v>
      </c>
      <c r="K2854" s="9" t="n">
        <v>0</v>
      </c>
      <c r="L2854" s="10" t="n">
        <v>10.62</v>
      </c>
      <c r="M2854" s="10" t="n">
        <v>1.43</v>
      </c>
      <c r="N2854" t="inlineStr">
        <is>
          <t>1</t>
        </is>
      </c>
      <c r="O2854" t="inlineStr">
        <is>
          <t xml:space="preserve">2 </t>
        </is>
      </c>
      <c r="P2854" t="inlineStr">
        <is>
          <t xml:space="preserve">242746  </t>
        </is>
      </c>
      <c r="Q2854" s="26" t="n">
        <v>17.9</v>
      </c>
      <c r="R2854" s="26">
        <f>Q2854*G2854</f>
        <v/>
      </c>
      <c r="S2854" t="n">
        <v>10.62</v>
      </c>
      <c r="T2854" s="18">
        <f>1 - V2854/S2854</f>
        <v/>
      </c>
      <c r="U2854" s="18" t="n">
        <v>0</v>
      </c>
      <c r="V2854" s="26" t="n">
        <v>10.62</v>
      </c>
      <c r="W2854" s="26">
        <f>V2854 - L2854</f>
        <v/>
      </c>
    </row>
    <row r="2855">
      <c r="A2855" s="11" t="n">
        <v>46231</v>
      </c>
      <c r="B2855" s="1" t="n">
        <v>20041</v>
      </c>
      <c r="C2855" s="1" t="inlineStr">
        <is>
          <t>020</t>
        </is>
      </c>
      <c r="D2855" s="1" t="inlineStr">
        <is>
          <t>367804</t>
        </is>
      </c>
      <c r="E2855" s="1" t="inlineStr">
        <is>
          <t xml:space="preserve">28194770       </t>
        </is>
      </c>
      <c r="F2855" s="5" t="inlineStr">
        <is>
          <t>AUTOS DE METAL 3 TEAMSTERZ EN BLISTER</t>
        </is>
      </c>
      <c r="G2855" t="n">
        <v>1</v>
      </c>
      <c r="H2855" s="7" t="n">
        <v>6.9</v>
      </c>
      <c r="I2855" s="7" t="n">
        <v>0</v>
      </c>
      <c r="J2855" s="7" t="n">
        <v>0</v>
      </c>
      <c r="K2855" s="9" t="n">
        <v>0</v>
      </c>
      <c r="L2855" s="10" t="n">
        <v>4.1</v>
      </c>
      <c r="M2855" s="10" t="n">
        <v>1.43</v>
      </c>
      <c r="N2855" t="inlineStr">
        <is>
          <t>1</t>
        </is>
      </c>
      <c r="O2855" t="inlineStr">
        <is>
          <t xml:space="preserve">2 </t>
        </is>
      </c>
      <c r="P2855" t="inlineStr">
        <is>
          <t xml:space="preserve">242747  </t>
        </is>
      </c>
      <c r="Q2855" s="26" t="n">
        <v>6.9</v>
      </c>
      <c r="R2855" s="26">
        <f>Q2855*G2855</f>
        <v/>
      </c>
      <c r="S2855" t="n">
        <v>4.09</v>
      </c>
      <c r="T2855" s="18">
        <f>1 - V2855/S2855</f>
        <v/>
      </c>
      <c r="U2855" s="18" t="n">
        <v>0</v>
      </c>
      <c r="V2855" s="26" t="n">
        <v>4.09</v>
      </c>
      <c r="W2855" s="26">
        <f>V2855 - L2855</f>
        <v/>
      </c>
    </row>
    <row r="2856">
      <c r="A2856" s="11" t="n">
        <v>46231</v>
      </c>
      <c r="B2856" s="1" t="n">
        <v>20041</v>
      </c>
      <c r="C2856" s="1" t="inlineStr">
        <is>
          <t>031</t>
        </is>
      </c>
      <c r="D2856" s="1" t="inlineStr">
        <is>
          <t>167103</t>
        </is>
      </c>
      <c r="E2856" s="1" t="inlineStr">
        <is>
          <t xml:space="preserve">28194770       </t>
        </is>
      </c>
      <c r="F2856" s="5" t="inlineStr">
        <is>
          <t>AUTOS DE METAL 3 TEAMSTERZ EN BLISTER</t>
        </is>
      </c>
      <c r="G2856" t="n">
        <v>1</v>
      </c>
      <c r="H2856" s="7" t="n">
        <v>6.9</v>
      </c>
      <c r="I2856" s="7" t="n">
        <v>0</v>
      </c>
      <c r="J2856" s="7" t="n">
        <v>0</v>
      </c>
      <c r="K2856" s="9" t="n">
        <v>0</v>
      </c>
      <c r="L2856" s="10" t="n">
        <v>4.1</v>
      </c>
      <c r="M2856" s="10" t="n">
        <v>1.43</v>
      </c>
      <c r="N2856" t="inlineStr">
        <is>
          <t>1</t>
        </is>
      </c>
      <c r="O2856" t="inlineStr">
        <is>
          <t xml:space="preserve">2 </t>
        </is>
      </c>
      <c r="P2856" t="inlineStr">
        <is>
          <t xml:space="preserve">245842  </t>
        </is>
      </c>
      <c r="Q2856" s="26" t="n">
        <v>6.9</v>
      </c>
      <c r="R2856" s="26">
        <f>Q2856*G2856</f>
        <v/>
      </c>
      <c r="S2856" t="n">
        <v>4.09</v>
      </c>
      <c r="T2856" s="18">
        <f>1 - V2856/S2856</f>
        <v/>
      </c>
      <c r="U2856" s="18" t="n">
        <v>0</v>
      </c>
      <c r="V2856" s="26" t="n">
        <v>4.09</v>
      </c>
      <c r="W2856" s="26">
        <f>V2856 - L2856</f>
        <v/>
      </c>
    </row>
    <row r="2857">
      <c r="A2857" s="11" t="n">
        <v>46231</v>
      </c>
      <c r="B2857" s="1" t="n">
        <v>20041</v>
      </c>
      <c r="C2857" s="1" t="inlineStr">
        <is>
          <t>031</t>
        </is>
      </c>
      <c r="D2857" s="1" t="inlineStr">
        <is>
          <t>167178</t>
        </is>
      </c>
      <c r="E2857" s="1" t="inlineStr">
        <is>
          <t xml:space="preserve">28194770       </t>
        </is>
      </c>
      <c r="F2857" s="5" t="inlineStr">
        <is>
          <t>AUTOS DE METAL 3 TEAMSTERZ EN BLISTER</t>
        </is>
      </c>
      <c r="G2857" t="n">
        <v>1</v>
      </c>
      <c r="H2857" s="7" t="n">
        <v>6.9</v>
      </c>
      <c r="I2857" s="7" t="n">
        <v>0</v>
      </c>
      <c r="J2857" s="7" t="n">
        <v>0</v>
      </c>
      <c r="K2857" s="9" t="n">
        <v>0</v>
      </c>
      <c r="L2857" s="10" t="n">
        <v>4.1</v>
      </c>
      <c r="M2857" s="10" t="n">
        <v>1.43</v>
      </c>
      <c r="N2857" t="inlineStr">
        <is>
          <t>1</t>
        </is>
      </c>
      <c r="O2857" t="inlineStr">
        <is>
          <t>16</t>
        </is>
      </c>
      <c r="P2857" t="inlineStr">
        <is>
          <t xml:space="preserve">245841  </t>
        </is>
      </c>
      <c r="Q2857" s="26" t="n">
        <v>6.9</v>
      </c>
      <c r="R2857" s="26">
        <f>Q2857*G2857</f>
        <v/>
      </c>
      <c r="S2857" t="n">
        <v>4.09</v>
      </c>
      <c r="T2857" s="18">
        <f>1 - V2857/S2857</f>
        <v/>
      </c>
      <c r="U2857" s="18" t="n">
        <v>0</v>
      </c>
      <c r="V2857" s="26" t="n">
        <v>4.09</v>
      </c>
      <c r="W2857" s="26">
        <f>V2857 - L2857</f>
        <v/>
      </c>
    </row>
    <row r="2858">
      <c r="A2858" s="11" t="n">
        <v>46231</v>
      </c>
      <c r="B2858" s="1" t="n">
        <v>20041</v>
      </c>
      <c r="C2858" s="1" t="inlineStr">
        <is>
          <t>031</t>
        </is>
      </c>
      <c r="D2858" s="1" t="inlineStr">
        <is>
          <t>167178</t>
        </is>
      </c>
      <c r="E2858" s="1" t="inlineStr">
        <is>
          <t xml:space="preserve">28194770       </t>
        </is>
      </c>
      <c r="F2858" s="5" t="inlineStr">
        <is>
          <t>AUTOS DE METAL 3 TEAMSTERZ EN BLISTER</t>
        </is>
      </c>
      <c r="G2858" t="n">
        <v>1</v>
      </c>
      <c r="H2858" s="7" t="n">
        <v>6.9</v>
      </c>
      <c r="I2858" s="7" t="n">
        <v>0</v>
      </c>
      <c r="J2858" s="7" t="n">
        <v>0</v>
      </c>
      <c r="K2858" s="9" t="n">
        <v>0</v>
      </c>
      <c r="L2858" s="10" t="n">
        <v>4.1</v>
      </c>
      <c r="M2858" s="10" t="n">
        <v>1.43</v>
      </c>
      <c r="N2858" t="inlineStr">
        <is>
          <t>1</t>
        </is>
      </c>
      <c r="O2858" t="inlineStr">
        <is>
          <t>16</t>
        </is>
      </c>
      <c r="P2858" t="inlineStr">
        <is>
          <t xml:space="preserve">245841  </t>
        </is>
      </c>
      <c r="Q2858" s="26" t="n">
        <v>6.9</v>
      </c>
      <c r="R2858" s="26">
        <f>Q2858*G2858</f>
        <v/>
      </c>
      <c r="S2858" t="n">
        <v>4.09</v>
      </c>
      <c r="T2858" s="18">
        <f>1 - V2858/S2858</f>
        <v/>
      </c>
      <c r="U2858" s="18" t="n">
        <v>0</v>
      </c>
      <c r="V2858" s="26" t="n">
        <v>4.09</v>
      </c>
      <c r="W2858" s="26">
        <f>V2858 - L2858</f>
        <v/>
      </c>
    </row>
    <row r="2859">
      <c r="A2859" s="11" t="n">
        <v>46231</v>
      </c>
      <c r="B2859" s="1" t="n">
        <v>20041</v>
      </c>
      <c r="C2859" s="1" t="inlineStr">
        <is>
          <t>031</t>
        </is>
      </c>
      <c r="D2859" s="1" t="inlineStr">
        <is>
          <t>167178</t>
        </is>
      </c>
      <c r="E2859" s="1" t="inlineStr">
        <is>
          <t xml:space="preserve">28194770       </t>
        </is>
      </c>
      <c r="F2859" s="5" t="inlineStr">
        <is>
          <t>AUTOS DE METAL 3 TEAMSTERZ EN BLISTER</t>
        </is>
      </c>
      <c r="G2859" t="n">
        <v>1</v>
      </c>
      <c r="H2859" s="7" t="n">
        <v>6.9</v>
      </c>
      <c r="I2859" s="7" t="n">
        <v>0</v>
      </c>
      <c r="J2859" s="7" t="n">
        <v>0</v>
      </c>
      <c r="K2859" s="9" t="n">
        <v>0</v>
      </c>
      <c r="L2859" s="10" t="n">
        <v>4.1</v>
      </c>
      <c r="M2859" s="10" t="n">
        <v>1.43</v>
      </c>
      <c r="N2859" t="inlineStr">
        <is>
          <t>1</t>
        </is>
      </c>
      <c r="O2859" t="inlineStr">
        <is>
          <t>16</t>
        </is>
      </c>
      <c r="P2859" t="inlineStr">
        <is>
          <t xml:space="preserve">245841  </t>
        </is>
      </c>
      <c r="Q2859" s="26" t="n">
        <v>6.9</v>
      </c>
      <c r="R2859" s="26">
        <f>Q2859*G2859</f>
        <v/>
      </c>
      <c r="S2859" t="n">
        <v>4.09</v>
      </c>
      <c r="T2859" s="18">
        <f>1 - V2859/S2859</f>
        <v/>
      </c>
      <c r="U2859" s="18" t="n">
        <v>0</v>
      </c>
      <c r="V2859" s="26" t="n">
        <v>4.09</v>
      </c>
      <c r="W2859" s="26">
        <f>V2859 - L2859</f>
        <v/>
      </c>
    </row>
    <row r="2860">
      <c r="A2860" s="11" t="n">
        <v>46231</v>
      </c>
      <c r="B2860" s="1" t="n">
        <v>20041</v>
      </c>
      <c r="C2860" s="1" t="inlineStr">
        <is>
          <t>031</t>
        </is>
      </c>
      <c r="D2860" s="1" t="inlineStr">
        <is>
          <t>167184</t>
        </is>
      </c>
      <c r="E2860" s="1" t="inlineStr">
        <is>
          <t xml:space="preserve">28194770       </t>
        </is>
      </c>
      <c r="F2860" s="5" t="inlineStr">
        <is>
          <t>AUTOS DE METAL 3 TEAMSTERZ EN BLISTER</t>
        </is>
      </c>
      <c r="G2860" t="n">
        <v>1</v>
      </c>
      <c r="H2860" s="7" t="n">
        <v>6.9</v>
      </c>
      <c r="I2860" s="7" t="n">
        <v>0</v>
      </c>
      <c r="J2860" s="7" t="n">
        <v>0</v>
      </c>
      <c r="K2860" s="9" t="n">
        <v>0</v>
      </c>
      <c r="L2860" s="10" t="n">
        <v>4.1</v>
      </c>
      <c r="M2860" s="10" t="n">
        <v>1.43</v>
      </c>
      <c r="N2860" t="inlineStr">
        <is>
          <t>1</t>
        </is>
      </c>
      <c r="O2860" t="inlineStr">
        <is>
          <t>16</t>
        </is>
      </c>
      <c r="P2860" t="inlineStr">
        <is>
          <t xml:space="preserve">245841  </t>
        </is>
      </c>
      <c r="Q2860" s="26" t="n">
        <v>6.9</v>
      </c>
      <c r="R2860" s="26">
        <f>Q2860*G2860</f>
        <v/>
      </c>
      <c r="S2860" t="n">
        <v>4.09</v>
      </c>
      <c r="T2860" s="18">
        <f>1 - V2860/S2860</f>
        <v/>
      </c>
      <c r="U2860" s="18" t="n">
        <v>0</v>
      </c>
      <c r="V2860" s="26" t="n">
        <v>4.09</v>
      </c>
      <c r="W2860" s="26">
        <f>V2860 - L2860</f>
        <v/>
      </c>
    </row>
    <row r="2861">
      <c r="A2861" s="11" t="n">
        <v>46231</v>
      </c>
      <c r="B2861" s="1" t="n">
        <v>20041</v>
      </c>
      <c r="C2861" s="1" t="inlineStr">
        <is>
          <t>032</t>
        </is>
      </c>
      <c r="D2861" s="1" t="inlineStr">
        <is>
          <t xml:space="preserve">9323  </t>
        </is>
      </c>
      <c r="E2861" s="1" t="inlineStr">
        <is>
          <t xml:space="preserve">28194770       </t>
        </is>
      </c>
      <c r="F2861" s="5" t="inlineStr">
        <is>
          <t>AUTOS DE METAL 3 TEAMSTERZ EN BLISTER</t>
        </is>
      </c>
      <c r="G2861" t="n">
        <v>1</v>
      </c>
      <c r="H2861" s="7" t="n">
        <v>6.9</v>
      </c>
      <c r="I2861" s="7" t="n">
        <v>0</v>
      </c>
      <c r="J2861" s="7" t="n">
        <v>0</v>
      </c>
      <c r="K2861" s="9" t="n">
        <v>0</v>
      </c>
      <c r="L2861" s="10" t="n">
        <v>4.1</v>
      </c>
      <c r="M2861" s="10" t="n">
        <v>1.43</v>
      </c>
      <c r="N2861" t="inlineStr">
        <is>
          <t>1</t>
        </is>
      </c>
      <c r="O2861" t="inlineStr">
        <is>
          <t xml:space="preserve">2 </t>
        </is>
      </c>
      <c r="P2861" t="inlineStr">
        <is>
          <t xml:space="preserve">35918   </t>
        </is>
      </c>
      <c r="Q2861" s="26" t="n">
        <v>6.9</v>
      </c>
      <c r="R2861" s="26">
        <f>Q2861*G2861</f>
        <v/>
      </c>
      <c r="S2861" t="n">
        <v>4.09</v>
      </c>
      <c r="T2861" s="18">
        <f>1 - V2861/S2861</f>
        <v/>
      </c>
      <c r="U2861" s="18" t="n">
        <v>0</v>
      </c>
      <c r="V2861" s="26" t="n">
        <v>4.09</v>
      </c>
      <c r="W2861" s="26">
        <f>V2861 - L2861</f>
        <v/>
      </c>
    </row>
    <row r="2862">
      <c r="A2862" s="11" t="n">
        <v>46231</v>
      </c>
      <c r="B2862" s="1" t="n">
        <v>20043</v>
      </c>
      <c r="C2862" s="1" t="inlineStr">
        <is>
          <t>051</t>
        </is>
      </c>
      <c r="D2862" s="1" t="inlineStr">
        <is>
          <t>105946</t>
        </is>
      </c>
      <c r="E2862" s="1" t="inlineStr">
        <is>
          <t xml:space="preserve">28194770       </t>
        </is>
      </c>
      <c r="F2862" s="5" t="inlineStr">
        <is>
          <t>AUTOS DE METAL 3 TEAMSTERZ EN BLISTER</t>
        </is>
      </c>
      <c r="G2862" t="n">
        <v>1</v>
      </c>
      <c r="H2862" s="7" t="n">
        <v>6.9</v>
      </c>
      <c r="I2862" s="7" t="n">
        <v>0</v>
      </c>
      <c r="J2862" s="7" t="n">
        <v>0</v>
      </c>
      <c r="K2862" s="9" t="n">
        <v>0</v>
      </c>
      <c r="L2862" s="10" t="n">
        <v>4.1</v>
      </c>
      <c r="M2862" s="10" t="n">
        <v>1.43</v>
      </c>
      <c r="N2862" t="inlineStr">
        <is>
          <t>1</t>
        </is>
      </c>
      <c r="O2862" t="inlineStr">
        <is>
          <t>16</t>
        </is>
      </c>
      <c r="P2862" t="inlineStr">
        <is>
          <t xml:space="preserve">244243  </t>
        </is>
      </c>
      <c r="Q2862" s="26" t="n">
        <v>6.9</v>
      </c>
      <c r="R2862" s="26">
        <f>Q2862*G2862</f>
        <v/>
      </c>
      <c r="S2862" t="n">
        <v>4.09</v>
      </c>
      <c r="T2862" s="18">
        <f>1 - V2862/S2862</f>
        <v/>
      </c>
      <c r="U2862" s="18" t="n">
        <v>0</v>
      </c>
      <c r="V2862" s="26" t="n">
        <v>4.09</v>
      </c>
      <c r="W2862" s="26">
        <f>V2862 - L2862</f>
        <v/>
      </c>
    </row>
    <row r="2863">
      <c r="A2863" s="11" t="n">
        <v>46231</v>
      </c>
      <c r="B2863" s="1" t="n">
        <v>20043</v>
      </c>
      <c r="C2863" s="1" t="inlineStr">
        <is>
          <t>051</t>
        </is>
      </c>
      <c r="D2863" s="1" t="inlineStr">
        <is>
          <t>105946</t>
        </is>
      </c>
      <c r="E2863" s="1" t="inlineStr">
        <is>
          <t xml:space="preserve">28194770       </t>
        </is>
      </c>
      <c r="F2863" s="5" t="inlineStr">
        <is>
          <t>AUTOS DE METAL 3 TEAMSTERZ EN BLISTER</t>
        </is>
      </c>
      <c r="G2863" t="n">
        <v>1</v>
      </c>
      <c r="H2863" s="7" t="n">
        <v>6.9</v>
      </c>
      <c r="I2863" s="7" t="n">
        <v>0</v>
      </c>
      <c r="J2863" s="7" t="n">
        <v>0</v>
      </c>
      <c r="K2863" s="9" t="n">
        <v>0</v>
      </c>
      <c r="L2863" s="10" t="n">
        <v>4.1</v>
      </c>
      <c r="M2863" s="10" t="n">
        <v>1.43</v>
      </c>
      <c r="N2863" t="inlineStr">
        <is>
          <t>1</t>
        </is>
      </c>
      <c r="O2863" t="inlineStr">
        <is>
          <t>16</t>
        </is>
      </c>
      <c r="P2863" t="inlineStr">
        <is>
          <t xml:space="preserve">244243  </t>
        </is>
      </c>
      <c r="Q2863" s="26" t="n">
        <v>6.9</v>
      </c>
      <c r="R2863" s="26">
        <f>Q2863*G2863</f>
        <v/>
      </c>
      <c r="S2863" t="n">
        <v>4.09</v>
      </c>
      <c r="T2863" s="18">
        <f>1 - V2863/S2863</f>
        <v/>
      </c>
      <c r="U2863" s="18" t="n">
        <v>0</v>
      </c>
      <c r="V2863" s="26" t="n">
        <v>4.09</v>
      </c>
      <c r="W2863" s="26">
        <f>V2863 - L2863</f>
        <v/>
      </c>
    </row>
    <row r="2864">
      <c r="A2864" s="11" t="n">
        <v>46231</v>
      </c>
      <c r="B2864" s="1" t="n">
        <v>20043</v>
      </c>
      <c r="C2864" s="1" t="inlineStr">
        <is>
          <t>051</t>
        </is>
      </c>
      <c r="D2864" s="1" t="inlineStr">
        <is>
          <t>105950</t>
        </is>
      </c>
      <c r="E2864" s="1" t="inlineStr">
        <is>
          <t xml:space="preserve">34840551       </t>
        </is>
      </c>
      <c r="F2864" s="5" t="inlineStr">
        <is>
          <t>TMZ HELI BOMBERO CON LUCES Y SONIDOS</t>
        </is>
      </c>
      <c r="G2864" t="n">
        <v>1</v>
      </c>
      <c r="H2864" s="7" t="n">
        <v>79.90000000000001</v>
      </c>
      <c r="I2864" s="7" t="n">
        <v>0</v>
      </c>
      <c r="J2864" s="7" t="n">
        <v>0</v>
      </c>
      <c r="K2864" s="9" t="n">
        <v>0</v>
      </c>
      <c r="L2864" s="10" t="n">
        <v>47.4</v>
      </c>
      <c r="M2864" s="10" t="n">
        <v>1.43</v>
      </c>
      <c r="N2864" t="inlineStr">
        <is>
          <t>1</t>
        </is>
      </c>
      <c r="O2864" t="inlineStr">
        <is>
          <t>16</t>
        </is>
      </c>
      <c r="P2864" t="inlineStr">
        <is>
          <t xml:space="preserve">244243  </t>
        </is>
      </c>
      <c r="Q2864" s="26" t="n">
        <v>79.90000000000002</v>
      </c>
      <c r="R2864" s="26">
        <f>Q2864*G2864</f>
        <v/>
      </c>
      <c r="S2864" t="n">
        <v>47.4</v>
      </c>
      <c r="T2864" s="18">
        <f>1 - V2864/S2864</f>
        <v/>
      </c>
      <c r="U2864" s="18" t="n">
        <v>0</v>
      </c>
      <c r="V2864" s="26" t="n">
        <v>47.4</v>
      </c>
      <c r="W2864" s="26">
        <f>V2864 - L2864</f>
        <v/>
      </c>
    </row>
    <row r="2865">
      <c r="A2865" s="11" t="n">
        <v>46231</v>
      </c>
      <c r="B2865" s="1" t="n">
        <v>20043</v>
      </c>
      <c r="C2865" s="1" t="inlineStr">
        <is>
          <t>051</t>
        </is>
      </c>
      <c r="D2865" s="1" t="inlineStr">
        <is>
          <t>105963</t>
        </is>
      </c>
      <c r="E2865" s="1" t="inlineStr">
        <is>
          <t xml:space="preserve">28194770       </t>
        </is>
      </c>
      <c r="F2865" s="5" t="inlineStr">
        <is>
          <t>AUTOS DE METAL 3 TEAMSTERZ EN BLISTER</t>
        </is>
      </c>
      <c r="G2865" t="n">
        <v>1</v>
      </c>
      <c r="H2865" s="7" t="n">
        <v>6.9</v>
      </c>
      <c r="I2865" s="7" t="n">
        <v>0</v>
      </c>
      <c r="J2865" s="7" t="n">
        <v>0</v>
      </c>
      <c r="K2865" s="9" t="n">
        <v>0</v>
      </c>
      <c r="L2865" s="10" t="n">
        <v>4.1</v>
      </c>
      <c r="M2865" s="10" t="n">
        <v>1.43</v>
      </c>
      <c r="N2865" t="inlineStr">
        <is>
          <t>1</t>
        </is>
      </c>
      <c r="O2865" t="inlineStr">
        <is>
          <t>16</t>
        </is>
      </c>
      <c r="P2865" t="inlineStr">
        <is>
          <t xml:space="preserve">244243  </t>
        </is>
      </c>
      <c r="Q2865" s="26" t="n">
        <v>6.9</v>
      </c>
      <c r="R2865" s="26">
        <f>Q2865*G2865</f>
        <v/>
      </c>
      <c r="S2865" t="n">
        <v>4.09</v>
      </c>
      <c r="T2865" s="18">
        <f>1 - V2865/S2865</f>
        <v/>
      </c>
      <c r="U2865" s="18" t="n">
        <v>0</v>
      </c>
      <c r="V2865" s="26" t="n">
        <v>4.09</v>
      </c>
      <c r="W2865" s="26">
        <f>V2865 - L2865</f>
        <v/>
      </c>
    </row>
    <row r="2866">
      <c r="A2866" s="11" t="n">
        <v>46231</v>
      </c>
      <c r="B2866" s="1" t="n">
        <v>20047</v>
      </c>
      <c r="C2866" s="1" t="inlineStr">
        <is>
          <t>191</t>
        </is>
      </c>
      <c r="D2866" s="1" t="inlineStr">
        <is>
          <t>463988</t>
        </is>
      </c>
      <c r="E2866" s="1" t="inlineStr">
        <is>
          <t xml:space="preserve">28194770       </t>
        </is>
      </c>
      <c r="F2866" s="5" t="inlineStr">
        <is>
          <t>AUTOS DE METAL 3 TEAMSTERZ EN BLISTER</t>
        </is>
      </c>
      <c r="G2866" t="n">
        <v>1</v>
      </c>
      <c r="H2866" s="7" t="n">
        <v>6.9</v>
      </c>
      <c r="I2866" s="7" t="n">
        <v>0.6899999999999999</v>
      </c>
      <c r="J2866" s="7" t="n">
        <v>0</v>
      </c>
      <c r="K2866" s="9" t="n">
        <v>0.6899999999999999</v>
      </c>
      <c r="L2866" s="10" t="n">
        <v>3.68</v>
      </c>
      <c r="M2866" s="10" t="n">
        <v>1.43</v>
      </c>
      <c r="N2866" t="inlineStr">
        <is>
          <t>1</t>
        </is>
      </c>
      <c r="O2866" t="inlineStr">
        <is>
          <t xml:space="preserve">3 </t>
        </is>
      </c>
      <c r="P2866" t="inlineStr">
        <is>
          <t xml:space="preserve">245750  </t>
        </is>
      </c>
      <c r="Q2866" s="26" t="n">
        <v>6.9</v>
      </c>
      <c r="R2866" s="26">
        <f>Q2866*G2866</f>
        <v/>
      </c>
      <c r="S2866" t="n">
        <v>4.09</v>
      </c>
      <c r="T2866" s="18">
        <f>1 - V2866/S2866</f>
        <v/>
      </c>
      <c r="U2866" s="18" t="n">
        <v>0</v>
      </c>
      <c r="V2866" s="26" t="n">
        <v>4.09</v>
      </c>
      <c r="W2866" s="26">
        <f>V2866 - L2866</f>
        <v/>
      </c>
    </row>
    <row r="2867">
      <c r="A2867" s="11" t="n">
        <v>46231</v>
      </c>
      <c r="B2867" s="1" t="n">
        <v>20047</v>
      </c>
      <c r="C2867" s="1" t="inlineStr">
        <is>
          <t>191</t>
        </is>
      </c>
      <c r="D2867" s="1" t="inlineStr">
        <is>
          <t>464003</t>
        </is>
      </c>
      <c r="E2867" s="1" t="inlineStr">
        <is>
          <t xml:space="preserve">28194770       </t>
        </is>
      </c>
      <c r="F2867" s="5" t="inlineStr">
        <is>
          <t>AUTOS DE METAL 3 TEAMSTERZ EN BLISTER</t>
        </is>
      </c>
      <c r="G2867" t="n">
        <v>1</v>
      </c>
      <c r="H2867" s="7" t="n">
        <v>6.9</v>
      </c>
      <c r="I2867" s="7" t="n">
        <v>0</v>
      </c>
      <c r="J2867" s="7" t="n">
        <v>0</v>
      </c>
      <c r="K2867" s="9" t="n">
        <v>0</v>
      </c>
      <c r="L2867" s="10" t="n">
        <v>4.1</v>
      </c>
      <c r="M2867" s="10" t="n">
        <v>1.43</v>
      </c>
      <c r="N2867" t="inlineStr">
        <is>
          <t>1</t>
        </is>
      </c>
      <c r="O2867" t="inlineStr">
        <is>
          <t xml:space="preserve">2 </t>
        </is>
      </c>
      <c r="P2867" t="inlineStr">
        <is>
          <t xml:space="preserve">245750  </t>
        </is>
      </c>
      <c r="Q2867" s="26" t="n">
        <v>6.9</v>
      </c>
      <c r="R2867" s="26">
        <f>Q2867*G2867</f>
        <v/>
      </c>
      <c r="S2867" t="n">
        <v>4.09</v>
      </c>
      <c r="T2867" s="18">
        <f>1 - V2867/S2867</f>
        <v/>
      </c>
      <c r="U2867" s="18" t="n">
        <v>0</v>
      </c>
      <c r="V2867" s="26" t="n">
        <v>4.09</v>
      </c>
      <c r="W2867" s="26">
        <f>V2867 - L2867</f>
        <v/>
      </c>
    </row>
    <row r="2868">
      <c r="A2868" s="11" t="n">
        <v>46231</v>
      </c>
      <c r="B2868" s="1" t="n">
        <v>20047</v>
      </c>
      <c r="C2868" s="1" t="inlineStr">
        <is>
          <t>191</t>
        </is>
      </c>
      <c r="D2868" s="1" t="inlineStr">
        <is>
          <t>464010</t>
        </is>
      </c>
      <c r="E2868" s="1" t="inlineStr">
        <is>
          <t xml:space="preserve">28194770       </t>
        </is>
      </c>
      <c r="F2868" s="5" t="inlineStr">
        <is>
          <t>AUTOS DE METAL 3 TEAMSTERZ EN BLISTER</t>
        </is>
      </c>
      <c r="G2868" t="n">
        <v>1</v>
      </c>
      <c r="H2868" s="7" t="n">
        <v>6.9</v>
      </c>
      <c r="I2868" s="7" t="n">
        <v>0</v>
      </c>
      <c r="J2868" s="7" t="n">
        <v>0</v>
      </c>
      <c r="K2868" s="9" t="n">
        <v>0</v>
      </c>
      <c r="L2868" s="10" t="n">
        <v>4.1</v>
      </c>
      <c r="M2868" s="10" t="n">
        <v>1.43</v>
      </c>
      <c r="N2868" t="inlineStr">
        <is>
          <t>1</t>
        </is>
      </c>
      <c r="O2868" t="inlineStr">
        <is>
          <t xml:space="preserve">2 </t>
        </is>
      </c>
      <c r="P2868" t="inlineStr">
        <is>
          <t xml:space="preserve">245750  </t>
        </is>
      </c>
      <c r="Q2868" s="26" t="n">
        <v>6.9</v>
      </c>
      <c r="R2868" s="26">
        <f>Q2868*G2868</f>
        <v/>
      </c>
      <c r="S2868" t="n">
        <v>4.09</v>
      </c>
      <c r="T2868" s="18">
        <f>1 - V2868/S2868</f>
        <v/>
      </c>
      <c r="U2868" s="18" t="n">
        <v>0</v>
      </c>
      <c r="V2868" s="26" t="n">
        <v>4.09</v>
      </c>
      <c r="W2868" s="26">
        <f>V2868 - L2868</f>
        <v/>
      </c>
    </row>
    <row r="2869">
      <c r="A2869" s="11" t="n">
        <v>46231</v>
      </c>
      <c r="B2869" s="1" t="n">
        <v>20047</v>
      </c>
      <c r="C2869" s="1" t="inlineStr">
        <is>
          <t>191</t>
        </is>
      </c>
      <c r="D2869" s="1" t="inlineStr">
        <is>
          <t>464044</t>
        </is>
      </c>
      <c r="E2869" s="1" t="inlineStr">
        <is>
          <t xml:space="preserve">28194770       </t>
        </is>
      </c>
      <c r="F2869" s="5" t="inlineStr">
        <is>
          <t>AUTOS DE METAL 3 TEAMSTERZ EN BLISTER</t>
        </is>
      </c>
      <c r="G2869" t="n">
        <v>1</v>
      </c>
      <c r="H2869" s="7" t="n">
        <v>6.9</v>
      </c>
      <c r="I2869" s="7" t="n">
        <v>0</v>
      </c>
      <c r="J2869" s="7" t="n">
        <v>0</v>
      </c>
      <c r="K2869" s="9" t="n">
        <v>0</v>
      </c>
      <c r="L2869" s="10" t="n">
        <v>4.1</v>
      </c>
      <c r="M2869" s="10" t="n">
        <v>1.43</v>
      </c>
      <c r="N2869" t="inlineStr">
        <is>
          <t>1</t>
        </is>
      </c>
      <c r="O2869" t="inlineStr">
        <is>
          <t xml:space="preserve">2 </t>
        </is>
      </c>
      <c r="P2869" t="inlineStr">
        <is>
          <t xml:space="preserve">245862  </t>
        </is>
      </c>
      <c r="Q2869" s="26" t="n">
        <v>6.9</v>
      </c>
      <c r="R2869" s="26">
        <f>Q2869*G2869</f>
        <v/>
      </c>
      <c r="S2869" t="n">
        <v>4.09</v>
      </c>
      <c r="T2869" s="18">
        <f>1 - V2869/S2869</f>
        <v/>
      </c>
      <c r="U2869" s="18" t="n">
        <v>0</v>
      </c>
      <c r="V2869" s="26" t="n">
        <v>4.09</v>
      </c>
      <c r="W2869" s="26">
        <f>V2869 - L2869</f>
        <v/>
      </c>
    </row>
    <row r="2870">
      <c r="A2870" s="11" t="n">
        <v>46231</v>
      </c>
      <c r="B2870" s="1" t="n">
        <v>20048</v>
      </c>
      <c r="C2870" s="1" t="inlineStr">
        <is>
          <t>013</t>
        </is>
      </c>
      <c r="D2870" s="1" t="inlineStr">
        <is>
          <t>226980</t>
        </is>
      </c>
      <c r="E2870" s="1" t="inlineStr">
        <is>
          <t xml:space="preserve">34840556       </t>
        </is>
      </c>
      <c r="F2870" s="5" t="inlineStr">
        <is>
          <t>TMZ BEAST MACH. TRANSPORT DINO +ACCS</t>
        </is>
      </c>
      <c r="G2870" t="n">
        <v>1</v>
      </c>
      <c r="H2870" s="7" t="n">
        <v>59.9</v>
      </c>
      <c r="I2870" s="7" t="n">
        <v>0</v>
      </c>
      <c r="J2870" s="7" t="n">
        <v>0</v>
      </c>
      <c r="K2870" s="9" t="n">
        <v>0</v>
      </c>
      <c r="L2870" s="10" t="n">
        <v>35.53</v>
      </c>
      <c r="M2870" s="10" t="n">
        <v>1.43</v>
      </c>
      <c r="N2870" t="inlineStr">
        <is>
          <t>1</t>
        </is>
      </c>
      <c r="O2870" t="inlineStr">
        <is>
          <t>16</t>
        </is>
      </c>
      <c r="P2870" t="inlineStr">
        <is>
          <t xml:space="preserve">243717  </t>
        </is>
      </c>
      <c r="Q2870" s="26" t="n">
        <v>79.90000000000002</v>
      </c>
      <c r="R2870" s="26">
        <f>Q2870*G2870</f>
        <v/>
      </c>
      <c r="S2870" t="n">
        <v>47.4</v>
      </c>
      <c r="T2870" s="18">
        <f>1 - V2870/S2870</f>
        <v/>
      </c>
      <c r="U2870" s="18" t="n">
        <v>0.2503128911138924</v>
      </c>
      <c r="V2870" s="26" t="n">
        <v>38.07203389830509</v>
      </c>
      <c r="W2870" s="26">
        <f>V2870 - L2870</f>
        <v/>
      </c>
    </row>
    <row r="2871">
      <c r="A2871" s="11" t="n">
        <v>46231</v>
      </c>
      <c r="B2871" s="1" t="n">
        <v>20048</v>
      </c>
      <c r="C2871" s="1" t="inlineStr">
        <is>
          <t>018</t>
        </is>
      </c>
      <c r="D2871" s="1" t="inlineStr">
        <is>
          <t xml:space="preserve">48705 </t>
        </is>
      </c>
      <c r="E2871" s="1" t="inlineStr">
        <is>
          <t xml:space="preserve">28194770       </t>
        </is>
      </c>
      <c r="F2871" s="5" t="inlineStr">
        <is>
          <t>AUTOS DE METAL 3 TEAMSTERZ EN BLISTER</t>
        </is>
      </c>
      <c r="G2871" t="n">
        <v>1</v>
      </c>
      <c r="H2871" s="7" t="n">
        <v>6.9</v>
      </c>
      <c r="I2871" s="7" t="n">
        <v>0.6899999999999999</v>
      </c>
      <c r="J2871" s="7" t="n">
        <v>0</v>
      </c>
      <c r="K2871" s="9" t="n">
        <v>0.6899999999999999</v>
      </c>
      <c r="L2871" s="10" t="n">
        <v>3.68</v>
      </c>
      <c r="M2871" s="10" t="n">
        <v>1.43</v>
      </c>
      <c r="N2871" t="inlineStr">
        <is>
          <t>1</t>
        </is>
      </c>
      <c r="O2871" t="inlineStr">
        <is>
          <t xml:space="preserve">3 </t>
        </is>
      </c>
      <c r="P2871" t="inlineStr">
        <is>
          <t xml:space="preserve">250433  </t>
        </is>
      </c>
      <c r="Q2871" s="26" t="n">
        <v>6.9</v>
      </c>
      <c r="R2871" s="26">
        <f>Q2871*G2871</f>
        <v/>
      </c>
      <c r="S2871" t="n">
        <v>4.09</v>
      </c>
      <c r="T2871" s="18">
        <f>1 - V2871/S2871</f>
        <v/>
      </c>
      <c r="U2871" s="18" t="n">
        <v>0</v>
      </c>
      <c r="V2871" s="26" t="n">
        <v>4.09</v>
      </c>
      <c r="W2871" s="26">
        <f>V2871 - L2871</f>
        <v/>
      </c>
    </row>
    <row r="2872">
      <c r="A2872" s="11" t="n">
        <v>46231</v>
      </c>
      <c r="B2872" s="1" t="n">
        <v>20048</v>
      </c>
      <c r="C2872" s="1" t="inlineStr">
        <is>
          <t>018</t>
        </is>
      </c>
      <c r="D2872" s="1" t="inlineStr">
        <is>
          <t xml:space="preserve">48705 </t>
        </is>
      </c>
      <c r="E2872" s="1" t="inlineStr">
        <is>
          <t xml:space="preserve">28194770       </t>
        </is>
      </c>
      <c r="F2872" s="5" t="inlineStr">
        <is>
          <t>AUTOS DE METAL 3 TEAMSTERZ EN BLISTER</t>
        </is>
      </c>
      <c r="G2872" t="n">
        <v>1</v>
      </c>
      <c r="H2872" s="7" t="n">
        <v>6.9</v>
      </c>
      <c r="I2872" s="7" t="n">
        <v>0.6899999999999999</v>
      </c>
      <c r="J2872" s="7" t="n">
        <v>0</v>
      </c>
      <c r="K2872" s="9" t="n">
        <v>0.6899999999999999</v>
      </c>
      <c r="L2872" s="10" t="n">
        <v>3.68</v>
      </c>
      <c r="M2872" s="10" t="n">
        <v>1.43</v>
      </c>
      <c r="N2872" t="inlineStr">
        <is>
          <t>1</t>
        </is>
      </c>
      <c r="O2872" t="inlineStr">
        <is>
          <t xml:space="preserve">3 </t>
        </is>
      </c>
      <c r="P2872" t="inlineStr">
        <is>
          <t xml:space="preserve">250433  </t>
        </is>
      </c>
      <c r="Q2872" s="26" t="n">
        <v>6.9</v>
      </c>
      <c r="R2872" s="26">
        <f>Q2872*G2872</f>
        <v/>
      </c>
      <c r="S2872" t="n">
        <v>4.09</v>
      </c>
      <c r="T2872" s="18">
        <f>1 - V2872/S2872</f>
        <v/>
      </c>
      <c r="U2872" s="18" t="n">
        <v>0</v>
      </c>
      <c r="V2872" s="26" t="n">
        <v>4.09</v>
      </c>
      <c r="W2872" s="26">
        <f>V2872 - L2872</f>
        <v/>
      </c>
    </row>
    <row r="2873">
      <c r="A2873" s="11" t="n">
        <v>46231</v>
      </c>
      <c r="B2873" s="1" t="n">
        <v>20048</v>
      </c>
      <c r="C2873" s="1" t="inlineStr">
        <is>
          <t>018</t>
        </is>
      </c>
      <c r="D2873" s="1" t="inlineStr">
        <is>
          <t xml:space="preserve">48705 </t>
        </is>
      </c>
      <c r="E2873" s="1" t="inlineStr">
        <is>
          <t xml:space="preserve">28194770       </t>
        </is>
      </c>
      <c r="F2873" s="5" t="inlineStr">
        <is>
          <t>AUTOS DE METAL 3 TEAMSTERZ EN BLISTER</t>
        </is>
      </c>
      <c r="G2873" t="n">
        <v>1</v>
      </c>
      <c r="H2873" s="7" t="n">
        <v>6.9</v>
      </c>
      <c r="I2873" s="7" t="n">
        <v>0.6899999999999999</v>
      </c>
      <c r="J2873" s="7" t="n">
        <v>0</v>
      </c>
      <c r="K2873" s="9" t="n">
        <v>0.6899999999999999</v>
      </c>
      <c r="L2873" s="10" t="n">
        <v>3.68</v>
      </c>
      <c r="M2873" s="10" t="n">
        <v>1.43</v>
      </c>
      <c r="N2873" t="inlineStr">
        <is>
          <t>1</t>
        </is>
      </c>
      <c r="O2873" t="inlineStr">
        <is>
          <t xml:space="preserve">3 </t>
        </is>
      </c>
      <c r="P2873" t="inlineStr">
        <is>
          <t xml:space="preserve">250433  </t>
        </is>
      </c>
      <c r="Q2873" s="26" t="n">
        <v>6.9</v>
      </c>
      <c r="R2873" s="26">
        <f>Q2873*G2873</f>
        <v/>
      </c>
      <c r="S2873" t="n">
        <v>4.09</v>
      </c>
      <c r="T2873" s="18">
        <f>1 - V2873/S2873</f>
        <v/>
      </c>
      <c r="U2873" s="18" t="n">
        <v>0</v>
      </c>
      <c r="V2873" s="26" t="n">
        <v>4.09</v>
      </c>
      <c r="W2873" s="26">
        <f>V2873 - L2873</f>
        <v/>
      </c>
    </row>
    <row r="2874">
      <c r="A2874" s="11" t="n">
        <v>46231</v>
      </c>
      <c r="B2874" s="1" t="n">
        <v>20048</v>
      </c>
      <c r="C2874" s="1" t="inlineStr">
        <is>
          <t>018</t>
        </is>
      </c>
      <c r="D2874" s="1" t="inlineStr">
        <is>
          <t xml:space="preserve">48764 </t>
        </is>
      </c>
      <c r="E2874" s="1" t="inlineStr">
        <is>
          <t xml:space="preserve">28194770       </t>
        </is>
      </c>
      <c r="F2874" s="5" t="inlineStr">
        <is>
          <t>AUTOS DE METAL 3 TEAMSTERZ EN BLISTER</t>
        </is>
      </c>
      <c r="G2874" t="n">
        <v>1</v>
      </c>
      <c r="H2874" s="7" t="n">
        <v>6.9</v>
      </c>
      <c r="I2874" s="7" t="n">
        <v>0</v>
      </c>
      <c r="J2874" s="7" t="n">
        <v>0</v>
      </c>
      <c r="K2874" s="9" t="n">
        <v>0</v>
      </c>
      <c r="L2874" s="10" t="n">
        <v>4.1</v>
      </c>
      <c r="M2874" s="10" t="n">
        <v>1.43</v>
      </c>
      <c r="N2874" t="inlineStr">
        <is>
          <t>1</t>
        </is>
      </c>
      <c r="O2874" t="inlineStr">
        <is>
          <t>16</t>
        </is>
      </c>
      <c r="P2874" t="inlineStr">
        <is>
          <t xml:space="preserve">249916  </t>
        </is>
      </c>
      <c r="Q2874" s="26" t="n">
        <v>6.9</v>
      </c>
      <c r="R2874" s="26">
        <f>Q2874*G2874</f>
        <v/>
      </c>
      <c r="S2874" t="n">
        <v>4.09</v>
      </c>
      <c r="T2874" s="18">
        <f>1 - V2874/S2874</f>
        <v/>
      </c>
      <c r="U2874" s="18" t="n">
        <v>0</v>
      </c>
      <c r="V2874" s="26" t="n">
        <v>4.09</v>
      </c>
      <c r="W2874" s="26">
        <f>V2874 - L2874</f>
        <v/>
      </c>
    </row>
    <row r="2875">
      <c r="A2875" s="11" t="n">
        <v>46231</v>
      </c>
      <c r="B2875" s="1" t="n">
        <v>20048</v>
      </c>
      <c r="C2875" s="1" t="inlineStr">
        <is>
          <t>801</t>
        </is>
      </c>
      <c r="D2875" s="1" t="inlineStr">
        <is>
          <t xml:space="preserve">7139  </t>
        </is>
      </c>
      <c r="E2875" s="1" t="inlineStr">
        <is>
          <t xml:space="preserve">29235701       </t>
        </is>
      </c>
      <c r="F2875" s="5" t="inlineStr">
        <is>
          <t>INFINITY NADO TROMPO DE BATALLA - METAL EN CAJA</t>
        </is>
      </c>
      <c r="G2875" t="n">
        <v>1</v>
      </c>
      <c r="H2875" s="7" t="n">
        <v>29.9</v>
      </c>
      <c r="I2875" s="7" t="n">
        <v>0</v>
      </c>
      <c r="J2875" s="7" t="n">
        <v>0</v>
      </c>
      <c r="K2875" s="9" t="n">
        <v>0</v>
      </c>
      <c r="L2875" s="10" t="n">
        <v>17.74</v>
      </c>
      <c r="M2875" s="10" t="n">
        <v>1.43</v>
      </c>
      <c r="N2875" t="inlineStr">
        <is>
          <t>1</t>
        </is>
      </c>
      <c r="O2875" t="inlineStr">
        <is>
          <t>16</t>
        </is>
      </c>
      <c r="P2875" t="inlineStr">
        <is>
          <t xml:space="preserve">234984  </t>
        </is>
      </c>
      <c r="Q2875" s="26" t="n">
        <v>39.9</v>
      </c>
      <c r="R2875" s="26">
        <f>Q2875*G2875</f>
        <v/>
      </c>
      <c r="S2875" t="n">
        <v>23.67</v>
      </c>
      <c r="T2875" s="18">
        <f>1 - V2875/S2875</f>
        <v/>
      </c>
      <c r="U2875" s="18" t="n">
        <v>0.2506265664160401</v>
      </c>
      <c r="V2875" s="26" t="n">
        <v>19.00423728813559</v>
      </c>
      <c r="W2875" s="26">
        <f>V2875 - L2875</f>
        <v/>
      </c>
    </row>
    <row r="2876">
      <c r="A2876" s="11" t="n">
        <v>46231</v>
      </c>
      <c r="B2876" s="1" t="n">
        <v>20048</v>
      </c>
      <c r="C2876" s="1" t="inlineStr">
        <is>
          <t>801</t>
        </is>
      </c>
      <c r="D2876" s="1" t="inlineStr">
        <is>
          <t xml:space="preserve">7140  </t>
        </is>
      </c>
      <c r="E2876" s="1" t="inlineStr">
        <is>
          <t xml:space="preserve">28194770       </t>
        </is>
      </c>
      <c r="F2876" s="5" t="inlineStr">
        <is>
          <t>AUTOS DE METAL 3 TEAMSTERZ EN BLISTER</t>
        </is>
      </c>
      <c r="G2876" t="n">
        <v>1</v>
      </c>
      <c r="H2876" s="7" t="n">
        <v>6.9</v>
      </c>
      <c r="I2876" s="7" t="n">
        <v>0</v>
      </c>
      <c r="J2876" s="7" t="n">
        <v>0</v>
      </c>
      <c r="K2876" s="9" t="n">
        <v>0</v>
      </c>
      <c r="L2876" s="10" t="n">
        <v>4.1</v>
      </c>
      <c r="M2876" s="10" t="n">
        <v>1.43</v>
      </c>
      <c r="N2876" t="inlineStr">
        <is>
          <t>1</t>
        </is>
      </c>
      <c r="O2876" t="inlineStr">
        <is>
          <t>16</t>
        </is>
      </c>
      <c r="P2876" t="inlineStr">
        <is>
          <t xml:space="preserve">234984  </t>
        </is>
      </c>
      <c r="Q2876" s="26" t="n">
        <v>6.9</v>
      </c>
      <c r="R2876" s="26">
        <f>Q2876*G2876</f>
        <v/>
      </c>
      <c r="S2876" t="n">
        <v>4.09</v>
      </c>
      <c r="T2876" s="18">
        <f>1 - V2876/S2876</f>
        <v/>
      </c>
      <c r="U2876" s="18" t="n">
        <v>0</v>
      </c>
      <c r="V2876" s="26" t="n">
        <v>4.09</v>
      </c>
      <c r="W2876" s="26">
        <f>V2876 - L2876</f>
        <v/>
      </c>
    </row>
    <row r="2877">
      <c r="A2877" s="11" t="n">
        <v>46231</v>
      </c>
      <c r="B2877" s="1" t="n">
        <v>20049</v>
      </c>
      <c r="C2877" s="1" t="inlineStr">
        <is>
          <t>013</t>
        </is>
      </c>
      <c r="D2877" s="1" t="inlineStr">
        <is>
          <t>237780</t>
        </is>
      </c>
      <c r="E2877" s="1" t="inlineStr">
        <is>
          <t xml:space="preserve">31959961       </t>
        </is>
      </c>
      <c r="F2877" s="5" t="inlineStr">
        <is>
          <t>TEAMSTERZ CAMBIA DE COLOR PACK DE 3 AUTOS</t>
        </is>
      </c>
      <c r="G2877" t="n">
        <v>1</v>
      </c>
      <c r="H2877" s="7" t="n">
        <v>49.9</v>
      </c>
      <c r="I2877" s="7" t="n">
        <v>0</v>
      </c>
      <c r="J2877" s="7" t="n">
        <v>0</v>
      </c>
      <c r="K2877" s="9" t="n">
        <v>0</v>
      </c>
      <c r="L2877" s="10" t="n">
        <v>29.6</v>
      </c>
      <c r="M2877" s="10" t="n">
        <v>1.43</v>
      </c>
      <c r="N2877" t="inlineStr">
        <is>
          <t>1</t>
        </is>
      </c>
      <c r="O2877" t="inlineStr">
        <is>
          <t>16</t>
        </is>
      </c>
      <c r="P2877" t="inlineStr">
        <is>
          <t xml:space="preserve">250173  </t>
        </is>
      </c>
      <c r="Q2877" s="26" t="n">
        <v>49.9</v>
      </c>
      <c r="R2877" s="26">
        <f>Q2877*G2877</f>
        <v/>
      </c>
      <c r="S2877" t="n">
        <v>29.6</v>
      </c>
      <c r="T2877" s="18">
        <f>1 - V2877/S2877</f>
        <v/>
      </c>
      <c r="U2877" s="18" t="n">
        <v>0</v>
      </c>
      <c r="V2877" s="26" t="n">
        <v>29.6</v>
      </c>
      <c r="W2877" s="26">
        <f>V2877 - L2877</f>
        <v/>
      </c>
    </row>
    <row r="2878">
      <c r="A2878" s="11" t="n">
        <v>46231</v>
      </c>
      <c r="B2878" s="1" t="n">
        <v>20049</v>
      </c>
      <c r="C2878" s="1" t="inlineStr">
        <is>
          <t>013</t>
        </is>
      </c>
      <c r="D2878" s="1" t="inlineStr">
        <is>
          <t>237893</t>
        </is>
      </c>
      <c r="E2878" s="1" t="inlineStr">
        <is>
          <t xml:space="preserve">29854051       </t>
        </is>
      </c>
      <c r="F2878" s="5" t="inlineStr">
        <is>
          <t>TEAMSTERZ AUTO DE METAL PACK 10 AUTOS</t>
        </is>
      </c>
      <c r="G2878" t="n">
        <v>1</v>
      </c>
      <c r="H2878" s="7" t="n">
        <v>69</v>
      </c>
      <c r="I2878" s="7" t="n">
        <v>0</v>
      </c>
      <c r="J2878" s="7" t="n">
        <v>0</v>
      </c>
      <c r="K2878" s="9" t="n">
        <v>0</v>
      </c>
      <c r="L2878" s="10" t="n">
        <v>40.93</v>
      </c>
      <c r="M2878" s="10" t="n">
        <v>1.43</v>
      </c>
      <c r="N2878" t="inlineStr">
        <is>
          <t>1</t>
        </is>
      </c>
      <c r="O2878" t="inlineStr">
        <is>
          <t>16</t>
        </is>
      </c>
      <c r="P2878" t="inlineStr">
        <is>
          <t xml:space="preserve">244681  </t>
        </is>
      </c>
      <c r="Q2878" s="26" t="n">
        <v>69</v>
      </c>
      <c r="R2878" s="26">
        <f>Q2878*G2878</f>
        <v/>
      </c>
      <c r="S2878" t="n">
        <v>40.93</v>
      </c>
      <c r="T2878" s="18">
        <f>1 - V2878/S2878</f>
        <v/>
      </c>
      <c r="U2878" s="18" t="n">
        <v>0</v>
      </c>
      <c r="V2878" s="26" t="n">
        <v>40.93</v>
      </c>
      <c r="W2878" s="26">
        <f>V2878 - L2878</f>
        <v/>
      </c>
    </row>
    <row r="2879">
      <c r="A2879" s="11" t="n">
        <v>46231</v>
      </c>
      <c r="B2879" s="1" t="n">
        <v>20049</v>
      </c>
      <c r="C2879" s="1" t="inlineStr">
        <is>
          <t>025</t>
        </is>
      </c>
      <c r="D2879" s="1" t="inlineStr">
        <is>
          <t xml:space="preserve">35165 </t>
        </is>
      </c>
      <c r="E2879" s="1" t="inlineStr">
        <is>
          <t xml:space="preserve">31959961       </t>
        </is>
      </c>
      <c r="F2879" s="5" t="inlineStr">
        <is>
          <t>TEAMSTERZ CAMBIA DE COLOR PACK DE 3 AUTOS</t>
        </is>
      </c>
      <c r="G2879" t="n">
        <v>1</v>
      </c>
      <c r="H2879" s="7" t="n">
        <v>49.9</v>
      </c>
      <c r="I2879" s="7" t="n">
        <v>4.99</v>
      </c>
      <c r="J2879" s="7" t="n">
        <v>0</v>
      </c>
      <c r="K2879" s="9" t="n">
        <v>4.99</v>
      </c>
      <c r="L2879" s="10" t="n">
        <v>26.64</v>
      </c>
      <c r="M2879" s="10" t="n">
        <v>1.43</v>
      </c>
      <c r="N2879" t="inlineStr">
        <is>
          <t>1</t>
        </is>
      </c>
      <c r="O2879" t="inlineStr">
        <is>
          <t xml:space="preserve">3 </t>
        </is>
      </c>
      <c r="P2879" t="inlineStr">
        <is>
          <t xml:space="preserve">108879  </t>
        </is>
      </c>
      <c r="Q2879" s="26" t="n">
        <v>49.9</v>
      </c>
      <c r="R2879" s="26">
        <f>Q2879*G2879</f>
        <v/>
      </c>
      <c r="S2879" t="n">
        <v>29.6</v>
      </c>
      <c r="T2879" s="18">
        <f>1 - V2879/S2879</f>
        <v/>
      </c>
      <c r="U2879" s="18" t="n">
        <v>0</v>
      </c>
      <c r="V2879" s="26" t="n">
        <v>29.6</v>
      </c>
      <c r="W2879" s="26">
        <f>V2879 - L2879</f>
        <v/>
      </c>
    </row>
    <row r="2880">
      <c r="A2880" s="11" t="n">
        <v>46231</v>
      </c>
      <c r="B2880" s="1" t="n">
        <v>20049</v>
      </c>
      <c r="C2880" s="1" t="inlineStr">
        <is>
          <t>025</t>
        </is>
      </c>
      <c r="D2880" s="1" t="inlineStr">
        <is>
          <t xml:space="preserve">35187 </t>
        </is>
      </c>
      <c r="E2880" s="1" t="inlineStr">
        <is>
          <t xml:space="preserve">32457103       </t>
        </is>
      </c>
      <c r="F2880" s="5" t="inlineStr">
        <is>
          <t>TMZ BEAST MACHINES MONSTER JAWS A FRICCION PACK DE</t>
        </is>
      </c>
      <c r="G2880" t="n">
        <v>1</v>
      </c>
      <c r="H2880" s="7" t="n">
        <v>32.9</v>
      </c>
      <c r="I2880" s="7" t="n">
        <v>0</v>
      </c>
      <c r="J2880" s="7" t="n">
        <v>0</v>
      </c>
      <c r="K2880" s="9" t="n">
        <v>0</v>
      </c>
      <c r="L2880" s="10" t="n">
        <v>19.52</v>
      </c>
      <c r="M2880" s="10" t="n">
        <v>1.43</v>
      </c>
      <c r="N2880" t="inlineStr">
        <is>
          <t>1</t>
        </is>
      </c>
      <c r="O2880" t="inlineStr">
        <is>
          <t xml:space="preserve">2 </t>
        </is>
      </c>
      <c r="P2880" t="inlineStr">
        <is>
          <t xml:space="preserve">108879  </t>
        </is>
      </c>
      <c r="Q2880" s="26" t="n">
        <v>37.9</v>
      </c>
      <c r="R2880" s="26">
        <f>Q2880*G2880</f>
        <v/>
      </c>
      <c r="S2880" t="n">
        <v>22.48</v>
      </c>
      <c r="T2880" s="18">
        <f>1 - V2880/S2880</f>
        <v/>
      </c>
      <c r="U2880" s="18" t="n">
        <v>0.1319261213720316</v>
      </c>
      <c r="V2880" s="26" t="n">
        <v>16.75101694915254</v>
      </c>
      <c r="W2880" s="26">
        <f>V2880 - L2880</f>
        <v/>
      </c>
    </row>
    <row r="2881">
      <c r="A2881" s="11" t="n">
        <v>46231</v>
      </c>
      <c r="B2881" s="1" t="n">
        <v>20049</v>
      </c>
      <c r="C2881" s="1" t="inlineStr">
        <is>
          <t>025</t>
        </is>
      </c>
      <c r="D2881" s="1" t="inlineStr">
        <is>
          <t xml:space="preserve">35204 </t>
        </is>
      </c>
      <c r="E2881" s="1" t="inlineStr">
        <is>
          <t xml:space="preserve">32457099       </t>
        </is>
      </c>
      <c r="F2881" s="5" t="inlineStr">
        <is>
          <t>TMZ BEAST MACHINES MONSTER JAWS A FRICCION BLISTER</t>
        </is>
      </c>
      <c r="G2881" t="n">
        <v>1</v>
      </c>
      <c r="H2881" s="7" t="n">
        <v>17.9</v>
      </c>
      <c r="I2881" s="7" t="n">
        <v>0</v>
      </c>
      <c r="J2881" s="7" t="n">
        <v>0</v>
      </c>
      <c r="K2881" s="9" t="n">
        <v>0</v>
      </c>
      <c r="L2881" s="10" t="n">
        <v>10.62</v>
      </c>
      <c r="M2881" s="10" t="n">
        <v>1.43</v>
      </c>
      <c r="N2881" t="inlineStr">
        <is>
          <t>1</t>
        </is>
      </c>
      <c r="O2881" t="inlineStr">
        <is>
          <t>16</t>
        </is>
      </c>
      <c r="P2881" t="inlineStr">
        <is>
          <t xml:space="preserve">108879  </t>
        </is>
      </c>
      <c r="Q2881" s="26" t="n">
        <v>19.9</v>
      </c>
      <c r="R2881" s="26">
        <f>Q2881*G2881</f>
        <v/>
      </c>
      <c r="S2881" t="n">
        <v>11.81</v>
      </c>
      <c r="T2881" s="18">
        <f>1 - V2881/S2881</f>
        <v/>
      </c>
      <c r="U2881" s="18" t="n">
        <v>0.1005025125628141</v>
      </c>
      <c r="V2881" s="26" t="n">
        <v>8.417118644067797</v>
      </c>
      <c r="W2881" s="26">
        <f>V2881 - L2881</f>
        <v/>
      </c>
    </row>
    <row r="2882">
      <c r="A2882" s="11" t="n">
        <v>46231</v>
      </c>
      <c r="B2882" s="1" t="n">
        <v>20049</v>
      </c>
      <c r="C2882" s="1" t="inlineStr">
        <is>
          <t>515</t>
        </is>
      </c>
      <c r="D2882" s="1" t="inlineStr">
        <is>
          <t xml:space="preserve">741   </t>
        </is>
      </c>
      <c r="E2882" s="1" t="inlineStr">
        <is>
          <t xml:space="preserve">34840556       </t>
        </is>
      </c>
      <c r="F2882" s="5" t="inlineStr">
        <is>
          <t>TMZ BEAST MACH. TRANSPORT DINO +ACCS</t>
        </is>
      </c>
      <c r="G2882" t="n">
        <v>1</v>
      </c>
      <c r="H2882" s="7" t="n">
        <v>59.9</v>
      </c>
      <c r="I2882" s="7" t="n">
        <v>5.99</v>
      </c>
      <c r="J2882" s="7" t="n">
        <v>0</v>
      </c>
      <c r="K2882" s="9" t="n">
        <v>5.99</v>
      </c>
      <c r="L2882" s="10" t="n">
        <v>31.98</v>
      </c>
      <c r="M2882" s="10" t="n">
        <v>1.43</v>
      </c>
      <c r="N2882" t="inlineStr">
        <is>
          <t>1</t>
        </is>
      </c>
      <c r="O2882" t="inlineStr">
        <is>
          <t>16</t>
        </is>
      </c>
      <c r="P2882" t="inlineStr">
        <is>
          <t xml:space="preserve">249209  </t>
        </is>
      </c>
      <c r="Q2882" s="26" t="n">
        <v>79.90000000000002</v>
      </c>
      <c r="R2882" s="26">
        <f>Q2882*G2882</f>
        <v/>
      </c>
      <c r="S2882" t="n">
        <v>47.4</v>
      </c>
      <c r="T2882" s="18">
        <f>1 - V2882/S2882</f>
        <v/>
      </c>
      <c r="U2882" s="18" t="n">
        <v>0.2503128911138924</v>
      </c>
      <c r="V2882" s="26" t="n">
        <v>38.07203389830509</v>
      </c>
      <c r="W2882" s="26">
        <f>V2882 - L2882</f>
        <v/>
      </c>
    </row>
    <row r="2883">
      <c r="A2883" s="11" t="n">
        <v>46231</v>
      </c>
      <c r="B2883" s="1" t="n">
        <v>20049</v>
      </c>
      <c r="C2883" s="1" t="inlineStr">
        <is>
          <t>803</t>
        </is>
      </c>
      <c r="D2883" s="1" t="inlineStr">
        <is>
          <t xml:space="preserve">5929  </t>
        </is>
      </c>
      <c r="E2883" s="1" t="inlineStr">
        <is>
          <t xml:space="preserve">33483121       </t>
        </is>
      </c>
      <c r="F2883" s="5" t="inlineStr">
        <is>
          <t>HOT WHEELS ESTUCHE PARA 15 AUTOS SURTIDO</t>
        </is>
      </c>
      <c r="G2883" t="n">
        <v>1</v>
      </c>
      <c r="H2883" s="7" t="n">
        <v>34.9</v>
      </c>
      <c r="I2883" s="7" t="n">
        <v>3.49</v>
      </c>
      <c r="J2883" s="7" t="n">
        <v>0</v>
      </c>
      <c r="K2883" s="9" t="n">
        <v>3.49</v>
      </c>
      <c r="L2883" s="10" t="n">
        <v>18.63</v>
      </c>
      <c r="M2883" s="10" t="n">
        <v>1.43</v>
      </c>
      <c r="N2883" t="inlineStr">
        <is>
          <t>1</t>
        </is>
      </c>
      <c r="O2883" t="inlineStr">
        <is>
          <t>16</t>
        </is>
      </c>
      <c r="P2883" t="inlineStr">
        <is>
          <t xml:space="preserve">0       </t>
        </is>
      </c>
      <c r="Q2883" s="26" t="n">
        <v>34.9</v>
      </c>
      <c r="R2883" s="26">
        <f>Q2883*G2883</f>
        <v/>
      </c>
      <c r="S2883" t="n">
        <v>20.7</v>
      </c>
      <c r="T2883" s="18">
        <f>1 - V2883/S2883</f>
        <v/>
      </c>
      <c r="U2883" s="18" t="n">
        <v>0</v>
      </c>
      <c r="V2883" s="26" t="n">
        <v>20.7</v>
      </c>
      <c r="W2883" s="26">
        <f>V2883 - L2883</f>
        <v/>
      </c>
    </row>
    <row r="2884">
      <c r="A2884" s="11" t="n">
        <v>46231</v>
      </c>
      <c r="B2884" s="1" t="n">
        <v>20049</v>
      </c>
      <c r="C2884" s="1" t="inlineStr">
        <is>
          <t>803</t>
        </is>
      </c>
      <c r="D2884" s="1" t="inlineStr">
        <is>
          <t xml:space="preserve">5946  </t>
        </is>
      </c>
      <c r="E2884" s="1" t="inlineStr">
        <is>
          <t xml:space="preserve">31959961       </t>
        </is>
      </c>
      <c r="F2884" s="5" t="inlineStr">
        <is>
          <t>TEAMSTERZ CAMBIA DE COLOR PACK DE 3 AUTOS</t>
        </is>
      </c>
      <c r="G2884" t="n">
        <v>1</v>
      </c>
      <c r="H2884" s="7" t="n">
        <v>49.9</v>
      </c>
      <c r="I2884" s="7" t="n">
        <v>4.99</v>
      </c>
      <c r="J2884" s="7" t="n">
        <v>0</v>
      </c>
      <c r="K2884" s="9" t="n">
        <v>4.99</v>
      </c>
      <c r="L2884" s="10" t="n">
        <v>26.64</v>
      </c>
      <c r="M2884" s="10" t="n">
        <v>1.43</v>
      </c>
      <c r="N2884" t="inlineStr">
        <is>
          <t>1</t>
        </is>
      </c>
      <c r="O2884" t="inlineStr">
        <is>
          <t>16</t>
        </is>
      </c>
      <c r="P2884" t="inlineStr">
        <is>
          <t xml:space="preserve">0       </t>
        </is>
      </c>
      <c r="Q2884" s="26" t="n">
        <v>49.9</v>
      </c>
      <c r="R2884" s="26">
        <f>Q2884*G2884</f>
        <v/>
      </c>
      <c r="S2884" t="n">
        <v>29.6</v>
      </c>
      <c r="T2884" s="18">
        <f>1 - V2884/S2884</f>
        <v/>
      </c>
      <c r="U2884" s="18" t="n">
        <v>0</v>
      </c>
      <c r="V2884" s="26" t="n">
        <v>29.6</v>
      </c>
      <c r="W2884" s="26">
        <f>V2884 - L2884</f>
        <v/>
      </c>
    </row>
    <row r="2885">
      <c r="A2885" s="11" t="n">
        <v>46231</v>
      </c>
      <c r="B2885" s="1" t="n">
        <v>20057</v>
      </c>
      <c r="C2885" s="1" t="inlineStr">
        <is>
          <t>032</t>
        </is>
      </c>
      <c r="D2885" s="1" t="inlineStr">
        <is>
          <t xml:space="preserve">76201 </t>
        </is>
      </c>
      <c r="E2885" s="1" t="inlineStr">
        <is>
          <t xml:space="preserve">34840553       </t>
        </is>
      </c>
      <c r="F2885" s="5" t="inlineStr">
        <is>
          <t>TMZ AUTO LUZ Y SONIDO ESQUELET DINO T-REX</t>
        </is>
      </c>
      <c r="G2885" t="n">
        <v>1</v>
      </c>
      <c r="H2885" s="7" t="n">
        <v>79.90000000000001</v>
      </c>
      <c r="I2885" s="7" t="n">
        <v>0</v>
      </c>
      <c r="J2885" s="7" t="n">
        <v>0</v>
      </c>
      <c r="K2885" s="9" t="n">
        <v>0</v>
      </c>
      <c r="L2885" s="10" t="n">
        <v>47.4</v>
      </c>
      <c r="M2885" s="10" t="n">
        <v>1.43</v>
      </c>
      <c r="N2885" t="inlineStr">
        <is>
          <t>1</t>
        </is>
      </c>
      <c r="O2885" t="inlineStr">
        <is>
          <t>16</t>
        </is>
      </c>
      <c r="P2885" t="inlineStr">
        <is>
          <t xml:space="preserve">105593  </t>
        </is>
      </c>
      <c r="Q2885" s="26" t="n">
        <v>79.90000000000002</v>
      </c>
      <c r="R2885" s="26">
        <f>Q2885*G2885</f>
        <v/>
      </c>
      <c r="S2885" t="n">
        <v>47.4</v>
      </c>
      <c r="T2885" s="18">
        <f>1 - V2885/S2885</f>
        <v/>
      </c>
      <c r="U2885" s="18" t="n">
        <v>0</v>
      </c>
      <c r="V2885" s="26" t="n">
        <v>47.4</v>
      </c>
      <c r="W2885" s="26">
        <f>V2885 - L2885</f>
        <v/>
      </c>
    </row>
    <row r="2886">
      <c r="A2886" s="11" t="n">
        <v>46231</v>
      </c>
      <c r="B2886" s="1" t="n">
        <v>20057</v>
      </c>
      <c r="C2886" s="1" t="inlineStr">
        <is>
          <t>033</t>
        </is>
      </c>
      <c r="D2886" s="1" t="inlineStr">
        <is>
          <t xml:space="preserve">68522 </t>
        </is>
      </c>
      <c r="E2886" s="1" t="inlineStr">
        <is>
          <t xml:space="preserve">28194770       </t>
        </is>
      </c>
      <c r="F2886" s="5" t="inlineStr">
        <is>
          <t>AUTOS DE METAL 3 TEAMSTERZ EN BLISTER</t>
        </is>
      </c>
      <c r="G2886" t="n">
        <v>1</v>
      </c>
      <c r="H2886" s="7" t="n">
        <v>6.9</v>
      </c>
      <c r="I2886" s="7" t="n">
        <v>0</v>
      </c>
      <c r="J2886" s="7" t="n">
        <v>0</v>
      </c>
      <c r="K2886" s="9" t="n">
        <v>0</v>
      </c>
      <c r="L2886" s="10" t="n">
        <v>4.1</v>
      </c>
      <c r="M2886" s="10" t="n">
        <v>1.43</v>
      </c>
      <c r="N2886" t="inlineStr">
        <is>
          <t>1</t>
        </is>
      </c>
      <c r="O2886" t="inlineStr">
        <is>
          <t>16</t>
        </is>
      </c>
      <c r="P2886" t="inlineStr">
        <is>
          <t xml:space="preserve">250522  </t>
        </is>
      </c>
      <c r="Q2886" s="26" t="n">
        <v>6.9</v>
      </c>
      <c r="R2886" s="26">
        <f>Q2886*G2886</f>
        <v/>
      </c>
      <c r="S2886" t="n">
        <v>4.09</v>
      </c>
      <c r="T2886" s="18">
        <f>1 - V2886/S2886</f>
        <v/>
      </c>
      <c r="U2886" s="18" t="n">
        <v>0</v>
      </c>
      <c r="V2886" s="26" t="n">
        <v>4.09</v>
      </c>
      <c r="W2886" s="26">
        <f>V2886 - L2886</f>
        <v/>
      </c>
    </row>
    <row r="2887">
      <c r="A2887" s="11" t="n">
        <v>46231</v>
      </c>
      <c r="B2887" s="1" t="n">
        <v>20057</v>
      </c>
      <c r="C2887" s="1" t="inlineStr">
        <is>
          <t>033</t>
        </is>
      </c>
      <c r="D2887" s="1" t="inlineStr">
        <is>
          <t xml:space="preserve">68522 </t>
        </is>
      </c>
      <c r="E2887" s="1" t="inlineStr">
        <is>
          <t xml:space="preserve">28194770       </t>
        </is>
      </c>
      <c r="F2887" s="5" t="inlineStr">
        <is>
          <t>AUTOS DE METAL 3 TEAMSTERZ EN BLISTER</t>
        </is>
      </c>
      <c r="G2887" t="n">
        <v>1</v>
      </c>
      <c r="H2887" s="7" t="n">
        <v>6.9</v>
      </c>
      <c r="I2887" s="7" t="n">
        <v>0</v>
      </c>
      <c r="J2887" s="7" t="n">
        <v>0</v>
      </c>
      <c r="K2887" s="9" t="n">
        <v>0</v>
      </c>
      <c r="L2887" s="10" t="n">
        <v>4.1</v>
      </c>
      <c r="M2887" s="10" t="n">
        <v>1.43</v>
      </c>
      <c r="N2887" t="inlineStr">
        <is>
          <t>1</t>
        </is>
      </c>
      <c r="O2887" t="inlineStr">
        <is>
          <t>16</t>
        </is>
      </c>
      <c r="P2887" t="inlineStr">
        <is>
          <t xml:space="preserve">250522  </t>
        </is>
      </c>
      <c r="Q2887" s="26" t="n">
        <v>6.9</v>
      </c>
      <c r="R2887" s="26">
        <f>Q2887*G2887</f>
        <v/>
      </c>
      <c r="S2887" t="n">
        <v>4.09</v>
      </c>
      <c r="T2887" s="18">
        <f>1 - V2887/S2887</f>
        <v/>
      </c>
      <c r="U2887" s="18" t="n">
        <v>0</v>
      </c>
      <c r="V2887" s="26" t="n">
        <v>4.09</v>
      </c>
      <c r="W2887" s="26">
        <f>V2887 - L2887</f>
        <v/>
      </c>
    </row>
    <row r="2888">
      <c r="A2888" s="11" t="n">
        <v>46231</v>
      </c>
      <c r="B2888" s="1" t="n">
        <v>20057</v>
      </c>
      <c r="C2888" s="1" t="inlineStr">
        <is>
          <t>033</t>
        </is>
      </c>
      <c r="D2888" s="1" t="inlineStr">
        <is>
          <t xml:space="preserve">68522 </t>
        </is>
      </c>
      <c r="E2888" s="1" t="inlineStr">
        <is>
          <t xml:space="preserve">28194770       </t>
        </is>
      </c>
      <c r="F2888" s="5" t="inlineStr">
        <is>
          <t>AUTOS DE METAL 3 TEAMSTERZ EN BLISTER</t>
        </is>
      </c>
      <c r="G2888" t="n">
        <v>1</v>
      </c>
      <c r="H2888" s="7" t="n">
        <v>6.9</v>
      </c>
      <c r="I2888" s="7" t="n">
        <v>0</v>
      </c>
      <c r="J2888" s="7" t="n">
        <v>0</v>
      </c>
      <c r="K2888" s="9" t="n">
        <v>0</v>
      </c>
      <c r="L2888" s="10" t="n">
        <v>4.1</v>
      </c>
      <c r="M2888" s="10" t="n">
        <v>1.43</v>
      </c>
      <c r="N2888" t="inlineStr">
        <is>
          <t>1</t>
        </is>
      </c>
      <c r="O2888" t="inlineStr">
        <is>
          <t>16</t>
        </is>
      </c>
      <c r="P2888" t="inlineStr">
        <is>
          <t xml:space="preserve">250522  </t>
        </is>
      </c>
      <c r="Q2888" s="26" t="n">
        <v>6.9</v>
      </c>
      <c r="R2888" s="26">
        <f>Q2888*G2888</f>
        <v/>
      </c>
      <c r="S2888" t="n">
        <v>4.09</v>
      </c>
      <c r="T2888" s="18">
        <f>1 - V2888/S2888</f>
        <v/>
      </c>
      <c r="U2888" s="18" t="n">
        <v>0</v>
      </c>
      <c r="V2888" s="26" t="n">
        <v>4.09</v>
      </c>
      <c r="W2888" s="26">
        <f>V2888 - L2888</f>
        <v/>
      </c>
    </row>
    <row r="2889">
      <c r="A2889" s="11" t="n">
        <v>46231</v>
      </c>
      <c r="B2889" s="1" t="n">
        <v>20058</v>
      </c>
      <c r="C2889" s="1" t="inlineStr">
        <is>
          <t>039</t>
        </is>
      </c>
      <c r="D2889" s="1" t="inlineStr">
        <is>
          <t>232134</t>
        </is>
      </c>
      <c r="E2889" s="1" t="inlineStr">
        <is>
          <t xml:space="preserve">32457099       </t>
        </is>
      </c>
      <c r="F2889" s="5" t="inlineStr">
        <is>
          <t>TMZ BEAST MACHINES MONSTER JAWS A FRICCION BLISTER</t>
        </is>
      </c>
      <c r="G2889" t="n">
        <v>1</v>
      </c>
      <c r="H2889" s="7" t="n">
        <v>17.9</v>
      </c>
      <c r="I2889" s="7" t="n">
        <v>0</v>
      </c>
      <c r="J2889" s="7" t="n">
        <v>0</v>
      </c>
      <c r="K2889" s="9" t="n">
        <v>0</v>
      </c>
      <c r="L2889" s="10" t="n">
        <v>10.62</v>
      </c>
      <c r="M2889" s="10" t="n">
        <v>1.43</v>
      </c>
      <c r="N2889" t="inlineStr">
        <is>
          <t>1</t>
        </is>
      </c>
      <c r="O2889" t="inlineStr">
        <is>
          <t>16</t>
        </is>
      </c>
      <c r="P2889" t="inlineStr">
        <is>
          <t xml:space="preserve">90759   </t>
        </is>
      </c>
      <c r="Q2889" s="26" t="n">
        <v>19.9</v>
      </c>
      <c r="R2889" s="26">
        <f>Q2889*G2889</f>
        <v/>
      </c>
      <c r="S2889" t="n">
        <v>11.81</v>
      </c>
      <c r="T2889" s="18">
        <f>1 - V2889/S2889</f>
        <v/>
      </c>
      <c r="U2889" s="18" t="n">
        <v>0.1005025125628141</v>
      </c>
      <c r="V2889" s="26" t="n">
        <v>8.417118644067797</v>
      </c>
      <c r="W2889" s="26">
        <f>V2889 - L2889</f>
        <v/>
      </c>
    </row>
    <row r="2890">
      <c r="A2890" s="11" t="n">
        <v>46231</v>
      </c>
      <c r="B2890" s="1" t="n">
        <v>20058</v>
      </c>
      <c r="C2890" s="1" t="inlineStr">
        <is>
          <t>039</t>
        </is>
      </c>
      <c r="D2890" s="1" t="inlineStr">
        <is>
          <t>232144</t>
        </is>
      </c>
      <c r="E2890" s="1" t="inlineStr">
        <is>
          <t xml:space="preserve">35685067       </t>
        </is>
      </c>
      <c r="F2890" s="5" t="inlineStr">
        <is>
          <t>HOT WHEELS POWER SET 3 EN 1</t>
        </is>
      </c>
      <c r="G2890" t="n">
        <v>1</v>
      </c>
      <c r="H2890" s="7" t="n">
        <v>49.9</v>
      </c>
      <c r="I2890" s="7" t="n">
        <v>4.99</v>
      </c>
      <c r="J2890" s="7" t="n">
        <v>0</v>
      </c>
      <c r="K2890" s="9" t="n">
        <v>4.99</v>
      </c>
      <c r="L2890" s="10" t="n">
        <v>26.64</v>
      </c>
      <c r="M2890" s="10" t="n">
        <v>1.43</v>
      </c>
      <c r="N2890" t="inlineStr">
        <is>
          <t>1</t>
        </is>
      </c>
      <c r="O2890" t="inlineStr">
        <is>
          <t xml:space="preserve">3 </t>
        </is>
      </c>
      <c r="P2890" t="inlineStr">
        <is>
          <t xml:space="preserve">90759   </t>
        </is>
      </c>
      <c r="Q2890" s="26" t="n">
        <v>49.9</v>
      </c>
      <c r="R2890" s="26">
        <f>Q2890*G2890</f>
        <v/>
      </c>
      <c r="S2890" t="n">
        <v>29.6</v>
      </c>
      <c r="T2890" s="18">
        <f>1 - V2890/S2890</f>
        <v/>
      </c>
      <c r="U2890" s="18" t="n">
        <v>0</v>
      </c>
      <c r="V2890" s="26" t="n">
        <v>29.6</v>
      </c>
      <c r="W2890" s="26">
        <f>V2890 - L2890</f>
        <v/>
      </c>
    </row>
    <row r="2891">
      <c r="A2891" s="11" t="n">
        <v>46231</v>
      </c>
      <c r="B2891" s="1" t="n">
        <v>20058</v>
      </c>
      <c r="C2891" s="1" t="inlineStr">
        <is>
          <t>039</t>
        </is>
      </c>
      <c r="D2891" s="1" t="inlineStr">
        <is>
          <t>232151</t>
        </is>
      </c>
      <c r="E2891" s="1" t="inlineStr">
        <is>
          <t xml:space="preserve">28194769       </t>
        </is>
      </c>
      <c r="F2891" s="5" t="inlineStr">
        <is>
          <t>AUTOS DE METAL 3 TEAMSTERZ PACK DE 2</t>
        </is>
      </c>
      <c r="G2891" t="n">
        <v>1</v>
      </c>
      <c r="H2891" s="7" t="n">
        <v>13.8</v>
      </c>
      <c r="I2891" s="7" t="n">
        <v>0</v>
      </c>
      <c r="J2891" s="7" t="n">
        <v>0</v>
      </c>
      <c r="K2891" s="9" t="n">
        <v>0</v>
      </c>
      <c r="L2891" s="10" t="n">
        <v>8.18</v>
      </c>
      <c r="M2891" s="10" t="n">
        <v>1.43</v>
      </c>
      <c r="N2891" t="inlineStr">
        <is>
          <t>1</t>
        </is>
      </c>
      <c r="O2891" t="inlineStr">
        <is>
          <t xml:space="preserve">2 </t>
        </is>
      </c>
      <c r="P2891" t="inlineStr">
        <is>
          <t xml:space="preserve">90759   </t>
        </is>
      </c>
      <c r="Q2891" s="26" t="n">
        <v>13.8</v>
      </c>
      <c r="R2891" s="26">
        <f>Q2891*G2891</f>
        <v/>
      </c>
      <c r="S2891" t="n">
        <v>8.19</v>
      </c>
      <c r="T2891" s="18">
        <f>1 - V2891/S2891</f>
        <v/>
      </c>
      <c r="U2891" s="18" t="n">
        <v>0</v>
      </c>
      <c r="V2891" s="26" t="n">
        <v>8.19</v>
      </c>
      <c r="W2891" s="26">
        <f>V2891 - L2891</f>
        <v/>
      </c>
    </row>
    <row r="2892">
      <c r="A2892" s="11" t="n">
        <v>46231</v>
      </c>
      <c r="B2892" s="1" t="n">
        <v>20058</v>
      </c>
      <c r="C2892" s="1" t="inlineStr">
        <is>
          <t>039</t>
        </is>
      </c>
      <c r="D2892" s="1" t="inlineStr">
        <is>
          <t>232151</t>
        </is>
      </c>
      <c r="E2892" s="1" t="inlineStr">
        <is>
          <t xml:space="preserve">28194769       </t>
        </is>
      </c>
      <c r="F2892" s="5" t="inlineStr">
        <is>
          <t>AUTOS DE METAL 3 TEAMSTERZ PACK DE 2</t>
        </is>
      </c>
      <c r="G2892" t="n">
        <v>1</v>
      </c>
      <c r="H2892" s="7" t="n">
        <v>13.8</v>
      </c>
      <c r="I2892" s="7" t="n">
        <v>0</v>
      </c>
      <c r="J2892" s="7" t="n">
        <v>0</v>
      </c>
      <c r="K2892" s="9" t="n">
        <v>0</v>
      </c>
      <c r="L2892" s="10" t="n">
        <v>8.18</v>
      </c>
      <c r="M2892" s="10" t="n">
        <v>1.43</v>
      </c>
      <c r="N2892" t="inlineStr">
        <is>
          <t>1</t>
        </is>
      </c>
      <c r="O2892" t="inlineStr">
        <is>
          <t xml:space="preserve">2 </t>
        </is>
      </c>
      <c r="P2892" t="inlineStr">
        <is>
          <t xml:space="preserve">90759   </t>
        </is>
      </c>
      <c r="Q2892" s="26" t="n">
        <v>13.8</v>
      </c>
      <c r="R2892" s="26">
        <f>Q2892*G2892</f>
        <v/>
      </c>
      <c r="S2892" t="n">
        <v>8.19</v>
      </c>
      <c r="T2892" s="18">
        <f>1 - V2892/S2892</f>
        <v/>
      </c>
      <c r="U2892" s="18" t="n">
        <v>0</v>
      </c>
      <c r="V2892" s="26" t="n">
        <v>8.19</v>
      </c>
      <c r="W2892" s="26">
        <f>V2892 - L2892</f>
        <v/>
      </c>
    </row>
    <row r="2893">
      <c r="A2893" s="11" t="n">
        <v>46231</v>
      </c>
      <c r="B2893" s="1" t="n">
        <v>20058</v>
      </c>
      <c r="C2893" s="1" t="inlineStr">
        <is>
          <t>039</t>
        </is>
      </c>
      <c r="D2893" s="1" t="inlineStr">
        <is>
          <t>232151</t>
        </is>
      </c>
      <c r="E2893" s="1" t="inlineStr">
        <is>
          <t xml:space="preserve">28194770       </t>
        </is>
      </c>
      <c r="F2893" s="5" t="inlineStr">
        <is>
          <t>AUTOS DE METAL 3 TEAMSTERZ EN BLISTER</t>
        </is>
      </c>
      <c r="G2893" t="n">
        <v>1</v>
      </c>
      <c r="H2893" s="7" t="n">
        <v>6.9</v>
      </c>
      <c r="I2893" s="7" t="n">
        <v>0</v>
      </c>
      <c r="J2893" s="7" t="n">
        <v>0</v>
      </c>
      <c r="K2893" s="9" t="n">
        <v>0</v>
      </c>
      <c r="L2893" s="10" t="n">
        <v>4.1</v>
      </c>
      <c r="M2893" s="10" t="n">
        <v>1.43</v>
      </c>
      <c r="N2893" t="inlineStr">
        <is>
          <t>1</t>
        </is>
      </c>
      <c r="O2893" t="inlineStr">
        <is>
          <t xml:space="preserve">2 </t>
        </is>
      </c>
      <c r="P2893" t="inlineStr">
        <is>
          <t xml:space="preserve">90759   </t>
        </is>
      </c>
      <c r="Q2893" s="26" t="n">
        <v>6.9</v>
      </c>
      <c r="R2893" s="26">
        <f>Q2893*G2893</f>
        <v/>
      </c>
      <c r="S2893" t="n">
        <v>4.09</v>
      </c>
      <c r="T2893" s="18">
        <f>1 - V2893/S2893</f>
        <v/>
      </c>
      <c r="U2893" s="18" t="n">
        <v>0</v>
      </c>
      <c r="V2893" s="26" t="n">
        <v>4.09</v>
      </c>
      <c r="W2893" s="26">
        <f>V2893 - L2893</f>
        <v/>
      </c>
    </row>
    <row r="2894">
      <c r="A2894" s="11" t="n">
        <v>46231</v>
      </c>
      <c r="B2894" s="1" t="n">
        <v>20058</v>
      </c>
      <c r="C2894" s="1" t="inlineStr">
        <is>
          <t>039</t>
        </is>
      </c>
      <c r="D2894" s="1" t="inlineStr">
        <is>
          <t>232151</t>
        </is>
      </c>
      <c r="E2894" s="1" t="inlineStr">
        <is>
          <t xml:space="preserve">30141766       </t>
        </is>
      </c>
      <c r="F2894" s="5" t="inlineStr">
        <is>
          <t>TMZ BEAST MACHINES AUTOS DE METAL BLISTER X 1</t>
        </is>
      </c>
      <c r="G2894" t="n">
        <v>1</v>
      </c>
      <c r="H2894" s="7" t="n">
        <v>7.9</v>
      </c>
      <c r="I2894" s="7" t="n">
        <v>0</v>
      </c>
      <c r="J2894" s="7" t="n">
        <v>0</v>
      </c>
      <c r="K2894" s="9" t="n">
        <v>0</v>
      </c>
      <c r="L2894" s="10" t="n">
        <v>4.68</v>
      </c>
      <c r="M2894" s="10" t="n">
        <v>1.43</v>
      </c>
      <c r="N2894" t="inlineStr">
        <is>
          <t>1</t>
        </is>
      </c>
      <c r="O2894" t="inlineStr">
        <is>
          <t xml:space="preserve">2 </t>
        </is>
      </c>
      <c r="P2894" t="inlineStr">
        <is>
          <t xml:space="preserve">90759   </t>
        </is>
      </c>
      <c r="Q2894" s="26" t="n">
        <v>7.9</v>
      </c>
      <c r="R2894" s="26">
        <f>Q2894*G2894</f>
        <v/>
      </c>
      <c r="S2894" t="n">
        <v>4.69</v>
      </c>
      <c r="T2894" s="18">
        <f>1 - V2894/S2894</f>
        <v/>
      </c>
      <c r="U2894" s="18" t="n">
        <v>0</v>
      </c>
      <c r="V2894" s="26" t="n">
        <v>4.69</v>
      </c>
      <c r="W2894" s="26">
        <f>V2894 - L2894</f>
        <v/>
      </c>
    </row>
    <row r="2895">
      <c r="A2895" s="11" t="n">
        <v>46231</v>
      </c>
      <c r="B2895" s="1" t="n">
        <v>20058</v>
      </c>
      <c r="C2895" s="1" t="inlineStr">
        <is>
          <t>039</t>
        </is>
      </c>
      <c r="D2895" s="1" t="inlineStr">
        <is>
          <t>232156</t>
        </is>
      </c>
      <c r="E2895" s="1" t="inlineStr">
        <is>
          <t xml:space="preserve">30141766       </t>
        </is>
      </c>
      <c r="F2895" s="5" t="inlineStr">
        <is>
          <t>TMZ BEAST MACHINES AUTOS DE METAL BLISTER X 1</t>
        </is>
      </c>
      <c r="G2895" t="n">
        <v>1</v>
      </c>
      <c r="H2895" s="7" t="n">
        <v>7.9</v>
      </c>
      <c r="I2895" s="7" t="n">
        <v>0</v>
      </c>
      <c r="J2895" s="7" t="n">
        <v>0</v>
      </c>
      <c r="K2895" s="9" t="n">
        <v>0</v>
      </c>
      <c r="L2895" s="10" t="n">
        <v>4.68</v>
      </c>
      <c r="M2895" s="10" t="n">
        <v>1.43</v>
      </c>
      <c r="N2895" t="inlineStr">
        <is>
          <t>1</t>
        </is>
      </c>
      <c r="O2895" t="inlineStr">
        <is>
          <t>16</t>
        </is>
      </c>
      <c r="P2895" t="inlineStr">
        <is>
          <t xml:space="preserve">90759   </t>
        </is>
      </c>
      <c r="Q2895" s="26" t="n">
        <v>7.9</v>
      </c>
      <c r="R2895" s="26">
        <f>Q2895*G2895</f>
        <v/>
      </c>
      <c r="S2895" t="n">
        <v>4.69</v>
      </c>
      <c r="T2895" s="18">
        <f>1 - V2895/S2895</f>
        <v/>
      </c>
      <c r="U2895" s="18" t="n">
        <v>0</v>
      </c>
      <c r="V2895" s="26" t="n">
        <v>4.69</v>
      </c>
      <c r="W2895" s="26">
        <f>V2895 - L2895</f>
        <v/>
      </c>
    </row>
    <row r="2896">
      <c r="A2896" s="11" t="n">
        <v>46231</v>
      </c>
      <c r="B2896" s="1" t="n">
        <v>20058</v>
      </c>
      <c r="C2896" s="1" t="inlineStr">
        <is>
          <t>191</t>
        </is>
      </c>
      <c r="D2896" s="1" t="inlineStr">
        <is>
          <t xml:space="preserve">7677  </t>
        </is>
      </c>
      <c r="E2896" s="1" t="inlineStr">
        <is>
          <t xml:space="preserve">28194770       </t>
        </is>
      </c>
      <c r="F2896" s="5" t="inlineStr">
        <is>
          <t>AUTOS DE METAL 3 TEAMSTERZ EN BLISTER</t>
        </is>
      </c>
      <c r="G2896" t="n">
        <v>1</v>
      </c>
      <c r="H2896" s="7" t="n">
        <v>6.9</v>
      </c>
      <c r="I2896" s="7" t="n">
        <v>0</v>
      </c>
      <c r="J2896" s="7" t="n">
        <v>0</v>
      </c>
      <c r="K2896" s="9" t="n">
        <v>0</v>
      </c>
      <c r="L2896" s="10" t="n">
        <v>4.1</v>
      </c>
      <c r="M2896" s="10" t="n">
        <v>1.43</v>
      </c>
      <c r="N2896" t="inlineStr">
        <is>
          <t>1</t>
        </is>
      </c>
      <c r="O2896" t="inlineStr">
        <is>
          <t>16</t>
        </is>
      </c>
      <c r="P2896" t="inlineStr">
        <is>
          <t xml:space="preserve">244952  </t>
        </is>
      </c>
      <c r="Q2896" s="26" t="n">
        <v>6.9</v>
      </c>
      <c r="R2896" s="26">
        <f>Q2896*G2896</f>
        <v/>
      </c>
      <c r="S2896" t="n">
        <v>4.09</v>
      </c>
      <c r="T2896" s="18">
        <f>1 - V2896/S2896</f>
        <v/>
      </c>
      <c r="U2896" s="18" t="n">
        <v>0</v>
      </c>
      <c r="V2896" s="26" t="n">
        <v>4.09</v>
      </c>
      <c r="W2896" s="26">
        <f>V2896 - L2896</f>
        <v/>
      </c>
    </row>
    <row r="2897">
      <c r="A2897" s="11" t="n">
        <v>46231</v>
      </c>
      <c r="B2897" s="1" t="n">
        <v>20058</v>
      </c>
      <c r="C2897" s="1" t="inlineStr">
        <is>
          <t>191</t>
        </is>
      </c>
      <c r="D2897" s="1" t="inlineStr">
        <is>
          <t xml:space="preserve">7677  </t>
        </is>
      </c>
      <c r="E2897" s="1" t="inlineStr">
        <is>
          <t xml:space="preserve">28194770       </t>
        </is>
      </c>
      <c r="F2897" s="5" t="inlineStr">
        <is>
          <t>AUTOS DE METAL 3 TEAMSTERZ EN BLISTER</t>
        </is>
      </c>
      <c r="G2897" t="n">
        <v>1</v>
      </c>
      <c r="H2897" s="7" t="n">
        <v>6.9</v>
      </c>
      <c r="I2897" s="7" t="n">
        <v>0</v>
      </c>
      <c r="J2897" s="7" t="n">
        <v>0</v>
      </c>
      <c r="K2897" s="9" t="n">
        <v>0</v>
      </c>
      <c r="L2897" s="10" t="n">
        <v>4.1</v>
      </c>
      <c r="M2897" s="10" t="n">
        <v>1.43</v>
      </c>
      <c r="N2897" t="inlineStr">
        <is>
          <t>1</t>
        </is>
      </c>
      <c r="O2897" t="inlineStr">
        <is>
          <t>16</t>
        </is>
      </c>
      <c r="P2897" t="inlineStr">
        <is>
          <t xml:space="preserve">244952  </t>
        </is>
      </c>
      <c r="Q2897" s="26" t="n">
        <v>6.9</v>
      </c>
      <c r="R2897" s="26">
        <f>Q2897*G2897</f>
        <v/>
      </c>
      <c r="S2897" t="n">
        <v>4.09</v>
      </c>
      <c r="T2897" s="18">
        <f>1 - V2897/S2897</f>
        <v/>
      </c>
      <c r="U2897" s="18" t="n">
        <v>0</v>
      </c>
      <c r="V2897" s="26" t="n">
        <v>4.09</v>
      </c>
      <c r="W2897" s="26">
        <f>V2897 - L2897</f>
        <v/>
      </c>
    </row>
    <row r="2898">
      <c r="A2898" s="11" t="n">
        <v>46231</v>
      </c>
      <c r="B2898" s="1" t="n">
        <v>20058</v>
      </c>
      <c r="C2898" s="1" t="inlineStr">
        <is>
          <t>191</t>
        </is>
      </c>
      <c r="D2898" s="1" t="inlineStr">
        <is>
          <t xml:space="preserve">7677  </t>
        </is>
      </c>
      <c r="E2898" s="1" t="inlineStr">
        <is>
          <t xml:space="preserve">28194770       </t>
        </is>
      </c>
      <c r="F2898" s="5" t="inlineStr">
        <is>
          <t>AUTOS DE METAL 3 TEAMSTERZ EN BLISTER</t>
        </is>
      </c>
      <c r="G2898" t="n">
        <v>1</v>
      </c>
      <c r="H2898" s="7" t="n">
        <v>6.9</v>
      </c>
      <c r="I2898" s="7" t="n">
        <v>0</v>
      </c>
      <c r="J2898" s="7" t="n">
        <v>0</v>
      </c>
      <c r="K2898" s="9" t="n">
        <v>0</v>
      </c>
      <c r="L2898" s="10" t="n">
        <v>4.1</v>
      </c>
      <c r="M2898" s="10" t="n">
        <v>1.43</v>
      </c>
      <c r="N2898" t="inlineStr">
        <is>
          <t>1</t>
        </is>
      </c>
      <c r="O2898" t="inlineStr">
        <is>
          <t>16</t>
        </is>
      </c>
      <c r="P2898" t="inlineStr">
        <is>
          <t xml:space="preserve">244952  </t>
        </is>
      </c>
      <c r="Q2898" s="26" t="n">
        <v>6.9</v>
      </c>
      <c r="R2898" s="26">
        <f>Q2898*G2898</f>
        <v/>
      </c>
      <c r="S2898" t="n">
        <v>4.09</v>
      </c>
      <c r="T2898" s="18">
        <f>1 - V2898/S2898</f>
        <v/>
      </c>
      <c r="U2898" s="18" t="n">
        <v>0</v>
      </c>
      <c r="V2898" s="26" t="n">
        <v>4.09</v>
      </c>
      <c r="W2898" s="26">
        <f>V2898 - L2898</f>
        <v/>
      </c>
    </row>
    <row r="2899">
      <c r="A2899" s="11" t="n">
        <v>46231</v>
      </c>
      <c r="B2899" s="1" t="n">
        <v>20058</v>
      </c>
      <c r="C2899" s="1" t="inlineStr">
        <is>
          <t>197</t>
        </is>
      </c>
      <c r="D2899" s="1" t="inlineStr">
        <is>
          <t>171033</t>
        </is>
      </c>
      <c r="E2899" s="1" t="inlineStr">
        <is>
          <t xml:space="preserve">28194770       </t>
        </is>
      </c>
      <c r="F2899" s="5" t="inlineStr">
        <is>
          <t>AUTOS DE METAL 3 TEAMSTERZ EN BLISTER</t>
        </is>
      </c>
      <c r="G2899" t="n">
        <v>1</v>
      </c>
      <c r="H2899" s="7" t="n">
        <v>6.9</v>
      </c>
      <c r="I2899" s="7" t="n">
        <v>0</v>
      </c>
      <c r="J2899" s="7" t="n">
        <v>0</v>
      </c>
      <c r="K2899" s="9" t="n">
        <v>0</v>
      </c>
      <c r="L2899" s="10" t="n">
        <v>4.1</v>
      </c>
      <c r="M2899" s="10" t="n">
        <v>1.43</v>
      </c>
      <c r="N2899" t="inlineStr">
        <is>
          <t>1</t>
        </is>
      </c>
      <c r="O2899" t="inlineStr">
        <is>
          <t>16</t>
        </is>
      </c>
      <c r="P2899" t="inlineStr">
        <is>
          <t xml:space="preserve">250260  </t>
        </is>
      </c>
      <c r="Q2899" s="26" t="n">
        <v>6.9</v>
      </c>
      <c r="R2899" s="26">
        <f>Q2899*G2899</f>
        <v/>
      </c>
      <c r="S2899" t="n">
        <v>4.09</v>
      </c>
      <c r="T2899" s="18">
        <f>1 - V2899/S2899</f>
        <v/>
      </c>
      <c r="U2899" s="18" t="n">
        <v>0</v>
      </c>
      <c r="V2899" s="26" t="n">
        <v>4.09</v>
      </c>
      <c r="W2899" s="26">
        <f>V2899 - L2899</f>
        <v/>
      </c>
    </row>
    <row r="2900">
      <c r="A2900" s="11" t="n">
        <v>46231</v>
      </c>
      <c r="B2900" s="1" t="n">
        <v>20062</v>
      </c>
      <c r="C2900" s="1" t="inlineStr">
        <is>
          <t>014</t>
        </is>
      </c>
      <c r="D2900" s="1" t="inlineStr">
        <is>
          <t>229107</t>
        </is>
      </c>
      <c r="E2900" s="1" t="inlineStr">
        <is>
          <t xml:space="preserve">31754675       </t>
        </is>
      </c>
      <c r="F2900" s="5" t="inlineStr">
        <is>
          <t>INFINITY NADO SERIE 6 STARTER PACK - 4 MODELOS</t>
        </is>
      </c>
      <c r="G2900" t="n">
        <v>1</v>
      </c>
      <c r="H2900" s="7" t="n">
        <v>49.9</v>
      </c>
      <c r="I2900" s="7" t="n">
        <v>0</v>
      </c>
      <c r="J2900" s="7" t="n">
        <v>0</v>
      </c>
      <c r="K2900" s="9" t="n">
        <v>0</v>
      </c>
      <c r="L2900" s="10" t="n">
        <v>29.6</v>
      </c>
      <c r="M2900" s="10" t="n">
        <v>1.43</v>
      </c>
      <c r="N2900" t="inlineStr">
        <is>
          <t>1</t>
        </is>
      </c>
      <c r="O2900" t="inlineStr">
        <is>
          <t>16</t>
        </is>
      </c>
      <c r="P2900" t="inlineStr">
        <is>
          <t xml:space="preserve">252248  </t>
        </is>
      </c>
      <c r="Q2900" s="26" t="n">
        <v>69.90000000000001</v>
      </c>
      <c r="R2900" s="26">
        <f>Q2900*G2900</f>
        <v/>
      </c>
      <c r="S2900" t="n">
        <v>41.47</v>
      </c>
      <c r="T2900" s="18">
        <f>1 - V2900/S2900</f>
        <v/>
      </c>
      <c r="U2900" s="18" t="n">
        <v>0.2861230329041489</v>
      </c>
      <c r="V2900" s="26" t="n">
        <v>31.71610169491525</v>
      </c>
      <c r="W2900" s="26">
        <f>V2900 - L2900</f>
        <v/>
      </c>
    </row>
    <row r="2901">
      <c r="A2901" s="11" t="n">
        <v>46231</v>
      </c>
      <c r="B2901" s="1" t="n">
        <v>20062</v>
      </c>
      <c r="C2901" s="1" t="inlineStr">
        <is>
          <t>831</t>
        </is>
      </c>
      <c r="D2901" s="1" t="inlineStr">
        <is>
          <t xml:space="preserve">1867  </t>
        </is>
      </c>
      <c r="E2901" s="1" t="inlineStr">
        <is>
          <t xml:space="preserve">28194789       </t>
        </is>
      </c>
      <c r="F2901" s="5" t="inlineStr">
        <is>
          <t>FIGURAS TRANSFORMABLES SUPER WINGS CON LUCES Y SON</t>
        </is>
      </c>
      <c r="G2901" t="n">
        <v>1</v>
      </c>
      <c r="H2901" s="7" t="n">
        <v>48.93</v>
      </c>
      <c r="I2901" s="7" t="n">
        <v>4.89</v>
      </c>
      <c r="J2901" s="7" t="n">
        <v>0</v>
      </c>
      <c r="K2901" s="9" t="n">
        <v>4.89</v>
      </c>
      <c r="L2901" s="10" t="n">
        <v>26.12</v>
      </c>
      <c r="M2901" s="10" t="n">
        <v>1.43</v>
      </c>
      <c r="N2901" t="inlineStr">
        <is>
          <t>1</t>
        </is>
      </c>
      <c r="O2901" t="inlineStr">
        <is>
          <t>16</t>
        </is>
      </c>
      <c r="P2901" t="inlineStr">
        <is>
          <t xml:space="preserve">248412  </t>
        </is>
      </c>
      <c r="Q2901" s="26" t="n">
        <v>69.90000000000001</v>
      </c>
      <c r="R2901" s="26">
        <f>Q2901*G2901</f>
        <v/>
      </c>
      <c r="S2901" t="n">
        <v>41.47</v>
      </c>
      <c r="T2901" s="18">
        <f>1 - V2901/S2901</f>
        <v/>
      </c>
      <c r="U2901" s="18" t="n">
        <v>0.3</v>
      </c>
      <c r="V2901" s="26" t="n">
        <v>31.10389830508475</v>
      </c>
      <c r="W2901" s="26">
        <f>V2901 - L2901</f>
        <v/>
      </c>
    </row>
    <row r="2902">
      <c r="A2902" s="11" t="n">
        <v>46231</v>
      </c>
      <c r="B2902" s="1" t="n">
        <v>20066</v>
      </c>
      <c r="C2902" s="1" t="inlineStr">
        <is>
          <t>047</t>
        </is>
      </c>
      <c r="D2902" s="1" t="inlineStr">
        <is>
          <t xml:space="preserve">51889 </t>
        </is>
      </c>
      <c r="E2902" s="1" t="inlineStr">
        <is>
          <t xml:space="preserve">28194770       </t>
        </is>
      </c>
      <c r="F2902" s="5" t="inlineStr">
        <is>
          <t>AUTOS DE METAL 3 TEAMSTERZ EN BLISTER</t>
        </is>
      </c>
      <c r="G2902" t="n">
        <v>1</v>
      </c>
      <c r="H2902" s="7" t="n">
        <v>6.9</v>
      </c>
      <c r="I2902" s="7" t="n">
        <v>0</v>
      </c>
      <c r="J2902" s="7" t="n">
        <v>0</v>
      </c>
      <c r="K2902" s="9" t="n">
        <v>0</v>
      </c>
      <c r="L2902" s="10" t="n">
        <v>4.1</v>
      </c>
      <c r="M2902" s="10" t="n">
        <v>1.43</v>
      </c>
      <c r="N2902" t="inlineStr">
        <is>
          <t>1</t>
        </is>
      </c>
      <c r="O2902" t="inlineStr">
        <is>
          <t>16</t>
        </is>
      </c>
      <c r="P2902" t="inlineStr">
        <is>
          <t xml:space="preserve">12646   </t>
        </is>
      </c>
      <c r="Q2902" s="26" t="n">
        <v>6.9</v>
      </c>
      <c r="R2902" s="26">
        <f>Q2902*G2902</f>
        <v/>
      </c>
      <c r="S2902" t="n">
        <v>4.09</v>
      </c>
      <c r="T2902" s="18">
        <f>1 - V2902/S2902</f>
        <v/>
      </c>
      <c r="U2902" s="18" t="n">
        <v>0</v>
      </c>
      <c r="V2902" s="26" t="n">
        <v>4.09</v>
      </c>
      <c r="W2902" s="26">
        <f>V2902 - L2902</f>
        <v/>
      </c>
    </row>
    <row r="2903">
      <c r="A2903" s="11" t="n">
        <v>46231</v>
      </c>
      <c r="B2903" s="1" t="n">
        <v>20066</v>
      </c>
      <c r="C2903" s="1" t="inlineStr">
        <is>
          <t>052</t>
        </is>
      </c>
      <c r="D2903" s="1" t="inlineStr">
        <is>
          <t>321152</t>
        </is>
      </c>
      <c r="E2903" s="1" t="inlineStr">
        <is>
          <t xml:space="preserve">31675352       </t>
        </is>
      </c>
      <c r="F2903" s="5" t="inlineStr">
        <is>
          <t>MI PEQUENO NENUCO</t>
        </is>
      </c>
      <c r="G2903" t="n">
        <v>1</v>
      </c>
      <c r="H2903" s="7" t="n">
        <v>49.9</v>
      </c>
      <c r="I2903" s="7" t="n">
        <v>0</v>
      </c>
      <c r="J2903" s="7" t="n">
        <v>0</v>
      </c>
      <c r="K2903" s="9" t="n">
        <v>0</v>
      </c>
      <c r="L2903" s="10" t="n">
        <v>29.6</v>
      </c>
      <c r="M2903" s="10" t="n">
        <v>1.43</v>
      </c>
      <c r="N2903" t="inlineStr">
        <is>
          <t>1</t>
        </is>
      </c>
      <c r="O2903" t="inlineStr">
        <is>
          <t>16</t>
        </is>
      </c>
      <c r="P2903" t="inlineStr">
        <is>
          <t xml:space="preserve">62683   </t>
        </is>
      </c>
      <c r="Q2903" s="26" t="n">
        <v>69.90000000000001</v>
      </c>
      <c r="R2903" s="26">
        <f>Q2903*G2903</f>
        <v/>
      </c>
      <c r="S2903" t="n">
        <v>41.47</v>
      </c>
      <c r="T2903" s="18">
        <f>1 - V2903/S2903</f>
        <v/>
      </c>
      <c r="U2903" s="18" t="n">
        <v>0.2861230329041489</v>
      </c>
      <c r="V2903" s="26" t="n">
        <v>31.71610169491525</v>
      </c>
      <c r="W2903" s="26">
        <f>V2903 - L2903</f>
        <v/>
      </c>
    </row>
    <row r="2904">
      <c r="A2904" s="11" t="n">
        <v>46231</v>
      </c>
      <c r="B2904" s="1" t="n">
        <v>20066</v>
      </c>
      <c r="C2904" s="1" t="inlineStr">
        <is>
          <t>057</t>
        </is>
      </c>
      <c r="D2904" s="1" t="inlineStr">
        <is>
          <t>494838</t>
        </is>
      </c>
      <c r="E2904" s="1" t="inlineStr">
        <is>
          <t xml:space="preserve">28194770       </t>
        </is>
      </c>
      <c r="F2904" s="5" t="inlineStr">
        <is>
          <t>AUTOS DE METAL 3 TEAMSTERZ EN BLISTER</t>
        </is>
      </c>
      <c r="G2904" t="n">
        <v>1</v>
      </c>
      <c r="H2904" s="7" t="n">
        <v>6.9</v>
      </c>
      <c r="I2904" s="7" t="n">
        <v>0</v>
      </c>
      <c r="J2904" s="7" t="n">
        <v>0</v>
      </c>
      <c r="K2904" s="9" t="n">
        <v>0</v>
      </c>
      <c r="L2904" s="10" t="n">
        <v>4.1</v>
      </c>
      <c r="M2904" s="10" t="n">
        <v>1.43</v>
      </c>
      <c r="N2904" t="inlineStr">
        <is>
          <t>1</t>
        </is>
      </c>
      <c r="O2904" t="inlineStr">
        <is>
          <t>16</t>
        </is>
      </c>
      <c r="P2904" t="inlineStr">
        <is>
          <t xml:space="preserve">43713   </t>
        </is>
      </c>
      <c r="Q2904" s="26" t="n">
        <v>6.9</v>
      </c>
      <c r="R2904" s="26">
        <f>Q2904*G2904</f>
        <v/>
      </c>
      <c r="S2904" t="n">
        <v>4.09</v>
      </c>
      <c r="T2904" s="18">
        <f>1 - V2904/S2904</f>
        <v/>
      </c>
      <c r="U2904" s="18" t="n">
        <v>0</v>
      </c>
      <c r="V2904" s="26" t="n">
        <v>4.09</v>
      </c>
      <c r="W2904" s="26">
        <f>V2904 - L2904</f>
        <v/>
      </c>
    </row>
    <row r="2905">
      <c r="A2905" s="11" t="n">
        <v>46231</v>
      </c>
      <c r="B2905" s="1" t="n">
        <v>20066</v>
      </c>
      <c r="C2905" s="1" t="inlineStr">
        <is>
          <t>057</t>
        </is>
      </c>
      <c r="D2905" s="1" t="inlineStr">
        <is>
          <t>494838</t>
        </is>
      </c>
      <c r="E2905" s="1" t="inlineStr">
        <is>
          <t xml:space="preserve">28194770       </t>
        </is>
      </c>
      <c r="F2905" s="5" t="inlineStr">
        <is>
          <t>AUTOS DE METAL 3 TEAMSTERZ EN BLISTER</t>
        </is>
      </c>
      <c r="G2905" t="n">
        <v>1</v>
      </c>
      <c r="H2905" s="7" t="n">
        <v>6.9</v>
      </c>
      <c r="I2905" s="7" t="n">
        <v>0</v>
      </c>
      <c r="J2905" s="7" t="n">
        <v>0</v>
      </c>
      <c r="K2905" s="9" t="n">
        <v>0</v>
      </c>
      <c r="L2905" s="10" t="n">
        <v>4.1</v>
      </c>
      <c r="M2905" s="10" t="n">
        <v>1.43</v>
      </c>
      <c r="N2905" t="inlineStr">
        <is>
          <t>1</t>
        </is>
      </c>
      <c r="O2905" t="inlineStr">
        <is>
          <t>16</t>
        </is>
      </c>
      <c r="P2905" t="inlineStr">
        <is>
          <t xml:space="preserve">43713   </t>
        </is>
      </c>
      <c r="Q2905" s="26" t="n">
        <v>6.9</v>
      </c>
      <c r="R2905" s="26">
        <f>Q2905*G2905</f>
        <v/>
      </c>
      <c r="S2905" t="n">
        <v>4.09</v>
      </c>
      <c r="T2905" s="18">
        <f>1 - V2905/S2905</f>
        <v/>
      </c>
      <c r="U2905" s="18" t="n">
        <v>0</v>
      </c>
      <c r="V2905" s="26" t="n">
        <v>4.09</v>
      </c>
      <c r="W2905" s="26">
        <f>V2905 - L2905</f>
        <v/>
      </c>
    </row>
    <row r="2906">
      <c r="A2906" s="11" t="n">
        <v>46231</v>
      </c>
      <c r="B2906" s="1" t="n">
        <v>20066</v>
      </c>
      <c r="C2906" s="1" t="inlineStr">
        <is>
          <t>061</t>
        </is>
      </c>
      <c r="D2906" s="1" t="inlineStr">
        <is>
          <t xml:space="preserve">36599 </t>
        </is>
      </c>
      <c r="E2906" s="1" t="inlineStr">
        <is>
          <t xml:space="preserve">30232282       </t>
        </is>
      </c>
      <c r="F2906" s="5" t="inlineStr">
        <is>
          <t>MANDIBULAS JUEGO DE PESCA</t>
        </is>
      </c>
      <c r="G2906" t="n">
        <v>1</v>
      </c>
      <c r="H2906" s="7" t="n">
        <v>119</v>
      </c>
      <c r="I2906" s="7" t="n">
        <v>0</v>
      </c>
      <c r="J2906" s="7" t="n">
        <v>0</v>
      </c>
      <c r="K2906" s="9" t="n">
        <v>0</v>
      </c>
      <c r="L2906" s="10" t="n">
        <v>70.59999999999999</v>
      </c>
      <c r="M2906" s="10" t="n">
        <v>1.43</v>
      </c>
      <c r="N2906" t="inlineStr">
        <is>
          <t>1</t>
        </is>
      </c>
      <c r="O2906" t="inlineStr">
        <is>
          <t>16</t>
        </is>
      </c>
      <c r="P2906" t="inlineStr">
        <is>
          <t xml:space="preserve">240114  </t>
        </is>
      </c>
      <c r="Q2906" s="26" t="n">
        <v>119</v>
      </c>
      <c r="R2906" s="26">
        <f>Q2906*G2906</f>
        <v/>
      </c>
      <c r="S2906" t="n">
        <v>70.59</v>
      </c>
      <c r="T2906" s="18">
        <f>1 - V2906/S2906</f>
        <v/>
      </c>
      <c r="U2906" s="18" t="n">
        <v>0</v>
      </c>
      <c r="V2906" s="26" t="n">
        <v>70.59</v>
      </c>
      <c r="W2906" s="26">
        <f>V2906 - L2906</f>
        <v/>
      </c>
    </row>
    <row r="2907">
      <c r="A2907" s="11" t="n">
        <v>46231</v>
      </c>
      <c r="B2907" s="1" t="n">
        <v>20069</v>
      </c>
      <c r="C2907" s="1" t="inlineStr">
        <is>
          <t>013</t>
        </is>
      </c>
      <c r="D2907" s="1" t="inlineStr">
        <is>
          <t>248552</t>
        </is>
      </c>
      <c r="E2907" s="1" t="inlineStr">
        <is>
          <t xml:space="preserve">28194769       </t>
        </is>
      </c>
      <c r="F2907" s="5" t="inlineStr">
        <is>
          <t>AUTOS DE METAL 3 TEAMSTERZ PACK DE 2</t>
        </is>
      </c>
      <c r="G2907" t="n">
        <v>1</v>
      </c>
      <c r="H2907" s="7" t="n">
        <v>13.8</v>
      </c>
      <c r="I2907" s="7" t="n">
        <v>0</v>
      </c>
      <c r="J2907" s="7" t="n">
        <v>0</v>
      </c>
      <c r="K2907" s="9" t="n">
        <v>0</v>
      </c>
      <c r="L2907" s="10" t="n">
        <v>8.18</v>
      </c>
      <c r="M2907" s="10" t="n">
        <v>1.43</v>
      </c>
      <c r="N2907" t="inlineStr">
        <is>
          <t>1</t>
        </is>
      </c>
      <c r="O2907" t="inlineStr">
        <is>
          <t xml:space="preserve">2 </t>
        </is>
      </c>
      <c r="P2907" t="inlineStr">
        <is>
          <t xml:space="preserve">249236  </t>
        </is>
      </c>
      <c r="Q2907" s="26" t="n">
        <v>13.8</v>
      </c>
      <c r="R2907" s="26">
        <f>Q2907*G2907</f>
        <v/>
      </c>
      <c r="S2907" t="n">
        <v>8.19</v>
      </c>
      <c r="T2907" s="18">
        <f>1 - V2907/S2907</f>
        <v/>
      </c>
      <c r="U2907" s="18" t="n">
        <v>0</v>
      </c>
      <c r="V2907" s="26" t="n">
        <v>8.19</v>
      </c>
      <c r="W2907" s="26">
        <f>V2907 - L2907</f>
        <v/>
      </c>
    </row>
    <row r="2908">
      <c r="A2908" s="11" t="n">
        <v>46231</v>
      </c>
      <c r="B2908" s="1" t="n">
        <v>20069</v>
      </c>
      <c r="C2908" s="1" t="inlineStr">
        <is>
          <t>013</t>
        </is>
      </c>
      <c r="D2908" s="1" t="inlineStr">
        <is>
          <t>248552</t>
        </is>
      </c>
      <c r="E2908" s="1" t="inlineStr">
        <is>
          <t xml:space="preserve">28194769       </t>
        </is>
      </c>
      <c r="F2908" s="5" t="inlineStr">
        <is>
          <t>AUTOS DE METAL 3 TEAMSTERZ PACK DE 2</t>
        </is>
      </c>
      <c r="G2908" t="n">
        <v>1</v>
      </c>
      <c r="H2908" s="7" t="n">
        <v>13.8</v>
      </c>
      <c r="I2908" s="7" t="n">
        <v>0</v>
      </c>
      <c r="J2908" s="7" t="n">
        <v>0</v>
      </c>
      <c r="K2908" s="9" t="n">
        <v>0</v>
      </c>
      <c r="L2908" s="10" t="n">
        <v>8.18</v>
      </c>
      <c r="M2908" s="10" t="n">
        <v>1.43</v>
      </c>
      <c r="N2908" t="inlineStr">
        <is>
          <t>1</t>
        </is>
      </c>
      <c r="O2908" t="inlineStr">
        <is>
          <t xml:space="preserve">2 </t>
        </is>
      </c>
      <c r="P2908" t="inlineStr">
        <is>
          <t xml:space="preserve">249236  </t>
        </is>
      </c>
      <c r="Q2908" s="26" t="n">
        <v>13.8</v>
      </c>
      <c r="R2908" s="26">
        <f>Q2908*G2908</f>
        <v/>
      </c>
      <c r="S2908" t="n">
        <v>8.19</v>
      </c>
      <c r="T2908" s="18">
        <f>1 - V2908/S2908</f>
        <v/>
      </c>
      <c r="U2908" s="18" t="n">
        <v>0</v>
      </c>
      <c r="V2908" s="26" t="n">
        <v>8.19</v>
      </c>
      <c r="W2908" s="26">
        <f>V2908 - L2908</f>
        <v/>
      </c>
    </row>
    <row r="2909">
      <c r="A2909" s="11" t="n">
        <v>46231</v>
      </c>
      <c r="B2909" s="1" t="n">
        <v>20072</v>
      </c>
      <c r="C2909" s="1" t="inlineStr">
        <is>
          <t>032</t>
        </is>
      </c>
      <c r="D2909" s="1" t="inlineStr">
        <is>
          <t>309511</t>
        </is>
      </c>
      <c r="E2909" s="1" t="inlineStr">
        <is>
          <t xml:space="preserve">32457111       </t>
        </is>
      </c>
      <c r="F2909" s="5" t="inlineStr">
        <is>
          <t>TMZ BEAST MACHINES MONSTER JAWS A FRICCION PACK DE</t>
        </is>
      </c>
      <c r="G2909" t="n">
        <v>1</v>
      </c>
      <c r="H2909" s="7" t="n">
        <v>54.9</v>
      </c>
      <c r="I2909" s="7" t="n">
        <v>0</v>
      </c>
      <c r="J2909" s="7" t="n">
        <v>0</v>
      </c>
      <c r="K2909" s="9" t="n">
        <v>0</v>
      </c>
      <c r="L2909" s="10" t="n">
        <v>32.57</v>
      </c>
      <c r="M2909" s="10" t="n">
        <v>1.43</v>
      </c>
      <c r="N2909" t="inlineStr">
        <is>
          <t>1</t>
        </is>
      </c>
      <c r="O2909" t="inlineStr">
        <is>
          <t>16</t>
        </is>
      </c>
      <c r="P2909" t="inlineStr">
        <is>
          <t xml:space="preserve">238963  </t>
        </is>
      </c>
      <c r="Q2909" s="26" t="n">
        <v>74.90000000000001</v>
      </c>
      <c r="R2909" s="26">
        <f>Q2909*G2909</f>
        <v/>
      </c>
      <c r="S2909" t="n">
        <v>44.43</v>
      </c>
      <c r="T2909" s="18">
        <f>1 - V2909/S2909</f>
        <v/>
      </c>
      <c r="U2909" s="18" t="n">
        <v>0.2670226969292391</v>
      </c>
      <c r="V2909" s="26" t="n">
        <v>31.92406779661017</v>
      </c>
      <c r="W2909" s="26">
        <f>V2909 - L2909</f>
        <v/>
      </c>
    </row>
    <row r="2910">
      <c r="A2910" s="11" t="n">
        <v>46231</v>
      </c>
      <c r="B2910" s="1" t="n">
        <v>20073</v>
      </c>
      <c r="C2910" s="1" t="inlineStr">
        <is>
          <t>023</t>
        </is>
      </c>
      <c r="D2910" s="1" t="inlineStr">
        <is>
          <t xml:space="preserve">96987 </t>
        </is>
      </c>
      <c r="E2910" s="1" t="inlineStr">
        <is>
          <t xml:space="preserve">28194770       </t>
        </is>
      </c>
      <c r="F2910" s="5" t="inlineStr">
        <is>
          <t>AUTOS DE METAL 3 TEAMSTERZ EN BLISTER</t>
        </is>
      </c>
      <c r="G2910" t="n">
        <v>1</v>
      </c>
      <c r="H2910" s="7" t="n">
        <v>6.9</v>
      </c>
      <c r="I2910" s="7" t="n">
        <v>0</v>
      </c>
      <c r="J2910" s="7" t="n">
        <v>0</v>
      </c>
      <c r="K2910" s="9" t="n">
        <v>0</v>
      </c>
      <c r="L2910" s="10" t="n">
        <v>4.1</v>
      </c>
      <c r="M2910" s="10" t="n">
        <v>1.43</v>
      </c>
      <c r="N2910" t="inlineStr">
        <is>
          <t>1</t>
        </is>
      </c>
      <c r="O2910" t="inlineStr">
        <is>
          <t>16</t>
        </is>
      </c>
      <c r="P2910" t="inlineStr">
        <is>
          <t xml:space="preserve">67629   </t>
        </is>
      </c>
      <c r="Q2910" s="26" t="n">
        <v>6.9</v>
      </c>
      <c r="R2910" s="26">
        <f>Q2910*G2910</f>
        <v/>
      </c>
      <c r="S2910" t="n">
        <v>4.09</v>
      </c>
      <c r="T2910" s="18">
        <f>1 - V2910/S2910</f>
        <v/>
      </c>
      <c r="U2910" s="18" t="n">
        <v>0</v>
      </c>
      <c r="V2910" s="26" t="n">
        <v>4.09</v>
      </c>
      <c r="W2910" s="26">
        <f>V2910 - L2910</f>
        <v/>
      </c>
    </row>
    <row r="2911">
      <c r="A2911" s="11" t="n">
        <v>46231</v>
      </c>
      <c r="B2911" s="1" t="n">
        <v>20073</v>
      </c>
      <c r="C2911" s="1" t="inlineStr">
        <is>
          <t>023</t>
        </is>
      </c>
      <c r="D2911" s="1" t="inlineStr">
        <is>
          <t xml:space="preserve">97012 </t>
        </is>
      </c>
      <c r="E2911" s="1" t="inlineStr">
        <is>
          <t xml:space="preserve">28194770       </t>
        </is>
      </c>
      <c r="F2911" s="5" t="inlineStr">
        <is>
          <t>AUTOS DE METAL 3 TEAMSTERZ EN BLISTER</t>
        </is>
      </c>
      <c r="G2911" t="n">
        <v>1</v>
      </c>
      <c r="H2911" s="7" t="n">
        <v>6.9</v>
      </c>
      <c r="I2911" s="7" t="n">
        <v>0</v>
      </c>
      <c r="J2911" s="7" t="n">
        <v>0</v>
      </c>
      <c r="K2911" s="9" t="n">
        <v>0</v>
      </c>
      <c r="L2911" s="10" t="n">
        <v>4.1</v>
      </c>
      <c r="M2911" s="10" t="n">
        <v>1.43</v>
      </c>
      <c r="N2911" t="inlineStr">
        <is>
          <t>1</t>
        </is>
      </c>
      <c r="O2911" t="inlineStr">
        <is>
          <t xml:space="preserve">2 </t>
        </is>
      </c>
      <c r="P2911" t="inlineStr">
        <is>
          <t xml:space="preserve">67629   </t>
        </is>
      </c>
      <c r="Q2911" s="26" t="n">
        <v>6.9</v>
      </c>
      <c r="R2911" s="26">
        <f>Q2911*G2911</f>
        <v/>
      </c>
      <c r="S2911" t="n">
        <v>4.09</v>
      </c>
      <c r="T2911" s="18">
        <f>1 - V2911/S2911</f>
        <v/>
      </c>
      <c r="U2911" s="18" t="n">
        <v>0</v>
      </c>
      <c r="V2911" s="26" t="n">
        <v>4.09</v>
      </c>
      <c r="W2911" s="26">
        <f>V2911 - L2911</f>
        <v/>
      </c>
    </row>
    <row r="2912">
      <c r="A2912" s="11" t="n">
        <v>46231</v>
      </c>
      <c r="B2912" s="1" t="n">
        <v>20073</v>
      </c>
      <c r="C2912" s="1" t="inlineStr">
        <is>
          <t>032</t>
        </is>
      </c>
      <c r="D2912" s="1" t="inlineStr">
        <is>
          <t>381559</t>
        </is>
      </c>
      <c r="E2912" s="1" t="inlineStr">
        <is>
          <t xml:space="preserve">33483121       </t>
        </is>
      </c>
      <c r="F2912" s="5" t="inlineStr">
        <is>
          <t>HOT WHEELS ESTUCHE PARA 15 AUTOS SURTIDO</t>
        </is>
      </c>
      <c r="G2912" t="n">
        <v>1</v>
      </c>
      <c r="H2912" s="7" t="n">
        <v>34.9</v>
      </c>
      <c r="I2912" s="7" t="n">
        <v>0</v>
      </c>
      <c r="J2912" s="7" t="n">
        <v>0</v>
      </c>
      <c r="K2912" s="9" t="n">
        <v>0</v>
      </c>
      <c r="L2912" s="10" t="n">
        <v>20.71</v>
      </c>
      <c r="M2912" s="10" t="n">
        <v>1.43</v>
      </c>
      <c r="N2912" t="inlineStr">
        <is>
          <t>1</t>
        </is>
      </c>
      <c r="O2912" t="inlineStr">
        <is>
          <t xml:space="preserve">2 </t>
        </is>
      </c>
      <c r="P2912" t="inlineStr">
        <is>
          <t xml:space="preserve">57881   </t>
        </is>
      </c>
      <c r="Q2912" s="26" t="n">
        <v>34.9</v>
      </c>
      <c r="R2912" s="26">
        <f>Q2912*G2912</f>
        <v/>
      </c>
      <c r="S2912" t="n">
        <v>20.7</v>
      </c>
      <c r="T2912" s="18">
        <f>1 - V2912/S2912</f>
        <v/>
      </c>
      <c r="U2912" s="18" t="n">
        <v>0</v>
      </c>
      <c r="V2912" s="26" t="n">
        <v>20.7</v>
      </c>
      <c r="W2912" s="26">
        <f>V2912 - L2912</f>
        <v/>
      </c>
    </row>
    <row r="2913">
      <c r="A2913" s="11" t="n">
        <v>46231</v>
      </c>
      <c r="B2913" s="1" t="n">
        <v>20073</v>
      </c>
      <c r="C2913" s="1" t="inlineStr">
        <is>
          <t>046</t>
        </is>
      </c>
      <c r="D2913" s="1" t="inlineStr">
        <is>
          <t>207960</t>
        </is>
      </c>
      <c r="E2913" s="1" t="inlineStr">
        <is>
          <t xml:space="preserve">28194770       </t>
        </is>
      </c>
      <c r="F2913" s="5" t="inlineStr">
        <is>
          <t>AUTOS DE METAL 3 TEAMSTERZ EN BLISTER</t>
        </is>
      </c>
      <c r="G2913" t="n">
        <v>1</v>
      </c>
      <c r="H2913" s="7" t="n">
        <v>6.9</v>
      </c>
      <c r="I2913" s="7" t="n">
        <v>0</v>
      </c>
      <c r="J2913" s="7" t="n">
        <v>0</v>
      </c>
      <c r="K2913" s="9" t="n">
        <v>0</v>
      </c>
      <c r="L2913" s="10" t="n">
        <v>4.1</v>
      </c>
      <c r="M2913" s="10" t="n">
        <v>1.43</v>
      </c>
      <c r="N2913" t="inlineStr">
        <is>
          <t>1</t>
        </is>
      </c>
      <c r="O2913" t="inlineStr">
        <is>
          <t xml:space="preserve">2 </t>
        </is>
      </c>
      <c r="P2913" t="inlineStr">
        <is>
          <t xml:space="preserve">74879   </t>
        </is>
      </c>
      <c r="Q2913" s="26" t="n">
        <v>6.9</v>
      </c>
      <c r="R2913" s="26">
        <f>Q2913*G2913</f>
        <v/>
      </c>
      <c r="S2913" t="n">
        <v>4.09</v>
      </c>
      <c r="T2913" s="18">
        <f>1 - V2913/S2913</f>
        <v/>
      </c>
      <c r="U2913" s="18" t="n">
        <v>0</v>
      </c>
      <c r="V2913" s="26" t="n">
        <v>4.09</v>
      </c>
      <c r="W2913" s="26">
        <f>V2913 - L2913</f>
        <v/>
      </c>
    </row>
    <row r="2914">
      <c r="A2914" s="11" t="n">
        <v>46231</v>
      </c>
      <c r="B2914" s="1" t="n">
        <v>20073</v>
      </c>
      <c r="C2914" s="1" t="inlineStr">
        <is>
          <t>046</t>
        </is>
      </c>
      <c r="D2914" s="1" t="inlineStr">
        <is>
          <t>207960</t>
        </is>
      </c>
      <c r="E2914" s="1" t="inlineStr">
        <is>
          <t xml:space="preserve">28194770       </t>
        </is>
      </c>
      <c r="F2914" s="5" t="inlineStr">
        <is>
          <t>AUTOS DE METAL 3 TEAMSTERZ EN BLISTER</t>
        </is>
      </c>
      <c r="G2914" t="n">
        <v>1</v>
      </c>
      <c r="H2914" s="7" t="n">
        <v>6.9</v>
      </c>
      <c r="I2914" s="7" t="n">
        <v>0</v>
      </c>
      <c r="J2914" s="7" t="n">
        <v>0</v>
      </c>
      <c r="K2914" s="9" t="n">
        <v>0</v>
      </c>
      <c r="L2914" s="10" t="n">
        <v>4.1</v>
      </c>
      <c r="M2914" s="10" t="n">
        <v>1.43</v>
      </c>
      <c r="N2914" t="inlineStr">
        <is>
          <t>1</t>
        </is>
      </c>
      <c r="O2914" t="inlineStr">
        <is>
          <t xml:space="preserve">2 </t>
        </is>
      </c>
      <c r="P2914" t="inlineStr">
        <is>
          <t xml:space="preserve">74879   </t>
        </is>
      </c>
      <c r="Q2914" s="26" t="n">
        <v>6.9</v>
      </c>
      <c r="R2914" s="26">
        <f>Q2914*G2914</f>
        <v/>
      </c>
      <c r="S2914" t="n">
        <v>4.09</v>
      </c>
      <c r="T2914" s="18">
        <f>1 - V2914/S2914</f>
        <v/>
      </c>
      <c r="U2914" s="18" t="n">
        <v>0</v>
      </c>
      <c r="V2914" s="26" t="n">
        <v>4.09</v>
      </c>
      <c r="W2914" s="26">
        <f>V2914 - L2914</f>
        <v/>
      </c>
    </row>
    <row r="2915">
      <c r="A2915" s="11" t="n">
        <v>46231</v>
      </c>
      <c r="B2915" s="1" t="n">
        <v>20074</v>
      </c>
      <c r="C2915" s="1" t="inlineStr">
        <is>
          <t>011</t>
        </is>
      </c>
      <c r="D2915" s="1" t="inlineStr">
        <is>
          <t>235160</t>
        </is>
      </c>
      <c r="E2915" s="1" t="inlineStr">
        <is>
          <t xml:space="preserve">28194770       </t>
        </is>
      </c>
      <c r="F2915" s="5" t="inlineStr">
        <is>
          <t>AUTOS DE METAL 3 TEAMSTERZ EN BLISTER</t>
        </is>
      </c>
      <c r="G2915" t="n">
        <v>1</v>
      </c>
      <c r="H2915" s="7" t="n">
        <v>6.9</v>
      </c>
      <c r="I2915" s="7" t="n">
        <v>0.6899999999999999</v>
      </c>
      <c r="J2915" s="7" t="n">
        <v>0</v>
      </c>
      <c r="K2915" s="9" t="n">
        <v>0.6899999999999999</v>
      </c>
      <c r="L2915" s="10" t="n">
        <v>3.68</v>
      </c>
      <c r="M2915" s="10" t="n">
        <v>1.43</v>
      </c>
      <c r="N2915" t="inlineStr">
        <is>
          <t>1</t>
        </is>
      </c>
      <c r="O2915" t="inlineStr">
        <is>
          <t xml:space="preserve">3 </t>
        </is>
      </c>
      <c r="P2915" t="inlineStr">
        <is>
          <t xml:space="preserve">248131  </t>
        </is>
      </c>
      <c r="Q2915" s="26" t="n">
        <v>6.9</v>
      </c>
      <c r="R2915" s="26">
        <f>Q2915*G2915</f>
        <v/>
      </c>
      <c r="S2915" t="n">
        <v>4.09</v>
      </c>
      <c r="T2915" s="18">
        <f>1 - V2915/S2915</f>
        <v/>
      </c>
      <c r="U2915" s="18" t="n">
        <v>0</v>
      </c>
      <c r="V2915" s="26" t="n">
        <v>4.09</v>
      </c>
      <c r="W2915" s="26">
        <f>V2915 - L2915</f>
        <v/>
      </c>
    </row>
    <row r="2916">
      <c r="A2916" s="11" t="n">
        <v>46231</v>
      </c>
      <c r="B2916" s="1" t="n">
        <v>20074</v>
      </c>
      <c r="C2916" s="1" t="inlineStr">
        <is>
          <t>025</t>
        </is>
      </c>
      <c r="D2916" s="1" t="inlineStr">
        <is>
          <t xml:space="preserve">29174 </t>
        </is>
      </c>
      <c r="E2916" s="1" t="inlineStr">
        <is>
          <t xml:space="preserve">28194780       </t>
        </is>
      </c>
      <c r="F2916" s="5" t="inlineStr">
        <is>
          <t>TROMPO BATALLA INFINITY NADO PLSTICO SURTIDO</t>
        </is>
      </c>
      <c r="G2916" t="n">
        <v>1</v>
      </c>
      <c r="H2916" s="7" t="n">
        <v>19.9</v>
      </c>
      <c r="I2916" s="7" t="n">
        <v>0</v>
      </c>
      <c r="J2916" s="7" t="n">
        <v>0</v>
      </c>
      <c r="K2916" s="9" t="n">
        <v>0</v>
      </c>
      <c r="L2916" s="10" t="n">
        <v>11.8</v>
      </c>
      <c r="M2916" s="10" t="n">
        <v>1.43</v>
      </c>
      <c r="N2916" t="inlineStr">
        <is>
          <t>1</t>
        </is>
      </c>
      <c r="O2916" t="inlineStr">
        <is>
          <t>16</t>
        </is>
      </c>
      <c r="P2916" t="inlineStr">
        <is>
          <t xml:space="preserve">102135  </t>
        </is>
      </c>
      <c r="Q2916" s="26" t="n">
        <v>19.9</v>
      </c>
      <c r="R2916" s="26">
        <f>Q2916*G2916</f>
        <v/>
      </c>
      <c r="S2916" t="n">
        <v>11.81</v>
      </c>
      <c r="T2916" s="18">
        <f>1 - V2916/S2916</f>
        <v/>
      </c>
      <c r="U2916" s="18" t="n">
        <v>0</v>
      </c>
      <c r="V2916" s="26" t="n">
        <v>11.81</v>
      </c>
      <c r="W2916" s="26">
        <f>V2916 - L2916</f>
        <v/>
      </c>
    </row>
    <row r="2917">
      <c r="A2917" s="11" t="n">
        <v>46231</v>
      </c>
      <c r="B2917" s="1" t="n">
        <v>20074</v>
      </c>
      <c r="C2917" s="1" t="inlineStr">
        <is>
          <t>048</t>
        </is>
      </c>
      <c r="D2917" s="1" t="inlineStr">
        <is>
          <t>146037</t>
        </is>
      </c>
      <c r="E2917" s="1" t="inlineStr">
        <is>
          <t xml:space="preserve">31959957       </t>
        </is>
      </c>
      <c r="F2917" s="5" t="inlineStr">
        <is>
          <t>TEAMSTERZ PLAYSET RESCATE EN EL MAR</t>
        </is>
      </c>
      <c r="G2917" t="n">
        <v>1</v>
      </c>
      <c r="H2917" s="7" t="n">
        <v>19.9</v>
      </c>
      <c r="I2917" s="7" t="n">
        <v>1.99</v>
      </c>
      <c r="J2917" s="7" t="n">
        <v>0</v>
      </c>
      <c r="K2917" s="9" t="n">
        <v>1.99</v>
      </c>
      <c r="L2917" s="10" t="n">
        <v>10.63</v>
      </c>
      <c r="M2917" s="10" t="n">
        <v>1.43</v>
      </c>
      <c r="N2917" t="inlineStr">
        <is>
          <t>1</t>
        </is>
      </c>
      <c r="O2917" t="inlineStr">
        <is>
          <t xml:space="preserve">3 </t>
        </is>
      </c>
      <c r="P2917" t="inlineStr">
        <is>
          <t xml:space="preserve">250534  </t>
        </is>
      </c>
      <c r="Q2917" s="26" t="n">
        <v>19.9</v>
      </c>
      <c r="R2917" s="26">
        <f>Q2917*G2917</f>
        <v/>
      </c>
      <c r="S2917" t="n">
        <v>11.81</v>
      </c>
      <c r="T2917" s="18">
        <f>1 - V2917/S2917</f>
        <v/>
      </c>
      <c r="U2917" s="18" t="n">
        <v>0</v>
      </c>
      <c r="V2917" s="26" t="n">
        <v>11.81</v>
      </c>
      <c r="W2917" s="26">
        <f>V2917 - L2917</f>
        <v/>
      </c>
    </row>
    <row r="2918">
      <c r="A2918" s="11" t="n">
        <v>46231</v>
      </c>
      <c r="B2918" s="1" t="n">
        <v>20077</v>
      </c>
      <c r="C2918" s="1" t="inlineStr">
        <is>
          <t>029</t>
        </is>
      </c>
      <c r="D2918" s="1" t="inlineStr">
        <is>
          <t>157291</t>
        </is>
      </c>
      <c r="E2918" s="1" t="inlineStr">
        <is>
          <t xml:space="preserve">28194780       </t>
        </is>
      </c>
      <c r="F2918" s="5" t="inlineStr">
        <is>
          <t>TROMPO BATALLA INFINITY NADO PLSTICO SURTIDO</t>
        </is>
      </c>
      <c r="G2918" t="n">
        <v>1</v>
      </c>
      <c r="H2918" s="7" t="n">
        <v>19.9</v>
      </c>
      <c r="I2918" s="7" t="n">
        <v>1.99</v>
      </c>
      <c r="J2918" s="7" t="n">
        <v>0</v>
      </c>
      <c r="K2918" s="9" t="n">
        <v>1.99</v>
      </c>
      <c r="L2918" s="10" t="n">
        <v>10.63</v>
      </c>
      <c r="M2918" s="10" t="n">
        <v>1.43</v>
      </c>
      <c r="N2918" t="inlineStr">
        <is>
          <t>1</t>
        </is>
      </c>
      <c r="O2918" t="inlineStr">
        <is>
          <t xml:space="preserve">3 </t>
        </is>
      </c>
      <c r="P2918" t="inlineStr">
        <is>
          <t xml:space="preserve">244089  </t>
        </is>
      </c>
      <c r="Q2918" s="26" t="n">
        <v>19.9</v>
      </c>
      <c r="R2918" s="26">
        <f>Q2918*G2918</f>
        <v/>
      </c>
      <c r="S2918" t="n">
        <v>11.81</v>
      </c>
      <c r="T2918" s="18">
        <f>1 - V2918/S2918</f>
        <v/>
      </c>
      <c r="U2918" s="18" t="n">
        <v>0</v>
      </c>
      <c r="V2918" s="26" t="n">
        <v>11.81</v>
      </c>
      <c r="W2918" s="26">
        <f>V2918 - L2918</f>
        <v/>
      </c>
    </row>
    <row r="2919">
      <c r="A2919" s="11" t="n">
        <v>46231</v>
      </c>
      <c r="B2919" s="1" t="n">
        <v>20077</v>
      </c>
      <c r="C2919" s="1" t="inlineStr">
        <is>
          <t>037</t>
        </is>
      </c>
      <c r="D2919" s="1" t="inlineStr">
        <is>
          <t xml:space="preserve">62730 </t>
        </is>
      </c>
      <c r="E2919" s="1" t="inlineStr">
        <is>
          <t xml:space="preserve">31675353       </t>
        </is>
      </c>
      <c r="F2919" s="5" t="inlineStr">
        <is>
          <t>NENUCO CON BIBERON Y SONAJERO</t>
        </is>
      </c>
      <c r="G2919" t="n">
        <v>1</v>
      </c>
      <c r="H2919" s="7" t="n">
        <v>59.9</v>
      </c>
      <c r="I2919" s="7" t="n">
        <v>0</v>
      </c>
      <c r="J2919" s="7" t="n">
        <v>0</v>
      </c>
      <c r="K2919" s="9" t="n">
        <v>0</v>
      </c>
      <c r="L2919" s="10" t="n">
        <v>35.53</v>
      </c>
      <c r="M2919" s="10" t="n">
        <v>1.43</v>
      </c>
      <c r="N2919" t="inlineStr">
        <is>
          <t>1</t>
        </is>
      </c>
      <c r="O2919" t="inlineStr">
        <is>
          <t xml:space="preserve">2 </t>
        </is>
      </c>
      <c r="P2919" t="inlineStr">
        <is>
          <t xml:space="preserve">238517  </t>
        </is>
      </c>
      <c r="Q2919" s="26" t="n">
        <v>79.90000000000001</v>
      </c>
      <c r="R2919" s="26">
        <f>Q2919*G2919</f>
        <v/>
      </c>
      <c r="S2919" t="n">
        <v>47.4</v>
      </c>
      <c r="T2919" s="18">
        <f>1 - V2919/S2919</f>
        <v/>
      </c>
      <c r="U2919" s="18" t="n">
        <v>0.2503128911138924</v>
      </c>
      <c r="V2919" s="26" t="n">
        <v>38.07203389830509</v>
      </c>
      <c r="W2919" s="26">
        <f>V2919 - L2919</f>
        <v/>
      </c>
    </row>
    <row r="2920">
      <c r="A2920" s="11" t="n">
        <v>46231</v>
      </c>
      <c r="B2920" s="1" t="n">
        <v>20078</v>
      </c>
      <c r="C2920" s="1" t="inlineStr">
        <is>
          <t>519</t>
        </is>
      </c>
      <c r="D2920" s="1" t="inlineStr">
        <is>
          <t xml:space="preserve">6027  </t>
        </is>
      </c>
      <c r="E2920" s="1" t="inlineStr">
        <is>
          <t xml:space="preserve">31675353       </t>
        </is>
      </c>
      <c r="F2920" s="5" t="inlineStr">
        <is>
          <t>NENUCO CON BIBERON Y SONAJERO</t>
        </is>
      </c>
      <c r="G2920" t="n">
        <v>1</v>
      </c>
      <c r="H2920" s="7" t="n">
        <v>59.9</v>
      </c>
      <c r="I2920" s="7" t="n">
        <v>0</v>
      </c>
      <c r="J2920" s="7" t="n">
        <v>0</v>
      </c>
      <c r="K2920" s="9" t="n">
        <v>0</v>
      </c>
      <c r="L2920" s="10" t="n">
        <v>35.53</v>
      </c>
      <c r="M2920" s="10" t="n">
        <v>1.43</v>
      </c>
      <c r="N2920" t="inlineStr">
        <is>
          <t>1</t>
        </is>
      </c>
      <c r="O2920" t="inlineStr">
        <is>
          <t>16</t>
        </is>
      </c>
      <c r="P2920" t="inlineStr">
        <is>
          <t xml:space="preserve">250295  </t>
        </is>
      </c>
      <c r="Q2920" s="26" t="n">
        <v>79.90000000000001</v>
      </c>
      <c r="R2920" s="26">
        <f>Q2920*G2920</f>
        <v/>
      </c>
      <c r="S2920" t="n">
        <v>47.4</v>
      </c>
      <c r="T2920" s="18">
        <f>1 - V2920/S2920</f>
        <v/>
      </c>
      <c r="U2920" s="18" t="n">
        <v>0.2503128911138924</v>
      </c>
      <c r="V2920" s="26" t="n">
        <v>38.07203389830509</v>
      </c>
      <c r="W2920" s="26">
        <f>V2920 - L2920</f>
        <v/>
      </c>
    </row>
    <row r="2921">
      <c r="A2921" s="11" t="n">
        <v>46231</v>
      </c>
      <c r="B2921" s="1" t="n">
        <v>20079</v>
      </c>
      <c r="C2921" s="1" t="inlineStr">
        <is>
          <t>051</t>
        </is>
      </c>
      <c r="D2921" s="1" t="inlineStr">
        <is>
          <t>237425</t>
        </is>
      </c>
      <c r="E2921" s="1" t="inlineStr">
        <is>
          <t xml:space="preserve">28194781       </t>
        </is>
      </c>
      <c r="F2921" s="5" t="inlineStr">
        <is>
          <t>TROMPO BATALLA INFINITY NADO SERIE V CLASICA SURTI</t>
        </is>
      </c>
      <c r="G2921" t="n">
        <v>1</v>
      </c>
      <c r="H2921" s="7" t="n">
        <v>39.9</v>
      </c>
      <c r="I2921" s="7" t="n">
        <v>0</v>
      </c>
      <c r="J2921" s="7" t="n">
        <v>0</v>
      </c>
      <c r="K2921" s="9" t="n">
        <v>0</v>
      </c>
      <c r="L2921" s="10" t="n">
        <v>23.67</v>
      </c>
      <c r="M2921" s="10" t="n">
        <v>1.43</v>
      </c>
      <c r="N2921" t="inlineStr">
        <is>
          <t>1</t>
        </is>
      </c>
      <c r="O2921" t="inlineStr">
        <is>
          <t>16</t>
        </is>
      </c>
      <c r="P2921" t="inlineStr">
        <is>
          <t xml:space="preserve">70970   </t>
        </is>
      </c>
      <c r="Q2921" s="26" t="n">
        <v>59.9</v>
      </c>
      <c r="R2921" s="26">
        <f>Q2921*G2921</f>
        <v/>
      </c>
      <c r="S2921" t="n">
        <v>35.53</v>
      </c>
      <c r="T2921" s="18">
        <f>1 - V2921/S2921</f>
        <v/>
      </c>
      <c r="U2921" s="18" t="n">
        <v>0.333889816360601</v>
      </c>
      <c r="V2921" s="26" t="n">
        <v>25.36016949152542</v>
      </c>
      <c r="W2921" s="26">
        <f>V2921 - L2921</f>
        <v/>
      </c>
    </row>
    <row r="2922">
      <c r="A2922" s="11" t="n">
        <v>46231</v>
      </c>
      <c r="B2922" s="1" t="n">
        <v>20079</v>
      </c>
      <c r="C2922" s="1" t="inlineStr">
        <is>
          <t>051</t>
        </is>
      </c>
      <c r="D2922" s="1" t="inlineStr">
        <is>
          <t>237430</t>
        </is>
      </c>
      <c r="E2922" s="1" t="inlineStr">
        <is>
          <t xml:space="preserve">28194780       </t>
        </is>
      </c>
      <c r="F2922" s="5" t="inlineStr">
        <is>
          <t>TROMPO BATALLA INFINITY NADO PLSTICO SURTIDO</t>
        </is>
      </c>
      <c r="G2922" t="n">
        <v>1</v>
      </c>
      <c r="H2922" s="7" t="n">
        <v>19.9</v>
      </c>
      <c r="I2922" s="7" t="n">
        <v>0</v>
      </c>
      <c r="J2922" s="7" t="n">
        <v>0</v>
      </c>
      <c r="K2922" s="9" t="n">
        <v>0</v>
      </c>
      <c r="L2922" s="10" t="n">
        <v>11.8</v>
      </c>
      <c r="M2922" s="10" t="n">
        <v>1.43</v>
      </c>
      <c r="N2922" t="inlineStr">
        <is>
          <t>1</t>
        </is>
      </c>
      <c r="O2922" t="inlineStr">
        <is>
          <t>16</t>
        </is>
      </c>
      <c r="P2922" t="inlineStr">
        <is>
          <t xml:space="preserve">70970   </t>
        </is>
      </c>
      <c r="Q2922" s="26" t="n">
        <v>19.9</v>
      </c>
      <c r="R2922" s="26">
        <f>Q2922*G2922</f>
        <v/>
      </c>
      <c r="S2922" t="n">
        <v>11.81</v>
      </c>
      <c r="T2922" s="18">
        <f>1 - V2922/S2922</f>
        <v/>
      </c>
      <c r="U2922" s="18" t="n">
        <v>0</v>
      </c>
      <c r="V2922" s="26" t="n">
        <v>11.81</v>
      </c>
      <c r="W2922" s="26">
        <f>V2922 - L2922</f>
        <v/>
      </c>
    </row>
    <row r="2923">
      <c r="A2923" s="11" t="n">
        <v>46231</v>
      </c>
      <c r="B2923" s="1" t="n">
        <v>20079</v>
      </c>
      <c r="C2923" s="1" t="inlineStr">
        <is>
          <t>051</t>
        </is>
      </c>
      <c r="D2923" s="1" t="inlineStr">
        <is>
          <t>237430</t>
        </is>
      </c>
      <c r="E2923" s="1" t="inlineStr">
        <is>
          <t xml:space="preserve">28194780       </t>
        </is>
      </c>
      <c r="F2923" s="5" t="inlineStr">
        <is>
          <t>TROMPO BATALLA INFINITY NADO PLSTICO SURTIDO</t>
        </is>
      </c>
      <c r="G2923" t="n">
        <v>1</v>
      </c>
      <c r="H2923" s="7" t="n">
        <v>19.9</v>
      </c>
      <c r="I2923" s="7" t="n">
        <v>0</v>
      </c>
      <c r="J2923" s="7" t="n">
        <v>0</v>
      </c>
      <c r="K2923" s="9" t="n">
        <v>0</v>
      </c>
      <c r="L2923" s="10" t="n">
        <v>11.8</v>
      </c>
      <c r="M2923" s="10" t="n">
        <v>1.43</v>
      </c>
      <c r="N2923" t="inlineStr">
        <is>
          <t>1</t>
        </is>
      </c>
      <c r="O2923" t="inlineStr">
        <is>
          <t>16</t>
        </is>
      </c>
      <c r="P2923" t="inlineStr">
        <is>
          <t xml:space="preserve">70970   </t>
        </is>
      </c>
      <c r="Q2923" s="26" t="n">
        <v>19.9</v>
      </c>
      <c r="R2923" s="26">
        <f>Q2923*G2923</f>
        <v/>
      </c>
      <c r="S2923" t="n">
        <v>11.81</v>
      </c>
      <c r="T2923" s="18">
        <f>1 - V2923/S2923</f>
        <v/>
      </c>
      <c r="U2923" s="18" t="n">
        <v>0</v>
      </c>
      <c r="V2923" s="26" t="n">
        <v>11.81</v>
      </c>
      <c r="W2923" s="26">
        <f>V2923 - L2923</f>
        <v/>
      </c>
    </row>
    <row r="2924">
      <c r="A2924" s="11" t="n">
        <v>46231</v>
      </c>
      <c r="B2924" s="1" t="n">
        <v>20079</v>
      </c>
      <c r="C2924" s="1" t="inlineStr">
        <is>
          <t>051</t>
        </is>
      </c>
      <c r="D2924" s="1" t="inlineStr">
        <is>
          <t>237433</t>
        </is>
      </c>
      <c r="E2924" s="1" t="inlineStr">
        <is>
          <t xml:space="preserve">32457099       </t>
        </is>
      </c>
      <c r="F2924" s="5" t="inlineStr">
        <is>
          <t>TMZ BEAST MACHINES MONSTER JAWS A FRICCION BLISTER</t>
        </is>
      </c>
      <c r="G2924" t="n">
        <v>1</v>
      </c>
      <c r="H2924" s="7" t="n">
        <v>17.9</v>
      </c>
      <c r="I2924" s="7" t="n">
        <v>0</v>
      </c>
      <c r="J2924" s="7" t="n">
        <v>0</v>
      </c>
      <c r="K2924" s="9" t="n">
        <v>0</v>
      </c>
      <c r="L2924" s="10" t="n">
        <v>10.62</v>
      </c>
      <c r="M2924" s="10" t="n">
        <v>1.43</v>
      </c>
      <c r="N2924" t="inlineStr">
        <is>
          <t>1</t>
        </is>
      </c>
      <c r="O2924" t="inlineStr">
        <is>
          <t>16</t>
        </is>
      </c>
      <c r="P2924" t="inlineStr">
        <is>
          <t xml:space="preserve">70970   </t>
        </is>
      </c>
      <c r="Q2924" s="26" t="n">
        <v>19.9</v>
      </c>
      <c r="R2924" s="26">
        <f>Q2924*G2924</f>
        <v/>
      </c>
      <c r="S2924" t="n">
        <v>11.81</v>
      </c>
      <c r="T2924" s="18">
        <f>1 - V2924/S2924</f>
        <v/>
      </c>
      <c r="U2924" s="18" t="n">
        <v>0.1005025125628141</v>
      </c>
      <c r="V2924" s="26" t="n">
        <v>8.417118644067797</v>
      </c>
      <c r="W2924" s="26">
        <f>V2924 - L2924</f>
        <v/>
      </c>
    </row>
    <row r="2925">
      <c r="A2925" s="11" t="n">
        <v>46231</v>
      </c>
      <c r="B2925" s="1" t="n">
        <v>20080</v>
      </c>
      <c r="C2925" s="1" t="inlineStr">
        <is>
          <t>026</t>
        </is>
      </c>
      <c r="D2925" s="1" t="inlineStr">
        <is>
          <t>209821</t>
        </is>
      </c>
      <c r="E2925" s="1" t="inlineStr">
        <is>
          <t xml:space="preserve">32457118       </t>
        </is>
      </c>
      <c r="F2925" s="5" t="inlineStr">
        <is>
          <t>MUNECA EVI LOVE CAMAROTE + 2 MUNECAS</t>
        </is>
      </c>
      <c r="G2925" t="n">
        <v>1</v>
      </c>
      <c r="H2925" s="7" t="n">
        <v>29.94</v>
      </c>
      <c r="I2925" s="7" t="n">
        <v>0</v>
      </c>
      <c r="J2925" s="7" t="n">
        <v>0</v>
      </c>
      <c r="K2925" s="9" t="n">
        <v>0</v>
      </c>
      <c r="L2925" s="10" t="n">
        <v>17.76</v>
      </c>
      <c r="M2925" s="10" t="n">
        <v>1.43</v>
      </c>
      <c r="N2925" t="inlineStr">
        <is>
          <t>1</t>
        </is>
      </c>
      <c r="O2925" t="inlineStr">
        <is>
          <t>16</t>
        </is>
      </c>
      <c r="P2925" t="inlineStr">
        <is>
          <t xml:space="preserve">66621   </t>
        </is>
      </c>
      <c r="Q2925" s="26" t="n">
        <v>49.9</v>
      </c>
      <c r="R2925" s="26">
        <f>Q2925*G2925</f>
        <v/>
      </c>
      <c r="S2925" t="n">
        <v>29.6</v>
      </c>
      <c r="T2925" s="18">
        <f>1 - V2925/S2925</f>
        <v/>
      </c>
      <c r="U2925" s="18" t="n">
        <v>0.4</v>
      </c>
      <c r="V2925" s="26" t="n">
        <v>22.83559322033899</v>
      </c>
      <c r="W2925" s="26">
        <f>V2925 - L2925</f>
        <v/>
      </c>
    </row>
    <row r="2926">
      <c r="A2926" s="11" t="n">
        <v>46231</v>
      </c>
      <c r="B2926" s="1" t="n">
        <v>20080</v>
      </c>
      <c r="C2926" s="1" t="inlineStr">
        <is>
          <t>026</t>
        </is>
      </c>
      <c r="D2926" s="1" t="inlineStr">
        <is>
          <t>209869</t>
        </is>
      </c>
      <c r="E2926" s="1" t="inlineStr">
        <is>
          <t xml:space="preserve">28194769       </t>
        </is>
      </c>
      <c r="F2926" s="5" t="inlineStr">
        <is>
          <t>AUTOS DE METAL 3 TEAMSTERZ PACK DE 2</t>
        </is>
      </c>
      <c r="G2926" t="n">
        <v>1</v>
      </c>
      <c r="H2926" s="7" t="n">
        <v>13.8</v>
      </c>
      <c r="I2926" s="7" t="n">
        <v>0</v>
      </c>
      <c r="J2926" s="7" t="n">
        <v>0</v>
      </c>
      <c r="K2926" s="9" t="n">
        <v>0</v>
      </c>
      <c r="L2926" s="10" t="n">
        <v>8.18</v>
      </c>
      <c r="M2926" s="10" t="n">
        <v>1.43</v>
      </c>
      <c r="N2926" t="inlineStr">
        <is>
          <t>1</t>
        </is>
      </c>
      <c r="O2926" t="inlineStr">
        <is>
          <t xml:space="preserve">2 </t>
        </is>
      </c>
      <c r="P2926" t="inlineStr">
        <is>
          <t xml:space="preserve">66621   </t>
        </is>
      </c>
      <c r="Q2926" s="26" t="n">
        <v>13.8</v>
      </c>
      <c r="R2926" s="26">
        <f>Q2926*G2926</f>
        <v/>
      </c>
      <c r="S2926" t="n">
        <v>8.19</v>
      </c>
      <c r="T2926" s="18">
        <f>1 - V2926/S2926</f>
        <v/>
      </c>
      <c r="U2926" s="18" t="n">
        <v>0</v>
      </c>
      <c r="V2926" s="26" t="n">
        <v>8.19</v>
      </c>
      <c r="W2926" s="26">
        <f>V2926 - L2926</f>
        <v/>
      </c>
    </row>
    <row r="2927">
      <c r="A2927" s="11" t="n">
        <v>46231</v>
      </c>
      <c r="B2927" s="1" t="n">
        <v>20080</v>
      </c>
      <c r="C2927" s="1" t="inlineStr">
        <is>
          <t>026</t>
        </is>
      </c>
      <c r="D2927" s="1" t="inlineStr">
        <is>
          <t>209869</t>
        </is>
      </c>
      <c r="E2927" s="1" t="inlineStr">
        <is>
          <t xml:space="preserve">28194769       </t>
        </is>
      </c>
      <c r="F2927" s="5" t="inlineStr">
        <is>
          <t>AUTOS DE METAL 3 TEAMSTERZ PACK DE 2</t>
        </is>
      </c>
      <c r="G2927" t="n">
        <v>1</v>
      </c>
      <c r="H2927" s="7" t="n">
        <v>13.8</v>
      </c>
      <c r="I2927" s="7" t="n">
        <v>0</v>
      </c>
      <c r="J2927" s="7" t="n">
        <v>0</v>
      </c>
      <c r="K2927" s="9" t="n">
        <v>0</v>
      </c>
      <c r="L2927" s="10" t="n">
        <v>8.18</v>
      </c>
      <c r="M2927" s="10" t="n">
        <v>1.43</v>
      </c>
      <c r="N2927" t="inlineStr">
        <is>
          <t>1</t>
        </is>
      </c>
      <c r="O2927" t="inlineStr">
        <is>
          <t xml:space="preserve">2 </t>
        </is>
      </c>
      <c r="P2927" t="inlineStr">
        <is>
          <t xml:space="preserve">66621   </t>
        </is>
      </c>
      <c r="Q2927" s="26" t="n">
        <v>13.8</v>
      </c>
      <c r="R2927" s="26">
        <f>Q2927*G2927</f>
        <v/>
      </c>
      <c r="S2927" t="n">
        <v>8.19</v>
      </c>
      <c r="T2927" s="18">
        <f>1 - V2927/S2927</f>
        <v/>
      </c>
      <c r="U2927" s="18" t="n">
        <v>0</v>
      </c>
      <c r="V2927" s="26" t="n">
        <v>8.19</v>
      </c>
      <c r="W2927" s="26">
        <f>V2927 - L2927</f>
        <v/>
      </c>
    </row>
    <row r="2928">
      <c r="A2928" s="11" t="n">
        <v>46231</v>
      </c>
      <c r="B2928" s="1" t="n">
        <v>20080</v>
      </c>
      <c r="C2928" s="1" t="inlineStr">
        <is>
          <t>801</t>
        </is>
      </c>
      <c r="D2928" s="1" t="inlineStr">
        <is>
          <t xml:space="preserve">1537  </t>
        </is>
      </c>
      <c r="E2928" s="1" t="inlineStr">
        <is>
          <t xml:space="preserve">28194770       </t>
        </is>
      </c>
      <c r="F2928" s="5" t="inlineStr">
        <is>
          <t>AUTOS DE METAL 3 TEAMSTERZ EN BLISTER</t>
        </is>
      </c>
      <c r="G2928" t="n">
        <v>1</v>
      </c>
      <c r="H2928" s="7" t="n">
        <v>6.9</v>
      </c>
      <c r="I2928" s="7" t="n">
        <v>0.6899999999999999</v>
      </c>
      <c r="J2928" s="7" t="n">
        <v>0</v>
      </c>
      <c r="K2928" s="9" t="n">
        <v>0.6899999999999999</v>
      </c>
      <c r="L2928" s="10" t="n">
        <v>3.68</v>
      </c>
      <c r="M2928" s="10" t="n">
        <v>1.43</v>
      </c>
      <c r="N2928" t="inlineStr">
        <is>
          <t>1</t>
        </is>
      </c>
      <c r="O2928" t="inlineStr">
        <is>
          <t>16</t>
        </is>
      </c>
      <c r="P2928" t="inlineStr">
        <is>
          <t xml:space="preserve">0       </t>
        </is>
      </c>
      <c r="Q2928" s="26" t="n">
        <v>6.9</v>
      </c>
      <c r="R2928" s="26">
        <f>Q2928*G2928</f>
        <v/>
      </c>
      <c r="S2928" t="n">
        <v>4.09</v>
      </c>
      <c r="T2928" s="18">
        <f>1 - V2928/S2928</f>
        <v/>
      </c>
      <c r="U2928" s="18" t="n">
        <v>0</v>
      </c>
      <c r="V2928" s="26" t="n">
        <v>4.09</v>
      </c>
      <c r="W2928" s="26">
        <f>V2928 - L2928</f>
        <v/>
      </c>
    </row>
    <row r="2929">
      <c r="A2929" s="11" t="n">
        <v>46231</v>
      </c>
      <c r="B2929" s="1" t="n">
        <v>20088</v>
      </c>
      <c r="C2929" s="1" t="inlineStr">
        <is>
          <t>021</t>
        </is>
      </c>
      <c r="D2929" s="1" t="inlineStr">
        <is>
          <t xml:space="preserve">50507 </t>
        </is>
      </c>
      <c r="E2929" s="1" t="inlineStr">
        <is>
          <t xml:space="preserve">31675354       </t>
        </is>
      </c>
      <c r="F2929" s="5" t="inlineStr">
        <is>
          <t>NENUCO LLORON CON ACCESORIOS</t>
        </is>
      </c>
      <c r="G2929" t="n">
        <v>1</v>
      </c>
      <c r="H2929" s="7" t="n">
        <v>69.90000000000001</v>
      </c>
      <c r="I2929" s="7" t="n">
        <v>0</v>
      </c>
      <c r="J2929" s="7" t="n">
        <v>0</v>
      </c>
      <c r="K2929" s="9" t="n">
        <v>0</v>
      </c>
      <c r="L2929" s="10" t="n">
        <v>41.47</v>
      </c>
      <c r="M2929" s="10" t="n">
        <v>1.43</v>
      </c>
      <c r="N2929" t="inlineStr">
        <is>
          <t>1</t>
        </is>
      </c>
      <c r="O2929" t="inlineStr">
        <is>
          <t xml:space="preserve">2 </t>
        </is>
      </c>
      <c r="P2929" t="inlineStr">
        <is>
          <t xml:space="preserve">47248   </t>
        </is>
      </c>
      <c r="Q2929" s="26" t="n">
        <v>89.90000000000001</v>
      </c>
      <c r="R2929" s="26">
        <f>Q2929*G2929</f>
        <v/>
      </c>
      <c r="S2929" t="n">
        <v>53.33</v>
      </c>
      <c r="T2929" s="18">
        <f>1 - V2929/S2929</f>
        <v/>
      </c>
      <c r="U2929" s="18" t="n">
        <v>0.2224694104560623</v>
      </c>
      <c r="V2929" s="26" t="n">
        <v>44.42796610169492</v>
      </c>
      <c r="W2929" s="26">
        <f>V2929 - L2929</f>
        <v/>
      </c>
    </row>
    <row r="2930">
      <c r="A2930" s="11" t="n">
        <v>46231</v>
      </c>
      <c r="B2930" s="1" t="n">
        <v>20088</v>
      </c>
      <c r="C2930" s="1" t="inlineStr">
        <is>
          <t>021</t>
        </is>
      </c>
      <c r="D2930" s="1" t="inlineStr">
        <is>
          <t xml:space="preserve">50548 </t>
        </is>
      </c>
      <c r="E2930" s="1" t="inlineStr">
        <is>
          <t xml:space="preserve">29235706       </t>
        </is>
      </c>
      <c r="F2930" s="5" t="inlineStr">
        <is>
          <t>TEAMSTERZ CAMION PARA GUARDAR 12 AUTOS INCL 4 AUTO</t>
        </is>
      </c>
      <c r="G2930" t="n">
        <v>1</v>
      </c>
      <c r="H2930" s="7" t="n">
        <v>59.9</v>
      </c>
      <c r="I2930" s="7" t="n">
        <v>0</v>
      </c>
      <c r="J2930" s="7" t="n">
        <v>0</v>
      </c>
      <c r="K2930" s="9" t="n">
        <v>0</v>
      </c>
      <c r="L2930" s="10" t="n">
        <v>35.53</v>
      </c>
      <c r="M2930" s="10" t="n">
        <v>1.43</v>
      </c>
      <c r="N2930" t="inlineStr">
        <is>
          <t>1</t>
        </is>
      </c>
      <c r="O2930" t="inlineStr">
        <is>
          <t xml:space="preserve">2 </t>
        </is>
      </c>
      <c r="P2930" t="inlineStr">
        <is>
          <t xml:space="preserve">47248   </t>
        </is>
      </c>
      <c r="Q2930" s="26" t="n">
        <v>59.90000000000001</v>
      </c>
      <c r="R2930" s="26">
        <f>Q2930*G2930</f>
        <v/>
      </c>
      <c r="S2930" t="n">
        <v>35.53</v>
      </c>
      <c r="T2930" s="18">
        <f>1 - V2930/S2930</f>
        <v/>
      </c>
      <c r="U2930" s="18" t="n">
        <v>0</v>
      </c>
      <c r="V2930" s="26" t="n">
        <v>35.53</v>
      </c>
      <c r="W2930" s="26">
        <f>V2930 - L2930</f>
        <v/>
      </c>
    </row>
    <row r="2931">
      <c r="A2931" s="11" t="n">
        <v>46231</v>
      </c>
      <c r="B2931" s="1" t="n">
        <v>20088</v>
      </c>
      <c r="C2931" s="1" t="inlineStr">
        <is>
          <t>023</t>
        </is>
      </c>
      <c r="D2931" s="1" t="inlineStr">
        <is>
          <t>128283</t>
        </is>
      </c>
      <c r="E2931" s="1" t="inlineStr">
        <is>
          <t xml:space="preserve">32457099       </t>
        </is>
      </c>
      <c r="F2931" s="5" t="inlineStr">
        <is>
          <t>TMZ BEAST MACHINES MONSTER JAWS A FRICCION BLISTER</t>
        </is>
      </c>
      <c r="G2931" t="n">
        <v>1</v>
      </c>
      <c r="H2931" s="7" t="n">
        <v>17.9</v>
      </c>
      <c r="I2931" s="7" t="n">
        <v>0</v>
      </c>
      <c r="J2931" s="7" t="n">
        <v>0</v>
      </c>
      <c r="K2931" s="9" t="n">
        <v>0</v>
      </c>
      <c r="L2931" s="10" t="n">
        <v>10.62</v>
      </c>
      <c r="M2931" s="10" t="n">
        <v>1.43</v>
      </c>
      <c r="N2931" t="inlineStr">
        <is>
          <t>1</t>
        </is>
      </c>
      <c r="O2931" t="inlineStr">
        <is>
          <t>16</t>
        </is>
      </c>
      <c r="P2931" t="inlineStr">
        <is>
          <t xml:space="preserve">249601  </t>
        </is>
      </c>
      <c r="Q2931" s="26" t="n">
        <v>19.9</v>
      </c>
      <c r="R2931" s="26">
        <f>Q2931*G2931</f>
        <v/>
      </c>
      <c r="S2931" t="n">
        <v>11.81</v>
      </c>
      <c r="T2931" s="18">
        <f>1 - V2931/S2931</f>
        <v/>
      </c>
      <c r="U2931" s="18" t="n">
        <v>0.1005025125628141</v>
      </c>
      <c r="V2931" s="26" t="n">
        <v>8.417118644067797</v>
      </c>
      <c r="W2931" s="26">
        <f>V2931 - L2931</f>
        <v/>
      </c>
    </row>
    <row r="2932">
      <c r="A2932" s="11" t="n">
        <v>46231</v>
      </c>
      <c r="B2932" s="1" t="n">
        <v>20088</v>
      </c>
      <c r="C2932" s="1" t="inlineStr">
        <is>
          <t>527</t>
        </is>
      </c>
      <c r="D2932" s="1" t="inlineStr">
        <is>
          <t xml:space="preserve">2434  </t>
        </is>
      </c>
      <c r="E2932" s="1" t="inlineStr">
        <is>
          <t xml:space="preserve">32457099       </t>
        </is>
      </c>
      <c r="F2932" s="5" t="inlineStr">
        <is>
          <t>TMZ BEAST MACHINES MONSTER JAWS A FRICCION BLISTER</t>
        </is>
      </c>
      <c r="G2932" t="n">
        <v>1</v>
      </c>
      <c r="H2932" s="7" t="n">
        <v>17.9</v>
      </c>
      <c r="I2932" s="7" t="n">
        <v>0</v>
      </c>
      <c r="J2932" s="7" t="n">
        <v>0</v>
      </c>
      <c r="K2932" s="9" t="n">
        <v>0</v>
      </c>
      <c r="L2932" s="10" t="n">
        <v>10.62</v>
      </c>
      <c r="M2932" s="10" t="n">
        <v>1.43</v>
      </c>
      <c r="N2932" t="inlineStr">
        <is>
          <t>1</t>
        </is>
      </c>
      <c r="O2932" t="inlineStr">
        <is>
          <t>16</t>
        </is>
      </c>
      <c r="P2932" t="inlineStr">
        <is>
          <t xml:space="preserve">200475  </t>
        </is>
      </c>
      <c r="Q2932" s="26" t="n">
        <v>19.9</v>
      </c>
      <c r="R2932" s="26">
        <f>Q2932*G2932</f>
        <v/>
      </c>
      <c r="S2932" t="n">
        <v>11.81</v>
      </c>
      <c r="T2932" s="18">
        <f>1 - V2932/S2932</f>
        <v/>
      </c>
      <c r="U2932" s="18" t="n">
        <v>0.1005025125628141</v>
      </c>
      <c r="V2932" s="26" t="n">
        <v>8.417118644067797</v>
      </c>
      <c r="W2932" s="26">
        <f>V2932 - L2932</f>
        <v/>
      </c>
    </row>
    <row r="2933">
      <c r="A2933" s="11" t="n">
        <v>46231</v>
      </c>
      <c r="B2933" s="1" t="n">
        <v>20089</v>
      </c>
      <c r="C2933" s="1" t="inlineStr">
        <is>
          <t>010</t>
        </is>
      </c>
      <c r="D2933" s="1" t="inlineStr">
        <is>
          <t xml:space="preserve">75228 </t>
        </is>
      </c>
      <c r="E2933" s="1" t="inlineStr">
        <is>
          <t xml:space="preserve">28194770       </t>
        </is>
      </c>
      <c r="F2933" s="5" t="inlineStr">
        <is>
          <t>AUTOS DE METAL 3 TEAMSTERZ EN BLISTER</t>
        </is>
      </c>
      <c r="G2933" t="n">
        <v>1</v>
      </c>
      <c r="H2933" s="7" t="n">
        <v>6.9</v>
      </c>
      <c r="I2933" s="7" t="n">
        <v>1.84</v>
      </c>
      <c r="J2933" s="7" t="n">
        <v>0</v>
      </c>
      <c r="K2933" s="9" t="n">
        <v>1.84</v>
      </c>
      <c r="L2933" s="10" t="n">
        <v>3</v>
      </c>
      <c r="M2933" s="10" t="n">
        <v>1.43</v>
      </c>
      <c r="N2933" t="inlineStr">
        <is>
          <t>1</t>
        </is>
      </c>
      <c r="O2933" t="inlineStr">
        <is>
          <t xml:space="preserve">3 </t>
        </is>
      </c>
      <c r="P2933" t="inlineStr">
        <is>
          <t xml:space="preserve">82010   </t>
        </is>
      </c>
      <c r="Q2933" s="26" t="n">
        <v>6.9</v>
      </c>
      <c r="R2933" s="26">
        <f>Q2933*G2933</f>
        <v/>
      </c>
      <c r="S2933" t="n">
        <v>4.09</v>
      </c>
      <c r="T2933" s="18">
        <f>1 - V2933/S2933</f>
        <v/>
      </c>
      <c r="U2933" s="18" t="n">
        <v>0</v>
      </c>
      <c r="V2933" s="26" t="n">
        <v>4.09</v>
      </c>
      <c r="W2933" s="26">
        <f>V2933 - L2933</f>
        <v/>
      </c>
    </row>
    <row r="2934">
      <c r="A2934" s="11" t="n">
        <v>46231</v>
      </c>
      <c r="B2934" s="1" t="n">
        <v>20089</v>
      </c>
      <c r="C2934" s="1" t="inlineStr">
        <is>
          <t>010</t>
        </is>
      </c>
      <c r="D2934" s="1" t="inlineStr">
        <is>
          <t xml:space="preserve">75228 </t>
        </is>
      </c>
      <c r="E2934" s="1" t="inlineStr">
        <is>
          <t xml:space="preserve">28194770       </t>
        </is>
      </c>
      <c r="F2934" s="5" t="inlineStr">
        <is>
          <t>AUTOS DE METAL 3 TEAMSTERZ EN BLISTER</t>
        </is>
      </c>
      <c r="G2934" t="n">
        <v>1</v>
      </c>
      <c r="H2934" s="7" t="n">
        <v>6.9</v>
      </c>
      <c r="I2934" s="7" t="n">
        <v>1.83</v>
      </c>
      <c r="J2934" s="7" t="n">
        <v>0</v>
      </c>
      <c r="K2934" s="9" t="n">
        <v>1.83</v>
      </c>
      <c r="L2934" s="10" t="n">
        <v>3.01</v>
      </c>
      <c r="M2934" s="10" t="n">
        <v>1.43</v>
      </c>
      <c r="N2934" t="inlineStr">
        <is>
          <t>1</t>
        </is>
      </c>
      <c r="O2934" t="inlineStr">
        <is>
          <t xml:space="preserve">3 </t>
        </is>
      </c>
      <c r="P2934" t="inlineStr">
        <is>
          <t xml:space="preserve">82010   </t>
        </is>
      </c>
      <c r="Q2934" s="26" t="n">
        <v>6.9</v>
      </c>
      <c r="R2934" s="26">
        <f>Q2934*G2934</f>
        <v/>
      </c>
      <c r="S2934" t="n">
        <v>4.09</v>
      </c>
      <c r="T2934" s="18">
        <f>1 - V2934/S2934</f>
        <v/>
      </c>
      <c r="U2934" s="18" t="n">
        <v>0</v>
      </c>
      <c r="V2934" s="26" t="n">
        <v>4.09</v>
      </c>
      <c r="W2934" s="26">
        <f>V2934 - L2934</f>
        <v/>
      </c>
    </row>
    <row r="2935">
      <c r="A2935" s="11" t="n">
        <v>46231</v>
      </c>
      <c r="B2935" s="1" t="n">
        <v>20089</v>
      </c>
      <c r="C2935" s="1" t="inlineStr">
        <is>
          <t>027</t>
        </is>
      </c>
      <c r="D2935" s="1" t="inlineStr">
        <is>
          <t xml:space="preserve">16481 </t>
        </is>
      </c>
      <c r="E2935" s="1" t="inlineStr">
        <is>
          <t xml:space="preserve">29235712       </t>
        </is>
      </c>
      <c r="F2935" s="5" t="inlineStr">
        <is>
          <t>TEAMSTERZ DISPARADOR DINOSAURIO INCL. 1 AUTO</t>
        </is>
      </c>
      <c r="G2935" t="n">
        <v>1</v>
      </c>
      <c r="H2935" s="7" t="n">
        <v>12.9</v>
      </c>
      <c r="I2935" s="7" t="n">
        <v>0</v>
      </c>
      <c r="J2935" s="7" t="n">
        <v>0</v>
      </c>
      <c r="K2935" s="9" t="n">
        <v>0</v>
      </c>
      <c r="L2935" s="10" t="n">
        <v>7.65</v>
      </c>
      <c r="M2935" s="10" t="n">
        <v>1.43</v>
      </c>
      <c r="N2935" t="inlineStr">
        <is>
          <t>1</t>
        </is>
      </c>
      <c r="O2935" t="inlineStr">
        <is>
          <t>16</t>
        </is>
      </c>
      <c r="P2935" t="inlineStr">
        <is>
          <t xml:space="preserve">246416  </t>
        </is>
      </c>
      <c r="Q2935" s="26" t="n">
        <v>29.9</v>
      </c>
      <c r="R2935" s="26">
        <f>Q2935*G2935</f>
        <v/>
      </c>
      <c r="S2935" t="n">
        <v>17.74</v>
      </c>
      <c r="T2935" s="18">
        <f>1 - V2935/S2935</f>
        <v/>
      </c>
      <c r="U2935" s="18" t="n">
        <v>0.568561872909699</v>
      </c>
      <c r="V2935" s="26" t="n">
        <v>9.29271186440678</v>
      </c>
      <c r="W2935" s="26">
        <f>V2935 - L2935</f>
        <v/>
      </c>
    </row>
    <row r="2936">
      <c r="A2936" s="11" t="n">
        <v>46231</v>
      </c>
      <c r="B2936" s="1" t="n">
        <v>20089</v>
      </c>
      <c r="C2936" s="1" t="inlineStr">
        <is>
          <t>027</t>
        </is>
      </c>
      <c r="D2936" s="1" t="inlineStr">
        <is>
          <t xml:space="preserve">16491 </t>
        </is>
      </c>
      <c r="E2936" s="1" t="inlineStr">
        <is>
          <t xml:space="preserve">28194781       </t>
        </is>
      </c>
      <c r="F2936" s="5" t="inlineStr">
        <is>
          <t>TROMPO BATALLA INFINITY NADO SERIE V CLASICA SURTI</t>
        </is>
      </c>
      <c r="G2936" t="n">
        <v>1</v>
      </c>
      <c r="H2936" s="7" t="n">
        <v>39.9</v>
      </c>
      <c r="I2936" s="7" t="n">
        <v>0</v>
      </c>
      <c r="J2936" s="7" t="n">
        <v>0</v>
      </c>
      <c r="K2936" s="9" t="n">
        <v>0</v>
      </c>
      <c r="L2936" s="10" t="n">
        <v>23.67</v>
      </c>
      <c r="M2936" s="10" t="n">
        <v>1.43</v>
      </c>
      <c r="N2936" t="inlineStr">
        <is>
          <t>1</t>
        </is>
      </c>
      <c r="O2936" t="inlineStr">
        <is>
          <t>16</t>
        </is>
      </c>
      <c r="P2936" t="inlineStr">
        <is>
          <t xml:space="preserve">246416  </t>
        </is>
      </c>
      <c r="Q2936" s="26" t="n">
        <v>59.9</v>
      </c>
      <c r="R2936" s="26">
        <f>Q2936*G2936</f>
        <v/>
      </c>
      <c r="S2936" t="n">
        <v>35.53</v>
      </c>
      <c r="T2936" s="18">
        <f>1 - V2936/S2936</f>
        <v/>
      </c>
      <c r="U2936" s="18" t="n">
        <v>0.333889816360601</v>
      </c>
      <c r="V2936" s="26" t="n">
        <v>25.36016949152542</v>
      </c>
      <c r="W2936" s="26">
        <f>V2936 - L2936</f>
        <v/>
      </c>
    </row>
    <row r="2937">
      <c r="A2937" s="11" t="n">
        <v>46231</v>
      </c>
      <c r="B2937" s="1" t="n">
        <v>20095</v>
      </c>
      <c r="C2937" s="1" t="inlineStr">
        <is>
          <t>011</t>
        </is>
      </c>
      <c r="D2937" s="1" t="inlineStr">
        <is>
          <t>148967</t>
        </is>
      </c>
      <c r="E2937" s="1" t="inlineStr">
        <is>
          <t xml:space="preserve">30141766       </t>
        </is>
      </c>
      <c r="F2937" s="5" t="inlineStr">
        <is>
          <t>TMZ BEAST MACHINES AUTOS DE METAL BLISTER X 1</t>
        </is>
      </c>
      <c r="G2937" t="n">
        <v>1</v>
      </c>
      <c r="H2937" s="7" t="n">
        <v>7.9</v>
      </c>
      <c r="I2937" s="7" t="n">
        <v>0</v>
      </c>
      <c r="J2937" s="7" t="n">
        <v>0</v>
      </c>
      <c r="K2937" s="9" t="n">
        <v>0</v>
      </c>
      <c r="L2937" s="10" t="n">
        <v>4.68</v>
      </c>
      <c r="M2937" s="10" t="n">
        <v>1.43</v>
      </c>
      <c r="N2937" t="inlineStr">
        <is>
          <t>1</t>
        </is>
      </c>
      <c r="O2937" t="inlineStr">
        <is>
          <t>16</t>
        </is>
      </c>
      <c r="P2937" t="inlineStr">
        <is>
          <t xml:space="preserve">248294  </t>
        </is>
      </c>
      <c r="Q2937" s="26" t="n">
        <v>7.9</v>
      </c>
      <c r="R2937" s="26">
        <f>Q2937*G2937</f>
        <v/>
      </c>
      <c r="S2937" t="n">
        <v>4.69</v>
      </c>
      <c r="T2937" s="18">
        <f>1 - V2937/S2937</f>
        <v/>
      </c>
      <c r="U2937" s="18" t="n">
        <v>0</v>
      </c>
      <c r="V2937" s="26" t="n">
        <v>4.69</v>
      </c>
      <c r="W2937" s="26">
        <f>V2937 - L2937</f>
        <v/>
      </c>
    </row>
    <row r="2938">
      <c r="A2938" s="11" t="n">
        <v>46231</v>
      </c>
      <c r="B2938" s="1" t="n">
        <v>20095</v>
      </c>
      <c r="C2938" s="1" t="inlineStr">
        <is>
          <t>028</t>
        </is>
      </c>
      <c r="D2938" s="1" t="inlineStr">
        <is>
          <t xml:space="preserve">42240 </t>
        </is>
      </c>
      <c r="E2938" s="1" t="inlineStr">
        <is>
          <t xml:space="preserve">34840552       </t>
        </is>
      </c>
      <c r="F2938" s="5" t="inlineStr">
        <is>
          <t>TMZ HELI POLICIA CON LUCES Y SONIDOS</t>
        </is>
      </c>
      <c r="G2938" t="n">
        <v>1</v>
      </c>
      <c r="H2938" s="7" t="n">
        <v>79.90000000000001</v>
      </c>
      <c r="I2938" s="7" t="n">
        <v>0</v>
      </c>
      <c r="J2938" s="7" t="n">
        <v>0</v>
      </c>
      <c r="K2938" s="9" t="n">
        <v>0</v>
      </c>
      <c r="L2938" s="10" t="n">
        <v>47.4</v>
      </c>
      <c r="M2938" s="10" t="n">
        <v>1.43</v>
      </c>
      <c r="N2938" t="inlineStr">
        <is>
          <t>1</t>
        </is>
      </c>
      <c r="O2938" t="inlineStr">
        <is>
          <t>16</t>
        </is>
      </c>
      <c r="P2938" t="inlineStr">
        <is>
          <t xml:space="preserve">248388  </t>
        </is>
      </c>
      <c r="Q2938" s="26" t="n">
        <v>79.90000000000002</v>
      </c>
      <c r="R2938" s="26">
        <f>Q2938*G2938</f>
        <v/>
      </c>
      <c r="S2938" t="n">
        <v>47.4</v>
      </c>
      <c r="T2938" s="18">
        <f>1 - V2938/S2938</f>
        <v/>
      </c>
      <c r="U2938" s="18" t="n">
        <v>0</v>
      </c>
      <c r="V2938" s="26" t="n">
        <v>47.4</v>
      </c>
      <c r="W2938" s="26">
        <f>V2938 - L2938</f>
        <v/>
      </c>
    </row>
    <row r="2939">
      <c r="A2939" s="11" t="n">
        <v>46232</v>
      </c>
      <c r="B2939" s="1" t="n">
        <v>20021</v>
      </c>
      <c r="C2939" s="1" t="inlineStr">
        <is>
          <t>078</t>
        </is>
      </c>
      <c r="D2939" s="1" t="inlineStr">
        <is>
          <t>102116</t>
        </is>
      </c>
      <c r="E2939" s="1" t="inlineStr">
        <is>
          <t xml:space="preserve">28194770       </t>
        </is>
      </c>
      <c r="F2939" s="5" t="inlineStr">
        <is>
          <t>AUTOS DE METAL 3 TEAMSTERZ EN BLISTER</t>
        </is>
      </c>
      <c r="G2939" t="n">
        <v>1</v>
      </c>
      <c r="H2939" s="7" t="n">
        <v>6.9</v>
      </c>
      <c r="I2939" s="7" t="n">
        <v>0</v>
      </c>
      <c r="J2939" s="7" t="n">
        <v>0</v>
      </c>
      <c r="K2939" s="9" t="n">
        <v>0</v>
      </c>
      <c r="L2939" s="10" t="n">
        <v>4.1</v>
      </c>
      <c r="M2939" s="10" t="n">
        <v>1.43</v>
      </c>
      <c r="N2939" t="inlineStr">
        <is>
          <t>1</t>
        </is>
      </c>
      <c r="O2939" t="inlineStr">
        <is>
          <t>16</t>
        </is>
      </c>
      <c r="P2939" t="inlineStr">
        <is>
          <t xml:space="preserve">249982  </t>
        </is>
      </c>
      <c r="Q2939" s="26" t="n">
        <v>6.9</v>
      </c>
      <c r="R2939" s="26">
        <f>Q2939*G2939</f>
        <v/>
      </c>
      <c r="S2939" t="n">
        <v>4.09</v>
      </c>
      <c r="T2939" s="18">
        <f>1 - V2939/S2939</f>
        <v/>
      </c>
      <c r="U2939" s="18" t="n">
        <v>0</v>
      </c>
      <c r="V2939" s="26" t="n">
        <v>4.09</v>
      </c>
      <c r="W2939" s="26">
        <f>V2939 - L2939</f>
        <v/>
      </c>
    </row>
    <row r="2940">
      <c r="A2940" s="11" t="n">
        <v>46232</v>
      </c>
      <c r="B2940" s="1" t="n">
        <v>20021</v>
      </c>
      <c r="C2940" s="1" t="inlineStr">
        <is>
          <t>079</t>
        </is>
      </c>
      <c r="D2940" s="1" t="inlineStr">
        <is>
          <t>133895</t>
        </is>
      </c>
      <c r="E2940" s="1" t="inlineStr">
        <is>
          <t xml:space="preserve">34031339       </t>
        </is>
      </c>
      <c r="F2940" s="5" t="inlineStr">
        <is>
          <t>TMZ BEAST MACHINES TRANSPORT. ROBO-TIBURON ELECTR</t>
        </is>
      </c>
      <c r="G2940" t="n">
        <v>1</v>
      </c>
      <c r="H2940" s="7" t="n">
        <v>169</v>
      </c>
      <c r="I2940" s="7" t="n">
        <v>16.9</v>
      </c>
      <c r="J2940" s="7" t="n">
        <v>0</v>
      </c>
      <c r="K2940" s="9" t="n">
        <v>16.9</v>
      </c>
      <c r="L2940" s="10" t="n">
        <v>90.23</v>
      </c>
      <c r="M2940" s="10" t="n">
        <v>1.43</v>
      </c>
      <c r="N2940" t="inlineStr">
        <is>
          <t>1</t>
        </is>
      </c>
      <c r="O2940" t="inlineStr">
        <is>
          <t xml:space="preserve">3 </t>
        </is>
      </c>
      <c r="P2940" t="inlineStr">
        <is>
          <t xml:space="preserve">237957  </t>
        </is>
      </c>
      <c r="Q2940" s="26" t="n">
        <v>169</v>
      </c>
      <c r="R2940" s="26">
        <f>Q2940*G2940</f>
        <v/>
      </c>
      <c r="S2940" t="n">
        <v>100.25</v>
      </c>
      <c r="T2940" s="18">
        <f>1 - V2940/S2940</f>
        <v/>
      </c>
      <c r="U2940" s="18" t="n">
        <v>0</v>
      </c>
      <c r="V2940" s="26" t="n">
        <v>100.25</v>
      </c>
      <c r="W2940" s="26">
        <f>V2940 - L2940</f>
        <v/>
      </c>
    </row>
    <row r="2941">
      <c r="A2941" s="11" t="n">
        <v>46232</v>
      </c>
      <c r="B2941" s="1" t="n">
        <v>20021</v>
      </c>
      <c r="C2941" s="1" t="inlineStr">
        <is>
          <t>502</t>
        </is>
      </c>
      <c r="D2941" s="1" t="inlineStr">
        <is>
          <t xml:space="preserve">5718  </t>
        </is>
      </c>
      <c r="E2941" s="1" t="inlineStr">
        <is>
          <t xml:space="preserve">32457099       </t>
        </is>
      </c>
      <c r="F2941" s="5" t="inlineStr">
        <is>
          <t>TMZ BEAST MACHINES MONSTER JAWS A FRICCION BLISTER</t>
        </is>
      </c>
      <c r="G2941" t="n">
        <v>1</v>
      </c>
      <c r="H2941" s="7" t="n">
        <v>17.9</v>
      </c>
      <c r="I2941" s="7" t="n">
        <v>1.79</v>
      </c>
      <c r="J2941" s="7" t="n">
        <v>0</v>
      </c>
      <c r="K2941" s="9" t="n">
        <v>1.79</v>
      </c>
      <c r="L2941" s="10" t="n">
        <v>9.56</v>
      </c>
      <c r="M2941" s="10" t="n">
        <v>1.43</v>
      </c>
      <c r="N2941" t="inlineStr">
        <is>
          <t>1</t>
        </is>
      </c>
      <c r="O2941" t="inlineStr">
        <is>
          <t>16</t>
        </is>
      </c>
      <c r="P2941" t="inlineStr">
        <is>
          <t xml:space="preserve">235838  </t>
        </is>
      </c>
      <c r="Q2941" s="26" t="n">
        <v>19.9</v>
      </c>
      <c r="R2941" s="26">
        <f>Q2941*G2941</f>
        <v/>
      </c>
      <c r="S2941" t="n">
        <v>11.81</v>
      </c>
      <c r="T2941" s="18">
        <f>1 - V2941/S2941</f>
        <v/>
      </c>
      <c r="U2941" s="18" t="n">
        <v>0.1005025125628141</v>
      </c>
      <c r="V2941" s="26" t="n">
        <v>8.417118644067797</v>
      </c>
      <c r="W2941" s="26">
        <f>V2941 - L2941</f>
        <v/>
      </c>
    </row>
    <row r="2942">
      <c r="A2942" s="11" t="n">
        <v>46232</v>
      </c>
      <c r="B2942" s="1" t="n">
        <v>20023</v>
      </c>
      <c r="C2942" s="1" t="inlineStr">
        <is>
          <t>079</t>
        </is>
      </c>
      <c r="D2942" s="1" t="inlineStr">
        <is>
          <t>291104</t>
        </is>
      </c>
      <c r="E2942" s="1" t="inlineStr">
        <is>
          <t xml:space="preserve">30141766       </t>
        </is>
      </c>
      <c r="F2942" s="5" t="inlineStr">
        <is>
          <t>TMZ BEAST MACHINES AUTOS DE METAL BLISTER X 1</t>
        </is>
      </c>
      <c r="G2942" t="n">
        <v>1</v>
      </c>
      <c r="H2942" s="7" t="n">
        <v>7.9</v>
      </c>
      <c r="I2942" s="7" t="n">
        <v>0</v>
      </c>
      <c r="J2942" s="7" t="n">
        <v>0</v>
      </c>
      <c r="K2942" s="9" t="n">
        <v>0</v>
      </c>
      <c r="L2942" s="10" t="n">
        <v>4.68</v>
      </c>
      <c r="M2942" s="10" t="n">
        <v>1.43</v>
      </c>
      <c r="N2942" t="inlineStr">
        <is>
          <t>1</t>
        </is>
      </c>
      <c r="O2942" t="inlineStr">
        <is>
          <t>16</t>
        </is>
      </c>
      <c r="P2942" t="inlineStr">
        <is>
          <t xml:space="preserve">70445   </t>
        </is>
      </c>
      <c r="Q2942" s="26" t="n">
        <v>7.9</v>
      </c>
      <c r="R2942" s="26">
        <f>Q2942*G2942</f>
        <v/>
      </c>
      <c r="S2942" t="n">
        <v>4.69</v>
      </c>
      <c r="T2942" s="18">
        <f>1 - V2942/S2942</f>
        <v/>
      </c>
      <c r="U2942" s="18" t="n">
        <v>0</v>
      </c>
      <c r="V2942" s="26" t="n">
        <v>4.69</v>
      </c>
      <c r="W2942" s="26">
        <f>V2942 - L2942</f>
        <v/>
      </c>
    </row>
    <row r="2943">
      <c r="A2943" s="11" t="n">
        <v>46232</v>
      </c>
      <c r="B2943" s="1" t="n">
        <v>20024</v>
      </c>
      <c r="C2943" s="1" t="inlineStr">
        <is>
          <t>017</t>
        </is>
      </c>
      <c r="D2943" s="1" t="inlineStr">
        <is>
          <t>265576</t>
        </is>
      </c>
      <c r="E2943" s="1" t="inlineStr">
        <is>
          <t xml:space="preserve">28194768       </t>
        </is>
      </c>
      <c r="F2943" s="5" t="inlineStr">
        <is>
          <t>AUTO COLOR CHANGE TEAMSTERZ SURTIDO</t>
        </is>
      </c>
      <c r="G2943" t="n">
        <v>1</v>
      </c>
      <c r="H2943" s="7" t="n">
        <v>14.9</v>
      </c>
      <c r="I2943" s="7" t="n">
        <v>0</v>
      </c>
      <c r="J2943" s="7" t="n">
        <v>0</v>
      </c>
      <c r="K2943" s="9" t="n">
        <v>0</v>
      </c>
      <c r="L2943" s="10" t="n">
        <v>8.84</v>
      </c>
      <c r="M2943" s="10" t="n">
        <v>1.43</v>
      </c>
      <c r="N2943" t="inlineStr">
        <is>
          <t>1</t>
        </is>
      </c>
      <c r="O2943" t="inlineStr">
        <is>
          <t>16</t>
        </is>
      </c>
      <c r="P2943" t="inlineStr">
        <is>
          <t xml:space="preserve">251741  </t>
        </is>
      </c>
      <c r="Q2943" s="26" t="n">
        <v>14.9</v>
      </c>
      <c r="R2943" s="26">
        <f>Q2943*G2943</f>
        <v/>
      </c>
      <c r="S2943" t="n">
        <v>8.84</v>
      </c>
      <c r="T2943" s="18">
        <f>1 - V2943/S2943</f>
        <v/>
      </c>
      <c r="U2943" s="18" t="n">
        <v>0</v>
      </c>
      <c r="V2943" s="26" t="n">
        <v>8.84</v>
      </c>
      <c r="W2943" s="26">
        <f>V2943 - L2943</f>
        <v/>
      </c>
    </row>
    <row r="2944">
      <c r="A2944" s="11" t="n">
        <v>46232</v>
      </c>
      <c r="B2944" s="1" t="n">
        <v>20024</v>
      </c>
      <c r="C2944" s="1" t="inlineStr">
        <is>
          <t>032</t>
        </is>
      </c>
      <c r="D2944" s="1" t="inlineStr">
        <is>
          <t>366473</t>
        </is>
      </c>
      <c r="E2944" s="1" t="inlineStr">
        <is>
          <t xml:space="preserve">28194769       </t>
        </is>
      </c>
      <c r="F2944" s="5" t="inlineStr">
        <is>
          <t>AUTOS DE METAL 3 TEAMSTERZ PACK DE 2</t>
        </is>
      </c>
      <c r="G2944" t="n">
        <v>1</v>
      </c>
      <c r="H2944" s="7" t="n">
        <v>13.8</v>
      </c>
      <c r="I2944" s="7" t="n">
        <v>0</v>
      </c>
      <c r="J2944" s="7" t="n">
        <v>0</v>
      </c>
      <c r="K2944" s="9" t="n">
        <v>0</v>
      </c>
      <c r="L2944" s="10" t="n">
        <v>8.18</v>
      </c>
      <c r="M2944" s="10" t="n">
        <v>1.43</v>
      </c>
      <c r="N2944" t="inlineStr">
        <is>
          <t>1</t>
        </is>
      </c>
      <c r="O2944" t="inlineStr">
        <is>
          <t xml:space="preserve">2 </t>
        </is>
      </c>
      <c r="P2944" t="inlineStr">
        <is>
          <t xml:space="preserve">240224  </t>
        </is>
      </c>
      <c r="Q2944" s="26" t="n">
        <v>13.8</v>
      </c>
      <c r="R2944" s="26">
        <f>Q2944*G2944</f>
        <v/>
      </c>
      <c r="S2944" t="n">
        <v>8.19</v>
      </c>
      <c r="T2944" s="18">
        <f>1 - V2944/S2944</f>
        <v/>
      </c>
      <c r="U2944" s="18" t="n">
        <v>0</v>
      </c>
      <c r="V2944" s="26" t="n">
        <v>8.19</v>
      </c>
      <c r="W2944" s="26">
        <f>V2944 - L2944</f>
        <v/>
      </c>
    </row>
    <row r="2945">
      <c r="A2945" s="11" t="n">
        <v>46232</v>
      </c>
      <c r="B2945" s="1" t="n">
        <v>20024</v>
      </c>
      <c r="C2945" s="1" t="inlineStr">
        <is>
          <t>060</t>
        </is>
      </c>
      <c r="D2945" s="1" t="inlineStr">
        <is>
          <t xml:space="preserve">98174 </t>
        </is>
      </c>
      <c r="E2945" s="1" t="inlineStr">
        <is>
          <t xml:space="preserve">30141769       </t>
        </is>
      </c>
      <c r="F2945" s="5" t="inlineStr">
        <is>
          <t>TMZ BEAST MACHINES TRANSPORTE DINOSAURIO + 3 AUTOS</t>
        </is>
      </c>
      <c r="G2945" t="n">
        <v>1</v>
      </c>
      <c r="H2945" s="7" t="n">
        <v>59.9</v>
      </c>
      <c r="I2945" s="7" t="n">
        <v>5.99</v>
      </c>
      <c r="J2945" s="7" t="n">
        <v>0</v>
      </c>
      <c r="K2945" s="9" t="n">
        <v>5.99</v>
      </c>
      <c r="L2945" s="10" t="n">
        <v>31.98</v>
      </c>
      <c r="M2945" s="10" t="n">
        <v>1.43</v>
      </c>
      <c r="N2945" t="inlineStr">
        <is>
          <t>1</t>
        </is>
      </c>
      <c r="O2945" t="inlineStr">
        <is>
          <t xml:space="preserve">3 </t>
        </is>
      </c>
      <c r="P2945" t="inlineStr">
        <is>
          <t xml:space="preserve">246109  </t>
        </is>
      </c>
      <c r="Q2945" s="26" t="n">
        <v>79.90000000000001</v>
      </c>
      <c r="R2945" s="26">
        <f>Q2945*G2945</f>
        <v/>
      </c>
      <c r="S2945" t="n">
        <v>47.4</v>
      </c>
      <c r="T2945" s="18">
        <f>1 - V2945/S2945</f>
        <v/>
      </c>
      <c r="U2945" s="18" t="n">
        <v>0.2503128911138924</v>
      </c>
      <c r="V2945" s="26" t="n">
        <v>38.07203389830509</v>
      </c>
      <c r="W2945" s="26">
        <f>V2945 - L2945</f>
        <v/>
      </c>
    </row>
    <row r="2946">
      <c r="A2946" s="11" t="n">
        <v>46232</v>
      </c>
      <c r="B2946" s="1" t="n">
        <v>20024</v>
      </c>
      <c r="C2946" s="1" t="inlineStr">
        <is>
          <t>807</t>
        </is>
      </c>
      <c r="D2946" s="1" t="inlineStr">
        <is>
          <t xml:space="preserve">5490  </t>
        </is>
      </c>
      <c r="E2946" s="1" t="inlineStr">
        <is>
          <t xml:space="preserve">28194770       </t>
        </is>
      </c>
      <c r="F2946" s="5" t="inlineStr">
        <is>
          <t>AUTOS DE METAL 3 TEAMSTERZ EN BLISTER</t>
        </is>
      </c>
      <c r="G2946" t="n">
        <v>1</v>
      </c>
      <c r="H2946" s="7" t="n">
        <v>6.9</v>
      </c>
      <c r="I2946" s="7" t="n">
        <v>0</v>
      </c>
      <c r="J2946" s="7" t="n">
        <v>0</v>
      </c>
      <c r="K2946" s="9" t="n">
        <v>0</v>
      </c>
      <c r="L2946" s="10" t="n">
        <v>4.1</v>
      </c>
      <c r="M2946" s="10" t="n">
        <v>1.43</v>
      </c>
      <c r="N2946" t="inlineStr">
        <is>
          <t>1</t>
        </is>
      </c>
      <c r="O2946" t="inlineStr">
        <is>
          <t>16</t>
        </is>
      </c>
      <c r="P2946" t="inlineStr">
        <is>
          <t xml:space="preserve">0       </t>
        </is>
      </c>
      <c r="Q2946" s="26" t="n">
        <v>6.9</v>
      </c>
      <c r="R2946" s="26">
        <f>Q2946*G2946</f>
        <v/>
      </c>
      <c r="S2946" t="n">
        <v>4.09</v>
      </c>
      <c r="T2946" s="18">
        <f>1 - V2946/S2946</f>
        <v/>
      </c>
      <c r="U2946" s="18" t="n">
        <v>0</v>
      </c>
      <c r="V2946" s="26" t="n">
        <v>4.09</v>
      </c>
      <c r="W2946" s="26">
        <f>V2946 - L2946</f>
        <v/>
      </c>
    </row>
    <row r="2947">
      <c r="A2947" s="11" t="n">
        <v>46232</v>
      </c>
      <c r="B2947" s="1" t="n">
        <v>20025</v>
      </c>
      <c r="C2947" s="1" t="inlineStr">
        <is>
          <t>043</t>
        </is>
      </c>
      <c r="D2947" s="1" t="inlineStr">
        <is>
          <t xml:space="preserve">87954 </t>
        </is>
      </c>
      <c r="E2947" s="1" t="inlineStr">
        <is>
          <t xml:space="preserve">33483121       </t>
        </is>
      </c>
      <c r="F2947" s="5" t="inlineStr">
        <is>
          <t>HOT WHEELS ESTUCHE PARA 15 AUTOS SURTIDO</t>
        </is>
      </c>
      <c r="G2947" t="n">
        <v>1</v>
      </c>
      <c r="H2947" s="7" t="n">
        <v>34.9</v>
      </c>
      <c r="I2947" s="7" t="n">
        <v>0</v>
      </c>
      <c r="J2947" s="7" t="n">
        <v>0</v>
      </c>
      <c r="K2947" s="9" t="n">
        <v>0</v>
      </c>
      <c r="L2947" s="10" t="n">
        <v>20.71</v>
      </c>
      <c r="M2947" s="10" t="n">
        <v>1.43</v>
      </c>
      <c r="N2947" t="inlineStr">
        <is>
          <t>1</t>
        </is>
      </c>
      <c r="O2947" t="inlineStr">
        <is>
          <t xml:space="preserve">2 </t>
        </is>
      </c>
      <c r="P2947" t="inlineStr">
        <is>
          <t xml:space="preserve">57293   </t>
        </is>
      </c>
      <c r="Q2947" s="26" t="n">
        <v>34.9</v>
      </c>
      <c r="R2947" s="26">
        <f>Q2947*G2947</f>
        <v/>
      </c>
      <c r="S2947" t="n">
        <v>20.7</v>
      </c>
      <c r="T2947" s="18">
        <f>1 - V2947/S2947</f>
        <v/>
      </c>
      <c r="U2947" s="18" t="n">
        <v>0</v>
      </c>
      <c r="V2947" s="26" t="n">
        <v>20.7</v>
      </c>
      <c r="W2947" s="26">
        <f>V2947 - L2947</f>
        <v/>
      </c>
    </row>
    <row r="2948">
      <c r="A2948" s="11" t="n">
        <v>46232</v>
      </c>
      <c r="B2948" s="1" t="n">
        <v>20025</v>
      </c>
      <c r="C2948" s="1" t="inlineStr">
        <is>
          <t>114</t>
        </is>
      </c>
      <c r="D2948" s="1" t="inlineStr">
        <is>
          <t>118922</t>
        </is>
      </c>
      <c r="E2948" s="1" t="inlineStr">
        <is>
          <t xml:space="preserve">34840551       </t>
        </is>
      </c>
      <c r="F2948" s="5" t="inlineStr">
        <is>
          <t>TMZ HELI BOMBERO CON LUCES Y SONIDOS</t>
        </is>
      </c>
      <c r="G2948" t="n">
        <v>1</v>
      </c>
      <c r="H2948" s="7" t="n">
        <v>79.90000000000001</v>
      </c>
      <c r="I2948" s="7" t="n">
        <v>0</v>
      </c>
      <c r="J2948" s="7" t="n">
        <v>0</v>
      </c>
      <c r="K2948" s="9" t="n">
        <v>0</v>
      </c>
      <c r="L2948" s="10" t="n">
        <v>47.4</v>
      </c>
      <c r="M2948" s="10" t="n">
        <v>1.43</v>
      </c>
      <c r="N2948" t="inlineStr">
        <is>
          <t>1</t>
        </is>
      </c>
      <c r="O2948" t="inlineStr">
        <is>
          <t>16</t>
        </is>
      </c>
      <c r="P2948" t="inlineStr">
        <is>
          <t xml:space="preserve">251044  </t>
        </is>
      </c>
      <c r="Q2948" s="26" t="n">
        <v>79.90000000000002</v>
      </c>
      <c r="R2948" s="26">
        <f>Q2948*G2948</f>
        <v/>
      </c>
      <c r="S2948" t="n">
        <v>47.4</v>
      </c>
      <c r="T2948" s="18">
        <f>1 - V2948/S2948</f>
        <v/>
      </c>
      <c r="U2948" s="18" t="n">
        <v>0</v>
      </c>
      <c r="V2948" s="26" t="n">
        <v>47.4</v>
      </c>
      <c r="W2948" s="26">
        <f>V2948 - L2948</f>
        <v/>
      </c>
    </row>
    <row r="2949">
      <c r="A2949" s="11" t="n">
        <v>46232</v>
      </c>
      <c r="B2949" s="1" t="n">
        <v>20025</v>
      </c>
      <c r="C2949" s="1" t="inlineStr">
        <is>
          <t>114</t>
        </is>
      </c>
      <c r="D2949" s="1" t="inlineStr">
        <is>
          <t>118984</t>
        </is>
      </c>
      <c r="E2949" s="1" t="inlineStr">
        <is>
          <t xml:space="preserve">32457099       </t>
        </is>
      </c>
      <c r="F2949" s="5" t="inlineStr">
        <is>
          <t>TMZ BEAST MACHINES MONSTER JAWS A FRICCION BLISTER</t>
        </is>
      </c>
      <c r="G2949" t="n">
        <v>1</v>
      </c>
      <c r="H2949" s="7" t="n">
        <v>17.9</v>
      </c>
      <c r="I2949" s="7" t="n">
        <v>1.79</v>
      </c>
      <c r="J2949" s="7" t="n">
        <v>0</v>
      </c>
      <c r="K2949" s="9" t="n">
        <v>1.79</v>
      </c>
      <c r="L2949" s="10" t="n">
        <v>9.56</v>
      </c>
      <c r="M2949" s="10" t="n">
        <v>1.43</v>
      </c>
      <c r="N2949" t="inlineStr">
        <is>
          <t>1</t>
        </is>
      </c>
      <c r="O2949" t="inlineStr">
        <is>
          <t xml:space="preserve">3 </t>
        </is>
      </c>
      <c r="P2949" t="inlineStr">
        <is>
          <t xml:space="preserve">250254  </t>
        </is>
      </c>
      <c r="Q2949" s="26" t="n">
        <v>19.9</v>
      </c>
      <c r="R2949" s="26">
        <f>Q2949*G2949</f>
        <v/>
      </c>
      <c r="S2949" t="n">
        <v>11.81</v>
      </c>
      <c r="T2949" s="18">
        <f>1 - V2949/S2949</f>
        <v/>
      </c>
      <c r="U2949" s="18" t="n">
        <v>0.1005025125628141</v>
      </c>
      <c r="V2949" s="26" t="n">
        <v>8.417118644067797</v>
      </c>
      <c r="W2949" s="26">
        <f>V2949 - L2949</f>
        <v/>
      </c>
    </row>
    <row r="2950">
      <c r="A2950" s="11" t="n">
        <v>46232</v>
      </c>
      <c r="B2950" s="1" t="n">
        <v>20025</v>
      </c>
      <c r="C2950" s="1" t="inlineStr">
        <is>
          <t>114</t>
        </is>
      </c>
      <c r="D2950" s="1" t="inlineStr">
        <is>
          <t>119003</t>
        </is>
      </c>
      <c r="E2950" s="1" t="inlineStr">
        <is>
          <t xml:space="preserve">34840557       </t>
        </is>
      </c>
      <c r="F2950" s="5" t="inlineStr">
        <is>
          <t>TMZ BEAST MACH. PLAYSET GARAGE DE SERPIENTE + 2 AU</t>
        </is>
      </c>
      <c r="G2950" t="n">
        <v>1</v>
      </c>
      <c r="H2950" s="7" t="n">
        <v>49.9</v>
      </c>
      <c r="I2950" s="7" t="n">
        <v>0</v>
      </c>
      <c r="J2950" s="7" t="n">
        <v>0</v>
      </c>
      <c r="K2950" s="9" t="n">
        <v>0</v>
      </c>
      <c r="L2950" s="10" t="n">
        <v>29.6</v>
      </c>
      <c r="M2950" s="10" t="n">
        <v>1.43</v>
      </c>
      <c r="N2950" t="inlineStr">
        <is>
          <t>1</t>
        </is>
      </c>
      <c r="O2950" t="inlineStr">
        <is>
          <t>16</t>
        </is>
      </c>
      <c r="P2950" t="inlineStr">
        <is>
          <t xml:space="preserve">251044  </t>
        </is>
      </c>
      <c r="Q2950" s="26" t="n">
        <v>79.90000000000002</v>
      </c>
      <c r="R2950" s="26">
        <f>Q2950*G2950</f>
        <v/>
      </c>
      <c r="S2950" t="n">
        <v>47.4</v>
      </c>
      <c r="T2950" s="18">
        <f>1 - V2950/S2950</f>
        <v/>
      </c>
      <c r="U2950" s="18" t="n">
        <v>0.3754693366708386</v>
      </c>
      <c r="V2950" s="26" t="n">
        <v>33.83050847457627</v>
      </c>
      <c r="W2950" s="26">
        <f>V2950 - L2950</f>
        <v/>
      </c>
    </row>
    <row r="2951">
      <c r="A2951" s="11" t="n">
        <v>46232</v>
      </c>
      <c r="B2951" s="1" t="n">
        <v>20028</v>
      </c>
      <c r="C2951" s="1" t="inlineStr">
        <is>
          <t>040</t>
        </is>
      </c>
      <c r="D2951" s="1" t="inlineStr">
        <is>
          <t xml:space="preserve">5801  </t>
        </is>
      </c>
      <c r="E2951" s="1" t="inlineStr">
        <is>
          <t xml:space="preserve">31800857       </t>
        </is>
      </c>
      <c r="F2951" s="5" t="inlineStr">
        <is>
          <t>DART ZONE BLITZFIRE TIRO RAPIDO BLASTER X1</t>
        </is>
      </c>
      <c r="G2951" t="n">
        <v>1</v>
      </c>
      <c r="H2951" s="7" t="n">
        <v>14.95</v>
      </c>
      <c r="I2951" s="7" t="n">
        <v>1.5</v>
      </c>
      <c r="J2951" s="7" t="n">
        <v>0</v>
      </c>
      <c r="K2951" s="9" t="n">
        <v>1.5</v>
      </c>
      <c r="L2951" s="10" t="n">
        <v>7.98</v>
      </c>
      <c r="M2951" s="10" t="n">
        <v>1.43</v>
      </c>
      <c r="N2951" t="inlineStr">
        <is>
          <t>1</t>
        </is>
      </c>
      <c r="O2951" t="inlineStr">
        <is>
          <t xml:space="preserve">3 </t>
        </is>
      </c>
      <c r="P2951" t="inlineStr">
        <is>
          <t xml:space="preserve">69765   </t>
        </is>
      </c>
      <c r="Q2951" s="26" t="n">
        <v>29.9</v>
      </c>
      <c r="R2951" s="26">
        <f>Q2951*G2951</f>
        <v/>
      </c>
      <c r="S2951" t="n">
        <v>17.74</v>
      </c>
      <c r="T2951" s="18">
        <f>1 - V2951/S2951</f>
        <v/>
      </c>
      <c r="U2951" s="18" t="n">
        <v>0.5</v>
      </c>
      <c r="V2951" s="26" t="n">
        <v>11.40271186440678</v>
      </c>
      <c r="W2951" s="26">
        <f>V2951 - L2951</f>
        <v/>
      </c>
    </row>
    <row r="2952">
      <c r="A2952" s="11" t="n">
        <v>46232</v>
      </c>
      <c r="B2952" s="1" t="n">
        <v>20028</v>
      </c>
      <c r="C2952" s="1" t="inlineStr">
        <is>
          <t>551</t>
        </is>
      </c>
      <c r="D2952" s="1" t="inlineStr">
        <is>
          <t xml:space="preserve">969   </t>
        </is>
      </c>
      <c r="E2952" s="1" t="inlineStr">
        <is>
          <t xml:space="preserve">28194765       </t>
        </is>
      </c>
      <c r="F2952" s="5" t="inlineStr">
        <is>
          <t>PLAYSET COLOR CHANGE TIBURN TEAMSTERZ  1 AUTITO</t>
        </is>
      </c>
      <c r="G2952" t="n">
        <v>1</v>
      </c>
      <c r="H2952" s="7" t="n">
        <v>79.90000000000001</v>
      </c>
      <c r="I2952" s="7" t="n">
        <v>0</v>
      </c>
      <c r="J2952" s="7" t="n">
        <v>0</v>
      </c>
      <c r="K2952" s="9" t="n">
        <v>0</v>
      </c>
      <c r="L2952" s="10" t="n">
        <v>47.4</v>
      </c>
      <c r="M2952" s="10" t="n">
        <v>1.43</v>
      </c>
      <c r="N2952" t="inlineStr">
        <is>
          <t>1</t>
        </is>
      </c>
      <c r="O2952" t="inlineStr">
        <is>
          <t>16</t>
        </is>
      </c>
      <c r="P2952" t="inlineStr">
        <is>
          <t xml:space="preserve">201777  </t>
        </is>
      </c>
      <c r="Q2952" s="26" t="n">
        <v>79.90000000000001</v>
      </c>
      <c r="R2952" s="26">
        <f>Q2952*G2952</f>
        <v/>
      </c>
      <c r="S2952" t="n">
        <v>47.4</v>
      </c>
      <c r="T2952" s="18">
        <f>1 - V2952/S2952</f>
        <v/>
      </c>
      <c r="U2952" s="18" t="n">
        <v>0</v>
      </c>
      <c r="V2952" s="26" t="n">
        <v>47.4</v>
      </c>
      <c r="W2952" s="26">
        <f>V2952 - L2952</f>
        <v/>
      </c>
    </row>
    <row r="2953">
      <c r="A2953" s="11" t="n">
        <v>46232</v>
      </c>
      <c r="B2953" s="1" t="n">
        <v>20028</v>
      </c>
      <c r="C2953" s="1" t="inlineStr">
        <is>
          <t>860</t>
        </is>
      </c>
      <c r="D2953" s="1" t="inlineStr">
        <is>
          <t xml:space="preserve">4265  </t>
        </is>
      </c>
      <c r="E2953" s="1" t="inlineStr">
        <is>
          <t xml:space="preserve">33661542       </t>
        </is>
      </c>
      <c r="F2953" s="5" t="inlineStr">
        <is>
          <t>RELOJ DIGITAL MR. POTATO SR. CARA DE PAPA</t>
        </is>
      </c>
      <c r="G2953" t="n">
        <v>1</v>
      </c>
      <c r="H2953" s="7" t="n">
        <v>18.9</v>
      </c>
      <c r="I2953" s="7" t="n">
        <v>0</v>
      </c>
      <c r="J2953" s="7" t="n">
        <v>0</v>
      </c>
      <c r="K2953" s="9" t="n">
        <v>0</v>
      </c>
      <c r="L2953" s="10" t="n">
        <v>11.21</v>
      </c>
      <c r="M2953" s="10" t="n">
        <v>1.43</v>
      </c>
      <c r="N2953" t="inlineStr">
        <is>
          <t>1</t>
        </is>
      </c>
      <c r="O2953" t="inlineStr">
        <is>
          <t>16</t>
        </is>
      </c>
      <c r="P2953" t="inlineStr">
        <is>
          <t xml:space="preserve">0       </t>
        </is>
      </c>
      <c r="Q2953" s="26" t="n">
        <v>18.9</v>
      </c>
      <c r="R2953" s="26">
        <f>Q2953*G2953</f>
        <v/>
      </c>
      <c r="S2953" t="n">
        <v>11.21</v>
      </c>
      <c r="T2953" s="18">
        <f>1 - V2953/S2953</f>
        <v/>
      </c>
      <c r="U2953" s="18" t="n">
        <v>0</v>
      </c>
      <c r="V2953" s="26" t="n">
        <v>11.21</v>
      </c>
      <c r="W2953" s="26">
        <f>V2953 - L2953</f>
        <v/>
      </c>
    </row>
    <row r="2954">
      <c r="A2954" s="11" t="n">
        <v>46232</v>
      </c>
      <c r="B2954" s="1" t="n">
        <v>20030</v>
      </c>
      <c r="C2954" s="1" t="inlineStr">
        <is>
          <t>067</t>
        </is>
      </c>
      <c r="D2954" s="1" t="inlineStr">
        <is>
          <t>275350</t>
        </is>
      </c>
      <c r="E2954" s="1" t="inlineStr">
        <is>
          <t xml:space="preserve">33661538       </t>
        </is>
      </c>
      <c r="F2954" s="5" t="inlineStr">
        <is>
          <t>HOT WHEELS CASE GARAGE RUEDA METAL EN LLAMAS X 29</t>
        </is>
      </c>
      <c r="G2954" t="n">
        <v>1</v>
      </c>
      <c r="H2954" s="7" t="n">
        <v>69.90000000000001</v>
      </c>
      <c r="I2954" s="7" t="n">
        <v>6.99</v>
      </c>
      <c r="J2954" s="7" t="n">
        <v>0</v>
      </c>
      <c r="K2954" s="9" t="n">
        <v>6.99</v>
      </c>
      <c r="L2954" s="10" t="n">
        <v>37.32</v>
      </c>
      <c r="M2954" s="10" t="n">
        <v>1.43</v>
      </c>
      <c r="N2954" t="inlineStr">
        <is>
          <t>1</t>
        </is>
      </c>
      <c r="O2954" t="inlineStr">
        <is>
          <t xml:space="preserve">3 </t>
        </is>
      </c>
      <c r="P2954" t="inlineStr">
        <is>
          <t xml:space="preserve">47352   </t>
        </is>
      </c>
      <c r="Q2954" s="26" t="n">
        <v>69.90000000000001</v>
      </c>
      <c r="R2954" s="26">
        <f>Q2954*G2954</f>
        <v/>
      </c>
      <c r="S2954" t="n">
        <v>41.47</v>
      </c>
      <c r="T2954" s="18">
        <f>1 - V2954/S2954</f>
        <v/>
      </c>
      <c r="U2954" s="18" t="n">
        <v>0</v>
      </c>
      <c r="V2954" s="26" t="n">
        <v>41.47</v>
      </c>
      <c r="W2954" s="26">
        <f>V2954 - L2954</f>
        <v/>
      </c>
    </row>
    <row r="2955">
      <c r="A2955" s="11" t="n">
        <v>46232</v>
      </c>
      <c r="B2955" s="1" t="n">
        <v>20040</v>
      </c>
      <c r="C2955" s="1" t="inlineStr">
        <is>
          <t>033</t>
        </is>
      </c>
      <c r="D2955" s="1" t="inlineStr">
        <is>
          <t xml:space="preserve">86990 </t>
        </is>
      </c>
      <c r="E2955" s="1" t="inlineStr">
        <is>
          <t xml:space="preserve">28194768       </t>
        </is>
      </c>
      <c r="F2955" s="5" t="inlineStr">
        <is>
          <t>AUTO COLOR CHANGE TEAMSTERZ SURTIDO</t>
        </is>
      </c>
      <c r="G2955" t="n">
        <v>1</v>
      </c>
      <c r="H2955" s="7" t="n">
        <v>14.9</v>
      </c>
      <c r="I2955" s="7" t="n">
        <v>0</v>
      </c>
      <c r="J2955" s="7" t="n">
        <v>0</v>
      </c>
      <c r="K2955" s="9" t="n">
        <v>0</v>
      </c>
      <c r="L2955" s="10" t="n">
        <v>8.84</v>
      </c>
      <c r="M2955" s="10" t="n">
        <v>1.43</v>
      </c>
      <c r="N2955" t="inlineStr">
        <is>
          <t>1</t>
        </is>
      </c>
      <c r="O2955" t="inlineStr">
        <is>
          <t xml:space="preserve">2 </t>
        </is>
      </c>
      <c r="P2955" t="inlineStr">
        <is>
          <t xml:space="preserve">247177  </t>
        </is>
      </c>
      <c r="Q2955" s="26" t="n">
        <v>14.9</v>
      </c>
      <c r="R2955" s="26">
        <f>Q2955*G2955</f>
        <v/>
      </c>
      <c r="S2955" t="n">
        <v>8.84</v>
      </c>
      <c r="T2955" s="18">
        <f>1 - V2955/S2955</f>
        <v/>
      </c>
      <c r="U2955" s="18" t="n">
        <v>0</v>
      </c>
      <c r="V2955" s="26" t="n">
        <v>8.84</v>
      </c>
      <c r="W2955" s="26">
        <f>V2955 - L2955</f>
        <v/>
      </c>
    </row>
    <row r="2956">
      <c r="A2956" s="11" t="n">
        <v>46232</v>
      </c>
      <c r="B2956" s="1" t="n">
        <v>20040</v>
      </c>
      <c r="C2956" s="1" t="inlineStr">
        <is>
          <t>072</t>
        </is>
      </c>
      <c r="D2956" s="1" t="inlineStr">
        <is>
          <t>253400</t>
        </is>
      </c>
      <c r="E2956" s="1" t="inlineStr">
        <is>
          <t xml:space="preserve">29235702       </t>
        </is>
      </c>
      <c r="F2956" s="5" t="inlineStr">
        <is>
          <t>INFINITY NADO TROMPO DE BATALLA - METAL C/ ANILLO</t>
        </is>
      </c>
      <c r="G2956" t="n">
        <v>1</v>
      </c>
      <c r="H2956" s="7" t="n">
        <v>49.9</v>
      </c>
      <c r="I2956" s="7" t="n">
        <v>0</v>
      </c>
      <c r="J2956" s="7" t="n">
        <v>0</v>
      </c>
      <c r="K2956" s="9" t="n">
        <v>0</v>
      </c>
      <c r="L2956" s="10" t="n">
        <v>29.6</v>
      </c>
      <c r="M2956" s="10" t="n">
        <v>1.43</v>
      </c>
      <c r="N2956" t="inlineStr">
        <is>
          <t>1</t>
        </is>
      </c>
      <c r="O2956" t="inlineStr">
        <is>
          <t>16</t>
        </is>
      </c>
      <c r="P2956" t="inlineStr">
        <is>
          <t xml:space="preserve">243237  </t>
        </is>
      </c>
      <c r="Q2956" s="26" t="n">
        <v>69.90000000000001</v>
      </c>
      <c r="R2956" s="26">
        <f>Q2956*G2956</f>
        <v/>
      </c>
      <c r="S2956" t="n">
        <v>41.47</v>
      </c>
      <c r="T2956" s="18">
        <f>1 - V2956/S2956</f>
        <v/>
      </c>
      <c r="U2956" s="18" t="n">
        <v>0.2861230329041489</v>
      </c>
      <c r="V2956" s="26" t="n">
        <v>31.71610169491525</v>
      </c>
      <c r="W2956" s="26">
        <f>V2956 - L2956</f>
        <v/>
      </c>
    </row>
    <row r="2957">
      <c r="A2957" s="11" t="n">
        <v>46232</v>
      </c>
      <c r="B2957" s="1" t="n">
        <v>20040</v>
      </c>
      <c r="C2957" s="1" t="inlineStr">
        <is>
          <t>190</t>
        </is>
      </c>
      <c r="D2957" s="1" t="inlineStr">
        <is>
          <t>369383</t>
        </is>
      </c>
      <c r="E2957" s="1" t="inlineStr">
        <is>
          <t xml:space="preserve">28194784       </t>
        </is>
      </c>
      <c r="F2957" s="5" t="inlineStr">
        <is>
          <t>SET DE ACROBACIAS INFINITY NADO CON TROMPO</t>
        </is>
      </c>
      <c r="G2957" t="n">
        <v>1</v>
      </c>
      <c r="H2957" s="7" t="n">
        <v>139</v>
      </c>
      <c r="I2957" s="7" t="n">
        <v>0</v>
      </c>
      <c r="J2957" s="7" t="n">
        <v>0</v>
      </c>
      <c r="K2957" s="9" t="n">
        <v>0</v>
      </c>
      <c r="L2957" s="10" t="n">
        <v>82.45999999999999</v>
      </c>
      <c r="M2957" s="10" t="n">
        <v>1.43</v>
      </c>
      <c r="N2957" t="inlineStr">
        <is>
          <t>1</t>
        </is>
      </c>
      <c r="O2957" t="inlineStr">
        <is>
          <t>16</t>
        </is>
      </c>
      <c r="P2957" t="inlineStr">
        <is>
          <t xml:space="preserve">242657  </t>
        </is>
      </c>
      <c r="Q2957" s="26" t="n">
        <v>179</v>
      </c>
      <c r="R2957" s="26">
        <f>Q2957*G2957</f>
        <v/>
      </c>
      <c r="S2957" t="n">
        <v>106.19</v>
      </c>
      <c r="T2957" s="18">
        <f>1 - V2957/S2957</f>
        <v/>
      </c>
      <c r="U2957" s="18" t="n">
        <v>0.223463687150838</v>
      </c>
      <c r="V2957" s="26" t="n">
        <v>88.34745762711864</v>
      </c>
      <c r="W2957" s="26">
        <f>V2957 - L2957</f>
        <v/>
      </c>
    </row>
    <row r="2958">
      <c r="A2958" s="11" t="n">
        <v>46232</v>
      </c>
      <c r="B2958" s="1" t="n">
        <v>20040</v>
      </c>
      <c r="C2958" s="1" t="inlineStr">
        <is>
          <t>190</t>
        </is>
      </c>
      <c r="D2958" s="1" t="inlineStr">
        <is>
          <t>369394</t>
        </is>
      </c>
      <c r="E2958" s="1" t="inlineStr">
        <is>
          <t xml:space="preserve">30232284       </t>
        </is>
      </c>
      <c r="F2958" s="5" t="inlineStr">
        <is>
          <t>INFINITY NADO TROMPO DE BATALLA - METAL C/PUNTA DE</t>
        </is>
      </c>
      <c r="G2958" t="n">
        <v>1</v>
      </c>
      <c r="H2958" s="7" t="n">
        <v>34.9</v>
      </c>
      <c r="I2958" s="7" t="n">
        <v>0</v>
      </c>
      <c r="J2958" s="7" t="n">
        <v>0</v>
      </c>
      <c r="K2958" s="9" t="n">
        <v>0</v>
      </c>
      <c r="L2958" s="10" t="n">
        <v>20.71</v>
      </c>
      <c r="M2958" s="10" t="n">
        <v>1.43</v>
      </c>
      <c r="N2958" t="inlineStr">
        <is>
          <t>1</t>
        </is>
      </c>
      <c r="O2958" t="inlineStr">
        <is>
          <t>16</t>
        </is>
      </c>
      <c r="P2958" t="inlineStr">
        <is>
          <t xml:space="preserve">242657  </t>
        </is>
      </c>
      <c r="Q2958" s="26" t="n">
        <v>49.9</v>
      </c>
      <c r="R2958" s="26">
        <f>Q2958*G2958</f>
        <v/>
      </c>
      <c r="S2958" t="n">
        <v>29.6</v>
      </c>
      <c r="T2958" s="18">
        <f>1 - V2958/S2958</f>
        <v/>
      </c>
      <c r="U2958" s="18" t="n">
        <v>0.3006012024048096</v>
      </c>
      <c r="V2958" s="26" t="n">
        <v>22.18220338983051</v>
      </c>
      <c r="W2958" s="26">
        <f>V2958 - L2958</f>
        <v/>
      </c>
    </row>
    <row r="2959">
      <c r="A2959" s="11" t="n">
        <v>46232</v>
      </c>
      <c r="B2959" s="1" t="n">
        <v>20041</v>
      </c>
      <c r="C2959" s="1" t="inlineStr">
        <is>
          <t>013</t>
        </is>
      </c>
      <c r="D2959" s="1" t="inlineStr">
        <is>
          <t>460663</t>
        </is>
      </c>
      <c r="E2959" s="1" t="inlineStr">
        <is>
          <t xml:space="preserve">28194770       </t>
        </is>
      </c>
      <c r="F2959" s="5" t="inlineStr">
        <is>
          <t>AUTOS DE METAL 3 TEAMSTERZ EN BLISTER</t>
        </is>
      </c>
      <c r="G2959" t="n">
        <v>1</v>
      </c>
      <c r="H2959" s="7" t="n">
        <v>6.9</v>
      </c>
      <c r="I2959" s="7" t="n">
        <v>0</v>
      </c>
      <c r="J2959" s="7" t="n">
        <v>0</v>
      </c>
      <c r="K2959" s="9" t="n">
        <v>0</v>
      </c>
      <c r="L2959" s="10" t="n">
        <v>4.1</v>
      </c>
      <c r="M2959" s="10" t="n">
        <v>1.43</v>
      </c>
      <c r="N2959" t="inlineStr">
        <is>
          <t>1</t>
        </is>
      </c>
      <c r="O2959" t="inlineStr">
        <is>
          <t xml:space="preserve">2 </t>
        </is>
      </c>
      <c r="P2959" t="inlineStr">
        <is>
          <t xml:space="preserve">91630   </t>
        </is>
      </c>
      <c r="Q2959" s="26" t="n">
        <v>6.9</v>
      </c>
      <c r="R2959" s="26">
        <f>Q2959*G2959</f>
        <v/>
      </c>
      <c r="S2959" t="n">
        <v>4.09</v>
      </c>
      <c r="T2959" s="18">
        <f>1 - V2959/S2959</f>
        <v/>
      </c>
      <c r="U2959" s="18" t="n">
        <v>0</v>
      </c>
      <c r="V2959" s="26" t="n">
        <v>4.09</v>
      </c>
      <c r="W2959" s="26">
        <f>V2959 - L2959</f>
        <v/>
      </c>
    </row>
    <row r="2960">
      <c r="A2960" s="11" t="n">
        <v>46232</v>
      </c>
      <c r="B2960" s="1" t="n">
        <v>20041</v>
      </c>
      <c r="C2960" s="1" t="inlineStr">
        <is>
          <t>016</t>
        </is>
      </c>
      <c r="D2960" s="1" t="inlineStr">
        <is>
          <t>217373</t>
        </is>
      </c>
      <c r="E2960" s="1" t="inlineStr">
        <is>
          <t xml:space="preserve">30141767       </t>
        </is>
      </c>
      <c r="F2960" s="5" t="inlineStr">
        <is>
          <t>TMZ BEAST MACHINES AUTOS DE METAL PACK 5 AUTOS</t>
        </is>
      </c>
      <c r="G2960" t="n">
        <v>1</v>
      </c>
      <c r="H2960" s="7" t="n">
        <v>29.9</v>
      </c>
      <c r="I2960" s="7" t="n">
        <v>0</v>
      </c>
      <c r="J2960" s="7" t="n">
        <v>0</v>
      </c>
      <c r="K2960" s="9" t="n">
        <v>0</v>
      </c>
      <c r="L2960" s="10" t="n">
        <v>17.74</v>
      </c>
      <c r="M2960" s="10" t="n">
        <v>1.43</v>
      </c>
      <c r="N2960" t="inlineStr">
        <is>
          <t>1</t>
        </is>
      </c>
      <c r="O2960" t="inlineStr">
        <is>
          <t>16</t>
        </is>
      </c>
      <c r="P2960" t="inlineStr">
        <is>
          <t xml:space="preserve">243698  </t>
        </is>
      </c>
      <c r="Q2960" s="26" t="n">
        <v>39.5</v>
      </c>
      <c r="R2960" s="26">
        <f>Q2960*G2960</f>
        <v/>
      </c>
      <c r="S2960" t="n">
        <v>23.43</v>
      </c>
      <c r="T2960" s="18">
        <f>1 - V2960/S2960</f>
        <v/>
      </c>
      <c r="U2960" s="18" t="n">
        <v>0.2430379746835444</v>
      </c>
      <c r="V2960" s="26" t="n">
        <v>19.00423728813559</v>
      </c>
      <c r="W2960" s="26">
        <f>V2960 - L2960</f>
        <v/>
      </c>
    </row>
    <row r="2961">
      <c r="A2961" s="11" t="n">
        <v>46232</v>
      </c>
      <c r="B2961" s="1" t="n">
        <v>20041</v>
      </c>
      <c r="C2961" s="1" t="inlineStr">
        <is>
          <t>020</t>
        </is>
      </c>
      <c r="D2961" s="1" t="inlineStr">
        <is>
          <t>367854</t>
        </is>
      </c>
      <c r="E2961" s="1" t="inlineStr">
        <is>
          <t xml:space="preserve">28194770       </t>
        </is>
      </c>
      <c r="F2961" s="5" t="inlineStr">
        <is>
          <t>AUTOS DE METAL 3 TEAMSTERZ EN BLISTER</t>
        </is>
      </c>
      <c r="G2961" t="n">
        <v>1</v>
      </c>
      <c r="H2961" s="7" t="n">
        <v>6.9</v>
      </c>
      <c r="I2961" s="7" t="n">
        <v>0.6899999999999999</v>
      </c>
      <c r="J2961" s="7" t="n">
        <v>0</v>
      </c>
      <c r="K2961" s="9" t="n">
        <v>0.6899999999999999</v>
      </c>
      <c r="L2961" s="10" t="n">
        <v>3.68</v>
      </c>
      <c r="M2961" s="10" t="n">
        <v>1.43</v>
      </c>
      <c r="N2961" t="inlineStr">
        <is>
          <t>1</t>
        </is>
      </c>
      <c r="O2961" t="inlineStr">
        <is>
          <t xml:space="preserve">3 </t>
        </is>
      </c>
      <c r="P2961" t="inlineStr">
        <is>
          <t xml:space="preserve">244965  </t>
        </is>
      </c>
      <c r="Q2961" s="26" t="n">
        <v>6.9</v>
      </c>
      <c r="R2961" s="26">
        <f>Q2961*G2961</f>
        <v/>
      </c>
      <c r="S2961" t="n">
        <v>4.09</v>
      </c>
      <c r="T2961" s="18">
        <f>1 - V2961/S2961</f>
        <v/>
      </c>
      <c r="U2961" s="18" t="n">
        <v>0</v>
      </c>
      <c r="V2961" s="26" t="n">
        <v>4.09</v>
      </c>
      <c r="W2961" s="26">
        <f>V2961 - L2961</f>
        <v/>
      </c>
    </row>
    <row r="2962">
      <c r="A2962" s="11" t="n">
        <v>46232</v>
      </c>
      <c r="B2962" s="1" t="n">
        <v>20041</v>
      </c>
      <c r="C2962" s="1" t="inlineStr">
        <is>
          <t>020</t>
        </is>
      </c>
      <c r="D2962" s="1" t="inlineStr">
        <is>
          <t>367854</t>
        </is>
      </c>
      <c r="E2962" s="1" t="inlineStr">
        <is>
          <t xml:space="preserve">28194770       </t>
        </is>
      </c>
      <c r="F2962" s="5" t="inlineStr">
        <is>
          <t>AUTOS DE METAL 3 TEAMSTERZ EN BLISTER</t>
        </is>
      </c>
      <c r="G2962" t="n">
        <v>1</v>
      </c>
      <c r="H2962" s="7" t="n">
        <v>6.9</v>
      </c>
      <c r="I2962" s="7" t="n">
        <v>0.6899999999999999</v>
      </c>
      <c r="J2962" s="7" t="n">
        <v>0</v>
      </c>
      <c r="K2962" s="9" t="n">
        <v>0.6899999999999999</v>
      </c>
      <c r="L2962" s="10" t="n">
        <v>3.68</v>
      </c>
      <c r="M2962" s="10" t="n">
        <v>1.43</v>
      </c>
      <c r="N2962" t="inlineStr">
        <is>
          <t>1</t>
        </is>
      </c>
      <c r="O2962" t="inlineStr">
        <is>
          <t xml:space="preserve">3 </t>
        </is>
      </c>
      <c r="P2962" t="inlineStr">
        <is>
          <t xml:space="preserve">244965  </t>
        </is>
      </c>
      <c r="Q2962" s="26" t="n">
        <v>6.9</v>
      </c>
      <c r="R2962" s="26">
        <f>Q2962*G2962</f>
        <v/>
      </c>
      <c r="S2962" t="n">
        <v>4.09</v>
      </c>
      <c r="T2962" s="18">
        <f>1 - V2962/S2962</f>
        <v/>
      </c>
      <c r="U2962" s="18" t="n">
        <v>0</v>
      </c>
      <c r="V2962" s="26" t="n">
        <v>4.09</v>
      </c>
      <c r="W2962" s="26">
        <f>V2962 - L2962</f>
        <v/>
      </c>
    </row>
    <row r="2963">
      <c r="A2963" s="11" t="n">
        <v>46232</v>
      </c>
      <c r="B2963" s="1" t="n">
        <v>20041</v>
      </c>
      <c r="C2963" s="1" t="inlineStr">
        <is>
          <t>036</t>
        </is>
      </c>
      <c r="D2963" s="1" t="inlineStr">
        <is>
          <t>321291</t>
        </is>
      </c>
      <c r="E2963" s="1" t="inlineStr">
        <is>
          <t xml:space="preserve">28194770       </t>
        </is>
      </c>
      <c r="F2963" s="5" t="inlineStr">
        <is>
          <t>AUTOS DE METAL 3 TEAMSTERZ EN BLISTER</t>
        </is>
      </c>
      <c r="G2963" t="n">
        <v>1</v>
      </c>
      <c r="H2963" s="7" t="n">
        <v>6.9</v>
      </c>
      <c r="I2963" s="7" t="n">
        <v>0</v>
      </c>
      <c r="J2963" s="7" t="n">
        <v>0</v>
      </c>
      <c r="K2963" s="9" t="n">
        <v>0</v>
      </c>
      <c r="L2963" s="10" t="n">
        <v>4.1</v>
      </c>
      <c r="M2963" s="10" t="n">
        <v>1.43</v>
      </c>
      <c r="N2963" t="inlineStr">
        <is>
          <t>1</t>
        </is>
      </c>
      <c r="O2963" t="inlineStr">
        <is>
          <t>16</t>
        </is>
      </c>
      <c r="P2963" t="inlineStr">
        <is>
          <t xml:space="preserve">242748  </t>
        </is>
      </c>
      <c r="Q2963" s="26" t="n">
        <v>6.9</v>
      </c>
      <c r="R2963" s="26">
        <f>Q2963*G2963</f>
        <v/>
      </c>
      <c r="S2963" t="n">
        <v>4.09</v>
      </c>
      <c r="T2963" s="18">
        <f>1 - V2963/S2963</f>
        <v/>
      </c>
      <c r="U2963" s="18" t="n">
        <v>0</v>
      </c>
      <c r="V2963" s="26" t="n">
        <v>4.09</v>
      </c>
      <c r="W2963" s="26">
        <f>V2963 - L2963</f>
        <v/>
      </c>
    </row>
    <row r="2964">
      <c r="A2964" s="11" t="n">
        <v>46232</v>
      </c>
      <c r="B2964" s="1" t="n">
        <v>20041</v>
      </c>
      <c r="C2964" s="1" t="inlineStr">
        <is>
          <t>043</t>
        </is>
      </c>
      <c r="D2964" s="1" t="inlineStr">
        <is>
          <t xml:space="preserve">217   </t>
        </is>
      </c>
      <c r="E2964" s="1" t="inlineStr">
        <is>
          <t xml:space="preserve">28194770       </t>
        </is>
      </c>
      <c r="F2964" s="5" t="inlineStr">
        <is>
          <t>AUTOS DE METAL 3 TEAMSTERZ EN BLISTER</t>
        </is>
      </c>
      <c r="G2964" t="n">
        <v>1</v>
      </c>
      <c r="H2964" s="7" t="n">
        <v>6.9</v>
      </c>
      <c r="I2964" s="7" t="n">
        <v>0</v>
      </c>
      <c r="J2964" s="7" t="n">
        <v>0</v>
      </c>
      <c r="K2964" s="9" t="n">
        <v>0</v>
      </c>
      <c r="L2964" s="10" t="n">
        <v>4.1</v>
      </c>
      <c r="M2964" s="10" t="n">
        <v>1.43</v>
      </c>
      <c r="N2964" t="inlineStr">
        <is>
          <t>1</t>
        </is>
      </c>
      <c r="O2964" t="inlineStr">
        <is>
          <t>16</t>
        </is>
      </c>
      <c r="P2964" t="inlineStr">
        <is>
          <t xml:space="preserve">241916  </t>
        </is>
      </c>
      <c r="Q2964" s="26" t="n">
        <v>6.9</v>
      </c>
      <c r="R2964" s="26">
        <f>Q2964*G2964</f>
        <v/>
      </c>
      <c r="S2964" t="n">
        <v>4.09</v>
      </c>
      <c r="T2964" s="18">
        <f>1 - V2964/S2964</f>
        <v/>
      </c>
      <c r="U2964" s="18" t="n">
        <v>0</v>
      </c>
      <c r="V2964" s="26" t="n">
        <v>4.09</v>
      </c>
      <c r="W2964" s="26">
        <f>V2964 - L2964</f>
        <v/>
      </c>
    </row>
    <row r="2965">
      <c r="A2965" s="11" t="n">
        <v>46232</v>
      </c>
      <c r="B2965" s="1" t="n">
        <v>20041</v>
      </c>
      <c r="C2965" s="1" t="inlineStr">
        <is>
          <t>043</t>
        </is>
      </c>
      <c r="D2965" s="1" t="inlineStr">
        <is>
          <t xml:space="preserve">246   </t>
        </is>
      </c>
      <c r="E2965" s="1" t="inlineStr">
        <is>
          <t xml:space="preserve">28194770       </t>
        </is>
      </c>
      <c r="F2965" s="5" t="inlineStr">
        <is>
          <t>AUTOS DE METAL 3 TEAMSTERZ EN BLISTER</t>
        </is>
      </c>
      <c r="G2965" t="n">
        <v>1</v>
      </c>
      <c r="H2965" s="7" t="n">
        <v>6.9</v>
      </c>
      <c r="I2965" s="7" t="n">
        <v>0</v>
      </c>
      <c r="J2965" s="7" t="n">
        <v>0</v>
      </c>
      <c r="K2965" s="9" t="n">
        <v>0</v>
      </c>
      <c r="L2965" s="10" t="n">
        <v>4.1</v>
      </c>
      <c r="M2965" s="10" t="n">
        <v>1.43</v>
      </c>
      <c r="N2965" t="inlineStr">
        <is>
          <t>1</t>
        </is>
      </c>
      <c r="O2965" t="inlineStr">
        <is>
          <t>16</t>
        </is>
      </c>
      <c r="P2965" t="inlineStr">
        <is>
          <t xml:space="preserve">241916  </t>
        </is>
      </c>
      <c r="Q2965" s="26" t="n">
        <v>6.9</v>
      </c>
      <c r="R2965" s="26">
        <f>Q2965*G2965</f>
        <v/>
      </c>
      <c r="S2965" t="n">
        <v>4.09</v>
      </c>
      <c r="T2965" s="18">
        <f>1 - V2965/S2965</f>
        <v/>
      </c>
      <c r="U2965" s="18" t="n">
        <v>0</v>
      </c>
      <c r="V2965" s="26" t="n">
        <v>4.09</v>
      </c>
      <c r="W2965" s="26">
        <f>V2965 - L2965</f>
        <v/>
      </c>
    </row>
    <row r="2966">
      <c r="A2966" s="11" t="n">
        <v>46232</v>
      </c>
      <c r="B2966" s="1" t="n">
        <v>20041</v>
      </c>
      <c r="C2966" s="1" t="inlineStr">
        <is>
          <t>043</t>
        </is>
      </c>
      <c r="D2966" s="1" t="inlineStr">
        <is>
          <t xml:space="preserve">246   </t>
        </is>
      </c>
      <c r="E2966" s="1" t="inlineStr">
        <is>
          <t xml:space="preserve">28194770       </t>
        </is>
      </c>
      <c r="F2966" s="5" t="inlineStr">
        <is>
          <t>AUTOS DE METAL 3 TEAMSTERZ EN BLISTER</t>
        </is>
      </c>
      <c r="G2966" t="n">
        <v>1</v>
      </c>
      <c r="H2966" s="7" t="n">
        <v>6.9</v>
      </c>
      <c r="I2966" s="7" t="n">
        <v>0</v>
      </c>
      <c r="J2966" s="7" t="n">
        <v>0</v>
      </c>
      <c r="K2966" s="9" t="n">
        <v>0</v>
      </c>
      <c r="L2966" s="10" t="n">
        <v>4.1</v>
      </c>
      <c r="M2966" s="10" t="n">
        <v>1.43</v>
      </c>
      <c r="N2966" t="inlineStr">
        <is>
          <t>1</t>
        </is>
      </c>
      <c r="O2966" t="inlineStr">
        <is>
          <t>16</t>
        </is>
      </c>
      <c r="P2966" t="inlineStr">
        <is>
          <t xml:space="preserve">241916  </t>
        </is>
      </c>
      <c r="Q2966" s="26" t="n">
        <v>6.9</v>
      </c>
      <c r="R2966" s="26">
        <f>Q2966*G2966</f>
        <v/>
      </c>
      <c r="S2966" t="n">
        <v>4.09</v>
      </c>
      <c r="T2966" s="18">
        <f>1 - V2966/S2966</f>
        <v/>
      </c>
      <c r="U2966" s="18" t="n">
        <v>0</v>
      </c>
      <c r="V2966" s="26" t="n">
        <v>4.09</v>
      </c>
      <c r="W2966" s="26">
        <f>V2966 - L2966</f>
        <v/>
      </c>
    </row>
    <row r="2967">
      <c r="A2967" s="11" t="n">
        <v>46232</v>
      </c>
      <c r="B2967" s="1" t="n">
        <v>20043</v>
      </c>
      <c r="C2967" s="1" t="inlineStr">
        <is>
          <t>014</t>
        </is>
      </c>
      <c r="D2967" s="1" t="inlineStr">
        <is>
          <t>138407</t>
        </is>
      </c>
      <c r="E2967" s="1" t="inlineStr">
        <is>
          <t xml:space="preserve">28194770       </t>
        </is>
      </c>
      <c r="F2967" s="5" t="inlineStr">
        <is>
          <t>AUTOS DE METAL 3 TEAMSTERZ EN BLISTER</t>
        </is>
      </c>
      <c r="G2967" t="n">
        <v>1</v>
      </c>
      <c r="H2967" s="7" t="n">
        <v>6.9</v>
      </c>
      <c r="I2967" s="7" t="n">
        <v>0</v>
      </c>
      <c r="J2967" s="7" t="n">
        <v>0</v>
      </c>
      <c r="K2967" s="9" t="n">
        <v>0</v>
      </c>
      <c r="L2967" s="10" t="n">
        <v>4.1</v>
      </c>
      <c r="M2967" s="10" t="n">
        <v>1.43</v>
      </c>
      <c r="N2967" t="inlineStr">
        <is>
          <t>1</t>
        </is>
      </c>
      <c r="O2967" t="inlineStr">
        <is>
          <t>16</t>
        </is>
      </c>
      <c r="P2967" t="inlineStr">
        <is>
          <t xml:space="preserve">16988   </t>
        </is>
      </c>
      <c r="Q2967" s="26" t="n">
        <v>6.9</v>
      </c>
      <c r="R2967" s="26">
        <f>Q2967*G2967</f>
        <v/>
      </c>
      <c r="S2967" t="n">
        <v>4.09</v>
      </c>
      <c r="T2967" s="18">
        <f>1 - V2967/S2967</f>
        <v/>
      </c>
      <c r="U2967" s="18" t="n">
        <v>0</v>
      </c>
      <c r="V2967" s="26" t="n">
        <v>4.09</v>
      </c>
      <c r="W2967" s="26">
        <f>V2967 - L2967</f>
        <v/>
      </c>
    </row>
    <row r="2968">
      <c r="A2968" s="11" t="n">
        <v>46232</v>
      </c>
      <c r="B2968" s="1" t="n">
        <v>20043</v>
      </c>
      <c r="C2968" s="1" t="inlineStr">
        <is>
          <t>014</t>
        </is>
      </c>
      <c r="D2968" s="1" t="inlineStr">
        <is>
          <t>138407</t>
        </is>
      </c>
      <c r="E2968" s="1" t="inlineStr">
        <is>
          <t xml:space="preserve">30141766       </t>
        </is>
      </c>
      <c r="F2968" s="5" t="inlineStr">
        <is>
          <t>TMZ BEAST MACHINES AUTOS DE METAL BLISTER X 1</t>
        </is>
      </c>
      <c r="G2968" t="n">
        <v>1</v>
      </c>
      <c r="H2968" s="7" t="n">
        <v>7.9</v>
      </c>
      <c r="I2968" s="7" t="n">
        <v>0</v>
      </c>
      <c r="J2968" s="7" t="n">
        <v>0</v>
      </c>
      <c r="K2968" s="9" t="n">
        <v>0</v>
      </c>
      <c r="L2968" s="10" t="n">
        <v>4.68</v>
      </c>
      <c r="M2968" s="10" t="n">
        <v>1.43</v>
      </c>
      <c r="N2968" t="inlineStr">
        <is>
          <t>1</t>
        </is>
      </c>
      <c r="O2968" t="inlineStr">
        <is>
          <t>16</t>
        </is>
      </c>
      <c r="P2968" t="inlineStr">
        <is>
          <t xml:space="preserve">16988   </t>
        </is>
      </c>
      <c r="Q2968" s="26" t="n">
        <v>7.9</v>
      </c>
      <c r="R2968" s="26">
        <f>Q2968*G2968</f>
        <v/>
      </c>
      <c r="S2968" t="n">
        <v>4.69</v>
      </c>
      <c r="T2968" s="18">
        <f>1 - V2968/S2968</f>
        <v/>
      </c>
      <c r="U2968" s="18" t="n">
        <v>0</v>
      </c>
      <c r="V2968" s="26" t="n">
        <v>4.69</v>
      </c>
      <c r="W2968" s="26">
        <f>V2968 - L2968</f>
        <v/>
      </c>
    </row>
    <row r="2969">
      <c r="A2969" s="11" t="n">
        <v>46232</v>
      </c>
      <c r="B2969" s="1" t="n">
        <v>20043</v>
      </c>
      <c r="C2969" s="1" t="inlineStr">
        <is>
          <t>015</t>
        </is>
      </c>
      <c r="D2969" s="1" t="inlineStr">
        <is>
          <t>278568</t>
        </is>
      </c>
      <c r="E2969" s="1" t="inlineStr">
        <is>
          <t xml:space="preserve">32457099       </t>
        </is>
      </c>
      <c r="F2969" s="5" t="inlineStr">
        <is>
          <t>TMZ BEAST MACHINES MONSTER JAWS A FRICCION BLISTER</t>
        </is>
      </c>
      <c r="G2969" t="n">
        <v>1</v>
      </c>
      <c r="H2969" s="7" t="n">
        <v>17.9</v>
      </c>
      <c r="I2969" s="7" t="n">
        <v>1.79</v>
      </c>
      <c r="J2969" s="7" t="n">
        <v>0</v>
      </c>
      <c r="K2969" s="9" t="n">
        <v>1.79</v>
      </c>
      <c r="L2969" s="10" t="n">
        <v>9.56</v>
      </c>
      <c r="M2969" s="10" t="n">
        <v>1.43</v>
      </c>
      <c r="N2969" t="inlineStr">
        <is>
          <t>1</t>
        </is>
      </c>
      <c r="O2969" t="inlineStr">
        <is>
          <t xml:space="preserve">3 </t>
        </is>
      </c>
      <c r="P2969" t="inlineStr">
        <is>
          <t xml:space="preserve">30705   </t>
        </is>
      </c>
      <c r="Q2969" s="26" t="n">
        <v>19.9</v>
      </c>
      <c r="R2969" s="26">
        <f>Q2969*G2969</f>
        <v/>
      </c>
      <c r="S2969" t="n">
        <v>11.81</v>
      </c>
      <c r="T2969" s="18">
        <f>1 - V2969/S2969</f>
        <v/>
      </c>
      <c r="U2969" s="18" t="n">
        <v>0.1005025125628141</v>
      </c>
      <c r="V2969" s="26" t="n">
        <v>8.417118644067797</v>
      </c>
      <c r="W2969" s="26">
        <f>V2969 - L2969</f>
        <v/>
      </c>
    </row>
    <row r="2970">
      <c r="A2970" s="11" t="n">
        <v>46232</v>
      </c>
      <c r="B2970" s="1" t="n">
        <v>20047</v>
      </c>
      <c r="C2970" s="1" t="inlineStr">
        <is>
          <t>012</t>
        </is>
      </c>
      <c r="D2970" s="1" t="inlineStr">
        <is>
          <t>334679</t>
        </is>
      </c>
      <c r="E2970" s="1" t="inlineStr">
        <is>
          <t xml:space="preserve">28194770       </t>
        </is>
      </c>
      <c r="F2970" s="5" t="inlineStr">
        <is>
          <t>AUTOS DE METAL 3 TEAMSTERZ EN BLISTER</t>
        </is>
      </c>
      <c r="G2970" t="n">
        <v>1</v>
      </c>
      <c r="H2970" s="7" t="n">
        <v>6.9</v>
      </c>
      <c r="I2970" s="7" t="n">
        <v>0</v>
      </c>
      <c r="J2970" s="7" t="n">
        <v>0</v>
      </c>
      <c r="K2970" s="9" t="n">
        <v>0</v>
      </c>
      <c r="L2970" s="10" t="n">
        <v>4.1</v>
      </c>
      <c r="M2970" s="10" t="n">
        <v>1.43</v>
      </c>
      <c r="N2970" t="inlineStr">
        <is>
          <t>1</t>
        </is>
      </c>
      <c r="O2970" t="inlineStr">
        <is>
          <t xml:space="preserve">2 </t>
        </is>
      </c>
      <c r="P2970" t="inlineStr">
        <is>
          <t xml:space="preserve">78210   </t>
        </is>
      </c>
      <c r="Q2970" s="26" t="n">
        <v>6.9</v>
      </c>
      <c r="R2970" s="26">
        <f>Q2970*G2970</f>
        <v/>
      </c>
      <c r="S2970" t="n">
        <v>4.09</v>
      </c>
      <c r="T2970" s="18">
        <f>1 - V2970/S2970</f>
        <v/>
      </c>
      <c r="U2970" s="18" t="n">
        <v>0</v>
      </c>
      <c r="V2970" s="26" t="n">
        <v>4.09</v>
      </c>
      <c r="W2970" s="26">
        <f>V2970 - L2970</f>
        <v/>
      </c>
    </row>
    <row r="2971">
      <c r="A2971" s="11" t="n">
        <v>46232</v>
      </c>
      <c r="B2971" s="1" t="n">
        <v>20047</v>
      </c>
      <c r="C2971" s="1" t="inlineStr">
        <is>
          <t>191</t>
        </is>
      </c>
      <c r="D2971" s="1" t="inlineStr">
        <is>
          <t>464236</t>
        </is>
      </c>
      <c r="E2971" s="1" t="inlineStr">
        <is>
          <t xml:space="preserve">28194770       </t>
        </is>
      </c>
      <c r="F2971" s="5" t="inlineStr">
        <is>
          <t>AUTOS DE METAL 3 TEAMSTERZ EN BLISTER</t>
        </is>
      </c>
      <c r="G2971" t="n">
        <v>1</v>
      </c>
      <c r="H2971" s="7" t="n">
        <v>6.9</v>
      </c>
      <c r="I2971" s="7" t="n">
        <v>0</v>
      </c>
      <c r="J2971" s="7" t="n">
        <v>0</v>
      </c>
      <c r="K2971" s="9" t="n">
        <v>0</v>
      </c>
      <c r="L2971" s="10" t="n">
        <v>4.1</v>
      </c>
      <c r="M2971" s="10" t="n">
        <v>1.43</v>
      </c>
      <c r="N2971" t="inlineStr">
        <is>
          <t>1</t>
        </is>
      </c>
      <c r="O2971" t="inlineStr">
        <is>
          <t xml:space="preserve">2 </t>
        </is>
      </c>
      <c r="P2971" t="inlineStr">
        <is>
          <t xml:space="preserve">78210   </t>
        </is>
      </c>
      <c r="Q2971" s="26" t="n">
        <v>6.9</v>
      </c>
      <c r="R2971" s="26">
        <f>Q2971*G2971</f>
        <v/>
      </c>
      <c r="S2971" t="n">
        <v>4.09</v>
      </c>
      <c r="T2971" s="18">
        <f>1 - V2971/S2971</f>
        <v/>
      </c>
      <c r="U2971" s="18" t="n">
        <v>0</v>
      </c>
      <c r="V2971" s="26" t="n">
        <v>4.09</v>
      </c>
      <c r="W2971" s="26">
        <f>V2971 - L2971</f>
        <v/>
      </c>
    </row>
    <row r="2972">
      <c r="A2972" s="11" t="n">
        <v>46232</v>
      </c>
      <c r="B2972" s="1" t="n">
        <v>20048</v>
      </c>
      <c r="C2972" s="1" t="inlineStr">
        <is>
          <t>017</t>
        </is>
      </c>
      <c r="D2972" s="1" t="inlineStr">
        <is>
          <t>168051</t>
        </is>
      </c>
      <c r="E2972" s="1" t="inlineStr">
        <is>
          <t xml:space="preserve">30141766       </t>
        </is>
      </c>
      <c r="F2972" s="5" t="inlineStr">
        <is>
          <t>TMZ BEAST MACHINES AUTOS DE METAL BLISTER X 1</t>
        </is>
      </c>
      <c r="G2972" t="n">
        <v>1</v>
      </c>
      <c r="H2972" s="7" t="n">
        <v>7.9</v>
      </c>
      <c r="I2972" s="7" t="n">
        <v>0</v>
      </c>
      <c r="J2972" s="7" t="n">
        <v>0</v>
      </c>
      <c r="K2972" s="9" t="n">
        <v>0</v>
      </c>
      <c r="L2972" s="10" t="n">
        <v>4.68</v>
      </c>
      <c r="M2972" s="10" t="n">
        <v>1.43</v>
      </c>
      <c r="N2972" t="inlineStr">
        <is>
          <t>1</t>
        </is>
      </c>
      <c r="O2972" t="inlineStr">
        <is>
          <t>16</t>
        </is>
      </c>
      <c r="P2972" t="inlineStr">
        <is>
          <t xml:space="preserve">250434  </t>
        </is>
      </c>
      <c r="Q2972" s="26" t="n">
        <v>7.9</v>
      </c>
      <c r="R2972" s="26">
        <f>Q2972*G2972</f>
        <v/>
      </c>
      <c r="S2972" t="n">
        <v>4.69</v>
      </c>
      <c r="T2972" s="18">
        <f>1 - V2972/S2972</f>
        <v/>
      </c>
      <c r="U2972" s="18" t="n">
        <v>0</v>
      </c>
      <c r="V2972" s="26" t="n">
        <v>4.69</v>
      </c>
      <c r="W2972" s="26">
        <f>V2972 - L2972</f>
        <v/>
      </c>
    </row>
    <row r="2973">
      <c r="A2973" s="11" t="n">
        <v>46232</v>
      </c>
      <c r="B2973" s="1" t="n">
        <v>20048</v>
      </c>
      <c r="C2973" s="1" t="inlineStr">
        <is>
          <t>018</t>
        </is>
      </c>
      <c r="D2973" s="1" t="inlineStr">
        <is>
          <t xml:space="preserve">48792 </t>
        </is>
      </c>
      <c r="E2973" s="1" t="inlineStr">
        <is>
          <t xml:space="preserve">28194770       </t>
        </is>
      </c>
      <c r="F2973" s="5" t="inlineStr">
        <is>
          <t>AUTOS DE METAL 3 TEAMSTERZ EN BLISTER</t>
        </is>
      </c>
      <c r="G2973" t="n">
        <v>1</v>
      </c>
      <c r="H2973" s="7" t="n">
        <v>6.9</v>
      </c>
      <c r="I2973" s="7" t="n">
        <v>0</v>
      </c>
      <c r="J2973" s="7" t="n">
        <v>0</v>
      </c>
      <c r="K2973" s="9" t="n">
        <v>0</v>
      </c>
      <c r="L2973" s="10" t="n">
        <v>4.1</v>
      </c>
      <c r="M2973" s="10" t="n">
        <v>1.43</v>
      </c>
      <c r="N2973" t="inlineStr">
        <is>
          <t>1</t>
        </is>
      </c>
      <c r="O2973" t="inlineStr">
        <is>
          <t>16</t>
        </is>
      </c>
      <c r="P2973" t="inlineStr">
        <is>
          <t xml:space="preserve">252197  </t>
        </is>
      </c>
      <c r="Q2973" s="26" t="n">
        <v>6.9</v>
      </c>
      <c r="R2973" s="26">
        <f>Q2973*G2973</f>
        <v/>
      </c>
      <c r="S2973" t="n">
        <v>4.09</v>
      </c>
      <c r="T2973" s="18">
        <f>1 - V2973/S2973</f>
        <v/>
      </c>
      <c r="U2973" s="18" t="n">
        <v>0</v>
      </c>
      <c r="V2973" s="26" t="n">
        <v>4.09</v>
      </c>
      <c r="W2973" s="26">
        <f>V2973 - L2973</f>
        <v/>
      </c>
    </row>
    <row r="2974">
      <c r="A2974" s="11" t="n">
        <v>46232</v>
      </c>
      <c r="B2974" s="1" t="n">
        <v>20048</v>
      </c>
      <c r="C2974" s="1" t="inlineStr">
        <is>
          <t>018</t>
        </is>
      </c>
      <c r="D2974" s="1" t="inlineStr">
        <is>
          <t xml:space="preserve">48839 </t>
        </is>
      </c>
      <c r="E2974" s="1" t="inlineStr">
        <is>
          <t xml:space="preserve">28194768       </t>
        </is>
      </c>
      <c r="F2974" s="5" t="inlineStr">
        <is>
          <t>AUTO COLOR CHANGE TEAMSTERZ SURTIDO</t>
        </is>
      </c>
      <c r="G2974" t="n">
        <v>1</v>
      </c>
      <c r="H2974" s="7" t="n">
        <v>14.9</v>
      </c>
      <c r="I2974" s="7" t="n">
        <v>0</v>
      </c>
      <c r="J2974" s="7" t="n">
        <v>0</v>
      </c>
      <c r="K2974" s="9" t="n">
        <v>0</v>
      </c>
      <c r="L2974" s="10" t="n">
        <v>8.84</v>
      </c>
      <c r="M2974" s="10" t="n">
        <v>1.43</v>
      </c>
      <c r="N2974" t="inlineStr">
        <is>
          <t>1</t>
        </is>
      </c>
      <c r="O2974" t="inlineStr">
        <is>
          <t>16</t>
        </is>
      </c>
      <c r="P2974" t="inlineStr">
        <is>
          <t xml:space="preserve">252197  </t>
        </is>
      </c>
      <c r="Q2974" s="26" t="n">
        <v>14.9</v>
      </c>
      <c r="R2974" s="26">
        <f>Q2974*G2974</f>
        <v/>
      </c>
      <c r="S2974" t="n">
        <v>8.84</v>
      </c>
      <c r="T2974" s="18">
        <f>1 - V2974/S2974</f>
        <v/>
      </c>
      <c r="U2974" s="18" t="n">
        <v>0</v>
      </c>
      <c r="V2974" s="26" t="n">
        <v>8.84</v>
      </c>
      <c r="W2974" s="26">
        <f>V2974 - L2974</f>
        <v/>
      </c>
    </row>
    <row r="2975">
      <c r="A2975" s="11" t="n">
        <v>46232</v>
      </c>
      <c r="B2975" s="1" t="n">
        <v>20048</v>
      </c>
      <c r="C2975" s="1" t="inlineStr">
        <is>
          <t>018</t>
        </is>
      </c>
      <c r="D2975" s="1" t="inlineStr">
        <is>
          <t xml:space="preserve">48867 </t>
        </is>
      </c>
      <c r="E2975" s="1" t="inlineStr">
        <is>
          <t xml:space="preserve">28194770       </t>
        </is>
      </c>
      <c r="F2975" s="5" t="inlineStr">
        <is>
          <t>AUTOS DE METAL 3 TEAMSTERZ EN BLISTER</t>
        </is>
      </c>
      <c r="G2975" t="n">
        <v>1</v>
      </c>
      <c r="H2975" s="7" t="n">
        <v>6.9</v>
      </c>
      <c r="I2975" s="7" t="n">
        <v>0.6899999999999999</v>
      </c>
      <c r="J2975" s="7" t="n">
        <v>0</v>
      </c>
      <c r="K2975" s="9" t="n">
        <v>0.6899999999999999</v>
      </c>
      <c r="L2975" s="10" t="n">
        <v>3.68</v>
      </c>
      <c r="M2975" s="10" t="n">
        <v>1.43</v>
      </c>
      <c r="N2975" t="inlineStr">
        <is>
          <t>1</t>
        </is>
      </c>
      <c r="O2975" t="inlineStr">
        <is>
          <t xml:space="preserve">3 </t>
        </is>
      </c>
      <c r="P2975" t="inlineStr">
        <is>
          <t xml:space="preserve">248226  </t>
        </is>
      </c>
      <c r="Q2975" s="26" t="n">
        <v>6.9</v>
      </c>
      <c r="R2975" s="26">
        <f>Q2975*G2975</f>
        <v/>
      </c>
      <c r="S2975" t="n">
        <v>4.09</v>
      </c>
      <c r="T2975" s="18">
        <f>1 - V2975/S2975</f>
        <v/>
      </c>
      <c r="U2975" s="18" t="n">
        <v>0</v>
      </c>
      <c r="V2975" s="26" t="n">
        <v>4.09</v>
      </c>
      <c r="W2975" s="26">
        <f>V2975 - L2975</f>
        <v/>
      </c>
    </row>
    <row r="2976">
      <c r="A2976" s="11" t="n">
        <v>46232</v>
      </c>
      <c r="B2976" s="1" t="n">
        <v>20048</v>
      </c>
      <c r="C2976" s="1" t="inlineStr">
        <is>
          <t>027</t>
        </is>
      </c>
      <c r="D2976" s="1" t="inlineStr">
        <is>
          <t>324586</t>
        </is>
      </c>
      <c r="E2976" s="1" t="inlineStr">
        <is>
          <t xml:space="preserve">28194770       </t>
        </is>
      </c>
      <c r="F2976" s="5" t="inlineStr">
        <is>
          <t>AUTOS DE METAL 3 TEAMSTERZ EN BLISTER</t>
        </is>
      </c>
      <c r="G2976" t="n">
        <v>1</v>
      </c>
      <c r="H2976" s="7" t="n">
        <v>6.9</v>
      </c>
      <c r="I2976" s="7" t="n">
        <v>0</v>
      </c>
      <c r="J2976" s="7" t="n">
        <v>0</v>
      </c>
      <c r="K2976" s="9" t="n">
        <v>0</v>
      </c>
      <c r="L2976" s="10" t="n">
        <v>4.1</v>
      </c>
      <c r="M2976" s="10" t="n">
        <v>1.43</v>
      </c>
      <c r="N2976" t="inlineStr">
        <is>
          <t>1</t>
        </is>
      </c>
      <c r="O2976" t="inlineStr">
        <is>
          <t xml:space="preserve">2 </t>
        </is>
      </c>
      <c r="P2976" t="inlineStr">
        <is>
          <t xml:space="preserve">247622  </t>
        </is>
      </c>
      <c r="Q2976" s="26" t="n">
        <v>6.9</v>
      </c>
      <c r="R2976" s="26">
        <f>Q2976*G2976</f>
        <v/>
      </c>
      <c r="S2976" t="n">
        <v>4.09</v>
      </c>
      <c r="T2976" s="18">
        <f>1 - V2976/S2976</f>
        <v/>
      </c>
      <c r="U2976" s="18" t="n">
        <v>0</v>
      </c>
      <c r="V2976" s="26" t="n">
        <v>4.09</v>
      </c>
      <c r="W2976" s="26">
        <f>V2976 - L2976</f>
        <v/>
      </c>
    </row>
    <row r="2977">
      <c r="A2977" s="11" t="n">
        <v>46232</v>
      </c>
      <c r="B2977" s="1" t="n">
        <v>20048</v>
      </c>
      <c r="C2977" s="1" t="inlineStr">
        <is>
          <t>027</t>
        </is>
      </c>
      <c r="D2977" s="1" t="inlineStr">
        <is>
          <t>324586</t>
        </is>
      </c>
      <c r="E2977" s="1" t="inlineStr">
        <is>
          <t xml:space="preserve">28194770       </t>
        </is>
      </c>
      <c r="F2977" s="5" t="inlineStr">
        <is>
          <t>AUTOS DE METAL 3 TEAMSTERZ EN BLISTER</t>
        </is>
      </c>
      <c r="G2977" t="n">
        <v>1</v>
      </c>
      <c r="H2977" s="7" t="n">
        <v>6.9</v>
      </c>
      <c r="I2977" s="7" t="n">
        <v>0</v>
      </c>
      <c r="J2977" s="7" t="n">
        <v>0</v>
      </c>
      <c r="K2977" s="9" t="n">
        <v>0</v>
      </c>
      <c r="L2977" s="10" t="n">
        <v>4.1</v>
      </c>
      <c r="M2977" s="10" t="n">
        <v>1.43</v>
      </c>
      <c r="N2977" t="inlineStr">
        <is>
          <t>1</t>
        </is>
      </c>
      <c r="O2977" t="inlineStr">
        <is>
          <t xml:space="preserve">2 </t>
        </is>
      </c>
      <c r="P2977" t="inlineStr">
        <is>
          <t xml:space="preserve">247622  </t>
        </is>
      </c>
      <c r="Q2977" s="26" t="n">
        <v>6.9</v>
      </c>
      <c r="R2977" s="26">
        <f>Q2977*G2977</f>
        <v/>
      </c>
      <c r="S2977" t="n">
        <v>4.09</v>
      </c>
      <c r="T2977" s="18">
        <f>1 - V2977/S2977</f>
        <v/>
      </c>
      <c r="U2977" s="18" t="n">
        <v>0</v>
      </c>
      <c r="V2977" s="26" t="n">
        <v>4.09</v>
      </c>
      <c r="W2977" s="26">
        <f>V2977 - L2977</f>
        <v/>
      </c>
    </row>
    <row r="2978">
      <c r="A2978" s="11" t="n">
        <v>46232</v>
      </c>
      <c r="B2978" s="1" t="n">
        <v>20048</v>
      </c>
      <c r="C2978" s="1" t="inlineStr">
        <is>
          <t>027</t>
        </is>
      </c>
      <c r="D2978" s="1" t="inlineStr">
        <is>
          <t>324586</t>
        </is>
      </c>
      <c r="E2978" s="1" t="inlineStr">
        <is>
          <t xml:space="preserve">28194770       </t>
        </is>
      </c>
      <c r="F2978" s="5" t="inlineStr">
        <is>
          <t>AUTOS DE METAL 3 TEAMSTERZ EN BLISTER</t>
        </is>
      </c>
      <c r="G2978" t="n">
        <v>1</v>
      </c>
      <c r="H2978" s="7" t="n">
        <v>6.9</v>
      </c>
      <c r="I2978" s="7" t="n">
        <v>0</v>
      </c>
      <c r="J2978" s="7" t="n">
        <v>0</v>
      </c>
      <c r="K2978" s="9" t="n">
        <v>0</v>
      </c>
      <c r="L2978" s="10" t="n">
        <v>4.1</v>
      </c>
      <c r="M2978" s="10" t="n">
        <v>1.43</v>
      </c>
      <c r="N2978" t="inlineStr">
        <is>
          <t>1</t>
        </is>
      </c>
      <c r="O2978" t="inlineStr">
        <is>
          <t xml:space="preserve">2 </t>
        </is>
      </c>
      <c r="P2978" t="inlineStr">
        <is>
          <t xml:space="preserve">247622  </t>
        </is>
      </c>
      <c r="Q2978" s="26" t="n">
        <v>6.9</v>
      </c>
      <c r="R2978" s="26">
        <f>Q2978*G2978</f>
        <v/>
      </c>
      <c r="S2978" t="n">
        <v>4.09</v>
      </c>
      <c r="T2978" s="18">
        <f>1 - V2978/S2978</f>
        <v/>
      </c>
      <c r="U2978" s="18" t="n">
        <v>0</v>
      </c>
      <c r="V2978" s="26" t="n">
        <v>4.09</v>
      </c>
      <c r="W2978" s="26">
        <f>V2978 - L2978</f>
        <v/>
      </c>
    </row>
    <row r="2979">
      <c r="A2979" s="11" t="n">
        <v>46232</v>
      </c>
      <c r="B2979" s="1" t="n">
        <v>20048</v>
      </c>
      <c r="C2979" s="1" t="inlineStr">
        <is>
          <t>800</t>
        </is>
      </c>
      <c r="D2979" s="1" t="inlineStr">
        <is>
          <t xml:space="preserve">5151  </t>
        </is>
      </c>
      <c r="E2979" s="1" t="inlineStr">
        <is>
          <t xml:space="preserve">31754675       </t>
        </is>
      </c>
      <c r="F2979" s="5" t="inlineStr">
        <is>
          <t>INFINITY NADO SERIE 6 STARTER PACK - 4 MODELOS</t>
        </is>
      </c>
      <c r="G2979" t="n">
        <v>1</v>
      </c>
      <c r="H2979" s="7" t="n">
        <v>49.9</v>
      </c>
      <c r="I2979" s="7" t="n">
        <v>0</v>
      </c>
      <c r="J2979" s="7" t="n">
        <v>0</v>
      </c>
      <c r="K2979" s="9" t="n">
        <v>0</v>
      </c>
      <c r="L2979" s="10" t="n">
        <v>29.6</v>
      </c>
      <c r="M2979" s="10" t="n">
        <v>1.43</v>
      </c>
      <c r="N2979" t="inlineStr">
        <is>
          <t>1</t>
        </is>
      </c>
      <c r="O2979" t="inlineStr">
        <is>
          <t>16</t>
        </is>
      </c>
      <c r="P2979" t="inlineStr">
        <is>
          <t xml:space="preserve">234984  </t>
        </is>
      </c>
      <c r="Q2979" s="26" t="n">
        <v>69.90000000000001</v>
      </c>
      <c r="R2979" s="26">
        <f>Q2979*G2979</f>
        <v/>
      </c>
      <c r="S2979" t="n">
        <v>41.47</v>
      </c>
      <c r="T2979" s="18">
        <f>1 - V2979/S2979</f>
        <v/>
      </c>
      <c r="U2979" s="18" t="n">
        <v>0.2861230329041489</v>
      </c>
      <c r="V2979" s="26" t="n">
        <v>31.71610169491525</v>
      </c>
      <c r="W2979" s="26">
        <f>V2979 - L2979</f>
        <v/>
      </c>
    </row>
    <row r="2980">
      <c r="A2980" s="11" t="n">
        <v>46232</v>
      </c>
      <c r="B2980" s="1" t="n">
        <v>20048</v>
      </c>
      <c r="C2980" s="1" t="inlineStr">
        <is>
          <t>801</t>
        </is>
      </c>
      <c r="D2980" s="1" t="inlineStr">
        <is>
          <t xml:space="preserve">7198  </t>
        </is>
      </c>
      <c r="E2980" s="1" t="inlineStr">
        <is>
          <t xml:space="preserve">28194781       </t>
        </is>
      </c>
      <c r="F2980" s="5" t="inlineStr">
        <is>
          <t>TROMPO BATALLA INFINITY NADO SERIE V CLASICA SURTI</t>
        </is>
      </c>
      <c r="G2980" t="n">
        <v>1</v>
      </c>
      <c r="H2980" s="7" t="n">
        <v>39.9</v>
      </c>
      <c r="I2980" s="7" t="n">
        <v>0</v>
      </c>
      <c r="J2980" s="7" t="n">
        <v>0</v>
      </c>
      <c r="K2980" s="9" t="n">
        <v>0</v>
      </c>
      <c r="L2980" s="10" t="n">
        <v>23.67</v>
      </c>
      <c r="M2980" s="10" t="n">
        <v>1.43</v>
      </c>
      <c r="N2980" t="inlineStr">
        <is>
          <t>1</t>
        </is>
      </c>
      <c r="O2980" t="inlineStr">
        <is>
          <t>16</t>
        </is>
      </c>
      <c r="P2980" t="inlineStr">
        <is>
          <t xml:space="preserve">248226  </t>
        </is>
      </c>
      <c r="Q2980" s="26" t="n">
        <v>59.9</v>
      </c>
      <c r="R2980" s="26">
        <f>Q2980*G2980</f>
        <v/>
      </c>
      <c r="S2980" t="n">
        <v>35.53</v>
      </c>
      <c r="T2980" s="18">
        <f>1 - V2980/S2980</f>
        <v/>
      </c>
      <c r="U2980" s="18" t="n">
        <v>0.333889816360601</v>
      </c>
      <c r="V2980" s="26" t="n">
        <v>25.36016949152542</v>
      </c>
      <c r="W2980" s="26">
        <f>V2980 - L2980</f>
        <v/>
      </c>
    </row>
    <row r="2981">
      <c r="A2981" s="11" t="n">
        <v>46232</v>
      </c>
      <c r="B2981" s="1" t="n">
        <v>20049</v>
      </c>
      <c r="C2981" s="1" t="inlineStr">
        <is>
          <t>017</t>
        </is>
      </c>
      <c r="D2981" s="1" t="inlineStr">
        <is>
          <t>240587</t>
        </is>
      </c>
      <c r="E2981" s="1" t="inlineStr">
        <is>
          <t xml:space="preserve">28194770       </t>
        </is>
      </c>
      <c r="F2981" s="5" t="inlineStr">
        <is>
          <t>AUTOS DE METAL 3 TEAMSTERZ EN BLISTER</t>
        </is>
      </c>
      <c r="G2981" t="n">
        <v>1</v>
      </c>
      <c r="H2981" s="7" t="n">
        <v>6.9</v>
      </c>
      <c r="I2981" s="7" t="n">
        <v>0.6899999999999999</v>
      </c>
      <c r="J2981" s="7" t="n">
        <v>0</v>
      </c>
      <c r="K2981" s="9" t="n">
        <v>0.6899999999999999</v>
      </c>
      <c r="L2981" s="10" t="n">
        <v>3.68</v>
      </c>
      <c r="M2981" s="10" t="n">
        <v>1.43</v>
      </c>
      <c r="N2981" t="inlineStr">
        <is>
          <t>1</t>
        </is>
      </c>
      <c r="O2981" t="inlineStr">
        <is>
          <t xml:space="preserve">3 </t>
        </is>
      </c>
      <c r="P2981" t="inlineStr">
        <is>
          <t xml:space="preserve">251234  </t>
        </is>
      </c>
      <c r="Q2981" s="26" t="n">
        <v>6.9</v>
      </c>
      <c r="R2981" s="26">
        <f>Q2981*G2981</f>
        <v/>
      </c>
      <c r="S2981" t="n">
        <v>4.09</v>
      </c>
      <c r="T2981" s="18">
        <f>1 - V2981/S2981</f>
        <v/>
      </c>
      <c r="U2981" s="18" t="n">
        <v>0</v>
      </c>
      <c r="V2981" s="26" t="n">
        <v>4.09</v>
      </c>
      <c r="W2981" s="26">
        <f>V2981 - L2981</f>
        <v/>
      </c>
    </row>
    <row r="2982">
      <c r="A2982" s="11" t="n">
        <v>46232</v>
      </c>
      <c r="B2982" s="1" t="n">
        <v>20049</v>
      </c>
      <c r="C2982" s="1" t="inlineStr">
        <is>
          <t>802</t>
        </is>
      </c>
      <c r="D2982" s="1" t="inlineStr">
        <is>
          <t xml:space="preserve">2356  </t>
        </is>
      </c>
      <c r="E2982" s="1" t="inlineStr">
        <is>
          <t xml:space="preserve">32457101       </t>
        </is>
      </c>
      <c r="F2982" s="5" t="inlineStr">
        <is>
          <t>TMZ BEAST MACHINES TRANSPORTE PESADO + 2 AUTOS SUR</t>
        </is>
      </c>
      <c r="G2982" t="n">
        <v>1</v>
      </c>
      <c r="H2982" s="7" t="n">
        <v>17.9</v>
      </c>
      <c r="I2982" s="7" t="n">
        <v>0</v>
      </c>
      <c r="J2982" s="7" t="n">
        <v>0</v>
      </c>
      <c r="K2982" s="9" t="n">
        <v>0</v>
      </c>
      <c r="L2982" s="10" t="n">
        <v>10.62</v>
      </c>
      <c r="M2982" s="10" t="n">
        <v>1.43</v>
      </c>
      <c r="N2982" t="inlineStr">
        <is>
          <t>1</t>
        </is>
      </c>
      <c r="O2982" t="inlineStr">
        <is>
          <t>16</t>
        </is>
      </c>
      <c r="P2982" t="inlineStr">
        <is>
          <t xml:space="preserve">0       </t>
        </is>
      </c>
      <c r="Q2982" s="26" t="n">
        <v>37.9</v>
      </c>
      <c r="R2982" s="26">
        <f>Q2982*G2982</f>
        <v/>
      </c>
      <c r="S2982" t="n">
        <v>22.48</v>
      </c>
      <c r="T2982" s="18">
        <f>1 - V2982/S2982</f>
        <v/>
      </c>
      <c r="U2982" s="18" t="n">
        <v>0.5277044854881267</v>
      </c>
      <c r="V2982" s="26" t="n">
        <v>12.88694915254237</v>
      </c>
      <c r="W2982" s="26">
        <f>V2982 - L2982</f>
        <v/>
      </c>
    </row>
    <row r="2983">
      <c r="A2983" s="11" t="n">
        <v>46232</v>
      </c>
      <c r="B2983" s="1" t="n">
        <v>20056</v>
      </c>
      <c r="C2983" s="1" t="inlineStr">
        <is>
          <t>022</t>
        </is>
      </c>
      <c r="D2983" s="1" t="inlineStr">
        <is>
          <t xml:space="preserve">55571 </t>
        </is>
      </c>
      <c r="E2983" s="1" t="inlineStr">
        <is>
          <t xml:space="preserve">31959959       </t>
        </is>
      </c>
      <c r="F2983" s="5" t="inlineStr">
        <is>
          <t>TMZ CAMBIA DE COLOR LANZADOR SPIN SPLASH + 1 AUTO</t>
        </is>
      </c>
      <c r="G2983" t="n">
        <v>1</v>
      </c>
      <c r="H2983" s="7" t="n">
        <v>14.9</v>
      </c>
      <c r="I2983" s="7" t="n">
        <v>0</v>
      </c>
      <c r="J2983" s="7" t="n">
        <v>0</v>
      </c>
      <c r="K2983" s="9" t="n">
        <v>0</v>
      </c>
      <c r="L2983" s="10" t="n">
        <v>8.84</v>
      </c>
      <c r="M2983" s="10" t="n">
        <v>1.43</v>
      </c>
      <c r="N2983" t="inlineStr">
        <is>
          <t>1</t>
        </is>
      </c>
      <c r="O2983" t="inlineStr">
        <is>
          <t xml:space="preserve">2 </t>
        </is>
      </c>
      <c r="P2983" t="inlineStr">
        <is>
          <t xml:space="preserve">246478  </t>
        </is>
      </c>
      <c r="Q2983" s="26" t="n">
        <v>39.9</v>
      </c>
      <c r="R2983" s="26">
        <f>Q2983*G2983</f>
        <v/>
      </c>
      <c r="S2983" t="n">
        <v>23.67</v>
      </c>
      <c r="T2983" s="18">
        <f>1 - V2983/S2983</f>
        <v/>
      </c>
      <c r="U2983" s="18" t="n">
        <v>0.6265664160401002</v>
      </c>
      <c r="V2983" s="26" t="n">
        <v>10.73050847457628</v>
      </c>
      <c r="W2983" s="26">
        <f>V2983 - L2983</f>
        <v/>
      </c>
    </row>
    <row r="2984">
      <c r="A2984" s="11" t="n">
        <v>46232</v>
      </c>
      <c r="B2984" s="1" t="n">
        <v>20056</v>
      </c>
      <c r="C2984" s="1" t="inlineStr">
        <is>
          <t>022</t>
        </is>
      </c>
      <c r="D2984" s="1" t="inlineStr">
        <is>
          <t xml:space="preserve">55571 </t>
        </is>
      </c>
      <c r="E2984" s="1" t="inlineStr">
        <is>
          <t xml:space="preserve">32457100       </t>
        </is>
      </c>
      <c r="F2984" s="5" t="inlineStr">
        <is>
          <t>TMZ BEAST MACHINES LANZADOR ESCORPION + 2 AUTOS</t>
        </is>
      </c>
      <c r="G2984" t="n">
        <v>1</v>
      </c>
      <c r="H2984" s="7" t="n">
        <v>12.9</v>
      </c>
      <c r="I2984" s="7" t="n">
        <v>0</v>
      </c>
      <c r="J2984" s="7" t="n">
        <v>0</v>
      </c>
      <c r="K2984" s="9" t="n">
        <v>0</v>
      </c>
      <c r="L2984" s="10" t="n">
        <v>7.65</v>
      </c>
      <c r="M2984" s="10" t="n">
        <v>1.43</v>
      </c>
      <c r="N2984" t="inlineStr">
        <is>
          <t>1</t>
        </is>
      </c>
      <c r="O2984" t="inlineStr">
        <is>
          <t xml:space="preserve">2 </t>
        </is>
      </c>
      <c r="P2984" t="inlineStr">
        <is>
          <t xml:space="preserve">246478  </t>
        </is>
      </c>
      <c r="Q2984" s="26" t="n">
        <v>34.9</v>
      </c>
      <c r="R2984" s="26">
        <f>Q2984*G2984</f>
        <v/>
      </c>
      <c r="S2984" t="n">
        <v>20.7</v>
      </c>
      <c r="T2984" s="18">
        <f>1 - V2984/S2984</f>
        <v/>
      </c>
      <c r="U2984" s="18" t="n">
        <v>0.6303724928366762</v>
      </c>
      <c r="V2984" s="26" t="n">
        <v>9.836610169491525</v>
      </c>
      <c r="W2984" s="26">
        <f>V2984 - L2984</f>
        <v/>
      </c>
    </row>
    <row r="2985">
      <c r="A2985" s="11" t="n">
        <v>46232</v>
      </c>
      <c r="B2985" s="1" t="n">
        <v>20056</v>
      </c>
      <c r="C2985" s="1" t="inlineStr">
        <is>
          <t>022</t>
        </is>
      </c>
      <c r="D2985" s="1" t="inlineStr">
        <is>
          <t xml:space="preserve">55603 </t>
        </is>
      </c>
      <c r="E2985" s="1" t="inlineStr">
        <is>
          <t xml:space="preserve">28194769       </t>
        </is>
      </c>
      <c r="F2985" s="5" t="inlineStr">
        <is>
          <t>AUTOS DE METAL 3 TEAMSTERZ PACK DE 2</t>
        </is>
      </c>
      <c r="G2985" t="n">
        <v>1</v>
      </c>
      <c r="H2985" s="7" t="n">
        <v>13.8</v>
      </c>
      <c r="I2985" s="7" t="n">
        <v>0</v>
      </c>
      <c r="J2985" s="7" t="n">
        <v>0</v>
      </c>
      <c r="K2985" s="9" t="n">
        <v>0</v>
      </c>
      <c r="L2985" s="10" t="n">
        <v>8.18</v>
      </c>
      <c r="M2985" s="10" t="n">
        <v>1.43</v>
      </c>
      <c r="N2985" t="inlineStr">
        <is>
          <t>1</t>
        </is>
      </c>
      <c r="O2985" t="inlineStr">
        <is>
          <t xml:space="preserve">2 </t>
        </is>
      </c>
      <c r="P2985" t="inlineStr">
        <is>
          <t xml:space="preserve">248464  </t>
        </is>
      </c>
      <c r="Q2985" s="26" t="n">
        <v>13.8</v>
      </c>
      <c r="R2985" s="26">
        <f>Q2985*G2985</f>
        <v/>
      </c>
      <c r="S2985" t="n">
        <v>8.19</v>
      </c>
      <c r="T2985" s="18">
        <f>1 - V2985/S2985</f>
        <v/>
      </c>
      <c r="U2985" s="18" t="n">
        <v>0</v>
      </c>
      <c r="V2985" s="26" t="n">
        <v>8.19</v>
      </c>
      <c r="W2985" s="26">
        <f>V2985 - L2985</f>
        <v/>
      </c>
    </row>
    <row r="2986">
      <c r="A2986" s="11" t="n">
        <v>46232</v>
      </c>
      <c r="B2986" s="1" t="n">
        <v>20056</v>
      </c>
      <c r="C2986" s="1" t="inlineStr">
        <is>
          <t>022</t>
        </is>
      </c>
      <c r="D2986" s="1" t="inlineStr">
        <is>
          <t xml:space="preserve">55603 </t>
        </is>
      </c>
      <c r="E2986" s="1" t="inlineStr">
        <is>
          <t xml:space="preserve">30141766       </t>
        </is>
      </c>
      <c r="F2986" s="5" t="inlineStr">
        <is>
          <t>TMZ BEAST MACHINES AUTOS DE METAL BLISTER X 1</t>
        </is>
      </c>
      <c r="G2986" t="n">
        <v>1</v>
      </c>
      <c r="H2986" s="7" t="n">
        <v>7.9</v>
      </c>
      <c r="I2986" s="7" t="n">
        <v>0</v>
      </c>
      <c r="J2986" s="7" t="n">
        <v>0</v>
      </c>
      <c r="K2986" s="9" t="n">
        <v>0</v>
      </c>
      <c r="L2986" s="10" t="n">
        <v>4.68</v>
      </c>
      <c r="M2986" s="10" t="n">
        <v>1.43</v>
      </c>
      <c r="N2986" t="inlineStr">
        <is>
          <t>1</t>
        </is>
      </c>
      <c r="O2986" t="inlineStr">
        <is>
          <t xml:space="preserve">2 </t>
        </is>
      </c>
      <c r="P2986" t="inlineStr">
        <is>
          <t xml:space="preserve">248464  </t>
        </is>
      </c>
      <c r="Q2986" s="26" t="n">
        <v>7.9</v>
      </c>
      <c r="R2986" s="26">
        <f>Q2986*G2986</f>
        <v/>
      </c>
      <c r="S2986" t="n">
        <v>4.69</v>
      </c>
      <c r="T2986" s="18">
        <f>1 - V2986/S2986</f>
        <v/>
      </c>
      <c r="U2986" s="18" t="n">
        <v>0</v>
      </c>
      <c r="V2986" s="26" t="n">
        <v>4.69</v>
      </c>
      <c r="W2986" s="26">
        <f>V2986 - L2986</f>
        <v/>
      </c>
    </row>
    <row r="2987">
      <c r="A2987" s="11" t="n">
        <v>46232</v>
      </c>
      <c r="B2987" s="1" t="n">
        <v>20057</v>
      </c>
      <c r="C2987" s="1" t="inlineStr">
        <is>
          <t>033</t>
        </is>
      </c>
      <c r="D2987" s="1" t="inlineStr">
        <is>
          <t xml:space="preserve">68573 </t>
        </is>
      </c>
      <c r="E2987" s="1" t="inlineStr">
        <is>
          <t xml:space="preserve">31754676       </t>
        </is>
      </c>
      <c r="F2987" s="5" t="inlineStr">
        <is>
          <t>INFINITY NADO SERIE 6 STD PACK LANZ ESPAD ANILLO M</t>
        </is>
      </c>
      <c r="G2987" t="n">
        <v>1</v>
      </c>
      <c r="H2987" s="7" t="n">
        <v>59.9</v>
      </c>
      <c r="I2987" s="7" t="n">
        <v>0</v>
      </c>
      <c r="J2987" s="7" t="n">
        <v>0</v>
      </c>
      <c r="K2987" s="9" t="n">
        <v>0</v>
      </c>
      <c r="L2987" s="10" t="n">
        <v>35.53</v>
      </c>
      <c r="M2987" s="10" t="n">
        <v>1.43</v>
      </c>
      <c r="N2987" t="inlineStr">
        <is>
          <t>1</t>
        </is>
      </c>
      <c r="O2987" t="inlineStr">
        <is>
          <t>16</t>
        </is>
      </c>
      <c r="P2987" t="inlineStr">
        <is>
          <t xml:space="preserve">248572  </t>
        </is>
      </c>
      <c r="Q2987" s="26" t="n">
        <v>79.90000000000001</v>
      </c>
      <c r="R2987" s="26">
        <f>Q2987*G2987</f>
        <v/>
      </c>
      <c r="S2987" t="n">
        <v>47.4</v>
      </c>
      <c r="T2987" s="18">
        <f>1 - V2987/S2987</f>
        <v/>
      </c>
      <c r="U2987" s="18" t="n">
        <v>0.2503128911138924</v>
      </c>
      <c r="V2987" s="26" t="n">
        <v>38.07203389830509</v>
      </c>
      <c r="W2987" s="26">
        <f>V2987 - L2987</f>
        <v/>
      </c>
    </row>
    <row r="2988">
      <c r="A2988" s="11" t="n">
        <v>46232</v>
      </c>
      <c r="B2988" s="1" t="n">
        <v>20057</v>
      </c>
      <c r="C2988" s="1" t="inlineStr">
        <is>
          <t>033</t>
        </is>
      </c>
      <c r="D2988" s="1" t="inlineStr">
        <is>
          <t xml:space="preserve">68608 </t>
        </is>
      </c>
      <c r="E2988" s="1" t="inlineStr">
        <is>
          <t xml:space="preserve">32457099       </t>
        </is>
      </c>
      <c r="F2988" s="5" t="inlineStr">
        <is>
          <t>TMZ BEAST MACHINES MONSTER JAWS A FRICCION BLISTER</t>
        </is>
      </c>
      <c r="G2988" t="n">
        <v>1</v>
      </c>
      <c r="H2988" s="7" t="n">
        <v>17.9</v>
      </c>
      <c r="I2988" s="7" t="n">
        <v>0</v>
      </c>
      <c r="J2988" s="7" t="n">
        <v>0</v>
      </c>
      <c r="K2988" s="9" t="n">
        <v>0</v>
      </c>
      <c r="L2988" s="10" t="n">
        <v>10.62</v>
      </c>
      <c r="M2988" s="10" t="n">
        <v>1.43</v>
      </c>
      <c r="N2988" t="inlineStr">
        <is>
          <t>1</t>
        </is>
      </c>
      <c r="O2988" t="inlineStr">
        <is>
          <t>16</t>
        </is>
      </c>
      <c r="P2988" t="inlineStr">
        <is>
          <t xml:space="preserve">248572  </t>
        </is>
      </c>
      <c r="Q2988" s="26" t="n">
        <v>19.9</v>
      </c>
      <c r="R2988" s="26">
        <f>Q2988*G2988</f>
        <v/>
      </c>
      <c r="S2988" t="n">
        <v>11.81</v>
      </c>
      <c r="T2988" s="18">
        <f>1 - V2988/S2988</f>
        <v/>
      </c>
      <c r="U2988" s="18" t="n">
        <v>0.1005025125628141</v>
      </c>
      <c r="V2988" s="26" t="n">
        <v>8.417118644067797</v>
      </c>
      <c r="W2988" s="26">
        <f>V2988 - L2988</f>
        <v/>
      </c>
    </row>
    <row r="2989">
      <c r="A2989" s="11" t="n">
        <v>46232</v>
      </c>
      <c r="B2989" s="1" t="n">
        <v>20057</v>
      </c>
      <c r="C2989" s="1" t="inlineStr">
        <is>
          <t>033</t>
        </is>
      </c>
      <c r="D2989" s="1" t="inlineStr">
        <is>
          <t xml:space="preserve">68638 </t>
        </is>
      </c>
      <c r="E2989" s="1" t="inlineStr">
        <is>
          <t xml:space="preserve">29235701       </t>
        </is>
      </c>
      <c r="F2989" s="5" t="inlineStr">
        <is>
          <t>INFINITY NADO TROMPO DE BATALLA - METAL EN CAJA</t>
        </is>
      </c>
      <c r="G2989" t="n">
        <v>1</v>
      </c>
      <c r="H2989" s="7" t="n">
        <v>29.9</v>
      </c>
      <c r="I2989" s="7" t="n">
        <v>0</v>
      </c>
      <c r="J2989" s="7" t="n">
        <v>0</v>
      </c>
      <c r="K2989" s="9" t="n">
        <v>0</v>
      </c>
      <c r="L2989" s="10" t="n">
        <v>17.74</v>
      </c>
      <c r="M2989" s="10" t="n">
        <v>1.43</v>
      </c>
      <c r="N2989" t="inlineStr">
        <is>
          <t>1</t>
        </is>
      </c>
      <c r="O2989" t="inlineStr">
        <is>
          <t xml:space="preserve">2 </t>
        </is>
      </c>
      <c r="P2989" t="inlineStr">
        <is>
          <t xml:space="preserve">248572  </t>
        </is>
      </c>
      <c r="Q2989" s="26" t="n">
        <v>39.9</v>
      </c>
      <c r="R2989" s="26">
        <f>Q2989*G2989</f>
        <v/>
      </c>
      <c r="S2989" t="n">
        <v>23.67</v>
      </c>
      <c r="T2989" s="18">
        <f>1 - V2989/S2989</f>
        <v/>
      </c>
      <c r="U2989" s="18" t="n">
        <v>0.2506265664160401</v>
      </c>
      <c r="V2989" s="26" t="n">
        <v>19.00423728813559</v>
      </c>
      <c r="W2989" s="26">
        <f>V2989 - L2989</f>
        <v/>
      </c>
    </row>
    <row r="2990">
      <c r="A2990" s="11" t="n">
        <v>46232</v>
      </c>
      <c r="B2990" s="1" t="n">
        <v>20057</v>
      </c>
      <c r="C2990" s="1" t="inlineStr">
        <is>
          <t>033</t>
        </is>
      </c>
      <c r="D2990" s="1" t="inlineStr">
        <is>
          <t xml:space="preserve">68638 </t>
        </is>
      </c>
      <c r="E2990" s="1" t="inlineStr">
        <is>
          <t xml:space="preserve">30232284       </t>
        </is>
      </c>
      <c r="F2990" s="5" t="inlineStr">
        <is>
          <t>INFINITY NADO TROMPO DE BATALLA - METAL C/PUNTA DE</t>
        </is>
      </c>
      <c r="G2990" t="n">
        <v>1</v>
      </c>
      <c r="H2990" s="7" t="n">
        <v>34.9</v>
      </c>
      <c r="I2990" s="7" t="n">
        <v>0</v>
      </c>
      <c r="J2990" s="7" t="n">
        <v>0</v>
      </c>
      <c r="K2990" s="9" t="n">
        <v>0</v>
      </c>
      <c r="L2990" s="10" t="n">
        <v>20.71</v>
      </c>
      <c r="M2990" s="10" t="n">
        <v>1.43</v>
      </c>
      <c r="N2990" t="inlineStr">
        <is>
          <t>1</t>
        </is>
      </c>
      <c r="O2990" t="inlineStr">
        <is>
          <t xml:space="preserve">2 </t>
        </is>
      </c>
      <c r="P2990" t="inlineStr">
        <is>
          <t xml:space="preserve">248572  </t>
        </is>
      </c>
      <c r="Q2990" s="26" t="n">
        <v>49.9</v>
      </c>
      <c r="R2990" s="26">
        <f>Q2990*G2990</f>
        <v/>
      </c>
      <c r="S2990" t="n">
        <v>29.6</v>
      </c>
      <c r="T2990" s="18">
        <f>1 - V2990/S2990</f>
        <v/>
      </c>
      <c r="U2990" s="18" t="n">
        <v>0.3006012024048096</v>
      </c>
      <c r="V2990" s="26" t="n">
        <v>22.18220338983051</v>
      </c>
      <c r="W2990" s="26">
        <f>V2990 - L2990</f>
        <v/>
      </c>
    </row>
    <row r="2991">
      <c r="A2991" s="11" t="n">
        <v>46232</v>
      </c>
      <c r="B2991" s="1" t="n">
        <v>20057</v>
      </c>
      <c r="C2991" s="1" t="inlineStr">
        <is>
          <t>033</t>
        </is>
      </c>
      <c r="D2991" s="1" t="inlineStr">
        <is>
          <t xml:space="preserve">68691 </t>
        </is>
      </c>
      <c r="E2991" s="1" t="inlineStr">
        <is>
          <t xml:space="preserve">28194770       </t>
        </is>
      </c>
      <c r="F2991" s="5" t="inlineStr">
        <is>
          <t>AUTOS DE METAL 3 TEAMSTERZ EN BLISTER</t>
        </is>
      </c>
      <c r="G2991" t="n">
        <v>1</v>
      </c>
      <c r="H2991" s="7" t="n">
        <v>6.9</v>
      </c>
      <c r="I2991" s="7" t="n">
        <v>0</v>
      </c>
      <c r="J2991" s="7" t="n">
        <v>0</v>
      </c>
      <c r="K2991" s="9" t="n">
        <v>0</v>
      </c>
      <c r="L2991" s="10" t="n">
        <v>4.1</v>
      </c>
      <c r="M2991" s="10" t="n">
        <v>1.43</v>
      </c>
      <c r="N2991" t="inlineStr">
        <is>
          <t>1</t>
        </is>
      </c>
      <c r="O2991" t="inlineStr">
        <is>
          <t>16</t>
        </is>
      </c>
      <c r="P2991" t="inlineStr">
        <is>
          <t xml:space="preserve">248572  </t>
        </is>
      </c>
      <c r="Q2991" s="26" t="n">
        <v>6.9</v>
      </c>
      <c r="R2991" s="26">
        <f>Q2991*G2991</f>
        <v/>
      </c>
      <c r="S2991" t="n">
        <v>4.09</v>
      </c>
      <c r="T2991" s="18">
        <f>1 - V2991/S2991</f>
        <v/>
      </c>
      <c r="U2991" s="18" t="n">
        <v>0</v>
      </c>
      <c r="V2991" s="26" t="n">
        <v>4.09</v>
      </c>
      <c r="W2991" s="26">
        <f>V2991 - L2991</f>
        <v/>
      </c>
    </row>
    <row r="2992">
      <c r="A2992" s="11" t="n">
        <v>46232</v>
      </c>
      <c r="B2992" s="1" t="n">
        <v>20057</v>
      </c>
      <c r="C2992" s="1" t="inlineStr">
        <is>
          <t>832</t>
        </is>
      </c>
      <c r="D2992" s="1" t="inlineStr">
        <is>
          <t xml:space="preserve">7676  </t>
        </is>
      </c>
      <c r="E2992" s="1" t="inlineStr">
        <is>
          <t xml:space="preserve">32457103       </t>
        </is>
      </c>
      <c r="F2992" s="5" t="inlineStr">
        <is>
          <t>TMZ BEAST MACHINES MONSTER JAWS A FRICCION PACK DE</t>
        </is>
      </c>
      <c r="G2992" t="n">
        <v>1</v>
      </c>
      <c r="H2992" s="7" t="n">
        <v>32.9</v>
      </c>
      <c r="I2992" s="7" t="n">
        <v>3.29</v>
      </c>
      <c r="J2992" s="7" t="n">
        <v>0</v>
      </c>
      <c r="K2992" s="9" t="n">
        <v>3.29</v>
      </c>
      <c r="L2992" s="10" t="n">
        <v>17.56</v>
      </c>
      <c r="M2992" s="10" t="n">
        <v>1.43</v>
      </c>
      <c r="N2992" t="inlineStr">
        <is>
          <t>1</t>
        </is>
      </c>
      <c r="O2992" t="inlineStr">
        <is>
          <t>16</t>
        </is>
      </c>
      <c r="P2992" t="inlineStr">
        <is>
          <t xml:space="preserve">0       </t>
        </is>
      </c>
      <c r="Q2992" s="26" t="n">
        <v>37.9</v>
      </c>
      <c r="R2992" s="26">
        <f>Q2992*G2992</f>
        <v/>
      </c>
      <c r="S2992" t="n">
        <v>22.48</v>
      </c>
      <c r="T2992" s="18">
        <f>1 - V2992/S2992</f>
        <v/>
      </c>
      <c r="U2992" s="18" t="n">
        <v>0.1319261213720316</v>
      </c>
      <c r="V2992" s="26" t="n">
        <v>16.75101694915254</v>
      </c>
      <c r="W2992" s="26">
        <f>V2992 - L2992</f>
        <v/>
      </c>
    </row>
    <row r="2993">
      <c r="A2993" s="11" t="n">
        <v>46232</v>
      </c>
      <c r="B2993" s="1" t="n">
        <v>20057</v>
      </c>
      <c r="C2993" s="1" t="inlineStr">
        <is>
          <t>862</t>
        </is>
      </c>
      <c r="D2993" s="1" t="inlineStr">
        <is>
          <t xml:space="preserve">8313  </t>
        </is>
      </c>
      <c r="E2993" s="1" t="inlineStr">
        <is>
          <t xml:space="preserve">32457100       </t>
        </is>
      </c>
      <c r="F2993" s="5" t="inlineStr">
        <is>
          <t>TMZ BEAST MACHINES LANZADOR ESCORPION + 2 AUTOS</t>
        </is>
      </c>
      <c r="G2993" t="n">
        <v>1</v>
      </c>
      <c r="H2993" s="7" t="n">
        <v>12.9</v>
      </c>
      <c r="I2993" s="7" t="n">
        <v>0</v>
      </c>
      <c r="J2993" s="7" t="n">
        <v>0</v>
      </c>
      <c r="K2993" s="9" t="n">
        <v>0</v>
      </c>
      <c r="L2993" s="10" t="n">
        <v>7.65</v>
      </c>
      <c r="M2993" s="10" t="n">
        <v>1.43</v>
      </c>
      <c r="N2993" t="inlineStr">
        <is>
          <t>1</t>
        </is>
      </c>
      <c r="O2993" t="inlineStr">
        <is>
          <t>16</t>
        </is>
      </c>
      <c r="P2993" t="inlineStr">
        <is>
          <t xml:space="preserve">0       </t>
        </is>
      </c>
      <c r="Q2993" s="26" t="n">
        <v>34.9</v>
      </c>
      <c r="R2993" s="26">
        <f>Q2993*G2993</f>
        <v/>
      </c>
      <c r="S2993" t="n">
        <v>20.7</v>
      </c>
      <c r="T2993" s="18">
        <f>1 - V2993/S2993</f>
        <v/>
      </c>
      <c r="U2993" s="18" t="n">
        <v>0.6303724928366762</v>
      </c>
      <c r="V2993" s="26" t="n">
        <v>9.836610169491525</v>
      </c>
      <c r="W2993" s="26">
        <f>V2993 - L2993</f>
        <v/>
      </c>
    </row>
    <row r="2994">
      <c r="A2994" s="11" t="n">
        <v>46232</v>
      </c>
      <c r="B2994" s="1" t="n">
        <v>20058</v>
      </c>
      <c r="C2994" s="1" t="inlineStr">
        <is>
          <t>038</t>
        </is>
      </c>
      <c r="D2994" s="1" t="inlineStr">
        <is>
          <t>210973</t>
        </is>
      </c>
      <c r="E2994" s="1" t="inlineStr">
        <is>
          <t xml:space="preserve">28194770       </t>
        </is>
      </c>
      <c r="F2994" s="5" t="inlineStr">
        <is>
          <t>AUTOS DE METAL 3 TEAMSTERZ EN BLISTER</t>
        </is>
      </c>
      <c r="G2994" t="n">
        <v>1</v>
      </c>
      <c r="H2994" s="7" t="n">
        <v>6.9</v>
      </c>
      <c r="I2994" s="7" t="n">
        <v>0</v>
      </c>
      <c r="J2994" s="7" t="n">
        <v>0</v>
      </c>
      <c r="K2994" s="9" t="n">
        <v>0</v>
      </c>
      <c r="L2994" s="10" t="n">
        <v>4.1</v>
      </c>
      <c r="M2994" s="10" t="n">
        <v>1.43</v>
      </c>
      <c r="N2994" t="inlineStr">
        <is>
          <t>1</t>
        </is>
      </c>
      <c r="O2994" t="inlineStr">
        <is>
          <t>16</t>
        </is>
      </c>
      <c r="P2994" t="inlineStr">
        <is>
          <t xml:space="preserve">252211  </t>
        </is>
      </c>
      <c r="Q2994" s="26" t="n">
        <v>6.9</v>
      </c>
      <c r="R2994" s="26">
        <f>Q2994*G2994</f>
        <v/>
      </c>
      <c r="S2994" t="n">
        <v>4.09</v>
      </c>
      <c r="T2994" s="18">
        <f>1 - V2994/S2994</f>
        <v/>
      </c>
      <c r="U2994" s="18" t="n">
        <v>0</v>
      </c>
      <c r="V2994" s="26" t="n">
        <v>4.09</v>
      </c>
      <c r="W2994" s="26">
        <f>V2994 - L2994</f>
        <v/>
      </c>
    </row>
    <row r="2995">
      <c r="A2995" s="11" t="n">
        <v>46232</v>
      </c>
      <c r="B2995" s="1" t="n">
        <v>20058</v>
      </c>
      <c r="C2995" s="1" t="inlineStr">
        <is>
          <t>038</t>
        </is>
      </c>
      <c r="D2995" s="1" t="inlineStr">
        <is>
          <t>211010</t>
        </is>
      </c>
      <c r="E2995" s="1" t="inlineStr">
        <is>
          <t xml:space="preserve">30141766       </t>
        </is>
      </c>
      <c r="F2995" s="5" t="inlineStr">
        <is>
          <t>TMZ BEAST MACHINES AUTOS DE METAL BLISTER X 1</t>
        </is>
      </c>
      <c r="G2995" t="n">
        <v>1</v>
      </c>
      <c r="H2995" s="7" t="n">
        <v>7.9</v>
      </c>
      <c r="I2995" s="7" t="n">
        <v>0</v>
      </c>
      <c r="J2995" s="7" t="n">
        <v>0</v>
      </c>
      <c r="K2995" s="9" t="n">
        <v>0</v>
      </c>
      <c r="L2995" s="10" t="n">
        <v>4.68</v>
      </c>
      <c r="M2995" s="10" t="n">
        <v>1.43</v>
      </c>
      <c r="N2995" t="inlineStr">
        <is>
          <t>1</t>
        </is>
      </c>
      <c r="O2995" t="inlineStr">
        <is>
          <t>16</t>
        </is>
      </c>
      <c r="P2995" t="inlineStr">
        <is>
          <t xml:space="preserve">250305  </t>
        </is>
      </c>
      <c r="Q2995" s="26" t="n">
        <v>7.9</v>
      </c>
      <c r="R2995" s="26">
        <f>Q2995*G2995</f>
        <v/>
      </c>
      <c r="S2995" t="n">
        <v>4.69</v>
      </c>
      <c r="T2995" s="18">
        <f>1 - V2995/S2995</f>
        <v/>
      </c>
      <c r="U2995" s="18" t="n">
        <v>0</v>
      </c>
      <c r="V2995" s="26" t="n">
        <v>4.69</v>
      </c>
      <c r="W2995" s="26">
        <f>V2995 - L2995</f>
        <v/>
      </c>
    </row>
    <row r="2996">
      <c r="A2996" s="11" t="n">
        <v>46232</v>
      </c>
      <c r="B2996" s="1" t="n">
        <v>20058</v>
      </c>
      <c r="C2996" s="1" t="inlineStr">
        <is>
          <t>038</t>
        </is>
      </c>
      <c r="D2996" s="1" t="inlineStr">
        <is>
          <t>211038</t>
        </is>
      </c>
      <c r="E2996" s="1" t="inlineStr">
        <is>
          <t xml:space="preserve">28194770       </t>
        </is>
      </c>
      <c r="F2996" s="5" t="inlineStr">
        <is>
          <t>AUTOS DE METAL 3 TEAMSTERZ EN BLISTER</t>
        </is>
      </c>
      <c r="G2996" t="n">
        <v>1</v>
      </c>
      <c r="H2996" s="7" t="n">
        <v>6.9</v>
      </c>
      <c r="I2996" s="7" t="n">
        <v>0</v>
      </c>
      <c r="J2996" s="7" t="n">
        <v>0</v>
      </c>
      <c r="K2996" s="9" t="n">
        <v>0</v>
      </c>
      <c r="L2996" s="10" t="n">
        <v>4.1</v>
      </c>
      <c r="M2996" s="10" t="n">
        <v>1.43</v>
      </c>
      <c r="N2996" t="inlineStr">
        <is>
          <t>1</t>
        </is>
      </c>
      <c r="O2996" t="inlineStr">
        <is>
          <t>16</t>
        </is>
      </c>
      <c r="P2996" t="inlineStr">
        <is>
          <t xml:space="preserve">250305  </t>
        </is>
      </c>
      <c r="Q2996" s="26" t="n">
        <v>6.9</v>
      </c>
      <c r="R2996" s="26">
        <f>Q2996*G2996</f>
        <v/>
      </c>
      <c r="S2996" t="n">
        <v>4.09</v>
      </c>
      <c r="T2996" s="18">
        <f>1 - V2996/S2996</f>
        <v/>
      </c>
      <c r="U2996" s="18" t="n">
        <v>0</v>
      </c>
      <c r="V2996" s="26" t="n">
        <v>4.09</v>
      </c>
      <c r="W2996" s="26">
        <f>V2996 - L2996</f>
        <v/>
      </c>
    </row>
    <row r="2997">
      <c r="A2997" s="11" t="n">
        <v>46232</v>
      </c>
      <c r="B2997" s="1" t="n">
        <v>20058</v>
      </c>
      <c r="C2997" s="1" t="inlineStr">
        <is>
          <t>039</t>
        </is>
      </c>
      <c r="D2997" s="1" t="inlineStr">
        <is>
          <t>232193</t>
        </is>
      </c>
      <c r="E2997" s="1" t="inlineStr">
        <is>
          <t xml:space="preserve">28194770       </t>
        </is>
      </c>
      <c r="F2997" s="5" t="inlineStr">
        <is>
          <t>AUTOS DE METAL 3 TEAMSTERZ EN BLISTER</t>
        </is>
      </c>
      <c r="G2997" t="n">
        <v>1</v>
      </c>
      <c r="H2997" s="7" t="n">
        <v>6.9</v>
      </c>
      <c r="I2997" s="7" t="n">
        <v>0</v>
      </c>
      <c r="J2997" s="7" t="n">
        <v>0</v>
      </c>
      <c r="K2997" s="9" t="n">
        <v>0</v>
      </c>
      <c r="L2997" s="10" t="n">
        <v>4.1</v>
      </c>
      <c r="M2997" s="10" t="n">
        <v>1.43</v>
      </c>
      <c r="N2997" t="inlineStr">
        <is>
          <t>1</t>
        </is>
      </c>
      <c r="O2997" t="inlineStr">
        <is>
          <t xml:space="preserve">2 </t>
        </is>
      </c>
      <c r="P2997" t="inlineStr">
        <is>
          <t xml:space="preserve">236703  </t>
        </is>
      </c>
      <c r="Q2997" s="26" t="n">
        <v>6.9</v>
      </c>
      <c r="R2997" s="26">
        <f>Q2997*G2997</f>
        <v/>
      </c>
      <c r="S2997" t="n">
        <v>4.09</v>
      </c>
      <c r="T2997" s="18">
        <f>1 - V2997/S2997</f>
        <v/>
      </c>
      <c r="U2997" s="18" t="n">
        <v>0</v>
      </c>
      <c r="V2997" s="26" t="n">
        <v>4.09</v>
      </c>
      <c r="W2997" s="26">
        <f>V2997 - L2997</f>
        <v/>
      </c>
    </row>
    <row r="2998">
      <c r="A2998" s="11" t="n">
        <v>46232</v>
      </c>
      <c r="B2998" s="1" t="n">
        <v>20058</v>
      </c>
      <c r="C2998" s="1" t="inlineStr">
        <is>
          <t>039</t>
        </is>
      </c>
      <c r="D2998" s="1" t="inlineStr">
        <is>
          <t>232193</t>
        </is>
      </c>
      <c r="E2998" s="1" t="inlineStr">
        <is>
          <t xml:space="preserve">28194770       </t>
        </is>
      </c>
      <c r="F2998" s="5" t="inlineStr">
        <is>
          <t>AUTOS DE METAL 3 TEAMSTERZ EN BLISTER</t>
        </is>
      </c>
      <c r="G2998" t="n">
        <v>1</v>
      </c>
      <c r="H2998" s="7" t="n">
        <v>6.9</v>
      </c>
      <c r="I2998" s="7" t="n">
        <v>0</v>
      </c>
      <c r="J2998" s="7" t="n">
        <v>0</v>
      </c>
      <c r="K2998" s="9" t="n">
        <v>0</v>
      </c>
      <c r="L2998" s="10" t="n">
        <v>4.1</v>
      </c>
      <c r="M2998" s="10" t="n">
        <v>1.43</v>
      </c>
      <c r="N2998" t="inlineStr">
        <is>
          <t>1</t>
        </is>
      </c>
      <c r="O2998" t="inlineStr">
        <is>
          <t xml:space="preserve">2 </t>
        </is>
      </c>
      <c r="P2998" t="inlineStr">
        <is>
          <t xml:space="preserve">236703  </t>
        </is>
      </c>
      <c r="Q2998" s="26" t="n">
        <v>6.9</v>
      </c>
      <c r="R2998" s="26">
        <f>Q2998*G2998</f>
        <v/>
      </c>
      <c r="S2998" t="n">
        <v>4.09</v>
      </c>
      <c r="T2998" s="18">
        <f>1 - V2998/S2998</f>
        <v/>
      </c>
      <c r="U2998" s="18" t="n">
        <v>0</v>
      </c>
      <c r="V2998" s="26" t="n">
        <v>4.09</v>
      </c>
      <c r="W2998" s="26">
        <f>V2998 - L2998</f>
        <v/>
      </c>
    </row>
    <row r="2999">
      <c r="A2999" s="11" t="n">
        <v>46232</v>
      </c>
      <c r="B2999" s="1" t="n">
        <v>20058</v>
      </c>
      <c r="C2999" s="1" t="inlineStr">
        <is>
          <t>039</t>
        </is>
      </c>
      <c r="D2999" s="1" t="inlineStr">
        <is>
          <t>232193</t>
        </is>
      </c>
      <c r="E2999" s="1" t="inlineStr">
        <is>
          <t xml:space="preserve">30141766       </t>
        </is>
      </c>
      <c r="F2999" s="5" t="inlineStr">
        <is>
          <t>TMZ BEAST MACHINES AUTOS DE METAL BLISTER X 1</t>
        </is>
      </c>
      <c r="G2999" t="n">
        <v>1</v>
      </c>
      <c r="H2999" s="7" t="n">
        <v>7.9</v>
      </c>
      <c r="I2999" s="7" t="n">
        <v>0</v>
      </c>
      <c r="J2999" s="7" t="n">
        <v>0</v>
      </c>
      <c r="K2999" s="9" t="n">
        <v>0</v>
      </c>
      <c r="L2999" s="10" t="n">
        <v>4.68</v>
      </c>
      <c r="M2999" s="10" t="n">
        <v>1.43</v>
      </c>
      <c r="N2999" t="inlineStr">
        <is>
          <t>1</t>
        </is>
      </c>
      <c r="O2999" t="inlineStr">
        <is>
          <t xml:space="preserve">2 </t>
        </is>
      </c>
      <c r="P2999" t="inlineStr">
        <is>
          <t xml:space="preserve">236703  </t>
        </is>
      </c>
      <c r="Q2999" s="26" t="n">
        <v>7.9</v>
      </c>
      <c r="R2999" s="26">
        <f>Q2999*G2999</f>
        <v/>
      </c>
      <c r="S2999" t="n">
        <v>4.69</v>
      </c>
      <c r="T2999" s="18">
        <f>1 - V2999/S2999</f>
        <v/>
      </c>
      <c r="U2999" s="18" t="n">
        <v>0</v>
      </c>
      <c r="V2999" s="26" t="n">
        <v>4.69</v>
      </c>
      <c r="W2999" s="26">
        <f>V2999 - L2999</f>
        <v/>
      </c>
    </row>
    <row r="3000">
      <c r="A3000" s="11" t="n">
        <v>46232</v>
      </c>
      <c r="B3000" s="1" t="n">
        <v>20058</v>
      </c>
      <c r="C3000" s="1" t="inlineStr">
        <is>
          <t>039</t>
        </is>
      </c>
      <c r="D3000" s="1" t="inlineStr">
        <is>
          <t>232236</t>
        </is>
      </c>
      <c r="E3000" s="1" t="inlineStr">
        <is>
          <t xml:space="preserve">28194769       </t>
        </is>
      </c>
      <c r="F3000" s="5" t="inlineStr">
        <is>
          <t>AUTOS DE METAL 3 TEAMSTERZ PACK DE 2</t>
        </is>
      </c>
      <c r="G3000" t="n">
        <v>1</v>
      </c>
      <c r="H3000" s="7" t="n">
        <v>13.8</v>
      </c>
      <c r="I3000" s="7" t="n">
        <v>0</v>
      </c>
      <c r="J3000" s="7" t="n">
        <v>0</v>
      </c>
      <c r="K3000" s="9" t="n">
        <v>0</v>
      </c>
      <c r="L3000" s="10" t="n">
        <v>8.18</v>
      </c>
      <c r="M3000" s="10" t="n">
        <v>1.43</v>
      </c>
      <c r="N3000" t="inlineStr">
        <is>
          <t>1</t>
        </is>
      </c>
      <c r="O3000" t="inlineStr">
        <is>
          <t>16</t>
        </is>
      </c>
      <c r="P3000" t="inlineStr">
        <is>
          <t xml:space="preserve">246156  </t>
        </is>
      </c>
      <c r="Q3000" s="26" t="n">
        <v>13.8</v>
      </c>
      <c r="R3000" s="26">
        <f>Q3000*G3000</f>
        <v/>
      </c>
      <c r="S3000" t="n">
        <v>8.19</v>
      </c>
      <c r="T3000" s="18">
        <f>1 - V3000/S3000</f>
        <v/>
      </c>
      <c r="U3000" s="18" t="n">
        <v>0</v>
      </c>
      <c r="V3000" s="26" t="n">
        <v>8.19</v>
      </c>
      <c r="W3000" s="26">
        <f>V3000 - L3000</f>
        <v/>
      </c>
    </row>
    <row r="3001">
      <c r="A3001" s="11" t="n">
        <v>46232</v>
      </c>
      <c r="B3001" s="1" t="n">
        <v>20058</v>
      </c>
      <c r="C3001" s="1" t="inlineStr">
        <is>
          <t>197</t>
        </is>
      </c>
      <c r="D3001" s="1" t="inlineStr">
        <is>
          <t>171077</t>
        </is>
      </c>
      <c r="E3001" s="1" t="inlineStr">
        <is>
          <t xml:space="preserve">28194768       </t>
        </is>
      </c>
      <c r="F3001" s="5" t="inlineStr">
        <is>
          <t>AUTO COLOR CHANGE TEAMSTERZ SURTIDO</t>
        </is>
      </c>
      <c r="G3001" t="n">
        <v>1</v>
      </c>
      <c r="H3001" s="7" t="n">
        <v>14.9</v>
      </c>
      <c r="I3001" s="7" t="n">
        <v>0</v>
      </c>
      <c r="J3001" s="7" t="n">
        <v>0</v>
      </c>
      <c r="K3001" s="9" t="n">
        <v>0</v>
      </c>
      <c r="L3001" s="10" t="n">
        <v>8.84</v>
      </c>
      <c r="M3001" s="10" t="n">
        <v>1.43</v>
      </c>
      <c r="N3001" t="inlineStr">
        <is>
          <t>1</t>
        </is>
      </c>
      <c r="O3001" t="inlineStr">
        <is>
          <t xml:space="preserve">2 </t>
        </is>
      </c>
      <c r="P3001" t="inlineStr">
        <is>
          <t xml:space="preserve">246156  </t>
        </is>
      </c>
      <c r="Q3001" s="26" t="n">
        <v>14.9</v>
      </c>
      <c r="R3001" s="26">
        <f>Q3001*G3001</f>
        <v/>
      </c>
      <c r="S3001" t="n">
        <v>8.84</v>
      </c>
      <c r="T3001" s="18">
        <f>1 - V3001/S3001</f>
        <v/>
      </c>
      <c r="U3001" s="18" t="n">
        <v>0</v>
      </c>
      <c r="V3001" s="26" t="n">
        <v>8.84</v>
      </c>
      <c r="W3001" s="26">
        <f>V3001 - L3001</f>
        <v/>
      </c>
    </row>
    <row r="3002">
      <c r="A3002" s="11" t="n">
        <v>46232</v>
      </c>
      <c r="B3002" s="1" t="n">
        <v>20058</v>
      </c>
      <c r="C3002" s="1" t="inlineStr">
        <is>
          <t>197</t>
        </is>
      </c>
      <c r="D3002" s="1" t="inlineStr">
        <is>
          <t>171137</t>
        </is>
      </c>
      <c r="E3002" s="1" t="inlineStr">
        <is>
          <t xml:space="preserve">28194769       </t>
        </is>
      </c>
      <c r="F3002" s="5" t="inlineStr">
        <is>
          <t>AUTOS DE METAL 3 TEAMSTERZ PACK DE 2</t>
        </is>
      </c>
      <c r="G3002" t="n">
        <v>1</v>
      </c>
      <c r="H3002" s="7" t="n">
        <v>13.8</v>
      </c>
      <c r="I3002" s="7" t="n">
        <v>0</v>
      </c>
      <c r="J3002" s="7" t="n">
        <v>0</v>
      </c>
      <c r="K3002" s="9" t="n">
        <v>0</v>
      </c>
      <c r="L3002" s="10" t="n">
        <v>8.18</v>
      </c>
      <c r="M3002" s="10" t="n">
        <v>1.43</v>
      </c>
      <c r="N3002" t="inlineStr">
        <is>
          <t>1</t>
        </is>
      </c>
      <c r="O3002" t="inlineStr">
        <is>
          <t>16</t>
        </is>
      </c>
      <c r="P3002" t="inlineStr">
        <is>
          <t xml:space="preserve">249068  </t>
        </is>
      </c>
      <c r="Q3002" s="26" t="n">
        <v>13.8</v>
      </c>
      <c r="R3002" s="26">
        <f>Q3002*G3002</f>
        <v/>
      </c>
      <c r="S3002" t="n">
        <v>8.19</v>
      </c>
      <c r="T3002" s="18">
        <f>1 - V3002/S3002</f>
        <v/>
      </c>
      <c r="U3002" s="18" t="n">
        <v>0</v>
      </c>
      <c r="V3002" s="26" t="n">
        <v>8.19</v>
      </c>
      <c r="W3002" s="26">
        <f>V3002 - L3002</f>
        <v/>
      </c>
    </row>
    <row r="3003">
      <c r="A3003" s="11" t="n">
        <v>46232</v>
      </c>
      <c r="B3003" s="1" t="n">
        <v>20058</v>
      </c>
      <c r="C3003" s="1" t="inlineStr">
        <is>
          <t>197</t>
        </is>
      </c>
      <c r="D3003" s="1" t="inlineStr">
        <is>
          <t>171137</t>
        </is>
      </c>
      <c r="E3003" s="1" t="inlineStr">
        <is>
          <t xml:space="preserve">28194769       </t>
        </is>
      </c>
      <c r="F3003" s="5" t="inlineStr">
        <is>
          <t>AUTOS DE METAL 3 TEAMSTERZ PACK DE 2</t>
        </is>
      </c>
      <c r="G3003" t="n">
        <v>1</v>
      </c>
      <c r="H3003" s="7" t="n">
        <v>13.8</v>
      </c>
      <c r="I3003" s="7" t="n">
        <v>0</v>
      </c>
      <c r="J3003" s="7" t="n">
        <v>0</v>
      </c>
      <c r="K3003" s="9" t="n">
        <v>0</v>
      </c>
      <c r="L3003" s="10" t="n">
        <v>8.18</v>
      </c>
      <c r="M3003" s="10" t="n">
        <v>1.43</v>
      </c>
      <c r="N3003" t="inlineStr">
        <is>
          <t>1</t>
        </is>
      </c>
      <c r="O3003" t="inlineStr">
        <is>
          <t>16</t>
        </is>
      </c>
      <c r="P3003" t="inlineStr">
        <is>
          <t xml:space="preserve">249068  </t>
        </is>
      </c>
      <c r="Q3003" s="26" t="n">
        <v>13.8</v>
      </c>
      <c r="R3003" s="26">
        <f>Q3003*G3003</f>
        <v/>
      </c>
      <c r="S3003" t="n">
        <v>8.19</v>
      </c>
      <c r="T3003" s="18">
        <f>1 - V3003/S3003</f>
        <v/>
      </c>
      <c r="U3003" s="18" t="n">
        <v>0</v>
      </c>
      <c r="V3003" s="26" t="n">
        <v>8.19</v>
      </c>
      <c r="W3003" s="26">
        <f>V3003 - L3003</f>
        <v/>
      </c>
    </row>
    <row r="3004">
      <c r="A3004" s="11" t="n">
        <v>46232</v>
      </c>
      <c r="B3004" s="1" t="n">
        <v>20058</v>
      </c>
      <c r="C3004" s="1" t="inlineStr">
        <is>
          <t>507</t>
        </is>
      </c>
      <c r="D3004" s="1" t="inlineStr">
        <is>
          <t xml:space="preserve">9580  </t>
        </is>
      </c>
      <c r="E3004" s="1" t="inlineStr">
        <is>
          <t xml:space="preserve">28194781       </t>
        </is>
      </c>
      <c r="F3004" s="5" t="inlineStr">
        <is>
          <t>TROMPO BATALLA INFINITY NADO SERIE V CLASICA SURTI</t>
        </is>
      </c>
      <c r="G3004" t="n">
        <v>1</v>
      </c>
      <c r="H3004" s="7" t="n">
        <v>39.9</v>
      </c>
      <c r="I3004" s="7" t="n">
        <v>3.99</v>
      </c>
      <c r="J3004" s="7" t="n">
        <v>0</v>
      </c>
      <c r="K3004" s="9" t="n">
        <v>3.99</v>
      </c>
      <c r="L3004" s="10" t="n">
        <v>21.3</v>
      </c>
      <c r="M3004" s="10" t="n">
        <v>1.43</v>
      </c>
      <c r="N3004" t="inlineStr">
        <is>
          <t>1</t>
        </is>
      </c>
      <c r="O3004" t="inlineStr">
        <is>
          <t>16</t>
        </is>
      </c>
      <c r="P3004" t="inlineStr">
        <is>
          <t xml:space="preserve">99659   </t>
        </is>
      </c>
      <c r="Q3004" s="26" t="n">
        <v>59.9</v>
      </c>
      <c r="R3004" s="26">
        <f>Q3004*G3004</f>
        <v/>
      </c>
      <c r="S3004" t="n">
        <v>35.53</v>
      </c>
      <c r="T3004" s="18">
        <f>1 - V3004/S3004</f>
        <v/>
      </c>
      <c r="U3004" s="18" t="n">
        <v>0.333889816360601</v>
      </c>
      <c r="V3004" s="26" t="n">
        <v>25.36016949152542</v>
      </c>
      <c r="W3004" s="26">
        <f>V3004 - L3004</f>
        <v/>
      </c>
    </row>
    <row r="3005">
      <c r="A3005" s="11" t="n">
        <v>46232</v>
      </c>
      <c r="B3005" s="1" t="n">
        <v>20062</v>
      </c>
      <c r="C3005" s="1" t="inlineStr">
        <is>
          <t>014</t>
        </is>
      </c>
      <c r="D3005" s="1" t="inlineStr">
        <is>
          <t>229223</t>
        </is>
      </c>
      <c r="E3005" s="1" t="inlineStr">
        <is>
          <t xml:space="preserve">34840556       </t>
        </is>
      </c>
      <c r="F3005" s="5" t="inlineStr">
        <is>
          <t>TMZ BEAST MACH. TRANSPORT DINO +ACCS</t>
        </is>
      </c>
      <c r="G3005" t="n">
        <v>1</v>
      </c>
      <c r="H3005" s="7" t="n">
        <v>59.9</v>
      </c>
      <c r="I3005" s="7" t="n">
        <v>0</v>
      </c>
      <c r="J3005" s="7" t="n">
        <v>0</v>
      </c>
      <c r="K3005" s="9" t="n">
        <v>0</v>
      </c>
      <c r="L3005" s="10" t="n">
        <v>35.53</v>
      </c>
      <c r="M3005" s="10" t="n">
        <v>1.43</v>
      </c>
      <c r="N3005" t="inlineStr">
        <is>
          <t>1</t>
        </is>
      </c>
      <c r="O3005" t="inlineStr">
        <is>
          <t>16</t>
        </is>
      </c>
      <c r="P3005" t="inlineStr">
        <is>
          <t xml:space="preserve">247900  </t>
        </is>
      </c>
      <c r="Q3005" s="26" t="n">
        <v>79.90000000000002</v>
      </c>
      <c r="R3005" s="26">
        <f>Q3005*G3005</f>
        <v/>
      </c>
      <c r="S3005" t="n">
        <v>47.4</v>
      </c>
      <c r="T3005" s="18">
        <f>1 - V3005/S3005</f>
        <v/>
      </c>
      <c r="U3005" s="18" t="n">
        <v>0.2503128911138924</v>
      </c>
      <c r="V3005" s="26" t="n">
        <v>38.07203389830509</v>
      </c>
      <c r="W3005" s="26">
        <f>V3005 - L3005</f>
        <v/>
      </c>
    </row>
    <row r="3006">
      <c r="A3006" s="11" t="n">
        <v>46232</v>
      </c>
      <c r="B3006" s="1" t="n">
        <v>20062</v>
      </c>
      <c r="C3006" s="1" t="inlineStr">
        <is>
          <t>038</t>
        </is>
      </c>
      <c r="D3006" s="1" t="inlineStr">
        <is>
          <t>174576</t>
        </is>
      </c>
      <c r="E3006" s="1" t="inlineStr">
        <is>
          <t xml:space="preserve">31754676       </t>
        </is>
      </c>
      <c r="F3006" s="5" t="inlineStr">
        <is>
          <t>INFINITY NADO SERIE 6 STD PACK LANZ ESPAD ANILLO M</t>
        </is>
      </c>
      <c r="G3006" t="n">
        <v>1</v>
      </c>
      <c r="H3006" s="7" t="n">
        <v>59.9</v>
      </c>
      <c r="I3006" s="7" t="n">
        <v>5.99</v>
      </c>
      <c r="J3006" s="7" t="n">
        <v>0</v>
      </c>
      <c r="K3006" s="9" t="n">
        <v>5.99</v>
      </c>
      <c r="L3006" s="10" t="n">
        <v>31.98</v>
      </c>
      <c r="M3006" s="10" t="n">
        <v>1.43</v>
      </c>
      <c r="N3006" t="inlineStr">
        <is>
          <t>1</t>
        </is>
      </c>
      <c r="O3006" t="inlineStr">
        <is>
          <t xml:space="preserve">3 </t>
        </is>
      </c>
      <c r="P3006" t="inlineStr">
        <is>
          <t xml:space="preserve">243976  </t>
        </is>
      </c>
      <c r="Q3006" s="26" t="n">
        <v>79.90000000000001</v>
      </c>
      <c r="R3006" s="26">
        <f>Q3006*G3006</f>
        <v/>
      </c>
      <c r="S3006" t="n">
        <v>47.4</v>
      </c>
      <c r="T3006" s="18">
        <f>1 - V3006/S3006</f>
        <v/>
      </c>
      <c r="U3006" s="18" t="n">
        <v>0.2503128911138924</v>
      </c>
      <c r="V3006" s="26" t="n">
        <v>38.07203389830509</v>
      </c>
      <c r="W3006" s="26">
        <f>V3006 - L3006</f>
        <v/>
      </c>
    </row>
    <row r="3007">
      <c r="A3007" s="11" t="n">
        <v>46232</v>
      </c>
      <c r="B3007" s="1" t="n">
        <v>20066</v>
      </c>
      <c r="C3007" s="1" t="inlineStr">
        <is>
          <t>057</t>
        </is>
      </c>
      <c r="D3007" s="1" t="inlineStr">
        <is>
          <t>494977</t>
        </is>
      </c>
      <c r="E3007" s="1" t="inlineStr">
        <is>
          <t xml:space="preserve">28194770       </t>
        </is>
      </c>
      <c r="F3007" s="5" t="inlineStr">
        <is>
          <t>AUTOS DE METAL 3 TEAMSTERZ EN BLISTER</t>
        </is>
      </c>
      <c r="G3007" t="n">
        <v>1</v>
      </c>
      <c r="H3007" s="7" t="n">
        <v>6.9</v>
      </c>
      <c r="I3007" s="7" t="n">
        <v>0</v>
      </c>
      <c r="J3007" s="7" t="n">
        <v>0</v>
      </c>
      <c r="K3007" s="9" t="n">
        <v>0</v>
      </c>
      <c r="L3007" s="10" t="n">
        <v>4.1</v>
      </c>
      <c r="M3007" s="10" t="n">
        <v>1.43</v>
      </c>
      <c r="N3007" t="inlineStr">
        <is>
          <t>1</t>
        </is>
      </c>
      <c r="O3007" t="inlineStr">
        <is>
          <t xml:space="preserve">2 </t>
        </is>
      </c>
      <c r="P3007" t="inlineStr">
        <is>
          <t xml:space="preserve">247448  </t>
        </is>
      </c>
      <c r="Q3007" s="26" t="n">
        <v>6.9</v>
      </c>
      <c r="R3007" s="26">
        <f>Q3007*G3007</f>
        <v/>
      </c>
      <c r="S3007" t="n">
        <v>4.09</v>
      </c>
      <c r="T3007" s="18">
        <f>1 - V3007/S3007</f>
        <v/>
      </c>
      <c r="U3007" s="18" t="n">
        <v>0</v>
      </c>
      <c r="V3007" s="26" t="n">
        <v>4.09</v>
      </c>
      <c r="W3007" s="26">
        <f>V3007 - L3007</f>
        <v/>
      </c>
    </row>
    <row r="3008">
      <c r="A3008" s="11" t="n">
        <v>46232</v>
      </c>
      <c r="B3008" s="1" t="n">
        <v>20066</v>
      </c>
      <c r="C3008" s="1" t="inlineStr">
        <is>
          <t>057</t>
        </is>
      </c>
      <c r="D3008" s="1" t="inlineStr">
        <is>
          <t>494977</t>
        </is>
      </c>
      <c r="E3008" s="1" t="inlineStr">
        <is>
          <t xml:space="preserve">28194770       </t>
        </is>
      </c>
      <c r="F3008" s="5" t="inlineStr">
        <is>
          <t>AUTOS DE METAL 3 TEAMSTERZ EN BLISTER</t>
        </is>
      </c>
      <c r="G3008" t="n">
        <v>1</v>
      </c>
      <c r="H3008" s="7" t="n">
        <v>6.9</v>
      </c>
      <c r="I3008" s="7" t="n">
        <v>0</v>
      </c>
      <c r="J3008" s="7" t="n">
        <v>0</v>
      </c>
      <c r="K3008" s="9" t="n">
        <v>0</v>
      </c>
      <c r="L3008" s="10" t="n">
        <v>4.1</v>
      </c>
      <c r="M3008" s="10" t="n">
        <v>1.43</v>
      </c>
      <c r="N3008" t="inlineStr">
        <is>
          <t>1</t>
        </is>
      </c>
      <c r="O3008" t="inlineStr">
        <is>
          <t xml:space="preserve">2 </t>
        </is>
      </c>
      <c r="P3008" t="inlineStr">
        <is>
          <t xml:space="preserve">247448  </t>
        </is>
      </c>
      <c r="Q3008" s="26" t="n">
        <v>6.9</v>
      </c>
      <c r="R3008" s="26">
        <f>Q3008*G3008</f>
        <v/>
      </c>
      <c r="S3008" t="n">
        <v>4.09</v>
      </c>
      <c r="T3008" s="18">
        <f>1 - V3008/S3008</f>
        <v/>
      </c>
      <c r="U3008" s="18" t="n">
        <v>0</v>
      </c>
      <c r="V3008" s="26" t="n">
        <v>4.09</v>
      </c>
      <c r="W3008" s="26">
        <f>V3008 - L3008</f>
        <v/>
      </c>
    </row>
    <row r="3009">
      <c r="A3009" s="11" t="n">
        <v>46232</v>
      </c>
      <c r="B3009" s="1" t="n">
        <v>20066</v>
      </c>
      <c r="C3009" s="1" t="inlineStr">
        <is>
          <t>058</t>
        </is>
      </c>
      <c r="D3009" s="1" t="inlineStr">
        <is>
          <t xml:space="preserve">61390 </t>
        </is>
      </c>
      <c r="E3009" s="1" t="inlineStr">
        <is>
          <t xml:space="preserve">28194770       </t>
        </is>
      </c>
      <c r="F3009" s="5" t="inlineStr">
        <is>
          <t>AUTOS DE METAL 3 TEAMSTERZ EN BLISTER</t>
        </is>
      </c>
      <c r="G3009" t="n">
        <v>1</v>
      </c>
      <c r="H3009" s="7" t="n">
        <v>6.9</v>
      </c>
      <c r="I3009" s="7" t="n">
        <v>0</v>
      </c>
      <c r="J3009" s="7" t="n">
        <v>0</v>
      </c>
      <c r="K3009" s="9" t="n">
        <v>0</v>
      </c>
      <c r="L3009" s="10" t="n">
        <v>4.1</v>
      </c>
      <c r="M3009" s="10" t="n">
        <v>1.43</v>
      </c>
      <c r="N3009" t="inlineStr">
        <is>
          <t>1</t>
        </is>
      </c>
      <c r="O3009" t="inlineStr">
        <is>
          <t xml:space="preserve">2 </t>
        </is>
      </c>
      <c r="P3009" t="inlineStr">
        <is>
          <t xml:space="preserve">44050   </t>
        </is>
      </c>
      <c r="Q3009" s="26" t="n">
        <v>6.9</v>
      </c>
      <c r="R3009" s="26">
        <f>Q3009*G3009</f>
        <v/>
      </c>
      <c r="S3009" t="n">
        <v>4.09</v>
      </c>
      <c r="T3009" s="18">
        <f>1 - V3009/S3009</f>
        <v/>
      </c>
      <c r="U3009" s="18" t="n">
        <v>0</v>
      </c>
      <c r="V3009" s="26" t="n">
        <v>4.09</v>
      </c>
      <c r="W3009" s="26">
        <f>V3009 - L3009</f>
        <v/>
      </c>
    </row>
    <row r="3010">
      <c r="A3010" s="11" t="n">
        <v>46232</v>
      </c>
      <c r="B3010" s="1" t="n">
        <v>20066</v>
      </c>
      <c r="C3010" s="1" t="inlineStr">
        <is>
          <t>058</t>
        </is>
      </c>
      <c r="D3010" s="1" t="inlineStr">
        <is>
          <t xml:space="preserve">61426 </t>
        </is>
      </c>
      <c r="E3010" s="1" t="inlineStr">
        <is>
          <t xml:space="preserve">28194770       </t>
        </is>
      </c>
      <c r="F3010" s="5" t="inlineStr">
        <is>
          <t>AUTOS DE METAL 3 TEAMSTERZ EN BLISTER</t>
        </is>
      </c>
      <c r="G3010" t="n">
        <v>1</v>
      </c>
      <c r="H3010" s="7" t="n">
        <v>6.9</v>
      </c>
      <c r="I3010" s="7" t="n">
        <v>0</v>
      </c>
      <c r="J3010" s="7" t="n">
        <v>0</v>
      </c>
      <c r="K3010" s="9" t="n">
        <v>0</v>
      </c>
      <c r="L3010" s="10" t="n">
        <v>4.1</v>
      </c>
      <c r="M3010" s="10" t="n">
        <v>1.43</v>
      </c>
      <c r="N3010" t="inlineStr">
        <is>
          <t>1</t>
        </is>
      </c>
      <c r="O3010" t="inlineStr">
        <is>
          <t xml:space="preserve">2 </t>
        </is>
      </c>
      <c r="P3010" t="inlineStr">
        <is>
          <t xml:space="preserve">44050   </t>
        </is>
      </c>
      <c r="Q3010" s="26" t="n">
        <v>6.9</v>
      </c>
      <c r="R3010" s="26">
        <f>Q3010*G3010</f>
        <v/>
      </c>
      <c r="S3010" t="n">
        <v>4.09</v>
      </c>
      <c r="T3010" s="18">
        <f>1 - V3010/S3010</f>
        <v/>
      </c>
      <c r="U3010" s="18" t="n">
        <v>0</v>
      </c>
      <c r="V3010" s="26" t="n">
        <v>4.09</v>
      </c>
      <c r="W3010" s="26">
        <f>V3010 - L3010</f>
        <v/>
      </c>
    </row>
    <row r="3011">
      <c r="A3011" s="11" t="n">
        <v>46232</v>
      </c>
      <c r="B3011" s="1" t="n">
        <v>20066</v>
      </c>
      <c r="C3011" s="1" t="inlineStr">
        <is>
          <t>058</t>
        </is>
      </c>
      <c r="D3011" s="1" t="inlineStr">
        <is>
          <t xml:space="preserve">61439 </t>
        </is>
      </c>
      <c r="E3011" s="1" t="inlineStr">
        <is>
          <t xml:space="preserve">28194770       </t>
        </is>
      </c>
      <c r="F3011" s="5" t="inlineStr">
        <is>
          <t>AUTOS DE METAL 3 TEAMSTERZ EN BLISTER</t>
        </is>
      </c>
      <c r="G3011" t="n">
        <v>1</v>
      </c>
      <c r="H3011" s="7" t="n">
        <v>6.9</v>
      </c>
      <c r="I3011" s="7" t="n">
        <v>0</v>
      </c>
      <c r="J3011" s="7" t="n">
        <v>0</v>
      </c>
      <c r="K3011" s="9" t="n">
        <v>0</v>
      </c>
      <c r="L3011" s="10" t="n">
        <v>4.1</v>
      </c>
      <c r="M3011" s="10" t="n">
        <v>1.43</v>
      </c>
      <c r="N3011" t="inlineStr">
        <is>
          <t>1</t>
        </is>
      </c>
      <c r="O3011" t="inlineStr">
        <is>
          <t>16</t>
        </is>
      </c>
      <c r="P3011" t="inlineStr">
        <is>
          <t xml:space="preserve">44050   </t>
        </is>
      </c>
      <c r="Q3011" s="26" t="n">
        <v>6.9</v>
      </c>
      <c r="R3011" s="26">
        <f>Q3011*G3011</f>
        <v/>
      </c>
      <c r="S3011" t="n">
        <v>4.09</v>
      </c>
      <c r="T3011" s="18">
        <f>1 - V3011/S3011</f>
        <v/>
      </c>
      <c r="U3011" s="18" t="n">
        <v>0</v>
      </c>
      <c r="V3011" s="26" t="n">
        <v>4.09</v>
      </c>
      <c r="W3011" s="26">
        <f>V3011 - L3011</f>
        <v/>
      </c>
    </row>
    <row r="3012">
      <c r="A3012" s="11" t="n">
        <v>46232</v>
      </c>
      <c r="B3012" s="1" t="n">
        <v>20066</v>
      </c>
      <c r="C3012" s="1" t="inlineStr">
        <is>
          <t>059</t>
        </is>
      </c>
      <c r="D3012" s="1" t="inlineStr">
        <is>
          <t xml:space="preserve">21073 </t>
        </is>
      </c>
      <c r="E3012" s="1" t="inlineStr">
        <is>
          <t xml:space="preserve">28194770       </t>
        </is>
      </c>
      <c r="F3012" s="5" t="inlineStr">
        <is>
          <t>AUTOS DE METAL 3 TEAMSTERZ EN BLISTER</t>
        </is>
      </c>
      <c r="G3012" t="n">
        <v>1</v>
      </c>
      <c r="H3012" s="7" t="n">
        <v>6.9</v>
      </c>
      <c r="I3012" s="7" t="n">
        <v>0</v>
      </c>
      <c r="J3012" s="7" t="n">
        <v>0</v>
      </c>
      <c r="K3012" s="9" t="n">
        <v>0</v>
      </c>
      <c r="L3012" s="10" t="n">
        <v>4.1</v>
      </c>
      <c r="M3012" s="10" t="n">
        <v>1.43</v>
      </c>
      <c r="N3012" t="inlineStr">
        <is>
          <t>1</t>
        </is>
      </c>
      <c r="O3012" t="inlineStr">
        <is>
          <t>16</t>
        </is>
      </c>
      <c r="P3012" t="inlineStr">
        <is>
          <t xml:space="preserve">12745   </t>
        </is>
      </c>
      <c r="Q3012" s="26" t="n">
        <v>6.9</v>
      </c>
      <c r="R3012" s="26">
        <f>Q3012*G3012</f>
        <v/>
      </c>
      <c r="S3012" t="n">
        <v>4.09</v>
      </c>
      <c r="T3012" s="18">
        <f>1 - V3012/S3012</f>
        <v/>
      </c>
      <c r="U3012" s="18" t="n">
        <v>0</v>
      </c>
      <c r="V3012" s="26" t="n">
        <v>4.09</v>
      </c>
      <c r="W3012" s="26">
        <f>V3012 - L3012</f>
        <v/>
      </c>
    </row>
    <row r="3013">
      <c r="A3013" s="11" t="n">
        <v>46232</v>
      </c>
      <c r="B3013" s="1" t="n">
        <v>20066</v>
      </c>
      <c r="C3013" s="1" t="inlineStr">
        <is>
          <t>061</t>
        </is>
      </c>
      <c r="D3013" s="1" t="inlineStr">
        <is>
          <t xml:space="preserve">36718 </t>
        </is>
      </c>
      <c r="E3013" s="1" t="inlineStr">
        <is>
          <t xml:space="preserve">28194767       </t>
        </is>
      </c>
      <c r="F3013" s="5" t="inlineStr">
        <is>
          <t>CAMIONES TEAMSTERZ DE EMERGENCIA</t>
        </is>
      </c>
      <c r="G3013" t="n">
        <v>1</v>
      </c>
      <c r="H3013" s="7" t="n">
        <v>17.9</v>
      </c>
      <c r="I3013" s="7" t="n">
        <v>0</v>
      </c>
      <c r="J3013" s="7" t="n">
        <v>0</v>
      </c>
      <c r="K3013" s="9" t="n">
        <v>0</v>
      </c>
      <c r="L3013" s="10" t="n">
        <v>10.62</v>
      </c>
      <c r="M3013" s="10" t="n">
        <v>1.43</v>
      </c>
      <c r="N3013" t="inlineStr">
        <is>
          <t>1</t>
        </is>
      </c>
      <c r="O3013" t="inlineStr">
        <is>
          <t>16</t>
        </is>
      </c>
      <c r="P3013" t="inlineStr">
        <is>
          <t xml:space="preserve">43276   </t>
        </is>
      </c>
      <c r="Q3013" s="26" t="n">
        <v>17.9</v>
      </c>
      <c r="R3013" s="26">
        <f>Q3013*G3013</f>
        <v/>
      </c>
      <c r="S3013" t="n">
        <v>10.62</v>
      </c>
      <c r="T3013" s="18">
        <f>1 - V3013/S3013</f>
        <v/>
      </c>
      <c r="U3013" s="18" t="n">
        <v>0</v>
      </c>
      <c r="V3013" s="26" t="n">
        <v>10.62</v>
      </c>
      <c r="W3013" s="26">
        <f>V3013 - L3013</f>
        <v/>
      </c>
    </row>
    <row r="3014">
      <c r="A3014" s="11" t="n">
        <v>46232</v>
      </c>
      <c r="B3014" s="1" t="n">
        <v>20066</v>
      </c>
      <c r="C3014" s="1" t="inlineStr">
        <is>
          <t>061</t>
        </is>
      </c>
      <c r="D3014" s="1" t="inlineStr">
        <is>
          <t xml:space="preserve">36718 </t>
        </is>
      </c>
      <c r="E3014" s="1" t="inlineStr">
        <is>
          <t xml:space="preserve">28194770       </t>
        </is>
      </c>
      <c r="F3014" s="5" t="inlineStr">
        <is>
          <t>AUTOS DE METAL 3 TEAMSTERZ EN BLISTER</t>
        </is>
      </c>
      <c r="G3014" t="n">
        <v>1</v>
      </c>
      <c r="H3014" s="7" t="n">
        <v>6.9</v>
      </c>
      <c r="I3014" s="7" t="n">
        <v>0</v>
      </c>
      <c r="J3014" s="7" t="n">
        <v>0</v>
      </c>
      <c r="K3014" s="9" t="n">
        <v>0</v>
      </c>
      <c r="L3014" s="10" t="n">
        <v>4.1</v>
      </c>
      <c r="M3014" s="10" t="n">
        <v>1.43</v>
      </c>
      <c r="N3014" t="inlineStr">
        <is>
          <t>1</t>
        </is>
      </c>
      <c r="O3014" t="inlineStr">
        <is>
          <t>16</t>
        </is>
      </c>
      <c r="P3014" t="inlineStr">
        <is>
          <t xml:space="preserve">43276   </t>
        </is>
      </c>
      <c r="Q3014" s="26" t="n">
        <v>6.9</v>
      </c>
      <c r="R3014" s="26">
        <f>Q3014*G3014</f>
        <v/>
      </c>
      <c r="S3014" t="n">
        <v>4.09</v>
      </c>
      <c r="T3014" s="18">
        <f>1 - V3014/S3014</f>
        <v/>
      </c>
      <c r="U3014" s="18" t="n">
        <v>0</v>
      </c>
      <c r="V3014" s="26" t="n">
        <v>4.09</v>
      </c>
      <c r="W3014" s="26">
        <f>V3014 - L3014</f>
        <v/>
      </c>
    </row>
    <row r="3015">
      <c r="A3015" s="11" t="n">
        <v>46232</v>
      </c>
      <c r="B3015" s="1" t="n">
        <v>20066</v>
      </c>
      <c r="C3015" s="1" t="inlineStr">
        <is>
          <t>061</t>
        </is>
      </c>
      <c r="D3015" s="1" t="inlineStr">
        <is>
          <t xml:space="preserve">36718 </t>
        </is>
      </c>
      <c r="E3015" s="1" t="inlineStr">
        <is>
          <t xml:space="preserve">28194770       </t>
        </is>
      </c>
      <c r="F3015" s="5" t="inlineStr">
        <is>
          <t>AUTOS DE METAL 3 TEAMSTERZ EN BLISTER</t>
        </is>
      </c>
      <c r="G3015" t="n">
        <v>1</v>
      </c>
      <c r="H3015" s="7" t="n">
        <v>6.9</v>
      </c>
      <c r="I3015" s="7" t="n">
        <v>0</v>
      </c>
      <c r="J3015" s="7" t="n">
        <v>0</v>
      </c>
      <c r="K3015" s="9" t="n">
        <v>0</v>
      </c>
      <c r="L3015" s="10" t="n">
        <v>4.1</v>
      </c>
      <c r="M3015" s="10" t="n">
        <v>1.43</v>
      </c>
      <c r="N3015" t="inlineStr">
        <is>
          <t>1</t>
        </is>
      </c>
      <c r="O3015" t="inlineStr">
        <is>
          <t>16</t>
        </is>
      </c>
      <c r="P3015" t="inlineStr">
        <is>
          <t xml:space="preserve">43276   </t>
        </is>
      </c>
      <c r="Q3015" s="26" t="n">
        <v>6.9</v>
      </c>
      <c r="R3015" s="26">
        <f>Q3015*G3015</f>
        <v/>
      </c>
      <c r="S3015" t="n">
        <v>4.09</v>
      </c>
      <c r="T3015" s="18">
        <f>1 - V3015/S3015</f>
        <v/>
      </c>
      <c r="U3015" s="18" t="n">
        <v>0</v>
      </c>
      <c r="V3015" s="26" t="n">
        <v>4.09</v>
      </c>
      <c r="W3015" s="26">
        <f>V3015 - L3015</f>
        <v/>
      </c>
    </row>
    <row r="3016">
      <c r="A3016" s="11" t="n">
        <v>46232</v>
      </c>
      <c r="B3016" s="1" t="n">
        <v>20066</v>
      </c>
      <c r="C3016" s="1" t="inlineStr">
        <is>
          <t>831</t>
        </is>
      </c>
      <c r="D3016" s="1" t="inlineStr">
        <is>
          <t xml:space="preserve">7441  </t>
        </is>
      </c>
      <c r="E3016" s="1" t="inlineStr">
        <is>
          <t xml:space="preserve">28194770       </t>
        </is>
      </c>
      <c r="F3016" s="5" t="inlineStr">
        <is>
          <t>AUTOS DE METAL 3 TEAMSTERZ EN BLISTER</t>
        </is>
      </c>
      <c r="G3016" t="n">
        <v>1</v>
      </c>
      <c r="H3016" s="7" t="n">
        <v>6.9</v>
      </c>
      <c r="I3016" s="7" t="n">
        <v>0</v>
      </c>
      <c r="J3016" s="7" t="n">
        <v>0</v>
      </c>
      <c r="K3016" s="9" t="n">
        <v>0</v>
      </c>
      <c r="L3016" s="10" t="n">
        <v>4.1</v>
      </c>
      <c r="M3016" s="10" t="n">
        <v>1.43</v>
      </c>
      <c r="N3016" t="inlineStr">
        <is>
          <t>1</t>
        </is>
      </c>
      <c r="O3016" t="inlineStr">
        <is>
          <t>16</t>
        </is>
      </c>
      <c r="P3016" t="inlineStr">
        <is>
          <t xml:space="preserve">0       </t>
        </is>
      </c>
      <c r="Q3016" s="26" t="n">
        <v>6.9</v>
      </c>
      <c r="R3016" s="26">
        <f>Q3016*G3016</f>
        <v/>
      </c>
      <c r="S3016" t="n">
        <v>4.09</v>
      </c>
      <c r="T3016" s="18">
        <f>1 - V3016/S3016</f>
        <v/>
      </c>
      <c r="U3016" s="18" t="n">
        <v>0</v>
      </c>
      <c r="V3016" s="26" t="n">
        <v>4.09</v>
      </c>
      <c r="W3016" s="26">
        <f>V3016 - L3016</f>
        <v/>
      </c>
    </row>
    <row r="3017">
      <c r="A3017" s="11" t="n">
        <v>46232</v>
      </c>
      <c r="B3017" s="1" t="n">
        <v>20066</v>
      </c>
      <c r="C3017" s="1" t="inlineStr">
        <is>
          <t>831</t>
        </is>
      </c>
      <c r="D3017" s="1" t="inlineStr">
        <is>
          <t xml:space="preserve">7449  </t>
        </is>
      </c>
      <c r="E3017" s="1" t="inlineStr">
        <is>
          <t xml:space="preserve">28194767       </t>
        </is>
      </c>
      <c r="F3017" s="5" t="inlineStr">
        <is>
          <t>CAMIONES TEAMSTERZ DE EMERGENCIA</t>
        </is>
      </c>
      <c r="G3017" t="n">
        <v>1</v>
      </c>
      <c r="H3017" s="7" t="n">
        <v>17.9</v>
      </c>
      <c r="I3017" s="7" t="n">
        <v>0</v>
      </c>
      <c r="J3017" s="7" t="n">
        <v>0</v>
      </c>
      <c r="K3017" s="9" t="n">
        <v>0</v>
      </c>
      <c r="L3017" s="10" t="n">
        <v>10.62</v>
      </c>
      <c r="M3017" s="10" t="n">
        <v>1.43</v>
      </c>
      <c r="N3017" t="inlineStr">
        <is>
          <t>1</t>
        </is>
      </c>
      <c r="O3017" t="inlineStr">
        <is>
          <t>16</t>
        </is>
      </c>
      <c r="P3017" t="inlineStr">
        <is>
          <t xml:space="preserve">247448  </t>
        </is>
      </c>
      <c r="Q3017" s="26" t="n">
        <v>17.9</v>
      </c>
      <c r="R3017" s="26">
        <f>Q3017*G3017</f>
        <v/>
      </c>
      <c r="S3017" t="n">
        <v>10.62</v>
      </c>
      <c r="T3017" s="18">
        <f>1 - V3017/S3017</f>
        <v/>
      </c>
      <c r="U3017" s="18" t="n">
        <v>0</v>
      </c>
      <c r="V3017" s="26" t="n">
        <v>10.62</v>
      </c>
      <c r="W3017" s="26">
        <f>V3017 - L3017</f>
        <v/>
      </c>
    </row>
    <row r="3018">
      <c r="A3018" s="11" t="n">
        <v>46232</v>
      </c>
      <c r="B3018" s="1" t="n">
        <v>20066</v>
      </c>
      <c r="C3018" s="1" t="inlineStr">
        <is>
          <t>832</t>
        </is>
      </c>
      <c r="D3018" s="1" t="inlineStr">
        <is>
          <t xml:space="preserve">3608  </t>
        </is>
      </c>
      <c r="E3018" s="1" t="inlineStr">
        <is>
          <t xml:space="preserve">28194769       </t>
        </is>
      </c>
      <c r="F3018" s="5" t="inlineStr">
        <is>
          <t>AUTOS DE METAL 3 TEAMSTERZ PACK DE 2</t>
        </is>
      </c>
      <c r="G3018" t="n">
        <v>1</v>
      </c>
      <c r="H3018" s="7" t="n">
        <v>13.8</v>
      </c>
      <c r="I3018" s="7" t="n">
        <v>0</v>
      </c>
      <c r="J3018" s="7" t="n">
        <v>0</v>
      </c>
      <c r="K3018" s="9" t="n">
        <v>0</v>
      </c>
      <c r="L3018" s="10" t="n">
        <v>8.18</v>
      </c>
      <c r="M3018" s="10" t="n">
        <v>1.43</v>
      </c>
      <c r="N3018" t="inlineStr">
        <is>
          <t>1</t>
        </is>
      </c>
      <c r="O3018" t="inlineStr">
        <is>
          <t>16</t>
        </is>
      </c>
      <c r="P3018" t="inlineStr">
        <is>
          <t xml:space="preserve">247447  </t>
        </is>
      </c>
      <c r="Q3018" s="26" t="n">
        <v>13.8</v>
      </c>
      <c r="R3018" s="26">
        <f>Q3018*G3018</f>
        <v/>
      </c>
      <c r="S3018" t="n">
        <v>8.19</v>
      </c>
      <c r="T3018" s="18">
        <f>1 - V3018/S3018</f>
        <v/>
      </c>
      <c r="U3018" s="18" t="n">
        <v>0</v>
      </c>
      <c r="V3018" s="26" t="n">
        <v>8.19</v>
      </c>
      <c r="W3018" s="26">
        <f>V3018 - L3018</f>
        <v/>
      </c>
    </row>
    <row r="3019">
      <c r="A3019" s="11" t="n">
        <v>46232</v>
      </c>
      <c r="B3019" s="1" t="n">
        <v>20069</v>
      </c>
      <c r="C3019" s="1" t="inlineStr">
        <is>
          <t>011</t>
        </is>
      </c>
      <c r="D3019" s="1" t="inlineStr">
        <is>
          <t>196625</t>
        </is>
      </c>
      <c r="E3019" s="1" t="inlineStr">
        <is>
          <t xml:space="preserve">28194770       </t>
        </is>
      </c>
      <c r="F3019" s="5" t="inlineStr">
        <is>
          <t>AUTOS DE METAL 3 TEAMSTERZ EN BLISTER</t>
        </is>
      </c>
      <c r="G3019" t="n">
        <v>1</v>
      </c>
      <c r="H3019" s="7" t="n">
        <v>6.9</v>
      </c>
      <c r="I3019" s="7" t="n">
        <v>0</v>
      </c>
      <c r="J3019" s="7" t="n">
        <v>0</v>
      </c>
      <c r="K3019" s="9" t="n">
        <v>0</v>
      </c>
      <c r="L3019" s="10" t="n">
        <v>4.1</v>
      </c>
      <c r="M3019" s="10" t="n">
        <v>1.43</v>
      </c>
      <c r="N3019" t="inlineStr">
        <is>
          <t>1</t>
        </is>
      </c>
      <c r="O3019" t="inlineStr">
        <is>
          <t>16</t>
        </is>
      </c>
      <c r="P3019" t="inlineStr">
        <is>
          <t xml:space="preserve">248540  </t>
        </is>
      </c>
      <c r="Q3019" s="26" t="n">
        <v>6.9</v>
      </c>
      <c r="R3019" s="26">
        <f>Q3019*G3019</f>
        <v/>
      </c>
      <c r="S3019" t="n">
        <v>4.09</v>
      </c>
      <c r="T3019" s="18">
        <f>1 - V3019/S3019</f>
        <v/>
      </c>
      <c r="U3019" s="18" t="n">
        <v>0</v>
      </c>
      <c r="V3019" s="26" t="n">
        <v>4.09</v>
      </c>
      <c r="W3019" s="26">
        <f>V3019 - L3019</f>
        <v/>
      </c>
    </row>
    <row r="3020">
      <c r="A3020" s="11" t="n">
        <v>46232</v>
      </c>
      <c r="B3020" s="1" t="n">
        <v>20069</v>
      </c>
      <c r="C3020" s="1" t="inlineStr">
        <is>
          <t>011</t>
        </is>
      </c>
      <c r="D3020" s="1" t="inlineStr">
        <is>
          <t>196625</t>
        </is>
      </c>
      <c r="E3020" s="1" t="inlineStr">
        <is>
          <t xml:space="preserve">28194770       </t>
        </is>
      </c>
      <c r="F3020" s="5" t="inlineStr">
        <is>
          <t>AUTOS DE METAL 3 TEAMSTERZ EN BLISTER</t>
        </is>
      </c>
      <c r="G3020" t="n">
        <v>1</v>
      </c>
      <c r="H3020" s="7" t="n">
        <v>6.9</v>
      </c>
      <c r="I3020" s="7" t="n">
        <v>0</v>
      </c>
      <c r="J3020" s="7" t="n">
        <v>0</v>
      </c>
      <c r="K3020" s="9" t="n">
        <v>0</v>
      </c>
      <c r="L3020" s="10" t="n">
        <v>4.1</v>
      </c>
      <c r="M3020" s="10" t="n">
        <v>1.43</v>
      </c>
      <c r="N3020" t="inlineStr">
        <is>
          <t>1</t>
        </is>
      </c>
      <c r="O3020" t="inlineStr">
        <is>
          <t>16</t>
        </is>
      </c>
      <c r="P3020" t="inlineStr">
        <is>
          <t xml:space="preserve">248540  </t>
        </is>
      </c>
      <c r="Q3020" s="26" t="n">
        <v>6.9</v>
      </c>
      <c r="R3020" s="26">
        <f>Q3020*G3020</f>
        <v/>
      </c>
      <c r="S3020" t="n">
        <v>4.09</v>
      </c>
      <c r="T3020" s="18">
        <f>1 - V3020/S3020</f>
        <v/>
      </c>
      <c r="U3020" s="18" t="n">
        <v>0</v>
      </c>
      <c r="V3020" s="26" t="n">
        <v>4.09</v>
      </c>
      <c r="W3020" s="26">
        <f>V3020 - L3020</f>
        <v/>
      </c>
    </row>
    <row r="3021">
      <c r="A3021" s="11" t="n">
        <v>46232</v>
      </c>
      <c r="B3021" s="1" t="n">
        <v>20069</v>
      </c>
      <c r="C3021" s="1" t="inlineStr">
        <is>
          <t>011</t>
        </is>
      </c>
      <c r="D3021" s="1" t="inlineStr">
        <is>
          <t>196625</t>
        </is>
      </c>
      <c r="E3021" s="1" t="inlineStr">
        <is>
          <t xml:space="preserve">28194770       </t>
        </is>
      </c>
      <c r="F3021" s="5" t="inlineStr">
        <is>
          <t>AUTOS DE METAL 3 TEAMSTERZ EN BLISTER</t>
        </is>
      </c>
      <c r="G3021" t="n">
        <v>1</v>
      </c>
      <c r="H3021" s="7" t="n">
        <v>6.9</v>
      </c>
      <c r="I3021" s="7" t="n">
        <v>0</v>
      </c>
      <c r="J3021" s="7" t="n">
        <v>0</v>
      </c>
      <c r="K3021" s="9" t="n">
        <v>0</v>
      </c>
      <c r="L3021" s="10" t="n">
        <v>4.1</v>
      </c>
      <c r="M3021" s="10" t="n">
        <v>1.43</v>
      </c>
      <c r="N3021" t="inlineStr">
        <is>
          <t>1</t>
        </is>
      </c>
      <c r="O3021" t="inlineStr">
        <is>
          <t>16</t>
        </is>
      </c>
      <c r="P3021" t="inlineStr">
        <is>
          <t xml:space="preserve">248540  </t>
        </is>
      </c>
      <c r="Q3021" s="26" t="n">
        <v>6.9</v>
      </c>
      <c r="R3021" s="26">
        <f>Q3021*G3021</f>
        <v/>
      </c>
      <c r="S3021" t="n">
        <v>4.09</v>
      </c>
      <c r="T3021" s="18">
        <f>1 - V3021/S3021</f>
        <v/>
      </c>
      <c r="U3021" s="18" t="n">
        <v>0</v>
      </c>
      <c r="V3021" s="26" t="n">
        <v>4.09</v>
      </c>
      <c r="W3021" s="26">
        <f>V3021 - L3021</f>
        <v/>
      </c>
    </row>
    <row r="3022">
      <c r="A3022" s="11" t="n">
        <v>46232</v>
      </c>
      <c r="B3022" s="1" t="n">
        <v>20069</v>
      </c>
      <c r="C3022" s="1" t="inlineStr">
        <is>
          <t>024</t>
        </is>
      </c>
      <c r="D3022" s="1" t="inlineStr">
        <is>
          <t>106112</t>
        </is>
      </c>
      <c r="E3022" s="1" t="inlineStr">
        <is>
          <t xml:space="preserve">31754679       </t>
        </is>
      </c>
      <c r="F3022" s="5" t="inlineStr">
        <is>
          <t>RELOJ DIGITAL CRY BABIES</t>
        </is>
      </c>
      <c r="G3022" t="n">
        <v>1</v>
      </c>
      <c r="H3022" s="7" t="n">
        <v>18.9</v>
      </c>
      <c r="I3022" s="7" t="n">
        <v>0</v>
      </c>
      <c r="J3022" s="7" t="n">
        <v>0</v>
      </c>
      <c r="K3022" s="9" t="n">
        <v>0</v>
      </c>
      <c r="L3022" s="10" t="n">
        <v>11.21</v>
      </c>
      <c r="M3022" s="10" t="n">
        <v>1.43</v>
      </c>
      <c r="N3022" t="inlineStr">
        <is>
          <t>1</t>
        </is>
      </c>
      <c r="O3022" t="inlineStr">
        <is>
          <t>16</t>
        </is>
      </c>
      <c r="P3022" t="inlineStr">
        <is>
          <t xml:space="preserve">247845  </t>
        </is>
      </c>
      <c r="Q3022" s="26" t="n">
        <v>18.9</v>
      </c>
      <c r="R3022" s="26">
        <f>Q3022*G3022</f>
        <v/>
      </c>
      <c r="S3022" t="n">
        <v>11.21</v>
      </c>
      <c r="T3022" s="18">
        <f>1 - V3022/S3022</f>
        <v/>
      </c>
      <c r="U3022" s="18" t="n">
        <v>0</v>
      </c>
      <c r="V3022" s="26" t="n">
        <v>11.21</v>
      </c>
      <c r="W3022" s="26">
        <f>V3022 - L3022</f>
        <v/>
      </c>
    </row>
    <row r="3023">
      <c r="A3023" s="11" t="n">
        <v>46232</v>
      </c>
      <c r="B3023" s="1" t="n">
        <v>20069</v>
      </c>
      <c r="C3023" s="1" t="inlineStr">
        <is>
          <t>026</t>
        </is>
      </c>
      <c r="D3023" s="1" t="inlineStr">
        <is>
          <t>360501</t>
        </is>
      </c>
      <c r="E3023" s="1" t="inlineStr">
        <is>
          <t xml:space="preserve">31959968       </t>
        </is>
      </c>
      <c r="F3023" s="5" t="inlineStr">
        <is>
          <t>PINYPON FIGURAS BASICAS SERIE 13 DISP. 56</t>
        </is>
      </c>
      <c r="G3023" t="n">
        <v>1</v>
      </c>
      <c r="H3023" s="7" t="n">
        <v>10.74</v>
      </c>
      <c r="I3023" s="7" t="n">
        <v>0</v>
      </c>
      <c r="J3023" s="7" t="n">
        <v>0</v>
      </c>
      <c r="K3023" s="9" t="n">
        <v>0</v>
      </c>
      <c r="L3023" s="10" t="n">
        <v>6.37</v>
      </c>
      <c r="M3023" s="10" t="n">
        <v>1.43</v>
      </c>
      <c r="N3023" t="inlineStr">
        <is>
          <t>1</t>
        </is>
      </c>
      <c r="O3023" t="inlineStr">
        <is>
          <t xml:space="preserve">2 </t>
        </is>
      </c>
      <c r="P3023" t="inlineStr">
        <is>
          <t xml:space="preserve">249779  </t>
        </is>
      </c>
      <c r="Q3023" s="26" t="n">
        <v>17.9</v>
      </c>
      <c r="R3023" s="26">
        <f>Q3023*G3023</f>
        <v/>
      </c>
      <c r="S3023" t="n">
        <v>10.62</v>
      </c>
      <c r="T3023" s="18">
        <f>1 - V3023/S3023</f>
        <v/>
      </c>
      <c r="U3023" s="18" t="n">
        <v>0.3999999999999999</v>
      </c>
      <c r="V3023" s="26" t="n">
        <v>7.281355932203391</v>
      </c>
      <c r="W3023" s="26">
        <f>V3023 - L3023</f>
        <v/>
      </c>
    </row>
    <row r="3024">
      <c r="A3024" s="11" t="n">
        <v>46232</v>
      </c>
      <c r="B3024" s="1" t="n">
        <v>20069</v>
      </c>
      <c r="C3024" s="1" t="inlineStr">
        <is>
          <t>190</t>
        </is>
      </c>
      <c r="D3024" s="1" t="inlineStr">
        <is>
          <t>300893</t>
        </is>
      </c>
      <c r="E3024" s="1" t="inlineStr">
        <is>
          <t xml:space="preserve">28194769       </t>
        </is>
      </c>
      <c r="F3024" s="5" t="inlineStr">
        <is>
          <t>AUTOS DE METAL 3 TEAMSTERZ PACK DE 2</t>
        </is>
      </c>
      <c r="G3024" t="n">
        <v>1</v>
      </c>
      <c r="H3024" s="7" t="n">
        <v>13.8</v>
      </c>
      <c r="I3024" s="7" t="n">
        <v>0</v>
      </c>
      <c r="J3024" s="7" t="n">
        <v>0</v>
      </c>
      <c r="K3024" s="9" t="n">
        <v>0</v>
      </c>
      <c r="L3024" s="10" t="n">
        <v>8.18</v>
      </c>
      <c r="M3024" s="10" t="n">
        <v>1.43</v>
      </c>
      <c r="N3024" t="inlineStr">
        <is>
          <t>1</t>
        </is>
      </c>
      <c r="O3024" t="inlineStr">
        <is>
          <t>16</t>
        </is>
      </c>
      <c r="P3024" t="inlineStr">
        <is>
          <t xml:space="preserve">247842  </t>
        </is>
      </c>
      <c r="Q3024" s="26" t="n">
        <v>13.8</v>
      </c>
      <c r="R3024" s="26">
        <f>Q3024*G3024</f>
        <v/>
      </c>
      <c r="S3024" t="n">
        <v>8.19</v>
      </c>
      <c r="T3024" s="18">
        <f>1 - V3024/S3024</f>
        <v/>
      </c>
      <c r="U3024" s="18" t="n">
        <v>0</v>
      </c>
      <c r="V3024" s="26" t="n">
        <v>8.19</v>
      </c>
      <c r="W3024" s="26">
        <f>V3024 - L3024</f>
        <v/>
      </c>
    </row>
    <row r="3025">
      <c r="A3025" s="11" t="n">
        <v>46232</v>
      </c>
      <c r="B3025" s="1" t="n">
        <v>20069</v>
      </c>
      <c r="C3025" s="1" t="inlineStr">
        <is>
          <t>190</t>
        </is>
      </c>
      <c r="D3025" s="1" t="inlineStr">
        <is>
          <t>300893</t>
        </is>
      </c>
      <c r="E3025" s="1" t="inlineStr">
        <is>
          <t xml:space="preserve">28194769       </t>
        </is>
      </c>
      <c r="F3025" s="5" t="inlineStr">
        <is>
          <t>AUTOS DE METAL 3 TEAMSTERZ PACK DE 2</t>
        </is>
      </c>
      <c r="G3025" t="n">
        <v>1</v>
      </c>
      <c r="H3025" s="7" t="n">
        <v>13.8</v>
      </c>
      <c r="I3025" s="7" t="n">
        <v>0</v>
      </c>
      <c r="J3025" s="7" t="n">
        <v>0</v>
      </c>
      <c r="K3025" s="9" t="n">
        <v>0</v>
      </c>
      <c r="L3025" s="10" t="n">
        <v>8.18</v>
      </c>
      <c r="M3025" s="10" t="n">
        <v>1.43</v>
      </c>
      <c r="N3025" t="inlineStr">
        <is>
          <t>1</t>
        </is>
      </c>
      <c r="O3025" t="inlineStr">
        <is>
          <t>16</t>
        </is>
      </c>
      <c r="P3025" t="inlineStr">
        <is>
          <t xml:space="preserve">247842  </t>
        </is>
      </c>
      <c r="Q3025" s="26" t="n">
        <v>13.8</v>
      </c>
      <c r="R3025" s="26">
        <f>Q3025*G3025</f>
        <v/>
      </c>
      <c r="S3025" t="n">
        <v>8.19</v>
      </c>
      <c r="T3025" s="18">
        <f>1 - V3025/S3025</f>
        <v/>
      </c>
      <c r="U3025" s="18" t="n">
        <v>0</v>
      </c>
      <c r="V3025" s="26" t="n">
        <v>8.19</v>
      </c>
      <c r="W3025" s="26">
        <f>V3025 - L3025</f>
        <v/>
      </c>
    </row>
    <row r="3026">
      <c r="A3026" s="11" t="n">
        <v>46232</v>
      </c>
      <c r="B3026" s="1" t="n">
        <v>20073</v>
      </c>
      <c r="C3026" s="1" t="inlineStr">
        <is>
          <t>015</t>
        </is>
      </c>
      <c r="D3026" s="1" t="inlineStr">
        <is>
          <t xml:space="preserve">88323 </t>
        </is>
      </c>
      <c r="E3026" s="1" t="inlineStr">
        <is>
          <t xml:space="preserve">28194769       </t>
        </is>
      </c>
      <c r="F3026" s="5" t="inlineStr">
        <is>
          <t>AUTOS DE METAL 3 TEAMSTERZ PACK DE 2</t>
        </is>
      </c>
      <c r="G3026" t="n">
        <v>1</v>
      </c>
      <c r="H3026" s="7" t="n">
        <v>13.8</v>
      </c>
      <c r="I3026" s="7" t="n">
        <v>0</v>
      </c>
      <c r="J3026" s="7" t="n">
        <v>0</v>
      </c>
      <c r="K3026" s="9" t="n">
        <v>0</v>
      </c>
      <c r="L3026" s="10" t="n">
        <v>8.18</v>
      </c>
      <c r="M3026" s="10" t="n">
        <v>1.43</v>
      </c>
      <c r="N3026" t="inlineStr">
        <is>
          <t>1</t>
        </is>
      </c>
      <c r="O3026" t="inlineStr">
        <is>
          <t>16</t>
        </is>
      </c>
      <c r="P3026" t="inlineStr">
        <is>
          <t xml:space="preserve">99857   </t>
        </is>
      </c>
      <c r="Q3026" s="26" t="n">
        <v>13.8</v>
      </c>
      <c r="R3026" s="26">
        <f>Q3026*G3026</f>
        <v/>
      </c>
      <c r="S3026" t="n">
        <v>8.19</v>
      </c>
      <c r="T3026" s="18">
        <f>1 - V3026/S3026</f>
        <v/>
      </c>
      <c r="U3026" s="18" t="n">
        <v>0</v>
      </c>
      <c r="V3026" s="26" t="n">
        <v>8.19</v>
      </c>
      <c r="W3026" s="26">
        <f>V3026 - L3026</f>
        <v/>
      </c>
    </row>
    <row r="3027">
      <c r="A3027" s="11" t="n">
        <v>46232</v>
      </c>
      <c r="B3027" s="1" t="n">
        <v>20073</v>
      </c>
      <c r="C3027" s="1" t="inlineStr">
        <is>
          <t>037</t>
        </is>
      </c>
      <c r="D3027" s="1" t="inlineStr">
        <is>
          <t>296796</t>
        </is>
      </c>
      <c r="E3027" s="1" t="inlineStr">
        <is>
          <t xml:space="preserve">28194770       </t>
        </is>
      </c>
      <c r="F3027" s="5" t="inlineStr">
        <is>
          <t>AUTOS DE METAL 3 TEAMSTERZ EN BLISTER</t>
        </is>
      </c>
      <c r="G3027" t="n">
        <v>1</v>
      </c>
      <c r="H3027" s="7" t="n">
        <v>6.9</v>
      </c>
      <c r="I3027" s="7" t="n">
        <v>0</v>
      </c>
      <c r="J3027" s="7" t="n">
        <v>0</v>
      </c>
      <c r="K3027" s="9" t="n">
        <v>0</v>
      </c>
      <c r="L3027" s="10" t="n">
        <v>4.1</v>
      </c>
      <c r="M3027" s="10" t="n">
        <v>1.43</v>
      </c>
      <c r="N3027" t="inlineStr">
        <is>
          <t>1</t>
        </is>
      </c>
      <c r="O3027" t="inlineStr">
        <is>
          <t>16</t>
        </is>
      </c>
      <c r="P3027" t="inlineStr">
        <is>
          <t xml:space="preserve">13762   </t>
        </is>
      </c>
      <c r="Q3027" s="26" t="n">
        <v>6.9</v>
      </c>
      <c r="R3027" s="26">
        <f>Q3027*G3027</f>
        <v/>
      </c>
      <c r="S3027" t="n">
        <v>4.09</v>
      </c>
      <c r="T3027" s="18">
        <f>1 - V3027/S3027</f>
        <v/>
      </c>
      <c r="U3027" s="18" t="n">
        <v>0</v>
      </c>
      <c r="V3027" s="26" t="n">
        <v>4.09</v>
      </c>
      <c r="W3027" s="26">
        <f>V3027 - L3027</f>
        <v/>
      </c>
    </row>
    <row r="3028">
      <c r="A3028" s="11" t="n">
        <v>46232</v>
      </c>
      <c r="B3028" s="1" t="n">
        <v>20073</v>
      </c>
      <c r="C3028" s="1" t="inlineStr">
        <is>
          <t>045</t>
        </is>
      </c>
      <c r="D3028" s="1" t="inlineStr">
        <is>
          <t>150005</t>
        </is>
      </c>
      <c r="E3028" s="1" t="inlineStr">
        <is>
          <t xml:space="preserve">28194770       </t>
        </is>
      </c>
      <c r="F3028" s="5" t="inlineStr">
        <is>
          <t>AUTOS DE METAL 3 TEAMSTERZ EN BLISTER</t>
        </is>
      </c>
      <c r="G3028" t="n">
        <v>1</v>
      </c>
      <c r="H3028" s="7" t="n">
        <v>6.9</v>
      </c>
      <c r="I3028" s="7" t="n">
        <v>0</v>
      </c>
      <c r="J3028" s="7" t="n">
        <v>0</v>
      </c>
      <c r="K3028" s="9" t="n">
        <v>0</v>
      </c>
      <c r="L3028" s="10" t="n">
        <v>4.1</v>
      </c>
      <c r="M3028" s="10" t="n">
        <v>1.43</v>
      </c>
      <c r="N3028" t="inlineStr">
        <is>
          <t>1</t>
        </is>
      </c>
      <c r="O3028" t="inlineStr">
        <is>
          <t xml:space="preserve">2 </t>
        </is>
      </c>
      <c r="P3028" t="inlineStr">
        <is>
          <t xml:space="preserve">73225   </t>
        </is>
      </c>
      <c r="Q3028" s="26" t="n">
        <v>6.9</v>
      </c>
      <c r="R3028" s="26">
        <f>Q3028*G3028</f>
        <v/>
      </c>
      <c r="S3028" t="n">
        <v>4.09</v>
      </c>
      <c r="T3028" s="18">
        <f>1 - V3028/S3028</f>
        <v/>
      </c>
      <c r="U3028" s="18" t="n">
        <v>0</v>
      </c>
      <c r="V3028" s="26" t="n">
        <v>4.09</v>
      </c>
      <c r="W3028" s="26">
        <f>V3028 - L3028</f>
        <v/>
      </c>
    </row>
    <row r="3029">
      <c r="A3029" s="11" t="n">
        <v>46232</v>
      </c>
      <c r="B3029" s="1" t="n">
        <v>20077</v>
      </c>
      <c r="C3029" s="1" t="inlineStr">
        <is>
          <t>029</t>
        </is>
      </c>
      <c r="D3029" s="1" t="inlineStr">
        <is>
          <t>157315</t>
        </is>
      </c>
      <c r="E3029" s="1" t="inlineStr">
        <is>
          <t xml:space="preserve">34840552       </t>
        </is>
      </c>
      <c r="F3029" s="5" t="inlineStr">
        <is>
          <t>TMZ HELI POLICIA CON LUCES Y SONIDOS</t>
        </is>
      </c>
      <c r="G3029" t="n">
        <v>1</v>
      </c>
      <c r="H3029" s="7" t="n">
        <v>79.90000000000001</v>
      </c>
      <c r="I3029" s="7" t="n">
        <v>0</v>
      </c>
      <c r="J3029" s="7" t="n">
        <v>0</v>
      </c>
      <c r="K3029" s="9" t="n">
        <v>0</v>
      </c>
      <c r="L3029" s="10" t="n">
        <v>47.4</v>
      </c>
      <c r="M3029" s="10" t="n">
        <v>1.43</v>
      </c>
      <c r="N3029" t="inlineStr">
        <is>
          <t>1</t>
        </is>
      </c>
      <c r="O3029" t="inlineStr">
        <is>
          <t>16</t>
        </is>
      </c>
      <c r="P3029" t="inlineStr">
        <is>
          <t xml:space="preserve">61615   </t>
        </is>
      </c>
      <c r="Q3029" s="26" t="n">
        <v>79.90000000000002</v>
      </c>
      <c r="R3029" s="26">
        <f>Q3029*G3029</f>
        <v/>
      </c>
      <c r="S3029" t="n">
        <v>47.4</v>
      </c>
      <c r="T3029" s="18">
        <f>1 - V3029/S3029</f>
        <v/>
      </c>
      <c r="U3029" s="18" t="n">
        <v>0</v>
      </c>
      <c r="V3029" s="26" t="n">
        <v>47.4</v>
      </c>
      <c r="W3029" s="26">
        <f>V3029 - L3029</f>
        <v/>
      </c>
    </row>
    <row r="3030">
      <c r="A3030" s="11" t="n">
        <v>46232</v>
      </c>
      <c r="B3030" s="1" t="n">
        <v>20077</v>
      </c>
      <c r="C3030" s="1" t="inlineStr">
        <is>
          <t>029</t>
        </is>
      </c>
      <c r="D3030" s="1" t="inlineStr">
        <is>
          <t>157353</t>
        </is>
      </c>
      <c r="E3030" s="1" t="inlineStr">
        <is>
          <t xml:space="preserve">34840550       </t>
        </is>
      </c>
      <c r="F3030" s="5" t="inlineStr">
        <is>
          <t>TEAMSTERZ M/MOVERZ TRANSPORTA GORILA</t>
        </is>
      </c>
      <c r="G3030" t="n">
        <v>1</v>
      </c>
      <c r="H3030" s="7" t="n">
        <v>129</v>
      </c>
      <c r="I3030" s="7" t="n">
        <v>0</v>
      </c>
      <c r="J3030" s="7" t="n">
        <v>0</v>
      </c>
      <c r="K3030" s="9" t="n">
        <v>0</v>
      </c>
      <c r="L3030" s="10" t="n">
        <v>76.52</v>
      </c>
      <c r="M3030" s="10" t="n">
        <v>1.43</v>
      </c>
      <c r="N3030" t="inlineStr">
        <is>
          <t>1</t>
        </is>
      </c>
      <c r="O3030" t="inlineStr">
        <is>
          <t>16</t>
        </is>
      </c>
      <c r="P3030" t="inlineStr">
        <is>
          <t xml:space="preserve">61615   </t>
        </is>
      </c>
      <c r="Q3030" s="26" t="n">
        <v>129</v>
      </c>
      <c r="R3030" s="26">
        <f>Q3030*G3030</f>
        <v/>
      </c>
      <c r="S3030" t="n">
        <v>76.53</v>
      </c>
      <c r="T3030" s="18">
        <f>1 - V3030/S3030</f>
        <v/>
      </c>
      <c r="U3030" s="18" t="n">
        <v>0</v>
      </c>
      <c r="V3030" s="26" t="n">
        <v>76.53</v>
      </c>
      <c r="W3030" s="26">
        <f>V3030 - L3030</f>
        <v/>
      </c>
    </row>
    <row r="3031">
      <c r="A3031" s="11" t="n">
        <v>46232</v>
      </c>
      <c r="B3031" s="1" t="n">
        <v>20077</v>
      </c>
      <c r="C3031" s="1" t="inlineStr">
        <is>
          <t>029</t>
        </is>
      </c>
      <c r="D3031" s="1" t="inlineStr">
        <is>
          <t>157366</t>
        </is>
      </c>
      <c r="E3031" s="1" t="inlineStr">
        <is>
          <t xml:space="preserve">28194780       </t>
        </is>
      </c>
      <c r="F3031" s="5" t="inlineStr">
        <is>
          <t>TROMPO BATALLA INFINITY NADO PLSTICO SURTIDO</t>
        </is>
      </c>
      <c r="G3031" t="n">
        <v>1</v>
      </c>
      <c r="H3031" s="7" t="n">
        <v>19.9</v>
      </c>
      <c r="I3031" s="7" t="n">
        <v>0</v>
      </c>
      <c r="J3031" s="7" t="n">
        <v>0</v>
      </c>
      <c r="K3031" s="9" t="n">
        <v>0</v>
      </c>
      <c r="L3031" s="10" t="n">
        <v>11.8</v>
      </c>
      <c r="M3031" s="10" t="n">
        <v>1.43</v>
      </c>
      <c r="N3031" t="inlineStr">
        <is>
          <t>1</t>
        </is>
      </c>
      <c r="O3031" t="inlineStr">
        <is>
          <t xml:space="preserve">2 </t>
        </is>
      </c>
      <c r="P3031" t="inlineStr">
        <is>
          <t xml:space="preserve">61615   </t>
        </is>
      </c>
      <c r="Q3031" s="26" t="n">
        <v>19.9</v>
      </c>
      <c r="R3031" s="26">
        <f>Q3031*G3031</f>
        <v/>
      </c>
      <c r="S3031" t="n">
        <v>11.81</v>
      </c>
      <c r="T3031" s="18">
        <f>1 - V3031/S3031</f>
        <v/>
      </c>
      <c r="U3031" s="18" t="n">
        <v>0</v>
      </c>
      <c r="V3031" s="26" t="n">
        <v>11.81</v>
      </c>
      <c r="W3031" s="26">
        <f>V3031 - L3031</f>
        <v/>
      </c>
    </row>
    <row r="3032">
      <c r="A3032" s="11" t="n">
        <v>46232</v>
      </c>
      <c r="B3032" s="1" t="n">
        <v>20079</v>
      </c>
      <c r="C3032" s="1" t="inlineStr">
        <is>
          <t>051</t>
        </is>
      </c>
      <c r="D3032" s="1" t="inlineStr">
        <is>
          <t>237563</t>
        </is>
      </c>
      <c r="E3032" s="1" t="inlineStr">
        <is>
          <t xml:space="preserve">31754677       </t>
        </is>
      </c>
      <c r="F3032" s="5" t="inlineStr">
        <is>
          <t>INFINITY NADO SERIE 6 SET DE BATALL</t>
        </is>
      </c>
      <c r="G3032" t="n">
        <v>1</v>
      </c>
      <c r="H3032" s="7" t="n">
        <v>149</v>
      </c>
      <c r="I3032" s="7" t="n">
        <v>0</v>
      </c>
      <c r="J3032" s="7" t="n">
        <v>0</v>
      </c>
      <c r="K3032" s="9" t="n">
        <v>0</v>
      </c>
      <c r="L3032" s="10" t="n">
        <v>88.39</v>
      </c>
      <c r="M3032" s="10" t="n">
        <v>1.43</v>
      </c>
      <c r="N3032" t="inlineStr">
        <is>
          <t>1</t>
        </is>
      </c>
      <c r="O3032" t="inlineStr">
        <is>
          <t>16</t>
        </is>
      </c>
      <c r="P3032" t="inlineStr">
        <is>
          <t xml:space="preserve">55412   </t>
        </is>
      </c>
      <c r="Q3032" s="26" t="n">
        <v>189</v>
      </c>
      <c r="R3032" s="26">
        <f>Q3032*G3032</f>
        <v/>
      </c>
      <c r="S3032" t="n">
        <v>112.12</v>
      </c>
      <c r="T3032" s="18">
        <f>1 - V3032/S3032</f>
        <v/>
      </c>
      <c r="U3032" s="18" t="n">
        <v>0.2116402116402116</v>
      </c>
      <c r="V3032" s="26" t="n">
        <v>94.70338983050848</v>
      </c>
      <c r="W3032" s="26">
        <f>V3032 - L3032</f>
        <v/>
      </c>
    </row>
    <row r="3033">
      <c r="A3033" s="11" t="n">
        <v>46232</v>
      </c>
      <c r="B3033" s="1" t="n">
        <v>20080</v>
      </c>
      <c r="C3033" s="1" t="inlineStr">
        <is>
          <t>026</t>
        </is>
      </c>
      <c r="D3033" s="1" t="inlineStr">
        <is>
          <t>209931</t>
        </is>
      </c>
      <c r="E3033" s="1" t="inlineStr">
        <is>
          <t xml:space="preserve">28194780       </t>
        </is>
      </c>
      <c r="F3033" s="5" t="inlineStr">
        <is>
          <t>TROMPO BATALLA INFINITY NADO PLSTICO SURTIDO</t>
        </is>
      </c>
      <c r="G3033" t="n">
        <v>1</v>
      </c>
      <c r="H3033" s="7" t="n">
        <v>19.9</v>
      </c>
      <c r="I3033" s="7" t="n">
        <v>0</v>
      </c>
      <c r="J3033" s="7" t="n">
        <v>0</v>
      </c>
      <c r="K3033" s="9" t="n">
        <v>0</v>
      </c>
      <c r="L3033" s="10" t="n">
        <v>11.8</v>
      </c>
      <c r="M3033" s="10" t="n">
        <v>1.43</v>
      </c>
      <c r="N3033" t="inlineStr">
        <is>
          <t>1</t>
        </is>
      </c>
      <c r="O3033" t="inlineStr">
        <is>
          <t>16</t>
        </is>
      </c>
      <c r="P3033" t="inlineStr">
        <is>
          <t xml:space="preserve">251454  </t>
        </is>
      </c>
      <c r="Q3033" s="26" t="n">
        <v>19.9</v>
      </c>
      <c r="R3033" s="26">
        <f>Q3033*G3033</f>
        <v/>
      </c>
      <c r="S3033" t="n">
        <v>11.81</v>
      </c>
      <c r="T3033" s="18">
        <f>1 - V3033/S3033</f>
        <v/>
      </c>
      <c r="U3033" s="18" t="n">
        <v>0</v>
      </c>
      <c r="V3033" s="26" t="n">
        <v>11.81</v>
      </c>
      <c r="W3033" s="26">
        <f>V3033 - L3033</f>
        <v/>
      </c>
    </row>
    <row r="3034">
      <c r="A3034" s="11" t="n">
        <v>46232</v>
      </c>
      <c r="B3034" s="1" t="n">
        <v>20080</v>
      </c>
      <c r="C3034" s="1" t="inlineStr">
        <is>
          <t>026</t>
        </is>
      </c>
      <c r="D3034" s="1" t="inlineStr">
        <is>
          <t>209931</t>
        </is>
      </c>
      <c r="E3034" s="1" t="inlineStr">
        <is>
          <t xml:space="preserve">28194780       </t>
        </is>
      </c>
      <c r="F3034" s="5" t="inlineStr">
        <is>
          <t>TROMPO BATALLA INFINITY NADO PLSTICO SURTIDO</t>
        </is>
      </c>
      <c r="G3034" t="n">
        <v>1</v>
      </c>
      <c r="H3034" s="7" t="n">
        <v>19.9</v>
      </c>
      <c r="I3034" s="7" t="n">
        <v>0</v>
      </c>
      <c r="J3034" s="7" t="n">
        <v>0</v>
      </c>
      <c r="K3034" s="9" t="n">
        <v>0</v>
      </c>
      <c r="L3034" s="10" t="n">
        <v>11.8</v>
      </c>
      <c r="M3034" s="10" t="n">
        <v>1.43</v>
      </c>
      <c r="N3034" t="inlineStr">
        <is>
          <t>1</t>
        </is>
      </c>
      <c r="O3034" t="inlineStr">
        <is>
          <t>16</t>
        </is>
      </c>
      <c r="P3034" t="inlineStr">
        <is>
          <t xml:space="preserve">251454  </t>
        </is>
      </c>
      <c r="Q3034" s="26" t="n">
        <v>19.9</v>
      </c>
      <c r="R3034" s="26">
        <f>Q3034*G3034</f>
        <v/>
      </c>
      <c r="S3034" t="n">
        <v>11.81</v>
      </c>
      <c r="T3034" s="18">
        <f>1 - V3034/S3034</f>
        <v/>
      </c>
      <c r="U3034" s="18" t="n">
        <v>0</v>
      </c>
      <c r="V3034" s="26" t="n">
        <v>11.81</v>
      </c>
      <c r="W3034" s="26">
        <f>V3034 - L3034</f>
        <v/>
      </c>
    </row>
    <row r="3035">
      <c r="A3035" s="11" t="n">
        <v>46232</v>
      </c>
      <c r="B3035" s="1" t="n">
        <v>20080</v>
      </c>
      <c r="C3035" s="1" t="inlineStr">
        <is>
          <t>029</t>
        </is>
      </c>
      <c r="D3035" s="1" t="inlineStr">
        <is>
          <t>226603</t>
        </is>
      </c>
      <c r="E3035" s="1" t="inlineStr">
        <is>
          <t xml:space="preserve">33483116       </t>
        </is>
      </c>
      <c r="F3035" s="5" t="inlineStr">
        <is>
          <t>MUNECA EVI LOVE GATO + COCHE + ACC.</t>
        </is>
      </c>
      <c r="G3035" t="n">
        <v>1</v>
      </c>
      <c r="H3035" s="7" t="n">
        <v>20.94</v>
      </c>
      <c r="I3035" s="7" t="n">
        <v>0</v>
      </c>
      <c r="J3035" s="7" t="n">
        <v>0</v>
      </c>
      <c r="K3035" s="9" t="n">
        <v>0</v>
      </c>
      <c r="L3035" s="10" t="n">
        <v>12.43</v>
      </c>
      <c r="M3035" s="10" t="n">
        <v>1.43</v>
      </c>
      <c r="N3035" t="inlineStr">
        <is>
          <t>1</t>
        </is>
      </c>
      <c r="O3035" t="inlineStr">
        <is>
          <t>16</t>
        </is>
      </c>
      <c r="P3035" t="inlineStr">
        <is>
          <t xml:space="preserve">89863   </t>
        </is>
      </c>
      <c r="Q3035" s="26" t="n">
        <v>34.9</v>
      </c>
      <c r="R3035" s="26">
        <f>Q3035*G3035</f>
        <v/>
      </c>
      <c r="S3035" t="n">
        <v>20.7</v>
      </c>
      <c r="T3035" s="18">
        <f>1 - V3035/S3035</f>
        <v/>
      </c>
      <c r="U3035" s="18" t="n">
        <v>0.4</v>
      </c>
      <c r="V3035" s="26" t="n">
        <v>15.97118644067796</v>
      </c>
      <c r="W3035" s="26">
        <f>V3035 - L3035</f>
        <v/>
      </c>
    </row>
    <row r="3036">
      <c r="A3036" s="11" t="n">
        <v>46232</v>
      </c>
      <c r="B3036" s="1" t="n">
        <v>20080</v>
      </c>
      <c r="C3036" s="1" t="inlineStr">
        <is>
          <t>029</t>
        </is>
      </c>
      <c r="D3036" s="1" t="inlineStr">
        <is>
          <t>226612</t>
        </is>
      </c>
      <c r="E3036" s="1" t="inlineStr">
        <is>
          <t xml:space="preserve">35685067       </t>
        </is>
      </c>
      <c r="F3036" s="5" t="inlineStr">
        <is>
          <t>HOT WHEELS POWER SET 3 EN 1</t>
        </is>
      </c>
      <c r="G3036" t="n">
        <v>1</v>
      </c>
      <c r="H3036" s="7" t="n">
        <v>49.9</v>
      </c>
      <c r="I3036" s="7" t="n">
        <v>0</v>
      </c>
      <c r="J3036" s="7" t="n">
        <v>0</v>
      </c>
      <c r="K3036" s="9" t="n">
        <v>0</v>
      </c>
      <c r="L3036" s="10" t="n">
        <v>29.6</v>
      </c>
      <c r="M3036" s="10" t="n">
        <v>1.43</v>
      </c>
      <c r="N3036" t="inlineStr">
        <is>
          <t>1</t>
        </is>
      </c>
      <c r="O3036" t="inlineStr">
        <is>
          <t>16</t>
        </is>
      </c>
      <c r="P3036" t="inlineStr">
        <is>
          <t xml:space="preserve">89863   </t>
        </is>
      </c>
      <c r="Q3036" s="26" t="n">
        <v>49.9</v>
      </c>
      <c r="R3036" s="26">
        <f>Q3036*G3036</f>
        <v/>
      </c>
      <c r="S3036" t="n">
        <v>29.6</v>
      </c>
      <c r="T3036" s="18">
        <f>1 - V3036/S3036</f>
        <v/>
      </c>
      <c r="U3036" s="18" t="n">
        <v>0</v>
      </c>
      <c r="V3036" s="26" t="n">
        <v>29.6</v>
      </c>
      <c r="W3036" s="26">
        <f>V3036 - L3036</f>
        <v/>
      </c>
    </row>
    <row r="3037">
      <c r="A3037" s="11" t="n">
        <v>46232</v>
      </c>
      <c r="B3037" s="1" t="n">
        <v>20086</v>
      </c>
      <c r="C3037" s="1" t="inlineStr">
        <is>
          <t>022</t>
        </is>
      </c>
      <c r="D3037" s="1" t="inlineStr">
        <is>
          <t>113682</t>
        </is>
      </c>
      <c r="E3037" s="1" t="inlineStr">
        <is>
          <t xml:space="preserve">28194770       </t>
        </is>
      </c>
      <c r="F3037" s="5" t="inlineStr">
        <is>
          <t>AUTOS DE METAL 3 TEAMSTERZ EN BLISTER</t>
        </is>
      </c>
      <c r="G3037" t="n">
        <v>1</v>
      </c>
      <c r="H3037" s="7" t="n">
        <v>6.9</v>
      </c>
      <c r="I3037" s="7" t="n">
        <v>0</v>
      </c>
      <c r="J3037" s="7" t="n">
        <v>0</v>
      </c>
      <c r="K3037" s="9" t="n">
        <v>0</v>
      </c>
      <c r="L3037" s="10" t="n">
        <v>4.1</v>
      </c>
      <c r="M3037" s="10" t="n">
        <v>1.43</v>
      </c>
      <c r="N3037" t="inlineStr">
        <is>
          <t>1</t>
        </is>
      </c>
      <c r="O3037" t="inlineStr">
        <is>
          <t xml:space="preserve">2 </t>
        </is>
      </c>
      <c r="P3037" t="inlineStr">
        <is>
          <t xml:space="preserve">231840  </t>
        </is>
      </c>
      <c r="Q3037" s="26" t="n">
        <v>6.9</v>
      </c>
      <c r="R3037" s="26">
        <f>Q3037*G3037</f>
        <v/>
      </c>
      <c r="S3037" t="n">
        <v>4.09</v>
      </c>
      <c r="T3037" s="18">
        <f>1 - V3037/S3037</f>
        <v/>
      </c>
      <c r="U3037" s="18" t="n">
        <v>0</v>
      </c>
      <c r="V3037" s="26" t="n">
        <v>4.09</v>
      </c>
      <c r="W3037" s="26">
        <f>V3037 - L3037</f>
        <v/>
      </c>
    </row>
    <row r="3038">
      <c r="A3038" s="11" t="n">
        <v>46232</v>
      </c>
      <c r="B3038" s="1" t="n">
        <v>20088</v>
      </c>
      <c r="C3038" s="1" t="inlineStr">
        <is>
          <t>023</t>
        </is>
      </c>
      <c r="D3038" s="1" t="inlineStr">
        <is>
          <t>128421</t>
        </is>
      </c>
      <c r="E3038" s="1" t="inlineStr">
        <is>
          <t xml:space="preserve">30232284       </t>
        </is>
      </c>
      <c r="F3038" s="5" t="inlineStr">
        <is>
          <t>INFINITY NADO TROMPO DE BATALLA - METAL C/PUNTA DE</t>
        </is>
      </c>
      <c r="G3038" t="n">
        <v>1</v>
      </c>
      <c r="H3038" s="7" t="n">
        <v>34.9</v>
      </c>
      <c r="I3038" s="7" t="n">
        <v>3.49</v>
      </c>
      <c r="J3038" s="7" t="n">
        <v>0</v>
      </c>
      <c r="K3038" s="9" t="n">
        <v>3.49</v>
      </c>
      <c r="L3038" s="10" t="n">
        <v>18.63</v>
      </c>
      <c r="M3038" s="10" t="n">
        <v>1.43</v>
      </c>
      <c r="N3038" t="inlineStr">
        <is>
          <t>1</t>
        </is>
      </c>
      <c r="O3038" t="inlineStr">
        <is>
          <t xml:space="preserve">3 </t>
        </is>
      </c>
      <c r="P3038" t="inlineStr">
        <is>
          <t xml:space="preserve">248960  </t>
        </is>
      </c>
      <c r="Q3038" s="26" t="n">
        <v>49.9</v>
      </c>
      <c r="R3038" s="26">
        <f>Q3038*G3038</f>
        <v/>
      </c>
      <c r="S3038" t="n">
        <v>29.6</v>
      </c>
      <c r="T3038" s="18">
        <f>1 - V3038/S3038</f>
        <v/>
      </c>
      <c r="U3038" s="18" t="n">
        <v>0.3006012024048096</v>
      </c>
      <c r="V3038" s="26" t="n">
        <v>22.18220338983051</v>
      </c>
      <c r="W3038" s="26">
        <f>V3038 - L3038</f>
        <v/>
      </c>
    </row>
    <row r="3039">
      <c r="A3039" s="11" t="n">
        <v>46232</v>
      </c>
      <c r="B3039" s="1" t="n">
        <v>20088</v>
      </c>
      <c r="C3039" s="1" t="inlineStr">
        <is>
          <t>023</t>
        </is>
      </c>
      <c r="D3039" s="1" t="inlineStr">
        <is>
          <t>128472</t>
        </is>
      </c>
      <c r="E3039" s="1" t="inlineStr">
        <is>
          <t xml:space="preserve">30141766       </t>
        </is>
      </c>
      <c r="F3039" s="5" t="inlineStr">
        <is>
          <t>TMZ BEAST MACHINES AUTOS DE METAL BLISTER X 1</t>
        </is>
      </c>
      <c r="G3039" t="n">
        <v>1</v>
      </c>
      <c r="H3039" s="7" t="n">
        <v>7.9</v>
      </c>
      <c r="I3039" s="7" t="n">
        <v>0</v>
      </c>
      <c r="J3039" s="7" t="n">
        <v>0</v>
      </c>
      <c r="K3039" s="9" t="n">
        <v>0</v>
      </c>
      <c r="L3039" s="10" t="n">
        <v>4.68</v>
      </c>
      <c r="M3039" s="10" t="n">
        <v>1.43</v>
      </c>
      <c r="N3039" t="inlineStr">
        <is>
          <t>1</t>
        </is>
      </c>
      <c r="O3039" t="inlineStr">
        <is>
          <t xml:space="preserve">2 </t>
        </is>
      </c>
      <c r="P3039" t="inlineStr">
        <is>
          <t xml:space="preserve">248960  </t>
        </is>
      </c>
      <c r="Q3039" s="26" t="n">
        <v>7.9</v>
      </c>
      <c r="R3039" s="26">
        <f>Q3039*G3039</f>
        <v/>
      </c>
      <c r="S3039" t="n">
        <v>4.69</v>
      </c>
      <c r="T3039" s="18">
        <f>1 - V3039/S3039</f>
        <v/>
      </c>
      <c r="U3039" s="18" t="n">
        <v>0</v>
      </c>
      <c r="V3039" s="26" t="n">
        <v>4.69</v>
      </c>
      <c r="W3039" s="26">
        <f>V3039 - L3039</f>
        <v/>
      </c>
    </row>
    <row r="3040">
      <c r="A3040" s="11" t="n">
        <v>46232</v>
      </c>
      <c r="B3040" s="1" t="n">
        <v>20088</v>
      </c>
      <c r="C3040" s="1" t="inlineStr">
        <is>
          <t>034</t>
        </is>
      </c>
      <c r="D3040" s="1" t="inlineStr">
        <is>
          <t xml:space="preserve">16950 </t>
        </is>
      </c>
      <c r="E3040" s="1" t="inlineStr">
        <is>
          <t xml:space="preserve">28194781       </t>
        </is>
      </c>
      <c r="F3040" s="5" t="inlineStr">
        <is>
          <t>TROMPO BATALLA INFINITY NADO SERIE V CLASICA SURTI</t>
        </is>
      </c>
      <c r="G3040" t="n">
        <v>1</v>
      </c>
      <c r="H3040" s="7" t="n">
        <v>39.9</v>
      </c>
      <c r="I3040" s="7" t="n">
        <v>0</v>
      </c>
      <c r="J3040" s="7" t="n">
        <v>0</v>
      </c>
      <c r="K3040" s="9" t="n">
        <v>0</v>
      </c>
      <c r="L3040" s="10" t="n">
        <v>23.67</v>
      </c>
      <c r="M3040" s="10" t="n">
        <v>1.43</v>
      </c>
      <c r="N3040" t="inlineStr">
        <is>
          <t>1</t>
        </is>
      </c>
      <c r="O3040" t="inlineStr">
        <is>
          <t>16</t>
        </is>
      </c>
      <c r="P3040" t="inlineStr">
        <is>
          <t xml:space="preserve">241571  </t>
        </is>
      </c>
      <c r="Q3040" s="26" t="n">
        <v>59.9</v>
      </c>
      <c r="R3040" s="26">
        <f>Q3040*G3040</f>
        <v/>
      </c>
      <c r="S3040" t="n">
        <v>35.53</v>
      </c>
      <c r="T3040" s="18">
        <f>1 - V3040/S3040</f>
        <v/>
      </c>
      <c r="U3040" s="18" t="n">
        <v>0.333889816360601</v>
      </c>
      <c r="V3040" s="26" t="n">
        <v>25.36016949152542</v>
      </c>
      <c r="W3040" s="26">
        <f>V3040 - L3040</f>
        <v/>
      </c>
    </row>
    <row r="3041">
      <c r="A3041" s="11" t="n">
        <v>46232</v>
      </c>
      <c r="B3041" s="1" t="n">
        <v>20088</v>
      </c>
      <c r="C3041" s="1" t="inlineStr">
        <is>
          <t>034</t>
        </is>
      </c>
      <c r="D3041" s="1" t="inlineStr">
        <is>
          <t xml:space="preserve">16962 </t>
        </is>
      </c>
      <c r="E3041" s="1" t="inlineStr">
        <is>
          <t xml:space="preserve">28194770       </t>
        </is>
      </c>
      <c r="F3041" s="5" t="inlineStr">
        <is>
          <t>AUTOS DE METAL 3 TEAMSTERZ EN BLISTER</t>
        </is>
      </c>
      <c r="G3041" t="n">
        <v>1</v>
      </c>
      <c r="H3041" s="7" t="n">
        <v>6.9</v>
      </c>
      <c r="I3041" s="7" t="n">
        <v>0</v>
      </c>
      <c r="J3041" s="7" t="n">
        <v>0</v>
      </c>
      <c r="K3041" s="9" t="n">
        <v>0</v>
      </c>
      <c r="L3041" s="10" t="n">
        <v>4.1</v>
      </c>
      <c r="M3041" s="10" t="n">
        <v>1.43</v>
      </c>
      <c r="N3041" t="inlineStr">
        <is>
          <t>1</t>
        </is>
      </c>
      <c r="O3041" t="inlineStr">
        <is>
          <t>16</t>
        </is>
      </c>
      <c r="P3041" t="inlineStr">
        <is>
          <t xml:space="preserve">90566   </t>
        </is>
      </c>
      <c r="Q3041" s="26" t="n">
        <v>6.9</v>
      </c>
      <c r="R3041" s="26">
        <f>Q3041*G3041</f>
        <v/>
      </c>
      <c r="S3041" t="n">
        <v>4.09</v>
      </c>
      <c r="T3041" s="18">
        <f>1 - V3041/S3041</f>
        <v/>
      </c>
      <c r="U3041" s="18" t="n">
        <v>0</v>
      </c>
      <c r="V3041" s="26" t="n">
        <v>4.09</v>
      </c>
      <c r="W3041" s="26">
        <f>V3041 - L3041</f>
        <v/>
      </c>
    </row>
    <row r="3042">
      <c r="A3042" s="11" t="n">
        <v>46232</v>
      </c>
      <c r="B3042" s="1" t="n">
        <v>20088</v>
      </c>
      <c r="C3042" s="1" t="inlineStr">
        <is>
          <t>800</t>
        </is>
      </c>
      <c r="D3042" s="1" t="inlineStr">
        <is>
          <t xml:space="preserve">4268  </t>
        </is>
      </c>
      <c r="E3042" s="1" t="inlineStr">
        <is>
          <t xml:space="preserve">28194780       </t>
        </is>
      </c>
      <c r="F3042" s="5" t="inlineStr">
        <is>
          <t>TROMPO BATALLA INFINITY NADO PLSTICO SURTIDO</t>
        </is>
      </c>
      <c r="G3042" t="n">
        <v>1</v>
      </c>
      <c r="H3042" s="7" t="n">
        <v>19.9</v>
      </c>
      <c r="I3042" s="7" t="n">
        <v>1.99</v>
      </c>
      <c r="J3042" s="7" t="n">
        <v>0</v>
      </c>
      <c r="K3042" s="9" t="n">
        <v>1.99</v>
      </c>
      <c r="L3042" s="10" t="n">
        <v>10.63</v>
      </c>
      <c r="M3042" s="10" t="n">
        <v>1.43</v>
      </c>
      <c r="N3042" t="inlineStr">
        <is>
          <t>1</t>
        </is>
      </c>
      <c r="O3042" t="inlineStr">
        <is>
          <t>16</t>
        </is>
      </c>
      <c r="P3042" t="inlineStr">
        <is>
          <t xml:space="preserve">0       </t>
        </is>
      </c>
      <c r="Q3042" s="26" t="n">
        <v>19.9</v>
      </c>
      <c r="R3042" s="26">
        <f>Q3042*G3042</f>
        <v/>
      </c>
      <c r="S3042" t="n">
        <v>11.81</v>
      </c>
      <c r="T3042" s="18">
        <f>1 - V3042/S3042</f>
        <v/>
      </c>
      <c r="U3042" s="18" t="n">
        <v>0</v>
      </c>
      <c r="V3042" s="26" t="n">
        <v>11.81</v>
      </c>
      <c r="W3042" s="26">
        <f>V3042 - L3042</f>
        <v/>
      </c>
    </row>
    <row r="3043">
      <c r="A3043" s="11" t="n">
        <v>46232</v>
      </c>
      <c r="B3043" s="1" t="n">
        <v>20089</v>
      </c>
      <c r="C3043" s="1" t="inlineStr">
        <is>
          <t>012</t>
        </is>
      </c>
      <c r="D3043" s="1" t="inlineStr">
        <is>
          <t xml:space="preserve">98423 </t>
        </is>
      </c>
      <c r="E3043" s="1" t="inlineStr">
        <is>
          <t xml:space="preserve">28194767       </t>
        </is>
      </c>
      <c r="F3043" s="5" t="inlineStr">
        <is>
          <t>CAMIONES TEAMSTERZ DE EMERGENCIA</t>
        </is>
      </c>
      <c r="G3043" t="n">
        <v>1</v>
      </c>
      <c r="H3043" s="7" t="n">
        <v>17.9</v>
      </c>
      <c r="I3043" s="7" t="n">
        <v>0</v>
      </c>
      <c r="J3043" s="7" t="n">
        <v>0</v>
      </c>
      <c r="K3043" s="9" t="n">
        <v>0</v>
      </c>
      <c r="L3043" s="10" t="n">
        <v>10.62</v>
      </c>
      <c r="M3043" s="10" t="n">
        <v>1.43</v>
      </c>
      <c r="N3043" t="inlineStr">
        <is>
          <t>1</t>
        </is>
      </c>
      <c r="O3043" t="inlineStr">
        <is>
          <t xml:space="preserve">2 </t>
        </is>
      </c>
      <c r="P3043" t="inlineStr">
        <is>
          <t xml:space="preserve">66808   </t>
        </is>
      </c>
      <c r="Q3043" s="26" t="n">
        <v>17.9</v>
      </c>
      <c r="R3043" s="26">
        <f>Q3043*G3043</f>
        <v/>
      </c>
      <c r="S3043" t="n">
        <v>10.62</v>
      </c>
      <c r="T3043" s="18">
        <f>1 - V3043/S3043</f>
        <v/>
      </c>
      <c r="U3043" s="18" t="n">
        <v>0</v>
      </c>
      <c r="V3043" s="26" t="n">
        <v>10.62</v>
      </c>
      <c r="W3043" s="26">
        <f>V3043 - L3043</f>
        <v/>
      </c>
    </row>
    <row r="3044">
      <c r="A3044" s="11" t="n">
        <v>46232</v>
      </c>
      <c r="B3044" s="1" t="n">
        <v>20089</v>
      </c>
      <c r="C3044" s="1" t="inlineStr">
        <is>
          <t>026</t>
        </is>
      </c>
      <c r="D3044" s="1" t="inlineStr">
        <is>
          <t xml:space="preserve">88950 </t>
        </is>
      </c>
      <c r="E3044" s="1" t="inlineStr">
        <is>
          <t xml:space="preserve">28194782       </t>
        </is>
      </c>
      <c r="F3044" s="5" t="inlineStr">
        <is>
          <t>TROMPO BATALLA INFINITY NADO SERIE V ORIGINAL SURT</t>
        </is>
      </c>
      <c r="G3044" t="n">
        <v>1</v>
      </c>
      <c r="H3044" s="7" t="n">
        <v>49.9</v>
      </c>
      <c r="I3044" s="7" t="n">
        <v>0</v>
      </c>
      <c r="J3044" s="7" t="n">
        <v>0</v>
      </c>
      <c r="K3044" s="9" t="n">
        <v>0</v>
      </c>
      <c r="L3044" s="10" t="n">
        <v>29.6</v>
      </c>
      <c r="M3044" s="10" t="n">
        <v>1.43</v>
      </c>
      <c r="N3044" t="inlineStr">
        <is>
          <t>1</t>
        </is>
      </c>
      <c r="O3044" t="inlineStr">
        <is>
          <t xml:space="preserve">2 </t>
        </is>
      </c>
      <c r="P3044" t="inlineStr">
        <is>
          <t xml:space="preserve">233031  </t>
        </is>
      </c>
      <c r="Q3044" s="26" t="n">
        <v>69.90000000000001</v>
      </c>
      <c r="R3044" s="26">
        <f>Q3044*G3044</f>
        <v/>
      </c>
      <c r="S3044" t="n">
        <v>41.47</v>
      </c>
      <c r="T3044" s="18">
        <f>1 - V3044/S3044</f>
        <v/>
      </c>
      <c r="U3044" s="18" t="n">
        <v>0.2861230329041489</v>
      </c>
      <c r="V3044" s="26" t="n">
        <v>31.71610169491525</v>
      </c>
      <c r="W3044" s="26">
        <f>V3044 - L3044</f>
        <v/>
      </c>
    </row>
    <row r="3045">
      <c r="A3045" s="11" t="n">
        <v>46232</v>
      </c>
      <c r="B3045" s="1" t="n">
        <v>20089</v>
      </c>
      <c r="C3045" s="1" t="inlineStr">
        <is>
          <t>026</t>
        </is>
      </c>
      <c r="D3045" s="1" t="inlineStr">
        <is>
          <t xml:space="preserve">88957 </t>
        </is>
      </c>
      <c r="E3045" s="1" t="inlineStr">
        <is>
          <t xml:space="preserve">30141766       </t>
        </is>
      </c>
      <c r="F3045" s="5" t="inlineStr">
        <is>
          <t>TMZ BEAST MACHINES AUTOS DE METAL BLISTER X 1</t>
        </is>
      </c>
      <c r="G3045" t="n">
        <v>1</v>
      </c>
      <c r="H3045" s="7" t="n">
        <v>7.9</v>
      </c>
      <c r="I3045" s="7" t="n">
        <v>0</v>
      </c>
      <c r="J3045" s="7" t="n">
        <v>0</v>
      </c>
      <c r="K3045" s="9" t="n">
        <v>0</v>
      </c>
      <c r="L3045" s="10" t="n">
        <v>4.68</v>
      </c>
      <c r="M3045" s="10" t="n">
        <v>1.43</v>
      </c>
      <c r="N3045" t="inlineStr">
        <is>
          <t>1</t>
        </is>
      </c>
      <c r="O3045" t="inlineStr">
        <is>
          <t xml:space="preserve">2 </t>
        </is>
      </c>
      <c r="P3045" t="inlineStr">
        <is>
          <t xml:space="preserve">233031  </t>
        </is>
      </c>
      <c r="Q3045" s="26" t="n">
        <v>7.9</v>
      </c>
      <c r="R3045" s="26">
        <f>Q3045*G3045</f>
        <v/>
      </c>
      <c r="S3045" t="n">
        <v>4.69</v>
      </c>
      <c r="T3045" s="18">
        <f>1 - V3045/S3045</f>
        <v/>
      </c>
      <c r="U3045" s="18" t="n">
        <v>0</v>
      </c>
      <c r="V3045" s="26" t="n">
        <v>4.69</v>
      </c>
      <c r="W3045" s="26">
        <f>V3045 - L3045</f>
        <v/>
      </c>
    </row>
    <row r="3046">
      <c r="A3046" s="11" t="n">
        <v>46232</v>
      </c>
      <c r="B3046" s="1" t="n">
        <v>20089</v>
      </c>
      <c r="C3046" s="1" t="inlineStr">
        <is>
          <t>026</t>
        </is>
      </c>
      <c r="D3046" s="1" t="inlineStr">
        <is>
          <t xml:space="preserve">88957 </t>
        </is>
      </c>
      <c r="E3046" s="1" t="inlineStr">
        <is>
          <t xml:space="preserve">30141766       </t>
        </is>
      </c>
      <c r="F3046" s="5" t="inlineStr">
        <is>
          <t>TMZ BEAST MACHINES AUTOS DE METAL BLISTER X 1</t>
        </is>
      </c>
      <c r="G3046" t="n">
        <v>1</v>
      </c>
      <c r="H3046" s="7" t="n">
        <v>7.9</v>
      </c>
      <c r="I3046" s="7" t="n">
        <v>0</v>
      </c>
      <c r="J3046" s="7" t="n">
        <v>0</v>
      </c>
      <c r="K3046" s="9" t="n">
        <v>0</v>
      </c>
      <c r="L3046" s="10" t="n">
        <v>4.68</v>
      </c>
      <c r="M3046" s="10" t="n">
        <v>1.43</v>
      </c>
      <c r="N3046" t="inlineStr">
        <is>
          <t>1</t>
        </is>
      </c>
      <c r="O3046" t="inlineStr">
        <is>
          <t xml:space="preserve">2 </t>
        </is>
      </c>
      <c r="P3046" t="inlineStr">
        <is>
          <t xml:space="preserve">233031  </t>
        </is>
      </c>
      <c r="Q3046" s="26" t="n">
        <v>7.9</v>
      </c>
      <c r="R3046" s="26">
        <f>Q3046*G3046</f>
        <v/>
      </c>
      <c r="S3046" t="n">
        <v>4.69</v>
      </c>
      <c r="T3046" s="18">
        <f>1 - V3046/S3046</f>
        <v/>
      </c>
      <c r="U3046" s="18" t="n">
        <v>0</v>
      </c>
      <c r="V3046" s="26" t="n">
        <v>4.69</v>
      </c>
      <c r="W3046" s="26">
        <f>V3046 - L3046</f>
        <v/>
      </c>
    </row>
    <row r="3047">
      <c r="A3047" s="11" t="n">
        <v>46232</v>
      </c>
      <c r="B3047" s="1" t="n">
        <v>20089</v>
      </c>
      <c r="C3047" s="1" t="inlineStr">
        <is>
          <t>026</t>
        </is>
      </c>
      <c r="D3047" s="1" t="inlineStr">
        <is>
          <t xml:space="preserve">89004 </t>
        </is>
      </c>
      <c r="E3047" s="1" t="inlineStr">
        <is>
          <t xml:space="preserve">30141766       </t>
        </is>
      </c>
      <c r="F3047" s="5" t="inlineStr">
        <is>
          <t>TMZ BEAST MACHINES AUTOS DE METAL BLISTER X 1</t>
        </is>
      </c>
      <c r="G3047" t="n">
        <v>1</v>
      </c>
      <c r="H3047" s="7" t="n">
        <v>7.9</v>
      </c>
      <c r="I3047" s="7" t="n">
        <v>0</v>
      </c>
      <c r="J3047" s="7" t="n">
        <v>0</v>
      </c>
      <c r="K3047" s="9" t="n">
        <v>0</v>
      </c>
      <c r="L3047" s="10" t="n">
        <v>4.68</v>
      </c>
      <c r="M3047" s="10" t="n">
        <v>1.43</v>
      </c>
      <c r="N3047" t="inlineStr">
        <is>
          <t>1</t>
        </is>
      </c>
      <c r="O3047" t="inlineStr">
        <is>
          <t>16</t>
        </is>
      </c>
      <c r="P3047" t="inlineStr">
        <is>
          <t xml:space="preserve">233031  </t>
        </is>
      </c>
      <c r="Q3047" s="26" t="n">
        <v>7.9</v>
      </c>
      <c r="R3047" s="26">
        <f>Q3047*G3047</f>
        <v/>
      </c>
      <c r="S3047" t="n">
        <v>4.69</v>
      </c>
      <c r="T3047" s="18">
        <f>1 - V3047/S3047</f>
        <v/>
      </c>
      <c r="U3047" s="18" t="n">
        <v>0</v>
      </c>
      <c r="V3047" s="26" t="n">
        <v>4.69</v>
      </c>
      <c r="W3047" s="26">
        <f>V3047 - L3047</f>
        <v/>
      </c>
    </row>
    <row r="3048">
      <c r="A3048" s="11" t="n">
        <v>46232</v>
      </c>
      <c r="B3048" s="1" t="n">
        <v>20089</v>
      </c>
      <c r="C3048" s="1" t="inlineStr">
        <is>
          <t>026</t>
        </is>
      </c>
      <c r="D3048" s="1" t="inlineStr">
        <is>
          <t xml:space="preserve">89011 </t>
        </is>
      </c>
      <c r="E3048" s="1" t="inlineStr">
        <is>
          <t xml:space="preserve">28194770       </t>
        </is>
      </c>
      <c r="F3048" s="5" t="inlineStr">
        <is>
          <t>AUTOS DE METAL 3 TEAMSTERZ EN BLISTER</t>
        </is>
      </c>
      <c r="G3048" t="n">
        <v>1</v>
      </c>
      <c r="H3048" s="7" t="n">
        <v>6.9</v>
      </c>
      <c r="I3048" s="7" t="n">
        <v>0</v>
      </c>
      <c r="J3048" s="7" t="n">
        <v>0</v>
      </c>
      <c r="K3048" s="9" t="n">
        <v>0</v>
      </c>
      <c r="L3048" s="10" t="n">
        <v>4.1</v>
      </c>
      <c r="M3048" s="10" t="n">
        <v>1.43</v>
      </c>
      <c r="N3048" t="inlineStr">
        <is>
          <t>1</t>
        </is>
      </c>
      <c r="O3048" t="inlineStr">
        <is>
          <t xml:space="preserve">2 </t>
        </is>
      </c>
      <c r="P3048" t="inlineStr">
        <is>
          <t xml:space="preserve">233031  </t>
        </is>
      </c>
      <c r="Q3048" s="26" t="n">
        <v>6.9</v>
      </c>
      <c r="R3048" s="26">
        <f>Q3048*G3048</f>
        <v/>
      </c>
      <c r="S3048" t="n">
        <v>4.09</v>
      </c>
      <c r="T3048" s="18">
        <f>1 - V3048/S3048</f>
        <v/>
      </c>
      <c r="U3048" s="18" t="n">
        <v>0</v>
      </c>
      <c r="V3048" s="26" t="n">
        <v>4.09</v>
      </c>
      <c r="W3048" s="26">
        <f>V3048 - L3048</f>
        <v/>
      </c>
    </row>
    <row r="3049">
      <c r="A3049" s="11" t="n">
        <v>46232</v>
      </c>
      <c r="B3049" s="1" t="n">
        <v>20089</v>
      </c>
      <c r="C3049" s="1" t="inlineStr">
        <is>
          <t>860</t>
        </is>
      </c>
      <c r="D3049" s="1" t="inlineStr">
        <is>
          <t xml:space="preserve">21    </t>
        </is>
      </c>
      <c r="E3049" s="1" t="inlineStr">
        <is>
          <t xml:space="preserve">28194770       </t>
        </is>
      </c>
      <c r="F3049" s="5" t="inlineStr">
        <is>
          <t>AUTOS DE METAL 3 TEAMSTERZ EN BLISTER</t>
        </is>
      </c>
      <c r="G3049" t="n">
        <v>1</v>
      </c>
      <c r="H3049" s="7" t="n">
        <v>6.9</v>
      </c>
      <c r="I3049" s="7" t="n">
        <v>0</v>
      </c>
      <c r="J3049" s="7" t="n">
        <v>0</v>
      </c>
      <c r="K3049" s="9" t="n">
        <v>0</v>
      </c>
      <c r="L3049" s="10" t="n">
        <v>4.1</v>
      </c>
      <c r="M3049" s="10" t="n">
        <v>1.43</v>
      </c>
      <c r="N3049" t="inlineStr">
        <is>
          <t>1</t>
        </is>
      </c>
      <c r="O3049" t="inlineStr">
        <is>
          <t>16</t>
        </is>
      </c>
      <c r="P3049" t="inlineStr">
        <is>
          <t xml:space="preserve">0       </t>
        </is>
      </c>
      <c r="Q3049" s="26" t="n">
        <v>6.9</v>
      </c>
      <c r="R3049" s="26">
        <f>Q3049*G3049</f>
        <v/>
      </c>
      <c r="S3049" t="n">
        <v>4.09</v>
      </c>
      <c r="T3049" s="18">
        <f>1 - V3049/S3049</f>
        <v/>
      </c>
      <c r="U3049" s="18" t="n">
        <v>0</v>
      </c>
      <c r="V3049" s="26" t="n">
        <v>4.09</v>
      </c>
      <c r="W3049" s="26">
        <f>V3049 - L3049</f>
        <v/>
      </c>
    </row>
    <row r="3050">
      <c r="A3050" s="11" t="n">
        <v>46232</v>
      </c>
      <c r="B3050" s="1" t="n">
        <v>20089</v>
      </c>
      <c r="C3050" s="1" t="inlineStr">
        <is>
          <t>860</t>
        </is>
      </c>
      <c r="D3050" s="1" t="inlineStr">
        <is>
          <t xml:space="preserve">56    </t>
        </is>
      </c>
      <c r="E3050" s="1" t="inlineStr">
        <is>
          <t xml:space="preserve">28194768       </t>
        </is>
      </c>
      <c r="F3050" s="5" t="inlineStr">
        <is>
          <t>AUTO COLOR CHANGE TEAMSTERZ SURTIDO</t>
        </is>
      </c>
      <c r="G3050" t="n">
        <v>3</v>
      </c>
      <c r="H3050" s="7" t="n">
        <v>44.7</v>
      </c>
      <c r="I3050" s="7" t="n">
        <v>4.47</v>
      </c>
      <c r="J3050" s="7" t="n">
        <v>0</v>
      </c>
      <c r="K3050" s="9" t="n">
        <v>4.47</v>
      </c>
      <c r="L3050" s="10" t="n">
        <v>23.85</v>
      </c>
      <c r="M3050" s="10" t="n">
        <v>1.43</v>
      </c>
      <c r="N3050" t="inlineStr">
        <is>
          <t>1</t>
        </is>
      </c>
      <c r="O3050" t="inlineStr">
        <is>
          <t>16</t>
        </is>
      </c>
      <c r="P3050" t="inlineStr">
        <is>
          <t xml:space="preserve">0       </t>
        </is>
      </c>
      <c r="Q3050" s="26" t="n">
        <v>14.9</v>
      </c>
      <c r="R3050" s="26">
        <f>Q3050*G3050</f>
        <v/>
      </c>
      <c r="S3050" t="n">
        <v>26.52</v>
      </c>
      <c r="T3050" s="18">
        <f>1 - V3050/S3050</f>
        <v/>
      </c>
      <c r="U3050" s="18" t="n">
        <v>0</v>
      </c>
      <c r="V3050" s="26" t="n">
        <v>26.52</v>
      </c>
      <c r="W3050" s="26">
        <f>V3050 - L3050</f>
        <v/>
      </c>
    </row>
    <row r="3051">
      <c r="A3051" s="11" t="n">
        <v>46232</v>
      </c>
      <c r="B3051" s="1" t="n">
        <v>20095</v>
      </c>
      <c r="C3051" s="1" t="inlineStr">
        <is>
          <t>026</t>
        </is>
      </c>
      <c r="D3051" s="1" t="inlineStr">
        <is>
          <t xml:space="preserve">56612 </t>
        </is>
      </c>
      <c r="E3051" s="1" t="inlineStr">
        <is>
          <t xml:space="preserve">32457099       </t>
        </is>
      </c>
      <c r="F3051" s="5" t="inlineStr">
        <is>
          <t>TMZ BEAST MACHINES MONSTER JAWS A FRICCION BLISTER</t>
        </is>
      </c>
      <c r="G3051" t="n">
        <v>1</v>
      </c>
      <c r="H3051" s="7" t="n">
        <v>17.9</v>
      </c>
      <c r="I3051" s="7" t="n">
        <v>0</v>
      </c>
      <c r="J3051" s="7" t="n">
        <v>0</v>
      </c>
      <c r="K3051" s="9" t="n">
        <v>0</v>
      </c>
      <c r="L3051" s="10" t="n">
        <v>10.62</v>
      </c>
      <c r="M3051" s="10" t="n">
        <v>1.43</v>
      </c>
      <c r="N3051" t="inlineStr">
        <is>
          <t>1</t>
        </is>
      </c>
      <c r="O3051" t="inlineStr">
        <is>
          <t>16</t>
        </is>
      </c>
      <c r="P3051" t="inlineStr">
        <is>
          <t xml:space="preserve">250275  </t>
        </is>
      </c>
      <c r="Q3051" s="26" t="n">
        <v>19.9</v>
      </c>
      <c r="R3051" s="26">
        <f>Q3051*G3051</f>
        <v/>
      </c>
      <c r="S3051" t="n">
        <v>11.81</v>
      </c>
      <c r="T3051" s="18">
        <f>1 - V3051/S3051</f>
        <v/>
      </c>
      <c r="U3051" s="18" t="n">
        <v>0.1005025125628141</v>
      </c>
      <c r="V3051" s="26" t="n">
        <v>8.417118644067797</v>
      </c>
      <c r="W3051" s="26">
        <f>V3051 - L3051</f>
        <v/>
      </c>
    </row>
    <row r="3052">
      <c r="A3052" s="11" t="n">
        <v>46232</v>
      </c>
      <c r="B3052" s="1" t="n">
        <v>20095</v>
      </c>
      <c r="C3052" s="1" t="inlineStr">
        <is>
          <t>026</t>
        </is>
      </c>
      <c r="D3052" s="1" t="inlineStr">
        <is>
          <t xml:space="preserve">56612 </t>
        </is>
      </c>
      <c r="E3052" s="1" t="inlineStr">
        <is>
          <t xml:space="preserve">32457099       </t>
        </is>
      </c>
      <c r="F3052" s="5" t="inlineStr">
        <is>
          <t>TMZ BEAST MACHINES MONSTER JAWS A FRICCION BLISTER</t>
        </is>
      </c>
      <c r="G3052" t="n">
        <v>1</v>
      </c>
      <c r="H3052" s="7" t="n">
        <v>17.9</v>
      </c>
      <c r="I3052" s="7" t="n">
        <v>0</v>
      </c>
      <c r="J3052" s="7" t="n">
        <v>0</v>
      </c>
      <c r="K3052" s="9" t="n">
        <v>0</v>
      </c>
      <c r="L3052" s="10" t="n">
        <v>10.62</v>
      </c>
      <c r="M3052" s="10" t="n">
        <v>1.43</v>
      </c>
      <c r="N3052" t="inlineStr">
        <is>
          <t>1</t>
        </is>
      </c>
      <c r="O3052" t="inlineStr">
        <is>
          <t>16</t>
        </is>
      </c>
      <c r="P3052" t="inlineStr">
        <is>
          <t xml:space="preserve">250275  </t>
        </is>
      </c>
      <c r="Q3052" s="26" t="n">
        <v>19.9</v>
      </c>
      <c r="R3052" s="26">
        <f>Q3052*G3052</f>
        <v/>
      </c>
      <c r="S3052" t="n">
        <v>11.81</v>
      </c>
      <c r="T3052" s="18">
        <f>1 - V3052/S3052</f>
        <v/>
      </c>
      <c r="U3052" s="18" t="n">
        <v>0.1005025125628141</v>
      </c>
      <c r="V3052" s="26" t="n">
        <v>8.417118644067797</v>
      </c>
      <c r="W3052" s="26">
        <f>V3052 - L3052</f>
        <v/>
      </c>
    </row>
    <row r="3053">
      <c r="A3053" s="11" t="n">
        <v>46232</v>
      </c>
      <c r="B3053" s="1" t="n">
        <v>20095</v>
      </c>
      <c r="C3053" s="1" t="inlineStr">
        <is>
          <t>026</t>
        </is>
      </c>
      <c r="D3053" s="1" t="inlineStr">
        <is>
          <t xml:space="preserve">56612 </t>
        </is>
      </c>
      <c r="E3053" s="1" t="inlineStr">
        <is>
          <t xml:space="preserve">32457103       </t>
        </is>
      </c>
      <c r="F3053" s="5" t="inlineStr">
        <is>
          <t>TMZ BEAST MACHINES MONSTER JAWS A FRICCION PACK DE</t>
        </is>
      </c>
      <c r="G3053" t="n">
        <v>1</v>
      </c>
      <c r="H3053" s="7" t="n">
        <v>32.9</v>
      </c>
      <c r="I3053" s="7" t="n">
        <v>0</v>
      </c>
      <c r="J3053" s="7" t="n">
        <v>0</v>
      </c>
      <c r="K3053" s="9" t="n">
        <v>0</v>
      </c>
      <c r="L3053" s="10" t="n">
        <v>19.52</v>
      </c>
      <c r="M3053" s="10" t="n">
        <v>1.43</v>
      </c>
      <c r="N3053" t="inlineStr">
        <is>
          <t>1</t>
        </is>
      </c>
      <c r="O3053" t="inlineStr">
        <is>
          <t>16</t>
        </is>
      </c>
      <c r="P3053" t="inlineStr">
        <is>
          <t xml:space="preserve">250275  </t>
        </is>
      </c>
      <c r="Q3053" s="26" t="n">
        <v>37.9</v>
      </c>
      <c r="R3053" s="26">
        <f>Q3053*G3053</f>
        <v/>
      </c>
      <c r="S3053" t="n">
        <v>22.48</v>
      </c>
      <c r="T3053" s="18">
        <f>1 - V3053/S3053</f>
        <v/>
      </c>
      <c r="U3053" s="18" t="n">
        <v>0.1319261213720316</v>
      </c>
      <c r="V3053" s="26" t="n">
        <v>16.75101694915254</v>
      </c>
      <c r="W3053" s="26">
        <f>V3053 - L3053</f>
        <v/>
      </c>
    </row>
    <row r="3054">
      <c r="A3054" s="11" t="n">
        <v>46232</v>
      </c>
      <c r="B3054" s="1" t="n">
        <v>20095</v>
      </c>
      <c r="C3054" s="1" t="inlineStr">
        <is>
          <t>043</t>
        </is>
      </c>
      <c r="D3054" s="1" t="inlineStr">
        <is>
          <t>109056</t>
        </is>
      </c>
      <c r="E3054" s="1" t="inlineStr">
        <is>
          <t xml:space="preserve">28194769       </t>
        </is>
      </c>
      <c r="F3054" s="5" t="inlineStr">
        <is>
          <t>AUTOS DE METAL 3 TEAMSTERZ PACK DE 2</t>
        </is>
      </c>
      <c r="G3054" t="n">
        <v>1</v>
      </c>
      <c r="H3054" s="7" t="n">
        <v>13.8</v>
      </c>
      <c r="I3054" s="7" t="n">
        <v>0</v>
      </c>
      <c r="J3054" s="7" t="n">
        <v>0</v>
      </c>
      <c r="K3054" s="9" t="n">
        <v>0</v>
      </c>
      <c r="L3054" s="10" t="n">
        <v>8.18</v>
      </c>
      <c r="M3054" s="10" t="n">
        <v>1.43</v>
      </c>
      <c r="N3054" t="inlineStr">
        <is>
          <t>1</t>
        </is>
      </c>
      <c r="O3054" t="inlineStr">
        <is>
          <t>16</t>
        </is>
      </c>
      <c r="P3054" t="inlineStr">
        <is>
          <t xml:space="preserve">248294  </t>
        </is>
      </c>
      <c r="Q3054" s="26" t="n">
        <v>13.8</v>
      </c>
      <c r="R3054" s="26">
        <f>Q3054*G3054</f>
        <v/>
      </c>
      <c r="S3054" t="n">
        <v>8.19</v>
      </c>
      <c r="T3054" s="18">
        <f>1 - V3054/S3054</f>
        <v/>
      </c>
      <c r="U3054" s="18" t="n">
        <v>0</v>
      </c>
      <c r="V3054" s="26" t="n">
        <v>8.19</v>
      </c>
      <c r="W3054" s="26">
        <f>V3054 - L3054</f>
        <v/>
      </c>
    </row>
    <row r="3055">
      <c r="A3055" s="11" t="n">
        <v>46232</v>
      </c>
      <c r="B3055" s="1" t="n">
        <v>20095</v>
      </c>
      <c r="C3055" s="1" t="inlineStr">
        <is>
          <t>043</t>
        </is>
      </c>
      <c r="D3055" s="1" t="inlineStr">
        <is>
          <t>109056</t>
        </is>
      </c>
      <c r="E3055" s="1" t="inlineStr">
        <is>
          <t xml:space="preserve">29235712       </t>
        </is>
      </c>
      <c r="F3055" s="5" t="inlineStr">
        <is>
          <t>TEAMSTERZ DISPARADOR DINOSAURIO INCL. 1 AUTO</t>
        </is>
      </c>
      <c r="G3055" t="n">
        <v>1</v>
      </c>
      <c r="H3055" s="7" t="n">
        <v>12.9</v>
      </c>
      <c r="I3055" s="7" t="n">
        <v>0</v>
      </c>
      <c r="J3055" s="7" t="n">
        <v>0</v>
      </c>
      <c r="K3055" s="9" t="n">
        <v>0</v>
      </c>
      <c r="L3055" s="10" t="n">
        <v>7.65</v>
      </c>
      <c r="M3055" s="10" t="n">
        <v>1.43</v>
      </c>
      <c r="N3055" t="inlineStr">
        <is>
          <t>1</t>
        </is>
      </c>
      <c r="O3055" t="inlineStr">
        <is>
          <t>16</t>
        </is>
      </c>
      <c r="P3055" t="inlineStr">
        <is>
          <t xml:space="preserve">248294  </t>
        </is>
      </c>
      <c r="Q3055" s="26" t="n">
        <v>29.9</v>
      </c>
      <c r="R3055" s="26">
        <f>Q3055*G3055</f>
        <v/>
      </c>
      <c r="S3055" t="n">
        <v>17.74</v>
      </c>
      <c r="T3055" s="18">
        <f>1 - V3055/S3055</f>
        <v/>
      </c>
      <c r="U3055" s="18" t="n">
        <v>0.568561872909699</v>
      </c>
      <c r="V3055" s="26" t="n">
        <v>9.29271186440678</v>
      </c>
      <c r="W3055" s="26">
        <f>V3055 - L3055</f>
        <v/>
      </c>
    </row>
    <row r="3056">
      <c r="A3056" s="11" t="n">
        <v>46233</v>
      </c>
      <c r="B3056" s="1" t="n">
        <v>20021</v>
      </c>
      <c r="C3056" s="1" t="inlineStr">
        <is>
          <t>022</t>
        </is>
      </c>
      <c r="D3056" s="1" t="inlineStr">
        <is>
          <t>137470</t>
        </is>
      </c>
      <c r="E3056" s="1" t="inlineStr">
        <is>
          <t xml:space="preserve">29235710       </t>
        </is>
      </c>
      <c r="F3056" s="5" t="inlineStr">
        <is>
          <t>TEAMSTERZ PLAYSET GRANDES CONSTRUCCIONES</t>
        </is>
      </c>
      <c r="G3056" t="n">
        <v>1</v>
      </c>
      <c r="H3056" s="7" t="n">
        <v>19.9</v>
      </c>
      <c r="I3056" s="7" t="n">
        <v>0</v>
      </c>
      <c r="J3056" s="7" t="n">
        <v>0</v>
      </c>
      <c r="K3056" s="9" t="n">
        <v>0</v>
      </c>
      <c r="L3056" s="10" t="n">
        <v>11.8</v>
      </c>
      <c r="M3056" s="10" t="n">
        <v>1.43</v>
      </c>
      <c r="N3056" t="inlineStr">
        <is>
          <t>1</t>
        </is>
      </c>
      <c r="O3056" t="inlineStr">
        <is>
          <t>16</t>
        </is>
      </c>
      <c r="P3056" t="inlineStr">
        <is>
          <t xml:space="preserve">61491   </t>
        </is>
      </c>
      <c r="Q3056" s="26" t="n">
        <v>19.9</v>
      </c>
      <c r="R3056" s="26">
        <f>Q3056*G3056</f>
        <v/>
      </c>
      <c r="S3056" t="n">
        <v>11.81</v>
      </c>
      <c r="T3056" s="18">
        <f>1 - V3056/S3056</f>
        <v/>
      </c>
      <c r="U3056" s="18" t="n">
        <v>0</v>
      </c>
      <c r="V3056" s="26" t="n">
        <v>11.81</v>
      </c>
      <c r="W3056" s="26">
        <f>V3056 - L3056</f>
        <v/>
      </c>
    </row>
    <row r="3057">
      <c r="A3057" s="11" t="n">
        <v>46233</v>
      </c>
      <c r="B3057" s="1" t="n">
        <v>20021</v>
      </c>
      <c r="C3057" s="1" t="inlineStr">
        <is>
          <t>022</t>
        </is>
      </c>
      <c r="D3057" s="1" t="inlineStr">
        <is>
          <t>137470</t>
        </is>
      </c>
      <c r="E3057" s="1" t="inlineStr">
        <is>
          <t xml:space="preserve">31959957       </t>
        </is>
      </c>
      <c r="F3057" s="5" t="inlineStr">
        <is>
          <t>TEAMSTERZ PLAYSET RESCATE EN EL MAR</t>
        </is>
      </c>
      <c r="G3057" t="n">
        <v>1</v>
      </c>
      <c r="H3057" s="7" t="n">
        <v>19.9</v>
      </c>
      <c r="I3057" s="7" t="n">
        <v>0</v>
      </c>
      <c r="J3057" s="7" t="n">
        <v>0</v>
      </c>
      <c r="K3057" s="9" t="n">
        <v>0</v>
      </c>
      <c r="L3057" s="10" t="n">
        <v>11.8</v>
      </c>
      <c r="M3057" s="10" t="n">
        <v>1.43</v>
      </c>
      <c r="N3057" t="inlineStr">
        <is>
          <t>1</t>
        </is>
      </c>
      <c r="O3057" t="inlineStr">
        <is>
          <t>16</t>
        </is>
      </c>
      <c r="P3057" t="inlineStr">
        <is>
          <t xml:space="preserve">61491   </t>
        </is>
      </c>
      <c r="Q3057" s="26" t="n">
        <v>19.9</v>
      </c>
      <c r="R3057" s="26">
        <f>Q3057*G3057</f>
        <v/>
      </c>
      <c r="S3057" t="n">
        <v>11.81</v>
      </c>
      <c r="T3057" s="18">
        <f>1 - V3057/S3057</f>
        <v/>
      </c>
      <c r="U3057" s="18" t="n">
        <v>0</v>
      </c>
      <c r="V3057" s="26" t="n">
        <v>11.81</v>
      </c>
      <c r="W3057" s="26">
        <f>V3057 - L3057</f>
        <v/>
      </c>
    </row>
    <row r="3058">
      <c r="A3058" s="11" t="n">
        <v>46233</v>
      </c>
      <c r="B3058" s="1" t="n">
        <v>20021</v>
      </c>
      <c r="C3058" s="1" t="inlineStr">
        <is>
          <t>051</t>
        </is>
      </c>
      <c r="D3058" s="1" t="inlineStr">
        <is>
          <t xml:space="preserve">7467  </t>
        </is>
      </c>
      <c r="E3058" s="1" t="inlineStr">
        <is>
          <t xml:space="preserve">34840552       </t>
        </is>
      </c>
      <c r="F3058" s="5" t="inlineStr">
        <is>
          <t>TMZ HELI POLICIA CON LUCES Y SONIDOS</t>
        </is>
      </c>
      <c r="G3058" t="n">
        <v>1</v>
      </c>
      <c r="H3058" s="7" t="n">
        <v>79.90000000000001</v>
      </c>
      <c r="I3058" s="7" t="n">
        <v>0</v>
      </c>
      <c r="J3058" s="7" t="n">
        <v>0</v>
      </c>
      <c r="K3058" s="9" t="n">
        <v>0</v>
      </c>
      <c r="L3058" s="10" t="n">
        <v>47.4</v>
      </c>
      <c r="M3058" s="10" t="n">
        <v>1.43</v>
      </c>
      <c r="N3058" t="inlineStr">
        <is>
          <t>1</t>
        </is>
      </c>
      <c r="O3058" t="inlineStr">
        <is>
          <t>16</t>
        </is>
      </c>
      <c r="P3058" t="inlineStr">
        <is>
          <t xml:space="preserve">81066   </t>
        </is>
      </c>
      <c r="Q3058" s="26" t="n">
        <v>79.90000000000002</v>
      </c>
      <c r="R3058" s="26">
        <f>Q3058*G3058</f>
        <v/>
      </c>
      <c r="S3058" t="n">
        <v>47.4</v>
      </c>
      <c r="T3058" s="18">
        <f>1 - V3058/S3058</f>
        <v/>
      </c>
      <c r="U3058" s="18" t="n">
        <v>0</v>
      </c>
      <c r="V3058" s="26" t="n">
        <v>47.4</v>
      </c>
      <c r="W3058" s="26">
        <f>V3058 - L3058</f>
        <v/>
      </c>
    </row>
    <row r="3059">
      <c r="A3059" s="11" t="n">
        <v>46233</v>
      </c>
      <c r="B3059" s="1" t="n">
        <v>20021</v>
      </c>
      <c r="C3059" s="1" t="inlineStr">
        <is>
          <t>055</t>
        </is>
      </c>
      <c r="D3059" s="1" t="inlineStr">
        <is>
          <t>156213</t>
        </is>
      </c>
      <c r="E3059" s="1" t="inlineStr">
        <is>
          <t xml:space="preserve">28194770       </t>
        </is>
      </c>
      <c r="F3059" s="5" t="inlineStr">
        <is>
          <t>AUTOS DE METAL 3 TEAMSTERZ EN BLISTER</t>
        </is>
      </c>
      <c r="G3059" t="n">
        <v>1</v>
      </c>
      <c r="H3059" s="7" t="n">
        <v>6.9</v>
      </c>
      <c r="I3059" s="7" t="n">
        <v>0</v>
      </c>
      <c r="J3059" s="7" t="n">
        <v>0</v>
      </c>
      <c r="K3059" s="9" t="n">
        <v>0</v>
      </c>
      <c r="L3059" s="10" t="n">
        <v>4.1</v>
      </c>
      <c r="M3059" s="10" t="n">
        <v>1.43</v>
      </c>
      <c r="N3059" t="inlineStr">
        <is>
          <t>1</t>
        </is>
      </c>
      <c r="O3059" t="inlineStr">
        <is>
          <t xml:space="preserve">3 </t>
        </is>
      </c>
      <c r="P3059" t="inlineStr">
        <is>
          <t xml:space="preserve">42929   </t>
        </is>
      </c>
      <c r="Q3059" s="26" t="n">
        <v>6.9</v>
      </c>
      <c r="R3059" s="26">
        <f>Q3059*G3059</f>
        <v/>
      </c>
      <c r="S3059" t="n">
        <v>4.09</v>
      </c>
      <c r="T3059" s="18">
        <f>1 - V3059/S3059</f>
        <v/>
      </c>
      <c r="U3059" s="18" t="n">
        <v>0</v>
      </c>
      <c r="V3059" s="26" t="n">
        <v>4.09</v>
      </c>
      <c r="W3059" s="26">
        <f>V3059 - L3059</f>
        <v/>
      </c>
    </row>
    <row r="3060">
      <c r="A3060" s="11" t="n">
        <v>46233</v>
      </c>
      <c r="B3060" s="1" t="n">
        <v>20021</v>
      </c>
      <c r="C3060" s="1" t="inlineStr">
        <is>
          <t>055</t>
        </is>
      </c>
      <c r="D3060" s="1" t="inlineStr">
        <is>
          <t>156223</t>
        </is>
      </c>
      <c r="E3060" s="1" t="inlineStr">
        <is>
          <t xml:space="preserve">28194770       </t>
        </is>
      </c>
      <c r="F3060" s="5" t="inlineStr">
        <is>
          <t>AUTOS DE METAL 3 TEAMSTERZ EN BLISTER</t>
        </is>
      </c>
      <c r="G3060" t="n">
        <v>1</v>
      </c>
      <c r="H3060" s="7" t="n">
        <v>6.9</v>
      </c>
      <c r="I3060" s="7" t="n">
        <v>0</v>
      </c>
      <c r="J3060" s="7" t="n">
        <v>0</v>
      </c>
      <c r="K3060" s="9" t="n">
        <v>0</v>
      </c>
      <c r="L3060" s="10" t="n">
        <v>4.1</v>
      </c>
      <c r="M3060" s="10" t="n">
        <v>1.43</v>
      </c>
      <c r="N3060" t="inlineStr">
        <is>
          <t>1</t>
        </is>
      </c>
      <c r="O3060" t="inlineStr">
        <is>
          <t>16</t>
        </is>
      </c>
      <c r="P3060" t="inlineStr">
        <is>
          <t xml:space="preserve">42929   </t>
        </is>
      </c>
      <c r="Q3060" s="26" t="n">
        <v>6.9</v>
      </c>
      <c r="R3060" s="26">
        <f>Q3060*G3060</f>
        <v/>
      </c>
      <c r="S3060" t="n">
        <v>4.09</v>
      </c>
      <c r="T3060" s="18">
        <f>1 - V3060/S3060</f>
        <v/>
      </c>
      <c r="U3060" s="18" t="n">
        <v>0</v>
      </c>
      <c r="V3060" s="26" t="n">
        <v>4.09</v>
      </c>
      <c r="W3060" s="26">
        <f>V3060 - L3060</f>
        <v/>
      </c>
    </row>
    <row r="3061">
      <c r="A3061" s="11" t="n">
        <v>46233</v>
      </c>
      <c r="B3061" s="1" t="n">
        <v>20021</v>
      </c>
      <c r="C3061" s="1" t="inlineStr">
        <is>
          <t>078</t>
        </is>
      </c>
      <c r="D3061" s="1" t="inlineStr">
        <is>
          <t>102035</t>
        </is>
      </c>
      <c r="E3061" s="1" t="inlineStr">
        <is>
          <t xml:space="preserve">28194770       </t>
        </is>
      </c>
      <c r="F3061" s="5" t="inlineStr">
        <is>
          <t>AUTOS DE METAL 3 TEAMSTERZ EN BLISTER</t>
        </is>
      </c>
      <c r="G3061" t="n">
        <v>1</v>
      </c>
      <c r="H3061" s="7" t="n">
        <v>6.9</v>
      </c>
      <c r="I3061" s="7" t="n">
        <v>0.68</v>
      </c>
      <c r="J3061" s="7" t="n">
        <v>0</v>
      </c>
      <c r="K3061" s="9" t="n">
        <v>0.68</v>
      </c>
      <c r="L3061" s="10" t="n">
        <v>3.69</v>
      </c>
      <c r="M3061" s="10" t="n">
        <v>1.43</v>
      </c>
      <c r="N3061" t="inlineStr">
        <is>
          <t>1</t>
        </is>
      </c>
      <c r="O3061" t="inlineStr">
        <is>
          <t xml:space="preserve">3 </t>
        </is>
      </c>
      <c r="P3061" t="inlineStr">
        <is>
          <t xml:space="preserve">109073  </t>
        </is>
      </c>
      <c r="Q3061" s="26" t="n">
        <v>6.9</v>
      </c>
      <c r="R3061" s="26">
        <f>Q3061*G3061</f>
        <v/>
      </c>
      <c r="S3061" t="n">
        <v>4.09</v>
      </c>
      <c r="T3061" s="18">
        <f>1 - V3061/S3061</f>
        <v/>
      </c>
      <c r="U3061" s="18" t="n">
        <v>0</v>
      </c>
      <c r="V3061" s="26" t="n">
        <v>4.09</v>
      </c>
      <c r="W3061" s="26">
        <f>V3061 - L3061</f>
        <v/>
      </c>
    </row>
    <row r="3062">
      <c r="A3062" s="11" t="n">
        <v>46233</v>
      </c>
      <c r="B3062" s="1" t="n">
        <v>20021</v>
      </c>
      <c r="C3062" s="1" t="inlineStr">
        <is>
          <t>082</t>
        </is>
      </c>
      <c r="D3062" s="1" t="inlineStr">
        <is>
          <t>270829</t>
        </is>
      </c>
      <c r="E3062" s="1" t="inlineStr">
        <is>
          <t xml:space="preserve">28194769       </t>
        </is>
      </c>
      <c r="F3062" s="5" t="inlineStr">
        <is>
          <t>AUTOS DE METAL 3 TEAMSTERZ PACK DE 2</t>
        </is>
      </c>
      <c r="G3062" t="n">
        <v>1</v>
      </c>
      <c r="H3062" s="7" t="n">
        <v>13.8</v>
      </c>
      <c r="I3062" s="7" t="n">
        <v>0</v>
      </c>
      <c r="J3062" s="7" t="n">
        <v>0</v>
      </c>
      <c r="K3062" s="9" t="n">
        <v>0</v>
      </c>
      <c r="L3062" s="10" t="n">
        <v>8.18</v>
      </c>
      <c r="M3062" s="10" t="n">
        <v>1.43</v>
      </c>
      <c r="N3062" t="inlineStr">
        <is>
          <t>1</t>
        </is>
      </c>
      <c r="O3062" t="inlineStr">
        <is>
          <t xml:space="preserve">3 </t>
        </is>
      </c>
      <c r="P3062" t="inlineStr">
        <is>
          <t xml:space="preserve">249983  </t>
        </is>
      </c>
      <c r="Q3062" s="26" t="n">
        <v>13.8</v>
      </c>
      <c r="R3062" s="26">
        <f>Q3062*G3062</f>
        <v/>
      </c>
      <c r="S3062" t="n">
        <v>8.19</v>
      </c>
      <c r="T3062" s="18">
        <f>1 - V3062/S3062</f>
        <v/>
      </c>
      <c r="U3062" s="18" t="n">
        <v>0</v>
      </c>
      <c r="V3062" s="26" t="n">
        <v>8.19</v>
      </c>
      <c r="W3062" s="26">
        <f>V3062 - L3062</f>
        <v/>
      </c>
    </row>
    <row r="3063">
      <c r="A3063" s="11" t="n">
        <v>46233</v>
      </c>
      <c r="B3063" s="1" t="n">
        <v>20024</v>
      </c>
      <c r="C3063" s="1" t="inlineStr">
        <is>
          <t>015</t>
        </is>
      </c>
      <c r="D3063" s="1" t="inlineStr">
        <is>
          <t xml:space="preserve">19646 </t>
        </is>
      </c>
      <c r="E3063" s="1" t="inlineStr">
        <is>
          <t xml:space="preserve">28194770       </t>
        </is>
      </c>
      <c r="F3063" s="5" t="inlineStr">
        <is>
          <t>AUTOS DE METAL 3 TEAMSTERZ EN BLISTER</t>
        </is>
      </c>
      <c r="G3063" t="n">
        <v>1</v>
      </c>
      <c r="H3063" s="7" t="n">
        <v>6.9</v>
      </c>
      <c r="I3063" s="7" t="n">
        <v>0</v>
      </c>
      <c r="J3063" s="7" t="n">
        <v>0</v>
      </c>
      <c r="K3063" s="9" t="n">
        <v>0</v>
      </c>
      <c r="L3063" s="10" t="n">
        <v>4.1</v>
      </c>
      <c r="M3063" s="10" t="n">
        <v>1.43</v>
      </c>
      <c r="N3063" t="inlineStr">
        <is>
          <t>1</t>
        </is>
      </c>
      <c r="O3063" t="inlineStr">
        <is>
          <t>16</t>
        </is>
      </c>
      <c r="P3063" t="inlineStr">
        <is>
          <t xml:space="preserve">81108   </t>
        </is>
      </c>
      <c r="Q3063" s="26" t="n">
        <v>6.9</v>
      </c>
      <c r="R3063" s="26">
        <f>Q3063*G3063</f>
        <v/>
      </c>
      <c r="S3063" t="n">
        <v>4.09</v>
      </c>
      <c r="T3063" s="18">
        <f>1 - V3063/S3063</f>
        <v/>
      </c>
      <c r="U3063" s="18" t="n">
        <v>0</v>
      </c>
      <c r="V3063" s="26" t="n">
        <v>4.09</v>
      </c>
      <c r="W3063" s="26">
        <f>V3063 - L3063</f>
        <v/>
      </c>
    </row>
    <row r="3064">
      <c r="A3064" s="11" t="n">
        <v>46233</v>
      </c>
      <c r="B3064" s="1" t="n">
        <v>20024</v>
      </c>
      <c r="C3064" s="1" t="inlineStr">
        <is>
          <t>015</t>
        </is>
      </c>
      <c r="D3064" s="1" t="inlineStr">
        <is>
          <t xml:space="preserve">19646 </t>
        </is>
      </c>
      <c r="E3064" s="1" t="inlineStr">
        <is>
          <t xml:space="preserve">28194770       </t>
        </is>
      </c>
      <c r="F3064" s="5" t="inlineStr">
        <is>
          <t>AUTOS DE METAL 3 TEAMSTERZ EN BLISTER</t>
        </is>
      </c>
      <c r="G3064" t="n">
        <v>1</v>
      </c>
      <c r="H3064" s="7" t="n">
        <v>6.9</v>
      </c>
      <c r="I3064" s="7" t="n">
        <v>0</v>
      </c>
      <c r="J3064" s="7" t="n">
        <v>0</v>
      </c>
      <c r="K3064" s="9" t="n">
        <v>0</v>
      </c>
      <c r="L3064" s="10" t="n">
        <v>4.1</v>
      </c>
      <c r="M3064" s="10" t="n">
        <v>1.43</v>
      </c>
      <c r="N3064" t="inlineStr">
        <is>
          <t>1</t>
        </is>
      </c>
      <c r="O3064" t="inlineStr">
        <is>
          <t>16</t>
        </is>
      </c>
      <c r="P3064" t="inlineStr">
        <is>
          <t xml:space="preserve">81108   </t>
        </is>
      </c>
      <c r="Q3064" s="26" t="n">
        <v>6.9</v>
      </c>
      <c r="R3064" s="26">
        <f>Q3064*G3064</f>
        <v/>
      </c>
      <c r="S3064" t="n">
        <v>4.09</v>
      </c>
      <c r="T3064" s="18">
        <f>1 - V3064/S3064</f>
        <v/>
      </c>
      <c r="U3064" s="18" t="n">
        <v>0</v>
      </c>
      <c r="V3064" s="26" t="n">
        <v>4.09</v>
      </c>
      <c r="W3064" s="26">
        <f>V3064 - L3064</f>
        <v/>
      </c>
    </row>
    <row r="3065">
      <c r="A3065" s="11" t="n">
        <v>46233</v>
      </c>
      <c r="B3065" s="1" t="n">
        <v>20024</v>
      </c>
      <c r="C3065" s="1" t="inlineStr">
        <is>
          <t>020</t>
        </is>
      </c>
      <c r="D3065" s="1" t="inlineStr">
        <is>
          <t>255199</t>
        </is>
      </c>
      <c r="E3065" s="1" t="inlineStr">
        <is>
          <t xml:space="preserve">34840524       </t>
        </is>
      </c>
      <c r="F3065" s="5" t="inlineStr">
        <is>
          <t>NENUCO 5 FUNCIONES INTERACTIVAS</t>
        </is>
      </c>
      <c r="G3065" t="n">
        <v>1</v>
      </c>
      <c r="H3065" s="7" t="n">
        <v>69.90000000000001</v>
      </c>
      <c r="I3065" s="7" t="n">
        <v>0</v>
      </c>
      <c r="J3065" s="7" t="n">
        <v>0</v>
      </c>
      <c r="K3065" s="9" t="n">
        <v>0</v>
      </c>
      <c r="L3065" s="10" t="n">
        <v>41.47</v>
      </c>
      <c r="M3065" s="10" t="n">
        <v>1.43</v>
      </c>
      <c r="N3065" t="inlineStr">
        <is>
          <t>1</t>
        </is>
      </c>
      <c r="O3065" t="inlineStr">
        <is>
          <t>16</t>
        </is>
      </c>
      <c r="P3065" t="inlineStr">
        <is>
          <t xml:space="preserve">53109   </t>
        </is>
      </c>
      <c r="Q3065" s="26" t="n">
        <v>89.90000000000003</v>
      </c>
      <c r="R3065" s="26">
        <f>Q3065*G3065</f>
        <v/>
      </c>
      <c r="S3065" t="n">
        <v>53.33</v>
      </c>
      <c r="T3065" s="18">
        <f>1 - V3065/S3065</f>
        <v/>
      </c>
      <c r="U3065" s="18" t="n">
        <v>0.2224694104560623</v>
      </c>
      <c r="V3065" s="26" t="n">
        <v>44.42796610169492</v>
      </c>
      <c r="W3065" s="26">
        <f>V3065 - L3065</f>
        <v/>
      </c>
    </row>
    <row r="3066">
      <c r="A3066" s="11" t="n">
        <v>46233</v>
      </c>
      <c r="B3066" s="1" t="n">
        <v>20024</v>
      </c>
      <c r="C3066" s="1" t="inlineStr">
        <is>
          <t>032</t>
        </is>
      </c>
      <c r="D3066" s="1" t="inlineStr">
        <is>
          <t>366518</t>
        </is>
      </c>
      <c r="E3066" s="1" t="inlineStr">
        <is>
          <t xml:space="preserve">34840526       </t>
        </is>
      </c>
      <c r="F3066" s="5" t="inlineStr">
        <is>
          <t>NENUCO ABRACITOS</t>
        </is>
      </c>
      <c r="G3066" t="n">
        <v>1</v>
      </c>
      <c r="H3066" s="7" t="n">
        <v>89.90000000000001</v>
      </c>
      <c r="I3066" s="7" t="n">
        <v>0</v>
      </c>
      <c r="J3066" s="7" t="n">
        <v>0</v>
      </c>
      <c r="K3066" s="9" t="n">
        <v>0</v>
      </c>
      <c r="L3066" s="10" t="n">
        <v>53.33</v>
      </c>
      <c r="M3066" s="10" t="n">
        <v>1.43</v>
      </c>
      <c r="N3066" t="inlineStr">
        <is>
          <t>1</t>
        </is>
      </c>
      <c r="O3066" t="inlineStr">
        <is>
          <t>16</t>
        </is>
      </c>
      <c r="P3066" t="inlineStr">
        <is>
          <t xml:space="preserve">71372   </t>
        </is>
      </c>
      <c r="Q3066" s="26" t="n">
        <v>119</v>
      </c>
      <c r="R3066" s="26">
        <f>Q3066*G3066</f>
        <v/>
      </c>
      <c r="S3066" t="n">
        <v>70.59</v>
      </c>
      <c r="T3066" s="18">
        <f>1 - V3066/S3066</f>
        <v/>
      </c>
      <c r="U3066" s="18" t="n">
        <v>0.2445378151260503</v>
      </c>
      <c r="V3066" s="26" t="n">
        <v>60.94915254237289</v>
      </c>
      <c r="W3066" s="26">
        <f>V3066 - L3066</f>
        <v/>
      </c>
    </row>
    <row r="3067">
      <c r="A3067" s="11" t="n">
        <v>46233</v>
      </c>
      <c r="B3067" s="1" t="n">
        <v>20024</v>
      </c>
      <c r="C3067" s="1" t="inlineStr">
        <is>
          <t>109</t>
        </is>
      </c>
      <c r="D3067" s="1" t="inlineStr">
        <is>
          <t>235985</t>
        </is>
      </c>
      <c r="E3067" s="1" t="inlineStr">
        <is>
          <t xml:space="preserve">34840550       </t>
        </is>
      </c>
      <c r="F3067" s="5" t="inlineStr">
        <is>
          <t>TEAMSTERZ M/MOVERZ TRANSPORTA GORILA</t>
        </is>
      </c>
      <c r="G3067" t="n">
        <v>1</v>
      </c>
      <c r="H3067" s="7" t="n">
        <v>129</v>
      </c>
      <c r="I3067" s="7" t="n">
        <v>0</v>
      </c>
      <c r="J3067" s="7" t="n">
        <v>0</v>
      </c>
      <c r="K3067" s="9" t="n">
        <v>0</v>
      </c>
      <c r="L3067" s="10" t="n">
        <v>76.52</v>
      </c>
      <c r="M3067" s="10" t="n">
        <v>1.43</v>
      </c>
      <c r="N3067" t="inlineStr">
        <is>
          <t>1</t>
        </is>
      </c>
      <c r="O3067" t="inlineStr">
        <is>
          <t>16</t>
        </is>
      </c>
      <c r="P3067" t="inlineStr">
        <is>
          <t xml:space="preserve">240355  </t>
        </is>
      </c>
      <c r="Q3067" s="26" t="n">
        <v>129</v>
      </c>
      <c r="R3067" s="26">
        <f>Q3067*G3067</f>
        <v/>
      </c>
      <c r="S3067" t="n">
        <v>76.53</v>
      </c>
      <c r="T3067" s="18">
        <f>1 - V3067/S3067</f>
        <v/>
      </c>
      <c r="U3067" s="18" t="n">
        <v>0</v>
      </c>
      <c r="V3067" s="26" t="n">
        <v>76.53</v>
      </c>
      <c r="W3067" s="26">
        <f>V3067 - L3067</f>
        <v/>
      </c>
    </row>
    <row r="3068">
      <c r="A3068" s="11" t="n">
        <v>46233</v>
      </c>
      <c r="B3068" s="1" t="n">
        <v>20024</v>
      </c>
      <c r="C3068" s="1" t="inlineStr">
        <is>
          <t>802</t>
        </is>
      </c>
      <c r="D3068" s="1" t="inlineStr">
        <is>
          <t xml:space="preserve">550   </t>
        </is>
      </c>
      <c r="E3068" s="1" t="inlineStr">
        <is>
          <t xml:space="preserve">34840550       </t>
        </is>
      </c>
      <c r="F3068" s="5" t="inlineStr">
        <is>
          <t>TEAMSTERZ M/MOVERZ TRANSPORTA GORILA</t>
        </is>
      </c>
      <c r="G3068" t="n">
        <v>1</v>
      </c>
      <c r="H3068" s="7" t="n">
        <v>129</v>
      </c>
      <c r="I3068" s="7" t="n">
        <v>0</v>
      </c>
      <c r="J3068" s="7" t="n">
        <v>0</v>
      </c>
      <c r="K3068" s="9" t="n">
        <v>0</v>
      </c>
      <c r="L3068" s="10" t="n">
        <v>76.52</v>
      </c>
      <c r="M3068" s="10" t="n">
        <v>1.43</v>
      </c>
      <c r="N3068" t="inlineStr">
        <is>
          <t>1</t>
        </is>
      </c>
      <c r="O3068" t="inlineStr">
        <is>
          <t>16</t>
        </is>
      </c>
      <c r="P3068" t="inlineStr">
        <is>
          <t xml:space="preserve">0       </t>
        </is>
      </c>
      <c r="Q3068" s="26" t="n">
        <v>129</v>
      </c>
      <c r="R3068" s="26">
        <f>Q3068*G3068</f>
        <v/>
      </c>
      <c r="S3068" t="n">
        <v>76.53</v>
      </c>
      <c r="T3068" s="18">
        <f>1 - V3068/S3068</f>
        <v/>
      </c>
      <c r="U3068" s="18" t="n">
        <v>0</v>
      </c>
      <c r="V3068" s="26" t="n">
        <v>76.53</v>
      </c>
      <c r="W3068" s="26">
        <f>V3068 - L3068</f>
        <v/>
      </c>
    </row>
    <row r="3069">
      <c r="A3069" s="11" t="n">
        <v>46233</v>
      </c>
      <c r="B3069" s="1" t="n">
        <v>20024</v>
      </c>
      <c r="C3069" s="1" t="inlineStr">
        <is>
          <t>806</t>
        </is>
      </c>
      <c r="D3069" s="1" t="inlineStr">
        <is>
          <t xml:space="preserve">9640  </t>
        </is>
      </c>
      <c r="E3069" s="1" t="inlineStr">
        <is>
          <t xml:space="preserve">31800857       </t>
        </is>
      </c>
      <c r="F3069" s="5" t="inlineStr">
        <is>
          <t>DART ZONE BLITZFIRE TIRO RAPIDO BLASTER X1</t>
        </is>
      </c>
      <c r="G3069" t="n">
        <v>1</v>
      </c>
      <c r="H3069" s="7" t="n">
        <v>14.95</v>
      </c>
      <c r="I3069" s="7" t="n">
        <v>0</v>
      </c>
      <c r="J3069" s="7" t="n">
        <v>0</v>
      </c>
      <c r="K3069" s="9" t="n">
        <v>0</v>
      </c>
      <c r="L3069" s="10" t="n">
        <v>8.869999999999999</v>
      </c>
      <c r="M3069" s="10" t="n">
        <v>1.43</v>
      </c>
      <c r="N3069" t="inlineStr">
        <is>
          <t>1</t>
        </is>
      </c>
      <c r="O3069" t="inlineStr">
        <is>
          <t>16</t>
        </is>
      </c>
      <c r="P3069" t="inlineStr">
        <is>
          <t xml:space="preserve">0       </t>
        </is>
      </c>
      <c r="Q3069" s="26" t="n">
        <v>29.9</v>
      </c>
      <c r="R3069" s="26">
        <f>Q3069*G3069</f>
        <v/>
      </c>
      <c r="S3069" t="n">
        <v>17.74</v>
      </c>
      <c r="T3069" s="18">
        <f>1 - V3069/S3069</f>
        <v/>
      </c>
      <c r="U3069" s="18" t="n">
        <v>0.5</v>
      </c>
      <c r="V3069" s="26" t="n">
        <v>11.40271186440678</v>
      </c>
      <c r="W3069" s="26">
        <f>V3069 - L3069</f>
        <v/>
      </c>
    </row>
    <row r="3070">
      <c r="A3070" s="11" t="n">
        <v>46233</v>
      </c>
      <c r="B3070" s="1" t="n">
        <v>20025</v>
      </c>
      <c r="C3070" s="1" t="inlineStr">
        <is>
          <t>076</t>
        </is>
      </c>
      <c r="D3070" s="1" t="inlineStr">
        <is>
          <t>148745</t>
        </is>
      </c>
      <c r="E3070" s="1" t="inlineStr">
        <is>
          <t xml:space="preserve">31959961       </t>
        </is>
      </c>
      <c r="F3070" s="5" t="inlineStr">
        <is>
          <t>TEAMSTERZ CAMBIA DE COLOR PACK DE 3 AUTOS</t>
        </is>
      </c>
      <c r="G3070" t="n">
        <v>1</v>
      </c>
      <c r="H3070" s="7" t="n">
        <v>49.9</v>
      </c>
      <c r="I3070" s="7" t="n">
        <v>0</v>
      </c>
      <c r="J3070" s="7" t="n">
        <v>0</v>
      </c>
      <c r="K3070" s="9" t="n">
        <v>0</v>
      </c>
      <c r="L3070" s="10" t="n">
        <v>29.6</v>
      </c>
      <c r="M3070" s="10" t="n">
        <v>1.43</v>
      </c>
      <c r="N3070" t="inlineStr">
        <is>
          <t>1</t>
        </is>
      </c>
      <c r="O3070" t="inlineStr">
        <is>
          <t>16</t>
        </is>
      </c>
      <c r="P3070" t="inlineStr">
        <is>
          <t xml:space="preserve">22848   </t>
        </is>
      </c>
      <c r="Q3070" s="26" t="n">
        <v>49.9</v>
      </c>
      <c r="R3070" s="26">
        <f>Q3070*G3070</f>
        <v/>
      </c>
      <c r="S3070" t="n">
        <v>29.6</v>
      </c>
      <c r="T3070" s="18">
        <f>1 - V3070/S3070</f>
        <v/>
      </c>
      <c r="U3070" s="18" t="n">
        <v>0</v>
      </c>
      <c r="V3070" s="26" t="n">
        <v>29.6</v>
      </c>
      <c r="W3070" s="26">
        <f>V3070 - L3070</f>
        <v/>
      </c>
    </row>
    <row r="3071">
      <c r="A3071" s="11" t="n">
        <v>46233</v>
      </c>
      <c r="B3071" s="1" t="n">
        <v>20025</v>
      </c>
      <c r="C3071" s="1" t="inlineStr">
        <is>
          <t>076</t>
        </is>
      </c>
      <c r="D3071" s="1" t="inlineStr">
        <is>
          <t>148746</t>
        </is>
      </c>
      <c r="E3071" s="1" t="inlineStr">
        <is>
          <t xml:space="preserve">32457103       </t>
        </is>
      </c>
      <c r="F3071" s="5" t="inlineStr">
        <is>
          <t>TMZ BEAST MACHINES MONSTER JAWS A FRICCION PACK DE</t>
        </is>
      </c>
      <c r="G3071" t="n">
        <v>1</v>
      </c>
      <c r="H3071" s="7" t="n">
        <v>32.9</v>
      </c>
      <c r="I3071" s="7" t="n">
        <v>0</v>
      </c>
      <c r="J3071" s="7" t="n">
        <v>0</v>
      </c>
      <c r="K3071" s="9" t="n">
        <v>0</v>
      </c>
      <c r="L3071" s="10" t="n">
        <v>19.52</v>
      </c>
      <c r="M3071" s="10" t="n">
        <v>1.43</v>
      </c>
      <c r="N3071" t="inlineStr">
        <is>
          <t>1</t>
        </is>
      </c>
      <c r="O3071" t="inlineStr">
        <is>
          <t xml:space="preserve">2 </t>
        </is>
      </c>
      <c r="P3071" t="inlineStr">
        <is>
          <t xml:space="preserve">22848   </t>
        </is>
      </c>
      <c r="Q3071" s="26" t="n">
        <v>37.9</v>
      </c>
      <c r="R3071" s="26">
        <f>Q3071*G3071</f>
        <v/>
      </c>
      <c r="S3071" t="n">
        <v>22.48</v>
      </c>
      <c r="T3071" s="18">
        <f>1 - V3071/S3071</f>
        <v/>
      </c>
      <c r="U3071" s="18" t="n">
        <v>0.1319261213720316</v>
      </c>
      <c r="V3071" s="26" t="n">
        <v>16.75101694915254</v>
      </c>
      <c r="W3071" s="26">
        <f>V3071 - L3071</f>
        <v/>
      </c>
    </row>
    <row r="3072">
      <c r="A3072" s="11" t="n">
        <v>46233</v>
      </c>
      <c r="B3072" s="1" t="n">
        <v>20028</v>
      </c>
      <c r="C3072" s="1" t="inlineStr">
        <is>
          <t>021</t>
        </is>
      </c>
      <c r="D3072" s="1" t="inlineStr">
        <is>
          <t>186764</t>
        </is>
      </c>
      <c r="E3072" s="1" t="inlineStr">
        <is>
          <t xml:space="preserve">31959958       </t>
        </is>
      </c>
      <c r="F3072" s="5" t="inlineStr">
        <is>
          <t>TMZ BEAST MACHINE AUTOS DE METAL PACK 3 AUTOS</t>
        </is>
      </c>
      <c r="G3072" t="n">
        <v>1</v>
      </c>
      <c r="H3072" s="7" t="n">
        <v>23.7</v>
      </c>
      <c r="I3072" s="7" t="n">
        <v>0</v>
      </c>
      <c r="J3072" s="7" t="n">
        <v>0</v>
      </c>
      <c r="K3072" s="9" t="n">
        <v>0</v>
      </c>
      <c r="L3072" s="10" t="n">
        <v>14.06</v>
      </c>
      <c r="M3072" s="10" t="n">
        <v>1.43</v>
      </c>
      <c r="N3072" t="inlineStr">
        <is>
          <t>1</t>
        </is>
      </c>
      <c r="O3072" t="inlineStr">
        <is>
          <t>16</t>
        </is>
      </c>
      <c r="P3072" t="inlineStr">
        <is>
          <t xml:space="preserve">23685   </t>
        </is>
      </c>
      <c r="Q3072" s="26" t="n">
        <v>23.7</v>
      </c>
      <c r="R3072" s="26">
        <f>Q3072*G3072</f>
        <v/>
      </c>
      <c r="S3072" t="n">
        <v>14.06</v>
      </c>
      <c r="T3072" s="18">
        <f>1 - V3072/S3072</f>
        <v/>
      </c>
      <c r="U3072" s="18" t="n">
        <v>0</v>
      </c>
      <c r="V3072" s="26" t="n">
        <v>14.06</v>
      </c>
      <c r="W3072" s="26">
        <f>V3072 - L3072</f>
        <v/>
      </c>
    </row>
    <row r="3073">
      <c r="A3073" s="11" t="n">
        <v>46233</v>
      </c>
      <c r="B3073" s="1" t="n">
        <v>20028</v>
      </c>
      <c r="C3073" s="1" t="inlineStr">
        <is>
          <t>140</t>
        </is>
      </c>
      <c r="D3073" s="1" t="inlineStr">
        <is>
          <t>225683</t>
        </is>
      </c>
      <c r="E3073" s="1" t="inlineStr">
        <is>
          <t xml:space="preserve">28194782       </t>
        </is>
      </c>
      <c r="F3073" s="5" t="inlineStr">
        <is>
          <t>TROMPO BATALLA INFINITY NADO SERIE V ORIGINAL SURT</t>
        </is>
      </c>
      <c r="G3073" t="n">
        <v>1</v>
      </c>
      <c r="H3073" s="7" t="n">
        <v>49.9</v>
      </c>
      <c r="I3073" s="7" t="n">
        <v>0</v>
      </c>
      <c r="J3073" s="7" t="n">
        <v>0</v>
      </c>
      <c r="K3073" s="9" t="n">
        <v>0</v>
      </c>
      <c r="L3073" s="10" t="n">
        <v>29.6</v>
      </c>
      <c r="M3073" s="10" t="n">
        <v>1.43</v>
      </c>
      <c r="N3073" t="inlineStr">
        <is>
          <t>1</t>
        </is>
      </c>
      <c r="O3073" t="inlineStr">
        <is>
          <t>16</t>
        </is>
      </c>
      <c r="P3073" t="inlineStr">
        <is>
          <t xml:space="preserve">74495   </t>
        </is>
      </c>
      <c r="Q3073" s="26" t="n">
        <v>69.90000000000001</v>
      </c>
      <c r="R3073" s="26">
        <f>Q3073*G3073</f>
        <v/>
      </c>
      <c r="S3073" t="n">
        <v>41.47</v>
      </c>
      <c r="T3073" s="18">
        <f>1 - V3073/S3073</f>
        <v/>
      </c>
      <c r="U3073" s="18" t="n">
        <v>0.2861230329041489</v>
      </c>
      <c r="V3073" s="26" t="n">
        <v>31.71610169491525</v>
      </c>
      <c r="W3073" s="26">
        <f>V3073 - L3073</f>
        <v/>
      </c>
    </row>
    <row r="3074">
      <c r="A3074" s="11" t="n">
        <v>46233</v>
      </c>
      <c r="B3074" s="1" t="n">
        <v>20030</v>
      </c>
      <c r="C3074" s="1" t="inlineStr">
        <is>
          <t>067</t>
        </is>
      </c>
      <c r="D3074" s="1" t="inlineStr">
        <is>
          <t>275510</t>
        </is>
      </c>
      <c r="E3074" s="1" t="inlineStr">
        <is>
          <t xml:space="preserve">28194770       </t>
        </is>
      </c>
      <c r="F3074" s="5" t="inlineStr">
        <is>
          <t>AUTOS DE METAL 3 TEAMSTERZ EN BLISTER</t>
        </is>
      </c>
      <c r="G3074" t="n">
        <v>1</v>
      </c>
      <c r="H3074" s="7" t="n">
        <v>6.9</v>
      </c>
      <c r="I3074" s="7" t="n">
        <v>0</v>
      </c>
      <c r="J3074" s="7" t="n">
        <v>0</v>
      </c>
      <c r="K3074" s="9" t="n">
        <v>0</v>
      </c>
      <c r="L3074" s="10" t="n">
        <v>4.1</v>
      </c>
      <c r="M3074" s="10" t="n">
        <v>1.43</v>
      </c>
      <c r="N3074" t="inlineStr">
        <is>
          <t>1</t>
        </is>
      </c>
      <c r="O3074" t="inlineStr">
        <is>
          <t xml:space="preserve">3 </t>
        </is>
      </c>
      <c r="P3074" t="inlineStr">
        <is>
          <t xml:space="preserve">50377   </t>
        </is>
      </c>
      <c r="Q3074" s="26" t="n">
        <v>6.9</v>
      </c>
      <c r="R3074" s="26">
        <f>Q3074*G3074</f>
        <v/>
      </c>
      <c r="S3074" t="n">
        <v>4.09</v>
      </c>
      <c r="T3074" s="18">
        <f>1 - V3074/S3074</f>
        <v/>
      </c>
      <c r="U3074" s="18" t="n">
        <v>0</v>
      </c>
      <c r="V3074" s="26" t="n">
        <v>4.09</v>
      </c>
      <c r="W3074" s="26">
        <f>V3074 - L3074</f>
        <v/>
      </c>
    </row>
    <row r="3075">
      <c r="A3075" s="11" t="n">
        <v>46233</v>
      </c>
      <c r="B3075" s="1" t="n">
        <v>20030</v>
      </c>
      <c r="C3075" s="1" t="inlineStr">
        <is>
          <t>067</t>
        </is>
      </c>
      <c r="D3075" s="1" t="inlineStr">
        <is>
          <t>275510</t>
        </is>
      </c>
      <c r="E3075" s="1" t="inlineStr">
        <is>
          <t xml:space="preserve">30141766       </t>
        </is>
      </c>
      <c r="F3075" s="5" t="inlineStr">
        <is>
          <t>TMZ BEAST MACHINES AUTOS DE METAL BLISTER X 1</t>
        </is>
      </c>
      <c r="G3075" t="n">
        <v>1</v>
      </c>
      <c r="H3075" s="7" t="n">
        <v>7.9</v>
      </c>
      <c r="I3075" s="7" t="n">
        <v>0</v>
      </c>
      <c r="J3075" s="7" t="n">
        <v>0</v>
      </c>
      <c r="K3075" s="9" t="n">
        <v>0</v>
      </c>
      <c r="L3075" s="10" t="n">
        <v>4.68</v>
      </c>
      <c r="M3075" s="10" t="n">
        <v>1.43</v>
      </c>
      <c r="N3075" t="inlineStr">
        <is>
          <t>1</t>
        </is>
      </c>
      <c r="O3075" t="inlineStr">
        <is>
          <t xml:space="preserve">3 </t>
        </is>
      </c>
      <c r="P3075" t="inlineStr">
        <is>
          <t xml:space="preserve">50377   </t>
        </is>
      </c>
      <c r="Q3075" s="26" t="n">
        <v>7.9</v>
      </c>
      <c r="R3075" s="26">
        <f>Q3075*G3075</f>
        <v/>
      </c>
      <c r="S3075" t="n">
        <v>4.69</v>
      </c>
      <c r="T3075" s="18">
        <f>1 - V3075/S3075</f>
        <v/>
      </c>
      <c r="U3075" s="18" t="n">
        <v>0</v>
      </c>
      <c r="V3075" s="26" t="n">
        <v>4.69</v>
      </c>
      <c r="W3075" s="26">
        <f>V3075 - L3075</f>
        <v/>
      </c>
    </row>
    <row r="3076">
      <c r="A3076" s="11" t="n">
        <v>46233</v>
      </c>
      <c r="B3076" s="1" t="n">
        <v>20040</v>
      </c>
      <c r="C3076" s="1" t="inlineStr">
        <is>
          <t>072</t>
        </is>
      </c>
      <c r="D3076" s="1" t="inlineStr">
        <is>
          <t>253459</t>
        </is>
      </c>
      <c r="E3076" s="1" t="inlineStr">
        <is>
          <t xml:space="preserve">28194770       </t>
        </is>
      </c>
      <c r="F3076" s="5" t="inlineStr">
        <is>
          <t>AUTOS DE METAL 3 TEAMSTERZ EN BLISTER</t>
        </is>
      </c>
      <c r="G3076" t="n">
        <v>1</v>
      </c>
      <c r="H3076" s="7" t="n">
        <v>6.9</v>
      </c>
      <c r="I3076" s="7" t="n">
        <v>0</v>
      </c>
      <c r="J3076" s="7" t="n">
        <v>0</v>
      </c>
      <c r="K3076" s="9" t="n">
        <v>0</v>
      </c>
      <c r="L3076" s="10" t="n">
        <v>4.1</v>
      </c>
      <c r="M3076" s="10" t="n">
        <v>1.43</v>
      </c>
      <c r="N3076" t="inlineStr">
        <is>
          <t>1</t>
        </is>
      </c>
      <c r="O3076" t="inlineStr">
        <is>
          <t>16</t>
        </is>
      </c>
      <c r="P3076" t="inlineStr">
        <is>
          <t xml:space="preserve">61602   </t>
        </is>
      </c>
      <c r="Q3076" s="26" t="n">
        <v>6.9</v>
      </c>
      <c r="R3076" s="26">
        <f>Q3076*G3076</f>
        <v/>
      </c>
      <c r="S3076" t="n">
        <v>4.09</v>
      </c>
      <c r="T3076" s="18">
        <f>1 - V3076/S3076</f>
        <v/>
      </c>
      <c r="U3076" s="18" t="n">
        <v>0</v>
      </c>
      <c r="V3076" s="26" t="n">
        <v>4.09</v>
      </c>
      <c r="W3076" s="26">
        <f>V3076 - L3076</f>
        <v/>
      </c>
    </row>
    <row r="3077">
      <c r="A3077" s="11" t="n">
        <v>46233</v>
      </c>
      <c r="B3077" s="1" t="n">
        <v>20040</v>
      </c>
      <c r="C3077" s="1" t="inlineStr">
        <is>
          <t>801</t>
        </is>
      </c>
      <c r="D3077" s="1" t="inlineStr">
        <is>
          <t xml:space="preserve">1314  </t>
        </is>
      </c>
      <c r="E3077" s="1" t="inlineStr">
        <is>
          <t xml:space="preserve">31754676       </t>
        </is>
      </c>
      <c r="F3077" s="5" t="inlineStr">
        <is>
          <t>INFINITY NADO SERIE 6 STD PACK LANZ ESPAD ANILLO M</t>
        </is>
      </c>
      <c r="G3077" t="n">
        <v>1</v>
      </c>
      <c r="H3077" s="7" t="n">
        <v>59.9</v>
      </c>
      <c r="I3077" s="7" t="n">
        <v>0</v>
      </c>
      <c r="J3077" s="7" t="n">
        <v>0</v>
      </c>
      <c r="K3077" s="9" t="n">
        <v>0</v>
      </c>
      <c r="L3077" s="10" t="n">
        <v>35.53</v>
      </c>
      <c r="M3077" s="10" t="n">
        <v>1.43</v>
      </c>
      <c r="N3077" t="inlineStr">
        <is>
          <t>1</t>
        </is>
      </c>
      <c r="O3077" t="inlineStr">
        <is>
          <t>16</t>
        </is>
      </c>
      <c r="P3077" t="inlineStr">
        <is>
          <t xml:space="preserve">0       </t>
        </is>
      </c>
      <c r="Q3077" s="26" t="n">
        <v>79.90000000000001</v>
      </c>
      <c r="R3077" s="26">
        <f>Q3077*G3077</f>
        <v/>
      </c>
      <c r="S3077" t="n">
        <v>47.4</v>
      </c>
      <c r="T3077" s="18">
        <f>1 - V3077/S3077</f>
        <v/>
      </c>
      <c r="U3077" s="18" t="n">
        <v>0.2503128911138924</v>
      </c>
      <c r="V3077" s="26" t="n">
        <v>38.07203389830509</v>
      </c>
      <c r="W3077" s="26">
        <f>V3077 - L3077</f>
        <v/>
      </c>
    </row>
    <row r="3078">
      <c r="A3078" s="11" t="n">
        <v>46233</v>
      </c>
      <c r="B3078" s="1" t="n">
        <v>20041</v>
      </c>
      <c r="C3078" s="1" t="inlineStr">
        <is>
          <t>011</t>
        </is>
      </c>
      <c r="D3078" s="1" t="inlineStr">
        <is>
          <t xml:space="preserve">2431  </t>
        </is>
      </c>
      <c r="E3078" s="1" t="inlineStr">
        <is>
          <t xml:space="preserve">28194770       </t>
        </is>
      </c>
      <c r="F3078" s="5" t="inlineStr">
        <is>
          <t>AUTOS DE METAL 3 TEAMSTERZ EN BLISTER</t>
        </is>
      </c>
      <c r="G3078" t="n">
        <v>1</v>
      </c>
      <c r="H3078" s="7" t="n">
        <v>6.9</v>
      </c>
      <c r="I3078" s="7" t="n">
        <v>0</v>
      </c>
      <c r="J3078" s="7" t="n">
        <v>0</v>
      </c>
      <c r="K3078" s="9" t="n">
        <v>0</v>
      </c>
      <c r="L3078" s="10" t="n">
        <v>4.1</v>
      </c>
      <c r="M3078" s="10" t="n">
        <v>1.43</v>
      </c>
      <c r="N3078" t="inlineStr">
        <is>
          <t>1</t>
        </is>
      </c>
      <c r="O3078" t="inlineStr">
        <is>
          <t xml:space="preserve">2 </t>
        </is>
      </c>
      <c r="P3078" t="inlineStr">
        <is>
          <t xml:space="preserve">49695   </t>
        </is>
      </c>
      <c r="Q3078" s="26" t="n">
        <v>6.9</v>
      </c>
      <c r="R3078" s="26">
        <f>Q3078*G3078</f>
        <v/>
      </c>
      <c r="S3078" t="n">
        <v>4.09</v>
      </c>
      <c r="T3078" s="18">
        <f>1 - V3078/S3078</f>
        <v/>
      </c>
      <c r="U3078" s="18" t="n">
        <v>0</v>
      </c>
      <c r="V3078" s="26" t="n">
        <v>4.09</v>
      </c>
      <c r="W3078" s="26">
        <f>V3078 - L3078</f>
        <v/>
      </c>
    </row>
    <row r="3079">
      <c r="A3079" s="11" t="n">
        <v>46233</v>
      </c>
      <c r="B3079" s="1" t="n">
        <v>20041</v>
      </c>
      <c r="C3079" s="1" t="inlineStr">
        <is>
          <t>013</t>
        </is>
      </c>
      <c r="D3079" s="1" t="inlineStr">
        <is>
          <t>460764</t>
        </is>
      </c>
      <c r="E3079" s="1" t="inlineStr">
        <is>
          <t xml:space="preserve">28194770       </t>
        </is>
      </c>
      <c r="F3079" s="5" t="inlineStr">
        <is>
          <t>AUTOS DE METAL 3 TEAMSTERZ EN BLISTER</t>
        </is>
      </c>
      <c r="G3079" t="n">
        <v>1</v>
      </c>
      <c r="H3079" s="7" t="n">
        <v>6.9</v>
      </c>
      <c r="I3079" s="7" t="n">
        <v>0</v>
      </c>
      <c r="J3079" s="7" t="n">
        <v>0</v>
      </c>
      <c r="K3079" s="9" t="n">
        <v>0</v>
      </c>
      <c r="L3079" s="10" t="n">
        <v>4.1</v>
      </c>
      <c r="M3079" s="10" t="n">
        <v>1.43</v>
      </c>
      <c r="N3079" t="inlineStr">
        <is>
          <t>1</t>
        </is>
      </c>
      <c r="O3079" t="inlineStr">
        <is>
          <t xml:space="preserve">2 </t>
        </is>
      </c>
      <c r="P3079" t="inlineStr">
        <is>
          <t xml:space="preserve">91630   </t>
        </is>
      </c>
      <c r="Q3079" s="26" t="n">
        <v>6.9</v>
      </c>
      <c r="R3079" s="26">
        <f>Q3079*G3079</f>
        <v/>
      </c>
      <c r="S3079" t="n">
        <v>4.09</v>
      </c>
      <c r="T3079" s="18">
        <f>1 - V3079/S3079</f>
        <v/>
      </c>
      <c r="U3079" s="18" t="n">
        <v>0</v>
      </c>
      <c r="V3079" s="26" t="n">
        <v>4.09</v>
      </c>
      <c r="W3079" s="26">
        <f>V3079 - L3079</f>
        <v/>
      </c>
    </row>
    <row r="3080">
      <c r="A3080" s="11" t="n">
        <v>46233</v>
      </c>
      <c r="B3080" s="1" t="n">
        <v>20041</v>
      </c>
      <c r="C3080" s="1" t="inlineStr">
        <is>
          <t>016</t>
        </is>
      </c>
      <c r="D3080" s="1" t="inlineStr">
        <is>
          <t>217492</t>
        </is>
      </c>
      <c r="E3080" s="1" t="inlineStr">
        <is>
          <t xml:space="preserve">28194770       </t>
        </is>
      </c>
      <c r="F3080" s="5" t="inlineStr">
        <is>
          <t>AUTOS DE METAL 3 TEAMSTERZ EN BLISTER</t>
        </is>
      </c>
      <c r="G3080" t="n">
        <v>1</v>
      </c>
      <c r="H3080" s="7" t="n">
        <v>6.9</v>
      </c>
      <c r="I3080" s="7" t="n">
        <v>0</v>
      </c>
      <c r="J3080" s="7" t="n">
        <v>0</v>
      </c>
      <c r="K3080" s="9" t="n">
        <v>0</v>
      </c>
      <c r="L3080" s="10" t="n">
        <v>4.1</v>
      </c>
      <c r="M3080" s="10" t="n">
        <v>1.43</v>
      </c>
      <c r="N3080" t="inlineStr">
        <is>
          <t>1</t>
        </is>
      </c>
      <c r="O3080" t="inlineStr">
        <is>
          <t>16</t>
        </is>
      </c>
      <c r="P3080" t="inlineStr">
        <is>
          <t xml:space="preserve">53218   </t>
        </is>
      </c>
      <c r="Q3080" s="26" t="n">
        <v>6.9</v>
      </c>
      <c r="R3080" s="26">
        <f>Q3080*G3080</f>
        <v/>
      </c>
      <c r="S3080" t="n">
        <v>4.09</v>
      </c>
      <c r="T3080" s="18">
        <f>1 - V3080/S3080</f>
        <v/>
      </c>
      <c r="U3080" s="18" t="n">
        <v>0</v>
      </c>
      <c r="V3080" s="26" t="n">
        <v>4.09</v>
      </c>
      <c r="W3080" s="26">
        <f>V3080 - L3080</f>
        <v/>
      </c>
    </row>
    <row r="3081">
      <c r="A3081" s="11" t="n">
        <v>46233</v>
      </c>
      <c r="B3081" s="1" t="n">
        <v>20041</v>
      </c>
      <c r="C3081" s="1" t="inlineStr">
        <is>
          <t>031</t>
        </is>
      </c>
      <c r="D3081" s="1" t="inlineStr">
        <is>
          <t>167320</t>
        </is>
      </c>
      <c r="E3081" s="1" t="inlineStr">
        <is>
          <t xml:space="preserve">28194770       </t>
        </is>
      </c>
      <c r="F3081" s="5" t="inlineStr">
        <is>
          <t>AUTOS DE METAL 3 TEAMSTERZ EN BLISTER</t>
        </is>
      </c>
      <c r="G3081" t="n">
        <v>1</v>
      </c>
      <c r="H3081" s="7" t="n">
        <v>6.9</v>
      </c>
      <c r="I3081" s="7" t="n">
        <v>0</v>
      </c>
      <c r="J3081" s="7" t="n">
        <v>0</v>
      </c>
      <c r="K3081" s="9" t="n">
        <v>0</v>
      </c>
      <c r="L3081" s="10" t="n">
        <v>4.1</v>
      </c>
      <c r="M3081" s="10" t="n">
        <v>1.43</v>
      </c>
      <c r="N3081" t="inlineStr">
        <is>
          <t>1</t>
        </is>
      </c>
      <c r="O3081" t="inlineStr">
        <is>
          <t>16</t>
        </is>
      </c>
      <c r="P3081" t="inlineStr">
        <is>
          <t xml:space="preserve">46327   </t>
        </is>
      </c>
      <c r="Q3081" s="26" t="n">
        <v>6.9</v>
      </c>
      <c r="R3081" s="26">
        <f>Q3081*G3081</f>
        <v/>
      </c>
      <c r="S3081" t="n">
        <v>4.09</v>
      </c>
      <c r="T3081" s="18">
        <f>1 - V3081/S3081</f>
        <v/>
      </c>
      <c r="U3081" s="18" t="n">
        <v>0</v>
      </c>
      <c r="V3081" s="26" t="n">
        <v>4.09</v>
      </c>
      <c r="W3081" s="26">
        <f>V3081 - L3081</f>
        <v/>
      </c>
    </row>
    <row r="3082">
      <c r="A3082" s="11" t="n">
        <v>46233</v>
      </c>
      <c r="B3082" s="1" t="n">
        <v>20043</v>
      </c>
      <c r="C3082" s="1" t="inlineStr">
        <is>
          <t>059</t>
        </is>
      </c>
      <c r="D3082" s="1" t="inlineStr">
        <is>
          <t>151213</t>
        </is>
      </c>
      <c r="E3082" s="1" t="inlineStr">
        <is>
          <t xml:space="preserve">32457099       </t>
        </is>
      </c>
      <c r="F3082" s="5" t="inlineStr">
        <is>
          <t>TMZ BEAST MACHINES MONSTER JAWS A FRICCION BLISTER</t>
        </is>
      </c>
      <c r="G3082" t="n">
        <v>1</v>
      </c>
      <c r="H3082" s="7" t="n">
        <v>17.9</v>
      </c>
      <c r="I3082" s="7" t="n">
        <v>0</v>
      </c>
      <c r="J3082" s="7" t="n">
        <v>0</v>
      </c>
      <c r="K3082" s="9" t="n">
        <v>0</v>
      </c>
      <c r="L3082" s="10" t="n">
        <v>10.62</v>
      </c>
      <c r="M3082" s="10" t="n">
        <v>1.43</v>
      </c>
      <c r="N3082" t="inlineStr">
        <is>
          <t>1</t>
        </is>
      </c>
      <c r="O3082" t="inlineStr">
        <is>
          <t>16</t>
        </is>
      </c>
      <c r="P3082" t="inlineStr">
        <is>
          <t xml:space="preserve">47299   </t>
        </is>
      </c>
      <c r="Q3082" s="26" t="n">
        <v>19.9</v>
      </c>
      <c r="R3082" s="26">
        <f>Q3082*G3082</f>
        <v/>
      </c>
      <c r="S3082" t="n">
        <v>11.81</v>
      </c>
      <c r="T3082" s="18">
        <f>1 - V3082/S3082</f>
        <v/>
      </c>
      <c r="U3082" s="18" t="n">
        <v>0.1005025125628141</v>
      </c>
      <c r="V3082" s="26" t="n">
        <v>8.417118644067797</v>
      </c>
      <c r="W3082" s="26">
        <f>V3082 - L3082</f>
        <v/>
      </c>
    </row>
    <row r="3083">
      <c r="A3083" s="11" t="n">
        <v>46233</v>
      </c>
      <c r="B3083" s="1" t="n">
        <v>20047</v>
      </c>
      <c r="C3083" s="1" t="inlineStr">
        <is>
          <t>012</t>
        </is>
      </c>
      <c r="D3083" s="1" t="inlineStr">
        <is>
          <t>334848</t>
        </is>
      </c>
      <c r="E3083" s="1" t="inlineStr">
        <is>
          <t xml:space="preserve">28194770       </t>
        </is>
      </c>
      <c r="F3083" s="5" t="inlineStr">
        <is>
          <t>AUTOS DE METAL 3 TEAMSTERZ EN BLISTER</t>
        </is>
      </c>
      <c r="G3083" t="n">
        <v>1</v>
      </c>
      <c r="H3083" s="7" t="n">
        <v>6.9</v>
      </c>
      <c r="I3083" s="7" t="n">
        <v>0</v>
      </c>
      <c r="J3083" s="7" t="n">
        <v>0</v>
      </c>
      <c r="K3083" s="9" t="n">
        <v>0</v>
      </c>
      <c r="L3083" s="10" t="n">
        <v>4.1</v>
      </c>
      <c r="M3083" s="10" t="n">
        <v>1.43</v>
      </c>
      <c r="N3083" t="inlineStr">
        <is>
          <t>1</t>
        </is>
      </c>
      <c r="O3083" t="inlineStr">
        <is>
          <t xml:space="preserve">2 </t>
        </is>
      </c>
      <c r="P3083" t="inlineStr">
        <is>
          <t xml:space="preserve">240556  </t>
        </is>
      </c>
      <c r="Q3083" s="26" t="n">
        <v>6.9</v>
      </c>
      <c r="R3083" s="26">
        <f>Q3083*G3083</f>
        <v/>
      </c>
      <c r="S3083" t="n">
        <v>4.09</v>
      </c>
      <c r="T3083" s="18">
        <f>1 - V3083/S3083</f>
        <v/>
      </c>
      <c r="U3083" s="18" t="n">
        <v>0</v>
      </c>
      <c r="V3083" s="26" t="n">
        <v>4.09</v>
      </c>
      <c r="W3083" s="26">
        <f>V3083 - L3083</f>
        <v/>
      </c>
    </row>
    <row r="3084">
      <c r="A3084" s="11" t="n">
        <v>46233</v>
      </c>
      <c r="B3084" s="1" t="n">
        <v>20047</v>
      </c>
      <c r="C3084" s="1" t="inlineStr">
        <is>
          <t>012</t>
        </is>
      </c>
      <c r="D3084" s="1" t="inlineStr">
        <is>
          <t>334848</t>
        </is>
      </c>
      <c r="E3084" s="1" t="inlineStr">
        <is>
          <t xml:space="preserve">28194770       </t>
        </is>
      </c>
      <c r="F3084" s="5" t="inlineStr">
        <is>
          <t>AUTOS DE METAL 3 TEAMSTERZ EN BLISTER</t>
        </is>
      </c>
      <c r="G3084" t="n">
        <v>1</v>
      </c>
      <c r="H3084" s="7" t="n">
        <v>6.9</v>
      </c>
      <c r="I3084" s="7" t="n">
        <v>0</v>
      </c>
      <c r="J3084" s="7" t="n">
        <v>0</v>
      </c>
      <c r="K3084" s="9" t="n">
        <v>0</v>
      </c>
      <c r="L3084" s="10" t="n">
        <v>4.1</v>
      </c>
      <c r="M3084" s="10" t="n">
        <v>1.43</v>
      </c>
      <c r="N3084" t="inlineStr">
        <is>
          <t>1</t>
        </is>
      </c>
      <c r="O3084" t="inlineStr">
        <is>
          <t xml:space="preserve">2 </t>
        </is>
      </c>
      <c r="P3084" t="inlineStr">
        <is>
          <t xml:space="preserve">240556  </t>
        </is>
      </c>
      <c r="Q3084" s="26" t="n">
        <v>6.9</v>
      </c>
      <c r="R3084" s="26">
        <f>Q3084*G3084</f>
        <v/>
      </c>
      <c r="S3084" t="n">
        <v>4.09</v>
      </c>
      <c r="T3084" s="18">
        <f>1 - V3084/S3084</f>
        <v/>
      </c>
      <c r="U3084" s="18" t="n">
        <v>0</v>
      </c>
      <c r="V3084" s="26" t="n">
        <v>4.09</v>
      </c>
      <c r="W3084" s="26">
        <f>V3084 - L3084</f>
        <v/>
      </c>
    </row>
    <row r="3085">
      <c r="A3085" s="11" t="n">
        <v>46233</v>
      </c>
      <c r="B3085" s="1" t="n">
        <v>20047</v>
      </c>
      <c r="C3085" s="1" t="inlineStr">
        <is>
          <t>012</t>
        </is>
      </c>
      <c r="D3085" s="1" t="inlineStr">
        <is>
          <t>334862</t>
        </is>
      </c>
      <c r="E3085" s="1" t="inlineStr">
        <is>
          <t xml:space="preserve">28194770       </t>
        </is>
      </c>
      <c r="F3085" s="5" t="inlineStr">
        <is>
          <t>AUTOS DE METAL 3 TEAMSTERZ EN BLISTER</t>
        </is>
      </c>
      <c r="G3085" t="n">
        <v>1</v>
      </c>
      <c r="H3085" s="7" t="n">
        <v>6.9</v>
      </c>
      <c r="I3085" s="7" t="n">
        <v>0</v>
      </c>
      <c r="J3085" s="7" t="n">
        <v>0</v>
      </c>
      <c r="K3085" s="9" t="n">
        <v>0</v>
      </c>
      <c r="L3085" s="10" t="n">
        <v>4.1</v>
      </c>
      <c r="M3085" s="10" t="n">
        <v>1.43</v>
      </c>
      <c r="N3085" t="inlineStr">
        <is>
          <t>1</t>
        </is>
      </c>
      <c r="O3085" t="inlineStr">
        <is>
          <t xml:space="preserve">2 </t>
        </is>
      </c>
      <c r="P3085" t="inlineStr">
        <is>
          <t xml:space="preserve">240556  </t>
        </is>
      </c>
      <c r="Q3085" s="26" t="n">
        <v>6.9</v>
      </c>
      <c r="R3085" s="26">
        <f>Q3085*G3085</f>
        <v/>
      </c>
      <c r="S3085" t="n">
        <v>4.09</v>
      </c>
      <c r="T3085" s="18">
        <f>1 - V3085/S3085</f>
        <v/>
      </c>
      <c r="U3085" s="18" t="n">
        <v>0</v>
      </c>
      <c r="V3085" s="26" t="n">
        <v>4.09</v>
      </c>
      <c r="W3085" s="26">
        <f>V3085 - L3085</f>
        <v/>
      </c>
    </row>
    <row r="3086">
      <c r="A3086" s="11" t="n">
        <v>46233</v>
      </c>
      <c r="B3086" s="1" t="n">
        <v>20047</v>
      </c>
      <c r="C3086" s="1" t="inlineStr">
        <is>
          <t>191</t>
        </is>
      </c>
      <c r="D3086" s="1" t="inlineStr">
        <is>
          <t>464355</t>
        </is>
      </c>
      <c r="E3086" s="1" t="inlineStr">
        <is>
          <t xml:space="preserve">28194770       </t>
        </is>
      </c>
      <c r="F3086" s="5" t="inlineStr">
        <is>
          <t>AUTOS DE METAL 3 TEAMSTERZ EN BLISTER</t>
        </is>
      </c>
      <c r="G3086" t="n">
        <v>1</v>
      </c>
      <c r="H3086" s="7" t="n">
        <v>6.9</v>
      </c>
      <c r="I3086" s="7" t="n">
        <v>0</v>
      </c>
      <c r="J3086" s="7" t="n">
        <v>0</v>
      </c>
      <c r="K3086" s="9" t="n">
        <v>0</v>
      </c>
      <c r="L3086" s="10" t="n">
        <v>4.1</v>
      </c>
      <c r="M3086" s="10" t="n">
        <v>1.43</v>
      </c>
      <c r="N3086" t="inlineStr">
        <is>
          <t>1</t>
        </is>
      </c>
      <c r="O3086" t="inlineStr">
        <is>
          <t xml:space="preserve">2 </t>
        </is>
      </c>
      <c r="P3086" t="inlineStr">
        <is>
          <t xml:space="preserve">245750  </t>
        </is>
      </c>
      <c r="Q3086" s="26" t="n">
        <v>6.9</v>
      </c>
      <c r="R3086" s="26">
        <f>Q3086*G3086</f>
        <v/>
      </c>
      <c r="S3086" t="n">
        <v>4.09</v>
      </c>
      <c r="T3086" s="18">
        <f>1 - V3086/S3086</f>
        <v/>
      </c>
      <c r="U3086" s="18" t="n">
        <v>0</v>
      </c>
      <c r="V3086" s="26" t="n">
        <v>4.09</v>
      </c>
      <c r="W3086" s="26">
        <f>V3086 - L3086</f>
        <v/>
      </c>
    </row>
    <row r="3087">
      <c r="A3087" s="11" t="n">
        <v>46233</v>
      </c>
      <c r="B3087" s="1" t="n">
        <v>20047</v>
      </c>
      <c r="C3087" s="1" t="inlineStr">
        <is>
          <t>191</t>
        </is>
      </c>
      <c r="D3087" s="1" t="inlineStr">
        <is>
          <t>464355</t>
        </is>
      </c>
      <c r="E3087" s="1" t="inlineStr">
        <is>
          <t xml:space="preserve">28194770       </t>
        </is>
      </c>
      <c r="F3087" s="5" t="inlineStr">
        <is>
          <t>AUTOS DE METAL 3 TEAMSTERZ EN BLISTER</t>
        </is>
      </c>
      <c r="G3087" t="n">
        <v>1</v>
      </c>
      <c r="H3087" s="7" t="n">
        <v>6.9</v>
      </c>
      <c r="I3087" s="7" t="n">
        <v>0</v>
      </c>
      <c r="J3087" s="7" t="n">
        <v>0</v>
      </c>
      <c r="K3087" s="9" t="n">
        <v>0</v>
      </c>
      <c r="L3087" s="10" t="n">
        <v>4.1</v>
      </c>
      <c r="M3087" s="10" t="n">
        <v>1.43</v>
      </c>
      <c r="N3087" t="inlineStr">
        <is>
          <t>1</t>
        </is>
      </c>
      <c r="O3087" t="inlineStr">
        <is>
          <t xml:space="preserve">2 </t>
        </is>
      </c>
      <c r="P3087" t="inlineStr">
        <is>
          <t xml:space="preserve">245750  </t>
        </is>
      </c>
      <c r="Q3087" s="26" t="n">
        <v>6.9</v>
      </c>
      <c r="R3087" s="26">
        <f>Q3087*G3087</f>
        <v/>
      </c>
      <c r="S3087" t="n">
        <v>4.09</v>
      </c>
      <c r="T3087" s="18">
        <f>1 - V3087/S3087</f>
        <v/>
      </c>
      <c r="U3087" s="18" t="n">
        <v>0</v>
      </c>
      <c r="V3087" s="26" t="n">
        <v>4.09</v>
      </c>
      <c r="W3087" s="26">
        <f>V3087 - L3087</f>
        <v/>
      </c>
    </row>
    <row r="3088">
      <c r="A3088" s="11" t="n">
        <v>46233</v>
      </c>
      <c r="B3088" s="1" t="n">
        <v>20048</v>
      </c>
      <c r="C3088" s="1" t="inlineStr">
        <is>
          <t>017</t>
        </is>
      </c>
      <c r="D3088" s="1" t="inlineStr">
        <is>
          <t>168132</t>
        </is>
      </c>
      <c r="E3088" s="1" t="inlineStr">
        <is>
          <t xml:space="preserve">28194770       </t>
        </is>
      </c>
      <c r="F3088" s="5" t="inlineStr">
        <is>
          <t>AUTOS DE METAL 3 TEAMSTERZ EN BLISTER</t>
        </is>
      </c>
      <c r="G3088" t="n">
        <v>1</v>
      </c>
      <c r="H3088" s="7" t="n">
        <v>6.9</v>
      </c>
      <c r="I3088" s="7" t="n">
        <v>0</v>
      </c>
      <c r="J3088" s="7" t="n">
        <v>0</v>
      </c>
      <c r="K3088" s="9" t="n">
        <v>0</v>
      </c>
      <c r="L3088" s="10" t="n">
        <v>4.1</v>
      </c>
      <c r="M3088" s="10" t="n">
        <v>1.43</v>
      </c>
      <c r="N3088" t="inlineStr">
        <is>
          <t>1</t>
        </is>
      </c>
      <c r="O3088" t="inlineStr">
        <is>
          <t xml:space="preserve">2 </t>
        </is>
      </c>
      <c r="P3088" t="inlineStr">
        <is>
          <t xml:space="preserve">85763   </t>
        </is>
      </c>
      <c r="Q3088" s="26" t="n">
        <v>6.9</v>
      </c>
      <c r="R3088" s="26">
        <f>Q3088*G3088</f>
        <v/>
      </c>
      <c r="S3088" t="n">
        <v>4.09</v>
      </c>
      <c r="T3088" s="18">
        <f>1 - V3088/S3088</f>
        <v/>
      </c>
      <c r="U3088" s="18" t="n">
        <v>0</v>
      </c>
      <c r="V3088" s="26" t="n">
        <v>4.09</v>
      </c>
      <c r="W3088" s="26">
        <f>V3088 - L3088</f>
        <v/>
      </c>
    </row>
    <row r="3089">
      <c r="A3089" s="11" t="n">
        <v>46233</v>
      </c>
      <c r="B3089" s="1" t="n">
        <v>20049</v>
      </c>
      <c r="C3089" s="1" t="inlineStr">
        <is>
          <t>013</t>
        </is>
      </c>
      <c r="D3089" s="1" t="inlineStr">
        <is>
          <t>238028</t>
        </is>
      </c>
      <c r="E3089" s="1" t="inlineStr">
        <is>
          <t xml:space="preserve">31754675       </t>
        </is>
      </c>
      <c r="F3089" s="5" t="inlineStr">
        <is>
          <t>INFINITY NADO SERIE 6 STARTER PACK - 4 MODELOS</t>
        </is>
      </c>
      <c r="G3089" t="n">
        <v>1</v>
      </c>
      <c r="H3089" s="7" t="n">
        <v>49.9</v>
      </c>
      <c r="I3089" s="7" t="n">
        <v>0</v>
      </c>
      <c r="J3089" s="7" t="n">
        <v>0</v>
      </c>
      <c r="K3089" s="9" t="n">
        <v>0</v>
      </c>
      <c r="L3089" s="10" t="n">
        <v>29.6</v>
      </c>
      <c r="M3089" s="10" t="n">
        <v>1.43</v>
      </c>
      <c r="N3089" t="inlineStr">
        <is>
          <t>1</t>
        </is>
      </c>
      <c r="O3089" t="inlineStr">
        <is>
          <t xml:space="preserve">3 </t>
        </is>
      </c>
      <c r="P3089" t="inlineStr">
        <is>
          <t xml:space="preserve">243621  </t>
        </is>
      </c>
      <c r="Q3089" s="26" t="n">
        <v>69.90000000000001</v>
      </c>
      <c r="R3089" s="26">
        <f>Q3089*G3089</f>
        <v/>
      </c>
      <c r="S3089" t="n">
        <v>41.47</v>
      </c>
      <c r="T3089" s="18">
        <f>1 - V3089/S3089</f>
        <v/>
      </c>
      <c r="U3089" s="18" t="n">
        <v>0.2861230329041489</v>
      </c>
      <c r="V3089" s="26" t="n">
        <v>31.71610169491525</v>
      </c>
      <c r="W3089" s="26">
        <f>V3089 - L3089</f>
        <v/>
      </c>
    </row>
    <row r="3090">
      <c r="A3090" s="11" t="n">
        <v>46233</v>
      </c>
      <c r="B3090" s="1" t="n">
        <v>20049</v>
      </c>
      <c r="C3090" s="1" t="inlineStr">
        <is>
          <t>013</t>
        </is>
      </c>
      <c r="D3090" s="1" t="inlineStr">
        <is>
          <t>238075</t>
        </is>
      </c>
      <c r="E3090" s="1" t="inlineStr">
        <is>
          <t xml:space="preserve">32457099       </t>
        </is>
      </c>
      <c r="F3090" s="5" t="inlineStr">
        <is>
          <t>TMZ BEAST MACHINES MONSTER JAWS A FRICCION BLISTER</t>
        </is>
      </c>
      <c r="G3090" t="n">
        <v>1</v>
      </c>
      <c r="H3090" s="7" t="n">
        <v>17.9</v>
      </c>
      <c r="I3090" s="7" t="n">
        <v>0</v>
      </c>
      <c r="J3090" s="7" t="n">
        <v>0</v>
      </c>
      <c r="K3090" s="9" t="n">
        <v>0</v>
      </c>
      <c r="L3090" s="10" t="n">
        <v>10.62</v>
      </c>
      <c r="M3090" s="10" t="n">
        <v>1.43</v>
      </c>
      <c r="N3090" t="inlineStr">
        <is>
          <t>1</t>
        </is>
      </c>
      <c r="O3090" t="inlineStr">
        <is>
          <t>16</t>
        </is>
      </c>
      <c r="P3090" t="inlineStr">
        <is>
          <t xml:space="preserve">243621  </t>
        </is>
      </c>
      <c r="Q3090" s="26" t="n">
        <v>19.9</v>
      </c>
      <c r="R3090" s="26">
        <f>Q3090*G3090</f>
        <v/>
      </c>
      <c r="S3090" t="n">
        <v>11.81</v>
      </c>
      <c r="T3090" s="18">
        <f>1 - V3090/S3090</f>
        <v/>
      </c>
      <c r="U3090" s="18" t="n">
        <v>0.1005025125628141</v>
      </c>
      <c r="V3090" s="26" t="n">
        <v>8.417118644067797</v>
      </c>
      <c r="W3090" s="26">
        <f>V3090 - L3090</f>
        <v/>
      </c>
    </row>
    <row r="3091">
      <c r="A3091" s="11" t="n">
        <v>46233</v>
      </c>
      <c r="B3091" s="1" t="n">
        <v>20049</v>
      </c>
      <c r="C3091" s="1" t="inlineStr">
        <is>
          <t>013</t>
        </is>
      </c>
      <c r="D3091" s="1" t="inlineStr">
        <is>
          <t>238139</t>
        </is>
      </c>
      <c r="E3091" s="1" t="inlineStr">
        <is>
          <t xml:space="preserve">31754676       </t>
        </is>
      </c>
      <c r="F3091" s="5" t="inlineStr">
        <is>
          <t>INFINITY NADO SERIE 6 STD PACK LANZ ESPAD ANILLO M</t>
        </is>
      </c>
      <c r="G3091" t="n">
        <v>1</v>
      </c>
      <c r="H3091" s="7" t="n">
        <v>59.9</v>
      </c>
      <c r="I3091" s="7" t="n">
        <v>0</v>
      </c>
      <c r="J3091" s="7" t="n">
        <v>0</v>
      </c>
      <c r="K3091" s="9" t="n">
        <v>0</v>
      </c>
      <c r="L3091" s="10" t="n">
        <v>35.53</v>
      </c>
      <c r="M3091" s="10" t="n">
        <v>1.43</v>
      </c>
      <c r="N3091" t="inlineStr">
        <is>
          <t>1</t>
        </is>
      </c>
      <c r="O3091" t="inlineStr">
        <is>
          <t>16</t>
        </is>
      </c>
      <c r="P3091" t="inlineStr">
        <is>
          <t xml:space="preserve">245942  </t>
        </is>
      </c>
      <c r="Q3091" s="26" t="n">
        <v>79.90000000000001</v>
      </c>
      <c r="R3091" s="26">
        <f>Q3091*G3091</f>
        <v/>
      </c>
      <c r="S3091" t="n">
        <v>47.4</v>
      </c>
      <c r="T3091" s="18">
        <f>1 - V3091/S3091</f>
        <v/>
      </c>
      <c r="U3091" s="18" t="n">
        <v>0.2503128911138924</v>
      </c>
      <c r="V3091" s="26" t="n">
        <v>38.07203389830509</v>
      </c>
      <c r="W3091" s="26">
        <f>V3091 - L3091</f>
        <v/>
      </c>
    </row>
    <row r="3092">
      <c r="A3092" s="11" t="n">
        <v>46233</v>
      </c>
      <c r="B3092" s="1" t="n">
        <v>20049</v>
      </c>
      <c r="C3092" s="1" t="inlineStr">
        <is>
          <t>017</t>
        </is>
      </c>
      <c r="D3092" s="1" t="inlineStr">
        <is>
          <t>240710</t>
        </is>
      </c>
      <c r="E3092" s="1" t="inlineStr">
        <is>
          <t xml:space="preserve">32457099       </t>
        </is>
      </c>
      <c r="F3092" s="5" t="inlineStr">
        <is>
          <t>TMZ BEAST MACHINES MONSTER JAWS A FRICCION BLISTER</t>
        </is>
      </c>
      <c r="G3092" t="n">
        <v>1</v>
      </c>
      <c r="H3092" s="7" t="n">
        <v>17.9</v>
      </c>
      <c r="I3092" s="7" t="n">
        <v>0</v>
      </c>
      <c r="J3092" s="7" t="n">
        <v>0</v>
      </c>
      <c r="K3092" s="9" t="n">
        <v>0</v>
      </c>
      <c r="L3092" s="10" t="n">
        <v>10.62</v>
      </c>
      <c r="M3092" s="10" t="n">
        <v>1.43</v>
      </c>
      <c r="N3092" t="inlineStr">
        <is>
          <t>1</t>
        </is>
      </c>
      <c r="O3092" t="inlineStr">
        <is>
          <t xml:space="preserve">2 </t>
        </is>
      </c>
      <c r="P3092" t="inlineStr">
        <is>
          <t xml:space="preserve">109185  </t>
        </is>
      </c>
      <c r="Q3092" s="26" t="n">
        <v>19.9</v>
      </c>
      <c r="R3092" s="26">
        <f>Q3092*G3092</f>
        <v/>
      </c>
      <c r="S3092" t="n">
        <v>11.81</v>
      </c>
      <c r="T3092" s="18">
        <f>1 - V3092/S3092</f>
        <v/>
      </c>
      <c r="U3092" s="18" t="n">
        <v>0.1005025125628141</v>
      </c>
      <c r="V3092" s="26" t="n">
        <v>8.417118644067797</v>
      </c>
      <c r="W3092" s="26">
        <f>V3092 - L3092</f>
        <v/>
      </c>
    </row>
    <row r="3093">
      <c r="A3093" s="11" t="n">
        <v>46233</v>
      </c>
      <c r="B3093" s="1" t="n">
        <v>20049</v>
      </c>
      <c r="C3093" s="1" t="inlineStr">
        <is>
          <t>017</t>
        </is>
      </c>
      <c r="D3093" s="1" t="inlineStr">
        <is>
          <t>240770</t>
        </is>
      </c>
      <c r="E3093" s="1" t="inlineStr">
        <is>
          <t xml:space="preserve">28194769       </t>
        </is>
      </c>
      <c r="F3093" s="5" t="inlineStr">
        <is>
          <t>AUTOS DE METAL 3 TEAMSTERZ PACK DE 2</t>
        </is>
      </c>
      <c r="G3093" t="n">
        <v>1</v>
      </c>
      <c r="H3093" s="7" t="n">
        <v>13.8</v>
      </c>
      <c r="I3093" s="7" t="n">
        <v>0</v>
      </c>
      <c r="J3093" s="7" t="n">
        <v>0</v>
      </c>
      <c r="K3093" s="9" t="n">
        <v>0</v>
      </c>
      <c r="L3093" s="10" t="n">
        <v>8.18</v>
      </c>
      <c r="M3093" s="10" t="n">
        <v>1.43</v>
      </c>
      <c r="N3093" t="inlineStr">
        <is>
          <t>1</t>
        </is>
      </c>
      <c r="O3093" t="inlineStr">
        <is>
          <t xml:space="preserve">2 </t>
        </is>
      </c>
      <c r="P3093" t="inlineStr">
        <is>
          <t xml:space="preserve">109185  </t>
        </is>
      </c>
      <c r="Q3093" s="26" t="n">
        <v>13.8</v>
      </c>
      <c r="R3093" s="26">
        <f>Q3093*G3093</f>
        <v/>
      </c>
      <c r="S3093" t="n">
        <v>8.19</v>
      </c>
      <c r="T3093" s="18">
        <f>1 - V3093/S3093</f>
        <v/>
      </c>
      <c r="U3093" s="18" t="n">
        <v>0</v>
      </c>
      <c r="V3093" s="26" t="n">
        <v>8.19</v>
      </c>
      <c r="W3093" s="26">
        <f>V3093 - L3093</f>
        <v/>
      </c>
    </row>
    <row r="3094">
      <c r="A3094" s="11" t="n">
        <v>46233</v>
      </c>
      <c r="B3094" s="1" t="n">
        <v>20049</v>
      </c>
      <c r="C3094" s="1" t="inlineStr">
        <is>
          <t>017</t>
        </is>
      </c>
      <c r="D3094" s="1" t="inlineStr">
        <is>
          <t>240789</t>
        </is>
      </c>
      <c r="E3094" s="1" t="inlineStr">
        <is>
          <t xml:space="preserve">28194769       </t>
        </is>
      </c>
      <c r="F3094" s="5" t="inlineStr">
        <is>
          <t>AUTOS DE METAL 3 TEAMSTERZ PACK DE 2</t>
        </is>
      </c>
      <c r="G3094" t="n">
        <v>1</v>
      </c>
      <c r="H3094" s="7" t="n">
        <v>13.8</v>
      </c>
      <c r="I3094" s="7" t="n">
        <v>0</v>
      </c>
      <c r="J3094" s="7" t="n">
        <v>0</v>
      </c>
      <c r="K3094" s="9" t="n">
        <v>0</v>
      </c>
      <c r="L3094" s="10" t="n">
        <v>8.18</v>
      </c>
      <c r="M3094" s="10" t="n">
        <v>1.43</v>
      </c>
      <c r="N3094" t="inlineStr">
        <is>
          <t>1</t>
        </is>
      </c>
      <c r="O3094" t="inlineStr">
        <is>
          <t>16</t>
        </is>
      </c>
      <c r="P3094" t="inlineStr">
        <is>
          <t xml:space="preserve">109185  </t>
        </is>
      </c>
      <c r="Q3094" s="26" t="n">
        <v>13.8</v>
      </c>
      <c r="R3094" s="26">
        <f>Q3094*G3094</f>
        <v/>
      </c>
      <c r="S3094" t="n">
        <v>8.19</v>
      </c>
      <c r="T3094" s="18">
        <f>1 - V3094/S3094</f>
        <v/>
      </c>
      <c r="U3094" s="18" t="n">
        <v>0</v>
      </c>
      <c r="V3094" s="26" t="n">
        <v>8.19</v>
      </c>
      <c r="W3094" s="26">
        <f>V3094 - L3094</f>
        <v/>
      </c>
    </row>
    <row r="3095">
      <c r="A3095" s="11" t="n">
        <v>46233</v>
      </c>
      <c r="B3095" s="1" t="n">
        <v>20056</v>
      </c>
      <c r="C3095" s="1" t="inlineStr">
        <is>
          <t>023</t>
        </is>
      </c>
      <c r="D3095" s="1" t="inlineStr">
        <is>
          <t xml:space="preserve">31599 </t>
        </is>
      </c>
      <c r="E3095" s="1" t="inlineStr">
        <is>
          <t xml:space="preserve">31959960       </t>
        </is>
      </c>
      <c r="F3095" s="5" t="inlineStr">
        <is>
          <t>TEAMSTERZ PLAYSET DE CONSTRUCCION VEHICULOS + ACCE</t>
        </is>
      </c>
      <c r="G3095" t="n">
        <v>1</v>
      </c>
      <c r="H3095" s="7" t="n">
        <v>39.9</v>
      </c>
      <c r="I3095" s="7" t="n">
        <v>0</v>
      </c>
      <c r="J3095" s="7" t="n">
        <v>0</v>
      </c>
      <c r="K3095" s="9" t="n">
        <v>0</v>
      </c>
      <c r="L3095" s="10" t="n">
        <v>23.67</v>
      </c>
      <c r="M3095" s="10" t="n">
        <v>1.43</v>
      </c>
      <c r="N3095" t="inlineStr">
        <is>
          <t>1</t>
        </is>
      </c>
      <c r="O3095" t="inlineStr">
        <is>
          <t>16</t>
        </is>
      </c>
      <c r="P3095" t="inlineStr">
        <is>
          <t xml:space="preserve">241220  </t>
        </is>
      </c>
      <c r="Q3095" s="26" t="n">
        <v>39.9</v>
      </c>
      <c r="R3095" s="26">
        <f>Q3095*G3095</f>
        <v/>
      </c>
      <c r="S3095" t="n">
        <v>23.67</v>
      </c>
      <c r="T3095" s="18">
        <f>1 - V3095/S3095</f>
        <v/>
      </c>
      <c r="U3095" s="18" t="n">
        <v>0</v>
      </c>
      <c r="V3095" s="26" t="n">
        <v>23.67</v>
      </c>
      <c r="W3095" s="26">
        <f>V3095 - L3095</f>
        <v/>
      </c>
    </row>
    <row r="3096">
      <c r="A3096" s="11" t="n">
        <v>46233</v>
      </c>
      <c r="B3096" s="1" t="n">
        <v>20057</v>
      </c>
      <c r="C3096" s="1" t="inlineStr">
        <is>
          <t>032</t>
        </is>
      </c>
      <c r="D3096" s="1" t="inlineStr">
        <is>
          <t xml:space="preserve">76567 </t>
        </is>
      </c>
      <c r="E3096" s="1" t="inlineStr">
        <is>
          <t xml:space="preserve">32457105       </t>
        </is>
      </c>
      <c r="F3096" s="5" t="inlineStr">
        <is>
          <t>TMZ BEAST MACHINES MONSTER JAWS ATAQUE ESCORPION +</t>
        </is>
      </c>
      <c r="G3096" t="n">
        <v>1</v>
      </c>
      <c r="H3096" s="7" t="n">
        <v>49.9</v>
      </c>
      <c r="I3096" s="7" t="n">
        <v>0</v>
      </c>
      <c r="J3096" s="7" t="n">
        <v>0</v>
      </c>
      <c r="K3096" s="9" t="n">
        <v>0</v>
      </c>
      <c r="L3096" s="10" t="n">
        <v>29.6</v>
      </c>
      <c r="M3096" s="10" t="n">
        <v>1.43</v>
      </c>
      <c r="N3096" t="inlineStr">
        <is>
          <t>1</t>
        </is>
      </c>
      <c r="O3096" t="inlineStr">
        <is>
          <t>16</t>
        </is>
      </c>
      <c r="P3096" t="inlineStr">
        <is>
          <t xml:space="preserve">235719  </t>
        </is>
      </c>
      <c r="Q3096" s="26" t="n">
        <v>69.90000000000001</v>
      </c>
      <c r="R3096" s="26">
        <f>Q3096*G3096</f>
        <v/>
      </c>
      <c r="S3096" t="n">
        <v>41.47</v>
      </c>
      <c r="T3096" s="18">
        <f>1 - V3096/S3096</f>
        <v/>
      </c>
      <c r="U3096" s="18" t="n">
        <v>0.2861230329041489</v>
      </c>
      <c r="V3096" s="26" t="n">
        <v>31.71610169491525</v>
      </c>
      <c r="W3096" s="26">
        <f>V3096 - L3096</f>
        <v/>
      </c>
    </row>
    <row r="3097">
      <c r="A3097" s="11" t="n">
        <v>46233</v>
      </c>
      <c r="B3097" s="1" t="n">
        <v>20058</v>
      </c>
      <c r="C3097" s="1" t="inlineStr">
        <is>
          <t>038</t>
        </is>
      </c>
      <c r="D3097" s="1" t="inlineStr">
        <is>
          <t>211108</t>
        </is>
      </c>
      <c r="E3097" s="1" t="inlineStr">
        <is>
          <t xml:space="preserve">28194770       </t>
        </is>
      </c>
      <c r="F3097" s="5" t="inlineStr">
        <is>
          <t>AUTOS DE METAL 3 TEAMSTERZ EN BLISTER</t>
        </is>
      </c>
      <c r="G3097" t="n">
        <v>1</v>
      </c>
      <c r="H3097" s="7" t="n">
        <v>6.9</v>
      </c>
      <c r="I3097" s="7" t="n">
        <v>0</v>
      </c>
      <c r="J3097" s="7" t="n">
        <v>0</v>
      </c>
      <c r="K3097" s="9" t="n">
        <v>0</v>
      </c>
      <c r="L3097" s="10" t="n">
        <v>4.1</v>
      </c>
      <c r="M3097" s="10" t="n">
        <v>1.43</v>
      </c>
      <c r="N3097" t="inlineStr">
        <is>
          <t>1</t>
        </is>
      </c>
      <c r="O3097" t="inlineStr">
        <is>
          <t xml:space="preserve">2 </t>
        </is>
      </c>
      <c r="P3097" t="inlineStr">
        <is>
          <t xml:space="preserve">94557   </t>
        </is>
      </c>
      <c r="Q3097" s="26" t="n">
        <v>6.9</v>
      </c>
      <c r="R3097" s="26">
        <f>Q3097*G3097</f>
        <v/>
      </c>
      <c r="S3097" t="n">
        <v>4.09</v>
      </c>
      <c r="T3097" s="18">
        <f>1 - V3097/S3097</f>
        <v/>
      </c>
      <c r="U3097" s="18" t="n">
        <v>0</v>
      </c>
      <c r="V3097" s="26" t="n">
        <v>4.09</v>
      </c>
      <c r="W3097" s="26">
        <f>V3097 - L3097</f>
        <v/>
      </c>
    </row>
    <row r="3098">
      <c r="A3098" s="11" t="n">
        <v>46233</v>
      </c>
      <c r="B3098" s="1" t="n">
        <v>20058</v>
      </c>
      <c r="C3098" s="1" t="inlineStr">
        <is>
          <t>038</t>
        </is>
      </c>
      <c r="D3098" s="1" t="inlineStr">
        <is>
          <t>211117</t>
        </is>
      </c>
      <c r="E3098" s="1" t="inlineStr">
        <is>
          <t xml:space="preserve">28194770       </t>
        </is>
      </c>
      <c r="F3098" s="5" t="inlineStr">
        <is>
          <t>AUTOS DE METAL 3 TEAMSTERZ EN BLISTER</t>
        </is>
      </c>
      <c r="G3098" t="n">
        <v>1</v>
      </c>
      <c r="H3098" s="7" t="n">
        <v>6.9</v>
      </c>
      <c r="I3098" s="7" t="n">
        <v>0</v>
      </c>
      <c r="J3098" s="7" t="n">
        <v>0</v>
      </c>
      <c r="K3098" s="9" t="n">
        <v>0</v>
      </c>
      <c r="L3098" s="10" t="n">
        <v>4.1</v>
      </c>
      <c r="M3098" s="10" t="n">
        <v>1.43</v>
      </c>
      <c r="N3098" t="inlineStr">
        <is>
          <t>1</t>
        </is>
      </c>
      <c r="O3098" t="inlineStr">
        <is>
          <t>16</t>
        </is>
      </c>
      <c r="P3098" t="inlineStr">
        <is>
          <t xml:space="preserve">94557   </t>
        </is>
      </c>
      <c r="Q3098" s="26" t="n">
        <v>6.9</v>
      </c>
      <c r="R3098" s="26">
        <f>Q3098*G3098</f>
        <v/>
      </c>
      <c r="S3098" t="n">
        <v>4.09</v>
      </c>
      <c r="T3098" s="18">
        <f>1 - V3098/S3098</f>
        <v/>
      </c>
      <c r="U3098" s="18" t="n">
        <v>0</v>
      </c>
      <c r="V3098" s="26" t="n">
        <v>4.09</v>
      </c>
      <c r="W3098" s="26">
        <f>V3098 - L3098</f>
        <v/>
      </c>
    </row>
    <row r="3099">
      <c r="A3099" s="11" t="n">
        <v>46233</v>
      </c>
      <c r="B3099" s="1" t="n">
        <v>20058</v>
      </c>
      <c r="C3099" s="1" t="inlineStr">
        <is>
          <t>039</t>
        </is>
      </c>
      <c r="D3099" s="1" t="inlineStr">
        <is>
          <t>232393</t>
        </is>
      </c>
      <c r="E3099" s="1" t="inlineStr">
        <is>
          <t xml:space="preserve">28194770       </t>
        </is>
      </c>
      <c r="F3099" s="5" t="inlineStr">
        <is>
          <t>AUTOS DE METAL 3 TEAMSTERZ EN BLISTER</t>
        </is>
      </c>
      <c r="G3099" t="n">
        <v>1</v>
      </c>
      <c r="H3099" s="7" t="n">
        <v>6.9</v>
      </c>
      <c r="I3099" s="7" t="n">
        <v>0</v>
      </c>
      <c r="J3099" s="7" t="n">
        <v>0</v>
      </c>
      <c r="K3099" s="9" t="n">
        <v>0</v>
      </c>
      <c r="L3099" s="10" t="n">
        <v>4.1</v>
      </c>
      <c r="M3099" s="10" t="n">
        <v>1.43</v>
      </c>
      <c r="N3099" t="inlineStr">
        <is>
          <t>1</t>
        </is>
      </c>
      <c r="O3099" t="inlineStr">
        <is>
          <t>16</t>
        </is>
      </c>
      <c r="P3099" t="inlineStr">
        <is>
          <t xml:space="preserve">252212  </t>
        </is>
      </c>
      <c r="Q3099" s="26" t="n">
        <v>6.9</v>
      </c>
      <c r="R3099" s="26">
        <f>Q3099*G3099</f>
        <v/>
      </c>
      <c r="S3099" t="n">
        <v>4.09</v>
      </c>
      <c r="T3099" s="18">
        <f>1 - V3099/S3099</f>
        <v/>
      </c>
      <c r="U3099" s="18" t="n">
        <v>0</v>
      </c>
      <c r="V3099" s="26" t="n">
        <v>4.09</v>
      </c>
      <c r="W3099" s="26">
        <f>V3099 - L3099</f>
        <v/>
      </c>
    </row>
    <row r="3100">
      <c r="A3100" s="11" t="n">
        <v>46233</v>
      </c>
      <c r="B3100" s="1" t="n">
        <v>20058</v>
      </c>
      <c r="C3100" s="1" t="inlineStr">
        <is>
          <t>039</t>
        </is>
      </c>
      <c r="D3100" s="1" t="inlineStr">
        <is>
          <t>232393</t>
        </is>
      </c>
      <c r="E3100" s="1" t="inlineStr">
        <is>
          <t xml:space="preserve">28194770       </t>
        </is>
      </c>
      <c r="F3100" s="5" t="inlineStr">
        <is>
          <t>AUTOS DE METAL 3 TEAMSTERZ EN BLISTER</t>
        </is>
      </c>
      <c r="G3100" t="n">
        <v>1</v>
      </c>
      <c r="H3100" s="7" t="n">
        <v>6.9</v>
      </c>
      <c r="I3100" s="7" t="n">
        <v>0</v>
      </c>
      <c r="J3100" s="7" t="n">
        <v>0</v>
      </c>
      <c r="K3100" s="9" t="n">
        <v>0</v>
      </c>
      <c r="L3100" s="10" t="n">
        <v>4.1</v>
      </c>
      <c r="M3100" s="10" t="n">
        <v>1.43</v>
      </c>
      <c r="N3100" t="inlineStr">
        <is>
          <t>1</t>
        </is>
      </c>
      <c r="O3100" t="inlineStr">
        <is>
          <t>16</t>
        </is>
      </c>
      <c r="P3100" t="inlineStr">
        <is>
          <t xml:space="preserve">252212  </t>
        </is>
      </c>
      <c r="Q3100" s="26" t="n">
        <v>6.9</v>
      </c>
      <c r="R3100" s="26">
        <f>Q3100*G3100</f>
        <v/>
      </c>
      <c r="S3100" t="n">
        <v>4.09</v>
      </c>
      <c r="T3100" s="18">
        <f>1 - V3100/S3100</f>
        <v/>
      </c>
      <c r="U3100" s="18" t="n">
        <v>0</v>
      </c>
      <c r="V3100" s="26" t="n">
        <v>4.09</v>
      </c>
      <c r="W3100" s="26">
        <f>V3100 - L3100</f>
        <v/>
      </c>
    </row>
    <row r="3101">
      <c r="A3101" s="11" t="n">
        <v>46233</v>
      </c>
      <c r="B3101" s="1" t="n">
        <v>20058</v>
      </c>
      <c r="C3101" s="1" t="inlineStr">
        <is>
          <t>039</t>
        </is>
      </c>
      <c r="D3101" s="1" t="inlineStr">
        <is>
          <t>232428</t>
        </is>
      </c>
      <c r="E3101" s="1" t="inlineStr">
        <is>
          <t xml:space="preserve">33483121       </t>
        </is>
      </c>
      <c r="F3101" s="5" t="inlineStr">
        <is>
          <t>HOT WHEELS ESTUCHE PARA 15 AUTOS SURTIDO</t>
        </is>
      </c>
      <c r="G3101" t="n">
        <v>1</v>
      </c>
      <c r="H3101" s="7" t="n">
        <v>34.9</v>
      </c>
      <c r="I3101" s="7" t="n">
        <v>0</v>
      </c>
      <c r="J3101" s="7" t="n">
        <v>0</v>
      </c>
      <c r="K3101" s="9" t="n">
        <v>0</v>
      </c>
      <c r="L3101" s="10" t="n">
        <v>20.71</v>
      </c>
      <c r="M3101" s="10" t="n">
        <v>1.43</v>
      </c>
      <c r="N3101" t="inlineStr">
        <is>
          <t>1</t>
        </is>
      </c>
      <c r="O3101" t="inlineStr">
        <is>
          <t xml:space="preserve">3 </t>
        </is>
      </c>
      <c r="P3101" t="inlineStr">
        <is>
          <t xml:space="preserve">239096  </t>
        </is>
      </c>
      <c r="Q3101" s="26" t="n">
        <v>34.9</v>
      </c>
      <c r="R3101" s="26">
        <f>Q3101*G3101</f>
        <v/>
      </c>
      <c r="S3101" t="n">
        <v>20.7</v>
      </c>
      <c r="T3101" s="18">
        <f>1 - V3101/S3101</f>
        <v/>
      </c>
      <c r="U3101" s="18" t="n">
        <v>0</v>
      </c>
      <c r="V3101" s="26" t="n">
        <v>20.7</v>
      </c>
      <c r="W3101" s="26">
        <f>V3101 - L3101</f>
        <v/>
      </c>
    </row>
    <row r="3102">
      <c r="A3102" s="11" t="n">
        <v>46233</v>
      </c>
      <c r="B3102" s="1" t="n">
        <v>20058</v>
      </c>
      <c r="C3102" s="1" t="inlineStr">
        <is>
          <t>039</t>
        </is>
      </c>
      <c r="D3102" s="1" t="inlineStr">
        <is>
          <t>232457</t>
        </is>
      </c>
      <c r="E3102" s="1" t="inlineStr">
        <is>
          <t xml:space="preserve">30141766       </t>
        </is>
      </c>
      <c r="F3102" s="5" t="inlineStr">
        <is>
          <t>TMZ BEAST MACHINES AUTOS DE METAL BLISTER X 1</t>
        </is>
      </c>
      <c r="G3102" t="n">
        <v>1</v>
      </c>
      <c r="H3102" s="7" t="n">
        <v>7.9</v>
      </c>
      <c r="I3102" s="7" t="n">
        <v>0</v>
      </c>
      <c r="J3102" s="7" t="n">
        <v>0</v>
      </c>
      <c r="K3102" s="9" t="n">
        <v>0</v>
      </c>
      <c r="L3102" s="10" t="n">
        <v>4.68</v>
      </c>
      <c r="M3102" s="10" t="n">
        <v>1.43</v>
      </c>
      <c r="N3102" t="inlineStr">
        <is>
          <t>1</t>
        </is>
      </c>
      <c r="O3102" t="inlineStr">
        <is>
          <t xml:space="preserve">2 </t>
        </is>
      </c>
      <c r="P3102" t="inlineStr">
        <is>
          <t xml:space="preserve">239096  </t>
        </is>
      </c>
      <c r="Q3102" s="26" t="n">
        <v>7.9</v>
      </c>
      <c r="R3102" s="26">
        <f>Q3102*G3102</f>
        <v/>
      </c>
      <c r="S3102" t="n">
        <v>4.69</v>
      </c>
      <c r="T3102" s="18">
        <f>1 - V3102/S3102</f>
        <v/>
      </c>
      <c r="U3102" s="18" t="n">
        <v>0</v>
      </c>
      <c r="V3102" s="26" t="n">
        <v>4.69</v>
      </c>
      <c r="W3102" s="26">
        <f>V3102 - L3102</f>
        <v/>
      </c>
    </row>
    <row r="3103">
      <c r="A3103" s="11" t="n">
        <v>46233</v>
      </c>
      <c r="B3103" s="1" t="n">
        <v>20058</v>
      </c>
      <c r="C3103" s="1" t="inlineStr">
        <is>
          <t>039</t>
        </is>
      </c>
      <c r="D3103" s="1" t="inlineStr">
        <is>
          <t>232457</t>
        </is>
      </c>
      <c r="E3103" s="1" t="inlineStr">
        <is>
          <t xml:space="preserve">30141766       </t>
        </is>
      </c>
      <c r="F3103" s="5" t="inlineStr">
        <is>
          <t>TMZ BEAST MACHINES AUTOS DE METAL BLISTER X 1</t>
        </is>
      </c>
      <c r="G3103" t="n">
        <v>1</v>
      </c>
      <c r="H3103" s="7" t="n">
        <v>7.9</v>
      </c>
      <c r="I3103" s="7" t="n">
        <v>0</v>
      </c>
      <c r="J3103" s="7" t="n">
        <v>0</v>
      </c>
      <c r="K3103" s="9" t="n">
        <v>0</v>
      </c>
      <c r="L3103" s="10" t="n">
        <v>4.68</v>
      </c>
      <c r="M3103" s="10" t="n">
        <v>1.43</v>
      </c>
      <c r="N3103" t="inlineStr">
        <is>
          <t>1</t>
        </is>
      </c>
      <c r="O3103" t="inlineStr">
        <is>
          <t xml:space="preserve">2 </t>
        </is>
      </c>
      <c r="P3103" t="inlineStr">
        <is>
          <t xml:space="preserve">239096  </t>
        </is>
      </c>
      <c r="Q3103" s="26" t="n">
        <v>7.9</v>
      </c>
      <c r="R3103" s="26">
        <f>Q3103*G3103</f>
        <v/>
      </c>
      <c r="S3103" t="n">
        <v>4.69</v>
      </c>
      <c r="T3103" s="18">
        <f>1 - V3103/S3103</f>
        <v/>
      </c>
      <c r="U3103" s="18" t="n">
        <v>0</v>
      </c>
      <c r="V3103" s="26" t="n">
        <v>4.69</v>
      </c>
      <c r="W3103" s="26">
        <f>V3103 - L3103</f>
        <v/>
      </c>
    </row>
    <row r="3104">
      <c r="A3104" s="11" t="n">
        <v>46233</v>
      </c>
      <c r="B3104" s="1" t="n">
        <v>20058</v>
      </c>
      <c r="C3104" s="1" t="inlineStr">
        <is>
          <t>197</t>
        </is>
      </c>
      <c r="D3104" s="1" t="inlineStr">
        <is>
          <t>171164</t>
        </is>
      </c>
      <c r="E3104" s="1" t="inlineStr">
        <is>
          <t xml:space="preserve">30232282       </t>
        </is>
      </c>
      <c r="F3104" s="5" t="inlineStr">
        <is>
          <t>MANDIBULAS JUEGO DE PESCA</t>
        </is>
      </c>
      <c r="G3104" t="n">
        <v>1</v>
      </c>
      <c r="H3104" s="7" t="n">
        <v>119</v>
      </c>
      <c r="I3104" s="7" t="n">
        <v>0</v>
      </c>
      <c r="J3104" s="7" t="n">
        <v>0</v>
      </c>
      <c r="K3104" s="9" t="n">
        <v>0</v>
      </c>
      <c r="L3104" s="10" t="n">
        <v>70.59999999999999</v>
      </c>
      <c r="M3104" s="10" t="n">
        <v>1.43</v>
      </c>
      <c r="N3104" t="inlineStr">
        <is>
          <t>1</t>
        </is>
      </c>
      <c r="O3104" t="inlineStr">
        <is>
          <t>16</t>
        </is>
      </c>
      <c r="P3104" t="inlineStr">
        <is>
          <t xml:space="preserve">252213  </t>
        </is>
      </c>
      <c r="Q3104" s="26" t="n">
        <v>119</v>
      </c>
      <c r="R3104" s="26">
        <f>Q3104*G3104</f>
        <v/>
      </c>
      <c r="S3104" t="n">
        <v>70.59</v>
      </c>
      <c r="T3104" s="18">
        <f>1 - V3104/S3104</f>
        <v/>
      </c>
      <c r="U3104" s="18" t="n">
        <v>0</v>
      </c>
      <c r="V3104" s="26" t="n">
        <v>70.59</v>
      </c>
      <c r="W3104" s="26">
        <f>V3104 - L3104</f>
        <v/>
      </c>
    </row>
    <row r="3105">
      <c r="A3105" s="11" t="n">
        <v>46233</v>
      </c>
      <c r="B3105" s="1" t="n">
        <v>20058</v>
      </c>
      <c r="C3105" s="1" t="inlineStr">
        <is>
          <t>197</t>
        </is>
      </c>
      <c r="D3105" s="1" t="inlineStr">
        <is>
          <t>171167</t>
        </is>
      </c>
      <c r="E3105" s="1" t="inlineStr">
        <is>
          <t xml:space="preserve">28194781       </t>
        </is>
      </c>
      <c r="F3105" s="5" t="inlineStr">
        <is>
          <t>TROMPO BATALLA INFINITY NADO SERIE V CLASICA SURTI</t>
        </is>
      </c>
      <c r="G3105" t="n">
        <v>1</v>
      </c>
      <c r="H3105" s="7" t="n">
        <v>39.9</v>
      </c>
      <c r="I3105" s="7" t="n">
        <v>0</v>
      </c>
      <c r="J3105" s="7" t="n">
        <v>0</v>
      </c>
      <c r="K3105" s="9" t="n">
        <v>0</v>
      </c>
      <c r="L3105" s="10" t="n">
        <v>23.67</v>
      </c>
      <c r="M3105" s="10" t="n">
        <v>1.43</v>
      </c>
      <c r="N3105" t="inlineStr">
        <is>
          <t>1</t>
        </is>
      </c>
      <c r="O3105" t="inlineStr">
        <is>
          <t xml:space="preserve">6 </t>
        </is>
      </c>
      <c r="P3105" t="inlineStr">
        <is>
          <t xml:space="preserve">252213  </t>
        </is>
      </c>
      <c r="Q3105" s="26" t="n">
        <v>59.9</v>
      </c>
      <c r="R3105" s="26">
        <f>Q3105*G3105</f>
        <v/>
      </c>
      <c r="S3105" t="n">
        <v>35.53</v>
      </c>
      <c r="T3105" s="18">
        <f>1 - V3105/S3105</f>
        <v/>
      </c>
      <c r="U3105" s="18" t="n">
        <v>0.333889816360601</v>
      </c>
      <c r="V3105" s="26" t="n">
        <v>25.36016949152542</v>
      </c>
      <c r="W3105" s="26">
        <f>V3105 - L3105</f>
        <v/>
      </c>
    </row>
    <row r="3106">
      <c r="A3106" s="11" t="n">
        <v>46233</v>
      </c>
      <c r="B3106" s="1" t="n">
        <v>20062</v>
      </c>
      <c r="C3106" s="1" t="inlineStr">
        <is>
          <t>017</t>
        </is>
      </c>
      <c r="D3106" s="1" t="inlineStr">
        <is>
          <t>236745</t>
        </is>
      </c>
      <c r="E3106" s="1" t="inlineStr">
        <is>
          <t xml:space="preserve">34840567       </t>
        </is>
      </c>
      <c r="F3106" s="5" t="inlineStr">
        <is>
          <t>VIP PETS S7 ESCUELA DE PEINADOS SURTIDO</t>
        </is>
      </c>
      <c r="G3106" t="n">
        <v>1</v>
      </c>
      <c r="H3106" s="7" t="n">
        <v>47.94</v>
      </c>
      <c r="I3106" s="7" t="n">
        <v>0</v>
      </c>
      <c r="J3106" s="7" t="n">
        <v>0</v>
      </c>
      <c r="K3106" s="9" t="n">
        <v>0</v>
      </c>
      <c r="L3106" s="10" t="n">
        <v>28.44</v>
      </c>
      <c r="M3106" s="10" t="n">
        <v>1.43</v>
      </c>
      <c r="N3106" t="inlineStr">
        <is>
          <t>1</t>
        </is>
      </c>
      <c r="O3106" t="inlineStr">
        <is>
          <t xml:space="preserve">3 </t>
        </is>
      </c>
      <c r="P3106" t="inlineStr">
        <is>
          <t xml:space="preserve">244467  </t>
        </is>
      </c>
      <c r="Q3106" s="26" t="n">
        <v>79.90000000000001</v>
      </c>
      <c r="R3106" s="26">
        <f>Q3106*G3106</f>
        <v/>
      </c>
      <c r="S3106" t="n">
        <v>47.4</v>
      </c>
      <c r="T3106" s="18">
        <f>1 - V3106/S3106</f>
        <v/>
      </c>
      <c r="U3106" s="18" t="n">
        <v>0.4</v>
      </c>
      <c r="V3106" s="26" t="n">
        <v>34.53169491525423</v>
      </c>
      <c r="W3106" s="26">
        <f>V3106 - L3106</f>
        <v/>
      </c>
    </row>
    <row r="3107">
      <c r="A3107" s="11" t="n">
        <v>46233</v>
      </c>
      <c r="B3107" s="1" t="n">
        <v>20062</v>
      </c>
      <c r="C3107" s="1" t="inlineStr">
        <is>
          <t>017</t>
        </is>
      </c>
      <c r="D3107" s="1" t="inlineStr">
        <is>
          <t>236759</t>
        </is>
      </c>
      <c r="E3107" s="1" t="inlineStr">
        <is>
          <t xml:space="preserve">28194781       </t>
        </is>
      </c>
      <c r="F3107" s="5" t="inlineStr">
        <is>
          <t>TROMPO BATALLA INFINITY NADO SERIE V CLASICA SURTI</t>
        </is>
      </c>
      <c r="G3107" t="n">
        <v>1</v>
      </c>
      <c r="H3107" s="7" t="n">
        <v>39.9</v>
      </c>
      <c r="I3107" s="7" t="n">
        <v>0</v>
      </c>
      <c r="J3107" s="7" t="n">
        <v>0</v>
      </c>
      <c r="K3107" s="9" t="n">
        <v>0</v>
      </c>
      <c r="L3107" s="10" t="n">
        <v>23.67</v>
      </c>
      <c r="M3107" s="10" t="n">
        <v>1.43</v>
      </c>
      <c r="N3107" t="inlineStr">
        <is>
          <t>1</t>
        </is>
      </c>
      <c r="O3107" t="inlineStr">
        <is>
          <t>16</t>
        </is>
      </c>
      <c r="P3107" t="inlineStr">
        <is>
          <t xml:space="preserve">244467  </t>
        </is>
      </c>
      <c r="Q3107" s="26" t="n">
        <v>59.9</v>
      </c>
      <c r="R3107" s="26">
        <f>Q3107*G3107</f>
        <v/>
      </c>
      <c r="S3107" t="n">
        <v>35.53</v>
      </c>
      <c r="T3107" s="18">
        <f>1 - V3107/S3107</f>
        <v/>
      </c>
      <c r="U3107" s="18" t="n">
        <v>0.333889816360601</v>
      </c>
      <c r="V3107" s="26" t="n">
        <v>25.36016949152542</v>
      </c>
      <c r="W3107" s="26">
        <f>V3107 - L3107</f>
        <v/>
      </c>
    </row>
    <row r="3108">
      <c r="A3108" s="11" t="n">
        <v>46233</v>
      </c>
      <c r="B3108" s="1" t="n">
        <v>20062</v>
      </c>
      <c r="C3108" s="1" t="inlineStr">
        <is>
          <t>017</t>
        </is>
      </c>
      <c r="D3108" s="1" t="inlineStr">
        <is>
          <t>236759</t>
        </is>
      </c>
      <c r="E3108" s="1" t="inlineStr">
        <is>
          <t xml:space="preserve">28194781       </t>
        </is>
      </c>
      <c r="F3108" s="5" t="inlineStr">
        <is>
          <t>TROMPO BATALLA INFINITY NADO SERIE V CLASICA SURTI</t>
        </is>
      </c>
      <c r="G3108" t="n">
        <v>1</v>
      </c>
      <c r="H3108" s="7" t="n">
        <v>39.9</v>
      </c>
      <c r="I3108" s="7" t="n">
        <v>0</v>
      </c>
      <c r="J3108" s="7" t="n">
        <v>0</v>
      </c>
      <c r="K3108" s="9" t="n">
        <v>0</v>
      </c>
      <c r="L3108" s="10" t="n">
        <v>23.67</v>
      </c>
      <c r="M3108" s="10" t="n">
        <v>1.43</v>
      </c>
      <c r="N3108" t="inlineStr">
        <is>
          <t>1</t>
        </is>
      </c>
      <c r="O3108" t="inlineStr">
        <is>
          <t>16</t>
        </is>
      </c>
      <c r="P3108" t="inlineStr">
        <is>
          <t xml:space="preserve">244467  </t>
        </is>
      </c>
      <c r="Q3108" s="26" t="n">
        <v>59.9</v>
      </c>
      <c r="R3108" s="26">
        <f>Q3108*G3108</f>
        <v/>
      </c>
      <c r="S3108" t="n">
        <v>35.53</v>
      </c>
      <c r="T3108" s="18">
        <f>1 - V3108/S3108</f>
        <v/>
      </c>
      <c r="U3108" s="18" t="n">
        <v>0.333889816360601</v>
      </c>
      <c r="V3108" s="26" t="n">
        <v>25.36016949152542</v>
      </c>
      <c r="W3108" s="26">
        <f>V3108 - L3108</f>
        <v/>
      </c>
    </row>
    <row r="3109">
      <c r="A3109" s="11" t="n">
        <v>46233</v>
      </c>
      <c r="B3109" s="1" t="n">
        <v>20062</v>
      </c>
      <c r="C3109" s="1" t="inlineStr">
        <is>
          <t>053</t>
        </is>
      </c>
      <c r="D3109" s="1" t="inlineStr">
        <is>
          <t>244536</t>
        </is>
      </c>
      <c r="E3109" s="1" t="inlineStr">
        <is>
          <t xml:space="preserve">29235700       </t>
        </is>
      </c>
      <c r="F3109" s="5" t="inlineStr">
        <is>
          <t>HOT WHEELS CASE METALICO PARA GUARDAR 18 CARRITOS</t>
        </is>
      </c>
      <c r="G3109" t="n">
        <v>1</v>
      </c>
      <c r="H3109" s="7" t="n">
        <v>49.9</v>
      </c>
      <c r="I3109" s="7" t="n">
        <v>0</v>
      </c>
      <c r="J3109" s="7" t="n">
        <v>0</v>
      </c>
      <c r="K3109" s="9" t="n">
        <v>0</v>
      </c>
      <c r="L3109" s="10" t="n">
        <v>29.6</v>
      </c>
      <c r="M3109" s="10" t="n">
        <v>1.43</v>
      </c>
      <c r="N3109" t="inlineStr">
        <is>
          <t>1</t>
        </is>
      </c>
      <c r="O3109" t="inlineStr">
        <is>
          <t>16</t>
        </is>
      </c>
      <c r="P3109" t="inlineStr">
        <is>
          <t xml:space="preserve">244379  </t>
        </is>
      </c>
      <c r="Q3109" s="26" t="n">
        <v>49.90000000000001</v>
      </c>
      <c r="R3109" s="26">
        <f>Q3109*G3109</f>
        <v/>
      </c>
      <c r="S3109" t="n">
        <v>29.6</v>
      </c>
      <c r="T3109" s="18">
        <f>1 - V3109/S3109</f>
        <v/>
      </c>
      <c r="U3109" s="18" t="n">
        <v>0</v>
      </c>
      <c r="V3109" s="26" t="n">
        <v>29.6</v>
      </c>
      <c r="W3109" s="26">
        <f>V3109 - L3109</f>
        <v/>
      </c>
    </row>
    <row r="3110">
      <c r="A3110" s="11" t="n">
        <v>46233</v>
      </c>
      <c r="B3110" s="1" t="n">
        <v>20062</v>
      </c>
      <c r="C3110" s="1" t="inlineStr">
        <is>
          <t>830</t>
        </is>
      </c>
      <c r="D3110" s="1" t="inlineStr">
        <is>
          <t xml:space="preserve">5795  </t>
        </is>
      </c>
      <c r="E3110" s="1" t="inlineStr">
        <is>
          <t xml:space="preserve">30141769       </t>
        </is>
      </c>
      <c r="F3110" s="5" t="inlineStr">
        <is>
          <t>TMZ BEAST MACHINES TRANSPORTE DINOSAURIO + 3 AUTOS</t>
        </is>
      </c>
      <c r="G3110" t="n">
        <v>1</v>
      </c>
      <c r="H3110" s="7" t="n">
        <v>59.9</v>
      </c>
      <c r="I3110" s="7" t="n">
        <v>0</v>
      </c>
      <c r="J3110" s="7" t="n">
        <v>0</v>
      </c>
      <c r="K3110" s="9" t="n">
        <v>0</v>
      </c>
      <c r="L3110" s="10" t="n">
        <v>35.53</v>
      </c>
      <c r="M3110" s="10" t="n">
        <v>1.43</v>
      </c>
      <c r="N3110" t="inlineStr">
        <is>
          <t>1</t>
        </is>
      </c>
      <c r="O3110" t="inlineStr">
        <is>
          <t>16</t>
        </is>
      </c>
      <c r="P3110" t="inlineStr">
        <is>
          <t xml:space="preserve">0       </t>
        </is>
      </c>
      <c r="Q3110" s="26" t="n">
        <v>79.90000000000001</v>
      </c>
      <c r="R3110" s="26">
        <f>Q3110*G3110</f>
        <v/>
      </c>
      <c r="S3110" t="n">
        <v>47.4</v>
      </c>
      <c r="T3110" s="18">
        <f>1 - V3110/S3110</f>
        <v/>
      </c>
      <c r="U3110" s="18" t="n">
        <v>0.2503128911138924</v>
      </c>
      <c r="V3110" s="26" t="n">
        <v>38.07203389830509</v>
      </c>
      <c r="W3110" s="26">
        <f>V3110 - L3110</f>
        <v/>
      </c>
    </row>
    <row r="3111">
      <c r="A3111" s="11" t="n">
        <v>46233</v>
      </c>
      <c r="B3111" s="1" t="n">
        <v>20066</v>
      </c>
      <c r="C3111" s="1" t="inlineStr">
        <is>
          <t>047</t>
        </is>
      </c>
      <c r="D3111" s="1" t="inlineStr">
        <is>
          <t xml:space="preserve">52186 </t>
        </is>
      </c>
      <c r="E3111" s="1" t="inlineStr">
        <is>
          <t xml:space="preserve">28194770       </t>
        </is>
      </c>
      <c r="F3111" s="5" t="inlineStr">
        <is>
          <t>AUTOS DE METAL 3 TEAMSTERZ EN BLISTER</t>
        </is>
      </c>
      <c r="G3111" t="n">
        <v>1</v>
      </c>
      <c r="H3111" s="7" t="n">
        <v>6.9</v>
      </c>
      <c r="I3111" s="7" t="n">
        <v>0</v>
      </c>
      <c r="J3111" s="7" t="n">
        <v>0</v>
      </c>
      <c r="K3111" s="9" t="n">
        <v>0</v>
      </c>
      <c r="L3111" s="10" t="n">
        <v>4.1</v>
      </c>
      <c r="M3111" s="10" t="n">
        <v>1.43</v>
      </c>
      <c r="N3111" t="inlineStr">
        <is>
          <t>1</t>
        </is>
      </c>
      <c r="O3111" t="inlineStr">
        <is>
          <t xml:space="preserve">2 </t>
        </is>
      </c>
      <c r="P3111" t="inlineStr">
        <is>
          <t xml:space="preserve">12646   </t>
        </is>
      </c>
      <c r="Q3111" s="26" t="n">
        <v>6.9</v>
      </c>
      <c r="R3111" s="26">
        <f>Q3111*G3111</f>
        <v/>
      </c>
      <c r="S3111" t="n">
        <v>4.09</v>
      </c>
      <c r="T3111" s="18">
        <f>1 - V3111/S3111</f>
        <v/>
      </c>
      <c r="U3111" s="18" t="n">
        <v>0</v>
      </c>
      <c r="V3111" s="26" t="n">
        <v>4.09</v>
      </c>
      <c r="W3111" s="26">
        <f>V3111 - L3111</f>
        <v/>
      </c>
    </row>
    <row r="3112">
      <c r="A3112" s="11" t="n">
        <v>46233</v>
      </c>
      <c r="B3112" s="1" t="n">
        <v>20066</v>
      </c>
      <c r="C3112" s="1" t="inlineStr">
        <is>
          <t>057</t>
        </is>
      </c>
      <c r="D3112" s="1" t="inlineStr">
        <is>
          <t>494986</t>
        </is>
      </c>
      <c r="E3112" s="1" t="inlineStr">
        <is>
          <t xml:space="preserve">28194770       </t>
        </is>
      </c>
      <c r="F3112" s="5" t="inlineStr">
        <is>
          <t>AUTOS DE METAL 3 TEAMSTERZ EN BLISTER</t>
        </is>
      </c>
      <c r="G3112" t="n">
        <v>1</v>
      </c>
      <c r="H3112" s="7" t="n">
        <v>6.9</v>
      </c>
      <c r="I3112" s="7" t="n">
        <v>0</v>
      </c>
      <c r="J3112" s="7" t="n">
        <v>0</v>
      </c>
      <c r="K3112" s="9" t="n">
        <v>0</v>
      </c>
      <c r="L3112" s="10" t="n">
        <v>4.1</v>
      </c>
      <c r="M3112" s="10" t="n">
        <v>1.43</v>
      </c>
      <c r="N3112" t="inlineStr">
        <is>
          <t>1</t>
        </is>
      </c>
      <c r="O3112" t="inlineStr">
        <is>
          <t>16</t>
        </is>
      </c>
      <c r="P3112" t="inlineStr">
        <is>
          <t xml:space="preserve">49848   </t>
        </is>
      </c>
      <c r="Q3112" s="26" t="n">
        <v>6.9</v>
      </c>
      <c r="R3112" s="26">
        <f>Q3112*G3112</f>
        <v/>
      </c>
      <c r="S3112" t="n">
        <v>4.09</v>
      </c>
      <c r="T3112" s="18">
        <f>1 - V3112/S3112</f>
        <v/>
      </c>
      <c r="U3112" s="18" t="n">
        <v>0</v>
      </c>
      <c r="V3112" s="26" t="n">
        <v>4.09</v>
      </c>
      <c r="W3112" s="26">
        <f>V3112 - L3112</f>
        <v/>
      </c>
    </row>
    <row r="3113">
      <c r="A3113" s="11" t="n">
        <v>46233</v>
      </c>
      <c r="B3113" s="1" t="n">
        <v>20066</v>
      </c>
      <c r="C3113" s="1" t="inlineStr">
        <is>
          <t>057</t>
        </is>
      </c>
      <c r="D3113" s="1" t="inlineStr">
        <is>
          <t>495009</t>
        </is>
      </c>
      <c r="E3113" s="1" t="inlineStr">
        <is>
          <t xml:space="preserve">28194770       </t>
        </is>
      </c>
      <c r="F3113" s="5" t="inlineStr">
        <is>
          <t>AUTOS DE METAL 3 TEAMSTERZ EN BLISTER</t>
        </is>
      </c>
      <c r="G3113" t="n">
        <v>1</v>
      </c>
      <c r="H3113" s="7" t="n">
        <v>6.9</v>
      </c>
      <c r="I3113" s="7" t="n">
        <v>0</v>
      </c>
      <c r="J3113" s="7" t="n">
        <v>0</v>
      </c>
      <c r="K3113" s="9" t="n">
        <v>0</v>
      </c>
      <c r="L3113" s="10" t="n">
        <v>4.1</v>
      </c>
      <c r="M3113" s="10" t="n">
        <v>1.43</v>
      </c>
      <c r="N3113" t="inlineStr">
        <is>
          <t>1</t>
        </is>
      </c>
      <c r="O3113" t="inlineStr">
        <is>
          <t>16</t>
        </is>
      </c>
      <c r="P3113" t="inlineStr">
        <is>
          <t xml:space="preserve">43713   </t>
        </is>
      </c>
      <c r="Q3113" s="26" t="n">
        <v>6.9</v>
      </c>
      <c r="R3113" s="26">
        <f>Q3113*G3113</f>
        <v/>
      </c>
      <c r="S3113" t="n">
        <v>4.09</v>
      </c>
      <c r="T3113" s="18">
        <f>1 - V3113/S3113</f>
        <v/>
      </c>
      <c r="U3113" s="18" t="n">
        <v>0</v>
      </c>
      <c r="V3113" s="26" t="n">
        <v>4.09</v>
      </c>
      <c r="W3113" s="26">
        <f>V3113 - L3113</f>
        <v/>
      </c>
    </row>
    <row r="3114">
      <c r="A3114" s="11" t="n">
        <v>46233</v>
      </c>
      <c r="B3114" s="1" t="n">
        <v>20066</v>
      </c>
      <c r="C3114" s="1" t="inlineStr">
        <is>
          <t>065</t>
        </is>
      </c>
      <c r="D3114" s="1" t="inlineStr">
        <is>
          <t xml:space="preserve">21126 </t>
        </is>
      </c>
      <c r="E3114" s="1" t="inlineStr">
        <is>
          <t xml:space="preserve">28194770       </t>
        </is>
      </c>
      <c r="F3114" s="5" t="inlineStr">
        <is>
          <t>AUTOS DE METAL 3 TEAMSTERZ EN BLISTER</t>
        </is>
      </c>
      <c r="G3114" t="n">
        <v>1</v>
      </c>
      <c r="H3114" s="7" t="n">
        <v>6.9</v>
      </c>
      <c r="I3114" s="7" t="n">
        <v>0</v>
      </c>
      <c r="J3114" s="7" t="n">
        <v>0</v>
      </c>
      <c r="K3114" s="9" t="n">
        <v>0</v>
      </c>
      <c r="L3114" s="10" t="n">
        <v>4.1</v>
      </c>
      <c r="M3114" s="10" t="n">
        <v>1.43</v>
      </c>
      <c r="N3114" t="inlineStr">
        <is>
          <t>1</t>
        </is>
      </c>
      <c r="O3114" t="inlineStr">
        <is>
          <t xml:space="preserve">2 </t>
        </is>
      </c>
      <c r="P3114" t="inlineStr">
        <is>
          <t xml:space="preserve">44050   </t>
        </is>
      </c>
      <c r="Q3114" s="26" t="n">
        <v>6.9</v>
      </c>
      <c r="R3114" s="26">
        <f>Q3114*G3114</f>
        <v/>
      </c>
      <c r="S3114" t="n">
        <v>4.09</v>
      </c>
      <c r="T3114" s="18">
        <f>1 - V3114/S3114</f>
        <v/>
      </c>
      <c r="U3114" s="18" t="n">
        <v>0</v>
      </c>
      <c r="V3114" s="26" t="n">
        <v>4.09</v>
      </c>
      <c r="W3114" s="26">
        <f>V3114 - L3114</f>
        <v/>
      </c>
    </row>
    <row r="3115">
      <c r="A3115" s="11" t="n">
        <v>46233</v>
      </c>
      <c r="B3115" s="1" t="n">
        <v>20066</v>
      </c>
      <c r="C3115" s="1" t="inlineStr">
        <is>
          <t>065</t>
        </is>
      </c>
      <c r="D3115" s="1" t="inlineStr">
        <is>
          <t xml:space="preserve">21126 </t>
        </is>
      </c>
      <c r="E3115" s="1" t="inlineStr">
        <is>
          <t xml:space="preserve">28194770       </t>
        </is>
      </c>
      <c r="F3115" s="5" t="inlineStr">
        <is>
          <t>AUTOS DE METAL 3 TEAMSTERZ EN BLISTER</t>
        </is>
      </c>
      <c r="G3115" t="n">
        <v>1</v>
      </c>
      <c r="H3115" s="7" t="n">
        <v>6.9</v>
      </c>
      <c r="I3115" s="7" t="n">
        <v>0</v>
      </c>
      <c r="J3115" s="7" t="n">
        <v>0</v>
      </c>
      <c r="K3115" s="9" t="n">
        <v>0</v>
      </c>
      <c r="L3115" s="10" t="n">
        <v>4.1</v>
      </c>
      <c r="M3115" s="10" t="n">
        <v>1.43</v>
      </c>
      <c r="N3115" t="inlineStr">
        <is>
          <t>1</t>
        </is>
      </c>
      <c r="O3115" t="inlineStr">
        <is>
          <t xml:space="preserve">2 </t>
        </is>
      </c>
      <c r="P3115" t="inlineStr">
        <is>
          <t xml:space="preserve">44050   </t>
        </is>
      </c>
      <c r="Q3115" s="26" t="n">
        <v>6.9</v>
      </c>
      <c r="R3115" s="26">
        <f>Q3115*G3115</f>
        <v/>
      </c>
      <c r="S3115" t="n">
        <v>4.09</v>
      </c>
      <c r="T3115" s="18">
        <f>1 - V3115/S3115</f>
        <v/>
      </c>
      <c r="U3115" s="18" t="n">
        <v>0</v>
      </c>
      <c r="V3115" s="26" t="n">
        <v>4.09</v>
      </c>
      <c r="W3115" s="26">
        <f>V3115 - L3115</f>
        <v/>
      </c>
    </row>
    <row r="3116">
      <c r="A3116" s="11" t="n">
        <v>46233</v>
      </c>
      <c r="B3116" s="1" t="n">
        <v>20066</v>
      </c>
      <c r="C3116" s="1" t="inlineStr">
        <is>
          <t>833</t>
        </is>
      </c>
      <c r="D3116" s="1" t="inlineStr">
        <is>
          <t xml:space="preserve">4488  </t>
        </is>
      </c>
      <c r="E3116" s="1" t="inlineStr">
        <is>
          <t xml:space="preserve">28194770       </t>
        </is>
      </c>
      <c r="F3116" s="5" t="inlineStr">
        <is>
          <t>AUTOS DE METAL 3 TEAMSTERZ EN BLISTER</t>
        </is>
      </c>
      <c r="G3116" t="n">
        <v>1</v>
      </c>
      <c r="H3116" s="7" t="n">
        <v>6.9</v>
      </c>
      <c r="I3116" s="7" t="n">
        <v>0</v>
      </c>
      <c r="J3116" s="7" t="n">
        <v>0</v>
      </c>
      <c r="K3116" s="9" t="n">
        <v>0</v>
      </c>
      <c r="L3116" s="10" t="n">
        <v>4.1</v>
      </c>
      <c r="M3116" s="10" t="n">
        <v>1.43</v>
      </c>
      <c r="N3116" t="inlineStr">
        <is>
          <t>1</t>
        </is>
      </c>
      <c r="O3116" t="inlineStr">
        <is>
          <t>16</t>
        </is>
      </c>
      <c r="P3116" t="inlineStr">
        <is>
          <t xml:space="preserve">249552  </t>
        </is>
      </c>
      <c r="Q3116" s="26" t="n">
        <v>6.9</v>
      </c>
      <c r="R3116" s="26">
        <f>Q3116*G3116</f>
        <v/>
      </c>
      <c r="S3116" t="n">
        <v>4.09</v>
      </c>
      <c r="T3116" s="18">
        <f>1 - V3116/S3116</f>
        <v/>
      </c>
      <c r="U3116" s="18" t="n">
        <v>0</v>
      </c>
      <c r="V3116" s="26" t="n">
        <v>4.09</v>
      </c>
      <c r="W3116" s="26">
        <f>V3116 - L3116</f>
        <v/>
      </c>
    </row>
    <row r="3117">
      <c r="A3117" s="11" t="n">
        <v>46233</v>
      </c>
      <c r="B3117" s="1" t="n">
        <v>20069</v>
      </c>
      <c r="C3117" s="1" t="inlineStr">
        <is>
          <t>026</t>
        </is>
      </c>
      <c r="D3117" s="1" t="inlineStr">
        <is>
          <t>360613</t>
        </is>
      </c>
      <c r="E3117" s="1" t="inlineStr">
        <is>
          <t xml:space="preserve">28194769       </t>
        </is>
      </c>
      <c r="F3117" s="5" t="inlineStr">
        <is>
          <t>AUTOS DE METAL 3 TEAMSTERZ PACK DE 2</t>
        </is>
      </c>
      <c r="G3117" t="n">
        <v>1</v>
      </c>
      <c r="H3117" s="7" t="n">
        <v>13.8</v>
      </c>
      <c r="I3117" s="7" t="n">
        <v>0</v>
      </c>
      <c r="J3117" s="7" t="n">
        <v>0</v>
      </c>
      <c r="K3117" s="9" t="n">
        <v>0</v>
      </c>
      <c r="L3117" s="10" t="n">
        <v>8.18</v>
      </c>
      <c r="M3117" s="10" t="n">
        <v>1.43</v>
      </c>
      <c r="N3117" t="inlineStr">
        <is>
          <t>1</t>
        </is>
      </c>
      <c r="O3117" t="inlineStr">
        <is>
          <t>16</t>
        </is>
      </c>
      <c r="P3117" t="inlineStr">
        <is>
          <t xml:space="preserve">249236  </t>
        </is>
      </c>
      <c r="Q3117" s="26" t="n">
        <v>13.8</v>
      </c>
      <c r="R3117" s="26">
        <f>Q3117*G3117</f>
        <v/>
      </c>
      <c r="S3117" t="n">
        <v>8.19</v>
      </c>
      <c r="T3117" s="18">
        <f>1 - V3117/S3117</f>
        <v/>
      </c>
      <c r="U3117" s="18" t="n">
        <v>0</v>
      </c>
      <c r="V3117" s="26" t="n">
        <v>8.19</v>
      </c>
      <c r="W3117" s="26">
        <f>V3117 - L3117</f>
        <v/>
      </c>
    </row>
    <row r="3118">
      <c r="A3118" s="11" t="n">
        <v>46233</v>
      </c>
      <c r="B3118" s="1" t="n">
        <v>20072</v>
      </c>
      <c r="C3118" s="1" t="inlineStr">
        <is>
          <t>014</t>
        </is>
      </c>
      <c r="D3118" s="1" t="inlineStr">
        <is>
          <t xml:space="preserve">3688  </t>
        </is>
      </c>
      <c r="E3118" s="1" t="inlineStr">
        <is>
          <t xml:space="preserve">29235708       </t>
        </is>
      </c>
      <c r="F3118" s="5" t="inlineStr">
        <is>
          <t>TEAMSTERZ RESCATE POR AIRE Y MAR</t>
        </is>
      </c>
      <c r="G3118" t="n">
        <v>1</v>
      </c>
      <c r="H3118" s="7" t="n">
        <v>39.9</v>
      </c>
      <c r="I3118" s="7" t="n">
        <v>0</v>
      </c>
      <c r="J3118" s="7" t="n">
        <v>0</v>
      </c>
      <c r="K3118" s="9" t="n">
        <v>0</v>
      </c>
      <c r="L3118" s="10" t="n">
        <v>23.67</v>
      </c>
      <c r="M3118" s="10" t="n">
        <v>1.43</v>
      </c>
      <c r="N3118" t="inlineStr">
        <is>
          <t>1</t>
        </is>
      </c>
      <c r="O3118" t="inlineStr">
        <is>
          <t xml:space="preserve">2 </t>
        </is>
      </c>
      <c r="P3118" t="inlineStr">
        <is>
          <t xml:space="preserve">71221   </t>
        </is>
      </c>
      <c r="Q3118" s="26" t="n">
        <v>39.9</v>
      </c>
      <c r="R3118" s="26">
        <f>Q3118*G3118</f>
        <v/>
      </c>
      <c r="S3118" t="n">
        <v>23.67</v>
      </c>
      <c r="T3118" s="18">
        <f>1 - V3118/S3118</f>
        <v/>
      </c>
      <c r="U3118" s="18" t="n">
        <v>0</v>
      </c>
      <c r="V3118" s="26" t="n">
        <v>23.67</v>
      </c>
      <c r="W3118" s="26">
        <f>V3118 - L3118</f>
        <v/>
      </c>
    </row>
    <row r="3119">
      <c r="A3119" s="11" t="n">
        <v>46233</v>
      </c>
      <c r="B3119" s="1" t="n">
        <v>20072</v>
      </c>
      <c r="C3119" s="1" t="inlineStr">
        <is>
          <t>023</t>
        </is>
      </c>
      <c r="D3119" s="1" t="inlineStr">
        <is>
          <t>318266</t>
        </is>
      </c>
      <c r="E3119" s="1" t="inlineStr">
        <is>
          <t xml:space="preserve">28194781       </t>
        </is>
      </c>
      <c r="F3119" s="5" t="inlineStr">
        <is>
          <t>TROMPO BATALLA INFINITY NADO SERIE V CLASICA SURTI</t>
        </is>
      </c>
      <c r="G3119" t="n">
        <v>1</v>
      </c>
      <c r="H3119" s="7" t="n">
        <v>39.9</v>
      </c>
      <c r="I3119" s="7" t="n">
        <v>0</v>
      </c>
      <c r="J3119" s="7" t="n">
        <v>0</v>
      </c>
      <c r="K3119" s="9" t="n">
        <v>0</v>
      </c>
      <c r="L3119" s="10" t="n">
        <v>23.67</v>
      </c>
      <c r="M3119" s="10" t="n">
        <v>1.43</v>
      </c>
      <c r="N3119" t="inlineStr">
        <is>
          <t>1</t>
        </is>
      </c>
      <c r="O3119" t="inlineStr">
        <is>
          <t xml:space="preserve">3 </t>
        </is>
      </c>
      <c r="P3119" t="inlineStr">
        <is>
          <t xml:space="preserve">238588  </t>
        </is>
      </c>
      <c r="Q3119" s="26" t="n">
        <v>59.9</v>
      </c>
      <c r="R3119" s="26">
        <f>Q3119*G3119</f>
        <v/>
      </c>
      <c r="S3119" t="n">
        <v>35.53</v>
      </c>
      <c r="T3119" s="18">
        <f>1 - V3119/S3119</f>
        <v/>
      </c>
      <c r="U3119" s="18" t="n">
        <v>0.333889816360601</v>
      </c>
      <c r="V3119" s="26" t="n">
        <v>25.36016949152542</v>
      </c>
      <c r="W3119" s="26">
        <f>V3119 - L3119</f>
        <v/>
      </c>
    </row>
    <row r="3120">
      <c r="A3120" s="11" t="n">
        <v>46233</v>
      </c>
      <c r="B3120" s="1" t="n">
        <v>20072</v>
      </c>
      <c r="C3120" s="1" t="inlineStr">
        <is>
          <t>032</t>
        </is>
      </c>
      <c r="D3120" s="1" t="inlineStr">
        <is>
          <t>309686</t>
        </is>
      </c>
      <c r="E3120" s="1" t="inlineStr">
        <is>
          <t xml:space="preserve">28194781       </t>
        </is>
      </c>
      <c r="F3120" s="5" t="inlineStr">
        <is>
          <t>TROMPO BATALLA INFINITY NADO SERIE V CLASICA SURTI</t>
        </is>
      </c>
      <c r="G3120" t="n">
        <v>1</v>
      </c>
      <c r="H3120" s="7" t="n">
        <v>39.9</v>
      </c>
      <c r="I3120" s="7" t="n">
        <v>0</v>
      </c>
      <c r="J3120" s="7" t="n">
        <v>0</v>
      </c>
      <c r="K3120" s="9" t="n">
        <v>0</v>
      </c>
      <c r="L3120" s="10" t="n">
        <v>23.67</v>
      </c>
      <c r="M3120" s="10" t="n">
        <v>1.43</v>
      </c>
      <c r="N3120" t="inlineStr">
        <is>
          <t>1</t>
        </is>
      </c>
      <c r="O3120" t="inlineStr">
        <is>
          <t xml:space="preserve">2 </t>
        </is>
      </c>
      <c r="P3120" t="inlineStr">
        <is>
          <t xml:space="preserve">92485   </t>
        </is>
      </c>
      <c r="Q3120" s="26" t="n">
        <v>59.9</v>
      </c>
      <c r="R3120" s="26">
        <f>Q3120*G3120</f>
        <v/>
      </c>
      <c r="S3120" t="n">
        <v>35.53</v>
      </c>
      <c r="T3120" s="18">
        <f>1 - V3120/S3120</f>
        <v/>
      </c>
      <c r="U3120" s="18" t="n">
        <v>0.333889816360601</v>
      </c>
      <c r="V3120" s="26" t="n">
        <v>25.36016949152542</v>
      </c>
      <c r="W3120" s="26">
        <f>V3120 - L3120</f>
        <v/>
      </c>
    </row>
    <row r="3121">
      <c r="A3121" s="11" t="n">
        <v>46233</v>
      </c>
      <c r="B3121" s="1" t="n">
        <v>20073</v>
      </c>
      <c r="C3121" s="1" t="inlineStr">
        <is>
          <t>023</t>
        </is>
      </c>
      <c r="D3121" s="1" t="inlineStr">
        <is>
          <t xml:space="preserve">97096 </t>
        </is>
      </c>
      <c r="E3121" s="1" t="inlineStr">
        <is>
          <t xml:space="preserve">31959959       </t>
        </is>
      </c>
      <c r="F3121" s="5" t="inlineStr">
        <is>
          <t>TMZ CAMBIA DE COLOR LANZADOR SPIN SPLASH + 1 AUTO</t>
        </is>
      </c>
      <c r="G3121" t="n">
        <v>1</v>
      </c>
      <c r="H3121" s="7" t="n">
        <v>14.9</v>
      </c>
      <c r="I3121" s="7" t="n">
        <v>0</v>
      </c>
      <c r="J3121" s="7" t="n">
        <v>0</v>
      </c>
      <c r="K3121" s="9" t="n">
        <v>0</v>
      </c>
      <c r="L3121" s="10" t="n">
        <v>8.84</v>
      </c>
      <c r="M3121" s="10" t="n">
        <v>1.43</v>
      </c>
      <c r="N3121" t="inlineStr">
        <is>
          <t>1</t>
        </is>
      </c>
      <c r="O3121" t="inlineStr">
        <is>
          <t>16</t>
        </is>
      </c>
      <c r="P3121" t="inlineStr">
        <is>
          <t xml:space="preserve">64168   </t>
        </is>
      </c>
      <c r="Q3121" s="26" t="n">
        <v>39.9</v>
      </c>
      <c r="R3121" s="26">
        <f>Q3121*G3121</f>
        <v/>
      </c>
      <c r="S3121" t="n">
        <v>23.67</v>
      </c>
      <c r="T3121" s="18">
        <f>1 - V3121/S3121</f>
        <v/>
      </c>
      <c r="U3121" s="18" t="n">
        <v>0.6265664160401002</v>
      </c>
      <c r="V3121" s="26" t="n">
        <v>10.73050847457628</v>
      </c>
      <c r="W3121" s="26">
        <f>V3121 - L3121</f>
        <v/>
      </c>
    </row>
    <row r="3122">
      <c r="A3122" s="11" t="n">
        <v>46233</v>
      </c>
      <c r="B3122" s="1" t="n">
        <v>20073</v>
      </c>
      <c r="C3122" s="1" t="inlineStr">
        <is>
          <t>028</t>
        </is>
      </c>
      <c r="D3122" s="1" t="inlineStr">
        <is>
          <t xml:space="preserve">85307 </t>
        </is>
      </c>
      <c r="E3122" s="1" t="inlineStr">
        <is>
          <t xml:space="preserve">28194768       </t>
        </is>
      </c>
      <c r="F3122" s="5" t="inlineStr">
        <is>
          <t>AUTO COLOR CHANGE TEAMSTERZ SURTIDO</t>
        </is>
      </c>
      <c r="G3122" t="n">
        <v>1</v>
      </c>
      <c r="H3122" s="7" t="n">
        <v>14.9</v>
      </c>
      <c r="I3122" s="7" t="n">
        <v>0</v>
      </c>
      <c r="J3122" s="7" t="n">
        <v>0</v>
      </c>
      <c r="K3122" s="9" t="n">
        <v>0</v>
      </c>
      <c r="L3122" s="10" t="n">
        <v>8.84</v>
      </c>
      <c r="M3122" s="10" t="n">
        <v>1.43</v>
      </c>
      <c r="N3122" t="inlineStr">
        <is>
          <t>1</t>
        </is>
      </c>
      <c r="O3122" t="inlineStr">
        <is>
          <t>16</t>
        </is>
      </c>
      <c r="P3122" t="inlineStr">
        <is>
          <t xml:space="preserve">22321   </t>
        </is>
      </c>
      <c r="Q3122" s="26" t="n">
        <v>14.9</v>
      </c>
      <c r="R3122" s="26">
        <f>Q3122*G3122</f>
        <v/>
      </c>
      <c r="S3122" t="n">
        <v>8.84</v>
      </c>
      <c r="T3122" s="18">
        <f>1 - V3122/S3122</f>
        <v/>
      </c>
      <c r="U3122" s="18" t="n">
        <v>0</v>
      </c>
      <c r="V3122" s="26" t="n">
        <v>8.84</v>
      </c>
      <c r="W3122" s="26">
        <f>V3122 - L3122</f>
        <v/>
      </c>
    </row>
    <row r="3123">
      <c r="A3123" s="11" t="n">
        <v>46233</v>
      </c>
      <c r="B3123" s="1" t="n">
        <v>20073</v>
      </c>
      <c r="C3123" s="1" t="inlineStr">
        <is>
          <t>046</t>
        </is>
      </c>
      <c r="D3123" s="1" t="inlineStr">
        <is>
          <t>207994</t>
        </is>
      </c>
      <c r="E3123" s="1" t="inlineStr">
        <is>
          <t xml:space="preserve">32457111       </t>
        </is>
      </c>
      <c r="F3123" s="5" t="inlineStr">
        <is>
          <t>TMZ BEAST MACHINES MONSTER JAWS A FRICCION PACK DE</t>
        </is>
      </c>
      <c r="G3123" t="n">
        <v>1</v>
      </c>
      <c r="H3123" s="7" t="n">
        <v>54.9</v>
      </c>
      <c r="I3123" s="7" t="n">
        <v>0</v>
      </c>
      <c r="J3123" s="7" t="n">
        <v>0</v>
      </c>
      <c r="K3123" s="9" t="n">
        <v>0</v>
      </c>
      <c r="L3123" s="10" t="n">
        <v>32.57</v>
      </c>
      <c r="M3123" s="10" t="n">
        <v>1.43</v>
      </c>
      <c r="N3123" t="inlineStr">
        <is>
          <t>1</t>
        </is>
      </c>
      <c r="O3123" t="inlineStr">
        <is>
          <t>16</t>
        </is>
      </c>
      <c r="P3123" t="inlineStr">
        <is>
          <t xml:space="preserve">57881   </t>
        </is>
      </c>
      <c r="Q3123" s="26" t="n">
        <v>74.90000000000001</v>
      </c>
      <c r="R3123" s="26">
        <f>Q3123*G3123</f>
        <v/>
      </c>
      <c r="S3123" t="n">
        <v>44.43</v>
      </c>
      <c r="T3123" s="18">
        <f>1 - V3123/S3123</f>
        <v/>
      </c>
      <c r="U3123" s="18" t="n">
        <v>0.2670226969292391</v>
      </c>
      <c r="V3123" s="26" t="n">
        <v>31.92406779661017</v>
      </c>
      <c r="W3123" s="26">
        <f>V3123 - L3123</f>
        <v/>
      </c>
    </row>
    <row r="3124">
      <c r="A3124" s="11" t="n">
        <v>46233</v>
      </c>
      <c r="B3124" s="1" t="n">
        <v>20074</v>
      </c>
      <c r="C3124" s="1" t="inlineStr">
        <is>
          <t>015</t>
        </is>
      </c>
      <c r="D3124" s="1" t="inlineStr">
        <is>
          <t>229067</t>
        </is>
      </c>
      <c r="E3124" s="1" t="inlineStr">
        <is>
          <t xml:space="preserve">28194783       </t>
        </is>
      </c>
      <c r="F3124" s="5" t="inlineStr">
        <is>
          <t>SET DE BATALLA INFINITY NADO CON 2 TROMPOS</t>
        </is>
      </c>
      <c r="G3124" t="n">
        <v>1</v>
      </c>
      <c r="H3124" s="7" t="n">
        <v>159</v>
      </c>
      <c r="I3124" s="7" t="n">
        <v>0</v>
      </c>
      <c r="J3124" s="7" t="n">
        <v>0</v>
      </c>
      <c r="K3124" s="9" t="n">
        <v>0</v>
      </c>
      <c r="L3124" s="10" t="n">
        <v>94.33</v>
      </c>
      <c r="M3124" s="10" t="n">
        <v>1.43</v>
      </c>
      <c r="N3124" t="inlineStr">
        <is>
          <t>1</t>
        </is>
      </c>
      <c r="O3124" t="inlineStr">
        <is>
          <t>16</t>
        </is>
      </c>
      <c r="P3124" t="inlineStr">
        <is>
          <t xml:space="preserve">249571  </t>
        </is>
      </c>
      <c r="Q3124" s="26" t="n">
        <v>159</v>
      </c>
      <c r="R3124" s="26">
        <f>Q3124*G3124</f>
        <v/>
      </c>
      <c r="S3124" t="n">
        <v>94.31999999999999</v>
      </c>
      <c r="T3124" s="18">
        <f>1 - V3124/S3124</f>
        <v/>
      </c>
      <c r="U3124" s="18" t="n">
        <v>0.1886792452830188</v>
      </c>
      <c r="V3124" s="26" t="n">
        <v>81.99152542372882</v>
      </c>
      <c r="W3124" s="26">
        <f>V3124 - L3124</f>
        <v/>
      </c>
    </row>
    <row r="3125">
      <c r="A3125" s="11" t="n">
        <v>46233</v>
      </c>
      <c r="B3125" s="1" t="n">
        <v>20074</v>
      </c>
      <c r="C3125" s="1" t="inlineStr">
        <is>
          <t>028</t>
        </is>
      </c>
      <c r="D3125" s="1" t="inlineStr">
        <is>
          <t>185491</t>
        </is>
      </c>
      <c r="E3125" s="1" t="inlineStr">
        <is>
          <t xml:space="preserve">30141768       </t>
        </is>
      </c>
      <c r="F3125" s="5" t="inlineStr">
        <is>
          <t>TMZ BEAST MACHINES AUTOS DE METAL PACK 10 AUTOS</t>
        </is>
      </c>
      <c r="G3125" t="n">
        <v>1</v>
      </c>
      <c r="H3125" s="7" t="n">
        <v>69</v>
      </c>
      <c r="I3125" s="7" t="n">
        <v>0</v>
      </c>
      <c r="J3125" s="7" t="n">
        <v>0</v>
      </c>
      <c r="K3125" s="9" t="n">
        <v>0</v>
      </c>
      <c r="L3125" s="10" t="n">
        <v>40.93</v>
      </c>
      <c r="M3125" s="10" t="n">
        <v>1.43</v>
      </c>
      <c r="N3125" t="inlineStr">
        <is>
          <t>1</t>
        </is>
      </c>
      <c r="O3125" t="inlineStr">
        <is>
          <t>16</t>
        </is>
      </c>
      <c r="P3125" t="inlineStr">
        <is>
          <t xml:space="preserve">12059   </t>
        </is>
      </c>
      <c r="Q3125" s="26" t="n">
        <v>79</v>
      </c>
      <c r="R3125" s="26">
        <f>Q3125*G3125</f>
        <v/>
      </c>
      <c r="S3125" t="n">
        <v>46.86</v>
      </c>
      <c r="T3125" s="18">
        <f>1 - V3125/S3125</f>
        <v/>
      </c>
      <c r="U3125" s="18" t="n">
        <v>0.1265822784810127</v>
      </c>
      <c r="V3125" s="26" t="n">
        <v>43.85593220338983</v>
      </c>
      <c r="W3125" s="26">
        <f>V3125 - L3125</f>
        <v/>
      </c>
    </row>
    <row r="3126">
      <c r="A3126" s="11" t="n">
        <v>46233</v>
      </c>
      <c r="B3126" s="1" t="n">
        <v>20074</v>
      </c>
      <c r="C3126" s="1" t="inlineStr">
        <is>
          <t>028</t>
        </is>
      </c>
      <c r="D3126" s="1" t="inlineStr">
        <is>
          <t>185491</t>
        </is>
      </c>
      <c r="E3126" s="1" t="inlineStr">
        <is>
          <t xml:space="preserve">34840557       </t>
        </is>
      </c>
      <c r="F3126" s="5" t="inlineStr">
        <is>
          <t>TMZ BEAST MACH. PLAYSET GARAGE DE SERPIENTE + 2 AU</t>
        </is>
      </c>
      <c r="G3126" t="n">
        <v>1</v>
      </c>
      <c r="H3126" s="7" t="n">
        <v>49.9</v>
      </c>
      <c r="I3126" s="7" t="n">
        <v>0</v>
      </c>
      <c r="J3126" s="7" t="n">
        <v>0</v>
      </c>
      <c r="K3126" s="9" t="n">
        <v>0</v>
      </c>
      <c r="L3126" s="10" t="n">
        <v>29.6</v>
      </c>
      <c r="M3126" s="10" t="n">
        <v>1.43</v>
      </c>
      <c r="N3126" t="inlineStr">
        <is>
          <t>1</t>
        </is>
      </c>
      <c r="O3126" t="inlineStr">
        <is>
          <t>16</t>
        </is>
      </c>
      <c r="P3126" t="inlineStr">
        <is>
          <t xml:space="preserve">12059   </t>
        </is>
      </c>
      <c r="Q3126" s="26" t="n">
        <v>79.90000000000002</v>
      </c>
      <c r="R3126" s="26">
        <f>Q3126*G3126</f>
        <v/>
      </c>
      <c r="S3126" t="n">
        <v>47.4</v>
      </c>
      <c r="T3126" s="18">
        <f>1 - V3126/S3126</f>
        <v/>
      </c>
      <c r="U3126" s="18" t="n">
        <v>0.3754693366708386</v>
      </c>
      <c r="V3126" s="26" t="n">
        <v>33.83050847457627</v>
      </c>
      <c r="W3126" s="26">
        <f>V3126 - L3126</f>
        <v/>
      </c>
    </row>
    <row r="3127">
      <c r="A3127" s="11" t="n">
        <v>46233</v>
      </c>
      <c r="B3127" s="1" t="n">
        <v>20074</v>
      </c>
      <c r="C3127" s="1" t="inlineStr">
        <is>
          <t>048</t>
        </is>
      </c>
      <c r="D3127" s="1" t="inlineStr">
        <is>
          <t>146223</t>
        </is>
      </c>
      <c r="E3127" s="1" t="inlineStr">
        <is>
          <t xml:space="preserve">32457103       </t>
        </is>
      </c>
      <c r="F3127" s="5" t="inlineStr">
        <is>
          <t>TMZ BEAST MACHINES MONSTER JAWS A FRICCION PACK DE</t>
        </is>
      </c>
      <c r="G3127" t="n">
        <v>1</v>
      </c>
      <c r="H3127" s="7" t="n">
        <v>32.9</v>
      </c>
      <c r="I3127" s="7" t="n">
        <v>0</v>
      </c>
      <c r="J3127" s="7" t="n">
        <v>0</v>
      </c>
      <c r="K3127" s="9" t="n">
        <v>0</v>
      </c>
      <c r="L3127" s="10" t="n">
        <v>19.52</v>
      </c>
      <c r="M3127" s="10" t="n">
        <v>1.43</v>
      </c>
      <c r="N3127" t="inlineStr">
        <is>
          <t>1</t>
        </is>
      </c>
      <c r="O3127" t="inlineStr">
        <is>
          <t xml:space="preserve">2 </t>
        </is>
      </c>
      <c r="P3127" t="inlineStr">
        <is>
          <t xml:space="preserve">251791  </t>
        </is>
      </c>
      <c r="Q3127" s="26" t="n">
        <v>37.9</v>
      </c>
      <c r="R3127" s="26">
        <f>Q3127*G3127</f>
        <v/>
      </c>
      <c r="S3127" t="n">
        <v>22.48</v>
      </c>
      <c r="T3127" s="18">
        <f>1 - V3127/S3127</f>
        <v/>
      </c>
      <c r="U3127" s="18" t="n">
        <v>0.1319261213720316</v>
      </c>
      <c r="V3127" s="26" t="n">
        <v>16.75101694915254</v>
      </c>
      <c r="W3127" s="26">
        <f>V3127 - L3127</f>
        <v/>
      </c>
    </row>
    <row r="3128">
      <c r="A3128" s="11" t="n">
        <v>46233</v>
      </c>
      <c r="B3128" s="1" t="n">
        <v>20077</v>
      </c>
      <c r="C3128" s="1" t="inlineStr">
        <is>
          <t>016</t>
        </is>
      </c>
      <c r="D3128" s="1" t="inlineStr">
        <is>
          <t>124017</t>
        </is>
      </c>
      <c r="E3128" s="1" t="inlineStr">
        <is>
          <t xml:space="preserve">28194782       </t>
        </is>
      </c>
      <c r="F3128" s="5" t="inlineStr">
        <is>
          <t>TROMPO BATALLA INFINITY NADO SERIE V ORIGINAL SURT</t>
        </is>
      </c>
      <c r="G3128" t="n">
        <v>1</v>
      </c>
      <c r="H3128" s="7" t="n">
        <v>49.9</v>
      </c>
      <c r="I3128" s="7" t="n">
        <v>0</v>
      </c>
      <c r="J3128" s="7" t="n">
        <v>0</v>
      </c>
      <c r="K3128" s="9" t="n">
        <v>0</v>
      </c>
      <c r="L3128" s="10" t="n">
        <v>29.6</v>
      </c>
      <c r="M3128" s="10" t="n">
        <v>1.43</v>
      </c>
      <c r="N3128" t="inlineStr">
        <is>
          <t>1</t>
        </is>
      </c>
      <c r="O3128" t="inlineStr">
        <is>
          <t xml:space="preserve">2 </t>
        </is>
      </c>
      <c r="P3128" t="inlineStr">
        <is>
          <t xml:space="preserve">70656   </t>
        </is>
      </c>
      <c r="Q3128" s="26" t="n">
        <v>69.90000000000001</v>
      </c>
      <c r="R3128" s="26">
        <f>Q3128*G3128</f>
        <v/>
      </c>
      <c r="S3128" t="n">
        <v>41.47</v>
      </c>
      <c r="T3128" s="18">
        <f>1 - V3128/S3128</f>
        <v/>
      </c>
      <c r="U3128" s="18" t="n">
        <v>0.2861230329041489</v>
      </c>
      <c r="V3128" s="26" t="n">
        <v>31.71610169491525</v>
      </c>
      <c r="W3128" s="26">
        <f>V3128 - L3128</f>
        <v/>
      </c>
    </row>
    <row r="3129">
      <c r="A3129" s="11" t="n">
        <v>46233</v>
      </c>
      <c r="B3129" s="1" t="n">
        <v>20077</v>
      </c>
      <c r="C3129" s="1" t="inlineStr">
        <is>
          <t>026</t>
        </is>
      </c>
      <c r="D3129" s="1" t="inlineStr">
        <is>
          <t xml:space="preserve">2805  </t>
        </is>
      </c>
      <c r="E3129" s="1" t="inlineStr">
        <is>
          <t xml:space="preserve">28194780       </t>
        </is>
      </c>
      <c r="F3129" s="5" t="inlineStr">
        <is>
          <t>TROMPO BATALLA INFINITY NADO PLSTICO SURTIDO</t>
        </is>
      </c>
      <c r="G3129" t="n">
        <v>1</v>
      </c>
      <c r="H3129" s="7" t="n">
        <v>19.9</v>
      </c>
      <c r="I3129" s="7" t="n">
        <v>0</v>
      </c>
      <c r="J3129" s="7" t="n">
        <v>0</v>
      </c>
      <c r="K3129" s="9" t="n">
        <v>0</v>
      </c>
      <c r="L3129" s="10" t="n">
        <v>11.8</v>
      </c>
      <c r="M3129" s="10" t="n">
        <v>1.43</v>
      </c>
      <c r="N3129" t="inlineStr">
        <is>
          <t>1</t>
        </is>
      </c>
      <c r="O3129" t="inlineStr">
        <is>
          <t>16</t>
        </is>
      </c>
      <c r="P3129" t="inlineStr">
        <is>
          <t xml:space="preserve">62762   </t>
        </is>
      </c>
      <c r="Q3129" s="26" t="n">
        <v>19.9</v>
      </c>
      <c r="R3129" s="26">
        <f>Q3129*G3129</f>
        <v/>
      </c>
      <c r="S3129" t="n">
        <v>11.81</v>
      </c>
      <c r="T3129" s="18">
        <f>1 - V3129/S3129</f>
        <v/>
      </c>
      <c r="U3129" s="18" t="n">
        <v>0</v>
      </c>
      <c r="V3129" s="26" t="n">
        <v>11.81</v>
      </c>
      <c r="W3129" s="26">
        <f>V3129 - L3129</f>
        <v/>
      </c>
    </row>
    <row r="3130">
      <c r="A3130" s="11" t="n">
        <v>46233</v>
      </c>
      <c r="B3130" s="1" t="n">
        <v>20077</v>
      </c>
      <c r="C3130" s="1" t="inlineStr">
        <is>
          <t>030</t>
        </is>
      </c>
      <c r="D3130" s="1" t="inlineStr">
        <is>
          <t xml:space="preserve">41484 </t>
        </is>
      </c>
      <c r="E3130" s="1" t="inlineStr">
        <is>
          <t xml:space="preserve">32457099       </t>
        </is>
      </c>
      <c r="F3130" s="5" t="inlineStr">
        <is>
          <t>TMZ BEAST MACHINES MONSTER JAWS A FRICCION BLISTER</t>
        </is>
      </c>
      <c r="G3130" t="n">
        <v>1</v>
      </c>
      <c r="H3130" s="7" t="n">
        <v>17.9</v>
      </c>
      <c r="I3130" s="7" t="n">
        <v>0</v>
      </c>
      <c r="J3130" s="7" t="n">
        <v>0</v>
      </c>
      <c r="K3130" s="9" t="n">
        <v>0</v>
      </c>
      <c r="L3130" s="10" t="n">
        <v>10.62</v>
      </c>
      <c r="M3130" s="10" t="n">
        <v>1.43</v>
      </c>
      <c r="N3130" t="inlineStr">
        <is>
          <t>1</t>
        </is>
      </c>
      <c r="O3130" t="inlineStr">
        <is>
          <t xml:space="preserve">3 </t>
        </is>
      </c>
      <c r="P3130" t="inlineStr">
        <is>
          <t xml:space="preserve">44367   </t>
        </is>
      </c>
      <c r="Q3130" s="26" t="n">
        <v>19.9</v>
      </c>
      <c r="R3130" s="26">
        <f>Q3130*G3130</f>
        <v/>
      </c>
      <c r="S3130" t="n">
        <v>11.81</v>
      </c>
      <c r="T3130" s="18">
        <f>1 - V3130/S3130</f>
        <v/>
      </c>
      <c r="U3130" s="18" t="n">
        <v>0.1005025125628141</v>
      </c>
      <c r="V3130" s="26" t="n">
        <v>8.417118644067797</v>
      </c>
      <c r="W3130" s="26">
        <f>V3130 - L3130</f>
        <v/>
      </c>
    </row>
    <row r="3131">
      <c r="A3131" s="11" t="n">
        <v>46233</v>
      </c>
      <c r="B3131" s="1" t="n">
        <v>20077</v>
      </c>
      <c r="C3131" s="1" t="inlineStr">
        <is>
          <t>524</t>
        </is>
      </c>
      <c r="D3131" s="1" t="inlineStr">
        <is>
          <t xml:space="preserve">1854  </t>
        </is>
      </c>
      <c r="E3131" s="1" t="inlineStr">
        <is>
          <t xml:space="preserve">31675352       </t>
        </is>
      </c>
      <c r="F3131" s="5" t="inlineStr">
        <is>
          <t>MI PEQUENO NENUCO</t>
        </is>
      </c>
      <c r="G3131" t="n">
        <v>1</v>
      </c>
      <c r="H3131" s="7" t="n">
        <v>49.9</v>
      </c>
      <c r="I3131" s="7" t="n">
        <v>0</v>
      </c>
      <c r="J3131" s="7" t="n">
        <v>0</v>
      </c>
      <c r="K3131" s="9" t="n">
        <v>0</v>
      </c>
      <c r="L3131" s="10" t="n">
        <v>29.6</v>
      </c>
      <c r="M3131" s="10" t="n">
        <v>1.43</v>
      </c>
      <c r="N3131" t="inlineStr">
        <is>
          <t>1</t>
        </is>
      </c>
      <c r="O3131" t="inlineStr">
        <is>
          <t>16</t>
        </is>
      </c>
      <c r="P3131" t="inlineStr">
        <is>
          <t xml:space="preserve">62670   </t>
        </is>
      </c>
      <c r="Q3131" s="26" t="n">
        <v>69.90000000000001</v>
      </c>
      <c r="R3131" s="26">
        <f>Q3131*G3131</f>
        <v/>
      </c>
      <c r="S3131" t="n">
        <v>41.47</v>
      </c>
      <c r="T3131" s="18">
        <f>1 - V3131/S3131</f>
        <v/>
      </c>
      <c r="U3131" s="18" t="n">
        <v>0.2861230329041489</v>
      </c>
      <c r="V3131" s="26" t="n">
        <v>31.71610169491525</v>
      </c>
      <c r="W3131" s="26">
        <f>V3131 - L3131</f>
        <v/>
      </c>
    </row>
    <row r="3132">
      <c r="A3132" s="11" t="n">
        <v>46233</v>
      </c>
      <c r="B3132" s="1" t="n">
        <v>20078</v>
      </c>
      <c r="C3132" s="1" t="inlineStr">
        <is>
          <t>514</t>
        </is>
      </c>
      <c r="D3132" s="1" t="inlineStr">
        <is>
          <t xml:space="preserve">5310  </t>
        </is>
      </c>
      <c r="E3132" s="1" t="inlineStr">
        <is>
          <t xml:space="preserve">34840537       </t>
        </is>
      </c>
      <c r="F3132" s="5" t="inlineStr">
        <is>
          <t>PINYPON MANSION TENEBROSA</t>
        </is>
      </c>
      <c r="G3132" t="n">
        <v>1</v>
      </c>
      <c r="H3132" s="7" t="n">
        <v>83.40000000000001</v>
      </c>
      <c r="I3132" s="7" t="n">
        <v>0</v>
      </c>
      <c r="J3132" s="7" t="n">
        <v>0</v>
      </c>
      <c r="K3132" s="9" t="n">
        <v>0</v>
      </c>
      <c r="L3132" s="10" t="n">
        <v>49.48</v>
      </c>
      <c r="M3132" s="10" t="n">
        <v>1.43</v>
      </c>
      <c r="N3132" t="inlineStr">
        <is>
          <t>1</t>
        </is>
      </c>
      <c r="O3132" t="inlineStr">
        <is>
          <t>16</t>
        </is>
      </c>
      <c r="P3132" t="inlineStr">
        <is>
          <t xml:space="preserve">247008  </t>
        </is>
      </c>
      <c r="Q3132" s="26" t="n">
        <v>139</v>
      </c>
      <c r="R3132" s="26">
        <f>Q3132*G3132</f>
        <v/>
      </c>
      <c r="S3132" t="n">
        <v>82.45999999999999</v>
      </c>
      <c r="T3132" s="18">
        <f>1 - V3132/S3132</f>
        <v/>
      </c>
      <c r="U3132" s="18" t="n">
        <v>0.3999999999999999</v>
      </c>
      <c r="V3132" s="26" t="n">
        <v>56.54237288135592</v>
      </c>
      <c r="W3132" s="26">
        <f>V3132 - L3132</f>
        <v/>
      </c>
    </row>
    <row r="3133">
      <c r="A3133" s="11" t="n">
        <v>46233</v>
      </c>
      <c r="B3133" s="1" t="n">
        <v>20079</v>
      </c>
      <c r="C3133" s="1" t="inlineStr">
        <is>
          <t>051</t>
        </is>
      </c>
      <c r="D3133" s="1" t="inlineStr">
        <is>
          <t>237645</t>
        </is>
      </c>
      <c r="E3133" s="1" t="inlineStr">
        <is>
          <t xml:space="preserve">35685068       </t>
        </is>
      </c>
      <c r="F3133" s="5" t="inlineStr">
        <is>
          <t>BARBIE FASHION SET 3 EN 1</t>
        </is>
      </c>
      <c r="G3133" t="n">
        <v>1</v>
      </c>
      <c r="H3133" s="7" t="n">
        <v>49.9</v>
      </c>
      <c r="I3133" s="7" t="n">
        <v>0</v>
      </c>
      <c r="J3133" s="7" t="n">
        <v>0</v>
      </c>
      <c r="K3133" s="9" t="n">
        <v>0</v>
      </c>
      <c r="L3133" s="10" t="n">
        <v>29.6</v>
      </c>
      <c r="M3133" s="10" t="n">
        <v>1.43</v>
      </c>
      <c r="N3133" t="inlineStr">
        <is>
          <t>1</t>
        </is>
      </c>
      <c r="O3133" t="inlineStr">
        <is>
          <t>16</t>
        </is>
      </c>
      <c r="P3133" t="inlineStr">
        <is>
          <t xml:space="preserve">61558   </t>
        </is>
      </c>
      <c r="Q3133" s="26" t="n">
        <v>49.9</v>
      </c>
      <c r="R3133" s="26">
        <f>Q3133*G3133</f>
        <v/>
      </c>
      <c r="S3133" t="n">
        <v>29.6</v>
      </c>
      <c r="T3133" s="18">
        <f>1 - V3133/S3133</f>
        <v/>
      </c>
      <c r="U3133" s="18" t="n">
        <v>0</v>
      </c>
      <c r="V3133" s="26" t="n">
        <v>29.6</v>
      </c>
      <c r="W3133" s="26">
        <f>V3133 - L3133</f>
        <v/>
      </c>
    </row>
    <row r="3134">
      <c r="A3134" s="11" t="n">
        <v>46233</v>
      </c>
      <c r="B3134" s="1" t="n">
        <v>20086</v>
      </c>
      <c r="C3134" s="1" t="inlineStr">
        <is>
          <t>192</t>
        </is>
      </c>
      <c r="D3134" s="1" t="inlineStr">
        <is>
          <t>129433</t>
        </is>
      </c>
      <c r="E3134" s="1" t="inlineStr">
        <is>
          <t xml:space="preserve">28194770       </t>
        </is>
      </c>
      <c r="F3134" s="5" t="inlineStr">
        <is>
          <t>AUTOS DE METAL 3 TEAMSTERZ EN BLISTER</t>
        </is>
      </c>
      <c r="G3134" t="n">
        <v>1</v>
      </c>
      <c r="H3134" s="7" t="n">
        <v>6.9</v>
      </c>
      <c r="I3134" s="7" t="n">
        <v>0</v>
      </c>
      <c r="J3134" s="7" t="n">
        <v>0</v>
      </c>
      <c r="K3134" s="9" t="n">
        <v>0</v>
      </c>
      <c r="L3134" s="10" t="n">
        <v>4.1</v>
      </c>
      <c r="M3134" s="10" t="n">
        <v>1.43</v>
      </c>
      <c r="N3134" t="inlineStr">
        <is>
          <t>1</t>
        </is>
      </c>
      <c r="O3134" t="inlineStr">
        <is>
          <t xml:space="preserve">2 </t>
        </is>
      </c>
      <c r="P3134" t="inlineStr">
        <is>
          <t xml:space="preserve">74619   </t>
        </is>
      </c>
      <c r="Q3134" s="26" t="n">
        <v>6.9</v>
      </c>
      <c r="R3134" s="26">
        <f>Q3134*G3134</f>
        <v/>
      </c>
      <c r="S3134" t="n">
        <v>4.09</v>
      </c>
      <c r="T3134" s="18">
        <f>1 - V3134/S3134</f>
        <v/>
      </c>
      <c r="U3134" s="18" t="n">
        <v>0</v>
      </c>
      <c r="V3134" s="26" t="n">
        <v>4.09</v>
      </c>
      <c r="W3134" s="26">
        <f>V3134 - L3134</f>
        <v/>
      </c>
    </row>
    <row r="3135">
      <c r="A3135" s="11" t="n">
        <v>46233</v>
      </c>
      <c r="B3135" s="1" t="n">
        <v>20088</v>
      </c>
      <c r="C3135" s="1" t="inlineStr">
        <is>
          <t>018</t>
        </is>
      </c>
      <c r="D3135" s="1" t="inlineStr">
        <is>
          <t>168536</t>
        </is>
      </c>
      <c r="E3135" s="1" t="inlineStr">
        <is>
          <t xml:space="preserve">28194770       </t>
        </is>
      </c>
      <c r="F3135" s="5" t="inlineStr">
        <is>
          <t>AUTOS DE METAL 3 TEAMSTERZ EN BLISTER</t>
        </is>
      </c>
      <c r="G3135" t="n">
        <v>1</v>
      </c>
      <c r="H3135" s="7" t="n">
        <v>6.9</v>
      </c>
      <c r="I3135" s="7" t="n">
        <v>0</v>
      </c>
      <c r="J3135" s="7" t="n">
        <v>0</v>
      </c>
      <c r="K3135" s="9" t="n">
        <v>0</v>
      </c>
      <c r="L3135" s="10" t="n">
        <v>4.1</v>
      </c>
      <c r="M3135" s="10" t="n">
        <v>1.43</v>
      </c>
      <c r="N3135" t="inlineStr">
        <is>
          <t>1</t>
        </is>
      </c>
      <c r="O3135" t="inlineStr">
        <is>
          <t>16</t>
        </is>
      </c>
      <c r="P3135" t="inlineStr">
        <is>
          <t xml:space="preserve">232153  </t>
        </is>
      </c>
      <c r="Q3135" s="26" t="n">
        <v>6.9</v>
      </c>
      <c r="R3135" s="26">
        <f>Q3135*G3135</f>
        <v/>
      </c>
      <c r="S3135" t="n">
        <v>4.09</v>
      </c>
      <c r="T3135" s="18">
        <f>1 - V3135/S3135</f>
        <v/>
      </c>
      <c r="U3135" s="18" t="n">
        <v>0</v>
      </c>
      <c r="V3135" s="26" t="n">
        <v>4.09</v>
      </c>
      <c r="W3135" s="26">
        <f>V3135 - L3135</f>
        <v/>
      </c>
    </row>
    <row r="3136">
      <c r="A3136" s="11" t="n">
        <v>46233</v>
      </c>
      <c r="B3136" s="1" t="n">
        <v>20088</v>
      </c>
      <c r="C3136" s="1" t="inlineStr">
        <is>
          <t>018</t>
        </is>
      </c>
      <c r="D3136" s="1" t="inlineStr">
        <is>
          <t>168536</t>
        </is>
      </c>
      <c r="E3136" s="1" t="inlineStr">
        <is>
          <t xml:space="preserve">28194770       </t>
        </is>
      </c>
      <c r="F3136" s="5" t="inlineStr">
        <is>
          <t>AUTOS DE METAL 3 TEAMSTERZ EN BLISTER</t>
        </is>
      </c>
      <c r="G3136" t="n">
        <v>1</v>
      </c>
      <c r="H3136" s="7" t="n">
        <v>6.9</v>
      </c>
      <c r="I3136" s="7" t="n">
        <v>0</v>
      </c>
      <c r="J3136" s="7" t="n">
        <v>0</v>
      </c>
      <c r="K3136" s="9" t="n">
        <v>0</v>
      </c>
      <c r="L3136" s="10" t="n">
        <v>4.1</v>
      </c>
      <c r="M3136" s="10" t="n">
        <v>1.43</v>
      </c>
      <c r="N3136" t="inlineStr">
        <is>
          <t>1</t>
        </is>
      </c>
      <c r="O3136" t="inlineStr">
        <is>
          <t>16</t>
        </is>
      </c>
      <c r="P3136" t="inlineStr">
        <is>
          <t xml:space="preserve">232153  </t>
        </is>
      </c>
      <c r="Q3136" s="26" t="n">
        <v>6.9</v>
      </c>
      <c r="R3136" s="26">
        <f>Q3136*G3136</f>
        <v/>
      </c>
      <c r="S3136" t="n">
        <v>4.09</v>
      </c>
      <c r="T3136" s="18">
        <f>1 - V3136/S3136</f>
        <v/>
      </c>
      <c r="U3136" s="18" t="n">
        <v>0</v>
      </c>
      <c r="V3136" s="26" t="n">
        <v>4.09</v>
      </c>
      <c r="W3136" s="26">
        <f>V3136 - L3136</f>
        <v/>
      </c>
    </row>
    <row r="3137">
      <c r="A3137" s="11" t="n">
        <v>46233</v>
      </c>
      <c r="B3137" s="1" t="n">
        <v>20088</v>
      </c>
      <c r="C3137" s="1" t="inlineStr">
        <is>
          <t>021</t>
        </is>
      </c>
      <c r="D3137" s="1" t="inlineStr">
        <is>
          <t xml:space="preserve">50612 </t>
        </is>
      </c>
      <c r="E3137" s="1" t="inlineStr">
        <is>
          <t xml:space="preserve">31675353       </t>
        </is>
      </c>
      <c r="F3137" s="5" t="inlineStr">
        <is>
          <t>NENUCO CON BIBERON Y SONAJERO</t>
        </is>
      </c>
      <c r="G3137" t="n">
        <v>1</v>
      </c>
      <c r="H3137" s="7" t="n">
        <v>59.9</v>
      </c>
      <c r="I3137" s="7" t="n">
        <v>0</v>
      </c>
      <c r="J3137" s="7" t="n">
        <v>0</v>
      </c>
      <c r="K3137" s="9" t="n">
        <v>0</v>
      </c>
      <c r="L3137" s="10" t="n">
        <v>35.53</v>
      </c>
      <c r="M3137" s="10" t="n">
        <v>1.43</v>
      </c>
      <c r="N3137" t="inlineStr">
        <is>
          <t>1</t>
        </is>
      </c>
      <c r="O3137" t="inlineStr">
        <is>
          <t>16</t>
        </is>
      </c>
      <c r="P3137" t="inlineStr">
        <is>
          <t xml:space="preserve">234665  </t>
        </is>
      </c>
      <c r="Q3137" s="26" t="n">
        <v>79.90000000000001</v>
      </c>
      <c r="R3137" s="26">
        <f>Q3137*G3137</f>
        <v/>
      </c>
      <c r="S3137" t="n">
        <v>47.4</v>
      </c>
      <c r="T3137" s="18">
        <f>1 - V3137/S3137</f>
        <v/>
      </c>
      <c r="U3137" s="18" t="n">
        <v>0.2503128911138924</v>
      </c>
      <c r="V3137" s="26" t="n">
        <v>38.07203389830509</v>
      </c>
      <c r="W3137" s="26">
        <f>V3137 - L3137</f>
        <v/>
      </c>
    </row>
    <row r="3138">
      <c r="A3138" s="11" t="n">
        <v>46233</v>
      </c>
      <c r="B3138" s="1" t="n">
        <v>20088</v>
      </c>
      <c r="C3138" s="1" t="inlineStr">
        <is>
          <t>021</t>
        </is>
      </c>
      <c r="D3138" s="1" t="inlineStr">
        <is>
          <t xml:space="preserve">50626 </t>
        </is>
      </c>
      <c r="E3138" s="1" t="inlineStr">
        <is>
          <t xml:space="preserve">28194769       </t>
        </is>
      </c>
      <c r="F3138" s="5" t="inlineStr">
        <is>
          <t>AUTOS DE METAL 3 TEAMSTERZ PACK DE 2</t>
        </is>
      </c>
      <c r="G3138" t="n">
        <v>1</v>
      </c>
      <c r="H3138" s="7" t="n">
        <v>13.8</v>
      </c>
      <c r="I3138" s="7" t="n">
        <v>0</v>
      </c>
      <c r="J3138" s="7" t="n">
        <v>0</v>
      </c>
      <c r="K3138" s="9" t="n">
        <v>0</v>
      </c>
      <c r="L3138" s="10" t="n">
        <v>8.18</v>
      </c>
      <c r="M3138" s="10" t="n">
        <v>1.43</v>
      </c>
      <c r="N3138" t="inlineStr">
        <is>
          <t>1</t>
        </is>
      </c>
      <c r="O3138" t="inlineStr">
        <is>
          <t xml:space="preserve">3 </t>
        </is>
      </c>
      <c r="P3138" t="inlineStr">
        <is>
          <t xml:space="preserve">234665  </t>
        </is>
      </c>
      <c r="Q3138" s="26" t="n">
        <v>13.8</v>
      </c>
      <c r="R3138" s="26">
        <f>Q3138*G3138</f>
        <v/>
      </c>
      <c r="S3138" t="n">
        <v>8.19</v>
      </c>
      <c r="T3138" s="18">
        <f>1 - V3138/S3138</f>
        <v/>
      </c>
      <c r="U3138" s="18" t="n">
        <v>0</v>
      </c>
      <c r="V3138" s="26" t="n">
        <v>8.19</v>
      </c>
      <c r="W3138" s="26">
        <f>V3138 - L3138</f>
        <v/>
      </c>
    </row>
    <row r="3139">
      <c r="A3139" s="11" t="n">
        <v>46233</v>
      </c>
      <c r="B3139" s="1" t="n">
        <v>20089</v>
      </c>
      <c r="C3139" s="1" t="inlineStr">
        <is>
          <t>025</t>
        </is>
      </c>
      <c r="D3139" s="1" t="inlineStr">
        <is>
          <t>122840</t>
        </is>
      </c>
      <c r="E3139" s="1" t="inlineStr">
        <is>
          <t xml:space="preserve">30141766       </t>
        </is>
      </c>
      <c r="F3139" s="5" t="inlineStr">
        <is>
          <t>TMZ BEAST MACHINES AUTOS DE METAL BLISTER X 1</t>
        </is>
      </c>
      <c r="G3139" t="n">
        <v>1</v>
      </c>
      <c r="H3139" s="7" t="n">
        <v>7.9</v>
      </c>
      <c r="I3139" s="7" t="n">
        <v>0</v>
      </c>
      <c r="J3139" s="7" t="n">
        <v>0</v>
      </c>
      <c r="K3139" s="9" t="n">
        <v>0</v>
      </c>
      <c r="L3139" s="10" t="n">
        <v>4.68</v>
      </c>
      <c r="M3139" s="10" t="n">
        <v>1.43</v>
      </c>
      <c r="N3139" t="inlineStr">
        <is>
          <t>1</t>
        </is>
      </c>
      <c r="O3139" t="inlineStr">
        <is>
          <t xml:space="preserve">2 </t>
        </is>
      </c>
      <c r="P3139" t="inlineStr">
        <is>
          <t xml:space="preserve">82992   </t>
        </is>
      </c>
      <c r="Q3139" s="26" t="n">
        <v>7.9</v>
      </c>
      <c r="R3139" s="26">
        <f>Q3139*G3139</f>
        <v/>
      </c>
      <c r="S3139" t="n">
        <v>4.69</v>
      </c>
      <c r="T3139" s="18">
        <f>1 - V3139/S3139</f>
        <v/>
      </c>
      <c r="U3139" s="18" t="n">
        <v>0</v>
      </c>
      <c r="V3139" s="26" t="n">
        <v>4.69</v>
      </c>
      <c r="W3139" s="26">
        <f>V3139 - L3139</f>
        <v/>
      </c>
    </row>
    <row r="3140">
      <c r="A3140" s="11" t="n">
        <v>46233</v>
      </c>
      <c r="B3140" s="1" t="n">
        <v>20089</v>
      </c>
      <c r="C3140" s="1" t="inlineStr">
        <is>
          <t>025</t>
        </is>
      </c>
      <c r="D3140" s="1" t="inlineStr">
        <is>
          <t>122840</t>
        </is>
      </c>
      <c r="E3140" s="1" t="inlineStr">
        <is>
          <t xml:space="preserve">30141766       </t>
        </is>
      </c>
      <c r="F3140" s="5" t="inlineStr">
        <is>
          <t>TMZ BEAST MACHINES AUTOS DE METAL BLISTER X 1</t>
        </is>
      </c>
      <c r="G3140" t="n">
        <v>1</v>
      </c>
      <c r="H3140" s="7" t="n">
        <v>7.9</v>
      </c>
      <c r="I3140" s="7" t="n">
        <v>0</v>
      </c>
      <c r="J3140" s="7" t="n">
        <v>0</v>
      </c>
      <c r="K3140" s="9" t="n">
        <v>0</v>
      </c>
      <c r="L3140" s="10" t="n">
        <v>4.68</v>
      </c>
      <c r="M3140" s="10" t="n">
        <v>1.43</v>
      </c>
      <c r="N3140" t="inlineStr">
        <is>
          <t>1</t>
        </is>
      </c>
      <c r="O3140" t="inlineStr">
        <is>
          <t xml:space="preserve">2 </t>
        </is>
      </c>
      <c r="P3140" t="inlineStr">
        <is>
          <t xml:space="preserve">82992   </t>
        </is>
      </c>
      <c r="Q3140" s="26" t="n">
        <v>7.9</v>
      </c>
      <c r="R3140" s="26">
        <f>Q3140*G3140</f>
        <v/>
      </c>
      <c r="S3140" t="n">
        <v>4.69</v>
      </c>
      <c r="T3140" s="18">
        <f>1 - V3140/S3140</f>
        <v/>
      </c>
      <c r="U3140" s="18" t="n">
        <v>0</v>
      </c>
      <c r="V3140" s="26" t="n">
        <v>4.69</v>
      </c>
      <c r="W3140" s="26">
        <f>V3140 - L3140</f>
        <v/>
      </c>
    </row>
    <row r="3141">
      <c r="A3141" s="11" t="n">
        <v>46233</v>
      </c>
      <c r="B3141" s="1" t="n">
        <v>20089</v>
      </c>
      <c r="C3141" s="1" t="inlineStr">
        <is>
          <t>025</t>
        </is>
      </c>
      <c r="D3141" s="1" t="inlineStr">
        <is>
          <t>122840</t>
        </is>
      </c>
      <c r="E3141" s="1" t="inlineStr">
        <is>
          <t xml:space="preserve">30141766       </t>
        </is>
      </c>
      <c r="F3141" s="5" t="inlineStr">
        <is>
          <t>TMZ BEAST MACHINES AUTOS DE METAL BLISTER X 1</t>
        </is>
      </c>
      <c r="G3141" t="n">
        <v>1</v>
      </c>
      <c r="H3141" s="7" t="n">
        <v>7.9</v>
      </c>
      <c r="I3141" s="7" t="n">
        <v>0</v>
      </c>
      <c r="J3141" s="7" t="n">
        <v>0</v>
      </c>
      <c r="K3141" s="9" t="n">
        <v>0</v>
      </c>
      <c r="L3141" s="10" t="n">
        <v>4.68</v>
      </c>
      <c r="M3141" s="10" t="n">
        <v>1.43</v>
      </c>
      <c r="N3141" t="inlineStr">
        <is>
          <t>1</t>
        </is>
      </c>
      <c r="O3141" t="inlineStr">
        <is>
          <t xml:space="preserve">2 </t>
        </is>
      </c>
      <c r="P3141" t="inlineStr">
        <is>
          <t xml:space="preserve">82992   </t>
        </is>
      </c>
      <c r="Q3141" s="26" t="n">
        <v>7.9</v>
      </c>
      <c r="R3141" s="26">
        <f>Q3141*G3141</f>
        <v/>
      </c>
      <c r="S3141" t="n">
        <v>4.69</v>
      </c>
      <c r="T3141" s="18">
        <f>1 - V3141/S3141</f>
        <v/>
      </c>
      <c r="U3141" s="18" t="n">
        <v>0</v>
      </c>
      <c r="V3141" s="26" t="n">
        <v>4.69</v>
      </c>
      <c r="W3141" s="26">
        <f>V3141 - L3141</f>
        <v/>
      </c>
    </row>
    <row r="3142">
      <c r="A3142" s="11" t="n">
        <v>46233</v>
      </c>
      <c r="B3142" s="1" t="n">
        <v>20089</v>
      </c>
      <c r="C3142" s="1" t="inlineStr">
        <is>
          <t>025</t>
        </is>
      </c>
      <c r="D3142" s="1" t="inlineStr">
        <is>
          <t>122866</t>
        </is>
      </c>
      <c r="E3142" s="1" t="inlineStr">
        <is>
          <t xml:space="preserve">30141766       </t>
        </is>
      </c>
      <c r="F3142" s="5" t="inlineStr">
        <is>
          <t>TMZ BEAST MACHINES AUTOS DE METAL BLISTER X 1</t>
        </is>
      </c>
      <c r="G3142" t="n">
        <v>1</v>
      </c>
      <c r="H3142" s="7" t="n">
        <v>7.9</v>
      </c>
      <c r="I3142" s="7" t="n">
        <v>0</v>
      </c>
      <c r="J3142" s="7" t="n">
        <v>0</v>
      </c>
      <c r="K3142" s="9" t="n">
        <v>0</v>
      </c>
      <c r="L3142" s="10" t="n">
        <v>4.68</v>
      </c>
      <c r="M3142" s="10" t="n">
        <v>1.43</v>
      </c>
      <c r="N3142" t="inlineStr">
        <is>
          <t>1</t>
        </is>
      </c>
      <c r="O3142" t="inlineStr">
        <is>
          <t>16</t>
        </is>
      </c>
      <c r="P3142" t="inlineStr">
        <is>
          <t xml:space="preserve">82992   </t>
        </is>
      </c>
      <c r="Q3142" s="26" t="n">
        <v>7.9</v>
      </c>
      <c r="R3142" s="26">
        <f>Q3142*G3142</f>
        <v/>
      </c>
      <c r="S3142" t="n">
        <v>4.69</v>
      </c>
      <c r="T3142" s="18">
        <f>1 - V3142/S3142</f>
        <v/>
      </c>
      <c r="U3142" s="18" t="n">
        <v>0</v>
      </c>
      <c r="V3142" s="26" t="n">
        <v>4.69</v>
      </c>
      <c r="W3142" s="26">
        <f>V3142 - L3142</f>
        <v/>
      </c>
    </row>
    <row r="3143">
      <c r="A3143" s="11" t="n">
        <v>46233</v>
      </c>
      <c r="B3143" s="1" t="n">
        <v>20089</v>
      </c>
      <c r="C3143" s="1" t="inlineStr">
        <is>
          <t>027</t>
        </is>
      </c>
      <c r="D3143" s="1" t="inlineStr">
        <is>
          <t xml:space="preserve">16543 </t>
        </is>
      </c>
      <c r="E3143" s="1" t="inlineStr">
        <is>
          <t xml:space="preserve">28194770       </t>
        </is>
      </c>
      <c r="F3143" s="5" t="inlineStr">
        <is>
          <t>AUTOS DE METAL 3 TEAMSTERZ EN BLISTER</t>
        </is>
      </c>
      <c r="G3143" t="n">
        <v>1</v>
      </c>
      <c r="H3143" s="7" t="n">
        <v>6.9</v>
      </c>
      <c r="I3143" s="7" t="n">
        <v>0</v>
      </c>
      <c r="J3143" s="7" t="n">
        <v>0</v>
      </c>
      <c r="K3143" s="9" t="n">
        <v>0</v>
      </c>
      <c r="L3143" s="10" t="n">
        <v>4.1</v>
      </c>
      <c r="M3143" s="10" t="n">
        <v>1.43</v>
      </c>
      <c r="N3143" t="inlineStr">
        <is>
          <t>1</t>
        </is>
      </c>
      <c r="O3143" t="inlineStr">
        <is>
          <t>16</t>
        </is>
      </c>
      <c r="P3143" t="inlineStr">
        <is>
          <t xml:space="preserve">249671  </t>
        </is>
      </c>
      <c r="Q3143" s="26" t="n">
        <v>6.9</v>
      </c>
      <c r="R3143" s="26">
        <f>Q3143*G3143</f>
        <v/>
      </c>
      <c r="S3143" t="n">
        <v>4.09</v>
      </c>
      <c r="T3143" s="18">
        <f>1 - V3143/S3143</f>
        <v/>
      </c>
      <c r="U3143" s="18" t="n">
        <v>0</v>
      </c>
      <c r="V3143" s="26" t="n">
        <v>4.09</v>
      </c>
      <c r="W3143" s="26">
        <f>V3143 - L3143</f>
        <v/>
      </c>
    </row>
    <row r="3144">
      <c r="A3144" s="11" t="n">
        <v>46233</v>
      </c>
      <c r="B3144" s="1" t="n">
        <v>20095</v>
      </c>
      <c r="C3144" s="1" t="inlineStr">
        <is>
          <t>043</t>
        </is>
      </c>
      <c r="D3144" s="1" t="inlineStr">
        <is>
          <t>109199</t>
        </is>
      </c>
      <c r="E3144" s="1" t="inlineStr">
        <is>
          <t xml:space="preserve">30141766       </t>
        </is>
      </c>
      <c r="F3144" s="5" t="inlineStr">
        <is>
          <t>TMZ BEAST MACHINES AUTOS DE METAL BLISTER X 1</t>
        </is>
      </c>
      <c r="G3144" t="n">
        <v>1</v>
      </c>
      <c r="H3144" s="7" t="n">
        <v>7.9</v>
      </c>
      <c r="I3144" s="7" t="n">
        <v>0</v>
      </c>
      <c r="J3144" s="7" t="n">
        <v>0</v>
      </c>
      <c r="K3144" s="9" t="n">
        <v>0</v>
      </c>
      <c r="L3144" s="10" t="n">
        <v>4.68</v>
      </c>
      <c r="M3144" s="10" t="n">
        <v>1.43</v>
      </c>
      <c r="N3144" t="inlineStr">
        <is>
          <t>1</t>
        </is>
      </c>
      <c r="O3144" t="inlineStr">
        <is>
          <t xml:space="preserve">3 </t>
        </is>
      </c>
      <c r="P3144" t="inlineStr">
        <is>
          <t xml:space="preserve">57866   </t>
        </is>
      </c>
      <c r="Q3144" s="26" t="n">
        <v>7.9</v>
      </c>
      <c r="R3144" s="26">
        <f>Q3144*G3144</f>
        <v/>
      </c>
      <c r="S3144" t="n">
        <v>4.69</v>
      </c>
      <c r="T3144" s="18">
        <f>1 - V3144/S3144</f>
        <v/>
      </c>
      <c r="U3144" s="18" t="n">
        <v>0</v>
      </c>
      <c r="V3144" s="26" t="n">
        <v>4.69</v>
      </c>
      <c r="W3144" s="26">
        <f>V3144 - L3144</f>
        <v/>
      </c>
    </row>
    <row r="3145">
      <c r="A3145" s="11" t="n">
        <v>46233</v>
      </c>
      <c r="B3145" s="1" t="n">
        <v>20095</v>
      </c>
      <c r="C3145" s="1" t="inlineStr">
        <is>
          <t>043</t>
        </is>
      </c>
      <c r="D3145" s="1" t="inlineStr">
        <is>
          <t>109203</t>
        </is>
      </c>
      <c r="E3145" s="1" t="inlineStr">
        <is>
          <t xml:space="preserve">30141766       </t>
        </is>
      </c>
      <c r="F3145" s="5" t="inlineStr">
        <is>
          <t>TMZ BEAST MACHINES AUTOS DE METAL BLISTER X 1</t>
        </is>
      </c>
      <c r="G3145" t="n">
        <v>1</v>
      </c>
      <c r="H3145" s="7" t="n">
        <v>7.9</v>
      </c>
      <c r="I3145" s="7" t="n">
        <v>0</v>
      </c>
      <c r="J3145" s="7" t="n">
        <v>0</v>
      </c>
      <c r="K3145" s="9" t="n">
        <v>0</v>
      </c>
      <c r="L3145" s="10" t="n">
        <v>4.68</v>
      </c>
      <c r="M3145" s="10" t="n">
        <v>1.43</v>
      </c>
      <c r="N3145" t="inlineStr">
        <is>
          <t>1</t>
        </is>
      </c>
      <c r="O3145" t="inlineStr">
        <is>
          <t xml:space="preserve">2 </t>
        </is>
      </c>
      <c r="P3145" t="inlineStr">
        <is>
          <t xml:space="preserve">57866   </t>
        </is>
      </c>
      <c r="Q3145" s="26" t="n">
        <v>7.9</v>
      </c>
      <c r="R3145" s="26">
        <f>Q3145*G3145</f>
        <v/>
      </c>
      <c r="S3145" t="n">
        <v>4.69</v>
      </c>
      <c r="T3145" s="18">
        <f>1 - V3145/S3145</f>
        <v/>
      </c>
      <c r="U3145" s="18" t="n">
        <v>0</v>
      </c>
      <c r="V3145" s="26" t="n">
        <v>4.69</v>
      </c>
      <c r="W3145" s="26">
        <f>V3145 - L3145</f>
        <v/>
      </c>
    </row>
    <row r="3146">
      <c r="A3146" s="11" t="n">
        <v>46234</v>
      </c>
      <c r="B3146" s="1" t="n">
        <v>20021</v>
      </c>
      <c r="C3146" s="1" t="inlineStr">
        <is>
          <t>055</t>
        </is>
      </c>
      <c r="D3146" s="1" t="inlineStr">
        <is>
          <t>156339</t>
        </is>
      </c>
      <c r="E3146" s="1" t="inlineStr">
        <is>
          <t xml:space="preserve">34840551       </t>
        </is>
      </c>
      <c r="F3146" s="5" t="inlineStr">
        <is>
          <t>TMZ HELI BOMBERO CON LUCES Y SONIDOS</t>
        </is>
      </c>
      <c r="G3146" t="n">
        <v>1</v>
      </c>
      <c r="H3146" s="7" t="n">
        <v>79.90000000000001</v>
      </c>
      <c r="I3146" s="7" t="n">
        <v>0</v>
      </c>
      <c r="J3146" s="7" t="n">
        <v>0</v>
      </c>
      <c r="K3146" s="9" t="n">
        <v>0</v>
      </c>
      <c r="L3146" s="10" t="n">
        <v>47.4</v>
      </c>
      <c r="M3146" s="10" t="n">
        <v>1.43</v>
      </c>
      <c r="N3146" t="inlineStr">
        <is>
          <t>1</t>
        </is>
      </c>
      <c r="O3146" t="inlineStr">
        <is>
          <t xml:space="preserve">6 </t>
        </is>
      </c>
      <c r="P3146" t="inlineStr">
        <is>
          <t xml:space="preserve">12097   </t>
        </is>
      </c>
      <c r="Q3146" s="26" t="n">
        <v>79.90000000000002</v>
      </c>
      <c r="R3146" s="26">
        <f>Q3146*G3146</f>
        <v/>
      </c>
      <c r="S3146" t="n">
        <v>47.4</v>
      </c>
      <c r="T3146" s="18">
        <f>1 - V3146/S3146</f>
        <v/>
      </c>
      <c r="U3146" s="18" t="n">
        <v>0</v>
      </c>
      <c r="V3146" s="26" t="n">
        <v>47.4</v>
      </c>
      <c r="W3146" s="26">
        <f>V3146 - L3146</f>
        <v/>
      </c>
    </row>
    <row r="3147">
      <c r="A3147" s="11" t="n">
        <v>46234</v>
      </c>
      <c r="B3147" s="1" t="n">
        <v>20021</v>
      </c>
      <c r="C3147" s="1" t="inlineStr">
        <is>
          <t>065</t>
        </is>
      </c>
      <c r="D3147" s="1" t="inlineStr">
        <is>
          <t>174836</t>
        </is>
      </c>
      <c r="E3147" s="1" t="inlineStr">
        <is>
          <t xml:space="preserve">28194770       </t>
        </is>
      </c>
      <c r="F3147" s="5" t="inlineStr">
        <is>
          <t>AUTOS DE METAL 3 TEAMSTERZ EN BLISTER</t>
        </is>
      </c>
      <c r="G3147" t="n">
        <v>1</v>
      </c>
      <c r="H3147" s="7" t="n">
        <v>6.9</v>
      </c>
      <c r="I3147" s="7" t="n">
        <v>0</v>
      </c>
      <c r="J3147" s="7" t="n">
        <v>0</v>
      </c>
      <c r="K3147" s="9" t="n">
        <v>0</v>
      </c>
      <c r="L3147" s="10" t="n">
        <v>4.1</v>
      </c>
      <c r="M3147" s="10" t="n">
        <v>1.43</v>
      </c>
      <c r="N3147" t="inlineStr">
        <is>
          <t>1</t>
        </is>
      </c>
      <c r="O3147" t="inlineStr">
        <is>
          <t xml:space="preserve">2 </t>
        </is>
      </c>
      <c r="P3147" t="inlineStr">
        <is>
          <t xml:space="preserve">243175  </t>
        </is>
      </c>
      <c r="Q3147" s="26" t="n">
        <v>6.9</v>
      </c>
      <c r="R3147" s="26">
        <f>Q3147*G3147</f>
        <v/>
      </c>
      <c r="S3147" t="n">
        <v>4.09</v>
      </c>
      <c r="T3147" s="18">
        <f>1 - V3147/S3147</f>
        <v/>
      </c>
      <c r="U3147" s="18" t="n">
        <v>0</v>
      </c>
      <c r="V3147" s="26" t="n">
        <v>4.09</v>
      </c>
      <c r="W3147" s="26">
        <f>V3147 - L3147</f>
        <v/>
      </c>
    </row>
    <row r="3148">
      <c r="A3148" s="11" t="n">
        <v>46234</v>
      </c>
      <c r="B3148" s="1" t="n">
        <v>20021</v>
      </c>
      <c r="C3148" s="1" t="inlineStr">
        <is>
          <t>078</t>
        </is>
      </c>
      <c r="D3148" s="1" t="inlineStr">
        <is>
          <t>102266</t>
        </is>
      </c>
      <c r="E3148" s="1" t="inlineStr">
        <is>
          <t xml:space="preserve">33661538       </t>
        </is>
      </c>
      <c r="F3148" s="5" t="inlineStr">
        <is>
          <t>HOT WHEELS CASE GARAGE RUEDA METAL EN LLAMAS X 29</t>
        </is>
      </c>
      <c r="G3148" t="n">
        <v>1</v>
      </c>
      <c r="H3148" s="7" t="n">
        <v>69.90000000000001</v>
      </c>
      <c r="I3148" s="7" t="n">
        <v>0</v>
      </c>
      <c r="J3148" s="7" t="n">
        <v>0</v>
      </c>
      <c r="K3148" s="9" t="n">
        <v>0</v>
      </c>
      <c r="L3148" s="10" t="n">
        <v>41.47</v>
      </c>
      <c r="M3148" s="10" t="n">
        <v>1.43</v>
      </c>
      <c r="N3148" t="inlineStr">
        <is>
          <t>1</t>
        </is>
      </c>
      <c r="O3148" t="inlineStr">
        <is>
          <t>16</t>
        </is>
      </c>
      <c r="P3148" t="inlineStr">
        <is>
          <t xml:space="preserve">42152   </t>
        </is>
      </c>
      <c r="Q3148" s="26" t="n">
        <v>69.90000000000001</v>
      </c>
      <c r="R3148" s="26">
        <f>Q3148*G3148</f>
        <v/>
      </c>
      <c r="S3148" t="n">
        <v>41.47</v>
      </c>
      <c r="T3148" s="18">
        <f>1 - V3148/S3148</f>
        <v/>
      </c>
      <c r="U3148" s="18" t="n">
        <v>0</v>
      </c>
      <c r="V3148" s="26" t="n">
        <v>41.47</v>
      </c>
      <c r="W3148" s="26">
        <f>V3148 - L3148</f>
        <v/>
      </c>
    </row>
    <row r="3149">
      <c r="A3149" s="11" t="n">
        <v>46234</v>
      </c>
      <c r="B3149" s="1" t="n">
        <v>20024</v>
      </c>
      <c r="C3149" s="1" t="inlineStr">
        <is>
          <t>060</t>
        </is>
      </c>
      <c r="D3149" s="1" t="inlineStr">
        <is>
          <t xml:space="preserve">98378 </t>
        </is>
      </c>
      <c r="E3149" s="1" t="inlineStr">
        <is>
          <t xml:space="preserve">32457111       </t>
        </is>
      </c>
      <c r="F3149" s="5" t="inlineStr">
        <is>
          <t>TMZ BEAST MACHINES MONSTER JAWS A FRICCION PACK DE</t>
        </is>
      </c>
      <c r="G3149" t="n">
        <v>1</v>
      </c>
      <c r="H3149" s="7" t="n">
        <v>54.9</v>
      </c>
      <c r="I3149" s="7" t="n">
        <v>0</v>
      </c>
      <c r="J3149" s="7" t="n">
        <v>0</v>
      </c>
      <c r="K3149" s="9" t="n">
        <v>0</v>
      </c>
      <c r="L3149" s="10" t="n">
        <v>32.57</v>
      </c>
      <c r="M3149" s="10" t="n">
        <v>1.43</v>
      </c>
      <c r="N3149" t="inlineStr">
        <is>
          <t>1</t>
        </is>
      </c>
      <c r="O3149" t="inlineStr">
        <is>
          <t xml:space="preserve">2 </t>
        </is>
      </c>
      <c r="P3149" t="inlineStr">
        <is>
          <t xml:space="preserve">47217   </t>
        </is>
      </c>
      <c r="Q3149" s="26" t="n">
        <v>74.90000000000001</v>
      </c>
      <c r="R3149" s="26">
        <f>Q3149*G3149</f>
        <v/>
      </c>
      <c r="S3149" t="n">
        <v>44.43</v>
      </c>
      <c r="T3149" s="18">
        <f>1 - V3149/S3149</f>
        <v/>
      </c>
      <c r="U3149" s="18" t="n">
        <v>0.2670226969292391</v>
      </c>
      <c r="V3149" s="26" t="n">
        <v>31.92406779661017</v>
      </c>
      <c r="W3149" s="26">
        <f>V3149 - L3149</f>
        <v/>
      </c>
    </row>
    <row r="3150">
      <c r="A3150" s="11" t="n">
        <v>46234</v>
      </c>
      <c r="B3150" s="1" t="n">
        <v>20024</v>
      </c>
      <c r="C3150" s="1" t="inlineStr">
        <is>
          <t>088</t>
        </is>
      </c>
      <c r="D3150" s="1" t="inlineStr">
        <is>
          <t xml:space="preserve">22785 </t>
        </is>
      </c>
      <c r="E3150" s="1" t="inlineStr">
        <is>
          <t xml:space="preserve">34840554       </t>
        </is>
      </c>
      <c r="F3150" s="5" t="inlineStr">
        <is>
          <t>TMZ AUTO LUZ Y SONIDO ESQUELET DINO TRICE</t>
        </is>
      </c>
      <c r="G3150" t="n">
        <v>1</v>
      </c>
      <c r="H3150" s="7" t="n">
        <v>79.90000000000001</v>
      </c>
      <c r="I3150" s="7" t="n">
        <v>0</v>
      </c>
      <c r="J3150" s="7" t="n">
        <v>0</v>
      </c>
      <c r="K3150" s="9" t="n">
        <v>0</v>
      </c>
      <c r="L3150" s="10" t="n">
        <v>47.4</v>
      </c>
      <c r="M3150" s="10" t="n">
        <v>1.43</v>
      </c>
      <c r="N3150" t="inlineStr">
        <is>
          <t>1</t>
        </is>
      </c>
      <c r="O3150" t="inlineStr">
        <is>
          <t>16</t>
        </is>
      </c>
      <c r="P3150" t="inlineStr">
        <is>
          <t xml:space="preserve">23463   </t>
        </is>
      </c>
      <c r="Q3150" s="26" t="n">
        <v>79.90000000000002</v>
      </c>
      <c r="R3150" s="26">
        <f>Q3150*G3150</f>
        <v/>
      </c>
      <c r="S3150" t="n">
        <v>47.4</v>
      </c>
      <c r="T3150" s="18">
        <f>1 - V3150/S3150</f>
        <v/>
      </c>
      <c r="U3150" s="18" t="n">
        <v>0</v>
      </c>
      <c r="V3150" s="26" t="n">
        <v>47.4</v>
      </c>
      <c r="W3150" s="26">
        <f>V3150 - L3150</f>
        <v/>
      </c>
    </row>
    <row r="3151">
      <c r="A3151" s="11" t="n">
        <v>46234</v>
      </c>
      <c r="B3151" s="1" t="n">
        <v>20024</v>
      </c>
      <c r="C3151" s="1" t="inlineStr">
        <is>
          <t>088</t>
        </is>
      </c>
      <c r="D3151" s="1" t="inlineStr">
        <is>
          <t xml:space="preserve">22785 </t>
        </is>
      </c>
      <c r="E3151" s="1" t="inlineStr">
        <is>
          <t xml:space="preserve">34840556       </t>
        </is>
      </c>
      <c r="F3151" s="5" t="inlineStr">
        <is>
          <t>TMZ BEAST MACH. TRANSPORT DINO +ACCS</t>
        </is>
      </c>
      <c r="G3151" t="n">
        <v>1</v>
      </c>
      <c r="H3151" s="7" t="n">
        <v>59.9</v>
      </c>
      <c r="I3151" s="7" t="n">
        <v>0</v>
      </c>
      <c r="J3151" s="7" t="n">
        <v>0</v>
      </c>
      <c r="K3151" s="9" t="n">
        <v>0</v>
      </c>
      <c r="L3151" s="10" t="n">
        <v>35.53</v>
      </c>
      <c r="M3151" s="10" t="n">
        <v>1.43</v>
      </c>
      <c r="N3151" t="inlineStr">
        <is>
          <t>1</t>
        </is>
      </c>
      <c r="O3151" t="inlineStr">
        <is>
          <t>16</t>
        </is>
      </c>
      <c r="P3151" t="inlineStr">
        <is>
          <t xml:space="preserve">23463   </t>
        </is>
      </c>
      <c r="Q3151" s="26" t="n">
        <v>79.90000000000002</v>
      </c>
      <c r="R3151" s="26">
        <f>Q3151*G3151</f>
        <v/>
      </c>
      <c r="S3151" t="n">
        <v>47.4</v>
      </c>
      <c r="T3151" s="18">
        <f>1 - V3151/S3151</f>
        <v/>
      </c>
      <c r="U3151" s="18" t="n">
        <v>0.2503128911138924</v>
      </c>
      <c r="V3151" s="26" t="n">
        <v>38.07203389830509</v>
      </c>
      <c r="W3151" s="26">
        <f>V3151 - L3151</f>
        <v/>
      </c>
    </row>
    <row r="3152">
      <c r="A3152" s="11" t="n">
        <v>46234</v>
      </c>
      <c r="B3152" s="1" t="n">
        <v>20024</v>
      </c>
      <c r="C3152" s="1" t="inlineStr">
        <is>
          <t>088</t>
        </is>
      </c>
      <c r="D3152" s="1" t="inlineStr">
        <is>
          <t xml:space="preserve">22796 </t>
        </is>
      </c>
      <c r="E3152" s="1" t="inlineStr">
        <is>
          <t xml:space="preserve">28194769       </t>
        </is>
      </c>
      <c r="F3152" s="5" t="inlineStr">
        <is>
          <t>AUTOS DE METAL 3 TEAMSTERZ PACK DE 2</t>
        </is>
      </c>
      <c r="G3152" t="n">
        <v>1</v>
      </c>
      <c r="H3152" s="7" t="n">
        <v>13.8</v>
      </c>
      <c r="I3152" s="7" t="n">
        <v>0</v>
      </c>
      <c r="J3152" s="7" t="n">
        <v>0</v>
      </c>
      <c r="K3152" s="9" t="n">
        <v>0</v>
      </c>
      <c r="L3152" s="10" t="n">
        <v>8.18</v>
      </c>
      <c r="M3152" s="10" t="n">
        <v>1.43</v>
      </c>
      <c r="N3152" t="inlineStr">
        <is>
          <t>1</t>
        </is>
      </c>
      <c r="O3152" t="inlineStr">
        <is>
          <t xml:space="preserve">2 </t>
        </is>
      </c>
      <c r="P3152" t="inlineStr">
        <is>
          <t xml:space="preserve">23463   </t>
        </is>
      </c>
      <c r="Q3152" s="26" t="n">
        <v>13.8</v>
      </c>
      <c r="R3152" s="26">
        <f>Q3152*G3152</f>
        <v/>
      </c>
      <c r="S3152" t="n">
        <v>8.19</v>
      </c>
      <c r="T3152" s="18">
        <f>1 - V3152/S3152</f>
        <v/>
      </c>
      <c r="U3152" s="18" t="n">
        <v>0</v>
      </c>
      <c r="V3152" s="26" t="n">
        <v>8.19</v>
      </c>
      <c r="W3152" s="26">
        <f>V3152 - L3152</f>
        <v/>
      </c>
    </row>
    <row r="3153">
      <c r="A3153" s="11" t="n">
        <v>46234</v>
      </c>
      <c r="B3153" s="1" t="n">
        <v>20024</v>
      </c>
      <c r="C3153" s="1" t="inlineStr">
        <is>
          <t>802</t>
        </is>
      </c>
      <c r="D3153" s="1" t="inlineStr">
        <is>
          <t xml:space="preserve">650   </t>
        </is>
      </c>
      <c r="E3153" s="1" t="inlineStr">
        <is>
          <t xml:space="preserve">34840526       </t>
        </is>
      </c>
      <c r="F3153" s="5" t="inlineStr">
        <is>
          <t>NENUCO ABRACITOS</t>
        </is>
      </c>
      <c r="G3153" t="n">
        <v>1</v>
      </c>
      <c r="H3153" s="7" t="n">
        <v>89.90000000000001</v>
      </c>
      <c r="I3153" s="7" t="n">
        <v>0</v>
      </c>
      <c r="J3153" s="7" t="n">
        <v>0</v>
      </c>
      <c r="K3153" s="9" t="n">
        <v>0</v>
      </c>
      <c r="L3153" s="10" t="n">
        <v>53.33</v>
      </c>
      <c r="M3153" s="10" t="n">
        <v>1.43</v>
      </c>
      <c r="N3153" t="inlineStr">
        <is>
          <t>1</t>
        </is>
      </c>
      <c r="O3153" t="inlineStr">
        <is>
          <t>16</t>
        </is>
      </c>
      <c r="P3153" t="inlineStr">
        <is>
          <t xml:space="preserve">0       </t>
        </is>
      </c>
      <c r="Q3153" s="26" t="n">
        <v>119</v>
      </c>
      <c r="R3153" s="26">
        <f>Q3153*G3153</f>
        <v/>
      </c>
      <c r="S3153" t="n">
        <v>70.59</v>
      </c>
      <c r="T3153" s="18">
        <f>1 - V3153/S3153</f>
        <v/>
      </c>
      <c r="U3153" s="18" t="n">
        <v>0.2445378151260503</v>
      </c>
      <c r="V3153" s="26" t="n">
        <v>60.94915254237289</v>
      </c>
      <c r="W3153" s="26">
        <f>V3153 - L3153</f>
        <v/>
      </c>
    </row>
    <row r="3154">
      <c r="A3154" s="11" t="n">
        <v>46234</v>
      </c>
      <c r="B3154" s="1" t="n">
        <v>20025</v>
      </c>
      <c r="C3154" s="1" t="inlineStr">
        <is>
          <t>048</t>
        </is>
      </c>
      <c r="D3154" s="1" t="inlineStr">
        <is>
          <t>189889</t>
        </is>
      </c>
      <c r="E3154" s="1" t="inlineStr">
        <is>
          <t xml:space="preserve">28194770       </t>
        </is>
      </c>
      <c r="F3154" s="5" t="inlineStr">
        <is>
          <t>AUTOS DE METAL 3 TEAMSTERZ EN BLISTER</t>
        </is>
      </c>
      <c r="G3154" t="n">
        <v>1</v>
      </c>
      <c r="H3154" s="7" t="n">
        <v>6.9</v>
      </c>
      <c r="I3154" s="7" t="n">
        <v>0</v>
      </c>
      <c r="J3154" s="7" t="n">
        <v>0</v>
      </c>
      <c r="K3154" s="9" t="n">
        <v>0</v>
      </c>
      <c r="L3154" s="10" t="n">
        <v>4.1</v>
      </c>
      <c r="M3154" s="10" t="n">
        <v>1.43</v>
      </c>
      <c r="N3154" t="inlineStr">
        <is>
          <t>1</t>
        </is>
      </c>
      <c r="O3154" t="inlineStr">
        <is>
          <t>16</t>
        </is>
      </c>
      <c r="P3154" t="inlineStr">
        <is>
          <t xml:space="preserve">57293   </t>
        </is>
      </c>
      <c r="Q3154" s="26" t="n">
        <v>6.9</v>
      </c>
      <c r="R3154" s="26">
        <f>Q3154*G3154</f>
        <v/>
      </c>
      <c r="S3154" t="n">
        <v>4.09</v>
      </c>
      <c r="T3154" s="18">
        <f>1 - V3154/S3154</f>
        <v/>
      </c>
      <c r="U3154" s="18" t="n">
        <v>0</v>
      </c>
      <c r="V3154" s="26" t="n">
        <v>4.09</v>
      </c>
      <c r="W3154" s="26">
        <f>V3154 - L3154</f>
        <v/>
      </c>
    </row>
    <row r="3155">
      <c r="A3155" s="11" t="n">
        <v>46234</v>
      </c>
      <c r="B3155" s="1" t="n">
        <v>20025</v>
      </c>
      <c r="C3155" s="1" t="inlineStr">
        <is>
          <t>073</t>
        </is>
      </c>
      <c r="D3155" s="1" t="inlineStr">
        <is>
          <t xml:space="preserve">23870 </t>
        </is>
      </c>
      <c r="E3155" s="1" t="inlineStr">
        <is>
          <t xml:space="preserve">34840550       </t>
        </is>
      </c>
      <c r="F3155" s="5" t="inlineStr">
        <is>
          <t>TEAMSTERZ M/MOVERZ TRANSPORTA GORILA</t>
        </is>
      </c>
      <c r="G3155" t="n">
        <v>1</v>
      </c>
      <c r="H3155" s="7" t="n">
        <v>129</v>
      </c>
      <c r="I3155" s="7" t="n">
        <v>0</v>
      </c>
      <c r="J3155" s="7" t="n">
        <v>0</v>
      </c>
      <c r="K3155" s="9" t="n">
        <v>0</v>
      </c>
      <c r="L3155" s="10" t="n">
        <v>76.52</v>
      </c>
      <c r="M3155" s="10" t="n">
        <v>1.43</v>
      </c>
      <c r="N3155" t="inlineStr">
        <is>
          <t>1</t>
        </is>
      </c>
      <c r="O3155" t="inlineStr">
        <is>
          <t>16</t>
        </is>
      </c>
      <c r="P3155" t="inlineStr">
        <is>
          <t xml:space="preserve">70760   </t>
        </is>
      </c>
      <c r="Q3155" s="26" t="n">
        <v>129</v>
      </c>
      <c r="R3155" s="26">
        <f>Q3155*G3155</f>
        <v/>
      </c>
      <c r="S3155" t="n">
        <v>76.53</v>
      </c>
      <c r="T3155" s="18">
        <f>1 - V3155/S3155</f>
        <v/>
      </c>
      <c r="U3155" s="18" t="n">
        <v>0</v>
      </c>
      <c r="V3155" s="26" t="n">
        <v>76.53</v>
      </c>
      <c r="W3155" s="26">
        <f>V3155 - L3155</f>
        <v/>
      </c>
    </row>
    <row r="3156">
      <c r="A3156" s="11" t="n">
        <v>46234</v>
      </c>
      <c r="B3156" s="1" t="n">
        <v>20025</v>
      </c>
      <c r="C3156" s="1" t="inlineStr">
        <is>
          <t>076</t>
        </is>
      </c>
      <c r="D3156" s="1" t="inlineStr">
        <is>
          <t>148828</t>
        </is>
      </c>
      <c r="E3156" s="1" t="inlineStr">
        <is>
          <t xml:space="preserve">32457103       </t>
        </is>
      </c>
      <c r="F3156" s="5" t="inlineStr">
        <is>
          <t>TMZ BEAST MACHINES MONSTER JAWS A FRICCION PACK DE</t>
        </is>
      </c>
      <c r="G3156" t="n">
        <v>1</v>
      </c>
      <c r="H3156" s="7" t="n">
        <v>32.9</v>
      </c>
      <c r="I3156" s="7" t="n">
        <v>0</v>
      </c>
      <c r="J3156" s="7" t="n">
        <v>0</v>
      </c>
      <c r="K3156" s="9" t="n">
        <v>0</v>
      </c>
      <c r="L3156" s="10" t="n">
        <v>19.52</v>
      </c>
      <c r="M3156" s="10" t="n">
        <v>1.43</v>
      </c>
      <c r="N3156" t="inlineStr">
        <is>
          <t>1</t>
        </is>
      </c>
      <c r="O3156" t="inlineStr">
        <is>
          <t xml:space="preserve">6 </t>
        </is>
      </c>
      <c r="P3156" t="inlineStr">
        <is>
          <t xml:space="preserve">248971  </t>
        </is>
      </c>
      <c r="Q3156" s="26" t="n">
        <v>37.9</v>
      </c>
      <c r="R3156" s="26">
        <f>Q3156*G3156</f>
        <v/>
      </c>
      <c r="S3156" t="n">
        <v>22.48</v>
      </c>
      <c r="T3156" s="18">
        <f>1 - V3156/S3156</f>
        <v/>
      </c>
      <c r="U3156" s="18" t="n">
        <v>0.1319261213720316</v>
      </c>
      <c r="V3156" s="26" t="n">
        <v>16.75101694915254</v>
      </c>
      <c r="W3156" s="26">
        <f>V3156 - L3156</f>
        <v/>
      </c>
    </row>
    <row r="3157">
      <c r="A3157" s="11" t="n">
        <v>46234</v>
      </c>
      <c r="B3157" s="1" t="n">
        <v>20028</v>
      </c>
      <c r="C3157" s="1" t="inlineStr">
        <is>
          <t>011</t>
        </is>
      </c>
      <c r="D3157" s="1" t="inlineStr">
        <is>
          <t xml:space="preserve">1574  </t>
        </is>
      </c>
      <c r="E3157" s="1" t="inlineStr">
        <is>
          <t xml:space="preserve">28194770       </t>
        </is>
      </c>
      <c r="F3157" s="5" t="inlineStr">
        <is>
          <t>AUTOS DE METAL 3 TEAMSTERZ EN BLISTER</t>
        </is>
      </c>
      <c r="G3157" t="n">
        <v>-1</v>
      </c>
      <c r="H3157" s="7" t="n">
        <v>-6.9</v>
      </c>
      <c r="I3157" s="7" t="n">
        <v>0</v>
      </c>
      <c r="J3157" s="7" t="n">
        <v>0</v>
      </c>
      <c r="K3157" s="9" t="n">
        <v>0</v>
      </c>
      <c r="L3157" s="10" t="n">
        <v>-4.1</v>
      </c>
      <c r="M3157" s="10" t="n">
        <v>0</v>
      </c>
      <c r="N3157" t="inlineStr">
        <is>
          <t>3</t>
        </is>
      </c>
      <c r="O3157" t="inlineStr">
        <is>
          <t>23</t>
        </is>
      </c>
      <c r="P3157" t="inlineStr">
        <is>
          <t xml:space="preserve">79754   </t>
        </is>
      </c>
      <c r="Q3157" s="26" t="n">
        <v>6.9</v>
      </c>
      <c r="R3157" s="26">
        <f>Q3157*G3157</f>
        <v/>
      </c>
      <c r="S3157" t="n">
        <v>-4.09</v>
      </c>
      <c r="T3157" s="18">
        <f>1 - V3157/S3157</f>
        <v/>
      </c>
      <c r="U3157" s="18" t="n">
        <v>0</v>
      </c>
      <c r="V3157" s="26" t="n">
        <v>-4.09</v>
      </c>
      <c r="W3157" s="26">
        <f>V3157 - L3157</f>
        <v/>
      </c>
    </row>
    <row r="3158">
      <c r="A3158" s="11" t="n">
        <v>46234</v>
      </c>
      <c r="B3158" s="1" t="n">
        <v>20028</v>
      </c>
      <c r="C3158" s="1" t="inlineStr">
        <is>
          <t>011</t>
        </is>
      </c>
      <c r="D3158" s="1" t="inlineStr">
        <is>
          <t xml:space="preserve">1574  </t>
        </is>
      </c>
      <c r="E3158" s="1" t="inlineStr">
        <is>
          <t xml:space="preserve">28194770       </t>
        </is>
      </c>
      <c r="F3158" s="5" t="inlineStr">
        <is>
          <t>AUTOS DE METAL 3 TEAMSTERZ EN BLISTER</t>
        </is>
      </c>
      <c r="G3158" t="n">
        <v>-1</v>
      </c>
      <c r="H3158" s="7" t="n">
        <v>-6.9</v>
      </c>
      <c r="I3158" s="7" t="n">
        <v>0</v>
      </c>
      <c r="J3158" s="7" t="n">
        <v>0</v>
      </c>
      <c r="K3158" s="9" t="n">
        <v>0</v>
      </c>
      <c r="L3158" s="10" t="n">
        <v>-4.1</v>
      </c>
      <c r="M3158" s="10" t="n">
        <v>0</v>
      </c>
      <c r="N3158" t="inlineStr">
        <is>
          <t>3</t>
        </is>
      </c>
      <c r="O3158" t="inlineStr">
        <is>
          <t>23</t>
        </is>
      </c>
      <c r="P3158" t="inlineStr">
        <is>
          <t xml:space="preserve">79754   </t>
        </is>
      </c>
      <c r="Q3158" s="26" t="n">
        <v>6.9</v>
      </c>
      <c r="R3158" s="26">
        <f>Q3158*G3158</f>
        <v/>
      </c>
      <c r="S3158" t="n">
        <v>-4.09</v>
      </c>
      <c r="T3158" s="18">
        <f>1 - V3158/S3158</f>
        <v/>
      </c>
      <c r="U3158" s="18" t="n">
        <v>0</v>
      </c>
      <c r="V3158" s="26" t="n">
        <v>-4.09</v>
      </c>
      <c r="W3158" s="26">
        <f>V3158 - L3158</f>
        <v/>
      </c>
    </row>
    <row r="3159">
      <c r="A3159" s="11" t="n">
        <v>46234</v>
      </c>
      <c r="B3159" s="1" t="n">
        <v>20028</v>
      </c>
      <c r="C3159" s="1" t="inlineStr">
        <is>
          <t>011</t>
        </is>
      </c>
      <c r="D3159" s="1" t="inlineStr">
        <is>
          <t xml:space="preserve">1574  </t>
        </is>
      </c>
      <c r="E3159" s="1" t="inlineStr">
        <is>
          <t xml:space="preserve">28194770       </t>
        </is>
      </c>
      <c r="F3159" s="5" t="inlineStr">
        <is>
          <t>AUTOS DE METAL 3 TEAMSTERZ EN BLISTER</t>
        </is>
      </c>
      <c r="G3159" t="n">
        <v>-1</v>
      </c>
      <c r="H3159" s="7" t="n">
        <v>-6.9</v>
      </c>
      <c r="I3159" s="7" t="n">
        <v>0</v>
      </c>
      <c r="J3159" s="7" t="n">
        <v>0</v>
      </c>
      <c r="K3159" s="9" t="n">
        <v>0</v>
      </c>
      <c r="L3159" s="10" t="n">
        <v>-4.1</v>
      </c>
      <c r="M3159" s="10" t="n">
        <v>0</v>
      </c>
      <c r="N3159" t="inlineStr">
        <is>
          <t>3</t>
        </is>
      </c>
      <c r="O3159" t="inlineStr">
        <is>
          <t>23</t>
        </is>
      </c>
      <c r="P3159" t="inlineStr">
        <is>
          <t xml:space="preserve">79754   </t>
        </is>
      </c>
      <c r="Q3159" s="26" t="n">
        <v>6.9</v>
      </c>
      <c r="R3159" s="26">
        <f>Q3159*G3159</f>
        <v/>
      </c>
      <c r="S3159" t="n">
        <v>-4.09</v>
      </c>
      <c r="T3159" s="18">
        <f>1 - V3159/S3159</f>
        <v/>
      </c>
      <c r="U3159" s="18" t="n">
        <v>0</v>
      </c>
      <c r="V3159" s="26" t="n">
        <v>-4.09</v>
      </c>
      <c r="W3159" s="26">
        <f>V3159 - L3159</f>
        <v/>
      </c>
    </row>
    <row r="3160">
      <c r="A3160" s="11" t="n">
        <v>46234</v>
      </c>
      <c r="B3160" s="1" t="n">
        <v>20028</v>
      </c>
      <c r="C3160" s="1" t="inlineStr">
        <is>
          <t>011</t>
        </is>
      </c>
      <c r="D3160" s="1" t="inlineStr">
        <is>
          <t xml:space="preserve">1574  </t>
        </is>
      </c>
      <c r="E3160" s="1" t="inlineStr">
        <is>
          <t xml:space="preserve">30141766       </t>
        </is>
      </c>
      <c r="F3160" s="5" t="inlineStr">
        <is>
          <t>TMZ BEAST MACHINES AUTOS DE METAL BLISTER X 1</t>
        </is>
      </c>
      <c r="G3160" t="n">
        <v>-1</v>
      </c>
      <c r="H3160" s="7" t="n">
        <v>-7.9</v>
      </c>
      <c r="I3160" s="7" t="n">
        <v>0</v>
      </c>
      <c r="J3160" s="7" t="n">
        <v>0</v>
      </c>
      <c r="K3160" s="9" t="n">
        <v>0</v>
      </c>
      <c r="L3160" s="10" t="n">
        <v>-4.68</v>
      </c>
      <c r="M3160" s="10" t="n">
        <v>0</v>
      </c>
      <c r="N3160" t="inlineStr">
        <is>
          <t>3</t>
        </is>
      </c>
      <c r="O3160" t="inlineStr">
        <is>
          <t>23</t>
        </is>
      </c>
      <c r="P3160" t="inlineStr">
        <is>
          <t xml:space="preserve">79754   </t>
        </is>
      </c>
      <c r="Q3160" s="26" t="n">
        <v>7.9</v>
      </c>
      <c r="R3160" s="26">
        <f>Q3160*G3160</f>
        <v/>
      </c>
      <c r="S3160" t="n">
        <v>-4.69</v>
      </c>
      <c r="T3160" s="18">
        <f>1 - V3160/S3160</f>
        <v/>
      </c>
      <c r="U3160" s="18" t="n">
        <v>0</v>
      </c>
      <c r="V3160" s="26" t="n">
        <v>-4.69</v>
      </c>
      <c r="W3160" s="26">
        <f>V3160 - L3160</f>
        <v/>
      </c>
    </row>
    <row r="3161">
      <c r="A3161" s="11" t="n">
        <v>46234</v>
      </c>
      <c r="B3161" s="1" t="n">
        <v>20028</v>
      </c>
      <c r="C3161" s="1" t="inlineStr">
        <is>
          <t>011</t>
        </is>
      </c>
      <c r="D3161" s="1" t="inlineStr">
        <is>
          <t xml:space="preserve">34311 </t>
        </is>
      </c>
      <c r="E3161" s="1" t="inlineStr">
        <is>
          <t xml:space="preserve">28194770       </t>
        </is>
      </c>
      <c r="F3161" s="5" t="inlineStr">
        <is>
          <t>AUTOS DE METAL 3 TEAMSTERZ EN BLISTER</t>
        </is>
      </c>
      <c r="G3161" t="n">
        <v>1</v>
      </c>
      <c r="H3161" s="7" t="n">
        <v>6.9</v>
      </c>
      <c r="I3161" s="7" t="n">
        <v>0</v>
      </c>
      <c r="J3161" s="7" t="n">
        <v>0</v>
      </c>
      <c r="K3161" s="9" t="n">
        <v>0</v>
      </c>
      <c r="L3161" s="10" t="n">
        <v>4.1</v>
      </c>
      <c r="M3161" s="10" t="n">
        <v>1.43</v>
      </c>
      <c r="N3161" t="inlineStr">
        <is>
          <t>1</t>
        </is>
      </c>
      <c r="O3161" t="inlineStr">
        <is>
          <t xml:space="preserve">3 </t>
        </is>
      </c>
      <c r="P3161" t="inlineStr">
        <is>
          <t xml:space="preserve">31171   </t>
        </is>
      </c>
      <c r="Q3161" s="26" t="n">
        <v>6.9</v>
      </c>
      <c r="R3161" s="26">
        <f>Q3161*G3161</f>
        <v/>
      </c>
      <c r="S3161" t="n">
        <v>4.09</v>
      </c>
      <c r="T3161" s="18">
        <f>1 - V3161/S3161</f>
        <v/>
      </c>
      <c r="U3161" s="18" t="n">
        <v>0</v>
      </c>
      <c r="V3161" s="26" t="n">
        <v>4.09</v>
      </c>
      <c r="W3161" s="26">
        <f>V3161 - L3161</f>
        <v/>
      </c>
    </row>
    <row r="3162">
      <c r="A3162" s="11" t="n">
        <v>46234</v>
      </c>
      <c r="B3162" s="1" t="n">
        <v>20028</v>
      </c>
      <c r="C3162" s="1" t="inlineStr">
        <is>
          <t>011</t>
        </is>
      </c>
      <c r="D3162" s="1" t="inlineStr">
        <is>
          <t xml:space="preserve">34311 </t>
        </is>
      </c>
      <c r="E3162" s="1" t="inlineStr">
        <is>
          <t xml:space="preserve">28194770       </t>
        </is>
      </c>
      <c r="F3162" s="5" t="inlineStr">
        <is>
          <t>AUTOS DE METAL 3 TEAMSTERZ EN BLISTER</t>
        </is>
      </c>
      <c r="G3162" t="n">
        <v>1</v>
      </c>
      <c r="H3162" s="7" t="n">
        <v>6.9</v>
      </c>
      <c r="I3162" s="7" t="n">
        <v>0</v>
      </c>
      <c r="J3162" s="7" t="n">
        <v>0</v>
      </c>
      <c r="K3162" s="9" t="n">
        <v>0</v>
      </c>
      <c r="L3162" s="10" t="n">
        <v>4.1</v>
      </c>
      <c r="M3162" s="10" t="n">
        <v>1.43</v>
      </c>
      <c r="N3162" t="inlineStr">
        <is>
          <t>1</t>
        </is>
      </c>
      <c r="O3162" t="inlineStr">
        <is>
          <t xml:space="preserve">3 </t>
        </is>
      </c>
      <c r="P3162" t="inlineStr">
        <is>
          <t xml:space="preserve">31171   </t>
        </is>
      </c>
      <c r="Q3162" s="26" t="n">
        <v>6.9</v>
      </c>
      <c r="R3162" s="26">
        <f>Q3162*G3162</f>
        <v/>
      </c>
      <c r="S3162" t="n">
        <v>4.09</v>
      </c>
      <c r="T3162" s="18">
        <f>1 - V3162/S3162</f>
        <v/>
      </c>
      <c r="U3162" s="18" t="n">
        <v>0</v>
      </c>
      <c r="V3162" s="26" t="n">
        <v>4.09</v>
      </c>
      <c r="W3162" s="26">
        <f>V3162 - L3162</f>
        <v/>
      </c>
    </row>
    <row r="3163">
      <c r="A3163" s="11" t="n">
        <v>46234</v>
      </c>
      <c r="B3163" s="1" t="n">
        <v>20028</v>
      </c>
      <c r="C3163" s="1" t="inlineStr">
        <is>
          <t>011</t>
        </is>
      </c>
      <c r="D3163" s="1" t="inlineStr">
        <is>
          <t xml:space="preserve">34311 </t>
        </is>
      </c>
      <c r="E3163" s="1" t="inlineStr">
        <is>
          <t xml:space="preserve">28194770       </t>
        </is>
      </c>
      <c r="F3163" s="5" t="inlineStr">
        <is>
          <t>AUTOS DE METAL 3 TEAMSTERZ EN BLISTER</t>
        </is>
      </c>
      <c r="G3163" t="n">
        <v>1</v>
      </c>
      <c r="H3163" s="7" t="n">
        <v>6.9</v>
      </c>
      <c r="I3163" s="7" t="n">
        <v>0</v>
      </c>
      <c r="J3163" s="7" t="n">
        <v>0</v>
      </c>
      <c r="K3163" s="9" t="n">
        <v>0</v>
      </c>
      <c r="L3163" s="10" t="n">
        <v>4.1</v>
      </c>
      <c r="M3163" s="10" t="n">
        <v>1.43</v>
      </c>
      <c r="N3163" t="inlineStr">
        <is>
          <t>1</t>
        </is>
      </c>
      <c r="O3163" t="inlineStr">
        <is>
          <t xml:space="preserve">3 </t>
        </is>
      </c>
      <c r="P3163" t="inlineStr">
        <is>
          <t xml:space="preserve">31171   </t>
        </is>
      </c>
      <c r="Q3163" s="26" t="n">
        <v>6.9</v>
      </c>
      <c r="R3163" s="26">
        <f>Q3163*G3163</f>
        <v/>
      </c>
      <c r="S3163" t="n">
        <v>4.09</v>
      </c>
      <c r="T3163" s="18">
        <f>1 - V3163/S3163</f>
        <v/>
      </c>
      <c r="U3163" s="18" t="n">
        <v>0</v>
      </c>
      <c r="V3163" s="26" t="n">
        <v>4.09</v>
      </c>
      <c r="W3163" s="26">
        <f>V3163 - L3163</f>
        <v/>
      </c>
    </row>
    <row r="3164">
      <c r="A3164" s="11" t="n">
        <v>46234</v>
      </c>
      <c r="B3164" s="1" t="n">
        <v>20028</v>
      </c>
      <c r="C3164" s="1" t="inlineStr">
        <is>
          <t>011</t>
        </is>
      </c>
      <c r="D3164" s="1" t="inlineStr">
        <is>
          <t xml:space="preserve">34311 </t>
        </is>
      </c>
      <c r="E3164" s="1" t="inlineStr">
        <is>
          <t xml:space="preserve">30141766       </t>
        </is>
      </c>
      <c r="F3164" s="5" t="inlineStr">
        <is>
          <t>TMZ BEAST MACHINES AUTOS DE METAL BLISTER X 1</t>
        </is>
      </c>
      <c r="G3164" t="n">
        <v>1</v>
      </c>
      <c r="H3164" s="7" t="n">
        <v>7.9</v>
      </c>
      <c r="I3164" s="7" t="n">
        <v>0</v>
      </c>
      <c r="J3164" s="7" t="n">
        <v>0</v>
      </c>
      <c r="K3164" s="9" t="n">
        <v>0</v>
      </c>
      <c r="L3164" s="10" t="n">
        <v>4.68</v>
      </c>
      <c r="M3164" s="10" t="n">
        <v>1.43</v>
      </c>
      <c r="N3164" t="inlineStr">
        <is>
          <t>1</t>
        </is>
      </c>
      <c r="O3164" t="inlineStr">
        <is>
          <t xml:space="preserve">3 </t>
        </is>
      </c>
      <c r="P3164" t="inlineStr">
        <is>
          <t xml:space="preserve">31171   </t>
        </is>
      </c>
      <c r="Q3164" s="26" t="n">
        <v>7.9</v>
      </c>
      <c r="R3164" s="26">
        <f>Q3164*G3164</f>
        <v/>
      </c>
      <c r="S3164" t="n">
        <v>4.69</v>
      </c>
      <c r="T3164" s="18">
        <f>1 - V3164/S3164</f>
        <v/>
      </c>
      <c r="U3164" s="18" t="n">
        <v>0</v>
      </c>
      <c r="V3164" s="26" t="n">
        <v>4.69</v>
      </c>
      <c r="W3164" s="26">
        <f>V3164 - L3164</f>
        <v/>
      </c>
    </row>
    <row r="3165">
      <c r="A3165" s="11" t="n">
        <v>46234</v>
      </c>
      <c r="B3165" s="1" t="n">
        <v>20028</v>
      </c>
      <c r="C3165" s="1" t="inlineStr">
        <is>
          <t>011</t>
        </is>
      </c>
      <c r="D3165" s="1" t="inlineStr">
        <is>
          <t xml:space="preserve">34314 </t>
        </is>
      </c>
      <c r="E3165" s="1" t="inlineStr">
        <is>
          <t xml:space="preserve">28194770       </t>
        </is>
      </c>
      <c r="F3165" s="5" t="inlineStr">
        <is>
          <t>AUTOS DE METAL 3 TEAMSTERZ EN BLISTER</t>
        </is>
      </c>
      <c r="G3165" t="n">
        <v>1</v>
      </c>
      <c r="H3165" s="7" t="n">
        <v>6.9</v>
      </c>
      <c r="I3165" s="7" t="n">
        <v>0</v>
      </c>
      <c r="J3165" s="7" t="n">
        <v>0</v>
      </c>
      <c r="K3165" s="9" t="n">
        <v>0</v>
      </c>
      <c r="L3165" s="10" t="n">
        <v>4.1</v>
      </c>
      <c r="M3165" s="10" t="n">
        <v>1.43</v>
      </c>
      <c r="N3165" t="inlineStr">
        <is>
          <t>1</t>
        </is>
      </c>
      <c r="O3165" t="inlineStr">
        <is>
          <t xml:space="preserve">3 </t>
        </is>
      </c>
      <c r="P3165" t="inlineStr">
        <is>
          <t xml:space="preserve">31171   </t>
        </is>
      </c>
      <c r="Q3165" s="26" t="n">
        <v>6.9</v>
      </c>
      <c r="R3165" s="26">
        <f>Q3165*G3165</f>
        <v/>
      </c>
      <c r="S3165" t="n">
        <v>4.09</v>
      </c>
      <c r="T3165" s="18">
        <f>1 - V3165/S3165</f>
        <v/>
      </c>
      <c r="U3165" s="18" t="n">
        <v>0</v>
      </c>
      <c r="V3165" s="26" t="n">
        <v>4.09</v>
      </c>
      <c r="W3165" s="26">
        <f>V3165 - L3165</f>
        <v/>
      </c>
    </row>
    <row r="3166">
      <c r="A3166" s="11" t="n">
        <v>46234</v>
      </c>
      <c r="B3166" s="1" t="n">
        <v>20028</v>
      </c>
      <c r="C3166" s="1" t="inlineStr">
        <is>
          <t>011</t>
        </is>
      </c>
      <c r="D3166" s="1" t="inlineStr">
        <is>
          <t xml:space="preserve">34314 </t>
        </is>
      </c>
      <c r="E3166" s="1" t="inlineStr">
        <is>
          <t xml:space="preserve">28194770       </t>
        </is>
      </c>
      <c r="F3166" s="5" t="inlineStr">
        <is>
          <t>AUTOS DE METAL 3 TEAMSTERZ EN BLISTER</t>
        </is>
      </c>
      <c r="G3166" t="n">
        <v>1</v>
      </c>
      <c r="H3166" s="7" t="n">
        <v>6.9</v>
      </c>
      <c r="I3166" s="7" t="n">
        <v>0</v>
      </c>
      <c r="J3166" s="7" t="n">
        <v>0</v>
      </c>
      <c r="K3166" s="9" t="n">
        <v>0</v>
      </c>
      <c r="L3166" s="10" t="n">
        <v>4.1</v>
      </c>
      <c r="M3166" s="10" t="n">
        <v>1.43</v>
      </c>
      <c r="N3166" t="inlineStr">
        <is>
          <t>1</t>
        </is>
      </c>
      <c r="O3166" t="inlineStr">
        <is>
          <t xml:space="preserve">3 </t>
        </is>
      </c>
      <c r="P3166" t="inlineStr">
        <is>
          <t xml:space="preserve">31171   </t>
        </is>
      </c>
      <c r="Q3166" s="26" t="n">
        <v>6.9</v>
      </c>
      <c r="R3166" s="26">
        <f>Q3166*G3166</f>
        <v/>
      </c>
      <c r="S3166" t="n">
        <v>4.09</v>
      </c>
      <c r="T3166" s="18">
        <f>1 - V3166/S3166</f>
        <v/>
      </c>
      <c r="U3166" s="18" t="n">
        <v>0</v>
      </c>
      <c r="V3166" s="26" t="n">
        <v>4.09</v>
      </c>
      <c r="W3166" s="26">
        <f>V3166 - L3166</f>
        <v/>
      </c>
    </row>
    <row r="3167">
      <c r="A3167" s="11" t="n">
        <v>46234</v>
      </c>
      <c r="B3167" s="1" t="n">
        <v>20028</v>
      </c>
      <c r="C3167" s="1" t="inlineStr">
        <is>
          <t>011</t>
        </is>
      </c>
      <c r="D3167" s="1" t="inlineStr">
        <is>
          <t xml:space="preserve">34314 </t>
        </is>
      </c>
      <c r="E3167" s="1" t="inlineStr">
        <is>
          <t xml:space="preserve">28194770       </t>
        </is>
      </c>
      <c r="F3167" s="5" t="inlineStr">
        <is>
          <t>AUTOS DE METAL 3 TEAMSTERZ EN BLISTER</t>
        </is>
      </c>
      <c r="G3167" t="n">
        <v>1</v>
      </c>
      <c r="H3167" s="7" t="n">
        <v>6.9</v>
      </c>
      <c r="I3167" s="7" t="n">
        <v>0</v>
      </c>
      <c r="J3167" s="7" t="n">
        <v>0</v>
      </c>
      <c r="K3167" s="9" t="n">
        <v>0</v>
      </c>
      <c r="L3167" s="10" t="n">
        <v>4.1</v>
      </c>
      <c r="M3167" s="10" t="n">
        <v>1.43</v>
      </c>
      <c r="N3167" t="inlineStr">
        <is>
          <t>1</t>
        </is>
      </c>
      <c r="O3167" t="inlineStr">
        <is>
          <t xml:space="preserve">3 </t>
        </is>
      </c>
      <c r="P3167" t="inlineStr">
        <is>
          <t xml:space="preserve">31171   </t>
        </is>
      </c>
      <c r="Q3167" s="26" t="n">
        <v>6.9</v>
      </c>
      <c r="R3167" s="26">
        <f>Q3167*G3167</f>
        <v/>
      </c>
      <c r="S3167" t="n">
        <v>4.09</v>
      </c>
      <c r="T3167" s="18">
        <f>1 - V3167/S3167</f>
        <v/>
      </c>
      <c r="U3167" s="18" t="n">
        <v>0</v>
      </c>
      <c r="V3167" s="26" t="n">
        <v>4.09</v>
      </c>
      <c r="W3167" s="26">
        <f>V3167 - L3167</f>
        <v/>
      </c>
    </row>
    <row r="3168">
      <c r="A3168" s="11" t="n">
        <v>46234</v>
      </c>
      <c r="B3168" s="1" t="n">
        <v>20028</v>
      </c>
      <c r="C3168" s="1" t="inlineStr">
        <is>
          <t>011</t>
        </is>
      </c>
      <c r="D3168" s="1" t="inlineStr">
        <is>
          <t xml:space="preserve">34314 </t>
        </is>
      </c>
      <c r="E3168" s="1" t="inlineStr">
        <is>
          <t xml:space="preserve">30141766       </t>
        </is>
      </c>
      <c r="F3168" s="5" t="inlineStr">
        <is>
          <t>TMZ BEAST MACHINES AUTOS DE METAL BLISTER X 1</t>
        </is>
      </c>
      <c r="G3168" t="n">
        <v>1</v>
      </c>
      <c r="H3168" s="7" t="n">
        <v>7.9</v>
      </c>
      <c r="I3168" s="7" t="n">
        <v>0</v>
      </c>
      <c r="J3168" s="7" t="n">
        <v>0</v>
      </c>
      <c r="K3168" s="9" t="n">
        <v>0</v>
      </c>
      <c r="L3168" s="10" t="n">
        <v>4.68</v>
      </c>
      <c r="M3168" s="10" t="n">
        <v>1.43</v>
      </c>
      <c r="N3168" t="inlineStr">
        <is>
          <t>1</t>
        </is>
      </c>
      <c r="O3168" t="inlineStr">
        <is>
          <t xml:space="preserve">3 </t>
        </is>
      </c>
      <c r="P3168" t="inlineStr">
        <is>
          <t xml:space="preserve">31171   </t>
        </is>
      </c>
      <c r="Q3168" s="26" t="n">
        <v>7.9</v>
      </c>
      <c r="R3168" s="26">
        <f>Q3168*G3168</f>
        <v/>
      </c>
      <c r="S3168" t="n">
        <v>4.69</v>
      </c>
      <c r="T3168" s="18">
        <f>1 - V3168/S3168</f>
        <v/>
      </c>
      <c r="U3168" s="18" t="n">
        <v>0</v>
      </c>
      <c r="V3168" s="26" t="n">
        <v>4.69</v>
      </c>
      <c r="W3168" s="26">
        <f>V3168 - L3168</f>
        <v/>
      </c>
    </row>
    <row r="3169">
      <c r="A3169" s="11" t="n">
        <v>46234</v>
      </c>
      <c r="B3169" s="1" t="n">
        <v>20028</v>
      </c>
      <c r="C3169" s="1" t="inlineStr">
        <is>
          <t>860</t>
        </is>
      </c>
      <c r="D3169" s="1" t="inlineStr">
        <is>
          <t xml:space="preserve">4312  </t>
        </is>
      </c>
      <c r="E3169" s="1" t="inlineStr">
        <is>
          <t xml:space="preserve">28194780       </t>
        </is>
      </c>
      <c r="F3169" s="5" t="inlineStr">
        <is>
          <t>TROMPO BATALLA INFINITY NADO PLSTICO SURTIDO</t>
        </is>
      </c>
      <c r="G3169" t="n">
        <v>1</v>
      </c>
      <c r="H3169" s="7" t="n">
        <v>19.9</v>
      </c>
      <c r="I3169" s="7" t="n">
        <v>0</v>
      </c>
      <c r="J3169" s="7" t="n">
        <v>0</v>
      </c>
      <c r="K3169" s="9" t="n">
        <v>0</v>
      </c>
      <c r="L3169" s="10" t="n">
        <v>11.8</v>
      </c>
      <c r="M3169" s="10" t="n">
        <v>1.43</v>
      </c>
      <c r="N3169" t="inlineStr">
        <is>
          <t>1</t>
        </is>
      </c>
      <c r="O3169" t="inlineStr">
        <is>
          <t>16</t>
        </is>
      </c>
      <c r="P3169" t="inlineStr">
        <is>
          <t xml:space="preserve">248218  </t>
        </is>
      </c>
      <c r="Q3169" s="26" t="n">
        <v>19.9</v>
      </c>
      <c r="R3169" s="26">
        <f>Q3169*G3169</f>
        <v/>
      </c>
      <c r="S3169" t="n">
        <v>11.81</v>
      </c>
      <c r="T3169" s="18">
        <f>1 - V3169/S3169</f>
        <v/>
      </c>
      <c r="U3169" s="18" t="n">
        <v>0</v>
      </c>
      <c r="V3169" s="26" t="n">
        <v>11.81</v>
      </c>
      <c r="W3169" s="26">
        <f>V3169 - L3169</f>
        <v/>
      </c>
    </row>
    <row r="3170">
      <c r="A3170" s="11" t="n">
        <v>46234</v>
      </c>
      <c r="B3170" s="1" t="n">
        <v>20030</v>
      </c>
      <c r="C3170" s="1" t="inlineStr">
        <is>
          <t>022</t>
        </is>
      </c>
      <c r="D3170" s="1" t="inlineStr">
        <is>
          <t>318340</t>
        </is>
      </c>
      <c r="E3170" s="1" t="inlineStr">
        <is>
          <t xml:space="preserve">30141769       </t>
        </is>
      </c>
      <c r="F3170" s="5" t="inlineStr">
        <is>
          <t>TMZ BEAST MACHINES TRANSPORTE DINOSAURIO + 3 AUTOS</t>
        </is>
      </c>
      <c r="G3170" t="n">
        <v>1</v>
      </c>
      <c r="H3170" s="7" t="n">
        <v>59.9</v>
      </c>
      <c r="I3170" s="7" t="n">
        <v>0</v>
      </c>
      <c r="J3170" s="7" t="n">
        <v>0</v>
      </c>
      <c r="K3170" s="9" t="n">
        <v>0</v>
      </c>
      <c r="L3170" s="10" t="n">
        <v>35.53</v>
      </c>
      <c r="M3170" s="10" t="n">
        <v>1.43</v>
      </c>
      <c r="N3170" t="inlineStr">
        <is>
          <t>1</t>
        </is>
      </c>
      <c r="O3170" t="inlineStr">
        <is>
          <t>16</t>
        </is>
      </c>
      <c r="P3170" t="inlineStr">
        <is>
          <t xml:space="preserve">65971   </t>
        </is>
      </c>
      <c r="Q3170" s="26" t="n">
        <v>79.90000000000001</v>
      </c>
      <c r="R3170" s="26">
        <f>Q3170*G3170</f>
        <v/>
      </c>
      <c r="S3170" t="n">
        <v>47.4</v>
      </c>
      <c r="T3170" s="18">
        <f>1 - V3170/S3170</f>
        <v/>
      </c>
      <c r="U3170" s="18" t="n">
        <v>0.2503128911138924</v>
      </c>
      <c r="V3170" s="26" t="n">
        <v>38.07203389830509</v>
      </c>
      <c r="W3170" s="26">
        <f>V3170 - L3170</f>
        <v/>
      </c>
    </row>
    <row r="3171">
      <c r="A3171" s="11" t="n">
        <v>46234</v>
      </c>
      <c r="B3171" s="1" t="n">
        <v>20030</v>
      </c>
      <c r="C3171" s="1" t="inlineStr">
        <is>
          <t>022</t>
        </is>
      </c>
      <c r="D3171" s="1" t="inlineStr">
        <is>
          <t>318388</t>
        </is>
      </c>
      <c r="E3171" s="1" t="inlineStr">
        <is>
          <t xml:space="preserve">31959958       </t>
        </is>
      </c>
      <c r="F3171" s="5" t="inlineStr">
        <is>
          <t>TMZ BEAST MACHINE AUTOS DE METAL PACK 3 AUTOS</t>
        </is>
      </c>
      <c r="G3171" t="n">
        <v>1</v>
      </c>
      <c r="H3171" s="7" t="n">
        <v>23.7</v>
      </c>
      <c r="I3171" s="7" t="n">
        <v>0</v>
      </c>
      <c r="J3171" s="7" t="n">
        <v>0</v>
      </c>
      <c r="K3171" s="9" t="n">
        <v>0</v>
      </c>
      <c r="L3171" s="10" t="n">
        <v>14.06</v>
      </c>
      <c r="M3171" s="10" t="n">
        <v>1.43</v>
      </c>
      <c r="N3171" t="inlineStr">
        <is>
          <t>1</t>
        </is>
      </c>
      <c r="O3171" t="inlineStr">
        <is>
          <t xml:space="preserve">2 </t>
        </is>
      </c>
      <c r="P3171" t="inlineStr">
        <is>
          <t xml:space="preserve">65971   </t>
        </is>
      </c>
      <c r="Q3171" s="26" t="n">
        <v>23.7</v>
      </c>
      <c r="R3171" s="26">
        <f>Q3171*G3171</f>
        <v/>
      </c>
      <c r="S3171" t="n">
        <v>14.06</v>
      </c>
      <c r="T3171" s="18">
        <f>1 - V3171/S3171</f>
        <v/>
      </c>
      <c r="U3171" s="18" t="n">
        <v>0</v>
      </c>
      <c r="V3171" s="26" t="n">
        <v>14.06</v>
      </c>
      <c r="W3171" s="26">
        <f>V3171 - L3171</f>
        <v/>
      </c>
    </row>
    <row r="3172">
      <c r="A3172" s="11" t="n">
        <v>46234</v>
      </c>
      <c r="B3172" s="1" t="n">
        <v>20030</v>
      </c>
      <c r="C3172" s="1" t="inlineStr">
        <is>
          <t>067</t>
        </is>
      </c>
      <c r="D3172" s="1" t="inlineStr">
        <is>
          <t>275649</t>
        </is>
      </c>
      <c r="E3172" s="1" t="inlineStr">
        <is>
          <t xml:space="preserve">28194770       </t>
        </is>
      </c>
      <c r="F3172" s="5" t="inlineStr">
        <is>
          <t>AUTOS DE METAL 3 TEAMSTERZ EN BLISTER</t>
        </is>
      </c>
      <c r="G3172" t="n">
        <v>1</v>
      </c>
      <c r="H3172" s="7" t="n">
        <v>6.9</v>
      </c>
      <c r="I3172" s="7" t="n">
        <v>0</v>
      </c>
      <c r="J3172" s="7" t="n">
        <v>0</v>
      </c>
      <c r="K3172" s="9" t="n">
        <v>0</v>
      </c>
      <c r="L3172" s="10" t="n">
        <v>4.1</v>
      </c>
      <c r="M3172" s="10" t="n">
        <v>1.43</v>
      </c>
      <c r="N3172" t="inlineStr">
        <is>
          <t>1</t>
        </is>
      </c>
      <c r="O3172" t="inlineStr">
        <is>
          <t>16</t>
        </is>
      </c>
      <c r="P3172" t="inlineStr">
        <is>
          <t xml:space="preserve">52224   </t>
        </is>
      </c>
      <c r="Q3172" s="26" t="n">
        <v>6.9</v>
      </c>
      <c r="R3172" s="26">
        <f>Q3172*G3172</f>
        <v/>
      </c>
      <c r="S3172" t="n">
        <v>4.09</v>
      </c>
      <c r="T3172" s="18">
        <f>1 - V3172/S3172</f>
        <v/>
      </c>
      <c r="U3172" s="18" t="n">
        <v>0</v>
      </c>
      <c r="V3172" s="26" t="n">
        <v>4.09</v>
      </c>
      <c r="W3172" s="26">
        <f>V3172 - L3172</f>
        <v/>
      </c>
    </row>
    <row r="3173">
      <c r="A3173" s="11" t="n">
        <v>46234</v>
      </c>
      <c r="B3173" s="1" t="n">
        <v>20030</v>
      </c>
      <c r="C3173" s="1" t="inlineStr">
        <is>
          <t>067</t>
        </is>
      </c>
      <c r="D3173" s="1" t="inlineStr">
        <is>
          <t>275649</t>
        </is>
      </c>
      <c r="E3173" s="1" t="inlineStr">
        <is>
          <t xml:space="preserve">28194770       </t>
        </is>
      </c>
      <c r="F3173" s="5" t="inlineStr">
        <is>
          <t>AUTOS DE METAL 3 TEAMSTERZ EN BLISTER</t>
        </is>
      </c>
      <c r="G3173" t="n">
        <v>1</v>
      </c>
      <c r="H3173" s="7" t="n">
        <v>6.9</v>
      </c>
      <c r="I3173" s="7" t="n">
        <v>0</v>
      </c>
      <c r="J3173" s="7" t="n">
        <v>0</v>
      </c>
      <c r="K3173" s="9" t="n">
        <v>0</v>
      </c>
      <c r="L3173" s="10" t="n">
        <v>4.1</v>
      </c>
      <c r="M3173" s="10" t="n">
        <v>1.43</v>
      </c>
      <c r="N3173" t="inlineStr">
        <is>
          <t>1</t>
        </is>
      </c>
      <c r="O3173" t="inlineStr">
        <is>
          <t>16</t>
        </is>
      </c>
      <c r="P3173" t="inlineStr">
        <is>
          <t xml:space="preserve">52224   </t>
        </is>
      </c>
      <c r="Q3173" s="26" t="n">
        <v>6.9</v>
      </c>
      <c r="R3173" s="26">
        <f>Q3173*G3173</f>
        <v/>
      </c>
      <c r="S3173" t="n">
        <v>4.09</v>
      </c>
      <c r="T3173" s="18">
        <f>1 - V3173/S3173</f>
        <v/>
      </c>
      <c r="U3173" s="18" t="n">
        <v>0</v>
      </c>
      <c r="V3173" s="26" t="n">
        <v>4.09</v>
      </c>
      <c r="W3173" s="26">
        <f>V3173 - L3173</f>
        <v/>
      </c>
    </row>
    <row r="3174">
      <c r="A3174" s="11" t="n">
        <v>46234</v>
      </c>
      <c r="B3174" s="1" t="n">
        <v>20030</v>
      </c>
      <c r="C3174" s="1" t="inlineStr">
        <is>
          <t>077</t>
        </is>
      </c>
      <c r="D3174" s="1" t="inlineStr">
        <is>
          <t>233156</t>
        </is>
      </c>
      <c r="E3174" s="1" t="inlineStr">
        <is>
          <t xml:space="preserve">28194770       </t>
        </is>
      </c>
      <c r="F3174" s="5" t="inlineStr">
        <is>
          <t>AUTOS DE METAL 3 TEAMSTERZ EN BLISTER</t>
        </is>
      </c>
      <c r="G3174" t="n">
        <v>1</v>
      </c>
      <c r="H3174" s="7" t="n">
        <v>6.9</v>
      </c>
      <c r="I3174" s="7" t="n">
        <v>0</v>
      </c>
      <c r="J3174" s="7" t="n">
        <v>0</v>
      </c>
      <c r="K3174" s="9" t="n">
        <v>0</v>
      </c>
      <c r="L3174" s="10" t="n">
        <v>4.1</v>
      </c>
      <c r="M3174" s="10" t="n">
        <v>1.43</v>
      </c>
      <c r="N3174" t="inlineStr">
        <is>
          <t>1</t>
        </is>
      </c>
      <c r="O3174" t="inlineStr">
        <is>
          <t>16</t>
        </is>
      </c>
      <c r="P3174" t="inlineStr">
        <is>
          <t xml:space="preserve">15567   </t>
        </is>
      </c>
      <c r="Q3174" s="26" t="n">
        <v>6.9</v>
      </c>
      <c r="R3174" s="26">
        <f>Q3174*G3174</f>
        <v/>
      </c>
      <c r="S3174" t="n">
        <v>4.09</v>
      </c>
      <c r="T3174" s="18">
        <f>1 - V3174/S3174</f>
        <v/>
      </c>
      <c r="U3174" s="18" t="n">
        <v>0</v>
      </c>
      <c r="V3174" s="26" t="n">
        <v>4.09</v>
      </c>
      <c r="W3174" s="26">
        <f>V3174 - L3174</f>
        <v/>
      </c>
    </row>
    <row r="3175">
      <c r="A3175" s="11" t="n">
        <v>46234</v>
      </c>
      <c r="B3175" s="1" t="n">
        <v>20030</v>
      </c>
      <c r="C3175" s="1" t="inlineStr">
        <is>
          <t>077</t>
        </is>
      </c>
      <c r="D3175" s="1" t="inlineStr">
        <is>
          <t>233156</t>
        </is>
      </c>
      <c r="E3175" s="1" t="inlineStr">
        <is>
          <t xml:space="preserve">28194770       </t>
        </is>
      </c>
      <c r="F3175" s="5" t="inlineStr">
        <is>
          <t>AUTOS DE METAL 3 TEAMSTERZ EN BLISTER</t>
        </is>
      </c>
      <c r="G3175" t="n">
        <v>1</v>
      </c>
      <c r="H3175" s="7" t="n">
        <v>6.9</v>
      </c>
      <c r="I3175" s="7" t="n">
        <v>0</v>
      </c>
      <c r="J3175" s="7" t="n">
        <v>0</v>
      </c>
      <c r="K3175" s="9" t="n">
        <v>0</v>
      </c>
      <c r="L3175" s="10" t="n">
        <v>4.1</v>
      </c>
      <c r="M3175" s="10" t="n">
        <v>1.43</v>
      </c>
      <c r="N3175" t="inlineStr">
        <is>
          <t>1</t>
        </is>
      </c>
      <c r="O3175" t="inlineStr">
        <is>
          <t>16</t>
        </is>
      </c>
      <c r="P3175" t="inlineStr">
        <is>
          <t xml:space="preserve">15567   </t>
        </is>
      </c>
      <c r="Q3175" s="26" t="n">
        <v>6.9</v>
      </c>
      <c r="R3175" s="26">
        <f>Q3175*G3175</f>
        <v/>
      </c>
      <c r="S3175" t="n">
        <v>4.09</v>
      </c>
      <c r="T3175" s="18">
        <f>1 - V3175/S3175</f>
        <v/>
      </c>
      <c r="U3175" s="18" t="n">
        <v>0</v>
      </c>
      <c r="V3175" s="26" t="n">
        <v>4.09</v>
      </c>
      <c r="W3175" s="26">
        <f>V3175 - L3175</f>
        <v/>
      </c>
    </row>
    <row r="3176">
      <c r="A3176" s="11" t="n">
        <v>46234</v>
      </c>
      <c r="B3176" s="1" t="n">
        <v>20030</v>
      </c>
      <c r="C3176" s="1" t="inlineStr">
        <is>
          <t>077</t>
        </is>
      </c>
      <c r="D3176" s="1" t="inlineStr">
        <is>
          <t>233156</t>
        </is>
      </c>
      <c r="E3176" s="1" t="inlineStr">
        <is>
          <t xml:space="preserve">28194770       </t>
        </is>
      </c>
      <c r="F3176" s="5" t="inlineStr">
        <is>
          <t>AUTOS DE METAL 3 TEAMSTERZ EN BLISTER</t>
        </is>
      </c>
      <c r="G3176" t="n">
        <v>1</v>
      </c>
      <c r="H3176" s="7" t="n">
        <v>6.9</v>
      </c>
      <c r="I3176" s="7" t="n">
        <v>0</v>
      </c>
      <c r="J3176" s="7" t="n">
        <v>0</v>
      </c>
      <c r="K3176" s="9" t="n">
        <v>0</v>
      </c>
      <c r="L3176" s="10" t="n">
        <v>4.1</v>
      </c>
      <c r="M3176" s="10" t="n">
        <v>1.43</v>
      </c>
      <c r="N3176" t="inlineStr">
        <is>
          <t>1</t>
        </is>
      </c>
      <c r="O3176" t="inlineStr">
        <is>
          <t>16</t>
        </is>
      </c>
      <c r="P3176" t="inlineStr">
        <is>
          <t xml:space="preserve">15567   </t>
        </is>
      </c>
      <c r="Q3176" s="26" t="n">
        <v>6.9</v>
      </c>
      <c r="R3176" s="26">
        <f>Q3176*G3176</f>
        <v/>
      </c>
      <c r="S3176" t="n">
        <v>4.09</v>
      </c>
      <c r="T3176" s="18">
        <f>1 - V3176/S3176</f>
        <v/>
      </c>
      <c r="U3176" s="18" t="n">
        <v>0</v>
      </c>
      <c r="V3176" s="26" t="n">
        <v>4.09</v>
      </c>
      <c r="W3176" s="26">
        <f>V3176 - L3176</f>
        <v/>
      </c>
    </row>
    <row r="3177">
      <c r="A3177" s="11" t="n">
        <v>46234</v>
      </c>
      <c r="B3177" s="1" t="n">
        <v>20041</v>
      </c>
      <c r="C3177" s="1" t="inlineStr">
        <is>
          <t>037</t>
        </is>
      </c>
      <c r="D3177" s="1" t="inlineStr">
        <is>
          <t>190418</t>
        </is>
      </c>
      <c r="E3177" s="1" t="inlineStr">
        <is>
          <t xml:space="preserve">28194770       </t>
        </is>
      </c>
      <c r="F3177" s="5" t="inlineStr">
        <is>
          <t>AUTOS DE METAL 3 TEAMSTERZ EN BLISTER</t>
        </is>
      </c>
      <c r="G3177" t="n">
        <v>1</v>
      </c>
      <c r="H3177" s="7" t="n">
        <v>6.9</v>
      </c>
      <c r="I3177" s="7" t="n">
        <v>0</v>
      </c>
      <c r="J3177" s="7" t="n">
        <v>0</v>
      </c>
      <c r="K3177" s="9" t="n">
        <v>0</v>
      </c>
      <c r="L3177" s="10" t="n">
        <v>4.1</v>
      </c>
      <c r="M3177" s="10" t="n">
        <v>1.43</v>
      </c>
      <c r="N3177" t="inlineStr">
        <is>
          <t>1</t>
        </is>
      </c>
      <c r="O3177" t="inlineStr">
        <is>
          <t>16</t>
        </is>
      </c>
      <c r="P3177" t="inlineStr">
        <is>
          <t xml:space="preserve">242746  </t>
        </is>
      </c>
      <c r="Q3177" s="26" t="n">
        <v>6.9</v>
      </c>
      <c r="R3177" s="26">
        <f>Q3177*G3177</f>
        <v/>
      </c>
      <c r="S3177" t="n">
        <v>4.09</v>
      </c>
      <c r="T3177" s="18">
        <f>1 - V3177/S3177</f>
        <v/>
      </c>
      <c r="U3177" s="18" t="n">
        <v>0</v>
      </c>
      <c r="V3177" s="26" t="n">
        <v>4.09</v>
      </c>
      <c r="W3177" s="26">
        <f>V3177 - L3177</f>
        <v/>
      </c>
    </row>
    <row r="3178">
      <c r="A3178" s="11" t="n">
        <v>46234</v>
      </c>
      <c r="B3178" s="1" t="n">
        <v>20041</v>
      </c>
      <c r="C3178" s="1" t="inlineStr">
        <is>
          <t>037</t>
        </is>
      </c>
      <c r="D3178" s="1" t="inlineStr">
        <is>
          <t>190513</t>
        </is>
      </c>
      <c r="E3178" s="1" t="inlineStr">
        <is>
          <t xml:space="preserve">31959968       </t>
        </is>
      </c>
      <c r="F3178" s="5" t="inlineStr">
        <is>
          <t>PINYPON FIGURAS BASICAS SERIE 13 DISP. 56</t>
        </is>
      </c>
      <c r="G3178" t="n">
        <v>1</v>
      </c>
      <c r="H3178" s="7" t="n">
        <v>10.74</v>
      </c>
      <c r="I3178" s="7" t="n">
        <v>0</v>
      </c>
      <c r="J3178" s="7" t="n">
        <v>0</v>
      </c>
      <c r="K3178" s="9" t="n">
        <v>0</v>
      </c>
      <c r="L3178" s="10" t="n">
        <v>6.37</v>
      </c>
      <c r="M3178" s="10" t="n">
        <v>1.43</v>
      </c>
      <c r="N3178" t="inlineStr">
        <is>
          <t>1</t>
        </is>
      </c>
      <c r="O3178" t="inlineStr">
        <is>
          <t>16</t>
        </is>
      </c>
      <c r="P3178" t="inlineStr">
        <is>
          <t xml:space="preserve">243970  </t>
        </is>
      </c>
      <c r="Q3178" s="26" t="n">
        <v>17.9</v>
      </c>
      <c r="R3178" s="26">
        <f>Q3178*G3178</f>
        <v/>
      </c>
      <c r="S3178" t="n">
        <v>10.62</v>
      </c>
      <c r="T3178" s="18">
        <f>1 - V3178/S3178</f>
        <v/>
      </c>
      <c r="U3178" s="18" t="n">
        <v>0.3999999999999999</v>
      </c>
      <c r="V3178" s="26" t="n">
        <v>7.281355932203391</v>
      </c>
      <c r="W3178" s="26">
        <f>V3178 - L3178</f>
        <v/>
      </c>
    </row>
    <row r="3179">
      <c r="A3179" s="11" t="n">
        <v>46234</v>
      </c>
      <c r="B3179" s="1" t="n">
        <v>20041</v>
      </c>
      <c r="C3179" s="1" t="inlineStr">
        <is>
          <t>037</t>
        </is>
      </c>
      <c r="D3179" s="1" t="inlineStr">
        <is>
          <t>190513</t>
        </is>
      </c>
      <c r="E3179" s="1" t="inlineStr">
        <is>
          <t xml:space="preserve">34840534       </t>
        </is>
      </c>
      <c r="F3179" s="5" t="inlineStr">
        <is>
          <t>PINYPON TENEBROSA SERIE 14 CDU 24X2</t>
        </is>
      </c>
      <c r="G3179" t="n">
        <v>1</v>
      </c>
      <c r="H3179" s="7" t="n">
        <v>10.74</v>
      </c>
      <c r="I3179" s="7" t="n">
        <v>0</v>
      </c>
      <c r="J3179" s="7" t="n">
        <v>0</v>
      </c>
      <c r="K3179" s="9" t="n">
        <v>0</v>
      </c>
      <c r="L3179" s="10" t="n">
        <v>6.37</v>
      </c>
      <c r="M3179" s="10" t="n">
        <v>1.43</v>
      </c>
      <c r="N3179" t="inlineStr">
        <is>
          <t>1</t>
        </is>
      </c>
      <c r="O3179" t="inlineStr">
        <is>
          <t>16</t>
        </is>
      </c>
      <c r="P3179" t="inlineStr">
        <is>
          <t xml:space="preserve">243970  </t>
        </is>
      </c>
      <c r="Q3179" s="26" t="n">
        <v>17.9</v>
      </c>
      <c r="R3179" s="26">
        <f>Q3179*G3179</f>
        <v/>
      </c>
      <c r="S3179" t="n">
        <v>10.62</v>
      </c>
      <c r="T3179" s="18">
        <f>1 - V3179/S3179</f>
        <v/>
      </c>
      <c r="U3179" s="18" t="n">
        <v>0.3999999999999999</v>
      </c>
      <c r="V3179" s="26" t="n">
        <v>7.281355932203391</v>
      </c>
      <c r="W3179" s="26">
        <f>V3179 - L3179</f>
        <v/>
      </c>
    </row>
    <row r="3180">
      <c r="A3180" s="11" t="n">
        <v>46234</v>
      </c>
      <c r="B3180" s="1" t="n">
        <v>20047</v>
      </c>
      <c r="C3180" s="1" t="inlineStr">
        <is>
          <t>012</t>
        </is>
      </c>
      <c r="D3180" s="1" t="inlineStr">
        <is>
          <t>335105</t>
        </is>
      </c>
      <c r="E3180" s="1" t="inlineStr">
        <is>
          <t xml:space="preserve">28194770       </t>
        </is>
      </c>
      <c r="F3180" s="5" t="inlineStr">
        <is>
          <t>AUTOS DE METAL 3 TEAMSTERZ EN BLISTER</t>
        </is>
      </c>
      <c r="G3180" t="n">
        <v>1</v>
      </c>
      <c r="H3180" s="7" t="n">
        <v>6.9</v>
      </c>
      <c r="I3180" s="7" t="n">
        <v>0</v>
      </c>
      <c r="J3180" s="7" t="n">
        <v>0</v>
      </c>
      <c r="K3180" s="9" t="n">
        <v>0</v>
      </c>
      <c r="L3180" s="10" t="n">
        <v>4.1</v>
      </c>
      <c r="M3180" s="10" t="n">
        <v>1.43</v>
      </c>
      <c r="N3180" t="inlineStr">
        <is>
          <t>1</t>
        </is>
      </c>
      <c r="O3180" t="inlineStr">
        <is>
          <t xml:space="preserve">2 </t>
        </is>
      </c>
      <c r="P3180" t="inlineStr">
        <is>
          <t xml:space="preserve">245862  </t>
        </is>
      </c>
      <c r="Q3180" s="26" t="n">
        <v>6.9</v>
      </c>
      <c r="R3180" s="26">
        <f>Q3180*G3180</f>
        <v/>
      </c>
      <c r="S3180" t="n">
        <v>4.09</v>
      </c>
      <c r="T3180" s="18">
        <f>1 - V3180/S3180</f>
        <v/>
      </c>
      <c r="U3180" s="18" t="n">
        <v>0</v>
      </c>
      <c r="V3180" s="26" t="n">
        <v>4.09</v>
      </c>
      <c r="W3180" s="26">
        <f>V3180 - L3180</f>
        <v/>
      </c>
    </row>
    <row r="3181">
      <c r="A3181" s="11" t="n">
        <v>46234</v>
      </c>
      <c r="B3181" s="1" t="n">
        <v>20047</v>
      </c>
      <c r="C3181" s="1" t="inlineStr">
        <is>
          <t>012</t>
        </is>
      </c>
      <c r="D3181" s="1" t="inlineStr">
        <is>
          <t>335105</t>
        </is>
      </c>
      <c r="E3181" s="1" t="inlineStr">
        <is>
          <t xml:space="preserve">28194770       </t>
        </is>
      </c>
      <c r="F3181" s="5" t="inlineStr">
        <is>
          <t>AUTOS DE METAL 3 TEAMSTERZ EN BLISTER</t>
        </is>
      </c>
      <c r="G3181" t="n">
        <v>1</v>
      </c>
      <c r="H3181" s="7" t="n">
        <v>6.9</v>
      </c>
      <c r="I3181" s="7" t="n">
        <v>0</v>
      </c>
      <c r="J3181" s="7" t="n">
        <v>0</v>
      </c>
      <c r="K3181" s="9" t="n">
        <v>0</v>
      </c>
      <c r="L3181" s="10" t="n">
        <v>4.1</v>
      </c>
      <c r="M3181" s="10" t="n">
        <v>1.43</v>
      </c>
      <c r="N3181" t="inlineStr">
        <is>
          <t>1</t>
        </is>
      </c>
      <c r="O3181" t="inlineStr">
        <is>
          <t xml:space="preserve">2 </t>
        </is>
      </c>
      <c r="P3181" t="inlineStr">
        <is>
          <t xml:space="preserve">245862  </t>
        </is>
      </c>
      <c r="Q3181" s="26" t="n">
        <v>6.9</v>
      </c>
      <c r="R3181" s="26">
        <f>Q3181*G3181</f>
        <v/>
      </c>
      <c r="S3181" t="n">
        <v>4.09</v>
      </c>
      <c r="T3181" s="18">
        <f>1 - V3181/S3181</f>
        <v/>
      </c>
      <c r="U3181" s="18" t="n">
        <v>0</v>
      </c>
      <c r="V3181" s="26" t="n">
        <v>4.09</v>
      </c>
      <c r="W3181" s="26">
        <f>V3181 - L3181</f>
        <v/>
      </c>
    </row>
    <row r="3182">
      <c r="A3182" s="11" t="n">
        <v>46234</v>
      </c>
      <c r="B3182" s="1" t="n">
        <v>20047</v>
      </c>
      <c r="C3182" s="1" t="inlineStr">
        <is>
          <t>012</t>
        </is>
      </c>
      <c r="D3182" s="1" t="inlineStr">
        <is>
          <t>335105</t>
        </is>
      </c>
      <c r="E3182" s="1" t="inlineStr">
        <is>
          <t xml:space="preserve">28194770       </t>
        </is>
      </c>
      <c r="F3182" s="5" t="inlineStr">
        <is>
          <t>AUTOS DE METAL 3 TEAMSTERZ EN BLISTER</t>
        </is>
      </c>
      <c r="G3182" t="n">
        <v>1</v>
      </c>
      <c r="H3182" s="7" t="n">
        <v>6.9</v>
      </c>
      <c r="I3182" s="7" t="n">
        <v>0</v>
      </c>
      <c r="J3182" s="7" t="n">
        <v>0</v>
      </c>
      <c r="K3182" s="9" t="n">
        <v>0</v>
      </c>
      <c r="L3182" s="10" t="n">
        <v>4.1</v>
      </c>
      <c r="M3182" s="10" t="n">
        <v>1.43</v>
      </c>
      <c r="N3182" t="inlineStr">
        <is>
          <t>1</t>
        </is>
      </c>
      <c r="O3182" t="inlineStr">
        <is>
          <t xml:space="preserve">2 </t>
        </is>
      </c>
      <c r="P3182" t="inlineStr">
        <is>
          <t xml:space="preserve">245862  </t>
        </is>
      </c>
      <c r="Q3182" s="26" t="n">
        <v>6.9</v>
      </c>
      <c r="R3182" s="26">
        <f>Q3182*G3182</f>
        <v/>
      </c>
      <c r="S3182" t="n">
        <v>4.09</v>
      </c>
      <c r="T3182" s="18">
        <f>1 - V3182/S3182</f>
        <v/>
      </c>
      <c r="U3182" s="18" t="n">
        <v>0</v>
      </c>
      <c r="V3182" s="26" t="n">
        <v>4.09</v>
      </c>
      <c r="W3182" s="26">
        <f>V3182 - L3182</f>
        <v/>
      </c>
    </row>
    <row r="3183">
      <c r="A3183" s="11" t="n">
        <v>46234</v>
      </c>
      <c r="B3183" s="1" t="n">
        <v>20047</v>
      </c>
      <c r="C3183" s="1" t="inlineStr">
        <is>
          <t>504</t>
        </is>
      </c>
      <c r="D3183" s="1" t="inlineStr">
        <is>
          <t xml:space="preserve">3191  </t>
        </is>
      </c>
      <c r="E3183" s="1" t="inlineStr">
        <is>
          <t xml:space="preserve">34840553       </t>
        </is>
      </c>
      <c r="F3183" s="5" t="inlineStr">
        <is>
          <t>TMZ AUTO LUZ Y SONIDO ESQUELET DINO T-REX</t>
        </is>
      </c>
      <c r="G3183" t="n">
        <v>1</v>
      </c>
      <c r="H3183" s="7" t="n">
        <v>79.90000000000001</v>
      </c>
      <c r="I3183" s="7" t="n">
        <v>0</v>
      </c>
      <c r="J3183" s="7" t="n">
        <v>0</v>
      </c>
      <c r="K3183" s="9" t="n">
        <v>0</v>
      </c>
      <c r="L3183" s="10" t="n">
        <v>47.4</v>
      </c>
      <c r="M3183" s="10" t="n">
        <v>1.43</v>
      </c>
      <c r="N3183" t="inlineStr">
        <is>
          <t>1</t>
        </is>
      </c>
      <c r="O3183" t="inlineStr">
        <is>
          <t>16</t>
        </is>
      </c>
      <c r="P3183" t="inlineStr">
        <is>
          <t xml:space="preserve">251614  </t>
        </is>
      </c>
      <c r="Q3183" s="26" t="n">
        <v>79.90000000000002</v>
      </c>
      <c r="R3183" s="26">
        <f>Q3183*G3183</f>
        <v/>
      </c>
      <c r="S3183" t="n">
        <v>47.4</v>
      </c>
      <c r="T3183" s="18">
        <f>1 - V3183/S3183</f>
        <v/>
      </c>
      <c r="U3183" s="18" t="n">
        <v>0</v>
      </c>
      <c r="V3183" s="26" t="n">
        <v>47.4</v>
      </c>
      <c r="W3183" s="26">
        <f>V3183 - L3183</f>
        <v/>
      </c>
    </row>
    <row r="3184">
      <c r="A3184" s="11" t="n">
        <v>46234</v>
      </c>
      <c r="B3184" s="1" t="n">
        <v>20047</v>
      </c>
      <c r="C3184" s="1" t="inlineStr">
        <is>
          <t>601</t>
        </is>
      </c>
      <c r="D3184" s="1" t="inlineStr">
        <is>
          <t xml:space="preserve">1493  </t>
        </is>
      </c>
      <c r="E3184" s="1" t="inlineStr">
        <is>
          <t xml:space="preserve">28194770       </t>
        </is>
      </c>
      <c r="F3184" s="5" t="inlineStr">
        <is>
          <t>AUTOS DE METAL 3 TEAMSTERZ EN BLISTER</t>
        </is>
      </c>
      <c r="G3184" t="n">
        <v>1</v>
      </c>
      <c r="H3184" s="7" t="n">
        <v>6.9</v>
      </c>
      <c r="I3184" s="7" t="n">
        <v>0</v>
      </c>
      <c r="J3184" s="7" t="n">
        <v>0</v>
      </c>
      <c r="K3184" s="9" t="n">
        <v>0</v>
      </c>
      <c r="L3184" s="10" t="n">
        <v>4.1</v>
      </c>
      <c r="M3184" s="10" t="n">
        <v>1.43</v>
      </c>
      <c r="N3184" t="inlineStr">
        <is>
          <t>1</t>
        </is>
      </c>
      <c r="O3184" t="inlineStr">
        <is>
          <t>16</t>
        </is>
      </c>
      <c r="P3184" t="inlineStr">
        <is>
          <t xml:space="preserve">249995  </t>
        </is>
      </c>
      <c r="Q3184" s="26" t="n">
        <v>6.9</v>
      </c>
      <c r="R3184" s="26">
        <f>Q3184*G3184</f>
        <v/>
      </c>
      <c r="S3184" t="n">
        <v>4.09</v>
      </c>
      <c r="T3184" s="18">
        <f>1 - V3184/S3184</f>
        <v/>
      </c>
      <c r="U3184" s="18" t="n">
        <v>0</v>
      </c>
      <c r="V3184" s="26" t="n">
        <v>4.09</v>
      </c>
      <c r="W3184" s="26">
        <f>V3184 - L3184</f>
        <v/>
      </c>
    </row>
    <row r="3185">
      <c r="A3185" s="11" t="n">
        <v>46234</v>
      </c>
      <c r="B3185" s="1" t="n">
        <v>20048</v>
      </c>
      <c r="C3185" s="1" t="inlineStr">
        <is>
          <t>013</t>
        </is>
      </c>
      <c r="D3185" s="1" t="inlineStr">
        <is>
          <t>227451</t>
        </is>
      </c>
      <c r="E3185" s="1" t="inlineStr">
        <is>
          <t xml:space="preserve">31754677       </t>
        </is>
      </c>
      <c r="F3185" s="5" t="inlineStr">
        <is>
          <t>INFINITY NADO SERIE 6 SET DE BATALL</t>
        </is>
      </c>
      <c r="G3185" t="n">
        <v>1</v>
      </c>
      <c r="H3185" s="7" t="n">
        <v>149</v>
      </c>
      <c r="I3185" s="7" t="n">
        <v>0</v>
      </c>
      <c r="J3185" s="7" t="n">
        <v>0</v>
      </c>
      <c r="K3185" s="9" t="n">
        <v>0</v>
      </c>
      <c r="L3185" s="10" t="n">
        <v>88.39</v>
      </c>
      <c r="M3185" s="10" t="n">
        <v>1.43</v>
      </c>
      <c r="N3185" t="inlineStr">
        <is>
          <t>1</t>
        </is>
      </c>
      <c r="O3185" t="inlineStr">
        <is>
          <t xml:space="preserve">3 </t>
        </is>
      </c>
      <c r="P3185" t="inlineStr">
        <is>
          <t xml:space="preserve">241949  </t>
        </is>
      </c>
      <c r="Q3185" s="26" t="n">
        <v>189</v>
      </c>
      <c r="R3185" s="26">
        <f>Q3185*G3185</f>
        <v/>
      </c>
      <c r="S3185" t="n">
        <v>112.12</v>
      </c>
      <c r="T3185" s="18">
        <f>1 - V3185/S3185</f>
        <v/>
      </c>
      <c r="U3185" s="18" t="n">
        <v>0.2116402116402116</v>
      </c>
      <c r="V3185" s="26" t="n">
        <v>94.70338983050848</v>
      </c>
      <c r="W3185" s="26">
        <f>V3185 - L3185</f>
        <v/>
      </c>
    </row>
    <row r="3186">
      <c r="A3186" s="11" t="n">
        <v>46234</v>
      </c>
      <c r="B3186" s="1" t="n">
        <v>20048</v>
      </c>
      <c r="C3186" s="1" t="inlineStr">
        <is>
          <t>017</t>
        </is>
      </c>
      <c r="D3186" s="1" t="inlineStr">
        <is>
          <t>168196</t>
        </is>
      </c>
      <c r="E3186" s="1" t="inlineStr">
        <is>
          <t xml:space="preserve">28194770       </t>
        </is>
      </c>
      <c r="F3186" s="5" t="inlineStr">
        <is>
          <t>AUTOS DE METAL 3 TEAMSTERZ EN BLISTER</t>
        </is>
      </c>
      <c r="G3186" t="n">
        <v>1</v>
      </c>
      <c r="H3186" s="7" t="n">
        <v>6.9</v>
      </c>
      <c r="I3186" s="7" t="n">
        <v>0</v>
      </c>
      <c r="J3186" s="7" t="n">
        <v>0</v>
      </c>
      <c r="K3186" s="9" t="n">
        <v>0</v>
      </c>
      <c r="L3186" s="10" t="n">
        <v>4.1</v>
      </c>
      <c r="M3186" s="10" t="n">
        <v>1.43</v>
      </c>
      <c r="N3186" t="inlineStr">
        <is>
          <t>1</t>
        </is>
      </c>
      <c r="O3186" t="inlineStr">
        <is>
          <t>16</t>
        </is>
      </c>
      <c r="P3186" t="inlineStr">
        <is>
          <t xml:space="preserve">250434  </t>
        </is>
      </c>
      <c r="Q3186" s="26" t="n">
        <v>6.9</v>
      </c>
      <c r="R3186" s="26">
        <f>Q3186*G3186</f>
        <v/>
      </c>
      <c r="S3186" t="n">
        <v>4.09</v>
      </c>
      <c r="T3186" s="18">
        <f>1 - V3186/S3186</f>
        <v/>
      </c>
      <c r="U3186" s="18" t="n">
        <v>0</v>
      </c>
      <c r="V3186" s="26" t="n">
        <v>4.09</v>
      </c>
      <c r="W3186" s="26">
        <f>V3186 - L3186</f>
        <v/>
      </c>
    </row>
    <row r="3187">
      <c r="A3187" s="11" t="n">
        <v>46234</v>
      </c>
      <c r="B3187" s="1" t="n">
        <v>20048</v>
      </c>
      <c r="C3187" s="1" t="inlineStr">
        <is>
          <t>191</t>
        </is>
      </c>
      <c r="D3187" s="1" t="inlineStr">
        <is>
          <t>167251</t>
        </is>
      </c>
      <c r="E3187" s="1" t="inlineStr">
        <is>
          <t xml:space="preserve">28194769       </t>
        </is>
      </c>
      <c r="F3187" s="5" t="inlineStr">
        <is>
          <t>AUTOS DE METAL 3 TEAMSTERZ PACK DE 2</t>
        </is>
      </c>
      <c r="G3187" t="n">
        <v>1</v>
      </c>
      <c r="H3187" s="7" t="n">
        <v>13.8</v>
      </c>
      <c r="I3187" s="7" t="n">
        <v>0</v>
      </c>
      <c r="J3187" s="7" t="n">
        <v>0</v>
      </c>
      <c r="K3187" s="9" t="n">
        <v>0</v>
      </c>
      <c r="L3187" s="10" t="n">
        <v>8.18</v>
      </c>
      <c r="M3187" s="10" t="n">
        <v>1.43</v>
      </c>
      <c r="N3187" t="inlineStr">
        <is>
          <t>1</t>
        </is>
      </c>
      <c r="O3187" t="inlineStr">
        <is>
          <t xml:space="preserve">6 </t>
        </is>
      </c>
      <c r="P3187" t="inlineStr">
        <is>
          <t xml:space="preserve">95077   </t>
        </is>
      </c>
      <c r="Q3187" s="26" t="n">
        <v>13.8</v>
      </c>
      <c r="R3187" s="26">
        <f>Q3187*G3187</f>
        <v/>
      </c>
      <c r="S3187" t="n">
        <v>8.19</v>
      </c>
      <c r="T3187" s="18">
        <f>1 - V3187/S3187</f>
        <v/>
      </c>
      <c r="U3187" s="18" t="n">
        <v>0</v>
      </c>
      <c r="V3187" s="26" t="n">
        <v>8.19</v>
      </c>
      <c r="W3187" s="26">
        <f>V3187 - L3187</f>
        <v/>
      </c>
    </row>
    <row r="3188">
      <c r="A3188" s="11" t="n">
        <v>46234</v>
      </c>
      <c r="B3188" s="1" t="n">
        <v>20049</v>
      </c>
      <c r="C3188" s="1" t="inlineStr">
        <is>
          <t>013</t>
        </is>
      </c>
      <c r="D3188" s="1" t="inlineStr">
        <is>
          <t>238306</t>
        </is>
      </c>
      <c r="E3188" s="1" t="inlineStr">
        <is>
          <t xml:space="preserve">28194769       </t>
        </is>
      </c>
      <c r="F3188" s="5" t="inlineStr">
        <is>
          <t>AUTOS DE METAL 3 TEAMSTERZ PACK DE 2</t>
        </is>
      </c>
      <c r="G3188" t="n">
        <v>1</v>
      </c>
      <c r="H3188" s="7" t="n">
        <v>13.8</v>
      </c>
      <c r="I3188" s="7" t="n">
        <v>0</v>
      </c>
      <c r="J3188" s="7" t="n">
        <v>0</v>
      </c>
      <c r="K3188" s="9" t="n">
        <v>0</v>
      </c>
      <c r="L3188" s="10" t="n">
        <v>8.18</v>
      </c>
      <c r="M3188" s="10" t="n">
        <v>1.43</v>
      </c>
      <c r="N3188" t="inlineStr">
        <is>
          <t>1</t>
        </is>
      </c>
      <c r="O3188" t="inlineStr">
        <is>
          <t xml:space="preserve">3 </t>
        </is>
      </c>
      <c r="P3188" t="inlineStr">
        <is>
          <t xml:space="preserve">248535  </t>
        </is>
      </c>
      <c r="Q3188" s="26" t="n">
        <v>13.8</v>
      </c>
      <c r="R3188" s="26">
        <f>Q3188*G3188</f>
        <v/>
      </c>
      <c r="S3188" t="n">
        <v>8.19</v>
      </c>
      <c r="T3188" s="18">
        <f>1 - V3188/S3188</f>
        <v/>
      </c>
      <c r="U3188" s="18" t="n">
        <v>0</v>
      </c>
      <c r="V3188" s="26" t="n">
        <v>8.19</v>
      </c>
      <c r="W3188" s="26">
        <f>V3188 - L3188</f>
        <v/>
      </c>
    </row>
    <row r="3189">
      <c r="A3189" s="11" t="n">
        <v>46234</v>
      </c>
      <c r="B3189" s="1" t="n">
        <v>20049</v>
      </c>
      <c r="C3189" s="1" t="inlineStr">
        <is>
          <t>013</t>
        </is>
      </c>
      <c r="D3189" s="1" t="inlineStr">
        <is>
          <t>238306</t>
        </is>
      </c>
      <c r="E3189" s="1" t="inlineStr">
        <is>
          <t xml:space="preserve">29235700       </t>
        </is>
      </c>
      <c r="F3189" s="5" t="inlineStr">
        <is>
          <t>HOT WHEELS CASE METALICO PARA GUARDAR 18 CARRITOS</t>
        </is>
      </c>
      <c r="G3189" t="n">
        <v>1</v>
      </c>
      <c r="H3189" s="7" t="n">
        <v>49.9</v>
      </c>
      <c r="I3189" s="7" t="n">
        <v>0</v>
      </c>
      <c r="J3189" s="7" t="n">
        <v>0</v>
      </c>
      <c r="K3189" s="9" t="n">
        <v>0</v>
      </c>
      <c r="L3189" s="10" t="n">
        <v>29.6</v>
      </c>
      <c r="M3189" s="10" t="n">
        <v>1.43</v>
      </c>
      <c r="N3189" t="inlineStr">
        <is>
          <t>1</t>
        </is>
      </c>
      <c r="O3189" t="inlineStr">
        <is>
          <t xml:space="preserve">3 </t>
        </is>
      </c>
      <c r="P3189" t="inlineStr">
        <is>
          <t xml:space="preserve">248535  </t>
        </is>
      </c>
      <c r="Q3189" s="26" t="n">
        <v>49.90000000000001</v>
      </c>
      <c r="R3189" s="26">
        <f>Q3189*G3189</f>
        <v/>
      </c>
      <c r="S3189" t="n">
        <v>29.6</v>
      </c>
      <c r="T3189" s="18">
        <f>1 - V3189/S3189</f>
        <v/>
      </c>
      <c r="U3189" s="18" t="n">
        <v>0</v>
      </c>
      <c r="V3189" s="26" t="n">
        <v>29.6</v>
      </c>
      <c r="W3189" s="26">
        <f>V3189 - L3189</f>
        <v/>
      </c>
    </row>
    <row r="3190">
      <c r="A3190" s="11" t="n">
        <v>46234</v>
      </c>
      <c r="B3190" s="1" t="n">
        <v>20049</v>
      </c>
      <c r="C3190" s="1" t="inlineStr">
        <is>
          <t>025</t>
        </is>
      </c>
      <c r="D3190" s="1" t="inlineStr">
        <is>
          <t xml:space="preserve">567   </t>
        </is>
      </c>
      <c r="E3190" s="1" t="inlineStr">
        <is>
          <t xml:space="preserve">29235712       </t>
        </is>
      </c>
      <c r="F3190" s="5" t="inlineStr">
        <is>
          <t>TEAMSTERZ DISPARADOR DINOSAURIO INCL. 1 AUTO</t>
        </is>
      </c>
      <c r="G3190" t="n">
        <v>1</v>
      </c>
      <c r="H3190" s="7" t="n">
        <v>12.9</v>
      </c>
      <c r="I3190" s="7" t="n">
        <v>0</v>
      </c>
      <c r="J3190" s="7" t="n">
        <v>0</v>
      </c>
      <c r="K3190" s="9" t="n">
        <v>0</v>
      </c>
      <c r="L3190" s="10" t="n">
        <v>7.65</v>
      </c>
      <c r="M3190" s="10" t="n">
        <v>1.43</v>
      </c>
      <c r="N3190" t="inlineStr">
        <is>
          <t>1</t>
        </is>
      </c>
      <c r="O3190" t="inlineStr">
        <is>
          <t xml:space="preserve">3 </t>
        </is>
      </c>
      <c r="P3190" t="inlineStr">
        <is>
          <t xml:space="preserve">48754   </t>
        </is>
      </c>
      <c r="Q3190" s="26" t="n">
        <v>29.9</v>
      </c>
      <c r="R3190" s="26">
        <f>Q3190*G3190</f>
        <v/>
      </c>
      <c r="S3190" t="n">
        <v>17.74</v>
      </c>
      <c r="T3190" s="18">
        <f>1 - V3190/S3190</f>
        <v/>
      </c>
      <c r="U3190" s="18" t="n">
        <v>0.568561872909699</v>
      </c>
      <c r="V3190" s="26" t="n">
        <v>9.29271186440678</v>
      </c>
      <c r="W3190" s="26">
        <f>V3190 - L3190</f>
        <v/>
      </c>
    </row>
    <row r="3191">
      <c r="A3191" s="11" t="n">
        <v>46234</v>
      </c>
      <c r="B3191" s="1" t="n">
        <v>20049</v>
      </c>
      <c r="C3191" s="1" t="inlineStr">
        <is>
          <t>512</t>
        </is>
      </c>
      <c r="D3191" s="1" t="inlineStr">
        <is>
          <t xml:space="preserve">3189  </t>
        </is>
      </c>
      <c r="E3191" s="1" t="inlineStr">
        <is>
          <t xml:space="preserve">28194780       </t>
        </is>
      </c>
      <c r="F3191" s="5" t="inlineStr">
        <is>
          <t>TROMPO BATALLA INFINITY NADO PLSTICO SURTIDO</t>
        </is>
      </c>
      <c r="G3191" t="n">
        <v>1</v>
      </c>
      <c r="H3191" s="7" t="n">
        <v>19.9</v>
      </c>
      <c r="I3191" s="7" t="n">
        <v>0</v>
      </c>
      <c r="J3191" s="7" t="n">
        <v>0</v>
      </c>
      <c r="K3191" s="9" t="n">
        <v>0</v>
      </c>
      <c r="L3191" s="10" t="n">
        <v>11.8</v>
      </c>
      <c r="M3191" s="10" t="n">
        <v>1.43</v>
      </c>
      <c r="N3191" t="inlineStr">
        <is>
          <t>1</t>
        </is>
      </c>
      <c r="O3191" t="inlineStr">
        <is>
          <t>16</t>
        </is>
      </c>
      <c r="P3191" t="inlineStr">
        <is>
          <t xml:space="preserve">247905  </t>
        </is>
      </c>
      <c r="Q3191" s="26" t="n">
        <v>19.9</v>
      </c>
      <c r="R3191" s="26">
        <f>Q3191*G3191</f>
        <v/>
      </c>
      <c r="S3191" t="n">
        <v>11.81</v>
      </c>
      <c r="T3191" s="18">
        <f>1 - V3191/S3191</f>
        <v/>
      </c>
      <c r="U3191" s="18" t="n">
        <v>0</v>
      </c>
      <c r="V3191" s="26" t="n">
        <v>11.81</v>
      </c>
      <c r="W3191" s="26">
        <f>V3191 - L3191</f>
        <v/>
      </c>
    </row>
    <row r="3192">
      <c r="A3192" s="11" t="n">
        <v>46234</v>
      </c>
      <c r="B3192" s="1" t="n">
        <v>20056</v>
      </c>
      <c r="C3192" s="1" t="inlineStr">
        <is>
          <t>010</t>
        </is>
      </c>
      <c r="D3192" s="1" t="inlineStr">
        <is>
          <t xml:space="preserve">44110 </t>
        </is>
      </c>
      <c r="E3192" s="1" t="inlineStr">
        <is>
          <t xml:space="preserve">28194769       </t>
        </is>
      </c>
      <c r="F3192" s="5" t="inlineStr">
        <is>
          <t>AUTOS DE METAL 3 TEAMSTERZ PACK DE 2</t>
        </is>
      </c>
      <c r="G3192" t="n">
        <v>1</v>
      </c>
      <c r="H3192" s="7" t="n">
        <v>13.8</v>
      </c>
      <c r="I3192" s="7" t="n">
        <v>0</v>
      </c>
      <c r="J3192" s="7" t="n">
        <v>0</v>
      </c>
      <c r="K3192" s="9" t="n">
        <v>0</v>
      </c>
      <c r="L3192" s="10" t="n">
        <v>8.18</v>
      </c>
      <c r="M3192" s="10" t="n">
        <v>1.43</v>
      </c>
      <c r="N3192" t="inlineStr">
        <is>
          <t>1</t>
        </is>
      </c>
      <c r="O3192" t="inlineStr">
        <is>
          <t>16</t>
        </is>
      </c>
      <c r="P3192" t="inlineStr">
        <is>
          <t xml:space="preserve">246533  </t>
        </is>
      </c>
      <c r="Q3192" s="26" t="n">
        <v>13.8</v>
      </c>
      <c r="R3192" s="26">
        <f>Q3192*G3192</f>
        <v/>
      </c>
      <c r="S3192" t="n">
        <v>8.19</v>
      </c>
      <c r="T3192" s="18">
        <f>1 - V3192/S3192</f>
        <v/>
      </c>
      <c r="U3192" s="18" t="n">
        <v>0</v>
      </c>
      <c r="V3192" s="26" t="n">
        <v>8.19</v>
      </c>
      <c r="W3192" s="26">
        <f>V3192 - L3192</f>
        <v/>
      </c>
    </row>
    <row r="3193">
      <c r="A3193" s="11" t="n">
        <v>46234</v>
      </c>
      <c r="B3193" s="1" t="n">
        <v>20056</v>
      </c>
      <c r="C3193" s="1" t="inlineStr">
        <is>
          <t>021</t>
        </is>
      </c>
      <c r="D3193" s="1" t="inlineStr">
        <is>
          <t xml:space="preserve">53327 </t>
        </is>
      </c>
      <c r="E3193" s="1" t="inlineStr">
        <is>
          <t xml:space="preserve">31800858       </t>
        </is>
      </c>
      <c r="F3193" s="5" t="inlineStr">
        <is>
          <t>DART ZONE BLITZFIRE TIRO RAPIDO BLASTER X2</t>
        </is>
      </c>
      <c r="G3193" t="n">
        <v>1</v>
      </c>
      <c r="H3193" s="7" t="n">
        <v>29.95</v>
      </c>
      <c r="I3193" s="7" t="n">
        <v>0</v>
      </c>
      <c r="J3193" s="7" t="n">
        <v>0</v>
      </c>
      <c r="K3193" s="9" t="n">
        <v>0</v>
      </c>
      <c r="L3193" s="10" t="n">
        <v>17.77</v>
      </c>
      <c r="M3193" s="10" t="n">
        <v>1.43</v>
      </c>
      <c r="N3193" t="inlineStr">
        <is>
          <t>1</t>
        </is>
      </c>
      <c r="O3193" t="inlineStr">
        <is>
          <t>16</t>
        </is>
      </c>
      <c r="P3193" t="inlineStr">
        <is>
          <t xml:space="preserve">247194  </t>
        </is>
      </c>
      <c r="Q3193" s="26" t="n">
        <v>59.9</v>
      </c>
      <c r="R3193" s="26">
        <f>Q3193*G3193</f>
        <v/>
      </c>
      <c r="S3193" t="n">
        <v>35.53</v>
      </c>
      <c r="T3193" s="18">
        <f>1 - V3193/S3193</f>
        <v/>
      </c>
      <c r="U3193" s="18" t="n">
        <v>0.5</v>
      </c>
      <c r="V3193" s="26" t="n">
        <v>22.83610169491525</v>
      </c>
      <c r="W3193" s="26">
        <f>V3193 - L3193</f>
        <v/>
      </c>
    </row>
    <row r="3194">
      <c r="A3194" s="11" t="n">
        <v>46234</v>
      </c>
      <c r="B3194" s="1" t="n">
        <v>20056</v>
      </c>
      <c r="C3194" s="1" t="inlineStr">
        <is>
          <t>022</t>
        </is>
      </c>
      <c r="D3194" s="1" t="inlineStr">
        <is>
          <t xml:space="preserve">55643 </t>
        </is>
      </c>
      <c r="E3194" s="1" t="inlineStr">
        <is>
          <t xml:space="preserve">28194769       </t>
        </is>
      </c>
      <c r="F3194" s="5" t="inlineStr">
        <is>
          <t>AUTOS DE METAL 3 TEAMSTERZ PACK DE 2</t>
        </is>
      </c>
      <c r="G3194" t="n">
        <v>1</v>
      </c>
      <c r="H3194" s="7" t="n">
        <v>13.8</v>
      </c>
      <c r="I3194" s="7" t="n">
        <v>0</v>
      </c>
      <c r="J3194" s="7" t="n">
        <v>0</v>
      </c>
      <c r="K3194" s="9" t="n">
        <v>0</v>
      </c>
      <c r="L3194" s="10" t="n">
        <v>8.18</v>
      </c>
      <c r="M3194" s="10" t="n">
        <v>1.43</v>
      </c>
      <c r="N3194" t="inlineStr">
        <is>
          <t>1</t>
        </is>
      </c>
      <c r="O3194" t="inlineStr">
        <is>
          <t xml:space="preserve">2 </t>
        </is>
      </c>
      <c r="P3194" t="inlineStr">
        <is>
          <t xml:space="preserve">244178  </t>
        </is>
      </c>
      <c r="Q3194" s="26" t="n">
        <v>13.8</v>
      </c>
      <c r="R3194" s="26">
        <f>Q3194*G3194</f>
        <v/>
      </c>
      <c r="S3194" t="n">
        <v>8.19</v>
      </c>
      <c r="T3194" s="18">
        <f>1 - V3194/S3194</f>
        <v/>
      </c>
      <c r="U3194" s="18" t="n">
        <v>0</v>
      </c>
      <c r="V3194" s="26" t="n">
        <v>8.19</v>
      </c>
      <c r="W3194" s="26">
        <f>V3194 - L3194</f>
        <v/>
      </c>
    </row>
    <row r="3195">
      <c r="A3195" s="11" t="n">
        <v>46234</v>
      </c>
      <c r="B3195" s="1" t="n">
        <v>20058</v>
      </c>
      <c r="C3195" s="1" t="inlineStr">
        <is>
          <t>038</t>
        </is>
      </c>
      <c r="D3195" s="1" t="inlineStr">
        <is>
          <t>211139</t>
        </is>
      </c>
      <c r="E3195" s="1" t="inlineStr">
        <is>
          <t xml:space="preserve">28194769       </t>
        </is>
      </c>
      <c r="F3195" s="5" t="inlineStr">
        <is>
          <t>AUTOS DE METAL 3 TEAMSTERZ PACK DE 2</t>
        </is>
      </c>
      <c r="G3195" t="n">
        <v>1</v>
      </c>
      <c r="H3195" s="7" t="n">
        <v>13.8</v>
      </c>
      <c r="I3195" s="7" t="n">
        <v>0</v>
      </c>
      <c r="J3195" s="7" t="n">
        <v>0</v>
      </c>
      <c r="K3195" s="9" t="n">
        <v>0</v>
      </c>
      <c r="L3195" s="10" t="n">
        <v>8.18</v>
      </c>
      <c r="M3195" s="10" t="n">
        <v>1.43</v>
      </c>
      <c r="N3195" t="inlineStr">
        <is>
          <t>1</t>
        </is>
      </c>
      <c r="O3195" t="inlineStr">
        <is>
          <t xml:space="preserve">2 </t>
        </is>
      </c>
      <c r="P3195" t="inlineStr">
        <is>
          <t xml:space="preserve">97366   </t>
        </is>
      </c>
      <c r="Q3195" s="26" t="n">
        <v>13.8</v>
      </c>
      <c r="R3195" s="26">
        <f>Q3195*G3195</f>
        <v/>
      </c>
      <c r="S3195" t="n">
        <v>8.19</v>
      </c>
      <c r="T3195" s="18">
        <f>1 - V3195/S3195</f>
        <v/>
      </c>
      <c r="U3195" s="18" t="n">
        <v>0</v>
      </c>
      <c r="V3195" s="26" t="n">
        <v>8.19</v>
      </c>
      <c r="W3195" s="26">
        <f>V3195 - L3195</f>
        <v/>
      </c>
    </row>
    <row r="3196">
      <c r="A3196" s="11" t="n">
        <v>46234</v>
      </c>
      <c r="B3196" s="1" t="n">
        <v>20058</v>
      </c>
      <c r="C3196" s="1" t="inlineStr">
        <is>
          <t>038</t>
        </is>
      </c>
      <c r="D3196" s="1" t="inlineStr">
        <is>
          <t>211172</t>
        </is>
      </c>
      <c r="E3196" s="1" t="inlineStr">
        <is>
          <t xml:space="preserve">28194769       </t>
        </is>
      </c>
      <c r="F3196" s="5" t="inlineStr">
        <is>
          <t>AUTOS DE METAL 3 TEAMSTERZ PACK DE 2</t>
        </is>
      </c>
      <c r="G3196" t="n">
        <v>1</v>
      </c>
      <c r="H3196" s="7" t="n">
        <v>13.8</v>
      </c>
      <c r="I3196" s="7" t="n">
        <v>0</v>
      </c>
      <c r="J3196" s="7" t="n">
        <v>0</v>
      </c>
      <c r="K3196" s="9" t="n">
        <v>0</v>
      </c>
      <c r="L3196" s="10" t="n">
        <v>8.18</v>
      </c>
      <c r="M3196" s="10" t="n">
        <v>1.43</v>
      </c>
      <c r="N3196" t="inlineStr">
        <is>
          <t>1</t>
        </is>
      </c>
      <c r="O3196" t="inlineStr">
        <is>
          <t>16</t>
        </is>
      </c>
      <c r="P3196" t="inlineStr">
        <is>
          <t xml:space="preserve">97366   </t>
        </is>
      </c>
      <c r="Q3196" s="26" t="n">
        <v>13.8</v>
      </c>
      <c r="R3196" s="26">
        <f>Q3196*G3196</f>
        <v/>
      </c>
      <c r="S3196" t="n">
        <v>8.19</v>
      </c>
      <c r="T3196" s="18">
        <f>1 - V3196/S3196</f>
        <v/>
      </c>
      <c r="U3196" s="18" t="n">
        <v>0</v>
      </c>
      <c r="V3196" s="26" t="n">
        <v>8.19</v>
      </c>
      <c r="W3196" s="26">
        <f>V3196 - L3196</f>
        <v/>
      </c>
    </row>
    <row r="3197">
      <c r="A3197" s="11" t="n">
        <v>46234</v>
      </c>
      <c r="B3197" s="1" t="n">
        <v>20058</v>
      </c>
      <c r="C3197" s="1" t="inlineStr">
        <is>
          <t>038</t>
        </is>
      </c>
      <c r="D3197" s="1" t="inlineStr">
        <is>
          <t>211172</t>
        </is>
      </c>
      <c r="E3197" s="1" t="inlineStr">
        <is>
          <t xml:space="preserve">30141766       </t>
        </is>
      </c>
      <c r="F3197" s="5" t="inlineStr">
        <is>
          <t>TMZ BEAST MACHINES AUTOS DE METAL BLISTER X 1</t>
        </is>
      </c>
      <c r="G3197" t="n">
        <v>1</v>
      </c>
      <c r="H3197" s="7" t="n">
        <v>7.9</v>
      </c>
      <c r="I3197" s="7" t="n">
        <v>0</v>
      </c>
      <c r="J3197" s="7" t="n">
        <v>0</v>
      </c>
      <c r="K3197" s="9" t="n">
        <v>0</v>
      </c>
      <c r="L3197" s="10" t="n">
        <v>4.68</v>
      </c>
      <c r="M3197" s="10" t="n">
        <v>1.43</v>
      </c>
      <c r="N3197" t="inlineStr">
        <is>
          <t>1</t>
        </is>
      </c>
      <c r="O3197" t="inlineStr">
        <is>
          <t>16</t>
        </is>
      </c>
      <c r="P3197" t="inlineStr">
        <is>
          <t xml:space="preserve">97366   </t>
        </is>
      </c>
      <c r="Q3197" s="26" t="n">
        <v>7.9</v>
      </c>
      <c r="R3197" s="26">
        <f>Q3197*G3197</f>
        <v/>
      </c>
      <c r="S3197" t="n">
        <v>4.69</v>
      </c>
      <c r="T3197" s="18">
        <f>1 - V3197/S3197</f>
        <v/>
      </c>
      <c r="U3197" s="18" t="n">
        <v>0</v>
      </c>
      <c r="V3197" s="26" t="n">
        <v>4.69</v>
      </c>
      <c r="W3197" s="26">
        <f>V3197 - L3197</f>
        <v/>
      </c>
    </row>
    <row r="3198">
      <c r="A3198" s="11" t="n">
        <v>46234</v>
      </c>
      <c r="B3198" s="1" t="n">
        <v>20058</v>
      </c>
      <c r="C3198" s="1" t="inlineStr">
        <is>
          <t>038</t>
        </is>
      </c>
      <c r="D3198" s="1" t="inlineStr">
        <is>
          <t>211183</t>
        </is>
      </c>
      <c r="E3198" s="1" t="inlineStr">
        <is>
          <t xml:space="preserve">28194770       </t>
        </is>
      </c>
      <c r="F3198" s="5" t="inlineStr">
        <is>
          <t>AUTOS DE METAL 3 TEAMSTERZ EN BLISTER</t>
        </is>
      </c>
      <c r="G3198" t="n">
        <v>1</v>
      </c>
      <c r="H3198" s="7" t="n">
        <v>6.9</v>
      </c>
      <c r="I3198" s="7" t="n">
        <v>0</v>
      </c>
      <c r="J3198" s="7" t="n">
        <v>0</v>
      </c>
      <c r="K3198" s="9" t="n">
        <v>0</v>
      </c>
      <c r="L3198" s="10" t="n">
        <v>4.1</v>
      </c>
      <c r="M3198" s="10" t="n">
        <v>1.43</v>
      </c>
      <c r="N3198" t="inlineStr">
        <is>
          <t>1</t>
        </is>
      </c>
      <c r="O3198" t="inlineStr">
        <is>
          <t xml:space="preserve">2 </t>
        </is>
      </c>
      <c r="P3198" t="inlineStr">
        <is>
          <t xml:space="preserve">97366   </t>
        </is>
      </c>
      <c r="Q3198" s="26" t="n">
        <v>6.9</v>
      </c>
      <c r="R3198" s="26">
        <f>Q3198*G3198</f>
        <v/>
      </c>
      <c r="S3198" t="n">
        <v>4.09</v>
      </c>
      <c r="T3198" s="18">
        <f>1 - V3198/S3198</f>
        <v/>
      </c>
      <c r="U3198" s="18" t="n">
        <v>0</v>
      </c>
      <c r="V3198" s="26" t="n">
        <v>4.09</v>
      </c>
      <c r="W3198" s="26">
        <f>V3198 - L3198</f>
        <v/>
      </c>
    </row>
    <row r="3199">
      <c r="A3199" s="11" t="n">
        <v>46234</v>
      </c>
      <c r="B3199" s="1" t="n">
        <v>20060</v>
      </c>
      <c r="C3199" s="1" t="inlineStr">
        <is>
          <t>300</t>
        </is>
      </c>
      <c r="D3199" s="1" t="inlineStr">
        <is>
          <t xml:space="preserve">519   </t>
        </is>
      </c>
      <c r="E3199" s="1" t="inlineStr">
        <is>
          <t xml:space="preserve">31754677       </t>
        </is>
      </c>
      <c r="F3199" s="5" t="inlineStr">
        <is>
          <t>INFINITY NADO SERIE 6 SET DE BATALL</t>
        </is>
      </c>
      <c r="G3199" t="n">
        <v>2</v>
      </c>
      <c r="H3199" s="7" t="n">
        <v>378</v>
      </c>
      <c r="I3199" s="7" t="n">
        <v>0</v>
      </c>
      <c r="J3199" s="7" t="n">
        <v>0</v>
      </c>
      <c r="K3199" s="9" t="n">
        <v>0</v>
      </c>
      <c r="L3199" s="10" t="n">
        <v>224.24</v>
      </c>
      <c r="M3199" s="10" t="n">
        <v>1.43</v>
      </c>
      <c r="N3199" t="inlineStr">
        <is>
          <t>1</t>
        </is>
      </c>
      <c r="O3199" t="inlineStr">
        <is>
          <t>16</t>
        </is>
      </c>
      <c r="P3199" t="inlineStr">
        <is>
          <t>82807346</t>
        </is>
      </c>
      <c r="Q3199" s="26" t="n">
        <v>189</v>
      </c>
      <c r="R3199" s="26">
        <f>Q3199*G3199</f>
        <v/>
      </c>
      <c r="S3199" t="n">
        <v>224.24</v>
      </c>
      <c r="T3199" s="18">
        <f>1 - V3199/S3199</f>
        <v/>
      </c>
      <c r="U3199" s="18" t="n">
        <v>0.2116402116402116</v>
      </c>
      <c r="V3199" s="26" t="n">
        <v>189.406779661017</v>
      </c>
      <c r="W3199" s="26">
        <f>V3199 - L3199</f>
        <v/>
      </c>
    </row>
    <row r="3200">
      <c r="A3200" s="11" t="n">
        <v>46234</v>
      </c>
      <c r="B3200" s="1" t="n">
        <v>20062</v>
      </c>
      <c r="C3200" s="1" t="inlineStr">
        <is>
          <t>016</t>
        </is>
      </c>
      <c r="D3200" s="1" t="inlineStr">
        <is>
          <t xml:space="preserve">20388 </t>
        </is>
      </c>
      <c r="E3200" s="1" t="inlineStr">
        <is>
          <t xml:space="preserve">28194781       </t>
        </is>
      </c>
      <c r="F3200" s="5" t="inlineStr">
        <is>
          <t>TROMPO BATALLA INFINITY NADO SERIE V CLASICA SURTI</t>
        </is>
      </c>
      <c r="G3200" t="n">
        <v>1</v>
      </c>
      <c r="H3200" s="7" t="n">
        <v>39.9</v>
      </c>
      <c r="I3200" s="7" t="n">
        <v>0</v>
      </c>
      <c r="J3200" s="7" t="n">
        <v>0</v>
      </c>
      <c r="K3200" s="9" t="n">
        <v>0</v>
      </c>
      <c r="L3200" s="10" t="n">
        <v>23.67</v>
      </c>
      <c r="M3200" s="10" t="n">
        <v>1.43</v>
      </c>
      <c r="N3200" t="inlineStr">
        <is>
          <t>1</t>
        </is>
      </c>
      <c r="O3200" t="inlineStr">
        <is>
          <t>16</t>
        </is>
      </c>
      <c r="P3200" t="inlineStr">
        <is>
          <t xml:space="preserve">248790  </t>
        </is>
      </c>
      <c r="Q3200" s="26" t="n">
        <v>59.9</v>
      </c>
      <c r="R3200" s="26">
        <f>Q3200*G3200</f>
        <v/>
      </c>
      <c r="S3200" t="n">
        <v>35.53</v>
      </c>
      <c r="T3200" s="18">
        <f>1 - V3200/S3200</f>
        <v/>
      </c>
      <c r="U3200" s="18" t="n">
        <v>0.333889816360601</v>
      </c>
      <c r="V3200" s="26" t="n">
        <v>25.36016949152542</v>
      </c>
      <c r="W3200" s="26">
        <f>V3200 - L3200</f>
        <v/>
      </c>
    </row>
    <row r="3201">
      <c r="A3201" s="11" t="n">
        <v>46234</v>
      </c>
      <c r="B3201" s="1" t="n">
        <v>20062</v>
      </c>
      <c r="C3201" s="1" t="inlineStr">
        <is>
          <t>018</t>
        </is>
      </c>
      <c r="D3201" s="1" t="inlineStr">
        <is>
          <t xml:space="preserve">21321 </t>
        </is>
      </c>
      <c r="E3201" s="1" t="inlineStr">
        <is>
          <t xml:space="preserve">29235700       </t>
        </is>
      </c>
      <c r="F3201" s="5" t="inlineStr">
        <is>
          <t>HOT WHEELS CASE METALICO PARA GUARDAR 18 CARRITOS</t>
        </is>
      </c>
      <c r="G3201" t="n">
        <v>1</v>
      </c>
      <c r="H3201" s="7" t="n">
        <v>49.9</v>
      </c>
      <c r="I3201" s="7" t="n">
        <v>0</v>
      </c>
      <c r="J3201" s="7" t="n">
        <v>0</v>
      </c>
      <c r="K3201" s="9" t="n">
        <v>0</v>
      </c>
      <c r="L3201" s="10" t="n">
        <v>29.6</v>
      </c>
      <c r="M3201" s="10" t="n">
        <v>1.43</v>
      </c>
      <c r="N3201" t="inlineStr">
        <is>
          <t>1</t>
        </is>
      </c>
      <c r="O3201" t="inlineStr">
        <is>
          <t>16</t>
        </is>
      </c>
      <c r="P3201" t="inlineStr">
        <is>
          <t xml:space="preserve">243976  </t>
        </is>
      </c>
      <c r="Q3201" s="26" t="n">
        <v>49.90000000000001</v>
      </c>
      <c r="R3201" s="26">
        <f>Q3201*G3201</f>
        <v/>
      </c>
      <c r="S3201" t="n">
        <v>29.6</v>
      </c>
      <c r="T3201" s="18">
        <f>1 - V3201/S3201</f>
        <v/>
      </c>
      <c r="U3201" s="18" t="n">
        <v>0</v>
      </c>
      <c r="V3201" s="26" t="n">
        <v>29.6</v>
      </c>
      <c r="W3201" s="26">
        <f>V3201 - L3201</f>
        <v/>
      </c>
    </row>
    <row r="3202">
      <c r="A3202" s="11" t="n">
        <v>46234</v>
      </c>
      <c r="B3202" s="1" t="n">
        <v>20062</v>
      </c>
      <c r="C3202" s="1" t="inlineStr">
        <is>
          <t>510</t>
        </is>
      </c>
      <c r="D3202" s="1" t="inlineStr">
        <is>
          <t xml:space="preserve">6169  </t>
        </is>
      </c>
      <c r="E3202" s="1" t="inlineStr">
        <is>
          <t xml:space="preserve">32457103       </t>
        </is>
      </c>
      <c r="F3202" s="5" t="inlineStr">
        <is>
          <t>TMZ BEAST MACHINES MONSTER JAWS A FRICCION PACK DE</t>
        </is>
      </c>
      <c r="G3202" t="n">
        <v>1</v>
      </c>
      <c r="H3202" s="7" t="n">
        <v>32.9</v>
      </c>
      <c r="I3202" s="7" t="n">
        <v>0</v>
      </c>
      <c r="J3202" s="7" t="n">
        <v>0</v>
      </c>
      <c r="K3202" s="9" t="n">
        <v>0</v>
      </c>
      <c r="L3202" s="10" t="n">
        <v>19.52</v>
      </c>
      <c r="M3202" s="10" t="n">
        <v>1.43</v>
      </c>
      <c r="N3202" t="inlineStr">
        <is>
          <t>1</t>
        </is>
      </c>
      <c r="O3202" t="inlineStr">
        <is>
          <t>16</t>
        </is>
      </c>
      <c r="P3202" t="inlineStr">
        <is>
          <t xml:space="preserve">250090  </t>
        </is>
      </c>
      <c r="Q3202" s="26" t="n">
        <v>37.9</v>
      </c>
      <c r="R3202" s="26">
        <f>Q3202*G3202</f>
        <v/>
      </c>
      <c r="S3202" t="n">
        <v>22.48</v>
      </c>
      <c r="T3202" s="18">
        <f>1 - V3202/S3202</f>
        <v/>
      </c>
      <c r="U3202" s="18" t="n">
        <v>0.1319261213720316</v>
      </c>
      <c r="V3202" s="26" t="n">
        <v>16.75101694915254</v>
      </c>
      <c r="W3202" s="26">
        <f>V3202 - L3202</f>
        <v/>
      </c>
    </row>
    <row r="3203">
      <c r="A3203" s="11" t="n">
        <v>46234</v>
      </c>
      <c r="B3203" s="1" t="n">
        <v>20069</v>
      </c>
      <c r="C3203" s="1" t="inlineStr">
        <is>
          <t>029</t>
        </is>
      </c>
      <c r="D3203" s="1" t="inlineStr">
        <is>
          <t xml:space="preserve">56113 </t>
        </is>
      </c>
      <c r="E3203" s="1" t="inlineStr">
        <is>
          <t xml:space="preserve">31046050       </t>
        </is>
      </c>
      <c r="F3203" s="5" t="inlineStr">
        <is>
          <t>RELOJ DIGITAL CARS</t>
        </is>
      </c>
      <c r="G3203" t="n">
        <v>-1</v>
      </c>
      <c r="H3203" s="7" t="n">
        <v>-18.9</v>
      </c>
      <c r="I3203" s="7" t="n">
        <v>0</v>
      </c>
      <c r="J3203" s="7" t="n">
        <v>0</v>
      </c>
      <c r="K3203" s="9" t="n">
        <v>0</v>
      </c>
      <c r="L3203" s="10" t="n">
        <v>-11.21</v>
      </c>
      <c r="M3203" s="10" t="n">
        <v>0</v>
      </c>
      <c r="N3203" t="inlineStr">
        <is>
          <t>3</t>
        </is>
      </c>
      <c r="O3203" t="inlineStr">
        <is>
          <t>36</t>
        </is>
      </c>
      <c r="P3203" t="inlineStr">
        <is>
          <t xml:space="preserve">96933   </t>
        </is>
      </c>
      <c r="Q3203" s="26" t="n">
        <v>18.9</v>
      </c>
      <c r="R3203" s="26">
        <f>Q3203*G3203</f>
        <v/>
      </c>
      <c r="S3203" t="n">
        <v>-11.21</v>
      </c>
      <c r="T3203" s="18">
        <f>1 - V3203/S3203</f>
        <v/>
      </c>
      <c r="U3203" s="18" t="n">
        <v>0</v>
      </c>
      <c r="V3203" s="26" t="n">
        <v>-11.21</v>
      </c>
      <c r="W3203" s="26">
        <f>V3203 - L3203</f>
        <v/>
      </c>
    </row>
    <row r="3204">
      <c r="A3204" s="11" t="n">
        <v>46234</v>
      </c>
      <c r="B3204" s="1" t="n">
        <v>20069</v>
      </c>
      <c r="C3204" s="1" t="inlineStr">
        <is>
          <t>190</t>
        </is>
      </c>
      <c r="D3204" s="1" t="inlineStr">
        <is>
          <t>301091</t>
        </is>
      </c>
      <c r="E3204" s="1" t="inlineStr">
        <is>
          <t xml:space="preserve">31046050       </t>
        </is>
      </c>
      <c r="F3204" s="5" t="inlineStr">
        <is>
          <t>RELOJ DIGITAL CARS</t>
        </is>
      </c>
      <c r="G3204" t="n">
        <v>1</v>
      </c>
      <c r="H3204" s="7" t="n">
        <v>18.9</v>
      </c>
      <c r="I3204" s="7" t="n">
        <v>0</v>
      </c>
      <c r="J3204" s="7" t="n">
        <v>0</v>
      </c>
      <c r="K3204" s="9" t="n">
        <v>0</v>
      </c>
      <c r="L3204" s="10" t="n">
        <v>11.21</v>
      </c>
      <c r="M3204" s="10" t="n">
        <v>1.43</v>
      </c>
      <c r="N3204" t="inlineStr">
        <is>
          <t>1</t>
        </is>
      </c>
      <c r="O3204" t="inlineStr">
        <is>
          <t>16</t>
        </is>
      </c>
      <c r="P3204" t="inlineStr">
        <is>
          <t xml:space="preserve">250750  </t>
        </is>
      </c>
      <c r="Q3204" s="26" t="n">
        <v>18.9</v>
      </c>
      <c r="R3204" s="26">
        <f>Q3204*G3204</f>
        <v/>
      </c>
      <c r="S3204" t="n">
        <v>11.21</v>
      </c>
      <c r="T3204" s="18">
        <f>1 - V3204/S3204</f>
        <v/>
      </c>
      <c r="U3204" s="18" t="n">
        <v>0</v>
      </c>
      <c r="V3204" s="26" t="n">
        <v>11.21</v>
      </c>
      <c r="W3204" s="26">
        <f>V3204 - L3204</f>
        <v/>
      </c>
    </row>
    <row r="3205">
      <c r="A3205" s="11" t="n">
        <v>46234</v>
      </c>
      <c r="B3205" s="1" t="n">
        <v>20069</v>
      </c>
      <c r="C3205" s="1" t="inlineStr">
        <is>
          <t>519</t>
        </is>
      </c>
      <c r="D3205" s="1" t="inlineStr">
        <is>
          <t xml:space="preserve">7319  </t>
        </is>
      </c>
      <c r="E3205" s="1" t="inlineStr">
        <is>
          <t xml:space="preserve">28194770       </t>
        </is>
      </c>
      <c r="F3205" s="5" t="inlineStr">
        <is>
          <t>AUTOS DE METAL 3 TEAMSTERZ EN BLISTER</t>
        </is>
      </c>
      <c r="G3205" t="n">
        <v>3</v>
      </c>
      <c r="H3205" s="7" t="n">
        <v>20.7</v>
      </c>
      <c r="I3205" s="7" t="n">
        <v>0</v>
      </c>
      <c r="J3205" s="7" t="n">
        <v>0</v>
      </c>
      <c r="K3205" s="9" t="n">
        <v>0</v>
      </c>
      <c r="L3205" s="10" t="n">
        <v>12.27</v>
      </c>
      <c r="M3205" s="10" t="n">
        <v>1.43</v>
      </c>
      <c r="N3205" t="inlineStr">
        <is>
          <t>1</t>
        </is>
      </c>
      <c r="O3205" t="inlineStr">
        <is>
          <t>16</t>
        </is>
      </c>
      <c r="P3205" t="inlineStr">
        <is>
          <t xml:space="preserve">248316  </t>
        </is>
      </c>
      <c r="Q3205" s="26" t="n">
        <v>6.9</v>
      </c>
      <c r="R3205" s="26">
        <f>Q3205*G3205</f>
        <v/>
      </c>
      <c r="S3205" t="n">
        <v>12.27</v>
      </c>
      <c r="T3205" s="18">
        <f>1 - V3205/S3205</f>
        <v/>
      </c>
      <c r="U3205" s="18" t="n">
        <v>0</v>
      </c>
      <c r="V3205" s="26" t="n">
        <v>12.27</v>
      </c>
      <c r="W3205" s="26">
        <f>V3205 - L3205</f>
        <v/>
      </c>
    </row>
    <row r="3206">
      <c r="A3206" s="11" t="n">
        <v>46234</v>
      </c>
      <c r="B3206" s="1" t="n">
        <v>20073</v>
      </c>
      <c r="C3206" s="1" t="inlineStr">
        <is>
          <t>046</t>
        </is>
      </c>
      <c r="D3206" s="1" t="inlineStr">
        <is>
          <t>207997</t>
        </is>
      </c>
      <c r="E3206" s="1" t="inlineStr">
        <is>
          <t xml:space="preserve">32656523       </t>
        </is>
      </c>
      <c r="F3206" s="5" t="inlineStr">
        <is>
          <t>TMZ BEAST MACHINES TRANSPORT. T-REX ELECTR. + ACCE</t>
        </is>
      </c>
      <c r="G3206" t="n">
        <v>1</v>
      </c>
      <c r="H3206" s="7" t="n">
        <v>179</v>
      </c>
      <c r="I3206" s="7" t="n">
        <v>0</v>
      </c>
      <c r="J3206" s="7" t="n">
        <v>0</v>
      </c>
      <c r="K3206" s="9" t="n">
        <v>0</v>
      </c>
      <c r="L3206" s="10" t="n">
        <v>106.18</v>
      </c>
      <c r="M3206" s="10" t="n">
        <v>1.43</v>
      </c>
      <c r="N3206" t="inlineStr">
        <is>
          <t>1</t>
        </is>
      </c>
      <c r="O3206" t="inlineStr">
        <is>
          <t xml:space="preserve">2 </t>
        </is>
      </c>
      <c r="P3206" t="inlineStr">
        <is>
          <t xml:space="preserve">57886   </t>
        </is>
      </c>
      <c r="Q3206" s="26" t="n">
        <v>179</v>
      </c>
      <c r="R3206" s="26">
        <f>Q3206*G3206</f>
        <v/>
      </c>
      <c r="S3206" t="n">
        <v>106.19</v>
      </c>
      <c r="T3206" s="18">
        <f>1 - V3206/S3206</f>
        <v/>
      </c>
      <c r="U3206" s="18" t="n">
        <v>0</v>
      </c>
      <c r="V3206" s="26" t="n">
        <v>106.19</v>
      </c>
      <c r="W3206" s="26">
        <f>V3206 - L3206</f>
        <v/>
      </c>
    </row>
    <row r="3207">
      <c r="A3207" s="11" t="n">
        <v>46234</v>
      </c>
      <c r="B3207" s="1" t="n">
        <v>20073</v>
      </c>
      <c r="C3207" s="1" t="inlineStr">
        <is>
          <t>046</t>
        </is>
      </c>
      <c r="D3207" s="1" t="inlineStr">
        <is>
          <t>208005</t>
        </is>
      </c>
      <c r="E3207" s="1" t="inlineStr">
        <is>
          <t xml:space="preserve">30141766       </t>
        </is>
      </c>
      <c r="F3207" s="5" t="inlineStr">
        <is>
          <t>TMZ BEAST MACHINES AUTOS DE METAL BLISTER X 1</t>
        </is>
      </c>
      <c r="G3207" t="n">
        <v>1</v>
      </c>
      <c r="H3207" s="7" t="n">
        <v>7.9</v>
      </c>
      <c r="I3207" s="7" t="n">
        <v>0</v>
      </c>
      <c r="J3207" s="7" t="n">
        <v>0</v>
      </c>
      <c r="K3207" s="9" t="n">
        <v>0</v>
      </c>
      <c r="L3207" s="10" t="n">
        <v>4.68</v>
      </c>
      <c r="M3207" s="10" t="n">
        <v>1.43</v>
      </c>
      <c r="N3207" t="inlineStr">
        <is>
          <t>1</t>
        </is>
      </c>
      <c r="O3207" t="inlineStr">
        <is>
          <t xml:space="preserve">2 </t>
        </is>
      </c>
      <c r="P3207" t="inlineStr">
        <is>
          <t xml:space="preserve">57886   </t>
        </is>
      </c>
      <c r="Q3207" s="26" t="n">
        <v>7.9</v>
      </c>
      <c r="R3207" s="26">
        <f>Q3207*G3207</f>
        <v/>
      </c>
      <c r="S3207" t="n">
        <v>4.69</v>
      </c>
      <c r="T3207" s="18">
        <f>1 - V3207/S3207</f>
        <v/>
      </c>
      <c r="U3207" s="18" t="n">
        <v>0</v>
      </c>
      <c r="V3207" s="26" t="n">
        <v>4.69</v>
      </c>
      <c r="W3207" s="26">
        <f>V3207 - L3207</f>
        <v/>
      </c>
    </row>
    <row r="3208">
      <c r="A3208" s="11" t="n">
        <v>46234</v>
      </c>
      <c r="B3208" s="1" t="n">
        <v>20073</v>
      </c>
      <c r="C3208" s="1" t="inlineStr">
        <is>
          <t>046</t>
        </is>
      </c>
      <c r="D3208" s="1" t="inlineStr">
        <is>
          <t>208005</t>
        </is>
      </c>
      <c r="E3208" s="1" t="inlineStr">
        <is>
          <t xml:space="preserve">30141766       </t>
        </is>
      </c>
      <c r="F3208" s="5" t="inlineStr">
        <is>
          <t>TMZ BEAST MACHINES AUTOS DE METAL BLISTER X 1</t>
        </is>
      </c>
      <c r="G3208" t="n">
        <v>1</v>
      </c>
      <c r="H3208" s="7" t="n">
        <v>7.9</v>
      </c>
      <c r="I3208" s="7" t="n">
        <v>0</v>
      </c>
      <c r="J3208" s="7" t="n">
        <v>0</v>
      </c>
      <c r="K3208" s="9" t="n">
        <v>0</v>
      </c>
      <c r="L3208" s="10" t="n">
        <v>4.68</v>
      </c>
      <c r="M3208" s="10" t="n">
        <v>1.43</v>
      </c>
      <c r="N3208" t="inlineStr">
        <is>
          <t>1</t>
        </is>
      </c>
      <c r="O3208" t="inlineStr">
        <is>
          <t xml:space="preserve">2 </t>
        </is>
      </c>
      <c r="P3208" t="inlineStr">
        <is>
          <t xml:space="preserve">57886   </t>
        </is>
      </c>
      <c r="Q3208" s="26" t="n">
        <v>7.9</v>
      </c>
      <c r="R3208" s="26">
        <f>Q3208*G3208</f>
        <v/>
      </c>
      <c r="S3208" t="n">
        <v>4.69</v>
      </c>
      <c r="T3208" s="18">
        <f>1 - V3208/S3208</f>
        <v/>
      </c>
      <c r="U3208" s="18" t="n">
        <v>0</v>
      </c>
      <c r="V3208" s="26" t="n">
        <v>4.69</v>
      </c>
      <c r="W3208" s="26">
        <f>V3208 - L3208</f>
        <v/>
      </c>
    </row>
    <row r="3209">
      <c r="A3209" s="11" t="n">
        <v>46234</v>
      </c>
      <c r="B3209" s="1" t="n">
        <v>20073</v>
      </c>
      <c r="C3209" s="1" t="inlineStr">
        <is>
          <t>046</t>
        </is>
      </c>
      <c r="D3209" s="1" t="inlineStr">
        <is>
          <t>208010</t>
        </is>
      </c>
      <c r="E3209" s="1" t="inlineStr">
        <is>
          <t xml:space="preserve">31754677       </t>
        </is>
      </c>
      <c r="F3209" s="5" t="inlineStr">
        <is>
          <t>INFINITY NADO SERIE 6 SET DE BATALL</t>
        </is>
      </c>
      <c r="G3209" t="n">
        <v>1</v>
      </c>
      <c r="H3209" s="7" t="n">
        <v>149</v>
      </c>
      <c r="I3209" s="7" t="n">
        <v>0</v>
      </c>
      <c r="J3209" s="7" t="n">
        <v>0</v>
      </c>
      <c r="K3209" s="9" t="n">
        <v>0</v>
      </c>
      <c r="L3209" s="10" t="n">
        <v>88.39</v>
      </c>
      <c r="M3209" s="10" t="n">
        <v>1.43</v>
      </c>
      <c r="N3209" t="inlineStr">
        <is>
          <t>1</t>
        </is>
      </c>
      <c r="O3209" t="inlineStr">
        <is>
          <t xml:space="preserve">3 </t>
        </is>
      </c>
      <c r="P3209" t="inlineStr">
        <is>
          <t xml:space="preserve">57886   </t>
        </is>
      </c>
      <c r="Q3209" s="26" t="n">
        <v>189</v>
      </c>
      <c r="R3209" s="26">
        <f>Q3209*G3209</f>
        <v/>
      </c>
      <c r="S3209" t="n">
        <v>112.12</v>
      </c>
      <c r="T3209" s="18">
        <f>1 - V3209/S3209</f>
        <v/>
      </c>
      <c r="U3209" s="18" t="n">
        <v>0.2116402116402116</v>
      </c>
      <c r="V3209" s="26" t="n">
        <v>94.70338983050848</v>
      </c>
      <c r="W3209" s="26">
        <f>V3209 - L3209</f>
        <v/>
      </c>
    </row>
    <row r="3210">
      <c r="A3210" s="11" t="n">
        <v>46234</v>
      </c>
      <c r="B3210" s="1" t="n">
        <v>20074</v>
      </c>
      <c r="C3210" s="1" t="inlineStr">
        <is>
          <t>015</t>
        </is>
      </c>
      <c r="D3210" s="1" t="inlineStr">
        <is>
          <t>229138</t>
        </is>
      </c>
      <c r="E3210" s="1" t="inlineStr">
        <is>
          <t xml:space="preserve">34840552       </t>
        </is>
      </c>
      <c r="F3210" s="5" t="inlineStr">
        <is>
          <t>TMZ HELI POLICIA CON LUCES Y SONIDOS</t>
        </is>
      </c>
      <c r="G3210" t="n">
        <v>1</v>
      </c>
      <c r="H3210" s="7" t="n">
        <v>79.90000000000001</v>
      </c>
      <c r="I3210" s="7" t="n">
        <v>0</v>
      </c>
      <c r="J3210" s="7" t="n">
        <v>0</v>
      </c>
      <c r="K3210" s="9" t="n">
        <v>0</v>
      </c>
      <c r="L3210" s="10" t="n">
        <v>47.4</v>
      </c>
      <c r="M3210" s="10" t="n">
        <v>1.43</v>
      </c>
      <c r="N3210" t="inlineStr">
        <is>
          <t>1</t>
        </is>
      </c>
      <c r="O3210" t="inlineStr">
        <is>
          <t>16</t>
        </is>
      </c>
      <c r="P3210" t="inlineStr">
        <is>
          <t xml:space="preserve">250534  </t>
        </is>
      </c>
      <c r="Q3210" s="26" t="n">
        <v>79.90000000000002</v>
      </c>
      <c r="R3210" s="26">
        <f>Q3210*G3210</f>
        <v/>
      </c>
      <c r="S3210" t="n">
        <v>47.4</v>
      </c>
      <c r="T3210" s="18">
        <f>1 - V3210/S3210</f>
        <v/>
      </c>
      <c r="U3210" s="18" t="n">
        <v>0</v>
      </c>
      <c r="V3210" s="26" t="n">
        <v>47.4</v>
      </c>
      <c r="W3210" s="26">
        <f>V3210 - L3210</f>
        <v/>
      </c>
    </row>
    <row r="3211">
      <c r="A3211" s="11" t="n">
        <v>46234</v>
      </c>
      <c r="B3211" s="1" t="n">
        <v>20074</v>
      </c>
      <c r="C3211" s="1" t="inlineStr">
        <is>
          <t>032</t>
        </is>
      </c>
      <c r="D3211" s="1" t="inlineStr">
        <is>
          <t>263438</t>
        </is>
      </c>
      <c r="E3211" s="1" t="inlineStr">
        <is>
          <t xml:space="preserve">28194770       </t>
        </is>
      </c>
      <c r="F3211" s="5" t="inlineStr">
        <is>
          <t>AUTOS DE METAL 3 TEAMSTERZ EN BLISTER</t>
        </is>
      </c>
      <c r="G3211" t="n">
        <v>1</v>
      </c>
      <c r="H3211" s="7" t="n">
        <v>6.9</v>
      </c>
      <c r="I3211" s="7" t="n">
        <v>0</v>
      </c>
      <c r="J3211" s="7" t="n">
        <v>0</v>
      </c>
      <c r="K3211" s="9" t="n">
        <v>0</v>
      </c>
      <c r="L3211" s="10" t="n">
        <v>4.1</v>
      </c>
      <c r="M3211" s="10" t="n">
        <v>1.43</v>
      </c>
      <c r="N3211" t="inlineStr">
        <is>
          <t>1</t>
        </is>
      </c>
      <c r="O3211" t="inlineStr">
        <is>
          <t>16</t>
        </is>
      </c>
      <c r="P3211" t="inlineStr">
        <is>
          <t xml:space="preserve">64344   </t>
        </is>
      </c>
      <c r="Q3211" s="26" t="n">
        <v>6.9</v>
      </c>
      <c r="R3211" s="26">
        <f>Q3211*G3211</f>
        <v/>
      </c>
      <c r="S3211" t="n">
        <v>4.09</v>
      </c>
      <c r="T3211" s="18">
        <f>1 - V3211/S3211</f>
        <v/>
      </c>
      <c r="U3211" s="18" t="n">
        <v>0</v>
      </c>
      <c r="V3211" s="26" t="n">
        <v>4.09</v>
      </c>
      <c r="W3211" s="26">
        <f>V3211 - L3211</f>
        <v/>
      </c>
    </row>
    <row r="3212">
      <c r="A3212" s="11" t="n">
        <v>46234</v>
      </c>
      <c r="B3212" s="1" t="n">
        <v>20074</v>
      </c>
      <c r="C3212" s="1" t="inlineStr">
        <is>
          <t>032</t>
        </is>
      </c>
      <c r="D3212" s="1" t="inlineStr">
        <is>
          <t>263438</t>
        </is>
      </c>
      <c r="E3212" s="1" t="inlineStr">
        <is>
          <t xml:space="preserve">28194770       </t>
        </is>
      </c>
      <c r="F3212" s="5" t="inlineStr">
        <is>
          <t>AUTOS DE METAL 3 TEAMSTERZ EN BLISTER</t>
        </is>
      </c>
      <c r="G3212" t="n">
        <v>1</v>
      </c>
      <c r="H3212" s="7" t="n">
        <v>6.9</v>
      </c>
      <c r="I3212" s="7" t="n">
        <v>0</v>
      </c>
      <c r="J3212" s="7" t="n">
        <v>0</v>
      </c>
      <c r="K3212" s="9" t="n">
        <v>0</v>
      </c>
      <c r="L3212" s="10" t="n">
        <v>4.1</v>
      </c>
      <c r="M3212" s="10" t="n">
        <v>1.43</v>
      </c>
      <c r="N3212" t="inlineStr">
        <is>
          <t>1</t>
        </is>
      </c>
      <c r="O3212" t="inlineStr">
        <is>
          <t>16</t>
        </is>
      </c>
      <c r="P3212" t="inlineStr">
        <is>
          <t xml:space="preserve">64344   </t>
        </is>
      </c>
      <c r="Q3212" s="26" t="n">
        <v>6.9</v>
      </c>
      <c r="R3212" s="26">
        <f>Q3212*G3212</f>
        <v/>
      </c>
      <c r="S3212" t="n">
        <v>4.09</v>
      </c>
      <c r="T3212" s="18">
        <f>1 - V3212/S3212</f>
        <v/>
      </c>
      <c r="U3212" s="18" t="n">
        <v>0</v>
      </c>
      <c r="V3212" s="26" t="n">
        <v>4.09</v>
      </c>
      <c r="W3212" s="26">
        <f>V3212 - L3212</f>
        <v/>
      </c>
    </row>
    <row r="3213">
      <c r="A3213" s="11" t="n">
        <v>46234</v>
      </c>
      <c r="B3213" s="1" t="n">
        <v>20077</v>
      </c>
      <c r="C3213" s="1" t="inlineStr">
        <is>
          <t>029</t>
        </is>
      </c>
      <c r="D3213" s="1" t="inlineStr">
        <is>
          <t>157455</t>
        </is>
      </c>
      <c r="E3213" s="1" t="inlineStr">
        <is>
          <t xml:space="preserve">30141766       </t>
        </is>
      </c>
      <c r="F3213" s="5" t="inlineStr">
        <is>
          <t>TMZ BEAST MACHINES AUTOS DE METAL BLISTER X 1</t>
        </is>
      </c>
      <c r="G3213" t="n">
        <v>1</v>
      </c>
      <c r="H3213" s="7" t="n">
        <v>7.9</v>
      </c>
      <c r="I3213" s="7" t="n">
        <v>0</v>
      </c>
      <c r="J3213" s="7" t="n">
        <v>0</v>
      </c>
      <c r="K3213" s="9" t="n">
        <v>0</v>
      </c>
      <c r="L3213" s="10" t="n">
        <v>4.68</v>
      </c>
      <c r="M3213" s="10" t="n">
        <v>1.43</v>
      </c>
      <c r="N3213" t="inlineStr">
        <is>
          <t>1</t>
        </is>
      </c>
      <c r="O3213" t="inlineStr">
        <is>
          <t>16</t>
        </is>
      </c>
      <c r="P3213" t="inlineStr">
        <is>
          <t xml:space="preserve">70656   </t>
        </is>
      </c>
      <c r="Q3213" s="26" t="n">
        <v>7.9</v>
      </c>
      <c r="R3213" s="26">
        <f>Q3213*G3213</f>
        <v/>
      </c>
      <c r="S3213" t="n">
        <v>4.69</v>
      </c>
      <c r="T3213" s="18">
        <f>1 - V3213/S3213</f>
        <v/>
      </c>
      <c r="U3213" s="18" t="n">
        <v>0</v>
      </c>
      <c r="V3213" s="26" t="n">
        <v>4.69</v>
      </c>
      <c r="W3213" s="26">
        <f>V3213 - L3213</f>
        <v/>
      </c>
    </row>
    <row r="3214">
      <c r="A3214" s="11" t="n">
        <v>46234</v>
      </c>
      <c r="B3214" s="1" t="n">
        <v>20077</v>
      </c>
      <c r="C3214" s="1" t="inlineStr">
        <is>
          <t>029</t>
        </is>
      </c>
      <c r="D3214" s="1" t="inlineStr">
        <is>
          <t>157506</t>
        </is>
      </c>
      <c r="E3214" s="1" t="inlineStr">
        <is>
          <t xml:space="preserve">33483123       </t>
        </is>
      </c>
      <c r="F3214" s="5" t="inlineStr">
        <is>
          <t>NENUCO DISFRACES</t>
        </is>
      </c>
      <c r="G3214" t="n">
        <v>1</v>
      </c>
      <c r="H3214" s="7" t="n">
        <v>69.90000000000001</v>
      </c>
      <c r="I3214" s="7" t="n">
        <v>0</v>
      </c>
      <c r="J3214" s="7" t="n">
        <v>0</v>
      </c>
      <c r="K3214" s="9" t="n">
        <v>0</v>
      </c>
      <c r="L3214" s="10" t="n">
        <v>41.47</v>
      </c>
      <c r="M3214" s="10" t="n">
        <v>1.43</v>
      </c>
      <c r="N3214" t="inlineStr">
        <is>
          <t>1</t>
        </is>
      </c>
      <c r="O3214" t="inlineStr">
        <is>
          <t>16</t>
        </is>
      </c>
      <c r="P3214" t="inlineStr">
        <is>
          <t xml:space="preserve">70656   </t>
        </is>
      </c>
      <c r="Q3214" s="26" t="n">
        <v>89.90000000000001</v>
      </c>
      <c r="R3214" s="26">
        <f>Q3214*G3214</f>
        <v/>
      </c>
      <c r="S3214" t="n">
        <v>53.33</v>
      </c>
      <c r="T3214" s="18">
        <f>1 - V3214/S3214</f>
        <v/>
      </c>
      <c r="U3214" s="18" t="n">
        <v>0.2224694104560623</v>
      </c>
      <c r="V3214" s="26" t="n">
        <v>44.42796610169492</v>
      </c>
      <c r="W3214" s="26">
        <f>V3214 - L3214</f>
        <v/>
      </c>
    </row>
    <row r="3215">
      <c r="A3215" s="11" t="n">
        <v>46234</v>
      </c>
      <c r="B3215" s="1" t="n">
        <v>20077</v>
      </c>
      <c r="C3215" s="1" t="inlineStr">
        <is>
          <t>031</t>
        </is>
      </c>
      <c r="D3215" s="1" t="inlineStr">
        <is>
          <t>186909</t>
        </is>
      </c>
      <c r="E3215" s="1" t="inlineStr">
        <is>
          <t xml:space="preserve">29235700       </t>
        </is>
      </c>
      <c r="F3215" s="5" t="inlineStr">
        <is>
          <t>HOT WHEELS CASE METALICO PARA GUARDAR 18 CARRITOS</t>
        </is>
      </c>
      <c r="G3215" t="n">
        <v>1</v>
      </c>
      <c r="H3215" s="7" t="n">
        <v>49.9</v>
      </c>
      <c r="I3215" s="7" t="n">
        <v>0</v>
      </c>
      <c r="J3215" s="7" t="n">
        <v>0</v>
      </c>
      <c r="K3215" s="9" t="n">
        <v>0</v>
      </c>
      <c r="L3215" s="10" t="n">
        <v>29.6</v>
      </c>
      <c r="M3215" s="10" t="n">
        <v>1.43</v>
      </c>
      <c r="N3215" t="inlineStr">
        <is>
          <t>1</t>
        </is>
      </c>
      <c r="O3215" t="inlineStr">
        <is>
          <t>16</t>
        </is>
      </c>
      <c r="P3215" t="inlineStr">
        <is>
          <t xml:space="preserve">102100  </t>
        </is>
      </c>
      <c r="Q3215" s="26" t="n">
        <v>49.90000000000001</v>
      </c>
      <c r="R3215" s="26">
        <f>Q3215*G3215</f>
        <v/>
      </c>
      <c r="S3215" t="n">
        <v>29.6</v>
      </c>
      <c r="T3215" s="18">
        <f>1 - V3215/S3215</f>
        <v/>
      </c>
      <c r="U3215" s="18" t="n">
        <v>0</v>
      </c>
      <c r="V3215" s="26" t="n">
        <v>29.6</v>
      </c>
      <c r="W3215" s="26">
        <f>V3215 - L3215</f>
        <v/>
      </c>
    </row>
    <row r="3216">
      <c r="A3216" s="11" t="n">
        <v>46234</v>
      </c>
      <c r="B3216" s="1" t="n">
        <v>20078</v>
      </c>
      <c r="C3216" s="1" t="inlineStr">
        <is>
          <t>025</t>
        </is>
      </c>
      <c r="D3216" s="1" t="inlineStr">
        <is>
          <t>244592</t>
        </is>
      </c>
      <c r="E3216" s="1" t="inlineStr">
        <is>
          <t xml:space="preserve">31959959       </t>
        </is>
      </c>
      <c r="F3216" s="5" t="inlineStr">
        <is>
          <t>TMZ CAMBIA DE COLOR LANZADOR SPIN SPLASH + 1 AUTO</t>
        </is>
      </c>
      <c r="G3216" t="n">
        <v>1</v>
      </c>
      <c r="H3216" s="7" t="n">
        <v>14.9</v>
      </c>
      <c r="I3216" s="7" t="n">
        <v>0</v>
      </c>
      <c r="J3216" s="7" t="n">
        <v>0</v>
      </c>
      <c r="K3216" s="9" t="n">
        <v>0</v>
      </c>
      <c r="L3216" s="10" t="n">
        <v>8.84</v>
      </c>
      <c r="M3216" s="10" t="n">
        <v>1.43</v>
      </c>
      <c r="N3216" t="inlineStr">
        <is>
          <t>1</t>
        </is>
      </c>
      <c r="O3216" t="inlineStr">
        <is>
          <t>16</t>
        </is>
      </c>
      <c r="P3216" t="inlineStr">
        <is>
          <t xml:space="preserve">70416   </t>
        </is>
      </c>
      <c r="Q3216" s="26" t="n">
        <v>39.9</v>
      </c>
      <c r="R3216" s="26">
        <f>Q3216*G3216</f>
        <v/>
      </c>
      <c r="S3216" t="n">
        <v>23.67</v>
      </c>
      <c r="T3216" s="18">
        <f>1 - V3216/S3216</f>
        <v/>
      </c>
      <c r="U3216" s="18" t="n">
        <v>0.6265664160401002</v>
      </c>
      <c r="V3216" s="26" t="n">
        <v>10.73050847457628</v>
      </c>
      <c r="W3216" s="26">
        <f>V3216 - L3216</f>
        <v/>
      </c>
    </row>
    <row r="3217">
      <c r="A3217" s="11" t="n">
        <v>46234</v>
      </c>
      <c r="B3217" s="1" t="n">
        <v>20078</v>
      </c>
      <c r="C3217" s="1" t="inlineStr">
        <is>
          <t>025</t>
        </is>
      </c>
      <c r="D3217" s="1" t="inlineStr">
        <is>
          <t>244592</t>
        </is>
      </c>
      <c r="E3217" s="1" t="inlineStr">
        <is>
          <t xml:space="preserve">31959959       </t>
        </is>
      </c>
      <c r="F3217" s="5" t="inlineStr">
        <is>
          <t>TMZ CAMBIA DE COLOR LANZADOR SPIN SPLASH + 1 AUTO</t>
        </is>
      </c>
      <c r="G3217" t="n">
        <v>1</v>
      </c>
      <c r="H3217" s="7" t="n">
        <v>14.9</v>
      </c>
      <c r="I3217" s="7" t="n">
        <v>0</v>
      </c>
      <c r="J3217" s="7" t="n">
        <v>0</v>
      </c>
      <c r="K3217" s="9" t="n">
        <v>0</v>
      </c>
      <c r="L3217" s="10" t="n">
        <v>8.84</v>
      </c>
      <c r="M3217" s="10" t="n">
        <v>1.43</v>
      </c>
      <c r="N3217" t="inlineStr">
        <is>
          <t>1</t>
        </is>
      </c>
      <c r="O3217" t="inlineStr">
        <is>
          <t>16</t>
        </is>
      </c>
      <c r="P3217" t="inlineStr">
        <is>
          <t xml:space="preserve">70416   </t>
        </is>
      </c>
      <c r="Q3217" s="26" t="n">
        <v>39.9</v>
      </c>
      <c r="R3217" s="26">
        <f>Q3217*G3217</f>
        <v/>
      </c>
      <c r="S3217" t="n">
        <v>23.67</v>
      </c>
      <c r="T3217" s="18">
        <f>1 - V3217/S3217</f>
        <v/>
      </c>
      <c r="U3217" s="18" t="n">
        <v>0.6265664160401002</v>
      </c>
      <c r="V3217" s="26" t="n">
        <v>10.73050847457628</v>
      </c>
      <c r="W3217" s="26">
        <f>V3217 - L3217</f>
        <v/>
      </c>
    </row>
    <row r="3218">
      <c r="A3218" s="11" t="n">
        <v>46234</v>
      </c>
      <c r="B3218" s="1" t="n">
        <v>20079</v>
      </c>
      <c r="C3218" s="1" t="inlineStr">
        <is>
          <t>051</t>
        </is>
      </c>
      <c r="D3218" s="1" t="inlineStr">
        <is>
          <t>237714</t>
        </is>
      </c>
      <c r="E3218" s="1" t="inlineStr">
        <is>
          <t xml:space="preserve">34840556       </t>
        </is>
      </c>
      <c r="F3218" s="5" t="inlineStr">
        <is>
          <t>TMZ BEAST MACH. TRANSPORT DINO +ACCS</t>
        </is>
      </c>
      <c r="G3218" t="n">
        <v>1</v>
      </c>
      <c r="H3218" s="7" t="n">
        <v>59.9</v>
      </c>
      <c r="I3218" s="7" t="n">
        <v>0</v>
      </c>
      <c r="J3218" s="7" t="n">
        <v>0</v>
      </c>
      <c r="K3218" s="9" t="n">
        <v>0</v>
      </c>
      <c r="L3218" s="10" t="n">
        <v>35.53</v>
      </c>
      <c r="M3218" s="10" t="n">
        <v>1.43</v>
      </c>
      <c r="N3218" t="inlineStr">
        <is>
          <t>1</t>
        </is>
      </c>
      <c r="O3218" t="inlineStr">
        <is>
          <t>16</t>
        </is>
      </c>
      <c r="P3218" t="inlineStr">
        <is>
          <t xml:space="preserve">75771   </t>
        </is>
      </c>
      <c r="Q3218" s="26" t="n">
        <v>79.90000000000002</v>
      </c>
      <c r="R3218" s="26">
        <f>Q3218*G3218</f>
        <v/>
      </c>
      <c r="S3218" t="n">
        <v>47.4</v>
      </c>
      <c r="T3218" s="18">
        <f>1 - V3218/S3218</f>
        <v/>
      </c>
      <c r="U3218" s="18" t="n">
        <v>0.2503128911138924</v>
      </c>
      <c r="V3218" s="26" t="n">
        <v>38.07203389830509</v>
      </c>
      <c r="W3218" s="26">
        <f>V3218 - L3218</f>
        <v/>
      </c>
    </row>
    <row r="3219">
      <c r="A3219" s="11" t="n">
        <v>46234</v>
      </c>
      <c r="B3219" s="1" t="n">
        <v>20080</v>
      </c>
      <c r="C3219" s="1" t="inlineStr">
        <is>
          <t>013</t>
        </is>
      </c>
      <c r="D3219" s="1" t="inlineStr">
        <is>
          <t>131182</t>
        </is>
      </c>
      <c r="E3219" s="1" t="inlineStr">
        <is>
          <t xml:space="preserve">30232284       </t>
        </is>
      </c>
      <c r="F3219" s="5" t="inlineStr">
        <is>
          <t>INFINITY NADO TROMPO DE BATALLA - METAL C/PUNTA DE</t>
        </is>
      </c>
      <c r="G3219" t="n">
        <v>1</v>
      </c>
      <c r="H3219" s="7" t="n">
        <v>34.9</v>
      </c>
      <c r="I3219" s="7" t="n">
        <v>0</v>
      </c>
      <c r="J3219" s="7" t="n">
        <v>0</v>
      </c>
      <c r="K3219" s="9" t="n">
        <v>0</v>
      </c>
      <c r="L3219" s="10" t="n">
        <v>20.71</v>
      </c>
      <c r="M3219" s="10" t="n">
        <v>1.43</v>
      </c>
      <c r="N3219" t="inlineStr">
        <is>
          <t>1</t>
        </is>
      </c>
      <c r="O3219" t="inlineStr">
        <is>
          <t>16</t>
        </is>
      </c>
      <c r="P3219" t="inlineStr">
        <is>
          <t xml:space="preserve">236747  </t>
        </is>
      </c>
      <c r="Q3219" s="26" t="n">
        <v>49.9</v>
      </c>
      <c r="R3219" s="26">
        <f>Q3219*G3219</f>
        <v/>
      </c>
      <c r="S3219" t="n">
        <v>29.6</v>
      </c>
      <c r="T3219" s="18">
        <f>1 - V3219/S3219</f>
        <v/>
      </c>
      <c r="U3219" s="18" t="n">
        <v>0.3006012024048096</v>
      </c>
      <c r="V3219" s="26" t="n">
        <v>22.18220338983051</v>
      </c>
      <c r="W3219" s="26">
        <f>V3219 - L3219</f>
        <v/>
      </c>
    </row>
    <row r="3220">
      <c r="A3220" s="11" t="n">
        <v>46234</v>
      </c>
      <c r="B3220" s="1" t="n">
        <v>20089</v>
      </c>
      <c r="C3220" s="1" t="inlineStr">
        <is>
          <t>025</t>
        </is>
      </c>
      <c r="D3220" s="1" t="inlineStr">
        <is>
          <t>122917</t>
        </is>
      </c>
      <c r="E3220" s="1" t="inlineStr">
        <is>
          <t xml:space="preserve">28194770       </t>
        </is>
      </c>
      <c r="F3220" s="5" t="inlineStr">
        <is>
          <t>AUTOS DE METAL 3 TEAMSTERZ EN BLISTER</t>
        </is>
      </c>
      <c r="G3220" t="n">
        <v>1</v>
      </c>
      <c r="H3220" s="7" t="n">
        <v>6.9</v>
      </c>
      <c r="I3220" s="7" t="n">
        <v>0</v>
      </c>
      <c r="J3220" s="7" t="n">
        <v>0</v>
      </c>
      <c r="K3220" s="9" t="n">
        <v>0</v>
      </c>
      <c r="L3220" s="10" t="n">
        <v>4.1</v>
      </c>
      <c r="M3220" s="10" t="n">
        <v>1.43</v>
      </c>
      <c r="N3220" t="inlineStr">
        <is>
          <t>1</t>
        </is>
      </c>
      <c r="O3220" t="inlineStr">
        <is>
          <t xml:space="preserve">2 </t>
        </is>
      </c>
      <c r="P3220" t="inlineStr">
        <is>
          <t xml:space="preserve">109709  </t>
        </is>
      </c>
      <c r="Q3220" s="26" t="n">
        <v>6.9</v>
      </c>
      <c r="R3220" s="26">
        <f>Q3220*G3220</f>
        <v/>
      </c>
      <c r="S3220" t="n">
        <v>4.09</v>
      </c>
      <c r="T3220" s="18">
        <f>1 - V3220/S3220</f>
        <v/>
      </c>
      <c r="U3220" s="18" t="n">
        <v>0</v>
      </c>
      <c r="V3220" s="26" t="n">
        <v>4.09</v>
      </c>
      <c r="W3220" s="26">
        <f>V3220 - L3220</f>
        <v/>
      </c>
    </row>
    <row r="3221">
      <c r="A3221" s="11" t="n">
        <v>46234</v>
      </c>
      <c r="B3221" s="1" t="n">
        <v>20089</v>
      </c>
      <c r="C3221" s="1" t="inlineStr">
        <is>
          <t>026</t>
        </is>
      </c>
      <c r="D3221" s="1" t="inlineStr">
        <is>
          <t xml:space="preserve">89071 </t>
        </is>
      </c>
      <c r="E3221" s="1" t="inlineStr">
        <is>
          <t xml:space="preserve">28194770       </t>
        </is>
      </c>
      <c r="F3221" s="5" t="inlineStr">
        <is>
          <t>AUTOS DE METAL 3 TEAMSTERZ EN BLISTER</t>
        </is>
      </c>
      <c r="G3221" t="n">
        <v>1</v>
      </c>
      <c r="H3221" s="7" t="n">
        <v>6.9</v>
      </c>
      <c r="I3221" s="7" t="n">
        <v>0</v>
      </c>
      <c r="J3221" s="7" t="n">
        <v>0</v>
      </c>
      <c r="K3221" s="9" t="n">
        <v>0</v>
      </c>
      <c r="L3221" s="10" t="n">
        <v>4.1</v>
      </c>
      <c r="M3221" s="10" t="n">
        <v>1.43</v>
      </c>
      <c r="N3221" t="inlineStr">
        <is>
          <t>1</t>
        </is>
      </c>
      <c r="O3221" t="inlineStr">
        <is>
          <t xml:space="preserve">2 </t>
        </is>
      </c>
      <c r="P3221" t="inlineStr">
        <is>
          <t xml:space="preserve">232968  </t>
        </is>
      </c>
      <c r="Q3221" s="26" t="n">
        <v>6.9</v>
      </c>
      <c r="R3221" s="26">
        <f>Q3221*G3221</f>
        <v/>
      </c>
      <c r="S3221" t="n">
        <v>4.09</v>
      </c>
      <c r="T3221" s="18">
        <f>1 - V3221/S3221</f>
        <v/>
      </c>
      <c r="U3221" s="18" t="n">
        <v>0</v>
      </c>
      <c r="V3221" s="26" t="n">
        <v>4.09</v>
      </c>
      <c r="W3221" s="26">
        <f>V3221 - L3221</f>
        <v/>
      </c>
    </row>
    <row r="3222">
      <c r="A3222" s="11" t="n">
        <v>46234</v>
      </c>
      <c r="B3222" s="1" t="n">
        <v>20089</v>
      </c>
      <c r="C3222" s="1" t="inlineStr">
        <is>
          <t>027</t>
        </is>
      </c>
      <c r="D3222" s="1" t="inlineStr">
        <is>
          <t xml:space="preserve">16573 </t>
        </is>
      </c>
      <c r="E3222" s="1" t="inlineStr">
        <is>
          <t xml:space="preserve">28194769       </t>
        </is>
      </c>
      <c r="F3222" s="5" t="inlineStr">
        <is>
          <t>AUTOS DE METAL 3 TEAMSTERZ PACK DE 2</t>
        </is>
      </c>
      <c r="G3222" t="n">
        <v>1</v>
      </c>
      <c r="H3222" s="7" t="n">
        <v>13.8</v>
      </c>
      <c r="I3222" s="7" t="n">
        <v>0</v>
      </c>
      <c r="J3222" s="7" t="n">
        <v>0</v>
      </c>
      <c r="K3222" s="9" t="n">
        <v>0</v>
      </c>
      <c r="L3222" s="10" t="n">
        <v>8.18</v>
      </c>
      <c r="M3222" s="10" t="n">
        <v>1.43</v>
      </c>
      <c r="N3222" t="inlineStr">
        <is>
          <t>1</t>
        </is>
      </c>
      <c r="O3222" t="inlineStr">
        <is>
          <t>16</t>
        </is>
      </c>
      <c r="P3222" t="inlineStr">
        <is>
          <t xml:space="preserve">249986  </t>
        </is>
      </c>
      <c r="Q3222" s="26" t="n">
        <v>13.8</v>
      </c>
      <c r="R3222" s="26">
        <f>Q3222*G3222</f>
        <v/>
      </c>
      <c r="S3222" t="n">
        <v>8.19</v>
      </c>
      <c r="T3222" s="18">
        <f>1 - V3222/S3222</f>
        <v/>
      </c>
      <c r="U3222" s="18" t="n">
        <v>0</v>
      </c>
      <c r="V3222" s="26" t="n">
        <v>8.19</v>
      </c>
      <c r="W3222" s="26">
        <f>V3222 - L3222</f>
        <v/>
      </c>
    </row>
    <row r="3223">
      <c r="A3223" s="11" t="n">
        <v>46234</v>
      </c>
      <c r="B3223" s="1" t="n">
        <v>20089</v>
      </c>
      <c r="C3223" s="1" t="inlineStr">
        <is>
          <t>027</t>
        </is>
      </c>
      <c r="D3223" s="1" t="inlineStr">
        <is>
          <t xml:space="preserve">16576 </t>
        </is>
      </c>
      <c r="E3223" s="1" t="inlineStr">
        <is>
          <t xml:space="preserve">28194770       </t>
        </is>
      </c>
      <c r="F3223" s="5" t="inlineStr">
        <is>
          <t>AUTOS DE METAL 3 TEAMSTERZ EN BLISTER</t>
        </is>
      </c>
      <c r="G3223" t="n">
        <v>1</v>
      </c>
      <c r="H3223" s="7" t="n">
        <v>6.9</v>
      </c>
      <c r="I3223" s="7" t="n">
        <v>0</v>
      </c>
      <c r="J3223" s="7" t="n">
        <v>0</v>
      </c>
      <c r="K3223" s="9" t="n">
        <v>0</v>
      </c>
      <c r="L3223" s="10" t="n">
        <v>4.1</v>
      </c>
      <c r="M3223" s="10" t="n">
        <v>1.43</v>
      </c>
      <c r="N3223" t="inlineStr">
        <is>
          <t>1</t>
        </is>
      </c>
      <c r="O3223" t="inlineStr">
        <is>
          <t>16</t>
        </is>
      </c>
      <c r="P3223" t="inlineStr">
        <is>
          <t xml:space="preserve">249986  </t>
        </is>
      </c>
      <c r="Q3223" s="26" t="n">
        <v>6.9</v>
      </c>
      <c r="R3223" s="26">
        <f>Q3223*G3223</f>
        <v/>
      </c>
      <c r="S3223" t="n">
        <v>4.09</v>
      </c>
      <c r="T3223" s="18">
        <f>1 - V3223/S3223</f>
        <v/>
      </c>
      <c r="U3223" s="18" t="n">
        <v>0</v>
      </c>
      <c r="V3223" s="26" t="n">
        <v>4.09</v>
      </c>
      <c r="W3223" s="26">
        <f>V3223 - L3223</f>
        <v/>
      </c>
    </row>
    <row r="3224">
      <c r="A3224" s="11" t="n">
        <v>46234</v>
      </c>
      <c r="B3224" s="1" t="n">
        <v>20089</v>
      </c>
      <c r="C3224" s="1" t="inlineStr">
        <is>
          <t>027</t>
        </is>
      </c>
      <c r="D3224" s="1" t="inlineStr">
        <is>
          <t xml:space="preserve">16599 </t>
        </is>
      </c>
      <c r="E3224" s="1" t="inlineStr">
        <is>
          <t xml:space="preserve">28194770       </t>
        </is>
      </c>
      <c r="F3224" s="5" t="inlineStr">
        <is>
          <t>AUTOS DE METAL 3 TEAMSTERZ EN BLISTER</t>
        </is>
      </c>
      <c r="G3224" t="n">
        <v>1</v>
      </c>
      <c r="H3224" s="7" t="n">
        <v>6.9</v>
      </c>
      <c r="I3224" s="7" t="n">
        <v>0</v>
      </c>
      <c r="J3224" s="7" t="n">
        <v>0</v>
      </c>
      <c r="K3224" s="9" t="n">
        <v>0</v>
      </c>
      <c r="L3224" s="10" t="n">
        <v>4.1</v>
      </c>
      <c r="M3224" s="10" t="n">
        <v>1.43</v>
      </c>
      <c r="N3224" t="inlineStr">
        <is>
          <t>1</t>
        </is>
      </c>
      <c r="O3224" t="inlineStr">
        <is>
          <t>16</t>
        </is>
      </c>
      <c r="P3224" t="inlineStr">
        <is>
          <t xml:space="preserve">249986  </t>
        </is>
      </c>
      <c r="Q3224" s="26" t="n">
        <v>6.9</v>
      </c>
      <c r="R3224" s="26">
        <f>Q3224*G3224</f>
        <v/>
      </c>
      <c r="S3224" t="n">
        <v>4.09</v>
      </c>
      <c r="T3224" s="18">
        <f>1 - V3224/S3224</f>
        <v/>
      </c>
      <c r="U3224" s="18" t="n">
        <v>0</v>
      </c>
      <c r="V3224" s="26" t="n">
        <v>4.09</v>
      </c>
      <c r="W3224" s="26">
        <f>V3224 - L3224</f>
        <v/>
      </c>
    </row>
    <row r="3225">
      <c r="A3225" s="11" t="n">
        <v>46234</v>
      </c>
      <c r="B3225" s="1" t="n">
        <v>20089</v>
      </c>
      <c r="C3225" s="1" t="inlineStr">
        <is>
          <t>027</t>
        </is>
      </c>
      <c r="D3225" s="1" t="inlineStr">
        <is>
          <t xml:space="preserve">16599 </t>
        </is>
      </c>
      <c r="E3225" s="1" t="inlineStr">
        <is>
          <t xml:space="preserve">28194770       </t>
        </is>
      </c>
      <c r="F3225" s="5" t="inlineStr">
        <is>
          <t>AUTOS DE METAL 3 TEAMSTERZ EN BLISTER</t>
        </is>
      </c>
      <c r="G3225" t="n">
        <v>1</v>
      </c>
      <c r="H3225" s="7" t="n">
        <v>6.9</v>
      </c>
      <c r="I3225" s="7" t="n">
        <v>0</v>
      </c>
      <c r="J3225" s="7" t="n">
        <v>0</v>
      </c>
      <c r="K3225" s="9" t="n">
        <v>0</v>
      </c>
      <c r="L3225" s="10" t="n">
        <v>4.1</v>
      </c>
      <c r="M3225" s="10" t="n">
        <v>1.43</v>
      </c>
      <c r="N3225" t="inlineStr">
        <is>
          <t>1</t>
        </is>
      </c>
      <c r="O3225" t="inlineStr">
        <is>
          <t>16</t>
        </is>
      </c>
      <c r="P3225" t="inlineStr">
        <is>
          <t xml:space="preserve">249986  </t>
        </is>
      </c>
      <c r="Q3225" s="26" t="n">
        <v>6.9</v>
      </c>
      <c r="R3225" s="26">
        <f>Q3225*G3225</f>
        <v/>
      </c>
      <c r="S3225" t="n">
        <v>4.09</v>
      </c>
      <c r="T3225" s="18">
        <f>1 - V3225/S3225</f>
        <v/>
      </c>
      <c r="U3225" s="18" t="n">
        <v>0</v>
      </c>
      <c r="V3225" s="26" t="n">
        <v>4.09</v>
      </c>
      <c r="W3225" s="26">
        <f>V3225 - L3225</f>
        <v/>
      </c>
    </row>
    <row r="3226">
      <c r="A3226" s="11" t="n">
        <v>46234</v>
      </c>
      <c r="B3226" s="1" t="n">
        <v>20089</v>
      </c>
      <c r="C3226" s="1" t="inlineStr">
        <is>
          <t>027</t>
        </is>
      </c>
      <c r="D3226" s="1" t="inlineStr">
        <is>
          <t xml:space="preserve">16599 </t>
        </is>
      </c>
      <c r="E3226" s="1" t="inlineStr">
        <is>
          <t xml:space="preserve">28194770       </t>
        </is>
      </c>
      <c r="F3226" s="5" t="inlineStr">
        <is>
          <t>AUTOS DE METAL 3 TEAMSTERZ EN BLISTER</t>
        </is>
      </c>
      <c r="G3226" t="n">
        <v>1</v>
      </c>
      <c r="H3226" s="7" t="n">
        <v>6.9</v>
      </c>
      <c r="I3226" s="7" t="n">
        <v>0</v>
      </c>
      <c r="J3226" s="7" t="n">
        <v>0</v>
      </c>
      <c r="K3226" s="9" t="n">
        <v>0</v>
      </c>
      <c r="L3226" s="10" t="n">
        <v>4.1</v>
      </c>
      <c r="M3226" s="10" t="n">
        <v>1.43</v>
      </c>
      <c r="N3226" t="inlineStr">
        <is>
          <t>1</t>
        </is>
      </c>
      <c r="O3226" t="inlineStr">
        <is>
          <t>16</t>
        </is>
      </c>
      <c r="P3226" t="inlineStr">
        <is>
          <t xml:space="preserve">249986  </t>
        </is>
      </c>
      <c r="Q3226" s="26" t="n">
        <v>6.9</v>
      </c>
      <c r="R3226" s="26">
        <f>Q3226*G3226</f>
        <v/>
      </c>
      <c r="S3226" t="n">
        <v>4.09</v>
      </c>
      <c r="T3226" s="18">
        <f>1 - V3226/S3226</f>
        <v/>
      </c>
      <c r="U3226" s="18" t="n">
        <v>0</v>
      </c>
      <c r="V3226" s="26" t="n">
        <v>4.09</v>
      </c>
      <c r="W3226" s="26">
        <f>V3226 - L3226</f>
        <v/>
      </c>
    </row>
    <row r="3227">
      <c r="A3227" s="11" t="n">
        <v>46234</v>
      </c>
      <c r="B3227" s="1" t="n">
        <v>20089</v>
      </c>
      <c r="C3227" s="1" t="inlineStr">
        <is>
          <t>027</t>
        </is>
      </c>
      <c r="D3227" s="1" t="inlineStr">
        <is>
          <t xml:space="preserve">16599 </t>
        </is>
      </c>
      <c r="E3227" s="1" t="inlineStr">
        <is>
          <t xml:space="preserve">28194770       </t>
        </is>
      </c>
      <c r="F3227" s="5" t="inlineStr">
        <is>
          <t>AUTOS DE METAL 3 TEAMSTERZ EN BLISTER</t>
        </is>
      </c>
      <c r="G3227" t="n">
        <v>1</v>
      </c>
      <c r="H3227" s="7" t="n">
        <v>6.9</v>
      </c>
      <c r="I3227" s="7" t="n">
        <v>0</v>
      </c>
      <c r="J3227" s="7" t="n">
        <v>0</v>
      </c>
      <c r="K3227" s="9" t="n">
        <v>0</v>
      </c>
      <c r="L3227" s="10" t="n">
        <v>4.1</v>
      </c>
      <c r="M3227" s="10" t="n">
        <v>1.43</v>
      </c>
      <c r="N3227" t="inlineStr">
        <is>
          <t>1</t>
        </is>
      </c>
      <c r="O3227" t="inlineStr">
        <is>
          <t>16</t>
        </is>
      </c>
      <c r="P3227" t="inlineStr">
        <is>
          <t xml:space="preserve">249986  </t>
        </is>
      </c>
      <c r="Q3227" s="26" t="n">
        <v>6.9</v>
      </c>
      <c r="R3227" s="26">
        <f>Q3227*G3227</f>
        <v/>
      </c>
      <c r="S3227" t="n">
        <v>4.09</v>
      </c>
      <c r="T3227" s="18">
        <f>1 - V3227/S3227</f>
        <v/>
      </c>
      <c r="U3227" s="18" t="n">
        <v>0</v>
      </c>
      <c r="V3227" s="26" t="n">
        <v>4.09</v>
      </c>
      <c r="W3227" s="26">
        <f>V3227 - L3227</f>
        <v/>
      </c>
    </row>
    <row r="3228">
      <c r="A3228" s="11" t="n">
        <v>46234</v>
      </c>
      <c r="B3228" s="1" t="n">
        <v>20089</v>
      </c>
      <c r="C3228" s="1" t="inlineStr">
        <is>
          <t>027</t>
        </is>
      </c>
      <c r="D3228" s="1" t="inlineStr">
        <is>
          <t xml:space="preserve">16599 </t>
        </is>
      </c>
      <c r="E3228" s="1" t="inlineStr">
        <is>
          <t xml:space="preserve">28194770       </t>
        </is>
      </c>
      <c r="F3228" s="5" t="inlineStr">
        <is>
          <t>AUTOS DE METAL 3 TEAMSTERZ EN BLISTER</t>
        </is>
      </c>
      <c r="G3228" t="n">
        <v>1</v>
      </c>
      <c r="H3228" s="7" t="n">
        <v>6.9</v>
      </c>
      <c r="I3228" s="7" t="n">
        <v>0</v>
      </c>
      <c r="J3228" s="7" t="n">
        <v>0</v>
      </c>
      <c r="K3228" s="9" t="n">
        <v>0</v>
      </c>
      <c r="L3228" s="10" t="n">
        <v>4.1</v>
      </c>
      <c r="M3228" s="10" t="n">
        <v>1.43</v>
      </c>
      <c r="N3228" t="inlineStr">
        <is>
          <t>1</t>
        </is>
      </c>
      <c r="O3228" t="inlineStr">
        <is>
          <t>16</t>
        </is>
      </c>
      <c r="P3228" t="inlineStr">
        <is>
          <t xml:space="preserve">249986  </t>
        </is>
      </c>
      <c r="Q3228" s="26" t="n">
        <v>6.9</v>
      </c>
      <c r="R3228" s="26">
        <f>Q3228*G3228</f>
        <v/>
      </c>
      <c r="S3228" t="n">
        <v>4.09</v>
      </c>
      <c r="T3228" s="18">
        <f>1 - V3228/S3228</f>
        <v/>
      </c>
      <c r="U3228" s="18" t="n">
        <v>0</v>
      </c>
      <c r="V3228" s="26" t="n">
        <v>4.09</v>
      </c>
      <c r="W3228" s="26">
        <f>V3228 - L3228</f>
        <v/>
      </c>
    </row>
    <row r="3229">
      <c r="A3229" s="11" t="n">
        <v>46234</v>
      </c>
      <c r="B3229" s="1" t="n">
        <v>20089</v>
      </c>
      <c r="C3229" s="1" t="inlineStr">
        <is>
          <t>503</t>
        </is>
      </c>
      <c r="D3229" s="1" t="inlineStr">
        <is>
          <t xml:space="preserve">255   </t>
        </is>
      </c>
      <c r="E3229" s="1" t="inlineStr">
        <is>
          <t xml:space="preserve">28194770       </t>
        </is>
      </c>
      <c r="F3229" s="5" t="inlineStr">
        <is>
          <t>AUTOS DE METAL 3 TEAMSTERZ EN BLISTER</t>
        </is>
      </c>
      <c r="G3229" t="n">
        <v>2</v>
      </c>
      <c r="H3229" s="7" t="n">
        <v>13.8</v>
      </c>
      <c r="I3229" s="7" t="n">
        <v>0</v>
      </c>
      <c r="J3229" s="7" t="n">
        <v>0</v>
      </c>
      <c r="K3229" s="9" t="n">
        <v>0</v>
      </c>
      <c r="L3229" s="10" t="n">
        <v>8.18</v>
      </c>
      <c r="M3229" s="10" t="n">
        <v>1.43</v>
      </c>
      <c r="N3229" t="inlineStr">
        <is>
          <t>1</t>
        </is>
      </c>
      <c r="O3229" t="inlineStr">
        <is>
          <t>16</t>
        </is>
      </c>
      <c r="P3229" t="inlineStr">
        <is>
          <t xml:space="preserve">247232  </t>
        </is>
      </c>
      <c r="Q3229" s="26" t="n">
        <v>6.9</v>
      </c>
      <c r="R3229" s="26">
        <f>Q3229*G3229</f>
        <v/>
      </c>
      <c r="S3229" t="n">
        <v>8.18</v>
      </c>
      <c r="T3229" s="18">
        <f>1 - V3229/S3229</f>
        <v/>
      </c>
      <c r="U3229" s="18" t="n">
        <v>0</v>
      </c>
      <c r="V3229" s="26" t="n">
        <v>8.18</v>
      </c>
      <c r="W3229" s="26">
        <f>V3229 - L3229</f>
        <v/>
      </c>
    </row>
    <row r="3230">
      <c r="A3230" s="11" t="n">
        <v>46234</v>
      </c>
      <c r="B3230" s="1" t="n">
        <v>20089</v>
      </c>
      <c r="C3230" s="1" t="inlineStr">
        <is>
          <t>862</t>
        </is>
      </c>
      <c r="D3230" s="1" t="inlineStr">
        <is>
          <t xml:space="preserve">9050  </t>
        </is>
      </c>
      <c r="E3230" s="1" t="inlineStr">
        <is>
          <t xml:space="preserve">28194770       </t>
        </is>
      </c>
      <c r="F3230" s="5" t="inlineStr">
        <is>
          <t>AUTOS DE METAL 3 TEAMSTERZ EN BLISTER</t>
        </is>
      </c>
      <c r="G3230" t="n">
        <v>1</v>
      </c>
      <c r="H3230" s="7" t="n">
        <v>6.9</v>
      </c>
      <c r="I3230" s="7" t="n">
        <v>0</v>
      </c>
      <c r="J3230" s="7" t="n">
        <v>0</v>
      </c>
      <c r="K3230" s="9" t="n">
        <v>0</v>
      </c>
      <c r="L3230" s="10" t="n">
        <v>4.1</v>
      </c>
      <c r="M3230" s="10" t="n">
        <v>1.43</v>
      </c>
      <c r="N3230" t="inlineStr">
        <is>
          <t>1</t>
        </is>
      </c>
      <c r="O3230" t="inlineStr">
        <is>
          <t>16</t>
        </is>
      </c>
      <c r="P3230" t="inlineStr">
        <is>
          <t xml:space="preserve">0       </t>
        </is>
      </c>
      <c r="Q3230" s="26" t="n">
        <v>6.9</v>
      </c>
      <c r="R3230" s="26">
        <f>Q3230*G3230</f>
        <v/>
      </c>
      <c r="S3230" t="n">
        <v>4.09</v>
      </c>
      <c r="T3230" s="18">
        <f>1 - V3230/S3230</f>
        <v/>
      </c>
      <c r="U3230" s="18" t="n">
        <v>0</v>
      </c>
      <c r="V3230" s="26" t="n">
        <v>4.09</v>
      </c>
      <c r="W3230" s="26">
        <f>V3230 - L3230</f>
        <v/>
      </c>
    </row>
    <row r="3231">
      <c r="A3231" s="11" t="n">
        <v>46234</v>
      </c>
      <c r="B3231" s="1" t="n">
        <v>20089</v>
      </c>
      <c r="C3231" s="1" t="inlineStr">
        <is>
          <t>862</t>
        </is>
      </c>
      <c r="D3231" s="1" t="inlineStr">
        <is>
          <t xml:space="preserve">9050  </t>
        </is>
      </c>
      <c r="E3231" s="1" t="inlineStr">
        <is>
          <t xml:space="preserve">30141766       </t>
        </is>
      </c>
      <c r="F3231" s="5" t="inlineStr">
        <is>
          <t>TMZ BEAST MACHINES AUTOS DE METAL BLISTER X 1</t>
        </is>
      </c>
      <c r="G3231" t="n">
        <v>1</v>
      </c>
      <c r="H3231" s="7" t="n">
        <v>7.9</v>
      </c>
      <c r="I3231" s="7" t="n">
        <v>0</v>
      </c>
      <c r="J3231" s="7" t="n">
        <v>0</v>
      </c>
      <c r="K3231" s="9" t="n">
        <v>0</v>
      </c>
      <c r="L3231" s="10" t="n">
        <v>4.68</v>
      </c>
      <c r="M3231" s="10" t="n">
        <v>1.43</v>
      </c>
      <c r="N3231" t="inlineStr">
        <is>
          <t>1</t>
        </is>
      </c>
      <c r="O3231" t="inlineStr">
        <is>
          <t>16</t>
        </is>
      </c>
      <c r="P3231" t="inlineStr">
        <is>
          <t xml:space="preserve">0       </t>
        </is>
      </c>
      <c r="Q3231" s="26" t="n">
        <v>7.9</v>
      </c>
      <c r="R3231" s="26">
        <f>Q3231*G3231</f>
        <v/>
      </c>
      <c r="S3231" t="n">
        <v>4.69</v>
      </c>
      <c r="T3231" s="18">
        <f>1 - V3231/S3231</f>
        <v/>
      </c>
      <c r="U3231" s="18" t="n">
        <v>0</v>
      </c>
      <c r="V3231" s="26" t="n">
        <v>4.69</v>
      </c>
      <c r="W3231" s="26">
        <f>V3231 - L3231</f>
        <v/>
      </c>
    </row>
    <row r="3232">
      <c r="A3232" s="11" t="n">
        <v>46234</v>
      </c>
      <c r="B3232" s="1" t="n">
        <v>20089</v>
      </c>
      <c r="C3232" s="1" t="inlineStr">
        <is>
          <t>862</t>
        </is>
      </c>
      <c r="D3232" s="1" t="inlineStr">
        <is>
          <t xml:space="preserve">9058  </t>
        </is>
      </c>
      <c r="E3232" s="1" t="inlineStr">
        <is>
          <t xml:space="preserve">28194770       </t>
        </is>
      </c>
      <c r="F3232" s="5" t="inlineStr">
        <is>
          <t>AUTOS DE METAL 3 TEAMSTERZ EN BLISTER</t>
        </is>
      </c>
      <c r="G3232" t="n">
        <v>1</v>
      </c>
      <c r="H3232" s="7" t="n">
        <v>6.9</v>
      </c>
      <c r="I3232" s="7" t="n">
        <v>0</v>
      </c>
      <c r="J3232" s="7" t="n">
        <v>0</v>
      </c>
      <c r="K3232" s="9" t="n">
        <v>0</v>
      </c>
      <c r="L3232" s="10" t="n">
        <v>4.1</v>
      </c>
      <c r="M3232" s="10" t="n">
        <v>1.43</v>
      </c>
      <c r="N3232" t="inlineStr">
        <is>
          <t>1</t>
        </is>
      </c>
      <c r="O3232" t="inlineStr">
        <is>
          <t>16</t>
        </is>
      </c>
      <c r="P3232" t="inlineStr">
        <is>
          <t xml:space="preserve">0       </t>
        </is>
      </c>
      <c r="Q3232" s="26" t="n">
        <v>6.9</v>
      </c>
      <c r="R3232" s="26">
        <f>Q3232*G3232</f>
        <v/>
      </c>
      <c r="S3232" t="n">
        <v>4.09</v>
      </c>
      <c r="T3232" s="18">
        <f>1 - V3232/S3232</f>
        <v/>
      </c>
      <c r="U3232" s="18" t="n">
        <v>0</v>
      </c>
      <c r="V3232" s="26" t="n">
        <v>4.09</v>
      </c>
      <c r="W3232" s="26">
        <f>V3232 - L3232</f>
        <v/>
      </c>
    </row>
    <row r="3233">
      <c r="A3233" s="11" t="n">
        <v>46234</v>
      </c>
      <c r="B3233" s="1" t="n">
        <v>20095</v>
      </c>
      <c r="C3233" s="1" t="inlineStr">
        <is>
          <t>044</t>
        </is>
      </c>
      <c r="D3233" s="1" t="inlineStr">
        <is>
          <t xml:space="preserve">95082 </t>
        </is>
      </c>
      <c r="E3233" s="1" t="inlineStr">
        <is>
          <t xml:space="preserve">28194770       </t>
        </is>
      </c>
      <c r="F3233" s="5" t="inlineStr">
        <is>
          <t>AUTOS DE METAL 3 TEAMSTERZ EN BLISTER</t>
        </is>
      </c>
      <c r="G3233" t="n">
        <v>1</v>
      </c>
      <c r="H3233" s="7" t="n">
        <v>6.9</v>
      </c>
      <c r="I3233" s="7" t="n">
        <v>0</v>
      </c>
      <c r="J3233" s="7" t="n">
        <v>0</v>
      </c>
      <c r="K3233" s="9" t="n">
        <v>0</v>
      </c>
      <c r="L3233" s="10" t="n">
        <v>4.1</v>
      </c>
      <c r="M3233" s="10" t="n">
        <v>1.43</v>
      </c>
      <c r="N3233" t="inlineStr">
        <is>
          <t>1</t>
        </is>
      </c>
      <c r="O3233" t="inlineStr">
        <is>
          <t xml:space="preserve">3 </t>
        </is>
      </c>
      <c r="P3233" t="inlineStr">
        <is>
          <t xml:space="preserve">248421  </t>
        </is>
      </c>
      <c r="Q3233" s="26" t="n">
        <v>6.9</v>
      </c>
      <c r="R3233" s="26">
        <f>Q3233*G3233</f>
        <v/>
      </c>
      <c r="S3233" t="n">
        <v>4.09</v>
      </c>
      <c r="T3233" s="18">
        <f>1 - V3233/S3233</f>
        <v/>
      </c>
      <c r="U3233" s="18" t="n">
        <v>0</v>
      </c>
      <c r="V3233" s="26" t="n">
        <v>4.09</v>
      </c>
      <c r="W3233" s="26">
        <f>V3233 - L3233</f>
        <v/>
      </c>
    </row>
    <row r="3234">
      <c r="A3234" s="11" t="n">
        <v>46234</v>
      </c>
      <c r="B3234" s="1" t="n">
        <v>20095</v>
      </c>
      <c r="C3234" s="1" t="inlineStr">
        <is>
          <t>044</t>
        </is>
      </c>
      <c r="D3234" s="1" t="inlineStr">
        <is>
          <t xml:space="preserve">95152 </t>
        </is>
      </c>
      <c r="E3234" s="1" t="inlineStr">
        <is>
          <t xml:space="preserve">30141769       </t>
        </is>
      </c>
      <c r="F3234" s="5" t="inlineStr">
        <is>
          <t>TMZ BEAST MACHINES TRANSPORTE DINOSAURIO + 3 AUTOS</t>
        </is>
      </c>
      <c r="G3234" t="n">
        <v>1</v>
      </c>
      <c r="H3234" s="7" t="n">
        <v>59.9</v>
      </c>
      <c r="I3234" s="7" t="n">
        <v>0</v>
      </c>
      <c r="J3234" s="7" t="n">
        <v>0</v>
      </c>
      <c r="K3234" s="9" t="n">
        <v>0</v>
      </c>
      <c r="L3234" s="10" t="n">
        <v>35.53</v>
      </c>
      <c r="M3234" s="10" t="n">
        <v>1.43</v>
      </c>
      <c r="N3234" t="inlineStr">
        <is>
          <t>1</t>
        </is>
      </c>
      <c r="O3234" t="inlineStr">
        <is>
          <t xml:space="preserve">3 </t>
        </is>
      </c>
      <c r="P3234" t="inlineStr">
        <is>
          <t xml:space="preserve">248421  </t>
        </is>
      </c>
      <c r="Q3234" s="26" t="n">
        <v>79.90000000000001</v>
      </c>
      <c r="R3234" s="26">
        <f>Q3234*G3234</f>
        <v/>
      </c>
      <c r="S3234" t="n">
        <v>47.4</v>
      </c>
      <c r="T3234" s="18">
        <f>1 - V3234/S3234</f>
        <v/>
      </c>
      <c r="U3234" s="18" t="n">
        <v>0.2503128911138924</v>
      </c>
      <c r="V3234" s="26" t="n">
        <v>38.07203389830509</v>
      </c>
      <c r="W3234" s="26">
        <f>V3234 - L3234</f>
        <v/>
      </c>
    </row>
    <row r="3235" ht="13" customHeight="1" thickBot="1">
      <c r="A3235" s="11" t="n">
        <v>46234</v>
      </c>
      <c r="B3235" s="1" t="n">
        <v>20095</v>
      </c>
      <c r="C3235" s="1" t="inlineStr">
        <is>
          <t>801</t>
        </is>
      </c>
      <c r="D3235" s="1" t="inlineStr">
        <is>
          <t xml:space="preserve">5912  </t>
        </is>
      </c>
      <c r="E3235" s="1" t="inlineStr">
        <is>
          <t xml:space="preserve">31675354       </t>
        </is>
      </c>
      <c r="F3235" s="5" t="inlineStr">
        <is>
          <t>NENUCO LLORON CON ACCESORIOS</t>
        </is>
      </c>
      <c r="G3235" t="n">
        <v>1</v>
      </c>
      <c r="H3235" s="7" t="n">
        <v>69.90000000000001</v>
      </c>
      <c r="I3235" s="7" t="n">
        <v>0</v>
      </c>
      <c r="J3235" s="7" t="n">
        <v>0</v>
      </c>
      <c r="K3235" s="9" t="n">
        <v>0</v>
      </c>
      <c r="L3235" s="10" t="n">
        <v>41.47</v>
      </c>
      <c r="M3235" s="10" t="n">
        <v>1.43</v>
      </c>
      <c r="N3235" t="inlineStr">
        <is>
          <t>1</t>
        </is>
      </c>
      <c r="O3235" t="inlineStr">
        <is>
          <t>16</t>
        </is>
      </c>
      <c r="P3235" t="inlineStr">
        <is>
          <t xml:space="preserve">0       </t>
        </is>
      </c>
      <c r="Q3235" s="26" t="n">
        <v>89.90000000000001</v>
      </c>
      <c r="R3235" s="26">
        <f>Q3235*G3235</f>
        <v/>
      </c>
      <c r="S3235" t="n">
        <v>53.33</v>
      </c>
      <c r="T3235" s="18">
        <f>1 - V3235/S3235</f>
        <v/>
      </c>
      <c r="U3235" s="18" t="n">
        <v>0.2224694104560623</v>
      </c>
      <c r="V3235" s="26" t="n">
        <v>44.42796610169492</v>
      </c>
      <c r="W3235" s="26">
        <f>V3235 - L3235</f>
        <v/>
      </c>
    </row>
    <row r="3236" ht="13.5" customHeight="1" thickTop="1">
      <c r="A3236" s="12" t="n"/>
      <c r="B3236" s="12" t="n"/>
      <c r="C3236" s="12" t="n"/>
      <c r="D3236" s="12" t="n"/>
      <c r="E3236" s="12" t="n"/>
      <c r="F3236" s="13" t="inlineStr">
        <is>
          <t>Total a pagar sin IGV (S/.)</t>
        </is>
      </c>
      <c r="G3236" s="14" t="n">
        <v>3257</v>
      </c>
      <c r="H3236" s="15" t="n"/>
      <c r="I3236" s="15" t="n">
        <v>1306.320000000005</v>
      </c>
      <c r="J3236" s="15" t="n">
        <v>0</v>
      </c>
      <c r="K3236" s="16" t="n">
        <v>1306.320000000005</v>
      </c>
      <c r="L3236" s="17" t="n">
        <v>54414.779999999</v>
      </c>
      <c r="M3236" s="17" t="n"/>
      <c r="N3236" s="14" t="n"/>
      <c r="O3236" s="14" t="n"/>
      <c r="P3236" s="14" t="n"/>
    </row>
  </sheetData>
  <mergeCells count="3">
    <mergeCell ref="A4:P4"/>
    <mergeCell ref="A3:P3"/>
    <mergeCell ref="A2:P2"/>
  </mergeCells>
  <pageMargins left="0.32" right="0.32" top="1" bottom="1" header="0" footer="0"/>
  <pageSetup orientation="landscape" paperSize="9" scale="91" horizontalDpi="355" verticalDpi="35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H141"/>
  <sheetViews>
    <sheetView tabSelected="1" view="pageLayout" zoomScaleNormal="100" workbookViewId="0">
      <selection activeCell="C10" sqref="C10"/>
    </sheetView>
  </sheetViews>
  <sheetFormatPr baseColWidth="10" defaultRowHeight="12.5"/>
  <sheetData>
    <row r="2" ht="18" customHeight="1">
      <c r="A2" s="22" t="inlineStr">
        <is>
          <t>Liquidación de Consignación - 49521</t>
        </is>
      </c>
      <c r="G2" s="20" t="n"/>
      <c r="H2" s="20" t="n"/>
    </row>
    <row r="3">
      <c r="A3" s="23" t="inlineStr">
        <is>
          <t>PROVEEDOR: 20600768043, INTEK PERU SAC</t>
        </is>
      </c>
      <c r="G3" s="21" t="n"/>
      <c r="H3" s="21" t="n"/>
    </row>
    <row r="4">
      <c r="A4" s="23" t="inlineStr">
        <is>
          <t>FECHA: DESDE  01 jul 2026 HASTA 31 jul 2026</t>
        </is>
      </c>
      <c r="G4" s="21" t="n"/>
      <c r="H4" s="21" t="n"/>
    </row>
    <row r="6">
      <c r="A6" s="2" t="inlineStr">
        <is>
          <t>Art.</t>
        </is>
      </c>
      <c r="B6" s="4" t="inlineStr">
        <is>
          <t>Descripción</t>
        </is>
      </c>
      <c r="C6" s="2" t="inlineStr">
        <is>
          <t>Marca</t>
        </is>
      </c>
      <c r="D6" s="6" t="inlineStr">
        <is>
          <t>Venta</t>
        </is>
      </c>
      <c r="E6" s="8" t="inlineStr">
        <is>
          <t>Monto S/.</t>
        </is>
      </c>
      <c r="F6" s="8" t="inlineStr">
        <is>
          <t>Markup</t>
        </is>
      </c>
      <c r="G6" s="1" t="n"/>
      <c r="H6" s="1" t="n"/>
    </row>
    <row r="7">
      <c r="A7" s="1" t="inlineStr">
        <is>
          <t xml:space="preserve">28194760       </t>
        </is>
      </c>
      <c r="B7" s="5" t="inlineStr">
        <is>
          <t>CAR CASE MULTIMODULAR HOT WHEELS POR 18 PCS</t>
        </is>
      </c>
      <c r="C7" t="inlineStr">
        <is>
          <t>HOT WHEELS</t>
        </is>
      </c>
      <c r="D7" s="7" t="n">
        <v>2</v>
      </c>
      <c r="E7" s="9" t="n">
        <v>82.94</v>
      </c>
      <c r="F7" s="10" t="n">
        <v>1.42</v>
      </c>
    </row>
    <row r="8">
      <c r="A8" s="1" t="inlineStr">
        <is>
          <t xml:space="preserve">28194765       </t>
        </is>
      </c>
      <c r="B8" s="5" t="inlineStr">
        <is>
          <t>PLAYSET COLOR CHANGE TIBURN TEAMSTERZ  1 AUTITO</t>
        </is>
      </c>
      <c r="C8" t="inlineStr">
        <is>
          <t>TEAMSTERZ</t>
        </is>
      </c>
      <c r="D8" s="7" t="n">
        <v>14</v>
      </c>
      <c r="E8" s="9" t="n">
        <v>654.12</v>
      </c>
      <c r="F8" s="10" t="n">
        <v>1.42</v>
      </c>
    </row>
    <row r="9">
      <c r="A9" s="1" t="inlineStr">
        <is>
          <t xml:space="preserve">28194766       </t>
        </is>
      </c>
      <c r="B9" s="5" t="inlineStr">
        <is>
          <t>CAMIONES TEAMSTERZ DE CIUDAD</t>
        </is>
      </c>
      <c r="C9" t="inlineStr">
        <is>
          <t>TEAMSTERZ</t>
        </is>
      </c>
      <c r="D9" s="7" t="n">
        <v>16</v>
      </c>
      <c r="E9" s="9" t="n">
        <v>168.86</v>
      </c>
      <c r="F9" s="10" t="n">
        <v>1.42</v>
      </c>
    </row>
    <row r="10">
      <c r="A10" s="1" t="inlineStr">
        <is>
          <t xml:space="preserve">28194767       </t>
        </is>
      </c>
      <c r="B10" s="5" t="inlineStr">
        <is>
          <t>CAMIONES TEAMSTERZ DE EMERGENCIA</t>
        </is>
      </c>
      <c r="C10" t="inlineStr">
        <is>
          <t>TEAMSTERZ</t>
        </is>
      </c>
      <c r="D10" s="7" t="n">
        <v>35</v>
      </c>
      <c r="E10" s="9" t="n">
        <v>369.58</v>
      </c>
      <c r="F10" s="10" t="n">
        <v>1.42</v>
      </c>
    </row>
    <row r="11">
      <c r="A11" s="1" t="inlineStr">
        <is>
          <t xml:space="preserve">28194768       </t>
        </is>
      </c>
      <c r="B11" s="5" t="inlineStr">
        <is>
          <t>AUTO COLOR CHANGE TEAMSTERZ SURTIDO</t>
        </is>
      </c>
      <c r="C11" t="inlineStr">
        <is>
          <t>TEAMSTERZ</t>
        </is>
      </c>
      <c r="D11" s="7" t="n">
        <v>118</v>
      </c>
      <c r="E11" s="9" t="n">
        <v>1029.79</v>
      </c>
      <c r="F11" s="10" t="n">
        <v>1.42</v>
      </c>
    </row>
    <row r="12">
      <c r="A12" s="1" t="inlineStr">
        <is>
          <t xml:space="preserve">28194769       </t>
        </is>
      </c>
      <c r="B12" s="5" t="inlineStr">
        <is>
          <t>AUTOS DE METAL 3 TEAMSTERZ PACK DE 2</t>
        </is>
      </c>
      <c r="C12" t="inlineStr">
        <is>
          <t>TEAMSTERZ</t>
        </is>
      </c>
      <c r="D12" s="7" t="n">
        <v>328</v>
      </c>
      <c r="E12" s="9" t="n">
        <v>2653.91</v>
      </c>
      <c r="F12" s="10" t="n">
        <v>1.42</v>
      </c>
    </row>
    <row r="13">
      <c r="A13" s="1" t="inlineStr">
        <is>
          <t xml:space="preserve">28194770       </t>
        </is>
      </c>
      <c r="B13" s="5" t="inlineStr">
        <is>
          <t>AUTOS DE METAL 3 TEAMSTERZ EN BLISTER</t>
        </is>
      </c>
      <c r="C13" t="inlineStr">
        <is>
          <t>TEAMSTERZ</t>
        </is>
      </c>
      <c r="D13" s="7" t="n">
        <v>1147</v>
      </c>
      <c r="E13" s="9" t="n">
        <v>4641.83</v>
      </c>
      <c r="F13" s="10" t="n">
        <v>1.41</v>
      </c>
    </row>
    <row r="14">
      <c r="A14" s="1" t="inlineStr">
        <is>
          <t xml:space="preserve">28194780       </t>
        </is>
      </c>
      <c r="B14" s="5" t="inlineStr">
        <is>
          <t>TROMPO BATALLA INFINITY NADO PLSTICO SURTIDO</t>
        </is>
      </c>
      <c r="C14" t="inlineStr">
        <is>
          <t>INFINITY NADO</t>
        </is>
      </c>
      <c r="D14" s="7" t="n">
        <v>94</v>
      </c>
      <c r="E14" s="9" t="n">
        <v>1085.76</v>
      </c>
      <c r="F14" s="10" t="n">
        <v>1.42</v>
      </c>
    </row>
    <row r="15">
      <c r="A15" s="1" t="inlineStr">
        <is>
          <t xml:space="preserve">28194781       </t>
        </is>
      </c>
      <c r="B15" s="5" t="inlineStr">
        <is>
          <t>TROMPO BATALLA INFINITY NADO SERIE V CLASICA SURTI</t>
        </is>
      </c>
      <c r="C15" t="inlineStr">
        <is>
          <t>INFINITY NADO</t>
        </is>
      </c>
      <c r="D15" s="7" t="n">
        <v>55</v>
      </c>
      <c r="E15" s="9" t="n">
        <v>1466.72</v>
      </c>
      <c r="F15" s="10" t="n">
        <v>1.42</v>
      </c>
    </row>
    <row r="16">
      <c r="A16" s="1" t="inlineStr">
        <is>
          <t xml:space="preserve">28194782       </t>
        </is>
      </c>
      <c r="B16" s="5" t="inlineStr">
        <is>
          <t>TROMPO BATALLA INFINITY NADO SERIE V ORIGINAL SURT</t>
        </is>
      </c>
      <c r="C16" t="inlineStr">
        <is>
          <t>INFINITY NADO</t>
        </is>
      </c>
      <c r="D16" s="7" t="n">
        <v>13</v>
      </c>
      <c r="E16" s="9" t="n">
        <v>417.45</v>
      </c>
      <c r="F16" s="10" t="n">
        <v>1.42</v>
      </c>
    </row>
    <row r="17">
      <c r="A17" s="1" t="inlineStr">
        <is>
          <t xml:space="preserve">28194783       </t>
        </is>
      </c>
      <c r="B17" s="5" t="inlineStr">
        <is>
          <t>SET DE BATALLA INFINITY NADO CON 2 TROMPOS</t>
        </is>
      </c>
      <c r="C17" t="inlineStr">
        <is>
          <t>INFINITY NADO</t>
        </is>
      </c>
      <c r="D17" s="7" t="n">
        <v>23</v>
      </c>
      <c r="E17" s="9" t="n">
        <v>2096.64</v>
      </c>
      <c r="F17" s="10" t="n">
        <v>1.42</v>
      </c>
    </row>
    <row r="18">
      <c r="A18" s="1" t="inlineStr">
        <is>
          <t xml:space="preserve">28194784       </t>
        </is>
      </c>
      <c r="B18" s="5" t="inlineStr">
        <is>
          <t>SET DE ACROBACIAS INFINITY NADO CON TROMPO</t>
        </is>
      </c>
      <c r="C18" t="inlineStr">
        <is>
          <t>INFINITY NADO</t>
        </is>
      </c>
      <c r="D18" s="7" t="n">
        <v>16</v>
      </c>
      <c r="E18" s="9" t="n">
        <v>1405.99</v>
      </c>
      <c r="F18" s="10" t="n">
        <v>1.42</v>
      </c>
    </row>
    <row r="19">
      <c r="A19" s="1" t="inlineStr">
        <is>
          <t xml:space="preserve">28194789       </t>
        </is>
      </c>
      <c r="B19" s="5" t="inlineStr">
        <is>
          <t>FIGURAS TRANSFORMABLES SUPER WINGS CON LUCES Y SON</t>
        </is>
      </c>
      <c r="C19" t="inlineStr">
        <is>
          <t>SUPER WINGS</t>
        </is>
      </c>
      <c r="D19" s="7" t="n">
        <v>1</v>
      </c>
      <c r="E19" s="9" t="n">
        <v>26.12</v>
      </c>
      <c r="F19" s="10" t="n">
        <v>1.42</v>
      </c>
    </row>
    <row r="20">
      <c r="A20" s="1" t="inlineStr">
        <is>
          <t xml:space="preserve">29235700       </t>
        </is>
      </c>
      <c r="B20" s="5" t="inlineStr">
        <is>
          <t>HOT WHEELS CASE METALICO PARA GUARDAR 18 CARRITOS</t>
        </is>
      </c>
      <c r="C20" t="inlineStr">
        <is>
          <t>HOT WHEELS</t>
        </is>
      </c>
      <c r="D20" s="7" t="n">
        <v>33</v>
      </c>
      <c r="E20" s="9" t="n">
        <v>973.84</v>
      </c>
      <c r="F20" s="10" t="n">
        <v>1.42</v>
      </c>
    </row>
    <row r="21">
      <c r="A21" s="1" t="inlineStr">
        <is>
          <t xml:space="preserve">29235701       </t>
        </is>
      </c>
      <c r="B21" s="5" t="inlineStr">
        <is>
          <t>INFINITY NADO TROMPO DE BATALLA - METAL EN CAJA</t>
        </is>
      </c>
      <c r="C21" t="inlineStr">
        <is>
          <t>INFINITY NADO</t>
        </is>
      </c>
      <c r="D21" s="7" t="n">
        <v>20</v>
      </c>
      <c r="E21" s="9" t="n">
        <v>404.63</v>
      </c>
      <c r="F21" s="10" t="n">
        <v>1.42</v>
      </c>
    </row>
    <row r="22">
      <c r="A22" s="1" t="inlineStr">
        <is>
          <t xml:space="preserve">29235702       </t>
        </is>
      </c>
      <c r="B22" s="5" t="inlineStr">
        <is>
          <t>INFINITY NADO TROMPO DE BATALLA - METAL C/ ANILLO</t>
        </is>
      </c>
      <c r="C22" t="inlineStr">
        <is>
          <t>INFINITY NADO</t>
        </is>
      </c>
      <c r="D22" s="7" t="n">
        <v>27</v>
      </c>
      <c r="E22" s="9" t="n">
        <v>944.63</v>
      </c>
      <c r="F22" s="10" t="n">
        <v>1.42</v>
      </c>
    </row>
    <row r="23">
      <c r="A23" s="1" t="inlineStr">
        <is>
          <t xml:space="preserve">29235706       </t>
        </is>
      </c>
      <c r="B23" s="5" t="inlineStr">
        <is>
          <t>TEAMSTERZ CAMION PARA GUARDAR 12 AUTOS INCL 4 AUTO</t>
        </is>
      </c>
      <c r="C23" t="inlineStr">
        <is>
          <t>TEAMSTERZ</t>
        </is>
      </c>
      <c r="D23" s="7" t="n">
        <v>27</v>
      </c>
      <c r="E23" s="9" t="n">
        <v>945.11</v>
      </c>
      <c r="F23" s="10" t="n">
        <v>1.42</v>
      </c>
    </row>
    <row r="24">
      <c r="A24" s="1" t="inlineStr">
        <is>
          <t xml:space="preserve">29235707       </t>
        </is>
      </c>
      <c r="B24" s="5" t="inlineStr">
        <is>
          <t>TEAMSTERZ AUTO DE METAL 3  PACK DE 5</t>
        </is>
      </c>
      <c r="C24" t="inlineStr">
        <is>
          <t>TEAMSTERZ</t>
        </is>
      </c>
      <c r="D24" s="7" t="n">
        <v>8</v>
      </c>
      <c r="E24" s="9" t="n">
        <v>161.71</v>
      </c>
      <c r="F24" s="10" t="n">
        <v>1.42</v>
      </c>
    </row>
    <row r="25">
      <c r="A25" s="1" t="inlineStr">
        <is>
          <t xml:space="preserve">29235708       </t>
        </is>
      </c>
      <c r="B25" s="5" t="inlineStr">
        <is>
          <t>TEAMSTERZ RESCATE POR AIRE Y MAR</t>
        </is>
      </c>
      <c r="C25" t="inlineStr">
        <is>
          <t>TEAMSTERZ</t>
        </is>
      </c>
      <c r="D25" s="7" t="n">
        <v>9</v>
      </c>
      <c r="E25" s="9" t="n">
        <v>213.03</v>
      </c>
      <c r="F25" s="10" t="n">
        <v>1.42</v>
      </c>
    </row>
    <row r="26">
      <c r="A26" s="1" t="inlineStr">
        <is>
          <t xml:space="preserve">29235710       </t>
        </is>
      </c>
      <c r="B26" s="5" t="inlineStr">
        <is>
          <t>TEAMSTERZ PLAYSET GRANDES CONSTRUCCIONES</t>
        </is>
      </c>
      <c r="C26" t="inlineStr">
        <is>
          <t>TEAMSTERZ</t>
        </is>
      </c>
      <c r="D26" s="7" t="n">
        <v>12</v>
      </c>
      <c r="E26" s="9" t="n">
        <v>141.6</v>
      </c>
      <c r="F26" s="10" t="n">
        <v>1.42</v>
      </c>
    </row>
    <row r="27">
      <c r="A27" s="1" t="inlineStr">
        <is>
          <t xml:space="preserve">29235711       </t>
        </is>
      </c>
      <c r="B27" s="5" t="inlineStr">
        <is>
          <t>TEAMSTERZ DISPARADORES TIBURON INCL. 1 AUTO</t>
        </is>
      </c>
      <c r="C27" t="inlineStr">
        <is>
          <t>TEAMSTERZ</t>
        </is>
      </c>
      <c r="D27" s="7" t="n">
        <v>3</v>
      </c>
      <c r="E27" s="9" t="n">
        <v>53.22</v>
      </c>
      <c r="F27" s="10" t="n">
        <v>1.42</v>
      </c>
    </row>
    <row r="28">
      <c r="A28" s="1" t="inlineStr">
        <is>
          <t xml:space="preserve">29235712       </t>
        </is>
      </c>
      <c r="B28" s="5" t="inlineStr">
        <is>
          <t>TEAMSTERZ DISPARADOR DINOSAURIO INCL. 1 AUTO</t>
        </is>
      </c>
      <c r="C28" t="inlineStr">
        <is>
          <t>TEAMSTERZ</t>
        </is>
      </c>
      <c r="D28" s="7" t="n">
        <v>10</v>
      </c>
      <c r="E28" s="9" t="n">
        <v>75.73999999999999</v>
      </c>
      <c r="F28" s="10" t="n">
        <v>1.42</v>
      </c>
    </row>
    <row r="29">
      <c r="A29" s="1" t="inlineStr">
        <is>
          <t xml:space="preserve">29625602       </t>
        </is>
      </c>
      <c r="B29" s="5" t="inlineStr">
        <is>
          <t>HOT WHEELS CAR CASE MULTIMODULAR POR 28 PCS</t>
        </is>
      </c>
      <c r="C29" t="inlineStr">
        <is>
          <t>HOT WHEELS</t>
        </is>
      </c>
      <c r="D29" s="7" t="n">
        <v>1</v>
      </c>
      <c r="E29" s="9" t="n">
        <v>56.29</v>
      </c>
      <c r="F29" s="10" t="n">
        <v>1.42</v>
      </c>
    </row>
    <row r="30">
      <c r="A30" s="1" t="inlineStr">
        <is>
          <t xml:space="preserve">29625603       </t>
        </is>
      </c>
      <c r="B30" s="5" t="inlineStr">
        <is>
          <t>PINYPON FIG. BASICAS DE VERANO SURT.</t>
        </is>
      </c>
      <c r="C30" t="inlineStr">
        <is>
          <t>PINYPON</t>
        </is>
      </c>
      <c r="D30" s="7" t="n">
        <v>1</v>
      </c>
      <c r="E30" s="9" t="n">
        <v>6.37</v>
      </c>
      <c r="F30" s="10" t="n">
        <v>1.42</v>
      </c>
    </row>
    <row r="31">
      <c r="A31" s="1" t="inlineStr">
        <is>
          <t xml:space="preserve">29625604       </t>
        </is>
      </c>
      <c r="B31" s="5" t="inlineStr">
        <is>
          <t>PINYPON FIGURAS DE CUENTOS</t>
        </is>
      </c>
      <c r="C31" t="inlineStr">
        <is>
          <t>PINYPON</t>
        </is>
      </c>
      <c r="D31" s="7" t="n">
        <v>1</v>
      </c>
      <c r="E31" s="9" t="n">
        <v>19.52</v>
      </c>
      <c r="F31" s="10" t="n">
        <v>1.42</v>
      </c>
    </row>
    <row r="32">
      <c r="A32" s="1" t="inlineStr">
        <is>
          <t xml:space="preserve">29625609       </t>
        </is>
      </c>
      <c r="B32" s="5" t="inlineStr">
        <is>
          <t>SUPER WINGS FIGURAS SUPERCARGADAS</t>
        </is>
      </c>
      <c r="C32" t="inlineStr">
        <is>
          <t>SUPER WINGS</t>
        </is>
      </c>
      <c r="D32" s="7" t="n">
        <v>1</v>
      </c>
      <c r="E32" s="9" t="n">
        <v>62.23</v>
      </c>
      <c r="F32" s="10" t="n">
        <v>1.42</v>
      </c>
    </row>
    <row r="33">
      <c r="A33" s="1" t="inlineStr">
        <is>
          <t xml:space="preserve">29625610       </t>
        </is>
      </c>
      <c r="B33" s="5" t="inlineStr">
        <is>
          <t>SUPER WINGS FIGURAS DE ACCION ARTICULADA</t>
        </is>
      </c>
      <c r="C33" t="inlineStr">
        <is>
          <t>SUPER WINGS</t>
        </is>
      </c>
      <c r="D33" s="7" t="n">
        <v>1</v>
      </c>
      <c r="E33" s="9" t="n">
        <v>20.71</v>
      </c>
      <c r="F33" s="10" t="n">
        <v>1.42</v>
      </c>
    </row>
    <row r="34">
      <c r="A34" s="1" t="inlineStr">
        <is>
          <t xml:space="preserve">29773844       </t>
        </is>
      </c>
      <c r="B34" s="5" t="inlineStr">
        <is>
          <t>INFINITY NADO MALETIN DE TROMPO DE BATALLA DE META</t>
        </is>
      </c>
      <c r="C34" t="inlineStr">
        <is>
          <t>INFINITY NADO</t>
        </is>
      </c>
      <c r="D34" s="7" t="n">
        <v>4</v>
      </c>
      <c r="E34" s="9" t="n">
        <v>212.26</v>
      </c>
      <c r="F34" s="10" t="n">
        <v>1.42</v>
      </c>
    </row>
    <row r="35">
      <c r="A35" s="1" t="inlineStr">
        <is>
          <t xml:space="preserve">29854051       </t>
        </is>
      </c>
      <c r="B35" s="5" t="inlineStr">
        <is>
          <t>TEAMSTERZ AUTO DE METAL PACK 10 AUTOS</t>
        </is>
      </c>
      <c r="C35" t="inlineStr">
        <is>
          <t>TEAMSTERZ</t>
        </is>
      </c>
      <c r="D35" s="7" t="n">
        <v>18</v>
      </c>
      <c r="E35" s="9" t="n">
        <v>724.47</v>
      </c>
      <c r="F35" s="10" t="n">
        <v>1.42</v>
      </c>
    </row>
    <row r="36">
      <c r="A36" s="1" t="inlineStr">
        <is>
          <t xml:space="preserve">29854052       </t>
        </is>
      </c>
      <c r="B36" s="5" t="inlineStr">
        <is>
          <t>PLAYSET CAMBIA DE COLOR CROC BITE</t>
        </is>
      </c>
      <c r="C36" t="inlineStr">
        <is>
          <t>TEAMSTERZ</t>
        </is>
      </c>
      <c r="D36" s="7" t="n">
        <v>10</v>
      </c>
      <c r="E36" s="9" t="n">
        <v>474</v>
      </c>
      <c r="F36" s="10" t="n">
        <v>1.42</v>
      </c>
    </row>
    <row r="37">
      <c r="A37" s="1" t="inlineStr">
        <is>
          <t xml:space="preserve">29854053       </t>
        </is>
      </c>
      <c r="B37" s="5" t="inlineStr">
        <is>
          <t>PINYPON CARRO Y MOTO CON CARRO LATERAL SURTIDO</t>
        </is>
      </c>
      <c r="C37" t="inlineStr">
        <is>
          <t>PINYPON</t>
        </is>
      </c>
      <c r="D37" s="7" t="n">
        <v>1</v>
      </c>
      <c r="E37" s="9" t="n">
        <v>22.39</v>
      </c>
      <c r="F37" s="10" t="n">
        <v>1.42</v>
      </c>
    </row>
    <row r="38">
      <c r="A38" s="1" t="inlineStr">
        <is>
          <t xml:space="preserve">30141766       </t>
        </is>
      </c>
      <c r="B38" s="5" t="inlineStr">
        <is>
          <t>TMZ BEAST MACHINES AUTOS DE METAL BLISTER X 1</t>
        </is>
      </c>
      <c r="C38" t="inlineStr">
        <is>
          <t>TEAMSTERZ</t>
        </is>
      </c>
      <c r="D38" s="7" t="n">
        <v>242</v>
      </c>
      <c r="E38" s="9" t="n">
        <v>1122.65</v>
      </c>
      <c r="F38" s="10" t="n">
        <v>1.42</v>
      </c>
    </row>
    <row r="39">
      <c r="A39" s="1" t="inlineStr">
        <is>
          <t xml:space="preserve">30141767       </t>
        </is>
      </c>
      <c r="B39" s="5" t="inlineStr">
        <is>
          <t>TMZ BEAST MACHINES AUTOS DE METAL PACK 5 AUTOS</t>
        </is>
      </c>
      <c r="C39" t="inlineStr">
        <is>
          <t>TEAMSTERZ</t>
        </is>
      </c>
      <c r="D39" s="7" t="n">
        <v>8</v>
      </c>
      <c r="E39" s="9" t="n">
        <v>158.99</v>
      </c>
      <c r="F39" s="10" t="n">
        <v>1.42</v>
      </c>
    </row>
    <row r="40">
      <c r="A40" s="1" t="inlineStr">
        <is>
          <t xml:space="preserve">30141768       </t>
        </is>
      </c>
      <c r="B40" s="5" t="inlineStr">
        <is>
          <t>TMZ BEAST MACHINES AUTOS DE METAL PACK 10 AUTOS</t>
        </is>
      </c>
      <c r="C40" t="inlineStr">
        <is>
          <t>TEAMSTERZ</t>
        </is>
      </c>
      <c r="D40" s="7" t="n">
        <v>18</v>
      </c>
      <c r="E40" s="9" t="n">
        <v>793.95</v>
      </c>
      <c r="F40" s="10" t="n">
        <v>1.42</v>
      </c>
    </row>
    <row r="41">
      <c r="A41" s="1" t="inlineStr">
        <is>
          <t xml:space="preserve">30141769       </t>
        </is>
      </c>
      <c r="B41" s="5" t="inlineStr">
        <is>
          <t>TMZ BEAST MACHINES TRANSPORTE DINOSAURIO + 3 AUTOS</t>
        </is>
      </c>
      <c r="C41" t="inlineStr">
        <is>
          <t>TEAMSTERZ</t>
        </is>
      </c>
      <c r="D41" s="7" t="n">
        <v>17</v>
      </c>
      <c r="E41" s="9" t="n">
        <v>640.84</v>
      </c>
      <c r="F41" s="10" t="n">
        <v>1.42</v>
      </c>
    </row>
    <row r="42">
      <c r="A42" s="1" t="inlineStr">
        <is>
          <t xml:space="preserve">30141775       </t>
        </is>
      </c>
      <c r="B42" s="5" t="inlineStr">
        <is>
          <t>RELOJ DIGITAL PRINCESAS DISNEY</t>
        </is>
      </c>
      <c r="C42" t="inlineStr">
        <is>
          <t>RELOJES LICENCIADOS</t>
        </is>
      </c>
      <c r="D42" s="7" t="n">
        <v>1</v>
      </c>
      <c r="E42" s="9" t="n">
        <v>11.21</v>
      </c>
      <c r="F42" s="10" t="n">
        <v>1.42</v>
      </c>
    </row>
    <row r="43">
      <c r="A43" s="1" t="inlineStr">
        <is>
          <t xml:space="preserve">30141779       </t>
        </is>
      </c>
      <c r="B43" s="5" t="inlineStr">
        <is>
          <t>RELOJ DIGITAL NERF</t>
        </is>
      </c>
      <c r="C43" t="inlineStr">
        <is>
          <t>RELOJES LICENCIADOS</t>
        </is>
      </c>
      <c r="D43" s="7" t="n">
        <v>2</v>
      </c>
      <c r="E43" s="9" t="n">
        <v>22.42</v>
      </c>
      <c r="F43" s="10" t="n">
        <v>1.42</v>
      </c>
    </row>
    <row r="44">
      <c r="A44" s="1" t="inlineStr">
        <is>
          <t xml:space="preserve">30141780       </t>
        </is>
      </c>
      <c r="B44" s="5" t="inlineStr">
        <is>
          <t>RELOJ DIGITAL PEPPA PIG</t>
        </is>
      </c>
      <c r="C44" t="inlineStr">
        <is>
          <t>RELOJES LICENCIADOS</t>
        </is>
      </c>
      <c r="D44" s="7" t="n">
        <v>4</v>
      </c>
      <c r="E44" s="9" t="n">
        <v>44.84</v>
      </c>
      <c r="F44" s="10" t="n">
        <v>1.42</v>
      </c>
    </row>
    <row r="45">
      <c r="A45" s="1" t="inlineStr">
        <is>
          <t xml:space="preserve">30141781       </t>
        </is>
      </c>
      <c r="B45" s="5" t="inlineStr">
        <is>
          <t>RELOJ DIGITAL POLLY POCKET</t>
        </is>
      </c>
      <c r="C45" t="inlineStr">
        <is>
          <t>RELOJES LICENCIADOS</t>
        </is>
      </c>
      <c r="D45" s="7" t="n">
        <v>2</v>
      </c>
      <c r="E45" s="9" t="n">
        <v>21.3</v>
      </c>
      <c r="F45" s="10" t="n">
        <v>1.42</v>
      </c>
    </row>
    <row r="46">
      <c r="A46" s="1" t="inlineStr">
        <is>
          <t xml:space="preserve">30141782       </t>
        </is>
      </c>
      <c r="B46" s="5" t="inlineStr">
        <is>
          <t>RELOJ DIGITAL TRANSFORMERS</t>
        </is>
      </c>
      <c r="C46" t="inlineStr">
        <is>
          <t>RELOJES LICENCIADOS</t>
        </is>
      </c>
      <c r="D46" s="7" t="n">
        <v>1</v>
      </c>
      <c r="E46" s="9" t="n">
        <v>11.21</v>
      </c>
      <c r="F46" s="10" t="n">
        <v>1.42</v>
      </c>
    </row>
    <row r="47">
      <c r="A47" s="1" t="inlineStr">
        <is>
          <t xml:space="preserve">30232281       </t>
        </is>
      </c>
      <c r="B47" s="5" t="inlineStr">
        <is>
          <t>ANTON EL CERDITO COMELON</t>
        </is>
      </c>
      <c r="C47" t="inlineStr">
        <is>
          <t>GOLIATH</t>
        </is>
      </c>
      <c r="D47" s="7" t="n">
        <v>1</v>
      </c>
      <c r="E47" s="9" t="n">
        <v>76.52</v>
      </c>
      <c r="F47" s="10" t="n">
        <v>1.42</v>
      </c>
    </row>
    <row r="48">
      <c r="A48" s="1" t="inlineStr">
        <is>
          <t xml:space="preserve">30232282       </t>
        </is>
      </c>
      <c r="B48" s="5" t="inlineStr">
        <is>
          <t>MANDIBULAS JUEGO DE PESCA</t>
        </is>
      </c>
      <c r="C48" t="inlineStr">
        <is>
          <t>GOLIATH</t>
        </is>
      </c>
      <c r="D48" s="7" t="n">
        <v>5</v>
      </c>
      <c r="E48" s="9" t="n">
        <v>353</v>
      </c>
      <c r="F48" s="10" t="n">
        <v>1.42</v>
      </c>
    </row>
    <row r="49">
      <c r="A49" s="1" t="inlineStr">
        <is>
          <t xml:space="preserve">30232283       </t>
        </is>
      </c>
      <c r="B49" s="5" t="inlineStr">
        <is>
          <t>INFINITY NADO PACK DE 2 TROMPOS DE BATALLA METAL</t>
        </is>
      </c>
      <c r="C49" t="inlineStr">
        <is>
          <t>INFINITY NADO</t>
        </is>
      </c>
      <c r="D49" s="7" t="n">
        <v>9</v>
      </c>
      <c r="E49" s="9" t="n">
        <v>355.38</v>
      </c>
      <c r="F49" s="10" t="n">
        <v>1.42</v>
      </c>
    </row>
    <row r="50">
      <c r="A50" s="1" t="inlineStr">
        <is>
          <t xml:space="preserve">30232284       </t>
        </is>
      </c>
      <c r="B50" s="5" t="inlineStr">
        <is>
          <t>INFINITY NADO TROMPO DE BATALLA - METAL C/PUNTA DE</t>
        </is>
      </c>
      <c r="C50" t="inlineStr">
        <is>
          <t>INFINITY NADO</t>
        </is>
      </c>
      <c r="D50" s="7" t="n">
        <v>43</v>
      </c>
      <c r="E50" s="9" t="n">
        <v>990.66</v>
      </c>
      <c r="F50" s="10" t="n">
        <v>1.42</v>
      </c>
    </row>
    <row r="51">
      <c r="A51" s="1" t="inlineStr">
        <is>
          <t xml:space="preserve">31046049       </t>
        </is>
      </c>
      <c r="B51" s="5" t="inlineStr">
        <is>
          <t>RELOJ DIGITAL HOT WHEELS</t>
        </is>
      </c>
      <c r="C51" t="inlineStr">
        <is>
          <t>RELOJES LICENCIADOS</t>
        </is>
      </c>
      <c r="D51" s="7" t="n">
        <v>2</v>
      </c>
      <c r="E51" s="9" t="n">
        <v>22.42</v>
      </c>
      <c r="F51" s="10" t="n">
        <v>1.42</v>
      </c>
    </row>
    <row r="52">
      <c r="A52" s="1" t="inlineStr">
        <is>
          <t xml:space="preserve">31046050       </t>
        </is>
      </c>
      <c r="B52" s="5" t="inlineStr">
        <is>
          <t>RELOJ DIGITAL CARS</t>
        </is>
      </c>
      <c r="C52" t="inlineStr">
        <is>
          <t>RELOJES LICENCIADOS</t>
        </is>
      </c>
      <c r="D52" s="7" t="n">
        <v>0</v>
      </c>
      <c r="E52" s="9" t="n">
        <v>0</v>
      </c>
      <c r="F52" s="10" t="n">
        <v>0</v>
      </c>
    </row>
    <row r="53">
      <c r="A53" s="1" t="inlineStr">
        <is>
          <t xml:space="preserve">31046051       </t>
        </is>
      </c>
      <c r="B53" s="5" t="inlineStr">
        <is>
          <t>RELOJ DISNEY TOY STORY</t>
        </is>
      </c>
      <c r="C53" t="inlineStr">
        <is>
          <t>RELOJES LICENCIADOS</t>
        </is>
      </c>
      <c r="D53" s="7" t="n">
        <v>4</v>
      </c>
      <c r="E53" s="9" t="n">
        <v>42.6</v>
      </c>
      <c r="F53" s="10" t="n">
        <v>1.42</v>
      </c>
    </row>
    <row r="54">
      <c r="A54" s="1" t="inlineStr">
        <is>
          <t xml:space="preserve">31417427       </t>
        </is>
      </c>
      <c r="B54" s="5" t="inlineStr">
        <is>
          <t>MUNECA EVI LOVE AMIGA DE MASCOTAS SURTIDO</t>
        </is>
      </c>
      <c r="C54" t="inlineStr">
        <is>
          <t>EVI LOVE</t>
        </is>
      </c>
      <c r="D54" s="7" t="n">
        <v>2</v>
      </c>
      <c r="E54" s="9" t="n">
        <v>18.18</v>
      </c>
      <c r="F54" s="10" t="n">
        <v>1.42</v>
      </c>
    </row>
    <row r="55">
      <c r="A55" s="1" t="inlineStr">
        <is>
          <t xml:space="preserve">31417429       </t>
        </is>
      </c>
      <c r="B55" s="5" t="inlineStr">
        <is>
          <t>MUNEVA EVI LOVE CON AUTO Y MASCOTA</t>
        </is>
      </c>
      <c r="C55" t="inlineStr">
        <is>
          <t>EVI LOVE</t>
        </is>
      </c>
      <c r="D55" s="7" t="n">
        <v>1</v>
      </c>
      <c r="E55" s="9" t="n">
        <v>24.88</v>
      </c>
      <c r="F55" s="10" t="n">
        <v>1.42</v>
      </c>
    </row>
    <row r="56">
      <c r="A56" s="1" t="inlineStr">
        <is>
          <t xml:space="preserve">31675347       </t>
        </is>
      </c>
      <c r="B56" s="5" t="inlineStr">
        <is>
          <t>PETRONIX FIGURA + MASCOTAMOBIL SURTIDO</t>
        </is>
      </c>
      <c r="C56" t="inlineStr">
        <is>
          <t>PETRONIX</t>
        </is>
      </c>
      <c r="D56" s="7" t="n">
        <v>1</v>
      </c>
      <c r="E56" s="9" t="n">
        <v>9.51</v>
      </c>
      <c r="F56" s="10" t="n">
        <v>1.42</v>
      </c>
    </row>
    <row r="57">
      <c r="A57" s="1" t="inlineStr">
        <is>
          <t xml:space="preserve">31675352       </t>
        </is>
      </c>
      <c r="B57" s="5" t="inlineStr">
        <is>
          <t>MI PEQUENO NENUCO</t>
        </is>
      </c>
      <c r="C57" t="inlineStr">
        <is>
          <t>NENUCO</t>
        </is>
      </c>
      <c r="D57" s="7" t="n">
        <v>17</v>
      </c>
      <c r="E57" s="9" t="n">
        <v>625.47</v>
      </c>
      <c r="F57" s="10" t="n">
        <v>1.42</v>
      </c>
    </row>
    <row r="58">
      <c r="A58" s="1" t="inlineStr">
        <is>
          <t xml:space="preserve">31675353       </t>
        </is>
      </c>
      <c r="B58" s="5" t="inlineStr">
        <is>
          <t>NENUCO CON BIBERON Y SONAJERO</t>
        </is>
      </c>
      <c r="C58" t="inlineStr">
        <is>
          <t>NENUCO</t>
        </is>
      </c>
      <c r="D58" s="7" t="n">
        <v>9</v>
      </c>
      <c r="E58" s="9" t="n">
        <v>351.83</v>
      </c>
      <c r="F58" s="10" t="n">
        <v>1.42</v>
      </c>
    </row>
    <row r="59">
      <c r="A59" s="1" t="inlineStr">
        <is>
          <t xml:space="preserve">31675354       </t>
        </is>
      </c>
      <c r="B59" s="5" t="inlineStr">
        <is>
          <t>NENUCO LLORON CON ACCESORIOS</t>
        </is>
      </c>
      <c r="C59" t="inlineStr">
        <is>
          <t>NENUCO</t>
        </is>
      </c>
      <c r="D59" s="7" t="n">
        <v>30</v>
      </c>
      <c r="E59" s="9" t="n">
        <v>1393.56</v>
      </c>
      <c r="F59" s="10" t="n">
        <v>1.42</v>
      </c>
    </row>
    <row r="60">
      <c r="A60" s="1" t="inlineStr">
        <is>
          <t xml:space="preserve">31675356       </t>
        </is>
      </c>
      <c r="B60" s="5" t="inlineStr">
        <is>
          <t>PINYPON PEQUENA CASITA CON MUNECA + ACCESORIOS</t>
        </is>
      </c>
      <c r="C60" t="inlineStr">
        <is>
          <t>PINYPON</t>
        </is>
      </c>
      <c r="D60" s="7" t="n">
        <v>1</v>
      </c>
      <c r="E60" s="9" t="n">
        <v>35.53</v>
      </c>
      <c r="F60" s="10" t="n">
        <v>1.42</v>
      </c>
    </row>
    <row r="61">
      <c r="A61" s="1" t="inlineStr">
        <is>
          <t xml:space="preserve">31754674       </t>
        </is>
      </c>
      <c r="B61" s="5" t="inlineStr">
        <is>
          <t>PEPE MOCO - CEREBRO SALTARIN</t>
        </is>
      </c>
      <c r="C61" t="inlineStr">
        <is>
          <t>GOLIATH</t>
        </is>
      </c>
      <c r="D61" s="7" t="n">
        <v>2</v>
      </c>
      <c r="E61" s="9" t="n">
        <v>106.66</v>
      </c>
      <c r="F61" s="10" t="n">
        <v>1.42</v>
      </c>
    </row>
    <row r="62">
      <c r="A62" s="1" t="inlineStr">
        <is>
          <t xml:space="preserve">31754675       </t>
        </is>
      </c>
      <c r="B62" s="5" t="inlineStr">
        <is>
          <t>INFINITY NADO SERIE 6 STARTER PACK - 4 MODELOS</t>
        </is>
      </c>
      <c r="C62" t="inlineStr">
        <is>
          <t>INFINITY NADO</t>
        </is>
      </c>
      <c r="D62" s="7" t="n">
        <v>43</v>
      </c>
      <c r="E62" s="9" t="n">
        <v>1437.82</v>
      </c>
      <c r="F62" s="10" t="n">
        <v>1.42</v>
      </c>
    </row>
    <row r="63">
      <c r="A63" s="1" t="inlineStr">
        <is>
          <t xml:space="preserve">31754676       </t>
        </is>
      </c>
      <c r="B63" s="5" t="inlineStr">
        <is>
          <t>INFINITY NADO SERIE 6 STD PACK LANZ ESPAD ANILLO M</t>
        </is>
      </c>
      <c r="C63" t="inlineStr">
        <is>
          <t>INFINITY NADO</t>
        </is>
      </c>
      <c r="D63" s="7" t="n">
        <v>38</v>
      </c>
      <c r="E63" s="9" t="n">
        <v>1462.96</v>
      </c>
      <c r="F63" s="10" t="n">
        <v>1.42</v>
      </c>
    </row>
    <row r="64">
      <c r="A64" s="1" t="inlineStr">
        <is>
          <t xml:space="preserve">31754677       </t>
        </is>
      </c>
      <c r="B64" s="5" t="inlineStr">
        <is>
          <t>INFINITY NADO SERIE 6 SET DE BATALL</t>
        </is>
      </c>
      <c r="C64" t="inlineStr">
        <is>
          <t>INFINITY NADO</t>
        </is>
      </c>
      <c r="D64" s="7" t="n">
        <v>14</v>
      </c>
      <c r="E64" s="9" t="n">
        <v>1379.84</v>
      </c>
      <c r="F64" s="10" t="n">
        <v>1.42</v>
      </c>
    </row>
    <row r="65">
      <c r="A65" s="1" t="inlineStr">
        <is>
          <t xml:space="preserve">31754678       </t>
        </is>
      </c>
      <c r="B65" s="5" t="inlineStr">
        <is>
          <t>PINYPON CELEBRACION DE CUMPLEANOS + ACCESS.</t>
        </is>
      </c>
      <c r="C65" t="inlineStr">
        <is>
          <t>PINYPON</t>
        </is>
      </c>
      <c r="D65" s="7" t="n">
        <v>2</v>
      </c>
      <c r="E65" s="9" t="n">
        <v>82.94</v>
      </c>
      <c r="F65" s="10" t="n">
        <v>1.42</v>
      </c>
    </row>
    <row r="66">
      <c r="A66" s="1" t="inlineStr">
        <is>
          <t xml:space="preserve">31754679       </t>
        </is>
      </c>
      <c r="B66" s="5" t="inlineStr">
        <is>
          <t>RELOJ DIGITAL CRY BABIES</t>
        </is>
      </c>
      <c r="C66" t="inlineStr">
        <is>
          <t>RELOJES LICENCIADOS</t>
        </is>
      </c>
      <c r="D66" s="7" t="n">
        <v>1</v>
      </c>
      <c r="E66" s="9" t="n">
        <v>11.21</v>
      </c>
      <c r="F66" s="10" t="n">
        <v>1.42</v>
      </c>
    </row>
    <row r="67">
      <c r="A67" s="1" t="inlineStr">
        <is>
          <t xml:space="preserve">31800856       </t>
        </is>
      </c>
      <c r="B67" s="5" t="inlineStr">
        <is>
          <t>DART ZONE STORM SQUAD TIRO RAPIDO BLASTER + 25 DAR</t>
        </is>
      </c>
      <c r="C67" t="inlineStr">
        <is>
          <t>DART ZONE</t>
        </is>
      </c>
      <c r="D67" s="7" t="n">
        <v>1</v>
      </c>
      <c r="E67" s="9" t="n">
        <v>8.869999999999999</v>
      </c>
      <c r="F67" s="10" t="n">
        <v>1.42</v>
      </c>
    </row>
    <row r="68">
      <c r="A68" s="1" t="inlineStr">
        <is>
          <t xml:space="preserve">31800857       </t>
        </is>
      </c>
      <c r="B68" s="5" t="inlineStr">
        <is>
          <t>DART ZONE BLITZFIRE TIRO RAPIDO BLASTER X1</t>
        </is>
      </c>
      <c r="C68" t="inlineStr">
        <is>
          <t>DART ZONE</t>
        </is>
      </c>
      <c r="D68" s="7" t="n">
        <v>3</v>
      </c>
      <c r="E68" s="9" t="n">
        <v>25.72</v>
      </c>
      <c r="F68" s="10" t="n">
        <v>1.42</v>
      </c>
    </row>
    <row r="69">
      <c r="A69" s="1" t="inlineStr">
        <is>
          <t xml:space="preserve">31800858       </t>
        </is>
      </c>
      <c r="B69" s="5" t="inlineStr">
        <is>
          <t>DART ZONE BLITZFIRE TIRO RAPIDO BLASTER X2</t>
        </is>
      </c>
      <c r="C69" t="inlineStr">
        <is>
          <t>DART ZONE</t>
        </is>
      </c>
      <c r="D69" s="7" t="n">
        <v>1</v>
      </c>
      <c r="E69" s="9" t="n">
        <v>17.77</v>
      </c>
      <c r="F69" s="10" t="n">
        <v>1.42</v>
      </c>
    </row>
    <row r="70">
      <c r="A70" s="1" t="inlineStr">
        <is>
          <t xml:space="preserve">31800861       </t>
        </is>
      </c>
      <c r="B70" s="5" t="inlineStr">
        <is>
          <t>DART ZONE MASCARA TACTICA DE PROTECCION</t>
        </is>
      </c>
      <c r="C70" t="inlineStr">
        <is>
          <t>DART ZONE</t>
        </is>
      </c>
      <c r="D70" s="7" t="n">
        <v>1</v>
      </c>
      <c r="E70" s="9" t="n">
        <v>35.53</v>
      </c>
      <c r="F70" s="10" t="n">
        <v>1.42</v>
      </c>
    </row>
    <row r="71">
      <c r="A71" s="1" t="inlineStr">
        <is>
          <t xml:space="preserve">31959956       </t>
        </is>
      </c>
      <c r="B71" s="5" t="inlineStr">
        <is>
          <t>TEAMSTERZ CAMION TRANSPORTA ANIMALES SURTIDO</t>
        </is>
      </c>
      <c r="C71" t="inlineStr">
        <is>
          <t>TEAMSTERZ</t>
        </is>
      </c>
      <c r="D71" s="7" t="n">
        <v>14</v>
      </c>
      <c r="E71" s="9" t="n">
        <v>146.56</v>
      </c>
      <c r="F71" s="10" t="n">
        <v>1.42</v>
      </c>
    </row>
    <row r="72">
      <c r="A72" s="1" t="inlineStr">
        <is>
          <t xml:space="preserve">31959957       </t>
        </is>
      </c>
      <c r="B72" s="5" t="inlineStr">
        <is>
          <t>TEAMSTERZ PLAYSET RESCATE EN EL MAR</t>
        </is>
      </c>
      <c r="C72" t="inlineStr">
        <is>
          <t>TEAMSTERZ</t>
        </is>
      </c>
      <c r="D72" s="7" t="n">
        <v>13</v>
      </c>
      <c r="E72" s="9" t="n">
        <v>152.23</v>
      </c>
      <c r="F72" s="10" t="n">
        <v>1.42</v>
      </c>
    </row>
    <row r="73">
      <c r="A73" s="1" t="inlineStr">
        <is>
          <t xml:space="preserve">31959958       </t>
        </is>
      </c>
      <c r="B73" s="5" t="inlineStr">
        <is>
          <t>TMZ BEAST MACHINE AUTOS DE METAL PACK 3 AUTOS</t>
        </is>
      </c>
      <c r="C73" t="inlineStr">
        <is>
          <t>TEAMSTERZ</t>
        </is>
      </c>
      <c r="D73" s="7" t="n">
        <v>9</v>
      </c>
      <c r="E73" s="9" t="n">
        <v>125.14</v>
      </c>
      <c r="F73" s="10" t="n">
        <v>1.42</v>
      </c>
    </row>
    <row r="74">
      <c r="A74" s="1" t="inlineStr">
        <is>
          <t xml:space="preserve">31959959       </t>
        </is>
      </c>
      <c r="B74" s="5" t="inlineStr">
        <is>
          <t>TMZ CAMBIA DE COLOR LANZADOR SPIN SPLASH + 1 AUTO</t>
        </is>
      </c>
      <c r="C74" t="inlineStr">
        <is>
          <t>TEAMSTERZ</t>
        </is>
      </c>
      <c r="D74" s="7" t="n">
        <v>10</v>
      </c>
      <c r="E74" s="9" t="n">
        <v>87.51000000000001</v>
      </c>
      <c r="F74" s="10" t="n">
        <v>1.42</v>
      </c>
    </row>
    <row r="75">
      <c r="A75" s="1" t="inlineStr">
        <is>
          <t xml:space="preserve">31959960       </t>
        </is>
      </c>
      <c r="B75" s="5" t="inlineStr">
        <is>
          <t>TEAMSTERZ PLAYSET DE CONSTRUCCION VEHICULOS + ACCE</t>
        </is>
      </c>
      <c r="C75" t="inlineStr">
        <is>
          <t>TEAMSTERZ</t>
        </is>
      </c>
      <c r="D75" s="7" t="n">
        <v>4</v>
      </c>
      <c r="E75" s="9" t="n">
        <v>89.94</v>
      </c>
      <c r="F75" s="10" t="n">
        <v>1.42</v>
      </c>
    </row>
    <row r="76">
      <c r="A76" s="1" t="inlineStr">
        <is>
          <t xml:space="preserve">31959961       </t>
        </is>
      </c>
      <c r="B76" s="5" t="inlineStr">
        <is>
          <t>TEAMSTERZ CAMBIA DE COLOR PACK DE 3 AUTOS</t>
        </is>
      </c>
      <c r="C76" t="inlineStr">
        <is>
          <t>TEAMSTERZ</t>
        </is>
      </c>
      <c r="D76" s="7" t="n">
        <v>25</v>
      </c>
      <c r="E76" s="9" t="n">
        <v>725.2</v>
      </c>
      <c r="F76" s="10" t="n">
        <v>1.42</v>
      </c>
    </row>
    <row r="77">
      <c r="A77" s="1" t="inlineStr">
        <is>
          <t xml:space="preserve">31959968       </t>
        </is>
      </c>
      <c r="B77" s="5" t="inlineStr">
        <is>
          <t>PINYPON FIGURAS BASICAS SERIE 13 DISP. 56</t>
        </is>
      </c>
      <c r="C77" t="inlineStr">
        <is>
          <t>PINYPON</t>
        </is>
      </c>
      <c r="D77" s="7" t="n">
        <v>4</v>
      </c>
      <c r="E77" s="9" t="n">
        <v>29.73</v>
      </c>
      <c r="F77" s="10" t="n">
        <v>1.42</v>
      </c>
    </row>
    <row r="78">
      <c r="A78" s="1" t="inlineStr">
        <is>
          <t xml:space="preserve">32457096       </t>
        </is>
      </c>
      <c r="B78" s="5" t="inlineStr">
        <is>
          <t>PINYPON AUTO DEPORT / SCOOTER + FIGURA SURT</t>
        </is>
      </c>
      <c r="C78" t="inlineStr">
        <is>
          <t>PINYPON</t>
        </is>
      </c>
      <c r="D78" s="7" t="n">
        <v>2</v>
      </c>
      <c r="E78" s="9" t="n">
        <v>82.94</v>
      </c>
      <c r="F78" s="10" t="n">
        <v>1.42</v>
      </c>
    </row>
    <row r="79">
      <c r="A79" s="1" t="inlineStr">
        <is>
          <t xml:space="preserve">32457099       </t>
        </is>
      </c>
      <c r="B79" s="5" t="inlineStr">
        <is>
          <t>TMZ BEAST MACHINES MONSTER JAWS A FRICCION BLISTER</t>
        </is>
      </c>
      <c r="C79" t="inlineStr">
        <is>
          <t>TEAMSTERZ</t>
        </is>
      </c>
      <c r="D79" s="7" t="n">
        <v>137</v>
      </c>
      <c r="E79" s="9" t="n">
        <v>1513.41</v>
      </c>
      <c r="F79" s="10" t="n">
        <v>1.42</v>
      </c>
    </row>
    <row r="80">
      <c r="A80" s="1" t="inlineStr">
        <is>
          <t xml:space="preserve">32457100       </t>
        </is>
      </c>
      <c r="B80" s="5" t="inlineStr">
        <is>
          <t>TMZ BEAST MACHINES LANZADOR ESCORPION + 2 AUTOS</t>
        </is>
      </c>
      <c r="C80" t="inlineStr">
        <is>
          <t>TEAMSTERZ</t>
        </is>
      </c>
      <c r="D80" s="7" t="n">
        <v>3</v>
      </c>
      <c r="E80" s="9" t="n">
        <v>22.19</v>
      </c>
      <c r="F80" s="10" t="n">
        <v>1.42</v>
      </c>
    </row>
    <row r="81">
      <c r="A81" s="1" t="inlineStr">
        <is>
          <t xml:space="preserve">32457101       </t>
        </is>
      </c>
      <c r="B81" s="5" t="inlineStr">
        <is>
          <t>TMZ BEAST MACHINES TRANSPORTE PESADO + 2 AUTOS SUR</t>
        </is>
      </c>
      <c r="C81" t="inlineStr">
        <is>
          <t>TEAMSTERZ</t>
        </is>
      </c>
      <c r="D81" s="7" t="n">
        <v>11</v>
      </c>
      <c r="E81" s="9" t="n">
        <v>194.64</v>
      </c>
      <c r="F81" s="10" t="n">
        <v>1.42</v>
      </c>
    </row>
    <row r="82">
      <c r="A82" s="1" t="inlineStr">
        <is>
          <t xml:space="preserve">32457102       </t>
        </is>
      </c>
      <c r="B82" s="5" t="inlineStr">
        <is>
          <t>TMZ CAMBIA DE COLOR LANZADOR DINO SPLASH + 1 AUTO</t>
        </is>
      </c>
      <c r="C82" t="inlineStr">
        <is>
          <t>TEAMSTERZ</t>
        </is>
      </c>
      <c r="D82" s="7" t="n">
        <v>1</v>
      </c>
      <c r="E82" s="9" t="n">
        <v>23.67</v>
      </c>
      <c r="F82" s="10" t="n">
        <v>1.42</v>
      </c>
    </row>
    <row r="83">
      <c r="A83" s="1" t="inlineStr">
        <is>
          <t xml:space="preserve">32457103       </t>
        </is>
      </c>
      <c r="B83" s="5" t="inlineStr">
        <is>
          <t>TMZ BEAST MACHINES MONSTER JAWS A FRICCION PACK DE</t>
        </is>
      </c>
      <c r="C83" t="inlineStr">
        <is>
          <t>TEAMSTERZ</t>
        </is>
      </c>
      <c r="D83" s="7" t="n">
        <v>40</v>
      </c>
      <c r="E83" s="9" t="n">
        <v>820.9400000000001</v>
      </c>
      <c r="F83" s="10" t="n">
        <v>1.42</v>
      </c>
    </row>
    <row r="84">
      <c r="A84" s="1" t="inlineStr">
        <is>
          <t xml:space="preserve">32457104       </t>
        </is>
      </c>
      <c r="B84" s="5" t="inlineStr">
        <is>
          <t>TMZ BEAST MACHINES PLAYSET DESASTRE REPTIL + 1 AUT</t>
        </is>
      </c>
      <c r="C84" t="inlineStr">
        <is>
          <t>TEAMSTERZ</t>
        </is>
      </c>
      <c r="D84" s="7" t="n">
        <v>3</v>
      </c>
      <c r="E84" s="9" t="n">
        <v>100.67</v>
      </c>
      <c r="F84" s="10" t="n">
        <v>1.42</v>
      </c>
    </row>
    <row r="85">
      <c r="A85" s="1" t="inlineStr">
        <is>
          <t xml:space="preserve">32457105       </t>
        </is>
      </c>
      <c r="B85" s="5" t="inlineStr">
        <is>
          <t>TMZ BEAST MACHINES MONSTER JAWS ATAQUE ESCORPION +</t>
        </is>
      </c>
      <c r="C85" t="inlineStr">
        <is>
          <t>TEAMSTERZ</t>
        </is>
      </c>
      <c r="D85" s="7" t="n">
        <v>6</v>
      </c>
      <c r="E85" s="9" t="n">
        <v>189.47</v>
      </c>
      <c r="F85" s="10" t="n">
        <v>1.42</v>
      </c>
    </row>
    <row r="86">
      <c r="A86" s="1" t="inlineStr">
        <is>
          <t xml:space="preserve">32457106       </t>
        </is>
      </c>
      <c r="B86" s="5" t="inlineStr">
        <is>
          <t>TMZ BEAST MACHINES PLAYSET DESASTRE DRAGON + 1 AUT</t>
        </is>
      </c>
      <c r="C86" t="inlineStr">
        <is>
          <t>TEAMSTERZ</t>
        </is>
      </c>
      <c r="D86" s="7" t="n">
        <v>6</v>
      </c>
      <c r="E86" s="9" t="n">
        <v>186.51</v>
      </c>
      <c r="F86" s="10" t="n">
        <v>1.42</v>
      </c>
    </row>
    <row r="87">
      <c r="A87" s="1" t="inlineStr">
        <is>
          <t xml:space="preserve">32457107       </t>
        </is>
      </c>
      <c r="B87" s="5" t="inlineStr">
        <is>
          <t>TMZ CAMBIA DE COLOR PLAYSET ATAQUE PIRANA + 1 AUTO</t>
        </is>
      </c>
      <c r="C87" t="inlineStr">
        <is>
          <t>TEAMSTERZ</t>
        </is>
      </c>
      <c r="D87" s="7" t="n">
        <v>1</v>
      </c>
      <c r="E87" s="9" t="n">
        <v>47.4</v>
      </c>
      <c r="F87" s="10" t="n">
        <v>1.42</v>
      </c>
    </row>
    <row r="88">
      <c r="A88" s="1" t="inlineStr">
        <is>
          <t xml:space="preserve">32457111       </t>
        </is>
      </c>
      <c r="B88" s="5" t="inlineStr">
        <is>
          <t>TMZ BEAST MACHINES MONSTER JAWS A FRICCION PACK DE</t>
        </is>
      </c>
      <c r="C88" t="inlineStr">
        <is>
          <t>TEAMSTERZ</t>
        </is>
      </c>
      <c r="D88" s="7" t="n">
        <v>25</v>
      </c>
      <c r="E88" s="9" t="n">
        <v>933.75</v>
      </c>
      <c r="F88" s="10" t="n">
        <v>1.42</v>
      </c>
    </row>
    <row r="89">
      <c r="A89" s="1" t="inlineStr">
        <is>
          <t xml:space="preserve">32457117       </t>
        </is>
      </c>
      <c r="B89" s="5" t="inlineStr">
        <is>
          <t>MUNECA EVI LOVE CON PERRITO + CASA Y ACCES.</t>
        </is>
      </c>
      <c r="C89" t="inlineStr">
        <is>
          <t>EVI LOVE</t>
        </is>
      </c>
      <c r="D89" s="7" t="n">
        <v>1</v>
      </c>
      <c r="E89" s="9" t="n">
        <v>20.71</v>
      </c>
      <c r="F89" s="10" t="n">
        <v>1.42</v>
      </c>
    </row>
    <row r="90">
      <c r="A90" s="1" t="inlineStr">
        <is>
          <t xml:space="preserve">32457118       </t>
        </is>
      </c>
      <c r="B90" s="5" t="inlineStr">
        <is>
          <t>MUNECA EVI LOVE CAMAROTE + 2 MUNECAS</t>
        </is>
      </c>
      <c r="C90" t="inlineStr">
        <is>
          <t>EVI LOVE</t>
        </is>
      </c>
      <c r="D90" s="7" t="n">
        <v>5</v>
      </c>
      <c r="E90" s="9" t="n">
        <v>124.32</v>
      </c>
      <c r="F90" s="10" t="n">
        <v>1.42</v>
      </c>
    </row>
    <row r="91">
      <c r="A91" s="1" t="inlineStr">
        <is>
          <t xml:space="preserve">32457120       </t>
        </is>
      </c>
      <c r="B91" s="5" t="inlineStr">
        <is>
          <t>MUNECA STEFFI LOVE PEINADO DE PERLAS + ACCESS.</t>
        </is>
      </c>
      <c r="C91" t="inlineStr">
        <is>
          <t>STEFFI LOVE</t>
        </is>
      </c>
      <c r="D91" s="7" t="n">
        <v>1</v>
      </c>
      <c r="E91" s="9" t="n">
        <v>24.88</v>
      </c>
      <c r="F91" s="10" t="n">
        <v>1.42</v>
      </c>
    </row>
    <row r="92">
      <c r="A92" s="1" t="inlineStr">
        <is>
          <t xml:space="preserve">32457121       </t>
        </is>
      </c>
      <c r="B92" s="5" t="inlineStr">
        <is>
          <t>MUNECA STEFFI LOVE PASEO DE MASCOTAS + ACCESS.</t>
        </is>
      </c>
      <c r="C92" t="inlineStr">
        <is>
          <t>STEFFI LOVE</t>
        </is>
      </c>
      <c r="D92" s="7" t="n">
        <v>1</v>
      </c>
      <c r="E92" s="9" t="n">
        <v>37.32</v>
      </c>
      <c r="F92" s="10" t="n">
        <v>1.42</v>
      </c>
    </row>
    <row r="93">
      <c r="A93" s="1" t="inlineStr">
        <is>
          <t xml:space="preserve">32656401       </t>
        </is>
      </c>
      <c r="B93" s="5" t="inlineStr">
        <is>
          <t>DART ZONE MAX DICTATOR</t>
        </is>
      </c>
      <c r="C93" t="inlineStr">
        <is>
          <t>DART ZONE</t>
        </is>
      </c>
      <c r="D93" s="7" t="n">
        <v>1</v>
      </c>
      <c r="E93" s="9" t="n">
        <v>44.2</v>
      </c>
      <c r="F93" s="10" t="n">
        <v>1.42</v>
      </c>
    </row>
    <row r="94">
      <c r="A94" s="1" t="inlineStr">
        <is>
          <t xml:space="preserve">32656402       </t>
        </is>
      </c>
      <c r="B94" s="5" t="inlineStr">
        <is>
          <t>DART ZONE BLASTER MOTORIZADO VULCANATOR</t>
        </is>
      </c>
      <c r="C94" t="inlineStr">
        <is>
          <t>DART ZONE</t>
        </is>
      </c>
      <c r="D94" s="7" t="n">
        <v>1</v>
      </c>
      <c r="E94" s="9" t="n">
        <v>38.26</v>
      </c>
      <c r="F94" s="10" t="n">
        <v>1.42</v>
      </c>
    </row>
    <row r="95">
      <c r="A95" s="1" t="inlineStr">
        <is>
          <t xml:space="preserve">32656408       </t>
        </is>
      </c>
      <c r="B95" s="5" t="inlineStr">
        <is>
          <t>VIP PETS INFLUENCER</t>
        </is>
      </c>
      <c r="C95" t="inlineStr">
        <is>
          <t>VIP PETS</t>
        </is>
      </c>
      <c r="D95" s="7" t="n">
        <v>0</v>
      </c>
      <c r="E95" s="9" t="n">
        <v>0</v>
      </c>
      <c r="F95" s="10" t="n">
        <v>0</v>
      </c>
    </row>
    <row r="96">
      <c r="A96" s="1" t="inlineStr">
        <is>
          <t xml:space="preserve">32656410       </t>
        </is>
      </c>
      <c r="B96" s="5" t="inlineStr">
        <is>
          <t>VIP PETS S5 GEMAS DE GLAMOUR SURTIDO</t>
        </is>
      </c>
      <c r="C96" t="inlineStr">
        <is>
          <t>VIP PETS</t>
        </is>
      </c>
      <c r="D96" s="7" t="n">
        <v>2</v>
      </c>
      <c r="E96" s="9" t="n">
        <v>82.94</v>
      </c>
      <c r="F96" s="10" t="n">
        <v>1.42</v>
      </c>
    </row>
    <row r="97">
      <c r="A97" s="1" t="inlineStr">
        <is>
          <t xml:space="preserve">32656416       </t>
        </is>
      </c>
      <c r="B97" s="5" t="inlineStr">
        <is>
          <t>EL PISO ES LAVA</t>
        </is>
      </c>
      <c r="C97" t="inlineStr">
        <is>
          <t>GOLIATH</t>
        </is>
      </c>
      <c r="D97" s="7" t="n">
        <v>7</v>
      </c>
      <c r="E97" s="9" t="n">
        <v>246.99</v>
      </c>
      <c r="F97" s="10" t="n">
        <v>1.42</v>
      </c>
    </row>
    <row r="98">
      <c r="A98" s="1" t="inlineStr">
        <is>
          <t xml:space="preserve">32656417       </t>
        </is>
      </c>
      <c r="B98" s="5" t="inlineStr">
        <is>
          <t>NO DESPIERTES A PAPA</t>
        </is>
      </c>
      <c r="C98" t="inlineStr">
        <is>
          <t>GOLIATH</t>
        </is>
      </c>
      <c r="D98" s="7" t="n">
        <v>6</v>
      </c>
      <c r="E98" s="9" t="n">
        <v>201.34</v>
      </c>
      <c r="F98" s="10" t="n">
        <v>1.42</v>
      </c>
    </row>
    <row r="99">
      <c r="A99" s="1" t="inlineStr">
        <is>
          <t xml:space="preserve">32656420       </t>
        </is>
      </c>
      <c r="B99" s="5" t="inlineStr">
        <is>
          <t>PINYPON ACTION EXPLORADOR + FIGURA Y ANIMAL</t>
        </is>
      </c>
      <c r="C99" t="inlineStr">
        <is>
          <t>PINYPON</t>
        </is>
      </c>
      <c r="D99" s="7" t="n">
        <v>2</v>
      </c>
      <c r="E99" s="9" t="n">
        <v>33.1</v>
      </c>
      <c r="F99" s="10" t="n">
        <v>1.42</v>
      </c>
    </row>
    <row r="100">
      <c r="A100" s="1" t="inlineStr">
        <is>
          <t xml:space="preserve">32656523       </t>
        </is>
      </c>
      <c r="B100" s="5" t="inlineStr">
        <is>
          <t>TMZ BEAST MACHINES TRANSPORT. T-REX ELECTR. + ACCE</t>
        </is>
      </c>
      <c r="C100" t="inlineStr">
        <is>
          <t>TEAMSTERZ</t>
        </is>
      </c>
      <c r="D100" s="7" t="n">
        <v>16</v>
      </c>
      <c r="E100" s="9" t="n">
        <v>1677.66</v>
      </c>
      <c r="F100" s="10" t="n">
        <v>1.42</v>
      </c>
    </row>
    <row r="101">
      <c r="A101" s="1" t="inlineStr">
        <is>
          <t xml:space="preserve">33483115       </t>
        </is>
      </c>
      <c r="B101" s="5" t="inlineStr">
        <is>
          <t>MUNECA EVI LOVE CON MAMA Y BB CANGURO + ACC.</t>
        </is>
      </c>
      <c r="C101" t="inlineStr">
        <is>
          <t>EVI LOVE</t>
        </is>
      </c>
      <c r="D101" s="7" t="n">
        <v>1</v>
      </c>
      <c r="E101" s="9" t="n">
        <v>13.49</v>
      </c>
      <c r="F101" s="10" t="n">
        <v>1.42</v>
      </c>
    </row>
    <row r="102">
      <c r="A102" s="1" t="inlineStr">
        <is>
          <t xml:space="preserve">33483116       </t>
        </is>
      </c>
      <c r="B102" s="5" t="inlineStr">
        <is>
          <t>MUNECA EVI LOVE GATO + COCHE + ACC.</t>
        </is>
      </c>
      <c r="C102" t="inlineStr">
        <is>
          <t>EVI LOVE</t>
        </is>
      </c>
      <c r="D102" s="7" t="n">
        <v>5</v>
      </c>
      <c r="E102" s="9" t="n">
        <v>67.93000000000001</v>
      </c>
      <c r="F102" s="10" t="n">
        <v>1.42</v>
      </c>
    </row>
    <row r="103">
      <c r="A103" s="1" t="inlineStr">
        <is>
          <t xml:space="preserve">33483117       </t>
        </is>
      </c>
      <c r="B103" s="5" t="inlineStr">
        <is>
          <t>MUNECA EVI LOVE SAFARI+VEHIC.+2 BB ANIMAL+ACC.</t>
        </is>
      </c>
      <c r="C103" t="inlineStr">
        <is>
          <t>EVI LOVE</t>
        </is>
      </c>
      <c r="D103" s="7" t="n">
        <v>1</v>
      </c>
      <c r="E103" s="9" t="n">
        <v>21.32</v>
      </c>
      <c r="F103" s="10" t="n">
        <v>1.42</v>
      </c>
    </row>
    <row r="104">
      <c r="A104" s="1" t="inlineStr">
        <is>
          <t xml:space="preserve">33483118       </t>
        </is>
      </c>
      <c r="B104" s="5" t="inlineStr">
        <is>
          <t>MUNECA EVI LOVE SET CUIDADO DE PERROS + ACC.</t>
        </is>
      </c>
      <c r="C104" t="inlineStr">
        <is>
          <t>EVI LOVE</t>
        </is>
      </c>
      <c r="D104" s="7" t="n">
        <v>3</v>
      </c>
      <c r="E104" s="9" t="n">
        <v>50.65</v>
      </c>
      <c r="F104" s="10" t="n">
        <v>1.42</v>
      </c>
    </row>
    <row r="105">
      <c r="A105" s="1" t="inlineStr">
        <is>
          <t xml:space="preserve">33483119       </t>
        </is>
      </c>
      <c r="B105" s="5" t="inlineStr">
        <is>
          <t>MUNECA EVI LOVE TRAJE TIPICO CON ALPACA</t>
        </is>
      </c>
      <c r="C105" t="inlineStr">
        <is>
          <t>EVI LOVE</t>
        </is>
      </c>
      <c r="D105" s="7" t="n">
        <v>6</v>
      </c>
      <c r="E105" s="9" t="n">
        <v>92.23999999999999</v>
      </c>
      <c r="F105" s="10" t="n">
        <v>1.42</v>
      </c>
    </row>
    <row r="106">
      <c r="A106" s="1" t="inlineStr">
        <is>
          <t xml:space="preserve">33483120       </t>
        </is>
      </c>
      <c r="B106" s="5" t="inlineStr">
        <is>
          <t>HOT WHEELS 2 EN 1 AUTO DE CARRERAS + GUARDA AUTOS</t>
        </is>
      </c>
      <c r="C106" t="inlineStr">
        <is>
          <t>HOT WHEELS</t>
        </is>
      </c>
      <c r="D106" s="7" t="n">
        <v>4</v>
      </c>
      <c r="E106" s="9" t="n">
        <v>189.6</v>
      </c>
      <c r="F106" s="10" t="n">
        <v>1.42</v>
      </c>
    </row>
    <row r="107">
      <c r="A107" s="1" t="inlineStr">
        <is>
          <t xml:space="preserve">33483121       </t>
        </is>
      </c>
      <c r="B107" s="5" t="inlineStr">
        <is>
          <t>HOT WHEELS ESTUCHE PARA 15 AUTOS SURTIDO</t>
        </is>
      </c>
      <c r="C107" t="inlineStr">
        <is>
          <t>HOT WHEELS</t>
        </is>
      </c>
      <c r="D107" s="7" t="n">
        <v>25</v>
      </c>
      <c r="E107" s="9" t="n">
        <v>511.51</v>
      </c>
      <c r="F107" s="10" t="n">
        <v>1.42</v>
      </c>
    </row>
    <row r="108">
      <c r="A108" s="1" t="inlineStr">
        <is>
          <t xml:space="preserve">33483123       </t>
        </is>
      </c>
      <c r="B108" s="5" t="inlineStr">
        <is>
          <t>NENUCO DISFRACES</t>
        </is>
      </c>
      <c r="C108" t="inlineStr">
        <is>
          <t>NENUCO</t>
        </is>
      </c>
      <c r="D108" s="7" t="n">
        <v>15</v>
      </c>
      <c r="E108" s="9" t="n">
        <v>723.46</v>
      </c>
      <c r="F108" s="10" t="n">
        <v>1.42</v>
      </c>
    </row>
    <row r="109">
      <c r="A109" s="1" t="inlineStr">
        <is>
          <t xml:space="preserve">33483126       </t>
        </is>
      </c>
      <c r="B109" s="5" t="inlineStr">
        <is>
          <t>MUNECA STEFFI LOVE ANIMAL FELIZ SURT. + ACC.</t>
        </is>
      </c>
      <c r="C109" t="inlineStr">
        <is>
          <t>STEFFI LOVE</t>
        </is>
      </c>
      <c r="D109" s="7" t="n">
        <v>1</v>
      </c>
      <c r="E109" s="9" t="n">
        <v>47.4</v>
      </c>
      <c r="F109" s="10" t="n">
        <v>1.42</v>
      </c>
    </row>
    <row r="110">
      <c r="A110" s="1" t="inlineStr">
        <is>
          <t xml:space="preserve">33483127       </t>
        </is>
      </c>
      <c r="B110" s="5" t="inlineStr">
        <is>
          <t>MUNECA STEFFI LOVE DIA DE CLASES + ACC.</t>
        </is>
      </c>
      <c r="C110" t="inlineStr">
        <is>
          <t>STEFFI LOVE</t>
        </is>
      </c>
      <c r="D110" s="7" t="n">
        <v>1</v>
      </c>
      <c r="E110" s="9" t="n">
        <v>47.4</v>
      </c>
      <c r="F110" s="10" t="n">
        <v>1.42</v>
      </c>
    </row>
    <row r="111">
      <c r="A111" s="1" t="inlineStr">
        <is>
          <t xml:space="preserve">33483128       </t>
        </is>
      </c>
      <c r="B111" s="5" t="inlineStr">
        <is>
          <t>MUNECA STEFFI LOVE PASEADORA PERRITOS + ACC.</t>
        </is>
      </c>
      <c r="C111" t="inlineStr">
        <is>
          <t>STEFFI LOVE</t>
        </is>
      </c>
      <c r="D111" s="7" t="n">
        <v>2</v>
      </c>
      <c r="E111" s="9" t="n">
        <v>40.51</v>
      </c>
      <c r="F111" s="10" t="n">
        <v>1.42</v>
      </c>
    </row>
    <row r="112">
      <c r="A112" s="1" t="inlineStr">
        <is>
          <t xml:space="preserve">33483133       </t>
        </is>
      </c>
      <c r="B112" s="5" t="inlineStr">
        <is>
          <t>PLAY-DOH ARCILLA LIVIANA X 20 GR. AUTOS SURTIDO</t>
        </is>
      </c>
      <c r="C112" t="inlineStr">
        <is>
          <t>PLAY DOH AIR CLAY</t>
        </is>
      </c>
      <c r="D112" s="7" t="n">
        <v>1</v>
      </c>
      <c r="E112" s="9" t="n">
        <v>7.06</v>
      </c>
      <c r="F112" s="10" t="n">
        <v>1.42</v>
      </c>
    </row>
    <row r="113">
      <c r="A113" s="1" t="inlineStr">
        <is>
          <t xml:space="preserve">33661538       </t>
        </is>
      </c>
      <c r="B113" s="5" t="inlineStr">
        <is>
          <t>HOT WHEELS CASE GARAGE RUEDA METAL EN LLAMAS X 29</t>
        </is>
      </c>
      <c r="C113" t="inlineStr">
        <is>
          <t>HOT WHEELS</t>
        </is>
      </c>
      <c r="D113" s="7" t="n">
        <v>26</v>
      </c>
      <c r="E113" s="9" t="n">
        <v>1065.77</v>
      </c>
      <c r="F113" s="10" t="n">
        <v>1.42</v>
      </c>
    </row>
    <row r="114">
      <c r="A114" s="1" t="inlineStr">
        <is>
          <t xml:space="preserve">33661542       </t>
        </is>
      </c>
      <c r="B114" s="5" t="inlineStr">
        <is>
          <t>RELOJ DIGITAL MR. POTATO SR. CARA DE PAPA</t>
        </is>
      </c>
      <c r="C114" t="inlineStr">
        <is>
          <t>RELOJES LICENCIADOS</t>
        </is>
      </c>
      <c r="D114" s="7" t="n">
        <v>2</v>
      </c>
      <c r="E114" s="9" t="n">
        <v>22.42</v>
      </c>
      <c r="F114" s="10" t="n">
        <v>1.42</v>
      </c>
    </row>
    <row r="115">
      <c r="A115" s="1" t="inlineStr">
        <is>
          <t xml:space="preserve">34031339       </t>
        </is>
      </c>
      <c r="B115" s="5" t="inlineStr">
        <is>
          <t>TMZ BEAST MACHINES TRANSPORT. ROBO-TIBURON ELECTR</t>
        </is>
      </c>
      <c r="C115" t="inlineStr">
        <is>
          <t>TEAMSTERZ</t>
        </is>
      </c>
      <c r="D115" s="7" t="n">
        <v>2</v>
      </c>
      <c r="E115" s="9" t="n">
        <v>190.48</v>
      </c>
      <c r="F115" s="10" t="n">
        <v>1.42</v>
      </c>
    </row>
    <row r="116">
      <c r="A116" s="1" t="inlineStr">
        <is>
          <t xml:space="preserve">34840515       </t>
        </is>
      </c>
      <c r="B116" s="5" t="inlineStr">
        <is>
          <t>MUNECA EVI LOVE PRINCESA + UNICORNIO</t>
        </is>
      </c>
      <c r="C116" t="inlineStr">
        <is>
          <t>EVI LOVE</t>
        </is>
      </c>
      <c r="D116" s="7" t="n">
        <v>3</v>
      </c>
      <c r="E116" s="9" t="n">
        <v>41.77</v>
      </c>
      <c r="F116" s="10" t="n">
        <v>1.42</v>
      </c>
    </row>
    <row r="117">
      <c r="A117" s="1" t="inlineStr">
        <is>
          <t xml:space="preserve">34840519       </t>
        </is>
      </c>
      <c r="B117" s="5" t="inlineStr">
        <is>
          <t>MUNECA EVI LOVE CARRUAJE CON CABALLO</t>
        </is>
      </c>
      <c r="C117" t="inlineStr">
        <is>
          <t>EVI LOVE</t>
        </is>
      </c>
      <c r="D117" s="7" t="n">
        <v>1</v>
      </c>
      <c r="E117" s="9" t="n">
        <v>41.47</v>
      </c>
      <c r="F117" s="10" t="n">
        <v>1.42</v>
      </c>
    </row>
    <row r="118">
      <c r="A118" s="1" t="inlineStr">
        <is>
          <t xml:space="preserve">34840524       </t>
        </is>
      </c>
      <c r="B118" s="5" t="inlineStr">
        <is>
          <t>NENUCO 5 FUNCIONES INTERACTIVAS</t>
        </is>
      </c>
      <c r="C118" t="inlineStr">
        <is>
          <t>NENUCO</t>
        </is>
      </c>
      <c r="D118" s="7" t="n">
        <v>6</v>
      </c>
      <c r="E118" s="9" t="n">
        <v>280.26</v>
      </c>
      <c r="F118" s="10" t="n">
        <v>1.42</v>
      </c>
    </row>
    <row r="119">
      <c r="A119" s="1" t="inlineStr">
        <is>
          <t xml:space="preserve">34840525       </t>
        </is>
      </c>
      <c r="B119" s="5" t="inlineStr">
        <is>
          <t>NENUCO VAMOS DE PASEO</t>
        </is>
      </c>
      <c r="C119" t="inlineStr">
        <is>
          <t>NENUCO</t>
        </is>
      </c>
      <c r="D119" s="7" t="n">
        <v>5</v>
      </c>
      <c r="E119" s="9" t="n">
        <v>270.99</v>
      </c>
      <c r="F119" s="10" t="n">
        <v>1.42</v>
      </c>
    </row>
    <row r="120">
      <c r="A120" s="1" t="inlineStr">
        <is>
          <t xml:space="preserve">34840526       </t>
        </is>
      </c>
      <c r="B120" s="5" t="inlineStr">
        <is>
          <t>NENUCO ABRACITOS</t>
        </is>
      </c>
      <c r="C120" t="inlineStr">
        <is>
          <t>NENUCO</t>
        </is>
      </c>
      <c r="D120" s="7" t="n">
        <v>15</v>
      </c>
      <c r="E120" s="9" t="n">
        <v>870.3099999999999</v>
      </c>
      <c r="F120" s="10" t="n">
        <v>1.42</v>
      </c>
    </row>
    <row r="121">
      <c r="A121" s="1" t="inlineStr">
        <is>
          <t xml:space="preserve">34840534       </t>
        </is>
      </c>
      <c r="B121" s="5" t="inlineStr">
        <is>
          <t>PINYPON TENEBROSA SERIE 14 CDU 24X2</t>
        </is>
      </c>
      <c r="C121" t="inlineStr">
        <is>
          <t>PINYPON</t>
        </is>
      </c>
      <c r="D121" s="7" t="n">
        <v>3</v>
      </c>
      <c r="E121" s="9" t="n">
        <v>23.36</v>
      </c>
      <c r="F121" s="10" t="n">
        <v>1.42</v>
      </c>
    </row>
    <row r="122">
      <c r="A122" s="1" t="inlineStr">
        <is>
          <t xml:space="preserve">34840536       </t>
        </is>
      </c>
      <c r="B122" s="5" t="inlineStr">
        <is>
          <t>PINYPON ACADEMIA TENEBROSA</t>
        </is>
      </c>
      <c r="C122" t="inlineStr">
        <is>
          <t>PINYPON</t>
        </is>
      </c>
      <c r="D122" s="7" t="n">
        <v>1</v>
      </c>
      <c r="E122" s="9" t="n">
        <v>82.45999999999999</v>
      </c>
      <c r="F122" s="10" t="n">
        <v>1.42</v>
      </c>
    </row>
    <row r="123">
      <c r="A123" s="1" t="inlineStr">
        <is>
          <t xml:space="preserve">34840537       </t>
        </is>
      </c>
      <c r="B123" s="5" t="inlineStr">
        <is>
          <t>PINYPON MANSION TENEBROSA</t>
        </is>
      </c>
      <c r="C123" t="inlineStr">
        <is>
          <t>PINYPON</t>
        </is>
      </c>
      <c r="D123" s="7" t="n">
        <v>1</v>
      </c>
      <c r="E123" s="9" t="n">
        <v>49.48</v>
      </c>
      <c r="F123" s="10" t="n">
        <v>1.42</v>
      </c>
    </row>
    <row r="124">
      <c r="A124" s="1" t="inlineStr">
        <is>
          <t xml:space="preserve">34840539       </t>
        </is>
      </c>
      <c r="B124" s="5" t="inlineStr">
        <is>
          <t>MUNECA STEFFI LOVE ABRIGO FLUFFY</t>
        </is>
      </c>
      <c r="C124" t="inlineStr">
        <is>
          <t>STEFFI LOVE</t>
        </is>
      </c>
      <c r="D124" s="7" t="n">
        <v>2</v>
      </c>
      <c r="E124" s="9" t="n">
        <v>56.85</v>
      </c>
      <c r="F124" s="10" t="n">
        <v>1.42</v>
      </c>
    </row>
    <row r="125">
      <c r="A125" s="1" t="inlineStr">
        <is>
          <t xml:space="preserve">34840541       </t>
        </is>
      </c>
      <c r="B125" s="5" t="inlineStr">
        <is>
          <t>MUNECA STEFFI LOVE ESTILISTA</t>
        </is>
      </c>
      <c r="C125" t="inlineStr">
        <is>
          <t>STEFFI LOVE</t>
        </is>
      </c>
      <c r="D125" s="7" t="n">
        <v>1</v>
      </c>
      <c r="E125" s="9" t="n">
        <v>22.39</v>
      </c>
      <c r="F125" s="10" t="n">
        <v>1.42</v>
      </c>
    </row>
    <row r="126">
      <c r="A126" s="1" t="inlineStr">
        <is>
          <t xml:space="preserve">34840549       </t>
        </is>
      </c>
      <c r="B126" s="5" t="inlineStr">
        <is>
          <t>TEAMSTERZ MONTANA CALAVERA INCL. 1 AUTO</t>
        </is>
      </c>
      <c r="C126" t="inlineStr">
        <is>
          <t>TEAMSTERZ</t>
        </is>
      </c>
      <c r="D126" s="7" t="n">
        <v>1</v>
      </c>
      <c r="E126" s="9" t="n">
        <v>70.59999999999999</v>
      </c>
      <c r="F126" s="10" t="n">
        <v>1.42</v>
      </c>
    </row>
    <row r="127">
      <c r="A127" s="1" t="inlineStr">
        <is>
          <t xml:space="preserve">34840550       </t>
        </is>
      </c>
      <c r="B127" s="5" t="inlineStr">
        <is>
          <t>TEAMSTERZ M/MOVERZ TRANSPORTA GORILA</t>
        </is>
      </c>
      <c r="C127" t="inlineStr">
        <is>
          <t>TEAMSTERZ</t>
        </is>
      </c>
      <c r="D127" s="7" t="n">
        <v>22</v>
      </c>
      <c r="E127" s="9" t="n">
        <v>1660.49</v>
      </c>
      <c r="F127" s="10" t="n">
        <v>1.42</v>
      </c>
    </row>
    <row r="128">
      <c r="A128" s="1" t="inlineStr">
        <is>
          <t xml:space="preserve">34840551       </t>
        </is>
      </c>
      <c r="B128" s="5" t="inlineStr">
        <is>
          <t>TMZ HELI BOMBERO CON LUCES Y SONIDOS</t>
        </is>
      </c>
      <c r="C128" t="inlineStr">
        <is>
          <t>TEAMSTERZ</t>
        </is>
      </c>
      <c r="D128" s="7" t="n">
        <v>21</v>
      </c>
      <c r="E128" s="9" t="n">
        <v>985.92</v>
      </c>
      <c r="F128" s="10" t="n">
        <v>1.42</v>
      </c>
    </row>
    <row r="129">
      <c r="A129" s="1" t="inlineStr">
        <is>
          <t xml:space="preserve">34840552       </t>
        </is>
      </c>
      <c r="B129" s="5" t="inlineStr">
        <is>
          <t>TMZ HELI POLICIA CON LUCES Y SONIDOS</t>
        </is>
      </c>
      <c r="C129" t="inlineStr">
        <is>
          <t>TEAMSTERZ</t>
        </is>
      </c>
      <c r="D129" s="7" t="n">
        <v>25</v>
      </c>
      <c r="E129" s="9" t="n">
        <v>1170.78</v>
      </c>
      <c r="F129" s="10" t="n">
        <v>1.42</v>
      </c>
    </row>
    <row r="130">
      <c r="A130" s="1" t="inlineStr">
        <is>
          <t xml:space="preserve">34840553       </t>
        </is>
      </c>
      <c r="B130" s="5" t="inlineStr">
        <is>
          <t>TMZ AUTO LUZ Y SONIDO ESQUELET DINO T-REX</t>
        </is>
      </c>
      <c r="C130" t="inlineStr">
        <is>
          <t>TEAMSTERZ</t>
        </is>
      </c>
      <c r="D130" s="7" t="n">
        <v>12</v>
      </c>
      <c r="E130" s="9" t="n">
        <v>568.8</v>
      </c>
      <c r="F130" s="10" t="n">
        <v>1.42</v>
      </c>
    </row>
    <row r="131">
      <c r="A131" s="1" t="inlineStr">
        <is>
          <t xml:space="preserve">34840554       </t>
        </is>
      </c>
      <c r="B131" s="5" t="inlineStr">
        <is>
          <t>TMZ AUTO LUZ Y SONIDO ESQUELET DINO TRICE</t>
        </is>
      </c>
      <c r="C131" t="inlineStr">
        <is>
          <t>TEAMSTERZ</t>
        </is>
      </c>
      <c r="D131" s="7" t="n">
        <v>3</v>
      </c>
      <c r="E131" s="9" t="n">
        <v>142.2</v>
      </c>
      <c r="F131" s="10" t="n">
        <v>1.42</v>
      </c>
    </row>
    <row r="132">
      <c r="A132" s="1" t="inlineStr">
        <is>
          <t xml:space="preserve">34840555       </t>
        </is>
      </c>
      <c r="B132" s="5" t="inlineStr">
        <is>
          <t>TMZ BEAST MACH. TRANSPORT TIBURON +ACCS</t>
        </is>
      </c>
      <c r="C132" t="inlineStr">
        <is>
          <t>TEAMSTERZ</t>
        </is>
      </c>
      <c r="D132" s="7" t="n">
        <v>3</v>
      </c>
      <c r="E132" s="9" t="n">
        <v>130.33</v>
      </c>
      <c r="F132" s="10" t="n">
        <v>1.42</v>
      </c>
    </row>
    <row r="133">
      <c r="A133" s="1" t="inlineStr">
        <is>
          <t xml:space="preserve">34840556       </t>
        </is>
      </c>
      <c r="B133" s="5" t="inlineStr">
        <is>
          <t>TMZ BEAST MACH. TRANSPORT DINO +ACCS</t>
        </is>
      </c>
      <c r="C133" t="inlineStr">
        <is>
          <t>TEAMSTERZ</t>
        </is>
      </c>
      <c r="D133" s="7" t="n">
        <v>23</v>
      </c>
      <c r="E133" s="9" t="n">
        <v>913.37</v>
      </c>
      <c r="F133" s="10" t="n">
        <v>1.42</v>
      </c>
    </row>
    <row r="134">
      <c r="A134" s="1" t="inlineStr">
        <is>
          <t xml:space="preserve">34840557       </t>
        </is>
      </c>
      <c r="B134" s="5" t="inlineStr">
        <is>
          <t>TMZ BEAST MACH. PLAYSET GARAGE DE SERPIENTE + 2 AU</t>
        </is>
      </c>
      <c r="C134" t="inlineStr">
        <is>
          <t>TEAMSTERZ</t>
        </is>
      </c>
      <c r="D134" s="7" t="n">
        <v>6</v>
      </c>
      <c r="E134" s="9" t="n">
        <v>244.06</v>
      </c>
      <c r="F134" s="10" t="n">
        <v>1.42</v>
      </c>
    </row>
    <row r="135">
      <c r="A135" s="1" t="inlineStr">
        <is>
          <t xml:space="preserve">34840558       </t>
        </is>
      </c>
      <c r="B135" s="5" t="inlineStr">
        <is>
          <t>TMZ CAMBIA DE COLOR PLAYSET CALAVERA + 1 AUTO</t>
        </is>
      </c>
      <c r="C135" t="inlineStr">
        <is>
          <t>TEAMSTERZ</t>
        </is>
      </c>
      <c r="D135" s="7" t="n">
        <v>5</v>
      </c>
      <c r="E135" s="9" t="n">
        <v>220.5</v>
      </c>
      <c r="F135" s="10" t="n">
        <v>1.42</v>
      </c>
    </row>
    <row r="136">
      <c r="A136" s="1" t="inlineStr">
        <is>
          <t xml:space="preserve">34840567       </t>
        </is>
      </c>
      <c r="B136" s="5" t="inlineStr">
        <is>
          <t>VIP PETS S7 ESCUELA DE PEINADOS SURTIDO</t>
        </is>
      </c>
      <c r="C136" t="inlineStr">
        <is>
          <t>VIP PETS</t>
        </is>
      </c>
      <c r="D136" s="7" t="n">
        <v>1</v>
      </c>
      <c r="E136" s="9" t="n">
        <v>28.44</v>
      </c>
      <c r="F136" s="10" t="n">
        <v>1.42</v>
      </c>
    </row>
    <row r="137">
      <c r="A137" s="1" t="inlineStr">
        <is>
          <t xml:space="preserve">34840568       </t>
        </is>
      </c>
      <c r="B137" s="5" t="inlineStr">
        <is>
          <t>VIP MUNECAS ESCUELA DE PEINADOS SURTIDO</t>
        </is>
      </c>
      <c r="C137" t="inlineStr">
        <is>
          <t>VIP PETS</t>
        </is>
      </c>
      <c r="D137" s="7" t="n">
        <v>3</v>
      </c>
      <c r="E137" s="9" t="n">
        <v>142.2</v>
      </c>
      <c r="F137" s="10" t="n">
        <v>1.42</v>
      </c>
    </row>
    <row r="138">
      <c r="A138" s="1" t="inlineStr">
        <is>
          <t xml:space="preserve">35685066       </t>
        </is>
      </c>
      <c r="B138" s="5" t="inlineStr">
        <is>
          <t>HOT WHEELS RACK GUARDA AUTOS 3 EN 1</t>
        </is>
      </c>
      <c r="C138" t="inlineStr">
        <is>
          <t>HOT WHEELS</t>
        </is>
      </c>
      <c r="D138" s="7" t="n">
        <v>3</v>
      </c>
      <c r="E138" s="9" t="n">
        <v>142.2</v>
      </c>
      <c r="F138" s="10" t="n">
        <v>1.42</v>
      </c>
    </row>
    <row r="139">
      <c r="A139" s="1" t="inlineStr">
        <is>
          <t xml:space="preserve">35685067       </t>
        </is>
      </c>
      <c r="B139" s="5" t="inlineStr">
        <is>
          <t>HOT WHEELS POWER SET 3 EN 1</t>
        </is>
      </c>
      <c r="C139" t="inlineStr">
        <is>
          <t>HOT WHEELS</t>
        </is>
      </c>
      <c r="D139" s="7" t="n">
        <v>60</v>
      </c>
      <c r="E139" s="9" t="n">
        <v>1737.52</v>
      </c>
      <c r="F139" s="10" t="n">
        <v>1.42</v>
      </c>
    </row>
    <row r="140" ht="13" customHeight="1" thickBot="1">
      <c r="A140" s="1" t="inlineStr">
        <is>
          <t xml:space="preserve">35685068       </t>
        </is>
      </c>
      <c r="B140" s="5" t="inlineStr">
        <is>
          <t>BARBIE FASHION SET 3 EN 1</t>
        </is>
      </c>
      <c r="C140" t="inlineStr">
        <is>
          <t>BARBIE</t>
        </is>
      </c>
      <c r="D140" s="7" t="n">
        <v>4</v>
      </c>
      <c r="E140" s="9" t="n">
        <v>115.44</v>
      </c>
      <c r="F140" s="10" t="n">
        <v>1.43</v>
      </c>
    </row>
    <row r="141" ht="13.5" customHeight="1" thickTop="1">
      <c r="A141" s="12" t="n"/>
      <c r="B141" s="13" t="inlineStr">
        <is>
          <t>Total a pagar sin IGV (S/.)</t>
        </is>
      </c>
      <c r="C141" s="14" t="n"/>
      <c r="D141" s="15" t="n">
        <v>3257</v>
      </c>
      <c r="E141" s="16" t="n">
        <v>54414.77999999999</v>
      </c>
      <c r="F141" s="17" t="n"/>
    </row>
  </sheetData>
  <mergeCells count="3">
    <mergeCell ref="A3:F3"/>
    <mergeCell ref="A2:F2"/>
    <mergeCell ref="A4:F4"/>
  </mergeCells>
  <pageMargins left="0.7" right="0.7" top="0.75" bottom="0.75" header="0.3" footer="0.3"/>
  <pageSetup orientation="portrait" horizontalDpi="300" verticalDpi="300"/>
  <headerFooter>
    <oddHeader>&amp;CLIQUIDACION - PDF</oddHeader>
    <oddFooter/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SKU RIPLEY</t>
        </is>
      </c>
      <c r="B1" t="inlineStr">
        <is>
          <t>DESCRIPCIÓN RIPLEY</t>
        </is>
      </c>
      <c r="C1" t="inlineStr">
        <is>
          <t>PRECIO MASTER</t>
        </is>
      </c>
      <c r="D1" t="inlineStr">
        <is>
          <t>PRECIO PROMO HOT SALES</t>
        </is>
      </c>
      <c r="E1" t="inlineStr">
        <is>
          <t>FECHA INICIO</t>
        </is>
      </c>
      <c r="F1" t="inlineStr">
        <is>
          <t>FECHA FIN</t>
        </is>
      </c>
      <c r="G1" t="inlineStr">
        <is>
          <t>STOCK UND</t>
        </is>
      </c>
      <c r="H1" t="inlineStr">
        <is>
          <t>RECO PROVEEDOR (SIN IGV)</t>
        </is>
      </c>
      <c r="I1" t="inlineStr">
        <is>
          <t>% DSCTO</t>
        </is>
      </c>
    </row>
    <row r="2">
      <c r="A2" t="n">
        <v>31800860</v>
      </c>
      <c r="B2" t="inlineStr">
        <is>
          <t>DART ZONE PACK DE DARDOS X 24 UNIDADES</t>
        </is>
      </c>
      <c r="C2" t="n">
        <v>17.9</v>
      </c>
      <c r="D2" t="n">
        <v>8.949999999999999</v>
      </c>
      <c r="E2" s="24" t="n">
        <v>46219</v>
      </c>
      <c r="F2" s="24" t="n">
        <v>46234</v>
      </c>
      <c r="G2" t="n">
        <v>34</v>
      </c>
      <c r="H2" t="n">
        <v>3.788644067796609</v>
      </c>
      <c r="I2" t="n">
        <v>0.5</v>
      </c>
    </row>
    <row r="3">
      <c r="A3" t="n">
        <v>31800856</v>
      </c>
      <c r="B3" t="inlineStr">
        <is>
          <t>DART ZONE STORM SQUAD TIRO RAPIDO BLASTER + 25 DAR</t>
        </is>
      </c>
      <c r="C3" t="n">
        <v>29.9</v>
      </c>
      <c r="D3" t="n">
        <v>14.95</v>
      </c>
      <c r="E3" s="24" t="n">
        <v>46219</v>
      </c>
      <c r="F3" s="24" t="n">
        <v>46234</v>
      </c>
      <c r="G3" t="n">
        <v>27</v>
      </c>
      <c r="H3" t="n">
        <v>6.337288135593218</v>
      </c>
      <c r="I3" t="n">
        <v>0.5</v>
      </c>
    </row>
    <row r="4">
      <c r="A4" t="n">
        <v>31800857</v>
      </c>
      <c r="B4" t="inlineStr">
        <is>
          <t>DART ZONE BLITZFIRE TIRO RAPIDO BLASTER X1</t>
        </is>
      </c>
      <c r="C4" t="n">
        <v>29.9</v>
      </c>
      <c r="D4" t="n">
        <v>14.95</v>
      </c>
      <c r="E4" s="24" t="n">
        <v>46219</v>
      </c>
      <c r="F4" s="24" t="n">
        <v>46234</v>
      </c>
      <c r="G4" t="n">
        <v>34</v>
      </c>
      <c r="H4" t="n">
        <v>6.337288135593218</v>
      </c>
      <c r="I4" t="n">
        <v>0.5</v>
      </c>
    </row>
    <row r="5">
      <c r="A5" t="n">
        <v>34840513</v>
      </c>
      <c r="B5" t="inlineStr">
        <is>
          <t>DZ RECARGA DE 100 DARDOS ENVASE TERMO PACK</t>
        </is>
      </c>
      <c r="C5" t="n">
        <v>34.9</v>
      </c>
      <c r="D5" t="n">
        <v>17.45</v>
      </c>
      <c r="E5" s="24" t="n">
        <v>46219</v>
      </c>
      <c r="F5" s="24" t="n">
        <v>46234</v>
      </c>
      <c r="G5" t="n">
        <v>26</v>
      </c>
      <c r="H5" t="n">
        <v>7.393389830508474</v>
      </c>
      <c r="I5" t="n">
        <v>0.5</v>
      </c>
    </row>
    <row r="6">
      <c r="A6" t="n">
        <v>31800861</v>
      </c>
      <c r="B6" t="inlineStr">
        <is>
          <t>DART ZONE MASCARA TACTICA DE PROTECCION</t>
        </is>
      </c>
      <c r="C6" t="n">
        <v>59.9</v>
      </c>
      <c r="D6" t="n">
        <v>29.95</v>
      </c>
      <c r="E6" s="24" t="n">
        <v>46219</v>
      </c>
      <c r="F6" s="24" t="n">
        <v>46234</v>
      </c>
      <c r="G6" t="n">
        <v>9</v>
      </c>
      <c r="H6" t="n">
        <v>12.69389830508475</v>
      </c>
      <c r="I6" t="n">
        <v>0.5</v>
      </c>
    </row>
    <row r="7">
      <c r="A7" t="n">
        <v>31800858</v>
      </c>
      <c r="B7" t="inlineStr">
        <is>
          <t>DART ZONE BLITZFIRE TIRO RAPIDO BLASTER X2</t>
        </is>
      </c>
      <c r="C7" t="n">
        <v>59.9</v>
      </c>
      <c r="D7" t="n">
        <v>29.95</v>
      </c>
      <c r="E7" s="24" t="n">
        <v>46219</v>
      </c>
      <c r="F7" s="24" t="n">
        <v>46234</v>
      </c>
      <c r="G7" t="n">
        <v>15</v>
      </c>
      <c r="H7" t="n">
        <v>12.69389830508475</v>
      </c>
      <c r="I7" t="n">
        <v>0.5</v>
      </c>
    </row>
    <row r="8">
      <c r="A8" t="n">
        <v>32457115</v>
      </c>
      <c r="B8" t="inlineStr">
        <is>
          <t>DZ MAGNUM BLASTER SUPER TAMBOR</t>
        </is>
      </c>
      <c r="C8" t="n">
        <v>99</v>
      </c>
      <c r="D8" t="n">
        <v>49.5</v>
      </c>
      <c r="E8" s="24" t="n">
        <v>46219</v>
      </c>
      <c r="F8" s="24" t="n">
        <v>46234</v>
      </c>
      <c r="G8" t="n">
        <v>3</v>
      </c>
      <c r="H8" t="n">
        <v>20.97881355932203</v>
      </c>
      <c r="I8" t="n">
        <v>0.5</v>
      </c>
    </row>
    <row r="9">
      <c r="A9" t="n">
        <v>32656403</v>
      </c>
      <c r="B9" t="inlineStr">
        <is>
          <t>DART ZONE BLASTER MOTORIZADO SPECTRUM</t>
        </is>
      </c>
      <c r="C9" t="n">
        <v>119</v>
      </c>
      <c r="D9" t="n">
        <v>59.5</v>
      </c>
      <c r="E9" s="24" t="n">
        <v>46219</v>
      </c>
      <c r="F9" s="24" t="n">
        <v>46234</v>
      </c>
      <c r="G9" t="n">
        <v>17</v>
      </c>
      <c r="H9" t="n">
        <v>25.21322033898304</v>
      </c>
      <c r="I9" t="n">
        <v>0.5</v>
      </c>
    </row>
    <row r="10">
      <c r="A10" t="n">
        <v>32656402</v>
      </c>
      <c r="B10" t="inlineStr">
        <is>
          <t>DART ZONE BLASTER MOTORIZADO VULCANATOR</t>
        </is>
      </c>
      <c r="C10" t="n">
        <v>129</v>
      </c>
      <c r="D10" t="n">
        <v>64.5</v>
      </c>
      <c r="E10" s="24" t="n">
        <v>46219</v>
      </c>
      <c r="F10" s="24" t="n">
        <v>46234</v>
      </c>
      <c r="G10" t="n">
        <v>23</v>
      </c>
      <c r="H10" t="n">
        <v>27.33542372881357</v>
      </c>
      <c r="I10" t="n">
        <v>0.5</v>
      </c>
    </row>
    <row r="11">
      <c r="A11" t="n">
        <v>31800859</v>
      </c>
      <c r="B11" t="inlineStr">
        <is>
          <t>DART ZONE SAVAGE SPIN BLASTER MOTORIZADO</t>
        </is>
      </c>
      <c r="C11" t="n">
        <v>129</v>
      </c>
      <c r="D11" t="n">
        <v>64.5</v>
      </c>
      <c r="E11" s="24" t="n">
        <v>46219</v>
      </c>
      <c r="F11" s="24" t="n">
        <v>46234</v>
      </c>
      <c r="G11" t="n">
        <v>10</v>
      </c>
      <c r="H11" t="n">
        <v>27.33542372881357</v>
      </c>
      <c r="I11" t="n">
        <v>0.5</v>
      </c>
    </row>
    <row r="12">
      <c r="A12" t="n">
        <v>32656401</v>
      </c>
      <c r="B12" t="inlineStr">
        <is>
          <t>DART ZONE MAX DICTATOR</t>
        </is>
      </c>
      <c r="C12" t="n">
        <v>149</v>
      </c>
      <c r="D12" t="n">
        <v>74.5</v>
      </c>
      <c r="E12" s="24" t="n">
        <v>46219</v>
      </c>
      <c r="F12" s="24" t="n">
        <v>46234</v>
      </c>
      <c r="G12" t="n">
        <v>17</v>
      </c>
      <c r="H12" t="n">
        <v>31.56983050847457</v>
      </c>
      <c r="I12" t="n">
        <v>0.5</v>
      </c>
    </row>
    <row r="13">
      <c r="A13" t="n">
        <v>32656525</v>
      </c>
      <c r="B13" t="inlineStr">
        <is>
          <t>HYDRO STRIKE PACK RECARGA DE BALAS DE GEL</t>
        </is>
      </c>
      <c r="C13" t="n">
        <v>49.9</v>
      </c>
      <c r="D13" t="n">
        <v>24.95</v>
      </c>
      <c r="E13" s="24" t="n">
        <v>46219</v>
      </c>
      <c r="F13" s="24" t="n">
        <v>46234</v>
      </c>
      <c r="G13" t="n">
        <v>9</v>
      </c>
      <c r="H13" t="n">
        <v>10.57169491525423</v>
      </c>
      <c r="I13" t="n">
        <v>0.5</v>
      </c>
    </row>
    <row r="14">
      <c r="A14" t="n">
        <v>34031338</v>
      </c>
      <c r="B14" t="inlineStr">
        <is>
          <t>HYDRO STRIKE STRATOS PRO BLASTER BALAS D GEL C/AC</t>
        </is>
      </c>
      <c r="C14" t="n">
        <v>159</v>
      </c>
      <c r="D14" t="n">
        <v>79.5</v>
      </c>
      <c r="E14" s="24" t="n">
        <v>46219</v>
      </c>
      <c r="F14" s="24" t="n">
        <v>46234</v>
      </c>
      <c r="G14" t="n">
        <v>5</v>
      </c>
      <c r="H14" t="n">
        <v>33.68203389830508</v>
      </c>
      <c r="I14" t="n">
        <v>0.5</v>
      </c>
    </row>
    <row r="15">
      <c r="A15" t="n">
        <v>31417427</v>
      </c>
      <c r="B15" t="inlineStr">
        <is>
          <t>MUNECA EVI LOVE AMIGA DE MASCOTAS SURTIDO</t>
        </is>
      </c>
      <c r="C15" t="n">
        <v>19.9</v>
      </c>
      <c r="D15" t="n">
        <v>11.94</v>
      </c>
      <c r="E15" s="24" t="n">
        <v>46219</v>
      </c>
      <c r="F15" s="24" t="n">
        <v>46234</v>
      </c>
      <c r="G15" t="n">
        <v>57</v>
      </c>
      <c r="H15" t="n">
        <v>2.703220338983051</v>
      </c>
      <c r="I15" t="n">
        <v>0.4</v>
      </c>
    </row>
    <row r="16">
      <c r="A16" t="n">
        <v>32457116</v>
      </c>
      <c r="B16" t="inlineStr">
        <is>
          <t>MUNECA EVI LOVE SIRENITA BRILLANTE SURTIDO</t>
        </is>
      </c>
      <c r="C16" t="n">
        <v>22.9</v>
      </c>
      <c r="D16" t="n">
        <v>13.74</v>
      </c>
      <c r="E16" s="24" t="n">
        <v>46219</v>
      </c>
      <c r="F16" s="24" t="n">
        <v>46234</v>
      </c>
      <c r="G16" t="n">
        <v>17</v>
      </c>
      <c r="H16" t="n">
        <v>3.100338983050847</v>
      </c>
      <c r="I16" t="n">
        <v>0.4</v>
      </c>
    </row>
    <row r="17">
      <c r="A17" t="n">
        <v>31417428</v>
      </c>
      <c r="B17" t="inlineStr">
        <is>
          <t>MUNECA EVI LOVE CON GLOBO SORPRESA SURTIDO</t>
        </is>
      </c>
      <c r="C17" t="n">
        <v>24.9</v>
      </c>
      <c r="D17" t="n">
        <v>14.94</v>
      </c>
      <c r="E17" s="24" t="n">
        <v>46219</v>
      </c>
      <c r="F17" s="24" t="n">
        <v>46234</v>
      </c>
      <c r="G17" t="n">
        <v>2</v>
      </c>
      <c r="H17" t="n">
        <v>3.375084745762711</v>
      </c>
      <c r="I17" t="n">
        <v>0.4</v>
      </c>
    </row>
    <row r="18">
      <c r="A18" t="n">
        <v>33483119</v>
      </c>
      <c r="B18" t="inlineStr">
        <is>
          <t>MUNECA EVI LOVE TRAJE TIPICO CON ALPACA</t>
        </is>
      </c>
      <c r="C18" t="n">
        <v>29.9</v>
      </c>
      <c r="D18" t="n">
        <v>17.94</v>
      </c>
      <c r="E18" s="24" t="n">
        <v>46219</v>
      </c>
      <c r="F18" s="24" t="n">
        <v>46234</v>
      </c>
      <c r="G18" t="n">
        <v>107</v>
      </c>
      <c r="H18" t="n">
        <v>4.056949152542371</v>
      </c>
      <c r="I18" t="n">
        <v>0.4</v>
      </c>
    </row>
    <row r="19">
      <c r="A19" t="n">
        <v>34840515</v>
      </c>
      <c r="B19" t="inlineStr">
        <is>
          <t>MUNECA EVI LOVE PRINCESA + UNICORNIO</t>
        </is>
      </c>
      <c r="C19" t="n">
        <v>32.9</v>
      </c>
      <c r="D19" t="n">
        <v>19.74</v>
      </c>
      <c r="E19" s="24" t="n">
        <v>46219</v>
      </c>
      <c r="F19" s="24" t="n">
        <v>46234</v>
      </c>
      <c r="G19" t="n">
        <v>137</v>
      </c>
      <c r="H19" t="n">
        <v>4.464067796610168</v>
      </c>
      <c r="I19" t="n">
        <v>0.4</v>
      </c>
    </row>
    <row r="20">
      <c r="A20" t="n">
        <v>33483116</v>
      </c>
      <c r="B20" t="inlineStr">
        <is>
          <t>MUNECA EVI LOVE GATO + COCHE + ACC.</t>
        </is>
      </c>
      <c r="C20" t="n">
        <v>34.9</v>
      </c>
      <c r="D20" t="n">
        <v>20.94</v>
      </c>
      <c r="E20" s="24" t="n">
        <v>46219</v>
      </c>
      <c r="F20" s="24" t="n">
        <v>46234</v>
      </c>
      <c r="G20" t="n">
        <v>68</v>
      </c>
      <c r="H20" t="n">
        <v>4.728813559322035</v>
      </c>
      <c r="I20" t="n">
        <v>0.4</v>
      </c>
    </row>
    <row r="21">
      <c r="A21" t="n">
        <v>32457117</v>
      </c>
      <c r="B21" t="inlineStr">
        <is>
          <t>MUNECA EVI LOVE CON PERRITO + CASA Y ACCES.</t>
        </is>
      </c>
      <c r="C21" t="n">
        <v>34.9</v>
      </c>
      <c r="D21" t="n">
        <v>20.94</v>
      </c>
      <c r="E21" s="24" t="n">
        <v>46219</v>
      </c>
      <c r="F21" s="24" t="n">
        <v>46234</v>
      </c>
      <c r="G21" t="n">
        <v>94</v>
      </c>
      <c r="H21" t="n">
        <v>4.728813559322035</v>
      </c>
      <c r="I21" t="n">
        <v>0.4</v>
      </c>
    </row>
    <row r="22">
      <c r="A22" t="n">
        <v>33483115</v>
      </c>
      <c r="B22" t="inlineStr">
        <is>
          <t>MUNECA EVI LOVE CON MAMA Y BB CANGURO + ACC.</t>
        </is>
      </c>
      <c r="C22" t="n">
        <v>37.9</v>
      </c>
      <c r="D22" t="n">
        <v>22.74</v>
      </c>
      <c r="E22" s="24" t="n">
        <v>46219</v>
      </c>
      <c r="F22" s="24" t="n">
        <v>46234</v>
      </c>
      <c r="G22" t="n">
        <v>120</v>
      </c>
      <c r="H22" t="n">
        <v>5.135932203389832</v>
      </c>
      <c r="I22" t="n">
        <v>0.4</v>
      </c>
    </row>
    <row r="23">
      <c r="A23" t="n">
        <v>34840516</v>
      </c>
      <c r="B23" t="inlineStr">
        <is>
          <t>MUNECA EVI LOVE AMIGA DE ANIMALES SURT</t>
        </is>
      </c>
      <c r="C23" t="n">
        <v>37.9</v>
      </c>
      <c r="D23" t="n">
        <v>22.74</v>
      </c>
      <c r="E23" s="24" t="n">
        <v>46219</v>
      </c>
      <c r="F23" s="24" t="n">
        <v>46234</v>
      </c>
      <c r="G23" t="n">
        <v>8</v>
      </c>
      <c r="H23" t="n">
        <v>5.135932203389832</v>
      </c>
      <c r="I23" t="n">
        <v>0.4</v>
      </c>
    </row>
    <row r="24">
      <c r="A24" t="n">
        <v>33483118</v>
      </c>
      <c r="B24" t="inlineStr">
        <is>
          <t>MUNECA EVI LOVE SET CUIDADO DE PERROS + ACC.</t>
        </is>
      </c>
      <c r="C24" t="n">
        <v>39.9</v>
      </c>
      <c r="D24" t="n">
        <v>23.94</v>
      </c>
      <c r="E24" s="24" t="n">
        <v>46219</v>
      </c>
      <c r="F24" s="24" t="n">
        <v>46234</v>
      </c>
      <c r="G24" t="n">
        <v>14</v>
      </c>
      <c r="H24" t="n">
        <v>5.410677966101694</v>
      </c>
      <c r="I24" t="n">
        <v>0.4</v>
      </c>
    </row>
    <row r="25">
      <c r="A25" t="n">
        <v>34840517</v>
      </c>
      <c r="B25" t="inlineStr">
        <is>
          <t>MUNECA EVI LOVE TIENDITA DE FRUTAS</t>
        </is>
      </c>
      <c r="C25" t="n">
        <v>44.9</v>
      </c>
      <c r="D25" t="n">
        <v>26.94</v>
      </c>
      <c r="E25" s="24" t="n">
        <v>46219</v>
      </c>
      <c r="F25" s="24" t="n">
        <v>46234</v>
      </c>
      <c r="G25" t="n">
        <v>91</v>
      </c>
      <c r="H25" t="n">
        <v>6.092542372881358</v>
      </c>
      <c r="I25" t="n">
        <v>0.4</v>
      </c>
    </row>
    <row r="26">
      <c r="A26" t="n">
        <v>32457118</v>
      </c>
      <c r="B26" t="inlineStr">
        <is>
          <t>MUNECA EVI LOVE CAMAROTE + 2 MUNECAS</t>
        </is>
      </c>
      <c r="C26" t="n">
        <v>49.9</v>
      </c>
      <c r="D26" t="n">
        <v>29.94</v>
      </c>
      <c r="E26" s="24" t="n">
        <v>46219</v>
      </c>
      <c r="F26" s="24" t="n">
        <v>46234</v>
      </c>
      <c r="G26" t="n">
        <v>11</v>
      </c>
      <c r="H26" t="n">
        <v>6.764406779661016</v>
      </c>
      <c r="I26" t="n">
        <v>0.4</v>
      </c>
    </row>
    <row r="27">
      <c r="A27" t="n">
        <v>33483117</v>
      </c>
      <c r="B27" t="inlineStr">
        <is>
          <t>MUNECA EVI LOVE SAFARI+VEHIC.+2 BB ANIMAL+ACC.</t>
        </is>
      </c>
      <c r="C27" t="n">
        <v>59.9</v>
      </c>
      <c r="D27" t="n">
        <v>35.94</v>
      </c>
      <c r="E27" s="24" t="n">
        <v>46219</v>
      </c>
      <c r="F27" s="24" t="n">
        <v>46234</v>
      </c>
      <c r="G27" t="n">
        <v>38</v>
      </c>
      <c r="H27" t="n">
        <v>8.118135593220337</v>
      </c>
      <c r="I27" t="n">
        <v>0.4</v>
      </c>
    </row>
    <row r="28">
      <c r="A28" t="n">
        <v>31417429</v>
      </c>
      <c r="B28" t="inlineStr">
        <is>
          <t>MUNEVA EVI LOVE CON AUTO Y MASCOTA</t>
        </is>
      </c>
      <c r="C28" t="n">
        <v>69.90000000000001</v>
      </c>
      <c r="D28" t="n">
        <v>41.94</v>
      </c>
      <c r="E28" s="24" t="n">
        <v>46219</v>
      </c>
      <c r="F28" s="24" t="n">
        <v>46234</v>
      </c>
      <c r="G28" t="n">
        <v>44</v>
      </c>
      <c r="H28" t="n">
        <v>9.481864406779653</v>
      </c>
      <c r="I28" t="n">
        <v>0.4</v>
      </c>
    </row>
    <row r="29">
      <c r="A29" t="n">
        <v>34840519</v>
      </c>
      <c r="B29" t="inlineStr">
        <is>
          <t>MUNECA EVI LOVE CARRUAJE CON CABALLO</t>
        </is>
      </c>
      <c r="C29" t="n">
        <v>69.90000000000001</v>
      </c>
      <c r="D29" t="n">
        <v>41.94</v>
      </c>
      <c r="E29" s="24" t="n">
        <v>46219</v>
      </c>
      <c r="F29" s="24" t="n">
        <v>46234</v>
      </c>
      <c r="G29" t="n">
        <v>53</v>
      </c>
      <c r="H29" t="n">
        <v>9.481864406779653</v>
      </c>
      <c r="I29" t="n">
        <v>0.4</v>
      </c>
    </row>
    <row r="30">
      <c r="A30" t="n">
        <v>32457119</v>
      </c>
      <c r="B30" t="inlineStr">
        <is>
          <t>MUNECA EVI LOVE CON SUV + TRANSPORTE PONY</t>
        </is>
      </c>
      <c r="C30" t="n">
        <v>79.90000000000001</v>
      </c>
      <c r="D30" t="n">
        <v>47.94</v>
      </c>
      <c r="E30" s="24" t="n">
        <v>46219</v>
      </c>
      <c r="F30" s="24" t="n">
        <v>46234</v>
      </c>
      <c r="G30" t="n">
        <v>1</v>
      </c>
      <c r="H30" t="n">
        <v>10.83559322033898</v>
      </c>
      <c r="I30" t="n">
        <v>0.4</v>
      </c>
    </row>
    <row r="31">
      <c r="A31" t="n">
        <v>31417426</v>
      </c>
      <c r="B31" t="inlineStr">
        <is>
          <t>HOT WHEELS CASE METALICO PARA GUARDAR 36 CARRITOS</t>
        </is>
      </c>
      <c r="C31" t="n">
        <v>79.90000000000001</v>
      </c>
      <c r="D31" t="n">
        <v>39.9</v>
      </c>
      <c r="E31" s="24" t="n">
        <v>46219</v>
      </c>
      <c r="F31" s="24" t="n">
        <v>46234</v>
      </c>
      <c r="G31" t="n">
        <v>33</v>
      </c>
      <c r="H31" t="n">
        <v>20.34830508474576</v>
      </c>
      <c r="I31" t="n">
        <v>0.5006257822277849</v>
      </c>
    </row>
    <row r="32">
      <c r="A32" t="n">
        <v>29235701</v>
      </c>
      <c r="B32" t="inlineStr">
        <is>
          <t>INFINITY NADO TROMPO DE BATALLA - METAL EN CAJA</t>
        </is>
      </c>
      <c r="C32" t="n">
        <v>39.9</v>
      </c>
      <c r="D32" t="n">
        <v>29.9</v>
      </c>
      <c r="E32" s="24" t="n">
        <v>46219</v>
      </c>
      <c r="F32" s="24" t="n">
        <v>46234</v>
      </c>
      <c r="G32" t="n">
        <v>390</v>
      </c>
      <c r="H32" t="n">
        <v>4.66576271186441</v>
      </c>
      <c r="I32" t="n">
        <v>0.2506265664160401</v>
      </c>
    </row>
    <row r="33">
      <c r="A33" t="n">
        <v>30232284</v>
      </c>
      <c r="B33" t="inlineStr">
        <is>
          <t>INFINITY NADO TROMPO DE BATALLA - METAL C/PUNTA DE</t>
        </is>
      </c>
      <c r="C33" t="n">
        <v>49.9</v>
      </c>
      <c r="D33" t="n">
        <v>34.9</v>
      </c>
      <c r="E33" s="24" t="n">
        <v>46219</v>
      </c>
      <c r="F33" s="24" t="n">
        <v>46234</v>
      </c>
      <c r="G33" t="n">
        <v>547</v>
      </c>
      <c r="H33" t="n">
        <v>7.417796610169493</v>
      </c>
      <c r="I33" t="n">
        <v>0.3006012024048096</v>
      </c>
    </row>
    <row r="34">
      <c r="A34" t="n">
        <v>28194781</v>
      </c>
      <c r="B34" t="inlineStr">
        <is>
          <t>TROMPO BATALLA INFINITY NADO SERIE V CLASICA SURTI</t>
        </is>
      </c>
      <c r="C34" t="n">
        <v>59.9</v>
      </c>
      <c r="D34" t="n">
        <v>39.9</v>
      </c>
      <c r="E34" s="24" t="n">
        <v>46219</v>
      </c>
      <c r="F34" s="24" t="n">
        <v>46234</v>
      </c>
      <c r="G34" t="n">
        <v>408</v>
      </c>
      <c r="H34" t="n">
        <v>10.16983050847458</v>
      </c>
      <c r="I34" t="n">
        <v>0.333889816360601</v>
      </c>
    </row>
    <row r="35">
      <c r="A35" t="n">
        <v>29235702</v>
      </c>
      <c r="B35" t="inlineStr">
        <is>
          <t>INFINITY NADO TROMPO DE BATALLA - METAL C/ ANILLO</t>
        </is>
      </c>
      <c r="C35" t="n">
        <v>69.90000000000001</v>
      </c>
      <c r="D35" t="n">
        <v>49.9</v>
      </c>
      <c r="E35" s="24" t="n">
        <v>46219</v>
      </c>
      <c r="F35" s="24" t="n">
        <v>46234</v>
      </c>
      <c r="G35" t="n">
        <v>145</v>
      </c>
      <c r="H35" t="n">
        <v>9.753898305084746</v>
      </c>
      <c r="I35" t="n">
        <v>0.2861230329041489</v>
      </c>
    </row>
    <row r="36">
      <c r="A36" t="n">
        <v>28194782</v>
      </c>
      <c r="B36" t="inlineStr">
        <is>
          <t>TROMPO BATALLA INFINITY NADO SERIE V ORIGINAL SURT</t>
        </is>
      </c>
      <c r="C36" t="n">
        <v>69.90000000000001</v>
      </c>
      <c r="D36" t="n">
        <v>49.9</v>
      </c>
      <c r="E36" s="24" t="n">
        <v>46219</v>
      </c>
      <c r="F36" s="24" t="n">
        <v>46234</v>
      </c>
      <c r="G36" t="n">
        <v>201</v>
      </c>
      <c r="H36" t="n">
        <v>9.753898305084746</v>
      </c>
      <c r="I36" t="n">
        <v>0.2861230329041489</v>
      </c>
    </row>
    <row r="37">
      <c r="A37" t="n">
        <v>31754675</v>
      </c>
      <c r="B37" t="inlineStr">
        <is>
          <t>INFINITY NADO SERIE 6 STARTER PACK - 4 MODELOS</t>
        </is>
      </c>
      <c r="C37" t="n">
        <v>69.90000000000001</v>
      </c>
      <c r="D37" t="n">
        <v>49.9</v>
      </c>
      <c r="E37" s="24" t="n">
        <v>46219</v>
      </c>
      <c r="F37" s="24" t="n">
        <v>46234</v>
      </c>
      <c r="G37" t="n">
        <v>689</v>
      </c>
      <c r="H37" t="n">
        <v>9.753898305084746</v>
      </c>
      <c r="I37" t="n">
        <v>0.2861230329041489</v>
      </c>
    </row>
    <row r="38">
      <c r="A38" t="n">
        <v>30232283</v>
      </c>
      <c r="B38" t="inlineStr">
        <is>
          <t>INFINITY NADO PACK DE 2 TROMPOS DE BATALLA METAL</t>
        </is>
      </c>
      <c r="C38" t="n">
        <v>79.90000000000001</v>
      </c>
      <c r="D38" t="n">
        <v>59.9</v>
      </c>
      <c r="E38" s="24" t="n">
        <v>46219</v>
      </c>
      <c r="F38" s="24" t="n">
        <v>46234</v>
      </c>
      <c r="G38" t="n">
        <v>64</v>
      </c>
      <c r="H38" t="n">
        <v>9.327966101694912</v>
      </c>
      <c r="I38" t="n">
        <v>0.2503128911138924</v>
      </c>
    </row>
    <row r="39">
      <c r="A39" t="n">
        <v>31754676</v>
      </c>
      <c r="B39" t="inlineStr">
        <is>
          <t>INFINITY NADO SERIE 6 STD PACK LANZ ESPAD ANILLO M</t>
        </is>
      </c>
      <c r="C39" t="n">
        <v>79.90000000000001</v>
      </c>
      <c r="D39" t="n">
        <v>59.9</v>
      </c>
      <c r="E39" s="24" t="n">
        <v>46219</v>
      </c>
      <c r="F39" s="24" t="n">
        <v>46234</v>
      </c>
      <c r="G39" t="n">
        <v>433</v>
      </c>
      <c r="H39" t="n">
        <v>9.327966101694912</v>
      </c>
      <c r="I39" t="n">
        <v>0.2503128911138924</v>
      </c>
    </row>
    <row r="40">
      <c r="A40" t="n">
        <v>29773844</v>
      </c>
      <c r="B40" t="inlineStr">
        <is>
          <t>INFINITY NADO MALETIN DE TROMPO DE BATALLA DE META</t>
        </is>
      </c>
      <c r="C40" t="n">
        <v>99</v>
      </c>
      <c r="D40" t="n">
        <v>79.90000000000001</v>
      </c>
      <c r="E40" s="24" t="n">
        <v>46219</v>
      </c>
      <c r="F40" s="24" t="n">
        <v>46234</v>
      </c>
      <c r="G40" t="n">
        <v>51</v>
      </c>
      <c r="H40" t="n">
        <v>7.946101694915249</v>
      </c>
      <c r="I40" t="n">
        <v>0.1929292929292928</v>
      </c>
    </row>
    <row r="41">
      <c r="A41" t="n">
        <v>28194783</v>
      </c>
      <c r="B41" t="inlineStr">
        <is>
          <t>SET DE BATALLA INFINITY NADO CON 2 TROMPOS</t>
        </is>
      </c>
      <c r="C41" t="n">
        <v>159</v>
      </c>
      <c r="D41" t="n">
        <v>129</v>
      </c>
      <c r="E41" s="24" t="n">
        <v>46219</v>
      </c>
      <c r="F41" s="24" t="n">
        <v>46234</v>
      </c>
      <c r="G41" t="n">
        <v>104</v>
      </c>
      <c r="H41" t="n">
        <v>12.32847457627118</v>
      </c>
      <c r="I41" t="n">
        <v>0.1886792452830188</v>
      </c>
    </row>
    <row r="42">
      <c r="A42" t="n">
        <v>28194784</v>
      </c>
      <c r="B42" t="inlineStr">
        <is>
          <t>SET DE ACROBACIAS INFINITY NADO CON TROMPO</t>
        </is>
      </c>
      <c r="C42" t="n">
        <v>179</v>
      </c>
      <c r="D42" t="n">
        <v>139</v>
      </c>
      <c r="E42" s="24" t="n">
        <v>46219</v>
      </c>
      <c r="F42" s="24" t="n">
        <v>46234</v>
      </c>
      <c r="G42" t="n">
        <v>151</v>
      </c>
      <c r="H42" t="n">
        <v>17.84254237288135</v>
      </c>
      <c r="I42" t="n">
        <v>0.223463687150838</v>
      </c>
    </row>
    <row r="43">
      <c r="A43" t="n">
        <v>31754677</v>
      </c>
      <c r="B43" t="inlineStr">
        <is>
          <t>INFINITY NADO SERIE 6 SET DE BATALL</t>
        </is>
      </c>
      <c r="C43" t="n">
        <v>189</v>
      </c>
      <c r="D43" t="n">
        <v>149</v>
      </c>
      <c r="E43" s="24" t="n">
        <v>46219</v>
      </c>
      <c r="F43" s="24" t="n">
        <v>46234</v>
      </c>
      <c r="G43" t="n">
        <v>49</v>
      </c>
      <c r="H43" t="n">
        <v>17.41661016949152</v>
      </c>
      <c r="I43" t="n">
        <v>0.2116402116402116</v>
      </c>
    </row>
    <row r="44">
      <c r="A44" t="n">
        <v>32656416</v>
      </c>
      <c r="B44" t="inlineStr">
        <is>
          <t>EL PISO ES LAVA</t>
        </is>
      </c>
      <c r="C44" t="n">
        <v>79.90000000000001</v>
      </c>
      <c r="D44" t="n">
        <v>34.9</v>
      </c>
      <c r="E44" s="24" t="n">
        <v>46219</v>
      </c>
      <c r="F44" s="24" t="n">
        <v>46234</v>
      </c>
      <c r="G44" t="n">
        <v>97</v>
      </c>
      <c r="H44" t="n">
        <v>19.29830508474576</v>
      </c>
      <c r="I44" t="n">
        <v>0.5632040050062579</v>
      </c>
    </row>
    <row r="45">
      <c r="A45" t="n">
        <v>32656417</v>
      </c>
      <c r="B45" t="inlineStr">
        <is>
          <t>NO DESPIERTES A PAPA</t>
        </is>
      </c>
      <c r="C45" t="n">
        <v>89.90000000000001</v>
      </c>
      <c r="D45" t="n">
        <v>39.9</v>
      </c>
      <c r="E45" s="24" t="n">
        <v>46219</v>
      </c>
      <c r="F45" s="24" t="n">
        <v>46234</v>
      </c>
      <c r="G45" t="n">
        <v>70</v>
      </c>
      <c r="H45" t="n">
        <v>21.21050847457627</v>
      </c>
      <c r="I45" t="n">
        <v>0.5561735261401557</v>
      </c>
    </row>
    <row r="46">
      <c r="A46" t="n">
        <v>34840527</v>
      </c>
      <c r="B46" t="inlineStr">
        <is>
          <t>NENUCO CUMPLEANOS DE UNICORNIO</t>
        </is>
      </c>
      <c r="C46" t="n">
        <v>159</v>
      </c>
      <c r="D46" t="n">
        <v>69.90000000000001</v>
      </c>
      <c r="E46" s="24" t="n">
        <v>46219</v>
      </c>
      <c r="F46" s="24" t="n">
        <v>46234</v>
      </c>
      <c r="G46" t="n">
        <v>11</v>
      </c>
      <c r="H46" t="n">
        <v>43.97203389830508</v>
      </c>
      <c r="I46" t="n">
        <v>0.560377358490566</v>
      </c>
    </row>
    <row r="47">
      <c r="A47" t="n">
        <v>31675352</v>
      </c>
      <c r="B47" t="inlineStr">
        <is>
          <t>MI PEQUENO NENUCO</t>
        </is>
      </c>
      <c r="C47" t="n">
        <v>69.90000000000001</v>
      </c>
      <c r="D47" t="n">
        <v>49.9</v>
      </c>
      <c r="E47" s="24" t="n">
        <v>46219</v>
      </c>
      <c r="F47" s="24" t="n">
        <v>46234</v>
      </c>
      <c r="G47" t="n">
        <v>172</v>
      </c>
      <c r="H47" t="n">
        <v>9.753898305084746</v>
      </c>
      <c r="I47" t="n">
        <v>0.2861230329041489</v>
      </c>
    </row>
    <row r="48">
      <c r="A48" t="n">
        <v>31675353</v>
      </c>
      <c r="B48" t="inlineStr">
        <is>
          <t>NENUCO CON BIBERON Y SONAJERO</t>
        </is>
      </c>
      <c r="C48" t="n">
        <v>79.90000000000001</v>
      </c>
      <c r="D48" t="n">
        <v>59.9</v>
      </c>
      <c r="E48" s="24" t="n">
        <v>46219</v>
      </c>
      <c r="F48" s="24" t="n">
        <v>46234</v>
      </c>
      <c r="G48" t="n">
        <v>212</v>
      </c>
      <c r="H48" t="n">
        <v>9.327966101694912</v>
      </c>
      <c r="I48" t="n">
        <v>0.2503128911138924</v>
      </c>
    </row>
    <row r="49">
      <c r="A49" t="n">
        <v>34840524</v>
      </c>
      <c r="B49" t="inlineStr">
        <is>
          <t>NENUCO 5 FUNCIONES INTERACTIVAS</t>
        </is>
      </c>
      <c r="C49" t="n">
        <v>89.90000000000001</v>
      </c>
      <c r="D49" t="n">
        <v>69.90000000000001</v>
      </c>
      <c r="E49" s="24" t="n">
        <v>46219</v>
      </c>
      <c r="F49" s="24" t="n">
        <v>46234</v>
      </c>
      <c r="G49" t="n">
        <v>31</v>
      </c>
      <c r="H49" t="n">
        <v>8.902033898305078</v>
      </c>
      <c r="I49" t="n">
        <v>0.2224694104560623</v>
      </c>
    </row>
    <row r="50">
      <c r="A50" t="n">
        <v>31675354</v>
      </c>
      <c r="B50" t="inlineStr">
        <is>
          <t>NENUCO LLORON CON ACCESORIOS</t>
        </is>
      </c>
      <c r="C50" t="n">
        <v>89.90000000000001</v>
      </c>
      <c r="D50" t="n">
        <v>69.90000000000001</v>
      </c>
      <c r="E50" s="24" t="n">
        <v>46219</v>
      </c>
      <c r="F50" s="24" t="n">
        <v>46234</v>
      </c>
      <c r="G50" t="n">
        <v>271</v>
      </c>
      <c r="H50" t="n">
        <v>8.902033898305078</v>
      </c>
      <c r="I50" t="n">
        <v>0.2224694104560623</v>
      </c>
    </row>
    <row r="51">
      <c r="A51" t="n">
        <v>33483123</v>
      </c>
      <c r="B51" t="inlineStr">
        <is>
          <t>NENUCO DISFRACES</t>
        </is>
      </c>
      <c r="C51" t="n">
        <v>89.90000000000001</v>
      </c>
      <c r="D51" t="n">
        <v>69.90000000000001</v>
      </c>
      <c r="E51" s="24" t="n">
        <v>46219</v>
      </c>
      <c r="F51" s="24" t="n">
        <v>46234</v>
      </c>
      <c r="G51" t="n">
        <v>126</v>
      </c>
      <c r="H51" t="n">
        <v>8.902033898305078</v>
      </c>
      <c r="I51" t="n">
        <v>0.2224694104560623</v>
      </c>
    </row>
    <row r="52">
      <c r="A52" t="n">
        <v>34840525</v>
      </c>
      <c r="B52" t="inlineStr">
        <is>
          <t>NENUCO VAMOS DE PASEO</t>
        </is>
      </c>
      <c r="C52" t="n">
        <v>99</v>
      </c>
      <c r="D52" t="n">
        <v>79.90000000000001</v>
      </c>
      <c r="E52" s="24" t="n">
        <v>46219</v>
      </c>
      <c r="F52" s="24" t="n">
        <v>46234</v>
      </c>
      <c r="G52" t="n">
        <v>60</v>
      </c>
      <c r="H52" t="n">
        <v>7.946101694915249</v>
      </c>
      <c r="I52" t="n">
        <v>0.1929292929292928</v>
      </c>
    </row>
    <row r="53">
      <c r="A53" t="n">
        <v>34840526</v>
      </c>
      <c r="B53" t="inlineStr">
        <is>
          <t>NENUCO ABRACITOS</t>
        </is>
      </c>
      <c r="C53" t="n">
        <v>119</v>
      </c>
      <c r="D53" t="n">
        <v>89.90000000000001</v>
      </c>
      <c r="E53" s="24" t="n">
        <v>46219</v>
      </c>
      <c r="F53" s="24" t="n">
        <v>46234</v>
      </c>
      <c r="G53" t="n">
        <v>82</v>
      </c>
      <c r="H53" t="n">
        <v>9.640847457627117</v>
      </c>
      <c r="I53" t="n">
        <v>0.2445378151260503</v>
      </c>
    </row>
    <row r="54">
      <c r="A54" t="n">
        <v>31675347</v>
      </c>
      <c r="B54" t="inlineStr">
        <is>
          <t>PETRONIX FIGURA + MASCOTAMOBIL SURTIDO</t>
        </is>
      </c>
      <c r="C54" t="n">
        <v>22.9</v>
      </c>
      <c r="D54" t="n">
        <v>16.03</v>
      </c>
      <c r="E54" s="24" t="n">
        <v>46219</v>
      </c>
      <c r="F54" s="24" t="n">
        <v>46234</v>
      </c>
      <c r="G54" t="n">
        <v>92</v>
      </c>
      <c r="H54" t="n">
        <v>2.714745762711864</v>
      </c>
      <c r="I54" t="n">
        <v>0.2999999999999999</v>
      </c>
    </row>
    <row r="55">
      <c r="A55" t="n">
        <v>31675348</v>
      </c>
      <c r="B55" t="inlineStr">
        <is>
          <t>PETRONIX MASCOTA TRANSFORMABLE SURTIDO X4</t>
        </is>
      </c>
      <c r="C55" t="n">
        <v>39.9</v>
      </c>
      <c r="D55" t="n">
        <v>27.93</v>
      </c>
      <c r="E55" s="24" t="n">
        <v>46219</v>
      </c>
      <c r="F55" s="24" t="n">
        <v>46234</v>
      </c>
      <c r="G55" t="n">
        <v>23</v>
      </c>
      <c r="H55" t="n">
        <v>4.729491525423725</v>
      </c>
      <c r="I55" t="n">
        <v>0.2999999999999999</v>
      </c>
    </row>
    <row r="56">
      <c r="A56" t="n">
        <v>31675349</v>
      </c>
      <c r="B56" t="inlineStr">
        <is>
          <t>PETRONIX LANZADOR</t>
        </is>
      </c>
      <c r="C56" t="n">
        <v>44.9</v>
      </c>
      <c r="D56" t="n">
        <v>31.43</v>
      </c>
      <c r="E56" s="24" t="n">
        <v>46219</v>
      </c>
      <c r="F56" s="24" t="n">
        <v>46234</v>
      </c>
      <c r="G56" t="n">
        <v>23</v>
      </c>
      <c r="H56" t="n">
        <v>5.325593220338984</v>
      </c>
      <c r="I56" t="n">
        <v>0.2999999999999999</v>
      </c>
    </row>
    <row r="57">
      <c r="A57" t="n">
        <v>31675350</v>
      </c>
      <c r="B57" t="inlineStr">
        <is>
          <t>PETRONIX VEHICULO DE LUJO TRANSFORMABLE SURTIDO A</t>
        </is>
      </c>
      <c r="C57" t="n">
        <v>89.90000000000001</v>
      </c>
      <c r="D57" t="n">
        <v>62.93</v>
      </c>
      <c r="E57" s="24" t="n">
        <v>46219</v>
      </c>
      <c r="F57" s="24" t="n">
        <v>46234</v>
      </c>
      <c r="G57" t="n">
        <v>13</v>
      </c>
      <c r="H57" t="n">
        <v>10.67050847457627</v>
      </c>
      <c r="I57" t="n">
        <v>0.3</v>
      </c>
    </row>
    <row r="58">
      <c r="A58" t="n">
        <v>31675351</v>
      </c>
      <c r="B58" t="inlineStr">
        <is>
          <t>PETRONIX VEHICULO DE LUJO TRANSFORMABLE SURTIDO B</t>
        </is>
      </c>
      <c r="C58" t="n">
        <v>89.90000000000001</v>
      </c>
      <c r="D58" t="n">
        <v>62.93</v>
      </c>
      <c r="E58" s="24" t="n">
        <v>46219</v>
      </c>
      <c r="F58" s="24" t="n">
        <v>46234</v>
      </c>
      <c r="G58" t="n">
        <v>52</v>
      </c>
      <c r="H58" t="n">
        <v>10.67050847457627</v>
      </c>
      <c r="I58" t="n">
        <v>0.3</v>
      </c>
    </row>
    <row r="59">
      <c r="A59" t="n">
        <v>35685069</v>
      </c>
      <c r="B59" t="inlineStr">
        <is>
          <t>PETRONIX FIGURA DE ACCION CON LUCES Y SONIDO</t>
        </is>
      </c>
      <c r="C59" t="n">
        <v>99</v>
      </c>
      <c r="D59" t="n">
        <v>69.3</v>
      </c>
      <c r="E59" s="24" t="n">
        <v>46219</v>
      </c>
      <c r="F59" s="24" t="n">
        <v>46234</v>
      </c>
      <c r="G59" t="n">
        <v>5</v>
      </c>
      <c r="H59" t="n">
        <v>11.74881355932204</v>
      </c>
      <c r="I59" t="n">
        <v>0.3</v>
      </c>
    </row>
    <row r="60">
      <c r="A60" t="n">
        <v>35685070</v>
      </c>
      <c r="B60" t="inlineStr">
        <is>
          <t>PETRONIX PLAYSET BASE CENTRAL</t>
        </is>
      </c>
      <c r="C60" t="n">
        <v>149</v>
      </c>
      <c r="D60" t="n">
        <v>104.3</v>
      </c>
      <c r="E60" s="24" t="n">
        <v>46219</v>
      </c>
      <c r="F60" s="24" t="n">
        <v>46234</v>
      </c>
      <c r="G60" t="n">
        <v>10</v>
      </c>
      <c r="H60" t="n">
        <v>17.67983050847458</v>
      </c>
      <c r="I60" t="n">
        <v>0.3</v>
      </c>
    </row>
    <row r="61">
      <c r="A61" t="n">
        <v>29625606</v>
      </c>
      <c r="B61" t="inlineStr">
        <is>
          <t>PINYPON MI MASCOTA Y YO</t>
        </is>
      </c>
      <c r="C61" t="n">
        <v>34.9</v>
      </c>
      <c r="D61" t="n">
        <v>20.94</v>
      </c>
      <c r="E61" s="24" t="n">
        <v>46219</v>
      </c>
      <c r="F61" s="24" t="n">
        <v>46234</v>
      </c>
      <c r="G61" t="n">
        <v>69</v>
      </c>
      <c r="H61" t="n">
        <v>6.503389830508473</v>
      </c>
      <c r="I61" t="n">
        <v>0.3999999999999999</v>
      </c>
    </row>
    <row r="62">
      <c r="A62" t="n">
        <v>34840535</v>
      </c>
      <c r="B62" t="inlineStr">
        <is>
          <t>PINYPON TENEBROSA MI MONSTRUO Y YO</t>
        </is>
      </c>
      <c r="C62" t="n">
        <v>49.9</v>
      </c>
      <c r="D62" t="n">
        <v>29.94</v>
      </c>
      <c r="E62" s="24" t="n">
        <v>46219</v>
      </c>
      <c r="F62" s="24" t="n">
        <v>46234</v>
      </c>
      <c r="G62" t="n">
        <v>42</v>
      </c>
      <c r="H62" t="n">
        <v>9.301694915254235</v>
      </c>
      <c r="I62" t="n">
        <v>0.3999999999999999</v>
      </c>
    </row>
    <row r="63">
      <c r="A63" t="n">
        <v>31675356</v>
      </c>
      <c r="B63" t="inlineStr">
        <is>
          <t>PINYPON PEQUENA CASITA CON MUNECA + ACCESORIOS</t>
        </is>
      </c>
      <c r="C63" t="n">
        <v>59.9</v>
      </c>
      <c r="D63" t="n">
        <v>35.94</v>
      </c>
      <c r="E63" s="24" t="n">
        <v>46219</v>
      </c>
      <c r="F63" s="24" t="n">
        <v>46234</v>
      </c>
      <c r="G63" t="n">
        <v>22</v>
      </c>
      <c r="H63" t="n">
        <v>11.16389830508475</v>
      </c>
      <c r="I63" t="n">
        <v>0.4</v>
      </c>
    </row>
    <row r="64">
      <c r="A64" t="n">
        <v>29854053</v>
      </c>
      <c r="B64" t="inlineStr">
        <is>
          <t>PINYPON CARRO Y MOTO CON CARRO LATERAL SURTIDO</t>
        </is>
      </c>
      <c r="C64" t="n">
        <v>69.90000000000001</v>
      </c>
      <c r="D64" t="n">
        <v>41.94</v>
      </c>
      <c r="E64" s="24" t="n">
        <v>46219</v>
      </c>
      <c r="F64" s="24" t="n">
        <v>46234</v>
      </c>
      <c r="G64" t="n">
        <v>6</v>
      </c>
      <c r="H64" t="n">
        <v>13.03610169491525</v>
      </c>
      <c r="I64" t="n">
        <v>0.4000000000000001</v>
      </c>
    </row>
    <row r="65">
      <c r="A65" t="n">
        <v>32457096</v>
      </c>
      <c r="B65" t="inlineStr">
        <is>
          <t>PINYPON AUTO DEPORT / SCOOTER + FIGURA SURT</t>
        </is>
      </c>
      <c r="C65" t="n">
        <v>69.90000000000001</v>
      </c>
      <c r="D65" t="n">
        <v>41.94</v>
      </c>
      <c r="E65" s="24" t="n">
        <v>46219</v>
      </c>
      <c r="F65" s="24" t="n">
        <v>46234</v>
      </c>
      <c r="G65" t="n">
        <v>23</v>
      </c>
      <c r="H65" t="n">
        <v>13.03610169491525</v>
      </c>
      <c r="I65" t="n">
        <v>0.4000000000000001</v>
      </c>
    </row>
    <row r="66">
      <c r="A66" t="n">
        <v>32457097</v>
      </c>
      <c r="B66" t="inlineStr">
        <is>
          <t>PINYPON COCHE DE CAMPING</t>
        </is>
      </c>
      <c r="C66" t="n">
        <v>129</v>
      </c>
      <c r="D66" t="n">
        <v>77.40000000000001</v>
      </c>
      <c r="E66" s="24" t="n">
        <v>46219</v>
      </c>
      <c r="F66" s="24" t="n">
        <v>46234</v>
      </c>
      <c r="G66" t="n">
        <v>6</v>
      </c>
      <c r="H66" t="n">
        <v>24.05542372881357</v>
      </c>
      <c r="I66" t="n">
        <v>0.3999999999999999</v>
      </c>
    </row>
    <row r="67">
      <c r="A67" t="n">
        <v>29625603</v>
      </c>
      <c r="B67" t="inlineStr">
        <is>
          <t>PINYPON FIG. BASICAS DE VERANO SURT.</t>
        </is>
      </c>
      <c r="C67" t="n">
        <v>17.9</v>
      </c>
      <c r="D67" t="n">
        <v>10.74</v>
      </c>
      <c r="E67" s="24" t="n">
        <v>46219</v>
      </c>
      <c r="F67" s="24" t="n">
        <v>46234</v>
      </c>
      <c r="G67" t="n">
        <v>8</v>
      </c>
      <c r="H67" t="n">
        <v>3.338644067796609</v>
      </c>
      <c r="I67" t="n">
        <v>0.3999999999999999</v>
      </c>
    </row>
    <row r="68">
      <c r="A68" t="n">
        <v>31959968</v>
      </c>
      <c r="B68" t="inlineStr">
        <is>
          <t>PINYPON FIGURAS BASICAS SERIE 13 DISP. 56</t>
        </is>
      </c>
      <c r="C68" t="n">
        <v>17.9</v>
      </c>
      <c r="D68" t="n">
        <v>10.74</v>
      </c>
      <c r="E68" s="24" t="n">
        <v>46219</v>
      </c>
      <c r="F68" s="24" t="n">
        <v>46234</v>
      </c>
      <c r="G68" t="n">
        <v>202</v>
      </c>
      <c r="H68" t="n">
        <v>3.338644067796609</v>
      </c>
      <c r="I68" t="n">
        <v>0.3999999999999999</v>
      </c>
    </row>
    <row r="69">
      <c r="A69" t="n">
        <v>34840534</v>
      </c>
      <c r="B69" t="inlineStr">
        <is>
          <t>PINYPON TENEBROSA SERIE 14 CDU 24X2</t>
        </is>
      </c>
      <c r="C69" t="n">
        <v>17.9</v>
      </c>
      <c r="D69" t="n">
        <v>10.74</v>
      </c>
      <c r="E69" s="24" t="n">
        <v>46219</v>
      </c>
      <c r="F69" s="24" t="n">
        <v>46234</v>
      </c>
      <c r="G69" t="n">
        <v>126</v>
      </c>
      <c r="H69" t="n">
        <v>3.338644067796609</v>
      </c>
      <c r="I69" t="n">
        <v>0.3999999999999999</v>
      </c>
    </row>
    <row r="70">
      <c r="A70" t="n">
        <v>33483124</v>
      </c>
      <c r="B70" t="inlineStr">
        <is>
          <t>PINYPON LETS GO FIGURAS CON SKATE/PATINES</t>
        </is>
      </c>
      <c r="C70" t="n">
        <v>22.9</v>
      </c>
      <c r="D70" t="n">
        <v>13.74</v>
      </c>
      <c r="E70" s="24" t="n">
        <v>46219</v>
      </c>
      <c r="F70" s="24" t="n">
        <v>46234</v>
      </c>
      <c r="G70" t="n">
        <v>18</v>
      </c>
      <c r="H70" t="n">
        <v>4.264745762711863</v>
      </c>
      <c r="I70" t="n">
        <v>0.3999999999999999</v>
      </c>
    </row>
    <row r="71">
      <c r="A71" t="n">
        <v>29625604</v>
      </c>
      <c r="B71" t="inlineStr">
        <is>
          <t>PINYPON FIGURAS DE CUENTOS</t>
        </is>
      </c>
      <c r="C71" t="n">
        <v>32.9</v>
      </c>
      <c r="D71" t="n">
        <v>19.74</v>
      </c>
      <c r="E71" s="24" t="n">
        <v>46219</v>
      </c>
      <c r="F71" s="24" t="n">
        <v>46234</v>
      </c>
      <c r="G71" t="n">
        <v>43</v>
      </c>
      <c r="H71" t="n">
        <v>6.136949152542373</v>
      </c>
      <c r="I71" t="n">
        <v>0.4</v>
      </c>
    </row>
    <row r="72">
      <c r="A72" t="n">
        <v>30232287</v>
      </c>
      <c r="B72" t="inlineStr">
        <is>
          <t>PINYPON MEJORES AMIGAS</t>
        </is>
      </c>
      <c r="C72" t="n">
        <v>39.9</v>
      </c>
      <c r="D72" t="n">
        <v>23.94</v>
      </c>
      <c r="E72" s="24" t="n">
        <v>46219</v>
      </c>
      <c r="F72" s="24" t="n">
        <v>46234</v>
      </c>
      <c r="G72" t="n">
        <v>5</v>
      </c>
      <c r="H72" t="n">
        <v>7.439491525423726</v>
      </c>
      <c r="I72" t="n">
        <v>0.3999999999999999</v>
      </c>
    </row>
    <row r="73">
      <c r="A73" t="n">
        <v>31959967</v>
      </c>
      <c r="B73" t="inlineStr">
        <is>
          <t>PINYPON LETS GO PATIN GIRO ELECTRICO</t>
        </is>
      </c>
      <c r="C73" t="n">
        <v>49.9</v>
      </c>
      <c r="D73" t="n">
        <v>29.94</v>
      </c>
      <c r="E73" s="24" t="n">
        <v>46219</v>
      </c>
      <c r="F73" s="24" t="n">
        <v>46234</v>
      </c>
      <c r="G73" t="n">
        <v>2</v>
      </c>
      <c r="H73" t="n">
        <v>9.301694915254235</v>
      </c>
      <c r="I73" t="n">
        <v>0.3999999999999999</v>
      </c>
    </row>
    <row r="74">
      <c r="A74" t="n">
        <v>31754678</v>
      </c>
      <c r="B74" t="inlineStr">
        <is>
          <t>PINYPON CELEBRACION DE CUMPLEANOS + ACCESS.</t>
        </is>
      </c>
      <c r="C74" t="n">
        <v>69.90000000000001</v>
      </c>
      <c r="D74" t="n">
        <v>41.94</v>
      </c>
      <c r="E74" s="24" t="n">
        <v>46219</v>
      </c>
      <c r="F74" s="24" t="n">
        <v>46234</v>
      </c>
      <c r="G74" t="n">
        <v>13</v>
      </c>
      <c r="H74" t="n">
        <v>13.03610169491525</v>
      </c>
      <c r="I74" t="n">
        <v>0.4000000000000001</v>
      </c>
    </row>
    <row r="75">
      <c r="A75" t="n">
        <v>29235705</v>
      </c>
      <c r="B75" t="inlineStr">
        <is>
          <t>PINYPON MOTO DELIVERY PIZZA</t>
        </is>
      </c>
      <c r="C75" t="n">
        <v>79.90000000000001</v>
      </c>
      <c r="D75" t="n">
        <v>47.94</v>
      </c>
      <c r="E75" s="24" t="n">
        <v>46219</v>
      </c>
      <c r="F75" s="24" t="n">
        <v>46234</v>
      </c>
      <c r="G75" t="n">
        <v>1</v>
      </c>
      <c r="H75" t="n">
        <v>14.89830508474576</v>
      </c>
      <c r="I75" t="n">
        <v>0.4</v>
      </c>
    </row>
    <row r="76">
      <c r="A76" t="n">
        <v>31675357</v>
      </c>
      <c r="B76" t="inlineStr">
        <is>
          <t>PINYPON SUV CON TRANSPORTADOR Y PONY</t>
        </is>
      </c>
      <c r="C76" t="n">
        <v>99</v>
      </c>
      <c r="D76" t="n">
        <v>59.4</v>
      </c>
      <c r="E76" s="24" t="n">
        <v>46219</v>
      </c>
      <c r="F76" s="24" t="n">
        <v>46234</v>
      </c>
      <c r="G76" t="n">
        <v>8</v>
      </c>
      <c r="H76" t="n">
        <v>18.45881355932203</v>
      </c>
      <c r="I76" t="n">
        <v>0.4</v>
      </c>
    </row>
    <row r="77">
      <c r="A77" t="n">
        <v>29854054</v>
      </c>
      <c r="B77" t="inlineStr">
        <is>
          <t>PINYPON MOTO + REMOLQUE INCL.MUNECA Y MASCOTA</t>
        </is>
      </c>
      <c r="C77" t="n">
        <v>119</v>
      </c>
      <c r="D77" t="n">
        <v>71.40000000000001</v>
      </c>
      <c r="E77" s="24" t="n">
        <v>46219</v>
      </c>
      <c r="F77" s="24" t="n">
        <v>46234</v>
      </c>
      <c r="G77" t="n">
        <v>20</v>
      </c>
      <c r="H77" t="n">
        <v>22.18322033898305</v>
      </c>
      <c r="I77" t="n">
        <v>0.3999999999999999</v>
      </c>
    </row>
    <row r="78">
      <c r="A78" t="n">
        <v>33483125</v>
      </c>
      <c r="B78" t="inlineStr">
        <is>
          <t>PINYPON PLAYSET PLAYA + FIG.</t>
        </is>
      </c>
      <c r="C78" t="n">
        <v>139</v>
      </c>
      <c r="D78" t="n">
        <v>83.40000000000001</v>
      </c>
      <c r="E78" s="24" t="n">
        <v>46219</v>
      </c>
      <c r="F78" s="24" t="n">
        <v>46234</v>
      </c>
      <c r="G78" t="n">
        <v>0</v>
      </c>
      <c r="H78" t="n">
        <v>25.91762711864407</v>
      </c>
      <c r="I78" t="n">
        <v>0.3999999999999999</v>
      </c>
    </row>
    <row r="79">
      <c r="A79" t="n">
        <v>34840537</v>
      </c>
      <c r="B79" t="inlineStr">
        <is>
          <t>PINYPON MANSION TENEBROSA</t>
        </is>
      </c>
      <c r="C79" t="n">
        <v>139</v>
      </c>
      <c r="D79" t="n">
        <v>83.40000000000001</v>
      </c>
      <c r="E79" s="24" t="n">
        <v>46219</v>
      </c>
      <c r="F79" s="24" t="n">
        <v>46234</v>
      </c>
      <c r="G79" t="n">
        <v>8</v>
      </c>
      <c r="H79" t="n">
        <v>25.91762711864407</v>
      </c>
      <c r="I79" t="n">
        <v>0.3999999999999999</v>
      </c>
    </row>
    <row r="80">
      <c r="A80" t="n">
        <v>34840536</v>
      </c>
      <c r="B80" t="inlineStr">
        <is>
          <t>PINYPON ACADEMIA TENEBROSA</t>
        </is>
      </c>
      <c r="C80" t="n">
        <v>139</v>
      </c>
      <c r="D80" t="n">
        <v>83.40000000000001</v>
      </c>
      <c r="E80" s="24" t="n">
        <v>46219</v>
      </c>
      <c r="F80" s="24" t="n">
        <v>46234</v>
      </c>
      <c r="G80" t="n">
        <v>9</v>
      </c>
      <c r="H80" t="n">
        <v>25.91762711864407</v>
      </c>
      <c r="I80" t="n">
        <v>0.3999999999999999</v>
      </c>
    </row>
    <row r="81">
      <c r="A81" t="n">
        <v>32457098</v>
      </c>
      <c r="B81" t="inlineStr">
        <is>
          <t>PINYPON CASA PORTATIL AMOBLADA + ACCES. Y DOS FIG</t>
        </is>
      </c>
      <c r="C81" t="n">
        <v>159</v>
      </c>
      <c r="D81" t="n">
        <v>95.40000000000001</v>
      </c>
      <c r="E81" s="24" t="n">
        <v>46219</v>
      </c>
      <c r="F81" s="24" t="n">
        <v>46234</v>
      </c>
      <c r="G81" t="n">
        <v>0</v>
      </c>
      <c r="H81" t="n">
        <v>29.64203389830507</v>
      </c>
      <c r="I81" t="n">
        <v>0.3999999999999999</v>
      </c>
    </row>
    <row r="82">
      <c r="A82" t="n">
        <v>31417430</v>
      </c>
      <c r="B82" t="inlineStr">
        <is>
          <t>MUNECA STEFFI LOVE  BASICA FASHION ARTICULADA</t>
        </is>
      </c>
      <c r="C82" t="n">
        <v>19.9</v>
      </c>
      <c r="D82" t="n">
        <v>11.94</v>
      </c>
      <c r="E82" s="24" t="n">
        <v>46219</v>
      </c>
      <c r="F82" s="24" t="n">
        <v>46234</v>
      </c>
      <c r="G82" t="n">
        <v>139</v>
      </c>
      <c r="H82" t="n">
        <v>3.200101694915253</v>
      </c>
      <c r="I82" t="n">
        <v>0.4</v>
      </c>
    </row>
    <row r="83">
      <c r="A83" t="n">
        <v>31800853</v>
      </c>
      <c r="B83" t="inlineStr">
        <is>
          <t>MUNECA STEFFI LOVE AMIGA FASHION + ACCESS SURT.</t>
        </is>
      </c>
      <c r="C83" t="n">
        <v>29.9</v>
      </c>
      <c r="D83" t="n">
        <v>17.94</v>
      </c>
      <c r="E83" s="24" t="n">
        <v>46219</v>
      </c>
      <c r="F83" s="24" t="n">
        <v>46234</v>
      </c>
      <c r="G83" t="n">
        <v>6</v>
      </c>
      <c r="H83" t="n">
        <v>4.812745762711863</v>
      </c>
      <c r="I83" t="n">
        <v>0.4</v>
      </c>
    </row>
    <row r="84">
      <c r="A84" t="n">
        <v>31800855</v>
      </c>
      <c r="B84" t="inlineStr">
        <is>
          <t>STEFFI LOVE TWIN PACK PROMO</t>
        </is>
      </c>
      <c r="C84" t="n">
        <v>34.9</v>
      </c>
      <c r="D84" t="n">
        <v>20.94</v>
      </c>
      <c r="E84" s="24" t="n">
        <v>46219</v>
      </c>
      <c r="F84" s="24" t="n">
        <v>46234</v>
      </c>
      <c r="G84" t="n">
        <v>6</v>
      </c>
      <c r="H84" t="n">
        <v>5.62006779661017</v>
      </c>
      <c r="I84" t="n">
        <v>0.4</v>
      </c>
    </row>
    <row r="85">
      <c r="A85" t="n">
        <v>33483128</v>
      </c>
      <c r="B85" t="inlineStr">
        <is>
          <t>MUNECA STEFFI LOVE PASEADORA PERRITOS + ACC.</t>
        </is>
      </c>
      <c r="C85" t="n">
        <v>59.9</v>
      </c>
      <c r="D85" t="n">
        <v>35.94</v>
      </c>
      <c r="E85" s="24" t="n">
        <v>46219</v>
      </c>
      <c r="F85" s="24" t="n">
        <v>46234</v>
      </c>
      <c r="G85" t="n">
        <v>8</v>
      </c>
      <c r="H85" t="n">
        <v>9.650677966101696</v>
      </c>
      <c r="I85" t="n">
        <v>0.4</v>
      </c>
    </row>
    <row r="86">
      <c r="A86" t="n">
        <v>34840538</v>
      </c>
      <c r="B86" t="inlineStr">
        <is>
          <t>MUNECA STEFFI LOVE CORREPASILLOS BEBE + ACCS</t>
        </is>
      </c>
      <c r="C86" t="n">
        <v>59.9</v>
      </c>
      <c r="D86" t="n">
        <v>35.94</v>
      </c>
      <c r="E86" s="24" t="n">
        <v>46219</v>
      </c>
      <c r="F86" s="24" t="n">
        <v>46234</v>
      </c>
      <c r="G86" t="n">
        <v>9</v>
      </c>
      <c r="H86" t="n">
        <v>9.650677966101696</v>
      </c>
      <c r="I86" t="n">
        <v>0.4</v>
      </c>
    </row>
    <row r="87">
      <c r="A87" t="n">
        <v>31417432</v>
      </c>
      <c r="B87" t="inlineStr">
        <is>
          <t>MUNECA STEFFI LOVE CON SCOOTER + ACCESS.</t>
        </is>
      </c>
      <c r="C87" t="n">
        <v>59.9</v>
      </c>
      <c r="D87" t="n">
        <v>35.94</v>
      </c>
      <c r="E87" s="24" t="n">
        <v>46219</v>
      </c>
      <c r="F87" s="24" t="n">
        <v>46234</v>
      </c>
      <c r="G87" t="n">
        <v>5</v>
      </c>
      <c r="H87" t="n">
        <v>9.650677966101696</v>
      </c>
      <c r="I87" t="n">
        <v>0.4</v>
      </c>
    </row>
    <row r="88">
      <c r="A88" t="n">
        <v>34840539</v>
      </c>
      <c r="B88" t="inlineStr">
        <is>
          <t>MUNECA STEFFI LOVE ABRIGO FLUFFY</t>
        </is>
      </c>
      <c r="C88" t="n">
        <v>59.9</v>
      </c>
      <c r="D88" t="n">
        <v>35.94</v>
      </c>
      <c r="E88" s="24" t="n">
        <v>46219</v>
      </c>
      <c r="F88" s="24" t="n">
        <v>46234</v>
      </c>
      <c r="G88" t="n">
        <v>23</v>
      </c>
      <c r="H88" t="n">
        <v>9.650677966101696</v>
      </c>
      <c r="I88" t="n">
        <v>0.4</v>
      </c>
    </row>
    <row r="89">
      <c r="A89" t="n">
        <v>34840541</v>
      </c>
      <c r="B89" t="inlineStr">
        <is>
          <t>MUNECA STEFFI LOVE ESTILISTA</t>
        </is>
      </c>
      <c r="C89" t="n">
        <v>69.90000000000001</v>
      </c>
      <c r="D89" t="n">
        <v>41.94</v>
      </c>
      <c r="E89" s="24" t="n">
        <v>46219</v>
      </c>
      <c r="F89" s="24" t="n">
        <v>46234</v>
      </c>
      <c r="G89" t="n">
        <v>12</v>
      </c>
      <c r="H89" t="n">
        <v>11.2493220338983</v>
      </c>
      <c r="I89" t="n">
        <v>0.4</v>
      </c>
    </row>
    <row r="90">
      <c r="A90" t="n">
        <v>32457121</v>
      </c>
      <c r="B90" t="inlineStr">
        <is>
          <t>MUNECA STEFFI LOVE PASEO DE MASCOTAS + ACCESS.</t>
        </is>
      </c>
      <c r="C90" t="n">
        <v>69.90000000000001</v>
      </c>
      <c r="D90" t="n">
        <v>41.94</v>
      </c>
      <c r="E90" s="24" t="n">
        <v>46219</v>
      </c>
      <c r="F90" s="24" t="n">
        <v>46234</v>
      </c>
      <c r="G90" t="n">
        <v>17</v>
      </c>
      <c r="H90" t="n">
        <v>11.2493220338983</v>
      </c>
      <c r="I90" t="n">
        <v>0.4</v>
      </c>
    </row>
    <row r="91">
      <c r="A91" t="n">
        <v>31417433</v>
      </c>
      <c r="B91" t="inlineStr">
        <is>
          <t>MUNECA STEFFI LOVE CUIDADO DE GATOS + ACCESS.</t>
        </is>
      </c>
      <c r="C91" t="n">
        <v>69.90000000000001</v>
      </c>
      <c r="D91" t="n">
        <v>41.94</v>
      </c>
      <c r="E91" s="24" t="n">
        <v>46219</v>
      </c>
      <c r="F91" s="24" t="n">
        <v>46234</v>
      </c>
      <c r="G91" t="n">
        <v>39</v>
      </c>
      <c r="H91" t="n">
        <v>11.2493220338983</v>
      </c>
      <c r="I91" t="n">
        <v>0.4</v>
      </c>
    </row>
    <row r="92">
      <c r="A92" t="n">
        <v>32457120</v>
      </c>
      <c r="B92" t="inlineStr">
        <is>
          <t>MUNECA STEFFI LOVE PEINADO DE PERLAS + ACCESS.</t>
        </is>
      </c>
      <c r="C92" t="n">
        <v>69.90000000000001</v>
      </c>
      <c r="D92" t="n">
        <v>41.94</v>
      </c>
      <c r="E92" s="24" t="n">
        <v>46219</v>
      </c>
      <c r="F92" s="24" t="n">
        <v>46234</v>
      </c>
      <c r="G92" t="n">
        <v>56</v>
      </c>
      <c r="H92" t="n">
        <v>11.2493220338983</v>
      </c>
      <c r="I92" t="n">
        <v>0.4</v>
      </c>
    </row>
    <row r="93">
      <c r="A93" t="n">
        <v>34840540</v>
      </c>
      <c r="B93" t="inlineStr">
        <is>
          <t>MUNECA STEFFI LOVE PASEO GEMELOS SURT</t>
        </is>
      </c>
      <c r="C93" t="n">
        <v>69.90000000000001</v>
      </c>
      <c r="D93" t="n">
        <v>41.94</v>
      </c>
      <c r="E93" s="24" t="n">
        <v>46219</v>
      </c>
      <c r="F93" s="24" t="n">
        <v>46234</v>
      </c>
      <c r="G93" t="n">
        <v>6</v>
      </c>
      <c r="H93" t="n">
        <v>11.2493220338983</v>
      </c>
      <c r="I93" t="n">
        <v>0.4</v>
      </c>
    </row>
    <row r="94">
      <c r="A94" t="n">
        <v>33483126</v>
      </c>
      <c r="B94" t="inlineStr">
        <is>
          <t>MUNECA STEFFI LOVE ANIMAL FELIZ SURT. + ACC.</t>
        </is>
      </c>
      <c r="C94" t="n">
        <v>79.90000000000001</v>
      </c>
      <c r="D94" t="n">
        <v>47.94</v>
      </c>
      <c r="E94" s="24" t="n">
        <v>46219</v>
      </c>
      <c r="F94" s="24" t="n">
        <v>46234</v>
      </c>
      <c r="G94" t="n">
        <v>14</v>
      </c>
      <c r="H94" t="n">
        <v>12.86196610169492</v>
      </c>
      <c r="I94" t="n">
        <v>0.4</v>
      </c>
    </row>
    <row r="95">
      <c r="A95" t="n">
        <v>34840542</v>
      </c>
      <c r="B95" t="inlineStr">
        <is>
          <t>MUNECA STEFFI LOVE PEDIATRA</t>
        </is>
      </c>
      <c r="C95" t="n">
        <v>79.90000000000001</v>
      </c>
      <c r="D95" t="n">
        <v>47.94</v>
      </c>
      <c r="E95" s="24" t="n">
        <v>46219</v>
      </c>
      <c r="F95" s="24" t="n">
        <v>46234</v>
      </c>
      <c r="G95" t="n">
        <v>2</v>
      </c>
      <c r="H95" t="n">
        <v>12.86196610169492</v>
      </c>
      <c r="I95" t="n">
        <v>0.4</v>
      </c>
    </row>
    <row r="96">
      <c r="A96" t="n">
        <v>34840543</v>
      </c>
      <c r="B96" t="inlineStr">
        <is>
          <t>MUNECA STEFFI LOVE + EVI PASEO DALMATA</t>
        </is>
      </c>
      <c r="C96" t="n">
        <v>79.90000000000001</v>
      </c>
      <c r="D96" t="n">
        <v>47.94</v>
      </c>
      <c r="E96" s="24" t="n">
        <v>46219</v>
      </c>
      <c r="F96" s="24" t="n">
        <v>46234</v>
      </c>
      <c r="G96" t="n">
        <v>6</v>
      </c>
      <c r="H96" t="n">
        <v>12.86196610169492</v>
      </c>
      <c r="I96" t="n">
        <v>0.4</v>
      </c>
    </row>
    <row r="97">
      <c r="A97" t="n">
        <v>33483129</v>
      </c>
      <c r="B97" t="inlineStr">
        <is>
          <t>MUNECA STEFFI LOVE VETERINARIA + ACC.</t>
        </is>
      </c>
      <c r="C97" t="n">
        <v>79.90000000000001</v>
      </c>
      <c r="D97" t="n">
        <v>47.94</v>
      </c>
      <c r="E97" s="24" t="n">
        <v>46219</v>
      </c>
      <c r="F97" s="24" t="n">
        <v>46234</v>
      </c>
      <c r="G97" t="n">
        <v>9</v>
      </c>
      <c r="H97" t="n">
        <v>12.86196610169492</v>
      </c>
      <c r="I97" t="n">
        <v>0.4</v>
      </c>
    </row>
    <row r="98">
      <c r="A98" t="n">
        <v>33483127</v>
      </c>
      <c r="B98" t="inlineStr">
        <is>
          <t>MUNECA STEFFI LOVE DIA DE CLASES + ACC.</t>
        </is>
      </c>
      <c r="C98" t="n">
        <v>79.90000000000001</v>
      </c>
      <c r="D98" t="n">
        <v>47.94</v>
      </c>
      <c r="E98" s="24" t="n">
        <v>46219</v>
      </c>
      <c r="F98" s="24" t="n">
        <v>46234</v>
      </c>
      <c r="G98" t="n">
        <v>40</v>
      </c>
      <c r="H98" t="n">
        <v>12.86196610169492</v>
      </c>
      <c r="I98" t="n">
        <v>0.4</v>
      </c>
    </row>
    <row r="99">
      <c r="A99" t="n">
        <v>34840544</v>
      </c>
      <c r="B99" t="inlineStr">
        <is>
          <t>MUNECA STEFFI LOVE + EVI FAMILIA DE CONEJOS</t>
        </is>
      </c>
      <c r="C99" t="n">
        <v>79.90000000000001</v>
      </c>
      <c r="D99" t="n">
        <v>47.94</v>
      </c>
      <c r="E99" s="24" t="n">
        <v>46219</v>
      </c>
      <c r="F99" s="24" t="n">
        <v>46234</v>
      </c>
      <c r="G99" t="n">
        <v>1</v>
      </c>
      <c r="H99" t="n">
        <v>12.86196610169492</v>
      </c>
      <c r="I99" t="n">
        <v>0.4</v>
      </c>
    </row>
    <row r="100">
      <c r="A100" t="n">
        <v>31800854</v>
      </c>
      <c r="B100" t="inlineStr">
        <is>
          <t>STEFFI LOVE PACK PROM. FAMILIA 4 PERS.</t>
        </is>
      </c>
      <c r="C100" t="n">
        <v>79.90000000000001</v>
      </c>
      <c r="D100" t="n">
        <v>47.94</v>
      </c>
      <c r="E100" s="24" t="n">
        <v>46219</v>
      </c>
      <c r="F100" s="24" t="n">
        <v>46234</v>
      </c>
      <c r="G100" t="n">
        <v>1</v>
      </c>
      <c r="H100" t="n">
        <v>12.86196610169492</v>
      </c>
      <c r="I100" t="n">
        <v>0.4</v>
      </c>
    </row>
    <row r="101">
      <c r="A101" t="n">
        <v>34840546</v>
      </c>
      <c r="B101" t="inlineStr">
        <is>
          <t>MUNECA STEFFI LOVE TOUR EN BICI + ACCS</t>
        </is>
      </c>
      <c r="C101" t="n">
        <v>89.90000000000001</v>
      </c>
      <c r="D101" t="n">
        <v>53.94</v>
      </c>
      <c r="E101" s="24" t="n">
        <v>46219</v>
      </c>
      <c r="F101" s="24" t="n">
        <v>46234</v>
      </c>
      <c r="G101" t="n">
        <v>2</v>
      </c>
      <c r="H101" t="n">
        <v>14.47461016949152</v>
      </c>
      <c r="I101" t="n">
        <v>0.4</v>
      </c>
    </row>
    <row r="102">
      <c r="A102" t="n">
        <v>34840547</v>
      </c>
      <c r="B102" t="inlineStr">
        <is>
          <t>MUNECA STEFFI LOVE AUTO DE PLAYA</t>
        </is>
      </c>
      <c r="C102" t="n">
        <v>99</v>
      </c>
      <c r="D102" t="n">
        <v>59.4</v>
      </c>
      <c r="E102" s="24" t="n">
        <v>46219</v>
      </c>
      <c r="F102" s="24" t="n">
        <v>46234</v>
      </c>
      <c r="G102" t="n">
        <v>9</v>
      </c>
      <c r="H102" t="n">
        <v>15.93657627118645</v>
      </c>
      <c r="I102" t="n">
        <v>0.4</v>
      </c>
    </row>
    <row r="103">
      <c r="A103" t="n">
        <v>34840548</v>
      </c>
      <c r="B103" t="inlineStr">
        <is>
          <t>MUNECA STEFFI LOVE CON MOTONETA Y CASCO</t>
        </is>
      </c>
      <c r="C103" t="n">
        <v>119</v>
      </c>
      <c r="D103" t="n">
        <v>71.39999999999999</v>
      </c>
      <c r="E103" s="24" t="n">
        <v>46219</v>
      </c>
      <c r="F103" s="24" t="n">
        <v>46234</v>
      </c>
      <c r="G103" t="n">
        <v>0</v>
      </c>
      <c r="H103" t="n">
        <v>19.16186440677966</v>
      </c>
      <c r="I103" t="n">
        <v>0.4</v>
      </c>
    </row>
    <row r="104">
      <c r="A104" t="n">
        <v>29625610</v>
      </c>
      <c r="B104" t="inlineStr">
        <is>
          <t>SUPER WINGS FIGURAS DE ACCION ARTICULADA</t>
        </is>
      </c>
      <c r="C104" t="n">
        <v>29.9</v>
      </c>
      <c r="D104" t="n">
        <v>20.93</v>
      </c>
      <c r="E104" s="24" t="n">
        <v>46219</v>
      </c>
      <c r="F104" s="24" t="n">
        <v>46234</v>
      </c>
      <c r="G104" t="n">
        <v>70</v>
      </c>
      <c r="H104" t="n">
        <v>4.437288135593217</v>
      </c>
      <c r="I104" t="n">
        <v>0.2999999999999999</v>
      </c>
    </row>
    <row r="105">
      <c r="A105" t="n">
        <v>29625607</v>
      </c>
      <c r="B105" t="inlineStr">
        <is>
          <t>SUPER WINGS FIGURAS TRANSFORMABLES</t>
        </is>
      </c>
      <c r="C105" t="n">
        <v>59.9</v>
      </c>
      <c r="D105" t="n">
        <v>41.93</v>
      </c>
      <c r="E105" s="24" t="n">
        <v>46219</v>
      </c>
      <c r="F105" s="24" t="n">
        <v>46234</v>
      </c>
      <c r="G105" t="n">
        <v>32</v>
      </c>
      <c r="H105" t="n">
        <v>8.883898305084749</v>
      </c>
      <c r="I105" t="n">
        <v>0.2999999999999999</v>
      </c>
    </row>
    <row r="106">
      <c r="A106" t="n">
        <v>31754681</v>
      </c>
      <c r="B106" t="inlineStr">
        <is>
          <t>SUPER WINGS FIGURAS TRANSFORMABLES + AVION MASCOTA</t>
        </is>
      </c>
      <c r="C106" t="n">
        <v>79.90000000000001</v>
      </c>
      <c r="D106" t="n">
        <v>55.93</v>
      </c>
      <c r="E106" s="24" t="n">
        <v>46219</v>
      </c>
      <c r="F106" s="24" t="n">
        <v>46234</v>
      </c>
      <c r="G106" t="n">
        <v>31</v>
      </c>
      <c r="H106" t="n">
        <v>11.84830508474577</v>
      </c>
      <c r="I106" t="n">
        <v>0.3</v>
      </c>
    </row>
    <row r="107">
      <c r="A107" t="n">
        <v>29625609</v>
      </c>
      <c r="B107" t="inlineStr">
        <is>
          <t>SUPER WINGS FIGURAS SUPERCARGADAS</t>
        </is>
      </c>
      <c r="C107" t="n">
        <v>94.90000000000001</v>
      </c>
      <c r="D107" t="n">
        <v>66.43000000000001</v>
      </c>
      <c r="E107" s="24" t="n">
        <v>46219</v>
      </c>
      <c r="F107" s="24" t="n">
        <v>46234</v>
      </c>
      <c r="G107" t="n">
        <v>30</v>
      </c>
      <c r="H107" t="n">
        <v>14.07661016949153</v>
      </c>
      <c r="I107" t="n">
        <v>0.2999999999999999</v>
      </c>
    </row>
    <row r="108">
      <c r="A108" t="n">
        <v>28194789</v>
      </c>
      <c r="B108" t="inlineStr">
        <is>
          <t>FIGURAS TRANSFORMABLES SUPER WINGS CON LUCES Y SON</t>
        </is>
      </c>
      <c r="C108" t="n">
        <v>69.90000000000001</v>
      </c>
      <c r="D108" t="n">
        <v>48.93</v>
      </c>
      <c r="E108" s="24" t="n">
        <v>46219</v>
      </c>
      <c r="F108" s="24" t="n">
        <v>46234</v>
      </c>
      <c r="G108" t="n">
        <v>4</v>
      </c>
      <c r="H108" t="n">
        <v>10.36610169491525</v>
      </c>
      <c r="I108" t="n">
        <v>0.3</v>
      </c>
    </row>
    <row r="109">
      <c r="A109" t="n">
        <v>29625608</v>
      </c>
      <c r="B109" t="inlineStr">
        <is>
          <t>SUPER WINGS FIGURA MAS VEHICULO</t>
        </is>
      </c>
      <c r="C109" t="n">
        <v>69.90000000000001</v>
      </c>
      <c r="D109" t="n">
        <v>48.93</v>
      </c>
      <c r="E109" s="24" t="n">
        <v>46219</v>
      </c>
      <c r="F109" s="24" t="n">
        <v>46234</v>
      </c>
      <c r="G109" t="n">
        <v>14</v>
      </c>
      <c r="H109" t="n">
        <v>10.36610169491525</v>
      </c>
      <c r="I109" t="n">
        <v>0.3</v>
      </c>
    </row>
    <row r="110">
      <c r="A110" t="n">
        <v>28194787</v>
      </c>
      <c r="B110" t="inlineStr">
        <is>
          <t>PACK DE PERSONAJES TRANSFORMABLES SUPER WINGS SURT</t>
        </is>
      </c>
      <c r="C110" t="n">
        <v>79.90000000000001</v>
      </c>
      <c r="D110" t="n">
        <v>55.93</v>
      </c>
      <c r="E110" s="24" t="n">
        <v>46219</v>
      </c>
      <c r="F110" s="24" t="n">
        <v>46234</v>
      </c>
      <c r="G110" t="n">
        <v>2</v>
      </c>
      <c r="H110" t="n">
        <v>11.84830508474577</v>
      </c>
      <c r="I110" t="n">
        <v>0.3</v>
      </c>
    </row>
    <row r="111">
      <c r="A111" t="n">
        <v>28194788</v>
      </c>
      <c r="B111" t="inlineStr">
        <is>
          <t>VEHICULO TRANSFORMABLE SUPER WINGS DIZZY</t>
        </is>
      </c>
      <c r="C111" t="n">
        <v>89.90000000000001</v>
      </c>
      <c r="D111" t="n">
        <v>62.93</v>
      </c>
      <c r="E111" s="24" t="n">
        <v>46219</v>
      </c>
      <c r="F111" s="24" t="n">
        <v>46234</v>
      </c>
      <c r="G111" t="n">
        <v>9</v>
      </c>
      <c r="H111" t="n">
        <v>13.33050847457627</v>
      </c>
      <c r="I111" t="n">
        <v>0.3</v>
      </c>
    </row>
    <row r="112">
      <c r="A112" t="n">
        <v>29235712</v>
      </c>
      <c r="B112" t="inlineStr">
        <is>
          <t>TEAMSTERZ DISPARADOR DINOSAURIO INCL. 1 AUTO</t>
        </is>
      </c>
      <c r="C112" t="n">
        <v>29.9</v>
      </c>
      <c r="D112" t="n">
        <v>12.9</v>
      </c>
      <c r="E112" s="24" t="n">
        <v>46219</v>
      </c>
      <c r="F112" s="24" t="n">
        <v>46234</v>
      </c>
      <c r="G112" t="n">
        <v>129</v>
      </c>
      <c r="H112" t="n">
        <v>8.447288135593219</v>
      </c>
      <c r="I112" t="n">
        <v>0.568561872909699</v>
      </c>
    </row>
    <row r="113">
      <c r="A113" t="n">
        <v>32457100</v>
      </c>
      <c r="B113" t="inlineStr">
        <is>
          <t>TMZ BEAST MACHINES LANZADOR ESCORPION + 2 AUTOS</t>
        </is>
      </c>
      <c r="C113" t="n">
        <v>34.9</v>
      </c>
      <c r="D113" t="n">
        <v>12.9</v>
      </c>
      <c r="E113" s="24" t="n">
        <v>46219</v>
      </c>
      <c r="F113" s="24" t="n">
        <v>46234</v>
      </c>
      <c r="G113" t="n">
        <v>31</v>
      </c>
      <c r="H113" t="n">
        <v>10.86338983050847</v>
      </c>
      <c r="I113" t="n">
        <v>0.6303724928366762</v>
      </c>
    </row>
    <row r="114">
      <c r="A114" t="n">
        <v>32457099</v>
      </c>
      <c r="B114" t="inlineStr">
        <is>
          <t>TMZ BEAST MACHINES MONSTER JAWS A FRICCION BLISTER</t>
        </is>
      </c>
      <c r="C114" t="n">
        <v>19.9</v>
      </c>
      <c r="D114" t="n">
        <v>17.9</v>
      </c>
      <c r="E114" s="24" t="n">
        <v>46219</v>
      </c>
      <c r="F114" s="24" t="n">
        <v>46234</v>
      </c>
      <c r="G114" t="n">
        <v>1312</v>
      </c>
      <c r="H114" t="n">
        <v>3.392881355932204</v>
      </c>
      <c r="I114" t="n">
        <v>0.1005025125628141</v>
      </c>
    </row>
    <row r="115">
      <c r="A115" t="n">
        <v>32457101</v>
      </c>
      <c r="B115" t="inlineStr">
        <is>
          <t>TMZ BEAST MACHINES TRANSPORTE PESADO + 2 AUTOS SUR</t>
        </is>
      </c>
      <c r="C115" t="n">
        <v>37.9</v>
      </c>
      <c r="D115" t="n">
        <v>17.9</v>
      </c>
      <c r="E115" s="24" t="n">
        <v>46219</v>
      </c>
      <c r="F115" s="24" t="n">
        <v>46234</v>
      </c>
      <c r="G115" t="n">
        <v>109</v>
      </c>
      <c r="H115" t="n">
        <v>9.593050847457626</v>
      </c>
      <c r="I115" t="n">
        <v>0.5277044854881267</v>
      </c>
    </row>
    <row r="116">
      <c r="A116" t="n">
        <v>30141767</v>
      </c>
      <c r="B116" t="inlineStr">
        <is>
          <t>TMZ BEAST MACHINES AUTOS DE METAL PACK 5 AUTOS</t>
        </is>
      </c>
      <c r="C116" t="n">
        <v>39.5</v>
      </c>
      <c r="D116" t="n">
        <v>29.9</v>
      </c>
      <c r="E116" s="24" t="n">
        <v>46219</v>
      </c>
      <c r="F116" s="24" t="n">
        <v>46234</v>
      </c>
      <c r="G116" t="n">
        <v>131</v>
      </c>
      <c r="H116" t="n">
        <v>4.425762711864408</v>
      </c>
      <c r="I116" t="n">
        <v>0.2430379746835444</v>
      </c>
    </row>
    <row r="117">
      <c r="A117" t="n">
        <v>32457103</v>
      </c>
      <c r="B117" t="inlineStr">
        <is>
          <t>TMZ BEAST MACHINES MONSTER JAWS A FRICCION PACK DE</t>
        </is>
      </c>
      <c r="C117" t="n">
        <v>37.9</v>
      </c>
      <c r="D117" t="n">
        <v>32.9</v>
      </c>
      <c r="E117" s="24" t="n">
        <v>46219</v>
      </c>
      <c r="F117" s="24" t="n">
        <v>46234</v>
      </c>
      <c r="G117" t="n">
        <v>185</v>
      </c>
      <c r="H117" t="n">
        <v>5.728983050847457</v>
      </c>
      <c r="I117" t="n">
        <v>0.1319261213720316</v>
      </c>
    </row>
    <row r="118">
      <c r="A118" t="n">
        <v>32457104</v>
      </c>
      <c r="B118" t="inlineStr">
        <is>
          <t>TMZ BEAST MACHINES PLAYSET DESASTRE REPTIL + 1 AUT</t>
        </is>
      </c>
      <c r="C118" t="n">
        <v>69.90000000000001</v>
      </c>
      <c r="D118" t="n">
        <v>49.9</v>
      </c>
      <c r="E118" s="24" t="n">
        <v>46219</v>
      </c>
      <c r="F118" s="24" t="n">
        <v>46234</v>
      </c>
      <c r="G118" t="n">
        <v>136</v>
      </c>
      <c r="H118" t="n">
        <v>9.753898305084746</v>
      </c>
      <c r="I118" t="n">
        <v>0.2861230329041489</v>
      </c>
    </row>
    <row r="119">
      <c r="A119" t="n">
        <v>32457106</v>
      </c>
      <c r="B119" t="inlineStr">
        <is>
          <t>TMZ BEAST MACHINES PLAYSET DESASTRE DRAGON + 1 AUT</t>
        </is>
      </c>
      <c r="C119" t="n">
        <v>69.90000000000001</v>
      </c>
      <c r="D119" t="n">
        <v>49.9</v>
      </c>
      <c r="E119" s="24" t="n">
        <v>46219</v>
      </c>
      <c r="F119" s="24" t="n">
        <v>46234</v>
      </c>
      <c r="G119" t="n">
        <v>136</v>
      </c>
      <c r="H119" t="n">
        <v>9.753898305084746</v>
      </c>
      <c r="I119" t="n">
        <v>0.2861230329041489</v>
      </c>
    </row>
    <row r="120">
      <c r="A120" t="n">
        <v>32457105</v>
      </c>
      <c r="B120" t="inlineStr">
        <is>
          <t>TMZ BEAST MACHINES MONSTER JAWS ATAQUE ESCORPION +</t>
        </is>
      </c>
      <c r="C120" t="n">
        <v>69.90000000000001</v>
      </c>
      <c r="D120" t="n">
        <v>49.9</v>
      </c>
      <c r="E120" s="24" t="n">
        <v>46219</v>
      </c>
      <c r="F120" s="24" t="n">
        <v>46234</v>
      </c>
      <c r="G120" t="n">
        <v>248</v>
      </c>
      <c r="H120" t="n">
        <v>9.753898305084746</v>
      </c>
      <c r="I120" t="n">
        <v>0.2861230329041489</v>
      </c>
    </row>
    <row r="121">
      <c r="A121" t="n">
        <v>30141768</v>
      </c>
      <c r="B121" t="inlineStr">
        <is>
          <t>TMZ BEAST MACHINES AUTOS DE METAL PACK 10 AUTOS</t>
        </is>
      </c>
      <c r="C121" t="n">
        <v>79</v>
      </c>
      <c r="D121" t="n">
        <v>69</v>
      </c>
      <c r="E121" s="24" t="n">
        <v>46219</v>
      </c>
      <c r="F121" s="24" t="n">
        <v>46234</v>
      </c>
      <c r="G121" t="n">
        <v>212</v>
      </c>
      <c r="H121" t="n">
        <v>3.004067796610165</v>
      </c>
      <c r="I121" t="n">
        <v>0.1265822784810127</v>
      </c>
    </row>
    <row r="122">
      <c r="A122" t="n">
        <v>34840555</v>
      </c>
      <c r="B122" t="inlineStr">
        <is>
          <t>TMZ BEAST MACH. TRANSPORT TIBURON +ACCS</t>
        </is>
      </c>
      <c r="C122" t="n">
        <v>79.90000000000001</v>
      </c>
      <c r="D122" t="n">
        <v>59.9</v>
      </c>
      <c r="E122" s="24" t="n">
        <v>46219</v>
      </c>
      <c r="F122" s="24" t="n">
        <v>46234</v>
      </c>
      <c r="G122" t="n">
        <v>43</v>
      </c>
      <c r="H122" t="n">
        <v>9.327966101694912</v>
      </c>
      <c r="I122" t="n">
        <v>0.2503128911138924</v>
      </c>
    </row>
    <row r="123">
      <c r="A123" t="n">
        <v>34840556</v>
      </c>
      <c r="B123" t="inlineStr">
        <is>
          <t>TMZ BEAST MACH. TRANSPORT DINO +ACCS</t>
        </is>
      </c>
      <c r="C123" t="n">
        <v>79.90000000000001</v>
      </c>
      <c r="D123" t="n">
        <v>59.9</v>
      </c>
      <c r="E123" s="24" t="n">
        <v>46219</v>
      </c>
      <c r="F123" s="24" t="n">
        <v>46234</v>
      </c>
      <c r="G123" t="n">
        <v>172</v>
      </c>
      <c r="H123" t="n">
        <v>9.327966101694912</v>
      </c>
      <c r="I123" t="n">
        <v>0.2503128911138924</v>
      </c>
    </row>
    <row r="124">
      <c r="A124" t="n">
        <v>34840557</v>
      </c>
      <c r="B124" t="inlineStr">
        <is>
          <t>TMZ BEAST MACH. PLAYSET GARAGE DE SERPIENTE + 2 AU</t>
        </is>
      </c>
      <c r="C124" t="n">
        <v>79.90000000000001</v>
      </c>
      <c r="D124" t="n">
        <v>49.9</v>
      </c>
      <c r="E124" s="24" t="n">
        <v>46219</v>
      </c>
      <c r="F124" s="24" t="n">
        <v>46234</v>
      </c>
      <c r="G124" t="n">
        <v>20</v>
      </c>
      <c r="H124" t="n">
        <v>13.56949152542373</v>
      </c>
      <c r="I124" t="n">
        <v>0.3754693366708386</v>
      </c>
    </row>
    <row r="125">
      <c r="A125" t="n">
        <v>30141769</v>
      </c>
      <c r="B125" t="inlineStr">
        <is>
          <t>TMZ BEAST MACHINES TRANSPORTE DINOSAURIO + 3 AUTOS</t>
        </is>
      </c>
      <c r="C125" t="n">
        <v>79.90000000000001</v>
      </c>
      <c r="D125" t="n">
        <v>59.9</v>
      </c>
      <c r="E125" s="24" t="n">
        <v>46219</v>
      </c>
      <c r="F125" s="24" t="n">
        <v>46234</v>
      </c>
      <c r="G125" t="n">
        <v>147</v>
      </c>
      <c r="H125" t="n">
        <v>9.327966101694912</v>
      </c>
      <c r="I125" t="n">
        <v>0.2503128911138924</v>
      </c>
    </row>
    <row r="126">
      <c r="A126" t="n">
        <v>32457111</v>
      </c>
      <c r="B126" t="inlineStr">
        <is>
          <t>TMZ BEAST MACHINES MONSTER JAWS A FRICCION PACK DE</t>
        </is>
      </c>
      <c r="C126" t="n">
        <v>74.90000000000001</v>
      </c>
      <c r="D126" t="n">
        <v>54.9</v>
      </c>
      <c r="E126" s="24" t="n">
        <v>46219</v>
      </c>
      <c r="F126" s="24" t="n">
        <v>46234</v>
      </c>
      <c r="G126" t="n">
        <v>190</v>
      </c>
      <c r="H126" t="n">
        <v>12.50593220338983</v>
      </c>
      <c r="I126" t="n">
        <v>0.2670226969292391</v>
      </c>
    </row>
    <row r="127">
      <c r="A127" t="n">
        <v>31959959</v>
      </c>
      <c r="B127" t="inlineStr">
        <is>
          <t>TMZ CAMBIA DE COLOR LANZADOR SPIN SPLASH + 1 AUTO</t>
        </is>
      </c>
      <c r="C127" t="n">
        <v>39.9</v>
      </c>
      <c r="D127" t="n">
        <v>14.9</v>
      </c>
      <c r="E127" s="24" t="n">
        <v>46219</v>
      </c>
      <c r="F127" s="24" t="n">
        <v>46234</v>
      </c>
      <c r="G127" t="n">
        <v>53</v>
      </c>
      <c r="H127" t="n">
        <v>12.93949152542373</v>
      </c>
      <c r="I127" t="n">
        <v>0.6265664160401002</v>
      </c>
    </row>
    <row r="128">
      <c r="A128" t="n">
        <v>34840558</v>
      </c>
      <c r="B128" t="inlineStr">
        <is>
          <t>TMZ CAMBIA DE COLOR PLAYSET CALAVERA + 1 AUTO</t>
        </is>
      </c>
      <c r="C128" t="n">
        <v>99</v>
      </c>
      <c r="D128" t="n">
        <v>59.9</v>
      </c>
      <c r="E128" s="24" t="n">
        <v>46219</v>
      </c>
      <c r="F128" s="24" t="n">
        <v>46234</v>
      </c>
      <c r="G128" t="n">
        <v>70</v>
      </c>
      <c r="H128" t="n">
        <v>18.11983050847457</v>
      </c>
      <c r="I128" t="n">
        <v>0.3949494949494949</v>
      </c>
    </row>
    <row r="129">
      <c r="A129" t="n">
        <v>31959964</v>
      </c>
      <c r="B129" t="inlineStr">
        <is>
          <t>VIP PETS MINI FANS S3 VIBRAS DE PRIMAVERA PACK X 1</t>
        </is>
      </c>
      <c r="C129" t="n">
        <v>34.9</v>
      </c>
      <c r="D129" t="n">
        <v>20.94</v>
      </c>
      <c r="E129" s="24" t="n">
        <v>46219</v>
      </c>
      <c r="F129" s="24" t="n">
        <v>46234</v>
      </c>
      <c r="G129" t="n">
        <v>9</v>
      </c>
      <c r="H129" t="n">
        <v>5.623389830508474</v>
      </c>
      <c r="I129" t="n">
        <v>0.3999999999999999</v>
      </c>
    </row>
    <row r="130">
      <c r="A130" t="n">
        <v>33483132</v>
      </c>
      <c r="B130" t="inlineStr">
        <is>
          <t>VIP PETS MINI FANS S4 GEMAS DE GLAMOUR SURTIDO</t>
        </is>
      </c>
      <c r="C130" t="n">
        <v>34.9</v>
      </c>
      <c r="D130" t="n">
        <v>20.94</v>
      </c>
      <c r="E130" s="24" t="n">
        <v>46219</v>
      </c>
      <c r="F130" s="24" t="n">
        <v>46234</v>
      </c>
      <c r="G130" t="n">
        <v>19</v>
      </c>
      <c r="H130" t="n">
        <v>5.623389830508474</v>
      </c>
      <c r="I130" t="n">
        <v>0.3999999999999999</v>
      </c>
    </row>
    <row r="131">
      <c r="A131" t="n">
        <v>30232279</v>
      </c>
      <c r="B131" t="inlineStr">
        <is>
          <t>VIP PETS MINI FANS</t>
        </is>
      </c>
      <c r="C131" t="n">
        <v>34.9</v>
      </c>
      <c r="D131" t="n">
        <v>20.94</v>
      </c>
      <c r="E131" s="24" t="n">
        <v>46219</v>
      </c>
      <c r="F131" s="24" t="n">
        <v>46234</v>
      </c>
      <c r="G131" t="n">
        <v>4</v>
      </c>
      <c r="H131" t="n">
        <v>5.623389830508474</v>
      </c>
      <c r="I131" t="n">
        <v>0.3999999999999999</v>
      </c>
    </row>
    <row r="132">
      <c r="A132" t="n">
        <v>31959965</v>
      </c>
      <c r="B132" t="inlineStr">
        <is>
          <t>VIP PETS S4 VIBRAS DE PRIMAVERA SURTIDO</t>
        </is>
      </c>
      <c r="C132" t="n">
        <v>69.90000000000001</v>
      </c>
      <c r="D132" t="n">
        <v>41.94</v>
      </c>
      <c r="E132" s="24" t="n">
        <v>46219</v>
      </c>
      <c r="F132" s="24" t="n">
        <v>46234</v>
      </c>
      <c r="G132" t="n">
        <v>6</v>
      </c>
      <c r="H132" t="n">
        <v>11.25610169491525</v>
      </c>
      <c r="I132" t="n">
        <v>0.4000000000000001</v>
      </c>
    </row>
    <row r="133">
      <c r="A133" t="n">
        <v>32656410</v>
      </c>
      <c r="B133" t="inlineStr">
        <is>
          <t>VIP PETS S5 GEMAS DE GLAMOUR SURTIDO</t>
        </is>
      </c>
      <c r="C133" t="n">
        <v>69.90000000000001</v>
      </c>
      <c r="D133" t="n">
        <v>41.94</v>
      </c>
      <c r="E133" s="24" t="n">
        <v>46219</v>
      </c>
      <c r="F133" s="24" t="n">
        <v>46234</v>
      </c>
      <c r="G133" t="n">
        <v>24</v>
      </c>
      <c r="H133" t="n">
        <v>11.25610169491525</v>
      </c>
      <c r="I133" t="n">
        <v>0.4000000000000001</v>
      </c>
    </row>
    <row r="134">
      <c r="A134" t="n">
        <v>30232280</v>
      </c>
      <c r="B134" t="inlineStr">
        <is>
          <t>VIP PETS MASCOTAS COLOR BOOST</t>
        </is>
      </c>
      <c r="C134" t="n">
        <v>69.90000000000001</v>
      </c>
      <c r="D134" t="n">
        <v>41.94</v>
      </c>
      <c r="E134" s="24" t="n">
        <v>46219</v>
      </c>
      <c r="F134" s="24" t="n">
        <v>46234</v>
      </c>
      <c r="G134" t="n">
        <v>35</v>
      </c>
      <c r="H134" t="n">
        <v>11.25610169491525</v>
      </c>
      <c r="I134" t="n">
        <v>0.4000000000000001</v>
      </c>
    </row>
    <row r="135">
      <c r="A135" t="n">
        <v>32656526</v>
      </c>
      <c r="B135" t="inlineStr">
        <is>
          <t>VIP PETS GATOS GLAMOUR Y GLOW</t>
        </is>
      </c>
      <c r="C135" t="n">
        <v>79.90000000000001</v>
      </c>
      <c r="D135" t="n">
        <v>47.94</v>
      </c>
      <c r="E135" s="24" t="n">
        <v>46219</v>
      </c>
      <c r="F135" s="24" t="n">
        <v>46234</v>
      </c>
      <c r="G135" t="n">
        <v>9</v>
      </c>
      <c r="H135" t="n">
        <v>12.86830508474576</v>
      </c>
      <c r="I135" t="n">
        <v>0.4</v>
      </c>
    </row>
    <row r="136">
      <c r="A136" t="n">
        <v>34840568</v>
      </c>
      <c r="B136" t="inlineStr">
        <is>
          <t>VIP MUNECAS ESCUELA DE PEINADOS SURTIDO</t>
        </is>
      </c>
      <c r="C136" t="n">
        <v>79.90000000000001</v>
      </c>
      <c r="D136" t="n">
        <v>47.94</v>
      </c>
      <c r="E136" s="24" t="n">
        <v>46219</v>
      </c>
      <c r="F136" s="24" t="n">
        <v>46234</v>
      </c>
      <c r="G136" t="n">
        <v>56</v>
      </c>
      <c r="H136" t="n">
        <v>12.86830508474576</v>
      </c>
      <c r="I136" t="n">
        <v>0.4</v>
      </c>
    </row>
    <row r="137">
      <c r="A137" t="n">
        <v>34840567</v>
      </c>
      <c r="B137" t="inlineStr">
        <is>
          <t>VIP PETS S7 ESCUELA DE PEINADOS SURTIDO</t>
        </is>
      </c>
      <c r="C137" t="n">
        <v>79.90000000000001</v>
      </c>
      <c r="D137" t="n">
        <v>47.94</v>
      </c>
      <c r="E137" s="24" t="n">
        <v>46219</v>
      </c>
      <c r="F137" s="24" t="n">
        <v>46234</v>
      </c>
      <c r="G137" t="n">
        <v>14</v>
      </c>
      <c r="H137" t="n">
        <v>12.86830508474576</v>
      </c>
      <c r="I137" t="n">
        <v>0.4</v>
      </c>
    </row>
    <row r="138">
      <c r="A138" t="n">
        <v>29773852</v>
      </c>
      <c r="B138" t="inlineStr">
        <is>
          <t>VIP PETS TWIST DE BRILLO</t>
        </is>
      </c>
      <c r="C138" t="n">
        <v>119</v>
      </c>
      <c r="D138" t="n">
        <v>71.40000000000001</v>
      </c>
      <c r="E138" s="24" t="n">
        <v>46219</v>
      </c>
      <c r="F138" s="24" t="n">
        <v>46234</v>
      </c>
      <c r="G138" t="n">
        <v>1</v>
      </c>
      <c r="H138" t="n">
        <v>19.16322033898305</v>
      </c>
      <c r="I138" t="n">
        <v>0.3999999999999999</v>
      </c>
    </row>
    <row r="139">
      <c r="A139" t="n">
        <v>32656408</v>
      </c>
      <c r="B139" t="inlineStr">
        <is>
          <t>VIP PETS INFLUENCER</t>
        </is>
      </c>
      <c r="C139" t="n">
        <v>129</v>
      </c>
      <c r="D139" t="n">
        <v>77.40000000000001</v>
      </c>
      <c r="E139" s="24" t="n">
        <v>46219</v>
      </c>
      <c r="F139" s="24" t="n">
        <v>46234</v>
      </c>
      <c r="G139" t="n">
        <v>36</v>
      </c>
      <c r="H139" t="n">
        <v>20.77542372881356</v>
      </c>
      <c r="I139" t="n">
        <v>0.3999999999999999</v>
      </c>
    </row>
    <row r="140">
      <c r="A140" t="n">
        <v>29773854</v>
      </c>
      <c r="B140" t="inlineStr">
        <is>
          <t>VIP PETS SALON DE BELLEZA FABIO &amp; FABIA</t>
        </is>
      </c>
      <c r="C140" t="n">
        <v>139</v>
      </c>
      <c r="D140" t="n">
        <v>83.40000000000001</v>
      </c>
      <c r="E140" s="24" t="n">
        <v>46219</v>
      </c>
      <c r="F140" s="24" t="n">
        <v>46234</v>
      </c>
      <c r="G140" t="n">
        <v>1</v>
      </c>
      <c r="H140" t="n">
        <v>22.37762711864406</v>
      </c>
      <c r="I140" t="n">
        <v>0.3999999999999999</v>
      </c>
    </row>
    <row r="141">
      <c r="A141" t="n">
        <v>32656409</v>
      </c>
      <c r="B141" t="inlineStr">
        <is>
          <t>VIP PETS SALON BELLEZA GEMAS DE GLAMOUR</t>
        </is>
      </c>
      <c r="C141" t="n">
        <v>139</v>
      </c>
      <c r="D141" t="n">
        <v>83.40000000000001</v>
      </c>
      <c r="E141" s="24" t="n">
        <v>46219</v>
      </c>
      <c r="F141" s="24" t="n">
        <v>46234</v>
      </c>
      <c r="G141" t="n">
        <v>16</v>
      </c>
      <c r="H141" t="n">
        <v>22.37762711864406</v>
      </c>
      <c r="I141" t="n">
        <v>0.3999999999999999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V3236"/>
  <sheetViews>
    <sheetView workbookViewId="0">
      <selection activeCell="A1" sqref="A1"/>
    </sheetView>
  </sheetViews>
  <sheetFormatPr baseColWidth="10" defaultRowHeight="12.5"/>
  <cols>
    <col width="11.1796875" customWidth="1" style="1" min="1" max="1"/>
    <col width="6.81640625" customWidth="1" style="1" min="2" max="3"/>
    <col width="7.81640625" customWidth="1" style="1" min="4" max="4"/>
    <col width="12" customWidth="1" style="1" min="5" max="5"/>
    <col width="32.1796875" customWidth="1" style="5" min="6" max="6"/>
    <col width="8.453125" customWidth="1" min="7" max="7"/>
    <col width="8.7265625" customWidth="1" style="7" min="8" max="8"/>
    <col width="10.54296875" customWidth="1" style="7" min="9" max="9"/>
    <col width="12.54296875" customWidth="1" style="7" min="10" max="10"/>
    <col width="12" customWidth="1" style="9" min="11" max="11"/>
    <col width="10" customWidth="1" style="10" min="12" max="12"/>
    <col width="7.7265625" customWidth="1" style="10" min="13" max="13"/>
    <col width="7.7265625" customWidth="1" min="14" max="14"/>
    <col width="7" customWidth="1" min="15" max="15"/>
    <col width="9.81640625" customWidth="1" min="16" max="16"/>
  </cols>
  <sheetData>
    <row r="2" ht="18" customHeight="1">
      <c r="A2" s="22" t="inlineStr">
        <is>
          <t>Liquidación de Consignación</t>
        </is>
      </c>
    </row>
    <row r="3">
      <c r="A3" s="23" t="inlineStr">
        <is>
          <t>PROVEEDOR: 20600768043, INTEK PERU SAC</t>
        </is>
      </c>
    </row>
    <row r="4">
      <c r="A4" s="23" t="inlineStr">
        <is>
          <t>FECHA: DESDE 01 jul 2026 HASTA 31 jul 2026</t>
        </is>
      </c>
    </row>
    <row r="6" customFormat="1" s="1">
      <c r="A6" s="2" t="inlineStr">
        <is>
          <t>Fecha</t>
        </is>
      </c>
      <c r="B6" s="2" t="inlineStr">
        <is>
          <t>Suc.</t>
        </is>
      </c>
      <c r="C6" s="2" t="inlineStr">
        <is>
          <t>Caja</t>
        </is>
      </c>
      <c r="D6" s="2" t="inlineStr">
        <is>
          <t>Ticket</t>
        </is>
      </c>
      <c r="E6" s="2" t="inlineStr">
        <is>
          <t>Art.</t>
        </is>
      </c>
      <c r="F6" s="4" t="inlineStr">
        <is>
          <t>Descripción</t>
        </is>
      </c>
      <c r="G6" s="2" t="inlineStr">
        <is>
          <t>Unid.</t>
        </is>
      </c>
      <c r="H6" s="6" t="inlineStr">
        <is>
          <t>Venta</t>
        </is>
      </c>
      <c r="I6" s="6" t="inlineStr">
        <is>
          <t>Dscto_Item</t>
        </is>
      </c>
      <c r="J6" s="6" t="inlineStr">
        <is>
          <t>Dscto_Ticket</t>
        </is>
      </c>
      <c r="K6" s="8" t="inlineStr">
        <is>
          <t>Dscto_Total</t>
        </is>
      </c>
      <c r="L6" s="8" t="inlineStr">
        <is>
          <t>Monto S/.</t>
        </is>
      </c>
      <c r="M6" s="8" t="inlineStr">
        <is>
          <t>Markup</t>
        </is>
      </c>
      <c r="N6" s="3" t="inlineStr">
        <is>
          <t>Tipo doc</t>
        </is>
      </c>
      <c r="O6" s="3" t="inlineStr">
        <is>
          <t xml:space="preserve">Tran. </t>
        </is>
      </c>
      <c r="P6" s="3" t="inlineStr">
        <is>
          <t>Vend.</t>
        </is>
      </c>
      <c r="Q6" s="25" t="inlineStr">
        <is>
          <t>COSTO (VALOR VENTA)</t>
        </is>
      </c>
      <c r="R6" s="25" t="inlineStr">
        <is>
          <t>COSTO TOTAL</t>
        </is>
      </c>
      <c r="S6" s="25" t="inlineStr">
        <is>
          <t>REC. UNI</t>
        </is>
      </c>
      <c r="T6" s="25" t="inlineStr">
        <is>
          <t>REC. TOTAL</t>
        </is>
      </c>
      <c r="U6" s="25" t="inlineStr">
        <is>
          <t>PAGO NETO (DEBEN PAGAR)</t>
        </is>
      </c>
      <c r="V6" s="25" t="inlineStr">
        <is>
          <t>DIFERENCIA</t>
        </is>
      </c>
    </row>
    <row r="7">
      <c r="A7" s="11" t="n">
        <v>46204</v>
      </c>
      <c r="B7" s="1" t="n">
        <v>20021</v>
      </c>
      <c r="C7" s="1" t="inlineStr">
        <is>
          <t>055</t>
        </is>
      </c>
      <c r="D7" s="1" t="inlineStr">
        <is>
          <t>153954</t>
        </is>
      </c>
      <c r="E7" s="1" t="inlineStr">
        <is>
          <t xml:space="preserve">32457111       </t>
        </is>
      </c>
      <c r="F7" s="5" t="inlineStr">
        <is>
          <t>TMZ BEAST MACHINES MONSTER JAWS A FRICCION PACK DE</t>
        </is>
      </c>
      <c r="G7" t="n">
        <v>1</v>
      </c>
      <c r="H7" s="7" t="n">
        <v>74.90000000000001</v>
      </c>
      <c r="I7" s="7" t="n">
        <v>0</v>
      </c>
      <c r="J7" s="7" t="n">
        <v>0</v>
      </c>
      <c r="K7" s="9" t="n">
        <v>0</v>
      </c>
      <c r="L7" s="10" t="n">
        <v>44.43</v>
      </c>
      <c r="M7" s="10" t="n">
        <v>1.43</v>
      </c>
      <c r="N7" t="inlineStr">
        <is>
          <t>1</t>
        </is>
      </c>
      <c r="O7" t="inlineStr">
        <is>
          <t>16</t>
        </is>
      </c>
      <c r="P7" t="inlineStr">
        <is>
          <t xml:space="preserve">12097   </t>
        </is>
      </c>
      <c r="Q7" s="26" t="n">
        <v>44.43</v>
      </c>
      <c r="R7" s="26">
        <f>Q7*G7</f>
        <v/>
      </c>
      <c r="S7" s="26">
        <f>IFERROR(VLOOKUP(E7*1,Tabla[#All],8,0),0)</f>
        <v/>
      </c>
      <c r="T7" s="26">
        <f>S7*G7</f>
        <v/>
      </c>
      <c r="U7" s="26">
        <f>R7-T7</f>
        <v/>
      </c>
      <c r="V7" s="26">
        <f>U7-L7</f>
        <v/>
      </c>
    </row>
    <row r="8">
      <c r="A8" s="11" t="n">
        <v>46204</v>
      </c>
      <c r="B8" s="1" t="n">
        <v>20021</v>
      </c>
      <c r="C8" s="1" t="inlineStr">
        <is>
          <t>055</t>
        </is>
      </c>
      <c r="D8" s="1" t="inlineStr">
        <is>
          <t>153962</t>
        </is>
      </c>
      <c r="E8" s="1" t="inlineStr">
        <is>
          <t xml:space="preserve">28194768       </t>
        </is>
      </c>
      <c r="F8" s="5" t="inlineStr">
        <is>
          <t>AUTO COLOR CHANGE TEAMSTERZ SURTIDO</t>
        </is>
      </c>
      <c r="G8" t="n">
        <v>1</v>
      </c>
      <c r="H8" s="7" t="n">
        <v>14.9</v>
      </c>
      <c r="I8" s="7" t="n">
        <v>0</v>
      </c>
      <c r="J8" s="7" t="n">
        <v>0</v>
      </c>
      <c r="K8" s="9" t="n">
        <v>0</v>
      </c>
      <c r="L8" s="10" t="n">
        <v>8.84</v>
      </c>
      <c r="M8" s="10" t="n">
        <v>1.43</v>
      </c>
      <c r="N8" t="inlineStr">
        <is>
          <t>1</t>
        </is>
      </c>
      <c r="O8" t="inlineStr">
        <is>
          <t>16</t>
        </is>
      </c>
      <c r="P8" t="inlineStr">
        <is>
          <t xml:space="preserve">12097   </t>
        </is>
      </c>
      <c r="Q8" s="26" t="n">
        <v>8.84</v>
      </c>
      <c r="R8" s="26">
        <f>Q8*G8</f>
        <v/>
      </c>
      <c r="S8" s="26">
        <f>IFERROR(VLOOKUP(E8*1,Tabla[#All],8,0),0)</f>
        <v/>
      </c>
      <c r="T8" s="26">
        <f>S8*G8</f>
        <v/>
      </c>
      <c r="U8" s="26">
        <f>R8-T8</f>
        <v/>
      </c>
      <c r="V8" s="26">
        <f>U8-L8</f>
        <v/>
      </c>
    </row>
    <row r="9">
      <c r="A9" s="11" t="n">
        <v>46204</v>
      </c>
      <c r="B9" s="1" t="n">
        <v>20021</v>
      </c>
      <c r="C9" s="1" t="inlineStr">
        <is>
          <t>079</t>
        </is>
      </c>
      <c r="D9" s="1" t="inlineStr">
        <is>
          <t>132699</t>
        </is>
      </c>
      <c r="E9" s="1" t="inlineStr">
        <is>
          <t xml:space="preserve">35685067       </t>
        </is>
      </c>
      <c r="F9" s="5" t="inlineStr">
        <is>
          <t>HOT WHEELS POWER SET 3 EN 1</t>
        </is>
      </c>
      <c r="G9" t="n">
        <v>1</v>
      </c>
      <c r="H9" s="7" t="n">
        <v>49.9</v>
      </c>
      <c r="I9" s="7" t="n">
        <v>0</v>
      </c>
      <c r="J9" s="7" t="n">
        <v>0</v>
      </c>
      <c r="K9" s="9" t="n">
        <v>0</v>
      </c>
      <c r="L9" s="10" t="n">
        <v>29.6</v>
      </c>
      <c r="M9" s="10" t="n">
        <v>1.43</v>
      </c>
      <c r="N9" t="inlineStr">
        <is>
          <t>1</t>
        </is>
      </c>
      <c r="O9" t="inlineStr">
        <is>
          <t>16</t>
        </is>
      </c>
      <c r="P9" t="inlineStr">
        <is>
          <t xml:space="preserve">202106  </t>
        </is>
      </c>
      <c r="Q9" s="26" t="n">
        <v>29.6</v>
      </c>
      <c r="R9" s="26">
        <f>Q9*G9</f>
        <v/>
      </c>
      <c r="S9" s="26">
        <f>IFERROR(VLOOKUP(E9*1,Tabla[#All],8,0),0)</f>
        <v/>
      </c>
      <c r="T9" s="26">
        <f>S9*G9</f>
        <v/>
      </c>
      <c r="U9" s="26">
        <f>R9-T9</f>
        <v/>
      </c>
      <c r="V9" s="26">
        <f>U9-L9</f>
        <v/>
      </c>
    </row>
    <row r="10">
      <c r="A10" s="11" t="n">
        <v>46204</v>
      </c>
      <c r="B10" s="1" t="n">
        <v>20021</v>
      </c>
      <c r="C10" s="1" t="inlineStr">
        <is>
          <t>080</t>
        </is>
      </c>
      <c r="D10" s="1" t="inlineStr">
        <is>
          <t>309181</t>
        </is>
      </c>
      <c r="E10" s="1" t="inlineStr">
        <is>
          <t xml:space="preserve">28194765       </t>
        </is>
      </c>
      <c r="F10" s="5" t="inlineStr">
        <is>
          <t>PLAYSET COLOR CHANGE TIBURN TEAMSTERZ  1 AUTITO</t>
        </is>
      </c>
      <c r="G10" t="n">
        <v>1</v>
      </c>
      <c r="H10" s="7" t="n">
        <v>79.90000000000001</v>
      </c>
      <c r="I10" s="7" t="n">
        <v>0</v>
      </c>
      <c r="J10" s="7" t="n">
        <v>0</v>
      </c>
      <c r="K10" s="9" t="n">
        <v>0</v>
      </c>
      <c r="L10" s="10" t="n">
        <v>47.4</v>
      </c>
      <c r="M10" s="10" t="n">
        <v>1.43</v>
      </c>
      <c r="N10" t="inlineStr">
        <is>
          <t>1</t>
        </is>
      </c>
      <c r="O10" t="inlineStr">
        <is>
          <t xml:space="preserve">3 </t>
        </is>
      </c>
      <c r="P10" t="inlineStr">
        <is>
          <t xml:space="preserve">239723  </t>
        </is>
      </c>
      <c r="Q10" s="26" t="n">
        <v>47.4</v>
      </c>
      <c r="R10" s="26">
        <f>Q10*G10</f>
        <v/>
      </c>
      <c r="S10" s="26">
        <f>IFERROR(VLOOKUP(E10*1,Tabla[#All],8,0),0)</f>
        <v/>
      </c>
      <c r="T10" s="26">
        <f>S10*G10</f>
        <v/>
      </c>
      <c r="U10" s="26">
        <f>R10-T10</f>
        <v/>
      </c>
      <c r="V10" s="26">
        <f>U10-L10</f>
        <v/>
      </c>
    </row>
    <row r="11">
      <c r="A11" s="11" t="n">
        <v>46204</v>
      </c>
      <c r="B11" s="1" t="n">
        <v>20021</v>
      </c>
      <c r="C11" s="1" t="inlineStr">
        <is>
          <t>080</t>
        </is>
      </c>
      <c r="D11" s="1" t="inlineStr">
        <is>
          <t>309181</t>
        </is>
      </c>
      <c r="E11" s="1" t="inlineStr">
        <is>
          <t xml:space="preserve">32457111       </t>
        </is>
      </c>
      <c r="F11" s="5" t="inlineStr">
        <is>
          <t>TMZ BEAST MACHINES MONSTER JAWS A FRICCION PACK DE</t>
        </is>
      </c>
      <c r="G11" t="n">
        <v>1</v>
      </c>
      <c r="H11" s="7" t="n">
        <v>74.90000000000001</v>
      </c>
      <c r="I11" s="7" t="n">
        <v>0</v>
      </c>
      <c r="J11" s="7" t="n">
        <v>0</v>
      </c>
      <c r="K11" s="9" t="n">
        <v>0</v>
      </c>
      <c r="L11" s="10" t="n">
        <v>44.43</v>
      </c>
      <c r="M11" s="10" t="n">
        <v>1.43</v>
      </c>
      <c r="N11" t="inlineStr">
        <is>
          <t>1</t>
        </is>
      </c>
      <c r="O11" t="inlineStr">
        <is>
          <t xml:space="preserve">3 </t>
        </is>
      </c>
      <c r="P11" t="inlineStr">
        <is>
          <t xml:space="preserve">239723  </t>
        </is>
      </c>
      <c r="Q11" s="26" t="n">
        <v>44.43</v>
      </c>
      <c r="R11" s="26">
        <f>Q11*G11</f>
        <v/>
      </c>
      <c r="S11" s="26">
        <f>IFERROR(VLOOKUP(E11*1,Tabla[#All],8,0),0)</f>
        <v/>
      </c>
      <c r="T11" s="26">
        <f>S11*G11</f>
        <v/>
      </c>
      <c r="U11" s="26">
        <f>R11-T11</f>
        <v/>
      </c>
      <c r="V11" s="26">
        <f>U11-L11</f>
        <v/>
      </c>
    </row>
    <row r="12">
      <c r="A12" s="11" t="n">
        <v>46204</v>
      </c>
      <c r="B12" s="1" t="n">
        <v>20023</v>
      </c>
      <c r="C12" s="1" t="inlineStr">
        <is>
          <t>079</t>
        </is>
      </c>
      <c r="D12" s="1" t="inlineStr">
        <is>
          <t>288155</t>
        </is>
      </c>
      <c r="E12" s="1" t="inlineStr">
        <is>
          <t xml:space="preserve">28194780       </t>
        </is>
      </c>
      <c r="F12" s="5" t="inlineStr">
        <is>
          <t>TROMPO BATALLA INFINITY NADO PLSTICO SURTIDO</t>
        </is>
      </c>
      <c r="G12" t="n">
        <v>1</v>
      </c>
      <c r="H12" s="7" t="n">
        <v>19.9</v>
      </c>
      <c r="I12" s="7" t="n">
        <v>0</v>
      </c>
      <c r="J12" s="7" t="n">
        <v>0</v>
      </c>
      <c r="K12" s="9" t="n">
        <v>0</v>
      </c>
      <c r="L12" s="10" t="n">
        <v>11.8</v>
      </c>
      <c r="M12" s="10" t="n">
        <v>1.43</v>
      </c>
      <c r="N12" t="inlineStr">
        <is>
          <t>1</t>
        </is>
      </c>
      <c r="O12" t="inlineStr">
        <is>
          <t xml:space="preserve">6 </t>
        </is>
      </c>
      <c r="P12" t="inlineStr">
        <is>
          <t xml:space="preserve">23508   </t>
        </is>
      </c>
      <c r="Q12" s="26" t="n">
        <v>11.81</v>
      </c>
      <c r="R12" s="26">
        <f>Q12*G12</f>
        <v/>
      </c>
      <c r="S12" s="26">
        <f>IFERROR(VLOOKUP(E12*1,Tabla[#All],8,0),0)</f>
        <v/>
      </c>
      <c r="T12" s="26">
        <f>S12*G12</f>
        <v/>
      </c>
      <c r="U12" s="26">
        <f>R12-T12</f>
        <v/>
      </c>
      <c r="V12" s="26">
        <f>U12-L12</f>
        <v/>
      </c>
    </row>
    <row r="13">
      <c r="A13" s="11" t="n">
        <v>46204</v>
      </c>
      <c r="B13" s="1" t="n">
        <v>20023</v>
      </c>
      <c r="C13" s="1" t="inlineStr">
        <is>
          <t>079</t>
        </is>
      </c>
      <c r="D13" s="1" t="inlineStr">
        <is>
          <t>288155</t>
        </is>
      </c>
      <c r="E13" s="1" t="inlineStr">
        <is>
          <t xml:space="preserve">28194780       </t>
        </is>
      </c>
      <c r="F13" s="5" t="inlineStr">
        <is>
          <t>TROMPO BATALLA INFINITY NADO PLSTICO SURTIDO</t>
        </is>
      </c>
      <c r="G13" t="n">
        <v>1</v>
      </c>
      <c r="H13" s="7" t="n">
        <v>19.9</v>
      </c>
      <c r="I13" s="7" t="n">
        <v>0</v>
      </c>
      <c r="J13" s="7" t="n">
        <v>0</v>
      </c>
      <c r="K13" s="9" t="n">
        <v>0</v>
      </c>
      <c r="L13" s="10" t="n">
        <v>11.8</v>
      </c>
      <c r="M13" s="10" t="n">
        <v>1.43</v>
      </c>
      <c r="N13" t="inlineStr">
        <is>
          <t>1</t>
        </is>
      </c>
      <c r="O13" t="inlineStr">
        <is>
          <t xml:space="preserve">6 </t>
        </is>
      </c>
      <c r="P13" t="inlineStr">
        <is>
          <t xml:space="preserve">23508   </t>
        </is>
      </c>
      <c r="Q13" s="26" t="n">
        <v>11.81</v>
      </c>
      <c r="R13" s="26">
        <f>Q13*G13</f>
        <v/>
      </c>
      <c r="S13" s="26">
        <f>IFERROR(VLOOKUP(E13*1,Tabla[#All],8,0),0)</f>
        <v/>
      </c>
      <c r="T13" s="26">
        <f>S13*G13</f>
        <v/>
      </c>
      <c r="U13" s="26">
        <f>R13-T13</f>
        <v/>
      </c>
      <c r="V13" s="26">
        <f>U13-L13</f>
        <v/>
      </c>
    </row>
    <row r="14">
      <c r="A14" s="11" t="n">
        <v>46204</v>
      </c>
      <c r="B14" s="1" t="n">
        <v>20023</v>
      </c>
      <c r="C14" s="1" t="inlineStr">
        <is>
          <t>105</t>
        </is>
      </c>
      <c r="D14" s="1" t="inlineStr">
        <is>
          <t xml:space="preserve">90054 </t>
        </is>
      </c>
      <c r="E14" s="1" t="inlineStr">
        <is>
          <t xml:space="preserve">30141766       </t>
        </is>
      </c>
      <c r="F14" s="5" t="inlineStr">
        <is>
          <t>TMZ BEAST MACHINES AUTOS DE METAL BLISTER X 1</t>
        </is>
      </c>
      <c r="G14" t="n">
        <v>1</v>
      </c>
      <c r="H14" s="7" t="n">
        <v>7.9</v>
      </c>
      <c r="I14" s="7" t="n">
        <v>0</v>
      </c>
      <c r="J14" s="7" t="n">
        <v>0</v>
      </c>
      <c r="K14" s="9" t="n">
        <v>0</v>
      </c>
      <c r="L14" s="10" t="n">
        <v>4.68</v>
      </c>
      <c r="M14" s="10" t="n">
        <v>1.43</v>
      </c>
      <c r="N14" t="inlineStr">
        <is>
          <t>1</t>
        </is>
      </c>
      <c r="O14" t="inlineStr">
        <is>
          <t xml:space="preserve">2 </t>
        </is>
      </c>
      <c r="P14" t="inlineStr">
        <is>
          <t xml:space="preserve">20173   </t>
        </is>
      </c>
      <c r="Q14" s="26" t="n">
        <v>4.69</v>
      </c>
      <c r="R14" s="26">
        <f>Q14*G14</f>
        <v/>
      </c>
      <c r="S14" s="26">
        <f>IFERROR(VLOOKUP(E14*1,Tabla[#All],8,0),0)</f>
        <v/>
      </c>
      <c r="T14" s="26">
        <f>S14*G14</f>
        <v/>
      </c>
      <c r="U14" s="26">
        <f>R14-T14</f>
        <v/>
      </c>
      <c r="V14" s="26">
        <f>U14-L14</f>
        <v/>
      </c>
    </row>
    <row r="15">
      <c r="A15" s="11" t="n">
        <v>46204</v>
      </c>
      <c r="B15" s="1" t="n">
        <v>20023</v>
      </c>
      <c r="C15" s="1" t="inlineStr">
        <is>
          <t>105</t>
        </is>
      </c>
      <c r="D15" s="1" t="inlineStr">
        <is>
          <t xml:space="preserve">90054 </t>
        </is>
      </c>
      <c r="E15" s="1" t="inlineStr">
        <is>
          <t xml:space="preserve">30141766       </t>
        </is>
      </c>
      <c r="F15" s="5" t="inlineStr">
        <is>
          <t>TMZ BEAST MACHINES AUTOS DE METAL BLISTER X 1</t>
        </is>
      </c>
      <c r="G15" t="n">
        <v>1</v>
      </c>
      <c r="H15" s="7" t="n">
        <v>7.9</v>
      </c>
      <c r="I15" s="7" t="n">
        <v>0</v>
      </c>
      <c r="J15" s="7" t="n">
        <v>0</v>
      </c>
      <c r="K15" s="9" t="n">
        <v>0</v>
      </c>
      <c r="L15" s="10" t="n">
        <v>4.68</v>
      </c>
      <c r="M15" s="10" t="n">
        <v>1.43</v>
      </c>
      <c r="N15" t="inlineStr">
        <is>
          <t>1</t>
        </is>
      </c>
      <c r="O15" t="inlineStr">
        <is>
          <t xml:space="preserve">2 </t>
        </is>
      </c>
      <c r="P15" t="inlineStr">
        <is>
          <t xml:space="preserve">20173   </t>
        </is>
      </c>
      <c r="Q15" s="26" t="n">
        <v>4.69</v>
      </c>
      <c r="R15" s="26">
        <f>Q15*G15</f>
        <v/>
      </c>
      <c r="S15" s="26">
        <f>IFERROR(VLOOKUP(E15*1,Tabla[#All],8,0),0)</f>
        <v/>
      </c>
      <c r="T15" s="26">
        <f>S15*G15</f>
        <v/>
      </c>
      <c r="U15" s="26">
        <f>R15-T15</f>
        <v/>
      </c>
      <c r="V15" s="26">
        <f>U15-L15</f>
        <v/>
      </c>
    </row>
    <row r="16">
      <c r="A16" s="11" t="n">
        <v>46204</v>
      </c>
      <c r="B16" s="1" t="n">
        <v>20028</v>
      </c>
      <c r="C16" s="1" t="inlineStr">
        <is>
          <t>040</t>
        </is>
      </c>
      <c r="D16" s="1" t="inlineStr">
        <is>
          <t>204429</t>
        </is>
      </c>
      <c r="E16" s="1" t="inlineStr">
        <is>
          <t xml:space="preserve">29235707       </t>
        </is>
      </c>
      <c r="F16" s="5" t="inlineStr">
        <is>
          <t>TEAMSTERZ AUTO DE METAL 3  PACK DE 5</t>
        </is>
      </c>
      <c r="G16" t="n">
        <v>1</v>
      </c>
      <c r="H16" s="7" t="n">
        <v>34.5</v>
      </c>
      <c r="I16" s="7" t="n">
        <v>0</v>
      </c>
      <c r="J16" s="7" t="n">
        <v>0</v>
      </c>
      <c r="K16" s="9" t="n">
        <v>0</v>
      </c>
      <c r="L16" s="10" t="n">
        <v>20.47</v>
      </c>
      <c r="M16" s="10" t="n">
        <v>1.43</v>
      </c>
      <c r="N16" t="inlineStr">
        <is>
          <t>1</t>
        </is>
      </c>
      <c r="O16" t="inlineStr">
        <is>
          <t xml:space="preserve">3 </t>
        </is>
      </c>
      <c r="P16" t="inlineStr">
        <is>
          <t xml:space="preserve">23644   </t>
        </is>
      </c>
      <c r="Q16" s="26" t="n">
        <v>20.47</v>
      </c>
      <c r="R16" s="26">
        <f>Q16*G16</f>
        <v/>
      </c>
      <c r="S16" s="26">
        <f>IFERROR(VLOOKUP(E16*1,Tabla[#All],8,0),0)</f>
        <v/>
      </c>
      <c r="T16" s="26">
        <f>S16*G16</f>
        <v/>
      </c>
      <c r="U16" s="26">
        <f>R16-T16</f>
        <v/>
      </c>
      <c r="V16" s="26">
        <f>U16-L16</f>
        <v/>
      </c>
    </row>
    <row r="17">
      <c r="A17" s="11" t="n">
        <v>46204</v>
      </c>
      <c r="B17" s="1" t="n">
        <v>20030</v>
      </c>
      <c r="C17" s="1" t="inlineStr">
        <is>
          <t>067</t>
        </is>
      </c>
      <c r="D17" s="1" t="inlineStr">
        <is>
          <t>273121</t>
        </is>
      </c>
      <c r="E17" s="1" t="inlineStr">
        <is>
          <t xml:space="preserve">28194770       </t>
        </is>
      </c>
      <c r="F17" s="5" t="inlineStr">
        <is>
          <t>AUTOS DE METAL 3 TEAMSTERZ EN BLISTER</t>
        </is>
      </c>
      <c r="G17" t="n">
        <v>1</v>
      </c>
      <c r="H17" s="7" t="n">
        <v>6.9</v>
      </c>
      <c r="I17" s="7" t="n">
        <v>0</v>
      </c>
      <c r="J17" s="7" t="n">
        <v>0</v>
      </c>
      <c r="K17" s="9" t="n">
        <v>0</v>
      </c>
      <c r="L17" s="10" t="n">
        <v>4.1</v>
      </c>
      <c r="M17" s="10" t="n">
        <v>1.43</v>
      </c>
      <c r="N17" t="inlineStr">
        <is>
          <t>1</t>
        </is>
      </c>
      <c r="O17" t="inlineStr">
        <is>
          <t xml:space="preserve">2 </t>
        </is>
      </c>
      <c r="P17" t="inlineStr">
        <is>
          <t xml:space="preserve">50377   </t>
        </is>
      </c>
      <c r="Q17" s="26" t="n">
        <v>4.09</v>
      </c>
      <c r="R17" s="26">
        <f>Q17*G17</f>
        <v/>
      </c>
      <c r="S17" s="26">
        <f>IFERROR(VLOOKUP(E17*1,Tabla[#All],8,0),0)</f>
        <v/>
      </c>
      <c r="T17" s="26">
        <f>S17*G17</f>
        <v/>
      </c>
      <c r="U17" s="26">
        <f>R17-T17</f>
        <v/>
      </c>
      <c r="V17" s="26">
        <f>U17-L17</f>
        <v/>
      </c>
    </row>
    <row r="18">
      <c r="A18" s="11" t="n">
        <v>46204</v>
      </c>
      <c r="B18" s="1" t="n">
        <v>20030</v>
      </c>
      <c r="C18" s="1" t="inlineStr">
        <is>
          <t>067</t>
        </is>
      </c>
      <c r="D18" s="1" t="inlineStr">
        <is>
          <t>273121</t>
        </is>
      </c>
      <c r="E18" s="1" t="inlineStr">
        <is>
          <t xml:space="preserve">28194770       </t>
        </is>
      </c>
      <c r="F18" s="5" t="inlineStr">
        <is>
          <t>AUTOS DE METAL 3 TEAMSTERZ EN BLISTER</t>
        </is>
      </c>
      <c r="G18" t="n">
        <v>1</v>
      </c>
      <c r="H18" s="7" t="n">
        <v>6.9</v>
      </c>
      <c r="I18" s="7" t="n">
        <v>0</v>
      </c>
      <c r="J18" s="7" t="n">
        <v>0</v>
      </c>
      <c r="K18" s="9" t="n">
        <v>0</v>
      </c>
      <c r="L18" s="10" t="n">
        <v>4.1</v>
      </c>
      <c r="M18" s="10" t="n">
        <v>1.43</v>
      </c>
      <c r="N18" t="inlineStr">
        <is>
          <t>1</t>
        </is>
      </c>
      <c r="O18" t="inlineStr">
        <is>
          <t xml:space="preserve">2 </t>
        </is>
      </c>
      <c r="P18" t="inlineStr">
        <is>
          <t xml:space="preserve">50377   </t>
        </is>
      </c>
      <c r="Q18" s="26" t="n">
        <v>4.09</v>
      </c>
      <c r="R18" s="26">
        <f>Q18*G18</f>
        <v/>
      </c>
      <c r="S18" s="26">
        <f>IFERROR(VLOOKUP(E18*1,Tabla[#All],8,0),0)</f>
        <v/>
      </c>
      <c r="T18" s="26">
        <f>S18*G18</f>
        <v/>
      </c>
      <c r="U18" s="26">
        <f>R18-T18</f>
        <v/>
      </c>
      <c r="V18" s="26">
        <f>U18-L18</f>
        <v/>
      </c>
    </row>
    <row r="19">
      <c r="A19" s="11" t="n">
        <v>46204</v>
      </c>
      <c r="B19" s="1" t="n">
        <v>20040</v>
      </c>
      <c r="C19" s="1" t="inlineStr">
        <is>
          <t>072</t>
        </is>
      </c>
      <c r="D19" s="1" t="inlineStr">
        <is>
          <t>250735</t>
        </is>
      </c>
      <c r="E19" s="1" t="inlineStr">
        <is>
          <t xml:space="preserve">28194769       </t>
        </is>
      </c>
      <c r="F19" s="5" t="inlineStr">
        <is>
          <t>AUTOS DE METAL 3 TEAMSTERZ PACK DE 2</t>
        </is>
      </c>
      <c r="G19" t="n">
        <v>1</v>
      </c>
      <c r="H19" s="7" t="n">
        <v>13.8</v>
      </c>
      <c r="I19" s="7" t="n">
        <v>0</v>
      </c>
      <c r="J19" s="7" t="n">
        <v>0</v>
      </c>
      <c r="K19" s="9" t="n">
        <v>0</v>
      </c>
      <c r="L19" s="10" t="n">
        <v>8.18</v>
      </c>
      <c r="M19" s="10" t="n">
        <v>1.43</v>
      </c>
      <c r="N19" t="inlineStr">
        <is>
          <t>1</t>
        </is>
      </c>
      <c r="O19" t="inlineStr">
        <is>
          <t>16</t>
        </is>
      </c>
      <c r="P19" t="inlineStr">
        <is>
          <t xml:space="preserve">52786   </t>
        </is>
      </c>
      <c r="Q19" s="26" t="n">
        <v>8.19</v>
      </c>
      <c r="R19" s="26">
        <f>Q19*G19</f>
        <v/>
      </c>
      <c r="S19" s="26">
        <f>IFERROR(VLOOKUP(E19*1,Tabla[#All],8,0),0)</f>
        <v/>
      </c>
      <c r="T19" s="26">
        <f>S19*G19</f>
        <v/>
      </c>
      <c r="U19" s="26">
        <f>R19-T19</f>
        <v/>
      </c>
      <c r="V19" s="26">
        <f>U19-L19</f>
        <v/>
      </c>
    </row>
    <row r="20">
      <c r="A20" s="11" t="n">
        <v>46204</v>
      </c>
      <c r="B20" s="1" t="n">
        <v>20040</v>
      </c>
      <c r="C20" s="1" t="inlineStr">
        <is>
          <t>072</t>
        </is>
      </c>
      <c r="D20" s="1" t="inlineStr">
        <is>
          <t>250735</t>
        </is>
      </c>
      <c r="E20" s="1" t="inlineStr">
        <is>
          <t xml:space="preserve">28194769       </t>
        </is>
      </c>
      <c r="F20" s="5" t="inlineStr">
        <is>
          <t>AUTOS DE METAL 3 TEAMSTERZ PACK DE 2</t>
        </is>
      </c>
      <c r="G20" t="n">
        <v>1</v>
      </c>
      <c r="H20" s="7" t="n">
        <v>13.8</v>
      </c>
      <c r="I20" s="7" t="n">
        <v>0</v>
      </c>
      <c r="J20" s="7" t="n">
        <v>0</v>
      </c>
      <c r="K20" s="9" t="n">
        <v>0</v>
      </c>
      <c r="L20" s="10" t="n">
        <v>8.18</v>
      </c>
      <c r="M20" s="10" t="n">
        <v>1.43</v>
      </c>
      <c r="N20" t="inlineStr">
        <is>
          <t>1</t>
        </is>
      </c>
      <c r="O20" t="inlineStr">
        <is>
          <t>16</t>
        </is>
      </c>
      <c r="P20" t="inlineStr">
        <is>
          <t xml:space="preserve">52786   </t>
        </is>
      </c>
      <c r="Q20" s="26" t="n">
        <v>8.19</v>
      </c>
      <c r="R20" s="26">
        <f>Q20*G20</f>
        <v/>
      </c>
      <c r="S20" s="26">
        <f>IFERROR(VLOOKUP(E20*1,Tabla[#All],8,0),0)</f>
        <v/>
      </c>
      <c r="T20" s="26">
        <f>S20*G20</f>
        <v/>
      </c>
      <c r="U20" s="26">
        <f>R20-T20</f>
        <v/>
      </c>
      <c r="V20" s="26">
        <f>U20-L20</f>
        <v/>
      </c>
    </row>
    <row r="21">
      <c r="A21" s="11" t="n">
        <v>46204</v>
      </c>
      <c r="B21" s="1" t="n">
        <v>20040</v>
      </c>
      <c r="C21" s="1" t="inlineStr">
        <is>
          <t>083</t>
        </is>
      </c>
      <c r="D21" s="1" t="inlineStr">
        <is>
          <t>158793</t>
        </is>
      </c>
      <c r="E21" s="1" t="inlineStr">
        <is>
          <t xml:space="preserve">29235701       </t>
        </is>
      </c>
      <c r="F21" s="5" t="inlineStr">
        <is>
          <t>INFINITY NADO TROMPO DE BATALLA - METAL EN CAJA</t>
        </is>
      </c>
      <c r="G21" t="n">
        <v>1</v>
      </c>
      <c r="H21" s="7" t="n">
        <v>39.9</v>
      </c>
      <c r="I21" s="7" t="n">
        <v>0</v>
      </c>
      <c r="J21" s="7" t="n">
        <v>0</v>
      </c>
      <c r="K21" s="9" t="n">
        <v>0</v>
      </c>
      <c r="L21" s="10" t="n">
        <v>23.67</v>
      </c>
      <c r="M21" s="10" t="n">
        <v>1.43</v>
      </c>
      <c r="N21" t="inlineStr">
        <is>
          <t>1</t>
        </is>
      </c>
      <c r="O21" t="inlineStr">
        <is>
          <t>16</t>
        </is>
      </c>
      <c r="P21" t="inlineStr">
        <is>
          <t xml:space="preserve">250392  </t>
        </is>
      </c>
      <c r="Q21" s="26" t="n">
        <v>23.67</v>
      </c>
      <c r="R21" s="26">
        <f>Q21*G21</f>
        <v/>
      </c>
      <c r="S21" s="26">
        <f>IFERROR(VLOOKUP(E21*1,Tabla[#All],8,0),0)</f>
        <v/>
      </c>
      <c r="T21" s="26">
        <f>S21*G21</f>
        <v/>
      </c>
      <c r="U21" s="26">
        <f>R21-T21</f>
        <v/>
      </c>
      <c r="V21" s="26">
        <f>U21-L21</f>
        <v/>
      </c>
    </row>
    <row r="22">
      <c r="A22" s="11" t="n">
        <v>46204</v>
      </c>
      <c r="B22" s="1" t="n">
        <v>20040</v>
      </c>
      <c r="C22" s="1" t="inlineStr">
        <is>
          <t>083</t>
        </is>
      </c>
      <c r="D22" s="1" t="inlineStr">
        <is>
          <t>158813</t>
        </is>
      </c>
      <c r="E22" s="1" t="inlineStr">
        <is>
          <t xml:space="preserve">28194769       </t>
        </is>
      </c>
      <c r="F22" s="5" t="inlineStr">
        <is>
          <t>AUTOS DE METAL 3 TEAMSTERZ PACK DE 2</t>
        </is>
      </c>
      <c r="G22" t="n">
        <v>1</v>
      </c>
      <c r="H22" s="7" t="n">
        <v>13.8</v>
      </c>
      <c r="I22" s="7" t="n">
        <v>0</v>
      </c>
      <c r="J22" s="7" t="n">
        <v>0</v>
      </c>
      <c r="K22" s="9" t="n">
        <v>0</v>
      </c>
      <c r="L22" s="10" t="n">
        <v>8.18</v>
      </c>
      <c r="M22" s="10" t="n">
        <v>1.43</v>
      </c>
      <c r="N22" t="inlineStr">
        <is>
          <t>1</t>
        </is>
      </c>
      <c r="O22" t="inlineStr">
        <is>
          <t xml:space="preserve">2 </t>
        </is>
      </c>
      <c r="P22" t="inlineStr">
        <is>
          <t xml:space="preserve">250040  </t>
        </is>
      </c>
      <c r="Q22" s="26" t="n">
        <v>8.19</v>
      </c>
      <c r="R22" s="26">
        <f>Q22*G22</f>
        <v/>
      </c>
      <c r="S22" s="26">
        <f>IFERROR(VLOOKUP(E22*1,Tabla[#All],8,0),0)</f>
        <v/>
      </c>
      <c r="T22" s="26">
        <f>S22*G22</f>
        <v/>
      </c>
      <c r="U22" s="26">
        <f>R22-T22</f>
        <v/>
      </c>
      <c r="V22" s="26">
        <f>U22-L22</f>
        <v/>
      </c>
    </row>
    <row r="23">
      <c r="A23" s="11" t="n">
        <v>46204</v>
      </c>
      <c r="B23" s="1" t="n">
        <v>20040</v>
      </c>
      <c r="C23" s="1" t="inlineStr">
        <is>
          <t>083</t>
        </is>
      </c>
      <c r="D23" s="1" t="inlineStr">
        <is>
          <t>158813</t>
        </is>
      </c>
      <c r="E23" s="1" t="inlineStr">
        <is>
          <t xml:space="preserve">28194769       </t>
        </is>
      </c>
      <c r="F23" s="5" t="inlineStr">
        <is>
          <t>AUTOS DE METAL 3 TEAMSTERZ PACK DE 2</t>
        </is>
      </c>
      <c r="G23" t="n">
        <v>1</v>
      </c>
      <c r="H23" s="7" t="n">
        <v>13.8</v>
      </c>
      <c r="I23" s="7" t="n">
        <v>0</v>
      </c>
      <c r="J23" s="7" t="n">
        <v>0</v>
      </c>
      <c r="K23" s="9" t="n">
        <v>0</v>
      </c>
      <c r="L23" s="10" t="n">
        <v>8.18</v>
      </c>
      <c r="M23" s="10" t="n">
        <v>1.43</v>
      </c>
      <c r="N23" t="inlineStr">
        <is>
          <t>1</t>
        </is>
      </c>
      <c r="O23" t="inlineStr">
        <is>
          <t xml:space="preserve">2 </t>
        </is>
      </c>
      <c r="P23" t="inlineStr">
        <is>
          <t xml:space="preserve">250040  </t>
        </is>
      </c>
      <c r="Q23" s="26" t="n">
        <v>8.19</v>
      </c>
      <c r="R23" s="26">
        <f>Q23*G23</f>
        <v/>
      </c>
      <c r="S23" s="26">
        <f>IFERROR(VLOOKUP(E23*1,Tabla[#All],8,0),0)</f>
        <v/>
      </c>
      <c r="T23" s="26">
        <f>S23*G23</f>
        <v/>
      </c>
      <c r="U23" s="26">
        <f>R23-T23</f>
        <v/>
      </c>
      <c r="V23" s="26">
        <f>U23-L23</f>
        <v/>
      </c>
    </row>
    <row r="24">
      <c r="A24" s="11" t="n">
        <v>46204</v>
      </c>
      <c r="B24" s="1" t="n">
        <v>20040</v>
      </c>
      <c r="C24" s="1" t="inlineStr">
        <is>
          <t>083</t>
        </is>
      </c>
      <c r="D24" s="1" t="inlineStr">
        <is>
          <t>158824</t>
        </is>
      </c>
      <c r="E24" s="1" t="inlineStr">
        <is>
          <t xml:space="preserve">28194769       </t>
        </is>
      </c>
      <c r="F24" s="5" t="inlineStr">
        <is>
          <t>AUTOS DE METAL 3 TEAMSTERZ PACK DE 2</t>
        </is>
      </c>
      <c r="G24" t="n">
        <v>1</v>
      </c>
      <c r="H24" s="7" t="n">
        <v>13.8</v>
      </c>
      <c r="I24" s="7" t="n">
        <v>0</v>
      </c>
      <c r="J24" s="7" t="n">
        <v>0</v>
      </c>
      <c r="K24" s="9" t="n">
        <v>0</v>
      </c>
      <c r="L24" s="10" t="n">
        <v>8.18</v>
      </c>
      <c r="M24" s="10" t="n">
        <v>1.43</v>
      </c>
      <c r="N24" t="inlineStr">
        <is>
          <t>1</t>
        </is>
      </c>
      <c r="O24" t="inlineStr">
        <is>
          <t>16</t>
        </is>
      </c>
      <c r="P24" t="inlineStr">
        <is>
          <t xml:space="preserve">250040  </t>
        </is>
      </c>
      <c r="Q24" s="26" t="n">
        <v>8.19</v>
      </c>
      <c r="R24" s="26">
        <f>Q24*G24</f>
        <v/>
      </c>
      <c r="S24" s="26">
        <f>IFERROR(VLOOKUP(E24*1,Tabla[#All],8,0),0)</f>
        <v/>
      </c>
      <c r="T24" s="26">
        <f>S24*G24</f>
        <v/>
      </c>
      <c r="U24" s="26">
        <f>R24-T24</f>
        <v/>
      </c>
      <c r="V24" s="26">
        <f>U24-L24</f>
        <v/>
      </c>
    </row>
    <row r="25">
      <c r="A25" s="11" t="n">
        <v>46204</v>
      </c>
      <c r="B25" s="1" t="n">
        <v>20040</v>
      </c>
      <c r="C25" s="1" t="inlineStr">
        <is>
          <t>083</t>
        </is>
      </c>
      <c r="D25" s="1" t="inlineStr">
        <is>
          <t>158832</t>
        </is>
      </c>
      <c r="E25" s="1" t="inlineStr">
        <is>
          <t xml:space="preserve">28194780       </t>
        </is>
      </c>
      <c r="F25" s="5" t="inlineStr">
        <is>
          <t>TROMPO BATALLA INFINITY NADO PLSTICO SURTIDO</t>
        </is>
      </c>
      <c r="G25" t="n">
        <v>1</v>
      </c>
      <c r="H25" s="7" t="n">
        <v>19.9</v>
      </c>
      <c r="I25" s="7" t="n">
        <v>0</v>
      </c>
      <c r="J25" s="7" t="n">
        <v>0</v>
      </c>
      <c r="K25" s="9" t="n">
        <v>0</v>
      </c>
      <c r="L25" s="10" t="n">
        <v>11.8</v>
      </c>
      <c r="M25" s="10" t="n">
        <v>1.43</v>
      </c>
      <c r="N25" t="inlineStr">
        <is>
          <t>1</t>
        </is>
      </c>
      <c r="O25" t="inlineStr">
        <is>
          <t xml:space="preserve">2 </t>
        </is>
      </c>
      <c r="P25" t="inlineStr">
        <is>
          <t xml:space="preserve">250040  </t>
        </is>
      </c>
      <c r="Q25" s="26" t="n">
        <v>11.81</v>
      </c>
      <c r="R25" s="26">
        <f>Q25*G25</f>
        <v/>
      </c>
      <c r="S25" s="26">
        <f>IFERROR(VLOOKUP(E25*1,Tabla[#All],8,0),0)</f>
        <v/>
      </c>
      <c r="T25" s="26">
        <f>S25*G25</f>
        <v/>
      </c>
      <c r="U25" s="26">
        <f>R25-T25</f>
        <v/>
      </c>
      <c r="V25" s="26">
        <f>U25-L25</f>
        <v/>
      </c>
    </row>
    <row r="26">
      <c r="A26" s="11" t="n">
        <v>46204</v>
      </c>
      <c r="B26" s="1" t="n">
        <v>20041</v>
      </c>
      <c r="C26" s="1" t="inlineStr">
        <is>
          <t>016</t>
        </is>
      </c>
      <c r="D26" s="1" t="inlineStr">
        <is>
          <t>214285</t>
        </is>
      </c>
      <c r="E26" s="1" t="inlineStr">
        <is>
          <t xml:space="preserve">28194769       </t>
        </is>
      </c>
      <c r="F26" s="5" t="inlineStr">
        <is>
          <t>AUTOS DE METAL 3 TEAMSTERZ PACK DE 2</t>
        </is>
      </c>
      <c r="G26" t="n">
        <v>1</v>
      </c>
      <c r="H26" s="7" t="n">
        <v>13.8</v>
      </c>
      <c r="I26" s="7" t="n">
        <v>0</v>
      </c>
      <c r="J26" s="7" t="n">
        <v>0</v>
      </c>
      <c r="K26" s="9" t="n">
        <v>0</v>
      </c>
      <c r="L26" s="10" t="n">
        <v>8.18</v>
      </c>
      <c r="M26" s="10" t="n">
        <v>1.43</v>
      </c>
      <c r="N26" t="inlineStr">
        <is>
          <t>1</t>
        </is>
      </c>
      <c r="O26" t="inlineStr">
        <is>
          <t>16</t>
        </is>
      </c>
      <c r="P26" t="inlineStr">
        <is>
          <t xml:space="preserve">46327   </t>
        </is>
      </c>
      <c r="Q26" s="26" t="n">
        <v>8.19</v>
      </c>
      <c r="R26" s="26">
        <f>Q26*G26</f>
        <v/>
      </c>
      <c r="S26" s="26">
        <f>IFERROR(VLOOKUP(E26*1,Tabla[#All],8,0),0)</f>
        <v/>
      </c>
      <c r="T26" s="26">
        <f>S26*G26</f>
        <v/>
      </c>
      <c r="U26" s="26">
        <f>R26-T26</f>
        <v/>
      </c>
      <c r="V26" s="26">
        <f>U26-L26</f>
        <v/>
      </c>
    </row>
    <row r="27">
      <c r="A27" s="11" t="n">
        <v>46204</v>
      </c>
      <c r="B27" s="1" t="n">
        <v>20041</v>
      </c>
      <c r="C27" s="1" t="inlineStr">
        <is>
          <t>020</t>
        </is>
      </c>
      <c r="D27" s="1" t="inlineStr">
        <is>
          <t>365390</t>
        </is>
      </c>
      <c r="E27" s="1" t="inlineStr">
        <is>
          <t xml:space="preserve">28194770       </t>
        </is>
      </c>
      <c r="F27" s="5" t="inlineStr">
        <is>
          <t>AUTOS DE METAL 3 TEAMSTERZ EN BLISTER</t>
        </is>
      </c>
      <c r="G27" t="n">
        <v>1</v>
      </c>
      <c r="H27" s="7" t="n">
        <v>6.9</v>
      </c>
      <c r="I27" s="7" t="n">
        <v>0</v>
      </c>
      <c r="J27" s="7" t="n">
        <v>0</v>
      </c>
      <c r="K27" s="9" t="n">
        <v>0</v>
      </c>
      <c r="L27" s="10" t="n">
        <v>4.1</v>
      </c>
      <c r="M27" s="10" t="n">
        <v>1.43</v>
      </c>
      <c r="N27" t="inlineStr">
        <is>
          <t>1</t>
        </is>
      </c>
      <c r="O27" t="inlineStr">
        <is>
          <t>16</t>
        </is>
      </c>
      <c r="P27" t="inlineStr">
        <is>
          <t xml:space="preserve">53218   </t>
        </is>
      </c>
      <c r="Q27" s="26" t="n">
        <v>4.09</v>
      </c>
      <c r="R27" s="26">
        <f>Q27*G27</f>
        <v/>
      </c>
      <c r="S27" s="26">
        <f>IFERROR(VLOOKUP(E27*1,Tabla[#All],8,0),0)</f>
        <v/>
      </c>
      <c r="T27" s="26">
        <f>S27*G27</f>
        <v/>
      </c>
      <c r="U27" s="26">
        <f>R27-T27</f>
        <v/>
      </c>
      <c r="V27" s="26">
        <f>U27-L27</f>
        <v/>
      </c>
    </row>
    <row r="28">
      <c r="A28" s="11" t="n">
        <v>46204</v>
      </c>
      <c r="B28" s="1" t="n">
        <v>20041</v>
      </c>
      <c r="C28" s="1" t="inlineStr">
        <is>
          <t>037</t>
        </is>
      </c>
      <c r="D28" s="1" t="inlineStr">
        <is>
          <t>188788</t>
        </is>
      </c>
      <c r="E28" s="1" t="inlineStr">
        <is>
          <t xml:space="preserve">28194769       </t>
        </is>
      </c>
      <c r="F28" s="5" t="inlineStr">
        <is>
          <t>AUTOS DE METAL 3 TEAMSTERZ PACK DE 2</t>
        </is>
      </c>
      <c r="G28" t="n">
        <v>1</v>
      </c>
      <c r="H28" s="7" t="n">
        <v>13.8</v>
      </c>
      <c r="I28" s="7" t="n">
        <v>0</v>
      </c>
      <c r="J28" s="7" t="n">
        <v>0</v>
      </c>
      <c r="K28" s="9" t="n">
        <v>0</v>
      </c>
      <c r="L28" s="10" t="n">
        <v>8.18</v>
      </c>
      <c r="M28" s="10" t="n">
        <v>1.43</v>
      </c>
      <c r="N28" t="inlineStr">
        <is>
          <t>1</t>
        </is>
      </c>
      <c r="O28" t="inlineStr">
        <is>
          <t>16</t>
        </is>
      </c>
      <c r="P28" t="inlineStr">
        <is>
          <t xml:space="preserve">92331   </t>
        </is>
      </c>
      <c r="Q28" s="26" t="n">
        <v>8.19</v>
      </c>
      <c r="R28" s="26">
        <f>Q28*G28</f>
        <v/>
      </c>
      <c r="S28" s="26">
        <f>IFERROR(VLOOKUP(E28*1,Tabla[#All],8,0),0)</f>
        <v/>
      </c>
      <c r="T28" s="26">
        <f>S28*G28</f>
        <v/>
      </c>
      <c r="U28" s="26">
        <f>R28-T28</f>
        <v/>
      </c>
      <c r="V28" s="26">
        <f>U28-L28</f>
        <v/>
      </c>
    </row>
    <row r="29">
      <c r="A29" s="11" t="n">
        <v>46204</v>
      </c>
      <c r="B29" s="1" t="n">
        <v>20041</v>
      </c>
      <c r="C29" s="1" t="inlineStr">
        <is>
          <t>037</t>
        </is>
      </c>
      <c r="D29" s="1" t="inlineStr">
        <is>
          <t>188818</t>
        </is>
      </c>
      <c r="E29" s="1" t="inlineStr">
        <is>
          <t xml:space="preserve">28194770       </t>
        </is>
      </c>
      <c r="F29" s="5" t="inlineStr">
        <is>
          <t>AUTOS DE METAL 3 TEAMSTERZ EN BLISTER</t>
        </is>
      </c>
      <c r="G29" t="n">
        <v>1</v>
      </c>
      <c r="H29" s="7" t="n">
        <v>6.9</v>
      </c>
      <c r="I29" s="7" t="n">
        <v>0</v>
      </c>
      <c r="J29" s="7" t="n">
        <v>0</v>
      </c>
      <c r="K29" s="9" t="n">
        <v>0</v>
      </c>
      <c r="L29" s="10" t="n">
        <v>4.1</v>
      </c>
      <c r="M29" s="10" t="n">
        <v>1.43</v>
      </c>
      <c r="N29" t="inlineStr">
        <is>
          <t>1</t>
        </is>
      </c>
      <c r="O29" t="inlineStr">
        <is>
          <t>16</t>
        </is>
      </c>
      <c r="P29" t="inlineStr">
        <is>
          <t xml:space="preserve">243698  </t>
        </is>
      </c>
      <c r="Q29" s="26" t="n">
        <v>4.09</v>
      </c>
      <c r="R29" s="26">
        <f>Q29*G29</f>
        <v/>
      </c>
      <c r="S29" s="26">
        <f>IFERROR(VLOOKUP(E29*1,Tabla[#All],8,0),0)</f>
        <v/>
      </c>
      <c r="T29" s="26">
        <f>S29*G29</f>
        <v/>
      </c>
      <c r="U29" s="26">
        <f>R29-T29</f>
        <v/>
      </c>
      <c r="V29" s="26">
        <f>U29-L29</f>
        <v/>
      </c>
    </row>
    <row r="30">
      <c r="A30" s="11" t="n">
        <v>46204</v>
      </c>
      <c r="B30" s="1" t="n">
        <v>20041</v>
      </c>
      <c r="C30" s="1" t="inlineStr">
        <is>
          <t>043</t>
        </is>
      </c>
      <c r="D30" s="1" t="inlineStr">
        <is>
          <t xml:space="preserve">75437 </t>
        </is>
      </c>
      <c r="E30" s="1" t="inlineStr">
        <is>
          <t xml:space="preserve">28194770       </t>
        </is>
      </c>
      <c r="F30" s="5" t="inlineStr">
        <is>
          <t>AUTOS DE METAL 3 TEAMSTERZ EN BLISTER</t>
        </is>
      </c>
      <c r="G30" t="n">
        <v>1</v>
      </c>
      <c r="H30" s="7" t="n">
        <v>6.9</v>
      </c>
      <c r="I30" s="7" t="n">
        <v>0</v>
      </c>
      <c r="J30" s="7" t="n">
        <v>0</v>
      </c>
      <c r="K30" s="9" t="n">
        <v>0</v>
      </c>
      <c r="L30" s="10" t="n">
        <v>4.1</v>
      </c>
      <c r="M30" s="10" t="n">
        <v>1.43</v>
      </c>
      <c r="N30" t="inlineStr">
        <is>
          <t>1</t>
        </is>
      </c>
      <c r="O30" t="inlineStr">
        <is>
          <t xml:space="preserve">3 </t>
        </is>
      </c>
      <c r="P30" t="inlineStr">
        <is>
          <t xml:space="preserve">244965  </t>
        </is>
      </c>
      <c r="Q30" s="26" t="n">
        <v>4.09</v>
      </c>
      <c r="R30" s="26">
        <f>Q30*G30</f>
        <v/>
      </c>
      <c r="S30" s="26">
        <f>IFERROR(VLOOKUP(E30*1,Tabla[#All],8,0),0)</f>
        <v/>
      </c>
      <c r="T30" s="26">
        <f>S30*G30</f>
        <v/>
      </c>
      <c r="U30" s="26">
        <f>R30-T30</f>
        <v/>
      </c>
      <c r="V30" s="26">
        <f>U30-L30</f>
        <v/>
      </c>
    </row>
    <row r="31">
      <c r="A31" s="11" t="n">
        <v>46204</v>
      </c>
      <c r="B31" s="1" t="n">
        <v>20041</v>
      </c>
      <c r="C31" s="1" t="inlineStr">
        <is>
          <t>043</t>
        </is>
      </c>
      <c r="D31" s="1" t="inlineStr">
        <is>
          <t xml:space="preserve">75437 </t>
        </is>
      </c>
      <c r="E31" s="1" t="inlineStr">
        <is>
          <t xml:space="preserve">28194770       </t>
        </is>
      </c>
      <c r="F31" s="5" t="inlineStr">
        <is>
          <t>AUTOS DE METAL 3 TEAMSTERZ EN BLISTER</t>
        </is>
      </c>
      <c r="G31" t="n">
        <v>1</v>
      </c>
      <c r="H31" s="7" t="n">
        <v>6.9</v>
      </c>
      <c r="I31" s="7" t="n">
        <v>0</v>
      </c>
      <c r="J31" s="7" t="n">
        <v>0</v>
      </c>
      <c r="K31" s="9" t="n">
        <v>0</v>
      </c>
      <c r="L31" s="10" t="n">
        <v>4.1</v>
      </c>
      <c r="M31" s="10" t="n">
        <v>1.43</v>
      </c>
      <c r="N31" t="inlineStr">
        <is>
          <t>1</t>
        </is>
      </c>
      <c r="O31" t="inlineStr">
        <is>
          <t xml:space="preserve">3 </t>
        </is>
      </c>
      <c r="P31" t="inlineStr">
        <is>
          <t xml:space="preserve">244965  </t>
        </is>
      </c>
      <c r="Q31" s="26" t="n">
        <v>4.09</v>
      </c>
      <c r="R31" s="26">
        <f>Q31*G31</f>
        <v/>
      </c>
      <c r="S31" s="26">
        <f>IFERROR(VLOOKUP(E31*1,Tabla[#All],8,0),0)</f>
        <v/>
      </c>
      <c r="T31" s="26">
        <f>S31*G31</f>
        <v/>
      </c>
      <c r="U31" s="26">
        <f>R31-T31</f>
        <v/>
      </c>
      <c r="V31" s="26">
        <f>U31-L31</f>
        <v/>
      </c>
    </row>
    <row r="32">
      <c r="A32" s="11" t="n">
        <v>46204</v>
      </c>
      <c r="B32" s="1" t="n">
        <v>20048</v>
      </c>
      <c r="C32" s="1" t="inlineStr">
        <is>
          <t>013</t>
        </is>
      </c>
      <c r="D32" s="1" t="inlineStr">
        <is>
          <t>223608</t>
        </is>
      </c>
      <c r="E32" s="1" t="inlineStr">
        <is>
          <t xml:space="preserve">28194770       </t>
        </is>
      </c>
      <c r="F32" s="5" t="inlineStr">
        <is>
          <t>AUTOS DE METAL 3 TEAMSTERZ EN BLISTER</t>
        </is>
      </c>
      <c r="G32" t="n">
        <v>1</v>
      </c>
      <c r="H32" s="7" t="n">
        <v>6.9</v>
      </c>
      <c r="I32" s="7" t="n">
        <v>0</v>
      </c>
      <c r="J32" s="7" t="n">
        <v>0</v>
      </c>
      <c r="K32" s="9" t="n">
        <v>0</v>
      </c>
      <c r="L32" s="10" t="n">
        <v>4.1</v>
      </c>
      <c r="M32" s="10" t="n">
        <v>1.43</v>
      </c>
      <c r="N32" t="inlineStr">
        <is>
          <t>1</t>
        </is>
      </c>
      <c r="O32" t="inlineStr">
        <is>
          <t>16</t>
        </is>
      </c>
      <c r="P32" t="inlineStr">
        <is>
          <t xml:space="preserve">85763   </t>
        </is>
      </c>
      <c r="Q32" s="26" t="n">
        <v>4.09</v>
      </c>
      <c r="R32" s="26">
        <f>Q32*G32</f>
        <v/>
      </c>
      <c r="S32" s="26">
        <f>IFERROR(VLOOKUP(E32*1,Tabla[#All],8,0),0)</f>
        <v/>
      </c>
      <c r="T32" s="26">
        <f>S32*G32</f>
        <v/>
      </c>
      <c r="U32" s="26">
        <f>R32-T32</f>
        <v/>
      </c>
      <c r="V32" s="26">
        <f>U32-L32</f>
        <v/>
      </c>
    </row>
    <row r="33">
      <c r="A33" s="11" t="n">
        <v>46204</v>
      </c>
      <c r="B33" s="1" t="n">
        <v>20048</v>
      </c>
      <c r="C33" s="1" t="inlineStr">
        <is>
          <t>017</t>
        </is>
      </c>
      <c r="D33" s="1" t="inlineStr">
        <is>
          <t>165726</t>
        </is>
      </c>
      <c r="E33" s="1" t="inlineStr">
        <is>
          <t xml:space="preserve">28194782       </t>
        </is>
      </c>
      <c r="F33" s="5" t="inlineStr">
        <is>
          <t>TROMPO BATALLA INFINITY NADO SERIE V ORIGINAL SURT</t>
        </is>
      </c>
      <c r="G33" t="n">
        <v>1</v>
      </c>
      <c r="H33" s="7" t="n">
        <v>44.91</v>
      </c>
      <c r="I33" s="7" t="n">
        <v>0</v>
      </c>
      <c r="J33" s="7" t="n">
        <v>0</v>
      </c>
      <c r="K33" s="9" t="n">
        <v>0</v>
      </c>
      <c r="L33" s="10" t="n">
        <v>26.64</v>
      </c>
      <c r="M33" s="10" t="n">
        <v>1.43</v>
      </c>
      <c r="N33" t="inlineStr">
        <is>
          <t>1</t>
        </is>
      </c>
      <c r="O33" t="inlineStr">
        <is>
          <t xml:space="preserve">6 </t>
        </is>
      </c>
      <c r="P33" t="inlineStr">
        <is>
          <t xml:space="preserve">33648   </t>
        </is>
      </c>
      <c r="Q33" s="26" t="n">
        <v>41.47</v>
      </c>
      <c r="R33" s="26">
        <f>Q33*G33</f>
        <v/>
      </c>
      <c r="S33" s="26">
        <f>IFERROR(VLOOKUP(E33*1,Tabla[#All],8,0),0)</f>
        <v/>
      </c>
      <c r="T33" s="26">
        <f>S33*G33</f>
        <v/>
      </c>
      <c r="U33" s="26">
        <f>R33-T33</f>
        <v/>
      </c>
      <c r="V33" s="26">
        <f>U33-L33</f>
        <v/>
      </c>
    </row>
    <row r="34">
      <c r="A34" s="11" t="n">
        <v>46204</v>
      </c>
      <c r="B34" s="1" t="n">
        <v>20048</v>
      </c>
      <c r="C34" s="1" t="inlineStr">
        <is>
          <t>017</t>
        </is>
      </c>
      <c r="D34" s="1" t="inlineStr">
        <is>
          <t xml:space="preserve">8476  </t>
        </is>
      </c>
      <c r="E34" s="1" t="inlineStr">
        <is>
          <t xml:space="preserve">28194782       </t>
        </is>
      </c>
      <c r="F34" s="5" t="inlineStr">
        <is>
          <t>TROMPO BATALLA INFINITY NADO SERIE V ORIGINAL SURT</t>
        </is>
      </c>
      <c r="G34" t="n">
        <v>-1</v>
      </c>
      <c r="H34" s="7" t="n">
        <v>-44.91</v>
      </c>
      <c r="I34" s="7" t="n">
        <v>0</v>
      </c>
      <c r="J34" s="7" t="n">
        <v>0</v>
      </c>
      <c r="K34" s="9" t="n">
        <v>0</v>
      </c>
      <c r="L34" s="10" t="n">
        <v>-26.64</v>
      </c>
      <c r="M34" s="10" t="n">
        <v>0</v>
      </c>
      <c r="N34" t="inlineStr">
        <is>
          <t>3</t>
        </is>
      </c>
      <c r="O34" t="inlineStr">
        <is>
          <t>26</t>
        </is>
      </c>
      <c r="P34" t="inlineStr">
        <is>
          <t xml:space="preserve">33648   </t>
        </is>
      </c>
      <c r="Q34" s="26" t="n">
        <v>41.47</v>
      </c>
      <c r="R34" s="26">
        <f>Q34*G34</f>
        <v/>
      </c>
      <c r="S34" s="26">
        <f>IFERROR(VLOOKUP(E34*1,Tabla[#All],8,0),0)</f>
        <v/>
      </c>
      <c r="T34" s="26">
        <f>S34*G34</f>
        <v/>
      </c>
      <c r="U34" s="26">
        <f>R34-T34</f>
        <v/>
      </c>
      <c r="V34" s="26">
        <f>U34-L34</f>
        <v/>
      </c>
    </row>
    <row r="35">
      <c r="A35" s="11" t="n">
        <v>46204</v>
      </c>
      <c r="B35" s="1" t="n">
        <v>20048</v>
      </c>
      <c r="C35" s="1" t="inlineStr">
        <is>
          <t>018</t>
        </is>
      </c>
      <c r="D35" s="1" t="inlineStr">
        <is>
          <t xml:space="preserve">45588 </t>
        </is>
      </c>
      <c r="E35" s="1" t="inlineStr">
        <is>
          <t xml:space="preserve">28194770       </t>
        </is>
      </c>
      <c r="F35" s="5" t="inlineStr">
        <is>
          <t>AUTOS DE METAL 3 TEAMSTERZ EN BLISTER</t>
        </is>
      </c>
      <c r="G35" t="n">
        <v>1</v>
      </c>
      <c r="H35" s="7" t="n">
        <v>6.9</v>
      </c>
      <c r="I35" s="7" t="n">
        <v>0</v>
      </c>
      <c r="J35" s="7" t="n">
        <v>0</v>
      </c>
      <c r="K35" s="9" t="n">
        <v>0</v>
      </c>
      <c r="L35" s="10" t="n">
        <v>4.1</v>
      </c>
      <c r="M35" s="10" t="n">
        <v>1.43</v>
      </c>
      <c r="N35" t="inlineStr">
        <is>
          <t>1</t>
        </is>
      </c>
      <c r="O35" t="inlineStr">
        <is>
          <t>16</t>
        </is>
      </c>
      <c r="P35" t="inlineStr">
        <is>
          <t xml:space="preserve">248416  </t>
        </is>
      </c>
      <c r="Q35" s="26" t="n">
        <v>4.09</v>
      </c>
      <c r="R35" s="26">
        <f>Q35*G35</f>
        <v/>
      </c>
      <c r="S35" s="26">
        <f>IFERROR(VLOOKUP(E35*1,Tabla[#All],8,0),0)</f>
        <v/>
      </c>
      <c r="T35" s="26">
        <f>S35*G35</f>
        <v/>
      </c>
      <c r="U35" s="26">
        <f>R35-T35</f>
        <v/>
      </c>
      <c r="V35" s="26">
        <f>U35-L35</f>
        <v/>
      </c>
    </row>
    <row r="36">
      <c r="A36" s="11" t="n">
        <v>46204</v>
      </c>
      <c r="B36" s="1" t="n">
        <v>20048</v>
      </c>
      <c r="C36" s="1" t="inlineStr">
        <is>
          <t>800</t>
        </is>
      </c>
      <c r="D36" s="1" t="inlineStr">
        <is>
          <t xml:space="preserve">3196  </t>
        </is>
      </c>
      <c r="E36" s="1" t="inlineStr">
        <is>
          <t xml:space="preserve">28194770       </t>
        </is>
      </c>
      <c r="F36" s="5" t="inlineStr">
        <is>
          <t>AUTOS DE METAL 3 TEAMSTERZ EN BLISTER</t>
        </is>
      </c>
      <c r="G36" t="n">
        <v>3</v>
      </c>
      <c r="H36" s="7" t="n">
        <v>20.7</v>
      </c>
      <c r="I36" s="7" t="n">
        <v>0</v>
      </c>
      <c r="J36" s="7" t="n">
        <v>0</v>
      </c>
      <c r="K36" s="9" t="n">
        <v>0</v>
      </c>
      <c r="L36" s="10" t="n">
        <v>12.27</v>
      </c>
      <c r="M36" s="10" t="n">
        <v>1.43</v>
      </c>
      <c r="N36" t="inlineStr">
        <is>
          <t>1</t>
        </is>
      </c>
      <c r="O36" t="inlineStr">
        <is>
          <t>16</t>
        </is>
      </c>
      <c r="P36" t="inlineStr">
        <is>
          <t xml:space="preserve">234984  </t>
        </is>
      </c>
      <c r="Q36" s="26" t="n">
        <v>4.09</v>
      </c>
      <c r="R36" s="26">
        <f>Q36*G36</f>
        <v/>
      </c>
      <c r="S36" s="26">
        <f>IFERROR(VLOOKUP(E36*1,Tabla[#All],8,0),0)</f>
        <v/>
      </c>
      <c r="T36" s="26">
        <f>S36*G36</f>
        <v/>
      </c>
      <c r="U36" s="26">
        <f>R36-T36</f>
        <v/>
      </c>
      <c r="V36" s="26">
        <f>U36-L36</f>
        <v/>
      </c>
    </row>
    <row r="37">
      <c r="A37" s="11" t="n">
        <v>46204</v>
      </c>
      <c r="B37" s="1" t="n">
        <v>20048</v>
      </c>
      <c r="C37" s="1" t="inlineStr">
        <is>
          <t>800</t>
        </is>
      </c>
      <c r="D37" s="1" t="inlineStr">
        <is>
          <t xml:space="preserve">3234  </t>
        </is>
      </c>
      <c r="E37" s="1" t="inlineStr">
        <is>
          <t xml:space="preserve">31417427       </t>
        </is>
      </c>
      <c r="F37" s="5" t="inlineStr">
        <is>
          <t>MUNECA EVI LOVE AMIGA DE MASCOTAS SURTIDO</t>
        </is>
      </c>
      <c r="G37" t="n">
        <v>1</v>
      </c>
      <c r="H37" s="7" t="n">
        <v>19.9</v>
      </c>
      <c r="I37" s="7" t="n">
        <v>0</v>
      </c>
      <c r="J37" s="7" t="n">
        <v>0</v>
      </c>
      <c r="K37" s="9" t="n">
        <v>0</v>
      </c>
      <c r="L37" s="10" t="n">
        <v>11.8</v>
      </c>
      <c r="M37" s="10" t="n">
        <v>1.43</v>
      </c>
      <c r="N37" t="inlineStr">
        <is>
          <t>1</t>
        </is>
      </c>
      <c r="O37" t="inlineStr">
        <is>
          <t>16</t>
        </is>
      </c>
      <c r="P37" t="inlineStr">
        <is>
          <t xml:space="preserve">234984  </t>
        </is>
      </c>
      <c r="Q37" s="26" t="n">
        <v>11.81</v>
      </c>
      <c r="R37" s="26">
        <f>Q37*G37</f>
        <v/>
      </c>
      <c r="S37" s="26">
        <f>IFERROR(VLOOKUP(E37*1,Tabla[#All],8,0),0)</f>
        <v/>
      </c>
      <c r="T37" s="26">
        <f>S37*G37</f>
        <v/>
      </c>
      <c r="U37" s="26">
        <f>R37-T37</f>
        <v/>
      </c>
      <c r="V37" s="26">
        <f>U37-L37</f>
        <v/>
      </c>
    </row>
    <row r="38">
      <c r="A38" s="11" t="n">
        <v>46204</v>
      </c>
      <c r="B38" s="1" t="n">
        <v>20048</v>
      </c>
      <c r="C38" s="1" t="inlineStr">
        <is>
          <t>800</t>
        </is>
      </c>
      <c r="D38" s="1" t="inlineStr">
        <is>
          <t xml:space="preserve">3234  </t>
        </is>
      </c>
      <c r="E38" s="1" t="inlineStr">
        <is>
          <t xml:space="preserve">33483119       </t>
        </is>
      </c>
      <c r="F38" s="5" t="inlineStr">
        <is>
          <t>MUNECA EVI LOVE TRAJE TIPICO CON ALPACA</t>
        </is>
      </c>
      <c r="G38" t="n">
        <v>1</v>
      </c>
      <c r="H38" s="7" t="n">
        <v>29.9</v>
      </c>
      <c r="I38" s="7" t="n">
        <v>0</v>
      </c>
      <c r="J38" s="7" t="n">
        <v>0</v>
      </c>
      <c r="K38" s="9" t="n">
        <v>0</v>
      </c>
      <c r="L38" s="10" t="n">
        <v>17.74</v>
      </c>
      <c r="M38" s="10" t="n">
        <v>1.43</v>
      </c>
      <c r="N38" t="inlineStr">
        <is>
          <t>1</t>
        </is>
      </c>
      <c r="O38" t="inlineStr">
        <is>
          <t>16</t>
        </is>
      </c>
      <c r="P38" t="inlineStr">
        <is>
          <t xml:space="preserve">234984  </t>
        </is>
      </c>
      <c r="Q38" s="26" t="n">
        <v>17.74</v>
      </c>
      <c r="R38" s="26">
        <f>Q38*G38</f>
        <v/>
      </c>
      <c r="S38" s="26">
        <f>IFERROR(VLOOKUP(E38*1,Tabla[#All],8,0),0)</f>
        <v/>
      </c>
      <c r="T38" s="26">
        <f>S38*G38</f>
        <v/>
      </c>
      <c r="U38" s="26">
        <f>R38-T38</f>
        <v/>
      </c>
      <c r="V38" s="26">
        <f>U38-L38</f>
        <v/>
      </c>
    </row>
    <row r="39">
      <c r="A39" s="11" t="n">
        <v>46204</v>
      </c>
      <c r="B39" s="1" t="n">
        <v>20048</v>
      </c>
      <c r="C39" s="1" t="inlineStr">
        <is>
          <t>800</t>
        </is>
      </c>
      <c r="D39" s="1" t="inlineStr">
        <is>
          <t xml:space="preserve">3249  </t>
        </is>
      </c>
      <c r="E39" s="1" t="inlineStr">
        <is>
          <t xml:space="preserve">34840551       </t>
        </is>
      </c>
      <c r="F39" s="5" t="inlineStr">
        <is>
          <t>TMZ HELI BOMBERO CON LUCES Y SONIDOS</t>
        </is>
      </c>
      <c r="G39" t="n">
        <v>1</v>
      </c>
      <c r="H39" s="7" t="n">
        <v>79.90000000000001</v>
      </c>
      <c r="I39" s="7" t="n">
        <v>0</v>
      </c>
      <c r="J39" s="7" t="n">
        <v>0</v>
      </c>
      <c r="K39" s="9" t="n">
        <v>0</v>
      </c>
      <c r="L39" s="10" t="n">
        <v>47.4</v>
      </c>
      <c r="M39" s="10" t="n">
        <v>1.43</v>
      </c>
      <c r="N39" t="inlineStr">
        <is>
          <t>1</t>
        </is>
      </c>
      <c r="O39" t="inlineStr">
        <is>
          <t>16</t>
        </is>
      </c>
      <c r="P39" t="inlineStr">
        <is>
          <t xml:space="preserve">234984  </t>
        </is>
      </c>
      <c r="Q39" s="26" t="n">
        <v>47.4</v>
      </c>
      <c r="R39" s="26">
        <f>Q39*G39</f>
        <v/>
      </c>
      <c r="S39" s="26">
        <f>IFERROR(VLOOKUP(E39*1,Tabla[#All],8,0),0)</f>
        <v/>
      </c>
      <c r="T39" s="26">
        <f>S39*G39</f>
        <v/>
      </c>
      <c r="U39" s="26">
        <f>R39-T39</f>
        <v/>
      </c>
      <c r="V39" s="26">
        <f>U39-L39</f>
        <v/>
      </c>
    </row>
    <row r="40">
      <c r="A40" s="11" t="n">
        <v>46204</v>
      </c>
      <c r="B40" s="1" t="n">
        <v>20048</v>
      </c>
      <c r="C40" s="1" t="inlineStr">
        <is>
          <t>800</t>
        </is>
      </c>
      <c r="D40" s="1" t="inlineStr">
        <is>
          <t xml:space="preserve">3249  </t>
        </is>
      </c>
      <c r="E40" s="1" t="inlineStr">
        <is>
          <t xml:space="preserve">35685067       </t>
        </is>
      </c>
      <c r="F40" s="5" t="inlineStr">
        <is>
          <t>HOT WHEELS POWER SET 3 EN 1</t>
        </is>
      </c>
      <c r="G40" t="n">
        <v>1</v>
      </c>
      <c r="H40" s="7" t="n">
        <v>49.9</v>
      </c>
      <c r="I40" s="7" t="n">
        <v>0</v>
      </c>
      <c r="J40" s="7" t="n">
        <v>0</v>
      </c>
      <c r="K40" s="9" t="n">
        <v>0</v>
      </c>
      <c r="L40" s="10" t="n">
        <v>29.6</v>
      </c>
      <c r="M40" s="10" t="n">
        <v>1.43</v>
      </c>
      <c r="N40" t="inlineStr">
        <is>
          <t>1</t>
        </is>
      </c>
      <c r="O40" t="inlineStr">
        <is>
          <t>16</t>
        </is>
      </c>
      <c r="P40" t="inlineStr">
        <is>
          <t xml:space="preserve">234984  </t>
        </is>
      </c>
      <c r="Q40" s="26" t="n">
        <v>29.6</v>
      </c>
      <c r="R40" s="26">
        <f>Q40*G40</f>
        <v/>
      </c>
      <c r="S40" s="26">
        <f>IFERROR(VLOOKUP(E40*1,Tabla[#All],8,0),0)</f>
        <v/>
      </c>
      <c r="T40" s="26">
        <f>S40*G40</f>
        <v/>
      </c>
      <c r="U40" s="26">
        <f>R40-T40</f>
        <v/>
      </c>
      <c r="V40" s="26">
        <f>U40-L40</f>
        <v/>
      </c>
    </row>
    <row r="41">
      <c r="A41" s="11" t="n">
        <v>46204</v>
      </c>
      <c r="B41" s="1" t="n">
        <v>20049</v>
      </c>
      <c r="C41" s="1" t="inlineStr">
        <is>
          <t>025</t>
        </is>
      </c>
      <c r="D41" s="1" t="inlineStr">
        <is>
          <t xml:space="preserve">32797 </t>
        </is>
      </c>
      <c r="E41" s="1" t="inlineStr">
        <is>
          <t xml:space="preserve">29235700       </t>
        </is>
      </c>
      <c r="F41" s="5" t="inlineStr">
        <is>
          <t>HOT WHEELS CASE METALICO PARA GUARDAR 18 CARRITOS</t>
        </is>
      </c>
      <c r="G41" t="n">
        <v>1</v>
      </c>
      <c r="H41" s="7" t="n">
        <v>49.9</v>
      </c>
      <c r="I41" s="7" t="n">
        <v>0</v>
      </c>
      <c r="J41" s="7" t="n">
        <v>0</v>
      </c>
      <c r="K41" s="9" t="n">
        <v>0</v>
      </c>
      <c r="L41" s="10" t="n">
        <v>29.6</v>
      </c>
      <c r="M41" s="10" t="n">
        <v>1.43</v>
      </c>
      <c r="N41" t="inlineStr">
        <is>
          <t>1</t>
        </is>
      </c>
      <c r="O41" t="inlineStr">
        <is>
          <t>16</t>
        </is>
      </c>
      <c r="P41" t="inlineStr">
        <is>
          <t xml:space="preserve">249970  </t>
        </is>
      </c>
      <c r="Q41" s="26" t="n">
        <v>29.6</v>
      </c>
      <c r="R41" s="26">
        <f>Q41*G41</f>
        <v/>
      </c>
      <c r="S41" s="26">
        <f>IFERROR(VLOOKUP(E41*1,Tabla[#All],8,0),0)</f>
        <v/>
      </c>
      <c r="T41" s="26">
        <f>S41*G41</f>
        <v/>
      </c>
      <c r="U41" s="26">
        <f>R41-T41</f>
        <v/>
      </c>
      <c r="V41" s="26">
        <f>U41-L41</f>
        <v/>
      </c>
    </row>
    <row r="42">
      <c r="A42" s="11" t="n">
        <v>46204</v>
      </c>
      <c r="B42" s="1" t="n">
        <v>20049</v>
      </c>
      <c r="C42" s="1" t="inlineStr">
        <is>
          <t>030</t>
        </is>
      </c>
      <c r="D42" s="1" t="inlineStr">
        <is>
          <t xml:space="preserve">3917  </t>
        </is>
      </c>
      <c r="E42" s="1" t="inlineStr">
        <is>
          <t xml:space="preserve">28194760       </t>
        </is>
      </c>
      <c r="F42" s="5" t="inlineStr">
        <is>
          <t>CAR CASE MULTIMODULAR HOT WHEELS POR 18 PCS</t>
        </is>
      </c>
      <c r="G42" t="n">
        <v>1</v>
      </c>
      <c r="H42" s="7" t="n">
        <v>69.90000000000001</v>
      </c>
      <c r="I42" s="7" t="n">
        <v>0</v>
      </c>
      <c r="J42" s="7" t="n">
        <v>0</v>
      </c>
      <c r="K42" s="9" t="n">
        <v>0</v>
      </c>
      <c r="L42" s="10" t="n">
        <v>41.47</v>
      </c>
      <c r="M42" s="10" t="n">
        <v>1.43</v>
      </c>
      <c r="N42" t="inlineStr">
        <is>
          <t>1</t>
        </is>
      </c>
      <c r="O42" t="inlineStr">
        <is>
          <t xml:space="preserve">2 </t>
        </is>
      </c>
      <c r="P42" t="inlineStr">
        <is>
          <t xml:space="preserve">250144  </t>
        </is>
      </c>
      <c r="Q42" s="26" t="n">
        <v>41.47</v>
      </c>
      <c r="R42" s="26">
        <f>Q42*G42</f>
        <v/>
      </c>
      <c r="S42" s="26">
        <f>IFERROR(VLOOKUP(E42*1,Tabla[#All],8,0),0)</f>
        <v/>
      </c>
      <c r="T42" s="26">
        <f>S42*G42</f>
        <v/>
      </c>
      <c r="U42" s="26">
        <f>R42-T42</f>
        <v/>
      </c>
      <c r="V42" s="26">
        <f>U42-L42</f>
        <v/>
      </c>
    </row>
    <row r="43">
      <c r="A43" s="11" t="n">
        <v>46204</v>
      </c>
      <c r="B43" s="1" t="n">
        <v>20049</v>
      </c>
      <c r="C43" s="1" t="inlineStr">
        <is>
          <t>030</t>
        </is>
      </c>
      <c r="D43" s="1" t="inlineStr">
        <is>
          <t xml:space="preserve">3917  </t>
        </is>
      </c>
      <c r="E43" s="1" t="inlineStr">
        <is>
          <t xml:space="preserve">29235702       </t>
        </is>
      </c>
      <c r="F43" s="5" t="inlineStr">
        <is>
          <t>INFINITY NADO TROMPO DE BATALLA - METAL C/ ANILLO</t>
        </is>
      </c>
      <c r="G43" t="n">
        <v>1</v>
      </c>
      <c r="H43" s="7" t="n">
        <v>69.90000000000001</v>
      </c>
      <c r="I43" s="7" t="n">
        <v>0</v>
      </c>
      <c r="J43" s="7" t="n">
        <v>0</v>
      </c>
      <c r="K43" s="9" t="n">
        <v>0</v>
      </c>
      <c r="L43" s="10" t="n">
        <v>41.47</v>
      </c>
      <c r="M43" s="10" t="n">
        <v>1.43</v>
      </c>
      <c r="N43" t="inlineStr">
        <is>
          <t>1</t>
        </is>
      </c>
      <c r="O43" t="inlineStr">
        <is>
          <t xml:space="preserve">2 </t>
        </is>
      </c>
      <c r="P43" t="inlineStr">
        <is>
          <t xml:space="preserve">250144  </t>
        </is>
      </c>
      <c r="Q43" s="26" t="n">
        <v>41.47</v>
      </c>
      <c r="R43" s="26">
        <f>Q43*G43</f>
        <v/>
      </c>
      <c r="S43" s="26">
        <f>IFERROR(VLOOKUP(E43*1,Tabla[#All],8,0),0)</f>
        <v/>
      </c>
      <c r="T43" s="26">
        <f>S43*G43</f>
        <v/>
      </c>
      <c r="U43" s="26">
        <f>R43-T43</f>
        <v/>
      </c>
      <c r="V43" s="26">
        <f>U43-L43</f>
        <v/>
      </c>
    </row>
    <row r="44">
      <c r="A44" s="11" t="n">
        <v>46204</v>
      </c>
      <c r="B44" s="1" t="n">
        <v>20056</v>
      </c>
      <c r="C44" s="1" t="inlineStr">
        <is>
          <t>021</t>
        </is>
      </c>
      <c r="D44" s="1" t="inlineStr">
        <is>
          <t xml:space="preserve">51833 </t>
        </is>
      </c>
      <c r="E44" s="1" t="inlineStr">
        <is>
          <t xml:space="preserve">28194769       </t>
        </is>
      </c>
      <c r="F44" s="5" t="inlineStr">
        <is>
          <t>AUTOS DE METAL 3 TEAMSTERZ PACK DE 2</t>
        </is>
      </c>
      <c r="G44" t="n">
        <v>1</v>
      </c>
      <c r="H44" s="7" t="n">
        <v>13.8</v>
      </c>
      <c r="I44" s="7" t="n">
        <v>0</v>
      </c>
      <c r="J44" s="7" t="n">
        <v>0</v>
      </c>
      <c r="K44" s="9" t="n">
        <v>0</v>
      </c>
      <c r="L44" s="10" t="n">
        <v>8.18</v>
      </c>
      <c r="M44" s="10" t="n">
        <v>1.43</v>
      </c>
      <c r="N44" t="inlineStr">
        <is>
          <t>1</t>
        </is>
      </c>
      <c r="O44" t="inlineStr">
        <is>
          <t xml:space="preserve">2 </t>
        </is>
      </c>
      <c r="P44" t="inlineStr">
        <is>
          <t xml:space="preserve">248464  </t>
        </is>
      </c>
      <c r="Q44" s="26" t="n">
        <v>8.19</v>
      </c>
      <c r="R44" s="26">
        <f>Q44*G44</f>
        <v/>
      </c>
      <c r="S44" s="26">
        <f>IFERROR(VLOOKUP(E44*1,Tabla[#All],8,0),0)</f>
        <v/>
      </c>
      <c r="T44" s="26">
        <f>S44*G44</f>
        <v/>
      </c>
      <c r="U44" s="26">
        <f>R44-T44</f>
        <v/>
      </c>
      <c r="V44" s="26">
        <f>U44-L44</f>
        <v/>
      </c>
    </row>
    <row r="45">
      <c r="A45" s="11" t="n">
        <v>46204</v>
      </c>
      <c r="B45" s="1" t="n">
        <v>20056</v>
      </c>
      <c r="C45" s="1" t="inlineStr">
        <is>
          <t>022</t>
        </is>
      </c>
      <c r="D45" s="1" t="inlineStr">
        <is>
          <t xml:space="preserve">54567 </t>
        </is>
      </c>
      <c r="E45" s="1" t="inlineStr">
        <is>
          <t xml:space="preserve">31959956       </t>
        </is>
      </c>
      <c r="F45" s="5" t="inlineStr">
        <is>
          <t>TEAMSTERZ CAMION TRANSPORTA ANIMALES SURTIDO</t>
        </is>
      </c>
      <c r="G45" t="n">
        <v>1</v>
      </c>
      <c r="H45" s="7" t="n">
        <v>17.9</v>
      </c>
      <c r="I45" s="7" t="n">
        <v>0</v>
      </c>
      <c r="J45" s="7" t="n">
        <v>0</v>
      </c>
      <c r="K45" s="9" t="n">
        <v>0</v>
      </c>
      <c r="L45" s="10" t="n">
        <v>10.62</v>
      </c>
      <c r="M45" s="10" t="n">
        <v>1.43</v>
      </c>
      <c r="N45" t="inlineStr">
        <is>
          <t>1</t>
        </is>
      </c>
      <c r="O45" t="inlineStr">
        <is>
          <t>16</t>
        </is>
      </c>
      <c r="P45" t="inlineStr">
        <is>
          <t xml:space="preserve">244178  </t>
        </is>
      </c>
      <c r="Q45" s="26" t="n">
        <v>10.62</v>
      </c>
      <c r="R45" s="26">
        <f>Q45*G45</f>
        <v/>
      </c>
      <c r="S45" s="26">
        <f>IFERROR(VLOOKUP(E45*1,Tabla[#All],8,0),0)</f>
        <v/>
      </c>
      <c r="T45" s="26">
        <f>S45*G45</f>
        <v/>
      </c>
      <c r="U45" s="26">
        <f>R45-T45</f>
        <v/>
      </c>
      <c r="V45" s="26">
        <f>U45-L45</f>
        <v/>
      </c>
    </row>
    <row r="46">
      <c r="A46" s="11" t="n">
        <v>46204</v>
      </c>
      <c r="B46" s="1" t="n">
        <v>20057</v>
      </c>
      <c r="C46" s="1" t="inlineStr">
        <is>
          <t>032</t>
        </is>
      </c>
      <c r="D46" s="1" t="inlineStr">
        <is>
          <t xml:space="preserve">73534 </t>
        </is>
      </c>
      <c r="E46" s="1" t="inlineStr">
        <is>
          <t xml:space="preserve">29854052       </t>
        </is>
      </c>
      <c r="F46" s="5" t="inlineStr">
        <is>
          <t>PLAYSET CAMBIA DE COLOR CROC BITE</t>
        </is>
      </c>
      <c r="G46" t="n">
        <v>1</v>
      </c>
      <c r="H46" s="7" t="n">
        <v>79.90000000000001</v>
      </c>
      <c r="I46" s="7" t="n">
        <v>0</v>
      </c>
      <c r="J46" s="7" t="n">
        <v>0</v>
      </c>
      <c r="K46" s="9" t="n">
        <v>0</v>
      </c>
      <c r="L46" s="10" t="n">
        <v>47.4</v>
      </c>
      <c r="M46" s="10" t="n">
        <v>1.43</v>
      </c>
      <c r="N46" t="inlineStr">
        <is>
          <t>1</t>
        </is>
      </c>
      <c r="O46" t="inlineStr">
        <is>
          <t xml:space="preserve">2 </t>
        </is>
      </c>
      <c r="P46" t="inlineStr">
        <is>
          <t xml:space="preserve">240012  </t>
        </is>
      </c>
      <c r="Q46" s="26" t="n">
        <v>47.4</v>
      </c>
      <c r="R46" s="26">
        <f>Q46*G46</f>
        <v/>
      </c>
      <c r="S46" s="26">
        <f>IFERROR(VLOOKUP(E46*1,Tabla[#All],8,0),0)</f>
        <v/>
      </c>
      <c r="T46" s="26">
        <f>S46*G46</f>
        <v/>
      </c>
      <c r="U46" s="26">
        <f>R46-T46</f>
        <v/>
      </c>
      <c r="V46" s="26">
        <f>U46-L46</f>
        <v/>
      </c>
    </row>
    <row r="47">
      <c r="A47" s="11" t="n">
        <v>46204</v>
      </c>
      <c r="B47" s="1" t="n">
        <v>20057</v>
      </c>
      <c r="C47" s="1" t="inlineStr">
        <is>
          <t>032</t>
        </is>
      </c>
      <c r="D47" s="1" t="inlineStr">
        <is>
          <t xml:space="preserve">73584 </t>
        </is>
      </c>
      <c r="E47" s="1" t="inlineStr">
        <is>
          <t xml:space="preserve">28194770       </t>
        </is>
      </c>
      <c r="F47" s="5" t="inlineStr">
        <is>
          <t>AUTOS DE METAL 3 TEAMSTERZ EN BLISTER</t>
        </is>
      </c>
      <c r="G47" t="n">
        <v>1</v>
      </c>
      <c r="H47" s="7" t="n">
        <v>6.9</v>
      </c>
      <c r="I47" s="7" t="n">
        <v>0</v>
      </c>
      <c r="J47" s="7" t="n">
        <v>0</v>
      </c>
      <c r="K47" s="9" t="n">
        <v>0</v>
      </c>
      <c r="L47" s="10" t="n">
        <v>4.1</v>
      </c>
      <c r="M47" s="10" t="n">
        <v>1.43</v>
      </c>
      <c r="N47" t="inlineStr">
        <is>
          <t>1</t>
        </is>
      </c>
      <c r="O47" t="inlineStr">
        <is>
          <t>16</t>
        </is>
      </c>
      <c r="P47" t="inlineStr">
        <is>
          <t xml:space="preserve">240012  </t>
        </is>
      </c>
      <c r="Q47" s="26" t="n">
        <v>4.09</v>
      </c>
      <c r="R47" s="26">
        <f>Q47*G47</f>
        <v/>
      </c>
      <c r="S47" s="26">
        <f>IFERROR(VLOOKUP(E47*1,Tabla[#All],8,0),0)</f>
        <v/>
      </c>
      <c r="T47" s="26">
        <f>S47*G47</f>
        <v/>
      </c>
      <c r="U47" s="26">
        <f>R47-T47</f>
        <v/>
      </c>
      <c r="V47" s="26">
        <f>U47-L47</f>
        <v/>
      </c>
    </row>
    <row r="48">
      <c r="A48" s="11" t="n">
        <v>46204</v>
      </c>
      <c r="B48" s="1" t="n">
        <v>20057</v>
      </c>
      <c r="C48" s="1" t="inlineStr">
        <is>
          <t>033</t>
        </is>
      </c>
      <c r="D48" s="1" t="inlineStr">
        <is>
          <t xml:space="preserve">66009 </t>
        </is>
      </c>
      <c r="E48" s="1" t="inlineStr">
        <is>
          <t xml:space="preserve">28194769       </t>
        </is>
      </c>
      <c r="F48" s="5" t="inlineStr">
        <is>
          <t>AUTOS DE METAL 3 TEAMSTERZ PACK DE 2</t>
        </is>
      </c>
      <c r="G48" t="n">
        <v>1</v>
      </c>
      <c r="H48" s="7" t="n">
        <v>13.8</v>
      </c>
      <c r="I48" s="7" t="n">
        <v>0</v>
      </c>
      <c r="J48" s="7" t="n">
        <v>0</v>
      </c>
      <c r="K48" s="9" t="n">
        <v>0</v>
      </c>
      <c r="L48" s="10" t="n">
        <v>8.18</v>
      </c>
      <c r="M48" s="10" t="n">
        <v>1.43</v>
      </c>
      <c r="N48" t="inlineStr">
        <is>
          <t>1</t>
        </is>
      </c>
      <c r="O48" t="inlineStr">
        <is>
          <t>16</t>
        </is>
      </c>
      <c r="P48" t="inlineStr">
        <is>
          <t xml:space="preserve">203426  </t>
        </is>
      </c>
      <c r="Q48" s="26" t="n">
        <v>8.19</v>
      </c>
      <c r="R48" s="26">
        <f>Q48*G48</f>
        <v/>
      </c>
      <c r="S48" s="26">
        <f>IFERROR(VLOOKUP(E48*1,Tabla[#All],8,0),0)</f>
        <v/>
      </c>
      <c r="T48" s="26">
        <f>S48*G48</f>
        <v/>
      </c>
      <c r="U48" s="26">
        <f>R48-T48</f>
        <v/>
      </c>
      <c r="V48" s="26">
        <f>U48-L48</f>
        <v/>
      </c>
    </row>
    <row r="49">
      <c r="A49" s="11" t="n">
        <v>46204</v>
      </c>
      <c r="B49" s="1" t="n">
        <v>20057</v>
      </c>
      <c r="C49" s="1" t="inlineStr">
        <is>
          <t>861</t>
        </is>
      </c>
      <c r="D49" s="1" t="inlineStr">
        <is>
          <t xml:space="preserve">518   </t>
        </is>
      </c>
      <c r="E49" s="1" t="inlineStr">
        <is>
          <t xml:space="preserve">28194769       </t>
        </is>
      </c>
      <c r="F49" s="5" t="inlineStr">
        <is>
          <t>AUTOS DE METAL 3 TEAMSTERZ PACK DE 2</t>
        </is>
      </c>
      <c r="G49" t="n">
        <v>1</v>
      </c>
      <c r="H49" s="7" t="n">
        <v>13.8</v>
      </c>
      <c r="I49" s="7" t="n">
        <v>0</v>
      </c>
      <c r="J49" s="7" t="n">
        <v>0</v>
      </c>
      <c r="K49" s="9" t="n">
        <v>0</v>
      </c>
      <c r="L49" s="10" t="n">
        <v>8.18</v>
      </c>
      <c r="M49" s="10" t="n">
        <v>1.43</v>
      </c>
      <c r="N49" t="inlineStr">
        <is>
          <t>1</t>
        </is>
      </c>
      <c r="O49" t="inlineStr">
        <is>
          <t>16</t>
        </is>
      </c>
      <c r="P49" t="inlineStr">
        <is>
          <t xml:space="preserve">0       </t>
        </is>
      </c>
      <c r="Q49" s="26" t="n">
        <v>8.19</v>
      </c>
      <c r="R49" s="26">
        <f>Q49*G49</f>
        <v/>
      </c>
      <c r="S49" s="26">
        <f>IFERROR(VLOOKUP(E49*1,Tabla[#All],8,0),0)</f>
        <v/>
      </c>
      <c r="T49" s="26">
        <f>S49*G49</f>
        <v/>
      </c>
      <c r="U49" s="26">
        <f>R49-T49</f>
        <v/>
      </c>
      <c r="V49" s="26">
        <f>U49-L49</f>
        <v/>
      </c>
    </row>
    <row r="50">
      <c r="A50" s="11" t="n">
        <v>46204</v>
      </c>
      <c r="B50" s="1" t="n">
        <v>20057</v>
      </c>
      <c r="C50" s="1" t="inlineStr">
        <is>
          <t>861</t>
        </is>
      </c>
      <c r="D50" s="1" t="inlineStr">
        <is>
          <t xml:space="preserve">518   </t>
        </is>
      </c>
      <c r="E50" s="1" t="inlineStr">
        <is>
          <t xml:space="preserve">28194770       </t>
        </is>
      </c>
      <c r="F50" s="5" t="inlineStr">
        <is>
          <t>AUTOS DE METAL 3 TEAMSTERZ EN BLISTER</t>
        </is>
      </c>
      <c r="G50" t="n">
        <v>1</v>
      </c>
      <c r="H50" s="7" t="n">
        <v>6.9</v>
      </c>
      <c r="I50" s="7" t="n">
        <v>0</v>
      </c>
      <c r="J50" s="7" t="n">
        <v>0</v>
      </c>
      <c r="K50" s="9" t="n">
        <v>0</v>
      </c>
      <c r="L50" s="10" t="n">
        <v>4.1</v>
      </c>
      <c r="M50" s="10" t="n">
        <v>1.43</v>
      </c>
      <c r="N50" t="inlineStr">
        <is>
          <t>1</t>
        </is>
      </c>
      <c r="O50" t="inlineStr">
        <is>
          <t>16</t>
        </is>
      </c>
      <c r="P50" t="inlineStr">
        <is>
          <t xml:space="preserve">0       </t>
        </is>
      </c>
      <c r="Q50" s="26" t="n">
        <v>4.09</v>
      </c>
      <c r="R50" s="26">
        <f>Q50*G50</f>
        <v/>
      </c>
      <c r="S50" s="26">
        <f>IFERROR(VLOOKUP(E50*1,Tabla[#All],8,0),0)</f>
        <v/>
      </c>
      <c r="T50" s="26">
        <f>S50*G50</f>
        <v/>
      </c>
      <c r="U50" s="26">
        <f>R50-T50</f>
        <v/>
      </c>
      <c r="V50" s="26">
        <f>U50-L50</f>
        <v/>
      </c>
    </row>
    <row r="51">
      <c r="A51" s="11" t="n">
        <v>46204</v>
      </c>
      <c r="B51" s="1" t="n">
        <v>20058</v>
      </c>
      <c r="C51" s="1" t="inlineStr">
        <is>
          <t>038</t>
        </is>
      </c>
      <c r="D51" s="1" t="inlineStr">
        <is>
          <t>208071</t>
        </is>
      </c>
      <c r="E51" s="1" t="inlineStr">
        <is>
          <t xml:space="preserve">28194770       </t>
        </is>
      </c>
      <c r="F51" s="5" t="inlineStr">
        <is>
          <t>AUTOS DE METAL 3 TEAMSTERZ EN BLISTER</t>
        </is>
      </c>
      <c r="G51" t="n">
        <v>1</v>
      </c>
      <c r="H51" s="7" t="n">
        <v>6.9</v>
      </c>
      <c r="I51" s="7" t="n">
        <v>0</v>
      </c>
      <c r="J51" s="7" t="n">
        <v>0</v>
      </c>
      <c r="K51" s="9" t="n">
        <v>0</v>
      </c>
      <c r="L51" s="10" t="n">
        <v>4.1</v>
      </c>
      <c r="M51" s="10" t="n">
        <v>1.43</v>
      </c>
      <c r="N51" t="inlineStr">
        <is>
          <t>1</t>
        </is>
      </c>
      <c r="O51" t="inlineStr">
        <is>
          <t>16</t>
        </is>
      </c>
      <c r="P51" t="inlineStr">
        <is>
          <t xml:space="preserve">97366   </t>
        </is>
      </c>
      <c r="Q51" s="26" t="n">
        <v>4.09</v>
      </c>
      <c r="R51" s="26">
        <f>Q51*G51</f>
        <v/>
      </c>
      <c r="S51" s="26">
        <f>IFERROR(VLOOKUP(E51*1,Tabla[#All],8,0),0)</f>
        <v/>
      </c>
      <c r="T51" s="26">
        <f>S51*G51</f>
        <v/>
      </c>
      <c r="U51" s="26">
        <f>R51-T51</f>
        <v/>
      </c>
      <c r="V51" s="26">
        <f>U51-L51</f>
        <v/>
      </c>
    </row>
    <row r="52">
      <c r="A52" s="11" t="n">
        <v>46204</v>
      </c>
      <c r="B52" s="1" t="n">
        <v>20058</v>
      </c>
      <c r="C52" s="1" t="inlineStr">
        <is>
          <t>038</t>
        </is>
      </c>
      <c r="D52" s="1" t="inlineStr">
        <is>
          <t>208103</t>
        </is>
      </c>
      <c r="E52" s="1" t="inlineStr">
        <is>
          <t xml:space="preserve">28194768       </t>
        </is>
      </c>
      <c r="F52" s="5" t="inlineStr">
        <is>
          <t>AUTO COLOR CHANGE TEAMSTERZ SURTIDO</t>
        </is>
      </c>
      <c r="G52" t="n">
        <v>1</v>
      </c>
      <c r="H52" s="7" t="n">
        <v>14.9</v>
      </c>
      <c r="I52" s="7" t="n">
        <v>0</v>
      </c>
      <c r="J52" s="7" t="n">
        <v>0</v>
      </c>
      <c r="K52" s="9" t="n">
        <v>0</v>
      </c>
      <c r="L52" s="10" t="n">
        <v>8.84</v>
      </c>
      <c r="M52" s="10" t="n">
        <v>1.43</v>
      </c>
      <c r="N52" t="inlineStr">
        <is>
          <t>1</t>
        </is>
      </c>
      <c r="O52" t="inlineStr">
        <is>
          <t>16</t>
        </is>
      </c>
      <c r="P52" t="inlineStr">
        <is>
          <t xml:space="preserve">97366   </t>
        </is>
      </c>
      <c r="Q52" s="26" t="n">
        <v>8.84</v>
      </c>
      <c r="R52" s="26">
        <f>Q52*G52</f>
        <v/>
      </c>
      <c r="S52" s="26">
        <f>IFERROR(VLOOKUP(E52*1,Tabla[#All],8,0),0)</f>
        <v/>
      </c>
      <c r="T52" s="26">
        <f>S52*G52</f>
        <v/>
      </c>
      <c r="U52" s="26">
        <f>R52-T52</f>
        <v/>
      </c>
      <c r="V52" s="26">
        <f>U52-L52</f>
        <v/>
      </c>
    </row>
    <row r="53">
      <c r="A53" s="11" t="n">
        <v>46204</v>
      </c>
      <c r="B53" s="1" t="n">
        <v>20058</v>
      </c>
      <c r="C53" s="1" t="inlineStr">
        <is>
          <t>038</t>
        </is>
      </c>
      <c r="D53" s="1" t="inlineStr">
        <is>
          <t>208109</t>
        </is>
      </c>
      <c r="E53" s="1" t="inlineStr">
        <is>
          <t xml:space="preserve">32656523       </t>
        </is>
      </c>
      <c r="F53" s="5" t="inlineStr">
        <is>
          <t>TMZ BEAST MACHINES TRANSPORT. T-REX ELECTR. + ACCE</t>
        </is>
      </c>
      <c r="G53" t="n">
        <v>1</v>
      </c>
      <c r="H53" s="7" t="n">
        <v>179</v>
      </c>
      <c r="I53" s="7" t="n">
        <v>0</v>
      </c>
      <c r="J53" s="7" t="n">
        <v>0</v>
      </c>
      <c r="K53" s="9" t="n">
        <v>0</v>
      </c>
      <c r="L53" s="10" t="n">
        <v>106.18</v>
      </c>
      <c r="M53" s="10" t="n">
        <v>1.43</v>
      </c>
      <c r="N53" t="inlineStr">
        <is>
          <t>1</t>
        </is>
      </c>
      <c r="O53" t="inlineStr">
        <is>
          <t>16</t>
        </is>
      </c>
      <c r="P53" t="inlineStr">
        <is>
          <t xml:space="preserve">97366   </t>
        </is>
      </c>
      <c r="Q53" s="26" t="n">
        <v>106.19</v>
      </c>
      <c r="R53" s="26">
        <f>Q53*G53</f>
        <v/>
      </c>
      <c r="S53" s="26">
        <f>IFERROR(VLOOKUP(E53*1,Tabla[#All],8,0),0)</f>
        <v/>
      </c>
      <c r="T53" s="26">
        <f>S53*G53</f>
        <v/>
      </c>
      <c r="U53" s="26">
        <f>R53-T53</f>
        <v/>
      </c>
      <c r="V53" s="26">
        <f>U53-L53</f>
        <v/>
      </c>
    </row>
    <row r="54">
      <c r="A54" s="11" t="n">
        <v>46204</v>
      </c>
      <c r="B54" s="1" t="n">
        <v>20058</v>
      </c>
      <c r="C54" s="1" t="inlineStr">
        <is>
          <t>191</t>
        </is>
      </c>
      <c r="D54" s="1" t="inlineStr">
        <is>
          <t xml:space="preserve">5044  </t>
        </is>
      </c>
      <c r="E54" s="1" t="inlineStr">
        <is>
          <t xml:space="preserve">28194770       </t>
        </is>
      </c>
      <c r="F54" s="5" t="inlineStr">
        <is>
          <t>AUTOS DE METAL 3 TEAMSTERZ EN BLISTER</t>
        </is>
      </c>
      <c r="G54" t="n">
        <v>1</v>
      </c>
      <c r="H54" s="7" t="n">
        <v>6.9</v>
      </c>
      <c r="I54" s="7" t="n">
        <v>0</v>
      </c>
      <c r="J54" s="7" t="n">
        <v>0</v>
      </c>
      <c r="K54" s="9" t="n">
        <v>0</v>
      </c>
      <c r="L54" s="10" t="n">
        <v>4.1</v>
      </c>
      <c r="M54" s="10" t="n">
        <v>1.43</v>
      </c>
      <c r="N54" t="inlineStr">
        <is>
          <t>1</t>
        </is>
      </c>
      <c r="O54" t="inlineStr">
        <is>
          <t>16</t>
        </is>
      </c>
      <c r="P54" t="inlineStr">
        <is>
          <t xml:space="preserve">250305  </t>
        </is>
      </c>
      <c r="Q54" s="26" t="n">
        <v>4.09</v>
      </c>
      <c r="R54" s="26">
        <f>Q54*G54</f>
        <v/>
      </c>
      <c r="S54" s="26">
        <f>IFERROR(VLOOKUP(E54*1,Tabla[#All],8,0),0)</f>
        <v/>
      </c>
      <c r="T54" s="26">
        <f>S54*G54</f>
        <v/>
      </c>
      <c r="U54" s="26">
        <f>R54-T54</f>
        <v/>
      </c>
      <c r="V54" s="26">
        <f>U54-L54</f>
        <v/>
      </c>
    </row>
    <row r="55">
      <c r="A55" s="11" t="n">
        <v>46204</v>
      </c>
      <c r="B55" s="1" t="n">
        <v>20062</v>
      </c>
      <c r="C55" s="1" t="inlineStr">
        <is>
          <t>053</t>
        </is>
      </c>
      <c r="D55" s="1" t="inlineStr">
        <is>
          <t>242280</t>
        </is>
      </c>
      <c r="E55" s="1" t="inlineStr">
        <is>
          <t xml:space="preserve">28194770       </t>
        </is>
      </c>
      <c r="F55" s="5" t="inlineStr">
        <is>
          <t>AUTOS DE METAL 3 TEAMSTERZ EN BLISTER</t>
        </is>
      </c>
      <c r="G55" t="n">
        <v>1</v>
      </c>
      <c r="H55" s="7" t="n">
        <v>6.9</v>
      </c>
      <c r="I55" s="7" t="n">
        <v>0</v>
      </c>
      <c r="J55" s="7" t="n">
        <v>0</v>
      </c>
      <c r="K55" s="9" t="n">
        <v>0</v>
      </c>
      <c r="L55" s="10" t="n">
        <v>4.1</v>
      </c>
      <c r="M55" s="10" t="n">
        <v>1.43</v>
      </c>
      <c r="N55" t="inlineStr">
        <is>
          <t>1</t>
        </is>
      </c>
      <c r="O55" t="inlineStr">
        <is>
          <t xml:space="preserve">3 </t>
        </is>
      </c>
      <c r="P55" t="inlineStr">
        <is>
          <t xml:space="preserve">88849   </t>
        </is>
      </c>
      <c r="Q55" s="26" t="n">
        <v>4.09</v>
      </c>
      <c r="R55" s="26">
        <f>Q55*G55</f>
        <v/>
      </c>
      <c r="S55" s="26">
        <f>IFERROR(VLOOKUP(E55*1,Tabla[#All],8,0),0)</f>
        <v/>
      </c>
      <c r="T55" s="26">
        <f>S55*G55</f>
        <v/>
      </c>
      <c r="U55" s="26">
        <f>R55-T55</f>
        <v/>
      </c>
      <c r="V55" s="26">
        <f>U55-L55</f>
        <v/>
      </c>
    </row>
    <row r="56">
      <c r="A56" s="11" t="n">
        <v>46204</v>
      </c>
      <c r="B56" s="1" t="n">
        <v>20062</v>
      </c>
      <c r="C56" s="1" t="inlineStr">
        <is>
          <t>053</t>
        </is>
      </c>
      <c r="D56" s="1" t="inlineStr">
        <is>
          <t>242280</t>
        </is>
      </c>
      <c r="E56" s="1" t="inlineStr">
        <is>
          <t xml:space="preserve">28194770       </t>
        </is>
      </c>
      <c r="F56" s="5" t="inlineStr">
        <is>
          <t>AUTOS DE METAL 3 TEAMSTERZ EN BLISTER</t>
        </is>
      </c>
      <c r="G56" t="n">
        <v>1</v>
      </c>
      <c r="H56" s="7" t="n">
        <v>6.9</v>
      </c>
      <c r="I56" s="7" t="n">
        <v>0</v>
      </c>
      <c r="J56" s="7" t="n">
        <v>0</v>
      </c>
      <c r="K56" s="9" t="n">
        <v>0</v>
      </c>
      <c r="L56" s="10" t="n">
        <v>4.1</v>
      </c>
      <c r="M56" s="10" t="n">
        <v>1.43</v>
      </c>
      <c r="N56" t="inlineStr">
        <is>
          <t>1</t>
        </is>
      </c>
      <c r="O56" t="inlineStr">
        <is>
          <t xml:space="preserve">3 </t>
        </is>
      </c>
      <c r="P56" t="inlineStr">
        <is>
          <t xml:space="preserve">88849   </t>
        </is>
      </c>
      <c r="Q56" s="26" t="n">
        <v>4.09</v>
      </c>
      <c r="R56" s="26">
        <f>Q56*G56</f>
        <v/>
      </c>
      <c r="S56" s="26">
        <f>IFERROR(VLOOKUP(E56*1,Tabla[#All],8,0),0)</f>
        <v/>
      </c>
      <c r="T56" s="26">
        <f>S56*G56</f>
        <v/>
      </c>
      <c r="U56" s="26">
        <f>R56-T56</f>
        <v/>
      </c>
      <c r="V56" s="26">
        <f>U56-L56</f>
        <v/>
      </c>
    </row>
    <row r="57">
      <c r="A57" s="11" t="n">
        <v>46204</v>
      </c>
      <c r="B57" s="1" t="n">
        <v>20062</v>
      </c>
      <c r="C57" s="1" t="inlineStr">
        <is>
          <t>053</t>
        </is>
      </c>
      <c r="D57" s="1" t="inlineStr">
        <is>
          <t>242280</t>
        </is>
      </c>
      <c r="E57" s="1" t="inlineStr">
        <is>
          <t xml:space="preserve">28194770       </t>
        </is>
      </c>
      <c r="F57" s="5" t="inlineStr">
        <is>
          <t>AUTOS DE METAL 3 TEAMSTERZ EN BLISTER</t>
        </is>
      </c>
      <c r="G57" t="n">
        <v>1</v>
      </c>
      <c r="H57" s="7" t="n">
        <v>6.9</v>
      </c>
      <c r="I57" s="7" t="n">
        <v>0</v>
      </c>
      <c r="J57" s="7" t="n">
        <v>0</v>
      </c>
      <c r="K57" s="9" t="n">
        <v>0</v>
      </c>
      <c r="L57" s="10" t="n">
        <v>4.1</v>
      </c>
      <c r="M57" s="10" t="n">
        <v>1.43</v>
      </c>
      <c r="N57" t="inlineStr">
        <is>
          <t>1</t>
        </is>
      </c>
      <c r="O57" t="inlineStr">
        <is>
          <t xml:space="preserve">3 </t>
        </is>
      </c>
      <c r="P57" t="inlineStr">
        <is>
          <t xml:space="preserve">88849   </t>
        </is>
      </c>
      <c r="Q57" s="26" t="n">
        <v>4.09</v>
      </c>
      <c r="R57" s="26">
        <f>Q57*G57</f>
        <v/>
      </c>
      <c r="S57" s="26">
        <f>IFERROR(VLOOKUP(E57*1,Tabla[#All],8,0),0)</f>
        <v/>
      </c>
      <c r="T57" s="26">
        <f>S57*G57</f>
        <v/>
      </c>
      <c r="U57" s="26">
        <f>R57-T57</f>
        <v/>
      </c>
      <c r="V57" s="26">
        <f>U57-L57</f>
        <v/>
      </c>
    </row>
    <row r="58">
      <c r="A58" s="11" t="n">
        <v>46204</v>
      </c>
      <c r="B58" s="1" t="n">
        <v>20066</v>
      </c>
      <c r="C58" s="1" t="inlineStr">
        <is>
          <t>057</t>
        </is>
      </c>
      <c r="D58" s="1" t="inlineStr">
        <is>
          <t>492915</t>
        </is>
      </c>
      <c r="E58" s="1" t="inlineStr">
        <is>
          <t xml:space="preserve">28194770       </t>
        </is>
      </c>
      <c r="F58" s="5" t="inlineStr">
        <is>
          <t>AUTOS DE METAL 3 TEAMSTERZ EN BLISTER</t>
        </is>
      </c>
      <c r="G58" t="n">
        <v>1</v>
      </c>
      <c r="H58" s="7" t="n">
        <v>6.9</v>
      </c>
      <c r="I58" s="7" t="n">
        <v>0</v>
      </c>
      <c r="J58" s="7" t="n">
        <v>0</v>
      </c>
      <c r="K58" s="9" t="n">
        <v>0</v>
      </c>
      <c r="L58" s="10" t="n">
        <v>4.1</v>
      </c>
      <c r="M58" s="10" t="n">
        <v>1.43</v>
      </c>
      <c r="N58" t="inlineStr">
        <is>
          <t>1</t>
        </is>
      </c>
      <c r="O58" t="inlineStr">
        <is>
          <t>16</t>
        </is>
      </c>
      <c r="P58" t="inlineStr">
        <is>
          <t xml:space="preserve">43713   </t>
        </is>
      </c>
      <c r="Q58" s="26" t="n">
        <v>4.09</v>
      </c>
      <c r="R58" s="26">
        <f>Q58*G58</f>
        <v/>
      </c>
      <c r="S58" s="26">
        <f>IFERROR(VLOOKUP(E58*1,Tabla[#All],8,0),0)</f>
        <v/>
      </c>
      <c r="T58" s="26">
        <f>S58*G58</f>
        <v/>
      </c>
      <c r="U58" s="26">
        <f>R58-T58</f>
        <v/>
      </c>
      <c r="V58" s="26">
        <f>U58-L58</f>
        <v/>
      </c>
    </row>
    <row r="59">
      <c r="A59" s="11" t="n">
        <v>46204</v>
      </c>
      <c r="B59" s="1" t="n">
        <v>20066</v>
      </c>
      <c r="C59" s="1" t="inlineStr">
        <is>
          <t>061</t>
        </is>
      </c>
      <c r="D59" s="1" t="inlineStr">
        <is>
          <t xml:space="preserve">34200 </t>
        </is>
      </c>
      <c r="E59" s="1" t="inlineStr">
        <is>
          <t xml:space="preserve">32457106       </t>
        </is>
      </c>
      <c r="F59" s="5" t="inlineStr">
        <is>
          <t>TMZ BEAST MACHINES PLAYSET DESASTRE DRAGON + 1 AUT</t>
        </is>
      </c>
      <c r="G59" t="n">
        <v>1</v>
      </c>
      <c r="H59" s="7" t="n">
        <v>69.90000000000001</v>
      </c>
      <c r="I59" s="7" t="n">
        <v>0</v>
      </c>
      <c r="J59" s="7" t="n">
        <v>0</v>
      </c>
      <c r="K59" s="9" t="n">
        <v>0</v>
      </c>
      <c r="L59" s="10" t="n">
        <v>41.47</v>
      </c>
      <c r="M59" s="10" t="n">
        <v>1.43</v>
      </c>
      <c r="N59" t="inlineStr">
        <is>
          <t>1</t>
        </is>
      </c>
      <c r="O59" t="inlineStr">
        <is>
          <t>16</t>
        </is>
      </c>
      <c r="P59" t="inlineStr">
        <is>
          <t xml:space="preserve">52700   </t>
        </is>
      </c>
      <c r="Q59" s="26" t="n">
        <v>41.47</v>
      </c>
      <c r="R59" s="26">
        <f>Q59*G59</f>
        <v/>
      </c>
      <c r="S59" s="26">
        <f>IFERROR(VLOOKUP(E59*1,Tabla[#All],8,0),0)</f>
        <v/>
      </c>
      <c r="T59" s="26">
        <f>S59*G59</f>
        <v/>
      </c>
      <c r="U59" s="26">
        <f>R59-T59</f>
        <v/>
      </c>
      <c r="V59" s="26">
        <f>U59-L59</f>
        <v/>
      </c>
    </row>
    <row r="60">
      <c r="A60" s="11" t="n">
        <v>46204</v>
      </c>
      <c r="B60" s="1" t="n">
        <v>20069</v>
      </c>
      <c r="C60" s="1" t="inlineStr">
        <is>
          <t>024</t>
        </is>
      </c>
      <c r="D60" s="1" t="inlineStr">
        <is>
          <t>103493</t>
        </is>
      </c>
      <c r="E60" s="1" t="inlineStr">
        <is>
          <t xml:space="preserve">28194770       </t>
        </is>
      </c>
      <c r="F60" s="5" t="inlineStr">
        <is>
          <t>AUTOS DE METAL 3 TEAMSTERZ EN BLISTER</t>
        </is>
      </c>
      <c r="G60" t="n">
        <v>1</v>
      </c>
      <c r="H60" s="7" t="n">
        <v>6.9</v>
      </c>
      <c r="I60" s="7" t="n">
        <v>0</v>
      </c>
      <c r="J60" s="7" t="n">
        <v>0</v>
      </c>
      <c r="K60" s="9" t="n">
        <v>0</v>
      </c>
      <c r="L60" s="10" t="n">
        <v>4.1</v>
      </c>
      <c r="M60" s="10" t="n">
        <v>1.43</v>
      </c>
      <c r="N60" t="inlineStr">
        <is>
          <t>1</t>
        </is>
      </c>
      <c r="O60" t="inlineStr">
        <is>
          <t xml:space="preserve">2 </t>
        </is>
      </c>
      <c r="P60" t="inlineStr">
        <is>
          <t xml:space="preserve">248423  </t>
        </is>
      </c>
      <c r="Q60" s="26" t="n">
        <v>4.09</v>
      </c>
      <c r="R60" s="26">
        <f>Q60*G60</f>
        <v/>
      </c>
      <c r="S60" s="26">
        <f>IFERROR(VLOOKUP(E60*1,Tabla[#All],8,0),0)</f>
        <v/>
      </c>
      <c r="T60" s="26">
        <f>S60*G60</f>
        <v/>
      </c>
      <c r="U60" s="26">
        <f>R60-T60</f>
        <v/>
      </c>
      <c r="V60" s="26">
        <f>U60-L60</f>
        <v/>
      </c>
    </row>
    <row r="61">
      <c r="A61" s="11" t="n">
        <v>46204</v>
      </c>
      <c r="B61" s="1" t="n">
        <v>20069</v>
      </c>
      <c r="C61" s="1" t="inlineStr">
        <is>
          <t>026</t>
        </is>
      </c>
      <c r="D61" s="1" t="inlineStr">
        <is>
          <t>358451</t>
        </is>
      </c>
      <c r="E61" s="1" t="inlineStr">
        <is>
          <t xml:space="preserve">28194770       </t>
        </is>
      </c>
      <c r="F61" s="5" t="inlineStr">
        <is>
          <t>AUTOS DE METAL 3 TEAMSTERZ EN BLISTER</t>
        </is>
      </c>
      <c r="G61" t="n">
        <v>1</v>
      </c>
      <c r="H61" s="7" t="n">
        <v>6.9</v>
      </c>
      <c r="I61" s="7" t="n">
        <v>0</v>
      </c>
      <c r="J61" s="7" t="n">
        <v>0</v>
      </c>
      <c r="K61" s="9" t="n">
        <v>0</v>
      </c>
      <c r="L61" s="10" t="n">
        <v>4.1</v>
      </c>
      <c r="M61" s="10" t="n">
        <v>1.43</v>
      </c>
      <c r="N61" t="inlineStr">
        <is>
          <t>1</t>
        </is>
      </c>
      <c r="O61" t="inlineStr">
        <is>
          <t>16</t>
        </is>
      </c>
      <c r="P61" t="inlineStr">
        <is>
          <t xml:space="preserve">250750  </t>
        </is>
      </c>
      <c r="Q61" s="26" t="n">
        <v>4.09</v>
      </c>
      <c r="R61" s="26">
        <f>Q61*G61</f>
        <v/>
      </c>
      <c r="S61" s="26">
        <f>IFERROR(VLOOKUP(E61*1,Tabla[#All],8,0),0)</f>
        <v/>
      </c>
      <c r="T61" s="26">
        <f>S61*G61</f>
        <v/>
      </c>
      <c r="U61" s="26">
        <f>R61-T61</f>
        <v/>
      </c>
      <c r="V61" s="26">
        <f>U61-L61</f>
        <v/>
      </c>
    </row>
    <row r="62">
      <c r="A62" s="11" t="n">
        <v>46204</v>
      </c>
      <c r="B62" s="1" t="n">
        <v>20073</v>
      </c>
      <c r="C62" s="1" t="inlineStr">
        <is>
          <t>022</t>
        </is>
      </c>
      <c r="D62" s="1" t="inlineStr">
        <is>
          <t>293568</t>
        </is>
      </c>
      <c r="E62" s="1" t="inlineStr">
        <is>
          <t xml:space="preserve">28194768       </t>
        </is>
      </c>
      <c r="F62" s="5" t="inlineStr">
        <is>
          <t>AUTO COLOR CHANGE TEAMSTERZ SURTIDO</t>
        </is>
      </c>
      <c r="G62" t="n">
        <v>1</v>
      </c>
      <c r="H62" s="7" t="n">
        <v>14.9</v>
      </c>
      <c r="I62" s="7" t="n">
        <v>0</v>
      </c>
      <c r="J62" s="7" t="n">
        <v>0</v>
      </c>
      <c r="K62" s="9" t="n">
        <v>0</v>
      </c>
      <c r="L62" s="10" t="n">
        <v>8.84</v>
      </c>
      <c r="M62" s="10" t="n">
        <v>1.43</v>
      </c>
      <c r="N62" t="inlineStr">
        <is>
          <t>1</t>
        </is>
      </c>
      <c r="O62" t="inlineStr">
        <is>
          <t>16</t>
        </is>
      </c>
      <c r="P62" t="inlineStr">
        <is>
          <t xml:space="preserve">102492  </t>
        </is>
      </c>
      <c r="Q62" s="26" t="n">
        <v>8.84</v>
      </c>
      <c r="R62" s="26">
        <f>Q62*G62</f>
        <v/>
      </c>
      <c r="S62" s="26">
        <f>IFERROR(VLOOKUP(E62*1,Tabla[#All],8,0),0)</f>
        <v/>
      </c>
      <c r="T62" s="26">
        <f>S62*G62</f>
        <v/>
      </c>
      <c r="U62" s="26">
        <f>R62-T62</f>
        <v/>
      </c>
      <c r="V62" s="26">
        <f>U62-L62</f>
        <v/>
      </c>
    </row>
    <row r="63">
      <c r="A63" s="11" t="n">
        <v>46204</v>
      </c>
      <c r="B63" s="1" t="n">
        <v>20073</v>
      </c>
      <c r="C63" s="1" t="inlineStr">
        <is>
          <t>022</t>
        </is>
      </c>
      <c r="D63" s="1" t="inlineStr">
        <is>
          <t>293568</t>
        </is>
      </c>
      <c r="E63" s="1" t="inlineStr">
        <is>
          <t xml:space="preserve">28194768       </t>
        </is>
      </c>
      <c r="F63" s="5" t="inlineStr">
        <is>
          <t>AUTO COLOR CHANGE TEAMSTERZ SURTIDO</t>
        </is>
      </c>
      <c r="G63" t="n">
        <v>1</v>
      </c>
      <c r="H63" s="7" t="n">
        <v>14.9</v>
      </c>
      <c r="I63" s="7" t="n">
        <v>0</v>
      </c>
      <c r="J63" s="7" t="n">
        <v>0</v>
      </c>
      <c r="K63" s="9" t="n">
        <v>0</v>
      </c>
      <c r="L63" s="10" t="n">
        <v>8.84</v>
      </c>
      <c r="M63" s="10" t="n">
        <v>1.43</v>
      </c>
      <c r="N63" t="inlineStr">
        <is>
          <t>1</t>
        </is>
      </c>
      <c r="O63" t="inlineStr">
        <is>
          <t>16</t>
        </is>
      </c>
      <c r="P63" t="inlineStr">
        <is>
          <t xml:space="preserve">102492  </t>
        </is>
      </c>
      <c r="Q63" s="26" t="n">
        <v>8.84</v>
      </c>
      <c r="R63" s="26">
        <f>Q63*G63</f>
        <v/>
      </c>
      <c r="S63" s="26">
        <f>IFERROR(VLOOKUP(E63*1,Tabla[#All],8,0),0)</f>
        <v/>
      </c>
      <c r="T63" s="26">
        <f>S63*G63</f>
        <v/>
      </c>
      <c r="U63" s="26">
        <f>R63-T63</f>
        <v/>
      </c>
      <c r="V63" s="26">
        <f>U63-L63</f>
        <v/>
      </c>
    </row>
    <row r="64">
      <c r="A64" s="11" t="n">
        <v>46204</v>
      </c>
      <c r="B64" s="1" t="n">
        <v>20073</v>
      </c>
      <c r="C64" s="1" t="inlineStr">
        <is>
          <t>022</t>
        </is>
      </c>
      <c r="D64" s="1" t="inlineStr">
        <is>
          <t>293616</t>
        </is>
      </c>
      <c r="E64" s="1" t="inlineStr">
        <is>
          <t xml:space="preserve">30141766       </t>
        </is>
      </c>
      <c r="F64" s="5" t="inlineStr">
        <is>
          <t>TMZ BEAST MACHINES AUTOS DE METAL BLISTER X 1</t>
        </is>
      </c>
      <c r="G64" t="n">
        <v>1</v>
      </c>
      <c r="H64" s="7" t="n">
        <v>7.9</v>
      </c>
      <c r="I64" s="7" t="n">
        <v>0</v>
      </c>
      <c r="J64" s="7" t="n">
        <v>0</v>
      </c>
      <c r="K64" s="9" t="n">
        <v>0</v>
      </c>
      <c r="L64" s="10" t="n">
        <v>4.68</v>
      </c>
      <c r="M64" s="10" t="n">
        <v>1.43</v>
      </c>
      <c r="N64" t="inlineStr">
        <is>
          <t>1</t>
        </is>
      </c>
      <c r="O64" t="inlineStr">
        <is>
          <t xml:space="preserve">2 </t>
        </is>
      </c>
      <c r="P64" t="inlineStr">
        <is>
          <t xml:space="preserve">102492  </t>
        </is>
      </c>
      <c r="Q64" s="26" t="n">
        <v>4.69</v>
      </c>
      <c r="R64" s="26">
        <f>Q64*G64</f>
        <v/>
      </c>
      <c r="S64" s="26">
        <f>IFERROR(VLOOKUP(E64*1,Tabla[#All],8,0),0)</f>
        <v/>
      </c>
      <c r="T64" s="26">
        <f>S64*G64</f>
        <v/>
      </c>
      <c r="U64" s="26">
        <f>R64-T64</f>
        <v/>
      </c>
      <c r="V64" s="26">
        <f>U64-L64</f>
        <v/>
      </c>
    </row>
    <row r="65">
      <c r="A65" s="11" t="n">
        <v>46204</v>
      </c>
      <c r="B65" s="1" t="n">
        <v>20073</v>
      </c>
      <c r="C65" s="1" t="inlineStr">
        <is>
          <t>037</t>
        </is>
      </c>
      <c r="D65" s="1" t="inlineStr">
        <is>
          <t>294812</t>
        </is>
      </c>
      <c r="E65" s="1" t="inlineStr">
        <is>
          <t xml:space="preserve">31675352       </t>
        </is>
      </c>
      <c r="F65" s="5" t="inlineStr">
        <is>
          <t>MI PEQUENO NENUCO</t>
        </is>
      </c>
      <c r="G65" t="n">
        <v>1</v>
      </c>
      <c r="H65" s="7" t="n">
        <v>69.90000000000001</v>
      </c>
      <c r="I65" s="7" t="n">
        <v>0</v>
      </c>
      <c r="J65" s="7" t="n">
        <v>0</v>
      </c>
      <c r="K65" s="9" t="n">
        <v>0</v>
      </c>
      <c r="L65" s="10" t="n">
        <v>41.47</v>
      </c>
      <c r="M65" s="10" t="n">
        <v>1.43</v>
      </c>
      <c r="N65" t="inlineStr">
        <is>
          <t>1</t>
        </is>
      </c>
      <c r="O65" t="inlineStr">
        <is>
          <t xml:space="preserve">2 </t>
        </is>
      </c>
      <c r="P65" t="inlineStr">
        <is>
          <t xml:space="preserve">13762   </t>
        </is>
      </c>
      <c r="Q65" s="26" t="n">
        <v>41.47</v>
      </c>
      <c r="R65" s="26">
        <f>Q65*G65</f>
        <v/>
      </c>
      <c r="S65" s="26">
        <f>IFERROR(VLOOKUP(E65*1,Tabla[#All],8,0),0)</f>
        <v/>
      </c>
      <c r="T65" s="26">
        <f>S65*G65</f>
        <v/>
      </c>
      <c r="U65" s="26">
        <f>R65-T65</f>
        <v/>
      </c>
      <c r="V65" s="26">
        <f>U65-L65</f>
        <v/>
      </c>
    </row>
    <row r="66">
      <c r="A66" s="11" t="n">
        <v>46204</v>
      </c>
      <c r="B66" s="1" t="n">
        <v>20074</v>
      </c>
      <c r="C66" s="1" t="inlineStr">
        <is>
          <t>015</t>
        </is>
      </c>
      <c r="D66" s="1" t="inlineStr">
        <is>
          <t>227049</t>
        </is>
      </c>
      <c r="E66" s="1" t="inlineStr">
        <is>
          <t xml:space="preserve">28194768       </t>
        </is>
      </c>
      <c r="F66" s="5" t="inlineStr">
        <is>
          <t>AUTO COLOR CHANGE TEAMSTERZ SURTIDO</t>
        </is>
      </c>
      <c r="G66" t="n">
        <v>1</v>
      </c>
      <c r="H66" s="7" t="n">
        <v>14.9</v>
      </c>
      <c r="I66" s="7" t="n">
        <v>0</v>
      </c>
      <c r="J66" s="7" t="n">
        <v>0</v>
      </c>
      <c r="K66" s="9" t="n">
        <v>0</v>
      </c>
      <c r="L66" s="10" t="n">
        <v>8.84</v>
      </c>
      <c r="M66" s="10" t="n">
        <v>1.43</v>
      </c>
      <c r="N66" t="inlineStr">
        <is>
          <t>1</t>
        </is>
      </c>
      <c r="O66" t="inlineStr">
        <is>
          <t xml:space="preserve">3 </t>
        </is>
      </c>
      <c r="P66" t="inlineStr">
        <is>
          <t xml:space="preserve">90017   </t>
        </is>
      </c>
      <c r="Q66" s="26" t="n">
        <v>8.84</v>
      </c>
      <c r="R66" s="26">
        <f>Q66*G66</f>
        <v/>
      </c>
      <c r="S66" s="26">
        <f>IFERROR(VLOOKUP(E66*1,Tabla[#All],8,0),0)</f>
        <v/>
      </c>
      <c r="T66" s="26">
        <f>S66*G66</f>
        <v/>
      </c>
      <c r="U66" s="26">
        <f>R66-T66</f>
        <v/>
      </c>
      <c r="V66" s="26">
        <f>U66-L66</f>
        <v/>
      </c>
    </row>
    <row r="67">
      <c r="A67" s="11" t="n">
        <v>46204</v>
      </c>
      <c r="B67" s="1" t="n">
        <v>20074</v>
      </c>
      <c r="C67" s="1" t="inlineStr">
        <is>
          <t>015</t>
        </is>
      </c>
      <c r="D67" s="1" t="inlineStr">
        <is>
          <t>227076</t>
        </is>
      </c>
      <c r="E67" s="1" t="inlineStr">
        <is>
          <t xml:space="preserve">28194770       </t>
        </is>
      </c>
      <c r="F67" s="5" t="inlineStr">
        <is>
          <t>AUTOS DE METAL 3 TEAMSTERZ EN BLISTER</t>
        </is>
      </c>
      <c r="G67" t="n">
        <v>1</v>
      </c>
      <c r="H67" s="7" t="n">
        <v>6.9</v>
      </c>
      <c r="I67" s="7" t="n">
        <v>0</v>
      </c>
      <c r="J67" s="7" t="n">
        <v>0</v>
      </c>
      <c r="K67" s="9" t="n">
        <v>0</v>
      </c>
      <c r="L67" s="10" t="n">
        <v>4.1</v>
      </c>
      <c r="M67" s="10" t="n">
        <v>1.43</v>
      </c>
      <c r="N67" t="inlineStr">
        <is>
          <t>1</t>
        </is>
      </c>
      <c r="O67" t="inlineStr">
        <is>
          <t xml:space="preserve">3 </t>
        </is>
      </c>
      <c r="P67" t="inlineStr">
        <is>
          <t xml:space="preserve">90017   </t>
        </is>
      </c>
      <c r="Q67" s="26" t="n">
        <v>4.09</v>
      </c>
      <c r="R67" s="26">
        <f>Q67*G67</f>
        <v/>
      </c>
      <c r="S67" s="26">
        <f>IFERROR(VLOOKUP(E67*1,Tabla[#All],8,0),0)</f>
        <v/>
      </c>
      <c r="T67" s="26">
        <f>S67*G67</f>
        <v/>
      </c>
      <c r="U67" s="26">
        <f>R67-T67</f>
        <v/>
      </c>
      <c r="V67" s="26">
        <f>U67-L67</f>
        <v/>
      </c>
    </row>
    <row r="68">
      <c r="A68" s="11" t="n">
        <v>46204</v>
      </c>
      <c r="B68" s="1" t="n">
        <v>20074</v>
      </c>
      <c r="C68" s="1" t="inlineStr">
        <is>
          <t>015</t>
        </is>
      </c>
      <c r="D68" s="1" t="inlineStr">
        <is>
          <t>227085</t>
        </is>
      </c>
      <c r="E68" s="1" t="inlineStr">
        <is>
          <t xml:space="preserve">32457106       </t>
        </is>
      </c>
      <c r="F68" s="5" t="inlineStr">
        <is>
          <t>TMZ BEAST MACHINES PLAYSET DESASTRE DRAGON + 1 AUT</t>
        </is>
      </c>
      <c r="G68" t="n">
        <v>1</v>
      </c>
      <c r="H68" s="7" t="n">
        <v>69.90000000000001</v>
      </c>
      <c r="I68" s="7" t="n">
        <v>20</v>
      </c>
      <c r="J68" s="7" t="n">
        <v>0</v>
      </c>
      <c r="K68" s="9" t="n">
        <v>20</v>
      </c>
      <c r="L68" s="10" t="n">
        <v>29.6</v>
      </c>
      <c r="M68" s="10" t="n">
        <v>1.43</v>
      </c>
      <c r="N68" t="inlineStr">
        <is>
          <t>1</t>
        </is>
      </c>
      <c r="O68" t="inlineStr">
        <is>
          <t xml:space="preserve">2 </t>
        </is>
      </c>
      <c r="P68" t="inlineStr">
        <is>
          <t xml:space="preserve">90017   </t>
        </is>
      </c>
      <c r="Q68" s="26" t="n">
        <v>41.47</v>
      </c>
      <c r="R68" s="26">
        <f>Q68*G68</f>
        <v/>
      </c>
      <c r="S68" s="26">
        <f>IFERROR(VLOOKUP(E68*1,Tabla[#All],8,0),0)</f>
        <v/>
      </c>
      <c r="T68" s="26">
        <f>S68*G68</f>
        <v/>
      </c>
      <c r="U68" s="26">
        <f>R68-T68</f>
        <v/>
      </c>
      <c r="V68" s="26">
        <f>U68-L68</f>
        <v/>
      </c>
    </row>
    <row r="69">
      <c r="A69" s="11" t="n">
        <v>46204</v>
      </c>
      <c r="B69" s="1" t="n">
        <v>20077</v>
      </c>
      <c r="C69" s="1" t="inlineStr">
        <is>
          <t>030</t>
        </is>
      </c>
      <c r="D69" s="1" t="inlineStr">
        <is>
          <t xml:space="preserve">39912 </t>
        </is>
      </c>
      <c r="E69" s="1" t="inlineStr">
        <is>
          <t xml:space="preserve">28194770       </t>
        </is>
      </c>
      <c r="F69" s="5" t="inlineStr">
        <is>
          <t>AUTOS DE METAL 3 TEAMSTERZ EN BLISTER</t>
        </is>
      </c>
      <c r="G69" t="n">
        <v>1</v>
      </c>
      <c r="H69" s="7" t="n">
        <v>6.9</v>
      </c>
      <c r="I69" s="7" t="n">
        <v>0</v>
      </c>
      <c r="J69" s="7" t="n">
        <v>0</v>
      </c>
      <c r="K69" s="9" t="n">
        <v>0</v>
      </c>
      <c r="L69" s="10" t="n">
        <v>4.1</v>
      </c>
      <c r="M69" s="10" t="n">
        <v>1.43</v>
      </c>
      <c r="N69" t="inlineStr">
        <is>
          <t>1</t>
        </is>
      </c>
      <c r="O69" t="inlineStr">
        <is>
          <t>16</t>
        </is>
      </c>
      <c r="P69" t="inlineStr">
        <is>
          <t xml:space="preserve">62762   </t>
        </is>
      </c>
      <c r="Q69" s="26" t="n">
        <v>4.09</v>
      </c>
      <c r="R69" s="26">
        <f>Q69*G69</f>
        <v/>
      </c>
      <c r="S69" s="26">
        <f>IFERROR(VLOOKUP(E69*1,Tabla[#All],8,0),0)</f>
        <v/>
      </c>
      <c r="T69" s="26">
        <f>S69*G69</f>
        <v/>
      </c>
      <c r="U69" s="26">
        <f>R69-T69</f>
        <v/>
      </c>
      <c r="V69" s="26">
        <f>U69-L69</f>
        <v/>
      </c>
    </row>
    <row r="70">
      <c r="A70" s="11" t="n">
        <v>46204</v>
      </c>
      <c r="B70" s="1" t="n">
        <v>20077</v>
      </c>
      <c r="C70" s="1" t="inlineStr">
        <is>
          <t>030</t>
        </is>
      </c>
      <c r="D70" s="1" t="inlineStr">
        <is>
          <t xml:space="preserve">39916 </t>
        </is>
      </c>
      <c r="E70" s="1" t="inlineStr">
        <is>
          <t xml:space="preserve">28194770       </t>
        </is>
      </c>
      <c r="F70" s="5" t="inlineStr">
        <is>
          <t>AUTOS DE METAL 3 TEAMSTERZ EN BLISTER</t>
        </is>
      </c>
      <c r="G70" t="n">
        <v>1</v>
      </c>
      <c r="H70" s="7" t="n">
        <v>6.9</v>
      </c>
      <c r="I70" s="7" t="n">
        <v>0</v>
      </c>
      <c r="J70" s="7" t="n">
        <v>0</v>
      </c>
      <c r="K70" s="9" t="n">
        <v>0</v>
      </c>
      <c r="L70" s="10" t="n">
        <v>4.1</v>
      </c>
      <c r="M70" s="10" t="n">
        <v>1.43</v>
      </c>
      <c r="N70" t="inlineStr">
        <is>
          <t>1</t>
        </is>
      </c>
      <c r="O70" t="inlineStr">
        <is>
          <t xml:space="preserve">2 </t>
        </is>
      </c>
      <c r="P70" t="inlineStr">
        <is>
          <t xml:space="preserve">62762   </t>
        </is>
      </c>
      <c r="Q70" s="26" t="n">
        <v>4.09</v>
      </c>
      <c r="R70" s="26">
        <f>Q70*G70</f>
        <v/>
      </c>
      <c r="S70" s="26">
        <f>IFERROR(VLOOKUP(E70*1,Tabla[#All],8,0),0)</f>
        <v/>
      </c>
      <c r="T70" s="26">
        <f>S70*G70</f>
        <v/>
      </c>
      <c r="U70" s="26">
        <f>R70-T70</f>
        <v/>
      </c>
      <c r="V70" s="26">
        <f>U70-L70</f>
        <v/>
      </c>
    </row>
    <row r="71">
      <c r="A71" s="11" t="n">
        <v>46204</v>
      </c>
      <c r="B71" s="1" t="n">
        <v>20077</v>
      </c>
      <c r="C71" s="1" t="inlineStr">
        <is>
          <t>039</t>
        </is>
      </c>
      <c r="D71" s="1" t="inlineStr">
        <is>
          <t>278447</t>
        </is>
      </c>
      <c r="E71" s="1" t="inlineStr">
        <is>
          <t xml:space="preserve">28194768       </t>
        </is>
      </c>
      <c r="F71" s="5" t="inlineStr">
        <is>
          <t>AUTO COLOR CHANGE TEAMSTERZ SURTIDO</t>
        </is>
      </c>
      <c r="G71" t="n">
        <v>1</v>
      </c>
      <c r="H71" s="7" t="n">
        <v>14.9</v>
      </c>
      <c r="I71" s="7" t="n">
        <v>0</v>
      </c>
      <c r="J71" s="7" t="n">
        <v>0</v>
      </c>
      <c r="K71" s="9" t="n">
        <v>0</v>
      </c>
      <c r="L71" s="10" t="n">
        <v>8.84</v>
      </c>
      <c r="M71" s="10" t="n">
        <v>1.43</v>
      </c>
      <c r="N71" t="inlineStr">
        <is>
          <t>1</t>
        </is>
      </c>
      <c r="O71" t="inlineStr">
        <is>
          <t xml:space="preserve">2 </t>
        </is>
      </c>
      <c r="P71" t="inlineStr">
        <is>
          <t xml:space="preserve">62621   </t>
        </is>
      </c>
      <c r="Q71" s="26" t="n">
        <v>8.84</v>
      </c>
      <c r="R71" s="26">
        <f>Q71*G71</f>
        <v/>
      </c>
      <c r="S71" s="26">
        <f>IFERROR(VLOOKUP(E71*1,Tabla[#All],8,0),0)</f>
        <v/>
      </c>
      <c r="T71" s="26">
        <f>S71*G71</f>
        <v/>
      </c>
      <c r="U71" s="26">
        <f>R71-T71</f>
        <v/>
      </c>
      <c r="V71" s="26">
        <f>U71-L71</f>
        <v/>
      </c>
    </row>
    <row r="72">
      <c r="A72" s="11" t="n">
        <v>46204</v>
      </c>
      <c r="B72" s="1" t="n">
        <v>20079</v>
      </c>
      <c r="C72" s="1" t="inlineStr">
        <is>
          <t>045</t>
        </is>
      </c>
      <c r="D72" s="1" t="inlineStr">
        <is>
          <t>331229</t>
        </is>
      </c>
      <c r="E72" s="1" t="inlineStr">
        <is>
          <t xml:space="preserve">28194770       </t>
        </is>
      </c>
      <c r="F72" s="5" t="inlineStr">
        <is>
          <t>AUTOS DE METAL 3 TEAMSTERZ EN BLISTER</t>
        </is>
      </c>
      <c r="G72" t="n">
        <v>1</v>
      </c>
      <c r="H72" s="7" t="n">
        <v>6.9</v>
      </c>
      <c r="I72" s="7" t="n">
        <v>0</v>
      </c>
      <c r="J72" s="7" t="n">
        <v>0</v>
      </c>
      <c r="K72" s="9" t="n">
        <v>0</v>
      </c>
      <c r="L72" s="10" t="n">
        <v>4.1</v>
      </c>
      <c r="M72" s="10" t="n">
        <v>1.43</v>
      </c>
      <c r="N72" t="inlineStr">
        <is>
          <t>1</t>
        </is>
      </c>
      <c r="O72" t="inlineStr">
        <is>
          <t>16</t>
        </is>
      </c>
      <c r="P72" t="inlineStr">
        <is>
          <t xml:space="preserve">41082   </t>
        </is>
      </c>
      <c r="Q72" s="26" t="n">
        <v>4.09</v>
      </c>
      <c r="R72" s="26">
        <f>Q72*G72</f>
        <v/>
      </c>
      <c r="S72" s="26">
        <f>IFERROR(VLOOKUP(E72*1,Tabla[#All],8,0),0)</f>
        <v/>
      </c>
      <c r="T72" s="26">
        <f>S72*G72</f>
        <v/>
      </c>
      <c r="U72" s="26">
        <f>R72-T72</f>
        <v/>
      </c>
      <c r="V72" s="26">
        <f>U72-L72</f>
        <v/>
      </c>
    </row>
    <row r="73">
      <c r="A73" s="11" t="n">
        <v>46204</v>
      </c>
      <c r="B73" s="1" t="n">
        <v>20079</v>
      </c>
      <c r="C73" s="1" t="inlineStr">
        <is>
          <t>045</t>
        </is>
      </c>
      <c r="D73" s="1" t="inlineStr">
        <is>
          <t>331229</t>
        </is>
      </c>
      <c r="E73" s="1" t="inlineStr">
        <is>
          <t xml:space="preserve">28194770       </t>
        </is>
      </c>
      <c r="F73" s="5" t="inlineStr">
        <is>
          <t>AUTOS DE METAL 3 TEAMSTERZ EN BLISTER</t>
        </is>
      </c>
      <c r="G73" t="n">
        <v>1</v>
      </c>
      <c r="H73" s="7" t="n">
        <v>6.9</v>
      </c>
      <c r="I73" s="7" t="n">
        <v>0</v>
      </c>
      <c r="J73" s="7" t="n">
        <v>0</v>
      </c>
      <c r="K73" s="9" t="n">
        <v>0</v>
      </c>
      <c r="L73" s="10" t="n">
        <v>4.1</v>
      </c>
      <c r="M73" s="10" t="n">
        <v>1.43</v>
      </c>
      <c r="N73" t="inlineStr">
        <is>
          <t>1</t>
        </is>
      </c>
      <c r="O73" t="inlineStr">
        <is>
          <t>16</t>
        </is>
      </c>
      <c r="P73" t="inlineStr">
        <is>
          <t xml:space="preserve">41082   </t>
        </is>
      </c>
      <c r="Q73" s="26" t="n">
        <v>4.09</v>
      </c>
      <c r="R73" s="26">
        <f>Q73*G73</f>
        <v/>
      </c>
      <c r="S73" s="26">
        <f>IFERROR(VLOOKUP(E73*1,Tabla[#All],8,0),0)</f>
        <v/>
      </c>
      <c r="T73" s="26">
        <f>S73*G73</f>
        <v/>
      </c>
      <c r="U73" s="26">
        <f>R73-T73</f>
        <v/>
      </c>
      <c r="V73" s="26">
        <f>U73-L73</f>
        <v/>
      </c>
    </row>
    <row r="74">
      <c r="A74" s="11" t="n">
        <v>46204</v>
      </c>
      <c r="B74" s="1" t="n">
        <v>20079</v>
      </c>
      <c r="C74" s="1" t="inlineStr">
        <is>
          <t>045</t>
        </is>
      </c>
      <c r="D74" s="1" t="inlineStr">
        <is>
          <t>331255</t>
        </is>
      </c>
      <c r="E74" s="1" t="inlineStr">
        <is>
          <t xml:space="preserve">32457099       </t>
        </is>
      </c>
      <c r="F74" s="5" t="inlineStr">
        <is>
          <t>TMZ BEAST MACHINES MONSTER JAWS A FRICCION BLISTER</t>
        </is>
      </c>
      <c r="G74" t="n">
        <v>1</v>
      </c>
      <c r="H74" s="7" t="n">
        <v>19.9</v>
      </c>
      <c r="I74" s="7" t="n">
        <v>0</v>
      </c>
      <c r="J74" s="7" t="n">
        <v>0</v>
      </c>
      <c r="K74" s="9" t="n">
        <v>0</v>
      </c>
      <c r="L74" s="10" t="n">
        <v>11.8</v>
      </c>
      <c r="M74" s="10" t="n">
        <v>1.43</v>
      </c>
      <c r="N74" t="inlineStr">
        <is>
          <t>1</t>
        </is>
      </c>
      <c r="O74" t="inlineStr">
        <is>
          <t xml:space="preserve">3 </t>
        </is>
      </c>
      <c r="P74" t="inlineStr">
        <is>
          <t xml:space="preserve">41082   </t>
        </is>
      </c>
      <c r="Q74" s="26" t="n">
        <v>11.81</v>
      </c>
      <c r="R74" s="26">
        <f>Q74*G74</f>
        <v/>
      </c>
      <c r="S74" s="26">
        <f>IFERROR(VLOOKUP(E74*1,Tabla[#All],8,0),0)</f>
        <v/>
      </c>
      <c r="T74" s="26">
        <f>S74*G74</f>
        <v/>
      </c>
      <c r="U74" s="26">
        <f>R74-T74</f>
        <v/>
      </c>
      <c r="V74" s="26">
        <f>U74-L74</f>
        <v/>
      </c>
    </row>
    <row r="75">
      <c r="A75" s="11" t="n">
        <v>46204</v>
      </c>
      <c r="B75" s="1" t="n">
        <v>20079</v>
      </c>
      <c r="C75" s="1" t="inlineStr">
        <is>
          <t>045</t>
        </is>
      </c>
      <c r="D75" s="1" t="inlineStr">
        <is>
          <t>331275</t>
        </is>
      </c>
      <c r="E75" s="1" t="inlineStr">
        <is>
          <t xml:space="preserve">32457099       </t>
        </is>
      </c>
      <c r="F75" s="5" t="inlineStr">
        <is>
          <t>TMZ BEAST MACHINES MONSTER JAWS A FRICCION BLISTER</t>
        </is>
      </c>
      <c r="G75" t="n">
        <v>1</v>
      </c>
      <c r="H75" s="7" t="n">
        <v>19.9</v>
      </c>
      <c r="I75" s="7" t="n">
        <v>0</v>
      </c>
      <c r="J75" s="7" t="n">
        <v>0</v>
      </c>
      <c r="K75" s="9" t="n">
        <v>0</v>
      </c>
      <c r="L75" s="10" t="n">
        <v>11.8</v>
      </c>
      <c r="M75" s="10" t="n">
        <v>1.43</v>
      </c>
      <c r="N75" t="inlineStr">
        <is>
          <t>1</t>
        </is>
      </c>
      <c r="O75" t="inlineStr">
        <is>
          <t>16</t>
        </is>
      </c>
      <c r="P75" t="inlineStr">
        <is>
          <t xml:space="preserve">41082   </t>
        </is>
      </c>
      <c r="Q75" s="26" t="n">
        <v>11.81</v>
      </c>
      <c r="R75" s="26">
        <f>Q75*G75</f>
        <v/>
      </c>
      <c r="S75" s="26">
        <f>IFERROR(VLOOKUP(E75*1,Tabla[#All],8,0),0)</f>
        <v/>
      </c>
      <c r="T75" s="26">
        <f>S75*G75</f>
        <v/>
      </c>
      <c r="U75" s="26">
        <f>R75-T75</f>
        <v/>
      </c>
      <c r="V75" s="26">
        <f>U75-L75</f>
        <v/>
      </c>
    </row>
    <row r="76">
      <c r="A76" s="11" t="n">
        <v>46204</v>
      </c>
      <c r="B76" s="1" t="n">
        <v>20080</v>
      </c>
      <c r="C76" s="1" t="inlineStr">
        <is>
          <t>026</t>
        </is>
      </c>
      <c r="D76" s="1" t="inlineStr">
        <is>
          <t>208465</t>
        </is>
      </c>
      <c r="E76" s="1" t="inlineStr">
        <is>
          <t xml:space="preserve">32457099       </t>
        </is>
      </c>
      <c r="F76" s="5" t="inlineStr">
        <is>
          <t>TMZ BEAST MACHINES MONSTER JAWS A FRICCION BLISTER</t>
        </is>
      </c>
      <c r="G76" t="n">
        <v>1</v>
      </c>
      <c r="H76" s="7" t="n">
        <v>19.9</v>
      </c>
      <c r="I76" s="7" t="n">
        <v>0</v>
      </c>
      <c r="J76" s="7" t="n">
        <v>0</v>
      </c>
      <c r="K76" s="9" t="n">
        <v>0</v>
      </c>
      <c r="L76" s="10" t="n">
        <v>11.8</v>
      </c>
      <c r="M76" s="10" t="n">
        <v>1.43</v>
      </c>
      <c r="N76" t="inlineStr">
        <is>
          <t>1</t>
        </is>
      </c>
      <c r="O76" t="inlineStr">
        <is>
          <t xml:space="preserve">3 </t>
        </is>
      </c>
      <c r="P76" t="inlineStr">
        <is>
          <t xml:space="preserve">247625  </t>
        </is>
      </c>
      <c r="Q76" s="26" t="n">
        <v>11.81</v>
      </c>
      <c r="R76" s="26">
        <f>Q76*G76</f>
        <v/>
      </c>
      <c r="S76" s="26">
        <f>IFERROR(VLOOKUP(E76*1,Tabla[#All],8,0),0)</f>
        <v/>
      </c>
      <c r="T76" s="26">
        <f>S76*G76</f>
        <v/>
      </c>
      <c r="U76" s="26">
        <f>R76-T76</f>
        <v/>
      </c>
      <c r="V76" s="26">
        <f>U76-L76</f>
        <v/>
      </c>
    </row>
    <row r="77">
      <c r="A77" s="11" t="n">
        <v>46204</v>
      </c>
      <c r="B77" s="1" t="n">
        <v>20080</v>
      </c>
      <c r="C77" s="1" t="inlineStr">
        <is>
          <t>029</t>
        </is>
      </c>
      <c r="D77" s="1" t="inlineStr">
        <is>
          <t>224422</t>
        </is>
      </c>
      <c r="E77" s="1" t="inlineStr">
        <is>
          <t xml:space="preserve">28194783       </t>
        </is>
      </c>
      <c r="F77" s="5" t="inlineStr">
        <is>
          <t>SET DE BATALLA INFINITY NADO CON 2 TROMPOS</t>
        </is>
      </c>
      <c r="G77" t="n">
        <v>1</v>
      </c>
      <c r="H77" s="7" t="n">
        <v>159</v>
      </c>
      <c r="I77" s="7" t="n">
        <v>20</v>
      </c>
      <c r="J77" s="7" t="n">
        <v>0</v>
      </c>
      <c r="K77" s="9" t="n">
        <v>20</v>
      </c>
      <c r="L77" s="10" t="n">
        <v>82.45999999999999</v>
      </c>
      <c r="M77" s="10" t="n">
        <v>1.43</v>
      </c>
      <c r="N77" t="inlineStr">
        <is>
          <t>1</t>
        </is>
      </c>
      <c r="O77" t="inlineStr">
        <is>
          <t>16</t>
        </is>
      </c>
      <c r="P77" t="inlineStr">
        <is>
          <t xml:space="preserve">79951   </t>
        </is>
      </c>
      <c r="Q77" s="26" t="n">
        <v>94.31999999999999</v>
      </c>
      <c r="R77" s="26">
        <f>Q77*G77</f>
        <v/>
      </c>
      <c r="S77" s="26">
        <f>IFERROR(VLOOKUP(E77*1,Tabla[#All],8,0),0)</f>
        <v/>
      </c>
      <c r="T77" s="26">
        <f>S77*G77</f>
        <v/>
      </c>
      <c r="U77" s="26">
        <f>R77-T77</f>
        <v/>
      </c>
      <c r="V77" s="26">
        <f>U77-L77</f>
        <v/>
      </c>
    </row>
    <row r="78">
      <c r="A78" s="11" t="n">
        <v>46204</v>
      </c>
      <c r="B78" s="1" t="n">
        <v>20088</v>
      </c>
      <c r="C78" s="1" t="inlineStr">
        <is>
          <t>019</t>
        </is>
      </c>
      <c r="D78" s="1" t="inlineStr">
        <is>
          <t xml:space="preserve">8857  </t>
        </is>
      </c>
      <c r="E78" s="1" t="inlineStr">
        <is>
          <t xml:space="preserve">32457099       </t>
        </is>
      </c>
      <c r="F78" s="5" t="inlineStr">
        <is>
          <t>TMZ BEAST MACHINES MONSTER JAWS A FRICCION BLISTER</t>
        </is>
      </c>
      <c r="G78" t="n">
        <v>1</v>
      </c>
      <c r="H78" s="7" t="n">
        <v>17.9</v>
      </c>
      <c r="I78" s="7" t="n">
        <v>0</v>
      </c>
      <c r="J78" s="7" t="n">
        <v>0</v>
      </c>
      <c r="K78" s="9" t="n">
        <v>0</v>
      </c>
      <c r="L78" s="10" t="n">
        <v>10.62</v>
      </c>
      <c r="M78" s="10" t="n">
        <v>1.43</v>
      </c>
      <c r="N78" t="inlineStr">
        <is>
          <t>1</t>
        </is>
      </c>
      <c r="O78" t="inlineStr">
        <is>
          <t xml:space="preserve">2 </t>
        </is>
      </c>
      <c r="P78" t="inlineStr">
        <is>
          <t xml:space="preserve">235264  </t>
        </is>
      </c>
      <c r="Q78" s="26" t="n">
        <v>11.81</v>
      </c>
      <c r="R78" s="26">
        <f>Q78*G78</f>
        <v/>
      </c>
      <c r="S78" s="26">
        <f>IFERROR(VLOOKUP(E78*1,Tabla[#All],8,0),0)</f>
        <v/>
      </c>
      <c r="T78" s="26">
        <f>S78*G78</f>
        <v/>
      </c>
      <c r="U78" s="26">
        <f>R78-T78</f>
        <v/>
      </c>
      <c r="V78" s="26">
        <f>U78-L78</f>
        <v/>
      </c>
    </row>
    <row r="79">
      <c r="A79" s="11" t="n">
        <v>46204</v>
      </c>
      <c r="B79" s="1" t="n">
        <v>20088</v>
      </c>
      <c r="C79" s="1" t="inlineStr">
        <is>
          <t>802</t>
        </is>
      </c>
      <c r="D79" s="1" t="inlineStr">
        <is>
          <t xml:space="preserve">7620  </t>
        </is>
      </c>
      <c r="E79" s="1" t="inlineStr">
        <is>
          <t xml:space="preserve">31675354       </t>
        </is>
      </c>
      <c r="F79" s="5" t="inlineStr">
        <is>
          <t>NENUCO LLORON CON ACCESORIOS</t>
        </is>
      </c>
      <c r="G79" t="n">
        <v>1</v>
      </c>
      <c r="H79" s="7" t="n">
        <v>89.90000000000001</v>
      </c>
      <c r="I79" s="7" t="n">
        <v>0</v>
      </c>
      <c r="J79" s="7" t="n">
        <v>0</v>
      </c>
      <c r="K79" s="9" t="n">
        <v>0</v>
      </c>
      <c r="L79" s="10" t="n">
        <v>53.33</v>
      </c>
      <c r="M79" s="10" t="n">
        <v>1.43</v>
      </c>
      <c r="N79" t="inlineStr">
        <is>
          <t>1</t>
        </is>
      </c>
      <c r="O79" t="inlineStr">
        <is>
          <t>16</t>
        </is>
      </c>
      <c r="P79" t="inlineStr">
        <is>
          <t xml:space="preserve">0       </t>
        </is>
      </c>
      <c r="Q79" s="26" t="n">
        <v>53.33</v>
      </c>
      <c r="R79" s="26">
        <f>Q79*G79</f>
        <v/>
      </c>
      <c r="S79" s="26">
        <f>IFERROR(VLOOKUP(E79*1,Tabla[#All],8,0),0)</f>
        <v/>
      </c>
      <c r="T79" s="26">
        <f>S79*G79</f>
        <v/>
      </c>
      <c r="U79" s="26">
        <f>R79-T79</f>
        <v/>
      </c>
      <c r="V79" s="26">
        <f>U79-L79</f>
        <v/>
      </c>
    </row>
    <row r="80">
      <c r="A80" s="11" t="n">
        <v>46204</v>
      </c>
      <c r="B80" s="1" t="n">
        <v>20089</v>
      </c>
      <c r="C80" s="1" t="inlineStr">
        <is>
          <t>026</t>
        </is>
      </c>
      <c r="D80" s="1" t="inlineStr">
        <is>
          <t xml:space="preserve">87097 </t>
        </is>
      </c>
      <c r="E80" s="1" t="inlineStr">
        <is>
          <t xml:space="preserve">28194769       </t>
        </is>
      </c>
      <c r="F80" s="5" t="inlineStr">
        <is>
          <t>AUTOS DE METAL 3 TEAMSTERZ PACK DE 2</t>
        </is>
      </c>
      <c r="G80" t="n">
        <v>1</v>
      </c>
      <c r="H80" s="7" t="n">
        <v>13.8</v>
      </c>
      <c r="I80" s="7" t="n">
        <v>0</v>
      </c>
      <c r="J80" s="7" t="n">
        <v>0</v>
      </c>
      <c r="K80" s="9" t="n">
        <v>0</v>
      </c>
      <c r="L80" s="10" t="n">
        <v>8.18</v>
      </c>
      <c r="M80" s="10" t="n">
        <v>1.43</v>
      </c>
      <c r="N80" t="inlineStr">
        <is>
          <t>1</t>
        </is>
      </c>
      <c r="O80" t="inlineStr">
        <is>
          <t>16</t>
        </is>
      </c>
      <c r="P80" t="inlineStr">
        <is>
          <t xml:space="preserve">109709  </t>
        </is>
      </c>
      <c r="Q80" s="26" t="n">
        <v>8.19</v>
      </c>
      <c r="R80" s="26">
        <f>Q80*G80</f>
        <v/>
      </c>
      <c r="S80" s="26">
        <f>IFERROR(VLOOKUP(E80*1,Tabla[#All],8,0),0)</f>
        <v/>
      </c>
      <c r="T80" s="26">
        <f>S80*G80</f>
        <v/>
      </c>
      <c r="U80" s="26">
        <f>R80-T80</f>
        <v/>
      </c>
      <c r="V80" s="26">
        <f>U80-L80</f>
        <v/>
      </c>
    </row>
    <row r="81">
      <c r="A81" s="11" t="n">
        <v>46204</v>
      </c>
      <c r="B81" s="1" t="n">
        <v>20089</v>
      </c>
      <c r="C81" s="1" t="inlineStr">
        <is>
          <t>026</t>
        </is>
      </c>
      <c r="D81" s="1" t="inlineStr">
        <is>
          <t xml:space="preserve">87100 </t>
        </is>
      </c>
      <c r="E81" s="1" t="inlineStr">
        <is>
          <t xml:space="preserve">32457099       </t>
        </is>
      </c>
      <c r="F81" s="5" t="inlineStr">
        <is>
          <t>TMZ BEAST MACHINES MONSTER JAWS A FRICCION BLISTER</t>
        </is>
      </c>
      <c r="G81" t="n">
        <v>1</v>
      </c>
      <c r="H81" s="7" t="n">
        <v>19.9</v>
      </c>
      <c r="I81" s="7" t="n">
        <v>0</v>
      </c>
      <c r="J81" s="7" t="n">
        <v>0</v>
      </c>
      <c r="K81" s="9" t="n">
        <v>0</v>
      </c>
      <c r="L81" s="10" t="n">
        <v>11.8</v>
      </c>
      <c r="M81" s="10" t="n">
        <v>1.43</v>
      </c>
      <c r="N81" t="inlineStr">
        <is>
          <t>1</t>
        </is>
      </c>
      <c r="O81" t="inlineStr">
        <is>
          <t>16</t>
        </is>
      </c>
      <c r="P81" t="inlineStr">
        <is>
          <t xml:space="preserve">109709  </t>
        </is>
      </c>
      <c r="Q81" s="26" t="n">
        <v>11.81</v>
      </c>
      <c r="R81" s="26">
        <f>Q81*G81</f>
        <v/>
      </c>
      <c r="S81" s="26">
        <f>IFERROR(VLOOKUP(E81*1,Tabla[#All],8,0),0)</f>
        <v/>
      </c>
      <c r="T81" s="26">
        <f>S81*G81</f>
        <v/>
      </c>
      <c r="U81" s="26">
        <f>R81-T81</f>
        <v/>
      </c>
      <c r="V81" s="26">
        <f>U81-L81</f>
        <v/>
      </c>
    </row>
    <row r="82">
      <c r="A82" s="11" t="n">
        <v>46204</v>
      </c>
      <c r="B82" s="1" t="n">
        <v>20089</v>
      </c>
      <c r="C82" s="1" t="inlineStr">
        <is>
          <t>029</t>
        </is>
      </c>
      <c r="D82" s="1" t="inlineStr">
        <is>
          <t xml:space="preserve">2804  </t>
        </is>
      </c>
      <c r="E82" s="1" t="inlineStr">
        <is>
          <t xml:space="preserve">34840553       </t>
        </is>
      </c>
      <c r="F82" s="5" t="inlineStr">
        <is>
          <t>TMZ AUTO LUZ Y SONIDO ESQUELET DINO T-REX</t>
        </is>
      </c>
      <c r="G82" t="n">
        <v>1</v>
      </c>
      <c r="H82" s="7" t="n">
        <v>79.90000000000001</v>
      </c>
      <c r="I82" s="7" t="n">
        <v>0</v>
      </c>
      <c r="J82" s="7" t="n">
        <v>0</v>
      </c>
      <c r="K82" s="9" t="n">
        <v>0</v>
      </c>
      <c r="L82" s="10" t="n">
        <v>47.4</v>
      </c>
      <c r="M82" s="10" t="n">
        <v>1.43</v>
      </c>
      <c r="N82" t="inlineStr">
        <is>
          <t>1</t>
        </is>
      </c>
      <c r="O82" t="inlineStr">
        <is>
          <t>16</t>
        </is>
      </c>
      <c r="P82" t="inlineStr">
        <is>
          <t xml:space="preserve">250455  </t>
        </is>
      </c>
      <c r="Q82" s="26" t="n">
        <v>47.4</v>
      </c>
      <c r="R82" s="26">
        <f>Q82*G82</f>
        <v/>
      </c>
      <c r="S82" s="26">
        <f>IFERROR(VLOOKUP(E82*1,Tabla[#All],8,0),0)</f>
        <v/>
      </c>
      <c r="T82" s="26">
        <f>S82*G82</f>
        <v/>
      </c>
      <c r="U82" s="26">
        <f>R82-T82</f>
        <v/>
      </c>
      <c r="V82" s="26">
        <f>U82-L82</f>
        <v/>
      </c>
    </row>
    <row r="83">
      <c r="A83" s="11" t="n">
        <v>46204</v>
      </c>
      <c r="B83" s="1" t="n">
        <v>20089</v>
      </c>
      <c r="C83" s="1" t="inlineStr">
        <is>
          <t>860</t>
        </is>
      </c>
      <c r="D83" s="1" t="inlineStr">
        <is>
          <t xml:space="preserve">9255  </t>
        </is>
      </c>
      <c r="E83" s="1" t="inlineStr">
        <is>
          <t xml:space="preserve">28194770       </t>
        </is>
      </c>
      <c r="F83" s="5" t="inlineStr">
        <is>
          <t>AUTOS DE METAL 3 TEAMSTERZ EN BLISTER</t>
        </is>
      </c>
      <c r="G83" t="n">
        <v>1</v>
      </c>
      <c r="H83" s="7" t="n">
        <v>6.9</v>
      </c>
      <c r="I83" s="7" t="n">
        <v>0</v>
      </c>
      <c r="J83" s="7" t="n">
        <v>0</v>
      </c>
      <c r="K83" s="9" t="n">
        <v>0</v>
      </c>
      <c r="L83" s="10" t="n">
        <v>4.1</v>
      </c>
      <c r="M83" s="10" t="n">
        <v>1.43</v>
      </c>
      <c r="N83" t="inlineStr">
        <is>
          <t>1</t>
        </is>
      </c>
      <c r="O83" t="inlineStr">
        <is>
          <t>16</t>
        </is>
      </c>
      <c r="P83" t="inlineStr">
        <is>
          <t xml:space="preserve">0       </t>
        </is>
      </c>
      <c r="Q83" s="26" t="n">
        <v>4.09</v>
      </c>
      <c r="R83" s="26">
        <f>Q83*G83</f>
        <v/>
      </c>
      <c r="S83" s="26">
        <f>IFERROR(VLOOKUP(E83*1,Tabla[#All],8,0),0)</f>
        <v/>
      </c>
      <c r="T83" s="26">
        <f>S83*G83</f>
        <v/>
      </c>
      <c r="U83" s="26">
        <f>R83-T83</f>
        <v/>
      </c>
      <c r="V83" s="26">
        <f>U83-L83</f>
        <v/>
      </c>
    </row>
    <row r="84">
      <c r="A84" s="11" t="n">
        <v>46204</v>
      </c>
      <c r="B84" s="1" t="n">
        <v>20089</v>
      </c>
      <c r="C84" s="1" t="inlineStr">
        <is>
          <t>862</t>
        </is>
      </c>
      <c r="D84" s="1" t="inlineStr">
        <is>
          <t xml:space="preserve">8108  </t>
        </is>
      </c>
      <c r="E84" s="1" t="inlineStr">
        <is>
          <t xml:space="preserve">28194769       </t>
        </is>
      </c>
      <c r="F84" s="5" t="inlineStr">
        <is>
          <t>AUTOS DE METAL 3 TEAMSTERZ PACK DE 2</t>
        </is>
      </c>
      <c r="G84" t="n">
        <v>1</v>
      </c>
      <c r="H84" s="7" t="n">
        <v>13.8</v>
      </c>
      <c r="I84" s="7" t="n">
        <v>0</v>
      </c>
      <c r="J84" s="7" t="n">
        <v>0</v>
      </c>
      <c r="K84" s="9" t="n">
        <v>0</v>
      </c>
      <c r="L84" s="10" t="n">
        <v>8.18</v>
      </c>
      <c r="M84" s="10" t="n">
        <v>1.43</v>
      </c>
      <c r="N84" t="inlineStr">
        <is>
          <t>1</t>
        </is>
      </c>
      <c r="O84" t="inlineStr">
        <is>
          <t>16</t>
        </is>
      </c>
      <c r="P84" t="inlineStr">
        <is>
          <t xml:space="preserve">0       </t>
        </is>
      </c>
      <c r="Q84" s="26" t="n">
        <v>8.19</v>
      </c>
      <c r="R84" s="26">
        <f>Q84*G84</f>
        <v/>
      </c>
      <c r="S84" s="26">
        <f>IFERROR(VLOOKUP(E84*1,Tabla[#All],8,0),0)</f>
        <v/>
      </c>
      <c r="T84" s="26">
        <f>S84*G84</f>
        <v/>
      </c>
      <c r="U84" s="26">
        <f>R84-T84</f>
        <v/>
      </c>
      <c r="V84" s="26">
        <f>U84-L84</f>
        <v/>
      </c>
    </row>
    <row r="85">
      <c r="A85" s="11" t="n">
        <v>46204</v>
      </c>
      <c r="B85" s="1" t="n">
        <v>20095</v>
      </c>
      <c r="C85" s="1" t="inlineStr">
        <is>
          <t>016</t>
        </is>
      </c>
      <c r="D85" s="1" t="inlineStr">
        <is>
          <t xml:space="preserve">39114 </t>
        </is>
      </c>
      <c r="E85" s="1" t="inlineStr">
        <is>
          <t xml:space="preserve">29235700       </t>
        </is>
      </c>
      <c r="F85" s="5" t="inlineStr">
        <is>
          <t>HOT WHEELS CASE METALICO PARA GUARDAR 18 CARRITOS</t>
        </is>
      </c>
      <c r="G85" t="n">
        <v>1</v>
      </c>
      <c r="H85" s="7" t="n">
        <v>49.9</v>
      </c>
      <c r="I85" s="7" t="n">
        <v>0</v>
      </c>
      <c r="J85" s="7" t="n">
        <v>0</v>
      </c>
      <c r="K85" s="9" t="n">
        <v>0</v>
      </c>
      <c r="L85" s="10" t="n">
        <v>29.6</v>
      </c>
      <c r="M85" s="10" t="n">
        <v>1.43</v>
      </c>
      <c r="N85" t="inlineStr">
        <is>
          <t>1</t>
        </is>
      </c>
      <c r="O85" t="inlineStr">
        <is>
          <t>16</t>
        </is>
      </c>
      <c r="P85" t="inlineStr">
        <is>
          <t xml:space="preserve">246365  </t>
        </is>
      </c>
      <c r="Q85" s="26" t="n">
        <v>29.6</v>
      </c>
      <c r="R85" s="26">
        <f>Q85*G85</f>
        <v/>
      </c>
      <c r="S85" s="26">
        <f>IFERROR(VLOOKUP(E85*1,Tabla[#All],8,0),0)</f>
        <v/>
      </c>
      <c r="T85" s="26">
        <f>S85*G85</f>
        <v/>
      </c>
      <c r="U85" s="26">
        <f>R85-T85</f>
        <v/>
      </c>
      <c r="V85" s="26">
        <f>U85-L85</f>
        <v/>
      </c>
    </row>
    <row r="86">
      <c r="A86" s="11" t="n">
        <v>46204</v>
      </c>
      <c r="B86" s="1" t="n">
        <v>20095</v>
      </c>
      <c r="C86" s="1" t="inlineStr">
        <is>
          <t>016</t>
        </is>
      </c>
      <c r="D86" s="1" t="inlineStr">
        <is>
          <t xml:space="preserve">39114 </t>
        </is>
      </c>
      <c r="E86" s="1" t="inlineStr">
        <is>
          <t xml:space="preserve">29854051       </t>
        </is>
      </c>
      <c r="F86" s="5" t="inlineStr">
        <is>
          <t>TEAMSTERZ AUTO DE METAL PACK 10 AUTOS</t>
        </is>
      </c>
      <c r="G86" t="n">
        <v>1</v>
      </c>
      <c r="H86" s="7" t="n">
        <v>69</v>
      </c>
      <c r="I86" s="7" t="n">
        <v>0</v>
      </c>
      <c r="J86" s="7" t="n">
        <v>0</v>
      </c>
      <c r="K86" s="9" t="n">
        <v>0</v>
      </c>
      <c r="L86" s="10" t="n">
        <v>40.93</v>
      </c>
      <c r="M86" s="10" t="n">
        <v>1.43</v>
      </c>
      <c r="N86" t="inlineStr">
        <is>
          <t>1</t>
        </is>
      </c>
      <c r="O86" t="inlineStr">
        <is>
          <t>16</t>
        </is>
      </c>
      <c r="P86" t="inlineStr">
        <is>
          <t xml:space="preserve">246365  </t>
        </is>
      </c>
      <c r="Q86" s="26" t="n">
        <v>40.93</v>
      </c>
      <c r="R86" s="26">
        <f>Q86*G86</f>
        <v/>
      </c>
      <c r="S86" s="26">
        <f>IFERROR(VLOOKUP(E86*1,Tabla[#All],8,0),0)</f>
        <v/>
      </c>
      <c r="T86" s="26">
        <f>S86*G86</f>
        <v/>
      </c>
      <c r="U86" s="26">
        <f>R86-T86</f>
        <v/>
      </c>
      <c r="V86" s="26">
        <f>U86-L86</f>
        <v/>
      </c>
    </row>
    <row r="87">
      <c r="A87" s="11" t="n">
        <v>46204</v>
      </c>
      <c r="B87" s="1" t="n">
        <v>20095</v>
      </c>
      <c r="C87" s="1" t="inlineStr">
        <is>
          <t>016</t>
        </is>
      </c>
      <c r="D87" s="1" t="inlineStr">
        <is>
          <t xml:space="preserve">39114 </t>
        </is>
      </c>
      <c r="E87" s="1" t="inlineStr">
        <is>
          <t xml:space="preserve">32457111       </t>
        </is>
      </c>
      <c r="F87" s="5" t="inlineStr">
        <is>
          <t>TMZ BEAST MACHINES MONSTER JAWS A FRICCION PACK DE</t>
        </is>
      </c>
      <c r="G87" t="n">
        <v>1</v>
      </c>
      <c r="H87" s="7" t="n">
        <v>74.90000000000001</v>
      </c>
      <c r="I87" s="7" t="n">
        <v>0</v>
      </c>
      <c r="J87" s="7" t="n">
        <v>0</v>
      </c>
      <c r="K87" s="9" t="n">
        <v>0</v>
      </c>
      <c r="L87" s="10" t="n">
        <v>44.43</v>
      </c>
      <c r="M87" s="10" t="n">
        <v>1.43</v>
      </c>
      <c r="N87" t="inlineStr">
        <is>
          <t>1</t>
        </is>
      </c>
      <c r="O87" t="inlineStr">
        <is>
          <t>16</t>
        </is>
      </c>
      <c r="P87" t="inlineStr">
        <is>
          <t xml:space="preserve">246365  </t>
        </is>
      </c>
      <c r="Q87" s="26" t="n">
        <v>44.43</v>
      </c>
      <c r="R87" s="26">
        <f>Q87*G87</f>
        <v/>
      </c>
      <c r="S87" s="26">
        <f>IFERROR(VLOOKUP(E87*1,Tabla[#All],8,0),0)</f>
        <v/>
      </c>
      <c r="T87" s="26">
        <f>S87*G87</f>
        <v/>
      </c>
      <c r="U87" s="26">
        <f>R87-T87</f>
        <v/>
      </c>
      <c r="V87" s="26">
        <f>U87-L87</f>
        <v/>
      </c>
    </row>
    <row r="88">
      <c r="A88" s="11" t="n">
        <v>46204</v>
      </c>
      <c r="B88" s="1" t="n">
        <v>20095</v>
      </c>
      <c r="C88" s="1" t="inlineStr">
        <is>
          <t>043</t>
        </is>
      </c>
      <c r="D88" s="1" t="inlineStr">
        <is>
          <t>107167</t>
        </is>
      </c>
      <c r="E88" s="1" t="inlineStr">
        <is>
          <t xml:space="preserve">28194769       </t>
        </is>
      </c>
      <c r="F88" s="5" t="inlineStr">
        <is>
          <t>AUTOS DE METAL 3 TEAMSTERZ PACK DE 2</t>
        </is>
      </c>
      <c r="G88" t="n">
        <v>1</v>
      </c>
      <c r="H88" s="7" t="n">
        <v>13.8</v>
      </c>
      <c r="I88" s="7" t="n">
        <v>0</v>
      </c>
      <c r="J88" s="7" t="n">
        <v>0</v>
      </c>
      <c r="K88" s="9" t="n">
        <v>0</v>
      </c>
      <c r="L88" s="10" t="n">
        <v>8.18</v>
      </c>
      <c r="M88" s="10" t="n">
        <v>1.43</v>
      </c>
      <c r="N88" t="inlineStr">
        <is>
          <t>1</t>
        </is>
      </c>
      <c r="O88" t="inlineStr">
        <is>
          <t>16</t>
        </is>
      </c>
      <c r="P88" t="inlineStr">
        <is>
          <t xml:space="preserve">57461   </t>
        </is>
      </c>
      <c r="Q88" s="26" t="n">
        <v>8.19</v>
      </c>
      <c r="R88" s="26">
        <f>Q88*G88</f>
        <v/>
      </c>
      <c r="S88" s="26">
        <f>IFERROR(VLOOKUP(E88*1,Tabla[#All],8,0),0)</f>
        <v/>
      </c>
      <c r="T88" s="26">
        <f>S88*G88</f>
        <v/>
      </c>
      <c r="U88" s="26">
        <f>R88-T88</f>
        <v/>
      </c>
      <c r="V88" s="26">
        <f>U88-L88</f>
        <v/>
      </c>
    </row>
    <row r="89">
      <c r="A89" s="11" t="n">
        <v>46204</v>
      </c>
      <c r="B89" s="1" t="n">
        <v>20095</v>
      </c>
      <c r="C89" s="1" t="inlineStr">
        <is>
          <t>043</t>
        </is>
      </c>
      <c r="D89" s="1" t="inlineStr">
        <is>
          <t>107186</t>
        </is>
      </c>
      <c r="E89" s="1" t="inlineStr">
        <is>
          <t xml:space="preserve">28194770       </t>
        </is>
      </c>
      <c r="F89" s="5" t="inlineStr">
        <is>
          <t>AUTOS DE METAL 3 TEAMSTERZ EN BLISTER</t>
        </is>
      </c>
      <c r="G89" t="n">
        <v>1</v>
      </c>
      <c r="H89" s="7" t="n">
        <v>6.9</v>
      </c>
      <c r="I89" s="7" t="n">
        <v>0</v>
      </c>
      <c r="J89" s="7" t="n">
        <v>0</v>
      </c>
      <c r="K89" s="9" t="n">
        <v>0</v>
      </c>
      <c r="L89" s="10" t="n">
        <v>4.1</v>
      </c>
      <c r="M89" s="10" t="n">
        <v>1.43</v>
      </c>
      <c r="N89" t="inlineStr">
        <is>
          <t>1</t>
        </is>
      </c>
      <c r="O89" t="inlineStr">
        <is>
          <t>16</t>
        </is>
      </c>
      <c r="P89" t="inlineStr">
        <is>
          <t xml:space="preserve">57461   </t>
        </is>
      </c>
      <c r="Q89" s="26" t="n">
        <v>4.09</v>
      </c>
      <c r="R89" s="26">
        <f>Q89*G89</f>
        <v/>
      </c>
      <c r="S89" s="26">
        <f>IFERROR(VLOOKUP(E89*1,Tabla[#All],8,0),0)</f>
        <v/>
      </c>
      <c r="T89" s="26">
        <f>S89*G89</f>
        <v/>
      </c>
      <c r="U89" s="26">
        <f>R89-T89</f>
        <v/>
      </c>
      <c r="V89" s="26">
        <f>U89-L89</f>
        <v/>
      </c>
    </row>
    <row r="90">
      <c r="A90" s="11" t="n">
        <v>46205</v>
      </c>
      <c r="B90" s="1" t="n">
        <v>20021</v>
      </c>
      <c r="C90" s="1" t="inlineStr">
        <is>
          <t>051</t>
        </is>
      </c>
      <c r="D90" s="1" t="inlineStr">
        <is>
          <t xml:space="preserve">7430  </t>
        </is>
      </c>
      <c r="E90" s="1" t="inlineStr">
        <is>
          <t xml:space="preserve">30141766       </t>
        </is>
      </c>
      <c r="F90" s="5" t="inlineStr">
        <is>
          <t>TMZ BEAST MACHINES AUTOS DE METAL BLISTER X 1</t>
        </is>
      </c>
      <c r="G90" t="n">
        <v>1</v>
      </c>
      <c r="H90" s="7" t="n">
        <v>7.9</v>
      </c>
      <c r="I90" s="7" t="n">
        <v>0</v>
      </c>
      <c r="J90" s="7" t="n">
        <v>0</v>
      </c>
      <c r="K90" s="9" t="n">
        <v>0</v>
      </c>
      <c r="L90" s="10" t="n">
        <v>4.68</v>
      </c>
      <c r="M90" s="10" t="n">
        <v>1.43</v>
      </c>
      <c r="N90" t="inlineStr">
        <is>
          <t>1</t>
        </is>
      </c>
      <c r="O90" t="inlineStr">
        <is>
          <t>16</t>
        </is>
      </c>
      <c r="P90" t="inlineStr">
        <is>
          <t xml:space="preserve">42929   </t>
        </is>
      </c>
      <c r="Q90" s="26" t="n">
        <v>4.69</v>
      </c>
      <c r="R90" s="26">
        <f>Q90*G90</f>
        <v/>
      </c>
      <c r="S90" s="26">
        <f>IFERROR(VLOOKUP(E90*1,Tabla[#All],8,0),0)</f>
        <v/>
      </c>
      <c r="T90" s="26">
        <f>S90*G90</f>
        <v/>
      </c>
      <c r="U90" s="26">
        <f>R90-T90</f>
        <v/>
      </c>
      <c r="V90" s="26">
        <f>U90-L90</f>
        <v/>
      </c>
    </row>
    <row r="91">
      <c r="A91" s="11" t="n">
        <v>46205</v>
      </c>
      <c r="B91" s="1" t="n">
        <v>20021</v>
      </c>
      <c r="C91" s="1" t="inlineStr">
        <is>
          <t>055</t>
        </is>
      </c>
      <c r="D91" s="1" t="inlineStr">
        <is>
          <t>153976</t>
        </is>
      </c>
      <c r="E91" s="1" t="inlineStr">
        <is>
          <t xml:space="preserve">30141766       </t>
        </is>
      </c>
      <c r="F91" s="5" t="inlineStr">
        <is>
          <t>TMZ BEAST MACHINES AUTOS DE METAL BLISTER X 1</t>
        </is>
      </c>
      <c r="G91" t="n">
        <v>1</v>
      </c>
      <c r="H91" s="7" t="n">
        <v>7.9</v>
      </c>
      <c r="I91" s="7" t="n">
        <v>0</v>
      </c>
      <c r="J91" s="7" t="n">
        <v>0</v>
      </c>
      <c r="K91" s="9" t="n">
        <v>0</v>
      </c>
      <c r="L91" s="10" t="n">
        <v>4.68</v>
      </c>
      <c r="M91" s="10" t="n">
        <v>1.43</v>
      </c>
      <c r="N91" t="inlineStr">
        <is>
          <t>1</t>
        </is>
      </c>
      <c r="O91" t="inlineStr">
        <is>
          <t xml:space="preserve">2 </t>
        </is>
      </c>
      <c r="P91" t="inlineStr">
        <is>
          <t xml:space="preserve">243383  </t>
        </is>
      </c>
      <c r="Q91" s="26" t="n">
        <v>4.69</v>
      </c>
      <c r="R91" s="26">
        <f>Q91*G91</f>
        <v/>
      </c>
      <c r="S91" s="26">
        <f>IFERROR(VLOOKUP(E91*1,Tabla[#All],8,0),0)</f>
        <v/>
      </c>
      <c r="T91" s="26">
        <f>S91*G91</f>
        <v/>
      </c>
      <c r="U91" s="26">
        <f>R91-T91</f>
        <v/>
      </c>
      <c r="V91" s="26">
        <f>U91-L91</f>
        <v/>
      </c>
    </row>
    <row r="92">
      <c r="A92" s="11" t="n">
        <v>46205</v>
      </c>
      <c r="B92" s="1" t="n">
        <v>20021</v>
      </c>
      <c r="C92" s="1" t="inlineStr">
        <is>
          <t>055</t>
        </is>
      </c>
      <c r="D92" s="1" t="inlineStr">
        <is>
          <t>154045</t>
        </is>
      </c>
      <c r="E92" s="1" t="inlineStr">
        <is>
          <t xml:space="preserve">35685067       </t>
        </is>
      </c>
      <c r="F92" s="5" t="inlineStr">
        <is>
          <t>HOT WHEELS POWER SET 3 EN 1</t>
        </is>
      </c>
      <c r="G92" t="n">
        <v>1</v>
      </c>
      <c r="H92" s="7" t="n">
        <v>49.9</v>
      </c>
      <c r="I92" s="7" t="n">
        <v>0</v>
      </c>
      <c r="J92" s="7" t="n">
        <v>0</v>
      </c>
      <c r="K92" s="9" t="n">
        <v>0</v>
      </c>
      <c r="L92" s="10" t="n">
        <v>29.6</v>
      </c>
      <c r="M92" s="10" t="n">
        <v>1.43</v>
      </c>
      <c r="N92" t="inlineStr">
        <is>
          <t>1</t>
        </is>
      </c>
      <c r="O92" t="inlineStr">
        <is>
          <t xml:space="preserve">3 </t>
        </is>
      </c>
      <c r="P92" t="inlineStr">
        <is>
          <t xml:space="preserve">81066   </t>
        </is>
      </c>
      <c r="Q92" s="26" t="n">
        <v>29.6</v>
      </c>
      <c r="R92" s="26">
        <f>Q92*G92</f>
        <v/>
      </c>
      <c r="S92" s="26">
        <f>IFERROR(VLOOKUP(E92*1,Tabla[#All],8,0),0)</f>
        <v/>
      </c>
      <c r="T92" s="26">
        <f>S92*G92</f>
        <v/>
      </c>
      <c r="U92" s="26">
        <f>R92-T92</f>
        <v/>
      </c>
      <c r="V92" s="26">
        <f>U92-L92</f>
        <v/>
      </c>
    </row>
    <row r="93">
      <c r="A93" s="11" t="n">
        <v>46205</v>
      </c>
      <c r="B93" s="1" t="n">
        <v>20021</v>
      </c>
      <c r="C93" s="1" t="inlineStr">
        <is>
          <t>081</t>
        </is>
      </c>
      <c r="D93" s="1" t="inlineStr">
        <is>
          <t>175319</t>
        </is>
      </c>
      <c r="E93" s="1" t="inlineStr">
        <is>
          <t xml:space="preserve">32656416       </t>
        </is>
      </c>
      <c r="F93" s="5" t="inlineStr">
        <is>
          <t>EL PISO ES LAVA</t>
        </is>
      </c>
      <c r="G93" t="n">
        <v>1</v>
      </c>
      <c r="H93" s="7" t="n">
        <v>79.90000000000001</v>
      </c>
      <c r="I93" s="7" t="n">
        <v>0</v>
      </c>
      <c r="J93" s="7" t="n">
        <v>0</v>
      </c>
      <c r="K93" s="9" t="n">
        <v>0</v>
      </c>
      <c r="L93" s="10" t="n">
        <v>47.4</v>
      </c>
      <c r="M93" s="10" t="n">
        <v>1.43</v>
      </c>
      <c r="N93" t="inlineStr">
        <is>
          <t>1</t>
        </is>
      </c>
      <c r="O93" t="inlineStr">
        <is>
          <t>16</t>
        </is>
      </c>
      <c r="P93" t="inlineStr">
        <is>
          <t xml:space="preserve">22701   </t>
        </is>
      </c>
      <c r="Q93" s="26" t="n">
        <v>47.4</v>
      </c>
      <c r="R93" s="26">
        <f>Q93*G93</f>
        <v/>
      </c>
      <c r="S93" s="26">
        <f>IFERROR(VLOOKUP(E93*1,Tabla[#All],8,0),0)</f>
        <v/>
      </c>
      <c r="T93" s="26">
        <f>S93*G93</f>
        <v/>
      </c>
      <c r="U93" s="26">
        <f>R93-T93</f>
        <v/>
      </c>
      <c r="V93" s="26">
        <f>U93-L93</f>
        <v/>
      </c>
    </row>
    <row r="94">
      <c r="A94" s="11" t="n">
        <v>46205</v>
      </c>
      <c r="B94" s="1" t="n">
        <v>20023</v>
      </c>
      <c r="C94" s="1" t="inlineStr">
        <is>
          <t>105</t>
        </is>
      </c>
      <c r="D94" s="1" t="inlineStr">
        <is>
          <t xml:space="preserve">90096 </t>
        </is>
      </c>
      <c r="E94" s="1" t="inlineStr">
        <is>
          <t xml:space="preserve">31754675       </t>
        </is>
      </c>
      <c r="F94" s="5" t="inlineStr">
        <is>
          <t>INFINITY NADO SERIE 6 STARTER PACK - 4 MODELOS</t>
        </is>
      </c>
      <c r="G94" t="n">
        <v>1</v>
      </c>
      <c r="H94" s="7" t="n">
        <v>69.90000000000001</v>
      </c>
      <c r="I94" s="7" t="n">
        <v>0</v>
      </c>
      <c r="J94" s="7" t="n">
        <v>0</v>
      </c>
      <c r="K94" s="9" t="n">
        <v>0</v>
      </c>
      <c r="L94" s="10" t="n">
        <v>41.47</v>
      </c>
      <c r="M94" s="10" t="n">
        <v>1.43</v>
      </c>
      <c r="N94" t="inlineStr">
        <is>
          <t>1</t>
        </is>
      </c>
      <c r="O94" t="inlineStr">
        <is>
          <t>16</t>
        </is>
      </c>
      <c r="P94" t="inlineStr">
        <is>
          <t xml:space="preserve">38444   </t>
        </is>
      </c>
      <c r="Q94" s="26" t="n">
        <v>41.47</v>
      </c>
      <c r="R94" s="26">
        <f>Q94*G94</f>
        <v/>
      </c>
      <c r="S94" s="26">
        <f>IFERROR(VLOOKUP(E94*1,Tabla[#All],8,0),0)</f>
        <v/>
      </c>
      <c r="T94" s="26">
        <f>S94*G94</f>
        <v/>
      </c>
      <c r="U94" s="26">
        <f>R94-T94</f>
        <v/>
      </c>
      <c r="V94" s="26">
        <f>U94-L94</f>
        <v/>
      </c>
    </row>
    <row r="95">
      <c r="A95" s="11" t="n">
        <v>46205</v>
      </c>
      <c r="B95" s="1" t="n">
        <v>20024</v>
      </c>
      <c r="C95" s="1" t="inlineStr">
        <is>
          <t>038</t>
        </is>
      </c>
      <c r="D95" s="1" t="inlineStr">
        <is>
          <t xml:space="preserve">24523 </t>
        </is>
      </c>
      <c r="E95" s="1" t="inlineStr">
        <is>
          <t xml:space="preserve">28194780       </t>
        </is>
      </c>
      <c r="F95" s="5" t="inlineStr">
        <is>
          <t>TROMPO BATALLA INFINITY NADO PLSTICO SURTIDO</t>
        </is>
      </c>
      <c r="G95" t="n">
        <v>1</v>
      </c>
      <c r="H95" s="7" t="n">
        <v>19.9</v>
      </c>
      <c r="I95" s="7" t="n">
        <v>3.98</v>
      </c>
      <c r="J95" s="7" t="n">
        <v>0</v>
      </c>
      <c r="K95" s="9" t="n">
        <v>3.98</v>
      </c>
      <c r="L95" s="10" t="n">
        <v>9.44</v>
      </c>
      <c r="M95" s="10" t="n">
        <v>1.43</v>
      </c>
      <c r="N95" t="inlineStr">
        <is>
          <t>1</t>
        </is>
      </c>
      <c r="O95" t="inlineStr">
        <is>
          <t xml:space="preserve">2 </t>
        </is>
      </c>
      <c r="P95" t="inlineStr">
        <is>
          <t xml:space="preserve">71372   </t>
        </is>
      </c>
      <c r="Q95" s="26" t="n">
        <v>11.81</v>
      </c>
      <c r="R95" s="26">
        <f>Q95*G95</f>
        <v/>
      </c>
      <c r="S95" s="26">
        <f>IFERROR(VLOOKUP(E95*1,Tabla[#All],8,0),0)</f>
        <v/>
      </c>
      <c r="T95" s="26">
        <f>S95*G95</f>
        <v/>
      </c>
      <c r="U95" s="26">
        <f>R95-T95</f>
        <v/>
      </c>
      <c r="V95" s="26">
        <f>U95-L95</f>
        <v/>
      </c>
    </row>
    <row r="96">
      <c r="A96" s="11" t="n">
        <v>46205</v>
      </c>
      <c r="B96" s="1" t="n">
        <v>20024</v>
      </c>
      <c r="C96" s="1" t="inlineStr">
        <is>
          <t>038</t>
        </is>
      </c>
      <c r="D96" s="1" t="inlineStr">
        <is>
          <t xml:space="preserve">24560 </t>
        </is>
      </c>
      <c r="E96" s="1" t="inlineStr">
        <is>
          <t xml:space="preserve">28194769       </t>
        </is>
      </c>
      <c r="F96" s="5" t="inlineStr">
        <is>
          <t>AUTOS DE METAL 3 TEAMSTERZ PACK DE 2</t>
        </is>
      </c>
      <c r="G96" t="n">
        <v>1</v>
      </c>
      <c r="H96" s="7" t="n">
        <v>13.8</v>
      </c>
      <c r="I96" s="7" t="n">
        <v>0</v>
      </c>
      <c r="J96" s="7" t="n">
        <v>0</v>
      </c>
      <c r="K96" s="9" t="n">
        <v>0</v>
      </c>
      <c r="L96" s="10" t="n">
        <v>8.18</v>
      </c>
      <c r="M96" s="10" t="n">
        <v>1.43</v>
      </c>
      <c r="N96" t="inlineStr">
        <is>
          <t>1</t>
        </is>
      </c>
      <c r="O96" t="inlineStr">
        <is>
          <t>16</t>
        </is>
      </c>
      <c r="P96" t="inlineStr">
        <is>
          <t xml:space="preserve">71372   </t>
        </is>
      </c>
      <c r="Q96" s="26" t="n">
        <v>8.19</v>
      </c>
      <c r="R96" s="26">
        <f>Q96*G96</f>
        <v/>
      </c>
      <c r="S96" s="26">
        <f>IFERROR(VLOOKUP(E96*1,Tabla[#All],8,0),0)</f>
        <v/>
      </c>
      <c r="T96" s="26">
        <f>S96*G96</f>
        <v/>
      </c>
      <c r="U96" s="26">
        <f>R96-T96</f>
        <v/>
      </c>
      <c r="V96" s="26">
        <f>U96-L96</f>
        <v/>
      </c>
    </row>
    <row r="97">
      <c r="A97" s="11" t="n">
        <v>46205</v>
      </c>
      <c r="B97" s="1" t="n">
        <v>20024</v>
      </c>
      <c r="C97" s="1" t="inlineStr">
        <is>
          <t>088</t>
        </is>
      </c>
      <c r="D97" s="1" t="inlineStr">
        <is>
          <t xml:space="preserve">21594 </t>
        </is>
      </c>
      <c r="E97" s="1" t="inlineStr">
        <is>
          <t xml:space="preserve">32457103       </t>
        </is>
      </c>
      <c r="F97" s="5" t="inlineStr">
        <is>
          <t>TMZ BEAST MACHINES MONSTER JAWS A FRICCION PACK DE</t>
        </is>
      </c>
      <c r="G97" t="n">
        <v>1</v>
      </c>
      <c r="H97" s="7" t="n">
        <v>37.9</v>
      </c>
      <c r="I97" s="7" t="n">
        <v>0</v>
      </c>
      <c r="J97" s="7" t="n">
        <v>0</v>
      </c>
      <c r="K97" s="9" t="n">
        <v>0</v>
      </c>
      <c r="L97" s="10" t="n">
        <v>22.48</v>
      </c>
      <c r="M97" s="10" t="n">
        <v>1.43</v>
      </c>
      <c r="N97" t="inlineStr">
        <is>
          <t>1</t>
        </is>
      </c>
      <c r="O97" t="inlineStr">
        <is>
          <t>16</t>
        </is>
      </c>
      <c r="P97" t="inlineStr">
        <is>
          <t xml:space="preserve">242829  </t>
        </is>
      </c>
      <c r="Q97" s="26" t="n">
        <v>22.48</v>
      </c>
      <c r="R97" s="26">
        <f>Q97*G97</f>
        <v/>
      </c>
      <c r="S97" s="26">
        <f>IFERROR(VLOOKUP(E97*1,Tabla[#All],8,0),0)</f>
        <v/>
      </c>
      <c r="T97" s="26">
        <f>S97*G97</f>
        <v/>
      </c>
      <c r="U97" s="26">
        <f>R97-T97</f>
        <v/>
      </c>
      <c r="V97" s="26">
        <f>U97-L97</f>
        <v/>
      </c>
    </row>
    <row r="98">
      <c r="A98" s="11" t="n">
        <v>46205</v>
      </c>
      <c r="B98" s="1" t="n">
        <v>20025</v>
      </c>
      <c r="C98" s="1" t="inlineStr">
        <is>
          <t>074</t>
        </is>
      </c>
      <c r="D98" s="1" t="inlineStr">
        <is>
          <t xml:space="preserve">82237 </t>
        </is>
      </c>
      <c r="E98" s="1" t="inlineStr">
        <is>
          <t xml:space="preserve">31959961       </t>
        </is>
      </c>
      <c r="F98" s="5" t="inlineStr">
        <is>
          <t>TEAMSTERZ CAMBIA DE COLOR PACK DE 3 AUTOS</t>
        </is>
      </c>
      <c r="G98" t="n">
        <v>1</v>
      </c>
      <c r="H98" s="7" t="n">
        <v>49.9</v>
      </c>
      <c r="I98" s="7" t="n">
        <v>0</v>
      </c>
      <c r="J98" s="7" t="n">
        <v>0</v>
      </c>
      <c r="K98" s="9" t="n">
        <v>0</v>
      </c>
      <c r="L98" s="10" t="n">
        <v>29.6</v>
      </c>
      <c r="M98" s="10" t="n">
        <v>1.43</v>
      </c>
      <c r="N98" t="inlineStr">
        <is>
          <t>1</t>
        </is>
      </c>
      <c r="O98" t="inlineStr">
        <is>
          <t>16</t>
        </is>
      </c>
      <c r="P98" t="inlineStr">
        <is>
          <t xml:space="preserve">250254  </t>
        </is>
      </c>
      <c r="Q98" s="26" t="n">
        <v>29.6</v>
      </c>
      <c r="R98" s="26">
        <f>Q98*G98</f>
        <v/>
      </c>
      <c r="S98" s="26">
        <f>IFERROR(VLOOKUP(E98*1,Tabla[#All],8,0),0)</f>
        <v/>
      </c>
      <c r="T98" s="26">
        <f>S98*G98</f>
        <v/>
      </c>
      <c r="U98" s="26">
        <f>R98-T98</f>
        <v/>
      </c>
      <c r="V98" s="26">
        <f>U98-L98</f>
        <v/>
      </c>
    </row>
    <row r="99">
      <c r="A99" s="11" t="n">
        <v>46205</v>
      </c>
      <c r="B99" s="1" t="n">
        <v>20025</v>
      </c>
      <c r="C99" s="1" t="inlineStr">
        <is>
          <t>074</t>
        </is>
      </c>
      <c r="D99" s="1" t="inlineStr">
        <is>
          <t xml:space="preserve">82240 </t>
        </is>
      </c>
      <c r="E99" s="1" t="inlineStr">
        <is>
          <t xml:space="preserve">30141767       </t>
        </is>
      </c>
      <c r="F99" s="5" t="inlineStr">
        <is>
          <t>TMZ BEAST MACHINES AUTOS DE METAL PACK 5 AUTOS</t>
        </is>
      </c>
      <c r="G99" t="n">
        <v>1</v>
      </c>
      <c r="H99" s="7" t="n">
        <v>39.5</v>
      </c>
      <c r="I99" s="7" t="n">
        <v>0</v>
      </c>
      <c r="J99" s="7" t="n">
        <v>0</v>
      </c>
      <c r="K99" s="9" t="n">
        <v>0</v>
      </c>
      <c r="L99" s="10" t="n">
        <v>23.43</v>
      </c>
      <c r="M99" s="10" t="n">
        <v>1.43</v>
      </c>
      <c r="N99" t="inlineStr">
        <is>
          <t>1</t>
        </is>
      </c>
      <c r="O99" t="inlineStr">
        <is>
          <t>16</t>
        </is>
      </c>
      <c r="P99" t="inlineStr">
        <is>
          <t xml:space="preserve">250254  </t>
        </is>
      </c>
      <c r="Q99" s="26" t="n">
        <v>23.43</v>
      </c>
      <c r="R99" s="26">
        <f>Q99*G99</f>
        <v/>
      </c>
      <c r="S99" s="26">
        <f>IFERROR(VLOOKUP(E99*1,Tabla[#All],8,0),0)</f>
        <v/>
      </c>
      <c r="T99" s="26">
        <f>S99*G99</f>
        <v/>
      </c>
      <c r="U99" s="26">
        <f>R99-T99</f>
        <v/>
      </c>
      <c r="V99" s="26">
        <f>U99-L99</f>
        <v/>
      </c>
    </row>
    <row r="100">
      <c r="A100" s="11" t="n">
        <v>46205</v>
      </c>
      <c r="B100" s="1" t="n">
        <v>20028</v>
      </c>
      <c r="C100" s="1" t="inlineStr">
        <is>
          <t>088</t>
        </is>
      </c>
      <c r="D100" s="1" t="inlineStr">
        <is>
          <t>340162</t>
        </is>
      </c>
      <c r="E100" s="1" t="inlineStr">
        <is>
          <t xml:space="preserve">29235701       </t>
        </is>
      </c>
      <c r="F100" s="5" t="inlineStr">
        <is>
          <t>INFINITY NADO TROMPO DE BATALLA - METAL EN CAJA</t>
        </is>
      </c>
      <c r="G100" t="n">
        <v>1</v>
      </c>
      <c r="H100" s="7" t="n">
        <v>39.9</v>
      </c>
      <c r="I100" s="7" t="n">
        <v>0</v>
      </c>
      <c r="J100" s="7" t="n">
        <v>0</v>
      </c>
      <c r="K100" s="9" t="n">
        <v>0</v>
      </c>
      <c r="L100" s="10" t="n">
        <v>23.67</v>
      </c>
      <c r="M100" s="10" t="n">
        <v>1.43</v>
      </c>
      <c r="N100" t="inlineStr">
        <is>
          <t>1</t>
        </is>
      </c>
      <c r="O100" t="inlineStr">
        <is>
          <t xml:space="preserve">3 </t>
        </is>
      </c>
      <c r="P100" t="inlineStr">
        <is>
          <t xml:space="preserve">69117   </t>
        </is>
      </c>
      <c r="Q100" s="26" t="n">
        <v>23.67</v>
      </c>
      <c r="R100" s="26">
        <f>Q100*G100</f>
        <v/>
      </c>
      <c r="S100" s="26">
        <f>IFERROR(VLOOKUP(E100*1,Tabla[#All],8,0),0)</f>
        <v/>
      </c>
      <c r="T100" s="26">
        <f>S100*G100</f>
        <v/>
      </c>
      <c r="U100" s="26">
        <f>R100-T100</f>
        <v/>
      </c>
      <c r="V100" s="26">
        <f>U100-L100</f>
        <v/>
      </c>
    </row>
    <row r="101">
      <c r="A101" s="11" t="n">
        <v>46205</v>
      </c>
      <c r="B101" s="1" t="n">
        <v>20030</v>
      </c>
      <c r="C101" s="1" t="inlineStr">
        <is>
          <t>023</t>
        </is>
      </c>
      <c r="D101" s="1" t="inlineStr">
        <is>
          <t>415270</t>
        </is>
      </c>
      <c r="E101" s="1" t="inlineStr">
        <is>
          <t xml:space="preserve">28194769       </t>
        </is>
      </c>
      <c r="F101" s="5" t="inlineStr">
        <is>
          <t>AUTOS DE METAL 3 TEAMSTERZ PACK DE 2</t>
        </is>
      </c>
      <c r="G101" t="n">
        <v>1</v>
      </c>
      <c r="H101" s="7" t="n">
        <v>13.8</v>
      </c>
      <c r="I101" s="7" t="n">
        <v>0</v>
      </c>
      <c r="J101" s="7" t="n">
        <v>0</v>
      </c>
      <c r="K101" s="9" t="n">
        <v>0</v>
      </c>
      <c r="L101" s="10" t="n">
        <v>8.18</v>
      </c>
      <c r="M101" s="10" t="n">
        <v>1.43</v>
      </c>
      <c r="N101" t="inlineStr">
        <is>
          <t>1</t>
        </is>
      </c>
      <c r="O101" t="inlineStr">
        <is>
          <t xml:space="preserve">3 </t>
        </is>
      </c>
      <c r="P101" t="inlineStr">
        <is>
          <t xml:space="preserve">39099   </t>
        </is>
      </c>
      <c r="Q101" s="26" t="n">
        <v>8.19</v>
      </c>
      <c r="R101" s="26">
        <f>Q101*G101</f>
        <v/>
      </c>
      <c r="S101" s="26">
        <f>IFERROR(VLOOKUP(E101*1,Tabla[#All],8,0),0)</f>
        <v/>
      </c>
      <c r="T101" s="26">
        <f>S101*G101</f>
        <v/>
      </c>
      <c r="U101" s="26">
        <f>R101-T101</f>
        <v/>
      </c>
      <c r="V101" s="26">
        <f>U101-L101</f>
        <v/>
      </c>
    </row>
    <row r="102">
      <c r="A102" s="11" t="n">
        <v>46205</v>
      </c>
      <c r="B102" s="1" t="n">
        <v>20030</v>
      </c>
      <c r="C102" s="1" t="inlineStr">
        <is>
          <t>077</t>
        </is>
      </c>
      <c r="D102" s="1" t="inlineStr">
        <is>
          <t>231631</t>
        </is>
      </c>
      <c r="E102" s="1" t="inlineStr">
        <is>
          <t xml:space="preserve">29854051       </t>
        </is>
      </c>
      <c r="F102" s="5" t="inlineStr">
        <is>
          <t>TEAMSTERZ AUTO DE METAL PACK 10 AUTOS</t>
        </is>
      </c>
      <c r="G102" t="n">
        <v>1</v>
      </c>
      <c r="H102" s="7" t="n">
        <v>69</v>
      </c>
      <c r="I102" s="7" t="n">
        <v>0</v>
      </c>
      <c r="J102" s="7" t="n">
        <v>0</v>
      </c>
      <c r="K102" s="9" t="n">
        <v>0</v>
      </c>
      <c r="L102" s="10" t="n">
        <v>40.93</v>
      </c>
      <c r="M102" s="10" t="n">
        <v>1.43</v>
      </c>
      <c r="N102" t="inlineStr">
        <is>
          <t>1</t>
        </is>
      </c>
      <c r="O102" t="inlineStr">
        <is>
          <t>16</t>
        </is>
      </c>
      <c r="P102" t="inlineStr">
        <is>
          <t xml:space="preserve">47899   </t>
        </is>
      </c>
      <c r="Q102" s="26" t="n">
        <v>40.93</v>
      </c>
      <c r="R102" s="26">
        <f>Q102*G102</f>
        <v/>
      </c>
      <c r="S102" s="26">
        <f>IFERROR(VLOOKUP(E102*1,Tabla[#All],8,0),0)</f>
        <v/>
      </c>
      <c r="T102" s="26">
        <f>S102*G102</f>
        <v/>
      </c>
      <c r="U102" s="26">
        <f>R102-T102</f>
        <v/>
      </c>
      <c r="V102" s="26">
        <f>U102-L102</f>
        <v/>
      </c>
    </row>
    <row r="103">
      <c r="A103" s="11" t="n">
        <v>46205</v>
      </c>
      <c r="B103" s="1" t="n">
        <v>20030</v>
      </c>
      <c r="C103" s="1" t="inlineStr">
        <is>
          <t>077</t>
        </is>
      </c>
      <c r="D103" s="1" t="inlineStr">
        <is>
          <t>231631</t>
        </is>
      </c>
      <c r="E103" s="1" t="inlineStr">
        <is>
          <t xml:space="preserve">33661538       </t>
        </is>
      </c>
      <c r="F103" s="5" t="inlineStr">
        <is>
          <t>HOT WHEELS CASE GARAGE RUEDA METAL EN LLAMAS X 29</t>
        </is>
      </c>
      <c r="G103" t="n">
        <v>1</v>
      </c>
      <c r="H103" s="7" t="n">
        <v>69.90000000000001</v>
      </c>
      <c r="I103" s="7" t="n">
        <v>0</v>
      </c>
      <c r="J103" s="7" t="n">
        <v>0</v>
      </c>
      <c r="K103" s="9" t="n">
        <v>0</v>
      </c>
      <c r="L103" s="10" t="n">
        <v>41.47</v>
      </c>
      <c r="M103" s="10" t="n">
        <v>1.43</v>
      </c>
      <c r="N103" t="inlineStr">
        <is>
          <t>1</t>
        </is>
      </c>
      <c r="O103" t="inlineStr">
        <is>
          <t>16</t>
        </is>
      </c>
      <c r="P103" t="inlineStr">
        <is>
          <t xml:space="preserve">47899   </t>
        </is>
      </c>
      <c r="Q103" s="26" t="n">
        <v>41.47</v>
      </c>
      <c r="R103" s="26">
        <f>Q103*G103</f>
        <v/>
      </c>
      <c r="S103" s="26">
        <f>IFERROR(VLOOKUP(E103*1,Tabla[#All],8,0),0)</f>
        <v/>
      </c>
      <c r="T103" s="26">
        <f>S103*G103</f>
        <v/>
      </c>
      <c r="U103" s="26">
        <f>R103-T103</f>
        <v/>
      </c>
      <c r="V103" s="26">
        <f>U103-L103</f>
        <v/>
      </c>
    </row>
    <row r="104">
      <c r="A104" s="11" t="n">
        <v>46205</v>
      </c>
      <c r="B104" s="1" t="n">
        <v>20040</v>
      </c>
      <c r="C104" s="1" t="inlineStr">
        <is>
          <t>072</t>
        </is>
      </c>
      <c r="D104" s="1" t="inlineStr">
        <is>
          <t>250807</t>
        </is>
      </c>
      <c r="E104" s="1" t="inlineStr">
        <is>
          <t xml:space="preserve">33661538       </t>
        </is>
      </c>
      <c r="F104" s="5" t="inlineStr">
        <is>
          <t>HOT WHEELS CASE GARAGE RUEDA METAL EN LLAMAS X 29</t>
        </is>
      </c>
      <c r="G104" t="n">
        <v>1</v>
      </c>
      <c r="H104" s="7" t="n">
        <v>69.90000000000001</v>
      </c>
      <c r="I104" s="7" t="n">
        <v>0</v>
      </c>
      <c r="J104" s="7" t="n">
        <v>0</v>
      </c>
      <c r="K104" s="9" t="n">
        <v>0</v>
      </c>
      <c r="L104" s="10" t="n">
        <v>41.47</v>
      </c>
      <c r="M104" s="10" t="n">
        <v>1.43</v>
      </c>
      <c r="N104" t="inlineStr">
        <is>
          <t>1</t>
        </is>
      </c>
      <c r="O104" t="inlineStr">
        <is>
          <t>16</t>
        </is>
      </c>
      <c r="P104" t="inlineStr">
        <is>
          <t xml:space="preserve">61602   </t>
        </is>
      </c>
      <c r="Q104" s="26" t="n">
        <v>41.47</v>
      </c>
      <c r="R104" s="26">
        <f>Q104*G104</f>
        <v/>
      </c>
      <c r="S104" s="26">
        <f>IFERROR(VLOOKUP(E104*1,Tabla[#All],8,0),0)</f>
        <v/>
      </c>
      <c r="T104" s="26">
        <f>S104*G104</f>
        <v/>
      </c>
      <c r="U104" s="26">
        <f>R104-T104</f>
        <v/>
      </c>
      <c r="V104" s="26">
        <f>U104-L104</f>
        <v/>
      </c>
    </row>
    <row r="105">
      <c r="A105" s="11" t="n">
        <v>46205</v>
      </c>
      <c r="B105" s="1" t="n">
        <v>20040</v>
      </c>
      <c r="C105" s="1" t="inlineStr">
        <is>
          <t>072</t>
        </is>
      </c>
      <c r="D105" s="1" t="inlineStr">
        <is>
          <t>250807</t>
        </is>
      </c>
      <c r="E105" s="1" t="inlineStr">
        <is>
          <t xml:space="preserve">35685067       </t>
        </is>
      </c>
      <c r="F105" s="5" t="inlineStr">
        <is>
          <t>HOT WHEELS POWER SET 3 EN 1</t>
        </is>
      </c>
      <c r="G105" t="n">
        <v>1</v>
      </c>
      <c r="H105" s="7" t="n">
        <v>49.9</v>
      </c>
      <c r="I105" s="7" t="n">
        <v>0</v>
      </c>
      <c r="J105" s="7" t="n">
        <v>0</v>
      </c>
      <c r="K105" s="9" t="n">
        <v>0</v>
      </c>
      <c r="L105" s="10" t="n">
        <v>29.6</v>
      </c>
      <c r="M105" s="10" t="n">
        <v>1.43</v>
      </c>
      <c r="N105" t="inlineStr">
        <is>
          <t>1</t>
        </is>
      </c>
      <c r="O105" t="inlineStr">
        <is>
          <t>16</t>
        </is>
      </c>
      <c r="P105" t="inlineStr">
        <is>
          <t xml:space="preserve">61602   </t>
        </is>
      </c>
      <c r="Q105" s="26" t="n">
        <v>29.6</v>
      </c>
      <c r="R105" s="26">
        <f>Q105*G105</f>
        <v/>
      </c>
      <c r="S105" s="26">
        <f>IFERROR(VLOOKUP(E105*1,Tabla[#All],8,0),0)</f>
        <v/>
      </c>
      <c r="T105" s="26">
        <f>S105*G105</f>
        <v/>
      </c>
      <c r="U105" s="26">
        <f>R105-T105</f>
        <v/>
      </c>
      <c r="V105" s="26">
        <f>U105-L105</f>
        <v/>
      </c>
    </row>
    <row r="106">
      <c r="A106" s="11" t="n">
        <v>46205</v>
      </c>
      <c r="B106" s="1" t="n">
        <v>20040</v>
      </c>
      <c r="C106" s="1" t="inlineStr">
        <is>
          <t>083</t>
        </is>
      </c>
      <c r="D106" s="1" t="inlineStr">
        <is>
          <t>158907</t>
        </is>
      </c>
      <c r="E106" s="1" t="inlineStr">
        <is>
          <t xml:space="preserve">28194780       </t>
        </is>
      </c>
      <c r="F106" s="5" t="inlineStr">
        <is>
          <t>TROMPO BATALLA INFINITY NADO PLSTICO SURTIDO</t>
        </is>
      </c>
      <c r="G106" t="n">
        <v>1</v>
      </c>
      <c r="H106" s="7" t="n">
        <v>19.9</v>
      </c>
      <c r="I106" s="7" t="n">
        <v>0</v>
      </c>
      <c r="J106" s="7" t="n">
        <v>0</v>
      </c>
      <c r="K106" s="9" t="n">
        <v>0</v>
      </c>
      <c r="L106" s="10" t="n">
        <v>11.8</v>
      </c>
      <c r="M106" s="10" t="n">
        <v>1.43</v>
      </c>
      <c r="N106" t="inlineStr">
        <is>
          <t>1</t>
        </is>
      </c>
      <c r="O106" t="inlineStr">
        <is>
          <t>16</t>
        </is>
      </c>
      <c r="P106" t="inlineStr">
        <is>
          <t xml:space="preserve">248842  </t>
        </is>
      </c>
      <c r="Q106" s="26" t="n">
        <v>11.81</v>
      </c>
      <c r="R106" s="26">
        <f>Q106*G106</f>
        <v/>
      </c>
      <c r="S106" s="26">
        <f>IFERROR(VLOOKUP(E106*1,Tabla[#All],8,0),0)</f>
        <v/>
      </c>
      <c r="T106" s="26">
        <f>S106*G106</f>
        <v/>
      </c>
      <c r="U106" s="26">
        <f>R106-T106</f>
        <v/>
      </c>
      <c r="V106" s="26">
        <f>U106-L106</f>
        <v/>
      </c>
    </row>
    <row r="107">
      <c r="A107" s="11" t="n">
        <v>46205</v>
      </c>
      <c r="B107" s="1" t="n">
        <v>20040</v>
      </c>
      <c r="C107" s="1" t="inlineStr">
        <is>
          <t>190</t>
        </is>
      </c>
      <c r="D107" s="1" t="inlineStr">
        <is>
          <t>367445</t>
        </is>
      </c>
      <c r="E107" s="1" t="inlineStr">
        <is>
          <t xml:space="preserve">30232284       </t>
        </is>
      </c>
      <c r="F107" s="5" t="inlineStr">
        <is>
          <t>INFINITY NADO TROMPO DE BATALLA - METAL C/PUNTA DE</t>
        </is>
      </c>
      <c r="G107" t="n">
        <v>1</v>
      </c>
      <c r="H107" s="7" t="n">
        <v>49.9</v>
      </c>
      <c r="I107" s="7" t="n">
        <v>0</v>
      </c>
      <c r="J107" s="7" t="n">
        <v>0</v>
      </c>
      <c r="K107" s="9" t="n">
        <v>0</v>
      </c>
      <c r="L107" s="10" t="n">
        <v>29.6</v>
      </c>
      <c r="M107" s="10" t="n">
        <v>1.43</v>
      </c>
      <c r="N107" t="inlineStr">
        <is>
          <t>1</t>
        </is>
      </c>
      <c r="O107" t="inlineStr">
        <is>
          <t>16</t>
        </is>
      </c>
      <c r="P107" t="inlineStr">
        <is>
          <t xml:space="preserve">250039  </t>
        </is>
      </c>
      <c r="Q107" s="26" t="n">
        <v>29.6</v>
      </c>
      <c r="R107" s="26">
        <f>Q107*G107</f>
        <v/>
      </c>
      <c r="S107" s="26">
        <f>IFERROR(VLOOKUP(E107*1,Tabla[#All],8,0),0)</f>
        <v/>
      </c>
      <c r="T107" s="26">
        <f>S107*G107</f>
        <v/>
      </c>
      <c r="U107" s="26">
        <f>R107-T107</f>
        <v/>
      </c>
      <c r="V107" s="26">
        <f>U107-L107</f>
        <v/>
      </c>
    </row>
    <row r="108">
      <c r="A108" s="11" t="n">
        <v>46205</v>
      </c>
      <c r="B108" s="1" t="n">
        <v>20040</v>
      </c>
      <c r="C108" s="1" t="inlineStr">
        <is>
          <t>190</t>
        </is>
      </c>
      <c r="D108" s="1" t="inlineStr">
        <is>
          <t>367472</t>
        </is>
      </c>
      <c r="E108" s="1" t="inlineStr">
        <is>
          <t xml:space="preserve">28194768       </t>
        </is>
      </c>
      <c r="F108" s="5" t="inlineStr">
        <is>
          <t>AUTO COLOR CHANGE TEAMSTERZ SURTIDO</t>
        </is>
      </c>
      <c r="G108" t="n">
        <v>1</v>
      </c>
      <c r="H108" s="7" t="n">
        <v>14.9</v>
      </c>
      <c r="I108" s="7" t="n">
        <v>0</v>
      </c>
      <c r="J108" s="7" t="n">
        <v>0</v>
      </c>
      <c r="K108" s="9" t="n">
        <v>0</v>
      </c>
      <c r="L108" s="10" t="n">
        <v>8.84</v>
      </c>
      <c r="M108" s="10" t="n">
        <v>1.43</v>
      </c>
      <c r="N108" t="inlineStr">
        <is>
          <t>1</t>
        </is>
      </c>
      <c r="O108" t="inlineStr">
        <is>
          <t>16</t>
        </is>
      </c>
      <c r="P108" t="inlineStr">
        <is>
          <t xml:space="preserve">243237  </t>
        </is>
      </c>
      <c r="Q108" s="26" t="n">
        <v>8.84</v>
      </c>
      <c r="R108" s="26">
        <f>Q108*G108</f>
        <v/>
      </c>
      <c r="S108" s="26">
        <f>IFERROR(VLOOKUP(E108*1,Tabla[#All],8,0),0)</f>
        <v/>
      </c>
      <c r="T108" s="26">
        <f>S108*G108</f>
        <v/>
      </c>
      <c r="U108" s="26">
        <f>R108-T108</f>
        <v/>
      </c>
      <c r="V108" s="26">
        <f>U108-L108</f>
        <v/>
      </c>
    </row>
    <row r="109">
      <c r="A109" s="11" t="n">
        <v>46205</v>
      </c>
      <c r="B109" s="1" t="n">
        <v>20040</v>
      </c>
      <c r="C109" s="1" t="inlineStr">
        <is>
          <t>832</t>
        </is>
      </c>
      <c r="D109" s="1" t="inlineStr">
        <is>
          <t xml:space="preserve">2751  </t>
        </is>
      </c>
      <c r="E109" s="1" t="inlineStr">
        <is>
          <t xml:space="preserve">32457099       </t>
        </is>
      </c>
      <c r="F109" s="5" t="inlineStr">
        <is>
          <t>TMZ BEAST MACHINES MONSTER JAWS A FRICCION BLISTER</t>
        </is>
      </c>
      <c r="G109" t="n">
        <v>1</v>
      </c>
      <c r="H109" s="7" t="n">
        <v>19.9</v>
      </c>
      <c r="I109" s="7" t="n">
        <v>0</v>
      </c>
      <c r="J109" s="7" t="n">
        <v>0</v>
      </c>
      <c r="K109" s="9" t="n">
        <v>0</v>
      </c>
      <c r="L109" s="10" t="n">
        <v>11.8</v>
      </c>
      <c r="M109" s="10" t="n">
        <v>1.43</v>
      </c>
      <c r="N109" t="inlineStr">
        <is>
          <t>1</t>
        </is>
      </c>
      <c r="O109" t="inlineStr">
        <is>
          <t>16</t>
        </is>
      </c>
      <c r="P109" t="inlineStr">
        <is>
          <t xml:space="preserve">0       </t>
        </is>
      </c>
      <c r="Q109" s="26" t="n">
        <v>11.81</v>
      </c>
      <c r="R109" s="26">
        <f>Q109*G109</f>
        <v/>
      </c>
      <c r="S109" s="26">
        <f>IFERROR(VLOOKUP(E109*1,Tabla[#All],8,0),0)</f>
        <v/>
      </c>
      <c r="T109" s="26">
        <f>S109*G109</f>
        <v/>
      </c>
      <c r="U109" s="26">
        <f>R109-T109</f>
        <v/>
      </c>
      <c r="V109" s="26">
        <f>U109-L109</f>
        <v/>
      </c>
    </row>
    <row r="110">
      <c r="A110" s="11" t="n">
        <v>46205</v>
      </c>
      <c r="B110" s="1" t="n">
        <v>20041</v>
      </c>
      <c r="C110" s="1" t="inlineStr">
        <is>
          <t>016</t>
        </is>
      </c>
      <c r="D110" s="1" t="inlineStr">
        <is>
          <t>214428</t>
        </is>
      </c>
      <c r="E110" s="1" t="inlineStr">
        <is>
          <t xml:space="preserve">28194770       </t>
        </is>
      </c>
      <c r="F110" s="5" t="inlineStr">
        <is>
          <t>AUTOS DE METAL 3 TEAMSTERZ EN BLISTER</t>
        </is>
      </c>
      <c r="G110" t="n">
        <v>1</v>
      </c>
      <c r="H110" s="7" t="n">
        <v>6.9</v>
      </c>
      <c r="I110" s="7" t="n">
        <v>0</v>
      </c>
      <c r="J110" s="7" t="n">
        <v>0</v>
      </c>
      <c r="K110" s="9" t="n">
        <v>0</v>
      </c>
      <c r="L110" s="10" t="n">
        <v>4.1</v>
      </c>
      <c r="M110" s="10" t="n">
        <v>1.43</v>
      </c>
      <c r="N110" t="inlineStr">
        <is>
          <t>1</t>
        </is>
      </c>
      <c r="O110" t="inlineStr">
        <is>
          <t xml:space="preserve">2 </t>
        </is>
      </c>
      <c r="P110" t="inlineStr">
        <is>
          <t xml:space="preserve">91630   </t>
        </is>
      </c>
      <c r="Q110" s="26" t="n">
        <v>4.09</v>
      </c>
      <c r="R110" s="26">
        <f>Q110*G110</f>
        <v/>
      </c>
      <c r="S110" s="26">
        <f>IFERROR(VLOOKUP(E110*1,Tabla[#All],8,0),0)</f>
        <v/>
      </c>
      <c r="T110" s="26">
        <f>S110*G110</f>
        <v/>
      </c>
      <c r="U110" s="26">
        <f>R110-T110</f>
        <v/>
      </c>
      <c r="V110" s="26">
        <f>U110-L110</f>
        <v/>
      </c>
    </row>
    <row r="111">
      <c r="A111" s="11" t="n">
        <v>46205</v>
      </c>
      <c r="B111" s="1" t="n">
        <v>20041</v>
      </c>
      <c r="C111" s="1" t="inlineStr">
        <is>
          <t>016</t>
        </is>
      </c>
      <c r="D111" s="1" t="inlineStr">
        <is>
          <t>214464</t>
        </is>
      </c>
      <c r="E111" s="1" t="inlineStr">
        <is>
          <t xml:space="preserve">32656410       </t>
        </is>
      </c>
      <c r="F111" s="5" t="inlineStr">
        <is>
          <t>VIP PETS S5 GEMAS DE GLAMOUR SURTIDO</t>
        </is>
      </c>
      <c r="G111" t="n">
        <v>1</v>
      </c>
      <c r="H111" s="7" t="n">
        <v>69.90000000000001</v>
      </c>
      <c r="I111" s="7" t="n">
        <v>0</v>
      </c>
      <c r="J111" s="7" t="n">
        <v>0</v>
      </c>
      <c r="K111" s="9" t="n">
        <v>0</v>
      </c>
      <c r="L111" s="10" t="n">
        <v>41.47</v>
      </c>
      <c r="M111" s="10" t="n">
        <v>1.43</v>
      </c>
      <c r="N111" t="inlineStr">
        <is>
          <t>1</t>
        </is>
      </c>
      <c r="O111" t="inlineStr">
        <is>
          <t xml:space="preserve">3 </t>
        </is>
      </c>
      <c r="P111" t="inlineStr">
        <is>
          <t xml:space="preserve">91630   </t>
        </is>
      </c>
      <c r="Q111" s="26" t="n">
        <v>41.47</v>
      </c>
      <c r="R111" s="26">
        <f>Q111*G111</f>
        <v/>
      </c>
      <c r="S111" s="26">
        <f>IFERROR(VLOOKUP(E111*1,Tabla[#All],8,0),0)</f>
        <v/>
      </c>
      <c r="T111" s="26">
        <f>S111*G111</f>
        <v/>
      </c>
      <c r="U111" s="26">
        <f>R111-T111</f>
        <v/>
      </c>
      <c r="V111" s="26">
        <f>U111-L111</f>
        <v/>
      </c>
    </row>
    <row r="112">
      <c r="A112" s="11" t="n">
        <v>46205</v>
      </c>
      <c r="B112" s="1" t="n">
        <v>20041</v>
      </c>
      <c r="C112" s="1" t="inlineStr">
        <is>
          <t>016</t>
        </is>
      </c>
      <c r="D112" s="1" t="inlineStr">
        <is>
          <t>214464</t>
        </is>
      </c>
      <c r="E112" s="1" t="inlineStr">
        <is>
          <t xml:space="preserve">32656410       </t>
        </is>
      </c>
      <c r="F112" s="5" t="inlineStr">
        <is>
          <t>VIP PETS S5 GEMAS DE GLAMOUR SURTIDO</t>
        </is>
      </c>
      <c r="G112" t="n">
        <v>1</v>
      </c>
      <c r="H112" s="7" t="n">
        <v>69.90000000000001</v>
      </c>
      <c r="I112" s="7" t="n">
        <v>0</v>
      </c>
      <c r="J112" s="7" t="n">
        <v>0</v>
      </c>
      <c r="K112" s="9" t="n">
        <v>0</v>
      </c>
      <c r="L112" s="10" t="n">
        <v>41.47</v>
      </c>
      <c r="M112" s="10" t="n">
        <v>1.43</v>
      </c>
      <c r="N112" t="inlineStr">
        <is>
          <t>1</t>
        </is>
      </c>
      <c r="O112" t="inlineStr">
        <is>
          <t xml:space="preserve">3 </t>
        </is>
      </c>
      <c r="P112" t="inlineStr">
        <is>
          <t xml:space="preserve">91630   </t>
        </is>
      </c>
      <c r="Q112" s="26" t="n">
        <v>41.47</v>
      </c>
      <c r="R112" s="26">
        <f>Q112*G112</f>
        <v/>
      </c>
      <c r="S112" s="26">
        <f>IFERROR(VLOOKUP(E112*1,Tabla[#All],8,0),0)</f>
        <v/>
      </c>
      <c r="T112" s="26">
        <f>S112*G112</f>
        <v/>
      </c>
      <c r="U112" s="26">
        <f>R112-T112</f>
        <v/>
      </c>
      <c r="V112" s="26">
        <f>U112-L112</f>
        <v/>
      </c>
    </row>
    <row r="113">
      <c r="A113" s="11" t="n">
        <v>46205</v>
      </c>
      <c r="B113" s="1" t="n">
        <v>20041</v>
      </c>
      <c r="C113" s="1" t="inlineStr">
        <is>
          <t>043</t>
        </is>
      </c>
      <c r="D113" s="1" t="inlineStr">
        <is>
          <t xml:space="preserve">75529 </t>
        </is>
      </c>
      <c r="E113" s="1" t="inlineStr">
        <is>
          <t xml:space="preserve">28194770       </t>
        </is>
      </c>
      <c r="F113" s="5" t="inlineStr">
        <is>
          <t>AUTOS DE METAL 3 TEAMSTERZ EN BLISTER</t>
        </is>
      </c>
      <c r="G113" t="n">
        <v>1</v>
      </c>
      <c r="H113" s="7" t="n">
        <v>6.9</v>
      </c>
      <c r="I113" s="7" t="n">
        <v>0</v>
      </c>
      <c r="J113" s="7" t="n">
        <v>0</v>
      </c>
      <c r="K113" s="9" t="n">
        <v>0</v>
      </c>
      <c r="L113" s="10" t="n">
        <v>4.1</v>
      </c>
      <c r="M113" s="10" t="n">
        <v>1.43</v>
      </c>
      <c r="N113" t="inlineStr">
        <is>
          <t>1</t>
        </is>
      </c>
      <c r="O113" t="inlineStr">
        <is>
          <t xml:space="preserve">2 </t>
        </is>
      </c>
      <c r="P113" t="inlineStr">
        <is>
          <t xml:space="preserve">243698  </t>
        </is>
      </c>
      <c r="Q113" s="26" t="n">
        <v>4.09</v>
      </c>
      <c r="R113" s="26">
        <f>Q113*G113</f>
        <v/>
      </c>
      <c r="S113" s="26">
        <f>IFERROR(VLOOKUP(E113*1,Tabla[#All],8,0),0)</f>
        <v/>
      </c>
      <c r="T113" s="26">
        <f>S113*G113</f>
        <v/>
      </c>
      <c r="U113" s="26">
        <f>R113-T113</f>
        <v/>
      </c>
      <c r="V113" s="26">
        <f>U113-L113</f>
        <v/>
      </c>
    </row>
    <row r="114">
      <c r="A114" s="11" t="n">
        <v>46205</v>
      </c>
      <c r="B114" s="1" t="n">
        <v>20043</v>
      </c>
      <c r="C114" s="1" t="inlineStr">
        <is>
          <t>051</t>
        </is>
      </c>
      <c r="D114" s="1" t="inlineStr">
        <is>
          <t>105381</t>
        </is>
      </c>
      <c r="E114" s="1" t="inlineStr">
        <is>
          <t xml:space="preserve">28194783       </t>
        </is>
      </c>
      <c r="F114" s="5" t="inlineStr">
        <is>
          <t>SET DE BATALLA INFINITY NADO CON 2 TROMPOS</t>
        </is>
      </c>
      <c r="G114" t="n">
        <v>1</v>
      </c>
      <c r="H114" s="7" t="n">
        <v>159</v>
      </c>
      <c r="I114" s="7" t="n">
        <v>0</v>
      </c>
      <c r="J114" s="7" t="n">
        <v>0</v>
      </c>
      <c r="K114" s="9" t="n">
        <v>0</v>
      </c>
      <c r="L114" s="10" t="n">
        <v>94.33</v>
      </c>
      <c r="M114" s="10" t="n">
        <v>1.43</v>
      </c>
      <c r="N114" t="inlineStr">
        <is>
          <t>1</t>
        </is>
      </c>
      <c r="O114" t="inlineStr">
        <is>
          <t xml:space="preserve">2 </t>
        </is>
      </c>
      <c r="P114" t="inlineStr">
        <is>
          <t xml:space="preserve">244243  </t>
        </is>
      </c>
      <c r="Q114" s="26" t="n">
        <v>94.31999999999999</v>
      </c>
      <c r="R114" s="26">
        <f>Q114*G114</f>
        <v/>
      </c>
      <c r="S114" s="26">
        <f>IFERROR(VLOOKUP(E114*1,Tabla[#All],8,0),0)</f>
        <v/>
      </c>
      <c r="T114" s="26">
        <f>S114*G114</f>
        <v/>
      </c>
      <c r="U114" s="26">
        <f>R114-T114</f>
        <v/>
      </c>
      <c r="V114" s="26">
        <f>U114-L114</f>
        <v/>
      </c>
    </row>
    <row r="115">
      <c r="A115" s="11" t="n">
        <v>46205</v>
      </c>
      <c r="B115" s="1" t="n">
        <v>20043</v>
      </c>
      <c r="C115" s="1" t="inlineStr">
        <is>
          <t>051</t>
        </is>
      </c>
      <c r="D115" s="1" t="inlineStr">
        <is>
          <t>105399</t>
        </is>
      </c>
      <c r="E115" s="1" t="inlineStr">
        <is>
          <t xml:space="preserve">28194770       </t>
        </is>
      </c>
      <c r="F115" s="5" t="inlineStr">
        <is>
          <t>AUTOS DE METAL 3 TEAMSTERZ EN BLISTER</t>
        </is>
      </c>
      <c r="G115" t="n">
        <v>1</v>
      </c>
      <c r="H115" s="7" t="n">
        <v>6.9</v>
      </c>
      <c r="I115" s="7" t="n">
        <v>0</v>
      </c>
      <c r="J115" s="7" t="n">
        <v>0</v>
      </c>
      <c r="K115" s="9" t="n">
        <v>0</v>
      </c>
      <c r="L115" s="10" t="n">
        <v>4.1</v>
      </c>
      <c r="M115" s="10" t="n">
        <v>1.43</v>
      </c>
      <c r="N115" t="inlineStr">
        <is>
          <t>1</t>
        </is>
      </c>
      <c r="O115" t="inlineStr">
        <is>
          <t>16</t>
        </is>
      </c>
      <c r="P115" t="inlineStr">
        <is>
          <t xml:space="preserve">244243  </t>
        </is>
      </c>
      <c r="Q115" s="26" t="n">
        <v>4.09</v>
      </c>
      <c r="R115" s="26">
        <f>Q115*G115</f>
        <v/>
      </c>
      <c r="S115" s="26">
        <f>IFERROR(VLOOKUP(E115*1,Tabla[#All],8,0),0)</f>
        <v/>
      </c>
      <c r="T115" s="26">
        <f>S115*G115</f>
        <v/>
      </c>
      <c r="U115" s="26">
        <f>R115-T115</f>
        <v/>
      </c>
      <c r="V115" s="26">
        <f>U115-L115</f>
        <v/>
      </c>
    </row>
    <row r="116">
      <c r="A116" s="11" t="n">
        <v>46205</v>
      </c>
      <c r="B116" s="1" t="n">
        <v>20048</v>
      </c>
      <c r="C116" s="1" t="inlineStr">
        <is>
          <t>013</t>
        </is>
      </c>
      <c r="D116" s="1" t="inlineStr">
        <is>
          <t>223765</t>
        </is>
      </c>
      <c r="E116" s="1" t="inlineStr">
        <is>
          <t xml:space="preserve">34840534       </t>
        </is>
      </c>
      <c r="F116" s="5" t="inlineStr">
        <is>
          <t>PINYPON TENEBROSA SERIE 14 CDU 24X2</t>
        </is>
      </c>
      <c r="G116" t="n">
        <v>1</v>
      </c>
      <c r="H116" s="7" t="n">
        <v>17.9</v>
      </c>
      <c r="I116" s="7" t="n">
        <v>0</v>
      </c>
      <c r="J116" s="7" t="n">
        <v>0</v>
      </c>
      <c r="K116" s="9" t="n">
        <v>0</v>
      </c>
      <c r="L116" s="10" t="n">
        <v>10.62</v>
      </c>
      <c r="M116" s="10" t="n">
        <v>1.43</v>
      </c>
      <c r="N116" t="inlineStr">
        <is>
          <t>1</t>
        </is>
      </c>
      <c r="O116" t="inlineStr">
        <is>
          <t xml:space="preserve">2 </t>
        </is>
      </c>
      <c r="P116" t="inlineStr">
        <is>
          <t xml:space="preserve">45117   </t>
        </is>
      </c>
      <c r="Q116" s="26" t="n">
        <v>10.62</v>
      </c>
      <c r="R116" s="26">
        <f>Q116*G116</f>
        <v/>
      </c>
      <c r="S116" s="26">
        <f>IFERROR(VLOOKUP(E116*1,Tabla[#All],8,0),0)</f>
        <v/>
      </c>
      <c r="T116" s="26">
        <f>S116*G116</f>
        <v/>
      </c>
      <c r="U116" s="26">
        <f>R116-T116</f>
        <v/>
      </c>
      <c r="V116" s="26">
        <f>U116-L116</f>
        <v/>
      </c>
    </row>
    <row r="117">
      <c r="A117" s="11" t="n">
        <v>46205</v>
      </c>
      <c r="B117" s="1" t="n">
        <v>20048</v>
      </c>
      <c r="C117" s="1" t="inlineStr">
        <is>
          <t>800</t>
        </is>
      </c>
      <c r="D117" s="1" t="inlineStr">
        <is>
          <t xml:space="preserve">3285  </t>
        </is>
      </c>
      <c r="E117" s="1" t="inlineStr">
        <is>
          <t xml:space="preserve">32457099       </t>
        </is>
      </c>
      <c r="F117" s="5" t="inlineStr">
        <is>
          <t>TMZ BEAST MACHINES MONSTER JAWS A FRICCION BLISTER</t>
        </is>
      </c>
      <c r="G117" t="n">
        <v>1</v>
      </c>
      <c r="H117" s="7" t="n">
        <v>19.9</v>
      </c>
      <c r="I117" s="7" t="n">
        <v>0</v>
      </c>
      <c r="J117" s="7" t="n">
        <v>0</v>
      </c>
      <c r="K117" s="9" t="n">
        <v>0</v>
      </c>
      <c r="L117" s="10" t="n">
        <v>11.8</v>
      </c>
      <c r="M117" s="10" t="n">
        <v>1.43</v>
      </c>
      <c r="N117" t="inlineStr">
        <is>
          <t>1</t>
        </is>
      </c>
      <c r="O117" t="inlineStr">
        <is>
          <t>16</t>
        </is>
      </c>
      <c r="P117" t="inlineStr">
        <is>
          <t xml:space="preserve">234984  </t>
        </is>
      </c>
      <c r="Q117" s="26" t="n">
        <v>11.81</v>
      </c>
      <c r="R117" s="26">
        <f>Q117*G117</f>
        <v/>
      </c>
      <c r="S117" s="26">
        <f>IFERROR(VLOOKUP(E117*1,Tabla[#All],8,0),0)</f>
        <v/>
      </c>
      <c r="T117" s="26">
        <f>S117*G117</f>
        <v/>
      </c>
      <c r="U117" s="26">
        <f>R117-T117</f>
        <v/>
      </c>
      <c r="V117" s="26">
        <f>U117-L117</f>
        <v/>
      </c>
    </row>
    <row r="118">
      <c r="A118" s="11" t="n">
        <v>46205</v>
      </c>
      <c r="B118" s="1" t="n">
        <v>20048</v>
      </c>
      <c r="C118" s="1" t="inlineStr">
        <is>
          <t>800</t>
        </is>
      </c>
      <c r="D118" s="1" t="inlineStr">
        <is>
          <t xml:space="preserve">3350  </t>
        </is>
      </c>
      <c r="E118" s="1" t="inlineStr">
        <is>
          <t xml:space="preserve">29235700       </t>
        </is>
      </c>
      <c r="F118" s="5" t="inlineStr">
        <is>
          <t>HOT WHEELS CASE METALICO PARA GUARDAR 18 CARRITOS</t>
        </is>
      </c>
      <c r="G118" t="n">
        <v>1</v>
      </c>
      <c r="H118" s="7" t="n">
        <v>49.9</v>
      </c>
      <c r="I118" s="7" t="n">
        <v>0</v>
      </c>
      <c r="J118" s="7" t="n">
        <v>0</v>
      </c>
      <c r="K118" s="9" t="n">
        <v>0</v>
      </c>
      <c r="L118" s="10" t="n">
        <v>29.6</v>
      </c>
      <c r="M118" s="10" t="n">
        <v>1.43</v>
      </c>
      <c r="N118" t="inlineStr">
        <is>
          <t>1</t>
        </is>
      </c>
      <c r="O118" t="inlineStr">
        <is>
          <t>16</t>
        </is>
      </c>
      <c r="P118" t="inlineStr">
        <is>
          <t xml:space="preserve">234984  </t>
        </is>
      </c>
      <c r="Q118" s="26" t="n">
        <v>29.6</v>
      </c>
      <c r="R118" s="26">
        <f>Q118*G118</f>
        <v/>
      </c>
      <c r="S118" s="26">
        <f>IFERROR(VLOOKUP(E118*1,Tabla[#All],8,0),0)</f>
        <v/>
      </c>
      <c r="T118" s="26">
        <f>S118*G118</f>
        <v/>
      </c>
      <c r="U118" s="26">
        <f>R118-T118</f>
        <v/>
      </c>
      <c r="V118" s="26">
        <f>U118-L118</f>
        <v/>
      </c>
    </row>
    <row r="119">
      <c r="A119" s="11" t="n">
        <v>46205</v>
      </c>
      <c r="B119" s="1" t="n">
        <v>20048</v>
      </c>
      <c r="C119" s="1" t="inlineStr">
        <is>
          <t>801</t>
        </is>
      </c>
      <c r="D119" s="1" t="inlineStr">
        <is>
          <t xml:space="preserve">5692  </t>
        </is>
      </c>
      <c r="E119" s="1" t="inlineStr">
        <is>
          <t xml:space="preserve">31754676       </t>
        </is>
      </c>
      <c r="F119" s="5" t="inlineStr">
        <is>
          <t>INFINITY NADO SERIE 6 STD PACK LANZ ESPAD ANILLO M</t>
        </is>
      </c>
      <c r="G119" t="n">
        <v>1</v>
      </c>
      <c r="H119" s="7" t="n">
        <v>79.90000000000001</v>
      </c>
      <c r="I119" s="7" t="n">
        <v>0</v>
      </c>
      <c r="J119" s="7" t="n">
        <v>0</v>
      </c>
      <c r="K119" s="9" t="n">
        <v>0</v>
      </c>
      <c r="L119" s="10" t="n">
        <v>47.4</v>
      </c>
      <c r="M119" s="10" t="n">
        <v>1.43</v>
      </c>
      <c r="N119" t="inlineStr">
        <is>
          <t>1</t>
        </is>
      </c>
      <c r="O119" t="inlineStr">
        <is>
          <t>16</t>
        </is>
      </c>
      <c r="P119" t="inlineStr">
        <is>
          <t xml:space="preserve">234984  </t>
        </is>
      </c>
      <c r="Q119" s="26" t="n">
        <v>47.4</v>
      </c>
      <c r="R119" s="26">
        <f>Q119*G119</f>
        <v/>
      </c>
      <c r="S119" s="26">
        <f>IFERROR(VLOOKUP(E119*1,Tabla[#All],8,0),0)</f>
        <v/>
      </c>
      <c r="T119" s="26">
        <f>S119*G119</f>
        <v/>
      </c>
      <c r="U119" s="26">
        <f>R119-T119</f>
        <v/>
      </c>
      <c r="V119" s="26">
        <f>U119-L119</f>
        <v/>
      </c>
    </row>
    <row r="120">
      <c r="A120" s="11" t="n">
        <v>46205</v>
      </c>
      <c r="B120" s="1" t="n">
        <v>20048</v>
      </c>
      <c r="C120" s="1" t="inlineStr">
        <is>
          <t>801</t>
        </is>
      </c>
      <c r="D120" s="1" t="inlineStr">
        <is>
          <t xml:space="preserve">5696  </t>
        </is>
      </c>
      <c r="E120" s="1" t="inlineStr">
        <is>
          <t xml:space="preserve">34840550       </t>
        </is>
      </c>
      <c r="F120" s="5" t="inlineStr">
        <is>
          <t>TEAMSTERZ M/MOVERZ TRANSPORTA GORILA</t>
        </is>
      </c>
      <c r="G120" t="n">
        <v>1</v>
      </c>
      <c r="H120" s="7" t="n">
        <v>129</v>
      </c>
      <c r="I120" s="7" t="n">
        <v>0</v>
      </c>
      <c r="J120" s="7" t="n">
        <v>0</v>
      </c>
      <c r="K120" s="9" t="n">
        <v>0</v>
      </c>
      <c r="L120" s="10" t="n">
        <v>76.52</v>
      </c>
      <c r="M120" s="10" t="n">
        <v>1.43</v>
      </c>
      <c r="N120" t="inlineStr">
        <is>
          <t>1</t>
        </is>
      </c>
      <c r="O120" t="inlineStr">
        <is>
          <t>16</t>
        </is>
      </c>
      <c r="P120" t="inlineStr">
        <is>
          <t xml:space="preserve">234984  </t>
        </is>
      </c>
      <c r="Q120" s="26" t="n">
        <v>76.53</v>
      </c>
      <c r="R120" s="26">
        <f>Q120*G120</f>
        <v/>
      </c>
      <c r="S120" s="26">
        <f>IFERROR(VLOOKUP(E120*1,Tabla[#All],8,0),0)</f>
        <v/>
      </c>
      <c r="T120" s="26">
        <f>S120*G120</f>
        <v/>
      </c>
      <c r="U120" s="26">
        <f>R120-T120</f>
        <v/>
      </c>
      <c r="V120" s="26">
        <f>U120-L120</f>
        <v/>
      </c>
    </row>
    <row r="121">
      <c r="A121" s="11" t="n">
        <v>46205</v>
      </c>
      <c r="B121" s="1" t="n">
        <v>20048</v>
      </c>
      <c r="C121" s="1" t="inlineStr">
        <is>
          <t>801</t>
        </is>
      </c>
      <c r="D121" s="1" t="inlineStr">
        <is>
          <t xml:space="preserve">5696  </t>
        </is>
      </c>
      <c r="E121" s="1" t="inlineStr">
        <is>
          <t xml:space="preserve">34840553       </t>
        </is>
      </c>
      <c r="F121" s="5" t="inlineStr">
        <is>
          <t>TMZ AUTO LUZ Y SONIDO ESQUELET DINO T-REX</t>
        </is>
      </c>
      <c r="G121" t="n">
        <v>1</v>
      </c>
      <c r="H121" s="7" t="n">
        <v>79.90000000000001</v>
      </c>
      <c r="I121" s="7" t="n">
        <v>0</v>
      </c>
      <c r="J121" s="7" t="n">
        <v>0</v>
      </c>
      <c r="K121" s="9" t="n">
        <v>0</v>
      </c>
      <c r="L121" s="10" t="n">
        <v>47.4</v>
      </c>
      <c r="M121" s="10" t="n">
        <v>1.43</v>
      </c>
      <c r="N121" t="inlineStr">
        <is>
          <t>1</t>
        </is>
      </c>
      <c r="O121" t="inlineStr">
        <is>
          <t>16</t>
        </is>
      </c>
      <c r="P121" t="inlineStr">
        <is>
          <t xml:space="preserve">234984  </t>
        </is>
      </c>
      <c r="Q121" s="26" t="n">
        <v>47.4</v>
      </c>
      <c r="R121" s="26">
        <f>Q121*G121</f>
        <v/>
      </c>
      <c r="S121" s="26">
        <f>IFERROR(VLOOKUP(E121*1,Tabla[#All],8,0),0)</f>
        <v/>
      </c>
      <c r="T121" s="26">
        <f>S121*G121</f>
        <v/>
      </c>
      <c r="U121" s="26">
        <f>R121-T121</f>
        <v/>
      </c>
      <c r="V121" s="26">
        <f>U121-L121</f>
        <v/>
      </c>
    </row>
    <row r="122">
      <c r="A122" s="11" t="n">
        <v>46205</v>
      </c>
      <c r="B122" s="1" t="n">
        <v>20049</v>
      </c>
      <c r="C122" s="1" t="inlineStr">
        <is>
          <t>025</t>
        </is>
      </c>
      <c r="D122" s="1" t="inlineStr">
        <is>
          <t xml:space="preserve">32829 </t>
        </is>
      </c>
      <c r="E122" s="1" t="inlineStr">
        <is>
          <t xml:space="preserve">30141766       </t>
        </is>
      </c>
      <c r="F122" s="5" t="inlineStr">
        <is>
          <t>TMZ BEAST MACHINES AUTOS DE METAL BLISTER X 1</t>
        </is>
      </c>
      <c r="G122" t="n">
        <v>1</v>
      </c>
      <c r="H122" s="7" t="n">
        <v>7.9</v>
      </c>
      <c r="I122" s="7" t="n">
        <v>0</v>
      </c>
      <c r="J122" s="7" t="n">
        <v>0</v>
      </c>
      <c r="K122" s="9" t="n">
        <v>0</v>
      </c>
      <c r="L122" s="10" t="n">
        <v>4.68</v>
      </c>
      <c r="M122" s="10" t="n">
        <v>1.43</v>
      </c>
      <c r="N122" t="inlineStr">
        <is>
          <t>1</t>
        </is>
      </c>
      <c r="O122" t="inlineStr">
        <is>
          <t>16</t>
        </is>
      </c>
      <c r="P122" t="inlineStr">
        <is>
          <t xml:space="preserve">245485  </t>
        </is>
      </c>
      <c r="Q122" s="26" t="n">
        <v>4.69</v>
      </c>
      <c r="R122" s="26">
        <f>Q122*G122</f>
        <v/>
      </c>
      <c r="S122" s="26">
        <f>IFERROR(VLOOKUP(E122*1,Tabla[#All],8,0),0)</f>
        <v/>
      </c>
      <c r="T122" s="26">
        <f>S122*G122</f>
        <v/>
      </c>
      <c r="U122" s="26">
        <f>R122-T122</f>
        <v/>
      </c>
      <c r="V122" s="26">
        <f>U122-L122</f>
        <v/>
      </c>
    </row>
    <row r="123">
      <c r="A123" s="11" t="n">
        <v>46205</v>
      </c>
      <c r="B123" s="1" t="n">
        <v>20049</v>
      </c>
      <c r="C123" s="1" t="inlineStr">
        <is>
          <t>025</t>
        </is>
      </c>
      <c r="D123" s="1" t="inlineStr">
        <is>
          <t xml:space="preserve">32829 </t>
        </is>
      </c>
      <c r="E123" s="1" t="inlineStr">
        <is>
          <t xml:space="preserve">32457099       </t>
        </is>
      </c>
      <c r="F123" s="5" t="inlineStr">
        <is>
          <t>TMZ BEAST MACHINES MONSTER JAWS A FRICCION BLISTER</t>
        </is>
      </c>
      <c r="G123" t="n">
        <v>1</v>
      </c>
      <c r="H123" s="7" t="n">
        <v>19.9</v>
      </c>
      <c r="I123" s="7" t="n">
        <v>0</v>
      </c>
      <c r="J123" s="7" t="n">
        <v>0</v>
      </c>
      <c r="K123" s="9" t="n">
        <v>0</v>
      </c>
      <c r="L123" s="10" t="n">
        <v>11.8</v>
      </c>
      <c r="M123" s="10" t="n">
        <v>1.43</v>
      </c>
      <c r="N123" t="inlineStr">
        <is>
          <t>1</t>
        </is>
      </c>
      <c r="O123" t="inlineStr">
        <is>
          <t>16</t>
        </is>
      </c>
      <c r="P123" t="inlineStr">
        <is>
          <t xml:space="preserve">245485  </t>
        </is>
      </c>
      <c r="Q123" s="26" t="n">
        <v>11.81</v>
      </c>
      <c r="R123" s="26">
        <f>Q123*G123</f>
        <v/>
      </c>
      <c r="S123" s="26">
        <f>IFERROR(VLOOKUP(E123*1,Tabla[#All],8,0),0)</f>
        <v/>
      </c>
      <c r="T123" s="26">
        <f>S123*G123</f>
        <v/>
      </c>
      <c r="U123" s="26">
        <f>R123-T123</f>
        <v/>
      </c>
      <c r="V123" s="26">
        <f>U123-L123</f>
        <v/>
      </c>
    </row>
    <row r="124">
      <c r="A124" s="11" t="n">
        <v>46205</v>
      </c>
      <c r="B124" s="1" t="n">
        <v>20049</v>
      </c>
      <c r="C124" s="1" t="inlineStr">
        <is>
          <t>031</t>
        </is>
      </c>
      <c r="D124" s="1" t="inlineStr">
        <is>
          <t>120564</t>
        </is>
      </c>
      <c r="E124" s="1" t="inlineStr">
        <is>
          <t xml:space="preserve">28194770       </t>
        </is>
      </c>
      <c r="F124" s="5" t="inlineStr">
        <is>
          <t>AUTOS DE METAL 3 TEAMSTERZ EN BLISTER</t>
        </is>
      </c>
      <c r="G124" t="n">
        <v>1</v>
      </c>
      <c r="H124" s="7" t="n">
        <v>6.9</v>
      </c>
      <c r="I124" s="7" t="n">
        <v>0</v>
      </c>
      <c r="J124" s="7" t="n">
        <v>0</v>
      </c>
      <c r="K124" s="9" t="n">
        <v>0</v>
      </c>
      <c r="L124" s="10" t="n">
        <v>4.1</v>
      </c>
      <c r="M124" s="10" t="n">
        <v>1.43</v>
      </c>
      <c r="N124" t="inlineStr">
        <is>
          <t>1</t>
        </is>
      </c>
      <c r="O124" t="inlineStr">
        <is>
          <t xml:space="preserve">2 </t>
        </is>
      </c>
      <c r="P124" t="inlineStr">
        <is>
          <t xml:space="preserve">108879  </t>
        </is>
      </c>
      <c r="Q124" s="26" t="n">
        <v>4.09</v>
      </c>
      <c r="R124" s="26">
        <f>Q124*G124</f>
        <v/>
      </c>
      <c r="S124" s="26">
        <f>IFERROR(VLOOKUP(E124*1,Tabla[#All],8,0),0)</f>
        <v/>
      </c>
      <c r="T124" s="26">
        <f>S124*G124</f>
        <v/>
      </c>
      <c r="U124" s="26">
        <f>R124-T124</f>
        <v/>
      </c>
      <c r="V124" s="26">
        <f>U124-L124</f>
        <v/>
      </c>
    </row>
    <row r="125">
      <c r="A125" s="11" t="n">
        <v>46205</v>
      </c>
      <c r="B125" s="1" t="n">
        <v>20049</v>
      </c>
      <c r="C125" s="1" t="inlineStr">
        <is>
          <t>031</t>
        </is>
      </c>
      <c r="D125" s="1" t="inlineStr">
        <is>
          <t>120564</t>
        </is>
      </c>
      <c r="E125" s="1" t="inlineStr">
        <is>
          <t xml:space="preserve">28194770       </t>
        </is>
      </c>
      <c r="F125" s="5" t="inlineStr">
        <is>
          <t>AUTOS DE METAL 3 TEAMSTERZ EN BLISTER</t>
        </is>
      </c>
      <c r="G125" t="n">
        <v>1</v>
      </c>
      <c r="H125" s="7" t="n">
        <v>6.9</v>
      </c>
      <c r="I125" s="7" t="n">
        <v>0</v>
      </c>
      <c r="J125" s="7" t="n">
        <v>0</v>
      </c>
      <c r="K125" s="9" t="n">
        <v>0</v>
      </c>
      <c r="L125" s="10" t="n">
        <v>4.1</v>
      </c>
      <c r="M125" s="10" t="n">
        <v>1.43</v>
      </c>
      <c r="N125" t="inlineStr">
        <is>
          <t>1</t>
        </is>
      </c>
      <c r="O125" t="inlineStr">
        <is>
          <t xml:space="preserve">2 </t>
        </is>
      </c>
      <c r="P125" t="inlineStr">
        <is>
          <t xml:space="preserve">108879  </t>
        </is>
      </c>
      <c r="Q125" s="26" t="n">
        <v>4.09</v>
      </c>
      <c r="R125" s="26">
        <f>Q125*G125</f>
        <v/>
      </c>
      <c r="S125" s="26">
        <f>IFERROR(VLOOKUP(E125*1,Tabla[#All],8,0),0)</f>
        <v/>
      </c>
      <c r="T125" s="26">
        <f>S125*G125</f>
        <v/>
      </c>
      <c r="U125" s="26">
        <f>R125-T125</f>
        <v/>
      </c>
      <c r="V125" s="26">
        <f>U125-L125</f>
        <v/>
      </c>
    </row>
    <row r="126">
      <c r="A126" s="11" t="n">
        <v>46205</v>
      </c>
      <c r="B126" s="1" t="n">
        <v>20058</v>
      </c>
      <c r="C126" s="1" t="inlineStr">
        <is>
          <t>039</t>
        </is>
      </c>
      <c r="D126" s="1" t="inlineStr">
        <is>
          <t>229154</t>
        </is>
      </c>
      <c r="E126" s="1" t="inlineStr">
        <is>
          <t xml:space="preserve">34840555       </t>
        </is>
      </c>
      <c r="F126" s="5" t="inlineStr">
        <is>
          <t>TMZ BEAST MACH. TRANSPORT TIBURON +ACCS</t>
        </is>
      </c>
      <c r="G126" t="n">
        <v>1</v>
      </c>
      <c r="H126" s="7" t="n">
        <v>79.90000000000001</v>
      </c>
      <c r="I126" s="7" t="n">
        <v>0</v>
      </c>
      <c r="J126" s="7" t="n">
        <v>0</v>
      </c>
      <c r="K126" s="9" t="n">
        <v>0</v>
      </c>
      <c r="L126" s="10" t="n">
        <v>47.4</v>
      </c>
      <c r="M126" s="10" t="n">
        <v>1.43</v>
      </c>
      <c r="N126" t="inlineStr">
        <is>
          <t>1</t>
        </is>
      </c>
      <c r="O126" t="inlineStr">
        <is>
          <t xml:space="preserve">6 </t>
        </is>
      </c>
      <c r="P126" t="inlineStr">
        <is>
          <t xml:space="preserve">246156  </t>
        </is>
      </c>
      <c r="Q126" s="26" t="n">
        <v>47.4</v>
      </c>
      <c r="R126" s="26">
        <f>Q126*G126</f>
        <v/>
      </c>
      <c r="S126" s="26">
        <f>IFERROR(VLOOKUP(E126*1,Tabla[#All],8,0),0)</f>
        <v/>
      </c>
      <c r="T126" s="26">
        <f>S126*G126</f>
        <v/>
      </c>
      <c r="U126" s="26">
        <f>R126-T126</f>
        <v/>
      </c>
      <c r="V126" s="26">
        <f>U126-L126</f>
        <v/>
      </c>
    </row>
    <row r="127">
      <c r="A127" s="11" t="n">
        <v>46205</v>
      </c>
      <c r="B127" s="1" t="n">
        <v>20062</v>
      </c>
      <c r="C127" s="1" t="inlineStr">
        <is>
          <t>017</t>
        </is>
      </c>
      <c r="D127" s="1" t="inlineStr">
        <is>
          <t>234804</t>
        </is>
      </c>
      <c r="E127" s="1" t="inlineStr">
        <is>
          <t xml:space="preserve">29235700       </t>
        </is>
      </c>
      <c r="F127" s="5" t="inlineStr">
        <is>
          <t>HOT WHEELS CASE METALICO PARA GUARDAR 18 CARRITOS</t>
        </is>
      </c>
      <c r="G127" t="n">
        <v>1</v>
      </c>
      <c r="H127" s="7" t="n">
        <v>49.9</v>
      </c>
      <c r="I127" s="7" t="n">
        <v>0</v>
      </c>
      <c r="J127" s="7" t="n">
        <v>0</v>
      </c>
      <c r="K127" s="9" t="n">
        <v>0</v>
      </c>
      <c r="L127" s="10" t="n">
        <v>29.6</v>
      </c>
      <c r="M127" s="10" t="n">
        <v>1.43</v>
      </c>
      <c r="N127" t="inlineStr">
        <is>
          <t>1</t>
        </is>
      </c>
      <c r="O127" t="inlineStr">
        <is>
          <t xml:space="preserve">3 </t>
        </is>
      </c>
      <c r="P127" t="inlineStr">
        <is>
          <t xml:space="preserve">88849   </t>
        </is>
      </c>
      <c r="Q127" s="26" t="n">
        <v>29.6</v>
      </c>
      <c r="R127" s="26">
        <f>Q127*G127</f>
        <v/>
      </c>
      <c r="S127" s="26">
        <f>IFERROR(VLOOKUP(E127*1,Tabla[#All],8,0),0)</f>
        <v/>
      </c>
      <c r="T127" s="26">
        <f>S127*G127</f>
        <v/>
      </c>
      <c r="U127" s="26">
        <f>R127-T127</f>
        <v/>
      </c>
      <c r="V127" s="26">
        <f>U127-L127</f>
        <v/>
      </c>
    </row>
    <row r="128">
      <c r="A128" s="11" t="n">
        <v>46205</v>
      </c>
      <c r="B128" s="1" t="n">
        <v>20062</v>
      </c>
      <c r="C128" s="1" t="inlineStr">
        <is>
          <t>038</t>
        </is>
      </c>
      <c r="D128" s="1" t="inlineStr">
        <is>
          <t>172560</t>
        </is>
      </c>
      <c r="E128" s="1" t="inlineStr">
        <is>
          <t xml:space="preserve">29235700       </t>
        </is>
      </c>
      <c r="F128" s="5" t="inlineStr">
        <is>
          <t>HOT WHEELS CASE METALICO PARA GUARDAR 18 CARRITOS</t>
        </is>
      </c>
      <c r="G128" t="n">
        <v>1</v>
      </c>
      <c r="H128" s="7" t="n">
        <v>49.9</v>
      </c>
      <c r="I128" s="7" t="n">
        <v>0</v>
      </c>
      <c r="J128" s="7" t="n">
        <v>0</v>
      </c>
      <c r="K128" s="9" t="n">
        <v>0</v>
      </c>
      <c r="L128" s="10" t="n">
        <v>29.6</v>
      </c>
      <c r="M128" s="10" t="n">
        <v>1.43</v>
      </c>
      <c r="N128" t="inlineStr">
        <is>
          <t>1</t>
        </is>
      </c>
      <c r="O128" t="inlineStr">
        <is>
          <t>16</t>
        </is>
      </c>
      <c r="P128" t="inlineStr">
        <is>
          <t xml:space="preserve">249957  </t>
        </is>
      </c>
      <c r="Q128" s="26" t="n">
        <v>29.6</v>
      </c>
      <c r="R128" s="26">
        <f>Q128*G128</f>
        <v/>
      </c>
      <c r="S128" s="26">
        <f>IFERROR(VLOOKUP(E128*1,Tabla[#All],8,0),0)</f>
        <v/>
      </c>
      <c r="T128" s="26">
        <f>S128*G128</f>
        <v/>
      </c>
      <c r="U128" s="26">
        <f>R128-T128</f>
        <v/>
      </c>
      <c r="V128" s="26">
        <f>U128-L128</f>
        <v/>
      </c>
    </row>
    <row r="129">
      <c r="A129" s="11" t="n">
        <v>46205</v>
      </c>
      <c r="B129" s="1" t="n">
        <v>20066</v>
      </c>
      <c r="C129" s="1" t="inlineStr">
        <is>
          <t>057</t>
        </is>
      </c>
      <c r="D129" s="1" t="inlineStr">
        <is>
          <t>492970</t>
        </is>
      </c>
      <c r="E129" s="1" t="inlineStr">
        <is>
          <t xml:space="preserve">28194770       </t>
        </is>
      </c>
      <c r="F129" s="5" t="inlineStr">
        <is>
          <t>AUTOS DE METAL 3 TEAMSTERZ EN BLISTER</t>
        </is>
      </c>
      <c r="G129" t="n">
        <v>1</v>
      </c>
      <c r="H129" s="7" t="n">
        <v>6.9</v>
      </c>
      <c r="I129" s="7" t="n">
        <v>0</v>
      </c>
      <c r="J129" s="7" t="n">
        <v>0</v>
      </c>
      <c r="K129" s="9" t="n">
        <v>0</v>
      </c>
      <c r="L129" s="10" t="n">
        <v>4.1</v>
      </c>
      <c r="M129" s="10" t="n">
        <v>1.43</v>
      </c>
      <c r="N129" t="inlineStr">
        <is>
          <t>1</t>
        </is>
      </c>
      <c r="O129" t="inlineStr">
        <is>
          <t xml:space="preserve">2 </t>
        </is>
      </c>
      <c r="P129" t="inlineStr">
        <is>
          <t xml:space="preserve">43274   </t>
        </is>
      </c>
      <c r="Q129" s="26" t="n">
        <v>4.09</v>
      </c>
      <c r="R129" s="26">
        <f>Q129*G129</f>
        <v/>
      </c>
      <c r="S129" s="26">
        <f>IFERROR(VLOOKUP(E129*1,Tabla[#All],8,0),0)</f>
        <v/>
      </c>
      <c r="T129" s="26">
        <f>S129*G129</f>
        <v/>
      </c>
      <c r="U129" s="26">
        <f>R129-T129</f>
        <v/>
      </c>
      <c r="V129" s="26">
        <f>U129-L129</f>
        <v/>
      </c>
    </row>
    <row r="130">
      <c r="A130" s="11" t="n">
        <v>46205</v>
      </c>
      <c r="B130" s="1" t="n">
        <v>20066</v>
      </c>
      <c r="C130" s="1" t="inlineStr">
        <is>
          <t>057</t>
        </is>
      </c>
      <c r="D130" s="1" t="inlineStr">
        <is>
          <t>492970</t>
        </is>
      </c>
      <c r="E130" s="1" t="inlineStr">
        <is>
          <t xml:space="preserve">28194770       </t>
        </is>
      </c>
      <c r="F130" s="5" t="inlineStr">
        <is>
          <t>AUTOS DE METAL 3 TEAMSTERZ EN BLISTER</t>
        </is>
      </c>
      <c r="G130" t="n">
        <v>1</v>
      </c>
      <c r="H130" s="7" t="n">
        <v>6.9</v>
      </c>
      <c r="I130" s="7" t="n">
        <v>0</v>
      </c>
      <c r="J130" s="7" t="n">
        <v>0</v>
      </c>
      <c r="K130" s="9" t="n">
        <v>0</v>
      </c>
      <c r="L130" s="10" t="n">
        <v>4.1</v>
      </c>
      <c r="M130" s="10" t="n">
        <v>1.43</v>
      </c>
      <c r="N130" t="inlineStr">
        <is>
          <t>1</t>
        </is>
      </c>
      <c r="O130" t="inlineStr">
        <is>
          <t xml:space="preserve">2 </t>
        </is>
      </c>
      <c r="P130" t="inlineStr">
        <is>
          <t xml:space="preserve">43274   </t>
        </is>
      </c>
      <c r="Q130" s="26" t="n">
        <v>4.09</v>
      </c>
      <c r="R130" s="26">
        <f>Q130*G130</f>
        <v/>
      </c>
      <c r="S130" s="26">
        <f>IFERROR(VLOOKUP(E130*1,Tabla[#All],8,0),0)</f>
        <v/>
      </c>
      <c r="T130" s="26">
        <f>S130*G130</f>
        <v/>
      </c>
      <c r="U130" s="26">
        <f>R130-T130</f>
        <v/>
      </c>
      <c r="V130" s="26">
        <f>U130-L130</f>
        <v/>
      </c>
    </row>
    <row r="131">
      <c r="A131" s="11" t="n">
        <v>46205</v>
      </c>
      <c r="B131" s="1" t="n">
        <v>20066</v>
      </c>
      <c r="C131" s="1" t="inlineStr">
        <is>
          <t>057</t>
        </is>
      </c>
      <c r="D131" s="1" t="inlineStr">
        <is>
          <t>492970</t>
        </is>
      </c>
      <c r="E131" s="1" t="inlineStr">
        <is>
          <t xml:space="preserve">28194770       </t>
        </is>
      </c>
      <c r="F131" s="5" t="inlineStr">
        <is>
          <t>AUTOS DE METAL 3 TEAMSTERZ EN BLISTER</t>
        </is>
      </c>
      <c r="G131" t="n">
        <v>1</v>
      </c>
      <c r="H131" s="7" t="n">
        <v>6.9</v>
      </c>
      <c r="I131" s="7" t="n">
        <v>0</v>
      </c>
      <c r="J131" s="7" t="n">
        <v>0</v>
      </c>
      <c r="K131" s="9" t="n">
        <v>0</v>
      </c>
      <c r="L131" s="10" t="n">
        <v>4.1</v>
      </c>
      <c r="M131" s="10" t="n">
        <v>1.43</v>
      </c>
      <c r="N131" t="inlineStr">
        <is>
          <t>1</t>
        </is>
      </c>
      <c r="O131" t="inlineStr">
        <is>
          <t xml:space="preserve">2 </t>
        </is>
      </c>
      <c r="P131" t="inlineStr">
        <is>
          <t xml:space="preserve">43274   </t>
        </is>
      </c>
      <c r="Q131" s="26" t="n">
        <v>4.09</v>
      </c>
      <c r="R131" s="26">
        <f>Q131*G131</f>
        <v/>
      </c>
      <c r="S131" s="26">
        <f>IFERROR(VLOOKUP(E131*1,Tabla[#All],8,0),0)</f>
        <v/>
      </c>
      <c r="T131" s="26">
        <f>S131*G131</f>
        <v/>
      </c>
      <c r="U131" s="26">
        <f>R131-T131</f>
        <v/>
      </c>
      <c r="V131" s="26">
        <f>U131-L131</f>
        <v/>
      </c>
    </row>
    <row r="132">
      <c r="A132" s="11" t="n">
        <v>46205</v>
      </c>
      <c r="B132" s="1" t="n">
        <v>20073</v>
      </c>
      <c r="C132" s="1" t="inlineStr">
        <is>
          <t>804</t>
        </is>
      </c>
      <c r="D132" s="1" t="inlineStr">
        <is>
          <t xml:space="preserve">9909  </t>
        </is>
      </c>
      <c r="E132" s="1" t="inlineStr">
        <is>
          <t xml:space="preserve">28194769       </t>
        </is>
      </c>
      <c r="F132" s="5" t="inlineStr">
        <is>
          <t>AUTOS DE METAL 3 TEAMSTERZ PACK DE 2</t>
        </is>
      </c>
      <c r="G132" t="n">
        <v>1</v>
      </c>
      <c r="H132" s="7" t="n">
        <v>13.8</v>
      </c>
      <c r="I132" s="7" t="n">
        <v>0</v>
      </c>
      <c r="J132" s="7" t="n">
        <v>0</v>
      </c>
      <c r="K132" s="9" t="n">
        <v>0</v>
      </c>
      <c r="L132" s="10" t="n">
        <v>8.18</v>
      </c>
      <c r="M132" s="10" t="n">
        <v>1.43</v>
      </c>
      <c r="N132" t="inlineStr">
        <is>
          <t>1</t>
        </is>
      </c>
      <c r="O132" t="inlineStr">
        <is>
          <t>16</t>
        </is>
      </c>
      <c r="P132" t="inlineStr">
        <is>
          <t xml:space="preserve">0       </t>
        </is>
      </c>
      <c r="Q132" s="26" t="n">
        <v>8.19</v>
      </c>
      <c r="R132" s="26">
        <f>Q132*G132</f>
        <v/>
      </c>
      <c r="S132" s="26">
        <f>IFERROR(VLOOKUP(E132*1,Tabla[#All],8,0),0)</f>
        <v/>
      </c>
      <c r="T132" s="26">
        <f>S132*G132</f>
        <v/>
      </c>
      <c r="U132" s="26">
        <f>R132-T132</f>
        <v/>
      </c>
      <c r="V132" s="26">
        <f>U132-L132</f>
        <v/>
      </c>
    </row>
    <row r="133">
      <c r="A133" s="11" t="n">
        <v>46205</v>
      </c>
      <c r="B133" s="1" t="n">
        <v>20074</v>
      </c>
      <c r="C133" s="1" t="inlineStr">
        <is>
          <t>015</t>
        </is>
      </c>
      <c r="D133" s="1" t="inlineStr">
        <is>
          <t>227135</t>
        </is>
      </c>
      <c r="E133" s="1" t="inlineStr">
        <is>
          <t xml:space="preserve">28194768       </t>
        </is>
      </c>
      <c r="F133" s="5" t="inlineStr">
        <is>
          <t>AUTO COLOR CHANGE TEAMSTERZ SURTIDO</t>
        </is>
      </c>
      <c r="G133" t="n">
        <v>1</v>
      </c>
      <c r="H133" s="7" t="n">
        <v>14.9</v>
      </c>
      <c r="I133" s="7" t="n">
        <v>0</v>
      </c>
      <c r="J133" s="7" t="n">
        <v>0</v>
      </c>
      <c r="K133" s="9" t="n">
        <v>0</v>
      </c>
      <c r="L133" s="10" t="n">
        <v>8.84</v>
      </c>
      <c r="M133" s="10" t="n">
        <v>1.43</v>
      </c>
      <c r="N133" t="inlineStr">
        <is>
          <t>1</t>
        </is>
      </c>
      <c r="O133" t="inlineStr">
        <is>
          <t>16</t>
        </is>
      </c>
      <c r="P133" t="inlineStr">
        <is>
          <t xml:space="preserve">251008  </t>
        </is>
      </c>
      <c r="Q133" s="26" t="n">
        <v>8.84</v>
      </c>
      <c r="R133" s="26">
        <f>Q133*G133</f>
        <v/>
      </c>
      <c r="S133" s="26">
        <f>IFERROR(VLOOKUP(E133*1,Tabla[#All],8,0),0)</f>
        <v/>
      </c>
      <c r="T133" s="26">
        <f>S133*G133</f>
        <v/>
      </c>
      <c r="U133" s="26">
        <f>R133-T133</f>
        <v/>
      </c>
      <c r="V133" s="26">
        <f>U133-L133</f>
        <v/>
      </c>
    </row>
    <row r="134">
      <c r="A134" s="11" t="n">
        <v>46205</v>
      </c>
      <c r="B134" s="1" t="n">
        <v>20074</v>
      </c>
      <c r="C134" s="1" t="inlineStr">
        <is>
          <t>048</t>
        </is>
      </c>
      <c r="D134" s="1" t="inlineStr">
        <is>
          <t>144206</t>
        </is>
      </c>
      <c r="E134" s="1" t="inlineStr">
        <is>
          <t xml:space="preserve">28194770       </t>
        </is>
      </c>
      <c r="F134" s="5" t="inlineStr">
        <is>
          <t>AUTOS DE METAL 3 TEAMSTERZ EN BLISTER</t>
        </is>
      </c>
      <c r="G134" t="n">
        <v>1</v>
      </c>
      <c r="H134" s="7" t="n">
        <v>6.9</v>
      </c>
      <c r="I134" s="7" t="n">
        <v>0</v>
      </c>
      <c r="J134" s="7" t="n">
        <v>0</v>
      </c>
      <c r="K134" s="9" t="n">
        <v>0</v>
      </c>
      <c r="L134" s="10" t="n">
        <v>4.1</v>
      </c>
      <c r="M134" s="10" t="n">
        <v>1.43</v>
      </c>
      <c r="N134" t="inlineStr">
        <is>
          <t>1</t>
        </is>
      </c>
      <c r="O134" t="inlineStr">
        <is>
          <t>16</t>
        </is>
      </c>
      <c r="P134" t="inlineStr">
        <is>
          <t xml:space="preserve">104416  </t>
        </is>
      </c>
      <c r="Q134" s="26" t="n">
        <v>4.09</v>
      </c>
      <c r="R134" s="26">
        <f>Q134*G134</f>
        <v/>
      </c>
      <c r="S134" s="26">
        <f>IFERROR(VLOOKUP(E134*1,Tabla[#All],8,0),0)</f>
        <v/>
      </c>
      <c r="T134" s="26">
        <f>S134*G134</f>
        <v/>
      </c>
      <c r="U134" s="26">
        <f>R134-T134</f>
        <v/>
      </c>
      <c r="V134" s="26">
        <f>U134-L134</f>
        <v/>
      </c>
    </row>
    <row r="135">
      <c r="A135" s="11" t="n">
        <v>46205</v>
      </c>
      <c r="B135" s="1" t="n">
        <v>20077</v>
      </c>
      <c r="C135" s="1" t="inlineStr">
        <is>
          <t>016</t>
        </is>
      </c>
      <c r="D135" s="1" t="inlineStr">
        <is>
          <t>120511</t>
        </is>
      </c>
      <c r="E135" s="1" t="inlineStr">
        <is>
          <t xml:space="preserve">34840526       </t>
        </is>
      </c>
      <c r="F135" s="5" t="inlineStr">
        <is>
          <t>NENUCO ABRACITOS</t>
        </is>
      </c>
      <c r="G135" t="n">
        <v>1</v>
      </c>
      <c r="H135" s="7" t="n">
        <v>119</v>
      </c>
      <c r="I135" s="7" t="n">
        <v>0</v>
      </c>
      <c r="J135" s="7" t="n">
        <v>0</v>
      </c>
      <c r="K135" s="9" t="n">
        <v>0</v>
      </c>
      <c r="L135" s="10" t="n">
        <v>70.59999999999999</v>
      </c>
      <c r="M135" s="10" t="n">
        <v>1.43</v>
      </c>
      <c r="N135" t="inlineStr">
        <is>
          <t>1</t>
        </is>
      </c>
      <c r="O135" t="inlineStr">
        <is>
          <t xml:space="preserve">3 </t>
        </is>
      </c>
      <c r="P135" t="inlineStr">
        <is>
          <t xml:space="preserve">44367   </t>
        </is>
      </c>
      <c r="Q135" s="26" t="n">
        <v>70.59</v>
      </c>
      <c r="R135" s="26">
        <f>Q135*G135</f>
        <v/>
      </c>
      <c r="S135" s="26">
        <f>IFERROR(VLOOKUP(E135*1,Tabla[#All],8,0),0)</f>
        <v/>
      </c>
      <c r="T135" s="26">
        <f>S135*G135</f>
        <v/>
      </c>
      <c r="U135" s="26">
        <f>R135-T135</f>
        <v/>
      </c>
      <c r="V135" s="26">
        <f>U135-L135</f>
        <v/>
      </c>
    </row>
    <row r="136">
      <c r="A136" s="11" t="n">
        <v>46205</v>
      </c>
      <c r="B136" s="1" t="n">
        <v>20077</v>
      </c>
      <c r="C136" s="1" t="inlineStr">
        <is>
          <t>029</t>
        </is>
      </c>
      <c r="D136" s="1" t="inlineStr">
        <is>
          <t>155660</t>
        </is>
      </c>
      <c r="E136" s="1" t="inlineStr">
        <is>
          <t xml:space="preserve">28194780       </t>
        </is>
      </c>
      <c r="F136" s="5" t="inlineStr">
        <is>
          <t>TROMPO BATALLA INFINITY NADO PLSTICO SURTIDO</t>
        </is>
      </c>
      <c r="G136" t="n">
        <v>1</v>
      </c>
      <c r="H136" s="7" t="n">
        <v>19.9</v>
      </c>
      <c r="I136" s="7" t="n">
        <v>0</v>
      </c>
      <c r="J136" s="7" t="n">
        <v>0</v>
      </c>
      <c r="K136" s="9" t="n">
        <v>0</v>
      </c>
      <c r="L136" s="10" t="n">
        <v>11.8</v>
      </c>
      <c r="M136" s="10" t="n">
        <v>1.43</v>
      </c>
      <c r="N136" t="inlineStr">
        <is>
          <t>1</t>
        </is>
      </c>
      <c r="O136" t="inlineStr">
        <is>
          <t>16</t>
        </is>
      </c>
      <c r="P136" t="inlineStr">
        <is>
          <t xml:space="preserve">250382  </t>
        </is>
      </c>
      <c r="Q136" s="26" t="n">
        <v>11.81</v>
      </c>
      <c r="R136" s="26">
        <f>Q136*G136</f>
        <v/>
      </c>
      <c r="S136" s="26">
        <f>IFERROR(VLOOKUP(E136*1,Tabla[#All],8,0),0)</f>
        <v/>
      </c>
      <c r="T136" s="26">
        <f>S136*G136</f>
        <v/>
      </c>
      <c r="U136" s="26">
        <f>R136-T136</f>
        <v/>
      </c>
      <c r="V136" s="26">
        <f>U136-L136</f>
        <v/>
      </c>
    </row>
    <row r="137">
      <c r="A137" s="11" t="n">
        <v>46205</v>
      </c>
      <c r="B137" s="1" t="n">
        <v>20077</v>
      </c>
      <c r="C137" s="1" t="inlineStr">
        <is>
          <t>029</t>
        </is>
      </c>
      <c r="D137" s="1" t="inlineStr">
        <is>
          <t>155660</t>
        </is>
      </c>
      <c r="E137" s="1" t="inlineStr">
        <is>
          <t xml:space="preserve">29235701       </t>
        </is>
      </c>
      <c r="F137" s="5" t="inlineStr">
        <is>
          <t>INFINITY NADO TROMPO DE BATALLA - METAL EN CAJA</t>
        </is>
      </c>
      <c r="G137" t="n">
        <v>1</v>
      </c>
      <c r="H137" s="7" t="n">
        <v>39.9</v>
      </c>
      <c r="I137" s="7" t="n">
        <v>0</v>
      </c>
      <c r="J137" s="7" t="n">
        <v>0</v>
      </c>
      <c r="K137" s="9" t="n">
        <v>0</v>
      </c>
      <c r="L137" s="10" t="n">
        <v>23.67</v>
      </c>
      <c r="M137" s="10" t="n">
        <v>1.43</v>
      </c>
      <c r="N137" t="inlineStr">
        <is>
          <t>1</t>
        </is>
      </c>
      <c r="O137" t="inlineStr">
        <is>
          <t>16</t>
        </is>
      </c>
      <c r="P137" t="inlineStr">
        <is>
          <t xml:space="preserve">250382  </t>
        </is>
      </c>
      <c r="Q137" s="26" t="n">
        <v>23.67</v>
      </c>
      <c r="R137" s="26">
        <f>Q137*G137</f>
        <v/>
      </c>
      <c r="S137" s="26">
        <f>IFERROR(VLOOKUP(E137*1,Tabla[#All],8,0),0)</f>
        <v/>
      </c>
      <c r="T137" s="26">
        <f>S137*G137</f>
        <v/>
      </c>
      <c r="U137" s="26">
        <f>R137-T137</f>
        <v/>
      </c>
      <c r="V137" s="26">
        <f>U137-L137</f>
        <v/>
      </c>
    </row>
    <row r="138">
      <c r="A138" s="11" t="n">
        <v>46205</v>
      </c>
      <c r="B138" s="1" t="n">
        <v>20077</v>
      </c>
      <c r="C138" s="1" t="inlineStr">
        <is>
          <t>801</t>
        </is>
      </c>
      <c r="D138" s="1" t="inlineStr">
        <is>
          <t xml:space="preserve">1547  </t>
        </is>
      </c>
      <c r="E138" s="1" t="inlineStr">
        <is>
          <t xml:space="preserve">28194770       </t>
        </is>
      </c>
      <c r="F138" s="5" t="inlineStr">
        <is>
          <t>AUTOS DE METAL 3 TEAMSTERZ EN BLISTER</t>
        </is>
      </c>
      <c r="G138" t="n">
        <v>2</v>
      </c>
      <c r="H138" s="7" t="n">
        <v>13.8</v>
      </c>
      <c r="I138" s="7" t="n">
        <v>0</v>
      </c>
      <c r="J138" s="7" t="n">
        <v>0</v>
      </c>
      <c r="K138" s="9" t="n">
        <v>0</v>
      </c>
      <c r="L138" s="10" t="n">
        <v>8.18</v>
      </c>
      <c r="M138" s="10" t="n">
        <v>1.43</v>
      </c>
      <c r="N138" t="inlineStr">
        <is>
          <t>1</t>
        </is>
      </c>
      <c r="O138" t="inlineStr">
        <is>
          <t>16</t>
        </is>
      </c>
      <c r="P138" t="inlineStr">
        <is>
          <t xml:space="preserve">55315   </t>
        </is>
      </c>
      <c r="Q138" s="26" t="n">
        <v>4.09</v>
      </c>
      <c r="R138" s="26">
        <f>Q138*G138</f>
        <v/>
      </c>
      <c r="S138" s="26">
        <f>IFERROR(VLOOKUP(E138*1,Tabla[#All],8,0),0)</f>
        <v/>
      </c>
      <c r="T138" s="26">
        <f>S138*G138</f>
        <v/>
      </c>
      <c r="U138" s="26">
        <f>R138-T138</f>
        <v/>
      </c>
      <c r="V138" s="26">
        <f>U138-L138</f>
        <v/>
      </c>
    </row>
    <row r="139">
      <c r="A139" s="11" t="n">
        <v>46205</v>
      </c>
      <c r="B139" s="1" t="n">
        <v>20080</v>
      </c>
      <c r="C139" s="1" t="inlineStr">
        <is>
          <t>013</t>
        </is>
      </c>
      <c r="D139" s="1" t="inlineStr">
        <is>
          <t>128429</t>
        </is>
      </c>
      <c r="E139" s="1" t="inlineStr">
        <is>
          <t xml:space="preserve">31959957       </t>
        </is>
      </c>
      <c r="F139" s="5" t="inlineStr">
        <is>
          <t>TEAMSTERZ PLAYSET RESCATE EN EL MAR</t>
        </is>
      </c>
      <c r="G139" t="n">
        <v>1</v>
      </c>
      <c r="H139" s="7" t="n">
        <v>19.9</v>
      </c>
      <c r="I139" s="7" t="n">
        <v>0</v>
      </c>
      <c r="J139" s="7" t="n">
        <v>0</v>
      </c>
      <c r="K139" s="9" t="n">
        <v>0</v>
      </c>
      <c r="L139" s="10" t="n">
        <v>11.8</v>
      </c>
      <c r="M139" s="10" t="n">
        <v>1.43</v>
      </c>
      <c r="N139" t="inlineStr">
        <is>
          <t>1</t>
        </is>
      </c>
      <c r="O139" t="inlineStr">
        <is>
          <t>16</t>
        </is>
      </c>
      <c r="P139" t="inlineStr">
        <is>
          <t xml:space="preserve">66628   </t>
        </is>
      </c>
      <c r="Q139" s="26" t="n">
        <v>11.81</v>
      </c>
      <c r="R139" s="26">
        <f>Q139*G139</f>
        <v/>
      </c>
      <c r="S139" s="26">
        <f>IFERROR(VLOOKUP(E139*1,Tabla[#All],8,0),0)</f>
        <v/>
      </c>
      <c r="T139" s="26">
        <f>S139*G139</f>
        <v/>
      </c>
      <c r="U139" s="26">
        <f>R139-T139</f>
        <v/>
      </c>
      <c r="V139" s="26">
        <f>U139-L139</f>
        <v/>
      </c>
    </row>
    <row r="140">
      <c r="A140" s="11" t="n">
        <v>46205</v>
      </c>
      <c r="B140" s="1" t="n">
        <v>20080</v>
      </c>
      <c r="C140" s="1" t="inlineStr">
        <is>
          <t>026</t>
        </is>
      </c>
      <c r="D140" s="1" t="inlineStr">
        <is>
          <t>208517</t>
        </is>
      </c>
      <c r="E140" s="1" t="inlineStr">
        <is>
          <t xml:space="preserve">30141766       </t>
        </is>
      </c>
      <c r="F140" s="5" t="inlineStr">
        <is>
          <t>TMZ BEAST MACHINES AUTOS DE METAL BLISTER X 1</t>
        </is>
      </c>
      <c r="G140" t="n">
        <v>1</v>
      </c>
      <c r="H140" s="7" t="n">
        <v>7.9</v>
      </c>
      <c r="I140" s="7" t="n">
        <v>0</v>
      </c>
      <c r="J140" s="7" t="n">
        <v>0</v>
      </c>
      <c r="K140" s="9" t="n">
        <v>0</v>
      </c>
      <c r="L140" s="10" t="n">
        <v>4.68</v>
      </c>
      <c r="M140" s="10" t="n">
        <v>1.43</v>
      </c>
      <c r="N140" t="inlineStr">
        <is>
          <t>1</t>
        </is>
      </c>
      <c r="O140" t="inlineStr">
        <is>
          <t xml:space="preserve">2 </t>
        </is>
      </c>
      <c r="P140" t="inlineStr">
        <is>
          <t xml:space="preserve">247625  </t>
        </is>
      </c>
      <c r="Q140" s="26" t="n">
        <v>4.69</v>
      </c>
      <c r="R140" s="26">
        <f>Q140*G140</f>
        <v/>
      </c>
      <c r="S140" s="26">
        <f>IFERROR(VLOOKUP(E140*1,Tabla[#All],8,0),0)</f>
        <v/>
      </c>
      <c r="T140" s="26">
        <f>S140*G140</f>
        <v/>
      </c>
      <c r="U140" s="26">
        <f>R140-T140</f>
        <v/>
      </c>
      <c r="V140" s="26">
        <f>U140-L140</f>
        <v/>
      </c>
    </row>
    <row r="141">
      <c r="A141" s="11" t="n">
        <v>46205</v>
      </c>
      <c r="B141" s="1" t="n">
        <v>20080</v>
      </c>
      <c r="C141" s="1" t="inlineStr">
        <is>
          <t>026</t>
        </is>
      </c>
      <c r="D141" s="1" t="inlineStr">
        <is>
          <t>208517</t>
        </is>
      </c>
      <c r="E141" s="1" t="inlineStr">
        <is>
          <t xml:space="preserve">30141766       </t>
        </is>
      </c>
      <c r="F141" s="5" t="inlineStr">
        <is>
          <t>TMZ BEAST MACHINES AUTOS DE METAL BLISTER X 1</t>
        </is>
      </c>
      <c r="G141" t="n">
        <v>1</v>
      </c>
      <c r="H141" s="7" t="n">
        <v>7.9</v>
      </c>
      <c r="I141" s="7" t="n">
        <v>0</v>
      </c>
      <c r="J141" s="7" t="n">
        <v>0</v>
      </c>
      <c r="K141" s="9" t="n">
        <v>0</v>
      </c>
      <c r="L141" s="10" t="n">
        <v>4.68</v>
      </c>
      <c r="M141" s="10" t="n">
        <v>1.43</v>
      </c>
      <c r="N141" t="inlineStr">
        <is>
          <t>1</t>
        </is>
      </c>
      <c r="O141" t="inlineStr">
        <is>
          <t xml:space="preserve">2 </t>
        </is>
      </c>
      <c r="P141" t="inlineStr">
        <is>
          <t xml:space="preserve">247625  </t>
        </is>
      </c>
      <c r="Q141" s="26" t="n">
        <v>4.69</v>
      </c>
      <c r="R141" s="26">
        <f>Q141*G141</f>
        <v/>
      </c>
      <c r="S141" s="26">
        <f>IFERROR(VLOOKUP(E141*1,Tabla[#All],8,0),0)</f>
        <v/>
      </c>
      <c r="T141" s="26">
        <f>S141*G141</f>
        <v/>
      </c>
      <c r="U141" s="26">
        <f>R141-T141</f>
        <v/>
      </c>
      <c r="V141" s="26">
        <f>U141-L141</f>
        <v/>
      </c>
    </row>
    <row r="142">
      <c r="A142" s="11" t="n">
        <v>46205</v>
      </c>
      <c r="B142" s="1" t="n">
        <v>20080</v>
      </c>
      <c r="C142" s="1" t="inlineStr">
        <is>
          <t>026</t>
        </is>
      </c>
      <c r="D142" s="1" t="inlineStr">
        <is>
          <t>208534</t>
        </is>
      </c>
      <c r="E142" s="1" t="inlineStr">
        <is>
          <t xml:space="preserve">30141769       </t>
        </is>
      </c>
      <c r="F142" s="5" t="inlineStr">
        <is>
          <t>TMZ BEAST MACHINES TRANSPORTE DINOSAURIO + 3 AUTOS</t>
        </is>
      </c>
      <c r="G142" t="n">
        <v>1</v>
      </c>
      <c r="H142" s="7" t="n">
        <v>79.90000000000001</v>
      </c>
      <c r="I142" s="7" t="n">
        <v>0</v>
      </c>
      <c r="J142" s="7" t="n">
        <v>0</v>
      </c>
      <c r="K142" s="9" t="n">
        <v>0</v>
      </c>
      <c r="L142" s="10" t="n">
        <v>47.4</v>
      </c>
      <c r="M142" s="10" t="n">
        <v>1.43</v>
      </c>
      <c r="N142" t="inlineStr">
        <is>
          <t>1</t>
        </is>
      </c>
      <c r="O142" t="inlineStr">
        <is>
          <t>16</t>
        </is>
      </c>
      <c r="P142" t="inlineStr">
        <is>
          <t xml:space="preserve">247625  </t>
        </is>
      </c>
      <c r="Q142" s="26" t="n">
        <v>47.4</v>
      </c>
      <c r="R142" s="26">
        <f>Q142*G142</f>
        <v/>
      </c>
      <c r="S142" s="26">
        <f>IFERROR(VLOOKUP(E142*1,Tabla[#All],8,0),0)</f>
        <v/>
      </c>
      <c r="T142" s="26">
        <f>S142*G142</f>
        <v/>
      </c>
      <c r="U142" s="26">
        <f>R142-T142</f>
        <v/>
      </c>
      <c r="V142" s="26">
        <f>U142-L142</f>
        <v/>
      </c>
    </row>
    <row r="143">
      <c r="A143" s="11" t="n">
        <v>46205</v>
      </c>
      <c r="B143" s="1" t="n">
        <v>20080</v>
      </c>
      <c r="C143" s="1" t="inlineStr">
        <is>
          <t>026</t>
        </is>
      </c>
      <c r="D143" s="1" t="inlineStr">
        <is>
          <t>208534</t>
        </is>
      </c>
      <c r="E143" s="1" t="inlineStr">
        <is>
          <t xml:space="preserve">33483119       </t>
        </is>
      </c>
      <c r="F143" s="5" t="inlineStr">
        <is>
          <t>MUNECA EVI LOVE TRAJE TIPICO CON ALPACA</t>
        </is>
      </c>
      <c r="G143" t="n">
        <v>1</v>
      </c>
      <c r="H143" s="7" t="n">
        <v>29.9</v>
      </c>
      <c r="I143" s="7" t="n">
        <v>0</v>
      </c>
      <c r="J143" s="7" t="n">
        <v>0</v>
      </c>
      <c r="K143" s="9" t="n">
        <v>0</v>
      </c>
      <c r="L143" s="10" t="n">
        <v>17.74</v>
      </c>
      <c r="M143" s="10" t="n">
        <v>1.43</v>
      </c>
      <c r="N143" t="inlineStr">
        <is>
          <t>1</t>
        </is>
      </c>
      <c r="O143" t="inlineStr">
        <is>
          <t>16</t>
        </is>
      </c>
      <c r="P143" t="inlineStr">
        <is>
          <t xml:space="preserve">247625  </t>
        </is>
      </c>
      <c r="Q143" s="26" t="n">
        <v>17.74</v>
      </c>
      <c r="R143" s="26">
        <f>Q143*G143</f>
        <v/>
      </c>
      <c r="S143" s="26">
        <f>IFERROR(VLOOKUP(E143*1,Tabla[#All],8,0),0)</f>
        <v/>
      </c>
      <c r="T143" s="26">
        <f>S143*G143</f>
        <v/>
      </c>
      <c r="U143" s="26">
        <f>R143-T143</f>
        <v/>
      </c>
      <c r="V143" s="26">
        <f>U143-L143</f>
        <v/>
      </c>
    </row>
    <row r="144">
      <c r="A144" s="11" t="n">
        <v>46205</v>
      </c>
      <c r="B144" s="1" t="n">
        <v>20080</v>
      </c>
      <c r="C144" s="1" t="inlineStr">
        <is>
          <t>026</t>
        </is>
      </c>
      <c r="D144" s="1" t="inlineStr">
        <is>
          <t>208535</t>
        </is>
      </c>
      <c r="E144" s="1" t="inlineStr">
        <is>
          <t xml:space="preserve">32457099       </t>
        </is>
      </c>
      <c r="F144" s="5" t="inlineStr">
        <is>
          <t>TMZ BEAST MACHINES MONSTER JAWS A FRICCION BLISTER</t>
        </is>
      </c>
      <c r="G144" t="n">
        <v>1</v>
      </c>
      <c r="H144" s="7" t="n">
        <v>19.9</v>
      </c>
      <c r="I144" s="7" t="n">
        <v>0</v>
      </c>
      <c r="J144" s="7" t="n">
        <v>0</v>
      </c>
      <c r="K144" s="9" t="n">
        <v>0</v>
      </c>
      <c r="L144" s="10" t="n">
        <v>11.8</v>
      </c>
      <c r="M144" s="10" t="n">
        <v>1.43</v>
      </c>
      <c r="N144" t="inlineStr">
        <is>
          <t>1</t>
        </is>
      </c>
      <c r="O144" t="inlineStr">
        <is>
          <t xml:space="preserve">3 </t>
        </is>
      </c>
      <c r="P144" t="inlineStr">
        <is>
          <t xml:space="preserve">247625  </t>
        </is>
      </c>
      <c r="Q144" s="26" t="n">
        <v>11.81</v>
      </c>
      <c r="R144" s="26">
        <f>Q144*G144</f>
        <v/>
      </c>
      <c r="S144" s="26">
        <f>IFERROR(VLOOKUP(E144*1,Tabla[#All],8,0),0)</f>
        <v/>
      </c>
      <c r="T144" s="26">
        <f>S144*G144</f>
        <v/>
      </c>
      <c r="U144" s="26">
        <f>R144-T144</f>
        <v/>
      </c>
      <c r="V144" s="26">
        <f>U144-L144</f>
        <v/>
      </c>
    </row>
    <row r="145">
      <c r="A145" s="11" t="n">
        <v>46205</v>
      </c>
      <c r="B145" s="1" t="n">
        <v>20080</v>
      </c>
      <c r="C145" s="1" t="inlineStr">
        <is>
          <t>029</t>
        </is>
      </c>
      <c r="D145" s="1" t="inlineStr">
        <is>
          <t>224442</t>
        </is>
      </c>
      <c r="E145" s="1" t="inlineStr">
        <is>
          <t xml:space="preserve">33483123       </t>
        </is>
      </c>
      <c r="F145" s="5" t="inlineStr">
        <is>
          <t>NENUCO DISFRACES</t>
        </is>
      </c>
      <c r="G145" t="n">
        <v>1</v>
      </c>
      <c r="H145" s="7" t="n">
        <v>89.90000000000001</v>
      </c>
      <c r="I145" s="7" t="n">
        <v>0</v>
      </c>
      <c r="J145" s="7" t="n">
        <v>0</v>
      </c>
      <c r="K145" s="9" t="n">
        <v>0</v>
      </c>
      <c r="L145" s="10" t="n">
        <v>53.33</v>
      </c>
      <c r="M145" s="10" t="n">
        <v>1.43</v>
      </c>
      <c r="N145" t="inlineStr">
        <is>
          <t>1</t>
        </is>
      </c>
      <c r="O145" t="inlineStr">
        <is>
          <t xml:space="preserve">2 </t>
        </is>
      </c>
      <c r="P145" t="inlineStr">
        <is>
          <t xml:space="preserve">66621   </t>
        </is>
      </c>
      <c r="Q145" s="26" t="n">
        <v>53.33</v>
      </c>
      <c r="R145" s="26">
        <f>Q145*G145</f>
        <v/>
      </c>
      <c r="S145" s="26">
        <f>IFERROR(VLOOKUP(E145*1,Tabla[#All],8,0),0)</f>
        <v/>
      </c>
      <c r="T145" s="26">
        <f>S145*G145</f>
        <v/>
      </c>
      <c r="U145" s="26">
        <f>R145-T145</f>
        <v/>
      </c>
      <c r="V145" s="26">
        <f>U145-L145</f>
        <v/>
      </c>
    </row>
    <row r="146">
      <c r="A146" s="11" t="n">
        <v>46205</v>
      </c>
      <c r="B146" s="1" t="n">
        <v>20080</v>
      </c>
      <c r="C146" s="1" t="inlineStr">
        <is>
          <t>029</t>
        </is>
      </c>
      <c r="D146" s="1" t="inlineStr">
        <is>
          <t>224499</t>
        </is>
      </c>
      <c r="E146" s="1" t="inlineStr">
        <is>
          <t xml:space="preserve">28194780       </t>
        </is>
      </c>
      <c r="F146" s="5" t="inlineStr">
        <is>
          <t>TROMPO BATALLA INFINITY NADO PLSTICO SURTIDO</t>
        </is>
      </c>
      <c r="G146" t="n">
        <v>1</v>
      </c>
      <c r="H146" s="7" t="n">
        <v>19.9</v>
      </c>
      <c r="I146" s="7" t="n">
        <v>0</v>
      </c>
      <c r="J146" s="7" t="n">
        <v>0</v>
      </c>
      <c r="K146" s="9" t="n">
        <v>0</v>
      </c>
      <c r="L146" s="10" t="n">
        <v>11.8</v>
      </c>
      <c r="M146" s="10" t="n">
        <v>1.43</v>
      </c>
      <c r="N146" t="inlineStr">
        <is>
          <t>1</t>
        </is>
      </c>
      <c r="O146" t="inlineStr">
        <is>
          <t xml:space="preserve">2 </t>
        </is>
      </c>
      <c r="P146" t="inlineStr">
        <is>
          <t xml:space="preserve">66621   </t>
        </is>
      </c>
      <c r="Q146" s="26" t="n">
        <v>11.81</v>
      </c>
      <c r="R146" s="26">
        <f>Q146*G146</f>
        <v/>
      </c>
      <c r="S146" s="26">
        <f>IFERROR(VLOOKUP(E146*1,Tabla[#All],8,0),0)</f>
        <v/>
      </c>
      <c r="T146" s="26">
        <f>S146*G146</f>
        <v/>
      </c>
      <c r="U146" s="26">
        <f>R146-T146</f>
        <v/>
      </c>
      <c r="V146" s="26">
        <f>U146-L146</f>
        <v/>
      </c>
    </row>
    <row r="147">
      <c r="A147" s="11" t="n">
        <v>46205</v>
      </c>
      <c r="B147" s="1" t="n">
        <v>20080</v>
      </c>
      <c r="C147" s="1" t="inlineStr">
        <is>
          <t>029</t>
        </is>
      </c>
      <c r="D147" s="1" t="inlineStr">
        <is>
          <t>224539</t>
        </is>
      </c>
      <c r="E147" s="1" t="inlineStr">
        <is>
          <t xml:space="preserve">28194770       </t>
        </is>
      </c>
      <c r="F147" s="5" t="inlineStr">
        <is>
          <t>AUTOS DE METAL 3 TEAMSTERZ EN BLISTER</t>
        </is>
      </c>
      <c r="G147" t="n">
        <v>1</v>
      </c>
      <c r="H147" s="7" t="n">
        <v>6.9</v>
      </c>
      <c r="I147" s="7" t="n">
        <v>1.38</v>
      </c>
      <c r="J147" s="7" t="n">
        <v>0</v>
      </c>
      <c r="K147" s="9" t="n">
        <v>1.38</v>
      </c>
      <c r="L147" s="10" t="n">
        <v>3.28</v>
      </c>
      <c r="M147" s="10" t="n">
        <v>1.43</v>
      </c>
      <c r="N147" t="inlineStr">
        <is>
          <t>1</t>
        </is>
      </c>
      <c r="O147" t="inlineStr">
        <is>
          <t xml:space="preserve">2 </t>
        </is>
      </c>
      <c r="P147" t="inlineStr">
        <is>
          <t xml:space="preserve">66621   </t>
        </is>
      </c>
      <c r="Q147" s="26" t="n">
        <v>4.09</v>
      </c>
      <c r="R147" s="26">
        <f>Q147*G147</f>
        <v/>
      </c>
      <c r="S147" s="26">
        <f>IFERROR(VLOOKUP(E147*1,Tabla[#All],8,0),0)</f>
        <v/>
      </c>
      <c r="T147" s="26">
        <f>S147*G147</f>
        <v/>
      </c>
      <c r="U147" s="26">
        <f>R147-T147</f>
        <v/>
      </c>
      <c r="V147" s="26">
        <f>U147-L147</f>
        <v/>
      </c>
    </row>
    <row r="148">
      <c r="A148" s="11" t="n">
        <v>46205</v>
      </c>
      <c r="B148" s="1" t="n">
        <v>20088</v>
      </c>
      <c r="C148" s="1" t="inlineStr">
        <is>
          <t>023</t>
        </is>
      </c>
      <c r="D148" s="1" t="inlineStr">
        <is>
          <t>126294</t>
        </is>
      </c>
      <c r="E148" s="1" t="inlineStr">
        <is>
          <t xml:space="preserve">28194769       </t>
        </is>
      </c>
      <c r="F148" s="5" t="inlineStr">
        <is>
          <t>AUTOS DE METAL 3 TEAMSTERZ PACK DE 2</t>
        </is>
      </c>
      <c r="G148" t="n">
        <v>1</v>
      </c>
      <c r="H148" s="7" t="n">
        <v>13.8</v>
      </c>
      <c r="I148" s="7" t="n">
        <v>0</v>
      </c>
      <c r="J148" s="7" t="n">
        <v>0</v>
      </c>
      <c r="K148" s="9" t="n">
        <v>0</v>
      </c>
      <c r="L148" s="10" t="n">
        <v>8.18</v>
      </c>
      <c r="M148" s="10" t="n">
        <v>1.43</v>
      </c>
      <c r="N148" t="inlineStr">
        <is>
          <t>1</t>
        </is>
      </c>
      <c r="O148" t="inlineStr">
        <is>
          <t>16</t>
        </is>
      </c>
      <c r="P148" t="inlineStr">
        <is>
          <t xml:space="preserve">235264  </t>
        </is>
      </c>
      <c r="Q148" s="26" t="n">
        <v>8.19</v>
      </c>
      <c r="R148" s="26">
        <f>Q148*G148</f>
        <v/>
      </c>
      <c r="S148" s="26">
        <f>IFERROR(VLOOKUP(E148*1,Tabla[#All],8,0),0)</f>
        <v/>
      </c>
      <c r="T148" s="26">
        <f>S148*G148</f>
        <v/>
      </c>
      <c r="U148" s="26">
        <f>R148-T148</f>
        <v/>
      </c>
      <c r="V148" s="26">
        <f>U148-L148</f>
        <v/>
      </c>
    </row>
    <row r="149">
      <c r="A149" s="11" t="n">
        <v>46205</v>
      </c>
      <c r="B149" s="1" t="n">
        <v>20089</v>
      </c>
      <c r="C149" s="1" t="inlineStr">
        <is>
          <t>802</t>
        </is>
      </c>
      <c r="D149" s="1" t="inlineStr">
        <is>
          <t xml:space="preserve">9826  </t>
        </is>
      </c>
      <c r="E149" s="1" t="inlineStr">
        <is>
          <t xml:space="preserve">31754675       </t>
        </is>
      </c>
      <c r="F149" s="5" t="inlineStr">
        <is>
          <t>INFINITY NADO SERIE 6 STARTER PACK - 4 MODELOS</t>
        </is>
      </c>
      <c r="G149" t="n">
        <v>1</v>
      </c>
      <c r="H149" s="7" t="n">
        <v>69.90000000000001</v>
      </c>
      <c r="I149" s="7" t="n">
        <v>0</v>
      </c>
      <c r="J149" s="7" t="n">
        <v>0</v>
      </c>
      <c r="K149" s="9" t="n">
        <v>0</v>
      </c>
      <c r="L149" s="10" t="n">
        <v>41.47</v>
      </c>
      <c r="M149" s="10" t="n">
        <v>1.43</v>
      </c>
      <c r="N149" t="inlineStr">
        <is>
          <t>1</t>
        </is>
      </c>
      <c r="O149" t="inlineStr">
        <is>
          <t>16</t>
        </is>
      </c>
      <c r="P149" t="inlineStr">
        <is>
          <t xml:space="preserve">0       </t>
        </is>
      </c>
      <c r="Q149" s="26" t="n">
        <v>41.47</v>
      </c>
      <c r="R149" s="26">
        <f>Q149*G149</f>
        <v/>
      </c>
      <c r="S149" s="26">
        <f>IFERROR(VLOOKUP(E149*1,Tabla[#All],8,0),0)</f>
        <v/>
      </c>
      <c r="T149" s="26">
        <f>S149*G149</f>
        <v/>
      </c>
      <c r="U149" s="26">
        <f>R149-T149</f>
        <v/>
      </c>
      <c r="V149" s="26">
        <f>U149-L149</f>
        <v/>
      </c>
    </row>
    <row r="150">
      <c r="A150" s="11" t="n">
        <v>46205</v>
      </c>
      <c r="B150" s="1" t="n">
        <v>20095</v>
      </c>
      <c r="C150" s="1" t="inlineStr">
        <is>
          <t>043</t>
        </is>
      </c>
      <c r="D150" s="1" t="inlineStr">
        <is>
          <t>107251</t>
        </is>
      </c>
      <c r="E150" s="1" t="inlineStr">
        <is>
          <t xml:space="preserve">30141766       </t>
        </is>
      </c>
      <c r="F150" s="5" t="inlineStr">
        <is>
          <t>TMZ BEAST MACHINES AUTOS DE METAL BLISTER X 1</t>
        </is>
      </c>
      <c r="G150" t="n">
        <v>1</v>
      </c>
      <c r="H150" s="7" t="n">
        <v>7.9</v>
      </c>
      <c r="I150" s="7" t="n">
        <v>0</v>
      </c>
      <c r="J150" s="7" t="n">
        <v>0</v>
      </c>
      <c r="K150" s="9" t="n">
        <v>0</v>
      </c>
      <c r="L150" s="10" t="n">
        <v>4.68</v>
      </c>
      <c r="M150" s="10" t="n">
        <v>1.43</v>
      </c>
      <c r="N150" t="inlineStr">
        <is>
          <t>1</t>
        </is>
      </c>
      <c r="O150" t="inlineStr">
        <is>
          <t xml:space="preserve">3 </t>
        </is>
      </c>
      <c r="P150" t="inlineStr">
        <is>
          <t xml:space="preserve">246365  </t>
        </is>
      </c>
      <c r="Q150" s="26" t="n">
        <v>4.69</v>
      </c>
      <c r="R150" s="26">
        <f>Q150*G150</f>
        <v/>
      </c>
      <c r="S150" s="26">
        <f>IFERROR(VLOOKUP(E150*1,Tabla[#All],8,0),0)</f>
        <v/>
      </c>
      <c r="T150" s="26">
        <f>S150*G150</f>
        <v/>
      </c>
      <c r="U150" s="26">
        <f>R150-T150</f>
        <v/>
      </c>
      <c r="V150" s="26">
        <f>U150-L150</f>
        <v/>
      </c>
    </row>
    <row r="151">
      <c r="A151" s="11" t="n">
        <v>46205</v>
      </c>
      <c r="B151" s="1" t="n">
        <v>20095</v>
      </c>
      <c r="C151" s="1" t="inlineStr">
        <is>
          <t>043</t>
        </is>
      </c>
      <c r="D151" s="1" t="inlineStr">
        <is>
          <t>107252</t>
        </is>
      </c>
      <c r="E151" s="1" t="inlineStr">
        <is>
          <t xml:space="preserve">30141766       </t>
        </is>
      </c>
      <c r="F151" s="5" t="inlineStr">
        <is>
          <t>TMZ BEAST MACHINES AUTOS DE METAL BLISTER X 1</t>
        </is>
      </c>
      <c r="G151" t="n">
        <v>1</v>
      </c>
      <c r="H151" s="7" t="n">
        <v>7.9</v>
      </c>
      <c r="I151" s="7" t="n">
        <v>0</v>
      </c>
      <c r="J151" s="7" t="n">
        <v>0</v>
      </c>
      <c r="K151" s="9" t="n">
        <v>0</v>
      </c>
      <c r="L151" s="10" t="n">
        <v>4.68</v>
      </c>
      <c r="M151" s="10" t="n">
        <v>1.43</v>
      </c>
      <c r="N151" t="inlineStr">
        <is>
          <t>1</t>
        </is>
      </c>
      <c r="O151" t="inlineStr">
        <is>
          <t>16</t>
        </is>
      </c>
      <c r="P151" t="inlineStr">
        <is>
          <t xml:space="preserve">246365  </t>
        </is>
      </c>
      <c r="Q151" s="26" t="n">
        <v>4.69</v>
      </c>
      <c r="R151" s="26">
        <f>Q151*G151</f>
        <v/>
      </c>
      <c r="S151" s="26">
        <f>IFERROR(VLOOKUP(E151*1,Tabla[#All],8,0),0)</f>
        <v/>
      </c>
      <c r="T151" s="26">
        <f>S151*G151</f>
        <v/>
      </c>
      <c r="U151" s="26">
        <f>R151-T151</f>
        <v/>
      </c>
      <c r="V151" s="26">
        <f>U151-L151</f>
        <v/>
      </c>
    </row>
    <row r="152">
      <c r="A152" s="11" t="n">
        <v>46205</v>
      </c>
      <c r="B152" s="1" t="n">
        <v>20095</v>
      </c>
      <c r="C152" s="1" t="inlineStr">
        <is>
          <t>044</t>
        </is>
      </c>
      <c r="D152" s="1" t="inlineStr">
        <is>
          <t xml:space="preserve">92697 </t>
        </is>
      </c>
      <c r="E152" s="1" t="inlineStr">
        <is>
          <t xml:space="preserve">28194768       </t>
        </is>
      </c>
      <c r="F152" s="5" t="inlineStr">
        <is>
          <t>AUTO COLOR CHANGE TEAMSTERZ SURTIDO</t>
        </is>
      </c>
      <c r="G152" t="n">
        <v>1</v>
      </c>
      <c r="H152" s="7" t="n">
        <v>14.9</v>
      </c>
      <c r="I152" s="7" t="n">
        <v>0</v>
      </c>
      <c r="J152" s="7" t="n">
        <v>0</v>
      </c>
      <c r="K152" s="9" t="n">
        <v>0</v>
      </c>
      <c r="L152" s="10" t="n">
        <v>8.84</v>
      </c>
      <c r="M152" s="10" t="n">
        <v>1.43</v>
      </c>
      <c r="N152" t="inlineStr">
        <is>
          <t>1</t>
        </is>
      </c>
      <c r="O152" t="inlineStr">
        <is>
          <t xml:space="preserve">3 </t>
        </is>
      </c>
      <c r="P152" t="inlineStr">
        <is>
          <t xml:space="preserve">248989  </t>
        </is>
      </c>
      <c r="Q152" s="26" t="n">
        <v>8.84</v>
      </c>
      <c r="R152" s="26">
        <f>Q152*G152</f>
        <v/>
      </c>
      <c r="S152" s="26">
        <f>IFERROR(VLOOKUP(E152*1,Tabla[#All],8,0),0)</f>
        <v/>
      </c>
      <c r="T152" s="26">
        <f>S152*G152</f>
        <v/>
      </c>
      <c r="U152" s="26">
        <f>R152-T152</f>
        <v/>
      </c>
      <c r="V152" s="26">
        <f>U152-L152</f>
        <v/>
      </c>
    </row>
    <row r="153">
      <c r="A153" s="11" t="n">
        <v>46206</v>
      </c>
      <c r="B153" s="1" t="n">
        <v>20021</v>
      </c>
      <c r="C153" s="1" t="inlineStr">
        <is>
          <t>055</t>
        </is>
      </c>
      <c r="D153" s="1" t="inlineStr">
        <is>
          <t>154051</t>
        </is>
      </c>
      <c r="E153" s="1" t="inlineStr">
        <is>
          <t xml:space="preserve">30141766       </t>
        </is>
      </c>
      <c r="F153" s="5" t="inlineStr">
        <is>
          <t>TMZ BEAST MACHINES AUTOS DE METAL BLISTER X 1</t>
        </is>
      </c>
      <c r="G153" t="n">
        <v>1</v>
      </c>
      <c r="H153" s="7" t="n">
        <v>7.9</v>
      </c>
      <c r="I153" s="7" t="n">
        <v>0</v>
      </c>
      <c r="J153" s="7" t="n">
        <v>0</v>
      </c>
      <c r="K153" s="9" t="n">
        <v>0</v>
      </c>
      <c r="L153" s="10" t="n">
        <v>4.68</v>
      </c>
      <c r="M153" s="10" t="n">
        <v>1.43</v>
      </c>
      <c r="N153" t="inlineStr">
        <is>
          <t>1</t>
        </is>
      </c>
      <c r="O153" t="inlineStr">
        <is>
          <t xml:space="preserve">3 </t>
        </is>
      </c>
      <c r="P153" t="inlineStr">
        <is>
          <t xml:space="preserve">42929   </t>
        </is>
      </c>
      <c r="Q153" s="26" t="n">
        <v>4.69</v>
      </c>
      <c r="R153" s="26">
        <f>Q153*G153</f>
        <v/>
      </c>
      <c r="S153" s="26">
        <f>IFERROR(VLOOKUP(E153*1,Tabla[#All],8,0),0)</f>
        <v/>
      </c>
      <c r="T153" s="26">
        <f>S153*G153</f>
        <v/>
      </c>
      <c r="U153" s="26">
        <f>R153-T153</f>
        <v/>
      </c>
      <c r="V153" s="26">
        <f>U153-L153</f>
        <v/>
      </c>
    </row>
    <row r="154">
      <c r="A154" s="11" t="n">
        <v>46206</v>
      </c>
      <c r="B154" s="1" t="n">
        <v>20021</v>
      </c>
      <c r="C154" s="1" t="inlineStr">
        <is>
          <t>055</t>
        </is>
      </c>
      <c r="D154" s="1" t="inlineStr">
        <is>
          <t>154089</t>
        </is>
      </c>
      <c r="E154" s="1" t="inlineStr">
        <is>
          <t xml:space="preserve">28194770       </t>
        </is>
      </c>
      <c r="F154" s="5" t="inlineStr">
        <is>
          <t>AUTOS DE METAL 3 TEAMSTERZ EN BLISTER</t>
        </is>
      </c>
      <c r="G154" t="n">
        <v>1</v>
      </c>
      <c r="H154" s="7" t="n">
        <v>6.9</v>
      </c>
      <c r="I154" s="7" t="n">
        <v>0</v>
      </c>
      <c r="J154" s="7" t="n">
        <v>0</v>
      </c>
      <c r="K154" s="9" t="n">
        <v>0</v>
      </c>
      <c r="L154" s="10" t="n">
        <v>4.1</v>
      </c>
      <c r="M154" s="10" t="n">
        <v>1.43</v>
      </c>
      <c r="N154" t="inlineStr">
        <is>
          <t>1</t>
        </is>
      </c>
      <c r="O154" t="inlineStr">
        <is>
          <t>16</t>
        </is>
      </c>
      <c r="P154" t="inlineStr">
        <is>
          <t xml:space="preserve">42929   </t>
        </is>
      </c>
      <c r="Q154" s="26" t="n">
        <v>4.09</v>
      </c>
      <c r="R154" s="26">
        <f>Q154*G154</f>
        <v/>
      </c>
      <c r="S154" s="26">
        <f>IFERROR(VLOOKUP(E154*1,Tabla[#All],8,0),0)</f>
        <v/>
      </c>
      <c r="T154" s="26">
        <f>S154*G154</f>
        <v/>
      </c>
      <c r="U154" s="26">
        <f>R154-T154</f>
        <v/>
      </c>
      <c r="V154" s="26">
        <f>U154-L154</f>
        <v/>
      </c>
    </row>
    <row r="155">
      <c r="A155" s="11" t="n">
        <v>46206</v>
      </c>
      <c r="B155" s="1" t="n">
        <v>20021</v>
      </c>
      <c r="C155" s="1" t="inlineStr">
        <is>
          <t>064</t>
        </is>
      </c>
      <c r="D155" s="1" t="inlineStr">
        <is>
          <t>145987</t>
        </is>
      </c>
      <c r="E155" s="1" t="inlineStr">
        <is>
          <t xml:space="preserve">29235707       </t>
        </is>
      </c>
      <c r="F155" s="5" t="inlineStr">
        <is>
          <t>TEAMSTERZ AUTO DE METAL 3  PACK DE 5</t>
        </is>
      </c>
      <c r="G155" t="n">
        <v>1</v>
      </c>
      <c r="H155" s="7" t="n">
        <v>34.5</v>
      </c>
      <c r="I155" s="7" t="n">
        <v>0</v>
      </c>
      <c r="J155" s="7" t="n">
        <v>0</v>
      </c>
      <c r="K155" s="9" t="n">
        <v>0</v>
      </c>
      <c r="L155" s="10" t="n">
        <v>20.47</v>
      </c>
      <c r="M155" s="10" t="n">
        <v>1.43</v>
      </c>
      <c r="N155" t="inlineStr">
        <is>
          <t>1</t>
        </is>
      </c>
      <c r="O155" t="inlineStr">
        <is>
          <t xml:space="preserve">2 </t>
        </is>
      </c>
      <c r="P155" t="inlineStr">
        <is>
          <t xml:space="preserve">16716   </t>
        </is>
      </c>
      <c r="Q155" s="26" t="n">
        <v>20.47</v>
      </c>
      <c r="R155" s="26">
        <f>Q155*G155</f>
        <v/>
      </c>
      <c r="S155" s="26">
        <f>IFERROR(VLOOKUP(E155*1,Tabla[#All],8,0),0)</f>
        <v/>
      </c>
      <c r="T155" s="26">
        <f>S155*G155</f>
        <v/>
      </c>
      <c r="U155" s="26">
        <f>R155-T155</f>
        <v/>
      </c>
      <c r="V155" s="26">
        <f>U155-L155</f>
        <v/>
      </c>
    </row>
    <row r="156">
      <c r="A156" s="11" t="n">
        <v>46206</v>
      </c>
      <c r="B156" s="1" t="n">
        <v>20021</v>
      </c>
      <c r="C156" s="1" t="inlineStr">
        <is>
          <t>078</t>
        </is>
      </c>
      <c r="D156" s="1" t="inlineStr">
        <is>
          <t>100045</t>
        </is>
      </c>
      <c r="E156" s="1" t="inlineStr">
        <is>
          <t xml:space="preserve">28194769       </t>
        </is>
      </c>
      <c r="F156" s="5" t="inlineStr">
        <is>
          <t>AUTOS DE METAL 3 TEAMSTERZ PACK DE 2</t>
        </is>
      </c>
      <c r="G156" t="n">
        <v>1</v>
      </c>
      <c r="H156" s="7" t="n">
        <v>13.8</v>
      </c>
      <c r="I156" s="7" t="n">
        <v>0</v>
      </c>
      <c r="J156" s="7" t="n">
        <v>0</v>
      </c>
      <c r="K156" s="9" t="n">
        <v>0</v>
      </c>
      <c r="L156" s="10" t="n">
        <v>8.18</v>
      </c>
      <c r="M156" s="10" t="n">
        <v>1.43</v>
      </c>
      <c r="N156" t="inlineStr">
        <is>
          <t>1</t>
        </is>
      </c>
      <c r="O156" t="inlineStr">
        <is>
          <t xml:space="preserve">6 </t>
        </is>
      </c>
      <c r="P156" t="inlineStr">
        <is>
          <t xml:space="preserve">42152   </t>
        </is>
      </c>
      <c r="Q156" s="26" t="n">
        <v>8.19</v>
      </c>
      <c r="R156" s="26">
        <f>Q156*G156</f>
        <v/>
      </c>
      <c r="S156" s="26">
        <f>IFERROR(VLOOKUP(E156*1,Tabla[#All],8,0),0)</f>
        <v/>
      </c>
      <c r="T156" s="26">
        <f>S156*G156</f>
        <v/>
      </c>
      <c r="U156" s="26">
        <f>R156-T156</f>
        <v/>
      </c>
      <c r="V156" s="26">
        <f>U156-L156</f>
        <v/>
      </c>
    </row>
    <row r="157">
      <c r="A157" s="11" t="n">
        <v>46206</v>
      </c>
      <c r="B157" s="1" t="n">
        <v>20021</v>
      </c>
      <c r="C157" s="1" t="inlineStr">
        <is>
          <t>078</t>
        </is>
      </c>
      <c r="D157" s="1" t="inlineStr">
        <is>
          <t>100055</t>
        </is>
      </c>
      <c r="E157" s="1" t="inlineStr">
        <is>
          <t xml:space="preserve">28194770       </t>
        </is>
      </c>
      <c r="F157" s="5" t="inlineStr">
        <is>
          <t>AUTOS DE METAL 3 TEAMSTERZ EN BLISTER</t>
        </is>
      </c>
      <c r="G157" t="n">
        <v>1</v>
      </c>
      <c r="H157" s="7" t="n">
        <v>6.9</v>
      </c>
      <c r="I157" s="7" t="n">
        <v>0</v>
      </c>
      <c r="J157" s="7" t="n">
        <v>0</v>
      </c>
      <c r="K157" s="9" t="n">
        <v>0</v>
      </c>
      <c r="L157" s="10" t="n">
        <v>4.1</v>
      </c>
      <c r="M157" s="10" t="n">
        <v>1.43</v>
      </c>
      <c r="N157" t="inlineStr">
        <is>
          <t>1</t>
        </is>
      </c>
      <c r="O157" t="inlineStr">
        <is>
          <t>16</t>
        </is>
      </c>
      <c r="P157" t="inlineStr">
        <is>
          <t xml:space="preserve">42152   </t>
        </is>
      </c>
      <c r="Q157" s="26" t="n">
        <v>4.09</v>
      </c>
      <c r="R157" s="26">
        <f>Q157*G157</f>
        <v/>
      </c>
      <c r="S157" s="26">
        <f>IFERROR(VLOOKUP(E157*1,Tabla[#All],8,0),0)</f>
        <v/>
      </c>
      <c r="T157" s="26">
        <f>S157*G157</f>
        <v/>
      </c>
      <c r="U157" s="26">
        <f>R157-T157</f>
        <v/>
      </c>
      <c r="V157" s="26">
        <f>U157-L157</f>
        <v/>
      </c>
    </row>
    <row r="158">
      <c r="A158" s="11" t="n">
        <v>46206</v>
      </c>
      <c r="B158" s="1" t="n">
        <v>20021</v>
      </c>
      <c r="C158" s="1" t="inlineStr">
        <is>
          <t>080</t>
        </is>
      </c>
      <c r="D158" s="1" t="inlineStr">
        <is>
          <t>309256</t>
        </is>
      </c>
      <c r="E158" s="1" t="inlineStr">
        <is>
          <t xml:space="preserve">34840555       </t>
        </is>
      </c>
      <c r="F158" s="5" t="inlineStr">
        <is>
          <t>TMZ BEAST MACH. TRANSPORT TIBURON +ACCS</t>
        </is>
      </c>
      <c r="G158" t="n">
        <v>1</v>
      </c>
      <c r="H158" s="7" t="n">
        <v>79.90000000000001</v>
      </c>
      <c r="I158" s="7" t="n">
        <v>0</v>
      </c>
      <c r="J158" s="7" t="n">
        <v>0</v>
      </c>
      <c r="K158" s="9" t="n">
        <v>0</v>
      </c>
      <c r="L158" s="10" t="n">
        <v>47.4</v>
      </c>
      <c r="M158" s="10" t="n">
        <v>1.43</v>
      </c>
      <c r="N158" t="inlineStr">
        <is>
          <t>1</t>
        </is>
      </c>
      <c r="O158" t="inlineStr">
        <is>
          <t xml:space="preserve">3 </t>
        </is>
      </c>
      <c r="P158" t="inlineStr">
        <is>
          <t xml:space="preserve">109073  </t>
        </is>
      </c>
      <c r="Q158" s="26" t="n">
        <v>47.4</v>
      </c>
      <c r="R158" s="26">
        <f>Q158*G158</f>
        <v/>
      </c>
      <c r="S158" s="26">
        <f>IFERROR(VLOOKUP(E158*1,Tabla[#All],8,0),0)</f>
        <v/>
      </c>
      <c r="T158" s="26">
        <f>S158*G158</f>
        <v/>
      </c>
      <c r="U158" s="26">
        <f>R158-T158</f>
        <v/>
      </c>
      <c r="V158" s="26">
        <f>U158-L158</f>
        <v/>
      </c>
    </row>
    <row r="159">
      <c r="A159" s="11" t="n">
        <v>46206</v>
      </c>
      <c r="B159" s="1" t="n">
        <v>20021</v>
      </c>
      <c r="C159" s="1" t="inlineStr">
        <is>
          <t>504</t>
        </is>
      </c>
      <c r="D159" s="1" t="inlineStr">
        <is>
          <t xml:space="preserve">6939  </t>
        </is>
      </c>
      <c r="E159" s="1" t="inlineStr">
        <is>
          <t xml:space="preserve">31754676       </t>
        </is>
      </c>
      <c r="F159" s="5" t="inlineStr">
        <is>
          <t>INFINITY NADO SERIE 6 STD PACK LANZ ESPAD ANILLO M</t>
        </is>
      </c>
      <c r="G159" t="n">
        <v>1</v>
      </c>
      <c r="H159" s="7" t="n">
        <v>79.90000000000001</v>
      </c>
      <c r="I159" s="7" t="n">
        <v>0</v>
      </c>
      <c r="J159" s="7" t="n">
        <v>0</v>
      </c>
      <c r="K159" s="9" t="n">
        <v>0</v>
      </c>
      <c r="L159" s="10" t="n">
        <v>47.4</v>
      </c>
      <c r="M159" s="10" t="n">
        <v>1.43</v>
      </c>
      <c r="N159" t="inlineStr">
        <is>
          <t>1</t>
        </is>
      </c>
      <c r="O159" t="inlineStr">
        <is>
          <t>16</t>
        </is>
      </c>
      <c r="P159" t="inlineStr">
        <is>
          <t xml:space="preserve">108348  </t>
        </is>
      </c>
      <c r="Q159" s="26" t="n">
        <v>47.4</v>
      </c>
      <c r="R159" s="26">
        <f>Q159*G159</f>
        <v/>
      </c>
      <c r="S159" s="26">
        <f>IFERROR(VLOOKUP(E159*1,Tabla[#All],8,0),0)</f>
        <v/>
      </c>
      <c r="T159" s="26">
        <f>S159*G159</f>
        <v/>
      </c>
      <c r="U159" s="26">
        <f>R159-T159</f>
        <v/>
      </c>
      <c r="V159" s="26">
        <f>U159-L159</f>
        <v/>
      </c>
    </row>
    <row r="160">
      <c r="A160" s="11" t="n">
        <v>46206</v>
      </c>
      <c r="B160" s="1" t="n">
        <v>20023</v>
      </c>
      <c r="C160" s="1" t="inlineStr">
        <is>
          <t>015</t>
        </is>
      </c>
      <c r="D160" s="1" t="inlineStr">
        <is>
          <t>239109</t>
        </is>
      </c>
      <c r="E160" s="1" t="inlineStr">
        <is>
          <t xml:space="preserve">29235701       </t>
        </is>
      </c>
      <c r="F160" s="5" t="inlineStr">
        <is>
          <t>INFINITY NADO TROMPO DE BATALLA - METAL EN CAJA</t>
        </is>
      </c>
      <c r="G160" t="n">
        <v>1</v>
      </c>
      <c r="H160" s="7" t="n">
        <v>39.9</v>
      </c>
      <c r="I160" s="7" t="n">
        <v>0</v>
      </c>
      <c r="J160" s="7" t="n">
        <v>0</v>
      </c>
      <c r="K160" s="9" t="n">
        <v>0</v>
      </c>
      <c r="L160" s="10" t="n">
        <v>23.67</v>
      </c>
      <c r="M160" s="10" t="n">
        <v>1.43</v>
      </c>
      <c r="N160" t="inlineStr">
        <is>
          <t>1</t>
        </is>
      </c>
      <c r="O160" t="inlineStr">
        <is>
          <t>16</t>
        </is>
      </c>
      <c r="P160" t="inlineStr">
        <is>
          <t xml:space="preserve">32926   </t>
        </is>
      </c>
      <c r="Q160" s="26" t="n">
        <v>23.67</v>
      </c>
      <c r="R160" s="26">
        <f>Q160*G160</f>
        <v/>
      </c>
      <c r="S160" s="26">
        <f>IFERROR(VLOOKUP(E160*1,Tabla[#All],8,0),0)</f>
        <v/>
      </c>
      <c r="T160" s="26">
        <f>S160*G160</f>
        <v/>
      </c>
      <c r="U160" s="26">
        <f>R160-T160</f>
        <v/>
      </c>
      <c r="V160" s="26">
        <f>U160-L160</f>
        <v/>
      </c>
    </row>
    <row r="161">
      <c r="A161" s="11" t="n">
        <v>46206</v>
      </c>
      <c r="B161" s="1" t="n">
        <v>20023</v>
      </c>
      <c r="C161" s="1" t="inlineStr">
        <is>
          <t>079</t>
        </is>
      </c>
      <c r="D161" s="1" t="inlineStr">
        <is>
          <t>288272</t>
        </is>
      </c>
      <c r="E161" s="1" t="inlineStr">
        <is>
          <t xml:space="preserve">28194781       </t>
        </is>
      </c>
      <c r="F161" s="5" t="inlineStr">
        <is>
          <t>TROMPO BATALLA INFINITY NADO SERIE V CLASICA SURTI</t>
        </is>
      </c>
      <c r="G161" t="n">
        <v>1</v>
      </c>
      <c r="H161" s="7" t="n">
        <v>59.9</v>
      </c>
      <c r="I161" s="7" t="n">
        <v>0</v>
      </c>
      <c r="J161" s="7" t="n">
        <v>0</v>
      </c>
      <c r="K161" s="9" t="n">
        <v>0</v>
      </c>
      <c r="L161" s="10" t="n">
        <v>35.53</v>
      </c>
      <c r="M161" s="10" t="n">
        <v>1.43</v>
      </c>
      <c r="N161" t="inlineStr">
        <is>
          <t>1</t>
        </is>
      </c>
      <c r="O161" t="inlineStr">
        <is>
          <t xml:space="preserve">6 </t>
        </is>
      </c>
      <c r="P161" t="inlineStr">
        <is>
          <t xml:space="preserve">38466   </t>
        </is>
      </c>
      <c r="Q161" s="26" t="n">
        <v>35.53</v>
      </c>
      <c r="R161" s="26">
        <f>Q161*G161</f>
        <v/>
      </c>
      <c r="S161" s="26">
        <f>IFERROR(VLOOKUP(E161*1,Tabla[#All],8,0),0)</f>
        <v/>
      </c>
      <c r="T161" s="26">
        <f>S161*G161</f>
        <v/>
      </c>
      <c r="U161" s="26">
        <f>R161-T161</f>
        <v/>
      </c>
      <c r="V161" s="26">
        <f>U161-L161</f>
        <v/>
      </c>
    </row>
    <row r="162">
      <c r="A162" s="11" t="n">
        <v>46206</v>
      </c>
      <c r="B162" s="1" t="n">
        <v>20027</v>
      </c>
      <c r="C162" s="1" t="inlineStr">
        <is>
          <t>103</t>
        </is>
      </c>
      <c r="D162" s="1" t="inlineStr">
        <is>
          <t xml:space="preserve">26790 </t>
        </is>
      </c>
      <c r="E162" s="1" t="inlineStr">
        <is>
          <t xml:space="preserve">34840553       </t>
        </is>
      </c>
      <c r="F162" s="5" t="inlineStr">
        <is>
          <t>TMZ AUTO LUZ Y SONIDO ESQUELET DINO T-REX</t>
        </is>
      </c>
      <c r="G162" t="n">
        <v>1</v>
      </c>
      <c r="H162" s="7" t="n">
        <v>79.90000000000001</v>
      </c>
      <c r="I162" s="7" t="n">
        <v>0</v>
      </c>
      <c r="J162" s="7" t="n">
        <v>0</v>
      </c>
      <c r="K162" s="9" t="n">
        <v>0</v>
      </c>
      <c r="L162" s="10" t="n">
        <v>47.4</v>
      </c>
      <c r="M162" s="10" t="n">
        <v>1.43</v>
      </c>
      <c r="N162" t="inlineStr">
        <is>
          <t>1</t>
        </is>
      </c>
      <c r="O162" t="inlineStr">
        <is>
          <t>16</t>
        </is>
      </c>
      <c r="P162" t="inlineStr">
        <is>
          <t xml:space="preserve">42102   </t>
        </is>
      </c>
      <c r="Q162" s="26" t="n">
        <v>47.4</v>
      </c>
      <c r="R162" s="26">
        <f>Q162*G162</f>
        <v/>
      </c>
      <c r="S162" s="26">
        <f>IFERROR(VLOOKUP(E162*1,Tabla[#All],8,0),0)</f>
        <v/>
      </c>
      <c r="T162" s="26">
        <f>S162*G162</f>
        <v/>
      </c>
      <c r="U162" s="26">
        <f>R162-T162</f>
        <v/>
      </c>
      <c r="V162" s="26">
        <f>U162-L162</f>
        <v/>
      </c>
    </row>
    <row r="163">
      <c r="A163" s="11" t="n">
        <v>46206</v>
      </c>
      <c r="B163" s="1" t="n">
        <v>20028</v>
      </c>
      <c r="C163" s="1" t="inlineStr">
        <is>
          <t>012</t>
        </is>
      </c>
      <c r="D163" s="1" t="inlineStr">
        <is>
          <t xml:space="preserve">27852 </t>
        </is>
      </c>
      <c r="E163" s="1" t="inlineStr">
        <is>
          <t xml:space="preserve">28194770       </t>
        </is>
      </c>
      <c r="F163" s="5" t="inlineStr">
        <is>
          <t>AUTOS DE METAL 3 TEAMSTERZ EN BLISTER</t>
        </is>
      </c>
      <c r="G163" t="n">
        <v>1</v>
      </c>
      <c r="H163" s="7" t="n">
        <v>6.9</v>
      </c>
      <c r="I163" s="7" t="n">
        <v>0</v>
      </c>
      <c r="J163" s="7" t="n">
        <v>0</v>
      </c>
      <c r="K163" s="9" t="n">
        <v>0</v>
      </c>
      <c r="L163" s="10" t="n">
        <v>4.1</v>
      </c>
      <c r="M163" s="10" t="n">
        <v>1.43</v>
      </c>
      <c r="N163" t="inlineStr">
        <is>
          <t>1</t>
        </is>
      </c>
      <c r="O163" t="inlineStr">
        <is>
          <t xml:space="preserve">2 </t>
        </is>
      </c>
      <c r="P163" t="inlineStr">
        <is>
          <t xml:space="preserve">245445  </t>
        </is>
      </c>
      <c r="Q163" s="26" t="n">
        <v>4.09</v>
      </c>
      <c r="R163" s="26">
        <f>Q163*G163</f>
        <v/>
      </c>
      <c r="S163" s="26">
        <f>IFERROR(VLOOKUP(E163*1,Tabla[#All],8,0),0)</f>
        <v/>
      </c>
      <c r="T163" s="26">
        <f>S163*G163</f>
        <v/>
      </c>
      <c r="U163" s="26">
        <f>R163-T163</f>
        <v/>
      </c>
      <c r="V163" s="26">
        <f>U163-L163</f>
        <v/>
      </c>
    </row>
    <row r="164">
      <c r="A164" s="11" t="n">
        <v>46206</v>
      </c>
      <c r="B164" s="1" t="n">
        <v>20028</v>
      </c>
      <c r="C164" s="1" t="inlineStr">
        <is>
          <t>088</t>
        </is>
      </c>
      <c r="D164" s="1" t="inlineStr">
        <is>
          <t>340176</t>
        </is>
      </c>
      <c r="E164" s="1" t="inlineStr">
        <is>
          <t xml:space="preserve">35685067       </t>
        </is>
      </c>
      <c r="F164" s="5" t="inlineStr">
        <is>
          <t>HOT WHEELS POWER SET 3 EN 1</t>
        </is>
      </c>
      <c r="G164" t="n">
        <v>1</v>
      </c>
      <c r="H164" s="7" t="n">
        <v>49.9</v>
      </c>
      <c r="I164" s="7" t="n">
        <v>0</v>
      </c>
      <c r="J164" s="7" t="n">
        <v>0</v>
      </c>
      <c r="K164" s="9" t="n">
        <v>0</v>
      </c>
      <c r="L164" s="10" t="n">
        <v>29.6</v>
      </c>
      <c r="M164" s="10" t="n">
        <v>1.43</v>
      </c>
      <c r="N164" t="inlineStr">
        <is>
          <t>1</t>
        </is>
      </c>
      <c r="O164" t="inlineStr">
        <is>
          <t>16</t>
        </is>
      </c>
      <c r="P164" t="inlineStr">
        <is>
          <t xml:space="preserve">69765   </t>
        </is>
      </c>
      <c r="Q164" s="26" t="n">
        <v>29.6</v>
      </c>
      <c r="R164" s="26">
        <f>Q164*G164</f>
        <v/>
      </c>
      <c r="S164" s="26">
        <f>IFERROR(VLOOKUP(E164*1,Tabla[#All],8,0),0)</f>
        <v/>
      </c>
      <c r="T164" s="26">
        <f>S164*G164</f>
        <v/>
      </c>
      <c r="U164" s="26">
        <f>R164-T164</f>
        <v/>
      </c>
      <c r="V164" s="26">
        <f>U164-L164</f>
        <v/>
      </c>
    </row>
    <row r="165">
      <c r="A165" s="11" t="n">
        <v>46206</v>
      </c>
      <c r="B165" s="1" t="n">
        <v>20030</v>
      </c>
      <c r="C165" s="1" t="inlineStr">
        <is>
          <t>067</t>
        </is>
      </c>
      <c r="D165" s="1" t="inlineStr">
        <is>
          <t>273231</t>
        </is>
      </c>
      <c r="E165" s="1" t="inlineStr">
        <is>
          <t xml:space="preserve">34840519       </t>
        </is>
      </c>
      <c r="F165" s="5" t="inlineStr">
        <is>
          <t>MUNECA EVI LOVE CARRUAJE CON CABALLO</t>
        </is>
      </c>
      <c r="G165" t="n">
        <v>1</v>
      </c>
      <c r="H165" s="7" t="n">
        <v>69.90000000000001</v>
      </c>
      <c r="I165" s="7" t="n">
        <v>0</v>
      </c>
      <c r="J165" s="7" t="n">
        <v>0</v>
      </c>
      <c r="K165" s="9" t="n">
        <v>0</v>
      </c>
      <c r="L165" s="10" t="n">
        <v>41.47</v>
      </c>
      <c r="M165" s="10" t="n">
        <v>1.43</v>
      </c>
      <c r="N165" t="inlineStr">
        <is>
          <t>1</t>
        </is>
      </c>
      <c r="O165" t="inlineStr">
        <is>
          <t>16</t>
        </is>
      </c>
      <c r="P165" t="inlineStr">
        <is>
          <t xml:space="preserve">48628   </t>
        </is>
      </c>
      <c r="Q165" s="26" t="n">
        <v>41.47</v>
      </c>
      <c r="R165" s="26">
        <f>Q165*G165</f>
        <v/>
      </c>
      <c r="S165" s="26">
        <f>IFERROR(VLOOKUP(E165*1,Tabla[#All],8,0),0)</f>
        <v/>
      </c>
      <c r="T165" s="26">
        <f>S165*G165</f>
        <v/>
      </c>
      <c r="U165" s="26">
        <f>R165-T165</f>
        <v/>
      </c>
      <c r="V165" s="26">
        <f>U165-L165</f>
        <v/>
      </c>
    </row>
    <row r="166">
      <c r="A166" s="11" t="n">
        <v>46206</v>
      </c>
      <c r="B166" s="1" t="n">
        <v>20030</v>
      </c>
      <c r="C166" s="1" t="inlineStr">
        <is>
          <t>067</t>
        </is>
      </c>
      <c r="D166" s="1" t="inlineStr">
        <is>
          <t>273239</t>
        </is>
      </c>
      <c r="E166" s="1" t="inlineStr">
        <is>
          <t xml:space="preserve">32457103       </t>
        </is>
      </c>
      <c r="F166" s="5" t="inlineStr">
        <is>
          <t>TMZ BEAST MACHINES MONSTER JAWS A FRICCION PACK DE</t>
        </is>
      </c>
      <c r="G166" t="n">
        <v>1</v>
      </c>
      <c r="H166" s="7" t="n">
        <v>37.9</v>
      </c>
      <c r="I166" s="7" t="n">
        <v>0</v>
      </c>
      <c r="J166" s="7" t="n">
        <v>0</v>
      </c>
      <c r="K166" s="9" t="n">
        <v>0</v>
      </c>
      <c r="L166" s="10" t="n">
        <v>22.48</v>
      </c>
      <c r="M166" s="10" t="n">
        <v>1.43</v>
      </c>
      <c r="N166" t="inlineStr">
        <is>
          <t>1</t>
        </is>
      </c>
      <c r="O166" t="inlineStr">
        <is>
          <t>16</t>
        </is>
      </c>
      <c r="P166" t="inlineStr">
        <is>
          <t xml:space="preserve">48628   </t>
        </is>
      </c>
      <c r="Q166" s="26" t="n">
        <v>22.48</v>
      </c>
      <c r="R166" s="26">
        <f>Q166*G166</f>
        <v/>
      </c>
      <c r="S166" s="26">
        <f>IFERROR(VLOOKUP(E166*1,Tabla[#All],8,0),0)</f>
        <v/>
      </c>
      <c r="T166" s="26">
        <f>S166*G166</f>
        <v/>
      </c>
      <c r="U166" s="26">
        <f>R166-T166</f>
        <v/>
      </c>
      <c r="V166" s="26">
        <f>U166-L166</f>
        <v/>
      </c>
    </row>
    <row r="167">
      <c r="A167" s="11" t="n">
        <v>46206</v>
      </c>
      <c r="B167" s="1" t="n">
        <v>20030</v>
      </c>
      <c r="C167" s="1" t="inlineStr">
        <is>
          <t>077</t>
        </is>
      </c>
      <c r="D167" s="1" t="inlineStr">
        <is>
          <t>231703</t>
        </is>
      </c>
      <c r="E167" s="1" t="inlineStr">
        <is>
          <t xml:space="preserve">28194770       </t>
        </is>
      </c>
      <c r="F167" s="5" t="inlineStr">
        <is>
          <t>AUTOS DE METAL 3 TEAMSTERZ EN BLISTER</t>
        </is>
      </c>
      <c r="G167" t="n">
        <v>1</v>
      </c>
      <c r="H167" s="7" t="n">
        <v>6.9</v>
      </c>
      <c r="I167" s="7" t="n">
        <v>0</v>
      </c>
      <c r="J167" s="7" t="n">
        <v>0</v>
      </c>
      <c r="K167" s="9" t="n">
        <v>0</v>
      </c>
      <c r="L167" s="10" t="n">
        <v>4.1</v>
      </c>
      <c r="M167" s="10" t="n">
        <v>1.43</v>
      </c>
      <c r="N167" t="inlineStr">
        <is>
          <t>1</t>
        </is>
      </c>
      <c r="O167" t="inlineStr">
        <is>
          <t>16</t>
        </is>
      </c>
      <c r="P167" t="inlineStr">
        <is>
          <t xml:space="preserve">99737   </t>
        </is>
      </c>
      <c r="Q167" s="26" t="n">
        <v>4.09</v>
      </c>
      <c r="R167" s="26">
        <f>Q167*G167</f>
        <v/>
      </c>
      <c r="S167" s="26">
        <f>IFERROR(VLOOKUP(E167*1,Tabla[#All],8,0),0)</f>
        <v/>
      </c>
      <c r="T167" s="26">
        <f>S167*G167</f>
        <v/>
      </c>
      <c r="U167" s="26">
        <f>R167-T167</f>
        <v/>
      </c>
      <c r="V167" s="26">
        <f>U167-L167</f>
        <v/>
      </c>
    </row>
    <row r="168">
      <c r="A168" s="11" t="n">
        <v>46206</v>
      </c>
      <c r="B168" s="1" t="n">
        <v>20030</v>
      </c>
      <c r="C168" s="1" t="inlineStr">
        <is>
          <t>077</t>
        </is>
      </c>
      <c r="D168" s="1" t="inlineStr">
        <is>
          <t>231714</t>
        </is>
      </c>
      <c r="E168" s="1" t="inlineStr">
        <is>
          <t xml:space="preserve">34840525       </t>
        </is>
      </c>
      <c r="F168" s="5" t="inlineStr">
        <is>
          <t>NENUCO VAMOS DE PASEO</t>
        </is>
      </c>
      <c r="G168" t="n">
        <v>1</v>
      </c>
      <c r="H168" s="7" t="n">
        <v>99</v>
      </c>
      <c r="I168" s="7" t="n">
        <v>0</v>
      </c>
      <c r="J168" s="7" t="n">
        <v>0</v>
      </c>
      <c r="K168" s="9" t="n">
        <v>0</v>
      </c>
      <c r="L168" s="10" t="n">
        <v>58.73</v>
      </c>
      <c r="M168" s="10" t="n">
        <v>1.43</v>
      </c>
      <c r="N168" t="inlineStr">
        <is>
          <t>1</t>
        </is>
      </c>
      <c r="O168" t="inlineStr">
        <is>
          <t>16</t>
        </is>
      </c>
      <c r="P168" t="inlineStr">
        <is>
          <t xml:space="preserve">99737   </t>
        </is>
      </c>
      <c r="Q168" s="26" t="n">
        <v>58.73</v>
      </c>
      <c r="R168" s="26">
        <f>Q168*G168</f>
        <v/>
      </c>
      <c r="S168" s="26">
        <f>IFERROR(VLOOKUP(E168*1,Tabla[#All],8,0),0)</f>
        <v/>
      </c>
      <c r="T168" s="26">
        <f>S168*G168</f>
        <v/>
      </c>
      <c r="U168" s="26">
        <f>R168-T168</f>
        <v/>
      </c>
      <c r="V168" s="26">
        <f>U168-L168</f>
        <v/>
      </c>
    </row>
    <row r="169">
      <c r="A169" s="11" t="n">
        <v>46206</v>
      </c>
      <c r="B169" s="1" t="n">
        <v>20030</v>
      </c>
      <c r="C169" s="1" t="inlineStr">
        <is>
          <t>077</t>
        </is>
      </c>
      <c r="D169" s="1" t="inlineStr">
        <is>
          <t>231730</t>
        </is>
      </c>
      <c r="E169" s="1" t="inlineStr">
        <is>
          <t xml:space="preserve">28194770       </t>
        </is>
      </c>
      <c r="F169" s="5" t="inlineStr">
        <is>
          <t>AUTOS DE METAL 3 TEAMSTERZ EN BLISTER</t>
        </is>
      </c>
      <c r="G169" t="n">
        <v>1</v>
      </c>
      <c r="H169" s="7" t="n">
        <v>6.9</v>
      </c>
      <c r="I169" s="7" t="n">
        <v>0</v>
      </c>
      <c r="J169" s="7" t="n">
        <v>0</v>
      </c>
      <c r="K169" s="9" t="n">
        <v>0</v>
      </c>
      <c r="L169" s="10" t="n">
        <v>4.1</v>
      </c>
      <c r="M169" s="10" t="n">
        <v>1.43</v>
      </c>
      <c r="N169" t="inlineStr">
        <is>
          <t>1</t>
        </is>
      </c>
      <c r="O169" t="inlineStr">
        <is>
          <t xml:space="preserve">2 </t>
        </is>
      </c>
      <c r="P169" t="inlineStr">
        <is>
          <t xml:space="preserve">99737   </t>
        </is>
      </c>
      <c r="Q169" s="26" t="n">
        <v>4.09</v>
      </c>
      <c r="R169" s="26">
        <f>Q169*G169</f>
        <v/>
      </c>
      <c r="S169" s="26">
        <f>IFERROR(VLOOKUP(E169*1,Tabla[#All],8,0),0)</f>
        <v/>
      </c>
      <c r="T169" s="26">
        <f>S169*G169</f>
        <v/>
      </c>
      <c r="U169" s="26">
        <f>R169-T169</f>
        <v/>
      </c>
      <c r="V169" s="26">
        <f>U169-L169</f>
        <v/>
      </c>
    </row>
    <row r="170">
      <c r="A170" s="11" t="n">
        <v>46206</v>
      </c>
      <c r="B170" s="1" t="n">
        <v>20030</v>
      </c>
      <c r="C170" s="1" t="inlineStr">
        <is>
          <t>077</t>
        </is>
      </c>
      <c r="D170" s="1" t="inlineStr">
        <is>
          <t>231730</t>
        </is>
      </c>
      <c r="E170" s="1" t="inlineStr">
        <is>
          <t xml:space="preserve">28194770       </t>
        </is>
      </c>
      <c r="F170" s="5" t="inlineStr">
        <is>
          <t>AUTOS DE METAL 3 TEAMSTERZ EN BLISTER</t>
        </is>
      </c>
      <c r="G170" t="n">
        <v>1</v>
      </c>
      <c r="H170" s="7" t="n">
        <v>6.9</v>
      </c>
      <c r="I170" s="7" t="n">
        <v>0</v>
      </c>
      <c r="J170" s="7" t="n">
        <v>0</v>
      </c>
      <c r="K170" s="9" t="n">
        <v>0</v>
      </c>
      <c r="L170" s="10" t="n">
        <v>4.1</v>
      </c>
      <c r="M170" s="10" t="n">
        <v>1.43</v>
      </c>
      <c r="N170" t="inlineStr">
        <is>
          <t>1</t>
        </is>
      </c>
      <c r="O170" t="inlineStr">
        <is>
          <t xml:space="preserve">2 </t>
        </is>
      </c>
      <c r="P170" t="inlineStr">
        <is>
          <t xml:space="preserve">99737   </t>
        </is>
      </c>
      <c r="Q170" s="26" t="n">
        <v>4.09</v>
      </c>
      <c r="R170" s="26">
        <f>Q170*G170</f>
        <v/>
      </c>
      <c r="S170" s="26">
        <f>IFERROR(VLOOKUP(E170*1,Tabla[#All],8,0),0)</f>
        <v/>
      </c>
      <c r="T170" s="26">
        <f>S170*G170</f>
        <v/>
      </c>
      <c r="U170" s="26">
        <f>R170-T170</f>
        <v/>
      </c>
      <c r="V170" s="26">
        <f>U170-L170</f>
        <v/>
      </c>
    </row>
    <row r="171">
      <c r="A171" s="11" t="n">
        <v>46206</v>
      </c>
      <c r="B171" s="1" t="n">
        <v>20030</v>
      </c>
      <c r="C171" s="1" t="inlineStr">
        <is>
          <t>077</t>
        </is>
      </c>
      <c r="D171" s="1" t="inlineStr">
        <is>
          <t>231736</t>
        </is>
      </c>
      <c r="E171" s="1" t="inlineStr">
        <is>
          <t xml:space="preserve">28194769       </t>
        </is>
      </c>
      <c r="F171" s="5" t="inlineStr">
        <is>
          <t>AUTOS DE METAL 3 TEAMSTERZ PACK DE 2</t>
        </is>
      </c>
      <c r="G171" t="n">
        <v>1</v>
      </c>
      <c r="H171" s="7" t="n">
        <v>13.8</v>
      </c>
      <c r="I171" s="7" t="n">
        <v>0</v>
      </c>
      <c r="J171" s="7" t="n">
        <v>0</v>
      </c>
      <c r="K171" s="9" t="n">
        <v>0</v>
      </c>
      <c r="L171" s="10" t="n">
        <v>8.18</v>
      </c>
      <c r="M171" s="10" t="n">
        <v>1.43</v>
      </c>
      <c r="N171" t="inlineStr">
        <is>
          <t>1</t>
        </is>
      </c>
      <c r="O171" t="inlineStr">
        <is>
          <t>16</t>
        </is>
      </c>
      <c r="P171" t="inlineStr">
        <is>
          <t xml:space="preserve">99737   </t>
        </is>
      </c>
      <c r="Q171" s="26" t="n">
        <v>8.19</v>
      </c>
      <c r="R171" s="26">
        <f>Q171*G171</f>
        <v/>
      </c>
      <c r="S171" s="26">
        <f>IFERROR(VLOOKUP(E171*1,Tabla[#All],8,0),0)</f>
        <v/>
      </c>
      <c r="T171" s="26">
        <f>S171*G171</f>
        <v/>
      </c>
      <c r="U171" s="26">
        <f>R171-T171</f>
        <v/>
      </c>
      <c r="V171" s="26">
        <f>U171-L171</f>
        <v/>
      </c>
    </row>
    <row r="172">
      <c r="A172" s="11" t="n">
        <v>46206</v>
      </c>
      <c r="B172" s="1" t="n">
        <v>20030</v>
      </c>
      <c r="C172" s="1" t="inlineStr">
        <is>
          <t>077</t>
        </is>
      </c>
      <c r="D172" s="1" t="inlineStr">
        <is>
          <t>231736</t>
        </is>
      </c>
      <c r="E172" s="1" t="inlineStr">
        <is>
          <t xml:space="preserve">28194770       </t>
        </is>
      </c>
      <c r="F172" s="5" t="inlineStr">
        <is>
          <t>AUTOS DE METAL 3 TEAMSTERZ EN BLISTER</t>
        </is>
      </c>
      <c r="G172" t="n">
        <v>1</v>
      </c>
      <c r="H172" s="7" t="n">
        <v>6.9</v>
      </c>
      <c r="I172" s="7" t="n">
        <v>0</v>
      </c>
      <c r="J172" s="7" t="n">
        <v>0</v>
      </c>
      <c r="K172" s="9" t="n">
        <v>0</v>
      </c>
      <c r="L172" s="10" t="n">
        <v>4.1</v>
      </c>
      <c r="M172" s="10" t="n">
        <v>1.43</v>
      </c>
      <c r="N172" t="inlineStr">
        <is>
          <t>1</t>
        </is>
      </c>
      <c r="O172" t="inlineStr">
        <is>
          <t>16</t>
        </is>
      </c>
      <c r="P172" t="inlineStr">
        <is>
          <t xml:space="preserve">99737   </t>
        </is>
      </c>
      <c r="Q172" s="26" t="n">
        <v>4.09</v>
      </c>
      <c r="R172" s="26">
        <f>Q172*G172</f>
        <v/>
      </c>
      <c r="S172" s="26">
        <f>IFERROR(VLOOKUP(E172*1,Tabla[#All],8,0),0)</f>
        <v/>
      </c>
      <c r="T172" s="26">
        <f>S172*G172</f>
        <v/>
      </c>
      <c r="U172" s="26">
        <f>R172-T172</f>
        <v/>
      </c>
      <c r="V172" s="26">
        <f>U172-L172</f>
        <v/>
      </c>
    </row>
    <row r="173">
      <c r="A173" s="11" t="n">
        <v>46206</v>
      </c>
      <c r="B173" s="1" t="n">
        <v>20040</v>
      </c>
      <c r="C173" s="1" t="inlineStr">
        <is>
          <t>073</t>
        </is>
      </c>
      <c r="D173" s="1" t="inlineStr">
        <is>
          <t>253883</t>
        </is>
      </c>
      <c r="E173" s="1" t="inlineStr">
        <is>
          <t xml:space="preserve">31675354       </t>
        </is>
      </c>
      <c r="F173" s="5" t="inlineStr">
        <is>
          <t>NENUCO LLORON CON ACCESORIOS</t>
        </is>
      </c>
      <c r="G173" t="n">
        <v>1</v>
      </c>
      <c r="H173" s="7" t="n">
        <v>89.90000000000001</v>
      </c>
      <c r="I173" s="7" t="n">
        <v>0</v>
      </c>
      <c r="J173" s="7" t="n">
        <v>0</v>
      </c>
      <c r="K173" s="9" t="n">
        <v>0</v>
      </c>
      <c r="L173" s="10" t="n">
        <v>53.33</v>
      </c>
      <c r="M173" s="10" t="n">
        <v>1.43</v>
      </c>
      <c r="N173" t="inlineStr">
        <is>
          <t>1</t>
        </is>
      </c>
      <c r="O173" t="inlineStr">
        <is>
          <t xml:space="preserve">2 </t>
        </is>
      </c>
      <c r="P173" t="inlineStr">
        <is>
          <t xml:space="preserve">243636  </t>
        </is>
      </c>
      <c r="Q173" s="26" t="n">
        <v>53.33</v>
      </c>
      <c r="R173" s="26">
        <f>Q173*G173</f>
        <v/>
      </c>
      <c r="S173" s="26">
        <f>IFERROR(VLOOKUP(E173*1,Tabla[#All],8,0),0)</f>
        <v/>
      </c>
      <c r="T173" s="26">
        <f>S173*G173</f>
        <v/>
      </c>
      <c r="U173" s="26">
        <f>R173-T173</f>
        <v/>
      </c>
      <c r="V173" s="26">
        <f>U173-L173</f>
        <v/>
      </c>
    </row>
    <row r="174">
      <c r="A174" s="11" t="n">
        <v>46206</v>
      </c>
      <c r="B174" s="1" t="n">
        <v>20040</v>
      </c>
      <c r="C174" s="1" t="inlineStr">
        <is>
          <t>083</t>
        </is>
      </c>
      <c r="D174" s="1" t="inlineStr">
        <is>
          <t>158944</t>
        </is>
      </c>
      <c r="E174" s="1" t="inlineStr">
        <is>
          <t xml:space="preserve">29235710       </t>
        </is>
      </c>
      <c r="F174" s="5" t="inlineStr">
        <is>
          <t>TEAMSTERZ PLAYSET GRANDES CONSTRUCCIONES</t>
        </is>
      </c>
      <c r="G174" t="n">
        <v>1</v>
      </c>
      <c r="H174" s="7" t="n">
        <v>19.9</v>
      </c>
      <c r="I174" s="7" t="n">
        <v>0</v>
      </c>
      <c r="J174" s="7" t="n">
        <v>0</v>
      </c>
      <c r="K174" s="9" t="n">
        <v>0</v>
      </c>
      <c r="L174" s="10" t="n">
        <v>11.8</v>
      </c>
      <c r="M174" s="10" t="n">
        <v>1.43</v>
      </c>
      <c r="N174" t="inlineStr">
        <is>
          <t>1</t>
        </is>
      </c>
      <c r="O174" t="inlineStr">
        <is>
          <t xml:space="preserve">3 </t>
        </is>
      </c>
      <c r="P174" t="inlineStr">
        <is>
          <t xml:space="preserve">248589  </t>
        </is>
      </c>
      <c r="Q174" s="26" t="n">
        <v>11.81</v>
      </c>
      <c r="R174" s="26">
        <f>Q174*G174</f>
        <v/>
      </c>
      <c r="S174" s="26">
        <f>IFERROR(VLOOKUP(E174*1,Tabla[#All],8,0),0)</f>
        <v/>
      </c>
      <c r="T174" s="26">
        <f>S174*G174</f>
        <v/>
      </c>
      <c r="U174" s="26">
        <f>R174-T174</f>
        <v/>
      </c>
      <c r="V174" s="26">
        <f>U174-L174</f>
        <v/>
      </c>
    </row>
    <row r="175">
      <c r="A175" s="11" t="n">
        <v>46206</v>
      </c>
      <c r="B175" s="1" t="n">
        <v>20040</v>
      </c>
      <c r="C175" s="1" t="inlineStr">
        <is>
          <t>083</t>
        </is>
      </c>
      <c r="D175" s="1" t="inlineStr">
        <is>
          <t>158972</t>
        </is>
      </c>
      <c r="E175" s="1" t="inlineStr">
        <is>
          <t xml:space="preserve">28194768       </t>
        </is>
      </c>
      <c r="F175" s="5" t="inlineStr">
        <is>
          <t>AUTO COLOR CHANGE TEAMSTERZ SURTIDO</t>
        </is>
      </c>
      <c r="G175" t="n">
        <v>1</v>
      </c>
      <c r="H175" s="7" t="n">
        <v>14.9</v>
      </c>
      <c r="I175" s="7" t="n">
        <v>0</v>
      </c>
      <c r="J175" s="7" t="n">
        <v>0</v>
      </c>
      <c r="K175" s="9" t="n">
        <v>0</v>
      </c>
      <c r="L175" s="10" t="n">
        <v>8.84</v>
      </c>
      <c r="M175" s="10" t="n">
        <v>1.43</v>
      </c>
      <c r="N175" t="inlineStr">
        <is>
          <t>1</t>
        </is>
      </c>
      <c r="O175" t="inlineStr">
        <is>
          <t xml:space="preserve">2 </t>
        </is>
      </c>
      <c r="P175" t="inlineStr">
        <is>
          <t xml:space="preserve">241887  </t>
        </is>
      </c>
      <c r="Q175" s="26" t="n">
        <v>8.84</v>
      </c>
      <c r="R175" s="26">
        <f>Q175*G175</f>
        <v/>
      </c>
      <c r="S175" s="26">
        <f>IFERROR(VLOOKUP(E175*1,Tabla[#All],8,0),0)</f>
        <v/>
      </c>
      <c r="T175" s="26">
        <f>S175*G175</f>
        <v/>
      </c>
      <c r="U175" s="26">
        <f>R175-T175</f>
        <v/>
      </c>
      <c r="V175" s="26">
        <f>U175-L175</f>
        <v/>
      </c>
    </row>
    <row r="176">
      <c r="A176" s="11" t="n">
        <v>46206</v>
      </c>
      <c r="B176" s="1" t="n">
        <v>20040</v>
      </c>
      <c r="C176" s="1" t="inlineStr">
        <is>
          <t>083</t>
        </is>
      </c>
      <c r="D176" s="1" t="inlineStr">
        <is>
          <t>159011</t>
        </is>
      </c>
      <c r="E176" s="1" t="inlineStr">
        <is>
          <t xml:space="preserve">29773844       </t>
        </is>
      </c>
      <c r="F176" s="5" t="inlineStr">
        <is>
          <t>INFINITY NADO MALETIN DE TROMPO DE BATALLA DE META</t>
        </is>
      </c>
      <c r="G176" t="n">
        <v>1</v>
      </c>
      <c r="H176" s="7" t="n">
        <v>99</v>
      </c>
      <c r="I176" s="7" t="n">
        <v>0</v>
      </c>
      <c r="J176" s="7" t="n">
        <v>0</v>
      </c>
      <c r="K176" s="9" t="n">
        <v>0</v>
      </c>
      <c r="L176" s="10" t="n">
        <v>58.73</v>
      </c>
      <c r="M176" s="10" t="n">
        <v>1.43</v>
      </c>
      <c r="N176" t="inlineStr">
        <is>
          <t>1</t>
        </is>
      </c>
      <c r="O176" t="inlineStr">
        <is>
          <t xml:space="preserve">2 </t>
        </is>
      </c>
      <c r="P176" t="inlineStr">
        <is>
          <t xml:space="preserve">241887  </t>
        </is>
      </c>
      <c r="Q176" s="26" t="n">
        <v>58.73</v>
      </c>
      <c r="R176" s="26">
        <f>Q176*G176</f>
        <v/>
      </c>
      <c r="S176" s="26">
        <f>IFERROR(VLOOKUP(E176*1,Tabla[#All],8,0),0)</f>
        <v/>
      </c>
      <c r="T176" s="26">
        <f>S176*G176</f>
        <v/>
      </c>
      <c r="U176" s="26">
        <f>R176-T176</f>
        <v/>
      </c>
      <c r="V176" s="26">
        <f>U176-L176</f>
        <v/>
      </c>
    </row>
    <row r="177">
      <c r="A177" s="11" t="n">
        <v>46206</v>
      </c>
      <c r="B177" s="1" t="n">
        <v>20040</v>
      </c>
      <c r="C177" s="1" t="inlineStr">
        <is>
          <t>190</t>
        </is>
      </c>
      <c r="D177" s="1" t="inlineStr">
        <is>
          <t>367499</t>
        </is>
      </c>
      <c r="E177" s="1" t="inlineStr">
        <is>
          <t xml:space="preserve">33661538       </t>
        </is>
      </c>
      <c r="F177" s="5" t="inlineStr">
        <is>
          <t>HOT WHEELS CASE GARAGE RUEDA METAL EN LLAMAS X 29</t>
        </is>
      </c>
      <c r="G177" t="n">
        <v>1</v>
      </c>
      <c r="H177" s="7" t="n">
        <v>69.90000000000001</v>
      </c>
      <c r="I177" s="7" t="n">
        <v>0</v>
      </c>
      <c r="J177" s="7" t="n">
        <v>0</v>
      </c>
      <c r="K177" s="9" t="n">
        <v>0</v>
      </c>
      <c r="L177" s="10" t="n">
        <v>41.47</v>
      </c>
      <c r="M177" s="10" t="n">
        <v>1.43</v>
      </c>
      <c r="N177" t="inlineStr">
        <is>
          <t>1</t>
        </is>
      </c>
      <c r="O177" t="inlineStr">
        <is>
          <t xml:space="preserve">3 </t>
        </is>
      </c>
      <c r="P177" t="inlineStr">
        <is>
          <t xml:space="preserve">247177  </t>
        </is>
      </c>
      <c r="Q177" s="26" t="n">
        <v>41.47</v>
      </c>
      <c r="R177" s="26">
        <f>Q177*G177</f>
        <v/>
      </c>
      <c r="S177" s="26">
        <f>IFERROR(VLOOKUP(E177*1,Tabla[#All],8,0),0)</f>
        <v/>
      </c>
      <c r="T177" s="26">
        <f>S177*G177</f>
        <v/>
      </c>
      <c r="U177" s="26">
        <f>R177-T177</f>
        <v/>
      </c>
      <c r="V177" s="26">
        <f>U177-L177</f>
        <v/>
      </c>
    </row>
    <row r="178">
      <c r="A178" s="11" t="n">
        <v>46206</v>
      </c>
      <c r="B178" s="1" t="n">
        <v>20041</v>
      </c>
      <c r="C178" s="1" t="inlineStr">
        <is>
          <t>012</t>
        </is>
      </c>
      <c r="D178" s="1" t="inlineStr">
        <is>
          <t>323360</t>
        </is>
      </c>
      <c r="E178" s="1" t="inlineStr">
        <is>
          <t xml:space="preserve">28194770       </t>
        </is>
      </c>
      <c r="F178" s="5" t="inlineStr">
        <is>
          <t>AUTOS DE METAL 3 TEAMSTERZ EN BLISTER</t>
        </is>
      </c>
      <c r="G178" t="n">
        <v>1</v>
      </c>
      <c r="H178" s="7" t="n">
        <v>6.9</v>
      </c>
      <c r="I178" s="7" t="n">
        <v>0</v>
      </c>
      <c r="J178" s="7" t="n">
        <v>0</v>
      </c>
      <c r="K178" s="9" t="n">
        <v>0</v>
      </c>
      <c r="L178" s="10" t="n">
        <v>4.1</v>
      </c>
      <c r="M178" s="10" t="n">
        <v>1.43</v>
      </c>
      <c r="N178" t="inlineStr">
        <is>
          <t>1</t>
        </is>
      </c>
      <c r="O178" t="inlineStr">
        <is>
          <t>16</t>
        </is>
      </c>
      <c r="P178" t="inlineStr">
        <is>
          <t xml:space="preserve">36128   </t>
        </is>
      </c>
      <c r="Q178" s="26" t="n">
        <v>4.09</v>
      </c>
      <c r="R178" s="26">
        <f>Q178*G178</f>
        <v/>
      </c>
      <c r="S178" s="26">
        <f>IFERROR(VLOOKUP(E178*1,Tabla[#All],8,0),0)</f>
        <v/>
      </c>
      <c r="T178" s="26">
        <f>S178*G178</f>
        <v/>
      </c>
      <c r="U178" s="26">
        <f>R178-T178</f>
        <v/>
      </c>
      <c r="V178" s="26">
        <f>U178-L178</f>
        <v/>
      </c>
    </row>
    <row r="179">
      <c r="A179" s="11" t="n">
        <v>46206</v>
      </c>
      <c r="B179" s="1" t="n">
        <v>20041</v>
      </c>
      <c r="C179" s="1" t="inlineStr">
        <is>
          <t>012</t>
        </is>
      </c>
      <c r="D179" s="1" t="inlineStr">
        <is>
          <t>323360</t>
        </is>
      </c>
      <c r="E179" s="1" t="inlineStr">
        <is>
          <t xml:space="preserve">28194770       </t>
        </is>
      </c>
      <c r="F179" s="5" t="inlineStr">
        <is>
          <t>AUTOS DE METAL 3 TEAMSTERZ EN BLISTER</t>
        </is>
      </c>
      <c r="G179" t="n">
        <v>1</v>
      </c>
      <c r="H179" s="7" t="n">
        <v>6.9</v>
      </c>
      <c r="I179" s="7" t="n">
        <v>0</v>
      </c>
      <c r="J179" s="7" t="n">
        <v>0</v>
      </c>
      <c r="K179" s="9" t="n">
        <v>0</v>
      </c>
      <c r="L179" s="10" t="n">
        <v>4.1</v>
      </c>
      <c r="M179" s="10" t="n">
        <v>1.43</v>
      </c>
      <c r="N179" t="inlineStr">
        <is>
          <t>1</t>
        </is>
      </c>
      <c r="O179" t="inlineStr">
        <is>
          <t>16</t>
        </is>
      </c>
      <c r="P179" t="inlineStr">
        <is>
          <t xml:space="preserve">36128   </t>
        </is>
      </c>
      <c r="Q179" s="26" t="n">
        <v>4.09</v>
      </c>
      <c r="R179" s="26">
        <f>Q179*G179</f>
        <v/>
      </c>
      <c r="S179" s="26">
        <f>IFERROR(VLOOKUP(E179*1,Tabla[#All],8,0),0)</f>
        <v/>
      </c>
      <c r="T179" s="26">
        <f>S179*G179</f>
        <v/>
      </c>
      <c r="U179" s="26">
        <f>R179-T179</f>
        <v/>
      </c>
      <c r="V179" s="26">
        <f>U179-L179</f>
        <v/>
      </c>
    </row>
    <row r="180">
      <c r="A180" s="11" t="n">
        <v>46206</v>
      </c>
      <c r="B180" s="1" t="n">
        <v>20041</v>
      </c>
      <c r="C180" s="1" t="inlineStr">
        <is>
          <t>018</t>
        </is>
      </c>
      <c r="D180" s="1" t="inlineStr">
        <is>
          <t xml:space="preserve">55084 </t>
        </is>
      </c>
      <c r="E180" s="1" t="inlineStr">
        <is>
          <t xml:space="preserve">28194770       </t>
        </is>
      </c>
      <c r="F180" s="5" t="inlineStr">
        <is>
          <t>AUTOS DE METAL 3 TEAMSTERZ EN BLISTER</t>
        </is>
      </c>
      <c r="G180" t="n">
        <v>1</v>
      </c>
      <c r="H180" s="7" t="n">
        <v>6.9</v>
      </c>
      <c r="I180" s="7" t="n">
        <v>0</v>
      </c>
      <c r="J180" s="7" t="n">
        <v>0</v>
      </c>
      <c r="K180" s="9" t="n">
        <v>0</v>
      </c>
      <c r="L180" s="10" t="n">
        <v>4.1</v>
      </c>
      <c r="M180" s="10" t="n">
        <v>1.43</v>
      </c>
      <c r="N180" t="inlineStr">
        <is>
          <t>1</t>
        </is>
      </c>
      <c r="O180" t="inlineStr">
        <is>
          <t xml:space="preserve">2 </t>
        </is>
      </c>
      <c r="P180" t="inlineStr">
        <is>
          <t xml:space="preserve">57146   </t>
        </is>
      </c>
      <c r="Q180" s="26" t="n">
        <v>4.09</v>
      </c>
      <c r="R180" s="26">
        <f>Q180*G180</f>
        <v/>
      </c>
      <c r="S180" s="26">
        <f>IFERROR(VLOOKUP(E180*1,Tabla[#All],8,0),0)</f>
        <v/>
      </c>
      <c r="T180" s="26">
        <f>S180*G180</f>
        <v/>
      </c>
      <c r="U180" s="26">
        <f>R180-T180</f>
        <v/>
      </c>
      <c r="V180" s="26">
        <f>U180-L180</f>
        <v/>
      </c>
    </row>
    <row r="181">
      <c r="A181" s="11" t="n">
        <v>46206</v>
      </c>
      <c r="B181" s="1" t="n">
        <v>20041</v>
      </c>
      <c r="C181" s="1" t="inlineStr">
        <is>
          <t>037</t>
        </is>
      </c>
      <c r="D181" s="1" t="inlineStr">
        <is>
          <t>188900</t>
        </is>
      </c>
      <c r="E181" s="1" t="inlineStr">
        <is>
          <t xml:space="preserve">28194769       </t>
        </is>
      </c>
      <c r="F181" s="5" t="inlineStr">
        <is>
          <t>AUTOS DE METAL 3 TEAMSTERZ PACK DE 2</t>
        </is>
      </c>
      <c r="G181" t="n">
        <v>1</v>
      </c>
      <c r="H181" s="7" t="n">
        <v>13.8</v>
      </c>
      <c r="I181" s="7" t="n">
        <v>0</v>
      </c>
      <c r="J181" s="7" t="n">
        <v>0</v>
      </c>
      <c r="K181" s="9" t="n">
        <v>0</v>
      </c>
      <c r="L181" s="10" t="n">
        <v>8.18</v>
      </c>
      <c r="M181" s="10" t="n">
        <v>1.43</v>
      </c>
      <c r="N181" t="inlineStr">
        <is>
          <t>1</t>
        </is>
      </c>
      <c r="O181" t="inlineStr">
        <is>
          <t xml:space="preserve">2 </t>
        </is>
      </c>
      <c r="P181" t="inlineStr">
        <is>
          <t xml:space="preserve">240974  </t>
        </is>
      </c>
      <c r="Q181" s="26" t="n">
        <v>8.19</v>
      </c>
      <c r="R181" s="26">
        <f>Q181*G181</f>
        <v/>
      </c>
      <c r="S181" s="26">
        <f>IFERROR(VLOOKUP(E181*1,Tabla[#All],8,0),0)</f>
        <v/>
      </c>
      <c r="T181" s="26">
        <f>S181*G181</f>
        <v/>
      </c>
      <c r="U181" s="26">
        <f>R181-T181</f>
        <v/>
      </c>
      <c r="V181" s="26">
        <f>U181-L181</f>
        <v/>
      </c>
    </row>
    <row r="182">
      <c r="A182" s="11" t="n">
        <v>46206</v>
      </c>
      <c r="B182" s="1" t="n">
        <v>20041</v>
      </c>
      <c r="C182" s="1" t="inlineStr">
        <is>
          <t>037</t>
        </is>
      </c>
      <c r="D182" s="1" t="inlineStr">
        <is>
          <t>188900</t>
        </is>
      </c>
      <c r="E182" s="1" t="inlineStr">
        <is>
          <t xml:space="preserve">28194769       </t>
        </is>
      </c>
      <c r="F182" s="5" t="inlineStr">
        <is>
          <t>AUTOS DE METAL 3 TEAMSTERZ PACK DE 2</t>
        </is>
      </c>
      <c r="G182" t="n">
        <v>1</v>
      </c>
      <c r="H182" s="7" t="n">
        <v>13.8</v>
      </c>
      <c r="I182" s="7" t="n">
        <v>0</v>
      </c>
      <c r="J182" s="7" t="n">
        <v>0</v>
      </c>
      <c r="K182" s="9" t="n">
        <v>0</v>
      </c>
      <c r="L182" s="10" t="n">
        <v>8.18</v>
      </c>
      <c r="M182" s="10" t="n">
        <v>1.43</v>
      </c>
      <c r="N182" t="inlineStr">
        <is>
          <t>1</t>
        </is>
      </c>
      <c r="O182" t="inlineStr">
        <is>
          <t xml:space="preserve">2 </t>
        </is>
      </c>
      <c r="P182" t="inlineStr">
        <is>
          <t xml:space="preserve">240974  </t>
        </is>
      </c>
      <c r="Q182" s="26" t="n">
        <v>8.19</v>
      </c>
      <c r="R182" s="26">
        <f>Q182*G182</f>
        <v/>
      </c>
      <c r="S182" s="26">
        <f>IFERROR(VLOOKUP(E182*1,Tabla[#All],8,0),0)</f>
        <v/>
      </c>
      <c r="T182" s="26">
        <f>S182*G182</f>
        <v/>
      </c>
      <c r="U182" s="26">
        <f>R182-T182</f>
        <v/>
      </c>
      <c r="V182" s="26">
        <f>U182-L182</f>
        <v/>
      </c>
    </row>
    <row r="183">
      <c r="A183" s="11" t="n">
        <v>46206</v>
      </c>
      <c r="B183" s="1" t="n">
        <v>20041</v>
      </c>
      <c r="C183" s="1" t="inlineStr">
        <is>
          <t>037</t>
        </is>
      </c>
      <c r="D183" s="1" t="inlineStr">
        <is>
          <t>188907</t>
        </is>
      </c>
      <c r="E183" s="1" t="inlineStr">
        <is>
          <t xml:space="preserve">28194769       </t>
        </is>
      </c>
      <c r="F183" s="5" t="inlineStr">
        <is>
          <t>AUTOS DE METAL 3 TEAMSTERZ PACK DE 2</t>
        </is>
      </c>
      <c r="G183" t="n">
        <v>1</v>
      </c>
      <c r="H183" s="7" t="n">
        <v>13.8</v>
      </c>
      <c r="I183" s="7" t="n">
        <v>0</v>
      </c>
      <c r="J183" s="7" t="n">
        <v>0</v>
      </c>
      <c r="K183" s="9" t="n">
        <v>0</v>
      </c>
      <c r="L183" s="10" t="n">
        <v>8.18</v>
      </c>
      <c r="M183" s="10" t="n">
        <v>1.43</v>
      </c>
      <c r="N183" t="inlineStr">
        <is>
          <t>1</t>
        </is>
      </c>
      <c r="O183" t="inlineStr">
        <is>
          <t>16</t>
        </is>
      </c>
      <c r="P183" t="inlineStr">
        <is>
          <t xml:space="preserve">240974  </t>
        </is>
      </c>
      <c r="Q183" s="26" t="n">
        <v>8.19</v>
      </c>
      <c r="R183" s="26">
        <f>Q183*G183</f>
        <v/>
      </c>
      <c r="S183" s="26">
        <f>IFERROR(VLOOKUP(E183*1,Tabla[#All],8,0),0)</f>
        <v/>
      </c>
      <c r="T183" s="26">
        <f>S183*G183</f>
        <v/>
      </c>
      <c r="U183" s="26">
        <f>R183-T183</f>
        <v/>
      </c>
      <c r="V183" s="26">
        <f>U183-L183</f>
        <v/>
      </c>
    </row>
    <row r="184">
      <c r="A184" s="11" t="n">
        <v>46206</v>
      </c>
      <c r="B184" s="1" t="n">
        <v>20041</v>
      </c>
      <c r="C184" s="1" t="inlineStr">
        <is>
          <t>037</t>
        </is>
      </c>
      <c r="D184" s="1" t="inlineStr">
        <is>
          <t>188907</t>
        </is>
      </c>
      <c r="E184" s="1" t="inlineStr">
        <is>
          <t xml:space="preserve">28194770       </t>
        </is>
      </c>
      <c r="F184" s="5" t="inlineStr">
        <is>
          <t>AUTOS DE METAL 3 TEAMSTERZ EN BLISTER</t>
        </is>
      </c>
      <c r="G184" t="n">
        <v>1</v>
      </c>
      <c r="H184" s="7" t="n">
        <v>6.9</v>
      </c>
      <c r="I184" s="7" t="n">
        <v>0</v>
      </c>
      <c r="J184" s="7" t="n">
        <v>0</v>
      </c>
      <c r="K184" s="9" t="n">
        <v>0</v>
      </c>
      <c r="L184" s="10" t="n">
        <v>4.1</v>
      </c>
      <c r="M184" s="10" t="n">
        <v>1.43</v>
      </c>
      <c r="N184" t="inlineStr">
        <is>
          <t>1</t>
        </is>
      </c>
      <c r="O184" t="inlineStr">
        <is>
          <t>16</t>
        </is>
      </c>
      <c r="P184" t="inlineStr">
        <is>
          <t xml:space="preserve">240974  </t>
        </is>
      </c>
      <c r="Q184" s="26" t="n">
        <v>4.09</v>
      </c>
      <c r="R184" s="26">
        <f>Q184*G184</f>
        <v/>
      </c>
      <c r="S184" s="26">
        <f>IFERROR(VLOOKUP(E184*1,Tabla[#All],8,0),0)</f>
        <v/>
      </c>
      <c r="T184" s="26">
        <f>S184*G184</f>
        <v/>
      </c>
      <c r="U184" s="26">
        <f>R184-T184</f>
        <v/>
      </c>
      <c r="V184" s="26">
        <f>U184-L184</f>
        <v/>
      </c>
    </row>
    <row r="185">
      <c r="A185" s="11" t="n">
        <v>46206</v>
      </c>
      <c r="B185" s="1" t="n">
        <v>20041</v>
      </c>
      <c r="C185" s="1" t="inlineStr">
        <is>
          <t>037</t>
        </is>
      </c>
      <c r="D185" s="1" t="inlineStr">
        <is>
          <t>188907</t>
        </is>
      </c>
      <c r="E185" s="1" t="inlineStr">
        <is>
          <t xml:space="preserve">28194770       </t>
        </is>
      </c>
      <c r="F185" s="5" t="inlineStr">
        <is>
          <t>AUTOS DE METAL 3 TEAMSTERZ EN BLISTER</t>
        </is>
      </c>
      <c r="G185" t="n">
        <v>1</v>
      </c>
      <c r="H185" s="7" t="n">
        <v>6.9</v>
      </c>
      <c r="I185" s="7" t="n">
        <v>0</v>
      </c>
      <c r="J185" s="7" t="n">
        <v>0</v>
      </c>
      <c r="K185" s="9" t="n">
        <v>0</v>
      </c>
      <c r="L185" s="10" t="n">
        <v>4.1</v>
      </c>
      <c r="M185" s="10" t="n">
        <v>1.43</v>
      </c>
      <c r="N185" t="inlineStr">
        <is>
          <t>1</t>
        </is>
      </c>
      <c r="O185" t="inlineStr">
        <is>
          <t>16</t>
        </is>
      </c>
      <c r="P185" t="inlineStr">
        <is>
          <t xml:space="preserve">240974  </t>
        </is>
      </c>
      <c r="Q185" s="26" t="n">
        <v>4.09</v>
      </c>
      <c r="R185" s="26">
        <f>Q185*G185</f>
        <v/>
      </c>
      <c r="S185" s="26">
        <f>IFERROR(VLOOKUP(E185*1,Tabla[#All],8,0),0)</f>
        <v/>
      </c>
      <c r="T185" s="26">
        <f>S185*G185</f>
        <v/>
      </c>
      <c r="U185" s="26">
        <f>R185-T185</f>
        <v/>
      </c>
      <c r="V185" s="26">
        <f>U185-L185</f>
        <v/>
      </c>
    </row>
    <row r="186">
      <c r="A186" s="11" t="n">
        <v>46206</v>
      </c>
      <c r="B186" s="1" t="n">
        <v>20041</v>
      </c>
      <c r="C186" s="1" t="inlineStr">
        <is>
          <t>037</t>
        </is>
      </c>
      <c r="D186" s="1" t="inlineStr">
        <is>
          <t>188907</t>
        </is>
      </c>
      <c r="E186" s="1" t="inlineStr">
        <is>
          <t xml:space="preserve">28194770       </t>
        </is>
      </c>
      <c r="F186" s="5" t="inlineStr">
        <is>
          <t>AUTOS DE METAL 3 TEAMSTERZ EN BLISTER</t>
        </is>
      </c>
      <c r="G186" t="n">
        <v>1</v>
      </c>
      <c r="H186" s="7" t="n">
        <v>6.9</v>
      </c>
      <c r="I186" s="7" t="n">
        <v>0</v>
      </c>
      <c r="J186" s="7" t="n">
        <v>0</v>
      </c>
      <c r="K186" s="9" t="n">
        <v>0</v>
      </c>
      <c r="L186" s="10" t="n">
        <v>4.1</v>
      </c>
      <c r="M186" s="10" t="n">
        <v>1.43</v>
      </c>
      <c r="N186" t="inlineStr">
        <is>
          <t>1</t>
        </is>
      </c>
      <c r="O186" t="inlineStr">
        <is>
          <t>16</t>
        </is>
      </c>
      <c r="P186" t="inlineStr">
        <is>
          <t xml:space="preserve">240974  </t>
        </is>
      </c>
      <c r="Q186" s="26" t="n">
        <v>4.09</v>
      </c>
      <c r="R186" s="26">
        <f>Q186*G186</f>
        <v/>
      </c>
      <c r="S186" s="26">
        <f>IFERROR(VLOOKUP(E186*1,Tabla[#All],8,0),0)</f>
        <v/>
      </c>
      <c r="T186" s="26">
        <f>S186*G186</f>
        <v/>
      </c>
      <c r="U186" s="26">
        <f>R186-T186</f>
        <v/>
      </c>
      <c r="V186" s="26">
        <f>U186-L186</f>
        <v/>
      </c>
    </row>
    <row r="187">
      <c r="A187" s="11" t="n">
        <v>46206</v>
      </c>
      <c r="B187" s="1" t="n">
        <v>20041</v>
      </c>
      <c r="C187" s="1" t="inlineStr">
        <is>
          <t>037</t>
        </is>
      </c>
      <c r="D187" s="1" t="inlineStr">
        <is>
          <t>188907</t>
        </is>
      </c>
      <c r="E187" s="1" t="inlineStr">
        <is>
          <t xml:space="preserve">28194770       </t>
        </is>
      </c>
      <c r="F187" s="5" t="inlineStr">
        <is>
          <t>AUTOS DE METAL 3 TEAMSTERZ EN BLISTER</t>
        </is>
      </c>
      <c r="G187" t="n">
        <v>1</v>
      </c>
      <c r="H187" s="7" t="n">
        <v>6.9</v>
      </c>
      <c r="I187" s="7" t="n">
        <v>0</v>
      </c>
      <c r="J187" s="7" t="n">
        <v>0</v>
      </c>
      <c r="K187" s="9" t="n">
        <v>0</v>
      </c>
      <c r="L187" s="10" t="n">
        <v>4.1</v>
      </c>
      <c r="M187" s="10" t="n">
        <v>1.43</v>
      </c>
      <c r="N187" t="inlineStr">
        <is>
          <t>1</t>
        </is>
      </c>
      <c r="O187" t="inlineStr">
        <is>
          <t>16</t>
        </is>
      </c>
      <c r="P187" t="inlineStr">
        <is>
          <t xml:space="preserve">240974  </t>
        </is>
      </c>
      <c r="Q187" s="26" t="n">
        <v>4.09</v>
      </c>
      <c r="R187" s="26">
        <f>Q187*G187</f>
        <v/>
      </c>
      <c r="S187" s="26">
        <f>IFERROR(VLOOKUP(E187*1,Tabla[#All],8,0),0)</f>
        <v/>
      </c>
      <c r="T187" s="26">
        <f>S187*G187</f>
        <v/>
      </c>
      <c r="U187" s="26">
        <f>R187-T187</f>
        <v/>
      </c>
      <c r="V187" s="26">
        <f>U187-L187</f>
        <v/>
      </c>
    </row>
    <row r="188">
      <c r="A188" s="11" t="n">
        <v>46206</v>
      </c>
      <c r="B188" s="1" t="n">
        <v>20043</v>
      </c>
      <c r="C188" s="1" t="inlineStr">
        <is>
          <t>051</t>
        </is>
      </c>
      <c r="D188" s="1" t="inlineStr">
        <is>
          <t>105436</t>
        </is>
      </c>
      <c r="E188" s="1" t="inlineStr">
        <is>
          <t xml:space="preserve">28194770       </t>
        </is>
      </c>
      <c r="F188" s="5" t="inlineStr">
        <is>
          <t>AUTOS DE METAL 3 TEAMSTERZ EN BLISTER</t>
        </is>
      </c>
      <c r="G188" t="n">
        <v>1</v>
      </c>
      <c r="H188" s="7" t="n">
        <v>6.9</v>
      </c>
      <c r="I188" s="7" t="n">
        <v>0</v>
      </c>
      <c r="J188" s="7" t="n">
        <v>0</v>
      </c>
      <c r="K188" s="9" t="n">
        <v>0</v>
      </c>
      <c r="L188" s="10" t="n">
        <v>4.1</v>
      </c>
      <c r="M188" s="10" t="n">
        <v>1.43</v>
      </c>
      <c r="N188" t="inlineStr">
        <is>
          <t>1</t>
        </is>
      </c>
      <c r="O188" t="inlineStr">
        <is>
          <t>16</t>
        </is>
      </c>
      <c r="P188" t="inlineStr">
        <is>
          <t xml:space="preserve">248955  </t>
        </is>
      </c>
      <c r="Q188" s="26" t="n">
        <v>4.09</v>
      </c>
      <c r="R188" s="26">
        <f>Q188*G188</f>
        <v/>
      </c>
      <c r="S188" s="26">
        <f>IFERROR(VLOOKUP(E188*1,Tabla[#All],8,0),0)</f>
        <v/>
      </c>
      <c r="T188" s="26">
        <f>S188*G188</f>
        <v/>
      </c>
      <c r="U188" s="26">
        <f>R188-T188</f>
        <v/>
      </c>
      <c r="V188" s="26">
        <f>U188-L188</f>
        <v/>
      </c>
    </row>
    <row r="189">
      <c r="A189" s="11" t="n">
        <v>46206</v>
      </c>
      <c r="B189" s="1" t="n">
        <v>20047</v>
      </c>
      <c r="C189" s="1" t="inlineStr">
        <is>
          <t>012</t>
        </is>
      </c>
      <c r="D189" s="1" t="inlineStr">
        <is>
          <t>331030</t>
        </is>
      </c>
      <c r="E189" s="1" t="inlineStr">
        <is>
          <t xml:space="preserve">32656417       </t>
        </is>
      </c>
      <c r="F189" s="5" t="inlineStr">
        <is>
          <t>NO DESPIERTES A PAPA</t>
        </is>
      </c>
      <c r="G189" t="n">
        <v>1</v>
      </c>
      <c r="H189" s="7" t="n">
        <v>89.90000000000001</v>
      </c>
      <c r="I189" s="7" t="n">
        <v>0</v>
      </c>
      <c r="J189" s="7" t="n">
        <v>0</v>
      </c>
      <c r="K189" s="9" t="n">
        <v>0</v>
      </c>
      <c r="L189" s="10" t="n">
        <v>53.33</v>
      </c>
      <c r="M189" s="10" t="n">
        <v>1.43</v>
      </c>
      <c r="N189" t="inlineStr">
        <is>
          <t>1</t>
        </is>
      </c>
      <c r="O189" t="inlineStr">
        <is>
          <t xml:space="preserve">2 </t>
        </is>
      </c>
      <c r="P189" t="inlineStr">
        <is>
          <t xml:space="preserve">245862  </t>
        </is>
      </c>
      <c r="Q189" s="26" t="n">
        <v>53.33</v>
      </c>
      <c r="R189" s="26">
        <f>Q189*G189</f>
        <v/>
      </c>
      <c r="S189" s="26">
        <f>IFERROR(VLOOKUP(E189*1,Tabla[#All],8,0),0)</f>
        <v/>
      </c>
      <c r="T189" s="26">
        <f>S189*G189</f>
        <v/>
      </c>
      <c r="U189" s="26">
        <f>R189-T189</f>
        <v/>
      </c>
      <c r="V189" s="26">
        <f>U189-L189</f>
        <v/>
      </c>
    </row>
    <row r="190">
      <c r="A190" s="11" t="n">
        <v>46206</v>
      </c>
      <c r="B190" s="1" t="n">
        <v>20047</v>
      </c>
      <c r="C190" s="1" t="inlineStr">
        <is>
          <t>191</t>
        </is>
      </c>
      <c r="D190" s="1" t="inlineStr">
        <is>
          <t>460192</t>
        </is>
      </c>
      <c r="E190" s="1" t="inlineStr">
        <is>
          <t xml:space="preserve">28194770       </t>
        </is>
      </c>
      <c r="F190" s="5" t="inlineStr">
        <is>
          <t>AUTOS DE METAL 3 TEAMSTERZ EN BLISTER</t>
        </is>
      </c>
      <c r="G190" t="n">
        <v>1</v>
      </c>
      <c r="H190" s="7" t="n">
        <v>6.9</v>
      </c>
      <c r="I190" s="7" t="n">
        <v>0</v>
      </c>
      <c r="J190" s="7" t="n">
        <v>0</v>
      </c>
      <c r="K190" s="9" t="n">
        <v>0</v>
      </c>
      <c r="L190" s="10" t="n">
        <v>4.1</v>
      </c>
      <c r="M190" s="10" t="n">
        <v>1.43</v>
      </c>
      <c r="N190" t="inlineStr">
        <is>
          <t>1</t>
        </is>
      </c>
      <c r="O190" t="inlineStr">
        <is>
          <t xml:space="preserve">3 </t>
        </is>
      </c>
      <c r="P190" t="inlineStr">
        <is>
          <t xml:space="preserve">245257  </t>
        </is>
      </c>
      <c r="Q190" s="26" t="n">
        <v>4.09</v>
      </c>
      <c r="R190" s="26">
        <f>Q190*G190</f>
        <v/>
      </c>
      <c r="S190" s="26">
        <f>IFERROR(VLOOKUP(E190*1,Tabla[#All],8,0),0)</f>
        <v/>
      </c>
      <c r="T190" s="26">
        <f>S190*G190</f>
        <v/>
      </c>
      <c r="U190" s="26">
        <f>R190-T190</f>
        <v/>
      </c>
      <c r="V190" s="26">
        <f>U190-L190</f>
        <v/>
      </c>
    </row>
    <row r="191">
      <c r="A191" s="11" t="n">
        <v>46206</v>
      </c>
      <c r="B191" s="1" t="n">
        <v>20048</v>
      </c>
      <c r="C191" s="1" t="inlineStr">
        <is>
          <t>013</t>
        </is>
      </c>
      <c r="D191" s="1" t="inlineStr">
        <is>
          <t>223844</t>
        </is>
      </c>
      <c r="E191" s="1" t="inlineStr">
        <is>
          <t xml:space="preserve">35685067       </t>
        </is>
      </c>
      <c r="F191" s="5" t="inlineStr">
        <is>
          <t>HOT WHEELS POWER SET 3 EN 1</t>
        </is>
      </c>
      <c r="G191" t="n">
        <v>1</v>
      </c>
      <c r="H191" s="7" t="n">
        <v>49.9</v>
      </c>
      <c r="I191" s="7" t="n">
        <v>0</v>
      </c>
      <c r="J191" s="7" t="n">
        <v>0</v>
      </c>
      <c r="K191" s="9" t="n">
        <v>0</v>
      </c>
      <c r="L191" s="10" t="n">
        <v>29.6</v>
      </c>
      <c r="M191" s="10" t="n">
        <v>1.43</v>
      </c>
      <c r="N191" t="inlineStr">
        <is>
          <t>1</t>
        </is>
      </c>
      <c r="O191" t="inlineStr">
        <is>
          <t xml:space="preserve">2 </t>
        </is>
      </c>
      <c r="P191" t="inlineStr">
        <is>
          <t xml:space="preserve">85763   </t>
        </is>
      </c>
      <c r="Q191" s="26" t="n">
        <v>29.6</v>
      </c>
      <c r="R191" s="26">
        <f>Q191*G191</f>
        <v/>
      </c>
      <c r="S191" s="26">
        <f>IFERROR(VLOOKUP(E191*1,Tabla[#All],8,0),0)</f>
        <v/>
      </c>
      <c r="T191" s="26">
        <f>S191*G191</f>
        <v/>
      </c>
      <c r="U191" s="26">
        <f>R191-T191</f>
        <v/>
      </c>
      <c r="V191" s="26">
        <f>U191-L191</f>
        <v/>
      </c>
    </row>
    <row r="192">
      <c r="A192" s="11" t="n">
        <v>46206</v>
      </c>
      <c r="B192" s="1" t="n">
        <v>20048</v>
      </c>
      <c r="C192" s="1" t="inlineStr">
        <is>
          <t>013</t>
        </is>
      </c>
      <c r="D192" s="1" t="inlineStr">
        <is>
          <t>223864</t>
        </is>
      </c>
      <c r="E192" s="1" t="inlineStr">
        <is>
          <t xml:space="preserve">33483123       </t>
        </is>
      </c>
      <c r="F192" s="5" t="inlineStr">
        <is>
          <t>NENUCO DISFRACES</t>
        </is>
      </c>
      <c r="G192" t="n">
        <v>1</v>
      </c>
      <c r="H192" s="7" t="n">
        <v>89.90000000000001</v>
      </c>
      <c r="I192" s="7" t="n">
        <v>0</v>
      </c>
      <c r="J192" s="7" t="n">
        <v>0</v>
      </c>
      <c r="K192" s="9" t="n">
        <v>0</v>
      </c>
      <c r="L192" s="10" t="n">
        <v>53.33</v>
      </c>
      <c r="M192" s="10" t="n">
        <v>1.43</v>
      </c>
      <c r="N192" t="inlineStr">
        <is>
          <t>1</t>
        </is>
      </c>
      <c r="O192" t="inlineStr">
        <is>
          <t>16</t>
        </is>
      </c>
      <c r="P192" t="inlineStr">
        <is>
          <t xml:space="preserve">85763   </t>
        </is>
      </c>
      <c r="Q192" s="26" t="n">
        <v>53.33</v>
      </c>
      <c r="R192" s="26">
        <f>Q192*G192</f>
        <v/>
      </c>
      <c r="S192" s="26">
        <f>IFERROR(VLOOKUP(E192*1,Tabla[#All],8,0),0)</f>
        <v/>
      </c>
      <c r="T192" s="26">
        <f>S192*G192</f>
        <v/>
      </c>
      <c r="U192" s="26">
        <f>R192-T192</f>
        <v/>
      </c>
      <c r="V192" s="26">
        <f>U192-L192</f>
        <v/>
      </c>
    </row>
    <row r="193">
      <c r="A193" s="11" t="n">
        <v>46206</v>
      </c>
      <c r="B193" s="1" t="n">
        <v>20048</v>
      </c>
      <c r="C193" s="1" t="inlineStr">
        <is>
          <t>013</t>
        </is>
      </c>
      <c r="D193" s="1" t="inlineStr">
        <is>
          <t>223906</t>
        </is>
      </c>
      <c r="E193" s="1" t="inlineStr">
        <is>
          <t xml:space="preserve">28194769       </t>
        </is>
      </c>
      <c r="F193" s="5" t="inlineStr">
        <is>
          <t>AUTOS DE METAL 3 TEAMSTERZ PACK DE 2</t>
        </is>
      </c>
      <c r="G193" t="n">
        <v>1</v>
      </c>
      <c r="H193" s="7" t="n">
        <v>13.8</v>
      </c>
      <c r="I193" s="7" t="n">
        <v>0</v>
      </c>
      <c r="J193" s="7" t="n">
        <v>0</v>
      </c>
      <c r="K193" s="9" t="n">
        <v>0</v>
      </c>
      <c r="L193" s="10" t="n">
        <v>8.18</v>
      </c>
      <c r="M193" s="10" t="n">
        <v>1.43</v>
      </c>
      <c r="N193" t="inlineStr">
        <is>
          <t>1</t>
        </is>
      </c>
      <c r="O193" t="inlineStr">
        <is>
          <t xml:space="preserve">3 </t>
        </is>
      </c>
      <c r="P193" t="inlineStr">
        <is>
          <t xml:space="preserve">249916  </t>
        </is>
      </c>
      <c r="Q193" s="26" t="n">
        <v>8.19</v>
      </c>
      <c r="R193" s="26">
        <f>Q193*G193</f>
        <v/>
      </c>
      <c r="S193" s="26">
        <f>IFERROR(VLOOKUP(E193*1,Tabla[#All],8,0),0)</f>
        <v/>
      </c>
      <c r="T193" s="26">
        <f>S193*G193</f>
        <v/>
      </c>
      <c r="U193" s="26">
        <f>R193-T193</f>
        <v/>
      </c>
      <c r="V193" s="26">
        <f>U193-L193</f>
        <v/>
      </c>
    </row>
    <row r="194">
      <c r="A194" s="11" t="n">
        <v>46206</v>
      </c>
      <c r="B194" s="1" t="n">
        <v>20048</v>
      </c>
      <c r="C194" s="1" t="inlineStr">
        <is>
          <t>017</t>
        </is>
      </c>
      <c r="D194" s="1" t="inlineStr">
        <is>
          <t>165882</t>
        </is>
      </c>
      <c r="E194" s="1" t="inlineStr">
        <is>
          <t xml:space="preserve">28194770       </t>
        </is>
      </c>
      <c r="F194" s="5" t="inlineStr">
        <is>
          <t>AUTOS DE METAL 3 TEAMSTERZ EN BLISTER</t>
        </is>
      </c>
      <c r="G194" t="n">
        <v>1</v>
      </c>
      <c r="H194" s="7" t="n">
        <v>6.9</v>
      </c>
      <c r="I194" s="7" t="n">
        <v>0</v>
      </c>
      <c r="J194" s="7" t="n">
        <v>0</v>
      </c>
      <c r="K194" s="9" t="n">
        <v>0</v>
      </c>
      <c r="L194" s="10" t="n">
        <v>4.1</v>
      </c>
      <c r="M194" s="10" t="n">
        <v>1.43</v>
      </c>
      <c r="N194" t="inlineStr">
        <is>
          <t>1</t>
        </is>
      </c>
      <c r="O194" t="inlineStr">
        <is>
          <t xml:space="preserve">2 </t>
        </is>
      </c>
      <c r="P194" t="inlineStr">
        <is>
          <t xml:space="preserve">243717  </t>
        </is>
      </c>
      <c r="Q194" s="26" t="n">
        <v>4.09</v>
      </c>
      <c r="R194" s="26">
        <f>Q194*G194</f>
        <v/>
      </c>
      <c r="S194" s="26">
        <f>IFERROR(VLOOKUP(E194*1,Tabla[#All],8,0),0)</f>
        <v/>
      </c>
      <c r="T194" s="26">
        <f>S194*G194</f>
        <v/>
      </c>
      <c r="U194" s="26">
        <f>R194-T194</f>
        <v/>
      </c>
      <c r="V194" s="26">
        <f>U194-L194</f>
        <v/>
      </c>
    </row>
    <row r="195">
      <c r="A195" s="11" t="n">
        <v>46206</v>
      </c>
      <c r="B195" s="1" t="n">
        <v>20048</v>
      </c>
      <c r="C195" s="1" t="inlineStr">
        <is>
          <t>017</t>
        </is>
      </c>
      <c r="D195" s="1" t="inlineStr">
        <is>
          <t>165888</t>
        </is>
      </c>
      <c r="E195" s="1" t="inlineStr">
        <is>
          <t xml:space="preserve">28194769       </t>
        </is>
      </c>
      <c r="F195" s="5" t="inlineStr">
        <is>
          <t>AUTOS DE METAL 3 TEAMSTERZ PACK DE 2</t>
        </is>
      </c>
      <c r="G195" t="n">
        <v>1</v>
      </c>
      <c r="H195" s="7" t="n">
        <v>13.8</v>
      </c>
      <c r="I195" s="7" t="n">
        <v>0</v>
      </c>
      <c r="J195" s="7" t="n">
        <v>0</v>
      </c>
      <c r="K195" s="9" t="n">
        <v>0</v>
      </c>
      <c r="L195" s="10" t="n">
        <v>8.18</v>
      </c>
      <c r="M195" s="10" t="n">
        <v>1.43</v>
      </c>
      <c r="N195" t="inlineStr">
        <is>
          <t>1</t>
        </is>
      </c>
      <c r="O195" t="inlineStr">
        <is>
          <t>16</t>
        </is>
      </c>
      <c r="P195" t="inlineStr">
        <is>
          <t xml:space="preserve">243717  </t>
        </is>
      </c>
      <c r="Q195" s="26" t="n">
        <v>8.19</v>
      </c>
      <c r="R195" s="26">
        <f>Q195*G195</f>
        <v/>
      </c>
      <c r="S195" s="26">
        <f>IFERROR(VLOOKUP(E195*1,Tabla[#All],8,0),0)</f>
        <v/>
      </c>
      <c r="T195" s="26">
        <f>S195*G195</f>
        <v/>
      </c>
      <c r="U195" s="26">
        <f>R195-T195</f>
        <v/>
      </c>
      <c r="V195" s="26">
        <f>U195-L195</f>
        <v/>
      </c>
    </row>
    <row r="196">
      <c r="A196" s="11" t="n">
        <v>46206</v>
      </c>
      <c r="B196" s="1" t="n">
        <v>20048</v>
      </c>
      <c r="C196" s="1" t="inlineStr">
        <is>
          <t>017</t>
        </is>
      </c>
      <c r="D196" s="1" t="inlineStr">
        <is>
          <t>165979</t>
        </is>
      </c>
      <c r="E196" s="1" t="inlineStr">
        <is>
          <t xml:space="preserve">32457103       </t>
        </is>
      </c>
      <c r="F196" s="5" t="inlineStr">
        <is>
          <t>TMZ BEAST MACHINES MONSTER JAWS A FRICCION PACK DE</t>
        </is>
      </c>
      <c r="G196" t="n">
        <v>1</v>
      </c>
      <c r="H196" s="7" t="n">
        <v>37.9</v>
      </c>
      <c r="I196" s="7" t="n">
        <v>0</v>
      </c>
      <c r="J196" s="7" t="n">
        <v>0</v>
      </c>
      <c r="K196" s="9" t="n">
        <v>0</v>
      </c>
      <c r="L196" s="10" t="n">
        <v>22.48</v>
      </c>
      <c r="M196" s="10" t="n">
        <v>1.43</v>
      </c>
      <c r="N196" t="inlineStr">
        <is>
          <t>1</t>
        </is>
      </c>
      <c r="O196" t="inlineStr">
        <is>
          <t>16</t>
        </is>
      </c>
      <c r="P196" t="inlineStr">
        <is>
          <t xml:space="preserve">248416  </t>
        </is>
      </c>
      <c r="Q196" s="26" t="n">
        <v>22.48</v>
      </c>
      <c r="R196" s="26">
        <f>Q196*G196</f>
        <v/>
      </c>
      <c r="S196" s="26">
        <f>IFERROR(VLOOKUP(E196*1,Tabla[#All],8,0),0)</f>
        <v/>
      </c>
      <c r="T196" s="26">
        <f>S196*G196</f>
        <v/>
      </c>
      <c r="U196" s="26">
        <f>R196-T196</f>
        <v/>
      </c>
      <c r="V196" s="26">
        <f>U196-L196</f>
        <v/>
      </c>
    </row>
    <row r="197">
      <c r="A197" s="11" t="n">
        <v>46206</v>
      </c>
      <c r="B197" s="1" t="n">
        <v>20048</v>
      </c>
      <c r="C197" s="1" t="inlineStr">
        <is>
          <t>018</t>
        </is>
      </c>
      <c r="D197" s="1" t="inlineStr">
        <is>
          <t xml:space="preserve">45759 </t>
        </is>
      </c>
      <c r="E197" s="1" t="inlineStr">
        <is>
          <t xml:space="preserve">30141766       </t>
        </is>
      </c>
      <c r="F197" s="5" t="inlineStr">
        <is>
          <t>TMZ BEAST MACHINES AUTOS DE METAL BLISTER X 1</t>
        </is>
      </c>
      <c r="G197" t="n">
        <v>1</v>
      </c>
      <c r="H197" s="7" t="n">
        <v>7.9</v>
      </c>
      <c r="I197" s="7" t="n">
        <v>0</v>
      </c>
      <c r="J197" s="7" t="n">
        <v>0</v>
      </c>
      <c r="K197" s="9" t="n">
        <v>0</v>
      </c>
      <c r="L197" s="10" t="n">
        <v>4.68</v>
      </c>
      <c r="M197" s="10" t="n">
        <v>1.43</v>
      </c>
      <c r="N197" t="inlineStr">
        <is>
          <t>1</t>
        </is>
      </c>
      <c r="O197" t="inlineStr">
        <is>
          <t>16</t>
        </is>
      </c>
      <c r="P197" t="inlineStr">
        <is>
          <t xml:space="preserve">200219  </t>
        </is>
      </c>
      <c r="Q197" s="26" t="n">
        <v>4.69</v>
      </c>
      <c r="R197" s="26">
        <f>Q197*G197</f>
        <v/>
      </c>
      <c r="S197" s="26">
        <f>IFERROR(VLOOKUP(E197*1,Tabla[#All],8,0),0)</f>
        <v/>
      </c>
      <c r="T197" s="26">
        <f>S197*G197</f>
        <v/>
      </c>
      <c r="U197" s="26">
        <f>R197-T197</f>
        <v/>
      </c>
      <c r="V197" s="26">
        <f>U197-L197</f>
        <v/>
      </c>
    </row>
    <row r="198">
      <c r="A198" s="11" t="n">
        <v>46206</v>
      </c>
      <c r="B198" s="1" t="n">
        <v>20048</v>
      </c>
      <c r="C198" s="1" t="inlineStr">
        <is>
          <t>018</t>
        </is>
      </c>
      <c r="D198" s="1" t="inlineStr">
        <is>
          <t xml:space="preserve">45759 </t>
        </is>
      </c>
      <c r="E198" s="1" t="inlineStr">
        <is>
          <t xml:space="preserve">30141766       </t>
        </is>
      </c>
      <c r="F198" s="5" t="inlineStr">
        <is>
          <t>TMZ BEAST MACHINES AUTOS DE METAL BLISTER X 1</t>
        </is>
      </c>
      <c r="G198" t="n">
        <v>1</v>
      </c>
      <c r="H198" s="7" t="n">
        <v>7.9</v>
      </c>
      <c r="I198" s="7" t="n">
        <v>0</v>
      </c>
      <c r="J198" s="7" t="n">
        <v>0</v>
      </c>
      <c r="K198" s="9" t="n">
        <v>0</v>
      </c>
      <c r="L198" s="10" t="n">
        <v>4.68</v>
      </c>
      <c r="M198" s="10" t="n">
        <v>1.43</v>
      </c>
      <c r="N198" t="inlineStr">
        <is>
          <t>1</t>
        </is>
      </c>
      <c r="O198" t="inlineStr">
        <is>
          <t>16</t>
        </is>
      </c>
      <c r="P198" t="inlineStr">
        <is>
          <t xml:space="preserve">200219  </t>
        </is>
      </c>
      <c r="Q198" s="26" t="n">
        <v>4.69</v>
      </c>
      <c r="R198" s="26">
        <f>Q198*G198</f>
        <v/>
      </c>
      <c r="S198" s="26">
        <f>IFERROR(VLOOKUP(E198*1,Tabla[#All],8,0),0)</f>
        <v/>
      </c>
      <c r="T198" s="26">
        <f>S198*G198</f>
        <v/>
      </c>
      <c r="U198" s="26">
        <f>R198-T198</f>
        <v/>
      </c>
      <c r="V198" s="26">
        <f>U198-L198</f>
        <v/>
      </c>
    </row>
    <row r="199">
      <c r="A199" s="11" t="n">
        <v>46206</v>
      </c>
      <c r="B199" s="1" t="n">
        <v>20048</v>
      </c>
      <c r="C199" s="1" t="inlineStr">
        <is>
          <t>018</t>
        </is>
      </c>
      <c r="D199" s="1" t="inlineStr">
        <is>
          <t xml:space="preserve">45759 </t>
        </is>
      </c>
      <c r="E199" s="1" t="inlineStr">
        <is>
          <t xml:space="preserve">30141766       </t>
        </is>
      </c>
      <c r="F199" s="5" t="inlineStr">
        <is>
          <t>TMZ BEAST MACHINES AUTOS DE METAL BLISTER X 1</t>
        </is>
      </c>
      <c r="G199" t="n">
        <v>1</v>
      </c>
      <c r="H199" s="7" t="n">
        <v>7.9</v>
      </c>
      <c r="I199" s="7" t="n">
        <v>0</v>
      </c>
      <c r="J199" s="7" t="n">
        <v>0</v>
      </c>
      <c r="K199" s="9" t="n">
        <v>0</v>
      </c>
      <c r="L199" s="10" t="n">
        <v>4.68</v>
      </c>
      <c r="M199" s="10" t="n">
        <v>1.43</v>
      </c>
      <c r="N199" t="inlineStr">
        <is>
          <t>1</t>
        </is>
      </c>
      <c r="O199" t="inlineStr">
        <is>
          <t>16</t>
        </is>
      </c>
      <c r="P199" t="inlineStr">
        <is>
          <t xml:space="preserve">200219  </t>
        </is>
      </c>
      <c r="Q199" s="26" t="n">
        <v>4.69</v>
      </c>
      <c r="R199" s="26">
        <f>Q199*G199</f>
        <v/>
      </c>
      <c r="S199" s="26">
        <f>IFERROR(VLOOKUP(E199*1,Tabla[#All],8,0),0)</f>
        <v/>
      </c>
      <c r="T199" s="26">
        <f>S199*G199</f>
        <v/>
      </c>
      <c r="U199" s="26">
        <f>R199-T199</f>
        <v/>
      </c>
      <c r="V199" s="26">
        <f>U199-L199</f>
        <v/>
      </c>
    </row>
    <row r="200">
      <c r="A200" s="11" t="n">
        <v>46206</v>
      </c>
      <c r="B200" s="1" t="n">
        <v>20049</v>
      </c>
      <c r="C200" s="1" t="inlineStr">
        <is>
          <t>013</t>
        </is>
      </c>
      <c r="D200" s="1" t="inlineStr">
        <is>
          <t>234977</t>
        </is>
      </c>
      <c r="E200" s="1" t="inlineStr">
        <is>
          <t xml:space="preserve">29854052       </t>
        </is>
      </c>
      <c r="F200" s="5" t="inlineStr">
        <is>
          <t>PLAYSET CAMBIA DE COLOR CROC BITE</t>
        </is>
      </c>
      <c r="G200" t="n">
        <v>1</v>
      </c>
      <c r="H200" s="7" t="n">
        <v>79.90000000000001</v>
      </c>
      <c r="I200" s="7" t="n">
        <v>0</v>
      </c>
      <c r="J200" s="7" t="n">
        <v>0</v>
      </c>
      <c r="K200" s="9" t="n">
        <v>0</v>
      </c>
      <c r="L200" s="10" t="n">
        <v>47.4</v>
      </c>
      <c r="M200" s="10" t="n">
        <v>1.43</v>
      </c>
      <c r="N200" t="inlineStr">
        <is>
          <t>1</t>
        </is>
      </c>
      <c r="O200" t="inlineStr">
        <is>
          <t xml:space="preserve">3 </t>
        </is>
      </c>
      <c r="P200" t="inlineStr">
        <is>
          <t xml:space="preserve">244725  </t>
        </is>
      </c>
      <c r="Q200" s="26" t="n">
        <v>47.4</v>
      </c>
      <c r="R200" s="26">
        <f>Q200*G200</f>
        <v/>
      </c>
      <c r="S200" s="26">
        <f>IFERROR(VLOOKUP(E200*1,Tabla[#All],8,0),0)</f>
        <v/>
      </c>
      <c r="T200" s="26">
        <f>S200*G200</f>
        <v/>
      </c>
      <c r="U200" s="26">
        <f>R200-T200</f>
        <v/>
      </c>
      <c r="V200" s="26">
        <f>U200-L200</f>
        <v/>
      </c>
    </row>
    <row r="201">
      <c r="A201" s="11" t="n">
        <v>46206</v>
      </c>
      <c r="B201" s="1" t="n">
        <v>20049</v>
      </c>
      <c r="C201" s="1" t="inlineStr">
        <is>
          <t>013</t>
        </is>
      </c>
      <c r="D201" s="1" t="inlineStr">
        <is>
          <t>235025</t>
        </is>
      </c>
      <c r="E201" s="1" t="inlineStr">
        <is>
          <t xml:space="preserve">28194783       </t>
        </is>
      </c>
      <c r="F201" s="5" t="inlineStr">
        <is>
          <t>SET DE BATALLA INFINITY NADO CON 2 TROMPOS</t>
        </is>
      </c>
      <c r="G201" t="n">
        <v>1</v>
      </c>
      <c r="H201" s="7" t="n">
        <v>159</v>
      </c>
      <c r="I201" s="7" t="n">
        <v>0</v>
      </c>
      <c r="J201" s="7" t="n">
        <v>0</v>
      </c>
      <c r="K201" s="9" t="n">
        <v>0</v>
      </c>
      <c r="L201" s="10" t="n">
        <v>94.33</v>
      </c>
      <c r="M201" s="10" t="n">
        <v>1.43</v>
      </c>
      <c r="N201" t="inlineStr">
        <is>
          <t>1</t>
        </is>
      </c>
      <c r="O201" t="inlineStr">
        <is>
          <t>16</t>
        </is>
      </c>
      <c r="P201" t="inlineStr">
        <is>
          <t xml:space="preserve">245485  </t>
        </is>
      </c>
      <c r="Q201" s="26" t="n">
        <v>94.31999999999999</v>
      </c>
      <c r="R201" s="26">
        <f>Q201*G201</f>
        <v/>
      </c>
      <c r="S201" s="26">
        <f>IFERROR(VLOOKUP(E201*1,Tabla[#All],8,0),0)</f>
        <v/>
      </c>
      <c r="T201" s="26">
        <f>S201*G201</f>
        <v/>
      </c>
      <c r="U201" s="26">
        <f>R201-T201</f>
        <v/>
      </c>
      <c r="V201" s="26">
        <f>U201-L201</f>
        <v/>
      </c>
    </row>
    <row r="202">
      <c r="A202" s="11" t="n">
        <v>46206</v>
      </c>
      <c r="B202" s="1" t="n">
        <v>20049</v>
      </c>
      <c r="C202" s="1" t="inlineStr">
        <is>
          <t>025</t>
        </is>
      </c>
      <c r="D202" s="1" t="inlineStr">
        <is>
          <t xml:space="preserve">32883 </t>
        </is>
      </c>
      <c r="E202" s="1" t="inlineStr">
        <is>
          <t xml:space="preserve">28194784       </t>
        </is>
      </c>
      <c r="F202" s="5" t="inlineStr">
        <is>
          <t>SET DE ACROBACIAS INFINITY NADO CON TROMPO</t>
        </is>
      </c>
      <c r="G202" t="n">
        <v>1</v>
      </c>
      <c r="H202" s="7" t="n">
        <v>179</v>
      </c>
      <c r="I202" s="7" t="n">
        <v>0</v>
      </c>
      <c r="J202" s="7" t="n">
        <v>0</v>
      </c>
      <c r="K202" s="9" t="n">
        <v>0</v>
      </c>
      <c r="L202" s="10" t="n">
        <v>106.18</v>
      </c>
      <c r="M202" s="10" t="n">
        <v>1.43</v>
      </c>
      <c r="N202" t="inlineStr">
        <is>
          <t>1</t>
        </is>
      </c>
      <c r="O202" t="inlineStr">
        <is>
          <t xml:space="preserve">2 </t>
        </is>
      </c>
      <c r="P202" t="inlineStr">
        <is>
          <t xml:space="preserve">249970  </t>
        </is>
      </c>
      <c r="Q202" s="26" t="n">
        <v>106.19</v>
      </c>
      <c r="R202" s="26">
        <f>Q202*G202</f>
        <v/>
      </c>
      <c r="S202" s="26">
        <f>IFERROR(VLOOKUP(E202*1,Tabla[#All],8,0),0)</f>
        <v/>
      </c>
      <c r="T202" s="26">
        <f>S202*G202</f>
        <v/>
      </c>
      <c r="U202" s="26">
        <f>R202-T202</f>
        <v/>
      </c>
      <c r="V202" s="26">
        <f>U202-L202</f>
        <v/>
      </c>
    </row>
    <row r="203">
      <c r="A203" s="11" t="n">
        <v>46206</v>
      </c>
      <c r="B203" s="1" t="n">
        <v>20056</v>
      </c>
      <c r="C203" s="1" t="inlineStr">
        <is>
          <t>021</t>
        </is>
      </c>
      <c r="D203" s="1" t="inlineStr">
        <is>
          <t xml:space="preserve">51902 </t>
        </is>
      </c>
      <c r="E203" s="1" t="inlineStr">
        <is>
          <t xml:space="preserve">31754678       </t>
        </is>
      </c>
      <c r="F203" s="5" t="inlineStr">
        <is>
          <t>PINYPON CELEBRACION DE CUMPLEANOS + ACCESS.</t>
        </is>
      </c>
      <c r="G203" t="n">
        <v>1</v>
      </c>
      <c r="H203" s="7" t="n">
        <v>69.90000000000001</v>
      </c>
      <c r="I203" s="7" t="n">
        <v>0</v>
      </c>
      <c r="J203" s="7" t="n">
        <v>0</v>
      </c>
      <c r="K203" s="9" t="n">
        <v>0</v>
      </c>
      <c r="L203" s="10" t="n">
        <v>41.47</v>
      </c>
      <c r="M203" s="10" t="n">
        <v>1.43</v>
      </c>
      <c r="N203" t="inlineStr">
        <is>
          <t>1</t>
        </is>
      </c>
      <c r="O203" t="inlineStr">
        <is>
          <t xml:space="preserve">2 </t>
        </is>
      </c>
      <c r="P203" t="inlineStr">
        <is>
          <t xml:space="preserve">250152  </t>
        </is>
      </c>
      <c r="Q203" s="26" t="n">
        <v>41.47</v>
      </c>
      <c r="R203" s="26">
        <f>Q203*G203</f>
        <v/>
      </c>
      <c r="S203" s="26">
        <f>IFERROR(VLOOKUP(E203*1,Tabla[#All],8,0),0)</f>
        <v/>
      </c>
      <c r="T203" s="26">
        <f>S203*G203</f>
        <v/>
      </c>
      <c r="U203" s="26">
        <f>R203-T203</f>
        <v/>
      </c>
      <c r="V203" s="26">
        <f>U203-L203</f>
        <v/>
      </c>
    </row>
    <row r="204">
      <c r="A204" s="11" t="n">
        <v>46206</v>
      </c>
      <c r="B204" s="1" t="n">
        <v>20057</v>
      </c>
      <c r="C204" s="1" t="inlineStr">
        <is>
          <t>032</t>
        </is>
      </c>
      <c r="D204" s="1" t="inlineStr">
        <is>
          <t xml:space="preserve">73740 </t>
        </is>
      </c>
      <c r="E204" s="1" t="inlineStr">
        <is>
          <t xml:space="preserve">28194770       </t>
        </is>
      </c>
      <c r="F204" s="5" t="inlineStr">
        <is>
          <t>AUTOS DE METAL 3 TEAMSTERZ EN BLISTER</t>
        </is>
      </c>
      <c r="G204" t="n">
        <v>1</v>
      </c>
      <c r="H204" s="7" t="n">
        <v>6.9</v>
      </c>
      <c r="I204" s="7" t="n">
        <v>1.05</v>
      </c>
      <c r="J204" s="7" t="n">
        <v>0</v>
      </c>
      <c r="K204" s="9" t="n">
        <v>1.05</v>
      </c>
      <c r="L204" s="10" t="n">
        <v>3.47</v>
      </c>
      <c r="M204" s="10" t="n">
        <v>1.43</v>
      </c>
      <c r="N204" t="inlineStr">
        <is>
          <t>1</t>
        </is>
      </c>
      <c r="O204" t="inlineStr">
        <is>
          <t>16</t>
        </is>
      </c>
      <c r="P204" t="inlineStr">
        <is>
          <t xml:space="preserve">243704  </t>
        </is>
      </c>
      <c r="Q204" s="26" t="n">
        <v>4.09</v>
      </c>
      <c r="R204" s="26">
        <f>Q204*G204</f>
        <v/>
      </c>
      <c r="S204" s="26">
        <f>IFERROR(VLOOKUP(E204*1,Tabla[#All],8,0),0)</f>
        <v/>
      </c>
      <c r="T204" s="26">
        <f>S204*G204</f>
        <v/>
      </c>
      <c r="U204" s="26">
        <f>R204-T204</f>
        <v/>
      </c>
      <c r="V204" s="26">
        <f>U204-L204</f>
        <v/>
      </c>
    </row>
    <row r="205">
      <c r="A205" s="11" t="n">
        <v>46206</v>
      </c>
      <c r="B205" s="1" t="n">
        <v>20057</v>
      </c>
      <c r="C205" s="1" t="inlineStr">
        <is>
          <t>032</t>
        </is>
      </c>
      <c r="D205" s="1" t="inlineStr">
        <is>
          <t xml:space="preserve">73789 </t>
        </is>
      </c>
      <c r="E205" s="1" t="inlineStr">
        <is>
          <t xml:space="preserve">28194770       </t>
        </is>
      </c>
      <c r="F205" s="5" t="inlineStr">
        <is>
          <t>AUTOS DE METAL 3 TEAMSTERZ EN BLISTER</t>
        </is>
      </c>
      <c r="G205" t="n">
        <v>1</v>
      </c>
      <c r="H205" s="7" t="n">
        <v>6.9</v>
      </c>
      <c r="I205" s="7" t="n">
        <v>0</v>
      </c>
      <c r="J205" s="7" t="n">
        <v>0</v>
      </c>
      <c r="K205" s="9" t="n">
        <v>0</v>
      </c>
      <c r="L205" s="10" t="n">
        <v>4.1</v>
      </c>
      <c r="M205" s="10" t="n">
        <v>1.43</v>
      </c>
      <c r="N205" t="inlineStr">
        <is>
          <t>1</t>
        </is>
      </c>
      <c r="O205" t="inlineStr">
        <is>
          <t>16</t>
        </is>
      </c>
      <c r="P205" t="inlineStr">
        <is>
          <t xml:space="preserve">243704  </t>
        </is>
      </c>
      <c r="Q205" s="26" t="n">
        <v>4.09</v>
      </c>
      <c r="R205" s="26">
        <f>Q205*G205</f>
        <v/>
      </c>
      <c r="S205" s="26">
        <f>IFERROR(VLOOKUP(E205*1,Tabla[#All],8,0),0)</f>
        <v/>
      </c>
      <c r="T205" s="26">
        <f>S205*G205</f>
        <v/>
      </c>
      <c r="U205" s="26">
        <f>R205-T205</f>
        <v/>
      </c>
      <c r="V205" s="26">
        <f>U205-L205</f>
        <v/>
      </c>
    </row>
    <row r="206">
      <c r="A206" s="11" t="n">
        <v>46206</v>
      </c>
      <c r="B206" s="1" t="n">
        <v>20057</v>
      </c>
      <c r="C206" s="1" t="inlineStr">
        <is>
          <t>832</t>
        </is>
      </c>
      <c r="D206" s="1" t="inlineStr">
        <is>
          <t xml:space="preserve">7281  </t>
        </is>
      </c>
      <c r="E206" s="1" t="inlineStr">
        <is>
          <t xml:space="preserve">28194770       </t>
        </is>
      </c>
      <c r="F206" s="5" t="inlineStr">
        <is>
          <t>AUTOS DE METAL 3 TEAMSTERZ EN BLISTER</t>
        </is>
      </c>
      <c r="G206" t="n">
        <v>1</v>
      </c>
      <c r="H206" s="7" t="n">
        <v>6.9</v>
      </c>
      <c r="I206" s="7" t="n">
        <v>0</v>
      </c>
      <c r="J206" s="7" t="n">
        <v>0</v>
      </c>
      <c r="K206" s="9" t="n">
        <v>0</v>
      </c>
      <c r="L206" s="10" t="n">
        <v>4.1</v>
      </c>
      <c r="M206" s="10" t="n">
        <v>1.43</v>
      </c>
      <c r="N206" t="inlineStr">
        <is>
          <t>1</t>
        </is>
      </c>
      <c r="O206" t="inlineStr">
        <is>
          <t>16</t>
        </is>
      </c>
      <c r="P206" t="inlineStr">
        <is>
          <t xml:space="preserve">0       </t>
        </is>
      </c>
      <c r="Q206" s="26" t="n">
        <v>4.09</v>
      </c>
      <c r="R206" s="26">
        <f>Q206*G206</f>
        <v/>
      </c>
      <c r="S206" s="26">
        <f>IFERROR(VLOOKUP(E206*1,Tabla[#All],8,0),0)</f>
        <v/>
      </c>
      <c r="T206" s="26">
        <f>S206*G206</f>
        <v/>
      </c>
      <c r="U206" s="26">
        <f>R206-T206</f>
        <v/>
      </c>
      <c r="V206" s="26">
        <f>U206-L206</f>
        <v/>
      </c>
    </row>
    <row r="207">
      <c r="A207" s="11" t="n">
        <v>46206</v>
      </c>
      <c r="B207" s="1" t="n">
        <v>20058</v>
      </c>
      <c r="C207" s="1" t="inlineStr">
        <is>
          <t>011</t>
        </is>
      </c>
      <c r="D207" s="1" t="inlineStr">
        <is>
          <t>185049</t>
        </is>
      </c>
      <c r="E207" s="1" t="inlineStr">
        <is>
          <t xml:space="preserve">28194770       </t>
        </is>
      </c>
      <c r="F207" s="5" t="inlineStr">
        <is>
          <t>AUTOS DE METAL 3 TEAMSTERZ EN BLISTER</t>
        </is>
      </c>
      <c r="G207" t="n">
        <v>1</v>
      </c>
      <c r="H207" s="7" t="n">
        <v>6.9</v>
      </c>
      <c r="I207" s="7" t="n">
        <v>0</v>
      </c>
      <c r="J207" s="7" t="n">
        <v>0</v>
      </c>
      <c r="K207" s="9" t="n">
        <v>0</v>
      </c>
      <c r="L207" s="10" t="n">
        <v>4.1</v>
      </c>
      <c r="M207" s="10" t="n">
        <v>1.43</v>
      </c>
      <c r="N207" t="inlineStr">
        <is>
          <t>1</t>
        </is>
      </c>
      <c r="O207" t="inlineStr">
        <is>
          <t>16</t>
        </is>
      </c>
      <c r="P207" t="inlineStr">
        <is>
          <t xml:space="preserve">244733  </t>
        </is>
      </c>
      <c r="Q207" s="26" t="n">
        <v>4.09</v>
      </c>
      <c r="R207" s="26">
        <f>Q207*G207</f>
        <v/>
      </c>
      <c r="S207" s="26">
        <f>IFERROR(VLOOKUP(E207*1,Tabla[#All],8,0),0)</f>
        <v/>
      </c>
      <c r="T207" s="26">
        <f>S207*G207</f>
        <v/>
      </c>
      <c r="U207" s="26">
        <f>R207-T207</f>
        <v/>
      </c>
      <c r="V207" s="26">
        <f>U207-L207</f>
        <v/>
      </c>
    </row>
    <row r="208">
      <c r="A208" s="11" t="n">
        <v>46206</v>
      </c>
      <c r="B208" s="1" t="n">
        <v>20058</v>
      </c>
      <c r="C208" s="1" t="inlineStr">
        <is>
          <t>038</t>
        </is>
      </c>
      <c r="D208" s="1" t="inlineStr">
        <is>
          <t>208145</t>
        </is>
      </c>
      <c r="E208" s="1" t="inlineStr">
        <is>
          <t xml:space="preserve">28194769       </t>
        </is>
      </c>
      <c r="F208" s="5" t="inlineStr">
        <is>
          <t>AUTOS DE METAL 3 TEAMSTERZ PACK DE 2</t>
        </is>
      </c>
      <c r="G208" t="n">
        <v>1</v>
      </c>
      <c r="H208" s="7" t="n">
        <v>13.8</v>
      </c>
      <c r="I208" s="7" t="n">
        <v>0</v>
      </c>
      <c r="J208" s="7" t="n">
        <v>0</v>
      </c>
      <c r="K208" s="9" t="n">
        <v>0</v>
      </c>
      <c r="L208" s="10" t="n">
        <v>8.18</v>
      </c>
      <c r="M208" s="10" t="n">
        <v>1.43</v>
      </c>
      <c r="N208" t="inlineStr">
        <is>
          <t>1</t>
        </is>
      </c>
      <c r="O208" t="inlineStr">
        <is>
          <t xml:space="preserve">2 </t>
        </is>
      </c>
      <c r="P208" t="inlineStr">
        <is>
          <t xml:space="preserve">249637  </t>
        </is>
      </c>
      <c r="Q208" s="26" t="n">
        <v>8.19</v>
      </c>
      <c r="R208" s="26">
        <f>Q208*G208</f>
        <v/>
      </c>
      <c r="S208" s="26">
        <f>IFERROR(VLOOKUP(E208*1,Tabla[#All],8,0),0)</f>
        <v/>
      </c>
      <c r="T208" s="26">
        <f>S208*G208</f>
        <v/>
      </c>
      <c r="U208" s="26">
        <f>R208-T208</f>
        <v/>
      </c>
      <c r="V208" s="26">
        <f>U208-L208</f>
        <v/>
      </c>
    </row>
    <row r="209">
      <c r="A209" s="11" t="n">
        <v>46206</v>
      </c>
      <c r="B209" s="1" t="n">
        <v>20058</v>
      </c>
      <c r="C209" s="1" t="inlineStr">
        <is>
          <t>038</t>
        </is>
      </c>
      <c r="D209" s="1" t="inlineStr">
        <is>
          <t>208167</t>
        </is>
      </c>
      <c r="E209" s="1" t="inlineStr">
        <is>
          <t xml:space="preserve">28194767       </t>
        </is>
      </c>
      <c r="F209" s="5" t="inlineStr">
        <is>
          <t>CAMIONES TEAMSTERZ DE EMERGENCIA</t>
        </is>
      </c>
      <c r="G209" t="n">
        <v>1</v>
      </c>
      <c r="H209" s="7" t="n">
        <v>17.9</v>
      </c>
      <c r="I209" s="7" t="n">
        <v>0</v>
      </c>
      <c r="J209" s="7" t="n">
        <v>0</v>
      </c>
      <c r="K209" s="9" t="n">
        <v>0</v>
      </c>
      <c r="L209" s="10" t="n">
        <v>10.62</v>
      </c>
      <c r="M209" s="10" t="n">
        <v>1.43</v>
      </c>
      <c r="N209" t="inlineStr">
        <is>
          <t>1</t>
        </is>
      </c>
      <c r="O209" t="inlineStr">
        <is>
          <t>16</t>
        </is>
      </c>
      <c r="P209" t="inlineStr">
        <is>
          <t xml:space="preserve">249637  </t>
        </is>
      </c>
      <c r="Q209" s="26" t="n">
        <v>10.62</v>
      </c>
      <c r="R209" s="26">
        <f>Q209*G209</f>
        <v/>
      </c>
      <c r="S209" s="26">
        <f>IFERROR(VLOOKUP(E209*1,Tabla[#All],8,0),0)</f>
        <v/>
      </c>
      <c r="T209" s="26">
        <f>S209*G209</f>
        <v/>
      </c>
      <c r="U209" s="26">
        <f>R209-T209</f>
        <v/>
      </c>
      <c r="V209" s="26">
        <f>U209-L209</f>
        <v/>
      </c>
    </row>
    <row r="210">
      <c r="A210" s="11" t="n">
        <v>46206</v>
      </c>
      <c r="B210" s="1" t="n">
        <v>20058</v>
      </c>
      <c r="C210" s="1" t="inlineStr">
        <is>
          <t>038</t>
        </is>
      </c>
      <c r="D210" s="1" t="inlineStr">
        <is>
          <t>208182</t>
        </is>
      </c>
      <c r="E210" s="1" t="inlineStr">
        <is>
          <t xml:space="preserve">31675354       </t>
        </is>
      </c>
      <c r="F210" s="5" t="inlineStr">
        <is>
          <t>NENUCO LLORON CON ACCESORIOS</t>
        </is>
      </c>
      <c r="G210" t="n">
        <v>1</v>
      </c>
      <c r="H210" s="7" t="n">
        <v>89.90000000000001</v>
      </c>
      <c r="I210" s="7" t="n">
        <v>0</v>
      </c>
      <c r="J210" s="7" t="n">
        <v>0</v>
      </c>
      <c r="K210" s="9" t="n">
        <v>0</v>
      </c>
      <c r="L210" s="10" t="n">
        <v>53.33</v>
      </c>
      <c r="M210" s="10" t="n">
        <v>1.43</v>
      </c>
      <c r="N210" t="inlineStr">
        <is>
          <t>1</t>
        </is>
      </c>
      <c r="O210" t="inlineStr">
        <is>
          <t xml:space="preserve">2 </t>
        </is>
      </c>
      <c r="P210" t="inlineStr">
        <is>
          <t xml:space="preserve">249637  </t>
        </is>
      </c>
      <c r="Q210" s="26" t="n">
        <v>53.33</v>
      </c>
      <c r="R210" s="26">
        <f>Q210*G210</f>
        <v/>
      </c>
      <c r="S210" s="26">
        <f>IFERROR(VLOOKUP(E210*1,Tabla[#All],8,0),0)</f>
        <v/>
      </c>
      <c r="T210" s="26">
        <f>S210*G210</f>
        <v/>
      </c>
      <c r="U210" s="26">
        <f>R210-T210</f>
        <v/>
      </c>
      <c r="V210" s="26">
        <f>U210-L210</f>
        <v/>
      </c>
    </row>
    <row r="211">
      <c r="A211" s="11" t="n">
        <v>46206</v>
      </c>
      <c r="B211" s="1" t="n">
        <v>20058</v>
      </c>
      <c r="C211" s="1" t="inlineStr">
        <is>
          <t>038</t>
        </is>
      </c>
      <c r="D211" s="1" t="inlineStr">
        <is>
          <t>208184</t>
        </is>
      </c>
      <c r="E211" s="1" t="inlineStr">
        <is>
          <t xml:space="preserve">28194769       </t>
        </is>
      </c>
      <c r="F211" s="5" t="inlineStr">
        <is>
          <t>AUTOS DE METAL 3 TEAMSTERZ PACK DE 2</t>
        </is>
      </c>
      <c r="G211" t="n">
        <v>1</v>
      </c>
      <c r="H211" s="7" t="n">
        <v>13.8</v>
      </c>
      <c r="I211" s="7" t="n">
        <v>0</v>
      </c>
      <c r="J211" s="7" t="n">
        <v>0</v>
      </c>
      <c r="K211" s="9" t="n">
        <v>0</v>
      </c>
      <c r="L211" s="10" t="n">
        <v>8.18</v>
      </c>
      <c r="M211" s="10" t="n">
        <v>1.43</v>
      </c>
      <c r="N211" t="inlineStr">
        <is>
          <t>1</t>
        </is>
      </c>
      <c r="O211" t="inlineStr">
        <is>
          <t>16</t>
        </is>
      </c>
      <c r="P211" t="inlineStr">
        <is>
          <t xml:space="preserve">249637  </t>
        </is>
      </c>
      <c r="Q211" s="26" t="n">
        <v>8.19</v>
      </c>
      <c r="R211" s="26">
        <f>Q211*G211</f>
        <v/>
      </c>
      <c r="S211" s="26">
        <f>IFERROR(VLOOKUP(E211*1,Tabla[#All],8,0),0)</f>
        <v/>
      </c>
      <c r="T211" s="26">
        <f>S211*G211</f>
        <v/>
      </c>
      <c r="U211" s="26">
        <f>R211-T211</f>
        <v/>
      </c>
      <c r="V211" s="26">
        <f>U211-L211</f>
        <v/>
      </c>
    </row>
    <row r="212">
      <c r="A212" s="11" t="n">
        <v>46206</v>
      </c>
      <c r="B212" s="1" t="n">
        <v>20058</v>
      </c>
      <c r="C212" s="1" t="inlineStr">
        <is>
          <t>039</t>
        </is>
      </c>
      <c r="D212" s="1" t="inlineStr">
        <is>
          <t>229325</t>
        </is>
      </c>
      <c r="E212" s="1" t="inlineStr">
        <is>
          <t xml:space="preserve">28194770       </t>
        </is>
      </c>
      <c r="F212" s="5" t="inlineStr">
        <is>
          <t>AUTOS DE METAL 3 TEAMSTERZ EN BLISTER</t>
        </is>
      </c>
      <c r="G212" t="n">
        <v>1</v>
      </c>
      <c r="H212" s="7" t="n">
        <v>6.9</v>
      </c>
      <c r="I212" s="7" t="n">
        <v>0</v>
      </c>
      <c r="J212" s="7" t="n">
        <v>0</v>
      </c>
      <c r="K212" s="9" t="n">
        <v>0</v>
      </c>
      <c r="L212" s="10" t="n">
        <v>4.1</v>
      </c>
      <c r="M212" s="10" t="n">
        <v>1.43</v>
      </c>
      <c r="N212" t="inlineStr">
        <is>
          <t>1</t>
        </is>
      </c>
      <c r="O212" t="inlineStr">
        <is>
          <t>16</t>
        </is>
      </c>
      <c r="P212" t="inlineStr">
        <is>
          <t xml:space="preserve">244952  </t>
        </is>
      </c>
      <c r="Q212" s="26" t="n">
        <v>4.09</v>
      </c>
      <c r="R212" s="26">
        <f>Q212*G212</f>
        <v/>
      </c>
      <c r="S212" s="26">
        <f>IFERROR(VLOOKUP(E212*1,Tabla[#All],8,0),0)</f>
        <v/>
      </c>
      <c r="T212" s="26">
        <f>S212*G212</f>
        <v/>
      </c>
      <c r="U212" s="26">
        <f>R212-T212</f>
        <v/>
      </c>
      <c r="V212" s="26">
        <f>U212-L212</f>
        <v/>
      </c>
    </row>
    <row r="213">
      <c r="A213" s="11" t="n">
        <v>46206</v>
      </c>
      <c r="B213" s="1" t="n">
        <v>20058</v>
      </c>
      <c r="C213" s="1" t="inlineStr">
        <is>
          <t>039</t>
        </is>
      </c>
      <c r="D213" s="1" t="inlineStr">
        <is>
          <t>229325</t>
        </is>
      </c>
      <c r="E213" s="1" t="inlineStr">
        <is>
          <t xml:space="preserve">28194770       </t>
        </is>
      </c>
      <c r="F213" s="5" t="inlineStr">
        <is>
          <t>AUTOS DE METAL 3 TEAMSTERZ EN BLISTER</t>
        </is>
      </c>
      <c r="G213" t="n">
        <v>1</v>
      </c>
      <c r="H213" s="7" t="n">
        <v>6.9</v>
      </c>
      <c r="I213" s="7" t="n">
        <v>0</v>
      </c>
      <c r="J213" s="7" t="n">
        <v>0</v>
      </c>
      <c r="K213" s="9" t="n">
        <v>0</v>
      </c>
      <c r="L213" s="10" t="n">
        <v>4.1</v>
      </c>
      <c r="M213" s="10" t="n">
        <v>1.43</v>
      </c>
      <c r="N213" t="inlineStr">
        <is>
          <t>1</t>
        </is>
      </c>
      <c r="O213" t="inlineStr">
        <is>
          <t>16</t>
        </is>
      </c>
      <c r="P213" t="inlineStr">
        <is>
          <t xml:space="preserve">244952  </t>
        </is>
      </c>
      <c r="Q213" s="26" t="n">
        <v>4.09</v>
      </c>
      <c r="R213" s="26">
        <f>Q213*G213</f>
        <v/>
      </c>
      <c r="S213" s="26">
        <f>IFERROR(VLOOKUP(E213*1,Tabla[#All],8,0),0)</f>
        <v/>
      </c>
      <c r="T213" s="26">
        <f>S213*G213</f>
        <v/>
      </c>
      <c r="U213" s="26">
        <f>R213-T213</f>
        <v/>
      </c>
      <c r="V213" s="26">
        <f>U213-L213</f>
        <v/>
      </c>
    </row>
    <row r="214">
      <c r="A214" s="11" t="n">
        <v>46206</v>
      </c>
      <c r="B214" s="1" t="n">
        <v>20058</v>
      </c>
      <c r="C214" s="1" t="inlineStr">
        <is>
          <t>198</t>
        </is>
      </c>
      <c r="D214" s="1" t="inlineStr">
        <is>
          <t xml:space="preserve">17822 </t>
        </is>
      </c>
      <c r="E214" s="1" t="inlineStr">
        <is>
          <t xml:space="preserve">28194770       </t>
        </is>
      </c>
      <c r="F214" s="5" t="inlineStr">
        <is>
          <t>AUTOS DE METAL 3 TEAMSTERZ EN BLISTER</t>
        </is>
      </c>
      <c r="G214" t="n">
        <v>1</v>
      </c>
      <c r="H214" s="7" t="n">
        <v>6.9</v>
      </c>
      <c r="I214" s="7" t="n">
        <v>0</v>
      </c>
      <c r="J214" s="7" t="n">
        <v>0</v>
      </c>
      <c r="K214" s="9" t="n">
        <v>0</v>
      </c>
      <c r="L214" s="10" t="n">
        <v>4.1</v>
      </c>
      <c r="M214" s="10" t="n">
        <v>1.43</v>
      </c>
      <c r="N214" t="inlineStr">
        <is>
          <t>1</t>
        </is>
      </c>
      <c r="O214" t="inlineStr">
        <is>
          <t xml:space="preserve">2 </t>
        </is>
      </c>
      <c r="P214" t="inlineStr">
        <is>
          <t xml:space="preserve">231899  </t>
        </is>
      </c>
      <c r="Q214" s="26" t="n">
        <v>4.09</v>
      </c>
      <c r="R214" s="26">
        <f>Q214*G214</f>
        <v/>
      </c>
      <c r="S214" s="26">
        <f>IFERROR(VLOOKUP(E214*1,Tabla[#All],8,0),0)</f>
        <v/>
      </c>
      <c r="T214" s="26">
        <f>S214*G214</f>
        <v/>
      </c>
      <c r="U214" s="26">
        <f>R214-T214</f>
        <v/>
      </c>
      <c r="V214" s="26">
        <f>U214-L214</f>
        <v/>
      </c>
    </row>
    <row r="215">
      <c r="A215" s="11" t="n">
        <v>46206</v>
      </c>
      <c r="B215" s="1" t="n">
        <v>20058</v>
      </c>
      <c r="C215" s="1" t="inlineStr">
        <is>
          <t>198</t>
        </is>
      </c>
      <c r="D215" s="1" t="inlineStr">
        <is>
          <t xml:space="preserve">17823 </t>
        </is>
      </c>
      <c r="E215" s="1" t="inlineStr">
        <is>
          <t xml:space="preserve">28194770       </t>
        </is>
      </c>
      <c r="F215" s="5" t="inlineStr">
        <is>
          <t>AUTOS DE METAL 3 TEAMSTERZ EN BLISTER</t>
        </is>
      </c>
      <c r="G215" t="n">
        <v>1</v>
      </c>
      <c r="H215" s="7" t="n">
        <v>6.9</v>
      </c>
      <c r="I215" s="7" t="n">
        <v>0</v>
      </c>
      <c r="J215" s="7" t="n">
        <v>0</v>
      </c>
      <c r="K215" s="9" t="n">
        <v>0</v>
      </c>
      <c r="L215" s="10" t="n">
        <v>4.1</v>
      </c>
      <c r="M215" s="10" t="n">
        <v>1.43</v>
      </c>
      <c r="N215" t="inlineStr">
        <is>
          <t>1</t>
        </is>
      </c>
      <c r="O215" t="inlineStr">
        <is>
          <t xml:space="preserve">2 </t>
        </is>
      </c>
      <c r="P215" t="inlineStr">
        <is>
          <t xml:space="preserve">231899  </t>
        </is>
      </c>
      <c r="Q215" s="26" t="n">
        <v>4.09</v>
      </c>
      <c r="R215" s="26">
        <f>Q215*G215</f>
        <v/>
      </c>
      <c r="S215" s="26">
        <f>IFERROR(VLOOKUP(E215*1,Tabla[#All],8,0),0)</f>
        <v/>
      </c>
      <c r="T215" s="26">
        <f>S215*G215</f>
        <v/>
      </c>
      <c r="U215" s="26">
        <f>R215-T215</f>
        <v/>
      </c>
      <c r="V215" s="26">
        <f>U215-L215</f>
        <v/>
      </c>
    </row>
    <row r="216">
      <c r="A216" s="11" t="n">
        <v>46206</v>
      </c>
      <c r="B216" s="1" t="n">
        <v>20058</v>
      </c>
      <c r="C216" s="1" t="inlineStr">
        <is>
          <t>514</t>
        </is>
      </c>
      <c r="D216" s="1" t="inlineStr">
        <is>
          <t xml:space="preserve">5310  </t>
        </is>
      </c>
      <c r="E216" s="1" t="inlineStr">
        <is>
          <t xml:space="preserve">28194769       </t>
        </is>
      </c>
      <c r="F216" s="5" t="inlineStr">
        <is>
          <t>AUTOS DE METAL 3 TEAMSTERZ PACK DE 2</t>
        </is>
      </c>
      <c r="G216" t="n">
        <v>1</v>
      </c>
      <c r="H216" s="7" t="n">
        <v>13.8</v>
      </c>
      <c r="I216" s="7" t="n">
        <v>0</v>
      </c>
      <c r="J216" s="7" t="n">
        <v>0</v>
      </c>
      <c r="K216" s="9" t="n">
        <v>0</v>
      </c>
      <c r="L216" s="10" t="n">
        <v>8.18</v>
      </c>
      <c r="M216" s="10" t="n">
        <v>1.43</v>
      </c>
      <c r="N216" t="inlineStr">
        <is>
          <t>1</t>
        </is>
      </c>
      <c r="O216" t="inlineStr">
        <is>
          <t>16</t>
        </is>
      </c>
      <c r="P216" t="inlineStr">
        <is>
          <t xml:space="preserve">246464  </t>
        </is>
      </c>
      <c r="Q216" s="26" t="n">
        <v>8.19</v>
      </c>
      <c r="R216" s="26">
        <f>Q216*G216</f>
        <v/>
      </c>
      <c r="S216" s="26">
        <f>IFERROR(VLOOKUP(E216*1,Tabla[#All],8,0),0)</f>
        <v/>
      </c>
      <c r="T216" s="26">
        <f>S216*G216</f>
        <v/>
      </c>
      <c r="U216" s="26">
        <f>R216-T216</f>
        <v/>
      </c>
      <c r="V216" s="26">
        <f>U216-L216</f>
        <v/>
      </c>
    </row>
    <row r="217">
      <c r="A217" s="11" t="n">
        <v>46206</v>
      </c>
      <c r="B217" s="1" t="n">
        <v>20060</v>
      </c>
      <c r="C217" s="1" t="inlineStr">
        <is>
          <t>302</t>
        </is>
      </c>
      <c r="D217" s="1" t="inlineStr">
        <is>
          <t xml:space="preserve">1276  </t>
        </is>
      </c>
      <c r="E217" s="1" t="inlineStr">
        <is>
          <t xml:space="preserve">32656408       </t>
        </is>
      </c>
      <c r="F217" s="5" t="inlineStr">
        <is>
          <t>VIP PETS INFLUENCER</t>
        </is>
      </c>
      <c r="G217" t="n">
        <v>-1</v>
      </c>
      <c r="H217" s="7" t="n">
        <v>-77.40000000000001</v>
      </c>
      <c r="I217" s="7" t="n">
        <v>0</v>
      </c>
      <c r="J217" s="7" t="n">
        <v>0</v>
      </c>
      <c r="K217" s="9" t="n">
        <v>0</v>
      </c>
      <c r="L217" s="10" t="n">
        <v>-45.91</v>
      </c>
      <c r="M217" s="10" t="n">
        <v>0</v>
      </c>
      <c r="N217" t="inlineStr">
        <is>
          <t>3</t>
        </is>
      </c>
      <c r="O217" t="inlineStr">
        <is>
          <t>36</t>
        </is>
      </c>
      <c r="P217" t="inlineStr">
        <is>
          <t>82807346</t>
        </is>
      </c>
      <c r="Q217" s="26" t="n">
        <v>76.53</v>
      </c>
      <c r="R217" s="26">
        <f>Q217*G217</f>
        <v/>
      </c>
      <c r="S217" s="26">
        <f>IFERROR(VLOOKUP(E217*1,Tabla[#All],8,0),0)</f>
        <v/>
      </c>
      <c r="T217" s="26">
        <f>S217*G217</f>
        <v/>
      </c>
      <c r="U217" s="26">
        <f>R217-T217</f>
        <v/>
      </c>
      <c r="V217" s="26">
        <f>U217-L217</f>
        <v/>
      </c>
    </row>
    <row r="218">
      <c r="A218" s="11" t="n">
        <v>46206</v>
      </c>
      <c r="B218" s="1" t="n">
        <v>20062</v>
      </c>
      <c r="C218" s="1" t="inlineStr">
        <is>
          <t>014</t>
        </is>
      </c>
      <c r="D218" s="1" t="inlineStr">
        <is>
          <t>227570</t>
        </is>
      </c>
      <c r="E218" s="1" t="inlineStr">
        <is>
          <t xml:space="preserve">34840515       </t>
        </is>
      </c>
      <c r="F218" s="5" t="inlineStr">
        <is>
          <t>MUNECA EVI LOVE PRINCESA + UNICORNIO</t>
        </is>
      </c>
      <c r="G218" t="n">
        <v>1</v>
      </c>
      <c r="H218" s="7" t="n">
        <v>32.9</v>
      </c>
      <c r="I218" s="7" t="n">
        <v>0</v>
      </c>
      <c r="J218" s="7" t="n">
        <v>0</v>
      </c>
      <c r="K218" s="9" t="n">
        <v>0</v>
      </c>
      <c r="L218" s="10" t="n">
        <v>19.52</v>
      </c>
      <c r="M218" s="10" t="n">
        <v>1.43</v>
      </c>
      <c r="N218" t="inlineStr">
        <is>
          <t>1</t>
        </is>
      </c>
      <c r="O218" t="inlineStr">
        <is>
          <t xml:space="preserve">2 </t>
        </is>
      </c>
      <c r="P218" t="inlineStr">
        <is>
          <t xml:space="preserve">57106   </t>
        </is>
      </c>
      <c r="Q218" s="26" t="n">
        <v>19.52</v>
      </c>
      <c r="R218" s="26">
        <f>Q218*G218</f>
        <v/>
      </c>
      <c r="S218" s="26">
        <f>IFERROR(VLOOKUP(E218*1,Tabla[#All],8,0),0)</f>
        <v/>
      </c>
      <c r="T218" s="26">
        <f>S218*G218</f>
        <v/>
      </c>
      <c r="U218" s="26">
        <f>R218-T218</f>
        <v/>
      </c>
      <c r="V218" s="26">
        <f>U218-L218</f>
        <v/>
      </c>
    </row>
    <row r="219">
      <c r="A219" s="11" t="n">
        <v>46206</v>
      </c>
      <c r="B219" s="1" t="n">
        <v>20062</v>
      </c>
      <c r="C219" s="1" t="inlineStr">
        <is>
          <t>038</t>
        </is>
      </c>
      <c r="D219" s="1" t="inlineStr">
        <is>
          <t>172589</t>
        </is>
      </c>
      <c r="E219" s="1" t="inlineStr">
        <is>
          <t xml:space="preserve">31754677       </t>
        </is>
      </c>
      <c r="F219" s="5" t="inlineStr">
        <is>
          <t>INFINITY NADO SERIE 6 SET DE BATALL</t>
        </is>
      </c>
      <c r="G219" t="n">
        <v>1</v>
      </c>
      <c r="H219" s="7" t="n">
        <v>189</v>
      </c>
      <c r="I219" s="7" t="n">
        <v>0</v>
      </c>
      <c r="J219" s="7" t="n">
        <v>0</v>
      </c>
      <c r="K219" s="9" t="n">
        <v>0</v>
      </c>
      <c r="L219" s="10" t="n">
        <v>112.12</v>
      </c>
      <c r="M219" s="10" t="n">
        <v>1.43</v>
      </c>
      <c r="N219" t="inlineStr">
        <is>
          <t>1</t>
        </is>
      </c>
      <c r="O219" t="inlineStr">
        <is>
          <t>16</t>
        </is>
      </c>
      <c r="P219" t="inlineStr">
        <is>
          <t xml:space="preserve">43396   </t>
        </is>
      </c>
      <c r="Q219" s="26" t="n">
        <v>112.12</v>
      </c>
      <c r="R219" s="26">
        <f>Q219*G219</f>
        <v/>
      </c>
      <c r="S219" s="26">
        <f>IFERROR(VLOOKUP(E219*1,Tabla[#All],8,0),0)</f>
        <v/>
      </c>
      <c r="T219" s="26">
        <f>S219*G219</f>
        <v/>
      </c>
      <c r="U219" s="26">
        <f>R219-T219</f>
        <v/>
      </c>
      <c r="V219" s="26">
        <f>U219-L219</f>
        <v/>
      </c>
    </row>
    <row r="220">
      <c r="A220" s="11" t="n">
        <v>46206</v>
      </c>
      <c r="B220" s="1" t="n">
        <v>20062</v>
      </c>
      <c r="C220" s="1" t="inlineStr">
        <is>
          <t>038</t>
        </is>
      </c>
      <c r="D220" s="1" t="inlineStr">
        <is>
          <t>172628</t>
        </is>
      </c>
      <c r="E220" s="1" t="inlineStr">
        <is>
          <t xml:space="preserve">34840553       </t>
        </is>
      </c>
      <c r="F220" s="5" t="inlineStr">
        <is>
          <t>TMZ AUTO LUZ Y SONIDO ESQUELET DINO T-REX</t>
        </is>
      </c>
      <c r="G220" t="n">
        <v>1</v>
      </c>
      <c r="H220" s="7" t="n">
        <v>79.90000000000001</v>
      </c>
      <c r="I220" s="7" t="n">
        <v>0</v>
      </c>
      <c r="J220" s="7" t="n">
        <v>0</v>
      </c>
      <c r="K220" s="9" t="n">
        <v>0</v>
      </c>
      <c r="L220" s="10" t="n">
        <v>47.4</v>
      </c>
      <c r="M220" s="10" t="n">
        <v>1.43</v>
      </c>
      <c r="N220" t="inlineStr">
        <is>
          <t>1</t>
        </is>
      </c>
      <c r="O220" t="inlineStr">
        <is>
          <t>16</t>
        </is>
      </c>
      <c r="P220" t="inlineStr">
        <is>
          <t xml:space="preserve">43396   </t>
        </is>
      </c>
      <c r="Q220" s="26" t="n">
        <v>47.4</v>
      </c>
      <c r="R220" s="26">
        <f>Q220*G220</f>
        <v/>
      </c>
      <c r="S220" s="26">
        <f>IFERROR(VLOOKUP(E220*1,Tabla[#All],8,0),0)</f>
        <v/>
      </c>
      <c r="T220" s="26">
        <f>S220*G220</f>
        <v/>
      </c>
      <c r="U220" s="26">
        <f>R220-T220</f>
        <v/>
      </c>
      <c r="V220" s="26">
        <f>U220-L220</f>
        <v/>
      </c>
    </row>
    <row r="221">
      <c r="A221" s="11" t="n">
        <v>46206</v>
      </c>
      <c r="B221" s="1" t="n">
        <v>20066</v>
      </c>
      <c r="C221" s="1" t="inlineStr">
        <is>
          <t>057</t>
        </is>
      </c>
      <c r="D221" s="1" t="inlineStr">
        <is>
          <t>493067</t>
        </is>
      </c>
      <c r="E221" s="1" t="inlineStr">
        <is>
          <t xml:space="preserve">28194770       </t>
        </is>
      </c>
      <c r="F221" s="5" t="inlineStr">
        <is>
          <t>AUTOS DE METAL 3 TEAMSTERZ EN BLISTER</t>
        </is>
      </c>
      <c r="G221" t="n">
        <v>1</v>
      </c>
      <c r="H221" s="7" t="n">
        <v>6.9</v>
      </c>
      <c r="I221" s="7" t="n">
        <v>0</v>
      </c>
      <c r="J221" s="7" t="n">
        <v>0</v>
      </c>
      <c r="K221" s="9" t="n">
        <v>0</v>
      </c>
      <c r="L221" s="10" t="n">
        <v>4.1</v>
      </c>
      <c r="M221" s="10" t="n">
        <v>1.43</v>
      </c>
      <c r="N221" t="inlineStr">
        <is>
          <t>1</t>
        </is>
      </c>
      <c r="O221" t="inlineStr">
        <is>
          <t xml:space="preserve">2 </t>
        </is>
      </c>
      <c r="P221" t="inlineStr">
        <is>
          <t xml:space="preserve">43276   </t>
        </is>
      </c>
      <c r="Q221" s="26" t="n">
        <v>4.09</v>
      </c>
      <c r="R221" s="26">
        <f>Q221*G221</f>
        <v/>
      </c>
      <c r="S221" s="26">
        <f>IFERROR(VLOOKUP(E221*1,Tabla[#All],8,0),0)</f>
        <v/>
      </c>
      <c r="T221" s="26">
        <f>S221*G221</f>
        <v/>
      </c>
      <c r="U221" s="26">
        <f>R221-T221</f>
        <v/>
      </c>
      <c r="V221" s="26">
        <f>U221-L221</f>
        <v/>
      </c>
    </row>
    <row r="222">
      <c r="A222" s="11" t="n">
        <v>46206</v>
      </c>
      <c r="B222" s="1" t="n">
        <v>20066</v>
      </c>
      <c r="C222" s="1" t="inlineStr">
        <is>
          <t>057</t>
        </is>
      </c>
      <c r="D222" s="1" t="inlineStr">
        <is>
          <t>493067</t>
        </is>
      </c>
      <c r="E222" s="1" t="inlineStr">
        <is>
          <t xml:space="preserve">30141766       </t>
        </is>
      </c>
      <c r="F222" s="5" t="inlineStr">
        <is>
          <t>TMZ BEAST MACHINES AUTOS DE METAL BLISTER X 1</t>
        </is>
      </c>
      <c r="G222" t="n">
        <v>1</v>
      </c>
      <c r="H222" s="7" t="n">
        <v>7.9</v>
      </c>
      <c r="I222" s="7" t="n">
        <v>0</v>
      </c>
      <c r="J222" s="7" t="n">
        <v>0</v>
      </c>
      <c r="K222" s="9" t="n">
        <v>0</v>
      </c>
      <c r="L222" s="10" t="n">
        <v>4.68</v>
      </c>
      <c r="M222" s="10" t="n">
        <v>1.43</v>
      </c>
      <c r="N222" t="inlineStr">
        <is>
          <t>1</t>
        </is>
      </c>
      <c r="O222" t="inlineStr">
        <is>
          <t xml:space="preserve">2 </t>
        </is>
      </c>
      <c r="P222" t="inlineStr">
        <is>
          <t xml:space="preserve">43276   </t>
        </is>
      </c>
      <c r="Q222" s="26" t="n">
        <v>4.69</v>
      </c>
      <c r="R222" s="26">
        <f>Q222*G222</f>
        <v/>
      </c>
      <c r="S222" s="26">
        <f>IFERROR(VLOOKUP(E222*1,Tabla[#All],8,0),0)</f>
        <v/>
      </c>
      <c r="T222" s="26">
        <f>S222*G222</f>
        <v/>
      </c>
      <c r="U222" s="26">
        <f>R222-T222</f>
        <v/>
      </c>
      <c r="V222" s="26">
        <f>U222-L222</f>
        <v/>
      </c>
    </row>
    <row r="223">
      <c r="A223" s="11" t="n">
        <v>46206</v>
      </c>
      <c r="B223" s="1" t="n">
        <v>20066</v>
      </c>
      <c r="C223" s="1" t="inlineStr">
        <is>
          <t>057</t>
        </is>
      </c>
      <c r="D223" s="1" t="inlineStr">
        <is>
          <t>493095</t>
        </is>
      </c>
      <c r="E223" s="1" t="inlineStr">
        <is>
          <t xml:space="preserve">28194770       </t>
        </is>
      </c>
      <c r="F223" s="5" t="inlineStr">
        <is>
          <t>AUTOS DE METAL 3 TEAMSTERZ EN BLISTER</t>
        </is>
      </c>
      <c r="G223" t="n">
        <v>1</v>
      </c>
      <c r="H223" s="7" t="n">
        <v>6.9</v>
      </c>
      <c r="I223" s="7" t="n">
        <v>0</v>
      </c>
      <c r="J223" s="7" t="n">
        <v>0</v>
      </c>
      <c r="K223" s="9" t="n">
        <v>0</v>
      </c>
      <c r="L223" s="10" t="n">
        <v>4.1</v>
      </c>
      <c r="M223" s="10" t="n">
        <v>1.43</v>
      </c>
      <c r="N223" t="inlineStr">
        <is>
          <t>1</t>
        </is>
      </c>
      <c r="O223" t="inlineStr">
        <is>
          <t xml:space="preserve">2 </t>
        </is>
      </c>
      <c r="P223" t="inlineStr">
        <is>
          <t xml:space="preserve">43276   </t>
        </is>
      </c>
      <c r="Q223" s="26" t="n">
        <v>4.09</v>
      </c>
      <c r="R223" s="26">
        <f>Q223*G223</f>
        <v/>
      </c>
      <c r="S223" s="26">
        <f>IFERROR(VLOOKUP(E223*1,Tabla[#All],8,0),0)</f>
        <v/>
      </c>
      <c r="T223" s="26">
        <f>S223*G223</f>
        <v/>
      </c>
      <c r="U223" s="26">
        <f>R223-T223</f>
        <v/>
      </c>
      <c r="V223" s="26">
        <f>U223-L223</f>
        <v/>
      </c>
    </row>
    <row r="224">
      <c r="A224" s="11" t="n">
        <v>46206</v>
      </c>
      <c r="B224" s="1" t="n">
        <v>20066</v>
      </c>
      <c r="C224" s="1" t="inlineStr">
        <is>
          <t>058</t>
        </is>
      </c>
      <c r="D224" s="1" t="inlineStr">
        <is>
          <t xml:space="preserve">59601 </t>
        </is>
      </c>
      <c r="E224" s="1" t="inlineStr">
        <is>
          <t xml:space="preserve">28194770       </t>
        </is>
      </c>
      <c r="F224" s="5" t="inlineStr">
        <is>
          <t>AUTOS DE METAL 3 TEAMSTERZ EN BLISTER</t>
        </is>
      </c>
      <c r="G224" t="n">
        <v>1</v>
      </c>
      <c r="H224" s="7" t="n">
        <v>6.9</v>
      </c>
      <c r="I224" s="7" t="n">
        <v>0</v>
      </c>
      <c r="J224" s="7" t="n">
        <v>0</v>
      </c>
      <c r="K224" s="9" t="n">
        <v>0</v>
      </c>
      <c r="L224" s="10" t="n">
        <v>4.1</v>
      </c>
      <c r="M224" s="10" t="n">
        <v>1.43</v>
      </c>
      <c r="N224" t="inlineStr">
        <is>
          <t>1</t>
        </is>
      </c>
      <c r="O224" t="inlineStr">
        <is>
          <t xml:space="preserve">6 </t>
        </is>
      </c>
      <c r="P224" t="inlineStr">
        <is>
          <t xml:space="preserve">49848   </t>
        </is>
      </c>
      <c r="Q224" s="26" t="n">
        <v>4.09</v>
      </c>
      <c r="R224" s="26">
        <f>Q224*G224</f>
        <v/>
      </c>
      <c r="S224" s="26">
        <f>IFERROR(VLOOKUP(E224*1,Tabla[#All],8,0),0)</f>
        <v/>
      </c>
      <c r="T224" s="26">
        <f>S224*G224</f>
        <v/>
      </c>
      <c r="U224" s="26">
        <f>R224-T224</f>
        <v/>
      </c>
      <c r="V224" s="26">
        <f>U224-L224</f>
        <v/>
      </c>
    </row>
    <row r="225">
      <c r="A225" s="11" t="n">
        <v>46206</v>
      </c>
      <c r="B225" s="1" t="n">
        <v>20069</v>
      </c>
      <c r="C225" s="1" t="inlineStr">
        <is>
          <t>013</t>
        </is>
      </c>
      <c r="D225" s="1" t="inlineStr">
        <is>
          <t>247798</t>
        </is>
      </c>
      <c r="E225" s="1" t="inlineStr">
        <is>
          <t xml:space="preserve">28194769       </t>
        </is>
      </c>
      <c r="F225" s="5" t="inlineStr">
        <is>
          <t>AUTOS DE METAL 3 TEAMSTERZ PACK DE 2</t>
        </is>
      </c>
      <c r="G225" t="n">
        <v>1</v>
      </c>
      <c r="H225" s="7" t="n">
        <v>13.8</v>
      </c>
      <c r="I225" s="7" t="n">
        <v>0</v>
      </c>
      <c r="J225" s="7" t="n">
        <v>0</v>
      </c>
      <c r="K225" s="9" t="n">
        <v>0</v>
      </c>
      <c r="L225" s="10" t="n">
        <v>8.18</v>
      </c>
      <c r="M225" s="10" t="n">
        <v>1.43</v>
      </c>
      <c r="N225" t="inlineStr">
        <is>
          <t>1</t>
        </is>
      </c>
      <c r="O225" t="inlineStr">
        <is>
          <t>16</t>
        </is>
      </c>
      <c r="P225" t="inlineStr">
        <is>
          <t xml:space="preserve">249779  </t>
        </is>
      </c>
      <c r="Q225" s="26" t="n">
        <v>8.19</v>
      </c>
      <c r="R225" s="26">
        <f>Q225*G225</f>
        <v/>
      </c>
      <c r="S225" s="26">
        <f>IFERROR(VLOOKUP(E225*1,Tabla[#All],8,0),0)</f>
        <v/>
      </c>
      <c r="T225" s="26">
        <f>S225*G225</f>
        <v/>
      </c>
      <c r="U225" s="26">
        <f>R225-T225</f>
        <v/>
      </c>
      <c r="V225" s="26">
        <f>U225-L225</f>
        <v/>
      </c>
    </row>
    <row r="226">
      <c r="A226" s="11" t="n">
        <v>46206</v>
      </c>
      <c r="B226" s="1" t="n">
        <v>20073</v>
      </c>
      <c r="C226" s="1" t="inlineStr">
        <is>
          <t>020</t>
        </is>
      </c>
      <c r="D226" s="1" t="inlineStr">
        <is>
          <t>282790</t>
        </is>
      </c>
      <c r="E226" s="1" t="inlineStr">
        <is>
          <t xml:space="preserve">30141766       </t>
        </is>
      </c>
      <c r="F226" s="5" t="inlineStr">
        <is>
          <t>TMZ BEAST MACHINES AUTOS DE METAL BLISTER X 1</t>
        </is>
      </c>
      <c r="G226" t="n">
        <v>1</v>
      </c>
      <c r="H226" s="7" t="n">
        <v>7.9</v>
      </c>
      <c r="I226" s="7" t="n">
        <v>0</v>
      </c>
      <c r="J226" s="7" t="n">
        <v>0</v>
      </c>
      <c r="K226" s="9" t="n">
        <v>0</v>
      </c>
      <c r="L226" s="10" t="n">
        <v>4.68</v>
      </c>
      <c r="M226" s="10" t="n">
        <v>1.43</v>
      </c>
      <c r="N226" t="inlineStr">
        <is>
          <t>1</t>
        </is>
      </c>
      <c r="O226" t="inlineStr">
        <is>
          <t xml:space="preserve">3 </t>
        </is>
      </c>
      <c r="P226" t="inlineStr">
        <is>
          <t xml:space="preserve">249001  </t>
        </is>
      </c>
      <c r="Q226" s="26" t="n">
        <v>4.69</v>
      </c>
      <c r="R226" s="26">
        <f>Q226*G226</f>
        <v/>
      </c>
      <c r="S226" s="26">
        <f>IFERROR(VLOOKUP(E226*1,Tabla[#All],8,0),0)</f>
        <v/>
      </c>
      <c r="T226" s="26">
        <f>S226*G226</f>
        <v/>
      </c>
      <c r="U226" s="26">
        <f>R226-T226</f>
        <v/>
      </c>
      <c r="V226" s="26">
        <f>U226-L226</f>
        <v/>
      </c>
    </row>
    <row r="227">
      <c r="A227" s="11" t="n">
        <v>46206</v>
      </c>
      <c r="B227" s="1" t="n">
        <v>20073</v>
      </c>
      <c r="C227" s="1" t="inlineStr">
        <is>
          <t>020</t>
        </is>
      </c>
      <c r="D227" s="1" t="inlineStr">
        <is>
          <t>282790</t>
        </is>
      </c>
      <c r="E227" s="1" t="inlineStr">
        <is>
          <t xml:space="preserve">30141766       </t>
        </is>
      </c>
      <c r="F227" s="5" t="inlineStr">
        <is>
          <t>TMZ BEAST MACHINES AUTOS DE METAL BLISTER X 1</t>
        </is>
      </c>
      <c r="G227" t="n">
        <v>1</v>
      </c>
      <c r="H227" s="7" t="n">
        <v>7.9</v>
      </c>
      <c r="I227" s="7" t="n">
        <v>0</v>
      </c>
      <c r="J227" s="7" t="n">
        <v>0</v>
      </c>
      <c r="K227" s="9" t="n">
        <v>0</v>
      </c>
      <c r="L227" s="10" t="n">
        <v>4.68</v>
      </c>
      <c r="M227" s="10" t="n">
        <v>1.43</v>
      </c>
      <c r="N227" t="inlineStr">
        <is>
          <t>1</t>
        </is>
      </c>
      <c r="O227" t="inlineStr">
        <is>
          <t xml:space="preserve">3 </t>
        </is>
      </c>
      <c r="P227" t="inlineStr">
        <is>
          <t xml:space="preserve">249001  </t>
        </is>
      </c>
      <c r="Q227" s="26" t="n">
        <v>4.69</v>
      </c>
      <c r="R227" s="26">
        <f>Q227*G227</f>
        <v/>
      </c>
      <c r="S227" s="26">
        <f>IFERROR(VLOOKUP(E227*1,Tabla[#All],8,0),0)</f>
        <v/>
      </c>
      <c r="T227" s="26">
        <f>S227*G227</f>
        <v/>
      </c>
      <c r="U227" s="26">
        <f>R227-T227</f>
        <v/>
      </c>
      <c r="V227" s="26">
        <f>U227-L227</f>
        <v/>
      </c>
    </row>
    <row r="228">
      <c r="A228" s="11" t="n">
        <v>46206</v>
      </c>
      <c r="B228" s="1" t="n">
        <v>20073</v>
      </c>
      <c r="C228" s="1" t="inlineStr">
        <is>
          <t>020</t>
        </is>
      </c>
      <c r="D228" s="1" t="inlineStr">
        <is>
          <t>282790</t>
        </is>
      </c>
      <c r="E228" s="1" t="inlineStr">
        <is>
          <t xml:space="preserve">30141766       </t>
        </is>
      </c>
      <c r="F228" s="5" t="inlineStr">
        <is>
          <t>TMZ BEAST MACHINES AUTOS DE METAL BLISTER X 1</t>
        </is>
      </c>
      <c r="G228" t="n">
        <v>1</v>
      </c>
      <c r="H228" s="7" t="n">
        <v>7.9</v>
      </c>
      <c r="I228" s="7" t="n">
        <v>0</v>
      </c>
      <c r="J228" s="7" t="n">
        <v>0</v>
      </c>
      <c r="K228" s="9" t="n">
        <v>0</v>
      </c>
      <c r="L228" s="10" t="n">
        <v>4.68</v>
      </c>
      <c r="M228" s="10" t="n">
        <v>1.43</v>
      </c>
      <c r="N228" t="inlineStr">
        <is>
          <t>1</t>
        </is>
      </c>
      <c r="O228" t="inlineStr">
        <is>
          <t xml:space="preserve">3 </t>
        </is>
      </c>
      <c r="P228" t="inlineStr">
        <is>
          <t xml:space="preserve">249001  </t>
        </is>
      </c>
      <c r="Q228" s="26" t="n">
        <v>4.69</v>
      </c>
      <c r="R228" s="26">
        <f>Q228*G228</f>
        <v/>
      </c>
      <c r="S228" s="26">
        <f>IFERROR(VLOOKUP(E228*1,Tabla[#All],8,0),0)</f>
        <v/>
      </c>
      <c r="T228" s="26">
        <f>S228*G228</f>
        <v/>
      </c>
      <c r="U228" s="26">
        <f>R228-T228</f>
        <v/>
      </c>
      <c r="V228" s="26">
        <f>U228-L228</f>
        <v/>
      </c>
    </row>
    <row r="229">
      <c r="A229" s="11" t="n">
        <v>46206</v>
      </c>
      <c r="B229" s="1" t="n">
        <v>20073</v>
      </c>
      <c r="C229" s="1" t="inlineStr">
        <is>
          <t>020</t>
        </is>
      </c>
      <c r="D229" s="1" t="inlineStr">
        <is>
          <t>282790</t>
        </is>
      </c>
      <c r="E229" s="1" t="inlineStr">
        <is>
          <t xml:space="preserve">30141766       </t>
        </is>
      </c>
      <c r="F229" s="5" t="inlineStr">
        <is>
          <t>TMZ BEAST MACHINES AUTOS DE METAL BLISTER X 1</t>
        </is>
      </c>
      <c r="G229" t="n">
        <v>1</v>
      </c>
      <c r="H229" s="7" t="n">
        <v>7.9</v>
      </c>
      <c r="I229" s="7" t="n">
        <v>0</v>
      </c>
      <c r="J229" s="7" t="n">
        <v>0</v>
      </c>
      <c r="K229" s="9" t="n">
        <v>0</v>
      </c>
      <c r="L229" s="10" t="n">
        <v>4.68</v>
      </c>
      <c r="M229" s="10" t="n">
        <v>1.43</v>
      </c>
      <c r="N229" t="inlineStr">
        <is>
          <t>1</t>
        </is>
      </c>
      <c r="O229" t="inlineStr">
        <is>
          <t xml:space="preserve">3 </t>
        </is>
      </c>
      <c r="P229" t="inlineStr">
        <is>
          <t xml:space="preserve">249001  </t>
        </is>
      </c>
      <c r="Q229" s="26" t="n">
        <v>4.69</v>
      </c>
      <c r="R229" s="26">
        <f>Q229*G229</f>
        <v/>
      </c>
      <c r="S229" s="26">
        <f>IFERROR(VLOOKUP(E229*1,Tabla[#All],8,0),0)</f>
        <v/>
      </c>
      <c r="T229" s="26">
        <f>S229*G229</f>
        <v/>
      </c>
      <c r="U229" s="26">
        <f>R229-T229</f>
        <v/>
      </c>
      <c r="V229" s="26">
        <f>U229-L229</f>
        <v/>
      </c>
    </row>
    <row r="230">
      <c r="A230" s="11" t="n">
        <v>46206</v>
      </c>
      <c r="B230" s="1" t="n">
        <v>20073</v>
      </c>
      <c r="C230" s="1" t="inlineStr">
        <is>
          <t>020</t>
        </is>
      </c>
      <c r="D230" s="1" t="inlineStr">
        <is>
          <t>282790</t>
        </is>
      </c>
      <c r="E230" s="1" t="inlineStr">
        <is>
          <t xml:space="preserve">30141766       </t>
        </is>
      </c>
      <c r="F230" s="5" t="inlineStr">
        <is>
          <t>TMZ BEAST MACHINES AUTOS DE METAL BLISTER X 1</t>
        </is>
      </c>
      <c r="G230" t="n">
        <v>1</v>
      </c>
      <c r="H230" s="7" t="n">
        <v>7.9</v>
      </c>
      <c r="I230" s="7" t="n">
        <v>0</v>
      </c>
      <c r="J230" s="7" t="n">
        <v>0</v>
      </c>
      <c r="K230" s="9" t="n">
        <v>0</v>
      </c>
      <c r="L230" s="10" t="n">
        <v>4.68</v>
      </c>
      <c r="M230" s="10" t="n">
        <v>1.43</v>
      </c>
      <c r="N230" t="inlineStr">
        <is>
          <t>1</t>
        </is>
      </c>
      <c r="O230" t="inlineStr">
        <is>
          <t xml:space="preserve">3 </t>
        </is>
      </c>
      <c r="P230" t="inlineStr">
        <is>
          <t xml:space="preserve">249001  </t>
        </is>
      </c>
      <c r="Q230" s="26" t="n">
        <v>4.69</v>
      </c>
      <c r="R230" s="26">
        <f>Q230*G230</f>
        <v/>
      </c>
      <c r="S230" s="26">
        <f>IFERROR(VLOOKUP(E230*1,Tabla[#All],8,0),0)</f>
        <v/>
      </c>
      <c r="T230" s="26">
        <f>S230*G230</f>
        <v/>
      </c>
      <c r="U230" s="26">
        <f>R230-T230</f>
        <v/>
      </c>
      <c r="V230" s="26">
        <f>U230-L230</f>
        <v/>
      </c>
    </row>
    <row r="231">
      <c r="A231" s="11" t="n">
        <v>46206</v>
      </c>
      <c r="B231" s="1" t="n">
        <v>20073</v>
      </c>
      <c r="C231" s="1" t="inlineStr">
        <is>
          <t>034</t>
        </is>
      </c>
      <c r="D231" s="1" t="inlineStr">
        <is>
          <t>343759</t>
        </is>
      </c>
      <c r="E231" s="1" t="inlineStr">
        <is>
          <t xml:space="preserve">29625604       </t>
        </is>
      </c>
      <c r="F231" s="5" t="inlineStr">
        <is>
          <t>PINYPON FIGURAS DE CUENTOS</t>
        </is>
      </c>
      <c r="G231" t="n">
        <v>1</v>
      </c>
      <c r="H231" s="7" t="n">
        <v>32.9</v>
      </c>
      <c r="I231" s="7" t="n">
        <v>0</v>
      </c>
      <c r="J231" s="7" t="n">
        <v>0</v>
      </c>
      <c r="K231" s="9" t="n">
        <v>0</v>
      </c>
      <c r="L231" s="10" t="n">
        <v>19.52</v>
      </c>
      <c r="M231" s="10" t="n">
        <v>1.43</v>
      </c>
      <c r="N231" t="inlineStr">
        <is>
          <t>1</t>
        </is>
      </c>
      <c r="O231" t="inlineStr">
        <is>
          <t>16</t>
        </is>
      </c>
      <c r="P231" t="inlineStr">
        <is>
          <t xml:space="preserve">69796   </t>
        </is>
      </c>
      <c r="Q231" s="26" t="n">
        <v>19.52</v>
      </c>
      <c r="R231" s="26">
        <f>Q231*G231</f>
        <v/>
      </c>
      <c r="S231" s="26">
        <f>IFERROR(VLOOKUP(E231*1,Tabla[#All],8,0),0)</f>
        <v/>
      </c>
      <c r="T231" s="26">
        <f>S231*G231</f>
        <v/>
      </c>
      <c r="U231" s="26">
        <f>R231-T231</f>
        <v/>
      </c>
      <c r="V231" s="26">
        <f>U231-L231</f>
        <v/>
      </c>
    </row>
    <row r="232">
      <c r="A232" s="11" t="n">
        <v>46206</v>
      </c>
      <c r="B232" s="1" t="n">
        <v>20077</v>
      </c>
      <c r="C232" s="1" t="inlineStr">
        <is>
          <t>029</t>
        </is>
      </c>
      <c r="D232" s="1" t="inlineStr">
        <is>
          <t>155668</t>
        </is>
      </c>
      <c r="E232" s="1" t="inlineStr">
        <is>
          <t xml:space="preserve">35685067       </t>
        </is>
      </c>
      <c r="F232" s="5" t="inlineStr">
        <is>
          <t>HOT WHEELS POWER SET 3 EN 1</t>
        </is>
      </c>
      <c r="G232" t="n">
        <v>1</v>
      </c>
      <c r="H232" s="7" t="n">
        <v>49.9</v>
      </c>
      <c r="I232" s="7" t="n">
        <v>0</v>
      </c>
      <c r="J232" s="7" t="n">
        <v>0</v>
      </c>
      <c r="K232" s="9" t="n">
        <v>0</v>
      </c>
      <c r="L232" s="10" t="n">
        <v>29.6</v>
      </c>
      <c r="M232" s="10" t="n">
        <v>1.43</v>
      </c>
      <c r="N232" t="inlineStr">
        <is>
          <t>1</t>
        </is>
      </c>
      <c r="O232" t="inlineStr">
        <is>
          <t>16</t>
        </is>
      </c>
      <c r="P232" t="inlineStr">
        <is>
          <t xml:space="preserve">250382  </t>
        </is>
      </c>
      <c r="Q232" s="26" t="n">
        <v>29.6</v>
      </c>
      <c r="R232" s="26">
        <f>Q232*G232</f>
        <v/>
      </c>
      <c r="S232" s="26">
        <f>IFERROR(VLOOKUP(E232*1,Tabla[#All],8,0),0)</f>
        <v/>
      </c>
      <c r="T232" s="26">
        <f>S232*G232</f>
        <v/>
      </c>
      <c r="U232" s="26">
        <f>R232-T232</f>
        <v/>
      </c>
      <c r="V232" s="26">
        <f>U232-L232</f>
        <v/>
      </c>
    </row>
    <row r="233">
      <c r="A233" s="11" t="n">
        <v>46206</v>
      </c>
      <c r="B233" s="1" t="n">
        <v>20079</v>
      </c>
      <c r="C233" s="1" t="inlineStr">
        <is>
          <t>045</t>
        </is>
      </c>
      <c r="D233" s="1" t="inlineStr">
        <is>
          <t>331397</t>
        </is>
      </c>
      <c r="E233" s="1" t="inlineStr">
        <is>
          <t xml:space="preserve">34840551       </t>
        </is>
      </c>
      <c r="F233" s="5" t="inlineStr">
        <is>
          <t>TMZ HELI BOMBERO CON LUCES Y SONIDOS</t>
        </is>
      </c>
      <c r="G233" t="n">
        <v>1</v>
      </c>
      <c r="H233" s="7" t="n">
        <v>79.90000000000001</v>
      </c>
      <c r="I233" s="7" t="n">
        <v>0</v>
      </c>
      <c r="J233" s="7" t="n">
        <v>0</v>
      </c>
      <c r="K233" s="9" t="n">
        <v>0</v>
      </c>
      <c r="L233" s="10" t="n">
        <v>47.4</v>
      </c>
      <c r="M233" s="10" t="n">
        <v>1.43</v>
      </c>
      <c r="N233" t="inlineStr">
        <is>
          <t>1</t>
        </is>
      </c>
      <c r="O233" t="inlineStr">
        <is>
          <t>16</t>
        </is>
      </c>
      <c r="P233" t="inlineStr">
        <is>
          <t xml:space="preserve">47373   </t>
        </is>
      </c>
      <c r="Q233" s="26" t="n">
        <v>47.4</v>
      </c>
      <c r="R233" s="26">
        <f>Q233*G233</f>
        <v/>
      </c>
      <c r="S233" s="26">
        <f>IFERROR(VLOOKUP(E233*1,Tabla[#All],8,0),0)</f>
        <v/>
      </c>
      <c r="T233" s="26">
        <f>S233*G233</f>
        <v/>
      </c>
      <c r="U233" s="26">
        <f>R233-T233</f>
        <v/>
      </c>
      <c r="V233" s="26">
        <f>U233-L233</f>
        <v/>
      </c>
    </row>
    <row r="234">
      <c r="A234" s="11" t="n">
        <v>46206</v>
      </c>
      <c r="B234" s="1" t="n">
        <v>20079</v>
      </c>
      <c r="C234" s="1" t="inlineStr">
        <is>
          <t>045</t>
        </is>
      </c>
      <c r="D234" s="1" t="inlineStr">
        <is>
          <t>331444</t>
        </is>
      </c>
      <c r="E234" s="1" t="inlineStr">
        <is>
          <t xml:space="preserve">32457099       </t>
        </is>
      </c>
      <c r="F234" s="5" t="inlineStr">
        <is>
          <t>TMZ BEAST MACHINES MONSTER JAWS A FRICCION BLISTER</t>
        </is>
      </c>
      <c r="G234" t="n">
        <v>1</v>
      </c>
      <c r="H234" s="7" t="n">
        <v>19.9</v>
      </c>
      <c r="I234" s="7" t="n">
        <v>0</v>
      </c>
      <c r="J234" s="7" t="n">
        <v>0</v>
      </c>
      <c r="K234" s="9" t="n">
        <v>0</v>
      </c>
      <c r="L234" s="10" t="n">
        <v>11.8</v>
      </c>
      <c r="M234" s="10" t="n">
        <v>1.43</v>
      </c>
      <c r="N234" t="inlineStr">
        <is>
          <t>1</t>
        </is>
      </c>
      <c r="O234" t="inlineStr">
        <is>
          <t>16</t>
        </is>
      </c>
      <c r="P234" t="inlineStr">
        <is>
          <t xml:space="preserve">47373   </t>
        </is>
      </c>
      <c r="Q234" s="26" t="n">
        <v>11.81</v>
      </c>
      <c r="R234" s="26">
        <f>Q234*G234</f>
        <v/>
      </c>
      <c r="S234" s="26">
        <f>IFERROR(VLOOKUP(E234*1,Tabla[#All],8,0),0)</f>
        <v/>
      </c>
      <c r="T234" s="26">
        <f>S234*G234</f>
        <v/>
      </c>
      <c r="U234" s="26">
        <f>R234-T234</f>
        <v/>
      </c>
      <c r="V234" s="26">
        <f>U234-L234</f>
        <v/>
      </c>
    </row>
    <row r="235">
      <c r="A235" s="11" t="n">
        <v>46206</v>
      </c>
      <c r="B235" s="1" t="n">
        <v>20079</v>
      </c>
      <c r="C235" s="1" t="inlineStr">
        <is>
          <t>045</t>
        </is>
      </c>
      <c r="D235" s="1" t="inlineStr">
        <is>
          <t>331448</t>
        </is>
      </c>
      <c r="E235" s="1" t="inlineStr">
        <is>
          <t xml:space="preserve">30141766       </t>
        </is>
      </c>
      <c r="F235" s="5" t="inlineStr">
        <is>
          <t>TMZ BEAST MACHINES AUTOS DE METAL BLISTER X 1</t>
        </is>
      </c>
      <c r="G235" t="n">
        <v>1</v>
      </c>
      <c r="H235" s="7" t="n">
        <v>7.9</v>
      </c>
      <c r="I235" s="7" t="n">
        <v>0</v>
      </c>
      <c r="J235" s="7" t="n">
        <v>0</v>
      </c>
      <c r="K235" s="9" t="n">
        <v>0</v>
      </c>
      <c r="L235" s="10" t="n">
        <v>4.68</v>
      </c>
      <c r="M235" s="10" t="n">
        <v>1.43</v>
      </c>
      <c r="N235" t="inlineStr">
        <is>
          <t>1</t>
        </is>
      </c>
      <c r="O235" t="inlineStr">
        <is>
          <t>16</t>
        </is>
      </c>
      <c r="P235" t="inlineStr">
        <is>
          <t xml:space="preserve">47373   </t>
        </is>
      </c>
      <c r="Q235" s="26" t="n">
        <v>4.69</v>
      </c>
      <c r="R235" s="26">
        <f>Q235*G235</f>
        <v/>
      </c>
      <c r="S235" s="26">
        <f>IFERROR(VLOOKUP(E235*1,Tabla[#All],8,0),0)</f>
        <v/>
      </c>
      <c r="T235" s="26">
        <f>S235*G235</f>
        <v/>
      </c>
      <c r="U235" s="26">
        <f>R235-T235</f>
        <v/>
      </c>
      <c r="V235" s="26">
        <f>U235-L235</f>
        <v/>
      </c>
    </row>
    <row r="236">
      <c r="A236" s="11" t="n">
        <v>46206</v>
      </c>
      <c r="B236" s="1" t="n">
        <v>20079</v>
      </c>
      <c r="C236" s="1" t="inlineStr">
        <is>
          <t>051</t>
        </is>
      </c>
      <c r="D236" s="1" t="inlineStr">
        <is>
          <t>234980</t>
        </is>
      </c>
      <c r="E236" s="1" t="inlineStr">
        <is>
          <t xml:space="preserve">33483123       </t>
        </is>
      </c>
      <c r="F236" s="5" t="inlineStr">
        <is>
          <t>NENUCO DISFRACES</t>
        </is>
      </c>
      <c r="G236" t="n">
        <v>1</v>
      </c>
      <c r="H236" s="7" t="n">
        <v>89.90000000000001</v>
      </c>
      <c r="I236" s="7" t="n">
        <v>0</v>
      </c>
      <c r="J236" s="7" t="n">
        <v>0</v>
      </c>
      <c r="K236" s="9" t="n">
        <v>0</v>
      </c>
      <c r="L236" s="10" t="n">
        <v>53.33</v>
      </c>
      <c r="M236" s="10" t="n">
        <v>1.43</v>
      </c>
      <c r="N236" t="inlineStr">
        <is>
          <t>1</t>
        </is>
      </c>
      <c r="O236" t="inlineStr">
        <is>
          <t>16</t>
        </is>
      </c>
      <c r="P236" t="inlineStr">
        <is>
          <t xml:space="preserve">70970   </t>
        </is>
      </c>
      <c r="Q236" s="26" t="n">
        <v>53.33</v>
      </c>
      <c r="R236" s="26">
        <f>Q236*G236</f>
        <v/>
      </c>
      <c r="S236" s="26">
        <f>IFERROR(VLOOKUP(E236*1,Tabla[#All],8,0),0)</f>
        <v/>
      </c>
      <c r="T236" s="26">
        <f>S236*G236</f>
        <v/>
      </c>
      <c r="U236" s="26">
        <f>R236-T236</f>
        <v/>
      </c>
      <c r="V236" s="26">
        <f>U236-L236</f>
        <v/>
      </c>
    </row>
    <row r="237">
      <c r="A237" s="11" t="n">
        <v>46206</v>
      </c>
      <c r="B237" s="1" t="n">
        <v>20080</v>
      </c>
      <c r="C237" s="1" t="inlineStr">
        <is>
          <t>012</t>
        </is>
      </c>
      <c r="D237" s="1" t="inlineStr">
        <is>
          <t xml:space="preserve">57765 </t>
        </is>
      </c>
      <c r="E237" s="1" t="inlineStr">
        <is>
          <t xml:space="preserve">32656416       </t>
        </is>
      </c>
      <c r="F237" s="5" t="inlineStr">
        <is>
          <t>EL PISO ES LAVA</t>
        </is>
      </c>
      <c r="G237" t="n">
        <v>1</v>
      </c>
      <c r="H237" s="7" t="n">
        <v>79.90000000000001</v>
      </c>
      <c r="I237" s="7" t="n">
        <v>45</v>
      </c>
      <c r="J237" s="7" t="n">
        <v>0</v>
      </c>
      <c r="K237" s="9" t="n">
        <v>45</v>
      </c>
      <c r="L237" s="10" t="n">
        <v>20.71</v>
      </c>
      <c r="M237" s="10" t="n">
        <v>1.43</v>
      </c>
      <c r="N237" t="inlineStr">
        <is>
          <t>1</t>
        </is>
      </c>
      <c r="O237" t="inlineStr">
        <is>
          <t>16</t>
        </is>
      </c>
      <c r="P237" t="inlineStr">
        <is>
          <t xml:space="preserve">79951   </t>
        </is>
      </c>
      <c r="Q237" s="26" t="n">
        <v>47.4</v>
      </c>
      <c r="R237" s="26">
        <f>Q237*G237</f>
        <v/>
      </c>
      <c r="S237" s="26">
        <f>IFERROR(VLOOKUP(E237*1,Tabla[#All],8,0),0)</f>
        <v/>
      </c>
      <c r="T237" s="26">
        <f>S237*G237</f>
        <v/>
      </c>
      <c r="U237" s="26">
        <f>R237-T237</f>
        <v/>
      </c>
      <c r="V237" s="26">
        <f>U237-L237</f>
        <v/>
      </c>
    </row>
    <row r="238">
      <c r="A238" s="11" t="n">
        <v>46206</v>
      </c>
      <c r="B238" s="1" t="n">
        <v>20080</v>
      </c>
      <c r="C238" s="1" t="inlineStr">
        <is>
          <t>012</t>
        </is>
      </c>
      <c r="D238" s="1" t="inlineStr">
        <is>
          <t xml:space="preserve">57765 </t>
        </is>
      </c>
      <c r="E238" s="1" t="inlineStr">
        <is>
          <t xml:space="preserve">32656417       </t>
        </is>
      </c>
      <c r="F238" s="5" t="inlineStr">
        <is>
          <t>NO DESPIERTES A PAPA</t>
        </is>
      </c>
      <c r="G238" t="n">
        <v>1</v>
      </c>
      <c r="H238" s="7" t="n">
        <v>89.90000000000001</v>
      </c>
      <c r="I238" s="7" t="n">
        <v>50</v>
      </c>
      <c r="J238" s="7" t="n">
        <v>0</v>
      </c>
      <c r="K238" s="9" t="n">
        <v>50</v>
      </c>
      <c r="L238" s="10" t="n">
        <v>23.67</v>
      </c>
      <c r="M238" s="10" t="n">
        <v>1.43</v>
      </c>
      <c r="N238" t="inlineStr">
        <is>
          <t>1</t>
        </is>
      </c>
      <c r="O238" t="inlineStr">
        <is>
          <t>16</t>
        </is>
      </c>
      <c r="P238" t="inlineStr">
        <is>
          <t xml:space="preserve">79951   </t>
        </is>
      </c>
      <c r="Q238" s="26" t="n">
        <v>53.33</v>
      </c>
      <c r="R238" s="26">
        <f>Q238*G238</f>
        <v/>
      </c>
      <c r="S238" s="26">
        <f>IFERROR(VLOOKUP(E238*1,Tabla[#All],8,0),0)</f>
        <v/>
      </c>
      <c r="T238" s="26">
        <f>S238*G238</f>
        <v/>
      </c>
      <c r="U238" s="26">
        <f>R238-T238</f>
        <v/>
      </c>
      <c r="V238" s="26">
        <f>U238-L238</f>
        <v/>
      </c>
    </row>
    <row r="239">
      <c r="A239" s="11" t="n">
        <v>46206</v>
      </c>
      <c r="B239" s="1" t="n">
        <v>20080</v>
      </c>
      <c r="C239" s="1" t="inlineStr">
        <is>
          <t>026</t>
        </is>
      </c>
      <c r="D239" s="1" t="inlineStr">
        <is>
          <t>208553</t>
        </is>
      </c>
      <c r="E239" s="1" t="inlineStr">
        <is>
          <t xml:space="preserve">30141768       </t>
        </is>
      </c>
      <c r="F239" s="5" t="inlineStr">
        <is>
          <t>TMZ BEAST MACHINES AUTOS DE METAL PACK 10 AUTOS</t>
        </is>
      </c>
      <c r="G239" t="n">
        <v>1</v>
      </c>
      <c r="H239" s="7" t="n">
        <v>79</v>
      </c>
      <c r="I239" s="7" t="n">
        <v>0</v>
      </c>
      <c r="J239" s="7" t="n">
        <v>0</v>
      </c>
      <c r="K239" s="9" t="n">
        <v>0</v>
      </c>
      <c r="L239" s="10" t="n">
        <v>46.87</v>
      </c>
      <c r="M239" s="10" t="n">
        <v>1.43</v>
      </c>
      <c r="N239" t="inlineStr">
        <is>
          <t>1</t>
        </is>
      </c>
      <c r="O239" t="inlineStr">
        <is>
          <t>16</t>
        </is>
      </c>
      <c r="P239" t="inlineStr">
        <is>
          <t xml:space="preserve">66628   </t>
        </is>
      </c>
      <c r="Q239" s="26" t="n">
        <v>46.86</v>
      </c>
      <c r="R239" s="26">
        <f>Q239*G239</f>
        <v/>
      </c>
      <c r="S239" s="26">
        <f>IFERROR(VLOOKUP(E239*1,Tabla[#All],8,0),0)</f>
        <v/>
      </c>
      <c r="T239" s="26">
        <f>S239*G239</f>
        <v/>
      </c>
      <c r="U239" s="26">
        <f>R239-T239</f>
        <v/>
      </c>
      <c r="V239" s="26">
        <f>U239-L239</f>
        <v/>
      </c>
    </row>
    <row r="240">
      <c r="A240" s="11" t="n">
        <v>46206</v>
      </c>
      <c r="B240" s="1" t="n">
        <v>20080</v>
      </c>
      <c r="C240" s="1" t="inlineStr">
        <is>
          <t>026</t>
        </is>
      </c>
      <c r="D240" s="1" t="inlineStr">
        <is>
          <t>208553</t>
        </is>
      </c>
      <c r="E240" s="1" t="inlineStr">
        <is>
          <t xml:space="preserve">32457104       </t>
        </is>
      </c>
      <c r="F240" s="5" t="inlineStr">
        <is>
          <t>TMZ BEAST MACHINES PLAYSET DESASTRE REPTIL + 1 AUT</t>
        </is>
      </c>
      <c r="G240" t="n">
        <v>1</v>
      </c>
      <c r="H240" s="7" t="n">
        <v>69.90000000000001</v>
      </c>
      <c r="I240" s="7" t="n">
        <v>0</v>
      </c>
      <c r="J240" s="7" t="n">
        <v>0</v>
      </c>
      <c r="K240" s="9" t="n">
        <v>0</v>
      </c>
      <c r="L240" s="10" t="n">
        <v>41.47</v>
      </c>
      <c r="M240" s="10" t="n">
        <v>1.43</v>
      </c>
      <c r="N240" t="inlineStr">
        <is>
          <t>1</t>
        </is>
      </c>
      <c r="O240" t="inlineStr">
        <is>
          <t>16</t>
        </is>
      </c>
      <c r="P240" t="inlineStr">
        <is>
          <t xml:space="preserve">66628   </t>
        </is>
      </c>
      <c r="Q240" s="26" t="n">
        <v>41.47</v>
      </c>
      <c r="R240" s="26">
        <f>Q240*G240</f>
        <v/>
      </c>
      <c r="S240" s="26">
        <f>IFERROR(VLOOKUP(E240*1,Tabla[#All],8,0),0)</f>
        <v/>
      </c>
      <c r="T240" s="26">
        <f>S240*G240</f>
        <v/>
      </c>
      <c r="U240" s="26">
        <f>R240-T240</f>
        <v/>
      </c>
      <c r="V240" s="26">
        <f>U240-L240</f>
        <v/>
      </c>
    </row>
    <row r="241">
      <c r="A241" s="11" t="n">
        <v>46206</v>
      </c>
      <c r="B241" s="1" t="n">
        <v>20080</v>
      </c>
      <c r="C241" s="1" t="inlineStr">
        <is>
          <t>026</t>
        </is>
      </c>
      <c r="D241" s="1" t="inlineStr">
        <is>
          <t>208574</t>
        </is>
      </c>
      <c r="E241" s="1" t="inlineStr">
        <is>
          <t xml:space="preserve">28194780       </t>
        </is>
      </c>
      <c r="F241" s="5" t="inlineStr">
        <is>
          <t>TROMPO BATALLA INFINITY NADO PLSTICO SURTIDO</t>
        </is>
      </c>
      <c r="G241" t="n">
        <v>1</v>
      </c>
      <c r="H241" s="7" t="n">
        <v>19.9</v>
      </c>
      <c r="I241" s="7" t="n">
        <v>0</v>
      </c>
      <c r="J241" s="7" t="n">
        <v>0</v>
      </c>
      <c r="K241" s="9" t="n">
        <v>0</v>
      </c>
      <c r="L241" s="10" t="n">
        <v>11.8</v>
      </c>
      <c r="M241" s="10" t="n">
        <v>1.43</v>
      </c>
      <c r="N241" t="inlineStr">
        <is>
          <t>1</t>
        </is>
      </c>
      <c r="O241" t="inlineStr">
        <is>
          <t>16</t>
        </is>
      </c>
      <c r="P241" t="inlineStr">
        <is>
          <t xml:space="preserve">66628   </t>
        </is>
      </c>
      <c r="Q241" s="26" t="n">
        <v>11.81</v>
      </c>
      <c r="R241" s="26">
        <f>Q241*G241</f>
        <v/>
      </c>
      <c r="S241" s="26">
        <f>IFERROR(VLOOKUP(E241*1,Tabla[#All],8,0),0)</f>
        <v/>
      </c>
      <c r="T241" s="26">
        <f>S241*G241</f>
        <v/>
      </c>
      <c r="U241" s="26">
        <f>R241-T241</f>
        <v/>
      </c>
      <c r="V241" s="26">
        <f>U241-L241</f>
        <v/>
      </c>
    </row>
    <row r="242">
      <c r="A242" s="11" t="n">
        <v>46206</v>
      </c>
      <c r="B242" s="1" t="n">
        <v>20080</v>
      </c>
      <c r="C242" s="1" t="inlineStr">
        <is>
          <t>026</t>
        </is>
      </c>
      <c r="D242" s="1" t="inlineStr">
        <is>
          <t>208574</t>
        </is>
      </c>
      <c r="E242" s="1" t="inlineStr">
        <is>
          <t xml:space="preserve">30232284       </t>
        </is>
      </c>
      <c r="F242" s="5" t="inlineStr">
        <is>
          <t>INFINITY NADO TROMPO DE BATALLA - METAL C/PUNTA DE</t>
        </is>
      </c>
      <c r="G242" t="n">
        <v>1</v>
      </c>
      <c r="H242" s="7" t="n">
        <v>49.9</v>
      </c>
      <c r="I242" s="7" t="n">
        <v>0</v>
      </c>
      <c r="J242" s="7" t="n">
        <v>0</v>
      </c>
      <c r="K242" s="9" t="n">
        <v>0</v>
      </c>
      <c r="L242" s="10" t="n">
        <v>29.6</v>
      </c>
      <c r="M242" s="10" t="n">
        <v>1.43</v>
      </c>
      <c r="N242" t="inlineStr">
        <is>
          <t>1</t>
        </is>
      </c>
      <c r="O242" t="inlineStr">
        <is>
          <t>16</t>
        </is>
      </c>
      <c r="P242" t="inlineStr">
        <is>
          <t xml:space="preserve">66628   </t>
        </is>
      </c>
      <c r="Q242" s="26" t="n">
        <v>29.6</v>
      </c>
      <c r="R242" s="26">
        <f>Q242*G242</f>
        <v/>
      </c>
      <c r="S242" s="26">
        <f>IFERROR(VLOOKUP(E242*1,Tabla[#All],8,0),0)</f>
        <v/>
      </c>
      <c r="T242" s="26">
        <f>S242*G242</f>
        <v/>
      </c>
      <c r="U242" s="26">
        <f>R242-T242</f>
        <v/>
      </c>
      <c r="V242" s="26">
        <f>U242-L242</f>
        <v/>
      </c>
    </row>
    <row r="243">
      <c r="A243" s="11" t="n">
        <v>46206</v>
      </c>
      <c r="B243" s="1" t="n">
        <v>20080</v>
      </c>
      <c r="C243" s="1" t="inlineStr">
        <is>
          <t>029</t>
        </is>
      </c>
      <c r="D243" s="1" t="inlineStr">
        <is>
          <t>224560</t>
        </is>
      </c>
      <c r="E243" s="1" t="inlineStr">
        <is>
          <t xml:space="preserve">28194770       </t>
        </is>
      </c>
      <c r="F243" s="5" t="inlineStr">
        <is>
          <t>AUTOS DE METAL 3 TEAMSTERZ EN BLISTER</t>
        </is>
      </c>
      <c r="G243" t="n">
        <v>1</v>
      </c>
      <c r="H243" s="7" t="n">
        <v>6.9</v>
      </c>
      <c r="I243" s="7" t="n">
        <v>0</v>
      </c>
      <c r="J243" s="7" t="n">
        <v>0</v>
      </c>
      <c r="K243" s="9" t="n">
        <v>0</v>
      </c>
      <c r="L243" s="10" t="n">
        <v>4.1</v>
      </c>
      <c r="M243" s="10" t="n">
        <v>1.43</v>
      </c>
      <c r="N243" t="inlineStr">
        <is>
          <t>1</t>
        </is>
      </c>
      <c r="O243" t="inlineStr">
        <is>
          <t xml:space="preserve">3 </t>
        </is>
      </c>
      <c r="P243" t="inlineStr">
        <is>
          <t xml:space="preserve">251454  </t>
        </is>
      </c>
      <c r="Q243" s="26" t="n">
        <v>4.09</v>
      </c>
      <c r="R243" s="26">
        <f>Q243*G243</f>
        <v/>
      </c>
      <c r="S243" s="26">
        <f>IFERROR(VLOOKUP(E243*1,Tabla[#All],8,0),0)</f>
        <v/>
      </c>
      <c r="T243" s="26">
        <f>S243*G243</f>
        <v/>
      </c>
      <c r="U243" s="26">
        <f>R243-T243</f>
        <v/>
      </c>
      <c r="V243" s="26">
        <f>U243-L243</f>
        <v/>
      </c>
    </row>
    <row r="244">
      <c r="A244" s="11" t="n">
        <v>46206</v>
      </c>
      <c r="B244" s="1" t="n">
        <v>20080</v>
      </c>
      <c r="C244" s="1" t="inlineStr">
        <is>
          <t>029</t>
        </is>
      </c>
      <c r="D244" s="1" t="inlineStr">
        <is>
          <t>224561</t>
        </is>
      </c>
      <c r="E244" s="1" t="inlineStr">
        <is>
          <t xml:space="preserve">32457099       </t>
        </is>
      </c>
      <c r="F244" s="5" t="inlineStr">
        <is>
          <t>TMZ BEAST MACHINES MONSTER JAWS A FRICCION BLISTER</t>
        </is>
      </c>
      <c r="G244" t="n">
        <v>1</v>
      </c>
      <c r="H244" s="7" t="n">
        <v>19.9</v>
      </c>
      <c r="I244" s="7" t="n">
        <v>0</v>
      </c>
      <c r="J244" s="7" t="n">
        <v>0</v>
      </c>
      <c r="K244" s="9" t="n">
        <v>0</v>
      </c>
      <c r="L244" s="10" t="n">
        <v>11.8</v>
      </c>
      <c r="M244" s="10" t="n">
        <v>1.43</v>
      </c>
      <c r="N244" t="inlineStr">
        <is>
          <t>1</t>
        </is>
      </c>
      <c r="O244" t="inlineStr">
        <is>
          <t>16</t>
        </is>
      </c>
      <c r="P244" t="inlineStr">
        <is>
          <t xml:space="preserve">251454  </t>
        </is>
      </c>
      <c r="Q244" s="26" t="n">
        <v>11.81</v>
      </c>
      <c r="R244" s="26">
        <f>Q244*G244</f>
        <v/>
      </c>
      <c r="S244" s="26">
        <f>IFERROR(VLOOKUP(E244*1,Tabla[#All],8,0),0)</f>
        <v/>
      </c>
      <c r="T244" s="26">
        <f>S244*G244</f>
        <v/>
      </c>
      <c r="U244" s="26">
        <f>R244-T244</f>
        <v/>
      </c>
      <c r="V244" s="26">
        <f>U244-L244</f>
        <v/>
      </c>
    </row>
    <row r="245">
      <c r="A245" s="11" t="n">
        <v>46206</v>
      </c>
      <c r="B245" s="1" t="n">
        <v>20086</v>
      </c>
      <c r="C245" s="1" t="inlineStr">
        <is>
          <t>192</t>
        </is>
      </c>
      <c r="D245" s="1" t="inlineStr">
        <is>
          <t>128831</t>
        </is>
      </c>
      <c r="E245" s="1" t="inlineStr">
        <is>
          <t xml:space="preserve">28194769       </t>
        </is>
      </c>
      <c r="F245" s="5" t="inlineStr">
        <is>
          <t>AUTOS DE METAL 3 TEAMSTERZ PACK DE 2</t>
        </is>
      </c>
      <c r="G245" t="n">
        <v>1</v>
      </c>
      <c r="H245" s="7" t="n">
        <v>13.8</v>
      </c>
      <c r="I245" s="7" t="n">
        <v>0</v>
      </c>
      <c r="J245" s="7" t="n">
        <v>0</v>
      </c>
      <c r="K245" s="9" t="n">
        <v>0</v>
      </c>
      <c r="L245" s="10" t="n">
        <v>8.18</v>
      </c>
      <c r="M245" s="10" t="n">
        <v>1.43</v>
      </c>
      <c r="N245" t="inlineStr">
        <is>
          <t>1</t>
        </is>
      </c>
      <c r="O245" t="inlineStr">
        <is>
          <t xml:space="preserve">2 </t>
        </is>
      </c>
      <c r="P245" t="inlineStr">
        <is>
          <t xml:space="preserve">95768   </t>
        </is>
      </c>
      <c r="Q245" s="26" t="n">
        <v>8.19</v>
      </c>
      <c r="R245" s="26">
        <f>Q245*G245</f>
        <v/>
      </c>
      <c r="S245" s="26">
        <f>IFERROR(VLOOKUP(E245*1,Tabla[#All],8,0),0)</f>
        <v/>
      </c>
      <c r="T245" s="26">
        <f>S245*G245</f>
        <v/>
      </c>
      <c r="U245" s="26">
        <f>R245-T245</f>
        <v/>
      </c>
      <c r="V245" s="26">
        <f>U245-L245</f>
        <v/>
      </c>
    </row>
    <row r="246">
      <c r="A246" s="11" t="n">
        <v>46206</v>
      </c>
      <c r="B246" s="1" t="n">
        <v>20086</v>
      </c>
      <c r="C246" s="1" t="inlineStr">
        <is>
          <t>501</t>
        </is>
      </c>
      <c r="D246" s="1" t="inlineStr">
        <is>
          <t xml:space="preserve">4606  </t>
        </is>
      </c>
      <c r="E246" s="1" t="inlineStr">
        <is>
          <t xml:space="preserve">28194769       </t>
        </is>
      </c>
      <c r="F246" s="5" t="inlineStr">
        <is>
          <t>AUTOS DE METAL 3 TEAMSTERZ PACK DE 2</t>
        </is>
      </c>
      <c r="G246" t="n">
        <v>1</v>
      </c>
      <c r="H246" s="7" t="n">
        <v>13.8</v>
      </c>
      <c r="I246" s="7" t="n">
        <v>0</v>
      </c>
      <c r="J246" s="7" t="n">
        <v>0</v>
      </c>
      <c r="K246" s="9" t="n">
        <v>0</v>
      </c>
      <c r="L246" s="10" t="n">
        <v>8.18</v>
      </c>
      <c r="M246" s="10" t="n">
        <v>1.43</v>
      </c>
      <c r="N246" t="inlineStr">
        <is>
          <t>1</t>
        </is>
      </c>
      <c r="O246" t="inlineStr">
        <is>
          <t>16</t>
        </is>
      </c>
      <c r="P246" t="inlineStr">
        <is>
          <t xml:space="preserve">239143  </t>
        </is>
      </c>
      <c r="Q246" s="26" t="n">
        <v>8.19</v>
      </c>
      <c r="R246" s="26">
        <f>Q246*G246</f>
        <v/>
      </c>
      <c r="S246" s="26">
        <f>IFERROR(VLOOKUP(E246*1,Tabla[#All],8,0),0)</f>
        <v/>
      </c>
      <c r="T246" s="26">
        <f>S246*G246</f>
        <v/>
      </c>
      <c r="U246" s="26">
        <f>R246-T246</f>
        <v/>
      </c>
      <c r="V246" s="26">
        <f>U246-L246</f>
        <v/>
      </c>
    </row>
    <row r="247">
      <c r="A247" s="11" t="n">
        <v>46206</v>
      </c>
      <c r="B247" s="1" t="n">
        <v>20088</v>
      </c>
      <c r="C247" s="1" t="inlineStr">
        <is>
          <t>013</t>
        </is>
      </c>
      <c r="D247" s="1" t="inlineStr">
        <is>
          <t xml:space="preserve">40725 </t>
        </is>
      </c>
      <c r="E247" s="1" t="inlineStr">
        <is>
          <t xml:space="preserve">29235706       </t>
        </is>
      </c>
      <c r="F247" s="5" t="inlineStr">
        <is>
          <t>TEAMSTERZ CAMION PARA GUARDAR 12 AUTOS INCL 4 AUTO</t>
        </is>
      </c>
      <c r="G247" t="n">
        <v>1</v>
      </c>
      <c r="H247" s="7" t="n">
        <v>59.9</v>
      </c>
      <c r="I247" s="7" t="n">
        <v>0</v>
      </c>
      <c r="J247" s="7" t="n">
        <v>0</v>
      </c>
      <c r="K247" s="9" t="n">
        <v>0</v>
      </c>
      <c r="L247" s="10" t="n">
        <v>35.53</v>
      </c>
      <c r="M247" s="10" t="n">
        <v>1.43</v>
      </c>
      <c r="N247" t="inlineStr">
        <is>
          <t>1</t>
        </is>
      </c>
      <c r="O247" t="inlineStr">
        <is>
          <t xml:space="preserve">2 </t>
        </is>
      </c>
      <c r="P247" t="inlineStr">
        <is>
          <t xml:space="preserve">234665  </t>
        </is>
      </c>
      <c r="Q247" s="26" t="n">
        <v>35.53</v>
      </c>
      <c r="R247" s="26">
        <f>Q247*G247</f>
        <v/>
      </c>
      <c r="S247" s="26">
        <f>IFERROR(VLOOKUP(E247*1,Tabla[#All],8,0),0)</f>
        <v/>
      </c>
      <c r="T247" s="26">
        <f>S247*G247</f>
        <v/>
      </c>
      <c r="U247" s="26">
        <f>R247-T247</f>
        <v/>
      </c>
      <c r="V247" s="26">
        <f>U247-L247</f>
        <v/>
      </c>
    </row>
    <row r="248">
      <c r="A248" s="11" t="n">
        <v>46206</v>
      </c>
      <c r="B248" s="1" t="n">
        <v>20088</v>
      </c>
      <c r="C248" s="1" t="inlineStr">
        <is>
          <t>028</t>
        </is>
      </c>
      <c r="D248" s="1" t="inlineStr">
        <is>
          <t xml:space="preserve">55407 </t>
        </is>
      </c>
      <c r="E248" s="1" t="inlineStr">
        <is>
          <t xml:space="preserve">28194768       </t>
        </is>
      </c>
      <c r="F248" s="5" t="inlineStr">
        <is>
          <t>AUTO COLOR CHANGE TEAMSTERZ SURTIDO</t>
        </is>
      </c>
      <c r="G248" t="n">
        <v>1</v>
      </c>
      <c r="H248" s="7" t="n">
        <v>14.9</v>
      </c>
      <c r="I248" s="7" t="n">
        <v>0</v>
      </c>
      <c r="J248" s="7" t="n">
        <v>0</v>
      </c>
      <c r="K248" s="9" t="n">
        <v>0</v>
      </c>
      <c r="L248" s="10" t="n">
        <v>8.84</v>
      </c>
      <c r="M248" s="10" t="n">
        <v>1.43</v>
      </c>
      <c r="N248" t="inlineStr">
        <is>
          <t>1</t>
        </is>
      </c>
      <c r="O248" t="inlineStr">
        <is>
          <t xml:space="preserve">3 </t>
        </is>
      </c>
      <c r="P248" t="inlineStr">
        <is>
          <t xml:space="preserve">242181  </t>
        </is>
      </c>
      <c r="Q248" s="26" t="n">
        <v>8.84</v>
      </c>
      <c r="R248" s="26">
        <f>Q248*G248</f>
        <v/>
      </c>
      <c r="S248" s="26">
        <f>IFERROR(VLOOKUP(E248*1,Tabla[#All],8,0),0)</f>
        <v/>
      </c>
      <c r="T248" s="26">
        <f>S248*G248</f>
        <v/>
      </c>
      <c r="U248" s="26">
        <f>R248-T248</f>
        <v/>
      </c>
      <c r="V248" s="26">
        <f>U248-L248</f>
        <v/>
      </c>
    </row>
    <row r="249">
      <c r="A249" s="11" t="n">
        <v>46206</v>
      </c>
      <c r="B249" s="1" t="n">
        <v>20088</v>
      </c>
      <c r="C249" s="1" t="inlineStr">
        <is>
          <t>028</t>
        </is>
      </c>
      <c r="D249" s="1" t="inlineStr">
        <is>
          <t xml:space="preserve">55407 </t>
        </is>
      </c>
      <c r="E249" s="1" t="inlineStr">
        <is>
          <t xml:space="preserve">28194768       </t>
        </is>
      </c>
      <c r="F249" s="5" t="inlineStr">
        <is>
          <t>AUTO COLOR CHANGE TEAMSTERZ SURTIDO</t>
        </is>
      </c>
      <c r="G249" t="n">
        <v>1</v>
      </c>
      <c r="H249" s="7" t="n">
        <v>14.9</v>
      </c>
      <c r="I249" s="7" t="n">
        <v>0</v>
      </c>
      <c r="J249" s="7" t="n">
        <v>0</v>
      </c>
      <c r="K249" s="9" t="n">
        <v>0</v>
      </c>
      <c r="L249" s="10" t="n">
        <v>8.84</v>
      </c>
      <c r="M249" s="10" t="n">
        <v>1.43</v>
      </c>
      <c r="N249" t="inlineStr">
        <is>
          <t>1</t>
        </is>
      </c>
      <c r="O249" t="inlineStr">
        <is>
          <t xml:space="preserve">3 </t>
        </is>
      </c>
      <c r="P249" t="inlineStr">
        <is>
          <t xml:space="preserve">242181  </t>
        </is>
      </c>
      <c r="Q249" s="26" t="n">
        <v>8.84</v>
      </c>
      <c r="R249" s="26">
        <f>Q249*G249</f>
        <v/>
      </c>
      <c r="S249" s="26">
        <f>IFERROR(VLOOKUP(E249*1,Tabla[#All],8,0),0)</f>
        <v/>
      </c>
      <c r="T249" s="26">
        <f>S249*G249</f>
        <v/>
      </c>
      <c r="U249" s="26">
        <f>R249-T249</f>
        <v/>
      </c>
      <c r="V249" s="26">
        <f>U249-L249</f>
        <v/>
      </c>
    </row>
    <row r="250">
      <c r="A250" s="11" t="n">
        <v>46206</v>
      </c>
      <c r="B250" s="1" t="n">
        <v>20088</v>
      </c>
      <c r="C250" s="1" t="inlineStr">
        <is>
          <t>034</t>
        </is>
      </c>
      <c r="D250" s="1" t="inlineStr">
        <is>
          <t xml:space="preserve">15472 </t>
        </is>
      </c>
      <c r="E250" s="1" t="inlineStr">
        <is>
          <t xml:space="preserve">28194768       </t>
        </is>
      </c>
      <c r="F250" s="5" t="inlineStr">
        <is>
          <t>AUTO COLOR CHANGE TEAMSTERZ SURTIDO</t>
        </is>
      </c>
      <c r="G250" t="n">
        <v>1</v>
      </c>
      <c r="H250" s="7" t="n">
        <v>14.9</v>
      </c>
      <c r="I250" s="7" t="n">
        <v>0</v>
      </c>
      <c r="J250" s="7" t="n">
        <v>0</v>
      </c>
      <c r="K250" s="9" t="n">
        <v>0</v>
      </c>
      <c r="L250" s="10" t="n">
        <v>8.84</v>
      </c>
      <c r="M250" s="10" t="n">
        <v>1.43</v>
      </c>
      <c r="N250" t="inlineStr">
        <is>
          <t>1</t>
        </is>
      </c>
      <c r="O250" t="inlineStr">
        <is>
          <t>16</t>
        </is>
      </c>
      <c r="P250" t="inlineStr">
        <is>
          <t xml:space="preserve">90566   </t>
        </is>
      </c>
      <c r="Q250" s="26" t="n">
        <v>8.84</v>
      </c>
      <c r="R250" s="26">
        <f>Q250*G250</f>
        <v/>
      </c>
      <c r="S250" s="26">
        <f>IFERROR(VLOOKUP(E250*1,Tabla[#All],8,0),0)</f>
        <v/>
      </c>
      <c r="T250" s="26">
        <f>S250*G250</f>
        <v/>
      </c>
      <c r="U250" s="26">
        <f>R250-T250</f>
        <v/>
      </c>
      <c r="V250" s="26">
        <f>U250-L250</f>
        <v/>
      </c>
    </row>
    <row r="251">
      <c r="A251" s="11" t="n">
        <v>46206</v>
      </c>
      <c r="B251" s="1" t="n">
        <v>20089</v>
      </c>
      <c r="C251" s="1" t="inlineStr">
        <is>
          <t>025</t>
        </is>
      </c>
      <c r="D251" s="1" t="inlineStr">
        <is>
          <t>121075</t>
        </is>
      </c>
      <c r="E251" s="1" t="inlineStr">
        <is>
          <t xml:space="preserve">28194770       </t>
        </is>
      </c>
      <c r="F251" s="5" t="inlineStr">
        <is>
          <t>AUTOS DE METAL 3 TEAMSTERZ EN BLISTER</t>
        </is>
      </c>
      <c r="G251" t="n">
        <v>1</v>
      </c>
      <c r="H251" s="7" t="n">
        <v>6.9</v>
      </c>
      <c r="I251" s="7" t="n">
        <v>0</v>
      </c>
      <c r="J251" s="7" t="n">
        <v>0</v>
      </c>
      <c r="K251" s="9" t="n">
        <v>0</v>
      </c>
      <c r="L251" s="10" t="n">
        <v>4.1</v>
      </c>
      <c r="M251" s="10" t="n">
        <v>1.43</v>
      </c>
      <c r="N251" t="inlineStr">
        <is>
          <t>1</t>
        </is>
      </c>
      <c r="O251" t="inlineStr">
        <is>
          <t>16</t>
        </is>
      </c>
      <c r="P251" t="inlineStr">
        <is>
          <t xml:space="preserve">82992   </t>
        </is>
      </c>
      <c r="Q251" s="26" t="n">
        <v>4.09</v>
      </c>
      <c r="R251" s="26">
        <f>Q251*G251</f>
        <v/>
      </c>
      <c r="S251" s="26">
        <f>IFERROR(VLOOKUP(E251*1,Tabla[#All],8,0),0)</f>
        <v/>
      </c>
      <c r="T251" s="26">
        <f>S251*G251</f>
        <v/>
      </c>
      <c r="U251" s="26">
        <f>R251-T251</f>
        <v/>
      </c>
      <c r="V251" s="26">
        <f>U251-L251</f>
        <v/>
      </c>
    </row>
    <row r="252">
      <c r="A252" s="11" t="n">
        <v>46206</v>
      </c>
      <c r="B252" s="1" t="n">
        <v>20089</v>
      </c>
      <c r="C252" s="1" t="inlineStr">
        <is>
          <t>025</t>
        </is>
      </c>
      <c r="D252" s="1" t="inlineStr">
        <is>
          <t>121092</t>
        </is>
      </c>
      <c r="E252" s="1" t="inlineStr">
        <is>
          <t xml:space="preserve">28194768       </t>
        </is>
      </c>
      <c r="F252" s="5" t="inlineStr">
        <is>
          <t>AUTO COLOR CHANGE TEAMSTERZ SURTIDO</t>
        </is>
      </c>
      <c r="G252" t="n">
        <v>1</v>
      </c>
      <c r="H252" s="7" t="n">
        <v>14.9</v>
      </c>
      <c r="I252" s="7" t="n">
        <v>0</v>
      </c>
      <c r="J252" s="7" t="n">
        <v>0</v>
      </c>
      <c r="K252" s="9" t="n">
        <v>0</v>
      </c>
      <c r="L252" s="10" t="n">
        <v>8.84</v>
      </c>
      <c r="M252" s="10" t="n">
        <v>1.43</v>
      </c>
      <c r="N252" t="inlineStr">
        <is>
          <t>1</t>
        </is>
      </c>
      <c r="O252" t="inlineStr">
        <is>
          <t>16</t>
        </is>
      </c>
      <c r="P252" t="inlineStr">
        <is>
          <t xml:space="preserve">82992   </t>
        </is>
      </c>
      <c r="Q252" s="26" t="n">
        <v>8.84</v>
      </c>
      <c r="R252" s="26">
        <f>Q252*G252</f>
        <v/>
      </c>
      <c r="S252" s="26">
        <f>IFERROR(VLOOKUP(E252*1,Tabla[#All],8,0),0)</f>
        <v/>
      </c>
      <c r="T252" s="26">
        <f>S252*G252</f>
        <v/>
      </c>
      <c r="U252" s="26">
        <f>R252-T252</f>
        <v/>
      </c>
      <c r="V252" s="26">
        <f>U252-L252</f>
        <v/>
      </c>
    </row>
    <row r="253">
      <c r="A253" s="11" t="n">
        <v>46206</v>
      </c>
      <c r="B253" s="1" t="n">
        <v>20089</v>
      </c>
      <c r="C253" s="1" t="inlineStr">
        <is>
          <t>026</t>
        </is>
      </c>
      <c r="D253" s="1" t="inlineStr">
        <is>
          <t xml:space="preserve">87174 </t>
        </is>
      </c>
      <c r="E253" s="1" t="inlineStr">
        <is>
          <t xml:space="preserve">30141766       </t>
        </is>
      </c>
      <c r="F253" s="5" t="inlineStr">
        <is>
          <t>TMZ BEAST MACHINES AUTOS DE METAL BLISTER X 1</t>
        </is>
      </c>
      <c r="G253" t="n">
        <v>1</v>
      </c>
      <c r="H253" s="7" t="n">
        <v>7.9</v>
      </c>
      <c r="I253" s="7" t="n">
        <v>0</v>
      </c>
      <c r="J253" s="7" t="n">
        <v>0</v>
      </c>
      <c r="K253" s="9" t="n">
        <v>0</v>
      </c>
      <c r="L253" s="10" t="n">
        <v>4.68</v>
      </c>
      <c r="M253" s="10" t="n">
        <v>1.43</v>
      </c>
      <c r="N253" t="inlineStr">
        <is>
          <t>1</t>
        </is>
      </c>
      <c r="O253" t="inlineStr">
        <is>
          <t xml:space="preserve">2 </t>
        </is>
      </c>
      <c r="P253" t="inlineStr">
        <is>
          <t xml:space="preserve">232968  </t>
        </is>
      </c>
      <c r="Q253" s="26" t="n">
        <v>4.69</v>
      </c>
      <c r="R253" s="26">
        <f>Q253*G253</f>
        <v/>
      </c>
      <c r="S253" s="26">
        <f>IFERROR(VLOOKUP(E253*1,Tabla[#All],8,0),0)</f>
        <v/>
      </c>
      <c r="T253" s="26">
        <f>S253*G253</f>
        <v/>
      </c>
      <c r="U253" s="26">
        <f>R253-T253</f>
        <v/>
      </c>
      <c r="V253" s="26">
        <f>U253-L253</f>
        <v/>
      </c>
    </row>
    <row r="254">
      <c r="A254" s="11" t="n">
        <v>46206</v>
      </c>
      <c r="B254" s="1" t="n">
        <v>20089</v>
      </c>
      <c r="C254" s="1" t="inlineStr">
        <is>
          <t>026</t>
        </is>
      </c>
      <c r="D254" s="1" t="inlineStr">
        <is>
          <t xml:space="preserve">87196 </t>
        </is>
      </c>
      <c r="E254" s="1" t="inlineStr">
        <is>
          <t xml:space="preserve">28194769       </t>
        </is>
      </c>
      <c r="F254" s="5" t="inlineStr">
        <is>
          <t>AUTOS DE METAL 3 TEAMSTERZ PACK DE 2</t>
        </is>
      </c>
      <c r="G254" t="n">
        <v>1</v>
      </c>
      <c r="H254" s="7" t="n">
        <v>13.8</v>
      </c>
      <c r="I254" s="7" t="n">
        <v>0</v>
      </c>
      <c r="J254" s="7" t="n">
        <v>0</v>
      </c>
      <c r="K254" s="9" t="n">
        <v>0</v>
      </c>
      <c r="L254" s="10" t="n">
        <v>8.18</v>
      </c>
      <c r="M254" s="10" t="n">
        <v>1.43</v>
      </c>
      <c r="N254" t="inlineStr">
        <is>
          <t>1</t>
        </is>
      </c>
      <c r="O254" t="inlineStr">
        <is>
          <t xml:space="preserve">2 </t>
        </is>
      </c>
      <c r="P254" t="inlineStr">
        <is>
          <t xml:space="preserve">232968  </t>
        </is>
      </c>
      <c r="Q254" s="26" t="n">
        <v>8.19</v>
      </c>
      <c r="R254" s="26">
        <f>Q254*G254</f>
        <v/>
      </c>
      <c r="S254" s="26">
        <f>IFERROR(VLOOKUP(E254*1,Tabla[#All],8,0),0)</f>
        <v/>
      </c>
      <c r="T254" s="26">
        <f>S254*G254</f>
        <v/>
      </c>
      <c r="U254" s="26">
        <f>R254-T254</f>
        <v/>
      </c>
      <c r="V254" s="26">
        <f>U254-L254</f>
        <v/>
      </c>
    </row>
    <row r="255">
      <c r="A255" s="11" t="n">
        <v>46206</v>
      </c>
      <c r="B255" s="1" t="n">
        <v>20089</v>
      </c>
      <c r="C255" s="1" t="inlineStr">
        <is>
          <t>026</t>
        </is>
      </c>
      <c r="D255" s="1" t="inlineStr">
        <is>
          <t xml:space="preserve">87196 </t>
        </is>
      </c>
      <c r="E255" s="1" t="inlineStr">
        <is>
          <t xml:space="preserve">28194769       </t>
        </is>
      </c>
      <c r="F255" s="5" t="inlineStr">
        <is>
          <t>AUTOS DE METAL 3 TEAMSTERZ PACK DE 2</t>
        </is>
      </c>
      <c r="G255" t="n">
        <v>1</v>
      </c>
      <c r="H255" s="7" t="n">
        <v>13.8</v>
      </c>
      <c r="I255" s="7" t="n">
        <v>0</v>
      </c>
      <c r="J255" s="7" t="n">
        <v>0</v>
      </c>
      <c r="K255" s="9" t="n">
        <v>0</v>
      </c>
      <c r="L255" s="10" t="n">
        <v>8.18</v>
      </c>
      <c r="M255" s="10" t="n">
        <v>1.43</v>
      </c>
      <c r="N255" t="inlineStr">
        <is>
          <t>1</t>
        </is>
      </c>
      <c r="O255" t="inlineStr">
        <is>
          <t xml:space="preserve">2 </t>
        </is>
      </c>
      <c r="P255" t="inlineStr">
        <is>
          <t xml:space="preserve">232968  </t>
        </is>
      </c>
      <c r="Q255" s="26" t="n">
        <v>8.19</v>
      </c>
      <c r="R255" s="26">
        <f>Q255*G255</f>
        <v/>
      </c>
      <c r="S255" s="26">
        <f>IFERROR(VLOOKUP(E255*1,Tabla[#All],8,0),0)</f>
        <v/>
      </c>
      <c r="T255" s="26">
        <f>S255*G255</f>
        <v/>
      </c>
      <c r="U255" s="26">
        <f>R255-T255</f>
        <v/>
      </c>
      <c r="V255" s="26">
        <f>U255-L255</f>
        <v/>
      </c>
    </row>
    <row r="256">
      <c r="A256" s="11" t="n">
        <v>46206</v>
      </c>
      <c r="B256" s="1" t="n">
        <v>20089</v>
      </c>
      <c r="C256" s="1" t="inlineStr">
        <is>
          <t>027</t>
        </is>
      </c>
      <c r="D256" s="1" t="inlineStr">
        <is>
          <t xml:space="preserve">15535 </t>
        </is>
      </c>
      <c r="E256" s="1" t="inlineStr">
        <is>
          <t xml:space="preserve">30141766       </t>
        </is>
      </c>
      <c r="F256" s="5" t="inlineStr">
        <is>
          <t>TMZ BEAST MACHINES AUTOS DE METAL BLISTER X 1</t>
        </is>
      </c>
      <c r="G256" t="n">
        <v>1</v>
      </c>
      <c r="H256" s="7" t="n">
        <v>7.9</v>
      </c>
      <c r="I256" s="7" t="n">
        <v>0</v>
      </c>
      <c r="J256" s="7" t="n">
        <v>0</v>
      </c>
      <c r="K256" s="9" t="n">
        <v>0</v>
      </c>
      <c r="L256" s="10" t="n">
        <v>4.68</v>
      </c>
      <c r="M256" s="10" t="n">
        <v>1.43</v>
      </c>
      <c r="N256" t="inlineStr">
        <is>
          <t>1</t>
        </is>
      </c>
      <c r="O256" t="inlineStr">
        <is>
          <t>16</t>
        </is>
      </c>
      <c r="P256" t="inlineStr">
        <is>
          <t xml:space="preserve">251100  </t>
        </is>
      </c>
      <c r="Q256" s="26" t="n">
        <v>4.69</v>
      </c>
      <c r="R256" s="26">
        <f>Q256*G256</f>
        <v/>
      </c>
      <c r="S256" s="26">
        <f>IFERROR(VLOOKUP(E256*1,Tabla[#All],8,0),0)</f>
        <v/>
      </c>
      <c r="T256" s="26">
        <f>S256*G256</f>
        <v/>
      </c>
      <c r="U256" s="26">
        <f>R256-T256</f>
        <v/>
      </c>
      <c r="V256" s="26">
        <f>U256-L256</f>
        <v/>
      </c>
    </row>
    <row r="257">
      <c r="A257" s="11" t="n">
        <v>46206</v>
      </c>
      <c r="B257" s="1" t="n">
        <v>20089</v>
      </c>
      <c r="C257" s="1" t="inlineStr">
        <is>
          <t>032</t>
        </is>
      </c>
      <c r="D257" s="1" t="inlineStr">
        <is>
          <t>162307</t>
        </is>
      </c>
      <c r="E257" s="1" t="inlineStr">
        <is>
          <t xml:space="preserve">28194780       </t>
        </is>
      </c>
      <c r="F257" s="5" t="inlineStr">
        <is>
          <t>TROMPO BATALLA INFINITY NADO PLSTICO SURTIDO</t>
        </is>
      </c>
      <c r="G257" t="n">
        <v>1</v>
      </c>
      <c r="H257" s="7" t="n">
        <v>19.9</v>
      </c>
      <c r="I257" s="7" t="n">
        <v>0</v>
      </c>
      <c r="J257" s="7" t="n">
        <v>0</v>
      </c>
      <c r="K257" s="9" t="n">
        <v>0</v>
      </c>
      <c r="L257" s="10" t="n">
        <v>11.8</v>
      </c>
      <c r="M257" s="10" t="n">
        <v>1.43</v>
      </c>
      <c r="N257" t="inlineStr">
        <is>
          <t>1</t>
        </is>
      </c>
      <c r="O257" t="inlineStr">
        <is>
          <t>16</t>
        </is>
      </c>
      <c r="P257" t="inlineStr">
        <is>
          <t xml:space="preserve">246525  </t>
        </is>
      </c>
      <c r="Q257" s="26" t="n">
        <v>11.81</v>
      </c>
      <c r="R257" s="26">
        <f>Q257*G257</f>
        <v/>
      </c>
      <c r="S257" s="26">
        <f>IFERROR(VLOOKUP(E257*1,Tabla[#All],8,0),0)</f>
        <v/>
      </c>
      <c r="T257" s="26">
        <f>S257*G257</f>
        <v/>
      </c>
      <c r="U257" s="26">
        <f>R257-T257</f>
        <v/>
      </c>
      <c r="V257" s="26">
        <f>U257-L257</f>
        <v/>
      </c>
    </row>
    <row r="258">
      <c r="A258" s="11" t="n">
        <v>46206</v>
      </c>
      <c r="B258" s="1" t="n">
        <v>20089</v>
      </c>
      <c r="C258" s="1" t="inlineStr">
        <is>
          <t>032</t>
        </is>
      </c>
      <c r="D258" s="1" t="inlineStr">
        <is>
          <t>162307</t>
        </is>
      </c>
      <c r="E258" s="1" t="inlineStr">
        <is>
          <t xml:space="preserve">28194780       </t>
        </is>
      </c>
      <c r="F258" s="5" t="inlineStr">
        <is>
          <t>TROMPO BATALLA INFINITY NADO PLSTICO SURTIDO</t>
        </is>
      </c>
      <c r="G258" t="n">
        <v>1</v>
      </c>
      <c r="H258" s="7" t="n">
        <v>19.9</v>
      </c>
      <c r="I258" s="7" t="n">
        <v>0</v>
      </c>
      <c r="J258" s="7" t="n">
        <v>0</v>
      </c>
      <c r="K258" s="9" t="n">
        <v>0</v>
      </c>
      <c r="L258" s="10" t="n">
        <v>11.8</v>
      </c>
      <c r="M258" s="10" t="n">
        <v>1.43</v>
      </c>
      <c r="N258" t="inlineStr">
        <is>
          <t>1</t>
        </is>
      </c>
      <c r="O258" t="inlineStr">
        <is>
          <t>16</t>
        </is>
      </c>
      <c r="P258" t="inlineStr">
        <is>
          <t xml:space="preserve">246525  </t>
        </is>
      </c>
      <c r="Q258" s="26" t="n">
        <v>11.81</v>
      </c>
      <c r="R258" s="26">
        <f>Q258*G258</f>
        <v/>
      </c>
      <c r="S258" s="26">
        <f>IFERROR(VLOOKUP(E258*1,Tabla[#All],8,0),0)</f>
        <v/>
      </c>
      <c r="T258" s="26">
        <f>S258*G258</f>
        <v/>
      </c>
      <c r="U258" s="26">
        <f>R258-T258</f>
        <v/>
      </c>
      <c r="V258" s="26">
        <f>U258-L258</f>
        <v/>
      </c>
    </row>
    <row r="259">
      <c r="A259" s="11" t="n">
        <v>46206</v>
      </c>
      <c r="B259" s="1" t="n">
        <v>20089</v>
      </c>
      <c r="C259" s="1" t="inlineStr">
        <is>
          <t>862</t>
        </is>
      </c>
      <c r="D259" s="1" t="inlineStr">
        <is>
          <t xml:space="preserve">8144  </t>
        </is>
      </c>
      <c r="E259" s="1" t="inlineStr">
        <is>
          <t xml:space="preserve">30141766       </t>
        </is>
      </c>
      <c r="F259" s="5" t="inlineStr">
        <is>
          <t>TMZ BEAST MACHINES AUTOS DE METAL BLISTER X 1</t>
        </is>
      </c>
      <c r="G259" t="n">
        <v>1</v>
      </c>
      <c r="H259" s="7" t="n">
        <v>7.9</v>
      </c>
      <c r="I259" s="7" t="n">
        <v>0</v>
      </c>
      <c r="J259" s="7" t="n">
        <v>0</v>
      </c>
      <c r="K259" s="9" t="n">
        <v>0</v>
      </c>
      <c r="L259" s="10" t="n">
        <v>4.68</v>
      </c>
      <c r="M259" s="10" t="n">
        <v>1.43</v>
      </c>
      <c r="N259" t="inlineStr">
        <is>
          <t>1</t>
        </is>
      </c>
      <c r="O259" t="inlineStr">
        <is>
          <t>16</t>
        </is>
      </c>
      <c r="P259" t="inlineStr">
        <is>
          <t xml:space="preserve">0       </t>
        </is>
      </c>
      <c r="Q259" s="26" t="n">
        <v>4.69</v>
      </c>
      <c r="R259" s="26">
        <f>Q259*G259</f>
        <v/>
      </c>
      <c r="S259" s="26">
        <f>IFERROR(VLOOKUP(E259*1,Tabla[#All],8,0),0)</f>
        <v/>
      </c>
      <c r="T259" s="26">
        <f>S259*G259</f>
        <v/>
      </c>
      <c r="U259" s="26">
        <f>R259-T259</f>
        <v/>
      </c>
      <c r="V259" s="26">
        <f>U259-L259</f>
        <v/>
      </c>
    </row>
    <row r="260">
      <c r="A260" s="11" t="n">
        <v>46206</v>
      </c>
      <c r="B260" s="1" t="n">
        <v>20089</v>
      </c>
      <c r="C260" s="1" t="inlineStr">
        <is>
          <t>862</t>
        </is>
      </c>
      <c r="D260" s="1" t="inlineStr">
        <is>
          <t xml:space="preserve">8152  </t>
        </is>
      </c>
      <c r="E260" s="1" t="inlineStr">
        <is>
          <t xml:space="preserve">28194769       </t>
        </is>
      </c>
      <c r="F260" s="5" t="inlineStr">
        <is>
          <t>AUTOS DE METAL 3 TEAMSTERZ PACK DE 2</t>
        </is>
      </c>
      <c r="G260" t="n">
        <v>1</v>
      </c>
      <c r="H260" s="7" t="n">
        <v>13.8</v>
      </c>
      <c r="I260" s="7" t="n">
        <v>0</v>
      </c>
      <c r="J260" s="7" t="n">
        <v>0</v>
      </c>
      <c r="K260" s="9" t="n">
        <v>0</v>
      </c>
      <c r="L260" s="10" t="n">
        <v>8.18</v>
      </c>
      <c r="M260" s="10" t="n">
        <v>1.43</v>
      </c>
      <c r="N260" t="inlineStr">
        <is>
          <t>1</t>
        </is>
      </c>
      <c r="O260" t="inlineStr">
        <is>
          <t>16</t>
        </is>
      </c>
      <c r="P260" t="inlineStr">
        <is>
          <t xml:space="preserve">0       </t>
        </is>
      </c>
      <c r="Q260" s="26" t="n">
        <v>8.19</v>
      </c>
      <c r="R260" s="26">
        <f>Q260*G260</f>
        <v/>
      </c>
      <c r="S260" s="26">
        <f>IFERROR(VLOOKUP(E260*1,Tabla[#All],8,0),0)</f>
        <v/>
      </c>
      <c r="T260" s="26">
        <f>S260*G260</f>
        <v/>
      </c>
      <c r="U260" s="26">
        <f>R260-T260</f>
        <v/>
      </c>
      <c r="V260" s="26">
        <f>U260-L260</f>
        <v/>
      </c>
    </row>
    <row r="261">
      <c r="A261" s="11" t="n">
        <v>46206</v>
      </c>
      <c r="B261" s="1" t="n">
        <v>20095</v>
      </c>
      <c r="C261" s="1" t="inlineStr">
        <is>
          <t>044</t>
        </is>
      </c>
      <c r="D261" s="1" t="inlineStr">
        <is>
          <t xml:space="preserve">92762 </t>
        </is>
      </c>
      <c r="E261" s="1" t="inlineStr">
        <is>
          <t xml:space="preserve">28194767       </t>
        </is>
      </c>
      <c r="F261" s="5" t="inlineStr">
        <is>
          <t>CAMIONES TEAMSTERZ DE EMERGENCIA</t>
        </is>
      </c>
      <c r="G261" t="n">
        <v>1</v>
      </c>
      <c r="H261" s="7" t="n">
        <v>17.9</v>
      </c>
      <c r="I261" s="7" t="n">
        <v>0</v>
      </c>
      <c r="J261" s="7" t="n">
        <v>0</v>
      </c>
      <c r="K261" s="9" t="n">
        <v>0</v>
      </c>
      <c r="L261" s="10" t="n">
        <v>10.62</v>
      </c>
      <c r="M261" s="10" t="n">
        <v>1.43</v>
      </c>
      <c r="N261" t="inlineStr">
        <is>
          <t>1</t>
        </is>
      </c>
      <c r="O261" t="inlineStr">
        <is>
          <t xml:space="preserve">2 </t>
        </is>
      </c>
      <c r="P261" t="inlineStr">
        <is>
          <t xml:space="preserve">250453  </t>
        </is>
      </c>
      <c r="Q261" s="26" t="n">
        <v>10.62</v>
      </c>
      <c r="R261" s="26">
        <f>Q261*G261</f>
        <v/>
      </c>
      <c r="S261" s="26">
        <f>IFERROR(VLOOKUP(E261*1,Tabla[#All],8,0),0)</f>
        <v/>
      </c>
      <c r="T261" s="26">
        <f>S261*G261</f>
        <v/>
      </c>
      <c r="U261" s="26">
        <f>R261-T261</f>
        <v/>
      </c>
      <c r="V261" s="26">
        <f>U261-L261</f>
        <v/>
      </c>
    </row>
    <row r="262">
      <c r="A262" s="11" t="n">
        <v>46207</v>
      </c>
      <c r="B262" s="1" t="n">
        <v>20021</v>
      </c>
      <c r="C262" s="1" t="inlineStr">
        <is>
          <t>055</t>
        </is>
      </c>
      <c r="D262" s="1" t="inlineStr">
        <is>
          <t>154181</t>
        </is>
      </c>
      <c r="E262" s="1" t="inlineStr">
        <is>
          <t xml:space="preserve">31959961       </t>
        </is>
      </c>
      <c r="F262" s="5" t="inlineStr">
        <is>
          <t>TEAMSTERZ CAMBIA DE COLOR PACK DE 3 AUTOS</t>
        </is>
      </c>
      <c r="G262" t="n">
        <v>1</v>
      </c>
      <c r="H262" s="7" t="n">
        <v>49.9</v>
      </c>
      <c r="I262" s="7" t="n">
        <v>0</v>
      </c>
      <c r="J262" s="7" t="n">
        <v>0</v>
      </c>
      <c r="K262" s="9" t="n">
        <v>0</v>
      </c>
      <c r="L262" s="10" t="n">
        <v>29.6</v>
      </c>
      <c r="M262" s="10" t="n">
        <v>1.43</v>
      </c>
      <c r="N262" t="inlineStr">
        <is>
          <t>1</t>
        </is>
      </c>
      <c r="O262" t="inlineStr">
        <is>
          <t>16</t>
        </is>
      </c>
      <c r="P262" t="inlineStr">
        <is>
          <t xml:space="preserve">36042   </t>
        </is>
      </c>
      <c r="Q262" s="26" t="n">
        <v>29.6</v>
      </c>
      <c r="R262" s="26">
        <f>Q262*G262</f>
        <v/>
      </c>
      <c r="S262" s="26">
        <f>IFERROR(VLOOKUP(E262*1,Tabla[#All],8,0),0)</f>
        <v/>
      </c>
      <c r="T262" s="26">
        <f>S262*G262</f>
        <v/>
      </c>
      <c r="U262" s="26">
        <f>R262-T262</f>
        <v/>
      </c>
      <c r="V262" s="26">
        <f>U262-L262</f>
        <v/>
      </c>
    </row>
    <row r="263">
      <c r="A263" s="11" t="n">
        <v>46207</v>
      </c>
      <c r="B263" s="1" t="n">
        <v>20021</v>
      </c>
      <c r="C263" s="1" t="inlineStr">
        <is>
          <t>055</t>
        </is>
      </c>
      <c r="D263" s="1" t="inlineStr">
        <is>
          <t>154214</t>
        </is>
      </c>
      <c r="E263" s="1" t="inlineStr">
        <is>
          <t xml:space="preserve">30141766       </t>
        </is>
      </c>
      <c r="F263" s="5" t="inlineStr">
        <is>
          <t>TMZ BEAST MACHINES AUTOS DE METAL BLISTER X 1</t>
        </is>
      </c>
      <c r="G263" t="n">
        <v>1</v>
      </c>
      <c r="H263" s="7" t="n">
        <v>7.9</v>
      </c>
      <c r="I263" s="7" t="n">
        <v>0</v>
      </c>
      <c r="J263" s="7" t="n">
        <v>0</v>
      </c>
      <c r="K263" s="9" t="n">
        <v>0</v>
      </c>
      <c r="L263" s="10" t="n">
        <v>4.68</v>
      </c>
      <c r="M263" s="10" t="n">
        <v>1.43</v>
      </c>
      <c r="N263" t="inlineStr">
        <is>
          <t>1</t>
        </is>
      </c>
      <c r="O263" t="inlineStr">
        <is>
          <t xml:space="preserve">3 </t>
        </is>
      </c>
      <c r="P263" t="inlineStr">
        <is>
          <t xml:space="preserve">36042   </t>
        </is>
      </c>
      <c r="Q263" s="26" t="n">
        <v>4.69</v>
      </c>
      <c r="R263" s="26">
        <f>Q263*G263</f>
        <v/>
      </c>
      <c r="S263" s="26">
        <f>IFERROR(VLOOKUP(E263*1,Tabla[#All],8,0),0)</f>
        <v/>
      </c>
      <c r="T263" s="26">
        <f>S263*G263</f>
        <v/>
      </c>
      <c r="U263" s="26">
        <f>R263-T263</f>
        <v/>
      </c>
      <c r="V263" s="26">
        <f>U263-L263</f>
        <v/>
      </c>
    </row>
    <row r="264">
      <c r="A264" s="11" t="n">
        <v>46207</v>
      </c>
      <c r="B264" s="1" t="n">
        <v>20021</v>
      </c>
      <c r="C264" s="1" t="inlineStr">
        <is>
          <t>078</t>
        </is>
      </c>
      <c r="D264" s="1" t="inlineStr">
        <is>
          <t>100160</t>
        </is>
      </c>
      <c r="E264" s="1" t="inlineStr">
        <is>
          <t xml:space="preserve">29235707       </t>
        </is>
      </c>
      <c r="F264" s="5" t="inlineStr">
        <is>
          <t>TEAMSTERZ AUTO DE METAL 3  PACK DE 5</t>
        </is>
      </c>
      <c r="G264" t="n">
        <v>1</v>
      </c>
      <c r="H264" s="7" t="n">
        <v>34.5</v>
      </c>
      <c r="I264" s="7" t="n">
        <v>0</v>
      </c>
      <c r="J264" s="7" t="n">
        <v>0</v>
      </c>
      <c r="K264" s="9" t="n">
        <v>0</v>
      </c>
      <c r="L264" s="10" t="n">
        <v>20.47</v>
      </c>
      <c r="M264" s="10" t="n">
        <v>1.43</v>
      </c>
      <c r="N264" t="inlineStr">
        <is>
          <t>1</t>
        </is>
      </c>
      <c r="O264" t="inlineStr">
        <is>
          <t>16</t>
        </is>
      </c>
      <c r="P264" t="inlineStr">
        <is>
          <t xml:space="preserve">12097   </t>
        </is>
      </c>
      <c r="Q264" s="26" t="n">
        <v>20.47</v>
      </c>
      <c r="R264" s="26">
        <f>Q264*G264</f>
        <v/>
      </c>
      <c r="S264" s="26">
        <f>IFERROR(VLOOKUP(E264*1,Tabla[#All],8,0),0)</f>
        <v/>
      </c>
      <c r="T264" s="26">
        <f>S264*G264</f>
        <v/>
      </c>
      <c r="U264" s="26">
        <f>R264-T264</f>
        <v/>
      </c>
      <c r="V264" s="26">
        <f>U264-L264</f>
        <v/>
      </c>
    </row>
    <row r="265">
      <c r="A265" s="11" t="n">
        <v>46207</v>
      </c>
      <c r="B265" s="1" t="n">
        <v>20023</v>
      </c>
      <c r="C265" s="1" t="inlineStr">
        <is>
          <t>105</t>
        </is>
      </c>
      <c r="D265" s="1" t="inlineStr">
        <is>
          <t xml:space="preserve">90217 </t>
        </is>
      </c>
      <c r="E265" s="1" t="inlineStr">
        <is>
          <t xml:space="preserve">32457099       </t>
        </is>
      </c>
      <c r="F265" s="5" t="inlineStr">
        <is>
          <t>TMZ BEAST MACHINES MONSTER JAWS A FRICCION BLISTER</t>
        </is>
      </c>
      <c r="G265" t="n">
        <v>1</v>
      </c>
      <c r="H265" s="7" t="n">
        <v>19.9</v>
      </c>
      <c r="I265" s="7" t="n">
        <v>0</v>
      </c>
      <c r="J265" s="7" t="n">
        <v>0</v>
      </c>
      <c r="K265" s="9" t="n">
        <v>0</v>
      </c>
      <c r="L265" s="10" t="n">
        <v>11.8</v>
      </c>
      <c r="M265" s="10" t="n">
        <v>1.43</v>
      </c>
      <c r="N265" t="inlineStr">
        <is>
          <t>1</t>
        </is>
      </c>
      <c r="O265" t="inlineStr">
        <is>
          <t>16</t>
        </is>
      </c>
      <c r="P265" t="inlineStr">
        <is>
          <t xml:space="preserve">17213   </t>
        </is>
      </c>
      <c r="Q265" s="26" t="n">
        <v>11.81</v>
      </c>
      <c r="R265" s="26">
        <f>Q265*G265</f>
        <v/>
      </c>
      <c r="S265" s="26">
        <f>IFERROR(VLOOKUP(E265*1,Tabla[#All],8,0),0)</f>
        <v/>
      </c>
      <c r="T265" s="26">
        <f>S265*G265</f>
        <v/>
      </c>
      <c r="U265" s="26">
        <f>R265-T265</f>
        <v/>
      </c>
      <c r="V265" s="26">
        <f>U265-L265</f>
        <v/>
      </c>
    </row>
    <row r="266">
      <c r="A266" s="11" t="n">
        <v>46207</v>
      </c>
      <c r="B266" s="1" t="n">
        <v>20023</v>
      </c>
      <c r="C266" s="1" t="inlineStr">
        <is>
          <t>105</t>
        </is>
      </c>
      <c r="D266" s="1" t="inlineStr">
        <is>
          <t xml:space="preserve">90263 </t>
        </is>
      </c>
      <c r="E266" s="1" t="inlineStr">
        <is>
          <t xml:space="preserve">32457099       </t>
        </is>
      </c>
      <c r="F266" s="5" t="inlineStr">
        <is>
          <t>TMZ BEAST MACHINES MONSTER JAWS A FRICCION BLISTER</t>
        </is>
      </c>
      <c r="G266" t="n">
        <v>1</v>
      </c>
      <c r="H266" s="7" t="n">
        <v>19.9</v>
      </c>
      <c r="I266" s="7" t="n">
        <v>0</v>
      </c>
      <c r="J266" s="7" t="n">
        <v>0</v>
      </c>
      <c r="K266" s="9" t="n">
        <v>0</v>
      </c>
      <c r="L266" s="10" t="n">
        <v>11.8</v>
      </c>
      <c r="M266" s="10" t="n">
        <v>1.43</v>
      </c>
      <c r="N266" t="inlineStr">
        <is>
          <t>1</t>
        </is>
      </c>
      <c r="O266" t="inlineStr">
        <is>
          <t>16</t>
        </is>
      </c>
      <c r="P266" t="inlineStr">
        <is>
          <t xml:space="preserve">17213   </t>
        </is>
      </c>
      <c r="Q266" s="26" t="n">
        <v>11.81</v>
      </c>
      <c r="R266" s="26">
        <f>Q266*G266</f>
        <v/>
      </c>
      <c r="S266" s="26">
        <f>IFERROR(VLOOKUP(E266*1,Tabla[#All],8,0),0)</f>
        <v/>
      </c>
      <c r="T266" s="26">
        <f>S266*G266</f>
        <v/>
      </c>
      <c r="U266" s="26">
        <f>R266-T266</f>
        <v/>
      </c>
      <c r="V266" s="26">
        <f>U266-L266</f>
        <v/>
      </c>
    </row>
    <row r="267">
      <c r="A267" s="11" t="n">
        <v>46207</v>
      </c>
      <c r="B267" s="1" t="n">
        <v>20024</v>
      </c>
      <c r="C267" s="1" t="inlineStr">
        <is>
          <t>020</t>
        </is>
      </c>
      <c r="D267" s="1" t="inlineStr">
        <is>
          <t>253698</t>
        </is>
      </c>
      <c r="E267" s="1" t="inlineStr">
        <is>
          <t xml:space="preserve">28194781       </t>
        </is>
      </c>
      <c r="F267" s="5" t="inlineStr">
        <is>
          <t>TROMPO BATALLA INFINITY NADO SERIE V CLASICA SURTI</t>
        </is>
      </c>
      <c r="G267" t="n">
        <v>1</v>
      </c>
      <c r="H267" s="7" t="n">
        <v>59.9</v>
      </c>
      <c r="I267" s="7" t="n">
        <v>0</v>
      </c>
      <c r="J267" s="7" t="n">
        <v>0</v>
      </c>
      <c r="K267" s="9" t="n">
        <v>0</v>
      </c>
      <c r="L267" s="10" t="n">
        <v>35.53</v>
      </c>
      <c r="M267" s="10" t="n">
        <v>1.43</v>
      </c>
      <c r="N267" t="inlineStr">
        <is>
          <t>1</t>
        </is>
      </c>
      <c r="O267" t="inlineStr">
        <is>
          <t>16</t>
        </is>
      </c>
      <c r="P267" t="inlineStr">
        <is>
          <t xml:space="preserve">57844   </t>
        </is>
      </c>
      <c r="Q267" s="26" t="n">
        <v>35.53</v>
      </c>
      <c r="R267" s="26">
        <f>Q267*G267</f>
        <v/>
      </c>
      <c r="S267" s="26">
        <f>IFERROR(VLOOKUP(E267*1,Tabla[#All],8,0),0)</f>
        <v/>
      </c>
      <c r="T267" s="26">
        <f>S267*G267</f>
        <v/>
      </c>
      <c r="U267" s="26">
        <f>R267-T267</f>
        <v/>
      </c>
      <c r="V267" s="26">
        <f>U267-L267</f>
        <v/>
      </c>
    </row>
    <row r="268">
      <c r="A268" s="11" t="n">
        <v>46207</v>
      </c>
      <c r="B268" s="1" t="n">
        <v>20024</v>
      </c>
      <c r="C268" s="1" t="inlineStr">
        <is>
          <t>021</t>
        </is>
      </c>
      <c r="D268" s="1" t="inlineStr">
        <is>
          <t>215276</t>
        </is>
      </c>
      <c r="E268" s="1" t="inlineStr">
        <is>
          <t xml:space="preserve">28194769       </t>
        </is>
      </c>
      <c r="F268" s="5" t="inlineStr">
        <is>
          <t>AUTOS DE METAL 3 TEAMSTERZ PACK DE 2</t>
        </is>
      </c>
      <c r="G268" t="n">
        <v>1</v>
      </c>
      <c r="H268" s="7" t="n">
        <v>13.8</v>
      </c>
      <c r="I268" s="7" t="n">
        <v>0</v>
      </c>
      <c r="J268" s="7" t="n">
        <v>0</v>
      </c>
      <c r="K268" s="9" t="n">
        <v>0</v>
      </c>
      <c r="L268" s="10" t="n">
        <v>8.18</v>
      </c>
      <c r="M268" s="10" t="n">
        <v>1.43</v>
      </c>
      <c r="N268" t="inlineStr">
        <is>
          <t>1</t>
        </is>
      </c>
      <c r="O268" t="inlineStr">
        <is>
          <t xml:space="preserve">2 </t>
        </is>
      </c>
      <c r="P268" t="inlineStr">
        <is>
          <t xml:space="preserve">38672   </t>
        </is>
      </c>
      <c r="Q268" s="26" t="n">
        <v>8.19</v>
      </c>
      <c r="R268" s="26">
        <f>Q268*G268</f>
        <v/>
      </c>
      <c r="S268" s="26">
        <f>IFERROR(VLOOKUP(E268*1,Tabla[#All],8,0),0)</f>
        <v/>
      </c>
      <c r="T268" s="26">
        <f>S268*G268</f>
        <v/>
      </c>
      <c r="U268" s="26">
        <f>R268-T268</f>
        <v/>
      </c>
      <c r="V268" s="26">
        <f>U268-L268</f>
        <v/>
      </c>
    </row>
    <row r="269">
      <c r="A269" s="11" t="n">
        <v>46207</v>
      </c>
      <c r="B269" s="1" t="n">
        <v>20024</v>
      </c>
      <c r="C269" s="1" t="inlineStr">
        <is>
          <t>060</t>
        </is>
      </c>
      <c r="D269" s="1" t="inlineStr">
        <is>
          <t xml:space="preserve">95402 </t>
        </is>
      </c>
      <c r="E269" s="1" t="inlineStr">
        <is>
          <t xml:space="preserve">29235706       </t>
        </is>
      </c>
      <c r="F269" s="5" t="inlineStr">
        <is>
          <t>TEAMSTERZ CAMION PARA GUARDAR 12 AUTOS INCL 4 AUTO</t>
        </is>
      </c>
      <c r="G269" t="n">
        <v>1</v>
      </c>
      <c r="H269" s="7" t="n">
        <v>59.9</v>
      </c>
      <c r="I269" s="7" t="n">
        <v>0</v>
      </c>
      <c r="J269" s="7" t="n">
        <v>0</v>
      </c>
      <c r="K269" s="9" t="n">
        <v>0</v>
      </c>
      <c r="L269" s="10" t="n">
        <v>35.53</v>
      </c>
      <c r="M269" s="10" t="n">
        <v>1.43</v>
      </c>
      <c r="N269" t="inlineStr">
        <is>
          <t>1</t>
        </is>
      </c>
      <c r="O269" t="inlineStr">
        <is>
          <t xml:space="preserve">6 </t>
        </is>
      </c>
      <c r="P269" t="inlineStr">
        <is>
          <t xml:space="preserve">251741  </t>
        </is>
      </c>
      <c r="Q269" s="26" t="n">
        <v>35.53</v>
      </c>
      <c r="R269" s="26">
        <f>Q269*G269</f>
        <v/>
      </c>
      <c r="S269" s="26">
        <f>IFERROR(VLOOKUP(E269*1,Tabla[#All],8,0),0)</f>
        <v/>
      </c>
      <c r="T269" s="26">
        <f>S269*G269</f>
        <v/>
      </c>
      <c r="U269" s="26">
        <f>R269-T269</f>
        <v/>
      </c>
      <c r="V269" s="26">
        <f>U269-L269</f>
        <v/>
      </c>
    </row>
    <row r="270">
      <c r="A270" s="11" t="n">
        <v>46207</v>
      </c>
      <c r="B270" s="1" t="n">
        <v>20024</v>
      </c>
      <c r="C270" s="1" t="inlineStr">
        <is>
          <t>520</t>
        </is>
      </c>
      <c r="D270" s="1" t="inlineStr">
        <is>
          <t xml:space="preserve">271   </t>
        </is>
      </c>
      <c r="E270" s="1" t="inlineStr">
        <is>
          <t xml:space="preserve">28194770       </t>
        </is>
      </c>
      <c r="F270" s="5" t="inlineStr">
        <is>
          <t>AUTOS DE METAL 3 TEAMSTERZ EN BLISTER</t>
        </is>
      </c>
      <c r="G270" t="n">
        <v>2</v>
      </c>
      <c r="H270" s="7" t="n">
        <v>13.8</v>
      </c>
      <c r="I270" s="7" t="n">
        <v>0</v>
      </c>
      <c r="J270" s="7" t="n">
        <v>0</v>
      </c>
      <c r="K270" s="9" t="n">
        <v>0</v>
      </c>
      <c r="L270" s="10" t="n">
        <v>8.18</v>
      </c>
      <c r="M270" s="10" t="n">
        <v>1.43</v>
      </c>
      <c r="N270" t="inlineStr">
        <is>
          <t>1</t>
        </is>
      </c>
      <c r="O270" t="inlineStr">
        <is>
          <t>16</t>
        </is>
      </c>
      <c r="P270" t="inlineStr">
        <is>
          <t xml:space="preserve">250403  </t>
        </is>
      </c>
      <c r="Q270" s="26" t="n">
        <v>4.09</v>
      </c>
      <c r="R270" s="26">
        <f>Q270*G270</f>
        <v/>
      </c>
      <c r="S270" s="26">
        <f>IFERROR(VLOOKUP(E270*1,Tabla[#All],8,0),0)</f>
        <v/>
      </c>
      <c r="T270" s="26">
        <f>S270*G270</f>
        <v/>
      </c>
      <c r="U270" s="26">
        <f>R270-T270</f>
        <v/>
      </c>
      <c r="V270" s="26">
        <f>U270-L270</f>
        <v/>
      </c>
    </row>
    <row r="271">
      <c r="A271" s="11" t="n">
        <v>46207</v>
      </c>
      <c r="B271" s="1" t="n">
        <v>20024</v>
      </c>
      <c r="C271" s="1" t="inlineStr">
        <is>
          <t>524</t>
        </is>
      </c>
      <c r="D271" s="1" t="inlineStr">
        <is>
          <t xml:space="preserve">8973  </t>
        </is>
      </c>
      <c r="E271" s="1" t="inlineStr">
        <is>
          <t xml:space="preserve">34840556       </t>
        </is>
      </c>
      <c r="F271" s="5" t="inlineStr">
        <is>
          <t>TMZ BEAST MACH. TRANSPORT DINO +ACCS</t>
        </is>
      </c>
      <c r="G271" t="n">
        <v>1</v>
      </c>
      <c r="H271" s="7" t="n">
        <v>79.90000000000001</v>
      </c>
      <c r="I271" s="7" t="n">
        <v>0</v>
      </c>
      <c r="J271" s="7" t="n">
        <v>0</v>
      </c>
      <c r="K271" s="9" t="n">
        <v>0</v>
      </c>
      <c r="L271" s="10" t="n">
        <v>47.4</v>
      </c>
      <c r="M271" s="10" t="n">
        <v>1.43</v>
      </c>
      <c r="N271" t="inlineStr">
        <is>
          <t>1</t>
        </is>
      </c>
      <c r="O271" t="inlineStr">
        <is>
          <t>16</t>
        </is>
      </c>
      <c r="P271" t="inlineStr">
        <is>
          <t xml:space="preserve">246042  </t>
        </is>
      </c>
      <c r="Q271" s="26" t="n">
        <v>47.4</v>
      </c>
      <c r="R271" s="26">
        <f>Q271*G271</f>
        <v/>
      </c>
      <c r="S271" s="26">
        <f>IFERROR(VLOOKUP(E271*1,Tabla[#All],8,0),0)</f>
        <v/>
      </c>
      <c r="T271" s="26">
        <f>S271*G271</f>
        <v/>
      </c>
      <c r="U271" s="26">
        <f>R271-T271</f>
        <v/>
      </c>
      <c r="V271" s="26">
        <f>U271-L271</f>
        <v/>
      </c>
    </row>
    <row r="272">
      <c r="A272" s="11" t="n">
        <v>46207</v>
      </c>
      <c r="B272" s="1" t="n">
        <v>20025</v>
      </c>
      <c r="C272" s="1" t="inlineStr">
        <is>
          <t>074</t>
        </is>
      </c>
      <c r="D272" s="1" t="inlineStr">
        <is>
          <t xml:space="preserve">82400 </t>
        </is>
      </c>
      <c r="E272" s="1" t="inlineStr">
        <is>
          <t xml:space="preserve">29235700       </t>
        </is>
      </c>
      <c r="F272" s="5" t="inlineStr">
        <is>
          <t>HOT WHEELS CASE METALICO PARA GUARDAR 18 CARRITOS</t>
        </is>
      </c>
      <c r="G272" t="n">
        <v>1</v>
      </c>
      <c r="H272" s="7" t="n">
        <v>49.9</v>
      </c>
      <c r="I272" s="7" t="n">
        <v>0</v>
      </c>
      <c r="J272" s="7" t="n">
        <v>0</v>
      </c>
      <c r="K272" s="9" t="n">
        <v>0</v>
      </c>
      <c r="L272" s="10" t="n">
        <v>29.6</v>
      </c>
      <c r="M272" s="10" t="n">
        <v>1.43</v>
      </c>
      <c r="N272" t="inlineStr">
        <is>
          <t>1</t>
        </is>
      </c>
      <c r="O272" t="inlineStr">
        <is>
          <t>16</t>
        </is>
      </c>
      <c r="P272" t="inlineStr">
        <is>
          <t xml:space="preserve">57293   </t>
        </is>
      </c>
      <c r="Q272" s="26" t="n">
        <v>29.6</v>
      </c>
      <c r="R272" s="26">
        <f>Q272*G272</f>
        <v/>
      </c>
      <c r="S272" s="26">
        <f>IFERROR(VLOOKUP(E272*1,Tabla[#All],8,0),0)</f>
        <v/>
      </c>
      <c r="T272" s="26">
        <f>S272*G272</f>
        <v/>
      </c>
      <c r="U272" s="26">
        <f>R272-T272</f>
        <v/>
      </c>
      <c r="V272" s="26">
        <f>U272-L272</f>
        <v/>
      </c>
    </row>
    <row r="273">
      <c r="A273" s="11" t="n">
        <v>46207</v>
      </c>
      <c r="B273" s="1" t="n">
        <v>20025</v>
      </c>
      <c r="C273" s="1" t="inlineStr">
        <is>
          <t>076</t>
        </is>
      </c>
      <c r="D273" s="1" t="inlineStr">
        <is>
          <t xml:space="preserve">12180 </t>
        </is>
      </c>
      <c r="E273" s="1" t="inlineStr">
        <is>
          <t xml:space="preserve">33483121       </t>
        </is>
      </c>
      <c r="F273" s="5" t="inlineStr">
        <is>
          <t>HOT WHEELS ESTUCHE PARA 15 AUTOS SURTIDO</t>
        </is>
      </c>
      <c r="G273" t="n">
        <v>1</v>
      </c>
      <c r="H273" s="7" t="n">
        <v>34.9</v>
      </c>
      <c r="I273" s="7" t="n">
        <v>0</v>
      </c>
      <c r="J273" s="7" t="n">
        <v>0</v>
      </c>
      <c r="K273" s="9" t="n">
        <v>0</v>
      </c>
      <c r="L273" s="10" t="n">
        <v>20.71</v>
      </c>
      <c r="M273" s="10" t="n">
        <v>1.43</v>
      </c>
      <c r="N273" t="inlineStr">
        <is>
          <t>1</t>
        </is>
      </c>
      <c r="O273" t="inlineStr">
        <is>
          <t>16</t>
        </is>
      </c>
      <c r="P273" t="inlineStr">
        <is>
          <t xml:space="preserve">62409   </t>
        </is>
      </c>
      <c r="Q273" s="26" t="n">
        <v>20.7</v>
      </c>
      <c r="R273" s="26">
        <f>Q273*G273</f>
        <v/>
      </c>
      <c r="S273" s="26">
        <f>IFERROR(VLOOKUP(E273*1,Tabla[#All],8,0),0)</f>
        <v/>
      </c>
      <c r="T273" s="26">
        <f>S273*G273</f>
        <v/>
      </c>
      <c r="U273" s="26">
        <f>R273-T273</f>
        <v/>
      </c>
      <c r="V273" s="26">
        <f>U273-L273</f>
        <v/>
      </c>
    </row>
    <row r="274">
      <c r="A274" s="11" t="n">
        <v>46207</v>
      </c>
      <c r="B274" s="1" t="n">
        <v>20025</v>
      </c>
      <c r="C274" s="1" t="inlineStr">
        <is>
          <t>076</t>
        </is>
      </c>
      <c r="D274" s="1" t="inlineStr">
        <is>
          <t>146848</t>
        </is>
      </c>
      <c r="E274" s="1" t="inlineStr">
        <is>
          <t xml:space="preserve">33483120       </t>
        </is>
      </c>
      <c r="F274" s="5" t="inlineStr">
        <is>
          <t>HOT WHEELS 2 EN 1 AUTO DE CARRERAS + GUARDA AUTOS</t>
        </is>
      </c>
      <c r="G274" t="n">
        <v>1</v>
      </c>
      <c r="H274" s="7" t="n">
        <v>79.90000000000001</v>
      </c>
      <c r="I274" s="7" t="n">
        <v>0</v>
      </c>
      <c r="J274" s="7" t="n">
        <v>0</v>
      </c>
      <c r="K274" s="9" t="n">
        <v>0</v>
      </c>
      <c r="L274" s="10" t="n">
        <v>47.4</v>
      </c>
      <c r="M274" s="10" t="n">
        <v>1.43</v>
      </c>
      <c r="N274" t="inlineStr">
        <is>
          <t>1</t>
        </is>
      </c>
      <c r="O274" t="inlineStr">
        <is>
          <t>16</t>
        </is>
      </c>
      <c r="P274" t="inlineStr">
        <is>
          <t xml:space="preserve">62409   </t>
        </is>
      </c>
      <c r="Q274" s="26" t="n">
        <v>47.4</v>
      </c>
      <c r="R274" s="26">
        <f>Q274*G274</f>
        <v/>
      </c>
      <c r="S274" s="26">
        <f>IFERROR(VLOOKUP(E274*1,Tabla[#All],8,0),0)</f>
        <v/>
      </c>
      <c r="T274" s="26">
        <f>S274*G274</f>
        <v/>
      </c>
      <c r="U274" s="26">
        <f>R274-T274</f>
        <v/>
      </c>
      <c r="V274" s="26">
        <f>U274-L274</f>
        <v/>
      </c>
    </row>
    <row r="275">
      <c r="A275" s="11" t="n">
        <v>46207</v>
      </c>
      <c r="B275" s="1" t="n">
        <v>20025</v>
      </c>
      <c r="C275" s="1" t="inlineStr">
        <is>
          <t>081</t>
        </is>
      </c>
      <c r="D275" s="1" t="inlineStr">
        <is>
          <t>265665</t>
        </is>
      </c>
      <c r="E275" s="1" t="inlineStr">
        <is>
          <t xml:space="preserve">35685067       </t>
        </is>
      </c>
      <c r="F275" s="5" t="inlineStr">
        <is>
          <t>HOT WHEELS POWER SET 3 EN 1</t>
        </is>
      </c>
      <c r="G275" t="n">
        <v>1</v>
      </c>
      <c r="H275" s="7" t="n">
        <v>49.9</v>
      </c>
      <c r="I275" s="7" t="n">
        <v>0</v>
      </c>
      <c r="J275" s="7" t="n">
        <v>0</v>
      </c>
      <c r="K275" s="9" t="n">
        <v>0</v>
      </c>
      <c r="L275" s="10" t="n">
        <v>29.6</v>
      </c>
      <c r="M275" s="10" t="n">
        <v>1.43</v>
      </c>
      <c r="N275" t="inlineStr">
        <is>
          <t>1</t>
        </is>
      </c>
      <c r="O275" t="inlineStr">
        <is>
          <t xml:space="preserve">2 </t>
        </is>
      </c>
      <c r="P275" t="inlineStr">
        <is>
          <t xml:space="preserve">22848   </t>
        </is>
      </c>
      <c r="Q275" s="26" t="n">
        <v>29.6</v>
      </c>
      <c r="R275" s="26">
        <f>Q275*G275</f>
        <v/>
      </c>
      <c r="S275" s="26">
        <f>IFERROR(VLOOKUP(E275*1,Tabla[#All],8,0),0)</f>
        <v/>
      </c>
      <c r="T275" s="26">
        <f>S275*G275</f>
        <v/>
      </c>
      <c r="U275" s="26">
        <f>R275-T275</f>
        <v/>
      </c>
      <c r="V275" s="26">
        <f>U275-L275</f>
        <v/>
      </c>
    </row>
    <row r="276">
      <c r="A276" s="11" t="n">
        <v>46207</v>
      </c>
      <c r="B276" s="1" t="n">
        <v>20028</v>
      </c>
      <c r="C276" s="1" t="inlineStr">
        <is>
          <t>021</t>
        </is>
      </c>
      <c r="D276" s="1" t="inlineStr">
        <is>
          <t>185609</t>
        </is>
      </c>
      <c r="E276" s="1" t="inlineStr">
        <is>
          <t xml:space="preserve">32457099       </t>
        </is>
      </c>
      <c r="F276" s="5" t="inlineStr">
        <is>
          <t>TMZ BEAST MACHINES MONSTER JAWS A FRICCION BLISTER</t>
        </is>
      </c>
      <c r="G276" t="n">
        <v>1</v>
      </c>
      <c r="H276" s="7" t="n">
        <v>19.9</v>
      </c>
      <c r="I276" s="7" t="n">
        <v>0</v>
      </c>
      <c r="J276" s="7" t="n">
        <v>0</v>
      </c>
      <c r="K276" s="9" t="n">
        <v>0</v>
      </c>
      <c r="L276" s="10" t="n">
        <v>11.8</v>
      </c>
      <c r="M276" s="10" t="n">
        <v>1.43</v>
      </c>
      <c r="N276" t="inlineStr">
        <is>
          <t>1</t>
        </is>
      </c>
      <c r="O276" t="inlineStr">
        <is>
          <t>16</t>
        </is>
      </c>
      <c r="P276" t="inlineStr">
        <is>
          <t xml:space="preserve">23685   </t>
        </is>
      </c>
      <c r="Q276" s="26" t="n">
        <v>11.81</v>
      </c>
      <c r="R276" s="26">
        <f>Q276*G276</f>
        <v/>
      </c>
      <c r="S276" s="26">
        <f>IFERROR(VLOOKUP(E276*1,Tabla[#All],8,0),0)</f>
        <v/>
      </c>
      <c r="T276" s="26">
        <f>S276*G276</f>
        <v/>
      </c>
      <c r="U276" s="26">
        <f>R276-T276</f>
        <v/>
      </c>
      <c r="V276" s="26">
        <f>U276-L276</f>
        <v/>
      </c>
    </row>
    <row r="277">
      <c r="A277" s="11" t="n">
        <v>46207</v>
      </c>
      <c r="B277" s="1" t="n">
        <v>20028</v>
      </c>
      <c r="C277" s="1" t="inlineStr">
        <is>
          <t>021</t>
        </is>
      </c>
      <c r="D277" s="1" t="inlineStr">
        <is>
          <t>185633</t>
        </is>
      </c>
      <c r="E277" s="1" t="inlineStr">
        <is>
          <t xml:space="preserve">32457099       </t>
        </is>
      </c>
      <c r="F277" s="5" t="inlineStr">
        <is>
          <t>TMZ BEAST MACHINES MONSTER JAWS A FRICCION BLISTER</t>
        </is>
      </c>
      <c r="G277" t="n">
        <v>1</v>
      </c>
      <c r="H277" s="7" t="n">
        <v>19.9</v>
      </c>
      <c r="I277" s="7" t="n">
        <v>0</v>
      </c>
      <c r="J277" s="7" t="n">
        <v>0</v>
      </c>
      <c r="K277" s="9" t="n">
        <v>0</v>
      </c>
      <c r="L277" s="10" t="n">
        <v>11.8</v>
      </c>
      <c r="M277" s="10" t="n">
        <v>1.43</v>
      </c>
      <c r="N277" t="inlineStr">
        <is>
          <t>1</t>
        </is>
      </c>
      <c r="O277" t="inlineStr">
        <is>
          <t xml:space="preserve">2 </t>
        </is>
      </c>
      <c r="P277" t="inlineStr">
        <is>
          <t xml:space="preserve">23685   </t>
        </is>
      </c>
      <c r="Q277" s="26" t="n">
        <v>11.81</v>
      </c>
      <c r="R277" s="26">
        <f>Q277*G277</f>
        <v/>
      </c>
      <c r="S277" s="26">
        <f>IFERROR(VLOOKUP(E277*1,Tabla[#All],8,0),0)</f>
        <v/>
      </c>
      <c r="T277" s="26">
        <f>S277*G277</f>
        <v/>
      </c>
      <c r="U277" s="26">
        <f>R277-T277</f>
        <v/>
      </c>
      <c r="V277" s="26">
        <f>U277-L277</f>
        <v/>
      </c>
    </row>
    <row r="278">
      <c r="A278" s="11" t="n">
        <v>46207</v>
      </c>
      <c r="B278" s="1" t="n">
        <v>20028</v>
      </c>
      <c r="C278" s="1" t="inlineStr">
        <is>
          <t>021</t>
        </is>
      </c>
      <c r="D278" s="1" t="inlineStr">
        <is>
          <t>185633</t>
        </is>
      </c>
      <c r="E278" s="1" t="inlineStr">
        <is>
          <t xml:space="preserve">32457099       </t>
        </is>
      </c>
      <c r="F278" s="5" t="inlineStr">
        <is>
          <t>TMZ BEAST MACHINES MONSTER JAWS A FRICCION BLISTER</t>
        </is>
      </c>
      <c r="G278" t="n">
        <v>1</v>
      </c>
      <c r="H278" s="7" t="n">
        <v>19.9</v>
      </c>
      <c r="I278" s="7" t="n">
        <v>0</v>
      </c>
      <c r="J278" s="7" t="n">
        <v>0</v>
      </c>
      <c r="K278" s="9" t="n">
        <v>0</v>
      </c>
      <c r="L278" s="10" t="n">
        <v>11.8</v>
      </c>
      <c r="M278" s="10" t="n">
        <v>1.43</v>
      </c>
      <c r="N278" t="inlineStr">
        <is>
          <t>1</t>
        </is>
      </c>
      <c r="O278" t="inlineStr">
        <is>
          <t xml:space="preserve">2 </t>
        </is>
      </c>
      <c r="P278" t="inlineStr">
        <is>
          <t xml:space="preserve">23685   </t>
        </is>
      </c>
      <c r="Q278" s="26" t="n">
        <v>11.81</v>
      </c>
      <c r="R278" s="26">
        <f>Q278*G278</f>
        <v/>
      </c>
      <c r="S278" s="26">
        <f>IFERROR(VLOOKUP(E278*1,Tabla[#All],8,0),0)</f>
        <v/>
      </c>
      <c r="T278" s="26">
        <f>S278*G278</f>
        <v/>
      </c>
      <c r="U278" s="26">
        <f>R278-T278</f>
        <v/>
      </c>
      <c r="V278" s="26">
        <f>U278-L278</f>
        <v/>
      </c>
    </row>
    <row r="279">
      <c r="A279" s="11" t="n">
        <v>46207</v>
      </c>
      <c r="B279" s="1" t="n">
        <v>20028</v>
      </c>
      <c r="C279" s="1" t="inlineStr">
        <is>
          <t>021</t>
        </is>
      </c>
      <c r="D279" s="1" t="inlineStr">
        <is>
          <t>185648</t>
        </is>
      </c>
      <c r="E279" s="1" t="inlineStr">
        <is>
          <t xml:space="preserve">28194770       </t>
        </is>
      </c>
      <c r="F279" s="5" t="inlineStr">
        <is>
          <t>AUTOS DE METAL 3 TEAMSTERZ EN BLISTER</t>
        </is>
      </c>
      <c r="G279" t="n">
        <v>1</v>
      </c>
      <c r="H279" s="7" t="n">
        <v>6.9</v>
      </c>
      <c r="I279" s="7" t="n">
        <v>0</v>
      </c>
      <c r="J279" s="7" t="n">
        <v>0</v>
      </c>
      <c r="K279" s="9" t="n">
        <v>0</v>
      </c>
      <c r="L279" s="10" t="n">
        <v>4.1</v>
      </c>
      <c r="M279" s="10" t="n">
        <v>1.43</v>
      </c>
      <c r="N279" t="inlineStr">
        <is>
          <t>1</t>
        </is>
      </c>
      <c r="O279" t="inlineStr">
        <is>
          <t xml:space="preserve">2 </t>
        </is>
      </c>
      <c r="P279" t="inlineStr">
        <is>
          <t xml:space="preserve">23685   </t>
        </is>
      </c>
      <c r="Q279" s="26" t="n">
        <v>4.09</v>
      </c>
      <c r="R279" s="26">
        <f>Q279*G279</f>
        <v/>
      </c>
      <c r="S279" s="26">
        <f>IFERROR(VLOOKUP(E279*1,Tabla[#All],8,0),0)</f>
        <v/>
      </c>
      <c r="T279" s="26">
        <f>S279*G279</f>
        <v/>
      </c>
      <c r="U279" s="26">
        <f>R279-T279</f>
        <v/>
      </c>
      <c r="V279" s="26">
        <f>U279-L279</f>
        <v/>
      </c>
    </row>
    <row r="280">
      <c r="A280" s="11" t="n">
        <v>46207</v>
      </c>
      <c r="B280" s="1" t="n">
        <v>20030</v>
      </c>
      <c r="C280" s="1" t="inlineStr">
        <is>
          <t>021</t>
        </is>
      </c>
      <c r="D280" s="1" t="inlineStr">
        <is>
          <t xml:space="preserve">2785  </t>
        </is>
      </c>
      <c r="E280" s="1" t="inlineStr">
        <is>
          <t xml:space="preserve">29854052       </t>
        </is>
      </c>
      <c r="F280" s="5" t="inlineStr">
        <is>
          <t>PLAYSET CAMBIA DE COLOR CROC BITE</t>
        </is>
      </c>
      <c r="G280" t="n">
        <v>1</v>
      </c>
      <c r="H280" s="7" t="n">
        <v>79.90000000000001</v>
      </c>
      <c r="I280" s="7" t="n">
        <v>0</v>
      </c>
      <c r="J280" s="7" t="n">
        <v>0</v>
      </c>
      <c r="K280" s="9" t="n">
        <v>0</v>
      </c>
      <c r="L280" s="10" t="n">
        <v>47.4</v>
      </c>
      <c r="M280" s="10" t="n">
        <v>1.43</v>
      </c>
      <c r="N280" t="inlineStr">
        <is>
          <t>1</t>
        </is>
      </c>
      <c r="O280" t="inlineStr">
        <is>
          <t>16</t>
        </is>
      </c>
      <c r="P280" t="inlineStr">
        <is>
          <t xml:space="preserve">50936   </t>
        </is>
      </c>
      <c r="Q280" s="26" t="n">
        <v>47.4</v>
      </c>
      <c r="R280" s="26">
        <f>Q280*G280</f>
        <v/>
      </c>
      <c r="S280" s="26">
        <f>IFERROR(VLOOKUP(E280*1,Tabla[#All],8,0),0)</f>
        <v/>
      </c>
      <c r="T280" s="26">
        <f>S280*G280</f>
        <v/>
      </c>
      <c r="U280" s="26">
        <f>R280-T280</f>
        <v/>
      </c>
      <c r="V280" s="26">
        <f>U280-L280</f>
        <v/>
      </c>
    </row>
    <row r="281">
      <c r="A281" s="11" t="n">
        <v>46207</v>
      </c>
      <c r="B281" s="1" t="n">
        <v>20030</v>
      </c>
      <c r="C281" s="1" t="inlineStr">
        <is>
          <t>067</t>
        </is>
      </c>
      <c r="D281" s="1" t="inlineStr">
        <is>
          <t>273264</t>
        </is>
      </c>
      <c r="E281" s="1" t="inlineStr">
        <is>
          <t xml:space="preserve">28194770       </t>
        </is>
      </c>
      <c r="F281" s="5" t="inlineStr">
        <is>
          <t>AUTOS DE METAL 3 TEAMSTERZ EN BLISTER</t>
        </is>
      </c>
      <c r="G281" t="n">
        <v>1</v>
      </c>
      <c r="H281" s="7" t="n">
        <v>6.9</v>
      </c>
      <c r="I281" s="7" t="n">
        <v>0</v>
      </c>
      <c r="J281" s="7" t="n">
        <v>0</v>
      </c>
      <c r="K281" s="9" t="n">
        <v>0</v>
      </c>
      <c r="L281" s="10" t="n">
        <v>4.1</v>
      </c>
      <c r="M281" s="10" t="n">
        <v>1.43</v>
      </c>
      <c r="N281" t="inlineStr">
        <is>
          <t>1</t>
        </is>
      </c>
      <c r="O281" t="inlineStr">
        <is>
          <t xml:space="preserve">2 </t>
        </is>
      </c>
      <c r="P281" t="inlineStr">
        <is>
          <t xml:space="preserve">44915   </t>
        </is>
      </c>
      <c r="Q281" s="26" t="n">
        <v>4.09</v>
      </c>
      <c r="R281" s="26">
        <f>Q281*G281</f>
        <v/>
      </c>
      <c r="S281" s="26">
        <f>IFERROR(VLOOKUP(E281*1,Tabla[#All],8,0),0)</f>
        <v/>
      </c>
      <c r="T281" s="26">
        <f>S281*G281</f>
        <v/>
      </c>
      <c r="U281" s="26">
        <f>R281-T281</f>
        <v/>
      </c>
      <c r="V281" s="26">
        <f>U281-L281</f>
        <v/>
      </c>
    </row>
    <row r="282">
      <c r="A282" s="11" t="n">
        <v>46207</v>
      </c>
      <c r="B282" s="1" t="n">
        <v>20030</v>
      </c>
      <c r="C282" s="1" t="inlineStr">
        <is>
          <t>067</t>
        </is>
      </c>
      <c r="D282" s="1" t="inlineStr">
        <is>
          <t>273304</t>
        </is>
      </c>
      <c r="E282" s="1" t="inlineStr">
        <is>
          <t xml:space="preserve">28194770       </t>
        </is>
      </c>
      <c r="F282" s="5" t="inlineStr">
        <is>
          <t>AUTOS DE METAL 3 TEAMSTERZ EN BLISTER</t>
        </is>
      </c>
      <c r="G282" t="n">
        <v>5</v>
      </c>
      <c r="H282" s="7" t="n">
        <v>34.5</v>
      </c>
      <c r="I282" s="7" t="n">
        <v>0</v>
      </c>
      <c r="J282" s="7" t="n">
        <v>0</v>
      </c>
      <c r="K282" s="9" t="n">
        <v>0</v>
      </c>
      <c r="L282" s="10" t="n">
        <v>20.45</v>
      </c>
      <c r="M282" s="10" t="n">
        <v>1.43</v>
      </c>
      <c r="N282" t="inlineStr">
        <is>
          <t>1</t>
        </is>
      </c>
      <c r="O282" t="inlineStr">
        <is>
          <t xml:space="preserve">3 </t>
        </is>
      </c>
      <c r="P282" t="inlineStr">
        <is>
          <t xml:space="preserve">44915   </t>
        </is>
      </c>
      <c r="Q282" s="26" t="n">
        <v>4.09</v>
      </c>
      <c r="R282" s="26">
        <f>Q282*G282</f>
        <v/>
      </c>
      <c r="S282" s="26">
        <f>IFERROR(VLOOKUP(E282*1,Tabla[#All],8,0),0)</f>
        <v/>
      </c>
      <c r="T282" s="26">
        <f>S282*G282</f>
        <v/>
      </c>
      <c r="U282" s="26">
        <f>R282-T282</f>
        <v/>
      </c>
      <c r="V282" s="26">
        <f>U282-L282</f>
        <v/>
      </c>
    </row>
    <row r="283">
      <c r="A283" s="11" t="n">
        <v>46207</v>
      </c>
      <c r="B283" s="1" t="n">
        <v>20030</v>
      </c>
      <c r="C283" s="1" t="inlineStr">
        <is>
          <t>077</t>
        </is>
      </c>
      <c r="D283" s="1" t="inlineStr">
        <is>
          <t>231751</t>
        </is>
      </c>
      <c r="E283" s="1" t="inlineStr">
        <is>
          <t xml:space="preserve">33661538       </t>
        </is>
      </c>
      <c r="F283" s="5" t="inlineStr">
        <is>
          <t>HOT WHEELS CASE GARAGE RUEDA METAL EN LLAMAS X 29</t>
        </is>
      </c>
      <c r="G283" t="n">
        <v>1</v>
      </c>
      <c r="H283" s="7" t="n">
        <v>69.90000000000001</v>
      </c>
      <c r="I283" s="7" t="n">
        <v>0</v>
      </c>
      <c r="J283" s="7" t="n">
        <v>0</v>
      </c>
      <c r="K283" s="9" t="n">
        <v>0</v>
      </c>
      <c r="L283" s="10" t="n">
        <v>41.47</v>
      </c>
      <c r="M283" s="10" t="n">
        <v>1.43</v>
      </c>
      <c r="N283" t="inlineStr">
        <is>
          <t>1</t>
        </is>
      </c>
      <c r="O283" t="inlineStr">
        <is>
          <t>16</t>
        </is>
      </c>
      <c r="P283" t="inlineStr">
        <is>
          <t xml:space="preserve">22672   </t>
        </is>
      </c>
      <c r="Q283" s="26" t="n">
        <v>41.47</v>
      </c>
      <c r="R283" s="26">
        <f>Q283*G283</f>
        <v/>
      </c>
      <c r="S283" s="26">
        <f>IFERROR(VLOOKUP(E283*1,Tabla[#All],8,0),0)</f>
        <v/>
      </c>
      <c r="T283" s="26">
        <f>S283*G283</f>
        <v/>
      </c>
      <c r="U283" s="26">
        <f>R283-T283</f>
        <v/>
      </c>
      <c r="V283" s="26">
        <f>U283-L283</f>
        <v/>
      </c>
    </row>
    <row r="284">
      <c r="A284" s="11" t="n">
        <v>46207</v>
      </c>
      <c r="B284" s="1" t="n">
        <v>20030</v>
      </c>
      <c r="C284" s="1" t="inlineStr">
        <is>
          <t>077</t>
        </is>
      </c>
      <c r="D284" s="1" t="inlineStr">
        <is>
          <t>231775</t>
        </is>
      </c>
      <c r="E284" s="1" t="inlineStr">
        <is>
          <t xml:space="preserve">28194770       </t>
        </is>
      </c>
      <c r="F284" s="5" t="inlineStr">
        <is>
          <t>AUTOS DE METAL 3 TEAMSTERZ EN BLISTER</t>
        </is>
      </c>
      <c r="G284" t="n">
        <v>1</v>
      </c>
      <c r="H284" s="7" t="n">
        <v>6.9</v>
      </c>
      <c r="I284" s="7" t="n">
        <v>0</v>
      </c>
      <c r="J284" s="7" t="n">
        <v>0</v>
      </c>
      <c r="K284" s="9" t="n">
        <v>0</v>
      </c>
      <c r="L284" s="10" t="n">
        <v>4.1</v>
      </c>
      <c r="M284" s="10" t="n">
        <v>1.43</v>
      </c>
      <c r="N284" t="inlineStr">
        <is>
          <t>1</t>
        </is>
      </c>
      <c r="O284" t="inlineStr">
        <is>
          <t>16</t>
        </is>
      </c>
      <c r="P284" t="inlineStr">
        <is>
          <t xml:space="preserve">22672   </t>
        </is>
      </c>
      <c r="Q284" s="26" t="n">
        <v>4.09</v>
      </c>
      <c r="R284" s="26">
        <f>Q284*G284</f>
        <v/>
      </c>
      <c r="S284" s="26">
        <f>IFERROR(VLOOKUP(E284*1,Tabla[#All],8,0),0)</f>
        <v/>
      </c>
      <c r="T284" s="26">
        <f>S284*G284</f>
        <v/>
      </c>
      <c r="U284" s="26">
        <f>R284-T284</f>
        <v/>
      </c>
      <c r="V284" s="26">
        <f>U284-L284</f>
        <v/>
      </c>
    </row>
    <row r="285">
      <c r="A285" s="11" t="n">
        <v>46207</v>
      </c>
      <c r="B285" s="1" t="n">
        <v>20030</v>
      </c>
      <c r="C285" s="1" t="inlineStr">
        <is>
          <t>077</t>
        </is>
      </c>
      <c r="D285" s="1" t="inlineStr">
        <is>
          <t>231799</t>
        </is>
      </c>
      <c r="E285" s="1" t="inlineStr">
        <is>
          <t xml:space="preserve">28194770       </t>
        </is>
      </c>
      <c r="F285" s="5" t="inlineStr">
        <is>
          <t>AUTOS DE METAL 3 TEAMSTERZ EN BLISTER</t>
        </is>
      </c>
      <c r="G285" t="n">
        <v>1</v>
      </c>
      <c r="H285" s="7" t="n">
        <v>6.9</v>
      </c>
      <c r="I285" s="7" t="n">
        <v>0</v>
      </c>
      <c r="J285" s="7" t="n">
        <v>0</v>
      </c>
      <c r="K285" s="9" t="n">
        <v>0</v>
      </c>
      <c r="L285" s="10" t="n">
        <v>4.1</v>
      </c>
      <c r="M285" s="10" t="n">
        <v>1.43</v>
      </c>
      <c r="N285" t="inlineStr">
        <is>
          <t>1</t>
        </is>
      </c>
      <c r="O285" t="inlineStr">
        <is>
          <t>16</t>
        </is>
      </c>
      <c r="P285" t="inlineStr">
        <is>
          <t xml:space="preserve">22672   </t>
        </is>
      </c>
      <c r="Q285" s="26" t="n">
        <v>4.09</v>
      </c>
      <c r="R285" s="26">
        <f>Q285*G285</f>
        <v/>
      </c>
      <c r="S285" s="26">
        <f>IFERROR(VLOOKUP(E285*1,Tabla[#All],8,0),0)</f>
        <v/>
      </c>
      <c r="T285" s="26">
        <f>S285*G285</f>
        <v/>
      </c>
      <c r="U285" s="26">
        <f>R285-T285</f>
        <v/>
      </c>
      <c r="V285" s="26">
        <f>U285-L285</f>
        <v/>
      </c>
    </row>
    <row r="286">
      <c r="A286" s="11" t="n">
        <v>46207</v>
      </c>
      <c r="B286" s="1" t="n">
        <v>20040</v>
      </c>
      <c r="C286" s="1" t="inlineStr">
        <is>
          <t>072</t>
        </is>
      </c>
      <c r="D286" s="1" t="inlineStr">
        <is>
          <t>251006</t>
        </is>
      </c>
      <c r="E286" s="1" t="inlineStr">
        <is>
          <t xml:space="preserve">28194769       </t>
        </is>
      </c>
      <c r="F286" s="5" t="inlineStr">
        <is>
          <t>AUTOS DE METAL 3 TEAMSTERZ PACK DE 2</t>
        </is>
      </c>
      <c r="G286" t="n">
        <v>1</v>
      </c>
      <c r="H286" s="7" t="n">
        <v>13.8</v>
      </c>
      <c r="I286" s="7" t="n">
        <v>0</v>
      </c>
      <c r="J286" s="7" t="n">
        <v>0</v>
      </c>
      <c r="K286" s="9" t="n">
        <v>0</v>
      </c>
      <c r="L286" s="10" t="n">
        <v>8.18</v>
      </c>
      <c r="M286" s="10" t="n">
        <v>1.43</v>
      </c>
      <c r="N286" t="inlineStr">
        <is>
          <t>1</t>
        </is>
      </c>
      <c r="O286" t="inlineStr">
        <is>
          <t xml:space="preserve">6 </t>
        </is>
      </c>
      <c r="P286" t="inlineStr">
        <is>
          <t xml:space="preserve">250193  </t>
        </is>
      </c>
      <c r="Q286" s="26" t="n">
        <v>8.19</v>
      </c>
      <c r="R286" s="26">
        <f>Q286*G286</f>
        <v/>
      </c>
      <c r="S286" s="26">
        <f>IFERROR(VLOOKUP(E286*1,Tabla[#All],8,0),0)</f>
        <v/>
      </c>
      <c r="T286" s="26">
        <f>S286*G286</f>
        <v/>
      </c>
      <c r="U286" s="26">
        <f>R286-T286</f>
        <v/>
      </c>
      <c r="V286" s="26">
        <f>U286-L286</f>
        <v/>
      </c>
    </row>
    <row r="287">
      <c r="A287" s="11" t="n">
        <v>46207</v>
      </c>
      <c r="B287" s="1" t="n">
        <v>20040</v>
      </c>
      <c r="C287" s="1" t="inlineStr">
        <is>
          <t>072</t>
        </is>
      </c>
      <c r="D287" s="1" t="inlineStr">
        <is>
          <t>251006</t>
        </is>
      </c>
      <c r="E287" s="1" t="inlineStr">
        <is>
          <t xml:space="preserve">28194769       </t>
        </is>
      </c>
      <c r="F287" s="5" t="inlineStr">
        <is>
          <t>AUTOS DE METAL 3 TEAMSTERZ PACK DE 2</t>
        </is>
      </c>
      <c r="G287" t="n">
        <v>1</v>
      </c>
      <c r="H287" s="7" t="n">
        <v>13.8</v>
      </c>
      <c r="I287" s="7" t="n">
        <v>0</v>
      </c>
      <c r="J287" s="7" t="n">
        <v>0</v>
      </c>
      <c r="K287" s="9" t="n">
        <v>0</v>
      </c>
      <c r="L287" s="10" t="n">
        <v>8.18</v>
      </c>
      <c r="M287" s="10" t="n">
        <v>1.43</v>
      </c>
      <c r="N287" t="inlineStr">
        <is>
          <t>1</t>
        </is>
      </c>
      <c r="O287" t="inlineStr">
        <is>
          <t xml:space="preserve">6 </t>
        </is>
      </c>
      <c r="P287" t="inlineStr">
        <is>
          <t xml:space="preserve">250193  </t>
        </is>
      </c>
      <c r="Q287" s="26" t="n">
        <v>8.19</v>
      </c>
      <c r="R287" s="26">
        <f>Q287*G287</f>
        <v/>
      </c>
      <c r="S287" s="26">
        <f>IFERROR(VLOOKUP(E287*1,Tabla[#All],8,0),0)</f>
        <v/>
      </c>
      <c r="T287" s="26">
        <f>S287*G287</f>
        <v/>
      </c>
      <c r="U287" s="26">
        <f>R287-T287</f>
        <v/>
      </c>
      <c r="V287" s="26">
        <f>U287-L287</f>
        <v/>
      </c>
    </row>
    <row r="288">
      <c r="A288" s="11" t="n">
        <v>46207</v>
      </c>
      <c r="B288" s="1" t="n">
        <v>20040</v>
      </c>
      <c r="C288" s="1" t="inlineStr">
        <is>
          <t>073</t>
        </is>
      </c>
      <c r="D288" s="1" t="inlineStr">
        <is>
          <t>254070</t>
        </is>
      </c>
      <c r="E288" s="1" t="inlineStr">
        <is>
          <t xml:space="preserve">29854052       </t>
        </is>
      </c>
      <c r="F288" s="5" t="inlineStr">
        <is>
          <t>PLAYSET CAMBIA DE COLOR CROC BITE</t>
        </is>
      </c>
      <c r="G288" t="n">
        <v>1</v>
      </c>
      <c r="H288" s="7" t="n">
        <v>79.90000000000001</v>
      </c>
      <c r="I288" s="7" t="n">
        <v>0</v>
      </c>
      <c r="J288" s="7" t="n">
        <v>0</v>
      </c>
      <c r="K288" s="9" t="n">
        <v>0</v>
      </c>
      <c r="L288" s="10" t="n">
        <v>47.4</v>
      </c>
      <c r="M288" s="10" t="n">
        <v>1.43</v>
      </c>
      <c r="N288" t="inlineStr">
        <is>
          <t>1</t>
        </is>
      </c>
      <c r="O288" t="inlineStr">
        <is>
          <t xml:space="preserve">2 </t>
        </is>
      </c>
      <c r="P288" t="inlineStr">
        <is>
          <t xml:space="preserve">250040  </t>
        </is>
      </c>
      <c r="Q288" s="26" t="n">
        <v>47.4</v>
      </c>
      <c r="R288" s="26">
        <f>Q288*G288</f>
        <v/>
      </c>
      <c r="S288" s="26">
        <f>IFERROR(VLOOKUP(E288*1,Tabla[#All],8,0),0)</f>
        <v/>
      </c>
      <c r="T288" s="26">
        <f>S288*G288</f>
        <v/>
      </c>
      <c r="U288" s="26">
        <f>R288-T288</f>
        <v/>
      </c>
      <c r="V288" s="26">
        <f>U288-L288</f>
        <v/>
      </c>
    </row>
    <row r="289">
      <c r="A289" s="11" t="n">
        <v>46207</v>
      </c>
      <c r="B289" s="1" t="n">
        <v>20041</v>
      </c>
      <c r="C289" s="1" t="inlineStr">
        <is>
          <t>016</t>
        </is>
      </c>
      <c r="D289" s="1" t="inlineStr">
        <is>
          <t>214706</t>
        </is>
      </c>
      <c r="E289" s="1" t="inlineStr">
        <is>
          <t xml:space="preserve">28194770       </t>
        </is>
      </c>
      <c r="F289" s="5" t="inlineStr">
        <is>
          <t>AUTOS DE METAL 3 TEAMSTERZ EN BLISTER</t>
        </is>
      </c>
      <c r="G289" t="n">
        <v>1</v>
      </c>
      <c r="H289" s="7" t="n">
        <v>6.9</v>
      </c>
      <c r="I289" s="7" t="n">
        <v>0</v>
      </c>
      <c r="J289" s="7" t="n">
        <v>0</v>
      </c>
      <c r="K289" s="9" t="n">
        <v>0</v>
      </c>
      <c r="L289" s="10" t="n">
        <v>4.1</v>
      </c>
      <c r="M289" s="10" t="n">
        <v>1.43</v>
      </c>
      <c r="N289" t="inlineStr">
        <is>
          <t>1</t>
        </is>
      </c>
      <c r="O289" t="inlineStr">
        <is>
          <t xml:space="preserve">2 </t>
        </is>
      </c>
      <c r="P289" t="inlineStr">
        <is>
          <t xml:space="preserve">49695   </t>
        </is>
      </c>
      <c r="Q289" s="26" t="n">
        <v>4.09</v>
      </c>
      <c r="R289" s="26">
        <f>Q289*G289</f>
        <v/>
      </c>
      <c r="S289" s="26">
        <f>IFERROR(VLOOKUP(E289*1,Tabla[#All],8,0),0)</f>
        <v/>
      </c>
      <c r="T289" s="26">
        <f>S289*G289</f>
        <v/>
      </c>
      <c r="U289" s="26">
        <f>R289-T289</f>
        <v/>
      </c>
      <c r="V289" s="26">
        <f>U289-L289</f>
        <v/>
      </c>
    </row>
    <row r="290">
      <c r="A290" s="11" t="n">
        <v>46207</v>
      </c>
      <c r="B290" s="1" t="n">
        <v>20041</v>
      </c>
      <c r="C290" s="1" t="inlineStr">
        <is>
          <t>018</t>
        </is>
      </c>
      <c r="D290" s="1" t="inlineStr">
        <is>
          <t xml:space="preserve">55278 </t>
        </is>
      </c>
      <c r="E290" s="1" t="inlineStr">
        <is>
          <t xml:space="preserve">28194770       </t>
        </is>
      </c>
      <c r="F290" s="5" t="inlineStr">
        <is>
          <t>AUTOS DE METAL 3 TEAMSTERZ EN BLISTER</t>
        </is>
      </c>
      <c r="G290" t="n">
        <v>1</v>
      </c>
      <c r="H290" s="7" t="n">
        <v>6.9</v>
      </c>
      <c r="I290" s="7" t="n">
        <v>0</v>
      </c>
      <c r="J290" s="7" t="n">
        <v>0</v>
      </c>
      <c r="K290" s="9" t="n">
        <v>0</v>
      </c>
      <c r="L290" s="10" t="n">
        <v>4.1</v>
      </c>
      <c r="M290" s="10" t="n">
        <v>1.43</v>
      </c>
      <c r="N290" t="inlineStr">
        <is>
          <t>1</t>
        </is>
      </c>
      <c r="O290" t="inlineStr">
        <is>
          <t>16</t>
        </is>
      </c>
      <c r="P290" t="inlineStr">
        <is>
          <t xml:space="preserve">36180   </t>
        </is>
      </c>
      <c r="Q290" s="26" t="n">
        <v>4.09</v>
      </c>
      <c r="R290" s="26">
        <f>Q290*G290</f>
        <v/>
      </c>
      <c r="S290" s="26">
        <f>IFERROR(VLOOKUP(E290*1,Tabla[#All],8,0),0)</f>
        <v/>
      </c>
      <c r="T290" s="26">
        <f>S290*G290</f>
        <v/>
      </c>
      <c r="U290" s="26">
        <f>R290-T290</f>
        <v/>
      </c>
      <c r="V290" s="26">
        <f>U290-L290</f>
        <v/>
      </c>
    </row>
    <row r="291">
      <c r="A291" s="11" t="n">
        <v>46207</v>
      </c>
      <c r="B291" s="1" t="n">
        <v>20041</v>
      </c>
      <c r="C291" s="1" t="inlineStr">
        <is>
          <t>020</t>
        </is>
      </c>
      <c r="D291" s="1" t="inlineStr">
        <is>
          <t>365679</t>
        </is>
      </c>
      <c r="E291" s="1" t="inlineStr">
        <is>
          <t xml:space="preserve">28194766       </t>
        </is>
      </c>
      <c r="F291" s="5" t="inlineStr">
        <is>
          <t>CAMIONES TEAMSTERZ DE CIUDAD</t>
        </is>
      </c>
      <c r="G291" t="n">
        <v>1</v>
      </c>
      <c r="H291" s="7" t="n">
        <v>17.9</v>
      </c>
      <c r="I291" s="7" t="n">
        <v>0</v>
      </c>
      <c r="J291" s="7" t="n">
        <v>0</v>
      </c>
      <c r="K291" s="9" t="n">
        <v>0</v>
      </c>
      <c r="L291" s="10" t="n">
        <v>10.62</v>
      </c>
      <c r="M291" s="10" t="n">
        <v>1.43</v>
      </c>
      <c r="N291" t="inlineStr">
        <is>
          <t>1</t>
        </is>
      </c>
      <c r="O291" t="inlineStr">
        <is>
          <t>16</t>
        </is>
      </c>
      <c r="P291" t="inlineStr">
        <is>
          <t xml:space="preserve">57146   </t>
        </is>
      </c>
      <c r="Q291" s="26" t="n">
        <v>10.62</v>
      </c>
      <c r="R291" s="26">
        <f>Q291*G291</f>
        <v/>
      </c>
      <c r="S291" s="26">
        <f>IFERROR(VLOOKUP(E291*1,Tabla[#All],8,0),0)</f>
        <v/>
      </c>
      <c r="T291" s="26">
        <f>S291*G291</f>
        <v/>
      </c>
      <c r="U291" s="26">
        <f>R291-T291</f>
        <v/>
      </c>
      <c r="V291" s="26">
        <f>U291-L291</f>
        <v/>
      </c>
    </row>
    <row r="292">
      <c r="A292" s="11" t="n">
        <v>46207</v>
      </c>
      <c r="B292" s="1" t="n">
        <v>20041</v>
      </c>
      <c r="C292" s="1" t="inlineStr">
        <is>
          <t>020</t>
        </is>
      </c>
      <c r="D292" s="1" t="inlineStr">
        <is>
          <t>365679</t>
        </is>
      </c>
      <c r="E292" s="1" t="inlineStr">
        <is>
          <t xml:space="preserve">28194770       </t>
        </is>
      </c>
      <c r="F292" s="5" t="inlineStr">
        <is>
          <t>AUTOS DE METAL 3 TEAMSTERZ EN BLISTER</t>
        </is>
      </c>
      <c r="G292" t="n">
        <v>1</v>
      </c>
      <c r="H292" s="7" t="n">
        <v>6.9</v>
      </c>
      <c r="I292" s="7" t="n">
        <v>0</v>
      </c>
      <c r="J292" s="7" t="n">
        <v>0</v>
      </c>
      <c r="K292" s="9" t="n">
        <v>0</v>
      </c>
      <c r="L292" s="10" t="n">
        <v>4.1</v>
      </c>
      <c r="M292" s="10" t="n">
        <v>1.43</v>
      </c>
      <c r="N292" t="inlineStr">
        <is>
          <t>1</t>
        </is>
      </c>
      <c r="O292" t="inlineStr">
        <is>
          <t>16</t>
        </is>
      </c>
      <c r="P292" t="inlineStr">
        <is>
          <t xml:space="preserve">57146   </t>
        </is>
      </c>
      <c r="Q292" s="26" t="n">
        <v>4.09</v>
      </c>
      <c r="R292" s="26">
        <f>Q292*G292</f>
        <v/>
      </c>
      <c r="S292" s="26">
        <f>IFERROR(VLOOKUP(E292*1,Tabla[#All],8,0),0)</f>
        <v/>
      </c>
      <c r="T292" s="26">
        <f>S292*G292</f>
        <v/>
      </c>
      <c r="U292" s="26">
        <f>R292-T292</f>
        <v/>
      </c>
      <c r="V292" s="26">
        <f>U292-L292</f>
        <v/>
      </c>
    </row>
    <row r="293">
      <c r="A293" s="11" t="n">
        <v>46207</v>
      </c>
      <c r="B293" s="1" t="n">
        <v>20041</v>
      </c>
      <c r="C293" s="1" t="inlineStr">
        <is>
          <t>037</t>
        </is>
      </c>
      <c r="D293" s="1" t="inlineStr">
        <is>
          <t>188971</t>
        </is>
      </c>
      <c r="E293" s="1" t="inlineStr">
        <is>
          <t xml:space="preserve">28194769       </t>
        </is>
      </c>
      <c r="F293" s="5" t="inlineStr">
        <is>
          <t>AUTOS DE METAL 3 TEAMSTERZ PACK DE 2</t>
        </is>
      </c>
      <c r="G293" t="n">
        <v>1</v>
      </c>
      <c r="H293" s="7" t="n">
        <v>13.8</v>
      </c>
      <c r="I293" s="7" t="n">
        <v>0</v>
      </c>
      <c r="J293" s="7" t="n">
        <v>0</v>
      </c>
      <c r="K293" s="9" t="n">
        <v>0</v>
      </c>
      <c r="L293" s="10" t="n">
        <v>8.18</v>
      </c>
      <c r="M293" s="10" t="n">
        <v>1.43</v>
      </c>
      <c r="N293" t="inlineStr">
        <is>
          <t>1</t>
        </is>
      </c>
      <c r="O293" t="inlineStr">
        <is>
          <t>16</t>
        </is>
      </c>
      <c r="P293" t="inlineStr">
        <is>
          <t xml:space="preserve">242748  </t>
        </is>
      </c>
      <c r="Q293" s="26" t="n">
        <v>8.19</v>
      </c>
      <c r="R293" s="26">
        <f>Q293*G293</f>
        <v/>
      </c>
      <c r="S293" s="26">
        <f>IFERROR(VLOOKUP(E293*1,Tabla[#All],8,0),0)</f>
        <v/>
      </c>
      <c r="T293" s="26">
        <f>S293*G293</f>
        <v/>
      </c>
      <c r="U293" s="26">
        <f>R293-T293</f>
        <v/>
      </c>
      <c r="V293" s="26">
        <f>U293-L293</f>
        <v/>
      </c>
    </row>
    <row r="294">
      <c r="A294" s="11" t="n">
        <v>46207</v>
      </c>
      <c r="B294" s="1" t="n">
        <v>20041</v>
      </c>
      <c r="C294" s="1" t="inlineStr">
        <is>
          <t>037</t>
        </is>
      </c>
      <c r="D294" s="1" t="inlineStr">
        <is>
          <t>188971</t>
        </is>
      </c>
      <c r="E294" s="1" t="inlineStr">
        <is>
          <t xml:space="preserve">28194769       </t>
        </is>
      </c>
      <c r="F294" s="5" t="inlineStr">
        <is>
          <t>AUTOS DE METAL 3 TEAMSTERZ PACK DE 2</t>
        </is>
      </c>
      <c r="G294" t="n">
        <v>1</v>
      </c>
      <c r="H294" s="7" t="n">
        <v>13.8</v>
      </c>
      <c r="I294" s="7" t="n">
        <v>0</v>
      </c>
      <c r="J294" s="7" t="n">
        <v>0</v>
      </c>
      <c r="K294" s="9" t="n">
        <v>0</v>
      </c>
      <c r="L294" s="10" t="n">
        <v>8.18</v>
      </c>
      <c r="M294" s="10" t="n">
        <v>1.43</v>
      </c>
      <c r="N294" t="inlineStr">
        <is>
          <t>1</t>
        </is>
      </c>
      <c r="O294" t="inlineStr">
        <is>
          <t>16</t>
        </is>
      </c>
      <c r="P294" t="inlineStr">
        <is>
          <t xml:space="preserve">242748  </t>
        </is>
      </c>
      <c r="Q294" s="26" t="n">
        <v>8.19</v>
      </c>
      <c r="R294" s="26">
        <f>Q294*G294</f>
        <v/>
      </c>
      <c r="S294" s="26">
        <f>IFERROR(VLOOKUP(E294*1,Tabla[#All],8,0),0)</f>
        <v/>
      </c>
      <c r="T294" s="26">
        <f>S294*G294</f>
        <v/>
      </c>
      <c r="U294" s="26">
        <f>R294-T294</f>
        <v/>
      </c>
      <c r="V294" s="26">
        <f>U294-L294</f>
        <v/>
      </c>
    </row>
    <row r="295">
      <c r="A295" s="11" t="n">
        <v>46207</v>
      </c>
      <c r="B295" s="1" t="n">
        <v>20041</v>
      </c>
      <c r="C295" s="1" t="inlineStr">
        <is>
          <t>037</t>
        </is>
      </c>
      <c r="D295" s="1" t="inlineStr">
        <is>
          <t>189018</t>
        </is>
      </c>
      <c r="E295" s="1" t="inlineStr">
        <is>
          <t xml:space="preserve">28194770       </t>
        </is>
      </c>
      <c r="F295" s="5" t="inlineStr">
        <is>
          <t>AUTOS DE METAL 3 TEAMSTERZ EN BLISTER</t>
        </is>
      </c>
      <c r="G295" t="n">
        <v>1</v>
      </c>
      <c r="H295" s="7" t="n">
        <v>6.9</v>
      </c>
      <c r="I295" s="7" t="n">
        <v>0</v>
      </c>
      <c r="J295" s="7" t="n">
        <v>0</v>
      </c>
      <c r="K295" s="9" t="n">
        <v>0</v>
      </c>
      <c r="L295" s="10" t="n">
        <v>4.1</v>
      </c>
      <c r="M295" s="10" t="n">
        <v>1.43</v>
      </c>
      <c r="N295" t="inlineStr">
        <is>
          <t>1</t>
        </is>
      </c>
      <c r="O295" t="inlineStr">
        <is>
          <t xml:space="preserve">3 </t>
        </is>
      </c>
      <c r="P295" t="inlineStr">
        <is>
          <t xml:space="preserve">242748  </t>
        </is>
      </c>
      <c r="Q295" s="26" t="n">
        <v>4.09</v>
      </c>
      <c r="R295" s="26">
        <f>Q295*G295</f>
        <v/>
      </c>
      <c r="S295" s="26">
        <f>IFERROR(VLOOKUP(E295*1,Tabla[#All],8,0),0)</f>
        <v/>
      </c>
      <c r="T295" s="26">
        <f>S295*G295</f>
        <v/>
      </c>
      <c r="U295" s="26">
        <f>R295-T295</f>
        <v/>
      </c>
      <c r="V295" s="26">
        <f>U295-L295</f>
        <v/>
      </c>
    </row>
    <row r="296">
      <c r="A296" s="11" t="n">
        <v>46207</v>
      </c>
      <c r="B296" s="1" t="n">
        <v>20041</v>
      </c>
      <c r="C296" s="1" t="inlineStr">
        <is>
          <t>037</t>
        </is>
      </c>
      <c r="D296" s="1" t="inlineStr">
        <is>
          <t>189023</t>
        </is>
      </c>
      <c r="E296" s="1" t="inlineStr">
        <is>
          <t xml:space="preserve">28194770       </t>
        </is>
      </c>
      <c r="F296" s="5" t="inlineStr">
        <is>
          <t>AUTOS DE METAL 3 TEAMSTERZ EN BLISTER</t>
        </is>
      </c>
      <c r="G296" t="n">
        <v>1</v>
      </c>
      <c r="H296" s="7" t="n">
        <v>6.9</v>
      </c>
      <c r="I296" s="7" t="n">
        <v>0</v>
      </c>
      <c r="J296" s="7" t="n">
        <v>0</v>
      </c>
      <c r="K296" s="9" t="n">
        <v>0</v>
      </c>
      <c r="L296" s="10" t="n">
        <v>4.1</v>
      </c>
      <c r="M296" s="10" t="n">
        <v>1.43</v>
      </c>
      <c r="N296" t="inlineStr">
        <is>
          <t>1</t>
        </is>
      </c>
      <c r="O296" t="inlineStr">
        <is>
          <t xml:space="preserve">3 </t>
        </is>
      </c>
      <c r="P296" t="inlineStr">
        <is>
          <t xml:space="preserve">242748  </t>
        </is>
      </c>
      <c r="Q296" s="26" t="n">
        <v>4.09</v>
      </c>
      <c r="R296" s="26">
        <f>Q296*G296</f>
        <v/>
      </c>
      <c r="S296" s="26">
        <f>IFERROR(VLOOKUP(E296*1,Tabla[#All],8,0),0)</f>
        <v/>
      </c>
      <c r="T296" s="26">
        <f>S296*G296</f>
        <v/>
      </c>
      <c r="U296" s="26">
        <f>R296-T296</f>
        <v/>
      </c>
      <c r="V296" s="26">
        <f>U296-L296</f>
        <v/>
      </c>
    </row>
    <row r="297">
      <c r="A297" s="11" t="n">
        <v>46207</v>
      </c>
      <c r="B297" s="1" t="n">
        <v>20041</v>
      </c>
      <c r="C297" s="1" t="inlineStr">
        <is>
          <t>037</t>
        </is>
      </c>
      <c r="D297" s="1" t="inlineStr">
        <is>
          <t>189023</t>
        </is>
      </c>
      <c r="E297" s="1" t="inlineStr">
        <is>
          <t xml:space="preserve">28194770       </t>
        </is>
      </c>
      <c r="F297" s="5" t="inlineStr">
        <is>
          <t>AUTOS DE METAL 3 TEAMSTERZ EN BLISTER</t>
        </is>
      </c>
      <c r="G297" t="n">
        <v>1</v>
      </c>
      <c r="H297" s="7" t="n">
        <v>6.9</v>
      </c>
      <c r="I297" s="7" t="n">
        <v>0</v>
      </c>
      <c r="J297" s="7" t="n">
        <v>0</v>
      </c>
      <c r="K297" s="9" t="n">
        <v>0</v>
      </c>
      <c r="L297" s="10" t="n">
        <v>4.1</v>
      </c>
      <c r="M297" s="10" t="n">
        <v>1.43</v>
      </c>
      <c r="N297" t="inlineStr">
        <is>
          <t>1</t>
        </is>
      </c>
      <c r="O297" t="inlineStr">
        <is>
          <t xml:space="preserve">3 </t>
        </is>
      </c>
      <c r="P297" t="inlineStr">
        <is>
          <t xml:space="preserve">242748  </t>
        </is>
      </c>
      <c r="Q297" s="26" t="n">
        <v>4.09</v>
      </c>
      <c r="R297" s="26">
        <f>Q297*G297</f>
        <v/>
      </c>
      <c r="S297" s="26">
        <f>IFERROR(VLOOKUP(E297*1,Tabla[#All],8,0),0)</f>
        <v/>
      </c>
      <c r="T297" s="26">
        <f>S297*G297</f>
        <v/>
      </c>
      <c r="U297" s="26">
        <f>R297-T297</f>
        <v/>
      </c>
      <c r="V297" s="26">
        <f>U297-L297</f>
        <v/>
      </c>
    </row>
    <row r="298">
      <c r="A298" s="11" t="n">
        <v>46207</v>
      </c>
      <c r="B298" s="1" t="n">
        <v>20041</v>
      </c>
      <c r="C298" s="1" t="inlineStr">
        <is>
          <t>037</t>
        </is>
      </c>
      <c r="D298" s="1" t="inlineStr">
        <is>
          <t>189023</t>
        </is>
      </c>
      <c r="E298" s="1" t="inlineStr">
        <is>
          <t xml:space="preserve">28194770       </t>
        </is>
      </c>
      <c r="F298" s="5" t="inlineStr">
        <is>
          <t>AUTOS DE METAL 3 TEAMSTERZ EN BLISTER</t>
        </is>
      </c>
      <c r="G298" t="n">
        <v>1</v>
      </c>
      <c r="H298" s="7" t="n">
        <v>6.9</v>
      </c>
      <c r="I298" s="7" t="n">
        <v>0</v>
      </c>
      <c r="J298" s="7" t="n">
        <v>0</v>
      </c>
      <c r="K298" s="9" t="n">
        <v>0</v>
      </c>
      <c r="L298" s="10" t="n">
        <v>4.1</v>
      </c>
      <c r="M298" s="10" t="n">
        <v>1.43</v>
      </c>
      <c r="N298" t="inlineStr">
        <is>
          <t>1</t>
        </is>
      </c>
      <c r="O298" t="inlineStr">
        <is>
          <t xml:space="preserve">3 </t>
        </is>
      </c>
      <c r="P298" t="inlineStr">
        <is>
          <t xml:space="preserve">242748  </t>
        </is>
      </c>
      <c r="Q298" s="26" t="n">
        <v>4.09</v>
      </c>
      <c r="R298" s="26">
        <f>Q298*G298</f>
        <v/>
      </c>
      <c r="S298" s="26">
        <f>IFERROR(VLOOKUP(E298*1,Tabla[#All],8,0),0)</f>
        <v/>
      </c>
      <c r="T298" s="26">
        <f>S298*G298</f>
        <v/>
      </c>
      <c r="U298" s="26">
        <f>R298-T298</f>
        <v/>
      </c>
      <c r="V298" s="26">
        <f>U298-L298</f>
        <v/>
      </c>
    </row>
    <row r="299">
      <c r="A299" s="11" t="n">
        <v>46207</v>
      </c>
      <c r="B299" s="1" t="n">
        <v>20041</v>
      </c>
      <c r="C299" s="1" t="inlineStr">
        <is>
          <t>037</t>
        </is>
      </c>
      <c r="D299" s="1" t="inlineStr">
        <is>
          <t>189024</t>
        </is>
      </c>
      <c r="E299" s="1" t="inlineStr">
        <is>
          <t xml:space="preserve">28194770       </t>
        </is>
      </c>
      <c r="F299" s="5" t="inlineStr">
        <is>
          <t>AUTOS DE METAL 3 TEAMSTERZ EN BLISTER</t>
        </is>
      </c>
      <c r="G299" t="n">
        <v>1</v>
      </c>
      <c r="H299" s="7" t="n">
        <v>6.9</v>
      </c>
      <c r="I299" s="7" t="n">
        <v>0</v>
      </c>
      <c r="J299" s="7" t="n">
        <v>0</v>
      </c>
      <c r="K299" s="9" t="n">
        <v>0</v>
      </c>
      <c r="L299" s="10" t="n">
        <v>4.1</v>
      </c>
      <c r="M299" s="10" t="n">
        <v>1.43</v>
      </c>
      <c r="N299" t="inlineStr">
        <is>
          <t>1</t>
        </is>
      </c>
      <c r="O299" t="inlineStr">
        <is>
          <t>16</t>
        </is>
      </c>
      <c r="P299" t="inlineStr">
        <is>
          <t xml:space="preserve">242748  </t>
        </is>
      </c>
      <c r="Q299" s="26" t="n">
        <v>4.09</v>
      </c>
      <c r="R299" s="26">
        <f>Q299*G299</f>
        <v/>
      </c>
      <c r="S299" s="26">
        <f>IFERROR(VLOOKUP(E299*1,Tabla[#All],8,0),0)</f>
        <v/>
      </c>
      <c r="T299" s="26">
        <f>S299*G299</f>
        <v/>
      </c>
      <c r="U299" s="26">
        <f>R299-T299</f>
        <v/>
      </c>
      <c r="V299" s="26">
        <f>U299-L299</f>
        <v/>
      </c>
    </row>
    <row r="300">
      <c r="A300" s="11" t="n">
        <v>46207</v>
      </c>
      <c r="B300" s="1" t="n">
        <v>20041</v>
      </c>
      <c r="C300" s="1" t="inlineStr">
        <is>
          <t>037</t>
        </is>
      </c>
      <c r="D300" s="1" t="inlineStr">
        <is>
          <t>189046</t>
        </is>
      </c>
      <c r="E300" s="1" t="inlineStr">
        <is>
          <t xml:space="preserve">28194770       </t>
        </is>
      </c>
      <c r="F300" s="5" t="inlineStr">
        <is>
          <t>AUTOS DE METAL 3 TEAMSTERZ EN BLISTER</t>
        </is>
      </c>
      <c r="G300" t="n">
        <v>1</v>
      </c>
      <c r="H300" s="7" t="n">
        <v>6.9</v>
      </c>
      <c r="I300" s="7" t="n">
        <v>0</v>
      </c>
      <c r="J300" s="7" t="n">
        <v>0</v>
      </c>
      <c r="K300" s="9" t="n">
        <v>0</v>
      </c>
      <c r="L300" s="10" t="n">
        <v>4.1</v>
      </c>
      <c r="M300" s="10" t="n">
        <v>1.43</v>
      </c>
      <c r="N300" t="inlineStr">
        <is>
          <t>1</t>
        </is>
      </c>
      <c r="O300" t="inlineStr">
        <is>
          <t xml:space="preserve">6 </t>
        </is>
      </c>
      <c r="P300" t="inlineStr">
        <is>
          <t xml:space="preserve">242746  </t>
        </is>
      </c>
      <c r="Q300" s="26" t="n">
        <v>4.09</v>
      </c>
      <c r="R300" s="26">
        <f>Q300*G300</f>
        <v/>
      </c>
      <c r="S300" s="26">
        <f>IFERROR(VLOOKUP(E300*1,Tabla[#All],8,0),0)</f>
        <v/>
      </c>
      <c r="T300" s="26">
        <f>S300*G300</f>
        <v/>
      </c>
      <c r="U300" s="26">
        <f>R300-T300</f>
        <v/>
      </c>
      <c r="V300" s="26">
        <f>U300-L300</f>
        <v/>
      </c>
    </row>
    <row r="301">
      <c r="A301" s="11" t="n">
        <v>46207</v>
      </c>
      <c r="B301" s="1" t="n">
        <v>20041</v>
      </c>
      <c r="C301" s="1" t="inlineStr">
        <is>
          <t>037</t>
        </is>
      </c>
      <c r="D301" s="1" t="inlineStr">
        <is>
          <t>189049</t>
        </is>
      </c>
      <c r="E301" s="1" t="inlineStr">
        <is>
          <t xml:space="preserve">28194770       </t>
        </is>
      </c>
      <c r="F301" s="5" t="inlineStr">
        <is>
          <t>AUTOS DE METAL 3 TEAMSTERZ EN BLISTER</t>
        </is>
      </c>
      <c r="G301" t="n">
        <v>1</v>
      </c>
      <c r="H301" s="7" t="n">
        <v>6.9</v>
      </c>
      <c r="I301" s="7" t="n">
        <v>0</v>
      </c>
      <c r="J301" s="7" t="n">
        <v>0</v>
      </c>
      <c r="K301" s="9" t="n">
        <v>0</v>
      </c>
      <c r="L301" s="10" t="n">
        <v>4.1</v>
      </c>
      <c r="M301" s="10" t="n">
        <v>1.43</v>
      </c>
      <c r="N301" t="inlineStr">
        <is>
          <t>1</t>
        </is>
      </c>
      <c r="O301" t="inlineStr">
        <is>
          <t xml:space="preserve">2 </t>
        </is>
      </c>
      <c r="P301" t="inlineStr">
        <is>
          <t xml:space="preserve">242746  </t>
        </is>
      </c>
      <c r="Q301" s="26" t="n">
        <v>4.09</v>
      </c>
      <c r="R301" s="26">
        <f>Q301*G301</f>
        <v/>
      </c>
      <c r="S301" s="26">
        <f>IFERROR(VLOOKUP(E301*1,Tabla[#All],8,0),0)</f>
        <v/>
      </c>
      <c r="T301" s="26">
        <f>S301*G301</f>
        <v/>
      </c>
      <c r="U301" s="26">
        <f>R301-T301</f>
        <v/>
      </c>
      <c r="V301" s="26">
        <f>U301-L301</f>
        <v/>
      </c>
    </row>
    <row r="302">
      <c r="A302" s="11" t="n">
        <v>46207</v>
      </c>
      <c r="B302" s="1" t="n">
        <v>20041</v>
      </c>
      <c r="C302" s="1" t="inlineStr">
        <is>
          <t>037</t>
        </is>
      </c>
      <c r="D302" s="1" t="inlineStr">
        <is>
          <t>189067</t>
        </is>
      </c>
      <c r="E302" s="1" t="inlineStr">
        <is>
          <t xml:space="preserve">28194770       </t>
        </is>
      </c>
      <c r="F302" s="5" t="inlineStr">
        <is>
          <t>AUTOS DE METAL 3 TEAMSTERZ EN BLISTER</t>
        </is>
      </c>
      <c r="G302" t="n">
        <v>1</v>
      </c>
      <c r="H302" s="7" t="n">
        <v>6.9</v>
      </c>
      <c r="I302" s="7" t="n">
        <v>0</v>
      </c>
      <c r="J302" s="7" t="n">
        <v>0</v>
      </c>
      <c r="K302" s="9" t="n">
        <v>0</v>
      </c>
      <c r="L302" s="10" t="n">
        <v>4.1</v>
      </c>
      <c r="M302" s="10" t="n">
        <v>1.43</v>
      </c>
      <c r="N302" t="inlineStr">
        <is>
          <t>1</t>
        </is>
      </c>
      <c r="O302" t="inlineStr">
        <is>
          <t xml:space="preserve">2 </t>
        </is>
      </c>
      <c r="P302" t="inlineStr">
        <is>
          <t xml:space="preserve">242746  </t>
        </is>
      </c>
      <c r="Q302" s="26" t="n">
        <v>4.09</v>
      </c>
      <c r="R302" s="26">
        <f>Q302*G302</f>
        <v/>
      </c>
      <c r="S302" s="26">
        <f>IFERROR(VLOOKUP(E302*1,Tabla[#All],8,0),0)</f>
        <v/>
      </c>
      <c r="T302" s="26">
        <f>S302*G302</f>
        <v/>
      </c>
      <c r="U302" s="26">
        <f>R302-T302</f>
        <v/>
      </c>
      <c r="V302" s="26">
        <f>U302-L302</f>
        <v/>
      </c>
    </row>
    <row r="303">
      <c r="A303" s="11" t="n">
        <v>46207</v>
      </c>
      <c r="B303" s="1" t="n">
        <v>20041</v>
      </c>
      <c r="C303" s="1" t="inlineStr">
        <is>
          <t>037</t>
        </is>
      </c>
      <c r="D303" s="1" t="inlineStr">
        <is>
          <t>189067</t>
        </is>
      </c>
      <c r="E303" s="1" t="inlineStr">
        <is>
          <t xml:space="preserve">28194770       </t>
        </is>
      </c>
      <c r="F303" s="5" t="inlineStr">
        <is>
          <t>AUTOS DE METAL 3 TEAMSTERZ EN BLISTER</t>
        </is>
      </c>
      <c r="G303" t="n">
        <v>1</v>
      </c>
      <c r="H303" s="7" t="n">
        <v>6.9</v>
      </c>
      <c r="I303" s="7" t="n">
        <v>0</v>
      </c>
      <c r="J303" s="7" t="n">
        <v>0</v>
      </c>
      <c r="K303" s="9" t="n">
        <v>0</v>
      </c>
      <c r="L303" s="10" t="n">
        <v>4.1</v>
      </c>
      <c r="M303" s="10" t="n">
        <v>1.43</v>
      </c>
      <c r="N303" t="inlineStr">
        <is>
          <t>1</t>
        </is>
      </c>
      <c r="O303" t="inlineStr">
        <is>
          <t xml:space="preserve">2 </t>
        </is>
      </c>
      <c r="P303" t="inlineStr">
        <is>
          <t xml:space="preserve">242746  </t>
        </is>
      </c>
      <c r="Q303" s="26" t="n">
        <v>4.09</v>
      </c>
      <c r="R303" s="26">
        <f>Q303*G303</f>
        <v/>
      </c>
      <c r="S303" s="26">
        <f>IFERROR(VLOOKUP(E303*1,Tabla[#All],8,0),0)</f>
        <v/>
      </c>
      <c r="T303" s="26">
        <f>S303*G303</f>
        <v/>
      </c>
      <c r="U303" s="26">
        <f>R303-T303</f>
        <v/>
      </c>
      <c r="V303" s="26">
        <f>U303-L303</f>
        <v/>
      </c>
    </row>
    <row r="304">
      <c r="A304" s="11" t="n">
        <v>46207</v>
      </c>
      <c r="B304" s="1" t="n">
        <v>20041</v>
      </c>
      <c r="C304" s="1" t="inlineStr">
        <is>
          <t>037</t>
        </is>
      </c>
      <c r="D304" s="1" t="inlineStr">
        <is>
          <t>189067</t>
        </is>
      </c>
      <c r="E304" s="1" t="inlineStr">
        <is>
          <t xml:space="preserve">29235700       </t>
        </is>
      </c>
      <c r="F304" s="5" t="inlineStr">
        <is>
          <t>HOT WHEELS CASE METALICO PARA GUARDAR 18 CARRITOS</t>
        </is>
      </c>
      <c r="G304" t="n">
        <v>1</v>
      </c>
      <c r="H304" s="7" t="n">
        <v>49.9</v>
      </c>
      <c r="I304" s="7" t="n">
        <v>0</v>
      </c>
      <c r="J304" s="7" t="n">
        <v>0</v>
      </c>
      <c r="K304" s="9" t="n">
        <v>0</v>
      </c>
      <c r="L304" s="10" t="n">
        <v>29.6</v>
      </c>
      <c r="M304" s="10" t="n">
        <v>1.43</v>
      </c>
      <c r="N304" t="inlineStr">
        <is>
          <t>1</t>
        </is>
      </c>
      <c r="O304" t="inlineStr">
        <is>
          <t xml:space="preserve">2 </t>
        </is>
      </c>
      <c r="P304" t="inlineStr">
        <is>
          <t xml:space="preserve">242746  </t>
        </is>
      </c>
      <c r="Q304" s="26" t="n">
        <v>29.6</v>
      </c>
      <c r="R304" s="26">
        <f>Q304*G304</f>
        <v/>
      </c>
      <c r="S304" s="26">
        <f>IFERROR(VLOOKUP(E304*1,Tabla[#All],8,0),0)</f>
        <v/>
      </c>
      <c r="T304" s="26">
        <f>S304*G304</f>
        <v/>
      </c>
      <c r="U304" s="26">
        <f>R304-T304</f>
        <v/>
      </c>
      <c r="V304" s="26">
        <f>U304-L304</f>
        <v/>
      </c>
    </row>
    <row r="305">
      <c r="A305" s="11" t="n">
        <v>46207</v>
      </c>
      <c r="B305" s="1" t="n">
        <v>20041</v>
      </c>
      <c r="C305" s="1" t="inlineStr">
        <is>
          <t>037</t>
        </is>
      </c>
      <c r="D305" s="1" t="inlineStr">
        <is>
          <t>189083</t>
        </is>
      </c>
      <c r="E305" s="1" t="inlineStr">
        <is>
          <t xml:space="preserve">28194770       </t>
        </is>
      </c>
      <c r="F305" s="5" t="inlineStr">
        <is>
          <t>AUTOS DE METAL 3 TEAMSTERZ EN BLISTER</t>
        </is>
      </c>
      <c r="G305" t="n">
        <v>1</v>
      </c>
      <c r="H305" s="7" t="n">
        <v>6.9</v>
      </c>
      <c r="I305" s="7" t="n">
        <v>0</v>
      </c>
      <c r="J305" s="7" t="n">
        <v>0</v>
      </c>
      <c r="K305" s="9" t="n">
        <v>0</v>
      </c>
      <c r="L305" s="10" t="n">
        <v>4.1</v>
      </c>
      <c r="M305" s="10" t="n">
        <v>1.43</v>
      </c>
      <c r="N305" t="inlineStr">
        <is>
          <t>1</t>
        </is>
      </c>
      <c r="O305" t="inlineStr">
        <is>
          <t xml:space="preserve">2 </t>
        </is>
      </c>
      <c r="P305" t="inlineStr">
        <is>
          <t xml:space="preserve">242746  </t>
        </is>
      </c>
      <c r="Q305" s="26" t="n">
        <v>4.09</v>
      </c>
      <c r="R305" s="26">
        <f>Q305*G305</f>
        <v/>
      </c>
      <c r="S305" s="26">
        <f>IFERROR(VLOOKUP(E305*1,Tabla[#All],8,0),0)</f>
        <v/>
      </c>
      <c r="T305" s="26">
        <f>S305*G305</f>
        <v/>
      </c>
      <c r="U305" s="26">
        <f>R305-T305</f>
        <v/>
      </c>
      <c r="V305" s="26">
        <f>U305-L305</f>
        <v/>
      </c>
    </row>
    <row r="306">
      <c r="A306" s="11" t="n">
        <v>46207</v>
      </c>
      <c r="B306" s="1" t="n">
        <v>20041</v>
      </c>
      <c r="C306" s="1" t="inlineStr">
        <is>
          <t>043</t>
        </is>
      </c>
      <c r="D306" s="1" t="inlineStr">
        <is>
          <t xml:space="preserve">75643 </t>
        </is>
      </c>
      <c r="E306" s="1" t="inlineStr">
        <is>
          <t xml:space="preserve">28194766       </t>
        </is>
      </c>
      <c r="F306" s="5" t="inlineStr">
        <is>
          <t>CAMIONES TEAMSTERZ DE CIUDAD</t>
        </is>
      </c>
      <c r="G306" t="n">
        <v>1</v>
      </c>
      <c r="H306" s="7" t="n">
        <v>17.9</v>
      </c>
      <c r="I306" s="7" t="n">
        <v>0</v>
      </c>
      <c r="J306" s="7" t="n">
        <v>0</v>
      </c>
      <c r="K306" s="9" t="n">
        <v>0</v>
      </c>
      <c r="L306" s="10" t="n">
        <v>10.62</v>
      </c>
      <c r="M306" s="10" t="n">
        <v>1.43</v>
      </c>
      <c r="N306" t="inlineStr">
        <is>
          <t>1</t>
        </is>
      </c>
      <c r="O306" t="inlineStr">
        <is>
          <t>16</t>
        </is>
      </c>
      <c r="P306" t="inlineStr">
        <is>
          <t xml:space="preserve">91630   </t>
        </is>
      </c>
      <c r="Q306" s="26" t="n">
        <v>10.62</v>
      </c>
      <c r="R306" s="26">
        <f>Q306*G306</f>
        <v/>
      </c>
      <c r="S306" s="26">
        <f>IFERROR(VLOOKUP(E306*1,Tabla[#All],8,0),0)</f>
        <v/>
      </c>
      <c r="T306" s="26">
        <f>S306*G306</f>
        <v/>
      </c>
      <c r="U306" s="26">
        <f>R306-T306</f>
        <v/>
      </c>
      <c r="V306" s="26">
        <f>U306-L306</f>
        <v/>
      </c>
    </row>
    <row r="307">
      <c r="A307" s="11" t="n">
        <v>46207</v>
      </c>
      <c r="B307" s="1" t="n">
        <v>20041</v>
      </c>
      <c r="C307" s="1" t="inlineStr">
        <is>
          <t>043</t>
        </is>
      </c>
      <c r="D307" s="1" t="inlineStr">
        <is>
          <t xml:space="preserve">75643 </t>
        </is>
      </c>
      <c r="E307" s="1" t="inlineStr">
        <is>
          <t xml:space="preserve">28194770       </t>
        </is>
      </c>
      <c r="F307" s="5" t="inlineStr">
        <is>
          <t>AUTOS DE METAL 3 TEAMSTERZ EN BLISTER</t>
        </is>
      </c>
      <c r="G307" t="n">
        <v>1</v>
      </c>
      <c r="H307" s="7" t="n">
        <v>6.9</v>
      </c>
      <c r="I307" s="7" t="n">
        <v>0</v>
      </c>
      <c r="J307" s="7" t="n">
        <v>0</v>
      </c>
      <c r="K307" s="9" t="n">
        <v>0</v>
      </c>
      <c r="L307" s="10" t="n">
        <v>4.1</v>
      </c>
      <c r="M307" s="10" t="n">
        <v>1.43</v>
      </c>
      <c r="N307" t="inlineStr">
        <is>
          <t>1</t>
        </is>
      </c>
      <c r="O307" t="inlineStr">
        <is>
          <t>16</t>
        </is>
      </c>
      <c r="P307" t="inlineStr">
        <is>
          <t xml:space="preserve">91630   </t>
        </is>
      </c>
      <c r="Q307" s="26" t="n">
        <v>4.09</v>
      </c>
      <c r="R307" s="26">
        <f>Q307*G307</f>
        <v/>
      </c>
      <c r="S307" s="26">
        <f>IFERROR(VLOOKUP(E307*1,Tabla[#All],8,0),0)</f>
        <v/>
      </c>
      <c r="T307" s="26">
        <f>S307*G307</f>
        <v/>
      </c>
      <c r="U307" s="26">
        <f>R307-T307</f>
        <v/>
      </c>
      <c r="V307" s="26">
        <f>U307-L307</f>
        <v/>
      </c>
    </row>
    <row r="308">
      <c r="A308" s="11" t="n">
        <v>46207</v>
      </c>
      <c r="B308" s="1" t="n">
        <v>20041</v>
      </c>
      <c r="C308" s="1" t="inlineStr">
        <is>
          <t>043</t>
        </is>
      </c>
      <c r="D308" s="1" t="inlineStr">
        <is>
          <t xml:space="preserve">75695 </t>
        </is>
      </c>
      <c r="E308" s="1" t="inlineStr">
        <is>
          <t xml:space="preserve">28194769       </t>
        </is>
      </c>
      <c r="F308" s="5" t="inlineStr">
        <is>
          <t>AUTOS DE METAL 3 TEAMSTERZ PACK DE 2</t>
        </is>
      </c>
      <c r="G308" t="n">
        <v>1</v>
      </c>
      <c r="H308" s="7" t="n">
        <v>13.8</v>
      </c>
      <c r="I308" s="7" t="n">
        <v>0</v>
      </c>
      <c r="J308" s="7" t="n">
        <v>0</v>
      </c>
      <c r="K308" s="9" t="n">
        <v>0</v>
      </c>
      <c r="L308" s="10" t="n">
        <v>8.18</v>
      </c>
      <c r="M308" s="10" t="n">
        <v>1.43</v>
      </c>
      <c r="N308" t="inlineStr">
        <is>
          <t>1</t>
        </is>
      </c>
      <c r="O308" t="inlineStr">
        <is>
          <t xml:space="preserve">2 </t>
        </is>
      </c>
      <c r="P308" t="inlineStr">
        <is>
          <t xml:space="preserve">91630   </t>
        </is>
      </c>
      <c r="Q308" s="26" t="n">
        <v>8.19</v>
      </c>
      <c r="R308" s="26">
        <f>Q308*G308</f>
        <v/>
      </c>
      <c r="S308" s="26">
        <f>IFERROR(VLOOKUP(E308*1,Tabla[#All],8,0),0)</f>
        <v/>
      </c>
      <c r="T308" s="26">
        <f>S308*G308</f>
        <v/>
      </c>
      <c r="U308" s="26">
        <f>R308-T308</f>
        <v/>
      </c>
      <c r="V308" s="26">
        <f>U308-L308</f>
        <v/>
      </c>
    </row>
    <row r="309">
      <c r="A309" s="11" t="n">
        <v>46207</v>
      </c>
      <c r="B309" s="1" t="n">
        <v>20041</v>
      </c>
      <c r="C309" s="1" t="inlineStr">
        <is>
          <t>503</t>
        </is>
      </c>
      <c r="D309" s="1" t="inlineStr">
        <is>
          <t xml:space="preserve">7221  </t>
        </is>
      </c>
      <c r="E309" s="1" t="inlineStr">
        <is>
          <t xml:space="preserve">28194770       </t>
        </is>
      </c>
      <c r="F309" s="5" t="inlineStr">
        <is>
          <t>AUTOS DE METAL 3 TEAMSTERZ EN BLISTER</t>
        </is>
      </c>
      <c r="G309" t="n">
        <v>1</v>
      </c>
      <c r="H309" s="7" t="n">
        <v>6.9</v>
      </c>
      <c r="I309" s="7" t="n">
        <v>0</v>
      </c>
      <c r="J309" s="7" t="n">
        <v>0</v>
      </c>
      <c r="K309" s="9" t="n">
        <v>0</v>
      </c>
      <c r="L309" s="10" t="n">
        <v>4.1</v>
      </c>
      <c r="M309" s="10" t="n">
        <v>1.43</v>
      </c>
      <c r="N309" t="inlineStr">
        <is>
          <t>1</t>
        </is>
      </c>
      <c r="O309" t="inlineStr">
        <is>
          <t>16</t>
        </is>
      </c>
      <c r="P309" t="inlineStr">
        <is>
          <t xml:space="preserve">250798  </t>
        </is>
      </c>
      <c r="Q309" s="26" t="n">
        <v>4.09</v>
      </c>
      <c r="R309" s="26">
        <f>Q309*G309</f>
        <v/>
      </c>
      <c r="S309" s="26">
        <f>IFERROR(VLOOKUP(E309*1,Tabla[#All],8,0),0)</f>
        <v/>
      </c>
      <c r="T309" s="26">
        <f>S309*G309</f>
        <v/>
      </c>
      <c r="U309" s="26">
        <f>R309-T309</f>
        <v/>
      </c>
      <c r="V309" s="26">
        <f>U309-L309</f>
        <v/>
      </c>
    </row>
    <row r="310">
      <c r="A310" s="11" t="n">
        <v>46207</v>
      </c>
      <c r="B310" s="1" t="n">
        <v>20041</v>
      </c>
      <c r="C310" s="1" t="inlineStr">
        <is>
          <t>512</t>
        </is>
      </c>
      <c r="D310" s="1" t="inlineStr">
        <is>
          <t xml:space="preserve">5033  </t>
        </is>
      </c>
      <c r="E310" s="1" t="inlineStr">
        <is>
          <t xml:space="preserve">28194769       </t>
        </is>
      </c>
      <c r="F310" s="5" t="inlineStr">
        <is>
          <t>AUTOS DE METAL 3 TEAMSTERZ PACK DE 2</t>
        </is>
      </c>
      <c r="G310" t="n">
        <v>1</v>
      </c>
      <c r="H310" s="7" t="n">
        <v>13.8</v>
      </c>
      <c r="I310" s="7" t="n">
        <v>0</v>
      </c>
      <c r="J310" s="7" t="n">
        <v>0</v>
      </c>
      <c r="K310" s="9" t="n">
        <v>0</v>
      </c>
      <c r="L310" s="10" t="n">
        <v>8.18</v>
      </c>
      <c r="M310" s="10" t="n">
        <v>1.43</v>
      </c>
      <c r="N310" t="inlineStr">
        <is>
          <t>1</t>
        </is>
      </c>
      <c r="O310" t="inlineStr">
        <is>
          <t>16</t>
        </is>
      </c>
      <c r="P310" t="inlineStr">
        <is>
          <t xml:space="preserve">40560   </t>
        </is>
      </c>
      <c r="Q310" s="26" t="n">
        <v>8.19</v>
      </c>
      <c r="R310" s="26">
        <f>Q310*G310</f>
        <v/>
      </c>
      <c r="S310" s="26">
        <f>IFERROR(VLOOKUP(E310*1,Tabla[#All],8,0),0)</f>
        <v/>
      </c>
      <c r="T310" s="26">
        <f>S310*G310</f>
        <v/>
      </c>
      <c r="U310" s="26">
        <f>R310-T310</f>
        <v/>
      </c>
      <c r="V310" s="26">
        <f>U310-L310</f>
        <v/>
      </c>
    </row>
    <row r="311">
      <c r="A311" s="11" t="n">
        <v>46207</v>
      </c>
      <c r="B311" s="1" t="n">
        <v>20041</v>
      </c>
      <c r="C311" s="1" t="inlineStr">
        <is>
          <t>512</t>
        </is>
      </c>
      <c r="D311" s="1" t="inlineStr">
        <is>
          <t xml:space="preserve">5033  </t>
        </is>
      </c>
      <c r="E311" s="1" t="inlineStr">
        <is>
          <t xml:space="preserve">28194770       </t>
        </is>
      </c>
      <c r="F311" s="5" t="inlineStr">
        <is>
          <t>AUTOS DE METAL 3 TEAMSTERZ EN BLISTER</t>
        </is>
      </c>
      <c r="G311" t="n">
        <v>1</v>
      </c>
      <c r="H311" s="7" t="n">
        <v>6.9</v>
      </c>
      <c r="I311" s="7" t="n">
        <v>0</v>
      </c>
      <c r="J311" s="7" t="n">
        <v>0</v>
      </c>
      <c r="K311" s="9" t="n">
        <v>0</v>
      </c>
      <c r="L311" s="10" t="n">
        <v>4.1</v>
      </c>
      <c r="M311" s="10" t="n">
        <v>1.43</v>
      </c>
      <c r="N311" t="inlineStr">
        <is>
          <t>1</t>
        </is>
      </c>
      <c r="O311" t="inlineStr">
        <is>
          <t>16</t>
        </is>
      </c>
      <c r="P311" t="inlineStr">
        <is>
          <t xml:space="preserve">40560   </t>
        </is>
      </c>
      <c r="Q311" s="26" t="n">
        <v>4.09</v>
      </c>
      <c r="R311" s="26">
        <f>Q311*G311</f>
        <v/>
      </c>
      <c r="S311" s="26">
        <f>IFERROR(VLOOKUP(E311*1,Tabla[#All],8,0),0)</f>
        <v/>
      </c>
      <c r="T311" s="26">
        <f>S311*G311</f>
        <v/>
      </c>
      <c r="U311" s="26">
        <f>R311-T311</f>
        <v/>
      </c>
      <c r="V311" s="26">
        <f>U311-L311</f>
        <v/>
      </c>
    </row>
    <row r="312">
      <c r="A312" s="11" t="n">
        <v>46207</v>
      </c>
      <c r="B312" s="1" t="n">
        <v>20043</v>
      </c>
      <c r="C312" s="1" t="inlineStr">
        <is>
          <t>014</t>
        </is>
      </c>
      <c r="D312" s="1" t="inlineStr">
        <is>
          <t>137037</t>
        </is>
      </c>
      <c r="E312" s="1" t="inlineStr">
        <is>
          <t xml:space="preserve">31754676       </t>
        </is>
      </c>
      <c r="F312" s="5" t="inlineStr">
        <is>
          <t>INFINITY NADO SERIE 6 STD PACK LANZ ESPAD ANILLO M</t>
        </is>
      </c>
      <c r="G312" t="n">
        <v>1</v>
      </c>
      <c r="H312" s="7" t="n">
        <v>79.90000000000001</v>
      </c>
      <c r="I312" s="7" t="n">
        <v>0</v>
      </c>
      <c r="J312" s="7" t="n">
        <v>0</v>
      </c>
      <c r="K312" s="9" t="n">
        <v>0</v>
      </c>
      <c r="L312" s="10" t="n">
        <v>47.4</v>
      </c>
      <c r="M312" s="10" t="n">
        <v>1.43</v>
      </c>
      <c r="N312" t="inlineStr">
        <is>
          <t>1</t>
        </is>
      </c>
      <c r="O312" t="inlineStr">
        <is>
          <t>16</t>
        </is>
      </c>
      <c r="P312" t="inlineStr">
        <is>
          <t xml:space="preserve">16988   </t>
        </is>
      </c>
      <c r="Q312" s="26" t="n">
        <v>47.4</v>
      </c>
      <c r="R312" s="26">
        <f>Q312*G312</f>
        <v/>
      </c>
      <c r="S312" s="26">
        <f>IFERROR(VLOOKUP(E312*1,Tabla[#All],8,0),0)</f>
        <v/>
      </c>
      <c r="T312" s="26">
        <f>S312*G312</f>
        <v/>
      </c>
      <c r="U312" s="26">
        <f>R312-T312</f>
        <v/>
      </c>
      <c r="V312" s="26">
        <f>U312-L312</f>
        <v/>
      </c>
    </row>
    <row r="313">
      <c r="A313" s="11" t="n">
        <v>46207</v>
      </c>
      <c r="B313" s="1" t="n">
        <v>20047</v>
      </c>
      <c r="C313" s="1" t="inlineStr">
        <is>
          <t>012</t>
        </is>
      </c>
      <c r="D313" s="1" t="inlineStr">
        <is>
          <t>331140</t>
        </is>
      </c>
      <c r="E313" s="1" t="inlineStr">
        <is>
          <t xml:space="preserve">28194766       </t>
        </is>
      </c>
      <c r="F313" s="5" t="inlineStr">
        <is>
          <t>CAMIONES TEAMSTERZ DE CIUDAD</t>
        </is>
      </c>
      <c r="G313" t="n">
        <v>1</v>
      </c>
      <c r="H313" s="7" t="n">
        <v>17.9</v>
      </c>
      <c r="I313" s="7" t="n">
        <v>0</v>
      </c>
      <c r="J313" s="7" t="n">
        <v>0</v>
      </c>
      <c r="K313" s="9" t="n">
        <v>0</v>
      </c>
      <c r="L313" s="10" t="n">
        <v>10.62</v>
      </c>
      <c r="M313" s="10" t="n">
        <v>1.43</v>
      </c>
      <c r="N313" t="inlineStr">
        <is>
          <t>1</t>
        </is>
      </c>
      <c r="O313" t="inlineStr">
        <is>
          <t xml:space="preserve">2 </t>
        </is>
      </c>
      <c r="P313" t="inlineStr">
        <is>
          <t xml:space="preserve">245862  </t>
        </is>
      </c>
      <c r="Q313" s="26" t="n">
        <v>10.62</v>
      </c>
      <c r="R313" s="26">
        <f>Q313*G313</f>
        <v/>
      </c>
      <c r="S313" s="26">
        <f>IFERROR(VLOOKUP(E313*1,Tabla[#All],8,0),0)</f>
        <v/>
      </c>
      <c r="T313" s="26">
        <f>S313*G313</f>
        <v/>
      </c>
      <c r="U313" s="26">
        <f>R313-T313</f>
        <v/>
      </c>
      <c r="V313" s="26">
        <f>U313-L313</f>
        <v/>
      </c>
    </row>
    <row r="314">
      <c r="A314" s="11" t="n">
        <v>46207</v>
      </c>
      <c r="B314" s="1" t="n">
        <v>20047</v>
      </c>
      <c r="C314" s="1" t="inlineStr">
        <is>
          <t>012</t>
        </is>
      </c>
      <c r="D314" s="1" t="inlineStr">
        <is>
          <t>331201</t>
        </is>
      </c>
      <c r="E314" s="1" t="inlineStr">
        <is>
          <t xml:space="preserve">28194770       </t>
        </is>
      </c>
      <c r="F314" s="5" t="inlineStr">
        <is>
          <t>AUTOS DE METAL 3 TEAMSTERZ EN BLISTER</t>
        </is>
      </c>
      <c r="G314" t="n">
        <v>1</v>
      </c>
      <c r="H314" s="7" t="n">
        <v>6.9</v>
      </c>
      <c r="I314" s="7" t="n">
        <v>0</v>
      </c>
      <c r="J314" s="7" t="n">
        <v>0</v>
      </c>
      <c r="K314" s="9" t="n">
        <v>0</v>
      </c>
      <c r="L314" s="10" t="n">
        <v>4.1</v>
      </c>
      <c r="M314" s="10" t="n">
        <v>1.43</v>
      </c>
      <c r="N314" t="inlineStr">
        <is>
          <t>1</t>
        </is>
      </c>
      <c r="O314" t="inlineStr">
        <is>
          <t>16</t>
        </is>
      </c>
      <c r="P314" t="inlineStr">
        <is>
          <t xml:space="preserve">245257  </t>
        </is>
      </c>
      <c r="Q314" s="26" t="n">
        <v>4.09</v>
      </c>
      <c r="R314" s="26">
        <f>Q314*G314</f>
        <v/>
      </c>
      <c r="S314" s="26">
        <f>IFERROR(VLOOKUP(E314*1,Tabla[#All],8,0),0)</f>
        <v/>
      </c>
      <c r="T314" s="26">
        <f>S314*G314</f>
        <v/>
      </c>
      <c r="U314" s="26">
        <f>R314-T314</f>
        <v/>
      </c>
      <c r="V314" s="26">
        <f>U314-L314</f>
        <v/>
      </c>
    </row>
    <row r="315">
      <c r="A315" s="11" t="n">
        <v>46207</v>
      </c>
      <c r="B315" s="1" t="n">
        <v>20047</v>
      </c>
      <c r="C315" s="1" t="inlineStr">
        <is>
          <t>191</t>
        </is>
      </c>
      <c r="D315" s="1" t="inlineStr">
        <is>
          <t>460247</t>
        </is>
      </c>
      <c r="E315" s="1" t="inlineStr">
        <is>
          <t xml:space="preserve">28194769       </t>
        </is>
      </c>
      <c r="F315" s="5" t="inlineStr">
        <is>
          <t>AUTOS DE METAL 3 TEAMSTERZ PACK DE 2</t>
        </is>
      </c>
      <c r="G315" t="n">
        <v>1</v>
      </c>
      <c r="H315" s="7" t="n">
        <v>13.8</v>
      </c>
      <c r="I315" s="7" t="n">
        <v>0</v>
      </c>
      <c r="J315" s="7" t="n">
        <v>0</v>
      </c>
      <c r="K315" s="9" t="n">
        <v>0</v>
      </c>
      <c r="L315" s="10" t="n">
        <v>8.18</v>
      </c>
      <c r="M315" s="10" t="n">
        <v>1.43</v>
      </c>
      <c r="N315" t="inlineStr">
        <is>
          <t>1</t>
        </is>
      </c>
      <c r="O315" t="inlineStr">
        <is>
          <t xml:space="preserve">2 </t>
        </is>
      </c>
      <c r="P315" t="inlineStr">
        <is>
          <t xml:space="preserve">245862  </t>
        </is>
      </c>
      <c r="Q315" s="26" t="n">
        <v>8.19</v>
      </c>
      <c r="R315" s="26">
        <f>Q315*G315</f>
        <v/>
      </c>
      <c r="S315" s="26">
        <f>IFERROR(VLOOKUP(E315*1,Tabla[#All],8,0),0)</f>
        <v/>
      </c>
      <c r="T315" s="26">
        <f>S315*G315</f>
        <v/>
      </c>
      <c r="U315" s="26">
        <f>R315-T315</f>
        <v/>
      </c>
      <c r="V315" s="26">
        <f>U315-L315</f>
        <v/>
      </c>
    </row>
    <row r="316">
      <c r="A316" s="11" t="n">
        <v>46207</v>
      </c>
      <c r="B316" s="1" t="n">
        <v>20047</v>
      </c>
      <c r="C316" s="1" t="inlineStr">
        <is>
          <t>191</t>
        </is>
      </c>
      <c r="D316" s="1" t="inlineStr">
        <is>
          <t>460247</t>
        </is>
      </c>
      <c r="E316" s="1" t="inlineStr">
        <is>
          <t xml:space="preserve">31675353       </t>
        </is>
      </c>
      <c r="F316" s="5" t="inlineStr">
        <is>
          <t>NENUCO CON BIBERON Y SONAJERO</t>
        </is>
      </c>
      <c r="G316" t="n">
        <v>1</v>
      </c>
      <c r="H316" s="7" t="n">
        <v>79.90000000000001</v>
      </c>
      <c r="I316" s="7" t="n">
        <v>0</v>
      </c>
      <c r="J316" s="7" t="n">
        <v>0</v>
      </c>
      <c r="K316" s="9" t="n">
        <v>0</v>
      </c>
      <c r="L316" s="10" t="n">
        <v>47.4</v>
      </c>
      <c r="M316" s="10" t="n">
        <v>1.43</v>
      </c>
      <c r="N316" t="inlineStr">
        <is>
          <t>1</t>
        </is>
      </c>
      <c r="O316" t="inlineStr">
        <is>
          <t xml:space="preserve">2 </t>
        </is>
      </c>
      <c r="P316" t="inlineStr">
        <is>
          <t xml:space="preserve">245862  </t>
        </is>
      </c>
      <c r="Q316" s="26" t="n">
        <v>47.4</v>
      </c>
      <c r="R316" s="26">
        <f>Q316*G316</f>
        <v/>
      </c>
      <c r="S316" s="26">
        <f>IFERROR(VLOOKUP(E316*1,Tabla[#All],8,0),0)</f>
        <v/>
      </c>
      <c r="T316" s="26">
        <f>S316*G316</f>
        <v/>
      </c>
      <c r="U316" s="26">
        <f>R316-T316</f>
        <v/>
      </c>
      <c r="V316" s="26">
        <f>U316-L316</f>
        <v/>
      </c>
    </row>
    <row r="317">
      <c r="A317" s="11" t="n">
        <v>46207</v>
      </c>
      <c r="B317" s="1" t="n">
        <v>20048</v>
      </c>
      <c r="C317" s="1" t="inlineStr">
        <is>
          <t>018</t>
        </is>
      </c>
      <c r="D317" s="1" t="inlineStr">
        <is>
          <t xml:space="preserve">45777 </t>
        </is>
      </c>
      <c r="E317" s="1" t="inlineStr">
        <is>
          <t xml:space="preserve">28194767       </t>
        </is>
      </c>
      <c r="F317" s="5" t="inlineStr">
        <is>
          <t>CAMIONES TEAMSTERZ DE EMERGENCIA</t>
        </is>
      </c>
      <c r="G317" t="n">
        <v>1</v>
      </c>
      <c r="H317" s="7" t="n">
        <v>17.9</v>
      </c>
      <c r="I317" s="7" t="n">
        <v>0</v>
      </c>
      <c r="J317" s="7" t="n">
        <v>0</v>
      </c>
      <c r="K317" s="9" t="n">
        <v>0</v>
      </c>
      <c r="L317" s="10" t="n">
        <v>10.62</v>
      </c>
      <c r="M317" s="10" t="n">
        <v>1.43</v>
      </c>
      <c r="N317" t="inlineStr">
        <is>
          <t>1</t>
        </is>
      </c>
      <c r="O317" t="inlineStr">
        <is>
          <t xml:space="preserve">2 </t>
        </is>
      </c>
      <c r="P317" t="inlineStr">
        <is>
          <t xml:space="preserve">45117   </t>
        </is>
      </c>
      <c r="Q317" s="26" t="n">
        <v>10.62</v>
      </c>
      <c r="R317" s="26">
        <f>Q317*G317</f>
        <v/>
      </c>
      <c r="S317" s="26">
        <f>IFERROR(VLOOKUP(E317*1,Tabla[#All],8,0),0)</f>
        <v/>
      </c>
      <c r="T317" s="26">
        <f>S317*G317</f>
        <v/>
      </c>
      <c r="U317" s="26">
        <f>R317-T317</f>
        <v/>
      </c>
      <c r="V317" s="26">
        <f>U317-L317</f>
        <v/>
      </c>
    </row>
    <row r="318">
      <c r="A318" s="11" t="n">
        <v>46207</v>
      </c>
      <c r="B318" s="1" t="n">
        <v>20048</v>
      </c>
      <c r="C318" s="1" t="inlineStr">
        <is>
          <t>018</t>
        </is>
      </c>
      <c r="D318" s="1" t="inlineStr">
        <is>
          <t xml:space="preserve">45787 </t>
        </is>
      </c>
      <c r="E318" s="1" t="inlineStr">
        <is>
          <t xml:space="preserve">31675354       </t>
        </is>
      </c>
      <c r="F318" s="5" t="inlineStr">
        <is>
          <t>NENUCO LLORON CON ACCESORIOS</t>
        </is>
      </c>
      <c r="G318" t="n">
        <v>1</v>
      </c>
      <c r="H318" s="7" t="n">
        <v>89.90000000000001</v>
      </c>
      <c r="I318" s="7" t="n">
        <v>0</v>
      </c>
      <c r="J318" s="7" t="n">
        <v>0</v>
      </c>
      <c r="K318" s="9" t="n">
        <v>0</v>
      </c>
      <c r="L318" s="10" t="n">
        <v>53.33</v>
      </c>
      <c r="M318" s="10" t="n">
        <v>1.43</v>
      </c>
      <c r="N318" t="inlineStr">
        <is>
          <t>1</t>
        </is>
      </c>
      <c r="O318" t="inlineStr">
        <is>
          <t xml:space="preserve">3 </t>
        </is>
      </c>
      <c r="P318" t="inlineStr">
        <is>
          <t xml:space="preserve">45117   </t>
        </is>
      </c>
      <c r="Q318" s="26" t="n">
        <v>53.33</v>
      </c>
      <c r="R318" s="26">
        <f>Q318*G318</f>
        <v/>
      </c>
      <c r="S318" s="26">
        <f>IFERROR(VLOOKUP(E318*1,Tabla[#All],8,0),0)</f>
        <v/>
      </c>
      <c r="T318" s="26">
        <f>S318*G318</f>
        <v/>
      </c>
      <c r="U318" s="26">
        <f>R318-T318</f>
        <v/>
      </c>
      <c r="V318" s="26">
        <f>U318-L318</f>
        <v/>
      </c>
    </row>
    <row r="319">
      <c r="A319" s="11" t="n">
        <v>46207</v>
      </c>
      <c r="B319" s="1" t="n">
        <v>20048</v>
      </c>
      <c r="C319" s="1" t="inlineStr">
        <is>
          <t>018</t>
        </is>
      </c>
      <c r="D319" s="1" t="inlineStr">
        <is>
          <t xml:space="preserve">45807 </t>
        </is>
      </c>
      <c r="E319" s="1" t="inlineStr">
        <is>
          <t xml:space="preserve">29235706       </t>
        </is>
      </c>
      <c r="F319" s="5" t="inlineStr">
        <is>
          <t>TEAMSTERZ CAMION PARA GUARDAR 12 AUTOS INCL 4 AUTO</t>
        </is>
      </c>
      <c r="G319" t="n">
        <v>1</v>
      </c>
      <c r="H319" s="7" t="n">
        <v>59.9</v>
      </c>
      <c r="I319" s="7" t="n">
        <v>0</v>
      </c>
      <c r="J319" s="7" t="n">
        <v>0</v>
      </c>
      <c r="K319" s="9" t="n">
        <v>0</v>
      </c>
      <c r="L319" s="10" t="n">
        <v>35.53</v>
      </c>
      <c r="M319" s="10" t="n">
        <v>1.43</v>
      </c>
      <c r="N319" t="inlineStr">
        <is>
          <t>1</t>
        </is>
      </c>
      <c r="O319" t="inlineStr">
        <is>
          <t>16</t>
        </is>
      </c>
      <c r="P319" t="inlineStr">
        <is>
          <t xml:space="preserve">45117   </t>
        </is>
      </c>
      <c r="Q319" s="26" t="n">
        <v>35.53</v>
      </c>
      <c r="R319" s="26">
        <f>Q319*G319</f>
        <v/>
      </c>
      <c r="S319" s="26">
        <f>IFERROR(VLOOKUP(E319*1,Tabla[#All],8,0),0)</f>
        <v/>
      </c>
      <c r="T319" s="26">
        <f>S319*G319</f>
        <v/>
      </c>
      <c r="U319" s="26">
        <f>R319-T319</f>
        <v/>
      </c>
      <c r="V319" s="26">
        <f>U319-L319</f>
        <v/>
      </c>
    </row>
    <row r="320">
      <c r="A320" s="11" t="n">
        <v>46207</v>
      </c>
      <c r="B320" s="1" t="n">
        <v>20048</v>
      </c>
      <c r="C320" s="1" t="inlineStr">
        <is>
          <t>018</t>
        </is>
      </c>
      <c r="D320" s="1" t="inlineStr">
        <is>
          <t xml:space="preserve">45827 </t>
        </is>
      </c>
      <c r="E320" s="1" t="inlineStr">
        <is>
          <t xml:space="preserve">28194769       </t>
        </is>
      </c>
      <c r="F320" s="5" t="inlineStr">
        <is>
          <t>AUTOS DE METAL 3 TEAMSTERZ PACK DE 2</t>
        </is>
      </c>
      <c r="G320" t="n">
        <v>1</v>
      </c>
      <c r="H320" s="7" t="n">
        <v>13.8</v>
      </c>
      <c r="I320" s="7" t="n">
        <v>0</v>
      </c>
      <c r="J320" s="7" t="n">
        <v>0</v>
      </c>
      <c r="K320" s="9" t="n">
        <v>0</v>
      </c>
      <c r="L320" s="10" t="n">
        <v>8.18</v>
      </c>
      <c r="M320" s="10" t="n">
        <v>1.43</v>
      </c>
      <c r="N320" t="inlineStr">
        <is>
          <t>1</t>
        </is>
      </c>
      <c r="O320" t="inlineStr">
        <is>
          <t xml:space="preserve">2 </t>
        </is>
      </c>
      <c r="P320" t="inlineStr">
        <is>
          <t xml:space="preserve">45117   </t>
        </is>
      </c>
      <c r="Q320" s="26" t="n">
        <v>8.19</v>
      </c>
      <c r="R320" s="26">
        <f>Q320*G320</f>
        <v/>
      </c>
      <c r="S320" s="26">
        <f>IFERROR(VLOOKUP(E320*1,Tabla[#All],8,0),0)</f>
        <v/>
      </c>
      <c r="T320" s="26">
        <f>S320*G320</f>
        <v/>
      </c>
      <c r="U320" s="26">
        <f>R320-T320</f>
        <v/>
      </c>
      <c r="V320" s="26">
        <f>U320-L320</f>
        <v/>
      </c>
    </row>
    <row r="321">
      <c r="A321" s="11" t="n">
        <v>46207</v>
      </c>
      <c r="B321" s="1" t="n">
        <v>20048</v>
      </c>
      <c r="C321" s="1" t="inlineStr">
        <is>
          <t>027</t>
        </is>
      </c>
      <c r="D321" s="1" t="inlineStr">
        <is>
          <t>321875</t>
        </is>
      </c>
      <c r="E321" s="1" t="inlineStr">
        <is>
          <t xml:space="preserve">33661538       </t>
        </is>
      </c>
      <c r="F321" s="5" t="inlineStr">
        <is>
          <t>HOT WHEELS CASE GARAGE RUEDA METAL EN LLAMAS X 29</t>
        </is>
      </c>
      <c r="G321" t="n">
        <v>1</v>
      </c>
      <c r="H321" s="7" t="n">
        <v>69.90000000000001</v>
      </c>
      <c r="I321" s="7" t="n">
        <v>0</v>
      </c>
      <c r="J321" s="7" t="n">
        <v>0</v>
      </c>
      <c r="K321" s="9" t="n">
        <v>0</v>
      </c>
      <c r="L321" s="10" t="n">
        <v>41.47</v>
      </c>
      <c r="M321" s="10" t="n">
        <v>1.43</v>
      </c>
      <c r="N321" t="inlineStr">
        <is>
          <t>1</t>
        </is>
      </c>
      <c r="O321" t="inlineStr">
        <is>
          <t xml:space="preserve">2 </t>
        </is>
      </c>
      <c r="P321" t="inlineStr">
        <is>
          <t xml:space="preserve">200219  </t>
        </is>
      </c>
      <c r="Q321" s="26" t="n">
        <v>41.47</v>
      </c>
      <c r="R321" s="26">
        <f>Q321*G321</f>
        <v/>
      </c>
      <c r="S321" s="26">
        <f>IFERROR(VLOOKUP(E321*1,Tabla[#All],8,0),0)</f>
        <v/>
      </c>
      <c r="T321" s="26">
        <f>S321*G321</f>
        <v/>
      </c>
      <c r="U321" s="26">
        <f>R321-T321</f>
        <v/>
      </c>
      <c r="V321" s="26">
        <f>U321-L321</f>
        <v/>
      </c>
    </row>
    <row r="322">
      <c r="A322" s="11" t="n">
        <v>46207</v>
      </c>
      <c r="B322" s="1" t="n">
        <v>20048</v>
      </c>
      <c r="C322" s="1" t="inlineStr">
        <is>
          <t>194</t>
        </is>
      </c>
      <c r="D322" s="1" t="inlineStr">
        <is>
          <t>191544</t>
        </is>
      </c>
      <c r="E322" s="1" t="inlineStr">
        <is>
          <t xml:space="preserve">28194770       </t>
        </is>
      </c>
      <c r="F322" s="5" t="inlineStr">
        <is>
          <t>AUTOS DE METAL 3 TEAMSTERZ EN BLISTER</t>
        </is>
      </c>
      <c r="G322" t="n">
        <v>1</v>
      </c>
      <c r="H322" s="7" t="n">
        <v>6.9</v>
      </c>
      <c r="I322" s="7" t="n">
        <v>0</v>
      </c>
      <c r="J322" s="7" t="n">
        <v>0</v>
      </c>
      <c r="K322" s="9" t="n">
        <v>0</v>
      </c>
      <c r="L322" s="10" t="n">
        <v>4.1</v>
      </c>
      <c r="M322" s="10" t="n">
        <v>1.43</v>
      </c>
      <c r="N322" t="inlineStr">
        <is>
          <t>1</t>
        </is>
      </c>
      <c r="O322" t="inlineStr">
        <is>
          <t xml:space="preserve">2 </t>
        </is>
      </c>
      <c r="P322" t="inlineStr">
        <is>
          <t xml:space="preserve">249966  </t>
        </is>
      </c>
      <c r="Q322" s="26" t="n">
        <v>4.09</v>
      </c>
      <c r="R322" s="26">
        <f>Q322*G322</f>
        <v/>
      </c>
      <c r="S322" s="26">
        <f>IFERROR(VLOOKUP(E322*1,Tabla[#All],8,0),0)</f>
        <v/>
      </c>
      <c r="T322" s="26">
        <f>S322*G322</f>
        <v/>
      </c>
      <c r="U322" s="26">
        <f>R322-T322</f>
        <v/>
      </c>
      <c r="V322" s="26">
        <f>U322-L322</f>
        <v/>
      </c>
    </row>
    <row r="323">
      <c r="A323" s="11" t="n">
        <v>46207</v>
      </c>
      <c r="B323" s="1" t="n">
        <v>20048</v>
      </c>
      <c r="C323" s="1" t="inlineStr">
        <is>
          <t>515</t>
        </is>
      </c>
      <c r="D323" s="1" t="inlineStr">
        <is>
          <t xml:space="preserve">1413  </t>
        </is>
      </c>
      <c r="E323" s="1" t="inlineStr">
        <is>
          <t xml:space="preserve">34840536       </t>
        </is>
      </c>
      <c r="F323" s="5" t="inlineStr">
        <is>
          <t>PINYPON ACADEMIA TENEBROSA</t>
        </is>
      </c>
      <c r="G323" t="n">
        <v>1</v>
      </c>
      <c r="H323" s="7" t="n">
        <v>139</v>
      </c>
      <c r="I323" s="7" t="n">
        <v>0</v>
      </c>
      <c r="J323" s="7" t="n">
        <v>0</v>
      </c>
      <c r="K323" s="9" t="n">
        <v>0</v>
      </c>
      <c r="L323" s="10" t="n">
        <v>82.45999999999999</v>
      </c>
      <c r="M323" s="10" t="n">
        <v>1.43</v>
      </c>
      <c r="N323" t="inlineStr">
        <is>
          <t>1</t>
        </is>
      </c>
      <c r="O323" t="inlineStr">
        <is>
          <t>16</t>
        </is>
      </c>
      <c r="P323" t="inlineStr">
        <is>
          <t xml:space="preserve">102671  </t>
        </is>
      </c>
      <c r="Q323" s="26" t="n">
        <v>82.45999999999999</v>
      </c>
      <c r="R323" s="26">
        <f>Q323*G323</f>
        <v/>
      </c>
      <c r="S323" s="26">
        <f>IFERROR(VLOOKUP(E323*1,Tabla[#All],8,0),0)</f>
        <v/>
      </c>
      <c r="T323" s="26">
        <f>S323*G323</f>
        <v/>
      </c>
      <c r="U323" s="26">
        <f>R323-T323</f>
        <v/>
      </c>
      <c r="V323" s="26">
        <f>U323-L323</f>
        <v/>
      </c>
    </row>
    <row r="324">
      <c r="A324" s="11" t="n">
        <v>46207</v>
      </c>
      <c r="B324" s="1" t="n">
        <v>20048</v>
      </c>
      <c r="C324" s="1" t="inlineStr">
        <is>
          <t>800</t>
        </is>
      </c>
      <c r="D324" s="1" t="inlineStr">
        <is>
          <t xml:space="preserve">3464  </t>
        </is>
      </c>
      <c r="E324" s="1" t="inlineStr">
        <is>
          <t xml:space="preserve">32457103       </t>
        </is>
      </c>
      <c r="F324" s="5" t="inlineStr">
        <is>
          <t>TMZ BEAST MACHINES MONSTER JAWS A FRICCION PACK DE</t>
        </is>
      </c>
      <c r="G324" t="n">
        <v>1</v>
      </c>
      <c r="H324" s="7" t="n">
        <v>37.9</v>
      </c>
      <c r="I324" s="7" t="n">
        <v>0</v>
      </c>
      <c r="J324" s="7" t="n">
        <v>0</v>
      </c>
      <c r="K324" s="9" t="n">
        <v>0</v>
      </c>
      <c r="L324" s="10" t="n">
        <v>22.48</v>
      </c>
      <c r="M324" s="10" t="n">
        <v>1.43</v>
      </c>
      <c r="N324" t="inlineStr">
        <is>
          <t>1</t>
        </is>
      </c>
      <c r="O324" t="inlineStr">
        <is>
          <t>16</t>
        </is>
      </c>
      <c r="P324" t="inlineStr">
        <is>
          <t xml:space="preserve">234984  </t>
        </is>
      </c>
      <c r="Q324" s="26" t="n">
        <v>22.48</v>
      </c>
      <c r="R324" s="26">
        <f>Q324*G324</f>
        <v/>
      </c>
      <c r="S324" s="26">
        <f>IFERROR(VLOOKUP(E324*1,Tabla[#All],8,0),0)</f>
        <v/>
      </c>
      <c r="T324" s="26">
        <f>S324*G324</f>
        <v/>
      </c>
      <c r="U324" s="26">
        <f>R324-T324</f>
        <v/>
      </c>
      <c r="V324" s="26">
        <f>U324-L324</f>
        <v/>
      </c>
    </row>
    <row r="325">
      <c r="A325" s="11" t="n">
        <v>46207</v>
      </c>
      <c r="B325" s="1" t="n">
        <v>20048</v>
      </c>
      <c r="C325" s="1" t="inlineStr">
        <is>
          <t>800</t>
        </is>
      </c>
      <c r="D325" s="1" t="inlineStr">
        <is>
          <t xml:space="preserve">3497  </t>
        </is>
      </c>
      <c r="E325" s="1" t="inlineStr">
        <is>
          <t xml:space="preserve">28194781       </t>
        </is>
      </c>
      <c r="F325" s="5" t="inlineStr">
        <is>
          <t>TROMPO BATALLA INFINITY NADO SERIE V CLASICA SURTI</t>
        </is>
      </c>
      <c r="G325" t="n">
        <v>1</v>
      </c>
      <c r="H325" s="7" t="n">
        <v>59.9</v>
      </c>
      <c r="I325" s="7" t="n">
        <v>0</v>
      </c>
      <c r="J325" s="7" t="n">
        <v>0</v>
      </c>
      <c r="K325" s="9" t="n">
        <v>0</v>
      </c>
      <c r="L325" s="10" t="n">
        <v>35.53</v>
      </c>
      <c r="M325" s="10" t="n">
        <v>1.43</v>
      </c>
      <c r="N325" t="inlineStr">
        <is>
          <t>1</t>
        </is>
      </c>
      <c r="O325" t="inlineStr">
        <is>
          <t>16</t>
        </is>
      </c>
      <c r="P325" t="inlineStr">
        <is>
          <t xml:space="preserve">234984  </t>
        </is>
      </c>
      <c r="Q325" s="26" t="n">
        <v>35.53</v>
      </c>
      <c r="R325" s="26">
        <f>Q325*G325</f>
        <v/>
      </c>
      <c r="S325" s="26">
        <f>IFERROR(VLOOKUP(E325*1,Tabla[#All],8,0),0)</f>
        <v/>
      </c>
      <c r="T325" s="26">
        <f>S325*G325</f>
        <v/>
      </c>
      <c r="U325" s="26">
        <f>R325-T325</f>
        <v/>
      </c>
      <c r="V325" s="26">
        <f>U325-L325</f>
        <v/>
      </c>
    </row>
    <row r="326">
      <c r="A326" s="11" t="n">
        <v>46207</v>
      </c>
      <c r="B326" s="1" t="n">
        <v>20048</v>
      </c>
      <c r="C326" s="1" t="inlineStr">
        <is>
          <t>800</t>
        </is>
      </c>
      <c r="D326" s="1" t="inlineStr">
        <is>
          <t xml:space="preserve">3523  </t>
        </is>
      </c>
      <c r="E326" s="1" t="inlineStr">
        <is>
          <t xml:space="preserve">28194783       </t>
        </is>
      </c>
      <c r="F326" s="5" t="inlineStr">
        <is>
          <t>SET DE BATALLA INFINITY NADO CON 2 TROMPOS</t>
        </is>
      </c>
      <c r="G326" t="n">
        <v>1</v>
      </c>
      <c r="H326" s="7" t="n">
        <v>159</v>
      </c>
      <c r="I326" s="7" t="n">
        <v>0</v>
      </c>
      <c r="J326" s="7" t="n">
        <v>0</v>
      </c>
      <c r="K326" s="9" t="n">
        <v>0</v>
      </c>
      <c r="L326" s="10" t="n">
        <v>94.33</v>
      </c>
      <c r="M326" s="10" t="n">
        <v>1.43</v>
      </c>
      <c r="N326" t="inlineStr">
        <is>
          <t>1</t>
        </is>
      </c>
      <c r="O326" t="inlineStr">
        <is>
          <t>16</t>
        </is>
      </c>
      <c r="P326" t="inlineStr">
        <is>
          <t xml:space="preserve">234984  </t>
        </is>
      </c>
      <c r="Q326" s="26" t="n">
        <v>94.31999999999999</v>
      </c>
      <c r="R326" s="26">
        <f>Q326*G326</f>
        <v/>
      </c>
      <c r="S326" s="26">
        <f>IFERROR(VLOOKUP(E326*1,Tabla[#All],8,0),0)</f>
        <v/>
      </c>
      <c r="T326" s="26">
        <f>S326*G326</f>
        <v/>
      </c>
      <c r="U326" s="26">
        <f>R326-T326</f>
        <v/>
      </c>
      <c r="V326" s="26">
        <f>U326-L326</f>
        <v/>
      </c>
    </row>
    <row r="327">
      <c r="A327" s="11" t="n">
        <v>46207</v>
      </c>
      <c r="B327" s="1" t="n">
        <v>20049</v>
      </c>
      <c r="C327" s="1" t="inlineStr">
        <is>
          <t>013</t>
        </is>
      </c>
      <c r="D327" s="1" t="inlineStr">
        <is>
          <t>235119</t>
        </is>
      </c>
      <c r="E327" s="1" t="inlineStr">
        <is>
          <t xml:space="preserve">28194769       </t>
        </is>
      </c>
      <c r="F327" s="5" t="inlineStr">
        <is>
          <t>AUTOS DE METAL 3 TEAMSTERZ PACK DE 2</t>
        </is>
      </c>
      <c r="G327" t="n">
        <v>1</v>
      </c>
      <c r="H327" s="7" t="n">
        <v>13.8</v>
      </c>
      <c r="I327" s="7" t="n">
        <v>0</v>
      </c>
      <c r="J327" s="7" t="n">
        <v>0</v>
      </c>
      <c r="K327" s="9" t="n">
        <v>0</v>
      </c>
      <c r="L327" s="10" t="n">
        <v>8.18</v>
      </c>
      <c r="M327" s="10" t="n">
        <v>1.43</v>
      </c>
      <c r="N327" t="inlineStr">
        <is>
          <t>1</t>
        </is>
      </c>
      <c r="O327" t="inlineStr">
        <is>
          <t xml:space="preserve">2 </t>
        </is>
      </c>
      <c r="P327" t="inlineStr">
        <is>
          <t xml:space="preserve">48754   </t>
        </is>
      </c>
      <c r="Q327" s="26" t="n">
        <v>8.19</v>
      </c>
      <c r="R327" s="26">
        <f>Q327*G327</f>
        <v/>
      </c>
      <c r="S327" s="26">
        <f>IFERROR(VLOOKUP(E327*1,Tabla[#All],8,0),0)</f>
        <v/>
      </c>
      <c r="T327" s="26">
        <f>S327*G327</f>
        <v/>
      </c>
      <c r="U327" s="26">
        <f>R327-T327</f>
        <v/>
      </c>
      <c r="V327" s="26">
        <f>U327-L327</f>
        <v/>
      </c>
    </row>
    <row r="328">
      <c r="A328" s="11" t="n">
        <v>46207</v>
      </c>
      <c r="B328" s="1" t="n">
        <v>20049</v>
      </c>
      <c r="C328" s="1" t="inlineStr">
        <is>
          <t>013</t>
        </is>
      </c>
      <c r="D328" s="1" t="inlineStr">
        <is>
          <t>235195</t>
        </is>
      </c>
      <c r="E328" s="1" t="inlineStr">
        <is>
          <t xml:space="preserve">32656523       </t>
        </is>
      </c>
      <c r="F328" s="5" t="inlineStr">
        <is>
          <t>TMZ BEAST MACHINES TRANSPORT. T-REX ELECTR. + ACCE</t>
        </is>
      </c>
      <c r="G328" t="n">
        <v>1</v>
      </c>
      <c r="H328" s="7" t="n">
        <v>179</v>
      </c>
      <c r="I328" s="7" t="n">
        <v>0</v>
      </c>
      <c r="J328" s="7" t="n">
        <v>0</v>
      </c>
      <c r="K328" s="9" t="n">
        <v>0</v>
      </c>
      <c r="L328" s="10" t="n">
        <v>106.18</v>
      </c>
      <c r="M328" s="10" t="n">
        <v>1.43</v>
      </c>
      <c r="N328" t="inlineStr">
        <is>
          <t>1</t>
        </is>
      </c>
      <c r="O328" t="inlineStr">
        <is>
          <t xml:space="preserve">2 </t>
        </is>
      </c>
      <c r="P328" t="inlineStr">
        <is>
          <t xml:space="preserve">48754   </t>
        </is>
      </c>
      <c r="Q328" s="26" t="n">
        <v>106.19</v>
      </c>
      <c r="R328" s="26">
        <f>Q328*G328</f>
        <v/>
      </c>
      <c r="S328" s="26">
        <f>IFERROR(VLOOKUP(E328*1,Tabla[#All],8,0),0)</f>
        <v/>
      </c>
      <c r="T328" s="26">
        <f>S328*G328</f>
        <v/>
      </c>
      <c r="U328" s="26">
        <f>R328-T328</f>
        <v/>
      </c>
      <c r="V328" s="26">
        <f>U328-L328</f>
        <v/>
      </c>
    </row>
    <row r="329">
      <c r="A329" s="11" t="n">
        <v>46207</v>
      </c>
      <c r="B329" s="1" t="n">
        <v>20049</v>
      </c>
      <c r="C329" s="1" t="inlineStr">
        <is>
          <t>013</t>
        </is>
      </c>
      <c r="D329" s="1" t="inlineStr">
        <is>
          <t>235223</t>
        </is>
      </c>
      <c r="E329" s="1" t="inlineStr">
        <is>
          <t xml:space="preserve">32457101       </t>
        </is>
      </c>
      <c r="F329" s="5" t="inlineStr">
        <is>
          <t>TMZ BEAST MACHINES TRANSPORTE PESADO + 2 AUTOS SUR</t>
        </is>
      </c>
      <c r="G329" t="n">
        <v>1</v>
      </c>
      <c r="H329" s="7" t="n">
        <v>37.9</v>
      </c>
      <c r="I329" s="7" t="n">
        <v>3</v>
      </c>
      <c r="J329" s="7" t="n">
        <v>0</v>
      </c>
      <c r="K329" s="9" t="n">
        <v>3</v>
      </c>
      <c r="L329" s="10" t="n">
        <v>20.71</v>
      </c>
      <c r="M329" s="10" t="n">
        <v>1.43</v>
      </c>
      <c r="N329" t="inlineStr">
        <is>
          <t>1</t>
        </is>
      </c>
      <c r="O329" t="inlineStr">
        <is>
          <t>16</t>
        </is>
      </c>
      <c r="P329" t="inlineStr">
        <is>
          <t xml:space="preserve">48754   </t>
        </is>
      </c>
      <c r="Q329" s="26" t="n">
        <v>22.48</v>
      </c>
      <c r="R329" s="26">
        <f>Q329*G329</f>
        <v/>
      </c>
      <c r="S329" s="26">
        <f>IFERROR(VLOOKUP(E329*1,Tabla[#All],8,0),0)</f>
        <v/>
      </c>
      <c r="T329" s="26">
        <f>S329*G329</f>
        <v/>
      </c>
      <c r="U329" s="26">
        <f>R329-T329</f>
        <v/>
      </c>
      <c r="V329" s="26">
        <f>U329-L329</f>
        <v/>
      </c>
    </row>
    <row r="330">
      <c r="A330" s="11" t="n">
        <v>46207</v>
      </c>
      <c r="B330" s="1" t="n">
        <v>20049</v>
      </c>
      <c r="C330" s="1" t="inlineStr">
        <is>
          <t>025</t>
        </is>
      </c>
      <c r="D330" s="1" t="inlineStr">
        <is>
          <t xml:space="preserve">32905 </t>
        </is>
      </c>
      <c r="E330" s="1" t="inlineStr">
        <is>
          <t xml:space="preserve">30141769       </t>
        </is>
      </c>
      <c r="F330" s="5" t="inlineStr">
        <is>
          <t>TMZ BEAST MACHINES TRANSPORTE DINOSAURIO + 3 AUTOS</t>
        </is>
      </c>
      <c r="G330" t="n">
        <v>1</v>
      </c>
      <c r="H330" s="7" t="n">
        <v>79.90000000000001</v>
      </c>
      <c r="I330" s="7" t="n">
        <v>0</v>
      </c>
      <c r="J330" s="7" t="n">
        <v>0</v>
      </c>
      <c r="K330" s="9" t="n">
        <v>0</v>
      </c>
      <c r="L330" s="10" t="n">
        <v>47.4</v>
      </c>
      <c r="M330" s="10" t="n">
        <v>1.43</v>
      </c>
      <c r="N330" t="inlineStr">
        <is>
          <t>1</t>
        </is>
      </c>
      <c r="O330" t="inlineStr">
        <is>
          <t xml:space="preserve">3 </t>
        </is>
      </c>
      <c r="P330" t="inlineStr">
        <is>
          <t xml:space="preserve">250381  </t>
        </is>
      </c>
      <c r="Q330" s="26" t="n">
        <v>47.4</v>
      </c>
      <c r="R330" s="26">
        <f>Q330*G330</f>
        <v/>
      </c>
      <c r="S330" s="26">
        <f>IFERROR(VLOOKUP(E330*1,Tabla[#All],8,0),0)</f>
        <v/>
      </c>
      <c r="T330" s="26">
        <f>S330*G330</f>
        <v/>
      </c>
      <c r="U330" s="26">
        <f>R330-T330</f>
        <v/>
      </c>
      <c r="V330" s="26">
        <f>U330-L330</f>
        <v/>
      </c>
    </row>
    <row r="331">
      <c r="A331" s="11" t="n">
        <v>46207</v>
      </c>
      <c r="B331" s="1" t="n">
        <v>20049</v>
      </c>
      <c r="C331" s="1" t="inlineStr">
        <is>
          <t>025</t>
        </is>
      </c>
      <c r="D331" s="1" t="inlineStr">
        <is>
          <t xml:space="preserve">32911 </t>
        </is>
      </c>
      <c r="E331" s="1" t="inlineStr">
        <is>
          <t xml:space="preserve">34840568       </t>
        </is>
      </c>
      <c r="F331" s="5" t="inlineStr">
        <is>
          <t>VIP MUNECAS ESCUELA DE PEINADOS SURTIDO</t>
        </is>
      </c>
      <c r="G331" t="n">
        <v>1</v>
      </c>
      <c r="H331" s="7" t="n">
        <v>79.90000000000001</v>
      </c>
      <c r="I331" s="7" t="n">
        <v>0</v>
      </c>
      <c r="J331" s="7" t="n">
        <v>0</v>
      </c>
      <c r="K331" s="9" t="n">
        <v>0</v>
      </c>
      <c r="L331" s="10" t="n">
        <v>47.4</v>
      </c>
      <c r="M331" s="10" t="n">
        <v>1.43</v>
      </c>
      <c r="N331" t="inlineStr">
        <is>
          <t>1</t>
        </is>
      </c>
      <c r="O331" t="inlineStr">
        <is>
          <t>16</t>
        </is>
      </c>
      <c r="P331" t="inlineStr">
        <is>
          <t xml:space="preserve">250381  </t>
        </is>
      </c>
      <c r="Q331" s="26" t="n">
        <v>47.4</v>
      </c>
      <c r="R331" s="26">
        <f>Q331*G331</f>
        <v/>
      </c>
      <c r="S331" s="26">
        <f>IFERROR(VLOOKUP(E331*1,Tabla[#All],8,0),0)</f>
        <v/>
      </c>
      <c r="T331" s="26">
        <f>S331*G331</f>
        <v/>
      </c>
      <c r="U331" s="26">
        <f>R331-T331</f>
        <v/>
      </c>
      <c r="V331" s="26">
        <f>U331-L331</f>
        <v/>
      </c>
    </row>
    <row r="332">
      <c r="A332" s="11" t="n">
        <v>46207</v>
      </c>
      <c r="B332" s="1" t="n">
        <v>20049</v>
      </c>
      <c r="C332" s="1" t="inlineStr">
        <is>
          <t>025</t>
        </is>
      </c>
      <c r="D332" s="1" t="inlineStr">
        <is>
          <t xml:space="preserve">32911 </t>
        </is>
      </c>
      <c r="E332" s="1" t="inlineStr">
        <is>
          <t xml:space="preserve">34840568       </t>
        </is>
      </c>
      <c r="F332" s="5" t="inlineStr">
        <is>
          <t>VIP MUNECAS ESCUELA DE PEINADOS SURTIDO</t>
        </is>
      </c>
      <c r="G332" t="n">
        <v>1</v>
      </c>
      <c r="H332" s="7" t="n">
        <v>79.90000000000001</v>
      </c>
      <c r="I332" s="7" t="n">
        <v>0</v>
      </c>
      <c r="J332" s="7" t="n">
        <v>0</v>
      </c>
      <c r="K332" s="9" t="n">
        <v>0</v>
      </c>
      <c r="L332" s="10" t="n">
        <v>47.4</v>
      </c>
      <c r="M332" s="10" t="n">
        <v>1.43</v>
      </c>
      <c r="N332" t="inlineStr">
        <is>
          <t>1</t>
        </is>
      </c>
      <c r="O332" t="inlineStr">
        <is>
          <t>16</t>
        </is>
      </c>
      <c r="P332" t="inlineStr">
        <is>
          <t xml:space="preserve">250381  </t>
        </is>
      </c>
      <c r="Q332" s="26" t="n">
        <v>47.4</v>
      </c>
      <c r="R332" s="26">
        <f>Q332*G332</f>
        <v/>
      </c>
      <c r="S332" s="26">
        <f>IFERROR(VLOOKUP(E332*1,Tabla[#All],8,0),0)</f>
        <v/>
      </c>
      <c r="T332" s="26">
        <f>S332*G332</f>
        <v/>
      </c>
      <c r="U332" s="26">
        <f>R332-T332</f>
        <v/>
      </c>
      <c r="V332" s="26">
        <f>U332-L332</f>
        <v/>
      </c>
    </row>
    <row r="333">
      <c r="A333" s="11" t="n">
        <v>46207</v>
      </c>
      <c r="B333" s="1" t="n">
        <v>20049</v>
      </c>
      <c r="C333" s="1" t="inlineStr">
        <is>
          <t>025</t>
        </is>
      </c>
      <c r="D333" s="1" t="inlineStr">
        <is>
          <t xml:space="preserve">32911 </t>
        </is>
      </c>
      <c r="E333" s="1" t="inlineStr">
        <is>
          <t xml:space="preserve">34840568       </t>
        </is>
      </c>
      <c r="F333" s="5" t="inlineStr">
        <is>
          <t>VIP MUNECAS ESCUELA DE PEINADOS SURTIDO</t>
        </is>
      </c>
      <c r="G333" t="n">
        <v>1</v>
      </c>
      <c r="H333" s="7" t="n">
        <v>79.90000000000001</v>
      </c>
      <c r="I333" s="7" t="n">
        <v>0</v>
      </c>
      <c r="J333" s="7" t="n">
        <v>0</v>
      </c>
      <c r="K333" s="9" t="n">
        <v>0</v>
      </c>
      <c r="L333" s="10" t="n">
        <v>47.4</v>
      </c>
      <c r="M333" s="10" t="n">
        <v>1.43</v>
      </c>
      <c r="N333" t="inlineStr">
        <is>
          <t>1</t>
        </is>
      </c>
      <c r="O333" t="inlineStr">
        <is>
          <t>16</t>
        </is>
      </c>
      <c r="P333" t="inlineStr">
        <is>
          <t xml:space="preserve">250381  </t>
        </is>
      </c>
      <c r="Q333" s="26" t="n">
        <v>47.4</v>
      </c>
      <c r="R333" s="26">
        <f>Q333*G333</f>
        <v/>
      </c>
      <c r="S333" s="26">
        <f>IFERROR(VLOOKUP(E333*1,Tabla[#All],8,0),0)</f>
        <v/>
      </c>
      <c r="T333" s="26">
        <f>S333*G333</f>
        <v/>
      </c>
      <c r="U333" s="26">
        <f>R333-T333</f>
        <v/>
      </c>
      <c r="V333" s="26">
        <f>U333-L333</f>
        <v/>
      </c>
    </row>
    <row r="334">
      <c r="A334" s="11" t="n">
        <v>46207</v>
      </c>
      <c r="B334" s="1" t="n">
        <v>20049</v>
      </c>
      <c r="C334" s="1" t="inlineStr">
        <is>
          <t>803</t>
        </is>
      </c>
      <c r="D334" s="1" t="inlineStr">
        <is>
          <t xml:space="preserve">5186  </t>
        </is>
      </c>
      <c r="E334" s="1" t="inlineStr">
        <is>
          <t xml:space="preserve">29235706       </t>
        </is>
      </c>
      <c r="F334" s="5" t="inlineStr">
        <is>
          <t>TEAMSTERZ CAMION PARA GUARDAR 12 AUTOS INCL 4 AUTO</t>
        </is>
      </c>
      <c r="G334" t="n">
        <v>1</v>
      </c>
      <c r="H334" s="7" t="n">
        <v>59.9</v>
      </c>
      <c r="I334" s="7" t="n">
        <v>0</v>
      </c>
      <c r="J334" s="7" t="n">
        <v>0</v>
      </c>
      <c r="K334" s="9" t="n">
        <v>0</v>
      </c>
      <c r="L334" s="10" t="n">
        <v>35.53</v>
      </c>
      <c r="M334" s="10" t="n">
        <v>1.43</v>
      </c>
      <c r="N334" t="inlineStr">
        <is>
          <t>1</t>
        </is>
      </c>
      <c r="O334" t="inlineStr">
        <is>
          <t>16</t>
        </is>
      </c>
      <c r="P334" t="inlineStr">
        <is>
          <t xml:space="preserve">0       </t>
        </is>
      </c>
      <c r="Q334" s="26" t="n">
        <v>35.53</v>
      </c>
      <c r="R334" s="26">
        <f>Q334*G334</f>
        <v/>
      </c>
      <c r="S334" s="26">
        <f>IFERROR(VLOOKUP(E334*1,Tabla[#All],8,0),0)</f>
        <v/>
      </c>
      <c r="T334" s="26">
        <f>S334*G334</f>
        <v/>
      </c>
      <c r="U334" s="26">
        <f>R334-T334</f>
        <v/>
      </c>
      <c r="V334" s="26">
        <f>U334-L334</f>
        <v/>
      </c>
    </row>
    <row r="335">
      <c r="A335" s="11" t="n">
        <v>46207</v>
      </c>
      <c r="B335" s="1" t="n">
        <v>20056</v>
      </c>
      <c r="C335" s="1" t="inlineStr">
        <is>
          <t>020</t>
        </is>
      </c>
      <c r="D335" s="1" t="inlineStr">
        <is>
          <t xml:space="preserve">21554 </t>
        </is>
      </c>
      <c r="E335" s="1" t="inlineStr">
        <is>
          <t xml:space="preserve">28194769       </t>
        </is>
      </c>
      <c r="F335" s="5" t="inlineStr">
        <is>
          <t>AUTOS DE METAL 3 TEAMSTERZ PACK DE 2</t>
        </is>
      </c>
      <c r="G335" t="n">
        <v>1</v>
      </c>
      <c r="H335" s="7" t="n">
        <v>13.8</v>
      </c>
      <c r="I335" s="7" t="n">
        <v>0</v>
      </c>
      <c r="J335" s="7" t="n">
        <v>0</v>
      </c>
      <c r="K335" s="9" t="n">
        <v>0</v>
      </c>
      <c r="L335" s="10" t="n">
        <v>8.18</v>
      </c>
      <c r="M335" s="10" t="n">
        <v>1.43</v>
      </c>
      <c r="N335" t="inlineStr">
        <is>
          <t>1</t>
        </is>
      </c>
      <c r="O335" t="inlineStr">
        <is>
          <t xml:space="preserve">3 </t>
        </is>
      </c>
      <c r="P335" t="inlineStr">
        <is>
          <t xml:space="preserve">244417  </t>
        </is>
      </c>
      <c r="Q335" s="26" t="n">
        <v>8.19</v>
      </c>
      <c r="R335" s="26">
        <f>Q335*G335</f>
        <v/>
      </c>
      <c r="S335" s="26">
        <f>IFERROR(VLOOKUP(E335*1,Tabla[#All],8,0),0)</f>
        <v/>
      </c>
      <c r="T335" s="26">
        <f>S335*G335</f>
        <v/>
      </c>
      <c r="U335" s="26">
        <f>R335-T335</f>
        <v/>
      </c>
      <c r="V335" s="26">
        <f>U335-L335</f>
        <v/>
      </c>
    </row>
    <row r="336">
      <c r="A336" s="11" t="n">
        <v>46207</v>
      </c>
      <c r="B336" s="1" t="n">
        <v>20056</v>
      </c>
      <c r="C336" s="1" t="inlineStr">
        <is>
          <t>021</t>
        </is>
      </c>
      <c r="D336" s="1" t="inlineStr">
        <is>
          <t xml:space="preserve">51909 </t>
        </is>
      </c>
      <c r="E336" s="1" t="inlineStr">
        <is>
          <t xml:space="preserve">29235708       </t>
        </is>
      </c>
      <c r="F336" s="5" t="inlineStr">
        <is>
          <t>TEAMSTERZ RESCATE POR AIRE Y MAR</t>
        </is>
      </c>
      <c r="G336" t="n">
        <v>1</v>
      </c>
      <c r="H336" s="7" t="n">
        <v>39.9</v>
      </c>
      <c r="I336" s="7" t="n">
        <v>0</v>
      </c>
      <c r="J336" s="7" t="n">
        <v>0</v>
      </c>
      <c r="K336" s="9" t="n">
        <v>0</v>
      </c>
      <c r="L336" s="10" t="n">
        <v>23.67</v>
      </c>
      <c r="M336" s="10" t="n">
        <v>1.43</v>
      </c>
      <c r="N336" t="inlineStr">
        <is>
          <t>1</t>
        </is>
      </c>
      <c r="O336" t="inlineStr">
        <is>
          <t>16</t>
        </is>
      </c>
      <c r="P336" t="inlineStr">
        <is>
          <t xml:space="preserve">248464  </t>
        </is>
      </c>
      <c r="Q336" s="26" t="n">
        <v>23.67</v>
      </c>
      <c r="R336" s="26">
        <f>Q336*G336</f>
        <v/>
      </c>
      <c r="S336" s="26">
        <f>IFERROR(VLOOKUP(E336*1,Tabla[#All],8,0),0)</f>
        <v/>
      </c>
      <c r="T336" s="26">
        <f>S336*G336</f>
        <v/>
      </c>
      <c r="U336" s="26">
        <f>R336-T336</f>
        <v/>
      </c>
      <c r="V336" s="26">
        <f>U336-L336</f>
        <v/>
      </c>
    </row>
    <row r="337">
      <c r="A337" s="11" t="n">
        <v>46207</v>
      </c>
      <c r="B337" s="1" t="n">
        <v>20056</v>
      </c>
      <c r="C337" s="1" t="inlineStr">
        <is>
          <t>021</t>
        </is>
      </c>
      <c r="D337" s="1" t="inlineStr">
        <is>
          <t xml:space="preserve">51909 </t>
        </is>
      </c>
      <c r="E337" s="1" t="inlineStr">
        <is>
          <t xml:space="preserve">30232284       </t>
        </is>
      </c>
      <c r="F337" s="5" t="inlineStr">
        <is>
          <t>INFINITY NADO TROMPO DE BATALLA - METAL C/PUNTA DE</t>
        </is>
      </c>
      <c r="G337" t="n">
        <v>1</v>
      </c>
      <c r="H337" s="7" t="n">
        <v>49.9</v>
      </c>
      <c r="I337" s="7" t="n">
        <v>0</v>
      </c>
      <c r="J337" s="7" t="n">
        <v>0</v>
      </c>
      <c r="K337" s="9" t="n">
        <v>0</v>
      </c>
      <c r="L337" s="10" t="n">
        <v>29.6</v>
      </c>
      <c r="M337" s="10" t="n">
        <v>1.43</v>
      </c>
      <c r="N337" t="inlineStr">
        <is>
          <t>1</t>
        </is>
      </c>
      <c r="O337" t="inlineStr">
        <is>
          <t>16</t>
        </is>
      </c>
      <c r="P337" t="inlineStr">
        <is>
          <t xml:space="preserve">248464  </t>
        </is>
      </c>
      <c r="Q337" s="26" t="n">
        <v>29.6</v>
      </c>
      <c r="R337" s="26">
        <f>Q337*G337</f>
        <v/>
      </c>
      <c r="S337" s="26">
        <f>IFERROR(VLOOKUP(E337*1,Tabla[#All],8,0),0)</f>
        <v/>
      </c>
      <c r="T337" s="26">
        <f>S337*G337</f>
        <v/>
      </c>
      <c r="U337" s="26">
        <f>R337-T337</f>
        <v/>
      </c>
      <c r="V337" s="26">
        <f>U337-L337</f>
        <v/>
      </c>
    </row>
    <row r="338">
      <c r="A338" s="11" t="n">
        <v>46207</v>
      </c>
      <c r="B338" s="1" t="n">
        <v>20056</v>
      </c>
      <c r="C338" s="1" t="inlineStr">
        <is>
          <t>021</t>
        </is>
      </c>
      <c r="D338" s="1" t="inlineStr">
        <is>
          <t xml:space="preserve">51979 </t>
        </is>
      </c>
      <c r="E338" s="1" t="inlineStr">
        <is>
          <t xml:space="preserve">28194770       </t>
        </is>
      </c>
      <c r="F338" s="5" t="inlineStr">
        <is>
          <t>AUTOS DE METAL 3 TEAMSTERZ EN BLISTER</t>
        </is>
      </c>
      <c r="G338" t="n">
        <v>1</v>
      </c>
      <c r="H338" s="7" t="n">
        <v>6.9</v>
      </c>
      <c r="I338" s="7" t="n">
        <v>0</v>
      </c>
      <c r="J338" s="7" t="n">
        <v>0</v>
      </c>
      <c r="K338" s="9" t="n">
        <v>0</v>
      </c>
      <c r="L338" s="10" t="n">
        <v>4.1</v>
      </c>
      <c r="M338" s="10" t="n">
        <v>1.43</v>
      </c>
      <c r="N338" t="inlineStr">
        <is>
          <t>1</t>
        </is>
      </c>
      <c r="O338" t="inlineStr">
        <is>
          <t xml:space="preserve">2 </t>
        </is>
      </c>
      <c r="P338" t="inlineStr">
        <is>
          <t xml:space="preserve">248464  </t>
        </is>
      </c>
      <c r="Q338" s="26" t="n">
        <v>4.09</v>
      </c>
      <c r="R338" s="26">
        <f>Q338*G338</f>
        <v/>
      </c>
      <c r="S338" s="26">
        <f>IFERROR(VLOOKUP(E338*1,Tabla[#All],8,0),0)</f>
        <v/>
      </c>
      <c r="T338" s="26">
        <f>S338*G338</f>
        <v/>
      </c>
      <c r="U338" s="26">
        <f>R338-T338</f>
        <v/>
      </c>
      <c r="V338" s="26">
        <f>U338-L338</f>
        <v/>
      </c>
    </row>
    <row r="339">
      <c r="A339" s="11" t="n">
        <v>46207</v>
      </c>
      <c r="B339" s="1" t="n">
        <v>20057</v>
      </c>
      <c r="C339" s="1" t="inlineStr">
        <is>
          <t>014</t>
        </is>
      </c>
      <c r="D339" s="1" t="inlineStr">
        <is>
          <t xml:space="preserve">44721 </t>
        </is>
      </c>
      <c r="E339" s="1" t="inlineStr">
        <is>
          <t xml:space="preserve">31959956       </t>
        </is>
      </c>
      <c r="F339" s="5" t="inlineStr">
        <is>
          <t>TEAMSTERZ CAMION TRANSPORTA ANIMALES SURTIDO</t>
        </is>
      </c>
      <c r="G339" t="n">
        <v>1</v>
      </c>
      <c r="H339" s="7" t="n">
        <v>17.9</v>
      </c>
      <c r="I339" s="7" t="n">
        <v>0</v>
      </c>
      <c r="J339" s="7" t="n">
        <v>0</v>
      </c>
      <c r="K339" s="9" t="n">
        <v>0</v>
      </c>
      <c r="L339" s="10" t="n">
        <v>10.62</v>
      </c>
      <c r="M339" s="10" t="n">
        <v>1.43</v>
      </c>
      <c r="N339" t="inlineStr">
        <is>
          <t>1</t>
        </is>
      </c>
      <c r="O339" t="inlineStr">
        <is>
          <t>16</t>
        </is>
      </c>
      <c r="P339" t="inlineStr">
        <is>
          <t xml:space="preserve">62973   </t>
        </is>
      </c>
      <c r="Q339" s="26" t="n">
        <v>10.62</v>
      </c>
      <c r="R339" s="26">
        <f>Q339*G339</f>
        <v/>
      </c>
      <c r="S339" s="26">
        <f>IFERROR(VLOOKUP(E339*1,Tabla[#All],8,0),0)</f>
        <v/>
      </c>
      <c r="T339" s="26">
        <f>S339*G339</f>
        <v/>
      </c>
      <c r="U339" s="26">
        <f>R339-T339</f>
        <v/>
      </c>
      <c r="V339" s="26">
        <f>U339-L339</f>
        <v/>
      </c>
    </row>
    <row r="340">
      <c r="A340" s="11" t="n">
        <v>46207</v>
      </c>
      <c r="B340" s="1" t="n">
        <v>20057</v>
      </c>
      <c r="C340" s="1" t="inlineStr">
        <is>
          <t>014</t>
        </is>
      </c>
      <c r="D340" s="1" t="inlineStr">
        <is>
          <t xml:space="preserve">44721 </t>
        </is>
      </c>
      <c r="E340" s="1" t="inlineStr">
        <is>
          <t xml:space="preserve">31959956       </t>
        </is>
      </c>
      <c r="F340" s="5" t="inlineStr">
        <is>
          <t>TEAMSTERZ CAMION TRANSPORTA ANIMALES SURTIDO</t>
        </is>
      </c>
      <c r="G340" t="n">
        <v>1</v>
      </c>
      <c r="H340" s="7" t="n">
        <v>17.9</v>
      </c>
      <c r="I340" s="7" t="n">
        <v>0</v>
      </c>
      <c r="J340" s="7" t="n">
        <v>0</v>
      </c>
      <c r="K340" s="9" t="n">
        <v>0</v>
      </c>
      <c r="L340" s="10" t="n">
        <v>10.62</v>
      </c>
      <c r="M340" s="10" t="n">
        <v>1.43</v>
      </c>
      <c r="N340" t="inlineStr">
        <is>
          <t>1</t>
        </is>
      </c>
      <c r="O340" t="inlineStr">
        <is>
          <t>16</t>
        </is>
      </c>
      <c r="P340" t="inlineStr">
        <is>
          <t xml:space="preserve">62973   </t>
        </is>
      </c>
      <c r="Q340" s="26" t="n">
        <v>10.62</v>
      </c>
      <c r="R340" s="26">
        <f>Q340*G340</f>
        <v/>
      </c>
      <c r="S340" s="26">
        <f>IFERROR(VLOOKUP(E340*1,Tabla[#All],8,0),0)</f>
        <v/>
      </c>
      <c r="T340" s="26">
        <f>S340*G340</f>
        <v/>
      </c>
      <c r="U340" s="26">
        <f>R340-T340</f>
        <v/>
      </c>
      <c r="V340" s="26">
        <f>U340-L340</f>
        <v/>
      </c>
    </row>
    <row r="341">
      <c r="A341" s="11" t="n">
        <v>46207</v>
      </c>
      <c r="B341" s="1" t="n">
        <v>20057</v>
      </c>
      <c r="C341" s="1" t="inlineStr">
        <is>
          <t>014</t>
        </is>
      </c>
      <c r="D341" s="1" t="inlineStr">
        <is>
          <t xml:space="preserve">44721 </t>
        </is>
      </c>
      <c r="E341" s="1" t="inlineStr">
        <is>
          <t xml:space="preserve">31959956       </t>
        </is>
      </c>
      <c r="F341" s="5" t="inlineStr">
        <is>
          <t>TEAMSTERZ CAMION TRANSPORTA ANIMALES SURTIDO</t>
        </is>
      </c>
      <c r="G341" t="n">
        <v>1</v>
      </c>
      <c r="H341" s="7" t="n">
        <v>17.9</v>
      </c>
      <c r="I341" s="7" t="n">
        <v>0</v>
      </c>
      <c r="J341" s="7" t="n">
        <v>0</v>
      </c>
      <c r="K341" s="9" t="n">
        <v>0</v>
      </c>
      <c r="L341" s="10" t="n">
        <v>10.62</v>
      </c>
      <c r="M341" s="10" t="n">
        <v>1.43</v>
      </c>
      <c r="N341" t="inlineStr">
        <is>
          <t>1</t>
        </is>
      </c>
      <c r="O341" t="inlineStr">
        <is>
          <t>16</t>
        </is>
      </c>
      <c r="P341" t="inlineStr">
        <is>
          <t xml:space="preserve">62973   </t>
        </is>
      </c>
      <c r="Q341" s="26" t="n">
        <v>10.62</v>
      </c>
      <c r="R341" s="26">
        <f>Q341*G341</f>
        <v/>
      </c>
      <c r="S341" s="26">
        <f>IFERROR(VLOOKUP(E341*1,Tabla[#All],8,0),0)</f>
        <v/>
      </c>
      <c r="T341" s="26">
        <f>S341*G341</f>
        <v/>
      </c>
      <c r="U341" s="26">
        <f>R341-T341</f>
        <v/>
      </c>
      <c r="V341" s="26">
        <f>U341-L341</f>
        <v/>
      </c>
    </row>
    <row r="342">
      <c r="A342" s="11" t="n">
        <v>46207</v>
      </c>
      <c r="B342" s="1" t="n">
        <v>20057</v>
      </c>
      <c r="C342" s="1" t="inlineStr">
        <is>
          <t>032</t>
        </is>
      </c>
      <c r="D342" s="1" t="inlineStr">
        <is>
          <t xml:space="preserve">73823 </t>
        </is>
      </c>
      <c r="E342" s="1" t="inlineStr">
        <is>
          <t xml:space="preserve">28194770       </t>
        </is>
      </c>
      <c r="F342" s="5" t="inlineStr">
        <is>
          <t>AUTOS DE METAL 3 TEAMSTERZ EN BLISTER</t>
        </is>
      </c>
      <c r="G342" t="n">
        <v>1</v>
      </c>
      <c r="H342" s="7" t="n">
        <v>6.9</v>
      </c>
      <c r="I342" s="7" t="n">
        <v>0</v>
      </c>
      <c r="J342" s="7" t="n">
        <v>0</v>
      </c>
      <c r="K342" s="9" t="n">
        <v>0</v>
      </c>
      <c r="L342" s="10" t="n">
        <v>4.1</v>
      </c>
      <c r="M342" s="10" t="n">
        <v>1.43</v>
      </c>
      <c r="N342" t="inlineStr">
        <is>
          <t>1</t>
        </is>
      </c>
      <c r="O342" t="inlineStr">
        <is>
          <t>16</t>
        </is>
      </c>
      <c r="P342" t="inlineStr">
        <is>
          <t xml:space="preserve">250316  </t>
        </is>
      </c>
      <c r="Q342" s="26" t="n">
        <v>4.09</v>
      </c>
      <c r="R342" s="26">
        <f>Q342*G342</f>
        <v/>
      </c>
      <c r="S342" s="26">
        <f>IFERROR(VLOOKUP(E342*1,Tabla[#All],8,0),0)</f>
        <v/>
      </c>
      <c r="T342" s="26">
        <f>S342*G342</f>
        <v/>
      </c>
      <c r="U342" s="26">
        <f>R342-T342</f>
        <v/>
      </c>
      <c r="V342" s="26">
        <f>U342-L342</f>
        <v/>
      </c>
    </row>
    <row r="343">
      <c r="A343" s="11" t="n">
        <v>46207</v>
      </c>
      <c r="B343" s="1" t="n">
        <v>20057</v>
      </c>
      <c r="C343" s="1" t="inlineStr">
        <is>
          <t>032</t>
        </is>
      </c>
      <c r="D343" s="1" t="inlineStr">
        <is>
          <t xml:space="preserve">73874 </t>
        </is>
      </c>
      <c r="E343" s="1" t="inlineStr">
        <is>
          <t xml:space="preserve">28194770       </t>
        </is>
      </c>
      <c r="F343" s="5" t="inlineStr">
        <is>
          <t>AUTOS DE METAL 3 TEAMSTERZ EN BLISTER</t>
        </is>
      </c>
      <c r="G343" t="n">
        <v>1</v>
      </c>
      <c r="H343" s="7" t="n">
        <v>6.9</v>
      </c>
      <c r="I343" s="7" t="n">
        <v>0</v>
      </c>
      <c r="J343" s="7" t="n">
        <v>0</v>
      </c>
      <c r="K343" s="9" t="n">
        <v>0</v>
      </c>
      <c r="L343" s="10" t="n">
        <v>4.1</v>
      </c>
      <c r="M343" s="10" t="n">
        <v>1.43</v>
      </c>
      <c r="N343" t="inlineStr">
        <is>
          <t>1</t>
        </is>
      </c>
      <c r="O343" t="inlineStr">
        <is>
          <t>16</t>
        </is>
      </c>
      <c r="P343" t="inlineStr">
        <is>
          <t xml:space="preserve">250316  </t>
        </is>
      </c>
      <c r="Q343" s="26" t="n">
        <v>4.09</v>
      </c>
      <c r="R343" s="26">
        <f>Q343*G343</f>
        <v/>
      </c>
      <c r="S343" s="26">
        <f>IFERROR(VLOOKUP(E343*1,Tabla[#All],8,0),0)</f>
        <v/>
      </c>
      <c r="T343" s="26">
        <f>S343*G343</f>
        <v/>
      </c>
      <c r="U343" s="26">
        <f>R343-T343</f>
        <v/>
      </c>
      <c r="V343" s="26">
        <f>U343-L343</f>
        <v/>
      </c>
    </row>
    <row r="344">
      <c r="A344" s="11" t="n">
        <v>46207</v>
      </c>
      <c r="B344" s="1" t="n">
        <v>20057</v>
      </c>
      <c r="C344" s="1" t="inlineStr">
        <is>
          <t>033</t>
        </is>
      </c>
      <c r="D344" s="1" t="inlineStr">
        <is>
          <t xml:space="preserve">66130 </t>
        </is>
      </c>
      <c r="E344" s="1" t="inlineStr">
        <is>
          <t xml:space="preserve">28194769       </t>
        </is>
      </c>
      <c r="F344" s="5" t="inlineStr">
        <is>
          <t>AUTOS DE METAL 3 TEAMSTERZ PACK DE 2</t>
        </is>
      </c>
      <c r="G344" t="n">
        <v>1</v>
      </c>
      <c r="H344" s="7" t="n">
        <v>13.8</v>
      </c>
      <c r="I344" s="7" t="n">
        <v>2.76</v>
      </c>
      <c r="J344" s="7" t="n">
        <v>0</v>
      </c>
      <c r="K344" s="9" t="n">
        <v>2.76</v>
      </c>
      <c r="L344" s="10" t="n">
        <v>6.55</v>
      </c>
      <c r="M344" s="10" t="n">
        <v>1.43</v>
      </c>
      <c r="N344" t="inlineStr">
        <is>
          <t>1</t>
        </is>
      </c>
      <c r="O344" t="inlineStr">
        <is>
          <t xml:space="preserve">6 </t>
        </is>
      </c>
      <c r="P344" t="inlineStr">
        <is>
          <t xml:space="preserve">238606  </t>
        </is>
      </c>
      <c r="Q344" s="26" t="n">
        <v>8.19</v>
      </c>
      <c r="R344" s="26">
        <f>Q344*G344</f>
        <v/>
      </c>
      <c r="S344" s="26">
        <f>IFERROR(VLOOKUP(E344*1,Tabla[#All],8,0),0)</f>
        <v/>
      </c>
      <c r="T344" s="26">
        <f>S344*G344</f>
        <v/>
      </c>
      <c r="U344" s="26">
        <f>R344-T344</f>
        <v/>
      </c>
      <c r="V344" s="26">
        <f>U344-L344</f>
        <v/>
      </c>
    </row>
    <row r="345">
      <c r="A345" s="11" t="n">
        <v>46207</v>
      </c>
      <c r="B345" s="1" t="n">
        <v>20057</v>
      </c>
      <c r="C345" s="1" t="inlineStr">
        <is>
          <t>033</t>
        </is>
      </c>
      <c r="D345" s="1" t="inlineStr">
        <is>
          <t xml:space="preserve">66187 </t>
        </is>
      </c>
      <c r="E345" s="1" t="inlineStr">
        <is>
          <t xml:space="preserve">28194770       </t>
        </is>
      </c>
      <c r="F345" s="5" t="inlineStr">
        <is>
          <t>AUTOS DE METAL 3 TEAMSTERZ EN BLISTER</t>
        </is>
      </c>
      <c r="G345" t="n">
        <v>1</v>
      </c>
      <c r="H345" s="7" t="n">
        <v>6.9</v>
      </c>
      <c r="I345" s="7" t="n">
        <v>0</v>
      </c>
      <c r="J345" s="7" t="n">
        <v>0</v>
      </c>
      <c r="K345" s="9" t="n">
        <v>0</v>
      </c>
      <c r="L345" s="10" t="n">
        <v>4.1</v>
      </c>
      <c r="M345" s="10" t="n">
        <v>1.43</v>
      </c>
      <c r="N345" t="inlineStr">
        <is>
          <t>1</t>
        </is>
      </c>
      <c r="O345" t="inlineStr">
        <is>
          <t>16</t>
        </is>
      </c>
      <c r="P345" t="inlineStr">
        <is>
          <t xml:space="preserve">238606  </t>
        </is>
      </c>
      <c r="Q345" s="26" t="n">
        <v>4.09</v>
      </c>
      <c r="R345" s="26">
        <f>Q345*G345</f>
        <v/>
      </c>
      <c r="S345" s="26">
        <f>IFERROR(VLOOKUP(E345*1,Tabla[#All],8,0),0)</f>
        <v/>
      </c>
      <c r="T345" s="26">
        <f>S345*G345</f>
        <v/>
      </c>
      <c r="U345" s="26">
        <f>R345-T345</f>
        <v/>
      </c>
      <c r="V345" s="26">
        <f>U345-L345</f>
        <v/>
      </c>
    </row>
    <row r="346">
      <c r="A346" s="11" t="n">
        <v>46207</v>
      </c>
      <c r="B346" s="1" t="n">
        <v>20057</v>
      </c>
      <c r="C346" s="1" t="inlineStr">
        <is>
          <t>033</t>
        </is>
      </c>
      <c r="D346" s="1" t="inlineStr">
        <is>
          <t xml:space="preserve">66202 </t>
        </is>
      </c>
      <c r="E346" s="1" t="inlineStr">
        <is>
          <t xml:space="preserve">29854052       </t>
        </is>
      </c>
      <c r="F346" s="5" t="inlineStr">
        <is>
          <t>PLAYSET CAMBIA DE COLOR CROC BITE</t>
        </is>
      </c>
      <c r="G346" t="n">
        <v>1</v>
      </c>
      <c r="H346" s="7" t="n">
        <v>79.90000000000001</v>
      </c>
      <c r="I346" s="7" t="n">
        <v>0</v>
      </c>
      <c r="J346" s="7" t="n">
        <v>0</v>
      </c>
      <c r="K346" s="9" t="n">
        <v>0</v>
      </c>
      <c r="L346" s="10" t="n">
        <v>47.4</v>
      </c>
      <c r="M346" s="10" t="n">
        <v>1.43</v>
      </c>
      <c r="N346" t="inlineStr">
        <is>
          <t>1</t>
        </is>
      </c>
      <c r="O346" t="inlineStr">
        <is>
          <t>16</t>
        </is>
      </c>
      <c r="P346" t="inlineStr">
        <is>
          <t xml:space="preserve">238606  </t>
        </is>
      </c>
      <c r="Q346" s="26" t="n">
        <v>47.4</v>
      </c>
      <c r="R346" s="26">
        <f>Q346*G346</f>
        <v/>
      </c>
      <c r="S346" s="26">
        <f>IFERROR(VLOOKUP(E346*1,Tabla[#All],8,0),0)</f>
        <v/>
      </c>
      <c r="T346" s="26">
        <f>S346*G346</f>
        <v/>
      </c>
      <c r="U346" s="26">
        <f>R346-T346</f>
        <v/>
      </c>
      <c r="V346" s="26">
        <f>U346-L346</f>
        <v/>
      </c>
    </row>
    <row r="347">
      <c r="A347" s="11" t="n">
        <v>46207</v>
      </c>
      <c r="B347" s="1" t="n">
        <v>20057</v>
      </c>
      <c r="C347" s="1" t="inlineStr">
        <is>
          <t>033</t>
        </is>
      </c>
      <c r="D347" s="1" t="inlineStr">
        <is>
          <t xml:space="preserve">66237 </t>
        </is>
      </c>
      <c r="E347" s="1" t="inlineStr">
        <is>
          <t xml:space="preserve">32656523       </t>
        </is>
      </c>
      <c r="F347" s="5" t="inlineStr">
        <is>
          <t>TMZ BEAST MACHINES TRANSPORT. T-REX ELECTR. + ACCE</t>
        </is>
      </c>
      <c r="G347" t="n">
        <v>1</v>
      </c>
      <c r="H347" s="7" t="n">
        <v>179</v>
      </c>
      <c r="I347" s="7" t="n">
        <v>0</v>
      </c>
      <c r="J347" s="7" t="n">
        <v>0</v>
      </c>
      <c r="K347" s="9" t="n">
        <v>0</v>
      </c>
      <c r="L347" s="10" t="n">
        <v>106.18</v>
      </c>
      <c r="M347" s="10" t="n">
        <v>1.43</v>
      </c>
      <c r="N347" t="inlineStr">
        <is>
          <t>1</t>
        </is>
      </c>
      <c r="O347" t="inlineStr">
        <is>
          <t>16</t>
        </is>
      </c>
      <c r="P347" t="inlineStr">
        <is>
          <t xml:space="preserve">242831  </t>
        </is>
      </c>
      <c r="Q347" s="26" t="n">
        <v>106.19</v>
      </c>
      <c r="R347" s="26">
        <f>Q347*G347</f>
        <v/>
      </c>
      <c r="S347" s="26">
        <f>IFERROR(VLOOKUP(E347*1,Tabla[#All],8,0),0)</f>
        <v/>
      </c>
      <c r="T347" s="26">
        <f>S347*G347</f>
        <v/>
      </c>
      <c r="U347" s="26">
        <f>R347-T347</f>
        <v/>
      </c>
      <c r="V347" s="26">
        <f>U347-L347</f>
        <v/>
      </c>
    </row>
    <row r="348">
      <c r="A348" s="11" t="n">
        <v>46207</v>
      </c>
      <c r="B348" s="1" t="n">
        <v>20057</v>
      </c>
      <c r="C348" s="1" t="inlineStr">
        <is>
          <t>530</t>
        </is>
      </c>
      <c r="D348" s="1" t="inlineStr">
        <is>
          <t xml:space="preserve">3401  </t>
        </is>
      </c>
      <c r="E348" s="1" t="inlineStr">
        <is>
          <t xml:space="preserve">29235702       </t>
        </is>
      </c>
      <c r="F348" s="5" t="inlineStr">
        <is>
          <t>INFINITY NADO TROMPO DE BATALLA - METAL C/ ANILLO</t>
        </is>
      </c>
      <c r="G348" t="n">
        <v>1</v>
      </c>
      <c r="H348" s="7" t="n">
        <v>69.90000000000001</v>
      </c>
      <c r="I348" s="7" t="n">
        <v>0</v>
      </c>
      <c r="J348" s="7" t="n">
        <v>0</v>
      </c>
      <c r="K348" s="9" t="n">
        <v>0</v>
      </c>
      <c r="L348" s="10" t="n">
        <v>41.47</v>
      </c>
      <c r="M348" s="10" t="n">
        <v>1.43</v>
      </c>
      <c r="N348" t="inlineStr">
        <is>
          <t>1</t>
        </is>
      </c>
      <c r="O348" t="inlineStr">
        <is>
          <t>16</t>
        </is>
      </c>
      <c r="P348" t="inlineStr">
        <is>
          <t xml:space="preserve">242357  </t>
        </is>
      </c>
      <c r="Q348" s="26" t="n">
        <v>41.47</v>
      </c>
      <c r="R348" s="26">
        <f>Q348*G348</f>
        <v/>
      </c>
      <c r="S348" s="26">
        <f>IFERROR(VLOOKUP(E348*1,Tabla[#All],8,0),0)</f>
        <v/>
      </c>
      <c r="T348" s="26">
        <f>S348*G348</f>
        <v/>
      </c>
      <c r="U348" s="26">
        <f>R348-T348</f>
        <v/>
      </c>
      <c r="V348" s="26">
        <f>U348-L348</f>
        <v/>
      </c>
    </row>
    <row r="349">
      <c r="A349" s="11" t="n">
        <v>46207</v>
      </c>
      <c r="B349" s="1" t="n">
        <v>20058</v>
      </c>
      <c r="C349" s="1" t="inlineStr">
        <is>
          <t>038</t>
        </is>
      </c>
      <c r="D349" s="1" t="inlineStr">
        <is>
          <t>208261</t>
        </is>
      </c>
      <c r="E349" s="1" t="inlineStr">
        <is>
          <t xml:space="preserve">28194770       </t>
        </is>
      </c>
      <c r="F349" s="5" t="inlineStr">
        <is>
          <t>AUTOS DE METAL 3 TEAMSTERZ EN BLISTER</t>
        </is>
      </c>
      <c r="G349" t="n">
        <v>1</v>
      </c>
      <c r="H349" s="7" t="n">
        <v>6.9</v>
      </c>
      <c r="I349" s="7" t="n">
        <v>0</v>
      </c>
      <c r="J349" s="7" t="n">
        <v>0</v>
      </c>
      <c r="K349" s="9" t="n">
        <v>0</v>
      </c>
      <c r="L349" s="10" t="n">
        <v>4.1</v>
      </c>
      <c r="M349" s="10" t="n">
        <v>1.43</v>
      </c>
      <c r="N349" t="inlineStr">
        <is>
          <t>1</t>
        </is>
      </c>
      <c r="O349" t="inlineStr">
        <is>
          <t>16</t>
        </is>
      </c>
      <c r="P349" t="inlineStr">
        <is>
          <t xml:space="preserve">246156  </t>
        </is>
      </c>
      <c r="Q349" s="26" t="n">
        <v>4.09</v>
      </c>
      <c r="R349" s="26">
        <f>Q349*G349</f>
        <v/>
      </c>
      <c r="S349" s="26">
        <f>IFERROR(VLOOKUP(E349*1,Tabla[#All],8,0),0)</f>
        <v/>
      </c>
      <c r="T349" s="26">
        <f>S349*G349</f>
        <v/>
      </c>
      <c r="U349" s="26">
        <f>R349-T349</f>
        <v/>
      </c>
      <c r="V349" s="26">
        <f>U349-L349</f>
        <v/>
      </c>
    </row>
    <row r="350">
      <c r="A350" s="11" t="n">
        <v>46207</v>
      </c>
      <c r="B350" s="1" t="n">
        <v>20058</v>
      </c>
      <c r="C350" s="1" t="inlineStr">
        <is>
          <t>038</t>
        </is>
      </c>
      <c r="D350" s="1" t="inlineStr">
        <is>
          <t>208285</t>
        </is>
      </c>
      <c r="E350" s="1" t="inlineStr">
        <is>
          <t xml:space="preserve">28194780       </t>
        </is>
      </c>
      <c r="F350" s="5" t="inlineStr">
        <is>
          <t>TROMPO BATALLA INFINITY NADO PLSTICO SURTIDO</t>
        </is>
      </c>
      <c r="G350" t="n">
        <v>1</v>
      </c>
      <c r="H350" s="7" t="n">
        <v>19.9</v>
      </c>
      <c r="I350" s="7" t="n">
        <v>0</v>
      </c>
      <c r="J350" s="7" t="n">
        <v>0</v>
      </c>
      <c r="K350" s="9" t="n">
        <v>0</v>
      </c>
      <c r="L350" s="10" t="n">
        <v>11.8</v>
      </c>
      <c r="M350" s="10" t="n">
        <v>1.43</v>
      </c>
      <c r="N350" t="inlineStr">
        <is>
          <t>1</t>
        </is>
      </c>
      <c r="O350" t="inlineStr">
        <is>
          <t>16</t>
        </is>
      </c>
      <c r="P350" t="inlineStr">
        <is>
          <t xml:space="preserve">246156  </t>
        </is>
      </c>
      <c r="Q350" s="26" t="n">
        <v>11.81</v>
      </c>
      <c r="R350" s="26">
        <f>Q350*G350</f>
        <v/>
      </c>
      <c r="S350" s="26">
        <f>IFERROR(VLOOKUP(E350*1,Tabla[#All],8,0),0)</f>
        <v/>
      </c>
      <c r="T350" s="26">
        <f>S350*G350</f>
        <v/>
      </c>
      <c r="U350" s="26">
        <f>R350-T350</f>
        <v/>
      </c>
      <c r="V350" s="26">
        <f>U350-L350</f>
        <v/>
      </c>
    </row>
    <row r="351">
      <c r="A351" s="11" t="n">
        <v>46207</v>
      </c>
      <c r="B351" s="1" t="n">
        <v>20058</v>
      </c>
      <c r="C351" s="1" t="inlineStr">
        <is>
          <t>039</t>
        </is>
      </c>
      <c r="D351" s="1" t="inlineStr">
        <is>
          <t>229420</t>
        </is>
      </c>
      <c r="E351" s="1" t="inlineStr">
        <is>
          <t xml:space="preserve">28194770       </t>
        </is>
      </c>
      <c r="F351" s="5" t="inlineStr">
        <is>
          <t>AUTOS DE METAL 3 TEAMSTERZ EN BLISTER</t>
        </is>
      </c>
      <c r="G351" t="n">
        <v>1</v>
      </c>
      <c r="H351" s="7" t="n">
        <v>6.9</v>
      </c>
      <c r="I351" s="7" t="n">
        <v>0</v>
      </c>
      <c r="J351" s="7" t="n">
        <v>0</v>
      </c>
      <c r="K351" s="9" t="n">
        <v>0</v>
      </c>
      <c r="L351" s="10" t="n">
        <v>4.1</v>
      </c>
      <c r="M351" s="10" t="n">
        <v>1.43</v>
      </c>
      <c r="N351" t="inlineStr">
        <is>
          <t>1</t>
        </is>
      </c>
      <c r="O351" t="inlineStr">
        <is>
          <t xml:space="preserve">3 </t>
        </is>
      </c>
      <c r="P351" t="inlineStr">
        <is>
          <t xml:space="preserve">90744   </t>
        </is>
      </c>
      <c r="Q351" s="26" t="n">
        <v>4.09</v>
      </c>
      <c r="R351" s="26">
        <f>Q351*G351</f>
        <v/>
      </c>
      <c r="S351" s="26">
        <f>IFERROR(VLOOKUP(E351*1,Tabla[#All],8,0),0)</f>
        <v/>
      </c>
      <c r="T351" s="26">
        <f>S351*G351</f>
        <v/>
      </c>
      <c r="U351" s="26">
        <f>R351-T351</f>
        <v/>
      </c>
      <c r="V351" s="26">
        <f>U351-L351</f>
        <v/>
      </c>
    </row>
    <row r="352">
      <c r="A352" s="11" t="n">
        <v>46207</v>
      </c>
      <c r="B352" s="1" t="n">
        <v>20058</v>
      </c>
      <c r="C352" s="1" t="inlineStr">
        <is>
          <t>039</t>
        </is>
      </c>
      <c r="D352" s="1" t="inlineStr">
        <is>
          <t>229443</t>
        </is>
      </c>
      <c r="E352" s="1" t="inlineStr">
        <is>
          <t xml:space="preserve">28194770       </t>
        </is>
      </c>
      <c r="F352" s="5" t="inlineStr">
        <is>
          <t>AUTOS DE METAL 3 TEAMSTERZ EN BLISTER</t>
        </is>
      </c>
      <c r="G352" t="n">
        <v>1</v>
      </c>
      <c r="H352" s="7" t="n">
        <v>6.9</v>
      </c>
      <c r="I352" s="7" t="n">
        <v>0</v>
      </c>
      <c r="J352" s="7" t="n">
        <v>0</v>
      </c>
      <c r="K352" s="9" t="n">
        <v>0</v>
      </c>
      <c r="L352" s="10" t="n">
        <v>4.1</v>
      </c>
      <c r="M352" s="10" t="n">
        <v>1.43</v>
      </c>
      <c r="N352" t="inlineStr">
        <is>
          <t>1</t>
        </is>
      </c>
      <c r="O352" t="inlineStr">
        <is>
          <t xml:space="preserve">2 </t>
        </is>
      </c>
      <c r="P352" t="inlineStr">
        <is>
          <t xml:space="preserve">90744   </t>
        </is>
      </c>
      <c r="Q352" s="26" t="n">
        <v>4.09</v>
      </c>
      <c r="R352" s="26">
        <f>Q352*G352</f>
        <v/>
      </c>
      <c r="S352" s="26">
        <f>IFERROR(VLOOKUP(E352*1,Tabla[#All],8,0),0)</f>
        <v/>
      </c>
      <c r="T352" s="26">
        <f>S352*G352</f>
        <v/>
      </c>
      <c r="U352" s="26">
        <f>R352-T352</f>
        <v/>
      </c>
      <c r="V352" s="26">
        <f>U352-L352</f>
        <v/>
      </c>
    </row>
    <row r="353">
      <c r="A353" s="11" t="n">
        <v>46207</v>
      </c>
      <c r="B353" s="1" t="n">
        <v>20058</v>
      </c>
      <c r="C353" s="1" t="inlineStr">
        <is>
          <t>039</t>
        </is>
      </c>
      <c r="D353" s="1" t="inlineStr">
        <is>
          <t>229443</t>
        </is>
      </c>
      <c r="E353" s="1" t="inlineStr">
        <is>
          <t xml:space="preserve">28194770       </t>
        </is>
      </c>
      <c r="F353" s="5" t="inlineStr">
        <is>
          <t>AUTOS DE METAL 3 TEAMSTERZ EN BLISTER</t>
        </is>
      </c>
      <c r="G353" t="n">
        <v>1</v>
      </c>
      <c r="H353" s="7" t="n">
        <v>6.9</v>
      </c>
      <c r="I353" s="7" t="n">
        <v>0</v>
      </c>
      <c r="J353" s="7" t="n">
        <v>0</v>
      </c>
      <c r="K353" s="9" t="n">
        <v>0</v>
      </c>
      <c r="L353" s="10" t="n">
        <v>4.1</v>
      </c>
      <c r="M353" s="10" t="n">
        <v>1.43</v>
      </c>
      <c r="N353" t="inlineStr">
        <is>
          <t>1</t>
        </is>
      </c>
      <c r="O353" t="inlineStr">
        <is>
          <t xml:space="preserve">2 </t>
        </is>
      </c>
      <c r="P353" t="inlineStr">
        <is>
          <t xml:space="preserve">90744   </t>
        </is>
      </c>
      <c r="Q353" s="26" t="n">
        <v>4.09</v>
      </c>
      <c r="R353" s="26">
        <f>Q353*G353</f>
        <v/>
      </c>
      <c r="S353" s="26">
        <f>IFERROR(VLOOKUP(E353*1,Tabla[#All],8,0),0)</f>
        <v/>
      </c>
      <c r="T353" s="26">
        <f>S353*G353</f>
        <v/>
      </c>
      <c r="U353" s="26">
        <f>R353-T353</f>
        <v/>
      </c>
      <c r="V353" s="26">
        <f>U353-L353</f>
        <v/>
      </c>
    </row>
    <row r="354">
      <c r="A354" s="11" t="n">
        <v>46207</v>
      </c>
      <c r="B354" s="1" t="n">
        <v>20058</v>
      </c>
      <c r="C354" s="1" t="inlineStr">
        <is>
          <t>039</t>
        </is>
      </c>
      <c r="D354" s="1" t="inlineStr">
        <is>
          <t>229444</t>
        </is>
      </c>
      <c r="E354" s="1" t="inlineStr">
        <is>
          <t xml:space="preserve">28194767       </t>
        </is>
      </c>
      <c r="F354" s="5" t="inlineStr">
        <is>
          <t>CAMIONES TEAMSTERZ DE EMERGENCIA</t>
        </is>
      </c>
      <c r="G354" t="n">
        <v>1</v>
      </c>
      <c r="H354" s="7" t="n">
        <v>17.9</v>
      </c>
      <c r="I354" s="7" t="n">
        <v>0</v>
      </c>
      <c r="J354" s="7" t="n">
        <v>0</v>
      </c>
      <c r="K354" s="9" t="n">
        <v>0</v>
      </c>
      <c r="L354" s="10" t="n">
        <v>10.62</v>
      </c>
      <c r="M354" s="10" t="n">
        <v>1.43</v>
      </c>
      <c r="N354" t="inlineStr">
        <is>
          <t>1</t>
        </is>
      </c>
      <c r="O354" t="inlineStr">
        <is>
          <t>16</t>
        </is>
      </c>
      <c r="P354" t="inlineStr">
        <is>
          <t xml:space="preserve">90744   </t>
        </is>
      </c>
      <c r="Q354" s="26" t="n">
        <v>10.62</v>
      </c>
      <c r="R354" s="26">
        <f>Q354*G354</f>
        <v/>
      </c>
      <c r="S354" s="26">
        <f>IFERROR(VLOOKUP(E354*1,Tabla[#All],8,0),0)</f>
        <v/>
      </c>
      <c r="T354" s="26">
        <f>S354*G354</f>
        <v/>
      </c>
      <c r="U354" s="26">
        <f>R354-T354</f>
        <v/>
      </c>
      <c r="V354" s="26">
        <f>U354-L354</f>
        <v/>
      </c>
    </row>
    <row r="355">
      <c r="A355" s="11" t="n">
        <v>46207</v>
      </c>
      <c r="B355" s="1" t="n">
        <v>20058</v>
      </c>
      <c r="C355" s="1" t="inlineStr">
        <is>
          <t>197</t>
        </is>
      </c>
      <c r="D355" s="1" t="inlineStr">
        <is>
          <t>169728</t>
        </is>
      </c>
      <c r="E355" s="1" t="inlineStr">
        <is>
          <t xml:space="preserve">28194769       </t>
        </is>
      </c>
      <c r="F355" s="5" t="inlineStr">
        <is>
          <t>AUTOS DE METAL 3 TEAMSTERZ PACK DE 2</t>
        </is>
      </c>
      <c r="G355" t="n">
        <v>1</v>
      </c>
      <c r="H355" s="7" t="n">
        <v>13.8</v>
      </c>
      <c r="I355" s="7" t="n">
        <v>0</v>
      </c>
      <c r="J355" s="7" t="n">
        <v>0</v>
      </c>
      <c r="K355" s="9" t="n">
        <v>0</v>
      </c>
      <c r="L355" s="10" t="n">
        <v>8.18</v>
      </c>
      <c r="M355" s="10" t="n">
        <v>1.43</v>
      </c>
      <c r="N355" t="inlineStr">
        <is>
          <t>1</t>
        </is>
      </c>
      <c r="O355" t="inlineStr">
        <is>
          <t>16</t>
        </is>
      </c>
      <c r="P355" t="inlineStr">
        <is>
          <t xml:space="preserve">250714  </t>
        </is>
      </c>
      <c r="Q355" s="26" t="n">
        <v>8.19</v>
      </c>
      <c r="R355" s="26">
        <f>Q355*G355</f>
        <v/>
      </c>
      <c r="S355" s="26">
        <f>IFERROR(VLOOKUP(E355*1,Tabla[#All],8,0),0)</f>
        <v/>
      </c>
      <c r="T355" s="26">
        <f>S355*G355</f>
        <v/>
      </c>
      <c r="U355" s="26">
        <f>R355-T355</f>
        <v/>
      </c>
      <c r="V355" s="26">
        <f>U355-L355</f>
        <v/>
      </c>
    </row>
    <row r="356">
      <c r="A356" s="11" t="n">
        <v>46207</v>
      </c>
      <c r="B356" s="1" t="n">
        <v>20058</v>
      </c>
      <c r="C356" s="1" t="inlineStr">
        <is>
          <t>197</t>
        </is>
      </c>
      <c r="D356" s="1" t="inlineStr">
        <is>
          <t>169744</t>
        </is>
      </c>
      <c r="E356" s="1" t="inlineStr">
        <is>
          <t xml:space="preserve">33661538       </t>
        </is>
      </c>
      <c r="F356" s="5" t="inlineStr">
        <is>
          <t>HOT WHEELS CASE GARAGE RUEDA METAL EN LLAMAS X 29</t>
        </is>
      </c>
      <c r="G356" t="n">
        <v>1</v>
      </c>
      <c r="H356" s="7" t="n">
        <v>69.90000000000001</v>
      </c>
      <c r="I356" s="7" t="n">
        <v>0</v>
      </c>
      <c r="J356" s="7" t="n">
        <v>0</v>
      </c>
      <c r="K356" s="9" t="n">
        <v>0</v>
      </c>
      <c r="L356" s="10" t="n">
        <v>41.47</v>
      </c>
      <c r="M356" s="10" t="n">
        <v>1.43</v>
      </c>
      <c r="N356" t="inlineStr">
        <is>
          <t>1</t>
        </is>
      </c>
      <c r="O356" t="inlineStr">
        <is>
          <t>16</t>
        </is>
      </c>
      <c r="P356" t="inlineStr">
        <is>
          <t xml:space="preserve">250714  </t>
        </is>
      </c>
      <c r="Q356" s="26" t="n">
        <v>41.47</v>
      </c>
      <c r="R356" s="26">
        <f>Q356*G356</f>
        <v/>
      </c>
      <c r="S356" s="26">
        <f>IFERROR(VLOOKUP(E356*1,Tabla[#All],8,0),0)</f>
        <v/>
      </c>
      <c r="T356" s="26">
        <f>S356*G356</f>
        <v/>
      </c>
      <c r="U356" s="26">
        <f>R356-T356</f>
        <v/>
      </c>
      <c r="V356" s="26">
        <f>U356-L356</f>
        <v/>
      </c>
    </row>
    <row r="357">
      <c r="A357" s="11" t="n">
        <v>46207</v>
      </c>
      <c r="B357" s="1" t="n">
        <v>20058</v>
      </c>
      <c r="C357" s="1" t="inlineStr">
        <is>
          <t>800</t>
        </is>
      </c>
      <c r="D357" s="1" t="inlineStr">
        <is>
          <t xml:space="preserve">8550  </t>
        </is>
      </c>
      <c r="E357" s="1" t="inlineStr">
        <is>
          <t xml:space="preserve">28194769       </t>
        </is>
      </c>
      <c r="F357" s="5" t="inlineStr">
        <is>
          <t>AUTOS DE METAL 3 TEAMSTERZ PACK DE 2</t>
        </is>
      </c>
      <c r="G357" t="n">
        <v>1</v>
      </c>
      <c r="H357" s="7" t="n">
        <v>13.8</v>
      </c>
      <c r="I357" s="7" t="n">
        <v>0</v>
      </c>
      <c r="J357" s="7" t="n">
        <v>0</v>
      </c>
      <c r="K357" s="9" t="n">
        <v>0</v>
      </c>
      <c r="L357" s="10" t="n">
        <v>8.18</v>
      </c>
      <c r="M357" s="10" t="n">
        <v>1.43</v>
      </c>
      <c r="N357" t="inlineStr">
        <is>
          <t>1</t>
        </is>
      </c>
      <c r="O357" t="inlineStr">
        <is>
          <t>16</t>
        </is>
      </c>
      <c r="P357" t="inlineStr">
        <is>
          <t xml:space="preserve">0       </t>
        </is>
      </c>
      <c r="Q357" s="26" t="n">
        <v>8.19</v>
      </c>
      <c r="R357" s="26">
        <f>Q357*G357</f>
        <v/>
      </c>
      <c r="S357" s="26">
        <f>IFERROR(VLOOKUP(E357*1,Tabla[#All],8,0),0)</f>
        <v/>
      </c>
      <c r="T357" s="26">
        <f>S357*G357</f>
        <v/>
      </c>
      <c r="U357" s="26">
        <f>R357-T357</f>
        <v/>
      </c>
      <c r="V357" s="26">
        <f>U357-L357</f>
        <v/>
      </c>
    </row>
    <row r="358">
      <c r="A358" s="11" t="n">
        <v>46207</v>
      </c>
      <c r="B358" s="1" t="n">
        <v>20058</v>
      </c>
      <c r="C358" s="1" t="inlineStr">
        <is>
          <t>802</t>
        </is>
      </c>
      <c r="D358" s="1" t="inlineStr">
        <is>
          <t xml:space="preserve">678   </t>
        </is>
      </c>
      <c r="E358" s="1" t="inlineStr">
        <is>
          <t xml:space="preserve">28194770       </t>
        </is>
      </c>
      <c r="F358" s="5" t="inlineStr">
        <is>
          <t>AUTOS DE METAL 3 TEAMSTERZ EN BLISTER</t>
        </is>
      </c>
      <c r="G358" t="n">
        <v>2</v>
      </c>
      <c r="H358" s="7" t="n">
        <v>13.8</v>
      </c>
      <c r="I358" s="7" t="n">
        <v>0</v>
      </c>
      <c r="J358" s="7" t="n">
        <v>0</v>
      </c>
      <c r="K358" s="9" t="n">
        <v>0</v>
      </c>
      <c r="L358" s="10" t="n">
        <v>8.18</v>
      </c>
      <c r="M358" s="10" t="n">
        <v>1.43</v>
      </c>
      <c r="N358" t="inlineStr">
        <is>
          <t>1</t>
        </is>
      </c>
      <c r="O358" t="inlineStr">
        <is>
          <t>16</t>
        </is>
      </c>
      <c r="P358" t="inlineStr">
        <is>
          <t xml:space="preserve">0       </t>
        </is>
      </c>
      <c r="Q358" s="26" t="n">
        <v>4.09</v>
      </c>
      <c r="R358" s="26">
        <f>Q358*G358</f>
        <v/>
      </c>
      <c r="S358" s="26">
        <f>IFERROR(VLOOKUP(E358*1,Tabla[#All],8,0),0)</f>
        <v/>
      </c>
      <c r="T358" s="26">
        <f>S358*G358</f>
        <v/>
      </c>
      <c r="U358" s="26">
        <f>R358-T358</f>
        <v/>
      </c>
      <c r="V358" s="26">
        <f>U358-L358</f>
        <v/>
      </c>
    </row>
    <row r="359">
      <c r="A359" s="11" t="n">
        <v>46207</v>
      </c>
      <c r="B359" s="1" t="n">
        <v>20060</v>
      </c>
      <c r="C359" s="1" t="inlineStr">
        <is>
          <t>302</t>
        </is>
      </c>
      <c r="D359" s="1" t="inlineStr">
        <is>
          <t xml:space="preserve">2905  </t>
        </is>
      </c>
      <c r="E359" s="1" t="inlineStr">
        <is>
          <t xml:space="preserve">32457103       </t>
        </is>
      </c>
      <c r="F359" s="5" t="inlineStr">
        <is>
          <t>TMZ BEAST MACHINES MONSTER JAWS A FRICCION PACK DE</t>
        </is>
      </c>
      <c r="G359" t="n">
        <v>2</v>
      </c>
      <c r="H359" s="7" t="n">
        <v>67.8</v>
      </c>
      <c r="I359" s="7" t="n">
        <v>0</v>
      </c>
      <c r="J359" s="7" t="n">
        <v>0</v>
      </c>
      <c r="K359" s="9" t="n">
        <v>0</v>
      </c>
      <c r="L359" s="10" t="n">
        <v>40.22</v>
      </c>
      <c r="M359" s="10" t="n">
        <v>1.43</v>
      </c>
      <c r="N359" t="inlineStr">
        <is>
          <t>1</t>
        </is>
      </c>
      <c r="O359" t="inlineStr">
        <is>
          <t>16</t>
        </is>
      </c>
      <c r="P359" t="inlineStr">
        <is>
          <t>82807346</t>
        </is>
      </c>
      <c r="Q359" s="26" t="n">
        <v>22.48</v>
      </c>
      <c r="R359" s="26">
        <f>Q359*G359</f>
        <v/>
      </c>
      <c r="S359" s="26">
        <f>IFERROR(VLOOKUP(E359*1,Tabla[#All],8,0),0)</f>
        <v/>
      </c>
      <c r="T359" s="26">
        <f>S359*G359</f>
        <v/>
      </c>
      <c r="U359" s="26">
        <f>R359-T359</f>
        <v/>
      </c>
      <c r="V359" s="26">
        <f>U359-L359</f>
        <v/>
      </c>
    </row>
    <row r="360">
      <c r="A360" s="11" t="n">
        <v>46207</v>
      </c>
      <c r="B360" s="1" t="n">
        <v>20062</v>
      </c>
      <c r="C360" s="1" t="inlineStr">
        <is>
          <t>017</t>
        </is>
      </c>
      <c r="D360" s="1" t="inlineStr">
        <is>
          <t>234948</t>
        </is>
      </c>
      <c r="E360" s="1" t="inlineStr">
        <is>
          <t xml:space="preserve">33483121       </t>
        </is>
      </c>
      <c r="F360" s="5" t="inlineStr">
        <is>
          <t>HOT WHEELS ESTUCHE PARA 15 AUTOS SURTIDO</t>
        </is>
      </c>
      <c r="G360" t="n">
        <v>1</v>
      </c>
      <c r="H360" s="7" t="n">
        <v>34.9</v>
      </c>
      <c r="I360" s="7" t="n">
        <v>0</v>
      </c>
      <c r="J360" s="7" t="n">
        <v>0</v>
      </c>
      <c r="K360" s="9" t="n">
        <v>0</v>
      </c>
      <c r="L360" s="10" t="n">
        <v>20.71</v>
      </c>
      <c r="M360" s="10" t="n">
        <v>1.43</v>
      </c>
      <c r="N360" t="inlineStr">
        <is>
          <t>1</t>
        </is>
      </c>
      <c r="O360" t="inlineStr">
        <is>
          <t>16</t>
        </is>
      </c>
      <c r="P360" t="inlineStr">
        <is>
          <t xml:space="preserve">43458   </t>
        </is>
      </c>
      <c r="Q360" s="26" t="n">
        <v>20.7</v>
      </c>
      <c r="R360" s="26">
        <f>Q360*G360</f>
        <v/>
      </c>
      <c r="S360" s="26">
        <f>IFERROR(VLOOKUP(E360*1,Tabla[#All],8,0),0)</f>
        <v/>
      </c>
      <c r="T360" s="26">
        <f>S360*G360</f>
        <v/>
      </c>
      <c r="U360" s="26">
        <f>R360-T360</f>
        <v/>
      </c>
      <c r="V360" s="26">
        <f>U360-L360</f>
        <v/>
      </c>
    </row>
    <row r="361">
      <c r="A361" s="11" t="n">
        <v>46207</v>
      </c>
      <c r="B361" s="1" t="n">
        <v>20062</v>
      </c>
      <c r="C361" s="1" t="inlineStr">
        <is>
          <t>017</t>
        </is>
      </c>
      <c r="D361" s="1" t="inlineStr">
        <is>
          <t>234948</t>
        </is>
      </c>
      <c r="E361" s="1" t="inlineStr">
        <is>
          <t xml:space="preserve">33483121       </t>
        </is>
      </c>
      <c r="F361" s="5" t="inlineStr">
        <is>
          <t>HOT WHEELS ESTUCHE PARA 15 AUTOS SURTIDO</t>
        </is>
      </c>
      <c r="G361" t="n">
        <v>1</v>
      </c>
      <c r="H361" s="7" t="n">
        <v>34.9</v>
      </c>
      <c r="I361" s="7" t="n">
        <v>0</v>
      </c>
      <c r="J361" s="7" t="n">
        <v>0</v>
      </c>
      <c r="K361" s="9" t="n">
        <v>0</v>
      </c>
      <c r="L361" s="10" t="n">
        <v>20.71</v>
      </c>
      <c r="M361" s="10" t="n">
        <v>1.43</v>
      </c>
      <c r="N361" t="inlineStr">
        <is>
          <t>1</t>
        </is>
      </c>
      <c r="O361" t="inlineStr">
        <is>
          <t>16</t>
        </is>
      </c>
      <c r="P361" t="inlineStr">
        <is>
          <t xml:space="preserve">43458   </t>
        </is>
      </c>
      <c r="Q361" s="26" t="n">
        <v>20.7</v>
      </c>
      <c r="R361" s="26">
        <f>Q361*G361</f>
        <v/>
      </c>
      <c r="S361" s="26">
        <f>IFERROR(VLOOKUP(E361*1,Tabla[#All],8,0),0)</f>
        <v/>
      </c>
      <c r="T361" s="26">
        <f>S361*G361</f>
        <v/>
      </c>
      <c r="U361" s="26">
        <f>R361-T361</f>
        <v/>
      </c>
      <c r="V361" s="26">
        <f>U361-L361</f>
        <v/>
      </c>
    </row>
    <row r="362">
      <c r="A362" s="11" t="n">
        <v>46207</v>
      </c>
      <c r="B362" s="1" t="n">
        <v>20062</v>
      </c>
      <c r="C362" s="1" t="inlineStr">
        <is>
          <t>053</t>
        </is>
      </c>
      <c r="D362" s="1" t="inlineStr">
        <is>
          <t>242454</t>
        </is>
      </c>
      <c r="E362" s="1" t="inlineStr">
        <is>
          <t xml:space="preserve">31754675       </t>
        </is>
      </c>
      <c r="F362" s="5" t="inlineStr">
        <is>
          <t>INFINITY NADO SERIE 6 STARTER PACK - 4 MODELOS</t>
        </is>
      </c>
      <c r="G362" t="n">
        <v>1</v>
      </c>
      <c r="H362" s="7" t="n">
        <v>69.90000000000001</v>
      </c>
      <c r="I362" s="7" t="n">
        <v>0</v>
      </c>
      <c r="J362" s="7" t="n">
        <v>0</v>
      </c>
      <c r="K362" s="9" t="n">
        <v>0</v>
      </c>
      <c r="L362" s="10" t="n">
        <v>41.47</v>
      </c>
      <c r="M362" s="10" t="n">
        <v>1.43</v>
      </c>
      <c r="N362" t="inlineStr">
        <is>
          <t>1</t>
        </is>
      </c>
      <c r="O362" t="inlineStr">
        <is>
          <t>16</t>
        </is>
      </c>
      <c r="P362" t="inlineStr">
        <is>
          <t xml:space="preserve">250430  </t>
        </is>
      </c>
      <c r="Q362" s="26" t="n">
        <v>41.47</v>
      </c>
      <c r="R362" s="26">
        <f>Q362*G362</f>
        <v/>
      </c>
      <c r="S362" s="26">
        <f>IFERROR(VLOOKUP(E362*1,Tabla[#All],8,0),0)</f>
        <v/>
      </c>
      <c r="T362" s="26">
        <f>S362*G362</f>
        <v/>
      </c>
      <c r="U362" s="26">
        <f>R362-T362</f>
        <v/>
      </c>
      <c r="V362" s="26">
        <f>U362-L362</f>
        <v/>
      </c>
    </row>
    <row r="363">
      <c r="A363" s="11" t="n">
        <v>46207</v>
      </c>
      <c r="B363" s="1" t="n">
        <v>20062</v>
      </c>
      <c r="C363" s="1" t="inlineStr">
        <is>
          <t>830</t>
        </is>
      </c>
      <c r="D363" s="1" t="inlineStr">
        <is>
          <t xml:space="preserve">4834  </t>
        </is>
      </c>
      <c r="E363" s="1" t="inlineStr">
        <is>
          <t xml:space="preserve">31754675       </t>
        </is>
      </c>
      <c r="F363" s="5" t="inlineStr">
        <is>
          <t>INFINITY NADO SERIE 6 STARTER PACK - 4 MODELOS</t>
        </is>
      </c>
      <c r="G363" t="n">
        <v>1</v>
      </c>
      <c r="H363" s="7" t="n">
        <v>69.90000000000001</v>
      </c>
      <c r="I363" s="7" t="n">
        <v>0</v>
      </c>
      <c r="J363" s="7" t="n">
        <v>0</v>
      </c>
      <c r="K363" s="9" t="n">
        <v>0</v>
      </c>
      <c r="L363" s="10" t="n">
        <v>41.47</v>
      </c>
      <c r="M363" s="10" t="n">
        <v>1.43</v>
      </c>
      <c r="N363" t="inlineStr">
        <is>
          <t>1</t>
        </is>
      </c>
      <c r="O363" t="inlineStr">
        <is>
          <t>16</t>
        </is>
      </c>
      <c r="P363" t="inlineStr">
        <is>
          <t xml:space="preserve">250430  </t>
        </is>
      </c>
      <c r="Q363" s="26" t="n">
        <v>41.47</v>
      </c>
      <c r="R363" s="26">
        <f>Q363*G363</f>
        <v/>
      </c>
      <c r="S363" s="26">
        <f>IFERROR(VLOOKUP(E363*1,Tabla[#All],8,0),0)</f>
        <v/>
      </c>
      <c r="T363" s="26">
        <f>S363*G363</f>
        <v/>
      </c>
      <c r="U363" s="26">
        <f>R363-T363</f>
        <v/>
      </c>
      <c r="V363" s="26">
        <f>U363-L363</f>
        <v/>
      </c>
    </row>
    <row r="364">
      <c r="A364" s="11" t="n">
        <v>46207</v>
      </c>
      <c r="B364" s="1" t="n">
        <v>20066</v>
      </c>
      <c r="C364" s="1" t="inlineStr">
        <is>
          <t>058</t>
        </is>
      </c>
      <c r="D364" s="1" t="inlineStr">
        <is>
          <t xml:space="preserve">59761 </t>
        </is>
      </c>
      <c r="E364" s="1" t="inlineStr">
        <is>
          <t xml:space="preserve">28194770       </t>
        </is>
      </c>
      <c r="F364" s="5" t="inlineStr">
        <is>
          <t>AUTOS DE METAL 3 TEAMSTERZ EN BLISTER</t>
        </is>
      </c>
      <c r="G364" t="n">
        <v>1</v>
      </c>
      <c r="H364" s="7" t="n">
        <v>6.9</v>
      </c>
      <c r="I364" s="7" t="n">
        <v>0</v>
      </c>
      <c r="J364" s="7" t="n">
        <v>0</v>
      </c>
      <c r="K364" s="9" t="n">
        <v>0</v>
      </c>
      <c r="L364" s="10" t="n">
        <v>4.1</v>
      </c>
      <c r="M364" s="10" t="n">
        <v>1.43</v>
      </c>
      <c r="N364" t="inlineStr">
        <is>
          <t>1</t>
        </is>
      </c>
      <c r="O364" t="inlineStr">
        <is>
          <t xml:space="preserve">2 </t>
        </is>
      </c>
      <c r="P364" t="inlineStr">
        <is>
          <t xml:space="preserve">52700   </t>
        </is>
      </c>
      <c r="Q364" s="26" t="n">
        <v>4.09</v>
      </c>
      <c r="R364" s="26">
        <f>Q364*G364</f>
        <v/>
      </c>
      <c r="S364" s="26">
        <f>IFERROR(VLOOKUP(E364*1,Tabla[#All],8,0),0)</f>
        <v/>
      </c>
      <c r="T364" s="26">
        <f>S364*G364</f>
        <v/>
      </c>
      <c r="U364" s="26">
        <f>R364-T364</f>
        <v/>
      </c>
      <c r="V364" s="26">
        <f>U364-L364</f>
        <v/>
      </c>
    </row>
    <row r="365">
      <c r="A365" s="11" t="n">
        <v>46207</v>
      </c>
      <c r="B365" s="1" t="n">
        <v>20066</v>
      </c>
      <c r="C365" s="1" t="inlineStr">
        <is>
          <t>501</t>
        </is>
      </c>
      <c r="D365" s="1" t="inlineStr">
        <is>
          <t xml:space="preserve">7071  </t>
        </is>
      </c>
      <c r="E365" s="1" t="inlineStr">
        <is>
          <t xml:space="preserve">28194770       </t>
        </is>
      </c>
      <c r="F365" s="5" t="inlineStr">
        <is>
          <t>AUTOS DE METAL 3 TEAMSTERZ EN BLISTER</t>
        </is>
      </c>
      <c r="G365" t="n">
        <v>1</v>
      </c>
      <c r="H365" s="7" t="n">
        <v>6.9</v>
      </c>
      <c r="I365" s="7" t="n">
        <v>0</v>
      </c>
      <c r="J365" s="7" t="n">
        <v>0</v>
      </c>
      <c r="K365" s="9" t="n">
        <v>0</v>
      </c>
      <c r="L365" s="10" t="n">
        <v>4.1</v>
      </c>
      <c r="M365" s="10" t="n">
        <v>1.43</v>
      </c>
      <c r="N365" t="inlineStr">
        <is>
          <t>1</t>
        </is>
      </c>
      <c r="O365" t="inlineStr">
        <is>
          <t>16</t>
        </is>
      </c>
      <c r="P365" t="inlineStr">
        <is>
          <t xml:space="preserve">104839  </t>
        </is>
      </c>
      <c r="Q365" s="26" t="n">
        <v>4.09</v>
      </c>
      <c r="R365" s="26">
        <f>Q365*G365</f>
        <v/>
      </c>
      <c r="S365" s="26">
        <f>IFERROR(VLOOKUP(E365*1,Tabla[#All],8,0),0)</f>
        <v/>
      </c>
      <c r="T365" s="26">
        <f>S365*G365</f>
        <v/>
      </c>
      <c r="U365" s="26">
        <f>R365-T365</f>
        <v/>
      </c>
      <c r="V365" s="26">
        <f>U365-L365</f>
        <v/>
      </c>
    </row>
    <row r="366">
      <c r="A366" s="11" t="n">
        <v>46207</v>
      </c>
      <c r="B366" s="1" t="n">
        <v>20069</v>
      </c>
      <c r="C366" s="1" t="inlineStr">
        <is>
          <t>011</t>
        </is>
      </c>
      <c r="D366" s="1" t="inlineStr">
        <is>
          <t>193753</t>
        </is>
      </c>
      <c r="E366" s="1" t="inlineStr">
        <is>
          <t xml:space="preserve">32457101       </t>
        </is>
      </c>
      <c r="F366" s="5" t="inlineStr">
        <is>
          <t>TMZ BEAST MACHINES TRANSPORTE PESADO + 2 AUTOS SUR</t>
        </is>
      </c>
      <c r="G366" t="n">
        <v>1</v>
      </c>
      <c r="H366" s="7" t="n">
        <v>37.9</v>
      </c>
      <c r="I366" s="7" t="n">
        <v>0</v>
      </c>
      <c r="J366" s="7" t="n">
        <v>0</v>
      </c>
      <c r="K366" s="9" t="n">
        <v>0</v>
      </c>
      <c r="L366" s="10" t="n">
        <v>22.48</v>
      </c>
      <c r="M366" s="10" t="n">
        <v>1.43</v>
      </c>
      <c r="N366" t="inlineStr">
        <is>
          <t>1</t>
        </is>
      </c>
      <c r="O366" t="inlineStr">
        <is>
          <t>16</t>
        </is>
      </c>
      <c r="P366" t="inlineStr">
        <is>
          <t xml:space="preserve">247842  </t>
        </is>
      </c>
      <c r="Q366" s="26" t="n">
        <v>22.48</v>
      </c>
      <c r="R366" s="26">
        <f>Q366*G366</f>
        <v/>
      </c>
      <c r="S366" s="26">
        <f>IFERROR(VLOOKUP(E366*1,Tabla[#All],8,0),0)</f>
        <v/>
      </c>
      <c r="T366" s="26">
        <f>S366*G366</f>
        <v/>
      </c>
      <c r="U366" s="26">
        <f>R366-T366</f>
        <v/>
      </c>
      <c r="V366" s="26">
        <f>U366-L366</f>
        <v/>
      </c>
    </row>
    <row r="367">
      <c r="A367" s="11" t="n">
        <v>46207</v>
      </c>
      <c r="B367" s="1" t="n">
        <v>20069</v>
      </c>
      <c r="C367" s="1" t="inlineStr">
        <is>
          <t>013</t>
        </is>
      </c>
      <c r="D367" s="1" t="inlineStr">
        <is>
          <t>247873</t>
        </is>
      </c>
      <c r="E367" s="1" t="inlineStr">
        <is>
          <t xml:space="preserve">31959957       </t>
        </is>
      </c>
      <c r="F367" s="5" t="inlineStr">
        <is>
          <t>TEAMSTERZ PLAYSET RESCATE EN EL MAR</t>
        </is>
      </c>
      <c r="G367" t="n">
        <v>1</v>
      </c>
      <c r="H367" s="7" t="n">
        <v>19.9</v>
      </c>
      <c r="I367" s="7" t="n">
        <v>0</v>
      </c>
      <c r="J367" s="7" t="n">
        <v>0</v>
      </c>
      <c r="K367" s="9" t="n">
        <v>0</v>
      </c>
      <c r="L367" s="10" t="n">
        <v>11.8</v>
      </c>
      <c r="M367" s="10" t="n">
        <v>1.43</v>
      </c>
      <c r="N367" t="inlineStr">
        <is>
          <t>1</t>
        </is>
      </c>
      <c r="O367" t="inlineStr">
        <is>
          <t>16</t>
        </is>
      </c>
      <c r="P367" t="inlineStr">
        <is>
          <t xml:space="preserve">247845  </t>
        </is>
      </c>
      <c r="Q367" s="26" t="n">
        <v>11.81</v>
      </c>
      <c r="R367" s="26">
        <f>Q367*G367</f>
        <v/>
      </c>
      <c r="S367" s="26">
        <f>IFERROR(VLOOKUP(E367*1,Tabla[#All],8,0),0)</f>
        <v/>
      </c>
      <c r="T367" s="26">
        <f>S367*G367</f>
        <v/>
      </c>
      <c r="U367" s="26">
        <f>R367-T367</f>
        <v/>
      </c>
      <c r="V367" s="26">
        <f>U367-L367</f>
        <v/>
      </c>
    </row>
    <row r="368">
      <c r="A368" s="11" t="n">
        <v>46207</v>
      </c>
      <c r="B368" s="1" t="n">
        <v>20069</v>
      </c>
      <c r="C368" s="1" t="inlineStr">
        <is>
          <t>024</t>
        </is>
      </c>
      <c r="D368" s="1" t="inlineStr">
        <is>
          <t>103774</t>
        </is>
      </c>
      <c r="E368" s="1" t="inlineStr">
        <is>
          <t xml:space="preserve">31959958       </t>
        </is>
      </c>
      <c r="F368" s="5" t="inlineStr">
        <is>
          <t>TMZ BEAST MACHINE AUTOS DE METAL PACK 3 AUTOS</t>
        </is>
      </c>
      <c r="G368" t="n">
        <v>1</v>
      </c>
      <c r="H368" s="7" t="n">
        <v>23.7</v>
      </c>
      <c r="I368" s="7" t="n">
        <v>0</v>
      </c>
      <c r="J368" s="7" t="n">
        <v>0</v>
      </c>
      <c r="K368" s="9" t="n">
        <v>0</v>
      </c>
      <c r="L368" s="10" t="n">
        <v>14.06</v>
      </c>
      <c r="M368" s="10" t="n">
        <v>1.43</v>
      </c>
      <c r="N368" t="inlineStr">
        <is>
          <t>1</t>
        </is>
      </c>
      <c r="O368" t="inlineStr">
        <is>
          <t xml:space="preserve">2 </t>
        </is>
      </c>
      <c r="P368" t="inlineStr">
        <is>
          <t xml:space="preserve">249236  </t>
        </is>
      </c>
      <c r="Q368" s="26" t="n">
        <v>14.06</v>
      </c>
      <c r="R368" s="26">
        <f>Q368*G368</f>
        <v/>
      </c>
      <c r="S368" s="26">
        <f>IFERROR(VLOOKUP(E368*1,Tabla[#All],8,0),0)</f>
        <v/>
      </c>
      <c r="T368" s="26">
        <f>S368*G368</f>
        <v/>
      </c>
      <c r="U368" s="26">
        <f>R368-T368</f>
        <v/>
      </c>
      <c r="V368" s="26">
        <f>U368-L368</f>
        <v/>
      </c>
    </row>
    <row r="369">
      <c r="A369" s="11" t="n">
        <v>46207</v>
      </c>
      <c r="B369" s="1" t="n">
        <v>20069</v>
      </c>
      <c r="C369" s="1" t="inlineStr">
        <is>
          <t>190</t>
        </is>
      </c>
      <c r="D369" s="1" t="inlineStr">
        <is>
          <t>298446</t>
        </is>
      </c>
      <c r="E369" s="1" t="inlineStr">
        <is>
          <t xml:space="preserve">28194769       </t>
        </is>
      </c>
      <c r="F369" s="5" t="inlineStr">
        <is>
          <t>AUTOS DE METAL 3 TEAMSTERZ PACK DE 2</t>
        </is>
      </c>
      <c r="G369" t="n">
        <v>1</v>
      </c>
      <c r="H369" s="7" t="n">
        <v>13.8</v>
      </c>
      <c r="I369" s="7" t="n">
        <v>0</v>
      </c>
      <c r="J369" s="7" t="n">
        <v>0</v>
      </c>
      <c r="K369" s="9" t="n">
        <v>0</v>
      </c>
      <c r="L369" s="10" t="n">
        <v>8.18</v>
      </c>
      <c r="M369" s="10" t="n">
        <v>1.43</v>
      </c>
      <c r="N369" t="inlineStr">
        <is>
          <t>1</t>
        </is>
      </c>
      <c r="O369" t="inlineStr">
        <is>
          <t xml:space="preserve">2 </t>
        </is>
      </c>
      <c r="P369" t="inlineStr">
        <is>
          <t xml:space="preserve">250750  </t>
        </is>
      </c>
      <c r="Q369" s="26" t="n">
        <v>8.19</v>
      </c>
      <c r="R369" s="26">
        <f>Q369*G369</f>
        <v/>
      </c>
      <c r="S369" s="26">
        <f>IFERROR(VLOOKUP(E369*1,Tabla[#All],8,0),0)</f>
        <v/>
      </c>
      <c r="T369" s="26">
        <f>S369*G369</f>
        <v/>
      </c>
      <c r="U369" s="26">
        <f>R369-T369</f>
        <v/>
      </c>
      <c r="V369" s="26">
        <f>U369-L369</f>
        <v/>
      </c>
    </row>
    <row r="370">
      <c r="A370" s="11" t="n">
        <v>46207</v>
      </c>
      <c r="B370" s="1" t="n">
        <v>20073</v>
      </c>
      <c r="C370" s="1" t="inlineStr">
        <is>
          <t>016</t>
        </is>
      </c>
      <c r="D370" s="1" t="inlineStr">
        <is>
          <t xml:space="preserve">14150 </t>
        </is>
      </c>
      <c r="E370" s="1" t="inlineStr">
        <is>
          <t xml:space="preserve">30141766       </t>
        </is>
      </c>
      <c r="F370" s="5" t="inlineStr">
        <is>
          <t>TMZ BEAST MACHINES AUTOS DE METAL BLISTER X 1</t>
        </is>
      </c>
      <c r="G370" t="n">
        <v>1</v>
      </c>
      <c r="H370" s="7" t="n">
        <v>7.9</v>
      </c>
      <c r="I370" s="7" t="n">
        <v>0</v>
      </c>
      <c r="J370" s="7" t="n">
        <v>0</v>
      </c>
      <c r="K370" s="9" t="n">
        <v>0</v>
      </c>
      <c r="L370" s="10" t="n">
        <v>4.68</v>
      </c>
      <c r="M370" s="10" t="n">
        <v>1.43</v>
      </c>
      <c r="N370" t="inlineStr">
        <is>
          <t>1</t>
        </is>
      </c>
      <c r="O370" t="inlineStr">
        <is>
          <t>16</t>
        </is>
      </c>
      <c r="P370" t="inlineStr">
        <is>
          <t xml:space="preserve">91372   </t>
        </is>
      </c>
      <c r="Q370" s="26" t="n">
        <v>4.69</v>
      </c>
      <c r="R370" s="26">
        <f>Q370*G370</f>
        <v/>
      </c>
      <c r="S370" s="26">
        <f>IFERROR(VLOOKUP(E370*1,Tabla[#All],8,0),0)</f>
        <v/>
      </c>
      <c r="T370" s="26">
        <f>S370*G370</f>
        <v/>
      </c>
      <c r="U370" s="26">
        <f>R370-T370</f>
        <v/>
      </c>
      <c r="V370" s="26">
        <f>U370-L370</f>
        <v/>
      </c>
    </row>
    <row r="371">
      <c r="A371" s="11" t="n">
        <v>46207</v>
      </c>
      <c r="B371" s="1" t="n">
        <v>20073</v>
      </c>
      <c r="C371" s="1" t="inlineStr">
        <is>
          <t>016</t>
        </is>
      </c>
      <c r="D371" s="1" t="inlineStr">
        <is>
          <t xml:space="preserve">14150 </t>
        </is>
      </c>
      <c r="E371" s="1" t="inlineStr">
        <is>
          <t xml:space="preserve">30141766       </t>
        </is>
      </c>
      <c r="F371" s="5" t="inlineStr">
        <is>
          <t>TMZ BEAST MACHINES AUTOS DE METAL BLISTER X 1</t>
        </is>
      </c>
      <c r="G371" t="n">
        <v>1</v>
      </c>
      <c r="H371" s="7" t="n">
        <v>7.9</v>
      </c>
      <c r="I371" s="7" t="n">
        <v>0</v>
      </c>
      <c r="J371" s="7" t="n">
        <v>0</v>
      </c>
      <c r="K371" s="9" t="n">
        <v>0</v>
      </c>
      <c r="L371" s="10" t="n">
        <v>4.68</v>
      </c>
      <c r="M371" s="10" t="n">
        <v>1.43</v>
      </c>
      <c r="N371" t="inlineStr">
        <is>
          <t>1</t>
        </is>
      </c>
      <c r="O371" t="inlineStr">
        <is>
          <t>16</t>
        </is>
      </c>
      <c r="P371" t="inlineStr">
        <is>
          <t xml:space="preserve">91372   </t>
        </is>
      </c>
      <c r="Q371" s="26" t="n">
        <v>4.69</v>
      </c>
      <c r="R371" s="26">
        <f>Q371*G371</f>
        <v/>
      </c>
      <c r="S371" s="26">
        <f>IFERROR(VLOOKUP(E371*1,Tabla[#All],8,0),0)</f>
        <v/>
      </c>
      <c r="T371" s="26">
        <f>S371*G371</f>
        <v/>
      </c>
      <c r="U371" s="26">
        <f>R371-T371</f>
        <v/>
      </c>
      <c r="V371" s="26">
        <f>U371-L371</f>
        <v/>
      </c>
    </row>
    <row r="372">
      <c r="A372" s="11" t="n">
        <v>46207</v>
      </c>
      <c r="B372" s="1" t="n">
        <v>20073</v>
      </c>
      <c r="C372" s="1" t="inlineStr">
        <is>
          <t>016</t>
        </is>
      </c>
      <c r="D372" s="1" t="inlineStr">
        <is>
          <t xml:space="preserve">14150 </t>
        </is>
      </c>
      <c r="E372" s="1" t="inlineStr">
        <is>
          <t xml:space="preserve">30141766       </t>
        </is>
      </c>
      <c r="F372" s="5" t="inlineStr">
        <is>
          <t>TMZ BEAST MACHINES AUTOS DE METAL BLISTER X 1</t>
        </is>
      </c>
      <c r="G372" t="n">
        <v>1</v>
      </c>
      <c r="H372" s="7" t="n">
        <v>7.9</v>
      </c>
      <c r="I372" s="7" t="n">
        <v>0</v>
      </c>
      <c r="J372" s="7" t="n">
        <v>0</v>
      </c>
      <c r="K372" s="9" t="n">
        <v>0</v>
      </c>
      <c r="L372" s="10" t="n">
        <v>4.68</v>
      </c>
      <c r="M372" s="10" t="n">
        <v>1.43</v>
      </c>
      <c r="N372" t="inlineStr">
        <is>
          <t>1</t>
        </is>
      </c>
      <c r="O372" t="inlineStr">
        <is>
          <t>16</t>
        </is>
      </c>
      <c r="P372" t="inlineStr">
        <is>
          <t xml:space="preserve">91372   </t>
        </is>
      </c>
      <c r="Q372" s="26" t="n">
        <v>4.69</v>
      </c>
      <c r="R372" s="26">
        <f>Q372*G372</f>
        <v/>
      </c>
      <c r="S372" s="26">
        <f>IFERROR(VLOOKUP(E372*1,Tabla[#All],8,0),0)</f>
        <v/>
      </c>
      <c r="T372" s="26">
        <f>S372*G372</f>
        <v/>
      </c>
      <c r="U372" s="26">
        <f>R372-T372</f>
        <v/>
      </c>
      <c r="V372" s="26">
        <f>U372-L372</f>
        <v/>
      </c>
    </row>
    <row r="373">
      <c r="A373" s="11" t="n">
        <v>46207</v>
      </c>
      <c r="B373" s="1" t="n">
        <v>20073</v>
      </c>
      <c r="C373" s="1" t="inlineStr">
        <is>
          <t>022</t>
        </is>
      </c>
      <c r="D373" s="1" t="inlineStr">
        <is>
          <t>293759</t>
        </is>
      </c>
      <c r="E373" s="1" t="inlineStr">
        <is>
          <t xml:space="preserve">31754675       </t>
        </is>
      </c>
      <c r="F373" s="5" t="inlineStr">
        <is>
          <t>INFINITY NADO SERIE 6 STARTER PACK - 4 MODELOS</t>
        </is>
      </c>
      <c r="G373" t="n">
        <v>1</v>
      </c>
      <c r="H373" s="7" t="n">
        <v>69.90000000000001</v>
      </c>
      <c r="I373" s="7" t="n">
        <v>0</v>
      </c>
      <c r="J373" s="7" t="n">
        <v>0</v>
      </c>
      <c r="K373" s="9" t="n">
        <v>0</v>
      </c>
      <c r="L373" s="10" t="n">
        <v>41.47</v>
      </c>
      <c r="M373" s="10" t="n">
        <v>1.43</v>
      </c>
      <c r="N373" t="inlineStr">
        <is>
          <t>1</t>
        </is>
      </c>
      <c r="O373" t="inlineStr">
        <is>
          <t>16</t>
        </is>
      </c>
      <c r="P373" t="inlineStr">
        <is>
          <t xml:space="preserve">61458   </t>
        </is>
      </c>
      <c r="Q373" s="26" t="n">
        <v>41.47</v>
      </c>
      <c r="R373" s="26">
        <f>Q373*G373</f>
        <v/>
      </c>
      <c r="S373" s="26">
        <f>IFERROR(VLOOKUP(E373*1,Tabla[#All],8,0),0)</f>
        <v/>
      </c>
      <c r="T373" s="26">
        <f>S373*G373</f>
        <v/>
      </c>
      <c r="U373" s="26">
        <f>R373-T373</f>
        <v/>
      </c>
      <c r="V373" s="26">
        <f>U373-L373</f>
        <v/>
      </c>
    </row>
    <row r="374">
      <c r="A374" s="11" t="n">
        <v>46207</v>
      </c>
      <c r="B374" s="1" t="n">
        <v>20073</v>
      </c>
      <c r="C374" s="1" t="inlineStr">
        <is>
          <t>045</t>
        </is>
      </c>
      <c r="D374" s="1" t="inlineStr">
        <is>
          <t>149295</t>
        </is>
      </c>
      <c r="E374" s="1" t="inlineStr">
        <is>
          <t xml:space="preserve">28194770       </t>
        </is>
      </c>
      <c r="F374" s="5" t="inlineStr">
        <is>
          <t>AUTOS DE METAL 3 TEAMSTERZ EN BLISTER</t>
        </is>
      </c>
      <c r="G374" t="n">
        <v>1</v>
      </c>
      <c r="H374" s="7" t="n">
        <v>6.9</v>
      </c>
      <c r="I374" s="7" t="n">
        <v>0</v>
      </c>
      <c r="J374" s="7" t="n">
        <v>0</v>
      </c>
      <c r="K374" s="9" t="n">
        <v>0</v>
      </c>
      <c r="L374" s="10" t="n">
        <v>4.1</v>
      </c>
      <c r="M374" s="10" t="n">
        <v>1.43</v>
      </c>
      <c r="N374" t="inlineStr">
        <is>
          <t>1</t>
        </is>
      </c>
      <c r="O374" t="inlineStr">
        <is>
          <t>16</t>
        </is>
      </c>
      <c r="P374" t="inlineStr">
        <is>
          <t xml:space="preserve">73225   </t>
        </is>
      </c>
      <c r="Q374" s="26" t="n">
        <v>4.09</v>
      </c>
      <c r="R374" s="26">
        <f>Q374*G374</f>
        <v/>
      </c>
      <c r="S374" s="26">
        <f>IFERROR(VLOOKUP(E374*1,Tabla[#All],8,0),0)</f>
        <v/>
      </c>
      <c r="T374" s="26">
        <f>S374*G374</f>
        <v/>
      </c>
      <c r="U374" s="26">
        <f>R374-T374</f>
        <v/>
      </c>
      <c r="V374" s="26">
        <f>U374-L374</f>
        <v/>
      </c>
    </row>
    <row r="375">
      <c r="A375" s="11" t="n">
        <v>46207</v>
      </c>
      <c r="B375" s="1" t="n">
        <v>20073</v>
      </c>
      <c r="C375" s="1" t="inlineStr">
        <is>
          <t>045</t>
        </is>
      </c>
      <c r="D375" s="1" t="inlineStr">
        <is>
          <t>149301</t>
        </is>
      </c>
      <c r="E375" s="1" t="inlineStr">
        <is>
          <t xml:space="preserve">28194769       </t>
        </is>
      </c>
      <c r="F375" s="5" t="inlineStr">
        <is>
          <t>AUTOS DE METAL 3 TEAMSTERZ PACK DE 2</t>
        </is>
      </c>
      <c r="G375" t="n">
        <v>1</v>
      </c>
      <c r="H375" s="7" t="n">
        <v>13.8</v>
      </c>
      <c r="I375" s="7" t="n">
        <v>0</v>
      </c>
      <c r="J375" s="7" t="n">
        <v>0</v>
      </c>
      <c r="K375" s="9" t="n">
        <v>0</v>
      </c>
      <c r="L375" s="10" t="n">
        <v>8.18</v>
      </c>
      <c r="M375" s="10" t="n">
        <v>1.43</v>
      </c>
      <c r="N375" t="inlineStr">
        <is>
          <t>1</t>
        </is>
      </c>
      <c r="O375" t="inlineStr">
        <is>
          <t>16</t>
        </is>
      </c>
      <c r="P375" t="inlineStr">
        <is>
          <t xml:space="preserve">73225   </t>
        </is>
      </c>
      <c r="Q375" s="26" t="n">
        <v>8.19</v>
      </c>
      <c r="R375" s="26">
        <f>Q375*G375</f>
        <v/>
      </c>
      <c r="S375" s="26">
        <f>IFERROR(VLOOKUP(E375*1,Tabla[#All],8,0),0)</f>
        <v/>
      </c>
      <c r="T375" s="26">
        <f>S375*G375</f>
        <v/>
      </c>
      <c r="U375" s="26">
        <f>R375-T375</f>
        <v/>
      </c>
      <c r="V375" s="26">
        <f>U375-L375</f>
        <v/>
      </c>
    </row>
    <row r="376">
      <c r="A376" s="11" t="n">
        <v>46207</v>
      </c>
      <c r="B376" s="1" t="n">
        <v>20073</v>
      </c>
      <c r="C376" s="1" t="inlineStr">
        <is>
          <t>507</t>
        </is>
      </c>
      <c r="D376" s="1" t="inlineStr">
        <is>
          <t xml:space="preserve">7415  </t>
        </is>
      </c>
      <c r="E376" s="1" t="inlineStr">
        <is>
          <t xml:space="preserve">30141766       </t>
        </is>
      </c>
      <c r="F376" s="5" t="inlineStr">
        <is>
          <t>TMZ BEAST MACHINES AUTOS DE METAL BLISTER X 1</t>
        </is>
      </c>
      <c r="G376" t="n">
        <v>2</v>
      </c>
      <c r="H376" s="7" t="n">
        <v>15.8</v>
      </c>
      <c r="I376" s="7" t="n">
        <v>0</v>
      </c>
      <c r="J376" s="7" t="n">
        <v>0</v>
      </c>
      <c r="K376" s="9" t="n">
        <v>0</v>
      </c>
      <c r="L376" s="10" t="n">
        <v>9.380000000000001</v>
      </c>
      <c r="M376" s="10" t="n">
        <v>1.43</v>
      </c>
      <c r="N376" t="inlineStr">
        <is>
          <t>1</t>
        </is>
      </c>
      <c r="O376" t="inlineStr">
        <is>
          <t>16</t>
        </is>
      </c>
      <c r="P376" t="inlineStr">
        <is>
          <t xml:space="preserve">247569  </t>
        </is>
      </c>
      <c r="Q376" s="26" t="n">
        <v>4.69</v>
      </c>
      <c r="R376" s="26">
        <f>Q376*G376</f>
        <v/>
      </c>
      <c r="S376" s="26">
        <f>IFERROR(VLOOKUP(E376*1,Tabla[#All],8,0),0)</f>
        <v/>
      </c>
      <c r="T376" s="26">
        <f>S376*G376</f>
        <v/>
      </c>
      <c r="U376" s="26">
        <f>R376-T376</f>
        <v/>
      </c>
      <c r="V376" s="26">
        <f>U376-L376</f>
        <v/>
      </c>
    </row>
    <row r="377">
      <c r="A377" s="11" t="n">
        <v>46207</v>
      </c>
      <c r="B377" s="1" t="n">
        <v>20073</v>
      </c>
      <c r="C377" s="1" t="inlineStr">
        <is>
          <t>802</t>
        </is>
      </c>
      <c r="D377" s="1" t="inlineStr">
        <is>
          <t xml:space="preserve">10    </t>
        </is>
      </c>
      <c r="E377" s="1" t="inlineStr">
        <is>
          <t xml:space="preserve">31675352       </t>
        </is>
      </c>
      <c r="F377" s="5" t="inlineStr">
        <is>
          <t>MI PEQUENO NENUCO</t>
        </is>
      </c>
      <c r="G377" t="n">
        <v>1</v>
      </c>
      <c r="H377" s="7" t="n">
        <v>69.90000000000001</v>
      </c>
      <c r="I377" s="7" t="n">
        <v>0</v>
      </c>
      <c r="J377" s="7" t="n">
        <v>0</v>
      </c>
      <c r="K377" s="9" t="n">
        <v>0</v>
      </c>
      <c r="L377" s="10" t="n">
        <v>41.47</v>
      </c>
      <c r="M377" s="10" t="n">
        <v>1.43</v>
      </c>
      <c r="N377" t="inlineStr">
        <is>
          <t>1</t>
        </is>
      </c>
      <c r="O377" t="inlineStr">
        <is>
          <t>16</t>
        </is>
      </c>
      <c r="P377" t="inlineStr">
        <is>
          <t xml:space="preserve">0       </t>
        </is>
      </c>
      <c r="Q377" s="26" t="n">
        <v>41.47</v>
      </c>
      <c r="R377" s="26">
        <f>Q377*G377</f>
        <v/>
      </c>
      <c r="S377" s="26">
        <f>IFERROR(VLOOKUP(E377*1,Tabla[#All],8,0),0)</f>
        <v/>
      </c>
      <c r="T377" s="26">
        <f>S377*G377</f>
        <v/>
      </c>
      <c r="U377" s="26">
        <f>R377-T377</f>
        <v/>
      </c>
      <c r="V377" s="26">
        <f>U377-L377</f>
        <v/>
      </c>
    </row>
    <row r="378">
      <c r="A378" s="11" t="n">
        <v>46207</v>
      </c>
      <c r="B378" s="1" t="n">
        <v>20074</v>
      </c>
      <c r="C378" s="1" t="inlineStr">
        <is>
          <t>048</t>
        </is>
      </c>
      <c r="D378" s="1" t="inlineStr">
        <is>
          <t>144317</t>
        </is>
      </c>
      <c r="E378" s="1" t="inlineStr">
        <is>
          <t xml:space="preserve">28194782       </t>
        </is>
      </c>
      <c r="F378" s="5" t="inlineStr">
        <is>
          <t>TROMPO BATALLA INFINITY NADO SERIE V ORIGINAL SURT</t>
        </is>
      </c>
      <c r="G378" t="n">
        <v>1</v>
      </c>
      <c r="H378" s="7" t="n">
        <v>69.90000000000001</v>
      </c>
      <c r="I378" s="7" t="n">
        <v>0</v>
      </c>
      <c r="J378" s="7" t="n">
        <v>0</v>
      </c>
      <c r="K378" s="9" t="n">
        <v>0</v>
      </c>
      <c r="L378" s="10" t="n">
        <v>41.47</v>
      </c>
      <c r="M378" s="10" t="n">
        <v>1.43</v>
      </c>
      <c r="N378" t="inlineStr">
        <is>
          <t>1</t>
        </is>
      </c>
      <c r="O378" t="inlineStr">
        <is>
          <t>16</t>
        </is>
      </c>
      <c r="P378" t="inlineStr">
        <is>
          <t xml:space="preserve">250385  </t>
        </is>
      </c>
      <c r="Q378" s="26" t="n">
        <v>41.47</v>
      </c>
      <c r="R378" s="26">
        <f>Q378*G378</f>
        <v/>
      </c>
      <c r="S378" s="26">
        <f>IFERROR(VLOOKUP(E378*1,Tabla[#All],8,0),0)</f>
        <v/>
      </c>
      <c r="T378" s="26">
        <f>S378*G378</f>
        <v/>
      </c>
      <c r="U378" s="26">
        <f>R378-T378</f>
        <v/>
      </c>
      <c r="V378" s="26">
        <f>U378-L378</f>
        <v/>
      </c>
    </row>
    <row r="379">
      <c r="A379" s="11" t="n">
        <v>46207</v>
      </c>
      <c r="B379" s="1" t="n">
        <v>20077</v>
      </c>
      <c r="C379" s="1" t="inlineStr">
        <is>
          <t>016</t>
        </is>
      </c>
      <c r="D379" s="1" t="inlineStr">
        <is>
          <t>120818</t>
        </is>
      </c>
      <c r="E379" s="1" t="inlineStr">
        <is>
          <t xml:space="preserve">32457099       </t>
        </is>
      </c>
      <c r="F379" s="5" t="inlineStr">
        <is>
          <t>TMZ BEAST MACHINES MONSTER JAWS A FRICCION BLISTER</t>
        </is>
      </c>
      <c r="G379" t="n">
        <v>1</v>
      </c>
      <c r="H379" s="7" t="n">
        <v>19.9</v>
      </c>
      <c r="I379" s="7" t="n">
        <v>0</v>
      </c>
      <c r="J379" s="7" t="n">
        <v>0</v>
      </c>
      <c r="K379" s="9" t="n">
        <v>0</v>
      </c>
      <c r="L379" s="10" t="n">
        <v>11.8</v>
      </c>
      <c r="M379" s="10" t="n">
        <v>1.43</v>
      </c>
      <c r="N379" t="inlineStr">
        <is>
          <t>1</t>
        </is>
      </c>
      <c r="O379" t="inlineStr">
        <is>
          <t xml:space="preserve">3 </t>
        </is>
      </c>
      <c r="P379" t="inlineStr">
        <is>
          <t xml:space="preserve">250449  </t>
        </is>
      </c>
      <c r="Q379" s="26" t="n">
        <v>11.81</v>
      </c>
      <c r="R379" s="26">
        <f>Q379*G379</f>
        <v/>
      </c>
      <c r="S379" s="26">
        <f>IFERROR(VLOOKUP(E379*1,Tabla[#All],8,0),0)</f>
        <v/>
      </c>
      <c r="T379" s="26">
        <f>S379*G379</f>
        <v/>
      </c>
      <c r="U379" s="26">
        <f>R379-T379</f>
        <v/>
      </c>
      <c r="V379" s="26">
        <f>U379-L379</f>
        <v/>
      </c>
    </row>
    <row r="380">
      <c r="A380" s="11" t="n">
        <v>46207</v>
      </c>
      <c r="B380" s="1" t="n">
        <v>20077</v>
      </c>
      <c r="C380" s="1" t="inlineStr">
        <is>
          <t>030</t>
        </is>
      </c>
      <c r="D380" s="1" t="inlineStr">
        <is>
          <t xml:space="preserve">40013 </t>
        </is>
      </c>
      <c r="E380" s="1" t="inlineStr">
        <is>
          <t xml:space="preserve">28194769       </t>
        </is>
      </c>
      <c r="F380" s="5" t="inlineStr">
        <is>
          <t>AUTOS DE METAL 3 TEAMSTERZ PACK DE 2</t>
        </is>
      </c>
      <c r="G380" t="n">
        <v>1</v>
      </c>
      <c r="H380" s="7" t="n">
        <v>13.8</v>
      </c>
      <c r="I380" s="7" t="n">
        <v>0</v>
      </c>
      <c r="J380" s="7" t="n">
        <v>0</v>
      </c>
      <c r="K380" s="9" t="n">
        <v>0</v>
      </c>
      <c r="L380" s="10" t="n">
        <v>8.18</v>
      </c>
      <c r="M380" s="10" t="n">
        <v>1.43</v>
      </c>
      <c r="N380" t="inlineStr">
        <is>
          <t>1</t>
        </is>
      </c>
      <c r="O380" t="inlineStr">
        <is>
          <t>16</t>
        </is>
      </c>
      <c r="P380" t="inlineStr">
        <is>
          <t xml:space="preserve">50264   </t>
        </is>
      </c>
      <c r="Q380" s="26" t="n">
        <v>8.19</v>
      </c>
      <c r="R380" s="26">
        <f>Q380*G380</f>
        <v/>
      </c>
      <c r="S380" s="26">
        <f>IFERROR(VLOOKUP(E380*1,Tabla[#All],8,0),0)</f>
        <v/>
      </c>
      <c r="T380" s="26">
        <f>S380*G380</f>
        <v/>
      </c>
      <c r="U380" s="26">
        <f>R380-T380</f>
        <v/>
      </c>
      <c r="V380" s="26">
        <f>U380-L380</f>
        <v/>
      </c>
    </row>
    <row r="381">
      <c r="A381" s="11" t="n">
        <v>46207</v>
      </c>
      <c r="B381" s="1" t="n">
        <v>20077</v>
      </c>
      <c r="C381" s="1" t="inlineStr">
        <is>
          <t>030</t>
        </is>
      </c>
      <c r="D381" s="1" t="inlineStr">
        <is>
          <t xml:space="preserve">40043 </t>
        </is>
      </c>
      <c r="E381" s="1" t="inlineStr">
        <is>
          <t xml:space="preserve">28194768       </t>
        </is>
      </c>
      <c r="F381" s="5" t="inlineStr">
        <is>
          <t>AUTO COLOR CHANGE TEAMSTERZ SURTIDO</t>
        </is>
      </c>
      <c r="G381" t="n">
        <v>1</v>
      </c>
      <c r="H381" s="7" t="n">
        <v>14.9</v>
      </c>
      <c r="I381" s="7" t="n">
        <v>0</v>
      </c>
      <c r="J381" s="7" t="n">
        <v>0</v>
      </c>
      <c r="K381" s="9" t="n">
        <v>0</v>
      </c>
      <c r="L381" s="10" t="n">
        <v>8.84</v>
      </c>
      <c r="M381" s="10" t="n">
        <v>1.43</v>
      </c>
      <c r="N381" t="inlineStr">
        <is>
          <t>1</t>
        </is>
      </c>
      <c r="O381" t="inlineStr">
        <is>
          <t xml:space="preserve">3 </t>
        </is>
      </c>
      <c r="P381" t="inlineStr">
        <is>
          <t xml:space="preserve">50264   </t>
        </is>
      </c>
      <c r="Q381" s="26" t="n">
        <v>8.84</v>
      </c>
      <c r="R381" s="26">
        <f>Q381*G381</f>
        <v/>
      </c>
      <c r="S381" s="26">
        <f>IFERROR(VLOOKUP(E381*1,Tabla[#All],8,0),0)</f>
        <v/>
      </c>
      <c r="T381" s="26">
        <f>S381*G381</f>
        <v/>
      </c>
      <c r="U381" s="26">
        <f>R381-T381</f>
        <v/>
      </c>
      <c r="V381" s="26">
        <f>U381-L381</f>
        <v/>
      </c>
    </row>
    <row r="382">
      <c r="A382" s="11" t="n">
        <v>46207</v>
      </c>
      <c r="B382" s="1" t="n">
        <v>20077</v>
      </c>
      <c r="C382" s="1" t="inlineStr">
        <is>
          <t>030</t>
        </is>
      </c>
      <c r="D382" s="1" t="inlineStr">
        <is>
          <t xml:space="preserve">40045 </t>
        </is>
      </c>
      <c r="E382" s="1" t="inlineStr">
        <is>
          <t xml:space="preserve">28194770       </t>
        </is>
      </c>
      <c r="F382" s="5" t="inlineStr">
        <is>
          <t>AUTOS DE METAL 3 TEAMSTERZ EN BLISTER</t>
        </is>
      </c>
      <c r="G382" t="n">
        <v>1</v>
      </c>
      <c r="H382" s="7" t="n">
        <v>6.9</v>
      </c>
      <c r="I382" s="7" t="n">
        <v>0</v>
      </c>
      <c r="J382" s="7" t="n">
        <v>0</v>
      </c>
      <c r="K382" s="9" t="n">
        <v>0</v>
      </c>
      <c r="L382" s="10" t="n">
        <v>4.1</v>
      </c>
      <c r="M382" s="10" t="n">
        <v>1.43</v>
      </c>
      <c r="N382" t="inlineStr">
        <is>
          <t>1</t>
        </is>
      </c>
      <c r="O382" t="inlineStr">
        <is>
          <t>16</t>
        </is>
      </c>
      <c r="P382" t="inlineStr">
        <is>
          <t xml:space="preserve">50264   </t>
        </is>
      </c>
      <c r="Q382" s="26" t="n">
        <v>4.09</v>
      </c>
      <c r="R382" s="26">
        <f>Q382*G382</f>
        <v/>
      </c>
      <c r="S382" s="26">
        <f>IFERROR(VLOOKUP(E382*1,Tabla[#All],8,0),0)</f>
        <v/>
      </c>
      <c r="T382" s="26">
        <f>S382*G382</f>
        <v/>
      </c>
      <c r="U382" s="26">
        <f>R382-T382</f>
        <v/>
      </c>
      <c r="V382" s="26">
        <f>U382-L382</f>
        <v/>
      </c>
    </row>
    <row r="383">
      <c r="A383" s="11" t="n">
        <v>46207</v>
      </c>
      <c r="B383" s="1" t="n">
        <v>20077</v>
      </c>
      <c r="C383" s="1" t="inlineStr">
        <is>
          <t>030</t>
        </is>
      </c>
      <c r="D383" s="1" t="inlineStr">
        <is>
          <t xml:space="preserve">40093 </t>
        </is>
      </c>
      <c r="E383" s="1" t="inlineStr">
        <is>
          <t xml:space="preserve">28194770       </t>
        </is>
      </c>
      <c r="F383" s="5" t="inlineStr">
        <is>
          <t>AUTOS DE METAL 3 TEAMSTERZ EN BLISTER</t>
        </is>
      </c>
      <c r="G383" t="n">
        <v>1</v>
      </c>
      <c r="H383" s="7" t="n">
        <v>6.9</v>
      </c>
      <c r="I383" s="7" t="n">
        <v>0</v>
      </c>
      <c r="J383" s="7" t="n">
        <v>0</v>
      </c>
      <c r="K383" s="9" t="n">
        <v>0</v>
      </c>
      <c r="L383" s="10" t="n">
        <v>4.1</v>
      </c>
      <c r="M383" s="10" t="n">
        <v>1.43</v>
      </c>
      <c r="N383" t="inlineStr">
        <is>
          <t>1</t>
        </is>
      </c>
      <c r="O383" t="inlineStr">
        <is>
          <t xml:space="preserve">2 </t>
        </is>
      </c>
      <c r="P383" t="inlineStr">
        <is>
          <t xml:space="preserve">50264   </t>
        </is>
      </c>
      <c r="Q383" s="26" t="n">
        <v>4.09</v>
      </c>
      <c r="R383" s="26">
        <f>Q383*G383</f>
        <v/>
      </c>
      <c r="S383" s="26">
        <f>IFERROR(VLOOKUP(E383*1,Tabla[#All],8,0),0)</f>
        <v/>
      </c>
      <c r="T383" s="26">
        <f>S383*G383</f>
        <v/>
      </c>
      <c r="U383" s="26">
        <f>R383-T383</f>
        <v/>
      </c>
      <c r="V383" s="26">
        <f>U383-L383</f>
        <v/>
      </c>
    </row>
    <row r="384">
      <c r="A384" s="11" t="n">
        <v>46207</v>
      </c>
      <c r="B384" s="1" t="n">
        <v>20077</v>
      </c>
      <c r="C384" s="1" t="inlineStr">
        <is>
          <t>030</t>
        </is>
      </c>
      <c r="D384" s="1" t="inlineStr">
        <is>
          <t xml:space="preserve">40118 </t>
        </is>
      </c>
      <c r="E384" s="1" t="inlineStr">
        <is>
          <t xml:space="preserve">31675354       </t>
        </is>
      </c>
      <c r="F384" s="5" t="inlineStr">
        <is>
          <t>NENUCO LLORON CON ACCESORIOS</t>
        </is>
      </c>
      <c r="G384" t="n">
        <v>1</v>
      </c>
      <c r="H384" s="7" t="n">
        <v>89.90000000000001</v>
      </c>
      <c r="I384" s="7" t="n">
        <v>0</v>
      </c>
      <c r="J384" s="7" t="n">
        <v>0</v>
      </c>
      <c r="K384" s="9" t="n">
        <v>0</v>
      </c>
      <c r="L384" s="10" t="n">
        <v>53.33</v>
      </c>
      <c r="M384" s="10" t="n">
        <v>1.43</v>
      </c>
      <c r="N384" t="inlineStr">
        <is>
          <t>1</t>
        </is>
      </c>
      <c r="O384" t="inlineStr">
        <is>
          <t xml:space="preserve">2 </t>
        </is>
      </c>
      <c r="P384" t="inlineStr">
        <is>
          <t xml:space="preserve">50264   </t>
        </is>
      </c>
      <c r="Q384" s="26" t="n">
        <v>53.33</v>
      </c>
      <c r="R384" s="26">
        <f>Q384*G384</f>
        <v/>
      </c>
      <c r="S384" s="26">
        <f>IFERROR(VLOOKUP(E384*1,Tabla[#All],8,0),0)</f>
        <v/>
      </c>
      <c r="T384" s="26">
        <f>S384*G384</f>
        <v/>
      </c>
      <c r="U384" s="26">
        <f>R384-T384</f>
        <v/>
      </c>
      <c r="V384" s="26">
        <f>U384-L384</f>
        <v/>
      </c>
    </row>
    <row r="385">
      <c r="A385" s="11" t="n">
        <v>46207</v>
      </c>
      <c r="B385" s="1" t="n">
        <v>20077</v>
      </c>
      <c r="C385" s="1" t="inlineStr">
        <is>
          <t>037</t>
        </is>
      </c>
      <c r="D385" s="1" t="inlineStr">
        <is>
          <t xml:space="preserve">61841 </t>
        </is>
      </c>
      <c r="E385" s="1" t="inlineStr">
        <is>
          <t xml:space="preserve">30232284       </t>
        </is>
      </c>
      <c r="F385" s="5" t="inlineStr">
        <is>
          <t>INFINITY NADO TROMPO DE BATALLA - METAL C/PUNTA DE</t>
        </is>
      </c>
      <c r="G385" t="n">
        <v>1</v>
      </c>
      <c r="H385" s="7" t="n">
        <v>49.9</v>
      </c>
      <c r="I385" s="7" t="n">
        <v>15</v>
      </c>
      <c r="J385" s="7" t="n">
        <v>0</v>
      </c>
      <c r="K385" s="9" t="n">
        <v>15</v>
      </c>
      <c r="L385" s="10" t="n">
        <v>20.71</v>
      </c>
      <c r="M385" s="10" t="n">
        <v>1.43</v>
      </c>
      <c r="N385" t="inlineStr">
        <is>
          <t>1</t>
        </is>
      </c>
      <c r="O385" t="inlineStr">
        <is>
          <t>16</t>
        </is>
      </c>
      <c r="P385" t="inlineStr">
        <is>
          <t xml:space="preserve">48922   </t>
        </is>
      </c>
      <c r="Q385" s="26" t="n">
        <v>29.6</v>
      </c>
      <c r="R385" s="26">
        <f>Q385*G385</f>
        <v/>
      </c>
      <c r="S385" s="26">
        <f>IFERROR(VLOOKUP(E385*1,Tabla[#All],8,0),0)</f>
        <v/>
      </c>
      <c r="T385" s="26">
        <f>S385*G385</f>
        <v/>
      </c>
      <c r="U385" s="26">
        <f>R385-T385</f>
        <v/>
      </c>
      <c r="V385" s="26">
        <f>U385-L385</f>
        <v/>
      </c>
    </row>
    <row r="386">
      <c r="A386" s="11" t="n">
        <v>46207</v>
      </c>
      <c r="B386" s="1" t="n">
        <v>20077</v>
      </c>
      <c r="C386" s="1" t="inlineStr">
        <is>
          <t>038</t>
        </is>
      </c>
      <c r="D386" s="1" t="inlineStr">
        <is>
          <t>110763</t>
        </is>
      </c>
      <c r="E386" s="1" t="inlineStr">
        <is>
          <t xml:space="preserve">29235706       </t>
        </is>
      </c>
      <c r="F386" s="5" t="inlineStr">
        <is>
          <t>TEAMSTERZ CAMION PARA GUARDAR 12 AUTOS INCL 4 AUTO</t>
        </is>
      </c>
      <c r="G386" t="n">
        <v>1</v>
      </c>
      <c r="H386" s="7" t="n">
        <v>59.9</v>
      </c>
      <c r="I386" s="7" t="n">
        <v>11.98</v>
      </c>
      <c r="J386" s="7" t="n">
        <v>0</v>
      </c>
      <c r="K386" s="9" t="n">
        <v>11.98</v>
      </c>
      <c r="L386" s="10" t="n">
        <v>28.43</v>
      </c>
      <c r="M386" s="10" t="n">
        <v>1.43</v>
      </c>
      <c r="N386" t="inlineStr">
        <is>
          <t>1</t>
        </is>
      </c>
      <c r="O386" t="inlineStr">
        <is>
          <t xml:space="preserve">3 </t>
        </is>
      </c>
      <c r="P386" t="inlineStr">
        <is>
          <t xml:space="preserve">55311   </t>
        </is>
      </c>
      <c r="Q386" s="26" t="n">
        <v>35.53</v>
      </c>
      <c r="R386" s="26">
        <f>Q386*G386</f>
        <v/>
      </c>
      <c r="S386" s="26">
        <f>IFERROR(VLOOKUP(E386*1,Tabla[#All],8,0),0)</f>
        <v/>
      </c>
      <c r="T386" s="26">
        <f>S386*G386</f>
        <v/>
      </c>
      <c r="U386" s="26">
        <f>R386-T386</f>
        <v/>
      </c>
      <c r="V386" s="26">
        <f>U386-L386</f>
        <v/>
      </c>
    </row>
    <row r="387">
      <c r="A387" s="11" t="n">
        <v>46207</v>
      </c>
      <c r="B387" s="1" t="n">
        <v>20077</v>
      </c>
      <c r="C387" s="1" t="inlineStr">
        <is>
          <t>538</t>
        </is>
      </c>
      <c r="D387" s="1" t="inlineStr">
        <is>
          <t xml:space="preserve">2913  </t>
        </is>
      </c>
      <c r="E387" s="1" t="inlineStr">
        <is>
          <t xml:space="preserve">32457099       </t>
        </is>
      </c>
      <c r="F387" s="5" t="inlineStr">
        <is>
          <t>TMZ BEAST MACHINES MONSTER JAWS A FRICCION BLISTER</t>
        </is>
      </c>
      <c r="G387" t="n">
        <v>1</v>
      </c>
      <c r="H387" s="7" t="n">
        <v>19.9</v>
      </c>
      <c r="I387" s="7" t="n">
        <v>0</v>
      </c>
      <c r="J387" s="7" t="n">
        <v>0</v>
      </c>
      <c r="K387" s="9" t="n">
        <v>0</v>
      </c>
      <c r="L387" s="10" t="n">
        <v>11.8</v>
      </c>
      <c r="M387" s="10" t="n">
        <v>1.43</v>
      </c>
      <c r="N387" t="inlineStr">
        <is>
          <t>1</t>
        </is>
      </c>
      <c r="O387" t="inlineStr">
        <is>
          <t>16</t>
        </is>
      </c>
      <c r="P387" t="inlineStr">
        <is>
          <t xml:space="preserve">249583  </t>
        </is>
      </c>
      <c r="Q387" s="26" t="n">
        <v>11.81</v>
      </c>
      <c r="R387" s="26">
        <f>Q387*G387</f>
        <v/>
      </c>
      <c r="S387" s="26">
        <f>IFERROR(VLOOKUP(E387*1,Tabla[#All],8,0),0)</f>
        <v/>
      </c>
      <c r="T387" s="26">
        <f>S387*G387</f>
        <v/>
      </c>
      <c r="U387" s="26">
        <f>R387-T387</f>
        <v/>
      </c>
      <c r="V387" s="26">
        <f>U387-L387</f>
        <v/>
      </c>
    </row>
    <row r="388">
      <c r="A388" s="11" t="n">
        <v>46207</v>
      </c>
      <c r="B388" s="1" t="n">
        <v>20079</v>
      </c>
      <c r="C388" s="1" t="inlineStr">
        <is>
          <t>011</t>
        </is>
      </c>
      <c r="D388" s="1" t="inlineStr">
        <is>
          <t>301375</t>
        </is>
      </c>
      <c r="E388" s="1" t="inlineStr">
        <is>
          <t xml:space="preserve">34840524       </t>
        </is>
      </c>
      <c r="F388" s="5" t="inlineStr">
        <is>
          <t>NENUCO 5 FUNCIONES INTERACTIVAS</t>
        </is>
      </c>
      <c r="G388" t="n">
        <v>1</v>
      </c>
      <c r="H388" s="7" t="n">
        <v>89.90000000000001</v>
      </c>
      <c r="I388" s="7" t="n">
        <v>0</v>
      </c>
      <c r="J388" s="7" t="n">
        <v>0</v>
      </c>
      <c r="K388" s="9" t="n">
        <v>0</v>
      </c>
      <c r="L388" s="10" t="n">
        <v>53.33</v>
      </c>
      <c r="M388" s="10" t="n">
        <v>1.43</v>
      </c>
      <c r="N388" t="inlineStr">
        <is>
          <t>1</t>
        </is>
      </c>
      <c r="O388" t="inlineStr">
        <is>
          <t>16</t>
        </is>
      </c>
      <c r="P388" t="inlineStr">
        <is>
          <t xml:space="preserve">75771   </t>
        </is>
      </c>
      <c r="Q388" s="26" t="n">
        <v>53.33</v>
      </c>
      <c r="R388" s="26">
        <f>Q388*G388</f>
        <v/>
      </c>
      <c r="S388" s="26">
        <f>IFERROR(VLOOKUP(E388*1,Tabla[#All],8,0),0)</f>
        <v/>
      </c>
      <c r="T388" s="26">
        <f>S388*G388</f>
        <v/>
      </c>
      <c r="U388" s="26">
        <f>R388-T388</f>
        <v/>
      </c>
      <c r="V388" s="26">
        <f>U388-L388</f>
        <v/>
      </c>
    </row>
    <row r="389">
      <c r="A389" s="11" t="n">
        <v>46207</v>
      </c>
      <c r="B389" s="1" t="n">
        <v>20079</v>
      </c>
      <c r="C389" s="1" t="inlineStr">
        <is>
          <t>015</t>
        </is>
      </c>
      <c r="D389" s="1" t="inlineStr">
        <is>
          <t xml:space="preserve">41814 </t>
        </is>
      </c>
      <c r="E389" s="1" t="inlineStr">
        <is>
          <t xml:space="preserve">32457099       </t>
        </is>
      </c>
      <c r="F389" s="5" t="inlineStr">
        <is>
          <t>TMZ BEAST MACHINES MONSTER JAWS A FRICCION BLISTER</t>
        </is>
      </c>
      <c r="G389" t="n">
        <v>1</v>
      </c>
      <c r="H389" s="7" t="n">
        <v>19.9</v>
      </c>
      <c r="I389" s="7" t="n">
        <v>0</v>
      </c>
      <c r="J389" s="7" t="n">
        <v>0</v>
      </c>
      <c r="K389" s="9" t="n">
        <v>0</v>
      </c>
      <c r="L389" s="10" t="n">
        <v>11.8</v>
      </c>
      <c r="M389" s="10" t="n">
        <v>1.43</v>
      </c>
      <c r="N389" t="inlineStr">
        <is>
          <t>1</t>
        </is>
      </c>
      <c r="O389" t="inlineStr">
        <is>
          <t>16</t>
        </is>
      </c>
      <c r="P389" t="inlineStr">
        <is>
          <t xml:space="preserve">55412   </t>
        </is>
      </c>
      <c r="Q389" s="26" t="n">
        <v>11.81</v>
      </c>
      <c r="R389" s="26">
        <f>Q389*G389</f>
        <v/>
      </c>
      <c r="S389" s="26">
        <f>IFERROR(VLOOKUP(E389*1,Tabla[#All],8,0),0)</f>
        <v/>
      </c>
      <c r="T389" s="26">
        <f>S389*G389</f>
        <v/>
      </c>
      <c r="U389" s="26">
        <f>R389-T389</f>
        <v/>
      </c>
      <c r="V389" s="26">
        <f>U389-L389</f>
        <v/>
      </c>
    </row>
    <row r="390">
      <c r="A390" s="11" t="n">
        <v>46207</v>
      </c>
      <c r="B390" s="1" t="n">
        <v>20079</v>
      </c>
      <c r="C390" s="1" t="inlineStr">
        <is>
          <t>045</t>
        </is>
      </c>
      <c r="D390" s="1" t="inlineStr">
        <is>
          <t>331466</t>
        </is>
      </c>
      <c r="E390" s="1" t="inlineStr">
        <is>
          <t xml:space="preserve">32656523       </t>
        </is>
      </c>
      <c r="F390" s="5" t="inlineStr">
        <is>
          <t>TMZ BEAST MACHINES TRANSPORT. T-REX ELECTR. + ACCE</t>
        </is>
      </c>
      <c r="G390" t="n">
        <v>1</v>
      </c>
      <c r="H390" s="7" t="n">
        <v>179</v>
      </c>
      <c r="I390" s="7" t="n">
        <v>0</v>
      </c>
      <c r="J390" s="7" t="n">
        <v>0</v>
      </c>
      <c r="K390" s="9" t="n">
        <v>0</v>
      </c>
      <c r="L390" s="10" t="n">
        <v>106.18</v>
      </c>
      <c r="M390" s="10" t="n">
        <v>1.43</v>
      </c>
      <c r="N390" t="inlineStr">
        <is>
          <t>1</t>
        </is>
      </c>
      <c r="O390" t="inlineStr">
        <is>
          <t>16</t>
        </is>
      </c>
      <c r="P390" t="inlineStr">
        <is>
          <t xml:space="preserve">38146   </t>
        </is>
      </c>
      <c r="Q390" s="26" t="n">
        <v>106.19</v>
      </c>
      <c r="R390" s="26">
        <f>Q390*G390</f>
        <v/>
      </c>
      <c r="S390" s="26">
        <f>IFERROR(VLOOKUP(E390*1,Tabla[#All],8,0),0)</f>
        <v/>
      </c>
      <c r="T390" s="26">
        <f>S390*G390</f>
        <v/>
      </c>
      <c r="U390" s="26">
        <f>R390-T390</f>
        <v/>
      </c>
      <c r="V390" s="26">
        <f>U390-L390</f>
        <v/>
      </c>
    </row>
    <row r="391">
      <c r="A391" s="11" t="n">
        <v>46207</v>
      </c>
      <c r="B391" s="1" t="n">
        <v>20079</v>
      </c>
      <c r="C391" s="1" t="inlineStr">
        <is>
          <t>045</t>
        </is>
      </c>
      <c r="D391" s="1" t="inlineStr">
        <is>
          <t>331502</t>
        </is>
      </c>
      <c r="E391" s="1" t="inlineStr">
        <is>
          <t xml:space="preserve">34840552       </t>
        </is>
      </c>
      <c r="F391" s="5" t="inlineStr">
        <is>
          <t>TMZ HELI POLICIA CON LUCES Y SONIDOS</t>
        </is>
      </c>
      <c r="G391" t="n">
        <v>1</v>
      </c>
      <c r="H391" s="7" t="n">
        <v>79.90000000000001</v>
      </c>
      <c r="I391" s="7" t="n">
        <v>0</v>
      </c>
      <c r="J391" s="7" t="n">
        <v>0</v>
      </c>
      <c r="K391" s="9" t="n">
        <v>0</v>
      </c>
      <c r="L391" s="10" t="n">
        <v>47.4</v>
      </c>
      <c r="M391" s="10" t="n">
        <v>1.43</v>
      </c>
      <c r="N391" t="inlineStr">
        <is>
          <t>1</t>
        </is>
      </c>
      <c r="O391" t="inlineStr">
        <is>
          <t>16</t>
        </is>
      </c>
      <c r="P391" t="inlineStr">
        <is>
          <t xml:space="preserve">38146   </t>
        </is>
      </c>
      <c r="Q391" s="26" t="n">
        <v>47.4</v>
      </c>
      <c r="R391" s="26">
        <f>Q391*G391</f>
        <v/>
      </c>
      <c r="S391" s="26">
        <f>IFERROR(VLOOKUP(E391*1,Tabla[#All],8,0),0)</f>
        <v/>
      </c>
      <c r="T391" s="26">
        <f>S391*G391</f>
        <v/>
      </c>
      <c r="U391" s="26">
        <f>R391-T391</f>
        <v/>
      </c>
      <c r="V391" s="26">
        <f>U391-L391</f>
        <v/>
      </c>
    </row>
    <row r="392">
      <c r="A392" s="11" t="n">
        <v>46207</v>
      </c>
      <c r="B392" s="1" t="n">
        <v>20079</v>
      </c>
      <c r="C392" s="1" t="inlineStr">
        <is>
          <t>045</t>
        </is>
      </c>
      <c r="D392" s="1" t="inlineStr">
        <is>
          <t>331555</t>
        </is>
      </c>
      <c r="E392" s="1" t="inlineStr">
        <is>
          <t xml:space="preserve">31754675       </t>
        </is>
      </c>
      <c r="F392" s="5" t="inlineStr">
        <is>
          <t>INFINITY NADO SERIE 6 STARTER PACK - 4 MODELOS</t>
        </is>
      </c>
      <c r="G392" t="n">
        <v>1</v>
      </c>
      <c r="H392" s="7" t="n">
        <v>69.90000000000001</v>
      </c>
      <c r="I392" s="7" t="n">
        <v>0</v>
      </c>
      <c r="J392" s="7" t="n">
        <v>0</v>
      </c>
      <c r="K392" s="9" t="n">
        <v>0</v>
      </c>
      <c r="L392" s="10" t="n">
        <v>41.47</v>
      </c>
      <c r="M392" s="10" t="n">
        <v>1.43</v>
      </c>
      <c r="N392" t="inlineStr">
        <is>
          <t>1</t>
        </is>
      </c>
      <c r="O392" t="inlineStr">
        <is>
          <t>16</t>
        </is>
      </c>
      <c r="P392" t="inlineStr">
        <is>
          <t xml:space="preserve">38146   </t>
        </is>
      </c>
      <c r="Q392" s="26" t="n">
        <v>41.47</v>
      </c>
      <c r="R392" s="26">
        <f>Q392*G392</f>
        <v/>
      </c>
      <c r="S392" s="26">
        <f>IFERROR(VLOOKUP(E392*1,Tabla[#All],8,0),0)</f>
        <v/>
      </c>
      <c r="T392" s="26">
        <f>S392*G392</f>
        <v/>
      </c>
      <c r="U392" s="26">
        <f>R392-T392</f>
        <v/>
      </c>
      <c r="V392" s="26">
        <f>U392-L392</f>
        <v/>
      </c>
    </row>
    <row r="393">
      <c r="A393" s="11" t="n">
        <v>46207</v>
      </c>
      <c r="B393" s="1" t="n">
        <v>20079</v>
      </c>
      <c r="C393" s="1" t="inlineStr">
        <is>
          <t>045</t>
        </is>
      </c>
      <c r="D393" s="1" t="inlineStr">
        <is>
          <t>331555</t>
        </is>
      </c>
      <c r="E393" s="1" t="inlineStr">
        <is>
          <t xml:space="preserve">31754676       </t>
        </is>
      </c>
      <c r="F393" s="5" t="inlineStr">
        <is>
          <t>INFINITY NADO SERIE 6 STD PACK LANZ ESPAD ANILLO M</t>
        </is>
      </c>
      <c r="G393" t="n">
        <v>1</v>
      </c>
      <c r="H393" s="7" t="n">
        <v>79.90000000000001</v>
      </c>
      <c r="I393" s="7" t="n">
        <v>0</v>
      </c>
      <c r="J393" s="7" t="n">
        <v>0</v>
      </c>
      <c r="K393" s="9" t="n">
        <v>0</v>
      </c>
      <c r="L393" s="10" t="n">
        <v>47.4</v>
      </c>
      <c r="M393" s="10" t="n">
        <v>1.43</v>
      </c>
      <c r="N393" t="inlineStr">
        <is>
          <t>1</t>
        </is>
      </c>
      <c r="O393" t="inlineStr">
        <is>
          <t>16</t>
        </is>
      </c>
      <c r="P393" t="inlineStr">
        <is>
          <t xml:space="preserve">38146   </t>
        </is>
      </c>
      <c r="Q393" s="26" t="n">
        <v>47.4</v>
      </c>
      <c r="R393" s="26">
        <f>Q393*G393</f>
        <v/>
      </c>
      <c r="S393" s="26">
        <f>IFERROR(VLOOKUP(E393*1,Tabla[#All],8,0),0)</f>
        <v/>
      </c>
      <c r="T393" s="26">
        <f>S393*G393</f>
        <v/>
      </c>
      <c r="U393" s="26">
        <f>R393-T393</f>
        <v/>
      </c>
      <c r="V393" s="26">
        <f>U393-L393</f>
        <v/>
      </c>
    </row>
    <row r="394">
      <c r="A394" s="11" t="n">
        <v>46207</v>
      </c>
      <c r="B394" s="1" t="n">
        <v>20080</v>
      </c>
      <c r="C394" s="1" t="inlineStr">
        <is>
          <t>029</t>
        </is>
      </c>
      <c r="D394" s="1" t="inlineStr">
        <is>
          <t>224590</t>
        </is>
      </c>
      <c r="E394" s="1" t="inlineStr">
        <is>
          <t xml:space="preserve">32457103       </t>
        </is>
      </c>
      <c r="F394" s="5" t="inlineStr">
        <is>
          <t>TMZ BEAST MACHINES MONSTER JAWS A FRICCION PACK DE</t>
        </is>
      </c>
      <c r="G394" t="n">
        <v>1</v>
      </c>
      <c r="H394" s="7" t="n">
        <v>37.9</v>
      </c>
      <c r="I394" s="7" t="n">
        <v>0</v>
      </c>
      <c r="J394" s="7" t="n">
        <v>0</v>
      </c>
      <c r="K394" s="9" t="n">
        <v>0</v>
      </c>
      <c r="L394" s="10" t="n">
        <v>22.48</v>
      </c>
      <c r="M394" s="10" t="n">
        <v>1.43</v>
      </c>
      <c r="N394" t="inlineStr">
        <is>
          <t>1</t>
        </is>
      </c>
      <c r="O394" t="inlineStr">
        <is>
          <t xml:space="preserve">2 </t>
        </is>
      </c>
      <c r="P394" t="inlineStr">
        <is>
          <t xml:space="preserve">79951   </t>
        </is>
      </c>
      <c r="Q394" s="26" t="n">
        <v>22.48</v>
      </c>
      <c r="R394" s="26">
        <f>Q394*G394</f>
        <v/>
      </c>
      <c r="S394" s="26">
        <f>IFERROR(VLOOKUP(E394*1,Tabla[#All],8,0),0)</f>
        <v/>
      </c>
      <c r="T394" s="26">
        <f>S394*G394</f>
        <v/>
      </c>
      <c r="U394" s="26">
        <f>R394-T394</f>
        <v/>
      </c>
      <c r="V394" s="26">
        <f>U394-L394</f>
        <v/>
      </c>
    </row>
    <row r="395">
      <c r="A395" s="11" t="n">
        <v>46207</v>
      </c>
      <c r="B395" s="1" t="n">
        <v>20080</v>
      </c>
      <c r="C395" s="1" t="inlineStr">
        <is>
          <t>029</t>
        </is>
      </c>
      <c r="D395" s="1" t="inlineStr">
        <is>
          <t>224632</t>
        </is>
      </c>
      <c r="E395" s="1" t="inlineStr">
        <is>
          <t xml:space="preserve">30141766       </t>
        </is>
      </c>
      <c r="F395" s="5" t="inlineStr">
        <is>
          <t>TMZ BEAST MACHINES AUTOS DE METAL BLISTER X 1</t>
        </is>
      </c>
      <c r="G395" t="n">
        <v>1</v>
      </c>
      <c r="H395" s="7" t="n">
        <v>7.9</v>
      </c>
      <c r="I395" s="7" t="n">
        <v>0</v>
      </c>
      <c r="J395" s="7" t="n">
        <v>0</v>
      </c>
      <c r="K395" s="9" t="n">
        <v>0</v>
      </c>
      <c r="L395" s="10" t="n">
        <v>4.68</v>
      </c>
      <c r="M395" s="10" t="n">
        <v>1.43</v>
      </c>
      <c r="N395" t="inlineStr">
        <is>
          <t>1</t>
        </is>
      </c>
      <c r="O395" t="inlineStr">
        <is>
          <t>16</t>
        </is>
      </c>
      <c r="P395" t="inlineStr">
        <is>
          <t xml:space="preserve">237824  </t>
        </is>
      </c>
      <c r="Q395" s="26" t="n">
        <v>4.69</v>
      </c>
      <c r="R395" s="26">
        <f>Q395*G395</f>
        <v/>
      </c>
      <c r="S395" s="26">
        <f>IFERROR(VLOOKUP(E395*1,Tabla[#All],8,0),0)</f>
        <v/>
      </c>
      <c r="T395" s="26">
        <f>S395*G395</f>
        <v/>
      </c>
      <c r="U395" s="26">
        <f>R395-T395</f>
        <v/>
      </c>
      <c r="V395" s="26">
        <f>U395-L395</f>
        <v/>
      </c>
    </row>
    <row r="396">
      <c r="A396" s="11" t="n">
        <v>46207</v>
      </c>
      <c r="B396" s="1" t="n">
        <v>20080</v>
      </c>
      <c r="C396" s="1" t="inlineStr">
        <is>
          <t>029</t>
        </is>
      </c>
      <c r="D396" s="1" t="inlineStr">
        <is>
          <t>224632</t>
        </is>
      </c>
      <c r="E396" s="1" t="inlineStr">
        <is>
          <t xml:space="preserve">30141766       </t>
        </is>
      </c>
      <c r="F396" s="5" t="inlineStr">
        <is>
          <t>TMZ BEAST MACHINES AUTOS DE METAL BLISTER X 1</t>
        </is>
      </c>
      <c r="G396" t="n">
        <v>1</v>
      </c>
      <c r="H396" s="7" t="n">
        <v>7.9</v>
      </c>
      <c r="I396" s="7" t="n">
        <v>0</v>
      </c>
      <c r="J396" s="7" t="n">
        <v>0</v>
      </c>
      <c r="K396" s="9" t="n">
        <v>0</v>
      </c>
      <c r="L396" s="10" t="n">
        <v>4.68</v>
      </c>
      <c r="M396" s="10" t="n">
        <v>1.43</v>
      </c>
      <c r="N396" t="inlineStr">
        <is>
          <t>1</t>
        </is>
      </c>
      <c r="O396" t="inlineStr">
        <is>
          <t>16</t>
        </is>
      </c>
      <c r="P396" t="inlineStr">
        <is>
          <t xml:space="preserve">237824  </t>
        </is>
      </c>
      <c r="Q396" s="26" t="n">
        <v>4.69</v>
      </c>
      <c r="R396" s="26">
        <f>Q396*G396</f>
        <v/>
      </c>
      <c r="S396" s="26">
        <f>IFERROR(VLOOKUP(E396*1,Tabla[#All],8,0),0)</f>
        <v/>
      </c>
      <c r="T396" s="26">
        <f>S396*G396</f>
        <v/>
      </c>
      <c r="U396" s="26">
        <f>R396-T396</f>
        <v/>
      </c>
      <c r="V396" s="26">
        <f>U396-L396</f>
        <v/>
      </c>
    </row>
    <row r="397">
      <c r="A397" s="11" t="n">
        <v>46207</v>
      </c>
      <c r="B397" s="1" t="n">
        <v>20080</v>
      </c>
      <c r="C397" s="1" t="inlineStr">
        <is>
          <t>029</t>
        </is>
      </c>
      <c r="D397" s="1" t="inlineStr">
        <is>
          <t>224651</t>
        </is>
      </c>
      <c r="E397" s="1" t="inlineStr">
        <is>
          <t xml:space="preserve">32457099       </t>
        </is>
      </c>
      <c r="F397" s="5" t="inlineStr">
        <is>
          <t>TMZ BEAST MACHINES MONSTER JAWS A FRICCION BLISTER</t>
        </is>
      </c>
      <c r="G397" t="n">
        <v>1</v>
      </c>
      <c r="H397" s="7" t="n">
        <v>19.9</v>
      </c>
      <c r="I397" s="7" t="n">
        <v>0</v>
      </c>
      <c r="J397" s="7" t="n">
        <v>0</v>
      </c>
      <c r="K397" s="9" t="n">
        <v>0</v>
      </c>
      <c r="L397" s="10" t="n">
        <v>11.8</v>
      </c>
      <c r="M397" s="10" t="n">
        <v>1.43</v>
      </c>
      <c r="N397" t="inlineStr">
        <is>
          <t>1</t>
        </is>
      </c>
      <c r="O397" t="inlineStr">
        <is>
          <t>16</t>
        </is>
      </c>
      <c r="P397" t="inlineStr">
        <is>
          <t xml:space="preserve">79951   </t>
        </is>
      </c>
      <c r="Q397" s="26" t="n">
        <v>11.81</v>
      </c>
      <c r="R397" s="26">
        <f>Q397*G397</f>
        <v/>
      </c>
      <c r="S397" s="26">
        <f>IFERROR(VLOOKUP(E397*1,Tabla[#All],8,0),0)</f>
        <v/>
      </c>
      <c r="T397" s="26">
        <f>S397*G397</f>
        <v/>
      </c>
      <c r="U397" s="26">
        <f>R397-T397</f>
        <v/>
      </c>
      <c r="V397" s="26">
        <f>U397-L397</f>
        <v/>
      </c>
    </row>
    <row r="398">
      <c r="A398" s="11" t="n">
        <v>46207</v>
      </c>
      <c r="B398" s="1" t="n">
        <v>20080</v>
      </c>
      <c r="C398" s="1" t="inlineStr">
        <is>
          <t>029</t>
        </is>
      </c>
      <c r="D398" s="1" t="inlineStr">
        <is>
          <t>224660</t>
        </is>
      </c>
      <c r="E398" s="1" t="inlineStr">
        <is>
          <t xml:space="preserve">31959957       </t>
        </is>
      </c>
      <c r="F398" s="5" t="inlineStr">
        <is>
          <t>TEAMSTERZ PLAYSET RESCATE EN EL MAR</t>
        </is>
      </c>
      <c r="G398" t="n">
        <v>1</v>
      </c>
      <c r="H398" s="7" t="n">
        <v>19.9</v>
      </c>
      <c r="I398" s="7" t="n">
        <v>0</v>
      </c>
      <c r="J398" s="7" t="n">
        <v>0</v>
      </c>
      <c r="K398" s="9" t="n">
        <v>0</v>
      </c>
      <c r="L398" s="10" t="n">
        <v>11.8</v>
      </c>
      <c r="M398" s="10" t="n">
        <v>1.43</v>
      </c>
      <c r="N398" t="inlineStr">
        <is>
          <t>1</t>
        </is>
      </c>
      <c r="O398" t="inlineStr">
        <is>
          <t>16</t>
        </is>
      </c>
      <c r="P398" t="inlineStr">
        <is>
          <t xml:space="preserve">79951   </t>
        </is>
      </c>
      <c r="Q398" s="26" t="n">
        <v>11.81</v>
      </c>
      <c r="R398" s="26">
        <f>Q398*G398</f>
        <v/>
      </c>
      <c r="S398" s="26">
        <f>IFERROR(VLOOKUP(E398*1,Tabla[#All],8,0),0)</f>
        <v/>
      </c>
      <c r="T398" s="26">
        <f>S398*G398</f>
        <v/>
      </c>
      <c r="U398" s="26">
        <f>R398-T398</f>
        <v/>
      </c>
      <c r="V398" s="26">
        <f>U398-L398</f>
        <v/>
      </c>
    </row>
    <row r="399">
      <c r="A399" s="11" t="n">
        <v>46207</v>
      </c>
      <c r="B399" s="1" t="n">
        <v>20080</v>
      </c>
      <c r="C399" s="1" t="inlineStr">
        <is>
          <t>029</t>
        </is>
      </c>
      <c r="D399" s="1" t="inlineStr">
        <is>
          <t>224681</t>
        </is>
      </c>
      <c r="E399" s="1" t="inlineStr">
        <is>
          <t xml:space="preserve">28194769       </t>
        </is>
      </c>
      <c r="F399" s="5" t="inlineStr">
        <is>
          <t>AUTOS DE METAL 3 TEAMSTERZ PACK DE 2</t>
        </is>
      </c>
      <c r="G399" t="n">
        <v>1</v>
      </c>
      <c r="H399" s="7" t="n">
        <v>13.8</v>
      </c>
      <c r="I399" s="7" t="n">
        <v>0</v>
      </c>
      <c r="J399" s="7" t="n">
        <v>0</v>
      </c>
      <c r="K399" s="9" t="n">
        <v>0</v>
      </c>
      <c r="L399" s="10" t="n">
        <v>8.18</v>
      </c>
      <c r="M399" s="10" t="n">
        <v>1.43</v>
      </c>
      <c r="N399" t="inlineStr">
        <is>
          <t>1</t>
        </is>
      </c>
      <c r="O399" t="inlineStr">
        <is>
          <t xml:space="preserve">2 </t>
        </is>
      </c>
      <c r="P399" t="inlineStr">
        <is>
          <t xml:space="preserve">247625  </t>
        </is>
      </c>
      <c r="Q399" s="26" t="n">
        <v>8.19</v>
      </c>
      <c r="R399" s="26">
        <f>Q399*G399</f>
        <v/>
      </c>
      <c r="S399" s="26">
        <f>IFERROR(VLOOKUP(E399*1,Tabla[#All],8,0),0)</f>
        <v/>
      </c>
      <c r="T399" s="26">
        <f>S399*G399</f>
        <v/>
      </c>
      <c r="U399" s="26">
        <f>R399-T399</f>
        <v/>
      </c>
      <c r="V399" s="26">
        <f>U399-L399</f>
        <v/>
      </c>
    </row>
    <row r="400">
      <c r="A400" s="11" t="n">
        <v>46207</v>
      </c>
      <c r="B400" s="1" t="n">
        <v>20086</v>
      </c>
      <c r="C400" s="1" t="inlineStr">
        <is>
          <t>192</t>
        </is>
      </c>
      <c r="D400" s="1" t="inlineStr">
        <is>
          <t>128870</t>
        </is>
      </c>
      <c r="E400" s="1" t="inlineStr">
        <is>
          <t xml:space="preserve">28194770       </t>
        </is>
      </c>
      <c r="F400" s="5" t="inlineStr">
        <is>
          <t>AUTOS DE METAL 3 TEAMSTERZ EN BLISTER</t>
        </is>
      </c>
      <c r="G400" t="n">
        <v>1</v>
      </c>
      <c r="H400" s="7" t="n">
        <v>6.9</v>
      </c>
      <c r="I400" s="7" t="n">
        <v>0</v>
      </c>
      <c r="J400" s="7" t="n">
        <v>0</v>
      </c>
      <c r="K400" s="9" t="n">
        <v>0</v>
      </c>
      <c r="L400" s="10" t="n">
        <v>4.1</v>
      </c>
      <c r="M400" s="10" t="n">
        <v>1.43</v>
      </c>
      <c r="N400" t="inlineStr">
        <is>
          <t>1</t>
        </is>
      </c>
      <c r="O400" t="inlineStr">
        <is>
          <t xml:space="preserve">2 </t>
        </is>
      </c>
      <c r="P400" t="inlineStr">
        <is>
          <t xml:space="preserve">74931   </t>
        </is>
      </c>
      <c r="Q400" s="26" t="n">
        <v>4.09</v>
      </c>
      <c r="R400" s="26">
        <f>Q400*G400</f>
        <v/>
      </c>
      <c r="S400" s="26">
        <f>IFERROR(VLOOKUP(E400*1,Tabla[#All],8,0),0)</f>
        <v/>
      </c>
      <c r="T400" s="26">
        <f>S400*G400</f>
        <v/>
      </c>
      <c r="U400" s="26">
        <f>R400-T400</f>
        <v/>
      </c>
      <c r="V400" s="26">
        <f>U400-L400</f>
        <v/>
      </c>
    </row>
    <row r="401">
      <c r="A401" s="11" t="n">
        <v>46207</v>
      </c>
      <c r="B401" s="1" t="n">
        <v>20086</v>
      </c>
      <c r="C401" s="1" t="inlineStr">
        <is>
          <t>192</t>
        </is>
      </c>
      <c r="D401" s="1" t="inlineStr">
        <is>
          <t>128870</t>
        </is>
      </c>
      <c r="E401" s="1" t="inlineStr">
        <is>
          <t xml:space="preserve">28194770       </t>
        </is>
      </c>
      <c r="F401" s="5" t="inlineStr">
        <is>
          <t>AUTOS DE METAL 3 TEAMSTERZ EN BLISTER</t>
        </is>
      </c>
      <c r="G401" t="n">
        <v>1</v>
      </c>
      <c r="H401" s="7" t="n">
        <v>6.9</v>
      </c>
      <c r="I401" s="7" t="n">
        <v>0</v>
      </c>
      <c r="J401" s="7" t="n">
        <v>0</v>
      </c>
      <c r="K401" s="9" t="n">
        <v>0</v>
      </c>
      <c r="L401" s="10" t="n">
        <v>4.1</v>
      </c>
      <c r="M401" s="10" t="n">
        <v>1.43</v>
      </c>
      <c r="N401" t="inlineStr">
        <is>
          <t>1</t>
        </is>
      </c>
      <c r="O401" t="inlineStr">
        <is>
          <t xml:space="preserve">2 </t>
        </is>
      </c>
      <c r="P401" t="inlineStr">
        <is>
          <t xml:space="preserve">74931   </t>
        </is>
      </c>
      <c r="Q401" s="26" t="n">
        <v>4.09</v>
      </c>
      <c r="R401" s="26">
        <f>Q401*G401</f>
        <v/>
      </c>
      <c r="S401" s="26">
        <f>IFERROR(VLOOKUP(E401*1,Tabla[#All],8,0),0)</f>
        <v/>
      </c>
      <c r="T401" s="26">
        <f>S401*G401</f>
        <v/>
      </c>
      <c r="U401" s="26">
        <f>R401-T401</f>
        <v/>
      </c>
      <c r="V401" s="26">
        <f>U401-L401</f>
        <v/>
      </c>
    </row>
    <row r="402">
      <c r="A402" s="11" t="n">
        <v>46207</v>
      </c>
      <c r="B402" s="1" t="n">
        <v>20086</v>
      </c>
      <c r="C402" s="1" t="inlineStr">
        <is>
          <t>192</t>
        </is>
      </c>
      <c r="D402" s="1" t="inlineStr">
        <is>
          <t>128872</t>
        </is>
      </c>
      <c r="E402" s="1" t="inlineStr">
        <is>
          <t xml:space="preserve">28194769       </t>
        </is>
      </c>
      <c r="F402" s="5" t="inlineStr">
        <is>
          <t>AUTOS DE METAL 3 TEAMSTERZ PACK DE 2</t>
        </is>
      </c>
      <c r="G402" t="n">
        <v>1</v>
      </c>
      <c r="H402" s="7" t="n">
        <v>13.8</v>
      </c>
      <c r="I402" s="7" t="n">
        <v>0</v>
      </c>
      <c r="J402" s="7" t="n">
        <v>0</v>
      </c>
      <c r="K402" s="9" t="n">
        <v>0</v>
      </c>
      <c r="L402" s="10" t="n">
        <v>8.18</v>
      </c>
      <c r="M402" s="10" t="n">
        <v>1.43</v>
      </c>
      <c r="N402" t="inlineStr">
        <is>
          <t>1</t>
        </is>
      </c>
      <c r="O402" t="inlineStr">
        <is>
          <t xml:space="preserve">2 </t>
        </is>
      </c>
      <c r="P402" t="inlineStr">
        <is>
          <t xml:space="preserve">74931   </t>
        </is>
      </c>
      <c r="Q402" s="26" t="n">
        <v>8.19</v>
      </c>
      <c r="R402" s="26">
        <f>Q402*G402</f>
        <v/>
      </c>
      <c r="S402" s="26">
        <f>IFERROR(VLOOKUP(E402*1,Tabla[#All],8,0),0)</f>
        <v/>
      </c>
      <c r="T402" s="26">
        <f>S402*G402</f>
        <v/>
      </c>
      <c r="U402" s="26">
        <f>R402-T402</f>
        <v/>
      </c>
      <c r="V402" s="26">
        <f>U402-L402</f>
        <v/>
      </c>
    </row>
    <row r="403">
      <c r="A403" s="11" t="n">
        <v>46207</v>
      </c>
      <c r="B403" s="1" t="n">
        <v>20086</v>
      </c>
      <c r="C403" s="1" t="inlineStr">
        <is>
          <t>500</t>
        </is>
      </c>
      <c r="D403" s="1" t="inlineStr">
        <is>
          <t xml:space="preserve">4281  </t>
        </is>
      </c>
      <c r="E403" s="1" t="inlineStr">
        <is>
          <t xml:space="preserve">28194770       </t>
        </is>
      </c>
      <c r="F403" s="5" t="inlineStr">
        <is>
          <t>AUTOS DE METAL 3 TEAMSTERZ EN BLISTER</t>
        </is>
      </c>
      <c r="G403" t="n">
        <v>1</v>
      </c>
      <c r="H403" s="7" t="n">
        <v>6.9</v>
      </c>
      <c r="I403" s="7" t="n">
        <v>0</v>
      </c>
      <c r="J403" s="7" t="n">
        <v>0</v>
      </c>
      <c r="K403" s="9" t="n">
        <v>0</v>
      </c>
      <c r="L403" s="10" t="n">
        <v>4.1</v>
      </c>
      <c r="M403" s="10" t="n">
        <v>1.43</v>
      </c>
      <c r="N403" t="inlineStr">
        <is>
          <t>1</t>
        </is>
      </c>
      <c r="O403" t="inlineStr">
        <is>
          <t>16</t>
        </is>
      </c>
      <c r="P403" t="inlineStr">
        <is>
          <t xml:space="preserve">243254  </t>
        </is>
      </c>
      <c r="Q403" s="26" t="n">
        <v>4.09</v>
      </c>
      <c r="R403" s="26">
        <f>Q403*G403</f>
        <v/>
      </c>
      <c r="S403" s="26">
        <f>IFERROR(VLOOKUP(E403*1,Tabla[#All],8,0),0)</f>
        <v/>
      </c>
      <c r="T403" s="26">
        <f>S403*G403</f>
        <v/>
      </c>
      <c r="U403" s="26">
        <f>R403-T403</f>
        <v/>
      </c>
      <c r="V403" s="26">
        <f>U403-L403</f>
        <v/>
      </c>
    </row>
    <row r="404">
      <c r="A404" s="11" t="n">
        <v>46207</v>
      </c>
      <c r="B404" s="1" t="n">
        <v>20088</v>
      </c>
      <c r="C404" s="1" t="inlineStr">
        <is>
          <t>013</t>
        </is>
      </c>
      <c r="D404" s="1" t="inlineStr">
        <is>
          <t xml:space="preserve">40803 </t>
        </is>
      </c>
      <c r="E404" s="1" t="inlineStr">
        <is>
          <t xml:space="preserve">32457099       </t>
        </is>
      </c>
      <c r="F404" s="5" t="inlineStr">
        <is>
          <t>TMZ BEAST MACHINES MONSTER JAWS A FRICCION BLISTER</t>
        </is>
      </c>
      <c r="G404" t="n">
        <v>1</v>
      </c>
      <c r="H404" s="7" t="n">
        <v>17.9</v>
      </c>
      <c r="I404" s="7" t="n">
        <v>0</v>
      </c>
      <c r="J404" s="7" t="n">
        <v>0</v>
      </c>
      <c r="K404" s="9" t="n">
        <v>0</v>
      </c>
      <c r="L404" s="10" t="n">
        <v>10.62</v>
      </c>
      <c r="M404" s="10" t="n">
        <v>1.43</v>
      </c>
      <c r="N404" t="inlineStr">
        <is>
          <t>1</t>
        </is>
      </c>
      <c r="O404" t="inlineStr">
        <is>
          <t xml:space="preserve">2 </t>
        </is>
      </c>
      <c r="P404" t="inlineStr">
        <is>
          <t xml:space="preserve">232153  </t>
        </is>
      </c>
      <c r="Q404" s="26" t="n">
        <v>11.81</v>
      </c>
      <c r="R404" s="26">
        <f>Q404*G404</f>
        <v/>
      </c>
      <c r="S404" s="26">
        <f>IFERROR(VLOOKUP(E404*1,Tabla[#All],8,0),0)</f>
        <v/>
      </c>
      <c r="T404" s="26">
        <f>S404*G404</f>
        <v/>
      </c>
      <c r="U404" s="26">
        <f>R404-T404</f>
        <v/>
      </c>
      <c r="V404" s="26">
        <f>U404-L404</f>
        <v/>
      </c>
    </row>
    <row r="405">
      <c r="A405" s="11" t="n">
        <v>46207</v>
      </c>
      <c r="B405" s="1" t="n">
        <v>20088</v>
      </c>
      <c r="C405" s="1" t="inlineStr">
        <is>
          <t>021</t>
        </is>
      </c>
      <c r="D405" s="1" t="inlineStr">
        <is>
          <t xml:space="preserve">48090 </t>
        </is>
      </c>
      <c r="E405" s="1" t="inlineStr">
        <is>
          <t xml:space="preserve">28194768       </t>
        </is>
      </c>
      <c r="F405" s="5" t="inlineStr">
        <is>
          <t>AUTO COLOR CHANGE TEAMSTERZ SURTIDO</t>
        </is>
      </c>
      <c r="G405" t="n">
        <v>1</v>
      </c>
      <c r="H405" s="7" t="n">
        <v>14.9</v>
      </c>
      <c r="I405" s="7" t="n">
        <v>0</v>
      </c>
      <c r="J405" s="7" t="n">
        <v>0</v>
      </c>
      <c r="K405" s="9" t="n">
        <v>0</v>
      </c>
      <c r="L405" s="10" t="n">
        <v>8.84</v>
      </c>
      <c r="M405" s="10" t="n">
        <v>1.43</v>
      </c>
      <c r="N405" t="inlineStr">
        <is>
          <t>1</t>
        </is>
      </c>
      <c r="O405" t="inlineStr">
        <is>
          <t xml:space="preserve">3 </t>
        </is>
      </c>
      <c r="P405" t="inlineStr">
        <is>
          <t xml:space="preserve">242181  </t>
        </is>
      </c>
      <c r="Q405" s="26" t="n">
        <v>8.84</v>
      </c>
      <c r="R405" s="26">
        <f>Q405*G405</f>
        <v/>
      </c>
      <c r="S405" s="26">
        <f>IFERROR(VLOOKUP(E405*1,Tabla[#All],8,0),0)</f>
        <v/>
      </c>
      <c r="T405" s="26">
        <f>S405*G405</f>
        <v/>
      </c>
      <c r="U405" s="26">
        <f>R405-T405</f>
        <v/>
      </c>
      <c r="V405" s="26">
        <f>U405-L405</f>
        <v/>
      </c>
    </row>
    <row r="406">
      <c r="A406" s="11" t="n">
        <v>46207</v>
      </c>
      <c r="B406" s="1" t="n">
        <v>20088</v>
      </c>
      <c r="C406" s="1" t="inlineStr">
        <is>
          <t>021</t>
        </is>
      </c>
      <c r="D406" s="1" t="inlineStr">
        <is>
          <t xml:space="preserve">48090 </t>
        </is>
      </c>
      <c r="E406" s="1" t="inlineStr">
        <is>
          <t xml:space="preserve">28194768       </t>
        </is>
      </c>
      <c r="F406" s="5" t="inlineStr">
        <is>
          <t>AUTO COLOR CHANGE TEAMSTERZ SURTIDO</t>
        </is>
      </c>
      <c r="G406" t="n">
        <v>1</v>
      </c>
      <c r="H406" s="7" t="n">
        <v>14.9</v>
      </c>
      <c r="I406" s="7" t="n">
        <v>0</v>
      </c>
      <c r="J406" s="7" t="n">
        <v>0</v>
      </c>
      <c r="K406" s="9" t="n">
        <v>0</v>
      </c>
      <c r="L406" s="10" t="n">
        <v>8.84</v>
      </c>
      <c r="M406" s="10" t="n">
        <v>1.43</v>
      </c>
      <c r="N406" t="inlineStr">
        <is>
          <t>1</t>
        </is>
      </c>
      <c r="O406" t="inlineStr">
        <is>
          <t xml:space="preserve">3 </t>
        </is>
      </c>
      <c r="P406" t="inlineStr">
        <is>
          <t xml:space="preserve">242181  </t>
        </is>
      </c>
      <c r="Q406" s="26" t="n">
        <v>8.84</v>
      </c>
      <c r="R406" s="26">
        <f>Q406*G406</f>
        <v/>
      </c>
      <c r="S406" s="26">
        <f>IFERROR(VLOOKUP(E406*1,Tabla[#All],8,0),0)</f>
        <v/>
      </c>
      <c r="T406" s="26">
        <f>S406*G406</f>
        <v/>
      </c>
      <c r="U406" s="26">
        <f>R406-T406</f>
        <v/>
      </c>
      <c r="V406" s="26">
        <f>U406-L406</f>
        <v/>
      </c>
    </row>
    <row r="407">
      <c r="A407" s="11" t="n">
        <v>46207</v>
      </c>
      <c r="B407" s="1" t="n">
        <v>20088</v>
      </c>
      <c r="C407" s="1" t="inlineStr">
        <is>
          <t>021</t>
        </is>
      </c>
      <c r="D407" s="1" t="inlineStr">
        <is>
          <t xml:space="preserve">48090 </t>
        </is>
      </c>
      <c r="E407" s="1" t="inlineStr">
        <is>
          <t xml:space="preserve">31959961       </t>
        </is>
      </c>
      <c r="F407" s="5" t="inlineStr">
        <is>
          <t>TEAMSTERZ CAMBIA DE COLOR PACK DE 3 AUTOS</t>
        </is>
      </c>
      <c r="G407" t="n">
        <v>1</v>
      </c>
      <c r="H407" s="7" t="n">
        <v>49.9</v>
      </c>
      <c r="I407" s="7" t="n">
        <v>0</v>
      </c>
      <c r="J407" s="7" t="n">
        <v>0</v>
      </c>
      <c r="K407" s="9" t="n">
        <v>0</v>
      </c>
      <c r="L407" s="10" t="n">
        <v>29.6</v>
      </c>
      <c r="M407" s="10" t="n">
        <v>1.43</v>
      </c>
      <c r="N407" t="inlineStr">
        <is>
          <t>1</t>
        </is>
      </c>
      <c r="O407" t="inlineStr">
        <is>
          <t xml:space="preserve">3 </t>
        </is>
      </c>
      <c r="P407" t="inlineStr">
        <is>
          <t xml:space="preserve">242181  </t>
        </is>
      </c>
      <c r="Q407" s="26" t="n">
        <v>29.6</v>
      </c>
      <c r="R407" s="26">
        <f>Q407*G407</f>
        <v/>
      </c>
      <c r="S407" s="26">
        <f>IFERROR(VLOOKUP(E407*1,Tabla[#All],8,0),0)</f>
        <v/>
      </c>
      <c r="T407" s="26">
        <f>S407*G407</f>
        <v/>
      </c>
      <c r="U407" s="26">
        <f>R407-T407</f>
        <v/>
      </c>
      <c r="V407" s="26">
        <f>U407-L407</f>
        <v/>
      </c>
    </row>
    <row r="408">
      <c r="A408" s="11" t="n">
        <v>46207</v>
      </c>
      <c r="B408" s="1" t="n">
        <v>20088</v>
      </c>
      <c r="C408" s="1" t="inlineStr">
        <is>
          <t>021</t>
        </is>
      </c>
      <c r="D408" s="1" t="inlineStr">
        <is>
          <t xml:space="preserve">48111 </t>
        </is>
      </c>
      <c r="E408" s="1" t="inlineStr">
        <is>
          <t xml:space="preserve">31675354       </t>
        </is>
      </c>
      <c r="F408" s="5" t="inlineStr">
        <is>
          <t>NENUCO LLORON CON ACCESORIOS</t>
        </is>
      </c>
      <c r="G408" t="n">
        <v>1</v>
      </c>
      <c r="H408" s="7" t="n">
        <v>69.90000000000001</v>
      </c>
      <c r="I408" s="7" t="n">
        <v>0</v>
      </c>
      <c r="J408" s="7" t="n">
        <v>0</v>
      </c>
      <c r="K408" s="9" t="n">
        <v>0</v>
      </c>
      <c r="L408" s="10" t="n">
        <v>41.47</v>
      </c>
      <c r="M408" s="10" t="n">
        <v>1.43</v>
      </c>
      <c r="N408" t="inlineStr">
        <is>
          <t>1</t>
        </is>
      </c>
      <c r="O408" t="inlineStr">
        <is>
          <t>16</t>
        </is>
      </c>
      <c r="P408" t="inlineStr">
        <is>
          <t xml:space="preserve">242181  </t>
        </is>
      </c>
      <c r="Q408" s="26" t="n">
        <v>53.33</v>
      </c>
      <c r="R408" s="26">
        <f>Q408*G408</f>
        <v/>
      </c>
      <c r="S408" s="26">
        <f>IFERROR(VLOOKUP(E408*1,Tabla[#All],8,0),0)</f>
        <v/>
      </c>
      <c r="T408" s="26">
        <f>S408*G408</f>
        <v/>
      </c>
      <c r="U408" s="26">
        <f>R408-T408</f>
        <v/>
      </c>
      <c r="V408" s="26">
        <f>U408-L408</f>
        <v/>
      </c>
    </row>
    <row r="409">
      <c r="A409" s="11" t="n">
        <v>46207</v>
      </c>
      <c r="B409" s="1" t="n">
        <v>20088</v>
      </c>
      <c r="C409" s="1" t="inlineStr">
        <is>
          <t>021</t>
        </is>
      </c>
      <c r="D409" s="1" t="inlineStr">
        <is>
          <t xml:space="preserve">48124 </t>
        </is>
      </c>
      <c r="E409" s="1" t="inlineStr">
        <is>
          <t xml:space="preserve">28194781       </t>
        </is>
      </c>
      <c r="F409" s="5" t="inlineStr">
        <is>
          <t>TROMPO BATALLA INFINITY NADO SERIE V CLASICA SURTI</t>
        </is>
      </c>
      <c r="G409" t="n">
        <v>1</v>
      </c>
      <c r="H409" s="7" t="n">
        <v>39.9</v>
      </c>
      <c r="I409" s="7" t="n">
        <v>0</v>
      </c>
      <c r="J409" s="7" t="n">
        <v>0</v>
      </c>
      <c r="K409" s="9" t="n">
        <v>0</v>
      </c>
      <c r="L409" s="10" t="n">
        <v>23.67</v>
      </c>
      <c r="M409" s="10" t="n">
        <v>1.43</v>
      </c>
      <c r="N409" t="inlineStr">
        <is>
          <t>1</t>
        </is>
      </c>
      <c r="O409" t="inlineStr">
        <is>
          <t xml:space="preserve">2 </t>
        </is>
      </c>
      <c r="P409" t="inlineStr">
        <is>
          <t xml:space="preserve">242181  </t>
        </is>
      </c>
      <c r="Q409" s="26" t="n">
        <v>35.53</v>
      </c>
      <c r="R409" s="26">
        <f>Q409*G409</f>
        <v/>
      </c>
      <c r="S409" s="26">
        <f>IFERROR(VLOOKUP(E409*1,Tabla[#All],8,0),0)</f>
        <v/>
      </c>
      <c r="T409" s="26">
        <f>S409*G409</f>
        <v/>
      </c>
      <c r="U409" s="26">
        <f>R409-T409</f>
        <v/>
      </c>
      <c r="V409" s="26">
        <f>U409-L409</f>
        <v/>
      </c>
    </row>
    <row r="410">
      <c r="A410" s="11" t="n">
        <v>46207</v>
      </c>
      <c r="B410" s="1" t="n">
        <v>20088</v>
      </c>
      <c r="C410" s="1" t="inlineStr">
        <is>
          <t>022</t>
        </is>
      </c>
      <c r="D410" s="1" t="inlineStr">
        <is>
          <t xml:space="preserve">84532 </t>
        </is>
      </c>
      <c r="E410" s="1" t="inlineStr">
        <is>
          <t xml:space="preserve">30141766       </t>
        </is>
      </c>
      <c r="F410" s="5" t="inlineStr">
        <is>
          <t>TMZ BEAST MACHINES AUTOS DE METAL BLISTER X 1</t>
        </is>
      </c>
      <c r="G410" t="n">
        <v>1</v>
      </c>
      <c r="H410" s="7" t="n">
        <v>7.9</v>
      </c>
      <c r="I410" s="7" t="n">
        <v>0</v>
      </c>
      <c r="J410" s="7" t="n">
        <v>0</v>
      </c>
      <c r="K410" s="9" t="n">
        <v>0</v>
      </c>
      <c r="L410" s="10" t="n">
        <v>4.68</v>
      </c>
      <c r="M410" s="10" t="n">
        <v>1.43</v>
      </c>
      <c r="N410" t="inlineStr">
        <is>
          <t>1</t>
        </is>
      </c>
      <c r="O410" t="inlineStr">
        <is>
          <t>16</t>
        </is>
      </c>
      <c r="P410" t="inlineStr">
        <is>
          <t xml:space="preserve">233525  </t>
        </is>
      </c>
      <c r="Q410" s="26" t="n">
        <v>4.69</v>
      </c>
      <c r="R410" s="26">
        <f>Q410*G410</f>
        <v/>
      </c>
      <c r="S410" s="26">
        <f>IFERROR(VLOOKUP(E410*1,Tabla[#All],8,0),0)</f>
        <v/>
      </c>
      <c r="T410" s="26">
        <f>S410*G410</f>
        <v/>
      </c>
      <c r="U410" s="26">
        <f>R410-T410</f>
        <v/>
      </c>
      <c r="V410" s="26">
        <f>U410-L410</f>
        <v/>
      </c>
    </row>
    <row r="411">
      <c r="A411" s="11" t="n">
        <v>46207</v>
      </c>
      <c r="B411" s="1" t="n">
        <v>20088</v>
      </c>
      <c r="C411" s="1" t="inlineStr">
        <is>
          <t>022</t>
        </is>
      </c>
      <c r="D411" s="1" t="inlineStr">
        <is>
          <t xml:space="preserve">84583 </t>
        </is>
      </c>
      <c r="E411" s="1" t="inlineStr">
        <is>
          <t xml:space="preserve">28194769       </t>
        </is>
      </c>
      <c r="F411" s="5" t="inlineStr">
        <is>
          <t>AUTOS DE METAL 3 TEAMSTERZ PACK DE 2</t>
        </is>
      </c>
      <c r="G411" t="n">
        <v>1</v>
      </c>
      <c r="H411" s="7" t="n">
        <v>13.8</v>
      </c>
      <c r="I411" s="7" t="n">
        <v>0</v>
      </c>
      <c r="J411" s="7" t="n">
        <v>0</v>
      </c>
      <c r="K411" s="9" t="n">
        <v>0</v>
      </c>
      <c r="L411" s="10" t="n">
        <v>8.18</v>
      </c>
      <c r="M411" s="10" t="n">
        <v>1.43</v>
      </c>
      <c r="N411" t="inlineStr">
        <is>
          <t>1</t>
        </is>
      </c>
      <c r="O411" t="inlineStr">
        <is>
          <t>16</t>
        </is>
      </c>
      <c r="P411" t="inlineStr">
        <is>
          <t xml:space="preserve">233525  </t>
        </is>
      </c>
      <c r="Q411" s="26" t="n">
        <v>8.19</v>
      </c>
      <c r="R411" s="26">
        <f>Q411*G411</f>
        <v/>
      </c>
      <c r="S411" s="26">
        <f>IFERROR(VLOOKUP(E411*1,Tabla[#All],8,0),0)</f>
        <v/>
      </c>
      <c r="T411" s="26">
        <f>S411*G411</f>
        <v/>
      </c>
      <c r="U411" s="26">
        <f>R411-T411</f>
        <v/>
      </c>
      <c r="V411" s="26">
        <f>U411-L411</f>
        <v/>
      </c>
    </row>
    <row r="412">
      <c r="A412" s="11" t="n">
        <v>46207</v>
      </c>
      <c r="B412" s="1" t="n">
        <v>20088</v>
      </c>
      <c r="C412" s="1" t="inlineStr">
        <is>
          <t>023</t>
        </is>
      </c>
      <c r="D412" s="1" t="inlineStr">
        <is>
          <t>126417</t>
        </is>
      </c>
      <c r="E412" s="1" t="inlineStr">
        <is>
          <t xml:space="preserve">28194770       </t>
        </is>
      </c>
      <c r="F412" s="5" t="inlineStr">
        <is>
          <t>AUTOS DE METAL 3 TEAMSTERZ EN BLISTER</t>
        </is>
      </c>
      <c r="G412" t="n">
        <v>1</v>
      </c>
      <c r="H412" s="7" t="n">
        <v>6.9</v>
      </c>
      <c r="I412" s="7" t="n">
        <v>0</v>
      </c>
      <c r="J412" s="7" t="n">
        <v>0</v>
      </c>
      <c r="K412" s="9" t="n">
        <v>0</v>
      </c>
      <c r="L412" s="10" t="n">
        <v>4.1</v>
      </c>
      <c r="M412" s="10" t="n">
        <v>1.43</v>
      </c>
      <c r="N412" t="inlineStr">
        <is>
          <t>1</t>
        </is>
      </c>
      <c r="O412" t="inlineStr">
        <is>
          <t>16</t>
        </is>
      </c>
      <c r="P412" t="inlineStr">
        <is>
          <t xml:space="preserve">235264  </t>
        </is>
      </c>
      <c r="Q412" s="26" t="n">
        <v>4.09</v>
      </c>
      <c r="R412" s="26">
        <f>Q412*G412</f>
        <v/>
      </c>
      <c r="S412" s="26">
        <f>IFERROR(VLOOKUP(E412*1,Tabla[#All],8,0),0)</f>
        <v/>
      </c>
      <c r="T412" s="26">
        <f>S412*G412</f>
        <v/>
      </c>
      <c r="U412" s="26">
        <f>R412-T412</f>
        <v/>
      </c>
      <c r="V412" s="26">
        <f>U412-L412</f>
        <v/>
      </c>
    </row>
    <row r="413">
      <c r="A413" s="11" t="n">
        <v>46207</v>
      </c>
      <c r="B413" s="1" t="n">
        <v>20088</v>
      </c>
      <c r="C413" s="1" t="inlineStr">
        <is>
          <t>023</t>
        </is>
      </c>
      <c r="D413" s="1" t="inlineStr">
        <is>
          <t>126422</t>
        </is>
      </c>
      <c r="E413" s="1" t="inlineStr">
        <is>
          <t xml:space="preserve">28194770       </t>
        </is>
      </c>
      <c r="F413" s="5" t="inlineStr">
        <is>
          <t>AUTOS DE METAL 3 TEAMSTERZ EN BLISTER</t>
        </is>
      </c>
      <c r="G413" t="n">
        <v>1</v>
      </c>
      <c r="H413" s="7" t="n">
        <v>6.9</v>
      </c>
      <c r="I413" s="7" t="n">
        <v>0</v>
      </c>
      <c r="J413" s="7" t="n">
        <v>0</v>
      </c>
      <c r="K413" s="9" t="n">
        <v>0</v>
      </c>
      <c r="L413" s="10" t="n">
        <v>4.1</v>
      </c>
      <c r="M413" s="10" t="n">
        <v>1.43</v>
      </c>
      <c r="N413" t="inlineStr">
        <is>
          <t>1</t>
        </is>
      </c>
      <c r="O413" t="inlineStr">
        <is>
          <t>16</t>
        </is>
      </c>
      <c r="P413" t="inlineStr">
        <is>
          <t xml:space="preserve">235264  </t>
        </is>
      </c>
      <c r="Q413" s="26" t="n">
        <v>4.09</v>
      </c>
      <c r="R413" s="26">
        <f>Q413*G413</f>
        <v/>
      </c>
      <c r="S413" s="26">
        <f>IFERROR(VLOOKUP(E413*1,Tabla[#All],8,0),0)</f>
        <v/>
      </c>
      <c r="T413" s="26">
        <f>S413*G413</f>
        <v/>
      </c>
      <c r="U413" s="26">
        <f>R413-T413</f>
        <v/>
      </c>
      <c r="V413" s="26">
        <f>U413-L413</f>
        <v/>
      </c>
    </row>
    <row r="414">
      <c r="A414" s="11" t="n">
        <v>46207</v>
      </c>
      <c r="B414" s="1" t="n">
        <v>20088</v>
      </c>
      <c r="C414" s="1" t="inlineStr">
        <is>
          <t>023</t>
        </is>
      </c>
      <c r="D414" s="1" t="inlineStr">
        <is>
          <t>126452</t>
        </is>
      </c>
      <c r="E414" s="1" t="inlineStr">
        <is>
          <t xml:space="preserve">28194769       </t>
        </is>
      </c>
      <c r="F414" s="5" t="inlineStr">
        <is>
          <t>AUTOS DE METAL 3 TEAMSTERZ PACK DE 2</t>
        </is>
      </c>
      <c r="G414" t="n">
        <v>1</v>
      </c>
      <c r="H414" s="7" t="n">
        <v>13.8</v>
      </c>
      <c r="I414" s="7" t="n">
        <v>0</v>
      </c>
      <c r="J414" s="7" t="n">
        <v>0</v>
      </c>
      <c r="K414" s="9" t="n">
        <v>0</v>
      </c>
      <c r="L414" s="10" t="n">
        <v>8.18</v>
      </c>
      <c r="M414" s="10" t="n">
        <v>1.43</v>
      </c>
      <c r="N414" t="inlineStr">
        <is>
          <t>1</t>
        </is>
      </c>
      <c r="O414" t="inlineStr">
        <is>
          <t>16</t>
        </is>
      </c>
      <c r="P414" t="inlineStr">
        <is>
          <t xml:space="preserve">235264  </t>
        </is>
      </c>
      <c r="Q414" s="26" t="n">
        <v>8.19</v>
      </c>
      <c r="R414" s="26">
        <f>Q414*G414</f>
        <v/>
      </c>
      <c r="S414" s="26">
        <f>IFERROR(VLOOKUP(E414*1,Tabla[#All],8,0),0)</f>
        <v/>
      </c>
      <c r="T414" s="26">
        <f>S414*G414</f>
        <v/>
      </c>
      <c r="U414" s="26">
        <f>R414-T414</f>
        <v/>
      </c>
      <c r="V414" s="26">
        <f>U414-L414</f>
        <v/>
      </c>
    </row>
    <row r="415">
      <c r="A415" s="11" t="n">
        <v>46207</v>
      </c>
      <c r="B415" s="1" t="n">
        <v>20088</v>
      </c>
      <c r="C415" s="1" t="inlineStr">
        <is>
          <t>802</t>
        </is>
      </c>
      <c r="D415" s="1" t="inlineStr">
        <is>
          <t xml:space="preserve">7688  </t>
        </is>
      </c>
      <c r="E415" s="1" t="inlineStr">
        <is>
          <t xml:space="preserve">31675354       </t>
        </is>
      </c>
      <c r="F415" s="5" t="inlineStr">
        <is>
          <t>NENUCO LLORON CON ACCESORIOS</t>
        </is>
      </c>
      <c r="G415" t="n">
        <v>1</v>
      </c>
      <c r="H415" s="7" t="n">
        <v>89.90000000000001</v>
      </c>
      <c r="I415" s="7" t="n">
        <v>0</v>
      </c>
      <c r="J415" s="7" t="n">
        <v>0</v>
      </c>
      <c r="K415" s="9" t="n">
        <v>0</v>
      </c>
      <c r="L415" s="10" t="n">
        <v>53.33</v>
      </c>
      <c r="M415" s="10" t="n">
        <v>1.43</v>
      </c>
      <c r="N415" t="inlineStr">
        <is>
          <t>1</t>
        </is>
      </c>
      <c r="O415" t="inlineStr">
        <is>
          <t>16</t>
        </is>
      </c>
      <c r="P415" t="inlineStr">
        <is>
          <t xml:space="preserve">0       </t>
        </is>
      </c>
      <c r="Q415" s="26" t="n">
        <v>53.33</v>
      </c>
      <c r="R415" s="26">
        <f>Q415*G415</f>
        <v/>
      </c>
      <c r="S415" s="26">
        <f>IFERROR(VLOOKUP(E415*1,Tabla[#All],8,0),0)</f>
        <v/>
      </c>
      <c r="T415" s="26">
        <f>S415*G415</f>
        <v/>
      </c>
      <c r="U415" s="26">
        <f>R415-T415</f>
        <v/>
      </c>
      <c r="V415" s="26">
        <f>U415-L415</f>
        <v/>
      </c>
    </row>
    <row r="416">
      <c r="A416" s="11" t="n">
        <v>46207</v>
      </c>
      <c r="B416" s="1" t="n">
        <v>20089</v>
      </c>
      <c r="C416" s="1" t="inlineStr">
        <is>
          <t>019</t>
        </is>
      </c>
      <c r="D416" s="1" t="inlineStr">
        <is>
          <t xml:space="preserve">21992 </t>
        </is>
      </c>
      <c r="E416" s="1" t="inlineStr">
        <is>
          <t xml:space="preserve">30141766       </t>
        </is>
      </c>
      <c r="F416" s="5" t="inlineStr">
        <is>
          <t>TMZ BEAST MACHINES AUTOS DE METAL BLISTER X 1</t>
        </is>
      </c>
      <c r="G416" t="n">
        <v>1</v>
      </c>
      <c r="H416" s="7" t="n">
        <v>7.9</v>
      </c>
      <c r="I416" s="7" t="n">
        <v>0</v>
      </c>
      <c r="J416" s="7" t="n">
        <v>0</v>
      </c>
      <c r="K416" s="9" t="n">
        <v>0</v>
      </c>
      <c r="L416" s="10" t="n">
        <v>4.68</v>
      </c>
      <c r="M416" s="10" t="n">
        <v>1.43</v>
      </c>
      <c r="N416" t="inlineStr">
        <is>
          <t>1</t>
        </is>
      </c>
      <c r="O416" t="inlineStr">
        <is>
          <t>16</t>
        </is>
      </c>
      <c r="P416" t="inlineStr">
        <is>
          <t xml:space="preserve">249986  </t>
        </is>
      </c>
      <c r="Q416" s="26" t="n">
        <v>4.69</v>
      </c>
      <c r="R416" s="26">
        <f>Q416*G416</f>
        <v/>
      </c>
      <c r="S416" s="26">
        <f>IFERROR(VLOOKUP(E416*1,Tabla[#All],8,0),0)</f>
        <v/>
      </c>
      <c r="T416" s="26">
        <f>S416*G416</f>
        <v/>
      </c>
      <c r="U416" s="26">
        <f>R416-T416</f>
        <v/>
      </c>
      <c r="V416" s="26">
        <f>U416-L416</f>
        <v/>
      </c>
    </row>
    <row r="417">
      <c r="A417" s="11" t="n">
        <v>46207</v>
      </c>
      <c r="B417" s="1" t="n">
        <v>20089</v>
      </c>
      <c r="C417" s="1" t="inlineStr">
        <is>
          <t>025</t>
        </is>
      </c>
      <c r="D417" s="1" t="inlineStr">
        <is>
          <t>121126</t>
        </is>
      </c>
      <c r="E417" s="1" t="inlineStr">
        <is>
          <t xml:space="preserve">28194769       </t>
        </is>
      </c>
      <c r="F417" s="5" t="inlineStr">
        <is>
          <t>AUTOS DE METAL 3 TEAMSTERZ PACK DE 2</t>
        </is>
      </c>
      <c r="G417" t="n">
        <v>1</v>
      </c>
      <c r="H417" s="7" t="n">
        <v>13.8</v>
      </c>
      <c r="I417" s="7" t="n">
        <v>0</v>
      </c>
      <c r="J417" s="7" t="n">
        <v>0</v>
      </c>
      <c r="K417" s="9" t="n">
        <v>0</v>
      </c>
      <c r="L417" s="10" t="n">
        <v>8.18</v>
      </c>
      <c r="M417" s="10" t="n">
        <v>1.43</v>
      </c>
      <c r="N417" t="inlineStr">
        <is>
          <t>1</t>
        </is>
      </c>
      <c r="O417" t="inlineStr">
        <is>
          <t xml:space="preserve">3 </t>
        </is>
      </c>
      <c r="P417" t="inlineStr">
        <is>
          <t xml:space="preserve">109709  </t>
        </is>
      </c>
      <c r="Q417" s="26" t="n">
        <v>8.19</v>
      </c>
      <c r="R417" s="26">
        <f>Q417*G417</f>
        <v/>
      </c>
      <c r="S417" s="26">
        <f>IFERROR(VLOOKUP(E417*1,Tabla[#All],8,0),0)</f>
        <v/>
      </c>
      <c r="T417" s="26">
        <f>S417*G417</f>
        <v/>
      </c>
      <c r="U417" s="26">
        <f>R417-T417</f>
        <v/>
      </c>
      <c r="V417" s="26">
        <f>U417-L417</f>
        <v/>
      </c>
    </row>
    <row r="418">
      <c r="A418" s="11" t="n">
        <v>46207</v>
      </c>
      <c r="B418" s="1" t="n">
        <v>20089</v>
      </c>
      <c r="C418" s="1" t="inlineStr">
        <is>
          <t>025</t>
        </is>
      </c>
      <c r="D418" s="1" t="inlineStr">
        <is>
          <t>121151</t>
        </is>
      </c>
      <c r="E418" s="1" t="inlineStr">
        <is>
          <t xml:space="preserve">30141766       </t>
        </is>
      </c>
      <c r="F418" s="5" t="inlineStr">
        <is>
          <t>TMZ BEAST MACHINES AUTOS DE METAL BLISTER X 1</t>
        </is>
      </c>
      <c r="G418" t="n">
        <v>1</v>
      </c>
      <c r="H418" s="7" t="n">
        <v>7.9</v>
      </c>
      <c r="I418" s="7" t="n">
        <v>0</v>
      </c>
      <c r="J418" s="7" t="n">
        <v>0</v>
      </c>
      <c r="K418" s="9" t="n">
        <v>0</v>
      </c>
      <c r="L418" s="10" t="n">
        <v>4.68</v>
      </c>
      <c r="M418" s="10" t="n">
        <v>1.43</v>
      </c>
      <c r="N418" t="inlineStr">
        <is>
          <t>1</t>
        </is>
      </c>
      <c r="O418" t="inlineStr">
        <is>
          <t>16</t>
        </is>
      </c>
      <c r="P418" t="inlineStr">
        <is>
          <t xml:space="preserve">109709  </t>
        </is>
      </c>
      <c r="Q418" s="26" t="n">
        <v>4.69</v>
      </c>
      <c r="R418" s="26">
        <f>Q418*G418</f>
        <v/>
      </c>
      <c r="S418" s="26">
        <f>IFERROR(VLOOKUP(E418*1,Tabla[#All],8,0),0)</f>
        <v/>
      </c>
      <c r="T418" s="26">
        <f>S418*G418</f>
        <v/>
      </c>
      <c r="U418" s="26">
        <f>R418-T418</f>
        <v/>
      </c>
      <c r="V418" s="26">
        <f>U418-L418</f>
        <v/>
      </c>
    </row>
    <row r="419">
      <c r="A419" s="11" t="n">
        <v>46207</v>
      </c>
      <c r="B419" s="1" t="n">
        <v>20089</v>
      </c>
      <c r="C419" s="1" t="inlineStr">
        <is>
          <t>025</t>
        </is>
      </c>
      <c r="D419" s="1" t="inlineStr">
        <is>
          <t>121151</t>
        </is>
      </c>
      <c r="E419" s="1" t="inlineStr">
        <is>
          <t xml:space="preserve">30141766       </t>
        </is>
      </c>
      <c r="F419" s="5" t="inlineStr">
        <is>
          <t>TMZ BEAST MACHINES AUTOS DE METAL BLISTER X 1</t>
        </is>
      </c>
      <c r="G419" t="n">
        <v>1</v>
      </c>
      <c r="H419" s="7" t="n">
        <v>7.9</v>
      </c>
      <c r="I419" s="7" t="n">
        <v>0</v>
      </c>
      <c r="J419" s="7" t="n">
        <v>0</v>
      </c>
      <c r="K419" s="9" t="n">
        <v>0</v>
      </c>
      <c r="L419" s="10" t="n">
        <v>4.68</v>
      </c>
      <c r="M419" s="10" t="n">
        <v>1.43</v>
      </c>
      <c r="N419" t="inlineStr">
        <is>
          <t>1</t>
        </is>
      </c>
      <c r="O419" t="inlineStr">
        <is>
          <t>16</t>
        </is>
      </c>
      <c r="P419" t="inlineStr">
        <is>
          <t xml:space="preserve">109709  </t>
        </is>
      </c>
      <c r="Q419" s="26" t="n">
        <v>4.69</v>
      </c>
      <c r="R419" s="26">
        <f>Q419*G419</f>
        <v/>
      </c>
      <c r="S419" s="26">
        <f>IFERROR(VLOOKUP(E419*1,Tabla[#All],8,0),0)</f>
        <v/>
      </c>
      <c r="T419" s="26">
        <f>S419*G419</f>
        <v/>
      </c>
      <c r="U419" s="26">
        <f>R419-T419</f>
        <v/>
      </c>
      <c r="V419" s="26">
        <f>U419-L419</f>
        <v/>
      </c>
    </row>
    <row r="420">
      <c r="A420" s="11" t="n">
        <v>46207</v>
      </c>
      <c r="B420" s="1" t="n">
        <v>20089</v>
      </c>
      <c r="C420" s="1" t="inlineStr">
        <is>
          <t>025</t>
        </is>
      </c>
      <c r="D420" s="1" t="inlineStr">
        <is>
          <t>121158</t>
        </is>
      </c>
      <c r="E420" s="1" t="inlineStr">
        <is>
          <t xml:space="preserve">30232284       </t>
        </is>
      </c>
      <c r="F420" s="5" t="inlineStr">
        <is>
          <t>INFINITY NADO TROMPO DE BATALLA - METAL C/PUNTA DE</t>
        </is>
      </c>
      <c r="G420" t="n">
        <v>1</v>
      </c>
      <c r="H420" s="7" t="n">
        <v>49.9</v>
      </c>
      <c r="I420" s="7" t="n">
        <v>0</v>
      </c>
      <c r="J420" s="7" t="n">
        <v>0</v>
      </c>
      <c r="K420" s="9" t="n">
        <v>0</v>
      </c>
      <c r="L420" s="10" t="n">
        <v>29.6</v>
      </c>
      <c r="M420" s="10" t="n">
        <v>1.43</v>
      </c>
      <c r="N420" t="inlineStr">
        <is>
          <t>1</t>
        </is>
      </c>
      <c r="O420" t="inlineStr">
        <is>
          <t>16</t>
        </is>
      </c>
      <c r="P420" t="inlineStr">
        <is>
          <t xml:space="preserve">109709  </t>
        </is>
      </c>
      <c r="Q420" s="26" t="n">
        <v>29.6</v>
      </c>
      <c r="R420" s="26">
        <f>Q420*G420</f>
        <v/>
      </c>
      <c r="S420" s="26">
        <f>IFERROR(VLOOKUP(E420*1,Tabla[#All],8,0),0)</f>
        <v/>
      </c>
      <c r="T420" s="26">
        <f>S420*G420</f>
        <v/>
      </c>
      <c r="U420" s="26">
        <f>R420-T420</f>
        <v/>
      </c>
      <c r="V420" s="26">
        <f>U420-L420</f>
        <v/>
      </c>
    </row>
    <row r="421">
      <c r="A421" s="11" t="n">
        <v>46207</v>
      </c>
      <c r="B421" s="1" t="n">
        <v>20089</v>
      </c>
      <c r="C421" s="1" t="inlineStr">
        <is>
          <t>025</t>
        </is>
      </c>
      <c r="D421" s="1" t="inlineStr">
        <is>
          <t>121159</t>
        </is>
      </c>
      <c r="E421" s="1" t="inlineStr">
        <is>
          <t xml:space="preserve">34840552       </t>
        </is>
      </c>
      <c r="F421" s="5" t="inlineStr">
        <is>
          <t>TMZ HELI POLICIA CON LUCES Y SONIDOS</t>
        </is>
      </c>
      <c r="G421" t="n">
        <v>1</v>
      </c>
      <c r="H421" s="7" t="n">
        <v>79.90000000000001</v>
      </c>
      <c r="I421" s="7" t="n">
        <v>0</v>
      </c>
      <c r="J421" s="7" t="n">
        <v>0</v>
      </c>
      <c r="K421" s="9" t="n">
        <v>0</v>
      </c>
      <c r="L421" s="10" t="n">
        <v>47.4</v>
      </c>
      <c r="M421" s="10" t="n">
        <v>1.43</v>
      </c>
      <c r="N421" t="inlineStr">
        <is>
          <t>1</t>
        </is>
      </c>
      <c r="O421" t="inlineStr">
        <is>
          <t>16</t>
        </is>
      </c>
      <c r="P421" t="inlineStr">
        <is>
          <t xml:space="preserve">109709  </t>
        </is>
      </c>
      <c r="Q421" s="26" t="n">
        <v>47.4</v>
      </c>
      <c r="R421" s="26">
        <f>Q421*G421</f>
        <v/>
      </c>
      <c r="S421" s="26">
        <f>IFERROR(VLOOKUP(E421*1,Tabla[#All],8,0),0)</f>
        <v/>
      </c>
      <c r="T421" s="26">
        <f>S421*G421</f>
        <v/>
      </c>
      <c r="U421" s="26">
        <f>R421-T421</f>
        <v/>
      </c>
      <c r="V421" s="26">
        <f>U421-L421</f>
        <v/>
      </c>
    </row>
    <row r="422">
      <c r="A422" s="11" t="n">
        <v>46207</v>
      </c>
      <c r="B422" s="1" t="n">
        <v>20089</v>
      </c>
      <c r="C422" s="1" t="inlineStr">
        <is>
          <t>025</t>
        </is>
      </c>
      <c r="D422" s="1" t="inlineStr">
        <is>
          <t>121172</t>
        </is>
      </c>
      <c r="E422" s="1" t="inlineStr">
        <is>
          <t xml:space="preserve">28194770       </t>
        </is>
      </c>
      <c r="F422" s="5" t="inlineStr">
        <is>
          <t>AUTOS DE METAL 3 TEAMSTERZ EN BLISTER</t>
        </is>
      </c>
      <c r="G422" t="n">
        <v>1</v>
      </c>
      <c r="H422" s="7" t="n">
        <v>6.9</v>
      </c>
      <c r="I422" s="7" t="n">
        <v>0</v>
      </c>
      <c r="J422" s="7" t="n">
        <v>0</v>
      </c>
      <c r="K422" s="9" t="n">
        <v>0</v>
      </c>
      <c r="L422" s="10" t="n">
        <v>4.1</v>
      </c>
      <c r="M422" s="10" t="n">
        <v>1.43</v>
      </c>
      <c r="N422" t="inlineStr">
        <is>
          <t>1</t>
        </is>
      </c>
      <c r="O422" t="inlineStr">
        <is>
          <t>16</t>
        </is>
      </c>
      <c r="P422" t="inlineStr">
        <is>
          <t xml:space="preserve">109709  </t>
        </is>
      </c>
      <c r="Q422" s="26" t="n">
        <v>4.09</v>
      </c>
      <c r="R422" s="26">
        <f>Q422*G422</f>
        <v/>
      </c>
      <c r="S422" s="26">
        <f>IFERROR(VLOOKUP(E422*1,Tabla[#All],8,0),0)</f>
        <v/>
      </c>
      <c r="T422" s="26">
        <f>S422*G422</f>
        <v/>
      </c>
      <c r="U422" s="26">
        <f>R422-T422</f>
        <v/>
      </c>
      <c r="V422" s="26">
        <f>U422-L422</f>
        <v/>
      </c>
    </row>
    <row r="423">
      <c r="A423" s="11" t="n">
        <v>46207</v>
      </c>
      <c r="B423" s="1" t="n">
        <v>20089</v>
      </c>
      <c r="C423" s="1" t="inlineStr">
        <is>
          <t>025</t>
        </is>
      </c>
      <c r="D423" s="1" t="inlineStr">
        <is>
          <t>121205</t>
        </is>
      </c>
      <c r="E423" s="1" t="inlineStr">
        <is>
          <t xml:space="preserve">28194770       </t>
        </is>
      </c>
      <c r="F423" s="5" t="inlineStr">
        <is>
          <t>AUTOS DE METAL 3 TEAMSTERZ EN BLISTER</t>
        </is>
      </c>
      <c r="G423" t="n">
        <v>1</v>
      </c>
      <c r="H423" s="7" t="n">
        <v>6.9</v>
      </c>
      <c r="I423" s="7" t="n">
        <v>0</v>
      </c>
      <c r="J423" s="7" t="n">
        <v>0</v>
      </c>
      <c r="K423" s="9" t="n">
        <v>0</v>
      </c>
      <c r="L423" s="10" t="n">
        <v>4.1</v>
      </c>
      <c r="M423" s="10" t="n">
        <v>1.43</v>
      </c>
      <c r="N423" t="inlineStr">
        <is>
          <t>1</t>
        </is>
      </c>
      <c r="O423" t="inlineStr">
        <is>
          <t>16</t>
        </is>
      </c>
      <c r="P423" t="inlineStr">
        <is>
          <t xml:space="preserve">109709  </t>
        </is>
      </c>
      <c r="Q423" s="26" t="n">
        <v>4.09</v>
      </c>
      <c r="R423" s="26">
        <f>Q423*G423</f>
        <v/>
      </c>
      <c r="S423" s="26">
        <f>IFERROR(VLOOKUP(E423*1,Tabla[#All],8,0),0)</f>
        <v/>
      </c>
      <c r="T423" s="26">
        <f>S423*G423</f>
        <v/>
      </c>
      <c r="U423" s="26">
        <f>R423-T423</f>
        <v/>
      </c>
      <c r="V423" s="26">
        <f>U423-L423</f>
        <v/>
      </c>
    </row>
    <row r="424">
      <c r="A424" s="11" t="n">
        <v>46207</v>
      </c>
      <c r="B424" s="1" t="n">
        <v>20089</v>
      </c>
      <c r="C424" s="1" t="inlineStr">
        <is>
          <t>025</t>
        </is>
      </c>
      <c r="D424" s="1" t="inlineStr">
        <is>
          <t>121205</t>
        </is>
      </c>
      <c r="E424" s="1" t="inlineStr">
        <is>
          <t xml:space="preserve">28194770       </t>
        </is>
      </c>
      <c r="F424" s="5" t="inlineStr">
        <is>
          <t>AUTOS DE METAL 3 TEAMSTERZ EN BLISTER</t>
        </is>
      </c>
      <c r="G424" t="n">
        <v>1</v>
      </c>
      <c r="H424" s="7" t="n">
        <v>6.9</v>
      </c>
      <c r="I424" s="7" t="n">
        <v>0</v>
      </c>
      <c r="J424" s="7" t="n">
        <v>0</v>
      </c>
      <c r="K424" s="9" t="n">
        <v>0</v>
      </c>
      <c r="L424" s="10" t="n">
        <v>4.1</v>
      </c>
      <c r="M424" s="10" t="n">
        <v>1.43</v>
      </c>
      <c r="N424" t="inlineStr">
        <is>
          <t>1</t>
        </is>
      </c>
      <c r="O424" t="inlineStr">
        <is>
          <t>16</t>
        </is>
      </c>
      <c r="P424" t="inlineStr">
        <is>
          <t xml:space="preserve">109709  </t>
        </is>
      </c>
      <c r="Q424" s="26" t="n">
        <v>4.09</v>
      </c>
      <c r="R424" s="26">
        <f>Q424*G424</f>
        <v/>
      </c>
      <c r="S424" s="26">
        <f>IFERROR(VLOOKUP(E424*1,Tabla[#All],8,0),0)</f>
        <v/>
      </c>
      <c r="T424" s="26">
        <f>S424*G424</f>
        <v/>
      </c>
      <c r="U424" s="26">
        <f>R424-T424</f>
        <v/>
      </c>
      <c r="V424" s="26">
        <f>U424-L424</f>
        <v/>
      </c>
    </row>
    <row r="425">
      <c r="A425" s="11" t="n">
        <v>46207</v>
      </c>
      <c r="B425" s="1" t="n">
        <v>20089</v>
      </c>
      <c r="C425" s="1" t="inlineStr">
        <is>
          <t>026</t>
        </is>
      </c>
      <c r="D425" s="1" t="inlineStr">
        <is>
          <t xml:space="preserve">87239 </t>
        </is>
      </c>
      <c r="E425" s="1" t="inlineStr">
        <is>
          <t xml:space="preserve">28194770       </t>
        </is>
      </c>
      <c r="F425" s="5" t="inlineStr">
        <is>
          <t>AUTOS DE METAL 3 TEAMSTERZ EN BLISTER</t>
        </is>
      </c>
      <c r="G425" t="n">
        <v>1</v>
      </c>
      <c r="H425" s="7" t="n">
        <v>6.9</v>
      </c>
      <c r="I425" s="7" t="n">
        <v>0</v>
      </c>
      <c r="J425" s="7" t="n">
        <v>0</v>
      </c>
      <c r="K425" s="9" t="n">
        <v>0</v>
      </c>
      <c r="L425" s="10" t="n">
        <v>4.1</v>
      </c>
      <c r="M425" s="10" t="n">
        <v>1.43</v>
      </c>
      <c r="N425" t="inlineStr">
        <is>
          <t>1</t>
        </is>
      </c>
      <c r="O425" t="inlineStr">
        <is>
          <t xml:space="preserve">2 </t>
        </is>
      </c>
      <c r="P425" t="inlineStr">
        <is>
          <t xml:space="preserve">94948   </t>
        </is>
      </c>
      <c r="Q425" s="26" t="n">
        <v>4.09</v>
      </c>
      <c r="R425" s="26">
        <f>Q425*G425</f>
        <v/>
      </c>
      <c r="S425" s="26">
        <f>IFERROR(VLOOKUP(E425*1,Tabla[#All],8,0),0)</f>
        <v/>
      </c>
      <c r="T425" s="26">
        <f>S425*G425</f>
        <v/>
      </c>
      <c r="U425" s="26">
        <f>R425-T425</f>
        <v/>
      </c>
      <c r="V425" s="26">
        <f>U425-L425</f>
        <v/>
      </c>
    </row>
    <row r="426">
      <c r="A426" s="11" t="n">
        <v>46207</v>
      </c>
      <c r="B426" s="1" t="n">
        <v>20089</v>
      </c>
      <c r="C426" s="1" t="inlineStr">
        <is>
          <t>026</t>
        </is>
      </c>
      <c r="D426" s="1" t="inlineStr">
        <is>
          <t xml:space="preserve">87239 </t>
        </is>
      </c>
      <c r="E426" s="1" t="inlineStr">
        <is>
          <t xml:space="preserve">28194770       </t>
        </is>
      </c>
      <c r="F426" s="5" t="inlineStr">
        <is>
          <t>AUTOS DE METAL 3 TEAMSTERZ EN BLISTER</t>
        </is>
      </c>
      <c r="G426" t="n">
        <v>1</v>
      </c>
      <c r="H426" s="7" t="n">
        <v>6.9</v>
      </c>
      <c r="I426" s="7" t="n">
        <v>0</v>
      </c>
      <c r="J426" s="7" t="n">
        <v>0</v>
      </c>
      <c r="K426" s="9" t="n">
        <v>0</v>
      </c>
      <c r="L426" s="10" t="n">
        <v>4.1</v>
      </c>
      <c r="M426" s="10" t="n">
        <v>1.43</v>
      </c>
      <c r="N426" t="inlineStr">
        <is>
          <t>1</t>
        </is>
      </c>
      <c r="O426" t="inlineStr">
        <is>
          <t xml:space="preserve">2 </t>
        </is>
      </c>
      <c r="P426" t="inlineStr">
        <is>
          <t xml:space="preserve">94948   </t>
        </is>
      </c>
      <c r="Q426" s="26" t="n">
        <v>4.09</v>
      </c>
      <c r="R426" s="26">
        <f>Q426*G426</f>
        <v/>
      </c>
      <c r="S426" s="26">
        <f>IFERROR(VLOOKUP(E426*1,Tabla[#All],8,0),0)</f>
        <v/>
      </c>
      <c r="T426" s="26">
        <f>S426*G426</f>
        <v/>
      </c>
      <c r="U426" s="26">
        <f>R426-T426</f>
        <v/>
      </c>
      <c r="V426" s="26">
        <f>U426-L426</f>
        <v/>
      </c>
    </row>
    <row r="427">
      <c r="A427" s="11" t="n">
        <v>46207</v>
      </c>
      <c r="B427" s="1" t="n">
        <v>20089</v>
      </c>
      <c r="C427" s="1" t="inlineStr">
        <is>
          <t>026</t>
        </is>
      </c>
      <c r="D427" s="1" t="inlineStr">
        <is>
          <t xml:space="preserve">87244 </t>
        </is>
      </c>
      <c r="E427" s="1" t="inlineStr">
        <is>
          <t xml:space="preserve">28194770       </t>
        </is>
      </c>
      <c r="F427" s="5" t="inlineStr">
        <is>
          <t>AUTOS DE METAL 3 TEAMSTERZ EN BLISTER</t>
        </is>
      </c>
      <c r="G427" t="n">
        <v>1</v>
      </c>
      <c r="H427" s="7" t="n">
        <v>6.9</v>
      </c>
      <c r="I427" s="7" t="n">
        <v>0</v>
      </c>
      <c r="J427" s="7" t="n">
        <v>0</v>
      </c>
      <c r="K427" s="9" t="n">
        <v>0</v>
      </c>
      <c r="L427" s="10" t="n">
        <v>4.1</v>
      </c>
      <c r="M427" s="10" t="n">
        <v>1.43</v>
      </c>
      <c r="N427" t="inlineStr">
        <is>
          <t>1</t>
        </is>
      </c>
      <c r="O427" t="inlineStr">
        <is>
          <t>16</t>
        </is>
      </c>
      <c r="P427" t="inlineStr">
        <is>
          <t xml:space="preserve">94948   </t>
        </is>
      </c>
      <c r="Q427" s="26" t="n">
        <v>4.09</v>
      </c>
      <c r="R427" s="26">
        <f>Q427*G427</f>
        <v/>
      </c>
      <c r="S427" s="26">
        <f>IFERROR(VLOOKUP(E427*1,Tabla[#All],8,0),0)</f>
        <v/>
      </c>
      <c r="T427" s="26">
        <f>S427*G427</f>
        <v/>
      </c>
      <c r="U427" s="26">
        <f>R427-T427</f>
        <v/>
      </c>
      <c r="V427" s="26">
        <f>U427-L427</f>
        <v/>
      </c>
    </row>
    <row r="428">
      <c r="A428" s="11" t="n">
        <v>46207</v>
      </c>
      <c r="B428" s="1" t="n">
        <v>20089</v>
      </c>
      <c r="C428" s="1" t="inlineStr">
        <is>
          <t>026</t>
        </is>
      </c>
      <c r="D428" s="1" t="inlineStr">
        <is>
          <t xml:space="preserve">87246 </t>
        </is>
      </c>
      <c r="E428" s="1" t="inlineStr">
        <is>
          <t xml:space="preserve">28194769       </t>
        </is>
      </c>
      <c r="F428" s="5" t="inlineStr">
        <is>
          <t>AUTOS DE METAL 3 TEAMSTERZ PACK DE 2</t>
        </is>
      </c>
      <c r="G428" t="n">
        <v>1</v>
      </c>
      <c r="H428" s="7" t="n">
        <v>13.8</v>
      </c>
      <c r="I428" s="7" t="n">
        <v>0</v>
      </c>
      <c r="J428" s="7" t="n">
        <v>0</v>
      </c>
      <c r="K428" s="9" t="n">
        <v>0</v>
      </c>
      <c r="L428" s="10" t="n">
        <v>8.18</v>
      </c>
      <c r="M428" s="10" t="n">
        <v>1.43</v>
      </c>
      <c r="N428" t="inlineStr">
        <is>
          <t>1</t>
        </is>
      </c>
      <c r="O428" t="inlineStr">
        <is>
          <t xml:space="preserve">2 </t>
        </is>
      </c>
      <c r="P428" t="inlineStr">
        <is>
          <t xml:space="preserve">94948   </t>
        </is>
      </c>
      <c r="Q428" s="26" t="n">
        <v>8.19</v>
      </c>
      <c r="R428" s="26">
        <f>Q428*G428</f>
        <v/>
      </c>
      <c r="S428" s="26">
        <f>IFERROR(VLOOKUP(E428*1,Tabla[#All],8,0),0)</f>
        <v/>
      </c>
      <c r="T428" s="26">
        <f>S428*G428</f>
        <v/>
      </c>
      <c r="U428" s="26">
        <f>R428-T428</f>
        <v/>
      </c>
      <c r="V428" s="26">
        <f>U428-L428</f>
        <v/>
      </c>
    </row>
    <row r="429">
      <c r="A429" s="11" t="n">
        <v>46207</v>
      </c>
      <c r="B429" s="1" t="n">
        <v>20089</v>
      </c>
      <c r="C429" s="1" t="inlineStr">
        <is>
          <t>026</t>
        </is>
      </c>
      <c r="D429" s="1" t="inlineStr">
        <is>
          <t xml:space="preserve">87262 </t>
        </is>
      </c>
      <c r="E429" s="1" t="inlineStr">
        <is>
          <t xml:space="preserve">28194769       </t>
        </is>
      </c>
      <c r="F429" s="5" t="inlineStr">
        <is>
          <t>AUTOS DE METAL 3 TEAMSTERZ PACK DE 2</t>
        </is>
      </c>
      <c r="G429" t="n">
        <v>1</v>
      </c>
      <c r="H429" s="7" t="n">
        <v>13.8</v>
      </c>
      <c r="I429" s="7" t="n">
        <v>0</v>
      </c>
      <c r="J429" s="7" t="n">
        <v>0</v>
      </c>
      <c r="K429" s="9" t="n">
        <v>0</v>
      </c>
      <c r="L429" s="10" t="n">
        <v>8.18</v>
      </c>
      <c r="M429" s="10" t="n">
        <v>1.43</v>
      </c>
      <c r="N429" t="inlineStr">
        <is>
          <t>1</t>
        </is>
      </c>
      <c r="O429" t="inlineStr">
        <is>
          <t xml:space="preserve">2 </t>
        </is>
      </c>
      <c r="P429" t="inlineStr">
        <is>
          <t xml:space="preserve">94948   </t>
        </is>
      </c>
      <c r="Q429" s="26" t="n">
        <v>8.19</v>
      </c>
      <c r="R429" s="26">
        <f>Q429*G429</f>
        <v/>
      </c>
      <c r="S429" s="26">
        <f>IFERROR(VLOOKUP(E429*1,Tabla[#All],8,0),0)</f>
        <v/>
      </c>
      <c r="T429" s="26">
        <f>S429*G429</f>
        <v/>
      </c>
      <c r="U429" s="26">
        <f>R429-T429</f>
        <v/>
      </c>
      <c r="V429" s="26">
        <f>U429-L429</f>
        <v/>
      </c>
    </row>
    <row r="430">
      <c r="A430" s="11" t="n">
        <v>46207</v>
      </c>
      <c r="B430" s="1" t="n">
        <v>20089</v>
      </c>
      <c r="C430" s="1" t="inlineStr">
        <is>
          <t>026</t>
        </is>
      </c>
      <c r="D430" s="1" t="inlineStr">
        <is>
          <t xml:space="preserve">87293 </t>
        </is>
      </c>
      <c r="E430" s="1" t="inlineStr">
        <is>
          <t xml:space="preserve">33661538       </t>
        </is>
      </c>
      <c r="F430" s="5" t="inlineStr">
        <is>
          <t>HOT WHEELS CASE GARAGE RUEDA METAL EN LLAMAS X 29</t>
        </is>
      </c>
      <c r="G430" t="n">
        <v>1</v>
      </c>
      <c r="H430" s="7" t="n">
        <v>69.90000000000001</v>
      </c>
      <c r="I430" s="7" t="n">
        <v>0</v>
      </c>
      <c r="J430" s="7" t="n">
        <v>0</v>
      </c>
      <c r="K430" s="9" t="n">
        <v>0</v>
      </c>
      <c r="L430" s="10" t="n">
        <v>41.47</v>
      </c>
      <c r="M430" s="10" t="n">
        <v>1.43</v>
      </c>
      <c r="N430" t="inlineStr">
        <is>
          <t>1</t>
        </is>
      </c>
      <c r="O430" t="inlineStr">
        <is>
          <t>16</t>
        </is>
      </c>
      <c r="P430" t="inlineStr">
        <is>
          <t xml:space="preserve">94948   </t>
        </is>
      </c>
      <c r="Q430" s="26" t="n">
        <v>41.47</v>
      </c>
      <c r="R430" s="26">
        <f>Q430*G430</f>
        <v/>
      </c>
      <c r="S430" s="26">
        <f>IFERROR(VLOOKUP(E430*1,Tabla[#All],8,0),0)</f>
        <v/>
      </c>
      <c r="T430" s="26">
        <f>S430*G430</f>
        <v/>
      </c>
      <c r="U430" s="26">
        <f>R430-T430</f>
        <v/>
      </c>
      <c r="V430" s="26">
        <f>U430-L430</f>
        <v/>
      </c>
    </row>
    <row r="431">
      <c r="A431" s="11" t="n">
        <v>46207</v>
      </c>
      <c r="B431" s="1" t="n">
        <v>20089</v>
      </c>
      <c r="C431" s="1" t="inlineStr">
        <is>
          <t>026</t>
        </is>
      </c>
      <c r="D431" s="1" t="inlineStr">
        <is>
          <t xml:space="preserve">87304 </t>
        </is>
      </c>
      <c r="E431" s="1" t="inlineStr">
        <is>
          <t xml:space="preserve">29854051       </t>
        </is>
      </c>
      <c r="F431" s="5" t="inlineStr">
        <is>
          <t>TEAMSTERZ AUTO DE METAL PACK 10 AUTOS</t>
        </is>
      </c>
      <c r="G431" t="n">
        <v>1</v>
      </c>
      <c r="H431" s="7" t="n">
        <v>69</v>
      </c>
      <c r="I431" s="7" t="n">
        <v>0</v>
      </c>
      <c r="J431" s="7" t="n">
        <v>0</v>
      </c>
      <c r="K431" s="9" t="n">
        <v>0</v>
      </c>
      <c r="L431" s="10" t="n">
        <v>40.93</v>
      </c>
      <c r="M431" s="10" t="n">
        <v>1.43</v>
      </c>
      <c r="N431" t="inlineStr">
        <is>
          <t>1</t>
        </is>
      </c>
      <c r="O431" t="inlineStr">
        <is>
          <t>16</t>
        </is>
      </c>
      <c r="P431" t="inlineStr">
        <is>
          <t xml:space="preserve">94948   </t>
        </is>
      </c>
      <c r="Q431" s="26" t="n">
        <v>40.93</v>
      </c>
      <c r="R431" s="26">
        <f>Q431*G431</f>
        <v/>
      </c>
      <c r="S431" s="26">
        <f>IFERROR(VLOOKUP(E431*1,Tabla[#All],8,0),0)</f>
        <v/>
      </c>
      <c r="T431" s="26">
        <f>S431*G431</f>
        <v/>
      </c>
      <c r="U431" s="26">
        <f>R431-T431</f>
        <v/>
      </c>
      <c r="V431" s="26">
        <f>U431-L431</f>
        <v/>
      </c>
    </row>
    <row r="432">
      <c r="A432" s="11" t="n">
        <v>46207</v>
      </c>
      <c r="B432" s="1" t="n">
        <v>20089</v>
      </c>
      <c r="C432" s="1" t="inlineStr">
        <is>
          <t>029</t>
        </is>
      </c>
      <c r="D432" s="1" t="inlineStr">
        <is>
          <t xml:space="preserve">2843  </t>
        </is>
      </c>
      <c r="E432" s="1" t="inlineStr">
        <is>
          <t xml:space="preserve">31959961       </t>
        </is>
      </c>
      <c r="F432" s="5" t="inlineStr">
        <is>
          <t>TEAMSTERZ CAMBIA DE COLOR PACK DE 3 AUTOS</t>
        </is>
      </c>
      <c r="G432" t="n">
        <v>1</v>
      </c>
      <c r="H432" s="7" t="n">
        <v>49.9</v>
      </c>
      <c r="I432" s="7" t="n">
        <v>0</v>
      </c>
      <c r="J432" s="7" t="n">
        <v>0</v>
      </c>
      <c r="K432" s="9" t="n">
        <v>0</v>
      </c>
      <c r="L432" s="10" t="n">
        <v>29.6</v>
      </c>
      <c r="M432" s="10" t="n">
        <v>1.43</v>
      </c>
      <c r="N432" t="inlineStr">
        <is>
          <t>1</t>
        </is>
      </c>
      <c r="O432" t="inlineStr">
        <is>
          <t>16</t>
        </is>
      </c>
      <c r="P432" t="inlineStr">
        <is>
          <t xml:space="preserve">250455  </t>
        </is>
      </c>
      <c r="Q432" s="26" t="n">
        <v>29.6</v>
      </c>
      <c r="R432" s="26">
        <f>Q432*G432</f>
        <v/>
      </c>
      <c r="S432" s="26">
        <f>IFERROR(VLOOKUP(E432*1,Tabla[#All],8,0),0)</f>
        <v/>
      </c>
      <c r="T432" s="26">
        <f>S432*G432</f>
        <v/>
      </c>
      <c r="U432" s="26">
        <f>R432-T432</f>
        <v/>
      </c>
      <c r="V432" s="26">
        <f>U432-L432</f>
        <v/>
      </c>
    </row>
    <row r="433">
      <c r="A433" s="11" t="n">
        <v>46207</v>
      </c>
      <c r="B433" s="1" t="n">
        <v>20089</v>
      </c>
      <c r="C433" s="1" t="inlineStr">
        <is>
          <t>029</t>
        </is>
      </c>
      <c r="D433" s="1" t="inlineStr">
        <is>
          <t xml:space="preserve">2843  </t>
        </is>
      </c>
      <c r="E433" s="1" t="inlineStr">
        <is>
          <t xml:space="preserve">31959961       </t>
        </is>
      </c>
      <c r="F433" s="5" t="inlineStr">
        <is>
          <t>TEAMSTERZ CAMBIA DE COLOR PACK DE 3 AUTOS</t>
        </is>
      </c>
      <c r="G433" t="n">
        <v>1</v>
      </c>
      <c r="H433" s="7" t="n">
        <v>49.9</v>
      </c>
      <c r="I433" s="7" t="n">
        <v>0</v>
      </c>
      <c r="J433" s="7" t="n">
        <v>0</v>
      </c>
      <c r="K433" s="9" t="n">
        <v>0</v>
      </c>
      <c r="L433" s="10" t="n">
        <v>29.6</v>
      </c>
      <c r="M433" s="10" t="n">
        <v>1.43</v>
      </c>
      <c r="N433" t="inlineStr">
        <is>
          <t>1</t>
        </is>
      </c>
      <c r="O433" t="inlineStr">
        <is>
          <t>16</t>
        </is>
      </c>
      <c r="P433" t="inlineStr">
        <is>
          <t xml:space="preserve">250455  </t>
        </is>
      </c>
      <c r="Q433" s="26" t="n">
        <v>29.6</v>
      </c>
      <c r="R433" s="26">
        <f>Q433*G433</f>
        <v/>
      </c>
      <c r="S433" s="26">
        <f>IFERROR(VLOOKUP(E433*1,Tabla[#All],8,0),0)</f>
        <v/>
      </c>
      <c r="T433" s="26">
        <f>S433*G433</f>
        <v/>
      </c>
      <c r="U433" s="26">
        <f>R433-T433</f>
        <v/>
      </c>
      <c r="V433" s="26">
        <f>U433-L433</f>
        <v/>
      </c>
    </row>
    <row r="434">
      <c r="A434" s="11" t="n">
        <v>46207</v>
      </c>
      <c r="B434" s="1" t="n">
        <v>20089</v>
      </c>
      <c r="C434" s="1" t="inlineStr">
        <is>
          <t>860</t>
        </is>
      </c>
      <c r="D434" s="1" t="inlineStr">
        <is>
          <t xml:space="preserve">9309  </t>
        </is>
      </c>
      <c r="E434" s="1" t="inlineStr">
        <is>
          <t xml:space="preserve">28194768       </t>
        </is>
      </c>
      <c r="F434" s="5" t="inlineStr">
        <is>
          <t>AUTO COLOR CHANGE TEAMSTERZ SURTIDO</t>
        </is>
      </c>
      <c r="G434" t="n">
        <v>1</v>
      </c>
      <c r="H434" s="7" t="n">
        <v>14.9</v>
      </c>
      <c r="I434" s="7" t="n">
        <v>0</v>
      </c>
      <c r="J434" s="7" t="n">
        <v>0</v>
      </c>
      <c r="K434" s="9" t="n">
        <v>0</v>
      </c>
      <c r="L434" s="10" t="n">
        <v>8.84</v>
      </c>
      <c r="M434" s="10" t="n">
        <v>1.43</v>
      </c>
      <c r="N434" t="inlineStr">
        <is>
          <t>1</t>
        </is>
      </c>
      <c r="O434" t="inlineStr">
        <is>
          <t>16</t>
        </is>
      </c>
      <c r="P434" t="inlineStr">
        <is>
          <t xml:space="preserve">0       </t>
        </is>
      </c>
      <c r="Q434" s="26" t="n">
        <v>8.84</v>
      </c>
      <c r="R434" s="26">
        <f>Q434*G434</f>
        <v/>
      </c>
      <c r="S434" s="26">
        <f>IFERROR(VLOOKUP(E434*1,Tabla[#All],8,0),0)</f>
        <v/>
      </c>
      <c r="T434" s="26">
        <f>S434*G434</f>
        <v/>
      </c>
      <c r="U434" s="26">
        <f>R434-T434</f>
        <v/>
      </c>
      <c r="V434" s="26">
        <f>U434-L434</f>
        <v/>
      </c>
    </row>
    <row r="435">
      <c r="A435" s="11" t="n">
        <v>46207</v>
      </c>
      <c r="B435" s="1" t="n">
        <v>20089</v>
      </c>
      <c r="C435" s="1" t="inlineStr">
        <is>
          <t>860</t>
        </is>
      </c>
      <c r="D435" s="1" t="inlineStr">
        <is>
          <t xml:space="preserve">9321  </t>
        </is>
      </c>
      <c r="E435" s="1" t="inlineStr">
        <is>
          <t xml:space="preserve">28194781       </t>
        </is>
      </c>
      <c r="F435" s="5" t="inlineStr">
        <is>
          <t>TROMPO BATALLA INFINITY NADO SERIE V CLASICA SURTI</t>
        </is>
      </c>
      <c r="G435" t="n">
        <v>1</v>
      </c>
      <c r="H435" s="7" t="n">
        <v>59.9</v>
      </c>
      <c r="I435" s="7" t="n">
        <v>0</v>
      </c>
      <c r="J435" s="7" t="n">
        <v>0</v>
      </c>
      <c r="K435" s="9" t="n">
        <v>0</v>
      </c>
      <c r="L435" s="10" t="n">
        <v>35.53</v>
      </c>
      <c r="M435" s="10" t="n">
        <v>1.43</v>
      </c>
      <c r="N435" t="inlineStr">
        <is>
          <t>1</t>
        </is>
      </c>
      <c r="O435" t="inlineStr">
        <is>
          <t>16</t>
        </is>
      </c>
      <c r="P435" t="inlineStr">
        <is>
          <t xml:space="preserve">0       </t>
        </is>
      </c>
      <c r="Q435" s="26" t="n">
        <v>35.53</v>
      </c>
      <c r="R435" s="26">
        <f>Q435*G435</f>
        <v/>
      </c>
      <c r="S435" s="26">
        <f>IFERROR(VLOOKUP(E435*1,Tabla[#All],8,0),0)</f>
        <v/>
      </c>
      <c r="T435" s="26">
        <f>S435*G435</f>
        <v/>
      </c>
      <c r="U435" s="26">
        <f>R435-T435</f>
        <v/>
      </c>
      <c r="V435" s="26">
        <f>U435-L435</f>
        <v/>
      </c>
    </row>
    <row r="436">
      <c r="A436" s="11" t="n">
        <v>46207</v>
      </c>
      <c r="B436" s="1" t="n">
        <v>20095</v>
      </c>
      <c r="C436" s="1" t="inlineStr">
        <is>
          <t>028</t>
        </is>
      </c>
      <c r="D436" s="1" t="inlineStr">
        <is>
          <t xml:space="preserve">39603 </t>
        </is>
      </c>
      <c r="E436" s="1" t="inlineStr">
        <is>
          <t xml:space="preserve">34840526       </t>
        </is>
      </c>
      <c r="F436" s="5" t="inlineStr">
        <is>
          <t>NENUCO ABRACITOS</t>
        </is>
      </c>
      <c r="G436" t="n">
        <v>1</v>
      </c>
      <c r="H436" s="7" t="n">
        <v>119</v>
      </c>
      <c r="I436" s="7" t="n">
        <v>0</v>
      </c>
      <c r="J436" s="7" t="n">
        <v>0</v>
      </c>
      <c r="K436" s="9" t="n">
        <v>0</v>
      </c>
      <c r="L436" s="10" t="n">
        <v>70.59999999999999</v>
      </c>
      <c r="M436" s="10" t="n">
        <v>1.43</v>
      </c>
      <c r="N436" t="inlineStr">
        <is>
          <t>1</t>
        </is>
      </c>
      <c r="O436" t="inlineStr">
        <is>
          <t xml:space="preserve">2 </t>
        </is>
      </c>
      <c r="P436" t="inlineStr">
        <is>
          <t xml:space="preserve">57461   </t>
        </is>
      </c>
      <c r="Q436" s="26" t="n">
        <v>70.59</v>
      </c>
      <c r="R436" s="26">
        <f>Q436*G436</f>
        <v/>
      </c>
      <c r="S436" s="26">
        <f>IFERROR(VLOOKUP(E436*1,Tabla[#All],8,0),0)</f>
        <v/>
      </c>
      <c r="T436" s="26">
        <f>S436*G436</f>
        <v/>
      </c>
      <c r="U436" s="26">
        <f>R436-T436</f>
        <v/>
      </c>
      <c r="V436" s="26">
        <f>U436-L436</f>
        <v/>
      </c>
    </row>
    <row r="437">
      <c r="A437" s="11" t="n">
        <v>46207</v>
      </c>
      <c r="B437" s="1" t="n">
        <v>20095</v>
      </c>
      <c r="C437" s="1" t="inlineStr">
        <is>
          <t>043</t>
        </is>
      </c>
      <c r="D437" s="1" t="inlineStr">
        <is>
          <t>107273</t>
        </is>
      </c>
      <c r="E437" s="1" t="inlineStr">
        <is>
          <t xml:space="preserve">31675354       </t>
        </is>
      </c>
      <c r="F437" s="5" t="inlineStr">
        <is>
          <t>NENUCO LLORON CON ACCESORIOS</t>
        </is>
      </c>
      <c r="G437" t="n">
        <v>1</v>
      </c>
      <c r="H437" s="7" t="n">
        <v>89.90000000000001</v>
      </c>
      <c r="I437" s="7" t="n">
        <v>0</v>
      </c>
      <c r="J437" s="7" t="n">
        <v>0</v>
      </c>
      <c r="K437" s="9" t="n">
        <v>0</v>
      </c>
      <c r="L437" s="10" t="n">
        <v>53.33</v>
      </c>
      <c r="M437" s="10" t="n">
        <v>1.43</v>
      </c>
      <c r="N437" t="inlineStr">
        <is>
          <t>1</t>
        </is>
      </c>
      <c r="O437" t="inlineStr">
        <is>
          <t xml:space="preserve">2 </t>
        </is>
      </c>
      <c r="P437" t="inlineStr">
        <is>
          <t xml:space="preserve">250454  </t>
        </is>
      </c>
      <c r="Q437" s="26" t="n">
        <v>53.33</v>
      </c>
      <c r="R437" s="26">
        <f>Q437*G437</f>
        <v/>
      </c>
      <c r="S437" s="26">
        <f>IFERROR(VLOOKUP(E437*1,Tabla[#All],8,0),0)</f>
        <v/>
      </c>
      <c r="T437" s="26">
        <f>S437*G437</f>
        <v/>
      </c>
      <c r="U437" s="26">
        <f>R437-T437</f>
        <v/>
      </c>
      <c r="V437" s="26">
        <f>U437-L437</f>
        <v/>
      </c>
    </row>
    <row r="438">
      <c r="A438" s="11" t="n">
        <v>46207</v>
      </c>
      <c r="B438" s="1" t="n">
        <v>20095</v>
      </c>
      <c r="C438" s="1" t="inlineStr">
        <is>
          <t>043</t>
        </is>
      </c>
      <c r="D438" s="1" t="inlineStr">
        <is>
          <t>107305</t>
        </is>
      </c>
      <c r="E438" s="1" t="inlineStr">
        <is>
          <t xml:space="preserve">35685067       </t>
        </is>
      </c>
      <c r="F438" s="5" t="inlineStr">
        <is>
          <t>HOT WHEELS POWER SET 3 EN 1</t>
        </is>
      </c>
      <c r="G438" t="n">
        <v>1</v>
      </c>
      <c r="H438" s="7" t="n">
        <v>49.9</v>
      </c>
      <c r="I438" s="7" t="n">
        <v>0</v>
      </c>
      <c r="J438" s="7" t="n">
        <v>0</v>
      </c>
      <c r="K438" s="9" t="n">
        <v>0</v>
      </c>
      <c r="L438" s="10" t="n">
        <v>29.6</v>
      </c>
      <c r="M438" s="10" t="n">
        <v>1.43</v>
      </c>
      <c r="N438" t="inlineStr">
        <is>
          <t>1</t>
        </is>
      </c>
      <c r="O438" t="inlineStr">
        <is>
          <t>16</t>
        </is>
      </c>
      <c r="P438" t="inlineStr">
        <is>
          <t xml:space="preserve">250454  </t>
        </is>
      </c>
      <c r="Q438" s="26" t="n">
        <v>29.6</v>
      </c>
      <c r="R438" s="26">
        <f>Q438*G438</f>
        <v/>
      </c>
      <c r="S438" s="26">
        <f>IFERROR(VLOOKUP(E438*1,Tabla[#All],8,0),0)</f>
        <v/>
      </c>
      <c r="T438" s="26">
        <f>S438*G438</f>
        <v/>
      </c>
      <c r="U438" s="26">
        <f>R438-T438</f>
        <v/>
      </c>
      <c r="V438" s="26">
        <f>U438-L438</f>
        <v/>
      </c>
    </row>
    <row r="439">
      <c r="A439" s="11" t="n">
        <v>46207</v>
      </c>
      <c r="B439" s="1" t="n">
        <v>20095</v>
      </c>
      <c r="C439" s="1" t="inlineStr">
        <is>
          <t>043</t>
        </is>
      </c>
      <c r="D439" s="1" t="inlineStr">
        <is>
          <t>107310</t>
        </is>
      </c>
      <c r="E439" s="1" t="inlineStr">
        <is>
          <t xml:space="preserve">30141766       </t>
        </is>
      </c>
      <c r="F439" s="5" t="inlineStr">
        <is>
          <t>TMZ BEAST MACHINES AUTOS DE METAL BLISTER X 1</t>
        </is>
      </c>
      <c r="G439" t="n">
        <v>1</v>
      </c>
      <c r="H439" s="7" t="n">
        <v>7.9</v>
      </c>
      <c r="I439" s="7" t="n">
        <v>0</v>
      </c>
      <c r="J439" s="7" t="n">
        <v>0</v>
      </c>
      <c r="K439" s="9" t="n">
        <v>0</v>
      </c>
      <c r="L439" s="10" t="n">
        <v>4.68</v>
      </c>
      <c r="M439" s="10" t="n">
        <v>1.43</v>
      </c>
      <c r="N439" t="inlineStr">
        <is>
          <t>1</t>
        </is>
      </c>
      <c r="O439" t="inlineStr">
        <is>
          <t>16</t>
        </is>
      </c>
      <c r="P439" t="inlineStr">
        <is>
          <t xml:space="preserve">250454  </t>
        </is>
      </c>
      <c r="Q439" s="26" t="n">
        <v>4.69</v>
      </c>
      <c r="R439" s="26">
        <f>Q439*G439</f>
        <v/>
      </c>
      <c r="S439" s="26">
        <f>IFERROR(VLOOKUP(E439*1,Tabla[#All],8,0),0)</f>
        <v/>
      </c>
      <c r="T439" s="26">
        <f>S439*G439</f>
        <v/>
      </c>
      <c r="U439" s="26">
        <f>R439-T439</f>
        <v/>
      </c>
      <c r="V439" s="26">
        <f>U439-L439</f>
        <v/>
      </c>
    </row>
    <row r="440">
      <c r="A440" s="11" t="n">
        <v>46207</v>
      </c>
      <c r="B440" s="1" t="n">
        <v>20095</v>
      </c>
      <c r="C440" s="1" t="inlineStr">
        <is>
          <t>043</t>
        </is>
      </c>
      <c r="D440" s="1" t="inlineStr">
        <is>
          <t>107322</t>
        </is>
      </c>
      <c r="E440" s="1" t="inlineStr">
        <is>
          <t xml:space="preserve">28194770       </t>
        </is>
      </c>
      <c r="F440" s="5" t="inlineStr">
        <is>
          <t>AUTOS DE METAL 3 TEAMSTERZ EN BLISTER</t>
        </is>
      </c>
      <c r="G440" t="n">
        <v>1</v>
      </c>
      <c r="H440" s="7" t="n">
        <v>6.9</v>
      </c>
      <c r="I440" s="7" t="n">
        <v>0</v>
      </c>
      <c r="J440" s="7" t="n">
        <v>0</v>
      </c>
      <c r="K440" s="9" t="n">
        <v>0</v>
      </c>
      <c r="L440" s="10" t="n">
        <v>4.1</v>
      </c>
      <c r="M440" s="10" t="n">
        <v>1.43</v>
      </c>
      <c r="N440" t="inlineStr">
        <is>
          <t>1</t>
        </is>
      </c>
      <c r="O440" t="inlineStr">
        <is>
          <t xml:space="preserve">2 </t>
        </is>
      </c>
      <c r="P440" t="inlineStr">
        <is>
          <t xml:space="preserve">250454  </t>
        </is>
      </c>
      <c r="Q440" s="26" t="n">
        <v>4.09</v>
      </c>
      <c r="R440" s="26">
        <f>Q440*G440</f>
        <v/>
      </c>
      <c r="S440" s="26">
        <f>IFERROR(VLOOKUP(E440*1,Tabla[#All],8,0),0)</f>
        <v/>
      </c>
      <c r="T440" s="26">
        <f>S440*G440</f>
        <v/>
      </c>
      <c r="U440" s="26">
        <f>R440-T440</f>
        <v/>
      </c>
      <c r="V440" s="26">
        <f>U440-L440</f>
        <v/>
      </c>
    </row>
    <row r="441">
      <c r="A441" s="11" t="n">
        <v>46207</v>
      </c>
      <c r="B441" s="1" t="n">
        <v>20095</v>
      </c>
      <c r="C441" s="1" t="inlineStr">
        <is>
          <t>043</t>
        </is>
      </c>
      <c r="D441" s="1" t="inlineStr">
        <is>
          <t>107346</t>
        </is>
      </c>
      <c r="E441" s="1" t="inlineStr">
        <is>
          <t xml:space="preserve">30141766       </t>
        </is>
      </c>
      <c r="F441" s="5" t="inlineStr">
        <is>
          <t>TMZ BEAST MACHINES AUTOS DE METAL BLISTER X 1</t>
        </is>
      </c>
      <c r="G441" t="n">
        <v>1</v>
      </c>
      <c r="H441" s="7" t="n">
        <v>7.9</v>
      </c>
      <c r="I441" s="7" t="n">
        <v>0</v>
      </c>
      <c r="J441" s="7" t="n">
        <v>0</v>
      </c>
      <c r="K441" s="9" t="n">
        <v>0</v>
      </c>
      <c r="L441" s="10" t="n">
        <v>4.68</v>
      </c>
      <c r="M441" s="10" t="n">
        <v>1.43</v>
      </c>
      <c r="N441" t="inlineStr">
        <is>
          <t>1</t>
        </is>
      </c>
      <c r="O441" t="inlineStr">
        <is>
          <t xml:space="preserve">2 </t>
        </is>
      </c>
      <c r="P441" t="inlineStr">
        <is>
          <t xml:space="preserve">250454  </t>
        </is>
      </c>
      <c r="Q441" s="26" t="n">
        <v>4.69</v>
      </c>
      <c r="R441" s="26">
        <f>Q441*G441</f>
        <v/>
      </c>
      <c r="S441" s="26">
        <f>IFERROR(VLOOKUP(E441*1,Tabla[#All],8,0),0)</f>
        <v/>
      </c>
      <c r="T441" s="26">
        <f>S441*G441</f>
        <v/>
      </c>
      <c r="U441" s="26">
        <f>R441-T441</f>
        <v/>
      </c>
      <c r="V441" s="26">
        <f>U441-L441</f>
        <v/>
      </c>
    </row>
    <row r="442">
      <c r="A442" s="11" t="n">
        <v>46207</v>
      </c>
      <c r="B442" s="1" t="n">
        <v>20095</v>
      </c>
      <c r="C442" s="1" t="inlineStr">
        <is>
          <t>044</t>
        </is>
      </c>
      <c r="D442" s="1" t="inlineStr">
        <is>
          <t xml:space="preserve">92873 </t>
        </is>
      </c>
      <c r="E442" s="1" t="inlineStr">
        <is>
          <t xml:space="preserve">28194770       </t>
        </is>
      </c>
      <c r="F442" s="5" t="inlineStr">
        <is>
          <t>AUTOS DE METAL 3 TEAMSTERZ EN BLISTER</t>
        </is>
      </c>
      <c r="G442" t="n">
        <v>1</v>
      </c>
      <c r="H442" s="7" t="n">
        <v>6.9</v>
      </c>
      <c r="I442" s="7" t="n">
        <v>0</v>
      </c>
      <c r="J442" s="7" t="n">
        <v>0</v>
      </c>
      <c r="K442" s="9" t="n">
        <v>0</v>
      </c>
      <c r="L442" s="10" t="n">
        <v>4.1</v>
      </c>
      <c r="M442" s="10" t="n">
        <v>1.43</v>
      </c>
      <c r="N442" t="inlineStr">
        <is>
          <t>1</t>
        </is>
      </c>
      <c r="O442" t="inlineStr">
        <is>
          <t>16</t>
        </is>
      </c>
      <c r="P442" t="inlineStr">
        <is>
          <t xml:space="preserve">57866   </t>
        </is>
      </c>
      <c r="Q442" s="26" t="n">
        <v>4.09</v>
      </c>
      <c r="R442" s="26">
        <f>Q442*G442</f>
        <v/>
      </c>
      <c r="S442" s="26">
        <f>IFERROR(VLOOKUP(E442*1,Tabla[#All],8,0),0)</f>
        <v/>
      </c>
      <c r="T442" s="26">
        <f>S442*G442</f>
        <v/>
      </c>
      <c r="U442" s="26">
        <f>R442-T442</f>
        <v/>
      </c>
      <c r="V442" s="26">
        <f>U442-L442</f>
        <v/>
      </c>
    </row>
    <row r="443">
      <c r="A443" s="11" t="n">
        <v>46208</v>
      </c>
      <c r="B443" s="1" t="n">
        <v>20021</v>
      </c>
      <c r="C443" s="1" t="inlineStr">
        <is>
          <t>055</t>
        </is>
      </c>
      <c r="D443" s="1" t="inlineStr">
        <is>
          <t>154307</t>
        </is>
      </c>
      <c r="E443" s="1" t="inlineStr">
        <is>
          <t xml:space="preserve">28194770       </t>
        </is>
      </c>
      <c r="F443" s="5" t="inlineStr">
        <is>
          <t>AUTOS DE METAL 3 TEAMSTERZ EN BLISTER</t>
        </is>
      </c>
      <c r="G443" t="n">
        <v>1</v>
      </c>
      <c r="H443" s="7" t="n">
        <v>6.9</v>
      </c>
      <c r="I443" s="7" t="n">
        <v>0</v>
      </c>
      <c r="J443" s="7" t="n">
        <v>0</v>
      </c>
      <c r="K443" s="9" t="n">
        <v>0</v>
      </c>
      <c r="L443" s="10" t="n">
        <v>4.1</v>
      </c>
      <c r="M443" s="10" t="n">
        <v>1.43</v>
      </c>
      <c r="N443" t="inlineStr">
        <is>
          <t>1</t>
        </is>
      </c>
      <c r="O443" t="inlineStr">
        <is>
          <t xml:space="preserve">2 </t>
        </is>
      </c>
      <c r="P443" t="inlineStr">
        <is>
          <t xml:space="preserve">42929   </t>
        </is>
      </c>
      <c r="Q443" s="26" t="n">
        <v>4.09</v>
      </c>
      <c r="R443" s="26">
        <f>Q443*G443</f>
        <v/>
      </c>
      <c r="S443" s="26">
        <f>IFERROR(VLOOKUP(E443*1,Tabla[#All],8,0),0)</f>
        <v/>
      </c>
      <c r="T443" s="26">
        <f>S443*G443</f>
        <v/>
      </c>
      <c r="U443" s="26">
        <f>R443-T443</f>
        <v/>
      </c>
      <c r="V443" s="26">
        <f>U443-L443</f>
        <v/>
      </c>
    </row>
    <row r="444">
      <c r="A444" s="11" t="n">
        <v>46208</v>
      </c>
      <c r="B444" s="1" t="n">
        <v>20021</v>
      </c>
      <c r="C444" s="1" t="inlineStr">
        <is>
          <t>055</t>
        </is>
      </c>
      <c r="D444" s="1" t="inlineStr">
        <is>
          <t>154307</t>
        </is>
      </c>
      <c r="E444" s="1" t="inlineStr">
        <is>
          <t xml:space="preserve">28194770       </t>
        </is>
      </c>
      <c r="F444" s="5" t="inlineStr">
        <is>
          <t>AUTOS DE METAL 3 TEAMSTERZ EN BLISTER</t>
        </is>
      </c>
      <c r="G444" t="n">
        <v>1</v>
      </c>
      <c r="H444" s="7" t="n">
        <v>6.9</v>
      </c>
      <c r="I444" s="7" t="n">
        <v>0</v>
      </c>
      <c r="J444" s="7" t="n">
        <v>0</v>
      </c>
      <c r="K444" s="9" t="n">
        <v>0</v>
      </c>
      <c r="L444" s="10" t="n">
        <v>4.1</v>
      </c>
      <c r="M444" s="10" t="n">
        <v>1.43</v>
      </c>
      <c r="N444" t="inlineStr">
        <is>
          <t>1</t>
        </is>
      </c>
      <c r="O444" t="inlineStr">
        <is>
          <t xml:space="preserve">2 </t>
        </is>
      </c>
      <c r="P444" t="inlineStr">
        <is>
          <t xml:space="preserve">42929   </t>
        </is>
      </c>
      <c r="Q444" s="26" t="n">
        <v>4.09</v>
      </c>
      <c r="R444" s="26">
        <f>Q444*G444</f>
        <v/>
      </c>
      <c r="S444" s="26">
        <f>IFERROR(VLOOKUP(E444*1,Tabla[#All],8,0),0)</f>
        <v/>
      </c>
      <c r="T444" s="26">
        <f>S444*G444</f>
        <v/>
      </c>
      <c r="U444" s="26">
        <f>R444-T444</f>
        <v/>
      </c>
      <c r="V444" s="26">
        <f>U444-L444</f>
        <v/>
      </c>
    </row>
    <row r="445">
      <c r="A445" s="11" t="n">
        <v>46208</v>
      </c>
      <c r="B445" s="1" t="n">
        <v>20021</v>
      </c>
      <c r="C445" s="1" t="inlineStr">
        <is>
          <t>078</t>
        </is>
      </c>
      <c r="D445" s="1" t="inlineStr">
        <is>
          <t>100204</t>
        </is>
      </c>
      <c r="E445" s="1" t="inlineStr">
        <is>
          <t xml:space="preserve">28194768       </t>
        </is>
      </c>
      <c r="F445" s="5" t="inlineStr">
        <is>
          <t>AUTO COLOR CHANGE TEAMSTERZ SURTIDO</t>
        </is>
      </c>
      <c r="G445" t="n">
        <v>1</v>
      </c>
      <c r="H445" s="7" t="n">
        <v>14.9</v>
      </c>
      <c r="I445" s="7" t="n">
        <v>0</v>
      </c>
      <c r="J445" s="7" t="n">
        <v>0</v>
      </c>
      <c r="K445" s="9" t="n">
        <v>0</v>
      </c>
      <c r="L445" s="10" t="n">
        <v>8.84</v>
      </c>
      <c r="M445" s="10" t="n">
        <v>1.43</v>
      </c>
      <c r="N445" t="inlineStr">
        <is>
          <t>1</t>
        </is>
      </c>
      <c r="O445" t="inlineStr">
        <is>
          <t>16</t>
        </is>
      </c>
      <c r="P445" t="inlineStr">
        <is>
          <t xml:space="preserve">249983  </t>
        </is>
      </c>
      <c r="Q445" s="26" t="n">
        <v>8.84</v>
      </c>
      <c r="R445" s="26">
        <f>Q445*G445</f>
        <v/>
      </c>
      <c r="S445" s="26">
        <f>IFERROR(VLOOKUP(E445*1,Tabla[#All],8,0),0)</f>
        <v/>
      </c>
      <c r="T445" s="26">
        <f>S445*G445</f>
        <v/>
      </c>
      <c r="U445" s="26">
        <f>R445-T445</f>
        <v/>
      </c>
      <c r="V445" s="26">
        <f>U445-L445</f>
        <v/>
      </c>
    </row>
    <row r="446">
      <c r="A446" s="11" t="n">
        <v>46208</v>
      </c>
      <c r="B446" s="1" t="n">
        <v>20021</v>
      </c>
      <c r="C446" s="1" t="inlineStr">
        <is>
          <t>078</t>
        </is>
      </c>
      <c r="D446" s="1" t="inlineStr">
        <is>
          <t>100247</t>
        </is>
      </c>
      <c r="E446" s="1" t="inlineStr">
        <is>
          <t xml:space="preserve">30141766       </t>
        </is>
      </c>
      <c r="F446" s="5" t="inlineStr">
        <is>
          <t>TMZ BEAST MACHINES AUTOS DE METAL BLISTER X 1</t>
        </is>
      </c>
      <c r="G446" t="n">
        <v>1</v>
      </c>
      <c r="H446" s="7" t="n">
        <v>7.9</v>
      </c>
      <c r="I446" s="7" t="n">
        <v>0</v>
      </c>
      <c r="J446" s="7" t="n">
        <v>0</v>
      </c>
      <c r="K446" s="9" t="n">
        <v>0</v>
      </c>
      <c r="L446" s="10" t="n">
        <v>4.68</v>
      </c>
      <c r="M446" s="10" t="n">
        <v>1.43</v>
      </c>
      <c r="N446" t="inlineStr">
        <is>
          <t>1</t>
        </is>
      </c>
      <c r="O446" t="inlineStr">
        <is>
          <t xml:space="preserve">2 </t>
        </is>
      </c>
      <c r="P446" t="inlineStr">
        <is>
          <t xml:space="preserve">81066   </t>
        </is>
      </c>
      <c r="Q446" s="26" t="n">
        <v>4.69</v>
      </c>
      <c r="R446" s="26">
        <f>Q446*G446</f>
        <v/>
      </c>
      <c r="S446" s="26">
        <f>IFERROR(VLOOKUP(E446*1,Tabla[#All],8,0),0)</f>
        <v/>
      </c>
      <c r="T446" s="26">
        <f>S446*G446</f>
        <v/>
      </c>
      <c r="U446" s="26">
        <f>R446-T446</f>
        <v/>
      </c>
      <c r="V446" s="26">
        <f>U446-L446</f>
        <v/>
      </c>
    </row>
    <row r="447">
      <c r="A447" s="11" t="n">
        <v>46208</v>
      </c>
      <c r="B447" s="1" t="n">
        <v>20021</v>
      </c>
      <c r="C447" s="1" t="inlineStr">
        <is>
          <t>080</t>
        </is>
      </c>
      <c r="D447" s="1" t="inlineStr">
        <is>
          <t>309369</t>
        </is>
      </c>
      <c r="E447" s="1" t="inlineStr">
        <is>
          <t xml:space="preserve">35685067       </t>
        </is>
      </c>
      <c r="F447" s="5" t="inlineStr">
        <is>
          <t>HOT WHEELS POWER SET 3 EN 1</t>
        </is>
      </c>
      <c r="G447" t="n">
        <v>1</v>
      </c>
      <c r="H447" s="7" t="n">
        <v>49.9</v>
      </c>
      <c r="I447" s="7" t="n">
        <v>0</v>
      </c>
      <c r="J447" s="7" t="n">
        <v>0</v>
      </c>
      <c r="K447" s="9" t="n">
        <v>0</v>
      </c>
      <c r="L447" s="10" t="n">
        <v>29.6</v>
      </c>
      <c r="M447" s="10" t="n">
        <v>1.43</v>
      </c>
      <c r="N447" t="inlineStr">
        <is>
          <t>1</t>
        </is>
      </c>
      <c r="O447" t="inlineStr">
        <is>
          <t>16</t>
        </is>
      </c>
      <c r="P447" t="inlineStr">
        <is>
          <t xml:space="preserve">250202  </t>
        </is>
      </c>
      <c r="Q447" s="26" t="n">
        <v>29.6</v>
      </c>
      <c r="R447" s="26">
        <f>Q447*G447</f>
        <v/>
      </c>
      <c r="S447" s="26">
        <f>IFERROR(VLOOKUP(E447*1,Tabla[#All],8,0),0)</f>
        <v/>
      </c>
      <c r="T447" s="26">
        <f>S447*G447</f>
        <v/>
      </c>
      <c r="U447" s="26">
        <f>R447-T447</f>
        <v/>
      </c>
      <c r="V447" s="26">
        <f>U447-L447</f>
        <v/>
      </c>
    </row>
    <row r="448">
      <c r="A448" s="11" t="n">
        <v>46208</v>
      </c>
      <c r="B448" s="1" t="n">
        <v>20021</v>
      </c>
      <c r="C448" s="1" t="inlineStr">
        <is>
          <t>080</t>
        </is>
      </c>
      <c r="D448" s="1" t="inlineStr">
        <is>
          <t>309384</t>
        </is>
      </c>
      <c r="E448" s="1" t="inlineStr">
        <is>
          <t xml:space="preserve">28194767       </t>
        </is>
      </c>
      <c r="F448" s="5" t="inlineStr">
        <is>
          <t>CAMIONES TEAMSTERZ DE EMERGENCIA</t>
        </is>
      </c>
      <c r="G448" t="n">
        <v>1</v>
      </c>
      <c r="H448" s="7" t="n">
        <v>17.9</v>
      </c>
      <c r="I448" s="7" t="n">
        <v>0</v>
      </c>
      <c r="J448" s="7" t="n">
        <v>0</v>
      </c>
      <c r="K448" s="9" t="n">
        <v>0</v>
      </c>
      <c r="L448" s="10" t="n">
        <v>10.62</v>
      </c>
      <c r="M448" s="10" t="n">
        <v>1.43</v>
      </c>
      <c r="N448" t="inlineStr">
        <is>
          <t>1</t>
        </is>
      </c>
      <c r="O448" t="inlineStr">
        <is>
          <t xml:space="preserve">3 </t>
        </is>
      </c>
      <c r="P448" t="inlineStr">
        <is>
          <t xml:space="preserve">250202  </t>
        </is>
      </c>
      <c r="Q448" s="26" t="n">
        <v>10.62</v>
      </c>
      <c r="R448" s="26">
        <f>Q448*G448</f>
        <v/>
      </c>
      <c r="S448" s="26">
        <f>IFERROR(VLOOKUP(E448*1,Tabla[#All],8,0),0)</f>
        <v/>
      </c>
      <c r="T448" s="26">
        <f>S448*G448</f>
        <v/>
      </c>
      <c r="U448" s="26">
        <f>R448-T448</f>
        <v/>
      </c>
      <c r="V448" s="26">
        <f>U448-L448</f>
        <v/>
      </c>
    </row>
    <row r="449">
      <c r="A449" s="11" t="n">
        <v>46208</v>
      </c>
      <c r="B449" s="1" t="n">
        <v>20023</v>
      </c>
      <c r="C449" s="1" t="inlineStr">
        <is>
          <t>105</t>
        </is>
      </c>
      <c r="D449" s="1" t="inlineStr">
        <is>
          <t xml:space="preserve">90403 </t>
        </is>
      </c>
      <c r="E449" s="1" t="inlineStr">
        <is>
          <t xml:space="preserve">31754676       </t>
        </is>
      </c>
      <c r="F449" s="5" t="inlineStr">
        <is>
          <t>INFINITY NADO SERIE 6 STD PACK LANZ ESPAD ANILLO M</t>
        </is>
      </c>
      <c r="G449" t="n">
        <v>1</v>
      </c>
      <c r="H449" s="7" t="n">
        <v>79.90000000000001</v>
      </c>
      <c r="I449" s="7" t="n">
        <v>0</v>
      </c>
      <c r="J449" s="7" t="n">
        <v>0</v>
      </c>
      <c r="K449" s="9" t="n">
        <v>0</v>
      </c>
      <c r="L449" s="10" t="n">
        <v>47.4</v>
      </c>
      <c r="M449" s="10" t="n">
        <v>1.43</v>
      </c>
      <c r="N449" t="inlineStr">
        <is>
          <t>1</t>
        </is>
      </c>
      <c r="O449" t="inlineStr">
        <is>
          <t>16</t>
        </is>
      </c>
      <c r="P449" t="inlineStr">
        <is>
          <t xml:space="preserve">22759   </t>
        </is>
      </c>
      <c r="Q449" s="26" t="n">
        <v>47.4</v>
      </c>
      <c r="R449" s="26">
        <f>Q449*G449</f>
        <v/>
      </c>
      <c r="S449" s="26">
        <f>IFERROR(VLOOKUP(E449*1,Tabla[#All],8,0),0)</f>
        <v/>
      </c>
      <c r="T449" s="26">
        <f>S449*G449</f>
        <v/>
      </c>
      <c r="U449" s="26">
        <f>R449-T449</f>
        <v/>
      </c>
      <c r="V449" s="26">
        <f>U449-L449</f>
        <v/>
      </c>
    </row>
    <row r="450">
      <c r="A450" s="11" t="n">
        <v>46208</v>
      </c>
      <c r="B450" s="1" t="n">
        <v>20023</v>
      </c>
      <c r="C450" s="1" t="inlineStr">
        <is>
          <t>191</t>
        </is>
      </c>
      <c r="D450" s="1" t="inlineStr">
        <is>
          <t xml:space="preserve">6522  </t>
        </is>
      </c>
      <c r="E450" s="1" t="inlineStr">
        <is>
          <t xml:space="preserve">30141766       </t>
        </is>
      </c>
      <c r="F450" s="5" t="inlineStr">
        <is>
          <t>TMZ BEAST MACHINES AUTOS DE METAL BLISTER X 1</t>
        </is>
      </c>
      <c r="G450" t="n">
        <v>1</v>
      </c>
      <c r="H450" s="7" t="n">
        <v>7.9</v>
      </c>
      <c r="I450" s="7" t="n">
        <v>0</v>
      </c>
      <c r="J450" s="7" t="n">
        <v>0</v>
      </c>
      <c r="K450" s="9" t="n">
        <v>0</v>
      </c>
      <c r="L450" s="10" t="n">
        <v>4.68</v>
      </c>
      <c r="M450" s="10" t="n">
        <v>1.43</v>
      </c>
      <c r="N450" t="inlineStr">
        <is>
          <t>1</t>
        </is>
      </c>
      <c r="O450" t="inlineStr">
        <is>
          <t xml:space="preserve">2 </t>
        </is>
      </c>
      <c r="P450" t="inlineStr">
        <is>
          <t xml:space="preserve">70445   </t>
        </is>
      </c>
      <c r="Q450" s="26" t="n">
        <v>4.69</v>
      </c>
      <c r="R450" s="26">
        <f>Q450*G450</f>
        <v/>
      </c>
      <c r="S450" s="26">
        <f>IFERROR(VLOOKUP(E450*1,Tabla[#All],8,0),0)</f>
        <v/>
      </c>
      <c r="T450" s="26">
        <f>S450*G450</f>
        <v/>
      </c>
      <c r="U450" s="26">
        <f>R450-T450</f>
        <v/>
      </c>
      <c r="V450" s="26">
        <f>U450-L450</f>
        <v/>
      </c>
    </row>
    <row r="451">
      <c r="A451" s="11" t="n">
        <v>46208</v>
      </c>
      <c r="B451" s="1" t="n">
        <v>20023</v>
      </c>
      <c r="C451" s="1" t="inlineStr">
        <is>
          <t>191</t>
        </is>
      </c>
      <c r="D451" s="1" t="inlineStr">
        <is>
          <t xml:space="preserve">6533  </t>
        </is>
      </c>
      <c r="E451" s="1" t="inlineStr">
        <is>
          <t xml:space="preserve">28194770       </t>
        </is>
      </c>
      <c r="F451" s="5" t="inlineStr">
        <is>
          <t>AUTOS DE METAL 3 TEAMSTERZ EN BLISTER</t>
        </is>
      </c>
      <c r="G451" t="n">
        <v>1</v>
      </c>
      <c r="H451" s="7" t="n">
        <v>6.9</v>
      </c>
      <c r="I451" s="7" t="n">
        <v>0</v>
      </c>
      <c r="J451" s="7" t="n">
        <v>0</v>
      </c>
      <c r="K451" s="9" t="n">
        <v>0</v>
      </c>
      <c r="L451" s="10" t="n">
        <v>4.1</v>
      </c>
      <c r="M451" s="10" t="n">
        <v>1.43</v>
      </c>
      <c r="N451" t="inlineStr">
        <is>
          <t>1</t>
        </is>
      </c>
      <c r="O451" t="inlineStr">
        <is>
          <t>16</t>
        </is>
      </c>
      <c r="P451" t="inlineStr">
        <is>
          <t xml:space="preserve">70445   </t>
        </is>
      </c>
      <c r="Q451" s="26" t="n">
        <v>4.09</v>
      </c>
      <c r="R451" s="26">
        <f>Q451*G451</f>
        <v/>
      </c>
      <c r="S451" s="26">
        <f>IFERROR(VLOOKUP(E451*1,Tabla[#All],8,0),0)</f>
        <v/>
      </c>
      <c r="T451" s="26">
        <f>S451*G451</f>
        <v/>
      </c>
      <c r="U451" s="26">
        <f>R451-T451</f>
        <v/>
      </c>
      <c r="V451" s="26">
        <f>U451-L451</f>
        <v/>
      </c>
    </row>
    <row r="452">
      <c r="A452" s="11" t="n">
        <v>46208</v>
      </c>
      <c r="B452" s="1" t="n">
        <v>20024</v>
      </c>
      <c r="C452" s="1" t="inlineStr">
        <is>
          <t>017</t>
        </is>
      </c>
      <c r="D452" s="1" t="inlineStr">
        <is>
          <t>263870</t>
        </is>
      </c>
      <c r="E452" s="1" t="inlineStr">
        <is>
          <t xml:space="preserve">28194768       </t>
        </is>
      </c>
      <c r="F452" s="5" t="inlineStr">
        <is>
          <t>AUTO COLOR CHANGE TEAMSTERZ SURTIDO</t>
        </is>
      </c>
      <c r="G452" t="n">
        <v>1</v>
      </c>
      <c r="H452" s="7" t="n">
        <v>14.9</v>
      </c>
      <c r="I452" s="7" t="n">
        <v>0</v>
      </c>
      <c r="J452" s="7" t="n">
        <v>0</v>
      </c>
      <c r="K452" s="9" t="n">
        <v>0</v>
      </c>
      <c r="L452" s="10" t="n">
        <v>8.84</v>
      </c>
      <c r="M452" s="10" t="n">
        <v>1.43</v>
      </c>
      <c r="N452" t="inlineStr">
        <is>
          <t>1</t>
        </is>
      </c>
      <c r="O452" t="inlineStr">
        <is>
          <t xml:space="preserve">2 </t>
        </is>
      </c>
      <c r="P452" t="inlineStr">
        <is>
          <t xml:space="preserve">47217   </t>
        </is>
      </c>
      <c r="Q452" s="26" t="n">
        <v>8.84</v>
      </c>
      <c r="R452" s="26">
        <f>Q452*G452</f>
        <v/>
      </c>
      <c r="S452" s="26">
        <f>IFERROR(VLOOKUP(E452*1,Tabla[#All],8,0),0)</f>
        <v/>
      </c>
      <c r="T452" s="26">
        <f>S452*G452</f>
        <v/>
      </c>
      <c r="U452" s="26">
        <f>R452-T452</f>
        <v/>
      </c>
      <c r="V452" s="26">
        <f>U452-L452</f>
        <v/>
      </c>
    </row>
    <row r="453">
      <c r="A453" s="11" t="n">
        <v>46208</v>
      </c>
      <c r="B453" s="1" t="n">
        <v>20024</v>
      </c>
      <c r="C453" s="1" t="inlineStr">
        <is>
          <t>021</t>
        </is>
      </c>
      <c r="D453" s="1" t="inlineStr">
        <is>
          <t>215296</t>
        </is>
      </c>
      <c r="E453" s="1" t="inlineStr">
        <is>
          <t xml:space="preserve">32457099       </t>
        </is>
      </c>
      <c r="F453" s="5" t="inlineStr">
        <is>
          <t>TMZ BEAST MACHINES MONSTER JAWS A FRICCION BLISTER</t>
        </is>
      </c>
      <c r="G453" t="n">
        <v>1</v>
      </c>
      <c r="H453" s="7" t="n">
        <v>19.9</v>
      </c>
      <c r="I453" s="7" t="n">
        <v>0</v>
      </c>
      <c r="J453" s="7" t="n">
        <v>0</v>
      </c>
      <c r="K453" s="9" t="n">
        <v>0</v>
      </c>
      <c r="L453" s="10" t="n">
        <v>11.8</v>
      </c>
      <c r="M453" s="10" t="n">
        <v>1.43</v>
      </c>
      <c r="N453" t="inlineStr">
        <is>
          <t>1</t>
        </is>
      </c>
      <c r="O453" t="inlineStr">
        <is>
          <t xml:space="preserve">2 </t>
        </is>
      </c>
      <c r="P453" t="inlineStr">
        <is>
          <t xml:space="preserve">71372   </t>
        </is>
      </c>
      <c r="Q453" s="26" t="n">
        <v>11.81</v>
      </c>
      <c r="R453" s="26">
        <f>Q453*G453</f>
        <v/>
      </c>
      <c r="S453" s="26">
        <f>IFERROR(VLOOKUP(E453*1,Tabla[#All],8,0),0)</f>
        <v/>
      </c>
      <c r="T453" s="26">
        <f>S453*G453</f>
        <v/>
      </c>
      <c r="U453" s="26">
        <f>R453-T453</f>
        <v/>
      </c>
      <c r="V453" s="26">
        <f>U453-L453</f>
        <v/>
      </c>
    </row>
    <row r="454">
      <c r="A454" s="11" t="n">
        <v>46208</v>
      </c>
      <c r="B454" s="1" t="n">
        <v>20024</v>
      </c>
      <c r="C454" s="1" t="inlineStr">
        <is>
          <t>032</t>
        </is>
      </c>
      <c r="D454" s="1" t="inlineStr">
        <is>
          <t>363991</t>
        </is>
      </c>
      <c r="E454" s="1" t="inlineStr">
        <is>
          <t xml:space="preserve">29625609       </t>
        </is>
      </c>
      <c r="F454" s="5" t="inlineStr">
        <is>
          <t>SUPER WINGS FIGURAS SUPERCARGADAS</t>
        </is>
      </c>
      <c r="G454" t="n">
        <v>1</v>
      </c>
      <c r="H454" s="7" t="n">
        <v>104.9</v>
      </c>
      <c r="I454" s="7" t="n">
        <v>0</v>
      </c>
      <c r="J454" s="7" t="n">
        <v>0</v>
      </c>
      <c r="K454" s="9" t="n">
        <v>0</v>
      </c>
      <c r="L454" s="10" t="n">
        <v>62.23</v>
      </c>
      <c r="M454" s="10" t="n">
        <v>1.43</v>
      </c>
      <c r="N454" t="inlineStr">
        <is>
          <t>1</t>
        </is>
      </c>
      <c r="O454" t="inlineStr">
        <is>
          <t>16</t>
        </is>
      </c>
      <c r="P454" t="inlineStr">
        <is>
          <t xml:space="preserve">23821   </t>
        </is>
      </c>
      <c r="Q454" s="26" t="n">
        <v>56.3</v>
      </c>
      <c r="R454" s="26">
        <f>Q454*G454</f>
        <v/>
      </c>
      <c r="S454" s="26">
        <f>IFERROR(VLOOKUP(E454*1,Tabla[#All],8,0),0)</f>
        <v/>
      </c>
      <c r="T454" s="26">
        <f>S454*G454</f>
        <v/>
      </c>
      <c r="U454" s="26">
        <f>R454-T454</f>
        <v/>
      </c>
      <c r="V454" s="26">
        <f>U454-L454</f>
        <v/>
      </c>
    </row>
    <row r="455">
      <c r="A455" s="11" t="n">
        <v>46208</v>
      </c>
      <c r="B455" s="1" t="n">
        <v>20024</v>
      </c>
      <c r="C455" s="1" t="inlineStr">
        <is>
          <t>032</t>
        </is>
      </c>
      <c r="D455" s="1" t="inlineStr">
        <is>
          <t>364044</t>
        </is>
      </c>
      <c r="E455" s="1" t="inlineStr">
        <is>
          <t xml:space="preserve">28194767       </t>
        </is>
      </c>
      <c r="F455" s="5" t="inlineStr">
        <is>
          <t>CAMIONES TEAMSTERZ DE EMERGENCIA</t>
        </is>
      </c>
      <c r="G455" t="n">
        <v>1</v>
      </c>
      <c r="H455" s="7" t="n">
        <v>17.9</v>
      </c>
      <c r="I455" s="7" t="n">
        <v>0</v>
      </c>
      <c r="J455" s="7" t="n">
        <v>0</v>
      </c>
      <c r="K455" s="9" t="n">
        <v>0</v>
      </c>
      <c r="L455" s="10" t="n">
        <v>10.62</v>
      </c>
      <c r="M455" s="10" t="n">
        <v>1.43</v>
      </c>
      <c r="N455" t="inlineStr">
        <is>
          <t>1</t>
        </is>
      </c>
      <c r="O455" t="inlineStr">
        <is>
          <t xml:space="preserve">2 </t>
        </is>
      </c>
      <c r="P455" t="inlineStr">
        <is>
          <t xml:space="preserve">246109  </t>
        </is>
      </c>
      <c r="Q455" s="26" t="n">
        <v>10.62</v>
      </c>
      <c r="R455" s="26">
        <f>Q455*G455</f>
        <v/>
      </c>
      <c r="S455" s="26">
        <f>IFERROR(VLOOKUP(E455*1,Tabla[#All],8,0),0)</f>
        <v/>
      </c>
      <c r="T455" s="26">
        <f>S455*G455</f>
        <v/>
      </c>
      <c r="U455" s="26">
        <f>R455-T455</f>
        <v/>
      </c>
      <c r="V455" s="26">
        <f>U455-L455</f>
        <v/>
      </c>
    </row>
    <row r="456">
      <c r="A456" s="11" t="n">
        <v>46208</v>
      </c>
      <c r="B456" s="1" t="n">
        <v>20024</v>
      </c>
      <c r="C456" s="1" t="inlineStr">
        <is>
          <t>118</t>
        </is>
      </c>
      <c r="D456" s="1" t="inlineStr">
        <is>
          <t>254662</t>
        </is>
      </c>
      <c r="E456" s="1" t="inlineStr">
        <is>
          <t xml:space="preserve">31959961       </t>
        </is>
      </c>
      <c r="F456" s="5" t="inlineStr">
        <is>
          <t>TEAMSTERZ CAMBIA DE COLOR PACK DE 3 AUTOS</t>
        </is>
      </c>
      <c r="G456" t="n">
        <v>1</v>
      </c>
      <c r="H456" s="7" t="n">
        <v>49.9</v>
      </c>
      <c r="I456" s="7" t="n">
        <v>0</v>
      </c>
      <c r="J456" s="7" t="n">
        <v>0</v>
      </c>
      <c r="K456" s="9" t="n">
        <v>0</v>
      </c>
      <c r="L456" s="10" t="n">
        <v>29.6</v>
      </c>
      <c r="M456" s="10" t="n">
        <v>1.43</v>
      </c>
      <c r="N456" t="inlineStr">
        <is>
          <t>1</t>
        </is>
      </c>
      <c r="O456" t="inlineStr">
        <is>
          <t xml:space="preserve">2 </t>
        </is>
      </c>
      <c r="P456" t="inlineStr">
        <is>
          <t xml:space="preserve">251741  </t>
        </is>
      </c>
      <c r="Q456" s="26" t="n">
        <v>29.6</v>
      </c>
      <c r="R456" s="26">
        <f>Q456*G456</f>
        <v/>
      </c>
      <c r="S456" s="26">
        <f>IFERROR(VLOOKUP(E456*1,Tabla[#All],8,0),0)</f>
        <v/>
      </c>
      <c r="T456" s="26">
        <f>S456*G456</f>
        <v/>
      </c>
      <c r="U456" s="26">
        <f>R456-T456</f>
        <v/>
      </c>
      <c r="V456" s="26">
        <f>U456-L456</f>
        <v/>
      </c>
    </row>
    <row r="457">
      <c r="A457" s="11" t="n">
        <v>46208</v>
      </c>
      <c r="B457" s="1" t="n">
        <v>20025</v>
      </c>
      <c r="C457" s="1" t="inlineStr">
        <is>
          <t>076</t>
        </is>
      </c>
      <c r="D457" s="1" t="inlineStr">
        <is>
          <t>146986</t>
        </is>
      </c>
      <c r="E457" s="1" t="inlineStr">
        <is>
          <t xml:space="preserve">28194770       </t>
        </is>
      </c>
      <c r="F457" s="5" t="inlineStr">
        <is>
          <t>AUTOS DE METAL 3 TEAMSTERZ EN BLISTER</t>
        </is>
      </c>
      <c r="G457" t="n">
        <v>1</v>
      </c>
      <c r="H457" s="7" t="n">
        <v>6.9</v>
      </c>
      <c r="I457" s="7" t="n">
        <v>0</v>
      </c>
      <c r="J457" s="7" t="n">
        <v>0</v>
      </c>
      <c r="K457" s="9" t="n">
        <v>0</v>
      </c>
      <c r="L457" s="10" t="n">
        <v>4.1</v>
      </c>
      <c r="M457" s="10" t="n">
        <v>1.43</v>
      </c>
      <c r="N457" t="inlineStr">
        <is>
          <t>1</t>
        </is>
      </c>
      <c r="O457" t="inlineStr">
        <is>
          <t xml:space="preserve">2 </t>
        </is>
      </c>
      <c r="P457" t="inlineStr">
        <is>
          <t xml:space="preserve">18871   </t>
        </is>
      </c>
      <c r="Q457" s="26" t="n">
        <v>4.09</v>
      </c>
      <c r="R457" s="26">
        <f>Q457*G457</f>
        <v/>
      </c>
      <c r="S457" s="26">
        <f>IFERROR(VLOOKUP(E457*1,Tabla[#All],8,0),0)</f>
        <v/>
      </c>
      <c r="T457" s="26">
        <f>S457*G457</f>
        <v/>
      </c>
      <c r="U457" s="26">
        <f>R457-T457</f>
        <v/>
      </c>
      <c r="V457" s="26">
        <f>U457-L457</f>
        <v/>
      </c>
    </row>
    <row r="458">
      <c r="A458" s="11" t="n">
        <v>46208</v>
      </c>
      <c r="B458" s="1" t="n">
        <v>20025</v>
      </c>
      <c r="C458" s="1" t="inlineStr">
        <is>
          <t>076</t>
        </is>
      </c>
      <c r="D458" s="1" t="inlineStr">
        <is>
          <t>146986</t>
        </is>
      </c>
      <c r="E458" s="1" t="inlineStr">
        <is>
          <t xml:space="preserve">28194770       </t>
        </is>
      </c>
      <c r="F458" s="5" t="inlineStr">
        <is>
          <t>AUTOS DE METAL 3 TEAMSTERZ EN BLISTER</t>
        </is>
      </c>
      <c r="G458" t="n">
        <v>1</v>
      </c>
      <c r="H458" s="7" t="n">
        <v>6.9</v>
      </c>
      <c r="I458" s="7" t="n">
        <v>0</v>
      </c>
      <c r="J458" s="7" t="n">
        <v>0</v>
      </c>
      <c r="K458" s="9" t="n">
        <v>0</v>
      </c>
      <c r="L458" s="10" t="n">
        <v>4.1</v>
      </c>
      <c r="M458" s="10" t="n">
        <v>1.43</v>
      </c>
      <c r="N458" t="inlineStr">
        <is>
          <t>1</t>
        </is>
      </c>
      <c r="O458" t="inlineStr">
        <is>
          <t xml:space="preserve">2 </t>
        </is>
      </c>
      <c r="P458" t="inlineStr">
        <is>
          <t xml:space="preserve">18871   </t>
        </is>
      </c>
      <c r="Q458" s="26" t="n">
        <v>4.09</v>
      </c>
      <c r="R458" s="26">
        <f>Q458*G458</f>
        <v/>
      </c>
      <c r="S458" s="26">
        <f>IFERROR(VLOOKUP(E458*1,Tabla[#All],8,0),0)</f>
        <v/>
      </c>
      <c r="T458" s="26">
        <f>S458*G458</f>
        <v/>
      </c>
      <c r="U458" s="26">
        <f>R458-T458</f>
        <v/>
      </c>
      <c r="V458" s="26">
        <f>U458-L458</f>
        <v/>
      </c>
    </row>
    <row r="459">
      <c r="A459" s="11" t="n">
        <v>46208</v>
      </c>
      <c r="B459" s="1" t="n">
        <v>20025</v>
      </c>
      <c r="C459" s="1" t="inlineStr">
        <is>
          <t>114</t>
        </is>
      </c>
      <c r="D459" s="1" t="inlineStr">
        <is>
          <t>118369</t>
        </is>
      </c>
      <c r="E459" s="1" t="inlineStr">
        <is>
          <t xml:space="preserve">29235708       </t>
        </is>
      </c>
      <c r="F459" s="5" t="inlineStr">
        <is>
          <t>TEAMSTERZ RESCATE POR AIRE Y MAR</t>
        </is>
      </c>
      <c r="G459" t="n">
        <v>1</v>
      </c>
      <c r="H459" s="7" t="n">
        <v>39.9</v>
      </c>
      <c r="I459" s="7" t="n">
        <v>0</v>
      </c>
      <c r="J459" s="7" t="n">
        <v>0</v>
      </c>
      <c r="K459" s="9" t="n">
        <v>0</v>
      </c>
      <c r="L459" s="10" t="n">
        <v>23.67</v>
      </c>
      <c r="M459" s="10" t="n">
        <v>1.43</v>
      </c>
      <c r="N459" t="inlineStr">
        <is>
          <t>1</t>
        </is>
      </c>
      <c r="O459" t="inlineStr">
        <is>
          <t>16</t>
        </is>
      </c>
      <c r="P459" t="inlineStr">
        <is>
          <t xml:space="preserve">250254  </t>
        </is>
      </c>
      <c r="Q459" s="26" t="n">
        <v>23.67</v>
      </c>
      <c r="R459" s="26">
        <f>Q459*G459</f>
        <v/>
      </c>
      <c r="S459" s="26">
        <f>IFERROR(VLOOKUP(E459*1,Tabla[#All],8,0),0)</f>
        <v/>
      </c>
      <c r="T459" s="26">
        <f>S459*G459</f>
        <v/>
      </c>
      <c r="U459" s="26">
        <f>R459-T459</f>
        <v/>
      </c>
      <c r="V459" s="26">
        <f>U459-L459</f>
        <v/>
      </c>
    </row>
    <row r="460">
      <c r="A460" s="11" t="n">
        <v>46208</v>
      </c>
      <c r="B460" s="1" t="n">
        <v>20028</v>
      </c>
      <c r="C460" s="1" t="inlineStr">
        <is>
          <t>021</t>
        </is>
      </c>
      <c r="D460" s="1" t="inlineStr">
        <is>
          <t>185704</t>
        </is>
      </c>
      <c r="E460" s="1" t="inlineStr">
        <is>
          <t xml:space="preserve">28194770       </t>
        </is>
      </c>
      <c r="F460" s="5" t="inlineStr">
        <is>
          <t>AUTOS DE METAL 3 TEAMSTERZ EN BLISTER</t>
        </is>
      </c>
      <c r="G460" t="n">
        <v>1</v>
      </c>
      <c r="H460" s="7" t="n">
        <v>6.9</v>
      </c>
      <c r="I460" s="7" t="n">
        <v>0</v>
      </c>
      <c r="J460" s="7" t="n">
        <v>0</v>
      </c>
      <c r="K460" s="9" t="n">
        <v>0</v>
      </c>
      <c r="L460" s="10" t="n">
        <v>4.1</v>
      </c>
      <c r="M460" s="10" t="n">
        <v>1.43</v>
      </c>
      <c r="N460" t="inlineStr">
        <is>
          <t>1</t>
        </is>
      </c>
      <c r="O460" t="inlineStr">
        <is>
          <t xml:space="preserve">2 </t>
        </is>
      </c>
      <c r="P460" t="inlineStr">
        <is>
          <t xml:space="preserve">35540   </t>
        </is>
      </c>
      <c r="Q460" s="26" t="n">
        <v>4.09</v>
      </c>
      <c r="R460" s="26">
        <f>Q460*G460</f>
        <v/>
      </c>
      <c r="S460" s="26">
        <f>IFERROR(VLOOKUP(E460*1,Tabla[#All],8,0),0)</f>
        <v/>
      </c>
      <c r="T460" s="26">
        <f>S460*G460</f>
        <v/>
      </c>
      <c r="U460" s="26">
        <f>R460-T460</f>
        <v/>
      </c>
      <c r="V460" s="26">
        <f>U460-L460</f>
        <v/>
      </c>
    </row>
    <row r="461">
      <c r="A461" s="11" t="n">
        <v>46208</v>
      </c>
      <c r="B461" s="1" t="n">
        <v>20028</v>
      </c>
      <c r="C461" s="1" t="inlineStr">
        <is>
          <t>021</t>
        </is>
      </c>
      <c r="D461" s="1" t="inlineStr">
        <is>
          <t>185704</t>
        </is>
      </c>
      <c r="E461" s="1" t="inlineStr">
        <is>
          <t xml:space="preserve">28194770       </t>
        </is>
      </c>
      <c r="F461" s="5" t="inlineStr">
        <is>
          <t>AUTOS DE METAL 3 TEAMSTERZ EN BLISTER</t>
        </is>
      </c>
      <c r="G461" t="n">
        <v>1</v>
      </c>
      <c r="H461" s="7" t="n">
        <v>6.9</v>
      </c>
      <c r="I461" s="7" t="n">
        <v>0</v>
      </c>
      <c r="J461" s="7" t="n">
        <v>0</v>
      </c>
      <c r="K461" s="9" t="n">
        <v>0</v>
      </c>
      <c r="L461" s="10" t="n">
        <v>4.1</v>
      </c>
      <c r="M461" s="10" t="n">
        <v>1.43</v>
      </c>
      <c r="N461" t="inlineStr">
        <is>
          <t>1</t>
        </is>
      </c>
      <c r="O461" t="inlineStr">
        <is>
          <t xml:space="preserve">2 </t>
        </is>
      </c>
      <c r="P461" t="inlineStr">
        <is>
          <t xml:space="preserve">35540   </t>
        </is>
      </c>
      <c r="Q461" s="26" t="n">
        <v>4.09</v>
      </c>
      <c r="R461" s="26">
        <f>Q461*G461</f>
        <v/>
      </c>
      <c r="S461" s="26">
        <f>IFERROR(VLOOKUP(E461*1,Tabla[#All],8,0),0)</f>
        <v/>
      </c>
      <c r="T461" s="26">
        <f>S461*G461</f>
        <v/>
      </c>
      <c r="U461" s="26">
        <f>R461-T461</f>
        <v/>
      </c>
      <c r="V461" s="26">
        <f>U461-L461</f>
        <v/>
      </c>
    </row>
    <row r="462">
      <c r="A462" s="11" t="n">
        <v>46208</v>
      </c>
      <c r="B462" s="1" t="n">
        <v>20028</v>
      </c>
      <c r="C462" s="1" t="inlineStr">
        <is>
          <t>021</t>
        </is>
      </c>
      <c r="D462" s="1" t="inlineStr">
        <is>
          <t>185704</t>
        </is>
      </c>
      <c r="E462" s="1" t="inlineStr">
        <is>
          <t xml:space="preserve">30141766       </t>
        </is>
      </c>
      <c r="F462" s="5" t="inlineStr">
        <is>
          <t>TMZ BEAST MACHINES AUTOS DE METAL BLISTER X 1</t>
        </is>
      </c>
      <c r="G462" t="n">
        <v>1</v>
      </c>
      <c r="H462" s="7" t="n">
        <v>7.9</v>
      </c>
      <c r="I462" s="7" t="n">
        <v>0</v>
      </c>
      <c r="J462" s="7" t="n">
        <v>0</v>
      </c>
      <c r="K462" s="9" t="n">
        <v>0</v>
      </c>
      <c r="L462" s="10" t="n">
        <v>4.68</v>
      </c>
      <c r="M462" s="10" t="n">
        <v>1.43</v>
      </c>
      <c r="N462" t="inlineStr">
        <is>
          <t>1</t>
        </is>
      </c>
      <c r="O462" t="inlineStr">
        <is>
          <t xml:space="preserve">2 </t>
        </is>
      </c>
      <c r="P462" t="inlineStr">
        <is>
          <t xml:space="preserve">35540   </t>
        </is>
      </c>
      <c r="Q462" s="26" t="n">
        <v>4.69</v>
      </c>
      <c r="R462" s="26">
        <f>Q462*G462</f>
        <v/>
      </c>
      <c r="S462" s="26">
        <f>IFERROR(VLOOKUP(E462*1,Tabla[#All],8,0),0)</f>
        <v/>
      </c>
      <c r="T462" s="26">
        <f>S462*G462</f>
        <v/>
      </c>
      <c r="U462" s="26">
        <f>R462-T462</f>
        <v/>
      </c>
      <c r="V462" s="26">
        <f>U462-L462</f>
        <v/>
      </c>
    </row>
    <row r="463">
      <c r="A463" s="11" t="n">
        <v>46208</v>
      </c>
      <c r="B463" s="1" t="n">
        <v>20028</v>
      </c>
      <c r="C463" s="1" t="inlineStr">
        <is>
          <t>088</t>
        </is>
      </c>
      <c r="D463" s="1" t="inlineStr">
        <is>
          <t>340272</t>
        </is>
      </c>
      <c r="E463" s="1" t="inlineStr">
        <is>
          <t xml:space="preserve">34840552       </t>
        </is>
      </c>
      <c r="F463" s="5" t="inlineStr">
        <is>
          <t>TMZ HELI POLICIA CON LUCES Y SONIDOS</t>
        </is>
      </c>
      <c r="G463" t="n">
        <v>1</v>
      </c>
      <c r="H463" s="7" t="n">
        <v>79.90000000000001</v>
      </c>
      <c r="I463" s="7" t="n">
        <v>0</v>
      </c>
      <c r="J463" s="7" t="n">
        <v>0</v>
      </c>
      <c r="K463" s="9" t="n">
        <v>0</v>
      </c>
      <c r="L463" s="10" t="n">
        <v>47.4</v>
      </c>
      <c r="M463" s="10" t="n">
        <v>1.43</v>
      </c>
      <c r="N463" t="inlineStr">
        <is>
          <t>1</t>
        </is>
      </c>
      <c r="O463" t="inlineStr">
        <is>
          <t>16</t>
        </is>
      </c>
      <c r="P463" t="inlineStr">
        <is>
          <t xml:space="preserve">31171   </t>
        </is>
      </c>
      <c r="Q463" s="26" t="n">
        <v>47.4</v>
      </c>
      <c r="R463" s="26">
        <f>Q463*G463</f>
        <v/>
      </c>
      <c r="S463" s="26">
        <f>IFERROR(VLOOKUP(E463*1,Tabla[#All],8,0),0)</f>
        <v/>
      </c>
      <c r="T463" s="26">
        <f>S463*G463</f>
        <v/>
      </c>
      <c r="U463" s="26">
        <f>R463-T463</f>
        <v/>
      </c>
      <c r="V463" s="26">
        <f>U463-L463</f>
        <v/>
      </c>
    </row>
    <row r="464">
      <c r="A464" s="11" t="n">
        <v>46208</v>
      </c>
      <c r="B464" s="1" t="n">
        <v>20028</v>
      </c>
      <c r="C464" s="1" t="inlineStr">
        <is>
          <t>088</t>
        </is>
      </c>
      <c r="D464" s="1" t="inlineStr">
        <is>
          <t xml:space="preserve">3953  </t>
        </is>
      </c>
      <c r="E464" s="1" t="inlineStr">
        <is>
          <t xml:space="preserve">31675353       </t>
        </is>
      </c>
      <c r="F464" s="5" t="inlineStr">
        <is>
          <t>NENUCO CON BIBERON Y SONAJERO</t>
        </is>
      </c>
      <c r="G464" t="n">
        <v>1</v>
      </c>
      <c r="H464" s="7" t="n">
        <v>79.90000000000001</v>
      </c>
      <c r="I464" s="7" t="n">
        <v>0</v>
      </c>
      <c r="J464" s="7" t="n">
        <v>0</v>
      </c>
      <c r="K464" s="9" t="n">
        <v>0</v>
      </c>
      <c r="L464" s="10" t="n">
        <v>47.4</v>
      </c>
      <c r="M464" s="10" t="n">
        <v>1.43</v>
      </c>
      <c r="N464" t="inlineStr">
        <is>
          <t>1</t>
        </is>
      </c>
      <c r="O464" t="inlineStr">
        <is>
          <t xml:space="preserve">3 </t>
        </is>
      </c>
      <c r="P464" t="inlineStr">
        <is>
          <t xml:space="preserve">23741   </t>
        </is>
      </c>
      <c r="Q464" s="26" t="n">
        <v>47.4</v>
      </c>
      <c r="R464" s="26">
        <f>Q464*G464</f>
        <v/>
      </c>
      <c r="S464" s="26">
        <f>IFERROR(VLOOKUP(E464*1,Tabla[#All],8,0),0)</f>
        <v/>
      </c>
      <c r="T464" s="26">
        <f>S464*G464</f>
        <v/>
      </c>
      <c r="U464" s="26">
        <f>R464-T464</f>
        <v/>
      </c>
      <c r="V464" s="26">
        <f>U464-L464</f>
        <v/>
      </c>
    </row>
    <row r="465">
      <c r="A465" s="11" t="n">
        <v>46208</v>
      </c>
      <c r="B465" s="1" t="n">
        <v>20028</v>
      </c>
      <c r="C465" s="1" t="inlineStr">
        <is>
          <t>121</t>
        </is>
      </c>
      <c r="D465" s="1" t="inlineStr">
        <is>
          <t xml:space="preserve">905   </t>
        </is>
      </c>
      <c r="E465" s="1" t="inlineStr">
        <is>
          <t xml:space="preserve">30141780       </t>
        </is>
      </c>
      <c r="F465" s="5" t="inlineStr">
        <is>
          <t>RELOJ DIGITAL PEPPA PIG</t>
        </is>
      </c>
      <c r="G465" t="n">
        <v>1</v>
      </c>
      <c r="H465" s="7" t="n">
        <v>18.9</v>
      </c>
      <c r="I465" s="7" t="n">
        <v>0</v>
      </c>
      <c r="J465" s="7" t="n">
        <v>0</v>
      </c>
      <c r="K465" s="9" t="n">
        <v>0</v>
      </c>
      <c r="L465" s="10" t="n">
        <v>11.21</v>
      </c>
      <c r="M465" s="10" t="n">
        <v>1.43</v>
      </c>
      <c r="N465" t="inlineStr">
        <is>
          <t>1</t>
        </is>
      </c>
      <c r="O465" t="inlineStr">
        <is>
          <t>16</t>
        </is>
      </c>
      <c r="P465" t="inlineStr">
        <is>
          <t xml:space="preserve">54001   </t>
        </is>
      </c>
      <c r="Q465" s="26" t="n">
        <v>11.21</v>
      </c>
      <c r="R465" s="26">
        <f>Q465*G465</f>
        <v/>
      </c>
      <c r="S465" s="26">
        <f>IFERROR(VLOOKUP(E465*1,Tabla[#All],8,0),0)</f>
        <v/>
      </c>
      <c r="T465" s="26">
        <f>S465*G465</f>
        <v/>
      </c>
      <c r="U465" s="26">
        <f>R465-T465</f>
        <v/>
      </c>
      <c r="V465" s="26">
        <f>U465-L465</f>
        <v/>
      </c>
    </row>
    <row r="466">
      <c r="A466" s="11" t="n">
        <v>46208</v>
      </c>
      <c r="B466" s="1" t="n">
        <v>20030</v>
      </c>
      <c r="C466" s="1" t="inlineStr">
        <is>
          <t>039</t>
        </is>
      </c>
      <c r="D466" s="1" t="inlineStr">
        <is>
          <t>293176</t>
        </is>
      </c>
      <c r="E466" s="1" t="inlineStr">
        <is>
          <t xml:space="preserve">33661538       </t>
        </is>
      </c>
      <c r="F466" s="5" t="inlineStr">
        <is>
          <t>HOT WHEELS CASE GARAGE RUEDA METAL EN LLAMAS X 29</t>
        </is>
      </c>
      <c r="G466" t="n">
        <v>1</v>
      </c>
      <c r="H466" s="7" t="n">
        <v>69.90000000000001</v>
      </c>
      <c r="I466" s="7" t="n">
        <v>0</v>
      </c>
      <c r="J466" s="7" t="n">
        <v>0</v>
      </c>
      <c r="K466" s="9" t="n">
        <v>0</v>
      </c>
      <c r="L466" s="10" t="n">
        <v>41.47</v>
      </c>
      <c r="M466" s="10" t="n">
        <v>1.43</v>
      </c>
      <c r="N466" t="inlineStr">
        <is>
          <t>1</t>
        </is>
      </c>
      <c r="O466" t="inlineStr">
        <is>
          <t xml:space="preserve">2 </t>
        </is>
      </c>
      <c r="P466" t="inlineStr">
        <is>
          <t xml:space="preserve">18149   </t>
        </is>
      </c>
      <c r="Q466" s="26" t="n">
        <v>41.47</v>
      </c>
      <c r="R466" s="26">
        <f>Q466*G466</f>
        <v/>
      </c>
      <c r="S466" s="26">
        <f>IFERROR(VLOOKUP(E466*1,Tabla[#All],8,0),0)</f>
        <v/>
      </c>
      <c r="T466" s="26">
        <f>S466*G466</f>
        <v/>
      </c>
      <c r="U466" s="26">
        <f>R466-T466</f>
        <v/>
      </c>
      <c r="V466" s="26">
        <f>U466-L466</f>
        <v/>
      </c>
    </row>
    <row r="467">
      <c r="A467" s="11" t="n">
        <v>46208</v>
      </c>
      <c r="B467" s="1" t="n">
        <v>20030</v>
      </c>
      <c r="C467" s="1" t="inlineStr">
        <is>
          <t>056</t>
        </is>
      </c>
      <c r="D467" s="1" t="inlineStr">
        <is>
          <t>210461</t>
        </is>
      </c>
      <c r="E467" s="1" t="inlineStr">
        <is>
          <t xml:space="preserve">32457111       </t>
        </is>
      </c>
      <c r="F467" s="5" t="inlineStr">
        <is>
          <t>TMZ BEAST MACHINES MONSTER JAWS A FRICCION PACK DE</t>
        </is>
      </c>
      <c r="G467" t="n">
        <v>1</v>
      </c>
      <c r="H467" s="7" t="n">
        <v>74.90000000000001</v>
      </c>
      <c r="I467" s="7" t="n">
        <v>0</v>
      </c>
      <c r="J467" s="7" t="n">
        <v>0</v>
      </c>
      <c r="K467" s="9" t="n">
        <v>0</v>
      </c>
      <c r="L467" s="10" t="n">
        <v>44.43</v>
      </c>
      <c r="M467" s="10" t="n">
        <v>1.43</v>
      </c>
      <c r="N467" t="inlineStr">
        <is>
          <t>1</t>
        </is>
      </c>
      <c r="O467" t="inlineStr">
        <is>
          <t>16</t>
        </is>
      </c>
      <c r="P467" t="inlineStr">
        <is>
          <t xml:space="preserve">47736   </t>
        </is>
      </c>
      <c r="Q467" s="26" t="n">
        <v>44.43</v>
      </c>
      <c r="R467" s="26">
        <f>Q467*G467</f>
        <v/>
      </c>
      <c r="S467" s="26">
        <f>IFERROR(VLOOKUP(E467*1,Tabla[#All],8,0),0)</f>
        <v/>
      </c>
      <c r="T467" s="26">
        <f>S467*G467</f>
        <v/>
      </c>
      <c r="U467" s="26">
        <f>R467-T467</f>
        <v/>
      </c>
      <c r="V467" s="26">
        <f>U467-L467</f>
        <v/>
      </c>
    </row>
    <row r="468">
      <c r="A468" s="11" t="n">
        <v>46208</v>
      </c>
      <c r="B468" s="1" t="n">
        <v>20030</v>
      </c>
      <c r="C468" s="1" t="inlineStr">
        <is>
          <t>067</t>
        </is>
      </c>
      <c r="D468" s="1" t="inlineStr">
        <is>
          <t>273405</t>
        </is>
      </c>
      <c r="E468" s="1" t="inlineStr">
        <is>
          <t xml:space="preserve">28194769       </t>
        </is>
      </c>
      <c r="F468" s="5" t="inlineStr">
        <is>
          <t>AUTOS DE METAL 3 TEAMSTERZ PACK DE 2</t>
        </is>
      </c>
      <c r="G468" t="n">
        <v>1</v>
      </c>
      <c r="H468" s="7" t="n">
        <v>13.8</v>
      </c>
      <c r="I468" s="7" t="n">
        <v>0</v>
      </c>
      <c r="J468" s="7" t="n">
        <v>0</v>
      </c>
      <c r="K468" s="9" t="n">
        <v>0</v>
      </c>
      <c r="L468" s="10" t="n">
        <v>8.18</v>
      </c>
      <c r="M468" s="10" t="n">
        <v>1.43</v>
      </c>
      <c r="N468" t="inlineStr">
        <is>
          <t>1</t>
        </is>
      </c>
      <c r="O468" t="inlineStr">
        <is>
          <t xml:space="preserve">3 </t>
        </is>
      </c>
      <c r="P468" t="inlineStr">
        <is>
          <t xml:space="preserve">47899   </t>
        </is>
      </c>
      <c r="Q468" s="26" t="n">
        <v>8.19</v>
      </c>
      <c r="R468" s="26">
        <f>Q468*G468</f>
        <v/>
      </c>
      <c r="S468" s="26">
        <f>IFERROR(VLOOKUP(E468*1,Tabla[#All],8,0),0)</f>
        <v/>
      </c>
      <c r="T468" s="26">
        <f>S468*G468</f>
        <v/>
      </c>
      <c r="U468" s="26">
        <f>R468-T468</f>
        <v/>
      </c>
      <c r="V468" s="26">
        <f>U468-L468</f>
        <v/>
      </c>
    </row>
    <row r="469">
      <c r="A469" s="11" t="n">
        <v>46208</v>
      </c>
      <c r="B469" s="1" t="n">
        <v>20030</v>
      </c>
      <c r="C469" s="1" t="inlineStr">
        <is>
          <t>067</t>
        </is>
      </c>
      <c r="D469" s="1" t="inlineStr">
        <is>
          <t>273439</t>
        </is>
      </c>
      <c r="E469" s="1" t="inlineStr">
        <is>
          <t xml:space="preserve">31959961       </t>
        </is>
      </c>
      <c r="F469" s="5" t="inlineStr">
        <is>
          <t>TEAMSTERZ CAMBIA DE COLOR PACK DE 3 AUTOS</t>
        </is>
      </c>
      <c r="G469" t="n">
        <v>1</v>
      </c>
      <c r="H469" s="7" t="n">
        <v>49.9</v>
      </c>
      <c r="I469" s="7" t="n">
        <v>0</v>
      </c>
      <c r="J469" s="7" t="n">
        <v>0</v>
      </c>
      <c r="K469" s="9" t="n">
        <v>0</v>
      </c>
      <c r="L469" s="10" t="n">
        <v>29.6</v>
      </c>
      <c r="M469" s="10" t="n">
        <v>1.43</v>
      </c>
      <c r="N469" t="inlineStr">
        <is>
          <t>1</t>
        </is>
      </c>
      <c r="O469" t="inlineStr">
        <is>
          <t xml:space="preserve">3 </t>
        </is>
      </c>
      <c r="P469" t="inlineStr">
        <is>
          <t xml:space="preserve">47899   </t>
        </is>
      </c>
      <c r="Q469" s="26" t="n">
        <v>29.6</v>
      </c>
      <c r="R469" s="26">
        <f>Q469*G469</f>
        <v/>
      </c>
      <c r="S469" s="26">
        <f>IFERROR(VLOOKUP(E469*1,Tabla[#All],8,0),0)</f>
        <v/>
      </c>
      <c r="T469" s="26">
        <f>S469*G469</f>
        <v/>
      </c>
      <c r="U469" s="26">
        <f>R469-T469</f>
        <v/>
      </c>
      <c r="V469" s="26">
        <f>U469-L469</f>
        <v/>
      </c>
    </row>
    <row r="470">
      <c r="A470" s="11" t="n">
        <v>46208</v>
      </c>
      <c r="B470" s="1" t="n">
        <v>20040</v>
      </c>
      <c r="C470" s="1" t="inlineStr">
        <is>
          <t>031</t>
        </is>
      </c>
      <c r="D470" s="1" t="inlineStr">
        <is>
          <t xml:space="preserve">36478 </t>
        </is>
      </c>
      <c r="E470" s="1" t="inlineStr">
        <is>
          <t xml:space="preserve">32457096       </t>
        </is>
      </c>
      <c r="F470" s="5" t="inlineStr">
        <is>
          <t>PINYPON AUTO DEPORT / SCOOTER + FIGURA SURT</t>
        </is>
      </c>
      <c r="G470" t="n">
        <v>1</v>
      </c>
      <c r="H470" s="7" t="n">
        <v>69.90000000000001</v>
      </c>
      <c r="I470" s="7" t="n">
        <v>0</v>
      </c>
      <c r="J470" s="7" t="n">
        <v>0</v>
      </c>
      <c r="K470" s="9" t="n">
        <v>0</v>
      </c>
      <c r="L470" s="10" t="n">
        <v>41.47</v>
      </c>
      <c r="M470" s="10" t="n">
        <v>1.43</v>
      </c>
      <c r="N470" t="inlineStr">
        <is>
          <t>1</t>
        </is>
      </c>
      <c r="O470" t="inlineStr">
        <is>
          <t>16</t>
        </is>
      </c>
      <c r="P470" t="inlineStr">
        <is>
          <t xml:space="preserve">242658  </t>
        </is>
      </c>
      <c r="Q470" s="26" t="n">
        <v>41.47</v>
      </c>
      <c r="R470" s="26">
        <f>Q470*G470</f>
        <v/>
      </c>
      <c r="S470" s="26">
        <f>IFERROR(VLOOKUP(E470*1,Tabla[#All],8,0),0)</f>
        <v/>
      </c>
      <c r="T470" s="26">
        <f>S470*G470</f>
        <v/>
      </c>
      <c r="U470" s="26">
        <f>R470-T470</f>
        <v/>
      </c>
      <c r="V470" s="26">
        <f>U470-L470</f>
        <v/>
      </c>
    </row>
    <row r="471">
      <c r="A471" s="11" t="n">
        <v>46208</v>
      </c>
      <c r="B471" s="1" t="n">
        <v>20040</v>
      </c>
      <c r="C471" s="1" t="inlineStr">
        <is>
          <t>072</t>
        </is>
      </c>
      <c r="D471" s="1" t="inlineStr">
        <is>
          <t>251092</t>
        </is>
      </c>
      <c r="E471" s="1" t="inlineStr">
        <is>
          <t xml:space="preserve">32457099       </t>
        </is>
      </c>
      <c r="F471" s="5" t="inlineStr">
        <is>
          <t>TMZ BEAST MACHINES MONSTER JAWS A FRICCION BLISTER</t>
        </is>
      </c>
      <c r="G471" t="n">
        <v>1</v>
      </c>
      <c r="H471" s="7" t="n">
        <v>19.9</v>
      </c>
      <c r="I471" s="7" t="n">
        <v>0</v>
      </c>
      <c r="J471" s="7" t="n">
        <v>0</v>
      </c>
      <c r="K471" s="9" t="n">
        <v>0</v>
      </c>
      <c r="L471" s="10" t="n">
        <v>11.8</v>
      </c>
      <c r="M471" s="10" t="n">
        <v>1.43</v>
      </c>
      <c r="N471" t="inlineStr">
        <is>
          <t>1</t>
        </is>
      </c>
      <c r="O471" t="inlineStr">
        <is>
          <t xml:space="preserve">3 </t>
        </is>
      </c>
      <c r="P471" t="inlineStr">
        <is>
          <t xml:space="preserve">61602   </t>
        </is>
      </c>
      <c r="Q471" s="26" t="n">
        <v>11.81</v>
      </c>
      <c r="R471" s="26">
        <f>Q471*G471</f>
        <v/>
      </c>
      <c r="S471" s="26">
        <f>IFERROR(VLOOKUP(E471*1,Tabla[#All],8,0),0)</f>
        <v/>
      </c>
      <c r="T471" s="26">
        <f>S471*G471</f>
        <v/>
      </c>
      <c r="U471" s="26">
        <f>R471-T471</f>
        <v/>
      </c>
      <c r="V471" s="26">
        <f>U471-L471</f>
        <v/>
      </c>
    </row>
    <row r="472">
      <c r="A472" s="11" t="n">
        <v>46208</v>
      </c>
      <c r="B472" s="1" t="n">
        <v>20040</v>
      </c>
      <c r="C472" s="1" t="inlineStr">
        <is>
          <t>072</t>
        </is>
      </c>
      <c r="D472" s="1" t="inlineStr">
        <is>
          <t>251111</t>
        </is>
      </c>
      <c r="E472" s="1" t="inlineStr">
        <is>
          <t xml:space="preserve">28194768       </t>
        </is>
      </c>
      <c r="F472" s="5" t="inlineStr">
        <is>
          <t>AUTO COLOR CHANGE TEAMSTERZ SURTIDO</t>
        </is>
      </c>
      <c r="G472" t="n">
        <v>1</v>
      </c>
      <c r="H472" s="7" t="n">
        <v>14.9</v>
      </c>
      <c r="I472" s="7" t="n">
        <v>0</v>
      </c>
      <c r="J472" s="7" t="n">
        <v>0</v>
      </c>
      <c r="K472" s="9" t="n">
        <v>0</v>
      </c>
      <c r="L472" s="10" t="n">
        <v>8.84</v>
      </c>
      <c r="M472" s="10" t="n">
        <v>1.43</v>
      </c>
      <c r="N472" t="inlineStr">
        <is>
          <t>1</t>
        </is>
      </c>
      <c r="O472" t="inlineStr">
        <is>
          <t xml:space="preserve">2 </t>
        </is>
      </c>
      <c r="P472" t="inlineStr">
        <is>
          <t xml:space="preserve">61602   </t>
        </is>
      </c>
      <c r="Q472" s="26" t="n">
        <v>8.84</v>
      </c>
      <c r="R472" s="26">
        <f>Q472*G472</f>
        <v/>
      </c>
      <c r="S472" s="26">
        <f>IFERROR(VLOOKUP(E472*1,Tabla[#All],8,0),0)</f>
        <v/>
      </c>
      <c r="T472" s="26">
        <f>S472*G472</f>
        <v/>
      </c>
      <c r="U472" s="26">
        <f>R472-T472</f>
        <v/>
      </c>
      <c r="V472" s="26">
        <f>U472-L472</f>
        <v/>
      </c>
    </row>
    <row r="473">
      <c r="A473" s="11" t="n">
        <v>46208</v>
      </c>
      <c r="B473" s="1" t="n">
        <v>20040</v>
      </c>
      <c r="C473" s="1" t="inlineStr">
        <is>
          <t>073</t>
        </is>
      </c>
      <c r="D473" s="1" t="inlineStr">
        <is>
          <t>254128</t>
        </is>
      </c>
      <c r="E473" s="1" t="inlineStr">
        <is>
          <t xml:space="preserve">28194769       </t>
        </is>
      </c>
      <c r="F473" s="5" t="inlineStr">
        <is>
          <t>AUTOS DE METAL 3 TEAMSTERZ PACK DE 2</t>
        </is>
      </c>
      <c r="G473" t="n">
        <v>1</v>
      </c>
      <c r="H473" s="7" t="n">
        <v>13.8</v>
      </c>
      <c r="I473" s="7" t="n">
        <v>0</v>
      </c>
      <c r="J473" s="7" t="n">
        <v>0</v>
      </c>
      <c r="K473" s="9" t="n">
        <v>0</v>
      </c>
      <c r="L473" s="10" t="n">
        <v>8.18</v>
      </c>
      <c r="M473" s="10" t="n">
        <v>1.43</v>
      </c>
      <c r="N473" t="inlineStr">
        <is>
          <t>1</t>
        </is>
      </c>
      <c r="O473" t="inlineStr">
        <is>
          <t xml:space="preserve">3 </t>
        </is>
      </c>
      <c r="P473" t="inlineStr">
        <is>
          <t xml:space="preserve">52786   </t>
        </is>
      </c>
      <c r="Q473" s="26" t="n">
        <v>8.19</v>
      </c>
      <c r="R473" s="26">
        <f>Q473*G473</f>
        <v/>
      </c>
      <c r="S473" s="26">
        <f>IFERROR(VLOOKUP(E473*1,Tabla[#All],8,0),0)</f>
        <v/>
      </c>
      <c r="T473" s="26">
        <f>S473*G473</f>
        <v/>
      </c>
      <c r="U473" s="26">
        <f>R473-T473</f>
        <v/>
      </c>
      <c r="V473" s="26">
        <f>U473-L473</f>
        <v/>
      </c>
    </row>
    <row r="474">
      <c r="A474" s="11" t="n">
        <v>46208</v>
      </c>
      <c r="B474" s="1" t="n">
        <v>20040</v>
      </c>
      <c r="C474" s="1" t="inlineStr">
        <is>
          <t>073</t>
        </is>
      </c>
      <c r="D474" s="1" t="inlineStr">
        <is>
          <t>254128</t>
        </is>
      </c>
      <c r="E474" s="1" t="inlineStr">
        <is>
          <t xml:space="preserve">28194769       </t>
        </is>
      </c>
      <c r="F474" s="5" t="inlineStr">
        <is>
          <t>AUTOS DE METAL 3 TEAMSTERZ PACK DE 2</t>
        </is>
      </c>
      <c r="G474" t="n">
        <v>1</v>
      </c>
      <c r="H474" s="7" t="n">
        <v>13.8</v>
      </c>
      <c r="I474" s="7" t="n">
        <v>0</v>
      </c>
      <c r="J474" s="7" t="n">
        <v>0</v>
      </c>
      <c r="K474" s="9" t="n">
        <v>0</v>
      </c>
      <c r="L474" s="10" t="n">
        <v>8.18</v>
      </c>
      <c r="M474" s="10" t="n">
        <v>1.43</v>
      </c>
      <c r="N474" t="inlineStr">
        <is>
          <t>1</t>
        </is>
      </c>
      <c r="O474" t="inlineStr">
        <is>
          <t xml:space="preserve">3 </t>
        </is>
      </c>
      <c r="P474" t="inlineStr">
        <is>
          <t xml:space="preserve">52786   </t>
        </is>
      </c>
      <c r="Q474" s="26" t="n">
        <v>8.19</v>
      </c>
      <c r="R474" s="26">
        <f>Q474*G474</f>
        <v/>
      </c>
      <c r="S474" s="26">
        <f>IFERROR(VLOOKUP(E474*1,Tabla[#All],8,0),0)</f>
        <v/>
      </c>
      <c r="T474" s="26">
        <f>S474*G474</f>
        <v/>
      </c>
      <c r="U474" s="26">
        <f>R474-T474</f>
        <v/>
      </c>
      <c r="V474" s="26">
        <f>U474-L474</f>
        <v/>
      </c>
    </row>
    <row r="475">
      <c r="A475" s="11" t="n">
        <v>46208</v>
      </c>
      <c r="B475" s="1" t="n">
        <v>20040</v>
      </c>
      <c r="C475" s="1" t="inlineStr">
        <is>
          <t>073</t>
        </is>
      </c>
      <c r="D475" s="1" t="inlineStr">
        <is>
          <t>254128</t>
        </is>
      </c>
      <c r="E475" s="1" t="inlineStr">
        <is>
          <t xml:space="preserve">29235700       </t>
        </is>
      </c>
      <c r="F475" s="5" t="inlineStr">
        <is>
          <t>HOT WHEELS CASE METALICO PARA GUARDAR 18 CARRITOS</t>
        </is>
      </c>
      <c r="G475" t="n">
        <v>1</v>
      </c>
      <c r="H475" s="7" t="n">
        <v>49.9</v>
      </c>
      <c r="I475" s="7" t="n">
        <v>0</v>
      </c>
      <c r="J475" s="7" t="n">
        <v>0</v>
      </c>
      <c r="K475" s="9" t="n">
        <v>0</v>
      </c>
      <c r="L475" s="10" t="n">
        <v>29.6</v>
      </c>
      <c r="M475" s="10" t="n">
        <v>1.43</v>
      </c>
      <c r="N475" t="inlineStr">
        <is>
          <t>1</t>
        </is>
      </c>
      <c r="O475" t="inlineStr">
        <is>
          <t xml:space="preserve">3 </t>
        </is>
      </c>
      <c r="P475" t="inlineStr">
        <is>
          <t xml:space="preserve">52786   </t>
        </is>
      </c>
      <c r="Q475" s="26" t="n">
        <v>29.6</v>
      </c>
      <c r="R475" s="26">
        <f>Q475*G475</f>
        <v/>
      </c>
      <c r="S475" s="26">
        <f>IFERROR(VLOOKUP(E475*1,Tabla[#All],8,0),0)</f>
        <v/>
      </c>
      <c r="T475" s="26">
        <f>S475*G475</f>
        <v/>
      </c>
      <c r="U475" s="26">
        <f>R475-T475</f>
        <v/>
      </c>
      <c r="V475" s="26">
        <f>U475-L475</f>
        <v/>
      </c>
    </row>
    <row r="476">
      <c r="A476" s="11" t="n">
        <v>46208</v>
      </c>
      <c r="B476" s="1" t="n">
        <v>20040</v>
      </c>
      <c r="C476" s="1" t="inlineStr">
        <is>
          <t>073</t>
        </is>
      </c>
      <c r="D476" s="1" t="inlineStr">
        <is>
          <t>254128</t>
        </is>
      </c>
      <c r="E476" s="1" t="inlineStr">
        <is>
          <t xml:space="preserve">29235700       </t>
        </is>
      </c>
      <c r="F476" s="5" t="inlineStr">
        <is>
          <t>HOT WHEELS CASE METALICO PARA GUARDAR 18 CARRITOS</t>
        </is>
      </c>
      <c r="G476" t="n">
        <v>1</v>
      </c>
      <c r="H476" s="7" t="n">
        <v>49.9</v>
      </c>
      <c r="I476" s="7" t="n">
        <v>0</v>
      </c>
      <c r="J476" s="7" t="n">
        <v>0</v>
      </c>
      <c r="K476" s="9" t="n">
        <v>0</v>
      </c>
      <c r="L476" s="10" t="n">
        <v>29.6</v>
      </c>
      <c r="M476" s="10" t="n">
        <v>1.43</v>
      </c>
      <c r="N476" t="inlineStr">
        <is>
          <t>1</t>
        </is>
      </c>
      <c r="O476" t="inlineStr">
        <is>
          <t xml:space="preserve">3 </t>
        </is>
      </c>
      <c r="P476" t="inlineStr">
        <is>
          <t xml:space="preserve">52786   </t>
        </is>
      </c>
      <c r="Q476" s="26" t="n">
        <v>29.6</v>
      </c>
      <c r="R476" s="26">
        <f>Q476*G476</f>
        <v/>
      </c>
      <c r="S476" s="26">
        <f>IFERROR(VLOOKUP(E476*1,Tabla[#All],8,0),0)</f>
        <v/>
      </c>
      <c r="T476" s="26">
        <f>S476*G476</f>
        <v/>
      </c>
      <c r="U476" s="26">
        <f>R476-T476</f>
        <v/>
      </c>
      <c r="V476" s="26">
        <f>U476-L476</f>
        <v/>
      </c>
    </row>
    <row r="477">
      <c r="A477" s="11" t="n">
        <v>46208</v>
      </c>
      <c r="B477" s="1" t="n">
        <v>20040</v>
      </c>
      <c r="C477" s="1" t="inlineStr">
        <is>
          <t>083</t>
        </is>
      </c>
      <c r="D477" s="1" t="inlineStr">
        <is>
          <t>159138</t>
        </is>
      </c>
      <c r="E477" s="1" t="inlineStr">
        <is>
          <t xml:space="preserve">31754675       </t>
        </is>
      </c>
      <c r="F477" s="5" t="inlineStr">
        <is>
          <t>INFINITY NADO SERIE 6 STARTER PACK - 4 MODELOS</t>
        </is>
      </c>
      <c r="G477" t="n">
        <v>1</v>
      </c>
      <c r="H477" s="7" t="n">
        <v>69.90000000000001</v>
      </c>
      <c r="I477" s="7" t="n">
        <v>0</v>
      </c>
      <c r="J477" s="7" t="n">
        <v>0</v>
      </c>
      <c r="K477" s="9" t="n">
        <v>0</v>
      </c>
      <c r="L477" s="10" t="n">
        <v>41.47</v>
      </c>
      <c r="M477" s="10" t="n">
        <v>1.43</v>
      </c>
      <c r="N477" t="inlineStr">
        <is>
          <t>1</t>
        </is>
      </c>
      <c r="O477" t="inlineStr">
        <is>
          <t>16</t>
        </is>
      </c>
      <c r="P477" t="inlineStr">
        <is>
          <t xml:space="preserve">248589  </t>
        </is>
      </c>
      <c r="Q477" s="26" t="n">
        <v>41.47</v>
      </c>
      <c r="R477" s="26">
        <f>Q477*G477</f>
        <v/>
      </c>
      <c r="S477" s="26">
        <f>IFERROR(VLOOKUP(E477*1,Tabla[#All],8,0),0)</f>
        <v/>
      </c>
      <c r="T477" s="26">
        <f>S477*G477</f>
        <v/>
      </c>
      <c r="U477" s="26">
        <f>R477-T477</f>
        <v/>
      </c>
      <c r="V477" s="26">
        <f>U477-L477</f>
        <v/>
      </c>
    </row>
    <row r="478">
      <c r="A478" s="11" t="n">
        <v>46208</v>
      </c>
      <c r="B478" s="1" t="n">
        <v>20040</v>
      </c>
      <c r="C478" s="1" t="inlineStr">
        <is>
          <t>083</t>
        </is>
      </c>
      <c r="D478" s="1" t="inlineStr">
        <is>
          <t>159139</t>
        </is>
      </c>
      <c r="E478" s="1" t="inlineStr">
        <is>
          <t xml:space="preserve">29235706       </t>
        </is>
      </c>
      <c r="F478" s="5" t="inlineStr">
        <is>
          <t>TEAMSTERZ CAMION PARA GUARDAR 12 AUTOS INCL 4 AUTO</t>
        </is>
      </c>
      <c r="G478" t="n">
        <v>1</v>
      </c>
      <c r="H478" s="7" t="n">
        <v>59.9</v>
      </c>
      <c r="I478" s="7" t="n">
        <v>0</v>
      </c>
      <c r="J478" s="7" t="n">
        <v>0</v>
      </c>
      <c r="K478" s="9" t="n">
        <v>0</v>
      </c>
      <c r="L478" s="10" t="n">
        <v>35.53</v>
      </c>
      <c r="M478" s="10" t="n">
        <v>1.43</v>
      </c>
      <c r="N478" t="inlineStr">
        <is>
          <t>1</t>
        </is>
      </c>
      <c r="O478" t="inlineStr">
        <is>
          <t>16</t>
        </is>
      </c>
      <c r="P478" t="inlineStr">
        <is>
          <t xml:space="preserve">248589  </t>
        </is>
      </c>
      <c r="Q478" s="26" t="n">
        <v>35.53</v>
      </c>
      <c r="R478" s="26">
        <f>Q478*G478</f>
        <v/>
      </c>
      <c r="S478" s="26">
        <f>IFERROR(VLOOKUP(E478*1,Tabla[#All],8,0),0)</f>
        <v/>
      </c>
      <c r="T478" s="26">
        <f>S478*G478</f>
        <v/>
      </c>
      <c r="U478" s="26">
        <f>R478-T478</f>
        <v/>
      </c>
      <c r="V478" s="26">
        <f>U478-L478</f>
        <v/>
      </c>
    </row>
    <row r="479">
      <c r="A479" s="11" t="n">
        <v>46208</v>
      </c>
      <c r="B479" s="1" t="n">
        <v>20040</v>
      </c>
      <c r="C479" s="1" t="inlineStr">
        <is>
          <t>514</t>
        </is>
      </c>
      <c r="D479" s="1" t="inlineStr">
        <is>
          <t xml:space="preserve">1323  </t>
        </is>
      </c>
      <c r="E479" s="1" t="inlineStr">
        <is>
          <t xml:space="preserve">31675354       </t>
        </is>
      </c>
      <c r="F479" s="5" t="inlineStr">
        <is>
          <t>NENUCO LLORON CON ACCESORIOS</t>
        </is>
      </c>
      <c r="G479" t="n">
        <v>1</v>
      </c>
      <c r="H479" s="7" t="n">
        <v>89.90000000000001</v>
      </c>
      <c r="I479" s="7" t="n">
        <v>0</v>
      </c>
      <c r="J479" s="7" t="n">
        <v>0</v>
      </c>
      <c r="K479" s="9" t="n">
        <v>0</v>
      </c>
      <c r="L479" s="10" t="n">
        <v>53.33</v>
      </c>
      <c r="M479" s="10" t="n">
        <v>1.43</v>
      </c>
      <c r="N479" t="inlineStr">
        <is>
          <t>1</t>
        </is>
      </c>
      <c r="O479" t="inlineStr">
        <is>
          <t>16</t>
        </is>
      </c>
      <c r="P479" t="inlineStr">
        <is>
          <t xml:space="preserve">235897  </t>
        </is>
      </c>
      <c r="Q479" s="26" t="n">
        <v>53.33</v>
      </c>
      <c r="R479" s="26">
        <f>Q479*G479</f>
        <v/>
      </c>
      <c r="S479" s="26">
        <f>IFERROR(VLOOKUP(E479*1,Tabla[#All],8,0),0)</f>
        <v/>
      </c>
      <c r="T479" s="26">
        <f>S479*G479</f>
        <v/>
      </c>
      <c r="U479" s="26">
        <f>R479-T479</f>
        <v/>
      </c>
      <c r="V479" s="26">
        <f>U479-L479</f>
        <v/>
      </c>
    </row>
    <row r="480">
      <c r="A480" s="11" t="n">
        <v>46208</v>
      </c>
      <c r="B480" s="1" t="n">
        <v>20040</v>
      </c>
      <c r="C480" s="1" t="inlineStr">
        <is>
          <t>520</t>
        </is>
      </c>
      <c r="D480" s="1" t="inlineStr">
        <is>
          <t xml:space="preserve">4878  </t>
        </is>
      </c>
      <c r="E480" s="1" t="inlineStr">
        <is>
          <t xml:space="preserve">28194768       </t>
        </is>
      </c>
      <c r="F480" s="5" t="inlineStr">
        <is>
          <t>AUTO COLOR CHANGE TEAMSTERZ SURTIDO</t>
        </is>
      </c>
      <c r="G480" t="n">
        <v>1</v>
      </c>
      <c r="H480" s="7" t="n">
        <v>14.9</v>
      </c>
      <c r="I480" s="7" t="n">
        <v>0</v>
      </c>
      <c r="J480" s="7" t="n">
        <v>0</v>
      </c>
      <c r="K480" s="9" t="n">
        <v>0</v>
      </c>
      <c r="L480" s="10" t="n">
        <v>8.84</v>
      </c>
      <c r="M480" s="10" t="n">
        <v>1.43</v>
      </c>
      <c r="N480" t="inlineStr">
        <is>
          <t>1</t>
        </is>
      </c>
      <c r="O480" t="inlineStr">
        <is>
          <t>16</t>
        </is>
      </c>
      <c r="P480" t="inlineStr">
        <is>
          <t xml:space="preserve">86916   </t>
        </is>
      </c>
      <c r="Q480" s="26" t="n">
        <v>8.84</v>
      </c>
      <c r="R480" s="26">
        <f>Q480*G480</f>
        <v/>
      </c>
      <c r="S480" s="26">
        <f>IFERROR(VLOOKUP(E480*1,Tabla[#All],8,0),0)</f>
        <v/>
      </c>
      <c r="T480" s="26">
        <f>S480*G480</f>
        <v/>
      </c>
      <c r="U480" s="26">
        <f>R480-T480</f>
        <v/>
      </c>
      <c r="V480" s="26">
        <f>U480-L480</f>
        <v/>
      </c>
    </row>
    <row r="481">
      <c r="A481" s="11" t="n">
        <v>46208</v>
      </c>
      <c r="B481" s="1" t="n">
        <v>20040</v>
      </c>
      <c r="C481" s="1" t="inlineStr">
        <is>
          <t>533</t>
        </is>
      </c>
      <c r="D481" s="1" t="inlineStr">
        <is>
          <t xml:space="preserve">7682  </t>
        </is>
      </c>
      <c r="E481" s="1" t="inlineStr">
        <is>
          <t xml:space="preserve">29235702       </t>
        </is>
      </c>
      <c r="F481" s="5" t="inlineStr">
        <is>
          <t>INFINITY NADO TROMPO DE BATALLA - METAL C/ ANILLO</t>
        </is>
      </c>
      <c r="G481" t="n">
        <v>1</v>
      </c>
      <c r="H481" s="7" t="n">
        <v>69.90000000000001</v>
      </c>
      <c r="I481" s="7" t="n">
        <v>0</v>
      </c>
      <c r="J481" s="7" t="n">
        <v>0</v>
      </c>
      <c r="K481" s="9" t="n">
        <v>0</v>
      </c>
      <c r="L481" s="10" t="n">
        <v>41.47</v>
      </c>
      <c r="M481" s="10" t="n">
        <v>1.43</v>
      </c>
      <c r="N481" t="inlineStr">
        <is>
          <t>1</t>
        </is>
      </c>
      <c r="O481" t="inlineStr">
        <is>
          <t>16</t>
        </is>
      </c>
      <c r="P481" t="inlineStr">
        <is>
          <t xml:space="preserve">250221  </t>
        </is>
      </c>
      <c r="Q481" s="26" t="n">
        <v>41.47</v>
      </c>
      <c r="R481" s="26">
        <f>Q481*G481</f>
        <v/>
      </c>
      <c r="S481" s="26">
        <f>IFERROR(VLOOKUP(E481*1,Tabla[#All],8,0),0)</f>
        <v/>
      </c>
      <c r="T481" s="26">
        <f>S481*G481</f>
        <v/>
      </c>
      <c r="U481" s="26">
        <f>R481-T481</f>
        <v/>
      </c>
      <c r="V481" s="26">
        <f>U481-L481</f>
        <v/>
      </c>
    </row>
    <row r="482">
      <c r="A482" s="11" t="n">
        <v>46208</v>
      </c>
      <c r="B482" s="1" t="n">
        <v>20040</v>
      </c>
      <c r="C482" s="1" t="inlineStr">
        <is>
          <t>831</t>
        </is>
      </c>
      <c r="D482" s="1" t="inlineStr">
        <is>
          <t xml:space="preserve">8650  </t>
        </is>
      </c>
      <c r="E482" s="1" t="inlineStr">
        <is>
          <t xml:space="preserve">29235706       </t>
        </is>
      </c>
      <c r="F482" s="5" t="inlineStr">
        <is>
          <t>TEAMSTERZ CAMION PARA GUARDAR 12 AUTOS INCL 4 AUTO</t>
        </is>
      </c>
      <c r="G482" t="n">
        <v>1</v>
      </c>
      <c r="H482" s="7" t="n">
        <v>59.9</v>
      </c>
      <c r="I482" s="7" t="n">
        <v>0</v>
      </c>
      <c r="J482" s="7" t="n">
        <v>0</v>
      </c>
      <c r="K482" s="9" t="n">
        <v>0</v>
      </c>
      <c r="L482" s="10" t="n">
        <v>35.53</v>
      </c>
      <c r="M482" s="10" t="n">
        <v>1.43</v>
      </c>
      <c r="N482" t="inlineStr">
        <is>
          <t>1</t>
        </is>
      </c>
      <c r="O482" t="inlineStr">
        <is>
          <t>16</t>
        </is>
      </c>
      <c r="P482" t="inlineStr">
        <is>
          <t xml:space="preserve">0       </t>
        </is>
      </c>
      <c r="Q482" s="26" t="n">
        <v>35.53</v>
      </c>
      <c r="R482" s="26">
        <f>Q482*G482</f>
        <v/>
      </c>
      <c r="S482" s="26">
        <f>IFERROR(VLOOKUP(E482*1,Tabla[#All],8,0),0)</f>
        <v/>
      </c>
      <c r="T482" s="26">
        <f>S482*G482</f>
        <v/>
      </c>
      <c r="U482" s="26">
        <f>R482-T482</f>
        <v/>
      </c>
      <c r="V482" s="26">
        <f>U482-L482</f>
        <v/>
      </c>
    </row>
    <row r="483">
      <c r="A483" s="11" t="n">
        <v>46208</v>
      </c>
      <c r="B483" s="1" t="n">
        <v>20040</v>
      </c>
      <c r="C483" s="1" t="inlineStr">
        <is>
          <t>832</t>
        </is>
      </c>
      <c r="D483" s="1" t="inlineStr">
        <is>
          <t xml:space="preserve">2862  </t>
        </is>
      </c>
      <c r="E483" s="1" t="inlineStr">
        <is>
          <t xml:space="preserve">35685067       </t>
        </is>
      </c>
      <c r="F483" s="5" t="inlineStr">
        <is>
          <t>HOT WHEELS POWER SET 3 EN 1</t>
        </is>
      </c>
      <c r="G483" t="n">
        <v>1</v>
      </c>
      <c r="H483" s="7" t="n">
        <v>49.9</v>
      </c>
      <c r="I483" s="7" t="n">
        <v>0</v>
      </c>
      <c r="J483" s="7" t="n">
        <v>0</v>
      </c>
      <c r="K483" s="9" t="n">
        <v>0</v>
      </c>
      <c r="L483" s="10" t="n">
        <v>29.6</v>
      </c>
      <c r="M483" s="10" t="n">
        <v>1.43</v>
      </c>
      <c r="N483" t="inlineStr">
        <is>
          <t>1</t>
        </is>
      </c>
      <c r="O483" t="inlineStr">
        <is>
          <t>16</t>
        </is>
      </c>
      <c r="P483" t="inlineStr">
        <is>
          <t xml:space="preserve">0       </t>
        </is>
      </c>
      <c r="Q483" s="26" t="n">
        <v>29.6</v>
      </c>
      <c r="R483" s="26">
        <f>Q483*G483</f>
        <v/>
      </c>
      <c r="S483" s="26">
        <f>IFERROR(VLOOKUP(E483*1,Tabla[#All],8,0),0)</f>
        <v/>
      </c>
      <c r="T483" s="26">
        <f>S483*G483</f>
        <v/>
      </c>
      <c r="U483" s="26">
        <f>R483-T483</f>
        <v/>
      </c>
      <c r="V483" s="26">
        <f>U483-L483</f>
        <v/>
      </c>
    </row>
    <row r="484">
      <c r="A484" s="11" t="n">
        <v>46208</v>
      </c>
      <c r="B484" s="1" t="n">
        <v>20041</v>
      </c>
      <c r="C484" s="1" t="inlineStr">
        <is>
          <t>013</t>
        </is>
      </c>
      <c r="D484" s="1" t="inlineStr">
        <is>
          <t>458187</t>
        </is>
      </c>
      <c r="E484" s="1" t="inlineStr">
        <is>
          <t xml:space="preserve">28194770       </t>
        </is>
      </c>
      <c r="F484" s="5" t="inlineStr">
        <is>
          <t>AUTOS DE METAL 3 TEAMSTERZ EN BLISTER</t>
        </is>
      </c>
      <c r="G484" t="n">
        <v>1</v>
      </c>
      <c r="H484" s="7" t="n">
        <v>6.9</v>
      </c>
      <c r="I484" s="7" t="n">
        <v>0</v>
      </c>
      <c r="J484" s="7" t="n">
        <v>0</v>
      </c>
      <c r="K484" s="9" t="n">
        <v>0</v>
      </c>
      <c r="L484" s="10" t="n">
        <v>4.1</v>
      </c>
      <c r="M484" s="10" t="n">
        <v>1.43</v>
      </c>
      <c r="N484" t="inlineStr">
        <is>
          <t>1</t>
        </is>
      </c>
      <c r="O484" t="inlineStr">
        <is>
          <t xml:space="preserve">2 </t>
        </is>
      </c>
      <c r="P484" t="inlineStr">
        <is>
          <t xml:space="preserve">36144   </t>
        </is>
      </c>
      <c r="Q484" s="26" t="n">
        <v>4.09</v>
      </c>
      <c r="R484" s="26">
        <f>Q484*G484</f>
        <v/>
      </c>
      <c r="S484" s="26">
        <f>IFERROR(VLOOKUP(E484*1,Tabla[#All],8,0),0)</f>
        <v/>
      </c>
      <c r="T484" s="26">
        <f>S484*G484</f>
        <v/>
      </c>
      <c r="U484" s="26">
        <f>R484-T484</f>
        <v/>
      </c>
      <c r="V484" s="26">
        <f>U484-L484</f>
        <v/>
      </c>
    </row>
    <row r="485">
      <c r="A485" s="11" t="n">
        <v>46208</v>
      </c>
      <c r="B485" s="1" t="n">
        <v>20041</v>
      </c>
      <c r="C485" s="1" t="inlineStr">
        <is>
          <t>036</t>
        </is>
      </c>
      <c r="D485" s="1" t="inlineStr">
        <is>
          <t>318978</t>
        </is>
      </c>
      <c r="E485" s="1" t="inlineStr">
        <is>
          <t xml:space="preserve">35685067       </t>
        </is>
      </c>
      <c r="F485" s="5" t="inlineStr">
        <is>
          <t>HOT WHEELS POWER SET 3 EN 1</t>
        </is>
      </c>
      <c r="G485" t="n">
        <v>1</v>
      </c>
      <c r="H485" s="7" t="n">
        <v>49.9</v>
      </c>
      <c r="I485" s="7" t="n">
        <v>0</v>
      </c>
      <c r="J485" s="7" t="n">
        <v>0</v>
      </c>
      <c r="K485" s="9" t="n">
        <v>0</v>
      </c>
      <c r="L485" s="10" t="n">
        <v>29.6</v>
      </c>
      <c r="M485" s="10" t="n">
        <v>1.43</v>
      </c>
      <c r="N485" t="inlineStr">
        <is>
          <t>1</t>
        </is>
      </c>
      <c r="O485" t="inlineStr">
        <is>
          <t>16</t>
        </is>
      </c>
      <c r="P485" t="inlineStr">
        <is>
          <t xml:space="preserve">91630   </t>
        </is>
      </c>
      <c r="Q485" s="26" t="n">
        <v>29.6</v>
      </c>
      <c r="R485" s="26">
        <f>Q485*G485</f>
        <v/>
      </c>
      <c r="S485" s="26">
        <f>IFERROR(VLOOKUP(E485*1,Tabla[#All],8,0),0)</f>
        <v/>
      </c>
      <c r="T485" s="26">
        <f>S485*G485</f>
        <v/>
      </c>
      <c r="U485" s="26">
        <f>R485-T485</f>
        <v/>
      </c>
      <c r="V485" s="26">
        <f>U485-L485</f>
        <v/>
      </c>
    </row>
    <row r="486">
      <c r="A486" s="11" t="n">
        <v>46208</v>
      </c>
      <c r="B486" s="1" t="n">
        <v>20041</v>
      </c>
      <c r="C486" s="1" t="inlineStr">
        <is>
          <t>043</t>
        </is>
      </c>
      <c r="D486" s="1" t="inlineStr">
        <is>
          <t xml:space="preserve">75712 </t>
        </is>
      </c>
      <c r="E486" s="1" t="inlineStr">
        <is>
          <t xml:space="preserve">28194769       </t>
        </is>
      </c>
      <c r="F486" s="5" t="inlineStr">
        <is>
          <t>AUTOS DE METAL 3 TEAMSTERZ PACK DE 2</t>
        </is>
      </c>
      <c r="G486" t="n">
        <v>1</v>
      </c>
      <c r="H486" s="7" t="n">
        <v>13.8</v>
      </c>
      <c r="I486" s="7" t="n">
        <v>0</v>
      </c>
      <c r="J486" s="7" t="n">
        <v>0</v>
      </c>
      <c r="K486" s="9" t="n">
        <v>0</v>
      </c>
      <c r="L486" s="10" t="n">
        <v>8.18</v>
      </c>
      <c r="M486" s="10" t="n">
        <v>1.43</v>
      </c>
      <c r="N486" t="inlineStr">
        <is>
          <t>1</t>
        </is>
      </c>
      <c r="O486" t="inlineStr">
        <is>
          <t xml:space="preserve">2 </t>
        </is>
      </c>
      <c r="P486" t="inlineStr">
        <is>
          <t xml:space="preserve">241916  </t>
        </is>
      </c>
      <c r="Q486" s="26" t="n">
        <v>8.19</v>
      </c>
      <c r="R486" s="26">
        <f>Q486*G486</f>
        <v/>
      </c>
      <c r="S486" s="26">
        <f>IFERROR(VLOOKUP(E486*1,Tabla[#All],8,0),0)</f>
        <v/>
      </c>
      <c r="T486" s="26">
        <f>S486*G486</f>
        <v/>
      </c>
      <c r="U486" s="26">
        <f>R486-T486</f>
        <v/>
      </c>
      <c r="V486" s="26">
        <f>U486-L486</f>
        <v/>
      </c>
    </row>
    <row r="487">
      <c r="A487" s="11" t="n">
        <v>46208</v>
      </c>
      <c r="B487" s="1" t="n">
        <v>20041</v>
      </c>
      <c r="C487" s="1" t="inlineStr">
        <is>
          <t>043</t>
        </is>
      </c>
      <c r="D487" s="1" t="inlineStr">
        <is>
          <t xml:space="preserve">75712 </t>
        </is>
      </c>
      <c r="E487" s="1" t="inlineStr">
        <is>
          <t xml:space="preserve">28194770       </t>
        </is>
      </c>
      <c r="F487" s="5" t="inlineStr">
        <is>
          <t>AUTOS DE METAL 3 TEAMSTERZ EN BLISTER</t>
        </is>
      </c>
      <c r="G487" t="n">
        <v>1</v>
      </c>
      <c r="H487" s="7" t="n">
        <v>6.9</v>
      </c>
      <c r="I487" s="7" t="n">
        <v>0</v>
      </c>
      <c r="J487" s="7" t="n">
        <v>0</v>
      </c>
      <c r="K487" s="9" t="n">
        <v>0</v>
      </c>
      <c r="L487" s="10" t="n">
        <v>4.1</v>
      </c>
      <c r="M487" s="10" t="n">
        <v>1.43</v>
      </c>
      <c r="N487" t="inlineStr">
        <is>
          <t>1</t>
        </is>
      </c>
      <c r="O487" t="inlineStr">
        <is>
          <t xml:space="preserve">2 </t>
        </is>
      </c>
      <c r="P487" t="inlineStr">
        <is>
          <t xml:space="preserve">241916  </t>
        </is>
      </c>
      <c r="Q487" s="26" t="n">
        <v>4.09</v>
      </c>
      <c r="R487" s="26">
        <f>Q487*G487</f>
        <v/>
      </c>
      <c r="S487" s="26">
        <f>IFERROR(VLOOKUP(E487*1,Tabla[#All],8,0),0)</f>
        <v/>
      </c>
      <c r="T487" s="26">
        <f>S487*G487</f>
        <v/>
      </c>
      <c r="U487" s="26">
        <f>R487-T487</f>
        <v/>
      </c>
      <c r="V487" s="26">
        <f>U487-L487</f>
        <v/>
      </c>
    </row>
    <row r="488">
      <c r="A488" s="11" t="n">
        <v>46208</v>
      </c>
      <c r="B488" s="1" t="n">
        <v>20041</v>
      </c>
      <c r="C488" s="1" t="inlineStr">
        <is>
          <t>043</t>
        </is>
      </c>
      <c r="D488" s="1" t="inlineStr">
        <is>
          <t xml:space="preserve">75715 </t>
        </is>
      </c>
      <c r="E488" s="1" t="inlineStr">
        <is>
          <t xml:space="preserve">28194770       </t>
        </is>
      </c>
      <c r="F488" s="5" t="inlineStr">
        <is>
          <t>AUTOS DE METAL 3 TEAMSTERZ EN BLISTER</t>
        </is>
      </c>
      <c r="G488" t="n">
        <v>1</v>
      </c>
      <c r="H488" s="7" t="n">
        <v>6.9</v>
      </c>
      <c r="I488" s="7" t="n">
        <v>0</v>
      </c>
      <c r="J488" s="7" t="n">
        <v>0</v>
      </c>
      <c r="K488" s="9" t="n">
        <v>0</v>
      </c>
      <c r="L488" s="10" t="n">
        <v>4.1</v>
      </c>
      <c r="M488" s="10" t="n">
        <v>1.43</v>
      </c>
      <c r="N488" t="inlineStr">
        <is>
          <t>1</t>
        </is>
      </c>
      <c r="O488" t="inlineStr">
        <is>
          <t>16</t>
        </is>
      </c>
      <c r="P488" t="inlineStr">
        <is>
          <t xml:space="preserve">241916  </t>
        </is>
      </c>
      <c r="Q488" s="26" t="n">
        <v>4.09</v>
      </c>
      <c r="R488" s="26">
        <f>Q488*G488</f>
        <v/>
      </c>
      <c r="S488" s="26">
        <f>IFERROR(VLOOKUP(E488*1,Tabla[#All],8,0),0)</f>
        <v/>
      </c>
      <c r="T488" s="26">
        <f>S488*G488</f>
        <v/>
      </c>
      <c r="U488" s="26">
        <f>R488-T488</f>
        <v/>
      </c>
      <c r="V488" s="26">
        <f>U488-L488</f>
        <v/>
      </c>
    </row>
    <row r="489">
      <c r="A489" s="11" t="n">
        <v>46208</v>
      </c>
      <c r="B489" s="1" t="n">
        <v>20043</v>
      </c>
      <c r="C489" s="1" t="inlineStr">
        <is>
          <t>014</t>
        </is>
      </c>
      <c r="D489" s="1" t="inlineStr">
        <is>
          <t>137192</t>
        </is>
      </c>
      <c r="E489" s="1" t="inlineStr">
        <is>
          <t xml:space="preserve">32457099       </t>
        </is>
      </c>
      <c r="F489" s="5" t="inlineStr">
        <is>
          <t>TMZ BEAST MACHINES MONSTER JAWS A FRICCION BLISTER</t>
        </is>
      </c>
      <c r="G489" t="n">
        <v>1</v>
      </c>
      <c r="H489" s="7" t="n">
        <v>19.9</v>
      </c>
      <c r="I489" s="7" t="n">
        <v>0</v>
      </c>
      <c r="J489" s="7" t="n">
        <v>0</v>
      </c>
      <c r="K489" s="9" t="n">
        <v>0</v>
      </c>
      <c r="L489" s="10" t="n">
        <v>11.8</v>
      </c>
      <c r="M489" s="10" t="n">
        <v>1.43</v>
      </c>
      <c r="N489" t="inlineStr">
        <is>
          <t>1</t>
        </is>
      </c>
      <c r="O489" t="inlineStr">
        <is>
          <t>16</t>
        </is>
      </c>
      <c r="P489" t="inlineStr">
        <is>
          <t xml:space="preserve">20505   </t>
        </is>
      </c>
      <c r="Q489" s="26" t="n">
        <v>11.81</v>
      </c>
      <c r="R489" s="26">
        <f>Q489*G489</f>
        <v/>
      </c>
      <c r="S489" s="26">
        <f>IFERROR(VLOOKUP(E489*1,Tabla[#All],8,0),0)</f>
        <v/>
      </c>
      <c r="T489" s="26">
        <f>S489*G489</f>
        <v/>
      </c>
      <c r="U489" s="26">
        <f>R489-T489</f>
        <v/>
      </c>
      <c r="V489" s="26">
        <f>U489-L489</f>
        <v/>
      </c>
    </row>
    <row r="490">
      <c r="A490" s="11" t="n">
        <v>46208</v>
      </c>
      <c r="B490" s="1" t="n">
        <v>20043</v>
      </c>
      <c r="C490" s="1" t="inlineStr">
        <is>
          <t>051</t>
        </is>
      </c>
      <c r="D490" s="1" t="inlineStr">
        <is>
          <t>105576</t>
        </is>
      </c>
      <c r="E490" s="1" t="inlineStr">
        <is>
          <t xml:space="preserve">28194770       </t>
        </is>
      </c>
      <c r="F490" s="5" t="inlineStr">
        <is>
          <t>AUTOS DE METAL 3 TEAMSTERZ EN BLISTER</t>
        </is>
      </c>
      <c r="G490" t="n">
        <v>1</v>
      </c>
      <c r="H490" s="7" t="n">
        <v>6.9</v>
      </c>
      <c r="I490" s="7" t="n">
        <v>0</v>
      </c>
      <c r="J490" s="7" t="n">
        <v>0</v>
      </c>
      <c r="K490" s="9" t="n">
        <v>0</v>
      </c>
      <c r="L490" s="10" t="n">
        <v>4.1</v>
      </c>
      <c r="M490" s="10" t="n">
        <v>1.43</v>
      </c>
      <c r="N490" t="inlineStr">
        <is>
          <t>1</t>
        </is>
      </c>
      <c r="O490" t="inlineStr">
        <is>
          <t xml:space="preserve">3 </t>
        </is>
      </c>
      <c r="P490" t="inlineStr">
        <is>
          <t xml:space="preserve">30705   </t>
        </is>
      </c>
      <c r="Q490" s="26" t="n">
        <v>4.09</v>
      </c>
      <c r="R490" s="26">
        <f>Q490*G490</f>
        <v/>
      </c>
      <c r="S490" s="26">
        <f>IFERROR(VLOOKUP(E490*1,Tabla[#All],8,0),0)</f>
        <v/>
      </c>
      <c r="T490" s="26">
        <f>S490*G490</f>
        <v/>
      </c>
      <c r="U490" s="26">
        <f>R490-T490</f>
        <v/>
      </c>
      <c r="V490" s="26">
        <f>U490-L490</f>
        <v/>
      </c>
    </row>
    <row r="491">
      <c r="A491" s="11" t="n">
        <v>46208</v>
      </c>
      <c r="B491" s="1" t="n">
        <v>20043</v>
      </c>
      <c r="C491" s="1" t="inlineStr">
        <is>
          <t>072</t>
        </is>
      </c>
      <c r="D491" s="1" t="inlineStr">
        <is>
          <t xml:space="preserve">61556 </t>
        </is>
      </c>
      <c r="E491" s="1" t="inlineStr">
        <is>
          <t xml:space="preserve">28194768       </t>
        </is>
      </c>
      <c r="F491" s="5" t="inlineStr">
        <is>
          <t>AUTO COLOR CHANGE TEAMSTERZ SURTIDO</t>
        </is>
      </c>
      <c r="G491" t="n">
        <v>1</v>
      </c>
      <c r="H491" s="7" t="n">
        <v>14.9</v>
      </c>
      <c r="I491" s="7" t="n">
        <v>0</v>
      </c>
      <c r="J491" s="7" t="n">
        <v>0</v>
      </c>
      <c r="K491" s="9" t="n">
        <v>0</v>
      </c>
      <c r="L491" s="10" t="n">
        <v>8.84</v>
      </c>
      <c r="M491" s="10" t="n">
        <v>1.43</v>
      </c>
      <c r="N491" t="inlineStr">
        <is>
          <t>1</t>
        </is>
      </c>
      <c r="O491" t="inlineStr">
        <is>
          <t>16</t>
        </is>
      </c>
      <c r="P491" t="inlineStr">
        <is>
          <t xml:space="preserve">16988   </t>
        </is>
      </c>
      <c r="Q491" s="26" t="n">
        <v>8.84</v>
      </c>
      <c r="R491" s="26">
        <f>Q491*G491</f>
        <v/>
      </c>
      <c r="S491" s="26">
        <f>IFERROR(VLOOKUP(E491*1,Tabla[#All],8,0),0)</f>
        <v/>
      </c>
      <c r="T491" s="26">
        <f>S491*G491</f>
        <v/>
      </c>
      <c r="U491" s="26">
        <f>R491-T491</f>
        <v/>
      </c>
      <c r="V491" s="26">
        <f>U491-L491</f>
        <v/>
      </c>
    </row>
    <row r="492">
      <c r="A492" s="11" t="n">
        <v>46208</v>
      </c>
      <c r="B492" s="1" t="n">
        <v>20047</v>
      </c>
      <c r="C492" s="1" t="inlineStr">
        <is>
          <t>012</t>
        </is>
      </c>
      <c r="D492" s="1" t="inlineStr">
        <is>
          <t>331228</t>
        </is>
      </c>
      <c r="E492" s="1" t="inlineStr">
        <is>
          <t xml:space="preserve">28194770       </t>
        </is>
      </c>
      <c r="F492" s="5" t="inlineStr">
        <is>
          <t>AUTOS DE METAL 3 TEAMSTERZ EN BLISTER</t>
        </is>
      </c>
      <c r="G492" t="n">
        <v>1</v>
      </c>
      <c r="H492" s="7" t="n">
        <v>6.9</v>
      </c>
      <c r="I492" s="7" t="n">
        <v>0</v>
      </c>
      <c r="J492" s="7" t="n">
        <v>0</v>
      </c>
      <c r="K492" s="9" t="n">
        <v>0</v>
      </c>
      <c r="L492" s="10" t="n">
        <v>4.1</v>
      </c>
      <c r="M492" s="10" t="n">
        <v>1.43</v>
      </c>
      <c r="N492" t="inlineStr">
        <is>
          <t>1</t>
        </is>
      </c>
      <c r="O492" t="inlineStr">
        <is>
          <t xml:space="preserve">2 </t>
        </is>
      </c>
      <c r="P492" t="inlineStr">
        <is>
          <t xml:space="preserve">78210   </t>
        </is>
      </c>
      <c r="Q492" s="26" t="n">
        <v>4.09</v>
      </c>
      <c r="R492" s="26">
        <f>Q492*G492</f>
        <v/>
      </c>
      <c r="S492" s="26">
        <f>IFERROR(VLOOKUP(E492*1,Tabla[#All],8,0),0)</f>
        <v/>
      </c>
      <c r="T492" s="26">
        <f>S492*G492</f>
        <v/>
      </c>
      <c r="U492" s="26">
        <f>R492-T492</f>
        <v/>
      </c>
      <c r="V492" s="26">
        <f>U492-L492</f>
        <v/>
      </c>
    </row>
    <row r="493">
      <c r="A493" s="11" t="n">
        <v>46208</v>
      </c>
      <c r="B493" s="1" t="n">
        <v>20047</v>
      </c>
      <c r="C493" s="1" t="inlineStr">
        <is>
          <t>012</t>
        </is>
      </c>
      <c r="D493" s="1" t="inlineStr">
        <is>
          <t>331228</t>
        </is>
      </c>
      <c r="E493" s="1" t="inlineStr">
        <is>
          <t xml:space="preserve">28194770       </t>
        </is>
      </c>
      <c r="F493" s="5" t="inlineStr">
        <is>
          <t>AUTOS DE METAL 3 TEAMSTERZ EN BLISTER</t>
        </is>
      </c>
      <c r="G493" t="n">
        <v>1</v>
      </c>
      <c r="H493" s="7" t="n">
        <v>6.9</v>
      </c>
      <c r="I493" s="7" t="n">
        <v>0</v>
      </c>
      <c r="J493" s="7" t="n">
        <v>0</v>
      </c>
      <c r="K493" s="9" t="n">
        <v>0</v>
      </c>
      <c r="L493" s="10" t="n">
        <v>4.1</v>
      </c>
      <c r="M493" s="10" t="n">
        <v>1.43</v>
      </c>
      <c r="N493" t="inlineStr">
        <is>
          <t>1</t>
        </is>
      </c>
      <c r="O493" t="inlineStr">
        <is>
          <t xml:space="preserve">2 </t>
        </is>
      </c>
      <c r="P493" t="inlineStr">
        <is>
          <t xml:space="preserve">78210   </t>
        </is>
      </c>
      <c r="Q493" s="26" t="n">
        <v>4.09</v>
      </c>
      <c r="R493" s="26">
        <f>Q493*G493</f>
        <v/>
      </c>
      <c r="S493" s="26">
        <f>IFERROR(VLOOKUP(E493*1,Tabla[#All],8,0),0)</f>
        <v/>
      </c>
      <c r="T493" s="26">
        <f>S493*G493</f>
        <v/>
      </c>
      <c r="U493" s="26">
        <f>R493-T493</f>
        <v/>
      </c>
      <c r="V493" s="26">
        <f>U493-L493</f>
        <v/>
      </c>
    </row>
    <row r="494">
      <c r="A494" s="11" t="n">
        <v>46208</v>
      </c>
      <c r="B494" s="1" t="n">
        <v>20047</v>
      </c>
      <c r="C494" s="1" t="inlineStr">
        <is>
          <t>012</t>
        </is>
      </c>
      <c r="D494" s="1" t="inlineStr">
        <is>
          <t>331228</t>
        </is>
      </c>
      <c r="E494" s="1" t="inlineStr">
        <is>
          <t xml:space="preserve">28194770       </t>
        </is>
      </c>
      <c r="F494" s="5" t="inlineStr">
        <is>
          <t>AUTOS DE METAL 3 TEAMSTERZ EN BLISTER</t>
        </is>
      </c>
      <c r="G494" t="n">
        <v>1</v>
      </c>
      <c r="H494" s="7" t="n">
        <v>6.9</v>
      </c>
      <c r="I494" s="7" t="n">
        <v>0</v>
      </c>
      <c r="J494" s="7" t="n">
        <v>0</v>
      </c>
      <c r="K494" s="9" t="n">
        <v>0</v>
      </c>
      <c r="L494" s="10" t="n">
        <v>4.1</v>
      </c>
      <c r="M494" s="10" t="n">
        <v>1.43</v>
      </c>
      <c r="N494" t="inlineStr">
        <is>
          <t>1</t>
        </is>
      </c>
      <c r="O494" t="inlineStr">
        <is>
          <t xml:space="preserve">2 </t>
        </is>
      </c>
      <c r="P494" t="inlineStr">
        <is>
          <t xml:space="preserve">78210   </t>
        </is>
      </c>
      <c r="Q494" s="26" t="n">
        <v>4.09</v>
      </c>
      <c r="R494" s="26">
        <f>Q494*G494</f>
        <v/>
      </c>
      <c r="S494" s="26">
        <f>IFERROR(VLOOKUP(E494*1,Tabla[#All],8,0),0)</f>
        <v/>
      </c>
      <c r="T494" s="26">
        <f>S494*G494</f>
        <v/>
      </c>
      <c r="U494" s="26">
        <f>R494-T494</f>
        <v/>
      </c>
      <c r="V494" s="26">
        <f>U494-L494</f>
        <v/>
      </c>
    </row>
    <row r="495">
      <c r="A495" s="11" t="n">
        <v>46208</v>
      </c>
      <c r="B495" s="1" t="n">
        <v>20047</v>
      </c>
      <c r="C495" s="1" t="inlineStr">
        <is>
          <t>502</t>
        </is>
      </c>
      <c r="D495" s="1" t="inlineStr">
        <is>
          <t xml:space="preserve">3992  </t>
        </is>
      </c>
      <c r="E495" s="1" t="inlineStr">
        <is>
          <t xml:space="preserve">28194770       </t>
        </is>
      </c>
      <c r="F495" s="5" t="inlineStr">
        <is>
          <t>AUTOS DE METAL 3 TEAMSTERZ EN BLISTER</t>
        </is>
      </c>
      <c r="G495" t="n">
        <v>2</v>
      </c>
      <c r="H495" s="7" t="n">
        <v>13.8</v>
      </c>
      <c r="I495" s="7" t="n">
        <v>0</v>
      </c>
      <c r="J495" s="7" t="n">
        <v>0</v>
      </c>
      <c r="K495" s="9" t="n">
        <v>0</v>
      </c>
      <c r="L495" s="10" t="n">
        <v>8.18</v>
      </c>
      <c r="M495" s="10" t="n">
        <v>1.43</v>
      </c>
      <c r="N495" t="inlineStr">
        <is>
          <t>1</t>
        </is>
      </c>
      <c r="O495" t="inlineStr">
        <is>
          <t>16</t>
        </is>
      </c>
      <c r="P495" t="inlineStr">
        <is>
          <t xml:space="preserve">249995  </t>
        </is>
      </c>
      <c r="Q495" s="26" t="n">
        <v>4.09</v>
      </c>
      <c r="R495" s="26">
        <f>Q495*G495</f>
        <v/>
      </c>
      <c r="S495" s="26">
        <f>IFERROR(VLOOKUP(E495*1,Tabla[#All],8,0),0)</f>
        <v/>
      </c>
      <c r="T495" s="26">
        <f>S495*G495</f>
        <v/>
      </c>
      <c r="U495" s="26">
        <f>R495-T495</f>
        <v/>
      </c>
      <c r="V495" s="26">
        <f>U495-L495</f>
        <v/>
      </c>
    </row>
    <row r="496">
      <c r="A496" s="11" t="n">
        <v>46208</v>
      </c>
      <c r="B496" s="1" t="n">
        <v>20048</v>
      </c>
      <c r="C496" s="1" t="inlineStr">
        <is>
          <t>017</t>
        </is>
      </c>
      <c r="D496" s="1" t="inlineStr">
        <is>
          <t>166146</t>
        </is>
      </c>
      <c r="E496" s="1" t="inlineStr">
        <is>
          <t xml:space="preserve">28194769       </t>
        </is>
      </c>
      <c r="F496" s="5" t="inlineStr">
        <is>
          <t>AUTOS DE METAL 3 TEAMSTERZ PACK DE 2</t>
        </is>
      </c>
      <c r="G496" t="n">
        <v>1</v>
      </c>
      <c r="H496" s="7" t="n">
        <v>13.8</v>
      </c>
      <c r="I496" s="7" t="n">
        <v>0</v>
      </c>
      <c r="J496" s="7" t="n">
        <v>0</v>
      </c>
      <c r="K496" s="9" t="n">
        <v>0</v>
      </c>
      <c r="L496" s="10" t="n">
        <v>8.18</v>
      </c>
      <c r="M496" s="10" t="n">
        <v>1.43</v>
      </c>
      <c r="N496" t="inlineStr">
        <is>
          <t>1</t>
        </is>
      </c>
      <c r="O496" t="inlineStr">
        <is>
          <t>16</t>
        </is>
      </c>
      <c r="P496" t="inlineStr">
        <is>
          <t xml:space="preserve">80084   </t>
        </is>
      </c>
      <c r="Q496" s="26" t="n">
        <v>8.19</v>
      </c>
      <c r="R496" s="26">
        <f>Q496*G496</f>
        <v/>
      </c>
      <c r="S496" s="26">
        <f>IFERROR(VLOOKUP(E496*1,Tabla[#All],8,0),0)</f>
        <v/>
      </c>
      <c r="T496" s="26">
        <f>S496*G496</f>
        <v/>
      </c>
      <c r="U496" s="26">
        <f>R496-T496</f>
        <v/>
      </c>
      <c r="V496" s="26">
        <f>U496-L496</f>
        <v/>
      </c>
    </row>
    <row r="497">
      <c r="A497" s="11" t="n">
        <v>46208</v>
      </c>
      <c r="B497" s="1" t="n">
        <v>20048</v>
      </c>
      <c r="C497" s="1" t="inlineStr">
        <is>
          <t>017</t>
        </is>
      </c>
      <c r="D497" s="1" t="inlineStr">
        <is>
          <t>166146</t>
        </is>
      </c>
      <c r="E497" s="1" t="inlineStr">
        <is>
          <t xml:space="preserve">28194769       </t>
        </is>
      </c>
      <c r="F497" s="5" t="inlineStr">
        <is>
          <t>AUTOS DE METAL 3 TEAMSTERZ PACK DE 2</t>
        </is>
      </c>
      <c r="G497" t="n">
        <v>1</v>
      </c>
      <c r="H497" s="7" t="n">
        <v>13.8</v>
      </c>
      <c r="I497" s="7" t="n">
        <v>0</v>
      </c>
      <c r="J497" s="7" t="n">
        <v>0</v>
      </c>
      <c r="K497" s="9" t="n">
        <v>0</v>
      </c>
      <c r="L497" s="10" t="n">
        <v>8.18</v>
      </c>
      <c r="M497" s="10" t="n">
        <v>1.43</v>
      </c>
      <c r="N497" t="inlineStr">
        <is>
          <t>1</t>
        </is>
      </c>
      <c r="O497" t="inlineStr">
        <is>
          <t>16</t>
        </is>
      </c>
      <c r="P497" t="inlineStr">
        <is>
          <t xml:space="preserve">80084   </t>
        </is>
      </c>
      <c r="Q497" s="26" t="n">
        <v>8.19</v>
      </c>
      <c r="R497" s="26">
        <f>Q497*G497</f>
        <v/>
      </c>
      <c r="S497" s="26">
        <f>IFERROR(VLOOKUP(E497*1,Tabla[#All],8,0),0)</f>
        <v/>
      </c>
      <c r="T497" s="26">
        <f>S497*G497</f>
        <v/>
      </c>
      <c r="U497" s="26">
        <f>R497-T497</f>
        <v/>
      </c>
      <c r="V497" s="26">
        <f>U497-L497</f>
        <v/>
      </c>
    </row>
    <row r="498">
      <c r="A498" s="11" t="n">
        <v>46208</v>
      </c>
      <c r="B498" s="1" t="n">
        <v>20048</v>
      </c>
      <c r="C498" s="1" t="inlineStr">
        <is>
          <t>027</t>
        </is>
      </c>
      <c r="D498" s="1" t="inlineStr">
        <is>
          <t>321981</t>
        </is>
      </c>
      <c r="E498" s="1" t="inlineStr">
        <is>
          <t xml:space="preserve">32457099       </t>
        </is>
      </c>
      <c r="F498" s="5" t="inlineStr">
        <is>
          <t>TMZ BEAST MACHINES MONSTER JAWS A FRICCION BLISTER</t>
        </is>
      </c>
      <c r="G498" t="n">
        <v>1</v>
      </c>
      <c r="H498" s="7" t="n">
        <v>19.9</v>
      </c>
      <c r="I498" s="7" t="n">
        <v>0</v>
      </c>
      <c r="J498" s="7" t="n">
        <v>0</v>
      </c>
      <c r="K498" s="9" t="n">
        <v>0</v>
      </c>
      <c r="L498" s="10" t="n">
        <v>11.8</v>
      </c>
      <c r="M498" s="10" t="n">
        <v>1.43</v>
      </c>
      <c r="N498" t="inlineStr">
        <is>
          <t>1</t>
        </is>
      </c>
      <c r="O498" t="inlineStr">
        <is>
          <t>16</t>
        </is>
      </c>
      <c r="P498" t="inlineStr">
        <is>
          <t xml:space="preserve">45117   </t>
        </is>
      </c>
      <c r="Q498" s="26" t="n">
        <v>11.81</v>
      </c>
      <c r="R498" s="26">
        <f>Q498*G498</f>
        <v/>
      </c>
      <c r="S498" s="26">
        <f>IFERROR(VLOOKUP(E498*1,Tabla[#All],8,0),0)</f>
        <v/>
      </c>
      <c r="T498" s="26">
        <f>S498*G498</f>
        <v/>
      </c>
      <c r="U498" s="26">
        <f>R498-T498</f>
        <v/>
      </c>
      <c r="V498" s="26">
        <f>U498-L498</f>
        <v/>
      </c>
    </row>
    <row r="499">
      <c r="A499" s="11" t="n">
        <v>46208</v>
      </c>
      <c r="B499" s="1" t="n">
        <v>20048</v>
      </c>
      <c r="C499" s="1" t="inlineStr">
        <is>
          <t>515</t>
        </is>
      </c>
      <c r="D499" s="1" t="inlineStr">
        <is>
          <t xml:space="preserve">1421  </t>
        </is>
      </c>
      <c r="E499" s="1" t="inlineStr">
        <is>
          <t xml:space="preserve">28194783       </t>
        </is>
      </c>
      <c r="F499" s="5" t="inlineStr">
        <is>
          <t>SET DE BATALLA INFINITY NADO CON 2 TROMPOS</t>
        </is>
      </c>
      <c r="G499" t="n">
        <v>1</v>
      </c>
      <c r="H499" s="7" t="n">
        <v>159</v>
      </c>
      <c r="I499" s="7" t="n">
        <v>0</v>
      </c>
      <c r="J499" s="7" t="n">
        <v>0</v>
      </c>
      <c r="K499" s="9" t="n">
        <v>0</v>
      </c>
      <c r="L499" s="10" t="n">
        <v>94.33</v>
      </c>
      <c r="M499" s="10" t="n">
        <v>1.43</v>
      </c>
      <c r="N499" t="inlineStr">
        <is>
          <t>1</t>
        </is>
      </c>
      <c r="O499" t="inlineStr">
        <is>
          <t>16</t>
        </is>
      </c>
      <c r="P499" t="inlineStr">
        <is>
          <t xml:space="preserve">102671  </t>
        </is>
      </c>
      <c r="Q499" s="26" t="n">
        <v>94.31999999999999</v>
      </c>
      <c r="R499" s="26">
        <f>Q499*G499</f>
        <v/>
      </c>
      <c r="S499" s="26">
        <f>IFERROR(VLOOKUP(E499*1,Tabla[#All],8,0),0)</f>
        <v/>
      </c>
      <c r="T499" s="26">
        <f>S499*G499</f>
        <v/>
      </c>
      <c r="U499" s="26">
        <f>R499-T499</f>
        <v/>
      </c>
      <c r="V499" s="26">
        <f>U499-L499</f>
        <v/>
      </c>
    </row>
    <row r="500">
      <c r="A500" s="11" t="n">
        <v>46208</v>
      </c>
      <c r="B500" s="1" t="n">
        <v>20048</v>
      </c>
      <c r="C500" s="1" t="inlineStr">
        <is>
          <t>800</t>
        </is>
      </c>
      <c r="D500" s="1" t="inlineStr">
        <is>
          <t xml:space="preserve">3573  </t>
        </is>
      </c>
      <c r="E500" s="1" t="inlineStr">
        <is>
          <t xml:space="preserve">28194770       </t>
        </is>
      </c>
      <c r="F500" s="5" t="inlineStr">
        <is>
          <t>AUTOS DE METAL 3 TEAMSTERZ EN BLISTER</t>
        </is>
      </c>
      <c r="G500" t="n">
        <v>1</v>
      </c>
      <c r="H500" s="7" t="n">
        <v>6.9</v>
      </c>
      <c r="I500" s="7" t="n">
        <v>0</v>
      </c>
      <c r="J500" s="7" t="n">
        <v>0</v>
      </c>
      <c r="K500" s="9" t="n">
        <v>0</v>
      </c>
      <c r="L500" s="10" t="n">
        <v>4.1</v>
      </c>
      <c r="M500" s="10" t="n">
        <v>1.43</v>
      </c>
      <c r="N500" t="inlineStr">
        <is>
          <t>1</t>
        </is>
      </c>
      <c r="O500" t="inlineStr">
        <is>
          <t>16</t>
        </is>
      </c>
      <c r="P500" t="inlineStr">
        <is>
          <t xml:space="preserve">0       </t>
        </is>
      </c>
      <c r="Q500" s="26" t="n">
        <v>4.09</v>
      </c>
      <c r="R500" s="26">
        <f>Q500*G500</f>
        <v/>
      </c>
      <c r="S500" s="26">
        <f>IFERROR(VLOOKUP(E500*1,Tabla[#All],8,0),0)</f>
        <v/>
      </c>
      <c r="T500" s="26">
        <f>S500*G500</f>
        <v/>
      </c>
      <c r="U500" s="26">
        <f>R500-T500</f>
        <v/>
      </c>
      <c r="V500" s="26">
        <f>U500-L500</f>
        <v/>
      </c>
    </row>
    <row r="501">
      <c r="A501" s="11" t="n">
        <v>46208</v>
      </c>
      <c r="B501" s="1" t="n">
        <v>20048</v>
      </c>
      <c r="C501" s="1" t="inlineStr">
        <is>
          <t>800</t>
        </is>
      </c>
      <c r="D501" s="1" t="inlineStr">
        <is>
          <t xml:space="preserve">3573  </t>
        </is>
      </c>
      <c r="E501" s="1" t="inlineStr">
        <is>
          <t xml:space="preserve">28194770       </t>
        </is>
      </c>
      <c r="F501" s="5" t="inlineStr">
        <is>
          <t>AUTOS DE METAL 3 TEAMSTERZ EN BLISTER</t>
        </is>
      </c>
      <c r="G501" t="n">
        <v>1</v>
      </c>
      <c r="H501" s="7" t="n">
        <v>6.9</v>
      </c>
      <c r="I501" s="7" t="n">
        <v>0</v>
      </c>
      <c r="J501" s="7" t="n">
        <v>0</v>
      </c>
      <c r="K501" s="9" t="n">
        <v>0</v>
      </c>
      <c r="L501" s="10" t="n">
        <v>4.1</v>
      </c>
      <c r="M501" s="10" t="n">
        <v>1.43</v>
      </c>
      <c r="N501" t="inlineStr">
        <is>
          <t>1</t>
        </is>
      </c>
      <c r="O501" t="inlineStr">
        <is>
          <t>16</t>
        </is>
      </c>
      <c r="P501" t="inlineStr">
        <is>
          <t xml:space="preserve">0       </t>
        </is>
      </c>
      <c r="Q501" s="26" t="n">
        <v>4.09</v>
      </c>
      <c r="R501" s="26">
        <f>Q501*G501</f>
        <v/>
      </c>
      <c r="S501" s="26">
        <f>IFERROR(VLOOKUP(E501*1,Tabla[#All],8,0),0)</f>
        <v/>
      </c>
      <c r="T501" s="26">
        <f>S501*G501</f>
        <v/>
      </c>
      <c r="U501" s="26">
        <f>R501-T501</f>
        <v/>
      </c>
      <c r="V501" s="26">
        <f>U501-L501</f>
        <v/>
      </c>
    </row>
    <row r="502">
      <c r="A502" s="11" t="n">
        <v>46208</v>
      </c>
      <c r="B502" s="1" t="n">
        <v>20048</v>
      </c>
      <c r="C502" s="1" t="inlineStr">
        <is>
          <t>800</t>
        </is>
      </c>
      <c r="D502" s="1" t="inlineStr">
        <is>
          <t xml:space="preserve">3573  </t>
        </is>
      </c>
      <c r="E502" s="1" t="inlineStr">
        <is>
          <t xml:space="preserve">32457111       </t>
        </is>
      </c>
      <c r="F502" s="5" t="inlineStr">
        <is>
          <t>TMZ BEAST MACHINES MONSTER JAWS A FRICCION PACK DE</t>
        </is>
      </c>
      <c r="G502" t="n">
        <v>1</v>
      </c>
      <c r="H502" s="7" t="n">
        <v>74.90000000000001</v>
      </c>
      <c r="I502" s="7" t="n">
        <v>0</v>
      </c>
      <c r="J502" s="7" t="n">
        <v>0</v>
      </c>
      <c r="K502" s="9" t="n">
        <v>0</v>
      </c>
      <c r="L502" s="10" t="n">
        <v>44.43</v>
      </c>
      <c r="M502" s="10" t="n">
        <v>1.43</v>
      </c>
      <c r="N502" t="inlineStr">
        <is>
          <t>1</t>
        </is>
      </c>
      <c r="O502" t="inlineStr">
        <is>
          <t>16</t>
        </is>
      </c>
      <c r="P502" t="inlineStr">
        <is>
          <t xml:space="preserve">0       </t>
        </is>
      </c>
      <c r="Q502" s="26" t="n">
        <v>44.43</v>
      </c>
      <c r="R502" s="26">
        <f>Q502*G502</f>
        <v/>
      </c>
      <c r="S502" s="26">
        <f>IFERROR(VLOOKUP(E502*1,Tabla[#All],8,0),0)</f>
        <v/>
      </c>
      <c r="T502" s="26">
        <f>S502*G502</f>
        <v/>
      </c>
      <c r="U502" s="26">
        <f>R502-T502</f>
        <v/>
      </c>
      <c r="V502" s="26">
        <f>U502-L502</f>
        <v/>
      </c>
    </row>
    <row r="503">
      <c r="A503" s="11" t="n">
        <v>46208</v>
      </c>
      <c r="B503" s="1" t="n">
        <v>20048</v>
      </c>
      <c r="C503" s="1" t="inlineStr">
        <is>
          <t>800</t>
        </is>
      </c>
      <c r="D503" s="1" t="inlineStr">
        <is>
          <t xml:space="preserve">3648  </t>
        </is>
      </c>
      <c r="E503" s="1" t="inlineStr">
        <is>
          <t xml:space="preserve">28194769       </t>
        </is>
      </c>
      <c r="F503" s="5" t="inlineStr">
        <is>
          <t>AUTOS DE METAL 3 TEAMSTERZ PACK DE 2</t>
        </is>
      </c>
      <c r="G503" t="n">
        <v>1</v>
      </c>
      <c r="H503" s="7" t="n">
        <v>13.8</v>
      </c>
      <c r="I503" s="7" t="n">
        <v>0</v>
      </c>
      <c r="J503" s="7" t="n">
        <v>0</v>
      </c>
      <c r="K503" s="9" t="n">
        <v>0</v>
      </c>
      <c r="L503" s="10" t="n">
        <v>8.18</v>
      </c>
      <c r="M503" s="10" t="n">
        <v>1.43</v>
      </c>
      <c r="N503" t="inlineStr">
        <is>
          <t>1</t>
        </is>
      </c>
      <c r="O503" t="inlineStr">
        <is>
          <t>16</t>
        </is>
      </c>
      <c r="P503" t="inlineStr">
        <is>
          <t xml:space="preserve">234984  </t>
        </is>
      </c>
      <c r="Q503" s="26" t="n">
        <v>8.19</v>
      </c>
      <c r="R503" s="26">
        <f>Q503*G503</f>
        <v/>
      </c>
      <c r="S503" s="26">
        <f>IFERROR(VLOOKUP(E503*1,Tabla[#All],8,0),0)</f>
        <v/>
      </c>
      <c r="T503" s="26">
        <f>S503*G503</f>
        <v/>
      </c>
      <c r="U503" s="26">
        <f>R503-T503</f>
        <v/>
      </c>
      <c r="V503" s="26">
        <f>U503-L503</f>
        <v/>
      </c>
    </row>
    <row r="504">
      <c r="A504" s="11" t="n">
        <v>46208</v>
      </c>
      <c r="B504" s="1" t="n">
        <v>20049</v>
      </c>
      <c r="C504" s="1" t="inlineStr">
        <is>
          <t>017</t>
        </is>
      </c>
      <c r="D504" s="1" t="inlineStr">
        <is>
          <t>238021</t>
        </is>
      </c>
      <c r="E504" s="1" t="inlineStr">
        <is>
          <t xml:space="preserve">29235710       </t>
        </is>
      </c>
      <c r="F504" s="5" t="inlineStr">
        <is>
          <t>TEAMSTERZ PLAYSET GRANDES CONSTRUCCIONES</t>
        </is>
      </c>
      <c r="G504" t="n">
        <v>1</v>
      </c>
      <c r="H504" s="7" t="n">
        <v>19.9</v>
      </c>
      <c r="I504" s="7" t="n">
        <v>0</v>
      </c>
      <c r="J504" s="7" t="n">
        <v>0</v>
      </c>
      <c r="K504" s="9" t="n">
        <v>0</v>
      </c>
      <c r="L504" s="10" t="n">
        <v>11.8</v>
      </c>
      <c r="M504" s="10" t="n">
        <v>1.43</v>
      </c>
      <c r="N504" t="inlineStr">
        <is>
          <t>1</t>
        </is>
      </c>
      <c r="O504" t="inlineStr">
        <is>
          <t xml:space="preserve">3 </t>
        </is>
      </c>
      <c r="P504" t="inlineStr">
        <is>
          <t xml:space="preserve">108879  </t>
        </is>
      </c>
      <c r="Q504" s="26" t="n">
        <v>11.81</v>
      </c>
      <c r="R504" s="26">
        <f>Q504*G504</f>
        <v/>
      </c>
      <c r="S504" s="26">
        <f>IFERROR(VLOOKUP(E504*1,Tabla[#All],8,0),0)</f>
        <v/>
      </c>
      <c r="T504" s="26">
        <f>S504*G504</f>
        <v/>
      </c>
      <c r="U504" s="26">
        <f>R504-T504</f>
        <v/>
      </c>
      <c r="V504" s="26">
        <f>U504-L504</f>
        <v/>
      </c>
    </row>
    <row r="505">
      <c r="A505" s="11" t="n">
        <v>46208</v>
      </c>
      <c r="B505" s="1" t="n">
        <v>20049</v>
      </c>
      <c r="C505" s="1" t="inlineStr">
        <is>
          <t>017</t>
        </is>
      </c>
      <c r="D505" s="1" t="inlineStr">
        <is>
          <t>238070</t>
        </is>
      </c>
      <c r="E505" s="1" t="inlineStr">
        <is>
          <t xml:space="preserve">28194765       </t>
        </is>
      </c>
      <c r="F505" s="5" t="inlineStr">
        <is>
          <t>PLAYSET COLOR CHANGE TIBURN TEAMSTERZ  1 AUTITO</t>
        </is>
      </c>
      <c r="G505" t="n">
        <v>1</v>
      </c>
      <c r="H505" s="7" t="n">
        <v>79.90000000000001</v>
      </c>
      <c r="I505" s="7" t="n">
        <v>0</v>
      </c>
      <c r="J505" s="7" t="n">
        <v>0</v>
      </c>
      <c r="K505" s="9" t="n">
        <v>0</v>
      </c>
      <c r="L505" s="10" t="n">
        <v>47.4</v>
      </c>
      <c r="M505" s="10" t="n">
        <v>1.43</v>
      </c>
      <c r="N505" t="inlineStr">
        <is>
          <t>1</t>
        </is>
      </c>
      <c r="O505" t="inlineStr">
        <is>
          <t>16</t>
        </is>
      </c>
      <c r="P505" t="inlineStr">
        <is>
          <t xml:space="preserve">108879  </t>
        </is>
      </c>
      <c r="Q505" s="26" t="n">
        <v>47.4</v>
      </c>
      <c r="R505" s="26">
        <f>Q505*G505</f>
        <v/>
      </c>
      <c r="S505" s="26">
        <f>IFERROR(VLOOKUP(E505*1,Tabla[#All],8,0),0)</f>
        <v/>
      </c>
      <c r="T505" s="26">
        <f>S505*G505</f>
        <v/>
      </c>
      <c r="U505" s="26">
        <f>R505-T505</f>
        <v/>
      </c>
      <c r="V505" s="26">
        <f>U505-L505</f>
        <v/>
      </c>
    </row>
    <row r="506">
      <c r="A506" s="11" t="n">
        <v>46208</v>
      </c>
      <c r="B506" s="1" t="n">
        <v>20049</v>
      </c>
      <c r="C506" s="1" t="inlineStr">
        <is>
          <t>026</t>
        </is>
      </c>
      <c r="D506" s="1" t="inlineStr">
        <is>
          <t>232978</t>
        </is>
      </c>
      <c r="E506" s="1" t="inlineStr">
        <is>
          <t xml:space="preserve">32457099       </t>
        </is>
      </c>
      <c r="F506" s="5" t="inlineStr">
        <is>
          <t>TMZ BEAST MACHINES MONSTER JAWS A FRICCION BLISTER</t>
        </is>
      </c>
      <c r="G506" t="n">
        <v>1</v>
      </c>
      <c r="H506" s="7" t="n">
        <v>19.9</v>
      </c>
      <c r="I506" s="7" t="n">
        <v>0</v>
      </c>
      <c r="J506" s="7" t="n">
        <v>0</v>
      </c>
      <c r="K506" s="9" t="n">
        <v>0</v>
      </c>
      <c r="L506" s="10" t="n">
        <v>11.8</v>
      </c>
      <c r="M506" s="10" t="n">
        <v>1.43</v>
      </c>
      <c r="N506" t="inlineStr">
        <is>
          <t>1</t>
        </is>
      </c>
      <c r="O506" t="inlineStr">
        <is>
          <t xml:space="preserve">3 </t>
        </is>
      </c>
      <c r="P506" t="inlineStr">
        <is>
          <t xml:space="preserve">250381  </t>
        </is>
      </c>
      <c r="Q506" s="26" t="n">
        <v>11.81</v>
      </c>
      <c r="R506" s="26">
        <f>Q506*G506</f>
        <v/>
      </c>
      <c r="S506" s="26">
        <f>IFERROR(VLOOKUP(E506*1,Tabla[#All],8,0),0)</f>
        <v/>
      </c>
      <c r="T506" s="26">
        <f>S506*G506</f>
        <v/>
      </c>
      <c r="U506" s="26">
        <f>R506-T506</f>
        <v/>
      </c>
      <c r="V506" s="26">
        <f>U506-L506</f>
        <v/>
      </c>
    </row>
    <row r="507">
      <c r="A507" s="11" t="n">
        <v>46208</v>
      </c>
      <c r="B507" s="1" t="n">
        <v>20049</v>
      </c>
      <c r="C507" s="1" t="inlineStr">
        <is>
          <t>502</t>
        </is>
      </c>
      <c r="D507" s="1" t="inlineStr">
        <is>
          <t xml:space="preserve">9307  </t>
        </is>
      </c>
      <c r="E507" s="1" t="inlineStr">
        <is>
          <t xml:space="preserve">32457101       </t>
        </is>
      </c>
      <c r="F507" s="5" t="inlineStr">
        <is>
          <t>TMZ BEAST MACHINES TRANSPORTE PESADO + 2 AUTOS SUR</t>
        </is>
      </c>
      <c r="G507" t="n">
        <v>1</v>
      </c>
      <c r="H507" s="7" t="n">
        <v>37.9</v>
      </c>
      <c r="I507" s="7" t="n">
        <v>0</v>
      </c>
      <c r="J507" s="7" t="n">
        <v>0</v>
      </c>
      <c r="K507" s="9" t="n">
        <v>0</v>
      </c>
      <c r="L507" s="10" t="n">
        <v>22.48</v>
      </c>
      <c r="M507" s="10" t="n">
        <v>1.43</v>
      </c>
      <c r="N507" t="inlineStr">
        <is>
          <t>1</t>
        </is>
      </c>
      <c r="O507" t="inlineStr">
        <is>
          <t>16</t>
        </is>
      </c>
      <c r="P507" t="inlineStr">
        <is>
          <t xml:space="preserve">247094  </t>
        </is>
      </c>
      <c r="Q507" s="26" t="n">
        <v>22.48</v>
      </c>
      <c r="R507" s="26">
        <f>Q507*G507</f>
        <v/>
      </c>
      <c r="S507" s="26">
        <f>IFERROR(VLOOKUP(E507*1,Tabla[#All],8,0),0)</f>
        <v/>
      </c>
      <c r="T507" s="26">
        <f>S507*G507</f>
        <v/>
      </c>
      <c r="U507" s="26">
        <f>R507-T507</f>
        <v/>
      </c>
      <c r="V507" s="26">
        <f>U507-L507</f>
        <v/>
      </c>
    </row>
    <row r="508">
      <c r="A508" s="11" t="n">
        <v>46208</v>
      </c>
      <c r="B508" s="1" t="n">
        <v>20049</v>
      </c>
      <c r="C508" s="1" t="inlineStr">
        <is>
          <t>803</t>
        </is>
      </c>
      <c r="D508" s="1" t="inlineStr">
        <is>
          <t xml:space="preserve">5206  </t>
        </is>
      </c>
      <c r="E508" s="1" t="inlineStr">
        <is>
          <t xml:space="preserve">35685067       </t>
        </is>
      </c>
      <c r="F508" s="5" t="inlineStr">
        <is>
          <t>HOT WHEELS POWER SET 3 EN 1</t>
        </is>
      </c>
      <c r="G508" t="n">
        <v>1</v>
      </c>
      <c r="H508" s="7" t="n">
        <v>49.9</v>
      </c>
      <c r="I508" s="7" t="n">
        <v>0</v>
      </c>
      <c r="J508" s="7" t="n">
        <v>0</v>
      </c>
      <c r="K508" s="9" t="n">
        <v>0</v>
      </c>
      <c r="L508" s="10" t="n">
        <v>29.6</v>
      </c>
      <c r="M508" s="10" t="n">
        <v>1.43</v>
      </c>
      <c r="N508" t="inlineStr">
        <is>
          <t>1</t>
        </is>
      </c>
      <c r="O508" t="inlineStr">
        <is>
          <t>16</t>
        </is>
      </c>
      <c r="P508" t="inlineStr">
        <is>
          <t xml:space="preserve">0       </t>
        </is>
      </c>
      <c r="Q508" s="26" t="n">
        <v>29.6</v>
      </c>
      <c r="R508" s="26">
        <f>Q508*G508</f>
        <v/>
      </c>
      <c r="S508" s="26">
        <f>IFERROR(VLOOKUP(E508*1,Tabla[#All],8,0),0)</f>
        <v/>
      </c>
      <c r="T508" s="26">
        <f>S508*G508</f>
        <v/>
      </c>
      <c r="U508" s="26">
        <f>R508-T508</f>
        <v/>
      </c>
      <c r="V508" s="26">
        <f>U508-L508</f>
        <v/>
      </c>
    </row>
    <row r="509">
      <c r="A509" s="11" t="n">
        <v>46208</v>
      </c>
      <c r="B509" s="1" t="n">
        <v>20056</v>
      </c>
      <c r="C509" s="1" t="inlineStr">
        <is>
          <t>020</t>
        </is>
      </c>
      <c r="D509" s="1" t="inlineStr">
        <is>
          <t xml:space="preserve">21615 </t>
        </is>
      </c>
      <c r="E509" s="1" t="inlineStr">
        <is>
          <t xml:space="preserve">31959957       </t>
        </is>
      </c>
      <c r="F509" s="5" t="inlineStr">
        <is>
          <t>TEAMSTERZ PLAYSET RESCATE EN EL MAR</t>
        </is>
      </c>
      <c r="G509" t="n">
        <v>1</v>
      </c>
      <c r="H509" s="7" t="n">
        <v>19.9</v>
      </c>
      <c r="I509" s="7" t="n">
        <v>0</v>
      </c>
      <c r="J509" s="7" t="n">
        <v>0</v>
      </c>
      <c r="K509" s="9" t="n">
        <v>0</v>
      </c>
      <c r="L509" s="10" t="n">
        <v>11.8</v>
      </c>
      <c r="M509" s="10" t="n">
        <v>1.43</v>
      </c>
      <c r="N509" t="inlineStr">
        <is>
          <t>1</t>
        </is>
      </c>
      <c r="O509" t="inlineStr">
        <is>
          <t>16</t>
        </is>
      </c>
      <c r="P509" t="inlineStr">
        <is>
          <t xml:space="preserve">250152  </t>
        </is>
      </c>
      <c r="Q509" s="26" t="n">
        <v>11.81</v>
      </c>
      <c r="R509" s="26">
        <f>Q509*G509</f>
        <v/>
      </c>
      <c r="S509" s="26">
        <f>IFERROR(VLOOKUP(E509*1,Tabla[#All],8,0),0)</f>
        <v/>
      </c>
      <c r="T509" s="26">
        <f>S509*G509</f>
        <v/>
      </c>
      <c r="U509" s="26">
        <f>R509-T509</f>
        <v/>
      </c>
      <c r="V509" s="26">
        <f>U509-L509</f>
        <v/>
      </c>
    </row>
    <row r="510">
      <c r="A510" s="11" t="n">
        <v>46208</v>
      </c>
      <c r="B510" s="1" t="n">
        <v>20056</v>
      </c>
      <c r="C510" s="1" t="inlineStr">
        <is>
          <t>021</t>
        </is>
      </c>
      <c r="D510" s="1" t="inlineStr">
        <is>
          <t xml:space="preserve">52024 </t>
        </is>
      </c>
      <c r="E510" s="1" t="inlineStr">
        <is>
          <t xml:space="preserve">28194768       </t>
        </is>
      </c>
      <c r="F510" s="5" t="inlineStr">
        <is>
          <t>AUTO COLOR CHANGE TEAMSTERZ SURTIDO</t>
        </is>
      </c>
      <c r="G510" t="n">
        <v>1</v>
      </c>
      <c r="H510" s="7" t="n">
        <v>14.9</v>
      </c>
      <c r="I510" s="7" t="n">
        <v>0</v>
      </c>
      <c r="J510" s="7" t="n">
        <v>0</v>
      </c>
      <c r="K510" s="9" t="n">
        <v>0</v>
      </c>
      <c r="L510" s="10" t="n">
        <v>8.84</v>
      </c>
      <c r="M510" s="10" t="n">
        <v>1.43</v>
      </c>
      <c r="N510" t="inlineStr">
        <is>
          <t>1</t>
        </is>
      </c>
      <c r="O510" t="inlineStr">
        <is>
          <t xml:space="preserve">2 </t>
        </is>
      </c>
      <c r="P510" t="inlineStr">
        <is>
          <t xml:space="preserve">248464  </t>
        </is>
      </c>
      <c r="Q510" s="26" t="n">
        <v>8.84</v>
      </c>
      <c r="R510" s="26">
        <f>Q510*G510</f>
        <v/>
      </c>
      <c r="S510" s="26">
        <f>IFERROR(VLOOKUP(E510*1,Tabla[#All],8,0),0)</f>
        <v/>
      </c>
      <c r="T510" s="26">
        <f>S510*G510</f>
        <v/>
      </c>
      <c r="U510" s="26">
        <f>R510-T510</f>
        <v/>
      </c>
      <c r="V510" s="26">
        <f>U510-L510</f>
        <v/>
      </c>
    </row>
    <row r="511">
      <c r="A511" s="11" t="n">
        <v>46208</v>
      </c>
      <c r="B511" s="1" t="n">
        <v>20056</v>
      </c>
      <c r="C511" s="1" t="inlineStr">
        <is>
          <t>504</t>
        </is>
      </c>
      <c r="D511" s="1" t="inlineStr">
        <is>
          <t xml:space="preserve">3568  </t>
        </is>
      </c>
      <c r="E511" s="1" t="inlineStr">
        <is>
          <t xml:space="preserve">32457096       </t>
        </is>
      </c>
      <c r="F511" s="5" t="inlineStr">
        <is>
          <t>PINYPON AUTO DEPORT / SCOOTER + FIGURA SURT</t>
        </is>
      </c>
      <c r="G511" t="n">
        <v>1</v>
      </c>
      <c r="H511" s="7" t="n">
        <v>69.90000000000001</v>
      </c>
      <c r="I511" s="7" t="n">
        <v>0</v>
      </c>
      <c r="J511" s="7" t="n">
        <v>0</v>
      </c>
      <c r="K511" s="9" t="n">
        <v>0</v>
      </c>
      <c r="L511" s="10" t="n">
        <v>41.47</v>
      </c>
      <c r="M511" s="10" t="n">
        <v>1.43</v>
      </c>
      <c r="N511" t="inlineStr">
        <is>
          <t>1</t>
        </is>
      </c>
      <c r="O511" t="inlineStr">
        <is>
          <t>16</t>
        </is>
      </c>
      <c r="P511" t="inlineStr">
        <is>
          <t xml:space="preserve">241218  </t>
        </is>
      </c>
      <c r="Q511" s="26" t="n">
        <v>41.47</v>
      </c>
      <c r="R511" s="26">
        <f>Q511*G511</f>
        <v/>
      </c>
      <c r="S511" s="26">
        <f>IFERROR(VLOOKUP(E511*1,Tabla[#All],8,0),0)</f>
        <v/>
      </c>
      <c r="T511" s="26">
        <f>S511*G511</f>
        <v/>
      </c>
      <c r="U511" s="26">
        <f>R511-T511</f>
        <v/>
      </c>
      <c r="V511" s="26">
        <f>U511-L511</f>
        <v/>
      </c>
    </row>
    <row r="512">
      <c r="A512" s="11" t="n">
        <v>46208</v>
      </c>
      <c r="B512" s="1" t="n">
        <v>20057</v>
      </c>
      <c r="C512" s="1" t="inlineStr">
        <is>
          <t>031</t>
        </is>
      </c>
      <c r="D512" s="1" t="inlineStr">
        <is>
          <t xml:space="preserve">40067 </t>
        </is>
      </c>
      <c r="E512" s="1" t="inlineStr">
        <is>
          <t xml:space="preserve">34840556       </t>
        </is>
      </c>
      <c r="F512" s="5" t="inlineStr">
        <is>
          <t>TMZ BEAST MACH. TRANSPORT DINO +ACCS</t>
        </is>
      </c>
      <c r="G512" t="n">
        <v>1</v>
      </c>
      <c r="H512" s="7" t="n">
        <v>79.90000000000001</v>
      </c>
      <c r="I512" s="7" t="n">
        <v>0</v>
      </c>
      <c r="J512" s="7" t="n">
        <v>0</v>
      </c>
      <c r="K512" s="9" t="n">
        <v>0</v>
      </c>
      <c r="L512" s="10" t="n">
        <v>47.4</v>
      </c>
      <c r="M512" s="10" t="n">
        <v>1.43</v>
      </c>
      <c r="N512" t="inlineStr">
        <is>
          <t>1</t>
        </is>
      </c>
      <c r="O512" t="inlineStr">
        <is>
          <t>16</t>
        </is>
      </c>
      <c r="P512" t="inlineStr">
        <is>
          <t xml:space="preserve">248132  </t>
        </is>
      </c>
      <c r="Q512" s="26" t="n">
        <v>47.4</v>
      </c>
      <c r="R512" s="26">
        <f>Q512*G512</f>
        <v/>
      </c>
      <c r="S512" s="26">
        <f>IFERROR(VLOOKUP(E512*1,Tabla[#All],8,0),0)</f>
        <v/>
      </c>
      <c r="T512" s="26">
        <f>S512*G512</f>
        <v/>
      </c>
      <c r="U512" s="26">
        <f>R512-T512</f>
        <v/>
      </c>
      <c r="V512" s="26">
        <f>U512-L512</f>
        <v/>
      </c>
    </row>
    <row r="513">
      <c r="A513" s="11" t="n">
        <v>46208</v>
      </c>
      <c r="B513" s="1" t="n">
        <v>20057</v>
      </c>
      <c r="C513" s="1" t="inlineStr">
        <is>
          <t>031</t>
        </is>
      </c>
      <c r="D513" s="1" t="inlineStr">
        <is>
          <t xml:space="preserve">40086 </t>
        </is>
      </c>
      <c r="E513" s="1" t="inlineStr">
        <is>
          <t xml:space="preserve">28194770       </t>
        </is>
      </c>
      <c r="F513" s="5" t="inlineStr">
        <is>
          <t>AUTOS DE METAL 3 TEAMSTERZ EN BLISTER</t>
        </is>
      </c>
      <c r="G513" t="n">
        <v>1</v>
      </c>
      <c r="H513" s="7" t="n">
        <v>6.9</v>
      </c>
      <c r="I513" s="7" t="n">
        <v>0</v>
      </c>
      <c r="J513" s="7" t="n">
        <v>0</v>
      </c>
      <c r="K513" s="9" t="n">
        <v>0</v>
      </c>
      <c r="L513" s="10" t="n">
        <v>4.1</v>
      </c>
      <c r="M513" s="10" t="n">
        <v>1.43</v>
      </c>
      <c r="N513" t="inlineStr">
        <is>
          <t>1</t>
        </is>
      </c>
      <c r="O513" t="inlineStr">
        <is>
          <t xml:space="preserve">6 </t>
        </is>
      </c>
      <c r="P513" t="inlineStr">
        <is>
          <t xml:space="preserve">248132  </t>
        </is>
      </c>
      <c r="Q513" s="26" t="n">
        <v>4.09</v>
      </c>
      <c r="R513" s="26">
        <f>Q513*G513</f>
        <v/>
      </c>
      <c r="S513" s="26">
        <f>IFERROR(VLOOKUP(E513*1,Tabla[#All],8,0),0)</f>
        <v/>
      </c>
      <c r="T513" s="26">
        <f>S513*G513</f>
        <v/>
      </c>
      <c r="U513" s="26">
        <f>R513-T513</f>
        <v/>
      </c>
      <c r="V513" s="26">
        <f>U513-L513</f>
        <v/>
      </c>
    </row>
    <row r="514">
      <c r="A514" s="11" t="n">
        <v>46208</v>
      </c>
      <c r="B514" s="1" t="n">
        <v>20057</v>
      </c>
      <c r="C514" s="1" t="inlineStr">
        <is>
          <t>031</t>
        </is>
      </c>
      <c r="D514" s="1" t="inlineStr">
        <is>
          <t xml:space="preserve">40111 </t>
        </is>
      </c>
      <c r="E514" s="1" t="inlineStr">
        <is>
          <t xml:space="preserve">28194770       </t>
        </is>
      </c>
      <c r="F514" s="5" t="inlineStr">
        <is>
          <t>AUTOS DE METAL 3 TEAMSTERZ EN BLISTER</t>
        </is>
      </c>
      <c r="G514" t="n">
        <v>1</v>
      </c>
      <c r="H514" s="7" t="n">
        <v>6.9</v>
      </c>
      <c r="I514" s="7" t="n">
        <v>0</v>
      </c>
      <c r="J514" s="7" t="n">
        <v>0</v>
      </c>
      <c r="K514" s="9" t="n">
        <v>0</v>
      </c>
      <c r="L514" s="10" t="n">
        <v>4.1</v>
      </c>
      <c r="M514" s="10" t="n">
        <v>1.43</v>
      </c>
      <c r="N514" t="inlineStr">
        <is>
          <t>1</t>
        </is>
      </c>
      <c r="O514" t="inlineStr">
        <is>
          <t xml:space="preserve">3 </t>
        </is>
      </c>
      <c r="P514" t="inlineStr">
        <is>
          <t xml:space="preserve">248132  </t>
        </is>
      </c>
      <c r="Q514" s="26" t="n">
        <v>4.09</v>
      </c>
      <c r="R514" s="26">
        <f>Q514*G514</f>
        <v/>
      </c>
      <c r="S514" s="26">
        <f>IFERROR(VLOOKUP(E514*1,Tabla[#All],8,0),0)</f>
        <v/>
      </c>
      <c r="T514" s="26">
        <f>S514*G514</f>
        <v/>
      </c>
      <c r="U514" s="26">
        <f>R514-T514</f>
        <v/>
      </c>
      <c r="V514" s="26">
        <f>U514-L514</f>
        <v/>
      </c>
    </row>
    <row r="515">
      <c r="A515" s="11" t="n">
        <v>46208</v>
      </c>
      <c r="B515" s="1" t="n">
        <v>20057</v>
      </c>
      <c r="C515" s="1" t="inlineStr">
        <is>
          <t>032</t>
        </is>
      </c>
      <c r="D515" s="1" t="inlineStr">
        <is>
          <t xml:space="preserve">73930 </t>
        </is>
      </c>
      <c r="E515" s="1" t="inlineStr">
        <is>
          <t xml:space="preserve">34840524       </t>
        </is>
      </c>
      <c r="F515" s="5" t="inlineStr">
        <is>
          <t>NENUCO 5 FUNCIONES INTERACTIVAS</t>
        </is>
      </c>
      <c r="G515" t="n">
        <v>1</v>
      </c>
      <c r="H515" s="7" t="n">
        <v>89.90000000000001</v>
      </c>
      <c r="I515" s="7" t="n">
        <v>0</v>
      </c>
      <c r="J515" s="7" t="n">
        <v>0</v>
      </c>
      <c r="K515" s="9" t="n">
        <v>0</v>
      </c>
      <c r="L515" s="10" t="n">
        <v>53.33</v>
      </c>
      <c r="M515" s="10" t="n">
        <v>1.43</v>
      </c>
      <c r="N515" t="inlineStr">
        <is>
          <t>1</t>
        </is>
      </c>
      <c r="O515" t="inlineStr">
        <is>
          <t>16</t>
        </is>
      </c>
      <c r="P515" t="inlineStr">
        <is>
          <t xml:space="preserve">203426  </t>
        </is>
      </c>
      <c r="Q515" s="26" t="n">
        <v>53.33</v>
      </c>
      <c r="R515" s="26">
        <f>Q515*G515</f>
        <v/>
      </c>
      <c r="S515" s="26">
        <f>IFERROR(VLOOKUP(E515*1,Tabla[#All],8,0),0)</f>
        <v/>
      </c>
      <c r="T515" s="26">
        <f>S515*G515</f>
        <v/>
      </c>
      <c r="U515" s="26">
        <f>R515-T515</f>
        <v/>
      </c>
      <c r="V515" s="26">
        <f>U515-L515</f>
        <v/>
      </c>
    </row>
    <row r="516">
      <c r="A516" s="11" t="n">
        <v>46208</v>
      </c>
      <c r="B516" s="1" t="n">
        <v>20057</v>
      </c>
      <c r="C516" s="1" t="inlineStr">
        <is>
          <t>032</t>
        </is>
      </c>
      <c r="D516" s="1" t="inlineStr">
        <is>
          <t xml:space="preserve">73945 </t>
        </is>
      </c>
      <c r="E516" s="1" t="inlineStr">
        <is>
          <t xml:space="preserve">28194770       </t>
        </is>
      </c>
      <c r="F516" s="5" t="inlineStr">
        <is>
          <t>AUTOS DE METAL 3 TEAMSTERZ EN BLISTER</t>
        </is>
      </c>
      <c r="G516" t="n">
        <v>1</v>
      </c>
      <c r="H516" s="7" t="n">
        <v>6.9</v>
      </c>
      <c r="I516" s="7" t="n">
        <v>0</v>
      </c>
      <c r="J516" s="7" t="n">
        <v>0</v>
      </c>
      <c r="K516" s="9" t="n">
        <v>0</v>
      </c>
      <c r="L516" s="10" t="n">
        <v>4.1</v>
      </c>
      <c r="M516" s="10" t="n">
        <v>1.43</v>
      </c>
      <c r="N516" t="inlineStr">
        <is>
          <t>1</t>
        </is>
      </c>
      <c r="O516" t="inlineStr">
        <is>
          <t>16</t>
        </is>
      </c>
      <c r="P516" t="inlineStr">
        <is>
          <t xml:space="preserve">250464  </t>
        </is>
      </c>
      <c r="Q516" s="26" t="n">
        <v>4.09</v>
      </c>
      <c r="R516" s="26">
        <f>Q516*G516</f>
        <v/>
      </c>
      <c r="S516" s="26">
        <f>IFERROR(VLOOKUP(E516*1,Tabla[#All],8,0),0)</f>
        <v/>
      </c>
      <c r="T516" s="26">
        <f>S516*G516</f>
        <v/>
      </c>
      <c r="U516" s="26">
        <f>R516-T516</f>
        <v/>
      </c>
      <c r="V516" s="26">
        <f>U516-L516</f>
        <v/>
      </c>
    </row>
    <row r="517">
      <c r="A517" s="11" t="n">
        <v>46208</v>
      </c>
      <c r="B517" s="1" t="n">
        <v>20057</v>
      </c>
      <c r="C517" s="1" t="inlineStr">
        <is>
          <t>033</t>
        </is>
      </c>
      <c r="D517" s="1" t="inlineStr">
        <is>
          <t xml:space="preserve">66349 </t>
        </is>
      </c>
      <c r="E517" s="1" t="inlineStr">
        <is>
          <t xml:space="preserve">28194770       </t>
        </is>
      </c>
      <c r="F517" s="5" t="inlineStr">
        <is>
          <t>AUTOS DE METAL 3 TEAMSTERZ EN BLISTER</t>
        </is>
      </c>
      <c r="G517" t="n">
        <v>1</v>
      </c>
      <c r="H517" s="7" t="n">
        <v>6.9</v>
      </c>
      <c r="I517" s="7" t="n">
        <v>0</v>
      </c>
      <c r="J517" s="7" t="n">
        <v>0</v>
      </c>
      <c r="K517" s="9" t="n">
        <v>0</v>
      </c>
      <c r="L517" s="10" t="n">
        <v>4.1</v>
      </c>
      <c r="M517" s="10" t="n">
        <v>1.43</v>
      </c>
      <c r="N517" t="inlineStr">
        <is>
          <t>1</t>
        </is>
      </c>
      <c r="O517" t="inlineStr">
        <is>
          <t>16</t>
        </is>
      </c>
      <c r="P517" t="inlineStr">
        <is>
          <t xml:space="preserve">235719  </t>
        </is>
      </c>
      <c r="Q517" s="26" t="n">
        <v>4.09</v>
      </c>
      <c r="R517" s="26">
        <f>Q517*G517</f>
        <v/>
      </c>
      <c r="S517" s="26">
        <f>IFERROR(VLOOKUP(E517*1,Tabla[#All],8,0),0)</f>
        <v/>
      </c>
      <c r="T517" s="26">
        <f>S517*G517</f>
        <v/>
      </c>
      <c r="U517" s="26">
        <f>R517-T517</f>
        <v/>
      </c>
      <c r="V517" s="26">
        <f>U517-L517</f>
        <v/>
      </c>
    </row>
    <row r="518">
      <c r="A518" s="11" t="n">
        <v>46208</v>
      </c>
      <c r="B518" s="1" t="n">
        <v>20057</v>
      </c>
      <c r="C518" s="1" t="inlineStr">
        <is>
          <t>033</t>
        </is>
      </c>
      <c r="D518" s="1" t="inlineStr">
        <is>
          <t xml:space="preserve">66379 </t>
        </is>
      </c>
      <c r="E518" s="1" t="inlineStr">
        <is>
          <t xml:space="preserve">28194770       </t>
        </is>
      </c>
      <c r="F518" s="5" t="inlineStr">
        <is>
          <t>AUTOS DE METAL 3 TEAMSTERZ EN BLISTER</t>
        </is>
      </c>
      <c r="G518" t="n">
        <v>1</v>
      </c>
      <c r="H518" s="7" t="n">
        <v>6.9</v>
      </c>
      <c r="I518" s="7" t="n">
        <v>0</v>
      </c>
      <c r="J518" s="7" t="n">
        <v>0</v>
      </c>
      <c r="K518" s="9" t="n">
        <v>0</v>
      </c>
      <c r="L518" s="10" t="n">
        <v>4.1</v>
      </c>
      <c r="M518" s="10" t="n">
        <v>1.43</v>
      </c>
      <c r="N518" t="inlineStr">
        <is>
          <t>1</t>
        </is>
      </c>
      <c r="O518" t="inlineStr">
        <is>
          <t xml:space="preserve">3 </t>
        </is>
      </c>
      <c r="P518" t="inlineStr">
        <is>
          <t xml:space="preserve">241530  </t>
        </is>
      </c>
      <c r="Q518" s="26" t="n">
        <v>4.09</v>
      </c>
      <c r="R518" s="26">
        <f>Q518*G518</f>
        <v/>
      </c>
      <c r="S518" s="26">
        <f>IFERROR(VLOOKUP(E518*1,Tabla[#All],8,0),0)</f>
        <v/>
      </c>
      <c r="T518" s="26">
        <f>S518*G518</f>
        <v/>
      </c>
      <c r="U518" s="26">
        <f>R518-T518</f>
        <v/>
      </c>
      <c r="V518" s="26">
        <f>U518-L518</f>
        <v/>
      </c>
    </row>
    <row r="519">
      <c r="A519" s="11" t="n">
        <v>46208</v>
      </c>
      <c r="B519" s="1" t="n">
        <v>20057</v>
      </c>
      <c r="C519" s="1" t="inlineStr">
        <is>
          <t>034</t>
        </is>
      </c>
      <c r="D519" s="1" t="inlineStr">
        <is>
          <t xml:space="preserve">10305 </t>
        </is>
      </c>
      <c r="E519" s="1" t="inlineStr">
        <is>
          <t xml:space="preserve">31959956       </t>
        </is>
      </c>
      <c r="F519" s="5" t="inlineStr">
        <is>
          <t>TEAMSTERZ CAMION TRANSPORTA ANIMALES SURTIDO</t>
        </is>
      </c>
      <c r="G519" t="n">
        <v>1</v>
      </c>
      <c r="H519" s="7" t="n">
        <v>17.9</v>
      </c>
      <c r="I519" s="7" t="n">
        <v>0</v>
      </c>
      <c r="J519" s="7" t="n">
        <v>0</v>
      </c>
      <c r="K519" s="9" t="n">
        <v>0</v>
      </c>
      <c r="L519" s="10" t="n">
        <v>10.62</v>
      </c>
      <c r="M519" s="10" t="n">
        <v>1.43</v>
      </c>
      <c r="N519" t="inlineStr">
        <is>
          <t>1</t>
        </is>
      </c>
      <c r="O519" t="inlineStr">
        <is>
          <t xml:space="preserve">6 </t>
        </is>
      </c>
      <c r="P519" t="inlineStr">
        <is>
          <t xml:space="preserve">250464  </t>
        </is>
      </c>
      <c r="Q519" s="26" t="n">
        <v>10.62</v>
      </c>
      <c r="R519" s="26">
        <f>Q519*G519</f>
        <v/>
      </c>
      <c r="S519" s="26">
        <f>IFERROR(VLOOKUP(E519*1,Tabla[#All],8,0),0)</f>
        <v/>
      </c>
      <c r="T519" s="26">
        <f>S519*G519</f>
        <v/>
      </c>
      <c r="U519" s="26">
        <f>R519-T519</f>
        <v/>
      </c>
      <c r="V519" s="26">
        <f>U519-L519</f>
        <v/>
      </c>
    </row>
    <row r="520">
      <c r="A520" s="11" t="n">
        <v>46208</v>
      </c>
      <c r="B520" s="1" t="n">
        <v>20057</v>
      </c>
      <c r="C520" s="1" t="inlineStr">
        <is>
          <t>518</t>
        </is>
      </c>
      <c r="D520" s="1" t="inlineStr">
        <is>
          <t xml:space="preserve">3053  </t>
        </is>
      </c>
      <c r="E520" s="1" t="inlineStr">
        <is>
          <t xml:space="preserve">28194770       </t>
        </is>
      </c>
      <c r="F520" s="5" t="inlineStr">
        <is>
          <t>AUTOS DE METAL 3 TEAMSTERZ EN BLISTER</t>
        </is>
      </c>
      <c r="G520" t="n">
        <v>2</v>
      </c>
      <c r="H520" s="7" t="n">
        <v>13.8</v>
      </c>
      <c r="I520" s="7" t="n">
        <v>0</v>
      </c>
      <c r="J520" s="7" t="n">
        <v>0</v>
      </c>
      <c r="K520" s="9" t="n">
        <v>0</v>
      </c>
      <c r="L520" s="10" t="n">
        <v>8.18</v>
      </c>
      <c r="M520" s="10" t="n">
        <v>1.43</v>
      </c>
      <c r="N520" t="inlineStr">
        <is>
          <t>1</t>
        </is>
      </c>
      <c r="O520" t="inlineStr">
        <is>
          <t>16</t>
        </is>
      </c>
      <c r="P520" t="inlineStr">
        <is>
          <t xml:space="preserve">106404  </t>
        </is>
      </c>
      <c r="Q520" s="26" t="n">
        <v>4.09</v>
      </c>
      <c r="R520" s="26">
        <f>Q520*G520</f>
        <v/>
      </c>
      <c r="S520" s="26">
        <f>IFERROR(VLOOKUP(E520*1,Tabla[#All],8,0),0)</f>
        <v/>
      </c>
      <c r="T520" s="26">
        <f>S520*G520</f>
        <v/>
      </c>
      <c r="U520" s="26">
        <f>R520-T520</f>
        <v/>
      </c>
      <c r="V520" s="26">
        <f>U520-L520</f>
        <v/>
      </c>
    </row>
    <row r="521">
      <c r="A521" s="11" t="n">
        <v>46208</v>
      </c>
      <c r="B521" s="1" t="n">
        <v>20057</v>
      </c>
      <c r="C521" s="1" t="inlineStr">
        <is>
          <t>861</t>
        </is>
      </c>
      <c r="D521" s="1" t="inlineStr">
        <is>
          <t xml:space="preserve">583   </t>
        </is>
      </c>
      <c r="E521" s="1" t="inlineStr">
        <is>
          <t xml:space="preserve">28194765       </t>
        </is>
      </c>
      <c r="F521" s="5" t="inlineStr">
        <is>
          <t>PLAYSET COLOR CHANGE TIBURN TEAMSTERZ  1 AUTITO</t>
        </is>
      </c>
      <c r="G521" t="n">
        <v>1</v>
      </c>
      <c r="H521" s="7" t="n">
        <v>79.90000000000001</v>
      </c>
      <c r="I521" s="7" t="n">
        <v>0</v>
      </c>
      <c r="J521" s="7" t="n">
        <v>0</v>
      </c>
      <c r="K521" s="9" t="n">
        <v>0</v>
      </c>
      <c r="L521" s="10" t="n">
        <v>47.4</v>
      </c>
      <c r="M521" s="10" t="n">
        <v>1.43</v>
      </c>
      <c r="N521" t="inlineStr">
        <is>
          <t>1</t>
        </is>
      </c>
      <c r="O521" t="inlineStr">
        <is>
          <t>16</t>
        </is>
      </c>
      <c r="P521" t="inlineStr">
        <is>
          <t xml:space="preserve">0       </t>
        </is>
      </c>
      <c r="Q521" s="26" t="n">
        <v>47.4</v>
      </c>
      <c r="R521" s="26">
        <f>Q521*G521</f>
        <v/>
      </c>
      <c r="S521" s="26">
        <f>IFERROR(VLOOKUP(E521*1,Tabla[#All],8,0),0)</f>
        <v/>
      </c>
      <c r="T521" s="26">
        <f>S521*G521</f>
        <v/>
      </c>
      <c r="U521" s="26">
        <f>R521-T521</f>
        <v/>
      </c>
      <c r="V521" s="26">
        <f>U521-L521</f>
        <v/>
      </c>
    </row>
    <row r="522">
      <c r="A522" s="11" t="n">
        <v>46208</v>
      </c>
      <c r="B522" s="1" t="n">
        <v>20057</v>
      </c>
      <c r="C522" s="1" t="inlineStr">
        <is>
          <t>861</t>
        </is>
      </c>
      <c r="D522" s="1" t="inlineStr">
        <is>
          <t xml:space="preserve">587   </t>
        </is>
      </c>
      <c r="E522" s="1" t="inlineStr">
        <is>
          <t xml:space="preserve">28194770       </t>
        </is>
      </c>
      <c r="F522" s="5" t="inlineStr">
        <is>
          <t>AUTOS DE METAL 3 TEAMSTERZ EN BLISTER</t>
        </is>
      </c>
      <c r="G522" t="n">
        <v>1</v>
      </c>
      <c r="H522" s="7" t="n">
        <v>6.9</v>
      </c>
      <c r="I522" s="7" t="n">
        <v>0</v>
      </c>
      <c r="J522" s="7" t="n">
        <v>0</v>
      </c>
      <c r="K522" s="9" t="n">
        <v>0</v>
      </c>
      <c r="L522" s="10" t="n">
        <v>4.1</v>
      </c>
      <c r="M522" s="10" t="n">
        <v>1.43</v>
      </c>
      <c r="N522" t="inlineStr">
        <is>
          <t>1</t>
        </is>
      </c>
      <c r="O522" t="inlineStr">
        <is>
          <t>16</t>
        </is>
      </c>
      <c r="P522" t="inlineStr">
        <is>
          <t xml:space="preserve">0       </t>
        </is>
      </c>
      <c r="Q522" s="26" t="n">
        <v>4.09</v>
      </c>
      <c r="R522" s="26">
        <f>Q522*G522</f>
        <v/>
      </c>
      <c r="S522" s="26">
        <f>IFERROR(VLOOKUP(E522*1,Tabla[#All],8,0),0)</f>
        <v/>
      </c>
      <c r="T522" s="26">
        <f>S522*G522</f>
        <v/>
      </c>
      <c r="U522" s="26">
        <f>R522-T522</f>
        <v/>
      </c>
      <c r="V522" s="26">
        <f>U522-L522</f>
        <v/>
      </c>
    </row>
    <row r="523">
      <c r="A523" s="11" t="n">
        <v>46208</v>
      </c>
      <c r="B523" s="1" t="n">
        <v>20057</v>
      </c>
      <c r="C523" s="1" t="inlineStr">
        <is>
          <t>863</t>
        </is>
      </c>
      <c r="D523" s="1" t="inlineStr">
        <is>
          <t xml:space="preserve">4755  </t>
        </is>
      </c>
      <c r="E523" s="1" t="inlineStr">
        <is>
          <t xml:space="preserve">28194780       </t>
        </is>
      </c>
      <c r="F523" s="5" t="inlineStr">
        <is>
          <t>TROMPO BATALLA INFINITY NADO PLSTICO SURTIDO</t>
        </is>
      </c>
      <c r="G523" t="n">
        <v>1</v>
      </c>
      <c r="H523" s="7" t="n">
        <v>19.9</v>
      </c>
      <c r="I523" s="7" t="n">
        <v>0</v>
      </c>
      <c r="J523" s="7" t="n">
        <v>0</v>
      </c>
      <c r="K523" s="9" t="n">
        <v>0</v>
      </c>
      <c r="L523" s="10" t="n">
        <v>11.8</v>
      </c>
      <c r="M523" s="10" t="n">
        <v>1.43</v>
      </c>
      <c r="N523" t="inlineStr">
        <is>
          <t>1</t>
        </is>
      </c>
      <c r="O523" t="inlineStr">
        <is>
          <t>16</t>
        </is>
      </c>
      <c r="P523" t="inlineStr">
        <is>
          <t xml:space="preserve">0       </t>
        </is>
      </c>
      <c r="Q523" s="26" t="n">
        <v>11.81</v>
      </c>
      <c r="R523" s="26">
        <f>Q523*G523</f>
        <v/>
      </c>
      <c r="S523" s="26">
        <f>IFERROR(VLOOKUP(E523*1,Tabla[#All],8,0),0)</f>
        <v/>
      </c>
      <c r="T523" s="26">
        <f>S523*G523</f>
        <v/>
      </c>
      <c r="U523" s="26">
        <f>R523-T523</f>
        <v/>
      </c>
      <c r="V523" s="26">
        <f>U523-L523</f>
        <v/>
      </c>
    </row>
    <row r="524">
      <c r="A524" s="11" t="n">
        <v>46208</v>
      </c>
      <c r="B524" s="1" t="n">
        <v>20058</v>
      </c>
      <c r="C524" s="1" t="inlineStr">
        <is>
          <t>030</t>
        </is>
      </c>
      <c r="D524" s="1" t="inlineStr">
        <is>
          <t xml:space="preserve">47175 </t>
        </is>
      </c>
      <c r="E524" s="1" t="inlineStr">
        <is>
          <t xml:space="preserve">28194770       </t>
        </is>
      </c>
      <c r="F524" s="5" t="inlineStr">
        <is>
          <t>AUTOS DE METAL 3 TEAMSTERZ EN BLISTER</t>
        </is>
      </c>
      <c r="G524" t="n">
        <v>1</v>
      </c>
      <c r="H524" s="7" t="n">
        <v>6.9</v>
      </c>
      <c r="I524" s="7" t="n">
        <v>0</v>
      </c>
      <c r="J524" s="7" t="n">
        <v>0</v>
      </c>
      <c r="K524" s="9" t="n">
        <v>0</v>
      </c>
      <c r="L524" s="10" t="n">
        <v>4.1</v>
      </c>
      <c r="M524" s="10" t="n">
        <v>1.43</v>
      </c>
      <c r="N524" t="inlineStr">
        <is>
          <t>1</t>
        </is>
      </c>
      <c r="O524" t="inlineStr">
        <is>
          <t xml:space="preserve">2 </t>
        </is>
      </c>
      <c r="P524" t="inlineStr">
        <is>
          <t xml:space="preserve">80570   </t>
        </is>
      </c>
      <c r="Q524" s="26" t="n">
        <v>4.09</v>
      </c>
      <c r="R524" s="26">
        <f>Q524*G524</f>
        <v/>
      </c>
      <c r="S524" s="26">
        <f>IFERROR(VLOOKUP(E524*1,Tabla[#All],8,0),0)</f>
        <v/>
      </c>
      <c r="T524" s="26">
        <f>S524*G524</f>
        <v/>
      </c>
      <c r="U524" s="26">
        <f>R524-T524</f>
        <v/>
      </c>
      <c r="V524" s="26">
        <f>U524-L524</f>
        <v/>
      </c>
    </row>
    <row r="525">
      <c r="A525" s="11" t="n">
        <v>46208</v>
      </c>
      <c r="B525" s="1" t="n">
        <v>20058</v>
      </c>
      <c r="C525" s="1" t="inlineStr">
        <is>
          <t>038</t>
        </is>
      </c>
      <c r="D525" s="1" t="inlineStr">
        <is>
          <t>208423</t>
        </is>
      </c>
      <c r="E525" s="1" t="inlineStr">
        <is>
          <t xml:space="preserve">28194769       </t>
        </is>
      </c>
      <c r="F525" s="5" t="inlineStr">
        <is>
          <t>AUTOS DE METAL 3 TEAMSTERZ PACK DE 2</t>
        </is>
      </c>
      <c r="G525" t="n">
        <v>1</v>
      </c>
      <c r="H525" s="7" t="n">
        <v>13.8</v>
      </c>
      <c r="I525" s="7" t="n">
        <v>0</v>
      </c>
      <c r="J525" s="7" t="n">
        <v>0</v>
      </c>
      <c r="K525" s="9" t="n">
        <v>0</v>
      </c>
      <c r="L525" s="10" t="n">
        <v>8.18</v>
      </c>
      <c r="M525" s="10" t="n">
        <v>1.43</v>
      </c>
      <c r="N525" t="inlineStr">
        <is>
          <t>1</t>
        </is>
      </c>
      <c r="O525" t="inlineStr">
        <is>
          <t>16</t>
        </is>
      </c>
      <c r="P525" t="inlineStr">
        <is>
          <t xml:space="preserve">94051   </t>
        </is>
      </c>
      <c r="Q525" s="26" t="n">
        <v>8.19</v>
      </c>
      <c r="R525" s="26">
        <f>Q525*G525</f>
        <v/>
      </c>
      <c r="S525" s="26">
        <f>IFERROR(VLOOKUP(E525*1,Tabla[#All],8,0),0)</f>
        <v/>
      </c>
      <c r="T525" s="26">
        <f>S525*G525</f>
        <v/>
      </c>
      <c r="U525" s="26">
        <f>R525-T525</f>
        <v/>
      </c>
      <c r="V525" s="26">
        <f>U525-L525</f>
        <v/>
      </c>
    </row>
    <row r="526">
      <c r="A526" s="11" t="n">
        <v>46208</v>
      </c>
      <c r="B526" s="1" t="n">
        <v>20058</v>
      </c>
      <c r="C526" s="1" t="inlineStr">
        <is>
          <t>039</t>
        </is>
      </c>
      <c r="D526" s="1" t="inlineStr">
        <is>
          <t>229457</t>
        </is>
      </c>
      <c r="E526" s="1" t="inlineStr">
        <is>
          <t xml:space="preserve">34840552       </t>
        </is>
      </c>
      <c r="F526" s="5" t="inlineStr">
        <is>
          <t>TMZ HELI POLICIA CON LUCES Y SONIDOS</t>
        </is>
      </c>
      <c r="G526" t="n">
        <v>1</v>
      </c>
      <c r="H526" s="7" t="n">
        <v>79.90000000000001</v>
      </c>
      <c r="I526" s="7" t="n">
        <v>0</v>
      </c>
      <c r="J526" s="7" t="n">
        <v>0</v>
      </c>
      <c r="K526" s="9" t="n">
        <v>0</v>
      </c>
      <c r="L526" s="10" t="n">
        <v>47.4</v>
      </c>
      <c r="M526" s="10" t="n">
        <v>1.43</v>
      </c>
      <c r="N526" t="inlineStr">
        <is>
          <t>1</t>
        </is>
      </c>
      <c r="O526" t="inlineStr">
        <is>
          <t xml:space="preserve">2 </t>
        </is>
      </c>
      <c r="P526" t="inlineStr">
        <is>
          <t xml:space="preserve">246011  </t>
        </is>
      </c>
      <c r="Q526" s="26" t="n">
        <v>47.4</v>
      </c>
      <c r="R526" s="26">
        <f>Q526*G526</f>
        <v/>
      </c>
      <c r="S526" s="26">
        <f>IFERROR(VLOOKUP(E526*1,Tabla[#All],8,0),0)</f>
        <v/>
      </c>
      <c r="T526" s="26">
        <f>S526*G526</f>
        <v/>
      </c>
      <c r="U526" s="26">
        <f>R526-T526</f>
        <v/>
      </c>
      <c r="V526" s="26">
        <f>U526-L526</f>
        <v/>
      </c>
    </row>
    <row r="527">
      <c r="A527" s="11" t="n">
        <v>46208</v>
      </c>
      <c r="B527" s="1" t="n">
        <v>20058</v>
      </c>
      <c r="C527" s="1" t="inlineStr">
        <is>
          <t>039</t>
        </is>
      </c>
      <c r="D527" s="1" t="inlineStr">
        <is>
          <t>229542</t>
        </is>
      </c>
      <c r="E527" s="1" t="inlineStr">
        <is>
          <t xml:space="preserve">28194770       </t>
        </is>
      </c>
      <c r="F527" s="5" t="inlineStr">
        <is>
          <t>AUTOS DE METAL 3 TEAMSTERZ EN BLISTER</t>
        </is>
      </c>
      <c r="G527" t="n">
        <v>1</v>
      </c>
      <c r="H527" s="7" t="n">
        <v>6.9</v>
      </c>
      <c r="I527" s="7" t="n">
        <v>0</v>
      </c>
      <c r="J527" s="7" t="n">
        <v>0</v>
      </c>
      <c r="K527" s="9" t="n">
        <v>0</v>
      </c>
      <c r="L527" s="10" t="n">
        <v>4.1</v>
      </c>
      <c r="M527" s="10" t="n">
        <v>1.43</v>
      </c>
      <c r="N527" t="inlineStr">
        <is>
          <t>1</t>
        </is>
      </c>
      <c r="O527" t="inlineStr">
        <is>
          <t>16</t>
        </is>
      </c>
      <c r="P527" t="inlineStr">
        <is>
          <t xml:space="preserve">90759   </t>
        </is>
      </c>
      <c r="Q527" s="26" t="n">
        <v>4.09</v>
      </c>
      <c r="R527" s="26">
        <f>Q527*G527</f>
        <v/>
      </c>
      <c r="S527" s="26">
        <f>IFERROR(VLOOKUP(E527*1,Tabla[#All],8,0),0)</f>
        <v/>
      </c>
      <c r="T527" s="26">
        <f>S527*G527</f>
        <v/>
      </c>
      <c r="U527" s="26">
        <f>R527-T527</f>
        <v/>
      </c>
      <c r="V527" s="26">
        <f>U527-L527</f>
        <v/>
      </c>
    </row>
    <row r="528">
      <c r="A528" s="11" t="n">
        <v>46208</v>
      </c>
      <c r="B528" s="1" t="n">
        <v>20058</v>
      </c>
      <c r="C528" s="1" t="inlineStr">
        <is>
          <t>039</t>
        </is>
      </c>
      <c r="D528" s="1" t="inlineStr">
        <is>
          <t>229567</t>
        </is>
      </c>
      <c r="E528" s="1" t="inlineStr">
        <is>
          <t xml:space="preserve">28194770       </t>
        </is>
      </c>
      <c r="F528" s="5" t="inlineStr">
        <is>
          <t>AUTOS DE METAL 3 TEAMSTERZ EN BLISTER</t>
        </is>
      </c>
      <c r="G528" t="n">
        <v>1</v>
      </c>
      <c r="H528" s="7" t="n">
        <v>6.9</v>
      </c>
      <c r="I528" s="7" t="n">
        <v>0</v>
      </c>
      <c r="J528" s="7" t="n">
        <v>0</v>
      </c>
      <c r="K528" s="9" t="n">
        <v>0</v>
      </c>
      <c r="L528" s="10" t="n">
        <v>4.1</v>
      </c>
      <c r="M528" s="10" t="n">
        <v>1.43</v>
      </c>
      <c r="N528" t="inlineStr">
        <is>
          <t>1</t>
        </is>
      </c>
      <c r="O528" t="inlineStr">
        <is>
          <t xml:space="preserve">2 </t>
        </is>
      </c>
      <c r="P528" t="inlineStr">
        <is>
          <t xml:space="preserve">90759   </t>
        </is>
      </c>
      <c r="Q528" s="26" t="n">
        <v>4.09</v>
      </c>
      <c r="R528" s="26">
        <f>Q528*G528</f>
        <v/>
      </c>
      <c r="S528" s="26">
        <f>IFERROR(VLOOKUP(E528*1,Tabla[#All],8,0),0)</f>
        <v/>
      </c>
      <c r="T528" s="26">
        <f>S528*G528</f>
        <v/>
      </c>
      <c r="U528" s="26">
        <f>R528-T528</f>
        <v/>
      </c>
      <c r="V528" s="26">
        <f>U528-L528</f>
        <v/>
      </c>
    </row>
    <row r="529">
      <c r="A529" s="11" t="n">
        <v>46208</v>
      </c>
      <c r="B529" s="1" t="n">
        <v>20058</v>
      </c>
      <c r="C529" s="1" t="inlineStr">
        <is>
          <t>039</t>
        </is>
      </c>
      <c r="D529" s="1" t="inlineStr">
        <is>
          <t>229567</t>
        </is>
      </c>
      <c r="E529" s="1" t="inlineStr">
        <is>
          <t xml:space="preserve">33483121       </t>
        </is>
      </c>
      <c r="F529" s="5" t="inlineStr">
        <is>
          <t>HOT WHEELS ESTUCHE PARA 15 AUTOS SURTIDO</t>
        </is>
      </c>
      <c r="G529" t="n">
        <v>1</v>
      </c>
      <c r="H529" s="7" t="n">
        <v>34.9</v>
      </c>
      <c r="I529" s="7" t="n">
        <v>0</v>
      </c>
      <c r="J529" s="7" t="n">
        <v>0</v>
      </c>
      <c r="K529" s="9" t="n">
        <v>0</v>
      </c>
      <c r="L529" s="10" t="n">
        <v>20.71</v>
      </c>
      <c r="M529" s="10" t="n">
        <v>1.43</v>
      </c>
      <c r="N529" t="inlineStr">
        <is>
          <t>1</t>
        </is>
      </c>
      <c r="O529" t="inlineStr">
        <is>
          <t xml:space="preserve">2 </t>
        </is>
      </c>
      <c r="P529" t="inlineStr">
        <is>
          <t xml:space="preserve">90759   </t>
        </is>
      </c>
      <c r="Q529" s="26" t="n">
        <v>20.7</v>
      </c>
      <c r="R529" s="26">
        <f>Q529*G529</f>
        <v/>
      </c>
      <c r="S529" s="26">
        <f>IFERROR(VLOOKUP(E529*1,Tabla[#All],8,0),0)</f>
        <v/>
      </c>
      <c r="T529" s="26">
        <f>S529*G529</f>
        <v/>
      </c>
      <c r="U529" s="26">
        <f>R529-T529</f>
        <v/>
      </c>
      <c r="V529" s="26">
        <f>U529-L529</f>
        <v/>
      </c>
    </row>
    <row r="530">
      <c r="A530" s="11" t="n">
        <v>46208</v>
      </c>
      <c r="B530" s="1" t="n">
        <v>20058</v>
      </c>
      <c r="C530" s="1" t="inlineStr">
        <is>
          <t>039</t>
        </is>
      </c>
      <c r="D530" s="1" t="inlineStr">
        <is>
          <t xml:space="preserve">4427  </t>
        </is>
      </c>
      <c r="E530" s="1" t="inlineStr">
        <is>
          <t xml:space="preserve">28194769       </t>
        </is>
      </c>
      <c r="F530" s="5" t="inlineStr">
        <is>
          <t>AUTOS DE METAL 3 TEAMSTERZ PACK DE 2</t>
        </is>
      </c>
      <c r="G530" t="n">
        <v>1</v>
      </c>
      <c r="H530" s="7" t="n">
        <v>13.8</v>
      </c>
      <c r="I530" s="7" t="n">
        <v>0</v>
      </c>
      <c r="J530" s="7" t="n">
        <v>0</v>
      </c>
      <c r="K530" s="9" t="n">
        <v>0</v>
      </c>
      <c r="L530" s="10" t="n">
        <v>8.18</v>
      </c>
      <c r="M530" s="10" t="n">
        <v>1.43</v>
      </c>
      <c r="N530" t="inlineStr">
        <is>
          <t>1</t>
        </is>
      </c>
      <c r="O530" t="inlineStr">
        <is>
          <t>16</t>
        </is>
      </c>
      <c r="P530" t="inlineStr">
        <is>
          <t xml:space="preserve">246011  </t>
        </is>
      </c>
      <c r="Q530" s="26" t="n">
        <v>8.19</v>
      </c>
      <c r="R530" s="26">
        <f>Q530*G530</f>
        <v/>
      </c>
      <c r="S530" s="26">
        <f>IFERROR(VLOOKUP(E530*1,Tabla[#All],8,0),0)</f>
        <v/>
      </c>
      <c r="T530" s="26">
        <f>S530*G530</f>
        <v/>
      </c>
      <c r="U530" s="26">
        <f>R530-T530</f>
        <v/>
      </c>
      <c r="V530" s="26">
        <f>U530-L530</f>
        <v/>
      </c>
    </row>
    <row r="531">
      <c r="A531" s="11" t="n">
        <v>46208</v>
      </c>
      <c r="B531" s="1" t="n">
        <v>20058</v>
      </c>
      <c r="C531" s="1" t="inlineStr">
        <is>
          <t>191</t>
        </is>
      </c>
      <c r="D531" s="1" t="inlineStr">
        <is>
          <t xml:space="preserve">5451  </t>
        </is>
      </c>
      <c r="E531" s="1" t="inlineStr">
        <is>
          <t xml:space="preserve">28194769       </t>
        </is>
      </c>
      <c r="F531" s="5" t="inlineStr">
        <is>
          <t>AUTOS DE METAL 3 TEAMSTERZ PACK DE 2</t>
        </is>
      </c>
      <c r="G531" t="n">
        <v>1</v>
      </c>
      <c r="H531" s="7" t="n">
        <v>13.8</v>
      </c>
      <c r="I531" s="7" t="n">
        <v>0</v>
      </c>
      <c r="J531" s="7" t="n">
        <v>0</v>
      </c>
      <c r="K531" s="9" t="n">
        <v>0</v>
      </c>
      <c r="L531" s="10" t="n">
        <v>8.18</v>
      </c>
      <c r="M531" s="10" t="n">
        <v>1.43</v>
      </c>
      <c r="N531" t="inlineStr">
        <is>
          <t>1</t>
        </is>
      </c>
      <c r="O531" t="inlineStr">
        <is>
          <t>16</t>
        </is>
      </c>
      <c r="P531" t="inlineStr">
        <is>
          <t xml:space="preserve">61785   </t>
        </is>
      </c>
      <c r="Q531" s="26" t="n">
        <v>8.19</v>
      </c>
      <c r="R531" s="26">
        <f>Q531*G531</f>
        <v/>
      </c>
      <c r="S531" s="26">
        <f>IFERROR(VLOOKUP(E531*1,Tabla[#All],8,0),0)</f>
        <v/>
      </c>
      <c r="T531" s="26">
        <f>S531*G531</f>
        <v/>
      </c>
      <c r="U531" s="26">
        <f>R531-T531</f>
        <v/>
      </c>
      <c r="V531" s="26">
        <f>U531-L531</f>
        <v/>
      </c>
    </row>
    <row r="532">
      <c r="A532" s="11" t="n">
        <v>46208</v>
      </c>
      <c r="B532" s="1" t="n">
        <v>20058</v>
      </c>
      <c r="C532" s="1" t="inlineStr">
        <is>
          <t>198</t>
        </is>
      </c>
      <c r="D532" s="1" t="inlineStr">
        <is>
          <t xml:space="preserve">17968 </t>
        </is>
      </c>
      <c r="E532" s="1" t="inlineStr">
        <is>
          <t xml:space="preserve">28194783       </t>
        </is>
      </c>
      <c r="F532" s="5" t="inlineStr">
        <is>
          <t>SET DE BATALLA INFINITY NADO CON 2 TROMPOS</t>
        </is>
      </c>
      <c r="G532" t="n">
        <v>1</v>
      </c>
      <c r="H532" s="7" t="n">
        <v>159</v>
      </c>
      <c r="I532" s="7" t="n">
        <v>0</v>
      </c>
      <c r="J532" s="7" t="n">
        <v>0</v>
      </c>
      <c r="K532" s="9" t="n">
        <v>0</v>
      </c>
      <c r="L532" s="10" t="n">
        <v>94.33</v>
      </c>
      <c r="M532" s="10" t="n">
        <v>1.43</v>
      </c>
      <c r="N532" t="inlineStr">
        <is>
          <t>1</t>
        </is>
      </c>
      <c r="O532" t="inlineStr">
        <is>
          <t xml:space="preserve">2 </t>
        </is>
      </c>
      <c r="P532" t="inlineStr">
        <is>
          <t xml:space="preserve">231899  </t>
        </is>
      </c>
      <c r="Q532" s="26" t="n">
        <v>94.31999999999999</v>
      </c>
      <c r="R532" s="26">
        <f>Q532*G532</f>
        <v/>
      </c>
      <c r="S532" s="26">
        <f>IFERROR(VLOOKUP(E532*1,Tabla[#All],8,0),0)</f>
        <v/>
      </c>
      <c r="T532" s="26">
        <f>S532*G532</f>
        <v/>
      </c>
      <c r="U532" s="26">
        <f>R532-T532</f>
        <v/>
      </c>
      <c r="V532" s="26">
        <f>U532-L532</f>
        <v/>
      </c>
    </row>
    <row r="533">
      <c r="A533" s="11" t="n">
        <v>46208</v>
      </c>
      <c r="B533" s="1" t="n">
        <v>20058</v>
      </c>
      <c r="C533" s="1" t="inlineStr">
        <is>
          <t>502</t>
        </is>
      </c>
      <c r="D533" s="1" t="inlineStr">
        <is>
          <t xml:space="preserve">8964  </t>
        </is>
      </c>
      <c r="E533" s="1" t="inlineStr">
        <is>
          <t xml:space="preserve">29235700       </t>
        </is>
      </c>
      <c r="F533" s="5" t="inlineStr">
        <is>
          <t>HOT WHEELS CASE METALICO PARA GUARDAR 18 CARRITOS</t>
        </is>
      </c>
      <c r="G533" t="n">
        <v>1</v>
      </c>
      <c r="H533" s="7" t="n">
        <v>49.9</v>
      </c>
      <c r="I533" s="7" t="n">
        <v>0</v>
      </c>
      <c r="J533" s="7" t="n">
        <v>0</v>
      </c>
      <c r="K533" s="9" t="n">
        <v>0</v>
      </c>
      <c r="L533" s="10" t="n">
        <v>29.6</v>
      </c>
      <c r="M533" s="10" t="n">
        <v>1.43</v>
      </c>
      <c r="N533" t="inlineStr">
        <is>
          <t>1</t>
        </is>
      </c>
      <c r="O533" t="inlineStr">
        <is>
          <t>16</t>
        </is>
      </c>
      <c r="P533" t="inlineStr">
        <is>
          <t xml:space="preserve">246464  </t>
        </is>
      </c>
      <c r="Q533" s="26" t="n">
        <v>29.6</v>
      </c>
      <c r="R533" s="26">
        <f>Q533*G533</f>
        <v/>
      </c>
      <c r="S533" s="26">
        <f>IFERROR(VLOOKUP(E533*1,Tabla[#All],8,0),0)</f>
        <v/>
      </c>
      <c r="T533" s="26">
        <f>S533*G533</f>
        <v/>
      </c>
      <c r="U533" s="26">
        <f>R533-T533</f>
        <v/>
      </c>
      <c r="V533" s="26">
        <f>U533-L533</f>
        <v/>
      </c>
    </row>
    <row r="534">
      <c r="A534" s="11" t="n">
        <v>46208</v>
      </c>
      <c r="B534" s="1" t="n">
        <v>20058</v>
      </c>
      <c r="C534" s="1" t="inlineStr">
        <is>
          <t>803</t>
        </is>
      </c>
      <c r="D534" s="1" t="inlineStr">
        <is>
          <t xml:space="preserve">1626  </t>
        </is>
      </c>
      <c r="E534" s="1" t="inlineStr">
        <is>
          <t xml:space="preserve">28194770       </t>
        </is>
      </c>
      <c r="F534" s="5" t="inlineStr">
        <is>
          <t>AUTOS DE METAL 3 TEAMSTERZ EN BLISTER</t>
        </is>
      </c>
      <c r="G534" t="n">
        <v>1</v>
      </c>
      <c r="H534" s="7" t="n">
        <v>6.9</v>
      </c>
      <c r="I534" s="7" t="n">
        <v>0</v>
      </c>
      <c r="J534" s="7" t="n">
        <v>0</v>
      </c>
      <c r="K534" s="9" t="n">
        <v>0</v>
      </c>
      <c r="L534" s="10" t="n">
        <v>4.1</v>
      </c>
      <c r="M534" s="10" t="n">
        <v>1.43</v>
      </c>
      <c r="N534" t="inlineStr">
        <is>
          <t>1</t>
        </is>
      </c>
      <c r="O534" t="inlineStr">
        <is>
          <t>16</t>
        </is>
      </c>
      <c r="P534" t="inlineStr">
        <is>
          <t xml:space="preserve">249637  </t>
        </is>
      </c>
      <c r="Q534" s="26" t="n">
        <v>4.09</v>
      </c>
      <c r="R534" s="26">
        <f>Q534*G534</f>
        <v/>
      </c>
      <c r="S534" s="26">
        <f>IFERROR(VLOOKUP(E534*1,Tabla[#All],8,0),0)</f>
        <v/>
      </c>
      <c r="T534" s="26">
        <f>S534*G534</f>
        <v/>
      </c>
      <c r="U534" s="26">
        <f>R534-T534</f>
        <v/>
      </c>
      <c r="V534" s="26">
        <f>U534-L534</f>
        <v/>
      </c>
    </row>
    <row r="535">
      <c r="A535" s="11" t="n">
        <v>46208</v>
      </c>
      <c r="B535" s="1" t="n">
        <v>20062</v>
      </c>
      <c r="C535" s="1" t="inlineStr">
        <is>
          <t>017</t>
        </is>
      </c>
      <c r="D535" s="1" t="inlineStr">
        <is>
          <t>235085</t>
        </is>
      </c>
      <c r="E535" s="1" t="inlineStr">
        <is>
          <t xml:space="preserve">32457117       </t>
        </is>
      </c>
      <c r="F535" s="5" t="inlineStr">
        <is>
          <t>MUNECA EVI LOVE CON PERRITO + CASA Y ACCES.</t>
        </is>
      </c>
      <c r="G535" t="n">
        <v>1</v>
      </c>
      <c r="H535" s="7" t="n">
        <v>34.9</v>
      </c>
      <c r="I535" s="7" t="n">
        <v>0</v>
      </c>
      <c r="J535" s="7" t="n">
        <v>0</v>
      </c>
      <c r="K535" s="9" t="n">
        <v>0</v>
      </c>
      <c r="L535" s="10" t="n">
        <v>20.71</v>
      </c>
      <c r="M535" s="10" t="n">
        <v>1.43</v>
      </c>
      <c r="N535" t="inlineStr">
        <is>
          <t>1</t>
        </is>
      </c>
      <c r="O535" t="inlineStr">
        <is>
          <t xml:space="preserve">3 </t>
        </is>
      </c>
      <c r="P535" t="inlineStr">
        <is>
          <t xml:space="preserve">247900  </t>
        </is>
      </c>
      <c r="Q535" s="26" t="n">
        <v>20.7</v>
      </c>
      <c r="R535" s="26">
        <f>Q535*G535</f>
        <v/>
      </c>
      <c r="S535" s="26">
        <f>IFERROR(VLOOKUP(E535*1,Tabla[#All],8,0),0)</f>
        <v/>
      </c>
      <c r="T535" s="26">
        <f>S535*G535</f>
        <v/>
      </c>
      <c r="U535" s="26">
        <f>R535-T535</f>
        <v/>
      </c>
      <c r="V535" s="26">
        <f>U535-L535</f>
        <v/>
      </c>
    </row>
    <row r="536">
      <c r="A536" s="11" t="n">
        <v>46208</v>
      </c>
      <c r="B536" s="1" t="n">
        <v>20062</v>
      </c>
      <c r="C536" s="1" t="inlineStr">
        <is>
          <t>017</t>
        </is>
      </c>
      <c r="D536" s="1" t="inlineStr">
        <is>
          <t>235098</t>
        </is>
      </c>
      <c r="E536" s="1" t="inlineStr">
        <is>
          <t xml:space="preserve">28194781       </t>
        </is>
      </c>
      <c r="F536" s="5" t="inlineStr">
        <is>
          <t>TROMPO BATALLA INFINITY NADO SERIE V CLASICA SURTI</t>
        </is>
      </c>
      <c r="G536" t="n">
        <v>1</v>
      </c>
      <c r="H536" s="7" t="n">
        <v>59.9</v>
      </c>
      <c r="I536" s="7" t="n">
        <v>0</v>
      </c>
      <c r="J536" s="7" t="n">
        <v>0</v>
      </c>
      <c r="K536" s="9" t="n">
        <v>0</v>
      </c>
      <c r="L536" s="10" t="n">
        <v>35.53</v>
      </c>
      <c r="M536" s="10" t="n">
        <v>1.43</v>
      </c>
      <c r="N536" t="inlineStr">
        <is>
          <t>1</t>
        </is>
      </c>
      <c r="O536" t="inlineStr">
        <is>
          <t>16</t>
        </is>
      </c>
      <c r="P536" t="inlineStr">
        <is>
          <t xml:space="preserve">244467  </t>
        </is>
      </c>
      <c r="Q536" s="26" t="n">
        <v>35.53</v>
      </c>
      <c r="R536" s="26">
        <f>Q536*G536</f>
        <v/>
      </c>
      <c r="S536" s="26">
        <f>IFERROR(VLOOKUP(E536*1,Tabla[#All],8,0),0)</f>
        <v/>
      </c>
      <c r="T536" s="26">
        <f>S536*G536</f>
        <v/>
      </c>
      <c r="U536" s="26">
        <f>R536-T536</f>
        <v/>
      </c>
      <c r="V536" s="26">
        <f>U536-L536</f>
        <v/>
      </c>
    </row>
    <row r="537">
      <c r="A537" s="11" t="n">
        <v>46208</v>
      </c>
      <c r="B537" s="1" t="n">
        <v>20062</v>
      </c>
      <c r="C537" s="1" t="inlineStr">
        <is>
          <t>053</t>
        </is>
      </c>
      <c r="D537" s="1" t="inlineStr">
        <is>
          <t>242594</t>
        </is>
      </c>
      <c r="E537" s="1" t="inlineStr">
        <is>
          <t xml:space="preserve">32457118       </t>
        </is>
      </c>
      <c r="F537" s="5" t="inlineStr">
        <is>
          <t>MUNECA EVI LOVE CAMAROTE + 2 MUNECAS</t>
        </is>
      </c>
      <c r="G537" t="n">
        <v>1</v>
      </c>
      <c r="H537" s="7" t="n">
        <v>49.9</v>
      </c>
      <c r="I537" s="7" t="n">
        <v>0</v>
      </c>
      <c r="J537" s="7" t="n">
        <v>0</v>
      </c>
      <c r="K537" s="9" t="n">
        <v>0</v>
      </c>
      <c r="L537" s="10" t="n">
        <v>29.6</v>
      </c>
      <c r="M537" s="10" t="n">
        <v>1.43</v>
      </c>
      <c r="N537" t="inlineStr">
        <is>
          <t>1</t>
        </is>
      </c>
      <c r="O537" t="inlineStr">
        <is>
          <t>16</t>
        </is>
      </c>
      <c r="P537" t="inlineStr">
        <is>
          <t xml:space="preserve">88849   </t>
        </is>
      </c>
      <c r="Q537" s="26" t="n">
        <v>29.6</v>
      </c>
      <c r="R537" s="26">
        <f>Q537*G537</f>
        <v/>
      </c>
      <c r="S537" s="26">
        <f>IFERROR(VLOOKUP(E537*1,Tabla[#All],8,0),0)</f>
        <v/>
      </c>
      <c r="T537" s="26">
        <f>S537*G537</f>
        <v/>
      </c>
      <c r="U537" s="26">
        <f>R537-T537</f>
        <v/>
      </c>
      <c r="V537" s="26">
        <f>U537-L537</f>
        <v/>
      </c>
    </row>
    <row r="538">
      <c r="A538" s="11" t="n">
        <v>46208</v>
      </c>
      <c r="B538" s="1" t="n">
        <v>20062</v>
      </c>
      <c r="C538" s="1" t="inlineStr">
        <is>
          <t>830</t>
        </is>
      </c>
      <c r="D538" s="1" t="inlineStr">
        <is>
          <t xml:space="preserve">4895  </t>
        </is>
      </c>
      <c r="E538" s="1" t="inlineStr">
        <is>
          <t xml:space="preserve">28194770       </t>
        </is>
      </c>
      <c r="F538" s="5" t="inlineStr">
        <is>
          <t>AUTOS DE METAL 3 TEAMSTERZ EN BLISTER</t>
        </is>
      </c>
      <c r="G538" t="n">
        <v>1</v>
      </c>
      <c r="H538" s="7" t="n">
        <v>6.9</v>
      </c>
      <c r="I538" s="7" t="n">
        <v>0</v>
      </c>
      <c r="J538" s="7" t="n">
        <v>0</v>
      </c>
      <c r="K538" s="9" t="n">
        <v>0</v>
      </c>
      <c r="L538" s="10" t="n">
        <v>4.1</v>
      </c>
      <c r="M538" s="10" t="n">
        <v>1.43</v>
      </c>
      <c r="N538" t="inlineStr">
        <is>
          <t>1</t>
        </is>
      </c>
      <c r="O538" t="inlineStr">
        <is>
          <t>16</t>
        </is>
      </c>
      <c r="P538" t="inlineStr">
        <is>
          <t xml:space="preserve">0       </t>
        </is>
      </c>
      <c r="Q538" s="26" t="n">
        <v>4.09</v>
      </c>
      <c r="R538" s="26">
        <f>Q538*G538</f>
        <v/>
      </c>
      <c r="S538" s="26">
        <f>IFERROR(VLOOKUP(E538*1,Tabla[#All],8,0),0)</f>
        <v/>
      </c>
      <c r="T538" s="26">
        <f>S538*G538</f>
        <v/>
      </c>
      <c r="U538" s="26">
        <f>R538-T538</f>
        <v/>
      </c>
      <c r="V538" s="26">
        <f>U538-L538</f>
        <v/>
      </c>
    </row>
    <row r="539">
      <c r="A539" s="11" t="n">
        <v>46208</v>
      </c>
      <c r="B539" s="1" t="n">
        <v>20062</v>
      </c>
      <c r="C539" s="1" t="inlineStr">
        <is>
          <t>831</t>
        </is>
      </c>
      <c r="D539" s="1" t="inlineStr">
        <is>
          <t xml:space="preserve">1311  </t>
        </is>
      </c>
      <c r="E539" s="1" t="inlineStr">
        <is>
          <t xml:space="preserve">31754678       </t>
        </is>
      </c>
      <c r="F539" s="5" t="inlineStr">
        <is>
          <t>PINYPON CELEBRACION DE CUMPLEANOS + ACCESS.</t>
        </is>
      </c>
      <c r="G539" t="n">
        <v>1</v>
      </c>
      <c r="H539" s="7" t="n">
        <v>69.90000000000001</v>
      </c>
      <c r="I539" s="7" t="n">
        <v>0</v>
      </c>
      <c r="J539" s="7" t="n">
        <v>0</v>
      </c>
      <c r="K539" s="9" t="n">
        <v>0</v>
      </c>
      <c r="L539" s="10" t="n">
        <v>41.47</v>
      </c>
      <c r="M539" s="10" t="n">
        <v>1.43</v>
      </c>
      <c r="N539" t="inlineStr">
        <is>
          <t>1</t>
        </is>
      </c>
      <c r="O539" t="inlineStr">
        <is>
          <t>16</t>
        </is>
      </c>
      <c r="P539" t="inlineStr">
        <is>
          <t xml:space="preserve">0       </t>
        </is>
      </c>
      <c r="Q539" s="26" t="n">
        <v>41.47</v>
      </c>
      <c r="R539" s="26">
        <f>Q539*G539</f>
        <v/>
      </c>
      <c r="S539" s="26">
        <f>IFERROR(VLOOKUP(E539*1,Tabla[#All],8,0),0)</f>
        <v/>
      </c>
      <c r="T539" s="26">
        <f>S539*G539</f>
        <v/>
      </c>
      <c r="U539" s="26">
        <f>R539-T539</f>
        <v/>
      </c>
      <c r="V539" s="26">
        <f>U539-L539</f>
        <v/>
      </c>
    </row>
    <row r="540">
      <c r="A540" s="11" t="n">
        <v>46208</v>
      </c>
      <c r="B540" s="1" t="n">
        <v>20066</v>
      </c>
      <c r="C540" s="1" t="inlineStr">
        <is>
          <t>057</t>
        </is>
      </c>
      <c r="D540" s="1" t="inlineStr">
        <is>
          <t>493289</t>
        </is>
      </c>
      <c r="E540" s="1" t="inlineStr">
        <is>
          <t xml:space="preserve">28194770       </t>
        </is>
      </c>
      <c r="F540" s="5" t="inlineStr">
        <is>
          <t>AUTOS DE METAL 3 TEAMSTERZ EN BLISTER</t>
        </is>
      </c>
      <c r="G540" t="n">
        <v>1</v>
      </c>
      <c r="H540" s="7" t="n">
        <v>6.9</v>
      </c>
      <c r="I540" s="7" t="n">
        <v>0</v>
      </c>
      <c r="J540" s="7" t="n">
        <v>0</v>
      </c>
      <c r="K540" s="9" t="n">
        <v>0</v>
      </c>
      <c r="L540" s="10" t="n">
        <v>4.1</v>
      </c>
      <c r="M540" s="10" t="n">
        <v>1.43</v>
      </c>
      <c r="N540" t="inlineStr">
        <is>
          <t>1</t>
        </is>
      </c>
      <c r="O540" t="inlineStr">
        <is>
          <t>16</t>
        </is>
      </c>
      <c r="P540" t="inlineStr">
        <is>
          <t xml:space="preserve">49848   </t>
        </is>
      </c>
      <c r="Q540" s="26" t="n">
        <v>4.09</v>
      </c>
      <c r="R540" s="26">
        <f>Q540*G540</f>
        <v/>
      </c>
      <c r="S540" s="26">
        <f>IFERROR(VLOOKUP(E540*1,Tabla[#All],8,0),0)</f>
        <v/>
      </c>
      <c r="T540" s="26">
        <f>S540*G540</f>
        <v/>
      </c>
      <c r="U540" s="26">
        <f>R540-T540</f>
        <v/>
      </c>
      <c r="V540" s="26">
        <f>U540-L540</f>
        <v/>
      </c>
    </row>
    <row r="541">
      <c r="A541" s="11" t="n">
        <v>46208</v>
      </c>
      <c r="B541" s="1" t="n">
        <v>20066</v>
      </c>
      <c r="C541" s="1" t="inlineStr">
        <is>
          <t>057</t>
        </is>
      </c>
      <c r="D541" s="1" t="inlineStr">
        <is>
          <t>493289</t>
        </is>
      </c>
      <c r="E541" s="1" t="inlineStr">
        <is>
          <t xml:space="preserve">28194770       </t>
        </is>
      </c>
      <c r="F541" s="5" t="inlineStr">
        <is>
          <t>AUTOS DE METAL 3 TEAMSTERZ EN BLISTER</t>
        </is>
      </c>
      <c r="G541" t="n">
        <v>1</v>
      </c>
      <c r="H541" s="7" t="n">
        <v>6.9</v>
      </c>
      <c r="I541" s="7" t="n">
        <v>0</v>
      </c>
      <c r="J541" s="7" t="n">
        <v>0</v>
      </c>
      <c r="K541" s="9" t="n">
        <v>0</v>
      </c>
      <c r="L541" s="10" t="n">
        <v>4.1</v>
      </c>
      <c r="M541" s="10" t="n">
        <v>1.43</v>
      </c>
      <c r="N541" t="inlineStr">
        <is>
          <t>1</t>
        </is>
      </c>
      <c r="O541" t="inlineStr">
        <is>
          <t>16</t>
        </is>
      </c>
      <c r="P541" t="inlineStr">
        <is>
          <t xml:space="preserve">49848   </t>
        </is>
      </c>
      <c r="Q541" s="26" t="n">
        <v>4.09</v>
      </c>
      <c r="R541" s="26">
        <f>Q541*G541</f>
        <v/>
      </c>
      <c r="S541" s="26">
        <f>IFERROR(VLOOKUP(E541*1,Tabla[#All],8,0),0)</f>
        <v/>
      </c>
      <c r="T541" s="26">
        <f>S541*G541</f>
        <v/>
      </c>
      <c r="U541" s="26">
        <f>R541-T541</f>
        <v/>
      </c>
      <c r="V541" s="26">
        <f>U541-L541</f>
        <v/>
      </c>
    </row>
    <row r="542">
      <c r="A542" s="11" t="n">
        <v>46208</v>
      </c>
      <c r="B542" s="1" t="n">
        <v>20066</v>
      </c>
      <c r="C542" s="1" t="inlineStr">
        <is>
          <t>057</t>
        </is>
      </c>
      <c r="D542" s="1" t="inlineStr">
        <is>
          <t>493321</t>
        </is>
      </c>
      <c r="E542" s="1" t="inlineStr">
        <is>
          <t xml:space="preserve">28194770       </t>
        </is>
      </c>
      <c r="F542" s="5" t="inlineStr">
        <is>
          <t>AUTOS DE METAL 3 TEAMSTERZ EN BLISTER</t>
        </is>
      </c>
      <c r="G542" t="n">
        <v>1</v>
      </c>
      <c r="H542" s="7" t="n">
        <v>6.9</v>
      </c>
      <c r="I542" s="7" t="n">
        <v>0</v>
      </c>
      <c r="J542" s="7" t="n">
        <v>0</v>
      </c>
      <c r="K542" s="9" t="n">
        <v>0</v>
      </c>
      <c r="L542" s="10" t="n">
        <v>4.1</v>
      </c>
      <c r="M542" s="10" t="n">
        <v>1.43</v>
      </c>
      <c r="N542" t="inlineStr">
        <is>
          <t>1</t>
        </is>
      </c>
      <c r="O542" t="inlineStr">
        <is>
          <t xml:space="preserve">2 </t>
        </is>
      </c>
      <c r="P542" t="inlineStr">
        <is>
          <t xml:space="preserve">49848   </t>
        </is>
      </c>
      <c r="Q542" s="26" t="n">
        <v>4.09</v>
      </c>
      <c r="R542" s="26">
        <f>Q542*G542</f>
        <v/>
      </c>
      <c r="S542" s="26">
        <f>IFERROR(VLOOKUP(E542*1,Tabla[#All],8,0),0)</f>
        <v/>
      </c>
      <c r="T542" s="26">
        <f>S542*G542</f>
        <v/>
      </c>
      <c r="U542" s="26">
        <f>R542-T542</f>
        <v/>
      </c>
      <c r="V542" s="26">
        <f>U542-L542</f>
        <v/>
      </c>
    </row>
    <row r="543">
      <c r="A543" s="11" t="n">
        <v>46208</v>
      </c>
      <c r="B543" s="1" t="n">
        <v>20066</v>
      </c>
      <c r="C543" s="1" t="inlineStr">
        <is>
          <t>058</t>
        </is>
      </c>
      <c r="D543" s="1" t="inlineStr">
        <is>
          <t xml:space="preserve">59788 </t>
        </is>
      </c>
      <c r="E543" s="1" t="inlineStr">
        <is>
          <t xml:space="preserve">32656416       </t>
        </is>
      </c>
      <c r="F543" s="5" t="inlineStr">
        <is>
          <t>EL PISO ES LAVA</t>
        </is>
      </c>
      <c r="G543" t="n">
        <v>1</v>
      </c>
      <c r="H543" s="7" t="n">
        <v>79.90000000000001</v>
      </c>
      <c r="I543" s="7" t="n">
        <v>45</v>
      </c>
      <c r="J543" s="7" t="n">
        <v>0</v>
      </c>
      <c r="K543" s="9" t="n">
        <v>45</v>
      </c>
      <c r="L543" s="10" t="n">
        <v>20.71</v>
      </c>
      <c r="M543" s="10" t="n">
        <v>1.43</v>
      </c>
      <c r="N543" t="inlineStr">
        <is>
          <t>1</t>
        </is>
      </c>
      <c r="O543" t="inlineStr">
        <is>
          <t xml:space="preserve">3 </t>
        </is>
      </c>
      <c r="P543" t="inlineStr">
        <is>
          <t xml:space="preserve">62683   </t>
        </is>
      </c>
      <c r="Q543" s="26" t="n">
        <v>47.4</v>
      </c>
      <c r="R543" s="26">
        <f>Q543*G543</f>
        <v/>
      </c>
      <c r="S543" s="26">
        <f>IFERROR(VLOOKUP(E543*1,Tabla[#All],8,0),0)</f>
        <v/>
      </c>
      <c r="T543" s="26">
        <f>S543*G543</f>
        <v/>
      </c>
      <c r="U543" s="26">
        <f>R543-T543</f>
        <v/>
      </c>
      <c r="V543" s="26">
        <f>U543-L543</f>
        <v/>
      </c>
    </row>
    <row r="544">
      <c r="A544" s="11" t="n">
        <v>46208</v>
      </c>
      <c r="B544" s="1" t="n">
        <v>20066</v>
      </c>
      <c r="C544" s="1" t="inlineStr">
        <is>
          <t>058</t>
        </is>
      </c>
      <c r="D544" s="1" t="inlineStr">
        <is>
          <t xml:space="preserve">59900 </t>
        </is>
      </c>
      <c r="E544" s="1" t="inlineStr">
        <is>
          <t xml:space="preserve">28194770       </t>
        </is>
      </c>
      <c r="F544" s="5" t="inlineStr">
        <is>
          <t>AUTOS DE METAL 3 TEAMSTERZ EN BLISTER</t>
        </is>
      </c>
      <c r="G544" t="n">
        <v>1</v>
      </c>
      <c r="H544" s="7" t="n">
        <v>6.9</v>
      </c>
      <c r="I544" s="7" t="n">
        <v>0</v>
      </c>
      <c r="J544" s="7" t="n">
        <v>0</v>
      </c>
      <c r="K544" s="9" t="n">
        <v>0</v>
      </c>
      <c r="L544" s="10" t="n">
        <v>4.1</v>
      </c>
      <c r="M544" s="10" t="n">
        <v>1.43</v>
      </c>
      <c r="N544" t="inlineStr">
        <is>
          <t>1</t>
        </is>
      </c>
      <c r="O544" t="inlineStr">
        <is>
          <t xml:space="preserve">3 </t>
        </is>
      </c>
      <c r="P544" t="inlineStr">
        <is>
          <t xml:space="preserve">62683   </t>
        </is>
      </c>
      <c r="Q544" s="26" t="n">
        <v>4.09</v>
      </c>
      <c r="R544" s="26">
        <f>Q544*G544</f>
        <v/>
      </c>
      <c r="S544" s="26">
        <f>IFERROR(VLOOKUP(E544*1,Tabla[#All],8,0),0)</f>
        <v/>
      </c>
      <c r="T544" s="26">
        <f>S544*G544</f>
        <v/>
      </c>
      <c r="U544" s="26">
        <f>R544-T544</f>
        <v/>
      </c>
      <c r="V544" s="26">
        <f>U544-L544</f>
        <v/>
      </c>
    </row>
    <row r="545">
      <c r="A545" s="11" t="n">
        <v>46208</v>
      </c>
      <c r="B545" s="1" t="n">
        <v>20066</v>
      </c>
      <c r="C545" s="1" t="inlineStr">
        <is>
          <t>833</t>
        </is>
      </c>
      <c r="D545" s="1" t="inlineStr">
        <is>
          <t xml:space="preserve">3320  </t>
        </is>
      </c>
      <c r="E545" s="1" t="inlineStr">
        <is>
          <t xml:space="preserve">28194769       </t>
        </is>
      </c>
      <c r="F545" s="5" t="inlineStr">
        <is>
          <t>AUTOS DE METAL 3 TEAMSTERZ PACK DE 2</t>
        </is>
      </c>
      <c r="G545" t="n">
        <v>1</v>
      </c>
      <c r="H545" s="7" t="n">
        <v>13.8</v>
      </c>
      <c r="I545" s="7" t="n">
        <v>0</v>
      </c>
      <c r="J545" s="7" t="n">
        <v>0</v>
      </c>
      <c r="K545" s="9" t="n">
        <v>0</v>
      </c>
      <c r="L545" s="10" t="n">
        <v>8.18</v>
      </c>
      <c r="M545" s="10" t="n">
        <v>1.43</v>
      </c>
      <c r="N545" t="inlineStr">
        <is>
          <t>1</t>
        </is>
      </c>
      <c r="O545" t="inlineStr">
        <is>
          <t>16</t>
        </is>
      </c>
      <c r="P545" t="inlineStr">
        <is>
          <t xml:space="preserve">0       </t>
        </is>
      </c>
      <c r="Q545" s="26" t="n">
        <v>8.19</v>
      </c>
      <c r="R545" s="26">
        <f>Q545*G545</f>
        <v/>
      </c>
      <c r="S545" s="26">
        <f>IFERROR(VLOOKUP(E545*1,Tabla[#All],8,0),0)</f>
        <v/>
      </c>
      <c r="T545" s="26">
        <f>S545*G545</f>
        <v/>
      </c>
      <c r="U545" s="26">
        <f>R545-T545</f>
        <v/>
      </c>
      <c r="V545" s="26">
        <f>U545-L545</f>
        <v/>
      </c>
    </row>
    <row r="546">
      <c r="A546" s="11" t="n">
        <v>46208</v>
      </c>
      <c r="B546" s="1" t="n">
        <v>20066</v>
      </c>
      <c r="C546" s="1" t="inlineStr">
        <is>
          <t>833</t>
        </is>
      </c>
      <c r="D546" s="1" t="inlineStr">
        <is>
          <t xml:space="preserve">3336  </t>
        </is>
      </c>
      <c r="E546" s="1" t="inlineStr">
        <is>
          <t xml:space="preserve">28194769       </t>
        </is>
      </c>
      <c r="F546" s="5" t="inlineStr">
        <is>
          <t>AUTOS DE METAL 3 TEAMSTERZ PACK DE 2</t>
        </is>
      </c>
      <c r="G546" t="n">
        <v>1</v>
      </c>
      <c r="H546" s="7" t="n">
        <v>13.8</v>
      </c>
      <c r="I546" s="7" t="n">
        <v>0</v>
      </c>
      <c r="J546" s="7" t="n">
        <v>0</v>
      </c>
      <c r="K546" s="9" t="n">
        <v>0</v>
      </c>
      <c r="L546" s="10" t="n">
        <v>8.18</v>
      </c>
      <c r="M546" s="10" t="n">
        <v>1.43</v>
      </c>
      <c r="N546" t="inlineStr">
        <is>
          <t>1</t>
        </is>
      </c>
      <c r="O546" t="inlineStr">
        <is>
          <t>16</t>
        </is>
      </c>
      <c r="P546" t="inlineStr">
        <is>
          <t xml:space="preserve">0       </t>
        </is>
      </c>
      <c r="Q546" s="26" t="n">
        <v>8.19</v>
      </c>
      <c r="R546" s="26">
        <f>Q546*G546</f>
        <v/>
      </c>
      <c r="S546" s="26">
        <f>IFERROR(VLOOKUP(E546*1,Tabla[#All],8,0),0)</f>
        <v/>
      </c>
      <c r="T546" s="26">
        <f>S546*G546</f>
        <v/>
      </c>
      <c r="U546" s="26">
        <f>R546-T546</f>
        <v/>
      </c>
      <c r="V546" s="26">
        <f>U546-L546</f>
        <v/>
      </c>
    </row>
    <row r="547">
      <c r="A547" s="11" t="n">
        <v>46208</v>
      </c>
      <c r="B547" s="1" t="n">
        <v>20069</v>
      </c>
      <c r="C547" s="1" t="inlineStr">
        <is>
          <t>011</t>
        </is>
      </c>
      <c r="D547" s="1" t="inlineStr">
        <is>
          <t>193836</t>
        </is>
      </c>
      <c r="E547" s="1" t="inlineStr">
        <is>
          <t xml:space="preserve">29625610       </t>
        </is>
      </c>
      <c r="F547" s="5" t="inlineStr">
        <is>
          <t>SUPER WINGS FIGURAS DE ACCION ARTICULADA</t>
        </is>
      </c>
      <c r="G547" t="n">
        <v>1</v>
      </c>
      <c r="H547" s="7" t="n">
        <v>34.9</v>
      </c>
      <c r="I547" s="7" t="n">
        <v>0</v>
      </c>
      <c r="J547" s="7" t="n">
        <v>0</v>
      </c>
      <c r="K547" s="9" t="n">
        <v>0</v>
      </c>
      <c r="L547" s="10" t="n">
        <v>20.71</v>
      </c>
      <c r="M547" s="10" t="n">
        <v>1.43</v>
      </c>
      <c r="N547" t="inlineStr">
        <is>
          <t>1</t>
        </is>
      </c>
      <c r="O547" t="inlineStr">
        <is>
          <t>16</t>
        </is>
      </c>
      <c r="P547" t="inlineStr">
        <is>
          <t xml:space="preserve">248423  </t>
        </is>
      </c>
      <c r="Q547" s="26" t="n">
        <v>17.74</v>
      </c>
      <c r="R547" s="26">
        <f>Q547*G547</f>
        <v/>
      </c>
      <c r="S547" s="26">
        <f>IFERROR(VLOOKUP(E547*1,Tabla[#All],8,0),0)</f>
        <v/>
      </c>
      <c r="T547" s="26">
        <f>S547*G547</f>
        <v/>
      </c>
      <c r="U547" s="26">
        <f>R547-T547</f>
        <v/>
      </c>
      <c r="V547" s="26">
        <f>U547-L547</f>
        <v/>
      </c>
    </row>
    <row r="548">
      <c r="A548" s="11" t="n">
        <v>46208</v>
      </c>
      <c r="B548" s="1" t="n">
        <v>20073</v>
      </c>
      <c r="C548" s="1" t="inlineStr">
        <is>
          <t>016</t>
        </is>
      </c>
      <c r="D548" s="1" t="inlineStr">
        <is>
          <t xml:space="preserve">14207 </t>
        </is>
      </c>
      <c r="E548" s="1" t="inlineStr">
        <is>
          <t xml:space="preserve">28194770       </t>
        </is>
      </c>
      <c r="F548" s="5" t="inlineStr">
        <is>
          <t>AUTOS DE METAL 3 TEAMSTERZ EN BLISTER</t>
        </is>
      </c>
      <c r="G548" t="n">
        <v>1</v>
      </c>
      <c r="H548" s="7" t="n">
        <v>6.9</v>
      </c>
      <c r="I548" s="7" t="n">
        <v>0</v>
      </c>
      <c r="J548" s="7" t="n">
        <v>0</v>
      </c>
      <c r="K548" s="9" t="n">
        <v>0</v>
      </c>
      <c r="L548" s="10" t="n">
        <v>4.1</v>
      </c>
      <c r="M548" s="10" t="n">
        <v>1.43</v>
      </c>
      <c r="N548" t="inlineStr">
        <is>
          <t>1</t>
        </is>
      </c>
      <c r="O548" t="inlineStr">
        <is>
          <t>16</t>
        </is>
      </c>
      <c r="P548" t="inlineStr">
        <is>
          <t xml:space="preserve">91372   </t>
        </is>
      </c>
      <c r="Q548" s="26" t="n">
        <v>4.09</v>
      </c>
      <c r="R548" s="26">
        <f>Q548*G548</f>
        <v/>
      </c>
      <c r="S548" s="26">
        <f>IFERROR(VLOOKUP(E548*1,Tabla[#All],8,0),0)</f>
        <v/>
      </c>
      <c r="T548" s="26">
        <f>S548*G548</f>
        <v/>
      </c>
      <c r="U548" s="26">
        <f>R548-T548</f>
        <v/>
      </c>
      <c r="V548" s="26">
        <f>U548-L548</f>
        <v/>
      </c>
    </row>
    <row r="549">
      <c r="A549" s="11" t="n">
        <v>46208</v>
      </c>
      <c r="B549" s="1" t="n">
        <v>20073</v>
      </c>
      <c r="C549" s="1" t="inlineStr">
        <is>
          <t>016</t>
        </is>
      </c>
      <c r="D549" s="1" t="inlineStr">
        <is>
          <t xml:space="preserve">14208 </t>
        </is>
      </c>
      <c r="E549" s="1" t="inlineStr">
        <is>
          <t xml:space="preserve">28194770       </t>
        </is>
      </c>
      <c r="F549" s="5" t="inlineStr">
        <is>
          <t>AUTOS DE METAL 3 TEAMSTERZ EN BLISTER</t>
        </is>
      </c>
      <c r="G549" t="n">
        <v>1</v>
      </c>
      <c r="H549" s="7" t="n">
        <v>6.9</v>
      </c>
      <c r="I549" s="7" t="n">
        <v>0</v>
      </c>
      <c r="J549" s="7" t="n">
        <v>0</v>
      </c>
      <c r="K549" s="9" t="n">
        <v>0</v>
      </c>
      <c r="L549" s="10" t="n">
        <v>4.1</v>
      </c>
      <c r="M549" s="10" t="n">
        <v>1.43</v>
      </c>
      <c r="N549" t="inlineStr">
        <is>
          <t>1</t>
        </is>
      </c>
      <c r="O549" t="inlineStr">
        <is>
          <t xml:space="preserve">6 </t>
        </is>
      </c>
      <c r="P549" t="inlineStr">
        <is>
          <t xml:space="preserve">91372   </t>
        </is>
      </c>
      <c r="Q549" s="26" t="n">
        <v>4.09</v>
      </c>
      <c r="R549" s="26">
        <f>Q549*G549</f>
        <v/>
      </c>
      <c r="S549" s="26">
        <f>IFERROR(VLOOKUP(E549*1,Tabla[#All],8,0),0)</f>
        <v/>
      </c>
      <c r="T549" s="26">
        <f>S549*G549</f>
        <v/>
      </c>
      <c r="U549" s="26">
        <f>R549-T549</f>
        <v/>
      </c>
      <c r="V549" s="26">
        <f>U549-L549</f>
        <v/>
      </c>
    </row>
    <row r="550">
      <c r="A550" s="11" t="n">
        <v>46208</v>
      </c>
      <c r="B550" s="1" t="n">
        <v>20073</v>
      </c>
      <c r="C550" s="1" t="inlineStr">
        <is>
          <t>016</t>
        </is>
      </c>
      <c r="D550" s="1" t="inlineStr">
        <is>
          <t xml:space="preserve">14208 </t>
        </is>
      </c>
      <c r="E550" s="1" t="inlineStr">
        <is>
          <t xml:space="preserve">28194770       </t>
        </is>
      </c>
      <c r="F550" s="5" t="inlineStr">
        <is>
          <t>AUTOS DE METAL 3 TEAMSTERZ EN BLISTER</t>
        </is>
      </c>
      <c r="G550" t="n">
        <v>1</v>
      </c>
      <c r="H550" s="7" t="n">
        <v>6.9</v>
      </c>
      <c r="I550" s="7" t="n">
        <v>0</v>
      </c>
      <c r="J550" s="7" t="n">
        <v>0</v>
      </c>
      <c r="K550" s="9" t="n">
        <v>0</v>
      </c>
      <c r="L550" s="10" t="n">
        <v>4.1</v>
      </c>
      <c r="M550" s="10" t="n">
        <v>1.43</v>
      </c>
      <c r="N550" t="inlineStr">
        <is>
          <t>1</t>
        </is>
      </c>
      <c r="O550" t="inlineStr">
        <is>
          <t xml:space="preserve">6 </t>
        </is>
      </c>
      <c r="P550" t="inlineStr">
        <is>
          <t xml:space="preserve">91372   </t>
        </is>
      </c>
      <c r="Q550" s="26" t="n">
        <v>4.09</v>
      </c>
      <c r="R550" s="26">
        <f>Q550*G550</f>
        <v/>
      </c>
      <c r="S550" s="26">
        <f>IFERROR(VLOOKUP(E550*1,Tabla[#All],8,0),0)</f>
        <v/>
      </c>
      <c r="T550" s="26">
        <f>S550*G550</f>
        <v/>
      </c>
      <c r="U550" s="26">
        <f>R550-T550</f>
        <v/>
      </c>
      <c r="V550" s="26">
        <f>U550-L550</f>
        <v/>
      </c>
    </row>
    <row r="551">
      <c r="A551" s="11" t="n">
        <v>46208</v>
      </c>
      <c r="B551" s="1" t="n">
        <v>20073</v>
      </c>
      <c r="C551" s="1" t="inlineStr">
        <is>
          <t>016</t>
        </is>
      </c>
      <c r="D551" s="1" t="inlineStr">
        <is>
          <t xml:space="preserve">893   </t>
        </is>
      </c>
      <c r="E551" s="1" t="inlineStr">
        <is>
          <t xml:space="preserve">28194770       </t>
        </is>
      </c>
      <c r="F551" s="5" t="inlineStr">
        <is>
          <t>AUTOS DE METAL 3 TEAMSTERZ EN BLISTER</t>
        </is>
      </c>
      <c r="G551" t="n">
        <v>-1</v>
      </c>
      <c r="H551" s="7" t="n">
        <v>-6.9</v>
      </c>
      <c r="I551" s="7" t="n">
        <v>0</v>
      </c>
      <c r="J551" s="7" t="n">
        <v>0</v>
      </c>
      <c r="K551" s="9" t="n">
        <v>0</v>
      </c>
      <c r="L551" s="10" t="n">
        <v>-4.1</v>
      </c>
      <c r="M551" s="10" t="n">
        <v>0</v>
      </c>
      <c r="N551" t="inlineStr">
        <is>
          <t>3</t>
        </is>
      </c>
      <c r="O551" t="inlineStr">
        <is>
          <t>26</t>
        </is>
      </c>
      <c r="P551" t="inlineStr">
        <is>
          <t xml:space="preserve">72263   </t>
        </is>
      </c>
      <c r="Q551" s="26" t="n">
        <v>4.09</v>
      </c>
      <c r="R551" s="26">
        <f>Q551*G551</f>
        <v/>
      </c>
      <c r="S551" s="26">
        <f>IFERROR(VLOOKUP(E551*1,Tabla[#All],8,0),0)</f>
        <v/>
      </c>
      <c r="T551" s="26">
        <f>S551*G551</f>
        <v/>
      </c>
      <c r="U551" s="26">
        <f>R551-T551</f>
        <v/>
      </c>
      <c r="V551" s="26">
        <f>U551-L551</f>
        <v/>
      </c>
    </row>
    <row r="552">
      <c r="A552" s="11" t="n">
        <v>46208</v>
      </c>
      <c r="B552" s="1" t="n">
        <v>20073</v>
      </c>
      <c r="C552" s="1" t="inlineStr">
        <is>
          <t>020</t>
        </is>
      </c>
      <c r="D552" s="1" t="inlineStr">
        <is>
          <t>282880</t>
        </is>
      </c>
      <c r="E552" s="1" t="inlineStr">
        <is>
          <t xml:space="preserve">28194769       </t>
        </is>
      </c>
      <c r="F552" s="5" t="inlineStr">
        <is>
          <t>AUTOS DE METAL 3 TEAMSTERZ PACK DE 2</t>
        </is>
      </c>
      <c r="G552" t="n">
        <v>1</v>
      </c>
      <c r="H552" s="7" t="n">
        <v>13.8</v>
      </c>
      <c r="I552" s="7" t="n">
        <v>0</v>
      </c>
      <c r="J552" s="7" t="n">
        <v>0</v>
      </c>
      <c r="K552" s="9" t="n">
        <v>0</v>
      </c>
      <c r="L552" s="10" t="n">
        <v>8.18</v>
      </c>
      <c r="M552" s="10" t="n">
        <v>1.43</v>
      </c>
      <c r="N552" t="inlineStr">
        <is>
          <t>1</t>
        </is>
      </c>
      <c r="O552" t="inlineStr">
        <is>
          <t xml:space="preserve">3 </t>
        </is>
      </c>
      <c r="P552" t="inlineStr">
        <is>
          <t xml:space="preserve">250460  </t>
        </is>
      </c>
      <c r="Q552" s="26" t="n">
        <v>8.19</v>
      </c>
      <c r="R552" s="26">
        <f>Q552*G552</f>
        <v/>
      </c>
      <c r="S552" s="26">
        <f>IFERROR(VLOOKUP(E552*1,Tabla[#All],8,0),0)</f>
        <v/>
      </c>
      <c r="T552" s="26">
        <f>S552*G552</f>
        <v/>
      </c>
      <c r="U552" s="26">
        <f>R552-T552</f>
        <v/>
      </c>
      <c r="V552" s="26">
        <f>U552-L552</f>
        <v/>
      </c>
    </row>
    <row r="553">
      <c r="A553" s="11" t="n">
        <v>46208</v>
      </c>
      <c r="B553" s="1" t="n">
        <v>20073</v>
      </c>
      <c r="C553" s="1" t="inlineStr">
        <is>
          <t>020</t>
        </is>
      </c>
      <c r="D553" s="1" t="inlineStr">
        <is>
          <t>282880</t>
        </is>
      </c>
      <c r="E553" s="1" t="inlineStr">
        <is>
          <t xml:space="preserve">28194769       </t>
        </is>
      </c>
      <c r="F553" s="5" t="inlineStr">
        <is>
          <t>AUTOS DE METAL 3 TEAMSTERZ PACK DE 2</t>
        </is>
      </c>
      <c r="G553" t="n">
        <v>1</v>
      </c>
      <c r="H553" s="7" t="n">
        <v>13.8</v>
      </c>
      <c r="I553" s="7" t="n">
        <v>0</v>
      </c>
      <c r="J553" s="7" t="n">
        <v>0</v>
      </c>
      <c r="K553" s="9" t="n">
        <v>0</v>
      </c>
      <c r="L553" s="10" t="n">
        <v>8.18</v>
      </c>
      <c r="M553" s="10" t="n">
        <v>1.43</v>
      </c>
      <c r="N553" t="inlineStr">
        <is>
          <t>1</t>
        </is>
      </c>
      <c r="O553" t="inlineStr">
        <is>
          <t xml:space="preserve">3 </t>
        </is>
      </c>
      <c r="P553" t="inlineStr">
        <is>
          <t xml:space="preserve">250460  </t>
        </is>
      </c>
      <c r="Q553" s="26" t="n">
        <v>8.19</v>
      </c>
      <c r="R553" s="26">
        <f>Q553*G553</f>
        <v/>
      </c>
      <c r="S553" s="26">
        <f>IFERROR(VLOOKUP(E553*1,Tabla[#All],8,0),0)</f>
        <v/>
      </c>
      <c r="T553" s="26">
        <f>S553*G553</f>
        <v/>
      </c>
      <c r="U553" s="26">
        <f>R553-T553</f>
        <v/>
      </c>
      <c r="V553" s="26">
        <f>U553-L553</f>
        <v/>
      </c>
    </row>
    <row r="554">
      <c r="A554" s="11" t="n">
        <v>46208</v>
      </c>
      <c r="B554" s="1" t="n">
        <v>20073</v>
      </c>
      <c r="C554" s="1" t="inlineStr">
        <is>
          <t>032</t>
        </is>
      </c>
      <c r="D554" s="1" t="inlineStr">
        <is>
          <t>379191</t>
        </is>
      </c>
      <c r="E554" s="1" t="inlineStr">
        <is>
          <t xml:space="preserve">28194769       </t>
        </is>
      </c>
      <c r="F554" s="5" t="inlineStr">
        <is>
          <t>AUTOS DE METAL 3 TEAMSTERZ PACK DE 2</t>
        </is>
      </c>
      <c r="G554" t="n">
        <v>1</v>
      </c>
      <c r="H554" s="7" t="n">
        <v>13.8</v>
      </c>
      <c r="I554" s="7" t="n">
        <v>0</v>
      </c>
      <c r="J554" s="7" t="n">
        <v>0</v>
      </c>
      <c r="K554" s="9" t="n">
        <v>0</v>
      </c>
      <c r="L554" s="10" t="n">
        <v>8.18</v>
      </c>
      <c r="M554" s="10" t="n">
        <v>1.43</v>
      </c>
      <c r="N554" t="inlineStr">
        <is>
          <t>1</t>
        </is>
      </c>
      <c r="O554" t="inlineStr">
        <is>
          <t>16</t>
        </is>
      </c>
      <c r="P554" t="inlineStr">
        <is>
          <t xml:space="preserve">57881   </t>
        </is>
      </c>
      <c r="Q554" s="26" t="n">
        <v>8.19</v>
      </c>
      <c r="R554" s="26">
        <f>Q554*G554</f>
        <v/>
      </c>
      <c r="S554" s="26">
        <f>IFERROR(VLOOKUP(E554*1,Tabla[#All],8,0),0)</f>
        <v/>
      </c>
      <c r="T554" s="26">
        <f>S554*G554</f>
        <v/>
      </c>
      <c r="U554" s="26">
        <f>R554-T554</f>
        <v/>
      </c>
      <c r="V554" s="26">
        <f>U554-L554</f>
        <v/>
      </c>
    </row>
    <row r="555">
      <c r="A555" s="11" t="n">
        <v>46208</v>
      </c>
      <c r="B555" s="1" t="n">
        <v>20073</v>
      </c>
      <c r="C555" s="1" t="inlineStr">
        <is>
          <t>033</t>
        </is>
      </c>
      <c r="D555" s="1" t="inlineStr">
        <is>
          <t>313425</t>
        </is>
      </c>
      <c r="E555" s="1" t="inlineStr">
        <is>
          <t xml:space="preserve">28194768       </t>
        </is>
      </c>
      <c r="F555" s="5" t="inlineStr">
        <is>
          <t>AUTO COLOR CHANGE TEAMSTERZ SURTIDO</t>
        </is>
      </c>
      <c r="G555" t="n">
        <v>1</v>
      </c>
      <c r="H555" s="7" t="n">
        <v>14.9</v>
      </c>
      <c r="I555" s="7" t="n">
        <v>0</v>
      </c>
      <c r="J555" s="7" t="n">
        <v>0</v>
      </c>
      <c r="K555" s="9" t="n">
        <v>0</v>
      </c>
      <c r="L555" s="10" t="n">
        <v>8.84</v>
      </c>
      <c r="M555" s="10" t="n">
        <v>1.43</v>
      </c>
      <c r="N555" t="inlineStr">
        <is>
          <t>1</t>
        </is>
      </c>
      <c r="O555" t="inlineStr">
        <is>
          <t xml:space="preserve">2 </t>
        </is>
      </c>
      <c r="P555" t="inlineStr">
        <is>
          <t xml:space="preserve">57916   </t>
        </is>
      </c>
      <c r="Q555" s="26" t="n">
        <v>8.84</v>
      </c>
      <c r="R555" s="26">
        <f>Q555*G555</f>
        <v/>
      </c>
      <c r="S555" s="26">
        <f>IFERROR(VLOOKUP(E555*1,Tabla[#All],8,0),0)</f>
        <v/>
      </c>
      <c r="T555" s="26">
        <f>S555*G555</f>
        <v/>
      </c>
      <c r="U555" s="26">
        <f>R555-T555</f>
        <v/>
      </c>
      <c r="V555" s="26">
        <f>U555-L555</f>
        <v/>
      </c>
    </row>
    <row r="556">
      <c r="A556" s="11" t="n">
        <v>46208</v>
      </c>
      <c r="B556" s="1" t="n">
        <v>20073</v>
      </c>
      <c r="C556" s="1" t="inlineStr">
        <is>
          <t>034</t>
        </is>
      </c>
      <c r="D556" s="1" t="inlineStr">
        <is>
          <t>343970</t>
        </is>
      </c>
      <c r="E556" s="1" t="inlineStr">
        <is>
          <t xml:space="preserve">28194770       </t>
        </is>
      </c>
      <c r="F556" s="5" t="inlineStr">
        <is>
          <t>AUTOS DE METAL 3 TEAMSTERZ EN BLISTER</t>
        </is>
      </c>
      <c r="G556" t="n">
        <v>1</v>
      </c>
      <c r="H556" s="7" t="n">
        <v>6.9</v>
      </c>
      <c r="I556" s="7" t="n">
        <v>0</v>
      </c>
      <c r="J556" s="7" t="n">
        <v>0</v>
      </c>
      <c r="K556" s="9" t="n">
        <v>0</v>
      </c>
      <c r="L556" s="10" t="n">
        <v>4.1</v>
      </c>
      <c r="M556" s="10" t="n">
        <v>1.43</v>
      </c>
      <c r="N556" t="inlineStr">
        <is>
          <t>1</t>
        </is>
      </c>
      <c r="O556" t="inlineStr">
        <is>
          <t xml:space="preserve">3 </t>
        </is>
      </c>
      <c r="P556" t="inlineStr">
        <is>
          <t xml:space="preserve">57881   </t>
        </is>
      </c>
      <c r="Q556" s="26" t="n">
        <v>4.09</v>
      </c>
      <c r="R556" s="26">
        <f>Q556*G556</f>
        <v/>
      </c>
      <c r="S556" s="26">
        <f>IFERROR(VLOOKUP(E556*1,Tabla[#All],8,0),0)</f>
        <v/>
      </c>
      <c r="T556" s="26">
        <f>S556*G556</f>
        <v/>
      </c>
      <c r="U556" s="26">
        <f>R556-T556</f>
        <v/>
      </c>
      <c r="V556" s="26">
        <f>U556-L556</f>
        <v/>
      </c>
    </row>
    <row r="557">
      <c r="A557" s="11" t="n">
        <v>46208</v>
      </c>
      <c r="B557" s="1" t="n">
        <v>20073</v>
      </c>
      <c r="C557" s="1" t="inlineStr">
        <is>
          <t>034</t>
        </is>
      </c>
      <c r="D557" s="1" t="inlineStr">
        <is>
          <t>343970</t>
        </is>
      </c>
      <c r="E557" s="1" t="inlineStr">
        <is>
          <t xml:space="preserve">28194770       </t>
        </is>
      </c>
      <c r="F557" s="5" t="inlineStr">
        <is>
          <t>AUTOS DE METAL 3 TEAMSTERZ EN BLISTER</t>
        </is>
      </c>
      <c r="G557" t="n">
        <v>1</v>
      </c>
      <c r="H557" s="7" t="n">
        <v>6.9</v>
      </c>
      <c r="I557" s="7" t="n">
        <v>0</v>
      </c>
      <c r="J557" s="7" t="n">
        <v>0</v>
      </c>
      <c r="K557" s="9" t="n">
        <v>0</v>
      </c>
      <c r="L557" s="10" t="n">
        <v>4.1</v>
      </c>
      <c r="M557" s="10" t="n">
        <v>1.43</v>
      </c>
      <c r="N557" t="inlineStr">
        <is>
          <t>1</t>
        </is>
      </c>
      <c r="O557" t="inlineStr">
        <is>
          <t xml:space="preserve">3 </t>
        </is>
      </c>
      <c r="P557" t="inlineStr">
        <is>
          <t xml:space="preserve">57881   </t>
        </is>
      </c>
      <c r="Q557" s="26" t="n">
        <v>4.09</v>
      </c>
      <c r="R557" s="26">
        <f>Q557*G557</f>
        <v/>
      </c>
      <c r="S557" s="26">
        <f>IFERROR(VLOOKUP(E557*1,Tabla[#All],8,0),0)</f>
        <v/>
      </c>
      <c r="T557" s="26">
        <f>S557*G557</f>
        <v/>
      </c>
      <c r="U557" s="26">
        <f>R557-T557</f>
        <v/>
      </c>
      <c r="V557" s="26">
        <f>U557-L557</f>
        <v/>
      </c>
    </row>
    <row r="558">
      <c r="A558" s="11" t="n">
        <v>46208</v>
      </c>
      <c r="B558" s="1" t="n">
        <v>20073</v>
      </c>
      <c r="C558" s="1" t="inlineStr">
        <is>
          <t>045</t>
        </is>
      </c>
      <c r="D558" s="1" t="inlineStr">
        <is>
          <t>149349</t>
        </is>
      </c>
      <c r="E558" s="1" t="inlineStr">
        <is>
          <t xml:space="preserve">28194769       </t>
        </is>
      </c>
      <c r="F558" s="5" t="inlineStr">
        <is>
          <t>AUTOS DE METAL 3 TEAMSTERZ PACK DE 2</t>
        </is>
      </c>
      <c r="G558" t="n">
        <v>1</v>
      </c>
      <c r="H558" s="7" t="n">
        <v>13.8</v>
      </c>
      <c r="I558" s="7" t="n">
        <v>0</v>
      </c>
      <c r="J558" s="7" t="n">
        <v>0</v>
      </c>
      <c r="K558" s="9" t="n">
        <v>0</v>
      </c>
      <c r="L558" s="10" t="n">
        <v>8.18</v>
      </c>
      <c r="M558" s="10" t="n">
        <v>1.43</v>
      </c>
      <c r="N558" t="inlineStr">
        <is>
          <t>1</t>
        </is>
      </c>
      <c r="O558" t="inlineStr">
        <is>
          <t>16</t>
        </is>
      </c>
      <c r="P558" t="inlineStr">
        <is>
          <t xml:space="preserve">74879   </t>
        </is>
      </c>
      <c r="Q558" s="26" t="n">
        <v>8.19</v>
      </c>
      <c r="R558" s="26">
        <f>Q558*G558</f>
        <v/>
      </c>
      <c r="S558" s="26">
        <f>IFERROR(VLOOKUP(E558*1,Tabla[#All],8,0),0)</f>
        <v/>
      </c>
      <c r="T558" s="26">
        <f>S558*G558</f>
        <v/>
      </c>
      <c r="U558" s="26">
        <f>R558-T558</f>
        <v/>
      </c>
      <c r="V558" s="26">
        <f>U558-L558</f>
        <v/>
      </c>
    </row>
    <row r="559">
      <c r="A559" s="11" t="n">
        <v>46208</v>
      </c>
      <c r="B559" s="1" t="n">
        <v>20073</v>
      </c>
      <c r="C559" s="1" t="inlineStr">
        <is>
          <t>045</t>
        </is>
      </c>
      <c r="D559" s="1" t="inlineStr">
        <is>
          <t>149368</t>
        </is>
      </c>
      <c r="E559" s="1" t="inlineStr">
        <is>
          <t xml:space="preserve">28194768       </t>
        </is>
      </c>
      <c r="F559" s="5" t="inlineStr">
        <is>
          <t>AUTO COLOR CHANGE TEAMSTERZ SURTIDO</t>
        </is>
      </c>
      <c r="G559" t="n">
        <v>1</v>
      </c>
      <c r="H559" s="7" t="n">
        <v>14.9</v>
      </c>
      <c r="I559" s="7" t="n">
        <v>0</v>
      </c>
      <c r="J559" s="7" t="n">
        <v>0</v>
      </c>
      <c r="K559" s="9" t="n">
        <v>0</v>
      </c>
      <c r="L559" s="10" t="n">
        <v>8.84</v>
      </c>
      <c r="M559" s="10" t="n">
        <v>1.43</v>
      </c>
      <c r="N559" t="inlineStr">
        <is>
          <t>1</t>
        </is>
      </c>
      <c r="O559" t="inlineStr">
        <is>
          <t xml:space="preserve">2 </t>
        </is>
      </c>
      <c r="P559" t="inlineStr">
        <is>
          <t xml:space="preserve">74879   </t>
        </is>
      </c>
      <c r="Q559" s="26" t="n">
        <v>8.84</v>
      </c>
      <c r="R559" s="26">
        <f>Q559*G559</f>
        <v/>
      </c>
      <c r="S559" s="26">
        <f>IFERROR(VLOOKUP(E559*1,Tabla[#All],8,0),0)</f>
        <v/>
      </c>
      <c r="T559" s="26">
        <f>S559*G559</f>
        <v/>
      </c>
      <c r="U559" s="26">
        <f>R559-T559</f>
        <v/>
      </c>
      <c r="V559" s="26">
        <f>U559-L559</f>
        <v/>
      </c>
    </row>
    <row r="560">
      <c r="A560" s="11" t="n">
        <v>46208</v>
      </c>
      <c r="B560" s="1" t="n">
        <v>20073</v>
      </c>
      <c r="C560" s="1" t="inlineStr">
        <is>
          <t>045</t>
        </is>
      </c>
      <c r="D560" s="1" t="inlineStr">
        <is>
          <t>149373</t>
        </is>
      </c>
      <c r="E560" s="1" t="inlineStr">
        <is>
          <t xml:space="preserve">28194769       </t>
        </is>
      </c>
      <c r="F560" s="5" t="inlineStr">
        <is>
          <t>AUTOS DE METAL 3 TEAMSTERZ PACK DE 2</t>
        </is>
      </c>
      <c r="G560" t="n">
        <v>1</v>
      </c>
      <c r="H560" s="7" t="n">
        <v>13.8</v>
      </c>
      <c r="I560" s="7" t="n">
        <v>0</v>
      </c>
      <c r="J560" s="7" t="n">
        <v>0</v>
      </c>
      <c r="K560" s="9" t="n">
        <v>0</v>
      </c>
      <c r="L560" s="10" t="n">
        <v>8.18</v>
      </c>
      <c r="M560" s="10" t="n">
        <v>1.43</v>
      </c>
      <c r="N560" t="inlineStr">
        <is>
          <t>1</t>
        </is>
      </c>
      <c r="O560" t="inlineStr">
        <is>
          <t>16</t>
        </is>
      </c>
      <c r="P560" t="inlineStr">
        <is>
          <t xml:space="preserve">74879   </t>
        </is>
      </c>
      <c r="Q560" s="26" t="n">
        <v>8.19</v>
      </c>
      <c r="R560" s="26">
        <f>Q560*G560</f>
        <v/>
      </c>
      <c r="S560" s="26">
        <f>IFERROR(VLOOKUP(E560*1,Tabla[#All],8,0),0)</f>
        <v/>
      </c>
      <c r="T560" s="26">
        <f>S560*G560</f>
        <v/>
      </c>
      <c r="U560" s="26">
        <f>R560-T560</f>
        <v/>
      </c>
      <c r="V560" s="26">
        <f>U560-L560</f>
        <v/>
      </c>
    </row>
    <row r="561">
      <c r="A561" s="11" t="n">
        <v>46208</v>
      </c>
      <c r="B561" s="1" t="n">
        <v>20073</v>
      </c>
      <c r="C561" s="1" t="inlineStr">
        <is>
          <t>045</t>
        </is>
      </c>
      <c r="D561" s="1" t="inlineStr">
        <is>
          <t>149373</t>
        </is>
      </c>
      <c r="E561" s="1" t="inlineStr">
        <is>
          <t xml:space="preserve">28194770       </t>
        </is>
      </c>
      <c r="F561" s="5" t="inlineStr">
        <is>
          <t>AUTOS DE METAL 3 TEAMSTERZ EN BLISTER</t>
        </is>
      </c>
      <c r="G561" t="n">
        <v>1</v>
      </c>
      <c r="H561" s="7" t="n">
        <v>6.9</v>
      </c>
      <c r="I561" s="7" t="n">
        <v>0</v>
      </c>
      <c r="J561" s="7" t="n">
        <v>0</v>
      </c>
      <c r="K561" s="9" t="n">
        <v>0</v>
      </c>
      <c r="L561" s="10" t="n">
        <v>4.1</v>
      </c>
      <c r="M561" s="10" t="n">
        <v>1.43</v>
      </c>
      <c r="N561" t="inlineStr">
        <is>
          <t>1</t>
        </is>
      </c>
      <c r="O561" t="inlineStr">
        <is>
          <t>16</t>
        </is>
      </c>
      <c r="P561" t="inlineStr">
        <is>
          <t xml:space="preserve">74879   </t>
        </is>
      </c>
      <c r="Q561" s="26" t="n">
        <v>4.09</v>
      </c>
      <c r="R561" s="26">
        <f>Q561*G561</f>
        <v/>
      </c>
      <c r="S561" s="26">
        <f>IFERROR(VLOOKUP(E561*1,Tabla[#All],8,0),0)</f>
        <v/>
      </c>
      <c r="T561" s="26">
        <f>S561*G561</f>
        <v/>
      </c>
      <c r="U561" s="26">
        <f>R561-T561</f>
        <v/>
      </c>
      <c r="V561" s="26">
        <f>U561-L561</f>
        <v/>
      </c>
    </row>
    <row r="562">
      <c r="A562" s="11" t="n">
        <v>46208</v>
      </c>
      <c r="B562" s="1" t="n">
        <v>20073</v>
      </c>
      <c r="C562" s="1" t="inlineStr">
        <is>
          <t>045</t>
        </is>
      </c>
      <c r="D562" s="1" t="inlineStr">
        <is>
          <t>149373</t>
        </is>
      </c>
      <c r="E562" s="1" t="inlineStr">
        <is>
          <t xml:space="preserve">28194770       </t>
        </is>
      </c>
      <c r="F562" s="5" t="inlineStr">
        <is>
          <t>AUTOS DE METAL 3 TEAMSTERZ EN BLISTER</t>
        </is>
      </c>
      <c r="G562" t="n">
        <v>1</v>
      </c>
      <c r="H562" s="7" t="n">
        <v>6.9</v>
      </c>
      <c r="I562" s="7" t="n">
        <v>0</v>
      </c>
      <c r="J562" s="7" t="n">
        <v>0</v>
      </c>
      <c r="K562" s="9" t="n">
        <v>0</v>
      </c>
      <c r="L562" s="10" t="n">
        <v>4.1</v>
      </c>
      <c r="M562" s="10" t="n">
        <v>1.43</v>
      </c>
      <c r="N562" t="inlineStr">
        <is>
          <t>1</t>
        </is>
      </c>
      <c r="O562" t="inlineStr">
        <is>
          <t>16</t>
        </is>
      </c>
      <c r="P562" t="inlineStr">
        <is>
          <t xml:space="preserve">74879   </t>
        </is>
      </c>
      <c r="Q562" s="26" t="n">
        <v>4.09</v>
      </c>
      <c r="R562" s="26">
        <f>Q562*G562</f>
        <v/>
      </c>
      <c r="S562" s="26">
        <f>IFERROR(VLOOKUP(E562*1,Tabla[#All],8,0),0)</f>
        <v/>
      </c>
      <c r="T562" s="26">
        <f>S562*G562</f>
        <v/>
      </c>
      <c r="U562" s="26">
        <f>R562-T562</f>
        <v/>
      </c>
      <c r="V562" s="26">
        <f>U562-L562</f>
        <v/>
      </c>
    </row>
    <row r="563">
      <c r="A563" s="11" t="n">
        <v>46208</v>
      </c>
      <c r="B563" s="1" t="n">
        <v>20073</v>
      </c>
      <c r="C563" s="1" t="inlineStr">
        <is>
          <t>045</t>
        </is>
      </c>
      <c r="D563" s="1" t="inlineStr">
        <is>
          <t>149373</t>
        </is>
      </c>
      <c r="E563" s="1" t="inlineStr">
        <is>
          <t xml:space="preserve">29235706       </t>
        </is>
      </c>
      <c r="F563" s="5" t="inlineStr">
        <is>
          <t>TEAMSTERZ CAMION PARA GUARDAR 12 AUTOS INCL 4 AUTO</t>
        </is>
      </c>
      <c r="G563" t="n">
        <v>1</v>
      </c>
      <c r="H563" s="7" t="n">
        <v>59.9</v>
      </c>
      <c r="I563" s="7" t="n">
        <v>0</v>
      </c>
      <c r="J563" s="7" t="n">
        <v>0</v>
      </c>
      <c r="K563" s="9" t="n">
        <v>0</v>
      </c>
      <c r="L563" s="10" t="n">
        <v>35.53</v>
      </c>
      <c r="M563" s="10" t="n">
        <v>1.43</v>
      </c>
      <c r="N563" t="inlineStr">
        <is>
          <t>1</t>
        </is>
      </c>
      <c r="O563" t="inlineStr">
        <is>
          <t>16</t>
        </is>
      </c>
      <c r="P563" t="inlineStr">
        <is>
          <t xml:space="preserve">74879   </t>
        </is>
      </c>
      <c r="Q563" s="26" t="n">
        <v>35.53</v>
      </c>
      <c r="R563" s="26">
        <f>Q563*G563</f>
        <v/>
      </c>
      <c r="S563" s="26">
        <f>IFERROR(VLOOKUP(E563*1,Tabla[#All],8,0),0)</f>
        <v/>
      </c>
      <c r="T563" s="26">
        <f>S563*G563</f>
        <v/>
      </c>
      <c r="U563" s="26">
        <f>R563-T563</f>
        <v/>
      </c>
      <c r="V563" s="26">
        <f>U563-L563</f>
        <v/>
      </c>
    </row>
    <row r="564">
      <c r="A564" s="11" t="n">
        <v>46208</v>
      </c>
      <c r="B564" s="1" t="n">
        <v>20073</v>
      </c>
      <c r="C564" s="1" t="inlineStr">
        <is>
          <t>046</t>
        </is>
      </c>
      <c r="D564" s="1" t="inlineStr">
        <is>
          <t>207365</t>
        </is>
      </c>
      <c r="E564" s="1" t="inlineStr">
        <is>
          <t xml:space="preserve">28194768       </t>
        </is>
      </c>
      <c r="F564" s="5" t="inlineStr">
        <is>
          <t>AUTO COLOR CHANGE TEAMSTERZ SURTIDO</t>
        </is>
      </c>
      <c r="G564" t="n">
        <v>1</v>
      </c>
      <c r="H564" s="7" t="n">
        <v>14.9</v>
      </c>
      <c r="I564" s="7" t="n">
        <v>0</v>
      </c>
      <c r="J564" s="7" t="n">
        <v>0</v>
      </c>
      <c r="K564" s="9" t="n">
        <v>0</v>
      </c>
      <c r="L564" s="10" t="n">
        <v>8.84</v>
      </c>
      <c r="M564" s="10" t="n">
        <v>1.43</v>
      </c>
      <c r="N564" t="inlineStr">
        <is>
          <t>1</t>
        </is>
      </c>
      <c r="O564" t="inlineStr">
        <is>
          <t>16</t>
        </is>
      </c>
      <c r="P564" t="inlineStr">
        <is>
          <t xml:space="preserve">61458   </t>
        </is>
      </c>
      <c r="Q564" s="26" t="n">
        <v>8.84</v>
      </c>
      <c r="R564" s="26">
        <f>Q564*G564</f>
        <v/>
      </c>
      <c r="S564" s="26">
        <f>IFERROR(VLOOKUP(E564*1,Tabla[#All],8,0),0)</f>
        <v/>
      </c>
      <c r="T564" s="26">
        <f>S564*G564</f>
        <v/>
      </c>
      <c r="U564" s="26">
        <f>R564-T564</f>
        <v/>
      </c>
      <c r="V564" s="26">
        <f>U564-L564</f>
        <v/>
      </c>
    </row>
    <row r="565">
      <c r="A565" s="11" t="n">
        <v>46208</v>
      </c>
      <c r="B565" s="1" t="n">
        <v>20073</v>
      </c>
      <c r="C565" s="1" t="inlineStr">
        <is>
          <t>046</t>
        </is>
      </c>
      <c r="D565" s="1" t="inlineStr">
        <is>
          <t>207366</t>
        </is>
      </c>
      <c r="E565" s="1" t="inlineStr">
        <is>
          <t xml:space="preserve">28194770       </t>
        </is>
      </c>
      <c r="F565" s="5" t="inlineStr">
        <is>
          <t>AUTOS DE METAL 3 TEAMSTERZ EN BLISTER</t>
        </is>
      </c>
      <c r="G565" t="n">
        <v>1</v>
      </c>
      <c r="H565" s="7" t="n">
        <v>6.9</v>
      </c>
      <c r="I565" s="7" t="n">
        <v>0</v>
      </c>
      <c r="J565" s="7" t="n">
        <v>0</v>
      </c>
      <c r="K565" s="9" t="n">
        <v>0</v>
      </c>
      <c r="L565" s="10" t="n">
        <v>4.1</v>
      </c>
      <c r="M565" s="10" t="n">
        <v>1.43</v>
      </c>
      <c r="N565" t="inlineStr">
        <is>
          <t>1</t>
        </is>
      </c>
      <c r="O565" t="inlineStr">
        <is>
          <t>16</t>
        </is>
      </c>
      <c r="P565" t="inlineStr">
        <is>
          <t xml:space="preserve">61458   </t>
        </is>
      </c>
      <c r="Q565" s="26" t="n">
        <v>4.09</v>
      </c>
      <c r="R565" s="26">
        <f>Q565*G565</f>
        <v/>
      </c>
      <c r="S565" s="26">
        <f>IFERROR(VLOOKUP(E565*1,Tabla[#All],8,0),0)</f>
        <v/>
      </c>
      <c r="T565" s="26">
        <f>S565*G565</f>
        <v/>
      </c>
      <c r="U565" s="26">
        <f>R565-T565</f>
        <v/>
      </c>
      <c r="V565" s="26">
        <f>U565-L565</f>
        <v/>
      </c>
    </row>
    <row r="566">
      <c r="A566" s="11" t="n">
        <v>46208</v>
      </c>
      <c r="B566" s="1" t="n">
        <v>20074</v>
      </c>
      <c r="C566" s="1" t="inlineStr">
        <is>
          <t>015</t>
        </is>
      </c>
      <c r="D566" s="1" t="inlineStr">
        <is>
          <t>227299</t>
        </is>
      </c>
      <c r="E566" s="1" t="inlineStr">
        <is>
          <t xml:space="preserve">28194765       </t>
        </is>
      </c>
      <c r="F566" s="5" t="inlineStr">
        <is>
          <t>PLAYSET COLOR CHANGE TIBURN TEAMSTERZ  1 AUTITO</t>
        </is>
      </c>
      <c r="G566" t="n">
        <v>1</v>
      </c>
      <c r="H566" s="7" t="n">
        <v>79.90000000000001</v>
      </c>
      <c r="I566" s="7" t="n">
        <v>0</v>
      </c>
      <c r="J566" s="7" t="n">
        <v>0</v>
      </c>
      <c r="K566" s="9" t="n">
        <v>0</v>
      </c>
      <c r="L566" s="10" t="n">
        <v>47.4</v>
      </c>
      <c r="M566" s="10" t="n">
        <v>1.43</v>
      </c>
      <c r="N566" t="inlineStr">
        <is>
          <t>1</t>
        </is>
      </c>
      <c r="O566" t="inlineStr">
        <is>
          <t>16</t>
        </is>
      </c>
      <c r="P566" t="inlineStr">
        <is>
          <t xml:space="preserve">251008  </t>
        </is>
      </c>
      <c r="Q566" s="26" t="n">
        <v>47.4</v>
      </c>
      <c r="R566" s="26">
        <f>Q566*G566</f>
        <v/>
      </c>
      <c r="S566" s="26">
        <f>IFERROR(VLOOKUP(E566*1,Tabla[#All],8,0),0)</f>
        <v/>
      </c>
      <c r="T566" s="26">
        <f>S566*G566</f>
        <v/>
      </c>
      <c r="U566" s="26">
        <f>R566-T566</f>
        <v/>
      </c>
      <c r="V566" s="26">
        <f>U566-L566</f>
        <v/>
      </c>
    </row>
    <row r="567">
      <c r="A567" s="11" t="n">
        <v>46208</v>
      </c>
      <c r="B567" s="1" t="n">
        <v>20077</v>
      </c>
      <c r="C567" s="1" t="inlineStr">
        <is>
          <t>011</t>
        </is>
      </c>
      <c r="D567" s="1" t="inlineStr">
        <is>
          <t xml:space="preserve">83303 </t>
        </is>
      </c>
      <c r="E567" s="1" t="inlineStr">
        <is>
          <t xml:space="preserve">28194769       </t>
        </is>
      </c>
      <c r="F567" s="5" t="inlineStr">
        <is>
          <t>AUTOS DE METAL 3 TEAMSTERZ PACK DE 2</t>
        </is>
      </c>
      <c r="G567" t="n">
        <v>1</v>
      </c>
      <c r="H567" s="7" t="n">
        <v>13.8</v>
      </c>
      <c r="I567" s="7" t="n">
        <v>0</v>
      </c>
      <c r="J567" s="7" t="n">
        <v>0</v>
      </c>
      <c r="K567" s="9" t="n">
        <v>0</v>
      </c>
      <c r="L567" s="10" t="n">
        <v>8.18</v>
      </c>
      <c r="M567" s="10" t="n">
        <v>1.43</v>
      </c>
      <c r="N567" t="inlineStr">
        <is>
          <t>1</t>
        </is>
      </c>
      <c r="O567" t="inlineStr">
        <is>
          <t>16</t>
        </is>
      </c>
      <c r="P567" t="inlineStr">
        <is>
          <t xml:space="preserve">61615   </t>
        </is>
      </c>
      <c r="Q567" s="26" t="n">
        <v>8.19</v>
      </c>
      <c r="R567" s="26">
        <f>Q567*G567</f>
        <v/>
      </c>
      <c r="S567" s="26">
        <f>IFERROR(VLOOKUP(E567*1,Tabla[#All],8,0),0)</f>
        <v/>
      </c>
      <c r="T567" s="26">
        <f>S567*G567</f>
        <v/>
      </c>
      <c r="U567" s="26">
        <f>R567-T567</f>
        <v/>
      </c>
      <c r="V567" s="26">
        <f>U567-L567</f>
        <v/>
      </c>
    </row>
    <row r="568">
      <c r="A568" s="11" t="n">
        <v>46208</v>
      </c>
      <c r="B568" s="1" t="n">
        <v>20077</v>
      </c>
      <c r="C568" s="1" t="inlineStr">
        <is>
          <t>026</t>
        </is>
      </c>
      <c r="D568" s="1" t="inlineStr">
        <is>
          <t>107285</t>
        </is>
      </c>
      <c r="E568" s="1" t="inlineStr">
        <is>
          <t xml:space="preserve">29235701       </t>
        </is>
      </c>
      <c r="F568" s="5" t="inlineStr">
        <is>
          <t>INFINITY NADO TROMPO DE BATALLA - METAL EN CAJA</t>
        </is>
      </c>
      <c r="G568" t="n">
        <v>1</v>
      </c>
      <c r="H568" s="7" t="n">
        <v>39.9</v>
      </c>
      <c r="I568" s="7" t="n">
        <v>0</v>
      </c>
      <c r="J568" s="7" t="n">
        <v>0</v>
      </c>
      <c r="K568" s="9" t="n">
        <v>0</v>
      </c>
      <c r="L568" s="10" t="n">
        <v>23.67</v>
      </c>
      <c r="M568" s="10" t="n">
        <v>1.43</v>
      </c>
      <c r="N568" t="inlineStr">
        <is>
          <t>1</t>
        </is>
      </c>
      <c r="O568" t="inlineStr">
        <is>
          <t xml:space="preserve">2 </t>
        </is>
      </c>
      <c r="P568" t="inlineStr">
        <is>
          <t xml:space="preserve">62762   </t>
        </is>
      </c>
      <c r="Q568" s="26" t="n">
        <v>23.67</v>
      </c>
      <c r="R568" s="26">
        <f>Q568*G568</f>
        <v/>
      </c>
      <c r="S568" s="26">
        <f>IFERROR(VLOOKUP(E568*1,Tabla[#All],8,0),0)</f>
        <v/>
      </c>
      <c r="T568" s="26">
        <f>S568*G568</f>
        <v/>
      </c>
      <c r="U568" s="26">
        <f>R568-T568</f>
        <v/>
      </c>
      <c r="V568" s="26">
        <f>U568-L568</f>
        <v/>
      </c>
    </row>
    <row r="569">
      <c r="A569" s="11" t="n">
        <v>46208</v>
      </c>
      <c r="B569" s="1" t="n">
        <v>20077</v>
      </c>
      <c r="C569" s="1" t="inlineStr">
        <is>
          <t>026</t>
        </is>
      </c>
      <c r="D569" s="1" t="inlineStr">
        <is>
          <t>107386</t>
        </is>
      </c>
      <c r="E569" s="1" t="inlineStr">
        <is>
          <t xml:space="preserve">35685067       </t>
        </is>
      </c>
      <c r="F569" s="5" t="inlineStr">
        <is>
          <t>HOT WHEELS POWER SET 3 EN 1</t>
        </is>
      </c>
      <c r="G569" t="n">
        <v>1</v>
      </c>
      <c r="H569" s="7" t="n">
        <v>49.9</v>
      </c>
      <c r="I569" s="7" t="n">
        <v>0</v>
      </c>
      <c r="J569" s="7" t="n">
        <v>0</v>
      </c>
      <c r="K569" s="9" t="n">
        <v>0</v>
      </c>
      <c r="L569" s="10" t="n">
        <v>29.6</v>
      </c>
      <c r="M569" s="10" t="n">
        <v>1.43</v>
      </c>
      <c r="N569" t="inlineStr">
        <is>
          <t>1</t>
        </is>
      </c>
      <c r="O569" t="inlineStr">
        <is>
          <t>16</t>
        </is>
      </c>
      <c r="P569" t="inlineStr">
        <is>
          <t xml:space="preserve">62762   </t>
        </is>
      </c>
      <c r="Q569" s="26" t="n">
        <v>29.6</v>
      </c>
      <c r="R569" s="26">
        <f>Q569*G569</f>
        <v/>
      </c>
      <c r="S569" s="26">
        <f>IFERROR(VLOOKUP(E569*1,Tabla[#All],8,0),0)</f>
        <v/>
      </c>
      <c r="T569" s="26">
        <f>S569*G569</f>
        <v/>
      </c>
      <c r="U569" s="26">
        <f>R569-T569</f>
        <v/>
      </c>
      <c r="V569" s="26">
        <f>U569-L569</f>
        <v/>
      </c>
    </row>
    <row r="570">
      <c r="A570" s="11" t="n">
        <v>46208</v>
      </c>
      <c r="B570" s="1" t="n">
        <v>20077</v>
      </c>
      <c r="C570" s="1" t="inlineStr">
        <is>
          <t>030</t>
        </is>
      </c>
      <c r="D570" s="1" t="inlineStr">
        <is>
          <t xml:space="preserve">40121 </t>
        </is>
      </c>
      <c r="E570" s="1" t="inlineStr">
        <is>
          <t xml:space="preserve">32457099       </t>
        </is>
      </c>
      <c r="F570" s="5" t="inlineStr">
        <is>
          <t>TMZ BEAST MACHINES MONSTER JAWS A FRICCION BLISTER</t>
        </is>
      </c>
      <c r="G570" t="n">
        <v>1</v>
      </c>
      <c r="H570" s="7" t="n">
        <v>19.9</v>
      </c>
      <c r="I570" s="7" t="n">
        <v>0</v>
      </c>
      <c r="J570" s="7" t="n">
        <v>0</v>
      </c>
      <c r="K570" s="9" t="n">
        <v>0</v>
      </c>
      <c r="L570" s="10" t="n">
        <v>11.8</v>
      </c>
      <c r="M570" s="10" t="n">
        <v>1.43</v>
      </c>
      <c r="N570" t="inlineStr">
        <is>
          <t>1</t>
        </is>
      </c>
      <c r="O570" t="inlineStr">
        <is>
          <t xml:space="preserve">3 </t>
        </is>
      </c>
      <c r="P570" t="inlineStr">
        <is>
          <t xml:space="preserve">244089  </t>
        </is>
      </c>
      <c r="Q570" s="26" t="n">
        <v>11.81</v>
      </c>
      <c r="R570" s="26">
        <f>Q570*G570</f>
        <v/>
      </c>
      <c r="S570" s="26">
        <f>IFERROR(VLOOKUP(E570*1,Tabla[#All],8,0),0)</f>
        <v/>
      </c>
      <c r="T570" s="26">
        <f>S570*G570</f>
        <v/>
      </c>
      <c r="U570" s="26">
        <f>R570-T570</f>
        <v/>
      </c>
      <c r="V570" s="26">
        <f>U570-L570</f>
        <v/>
      </c>
    </row>
    <row r="571">
      <c r="A571" s="11" t="n">
        <v>46208</v>
      </c>
      <c r="B571" s="1" t="n">
        <v>20077</v>
      </c>
      <c r="C571" s="1" t="inlineStr">
        <is>
          <t>030</t>
        </is>
      </c>
      <c r="D571" s="1" t="inlineStr">
        <is>
          <t xml:space="preserve">40178 </t>
        </is>
      </c>
      <c r="E571" s="1" t="inlineStr">
        <is>
          <t xml:space="preserve">30141766       </t>
        </is>
      </c>
      <c r="F571" s="5" t="inlineStr">
        <is>
          <t>TMZ BEAST MACHINES AUTOS DE METAL BLISTER X 1</t>
        </is>
      </c>
      <c r="G571" t="n">
        <v>1</v>
      </c>
      <c r="H571" s="7" t="n">
        <v>7.9</v>
      </c>
      <c r="I571" s="7" t="n">
        <v>0</v>
      </c>
      <c r="J571" s="7" t="n">
        <v>0</v>
      </c>
      <c r="K571" s="9" t="n">
        <v>0</v>
      </c>
      <c r="L571" s="10" t="n">
        <v>4.68</v>
      </c>
      <c r="M571" s="10" t="n">
        <v>1.43</v>
      </c>
      <c r="N571" t="inlineStr">
        <is>
          <t>1</t>
        </is>
      </c>
      <c r="O571" t="inlineStr">
        <is>
          <t xml:space="preserve">2 </t>
        </is>
      </c>
      <c r="P571" t="inlineStr">
        <is>
          <t xml:space="preserve">244089  </t>
        </is>
      </c>
      <c r="Q571" s="26" t="n">
        <v>4.69</v>
      </c>
      <c r="R571" s="26">
        <f>Q571*G571</f>
        <v/>
      </c>
      <c r="S571" s="26">
        <f>IFERROR(VLOOKUP(E571*1,Tabla[#All],8,0),0)</f>
        <v/>
      </c>
      <c r="T571" s="26">
        <f>S571*G571</f>
        <v/>
      </c>
      <c r="U571" s="26">
        <f>R571-T571</f>
        <v/>
      </c>
      <c r="V571" s="26">
        <f>U571-L571</f>
        <v/>
      </c>
    </row>
    <row r="572">
      <c r="A572" s="11" t="n">
        <v>46208</v>
      </c>
      <c r="B572" s="1" t="n">
        <v>20077</v>
      </c>
      <c r="C572" s="1" t="inlineStr">
        <is>
          <t>039</t>
        </is>
      </c>
      <c r="D572" s="1" t="inlineStr">
        <is>
          <t>278612</t>
        </is>
      </c>
      <c r="E572" s="1" t="inlineStr">
        <is>
          <t xml:space="preserve">30141766       </t>
        </is>
      </c>
      <c r="F572" s="5" t="inlineStr">
        <is>
          <t>TMZ BEAST MACHINES AUTOS DE METAL BLISTER X 1</t>
        </is>
      </c>
      <c r="G572" t="n">
        <v>1</v>
      </c>
      <c r="H572" s="7" t="n">
        <v>7.9</v>
      </c>
      <c r="I572" s="7" t="n">
        <v>0</v>
      </c>
      <c r="J572" s="7" t="n">
        <v>0</v>
      </c>
      <c r="K572" s="9" t="n">
        <v>0</v>
      </c>
      <c r="L572" s="10" t="n">
        <v>4.68</v>
      </c>
      <c r="M572" s="10" t="n">
        <v>1.43</v>
      </c>
      <c r="N572" t="inlineStr">
        <is>
          <t>1</t>
        </is>
      </c>
      <c r="O572" t="inlineStr">
        <is>
          <t>16</t>
        </is>
      </c>
      <c r="P572" t="inlineStr">
        <is>
          <t xml:space="preserve">108370  </t>
        </is>
      </c>
      <c r="Q572" s="26" t="n">
        <v>4.69</v>
      </c>
      <c r="R572" s="26">
        <f>Q572*G572</f>
        <v/>
      </c>
      <c r="S572" s="26">
        <f>IFERROR(VLOOKUP(E572*1,Tabla[#All],8,0),0)</f>
        <v/>
      </c>
      <c r="T572" s="26">
        <f>S572*G572</f>
        <v/>
      </c>
      <c r="U572" s="26">
        <f>R572-T572</f>
        <v/>
      </c>
      <c r="V572" s="26">
        <f>U572-L572</f>
        <v/>
      </c>
    </row>
    <row r="573">
      <c r="A573" s="11" t="n">
        <v>46208</v>
      </c>
      <c r="B573" s="1" t="n">
        <v>20079</v>
      </c>
      <c r="C573" s="1" t="inlineStr">
        <is>
          <t>030</t>
        </is>
      </c>
      <c r="D573" s="1" t="inlineStr">
        <is>
          <t>193508</t>
        </is>
      </c>
      <c r="E573" s="1" t="inlineStr">
        <is>
          <t xml:space="preserve">33483123       </t>
        </is>
      </c>
      <c r="F573" s="5" t="inlineStr">
        <is>
          <t>NENUCO DISFRACES</t>
        </is>
      </c>
      <c r="G573" t="n">
        <v>1</v>
      </c>
      <c r="H573" s="7" t="n">
        <v>89.90000000000001</v>
      </c>
      <c r="I573" s="7" t="n">
        <v>0</v>
      </c>
      <c r="J573" s="7" t="n">
        <v>0</v>
      </c>
      <c r="K573" s="9" t="n">
        <v>0</v>
      </c>
      <c r="L573" s="10" t="n">
        <v>53.33</v>
      </c>
      <c r="M573" s="10" t="n">
        <v>1.43</v>
      </c>
      <c r="N573" t="inlineStr">
        <is>
          <t>1</t>
        </is>
      </c>
      <c r="O573" t="inlineStr">
        <is>
          <t xml:space="preserve">2 </t>
        </is>
      </c>
      <c r="P573" t="inlineStr">
        <is>
          <t xml:space="preserve">71010   </t>
        </is>
      </c>
      <c r="Q573" s="26" t="n">
        <v>53.33</v>
      </c>
      <c r="R573" s="26">
        <f>Q573*G573</f>
        <v/>
      </c>
      <c r="S573" s="26">
        <f>IFERROR(VLOOKUP(E573*1,Tabla[#All],8,0),0)</f>
        <v/>
      </c>
      <c r="T573" s="26">
        <f>S573*G573</f>
        <v/>
      </c>
      <c r="U573" s="26">
        <f>R573-T573</f>
        <v/>
      </c>
      <c r="V573" s="26">
        <f>U573-L573</f>
        <v/>
      </c>
    </row>
    <row r="574">
      <c r="A574" s="11" t="n">
        <v>46208</v>
      </c>
      <c r="B574" s="1" t="n">
        <v>20079</v>
      </c>
      <c r="C574" s="1" t="inlineStr">
        <is>
          <t>045</t>
        </is>
      </c>
      <c r="D574" s="1" t="inlineStr">
        <is>
          <t>331583</t>
        </is>
      </c>
      <c r="E574" s="1" t="inlineStr">
        <is>
          <t xml:space="preserve">34840552       </t>
        </is>
      </c>
      <c r="F574" s="5" t="inlineStr">
        <is>
          <t>TMZ HELI POLICIA CON LUCES Y SONIDOS</t>
        </is>
      </c>
      <c r="G574" t="n">
        <v>1</v>
      </c>
      <c r="H574" s="7" t="n">
        <v>79.90000000000001</v>
      </c>
      <c r="I574" s="7" t="n">
        <v>0</v>
      </c>
      <c r="J574" s="7" t="n">
        <v>0</v>
      </c>
      <c r="K574" s="9" t="n">
        <v>0</v>
      </c>
      <c r="L574" s="10" t="n">
        <v>47.4</v>
      </c>
      <c r="M574" s="10" t="n">
        <v>1.43</v>
      </c>
      <c r="N574" t="inlineStr">
        <is>
          <t>1</t>
        </is>
      </c>
      <c r="O574" t="inlineStr">
        <is>
          <t>16</t>
        </is>
      </c>
      <c r="P574" t="inlineStr">
        <is>
          <t xml:space="preserve">97404   </t>
        </is>
      </c>
      <c r="Q574" s="26" t="n">
        <v>47.4</v>
      </c>
      <c r="R574" s="26">
        <f>Q574*G574</f>
        <v/>
      </c>
      <c r="S574" s="26">
        <f>IFERROR(VLOOKUP(E574*1,Tabla[#All],8,0),0)</f>
        <v/>
      </c>
      <c r="T574" s="26">
        <f>S574*G574</f>
        <v/>
      </c>
      <c r="U574" s="26">
        <f>R574-T574</f>
        <v/>
      </c>
      <c r="V574" s="26">
        <f>U574-L574</f>
        <v/>
      </c>
    </row>
    <row r="575">
      <c r="A575" s="11" t="n">
        <v>46208</v>
      </c>
      <c r="B575" s="1" t="n">
        <v>20080</v>
      </c>
      <c r="C575" s="1" t="inlineStr">
        <is>
          <t>029</t>
        </is>
      </c>
      <c r="D575" s="1" t="inlineStr">
        <is>
          <t>224769</t>
        </is>
      </c>
      <c r="E575" s="1" t="inlineStr">
        <is>
          <t xml:space="preserve">30141766       </t>
        </is>
      </c>
      <c r="F575" s="5" t="inlineStr">
        <is>
          <t>TMZ BEAST MACHINES AUTOS DE METAL BLISTER X 1</t>
        </is>
      </c>
      <c r="G575" t="n">
        <v>1</v>
      </c>
      <c r="H575" s="7" t="n">
        <v>7.9</v>
      </c>
      <c r="I575" s="7" t="n">
        <v>0</v>
      </c>
      <c r="J575" s="7" t="n">
        <v>0</v>
      </c>
      <c r="K575" s="9" t="n">
        <v>0</v>
      </c>
      <c r="L575" s="10" t="n">
        <v>4.68</v>
      </c>
      <c r="M575" s="10" t="n">
        <v>1.43</v>
      </c>
      <c r="N575" t="inlineStr">
        <is>
          <t>1</t>
        </is>
      </c>
      <c r="O575" t="inlineStr">
        <is>
          <t xml:space="preserve">3 </t>
        </is>
      </c>
      <c r="P575" t="inlineStr">
        <is>
          <t xml:space="preserve">79951   </t>
        </is>
      </c>
      <c r="Q575" s="26" t="n">
        <v>4.69</v>
      </c>
      <c r="R575" s="26">
        <f>Q575*G575</f>
        <v/>
      </c>
      <c r="S575" s="26">
        <f>IFERROR(VLOOKUP(E575*1,Tabla[#All],8,0),0)</f>
        <v/>
      </c>
      <c r="T575" s="26">
        <f>S575*G575</f>
        <v/>
      </c>
      <c r="U575" s="26">
        <f>R575-T575</f>
        <v/>
      </c>
      <c r="V575" s="26">
        <f>U575-L575</f>
        <v/>
      </c>
    </row>
    <row r="576">
      <c r="A576" s="11" t="n">
        <v>46208</v>
      </c>
      <c r="B576" s="1" t="n">
        <v>20080</v>
      </c>
      <c r="C576" s="1" t="inlineStr">
        <is>
          <t>506</t>
        </is>
      </c>
      <c r="D576" s="1" t="inlineStr">
        <is>
          <t xml:space="preserve">4602  </t>
        </is>
      </c>
      <c r="E576" s="1" t="inlineStr">
        <is>
          <t xml:space="preserve">28194780       </t>
        </is>
      </c>
      <c r="F576" s="5" t="inlineStr">
        <is>
          <t>TROMPO BATALLA INFINITY NADO PLSTICO SURTIDO</t>
        </is>
      </c>
      <c r="G576" t="n">
        <v>1</v>
      </c>
      <c r="H576" s="7" t="n">
        <v>19.9</v>
      </c>
      <c r="I576" s="7" t="n">
        <v>0</v>
      </c>
      <c r="J576" s="7" t="n">
        <v>0</v>
      </c>
      <c r="K576" s="9" t="n">
        <v>0</v>
      </c>
      <c r="L576" s="10" t="n">
        <v>11.8</v>
      </c>
      <c r="M576" s="10" t="n">
        <v>1.43</v>
      </c>
      <c r="N576" t="inlineStr">
        <is>
          <t>1</t>
        </is>
      </c>
      <c r="O576" t="inlineStr">
        <is>
          <t>16</t>
        </is>
      </c>
      <c r="P576" t="inlineStr">
        <is>
          <t xml:space="preserve">66868   </t>
        </is>
      </c>
      <c r="Q576" s="26" t="n">
        <v>11.81</v>
      </c>
      <c r="R576" s="26">
        <f>Q576*G576</f>
        <v/>
      </c>
      <c r="S576" s="26">
        <f>IFERROR(VLOOKUP(E576*1,Tabla[#All],8,0),0)</f>
        <v/>
      </c>
      <c r="T576" s="26">
        <f>S576*G576</f>
        <v/>
      </c>
      <c r="U576" s="26">
        <f>R576-T576</f>
        <v/>
      </c>
      <c r="V576" s="26">
        <f>U576-L576</f>
        <v/>
      </c>
    </row>
    <row r="577">
      <c r="A577" s="11" t="n">
        <v>46208</v>
      </c>
      <c r="B577" s="1" t="n">
        <v>20086</v>
      </c>
      <c r="C577" s="1" t="inlineStr">
        <is>
          <t>023</t>
        </is>
      </c>
      <c r="D577" s="1" t="inlineStr">
        <is>
          <t xml:space="preserve">47562 </t>
        </is>
      </c>
      <c r="E577" s="1" t="inlineStr">
        <is>
          <t xml:space="preserve">28194769       </t>
        </is>
      </c>
      <c r="F577" s="5" t="inlineStr">
        <is>
          <t>AUTOS DE METAL 3 TEAMSTERZ PACK DE 2</t>
        </is>
      </c>
      <c r="G577" t="n">
        <v>1</v>
      </c>
      <c r="H577" s="7" t="n">
        <v>13.8</v>
      </c>
      <c r="I577" s="7" t="n">
        <v>0</v>
      </c>
      <c r="J577" s="7" t="n">
        <v>0</v>
      </c>
      <c r="K577" s="9" t="n">
        <v>0</v>
      </c>
      <c r="L577" s="10" t="n">
        <v>8.18</v>
      </c>
      <c r="M577" s="10" t="n">
        <v>1.43</v>
      </c>
      <c r="N577" t="inlineStr">
        <is>
          <t>1</t>
        </is>
      </c>
      <c r="O577" t="inlineStr">
        <is>
          <t>16</t>
        </is>
      </c>
      <c r="P577" t="inlineStr">
        <is>
          <t xml:space="preserve">250452  </t>
        </is>
      </c>
      <c r="Q577" s="26" t="n">
        <v>8.19</v>
      </c>
      <c r="R577" s="26">
        <f>Q577*G577</f>
        <v/>
      </c>
      <c r="S577" s="26">
        <f>IFERROR(VLOOKUP(E577*1,Tabla[#All],8,0),0)</f>
        <v/>
      </c>
      <c r="T577" s="26">
        <f>S577*G577</f>
        <v/>
      </c>
      <c r="U577" s="26">
        <f>R577-T577</f>
        <v/>
      </c>
      <c r="V577" s="26">
        <f>U577-L577</f>
        <v/>
      </c>
    </row>
    <row r="578">
      <c r="A578" s="11" t="n">
        <v>46208</v>
      </c>
      <c r="B578" s="1" t="n">
        <v>20086</v>
      </c>
      <c r="C578" s="1" t="inlineStr">
        <is>
          <t>023</t>
        </is>
      </c>
      <c r="D578" s="1" t="inlineStr">
        <is>
          <t xml:space="preserve">47562 </t>
        </is>
      </c>
      <c r="E578" s="1" t="inlineStr">
        <is>
          <t xml:space="preserve">28194770       </t>
        </is>
      </c>
      <c r="F578" s="5" t="inlineStr">
        <is>
          <t>AUTOS DE METAL 3 TEAMSTERZ EN BLISTER</t>
        </is>
      </c>
      <c r="G578" t="n">
        <v>1</v>
      </c>
      <c r="H578" s="7" t="n">
        <v>6.9</v>
      </c>
      <c r="I578" s="7" t="n">
        <v>0</v>
      </c>
      <c r="J578" s="7" t="n">
        <v>0</v>
      </c>
      <c r="K578" s="9" t="n">
        <v>0</v>
      </c>
      <c r="L578" s="10" t="n">
        <v>4.1</v>
      </c>
      <c r="M578" s="10" t="n">
        <v>1.43</v>
      </c>
      <c r="N578" t="inlineStr">
        <is>
          <t>1</t>
        </is>
      </c>
      <c r="O578" t="inlineStr">
        <is>
          <t>16</t>
        </is>
      </c>
      <c r="P578" t="inlineStr">
        <is>
          <t xml:space="preserve">250452  </t>
        </is>
      </c>
      <c r="Q578" s="26" t="n">
        <v>4.09</v>
      </c>
      <c r="R578" s="26">
        <f>Q578*G578</f>
        <v/>
      </c>
      <c r="S578" s="26">
        <f>IFERROR(VLOOKUP(E578*1,Tabla[#All],8,0),0)</f>
        <v/>
      </c>
      <c r="T578" s="26">
        <f>S578*G578</f>
        <v/>
      </c>
      <c r="U578" s="26">
        <f>R578-T578</f>
        <v/>
      </c>
      <c r="V578" s="26">
        <f>U578-L578</f>
        <v/>
      </c>
    </row>
    <row r="579">
      <c r="A579" s="11" t="n">
        <v>46208</v>
      </c>
      <c r="B579" s="1" t="n">
        <v>20086</v>
      </c>
      <c r="C579" s="1" t="inlineStr">
        <is>
          <t>023</t>
        </is>
      </c>
      <c r="D579" s="1" t="inlineStr">
        <is>
          <t xml:space="preserve">47572 </t>
        </is>
      </c>
      <c r="E579" s="1" t="inlineStr">
        <is>
          <t xml:space="preserve">28194769       </t>
        </is>
      </c>
      <c r="F579" s="5" t="inlineStr">
        <is>
          <t>AUTOS DE METAL 3 TEAMSTERZ PACK DE 2</t>
        </is>
      </c>
      <c r="G579" t="n">
        <v>1</v>
      </c>
      <c r="H579" s="7" t="n">
        <v>13.8</v>
      </c>
      <c r="I579" s="7" t="n">
        <v>0</v>
      </c>
      <c r="J579" s="7" t="n">
        <v>0</v>
      </c>
      <c r="K579" s="9" t="n">
        <v>0</v>
      </c>
      <c r="L579" s="10" t="n">
        <v>8.18</v>
      </c>
      <c r="M579" s="10" t="n">
        <v>1.43</v>
      </c>
      <c r="N579" t="inlineStr">
        <is>
          <t>1</t>
        </is>
      </c>
      <c r="O579" t="inlineStr">
        <is>
          <t xml:space="preserve">2 </t>
        </is>
      </c>
      <c r="P579" t="inlineStr">
        <is>
          <t xml:space="preserve">250452  </t>
        </is>
      </c>
      <c r="Q579" s="26" t="n">
        <v>8.19</v>
      </c>
      <c r="R579" s="26">
        <f>Q579*G579</f>
        <v/>
      </c>
      <c r="S579" s="26">
        <f>IFERROR(VLOOKUP(E579*1,Tabla[#All],8,0),0)</f>
        <v/>
      </c>
      <c r="T579" s="26">
        <f>S579*G579</f>
        <v/>
      </c>
      <c r="U579" s="26">
        <f>R579-T579</f>
        <v/>
      </c>
      <c r="V579" s="26">
        <f>U579-L579</f>
        <v/>
      </c>
    </row>
    <row r="580">
      <c r="A580" s="11" t="n">
        <v>46208</v>
      </c>
      <c r="B580" s="1" t="n">
        <v>20086</v>
      </c>
      <c r="C580" s="1" t="inlineStr">
        <is>
          <t>023</t>
        </is>
      </c>
      <c r="D580" s="1" t="inlineStr">
        <is>
          <t xml:space="preserve">47573 </t>
        </is>
      </c>
      <c r="E580" s="1" t="inlineStr">
        <is>
          <t xml:space="preserve">28194769       </t>
        </is>
      </c>
      <c r="F580" s="5" t="inlineStr">
        <is>
          <t>AUTOS DE METAL 3 TEAMSTERZ PACK DE 2</t>
        </is>
      </c>
      <c r="G580" t="n">
        <v>1</v>
      </c>
      <c r="H580" s="7" t="n">
        <v>13.8</v>
      </c>
      <c r="I580" s="7" t="n">
        <v>0</v>
      </c>
      <c r="J580" s="7" t="n">
        <v>0</v>
      </c>
      <c r="K580" s="9" t="n">
        <v>0</v>
      </c>
      <c r="L580" s="10" t="n">
        <v>8.18</v>
      </c>
      <c r="M580" s="10" t="n">
        <v>1.43</v>
      </c>
      <c r="N580" t="inlineStr">
        <is>
          <t>1</t>
        </is>
      </c>
      <c r="O580" t="inlineStr">
        <is>
          <t xml:space="preserve">3 </t>
        </is>
      </c>
      <c r="P580" t="inlineStr">
        <is>
          <t xml:space="preserve">250452  </t>
        </is>
      </c>
      <c r="Q580" s="26" t="n">
        <v>8.19</v>
      </c>
      <c r="R580" s="26">
        <f>Q580*G580</f>
        <v/>
      </c>
      <c r="S580" s="26">
        <f>IFERROR(VLOOKUP(E580*1,Tabla[#All],8,0),0)</f>
        <v/>
      </c>
      <c r="T580" s="26">
        <f>S580*G580</f>
        <v/>
      </c>
      <c r="U580" s="26">
        <f>R580-T580</f>
        <v/>
      </c>
      <c r="V580" s="26">
        <f>U580-L580</f>
        <v/>
      </c>
    </row>
    <row r="581">
      <c r="A581" s="11" t="n">
        <v>46208</v>
      </c>
      <c r="B581" s="1" t="n">
        <v>20086</v>
      </c>
      <c r="C581" s="1" t="inlineStr">
        <is>
          <t>192</t>
        </is>
      </c>
      <c r="D581" s="1" t="inlineStr">
        <is>
          <t>128929</t>
        </is>
      </c>
      <c r="E581" s="1" t="inlineStr">
        <is>
          <t xml:space="preserve">28194770       </t>
        </is>
      </c>
      <c r="F581" s="5" t="inlineStr">
        <is>
          <t>AUTOS DE METAL 3 TEAMSTERZ EN BLISTER</t>
        </is>
      </c>
      <c r="G581" t="n">
        <v>1</v>
      </c>
      <c r="H581" s="7" t="n">
        <v>6.9</v>
      </c>
      <c r="I581" s="7" t="n">
        <v>0</v>
      </c>
      <c r="J581" s="7" t="n">
        <v>0</v>
      </c>
      <c r="K581" s="9" t="n">
        <v>0</v>
      </c>
      <c r="L581" s="10" t="n">
        <v>4.1</v>
      </c>
      <c r="M581" s="10" t="n">
        <v>1.43</v>
      </c>
      <c r="N581" t="inlineStr">
        <is>
          <t>1</t>
        </is>
      </c>
      <c r="O581" t="inlineStr">
        <is>
          <t>16</t>
        </is>
      </c>
      <c r="P581" t="inlineStr">
        <is>
          <t xml:space="preserve">74697   </t>
        </is>
      </c>
      <c r="Q581" s="26" t="n">
        <v>4.09</v>
      </c>
      <c r="R581" s="26">
        <f>Q581*G581</f>
        <v/>
      </c>
      <c r="S581" s="26">
        <f>IFERROR(VLOOKUP(E581*1,Tabla[#All],8,0),0)</f>
        <v/>
      </c>
      <c r="T581" s="26">
        <f>S581*G581</f>
        <v/>
      </c>
      <c r="U581" s="26">
        <f>R581-T581</f>
        <v/>
      </c>
      <c r="V581" s="26">
        <f>U581-L581</f>
        <v/>
      </c>
    </row>
    <row r="582">
      <c r="A582" s="11" t="n">
        <v>46208</v>
      </c>
      <c r="B582" s="1" t="n">
        <v>20086</v>
      </c>
      <c r="C582" s="1" t="inlineStr">
        <is>
          <t>192</t>
        </is>
      </c>
      <c r="D582" s="1" t="inlineStr">
        <is>
          <t>128936</t>
        </is>
      </c>
      <c r="E582" s="1" t="inlineStr">
        <is>
          <t xml:space="preserve">28194769       </t>
        </is>
      </c>
      <c r="F582" s="5" t="inlineStr">
        <is>
          <t>AUTOS DE METAL 3 TEAMSTERZ PACK DE 2</t>
        </is>
      </c>
      <c r="G582" t="n">
        <v>1</v>
      </c>
      <c r="H582" s="7" t="n">
        <v>13.8</v>
      </c>
      <c r="I582" s="7" t="n">
        <v>0</v>
      </c>
      <c r="J582" s="7" t="n">
        <v>0</v>
      </c>
      <c r="K582" s="9" t="n">
        <v>0</v>
      </c>
      <c r="L582" s="10" t="n">
        <v>8.18</v>
      </c>
      <c r="M582" s="10" t="n">
        <v>1.43</v>
      </c>
      <c r="N582" t="inlineStr">
        <is>
          <t>1</t>
        </is>
      </c>
      <c r="O582" t="inlineStr">
        <is>
          <t xml:space="preserve">3 </t>
        </is>
      </c>
      <c r="P582" t="inlineStr">
        <is>
          <t xml:space="preserve">74697   </t>
        </is>
      </c>
      <c r="Q582" s="26" t="n">
        <v>8.19</v>
      </c>
      <c r="R582" s="26">
        <f>Q582*G582</f>
        <v/>
      </c>
      <c r="S582" s="26">
        <f>IFERROR(VLOOKUP(E582*1,Tabla[#All],8,0),0)</f>
        <v/>
      </c>
      <c r="T582" s="26">
        <f>S582*G582</f>
        <v/>
      </c>
      <c r="U582" s="26">
        <f>R582-T582</f>
        <v/>
      </c>
      <c r="V582" s="26">
        <f>U582-L582</f>
        <v/>
      </c>
    </row>
    <row r="583">
      <c r="A583" s="11" t="n">
        <v>46208</v>
      </c>
      <c r="B583" s="1" t="n">
        <v>20086</v>
      </c>
      <c r="C583" s="1" t="inlineStr">
        <is>
          <t>192</t>
        </is>
      </c>
      <c r="D583" s="1" t="inlineStr">
        <is>
          <t>128939</t>
        </is>
      </c>
      <c r="E583" s="1" t="inlineStr">
        <is>
          <t xml:space="preserve">28194769       </t>
        </is>
      </c>
      <c r="F583" s="5" t="inlineStr">
        <is>
          <t>AUTOS DE METAL 3 TEAMSTERZ PACK DE 2</t>
        </is>
      </c>
      <c r="G583" t="n">
        <v>1</v>
      </c>
      <c r="H583" s="7" t="n">
        <v>13.8</v>
      </c>
      <c r="I583" s="7" t="n">
        <v>0</v>
      </c>
      <c r="J583" s="7" t="n">
        <v>0</v>
      </c>
      <c r="K583" s="9" t="n">
        <v>0</v>
      </c>
      <c r="L583" s="10" t="n">
        <v>8.18</v>
      </c>
      <c r="M583" s="10" t="n">
        <v>1.43</v>
      </c>
      <c r="N583" t="inlineStr">
        <is>
          <t>1</t>
        </is>
      </c>
      <c r="O583" t="inlineStr">
        <is>
          <t xml:space="preserve">3 </t>
        </is>
      </c>
      <c r="P583" t="inlineStr">
        <is>
          <t xml:space="preserve">74697   </t>
        </is>
      </c>
      <c r="Q583" s="26" t="n">
        <v>8.19</v>
      </c>
      <c r="R583" s="26">
        <f>Q583*G583</f>
        <v/>
      </c>
      <c r="S583" s="26">
        <f>IFERROR(VLOOKUP(E583*1,Tabla[#All],8,0),0)</f>
        <v/>
      </c>
      <c r="T583" s="26">
        <f>S583*G583</f>
        <v/>
      </c>
      <c r="U583" s="26">
        <f>R583-T583</f>
        <v/>
      </c>
      <c r="V583" s="26">
        <f>U583-L583</f>
        <v/>
      </c>
    </row>
    <row r="584">
      <c r="A584" s="11" t="n">
        <v>46208</v>
      </c>
      <c r="B584" s="1" t="n">
        <v>20086</v>
      </c>
      <c r="C584" s="1" t="inlineStr">
        <is>
          <t>192</t>
        </is>
      </c>
      <c r="D584" s="1" t="inlineStr">
        <is>
          <t>128967</t>
        </is>
      </c>
      <c r="E584" s="1" t="inlineStr">
        <is>
          <t xml:space="preserve">28194770       </t>
        </is>
      </c>
      <c r="F584" s="5" t="inlineStr">
        <is>
          <t>AUTOS DE METAL 3 TEAMSTERZ EN BLISTER</t>
        </is>
      </c>
      <c r="G584" t="n">
        <v>1</v>
      </c>
      <c r="H584" s="7" t="n">
        <v>6.9</v>
      </c>
      <c r="I584" s="7" t="n">
        <v>0</v>
      </c>
      <c r="J584" s="7" t="n">
        <v>0</v>
      </c>
      <c r="K584" s="9" t="n">
        <v>0</v>
      </c>
      <c r="L584" s="10" t="n">
        <v>4.1</v>
      </c>
      <c r="M584" s="10" t="n">
        <v>1.43</v>
      </c>
      <c r="N584" t="inlineStr">
        <is>
          <t>1</t>
        </is>
      </c>
      <c r="O584" t="inlineStr">
        <is>
          <t>16</t>
        </is>
      </c>
      <c r="P584" t="inlineStr">
        <is>
          <t xml:space="preserve">74697   </t>
        </is>
      </c>
      <c r="Q584" s="26" t="n">
        <v>4.09</v>
      </c>
      <c r="R584" s="26">
        <f>Q584*G584</f>
        <v/>
      </c>
      <c r="S584" s="26">
        <f>IFERROR(VLOOKUP(E584*1,Tabla[#All],8,0),0)</f>
        <v/>
      </c>
      <c r="T584" s="26">
        <f>S584*G584</f>
        <v/>
      </c>
      <c r="U584" s="26">
        <f>R584-T584</f>
        <v/>
      </c>
      <c r="V584" s="26">
        <f>U584-L584</f>
        <v/>
      </c>
    </row>
    <row r="585">
      <c r="A585" s="11" t="n">
        <v>46208</v>
      </c>
      <c r="B585" s="1" t="n">
        <v>20086</v>
      </c>
      <c r="C585" s="1" t="inlineStr">
        <is>
          <t>192</t>
        </is>
      </c>
      <c r="D585" s="1" t="inlineStr">
        <is>
          <t>128968</t>
        </is>
      </c>
      <c r="E585" s="1" t="inlineStr">
        <is>
          <t xml:space="preserve">28194769       </t>
        </is>
      </c>
      <c r="F585" s="5" t="inlineStr">
        <is>
          <t>AUTOS DE METAL 3 TEAMSTERZ PACK DE 2</t>
        </is>
      </c>
      <c r="G585" t="n">
        <v>1</v>
      </c>
      <c r="H585" s="7" t="n">
        <v>13.8</v>
      </c>
      <c r="I585" s="7" t="n">
        <v>0</v>
      </c>
      <c r="J585" s="7" t="n">
        <v>0</v>
      </c>
      <c r="K585" s="9" t="n">
        <v>0</v>
      </c>
      <c r="L585" s="10" t="n">
        <v>8.18</v>
      </c>
      <c r="M585" s="10" t="n">
        <v>1.43</v>
      </c>
      <c r="N585" t="inlineStr">
        <is>
          <t>1</t>
        </is>
      </c>
      <c r="O585" t="inlineStr">
        <is>
          <t>16</t>
        </is>
      </c>
      <c r="P585" t="inlineStr">
        <is>
          <t xml:space="preserve">74697   </t>
        </is>
      </c>
      <c r="Q585" s="26" t="n">
        <v>8.19</v>
      </c>
      <c r="R585" s="26">
        <f>Q585*G585</f>
        <v/>
      </c>
      <c r="S585" s="26">
        <f>IFERROR(VLOOKUP(E585*1,Tabla[#All],8,0),0)</f>
        <v/>
      </c>
      <c r="T585" s="26">
        <f>S585*G585</f>
        <v/>
      </c>
      <c r="U585" s="26">
        <f>R585-T585</f>
        <v/>
      </c>
      <c r="V585" s="26">
        <f>U585-L585</f>
        <v/>
      </c>
    </row>
    <row r="586">
      <c r="A586" s="11" t="n">
        <v>46208</v>
      </c>
      <c r="B586" s="1" t="n">
        <v>20088</v>
      </c>
      <c r="C586" s="1" t="inlineStr">
        <is>
          <t>018</t>
        </is>
      </c>
      <c r="D586" s="1" t="inlineStr">
        <is>
          <t>165813</t>
        </is>
      </c>
      <c r="E586" s="1" t="inlineStr">
        <is>
          <t xml:space="preserve">34840551       </t>
        </is>
      </c>
      <c r="F586" s="5" t="inlineStr">
        <is>
          <t>TMZ HELI BOMBERO CON LUCES Y SONIDOS</t>
        </is>
      </c>
      <c r="G586" t="n">
        <v>1</v>
      </c>
      <c r="H586" s="7" t="n">
        <v>79.90000000000001</v>
      </c>
      <c r="I586" s="7" t="n">
        <v>0</v>
      </c>
      <c r="J586" s="7" t="n">
        <v>0</v>
      </c>
      <c r="K586" s="9" t="n">
        <v>0</v>
      </c>
      <c r="L586" s="10" t="n">
        <v>47.4</v>
      </c>
      <c r="M586" s="10" t="n">
        <v>1.43</v>
      </c>
      <c r="N586" t="inlineStr">
        <is>
          <t>1</t>
        </is>
      </c>
      <c r="O586" t="inlineStr">
        <is>
          <t xml:space="preserve">2 </t>
        </is>
      </c>
      <c r="P586" t="inlineStr">
        <is>
          <t xml:space="preserve">249601  </t>
        </is>
      </c>
      <c r="Q586" s="26" t="n">
        <v>47.4</v>
      </c>
      <c r="R586" s="26">
        <f>Q586*G586</f>
        <v/>
      </c>
      <c r="S586" s="26">
        <f>IFERROR(VLOOKUP(E586*1,Tabla[#All],8,0),0)</f>
        <v/>
      </c>
      <c r="T586" s="26">
        <f>S586*G586</f>
        <v/>
      </c>
      <c r="U586" s="26">
        <f>R586-T586</f>
        <v/>
      </c>
      <c r="V586" s="26">
        <f>U586-L586</f>
        <v/>
      </c>
    </row>
    <row r="587">
      <c r="A587" s="11" t="n">
        <v>46208</v>
      </c>
      <c r="B587" s="1" t="n">
        <v>20088</v>
      </c>
      <c r="C587" s="1" t="inlineStr">
        <is>
          <t>018</t>
        </is>
      </c>
      <c r="D587" s="1" t="inlineStr">
        <is>
          <t>165839</t>
        </is>
      </c>
      <c r="E587" s="1" t="inlineStr">
        <is>
          <t xml:space="preserve">28194780       </t>
        </is>
      </c>
      <c r="F587" s="5" t="inlineStr">
        <is>
          <t>TROMPO BATALLA INFINITY NADO PLSTICO SURTIDO</t>
        </is>
      </c>
      <c r="G587" t="n">
        <v>1</v>
      </c>
      <c r="H587" s="7" t="n">
        <v>19.9</v>
      </c>
      <c r="I587" s="7" t="n">
        <v>0</v>
      </c>
      <c r="J587" s="7" t="n">
        <v>0</v>
      </c>
      <c r="K587" s="9" t="n">
        <v>0</v>
      </c>
      <c r="L587" s="10" t="n">
        <v>11.8</v>
      </c>
      <c r="M587" s="10" t="n">
        <v>1.43</v>
      </c>
      <c r="N587" t="inlineStr">
        <is>
          <t>1</t>
        </is>
      </c>
      <c r="O587" t="inlineStr">
        <is>
          <t>16</t>
        </is>
      </c>
      <c r="P587" t="inlineStr">
        <is>
          <t xml:space="preserve">249601  </t>
        </is>
      </c>
      <c r="Q587" s="26" t="n">
        <v>11.81</v>
      </c>
      <c r="R587" s="26">
        <f>Q587*G587</f>
        <v/>
      </c>
      <c r="S587" s="26">
        <f>IFERROR(VLOOKUP(E587*1,Tabla[#All],8,0),0)</f>
        <v/>
      </c>
      <c r="T587" s="26">
        <f>S587*G587</f>
        <v/>
      </c>
      <c r="U587" s="26">
        <f>R587-T587</f>
        <v/>
      </c>
      <c r="V587" s="26">
        <f>U587-L587</f>
        <v/>
      </c>
    </row>
    <row r="588">
      <c r="A588" s="11" t="n">
        <v>46208</v>
      </c>
      <c r="B588" s="1" t="n">
        <v>20088</v>
      </c>
      <c r="C588" s="1" t="inlineStr">
        <is>
          <t>021</t>
        </is>
      </c>
      <c r="D588" s="1" t="inlineStr">
        <is>
          <t xml:space="preserve">48167 </t>
        </is>
      </c>
      <c r="E588" s="1" t="inlineStr">
        <is>
          <t xml:space="preserve">32457099       </t>
        </is>
      </c>
      <c r="F588" s="5" t="inlineStr">
        <is>
          <t>TMZ BEAST MACHINES MONSTER JAWS A FRICCION BLISTER</t>
        </is>
      </c>
      <c r="G588" t="n">
        <v>1</v>
      </c>
      <c r="H588" s="7" t="n">
        <v>17.9</v>
      </c>
      <c r="I588" s="7" t="n">
        <v>0</v>
      </c>
      <c r="J588" s="7" t="n">
        <v>0</v>
      </c>
      <c r="K588" s="9" t="n">
        <v>0</v>
      </c>
      <c r="L588" s="10" t="n">
        <v>10.62</v>
      </c>
      <c r="M588" s="10" t="n">
        <v>1.43</v>
      </c>
      <c r="N588" t="inlineStr">
        <is>
          <t>1</t>
        </is>
      </c>
      <c r="O588" t="inlineStr">
        <is>
          <t xml:space="preserve">3 </t>
        </is>
      </c>
      <c r="P588" t="inlineStr">
        <is>
          <t xml:space="preserve">232153  </t>
        </is>
      </c>
      <c r="Q588" s="26" t="n">
        <v>11.81</v>
      </c>
      <c r="R588" s="26">
        <f>Q588*G588</f>
        <v/>
      </c>
      <c r="S588" s="26">
        <f>IFERROR(VLOOKUP(E588*1,Tabla[#All],8,0),0)</f>
        <v/>
      </c>
      <c r="T588" s="26">
        <f>S588*G588</f>
        <v/>
      </c>
      <c r="U588" s="26">
        <f>R588-T588</f>
        <v/>
      </c>
      <c r="V588" s="26">
        <f>U588-L588</f>
        <v/>
      </c>
    </row>
    <row r="589">
      <c r="A589" s="11" t="n">
        <v>46208</v>
      </c>
      <c r="B589" s="1" t="n">
        <v>20088</v>
      </c>
      <c r="C589" s="1" t="inlineStr">
        <is>
          <t>021</t>
        </is>
      </c>
      <c r="D589" s="1" t="inlineStr">
        <is>
          <t xml:space="preserve">48167 </t>
        </is>
      </c>
      <c r="E589" s="1" t="inlineStr">
        <is>
          <t xml:space="preserve">32457099       </t>
        </is>
      </c>
      <c r="F589" s="5" t="inlineStr">
        <is>
          <t>TMZ BEAST MACHINES MONSTER JAWS A FRICCION BLISTER</t>
        </is>
      </c>
      <c r="G589" t="n">
        <v>1</v>
      </c>
      <c r="H589" s="7" t="n">
        <v>17.9</v>
      </c>
      <c r="I589" s="7" t="n">
        <v>0</v>
      </c>
      <c r="J589" s="7" t="n">
        <v>0</v>
      </c>
      <c r="K589" s="9" t="n">
        <v>0</v>
      </c>
      <c r="L589" s="10" t="n">
        <v>10.62</v>
      </c>
      <c r="M589" s="10" t="n">
        <v>1.43</v>
      </c>
      <c r="N589" t="inlineStr">
        <is>
          <t>1</t>
        </is>
      </c>
      <c r="O589" t="inlineStr">
        <is>
          <t xml:space="preserve">3 </t>
        </is>
      </c>
      <c r="P589" t="inlineStr">
        <is>
          <t xml:space="preserve">232153  </t>
        </is>
      </c>
      <c r="Q589" s="26" t="n">
        <v>11.81</v>
      </c>
      <c r="R589" s="26">
        <f>Q589*G589</f>
        <v/>
      </c>
      <c r="S589" s="26">
        <f>IFERROR(VLOOKUP(E589*1,Tabla[#All],8,0),0)</f>
        <v/>
      </c>
      <c r="T589" s="26">
        <f>S589*G589</f>
        <v/>
      </c>
      <c r="U589" s="26">
        <f>R589-T589</f>
        <v/>
      </c>
      <c r="V589" s="26">
        <f>U589-L589</f>
        <v/>
      </c>
    </row>
    <row r="590">
      <c r="A590" s="11" t="n">
        <v>46208</v>
      </c>
      <c r="B590" s="1" t="n">
        <v>20088</v>
      </c>
      <c r="C590" s="1" t="inlineStr">
        <is>
          <t>023</t>
        </is>
      </c>
      <c r="D590" s="1" t="inlineStr">
        <is>
          <t>126508</t>
        </is>
      </c>
      <c r="E590" s="1" t="inlineStr">
        <is>
          <t xml:space="preserve">28194770       </t>
        </is>
      </c>
      <c r="F590" s="5" t="inlineStr">
        <is>
          <t>AUTOS DE METAL 3 TEAMSTERZ EN BLISTER</t>
        </is>
      </c>
      <c r="G590" t="n">
        <v>1</v>
      </c>
      <c r="H590" s="7" t="n">
        <v>6.9</v>
      </c>
      <c r="I590" s="7" t="n">
        <v>0</v>
      </c>
      <c r="J590" s="7" t="n">
        <v>0</v>
      </c>
      <c r="K590" s="9" t="n">
        <v>0</v>
      </c>
      <c r="L590" s="10" t="n">
        <v>4.1</v>
      </c>
      <c r="M590" s="10" t="n">
        <v>1.43</v>
      </c>
      <c r="N590" t="inlineStr">
        <is>
          <t>1</t>
        </is>
      </c>
      <c r="O590" t="inlineStr">
        <is>
          <t>16</t>
        </is>
      </c>
      <c r="P590" t="inlineStr">
        <is>
          <t xml:space="preserve">233525  </t>
        </is>
      </c>
      <c r="Q590" s="26" t="n">
        <v>4.09</v>
      </c>
      <c r="R590" s="26">
        <f>Q590*G590</f>
        <v/>
      </c>
      <c r="S590" s="26">
        <f>IFERROR(VLOOKUP(E590*1,Tabla[#All],8,0),0)</f>
        <v/>
      </c>
      <c r="T590" s="26">
        <f>S590*G590</f>
        <v/>
      </c>
      <c r="U590" s="26">
        <f>R590-T590</f>
        <v/>
      </c>
      <c r="V590" s="26">
        <f>U590-L590</f>
        <v/>
      </c>
    </row>
    <row r="591">
      <c r="A591" s="11" t="n">
        <v>46208</v>
      </c>
      <c r="B591" s="1" t="n">
        <v>20088</v>
      </c>
      <c r="C591" s="1" t="inlineStr">
        <is>
          <t>023</t>
        </is>
      </c>
      <c r="D591" s="1" t="inlineStr">
        <is>
          <t>126542</t>
        </is>
      </c>
      <c r="E591" s="1" t="inlineStr">
        <is>
          <t xml:space="preserve">28194769       </t>
        </is>
      </c>
      <c r="F591" s="5" t="inlineStr">
        <is>
          <t>AUTOS DE METAL 3 TEAMSTERZ PACK DE 2</t>
        </is>
      </c>
      <c r="G591" t="n">
        <v>1</v>
      </c>
      <c r="H591" s="7" t="n">
        <v>13.8</v>
      </c>
      <c r="I591" s="7" t="n">
        <v>0</v>
      </c>
      <c r="J591" s="7" t="n">
        <v>0</v>
      </c>
      <c r="K591" s="9" t="n">
        <v>0</v>
      </c>
      <c r="L591" s="10" t="n">
        <v>8.18</v>
      </c>
      <c r="M591" s="10" t="n">
        <v>1.43</v>
      </c>
      <c r="N591" t="inlineStr">
        <is>
          <t>1</t>
        </is>
      </c>
      <c r="O591" t="inlineStr">
        <is>
          <t xml:space="preserve">2 </t>
        </is>
      </c>
      <c r="P591" t="inlineStr">
        <is>
          <t xml:space="preserve">233525  </t>
        </is>
      </c>
      <c r="Q591" s="26" t="n">
        <v>8.19</v>
      </c>
      <c r="R591" s="26">
        <f>Q591*G591</f>
        <v/>
      </c>
      <c r="S591" s="26">
        <f>IFERROR(VLOOKUP(E591*1,Tabla[#All],8,0),0)</f>
        <v/>
      </c>
      <c r="T591" s="26">
        <f>S591*G591</f>
        <v/>
      </c>
      <c r="U591" s="26">
        <f>R591-T591</f>
        <v/>
      </c>
      <c r="V591" s="26">
        <f>U591-L591</f>
        <v/>
      </c>
    </row>
    <row r="592">
      <c r="A592" s="11" t="n">
        <v>46208</v>
      </c>
      <c r="B592" s="1" t="n">
        <v>20088</v>
      </c>
      <c r="C592" s="1" t="inlineStr">
        <is>
          <t>024</t>
        </is>
      </c>
      <c r="D592" s="1" t="inlineStr">
        <is>
          <t xml:space="preserve">49644 </t>
        </is>
      </c>
      <c r="E592" s="1" t="inlineStr">
        <is>
          <t xml:space="preserve">28194781       </t>
        </is>
      </c>
      <c r="F592" s="5" t="inlineStr">
        <is>
          <t>TROMPO BATALLA INFINITY NADO SERIE V CLASICA SURTI</t>
        </is>
      </c>
      <c r="G592" t="n">
        <v>1</v>
      </c>
      <c r="H592" s="7" t="n">
        <v>39.9</v>
      </c>
      <c r="I592" s="7" t="n">
        <v>0</v>
      </c>
      <c r="J592" s="7" t="n">
        <v>0</v>
      </c>
      <c r="K592" s="9" t="n">
        <v>0</v>
      </c>
      <c r="L592" s="10" t="n">
        <v>23.67</v>
      </c>
      <c r="M592" s="10" t="n">
        <v>1.43</v>
      </c>
      <c r="N592" t="inlineStr">
        <is>
          <t>1</t>
        </is>
      </c>
      <c r="O592" t="inlineStr">
        <is>
          <t>16</t>
        </is>
      </c>
      <c r="P592" t="inlineStr">
        <is>
          <t xml:space="preserve">233525  </t>
        </is>
      </c>
      <c r="Q592" s="26" t="n">
        <v>35.53</v>
      </c>
      <c r="R592" s="26">
        <f>Q592*G592</f>
        <v/>
      </c>
      <c r="S592" s="26">
        <f>IFERROR(VLOOKUP(E592*1,Tabla[#All],8,0),0)</f>
        <v/>
      </c>
      <c r="T592" s="26">
        <f>S592*G592</f>
        <v/>
      </c>
      <c r="U592" s="26">
        <f>R592-T592</f>
        <v/>
      </c>
      <c r="V592" s="26">
        <f>U592-L592</f>
        <v/>
      </c>
    </row>
    <row r="593">
      <c r="A593" s="11" t="n">
        <v>46208</v>
      </c>
      <c r="B593" s="1" t="n">
        <v>20088</v>
      </c>
      <c r="C593" s="1" t="inlineStr">
        <is>
          <t>801</t>
        </is>
      </c>
      <c r="D593" s="1" t="inlineStr">
        <is>
          <t xml:space="preserve">6492  </t>
        </is>
      </c>
      <c r="E593" s="1" t="inlineStr">
        <is>
          <t xml:space="preserve">28194769       </t>
        </is>
      </c>
      <c r="F593" s="5" t="inlineStr">
        <is>
          <t>AUTOS DE METAL 3 TEAMSTERZ PACK DE 2</t>
        </is>
      </c>
      <c r="G593" t="n">
        <v>1</v>
      </c>
      <c r="H593" s="7" t="n">
        <v>13.8</v>
      </c>
      <c r="I593" s="7" t="n">
        <v>0</v>
      </c>
      <c r="J593" s="7" t="n">
        <v>0</v>
      </c>
      <c r="K593" s="9" t="n">
        <v>0</v>
      </c>
      <c r="L593" s="10" t="n">
        <v>8.18</v>
      </c>
      <c r="M593" s="10" t="n">
        <v>1.43</v>
      </c>
      <c r="N593" t="inlineStr">
        <is>
          <t>1</t>
        </is>
      </c>
      <c r="O593" t="inlineStr">
        <is>
          <t>16</t>
        </is>
      </c>
      <c r="P593" t="inlineStr">
        <is>
          <t xml:space="preserve">0       </t>
        </is>
      </c>
      <c r="Q593" s="26" t="n">
        <v>8.19</v>
      </c>
      <c r="R593" s="26">
        <f>Q593*G593</f>
        <v/>
      </c>
      <c r="S593" s="26">
        <f>IFERROR(VLOOKUP(E593*1,Tabla[#All],8,0),0)</f>
        <v/>
      </c>
      <c r="T593" s="26">
        <f>S593*G593</f>
        <v/>
      </c>
      <c r="U593" s="26">
        <f>R593-T593</f>
        <v/>
      </c>
      <c r="V593" s="26">
        <f>U593-L593</f>
        <v/>
      </c>
    </row>
    <row r="594">
      <c r="A594" s="11" t="n">
        <v>46208</v>
      </c>
      <c r="B594" s="1" t="n">
        <v>20088</v>
      </c>
      <c r="C594" s="1" t="inlineStr">
        <is>
          <t>801</t>
        </is>
      </c>
      <c r="D594" s="1" t="inlineStr">
        <is>
          <t xml:space="preserve">6492  </t>
        </is>
      </c>
      <c r="E594" s="1" t="inlineStr">
        <is>
          <t xml:space="preserve">28194770       </t>
        </is>
      </c>
      <c r="F594" s="5" t="inlineStr">
        <is>
          <t>AUTOS DE METAL 3 TEAMSTERZ EN BLISTER</t>
        </is>
      </c>
      <c r="G594" t="n">
        <v>1</v>
      </c>
      <c r="H594" s="7" t="n">
        <v>6.9</v>
      </c>
      <c r="I594" s="7" t="n">
        <v>0</v>
      </c>
      <c r="J594" s="7" t="n">
        <v>0</v>
      </c>
      <c r="K594" s="9" t="n">
        <v>0</v>
      </c>
      <c r="L594" s="10" t="n">
        <v>4.1</v>
      </c>
      <c r="M594" s="10" t="n">
        <v>1.43</v>
      </c>
      <c r="N594" t="inlineStr">
        <is>
          <t>1</t>
        </is>
      </c>
      <c r="O594" t="inlineStr">
        <is>
          <t>16</t>
        </is>
      </c>
      <c r="P594" t="inlineStr">
        <is>
          <t xml:space="preserve">0       </t>
        </is>
      </c>
      <c r="Q594" s="26" t="n">
        <v>4.09</v>
      </c>
      <c r="R594" s="26">
        <f>Q594*G594</f>
        <v/>
      </c>
      <c r="S594" s="26">
        <f>IFERROR(VLOOKUP(E594*1,Tabla[#All],8,0),0)</f>
        <v/>
      </c>
      <c r="T594" s="26">
        <f>S594*G594</f>
        <v/>
      </c>
      <c r="U594" s="26">
        <f>R594-T594</f>
        <v/>
      </c>
      <c r="V594" s="26">
        <f>U594-L594</f>
        <v/>
      </c>
    </row>
    <row r="595">
      <c r="A595" s="11" t="n">
        <v>46208</v>
      </c>
      <c r="B595" s="1" t="n">
        <v>20088</v>
      </c>
      <c r="C595" s="1" t="inlineStr">
        <is>
          <t>802</t>
        </is>
      </c>
      <c r="D595" s="1" t="inlineStr">
        <is>
          <t xml:space="preserve">7735  </t>
        </is>
      </c>
      <c r="E595" s="1" t="inlineStr">
        <is>
          <t xml:space="preserve">28194769       </t>
        </is>
      </c>
      <c r="F595" s="5" t="inlineStr">
        <is>
          <t>AUTOS DE METAL 3 TEAMSTERZ PACK DE 2</t>
        </is>
      </c>
      <c r="G595" t="n">
        <v>1</v>
      </c>
      <c r="H595" s="7" t="n">
        <v>13.8</v>
      </c>
      <c r="I595" s="7" t="n">
        <v>0</v>
      </c>
      <c r="J595" s="7" t="n">
        <v>0</v>
      </c>
      <c r="K595" s="9" t="n">
        <v>0</v>
      </c>
      <c r="L595" s="10" t="n">
        <v>8.18</v>
      </c>
      <c r="M595" s="10" t="n">
        <v>1.43</v>
      </c>
      <c r="N595" t="inlineStr">
        <is>
          <t>1</t>
        </is>
      </c>
      <c r="O595" t="inlineStr">
        <is>
          <t>16</t>
        </is>
      </c>
      <c r="P595" t="inlineStr">
        <is>
          <t xml:space="preserve">0       </t>
        </is>
      </c>
      <c r="Q595" s="26" t="n">
        <v>8.19</v>
      </c>
      <c r="R595" s="26">
        <f>Q595*G595</f>
        <v/>
      </c>
      <c r="S595" s="26">
        <f>IFERROR(VLOOKUP(E595*1,Tabla[#All],8,0),0)</f>
        <v/>
      </c>
      <c r="T595" s="26">
        <f>S595*G595</f>
        <v/>
      </c>
      <c r="U595" s="26">
        <f>R595-T595</f>
        <v/>
      </c>
      <c r="V595" s="26">
        <f>U595-L595</f>
        <v/>
      </c>
    </row>
    <row r="596">
      <c r="A596" s="11" t="n">
        <v>46208</v>
      </c>
      <c r="B596" s="1" t="n">
        <v>20089</v>
      </c>
      <c r="C596" s="1" t="inlineStr">
        <is>
          <t>025</t>
        </is>
      </c>
      <c r="D596" s="1" t="inlineStr">
        <is>
          <t>121277</t>
        </is>
      </c>
      <c r="E596" s="1" t="inlineStr">
        <is>
          <t xml:space="preserve">32457099       </t>
        </is>
      </c>
      <c r="F596" s="5" t="inlineStr">
        <is>
          <t>TMZ BEAST MACHINES MONSTER JAWS A FRICCION BLISTER</t>
        </is>
      </c>
      <c r="G596" t="n">
        <v>1</v>
      </c>
      <c r="H596" s="7" t="n">
        <v>19.9</v>
      </c>
      <c r="I596" s="7" t="n">
        <v>0</v>
      </c>
      <c r="J596" s="7" t="n">
        <v>0</v>
      </c>
      <c r="K596" s="9" t="n">
        <v>0</v>
      </c>
      <c r="L596" s="10" t="n">
        <v>11.8</v>
      </c>
      <c r="M596" s="10" t="n">
        <v>1.43</v>
      </c>
      <c r="N596" t="inlineStr">
        <is>
          <t>1</t>
        </is>
      </c>
      <c r="O596" t="inlineStr">
        <is>
          <t xml:space="preserve">2 </t>
        </is>
      </c>
      <c r="P596" t="inlineStr">
        <is>
          <t xml:space="preserve">101864  </t>
        </is>
      </c>
      <c r="Q596" s="26" t="n">
        <v>11.81</v>
      </c>
      <c r="R596" s="26">
        <f>Q596*G596</f>
        <v/>
      </c>
      <c r="S596" s="26">
        <f>IFERROR(VLOOKUP(E596*1,Tabla[#All],8,0),0)</f>
        <v/>
      </c>
      <c r="T596" s="26">
        <f>S596*G596</f>
        <v/>
      </c>
      <c r="U596" s="26">
        <f>R596-T596</f>
        <v/>
      </c>
      <c r="V596" s="26">
        <f>U596-L596</f>
        <v/>
      </c>
    </row>
    <row r="597">
      <c r="A597" s="11" t="n">
        <v>46208</v>
      </c>
      <c r="B597" s="1" t="n">
        <v>20089</v>
      </c>
      <c r="C597" s="1" t="inlineStr">
        <is>
          <t>026</t>
        </is>
      </c>
      <c r="D597" s="1" t="inlineStr">
        <is>
          <t xml:space="preserve">87330 </t>
        </is>
      </c>
      <c r="E597" s="1" t="inlineStr">
        <is>
          <t xml:space="preserve">28194769       </t>
        </is>
      </c>
      <c r="F597" s="5" t="inlineStr">
        <is>
          <t>AUTOS DE METAL 3 TEAMSTERZ PACK DE 2</t>
        </is>
      </c>
      <c r="G597" t="n">
        <v>1</v>
      </c>
      <c r="H597" s="7" t="n">
        <v>13.8</v>
      </c>
      <c r="I597" s="7" t="n">
        <v>0</v>
      </c>
      <c r="J597" s="7" t="n">
        <v>0</v>
      </c>
      <c r="K597" s="9" t="n">
        <v>0</v>
      </c>
      <c r="L597" s="10" t="n">
        <v>8.18</v>
      </c>
      <c r="M597" s="10" t="n">
        <v>1.43</v>
      </c>
      <c r="N597" t="inlineStr">
        <is>
          <t>1</t>
        </is>
      </c>
      <c r="O597" t="inlineStr">
        <is>
          <t>16</t>
        </is>
      </c>
      <c r="P597" t="inlineStr">
        <is>
          <t xml:space="preserve">69718   </t>
        </is>
      </c>
      <c r="Q597" s="26" t="n">
        <v>8.19</v>
      </c>
      <c r="R597" s="26">
        <f>Q597*G597</f>
        <v/>
      </c>
      <c r="S597" s="26">
        <f>IFERROR(VLOOKUP(E597*1,Tabla[#All],8,0),0)</f>
        <v/>
      </c>
      <c r="T597" s="26">
        <f>S597*G597</f>
        <v/>
      </c>
      <c r="U597" s="26">
        <f>R597-T597</f>
        <v/>
      </c>
      <c r="V597" s="26">
        <f>U597-L597</f>
        <v/>
      </c>
    </row>
    <row r="598">
      <c r="A598" s="11" t="n">
        <v>46208</v>
      </c>
      <c r="B598" s="1" t="n">
        <v>20089</v>
      </c>
      <c r="C598" s="1" t="inlineStr">
        <is>
          <t>026</t>
        </is>
      </c>
      <c r="D598" s="1" t="inlineStr">
        <is>
          <t xml:space="preserve">87362 </t>
        </is>
      </c>
      <c r="E598" s="1" t="inlineStr">
        <is>
          <t xml:space="preserve">28194770       </t>
        </is>
      </c>
      <c r="F598" s="5" t="inlineStr">
        <is>
          <t>AUTOS DE METAL 3 TEAMSTERZ EN BLISTER</t>
        </is>
      </c>
      <c r="G598" t="n">
        <v>1</v>
      </c>
      <c r="H598" s="7" t="n">
        <v>6.9</v>
      </c>
      <c r="I598" s="7" t="n">
        <v>0</v>
      </c>
      <c r="J598" s="7" t="n">
        <v>0</v>
      </c>
      <c r="K598" s="9" t="n">
        <v>0</v>
      </c>
      <c r="L598" s="10" t="n">
        <v>4.1</v>
      </c>
      <c r="M598" s="10" t="n">
        <v>1.43</v>
      </c>
      <c r="N598" t="inlineStr">
        <is>
          <t>1</t>
        </is>
      </c>
      <c r="O598" t="inlineStr">
        <is>
          <t xml:space="preserve">6 </t>
        </is>
      </c>
      <c r="P598" t="inlineStr">
        <is>
          <t xml:space="preserve">69718   </t>
        </is>
      </c>
      <c r="Q598" s="26" t="n">
        <v>4.09</v>
      </c>
      <c r="R598" s="26">
        <f>Q598*G598</f>
        <v/>
      </c>
      <c r="S598" s="26">
        <f>IFERROR(VLOOKUP(E598*1,Tabla[#All],8,0),0)</f>
        <v/>
      </c>
      <c r="T598" s="26">
        <f>S598*G598</f>
        <v/>
      </c>
      <c r="U598" s="26">
        <f>R598-T598</f>
        <v/>
      </c>
      <c r="V598" s="26">
        <f>U598-L598</f>
        <v/>
      </c>
    </row>
    <row r="599">
      <c r="A599" s="11" t="n">
        <v>46208</v>
      </c>
      <c r="B599" s="1" t="n">
        <v>20089</v>
      </c>
      <c r="C599" s="1" t="inlineStr">
        <is>
          <t>026</t>
        </is>
      </c>
      <c r="D599" s="1" t="inlineStr">
        <is>
          <t xml:space="preserve">87365 </t>
        </is>
      </c>
      <c r="E599" s="1" t="inlineStr">
        <is>
          <t xml:space="preserve">28194770       </t>
        </is>
      </c>
      <c r="F599" s="5" t="inlineStr">
        <is>
          <t>AUTOS DE METAL 3 TEAMSTERZ EN BLISTER</t>
        </is>
      </c>
      <c r="G599" t="n">
        <v>1</v>
      </c>
      <c r="H599" s="7" t="n">
        <v>6.9</v>
      </c>
      <c r="I599" s="7" t="n">
        <v>0</v>
      </c>
      <c r="J599" s="7" t="n">
        <v>0</v>
      </c>
      <c r="K599" s="9" t="n">
        <v>0</v>
      </c>
      <c r="L599" s="10" t="n">
        <v>4.1</v>
      </c>
      <c r="M599" s="10" t="n">
        <v>1.43</v>
      </c>
      <c r="N599" t="inlineStr">
        <is>
          <t>1</t>
        </is>
      </c>
      <c r="O599" t="inlineStr">
        <is>
          <t>16</t>
        </is>
      </c>
      <c r="P599" t="inlineStr">
        <is>
          <t xml:space="preserve">69718   </t>
        </is>
      </c>
      <c r="Q599" s="26" t="n">
        <v>4.09</v>
      </c>
      <c r="R599" s="26">
        <f>Q599*G599</f>
        <v/>
      </c>
      <c r="S599" s="26">
        <f>IFERROR(VLOOKUP(E599*1,Tabla[#All],8,0),0)</f>
        <v/>
      </c>
      <c r="T599" s="26">
        <f>S599*G599</f>
        <v/>
      </c>
      <c r="U599" s="26">
        <f>R599-T599</f>
        <v/>
      </c>
      <c r="V599" s="26">
        <f>U599-L599</f>
        <v/>
      </c>
    </row>
    <row r="600">
      <c r="A600" s="11" t="n">
        <v>46208</v>
      </c>
      <c r="B600" s="1" t="n">
        <v>20089</v>
      </c>
      <c r="C600" s="1" t="inlineStr">
        <is>
          <t>026</t>
        </is>
      </c>
      <c r="D600" s="1" t="inlineStr">
        <is>
          <t xml:space="preserve">87365 </t>
        </is>
      </c>
      <c r="E600" s="1" t="inlineStr">
        <is>
          <t xml:space="preserve">28194770       </t>
        </is>
      </c>
      <c r="F600" s="5" t="inlineStr">
        <is>
          <t>AUTOS DE METAL 3 TEAMSTERZ EN BLISTER</t>
        </is>
      </c>
      <c r="G600" t="n">
        <v>1</v>
      </c>
      <c r="H600" s="7" t="n">
        <v>6.9</v>
      </c>
      <c r="I600" s="7" t="n">
        <v>0</v>
      </c>
      <c r="J600" s="7" t="n">
        <v>0</v>
      </c>
      <c r="K600" s="9" t="n">
        <v>0</v>
      </c>
      <c r="L600" s="10" t="n">
        <v>4.1</v>
      </c>
      <c r="M600" s="10" t="n">
        <v>1.43</v>
      </c>
      <c r="N600" t="inlineStr">
        <is>
          <t>1</t>
        </is>
      </c>
      <c r="O600" t="inlineStr">
        <is>
          <t>16</t>
        </is>
      </c>
      <c r="P600" t="inlineStr">
        <is>
          <t xml:space="preserve">69718   </t>
        </is>
      </c>
      <c r="Q600" s="26" t="n">
        <v>4.09</v>
      </c>
      <c r="R600" s="26">
        <f>Q600*G600</f>
        <v/>
      </c>
      <c r="S600" s="26">
        <f>IFERROR(VLOOKUP(E600*1,Tabla[#All],8,0),0)</f>
        <v/>
      </c>
      <c r="T600" s="26">
        <f>S600*G600</f>
        <v/>
      </c>
      <c r="U600" s="26">
        <f>R600-T600</f>
        <v/>
      </c>
      <c r="V600" s="26">
        <f>U600-L600</f>
        <v/>
      </c>
    </row>
    <row r="601">
      <c r="A601" s="11" t="n">
        <v>46208</v>
      </c>
      <c r="B601" s="1" t="n">
        <v>20089</v>
      </c>
      <c r="C601" s="1" t="inlineStr">
        <is>
          <t>027</t>
        </is>
      </c>
      <c r="D601" s="1" t="inlineStr">
        <is>
          <t xml:space="preserve">15593 </t>
        </is>
      </c>
      <c r="E601" s="1" t="inlineStr">
        <is>
          <t xml:space="preserve">30141768       </t>
        </is>
      </c>
      <c r="F601" s="5" t="inlineStr">
        <is>
          <t>TMZ BEAST MACHINES AUTOS DE METAL PACK 10 AUTOS</t>
        </is>
      </c>
      <c r="G601" t="n">
        <v>1</v>
      </c>
      <c r="H601" s="7" t="n">
        <v>79</v>
      </c>
      <c r="I601" s="7" t="n">
        <v>0</v>
      </c>
      <c r="J601" s="7" t="n">
        <v>0</v>
      </c>
      <c r="K601" s="9" t="n">
        <v>0</v>
      </c>
      <c r="L601" s="10" t="n">
        <v>46.87</v>
      </c>
      <c r="M601" s="10" t="n">
        <v>1.43</v>
      </c>
      <c r="N601" t="inlineStr">
        <is>
          <t>1</t>
        </is>
      </c>
      <c r="O601" t="inlineStr">
        <is>
          <t>16</t>
        </is>
      </c>
      <c r="P601" t="inlineStr">
        <is>
          <t xml:space="preserve">248223  </t>
        </is>
      </c>
      <c r="Q601" s="26" t="n">
        <v>46.86</v>
      </c>
      <c r="R601" s="26">
        <f>Q601*G601</f>
        <v/>
      </c>
      <c r="S601" s="26">
        <f>IFERROR(VLOOKUP(E601*1,Tabla[#All],8,0),0)</f>
        <v/>
      </c>
      <c r="T601" s="26">
        <f>S601*G601</f>
        <v/>
      </c>
      <c r="U601" s="26">
        <f>R601-T601</f>
        <v/>
      </c>
      <c r="V601" s="26">
        <f>U601-L601</f>
        <v/>
      </c>
    </row>
    <row r="602">
      <c r="A602" s="11" t="n">
        <v>46208</v>
      </c>
      <c r="B602" s="1" t="n">
        <v>20089</v>
      </c>
      <c r="C602" s="1" t="inlineStr">
        <is>
          <t>525</t>
        </is>
      </c>
      <c r="D602" s="1" t="inlineStr">
        <is>
          <t xml:space="preserve">3961  </t>
        </is>
      </c>
      <c r="E602" s="1" t="inlineStr">
        <is>
          <t xml:space="preserve">28194769       </t>
        </is>
      </c>
      <c r="F602" s="5" t="inlineStr">
        <is>
          <t>AUTOS DE METAL 3 TEAMSTERZ PACK DE 2</t>
        </is>
      </c>
      <c r="G602" t="n">
        <v>1</v>
      </c>
      <c r="H602" s="7" t="n">
        <v>13.8</v>
      </c>
      <c r="I602" s="7" t="n">
        <v>0</v>
      </c>
      <c r="J602" s="7" t="n">
        <v>0</v>
      </c>
      <c r="K602" s="9" t="n">
        <v>0</v>
      </c>
      <c r="L602" s="10" t="n">
        <v>8.18</v>
      </c>
      <c r="M602" s="10" t="n">
        <v>1.43</v>
      </c>
      <c r="N602" t="inlineStr">
        <is>
          <t>1</t>
        </is>
      </c>
      <c r="O602" t="inlineStr">
        <is>
          <t>16</t>
        </is>
      </c>
      <c r="P602" t="inlineStr">
        <is>
          <t xml:space="preserve">96037   </t>
        </is>
      </c>
      <c r="Q602" s="26" t="n">
        <v>8.19</v>
      </c>
      <c r="R602" s="26">
        <f>Q602*G602</f>
        <v/>
      </c>
      <c r="S602" s="26">
        <f>IFERROR(VLOOKUP(E602*1,Tabla[#All],8,0),0)</f>
        <v/>
      </c>
      <c r="T602" s="26">
        <f>S602*G602</f>
        <v/>
      </c>
      <c r="U602" s="26">
        <f>R602-T602</f>
        <v/>
      </c>
      <c r="V602" s="26">
        <f>U602-L602</f>
        <v/>
      </c>
    </row>
    <row r="603">
      <c r="A603" s="11" t="n">
        <v>46208</v>
      </c>
      <c r="B603" s="1" t="n">
        <v>20095</v>
      </c>
      <c r="C603" s="1" t="inlineStr">
        <is>
          <t>043</t>
        </is>
      </c>
      <c r="D603" s="1" t="inlineStr">
        <is>
          <t>107407</t>
        </is>
      </c>
      <c r="E603" s="1" t="inlineStr">
        <is>
          <t xml:space="preserve">28194769       </t>
        </is>
      </c>
      <c r="F603" s="5" t="inlineStr">
        <is>
          <t>AUTOS DE METAL 3 TEAMSTERZ PACK DE 2</t>
        </is>
      </c>
      <c r="G603" t="n">
        <v>1</v>
      </c>
      <c r="H603" s="7" t="n">
        <v>13.8</v>
      </c>
      <c r="I603" s="7" t="n">
        <v>0</v>
      </c>
      <c r="J603" s="7" t="n">
        <v>0</v>
      </c>
      <c r="K603" s="9" t="n">
        <v>0</v>
      </c>
      <c r="L603" s="10" t="n">
        <v>8.18</v>
      </c>
      <c r="M603" s="10" t="n">
        <v>1.43</v>
      </c>
      <c r="N603" t="inlineStr">
        <is>
          <t>1</t>
        </is>
      </c>
      <c r="O603" t="inlineStr">
        <is>
          <t>16</t>
        </is>
      </c>
      <c r="P603" t="inlineStr">
        <is>
          <t xml:space="preserve">241955  </t>
        </is>
      </c>
      <c r="Q603" s="26" t="n">
        <v>8.19</v>
      </c>
      <c r="R603" s="26">
        <f>Q603*G603</f>
        <v/>
      </c>
      <c r="S603" s="26">
        <f>IFERROR(VLOOKUP(E603*1,Tabla[#All],8,0),0)</f>
        <v/>
      </c>
      <c r="T603" s="26">
        <f>S603*G603</f>
        <v/>
      </c>
      <c r="U603" s="26">
        <f>R603-T603</f>
        <v/>
      </c>
      <c r="V603" s="26">
        <f>U603-L603</f>
        <v/>
      </c>
    </row>
    <row r="604">
      <c r="A604" s="11" t="n">
        <v>46208</v>
      </c>
      <c r="B604" s="1" t="n">
        <v>20095</v>
      </c>
      <c r="C604" s="1" t="inlineStr">
        <is>
          <t>043</t>
        </is>
      </c>
      <c r="D604" s="1" t="inlineStr">
        <is>
          <t>107410</t>
        </is>
      </c>
      <c r="E604" s="1" t="inlineStr">
        <is>
          <t xml:space="preserve">28194769       </t>
        </is>
      </c>
      <c r="F604" s="5" t="inlineStr">
        <is>
          <t>AUTOS DE METAL 3 TEAMSTERZ PACK DE 2</t>
        </is>
      </c>
      <c r="G604" t="n">
        <v>1</v>
      </c>
      <c r="H604" s="7" t="n">
        <v>13.8</v>
      </c>
      <c r="I604" s="7" t="n">
        <v>0</v>
      </c>
      <c r="J604" s="7" t="n">
        <v>0</v>
      </c>
      <c r="K604" s="9" t="n">
        <v>0</v>
      </c>
      <c r="L604" s="10" t="n">
        <v>8.18</v>
      </c>
      <c r="M604" s="10" t="n">
        <v>1.43</v>
      </c>
      <c r="N604" t="inlineStr">
        <is>
          <t>1</t>
        </is>
      </c>
      <c r="O604" t="inlineStr">
        <is>
          <t xml:space="preserve">2 </t>
        </is>
      </c>
      <c r="P604" t="inlineStr">
        <is>
          <t xml:space="preserve">241955  </t>
        </is>
      </c>
      <c r="Q604" s="26" t="n">
        <v>8.19</v>
      </c>
      <c r="R604" s="26">
        <f>Q604*G604</f>
        <v/>
      </c>
      <c r="S604" s="26">
        <f>IFERROR(VLOOKUP(E604*1,Tabla[#All],8,0),0)</f>
        <v/>
      </c>
      <c r="T604" s="26">
        <f>S604*G604</f>
        <v/>
      </c>
      <c r="U604" s="26">
        <f>R604-T604</f>
        <v/>
      </c>
      <c r="V604" s="26">
        <f>U604-L604</f>
        <v/>
      </c>
    </row>
    <row r="605">
      <c r="A605" s="11" t="n">
        <v>46208</v>
      </c>
      <c r="B605" s="1" t="n">
        <v>20095</v>
      </c>
      <c r="C605" s="1" t="inlineStr">
        <is>
          <t>043</t>
        </is>
      </c>
      <c r="D605" s="1" t="inlineStr">
        <is>
          <t>107413</t>
        </is>
      </c>
      <c r="E605" s="1" t="inlineStr">
        <is>
          <t xml:space="preserve">28194770       </t>
        </is>
      </c>
      <c r="F605" s="5" t="inlineStr">
        <is>
          <t>AUTOS DE METAL 3 TEAMSTERZ EN BLISTER</t>
        </is>
      </c>
      <c r="G605" t="n">
        <v>1</v>
      </c>
      <c r="H605" s="7" t="n">
        <v>6.9</v>
      </c>
      <c r="I605" s="7" t="n">
        <v>0</v>
      </c>
      <c r="J605" s="7" t="n">
        <v>0</v>
      </c>
      <c r="K605" s="9" t="n">
        <v>0</v>
      </c>
      <c r="L605" s="10" t="n">
        <v>4.1</v>
      </c>
      <c r="M605" s="10" t="n">
        <v>1.43</v>
      </c>
      <c r="N605" t="inlineStr">
        <is>
          <t>1</t>
        </is>
      </c>
      <c r="O605" t="inlineStr">
        <is>
          <t xml:space="preserve">2 </t>
        </is>
      </c>
      <c r="P605" t="inlineStr">
        <is>
          <t xml:space="preserve">241955  </t>
        </is>
      </c>
      <c r="Q605" s="26" t="n">
        <v>4.09</v>
      </c>
      <c r="R605" s="26">
        <f>Q605*G605</f>
        <v/>
      </c>
      <c r="S605" s="26">
        <f>IFERROR(VLOOKUP(E605*1,Tabla[#All],8,0),0)</f>
        <v/>
      </c>
      <c r="T605" s="26">
        <f>S605*G605</f>
        <v/>
      </c>
      <c r="U605" s="26">
        <f>R605-T605</f>
        <v/>
      </c>
      <c r="V605" s="26">
        <f>U605-L605</f>
        <v/>
      </c>
    </row>
    <row r="606">
      <c r="A606" s="11" t="n">
        <v>46208</v>
      </c>
      <c r="B606" s="1" t="n">
        <v>20095</v>
      </c>
      <c r="C606" s="1" t="inlineStr">
        <is>
          <t>043</t>
        </is>
      </c>
      <c r="D606" s="1" t="inlineStr">
        <is>
          <t>107422</t>
        </is>
      </c>
      <c r="E606" s="1" t="inlineStr">
        <is>
          <t xml:space="preserve">35685067       </t>
        </is>
      </c>
      <c r="F606" s="5" t="inlineStr">
        <is>
          <t>HOT WHEELS POWER SET 3 EN 1</t>
        </is>
      </c>
      <c r="G606" t="n">
        <v>1</v>
      </c>
      <c r="H606" s="7" t="n">
        <v>49.9</v>
      </c>
      <c r="I606" s="7" t="n">
        <v>0</v>
      </c>
      <c r="J606" s="7" t="n">
        <v>0</v>
      </c>
      <c r="K606" s="9" t="n">
        <v>0</v>
      </c>
      <c r="L606" s="10" t="n">
        <v>29.6</v>
      </c>
      <c r="M606" s="10" t="n">
        <v>1.43</v>
      </c>
      <c r="N606" t="inlineStr">
        <is>
          <t>1</t>
        </is>
      </c>
      <c r="O606" t="inlineStr">
        <is>
          <t>16</t>
        </is>
      </c>
      <c r="P606" t="inlineStr">
        <is>
          <t xml:space="preserve">241955  </t>
        </is>
      </c>
      <c r="Q606" s="26" t="n">
        <v>29.6</v>
      </c>
      <c r="R606" s="26">
        <f>Q606*G606</f>
        <v/>
      </c>
      <c r="S606" s="26">
        <f>IFERROR(VLOOKUP(E606*1,Tabla[#All],8,0),0)</f>
        <v/>
      </c>
      <c r="T606" s="26">
        <f>S606*G606</f>
        <v/>
      </c>
      <c r="U606" s="26">
        <f>R606-T606</f>
        <v/>
      </c>
      <c r="V606" s="26">
        <f>U606-L606</f>
        <v/>
      </c>
    </row>
    <row r="607">
      <c r="A607" s="11" t="n">
        <v>46208</v>
      </c>
      <c r="B607" s="1" t="n">
        <v>20095</v>
      </c>
      <c r="C607" s="1" t="inlineStr">
        <is>
          <t>043</t>
        </is>
      </c>
      <c r="D607" s="1" t="inlineStr">
        <is>
          <t>107444</t>
        </is>
      </c>
      <c r="E607" s="1" t="inlineStr">
        <is>
          <t xml:space="preserve">30141766       </t>
        </is>
      </c>
      <c r="F607" s="5" t="inlineStr">
        <is>
          <t>TMZ BEAST MACHINES AUTOS DE METAL BLISTER X 1</t>
        </is>
      </c>
      <c r="G607" t="n">
        <v>1</v>
      </c>
      <c r="H607" s="7" t="n">
        <v>7.9</v>
      </c>
      <c r="I607" s="7" t="n">
        <v>0</v>
      </c>
      <c r="J607" s="7" t="n">
        <v>0</v>
      </c>
      <c r="K607" s="9" t="n">
        <v>0</v>
      </c>
      <c r="L607" s="10" t="n">
        <v>4.68</v>
      </c>
      <c r="M607" s="10" t="n">
        <v>1.43</v>
      </c>
      <c r="N607" t="inlineStr">
        <is>
          <t>1</t>
        </is>
      </c>
      <c r="O607" t="inlineStr">
        <is>
          <t xml:space="preserve">3 </t>
        </is>
      </c>
      <c r="P607" t="inlineStr">
        <is>
          <t xml:space="preserve">241955  </t>
        </is>
      </c>
      <c r="Q607" s="26" t="n">
        <v>4.69</v>
      </c>
      <c r="R607" s="26">
        <f>Q607*G607</f>
        <v/>
      </c>
      <c r="S607" s="26">
        <f>IFERROR(VLOOKUP(E607*1,Tabla[#All],8,0),0)</f>
        <v/>
      </c>
      <c r="T607" s="26">
        <f>S607*G607</f>
        <v/>
      </c>
      <c r="U607" s="26">
        <f>R607-T607</f>
        <v/>
      </c>
      <c r="V607" s="26">
        <f>U607-L607</f>
        <v/>
      </c>
    </row>
    <row r="608">
      <c r="A608" s="11" t="n">
        <v>46208</v>
      </c>
      <c r="B608" s="1" t="n">
        <v>20095</v>
      </c>
      <c r="C608" s="1" t="inlineStr">
        <is>
          <t>044</t>
        </is>
      </c>
      <c r="D608" s="1" t="inlineStr">
        <is>
          <t xml:space="preserve">92924 </t>
        </is>
      </c>
      <c r="E608" s="1" t="inlineStr">
        <is>
          <t xml:space="preserve">30141766       </t>
        </is>
      </c>
      <c r="F608" s="5" t="inlineStr">
        <is>
          <t>TMZ BEAST MACHINES AUTOS DE METAL BLISTER X 1</t>
        </is>
      </c>
      <c r="G608" t="n">
        <v>1</v>
      </c>
      <c r="H608" s="7" t="n">
        <v>7.9</v>
      </c>
      <c r="I608" s="7" t="n">
        <v>0</v>
      </c>
      <c r="J608" s="7" t="n">
        <v>0</v>
      </c>
      <c r="K608" s="9" t="n">
        <v>0</v>
      </c>
      <c r="L608" s="10" t="n">
        <v>4.68</v>
      </c>
      <c r="M608" s="10" t="n">
        <v>1.43</v>
      </c>
      <c r="N608" t="inlineStr">
        <is>
          <t>1</t>
        </is>
      </c>
      <c r="O608" t="inlineStr">
        <is>
          <t>16</t>
        </is>
      </c>
      <c r="P608" t="inlineStr">
        <is>
          <t xml:space="preserve">57866   </t>
        </is>
      </c>
      <c r="Q608" s="26" t="n">
        <v>4.69</v>
      </c>
      <c r="R608" s="26">
        <f>Q608*G608</f>
        <v/>
      </c>
      <c r="S608" s="26">
        <f>IFERROR(VLOOKUP(E608*1,Tabla[#All],8,0),0)</f>
        <v/>
      </c>
      <c r="T608" s="26">
        <f>S608*G608</f>
        <v/>
      </c>
      <c r="U608" s="26">
        <f>R608-T608</f>
        <v/>
      </c>
      <c r="V608" s="26">
        <f>U608-L608</f>
        <v/>
      </c>
    </row>
    <row r="609">
      <c r="A609" s="11" t="n">
        <v>46208</v>
      </c>
      <c r="B609" s="1" t="n">
        <v>20095</v>
      </c>
      <c r="C609" s="1" t="inlineStr">
        <is>
          <t>044</t>
        </is>
      </c>
      <c r="D609" s="1" t="inlineStr">
        <is>
          <t xml:space="preserve">92973 </t>
        </is>
      </c>
      <c r="E609" s="1" t="inlineStr">
        <is>
          <t xml:space="preserve">32457111       </t>
        </is>
      </c>
      <c r="F609" s="5" t="inlineStr">
        <is>
          <t>TMZ BEAST MACHINES MONSTER JAWS A FRICCION PACK DE</t>
        </is>
      </c>
      <c r="G609" t="n">
        <v>1</v>
      </c>
      <c r="H609" s="7" t="n">
        <v>74.90000000000001</v>
      </c>
      <c r="I609" s="7" t="n">
        <v>0</v>
      </c>
      <c r="J609" s="7" t="n">
        <v>0</v>
      </c>
      <c r="K609" s="9" t="n">
        <v>0</v>
      </c>
      <c r="L609" s="10" t="n">
        <v>44.43</v>
      </c>
      <c r="M609" s="10" t="n">
        <v>1.43</v>
      </c>
      <c r="N609" t="inlineStr">
        <is>
          <t>1</t>
        </is>
      </c>
      <c r="O609" t="inlineStr">
        <is>
          <t xml:space="preserve">3 </t>
        </is>
      </c>
      <c r="P609" t="inlineStr">
        <is>
          <t xml:space="preserve">57866   </t>
        </is>
      </c>
      <c r="Q609" s="26" t="n">
        <v>44.43</v>
      </c>
      <c r="R609" s="26">
        <f>Q609*G609</f>
        <v/>
      </c>
      <c r="S609" s="26">
        <f>IFERROR(VLOOKUP(E609*1,Tabla[#All],8,0),0)</f>
        <v/>
      </c>
      <c r="T609" s="26">
        <f>S609*G609</f>
        <v/>
      </c>
      <c r="U609" s="26">
        <f>R609-T609</f>
        <v/>
      </c>
      <c r="V609" s="26">
        <f>U609-L609</f>
        <v/>
      </c>
    </row>
    <row r="610">
      <c r="A610" s="11" t="n">
        <v>46208</v>
      </c>
      <c r="B610" s="1" t="n">
        <v>20095</v>
      </c>
      <c r="C610" s="1" t="inlineStr">
        <is>
          <t>044</t>
        </is>
      </c>
      <c r="D610" s="1" t="inlineStr">
        <is>
          <t xml:space="preserve">92993 </t>
        </is>
      </c>
      <c r="E610" s="1" t="inlineStr">
        <is>
          <t xml:space="preserve">28194769       </t>
        </is>
      </c>
      <c r="F610" s="5" t="inlineStr">
        <is>
          <t>AUTOS DE METAL 3 TEAMSTERZ PACK DE 2</t>
        </is>
      </c>
      <c r="G610" t="n">
        <v>1</v>
      </c>
      <c r="H610" s="7" t="n">
        <v>13.8</v>
      </c>
      <c r="I610" s="7" t="n">
        <v>0</v>
      </c>
      <c r="J610" s="7" t="n">
        <v>0</v>
      </c>
      <c r="K610" s="9" t="n">
        <v>0</v>
      </c>
      <c r="L610" s="10" t="n">
        <v>8.18</v>
      </c>
      <c r="M610" s="10" t="n">
        <v>1.43</v>
      </c>
      <c r="N610" t="inlineStr">
        <is>
          <t>1</t>
        </is>
      </c>
      <c r="O610" t="inlineStr">
        <is>
          <t xml:space="preserve">2 </t>
        </is>
      </c>
      <c r="P610" t="inlineStr">
        <is>
          <t xml:space="preserve">57866   </t>
        </is>
      </c>
      <c r="Q610" s="26" t="n">
        <v>8.19</v>
      </c>
      <c r="R610" s="26">
        <f>Q610*G610</f>
        <v/>
      </c>
      <c r="S610" s="26">
        <f>IFERROR(VLOOKUP(E610*1,Tabla[#All],8,0),0)</f>
        <v/>
      </c>
      <c r="T610" s="26">
        <f>S610*G610</f>
        <v/>
      </c>
      <c r="U610" s="26">
        <f>R610-T610</f>
        <v/>
      </c>
      <c r="V610" s="26">
        <f>U610-L610</f>
        <v/>
      </c>
    </row>
    <row r="611">
      <c r="A611" s="11" t="n">
        <v>46208</v>
      </c>
      <c r="B611" s="1" t="n">
        <v>20095</v>
      </c>
      <c r="C611" s="1" t="inlineStr">
        <is>
          <t>044</t>
        </is>
      </c>
      <c r="D611" s="1" t="inlineStr">
        <is>
          <t xml:space="preserve">92997 </t>
        </is>
      </c>
      <c r="E611" s="1" t="inlineStr">
        <is>
          <t xml:space="preserve">30141766       </t>
        </is>
      </c>
      <c r="F611" s="5" t="inlineStr">
        <is>
          <t>TMZ BEAST MACHINES AUTOS DE METAL BLISTER X 1</t>
        </is>
      </c>
      <c r="G611" t="n">
        <v>1</v>
      </c>
      <c r="H611" s="7" t="n">
        <v>7.9</v>
      </c>
      <c r="I611" s="7" t="n">
        <v>0</v>
      </c>
      <c r="J611" s="7" t="n">
        <v>0</v>
      </c>
      <c r="K611" s="9" t="n">
        <v>0</v>
      </c>
      <c r="L611" s="10" t="n">
        <v>4.68</v>
      </c>
      <c r="M611" s="10" t="n">
        <v>1.43</v>
      </c>
      <c r="N611" t="inlineStr">
        <is>
          <t>1</t>
        </is>
      </c>
      <c r="O611" t="inlineStr">
        <is>
          <t xml:space="preserve">3 </t>
        </is>
      </c>
      <c r="P611" t="inlineStr">
        <is>
          <t xml:space="preserve">57866   </t>
        </is>
      </c>
      <c r="Q611" s="26" t="n">
        <v>4.69</v>
      </c>
      <c r="R611" s="26">
        <f>Q611*G611</f>
        <v/>
      </c>
      <c r="S611" s="26">
        <f>IFERROR(VLOOKUP(E611*1,Tabla[#All],8,0),0)</f>
        <v/>
      </c>
      <c r="T611" s="26">
        <f>S611*G611</f>
        <v/>
      </c>
      <c r="U611" s="26">
        <f>R611-T611</f>
        <v/>
      </c>
      <c r="V611" s="26">
        <f>U611-L611</f>
        <v/>
      </c>
    </row>
    <row r="612">
      <c r="A612" s="11" t="n">
        <v>46208</v>
      </c>
      <c r="B612" s="1" t="n">
        <v>20095</v>
      </c>
      <c r="C612" s="1" t="inlineStr">
        <is>
          <t>044</t>
        </is>
      </c>
      <c r="D612" s="1" t="inlineStr">
        <is>
          <t xml:space="preserve">93000 </t>
        </is>
      </c>
      <c r="E612" s="1" t="inlineStr">
        <is>
          <t xml:space="preserve">28194768       </t>
        </is>
      </c>
      <c r="F612" s="5" t="inlineStr">
        <is>
          <t>AUTO COLOR CHANGE TEAMSTERZ SURTIDO</t>
        </is>
      </c>
      <c r="G612" t="n">
        <v>1</v>
      </c>
      <c r="H612" s="7" t="n">
        <v>14.9</v>
      </c>
      <c r="I612" s="7" t="n">
        <v>0</v>
      </c>
      <c r="J612" s="7" t="n">
        <v>0</v>
      </c>
      <c r="K612" s="9" t="n">
        <v>0</v>
      </c>
      <c r="L612" s="10" t="n">
        <v>8.84</v>
      </c>
      <c r="M612" s="10" t="n">
        <v>1.43</v>
      </c>
      <c r="N612" t="inlineStr">
        <is>
          <t>1</t>
        </is>
      </c>
      <c r="O612" t="inlineStr">
        <is>
          <t>16</t>
        </is>
      </c>
      <c r="P612" t="inlineStr">
        <is>
          <t xml:space="preserve">57866   </t>
        </is>
      </c>
      <c r="Q612" s="26" t="n">
        <v>8.84</v>
      </c>
      <c r="R612" s="26">
        <f>Q612*G612</f>
        <v/>
      </c>
      <c r="S612" s="26">
        <f>IFERROR(VLOOKUP(E612*1,Tabla[#All],8,0),0)</f>
        <v/>
      </c>
      <c r="T612" s="26">
        <f>S612*G612</f>
        <v/>
      </c>
      <c r="U612" s="26">
        <f>R612-T612</f>
        <v/>
      </c>
      <c r="V612" s="26">
        <f>U612-L612</f>
        <v/>
      </c>
    </row>
    <row r="613">
      <c r="A613" s="11" t="n">
        <v>46209</v>
      </c>
      <c r="B613" s="1" t="n">
        <v>20021</v>
      </c>
      <c r="C613" s="1" t="inlineStr">
        <is>
          <t>045</t>
        </is>
      </c>
      <c r="D613" s="1" t="inlineStr">
        <is>
          <t>106999</t>
        </is>
      </c>
      <c r="E613" s="1" t="inlineStr">
        <is>
          <t xml:space="preserve">28194780       </t>
        </is>
      </c>
      <c r="F613" s="5" t="inlineStr">
        <is>
          <t>TROMPO BATALLA INFINITY NADO PLSTICO SURTIDO</t>
        </is>
      </c>
      <c r="G613" t="n">
        <v>1</v>
      </c>
      <c r="H613" s="7" t="n">
        <v>19.9</v>
      </c>
      <c r="I613" s="7" t="n">
        <v>0</v>
      </c>
      <c r="J613" s="7" t="n">
        <v>0</v>
      </c>
      <c r="K613" s="9" t="n">
        <v>0</v>
      </c>
      <c r="L613" s="10" t="n">
        <v>11.8</v>
      </c>
      <c r="M613" s="10" t="n">
        <v>1.43</v>
      </c>
      <c r="N613" t="inlineStr">
        <is>
          <t>1</t>
        </is>
      </c>
      <c r="O613" t="inlineStr">
        <is>
          <t>16</t>
        </is>
      </c>
      <c r="P613" t="inlineStr">
        <is>
          <t xml:space="preserve">57914   </t>
        </is>
      </c>
      <c r="Q613" s="26" t="n">
        <v>11.81</v>
      </c>
      <c r="R613" s="26">
        <f>Q613*G613</f>
        <v/>
      </c>
      <c r="S613" s="26">
        <f>IFERROR(VLOOKUP(E613*1,Tabla[#All],8,0),0)</f>
        <v/>
      </c>
      <c r="T613" s="26">
        <f>S613*G613</f>
        <v/>
      </c>
      <c r="U613" s="26">
        <f>R613-T613</f>
        <v/>
      </c>
      <c r="V613" s="26">
        <f>U613-L613</f>
        <v/>
      </c>
    </row>
    <row r="614">
      <c r="A614" s="11" t="n">
        <v>46209</v>
      </c>
      <c r="B614" s="1" t="n">
        <v>20021</v>
      </c>
      <c r="C614" s="1" t="inlineStr">
        <is>
          <t>080</t>
        </is>
      </c>
      <c r="D614" s="1" t="inlineStr">
        <is>
          <t>309411</t>
        </is>
      </c>
      <c r="E614" s="1" t="inlineStr">
        <is>
          <t xml:space="preserve">28194769       </t>
        </is>
      </c>
      <c r="F614" s="5" t="inlineStr">
        <is>
          <t>AUTOS DE METAL 3 TEAMSTERZ PACK DE 2</t>
        </is>
      </c>
      <c r="G614" t="n">
        <v>1</v>
      </c>
      <c r="H614" s="7" t="n">
        <v>13.8</v>
      </c>
      <c r="I614" s="7" t="n">
        <v>0</v>
      </c>
      <c r="J614" s="7" t="n">
        <v>0</v>
      </c>
      <c r="K614" s="9" t="n">
        <v>0</v>
      </c>
      <c r="L614" s="10" t="n">
        <v>8.18</v>
      </c>
      <c r="M614" s="10" t="n">
        <v>1.43</v>
      </c>
      <c r="N614" t="inlineStr">
        <is>
          <t>1</t>
        </is>
      </c>
      <c r="O614" t="inlineStr">
        <is>
          <t xml:space="preserve">2 </t>
        </is>
      </c>
      <c r="P614" t="inlineStr">
        <is>
          <t xml:space="preserve">81066   </t>
        </is>
      </c>
      <c r="Q614" s="26" t="n">
        <v>8.19</v>
      </c>
      <c r="R614" s="26">
        <f>Q614*G614</f>
        <v/>
      </c>
      <c r="S614" s="26">
        <f>IFERROR(VLOOKUP(E614*1,Tabla[#All],8,0),0)</f>
        <v/>
      </c>
      <c r="T614" s="26">
        <f>S614*G614</f>
        <v/>
      </c>
      <c r="U614" s="26">
        <f>R614-T614</f>
        <v/>
      </c>
      <c r="V614" s="26">
        <f>U614-L614</f>
        <v/>
      </c>
    </row>
    <row r="615">
      <c r="A615" s="11" t="n">
        <v>46209</v>
      </c>
      <c r="B615" s="1" t="n">
        <v>20023</v>
      </c>
      <c r="C615" s="1" t="inlineStr">
        <is>
          <t>079</t>
        </is>
      </c>
      <c r="D615" s="1" t="inlineStr">
        <is>
          <t>288541</t>
        </is>
      </c>
      <c r="E615" s="1" t="inlineStr">
        <is>
          <t xml:space="preserve">34840550       </t>
        </is>
      </c>
      <c r="F615" s="5" t="inlineStr">
        <is>
          <t>TEAMSTERZ M/MOVERZ TRANSPORTA GORILA</t>
        </is>
      </c>
      <c r="G615" t="n">
        <v>1</v>
      </c>
      <c r="H615" s="7" t="n">
        <v>129</v>
      </c>
      <c r="I615" s="7" t="n">
        <v>0</v>
      </c>
      <c r="J615" s="7" t="n">
        <v>0</v>
      </c>
      <c r="K615" s="9" t="n">
        <v>0</v>
      </c>
      <c r="L615" s="10" t="n">
        <v>76.52</v>
      </c>
      <c r="M615" s="10" t="n">
        <v>1.43</v>
      </c>
      <c r="N615" t="inlineStr">
        <is>
          <t>1</t>
        </is>
      </c>
      <c r="O615" t="inlineStr">
        <is>
          <t>16</t>
        </is>
      </c>
      <c r="P615" t="inlineStr">
        <is>
          <t xml:space="preserve">23478   </t>
        </is>
      </c>
      <c r="Q615" s="26" t="n">
        <v>76.53</v>
      </c>
      <c r="R615" s="26">
        <f>Q615*G615</f>
        <v/>
      </c>
      <c r="S615" s="26">
        <f>IFERROR(VLOOKUP(E615*1,Tabla[#All],8,0),0)</f>
        <v/>
      </c>
      <c r="T615" s="26">
        <f>S615*G615</f>
        <v/>
      </c>
      <c r="U615" s="26">
        <f>R615-T615</f>
        <v/>
      </c>
      <c r="V615" s="26">
        <f>U615-L615</f>
        <v/>
      </c>
    </row>
    <row r="616">
      <c r="A616" s="11" t="n">
        <v>46209</v>
      </c>
      <c r="B616" s="1" t="n">
        <v>20024</v>
      </c>
      <c r="C616" s="1" t="inlineStr">
        <is>
          <t>118</t>
        </is>
      </c>
      <c r="D616" s="1" t="inlineStr">
        <is>
          <t>254727</t>
        </is>
      </c>
      <c r="E616" s="1" t="inlineStr">
        <is>
          <t xml:space="preserve">34840526       </t>
        </is>
      </c>
      <c r="F616" s="5" t="inlineStr">
        <is>
          <t>NENUCO ABRACITOS</t>
        </is>
      </c>
      <c r="G616" t="n">
        <v>1</v>
      </c>
      <c r="H616" s="7" t="n">
        <v>119</v>
      </c>
      <c r="I616" s="7" t="n">
        <v>0</v>
      </c>
      <c r="J616" s="7" t="n">
        <v>0</v>
      </c>
      <c r="K616" s="9" t="n">
        <v>0</v>
      </c>
      <c r="L616" s="10" t="n">
        <v>70.59999999999999</v>
      </c>
      <c r="M616" s="10" t="n">
        <v>1.43</v>
      </c>
      <c r="N616" t="inlineStr">
        <is>
          <t>1</t>
        </is>
      </c>
      <c r="O616" t="inlineStr">
        <is>
          <t>16</t>
        </is>
      </c>
      <c r="P616" t="inlineStr">
        <is>
          <t xml:space="preserve">240224  </t>
        </is>
      </c>
      <c r="Q616" s="26" t="n">
        <v>70.59</v>
      </c>
      <c r="R616" s="26">
        <f>Q616*G616</f>
        <v/>
      </c>
      <c r="S616" s="26">
        <f>IFERROR(VLOOKUP(E616*1,Tabla[#All],8,0),0)</f>
        <v/>
      </c>
      <c r="T616" s="26">
        <f>S616*G616</f>
        <v/>
      </c>
      <c r="U616" s="26">
        <f>R616-T616</f>
        <v/>
      </c>
      <c r="V616" s="26">
        <f>U616-L616</f>
        <v/>
      </c>
    </row>
    <row r="617">
      <c r="A617" s="11" t="n">
        <v>46209</v>
      </c>
      <c r="B617" s="1" t="n">
        <v>20025</v>
      </c>
      <c r="C617" s="1" t="inlineStr">
        <is>
          <t>074</t>
        </is>
      </c>
      <c r="D617" s="1" t="inlineStr">
        <is>
          <t xml:space="preserve">82476 </t>
        </is>
      </c>
      <c r="E617" s="1" t="inlineStr">
        <is>
          <t xml:space="preserve">34840558       </t>
        </is>
      </c>
      <c r="F617" s="5" t="inlineStr">
        <is>
          <t>TMZ CAMBIA DE COLOR PLAYSET CALAVERA + 1 AUTO</t>
        </is>
      </c>
      <c r="G617" t="n">
        <v>1</v>
      </c>
      <c r="H617" s="7" t="n">
        <v>99</v>
      </c>
      <c r="I617" s="7" t="n">
        <v>0</v>
      </c>
      <c r="J617" s="7" t="n">
        <v>0</v>
      </c>
      <c r="K617" s="9" t="n">
        <v>0</v>
      </c>
      <c r="L617" s="10" t="n">
        <v>58.73</v>
      </c>
      <c r="M617" s="10" t="n">
        <v>1.43</v>
      </c>
      <c r="N617" t="inlineStr">
        <is>
          <t>1</t>
        </is>
      </c>
      <c r="O617" t="inlineStr">
        <is>
          <t>16</t>
        </is>
      </c>
      <c r="P617" t="inlineStr">
        <is>
          <t xml:space="preserve">251044  </t>
        </is>
      </c>
      <c r="Q617" s="26" t="n">
        <v>58.73</v>
      </c>
      <c r="R617" s="26">
        <f>Q617*G617</f>
        <v/>
      </c>
      <c r="S617" s="26">
        <f>IFERROR(VLOOKUP(E617*1,Tabla[#All],8,0),0)</f>
        <v/>
      </c>
      <c r="T617" s="26">
        <f>S617*G617</f>
        <v/>
      </c>
      <c r="U617" s="26">
        <f>R617-T617</f>
        <v/>
      </c>
      <c r="V617" s="26">
        <f>U617-L617</f>
        <v/>
      </c>
    </row>
    <row r="618">
      <c r="A618" s="11" t="n">
        <v>46209</v>
      </c>
      <c r="B618" s="1" t="n">
        <v>20025</v>
      </c>
      <c r="C618" s="1" t="inlineStr">
        <is>
          <t>076</t>
        </is>
      </c>
      <c r="D618" s="1" t="inlineStr">
        <is>
          <t>147101</t>
        </is>
      </c>
      <c r="E618" s="1" t="inlineStr">
        <is>
          <t xml:space="preserve">28194769       </t>
        </is>
      </c>
      <c r="F618" s="5" t="inlineStr">
        <is>
          <t>AUTOS DE METAL 3 TEAMSTERZ PACK DE 2</t>
        </is>
      </c>
      <c r="G618" t="n">
        <v>1</v>
      </c>
      <c r="H618" s="7" t="n">
        <v>13.8</v>
      </c>
      <c r="I618" s="7" t="n">
        <v>0</v>
      </c>
      <c r="J618" s="7" t="n">
        <v>0</v>
      </c>
      <c r="K618" s="9" t="n">
        <v>0</v>
      </c>
      <c r="L618" s="10" t="n">
        <v>8.18</v>
      </c>
      <c r="M618" s="10" t="n">
        <v>1.43</v>
      </c>
      <c r="N618" t="inlineStr">
        <is>
          <t>1</t>
        </is>
      </c>
      <c r="O618" t="inlineStr">
        <is>
          <t xml:space="preserve">2 </t>
        </is>
      </c>
      <c r="P618" t="inlineStr">
        <is>
          <t xml:space="preserve">15644   </t>
        </is>
      </c>
      <c r="Q618" s="26" t="n">
        <v>8.19</v>
      </c>
      <c r="R618" s="26">
        <f>Q618*G618</f>
        <v/>
      </c>
      <c r="S618" s="26">
        <f>IFERROR(VLOOKUP(E618*1,Tabla[#All],8,0),0)</f>
        <v/>
      </c>
      <c r="T618" s="26">
        <f>S618*G618</f>
        <v/>
      </c>
      <c r="U618" s="26">
        <f>R618-T618</f>
        <v/>
      </c>
      <c r="V618" s="26">
        <f>U618-L618</f>
        <v/>
      </c>
    </row>
    <row r="619">
      <c r="A619" s="11" t="n">
        <v>46209</v>
      </c>
      <c r="B619" s="1" t="n">
        <v>20027</v>
      </c>
      <c r="C619" s="1" t="inlineStr">
        <is>
          <t>064</t>
        </is>
      </c>
      <c r="D619" s="1" t="inlineStr">
        <is>
          <t xml:space="preserve">31464 </t>
        </is>
      </c>
      <c r="E619" s="1" t="inlineStr">
        <is>
          <t xml:space="preserve">34840524       </t>
        </is>
      </c>
      <c r="F619" s="5" t="inlineStr">
        <is>
          <t>NENUCO 5 FUNCIONES INTERACTIVAS</t>
        </is>
      </c>
      <c r="G619" t="n">
        <v>1</v>
      </c>
      <c r="H619" s="7" t="n">
        <v>89.90000000000001</v>
      </c>
      <c r="I619" s="7" t="n">
        <v>17.98</v>
      </c>
      <c r="J619" s="7" t="n">
        <v>0</v>
      </c>
      <c r="K619" s="9" t="n">
        <v>17.98</v>
      </c>
      <c r="L619" s="10" t="n">
        <v>42.67</v>
      </c>
      <c r="M619" s="10" t="n">
        <v>1.43</v>
      </c>
      <c r="N619" t="inlineStr">
        <is>
          <t>1</t>
        </is>
      </c>
      <c r="O619" t="inlineStr">
        <is>
          <t xml:space="preserve">3 </t>
        </is>
      </c>
      <c r="P619" t="inlineStr">
        <is>
          <t xml:space="preserve">30333   </t>
        </is>
      </c>
      <c r="Q619" s="26" t="n">
        <v>53.33</v>
      </c>
      <c r="R619" s="26">
        <f>Q619*G619</f>
        <v/>
      </c>
      <c r="S619" s="26">
        <f>IFERROR(VLOOKUP(E619*1,Tabla[#All],8,0),0)</f>
        <v/>
      </c>
      <c r="T619" s="26">
        <f>S619*G619</f>
        <v/>
      </c>
      <c r="U619" s="26">
        <f>R619-T619</f>
        <v/>
      </c>
      <c r="V619" s="26">
        <f>U619-L619</f>
        <v/>
      </c>
    </row>
    <row r="620">
      <c r="A620" s="11" t="n">
        <v>46209</v>
      </c>
      <c r="B620" s="1" t="n">
        <v>20028</v>
      </c>
      <c r="C620" s="1" t="inlineStr">
        <is>
          <t>021</t>
        </is>
      </c>
      <c r="D620" s="1" t="inlineStr">
        <is>
          <t>185742</t>
        </is>
      </c>
      <c r="E620" s="1" t="inlineStr">
        <is>
          <t xml:space="preserve">31754675       </t>
        </is>
      </c>
      <c r="F620" s="5" t="inlineStr">
        <is>
          <t>INFINITY NADO SERIE 6 STARTER PACK - 4 MODELOS</t>
        </is>
      </c>
      <c r="G620" t="n">
        <v>1</v>
      </c>
      <c r="H620" s="7" t="n">
        <v>69.90000000000001</v>
      </c>
      <c r="I620" s="7" t="n">
        <v>0</v>
      </c>
      <c r="J620" s="7" t="n">
        <v>0</v>
      </c>
      <c r="K620" s="9" t="n">
        <v>0</v>
      </c>
      <c r="L620" s="10" t="n">
        <v>41.47</v>
      </c>
      <c r="M620" s="10" t="n">
        <v>1.43</v>
      </c>
      <c r="N620" t="inlineStr">
        <is>
          <t>1</t>
        </is>
      </c>
      <c r="O620" t="inlineStr">
        <is>
          <t>16</t>
        </is>
      </c>
      <c r="P620" t="inlineStr">
        <is>
          <t xml:space="preserve">74495   </t>
        </is>
      </c>
      <c r="Q620" s="26" t="n">
        <v>41.47</v>
      </c>
      <c r="R620" s="26">
        <f>Q620*G620</f>
        <v/>
      </c>
      <c r="S620" s="26">
        <f>IFERROR(VLOOKUP(E620*1,Tabla[#All],8,0),0)</f>
        <v/>
      </c>
      <c r="T620" s="26">
        <f>S620*G620</f>
        <v/>
      </c>
      <c r="U620" s="26">
        <f>R620-T620</f>
        <v/>
      </c>
      <c r="V620" s="26">
        <f>U620-L620</f>
        <v/>
      </c>
    </row>
    <row r="621">
      <c r="A621" s="11" t="n">
        <v>46209</v>
      </c>
      <c r="B621" s="1" t="n">
        <v>20028</v>
      </c>
      <c r="C621" s="1" t="inlineStr">
        <is>
          <t>021</t>
        </is>
      </c>
      <c r="D621" s="1" t="inlineStr">
        <is>
          <t>185742</t>
        </is>
      </c>
      <c r="E621" s="1" t="inlineStr">
        <is>
          <t xml:space="preserve">31754675       </t>
        </is>
      </c>
      <c r="F621" s="5" t="inlineStr">
        <is>
          <t>INFINITY NADO SERIE 6 STARTER PACK - 4 MODELOS</t>
        </is>
      </c>
      <c r="G621" t="n">
        <v>1</v>
      </c>
      <c r="H621" s="7" t="n">
        <v>69.90000000000001</v>
      </c>
      <c r="I621" s="7" t="n">
        <v>0</v>
      </c>
      <c r="J621" s="7" t="n">
        <v>0</v>
      </c>
      <c r="K621" s="9" t="n">
        <v>0</v>
      </c>
      <c r="L621" s="10" t="n">
        <v>41.47</v>
      </c>
      <c r="M621" s="10" t="n">
        <v>1.43</v>
      </c>
      <c r="N621" t="inlineStr">
        <is>
          <t>1</t>
        </is>
      </c>
      <c r="O621" t="inlineStr">
        <is>
          <t>16</t>
        </is>
      </c>
      <c r="P621" t="inlineStr">
        <is>
          <t xml:space="preserve">74495   </t>
        </is>
      </c>
      <c r="Q621" s="26" t="n">
        <v>41.47</v>
      </c>
      <c r="R621" s="26">
        <f>Q621*G621</f>
        <v/>
      </c>
      <c r="S621" s="26">
        <f>IFERROR(VLOOKUP(E621*1,Tabla[#All],8,0),0)</f>
        <v/>
      </c>
      <c r="T621" s="26">
        <f>S621*G621</f>
        <v/>
      </c>
      <c r="U621" s="26">
        <f>R621-T621</f>
        <v/>
      </c>
      <c r="V621" s="26">
        <f>U621-L621</f>
        <v/>
      </c>
    </row>
    <row r="622">
      <c r="A622" s="11" t="n">
        <v>46209</v>
      </c>
      <c r="B622" s="1" t="n">
        <v>20030</v>
      </c>
      <c r="C622" s="1" t="inlineStr">
        <is>
          <t>067</t>
        </is>
      </c>
      <c r="D622" s="1" t="inlineStr">
        <is>
          <t>273477</t>
        </is>
      </c>
      <c r="E622" s="1" t="inlineStr">
        <is>
          <t xml:space="preserve">35685067       </t>
        </is>
      </c>
      <c r="F622" s="5" t="inlineStr">
        <is>
          <t>HOT WHEELS POWER SET 3 EN 1</t>
        </is>
      </c>
      <c r="G622" t="n">
        <v>1</v>
      </c>
      <c r="H622" s="7" t="n">
        <v>49.9</v>
      </c>
      <c r="I622" s="7" t="n">
        <v>0</v>
      </c>
      <c r="J622" s="7" t="n">
        <v>0</v>
      </c>
      <c r="K622" s="9" t="n">
        <v>0</v>
      </c>
      <c r="L622" s="10" t="n">
        <v>29.6</v>
      </c>
      <c r="M622" s="10" t="n">
        <v>1.43</v>
      </c>
      <c r="N622" t="inlineStr">
        <is>
          <t>1</t>
        </is>
      </c>
      <c r="O622" t="inlineStr">
        <is>
          <t>16</t>
        </is>
      </c>
      <c r="P622" t="inlineStr">
        <is>
          <t xml:space="preserve">39099   </t>
        </is>
      </c>
      <c r="Q622" s="26" t="n">
        <v>29.6</v>
      </c>
      <c r="R622" s="26">
        <f>Q622*G622</f>
        <v/>
      </c>
      <c r="S622" s="26">
        <f>IFERROR(VLOOKUP(E622*1,Tabla[#All],8,0),0)</f>
        <v/>
      </c>
      <c r="T622" s="26">
        <f>S622*G622</f>
        <v/>
      </c>
      <c r="U622" s="26">
        <f>R622-T622</f>
        <v/>
      </c>
      <c r="V622" s="26">
        <f>U622-L622</f>
        <v/>
      </c>
    </row>
    <row r="623">
      <c r="A623" s="11" t="n">
        <v>46209</v>
      </c>
      <c r="B623" s="1" t="n">
        <v>20030</v>
      </c>
      <c r="C623" s="1" t="inlineStr">
        <is>
          <t>067</t>
        </is>
      </c>
      <c r="D623" s="1" t="inlineStr">
        <is>
          <t>273500</t>
        </is>
      </c>
      <c r="E623" s="1" t="inlineStr">
        <is>
          <t xml:space="preserve">28194770       </t>
        </is>
      </c>
      <c r="F623" s="5" t="inlineStr">
        <is>
          <t>AUTOS DE METAL 3 TEAMSTERZ EN BLISTER</t>
        </is>
      </c>
      <c r="G623" t="n">
        <v>1</v>
      </c>
      <c r="H623" s="7" t="n">
        <v>6.9</v>
      </c>
      <c r="I623" s="7" t="n">
        <v>0</v>
      </c>
      <c r="J623" s="7" t="n">
        <v>0</v>
      </c>
      <c r="K623" s="9" t="n">
        <v>0</v>
      </c>
      <c r="L623" s="10" t="n">
        <v>4.1</v>
      </c>
      <c r="M623" s="10" t="n">
        <v>1.43</v>
      </c>
      <c r="N623" t="inlineStr">
        <is>
          <t>1</t>
        </is>
      </c>
      <c r="O623" t="inlineStr">
        <is>
          <t>16</t>
        </is>
      </c>
      <c r="P623" t="inlineStr">
        <is>
          <t xml:space="preserve">39099   </t>
        </is>
      </c>
      <c r="Q623" s="26" t="n">
        <v>4.09</v>
      </c>
      <c r="R623" s="26">
        <f>Q623*G623</f>
        <v/>
      </c>
      <c r="S623" s="26">
        <f>IFERROR(VLOOKUP(E623*1,Tabla[#All],8,0),0)</f>
        <v/>
      </c>
      <c r="T623" s="26">
        <f>S623*G623</f>
        <v/>
      </c>
      <c r="U623" s="26">
        <f>R623-T623</f>
        <v/>
      </c>
      <c r="V623" s="26">
        <f>U623-L623</f>
        <v/>
      </c>
    </row>
    <row r="624">
      <c r="A624" s="11" t="n">
        <v>46209</v>
      </c>
      <c r="B624" s="1" t="n">
        <v>20040</v>
      </c>
      <c r="C624" s="1" t="inlineStr">
        <is>
          <t>072</t>
        </is>
      </c>
      <c r="D624" s="1" t="inlineStr">
        <is>
          <t>251234</t>
        </is>
      </c>
      <c r="E624" s="1" t="inlineStr">
        <is>
          <t xml:space="preserve">33483123       </t>
        </is>
      </c>
      <c r="F624" s="5" t="inlineStr">
        <is>
          <t>NENUCO DISFRACES</t>
        </is>
      </c>
      <c r="G624" t="n">
        <v>1</v>
      </c>
      <c r="H624" s="7" t="n">
        <v>89.90000000000001</v>
      </c>
      <c r="I624" s="7" t="n">
        <v>0</v>
      </c>
      <c r="J624" s="7" t="n">
        <v>0</v>
      </c>
      <c r="K624" s="9" t="n">
        <v>0</v>
      </c>
      <c r="L624" s="10" t="n">
        <v>53.33</v>
      </c>
      <c r="M624" s="10" t="n">
        <v>1.43</v>
      </c>
      <c r="N624" t="inlineStr">
        <is>
          <t>1</t>
        </is>
      </c>
      <c r="O624" t="inlineStr">
        <is>
          <t>16</t>
        </is>
      </c>
      <c r="P624" t="inlineStr">
        <is>
          <t xml:space="preserve">250193  </t>
        </is>
      </c>
      <c r="Q624" s="26" t="n">
        <v>53.33</v>
      </c>
      <c r="R624" s="26">
        <f>Q624*G624</f>
        <v/>
      </c>
      <c r="S624" s="26">
        <f>IFERROR(VLOOKUP(E624*1,Tabla[#All],8,0),0)</f>
        <v/>
      </c>
      <c r="T624" s="26">
        <f>S624*G624</f>
        <v/>
      </c>
      <c r="U624" s="26">
        <f>R624-T624</f>
        <v/>
      </c>
      <c r="V624" s="26">
        <f>U624-L624</f>
        <v/>
      </c>
    </row>
    <row r="625">
      <c r="A625" s="11" t="n">
        <v>46209</v>
      </c>
      <c r="B625" s="1" t="n">
        <v>20040</v>
      </c>
      <c r="C625" s="1" t="inlineStr">
        <is>
          <t>073</t>
        </is>
      </c>
      <c r="D625" s="1" t="inlineStr">
        <is>
          <t>254210</t>
        </is>
      </c>
      <c r="E625" s="1" t="inlineStr">
        <is>
          <t xml:space="preserve">28194769       </t>
        </is>
      </c>
      <c r="F625" s="5" t="inlineStr">
        <is>
          <t>AUTOS DE METAL 3 TEAMSTERZ PACK DE 2</t>
        </is>
      </c>
      <c r="G625" t="n">
        <v>1</v>
      </c>
      <c r="H625" s="7" t="n">
        <v>13.8</v>
      </c>
      <c r="I625" s="7" t="n">
        <v>0</v>
      </c>
      <c r="J625" s="7" t="n">
        <v>0</v>
      </c>
      <c r="K625" s="9" t="n">
        <v>0</v>
      </c>
      <c r="L625" s="10" t="n">
        <v>8.18</v>
      </c>
      <c r="M625" s="10" t="n">
        <v>1.43</v>
      </c>
      <c r="N625" t="inlineStr">
        <is>
          <t>1</t>
        </is>
      </c>
      <c r="O625" t="inlineStr">
        <is>
          <t xml:space="preserve">3 </t>
        </is>
      </c>
      <c r="P625" t="inlineStr">
        <is>
          <t xml:space="preserve">242509  </t>
        </is>
      </c>
      <c r="Q625" s="26" t="n">
        <v>8.19</v>
      </c>
      <c r="R625" s="26">
        <f>Q625*G625</f>
        <v/>
      </c>
      <c r="S625" s="26">
        <f>IFERROR(VLOOKUP(E625*1,Tabla[#All],8,0),0)</f>
        <v/>
      </c>
      <c r="T625" s="26">
        <f>S625*G625</f>
        <v/>
      </c>
      <c r="U625" s="26">
        <f>R625-T625</f>
        <v/>
      </c>
      <c r="V625" s="26">
        <f>U625-L625</f>
        <v/>
      </c>
    </row>
    <row r="626">
      <c r="A626" s="11" t="n">
        <v>46209</v>
      </c>
      <c r="B626" s="1" t="n">
        <v>20040</v>
      </c>
      <c r="C626" s="1" t="inlineStr">
        <is>
          <t>831</t>
        </is>
      </c>
      <c r="D626" s="1" t="inlineStr">
        <is>
          <t xml:space="preserve">8682  </t>
        </is>
      </c>
      <c r="E626" s="1" t="inlineStr">
        <is>
          <t xml:space="preserve">29854051       </t>
        </is>
      </c>
      <c r="F626" s="5" t="inlineStr">
        <is>
          <t>TEAMSTERZ AUTO DE METAL PACK 10 AUTOS</t>
        </is>
      </c>
      <c r="G626" t="n">
        <v>1</v>
      </c>
      <c r="H626" s="7" t="n">
        <v>69</v>
      </c>
      <c r="I626" s="7" t="n">
        <v>0</v>
      </c>
      <c r="J626" s="7" t="n">
        <v>0</v>
      </c>
      <c r="K626" s="9" t="n">
        <v>0</v>
      </c>
      <c r="L626" s="10" t="n">
        <v>40.93</v>
      </c>
      <c r="M626" s="10" t="n">
        <v>1.43</v>
      </c>
      <c r="N626" t="inlineStr">
        <is>
          <t>1</t>
        </is>
      </c>
      <c r="O626" t="inlineStr">
        <is>
          <t>16</t>
        </is>
      </c>
      <c r="P626" t="inlineStr">
        <is>
          <t xml:space="preserve">0       </t>
        </is>
      </c>
      <c r="Q626" s="26" t="n">
        <v>40.93</v>
      </c>
      <c r="R626" s="26">
        <f>Q626*G626</f>
        <v/>
      </c>
      <c r="S626" s="26">
        <f>IFERROR(VLOOKUP(E626*1,Tabla[#All],8,0),0)</f>
        <v/>
      </c>
      <c r="T626" s="26">
        <f>S626*G626</f>
        <v/>
      </c>
      <c r="U626" s="26">
        <f>R626-T626</f>
        <v/>
      </c>
      <c r="V626" s="26">
        <f>U626-L626</f>
        <v/>
      </c>
    </row>
    <row r="627">
      <c r="A627" s="11" t="n">
        <v>46209</v>
      </c>
      <c r="B627" s="1" t="n">
        <v>20041</v>
      </c>
      <c r="C627" s="1" t="inlineStr">
        <is>
          <t>016</t>
        </is>
      </c>
      <c r="D627" s="1" t="inlineStr">
        <is>
          <t>214961</t>
        </is>
      </c>
      <c r="E627" s="1" t="inlineStr">
        <is>
          <t xml:space="preserve">28194770       </t>
        </is>
      </c>
      <c r="F627" s="5" t="inlineStr">
        <is>
          <t>AUTOS DE METAL 3 TEAMSTERZ EN BLISTER</t>
        </is>
      </c>
      <c r="G627" t="n">
        <v>1</v>
      </c>
      <c r="H627" s="7" t="n">
        <v>6.9</v>
      </c>
      <c r="I627" s="7" t="n">
        <v>0</v>
      </c>
      <c r="J627" s="7" t="n">
        <v>0</v>
      </c>
      <c r="K627" s="9" t="n">
        <v>0</v>
      </c>
      <c r="L627" s="10" t="n">
        <v>4.1</v>
      </c>
      <c r="M627" s="10" t="n">
        <v>1.43</v>
      </c>
      <c r="N627" t="inlineStr">
        <is>
          <t>1</t>
        </is>
      </c>
      <c r="O627" t="inlineStr">
        <is>
          <t>16</t>
        </is>
      </c>
      <c r="P627" t="inlineStr">
        <is>
          <t xml:space="preserve">36767   </t>
        </is>
      </c>
      <c r="Q627" s="26" t="n">
        <v>4.09</v>
      </c>
      <c r="R627" s="26">
        <f>Q627*G627</f>
        <v/>
      </c>
      <c r="S627" s="26">
        <f>IFERROR(VLOOKUP(E627*1,Tabla[#All],8,0),0)</f>
        <v/>
      </c>
      <c r="T627" s="26">
        <f>S627*G627</f>
        <v/>
      </c>
      <c r="U627" s="26">
        <f>R627-T627</f>
        <v/>
      </c>
      <c r="V627" s="26">
        <f>U627-L627</f>
        <v/>
      </c>
    </row>
    <row r="628">
      <c r="A628" s="11" t="n">
        <v>46209</v>
      </c>
      <c r="B628" s="1" t="n">
        <v>20041</v>
      </c>
      <c r="C628" s="1" t="inlineStr">
        <is>
          <t>037</t>
        </is>
      </c>
      <c r="D628" s="1" t="inlineStr">
        <is>
          <t>189106</t>
        </is>
      </c>
      <c r="E628" s="1" t="inlineStr">
        <is>
          <t xml:space="preserve">28194770       </t>
        </is>
      </c>
      <c r="F628" s="5" t="inlineStr">
        <is>
          <t>AUTOS DE METAL 3 TEAMSTERZ EN BLISTER</t>
        </is>
      </c>
      <c r="G628" t="n">
        <v>1</v>
      </c>
      <c r="H628" s="7" t="n">
        <v>6.9</v>
      </c>
      <c r="I628" s="7" t="n">
        <v>0</v>
      </c>
      <c r="J628" s="7" t="n">
        <v>0</v>
      </c>
      <c r="K628" s="9" t="n">
        <v>0</v>
      </c>
      <c r="L628" s="10" t="n">
        <v>4.1</v>
      </c>
      <c r="M628" s="10" t="n">
        <v>1.43</v>
      </c>
      <c r="N628" t="inlineStr">
        <is>
          <t>1</t>
        </is>
      </c>
      <c r="O628" t="inlineStr">
        <is>
          <t xml:space="preserve">2 </t>
        </is>
      </c>
      <c r="P628" t="inlineStr">
        <is>
          <t xml:space="preserve">92331   </t>
        </is>
      </c>
      <c r="Q628" s="26" t="n">
        <v>4.09</v>
      </c>
      <c r="R628" s="26">
        <f>Q628*G628</f>
        <v/>
      </c>
      <c r="S628" s="26">
        <f>IFERROR(VLOOKUP(E628*1,Tabla[#All],8,0),0)</f>
        <v/>
      </c>
      <c r="T628" s="26">
        <f>S628*G628</f>
        <v/>
      </c>
      <c r="U628" s="26">
        <f>R628-T628</f>
        <v/>
      </c>
      <c r="V628" s="26">
        <f>U628-L628</f>
        <v/>
      </c>
    </row>
    <row r="629">
      <c r="A629" s="11" t="n">
        <v>46209</v>
      </c>
      <c r="B629" s="1" t="n">
        <v>20041</v>
      </c>
      <c r="C629" s="1" t="inlineStr">
        <is>
          <t>504</t>
        </is>
      </c>
      <c r="D629" s="1" t="inlineStr">
        <is>
          <t xml:space="preserve">6120  </t>
        </is>
      </c>
      <c r="E629" s="1" t="inlineStr">
        <is>
          <t xml:space="preserve">28194770       </t>
        </is>
      </c>
      <c r="F629" s="5" t="inlineStr">
        <is>
          <t>AUTOS DE METAL 3 TEAMSTERZ EN BLISTER</t>
        </is>
      </c>
      <c r="G629" t="n">
        <v>1</v>
      </c>
      <c r="H629" s="7" t="n">
        <v>6.9</v>
      </c>
      <c r="I629" s="7" t="n">
        <v>0</v>
      </c>
      <c r="J629" s="7" t="n">
        <v>0</v>
      </c>
      <c r="K629" s="9" t="n">
        <v>0</v>
      </c>
      <c r="L629" s="10" t="n">
        <v>4.1</v>
      </c>
      <c r="M629" s="10" t="n">
        <v>1.43</v>
      </c>
      <c r="N629" t="inlineStr">
        <is>
          <t>1</t>
        </is>
      </c>
      <c r="O629" t="inlineStr">
        <is>
          <t>16</t>
        </is>
      </c>
      <c r="P629" t="inlineStr">
        <is>
          <t xml:space="preserve">251379  </t>
        </is>
      </c>
      <c r="Q629" s="26" t="n">
        <v>4.09</v>
      </c>
      <c r="R629" s="26">
        <f>Q629*G629</f>
        <v/>
      </c>
      <c r="S629" s="26">
        <f>IFERROR(VLOOKUP(E629*1,Tabla[#All],8,0),0)</f>
        <v/>
      </c>
      <c r="T629" s="26">
        <f>S629*G629</f>
        <v/>
      </c>
      <c r="U629" s="26">
        <f>R629-T629</f>
        <v/>
      </c>
      <c r="V629" s="26">
        <f>U629-L629</f>
        <v/>
      </c>
    </row>
    <row r="630">
      <c r="A630" s="11" t="n">
        <v>46209</v>
      </c>
      <c r="B630" s="1" t="n">
        <v>20047</v>
      </c>
      <c r="C630" s="1" t="inlineStr">
        <is>
          <t>012</t>
        </is>
      </c>
      <c r="D630" s="1" t="inlineStr">
        <is>
          <t>331336</t>
        </is>
      </c>
      <c r="E630" s="1" t="inlineStr">
        <is>
          <t xml:space="preserve">28194770       </t>
        </is>
      </c>
      <c r="F630" s="5" t="inlineStr">
        <is>
          <t>AUTOS DE METAL 3 TEAMSTERZ EN BLISTER</t>
        </is>
      </c>
      <c r="G630" t="n">
        <v>1</v>
      </c>
      <c r="H630" s="7" t="n">
        <v>6.9</v>
      </c>
      <c r="I630" s="7" t="n">
        <v>0</v>
      </c>
      <c r="J630" s="7" t="n">
        <v>0</v>
      </c>
      <c r="K630" s="9" t="n">
        <v>0</v>
      </c>
      <c r="L630" s="10" t="n">
        <v>4.1</v>
      </c>
      <c r="M630" s="10" t="n">
        <v>1.43</v>
      </c>
      <c r="N630" t="inlineStr">
        <is>
          <t>1</t>
        </is>
      </c>
      <c r="O630" t="inlineStr">
        <is>
          <t xml:space="preserve">2 </t>
        </is>
      </c>
      <c r="P630" t="inlineStr">
        <is>
          <t xml:space="preserve">78210   </t>
        </is>
      </c>
      <c r="Q630" s="26" t="n">
        <v>4.09</v>
      </c>
      <c r="R630" s="26">
        <f>Q630*G630</f>
        <v/>
      </c>
      <c r="S630" s="26">
        <f>IFERROR(VLOOKUP(E630*1,Tabla[#All],8,0),0)</f>
        <v/>
      </c>
      <c r="T630" s="26">
        <f>S630*G630</f>
        <v/>
      </c>
      <c r="U630" s="26">
        <f>R630-T630</f>
        <v/>
      </c>
      <c r="V630" s="26">
        <f>U630-L630</f>
        <v/>
      </c>
    </row>
    <row r="631">
      <c r="A631" s="11" t="n">
        <v>46209</v>
      </c>
      <c r="B631" s="1" t="n">
        <v>20047</v>
      </c>
      <c r="C631" s="1" t="inlineStr">
        <is>
          <t>191</t>
        </is>
      </c>
      <c r="D631" s="1" t="inlineStr">
        <is>
          <t>460641</t>
        </is>
      </c>
      <c r="E631" s="1" t="inlineStr">
        <is>
          <t xml:space="preserve">28194770       </t>
        </is>
      </c>
      <c r="F631" s="5" t="inlineStr">
        <is>
          <t>AUTOS DE METAL 3 TEAMSTERZ EN BLISTER</t>
        </is>
      </c>
      <c r="G631" t="n">
        <v>1</v>
      </c>
      <c r="H631" s="7" t="n">
        <v>6.9</v>
      </c>
      <c r="I631" s="7" t="n">
        <v>0</v>
      </c>
      <c r="J631" s="7" t="n">
        <v>0</v>
      </c>
      <c r="K631" s="9" t="n">
        <v>0</v>
      </c>
      <c r="L631" s="10" t="n">
        <v>4.1</v>
      </c>
      <c r="M631" s="10" t="n">
        <v>1.43</v>
      </c>
      <c r="N631" t="inlineStr">
        <is>
          <t>1</t>
        </is>
      </c>
      <c r="O631" t="inlineStr">
        <is>
          <t xml:space="preserve">3 </t>
        </is>
      </c>
      <c r="P631" t="inlineStr">
        <is>
          <t xml:space="preserve">245862  </t>
        </is>
      </c>
      <c r="Q631" s="26" t="n">
        <v>4.09</v>
      </c>
      <c r="R631" s="26">
        <f>Q631*G631</f>
        <v/>
      </c>
      <c r="S631" s="26">
        <f>IFERROR(VLOOKUP(E631*1,Tabla[#All],8,0),0)</f>
        <v/>
      </c>
      <c r="T631" s="26">
        <f>S631*G631</f>
        <v/>
      </c>
      <c r="U631" s="26">
        <f>R631-T631</f>
        <v/>
      </c>
      <c r="V631" s="26">
        <f>U631-L631</f>
        <v/>
      </c>
    </row>
    <row r="632">
      <c r="A632" s="11" t="n">
        <v>46209</v>
      </c>
      <c r="B632" s="1" t="n">
        <v>20047</v>
      </c>
      <c r="C632" s="1" t="inlineStr">
        <is>
          <t>191</t>
        </is>
      </c>
      <c r="D632" s="1" t="inlineStr">
        <is>
          <t>460664</t>
        </is>
      </c>
      <c r="E632" s="1" t="inlineStr">
        <is>
          <t xml:space="preserve">28194770       </t>
        </is>
      </c>
      <c r="F632" s="5" t="inlineStr">
        <is>
          <t>AUTOS DE METAL 3 TEAMSTERZ EN BLISTER</t>
        </is>
      </c>
      <c r="G632" t="n">
        <v>1</v>
      </c>
      <c r="H632" s="7" t="n">
        <v>6.9</v>
      </c>
      <c r="I632" s="7" t="n">
        <v>0</v>
      </c>
      <c r="J632" s="7" t="n">
        <v>0</v>
      </c>
      <c r="K632" s="9" t="n">
        <v>0</v>
      </c>
      <c r="L632" s="10" t="n">
        <v>4.1</v>
      </c>
      <c r="M632" s="10" t="n">
        <v>1.43</v>
      </c>
      <c r="N632" t="inlineStr">
        <is>
          <t>1</t>
        </is>
      </c>
      <c r="O632" t="inlineStr">
        <is>
          <t>16</t>
        </is>
      </c>
      <c r="P632" t="inlineStr">
        <is>
          <t xml:space="preserve">245862  </t>
        </is>
      </c>
      <c r="Q632" s="26" t="n">
        <v>4.09</v>
      </c>
      <c r="R632" s="26">
        <f>Q632*G632</f>
        <v/>
      </c>
      <c r="S632" s="26">
        <f>IFERROR(VLOOKUP(E632*1,Tabla[#All],8,0),0)</f>
        <v/>
      </c>
      <c r="T632" s="26">
        <f>S632*G632</f>
        <v/>
      </c>
      <c r="U632" s="26">
        <f>R632-T632</f>
        <v/>
      </c>
      <c r="V632" s="26">
        <f>U632-L632</f>
        <v/>
      </c>
    </row>
    <row r="633">
      <c r="A633" s="11" t="n">
        <v>46209</v>
      </c>
      <c r="B633" s="1" t="n">
        <v>20047</v>
      </c>
      <c r="C633" s="1" t="inlineStr">
        <is>
          <t>191</t>
        </is>
      </c>
      <c r="D633" s="1" t="inlineStr">
        <is>
          <t>460747</t>
        </is>
      </c>
      <c r="E633" s="1" t="inlineStr">
        <is>
          <t xml:space="preserve">34840554       </t>
        </is>
      </c>
      <c r="F633" s="5" t="inlineStr">
        <is>
          <t>TMZ AUTO LUZ Y SONIDO ESQUELET DINO TRICE</t>
        </is>
      </c>
      <c r="G633" t="n">
        <v>1</v>
      </c>
      <c r="H633" s="7" t="n">
        <v>79.90000000000001</v>
      </c>
      <c r="I633" s="7" t="n">
        <v>0</v>
      </c>
      <c r="J633" s="7" t="n">
        <v>0</v>
      </c>
      <c r="K633" s="9" t="n">
        <v>0</v>
      </c>
      <c r="L633" s="10" t="n">
        <v>47.4</v>
      </c>
      <c r="M633" s="10" t="n">
        <v>1.43</v>
      </c>
      <c r="N633" t="inlineStr">
        <is>
          <t>1</t>
        </is>
      </c>
      <c r="O633" t="inlineStr">
        <is>
          <t xml:space="preserve">2 </t>
        </is>
      </c>
      <c r="P633" t="inlineStr">
        <is>
          <t xml:space="preserve">248817  </t>
        </is>
      </c>
      <c r="Q633" s="26" t="n">
        <v>47.4</v>
      </c>
      <c r="R633" s="26">
        <f>Q633*G633</f>
        <v/>
      </c>
      <c r="S633" s="26">
        <f>IFERROR(VLOOKUP(E633*1,Tabla[#All],8,0),0)</f>
        <v/>
      </c>
      <c r="T633" s="26">
        <f>S633*G633</f>
        <v/>
      </c>
      <c r="U633" s="26">
        <f>R633-T633</f>
        <v/>
      </c>
      <c r="V633" s="26">
        <f>U633-L633</f>
        <v/>
      </c>
    </row>
    <row r="634">
      <c r="A634" s="11" t="n">
        <v>46209</v>
      </c>
      <c r="B634" s="1" t="n">
        <v>20048</v>
      </c>
      <c r="C634" s="1" t="inlineStr">
        <is>
          <t>013</t>
        </is>
      </c>
      <c r="D634" s="1" t="inlineStr">
        <is>
          <t>224288</t>
        </is>
      </c>
      <c r="E634" s="1" t="inlineStr">
        <is>
          <t xml:space="preserve">33661538       </t>
        </is>
      </c>
      <c r="F634" s="5" t="inlineStr">
        <is>
          <t>HOT WHEELS CASE GARAGE RUEDA METAL EN LLAMAS X 29</t>
        </is>
      </c>
      <c r="G634" t="n">
        <v>1</v>
      </c>
      <c r="H634" s="7" t="n">
        <v>69.90000000000001</v>
      </c>
      <c r="I634" s="7" t="n">
        <v>0</v>
      </c>
      <c r="J634" s="7" t="n">
        <v>0</v>
      </c>
      <c r="K634" s="9" t="n">
        <v>0</v>
      </c>
      <c r="L634" s="10" t="n">
        <v>41.47</v>
      </c>
      <c r="M634" s="10" t="n">
        <v>1.43</v>
      </c>
      <c r="N634" t="inlineStr">
        <is>
          <t>1</t>
        </is>
      </c>
      <c r="O634" t="inlineStr">
        <is>
          <t>16</t>
        </is>
      </c>
      <c r="P634" t="inlineStr">
        <is>
          <t xml:space="preserve">85763   </t>
        </is>
      </c>
      <c r="Q634" s="26" t="n">
        <v>41.47</v>
      </c>
      <c r="R634" s="26">
        <f>Q634*G634</f>
        <v/>
      </c>
      <c r="S634" s="26">
        <f>IFERROR(VLOOKUP(E634*1,Tabla[#All],8,0),0)</f>
        <v/>
      </c>
      <c r="T634" s="26">
        <f>S634*G634</f>
        <v/>
      </c>
      <c r="U634" s="26">
        <f>R634-T634</f>
        <v/>
      </c>
      <c r="V634" s="26">
        <f>U634-L634</f>
        <v/>
      </c>
    </row>
    <row r="635">
      <c r="A635" s="11" t="n">
        <v>46209</v>
      </c>
      <c r="B635" s="1" t="n">
        <v>20048</v>
      </c>
      <c r="C635" s="1" t="inlineStr">
        <is>
          <t>013</t>
        </is>
      </c>
      <c r="D635" s="1" t="inlineStr">
        <is>
          <t>224290</t>
        </is>
      </c>
      <c r="E635" s="1" t="inlineStr">
        <is>
          <t xml:space="preserve">34840557       </t>
        </is>
      </c>
      <c r="F635" s="5" t="inlineStr">
        <is>
          <t>TMZ BEAST MACH. PLAYSET GARAGE DE SERPIENTE + 2 AU</t>
        </is>
      </c>
      <c r="G635" t="n">
        <v>1</v>
      </c>
      <c r="H635" s="7" t="n">
        <v>79.90000000000001</v>
      </c>
      <c r="I635" s="7" t="n">
        <v>0</v>
      </c>
      <c r="J635" s="7" t="n">
        <v>0</v>
      </c>
      <c r="K635" s="9" t="n">
        <v>0</v>
      </c>
      <c r="L635" s="10" t="n">
        <v>47.4</v>
      </c>
      <c r="M635" s="10" t="n">
        <v>1.43</v>
      </c>
      <c r="N635" t="inlineStr">
        <is>
          <t>1</t>
        </is>
      </c>
      <c r="O635" t="inlineStr">
        <is>
          <t>16</t>
        </is>
      </c>
      <c r="P635" t="inlineStr">
        <is>
          <t xml:space="preserve">85763   </t>
        </is>
      </c>
      <c r="Q635" s="26" t="n">
        <v>47.4</v>
      </c>
      <c r="R635" s="26">
        <f>Q635*G635</f>
        <v/>
      </c>
      <c r="S635" s="26">
        <f>IFERROR(VLOOKUP(E635*1,Tabla[#All],8,0),0)</f>
        <v/>
      </c>
      <c r="T635" s="26">
        <f>S635*G635</f>
        <v/>
      </c>
      <c r="U635" s="26">
        <f>R635-T635</f>
        <v/>
      </c>
      <c r="V635" s="26">
        <f>U635-L635</f>
        <v/>
      </c>
    </row>
    <row r="636">
      <c r="A636" s="11" t="n">
        <v>46209</v>
      </c>
      <c r="B636" s="1" t="n">
        <v>20048</v>
      </c>
      <c r="C636" s="1" t="inlineStr">
        <is>
          <t>800</t>
        </is>
      </c>
      <c r="D636" s="1" t="inlineStr">
        <is>
          <t xml:space="preserve">3696  </t>
        </is>
      </c>
      <c r="E636" s="1" t="inlineStr">
        <is>
          <t xml:space="preserve">32457099       </t>
        </is>
      </c>
      <c r="F636" s="5" t="inlineStr">
        <is>
          <t>TMZ BEAST MACHINES MONSTER JAWS A FRICCION BLISTER</t>
        </is>
      </c>
      <c r="G636" t="n">
        <v>1</v>
      </c>
      <c r="H636" s="7" t="n">
        <v>19.9</v>
      </c>
      <c r="I636" s="7" t="n">
        <v>0</v>
      </c>
      <c r="J636" s="7" t="n">
        <v>0</v>
      </c>
      <c r="K636" s="9" t="n">
        <v>0</v>
      </c>
      <c r="L636" s="10" t="n">
        <v>11.8</v>
      </c>
      <c r="M636" s="10" t="n">
        <v>1.43</v>
      </c>
      <c r="N636" t="inlineStr">
        <is>
          <t>1</t>
        </is>
      </c>
      <c r="O636" t="inlineStr">
        <is>
          <t>16</t>
        </is>
      </c>
      <c r="P636" t="inlineStr">
        <is>
          <t xml:space="preserve">0       </t>
        </is>
      </c>
      <c r="Q636" s="26" t="n">
        <v>11.81</v>
      </c>
      <c r="R636" s="26">
        <f>Q636*G636</f>
        <v/>
      </c>
      <c r="S636" s="26">
        <f>IFERROR(VLOOKUP(E636*1,Tabla[#All],8,0),0)</f>
        <v/>
      </c>
      <c r="T636" s="26">
        <f>S636*G636</f>
        <v/>
      </c>
      <c r="U636" s="26">
        <f>R636-T636</f>
        <v/>
      </c>
      <c r="V636" s="26">
        <f>U636-L636</f>
        <v/>
      </c>
    </row>
    <row r="637">
      <c r="A637" s="11" t="n">
        <v>46209</v>
      </c>
      <c r="B637" s="1" t="n">
        <v>20048</v>
      </c>
      <c r="C637" s="1" t="inlineStr">
        <is>
          <t>801</t>
        </is>
      </c>
      <c r="D637" s="1" t="inlineStr">
        <is>
          <t xml:space="preserve">5970  </t>
        </is>
      </c>
      <c r="E637" s="1" t="inlineStr">
        <is>
          <t xml:space="preserve">28194768       </t>
        </is>
      </c>
      <c r="F637" s="5" t="inlineStr">
        <is>
          <t>AUTO COLOR CHANGE TEAMSTERZ SURTIDO</t>
        </is>
      </c>
      <c r="G637" t="n">
        <v>1</v>
      </c>
      <c r="H637" s="7" t="n">
        <v>14.9</v>
      </c>
      <c r="I637" s="7" t="n">
        <v>0</v>
      </c>
      <c r="J637" s="7" t="n">
        <v>0</v>
      </c>
      <c r="K637" s="9" t="n">
        <v>0</v>
      </c>
      <c r="L637" s="10" t="n">
        <v>8.84</v>
      </c>
      <c r="M637" s="10" t="n">
        <v>1.43</v>
      </c>
      <c r="N637" t="inlineStr">
        <is>
          <t>1</t>
        </is>
      </c>
      <c r="O637" t="inlineStr">
        <is>
          <t>16</t>
        </is>
      </c>
      <c r="P637" t="inlineStr">
        <is>
          <t xml:space="preserve">0       </t>
        </is>
      </c>
      <c r="Q637" s="26" t="n">
        <v>8.84</v>
      </c>
      <c r="R637" s="26">
        <f>Q637*G637</f>
        <v/>
      </c>
      <c r="S637" s="26">
        <f>IFERROR(VLOOKUP(E637*1,Tabla[#All],8,0),0)</f>
        <v/>
      </c>
      <c r="T637" s="26">
        <f>S637*G637</f>
        <v/>
      </c>
      <c r="U637" s="26">
        <f>R637-T637</f>
        <v/>
      </c>
      <c r="V637" s="26">
        <f>U637-L637</f>
        <v/>
      </c>
    </row>
    <row r="638">
      <c r="A638" s="11" t="n">
        <v>46209</v>
      </c>
      <c r="B638" s="1" t="n">
        <v>20049</v>
      </c>
      <c r="C638" s="1" t="inlineStr">
        <is>
          <t>017</t>
        </is>
      </c>
      <c r="D638" s="1" t="inlineStr">
        <is>
          <t>238177</t>
        </is>
      </c>
      <c r="E638" s="1" t="inlineStr">
        <is>
          <t xml:space="preserve">35685068       </t>
        </is>
      </c>
      <c r="F638" s="5" t="inlineStr">
        <is>
          <t>BARBIE FASHION SET 3 EN 1</t>
        </is>
      </c>
      <c r="G638" t="n">
        <v>1</v>
      </c>
      <c r="H638" s="7" t="n">
        <v>49.9</v>
      </c>
      <c r="I638" s="7" t="n">
        <v>0</v>
      </c>
      <c r="J638" s="7" t="n">
        <v>0</v>
      </c>
      <c r="K638" s="9" t="n">
        <v>0</v>
      </c>
      <c r="L638" s="10" t="n">
        <v>29.6</v>
      </c>
      <c r="M638" s="10" t="n">
        <v>1.43</v>
      </c>
      <c r="N638" t="inlineStr">
        <is>
          <t>1</t>
        </is>
      </c>
      <c r="O638" t="inlineStr">
        <is>
          <t xml:space="preserve">2 </t>
        </is>
      </c>
      <c r="P638" t="inlineStr">
        <is>
          <t xml:space="preserve">108879  </t>
        </is>
      </c>
      <c r="Q638" s="26" t="n">
        <v>29.6</v>
      </c>
      <c r="R638" s="26">
        <f>Q638*G638</f>
        <v/>
      </c>
      <c r="S638" s="26">
        <f>IFERROR(VLOOKUP(E638*1,Tabla[#All],8,0),0)</f>
        <v/>
      </c>
      <c r="T638" s="26">
        <f>S638*G638</f>
        <v/>
      </c>
      <c r="U638" s="26">
        <f>R638-T638</f>
        <v/>
      </c>
      <c r="V638" s="26">
        <f>U638-L638</f>
        <v/>
      </c>
    </row>
    <row r="639">
      <c r="A639" s="11" t="n">
        <v>46209</v>
      </c>
      <c r="B639" s="1" t="n">
        <v>20049</v>
      </c>
      <c r="C639" s="1" t="inlineStr">
        <is>
          <t>025</t>
        </is>
      </c>
      <c r="D639" s="1" t="inlineStr">
        <is>
          <t xml:space="preserve">33084 </t>
        </is>
      </c>
      <c r="E639" s="1" t="inlineStr">
        <is>
          <t xml:space="preserve">28194770       </t>
        </is>
      </c>
      <c r="F639" s="5" t="inlineStr">
        <is>
          <t>AUTOS DE METAL 3 TEAMSTERZ EN BLISTER</t>
        </is>
      </c>
      <c r="G639" t="n">
        <v>1</v>
      </c>
      <c r="H639" s="7" t="n">
        <v>6.9</v>
      </c>
      <c r="I639" s="7" t="n">
        <v>0</v>
      </c>
      <c r="J639" s="7" t="n">
        <v>0</v>
      </c>
      <c r="K639" s="9" t="n">
        <v>0</v>
      </c>
      <c r="L639" s="10" t="n">
        <v>4.1</v>
      </c>
      <c r="M639" s="10" t="n">
        <v>1.43</v>
      </c>
      <c r="N639" t="inlineStr">
        <is>
          <t>1</t>
        </is>
      </c>
      <c r="O639" t="inlineStr">
        <is>
          <t xml:space="preserve">2 </t>
        </is>
      </c>
      <c r="P639" t="inlineStr">
        <is>
          <t xml:space="preserve">245485  </t>
        </is>
      </c>
      <c r="Q639" s="26" t="n">
        <v>4.09</v>
      </c>
      <c r="R639" s="26">
        <f>Q639*G639</f>
        <v/>
      </c>
      <c r="S639" s="26">
        <f>IFERROR(VLOOKUP(E639*1,Tabla[#All],8,0),0)</f>
        <v/>
      </c>
      <c r="T639" s="26">
        <f>S639*G639</f>
        <v/>
      </c>
      <c r="U639" s="26">
        <f>R639-T639</f>
        <v/>
      </c>
      <c r="V639" s="26">
        <f>U639-L639</f>
        <v/>
      </c>
    </row>
    <row r="640">
      <c r="A640" s="11" t="n">
        <v>46209</v>
      </c>
      <c r="B640" s="1" t="n">
        <v>20049</v>
      </c>
      <c r="C640" s="1" t="inlineStr">
        <is>
          <t>025</t>
        </is>
      </c>
      <c r="D640" s="1" t="inlineStr">
        <is>
          <t xml:space="preserve">33114 </t>
        </is>
      </c>
      <c r="E640" s="1" t="inlineStr">
        <is>
          <t xml:space="preserve">29235710       </t>
        </is>
      </c>
      <c r="F640" s="5" t="inlineStr">
        <is>
          <t>TEAMSTERZ PLAYSET GRANDES CONSTRUCCIONES</t>
        </is>
      </c>
      <c r="G640" t="n">
        <v>1</v>
      </c>
      <c r="H640" s="7" t="n">
        <v>19.9</v>
      </c>
      <c r="I640" s="7" t="n">
        <v>0</v>
      </c>
      <c r="J640" s="7" t="n">
        <v>0</v>
      </c>
      <c r="K640" s="9" t="n">
        <v>0</v>
      </c>
      <c r="L640" s="10" t="n">
        <v>11.8</v>
      </c>
      <c r="M640" s="10" t="n">
        <v>1.43</v>
      </c>
      <c r="N640" t="inlineStr">
        <is>
          <t>1</t>
        </is>
      </c>
      <c r="O640" t="inlineStr">
        <is>
          <t>16</t>
        </is>
      </c>
      <c r="P640" t="inlineStr">
        <is>
          <t xml:space="preserve">245485  </t>
        </is>
      </c>
      <c r="Q640" s="26" t="n">
        <v>11.81</v>
      </c>
      <c r="R640" s="26">
        <f>Q640*G640</f>
        <v/>
      </c>
      <c r="S640" s="26">
        <f>IFERROR(VLOOKUP(E640*1,Tabla[#All],8,0),0)</f>
        <v/>
      </c>
      <c r="T640" s="26">
        <f>S640*G640</f>
        <v/>
      </c>
      <c r="U640" s="26">
        <f>R640-T640</f>
        <v/>
      </c>
      <c r="V640" s="26">
        <f>U640-L640</f>
        <v/>
      </c>
    </row>
    <row r="641">
      <c r="A641" s="11" t="n">
        <v>46209</v>
      </c>
      <c r="B641" s="1" t="n">
        <v>20049</v>
      </c>
      <c r="C641" s="1" t="inlineStr">
        <is>
          <t>025</t>
        </is>
      </c>
      <c r="D641" s="1" t="inlineStr">
        <is>
          <t xml:space="preserve">33114 </t>
        </is>
      </c>
      <c r="E641" s="1" t="inlineStr">
        <is>
          <t xml:space="preserve">29235710       </t>
        </is>
      </c>
      <c r="F641" s="5" t="inlineStr">
        <is>
          <t>TEAMSTERZ PLAYSET GRANDES CONSTRUCCIONES</t>
        </is>
      </c>
      <c r="G641" t="n">
        <v>1</v>
      </c>
      <c r="H641" s="7" t="n">
        <v>19.9</v>
      </c>
      <c r="I641" s="7" t="n">
        <v>0</v>
      </c>
      <c r="J641" s="7" t="n">
        <v>0</v>
      </c>
      <c r="K641" s="9" t="n">
        <v>0</v>
      </c>
      <c r="L641" s="10" t="n">
        <v>11.8</v>
      </c>
      <c r="M641" s="10" t="n">
        <v>1.43</v>
      </c>
      <c r="N641" t="inlineStr">
        <is>
          <t>1</t>
        </is>
      </c>
      <c r="O641" t="inlineStr">
        <is>
          <t>16</t>
        </is>
      </c>
      <c r="P641" t="inlineStr">
        <is>
          <t xml:space="preserve">245485  </t>
        </is>
      </c>
      <c r="Q641" s="26" t="n">
        <v>11.81</v>
      </c>
      <c r="R641" s="26">
        <f>Q641*G641</f>
        <v/>
      </c>
      <c r="S641" s="26">
        <f>IFERROR(VLOOKUP(E641*1,Tabla[#All],8,0),0)</f>
        <v/>
      </c>
      <c r="T641" s="26">
        <f>S641*G641</f>
        <v/>
      </c>
      <c r="U641" s="26">
        <f>R641-T641</f>
        <v/>
      </c>
      <c r="V641" s="26">
        <f>U641-L641</f>
        <v/>
      </c>
    </row>
    <row r="642">
      <c r="A642" s="11" t="n">
        <v>46209</v>
      </c>
      <c r="B642" s="1" t="n">
        <v>20049</v>
      </c>
      <c r="C642" s="1" t="inlineStr">
        <is>
          <t>031</t>
        </is>
      </c>
      <c r="D642" s="1" t="inlineStr">
        <is>
          <t>120726</t>
        </is>
      </c>
      <c r="E642" s="1" t="inlineStr">
        <is>
          <t xml:space="preserve">34840551       </t>
        </is>
      </c>
      <c r="F642" s="5" t="inlineStr">
        <is>
          <t>TMZ HELI BOMBERO CON LUCES Y SONIDOS</t>
        </is>
      </c>
      <c r="G642" t="n">
        <v>1</v>
      </c>
      <c r="H642" s="7" t="n">
        <v>79.90000000000001</v>
      </c>
      <c r="I642" s="7" t="n">
        <v>0</v>
      </c>
      <c r="J642" s="7" t="n">
        <v>0</v>
      </c>
      <c r="K642" s="9" t="n">
        <v>0</v>
      </c>
      <c r="L642" s="10" t="n">
        <v>47.4</v>
      </c>
      <c r="M642" s="10" t="n">
        <v>1.43</v>
      </c>
      <c r="N642" t="inlineStr">
        <is>
          <t>1</t>
        </is>
      </c>
      <c r="O642" t="inlineStr">
        <is>
          <t>16</t>
        </is>
      </c>
      <c r="P642" t="inlineStr">
        <is>
          <t xml:space="preserve">251234  </t>
        </is>
      </c>
      <c r="Q642" s="26" t="n">
        <v>47.4</v>
      </c>
      <c r="R642" s="26">
        <f>Q642*G642</f>
        <v/>
      </c>
      <c r="S642" s="26">
        <f>IFERROR(VLOOKUP(E642*1,Tabla[#All],8,0),0)</f>
        <v/>
      </c>
      <c r="T642" s="26">
        <f>S642*G642</f>
        <v/>
      </c>
      <c r="U642" s="26">
        <f>R642-T642</f>
        <v/>
      </c>
      <c r="V642" s="26">
        <f>U642-L642</f>
        <v/>
      </c>
    </row>
    <row r="643">
      <c r="A643" s="11" t="n">
        <v>46209</v>
      </c>
      <c r="B643" s="1" t="n">
        <v>20056</v>
      </c>
      <c r="C643" s="1" t="inlineStr">
        <is>
          <t>022</t>
        </is>
      </c>
      <c r="D643" s="1" t="inlineStr">
        <is>
          <t xml:space="preserve">54707 </t>
        </is>
      </c>
      <c r="E643" s="1" t="inlineStr">
        <is>
          <t xml:space="preserve">31800861       </t>
        </is>
      </c>
      <c r="F643" s="5" t="inlineStr">
        <is>
          <t>DART ZONE MASCARA TACTICA DE PROTECCION</t>
        </is>
      </c>
      <c r="G643" t="n">
        <v>1</v>
      </c>
      <c r="H643" s="7" t="n">
        <v>59.9</v>
      </c>
      <c r="I643" s="7" t="n">
        <v>0</v>
      </c>
      <c r="J643" s="7" t="n">
        <v>0</v>
      </c>
      <c r="K643" s="9" t="n">
        <v>0</v>
      </c>
      <c r="L643" s="10" t="n">
        <v>35.53</v>
      </c>
      <c r="M643" s="10" t="n">
        <v>1.43</v>
      </c>
      <c r="N643" t="inlineStr">
        <is>
          <t>1</t>
        </is>
      </c>
      <c r="O643" t="inlineStr">
        <is>
          <t xml:space="preserve">2 </t>
        </is>
      </c>
      <c r="P643" t="inlineStr">
        <is>
          <t xml:space="preserve">248464  </t>
        </is>
      </c>
      <c r="Q643" s="26" t="n">
        <v>35.53</v>
      </c>
      <c r="R643" s="26">
        <f>Q643*G643</f>
        <v/>
      </c>
      <c r="S643" s="26">
        <f>IFERROR(VLOOKUP(E643*1,Tabla[#All],8,0),0)</f>
        <v/>
      </c>
      <c r="T643" s="26">
        <f>S643*G643</f>
        <v/>
      </c>
      <c r="U643" s="26">
        <f>R643-T643</f>
        <v/>
      </c>
      <c r="V643" s="26">
        <f>U643-L643</f>
        <v/>
      </c>
    </row>
    <row r="644">
      <c r="A644" s="11" t="n">
        <v>46209</v>
      </c>
      <c r="B644" s="1" t="n">
        <v>20058</v>
      </c>
      <c r="C644" s="1" t="inlineStr">
        <is>
          <t>038</t>
        </is>
      </c>
      <c r="D644" s="1" t="inlineStr">
        <is>
          <t>208595</t>
        </is>
      </c>
      <c r="E644" s="1" t="inlineStr">
        <is>
          <t xml:space="preserve">28194770       </t>
        </is>
      </c>
      <c r="F644" s="5" t="inlineStr">
        <is>
          <t>AUTOS DE METAL 3 TEAMSTERZ EN BLISTER</t>
        </is>
      </c>
      <c r="G644" t="n">
        <v>1</v>
      </c>
      <c r="H644" s="7" t="n">
        <v>6.9</v>
      </c>
      <c r="I644" s="7" t="n">
        <v>0</v>
      </c>
      <c r="J644" s="7" t="n">
        <v>0</v>
      </c>
      <c r="K644" s="9" t="n">
        <v>0</v>
      </c>
      <c r="L644" s="10" t="n">
        <v>4.1</v>
      </c>
      <c r="M644" s="10" t="n">
        <v>1.43</v>
      </c>
      <c r="N644" t="inlineStr">
        <is>
          <t>1</t>
        </is>
      </c>
      <c r="O644" t="inlineStr">
        <is>
          <t>16</t>
        </is>
      </c>
      <c r="P644" t="inlineStr">
        <is>
          <t xml:space="preserve">94557   </t>
        </is>
      </c>
      <c r="Q644" s="26" t="n">
        <v>4.09</v>
      </c>
      <c r="R644" s="26">
        <f>Q644*G644</f>
        <v/>
      </c>
      <c r="S644" s="26">
        <f>IFERROR(VLOOKUP(E644*1,Tabla[#All],8,0),0)</f>
        <v/>
      </c>
      <c r="T644" s="26">
        <f>S644*G644</f>
        <v/>
      </c>
      <c r="U644" s="26">
        <f>R644-T644</f>
        <v/>
      </c>
      <c r="V644" s="26">
        <f>U644-L644</f>
        <v/>
      </c>
    </row>
    <row r="645">
      <c r="A645" s="11" t="n">
        <v>46209</v>
      </c>
      <c r="B645" s="1" t="n">
        <v>20058</v>
      </c>
      <c r="C645" s="1" t="inlineStr">
        <is>
          <t>039</t>
        </is>
      </c>
      <c r="D645" s="1" t="inlineStr">
        <is>
          <t>229671</t>
        </is>
      </c>
      <c r="E645" s="1" t="inlineStr">
        <is>
          <t xml:space="preserve">28194770       </t>
        </is>
      </c>
      <c r="F645" s="5" t="inlineStr">
        <is>
          <t>AUTOS DE METAL 3 TEAMSTERZ EN BLISTER</t>
        </is>
      </c>
      <c r="G645" t="n">
        <v>1</v>
      </c>
      <c r="H645" s="7" t="n">
        <v>6.9</v>
      </c>
      <c r="I645" s="7" t="n">
        <v>0</v>
      </c>
      <c r="J645" s="7" t="n">
        <v>0</v>
      </c>
      <c r="K645" s="9" t="n">
        <v>0</v>
      </c>
      <c r="L645" s="10" t="n">
        <v>4.1</v>
      </c>
      <c r="M645" s="10" t="n">
        <v>1.43</v>
      </c>
      <c r="N645" t="inlineStr">
        <is>
          <t>1</t>
        </is>
      </c>
      <c r="O645" t="inlineStr">
        <is>
          <t xml:space="preserve">2 </t>
        </is>
      </c>
      <c r="P645" t="inlineStr">
        <is>
          <t xml:space="preserve">236703  </t>
        </is>
      </c>
      <c r="Q645" s="26" t="n">
        <v>4.09</v>
      </c>
      <c r="R645" s="26">
        <f>Q645*G645</f>
        <v/>
      </c>
      <c r="S645" s="26">
        <f>IFERROR(VLOOKUP(E645*1,Tabla[#All],8,0),0)</f>
        <v/>
      </c>
      <c r="T645" s="26">
        <f>S645*G645</f>
        <v/>
      </c>
      <c r="U645" s="26">
        <f>R645-T645</f>
        <v/>
      </c>
      <c r="V645" s="26">
        <f>U645-L645</f>
        <v/>
      </c>
    </row>
    <row r="646">
      <c r="A646" s="11" t="n">
        <v>46209</v>
      </c>
      <c r="B646" s="1" t="n">
        <v>20058</v>
      </c>
      <c r="C646" s="1" t="inlineStr">
        <is>
          <t>039</t>
        </is>
      </c>
      <c r="D646" s="1" t="inlineStr">
        <is>
          <t>229704</t>
        </is>
      </c>
      <c r="E646" s="1" t="inlineStr">
        <is>
          <t xml:space="preserve">28194770       </t>
        </is>
      </c>
      <c r="F646" s="5" t="inlineStr">
        <is>
          <t>AUTOS DE METAL 3 TEAMSTERZ EN BLISTER</t>
        </is>
      </c>
      <c r="G646" t="n">
        <v>1</v>
      </c>
      <c r="H646" s="7" t="n">
        <v>6.9</v>
      </c>
      <c r="I646" s="7" t="n">
        <v>0</v>
      </c>
      <c r="J646" s="7" t="n">
        <v>0</v>
      </c>
      <c r="K646" s="9" t="n">
        <v>0</v>
      </c>
      <c r="L646" s="10" t="n">
        <v>4.1</v>
      </c>
      <c r="M646" s="10" t="n">
        <v>1.43</v>
      </c>
      <c r="N646" t="inlineStr">
        <is>
          <t>1</t>
        </is>
      </c>
      <c r="O646" t="inlineStr">
        <is>
          <t>16</t>
        </is>
      </c>
      <c r="P646" t="inlineStr">
        <is>
          <t xml:space="preserve">249014  </t>
        </is>
      </c>
      <c r="Q646" s="26" t="n">
        <v>4.09</v>
      </c>
      <c r="R646" s="26">
        <f>Q646*G646</f>
        <v/>
      </c>
      <c r="S646" s="26">
        <f>IFERROR(VLOOKUP(E646*1,Tabla[#All],8,0),0)</f>
        <v/>
      </c>
      <c r="T646" s="26">
        <f>S646*G646</f>
        <v/>
      </c>
      <c r="U646" s="26">
        <f>R646-T646</f>
        <v/>
      </c>
      <c r="V646" s="26">
        <f>U646-L646</f>
        <v/>
      </c>
    </row>
    <row r="647">
      <c r="A647" s="11" t="n">
        <v>46209</v>
      </c>
      <c r="B647" s="1" t="n">
        <v>20058</v>
      </c>
      <c r="C647" s="1" t="inlineStr">
        <is>
          <t>039</t>
        </is>
      </c>
      <c r="D647" s="1" t="inlineStr">
        <is>
          <t>229704</t>
        </is>
      </c>
      <c r="E647" s="1" t="inlineStr">
        <is>
          <t xml:space="preserve">28194770       </t>
        </is>
      </c>
      <c r="F647" s="5" t="inlineStr">
        <is>
          <t>AUTOS DE METAL 3 TEAMSTERZ EN BLISTER</t>
        </is>
      </c>
      <c r="G647" t="n">
        <v>1</v>
      </c>
      <c r="H647" s="7" t="n">
        <v>6.9</v>
      </c>
      <c r="I647" s="7" t="n">
        <v>0</v>
      </c>
      <c r="J647" s="7" t="n">
        <v>0</v>
      </c>
      <c r="K647" s="9" t="n">
        <v>0</v>
      </c>
      <c r="L647" s="10" t="n">
        <v>4.1</v>
      </c>
      <c r="M647" s="10" t="n">
        <v>1.43</v>
      </c>
      <c r="N647" t="inlineStr">
        <is>
          <t>1</t>
        </is>
      </c>
      <c r="O647" t="inlineStr">
        <is>
          <t>16</t>
        </is>
      </c>
      <c r="P647" t="inlineStr">
        <is>
          <t xml:space="preserve">249014  </t>
        </is>
      </c>
      <c r="Q647" s="26" t="n">
        <v>4.09</v>
      </c>
      <c r="R647" s="26">
        <f>Q647*G647</f>
        <v/>
      </c>
      <c r="S647" s="26">
        <f>IFERROR(VLOOKUP(E647*1,Tabla[#All],8,0),0)</f>
        <v/>
      </c>
      <c r="T647" s="26">
        <f>S647*G647</f>
        <v/>
      </c>
      <c r="U647" s="26">
        <f>R647-T647</f>
        <v/>
      </c>
      <c r="V647" s="26">
        <f>U647-L647</f>
        <v/>
      </c>
    </row>
    <row r="648">
      <c r="A648" s="11" t="n">
        <v>46209</v>
      </c>
      <c r="B648" s="1" t="n">
        <v>20058</v>
      </c>
      <c r="C648" s="1" t="inlineStr">
        <is>
          <t>039</t>
        </is>
      </c>
      <c r="D648" s="1" t="inlineStr">
        <is>
          <t>229733</t>
        </is>
      </c>
      <c r="E648" s="1" t="inlineStr">
        <is>
          <t xml:space="preserve">28194770       </t>
        </is>
      </c>
      <c r="F648" s="5" t="inlineStr">
        <is>
          <t>AUTOS DE METAL 3 TEAMSTERZ EN BLISTER</t>
        </is>
      </c>
      <c r="G648" t="n">
        <v>1</v>
      </c>
      <c r="H648" s="7" t="n">
        <v>6.9</v>
      </c>
      <c r="I648" s="7" t="n">
        <v>0</v>
      </c>
      <c r="J648" s="7" t="n">
        <v>0</v>
      </c>
      <c r="K648" s="9" t="n">
        <v>0</v>
      </c>
      <c r="L648" s="10" t="n">
        <v>4.1</v>
      </c>
      <c r="M648" s="10" t="n">
        <v>1.43</v>
      </c>
      <c r="N648" t="inlineStr">
        <is>
          <t>1</t>
        </is>
      </c>
      <c r="O648" t="inlineStr">
        <is>
          <t>16</t>
        </is>
      </c>
      <c r="P648" t="inlineStr">
        <is>
          <t xml:space="preserve">249014  </t>
        </is>
      </c>
      <c r="Q648" s="26" t="n">
        <v>4.09</v>
      </c>
      <c r="R648" s="26">
        <f>Q648*G648</f>
        <v/>
      </c>
      <c r="S648" s="26">
        <f>IFERROR(VLOOKUP(E648*1,Tabla[#All],8,0),0)</f>
        <v/>
      </c>
      <c r="T648" s="26">
        <f>S648*G648</f>
        <v/>
      </c>
      <c r="U648" s="26">
        <f>R648-T648</f>
        <v/>
      </c>
      <c r="V648" s="26">
        <f>U648-L648</f>
        <v/>
      </c>
    </row>
    <row r="649">
      <c r="A649" s="11" t="n">
        <v>46209</v>
      </c>
      <c r="B649" s="1" t="n">
        <v>20062</v>
      </c>
      <c r="C649" s="1" t="inlineStr">
        <is>
          <t>017</t>
        </is>
      </c>
      <c r="D649" s="1" t="inlineStr">
        <is>
          <t>235239</t>
        </is>
      </c>
      <c r="E649" s="1" t="inlineStr">
        <is>
          <t xml:space="preserve">28194780       </t>
        </is>
      </c>
      <c r="F649" s="5" t="inlineStr">
        <is>
          <t>TROMPO BATALLA INFINITY NADO PLSTICO SURTIDO</t>
        </is>
      </c>
      <c r="G649" t="n">
        <v>1</v>
      </c>
      <c r="H649" s="7" t="n">
        <v>19.9</v>
      </c>
      <c r="I649" s="7" t="n">
        <v>0</v>
      </c>
      <c r="J649" s="7" t="n">
        <v>0</v>
      </c>
      <c r="K649" s="9" t="n">
        <v>0</v>
      </c>
      <c r="L649" s="10" t="n">
        <v>11.8</v>
      </c>
      <c r="M649" s="10" t="n">
        <v>1.43</v>
      </c>
      <c r="N649" t="inlineStr">
        <is>
          <t>1</t>
        </is>
      </c>
      <c r="O649" t="inlineStr">
        <is>
          <t xml:space="preserve">2 </t>
        </is>
      </c>
      <c r="P649" t="inlineStr">
        <is>
          <t xml:space="preserve">43396   </t>
        </is>
      </c>
      <c r="Q649" s="26" t="n">
        <v>11.81</v>
      </c>
      <c r="R649" s="26">
        <f>Q649*G649</f>
        <v/>
      </c>
      <c r="S649" s="26">
        <f>IFERROR(VLOOKUP(E649*1,Tabla[#All],8,0),0)</f>
        <v/>
      </c>
      <c r="T649" s="26">
        <f>S649*G649</f>
        <v/>
      </c>
      <c r="U649" s="26">
        <f>R649-T649</f>
        <v/>
      </c>
      <c r="V649" s="26">
        <f>U649-L649</f>
        <v/>
      </c>
    </row>
    <row r="650">
      <c r="A650" s="11" t="n">
        <v>46209</v>
      </c>
      <c r="B650" s="1" t="n">
        <v>20062</v>
      </c>
      <c r="C650" s="1" t="inlineStr">
        <is>
          <t>506</t>
        </is>
      </c>
      <c r="D650" s="1" t="inlineStr">
        <is>
          <t xml:space="preserve">1323  </t>
        </is>
      </c>
      <c r="E650" s="1" t="inlineStr">
        <is>
          <t xml:space="preserve">28194770       </t>
        </is>
      </c>
      <c r="F650" s="5" t="inlineStr">
        <is>
          <t>AUTOS DE METAL 3 TEAMSTERZ EN BLISTER</t>
        </is>
      </c>
      <c r="G650" t="n">
        <v>1</v>
      </c>
      <c r="H650" s="7" t="n">
        <v>6.9</v>
      </c>
      <c r="I650" s="7" t="n">
        <v>0</v>
      </c>
      <c r="J650" s="7" t="n">
        <v>0</v>
      </c>
      <c r="K650" s="9" t="n">
        <v>0</v>
      </c>
      <c r="L650" s="10" t="n">
        <v>4.1</v>
      </c>
      <c r="M650" s="10" t="n">
        <v>1.43</v>
      </c>
      <c r="N650" t="inlineStr">
        <is>
          <t>1</t>
        </is>
      </c>
      <c r="O650" t="inlineStr">
        <is>
          <t>16</t>
        </is>
      </c>
      <c r="P650" t="inlineStr">
        <is>
          <t xml:space="preserve">95102   </t>
        </is>
      </c>
      <c r="Q650" s="26" t="n">
        <v>4.09</v>
      </c>
      <c r="R650" s="26">
        <f>Q650*G650</f>
        <v/>
      </c>
      <c r="S650" s="26">
        <f>IFERROR(VLOOKUP(E650*1,Tabla[#All],8,0),0)</f>
        <v/>
      </c>
      <c r="T650" s="26">
        <f>S650*G650</f>
        <v/>
      </c>
      <c r="U650" s="26">
        <f>R650-T650</f>
        <v/>
      </c>
      <c r="V650" s="26">
        <f>U650-L650</f>
        <v/>
      </c>
    </row>
    <row r="651">
      <c r="A651" s="11" t="n">
        <v>46209</v>
      </c>
      <c r="B651" s="1" t="n">
        <v>20062</v>
      </c>
      <c r="C651" s="1" t="inlineStr">
        <is>
          <t>830</t>
        </is>
      </c>
      <c r="D651" s="1" t="inlineStr">
        <is>
          <t xml:space="preserve">4939  </t>
        </is>
      </c>
      <c r="E651" s="1" t="inlineStr">
        <is>
          <t xml:space="preserve">29235711       </t>
        </is>
      </c>
      <c r="F651" s="5" t="inlineStr">
        <is>
          <t>TEAMSTERZ DISPARADORES TIBURON INCL. 1 AUTO</t>
        </is>
      </c>
      <c r="G651" t="n">
        <v>1</v>
      </c>
      <c r="H651" s="7" t="n">
        <v>29.9</v>
      </c>
      <c r="I651" s="7" t="n">
        <v>0</v>
      </c>
      <c r="J651" s="7" t="n">
        <v>0</v>
      </c>
      <c r="K651" s="9" t="n">
        <v>0</v>
      </c>
      <c r="L651" s="10" t="n">
        <v>17.74</v>
      </c>
      <c r="M651" s="10" t="n">
        <v>1.43</v>
      </c>
      <c r="N651" t="inlineStr">
        <is>
          <t>1</t>
        </is>
      </c>
      <c r="O651" t="inlineStr">
        <is>
          <t>16</t>
        </is>
      </c>
      <c r="P651" t="inlineStr">
        <is>
          <t xml:space="preserve">250430  </t>
        </is>
      </c>
      <c r="Q651" s="26" t="n">
        <v>17.74</v>
      </c>
      <c r="R651" s="26">
        <f>Q651*G651</f>
        <v/>
      </c>
      <c r="S651" s="26">
        <f>IFERROR(VLOOKUP(E651*1,Tabla[#All],8,0),0)</f>
        <v/>
      </c>
      <c r="T651" s="26">
        <f>S651*G651</f>
        <v/>
      </c>
      <c r="U651" s="26">
        <f>R651-T651</f>
        <v/>
      </c>
      <c r="V651" s="26">
        <f>U651-L651</f>
        <v/>
      </c>
    </row>
    <row r="652">
      <c r="A652" s="11" t="n">
        <v>46209</v>
      </c>
      <c r="B652" s="1" t="n">
        <v>20062</v>
      </c>
      <c r="C652" s="1" t="inlineStr">
        <is>
          <t>830</t>
        </is>
      </c>
      <c r="D652" s="1" t="inlineStr">
        <is>
          <t xml:space="preserve">4939  </t>
        </is>
      </c>
      <c r="E652" s="1" t="inlineStr">
        <is>
          <t xml:space="preserve">29235711       </t>
        </is>
      </c>
      <c r="F652" s="5" t="inlineStr">
        <is>
          <t>TEAMSTERZ DISPARADORES TIBURON INCL. 1 AUTO</t>
        </is>
      </c>
      <c r="G652" t="n">
        <v>1</v>
      </c>
      <c r="H652" s="7" t="n">
        <v>29.9</v>
      </c>
      <c r="I652" s="7" t="n">
        <v>0</v>
      </c>
      <c r="J652" s="7" t="n">
        <v>0</v>
      </c>
      <c r="K652" s="9" t="n">
        <v>0</v>
      </c>
      <c r="L652" s="10" t="n">
        <v>17.74</v>
      </c>
      <c r="M652" s="10" t="n">
        <v>1.43</v>
      </c>
      <c r="N652" t="inlineStr">
        <is>
          <t>1</t>
        </is>
      </c>
      <c r="O652" t="inlineStr">
        <is>
          <t>16</t>
        </is>
      </c>
      <c r="P652" t="inlineStr">
        <is>
          <t xml:space="preserve">250430  </t>
        </is>
      </c>
      <c r="Q652" s="26" t="n">
        <v>17.74</v>
      </c>
      <c r="R652" s="26">
        <f>Q652*G652</f>
        <v/>
      </c>
      <c r="S652" s="26">
        <f>IFERROR(VLOOKUP(E652*1,Tabla[#All],8,0),0)</f>
        <v/>
      </c>
      <c r="T652" s="26">
        <f>S652*G652</f>
        <v/>
      </c>
      <c r="U652" s="26">
        <f>R652-T652</f>
        <v/>
      </c>
      <c r="V652" s="26">
        <f>U652-L652</f>
        <v/>
      </c>
    </row>
    <row r="653">
      <c r="A653" s="11" t="n">
        <v>46209</v>
      </c>
      <c r="B653" s="1" t="n">
        <v>20066</v>
      </c>
      <c r="C653" s="1" t="inlineStr">
        <is>
          <t>058</t>
        </is>
      </c>
      <c r="D653" s="1" t="inlineStr">
        <is>
          <t xml:space="preserve">59926 </t>
        </is>
      </c>
      <c r="E653" s="1" t="inlineStr">
        <is>
          <t xml:space="preserve">29235702       </t>
        </is>
      </c>
      <c r="F653" s="5" t="inlineStr">
        <is>
          <t>INFINITY NADO TROMPO DE BATALLA - METAL C/ ANILLO</t>
        </is>
      </c>
      <c r="G653" t="n">
        <v>1</v>
      </c>
      <c r="H653" s="7" t="n">
        <v>69.90000000000001</v>
      </c>
      <c r="I653" s="7" t="n">
        <v>0</v>
      </c>
      <c r="J653" s="7" t="n">
        <v>0</v>
      </c>
      <c r="K653" s="9" t="n">
        <v>0</v>
      </c>
      <c r="L653" s="10" t="n">
        <v>41.47</v>
      </c>
      <c r="M653" s="10" t="n">
        <v>1.43</v>
      </c>
      <c r="N653" t="inlineStr">
        <is>
          <t>1</t>
        </is>
      </c>
      <c r="O653" t="inlineStr">
        <is>
          <t>16</t>
        </is>
      </c>
      <c r="P653" t="inlineStr">
        <is>
          <t xml:space="preserve">43713   </t>
        </is>
      </c>
      <c r="Q653" s="26" t="n">
        <v>41.47</v>
      </c>
      <c r="R653" s="26">
        <f>Q653*G653</f>
        <v/>
      </c>
      <c r="S653" s="26">
        <f>IFERROR(VLOOKUP(E653*1,Tabla[#All],8,0),0)</f>
        <v/>
      </c>
      <c r="T653" s="26">
        <f>S653*G653</f>
        <v/>
      </c>
      <c r="U653" s="26">
        <f>R653-T653</f>
        <v/>
      </c>
      <c r="V653" s="26">
        <f>U653-L653</f>
        <v/>
      </c>
    </row>
    <row r="654">
      <c r="A654" s="11" t="n">
        <v>46209</v>
      </c>
      <c r="B654" s="1" t="n">
        <v>20066</v>
      </c>
      <c r="C654" s="1" t="inlineStr">
        <is>
          <t>058</t>
        </is>
      </c>
      <c r="D654" s="1" t="inlineStr">
        <is>
          <t xml:space="preserve">59926 </t>
        </is>
      </c>
      <c r="E654" s="1" t="inlineStr">
        <is>
          <t xml:space="preserve">31754675       </t>
        </is>
      </c>
      <c r="F654" s="5" t="inlineStr">
        <is>
          <t>INFINITY NADO SERIE 6 STARTER PACK - 4 MODELOS</t>
        </is>
      </c>
      <c r="G654" t="n">
        <v>1</v>
      </c>
      <c r="H654" s="7" t="n">
        <v>69.90000000000001</v>
      </c>
      <c r="I654" s="7" t="n">
        <v>0</v>
      </c>
      <c r="J654" s="7" t="n">
        <v>0</v>
      </c>
      <c r="K654" s="9" t="n">
        <v>0</v>
      </c>
      <c r="L654" s="10" t="n">
        <v>41.47</v>
      </c>
      <c r="M654" s="10" t="n">
        <v>1.43</v>
      </c>
      <c r="N654" t="inlineStr">
        <is>
          <t>1</t>
        </is>
      </c>
      <c r="O654" t="inlineStr">
        <is>
          <t>16</t>
        </is>
      </c>
      <c r="P654" t="inlineStr">
        <is>
          <t xml:space="preserve">43713   </t>
        </is>
      </c>
      <c r="Q654" s="26" t="n">
        <v>41.47</v>
      </c>
      <c r="R654" s="26">
        <f>Q654*G654</f>
        <v/>
      </c>
      <c r="S654" s="26">
        <f>IFERROR(VLOOKUP(E654*1,Tabla[#All],8,0),0)</f>
        <v/>
      </c>
      <c r="T654" s="26">
        <f>S654*G654</f>
        <v/>
      </c>
      <c r="U654" s="26">
        <f>R654-T654</f>
        <v/>
      </c>
      <c r="V654" s="26">
        <f>U654-L654</f>
        <v/>
      </c>
    </row>
    <row r="655">
      <c r="A655" s="11" t="n">
        <v>46209</v>
      </c>
      <c r="B655" s="1" t="n">
        <v>20066</v>
      </c>
      <c r="C655" s="1" t="inlineStr">
        <is>
          <t>065</t>
        </is>
      </c>
      <c r="D655" s="1" t="inlineStr">
        <is>
          <t xml:space="preserve">18677 </t>
        </is>
      </c>
      <c r="E655" s="1" t="inlineStr">
        <is>
          <t xml:space="preserve">28194770       </t>
        </is>
      </c>
      <c r="F655" s="5" t="inlineStr">
        <is>
          <t>AUTOS DE METAL 3 TEAMSTERZ EN BLISTER</t>
        </is>
      </c>
      <c r="G655" t="n">
        <v>1</v>
      </c>
      <c r="H655" s="7" t="n">
        <v>6.9</v>
      </c>
      <c r="I655" s="7" t="n">
        <v>0</v>
      </c>
      <c r="J655" s="7" t="n">
        <v>0</v>
      </c>
      <c r="K655" s="9" t="n">
        <v>0</v>
      </c>
      <c r="L655" s="10" t="n">
        <v>4.1</v>
      </c>
      <c r="M655" s="10" t="n">
        <v>1.43</v>
      </c>
      <c r="N655" t="inlineStr">
        <is>
          <t>1</t>
        </is>
      </c>
      <c r="O655" t="inlineStr">
        <is>
          <t xml:space="preserve">3 </t>
        </is>
      </c>
      <c r="P655" t="inlineStr">
        <is>
          <t xml:space="preserve">43276   </t>
        </is>
      </c>
      <c r="Q655" s="26" t="n">
        <v>4.09</v>
      </c>
      <c r="R655" s="26">
        <f>Q655*G655</f>
        <v/>
      </c>
      <c r="S655" s="26">
        <f>IFERROR(VLOOKUP(E655*1,Tabla[#All],8,0),0)</f>
        <v/>
      </c>
      <c r="T655" s="26">
        <f>S655*G655</f>
        <v/>
      </c>
      <c r="U655" s="26">
        <f>R655-T655</f>
        <v/>
      </c>
      <c r="V655" s="26">
        <f>U655-L655</f>
        <v/>
      </c>
    </row>
    <row r="656">
      <c r="A656" s="11" t="n">
        <v>46209</v>
      </c>
      <c r="B656" s="1" t="n">
        <v>20066</v>
      </c>
      <c r="C656" s="1" t="inlineStr">
        <is>
          <t>065</t>
        </is>
      </c>
      <c r="D656" s="1" t="inlineStr">
        <is>
          <t xml:space="preserve">18677 </t>
        </is>
      </c>
      <c r="E656" s="1" t="inlineStr">
        <is>
          <t xml:space="preserve">28194770       </t>
        </is>
      </c>
      <c r="F656" s="5" t="inlineStr">
        <is>
          <t>AUTOS DE METAL 3 TEAMSTERZ EN BLISTER</t>
        </is>
      </c>
      <c r="G656" t="n">
        <v>1</v>
      </c>
      <c r="H656" s="7" t="n">
        <v>6.9</v>
      </c>
      <c r="I656" s="7" t="n">
        <v>0</v>
      </c>
      <c r="J656" s="7" t="n">
        <v>0</v>
      </c>
      <c r="K656" s="9" t="n">
        <v>0</v>
      </c>
      <c r="L656" s="10" t="n">
        <v>4.1</v>
      </c>
      <c r="M656" s="10" t="n">
        <v>1.43</v>
      </c>
      <c r="N656" t="inlineStr">
        <is>
          <t>1</t>
        </is>
      </c>
      <c r="O656" t="inlineStr">
        <is>
          <t xml:space="preserve">3 </t>
        </is>
      </c>
      <c r="P656" t="inlineStr">
        <is>
          <t xml:space="preserve">43276   </t>
        </is>
      </c>
      <c r="Q656" s="26" t="n">
        <v>4.09</v>
      </c>
      <c r="R656" s="26">
        <f>Q656*G656</f>
        <v/>
      </c>
      <c r="S656" s="26">
        <f>IFERROR(VLOOKUP(E656*1,Tabla[#All],8,0),0)</f>
        <v/>
      </c>
      <c r="T656" s="26">
        <f>S656*G656</f>
        <v/>
      </c>
      <c r="U656" s="26">
        <f>R656-T656</f>
        <v/>
      </c>
      <c r="V656" s="26">
        <f>U656-L656</f>
        <v/>
      </c>
    </row>
    <row r="657">
      <c r="A657" s="11" t="n">
        <v>46209</v>
      </c>
      <c r="B657" s="1" t="n">
        <v>20066</v>
      </c>
      <c r="C657" s="1" t="inlineStr">
        <is>
          <t>507</t>
        </is>
      </c>
      <c r="D657" s="1" t="inlineStr">
        <is>
          <t xml:space="preserve">9129  </t>
        </is>
      </c>
      <c r="E657" s="1" t="inlineStr">
        <is>
          <t xml:space="preserve">28194770       </t>
        </is>
      </c>
      <c r="F657" s="5" t="inlineStr">
        <is>
          <t>AUTOS DE METAL 3 TEAMSTERZ EN BLISTER</t>
        </is>
      </c>
      <c r="G657" t="n">
        <v>1</v>
      </c>
      <c r="H657" s="7" t="n">
        <v>6.9</v>
      </c>
      <c r="I657" s="7" t="n">
        <v>0</v>
      </c>
      <c r="J657" s="7" t="n">
        <v>0</v>
      </c>
      <c r="K657" s="9" t="n">
        <v>0</v>
      </c>
      <c r="L657" s="10" t="n">
        <v>4.1</v>
      </c>
      <c r="M657" s="10" t="n">
        <v>1.43</v>
      </c>
      <c r="N657" t="inlineStr">
        <is>
          <t>1</t>
        </is>
      </c>
      <c r="O657" t="inlineStr">
        <is>
          <t>16</t>
        </is>
      </c>
      <c r="P657" t="inlineStr">
        <is>
          <t xml:space="preserve">247912  </t>
        </is>
      </c>
      <c r="Q657" s="26" t="n">
        <v>4.09</v>
      </c>
      <c r="R657" s="26">
        <f>Q657*G657</f>
        <v/>
      </c>
      <c r="S657" s="26">
        <f>IFERROR(VLOOKUP(E657*1,Tabla[#All],8,0),0)</f>
        <v/>
      </c>
      <c r="T657" s="26">
        <f>S657*G657</f>
        <v/>
      </c>
      <c r="U657" s="26">
        <f>R657-T657</f>
        <v/>
      </c>
      <c r="V657" s="26">
        <f>U657-L657</f>
        <v/>
      </c>
    </row>
    <row r="658">
      <c r="A658" s="11" t="n">
        <v>46209</v>
      </c>
      <c r="B658" s="1" t="n">
        <v>20069</v>
      </c>
      <c r="C658" s="1" t="inlineStr">
        <is>
          <t>026</t>
        </is>
      </c>
      <c r="D658" s="1" t="inlineStr">
        <is>
          <t>358722</t>
        </is>
      </c>
      <c r="E658" s="1" t="inlineStr">
        <is>
          <t xml:space="preserve">28194770       </t>
        </is>
      </c>
      <c r="F658" s="5" t="inlineStr">
        <is>
          <t>AUTOS DE METAL 3 TEAMSTERZ EN BLISTER</t>
        </is>
      </c>
      <c r="G658" t="n">
        <v>1</v>
      </c>
      <c r="H658" s="7" t="n">
        <v>6.9</v>
      </c>
      <c r="I658" s="7" t="n">
        <v>0</v>
      </c>
      <c r="J658" s="7" t="n">
        <v>0</v>
      </c>
      <c r="K658" s="9" t="n">
        <v>0</v>
      </c>
      <c r="L658" s="10" t="n">
        <v>4.1</v>
      </c>
      <c r="M658" s="10" t="n">
        <v>1.43</v>
      </c>
      <c r="N658" t="inlineStr">
        <is>
          <t>1</t>
        </is>
      </c>
      <c r="O658" t="inlineStr">
        <is>
          <t xml:space="preserve">2 </t>
        </is>
      </c>
      <c r="P658" t="inlineStr">
        <is>
          <t xml:space="preserve">249236  </t>
        </is>
      </c>
      <c r="Q658" s="26" t="n">
        <v>4.09</v>
      </c>
      <c r="R658" s="26">
        <f>Q658*G658</f>
        <v/>
      </c>
      <c r="S658" s="26">
        <f>IFERROR(VLOOKUP(E658*1,Tabla[#All],8,0),0)</f>
        <v/>
      </c>
      <c r="T658" s="26">
        <f>S658*G658</f>
        <v/>
      </c>
      <c r="U658" s="26">
        <f>R658-T658</f>
        <v/>
      </c>
      <c r="V658" s="26">
        <f>U658-L658</f>
        <v/>
      </c>
    </row>
    <row r="659">
      <c r="A659" s="11" t="n">
        <v>46209</v>
      </c>
      <c r="B659" s="1" t="n">
        <v>20069</v>
      </c>
      <c r="C659" s="1" t="inlineStr">
        <is>
          <t>026</t>
        </is>
      </c>
      <c r="D659" s="1" t="inlineStr">
        <is>
          <t>358722</t>
        </is>
      </c>
      <c r="E659" s="1" t="inlineStr">
        <is>
          <t xml:space="preserve">28194770       </t>
        </is>
      </c>
      <c r="F659" s="5" t="inlineStr">
        <is>
          <t>AUTOS DE METAL 3 TEAMSTERZ EN BLISTER</t>
        </is>
      </c>
      <c r="G659" t="n">
        <v>1</v>
      </c>
      <c r="H659" s="7" t="n">
        <v>6.9</v>
      </c>
      <c r="I659" s="7" t="n">
        <v>0</v>
      </c>
      <c r="J659" s="7" t="n">
        <v>0</v>
      </c>
      <c r="K659" s="9" t="n">
        <v>0</v>
      </c>
      <c r="L659" s="10" t="n">
        <v>4.1</v>
      </c>
      <c r="M659" s="10" t="n">
        <v>1.43</v>
      </c>
      <c r="N659" t="inlineStr">
        <is>
          <t>1</t>
        </is>
      </c>
      <c r="O659" t="inlineStr">
        <is>
          <t xml:space="preserve">2 </t>
        </is>
      </c>
      <c r="P659" t="inlineStr">
        <is>
          <t xml:space="preserve">249236  </t>
        </is>
      </c>
      <c r="Q659" s="26" t="n">
        <v>4.09</v>
      </c>
      <c r="R659" s="26">
        <f>Q659*G659</f>
        <v/>
      </c>
      <c r="S659" s="26">
        <f>IFERROR(VLOOKUP(E659*1,Tabla[#All],8,0),0)</f>
        <v/>
      </c>
      <c r="T659" s="26">
        <f>S659*G659</f>
        <v/>
      </c>
      <c r="U659" s="26">
        <f>R659-T659</f>
        <v/>
      </c>
      <c r="V659" s="26">
        <f>U659-L659</f>
        <v/>
      </c>
    </row>
    <row r="660">
      <c r="A660" s="11" t="n">
        <v>46209</v>
      </c>
      <c r="B660" s="1" t="n">
        <v>20069</v>
      </c>
      <c r="C660" s="1" t="inlineStr">
        <is>
          <t>026</t>
        </is>
      </c>
      <c r="D660" s="1" t="inlineStr">
        <is>
          <t>358722</t>
        </is>
      </c>
      <c r="E660" s="1" t="inlineStr">
        <is>
          <t xml:space="preserve">28194770       </t>
        </is>
      </c>
      <c r="F660" s="5" t="inlineStr">
        <is>
          <t>AUTOS DE METAL 3 TEAMSTERZ EN BLISTER</t>
        </is>
      </c>
      <c r="G660" t="n">
        <v>1</v>
      </c>
      <c r="H660" s="7" t="n">
        <v>6.9</v>
      </c>
      <c r="I660" s="7" t="n">
        <v>0</v>
      </c>
      <c r="J660" s="7" t="n">
        <v>0</v>
      </c>
      <c r="K660" s="9" t="n">
        <v>0</v>
      </c>
      <c r="L660" s="10" t="n">
        <v>4.1</v>
      </c>
      <c r="M660" s="10" t="n">
        <v>1.43</v>
      </c>
      <c r="N660" t="inlineStr">
        <is>
          <t>1</t>
        </is>
      </c>
      <c r="O660" t="inlineStr">
        <is>
          <t xml:space="preserve">2 </t>
        </is>
      </c>
      <c r="P660" t="inlineStr">
        <is>
          <t xml:space="preserve">249236  </t>
        </is>
      </c>
      <c r="Q660" s="26" t="n">
        <v>4.09</v>
      </c>
      <c r="R660" s="26">
        <f>Q660*G660</f>
        <v/>
      </c>
      <c r="S660" s="26">
        <f>IFERROR(VLOOKUP(E660*1,Tabla[#All],8,0),0)</f>
        <v/>
      </c>
      <c r="T660" s="26">
        <f>S660*G660</f>
        <v/>
      </c>
      <c r="U660" s="26">
        <f>R660-T660</f>
        <v/>
      </c>
      <c r="V660" s="26">
        <f>U660-L660</f>
        <v/>
      </c>
    </row>
    <row r="661">
      <c r="A661" s="11" t="n">
        <v>46209</v>
      </c>
      <c r="B661" s="1" t="n">
        <v>20069</v>
      </c>
      <c r="C661" s="1" t="inlineStr">
        <is>
          <t>026</t>
        </is>
      </c>
      <c r="D661" s="1" t="inlineStr">
        <is>
          <t>358722</t>
        </is>
      </c>
      <c r="E661" s="1" t="inlineStr">
        <is>
          <t xml:space="preserve">28194770       </t>
        </is>
      </c>
      <c r="F661" s="5" t="inlineStr">
        <is>
          <t>AUTOS DE METAL 3 TEAMSTERZ EN BLISTER</t>
        </is>
      </c>
      <c r="G661" t="n">
        <v>1</v>
      </c>
      <c r="H661" s="7" t="n">
        <v>6.9</v>
      </c>
      <c r="I661" s="7" t="n">
        <v>0</v>
      </c>
      <c r="J661" s="7" t="n">
        <v>0</v>
      </c>
      <c r="K661" s="9" t="n">
        <v>0</v>
      </c>
      <c r="L661" s="10" t="n">
        <v>4.1</v>
      </c>
      <c r="M661" s="10" t="n">
        <v>1.43</v>
      </c>
      <c r="N661" t="inlineStr">
        <is>
          <t>1</t>
        </is>
      </c>
      <c r="O661" t="inlineStr">
        <is>
          <t xml:space="preserve">2 </t>
        </is>
      </c>
      <c r="P661" t="inlineStr">
        <is>
          <t xml:space="preserve">249236  </t>
        </is>
      </c>
      <c r="Q661" s="26" t="n">
        <v>4.09</v>
      </c>
      <c r="R661" s="26">
        <f>Q661*G661</f>
        <v/>
      </c>
      <c r="S661" s="26">
        <f>IFERROR(VLOOKUP(E661*1,Tabla[#All],8,0),0)</f>
        <v/>
      </c>
      <c r="T661" s="26">
        <f>S661*G661</f>
        <v/>
      </c>
      <c r="U661" s="26">
        <f>R661-T661</f>
        <v/>
      </c>
      <c r="V661" s="26">
        <f>U661-L661</f>
        <v/>
      </c>
    </row>
    <row r="662">
      <c r="A662" s="11" t="n">
        <v>46209</v>
      </c>
      <c r="B662" s="1" t="n">
        <v>20073</v>
      </c>
      <c r="C662" s="1" t="inlineStr">
        <is>
          <t>022</t>
        </is>
      </c>
      <c r="D662" s="1" t="inlineStr">
        <is>
          <t>293993</t>
        </is>
      </c>
      <c r="E662" s="1" t="inlineStr">
        <is>
          <t xml:space="preserve">28194770       </t>
        </is>
      </c>
      <c r="F662" s="5" t="inlineStr">
        <is>
          <t>AUTOS DE METAL 3 TEAMSTERZ EN BLISTER</t>
        </is>
      </c>
      <c r="G662" t="n">
        <v>1</v>
      </c>
      <c r="H662" s="7" t="n">
        <v>6.9</v>
      </c>
      <c r="I662" s="7" t="n">
        <v>0</v>
      </c>
      <c r="J662" s="7" t="n">
        <v>0</v>
      </c>
      <c r="K662" s="9" t="n">
        <v>0</v>
      </c>
      <c r="L662" s="10" t="n">
        <v>4.1</v>
      </c>
      <c r="M662" s="10" t="n">
        <v>1.43</v>
      </c>
      <c r="N662" t="inlineStr">
        <is>
          <t>1</t>
        </is>
      </c>
      <c r="O662" t="inlineStr">
        <is>
          <t xml:space="preserve">2 </t>
        </is>
      </c>
      <c r="P662" t="inlineStr">
        <is>
          <t xml:space="preserve">73225   </t>
        </is>
      </c>
      <c r="Q662" s="26" t="n">
        <v>4.09</v>
      </c>
      <c r="R662" s="26">
        <f>Q662*G662</f>
        <v/>
      </c>
      <c r="S662" s="26">
        <f>IFERROR(VLOOKUP(E662*1,Tabla[#All],8,0),0)</f>
        <v/>
      </c>
      <c r="T662" s="26">
        <f>S662*G662</f>
        <v/>
      </c>
      <c r="U662" s="26">
        <f>R662-T662</f>
        <v/>
      </c>
      <c r="V662" s="26">
        <f>U662-L662</f>
        <v/>
      </c>
    </row>
    <row r="663">
      <c r="A663" s="11" t="n">
        <v>46209</v>
      </c>
      <c r="B663" s="1" t="n">
        <v>20073</v>
      </c>
      <c r="C663" s="1" t="inlineStr">
        <is>
          <t>045</t>
        </is>
      </c>
      <c r="D663" s="1" t="inlineStr">
        <is>
          <t>149395</t>
        </is>
      </c>
      <c r="E663" s="1" t="inlineStr">
        <is>
          <t xml:space="preserve">28194770       </t>
        </is>
      </c>
      <c r="F663" s="5" t="inlineStr">
        <is>
          <t>AUTOS DE METAL 3 TEAMSTERZ EN BLISTER</t>
        </is>
      </c>
      <c r="G663" t="n">
        <v>1</v>
      </c>
      <c r="H663" s="7" t="n">
        <v>6.9</v>
      </c>
      <c r="I663" s="7" t="n">
        <v>0</v>
      </c>
      <c r="J663" s="7" t="n">
        <v>0</v>
      </c>
      <c r="K663" s="9" t="n">
        <v>0</v>
      </c>
      <c r="L663" s="10" t="n">
        <v>4.1</v>
      </c>
      <c r="M663" s="10" t="n">
        <v>1.43</v>
      </c>
      <c r="N663" t="inlineStr">
        <is>
          <t>1</t>
        </is>
      </c>
      <c r="O663" t="inlineStr">
        <is>
          <t>16</t>
        </is>
      </c>
      <c r="P663" t="inlineStr">
        <is>
          <t xml:space="preserve">57893   </t>
        </is>
      </c>
      <c r="Q663" s="26" t="n">
        <v>4.09</v>
      </c>
      <c r="R663" s="26">
        <f>Q663*G663</f>
        <v/>
      </c>
      <c r="S663" s="26">
        <f>IFERROR(VLOOKUP(E663*1,Tabla[#All],8,0),0)</f>
        <v/>
      </c>
      <c r="T663" s="26">
        <f>S663*G663</f>
        <v/>
      </c>
      <c r="U663" s="26">
        <f>R663-T663</f>
        <v/>
      </c>
      <c r="V663" s="26">
        <f>U663-L663</f>
        <v/>
      </c>
    </row>
    <row r="664">
      <c r="A664" s="11" t="n">
        <v>46209</v>
      </c>
      <c r="B664" s="1" t="n">
        <v>20073</v>
      </c>
      <c r="C664" s="1" t="inlineStr">
        <is>
          <t>046</t>
        </is>
      </c>
      <c r="D664" s="1" t="inlineStr">
        <is>
          <t>207407</t>
        </is>
      </c>
      <c r="E664" s="1" t="inlineStr">
        <is>
          <t xml:space="preserve">31754675       </t>
        </is>
      </c>
      <c r="F664" s="5" t="inlineStr">
        <is>
          <t>INFINITY NADO SERIE 6 STARTER PACK - 4 MODELOS</t>
        </is>
      </c>
      <c r="G664" t="n">
        <v>1</v>
      </c>
      <c r="H664" s="7" t="n">
        <v>69.90000000000001</v>
      </c>
      <c r="I664" s="7" t="n">
        <v>0</v>
      </c>
      <c r="J664" s="7" t="n">
        <v>0</v>
      </c>
      <c r="K664" s="9" t="n">
        <v>0</v>
      </c>
      <c r="L664" s="10" t="n">
        <v>41.47</v>
      </c>
      <c r="M664" s="10" t="n">
        <v>1.43</v>
      </c>
      <c r="N664" t="inlineStr">
        <is>
          <t>1</t>
        </is>
      </c>
      <c r="O664" t="inlineStr">
        <is>
          <t>16</t>
        </is>
      </c>
      <c r="P664" t="inlineStr">
        <is>
          <t xml:space="preserve">250462  </t>
        </is>
      </c>
      <c r="Q664" s="26" t="n">
        <v>41.47</v>
      </c>
      <c r="R664" s="26">
        <f>Q664*G664</f>
        <v/>
      </c>
      <c r="S664" s="26">
        <f>IFERROR(VLOOKUP(E664*1,Tabla[#All],8,0),0)</f>
        <v/>
      </c>
      <c r="T664" s="26">
        <f>S664*G664</f>
        <v/>
      </c>
      <c r="U664" s="26">
        <f>R664-T664</f>
        <v/>
      </c>
      <c r="V664" s="26">
        <f>U664-L664</f>
        <v/>
      </c>
    </row>
    <row r="665">
      <c r="A665" s="11" t="n">
        <v>46209</v>
      </c>
      <c r="B665" s="1" t="n">
        <v>20073</v>
      </c>
      <c r="C665" s="1" t="inlineStr">
        <is>
          <t>046</t>
        </is>
      </c>
      <c r="D665" s="1" t="inlineStr">
        <is>
          <t>207419</t>
        </is>
      </c>
      <c r="E665" s="1" t="inlineStr">
        <is>
          <t xml:space="preserve">31754677       </t>
        </is>
      </c>
      <c r="F665" s="5" t="inlineStr">
        <is>
          <t>INFINITY NADO SERIE 6 SET DE BATALL</t>
        </is>
      </c>
      <c r="G665" t="n">
        <v>1</v>
      </c>
      <c r="H665" s="7" t="n">
        <v>189</v>
      </c>
      <c r="I665" s="7" t="n">
        <v>0</v>
      </c>
      <c r="J665" s="7" t="n">
        <v>0</v>
      </c>
      <c r="K665" s="9" t="n">
        <v>0</v>
      </c>
      <c r="L665" s="10" t="n">
        <v>112.12</v>
      </c>
      <c r="M665" s="10" t="n">
        <v>1.43</v>
      </c>
      <c r="N665" t="inlineStr">
        <is>
          <t>1</t>
        </is>
      </c>
      <c r="O665" t="inlineStr">
        <is>
          <t>16</t>
        </is>
      </c>
      <c r="P665" t="inlineStr">
        <is>
          <t xml:space="preserve">250462  </t>
        </is>
      </c>
      <c r="Q665" s="26" t="n">
        <v>112.12</v>
      </c>
      <c r="R665" s="26">
        <f>Q665*G665</f>
        <v/>
      </c>
      <c r="S665" s="26">
        <f>IFERROR(VLOOKUP(E665*1,Tabla[#All],8,0),0)</f>
        <v/>
      </c>
      <c r="T665" s="26">
        <f>S665*G665</f>
        <v/>
      </c>
      <c r="U665" s="26">
        <f>R665-T665</f>
        <v/>
      </c>
      <c r="V665" s="26">
        <f>U665-L665</f>
        <v/>
      </c>
    </row>
    <row r="666">
      <c r="A666" s="11" t="n">
        <v>46209</v>
      </c>
      <c r="B666" s="1" t="n">
        <v>20073</v>
      </c>
      <c r="C666" s="1" t="inlineStr">
        <is>
          <t>510</t>
        </is>
      </c>
      <c r="D666" s="1" t="inlineStr">
        <is>
          <t xml:space="preserve">7333  </t>
        </is>
      </c>
      <c r="E666" s="1" t="inlineStr">
        <is>
          <t xml:space="preserve">33483121       </t>
        </is>
      </c>
      <c r="F666" s="5" t="inlineStr">
        <is>
          <t>HOT WHEELS ESTUCHE PARA 15 AUTOS SURTIDO</t>
        </is>
      </c>
      <c r="G666" t="n">
        <v>1</v>
      </c>
      <c r="H666" s="7" t="n">
        <v>34.9</v>
      </c>
      <c r="I666" s="7" t="n">
        <v>0</v>
      </c>
      <c r="J666" s="7" t="n">
        <v>0</v>
      </c>
      <c r="K666" s="9" t="n">
        <v>0</v>
      </c>
      <c r="L666" s="10" t="n">
        <v>20.71</v>
      </c>
      <c r="M666" s="10" t="n">
        <v>1.43</v>
      </c>
      <c r="N666" t="inlineStr">
        <is>
          <t>1</t>
        </is>
      </c>
      <c r="O666" t="inlineStr">
        <is>
          <t>16</t>
        </is>
      </c>
      <c r="P666" t="inlineStr">
        <is>
          <t xml:space="preserve">106648  </t>
        </is>
      </c>
      <c r="Q666" s="26" t="n">
        <v>20.7</v>
      </c>
      <c r="R666" s="26">
        <f>Q666*G666</f>
        <v/>
      </c>
      <c r="S666" s="26">
        <f>IFERROR(VLOOKUP(E666*1,Tabla[#All],8,0),0)</f>
        <v/>
      </c>
      <c r="T666" s="26">
        <f>S666*G666</f>
        <v/>
      </c>
      <c r="U666" s="26">
        <f>R666-T666</f>
        <v/>
      </c>
      <c r="V666" s="26">
        <f>U666-L666</f>
        <v/>
      </c>
    </row>
    <row r="667">
      <c r="A667" s="11" t="n">
        <v>46209</v>
      </c>
      <c r="B667" s="1" t="n">
        <v>20077</v>
      </c>
      <c r="C667" s="1" t="inlineStr">
        <is>
          <t>026</t>
        </is>
      </c>
      <c r="D667" s="1" t="inlineStr">
        <is>
          <t>107482</t>
        </is>
      </c>
      <c r="E667" s="1" t="inlineStr">
        <is>
          <t xml:space="preserve">28194770       </t>
        </is>
      </c>
      <c r="F667" s="5" t="inlineStr">
        <is>
          <t>AUTOS DE METAL 3 TEAMSTERZ EN BLISTER</t>
        </is>
      </c>
      <c r="G667" t="n">
        <v>1</v>
      </c>
      <c r="H667" s="7" t="n">
        <v>6.9</v>
      </c>
      <c r="I667" s="7" t="n">
        <v>0</v>
      </c>
      <c r="J667" s="7" t="n">
        <v>0</v>
      </c>
      <c r="K667" s="9" t="n">
        <v>0</v>
      </c>
      <c r="L667" s="10" t="n">
        <v>4.1</v>
      </c>
      <c r="M667" s="10" t="n">
        <v>1.43</v>
      </c>
      <c r="N667" t="inlineStr">
        <is>
          <t>1</t>
        </is>
      </c>
      <c r="O667" t="inlineStr">
        <is>
          <t xml:space="preserve">2 </t>
        </is>
      </c>
      <c r="P667" t="inlineStr">
        <is>
          <t xml:space="preserve">43639   </t>
        </is>
      </c>
      <c r="Q667" s="26" t="n">
        <v>4.09</v>
      </c>
      <c r="R667" s="26">
        <f>Q667*G667</f>
        <v/>
      </c>
      <c r="S667" s="26">
        <f>IFERROR(VLOOKUP(E667*1,Tabla[#All],8,0),0)</f>
        <v/>
      </c>
      <c r="T667" s="26">
        <f>S667*G667</f>
        <v/>
      </c>
      <c r="U667" s="26">
        <f>R667-T667</f>
        <v/>
      </c>
      <c r="V667" s="26">
        <f>U667-L667</f>
        <v/>
      </c>
    </row>
    <row r="668">
      <c r="A668" s="11" t="n">
        <v>46209</v>
      </c>
      <c r="B668" s="1" t="n">
        <v>20077</v>
      </c>
      <c r="C668" s="1" t="inlineStr">
        <is>
          <t>030</t>
        </is>
      </c>
      <c r="D668" s="1" t="inlineStr">
        <is>
          <t xml:space="preserve">1085  </t>
        </is>
      </c>
      <c r="E668" s="1" t="inlineStr">
        <is>
          <t xml:space="preserve">28194765       </t>
        </is>
      </c>
      <c r="F668" s="5" t="inlineStr">
        <is>
          <t>PLAYSET COLOR CHANGE TIBURN TEAMSTERZ  1 AUTITO</t>
        </is>
      </c>
      <c r="G668" t="n">
        <v>1</v>
      </c>
      <c r="H668" s="7" t="n">
        <v>79.90000000000001</v>
      </c>
      <c r="I668" s="7" t="n">
        <v>0</v>
      </c>
      <c r="J668" s="7" t="n">
        <v>0</v>
      </c>
      <c r="K668" s="9" t="n">
        <v>0</v>
      </c>
      <c r="L668" s="10" t="n">
        <v>47.4</v>
      </c>
      <c r="M668" s="10" t="n">
        <v>1.43</v>
      </c>
      <c r="N668" t="inlineStr">
        <is>
          <t>1</t>
        </is>
      </c>
      <c r="O668" t="inlineStr">
        <is>
          <t>16</t>
        </is>
      </c>
      <c r="P668" t="inlineStr">
        <is>
          <t xml:space="preserve">62762   </t>
        </is>
      </c>
      <c r="Q668" s="26" t="n">
        <v>47.4</v>
      </c>
      <c r="R668" s="26">
        <f>Q668*G668</f>
        <v/>
      </c>
      <c r="S668" s="26">
        <f>IFERROR(VLOOKUP(E668*1,Tabla[#All],8,0),0)</f>
        <v/>
      </c>
      <c r="T668" s="26">
        <f>S668*G668</f>
        <v/>
      </c>
      <c r="U668" s="26">
        <f>R668-T668</f>
        <v/>
      </c>
      <c r="V668" s="26">
        <f>U668-L668</f>
        <v/>
      </c>
    </row>
    <row r="669">
      <c r="A669" s="11" t="n">
        <v>46209</v>
      </c>
      <c r="B669" s="1" t="n">
        <v>20077</v>
      </c>
      <c r="C669" s="1" t="inlineStr">
        <is>
          <t>030</t>
        </is>
      </c>
      <c r="D669" s="1" t="inlineStr">
        <is>
          <t xml:space="preserve">40216 </t>
        </is>
      </c>
      <c r="E669" s="1" t="inlineStr">
        <is>
          <t xml:space="preserve">28194770       </t>
        </is>
      </c>
      <c r="F669" s="5" t="inlineStr">
        <is>
          <t>AUTOS DE METAL 3 TEAMSTERZ EN BLISTER</t>
        </is>
      </c>
      <c r="G669" t="n">
        <v>1</v>
      </c>
      <c r="H669" s="7" t="n">
        <v>6.9</v>
      </c>
      <c r="I669" s="7" t="n">
        <v>0</v>
      </c>
      <c r="J669" s="7" t="n">
        <v>0</v>
      </c>
      <c r="K669" s="9" t="n">
        <v>0</v>
      </c>
      <c r="L669" s="10" t="n">
        <v>4.1</v>
      </c>
      <c r="M669" s="10" t="n">
        <v>1.43</v>
      </c>
      <c r="N669" t="inlineStr">
        <is>
          <t>1</t>
        </is>
      </c>
      <c r="O669" t="inlineStr">
        <is>
          <t xml:space="preserve">2 </t>
        </is>
      </c>
      <c r="P669" t="inlineStr">
        <is>
          <t xml:space="preserve">62762   </t>
        </is>
      </c>
      <c r="Q669" s="26" t="n">
        <v>4.09</v>
      </c>
      <c r="R669" s="26">
        <f>Q669*G669</f>
        <v/>
      </c>
      <c r="S669" s="26">
        <f>IFERROR(VLOOKUP(E669*1,Tabla[#All],8,0),0)</f>
        <v/>
      </c>
      <c r="T669" s="26">
        <f>S669*G669</f>
        <v/>
      </c>
      <c r="U669" s="26">
        <f>R669-T669</f>
        <v/>
      </c>
      <c r="V669" s="26">
        <f>U669-L669</f>
        <v/>
      </c>
    </row>
    <row r="670">
      <c r="A670" s="11" t="n">
        <v>46209</v>
      </c>
      <c r="B670" s="1" t="n">
        <v>20077</v>
      </c>
      <c r="C670" s="1" t="inlineStr">
        <is>
          <t>030</t>
        </is>
      </c>
      <c r="D670" s="1" t="inlineStr">
        <is>
          <t xml:space="preserve">40216 </t>
        </is>
      </c>
      <c r="E670" s="1" t="inlineStr">
        <is>
          <t xml:space="preserve">28194770       </t>
        </is>
      </c>
      <c r="F670" s="5" t="inlineStr">
        <is>
          <t>AUTOS DE METAL 3 TEAMSTERZ EN BLISTER</t>
        </is>
      </c>
      <c r="G670" t="n">
        <v>1</v>
      </c>
      <c r="H670" s="7" t="n">
        <v>6.9</v>
      </c>
      <c r="I670" s="7" t="n">
        <v>0</v>
      </c>
      <c r="J670" s="7" t="n">
        <v>0</v>
      </c>
      <c r="K670" s="9" t="n">
        <v>0</v>
      </c>
      <c r="L670" s="10" t="n">
        <v>4.1</v>
      </c>
      <c r="M670" s="10" t="n">
        <v>1.43</v>
      </c>
      <c r="N670" t="inlineStr">
        <is>
          <t>1</t>
        </is>
      </c>
      <c r="O670" t="inlineStr">
        <is>
          <t xml:space="preserve">2 </t>
        </is>
      </c>
      <c r="P670" t="inlineStr">
        <is>
          <t xml:space="preserve">62762   </t>
        </is>
      </c>
      <c r="Q670" s="26" t="n">
        <v>4.09</v>
      </c>
      <c r="R670" s="26">
        <f>Q670*G670</f>
        <v/>
      </c>
      <c r="S670" s="26">
        <f>IFERROR(VLOOKUP(E670*1,Tabla[#All],8,0),0)</f>
        <v/>
      </c>
      <c r="T670" s="26">
        <f>S670*G670</f>
        <v/>
      </c>
      <c r="U670" s="26">
        <f>R670-T670</f>
        <v/>
      </c>
      <c r="V670" s="26">
        <f>U670-L670</f>
        <v/>
      </c>
    </row>
    <row r="671">
      <c r="A671" s="11" t="n">
        <v>46209</v>
      </c>
      <c r="B671" s="1" t="n">
        <v>20077</v>
      </c>
      <c r="C671" s="1" t="inlineStr">
        <is>
          <t>037</t>
        </is>
      </c>
      <c r="D671" s="1" t="inlineStr">
        <is>
          <t xml:space="preserve">61931 </t>
        </is>
      </c>
      <c r="E671" s="1" t="inlineStr">
        <is>
          <t xml:space="preserve">32457099       </t>
        </is>
      </c>
      <c r="F671" s="5" t="inlineStr">
        <is>
          <t>TMZ BEAST MACHINES MONSTER JAWS A FRICCION BLISTER</t>
        </is>
      </c>
      <c r="G671" t="n">
        <v>1</v>
      </c>
      <c r="H671" s="7" t="n">
        <v>19.9</v>
      </c>
      <c r="I671" s="7" t="n">
        <v>0</v>
      </c>
      <c r="J671" s="7" t="n">
        <v>0</v>
      </c>
      <c r="K671" s="9" t="n">
        <v>0</v>
      </c>
      <c r="L671" s="10" t="n">
        <v>11.8</v>
      </c>
      <c r="M671" s="10" t="n">
        <v>1.43</v>
      </c>
      <c r="N671" t="inlineStr">
        <is>
          <t>1</t>
        </is>
      </c>
      <c r="O671" t="inlineStr">
        <is>
          <t xml:space="preserve">3 </t>
        </is>
      </c>
      <c r="P671" t="inlineStr">
        <is>
          <t xml:space="preserve">250382  </t>
        </is>
      </c>
      <c r="Q671" s="26" t="n">
        <v>11.81</v>
      </c>
      <c r="R671" s="26">
        <f>Q671*G671</f>
        <v/>
      </c>
      <c r="S671" s="26">
        <f>IFERROR(VLOOKUP(E671*1,Tabla[#All],8,0),0)</f>
        <v/>
      </c>
      <c r="T671" s="26">
        <f>S671*G671</f>
        <v/>
      </c>
      <c r="U671" s="26">
        <f>R671-T671</f>
        <v/>
      </c>
      <c r="V671" s="26">
        <f>U671-L671</f>
        <v/>
      </c>
    </row>
    <row r="672">
      <c r="A672" s="11" t="n">
        <v>46209</v>
      </c>
      <c r="B672" s="1" t="n">
        <v>20077</v>
      </c>
      <c r="C672" s="1" t="inlineStr">
        <is>
          <t>037</t>
        </is>
      </c>
      <c r="D672" s="1" t="inlineStr">
        <is>
          <t xml:space="preserve">61931 </t>
        </is>
      </c>
      <c r="E672" s="1" t="inlineStr">
        <is>
          <t xml:space="preserve">32457099       </t>
        </is>
      </c>
      <c r="F672" s="5" t="inlineStr">
        <is>
          <t>TMZ BEAST MACHINES MONSTER JAWS A FRICCION BLISTER</t>
        </is>
      </c>
      <c r="G672" t="n">
        <v>1</v>
      </c>
      <c r="H672" s="7" t="n">
        <v>19.9</v>
      </c>
      <c r="I672" s="7" t="n">
        <v>0</v>
      </c>
      <c r="J672" s="7" t="n">
        <v>0</v>
      </c>
      <c r="K672" s="9" t="n">
        <v>0</v>
      </c>
      <c r="L672" s="10" t="n">
        <v>11.8</v>
      </c>
      <c r="M672" s="10" t="n">
        <v>1.43</v>
      </c>
      <c r="N672" t="inlineStr">
        <is>
          <t>1</t>
        </is>
      </c>
      <c r="O672" t="inlineStr">
        <is>
          <t xml:space="preserve">3 </t>
        </is>
      </c>
      <c r="P672" t="inlineStr">
        <is>
          <t xml:space="preserve">250382  </t>
        </is>
      </c>
      <c r="Q672" s="26" t="n">
        <v>11.81</v>
      </c>
      <c r="R672" s="26">
        <f>Q672*G672</f>
        <v/>
      </c>
      <c r="S672" s="26">
        <f>IFERROR(VLOOKUP(E672*1,Tabla[#All],8,0),0)</f>
        <v/>
      </c>
      <c r="T672" s="26">
        <f>S672*G672</f>
        <v/>
      </c>
      <c r="U672" s="26">
        <f>R672-T672</f>
        <v/>
      </c>
      <c r="V672" s="26">
        <f>U672-L672</f>
        <v/>
      </c>
    </row>
    <row r="673">
      <c r="A673" s="11" t="n">
        <v>46209</v>
      </c>
      <c r="B673" s="1" t="n">
        <v>20077</v>
      </c>
      <c r="C673" s="1" t="inlineStr">
        <is>
          <t>037</t>
        </is>
      </c>
      <c r="D673" s="1" t="inlineStr">
        <is>
          <t xml:space="preserve">61931 </t>
        </is>
      </c>
      <c r="E673" s="1" t="inlineStr">
        <is>
          <t xml:space="preserve">32457099       </t>
        </is>
      </c>
      <c r="F673" s="5" t="inlineStr">
        <is>
          <t>TMZ BEAST MACHINES MONSTER JAWS A FRICCION BLISTER</t>
        </is>
      </c>
      <c r="G673" t="n">
        <v>1</v>
      </c>
      <c r="H673" s="7" t="n">
        <v>19.9</v>
      </c>
      <c r="I673" s="7" t="n">
        <v>0</v>
      </c>
      <c r="J673" s="7" t="n">
        <v>0</v>
      </c>
      <c r="K673" s="9" t="n">
        <v>0</v>
      </c>
      <c r="L673" s="10" t="n">
        <v>11.8</v>
      </c>
      <c r="M673" s="10" t="n">
        <v>1.43</v>
      </c>
      <c r="N673" t="inlineStr">
        <is>
          <t>1</t>
        </is>
      </c>
      <c r="O673" t="inlineStr">
        <is>
          <t xml:space="preserve">3 </t>
        </is>
      </c>
      <c r="P673" t="inlineStr">
        <is>
          <t xml:space="preserve">250382  </t>
        </is>
      </c>
      <c r="Q673" s="26" t="n">
        <v>11.81</v>
      </c>
      <c r="R673" s="26">
        <f>Q673*G673</f>
        <v/>
      </c>
      <c r="S673" s="26">
        <f>IFERROR(VLOOKUP(E673*1,Tabla[#All],8,0),0)</f>
        <v/>
      </c>
      <c r="T673" s="26">
        <f>S673*G673</f>
        <v/>
      </c>
      <c r="U673" s="26">
        <f>R673-T673</f>
        <v/>
      </c>
      <c r="V673" s="26">
        <f>U673-L673</f>
        <v/>
      </c>
    </row>
    <row r="674">
      <c r="A674" s="11" t="n">
        <v>46209</v>
      </c>
      <c r="B674" s="1" t="n">
        <v>20077</v>
      </c>
      <c r="C674" s="1" t="inlineStr">
        <is>
          <t>539</t>
        </is>
      </c>
      <c r="D674" s="1" t="inlineStr">
        <is>
          <t xml:space="preserve">3803  </t>
        </is>
      </c>
      <c r="E674" s="1" t="inlineStr">
        <is>
          <t xml:space="preserve">31959957       </t>
        </is>
      </c>
      <c r="F674" s="5" t="inlineStr">
        <is>
          <t>TEAMSTERZ PLAYSET RESCATE EN EL MAR</t>
        </is>
      </c>
      <c r="G674" t="n">
        <v>1</v>
      </c>
      <c r="H674" s="7" t="n">
        <v>19.9</v>
      </c>
      <c r="I674" s="7" t="n">
        <v>0</v>
      </c>
      <c r="J674" s="7" t="n">
        <v>0</v>
      </c>
      <c r="K674" s="9" t="n">
        <v>0</v>
      </c>
      <c r="L674" s="10" t="n">
        <v>11.8</v>
      </c>
      <c r="M674" s="10" t="n">
        <v>1.43</v>
      </c>
      <c r="N674" t="inlineStr">
        <is>
          <t>1</t>
        </is>
      </c>
      <c r="O674" t="inlineStr">
        <is>
          <t>16</t>
        </is>
      </c>
      <c r="P674" t="inlineStr">
        <is>
          <t xml:space="preserve">233797  </t>
        </is>
      </c>
      <c r="Q674" s="26" t="n">
        <v>11.81</v>
      </c>
      <c r="R674" s="26">
        <f>Q674*G674</f>
        <v/>
      </c>
      <c r="S674" s="26">
        <f>IFERROR(VLOOKUP(E674*1,Tabla[#All],8,0),0)</f>
        <v/>
      </c>
      <c r="T674" s="26">
        <f>S674*G674</f>
        <v/>
      </c>
      <c r="U674" s="26">
        <f>R674-T674</f>
        <v/>
      </c>
      <c r="V674" s="26">
        <f>U674-L674</f>
        <v/>
      </c>
    </row>
    <row r="675">
      <c r="A675" s="11" t="n">
        <v>46209</v>
      </c>
      <c r="B675" s="1" t="n">
        <v>20079</v>
      </c>
      <c r="C675" s="1" t="inlineStr">
        <is>
          <t>045</t>
        </is>
      </c>
      <c r="D675" s="1" t="inlineStr">
        <is>
          <t>331701</t>
        </is>
      </c>
      <c r="E675" s="1" t="inlineStr">
        <is>
          <t xml:space="preserve">28194781       </t>
        </is>
      </c>
      <c r="F675" s="5" t="inlineStr">
        <is>
          <t>TROMPO BATALLA INFINITY NADO SERIE V CLASICA SURTI</t>
        </is>
      </c>
      <c r="G675" t="n">
        <v>1</v>
      </c>
      <c r="H675" s="7" t="n">
        <v>59.9</v>
      </c>
      <c r="I675" s="7" t="n">
        <v>0</v>
      </c>
      <c r="J675" s="7" t="n">
        <v>0</v>
      </c>
      <c r="K675" s="9" t="n">
        <v>0</v>
      </c>
      <c r="L675" s="10" t="n">
        <v>35.53</v>
      </c>
      <c r="M675" s="10" t="n">
        <v>1.43</v>
      </c>
      <c r="N675" t="inlineStr">
        <is>
          <t>1</t>
        </is>
      </c>
      <c r="O675" t="inlineStr">
        <is>
          <t xml:space="preserve">2 </t>
        </is>
      </c>
      <c r="P675" t="inlineStr">
        <is>
          <t xml:space="preserve">55412   </t>
        </is>
      </c>
      <c r="Q675" s="26" t="n">
        <v>35.53</v>
      </c>
      <c r="R675" s="26">
        <f>Q675*G675</f>
        <v/>
      </c>
      <c r="S675" s="26">
        <f>IFERROR(VLOOKUP(E675*1,Tabla[#All],8,0),0)</f>
        <v/>
      </c>
      <c r="T675" s="26">
        <f>S675*G675</f>
        <v/>
      </c>
      <c r="U675" s="26">
        <f>R675-T675</f>
        <v/>
      </c>
      <c r="V675" s="26">
        <f>U675-L675</f>
        <v/>
      </c>
    </row>
    <row r="676">
      <c r="A676" s="11" t="n">
        <v>46209</v>
      </c>
      <c r="B676" s="1" t="n">
        <v>20080</v>
      </c>
      <c r="C676" s="1" t="inlineStr">
        <is>
          <t>012</t>
        </is>
      </c>
      <c r="D676" s="1" t="inlineStr">
        <is>
          <t xml:space="preserve">58141 </t>
        </is>
      </c>
      <c r="E676" s="1" t="inlineStr">
        <is>
          <t xml:space="preserve">30141766       </t>
        </is>
      </c>
      <c r="F676" s="5" t="inlineStr">
        <is>
          <t>TMZ BEAST MACHINES AUTOS DE METAL BLISTER X 1</t>
        </is>
      </c>
      <c r="G676" t="n">
        <v>1</v>
      </c>
      <c r="H676" s="7" t="n">
        <v>7.9</v>
      </c>
      <c r="I676" s="7" t="n">
        <v>0</v>
      </c>
      <c r="J676" s="7" t="n">
        <v>0</v>
      </c>
      <c r="K676" s="9" t="n">
        <v>0</v>
      </c>
      <c r="L676" s="10" t="n">
        <v>4.68</v>
      </c>
      <c r="M676" s="10" t="n">
        <v>1.43</v>
      </c>
      <c r="N676" t="inlineStr">
        <is>
          <t>1</t>
        </is>
      </c>
      <c r="O676" t="inlineStr">
        <is>
          <t>16</t>
        </is>
      </c>
      <c r="P676" t="inlineStr">
        <is>
          <t xml:space="preserve">81033   </t>
        </is>
      </c>
      <c r="Q676" s="26" t="n">
        <v>4.69</v>
      </c>
      <c r="R676" s="26">
        <f>Q676*G676</f>
        <v/>
      </c>
      <c r="S676" s="26">
        <f>IFERROR(VLOOKUP(E676*1,Tabla[#All],8,0),0)</f>
        <v/>
      </c>
      <c r="T676" s="26">
        <f>S676*G676</f>
        <v/>
      </c>
      <c r="U676" s="26">
        <f>R676-T676</f>
        <v/>
      </c>
      <c r="V676" s="26">
        <f>U676-L676</f>
        <v/>
      </c>
    </row>
    <row r="677">
      <c r="A677" s="11" t="n">
        <v>46209</v>
      </c>
      <c r="B677" s="1" t="n">
        <v>20080</v>
      </c>
      <c r="C677" s="1" t="inlineStr">
        <is>
          <t>026</t>
        </is>
      </c>
      <c r="D677" s="1" t="inlineStr">
        <is>
          <t>208678</t>
        </is>
      </c>
      <c r="E677" s="1" t="inlineStr">
        <is>
          <t xml:space="preserve">30141767       </t>
        </is>
      </c>
      <c r="F677" s="5" t="inlineStr">
        <is>
          <t>TMZ BEAST MACHINES AUTOS DE METAL PACK 5 AUTOS</t>
        </is>
      </c>
      <c r="G677" t="n">
        <v>1</v>
      </c>
      <c r="H677" s="7" t="n">
        <v>39.5</v>
      </c>
      <c r="I677" s="7" t="n">
        <v>0</v>
      </c>
      <c r="J677" s="7" t="n">
        <v>0</v>
      </c>
      <c r="K677" s="9" t="n">
        <v>0</v>
      </c>
      <c r="L677" s="10" t="n">
        <v>23.43</v>
      </c>
      <c r="M677" s="10" t="n">
        <v>1.43</v>
      </c>
      <c r="N677" t="inlineStr">
        <is>
          <t>1</t>
        </is>
      </c>
      <c r="O677" t="inlineStr">
        <is>
          <t xml:space="preserve">2 </t>
        </is>
      </c>
      <c r="P677" t="inlineStr">
        <is>
          <t xml:space="preserve">251454  </t>
        </is>
      </c>
      <c r="Q677" s="26" t="n">
        <v>23.43</v>
      </c>
      <c r="R677" s="26">
        <f>Q677*G677</f>
        <v/>
      </c>
      <c r="S677" s="26">
        <f>IFERROR(VLOOKUP(E677*1,Tabla[#All],8,0),0)</f>
        <v/>
      </c>
      <c r="T677" s="26">
        <f>S677*G677</f>
        <v/>
      </c>
      <c r="U677" s="26">
        <f>R677-T677</f>
        <v/>
      </c>
      <c r="V677" s="26">
        <f>U677-L677</f>
        <v/>
      </c>
    </row>
    <row r="678">
      <c r="A678" s="11" t="n">
        <v>46209</v>
      </c>
      <c r="B678" s="1" t="n">
        <v>20080</v>
      </c>
      <c r="C678" s="1" t="inlineStr">
        <is>
          <t>029</t>
        </is>
      </c>
      <c r="D678" s="1" t="inlineStr">
        <is>
          <t>224927</t>
        </is>
      </c>
      <c r="E678" s="1" t="inlineStr">
        <is>
          <t xml:space="preserve">32656416       </t>
        </is>
      </c>
      <c r="F678" s="5" t="inlineStr">
        <is>
          <t>EL PISO ES LAVA</t>
        </is>
      </c>
      <c r="G678" t="n">
        <v>1</v>
      </c>
      <c r="H678" s="7" t="n">
        <v>79.90000000000001</v>
      </c>
      <c r="I678" s="7" t="n">
        <v>0</v>
      </c>
      <c r="J678" s="7" t="n">
        <v>0</v>
      </c>
      <c r="K678" s="9" t="n">
        <v>0</v>
      </c>
      <c r="L678" s="10" t="n">
        <v>47.4</v>
      </c>
      <c r="M678" s="10" t="n">
        <v>1.43</v>
      </c>
      <c r="N678" t="inlineStr">
        <is>
          <t>1</t>
        </is>
      </c>
      <c r="O678" t="inlineStr">
        <is>
          <t>16</t>
        </is>
      </c>
      <c r="P678" t="inlineStr">
        <is>
          <t xml:space="preserve">79951   </t>
        </is>
      </c>
      <c r="Q678" s="26" t="n">
        <v>47.4</v>
      </c>
      <c r="R678" s="26">
        <f>Q678*G678</f>
        <v/>
      </c>
      <c r="S678" s="26">
        <f>IFERROR(VLOOKUP(E678*1,Tabla[#All],8,0),0)</f>
        <v/>
      </c>
      <c r="T678" s="26">
        <f>S678*G678</f>
        <v/>
      </c>
      <c r="U678" s="26">
        <f>R678-T678</f>
        <v/>
      </c>
      <c r="V678" s="26">
        <f>U678-L678</f>
        <v/>
      </c>
    </row>
    <row r="679">
      <c r="A679" s="11" t="n">
        <v>46209</v>
      </c>
      <c r="B679" s="1" t="n">
        <v>20086</v>
      </c>
      <c r="C679" s="1" t="inlineStr">
        <is>
          <t>191</t>
        </is>
      </c>
      <c r="D679" s="1" t="inlineStr">
        <is>
          <t>291259</t>
        </is>
      </c>
      <c r="E679" s="1" t="inlineStr">
        <is>
          <t xml:space="preserve">30141768       </t>
        </is>
      </c>
      <c r="F679" s="5" t="inlineStr">
        <is>
          <t>TMZ BEAST MACHINES AUTOS DE METAL PACK 10 AUTOS</t>
        </is>
      </c>
      <c r="G679" t="n">
        <v>1</v>
      </c>
      <c r="H679" s="7" t="n">
        <v>79</v>
      </c>
      <c r="I679" s="7" t="n">
        <v>0</v>
      </c>
      <c r="J679" s="7" t="n">
        <v>0</v>
      </c>
      <c r="K679" s="9" t="n">
        <v>0</v>
      </c>
      <c r="L679" s="10" t="n">
        <v>46.87</v>
      </c>
      <c r="M679" s="10" t="n">
        <v>1.43</v>
      </c>
      <c r="N679" t="inlineStr">
        <is>
          <t>1</t>
        </is>
      </c>
      <c r="O679" t="inlineStr">
        <is>
          <t xml:space="preserve">2 </t>
        </is>
      </c>
      <c r="P679" t="inlineStr">
        <is>
          <t xml:space="preserve">250782  </t>
        </is>
      </c>
      <c r="Q679" s="26" t="n">
        <v>46.86</v>
      </c>
      <c r="R679" s="26">
        <f>Q679*G679</f>
        <v/>
      </c>
      <c r="S679" s="26">
        <f>IFERROR(VLOOKUP(E679*1,Tabla[#All],8,0),0)</f>
        <v/>
      </c>
      <c r="T679" s="26">
        <f>S679*G679</f>
        <v/>
      </c>
      <c r="U679" s="26">
        <f>R679-T679</f>
        <v/>
      </c>
      <c r="V679" s="26">
        <f>U679-L679</f>
        <v/>
      </c>
    </row>
    <row r="680">
      <c r="A680" s="11" t="n">
        <v>46209</v>
      </c>
      <c r="B680" s="1" t="n">
        <v>20086</v>
      </c>
      <c r="C680" s="1" t="inlineStr">
        <is>
          <t>501</t>
        </is>
      </c>
      <c r="D680" s="1" t="inlineStr">
        <is>
          <t xml:space="preserve">4636  </t>
        </is>
      </c>
      <c r="E680" s="1" t="inlineStr">
        <is>
          <t xml:space="preserve">28194770       </t>
        </is>
      </c>
      <c r="F680" s="5" t="inlineStr">
        <is>
          <t>AUTOS DE METAL 3 TEAMSTERZ EN BLISTER</t>
        </is>
      </c>
      <c r="G680" t="n">
        <v>1</v>
      </c>
      <c r="H680" s="7" t="n">
        <v>6.9</v>
      </c>
      <c r="I680" s="7" t="n">
        <v>0</v>
      </c>
      <c r="J680" s="7" t="n">
        <v>0</v>
      </c>
      <c r="K680" s="9" t="n">
        <v>0</v>
      </c>
      <c r="L680" s="10" t="n">
        <v>4.1</v>
      </c>
      <c r="M680" s="10" t="n">
        <v>1.43</v>
      </c>
      <c r="N680" t="inlineStr">
        <is>
          <t>1</t>
        </is>
      </c>
      <c r="O680" t="inlineStr">
        <is>
          <t>16</t>
        </is>
      </c>
      <c r="P680" t="inlineStr">
        <is>
          <t xml:space="preserve">239143  </t>
        </is>
      </c>
      <c r="Q680" s="26" t="n">
        <v>4.09</v>
      </c>
      <c r="R680" s="26">
        <f>Q680*G680</f>
        <v/>
      </c>
      <c r="S680" s="26">
        <f>IFERROR(VLOOKUP(E680*1,Tabla[#All],8,0),0)</f>
        <v/>
      </c>
      <c r="T680" s="26">
        <f>S680*G680</f>
        <v/>
      </c>
      <c r="U680" s="26">
        <f>R680-T680</f>
        <v/>
      </c>
      <c r="V680" s="26">
        <f>U680-L680</f>
        <v/>
      </c>
    </row>
    <row r="681">
      <c r="A681" s="11" t="n">
        <v>46209</v>
      </c>
      <c r="B681" s="1" t="n">
        <v>20088</v>
      </c>
      <c r="C681" s="1" t="inlineStr">
        <is>
          <t>021</t>
        </is>
      </c>
      <c r="D681" s="1" t="inlineStr">
        <is>
          <t xml:space="preserve">48324 </t>
        </is>
      </c>
      <c r="E681" s="1" t="inlineStr">
        <is>
          <t xml:space="preserve">28194780       </t>
        </is>
      </c>
      <c r="F681" s="5" t="inlineStr">
        <is>
          <t>TROMPO BATALLA INFINITY NADO PLSTICO SURTIDO</t>
        </is>
      </c>
      <c r="G681" t="n">
        <v>1</v>
      </c>
      <c r="H681" s="7" t="n">
        <v>19.9</v>
      </c>
      <c r="I681" s="7" t="n">
        <v>0</v>
      </c>
      <c r="J681" s="7" t="n">
        <v>0</v>
      </c>
      <c r="K681" s="9" t="n">
        <v>0</v>
      </c>
      <c r="L681" s="10" t="n">
        <v>11.8</v>
      </c>
      <c r="M681" s="10" t="n">
        <v>1.43</v>
      </c>
      <c r="N681" t="inlineStr">
        <is>
          <t>1</t>
        </is>
      </c>
      <c r="O681" t="inlineStr">
        <is>
          <t>16</t>
        </is>
      </c>
      <c r="P681" t="inlineStr">
        <is>
          <t xml:space="preserve">234665  </t>
        </is>
      </c>
      <c r="Q681" s="26" t="n">
        <v>11.81</v>
      </c>
      <c r="R681" s="26">
        <f>Q681*G681</f>
        <v/>
      </c>
      <c r="S681" s="26">
        <f>IFERROR(VLOOKUP(E681*1,Tabla[#All],8,0),0)</f>
        <v/>
      </c>
      <c r="T681" s="26">
        <f>S681*G681</f>
        <v/>
      </c>
      <c r="U681" s="26">
        <f>R681-T681</f>
        <v/>
      </c>
      <c r="V681" s="26">
        <f>U681-L681</f>
        <v/>
      </c>
    </row>
    <row r="682">
      <c r="A682" s="11" t="n">
        <v>46209</v>
      </c>
      <c r="B682" s="1" t="n">
        <v>20088</v>
      </c>
      <c r="C682" s="1" t="inlineStr">
        <is>
          <t>021</t>
        </is>
      </c>
      <c r="D682" s="1" t="inlineStr">
        <is>
          <t xml:space="preserve">48381 </t>
        </is>
      </c>
      <c r="E682" s="1" t="inlineStr">
        <is>
          <t xml:space="preserve">28194770       </t>
        </is>
      </c>
      <c r="F682" s="5" t="inlineStr">
        <is>
          <t>AUTOS DE METAL 3 TEAMSTERZ EN BLISTER</t>
        </is>
      </c>
      <c r="G682" t="n">
        <v>1</v>
      </c>
      <c r="H682" s="7" t="n">
        <v>6.9</v>
      </c>
      <c r="I682" s="7" t="n">
        <v>0</v>
      </c>
      <c r="J682" s="7" t="n">
        <v>0</v>
      </c>
      <c r="K682" s="9" t="n">
        <v>0</v>
      </c>
      <c r="L682" s="10" t="n">
        <v>4.1</v>
      </c>
      <c r="M682" s="10" t="n">
        <v>1.43</v>
      </c>
      <c r="N682" t="inlineStr">
        <is>
          <t>1</t>
        </is>
      </c>
      <c r="O682" t="inlineStr">
        <is>
          <t>16</t>
        </is>
      </c>
      <c r="P682" t="inlineStr">
        <is>
          <t xml:space="preserve">234665  </t>
        </is>
      </c>
      <c r="Q682" s="26" t="n">
        <v>4.09</v>
      </c>
      <c r="R682" s="26">
        <f>Q682*G682</f>
        <v/>
      </c>
      <c r="S682" s="26">
        <f>IFERROR(VLOOKUP(E682*1,Tabla[#All],8,0),0)</f>
        <v/>
      </c>
      <c r="T682" s="26">
        <f>S682*G682</f>
        <v/>
      </c>
      <c r="U682" s="26">
        <f>R682-T682</f>
        <v/>
      </c>
      <c r="V682" s="26">
        <f>U682-L682</f>
        <v/>
      </c>
    </row>
    <row r="683">
      <c r="A683" s="11" t="n">
        <v>46209</v>
      </c>
      <c r="B683" s="1" t="n">
        <v>20088</v>
      </c>
      <c r="C683" s="1" t="inlineStr">
        <is>
          <t>023</t>
        </is>
      </c>
      <c r="D683" s="1" t="inlineStr">
        <is>
          <t>126581</t>
        </is>
      </c>
      <c r="E683" s="1" t="inlineStr">
        <is>
          <t xml:space="preserve">28194769       </t>
        </is>
      </c>
      <c r="F683" s="5" t="inlineStr">
        <is>
          <t>AUTOS DE METAL 3 TEAMSTERZ PACK DE 2</t>
        </is>
      </c>
      <c r="G683" t="n">
        <v>1</v>
      </c>
      <c r="H683" s="7" t="n">
        <v>13.8</v>
      </c>
      <c r="I683" s="7" t="n">
        <v>0</v>
      </c>
      <c r="J683" s="7" t="n">
        <v>0</v>
      </c>
      <c r="K683" s="9" t="n">
        <v>0</v>
      </c>
      <c r="L683" s="10" t="n">
        <v>8.18</v>
      </c>
      <c r="M683" s="10" t="n">
        <v>1.43</v>
      </c>
      <c r="N683" t="inlineStr">
        <is>
          <t>1</t>
        </is>
      </c>
      <c r="O683" t="inlineStr">
        <is>
          <t>16</t>
        </is>
      </c>
      <c r="P683" t="inlineStr">
        <is>
          <t xml:space="preserve">248960  </t>
        </is>
      </c>
      <c r="Q683" s="26" t="n">
        <v>8.19</v>
      </c>
      <c r="R683" s="26">
        <f>Q683*G683</f>
        <v/>
      </c>
      <c r="S683" s="26">
        <f>IFERROR(VLOOKUP(E683*1,Tabla[#All],8,0),0)</f>
        <v/>
      </c>
      <c r="T683" s="26">
        <f>S683*G683</f>
        <v/>
      </c>
      <c r="U683" s="26">
        <f>R683-T683</f>
        <v/>
      </c>
      <c r="V683" s="26">
        <f>U683-L683</f>
        <v/>
      </c>
    </row>
    <row r="684">
      <c r="A684" s="11" t="n">
        <v>46209</v>
      </c>
      <c r="B684" s="1" t="n">
        <v>20088</v>
      </c>
      <c r="C684" s="1" t="inlineStr">
        <is>
          <t>023</t>
        </is>
      </c>
      <c r="D684" s="1" t="inlineStr">
        <is>
          <t>126616</t>
        </is>
      </c>
      <c r="E684" s="1" t="inlineStr">
        <is>
          <t xml:space="preserve">28194770       </t>
        </is>
      </c>
      <c r="F684" s="5" t="inlineStr">
        <is>
          <t>AUTOS DE METAL 3 TEAMSTERZ EN BLISTER</t>
        </is>
      </c>
      <c r="G684" t="n">
        <v>1</v>
      </c>
      <c r="H684" s="7" t="n">
        <v>6.9</v>
      </c>
      <c r="I684" s="7" t="n">
        <v>0</v>
      </c>
      <c r="J684" s="7" t="n">
        <v>0</v>
      </c>
      <c r="K684" s="9" t="n">
        <v>0</v>
      </c>
      <c r="L684" s="10" t="n">
        <v>4.1</v>
      </c>
      <c r="M684" s="10" t="n">
        <v>1.43</v>
      </c>
      <c r="N684" t="inlineStr">
        <is>
          <t>1</t>
        </is>
      </c>
      <c r="O684" t="inlineStr">
        <is>
          <t xml:space="preserve">2 </t>
        </is>
      </c>
      <c r="P684" t="inlineStr">
        <is>
          <t xml:space="preserve">248960  </t>
        </is>
      </c>
      <c r="Q684" s="26" t="n">
        <v>4.09</v>
      </c>
      <c r="R684" s="26">
        <f>Q684*G684</f>
        <v/>
      </c>
      <c r="S684" s="26">
        <f>IFERROR(VLOOKUP(E684*1,Tabla[#All],8,0),0)</f>
        <v/>
      </c>
      <c r="T684" s="26">
        <f>S684*G684</f>
        <v/>
      </c>
      <c r="U684" s="26">
        <f>R684-T684</f>
        <v/>
      </c>
      <c r="V684" s="26">
        <f>U684-L684</f>
        <v/>
      </c>
    </row>
    <row r="685">
      <c r="A685" s="11" t="n">
        <v>46209</v>
      </c>
      <c r="B685" s="1" t="n">
        <v>20088</v>
      </c>
      <c r="C685" s="1" t="inlineStr">
        <is>
          <t>023</t>
        </is>
      </c>
      <c r="D685" s="1" t="inlineStr">
        <is>
          <t>126616</t>
        </is>
      </c>
      <c r="E685" s="1" t="inlineStr">
        <is>
          <t xml:space="preserve">28194770       </t>
        </is>
      </c>
      <c r="F685" s="5" t="inlineStr">
        <is>
          <t>AUTOS DE METAL 3 TEAMSTERZ EN BLISTER</t>
        </is>
      </c>
      <c r="G685" t="n">
        <v>1</v>
      </c>
      <c r="H685" s="7" t="n">
        <v>6.9</v>
      </c>
      <c r="I685" s="7" t="n">
        <v>0</v>
      </c>
      <c r="J685" s="7" t="n">
        <v>0</v>
      </c>
      <c r="K685" s="9" t="n">
        <v>0</v>
      </c>
      <c r="L685" s="10" t="n">
        <v>4.1</v>
      </c>
      <c r="M685" s="10" t="n">
        <v>1.43</v>
      </c>
      <c r="N685" t="inlineStr">
        <is>
          <t>1</t>
        </is>
      </c>
      <c r="O685" t="inlineStr">
        <is>
          <t xml:space="preserve">2 </t>
        </is>
      </c>
      <c r="P685" t="inlineStr">
        <is>
          <t xml:space="preserve">248960  </t>
        </is>
      </c>
      <c r="Q685" s="26" t="n">
        <v>4.09</v>
      </c>
      <c r="R685" s="26">
        <f>Q685*G685</f>
        <v/>
      </c>
      <c r="S685" s="26">
        <f>IFERROR(VLOOKUP(E685*1,Tabla[#All],8,0),0)</f>
        <v/>
      </c>
      <c r="T685" s="26">
        <f>S685*G685</f>
        <v/>
      </c>
      <c r="U685" s="26">
        <f>R685-T685</f>
        <v/>
      </c>
      <c r="V685" s="26">
        <f>U685-L685</f>
        <v/>
      </c>
    </row>
    <row r="686">
      <c r="A686" s="11" t="n">
        <v>46209</v>
      </c>
      <c r="B686" s="1" t="n">
        <v>20089</v>
      </c>
      <c r="C686" s="1" t="inlineStr">
        <is>
          <t>010</t>
        </is>
      </c>
      <c r="D686" s="1" t="inlineStr">
        <is>
          <t xml:space="preserve">73757 </t>
        </is>
      </c>
      <c r="E686" s="1" t="inlineStr">
        <is>
          <t xml:space="preserve">30141766       </t>
        </is>
      </c>
      <c r="F686" s="5" t="inlineStr">
        <is>
          <t>TMZ BEAST MACHINES AUTOS DE METAL BLISTER X 1</t>
        </is>
      </c>
      <c r="G686" t="n">
        <v>4</v>
      </c>
      <c r="H686" s="7" t="n">
        <v>31.6</v>
      </c>
      <c r="I686" s="7" t="n">
        <v>0</v>
      </c>
      <c r="J686" s="7" t="n">
        <v>0</v>
      </c>
      <c r="K686" s="9" t="n">
        <v>0</v>
      </c>
      <c r="L686" s="10" t="n">
        <v>18.76</v>
      </c>
      <c r="M686" s="10" t="n">
        <v>1.43</v>
      </c>
      <c r="N686" t="inlineStr">
        <is>
          <t>1</t>
        </is>
      </c>
      <c r="O686" t="inlineStr">
        <is>
          <t>16</t>
        </is>
      </c>
      <c r="P686" t="inlineStr">
        <is>
          <t xml:space="preserve">69718   </t>
        </is>
      </c>
      <c r="Q686" s="26" t="n">
        <v>4.69</v>
      </c>
      <c r="R686" s="26">
        <f>Q686*G686</f>
        <v/>
      </c>
      <c r="S686" s="26">
        <f>IFERROR(VLOOKUP(E686*1,Tabla[#All],8,0),0)</f>
        <v/>
      </c>
      <c r="T686" s="26">
        <f>S686*G686</f>
        <v/>
      </c>
      <c r="U686" s="26">
        <f>R686-T686</f>
        <v/>
      </c>
      <c r="V686" s="26">
        <f>U686-L686</f>
        <v/>
      </c>
    </row>
    <row r="687">
      <c r="A687" s="11" t="n">
        <v>46209</v>
      </c>
      <c r="B687" s="1" t="n">
        <v>20089</v>
      </c>
      <c r="C687" s="1" t="inlineStr">
        <is>
          <t>026</t>
        </is>
      </c>
      <c r="D687" s="1" t="inlineStr">
        <is>
          <t xml:space="preserve">87410 </t>
        </is>
      </c>
      <c r="E687" s="1" t="inlineStr">
        <is>
          <t xml:space="preserve">28194770       </t>
        </is>
      </c>
      <c r="F687" s="5" t="inlineStr">
        <is>
          <t>AUTOS DE METAL 3 TEAMSTERZ EN BLISTER</t>
        </is>
      </c>
      <c r="G687" t="n">
        <v>1</v>
      </c>
      <c r="H687" s="7" t="n">
        <v>6.9</v>
      </c>
      <c r="I687" s="7" t="n">
        <v>0</v>
      </c>
      <c r="J687" s="7" t="n">
        <v>0</v>
      </c>
      <c r="K687" s="9" t="n">
        <v>0</v>
      </c>
      <c r="L687" s="10" t="n">
        <v>4.1</v>
      </c>
      <c r="M687" s="10" t="n">
        <v>1.43</v>
      </c>
      <c r="N687" t="inlineStr">
        <is>
          <t>1</t>
        </is>
      </c>
      <c r="O687" t="inlineStr">
        <is>
          <t>16</t>
        </is>
      </c>
      <c r="P687" t="inlineStr">
        <is>
          <t xml:space="preserve">233031  </t>
        </is>
      </c>
      <c r="Q687" s="26" t="n">
        <v>4.09</v>
      </c>
      <c r="R687" s="26">
        <f>Q687*G687</f>
        <v/>
      </c>
      <c r="S687" s="26">
        <f>IFERROR(VLOOKUP(E687*1,Tabla[#All],8,0),0)</f>
        <v/>
      </c>
      <c r="T687" s="26">
        <f>S687*G687</f>
        <v/>
      </c>
      <c r="U687" s="26">
        <f>R687-T687</f>
        <v/>
      </c>
      <c r="V687" s="26">
        <f>U687-L687</f>
        <v/>
      </c>
    </row>
    <row r="688">
      <c r="A688" s="11" t="n">
        <v>46209</v>
      </c>
      <c r="B688" s="1" t="n">
        <v>20089</v>
      </c>
      <c r="C688" s="1" t="inlineStr">
        <is>
          <t>027</t>
        </is>
      </c>
      <c r="D688" s="1" t="inlineStr">
        <is>
          <t xml:space="preserve">15667 </t>
        </is>
      </c>
      <c r="E688" s="1" t="inlineStr">
        <is>
          <t xml:space="preserve">28194765       </t>
        </is>
      </c>
      <c r="F688" s="5" t="inlineStr">
        <is>
          <t>PLAYSET COLOR CHANGE TIBURN TEAMSTERZ  1 AUTITO</t>
        </is>
      </c>
      <c r="G688" t="n">
        <v>1</v>
      </c>
      <c r="H688" s="7" t="n">
        <v>79.90000000000001</v>
      </c>
      <c r="I688" s="7" t="n">
        <v>0</v>
      </c>
      <c r="J688" s="7" t="n">
        <v>0</v>
      </c>
      <c r="K688" s="9" t="n">
        <v>0</v>
      </c>
      <c r="L688" s="10" t="n">
        <v>47.4</v>
      </c>
      <c r="M688" s="10" t="n">
        <v>1.43</v>
      </c>
      <c r="N688" t="inlineStr">
        <is>
          <t>1</t>
        </is>
      </c>
      <c r="O688" t="inlineStr">
        <is>
          <t>16</t>
        </is>
      </c>
      <c r="P688" t="inlineStr">
        <is>
          <t xml:space="preserve">249671  </t>
        </is>
      </c>
      <c r="Q688" s="26" t="n">
        <v>47.4</v>
      </c>
      <c r="R688" s="26">
        <f>Q688*G688</f>
        <v/>
      </c>
      <c r="S688" s="26">
        <f>IFERROR(VLOOKUP(E688*1,Tabla[#All],8,0),0)</f>
        <v/>
      </c>
      <c r="T688" s="26">
        <f>S688*G688</f>
        <v/>
      </c>
      <c r="U688" s="26">
        <f>R688-T688</f>
        <v/>
      </c>
      <c r="V688" s="26">
        <f>U688-L688</f>
        <v/>
      </c>
    </row>
    <row r="689">
      <c r="A689" s="11" t="n">
        <v>46209</v>
      </c>
      <c r="B689" s="1" t="n">
        <v>20089</v>
      </c>
      <c r="C689" s="1" t="inlineStr">
        <is>
          <t>027</t>
        </is>
      </c>
      <c r="D689" s="1" t="inlineStr">
        <is>
          <t xml:space="preserve">15673 </t>
        </is>
      </c>
      <c r="E689" s="1" t="inlineStr">
        <is>
          <t xml:space="preserve">28194770       </t>
        </is>
      </c>
      <c r="F689" s="5" t="inlineStr">
        <is>
          <t>AUTOS DE METAL 3 TEAMSTERZ EN BLISTER</t>
        </is>
      </c>
      <c r="G689" t="n">
        <v>1</v>
      </c>
      <c r="H689" s="7" t="n">
        <v>6.9</v>
      </c>
      <c r="I689" s="7" t="n">
        <v>0</v>
      </c>
      <c r="J689" s="7" t="n">
        <v>0</v>
      </c>
      <c r="K689" s="9" t="n">
        <v>0</v>
      </c>
      <c r="L689" s="10" t="n">
        <v>4.1</v>
      </c>
      <c r="M689" s="10" t="n">
        <v>1.43</v>
      </c>
      <c r="N689" t="inlineStr">
        <is>
          <t>1</t>
        </is>
      </c>
      <c r="O689" t="inlineStr">
        <is>
          <t>16</t>
        </is>
      </c>
      <c r="P689" t="inlineStr">
        <is>
          <t xml:space="preserve">249671  </t>
        </is>
      </c>
      <c r="Q689" s="26" t="n">
        <v>4.09</v>
      </c>
      <c r="R689" s="26">
        <f>Q689*G689</f>
        <v/>
      </c>
      <c r="S689" s="26">
        <f>IFERROR(VLOOKUP(E689*1,Tabla[#All],8,0),0)</f>
        <v/>
      </c>
      <c r="T689" s="26">
        <f>S689*G689</f>
        <v/>
      </c>
      <c r="U689" s="26">
        <f>R689-T689</f>
        <v/>
      </c>
      <c r="V689" s="26">
        <f>U689-L689</f>
        <v/>
      </c>
    </row>
    <row r="690">
      <c r="A690" s="11" t="n">
        <v>46209</v>
      </c>
      <c r="B690" s="1" t="n">
        <v>20089</v>
      </c>
      <c r="C690" s="1" t="inlineStr">
        <is>
          <t>860</t>
        </is>
      </c>
      <c r="D690" s="1" t="inlineStr">
        <is>
          <t xml:space="preserve">9379  </t>
        </is>
      </c>
      <c r="E690" s="1" t="inlineStr">
        <is>
          <t xml:space="preserve">34840550       </t>
        </is>
      </c>
      <c r="F690" s="5" t="inlineStr">
        <is>
          <t>TEAMSTERZ M/MOVERZ TRANSPORTA GORILA</t>
        </is>
      </c>
      <c r="G690" t="n">
        <v>1</v>
      </c>
      <c r="H690" s="7" t="n">
        <v>129</v>
      </c>
      <c r="I690" s="7" t="n">
        <v>0</v>
      </c>
      <c r="J690" s="7" t="n">
        <v>0</v>
      </c>
      <c r="K690" s="9" t="n">
        <v>0</v>
      </c>
      <c r="L690" s="10" t="n">
        <v>76.52</v>
      </c>
      <c r="M690" s="10" t="n">
        <v>1.43</v>
      </c>
      <c r="N690" t="inlineStr">
        <is>
          <t>1</t>
        </is>
      </c>
      <c r="O690" t="inlineStr">
        <is>
          <t>16</t>
        </is>
      </c>
      <c r="P690" t="inlineStr">
        <is>
          <t xml:space="preserve">0       </t>
        </is>
      </c>
      <c r="Q690" s="26" t="n">
        <v>76.53</v>
      </c>
      <c r="R690" s="26">
        <f>Q690*G690</f>
        <v/>
      </c>
      <c r="S690" s="26">
        <f>IFERROR(VLOOKUP(E690*1,Tabla[#All],8,0),0)</f>
        <v/>
      </c>
      <c r="T690" s="26">
        <f>S690*G690</f>
        <v/>
      </c>
      <c r="U690" s="26">
        <f>R690-T690</f>
        <v/>
      </c>
      <c r="V690" s="26">
        <f>U690-L690</f>
        <v/>
      </c>
    </row>
    <row r="691">
      <c r="A691" s="11" t="n">
        <v>46209</v>
      </c>
      <c r="B691" s="1" t="n">
        <v>20095</v>
      </c>
      <c r="C691" s="1" t="inlineStr">
        <is>
          <t>043</t>
        </is>
      </c>
      <c r="D691" s="1" t="inlineStr">
        <is>
          <t>107488</t>
        </is>
      </c>
      <c r="E691" s="1" t="inlineStr">
        <is>
          <t xml:space="preserve">28194770       </t>
        </is>
      </c>
      <c r="F691" s="5" t="inlineStr">
        <is>
          <t>AUTOS DE METAL 3 TEAMSTERZ EN BLISTER</t>
        </is>
      </c>
      <c r="G691" t="n">
        <v>1</v>
      </c>
      <c r="H691" s="7" t="n">
        <v>6.9</v>
      </c>
      <c r="I691" s="7" t="n">
        <v>0</v>
      </c>
      <c r="J691" s="7" t="n">
        <v>0</v>
      </c>
      <c r="K691" s="9" t="n">
        <v>0</v>
      </c>
      <c r="L691" s="10" t="n">
        <v>4.1</v>
      </c>
      <c r="M691" s="10" t="n">
        <v>1.43</v>
      </c>
      <c r="N691" t="inlineStr">
        <is>
          <t>1</t>
        </is>
      </c>
      <c r="O691" t="inlineStr">
        <is>
          <t xml:space="preserve">3 </t>
        </is>
      </c>
      <c r="P691" t="inlineStr">
        <is>
          <t xml:space="preserve">57866   </t>
        </is>
      </c>
      <c r="Q691" s="26" t="n">
        <v>4.09</v>
      </c>
      <c r="R691" s="26">
        <f>Q691*G691</f>
        <v/>
      </c>
      <c r="S691" s="26">
        <f>IFERROR(VLOOKUP(E691*1,Tabla[#All],8,0),0)</f>
        <v/>
      </c>
      <c r="T691" s="26">
        <f>S691*G691</f>
        <v/>
      </c>
      <c r="U691" s="26">
        <f>R691-T691</f>
        <v/>
      </c>
      <c r="V691" s="26">
        <f>U691-L691</f>
        <v/>
      </c>
    </row>
    <row r="692">
      <c r="A692" s="11" t="n">
        <v>46209</v>
      </c>
      <c r="B692" s="1" t="n">
        <v>20095</v>
      </c>
      <c r="C692" s="1" t="inlineStr">
        <is>
          <t>044</t>
        </is>
      </c>
      <c r="D692" s="1" t="inlineStr">
        <is>
          <t xml:space="preserve">93015 </t>
        </is>
      </c>
      <c r="E692" s="1" t="inlineStr">
        <is>
          <t xml:space="preserve">28194769       </t>
        </is>
      </c>
      <c r="F692" s="5" t="inlineStr">
        <is>
          <t>AUTOS DE METAL 3 TEAMSTERZ PACK DE 2</t>
        </is>
      </c>
      <c r="G692" t="n">
        <v>1</v>
      </c>
      <c r="H692" s="7" t="n">
        <v>13.8</v>
      </c>
      <c r="I692" s="7" t="n">
        <v>0</v>
      </c>
      <c r="J692" s="7" t="n">
        <v>0</v>
      </c>
      <c r="K692" s="9" t="n">
        <v>0</v>
      </c>
      <c r="L692" s="10" t="n">
        <v>8.18</v>
      </c>
      <c r="M692" s="10" t="n">
        <v>1.43</v>
      </c>
      <c r="N692" t="inlineStr">
        <is>
          <t>1</t>
        </is>
      </c>
      <c r="O692" t="inlineStr">
        <is>
          <t>16</t>
        </is>
      </c>
      <c r="P692" t="inlineStr">
        <is>
          <t xml:space="preserve">248421  </t>
        </is>
      </c>
      <c r="Q692" s="26" t="n">
        <v>8.19</v>
      </c>
      <c r="R692" s="26">
        <f>Q692*G692</f>
        <v/>
      </c>
      <c r="S692" s="26">
        <f>IFERROR(VLOOKUP(E692*1,Tabla[#All],8,0),0)</f>
        <v/>
      </c>
      <c r="T692" s="26">
        <f>S692*G692</f>
        <v/>
      </c>
      <c r="U692" s="26">
        <f>R692-T692</f>
        <v/>
      </c>
      <c r="V692" s="26">
        <f>U692-L692</f>
        <v/>
      </c>
    </row>
    <row r="693">
      <c r="A693" s="11" t="n">
        <v>46209</v>
      </c>
      <c r="B693" s="1" t="n">
        <v>20095</v>
      </c>
      <c r="C693" s="1" t="inlineStr">
        <is>
          <t>044</t>
        </is>
      </c>
      <c r="D693" s="1" t="inlineStr">
        <is>
          <t xml:space="preserve">93062 </t>
        </is>
      </c>
      <c r="E693" s="1" t="inlineStr">
        <is>
          <t xml:space="preserve">28194781       </t>
        </is>
      </c>
      <c r="F693" s="5" t="inlineStr">
        <is>
          <t>TROMPO BATALLA INFINITY NADO SERIE V CLASICA SURTI</t>
        </is>
      </c>
      <c r="G693" t="n">
        <v>1</v>
      </c>
      <c r="H693" s="7" t="n">
        <v>59.9</v>
      </c>
      <c r="I693" s="7" t="n">
        <v>0</v>
      </c>
      <c r="J693" s="7" t="n">
        <v>0</v>
      </c>
      <c r="K693" s="9" t="n">
        <v>0</v>
      </c>
      <c r="L693" s="10" t="n">
        <v>35.53</v>
      </c>
      <c r="M693" s="10" t="n">
        <v>1.43</v>
      </c>
      <c r="N693" t="inlineStr">
        <is>
          <t>1</t>
        </is>
      </c>
      <c r="O693" t="inlineStr">
        <is>
          <t>16</t>
        </is>
      </c>
      <c r="P693" t="inlineStr">
        <is>
          <t xml:space="preserve">248421  </t>
        </is>
      </c>
      <c r="Q693" s="26" t="n">
        <v>35.53</v>
      </c>
      <c r="R693" s="26">
        <f>Q693*G693</f>
        <v/>
      </c>
      <c r="S693" s="26">
        <f>IFERROR(VLOOKUP(E693*1,Tabla[#All],8,0),0)</f>
        <v/>
      </c>
      <c r="T693" s="26">
        <f>S693*G693</f>
        <v/>
      </c>
      <c r="U693" s="26">
        <f>R693-T693</f>
        <v/>
      </c>
      <c r="V693" s="26">
        <f>U693-L693</f>
        <v/>
      </c>
    </row>
    <row r="694">
      <c r="A694" s="11" t="n">
        <v>46210</v>
      </c>
      <c r="B694" s="1" t="n">
        <v>20021</v>
      </c>
      <c r="C694" s="1" t="inlineStr">
        <is>
          <t>055</t>
        </is>
      </c>
      <c r="D694" s="1" t="inlineStr">
        <is>
          <t>154407</t>
        </is>
      </c>
      <c r="E694" s="1" t="inlineStr">
        <is>
          <t xml:space="preserve">28194767       </t>
        </is>
      </c>
      <c r="F694" s="5" t="inlineStr">
        <is>
          <t>CAMIONES TEAMSTERZ DE EMERGENCIA</t>
        </is>
      </c>
      <c r="G694" t="n">
        <v>1</v>
      </c>
      <c r="H694" s="7" t="n">
        <v>17.9</v>
      </c>
      <c r="I694" s="7" t="n">
        <v>0</v>
      </c>
      <c r="J694" s="7" t="n">
        <v>0</v>
      </c>
      <c r="K694" s="9" t="n">
        <v>0</v>
      </c>
      <c r="L694" s="10" t="n">
        <v>10.62</v>
      </c>
      <c r="M694" s="10" t="n">
        <v>1.43</v>
      </c>
      <c r="N694" t="inlineStr">
        <is>
          <t>1</t>
        </is>
      </c>
      <c r="O694" t="inlineStr">
        <is>
          <t>16</t>
        </is>
      </c>
      <c r="P694" t="inlineStr">
        <is>
          <t xml:space="preserve">36042   </t>
        </is>
      </c>
      <c r="Q694" s="26" t="n">
        <v>10.62</v>
      </c>
      <c r="R694" s="26">
        <f>Q694*G694</f>
        <v/>
      </c>
      <c r="S694" s="26">
        <f>IFERROR(VLOOKUP(E694*1,Tabla[#All],8,0),0)</f>
        <v/>
      </c>
      <c r="T694" s="26">
        <f>S694*G694</f>
        <v/>
      </c>
      <c r="U694" s="26">
        <f>R694-T694</f>
        <v/>
      </c>
      <c r="V694" s="26">
        <f>U694-L694</f>
        <v/>
      </c>
    </row>
    <row r="695">
      <c r="A695" s="11" t="n">
        <v>46210</v>
      </c>
      <c r="B695" s="1" t="n">
        <v>20021</v>
      </c>
      <c r="C695" s="1" t="inlineStr">
        <is>
          <t>063</t>
        </is>
      </c>
      <c r="D695" s="1" t="inlineStr">
        <is>
          <t>153014</t>
        </is>
      </c>
      <c r="E695" s="1" t="inlineStr">
        <is>
          <t xml:space="preserve">33661538       </t>
        </is>
      </c>
      <c r="F695" s="5" t="inlineStr">
        <is>
          <t>HOT WHEELS CASE GARAGE RUEDA METAL EN LLAMAS X 29</t>
        </is>
      </c>
      <c r="G695" t="n">
        <v>1</v>
      </c>
      <c r="H695" s="7" t="n">
        <v>69.90000000000001</v>
      </c>
      <c r="I695" s="7" t="n">
        <v>0</v>
      </c>
      <c r="J695" s="7" t="n">
        <v>0</v>
      </c>
      <c r="K695" s="9" t="n">
        <v>0</v>
      </c>
      <c r="L695" s="10" t="n">
        <v>41.47</v>
      </c>
      <c r="M695" s="10" t="n">
        <v>1.43</v>
      </c>
      <c r="N695" t="inlineStr">
        <is>
          <t>1</t>
        </is>
      </c>
      <c r="O695" t="inlineStr">
        <is>
          <t>16</t>
        </is>
      </c>
      <c r="P695" t="inlineStr">
        <is>
          <t xml:space="preserve">32209   </t>
        </is>
      </c>
      <c r="Q695" s="26" t="n">
        <v>41.47</v>
      </c>
      <c r="R695" s="26">
        <f>Q695*G695</f>
        <v/>
      </c>
      <c r="S695" s="26">
        <f>IFERROR(VLOOKUP(E695*1,Tabla[#All],8,0),0)</f>
        <v/>
      </c>
      <c r="T695" s="26">
        <f>S695*G695</f>
        <v/>
      </c>
      <c r="U695" s="26">
        <f>R695-T695</f>
        <v/>
      </c>
      <c r="V695" s="26">
        <f>U695-L695</f>
        <v/>
      </c>
    </row>
    <row r="696">
      <c r="A696" s="11" t="n">
        <v>46210</v>
      </c>
      <c r="B696" s="1" t="n">
        <v>20021</v>
      </c>
      <c r="C696" s="1" t="inlineStr">
        <is>
          <t>069</t>
        </is>
      </c>
      <c r="D696" s="1" t="inlineStr">
        <is>
          <t>129224</t>
        </is>
      </c>
      <c r="E696" s="1" t="inlineStr">
        <is>
          <t xml:space="preserve">28194768       </t>
        </is>
      </c>
      <c r="F696" s="5" t="inlineStr">
        <is>
          <t>AUTO COLOR CHANGE TEAMSTERZ SURTIDO</t>
        </is>
      </c>
      <c r="G696" t="n">
        <v>1</v>
      </c>
      <c r="H696" s="7" t="n">
        <v>14.9</v>
      </c>
      <c r="I696" s="7" t="n">
        <v>0</v>
      </c>
      <c r="J696" s="7" t="n">
        <v>0</v>
      </c>
      <c r="K696" s="9" t="n">
        <v>0</v>
      </c>
      <c r="L696" s="10" t="n">
        <v>8.84</v>
      </c>
      <c r="M696" s="10" t="n">
        <v>1.43</v>
      </c>
      <c r="N696" t="inlineStr">
        <is>
          <t>1</t>
        </is>
      </c>
      <c r="O696" t="inlineStr">
        <is>
          <t xml:space="preserve">2 </t>
        </is>
      </c>
      <c r="P696" t="inlineStr">
        <is>
          <t xml:space="preserve">235838  </t>
        </is>
      </c>
      <c r="Q696" s="26" t="n">
        <v>8.84</v>
      </c>
      <c r="R696" s="26">
        <f>Q696*G696</f>
        <v/>
      </c>
      <c r="S696" s="26">
        <f>IFERROR(VLOOKUP(E696*1,Tabla[#All],8,0),0)</f>
        <v/>
      </c>
      <c r="T696" s="26">
        <f>S696*G696</f>
        <v/>
      </c>
      <c r="U696" s="26">
        <f>R696-T696</f>
        <v/>
      </c>
      <c r="V696" s="26">
        <f>U696-L696</f>
        <v/>
      </c>
    </row>
    <row r="697">
      <c r="A697" s="11" t="n">
        <v>46210</v>
      </c>
      <c r="B697" s="1" t="n">
        <v>20021</v>
      </c>
      <c r="C697" s="1" t="inlineStr">
        <is>
          <t>069</t>
        </is>
      </c>
      <c r="D697" s="1" t="inlineStr">
        <is>
          <t>129224</t>
        </is>
      </c>
      <c r="E697" s="1" t="inlineStr">
        <is>
          <t xml:space="preserve">35685067       </t>
        </is>
      </c>
      <c r="F697" s="5" t="inlineStr">
        <is>
          <t>HOT WHEELS POWER SET 3 EN 1</t>
        </is>
      </c>
      <c r="G697" t="n">
        <v>1</v>
      </c>
      <c r="H697" s="7" t="n">
        <v>49.9</v>
      </c>
      <c r="I697" s="7" t="n">
        <v>0</v>
      </c>
      <c r="J697" s="7" t="n">
        <v>0</v>
      </c>
      <c r="K697" s="9" t="n">
        <v>0</v>
      </c>
      <c r="L697" s="10" t="n">
        <v>29.6</v>
      </c>
      <c r="M697" s="10" t="n">
        <v>1.43</v>
      </c>
      <c r="N697" t="inlineStr">
        <is>
          <t>1</t>
        </is>
      </c>
      <c r="O697" t="inlineStr">
        <is>
          <t xml:space="preserve">2 </t>
        </is>
      </c>
      <c r="P697" t="inlineStr">
        <is>
          <t xml:space="preserve">235838  </t>
        </is>
      </c>
      <c r="Q697" s="26" t="n">
        <v>29.6</v>
      </c>
      <c r="R697" s="26">
        <f>Q697*G697</f>
        <v/>
      </c>
      <c r="S697" s="26">
        <f>IFERROR(VLOOKUP(E697*1,Tabla[#All],8,0),0)</f>
        <v/>
      </c>
      <c r="T697" s="26">
        <f>S697*G697</f>
        <v/>
      </c>
      <c r="U697" s="26">
        <f>R697-T697</f>
        <v/>
      </c>
      <c r="V697" s="26">
        <f>U697-L697</f>
        <v/>
      </c>
    </row>
    <row r="698">
      <c r="A698" s="11" t="n">
        <v>46210</v>
      </c>
      <c r="B698" s="1" t="n">
        <v>20021</v>
      </c>
      <c r="C698" s="1" t="inlineStr">
        <is>
          <t>080</t>
        </is>
      </c>
      <c r="D698" s="1" t="inlineStr">
        <is>
          <t>309422</t>
        </is>
      </c>
      <c r="E698" s="1" t="inlineStr">
        <is>
          <t xml:space="preserve">30232281       </t>
        </is>
      </c>
      <c r="F698" s="5" t="inlineStr">
        <is>
          <t>ANTON EL CERDITO COMELON</t>
        </is>
      </c>
      <c r="G698" t="n">
        <v>1</v>
      </c>
      <c r="H698" s="7" t="n">
        <v>129</v>
      </c>
      <c r="I698" s="7" t="n">
        <v>0</v>
      </c>
      <c r="J698" s="7" t="n">
        <v>0</v>
      </c>
      <c r="K698" s="9" t="n">
        <v>0</v>
      </c>
      <c r="L698" s="10" t="n">
        <v>76.52</v>
      </c>
      <c r="M698" s="10" t="n">
        <v>1.43</v>
      </c>
      <c r="N698" t="inlineStr">
        <is>
          <t>1</t>
        </is>
      </c>
      <c r="O698" t="inlineStr">
        <is>
          <t xml:space="preserve">3 </t>
        </is>
      </c>
      <c r="P698" t="inlineStr">
        <is>
          <t xml:space="preserve">250202  </t>
        </is>
      </c>
      <c r="Q698" s="26" t="n">
        <v>76.53</v>
      </c>
      <c r="R698" s="26">
        <f>Q698*G698</f>
        <v/>
      </c>
      <c r="S698" s="26">
        <f>IFERROR(VLOOKUP(E698*1,Tabla[#All],8,0),0)</f>
        <v/>
      </c>
      <c r="T698" s="26">
        <f>S698*G698</f>
        <v/>
      </c>
      <c r="U698" s="26">
        <f>R698-T698</f>
        <v/>
      </c>
      <c r="V698" s="26">
        <f>U698-L698</f>
        <v/>
      </c>
    </row>
    <row r="699">
      <c r="A699" s="11" t="n">
        <v>46210</v>
      </c>
      <c r="B699" s="1" t="n">
        <v>20027</v>
      </c>
      <c r="C699" s="1" t="inlineStr">
        <is>
          <t>043</t>
        </is>
      </c>
      <c r="D699" s="1" t="inlineStr">
        <is>
          <t>201608</t>
        </is>
      </c>
      <c r="E699" s="1" t="inlineStr">
        <is>
          <t xml:space="preserve">28194769       </t>
        </is>
      </c>
      <c r="F699" s="5" t="inlineStr">
        <is>
          <t>AUTOS DE METAL 3 TEAMSTERZ PACK DE 2</t>
        </is>
      </c>
      <c r="G699" t="n">
        <v>1</v>
      </c>
      <c r="H699" s="7" t="n">
        <v>13.8</v>
      </c>
      <c r="I699" s="7" t="n">
        <v>0</v>
      </c>
      <c r="J699" s="7" t="n">
        <v>0</v>
      </c>
      <c r="K699" s="9" t="n">
        <v>0</v>
      </c>
      <c r="L699" s="10" t="n">
        <v>8.18</v>
      </c>
      <c r="M699" s="10" t="n">
        <v>1.43</v>
      </c>
      <c r="N699" t="inlineStr">
        <is>
          <t>1</t>
        </is>
      </c>
      <c r="O699" t="inlineStr">
        <is>
          <t>16</t>
        </is>
      </c>
      <c r="P699" t="inlineStr">
        <is>
          <t xml:space="preserve">65829   </t>
        </is>
      </c>
      <c r="Q699" s="26" t="n">
        <v>8.19</v>
      </c>
      <c r="R699" s="26">
        <f>Q699*G699</f>
        <v/>
      </c>
      <c r="S699" s="26">
        <f>IFERROR(VLOOKUP(E699*1,Tabla[#All],8,0),0)</f>
        <v/>
      </c>
      <c r="T699" s="26">
        <f>S699*G699</f>
        <v/>
      </c>
      <c r="U699" s="26">
        <f>R699-T699</f>
        <v/>
      </c>
      <c r="V699" s="26">
        <f>U699-L699</f>
        <v/>
      </c>
    </row>
    <row r="700">
      <c r="A700" s="11" t="n">
        <v>46210</v>
      </c>
      <c r="B700" s="1" t="n">
        <v>20027</v>
      </c>
      <c r="C700" s="1" t="inlineStr">
        <is>
          <t>064</t>
        </is>
      </c>
      <c r="D700" s="1" t="inlineStr">
        <is>
          <t xml:space="preserve">31569 </t>
        </is>
      </c>
      <c r="E700" s="1" t="inlineStr">
        <is>
          <t xml:space="preserve">28194770       </t>
        </is>
      </c>
      <c r="F700" s="5" t="inlineStr">
        <is>
          <t>AUTOS DE METAL 3 TEAMSTERZ EN BLISTER</t>
        </is>
      </c>
      <c r="G700" t="n">
        <v>1</v>
      </c>
      <c r="H700" s="7" t="n">
        <v>6.9</v>
      </c>
      <c r="I700" s="7" t="n">
        <v>0</v>
      </c>
      <c r="J700" s="7" t="n">
        <v>0</v>
      </c>
      <c r="K700" s="9" t="n">
        <v>0</v>
      </c>
      <c r="L700" s="10" t="n">
        <v>4.1</v>
      </c>
      <c r="M700" s="10" t="n">
        <v>1.43</v>
      </c>
      <c r="N700" t="inlineStr">
        <is>
          <t>1</t>
        </is>
      </c>
      <c r="O700" t="inlineStr">
        <is>
          <t>16</t>
        </is>
      </c>
      <c r="P700" t="inlineStr">
        <is>
          <t xml:space="preserve">38978   </t>
        </is>
      </c>
      <c r="Q700" s="26" t="n">
        <v>4.09</v>
      </c>
      <c r="R700" s="26">
        <f>Q700*G700</f>
        <v/>
      </c>
      <c r="S700" s="26">
        <f>IFERROR(VLOOKUP(E700*1,Tabla[#All],8,0),0)</f>
        <v/>
      </c>
      <c r="T700" s="26">
        <f>S700*G700</f>
        <v/>
      </c>
      <c r="U700" s="26">
        <f>R700-T700</f>
        <v/>
      </c>
      <c r="V700" s="26">
        <f>U700-L700</f>
        <v/>
      </c>
    </row>
    <row r="701">
      <c r="A701" s="11" t="n">
        <v>46210</v>
      </c>
      <c r="B701" s="1" t="n">
        <v>20027</v>
      </c>
      <c r="C701" s="1" t="inlineStr">
        <is>
          <t>064</t>
        </is>
      </c>
      <c r="D701" s="1" t="inlineStr">
        <is>
          <t xml:space="preserve">31569 </t>
        </is>
      </c>
      <c r="E701" s="1" t="inlineStr">
        <is>
          <t xml:space="preserve">28194770       </t>
        </is>
      </c>
      <c r="F701" s="5" t="inlineStr">
        <is>
          <t>AUTOS DE METAL 3 TEAMSTERZ EN BLISTER</t>
        </is>
      </c>
      <c r="G701" t="n">
        <v>1</v>
      </c>
      <c r="H701" s="7" t="n">
        <v>6.9</v>
      </c>
      <c r="I701" s="7" t="n">
        <v>0</v>
      </c>
      <c r="J701" s="7" t="n">
        <v>0</v>
      </c>
      <c r="K701" s="9" t="n">
        <v>0</v>
      </c>
      <c r="L701" s="10" t="n">
        <v>4.1</v>
      </c>
      <c r="M701" s="10" t="n">
        <v>1.43</v>
      </c>
      <c r="N701" t="inlineStr">
        <is>
          <t>1</t>
        </is>
      </c>
      <c r="O701" t="inlineStr">
        <is>
          <t>16</t>
        </is>
      </c>
      <c r="P701" t="inlineStr">
        <is>
          <t xml:space="preserve">38978   </t>
        </is>
      </c>
      <c r="Q701" s="26" t="n">
        <v>4.09</v>
      </c>
      <c r="R701" s="26">
        <f>Q701*G701</f>
        <v/>
      </c>
      <c r="S701" s="26">
        <f>IFERROR(VLOOKUP(E701*1,Tabla[#All],8,0),0)</f>
        <v/>
      </c>
      <c r="T701" s="26">
        <f>S701*G701</f>
        <v/>
      </c>
      <c r="U701" s="26">
        <f>R701-T701</f>
        <v/>
      </c>
      <c r="V701" s="26">
        <f>U701-L701</f>
        <v/>
      </c>
    </row>
    <row r="702">
      <c r="A702" s="11" t="n">
        <v>46210</v>
      </c>
      <c r="B702" s="1" t="n">
        <v>20028</v>
      </c>
      <c r="C702" s="1" t="inlineStr">
        <is>
          <t>106</t>
        </is>
      </c>
      <c r="D702" s="1" t="inlineStr">
        <is>
          <t>222635</t>
        </is>
      </c>
      <c r="E702" s="1" t="inlineStr">
        <is>
          <t xml:space="preserve">32457101       </t>
        </is>
      </c>
      <c r="F702" s="5" t="inlineStr">
        <is>
          <t>TMZ BEAST MACHINES TRANSPORTE PESADO + 2 AUTOS SUR</t>
        </is>
      </c>
      <c r="G702" t="n">
        <v>1</v>
      </c>
      <c r="H702" s="7" t="n">
        <v>37.9</v>
      </c>
      <c r="I702" s="7" t="n">
        <v>0</v>
      </c>
      <c r="J702" s="7" t="n">
        <v>0</v>
      </c>
      <c r="K702" s="9" t="n">
        <v>0</v>
      </c>
      <c r="L702" s="10" t="n">
        <v>22.48</v>
      </c>
      <c r="M702" s="10" t="n">
        <v>1.43</v>
      </c>
      <c r="N702" t="inlineStr">
        <is>
          <t>1</t>
        </is>
      </c>
      <c r="O702" t="inlineStr">
        <is>
          <t>16</t>
        </is>
      </c>
      <c r="P702" t="inlineStr">
        <is>
          <t xml:space="preserve">67574   </t>
        </is>
      </c>
      <c r="Q702" s="26" t="n">
        <v>22.48</v>
      </c>
      <c r="R702" s="26">
        <f>Q702*G702</f>
        <v/>
      </c>
      <c r="S702" s="26">
        <f>IFERROR(VLOOKUP(E702*1,Tabla[#All],8,0),0)</f>
        <v/>
      </c>
      <c r="T702" s="26">
        <f>S702*G702</f>
        <v/>
      </c>
      <c r="U702" s="26">
        <f>R702-T702</f>
        <v/>
      </c>
      <c r="V702" s="26">
        <f>U702-L702</f>
        <v/>
      </c>
    </row>
    <row r="703">
      <c r="A703" s="11" t="n">
        <v>46210</v>
      </c>
      <c r="B703" s="1" t="n">
        <v>20030</v>
      </c>
      <c r="C703" s="1" t="inlineStr">
        <is>
          <t>077</t>
        </is>
      </c>
      <c r="D703" s="1" t="inlineStr">
        <is>
          <t>231952</t>
        </is>
      </c>
      <c r="E703" s="1" t="inlineStr">
        <is>
          <t xml:space="preserve">28194770       </t>
        </is>
      </c>
      <c r="F703" s="5" t="inlineStr">
        <is>
          <t>AUTOS DE METAL 3 TEAMSTERZ EN BLISTER</t>
        </is>
      </c>
      <c r="G703" t="n">
        <v>1</v>
      </c>
      <c r="H703" s="7" t="n">
        <v>6.9</v>
      </c>
      <c r="I703" s="7" t="n">
        <v>0</v>
      </c>
      <c r="J703" s="7" t="n">
        <v>0</v>
      </c>
      <c r="K703" s="9" t="n">
        <v>0</v>
      </c>
      <c r="L703" s="10" t="n">
        <v>4.1</v>
      </c>
      <c r="M703" s="10" t="n">
        <v>1.43</v>
      </c>
      <c r="N703" t="inlineStr">
        <is>
          <t>1</t>
        </is>
      </c>
      <c r="O703" t="inlineStr">
        <is>
          <t>16</t>
        </is>
      </c>
      <c r="P703" t="inlineStr">
        <is>
          <t xml:space="preserve">47352   </t>
        </is>
      </c>
      <c r="Q703" s="26" t="n">
        <v>4.09</v>
      </c>
      <c r="R703" s="26">
        <f>Q703*G703</f>
        <v/>
      </c>
      <c r="S703" s="26">
        <f>IFERROR(VLOOKUP(E703*1,Tabla[#All],8,0),0)</f>
        <v/>
      </c>
      <c r="T703" s="26">
        <f>S703*G703</f>
        <v/>
      </c>
      <c r="U703" s="26">
        <f>R703-T703</f>
        <v/>
      </c>
      <c r="V703" s="26">
        <f>U703-L703</f>
        <v/>
      </c>
    </row>
    <row r="704">
      <c r="A704" s="11" t="n">
        <v>46210</v>
      </c>
      <c r="B704" s="1" t="n">
        <v>20040</v>
      </c>
      <c r="C704" s="1" t="inlineStr">
        <is>
          <t>190</t>
        </is>
      </c>
      <c r="D704" s="1" t="inlineStr">
        <is>
          <t>367702</t>
        </is>
      </c>
      <c r="E704" s="1" t="inlineStr">
        <is>
          <t xml:space="preserve">28194768       </t>
        </is>
      </c>
      <c r="F704" s="5" t="inlineStr">
        <is>
          <t>AUTO COLOR CHANGE TEAMSTERZ SURTIDO</t>
        </is>
      </c>
      <c r="G704" t="n">
        <v>1</v>
      </c>
      <c r="H704" s="7" t="n">
        <v>14.9</v>
      </c>
      <c r="I704" s="7" t="n">
        <v>0</v>
      </c>
      <c r="J704" s="7" t="n">
        <v>0</v>
      </c>
      <c r="K704" s="9" t="n">
        <v>0</v>
      </c>
      <c r="L704" s="10" t="n">
        <v>8.84</v>
      </c>
      <c r="M704" s="10" t="n">
        <v>1.43</v>
      </c>
      <c r="N704" t="inlineStr">
        <is>
          <t>1</t>
        </is>
      </c>
      <c r="O704" t="inlineStr">
        <is>
          <t>16</t>
        </is>
      </c>
      <c r="P704" t="inlineStr">
        <is>
          <t xml:space="preserve">248840  </t>
        </is>
      </c>
      <c r="Q704" s="26" t="n">
        <v>8.84</v>
      </c>
      <c r="R704" s="26">
        <f>Q704*G704</f>
        <v/>
      </c>
      <c r="S704" s="26">
        <f>IFERROR(VLOOKUP(E704*1,Tabla[#All],8,0),0)</f>
        <v/>
      </c>
      <c r="T704" s="26">
        <f>S704*G704</f>
        <v/>
      </c>
      <c r="U704" s="26">
        <f>R704-T704</f>
        <v/>
      </c>
      <c r="V704" s="26">
        <f>U704-L704</f>
        <v/>
      </c>
    </row>
    <row r="705">
      <c r="A705" s="11" t="n">
        <v>46210</v>
      </c>
      <c r="B705" s="1" t="n">
        <v>20041</v>
      </c>
      <c r="C705" s="1" t="inlineStr">
        <is>
          <t>016</t>
        </is>
      </c>
      <c r="D705" s="1" t="inlineStr">
        <is>
          <t>215021</t>
        </is>
      </c>
      <c r="E705" s="1" t="inlineStr">
        <is>
          <t xml:space="preserve">28194770       </t>
        </is>
      </c>
      <c r="F705" s="5" t="inlineStr">
        <is>
          <t>AUTOS DE METAL 3 TEAMSTERZ EN BLISTER</t>
        </is>
      </c>
      <c r="G705" t="n">
        <v>1</v>
      </c>
      <c r="H705" s="7" t="n">
        <v>6.9</v>
      </c>
      <c r="I705" s="7" t="n">
        <v>0</v>
      </c>
      <c r="J705" s="7" t="n">
        <v>0</v>
      </c>
      <c r="K705" s="9" t="n">
        <v>0</v>
      </c>
      <c r="L705" s="10" t="n">
        <v>4.1</v>
      </c>
      <c r="M705" s="10" t="n">
        <v>1.43</v>
      </c>
      <c r="N705" t="inlineStr">
        <is>
          <t>1</t>
        </is>
      </c>
      <c r="O705" t="inlineStr">
        <is>
          <t>16</t>
        </is>
      </c>
      <c r="P705" t="inlineStr">
        <is>
          <t xml:space="preserve">53218   </t>
        </is>
      </c>
      <c r="Q705" s="26" t="n">
        <v>4.09</v>
      </c>
      <c r="R705" s="26">
        <f>Q705*G705</f>
        <v/>
      </c>
      <c r="S705" s="26">
        <f>IFERROR(VLOOKUP(E705*1,Tabla[#All],8,0),0)</f>
        <v/>
      </c>
      <c r="T705" s="26">
        <f>S705*G705</f>
        <v/>
      </c>
      <c r="U705" s="26">
        <f>R705-T705</f>
        <v/>
      </c>
      <c r="V705" s="26">
        <f>U705-L705</f>
        <v/>
      </c>
    </row>
    <row r="706">
      <c r="A706" s="11" t="n">
        <v>46210</v>
      </c>
      <c r="B706" s="1" t="n">
        <v>20043</v>
      </c>
      <c r="C706" s="1" t="inlineStr">
        <is>
          <t>051</t>
        </is>
      </c>
      <c r="D706" s="1" t="inlineStr">
        <is>
          <t>105623</t>
        </is>
      </c>
      <c r="E706" s="1" t="inlineStr">
        <is>
          <t xml:space="preserve">28194769       </t>
        </is>
      </c>
      <c r="F706" s="5" t="inlineStr">
        <is>
          <t>AUTOS DE METAL 3 TEAMSTERZ PACK DE 2</t>
        </is>
      </c>
      <c r="G706" t="n">
        <v>1</v>
      </c>
      <c r="H706" s="7" t="n">
        <v>13.8</v>
      </c>
      <c r="I706" s="7" t="n">
        <v>0</v>
      </c>
      <c r="J706" s="7" t="n">
        <v>0</v>
      </c>
      <c r="K706" s="9" t="n">
        <v>0</v>
      </c>
      <c r="L706" s="10" t="n">
        <v>8.18</v>
      </c>
      <c r="M706" s="10" t="n">
        <v>1.43</v>
      </c>
      <c r="N706" t="inlineStr">
        <is>
          <t>1</t>
        </is>
      </c>
      <c r="O706" t="inlineStr">
        <is>
          <t>16</t>
        </is>
      </c>
      <c r="P706" t="inlineStr">
        <is>
          <t xml:space="preserve">52184   </t>
        </is>
      </c>
      <c r="Q706" s="26" t="n">
        <v>8.19</v>
      </c>
      <c r="R706" s="26">
        <f>Q706*G706</f>
        <v/>
      </c>
      <c r="S706" s="26">
        <f>IFERROR(VLOOKUP(E706*1,Tabla[#All],8,0),0)</f>
        <v/>
      </c>
      <c r="T706" s="26">
        <f>S706*G706</f>
        <v/>
      </c>
      <c r="U706" s="26">
        <f>R706-T706</f>
        <v/>
      </c>
      <c r="V706" s="26">
        <f>U706-L706</f>
        <v/>
      </c>
    </row>
    <row r="707">
      <c r="A707" s="11" t="n">
        <v>46210</v>
      </c>
      <c r="B707" s="1" t="n">
        <v>20043</v>
      </c>
      <c r="C707" s="1" t="inlineStr">
        <is>
          <t>051</t>
        </is>
      </c>
      <c r="D707" s="1" t="inlineStr">
        <is>
          <t>105626</t>
        </is>
      </c>
      <c r="E707" s="1" t="inlineStr">
        <is>
          <t xml:space="preserve">28194770       </t>
        </is>
      </c>
      <c r="F707" s="5" t="inlineStr">
        <is>
          <t>AUTOS DE METAL 3 TEAMSTERZ EN BLISTER</t>
        </is>
      </c>
      <c r="G707" t="n">
        <v>1</v>
      </c>
      <c r="H707" s="7" t="n">
        <v>6.9</v>
      </c>
      <c r="I707" s="7" t="n">
        <v>0</v>
      </c>
      <c r="J707" s="7" t="n">
        <v>0</v>
      </c>
      <c r="K707" s="9" t="n">
        <v>0</v>
      </c>
      <c r="L707" s="10" t="n">
        <v>4.1</v>
      </c>
      <c r="M707" s="10" t="n">
        <v>1.43</v>
      </c>
      <c r="N707" t="inlineStr">
        <is>
          <t>1</t>
        </is>
      </c>
      <c r="O707" t="inlineStr">
        <is>
          <t>16</t>
        </is>
      </c>
      <c r="P707" t="inlineStr">
        <is>
          <t xml:space="preserve">52184   </t>
        </is>
      </c>
      <c r="Q707" s="26" t="n">
        <v>4.09</v>
      </c>
      <c r="R707" s="26">
        <f>Q707*G707</f>
        <v/>
      </c>
      <c r="S707" s="26">
        <f>IFERROR(VLOOKUP(E707*1,Tabla[#All],8,0),0)</f>
        <v/>
      </c>
      <c r="T707" s="26">
        <f>S707*G707</f>
        <v/>
      </c>
      <c r="U707" s="26">
        <f>R707-T707</f>
        <v/>
      </c>
      <c r="V707" s="26">
        <f>U707-L707</f>
        <v/>
      </c>
    </row>
    <row r="708">
      <c r="A708" s="11" t="n">
        <v>46210</v>
      </c>
      <c r="B708" s="1" t="n">
        <v>20047</v>
      </c>
      <c r="C708" s="1" t="inlineStr">
        <is>
          <t>012</t>
        </is>
      </c>
      <c r="D708" s="1" t="inlineStr">
        <is>
          <t>331573</t>
        </is>
      </c>
      <c r="E708" s="1" t="inlineStr">
        <is>
          <t xml:space="preserve">28194770       </t>
        </is>
      </c>
      <c r="F708" s="5" t="inlineStr">
        <is>
          <t>AUTOS DE METAL 3 TEAMSTERZ EN BLISTER</t>
        </is>
      </c>
      <c r="G708" t="n">
        <v>1</v>
      </c>
      <c r="H708" s="7" t="n">
        <v>6.9</v>
      </c>
      <c r="I708" s="7" t="n">
        <v>0</v>
      </c>
      <c r="J708" s="7" t="n">
        <v>0</v>
      </c>
      <c r="K708" s="9" t="n">
        <v>0</v>
      </c>
      <c r="L708" s="10" t="n">
        <v>4.1</v>
      </c>
      <c r="M708" s="10" t="n">
        <v>1.43</v>
      </c>
      <c r="N708" t="inlineStr">
        <is>
          <t>1</t>
        </is>
      </c>
      <c r="O708" t="inlineStr">
        <is>
          <t xml:space="preserve">2 </t>
        </is>
      </c>
      <c r="P708" t="inlineStr">
        <is>
          <t xml:space="preserve">248424  </t>
        </is>
      </c>
      <c r="Q708" s="26" t="n">
        <v>4.09</v>
      </c>
      <c r="R708" s="26">
        <f>Q708*G708</f>
        <v/>
      </c>
      <c r="S708" s="26">
        <f>IFERROR(VLOOKUP(E708*1,Tabla[#All],8,0),0)</f>
        <v/>
      </c>
      <c r="T708" s="26">
        <f>S708*G708</f>
        <v/>
      </c>
      <c r="U708" s="26">
        <f>R708-T708</f>
        <v/>
      </c>
      <c r="V708" s="26">
        <f>U708-L708</f>
        <v/>
      </c>
    </row>
    <row r="709">
      <c r="A709" s="11" t="n">
        <v>46210</v>
      </c>
      <c r="B709" s="1" t="n">
        <v>20047</v>
      </c>
      <c r="C709" s="1" t="inlineStr">
        <is>
          <t>191</t>
        </is>
      </c>
      <c r="D709" s="1" t="inlineStr">
        <is>
          <t>460853</t>
        </is>
      </c>
      <c r="E709" s="1" t="inlineStr">
        <is>
          <t xml:space="preserve">28194770       </t>
        </is>
      </c>
      <c r="F709" s="5" t="inlineStr">
        <is>
          <t>AUTOS DE METAL 3 TEAMSTERZ EN BLISTER</t>
        </is>
      </c>
      <c r="G709" t="n">
        <v>1</v>
      </c>
      <c r="H709" s="7" t="n">
        <v>6.9</v>
      </c>
      <c r="I709" s="7" t="n">
        <v>0</v>
      </c>
      <c r="J709" s="7" t="n">
        <v>0</v>
      </c>
      <c r="K709" s="9" t="n">
        <v>0</v>
      </c>
      <c r="L709" s="10" t="n">
        <v>4.1</v>
      </c>
      <c r="M709" s="10" t="n">
        <v>1.43</v>
      </c>
      <c r="N709" t="inlineStr">
        <is>
          <t>1</t>
        </is>
      </c>
      <c r="O709" t="inlineStr">
        <is>
          <t xml:space="preserve">2 </t>
        </is>
      </c>
      <c r="P709" t="inlineStr">
        <is>
          <t xml:space="preserve">248817  </t>
        </is>
      </c>
      <c r="Q709" s="26" t="n">
        <v>4.09</v>
      </c>
      <c r="R709" s="26">
        <f>Q709*G709</f>
        <v/>
      </c>
      <c r="S709" s="26">
        <f>IFERROR(VLOOKUP(E709*1,Tabla[#All],8,0),0)</f>
        <v/>
      </c>
      <c r="T709" s="26">
        <f>S709*G709</f>
        <v/>
      </c>
      <c r="U709" s="26">
        <f>R709-T709</f>
        <v/>
      </c>
      <c r="V709" s="26">
        <f>U709-L709</f>
        <v/>
      </c>
    </row>
    <row r="710">
      <c r="A710" s="11" t="n">
        <v>46210</v>
      </c>
      <c r="B710" s="1" t="n">
        <v>20047</v>
      </c>
      <c r="C710" s="1" t="inlineStr">
        <is>
          <t>507</t>
        </is>
      </c>
      <c r="D710" s="1" t="inlineStr">
        <is>
          <t xml:space="preserve">3524  </t>
        </is>
      </c>
      <c r="E710" s="1" t="inlineStr">
        <is>
          <t xml:space="preserve">28194770       </t>
        </is>
      </c>
      <c r="F710" s="5" t="inlineStr">
        <is>
          <t>AUTOS DE METAL 3 TEAMSTERZ EN BLISTER</t>
        </is>
      </c>
      <c r="G710" t="n">
        <v>1</v>
      </c>
      <c r="H710" s="7" t="n">
        <v>6.9</v>
      </c>
      <c r="I710" s="7" t="n">
        <v>0</v>
      </c>
      <c r="J710" s="7" t="n">
        <v>0</v>
      </c>
      <c r="K710" s="9" t="n">
        <v>0</v>
      </c>
      <c r="L710" s="10" t="n">
        <v>4.1</v>
      </c>
      <c r="M710" s="10" t="n">
        <v>1.43</v>
      </c>
      <c r="N710" t="inlineStr">
        <is>
          <t>1</t>
        </is>
      </c>
      <c r="O710" t="inlineStr">
        <is>
          <t>16</t>
        </is>
      </c>
      <c r="P710" t="inlineStr">
        <is>
          <t xml:space="preserve">248125  </t>
        </is>
      </c>
      <c r="Q710" s="26" t="n">
        <v>4.09</v>
      </c>
      <c r="R710" s="26">
        <f>Q710*G710</f>
        <v/>
      </c>
      <c r="S710" s="26">
        <f>IFERROR(VLOOKUP(E710*1,Tabla[#All],8,0),0)</f>
        <v/>
      </c>
      <c r="T710" s="26">
        <f>S710*G710</f>
        <v/>
      </c>
      <c r="U710" s="26">
        <f>R710-T710</f>
        <v/>
      </c>
      <c r="V710" s="26">
        <f>U710-L710</f>
        <v/>
      </c>
    </row>
    <row r="711">
      <c r="A711" s="11" t="n">
        <v>46210</v>
      </c>
      <c r="B711" s="1" t="n">
        <v>20048</v>
      </c>
      <c r="C711" s="1" t="inlineStr">
        <is>
          <t>013</t>
        </is>
      </c>
      <c r="D711" s="1" t="inlineStr">
        <is>
          <t>224344</t>
        </is>
      </c>
      <c r="E711" s="1" t="inlineStr">
        <is>
          <t xml:space="preserve">28194768       </t>
        </is>
      </c>
      <c r="F711" s="5" t="inlineStr">
        <is>
          <t>AUTO COLOR CHANGE TEAMSTERZ SURTIDO</t>
        </is>
      </c>
      <c r="G711" t="n">
        <v>1</v>
      </c>
      <c r="H711" s="7" t="n">
        <v>14.9</v>
      </c>
      <c r="I711" s="7" t="n">
        <v>0</v>
      </c>
      <c r="J711" s="7" t="n">
        <v>0</v>
      </c>
      <c r="K711" s="9" t="n">
        <v>0</v>
      </c>
      <c r="L711" s="10" t="n">
        <v>8.84</v>
      </c>
      <c r="M711" s="10" t="n">
        <v>1.43</v>
      </c>
      <c r="N711" t="inlineStr">
        <is>
          <t>1</t>
        </is>
      </c>
      <c r="O711" t="inlineStr">
        <is>
          <t xml:space="preserve">2 </t>
        </is>
      </c>
      <c r="P711" t="inlineStr">
        <is>
          <t xml:space="preserve">80084   </t>
        </is>
      </c>
      <c r="Q711" s="26" t="n">
        <v>8.84</v>
      </c>
      <c r="R711" s="26">
        <f>Q711*G711</f>
        <v/>
      </c>
      <c r="S711" s="26">
        <f>IFERROR(VLOOKUP(E711*1,Tabla[#All],8,0),0)</f>
        <v/>
      </c>
      <c r="T711" s="26">
        <f>S711*G711</f>
        <v/>
      </c>
      <c r="U711" s="26">
        <f>R711-T711</f>
        <v/>
      </c>
      <c r="V711" s="26">
        <f>U711-L711</f>
        <v/>
      </c>
    </row>
    <row r="712">
      <c r="A712" s="11" t="n">
        <v>46210</v>
      </c>
      <c r="B712" s="1" t="n">
        <v>20048</v>
      </c>
      <c r="C712" s="1" t="inlineStr">
        <is>
          <t>013</t>
        </is>
      </c>
      <c r="D712" s="1" t="inlineStr">
        <is>
          <t>224344</t>
        </is>
      </c>
      <c r="E712" s="1" t="inlineStr">
        <is>
          <t xml:space="preserve">28194768       </t>
        </is>
      </c>
      <c r="F712" s="5" t="inlineStr">
        <is>
          <t>AUTO COLOR CHANGE TEAMSTERZ SURTIDO</t>
        </is>
      </c>
      <c r="G712" t="n">
        <v>1</v>
      </c>
      <c r="H712" s="7" t="n">
        <v>14.9</v>
      </c>
      <c r="I712" s="7" t="n">
        <v>0</v>
      </c>
      <c r="J712" s="7" t="n">
        <v>0</v>
      </c>
      <c r="K712" s="9" t="n">
        <v>0</v>
      </c>
      <c r="L712" s="10" t="n">
        <v>8.84</v>
      </c>
      <c r="M712" s="10" t="n">
        <v>1.43</v>
      </c>
      <c r="N712" t="inlineStr">
        <is>
          <t>1</t>
        </is>
      </c>
      <c r="O712" t="inlineStr">
        <is>
          <t xml:space="preserve">2 </t>
        </is>
      </c>
      <c r="P712" t="inlineStr">
        <is>
          <t xml:space="preserve">80084   </t>
        </is>
      </c>
      <c r="Q712" s="26" t="n">
        <v>8.84</v>
      </c>
      <c r="R712" s="26">
        <f>Q712*G712</f>
        <v/>
      </c>
      <c r="S712" s="26">
        <f>IFERROR(VLOOKUP(E712*1,Tabla[#All],8,0),0)</f>
        <v/>
      </c>
      <c r="T712" s="26">
        <f>S712*G712</f>
        <v/>
      </c>
      <c r="U712" s="26">
        <f>R712-T712</f>
        <v/>
      </c>
      <c r="V712" s="26">
        <f>U712-L712</f>
        <v/>
      </c>
    </row>
    <row r="713">
      <c r="A713" s="11" t="n">
        <v>46210</v>
      </c>
      <c r="B713" s="1" t="n">
        <v>20048</v>
      </c>
      <c r="C713" s="1" t="inlineStr">
        <is>
          <t>013</t>
        </is>
      </c>
      <c r="D713" s="1" t="inlineStr">
        <is>
          <t>224344</t>
        </is>
      </c>
      <c r="E713" s="1" t="inlineStr">
        <is>
          <t xml:space="preserve">28194768       </t>
        </is>
      </c>
      <c r="F713" s="5" t="inlineStr">
        <is>
          <t>AUTO COLOR CHANGE TEAMSTERZ SURTIDO</t>
        </is>
      </c>
      <c r="G713" t="n">
        <v>1</v>
      </c>
      <c r="H713" s="7" t="n">
        <v>14.9</v>
      </c>
      <c r="I713" s="7" t="n">
        <v>0</v>
      </c>
      <c r="J713" s="7" t="n">
        <v>0</v>
      </c>
      <c r="K713" s="9" t="n">
        <v>0</v>
      </c>
      <c r="L713" s="10" t="n">
        <v>8.84</v>
      </c>
      <c r="M713" s="10" t="n">
        <v>1.43</v>
      </c>
      <c r="N713" t="inlineStr">
        <is>
          <t>1</t>
        </is>
      </c>
      <c r="O713" t="inlineStr">
        <is>
          <t xml:space="preserve">2 </t>
        </is>
      </c>
      <c r="P713" t="inlineStr">
        <is>
          <t xml:space="preserve">80084   </t>
        </is>
      </c>
      <c r="Q713" s="26" t="n">
        <v>8.84</v>
      </c>
      <c r="R713" s="26">
        <f>Q713*G713</f>
        <v/>
      </c>
      <c r="S713" s="26">
        <f>IFERROR(VLOOKUP(E713*1,Tabla[#All],8,0),0)</f>
        <v/>
      </c>
      <c r="T713" s="26">
        <f>S713*G713</f>
        <v/>
      </c>
      <c r="U713" s="26">
        <f>R713-T713</f>
        <v/>
      </c>
      <c r="V713" s="26">
        <f>U713-L713</f>
        <v/>
      </c>
    </row>
    <row r="714">
      <c r="A714" s="11" t="n">
        <v>46210</v>
      </c>
      <c r="B714" s="1" t="n">
        <v>20048</v>
      </c>
      <c r="C714" s="1" t="inlineStr">
        <is>
          <t>018</t>
        </is>
      </c>
      <c r="D714" s="1" t="inlineStr">
        <is>
          <t xml:space="preserve">46116 </t>
        </is>
      </c>
      <c r="E714" s="1" t="inlineStr">
        <is>
          <t xml:space="preserve">28194783       </t>
        </is>
      </c>
      <c r="F714" s="5" t="inlineStr">
        <is>
          <t>SET DE BATALLA INFINITY NADO CON 2 TROMPOS</t>
        </is>
      </c>
      <c r="G714" t="n">
        <v>1</v>
      </c>
      <c r="H714" s="7" t="n">
        <v>159</v>
      </c>
      <c r="I714" s="7" t="n">
        <v>0</v>
      </c>
      <c r="J714" s="7" t="n">
        <v>0</v>
      </c>
      <c r="K714" s="9" t="n">
        <v>0</v>
      </c>
      <c r="L714" s="10" t="n">
        <v>94.33</v>
      </c>
      <c r="M714" s="10" t="n">
        <v>1.43</v>
      </c>
      <c r="N714" t="inlineStr">
        <is>
          <t>1</t>
        </is>
      </c>
      <c r="O714" t="inlineStr">
        <is>
          <t>16</t>
        </is>
      </c>
      <c r="P714" t="inlineStr">
        <is>
          <t xml:space="preserve">82617   </t>
        </is>
      </c>
      <c r="Q714" s="26" t="n">
        <v>94.31999999999999</v>
      </c>
      <c r="R714" s="26">
        <f>Q714*G714</f>
        <v/>
      </c>
      <c r="S714" s="26">
        <f>IFERROR(VLOOKUP(E714*1,Tabla[#All],8,0),0)</f>
        <v/>
      </c>
      <c r="T714" s="26">
        <f>S714*G714</f>
        <v/>
      </c>
      <c r="U714" s="26">
        <f>R714-T714</f>
        <v/>
      </c>
      <c r="V714" s="26">
        <f>U714-L714</f>
        <v/>
      </c>
    </row>
    <row r="715">
      <c r="A715" s="11" t="n">
        <v>46210</v>
      </c>
      <c r="B715" s="1" t="n">
        <v>20048</v>
      </c>
      <c r="C715" s="1" t="inlineStr">
        <is>
          <t>801</t>
        </is>
      </c>
      <c r="D715" s="1" t="inlineStr">
        <is>
          <t xml:space="preserve">5989  </t>
        </is>
      </c>
      <c r="E715" s="1" t="inlineStr">
        <is>
          <t xml:space="preserve">30141766       </t>
        </is>
      </c>
      <c r="F715" s="5" t="inlineStr">
        <is>
          <t>TMZ BEAST MACHINES AUTOS DE METAL BLISTER X 1</t>
        </is>
      </c>
      <c r="G715" t="n">
        <v>1</v>
      </c>
      <c r="H715" s="7" t="n">
        <v>7.9</v>
      </c>
      <c r="I715" s="7" t="n">
        <v>0</v>
      </c>
      <c r="J715" s="7" t="n">
        <v>0</v>
      </c>
      <c r="K715" s="9" t="n">
        <v>0</v>
      </c>
      <c r="L715" s="10" t="n">
        <v>4.68</v>
      </c>
      <c r="M715" s="10" t="n">
        <v>1.43</v>
      </c>
      <c r="N715" t="inlineStr">
        <is>
          <t>1</t>
        </is>
      </c>
      <c r="O715" t="inlineStr">
        <is>
          <t>16</t>
        </is>
      </c>
      <c r="P715" t="inlineStr">
        <is>
          <t xml:space="preserve">248417  </t>
        </is>
      </c>
      <c r="Q715" s="26" t="n">
        <v>4.69</v>
      </c>
      <c r="R715" s="26">
        <f>Q715*G715</f>
        <v/>
      </c>
      <c r="S715" s="26">
        <f>IFERROR(VLOOKUP(E715*1,Tabla[#All],8,0),0)</f>
        <v/>
      </c>
      <c r="T715" s="26">
        <f>S715*G715</f>
        <v/>
      </c>
      <c r="U715" s="26">
        <f>R715-T715</f>
        <v/>
      </c>
      <c r="V715" s="26">
        <f>U715-L715</f>
        <v/>
      </c>
    </row>
    <row r="716">
      <c r="A716" s="11" t="n">
        <v>46210</v>
      </c>
      <c r="B716" s="1" t="n">
        <v>20049</v>
      </c>
      <c r="C716" s="1" t="inlineStr">
        <is>
          <t>013</t>
        </is>
      </c>
      <c r="D716" s="1" t="inlineStr">
        <is>
          <t>235434</t>
        </is>
      </c>
      <c r="E716" s="1" t="inlineStr">
        <is>
          <t xml:space="preserve">33483118       </t>
        </is>
      </c>
      <c r="F716" s="5" t="inlineStr">
        <is>
          <t>MUNECA EVI LOVE SET CUIDADO DE PERROS + ACC.</t>
        </is>
      </c>
      <c r="G716" t="n">
        <v>1</v>
      </c>
      <c r="H716" s="7" t="n">
        <v>39.9</v>
      </c>
      <c r="I716" s="7" t="n">
        <v>0</v>
      </c>
      <c r="J716" s="7" t="n">
        <v>0</v>
      </c>
      <c r="K716" s="9" t="n">
        <v>0</v>
      </c>
      <c r="L716" s="10" t="n">
        <v>23.67</v>
      </c>
      <c r="M716" s="10" t="n">
        <v>1.43</v>
      </c>
      <c r="N716" t="inlineStr">
        <is>
          <t>1</t>
        </is>
      </c>
      <c r="O716" t="inlineStr">
        <is>
          <t>16</t>
        </is>
      </c>
      <c r="P716" t="inlineStr">
        <is>
          <t xml:space="preserve">234411  </t>
        </is>
      </c>
      <c r="Q716" s="26" t="n">
        <v>23.67</v>
      </c>
      <c r="R716" s="26">
        <f>Q716*G716</f>
        <v/>
      </c>
      <c r="S716" s="26">
        <f>IFERROR(VLOOKUP(E716*1,Tabla[#All],8,0),0)</f>
        <v/>
      </c>
      <c r="T716" s="26">
        <f>S716*G716</f>
        <v/>
      </c>
      <c r="U716" s="26">
        <f>R716-T716</f>
        <v/>
      </c>
      <c r="V716" s="26">
        <f>U716-L716</f>
        <v/>
      </c>
    </row>
    <row r="717">
      <c r="A717" s="11" t="n">
        <v>46210</v>
      </c>
      <c r="B717" s="1" t="n">
        <v>20049</v>
      </c>
      <c r="C717" s="1" t="inlineStr">
        <is>
          <t>017</t>
        </is>
      </c>
      <c r="D717" s="1" t="inlineStr">
        <is>
          <t>238193</t>
        </is>
      </c>
      <c r="E717" s="1" t="inlineStr">
        <is>
          <t xml:space="preserve">35685067       </t>
        </is>
      </c>
      <c r="F717" s="5" t="inlineStr">
        <is>
          <t>HOT WHEELS POWER SET 3 EN 1</t>
        </is>
      </c>
      <c r="G717" t="n">
        <v>1</v>
      </c>
      <c r="H717" s="7" t="n">
        <v>49.9</v>
      </c>
      <c r="I717" s="7" t="n">
        <v>0</v>
      </c>
      <c r="J717" s="7" t="n">
        <v>0</v>
      </c>
      <c r="K717" s="9" t="n">
        <v>0</v>
      </c>
      <c r="L717" s="10" t="n">
        <v>29.6</v>
      </c>
      <c r="M717" s="10" t="n">
        <v>1.43</v>
      </c>
      <c r="N717" t="inlineStr">
        <is>
          <t>1</t>
        </is>
      </c>
      <c r="O717" t="inlineStr">
        <is>
          <t>16</t>
        </is>
      </c>
      <c r="P717" t="inlineStr">
        <is>
          <t xml:space="preserve">109185  </t>
        </is>
      </c>
      <c r="Q717" s="26" t="n">
        <v>29.6</v>
      </c>
      <c r="R717" s="26">
        <f>Q717*G717</f>
        <v/>
      </c>
      <c r="S717" s="26">
        <f>IFERROR(VLOOKUP(E717*1,Tabla[#All],8,0),0)</f>
        <v/>
      </c>
      <c r="T717" s="26">
        <f>S717*G717</f>
        <v/>
      </c>
      <c r="U717" s="26">
        <f>R717-T717</f>
        <v/>
      </c>
      <c r="V717" s="26">
        <f>U717-L717</f>
        <v/>
      </c>
    </row>
    <row r="718">
      <c r="A718" s="11" t="n">
        <v>46210</v>
      </c>
      <c r="B718" s="1" t="n">
        <v>20056</v>
      </c>
      <c r="C718" s="1" t="inlineStr">
        <is>
          <t>512</t>
        </is>
      </c>
      <c r="D718" s="1" t="inlineStr">
        <is>
          <t xml:space="preserve">2333  </t>
        </is>
      </c>
      <c r="E718" s="1" t="inlineStr">
        <is>
          <t xml:space="preserve">33483120       </t>
        </is>
      </c>
      <c r="F718" s="5" t="inlineStr">
        <is>
          <t>HOT WHEELS 2 EN 1 AUTO DE CARRERAS + GUARDA AUTOS</t>
        </is>
      </c>
      <c r="G718" t="n">
        <v>1</v>
      </c>
      <c r="H718" s="7" t="n">
        <v>79.90000000000001</v>
      </c>
      <c r="I718" s="7" t="n">
        <v>0</v>
      </c>
      <c r="J718" s="7" t="n">
        <v>0</v>
      </c>
      <c r="K718" s="9" t="n">
        <v>0</v>
      </c>
      <c r="L718" s="10" t="n">
        <v>47.4</v>
      </c>
      <c r="M718" s="10" t="n">
        <v>1.43</v>
      </c>
      <c r="N718" t="inlineStr">
        <is>
          <t>1</t>
        </is>
      </c>
      <c r="O718" t="inlineStr">
        <is>
          <t>16</t>
        </is>
      </c>
      <c r="P718" t="inlineStr">
        <is>
          <t xml:space="preserve">246478  </t>
        </is>
      </c>
      <c r="Q718" s="26" t="n">
        <v>47.4</v>
      </c>
      <c r="R718" s="26">
        <f>Q718*G718</f>
        <v/>
      </c>
      <c r="S718" s="26">
        <f>IFERROR(VLOOKUP(E718*1,Tabla[#All],8,0),0)</f>
        <v/>
      </c>
      <c r="T718" s="26">
        <f>S718*G718</f>
        <v/>
      </c>
      <c r="U718" s="26">
        <f>R718-T718</f>
        <v/>
      </c>
      <c r="V718" s="26">
        <f>U718-L718</f>
        <v/>
      </c>
    </row>
    <row r="719">
      <c r="A719" s="11" t="n">
        <v>46210</v>
      </c>
      <c r="B719" s="1" t="n">
        <v>20056</v>
      </c>
      <c r="C719" s="1" t="inlineStr">
        <is>
          <t>512</t>
        </is>
      </c>
      <c r="D719" s="1" t="inlineStr">
        <is>
          <t xml:space="preserve">2337  </t>
        </is>
      </c>
      <c r="E719" s="1" t="inlineStr">
        <is>
          <t xml:space="preserve">33483123       </t>
        </is>
      </c>
      <c r="F719" s="5" t="inlineStr">
        <is>
          <t>NENUCO DISFRACES</t>
        </is>
      </c>
      <c r="G719" t="n">
        <v>1</v>
      </c>
      <c r="H719" s="7" t="n">
        <v>89.90000000000001</v>
      </c>
      <c r="I719" s="7" t="n">
        <v>0</v>
      </c>
      <c r="J719" s="7" t="n">
        <v>0</v>
      </c>
      <c r="K719" s="9" t="n">
        <v>0</v>
      </c>
      <c r="L719" s="10" t="n">
        <v>53.33</v>
      </c>
      <c r="M719" s="10" t="n">
        <v>1.43</v>
      </c>
      <c r="N719" t="inlineStr">
        <is>
          <t>1</t>
        </is>
      </c>
      <c r="O719" t="inlineStr">
        <is>
          <t>16</t>
        </is>
      </c>
      <c r="P719" t="inlineStr">
        <is>
          <t xml:space="preserve">246478  </t>
        </is>
      </c>
      <c r="Q719" s="26" t="n">
        <v>53.33</v>
      </c>
      <c r="R719" s="26">
        <f>Q719*G719</f>
        <v/>
      </c>
      <c r="S719" s="26">
        <f>IFERROR(VLOOKUP(E719*1,Tabla[#All],8,0),0)</f>
        <v/>
      </c>
      <c r="T719" s="26">
        <f>S719*G719</f>
        <v/>
      </c>
      <c r="U719" s="26">
        <f>R719-T719</f>
        <v/>
      </c>
      <c r="V719" s="26">
        <f>U719-L719</f>
        <v/>
      </c>
    </row>
    <row r="720">
      <c r="A720" s="11" t="n">
        <v>46210</v>
      </c>
      <c r="B720" s="1" t="n">
        <v>20057</v>
      </c>
      <c r="C720" s="1" t="inlineStr">
        <is>
          <t>032</t>
        </is>
      </c>
      <c r="D720" s="1" t="inlineStr">
        <is>
          <t xml:space="preserve">74058 </t>
        </is>
      </c>
      <c r="E720" s="1" t="inlineStr">
        <is>
          <t xml:space="preserve">28194770       </t>
        </is>
      </c>
      <c r="F720" s="5" t="inlineStr">
        <is>
          <t>AUTOS DE METAL 3 TEAMSTERZ EN BLISTER</t>
        </is>
      </c>
      <c r="G720" t="n">
        <v>1</v>
      </c>
      <c r="H720" s="7" t="n">
        <v>6.9</v>
      </c>
      <c r="I720" s="7" t="n">
        <v>0</v>
      </c>
      <c r="J720" s="7" t="n">
        <v>0</v>
      </c>
      <c r="K720" s="9" t="n">
        <v>0</v>
      </c>
      <c r="L720" s="10" t="n">
        <v>4.1</v>
      </c>
      <c r="M720" s="10" t="n">
        <v>1.43</v>
      </c>
      <c r="N720" t="inlineStr">
        <is>
          <t>1</t>
        </is>
      </c>
      <c r="O720" t="inlineStr">
        <is>
          <t xml:space="preserve">2 </t>
        </is>
      </c>
      <c r="P720" t="inlineStr">
        <is>
          <t xml:space="preserve">203426  </t>
        </is>
      </c>
      <c r="Q720" s="26" t="n">
        <v>4.09</v>
      </c>
      <c r="R720" s="26">
        <f>Q720*G720</f>
        <v/>
      </c>
      <c r="S720" s="26">
        <f>IFERROR(VLOOKUP(E720*1,Tabla[#All],8,0),0)</f>
        <v/>
      </c>
      <c r="T720" s="26">
        <f>S720*G720</f>
        <v/>
      </c>
      <c r="U720" s="26">
        <f>R720-T720</f>
        <v/>
      </c>
      <c r="V720" s="26">
        <f>U720-L720</f>
        <v/>
      </c>
    </row>
    <row r="721">
      <c r="A721" s="11" t="n">
        <v>46210</v>
      </c>
      <c r="B721" s="1" t="n">
        <v>20058</v>
      </c>
      <c r="C721" s="1" t="inlineStr">
        <is>
          <t>016</t>
        </is>
      </c>
      <c r="D721" s="1" t="inlineStr">
        <is>
          <t>167734</t>
        </is>
      </c>
      <c r="E721" s="1" t="inlineStr">
        <is>
          <t xml:space="preserve">28194770       </t>
        </is>
      </c>
      <c r="F721" s="5" t="inlineStr">
        <is>
          <t>AUTOS DE METAL 3 TEAMSTERZ EN BLISTER</t>
        </is>
      </c>
      <c r="G721" t="n">
        <v>1</v>
      </c>
      <c r="H721" s="7" t="n">
        <v>6.9</v>
      </c>
      <c r="I721" s="7" t="n">
        <v>0</v>
      </c>
      <c r="J721" s="7" t="n">
        <v>0</v>
      </c>
      <c r="K721" s="9" t="n">
        <v>0</v>
      </c>
      <c r="L721" s="10" t="n">
        <v>4.1</v>
      </c>
      <c r="M721" s="10" t="n">
        <v>1.43</v>
      </c>
      <c r="N721" t="inlineStr">
        <is>
          <t>1</t>
        </is>
      </c>
      <c r="O721" t="inlineStr">
        <is>
          <t xml:space="preserve">3 </t>
        </is>
      </c>
      <c r="P721" t="inlineStr">
        <is>
          <t xml:space="preserve">246011  </t>
        </is>
      </c>
      <c r="Q721" s="26" t="n">
        <v>4.09</v>
      </c>
      <c r="R721" s="26">
        <f>Q721*G721</f>
        <v/>
      </c>
      <c r="S721" s="26">
        <f>IFERROR(VLOOKUP(E721*1,Tabla[#All],8,0),0)</f>
        <v/>
      </c>
      <c r="T721" s="26">
        <f>S721*G721</f>
        <v/>
      </c>
      <c r="U721" s="26">
        <f>R721-T721</f>
        <v/>
      </c>
      <c r="V721" s="26">
        <f>U721-L721</f>
        <v/>
      </c>
    </row>
    <row r="722">
      <c r="A722" s="11" t="n">
        <v>46210</v>
      </c>
      <c r="B722" s="1" t="n">
        <v>20058</v>
      </c>
      <c r="C722" s="1" t="inlineStr">
        <is>
          <t>039</t>
        </is>
      </c>
      <c r="D722" s="1" t="inlineStr">
        <is>
          <t>229806</t>
        </is>
      </c>
      <c r="E722" s="1" t="inlineStr">
        <is>
          <t xml:space="preserve">32457099       </t>
        </is>
      </c>
      <c r="F722" s="5" t="inlineStr">
        <is>
          <t>TMZ BEAST MACHINES MONSTER JAWS A FRICCION BLISTER</t>
        </is>
      </c>
      <c r="G722" t="n">
        <v>1</v>
      </c>
      <c r="H722" s="7" t="n">
        <v>19.9</v>
      </c>
      <c r="I722" s="7" t="n">
        <v>0</v>
      </c>
      <c r="J722" s="7" t="n">
        <v>0</v>
      </c>
      <c r="K722" s="9" t="n">
        <v>0</v>
      </c>
      <c r="L722" s="10" t="n">
        <v>11.8</v>
      </c>
      <c r="M722" s="10" t="n">
        <v>1.43</v>
      </c>
      <c r="N722" t="inlineStr">
        <is>
          <t>1</t>
        </is>
      </c>
      <c r="O722" t="inlineStr">
        <is>
          <t xml:space="preserve">2 </t>
        </is>
      </c>
      <c r="P722" t="inlineStr">
        <is>
          <t xml:space="preserve">244700  </t>
        </is>
      </c>
      <c r="Q722" s="26" t="n">
        <v>11.81</v>
      </c>
      <c r="R722" s="26">
        <f>Q722*G722</f>
        <v/>
      </c>
      <c r="S722" s="26">
        <f>IFERROR(VLOOKUP(E722*1,Tabla[#All],8,0),0)</f>
        <v/>
      </c>
      <c r="T722" s="26">
        <f>S722*G722</f>
        <v/>
      </c>
      <c r="U722" s="26">
        <f>R722-T722</f>
        <v/>
      </c>
      <c r="V722" s="26">
        <f>U722-L722</f>
        <v/>
      </c>
    </row>
    <row r="723">
      <c r="A723" s="11" t="n">
        <v>46210</v>
      </c>
      <c r="B723" s="1" t="n">
        <v>20058</v>
      </c>
      <c r="C723" s="1" t="inlineStr">
        <is>
          <t>039</t>
        </is>
      </c>
      <c r="D723" s="1" t="inlineStr">
        <is>
          <t>229831</t>
        </is>
      </c>
      <c r="E723" s="1" t="inlineStr">
        <is>
          <t xml:space="preserve">31754676       </t>
        </is>
      </c>
      <c r="F723" s="5" t="inlineStr">
        <is>
          <t>INFINITY NADO SERIE 6 STD PACK LANZ ESPAD ANILLO M</t>
        </is>
      </c>
      <c r="G723" t="n">
        <v>1</v>
      </c>
      <c r="H723" s="7" t="n">
        <v>79.90000000000001</v>
      </c>
      <c r="I723" s="7" t="n">
        <v>0</v>
      </c>
      <c r="J723" s="7" t="n">
        <v>0</v>
      </c>
      <c r="K723" s="9" t="n">
        <v>0</v>
      </c>
      <c r="L723" s="10" t="n">
        <v>47.4</v>
      </c>
      <c r="M723" s="10" t="n">
        <v>1.43</v>
      </c>
      <c r="N723" t="inlineStr">
        <is>
          <t>1</t>
        </is>
      </c>
      <c r="O723" t="inlineStr">
        <is>
          <t xml:space="preserve">2 </t>
        </is>
      </c>
      <c r="P723" t="inlineStr">
        <is>
          <t xml:space="preserve">244700  </t>
        </is>
      </c>
      <c r="Q723" s="26" t="n">
        <v>47.4</v>
      </c>
      <c r="R723" s="26">
        <f>Q723*G723</f>
        <v/>
      </c>
      <c r="S723" s="26">
        <f>IFERROR(VLOOKUP(E723*1,Tabla[#All],8,0),0)</f>
        <v/>
      </c>
      <c r="T723" s="26">
        <f>S723*G723</f>
        <v/>
      </c>
      <c r="U723" s="26">
        <f>R723-T723</f>
        <v/>
      </c>
      <c r="V723" s="26">
        <f>U723-L723</f>
        <v/>
      </c>
    </row>
    <row r="724">
      <c r="A724" s="11" t="n">
        <v>46210</v>
      </c>
      <c r="B724" s="1" t="n">
        <v>20062</v>
      </c>
      <c r="C724" s="1" t="inlineStr">
        <is>
          <t>014</t>
        </is>
      </c>
      <c r="D724" s="1" t="inlineStr">
        <is>
          <t>227813</t>
        </is>
      </c>
      <c r="E724" s="1" t="inlineStr">
        <is>
          <t xml:space="preserve">33661538       </t>
        </is>
      </c>
      <c r="F724" s="5" t="inlineStr">
        <is>
          <t>HOT WHEELS CASE GARAGE RUEDA METAL EN LLAMAS X 29</t>
        </is>
      </c>
      <c r="G724" t="n">
        <v>1</v>
      </c>
      <c r="H724" s="7" t="n">
        <v>69.90000000000001</v>
      </c>
      <c r="I724" s="7" t="n">
        <v>0</v>
      </c>
      <c r="J724" s="7" t="n">
        <v>0</v>
      </c>
      <c r="K724" s="9" t="n">
        <v>0</v>
      </c>
      <c r="L724" s="10" t="n">
        <v>41.47</v>
      </c>
      <c r="M724" s="10" t="n">
        <v>1.43</v>
      </c>
      <c r="N724" t="inlineStr">
        <is>
          <t>1</t>
        </is>
      </c>
      <c r="O724" t="inlineStr">
        <is>
          <t>16</t>
        </is>
      </c>
      <c r="P724" t="inlineStr">
        <is>
          <t xml:space="preserve">244379  </t>
        </is>
      </c>
      <c r="Q724" s="26" t="n">
        <v>41.47</v>
      </c>
      <c r="R724" s="26">
        <f>Q724*G724</f>
        <v/>
      </c>
      <c r="S724" s="26">
        <f>IFERROR(VLOOKUP(E724*1,Tabla[#All],8,0),0)</f>
        <v/>
      </c>
      <c r="T724" s="26">
        <f>S724*G724</f>
        <v/>
      </c>
      <c r="U724" s="26">
        <f>R724-T724</f>
        <v/>
      </c>
      <c r="V724" s="26">
        <f>U724-L724</f>
        <v/>
      </c>
    </row>
    <row r="725">
      <c r="A725" s="11" t="n">
        <v>46210</v>
      </c>
      <c r="B725" s="1" t="n">
        <v>20062</v>
      </c>
      <c r="C725" s="1" t="inlineStr">
        <is>
          <t>038</t>
        </is>
      </c>
      <c r="D725" s="1" t="inlineStr">
        <is>
          <t>172970</t>
        </is>
      </c>
      <c r="E725" s="1" t="inlineStr">
        <is>
          <t xml:space="preserve">34840553       </t>
        </is>
      </c>
      <c r="F725" s="5" t="inlineStr">
        <is>
          <t>TMZ AUTO LUZ Y SONIDO ESQUELET DINO T-REX</t>
        </is>
      </c>
      <c r="G725" t="n">
        <v>1</v>
      </c>
      <c r="H725" s="7" t="n">
        <v>79.90000000000001</v>
      </c>
      <c r="I725" s="7" t="n">
        <v>0</v>
      </c>
      <c r="J725" s="7" t="n">
        <v>0</v>
      </c>
      <c r="K725" s="9" t="n">
        <v>0</v>
      </c>
      <c r="L725" s="10" t="n">
        <v>47.4</v>
      </c>
      <c r="M725" s="10" t="n">
        <v>1.43</v>
      </c>
      <c r="N725" t="inlineStr">
        <is>
          <t>1</t>
        </is>
      </c>
      <c r="O725" t="inlineStr">
        <is>
          <t>16</t>
        </is>
      </c>
      <c r="P725" t="inlineStr">
        <is>
          <t xml:space="preserve">251762  </t>
        </is>
      </c>
      <c r="Q725" s="26" t="n">
        <v>47.4</v>
      </c>
      <c r="R725" s="26">
        <f>Q725*G725</f>
        <v/>
      </c>
      <c r="S725" s="26">
        <f>IFERROR(VLOOKUP(E725*1,Tabla[#All],8,0),0)</f>
        <v/>
      </c>
      <c r="T725" s="26">
        <f>S725*G725</f>
        <v/>
      </c>
      <c r="U725" s="26">
        <f>R725-T725</f>
        <v/>
      </c>
      <c r="V725" s="26">
        <f>U725-L725</f>
        <v/>
      </c>
    </row>
    <row r="726">
      <c r="A726" s="11" t="n">
        <v>46210</v>
      </c>
      <c r="B726" s="1" t="n">
        <v>20062</v>
      </c>
      <c r="C726" s="1" t="inlineStr">
        <is>
          <t>053</t>
        </is>
      </c>
      <c r="D726" s="1" t="inlineStr">
        <is>
          <t>242730</t>
        </is>
      </c>
      <c r="E726" s="1" t="inlineStr">
        <is>
          <t xml:space="preserve">33483126       </t>
        </is>
      </c>
      <c r="F726" s="5" t="inlineStr">
        <is>
          <t>MUNECA STEFFI LOVE ANIMAL FELIZ SURT. + ACC.</t>
        </is>
      </c>
      <c r="G726" t="n">
        <v>1</v>
      </c>
      <c r="H726" s="7" t="n">
        <v>79.90000000000001</v>
      </c>
      <c r="I726" s="7" t="n">
        <v>0</v>
      </c>
      <c r="J726" s="7" t="n">
        <v>0</v>
      </c>
      <c r="K726" s="9" t="n">
        <v>0</v>
      </c>
      <c r="L726" s="10" t="n">
        <v>47.4</v>
      </c>
      <c r="M726" s="10" t="n">
        <v>1.43</v>
      </c>
      <c r="N726" t="inlineStr">
        <is>
          <t>1</t>
        </is>
      </c>
      <c r="O726" t="inlineStr">
        <is>
          <t xml:space="preserve">2 </t>
        </is>
      </c>
      <c r="P726" t="inlineStr">
        <is>
          <t xml:space="preserve">237521  </t>
        </is>
      </c>
      <c r="Q726" s="26" t="n">
        <v>47.4</v>
      </c>
      <c r="R726" s="26">
        <f>Q726*G726</f>
        <v/>
      </c>
      <c r="S726" s="26">
        <f>IFERROR(VLOOKUP(E726*1,Tabla[#All],8,0),0)</f>
        <v/>
      </c>
      <c r="T726" s="26">
        <f>S726*G726</f>
        <v/>
      </c>
      <c r="U726" s="26">
        <f>R726-T726</f>
        <v/>
      </c>
      <c r="V726" s="26">
        <f>U726-L726</f>
        <v/>
      </c>
    </row>
    <row r="727">
      <c r="A727" s="11" t="n">
        <v>46210</v>
      </c>
      <c r="B727" s="1" t="n">
        <v>20062</v>
      </c>
      <c r="C727" s="1" t="inlineStr">
        <is>
          <t>053</t>
        </is>
      </c>
      <c r="D727" s="1" t="inlineStr">
        <is>
          <t>242740</t>
        </is>
      </c>
      <c r="E727" s="1" t="inlineStr">
        <is>
          <t xml:space="preserve">28194780       </t>
        </is>
      </c>
      <c r="F727" s="5" t="inlineStr">
        <is>
          <t>TROMPO BATALLA INFINITY NADO PLSTICO SURTIDO</t>
        </is>
      </c>
      <c r="G727" t="n">
        <v>1</v>
      </c>
      <c r="H727" s="7" t="n">
        <v>19.9</v>
      </c>
      <c r="I727" s="7" t="n">
        <v>0</v>
      </c>
      <c r="J727" s="7" t="n">
        <v>0</v>
      </c>
      <c r="K727" s="9" t="n">
        <v>0</v>
      </c>
      <c r="L727" s="10" t="n">
        <v>11.8</v>
      </c>
      <c r="M727" s="10" t="n">
        <v>1.43</v>
      </c>
      <c r="N727" t="inlineStr">
        <is>
          <t>1</t>
        </is>
      </c>
      <c r="O727" t="inlineStr">
        <is>
          <t xml:space="preserve">3 </t>
        </is>
      </c>
      <c r="P727" t="inlineStr">
        <is>
          <t xml:space="preserve">237521  </t>
        </is>
      </c>
      <c r="Q727" s="26" t="n">
        <v>11.81</v>
      </c>
      <c r="R727" s="26">
        <f>Q727*G727</f>
        <v/>
      </c>
      <c r="S727" s="26">
        <f>IFERROR(VLOOKUP(E727*1,Tabla[#All],8,0),0)</f>
        <v/>
      </c>
      <c r="T727" s="26">
        <f>S727*G727</f>
        <v/>
      </c>
      <c r="U727" s="26">
        <f>R727-T727</f>
        <v/>
      </c>
      <c r="V727" s="26">
        <f>U727-L727</f>
        <v/>
      </c>
    </row>
    <row r="728">
      <c r="A728" s="11" t="n">
        <v>46210</v>
      </c>
      <c r="B728" s="1" t="n">
        <v>20066</v>
      </c>
      <c r="C728" s="1" t="inlineStr">
        <is>
          <t>061</t>
        </is>
      </c>
      <c r="D728" s="1" t="inlineStr">
        <is>
          <t xml:space="preserve">34600 </t>
        </is>
      </c>
      <c r="E728" s="1" t="inlineStr">
        <is>
          <t xml:space="preserve">28194770       </t>
        </is>
      </c>
      <c r="F728" s="5" t="inlineStr">
        <is>
          <t>AUTOS DE METAL 3 TEAMSTERZ EN BLISTER</t>
        </is>
      </c>
      <c r="G728" t="n">
        <v>1</v>
      </c>
      <c r="H728" s="7" t="n">
        <v>6.9</v>
      </c>
      <c r="I728" s="7" t="n">
        <v>0</v>
      </c>
      <c r="J728" s="7" t="n">
        <v>0</v>
      </c>
      <c r="K728" s="9" t="n">
        <v>0</v>
      </c>
      <c r="L728" s="10" t="n">
        <v>4.1</v>
      </c>
      <c r="M728" s="10" t="n">
        <v>1.43</v>
      </c>
      <c r="N728" t="inlineStr">
        <is>
          <t>1</t>
        </is>
      </c>
      <c r="O728" t="inlineStr">
        <is>
          <t>16</t>
        </is>
      </c>
      <c r="P728" t="inlineStr">
        <is>
          <t xml:space="preserve">57030   </t>
        </is>
      </c>
      <c r="Q728" s="26" t="n">
        <v>4.09</v>
      </c>
      <c r="R728" s="26">
        <f>Q728*G728</f>
        <v/>
      </c>
      <c r="S728" s="26">
        <f>IFERROR(VLOOKUP(E728*1,Tabla[#All],8,0),0)</f>
        <v/>
      </c>
      <c r="T728" s="26">
        <f>S728*G728</f>
        <v/>
      </c>
      <c r="U728" s="26">
        <f>R728-T728</f>
        <v/>
      </c>
      <c r="V728" s="26">
        <f>U728-L728</f>
        <v/>
      </c>
    </row>
    <row r="729">
      <c r="A729" s="11" t="n">
        <v>46210</v>
      </c>
      <c r="B729" s="1" t="n">
        <v>20073</v>
      </c>
      <c r="C729" s="1" t="inlineStr">
        <is>
          <t>033</t>
        </is>
      </c>
      <c r="D729" s="1" t="inlineStr">
        <is>
          <t>313509</t>
        </is>
      </c>
      <c r="E729" s="1" t="inlineStr">
        <is>
          <t xml:space="preserve">28194769       </t>
        </is>
      </c>
      <c r="F729" s="5" t="inlineStr">
        <is>
          <t>AUTOS DE METAL 3 TEAMSTERZ PACK DE 2</t>
        </is>
      </c>
      <c r="G729" t="n">
        <v>1</v>
      </c>
      <c r="H729" s="7" t="n">
        <v>13.8</v>
      </c>
      <c r="I729" s="7" t="n">
        <v>0</v>
      </c>
      <c r="J729" s="7" t="n">
        <v>0</v>
      </c>
      <c r="K729" s="9" t="n">
        <v>0</v>
      </c>
      <c r="L729" s="10" t="n">
        <v>8.18</v>
      </c>
      <c r="M729" s="10" t="n">
        <v>1.43</v>
      </c>
      <c r="N729" t="inlineStr">
        <is>
          <t>1</t>
        </is>
      </c>
      <c r="O729" t="inlineStr">
        <is>
          <t>16</t>
        </is>
      </c>
      <c r="P729" t="inlineStr">
        <is>
          <t xml:space="preserve">57886   </t>
        </is>
      </c>
      <c r="Q729" s="26" t="n">
        <v>8.19</v>
      </c>
      <c r="R729" s="26">
        <f>Q729*G729</f>
        <v/>
      </c>
      <c r="S729" s="26">
        <f>IFERROR(VLOOKUP(E729*1,Tabla[#All],8,0),0)</f>
        <v/>
      </c>
      <c r="T729" s="26">
        <f>S729*G729</f>
        <v/>
      </c>
      <c r="U729" s="26">
        <f>R729-T729</f>
        <v/>
      </c>
      <c r="V729" s="26">
        <f>U729-L729</f>
        <v/>
      </c>
    </row>
    <row r="730">
      <c r="A730" s="11" t="n">
        <v>46210</v>
      </c>
      <c r="B730" s="1" t="n">
        <v>20074</v>
      </c>
      <c r="C730" s="1" t="inlineStr">
        <is>
          <t>015</t>
        </is>
      </c>
      <c r="D730" s="1" t="inlineStr">
        <is>
          <t>227407</t>
        </is>
      </c>
      <c r="E730" s="1" t="inlineStr">
        <is>
          <t xml:space="preserve">30141780       </t>
        </is>
      </c>
      <c r="F730" s="5" t="inlineStr">
        <is>
          <t>RELOJ DIGITAL PEPPA PIG</t>
        </is>
      </c>
      <c r="G730" t="n">
        <v>1</v>
      </c>
      <c r="H730" s="7" t="n">
        <v>18.9</v>
      </c>
      <c r="I730" s="7" t="n">
        <v>0</v>
      </c>
      <c r="J730" s="7" t="n">
        <v>0</v>
      </c>
      <c r="K730" s="9" t="n">
        <v>0</v>
      </c>
      <c r="L730" s="10" t="n">
        <v>11.21</v>
      </c>
      <c r="M730" s="10" t="n">
        <v>1.43</v>
      </c>
      <c r="N730" t="inlineStr">
        <is>
          <t>1</t>
        </is>
      </c>
      <c r="O730" t="inlineStr">
        <is>
          <t>16</t>
        </is>
      </c>
      <c r="P730" t="inlineStr">
        <is>
          <t xml:space="preserve">90017   </t>
        </is>
      </c>
      <c r="Q730" s="26" t="n">
        <v>11.21</v>
      </c>
      <c r="R730" s="26">
        <f>Q730*G730</f>
        <v/>
      </c>
      <c r="S730" s="26">
        <f>IFERROR(VLOOKUP(E730*1,Tabla[#All],8,0),0)</f>
        <v/>
      </c>
      <c r="T730" s="26">
        <f>S730*G730</f>
        <v/>
      </c>
      <c r="U730" s="26">
        <f>R730-T730</f>
        <v/>
      </c>
      <c r="V730" s="26">
        <f>U730-L730</f>
        <v/>
      </c>
    </row>
    <row r="731">
      <c r="A731" s="11" t="n">
        <v>46210</v>
      </c>
      <c r="B731" s="1" t="n">
        <v>20074</v>
      </c>
      <c r="C731" s="1" t="inlineStr">
        <is>
          <t>024</t>
        </is>
      </c>
      <c r="D731" s="1" t="inlineStr">
        <is>
          <t>364031</t>
        </is>
      </c>
      <c r="E731" s="1" t="inlineStr">
        <is>
          <t xml:space="preserve">28194770       </t>
        </is>
      </c>
      <c r="F731" s="5" t="inlineStr">
        <is>
          <t>AUTOS DE METAL 3 TEAMSTERZ EN BLISTER</t>
        </is>
      </c>
      <c r="G731" t="n">
        <v>1</v>
      </c>
      <c r="H731" s="7" t="n">
        <v>6.9</v>
      </c>
      <c r="I731" s="7" t="n">
        <v>0</v>
      </c>
      <c r="J731" s="7" t="n">
        <v>0</v>
      </c>
      <c r="K731" s="9" t="n">
        <v>0</v>
      </c>
      <c r="L731" s="10" t="n">
        <v>4.1</v>
      </c>
      <c r="M731" s="10" t="n">
        <v>1.43</v>
      </c>
      <c r="N731" t="inlineStr">
        <is>
          <t>1</t>
        </is>
      </c>
      <c r="O731" t="inlineStr">
        <is>
          <t>16</t>
        </is>
      </c>
      <c r="P731" t="inlineStr">
        <is>
          <t xml:space="preserve">250386  </t>
        </is>
      </c>
      <c r="Q731" s="26" t="n">
        <v>4.09</v>
      </c>
      <c r="R731" s="26">
        <f>Q731*G731</f>
        <v/>
      </c>
      <c r="S731" s="26">
        <f>IFERROR(VLOOKUP(E731*1,Tabla[#All],8,0),0)</f>
        <v/>
      </c>
      <c r="T731" s="26">
        <f>S731*G731</f>
        <v/>
      </c>
      <c r="U731" s="26">
        <f>R731-T731</f>
        <v/>
      </c>
      <c r="V731" s="26">
        <f>U731-L731</f>
        <v/>
      </c>
    </row>
    <row r="732">
      <c r="A732" s="11" t="n">
        <v>46210</v>
      </c>
      <c r="B732" s="1" t="n">
        <v>20074</v>
      </c>
      <c r="C732" s="1" t="inlineStr">
        <is>
          <t>024</t>
        </is>
      </c>
      <c r="D732" s="1" t="inlineStr">
        <is>
          <t>364031</t>
        </is>
      </c>
      <c r="E732" s="1" t="inlineStr">
        <is>
          <t xml:space="preserve">28194770       </t>
        </is>
      </c>
      <c r="F732" s="5" t="inlineStr">
        <is>
          <t>AUTOS DE METAL 3 TEAMSTERZ EN BLISTER</t>
        </is>
      </c>
      <c r="G732" t="n">
        <v>1</v>
      </c>
      <c r="H732" s="7" t="n">
        <v>6.9</v>
      </c>
      <c r="I732" s="7" t="n">
        <v>0</v>
      </c>
      <c r="J732" s="7" t="n">
        <v>0</v>
      </c>
      <c r="K732" s="9" t="n">
        <v>0</v>
      </c>
      <c r="L732" s="10" t="n">
        <v>4.1</v>
      </c>
      <c r="M732" s="10" t="n">
        <v>1.43</v>
      </c>
      <c r="N732" t="inlineStr">
        <is>
          <t>1</t>
        </is>
      </c>
      <c r="O732" t="inlineStr">
        <is>
          <t>16</t>
        </is>
      </c>
      <c r="P732" t="inlineStr">
        <is>
          <t xml:space="preserve">250386  </t>
        </is>
      </c>
      <c r="Q732" s="26" t="n">
        <v>4.09</v>
      </c>
      <c r="R732" s="26">
        <f>Q732*G732</f>
        <v/>
      </c>
      <c r="S732" s="26">
        <f>IFERROR(VLOOKUP(E732*1,Tabla[#All],8,0),0)</f>
        <v/>
      </c>
      <c r="T732" s="26">
        <f>S732*G732</f>
        <v/>
      </c>
      <c r="U732" s="26">
        <f>R732-T732</f>
        <v/>
      </c>
      <c r="V732" s="26">
        <f>U732-L732</f>
        <v/>
      </c>
    </row>
    <row r="733">
      <c r="A733" s="11" t="n">
        <v>46210</v>
      </c>
      <c r="B733" s="1" t="n">
        <v>20074</v>
      </c>
      <c r="C733" s="1" t="inlineStr">
        <is>
          <t>025</t>
        </is>
      </c>
      <c r="D733" s="1" t="inlineStr">
        <is>
          <t xml:space="preserve">27287 </t>
        </is>
      </c>
      <c r="E733" s="1" t="inlineStr">
        <is>
          <t xml:space="preserve">30232282       </t>
        </is>
      </c>
      <c r="F733" s="5" t="inlineStr">
        <is>
          <t>MANDIBULAS JUEGO DE PESCA</t>
        </is>
      </c>
      <c r="G733" t="n">
        <v>1</v>
      </c>
      <c r="H733" s="7" t="n">
        <v>119</v>
      </c>
      <c r="I733" s="7" t="n">
        <v>0</v>
      </c>
      <c r="J733" s="7" t="n">
        <v>0</v>
      </c>
      <c r="K733" s="9" t="n">
        <v>0</v>
      </c>
      <c r="L733" s="10" t="n">
        <v>70.59999999999999</v>
      </c>
      <c r="M733" s="10" t="n">
        <v>1.43</v>
      </c>
      <c r="N733" t="inlineStr">
        <is>
          <t>1</t>
        </is>
      </c>
      <c r="O733" t="inlineStr">
        <is>
          <t>16</t>
        </is>
      </c>
      <c r="P733" t="inlineStr">
        <is>
          <t xml:space="preserve">102135  </t>
        </is>
      </c>
      <c r="Q733" s="26" t="n">
        <v>70.59</v>
      </c>
      <c r="R733" s="26">
        <f>Q733*G733</f>
        <v/>
      </c>
      <c r="S733" s="26">
        <f>IFERROR(VLOOKUP(E733*1,Tabla[#All],8,0),0)</f>
        <v/>
      </c>
      <c r="T733" s="26">
        <f>S733*G733</f>
        <v/>
      </c>
      <c r="U733" s="26">
        <f>R733-T733</f>
        <v/>
      </c>
      <c r="V733" s="26">
        <f>U733-L733</f>
        <v/>
      </c>
    </row>
    <row r="734">
      <c r="A734" s="11" t="n">
        <v>46210</v>
      </c>
      <c r="B734" s="1" t="n">
        <v>20074</v>
      </c>
      <c r="C734" s="1" t="inlineStr">
        <is>
          <t>048</t>
        </is>
      </c>
      <c r="D734" s="1" t="inlineStr">
        <is>
          <t>144606</t>
        </is>
      </c>
      <c r="E734" s="1" t="inlineStr">
        <is>
          <t xml:space="preserve">28194770       </t>
        </is>
      </c>
      <c r="F734" s="5" t="inlineStr">
        <is>
          <t>AUTOS DE METAL 3 TEAMSTERZ EN BLISTER</t>
        </is>
      </c>
      <c r="G734" t="n">
        <v>1</v>
      </c>
      <c r="H734" s="7" t="n">
        <v>6.9</v>
      </c>
      <c r="I734" s="7" t="n">
        <v>0</v>
      </c>
      <c r="J734" s="7" t="n">
        <v>0</v>
      </c>
      <c r="K734" s="9" t="n">
        <v>0</v>
      </c>
      <c r="L734" s="10" t="n">
        <v>4.1</v>
      </c>
      <c r="M734" s="10" t="n">
        <v>1.43</v>
      </c>
      <c r="N734" t="inlineStr">
        <is>
          <t>1</t>
        </is>
      </c>
      <c r="O734" t="inlineStr">
        <is>
          <t>16</t>
        </is>
      </c>
      <c r="P734" t="inlineStr">
        <is>
          <t xml:space="preserve">233574  </t>
        </is>
      </c>
      <c r="Q734" s="26" t="n">
        <v>4.09</v>
      </c>
      <c r="R734" s="26">
        <f>Q734*G734</f>
        <v/>
      </c>
      <c r="S734" s="26">
        <f>IFERROR(VLOOKUP(E734*1,Tabla[#All],8,0),0)</f>
        <v/>
      </c>
      <c r="T734" s="26">
        <f>S734*G734</f>
        <v/>
      </c>
      <c r="U734" s="26">
        <f>R734-T734</f>
        <v/>
      </c>
      <c r="V734" s="26">
        <f>U734-L734</f>
        <v/>
      </c>
    </row>
    <row r="735">
      <c r="A735" s="11" t="n">
        <v>46210</v>
      </c>
      <c r="B735" s="1" t="n">
        <v>20077</v>
      </c>
      <c r="C735" s="1" t="inlineStr">
        <is>
          <t>011</t>
        </is>
      </c>
      <c r="D735" s="1" t="inlineStr">
        <is>
          <t xml:space="preserve">83389 </t>
        </is>
      </c>
      <c r="E735" s="1" t="inlineStr">
        <is>
          <t xml:space="preserve">31675352       </t>
        </is>
      </c>
      <c r="F735" s="5" t="inlineStr">
        <is>
          <t>MI PEQUENO NENUCO</t>
        </is>
      </c>
      <c r="G735" t="n">
        <v>1</v>
      </c>
      <c r="H735" s="7" t="n">
        <v>69.90000000000001</v>
      </c>
      <c r="I735" s="7" t="n">
        <v>0</v>
      </c>
      <c r="J735" s="7" t="n">
        <v>0</v>
      </c>
      <c r="K735" s="9" t="n">
        <v>0</v>
      </c>
      <c r="L735" s="10" t="n">
        <v>41.47</v>
      </c>
      <c r="M735" s="10" t="n">
        <v>1.43</v>
      </c>
      <c r="N735" t="inlineStr">
        <is>
          <t>1</t>
        </is>
      </c>
      <c r="O735" t="inlineStr">
        <is>
          <t xml:space="preserve">2 </t>
        </is>
      </c>
      <c r="P735" t="inlineStr">
        <is>
          <t xml:space="preserve">62762   </t>
        </is>
      </c>
      <c r="Q735" s="26" t="n">
        <v>41.47</v>
      </c>
      <c r="R735" s="26">
        <f>Q735*G735</f>
        <v/>
      </c>
      <c r="S735" s="26">
        <f>IFERROR(VLOOKUP(E735*1,Tabla[#All],8,0),0)</f>
        <v/>
      </c>
      <c r="T735" s="26">
        <f>S735*G735</f>
        <v/>
      </c>
      <c r="U735" s="26">
        <f>R735-T735</f>
        <v/>
      </c>
      <c r="V735" s="26">
        <f>U735-L735</f>
        <v/>
      </c>
    </row>
    <row r="736">
      <c r="A736" s="11" t="n">
        <v>46210</v>
      </c>
      <c r="B736" s="1" t="n">
        <v>20077</v>
      </c>
      <c r="C736" s="1" t="inlineStr">
        <is>
          <t>011</t>
        </is>
      </c>
      <c r="D736" s="1" t="inlineStr">
        <is>
          <t xml:space="preserve">83464 </t>
        </is>
      </c>
      <c r="E736" s="1" t="inlineStr">
        <is>
          <t xml:space="preserve">30232284       </t>
        </is>
      </c>
      <c r="F736" s="5" t="inlineStr">
        <is>
          <t>INFINITY NADO TROMPO DE BATALLA - METAL C/PUNTA DE</t>
        </is>
      </c>
      <c r="G736" t="n">
        <v>1</v>
      </c>
      <c r="H736" s="7" t="n">
        <v>49.9</v>
      </c>
      <c r="I736" s="7" t="n">
        <v>0</v>
      </c>
      <c r="J736" s="7" t="n">
        <v>0</v>
      </c>
      <c r="K736" s="9" t="n">
        <v>0</v>
      </c>
      <c r="L736" s="10" t="n">
        <v>29.6</v>
      </c>
      <c r="M736" s="10" t="n">
        <v>1.43</v>
      </c>
      <c r="N736" t="inlineStr">
        <is>
          <t>1</t>
        </is>
      </c>
      <c r="O736" t="inlineStr">
        <is>
          <t xml:space="preserve">2 </t>
        </is>
      </c>
      <c r="P736" t="inlineStr">
        <is>
          <t xml:space="preserve">62762   </t>
        </is>
      </c>
      <c r="Q736" s="26" t="n">
        <v>29.6</v>
      </c>
      <c r="R736" s="26">
        <f>Q736*G736</f>
        <v/>
      </c>
      <c r="S736" s="26">
        <f>IFERROR(VLOOKUP(E736*1,Tabla[#All],8,0),0)</f>
        <v/>
      </c>
      <c r="T736" s="26">
        <f>S736*G736</f>
        <v/>
      </c>
      <c r="U736" s="26">
        <f>R736-T736</f>
        <v/>
      </c>
      <c r="V736" s="26">
        <f>U736-L736</f>
        <v/>
      </c>
    </row>
    <row r="737">
      <c r="A737" s="11" t="n">
        <v>46210</v>
      </c>
      <c r="B737" s="1" t="n">
        <v>20077</v>
      </c>
      <c r="C737" s="1" t="inlineStr">
        <is>
          <t>031</t>
        </is>
      </c>
      <c r="D737" s="1" t="inlineStr">
        <is>
          <t>186238</t>
        </is>
      </c>
      <c r="E737" s="1" t="inlineStr">
        <is>
          <t xml:space="preserve">28194770       </t>
        </is>
      </c>
      <c r="F737" s="5" t="inlineStr">
        <is>
          <t>AUTOS DE METAL 3 TEAMSTERZ EN BLISTER</t>
        </is>
      </c>
      <c r="G737" t="n">
        <v>1</v>
      </c>
      <c r="H737" s="7" t="n">
        <v>6.9</v>
      </c>
      <c r="I737" s="7" t="n">
        <v>0</v>
      </c>
      <c r="J737" s="7" t="n">
        <v>0</v>
      </c>
      <c r="K737" s="9" t="n">
        <v>0</v>
      </c>
      <c r="L737" s="10" t="n">
        <v>4.1</v>
      </c>
      <c r="M737" s="10" t="n">
        <v>1.43</v>
      </c>
      <c r="N737" t="inlineStr">
        <is>
          <t>1</t>
        </is>
      </c>
      <c r="O737" t="inlineStr">
        <is>
          <t>16</t>
        </is>
      </c>
      <c r="P737" t="inlineStr">
        <is>
          <t xml:space="preserve">238746  </t>
        </is>
      </c>
      <c r="Q737" s="26" t="n">
        <v>4.09</v>
      </c>
      <c r="R737" s="26">
        <f>Q737*G737</f>
        <v/>
      </c>
      <c r="S737" s="26">
        <f>IFERROR(VLOOKUP(E737*1,Tabla[#All],8,0),0)</f>
        <v/>
      </c>
      <c r="T737" s="26">
        <f>S737*G737</f>
        <v/>
      </c>
      <c r="U737" s="26">
        <f>R737-T737</f>
        <v/>
      </c>
      <c r="V737" s="26">
        <f>U737-L737</f>
        <v/>
      </c>
    </row>
    <row r="738">
      <c r="A738" s="11" t="n">
        <v>46210</v>
      </c>
      <c r="B738" s="1" t="n">
        <v>20077</v>
      </c>
      <c r="C738" s="1" t="inlineStr">
        <is>
          <t>031</t>
        </is>
      </c>
      <c r="D738" s="1" t="inlineStr">
        <is>
          <t xml:space="preserve">2051  </t>
        </is>
      </c>
      <c r="E738" s="1" t="inlineStr">
        <is>
          <t xml:space="preserve">28194770       </t>
        </is>
      </c>
      <c r="F738" s="5" t="inlineStr">
        <is>
          <t>AUTOS DE METAL 3 TEAMSTERZ EN BLISTER</t>
        </is>
      </c>
      <c r="G738" t="n">
        <v>1</v>
      </c>
      <c r="H738" s="7" t="n">
        <v>6.9</v>
      </c>
      <c r="I738" s="7" t="n">
        <v>0</v>
      </c>
      <c r="J738" s="7" t="n">
        <v>0</v>
      </c>
      <c r="K738" s="9" t="n">
        <v>0</v>
      </c>
      <c r="L738" s="10" t="n">
        <v>4.1</v>
      </c>
      <c r="M738" s="10" t="n">
        <v>1.43</v>
      </c>
      <c r="N738" t="inlineStr">
        <is>
          <t>1</t>
        </is>
      </c>
      <c r="O738" t="inlineStr">
        <is>
          <t xml:space="preserve">3 </t>
        </is>
      </c>
      <c r="P738" t="inlineStr">
        <is>
          <t xml:space="preserve">238746  </t>
        </is>
      </c>
      <c r="Q738" s="26" t="n">
        <v>4.09</v>
      </c>
      <c r="R738" s="26">
        <f>Q738*G738</f>
        <v/>
      </c>
      <c r="S738" s="26">
        <f>IFERROR(VLOOKUP(E738*1,Tabla[#All],8,0),0)</f>
        <v/>
      </c>
      <c r="T738" s="26">
        <f>S738*G738</f>
        <v/>
      </c>
      <c r="U738" s="26">
        <f>R738-T738</f>
        <v/>
      </c>
      <c r="V738" s="26">
        <f>U738-L738</f>
        <v/>
      </c>
    </row>
    <row r="739">
      <c r="A739" s="11" t="n">
        <v>46210</v>
      </c>
      <c r="B739" s="1" t="n">
        <v>20077</v>
      </c>
      <c r="C739" s="1" t="inlineStr">
        <is>
          <t>031</t>
        </is>
      </c>
      <c r="D739" s="1" t="inlineStr">
        <is>
          <t xml:space="preserve">2051  </t>
        </is>
      </c>
      <c r="E739" s="1" t="inlineStr">
        <is>
          <t xml:space="preserve">28194770       </t>
        </is>
      </c>
      <c r="F739" s="5" t="inlineStr">
        <is>
          <t>AUTOS DE METAL 3 TEAMSTERZ EN BLISTER</t>
        </is>
      </c>
      <c r="G739" t="n">
        <v>1</v>
      </c>
      <c r="H739" s="7" t="n">
        <v>6.9</v>
      </c>
      <c r="I739" s="7" t="n">
        <v>0</v>
      </c>
      <c r="J739" s="7" t="n">
        <v>0</v>
      </c>
      <c r="K739" s="9" t="n">
        <v>0</v>
      </c>
      <c r="L739" s="10" t="n">
        <v>4.1</v>
      </c>
      <c r="M739" s="10" t="n">
        <v>1.43</v>
      </c>
      <c r="N739" t="inlineStr">
        <is>
          <t>1</t>
        </is>
      </c>
      <c r="O739" t="inlineStr">
        <is>
          <t xml:space="preserve">3 </t>
        </is>
      </c>
      <c r="P739" t="inlineStr">
        <is>
          <t xml:space="preserve">238746  </t>
        </is>
      </c>
      <c r="Q739" s="26" t="n">
        <v>4.09</v>
      </c>
      <c r="R739" s="26">
        <f>Q739*G739</f>
        <v/>
      </c>
      <c r="S739" s="26">
        <f>IFERROR(VLOOKUP(E739*1,Tabla[#All],8,0),0)</f>
        <v/>
      </c>
      <c r="T739" s="26">
        <f>S739*G739</f>
        <v/>
      </c>
      <c r="U739" s="26">
        <f>R739-T739</f>
        <v/>
      </c>
      <c r="V739" s="26">
        <f>U739-L739</f>
        <v/>
      </c>
    </row>
    <row r="740">
      <c r="A740" s="11" t="n">
        <v>46210</v>
      </c>
      <c r="B740" s="1" t="n">
        <v>20077</v>
      </c>
      <c r="C740" s="1" t="inlineStr">
        <is>
          <t>514</t>
        </is>
      </c>
      <c r="D740" s="1" t="inlineStr">
        <is>
          <t xml:space="preserve">4847  </t>
        </is>
      </c>
      <c r="E740" s="1" t="inlineStr">
        <is>
          <t xml:space="preserve">28194780       </t>
        </is>
      </c>
      <c r="F740" s="5" t="inlineStr">
        <is>
          <t>TROMPO BATALLA INFINITY NADO PLSTICO SURTIDO</t>
        </is>
      </c>
      <c r="G740" t="n">
        <v>1</v>
      </c>
      <c r="H740" s="7" t="n">
        <v>19.9</v>
      </c>
      <c r="I740" s="7" t="n">
        <v>0</v>
      </c>
      <c r="J740" s="7" t="n">
        <v>0</v>
      </c>
      <c r="K740" s="9" t="n">
        <v>0</v>
      </c>
      <c r="L740" s="10" t="n">
        <v>11.8</v>
      </c>
      <c r="M740" s="10" t="n">
        <v>1.43</v>
      </c>
      <c r="N740" t="inlineStr">
        <is>
          <t>1</t>
        </is>
      </c>
      <c r="O740" t="inlineStr">
        <is>
          <t>16</t>
        </is>
      </c>
      <c r="P740" t="inlineStr">
        <is>
          <t xml:space="preserve">251066  </t>
        </is>
      </c>
      <c r="Q740" s="26" t="n">
        <v>11.81</v>
      </c>
      <c r="R740" s="26">
        <f>Q740*G740</f>
        <v/>
      </c>
      <c r="S740" s="26">
        <f>IFERROR(VLOOKUP(E740*1,Tabla[#All],8,0),0)</f>
        <v/>
      </c>
      <c r="T740" s="26">
        <f>S740*G740</f>
        <v/>
      </c>
      <c r="U740" s="26">
        <f>R740-T740</f>
        <v/>
      </c>
      <c r="V740" s="26">
        <f>U740-L740</f>
        <v/>
      </c>
    </row>
    <row r="741">
      <c r="A741" s="11" t="n">
        <v>46210</v>
      </c>
      <c r="B741" s="1" t="n">
        <v>20080</v>
      </c>
      <c r="C741" s="1" t="inlineStr">
        <is>
          <t>029</t>
        </is>
      </c>
      <c r="D741" s="1" t="inlineStr">
        <is>
          <t>224972</t>
        </is>
      </c>
      <c r="E741" s="1" t="inlineStr">
        <is>
          <t xml:space="preserve">31754675       </t>
        </is>
      </c>
      <c r="F741" s="5" t="inlineStr">
        <is>
          <t>INFINITY NADO SERIE 6 STARTER PACK - 4 MODELOS</t>
        </is>
      </c>
      <c r="G741" t="n">
        <v>1</v>
      </c>
      <c r="H741" s="7" t="n">
        <v>69.90000000000001</v>
      </c>
      <c r="I741" s="7" t="n">
        <v>0</v>
      </c>
      <c r="J741" s="7" t="n">
        <v>0</v>
      </c>
      <c r="K741" s="9" t="n">
        <v>0</v>
      </c>
      <c r="L741" s="10" t="n">
        <v>41.47</v>
      </c>
      <c r="M741" s="10" t="n">
        <v>1.43</v>
      </c>
      <c r="N741" t="inlineStr">
        <is>
          <t>1</t>
        </is>
      </c>
      <c r="O741" t="inlineStr">
        <is>
          <t>16</t>
        </is>
      </c>
      <c r="P741" t="inlineStr">
        <is>
          <t xml:space="preserve">66621   </t>
        </is>
      </c>
      <c r="Q741" s="26" t="n">
        <v>41.47</v>
      </c>
      <c r="R741" s="26">
        <f>Q741*G741</f>
        <v/>
      </c>
      <c r="S741" s="26">
        <f>IFERROR(VLOOKUP(E741*1,Tabla[#All],8,0),0)</f>
        <v/>
      </c>
      <c r="T741" s="26">
        <f>S741*G741</f>
        <v/>
      </c>
      <c r="U741" s="26">
        <f>R741-T741</f>
        <v/>
      </c>
      <c r="V741" s="26">
        <f>U741-L741</f>
        <v/>
      </c>
    </row>
    <row r="742">
      <c r="A742" s="11" t="n">
        <v>46210</v>
      </c>
      <c r="B742" s="1" t="n">
        <v>20088</v>
      </c>
      <c r="C742" s="1" t="inlineStr">
        <is>
          <t>021</t>
        </is>
      </c>
      <c r="D742" s="1" t="inlineStr">
        <is>
          <t xml:space="preserve">48428 </t>
        </is>
      </c>
      <c r="E742" s="1" t="inlineStr">
        <is>
          <t xml:space="preserve">29235706       </t>
        </is>
      </c>
      <c r="F742" s="5" t="inlineStr">
        <is>
          <t>TEAMSTERZ CAMION PARA GUARDAR 12 AUTOS INCL 4 AUTO</t>
        </is>
      </c>
      <c r="G742" t="n">
        <v>1</v>
      </c>
      <c r="H742" s="7" t="n">
        <v>59.9</v>
      </c>
      <c r="I742" s="7" t="n">
        <v>0</v>
      </c>
      <c r="J742" s="7" t="n">
        <v>0</v>
      </c>
      <c r="K742" s="9" t="n">
        <v>0</v>
      </c>
      <c r="L742" s="10" t="n">
        <v>35.53</v>
      </c>
      <c r="M742" s="10" t="n">
        <v>1.43</v>
      </c>
      <c r="N742" t="inlineStr">
        <is>
          <t>1</t>
        </is>
      </c>
      <c r="O742" t="inlineStr">
        <is>
          <t>16</t>
        </is>
      </c>
      <c r="P742" t="inlineStr">
        <is>
          <t xml:space="preserve">233525  </t>
        </is>
      </c>
      <c r="Q742" s="26" t="n">
        <v>35.53</v>
      </c>
      <c r="R742" s="26">
        <f>Q742*G742</f>
        <v/>
      </c>
      <c r="S742" s="26">
        <f>IFERROR(VLOOKUP(E742*1,Tabla[#All],8,0),0)</f>
        <v/>
      </c>
      <c r="T742" s="26">
        <f>S742*G742</f>
        <v/>
      </c>
      <c r="U742" s="26">
        <f>R742-T742</f>
        <v/>
      </c>
      <c r="V742" s="26">
        <f>U742-L742</f>
        <v/>
      </c>
    </row>
    <row r="743">
      <c r="A743" s="11" t="n">
        <v>46210</v>
      </c>
      <c r="B743" s="1" t="n">
        <v>20088</v>
      </c>
      <c r="C743" s="1" t="inlineStr">
        <is>
          <t>021</t>
        </is>
      </c>
      <c r="D743" s="1" t="inlineStr">
        <is>
          <t xml:space="preserve">48455 </t>
        </is>
      </c>
      <c r="E743" s="1" t="inlineStr">
        <is>
          <t xml:space="preserve">31754676       </t>
        </is>
      </c>
      <c r="F743" s="5" t="inlineStr">
        <is>
          <t>INFINITY NADO SERIE 6 STD PACK LANZ ESPAD ANILLO M</t>
        </is>
      </c>
      <c r="G743" t="n">
        <v>1</v>
      </c>
      <c r="H743" s="7" t="n">
        <v>59.9</v>
      </c>
      <c r="I743" s="7" t="n">
        <v>0</v>
      </c>
      <c r="J743" s="7" t="n">
        <v>0</v>
      </c>
      <c r="K743" s="9" t="n">
        <v>0</v>
      </c>
      <c r="L743" s="10" t="n">
        <v>35.53</v>
      </c>
      <c r="M743" s="10" t="n">
        <v>1.43</v>
      </c>
      <c r="N743" t="inlineStr">
        <is>
          <t>1</t>
        </is>
      </c>
      <c r="O743" t="inlineStr">
        <is>
          <t xml:space="preserve">3 </t>
        </is>
      </c>
      <c r="P743" t="inlineStr">
        <is>
          <t xml:space="preserve">233525  </t>
        </is>
      </c>
      <c r="Q743" s="26" t="n">
        <v>47.4</v>
      </c>
      <c r="R743" s="26">
        <f>Q743*G743</f>
        <v/>
      </c>
      <c r="S743" s="26">
        <f>IFERROR(VLOOKUP(E743*1,Tabla[#All],8,0),0)</f>
        <v/>
      </c>
      <c r="T743" s="26">
        <f>S743*G743</f>
        <v/>
      </c>
      <c r="U743" s="26">
        <f>R743-T743</f>
        <v/>
      </c>
      <c r="V743" s="26">
        <f>U743-L743</f>
        <v/>
      </c>
    </row>
    <row r="744">
      <c r="A744" s="11" t="n">
        <v>46210</v>
      </c>
      <c r="B744" s="1" t="n">
        <v>20088</v>
      </c>
      <c r="C744" s="1" t="inlineStr">
        <is>
          <t>034</t>
        </is>
      </c>
      <c r="D744" s="1" t="inlineStr">
        <is>
          <t xml:space="preserve">15686 </t>
        </is>
      </c>
      <c r="E744" s="1" t="inlineStr">
        <is>
          <t xml:space="preserve">30141766       </t>
        </is>
      </c>
      <c r="F744" s="5" t="inlineStr">
        <is>
          <t>TMZ BEAST MACHINES AUTOS DE METAL BLISTER X 1</t>
        </is>
      </c>
      <c r="G744" t="n">
        <v>1</v>
      </c>
      <c r="H744" s="7" t="n">
        <v>7.9</v>
      </c>
      <c r="I744" s="7" t="n">
        <v>0</v>
      </c>
      <c r="J744" s="7" t="n">
        <v>0</v>
      </c>
      <c r="K744" s="9" t="n">
        <v>0</v>
      </c>
      <c r="L744" s="10" t="n">
        <v>4.68</v>
      </c>
      <c r="M744" s="10" t="n">
        <v>1.43</v>
      </c>
      <c r="N744" t="inlineStr">
        <is>
          <t>1</t>
        </is>
      </c>
      <c r="O744" t="inlineStr">
        <is>
          <t xml:space="preserve">2 </t>
        </is>
      </c>
      <c r="P744" t="inlineStr">
        <is>
          <t xml:space="preserve">41294   </t>
        </is>
      </c>
      <c r="Q744" s="26" t="n">
        <v>4.69</v>
      </c>
      <c r="R744" s="26">
        <f>Q744*G744</f>
        <v/>
      </c>
      <c r="S744" s="26">
        <f>IFERROR(VLOOKUP(E744*1,Tabla[#All],8,0),0)</f>
        <v/>
      </c>
      <c r="T744" s="26">
        <f>S744*G744</f>
        <v/>
      </c>
      <c r="U744" s="26">
        <f>R744-T744</f>
        <v/>
      </c>
      <c r="V744" s="26">
        <f>U744-L744</f>
        <v/>
      </c>
    </row>
    <row r="745">
      <c r="A745" s="11" t="n">
        <v>46210</v>
      </c>
      <c r="B745" s="1" t="n">
        <v>20088</v>
      </c>
      <c r="C745" s="1" t="inlineStr">
        <is>
          <t>034</t>
        </is>
      </c>
      <c r="D745" s="1" t="inlineStr">
        <is>
          <t xml:space="preserve">15686 </t>
        </is>
      </c>
      <c r="E745" s="1" t="inlineStr">
        <is>
          <t xml:space="preserve">30141766       </t>
        </is>
      </c>
      <c r="F745" s="5" t="inlineStr">
        <is>
          <t>TMZ BEAST MACHINES AUTOS DE METAL BLISTER X 1</t>
        </is>
      </c>
      <c r="G745" t="n">
        <v>1</v>
      </c>
      <c r="H745" s="7" t="n">
        <v>7.9</v>
      </c>
      <c r="I745" s="7" t="n">
        <v>0</v>
      </c>
      <c r="J745" s="7" t="n">
        <v>0</v>
      </c>
      <c r="K745" s="9" t="n">
        <v>0</v>
      </c>
      <c r="L745" s="10" t="n">
        <v>4.68</v>
      </c>
      <c r="M745" s="10" t="n">
        <v>1.43</v>
      </c>
      <c r="N745" t="inlineStr">
        <is>
          <t>1</t>
        </is>
      </c>
      <c r="O745" t="inlineStr">
        <is>
          <t xml:space="preserve">2 </t>
        </is>
      </c>
      <c r="P745" t="inlineStr">
        <is>
          <t xml:space="preserve">41294   </t>
        </is>
      </c>
      <c r="Q745" s="26" t="n">
        <v>4.69</v>
      </c>
      <c r="R745" s="26">
        <f>Q745*G745</f>
        <v/>
      </c>
      <c r="S745" s="26">
        <f>IFERROR(VLOOKUP(E745*1,Tabla[#All],8,0),0)</f>
        <v/>
      </c>
      <c r="T745" s="26">
        <f>S745*G745</f>
        <v/>
      </c>
      <c r="U745" s="26">
        <f>R745-T745</f>
        <v/>
      </c>
      <c r="V745" s="26">
        <f>U745-L745</f>
        <v/>
      </c>
    </row>
    <row r="746">
      <c r="A746" s="11" t="n">
        <v>46210</v>
      </c>
      <c r="B746" s="1" t="n">
        <v>20089</v>
      </c>
      <c r="C746" s="1" t="inlineStr">
        <is>
          <t>025</t>
        </is>
      </c>
      <c r="D746" s="1" t="inlineStr">
        <is>
          <t>121394</t>
        </is>
      </c>
      <c r="E746" s="1" t="inlineStr">
        <is>
          <t xml:space="preserve">33661538       </t>
        </is>
      </c>
      <c r="F746" s="5" t="inlineStr">
        <is>
          <t>HOT WHEELS CASE GARAGE RUEDA METAL EN LLAMAS X 29</t>
        </is>
      </c>
      <c r="G746" t="n">
        <v>1</v>
      </c>
      <c r="H746" s="7" t="n">
        <v>69.90000000000001</v>
      </c>
      <c r="I746" s="7" t="n">
        <v>0</v>
      </c>
      <c r="J746" s="7" t="n">
        <v>0</v>
      </c>
      <c r="K746" s="9" t="n">
        <v>0</v>
      </c>
      <c r="L746" s="10" t="n">
        <v>41.47</v>
      </c>
      <c r="M746" s="10" t="n">
        <v>1.43</v>
      </c>
      <c r="N746" t="inlineStr">
        <is>
          <t>1</t>
        </is>
      </c>
      <c r="O746" t="inlineStr">
        <is>
          <t>16</t>
        </is>
      </c>
      <c r="P746" t="inlineStr">
        <is>
          <t xml:space="preserve">94948   </t>
        </is>
      </c>
      <c r="Q746" s="26" t="n">
        <v>41.47</v>
      </c>
      <c r="R746" s="26">
        <f>Q746*G746</f>
        <v/>
      </c>
      <c r="S746" s="26">
        <f>IFERROR(VLOOKUP(E746*1,Tabla[#All],8,0),0)</f>
        <v/>
      </c>
      <c r="T746" s="26">
        <f>S746*G746</f>
        <v/>
      </c>
      <c r="U746" s="26">
        <f>R746-T746</f>
        <v/>
      </c>
      <c r="V746" s="26">
        <f>U746-L746</f>
        <v/>
      </c>
    </row>
    <row r="747">
      <c r="A747" s="11" t="n">
        <v>46210</v>
      </c>
      <c r="B747" s="1" t="n">
        <v>20089</v>
      </c>
      <c r="C747" s="1" t="inlineStr">
        <is>
          <t>026</t>
        </is>
      </c>
      <c r="D747" s="1" t="inlineStr">
        <is>
          <t xml:space="preserve">1993  </t>
        </is>
      </c>
      <c r="E747" s="1" t="inlineStr">
        <is>
          <t xml:space="preserve">28194770       </t>
        </is>
      </c>
      <c r="F747" s="5" t="inlineStr">
        <is>
          <t>AUTOS DE METAL 3 TEAMSTERZ EN BLISTER</t>
        </is>
      </c>
      <c r="G747" t="n">
        <v>1</v>
      </c>
      <c r="H747" s="7" t="n">
        <v>6.9</v>
      </c>
      <c r="I747" s="7" t="n">
        <v>0</v>
      </c>
      <c r="J747" s="7" t="n">
        <v>0</v>
      </c>
      <c r="K747" s="9" t="n">
        <v>0</v>
      </c>
      <c r="L747" s="10" t="n">
        <v>4.1</v>
      </c>
      <c r="M747" s="10" t="n">
        <v>1.43</v>
      </c>
      <c r="N747" t="inlineStr">
        <is>
          <t>1</t>
        </is>
      </c>
      <c r="O747" t="inlineStr">
        <is>
          <t>16</t>
        </is>
      </c>
      <c r="P747" t="inlineStr">
        <is>
          <t xml:space="preserve">238367  </t>
        </is>
      </c>
      <c r="Q747" s="26" t="n">
        <v>4.09</v>
      </c>
      <c r="R747" s="26">
        <f>Q747*G747</f>
        <v/>
      </c>
      <c r="S747" s="26">
        <f>IFERROR(VLOOKUP(E747*1,Tabla[#All],8,0),0)</f>
        <v/>
      </c>
      <c r="T747" s="26">
        <f>S747*G747</f>
        <v/>
      </c>
      <c r="U747" s="26">
        <f>R747-T747</f>
        <v/>
      </c>
      <c r="V747" s="26">
        <f>U747-L747</f>
        <v/>
      </c>
    </row>
    <row r="748">
      <c r="A748" s="11" t="n">
        <v>46210</v>
      </c>
      <c r="B748" s="1" t="n">
        <v>20089</v>
      </c>
      <c r="C748" s="1" t="inlineStr">
        <is>
          <t>026</t>
        </is>
      </c>
      <c r="D748" s="1" t="inlineStr">
        <is>
          <t xml:space="preserve">87462 </t>
        </is>
      </c>
      <c r="E748" s="1" t="inlineStr">
        <is>
          <t xml:space="preserve">28194770       </t>
        </is>
      </c>
      <c r="F748" s="5" t="inlineStr">
        <is>
          <t>AUTOS DE METAL 3 TEAMSTERZ EN BLISTER</t>
        </is>
      </c>
      <c r="G748" t="n">
        <v>1</v>
      </c>
      <c r="H748" s="7" t="n">
        <v>6.9</v>
      </c>
      <c r="I748" s="7" t="n">
        <v>0</v>
      </c>
      <c r="J748" s="7" t="n">
        <v>0</v>
      </c>
      <c r="K748" s="9" t="n">
        <v>0</v>
      </c>
      <c r="L748" s="10" t="n">
        <v>4.1</v>
      </c>
      <c r="M748" s="10" t="n">
        <v>1.43</v>
      </c>
      <c r="N748" t="inlineStr">
        <is>
          <t>1</t>
        </is>
      </c>
      <c r="O748" t="inlineStr">
        <is>
          <t>16</t>
        </is>
      </c>
      <c r="P748" t="inlineStr">
        <is>
          <t xml:space="preserve">238367  </t>
        </is>
      </c>
      <c r="Q748" s="26" t="n">
        <v>4.09</v>
      </c>
      <c r="R748" s="26">
        <f>Q748*G748</f>
        <v/>
      </c>
      <c r="S748" s="26">
        <f>IFERROR(VLOOKUP(E748*1,Tabla[#All],8,0),0)</f>
        <v/>
      </c>
      <c r="T748" s="26">
        <f>S748*G748</f>
        <v/>
      </c>
      <c r="U748" s="26">
        <f>R748-T748</f>
        <v/>
      </c>
      <c r="V748" s="26">
        <f>U748-L748</f>
        <v/>
      </c>
    </row>
    <row r="749">
      <c r="A749" s="11" t="n">
        <v>46210</v>
      </c>
      <c r="B749" s="1" t="n">
        <v>20089</v>
      </c>
      <c r="C749" s="1" t="inlineStr">
        <is>
          <t>860</t>
        </is>
      </c>
      <c r="D749" s="1" t="inlineStr">
        <is>
          <t xml:space="preserve">9396  </t>
        </is>
      </c>
      <c r="E749" s="1" t="inlineStr">
        <is>
          <t xml:space="preserve">32457103       </t>
        </is>
      </c>
      <c r="F749" s="5" t="inlineStr">
        <is>
          <t>TMZ BEAST MACHINES MONSTER JAWS A FRICCION PACK DE</t>
        </is>
      </c>
      <c r="G749" t="n">
        <v>1</v>
      </c>
      <c r="H749" s="7" t="n">
        <v>37.9</v>
      </c>
      <c r="I749" s="7" t="n">
        <v>0</v>
      </c>
      <c r="J749" s="7" t="n">
        <v>0</v>
      </c>
      <c r="K749" s="9" t="n">
        <v>0</v>
      </c>
      <c r="L749" s="10" t="n">
        <v>22.48</v>
      </c>
      <c r="M749" s="10" t="n">
        <v>1.43</v>
      </c>
      <c r="N749" t="inlineStr">
        <is>
          <t>1</t>
        </is>
      </c>
      <c r="O749" t="inlineStr">
        <is>
          <t>16</t>
        </is>
      </c>
      <c r="P749" t="inlineStr">
        <is>
          <t xml:space="preserve">0       </t>
        </is>
      </c>
      <c r="Q749" s="26" t="n">
        <v>22.48</v>
      </c>
      <c r="R749" s="26">
        <f>Q749*G749</f>
        <v/>
      </c>
      <c r="S749" s="26">
        <f>IFERROR(VLOOKUP(E749*1,Tabla[#All],8,0),0)</f>
        <v/>
      </c>
      <c r="T749" s="26">
        <f>S749*G749</f>
        <v/>
      </c>
      <c r="U749" s="26">
        <f>R749-T749</f>
        <v/>
      </c>
      <c r="V749" s="26">
        <f>U749-L749</f>
        <v/>
      </c>
    </row>
    <row r="750">
      <c r="A750" s="11" t="n">
        <v>46210</v>
      </c>
      <c r="B750" s="1" t="n">
        <v>20095</v>
      </c>
      <c r="C750" s="1" t="inlineStr">
        <is>
          <t>043</t>
        </is>
      </c>
      <c r="D750" s="1" t="inlineStr">
        <is>
          <t>107507</t>
        </is>
      </c>
      <c r="E750" s="1" t="inlineStr">
        <is>
          <t xml:space="preserve">30232284       </t>
        </is>
      </c>
      <c r="F750" s="5" t="inlineStr">
        <is>
          <t>INFINITY NADO TROMPO DE BATALLA - METAL C/PUNTA DE</t>
        </is>
      </c>
      <c r="G750" t="n">
        <v>1</v>
      </c>
      <c r="H750" s="7" t="n">
        <v>49.9</v>
      </c>
      <c r="I750" s="7" t="n">
        <v>0</v>
      </c>
      <c r="J750" s="7" t="n">
        <v>0</v>
      </c>
      <c r="K750" s="9" t="n">
        <v>0</v>
      </c>
      <c r="L750" s="10" t="n">
        <v>29.6</v>
      </c>
      <c r="M750" s="10" t="n">
        <v>1.43</v>
      </c>
      <c r="N750" t="inlineStr">
        <is>
          <t>1</t>
        </is>
      </c>
      <c r="O750" t="inlineStr">
        <is>
          <t xml:space="preserve">2 </t>
        </is>
      </c>
      <c r="P750" t="inlineStr">
        <is>
          <t xml:space="preserve">248388  </t>
        </is>
      </c>
      <c r="Q750" s="26" t="n">
        <v>29.6</v>
      </c>
      <c r="R750" s="26">
        <f>Q750*G750</f>
        <v/>
      </c>
      <c r="S750" s="26">
        <f>IFERROR(VLOOKUP(E750*1,Tabla[#All],8,0),0)</f>
        <v/>
      </c>
      <c r="T750" s="26">
        <f>S750*G750</f>
        <v/>
      </c>
      <c r="U750" s="26">
        <f>R750-T750</f>
        <v/>
      </c>
      <c r="V750" s="26">
        <f>U750-L750</f>
        <v/>
      </c>
    </row>
    <row r="751">
      <c r="A751" s="11" t="n">
        <v>46210</v>
      </c>
      <c r="B751" s="1" t="n">
        <v>20095</v>
      </c>
      <c r="C751" s="1" t="inlineStr">
        <is>
          <t>043</t>
        </is>
      </c>
      <c r="D751" s="1" t="inlineStr">
        <is>
          <t>107512</t>
        </is>
      </c>
      <c r="E751" s="1" t="inlineStr">
        <is>
          <t xml:space="preserve">31675354       </t>
        </is>
      </c>
      <c r="F751" s="5" t="inlineStr">
        <is>
          <t>NENUCO LLORON CON ACCESORIOS</t>
        </is>
      </c>
      <c r="G751" t="n">
        <v>1</v>
      </c>
      <c r="H751" s="7" t="n">
        <v>89.90000000000001</v>
      </c>
      <c r="I751" s="7" t="n">
        <v>0</v>
      </c>
      <c r="J751" s="7" t="n">
        <v>0</v>
      </c>
      <c r="K751" s="9" t="n">
        <v>0</v>
      </c>
      <c r="L751" s="10" t="n">
        <v>53.33</v>
      </c>
      <c r="M751" s="10" t="n">
        <v>1.43</v>
      </c>
      <c r="N751" t="inlineStr">
        <is>
          <t>1</t>
        </is>
      </c>
      <c r="O751" t="inlineStr">
        <is>
          <t>16</t>
        </is>
      </c>
      <c r="P751" t="inlineStr">
        <is>
          <t xml:space="preserve">248388  </t>
        </is>
      </c>
      <c r="Q751" s="26" t="n">
        <v>53.33</v>
      </c>
      <c r="R751" s="26">
        <f>Q751*G751</f>
        <v/>
      </c>
      <c r="S751" s="26">
        <f>IFERROR(VLOOKUP(E751*1,Tabla[#All],8,0),0)</f>
        <v/>
      </c>
      <c r="T751" s="26">
        <f>S751*G751</f>
        <v/>
      </c>
      <c r="U751" s="26">
        <f>R751-T751</f>
        <v/>
      </c>
      <c r="V751" s="26">
        <f>U751-L751</f>
        <v/>
      </c>
    </row>
    <row r="752">
      <c r="A752" s="11" t="n">
        <v>46210</v>
      </c>
      <c r="B752" s="1" t="n">
        <v>20095</v>
      </c>
      <c r="C752" s="1" t="inlineStr">
        <is>
          <t>044</t>
        </is>
      </c>
      <c r="D752" s="1" t="inlineStr">
        <is>
          <t xml:space="preserve">93113 </t>
        </is>
      </c>
      <c r="E752" s="1" t="inlineStr">
        <is>
          <t xml:space="preserve">28194770       </t>
        </is>
      </c>
      <c r="F752" s="5" t="inlineStr">
        <is>
          <t>AUTOS DE METAL 3 TEAMSTERZ EN BLISTER</t>
        </is>
      </c>
      <c r="G752" t="n">
        <v>1</v>
      </c>
      <c r="H752" s="7" t="n">
        <v>6.9</v>
      </c>
      <c r="I752" s="7" t="n">
        <v>0</v>
      </c>
      <c r="J752" s="7" t="n">
        <v>0</v>
      </c>
      <c r="K752" s="9" t="n">
        <v>0</v>
      </c>
      <c r="L752" s="10" t="n">
        <v>4.1</v>
      </c>
      <c r="M752" s="10" t="n">
        <v>1.43</v>
      </c>
      <c r="N752" t="inlineStr">
        <is>
          <t>1</t>
        </is>
      </c>
      <c r="O752" t="inlineStr">
        <is>
          <t xml:space="preserve">3 </t>
        </is>
      </c>
      <c r="P752" t="inlineStr">
        <is>
          <t xml:space="preserve">248294  </t>
        </is>
      </c>
      <c r="Q752" s="26" t="n">
        <v>4.09</v>
      </c>
      <c r="R752" s="26">
        <f>Q752*G752</f>
        <v/>
      </c>
      <c r="S752" s="26">
        <f>IFERROR(VLOOKUP(E752*1,Tabla[#All],8,0),0)</f>
        <v/>
      </c>
      <c r="T752" s="26">
        <f>S752*G752</f>
        <v/>
      </c>
      <c r="U752" s="26">
        <f>R752-T752</f>
        <v/>
      </c>
      <c r="V752" s="26">
        <f>U752-L752</f>
        <v/>
      </c>
    </row>
    <row r="753">
      <c r="A753" s="11" t="n">
        <v>46210</v>
      </c>
      <c r="B753" s="1" t="n">
        <v>20095</v>
      </c>
      <c r="C753" s="1" t="inlineStr">
        <is>
          <t>044</t>
        </is>
      </c>
      <c r="D753" s="1" t="inlineStr">
        <is>
          <t xml:space="preserve">93130 </t>
        </is>
      </c>
      <c r="E753" s="1" t="inlineStr">
        <is>
          <t xml:space="preserve">28194780       </t>
        </is>
      </c>
      <c r="F753" s="5" t="inlineStr">
        <is>
          <t>TROMPO BATALLA INFINITY NADO PLSTICO SURTIDO</t>
        </is>
      </c>
      <c r="G753" t="n">
        <v>1</v>
      </c>
      <c r="H753" s="7" t="n">
        <v>19.9</v>
      </c>
      <c r="I753" s="7" t="n">
        <v>0</v>
      </c>
      <c r="J753" s="7" t="n">
        <v>0</v>
      </c>
      <c r="K753" s="9" t="n">
        <v>0</v>
      </c>
      <c r="L753" s="10" t="n">
        <v>11.8</v>
      </c>
      <c r="M753" s="10" t="n">
        <v>1.43</v>
      </c>
      <c r="N753" t="inlineStr">
        <is>
          <t>1</t>
        </is>
      </c>
      <c r="O753" t="inlineStr">
        <is>
          <t>16</t>
        </is>
      </c>
      <c r="P753" t="inlineStr">
        <is>
          <t xml:space="preserve">248294  </t>
        </is>
      </c>
      <c r="Q753" s="26" t="n">
        <v>11.81</v>
      </c>
      <c r="R753" s="26">
        <f>Q753*G753</f>
        <v/>
      </c>
      <c r="S753" s="26">
        <f>IFERROR(VLOOKUP(E753*1,Tabla[#All],8,0),0)</f>
        <v/>
      </c>
      <c r="T753" s="26">
        <f>S753*G753</f>
        <v/>
      </c>
      <c r="U753" s="26">
        <f>R753-T753</f>
        <v/>
      </c>
      <c r="V753" s="26">
        <f>U753-L753</f>
        <v/>
      </c>
    </row>
    <row r="754">
      <c r="A754" s="11" t="n">
        <v>46210</v>
      </c>
      <c r="B754" s="1" t="n">
        <v>20095</v>
      </c>
      <c r="C754" s="1" t="inlineStr">
        <is>
          <t>044</t>
        </is>
      </c>
      <c r="D754" s="1" t="inlineStr">
        <is>
          <t xml:space="preserve">93130 </t>
        </is>
      </c>
      <c r="E754" s="1" t="inlineStr">
        <is>
          <t xml:space="preserve">28194780       </t>
        </is>
      </c>
      <c r="F754" s="5" t="inlineStr">
        <is>
          <t>TROMPO BATALLA INFINITY NADO PLSTICO SURTIDO</t>
        </is>
      </c>
      <c r="G754" t="n">
        <v>1</v>
      </c>
      <c r="H754" s="7" t="n">
        <v>19.9</v>
      </c>
      <c r="I754" s="7" t="n">
        <v>0</v>
      </c>
      <c r="J754" s="7" t="n">
        <v>0</v>
      </c>
      <c r="K754" s="9" t="n">
        <v>0</v>
      </c>
      <c r="L754" s="10" t="n">
        <v>11.8</v>
      </c>
      <c r="M754" s="10" t="n">
        <v>1.43</v>
      </c>
      <c r="N754" t="inlineStr">
        <is>
          <t>1</t>
        </is>
      </c>
      <c r="O754" t="inlineStr">
        <is>
          <t>16</t>
        </is>
      </c>
      <c r="P754" t="inlineStr">
        <is>
          <t xml:space="preserve">248294  </t>
        </is>
      </c>
      <c r="Q754" s="26" t="n">
        <v>11.81</v>
      </c>
      <c r="R754" s="26">
        <f>Q754*G754</f>
        <v/>
      </c>
      <c r="S754" s="26">
        <f>IFERROR(VLOOKUP(E754*1,Tabla[#All],8,0),0)</f>
        <v/>
      </c>
      <c r="T754" s="26">
        <f>S754*G754</f>
        <v/>
      </c>
      <c r="U754" s="26">
        <f>R754-T754</f>
        <v/>
      </c>
      <c r="V754" s="26">
        <f>U754-L754</f>
        <v/>
      </c>
    </row>
    <row r="755">
      <c r="A755" s="11" t="n">
        <v>46210</v>
      </c>
      <c r="B755" s="1" t="n">
        <v>20095</v>
      </c>
      <c r="C755" s="1" t="inlineStr">
        <is>
          <t>044</t>
        </is>
      </c>
      <c r="D755" s="1" t="inlineStr">
        <is>
          <t xml:space="preserve">93130 </t>
        </is>
      </c>
      <c r="E755" s="1" t="inlineStr">
        <is>
          <t xml:space="preserve">28194784       </t>
        </is>
      </c>
      <c r="F755" s="5" t="inlineStr">
        <is>
          <t>SET DE ACROBACIAS INFINITY NADO CON TROMPO</t>
        </is>
      </c>
      <c r="G755" t="n">
        <v>1</v>
      </c>
      <c r="H755" s="7" t="n">
        <v>179</v>
      </c>
      <c r="I755" s="7" t="n">
        <v>0</v>
      </c>
      <c r="J755" s="7" t="n">
        <v>0</v>
      </c>
      <c r="K755" s="9" t="n">
        <v>0</v>
      </c>
      <c r="L755" s="10" t="n">
        <v>106.18</v>
      </c>
      <c r="M755" s="10" t="n">
        <v>1.43</v>
      </c>
      <c r="N755" t="inlineStr">
        <is>
          <t>1</t>
        </is>
      </c>
      <c r="O755" t="inlineStr">
        <is>
          <t>16</t>
        </is>
      </c>
      <c r="P755" t="inlineStr">
        <is>
          <t xml:space="preserve">248294  </t>
        </is>
      </c>
      <c r="Q755" s="26" t="n">
        <v>106.19</v>
      </c>
      <c r="R755" s="26">
        <f>Q755*G755</f>
        <v/>
      </c>
      <c r="S755" s="26">
        <f>IFERROR(VLOOKUP(E755*1,Tabla[#All],8,0),0)</f>
        <v/>
      </c>
      <c r="T755" s="26">
        <f>S755*G755</f>
        <v/>
      </c>
      <c r="U755" s="26">
        <f>R755-T755</f>
        <v/>
      </c>
      <c r="V755" s="26">
        <f>U755-L755</f>
        <v/>
      </c>
    </row>
    <row r="756">
      <c r="A756" s="11" t="n">
        <v>46211</v>
      </c>
      <c r="B756" s="1" t="n">
        <v>20024</v>
      </c>
      <c r="C756" s="1" t="inlineStr">
        <is>
          <t>535</t>
        </is>
      </c>
      <c r="D756" s="1" t="inlineStr">
        <is>
          <t xml:space="preserve">1775  </t>
        </is>
      </c>
      <c r="E756" s="1" t="inlineStr">
        <is>
          <t xml:space="preserve">31959961       </t>
        </is>
      </c>
      <c r="F756" s="5" t="inlineStr">
        <is>
          <t>TEAMSTERZ CAMBIA DE COLOR PACK DE 3 AUTOS</t>
        </is>
      </c>
      <c r="G756" t="n">
        <v>1</v>
      </c>
      <c r="H756" s="7" t="n">
        <v>49.9</v>
      </c>
      <c r="I756" s="7" t="n">
        <v>0</v>
      </c>
      <c r="J756" s="7" t="n">
        <v>0</v>
      </c>
      <c r="K756" s="9" t="n">
        <v>0</v>
      </c>
      <c r="L756" s="10" t="n">
        <v>29.6</v>
      </c>
      <c r="M756" s="10" t="n">
        <v>1.43</v>
      </c>
      <c r="N756" t="inlineStr">
        <is>
          <t>1</t>
        </is>
      </c>
      <c r="O756" t="inlineStr">
        <is>
          <t>16</t>
        </is>
      </c>
      <c r="P756" t="inlineStr">
        <is>
          <t xml:space="preserve">82556   </t>
        </is>
      </c>
      <c r="Q756" s="26" t="n">
        <v>29.6</v>
      </c>
      <c r="R756" s="26">
        <f>Q756*G756</f>
        <v/>
      </c>
      <c r="S756" s="26">
        <f>IFERROR(VLOOKUP(E756*1,Tabla[#All],8,0),0)</f>
        <v/>
      </c>
      <c r="T756" s="26">
        <f>S756*G756</f>
        <v/>
      </c>
      <c r="U756" s="26">
        <f>R756-T756</f>
        <v/>
      </c>
      <c r="V756" s="26">
        <f>U756-L756</f>
        <v/>
      </c>
    </row>
    <row r="757">
      <c r="A757" s="11" t="n">
        <v>46211</v>
      </c>
      <c r="B757" s="1" t="n">
        <v>20024</v>
      </c>
      <c r="C757" s="1" t="inlineStr">
        <is>
          <t>807</t>
        </is>
      </c>
      <c r="D757" s="1" t="inlineStr">
        <is>
          <t xml:space="preserve">4011  </t>
        </is>
      </c>
      <c r="E757" s="1" t="inlineStr">
        <is>
          <t xml:space="preserve">35685067       </t>
        </is>
      </c>
      <c r="F757" s="5" t="inlineStr">
        <is>
          <t>HOT WHEELS POWER SET 3 EN 1</t>
        </is>
      </c>
      <c r="G757" t="n">
        <v>1</v>
      </c>
      <c r="H757" s="7" t="n">
        <v>49.9</v>
      </c>
      <c r="I757" s="7" t="n">
        <v>0</v>
      </c>
      <c r="J757" s="7" t="n">
        <v>0</v>
      </c>
      <c r="K757" s="9" t="n">
        <v>0</v>
      </c>
      <c r="L757" s="10" t="n">
        <v>29.6</v>
      </c>
      <c r="M757" s="10" t="n">
        <v>1.43</v>
      </c>
      <c r="N757" t="inlineStr">
        <is>
          <t>1</t>
        </is>
      </c>
      <c r="O757" t="inlineStr">
        <is>
          <t>16</t>
        </is>
      </c>
      <c r="P757" t="inlineStr">
        <is>
          <t xml:space="preserve">0       </t>
        </is>
      </c>
      <c r="Q757" s="26" t="n">
        <v>29.6</v>
      </c>
      <c r="R757" s="26">
        <f>Q757*G757</f>
        <v/>
      </c>
      <c r="S757" s="26">
        <f>IFERROR(VLOOKUP(E757*1,Tabla[#All],8,0),0)</f>
        <v/>
      </c>
      <c r="T757" s="26">
        <f>S757*G757</f>
        <v/>
      </c>
      <c r="U757" s="26">
        <f>R757-T757</f>
        <v/>
      </c>
      <c r="V757" s="26">
        <f>U757-L757</f>
        <v/>
      </c>
    </row>
    <row r="758">
      <c r="A758" s="11" t="n">
        <v>46211</v>
      </c>
      <c r="B758" s="1" t="n">
        <v>20028</v>
      </c>
      <c r="C758" s="1" t="inlineStr">
        <is>
          <t>021</t>
        </is>
      </c>
      <c r="D758" s="1" t="inlineStr">
        <is>
          <t>185785</t>
        </is>
      </c>
      <c r="E758" s="1" t="inlineStr">
        <is>
          <t xml:space="preserve">28194770       </t>
        </is>
      </c>
      <c r="F758" s="5" t="inlineStr">
        <is>
          <t>AUTOS DE METAL 3 TEAMSTERZ EN BLISTER</t>
        </is>
      </c>
      <c r="G758" t="n">
        <v>1</v>
      </c>
      <c r="H758" s="7" t="n">
        <v>6.9</v>
      </c>
      <c r="I758" s="7" t="n">
        <v>0</v>
      </c>
      <c r="J758" s="7" t="n">
        <v>0</v>
      </c>
      <c r="K758" s="9" t="n">
        <v>0</v>
      </c>
      <c r="L758" s="10" t="n">
        <v>4.1</v>
      </c>
      <c r="M758" s="10" t="n">
        <v>1.43</v>
      </c>
      <c r="N758" t="inlineStr">
        <is>
          <t>1</t>
        </is>
      </c>
      <c r="O758" t="inlineStr">
        <is>
          <t>16</t>
        </is>
      </c>
      <c r="P758" t="inlineStr">
        <is>
          <t xml:space="preserve">23685   </t>
        </is>
      </c>
      <c r="Q758" s="26" t="n">
        <v>4.09</v>
      </c>
      <c r="R758" s="26">
        <f>Q758*G758</f>
        <v/>
      </c>
      <c r="S758" s="26">
        <f>IFERROR(VLOOKUP(E758*1,Tabla[#All],8,0),0)</f>
        <v/>
      </c>
      <c r="T758" s="26">
        <f>S758*G758</f>
        <v/>
      </c>
      <c r="U758" s="26">
        <f>R758-T758</f>
        <v/>
      </c>
      <c r="V758" s="26">
        <f>U758-L758</f>
        <v/>
      </c>
    </row>
    <row r="759">
      <c r="A759" s="11" t="n">
        <v>46211</v>
      </c>
      <c r="B759" s="1" t="n">
        <v>20040</v>
      </c>
      <c r="C759" s="1" t="inlineStr">
        <is>
          <t>072</t>
        </is>
      </c>
      <c r="D759" s="1" t="inlineStr">
        <is>
          <t>251323</t>
        </is>
      </c>
      <c r="E759" s="1" t="inlineStr">
        <is>
          <t xml:space="preserve">28194780       </t>
        </is>
      </c>
      <c r="F759" s="5" t="inlineStr">
        <is>
          <t>TROMPO BATALLA INFINITY NADO PLSTICO SURTIDO</t>
        </is>
      </c>
      <c r="G759" t="n">
        <v>1</v>
      </c>
      <c r="H759" s="7" t="n">
        <v>19.9</v>
      </c>
      <c r="I759" s="7" t="n">
        <v>0</v>
      </c>
      <c r="J759" s="7" t="n">
        <v>0</v>
      </c>
      <c r="K759" s="9" t="n">
        <v>0</v>
      </c>
      <c r="L759" s="10" t="n">
        <v>11.8</v>
      </c>
      <c r="M759" s="10" t="n">
        <v>1.43</v>
      </c>
      <c r="N759" t="inlineStr">
        <is>
          <t>1</t>
        </is>
      </c>
      <c r="O759" t="inlineStr">
        <is>
          <t xml:space="preserve">2 </t>
        </is>
      </c>
      <c r="P759" t="inlineStr">
        <is>
          <t xml:space="preserve">52786   </t>
        </is>
      </c>
      <c r="Q759" s="26" t="n">
        <v>11.81</v>
      </c>
      <c r="R759" s="26">
        <f>Q759*G759</f>
        <v/>
      </c>
      <c r="S759" s="26">
        <f>IFERROR(VLOOKUP(E759*1,Tabla[#All],8,0),0)</f>
        <v/>
      </c>
      <c r="T759" s="26">
        <f>S759*G759</f>
        <v/>
      </c>
      <c r="U759" s="26">
        <f>R759-T759</f>
        <v/>
      </c>
      <c r="V759" s="26">
        <f>U759-L759</f>
        <v/>
      </c>
    </row>
    <row r="760">
      <c r="A760" s="11" t="n">
        <v>46211</v>
      </c>
      <c r="B760" s="1" t="n">
        <v>20040</v>
      </c>
      <c r="C760" s="1" t="inlineStr">
        <is>
          <t>072</t>
        </is>
      </c>
      <c r="D760" s="1" t="inlineStr">
        <is>
          <t>251323</t>
        </is>
      </c>
      <c r="E760" s="1" t="inlineStr">
        <is>
          <t xml:space="preserve">28194780       </t>
        </is>
      </c>
      <c r="F760" s="5" t="inlineStr">
        <is>
          <t>TROMPO BATALLA INFINITY NADO PLSTICO SURTIDO</t>
        </is>
      </c>
      <c r="G760" t="n">
        <v>1</v>
      </c>
      <c r="H760" s="7" t="n">
        <v>19.9</v>
      </c>
      <c r="I760" s="7" t="n">
        <v>0</v>
      </c>
      <c r="J760" s="7" t="n">
        <v>0</v>
      </c>
      <c r="K760" s="9" t="n">
        <v>0</v>
      </c>
      <c r="L760" s="10" t="n">
        <v>11.8</v>
      </c>
      <c r="M760" s="10" t="n">
        <v>1.43</v>
      </c>
      <c r="N760" t="inlineStr">
        <is>
          <t>1</t>
        </is>
      </c>
      <c r="O760" t="inlineStr">
        <is>
          <t xml:space="preserve">2 </t>
        </is>
      </c>
      <c r="P760" t="inlineStr">
        <is>
          <t xml:space="preserve">52786   </t>
        </is>
      </c>
      <c r="Q760" s="26" t="n">
        <v>11.81</v>
      </c>
      <c r="R760" s="26">
        <f>Q760*G760</f>
        <v/>
      </c>
      <c r="S760" s="26">
        <f>IFERROR(VLOOKUP(E760*1,Tabla[#All],8,0),0)</f>
        <v/>
      </c>
      <c r="T760" s="26">
        <f>S760*G760</f>
        <v/>
      </c>
      <c r="U760" s="26">
        <f>R760-T760</f>
        <v/>
      </c>
      <c r="V760" s="26">
        <f>U760-L760</f>
        <v/>
      </c>
    </row>
    <row r="761">
      <c r="A761" s="11" t="n">
        <v>46211</v>
      </c>
      <c r="B761" s="1" t="n">
        <v>20040</v>
      </c>
      <c r="C761" s="1" t="inlineStr">
        <is>
          <t>072</t>
        </is>
      </c>
      <c r="D761" s="1" t="inlineStr">
        <is>
          <t>251354</t>
        </is>
      </c>
      <c r="E761" s="1" t="inlineStr">
        <is>
          <t xml:space="preserve">28194784       </t>
        </is>
      </c>
      <c r="F761" s="5" t="inlineStr">
        <is>
          <t>SET DE ACROBACIAS INFINITY NADO CON TROMPO</t>
        </is>
      </c>
      <c r="G761" t="n">
        <v>1</v>
      </c>
      <c r="H761" s="7" t="n">
        <v>179</v>
      </c>
      <c r="I761" s="7" t="n">
        <v>0</v>
      </c>
      <c r="J761" s="7" t="n">
        <v>0</v>
      </c>
      <c r="K761" s="9" t="n">
        <v>0</v>
      </c>
      <c r="L761" s="10" t="n">
        <v>106.18</v>
      </c>
      <c r="M761" s="10" t="n">
        <v>1.43</v>
      </c>
      <c r="N761" t="inlineStr">
        <is>
          <t>1</t>
        </is>
      </c>
      <c r="O761" t="inlineStr">
        <is>
          <t xml:space="preserve">3 </t>
        </is>
      </c>
      <c r="P761" t="inlineStr">
        <is>
          <t xml:space="preserve">52786   </t>
        </is>
      </c>
      <c r="Q761" s="26" t="n">
        <v>106.19</v>
      </c>
      <c r="R761" s="26">
        <f>Q761*G761</f>
        <v/>
      </c>
      <c r="S761" s="26">
        <f>IFERROR(VLOOKUP(E761*1,Tabla[#All],8,0),0)</f>
        <v/>
      </c>
      <c r="T761" s="26">
        <f>S761*G761</f>
        <v/>
      </c>
      <c r="U761" s="26">
        <f>R761-T761</f>
        <v/>
      </c>
      <c r="V761" s="26">
        <f>U761-L761</f>
        <v/>
      </c>
    </row>
    <row r="762">
      <c r="A762" s="11" t="n">
        <v>46211</v>
      </c>
      <c r="B762" s="1" t="n">
        <v>20040</v>
      </c>
      <c r="C762" s="1" t="inlineStr">
        <is>
          <t>072</t>
        </is>
      </c>
      <c r="D762" s="1" t="inlineStr">
        <is>
          <t>251358</t>
        </is>
      </c>
      <c r="E762" s="1" t="inlineStr">
        <is>
          <t xml:space="preserve">30141768       </t>
        </is>
      </c>
      <c r="F762" s="5" t="inlineStr">
        <is>
          <t>TMZ BEAST MACHINES AUTOS DE METAL PACK 10 AUTOS</t>
        </is>
      </c>
      <c r="G762" t="n">
        <v>1</v>
      </c>
      <c r="H762" s="7" t="n">
        <v>79</v>
      </c>
      <c r="I762" s="7" t="n">
        <v>0</v>
      </c>
      <c r="J762" s="7" t="n">
        <v>0</v>
      </c>
      <c r="K762" s="9" t="n">
        <v>0</v>
      </c>
      <c r="L762" s="10" t="n">
        <v>46.87</v>
      </c>
      <c r="M762" s="10" t="n">
        <v>1.43</v>
      </c>
      <c r="N762" t="inlineStr">
        <is>
          <t>1</t>
        </is>
      </c>
      <c r="O762" t="inlineStr">
        <is>
          <t>16</t>
        </is>
      </c>
      <c r="P762" t="inlineStr">
        <is>
          <t xml:space="preserve">52786   </t>
        </is>
      </c>
      <c r="Q762" s="26" t="n">
        <v>46.86</v>
      </c>
      <c r="R762" s="26">
        <f>Q762*G762</f>
        <v/>
      </c>
      <c r="S762" s="26">
        <f>IFERROR(VLOOKUP(E762*1,Tabla[#All],8,0),0)</f>
        <v/>
      </c>
      <c r="T762" s="26">
        <f>S762*G762</f>
        <v/>
      </c>
      <c r="U762" s="26">
        <f>R762-T762</f>
        <v/>
      </c>
      <c r="V762" s="26">
        <f>U762-L762</f>
        <v/>
      </c>
    </row>
    <row r="763">
      <c r="A763" s="11" t="n">
        <v>46211</v>
      </c>
      <c r="B763" s="1" t="n">
        <v>20040</v>
      </c>
      <c r="C763" s="1" t="inlineStr">
        <is>
          <t>190</t>
        </is>
      </c>
      <c r="D763" s="1" t="inlineStr">
        <is>
          <t>367775</t>
        </is>
      </c>
      <c r="E763" s="1" t="inlineStr">
        <is>
          <t xml:space="preserve">34840556       </t>
        </is>
      </c>
      <c r="F763" s="5" t="inlineStr">
        <is>
          <t>TMZ BEAST MACH. TRANSPORT DINO +ACCS</t>
        </is>
      </c>
      <c r="G763" t="n">
        <v>1</v>
      </c>
      <c r="H763" s="7" t="n">
        <v>79.90000000000001</v>
      </c>
      <c r="I763" s="7" t="n">
        <v>0</v>
      </c>
      <c r="J763" s="7" t="n">
        <v>0</v>
      </c>
      <c r="K763" s="9" t="n">
        <v>0</v>
      </c>
      <c r="L763" s="10" t="n">
        <v>47.4</v>
      </c>
      <c r="M763" s="10" t="n">
        <v>1.43</v>
      </c>
      <c r="N763" t="inlineStr">
        <is>
          <t>1</t>
        </is>
      </c>
      <c r="O763" t="inlineStr">
        <is>
          <t>16</t>
        </is>
      </c>
      <c r="P763" t="inlineStr">
        <is>
          <t xml:space="preserve">61602   </t>
        </is>
      </c>
      <c r="Q763" s="26" t="n">
        <v>47.4</v>
      </c>
      <c r="R763" s="26">
        <f>Q763*G763</f>
        <v/>
      </c>
      <c r="S763" s="26">
        <f>IFERROR(VLOOKUP(E763*1,Tabla[#All],8,0),0)</f>
        <v/>
      </c>
      <c r="T763" s="26">
        <f>S763*G763</f>
        <v/>
      </c>
      <c r="U763" s="26">
        <f>R763-T763</f>
        <v/>
      </c>
      <c r="V763" s="26">
        <f>U763-L763</f>
        <v/>
      </c>
    </row>
    <row r="764">
      <c r="A764" s="11" t="n">
        <v>46211</v>
      </c>
      <c r="B764" s="1" t="n">
        <v>20041</v>
      </c>
      <c r="C764" s="1" t="inlineStr">
        <is>
          <t>031</t>
        </is>
      </c>
      <c r="D764" s="1" t="inlineStr">
        <is>
          <t>165150</t>
        </is>
      </c>
      <c r="E764" s="1" t="inlineStr">
        <is>
          <t xml:space="preserve">28194770       </t>
        </is>
      </c>
      <c r="F764" s="5" t="inlineStr">
        <is>
          <t>AUTOS DE METAL 3 TEAMSTERZ EN BLISTER</t>
        </is>
      </c>
      <c r="G764" t="n">
        <v>1</v>
      </c>
      <c r="H764" s="7" t="n">
        <v>6.9</v>
      </c>
      <c r="I764" s="7" t="n">
        <v>0</v>
      </c>
      <c r="J764" s="7" t="n">
        <v>0</v>
      </c>
      <c r="K764" s="9" t="n">
        <v>0</v>
      </c>
      <c r="L764" s="10" t="n">
        <v>4.1</v>
      </c>
      <c r="M764" s="10" t="n">
        <v>1.43</v>
      </c>
      <c r="N764" t="inlineStr">
        <is>
          <t>1</t>
        </is>
      </c>
      <c r="O764" t="inlineStr">
        <is>
          <t xml:space="preserve">2 </t>
        </is>
      </c>
      <c r="P764" t="inlineStr">
        <is>
          <t xml:space="preserve">245842  </t>
        </is>
      </c>
      <c r="Q764" s="26" t="n">
        <v>4.09</v>
      </c>
      <c r="R764" s="26">
        <f>Q764*G764</f>
        <v/>
      </c>
      <c r="S764" s="26">
        <f>IFERROR(VLOOKUP(E764*1,Tabla[#All],8,0),0)</f>
        <v/>
      </c>
      <c r="T764" s="26">
        <f>S764*G764</f>
        <v/>
      </c>
      <c r="U764" s="26">
        <f>R764-T764</f>
        <v/>
      </c>
      <c r="V764" s="26">
        <f>U764-L764</f>
        <v/>
      </c>
    </row>
    <row r="765">
      <c r="A765" s="11" t="n">
        <v>46211</v>
      </c>
      <c r="B765" s="1" t="n">
        <v>20041</v>
      </c>
      <c r="C765" s="1" t="inlineStr">
        <is>
          <t>031</t>
        </is>
      </c>
      <c r="D765" s="1" t="inlineStr">
        <is>
          <t>165150</t>
        </is>
      </c>
      <c r="E765" s="1" t="inlineStr">
        <is>
          <t xml:space="preserve">28194770       </t>
        </is>
      </c>
      <c r="F765" s="5" t="inlineStr">
        <is>
          <t>AUTOS DE METAL 3 TEAMSTERZ EN BLISTER</t>
        </is>
      </c>
      <c r="G765" t="n">
        <v>1</v>
      </c>
      <c r="H765" s="7" t="n">
        <v>6.9</v>
      </c>
      <c r="I765" s="7" t="n">
        <v>0</v>
      </c>
      <c r="J765" s="7" t="n">
        <v>0</v>
      </c>
      <c r="K765" s="9" t="n">
        <v>0</v>
      </c>
      <c r="L765" s="10" t="n">
        <v>4.1</v>
      </c>
      <c r="M765" s="10" t="n">
        <v>1.43</v>
      </c>
      <c r="N765" t="inlineStr">
        <is>
          <t>1</t>
        </is>
      </c>
      <c r="O765" t="inlineStr">
        <is>
          <t xml:space="preserve">2 </t>
        </is>
      </c>
      <c r="P765" t="inlineStr">
        <is>
          <t xml:space="preserve">245842  </t>
        </is>
      </c>
      <c r="Q765" s="26" t="n">
        <v>4.09</v>
      </c>
      <c r="R765" s="26">
        <f>Q765*G765</f>
        <v/>
      </c>
      <c r="S765" s="26">
        <f>IFERROR(VLOOKUP(E765*1,Tabla[#All],8,0),0)</f>
        <v/>
      </c>
      <c r="T765" s="26">
        <f>S765*G765</f>
        <v/>
      </c>
      <c r="U765" s="26">
        <f>R765-T765</f>
        <v/>
      </c>
      <c r="V765" s="26">
        <f>U765-L765</f>
        <v/>
      </c>
    </row>
    <row r="766">
      <c r="A766" s="11" t="n">
        <v>46211</v>
      </c>
      <c r="B766" s="1" t="n">
        <v>20041</v>
      </c>
      <c r="C766" s="1" t="inlineStr">
        <is>
          <t>036</t>
        </is>
      </c>
      <c r="D766" s="1" t="inlineStr">
        <is>
          <t>319200</t>
        </is>
      </c>
      <c r="E766" s="1" t="inlineStr">
        <is>
          <t xml:space="preserve">28194780       </t>
        </is>
      </c>
      <c r="F766" s="5" t="inlineStr">
        <is>
          <t>TROMPO BATALLA INFINITY NADO PLSTICO SURTIDO</t>
        </is>
      </c>
      <c r="G766" t="n">
        <v>2</v>
      </c>
      <c r="H766" s="7" t="n">
        <v>39.8</v>
      </c>
      <c r="I766" s="7" t="n">
        <v>0</v>
      </c>
      <c r="J766" s="7" t="n">
        <v>0</v>
      </c>
      <c r="K766" s="9" t="n">
        <v>0</v>
      </c>
      <c r="L766" s="10" t="n">
        <v>23.62</v>
      </c>
      <c r="M766" s="10" t="n">
        <v>1.43</v>
      </c>
      <c r="N766" t="inlineStr">
        <is>
          <t>1</t>
        </is>
      </c>
      <c r="O766" t="inlineStr">
        <is>
          <t xml:space="preserve">3 </t>
        </is>
      </c>
      <c r="P766" t="inlineStr">
        <is>
          <t xml:space="preserve">57146   </t>
        </is>
      </c>
      <c r="Q766" s="26" t="n">
        <v>11.81</v>
      </c>
      <c r="R766" s="26">
        <f>Q766*G766</f>
        <v/>
      </c>
      <c r="S766" s="26">
        <f>IFERROR(VLOOKUP(E766*1,Tabla[#All],8,0),0)</f>
        <v/>
      </c>
      <c r="T766" s="26">
        <f>S766*G766</f>
        <v/>
      </c>
      <c r="U766" s="26">
        <f>R766-T766</f>
        <v/>
      </c>
      <c r="V766" s="26">
        <f>U766-L766</f>
        <v/>
      </c>
    </row>
    <row r="767">
      <c r="A767" s="11" t="n">
        <v>46211</v>
      </c>
      <c r="B767" s="1" t="n">
        <v>20041</v>
      </c>
      <c r="C767" s="1" t="inlineStr">
        <is>
          <t>037</t>
        </is>
      </c>
      <c r="D767" s="1" t="inlineStr">
        <is>
          <t>189233</t>
        </is>
      </c>
      <c r="E767" s="1" t="inlineStr">
        <is>
          <t xml:space="preserve">28194770       </t>
        </is>
      </c>
      <c r="F767" s="5" t="inlineStr">
        <is>
          <t>AUTOS DE METAL 3 TEAMSTERZ EN BLISTER</t>
        </is>
      </c>
      <c r="G767" t="n">
        <v>1</v>
      </c>
      <c r="H767" s="7" t="n">
        <v>6.9</v>
      </c>
      <c r="I767" s="7" t="n">
        <v>0</v>
      </c>
      <c r="J767" s="7" t="n">
        <v>0</v>
      </c>
      <c r="K767" s="9" t="n">
        <v>0</v>
      </c>
      <c r="L767" s="10" t="n">
        <v>4.1</v>
      </c>
      <c r="M767" s="10" t="n">
        <v>1.43</v>
      </c>
      <c r="N767" t="inlineStr">
        <is>
          <t>1</t>
        </is>
      </c>
      <c r="O767" t="inlineStr">
        <is>
          <t xml:space="preserve">2 </t>
        </is>
      </c>
      <c r="P767" t="inlineStr">
        <is>
          <t xml:space="preserve">245841  </t>
        </is>
      </c>
      <c r="Q767" s="26" t="n">
        <v>4.09</v>
      </c>
      <c r="R767" s="26">
        <f>Q767*G767</f>
        <v/>
      </c>
      <c r="S767" s="26">
        <f>IFERROR(VLOOKUP(E767*1,Tabla[#All],8,0),0)</f>
        <v/>
      </c>
      <c r="T767" s="26">
        <f>S767*G767</f>
        <v/>
      </c>
      <c r="U767" s="26">
        <f>R767-T767</f>
        <v/>
      </c>
      <c r="V767" s="26">
        <f>U767-L767</f>
        <v/>
      </c>
    </row>
    <row r="768">
      <c r="A768" s="11" t="n">
        <v>46211</v>
      </c>
      <c r="B768" s="1" t="n">
        <v>20047</v>
      </c>
      <c r="C768" s="1" t="inlineStr">
        <is>
          <t>017</t>
        </is>
      </c>
      <c r="D768" s="1" t="inlineStr">
        <is>
          <t>122476</t>
        </is>
      </c>
      <c r="E768" s="1" t="inlineStr">
        <is>
          <t xml:space="preserve">28194770       </t>
        </is>
      </c>
      <c r="F768" s="5" t="inlineStr">
        <is>
          <t>AUTOS DE METAL 3 TEAMSTERZ EN BLISTER</t>
        </is>
      </c>
      <c r="G768" t="n">
        <v>1</v>
      </c>
      <c r="H768" s="7" t="n">
        <v>6.9</v>
      </c>
      <c r="I768" s="7" t="n">
        <v>0</v>
      </c>
      <c r="J768" s="7" t="n">
        <v>0</v>
      </c>
      <c r="K768" s="9" t="n">
        <v>0</v>
      </c>
      <c r="L768" s="10" t="n">
        <v>4.1</v>
      </c>
      <c r="M768" s="10" t="n">
        <v>1.43</v>
      </c>
      <c r="N768" t="inlineStr">
        <is>
          <t>1</t>
        </is>
      </c>
      <c r="O768" t="inlineStr">
        <is>
          <t xml:space="preserve">2 </t>
        </is>
      </c>
      <c r="P768" t="inlineStr">
        <is>
          <t xml:space="preserve">244589  </t>
        </is>
      </c>
      <c r="Q768" s="26" t="n">
        <v>4.09</v>
      </c>
      <c r="R768" s="26">
        <f>Q768*G768</f>
        <v/>
      </c>
      <c r="S768" s="26">
        <f>IFERROR(VLOOKUP(E768*1,Tabla[#All],8,0),0)</f>
        <v/>
      </c>
      <c r="T768" s="26">
        <f>S768*G768</f>
        <v/>
      </c>
      <c r="U768" s="26">
        <f>R768-T768</f>
        <v/>
      </c>
      <c r="V768" s="26">
        <f>U768-L768</f>
        <v/>
      </c>
    </row>
    <row r="769">
      <c r="A769" s="11" t="n">
        <v>46211</v>
      </c>
      <c r="B769" s="1" t="n">
        <v>20047</v>
      </c>
      <c r="C769" s="1" t="inlineStr">
        <is>
          <t>017</t>
        </is>
      </c>
      <c r="D769" s="1" t="inlineStr">
        <is>
          <t>122476</t>
        </is>
      </c>
      <c r="E769" s="1" t="inlineStr">
        <is>
          <t xml:space="preserve">28194770       </t>
        </is>
      </c>
      <c r="F769" s="5" t="inlineStr">
        <is>
          <t>AUTOS DE METAL 3 TEAMSTERZ EN BLISTER</t>
        </is>
      </c>
      <c r="G769" t="n">
        <v>1</v>
      </c>
      <c r="H769" s="7" t="n">
        <v>6.9</v>
      </c>
      <c r="I769" s="7" t="n">
        <v>0</v>
      </c>
      <c r="J769" s="7" t="n">
        <v>0</v>
      </c>
      <c r="K769" s="9" t="n">
        <v>0</v>
      </c>
      <c r="L769" s="10" t="n">
        <v>4.1</v>
      </c>
      <c r="M769" s="10" t="n">
        <v>1.43</v>
      </c>
      <c r="N769" t="inlineStr">
        <is>
          <t>1</t>
        </is>
      </c>
      <c r="O769" t="inlineStr">
        <is>
          <t xml:space="preserve">2 </t>
        </is>
      </c>
      <c r="P769" t="inlineStr">
        <is>
          <t xml:space="preserve">244589  </t>
        </is>
      </c>
      <c r="Q769" s="26" t="n">
        <v>4.09</v>
      </c>
      <c r="R769" s="26">
        <f>Q769*G769</f>
        <v/>
      </c>
      <c r="S769" s="26">
        <f>IFERROR(VLOOKUP(E769*1,Tabla[#All],8,0),0)</f>
        <v/>
      </c>
      <c r="T769" s="26">
        <f>S769*G769</f>
        <v/>
      </c>
      <c r="U769" s="26">
        <f>R769-T769</f>
        <v/>
      </c>
      <c r="V769" s="26">
        <f>U769-L769</f>
        <v/>
      </c>
    </row>
    <row r="770">
      <c r="A770" s="11" t="n">
        <v>46211</v>
      </c>
      <c r="B770" s="1" t="n">
        <v>20047</v>
      </c>
      <c r="C770" s="1" t="inlineStr">
        <is>
          <t>191</t>
        </is>
      </c>
      <c r="D770" s="1" t="inlineStr">
        <is>
          <t>460990</t>
        </is>
      </c>
      <c r="E770" s="1" t="inlineStr">
        <is>
          <t xml:space="preserve">28194770       </t>
        </is>
      </c>
      <c r="F770" s="5" t="inlineStr">
        <is>
          <t>AUTOS DE METAL 3 TEAMSTERZ EN BLISTER</t>
        </is>
      </c>
      <c r="G770" t="n">
        <v>1</v>
      </c>
      <c r="H770" s="7" t="n">
        <v>6.9</v>
      </c>
      <c r="I770" s="7" t="n">
        <v>0</v>
      </c>
      <c r="J770" s="7" t="n">
        <v>0</v>
      </c>
      <c r="K770" s="9" t="n">
        <v>0</v>
      </c>
      <c r="L770" s="10" t="n">
        <v>4.1</v>
      </c>
      <c r="M770" s="10" t="n">
        <v>1.43</v>
      </c>
      <c r="N770" t="inlineStr">
        <is>
          <t>1</t>
        </is>
      </c>
      <c r="O770" t="inlineStr">
        <is>
          <t xml:space="preserve">2 </t>
        </is>
      </c>
      <c r="P770" t="inlineStr">
        <is>
          <t xml:space="preserve">248424  </t>
        </is>
      </c>
      <c r="Q770" s="26" t="n">
        <v>4.09</v>
      </c>
      <c r="R770" s="26">
        <f>Q770*G770</f>
        <v/>
      </c>
      <c r="S770" s="26">
        <f>IFERROR(VLOOKUP(E770*1,Tabla[#All],8,0),0)</f>
        <v/>
      </c>
      <c r="T770" s="26">
        <f>S770*G770</f>
        <v/>
      </c>
      <c r="U770" s="26">
        <f>R770-T770</f>
        <v/>
      </c>
      <c r="V770" s="26">
        <f>U770-L770</f>
        <v/>
      </c>
    </row>
    <row r="771">
      <c r="A771" s="11" t="n">
        <v>46211</v>
      </c>
      <c r="B771" s="1" t="n">
        <v>20047</v>
      </c>
      <c r="C771" s="1" t="inlineStr">
        <is>
          <t>503</t>
        </is>
      </c>
      <c r="D771" s="1" t="inlineStr">
        <is>
          <t xml:space="preserve">3377  </t>
        </is>
      </c>
      <c r="E771" s="1" t="inlineStr">
        <is>
          <t xml:space="preserve">28194770       </t>
        </is>
      </c>
      <c r="F771" s="5" t="inlineStr">
        <is>
          <t>AUTOS DE METAL 3 TEAMSTERZ EN BLISTER</t>
        </is>
      </c>
      <c r="G771" t="n">
        <v>1</v>
      </c>
      <c r="H771" s="7" t="n">
        <v>6.9</v>
      </c>
      <c r="I771" s="7" t="n">
        <v>0</v>
      </c>
      <c r="J771" s="7" t="n">
        <v>0</v>
      </c>
      <c r="K771" s="9" t="n">
        <v>0</v>
      </c>
      <c r="L771" s="10" t="n">
        <v>4.1</v>
      </c>
      <c r="M771" s="10" t="n">
        <v>1.43</v>
      </c>
      <c r="N771" t="inlineStr">
        <is>
          <t>1</t>
        </is>
      </c>
      <c r="O771" t="inlineStr">
        <is>
          <t>16</t>
        </is>
      </c>
      <c r="P771" t="inlineStr">
        <is>
          <t xml:space="preserve">244589  </t>
        </is>
      </c>
      <c r="Q771" s="26" t="n">
        <v>4.09</v>
      </c>
      <c r="R771" s="26">
        <f>Q771*G771</f>
        <v/>
      </c>
      <c r="S771" s="26">
        <f>IFERROR(VLOOKUP(E771*1,Tabla[#All],8,0),0)</f>
        <v/>
      </c>
      <c r="T771" s="26">
        <f>S771*G771</f>
        <v/>
      </c>
      <c r="U771" s="26">
        <f>R771-T771</f>
        <v/>
      </c>
      <c r="V771" s="26">
        <f>U771-L771</f>
        <v/>
      </c>
    </row>
    <row r="772">
      <c r="A772" s="11" t="n">
        <v>46211</v>
      </c>
      <c r="B772" s="1" t="n">
        <v>20048</v>
      </c>
      <c r="C772" s="1" t="inlineStr">
        <is>
          <t>017</t>
        </is>
      </c>
      <c r="D772" s="1" t="inlineStr">
        <is>
          <t>166339</t>
        </is>
      </c>
      <c r="E772" s="1" t="inlineStr">
        <is>
          <t xml:space="preserve">28194768       </t>
        </is>
      </c>
      <c r="F772" s="5" t="inlineStr">
        <is>
          <t>AUTO COLOR CHANGE TEAMSTERZ SURTIDO</t>
        </is>
      </c>
      <c r="G772" t="n">
        <v>1</v>
      </c>
      <c r="H772" s="7" t="n">
        <v>14.9</v>
      </c>
      <c r="I772" s="7" t="n">
        <v>0</v>
      </c>
      <c r="J772" s="7" t="n">
        <v>0</v>
      </c>
      <c r="K772" s="9" t="n">
        <v>0</v>
      </c>
      <c r="L772" s="10" t="n">
        <v>8.84</v>
      </c>
      <c r="M772" s="10" t="n">
        <v>1.43</v>
      </c>
      <c r="N772" t="inlineStr">
        <is>
          <t>1</t>
        </is>
      </c>
      <c r="O772" t="inlineStr">
        <is>
          <t xml:space="preserve">2 </t>
        </is>
      </c>
      <c r="P772" t="inlineStr">
        <is>
          <t xml:space="preserve">249916  </t>
        </is>
      </c>
      <c r="Q772" s="26" t="n">
        <v>8.84</v>
      </c>
      <c r="R772" s="26">
        <f>Q772*G772</f>
        <v/>
      </c>
      <c r="S772" s="26">
        <f>IFERROR(VLOOKUP(E772*1,Tabla[#All],8,0),0)</f>
        <v/>
      </c>
      <c r="T772" s="26">
        <f>S772*G772</f>
        <v/>
      </c>
      <c r="U772" s="26">
        <f>R772-T772</f>
        <v/>
      </c>
      <c r="V772" s="26">
        <f>U772-L772</f>
        <v/>
      </c>
    </row>
    <row r="773">
      <c r="A773" s="11" t="n">
        <v>46211</v>
      </c>
      <c r="B773" s="1" t="n">
        <v>20048</v>
      </c>
      <c r="C773" s="1" t="inlineStr">
        <is>
          <t>017</t>
        </is>
      </c>
      <c r="D773" s="1" t="inlineStr">
        <is>
          <t>166339</t>
        </is>
      </c>
      <c r="E773" s="1" t="inlineStr">
        <is>
          <t xml:space="preserve">34840556       </t>
        </is>
      </c>
      <c r="F773" s="5" t="inlineStr">
        <is>
          <t>TMZ BEAST MACH. TRANSPORT DINO +ACCS</t>
        </is>
      </c>
      <c r="G773" t="n">
        <v>1</v>
      </c>
      <c r="H773" s="7" t="n">
        <v>79.90000000000001</v>
      </c>
      <c r="I773" s="7" t="n">
        <v>0</v>
      </c>
      <c r="J773" s="7" t="n">
        <v>0</v>
      </c>
      <c r="K773" s="9" t="n">
        <v>0</v>
      </c>
      <c r="L773" s="10" t="n">
        <v>47.4</v>
      </c>
      <c r="M773" s="10" t="n">
        <v>1.43</v>
      </c>
      <c r="N773" t="inlineStr">
        <is>
          <t>1</t>
        </is>
      </c>
      <c r="O773" t="inlineStr">
        <is>
          <t xml:space="preserve">2 </t>
        </is>
      </c>
      <c r="P773" t="inlineStr">
        <is>
          <t xml:space="preserve">249916  </t>
        </is>
      </c>
      <c r="Q773" s="26" t="n">
        <v>47.4</v>
      </c>
      <c r="R773" s="26">
        <f>Q773*G773</f>
        <v/>
      </c>
      <c r="S773" s="26">
        <f>IFERROR(VLOOKUP(E773*1,Tabla[#All],8,0),0)</f>
        <v/>
      </c>
      <c r="T773" s="26">
        <f>S773*G773</f>
        <v/>
      </c>
      <c r="U773" s="26">
        <f>R773-T773</f>
        <v/>
      </c>
      <c r="V773" s="26">
        <f>U773-L773</f>
        <v/>
      </c>
    </row>
    <row r="774">
      <c r="A774" s="11" t="n">
        <v>46211</v>
      </c>
      <c r="B774" s="1" t="n">
        <v>20048</v>
      </c>
      <c r="C774" s="1" t="inlineStr">
        <is>
          <t>018</t>
        </is>
      </c>
      <c r="D774" s="1" t="inlineStr">
        <is>
          <t xml:space="preserve">46158 </t>
        </is>
      </c>
      <c r="E774" s="1" t="inlineStr">
        <is>
          <t xml:space="preserve">30141766       </t>
        </is>
      </c>
      <c r="F774" s="5" t="inlineStr">
        <is>
          <t>TMZ BEAST MACHINES AUTOS DE METAL BLISTER X 1</t>
        </is>
      </c>
      <c r="G774" t="n">
        <v>1</v>
      </c>
      <c r="H774" s="7" t="n">
        <v>7.9</v>
      </c>
      <c r="I774" s="7" t="n">
        <v>0</v>
      </c>
      <c r="J774" s="7" t="n">
        <v>0</v>
      </c>
      <c r="K774" s="9" t="n">
        <v>0</v>
      </c>
      <c r="L774" s="10" t="n">
        <v>4.68</v>
      </c>
      <c r="M774" s="10" t="n">
        <v>1.43</v>
      </c>
      <c r="N774" t="inlineStr">
        <is>
          <t>1</t>
        </is>
      </c>
      <c r="O774" t="inlineStr">
        <is>
          <t>16</t>
        </is>
      </c>
      <c r="P774" t="inlineStr">
        <is>
          <t xml:space="preserve">200219  </t>
        </is>
      </c>
      <c r="Q774" s="26" t="n">
        <v>4.69</v>
      </c>
      <c r="R774" s="26">
        <f>Q774*G774</f>
        <v/>
      </c>
      <c r="S774" s="26">
        <f>IFERROR(VLOOKUP(E774*1,Tabla[#All],8,0),0)</f>
        <v/>
      </c>
      <c r="T774" s="26">
        <f>S774*G774</f>
        <v/>
      </c>
      <c r="U774" s="26">
        <f>R774-T774</f>
        <v/>
      </c>
      <c r="V774" s="26">
        <f>U774-L774</f>
        <v/>
      </c>
    </row>
    <row r="775">
      <c r="A775" s="11" t="n">
        <v>46211</v>
      </c>
      <c r="B775" s="1" t="n">
        <v>20048</v>
      </c>
      <c r="C775" s="1" t="inlineStr">
        <is>
          <t>194</t>
        </is>
      </c>
      <c r="D775" s="1" t="inlineStr">
        <is>
          <t>191834</t>
        </is>
      </c>
      <c r="E775" s="1" t="inlineStr">
        <is>
          <t xml:space="preserve">32656523       </t>
        </is>
      </c>
      <c r="F775" s="5" t="inlineStr">
        <is>
          <t>TMZ BEAST MACHINES TRANSPORT. T-REX ELECTR. + ACCE</t>
        </is>
      </c>
      <c r="G775" t="n">
        <v>1</v>
      </c>
      <c r="H775" s="7" t="n">
        <v>179</v>
      </c>
      <c r="I775" s="7" t="n">
        <v>0</v>
      </c>
      <c r="J775" s="7" t="n">
        <v>0</v>
      </c>
      <c r="K775" s="9" t="n">
        <v>0</v>
      </c>
      <c r="L775" s="10" t="n">
        <v>106.18</v>
      </c>
      <c r="M775" s="10" t="n">
        <v>1.43</v>
      </c>
      <c r="N775" t="inlineStr">
        <is>
          <t>1</t>
        </is>
      </c>
      <c r="O775" t="inlineStr">
        <is>
          <t>16</t>
        </is>
      </c>
      <c r="P775" t="inlineStr">
        <is>
          <t xml:space="preserve">82617   </t>
        </is>
      </c>
      <c r="Q775" s="26" t="n">
        <v>106.19</v>
      </c>
      <c r="R775" s="26">
        <f>Q775*G775</f>
        <v/>
      </c>
      <c r="S775" s="26">
        <f>IFERROR(VLOOKUP(E775*1,Tabla[#All],8,0),0)</f>
        <v/>
      </c>
      <c r="T775" s="26">
        <f>S775*G775</f>
        <v/>
      </c>
      <c r="U775" s="26">
        <f>R775-T775</f>
        <v/>
      </c>
      <c r="V775" s="26">
        <f>U775-L775</f>
        <v/>
      </c>
    </row>
    <row r="776">
      <c r="A776" s="11" t="n">
        <v>46211</v>
      </c>
      <c r="B776" s="1" t="n">
        <v>20057</v>
      </c>
      <c r="C776" s="1" t="inlineStr">
        <is>
          <t>032</t>
        </is>
      </c>
      <c r="D776" s="1" t="inlineStr">
        <is>
          <t xml:space="preserve">74177 </t>
        </is>
      </c>
      <c r="E776" s="1" t="inlineStr">
        <is>
          <t xml:space="preserve">34840550       </t>
        </is>
      </c>
      <c r="F776" s="5" t="inlineStr">
        <is>
          <t>TEAMSTERZ M/MOVERZ TRANSPORTA GORILA</t>
        </is>
      </c>
      <c r="G776" t="n">
        <v>1</v>
      </c>
      <c r="H776" s="7" t="n">
        <v>129</v>
      </c>
      <c r="I776" s="7" t="n">
        <v>0</v>
      </c>
      <c r="J776" s="7" t="n">
        <v>0</v>
      </c>
      <c r="K776" s="9" t="n">
        <v>0</v>
      </c>
      <c r="L776" s="10" t="n">
        <v>76.52</v>
      </c>
      <c r="M776" s="10" t="n">
        <v>1.43</v>
      </c>
      <c r="N776" t="inlineStr">
        <is>
          <t>1</t>
        </is>
      </c>
      <c r="O776" t="inlineStr">
        <is>
          <t>16</t>
        </is>
      </c>
      <c r="P776" t="inlineStr">
        <is>
          <t xml:space="preserve">241502  </t>
        </is>
      </c>
      <c r="Q776" s="26" t="n">
        <v>76.53</v>
      </c>
      <c r="R776" s="26">
        <f>Q776*G776</f>
        <v/>
      </c>
      <c r="S776" s="26">
        <f>IFERROR(VLOOKUP(E776*1,Tabla[#All],8,0),0)</f>
        <v/>
      </c>
      <c r="T776" s="26">
        <f>S776*G776</f>
        <v/>
      </c>
      <c r="U776" s="26">
        <f>R776-T776</f>
        <v/>
      </c>
      <c r="V776" s="26">
        <f>U776-L776</f>
        <v/>
      </c>
    </row>
    <row r="777">
      <c r="A777" s="11" t="n">
        <v>46211</v>
      </c>
      <c r="B777" s="1" t="n">
        <v>20057</v>
      </c>
      <c r="C777" s="1" t="inlineStr">
        <is>
          <t>032</t>
        </is>
      </c>
      <c r="D777" s="1" t="inlineStr">
        <is>
          <t xml:space="preserve">74181 </t>
        </is>
      </c>
      <c r="E777" s="1" t="inlineStr">
        <is>
          <t xml:space="preserve">28194770       </t>
        </is>
      </c>
      <c r="F777" s="5" t="inlineStr">
        <is>
          <t>AUTOS DE METAL 3 TEAMSTERZ EN BLISTER</t>
        </is>
      </c>
      <c r="G777" t="n">
        <v>1</v>
      </c>
      <c r="H777" s="7" t="n">
        <v>6.9</v>
      </c>
      <c r="I777" s="7" t="n">
        <v>0</v>
      </c>
      <c r="J777" s="7" t="n">
        <v>0</v>
      </c>
      <c r="K777" s="9" t="n">
        <v>0</v>
      </c>
      <c r="L777" s="10" t="n">
        <v>4.1</v>
      </c>
      <c r="M777" s="10" t="n">
        <v>1.43</v>
      </c>
      <c r="N777" t="inlineStr">
        <is>
          <t>1</t>
        </is>
      </c>
      <c r="O777" t="inlineStr">
        <is>
          <t>16</t>
        </is>
      </c>
      <c r="P777" t="inlineStr">
        <is>
          <t xml:space="preserve">241502  </t>
        </is>
      </c>
      <c r="Q777" s="26" t="n">
        <v>4.09</v>
      </c>
      <c r="R777" s="26">
        <f>Q777*G777</f>
        <v/>
      </c>
      <c r="S777" s="26">
        <f>IFERROR(VLOOKUP(E777*1,Tabla[#All],8,0),0)</f>
        <v/>
      </c>
      <c r="T777" s="26">
        <f>S777*G777</f>
        <v/>
      </c>
      <c r="U777" s="26">
        <f>R777-T777</f>
        <v/>
      </c>
      <c r="V777" s="26">
        <f>U777-L777</f>
        <v/>
      </c>
    </row>
    <row r="778">
      <c r="A778" s="11" t="n">
        <v>46211</v>
      </c>
      <c r="B778" s="1" t="n">
        <v>20057</v>
      </c>
      <c r="C778" s="1" t="inlineStr">
        <is>
          <t>033</t>
        </is>
      </c>
      <c r="D778" s="1" t="inlineStr">
        <is>
          <t xml:space="preserve">66561 </t>
        </is>
      </c>
      <c r="E778" s="1" t="inlineStr">
        <is>
          <t xml:space="preserve">28194769       </t>
        </is>
      </c>
      <c r="F778" s="5" t="inlineStr">
        <is>
          <t>AUTOS DE METAL 3 TEAMSTERZ PACK DE 2</t>
        </is>
      </c>
      <c r="G778" t="n">
        <v>1</v>
      </c>
      <c r="H778" s="7" t="n">
        <v>13.8</v>
      </c>
      <c r="I778" s="7" t="n">
        <v>0</v>
      </c>
      <c r="J778" s="7" t="n">
        <v>0</v>
      </c>
      <c r="K778" s="9" t="n">
        <v>0</v>
      </c>
      <c r="L778" s="10" t="n">
        <v>8.18</v>
      </c>
      <c r="M778" s="10" t="n">
        <v>1.43</v>
      </c>
      <c r="N778" t="inlineStr">
        <is>
          <t>1</t>
        </is>
      </c>
      <c r="O778" t="inlineStr">
        <is>
          <t xml:space="preserve">2 </t>
        </is>
      </c>
      <c r="P778" t="inlineStr">
        <is>
          <t xml:space="preserve">250316  </t>
        </is>
      </c>
      <c r="Q778" s="26" t="n">
        <v>8.19</v>
      </c>
      <c r="R778" s="26">
        <f>Q778*G778</f>
        <v/>
      </c>
      <c r="S778" s="26">
        <f>IFERROR(VLOOKUP(E778*1,Tabla[#All],8,0),0)</f>
        <v/>
      </c>
      <c r="T778" s="26">
        <f>S778*G778</f>
        <v/>
      </c>
      <c r="U778" s="26">
        <f>R778-T778</f>
        <v/>
      </c>
      <c r="V778" s="26">
        <f>U778-L778</f>
        <v/>
      </c>
    </row>
    <row r="779">
      <c r="A779" s="11" t="n">
        <v>46211</v>
      </c>
      <c r="B779" s="1" t="n">
        <v>20057</v>
      </c>
      <c r="C779" s="1" t="inlineStr">
        <is>
          <t>033</t>
        </is>
      </c>
      <c r="D779" s="1" t="inlineStr">
        <is>
          <t xml:space="preserve">66561 </t>
        </is>
      </c>
      <c r="E779" s="1" t="inlineStr">
        <is>
          <t xml:space="preserve">28194770       </t>
        </is>
      </c>
      <c r="F779" s="5" t="inlineStr">
        <is>
          <t>AUTOS DE METAL 3 TEAMSTERZ EN BLISTER</t>
        </is>
      </c>
      <c r="G779" t="n">
        <v>1</v>
      </c>
      <c r="H779" s="7" t="n">
        <v>6.9</v>
      </c>
      <c r="I779" s="7" t="n">
        <v>0</v>
      </c>
      <c r="J779" s="7" t="n">
        <v>0</v>
      </c>
      <c r="K779" s="9" t="n">
        <v>0</v>
      </c>
      <c r="L779" s="10" t="n">
        <v>4.1</v>
      </c>
      <c r="M779" s="10" t="n">
        <v>1.43</v>
      </c>
      <c r="N779" t="inlineStr">
        <is>
          <t>1</t>
        </is>
      </c>
      <c r="O779" t="inlineStr">
        <is>
          <t xml:space="preserve">2 </t>
        </is>
      </c>
      <c r="P779" t="inlineStr">
        <is>
          <t xml:space="preserve">250316  </t>
        </is>
      </c>
      <c r="Q779" s="26" t="n">
        <v>4.09</v>
      </c>
      <c r="R779" s="26">
        <f>Q779*G779</f>
        <v/>
      </c>
      <c r="S779" s="26">
        <f>IFERROR(VLOOKUP(E779*1,Tabla[#All],8,0),0)</f>
        <v/>
      </c>
      <c r="T779" s="26">
        <f>S779*G779</f>
        <v/>
      </c>
      <c r="U779" s="26">
        <f>R779-T779</f>
        <v/>
      </c>
      <c r="V779" s="26">
        <f>U779-L779</f>
        <v/>
      </c>
    </row>
    <row r="780">
      <c r="A780" s="11" t="n">
        <v>46211</v>
      </c>
      <c r="B780" s="1" t="n">
        <v>20057</v>
      </c>
      <c r="C780" s="1" t="inlineStr">
        <is>
          <t>832</t>
        </is>
      </c>
      <c r="D780" s="1" t="inlineStr">
        <is>
          <t xml:space="preserve">7348  </t>
        </is>
      </c>
      <c r="E780" s="1" t="inlineStr">
        <is>
          <t xml:space="preserve">30141769       </t>
        </is>
      </c>
      <c r="F780" s="5" t="inlineStr">
        <is>
          <t>TMZ BEAST MACHINES TRANSPORTE DINOSAURIO + 3 AUTOS</t>
        </is>
      </c>
      <c r="G780" t="n">
        <v>1</v>
      </c>
      <c r="H780" s="7" t="n">
        <v>79.90000000000001</v>
      </c>
      <c r="I780" s="7" t="n">
        <v>0</v>
      </c>
      <c r="J780" s="7" t="n">
        <v>0</v>
      </c>
      <c r="K780" s="9" t="n">
        <v>0</v>
      </c>
      <c r="L780" s="10" t="n">
        <v>47.4</v>
      </c>
      <c r="M780" s="10" t="n">
        <v>1.43</v>
      </c>
      <c r="N780" t="inlineStr">
        <is>
          <t>1</t>
        </is>
      </c>
      <c r="O780" t="inlineStr">
        <is>
          <t>16</t>
        </is>
      </c>
      <c r="P780" t="inlineStr">
        <is>
          <t xml:space="preserve">0       </t>
        </is>
      </c>
      <c r="Q780" s="26" t="n">
        <v>47.4</v>
      </c>
      <c r="R780" s="26">
        <f>Q780*G780</f>
        <v/>
      </c>
      <c r="S780" s="26">
        <f>IFERROR(VLOOKUP(E780*1,Tabla[#All],8,0),0)</f>
        <v/>
      </c>
      <c r="T780" s="26">
        <f>S780*G780</f>
        <v/>
      </c>
      <c r="U780" s="26">
        <f>R780-T780</f>
        <v/>
      </c>
      <c r="V780" s="26">
        <f>U780-L780</f>
        <v/>
      </c>
    </row>
    <row r="781">
      <c r="A781" s="11" t="n">
        <v>46211</v>
      </c>
      <c r="B781" s="1" t="n">
        <v>20058</v>
      </c>
      <c r="C781" s="1" t="inlineStr">
        <is>
          <t>032</t>
        </is>
      </c>
      <c r="D781" s="1" t="inlineStr">
        <is>
          <t>207440</t>
        </is>
      </c>
      <c r="E781" s="1" t="inlineStr">
        <is>
          <t xml:space="preserve">30141766       </t>
        </is>
      </c>
      <c r="F781" s="5" t="inlineStr">
        <is>
          <t>TMZ BEAST MACHINES AUTOS DE METAL BLISTER X 1</t>
        </is>
      </c>
      <c r="G781" t="n">
        <v>1</v>
      </c>
      <c r="H781" s="7" t="n">
        <v>7.9</v>
      </c>
      <c r="I781" s="7" t="n">
        <v>0</v>
      </c>
      <c r="J781" s="7" t="n">
        <v>0</v>
      </c>
      <c r="K781" s="9" t="n">
        <v>0</v>
      </c>
      <c r="L781" s="10" t="n">
        <v>4.68</v>
      </c>
      <c r="M781" s="10" t="n">
        <v>1.43</v>
      </c>
      <c r="N781" t="inlineStr">
        <is>
          <t>1</t>
        </is>
      </c>
      <c r="O781" t="inlineStr">
        <is>
          <t>16</t>
        </is>
      </c>
      <c r="P781" t="inlineStr">
        <is>
          <t xml:space="preserve">94051   </t>
        </is>
      </c>
      <c r="Q781" s="26" t="n">
        <v>4.69</v>
      </c>
      <c r="R781" s="26">
        <f>Q781*G781</f>
        <v/>
      </c>
      <c r="S781" s="26">
        <f>IFERROR(VLOOKUP(E781*1,Tabla[#All],8,0),0)</f>
        <v/>
      </c>
      <c r="T781" s="26">
        <f>S781*G781</f>
        <v/>
      </c>
      <c r="U781" s="26">
        <f>R781-T781</f>
        <v/>
      </c>
      <c r="V781" s="26">
        <f>U781-L781</f>
        <v/>
      </c>
    </row>
    <row r="782">
      <c r="A782" s="11" t="n">
        <v>46211</v>
      </c>
      <c r="B782" s="1" t="n">
        <v>20058</v>
      </c>
      <c r="C782" s="1" t="inlineStr">
        <is>
          <t>038</t>
        </is>
      </c>
      <c r="D782" s="1" t="inlineStr">
        <is>
          <t>208781</t>
        </is>
      </c>
      <c r="E782" s="1" t="inlineStr">
        <is>
          <t xml:space="preserve">28194769       </t>
        </is>
      </c>
      <c r="F782" s="5" t="inlineStr">
        <is>
          <t>AUTOS DE METAL 3 TEAMSTERZ PACK DE 2</t>
        </is>
      </c>
      <c r="G782" t="n">
        <v>1</v>
      </c>
      <c r="H782" s="7" t="n">
        <v>13.8</v>
      </c>
      <c r="I782" s="7" t="n">
        <v>0</v>
      </c>
      <c r="J782" s="7" t="n">
        <v>0</v>
      </c>
      <c r="K782" s="9" t="n">
        <v>0</v>
      </c>
      <c r="L782" s="10" t="n">
        <v>8.18</v>
      </c>
      <c r="M782" s="10" t="n">
        <v>1.43</v>
      </c>
      <c r="N782" t="inlineStr">
        <is>
          <t>1</t>
        </is>
      </c>
      <c r="O782" t="inlineStr">
        <is>
          <t>16</t>
        </is>
      </c>
      <c r="P782" t="inlineStr">
        <is>
          <t xml:space="preserve">90737   </t>
        </is>
      </c>
      <c r="Q782" s="26" t="n">
        <v>8.19</v>
      </c>
      <c r="R782" s="26">
        <f>Q782*G782</f>
        <v/>
      </c>
      <c r="S782" s="26">
        <f>IFERROR(VLOOKUP(E782*1,Tabla[#All],8,0),0)</f>
        <v/>
      </c>
      <c r="T782" s="26">
        <f>S782*G782</f>
        <v/>
      </c>
      <c r="U782" s="26">
        <f>R782-T782</f>
        <v/>
      </c>
      <c r="V782" s="26">
        <f>U782-L782</f>
        <v/>
      </c>
    </row>
    <row r="783">
      <c r="A783" s="11" t="n">
        <v>46211</v>
      </c>
      <c r="B783" s="1" t="n">
        <v>20058</v>
      </c>
      <c r="C783" s="1" t="inlineStr">
        <is>
          <t>039</t>
        </is>
      </c>
      <c r="D783" s="1" t="inlineStr">
        <is>
          <t>229945</t>
        </is>
      </c>
      <c r="E783" s="1" t="inlineStr">
        <is>
          <t xml:space="preserve">32457099       </t>
        </is>
      </c>
      <c r="F783" s="5" t="inlineStr">
        <is>
          <t>TMZ BEAST MACHINES MONSTER JAWS A FRICCION BLISTER</t>
        </is>
      </c>
      <c r="G783" t="n">
        <v>1</v>
      </c>
      <c r="H783" s="7" t="n">
        <v>19.9</v>
      </c>
      <c r="I783" s="7" t="n">
        <v>0</v>
      </c>
      <c r="J783" s="7" t="n">
        <v>0</v>
      </c>
      <c r="K783" s="9" t="n">
        <v>0</v>
      </c>
      <c r="L783" s="10" t="n">
        <v>11.8</v>
      </c>
      <c r="M783" s="10" t="n">
        <v>1.43</v>
      </c>
      <c r="N783" t="inlineStr">
        <is>
          <t>1</t>
        </is>
      </c>
      <c r="O783" t="inlineStr">
        <is>
          <t>16</t>
        </is>
      </c>
      <c r="P783" t="inlineStr">
        <is>
          <t xml:space="preserve">98279   </t>
        </is>
      </c>
      <c r="Q783" s="26" t="n">
        <v>11.81</v>
      </c>
      <c r="R783" s="26">
        <f>Q783*G783</f>
        <v/>
      </c>
      <c r="S783" s="26">
        <f>IFERROR(VLOOKUP(E783*1,Tabla[#All],8,0),0)</f>
        <v/>
      </c>
      <c r="T783" s="26">
        <f>S783*G783</f>
        <v/>
      </c>
      <c r="U783" s="26">
        <f>R783-T783</f>
        <v/>
      </c>
      <c r="V783" s="26">
        <f>U783-L783</f>
        <v/>
      </c>
    </row>
    <row r="784">
      <c r="A784" s="11" t="n">
        <v>46211</v>
      </c>
      <c r="B784" s="1" t="n">
        <v>20060</v>
      </c>
      <c r="C784" s="1" t="inlineStr">
        <is>
          <t>302</t>
        </is>
      </c>
      <c r="D784" s="1" t="inlineStr">
        <is>
          <t xml:space="preserve">640   </t>
        </is>
      </c>
      <c r="E784" s="1" t="inlineStr">
        <is>
          <t xml:space="preserve">33661538       </t>
        </is>
      </c>
      <c r="F784" s="5" t="inlineStr">
        <is>
          <t>HOT WHEELS CASE GARAGE RUEDA METAL EN LLAMAS X 29</t>
        </is>
      </c>
      <c r="G784" t="n">
        <v>1</v>
      </c>
      <c r="H784" s="7" t="n">
        <v>62.9</v>
      </c>
      <c r="I784" s="7" t="n">
        <v>0</v>
      </c>
      <c r="J784" s="7" t="n">
        <v>0</v>
      </c>
      <c r="K784" s="9" t="n">
        <v>0</v>
      </c>
      <c r="L784" s="10" t="n">
        <v>37.32</v>
      </c>
      <c r="M784" s="10" t="n">
        <v>1.43</v>
      </c>
      <c r="N784" t="inlineStr">
        <is>
          <t>1</t>
        </is>
      </c>
      <c r="O784" t="inlineStr">
        <is>
          <t>16</t>
        </is>
      </c>
      <c r="P784" t="inlineStr">
        <is>
          <t>82807346</t>
        </is>
      </c>
      <c r="Q784" s="26" t="n">
        <v>41.47</v>
      </c>
      <c r="R784" s="26">
        <f>Q784*G784</f>
        <v/>
      </c>
      <c r="S784" s="26">
        <f>IFERROR(VLOOKUP(E784*1,Tabla[#All],8,0),0)</f>
        <v/>
      </c>
      <c r="T784" s="26">
        <f>S784*G784</f>
        <v/>
      </c>
      <c r="U784" s="26">
        <f>R784-T784</f>
        <v/>
      </c>
      <c r="V784" s="26">
        <f>U784-L784</f>
        <v/>
      </c>
    </row>
    <row r="785">
      <c r="A785" s="11" t="n">
        <v>46211</v>
      </c>
      <c r="B785" s="1" t="n">
        <v>20060</v>
      </c>
      <c r="C785" s="1" t="inlineStr">
        <is>
          <t>302</t>
        </is>
      </c>
      <c r="D785" s="1" t="inlineStr">
        <is>
          <t xml:space="preserve">640   </t>
        </is>
      </c>
      <c r="E785" s="1" t="inlineStr">
        <is>
          <t xml:space="preserve">35685067       </t>
        </is>
      </c>
      <c r="F785" s="5" t="inlineStr">
        <is>
          <t>HOT WHEELS POWER SET 3 EN 1</t>
        </is>
      </c>
      <c r="G785" t="n">
        <v>1</v>
      </c>
      <c r="H785" s="7" t="n">
        <v>44.9</v>
      </c>
      <c r="I785" s="7" t="n">
        <v>0</v>
      </c>
      <c r="J785" s="7" t="n">
        <v>0</v>
      </c>
      <c r="K785" s="9" t="n">
        <v>0</v>
      </c>
      <c r="L785" s="10" t="n">
        <v>26.64</v>
      </c>
      <c r="M785" s="10" t="n">
        <v>1.43</v>
      </c>
      <c r="N785" t="inlineStr">
        <is>
          <t>1</t>
        </is>
      </c>
      <c r="O785" t="inlineStr">
        <is>
          <t>16</t>
        </is>
      </c>
      <c r="P785" t="inlineStr">
        <is>
          <t>82807346</t>
        </is>
      </c>
      <c r="Q785" s="26" t="n">
        <v>29.6</v>
      </c>
      <c r="R785" s="26">
        <f>Q785*G785</f>
        <v/>
      </c>
      <c r="S785" s="26">
        <f>IFERROR(VLOOKUP(E785*1,Tabla[#All],8,0),0)</f>
        <v/>
      </c>
      <c r="T785" s="26">
        <f>S785*G785</f>
        <v/>
      </c>
      <c r="U785" s="26">
        <f>R785-T785</f>
        <v/>
      </c>
      <c r="V785" s="26">
        <f>U785-L785</f>
        <v/>
      </c>
    </row>
    <row r="786">
      <c r="A786" s="11" t="n">
        <v>46211</v>
      </c>
      <c r="B786" s="1" t="n">
        <v>20060</v>
      </c>
      <c r="C786" s="1" t="inlineStr">
        <is>
          <t>302</t>
        </is>
      </c>
      <c r="D786" s="1" t="inlineStr">
        <is>
          <t xml:space="preserve">640   </t>
        </is>
      </c>
      <c r="E786" s="1" t="inlineStr">
        <is>
          <t xml:space="preserve">35685068       </t>
        </is>
      </c>
      <c r="F786" s="5" t="inlineStr">
        <is>
          <t>BARBIE FASHION SET 3 EN 1</t>
        </is>
      </c>
      <c r="G786" t="n">
        <v>1</v>
      </c>
      <c r="H786" s="7" t="n">
        <v>44.9</v>
      </c>
      <c r="I786" s="7" t="n">
        <v>0</v>
      </c>
      <c r="J786" s="7" t="n">
        <v>0</v>
      </c>
      <c r="K786" s="9" t="n">
        <v>0</v>
      </c>
      <c r="L786" s="10" t="n">
        <v>26.64</v>
      </c>
      <c r="M786" s="10" t="n">
        <v>1.43</v>
      </c>
      <c r="N786" t="inlineStr">
        <is>
          <t>1</t>
        </is>
      </c>
      <c r="O786" t="inlineStr">
        <is>
          <t>16</t>
        </is>
      </c>
      <c r="P786" t="inlineStr">
        <is>
          <t>82807346</t>
        </is>
      </c>
      <c r="Q786" s="26" t="n">
        <v>29.6</v>
      </c>
      <c r="R786" s="26">
        <f>Q786*G786</f>
        <v/>
      </c>
      <c r="S786" s="26">
        <f>IFERROR(VLOOKUP(E786*1,Tabla[#All],8,0),0)</f>
        <v/>
      </c>
      <c r="T786" s="26">
        <f>S786*G786</f>
        <v/>
      </c>
      <c r="U786" s="26">
        <f>R786-T786</f>
        <v/>
      </c>
      <c r="V786" s="26">
        <f>U786-L786</f>
        <v/>
      </c>
    </row>
    <row r="787">
      <c r="A787" s="11" t="n">
        <v>46211</v>
      </c>
      <c r="B787" s="1" t="n">
        <v>20062</v>
      </c>
      <c r="C787" s="1" t="inlineStr">
        <is>
          <t>050</t>
        </is>
      </c>
      <c r="D787" s="1" t="inlineStr">
        <is>
          <t>316865</t>
        </is>
      </c>
      <c r="E787" s="1" t="inlineStr">
        <is>
          <t xml:space="preserve">28194770       </t>
        </is>
      </c>
      <c r="F787" s="5" t="inlineStr">
        <is>
          <t>AUTOS DE METAL 3 TEAMSTERZ EN BLISTER</t>
        </is>
      </c>
      <c r="G787" t="n">
        <v>1</v>
      </c>
      <c r="H787" s="7" t="n">
        <v>6.9</v>
      </c>
      <c r="I787" s="7" t="n">
        <v>0</v>
      </c>
      <c r="J787" s="7" t="n">
        <v>0</v>
      </c>
      <c r="K787" s="9" t="n">
        <v>0</v>
      </c>
      <c r="L787" s="10" t="n">
        <v>4.1</v>
      </c>
      <c r="M787" s="10" t="n">
        <v>1.43</v>
      </c>
      <c r="N787" t="inlineStr">
        <is>
          <t>1</t>
        </is>
      </c>
      <c r="O787" t="inlineStr">
        <is>
          <t xml:space="preserve">2 </t>
        </is>
      </c>
      <c r="P787" t="inlineStr">
        <is>
          <t xml:space="preserve">250430  </t>
        </is>
      </c>
      <c r="Q787" s="26" t="n">
        <v>4.09</v>
      </c>
      <c r="R787" s="26">
        <f>Q787*G787</f>
        <v/>
      </c>
      <c r="S787" s="26">
        <f>IFERROR(VLOOKUP(E787*1,Tabla[#All],8,0),0)</f>
        <v/>
      </c>
      <c r="T787" s="26">
        <f>S787*G787</f>
        <v/>
      </c>
      <c r="U787" s="26">
        <f>R787-T787</f>
        <v/>
      </c>
      <c r="V787" s="26">
        <f>U787-L787</f>
        <v/>
      </c>
    </row>
    <row r="788">
      <c r="A788" s="11" t="n">
        <v>46211</v>
      </c>
      <c r="B788" s="1" t="n">
        <v>20066</v>
      </c>
      <c r="C788" s="1" t="inlineStr">
        <is>
          <t>058</t>
        </is>
      </c>
      <c r="D788" s="1" t="inlineStr">
        <is>
          <t xml:space="preserve">60043 </t>
        </is>
      </c>
      <c r="E788" s="1" t="inlineStr">
        <is>
          <t xml:space="preserve">31675352       </t>
        </is>
      </c>
      <c r="F788" s="5" t="inlineStr">
        <is>
          <t>MI PEQUENO NENUCO</t>
        </is>
      </c>
      <c r="G788" t="n">
        <v>1</v>
      </c>
      <c r="H788" s="7" t="n">
        <v>69.90000000000001</v>
      </c>
      <c r="I788" s="7" t="n">
        <v>0</v>
      </c>
      <c r="J788" s="7" t="n">
        <v>0</v>
      </c>
      <c r="K788" s="9" t="n">
        <v>0</v>
      </c>
      <c r="L788" s="10" t="n">
        <v>41.47</v>
      </c>
      <c r="M788" s="10" t="n">
        <v>1.43</v>
      </c>
      <c r="N788" t="inlineStr">
        <is>
          <t>1</t>
        </is>
      </c>
      <c r="O788" t="inlineStr">
        <is>
          <t>16</t>
        </is>
      </c>
      <c r="P788" t="inlineStr">
        <is>
          <t xml:space="preserve">62683   </t>
        </is>
      </c>
      <c r="Q788" s="26" t="n">
        <v>41.47</v>
      </c>
      <c r="R788" s="26">
        <f>Q788*G788</f>
        <v/>
      </c>
      <c r="S788" s="26">
        <f>IFERROR(VLOOKUP(E788*1,Tabla[#All],8,0),0)</f>
        <v/>
      </c>
      <c r="T788" s="26">
        <f>S788*G788</f>
        <v/>
      </c>
      <c r="U788" s="26">
        <f>R788-T788</f>
        <v/>
      </c>
      <c r="V788" s="26">
        <f>U788-L788</f>
        <v/>
      </c>
    </row>
    <row r="789">
      <c r="A789" s="11" t="n">
        <v>46211</v>
      </c>
      <c r="B789" s="1" t="n">
        <v>20066</v>
      </c>
      <c r="C789" s="1" t="inlineStr">
        <is>
          <t>059</t>
        </is>
      </c>
      <c r="D789" s="1" t="inlineStr">
        <is>
          <t xml:space="preserve">17922 </t>
        </is>
      </c>
      <c r="E789" s="1" t="inlineStr">
        <is>
          <t xml:space="preserve">28194770       </t>
        </is>
      </c>
      <c r="F789" s="5" t="inlineStr">
        <is>
          <t>AUTOS DE METAL 3 TEAMSTERZ EN BLISTER</t>
        </is>
      </c>
      <c r="G789" t="n">
        <v>1</v>
      </c>
      <c r="H789" s="7" t="n">
        <v>6.9</v>
      </c>
      <c r="I789" s="7" t="n">
        <v>0</v>
      </c>
      <c r="J789" s="7" t="n">
        <v>0</v>
      </c>
      <c r="K789" s="9" t="n">
        <v>0</v>
      </c>
      <c r="L789" s="10" t="n">
        <v>4.1</v>
      </c>
      <c r="M789" s="10" t="n">
        <v>1.43</v>
      </c>
      <c r="N789" t="inlineStr">
        <is>
          <t>1</t>
        </is>
      </c>
      <c r="O789" t="inlineStr">
        <is>
          <t>16</t>
        </is>
      </c>
      <c r="P789" t="inlineStr">
        <is>
          <t xml:space="preserve">13622   </t>
        </is>
      </c>
      <c r="Q789" s="26" t="n">
        <v>4.09</v>
      </c>
      <c r="R789" s="26">
        <f>Q789*G789</f>
        <v/>
      </c>
      <c r="S789" s="26">
        <f>IFERROR(VLOOKUP(E789*1,Tabla[#All],8,0),0)</f>
        <v/>
      </c>
      <c r="T789" s="26">
        <f>S789*G789</f>
        <v/>
      </c>
      <c r="U789" s="26">
        <f>R789-T789</f>
        <v/>
      </c>
      <c r="V789" s="26">
        <f>U789-L789</f>
        <v/>
      </c>
    </row>
    <row r="790">
      <c r="A790" s="11" t="n">
        <v>46211</v>
      </c>
      <c r="B790" s="1" t="n">
        <v>20066</v>
      </c>
      <c r="C790" s="1" t="inlineStr">
        <is>
          <t>059</t>
        </is>
      </c>
      <c r="D790" s="1" t="inlineStr">
        <is>
          <t xml:space="preserve">17932 </t>
        </is>
      </c>
      <c r="E790" s="1" t="inlineStr">
        <is>
          <t xml:space="preserve">28194770       </t>
        </is>
      </c>
      <c r="F790" s="5" t="inlineStr">
        <is>
          <t>AUTOS DE METAL 3 TEAMSTERZ EN BLISTER</t>
        </is>
      </c>
      <c r="G790" t="n">
        <v>1</v>
      </c>
      <c r="H790" s="7" t="n">
        <v>6.9</v>
      </c>
      <c r="I790" s="7" t="n">
        <v>0</v>
      </c>
      <c r="J790" s="7" t="n">
        <v>0</v>
      </c>
      <c r="K790" s="9" t="n">
        <v>0</v>
      </c>
      <c r="L790" s="10" t="n">
        <v>4.1</v>
      </c>
      <c r="M790" s="10" t="n">
        <v>1.43</v>
      </c>
      <c r="N790" t="inlineStr">
        <is>
          <t>1</t>
        </is>
      </c>
      <c r="O790" t="inlineStr">
        <is>
          <t>16</t>
        </is>
      </c>
      <c r="P790" t="inlineStr">
        <is>
          <t xml:space="preserve">15095   </t>
        </is>
      </c>
      <c r="Q790" s="26" t="n">
        <v>4.09</v>
      </c>
      <c r="R790" s="26">
        <f>Q790*G790</f>
        <v/>
      </c>
      <c r="S790" s="26">
        <f>IFERROR(VLOOKUP(E790*1,Tabla[#All],8,0),0)</f>
        <v/>
      </c>
      <c r="T790" s="26">
        <f>S790*G790</f>
        <v/>
      </c>
      <c r="U790" s="26">
        <f>R790-T790</f>
        <v/>
      </c>
      <c r="V790" s="26">
        <f>U790-L790</f>
        <v/>
      </c>
    </row>
    <row r="791">
      <c r="A791" s="11" t="n">
        <v>46211</v>
      </c>
      <c r="B791" s="1" t="n">
        <v>20066</v>
      </c>
      <c r="C791" s="1" t="inlineStr">
        <is>
          <t>059</t>
        </is>
      </c>
      <c r="D791" s="1" t="inlineStr">
        <is>
          <t xml:space="preserve">17932 </t>
        </is>
      </c>
      <c r="E791" s="1" t="inlineStr">
        <is>
          <t xml:space="preserve">28194770       </t>
        </is>
      </c>
      <c r="F791" s="5" t="inlineStr">
        <is>
          <t>AUTOS DE METAL 3 TEAMSTERZ EN BLISTER</t>
        </is>
      </c>
      <c r="G791" t="n">
        <v>1</v>
      </c>
      <c r="H791" s="7" t="n">
        <v>6.9</v>
      </c>
      <c r="I791" s="7" t="n">
        <v>0</v>
      </c>
      <c r="J791" s="7" t="n">
        <v>0</v>
      </c>
      <c r="K791" s="9" t="n">
        <v>0</v>
      </c>
      <c r="L791" s="10" t="n">
        <v>4.1</v>
      </c>
      <c r="M791" s="10" t="n">
        <v>1.43</v>
      </c>
      <c r="N791" t="inlineStr">
        <is>
          <t>1</t>
        </is>
      </c>
      <c r="O791" t="inlineStr">
        <is>
          <t>16</t>
        </is>
      </c>
      <c r="P791" t="inlineStr">
        <is>
          <t xml:space="preserve">15095   </t>
        </is>
      </c>
      <c r="Q791" s="26" t="n">
        <v>4.09</v>
      </c>
      <c r="R791" s="26">
        <f>Q791*G791</f>
        <v/>
      </c>
      <c r="S791" s="26">
        <f>IFERROR(VLOOKUP(E791*1,Tabla[#All],8,0),0)</f>
        <v/>
      </c>
      <c r="T791" s="26">
        <f>S791*G791</f>
        <v/>
      </c>
      <c r="U791" s="26">
        <f>R791-T791</f>
        <v/>
      </c>
      <c r="V791" s="26">
        <f>U791-L791</f>
        <v/>
      </c>
    </row>
    <row r="792">
      <c r="A792" s="11" t="n">
        <v>46211</v>
      </c>
      <c r="B792" s="1" t="n">
        <v>20066</v>
      </c>
      <c r="C792" s="1" t="inlineStr">
        <is>
          <t>059</t>
        </is>
      </c>
      <c r="D792" s="1" t="inlineStr">
        <is>
          <t xml:space="preserve">17932 </t>
        </is>
      </c>
      <c r="E792" s="1" t="inlineStr">
        <is>
          <t xml:space="preserve">28194770       </t>
        </is>
      </c>
      <c r="F792" s="5" t="inlineStr">
        <is>
          <t>AUTOS DE METAL 3 TEAMSTERZ EN BLISTER</t>
        </is>
      </c>
      <c r="G792" t="n">
        <v>1</v>
      </c>
      <c r="H792" s="7" t="n">
        <v>6.9</v>
      </c>
      <c r="I792" s="7" t="n">
        <v>0</v>
      </c>
      <c r="J792" s="7" t="n">
        <v>0</v>
      </c>
      <c r="K792" s="9" t="n">
        <v>0</v>
      </c>
      <c r="L792" s="10" t="n">
        <v>4.1</v>
      </c>
      <c r="M792" s="10" t="n">
        <v>1.43</v>
      </c>
      <c r="N792" t="inlineStr">
        <is>
          <t>1</t>
        </is>
      </c>
      <c r="O792" t="inlineStr">
        <is>
          <t>16</t>
        </is>
      </c>
      <c r="P792" t="inlineStr">
        <is>
          <t xml:space="preserve">15095   </t>
        </is>
      </c>
      <c r="Q792" s="26" t="n">
        <v>4.09</v>
      </c>
      <c r="R792" s="26">
        <f>Q792*G792</f>
        <v/>
      </c>
      <c r="S792" s="26">
        <f>IFERROR(VLOOKUP(E792*1,Tabla[#All],8,0),0)</f>
        <v/>
      </c>
      <c r="T792" s="26">
        <f>S792*G792</f>
        <v/>
      </c>
      <c r="U792" s="26">
        <f>R792-T792</f>
        <v/>
      </c>
      <c r="V792" s="26">
        <f>U792-L792</f>
        <v/>
      </c>
    </row>
    <row r="793">
      <c r="A793" s="11" t="n">
        <v>46211</v>
      </c>
      <c r="B793" s="1" t="n">
        <v>20066</v>
      </c>
      <c r="C793" s="1" t="inlineStr">
        <is>
          <t>059</t>
        </is>
      </c>
      <c r="D793" s="1" t="inlineStr">
        <is>
          <t xml:space="preserve">17932 </t>
        </is>
      </c>
      <c r="E793" s="1" t="inlineStr">
        <is>
          <t xml:space="preserve">28194770       </t>
        </is>
      </c>
      <c r="F793" s="5" t="inlineStr">
        <is>
          <t>AUTOS DE METAL 3 TEAMSTERZ EN BLISTER</t>
        </is>
      </c>
      <c r="G793" t="n">
        <v>1</v>
      </c>
      <c r="H793" s="7" t="n">
        <v>6.9</v>
      </c>
      <c r="I793" s="7" t="n">
        <v>0</v>
      </c>
      <c r="J793" s="7" t="n">
        <v>0</v>
      </c>
      <c r="K793" s="9" t="n">
        <v>0</v>
      </c>
      <c r="L793" s="10" t="n">
        <v>4.1</v>
      </c>
      <c r="M793" s="10" t="n">
        <v>1.43</v>
      </c>
      <c r="N793" t="inlineStr">
        <is>
          <t>1</t>
        </is>
      </c>
      <c r="O793" t="inlineStr">
        <is>
          <t>16</t>
        </is>
      </c>
      <c r="P793" t="inlineStr">
        <is>
          <t xml:space="preserve">15095   </t>
        </is>
      </c>
      <c r="Q793" s="26" t="n">
        <v>4.09</v>
      </c>
      <c r="R793" s="26">
        <f>Q793*G793</f>
        <v/>
      </c>
      <c r="S793" s="26">
        <f>IFERROR(VLOOKUP(E793*1,Tabla[#All],8,0),0)</f>
        <v/>
      </c>
      <c r="T793" s="26">
        <f>S793*G793</f>
        <v/>
      </c>
      <c r="U793" s="26">
        <f>R793-T793</f>
        <v/>
      </c>
      <c r="V793" s="26">
        <f>U793-L793</f>
        <v/>
      </c>
    </row>
    <row r="794">
      <c r="A794" s="11" t="n">
        <v>46211</v>
      </c>
      <c r="B794" s="1" t="n">
        <v>20066</v>
      </c>
      <c r="C794" s="1" t="inlineStr">
        <is>
          <t>059</t>
        </is>
      </c>
      <c r="D794" s="1" t="inlineStr">
        <is>
          <t xml:space="preserve">17932 </t>
        </is>
      </c>
      <c r="E794" s="1" t="inlineStr">
        <is>
          <t xml:space="preserve">28194770       </t>
        </is>
      </c>
      <c r="F794" s="5" t="inlineStr">
        <is>
          <t>AUTOS DE METAL 3 TEAMSTERZ EN BLISTER</t>
        </is>
      </c>
      <c r="G794" t="n">
        <v>1</v>
      </c>
      <c r="H794" s="7" t="n">
        <v>6.9</v>
      </c>
      <c r="I794" s="7" t="n">
        <v>0</v>
      </c>
      <c r="J794" s="7" t="n">
        <v>0</v>
      </c>
      <c r="K794" s="9" t="n">
        <v>0</v>
      </c>
      <c r="L794" s="10" t="n">
        <v>4.1</v>
      </c>
      <c r="M794" s="10" t="n">
        <v>1.43</v>
      </c>
      <c r="N794" t="inlineStr">
        <is>
          <t>1</t>
        </is>
      </c>
      <c r="O794" t="inlineStr">
        <is>
          <t>16</t>
        </is>
      </c>
      <c r="P794" t="inlineStr">
        <is>
          <t xml:space="preserve">15095   </t>
        </is>
      </c>
      <c r="Q794" s="26" t="n">
        <v>4.09</v>
      </c>
      <c r="R794" s="26">
        <f>Q794*G794</f>
        <v/>
      </c>
      <c r="S794" s="26">
        <f>IFERROR(VLOOKUP(E794*1,Tabla[#All],8,0),0)</f>
        <v/>
      </c>
      <c r="T794" s="26">
        <f>S794*G794</f>
        <v/>
      </c>
      <c r="U794" s="26">
        <f>R794-T794</f>
        <v/>
      </c>
      <c r="V794" s="26">
        <f>U794-L794</f>
        <v/>
      </c>
    </row>
    <row r="795">
      <c r="A795" s="11" t="n">
        <v>46211</v>
      </c>
      <c r="B795" s="1" t="n">
        <v>20066</v>
      </c>
      <c r="C795" s="1" t="inlineStr">
        <is>
          <t>059</t>
        </is>
      </c>
      <c r="D795" s="1" t="inlineStr">
        <is>
          <t xml:space="preserve">17932 </t>
        </is>
      </c>
      <c r="E795" s="1" t="inlineStr">
        <is>
          <t xml:space="preserve">28194770       </t>
        </is>
      </c>
      <c r="F795" s="5" t="inlineStr">
        <is>
          <t>AUTOS DE METAL 3 TEAMSTERZ EN BLISTER</t>
        </is>
      </c>
      <c r="G795" t="n">
        <v>1</v>
      </c>
      <c r="H795" s="7" t="n">
        <v>6.9</v>
      </c>
      <c r="I795" s="7" t="n">
        <v>0</v>
      </c>
      <c r="J795" s="7" t="n">
        <v>0</v>
      </c>
      <c r="K795" s="9" t="n">
        <v>0</v>
      </c>
      <c r="L795" s="10" t="n">
        <v>4.1</v>
      </c>
      <c r="M795" s="10" t="n">
        <v>1.43</v>
      </c>
      <c r="N795" t="inlineStr">
        <is>
          <t>1</t>
        </is>
      </c>
      <c r="O795" t="inlineStr">
        <is>
          <t>16</t>
        </is>
      </c>
      <c r="P795" t="inlineStr">
        <is>
          <t xml:space="preserve">15095   </t>
        </is>
      </c>
      <c r="Q795" s="26" t="n">
        <v>4.09</v>
      </c>
      <c r="R795" s="26">
        <f>Q795*G795</f>
        <v/>
      </c>
      <c r="S795" s="26">
        <f>IFERROR(VLOOKUP(E795*1,Tabla[#All],8,0),0)</f>
        <v/>
      </c>
      <c r="T795" s="26">
        <f>S795*G795</f>
        <v/>
      </c>
      <c r="U795" s="26">
        <f>R795-T795</f>
        <v/>
      </c>
      <c r="V795" s="26">
        <f>U795-L795</f>
        <v/>
      </c>
    </row>
    <row r="796">
      <c r="A796" s="11" t="n">
        <v>46211</v>
      </c>
      <c r="B796" s="1" t="n">
        <v>20066</v>
      </c>
      <c r="C796" s="1" t="inlineStr">
        <is>
          <t>059</t>
        </is>
      </c>
      <c r="D796" s="1" t="inlineStr">
        <is>
          <t xml:space="preserve">17932 </t>
        </is>
      </c>
      <c r="E796" s="1" t="inlineStr">
        <is>
          <t xml:space="preserve">28194770       </t>
        </is>
      </c>
      <c r="F796" s="5" t="inlineStr">
        <is>
          <t>AUTOS DE METAL 3 TEAMSTERZ EN BLISTER</t>
        </is>
      </c>
      <c r="G796" t="n">
        <v>1</v>
      </c>
      <c r="H796" s="7" t="n">
        <v>6.9</v>
      </c>
      <c r="I796" s="7" t="n">
        <v>0</v>
      </c>
      <c r="J796" s="7" t="n">
        <v>0</v>
      </c>
      <c r="K796" s="9" t="n">
        <v>0</v>
      </c>
      <c r="L796" s="10" t="n">
        <v>4.1</v>
      </c>
      <c r="M796" s="10" t="n">
        <v>1.43</v>
      </c>
      <c r="N796" t="inlineStr">
        <is>
          <t>1</t>
        </is>
      </c>
      <c r="O796" t="inlineStr">
        <is>
          <t>16</t>
        </is>
      </c>
      <c r="P796" t="inlineStr">
        <is>
          <t xml:space="preserve">15095   </t>
        </is>
      </c>
      <c r="Q796" s="26" t="n">
        <v>4.09</v>
      </c>
      <c r="R796" s="26">
        <f>Q796*G796</f>
        <v/>
      </c>
      <c r="S796" s="26">
        <f>IFERROR(VLOOKUP(E796*1,Tabla[#All],8,0),0)</f>
        <v/>
      </c>
      <c r="T796" s="26">
        <f>S796*G796</f>
        <v/>
      </c>
      <c r="U796" s="26">
        <f>R796-T796</f>
        <v/>
      </c>
      <c r="V796" s="26">
        <f>U796-L796</f>
        <v/>
      </c>
    </row>
    <row r="797">
      <c r="A797" s="11" t="n">
        <v>46211</v>
      </c>
      <c r="B797" s="1" t="n">
        <v>20066</v>
      </c>
      <c r="C797" s="1" t="inlineStr">
        <is>
          <t>059</t>
        </is>
      </c>
      <c r="D797" s="1" t="inlineStr">
        <is>
          <t xml:space="preserve">17932 </t>
        </is>
      </c>
      <c r="E797" s="1" t="inlineStr">
        <is>
          <t xml:space="preserve">28194770       </t>
        </is>
      </c>
      <c r="F797" s="5" t="inlineStr">
        <is>
          <t>AUTOS DE METAL 3 TEAMSTERZ EN BLISTER</t>
        </is>
      </c>
      <c r="G797" t="n">
        <v>1</v>
      </c>
      <c r="H797" s="7" t="n">
        <v>6.9</v>
      </c>
      <c r="I797" s="7" t="n">
        <v>0</v>
      </c>
      <c r="J797" s="7" t="n">
        <v>0</v>
      </c>
      <c r="K797" s="9" t="n">
        <v>0</v>
      </c>
      <c r="L797" s="10" t="n">
        <v>4.1</v>
      </c>
      <c r="M797" s="10" t="n">
        <v>1.43</v>
      </c>
      <c r="N797" t="inlineStr">
        <is>
          <t>1</t>
        </is>
      </c>
      <c r="O797" t="inlineStr">
        <is>
          <t>16</t>
        </is>
      </c>
      <c r="P797" t="inlineStr">
        <is>
          <t xml:space="preserve">15095   </t>
        </is>
      </c>
      <c r="Q797" s="26" t="n">
        <v>4.09</v>
      </c>
      <c r="R797" s="26">
        <f>Q797*G797</f>
        <v/>
      </c>
      <c r="S797" s="26">
        <f>IFERROR(VLOOKUP(E797*1,Tabla[#All],8,0),0)</f>
        <v/>
      </c>
      <c r="T797" s="26">
        <f>S797*G797</f>
        <v/>
      </c>
      <c r="U797" s="26">
        <f>R797-T797</f>
        <v/>
      </c>
      <c r="V797" s="26">
        <f>U797-L797</f>
        <v/>
      </c>
    </row>
    <row r="798">
      <c r="A798" s="11" t="n">
        <v>46211</v>
      </c>
      <c r="B798" s="1" t="n">
        <v>20066</v>
      </c>
      <c r="C798" s="1" t="inlineStr">
        <is>
          <t>095</t>
        </is>
      </c>
      <c r="D798" s="1" t="inlineStr">
        <is>
          <t xml:space="preserve">87893 </t>
        </is>
      </c>
      <c r="E798" s="1" t="inlineStr">
        <is>
          <t xml:space="preserve">28194770       </t>
        </is>
      </c>
      <c r="F798" s="5" t="inlineStr">
        <is>
          <t>AUTOS DE METAL 3 TEAMSTERZ EN BLISTER</t>
        </is>
      </c>
      <c r="G798" t="n">
        <v>1</v>
      </c>
      <c r="H798" s="7" t="n">
        <v>6.9</v>
      </c>
      <c r="I798" s="7" t="n">
        <v>0</v>
      </c>
      <c r="J798" s="7" t="n">
        <v>0</v>
      </c>
      <c r="K798" s="9" t="n">
        <v>0</v>
      </c>
      <c r="L798" s="10" t="n">
        <v>4.1</v>
      </c>
      <c r="M798" s="10" t="n">
        <v>1.43</v>
      </c>
      <c r="N798" t="inlineStr">
        <is>
          <t>1</t>
        </is>
      </c>
      <c r="O798" t="inlineStr">
        <is>
          <t>16</t>
        </is>
      </c>
      <c r="P798" t="inlineStr">
        <is>
          <t xml:space="preserve">16249   </t>
        </is>
      </c>
      <c r="Q798" s="26" t="n">
        <v>4.09</v>
      </c>
      <c r="R798" s="26">
        <f>Q798*G798</f>
        <v/>
      </c>
      <c r="S798" s="26">
        <f>IFERROR(VLOOKUP(E798*1,Tabla[#All],8,0),0)</f>
        <v/>
      </c>
      <c r="T798" s="26">
        <f>S798*G798</f>
        <v/>
      </c>
      <c r="U798" s="26">
        <f>R798-T798</f>
        <v/>
      </c>
      <c r="V798" s="26">
        <f>U798-L798</f>
        <v/>
      </c>
    </row>
    <row r="799">
      <c r="A799" s="11" t="n">
        <v>46211</v>
      </c>
      <c r="B799" s="1" t="n">
        <v>20066</v>
      </c>
      <c r="C799" s="1" t="inlineStr">
        <is>
          <t>804</t>
        </is>
      </c>
      <c r="D799" s="1" t="inlineStr">
        <is>
          <t xml:space="preserve">4092  </t>
        </is>
      </c>
      <c r="E799" s="1" t="inlineStr">
        <is>
          <t xml:space="preserve">28194770       </t>
        </is>
      </c>
      <c r="F799" s="5" t="inlineStr">
        <is>
          <t>AUTOS DE METAL 3 TEAMSTERZ EN BLISTER</t>
        </is>
      </c>
      <c r="G799" t="n">
        <v>1</v>
      </c>
      <c r="H799" s="7" t="n">
        <v>6.9</v>
      </c>
      <c r="I799" s="7" t="n">
        <v>0</v>
      </c>
      <c r="J799" s="7" t="n">
        <v>0</v>
      </c>
      <c r="K799" s="9" t="n">
        <v>0</v>
      </c>
      <c r="L799" s="10" t="n">
        <v>4.1</v>
      </c>
      <c r="M799" s="10" t="n">
        <v>1.43</v>
      </c>
      <c r="N799" t="inlineStr">
        <is>
          <t>1</t>
        </is>
      </c>
      <c r="O799" t="inlineStr">
        <is>
          <t>16</t>
        </is>
      </c>
      <c r="P799" t="inlineStr">
        <is>
          <t xml:space="preserve">247448  </t>
        </is>
      </c>
      <c r="Q799" s="26" t="n">
        <v>4.09</v>
      </c>
      <c r="R799" s="26">
        <f>Q799*G799</f>
        <v/>
      </c>
      <c r="S799" s="26">
        <f>IFERROR(VLOOKUP(E799*1,Tabla[#All],8,0),0)</f>
        <v/>
      </c>
      <c r="T799" s="26">
        <f>S799*G799</f>
        <v/>
      </c>
      <c r="U799" s="26">
        <f>R799-T799</f>
        <v/>
      </c>
      <c r="V799" s="26">
        <f>U799-L799</f>
        <v/>
      </c>
    </row>
    <row r="800">
      <c r="A800" s="11" t="n">
        <v>46211</v>
      </c>
      <c r="B800" s="1" t="n">
        <v>20074</v>
      </c>
      <c r="C800" s="1" t="inlineStr">
        <is>
          <t>015</t>
        </is>
      </c>
      <c r="D800" s="1" t="inlineStr">
        <is>
          <t>227461</t>
        </is>
      </c>
      <c r="E800" s="1" t="inlineStr">
        <is>
          <t xml:space="preserve">32457103       </t>
        </is>
      </c>
      <c r="F800" s="5" t="inlineStr">
        <is>
          <t>TMZ BEAST MACHINES MONSTER JAWS A FRICCION PACK DE</t>
        </is>
      </c>
      <c r="G800" t="n">
        <v>1</v>
      </c>
      <c r="H800" s="7" t="n">
        <v>37.9</v>
      </c>
      <c r="I800" s="7" t="n">
        <v>0</v>
      </c>
      <c r="J800" s="7" t="n">
        <v>0</v>
      </c>
      <c r="K800" s="9" t="n">
        <v>0</v>
      </c>
      <c r="L800" s="10" t="n">
        <v>22.48</v>
      </c>
      <c r="M800" s="10" t="n">
        <v>1.43</v>
      </c>
      <c r="N800" t="inlineStr">
        <is>
          <t>1</t>
        </is>
      </c>
      <c r="O800" t="inlineStr">
        <is>
          <t>16</t>
        </is>
      </c>
      <c r="P800" t="inlineStr">
        <is>
          <t xml:space="preserve">102135  </t>
        </is>
      </c>
      <c r="Q800" s="26" t="n">
        <v>22.48</v>
      </c>
      <c r="R800" s="26">
        <f>Q800*G800</f>
        <v/>
      </c>
      <c r="S800" s="26">
        <f>IFERROR(VLOOKUP(E800*1,Tabla[#All],8,0),0)</f>
        <v/>
      </c>
      <c r="T800" s="26">
        <f>S800*G800</f>
        <v/>
      </c>
      <c r="U800" s="26">
        <f>R800-T800</f>
        <v/>
      </c>
      <c r="V800" s="26">
        <f>U800-L800</f>
        <v/>
      </c>
    </row>
    <row r="801">
      <c r="A801" s="11" t="n">
        <v>46211</v>
      </c>
      <c r="B801" s="1" t="n">
        <v>20074</v>
      </c>
      <c r="C801" s="1" t="inlineStr">
        <is>
          <t>015</t>
        </is>
      </c>
      <c r="D801" s="1" t="inlineStr">
        <is>
          <t>227528</t>
        </is>
      </c>
      <c r="E801" s="1" t="inlineStr">
        <is>
          <t xml:space="preserve">28194770       </t>
        </is>
      </c>
      <c r="F801" s="5" t="inlineStr">
        <is>
          <t>AUTOS DE METAL 3 TEAMSTERZ EN BLISTER</t>
        </is>
      </c>
      <c r="G801" t="n">
        <v>1</v>
      </c>
      <c r="H801" s="7" t="n">
        <v>6.9</v>
      </c>
      <c r="I801" s="7" t="n">
        <v>0</v>
      </c>
      <c r="J801" s="7" t="n">
        <v>0</v>
      </c>
      <c r="K801" s="9" t="n">
        <v>0</v>
      </c>
      <c r="L801" s="10" t="n">
        <v>4.1</v>
      </c>
      <c r="M801" s="10" t="n">
        <v>1.43</v>
      </c>
      <c r="N801" t="inlineStr">
        <is>
          <t>1</t>
        </is>
      </c>
      <c r="O801" t="inlineStr">
        <is>
          <t xml:space="preserve">3 </t>
        </is>
      </c>
      <c r="P801" t="inlineStr">
        <is>
          <t xml:space="preserve">102135  </t>
        </is>
      </c>
      <c r="Q801" s="26" t="n">
        <v>4.09</v>
      </c>
      <c r="R801" s="26">
        <f>Q801*G801</f>
        <v/>
      </c>
      <c r="S801" s="26">
        <f>IFERROR(VLOOKUP(E801*1,Tabla[#All],8,0),0)</f>
        <v/>
      </c>
      <c r="T801" s="26">
        <f>S801*G801</f>
        <v/>
      </c>
      <c r="U801" s="26">
        <f>R801-T801</f>
        <v/>
      </c>
      <c r="V801" s="26">
        <f>U801-L801</f>
        <v/>
      </c>
    </row>
    <row r="802">
      <c r="A802" s="11" t="n">
        <v>46211</v>
      </c>
      <c r="B802" s="1" t="n">
        <v>20074</v>
      </c>
      <c r="C802" s="1" t="inlineStr">
        <is>
          <t>048</t>
        </is>
      </c>
      <c r="D802" s="1" t="inlineStr">
        <is>
          <t>144629</t>
        </is>
      </c>
      <c r="E802" s="1" t="inlineStr">
        <is>
          <t xml:space="preserve">30141766       </t>
        </is>
      </c>
      <c r="F802" s="5" t="inlineStr">
        <is>
          <t>TMZ BEAST MACHINES AUTOS DE METAL BLISTER X 1</t>
        </is>
      </c>
      <c r="G802" t="n">
        <v>1</v>
      </c>
      <c r="H802" s="7" t="n">
        <v>7.9</v>
      </c>
      <c r="I802" s="7" t="n">
        <v>0</v>
      </c>
      <c r="J802" s="7" t="n">
        <v>0</v>
      </c>
      <c r="K802" s="9" t="n">
        <v>0</v>
      </c>
      <c r="L802" s="10" t="n">
        <v>4.68</v>
      </c>
      <c r="M802" s="10" t="n">
        <v>1.43</v>
      </c>
      <c r="N802" t="inlineStr">
        <is>
          <t>1</t>
        </is>
      </c>
      <c r="O802" t="inlineStr">
        <is>
          <t xml:space="preserve">2 </t>
        </is>
      </c>
      <c r="P802" t="inlineStr">
        <is>
          <t xml:space="preserve">235827  </t>
        </is>
      </c>
      <c r="Q802" s="26" t="n">
        <v>4.69</v>
      </c>
      <c r="R802" s="26">
        <f>Q802*G802</f>
        <v/>
      </c>
      <c r="S802" s="26">
        <f>IFERROR(VLOOKUP(E802*1,Tabla[#All],8,0),0)</f>
        <v/>
      </c>
      <c r="T802" s="26">
        <f>S802*G802</f>
        <v/>
      </c>
      <c r="U802" s="26">
        <f>R802-T802</f>
        <v/>
      </c>
      <c r="V802" s="26">
        <f>U802-L802</f>
        <v/>
      </c>
    </row>
    <row r="803">
      <c r="A803" s="11" t="n">
        <v>46211</v>
      </c>
      <c r="B803" s="1" t="n">
        <v>20074</v>
      </c>
      <c r="C803" s="1" t="inlineStr">
        <is>
          <t>048</t>
        </is>
      </c>
      <c r="D803" s="1" t="inlineStr">
        <is>
          <t>144629</t>
        </is>
      </c>
      <c r="E803" s="1" t="inlineStr">
        <is>
          <t xml:space="preserve">30141766       </t>
        </is>
      </c>
      <c r="F803" s="5" t="inlineStr">
        <is>
          <t>TMZ BEAST MACHINES AUTOS DE METAL BLISTER X 1</t>
        </is>
      </c>
      <c r="G803" t="n">
        <v>1</v>
      </c>
      <c r="H803" s="7" t="n">
        <v>7.9</v>
      </c>
      <c r="I803" s="7" t="n">
        <v>0</v>
      </c>
      <c r="J803" s="7" t="n">
        <v>0</v>
      </c>
      <c r="K803" s="9" t="n">
        <v>0</v>
      </c>
      <c r="L803" s="10" t="n">
        <v>4.68</v>
      </c>
      <c r="M803" s="10" t="n">
        <v>1.43</v>
      </c>
      <c r="N803" t="inlineStr">
        <is>
          <t>1</t>
        </is>
      </c>
      <c r="O803" t="inlineStr">
        <is>
          <t xml:space="preserve">2 </t>
        </is>
      </c>
      <c r="P803" t="inlineStr">
        <is>
          <t xml:space="preserve">235827  </t>
        </is>
      </c>
      <c r="Q803" s="26" t="n">
        <v>4.69</v>
      </c>
      <c r="R803" s="26">
        <f>Q803*G803</f>
        <v/>
      </c>
      <c r="S803" s="26">
        <f>IFERROR(VLOOKUP(E803*1,Tabla[#All],8,0),0)</f>
        <v/>
      </c>
      <c r="T803" s="26">
        <f>S803*G803</f>
        <v/>
      </c>
      <c r="U803" s="26">
        <f>R803-T803</f>
        <v/>
      </c>
      <c r="V803" s="26">
        <f>U803-L803</f>
        <v/>
      </c>
    </row>
    <row r="804">
      <c r="A804" s="11" t="n">
        <v>46211</v>
      </c>
      <c r="B804" s="1" t="n">
        <v>20077</v>
      </c>
      <c r="C804" s="1" t="inlineStr">
        <is>
          <t>013</t>
        </is>
      </c>
      <c r="D804" s="1" t="inlineStr">
        <is>
          <t xml:space="preserve">81969 </t>
        </is>
      </c>
      <c r="E804" s="1" t="inlineStr">
        <is>
          <t xml:space="preserve">28194783       </t>
        </is>
      </c>
      <c r="F804" s="5" t="inlineStr">
        <is>
          <t>SET DE BATALLA INFINITY NADO CON 2 TROMPOS</t>
        </is>
      </c>
      <c r="G804" t="n">
        <v>1</v>
      </c>
      <c r="H804" s="7" t="n">
        <v>159</v>
      </c>
      <c r="I804" s="7" t="n">
        <v>0</v>
      </c>
      <c r="J804" s="7" t="n">
        <v>0</v>
      </c>
      <c r="K804" s="9" t="n">
        <v>0</v>
      </c>
      <c r="L804" s="10" t="n">
        <v>94.33</v>
      </c>
      <c r="M804" s="10" t="n">
        <v>1.43</v>
      </c>
      <c r="N804" t="inlineStr">
        <is>
          <t>1</t>
        </is>
      </c>
      <c r="O804" t="inlineStr">
        <is>
          <t>16</t>
        </is>
      </c>
      <c r="P804" t="inlineStr">
        <is>
          <t xml:space="preserve">62762   </t>
        </is>
      </c>
      <c r="Q804" s="26" t="n">
        <v>94.31999999999999</v>
      </c>
      <c r="R804" s="26">
        <f>Q804*G804</f>
        <v/>
      </c>
      <c r="S804" s="26">
        <f>IFERROR(VLOOKUP(E804*1,Tabla[#All],8,0),0)</f>
        <v/>
      </c>
      <c r="T804" s="26">
        <f>S804*G804</f>
        <v/>
      </c>
      <c r="U804" s="26">
        <f>R804-T804</f>
        <v/>
      </c>
      <c r="V804" s="26">
        <f>U804-L804</f>
        <v/>
      </c>
    </row>
    <row r="805">
      <c r="A805" s="11" t="n">
        <v>46211</v>
      </c>
      <c r="B805" s="1" t="n">
        <v>20077</v>
      </c>
      <c r="C805" s="1" t="inlineStr">
        <is>
          <t>026</t>
        </is>
      </c>
      <c r="D805" s="1" t="inlineStr">
        <is>
          <t>107643</t>
        </is>
      </c>
      <c r="E805" s="1" t="inlineStr">
        <is>
          <t xml:space="preserve">29235700       </t>
        </is>
      </c>
      <c r="F805" s="5" t="inlineStr">
        <is>
          <t>HOT WHEELS CASE METALICO PARA GUARDAR 18 CARRITOS</t>
        </is>
      </c>
      <c r="G805" t="n">
        <v>1</v>
      </c>
      <c r="H805" s="7" t="n">
        <v>49.9</v>
      </c>
      <c r="I805" s="7" t="n">
        <v>0</v>
      </c>
      <c r="J805" s="7" t="n">
        <v>0</v>
      </c>
      <c r="K805" s="9" t="n">
        <v>0</v>
      </c>
      <c r="L805" s="10" t="n">
        <v>29.6</v>
      </c>
      <c r="M805" s="10" t="n">
        <v>1.43</v>
      </c>
      <c r="N805" t="inlineStr">
        <is>
          <t>1</t>
        </is>
      </c>
      <c r="O805" t="inlineStr">
        <is>
          <t>16</t>
        </is>
      </c>
      <c r="P805" t="inlineStr">
        <is>
          <t xml:space="preserve">43639   </t>
        </is>
      </c>
      <c r="Q805" s="26" t="n">
        <v>29.6</v>
      </c>
      <c r="R805" s="26">
        <f>Q805*G805</f>
        <v/>
      </c>
      <c r="S805" s="26">
        <f>IFERROR(VLOOKUP(E805*1,Tabla[#All],8,0),0)</f>
        <v/>
      </c>
      <c r="T805" s="26">
        <f>S805*G805</f>
        <v/>
      </c>
      <c r="U805" s="26">
        <f>R805-T805</f>
        <v/>
      </c>
      <c r="V805" s="26">
        <f>U805-L805</f>
        <v/>
      </c>
    </row>
    <row r="806">
      <c r="A806" s="11" t="n">
        <v>46211</v>
      </c>
      <c r="B806" s="1" t="n">
        <v>20077</v>
      </c>
      <c r="C806" s="1" t="inlineStr">
        <is>
          <t>029</t>
        </is>
      </c>
      <c r="D806" s="1" t="inlineStr">
        <is>
          <t>155794</t>
        </is>
      </c>
      <c r="E806" s="1" t="inlineStr">
        <is>
          <t xml:space="preserve">28194770       </t>
        </is>
      </c>
      <c r="F806" s="5" t="inlineStr">
        <is>
          <t>AUTOS DE METAL 3 TEAMSTERZ EN BLISTER</t>
        </is>
      </c>
      <c r="G806" t="n">
        <v>1</v>
      </c>
      <c r="H806" s="7" t="n">
        <v>6.9</v>
      </c>
      <c r="I806" s="7" t="n">
        <v>0</v>
      </c>
      <c r="J806" s="7" t="n">
        <v>0</v>
      </c>
      <c r="K806" s="9" t="n">
        <v>0</v>
      </c>
      <c r="L806" s="10" t="n">
        <v>4.1</v>
      </c>
      <c r="M806" s="10" t="n">
        <v>1.43</v>
      </c>
      <c r="N806" t="inlineStr">
        <is>
          <t>1</t>
        </is>
      </c>
      <c r="O806" t="inlineStr">
        <is>
          <t>16</t>
        </is>
      </c>
      <c r="P806" t="inlineStr">
        <is>
          <t xml:space="preserve">246990  </t>
        </is>
      </c>
      <c r="Q806" s="26" t="n">
        <v>4.09</v>
      </c>
      <c r="R806" s="26">
        <f>Q806*G806</f>
        <v/>
      </c>
      <c r="S806" s="26">
        <f>IFERROR(VLOOKUP(E806*1,Tabla[#All],8,0),0)</f>
        <v/>
      </c>
      <c r="T806" s="26">
        <f>S806*G806</f>
        <v/>
      </c>
      <c r="U806" s="26">
        <f>R806-T806</f>
        <v/>
      </c>
      <c r="V806" s="26">
        <f>U806-L806</f>
        <v/>
      </c>
    </row>
    <row r="807">
      <c r="A807" s="11" t="n">
        <v>46211</v>
      </c>
      <c r="B807" s="1" t="n">
        <v>20077</v>
      </c>
      <c r="C807" s="1" t="inlineStr">
        <is>
          <t>030</t>
        </is>
      </c>
      <c r="D807" s="1" t="inlineStr">
        <is>
          <t xml:space="preserve">40325 </t>
        </is>
      </c>
      <c r="E807" s="1" t="inlineStr">
        <is>
          <t xml:space="preserve">30141766       </t>
        </is>
      </c>
      <c r="F807" s="5" t="inlineStr">
        <is>
          <t>TMZ BEAST MACHINES AUTOS DE METAL BLISTER X 1</t>
        </is>
      </c>
      <c r="G807" t="n">
        <v>1</v>
      </c>
      <c r="H807" s="7" t="n">
        <v>7.9</v>
      </c>
      <c r="I807" s="7" t="n">
        <v>0</v>
      </c>
      <c r="J807" s="7" t="n">
        <v>0</v>
      </c>
      <c r="K807" s="9" t="n">
        <v>0</v>
      </c>
      <c r="L807" s="10" t="n">
        <v>4.68</v>
      </c>
      <c r="M807" s="10" t="n">
        <v>1.43</v>
      </c>
      <c r="N807" t="inlineStr">
        <is>
          <t>1</t>
        </is>
      </c>
      <c r="O807" t="inlineStr">
        <is>
          <t>16</t>
        </is>
      </c>
      <c r="P807" t="inlineStr">
        <is>
          <t xml:space="preserve">50264   </t>
        </is>
      </c>
      <c r="Q807" s="26" t="n">
        <v>4.69</v>
      </c>
      <c r="R807" s="26">
        <f>Q807*G807</f>
        <v/>
      </c>
      <c r="S807" s="26">
        <f>IFERROR(VLOOKUP(E807*1,Tabla[#All],8,0),0)</f>
        <v/>
      </c>
      <c r="T807" s="26">
        <f>S807*G807</f>
        <v/>
      </c>
      <c r="U807" s="26">
        <f>R807-T807</f>
        <v/>
      </c>
      <c r="V807" s="26">
        <f>U807-L807</f>
        <v/>
      </c>
    </row>
    <row r="808">
      <c r="A808" s="11" t="n">
        <v>46211</v>
      </c>
      <c r="B808" s="1" t="n">
        <v>20077</v>
      </c>
      <c r="C808" s="1" t="inlineStr">
        <is>
          <t>031</t>
        </is>
      </c>
      <c r="D808" s="1" t="inlineStr">
        <is>
          <t>186257</t>
        </is>
      </c>
      <c r="E808" s="1" t="inlineStr">
        <is>
          <t xml:space="preserve">28194770       </t>
        </is>
      </c>
      <c r="F808" s="5" t="inlineStr">
        <is>
          <t>AUTOS DE METAL 3 TEAMSTERZ EN BLISTER</t>
        </is>
      </c>
      <c r="G808" t="n">
        <v>1</v>
      </c>
      <c r="H808" s="7" t="n">
        <v>6.9</v>
      </c>
      <c r="I808" s="7" t="n">
        <v>0</v>
      </c>
      <c r="J808" s="7" t="n">
        <v>0</v>
      </c>
      <c r="K808" s="9" t="n">
        <v>0</v>
      </c>
      <c r="L808" s="10" t="n">
        <v>4.1</v>
      </c>
      <c r="M808" s="10" t="n">
        <v>1.43</v>
      </c>
      <c r="N808" t="inlineStr">
        <is>
          <t>1</t>
        </is>
      </c>
      <c r="O808" t="inlineStr">
        <is>
          <t xml:space="preserve">2 </t>
        </is>
      </c>
      <c r="P808" t="inlineStr">
        <is>
          <t xml:space="preserve">102100  </t>
        </is>
      </c>
      <c r="Q808" s="26" t="n">
        <v>4.09</v>
      </c>
      <c r="R808" s="26">
        <f>Q808*G808</f>
        <v/>
      </c>
      <c r="S808" s="26">
        <f>IFERROR(VLOOKUP(E808*1,Tabla[#All],8,0),0)</f>
        <v/>
      </c>
      <c r="T808" s="26">
        <f>S808*G808</f>
        <v/>
      </c>
      <c r="U808" s="26">
        <f>R808-T808</f>
        <v/>
      </c>
      <c r="V808" s="26">
        <f>U808-L808</f>
        <v/>
      </c>
    </row>
    <row r="809">
      <c r="A809" s="11" t="n">
        <v>46211</v>
      </c>
      <c r="B809" s="1" t="n">
        <v>20077</v>
      </c>
      <c r="C809" s="1" t="inlineStr">
        <is>
          <t>031</t>
        </is>
      </c>
      <c r="D809" s="1" t="inlineStr">
        <is>
          <t>186257</t>
        </is>
      </c>
      <c r="E809" s="1" t="inlineStr">
        <is>
          <t xml:space="preserve">28194770       </t>
        </is>
      </c>
      <c r="F809" s="5" t="inlineStr">
        <is>
          <t>AUTOS DE METAL 3 TEAMSTERZ EN BLISTER</t>
        </is>
      </c>
      <c r="G809" t="n">
        <v>1</v>
      </c>
      <c r="H809" s="7" t="n">
        <v>6.9</v>
      </c>
      <c r="I809" s="7" t="n">
        <v>0</v>
      </c>
      <c r="J809" s="7" t="n">
        <v>0</v>
      </c>
      <c r="K809" s="9" t="n">
        <v>0</v>
      </c>
      <c r="L809" s="10" t="n">
        <v>4.1</v>
      </c>
      <c r="M809" s="10" t="n">
        <v>1.43</v>
      </c>
      <c r="N809" t="inlineStr">
        <is>
          <t>1</t>
        </is>
      </c>
      <c r="O809" t="inlineStr">
        <is>
          <t xml:space="preserve">2 </t>
        </is>
      </c>
      <c r="P809" t="inlineStr">
        <is>
          <t xml:space="preserve">102100  </t>
        </is>
      </c>
      <c r="Q809" s="26" t="n">
        <v>4.09</v>
      </c>
      <c r="R809" s="26">
        <f>Q809*G809</f>
        <v/>
      </c>
      <c r="S809" s="26">
        <f>IFERROR(VLOOKUP(E809*1,Tabla[#All],8,0),0)</f>
        <v/>
      </c>
      <c r="T809" s="26">
        <f>S809*G809</f>
        <v/>
      </c>
      <c r="U809" s="26">
        <f>R809-T809</f>
        <v/>
      </c>
      <c r="V809" s="26">
        <f>U809-L809</f>
        <v/>
      </c>
    </row>
    <row r="810">
      <c r="A810" s="11" t="n">
        <v>46211</v>
      </c>
      <c r="B810" s="1" t="n">
        <v>20077</v>
      </c>
      <c r="C810" s="1" t="inlineStr">
        <is>
          <t>037</t>
        </is>
      </c>
      <c r="D810" s="1" t="inlineStr">
        <is>
          <t xml:space="preserve">62002 </t>
        </is>
      </c>
      <c r="E810" s="1" t="inlineStr">
        <is>
          <t xml:space="preserve">32457099       </t>
        </is>
      </c>
      <c r="F810" s="5" t="inlineStr">
        <is>
          <t>TMZ BEAST MACHINES MONSTER JAWS A FRICCION BLISTER</t>
        </is>
      </c>
      <c r="G810" t="n">
        <v>1</v>
      </c>
      <c r="H810" s="7" t="n">
        <v>19.9</v>
      </c>
      <c r="I810" s="7" t="n">
        <v>0</v>
      </c>
      <c r="J810" s="7" t="n">
        <v>0</v>
      </c>
      <c r="K810" s="9" t="n">
        <v>0</v>
      </c>
      <c r="L810" s="10" t="n">
        <v>11.8</v>
      </c>
      <c r="M810" s="10" t="n">
        <v>1.43</v>
      </c>
      <c r="N810" t="inlineStr">
        <is>
          <t>1</t>
        </is>
      </c>
      <c r="O810" t="inlineStr">
        <is>
          <t xml:space="preserve">3 </t>
        </is>
      </c>
      <c r="P810" t="inlineStr">
        <is>
          <t xml:space="preserve">250382  </t>
        </is>
      </c>
      <c r="Q810" s="26" t="n">
        <v>11.81</v>
      </c>
      <c r="R810" s="26">
        <f>Q810*G810</f>
        <v/>
      </c>
      <c r="S810" s="26">
        <f>IFERROR(VLOOKUP(E810*1,Tabla[#All],8,0),0)</f>
        <v/>
      </c>
      <c r="T810" s="26">
        <f>S810*G810</f>
        <v/>
      </c>
      <c r="U810" s="26">
        <f>R810-T810</f>
        <v/>
      </c>
      <c r="V810" s="26">
        <f>U810-L810</f>
        <v/>
      </c>
    </row>
    <row r="811">
      <c r="A811" s="11" t="n">
        <v>46211</v>
      </c>
      <c r="B811" s="1" t="n">
        <v>20077</v>
      </c>
      <c r="C811" s="1" t="inlineStr">
        <is>
          <t>037</t>
        </is>
      </c>
      <c r="D811" s="1" t="inlineStr">
        <is>
          <t xml:space="preserve">62002 </t>
        </is>
      </c>
      <c r="E811" s="1" t="inlineStr">
        <is>
          <t xml:space="preserve">32457099       </t>
        </is>
      </c>
      <c r="F811" s="5" t="inlineStr">
        <is>
          <t>TMZ BEAST MACHINES MONSTER JAWS A FRICCION BLISTER</t>
        </is>
      </c>
      <c r="G811" t="n">
        <v>1</v>
      </c>
      <c r="H811" s="7" t="n">
        <v>19.9</v>
      </c>
      <c r="I811" s="7" t="n">
        <v>0</v>
      </c>
      <c r="J811" s="7" t="n">
        <v>0</v>
      </c>
      <c r="K811" s="9" t="n">
        <v>0</v>
      </c>
      <c r="L811" s="10" t="n">
        <v>11.8</v>
      </c>
      <c r="M811" s="10" t="n">
        <v>1.43</v>
      </c>
      <c r="N811" t="inlineStr">
        <is>
          <t>1</t>
        </is>
      </c>
      <c r="O811" t="inlineStr">
        <is>
          <t xml:space="preserve">3 </t>
        </is>
      </c>
      <c r="P811" t="inlineStr">
        <is>
          <t xml:space="preserve">250382  </t>
        </is>
      </c>
      <c r="Q811" s="26" t="n">
        <v>11.81</v>
      </c>
      <c r="R811" s="26">
        <f>Q811*G811</f>
        <v/>
      </c>
      <c r="S811" s="26">
        <f>IFERROR(VLOOKUP(E811*1,Tabla[#All],8,0),0)</f>
        <v/>
      </c>
      <c r="T811" s="26">
        <f>S811*G811</f>
        <v/>
      </c>
      <c r="U811" s="26">
        <f>R811-T811</f>
        <v/>
      </c>
      <c r="V811" s="26">
        <f>U811-L811</f>
        <v/>
      </c>
    </row>
    <row r="812">
      <c r="A812" s="11" t="n">
        <v>46211</v>
      </c>
      <c r="B812" s="1" t="n">
        <v>20077</v>
      </c>
      <c r="C812" s="1" t="inlineStr">
        <is>
          <t>037</t>
        </is>
      </c>
      <c r="D812" s="1" t="inlineStr">
        <is>
          <t xml:space="preserve">62002 </t>
        </is>
      </c>
      <c r="E812" s="1" t="inlineStr">
        <is>
          <t xml:space="preserve">32457099       </t>
        </is>
      </c>
      <c r="F812" s="5" t="inlineStr">
        <is>
          <t>TMZ BEAST MACHINES MONSTER JAWS A FRICCION BLISTER</t>
        </is>
      </c>
      <c r="G812" t="n">
        <v>1</v>
      </c>
      <c r="H812" s="7" t="n">
        <v>19.9</v>
      </c>
      <c r="I812" s="7" t="n">
        <v>0</v>
      </c>
      <c r="J812" s="7" t="n">
        <v>0</v>
      </c>
      <c r="K812" s="9" t="n">
        <v>0</v>
      </c>
      <c r="L812" s="10" t="n">
        <v>11.8</v>
      </c>
      <c r="M812" s="10" t="n">
        <v>1.43</v>
      </c>
      <c r="N812" t="inlineStr">
        <is>
          <t>1</t>
        </is>
      </c>
      <c r="O812" t="inlineStr">
        <is>
          <t xml:space="preserve">3 </t>
        </is>
      </c>
      <c r="P812" t="inlineStr">
        <is>
          <t xml:space="preserve">250382  </t>
        </is>
      </c>
      <c r="Q812" s="26" t="n">
        <v>11.81</v>
      </c>
      <c r="R812" s="26">
        <f>Q812*G812</f>
        <v/>
      </c>
      <c r="S812" s="26">
        <f>IFERROR(VLOOKUP(E812*1,Tabla[#All],8,0),0)</f>
        <v/>
      </c>
      <c r="T812" s="26">
        <f>S812*G812</f>
        <v/>
      </c>
      <c r="U812" s="26">
        <f>R812-T812</f>
        <v/>
      </c>
      <c r="V812" s="26">
        <f>U812-L812</f>
        <v/>
      </c>
    </row>
    <row r="813">
      <c r="A813" s="11" t="n">
        <v>46211</v>
      </c>
      <c r="B813" s="1" t="n">
        <v>20086</v>
      </c>
      <c r="C813" s="1" t="inlineStr">
        <is>
          <t>015</t>
        </is>
      </c>
      <c r="D813" s="1" t="inlineStr">
        <is>
          <t xml:space="preserve">3453  </t>
        </is>
      </c>
      <c r="E813" s="1" t="inlineStr">
        <is>
          <t xml:space="preserve">28194770       </t>
        </is>
      </c>
      <c r="F813" s="5" t="inlineStr">
        <is>
          <t>AUTOS DE METAL 3 TEAMSTERZ EN BLISTER</t>
        </is>
      </c>
      <c r="G813" t="n">
        <v>1</v>
      </c>
      <c r="H813" s="7" t="n">
        <v>6.9</v>
      </c>
      <c r="I813" s="7" t="n">
        <v>0</v>
      </c>
      <c r="J813" s="7" t="n">
        <v>0</v>
      </c>
      <c r="K813" s="9" t="n">
        <v>0</v>
      </c>
      <c r="L813" s="10" t="n">
        <v>4.1</v>
      </c>
      <c r="M813" s="10" t="n">
        <v>1.43</v>
      </c>
      <c r="N813" t="inlineStr">
        <is>
          <t>1</t>
        </is>
      </c>
      <c r="O813" t="inlineStr">
        <is>
          <t xml:space="preserve">2 </t>
        </is>
      </c>
      <c r="P813" t="inlineStr">
        <is>
          <t xml:space="preserve">248983  </t>
        </is>
      </c>
      <c r="Q813" s="26" t="n">
        <v>4.09</v>
      </c>
      <c r="R813" s="26">
        <f>Q813*G813</f>
        <v/>
      </c>
      <c r="S813" s="26">
        <f>IFERROR(VLOOKUP(E813*1,Tabla[#All],8,0),0)</f>
        <v/>
      </c>
      <c r="T813" s="26">
        <f>S813*G813</f>
        <v/>
      </c>
      <c r="U813" s="26">
        <f>R813-T813</f>
        <v/>
      </c>
      <c r="V813" s="26">
        <f>U813-L813</f>
        <v/>
      </c>
    </row>
    <row r="814">
      <c r="A814" s="11" t="n">
        <v>46211</v>
      </c>
      <c r="B814" s="1" t="n">
        <v>20088</v>
      </c>
      <c r="C814" s="1" t="inlineStr">
        <is>
          <t>034</t>
        </is>
      </c>
      <c r="D814" s="1" t="inlineStr">
        <is>
          <t xml:space="preserve">15717 </t>
        </is>
      </c>
      <c r="E814" s="1" t="inlineStr">
        <is>
          <t xml:space="preserve">29854052       </t>
        </is>
      </c>
      <c r="F814" s="5" t="inlineStr">
        <is>
          <t>PLAYSET CAMBIA DE COLOR CROC BITE</t>
        </is>
      </c>
      <c r="G814" t="n">
        <v>1</v>
      </c>
      <c r="H814" s="7" t="n">
        <v>79.90000000000001</v>
      </c>
      <c r="I814" s="7" t="n">
        <v>0</v>
      </c>
      <c r="J814" s="7" t="n">
        <v>0</v>
      </c>
      <c r="K814" s="9" t="n">
        <v>0</v>
      </c>
      <c r="L814" s="10" t="n">
        <v>47.4</v>
      </c>
      <c r="M814" s="10" t="n">
        <v>1.43</v>
      </c>
      <c r="N814" t="inlineStr">
        <is>
          <t>1</t>
        </is>
      </c>
      <c r="O814" t="inlineStr">
        <is>
          <t xml:space="preserve">2 </t>
        </is>
      </c>
      <c r="P814" t="inlineStr">
        <is>
          <t xml:space="preserve">58549   </t>
        </is>
      </c>
      <c r="Q814" s="26" t="n">
        <v>47.4</v>
      </c>
      <c r="R814" s="26">
        <f>Q814*G814</f>
        <v/>
      </c>
      <c r="S814" s="26">
        <f>IFERROR(VLOOKUP(E814*1,Tabla[#All],8,0),0)</f>
        <v/>
      </c>
      <c r="T814" s="26">
        <f>S814*G814</f>
        <v/>
      </c>
      <c r="U814" s="26">
        <f>R814-T814</f>
        <v/>
      </c>
      <c r="V814" s="26">
        <f>U814-L814</f>
        <v/>
      </c>
    </row>
    <row r="815">
      <c r="A815" s="11" t="n">
        <v>46211</v>
      </c>
      <c r="B815" s="1" t="n">
        <v>20088</v>
      </c>
      <c r="C815" s="1" t="inlineStr">
        <is>
          <t>034</t>
        </is>
      </c>
      <c r="D815" s="1" t="inlineStr">
        <is>
          <t xml:space="preserve">15717 </t>
        </is>
      </c>
      <c r="E815" s="1" t="inlineStr">
        <is>
          <t xml:space="preserve">31754676       </t>
        </is>
      </c>
      <c r="F815" s="5" t="inlineStr">
        <is>
          <t>INFINITY NADO SERIE 6 STD PACK LANZ ESPAD ANILLO M</t>
        </is>
      </c>
      <c r="G815" t="n">
        <v>1</v>
      </c>
      <c r="H815" s="7" t="n">
        <v>59.9</v>
      </c>
      <c r="I815" s="7" t="n">
        <v>0</v>
      </c>
      <c r="J815" s="7" t="n">
        <v>0</v>
      </c>
      <c r="K815" s="9" t="n">
        <v>0</v>
      </c>
      <c r="L815" s="10" t="n">
        <v>35.53</v>
      </c>
      <c r="M815" s="10" t="n">
        <v>1.43</v>
      </c>
      <c r="N815" t="inlineStr">
        <is>
          <t>1</t>
        </is>
      </c>
      <c r="O815" t="inlineStr">
        <is>
          <t xml:space="preserve">2 </t>
        </is>
      </c>
      <c r="P815" t="inlineStr">
        <is>
          <t xml:space="preserve">58549   </t>
        </is>
      </c>
      <c r="Q815" s="26" t="n">
        <v>47.4</v>
      </c>
      <c r="R815" s="26">
        <f>Q815*G815</f>
        <v/>
      </c>
      <c r="S815" s="26">
        <f>IFERROR(VLOOKUP(E815*1,Tabla[#All],8,0),0)</f>
        <v/>
      </c>
      <c r="T815" s="26">
        <f>S815*G815</f>
        <v/>
      </c>
      <c r="U815" s="26">
        <f>R815-T815</f>
        <v/>
      </c>
      <c r="V815" s="26">
        <f>U815-L815</f>
        <v/>
      </c>
    </row>
    <row r="816">
      <c r="A816" s="11" t="n">
        <v>46211</v>
      </c>
      <c r="B816" s="1" t="n">
        <v>20089</v>
      </c>
      <c r="C816" s="1" t="inlineStr">
        <is>
          <t>025</t>
        </is>
      </c>
      <c r="D816" s="1" t="inlineStr">
        <is>
          <t>121406</t>
        </is>
      </c>
      <c r="E816" s="1" t="inlineStr">
        <is>
          <t xml:space="preserve">30141766       </t>
        </is>
      </c>
      <c r="F816" s="5" t="inlineStr">
        <is>
          <t>TMZ BEAST MACHINES AUTOS DE METAL BLISTER X 1</t>
        </is>
      </c>
      <c r="G816" t="n">
        <v>1</v>
      </c>
      <c r="H816" s="7" t="n">
        <v>7.9</v>
      </c>
      <c r="I816" s="7" t="n">
        <v>0</v>
      </c>
      <c r="J816" s="7" t="n">
        <v>0</v>
      </c>
      <c r="K816" s="9" t="n">
        <v>0</v>
      </c>
      <c r="L816" s="10" t="n">
        <v>4.68</v>
      </c>
      <c r="M816" s="10" t="n">
        <v>1.43</v>
      </c>
      <c r="N816" t="inlineStr">
        <is>
          <t>1</t>
        </is>
      </c>
      <c r="O816" t="inlineStr">
        <is>
          <t>16</t>
        </is>
      </c>
      <c r="P816" t="inlineStr">
        <is>
          <t xml:space="preserve">82992   </t>
        </is>
      </c>
      <c r="Q816" s="26" t="n">
        <v>4.69</v>
      </c>
      <c r="R816" s="26">
        <f>Q816*G816</f>
        <v/>
      </c>
      <c r="S816" s="26">
        <f>IFERROR(VLOOKUP(E816*1,Tabla[#All],8,0),0)</f>
        <v/>
      </c>
      <c r="T816" s="26">
        <f>S816*G816</f>
        <v/>
      </c>
      <c r="U816" s="26">
        <f>R816-T816</f>
        <v/>
      </c>
      <c r="V816" s="26">
        <f>U816-L816</f>
        <v/>
      </c>
    </row>
    <row r="817">
      <c r="A817" s="11" t="n">
        <v>46211</v>
      </c>
      <c r="B817" s="1" t="n">
        <v>20089</v>
      </c>
      <c r="C817" s="1" t="inlineStr">
        <is>
          <t>025</t>
        </is>
      </c>
      <c r="D817" s="1" t="inlineStr">
        <is>
          <t>121406</t>
        </is>
      </c>
      <c r="E817" s="1" t="inlineStr">
        <is>
          <t xml:space="preserve">30141766       </t>
        </is>
      </c>
      <c r="F817" s="5" t="inlineStr">
        <is>
          <t>TMZ BEAST MACHINES AUTOS DE METAL BLISTER X 1</t>
        </is>
      </c>
      <c r="G817" t="n">
        <v>1</v>
      </c>
      <c r="H817" s="7" t="n">
        <v>7.9</v>
      </c>
      <c r="I817" s="7" t="n">
        <v>0</v>
      </c>
      <c r="J817" s="7" t="n">
        <v>0</v>
      </c>
      <c r="K817" s="9" t="n">
        <v>0</v>
      </c>
      <c r="L817" s="10" t="n">
        <v>4.68</v>
      </c>
      <c r="M817" s="10" t="n">
        <v>1.43</v>
      </c>
      <c r="N817" t="inlineStr">
        <is>
          <t>1</t>
        </is>
      </c>
      <c r="O817" t="inlineStr">
        <is>
          <t>16</t>
        </is>
      </c>
      <c r="P817" t="inlineStr">
        <is>
          <t xml:space="preserve">82992   </t>
        </is>
      </c>
      <c r="Q817" s="26" t="n">
        <v>4.69</v>
      </c>
      <c r="R817" s="26">
        <f>Q817*G817</f>
        <v/>
      </c>
      <c r="S817" s="26">
        <f>IFERROR(VLOOKUP(E817*1,Tabla[#All],8,0),0)</f>
        <v/>
      </c>
      <c r="T817" s="26">
        <f>S817*G817</f>
        <v/>
      </c>
      <c r="U817" s="26">
        <f>R817-T817</f>
        <v/>
      </c>
      <c r="V817" s="26">
        <f>U817-L817</f>
        <v/>
      </c>
    </row>
    <row r="818">
      <c r="A818" s="11" t="n">
        <v>46211</v>
      </c>
      <c r="B818" s="1" t="n">
        <v>20089</v>
      </c>
      <c r="C818" s="1" t="inlineStr">
        <is>
          <t>025</t>
        </is>
      </c>
      <c r="D818" s="1" t="inlineStr">
        <is>
          <t>121406</t>
        </is>
      </c>
      <c r="E818" s="1" t="inlineStr">
        <is>
          <t xml:space="preserve">30141766       </t>
        </is>
      </c>
      <c r="F818" s="5" t="inlineStr">
        <is>
          <t>TMZ BEAST MACHINES AUTOS DE METAL BLISTER X 1</t>
        </is>
      </c>
      <c r="G818" t="n">
        <v>1</v>
      </c>
      <c r="H818" s="7" t="n">
        <v>7.9</v>
      </c>
      <c r="I818" s="7" t="n">
        <v>0</v>
      </c>
      <c r="J818" s="7" t="n">
        <v>0</v>
      </c>
      <c r="K818" s="9" t="n">
        <v>0</v>
      </c>
      <c r="L818" s="10" t="n">
        <v>4.68</v>
      </c>
      <c r="M818" s="10" t="n">
        <v>1.43</v>
      </c>
      <c r="N818" t="inlineStr">
        <is>
          <t>1</t>
        </is>
      </c>
      <c r="O818" t="inlineStr">
        <is>
          <t>16</t>
        </is>
      </c>
      <c r="P818" t="inlineStr">
        <is>
          <t xml:space="preserve">82992   </t>
        </is>
      </c>
      <c r="Q818" s="26" t="n">
        <v>4.69</v>
      </c>
      <c r="R818" s="26">
        <f>Q818*G818</f>
        <v/>
      </c>
      <c r="S818" s="26">
        <f>IFERROR(VLOOKUP(E818*1,Tabla[#All],8,0),0)</f>
        <v/>
      </c>
      <c r="T818" s="26">
        <f>S818*G818</f>
        <v/>
      </c>
      <c r="U818" s="26">
        <f>R818-T818</f>
        <v/>
      </c>
      <c r="V818" s="26">
        <f>U818-L818</f>
        <v/>
      </c>
    </row>
    <row r="819">
      <c r="A819" s="11" t="n">
        <v>46211</v>
      </c>
      <c r="B819" s="1" t="n">
        <v>20089</v>
      </c>
      <c r="C819" s="1" t="inlineStr">
        <is>
          <t>025</t>
        </is>
      </c>
      <c r="D819" s="1" t="inlineStr">
        <is>
          <t>121406</t>
        </is>
      </c>
      <c r="E819" s="1" t="inlineStr">
        <is>
          <t xml:space="preserve">30141766       </t>
        </is>
      </c>
      <c r="F819" s="5" t="inlineStr">
        <is>
          <t>TMZ BEAST MACHINES AUTOS DE METAL BLISTER X 1</t>
        </is>
      </c>
      <c r="G819" t="n">
        <v>1</v>
      </c>
      <c r="H819" s="7" t="n">
        <v>7.9</v>
      </c>
      <c r="I819" s="7" t="n">
        <v>0</v>
      </c>
      <c r="J819" s="7" t="n">
        <v>0</v>
      </c>
      <c r="K819" s="9" t="n">
        <v>0</v>
      </c>
      <c r="L819" s="10" t="n">
        <v>4.68</v>
      </c>
      <c r="M819" s="10" t="n">
        <v>1.43</v>
      </c>
      <c r="N819" t="inlineStr">
        <is>
          <t>1</t>
        </is>
      </c>
      <c r="O819" t="inlineStr">
        <is>
          <t>16</t>
        </is>
      </c>
      <c r="P819" t="inlineStr">
        <is>
          <t xml:space="preserve">82992   </t>
        </is>
      </c>
      <c r="Q819" s="26" t="n">
        <v>4.69</v>
      </c>
      <c r="R819" s="26">
        <f>Q819*G819</f>
        <v/>
      </c>
      <c r="S819" s="26">
        <f>IFERROR(VLOOKUP(E819*1,Tabla[#All],8,0),0)</f>
        <v/>
      </c>
      <c r="T819" s="26">
        <f>S819*G819</f>
        <v/>
      </c>
      <c r="U819" s="26">
        <f>R819-T819</f>
        <v/>
      </c>
      <c r="V819" s="26">
        <f>U819-L819</f>
        <v/>
      </c>
    </row>
    <row r="820">
      <c r="A820" s="11" t="n">
        <v>46211</v>
      </c>
      <c r="B820" s="1" t="n">
        <v>20089</v>
      </c>
      <c r="C820" s="1" t="inlineStr">
        <is>
          <t>025</t>
        </is>
      </c>
      <c r="D820" s="1" t="inlineStr">
        <is>
          <t>121406</t>
        </is>
      </c>
      <c r="E820" s="1" t="inlineStr">
        <is>
          <t xml:space="preserve">30141766       </t>
        </is>
      </c>
      <c r="F820" s="5" t="inlineStr">
        <is>
          <t>TMZ BEAST MACHINES AUTOS DE METAL BLISTER X 1</t>
        </is>
      </c>
      <c r="G820" t="n">
        <v>1</v>
      </c>
      <c r="H820" s="7" t="n">
        <v>7.9</v>
      </c>
      <c r="I820" s="7" t="n">
        <v>0</v>
      </c>
      <c r="J820" s="7" t="n">
        <v>0</v>
      </c>
      <c r="K820" s="9" t="n">
        <v>0</v>
      </c>
      <c r="L820" s="10" t="n">
        <v>4.68</v>
      </c>
      <c r="M820" s="10" t="n">
        <v>1.43</v>
      </c>
      <c r="N820" t="inlineStr">
        <is>
          <t>1</t>
        </is>
      </c>
      <c r="O820" t="inlineStr">
        <is>
          <t>16</t>
        </is>
      </c>
      <c r="P820" t="inlineStr">
        <is>
          <t xml:space="preserve">82992   </t>
        </is>
      </c>
      <c r="Q820" s="26" t="n">
        <v>4.69</v>
      </c>
      <c r="R820" s="26">
        <f>Q820*G820</f>
        <v/>
      </c>
      <c r="S820" s="26">
        <f>IFERROR(VLOOKUP(E820*1,Tabla[#All],8,0),0)</f>
        <v/>
      </c>
      <c r="T820" s="26">
        <f>S820*G820</f>
        <v/>
      </c>
      <c r="U820" s="26">
        <f>R820-T820</f>
        <v/>
      </c>
      <c r="V820" s="26">
        <f>U820-L820</f>
        <v/>
      </c>
    </row>
    <row r="821">
      <c r="A821" s="11" t="n">
        <v>46211</v>
      </c>
      <c r="B821" s="1" t="n">
        <v>20089</v>
      </c>
      <c r="C821" s="1" t="inlineStr">
        <is>
          <t>025</t>
        </is>
      </c>
      <c r="D821" s="1" t="inlineStr">
        <is>
          <t>121406</t>
        </is>
      </c>
      <c r="E821" s="1" t="inlineStr">
        <is>
          <t xml:space="preserve">30141766       </t>
        </is>
      </c>
      <c r="F821" s="5" t="inlineStr">
        <is>
          <t>TMZ BEAST MACHINES AUTOS DE METAL BLISTER X 1</t>
        </is>
      </c>
      <c r="G821" t="n">
        <v>1</v>
      </c>
      <c r="H821" s="7" t="n">
        <v>7.9</v>
      </c>
      <c r="I821" s="7" t="n">
        <v>0</v>
      </c>
      <c r="J821" s="7" t="n">
        <v>0</v>
      </c>
      <c r="K821" s="9" t="n">
        <v>0</v>
      </c>
      <c r="L821" s="10" t="n">
        <v>4.68</v>
      </c>
      <c r="M821" s="10" t="n">
        <v>1.43</v>
      </c>
      <c r="N821" t="inlineStr">
        <is>
          <t>1</t>
        </is>
      </c>
      <c r="O821" t="inlineStr">
        <is>
          <t>16</t>
        </is>
      </c>
      <c r="P821" t="inlineStr">
        <is>
          <t xml:space="preserve">82992   </t>
        </is>
      </c>
      <c r="Q821" s="26" t="n">
        <v>4.69</v>
      </c>
      <c r="R821" s="26">
        <f>Q821*G821</f>
        <v/>
      </c>
      <c r="S821" s="26">
        <f>IFERROR(VLOOKUP(E821*1,Tabla[#All],8,0),0)</f>
        <v/>
      </c>
      <c r="T821" s="26">
        <f>S821*G821</f>
        <v/>
      </c>
      <c r="U821" s="26">
        <f>R821-T821</f>
        <v/>
      </c>
      <c r="V821" s="26">
        <f>U821-L821</f>
        <v/>
      </c>
    </row>
    <row r="822">
      <c r="A822" s="11" t="n">
        <v>46211</v>
      </c>
      <c r="B822" s="1" t="n">
        <v>20089</v>
      </c>
      <c r="C822" s="1" t="inlineStr">
        <is>
          <t>025</t>
        </is>
      </c>
      <c r="D822" s="1" t="inlineStr">
        <is>
          <t>121406</t>
        </is>
      </c>
      <c r="E822" s="1" t="inlineStr">
        <is>
          <t xml:space="preserve">30141766       </t>
        </is>
      </c>
      <c r="F822" s="5" t="inlineStr">
        <is>
          <t>TMZ BEAST MACHINES AUTOS DE METAL BLISTER X 1</t>
        </is>
      </c>
      <c r="G822" t="n">
        <v>1</v>
      </c>
      <c r="H822" s="7" t="n">
        <v>7.9</v>
      </c>
      <c r="I822" s="7" t="n">
        <v>0</v>
      </c>
      <c r="J822" s="7" t="n">
        <v>0</v>
      </c>
      <c r="K822" s="9" t="n">
        <v>0</v>
      </c>
      <c r="L822" s="10" t="n">
        <v>4.68</v>
      </c>
      <c r="M822" s="10" t="n">
        <v>1.43</v>
      </c>
      <c r="N822" t="inlineStr">
        <is>
          <t>1</t>
        </is>
      </c>
      <c r="O822" t="inlineStr">
        <is>
          <t>16</t>
        </is>
      </c>
      <c r="P822" t="inlineStr">
        <is>
          <t xml:space="preserve">82992   </t>
        </is>
      </c>
      <c r="Q822" s="26" t="n">
        <v>4.69</v>
      </c>
      <c r="R822" s="26">
        <f>Q822*G822</f>
        <v/>
      </c>
      <c r="S822" s="26">
        <f>IFERROR(VLOOKUP(E822*1,Tabla[#All],8,0),0)</f>
        <v/>
      </c>
      <c r="T822" s="26">
        <f>S822*G822</f>
        <v/>
      </c>
      <c r="U822" s="26">
        <f>R822-T822</f>
        <v/>
      </c>
      <c r="V822" s="26">
        <f>U822-L822</f>
        <v/>
      </c>
    </row>
    <row r="823">
      <c r="A823" s="11" t="n">
        <v>46211</v>
      </c>
      <c r="B823" s="1" t="n">
        <v>20089</v>
      </c>
      <c r="C823" s="1" t="inlineStr">
        <is>
          <t>025</t>
        </is>
      </c>
      <c r="D823" s="1" t="inlineStr">
        <is>
          <t>121406</t>
        </is>
      </c>
      <c r="E823" s="1" t="inlineStr">
        <is>
          <t xml:space="preserve">30141766       </t>
        </is>
      </c>
      <c r="F823" s="5" t="inlineStr">
        <is>
          <t>TMZ BEAST MACHINES AUTOS DE METAL BLISTER X 1</t>
        </is>
      </c>
      <c r="G823" t="n">
        <v>1</v>
      </c>
      <c r="H823" s="7" t="n">
        <v>7.9</v>
      </c>
      <c r="I823" s="7" t="n">
        <v>0</v>
      </c>
      <c r="J823" s="7" t="n">
        <v>0</v>
      </c>
      <c r="K823" s="9" t="n">
        <v>0</v>
      </c>
      <c r="L823" s="10" t="n">
        <v>4.68</v>
      </c>
      <c r="M823" s="10" t="n">
        <v>1.43</v>
      </c>
      <c r="N823" t="inlineStr">
        <is>
          <t>1</t>
        </is>
      </c>
      <c r="O823" t="inlineStr">
        <is>
          <t>16</t>
        </is>
      </c>
      <c r="P823" t="inlineStr">
        <is>
          <t xml:space="preserve">82992   </t>
        </is>
      </c>
      <c r="Q823" s="26" t="n">
        <v>4.69</v>
      </c>
      <c r="R823" s="26">
        <f>Q823*G823</f>
        <v/>
      </c>
      <c r="S823" s="26">
        <f>IFERROR(VLOOKUP(E823*1,Tabla[#All],8,0),0)</f>
        <v/>
      </c>
      <c r="T823" s="26">
        <f>S823*G823</f>
        <v/>
      </c>
      <c r="U823" s="26">
        <f>R823-T823</f>
        <v/>
      </c>
      <c r="V823" s="26">
        <f>U823-L823</f>
        <v/>
      </c>
    </row>
    <row r="824">
      <c r="A824" s="11" t="n">
        <v>46211</v>
      </c>
      <c r="B824" s="1" t="n">
        <v>20089</v>
      </c>
      <c r="C824" s="1" t="inlineStr">
        <is>
          <t>860</t>
        </is>
      </c>
      <c r="D824" s="1" t="inlineStr">
        <is>
          <t xml:space="preserve">9404  </t>
        </is>
      </c>
      <c r="E824" s="1" t="inlineStr">
        <is>
          <t xml:space="preserve">28194780       </t>
        </is>
      </c>
      <c r="F824" s="5" t="inlineStr">
        <is>
          <t>TROMPO BATALLA INFINITY NADO PLSTICO SURTIDO</t>
        </is>
      </c>
      <c r="G824" t="n">
        <v>1</v>
      </c>
      <c r="H824" s="7" t="n">
        <v>19.9</v>
      </c>
      <c r="I824" s="7" t="n">
        <v>0</v>
      </c>
      <c r="J824" s="7" t="n">
        <v>0</v>
      </c>
      <c r="K824" s="9" t="n">
        <v>0</v>
      </c>
      <c r="L824" s="10" t="n">
        <v>11.8</v>
      </c>
      <c r="M824" s="10" t="n">
        <v>1.43</v>
      </c>
      <c r="N824" t="inlineStr">
        <is>
          <t>1</t>
        </is>
      </c>
      <c r="O824" t="inlineStr">
        <is>
          <t>16</t>
        </is>
      </c>
      <c r="P824" t="inlineStr">
        <is>
          <t xml:space="preserve">0       </t>
        </is>
      </c>
      <c r="Q824" s="26" t="n">
        <v>11.81</v>
      </c>
      <c r="R824" s="26">
        <f>Q824*G824</f>
        <v/>
      </c>
      <c r="S824" s="26">
        <f>IFERROR(VLOOKUP(E824*1,Tabla[#All],8,0),0)</f>
        <v/>
      </c>
      <c r="T824" s="26">
        <f>S824*G824</f>
        <v/>
      </c>
      <c r="U824" s="26">
        <f>R824-T824</f>
        <v/>
      </c>
      <c r="V824" s="26">
        <f>U824-L824</f>
        <v/>
      </c>
    </row>
    <row r="825">
      <c r="A825" s="11" t="n">
        <v>46211</v>
      </c>
      <c r="B825" s="1" t="n">
        <v>20095</v>
      </c>
      <c r="C825" s="1" t="inlineStr">
        <is>
          <t>028</t>
        </is>
      </c>
      <c r="D825" s="1" t="inlineStr">
        <is>
          <t xml:space="preserve">40001 </t>
        </is>
      </c>
      <c r="E825" s="1" t="inlineStr">
        <is>
          <t xml:space="preserve">32457099       </t>
        </is>
      </c>
      <c r="F825" s="5" t="inlineStr">
        <is>
          <t>TMZ BEAST MACHINES MONSTER JAWS A FRICCION BLISTER</t>
        </is>
      </c>
      <c r="G825" t="n">
        <v>1</v>
      </c>
      <c r="H825" s="7" t="n">
        <v>19.9</v>
      </c>
      <c r="I825" s="7" t="n">
        <v>0</v>
      </c>
      <c r="J825" s="7" t="n">
        <v>0</v>
      </c>
      <c r="K825" s="9" t="n">
        <v>0</v>
      </c>
      <c r="L825" s="10" t="n">
        <v>11.8</v>
      </c>
      <c r="M825" s="10" t="n">
        <v>1.43</v>
      </c>
      <c r="N825" t="inlineStr">
        <is>
          <t>1</t>
        </is>
      </c>
      <c r="O825" t="inlineStr">
        <is>
          <t xml:space="preserve">2 </t>
        </is>
      </c>
      <c r="P825" t="inlineStr">
        <is>
          <t xml:space="preserve">57866   </t>
        </is>
      </c>
      <c r="Q825" s="26" t="n">
        <v>11.81</v>
      </c>
      <c r="R825" s="26">
        <f>Q825*G825</f>
        <v/>
      </c>
      <c r="S825" s="26">
        <f>IFERROR(VLOOKUP(E825*1,Tabla[#All],8,0),0)</f>
        <v/>
      </c>
      <c r="T825" s="26">
        <f>S825*G825</f>
        <v/>
      </c>
      <c r="U825" s="26">
        <f>R825-T825</f>
        <v/>
      </c>
      <c r="V825" s="26">
        <f>U825-L825</f>
        <v/>
      </c>
    </row>
    <row r="826">
      <c r="A826" s="11" t="n">
        <v>46211</v>
      </c>
      <c r="B826" s="1" t="n">
        <v>20095</v>
      </c>
      <c r="C826" s="1" t="inlineStr">
        <is>
          <t>044</t>
        </is>
      </c>
      <c r="D826" s="1" t="inlineStr">
        <is>
          <t xml:space="preserve">93172 </t>
        </is>
      </c>
      <c r="E826" s="1" t="inlineStr">
        <is>
          <t xml:space="preserve">28194768       </t>
        </is>
      </c>
      <c r="F826" s="5" t="inlineStr">
        <is>
          <t>AUTO COLOR CHANGE TEAMSTERZ SURTIDO</t>
        </is>
      </c>
      <c r="G826" t="n">
        <v>1</v>
      </c>
      <c r="H826" s="7" t="n">
        <v>14.9</v>
      </c>
      <c r="I826" s="7" t="n">
        <v>0</v>
      </c>
      <c r="J826" s="7" t="n">
        <v>0</v>
      </c>
      <c r="K826" s="9" t="n">
        <v>0</v>
      </c>
      <c r="L826" s="10" t="n">
        <v>8.84</v>
      </c>
      <c r="M826" s="10" t="n">
        <v>1.43</v>
      </c>
      <c r="N826" t="inlineStr">
        <is>
          <t>1</t>
        </is>
      </c>
      <c r="O826" t="inlineStr">
        <is>
          <t>16</t>
        </is>
      </c>
      <c r="P826" t="inlineStr">
        <is>
          <t xml:space="preserve">241955  </t>
        </is>
      </c>
      <c r="Q826" s="26" t="n">
        <v>8.84</v>
      </c>
      <c r="R826" s="26">
        <f>Q826*G826</f>
        <v/>
      </c>
      <c r="S826" s="26">
        <f>IFERROR(VLOOKUP(E826*1,Tabla[#All],8,0),0)</f>
        <v/>
      </c>
      <c r="T826" s="26">
        <f>S826*G826</f>
        <v/>
      </c>
      <c r="U826" s="26">
        <f>R826-T826</f>
        <v/>
      </c>
      <c r="V826" s="26">
        <f>U826-L826</f>
        <v/>
      </c>
    </row>
    <row r="827">
      <c r="A827" s="11" t="n">
        <v>46211</v>
      </c>
      <c r="B827" s="1" t="n">
        <v>20095</v>
      </c>
      <c r="C827" s="1" t="inlineStr">
        <is>
          <t>044</t>
        </is>
      </c>
      <c r="D827" s="1" t="inlineStr">
        <is>
          <t xml:space="preserve">93198 </t>
        </is>
      </c>
      <c r="E827" s="1" t="inlineStr">
        <is>
          <t xml:space="preserve">30141766       </t>
        </is>
      </c>
      <c r="F827" s="5" t="inlineStr">
        <is>
          <t>TMZ BEAST MACHINES AUTOS DE METAL BLISTER X 1</t>
        </is>
      </c>
      <c r="G827" t="n">
        <v>1</v>
      </c>
      <c r="H827" s="7" t="n">
        <v>7.9</v>
      </c>
      <c r="I827" s="7" t="n">
        <v>0</v>
      </c>
      <c r="J827" s="7" t="n">
        <v>0</v>
      </c>
      <c r="K827" s="9" t="n">
        <v>0</v>
      </c>
      <c r="L827" s="10" t="n">
        <v>4.68</v>
      </c>
      <c r="M827" s="10" t="n">
        <v>1.43</v>
      </c>
      <c r="N827" t="inlineStr">
        <is>
          <t>1</t>
        </is>
      </c>
      <c r="O827" t="inlineStr">
        <is>
          <t>16</t>
        </is>
      </c>
      <c r="P827" t="inlineStr">
        <is>
          <t xml:space="preserve">241955  </t>
        </is>
      </c>
      <c r="Q827" s="26" t="n">
        <v>4.69</v>
      </c>
      <c r="R827" s="26">
        <f>Q827*G827</f>
        <v/>
      </c>
      <c r="S827" s="26">
        <f>IFERROR(VLOOKUP(E827*1,Tabla[#All],8,0),0)</f>
        <v/>
      </c>
      <c r="T827" s="26">
        <f>S827*G827</f>
        <v/>
      </c>
      <c r="U827" s="26">
        <f>R827-T827</f>
        <v/>
      </c>
      <c r="V827" s="26">
        <f>U827-L827</f>
        <v/>
      </c>
    </row>
    <row r="828">
      <c r="A828" s="11" t="n">
        <v>46212</v>
      </c>
      <c r="B828" s="1" t="n">
        <v>20021</v>
      </c>
      <c r="C828" s="1" t="inlineStr">
        <is>
          <t>078</t>
        </is>
      </c>
      <c r="D828" s="1" t="inlineStr">
        <is>
          <t>100451</t>
        </is>
      </c>
      <c r="E828" s="1" t="inlineStr">
        <is>
          <t xml:space="preserve">32457099       </t>
        </is>
      </c>
      <c r="F828" s="5" t="inlineStr">
        <is>
          <t>TMZ BEAST MACHINES MONSTER JAWS A FRICCION BLISTER</t>
        </is>
      </c>
      <c r="G828" t="n">
        <v>1</v>
      </c>
      <c r="H828" s="7" t="n">
        <v>19.9</v>
      </c>
      <c r="I828" s="7" t="n">
        <v>0</v>
      </c>
      <c r="J828" s="7" t="n">
        <v>0</v>
      </c>
      <c r="K828" s="9" t="n">
        <v>0</v>
      </c>
      <c r="L828" s="10" t="n">
        <v>11.8</v>
      </c>
      <c r="M828" s="10" t="n">
        <v>1.43</v>
      </c>
      <c r="N828" t="inlineStr">
        <is>
          <t>1</t>
        </is>
      </c>
      <c r="O828" t="inlineStr">
        <is>
          <t xml:space="preserve">3 </t>
        </is>
      </c>
      <c r="P828" t="inlineStr">
        <is>
          <t xml:space="preserve">95704   </t>
        </is>
      </c>
      <c r="Q828" s="26" t="n">
        <v>11.81</v>
      </c>
      <c r="R828" s="26">
        <f>Q828*G828</f>
        <v/>
      </c>
      <c r="S828" s="26">
        <f>IFERROR(VLOOKUP(E828*1,Tabla[#All],8,0),0)</f>
        <v/>
      </c>
      <c r="T828" s="26">
        <f>S828*G828</f>
        <v/>
      </c>
      <c r="U828" s="26">
        <f>R828-T828</f>
        <v/>
      </c>
      <c r="V828" s="26">
        <f>U828-L828</f>
        <v/>
      </c>
    </row>
    <row r="829">
      <c r="A829" s="11" t="n">
        <v>46212</v>
      </c>
      <c r="B829" s="1" t="n">
        <v>20021</v>
      </c>
      <c r="C829" s="1" t="inlineStr">
        <is>
          <t>078</t>
        </is>
      </c>
      <c r="D829" s="1" t="inlineStr">
        <is>
          <t>100451</t>
        </is>
      </c>
      <c r="E829" s="1" t="inlineStr">
        <is>
          <t xml:space="preserve">32457099       </t>
        </is>
      </c>
      <c r="F829" s="5" t="inlineStr">
        <is>
          <t>TMZ BEAST MACHINES MONSTER JAWS A FRICCION BLISTER</t>
        </is>
      </c>
      <c r="G829" t="n">
        <v>1</v>
      </c>
      <c r="H829" s="7" t="n">
        <v>19.9</v>
      </c>
      <c r="I829" s="7" t="n">
        <v>0</v>
      </c>
      <c r="J829" s="7" t="n">
        <v>0</v>
      </c>
      <c r="K829" s="9" t="n">
        <v>0</v>
      </c>
      <c r="L829" s="10" t="n">
        <v>11.8</v>
      </c>
      <c r="M829" s="10" t="n">
        <v>1.43</v>
      </c>
      <c r="N829" t="inlineStr">
        <is>
          <t>1</t>
        </is>
      </c>
      <c r="O829" t="inlineStr">
        <is>
          <t xml:space="preserve">3 </t>
        </is>
      </c>
      <c r="P829" t="inlineStr">
        <is>
          <t xml:space="preserve">95704   </t>
        </is>
      </c>
      <c r="Q829" s="26" t="n">
        <v>11.81</v>
      </c>
      <c r="R829" s="26">
        <f>Q829*G829</f>
        <v/>
      </c>
      <c r="S829" s="26">
        <f>IFERROR(VLOOKUP(E829*1,Tabla[#All],8,0),0)</f>
        <v/>
      </c>
      <c r="T829" s="26">
        <f>S829*G829</f>
        <v/>
      </c>
      <c r="U829" s="26">
        <f>R829-T829</f>
        <v/>
      </c>
      <c r="V829" s="26">
        <f>U829-L829</f>
        <v/>
      </c>
    </row>
    <row r="830">
      <c r="A830" s="11" t="n">
        <v>46212</v>
      </c>
      <c r="B830" s="1" t="n">
        <v>20021</v>
      </c>
      <c r="C830" s="1" t="inlineStr">
        <is>
          <t>078</t>
        </is>
      </c>
      <c r="D830" s="1" t="inlineStr">
        <is>
          <t xml:space="preserve">2060  </t>
        </is>
      </c>
      <c r="E830" s="1" t="inlineStr">
        <is>
          <t xml:space="preserve">35685067       </t>
        </is>
      </c>
      <c r="F830" s="5" t="inlineStr">
        <is>
          <t>HOT WHEELS POWER SET 3 EN 1</t>
        </is>
      </c>
      <c r="G830" t="n">
        <v>1</v>
      </c>
      <c r="H830" s="7" t="n">
        <v>49.9</v>
      </c>
      <c r="I830" s="7" t="n">
        <v>4.99</v>
      </c>
      <c r="J830" s="7" t="n">
        <v>0</v>
      </c>
      <c r="K830" s="9" t="n">
        <v>4.99</v>
      </c>
      <c r="L830" s="10" t="n">
        <v>26.64</v>
      </c>
      <c r="M830" s="10" t="n">
        <v>1.43</v>
      </c>
      <c r="N830" t="inlineStr">
        <is>
          <t>1</t>
        </is>
      </c>
      <c r="O830" t="inlineStr">
        <is>
          <t xml:space="preserve">3 </t>
        </is>
      </c>
      <c r="P830" t="inlineStr">
        <is>
          <t xml:space="preserve">12097   </t>
        </is>
      </c>
      <c r="Q830" s="26" t="n">
        <v>29.6</v>
      </c>
      <c r="R830" s="26">
        <f>Q830*G830</f>
        <v/>
      </c>
      <c r="S830" s="26">
        <f>IFERROR(VLOOKUP(E830*1,Tabla[#All],8,0),0)</f>
        <v/>
      </c>
      <c r="T830" s="26">
        <f>S830*G830</f>
        <v/>
      </c>
      <c r="U830" s="26">
        <f>R830-T830</f>
        <v/>
      </c>
      <c r="V830" s="26">
        <f>U830-L830</f>
        <v/>
      </c>
    </row>
    <row r="831">
      <c r="A831" s="11" t="n">
        <v>46212</v>
      </c>
      <c r="B831" s="1" t="n">
        <v>20024</v>
      </c>
      <c r="C831" s="1" t="inlineStr">
        <is>
          <t>805</t>
        </is>
      </c>
      <c r="D831" s="1" t="inlineStr">
        <is>
          <t xml:space="preserve">2280  </t>
        </is>
      </c>
      <c r="E831" s="1" t="inlineStr">
        <is>
          <t xml:space="preserve">31046051       </t>
        </is>
      </c>
      <c r="F831" s="5" t="inlineStr">
        <is>
          <t>RELOJ DISNEY TOY STORY</t>
        </is>
      </c>
      <c r="G831" t="n">
        <v>1</v>
      </c>
      <c r="H831" s="7" t="n">
        <v>18.9</v>
      </c>
      <c r="I831" s="7" t="n">
        <v>0</v>
      </c>
      <c r="J831" s="7" t="n">
        <v>0</v>
      </c>
      <c r="K831" s="9" t="n">
        <v>0</v>
      </c>
      <c r="L831" s="10" t="n">
        <v>11.21</v>
      </c>
      <c r="M831" s="10" t="n">
        <v>1.43</v>
      </c>
      <c r="N831" t="inlineStr">
        <is>
          <t>1</t>
        </is>
      </c>
      <c r="O831" t="inlineStr">
        <is>
          <t>16</t>
        </is>
      </c>
      <c r="P831" t="inlineStr">
        <is>
          <t xml:space="preserve">0       </t>
        </is>
      </c>
      <c r="Q831" s="26" t="n">
        <v>11.21</v>
      </c>
      <c r="R831" s="26">
        <f>Q831*G831</f>
        <v/>
      </c>
      <c r="S831" s="26">
        <f>IFERROR(VLOOKUP(E831*1,Tabla[#All],8,0),0)</f>
        <v/>
      </c>
      <c r="T831" s="26">
        <f>S831*G831</f>
        <v/>
      </c>
      <c r="U831" s="26">
        <f>R831-T831</f>
        <v/>
      </c>
      <c r="V831" s="26">
        <f>U831-L831</f>
        <v/>
      </c>
    </row>
    <row r="832">
      <c r="A832" s="11" t="n">
        <v>46212</v>
      </c>
      <c r="B832" s="1" t="n">
        <v>20024</v>
      </c>
      <c r="C832" s="1" t="inlineStr">
        <is>
          <t>806</t>
        </is>
      </c>
      <c r="D832" s="1" t="inlineStr">
        <is>
          <t xml:space="preserve">8545  </t>
        </is>
      </c>
      <c r="E832" s="1" t="inlineStr">
        <is>
          <t xml:space="preserve">31959957       </t>
        </is>
      </c>
      <c r="F832" s="5" t="inlineStr">
        <is>
          <t>TEAMSTERZ PLAYSET RESCATE EN EL MAR</t>
        </is>
      </c>
      <c r="G832" t="n">
        <v>1</v>
      </c>
      <c r="H832" s="7" t="n">
        <v>19.9</v>
      </c>
      <c r="I832" s="7" t="n">
        <v>0</v>
      </c>
      <c r="J832" s="7" t="n">
        <v>0</v>
      </c>
      <c r="K832" s="9" t="n">
        <v>0</v>
      </c>
      <c r="L832" s="10" t="n">
        <v>11.8</v>
      </c>
      <c r="M832" s="10" t="n">
        <v>1.43</v>
      </c>
      <c r="N832" t="inlineStr">
        <is>
          <t>1</t>
        </is>
      </c>
      <c r="O832" t="inlineStr">
        <is>
          <t>16</t>
        </is>
      </c>
      <c r="P832" t="inlineStr">
        <is>
          <t xml:space="preserve">0       </t>
        </is>
      </c>
      <c r="Q832" s="26" t="n">
        <v>11.81</v>
      </c>
      <c r="R832" s="26">
        <f>Q832*G832</f>
        <v/>
      </c>
      <c r="S832" s="26">
        <f>IFERROR(VLOOKUP(E832*1,Tabla[#All],8,0),0)</f>
        <v/>
      </c>
      <c r="T832" s="26">
        <f>S832*G832</f>
        <v/>
      </c>
      <c r="U832" s="26">
        <f>R832-T832</f>
        <v/>
      </c>
      <c r="V832" s="26">
        <f>U832-L832</f>
        <v/>
      </c>
    </row>
    <row r="833">
      <c r="A833" s="11" t="n">
        <v>46212</v>
      </c>
      <c r="B833" s="1" t="n">
        <v>20025</v>
      </c>
      <c r="C833" s="1" t="inlineStr">
        <is>
          <t>074</t>
        </is>
      </c>
      <c r="D833" s="1" t="inlineStr">
        <is>
          <t xml:space="preserve">8553  </t>
        </is>
      </c>
      <c r="E833" s="1" t="inlineStr">
        <is>
          <t xml:space="preserve">34840558       </t>
        </is>
      </c>
      <c r="F833" s="5" t="inlineStr">
        <is>
          <t>TMZ CAMBIA DE COLOR PLAYSET CALAVERA + 1 AUTO</t>
        </is>
      </c>
      <c r="G833" t="n">
        <v>1</v>
      </c>
      <c r="H833" s="7" t="n">
        <v>99</v>
      </c>
      <c r="I833" s="7" t="n">
        <v>0</v>
      </c>
      <c r="J833" s="7" t="n">
        <v>0</v>
      </c>
      <c r="K833" s="9" t="n">
        <v>0</v>
      </c>
      <c r="L833" s="10" t="n">
        <v>58.73</v>
      </c>
      <c r="M833" s="10" t="n">
        <v>1.43</v>
      </c>
      <c r="N833" t="inlineStr">
        <is>
          <t>1</t>
        </is>
      </c>
      <c r="O833" t="inlineStr">
        <is>
          <t>16</t>
        </is>
      </c>
      <c r="P833" t="inlineStr">
        <is>
          <t xml:space="preserve">45009   </t>
        </is>
      </c>
      <c r="Q833" s="26" t="n">
        <v>58.73</v>
      </c>
      <c r="R833" s="26">
        <f>Q833*G833</f>
        <v/>
      </c>
      <c r="S833" s="26">
        <f>IFERROR(VLOOKUP(E833*1,Tabla[#All],8,0),0)</f>
        <v/>
      </c>
      <c r="T833" s="26">
        <f>S833*G833</f>
        <v/>
      </c>
      <c r="U833" s="26">
        <f>R833-T833</f>
        <v/>
      </c>
      <c r="V833" s="26">
        <f>U833-L833</f>
        <v/>
      </c>
    </row>
    <row r="834">
      <c r="A834" s="11" t="n">
        <v>46212</v>
      </c>
      <c r="B834" s="1" t="n">
        <v>20025</v>
      </c>
      <c r="C834" s="1" t="inlineStr">
        <is>
          <t>076</t>
        </is>
      </c>
      <c r="D834" s="1" t="inlineStr">
        <is>
          <t>147283</t>
        </is>
      </c>
      <c r="E834" s="1" t="inlineStr">
        <is>
          <t xml:space="preserve">28194767       </t>
        </is>
      </c>
      <c r="F834" s="5" t="inlineStr">
        <is>
          <t>CAMIONES TEAMSTERZ DE EMERGENCIA</t>
        </is>
      </c>
      <c r="G834" t="n">
        <v>1</v>
      </c>
      <c r="H834" s="7" t="n">
        <v>17.9</v>
      </c>
      <c r="I834" s="7" t="n">
        <v>0</v>
      </c>
      <c r="J834" s="7" t="n">
        <v>0</v>
      </c>
      <c r="K834" s="9" t="n">
        <v>0</v>
      </c>
      <c r="L834" s="10" t="n">
        <v>10.62</v>
      </c>
      <c r="M834" s="10" t="n">
        <v>1.43</v>
      </c>
      <c r="N834" t="inlineStr">
        <is>
          <t>1</t>
        </is>
      </c>
      <c r="O834" t="inlineStr">
        <is>
          <t>16</t>
        </is>
      </c>
      <c r="P834" t="inlineStr">
        <is>
          <t xml:space="preserve">62409   </t>
        </is>
      </c>
      <c r="Q834" s="26" t="n">
        <v>10.62</v>
      </c>
      <c r="R834" s="26">
        <f>Q834*G834</f>
        <v/>
      </c>
      <c r="S834" s="26">
        <f>IFERROR(VLOOKUP(E834*1,Tabla[#All],8,0),0)</f>
        <v/>
      </c>
      <c r="T834" s="26">
        <f>S834*G834</f>
        <v/>
      </c>
      <c r="U834" s="26">
        <f>R834-T834</f>
        <v/>
      </c>
      <c r="V834" s="26">
        <f>U834-L834</f>
        <v/>
      </c>
    </row>
    <row r="835">
      <c r="A835" s="11" t="n">
        <v>46212</v>
      </c>
      <c r="B835" s="1" t="n">
        <v>20025</v>
      </c>
      <c r="C835" s="1" t="inlineStr">
        <is>
          <t>076</t>
        </is>
      </c>
      <c r="D835" s="1" t="inlineStr">
        <is>
          <t>147283</t>
        </is>
      </c>
      <c r="E835" s="1" t="inlineStr">
        <is>
          <t xml:space="preserve">29235708       </t>
        </is>
      </c>
      <c r="F835" s="5" t="inlineStr">
        <is>
          <t>TEAMSTERZ RESCATE POR AIRE Y MAR</t>
        </is>
      </c>
      <c r="G835" t="n">
        <v>1</v>
      </c>
      <c r="H835" s="7" t="n">
        <v>39.9</v>
      </c>
      <c r="I835" s="7" t="n">
        <v>0</v>
      </c>
      <c r="J835" s="7" t="n">
        <v>0</v>
      </c>
      <c r="K835" s="9" t="n">
        <v>0</v>
      </c>
      <c r="L835" s="10" t="n">
        <v>23.67</v>
      </c>
      <c r="M835" s="10" t="n">
        <v>1.43</v>
      </c>
      <c r="N835" t="inlineStr">
        <is>
          <t>1</t>
        </is>
      </c>
      <c r="O835" t="inlineStr">
        <is>
          <t>16</t>
        </is>
      </c>
      <c r="P835" t="inlineStr">
        <is>
          <t xml:space="preserve">62409   </t>
        </is>
      </c>
      <c r="Q835" s="26" t="n">
        <v>23.67</v>
      </c>
      <c r="R835" s="26">
        <f>Q835*G835</f>
        <v/>
      </c>
      <c r="S835" s="26">
        <f>IFERROR(VLOOKUP(E835*1,Tabla[#All],8,0),0)</f>
        <v/>
      </c>
      <c r="T835" s="26">
        <f>S835*G835</f>
        <v/>
      </c>
      <c r="U835" s="26">
        <f>R835-T835</f>
        <v/>
      </c>
      <c r="V835" s="26">
        <f>U835-L835</f>
        <v/>
      </c>
    </row>
    <row r="836">
      <c r="A836" s="11" t="n">
        <v>46212</v>
      </c>
      <c r="B836" s="1" t="n">
        <v>20028</v>
      </c>
      <c r="C836" s="1" t="inlineStr">
        <is>
          <t>011</t>
        </is>
      </c>
      <c r="D836" s="1" t="inlineStr">
        <is>
          <t xml:space="preserve">33502 </t>
        </is>
      </c>
      <c r="E836" s="1" t="inlineStr">
        <is>
          <t xml:space="preserve">31959961       </t>
        </is>
      </c>
      <c r="F836" s="5" t="inlineStr">
        <is>
          <t>TEAMSTERZ CAMBIA DE COLOR PACK DE 3 AUTOS</t>
        </is>
      </c>
      <c r="G836" t="n">
        <v>1</v>
      </c>
      <c r="H836" s="7" t="n">
        <v>49.9</v>
      </c>
      <c r="I836" s="7" t="n">
        <v>0</v>
      </c>
      <c r="J836" s="7" t="n">
        <v>0</v>
      </c>
      <c r="K836" s="9" t="n">
        <v>0</v>
      </c>
      <c r="L836" s="10" t="n">
        <v>29.6</v>
      </c>
      <c r="M836" s="10" t="n">
        <v>1.43</v>
      </c>
      <c r="N836" t="inlineStr">
        <is>
          <t>1</t>
        </is>
      </c>
      <c r="O836" t="inlineStr">
        <is>
          <t>16</t>
        </is>
      </c>
      <c r="P836" t="inlineStr">
        <is>
          <t xml:space="preserve">35540   </t>
        </is>
      </c>
      <c r="Q836" s="26" t="n">
        <v>29.6</v>
      </c>
      <c r="R836" s="26">
        <f>Q836*G836</f>
        <v/>
      </c>
      <c r="S836" s="26">
        <f>IFERROR(VLOOKUP(E836*1,Tabla[#All],8,0),0)</f>
        <v/>
      </c>
      <c r="T836" s="26">
        <f>S836*G836</f>
        <v/>
      </c>
      <c r="U836" s="26">
        <f>R836-T836</f>
        <v/>
      </c>
      <c r="V836" s="26">
        <f>U836-L836</f>
        <v/>
      </c>
    </row>
    <row r="837">
      <c r="A837" s="11" t="n">
        <v>46212</v>
      </c>
      <c r="B837" s="1" t="n">
        <v>20028</v>
      </c>
      <c r="C837" s="1" t="inlineStr">
        <is>
          <t>011</t>
        </is>
      </c>
      <c r="D837" s="1" t="inlineStr">
        <is>
          <t xml:space="preserve">33503 </t>
        </is>
      </c>
      <c r="E837" s="1" t="inlineStr">
        <is>
          <t xml:space="preserve">35685067       </t>
        </is>
      </c>
      <c r="F837" s="5" t="inlineStr">
        <is>
          <t>HOT WHEELS POWER SET 3 EN 1</t>
        </is>
      </c>
      <c r="G837" t="n">
        <v>1</v>
      </c>
      <c r="H837" s="7" t="n">
        <v>49.9</v>
      </c>
      <c r="I837" s="7" t="n">
        <v>0</v>
      </c>
      <c r="J837" s="7" t="n">
        <v>0</v>
      </c>
      <c r="K837" s="9" t="n">
        <v>0</v>
      </c>
      <c r="L837" s="10" t="n">
        <v>29.6</v>
      </c>
      <c r="M837" s="10" t="n">
        <v>1.43</v>
      </c>
      <c r="N837" t="inlineStr">
        <is>
          <t>1</t>
        </is>
      </c>
      <c r="O837" t="inlineStr">
        <is>
          <t xml:space="preserve">2 </t>
        </is>
      </c>
      <c r="P837" t="inlineStr">
        <is>
          <t xml:space="preserve">35540   </t>
        </is>
      </c>
      <c r="Q837" s="26" t="n">
        <v>29.6</v>
      </c>
      <c r="R837" s="26">
        <f>Q837*G837</f>
        <v/>
      </c>
      <c r="S837" s="26">
        <f>IFERROR(VLOOKUP(E837*1,Tabla[#All],8,0),0)</f>
        <v/>
      </c>
      <c r="T837" s="26">
        <f>S837*G837</f>
        <v/>
      </c>
      <c r="U837" s="26">
        <f>R837-T837</f>
        <v/>
      </c>
      <c r="V837" s="26">
        <f>U837-L837</f>
        <v/>
      </c>
    </row>
    <row r="838">
      <c r="A838" s="11" t="n">
        <v>46212</v>
      </c>
      <c r="B838" s="1" t="n">
        <v>20040</v>
      </c>
      <c r="C838" s="1" t="inlineStr">
        <is>
          <t>072</t>
        </is>
      </c>
      <c r="D838" s="1" t="inlineStr">
        <is>
          <t>251412</t>
        </is>
      </c>
      <c r="E838" s="1" t="inlineStr">
        <is>
          <t xml:space="preserve">30232283       </t>
        </is>
      </c>
      <c r="F838" s="5" t="inlineStr">
        <is>
          <t>INFINITY NADO PACK DE 2 TROMPOS DE BATALLA METAL</t>
        </is>
      </c>
      <c r="G838" t="n">
        <v>1</v>
      </c>
      <c r="H838" s="7" t="n">
        <v>79.90000000000001</v>
      </c>
      <c r="I838" s="7" t="n">
        <v>0</v>
      </c>
      <c r="J838" s="7" t="n">
        <v>0</v>
      </c>
      <c r="K838" s="9" t="n">
        <v>0</v>
      </c>
      <c r="L838" s="10" t="n">
        <v>47.4</v>
      </c>
      <c r="M838" s="10" t="n">
        <v>1.43</v>
      </c>
      <c r="N838" t="inlineStr">
        <is>
          <t>1</t>
        </is>
      </c>
      <c r="O838" t="inlineStr">
        <is>
          <t>16</t>
        </is>
      </c>
      <c r="P838" t="inlineStr">
        <is>
          <t xml:space="preserve">61602   </t>
        </is>
      </c>
      <c r="Q838" s="26" t="n">
        <v>47.4</v>
      </c>
      <c r="R838" s="26">
        <f>Q838*G838</f>
        <v/>
      </c>
      <c r="S838" s="26">
        <f>IFERROR(VLOOKUP(E838*1,Tabla[#All],8,0),0)</f>
        <v/>
      </c>
      <c r="T838" s="26">
        <f>S838*G838</f>
        <v/>
      </c>
      <c r="U838" s="26">
        <f>R838-T838</f>
        <v/>
      </c>
      <c r="V838" s="26">
        <f>U838-L838</f>
        <v/>
      </c>
    </row>
    <row r="839">
      <c r="A839" s="11" t="n">
        <v>46212</v>
      </c>
      <c r="B839" s="1" t="n">
        <v>20040</v>
      </c>
      <c r="C839" s="1" t="inlineStr">
        <is>
          <t>083</t>
        </is>
      </c>
      <c r="D839" s="1" t="inlineStr">
        <is>
          <t>159440</t>
        </is>
      </c>
      <c r="E839" s="1" t="inlineStr">
        <is>
          <t xml:space="preserve">28194769       </t>
        </is>
      </c>
      <c r="F839" s="5" t="inlineStr">
        <is>
          <t>AUTOS DE METAL 3 TEAMSTERZ PACK DE 2</t>
        </is>
      </c>
      <c r="G839" t="n">
        <v>1</v>
      </c>
      <c r="H839" s="7" t="n">
        <v>13.8</v>
      </c>
      <c r="I839" s="7" t="n">
        <v>0</v>
      </c>
      <c r="J839" s="7" t="n">
        <v>0</v>
      </c>
      <c r="K839" s="9" t="n">
        <v>0</v>
      </c>
      <c r="L839" s="10" t="n">
        <v>8.18</v>
      </c>
      <c r="M839" s="10" t="n">
        <v>1.43</v>
      </c>
      <c r="N839" t="inlineStr">
        <is>
          <t>1</t>
        </is>
      </c>
      <c r="O839" t="inlineStr">
        <is>
          <t>16</t>
        </is>
      </c>
      <c r="P839" t="inlineStr">
        <is>
          <t xml:space="preserve">242657  </t>
        </is>
      </c>
      <c r="Q839" s="26" t="n">
        <v>8.19</v>
      </c>
      <c r="R839" s="26">
        <f>Q839*G839</f>
        <v/>
      </c>
      <c r="S839" s="26">
        <f>IFERROR(VLOOKUP(E839*1,Tabla[#All],8,0),0)</f>
        <v/>
      </c>
      <c r="T839" s="26">
        <f>S839*G839</f>
        <v/>
      </c>
      <c r="U839" s="26">
        <f>R839-T839</f>
        <v/>
      </c>
      <c r="V839" s="26">
        <f>U839-L839</f>
        <v/>
      </c>
    </row>
    <row r="840">
      <c r="A840" s="11" t="n">
        <v>46212</v>
      </c>
      <c r="B840" s="1" t="n">
        <v>20040</v>
      </c>
      <c r="C840" s="1" t="inlineStr">
        <is>
          <t>190</t>
        </is>
      </c>
      <c r="D840" s="1" t="inlineStr">
        <is>
          <t>367829</t>
        </is>
      </c>
      <c r="E840" s="1" t="inlineStr">
        <is>
          <t xml:space="preserve">30232284       </t>
        </is>
      </c>
      <c r="F840" s="5" t="inlineStr">
        <is>
          <t>INFINITY NADO TROMPO DE BATALLA - METAL C/PUNTA DE</t>
        </is>
      </c>
      <c r="G840" t="n">
        <v>1</v>
      </c>
      <c r="H840" s="7" t="n">
        <v>49.9</v>
      </c>
      <c r="I840" s="7" t="n">
        <v>4.99</v>
      </c>
      <c r="J840" s="7" t="n">
        <v>0</v>
      </c>
      <c r="K840" s="9" t="n">
        <v>4.99</v>
      </c>
      <c r="L840" s="10" t="n">
        <v>26.64</v>
      </c>
      <c r="M840" s="10" t="n">
        <v>1.43</v>
      </c>
      <c r="N840" t="inlineStr">
        <is>
          <t>1</t>
        </is>
      </c>
      <c r="O840" t="inlineStr">
        <is>
          <t xml:space="preserve">3 </t>
        </is>
      </c>
      <c r="P840" t="inlineStr">
        <is>
          <t xml:space="preserve">243237  </t>
        </is>
      </c>
      <c r="Q840" s="26" t="n">
        <v>29.6</v>
      </c>
      <c r="R840" s="26">
        <f>Q840*G840</f>
        <v/>
      </c>
      <c r="S840" s="26">
        <f>IFERROR(VLOOKUP(E840*1,Tabla[#All],8,0),0)</f>
        <v/>
      </c>
      <c r="T840" s="26">
        <f>S840*G840</f>
        <v/>
      </c>
      <c r="U840" s="26">
        <f>R840-T840</f>
        <v/>
      </c>
      <c r="V840" s="26">
        <f>U840-L840</f>
        <v/>
      </c>
    </row>
    <row r="841">
      <c r="A841" s="11" t="n">
        <v>46212</v>
      </c>
      <c r="B841" s="1" t="n">
        <v>20040</v>
      </c>
      <c r="C841" s="1" t="inlineStr">
        <is>
          <t>190</t>
        </is>
      </c>
      <c r="D841" s="1" t="inlineStr">
        <is>
          <t>367829</t>
        </is>
      </c>
      <c r="E841" s="1" t="inlineStr">
        <is>
          <t xml:space="preserve">31754675       </t>
        </is>
      </c>
      <c r="F841" s="5" t="inlineStr">
        <is>
          <t>INFINITY NADO SERIE 6 STARTER PACK - 4 MODELOS</t>
        </is>
      </c>
      <c r="G841" t="n">
        <v>1</v>
      </c>
      <c r="H841" s="7" t="n">
        <v>69.90000000000001</v>
      </c>
      <c r="I841" s="7" t="n">
        <v>6.99</v>
      </c>
      <c r="J841" s="7" t="n">
        <v>0</v>
      </c>
      <c r="K841" s="9" t="n">
        <v>6.99</v>
      </c>
      <c r="L841" s="10" t="n">
        <v>37.32</v>
      </c>
      <c r="M841" s="10" t="n">
        <v>1.43</v>
      </c>
      <c r="N841" t="inlineStr">
        <is>
          <t>1</t>
        </is>
      </c>
      <c r="O841" t="inlineStr">
        <is>
          <t xml:space="preserve">3 </t>
        </is>
      </c>
      <c r="P841" t="inlineStr">
        <is>
          <t xml:space="preserve">243237  </t>
        </is>
      </c>
      <c r="Q841" s="26" t="n">
        <v>41.47</v>
      </c>
      <c r="R841" s="26">
        <f>Q841*G841</f>
        <v/>
      </c>
      <c r="S841" s="26">
        <f>IFERROR(VLOOKUP(E841*1,Tabla[#All],8,0),0)</f>
        <v/>
      </c>
      <c r="T841" s="26">
        <f>S841*G841</f>
        <v/>
      </c>
      <c r="U841" s="26">
        <f>R841-T841</f>
        <v/>
      </c>
      <c r="V841" s="26">
        <f>U841-L841</f>
        <v/>
      </c>
    </row>
    <row r="842">
      <c r="A842" s="11" t="n">
        <v>46212</v>
      </c>
      <c r="B842" s="1" t="n">
        <v>20041</v>
      </c>
      <c r="C842" s="1" t="inlineStr">
        <is>
          <t>037</t>
        </is>
      </c>
      <c r="D842" s="1" t="inlineStr">
        <is>
          <t>189265</t>
        </is>
      </c>
      <c r="E842" s="1" t="inlineStr">
        <is>
          <t xml:space="preserve">28194770       </t>
        </is>
      </c>
      <c r="F842" s="5" t="inlineStr">
        <is>
          <t>AUTOS DE METAL 3 TEAMSTERZ EN BLISTER</t>
        </is>
      </c>
      <c r="G842" t="n">
        <v>1</v>
      </c>
      <c r="H842" s="7" t="n">
        <v>6.9</v>
      </c>
      <c r="I842" s="7" t="n">
        <v>0</v>
      </c>
      <c r="J842" s="7" t="n">
        <v>0</v>
      </c>
      <c r="K842" s="9" t="n">
        <v>0</v>
      </c>
      <c r="L842" s="10" t="n">
        <v>4.1</v>
      </c>
      <c r="M842" s="10" t="n">
        <v>1.43</v>
      </c>
      <c r="N842" t="inlineStr">
        <is>
          <t>1</t>
        </is>
      </c>
      <c r="O842" t="inlineStr">
        <is>
          <t>16</t>
        </is>
      </c>
      <c r="P842" t="inlineStr">
        <is>
          <t xml:space="preserve">241916  </t>
        </is>
      </c>
      <c r="Q842" s="26" t="n">
        <v>4.09</v>
      </c>
      <c r="R842" s="26">
        <f>Q842*G842</f>
        <v/>
      </c>
      <c r="S842" s="26">
        <f>IFERROR(VLOOKUP(E842*1,Tabla[#All],8,0),0)</f>
        <v/>
      </c>
      <c r="T842" s="26">
        <f>S842*G842</f>
        <v/>
      </c>
      <c r="U842" s="26">
        <f>R842-T842</f>
        <v/>
      </c>
      <c r="V842" s="26">
        <f>U842-L842</f>
        <v/>
      </c>
    </row>
    <row r="843">
      <c r="A843" s="11" t="n">
        <v>46212</v>
      </c>
      <c r="B843" s="1" t="n">
        <v>20041</v>
      </c>
      <c r="C843" s="1" t="inlineStr">
        <is>
          <t>037</t>
        </is>
      </c>
      <c r="D843" s="1" t="inlineStr">
        <is>
          <t>189304</t>
        </is>
      </c>
      <c r="E843" s="1" t="inlineStr">
        <is>
          <t xml:space="preserve">28194770       </t>
        </is>
      </c>
      <c r="F843" s="5" t="inlineStr">
        <is>
          <t>AUTOS DE METAL 3 TEAMSTERZ EN BLISTER</t>
        </is>
      </c>
      <c r="G843" t="n">
        <v>3</v>
      </c>
      <c r="H843" s="7" t="n">
        <v>20.7</v>
      </c>
      <c r="I843" s="7" t="n">
        <v>0</v>
      </c>
      <c r="J843" s="7" t="n">
        <v>0</v>
      </c>
      <c r="K843" s="9" t="n">
        <v>0</v>
      </c>
      <c r="L843" s="10" t="n">
        <v>12.27</v>
      </c>
      <c r="M843" s="10" t="n">
        <v>1.43</v>
      </c>
      <c r="N843" t="inlineStr">
        <is>
          <t>1</t>
        </is>
      </c>
      <c r="O843" t="inlineStr">
        <is>
          <t xml:space="preserve">2 </t>
        </is>
      </c>
      <c r="P843" t="inlineStr">
        <is>
          <t xml:space="preserve">243698  </t>
        </is>
      </c>
      <c r="Q843" s="26" t="n">
        <v>4.09</v>
      </c>
      <c r="R843" s="26">
        <f>Q843*G843</f>
        <v/>
      </c>
      <c r="S843" s="26">
        <f>IFERROR(VLOOKUP(E843*1,Tabla[#All],8,0),0)</f>
        <v/>
      </c>
      <c r="T843" s="26">
        <f>S843*G843</f>
        <v/>
      </c>
      <c r="U843" s="26">
        <f>R843-T843</f>
        <v/>
      </c>
      <c r="V843" s="26">
        <f>U843-L843</f>
        <v/>
      </c>
    </row>
    <row r="844">
      <c r="A844" s="11" t="n">
        <v>46212</v>
      </c>
      <c r="B844" s="1" t="n">
        <v>20041</v>
      </c>
      <c r="C844" s="1" t="inlineStr">
        <is>
          <t>043</t>
        </is>
      </c>
      <c r="D844" s="1" t="inlineStr">
        <is>
          <t xml:space="preserve">75854 </t>
        </is>
      </c>
      <c r="E844" s="1" t="inlineStr">
        <is>
          <t xml:space="preserve">28194770       </t>
        </is>
      </c>
      <c r="F844" s="5" t="inlineStr">
        <is>
          <t>AUTOS DE METAL 3 TEAMSTERZ EN BLISTER</t>
        </is>
      </c>
      <c r="G844" t="n">
        <v>1</v>
      </c>
      <c r="H844" s="7" t="n">
        <v>6.9</v>
      </c>
      <c r="I844" s="7" t="n">
        <v>0</v>
      </c>
      <c r="J844" s="7" t="n">
        <v>0</v>
      </c>
      <c r="K844" s="9" t="n">
        <v>0</v>
      </c>
      <c r="L844" s="10" t="n">
        <v>4.1</v>
      </c>
      <c r="M844" s="10" t="n">
        <v>1.43</v>
      </c>
      <c r="N844" t="inlineStr">
        <is>
          <t>1</t>
        </is>
      </c>
      <c r="O844" t="inlineStr">
        <is>
          <t>16</t>
        </is>
      </c>
      <c r="P844" t="inlineStr">
        <is>
          <t xml:space="preserve">241916  </t>
        </is>
      </c>
      <c r="Q844" s="26" t="n">
        <v>4.09</v>
      </c>
      <c r="R844" s="26">
        <f>Q844*G844</f>
        <v/>
      </c>
      <c r="S844" s="26">
        <f>IFERROR(VLOOKUP(E844*1,Tabla[#All],8,0),0)</f>
        <v/>
      </c>
      <c r="T844" s="26">
        <f>S844*G844</f>
        <v/>
      </c>
      <c r="U844" s="26">
        <f>R844-T844</f>
        <v/>
      </c>
      <c r="V844" s="26">
        <f>U844-L844</f>
        <v/>
      </c>
    </row>
    <row r="845">
      <c r="A845" s="11" t="n">
        <v>46212</v>
      </c>
      <c r="B845" s="1" t="n">
        <v>20043</v>
      </c>
      <c r="C845" s="1" t="inlineStr">
        <is>
          <t>029</t>
        </is>
      </c>
      <c r="D845" s="1" t="inlineStr">
        <is>
          <t>168299</t>
        </is>
      </c>
      <c r="E845" s="1" t="inlineStr">
        <is>
          <t xml:space="preserve">32457103       </t>
        </is>
      </c>
      <c r="F845" s="5" t="inlineStr">
        <is>
          <t>TMZ BEAST MACHINES MONSTER JAWS A FRICCION PACK DE</t>
        </is>
      </c>
      <c r="G845" t="n">
        <v>1</v>
      </c>
      <c r="H845" s="7" t="n">
        <v>37.9</v>
      </c>
      <c r="I845" s="7" t="n">
        <v>0</v>
      </c>
      <c r="J845" s="7" t="n">
        <v>0</v>
      </c>
      <c r="K845" s="9" t="n">
        <v>0</v>
      </c>
      <c r="L845" s="10" t="n">
        <v>22.48</v>
      </c>
      <c r="M845" s="10" t="n">
        <v>1.43</v>
      </c>
      <c r="N845" t="inlineStr">
        <is>
          <t>1</t>
        </is>
      </c>
      <c r="O845" t="inlineStr">
        <is>
          <t>16</t>
        </is>
      </c>
      <c r="P845" t="inlineStr">
        <is>
          <t xml:space="preserve">30705   </t>
        </is>
      </c>
      <c r="Q845" s="26" t="n">
        <v>22.48</v>
      </c>
      <c r="R845" s="26">
        <f>Q845*G845</f>
        <v/>
      </c>
      <c r="S845" s="26">
        <f>IFERROR(VLOOKUP(E845*1,Tabla[#All],8,0),0)</f>
        <v/>
      </c>
      <c r="T845" s="26">
        <f>S845*G845</f>
        <v/>
      </c>
      <c r="U845" s="26">
        <f>R845-T845</f>
        <v/>
      </c>
      <c r="V845" s="26">
        <f>U845-L845</f>
        <v/>
      </c>
    </row>
    <row r="846">
      <c r="A846" s="11" t="n">
        <v>46212</v>
      </c>
      <c r="B846" s="1" t="n">
        <v>20047</v>
      </c>
      <c r="C846" s="1" t="inlineStr">
        <is>
          <t>012</t>
        </is>
      </c>
      <c r="D846" s="1" t="inlineStr">
        <is>
          <t>331794</t>
        </is>
      </c>
      <c r="E846" s="1" t="inlineStr">
        <is>
          <t xml:space="preserve">28194770       </t>
        </is>
      </c>
      <c r="F846" s="5" t="inlineStr">
        <is>
          <t>AUTOS DE METAL 3 TEAMSTERZ EN BLISTER</t>
        </is>
      </c>
      <c r="G846" t="n">
        <v>1</v>
      </c>
      <c r="H846" s="7" t="n">
        <v>6.9</v>
      </c>
      <c r="I846" s="7" t="n">
        <v>0.6899999999999999</v>
      </c>
      <c r="J846" s="7" t="n">
        <v>0</v>
      </c>
      <c r="K846" s="9" t="n">
        <v>0.6899999999999999</v>
      </c>
      <c r="L846" s="10" t="n">
        <v>3.68</v>
      </c>
      <c r="M846" s="10" t="n">
        <v>1.43</v>
      </c>
      <c r="N846" t="inlineStr">
        <is>
          <t>1</t>
        </is>
      </c>
      <c r="O846" t="inlineStr">
        <is>
          <t xml:space="preserve">3 </t>
        </is>
      </c>
      <c r="P846" t="inlineStr">
        <is>
          <t xml:space="preserve">248424  </t>
        </is>
      </c>
      <c r="Q846" s="26" t="n">
        <v>4.09</v>
      </c>
      <c r="R846" s="26">
        <f>Q846*G846</f>
        <v/>
      </c>
      <c r="S846" s="26">
        <f>IFERROR(VLOOKUP(E846*1,Tabla[#All],8,0),0)</f>
        <v/>
      </c>
      <c r="T846" s="26">
        <f>S846*G846</f>
        <v/>
      </c>
      <c r="U846" s="26">
        <f>R846-T846</f>
        <v/>
      </c>
      <c r="V846" s="26">
        <f>U846-L846</f>
        <v/>
      </c>
    </row>
    <row r="847">
      <c r="A847" s="11" t="n">
        <v>46212</v>
      </c>
      <c r="B847" s="1" t="n">
        <v>20047</v>
      </c>
      <c r="C847" s="1" t="inlineStr">
        <is>
          <t>012</t>
        </is>
      </c>
      <c r="D847" s="1" t="inlineStr">
        <is>
          <t>331826</t>
        </is>
      </c>
      <c r="E847" s="1" t="inlineStr">
        <is>
          <t xml:space="preserve">28194770       </t>
        </is>
      </c>
      <c r="F847" s="5" t="inlineStr">
        <is>
          <t>AUTOS DE METAL 3 TEAMSTERZ EN BLISTER</t>
        </is>
      </c>
      <c r="G847" t="n">
        <v>1</v>
      </c>
      <c r="H847" s="7" t="n">
        <v>6.9</v>
      </c>
      <c r="I847" s="7" t="n">
        <v>0</v>
      </c>
      <c r="J847" s="7" t="n">
        <v>0</v>
      </c>
      <c r="K847" s="9" t="n">
        <v>0</v>
      </c>
      <c r="L847" s="10" t="n">
        <v>4.1</v>
      </c>
      <c r="M847" s="10" t="n">
        <v>1.43</v>
      </c>
      <c r="N847" t="inlineStr">
        <is>
          <t>1</t>
        </is>
      </c>
      <c r="O847" t="inlineStr">
        <is>
          <t xml:space="preserve">2 </t>
        </is>
      </c>
      <c r="P847" t="inlineStr">
        <is>
          <t xml:space="preserve">248424  </t>
        </is>
      </c>
      <c r="Q847" s="26" t="n">
        <v>4.09</v>
      </c>
      <c r="R847" s="26">
        <f>Q847*G847</f>
        <v/>
      </c>
      <c r="S847" s="26">
        <f>IFERROR(VLOOKUP(E847*1,Tabla[#All],8,0),0)</f>
        <v/>
      </c>
      <c r="T847" s="26">
        <f>S847*G847</f>
        <v/>
      </c>
      <c r="U847" s="26">
        <f>R847-T847</f>
        <v/>
      </c>
      <c r="V847" s="26">
        <f>U847-L847</f>
        <v/>
      </c>
    </row>
    <row r="848">
      <c r="A848" s="11" t="n">
        <v>46212</v>
      </c>
      <c r="B848" s="1" t="n">
        <v>20047</v>
      </c>
      <c r="C848" s="1" t="inlineStr">
        <is>
          <t>012</t>
        </is>
      </c>
      <c r="D848" s="1" t="inlineStr">
        <is>
          <t>331826</t>
        </is>
      </c>
      <c r="E848" s="1" t="inlineStr">
        <is>
          <t xml:space="preserve">28194770       </t>
        </is>
      </c>
      <c r="F848" s="5" t="inlineStr">
        <is>
          <t>AUTOS DE METAL 3 TEAMSTERZ EN BLISTER</t>
        </is>
      </c>
      <c r="G848" t="n">
        <v>1</v>
      </c>
      <c r="H848" s="7" t="n">
        <v>6.9</v>
      </c>
      <c r="I848" s="7" t="n">
        <v>0</v>
      </c>
      <c r="J848" s="7" t="n">
        <v>0</v>
      </c>
      <c r="K848" s="9" t="n">
        <v>0</v>
      </c>
      <c r="L848" s="10" t="n">
        <v>4.1</v>
      </c>
      <c r="M848" s="10" t="n">
        <v>1.43</v>
      </c>
      <c r="N848" t="inlineStr">
        <is>
          <t>1</t>
        </is>
      </c>
      <c r="O848" t="inlineStr">
        <is>
          <t xml:space="preserve">2 </t>
        </is>
      </c>
      <c r="P848" t="inlineStr">
        <is>
          <t xml:space="preserve">248424  </t>
        </is>
      </c>
      <c r="Q848" s="26" t="n">
        <v>4.09</v>
      </c>
      <c r="R848" s="26">
        <f>Q848*G848</f>
        <v/>
      </c>
      <c r="S848" s="26">
        <f>IFERROR(VLOOKUP(E848*1,Tabla[#All],8,0),0)</f>
        <v/>
      </c>
      <c r="T848" s="26">
        <f>S848*G848</f>
        <v/>
      </c>
      <c r="U848" s="26">
        <f>R848-T848</f>
        <v/>
      </c>
      <c r="V848" s="26">
        <f>U848-L848</f>
        <v/>
      </c>
    </row>
    <row r="849">
      <c r="A849" s="11" t="n">
        <v>46212</v>
      </c>
      <c r="B849" s="1" t="n">
        <v>20047</v>
      </c>
      <c r="C849" s="1" t="inlineStr">
        <is>
          <t>012</t>
        </is>
      </c>
      <c r="D849" s="1" t="inlineStr">
        <is>
          <t>331838</t>
        </is>
      </c>
      <c r="E849" s="1" t="inlineStr">
        <is>
          <t xml:space="preserve">28194770       </t>
        </is>
      </c>
      <c r="F849" s="5" t="inlineStr">
        <is>
          <t>AUTOS DE METAL 3 TEAMSTERZ EN BLISTER</t>
        </is>
      </c>
      <c r="G849" t="n">
        <v>1</v>
      </c>
      <c r="H849" s="7" t="n">
        <v>6.9</v>
      </c>
      <c r="I849" s="7" t="n">
        <v>0</v>
      </c>
      <c r="J849" s="7" t="n">
        <v>0</v>
      </c>
      <c r="K849" s="9" t="n">
        <v>0</v>
      </c>
      <c r="L849" s="10" t="n">
        <v>4.1</v>
      </c>
      <c r="M849" s="10" t="n">
        <v>1.43</v>
      </c>
      <c r="N849" t="inlineStr">
        <is>
          <t>1</t>
        </is>
      </c>
      <c r="O849" t="inlineStr">
        <is>
          <t>16</t>
        </is>
      </c>
      <c r="P849" t="inlineStr">
        <is>
          <t xml:space="preserve">248424  </t>
        </is>
      </c>
      <c r="Q849" s="26" t="n">
        <v>4.09</v>
      </c>
      <c r="R849" s="26">
        <f>Q849*G849</f>
        <v/>
      </c>
      <c r="S849" s="26">
        <f>IFERROR(VLOOKUP(E849*1,Tabla[#All],8,0),0)</f>
        <v/>
      </c>
      <c r="T849" s="26">
        <f>S849*G849</f>
        <v/>
      </c>
      <c r="U849" s="26">
        <f>R849-T849</f>
        <v/>
      </c>
      <c r="V849" s="26">
        <f>U849-L849</f>
        <v/>
      </c>
    </row>
    <row r="850">
      <c r="A850" s="11" t="n">
        <v>46212</v>
      </c>
      <c r="B850" s="1" t="n">
        <v>20047</v>
      </c>
      <c r="C850" s="1" t="inlineStr">
        <is>
          <t>012</t>
        </is>
      </c>
      <c r="D850" s="1" t="inlineStr">
        <is>
          <t>331838</t>
        </is>
      </c>
      <c r="E850" s="1" t="inlineStr">
        <is>
          <t xml:space="preserve">28194770       </t>
        </is>
      </c>
      <c r="F850" s="5" t="inlineStr">
        <is>
          <t>AUTOS DE METAL 3 TEAMSTERZ EN BLISTER</t>
        </is>
      </c>
      <c r="G850" t="n">
        <v>1</v>
      </c>
      <c r="H850" s="7" t="n">
        <v>6.9</v>
      </c>
      <c r="I850" s="7" t="n">
        <v>0</v>
      </c>
      <c r="J850" s="7" t="n">
        <v>0</v>
      </c>
      <c r="K850" s="9" t="n">
        <v>0</v>
      </c>
      <c r="L850" s="10" t="n">
        <v>4.1</v>
      </c>
      <c r="M850" s="10" t="n">
        <v>1.43</v>
      </c>
      <c r="N850" t="inlineStr">
        <is>
          <t>1</t>
        </is>
      </c>
      <c r="O850" t="inlineStr">
        <is>
          <t>16</t>
        </is>
      </c>
      <c r="P850" t="inlineStr">
        <is>
          <t xml:space="preserve">248424  </t>
        </is>
      </c>
      <c r="Q850" s="26" t="n">
        <v>4.09</v>
      </c>
      <c r="R850" s="26">
        <f>Q850*G850</f>
        <v/>
      </c>
      <c r="S850" s="26">
        <f>IFERROR(VLOOKUP(E850*1,Tabla[#All],8,0),0)</f>
        <v/>
      </c>
      <c r="T850" s="26">
        <f>S850*G850</f>
        <v/>
      </c>
      <c r="U850" s="26">
        <f>R850-T850</f>
        <v/>
      </c>
      <c r="V850" s="26">
        <f>U850-L850</f>
        <v/>
      </c>
    </row>
    <row r="851">
      <c r="A851" s="11" t="n">
        <v>46212</v>
      </c>
      <c r="B851" s="1" t="n">
        <v>20047</v>
      </c>
      <c r="C851" s="1" t="inlineStr">
        <is>
          <t>191</t>
        </is>
      </c>
      <c r="D851" s="1" t="inlineStr">
        <is>
          <t>461098</t>
        </is>
      </c>
      <c r="E851" s="1" t="inlineStr">
        <is>
          <t xml:space="preserve">28194770       </t>
        </is>
      </c>
      <c r="F851" s="5" t="inlineStr">
        <is>
          <t>AUTOS DE METAL 3 TEAMSTERZ EN BLISTER</t>
        </is>
      </c>
      <c r="G851" t="n">
        <v>1</v>
      </c>
      <c r="H851" s="7" t="n">
        <v>6.9</v>
      </c>
      <c r="I851" s="7" t="n">
        <v>0</v>
      </c>
      <c r="J851" s="7" t="n">
        <v>0</v>
      </c>
      <c r="K851" s="9" t="n">
        <v>0</v>
      </c>
      <c r="L851" s="10" t="n">
        <v>4.1</v>
      </c>
      <c r="M851" s="10" t="n">
        <v>1.43</v>
      </c>
      <c r="N851" t="inlineStr">
        <is>
          <t>1</t>
        </is>
      </c>
      <c r="O851" t="inlineStr">
        <is>
          <t xml:space="preserve">2 </t>
        </is>
      </c>
      <c r="P851" t="inlineStr">
        <is>
          <t xml:space="preserve">245257  </t>
        </is>
      </c>
      <c r="Q851" s="26" t="n">
        <v>4.09</v>
      </c>
      <c r="R851" s="26">
        <f>Q851*G851</f>
        <v/>
      </c>
      <c r="S851" s="26">
        <f>IFERROR(VLOOKUP(E851*1,Tabla[#All],8,0),0)</f>
        <v/>
      </c>
      <c r="T851" s="26">
        <f>S851*G851</f>
        <v/>
      </c>
      <c r="U851" s="26">
        <f>R851-T851</f>
        <v/>
      </c>
      <c r="V851" s="26">
        <f>U851-L851</f>
        <v/>
      </c>
    </row>
    <row r="852">
      <c r="A852" s="11" t="n">
        <v>46212</v>
      </c>
      <c r="B852" s="1" t="n">
        <v>20048</v>
      </c>
      <c r="C852" s="1" t="inlineStr">
        <is>
          <t>017</t>
        </is>
      </c>
      <c r="D852" s="1" t="inlineStr">
        <is>
          <t>166370</t>
        </is>
      </c>
      <c r="E852" s="1" t="inlineStr">
        <is>
          <t xml:space="preserve">35685067       </t>
        </is>
      </c>
      <c r="F852" s="5" t="inlineStr">
        <is>
          <t>HOT WHEELS POWER SET 3 EN 1</t>
        </is>
      </c>
      <c r="G852" t="n">
        <v>1</v>
      </c>
      <c r="H852" s="7" t="n">
        <v>49.9</v>
      </c>
      <c r="I852" s="7" t="n">
        <v>0</v>
      </c>
      <c r="J852" s="7" t="n">
        <v>0</v>
      </c>
      <c r="K852" s="9" t="n">
        <v>0</v>
      </c>
      <c r="L852" s="10" t="n">
        <v>29.6</v>
      </c>
      <c r="M852" s="10" t="n">
        <v>1.43</v>
      </c>
      <c r="N852" t="inlineStr">
        <is>
          <t>1</t>
        </is>
      </c>
      <c r="O852" t="inlineStr">
        <is>
          <t xml:space="preserve">2 </t>
        </is>
      </c>
      <c r="P852" t="inlineStr">
        <is>
          <t xml:space="preserve">33648   </t>
        </is>
      </c>
      <c r="Q852" s="26" t="n">
        <v>29.6</v>
      </c>
      <c r="R852" s="26">
        <f>Q852*G852</f>
        <v/>
      </c>
      <c r="S852" s="26">
        <f>IFERROR(VLOOKUP(E852*1,Tabla[#All],8,0),0)</f>
        <v/>
      </c>
      <c r="T852" s="26">
        <f>S852*G852</f>
        <v/>
      </c>
      <c r="U852" s="26">
        <f>R852-T852</f>
        <v/>
      </c>
      <c r="V852" s="26">
        <f>U852-L852</f>
        <v/>
      </c>
    </row>
    <row r="853">
      <c r="A853" s="11" t="n">
        <v>46212</v>
      </c>
      <c r="B853" s="1" t="n">
        <v>20048</v>
      </c>
      <c r="C853" s="1" t="inlineStr">
        <is>
          <t>017</t>
        </is>
      </c>
      <c r="D853" s="1" t="inlineStr">
        <is>
          <t>166437</t>
        </is>
      </c>
      <c r="E853" s="1" t="inlineStr">
        <is>
          <t xml:space="preserve">28194770       </t>
        </is>
      </c>
      <c r="F853" s="5" t="inlineStr">
        <is>
          <t>AUTOS DE METAL 3 TEAMSTERZ EN BLISTER</t>
        </is>
      </c>
      <c r="G853" t="n">
        <v>1</v>
      </c>
      <c r="H853" s="7" t="n">
        <v>6.9</v>
      </c>
      <c r="I853" s="7" t="n">
        <v>0</v>
      </c>
      <c r="J853" s="7" t="n">
        <v>0</v>
      </c>
      <c r="K853" s="9" t="n">
        <v>0</v>
      </c>
      <c r="L853" s="10" t="n">
        <v>4.1</v>
      </c>
      <c r="M853" s="10" t="n">
        <v>1.43</v>
      </c>
      <c r="N853" t="inlineStr">
        <is>
          <t>1</t>
        </is>
      </c>
      <c r="O853" t="inlineStr">
        <is>
          <t xml:space="preserve">2 </t>
        </is>
      </c>
      <c r="P853" t="inlineStr">
        <is>
          <t xml:space="preserve">249966  </t>
        </is>
      </c>
      <c r="Q853" s="26" t="n">
        <v>4.09</v>
      </c>
      <c r="R853" s="26">
        <f>Q853*G853</f>
        <v/>
      </c>
      <c r="S853" s="26">
        <f>IFERROR(VLOOKUP(E853*1,Tabla[#All],8,0),0)</f>
        <v/>
      </c>
      <c r="T853" s="26">
        <f>S853*G853</f>
        <v/>
      </c>
      <c r="U853" s="26">
        <f>R853-T853</f>
        <v/>
      </c>
      <c r="V853" s="26">
        <f>U853-L853</f>
        <v/>
      </c>
    </row>
    <row r="854">
      <c r="A854" s="11" t="n">
        <v>46212</v>
      </c>
      <c r="B854" s="1" t="n">
        <v>20048</v>
      </c>
      <c r="C854" s="1" t="inlineStr">
        <is>
          <t>017</t>
        </is>
      </c>
      <c r="D854" s="1" t="inlineStr">
        <is>
          <t>166437</t>
        </is>
      </c>
      <c r="E854" s="1" t="inlineStr">
        <is>
          <t xml:space="preserve">28194770       </t>
        </is>
      </c>
      <c r="F854" s="5" t="inlineStr">
        <is>
          <t>AUTOS DE METAL 3 TEAMSTERZ EN BLISTER</t>
        </is>
      </c>
      <c r="G854" t="n">
        <v>1</v>
      </c>
      <c r="H854" s="7" t="n">
        <v>6.9</v>
      </c>
      <c r="I854" s="7" t="n">
        <v>0</v>
      </c>
      <c r="J854" s="7" t="n">
        <v>0</v>
      </c>
      <c r="K854" s="9" t="n">
        <v>0</v>
      </c>
      <c r="L854" s="10" t="n">
        <v>4.1</v>
      </c>
      <c r="M854" s="10" t="n">
        <v>1.43</v>
      </c>
      <c r="N854" t="inlineStr">
        <is>
          <t>1</t>
        </is>
      </c>
      <c r="O854" t="inlineStr">
        <is>
          <t xml:space="preserve">2 </t>
        </is>
      </c>
      <c r="P854" t="inlineStr">
        <is>
          <t xml:space="preserve">249966  </t>
        </is>
      </c>
      <c r="Q854" s="26" t="n">
        <v>4.09</v>
      </c>
      <c r="R854" s="26">
        <f>Q854*G854</f>
        <v/>
      </c>
      <c r="S854" s="26">
        <f>IFERROR(VLOOKUP(E854*1,Tabla[#All],8,0),0)</f>
        <v/>
      </c>
      <c r="T854" s="26">
        <f>S854*G854</f>
        <v/>
      </c>
      <c r="U854" s="26">
        <f>R854-T854</f>
        <v/>
      </c>
      <c r="V854" s="26">
        <f>U854-L854</f>
        <v/>
      </c>
    </row>
    <row r="855">
      <c r="A855" s="11" t="n">
        <v>46212</v>
      </c>
      <c r="B855" s="1" t="n">
        <v>20048</v>
      </c>
      <c r="C855" s="1" t="inlineStr">
        <is>
          <t>800</t>
        </is>
      </c>
      <c r="D855" s="1" t="inlineStr">
        <is>
          <t xml:space="preserve">3783  </t>
        </is>
      </c>
      <c r="E855" s="1" t="inlineStr">
        <is>
          <t xml:space="preserve">30141766       </t>
        </is>
      </c>
      <c r="F855" s="5" t="inlineStr">
        <is>
          <t>TMZ BEAST MACHINES AUTOS DE METAL BLISTER X 1</t>
        </is>
      </c>
      <c r="G855" t="n">
        <v>1</v>
      </c>
      <c r="H855" s="7" t="n">
        <v>7.9</v>
      </c>
      <c r="I855" s="7" t="n">
        <v>0</v>
      </c>
      <c r="J855" s="7" t="n">
        <v>0</v>
      </c>
      <c r="K855" s="9" t="n">
        <v>0</v>
      </c>
      <c r="L855" s="10" t="n">
        <v>4.68</v>
      </c>
      <c r="M855" s="10" t="n">
        <v>1.43</v>
      </c>
      <c r="N855" t="inlineStr">
        <is>
          <t>1</t>
        </is>
      </c>
      <c r="O855" t="inlineStr">
        <is>
          <t>16</t>
        </is>
      </c>
      <c r="P855" t="inlineStr">
        <is>
          <t xml:space="preserve">234984  </t>
        </is>
      </c>
      <c r="Q855" s="26" t="n">
        <v>4.69</v>
      </c>
      <c r="R855" s="26">
        <f>Q855*G855</f>
        <v/>
      </c>
      <c r="S855" s="26">
        <f>IFERROR(VLOOKUP(E855*1,Tabla[#All],8,0),0)</f>
        <v/>
      </c>
      <c r="T855" s="26">
        <f>S855*G855</f>
        <v/>
      </c>
      <c r="U855" s="26">
        <f>R855-T855</f>
        <v/>
      </c>
      <c r="V855" s="26">
        <f>U855-L855</f>
        <v/>
      </c>
    </row>
    <row r="856">
      <c r="A856" s="11" t="n">
        <v>46212</v>
      </c>
      <c r="B856" s="1" t="n">
        <v>20048</v>
      </c>
      <c r="C856" s="1" t="inlineStr">
        <is>
          <t>800</t>
        </is>
      </c>
      <c r="D856" s="1" t="inlineStr">
        <is>
          <t xml:space="preserve">3803  </t>
        </is>
      </c>
      <c r="E856" s="1" t="inlineStr">
        <is>
          <t xml:space="preserve">30141766       </t>
        </is>
      </c>
      <c r="F856" s="5" t="inlineStr">
        <is>
          <t>TMZ BEAST MACHINES AUTOS DE METAL BLISTER X 1</t>
        </is>
      </c>
      <c r="G856" t="n">
        <v>3</v>
      </c>
      <c r="H856" s="7" t="n">
        <v>23.7</v>
      </c>
      <c r="I856" s="7" t="n">
        <v>0</v>
      </c>
      <c r="J856" s="7" t="n">
        <v>0</v>
      </c>
      <c r="K856" s="9" t="n">
        <v>0</v>
      </c>
      <c r="L856" s="10" t="n">
        <v>14.07</v>
      </c>
      <c r="M856" s="10" t="n">
        <v>1.43</v>
      </c>
      <c r="N856" t="inlineStr">
        <is>
          <t>1</t>
        </is>
      </c>
      <c r="O856" t="inlineStr">
        <is>
          <t>16</t>
        </is>
      </c>
      <c r="P856" t="inlineStr">
        <is>
          <t xml:space="preserve">234984  </t>
        </is>
      </c>
      <c r="Q856" s="26" t="n">
        <v>4.69</v>
      </c>
      <c r="R856" s="26">
        <f>Q856*G856</f>
        <v/>
      </c>
      <c r="S856" s="26">
        <f>IFERROR(VLOOKUP(E856*1,Tabla[#All],8,0),0)</f>
        <v/>
      </c>
      <c r="T856" s="26">
        <f>S856*G856</f>
        <v/>
      </c>
      <c r="U856" s="26">
        <f>R856-T856</f>
        <v/>
      </c>
      <c r="V856" s="26">
        <f>U856-L856</f>
        <v/>
      </c>
    </row>
    <row r="857">
      <c r="A857" s="11" t="n">
        <v>46212</v>
      </c>
      <c r="B857" s="1" t="n">
        <v>20048</v>
      </c>
      <c r="C857" s="1" t="inlineStr">
        <is>
          <t>801</t>
        </is>
      </c>
      <c r="D857" s="1" t="inlineStr">
        <is>
          <t xml:space="preserve">6043  </t>
        </is>
      </c>
      <c r="E857" s="1" t="inlineStr">
        <is>
          <t xml:space="preserve">32457099       </t>
        </is>
      </c>
      <c r="F857" s="5" t="inlineStr">
        <is>
          <t>TMZ BEAST MACHINES MONSTER JAWS A FRICCION BLISTER</t>
        </is>
      </c>
      <c r="G857" t="n">
        <v>1</v>
      </c>
      <c r="H857" s="7" t="n">
        <v>19.9</v>
      </c>
      <c r="I857" s="7" t="n">
        <v>0</v>
      </c>
      <c r="J857" s="7" t="n">
        <v>0</v>
      </c>
      <c r="K857" s="9" t="n">
        <v>0</v>
      </c>
      <c r="L857" s="10" t="n">
        <v>11.8</v>
      </c>
      <c r="M857" s="10" t="n">
        <v>1.43</v>
      </c>
      <c r="N857" t="inlineStr">
        <is>
          <t>1</t>
        </is>
      </c>
      <c r="O857" t="inlineStr">
        <is>
          <t>16</t>
        </is>
      </c>
      <c r="P857" t="inlineStr">
        <is>
          <t xml:space="preserve">234984  </t>
        </is>
      </c>
      <c r="Q857" s="26" t="n">
        <v>11.81</v>
      </c>
      <c r="R857" s="26">
        <f>Q857*G857</f>
        <v/>
      </c>
      <c r="S857" s="26">
        <f>IFERROR(VLOOKUP(E857*1,Tabla[#All],8,0),0)</f>
        <v/>
      </c>
      <c r="T857" s="26">
        <f>S857*G857</f>
        <v/>
      </c>
      <c r="U857" s="26">
        <f>R857-T857</f>
        <v/>
      </c>
      <c r="V857" s="26">
        <f>U857-L857</f>
        <v/>
      </c>
    </row>
    <row r="858">
      <c r="A858" s="11" t="n">
        <v>46212</v>
      </c>
      <c r="B858" s="1" t="n">
        <v>20057</v>
      </c>
      <c r="C858" s="1" t="inlineStr">
        <is>
          <t>032</t>
        </is>
      </c>
      <c r="D858" s="1" t="inlineStr">
        <is>
          <t xml:space="preserve">74204 </t>
        </is>
      </c>
      <c r="E858" s="1" t="inlineStr">
        <is>
          <t xml:space="preserve">29235706       </t>
        </is>
      </c>
      <c r="F858" s="5" t="inlineStr">
        <is>
          <t>TEAMSTERZ CAMION PARA GUARDAR 12 AUTOS INCL 4 AUTO</t>
        </is>
      </c>
      <c r="G858" t="n">
        <v>1</v>
      </c>
      <c r="H858" s="7" t="n">
        <v>59.9</v>
      </c>
      <c r="I858" s="7" t="n">
        <v>0</v>
      </c>
      <c r="J858" s="7" t="n">
        <v>0</v>
      </c>
      <c r="K858" s="9" t="n">
        <v>0</v>
      </c>
      <c r="L858" s="10" t="n">
        <v>35.53</v>
      </c>
      <c r="M858" s="10" t="n">
        <v>1.43</v>
      </c>
      <c r="N858" t="inlineStr">
        <is>
          <t>1</t>
        </is>
      </c>
      <c r="O858" t="inlineStr">
        <is>
          <t xml:space="preserve">3 </t>
        </is>
      </c>
      <c r="P858" t="inlineStr">
        <is>
          <t xml:space="preserve">248572  </t>
        </is>
      </c>
      <c r="Q858" s="26" t="n">
        <v>35.53</v>
      </c>
      <c r="R858" s="26">
        <f>Q858*G858</f>
        <v/>
      </c>
      <c r="S858" s="26">
        <f>IFERROR(VLOOKUP(E858*1,Tabla[#All],8,0),0)</f>
        <v/>
      </c>
      <c r="T858" s="26">
        <f>S858*G858</f>
        <v/>
      </c>
      <c r="U858" s="26">
        <f>R858-T858</f>
        <v/>
      </c>
      <c r="V858" s="26">
        <f>U858-L858</f>
        <v/>
      </c>
    </row>
    <row r="859">
      <c r="A859" s="11" t="n">
        <v>46212</v>
      </c>
      <c r="B859" s="1" t="n">
        <v>20057</v>
      </c>
      <c r="C859" s="1" t="inlineStr">
        <is>
          <t>032</t>
        </is>
      </c>
      <c r="D859" s="1" t="inlineStr">
        <is>
          <t xml:space="preserve">74265 </t>
        </is>
      </c>
      <c r="E859" s="1" t="inlineStr">
        <is>
          <t xml:space="preserve">28194770       </t>
        </is>
      </c>
      <c r="F859" s="5" t="inlineStr">
        <is>
          <t>AUTOS DE METAL 3 TEAMSTERZ EN BLISTER</t>
        </is>
      </c>
      <c r="G859" t="n">
        <v>1</v>
      </c>
      <c r="H859" s="7" t="n">
        <v>6.9</v>
      </c>
      <c r="I859" s="7" t="n">
        <v>0.6899999999999999</v>
      </c>
      <c r="J859" s="7" t="n">
        <v>0</v>
      </c>
      <c r="K859" s="9" t="n">
        <v>0.6899999999999999</v>
      </c>
      <c r="L859" s="10" t="n">
        <v>3.68</v>
      </c>
      <c r="M859" s="10" t="n">
        <v>1.43</v>
      </c>
      <c r="N859" t="inlineStr">
        <is>
          <t>1</t>
        </is>
      </c>
      <c r="O859" t="inlineStr">
        <is>
          <t xml:space="preserve">3 </t>
        </is>
      </c>
      <c r="P859" t="inlineStr">
        <is>
          <t xml:space="preserve">248572  </t>
        </is>
      </c>
      <c r="Q859" s="26" t="n">
        <v>4.09</v>
      </c>
      <c r="R859" s="26">
        <f>Q859*G859</f>
        <v/>
      </c>
      <c r="S859" s="26">
        <f>IFERROR(VLOOKUP(E859*1,Tabla[#All],8,0),0)</f>
        <v/>
      </c>
      <c r="T859" s="26">
        <f>S859*G859</f>
        <v/>
      </c>
      <c r="U859" s="26">
        <f>R859-T859</f>
        <v/>
      </c>
      <c r="V859" s="26">
        <f>U859-L859</f>
        <v/>
      </c>
    </row>
    <row r="860">
      <c r="A860" s="11" t="n">
        <v>46212</v>
      </c>
      <c r="B860" s="1" t="n">
        <v>20058</v>
      </c>
      <c r="C860" s="1" t="inlineStr">
        <is>
          <t>039</t>
        </is>
      </c>
      <c r="D860" s="1" t="inlineStr">
        <is>
          <t>229981</t>
        </is>
      </c>
      <c r="E860" s="1" t="inlineStr">
        <is>
          <t xml:space="preserve">30141766       </t>
        </is>
      </c>
      <c r="F860" s="5" t="inlineStr">
        <is>
          <t>TMZ BEAST MACHINES AUTOS DE METAL BLISTER X 1</t>
        </is>
      </c>
      <c r="G860" t="n">
        <v>1</v>
      </c>
      <c r="H860" s="7" t="n">
        <v>7.9</v>
      </c>
      <c r="I860" s="7" t="n">
        <v>0</v>
      </c>
      <c r="J860" s="7" t="n">
        <v>0</v>
      </c>
      <c r="K860" s="9" t="n">
        <v>0</v>
      </c>
      <c r="L860" s="10" t="n">
        <v>4.68</v>
      </c>
      <c r="M860" s="10" t="n">
        <v>1.43</v>
      </c>
      <c r="N860" t="inlineStr">
        <is>
          <t>1</t>
        </is>
      </c>
      <c r="O860" t="inlineStr">
        <is>
          <t xml:space="preserve">2 </t>
        </is>
      </c>
      <c r="P860" t="inlineStr">
        <is>
          <t xml:space="preserve">251350  </t>
        </is>
      </c>
      <c r="Q860" s="26" t="n">
        <v>4.69</v>
      </c>
      <c r="R860" s="26">
        <f>Q860*G860</f>
        <v/>
      </c>
      <c r="S860" s="26">
        <f>IFERROR(VLOOKUP(E860*1,Tabla[#All],8,0),0)</f>
        <v/>
      </c>
      <c r="T860" s="26">
        <f>S860*G860</f>
        <v/>
      </c>
      <c r="U860" s="26">
        <f>R860-T860</f>
        <v/>
      </c>
      <c r="V860" s="26">
        <f>U860-L860</f>
        <v/>
      </c>
    </row>
    <row r="861">
      <c r="A861" s="11" t="n">
        <v>46212</v>
      </c>
      <c r="B861" s="1" t="n">
        <v>20062</v>
      </c>
      <c r="C861" s="1" t="inlineStr">
        <is>
          <t>014</t>
        </is>
      </c>
      <c r="D861" s="1" t="inlineStr">
        <is>
          <t>227911</t>
        </is>
      </c>
      <c r="E861" s="1" t="inlineStr">
        <is>
          <t xml:space="preserve">32457121       </t>
        </is>
      </c>
      <c r="F861" s="5" t="inlineStr">
        <is>
          <t>MUNECA STEFFI LOVE PASEO DE MASCOTAS + ACCESS.</t>
        </is>
      </c>
      <c r="G861" t="n">
        <v>1</v>
      </c>
      <c r="H861" s="7" t="n">
        <v>69.90000000000001</v>
      </c>
      <c r="I861" s="7" t="n">
        <v>6.99</v>
      </c>
      <c r="J861" s="7" t="n">
        <v>0</v>
      </c>
      <c r="K861" s="9" t="n">
        <v>6.99</v>
      </c>
      <c r="L861" s="10" t="n">
        <v>37.32</v>
      </c>
      <c r="M861" s="10" t="n">
        <v>1.43</v>
      </c>
      <c r="N861" t="inlineStr">
        <is>
          <t>1</t>
        </is>
      </c>
      <c r="O861" t="inlineStr">
        <is>
          <t xml:space="preserve">3 </t>
        </is>
      </c>
      <c r="P861" t="inlineStr">
        <is>
          <t xml:space="preserve">57106   </t>
        </is>
      </c>
      <c r="Q861" s="26" t="n">
        <v>41.47</v>
      </c>
      <c r="R861" s="26">
        <f>Q861*G861</f>
        <v/>
      </c>
      <c r="S861" s="26">
        <f>IFERROR(VLOOKUP(E861*1,Tabla[#All],8,0),0)</f>
        <v/>
      </c>
      <c r="T861" s="26">
        <f>S861*G861</f>
        <v/>
      </c>
      <c r="U861" s="26">
        <f>R861-T861</f>
        <v/>
      </c>
      <c r="V861" s="26">
        <f>U861-L861</f>
        <v/>
      </c>
    </row>
    <row r="862">
      <c r="A862" s="11" t="n">
        <v>46212</v>
      </c>
      <c r="B862" s="1" t="n">
        <v>20062</v>
      </c>
      <c r="C862" s="1" t="inlineStr">
        <is>
          <t>017</t>
        </is>
      </c>
      <c r="D862" s="1" t="inlineStr">
        <is>
          <t>235376</t>
        </is>
      </c>
      <c r="E862" s="1" t="inlineStr">
        <is>
          <t xml:space="preserve">30232282       </t>
        </is>
      </c>
      <c r="F862" s="5" t="inlineStr">
        <is>
          <t>MANDIBULAS JUEGO DE PESCA</t>
        </is>
      </c>
      <c r="G862" t="n">
        <v>1</v>
      </c>
      <c r="H862" s="7" t="n">
        <v>119</v>
      </c>
      <c r="I862" s="7" t="n">
        <v>0</v>
      </c>
      <c r="J862" s="7" t="n">
        <v>0</v>
      </c>
      <c r="K862" s="9" t="n">
        <v>0</v>
      </c>
      <c r="L862" s="10" t="n">
        <v>70.59999999999999</v>
      </c>
      <c r="M862" s="10" t="n">
        <v>1.43</v>
      </c>
      <c r="N862" t="inlineStr">
        <is>
          <t>1</t>
        </is>
      </c>
      <c r="O862" t="inlineStr">
        <is>
          <t>16</t>
        </is>
      </c>
      <c r="P862" t="inlineStr">
        <is>
          <t xml:space="preserve">247900  </t>
        </is>
      </c>
      <c r="Q862" s="26" t="n">
        <v>70.59</v>
      </c>
      <c r="R862" s="26">
        <f>Q862*G862</f>
        <v/>
      </c>
      <c r="S862" s="26">
        <f>IFERROR(VLOOKUP(E862*1,Tabla[#All],8,0),0)</f>
        <v/>
      </c>
      <c r="T862" s="26">
        <f>S862*G862</f>
        <v/>
      </c>
      <c r="U862" s="26">
        <f>R862-T862</f>
        <v/>
      </c>
      <c r="V862" s="26">
        <f>U862-L862</f>
        <v/>
      </c>
    </row>
    <row r="863">
      <c r="A863" s="11" t="n">
        <v>46212</v>
      </c>
      <c r="B863" s="1" t="n">
        <v>20062</v>
      </c>
      <c r="C863" s="1" t="inlineStr">
        <is>
          <t>017</t>
        </is>
      </c>
      <c r="D863" s="1" t="inlineStr">
        <is>
          <t>235387</t>
        </is>
      </c>
      <c r="E863" s="1" t="inlineStr">
        <is>
          <t xml:space="preserve">28194770       </t>
        </is>
      </c>
      <c r="F863" s="5" t="inlineStr">
        <is>
          <t>AUTOS DE METAL 3 TEAMSTERZ EN BLISTER</t>
        </is>
      </c>
      <c r="G863" t="n">
        <v>1</v>
      </c>
      <c r="H863" s="7" t="n">
        <v>6.9</v>
      </c>
      <c r="I863" s="7" t="n">
        <v>0</v>
      </c>
      <c r="J863" s="7" t="n">
        <v>0</v>
      </c>
      <c r="K863" s="9" t="n">
        <v>0</v>
      </c>
      <c r="L863" s="10" t="n">
        <v>4.1</v>
      </c>
      <c r="M863" s="10" t="n">
        <v>1.43</v>
      </c>
      <c r="N863" t="inlineStr">
        <is>
          <t>1</t>
        </is>
      </c>
      <c r="O863" t="inlineStr">
        <is>
          <t xml:space="preserve">2 </t>
        </is>
      </c>
      <c r="P863" t="inlineStr">
        <is>
          <t xml:space="preserve">247900  </t>
        </is>
      </c>
      <c r="Q863" s="26" t="n">
        <v>4.09</v>
      </c>
      <c r="R863" s="26">
        <f>Q863*G863</f>
        <v/>
      </c>
      <c r="S863" s="26">
        <f>IFERROR(VLOOKUP(E863*1,Tabla[#All],8,0),0)</f>
        <v/>
      </c>
      <c r="T863" s="26">
        <f>S863*G863</f>
        <v/>
      </c>
      <c r="U863" s="26">
        <f>R863-T863</f>
        <v/>
      </c>
      <c r="V863" s="26">
        <f>U863-L863</f>
        <v/>
      </c>
    </row>
    <row r="864">
      <c r="A864" s="11" t="n">
        <v>46212</v>
      </c>
      <c r="B864" s="1" t="n">
        <v>20062</v>
      </c>
      <c r="C864" s="1" t="inlineStr">
        <is>
          <t>017</t>
        </is>
      </c>
      <c r="D864" s="1" t="inlineStr">
        <is>
          <t>235391</t>
        </is>
      </c>
      <c r="E864" s="1" t="inlineStr">
        <is>
          <t xml:space="preserve">32457101       </t>
        </is>
      </c>
      <c r="F864" s="5" t="inlineStr">
        <is>
          <t>TMZ BEAST MACHINES TRANSPORTE PESADO + 2 AUTOS SUR</t>
        </is>
      </c>
      <c r="G864" t="n">
        <v>1</v>
      </c>
      <c r="H864" s="7" t="n">
        <v>37.9</v>
      </c>
      <c r="I864" s="7" t="n">
        <v>0</v>
      </c>
      <c r="J864" s="7" t="n">
        <v>0</v>
      </c>
      <c r="K864" s="9" t="n">
        <v>0</v>
      </c>
      <c r="L864" s="10" t="n">
        <v>22.48</v>
      </c>
      <c r="M864" s="10" t="n">
        <v>1.43</v>
      </c>
      <c r="N864" t="inlineStr">
        <is>
          <t>1</t>
        </is>
      </c>
      <c r="O864" t="inlineStr">
        <is>
          <t>16</t>
        </is>
      </c>
      <c r="P864" t="inlineStr">
        <is>
          <t xml:space="preserve">247900  </t>
        </is>
      </c>
      <c r="Q864" s="26" t="n">
        <v>22.48</v>
      </c>
      <c r="R864" s="26">
        <f>Q864*G864</f>
        <v/>
      </c>
      <c r="S864" s="26">
        <f>IFERROR(VLOOKUP(E864*1,Tabla[#All],8,0),0)</f>
        <v/>
      </c>
      <c r="T864" s="26">
        <f>S864*G864</f>
        <v/>
      </c>
      <c r="U864" s="26">
        <f>R864-T864</f>
        <v/>
      </c>
      <c r="V864" s="26">
        <f>U864-L864</f>
        <v/>
      </c>
    </row>
    <row r="865">
      <c r="A865" s="11" t="n">
        <v>46212</v>
      </c>
      <c r="B865" s="1" t="n">
        <v>20062</v>
      </c>
      <c r="C865" s="1" t="inlineStr">
        <is>
          <t>018</t>
        </is>
      </c>
      <c r="D865" s="1" t="inlineStr">
        <is>
          <t xml:space="preserve">1980  </t>
        </is>
      </c>
      <c r="E865" s="1" t="inlineStr">
        <is>
          <t xml:space="preserve">34840553       </t>
        </is>
      </c>
      <c r="F865" s="5" t="inlineStr">
        <is>
          <t>TMZ AUTO LUZ Y SONIDO ESQUELET DINO T-REX</t>
        </is>
      </c>
      <c r="G865" t="n">
        <v>-1</v>
      </c>
      <c r="H865" s="7" t="n">
        <v>-71.91</v>
      </c>
      <c r="I865" s="7" t="n">
        <v>0</v>
      </c>
      <c r="J865" s="7" t="n">
        <v>0</v>
      </c>
      <c r="K865" s="9" t="n">
        <v>0</v>
      </c>
      <c r="L865" s="10" t="n">
        <v>-42.66</v>
      </c>
      <c r="M865" s="10" t="n">
        <v>0</v>
      </c>
      <c r="N865" t="inlineStr">
        <is>
          <t>3</t>
        </is>
      </c>
      <c r="O865" t="inlineStr">
        <is>
          <t>26</t>
        </is>
      </c>
      <c r="P865" t="inlineStr">
        <is>
          <t xml:space="preserve">237521  </t>
        </is>
      </c>
      <c r="Q865" s="26" t="n">
        <v>47.4</v>
      </c>
      <c r="R865" s="26">
        <f>Q865*G865</f>
        <v/>
      </c>
      <c r="S865" s="26">
        <f>IFERROR(VLOOKUP(E865*1,Tabla[#All],8,0),0)</f>
        <v/>
      </c>
      <c r="T865" s="26">
        <f>S865*G865</f>
        <v/>
      </c>
      <c r="U865" s="26">
        <f>R865-T865</f>
        <v/>
      </c>
      <c r="V865" s="26">
        <f>U865-L865</f>
        <v/>
      </c>
    </row>
    <row r="866">
      <c r="A866" s="11" t="n">
        <v>46212</v>
      </c>
      <c r="B866" s="1" t="n">
        <v>20062</v>
      </c>
      <c r="C866" s="1" t="inlineStr">
        <is>
          <t>038</t>
        </is>
      </c>
      <c r="D866" s="1" t="inlineStr">
        <is>
          <t>173100</t>
        </is>
      </c>
      <c r="E866" s="1" t="inlineStr">
        <is>
          <t xml:space="preserve">35685067       </t>
        </is>
      </c>
      <c r="F866" s="5" t="inlineStr">
        <is>
          <t>HOT WHEELS POWER SET 3 EN 1</t>
        </is>
      </c>
      <c r="G866" t="n">
        <v>1</v>
      </c>
      <c r="H866" s="7" t="n">
        <v>49.9</v>
      </c>
      <c r="I866" s="7" t="n">
        <v>0</v>
      </c>
      <c r="J866" s="7" t="n">
        <v>0</v>
      </c>
      <c r="K866" s="9" t="n">
        <v>0</v>
      </c>
      <c r="L866" s="10" t="n">
        <v>29.6</v>
      </c>
      <c r="M866" s="10" t="n">
        <v>1.43</v>
      </c>
      <c r="N866" t="inlineStr">
        <is>
          <t>1</t>
        </is>
      </c>
      <c r="O866" t="inlineStr">
        <is>
          <t>16</t>
        </is>
      </c>
      <c r="P866" t="inlineStr">
        <is>
          <t xml:space="preserve">43396   </t>
        </is>
      </c>
      <c r="Q866" s="26" t="n">
        <v>29.6</v>
      </c>
      <c r="R866" s="26">
        <f>Q866*G866</f>
        <v/>
      </c>
      <c r="S866" s="26">
        <f>IFERROR(VLOOKUP(E866*1,Tabla[#All],8,0),0)</f>
        <v/>
      </c>
      <c r="T866" s="26">
        <f>S866*G866</f>
        <v/>
      </c>
      <c r="U866" s="26">
        <f>R866-T866</f>
        <v/>
      </c>
      <c r="V866" s="26">
        <f>U866-L866</f>
        <v/>
      </c>
    </row>
    <row r="867">
      <c r="A867" s="11" t="n">
        <v>46212</v>
      </c>
      <c r="B867" s="1" t="n">
        <v>20062</v>
      </c>
      <c r="C867" s="1" t="inlineStr">
        <is>
          <t>510</t>
        </is>
      </c>
      <c r="D867" s="1" t="inlineStr">
        <is>
          <t xml:space="preserve">5893  </t>
        </is>
      </c>
      <c r="E867" s="1" t="inlineStr">
        <is>
          <t xml:space="preserve">34840553       </t>
        </is>
      </c>
      <c r="F867" s="5" t="inlineStr">
        <is>
          <t>TMZ AUTO LUZ Y SONIDO ESQUELET DINO T-REX</t>
        </is>
      </c>
      <c r="G867" t="n">
        <v>1</v>
      </c>
      <c r="H867" s="7" t="n">
        <v>79.90000000000001</v>
      </c>
      <c r="I867" s="7" t="n">
        <v>7.99</v>
      </c>
      <c r="J867" s="7" t="n">
        <v>0</v>
      </c>
      <c r="K867" s="9" t="n">
        <v>7.99</v>
      </c>
      <c r="L867" s="10" t="n">
        <v>42.66</v>
      </c>
      <c r="M867" s="10" t="n">
        <v>1.43</v>
      </c>
      <c r="N867" t="inlineStr">
        <is>
          <t>1</t>
        </is>
      </c>
      <c r="O867" t="inlineStr">
        <is>
          <t>16</t>
        </is>
      </c>
      <c r="P867" t="inlineStr">
        <is>
          <t xml:space="preserve">251321  </t>
        </is>
      </c>
      <c r="Q867" s="26" t="n">
        <v>47.4</v>
      </c>
      <c r="R867" s="26">
        <f>Q867*G867</f>
        <v/>
      </c>
      <c r="S867" s="26">
        <f>IFERROR(VLOOKUP(E867*1,Tabla[#All],8,0),0)</f>
        <v/>
      </c>
      <c r="T867" s="26">
        <f>S867*G867</f>
        <v/>
      </c>
      <c r="U867" s="26">
        <f>R867-T867</f>
        <v/>
      </c>
      <c r="V867" s="26">
        <f>U867-L867</f>
        <v/>
      </c>
    </row>
    <row r="868">
      <c r="A868" s="11" t="n">
        <v>46212</v>
      </c>
      <c r="B868" s="1" t="n">
        <v>20066</v>
      </c>
      <c r="C868" s="1" t="inlineStr">
        <is>
          <t>059</t>
        </is>
      </c>
      <c r="D868" s="1" t="inlineStr">
        <is>
          <t xml:space="preserve">18032 </t>
        </is>
      </c>
      <c r="E868" s="1" t="inlineStr">
        <is>
          <t xml:space="preserve">28194769       </t>
        </is>
      </c>
      <c r="F868" s="5" t="inlineStr">
        <is>
          <t>AUTOS DE METAL 3 TEAMSTERZ PACK DE 2</t>
        </is>
      </c>
      <c r="G868" t="n">
        <v>1</v>
      </c>
      <c r="H868" s="7" t="n">
        <v>13.8</v>
      </c>
      <c r="I868" s="7" t="n">
        <v>0</v>
      </c>
      <c r="J868" s="7" t="n">
        <v>0</v>
      </c>
      <c r="K868" s="9" t="n">
        <v>0</v>
      </c>
      <c r="L868" s="10" t="n">
        <v>8.18</v>
      </c>
      <c r="M868" s="10" t="n">
        <v>1.43</v>
      </c>
      <c r="N868" t="inlineStr">
        <is>
          <t>1</t>
        </is>
      </c>
      <c r="O868" t="inlineStr">
        <is>
          <t xml:space="preserve">2 </t>
        </is>
      </c>
      <c r="P868" t="inlineStr">
        <is>
          <t xml:space="preserve">19353   </t>
        </is>
      </c>
      <c r="Q868" s="26" t="n">
        <v>8.19</v>
      </c>
      <c r="R868" s="26">
        <f>Q868*G868</f>
        <v/>
      </c>
      <c r="S868" s="26">
        <f>IFERROR(VLOOKUP(E868*1,Tabla[#All],8,0),0)</f>
        <v/>
      </c>
      <c r="T868" s="26">
        <f>S868*G868</f>
        <v/>
      </c>
      <c r="U868" s="26">
        <f>R868-T868</f>
        <v/>
      </c>
      <c r="V868" s="26">
        <f>U868-L868</f>
        <v/>
      </c>
    </row>
    <row r="869">
      <c r="A869" s="11" t="n">
        <v>46212</v>
      </c>
      <c r="B869" s="1" t="n">
        <v>20066</v>
      </c>
      <c r="C869" s="1" t="inlineStr">
        <is>
          <t>061</t>
        </is>
      </c>
      <c r="D869" s="1" t="inlineStr">
        <is>
          <t xml:space="preserve">34684 </t>
        </is>
      </c>
      <c r="E869" s="1" t="inlineStr">
        <is>
          <t xml:space="preserve">28194770       </t>
        </is>
      </c>
      <c r="F869" s="5" t="inlineStr">
        <is>
          <t>AUTOS DE METAL 3 TEAMSTERZ EN BLISTER</t>
        </is>
      </c>
      <c r="G869" t="n">
        <v>1</v>
      </c>
      <c r="H869" s="7" t="n">
        <v>6.9</v>
      </c>
      <c r="I869" s="7" t="n">
        <v>0</v>
      </c>
      <c r="J869" s="7" t="n">
        <v>0</v>
      </c>
      <c r="K869" s="9" t="n">
        <v>0</v>
      </c>
      <c r="L869" s="10" t="n">
        <v>4.1</v>
      </c>
      <c r="M869" s="10" t="n">
        <v>1.43</v>
      </c>
      <c r="N869" t="inlineStr">
        <is>
          <t>1</t>
        </is>
      </c>
      <c r="O869" t="inlineStr">
        <is>
          <t>16</t>
        </is>
      </c>
      <c r="P869" t="inlineStr">
        <is>
          <t xml:space="preserve">52700   </t>
        </is>
      </c>
      <c r="Q869" s="26" t="n">
        <v>4.09</v>
      </c>
      <c r="R869" s="26">
        <f>Q869*G869</f>
        <v/>
      </c>
      <c r="S869" s="26">
        <f>IFERROR(VLOOKUP(E869*1,Tabla[#All],8,0),0)</f>
        <v/>
      </c>
      <c r="T869" s="26">
        <f>S869*G869</f>
        <v/>
      </c>
      <c r="U869" s="26">
        <f>R869-T869</f>
        <v/>
      </c>
      <c r="V869" s="26">
        <f>U869-L869</f>
        <v/>
      </c>
    </row>
    <row r="870">
      <c r="A870" s="11" t="n">
        <v>46212</v>
      </c>
      <c r="B870" s="1" t="n">
        <v>20066</v>
      </c>
      <c r="C870" s="1" t="inlineStr">
        <is>
          <t>061</t>
        </is>
      </c>
      <c r="D870" s="1" t="inlineStr">
        <is>
          <t xml:space="preserve">34684 </t>
        </is>
      </c>
      <c r="E870" s="1" t="inlineStr">
        <is>
          <t xml:space="preserve">28194770       </t>
        </is>
      </c>
      <c r="F870" s="5" t="inlineStr">
        <is>
          <t>AUTOS DE METAL 3 TEAMSTERZ EN BLISTER</t>
        </is>
      </c>
      <c r="G870" t="n">
        <v>1</v>
      </c>
      <c r="H870" s="7" t="n">
        <v>6.9</v>
      </c>
      <c r="I870" s="7" t="n">
        <v>0</v>
      </c>
      <c r="J870" s="7" t="n">
        <v>0</v>
      </c>
      <c r="K870" s="9" t="n">
        <v>0</v>
      </c>
      <c r="L870" s="10" t="n">
        <v>4.1</v>
      </c>
      <c r="M870" s="10" t="n">
        <v>1.43</v>
      </c>
      <c r="N870" t="inlineStr">
        <is>
          <t>1</t>
        </is>
      </c>
      <c r="O870" t="inlineStr">
        <is>
          <t>16</t>
        </is>
      </c>
      <c r="P870" t="inlineStr">
        <is>
          <t xml:space="preserve">52700   </t>
        </is>
      </c>
      <c r="Q870" s="26" t="n">
        <v>4.09</v>
      </c>
      <c r="R870" s="26">
        <f>Q870*G870</f>
        <v/>
      </c>
      <c r="S870" s="26">
        <f>IFERROR(VLOOKUP(E870*1,Tabla[#All],8,0),0)</f>
        <v/>
      </c>
      <c r="T870" s="26">
        <f>S870*G870</f>
        <v/>
      </c>
      <c r="U870" s="26">
        <f>R870-T870</f>
        <v/>
      </c>
      <c r="V870" s="26">
        <f>U870-L870</f>
        <v/>
      </c>
    </row>
    <row r="871">
      <c r="A871" s="11" t="n">
        <v>46212</v>
      </c>
      <c r="B871" s="1" t="n">
        <v>20069</v>
      </c>
      <c r="C871" s="1" t="inlineStr">
        <is>
          <t>026</t>
        </is>
      </c>
      <c r="D871" s="1" t="inlineStr">
        <is>
          <t>358932</t>
        </is>
      </c>
      <c r="E871" s="1" t="inlineStr">
        <is>
          <t xml:space="preserve">28194769       </t>
        </is>
      </c>
      <c r="F871" s="5" t="inlineStr">
        <is>
          <t>AUTOS DE METAL 3 TEAMSTERZ PACK DE 2</t>
        </is>
      </c>
      <c r="G871" t="n">
        <v>1</v>
      </c>
      <c r="H871" s="7" t="n">
        <v>13.8</v>
      </c>
      <c r="I871" s="7" t="n">
        <v>0</v>
      </c>
      <c r="J871" s="7" t="n">
        <v>0</v>
      </c>
      <c r="K871" s="9" t="n">
        <v>0</v>
      </c>
      <c r="L871" s="10" t="n">
        <v>8.18</v>
      </c>
      <c r="M871" s="10" t="n">
        <v>1.43</v>
      </c>
      <c r="N871" t="inlineStr">
        <is>
          <t>1</t>
        </is>
      </c>
      <c r="O871" t="inlineStr">
        <is>
          <t>16</t>
        </is>
      </c>
      <c r="P871" t="inlineStr">
        <is>
          <t xml:space="preserve">247845  </t>
        </is>
      </c>
      <c r="Q871" s="26" t="n">
        <v>8.19</v>
      </c>
      <c r="R871" s="26">
        <f>Q871*G871</f>
        <v/>
      </c>
      <c r="S871" s="26">
        <f>IFERROR(VLOOKUP(E871*1,Tabla[#All],8,0),0)</f>
        <v/>
      </c>
      <c r="T871" s="26">
        <f>S871*G871</f>
        <v/>
      </c>
      <c r="U871" s="26">
        <f>R871-T871</f>
        <v/>
      </c>
      <c r="V871" s="26">
        <f>U871-L871</f>
        <v/>
      </c>
    </row>
    <row r="872">
      <c r="A872" s="11" t="n">
        <v>46212</v>
      </c>
      <c r="B872" s="1" t="n">
        <v>20073</v>
      </c>
      <c r="C872" s="1" t="inlineStr">
        <is>
          <t>034</t>
        </is>
      </c>
      <c r="D872" s="1" t="inlineStr">
        <is>
          <t>344188</t>
        </is>
      </c>
      <c r="E872" s="1" t="inlineStr">
        <is>
          <t xml:space="preserve">32457111       </t>
        </is>
      </c>
      <c r="F872" s="5" t="inlineStr">
        <is>
          <t>TMZ BEAST MACHINES MONSTER JAWS A FRICCION PACK DE</t>
        </is>
      </c>
      <c r="G872" t="n">
        <v>1</v>
      </c>
      <c r="H872" s="7" t="n">
        <v>74.90000000000001</v>
      </c>
      <c r="I872" s="7" t="n">
        <v>0</v>
      </c>
      <c r="J872" s="7" t="n">
        <v>0</v>
      </c>
      <c r="K872" s="9" t="n">
        <v>0</v>
      </c>
      <c r="L872" s="10" t="n">
        <v>44.43</v>
      </c>
      <c r="M872" s="10" t="n">
        <v>1.43</v>
      </c>
      <c r="N872" t="inlineStr">
        <is>
          <t>1</t>
        </is>
      </c>
      <c r="O872" t="inlineStr">
        <is>
          <t>16</t>
        </is>
      </c>
      <c r="P872" t="inlineStr">
        <is>
          <t xml:space="preserve">102492  </t>
        </is>
      </c>
      <c r="Q872" s="26" t="n">
        <v>44.43</v>
      </c>
      <c r="R872" s="26">
        <f>Q872*G872</f>
        <v/>
      </c>
      <c r="S872" s="26">
        <f>IFERROR(VLOOKUP(E872*1,Tabla[#All],8,0),0)</f>
        <v/>
      </c>
      <c r="T872" s="26">
        <f>S872*G872</f>
        <v/>
      </c>
      <c r="U872" s="26">
        <f>R872-T872</f>
        <v/>
      </c>
      <c r="V872" s="26">
        <f>U872-L872</f>
        <v/>
      </c>
    </row>
    <row r="873">
      <c r="A873" s="11" t="n">
        <v>46212</v>
      </c>
      <c r="B873" s="1" t="n">
        <v>20073</v>
      </c>
      <c r="C873" s="1" t="inlineStr">
        <is>
          <t>046</t>
        </is>
      </c>
      <c r="D873" s="1" t="inlineStr">
        <is>
          <t>207488</t>
        </is>
      </c>
      <c r="E873" s="1" t="inlineStr">
        <is>
          <t xml:space="preserve">30141766       </t>
        </is>
      </c>
      <c r="F873" s="5" t="inlineStr">
        <is>
          <t>TMZ BEAST MACHINES AUTOS DE METAL BLISTER X 1</t>
        </is>
      </c>
      <c r="G873" t="n">
        <v>1</v>
      </c>
      <c r="H873" s="7" t="n">
        <v>7.9</v>
      </c>
      <c r="I873" s="7" t="n">
        <v>0</v>
      </c>
      <c r="J873" s="7" t="n">
        <v>0</v>
      </c>
      <c r="K873" s="9" t="n">
        <v>0</v>
      </c>
      <c r="L873" s="10" t="n">
        <v>4.68</v>
      </c>
      <c r="M873" s="10" t="n">
        <v>1.43</v>
      </c>
      <c r="N873" t="inlineStr">
        <is>
          <t>1</t>
        </is>
      </c>
      <c r="O873" t="inlineStr">
        <is>
          <t xml:space="preserve">2 </t>
        </is>
      </c>
      <c r="P873" t="inlineStr">
        <is>
          <t xml:space="preserve">57881   </t>
        </is>
      </c>
      <c r="Q873" s="26" t="n">
        <v>4.69</v>
      </c>
      <c r="R873" s="26">
        <f>Q873*G873</f>
        <v/>
      </c>
      <c r="S873" s="26">
        <f>IFERROR(VLOOKUP(E873*1,Tabla[#All],8,0),0)</f>
        <v/>
      </c>
      <c r="T873" s="26">
        <f>S873*G873</f>
        <v/>
      </c>
      <c r="U873" s="26">
        <f>R873-T873</f>
        <v/>
      </c>
      <c r="V873" s="26">
        <f>U873-L873</f>
        <v/>
      </c>
    </row>
    <row r="874">
      <c r="A874" s="11" t="n">
        <v>46212</v>
      </c>
      <c r="B874" s="1" t="n">
        <v>20073</v>
      </c>
      <c r="C874" s="1" t="inlineStr">
        <is>
          <t>046</t>
        </is>
      </c>
      <c r="D874" s="1" t="inlineStr">
        <is>
          <t>207488</t>
        </is>
      </c>
      <c r="E874" s="1" t="inlineStr">
        <is>
          <t xml:space="preserve">32457099       </t>
        </is>
      </c>
      <c r="F874" s="5" t="inlineStr">
        <is>
          <t>TMZ BEAST MACHINES MONSTER JAWS A FRICCION BLISTER</t>
        </is>
      </c>
      <c r="G874" t="n">
        <v>1</v>
      </c>
      <c r="H874" s="7" t="n">
        <v>19.9</v>
      </c>
      <c r="I874" s="7" t="n">
        <v>0</v>
      </c>
      <c r="J874" s="7" t="n">
        <v>0</v>
      </c>
      <c r="K874" s="9" t="n">
        <v>0</v>
      </c>
      <c r="L874" s="10" t="n">
        <v>11.8</v>
      </c>
      <c r="M874" s="10" t="n">
        <v>1.43</v>
      </c>
      <c r="N874" t="inlineStr">
        <is>
          <t>1</t>
        </is>
      </c>
      <c r="O874" t="inlineStr">
        <is>
          <t xml:space="preserve">2 </t>
        </is>
      </c>
      <c r="P874" t="inlineStr">
        <is>
          <t xml:space="preserve">57881   </t>
        </is>
      </c>
      <c r="Q874" s="26" t="n">
        <v>11.81</v>
      </c>
      <c r="R874" s="26">
        <f>Q874*G874</f>
        <v/>
      </c>
      <c r="S874" s="26">
        <f>IFERROR(VLOOKUP(E874*1,Tabla[#All],8,0),0)</f>
        <v/>
      </c>
      <c r="T874" s="26">
        <f>S874*G874</f>
        <v/>
      </c>
      <c r="U874" s="26">
        <f>R874-T874</f>
        <v/>
      </c>
      <c r="V874" s="26">
        <f>U874-L874</f>
        <v/>
      </c>
    </row>
    <row r="875">
      <c r="A875" s="11" t="n">
        <v>46212</v>
      </c>
      <c r="B875" s="1" t="n">
        <v>20074</v>
      </c>
      <c r="C875" s="1" t="inlineStr">
        <is>
          <t>024</t>
        </is>
      </c>
      <c r="D875" s="1" t="inlineStr">
        <is>
          <t>364106</t>
        </is>
      </c>
      <c r="E875" s="1" t="inlineStr">
        <is>
          <t xml:space="preserve">28194770       </t>
        </is>
      </c>
      <c r="F875" s="5" t="inlineStr">
        <is>
          <t>AUTOS DE METAL 3 TEAMSTERZ EN BLISTER</t>
        </is>
      </c>
      <c r="G875" t="n">
        <v>1</v>
      </c>
      <c r="H875" s="7" t="n">
        <v>6.9</v>
      </c>
      <c r="I875" s="7" t="n">
        <v>0</v>
      </c>
      <c r="J875" s="7" t="n">
        <v>0</v>
      </c>
      <c r="K875" s="9" t="n">
        <v>0</v>
      </c>
      <c r="L875" s="10" t="n">
        <v>4.1</v>
      </c>
      <c r="M875" s="10" t="n">
        <v>1.43</v>
      </c>
      <c r="N875" t="inlineStr">
        <is>
          <t>1</t>
        </is>
      </c>
      <c r="O875" t="inlineStr">
        <is>
          <t>16</t>
        </is>
      </c>
      <c r="P875" t="inlineStr">
        <is>
          <t xml:space="preserve">102135  </t>
        </is>
      </c>
      <c r="Q875" s="26" t="n">
        <v>4.09</v>
      </c>
      <c r="R875" s="26">
        <f>Q875*G875</f>
        <v/>
      </c>
      <c r="S875" s="26">
        <f>IFERROR(VLOOKUP(E875*1,Tabla[#All],8,0),0)</f>
        <v/>
      </c>
      <c r="T875" s="26">
        <f>S875*G875</f>
        <v/>
      </c>
      <c r="U875" s="26">
        <f>R875-T875</f>
        <v/>
      </c>
      <c r="V875" s="26">
        <f>U875-L875</f>
        <v/>
      </c>
    </row>
    <row r="876">
      <c r="A876" s="11" t="n">
        <v>46212</v>
      </c>
      <c r="B876" s="1" t="n">
        <v>20074</v>
      </c>
      <c r="C876" s="1" t="inlineStr">
        <is>
          <t>024</t>
        </is>
      </c>
      <c r="D876" s="1" t="inlineStr">
        <is>
          <t>364106</t>
        </is>
      </c>
      <c r="E876" s="1" t="inlineStr">
        <is>
          <t xml:space="preserve">28194770       </t>
        </is>
      </c>
      <c r="F876" s="5" t="inlineStr">
        <is>
          <t>AUTOS DE METAL 3 TEAMSTERZ EN BLISTER</t>
        </is>
      </c>
      <c r="G876" t="n">
        <v>1</v>
      </c>
      <c r="H876" s="7" t="n">
        <v>6.9</v>
      </c>
      <c r="I876" s="7" t="n">
        <v>0</v>
      </c>
      <c r="J876" s="7" t="n">
        <v>0</v>
      </c>
      <c r="K876" s="9" t="n">
        <v>0</v>
      </c>
      <c r="L876" s="10" t="n">
        <v>4.1</v>
      </c>
      <c r="M876" s="10" t="n">
        <v>1.43</v>
      </c>
      <c r="N876" t="inlineStr">
        <is>
          <t>1</t>
        </is>
      </c>
      <c r="O876" t="inlineStr">
        <is>
          <t>16</t>
        </is>
      </c>
      <c r="P876" t="inlineStr">
        <is>
          <t xml:space="preserve">102135  </t>
        </is>
      </c>
      <c r="Q876" s="26" t="n">
        <v>4.09</v>
      </c>
      <c r="R876" s="26">
        <f>Q876*G876</f>
        <v/>
      </c>
      <c r="S876" s="26">
        <f>IFERROR(VLOOKUP(E876*1,Tabla[#All],8,0),0)</f>
        <v/>
      </c>
      <c r="T876" s="26">
        <f>S876*G876</f>
        <v/>
      </c>
      <c r="U876" s="26">
        <f>R876-T876</f>
        <v/>
      </c>
      <c r="V876" s="26">
        <f>U876-L876</f>
        <v/>
      </c>
    </row>
    <row r="877">
      <c r="A877" s="11" t="n">
        <v>46212</v>
      </c>
      <c r="B877" s="1" t="n">
        <v>20077</v>
      </c>
      <c r="C877" s="1" t="inlineStr">
        <is>
          <t>029</t>
        </is>
      </c>
      <c r="D877" s="1" t="inlineStr">
        <is>
          <t>155840</t>
        </is>
      </c>
      <c r="E877" s="1" t="inlineStr">
        <is>
          <t xml:space="preserve">31959957       </t>
        </is>
      </c>
      <c r="F877" s="5" t="inlineStr">
        <is>
          <t>TEAMSTERZ PLAYSET RESCATE EN EL MAR</t>
        </is>
      </c>
      <c r="G877" t="n">
        <v>1</v>
      </c>
      <c r="H877" s="7" t="n">
        <v>19.9</v>
      </c>
      <c r="I877" s="7" t="n">
        <v>0</v>
      </c>
      <c r="J877" s="7" t="n">
        <v>0</v>
      </c>
      <c r="K877" s="9" t="n">
        <v>0</v>
      </c>
      <c r="L877" s="10" t="n">
        <v>11.8</v>
      </c>
      <c r="M877" s="10" t="n">
        <v>1.43</v>
      </c>
      <c r="N877" t="inlineStr">
        <is>
          <t>1</t>
        </is>
      </c>
      <c r="O877" t="inlineStr">
        <is>
          <t xml:space="preserve">2 </t>
        </is>
      </c>
      <c r="P877" t="inlineStr">
        <is>
          <t xml:space="preserve">238517  </t>
        </is>
      </c>
      <c r="Q877" s="26" t="n">
        <v>11.81</v>
      </c>
      <c r="R877" s="26">
        <f>Q877*G877</f>
        <v/>
      </c>
      <c r="S877" s="26">
        <f>IFERROR(VLOOKUP(E877*1,Tabla[#All],8,0),0)</f>
        <v/>
      </c>
      <c r="T877" s="26">
        <f>S877*G877</f>
        <v/>
      </c>
      <c r="U877" s="26">
        <f>R877-T877</f>
        <v/>
      </c>
      <c r="V877" s="26">
        <f>U877-L877</f>
        <v/>
      </c>
    </row>
    <row r="878">
      <c r="A878" s="11" t="n">
        <v>46212</v>
      </c>
      <c r="B878" s="1" t="n">
        <v>20080</v>
      </c>
      <c r="C878" s="1" t="inlineStr">
        <is>
          <t>029</t>
        </is>
      </c>
      <c r="D878" s="1" t="inlineStr">
        <is>
          <t>225126</t>
        </is>
      </c>
      <c r="E878" s="1" t="inlineStr">
        <is>
          <t xml:space="preserve">32457103       </t>
        </is>
      </c>
      <c r="F878" s="5" t="inlineStr">
        <is>
          <t>TMZ BEAST MACHINES MONSTER JAWS A FRICCION PACK DE</t>
        </is>
      </c>
      <c r="G878" t="n">
        <v>1</v>
      </c>
      <c r="H878" s="7" t="n">
        <v>37.9</v>
      </c>
      <c r="I878" s="7" t="n">
        <v>0</v>
      </c>
      <c r="J878" s="7" t="n">
        <v>0</v>
      </c>
      <c r="K878" s="9" t="n">
        <v>0</v>
      </c>
      <c r="L878" s="10" t="n">
        <v>22.48</v>
      </c>
      <c r="M878" s="10" t="n">
        <v>1.43</v>
      </c>
      <c r="N878" t="inlineStr">
        <is>
          <t>1</t>
        </is>
      </c>
      <c r="O878" t="inlineStr">
        <is>
          <t xml:space="preserve">2 </t>
        </is>
      </c>
      <c r="P878" t="inlineStr">
        <is>
          <t xml:space="preserve">89863   </t>
        </is>
      </c>
      <c r="Q878" s="26" t="n">
        <v>22.48</v>
      </c>
      <c r="R878" s="26">
        <f>Q878*G878</f>
        <v/>
      </c>
      <c r="S878" s="26">
        <f>IFERROR(VLOOKUP(E878*1,Tabla[#All],8,0),0)</f>
        <v/>
      </c>
      <c r="T878" s="26">
        <f>S878*G878</f>
        <v/>
      </c>
      <c r="U878" s="26">
        <f>R878-T878</f>
        <v/>
      </c>
      <c r="V878" s="26">
        <f>U878-L878</f>
        <v/>
      </c>
    </row>
    <row r="879">
      <c r="A879" s="11" t="n">
        <v>46212</v>
      </c>
      <c r="B879" s="1" t="n">
        <v>20086</v>
      </c>
      <c r="C879" s="1" t="inlineStr">
        <is>
          <t>022</t>
        </is>
      </c>
      <c r="D879" s="1" t="inlineStr">
        <is>
          <t>112777</t>
        </is>
      </c>
      <c r="E879" s="1" t="inlineStr">
        <is>
          <t xml:space="preserve">28194770       </t>
        </is>
      </c>
      <c r="F879" s="5" t="inlineStr">
        <is>
          <t>AUTOS DE METAL 3 TEAMSTERZ EN BLISTER</t>
        </is>
      </c>
      <c r="G879" t="n">
        <v>1</v>
      </c>
      <c r="H879" s="7" t="n">
        <v>6.9</v>
      </c>
      <c r="I879" s="7" t="n">
        <v>0</v>
      </c>
      <c r="J879" s="7" t="n">
        <v>0</v>
      </c>
      <c r="K879" s="9" t="n">
        <v>0</v>
      </c>
      <c r="L879" s="10" t="n">
        <v>4.1</v>
      </c>
      <c r="M879" s="10" t="n">
        <v>1.43</v>
      </c>
      <c r="N879" t="inlineStr">
        <is>
          <t>1</t>
        </is>
      </c>
      <c r="O879" t="inlineStr">
        <is>
          <t>16</t>
        </is>
      </c>
      <c r="P879" t="inlineStr">
        <is>
          <t xml:space="preserve">231840  </t>
        </is>
      </c>
      <c r="Q879" s="26" t="n">
        <v>4.09</v>
      </c>
      <c r="R879" s="26">
        <f>Q879*G879</f>
        <v/>
      </c>
      <c r="S879" s="26">
        <f>IFERROR(VLOOKUP(E879*1,Tabla[#All],8,0),0)</f>
        <v/>
      </c>
      <c r="T879" s="26">
        <f>S879*G879</f>
        <v/>
      </c>
      <c r="U879" s="26">
        <f>R879-T879</f>
        <v/>
      </c>
      <c r="V879" s="26">
        <f>U879-L879</f>
        <v/>
      </c>
    </row>
    <row r="880">
      <c r="A880" s="11" t="n">
        <v>46212</v>
      </c>
      <c r="B880" s="1" t="n">
        <v>20086</v>
      </c>
      <c r="C880" s="1" t="inlineStr">
        <is>
          <t>022</t>
        </is>
      </c>
      <c r="D880" s="1" t="inlineStr">
        <is>
          <t>112777</t>
        </is>
      </c>
      <c r="E880" s="1" t="inlineStr">
        <is>
          <t xml:space="preserve">28194770       </t>
        </is>
      </c>
      <c r="F880" s="5" t="inlineStr">
        <is>
          <t>AUTOS DE METAL 3 TEAMSTERZ EN BLISTER</t>
        </is>
      </c>
      <c r="G880" t="n">
        <v>1</v>
      </c>
      <c r="H880" s="7" t="n">
        <v>6.9</v>
      </c>
      <c r="I880" s="7" t="n">
        <v>0</v>
      </c>
      <c r="J880" s="7" t="n">
        <v>0</v>
      </c>
      <c r="K880" s="9" t="n">
        <v>0</v>
      </c>
      <c r="L880" s="10" t="n">
        <v>4.1</v>
      </c>
      <c r="M880" s="10" t="n">
        <v>1.43</v>
      </c>
      <c r="N880" t="inlineStr">
        <is>
          <t>1</t>
        </is>
      </c>
      <c r="O880" t="inlineStr">
        <is>
          <t>16</t>
        </is>
      </c>
      <c r="P880" t="inlineStr">
        <is>
          <t xml:space="preserve">231840  </t>
        </is>
      </c>
      <c r="Q880" s="26" t="n">
        <v>4.09</v>
      </c>
      <c r="R880" s="26">
        <f>Q880*G880</f>
        <v/>
      </c>
      <c r="S880" s="26">
        <f>IFERROR(VLOOKUP(E880*1,Tabla[#All],8,0),0)</f>
        <v/>
      </c>
      <c r="T880" s="26">
        <f>S880*G880</f>
        <v/>
      </c>
      <c r="U880" s="26">
        <f>R880-T880</f>
        <v/>
      </c>
      <c r="V880" s="26">
        <f>U880-L880</f>
        <v/>
      </c>
    </row>
    <row r="881">
      <c r="A881" s="11" t="n">
        <v>46212</v>
      </c>
      <c r="B881" s="1" t="n">
        <v>20086</v>
      </c>
      <c r="C881" s="1" t="inlineStr">
        <is>
          <t>022</t>
        </is>
      </c>
      <c r="D881" s="1" t="inlineStr">
        <is>
          <t>112777</t>
        </is>
      </c>
      <c r="E881" s="1" t="inlineStr">
        <is>
          <t xml:space="preserve">28194770       </t>
        </is>
      </c>
      <c r="F881" s="5" t="inlineStr">
        <is>
          <t>AUTOS DE METAL 3 TEAMSTERZ EN BLISTER</t>
        </is>
      </c>
      <c r="G881" t="n">
        <v>1</v>
      </c>
      <c r="H881" s="7" t="n">
        <v>6.9</v>
      </c>
      <c r="I881" s="7" t="n">
        <v>0</v>
      </c>
      <c r="J881" s="7" t="n">
        <v>0</v>
      </c>
      <c r="K881" s="9" t="n">
        <v>0</v>
      </c>
      <c r="L881" s="10" t="n">
        <v>4.1</v>
      </c>
      <c r="M881" s="10" t="n">
        <v>1.43</v>
      </c>
      <c r="N881" t="inlineStr">
        <is>
          <t>1</t>
        </is>
      </c>
      <c r="O881" t="inlineStr">
        <is>
          <t>16</t>
        </is>
      </c>
      <c r="P881" t="inlineStr">
        <is>
          <t xml:space="preserve">231840  </t>
        </is>
      </c>
      <c r="Q881" s="26" t="n">
        <v>4.09</v>
      </c>
      <c r="R881" s="26">
        <f>Q881*G881</f>
        <v/>
      </c>
      <c r="S881" s="26">
        <f>IFERROR(VLOOKUP(E881*1,Tabla[#All],8,0),0)</f>
        <v/>
      </c>
      <c r="T881" s="26">
        <f>S881*G881</f>
        <v/>
      </c>
      <c r="U881" s="26">
        <f>R881-T881</f>
        <v/>
      </c>
      <c r="V881" s="26">
        <f>U881-L881</f>
        <v/>
      </c>
    </row>
    <row r="882">
      <c r="A882" s="11" t="n">
        <v>46212</v>
      </c>
      <c r="B882" s="1" t="n">
        <v>20086</v>
      </c>
      <c r="C882" s="1" t="inlineStr">
        <is>
          <t>192</t>
        </is>
      </c>
      <c r="D882" s="1" t="inlineStr">
        <is>
          <t>128998</t>
        </is>
      </c>
      <c r="E882" s="1" t="inlineStr">
        <is>
          <t xml:space="preserve">28194769       </t>
        </is>
      </c>
      <c r="F882" s="5" t="inlineStr">
        <is>
          <t>AUTOS DE METAL 3 TEAMSTERZ PACK DE 2</t>
        </is>
      </c>
      <c r="G882" t="n">
        <v>1</v>
      </c>
      <c r="H882" s="7" t="n">
        <v>13.8</v>
      </c>
      <c r="I882" s="7" t="n">
        <v>0</v>
      </c>
      <c r="J882" s="7" t="n">
        <v>0</v>
      </c>
      <c r="K882" s="9" t="n">
        <v>0</v>
      </c>
      <c r="L882" s="10" t="n">
        <v>8.18</v>
      </c>
      <c r="M882" s="10" t="n">
        <v>1.43</v>
      </c>
      <c r="N882" t="inlineStr">
        <is>
          <t>1</t>
        </is>
      </c>
      <c r="O882" t="inlineStr">
        <is>
          <t>16</t>
        </is>
      </c>
      <c r="P882" t="inlineStr">
        <is>
          <t xml:space="preserve">248983  </t>
        </is>
      </c>
      <c r="Q882" s="26" t="n">
        <v>8.19</v>
      </c>
      <c r="R882" s="26">
        <f>Q882*G882</f>
        <v/>
      </c>
      <c r="S882" s="26">
        <f>IFERROR(VLOOKUP(E882*1,Tabla[#All],8,0),0)</f>
        <v/>
      </c>
      <c r="T882" s="26">
        <f>S882*G882</f>
        <v/>
      </c>
      <c r="U882" s="26">
        <f>R882-T882</f>
        <v/>
      </c>
      <c r="V882" s="26">
        <f>U882-L882</f>
        <v/>
      </c>
    </row>
    <row r="883">
      <c r="A883" s="11" t="n">
        <v>46212</v>
      </c>
      <c r="B883" s="1" t="n">
        <v>20088</v>
      </c>
      <c r="C883" s="1" t="inlineStr">
        <is>
          <t>023</t>
        </is>
      </c>
      <c r="D883" s="1" t="inlineStr">
        <is>
          <t>126708</t>
        </is>
      </c>
      <c r="E883" s="1" t="inlineStr">
        <is>
          <t xml:space="preserve">28194770       </t>
        </is>
      </c>
      <c r="F883" s="5" t="inlineStr">
        <is>
          <t>AUTOS DE METAL 3 TEAMSTERZ EN BLISTER</t>
        </is>
      </c>
      <c r="G883" t="n">
        <v>1</v>
      </c>
      <c r="H883" s="7" t="n">
        <v>6.9</v>
      </c>
      <c r="I883" s="7" t="n">
        <v>0</v>
      </c>
      <c r="J883" s="7" t="n">
        <v>0</v>
      </c>
      <c r="K883" s="9" t="n">
        <v>0</v>
      </c>
      <c r="L883" s="10" t="n">
        <v>4.1</v>
      </c>
      <c r="M883" s="10" t="n">
        <v>1.43</v>
      </c>
      <c r="N883" t="inlineStr">
        <is>
          <t>1</t>
        </is>
      </c>
      <c r="O883" t="inlineStr">
        <is>
          <t xml:space="preserve">2 </t>
        </is>
      </c>
      <c r="P883" t="inlineStr">
        <is>
          <t xml:space="preserve">235264  </t>
        </is>
      </c>
      <c r="Q883" s="26" t="n">
        <v>4.09</v>
      </c>
      <c r="R883" s="26">
        <f>Q883*G883</f>
        <v/>
      </c>
      <c r="S883" s="26">
        <f>IFERROR(VLOOKUP(E883*1,Tabla[#All],8,0),0)</f>
        <v/>
      </c>
      <c r="T883" s="26">
        <f>S883*G883</f>
        <v/>
      </c>
      <c r="U883" s="26">
        <f>R883-T883</f>
        <v/>
      </c>
      <c r="V883" s="26">
        <f>U883-L883</f>
        <v/>
      </c>
    </row>
    <row r="884">
      <c r="A884" s="11" t="n">
        <v>46212</v>
      </c>
      <c r="B884" s="1" t="n">
        <v>20088</v>
      </c>
      <c r="C884" s="1" t="inlineStr">
        <is>
          <t>023</t>
        </is>
      </c>
      <c r="D884" s="1" t="inlineStr">
        <is>
          <t>126708</t>
        </is>
      </c>
      <c r="E884" s="1" t="inlineStr">
        <is>
          <t xml:space="preserve">30141766       </t>
        </is>
      </c>
      <c r="F884" s="5" t="inlineStr">
        <is>
          <t>TMZ BEAST MACHINES AUTOS DE METAL BLISTER X 1</t>
        </is>
      </c>
      <c r="G884" t="n">
        <v>1</v>
      </c>
      <c r="H884" s="7" t="n">
        <v>7.9</v>
      </c>
      <c r="I884" s="7" t="n">
        <v>0</v>
      </c>
      <c r="J884" s="7" t="n">
        <v>0</v>
      </c>
      <c r="K884" s="9" t="n">
        <v>0</v>
      </c>
      <c r="L884" s="10" t="n">
        <v>4.68</v>
      </c>
      <c r="M884" s="10" t="n">
        <v>1.43</v>
      </c>
      <c r="N884" t="inlineStr">
        <is>
          <t>1</t>
        </is>
      </c>
      <c r="O884" t="inlineStr">
        <is>
          <t xml:space="preserve">2 </t>
        </is>
      </c>
      <c r="P884" t="inlineStr">
        <is>
          <t xml:space="preserve">235264  </t>
        </is>
      </c>
      <c r="Q884" s="26" t="n">
        <v>4.69</v>
      </c>
      <c r="R884" s="26">
        <f>Q884*G884</f>
        <v/>
      </c>
      <c r="S884" s="26">
        <f>IFERROR(VLOOKUP(E884*1,Tabla[#All],8,0),0)</f>
        <v/>
      </c>
      <c r="T884" s="26">
        <f>S884*G884</f>
        <v/>
      </c>
      <c r="U884" s="26">
        <f>R884-T884</f>
        <v/>
      </c>
      <c r="V884" s="26">
        <f>U884-L884</f>
        <v/>
      </c>
    </row>
    <row r="885">
      <c r="A885" s="11" t="n">
        <v>46212</v>
      </c>
      <c r="B885" s="1" t="n">
        <v>20089</v>
      </c>
      <c r="C885" s="1" t="inlineStr">
        <is>
          <t>010</t>
        </is>
      </c>
      <c r="D885" s="1" t="inlineStr">
        <is>
          <t xml:space="preserve">73909 </t>
        </is>
      </c>
      <c r="E885" s="1" t="inlineStr">
        <is>
          <t xml:space="preserve">28194780       </t>
        </is>
      </c>
      <c r="F885" s="5" t="inlineStr">
        <is>
          <t>TROMPO BATALLA INFINITY NADO PLSTICO SURTIDO</t>
        </is>
      </c>
      <c r="G885" t="n">
        <v>1</v>
      </c>
      <c r="H885" s="7" t="n">
        <v>19.9</v>
      </c>
      <c r="I885" s="7" t="n">
        <v>0</v>
      </c>
      <c r="J885" s="7" t="n">
        <v>0</v>
      </c>
      <c r="K885" s="9" t="n">
        <v>0</v>
      </c>
      <c r="L885" s="10" t="n">
        <v>11.8</v>
      </c>
      <c r="M885" s="10" t="n">
        <v>1.43</v>
      </c>
      <c r="N885" t="inlineStr">
        <is>
          <t>1</t>
        </is>
      </c>
      <c r="O885" t="inlineStr">
        <is>
          <t>16</t>
        </is>
      </c>
      <c r="P885" t="inlineStr">
        <is>
          <t xml:space="preserve">249671  </t>
        </is>
      </c>
      <c r="Q885" s="26" t="n">
        <v>11.81</v>
      </c>
      <c r="R885" s="26">
        <f>Q885*G885</f>
        <v/>
      </c>
      <c r="S885" s="26">
        <f>IFERROR(VLOOKUP(E885*1,Tabla[#All],8,0),0)</f>
        <v/>
      </c>
      <c r="T885" s="26">
        <f>S885*G885</f>
        <v/>
      </c>
      <c r="U885" s="26">
        <f>R885-T885</f>
        <v/>
      </c>
      <c r="V885" s="26">
        <f>U885-L885</f>
        <v/>
      </c>
    </row>
    <row r="886">
      <c r="A886" s="11" t="n">
        <v>46212</v>
      </c>
      <c r="B886" s="1" t="n">
        <v>20089</v>
      </c>
      <c r="C886" s="1" t="inlineStr">
        <is>
          <t>025</t>
        </is>
      </c>
      <c r="D886" s="1" t="inlineStr">
        <is>
          <t>121444</t>
        </is>
      </c>
      <c r="E886" s="1" t="inlineStr">
        <is>
          <t xml:space="preserve">28194769       </t>
        </is>
      </c>
      <c r="F886" s="5" t="inlineStr">
        <is>
          <t>AUTOS DE METAL 3 TEAMSTERZ PACK DE 2</t>
        </is>
      </c>
      <c r="G886" t="n">
        <v>1</v>
      </c>
      <c r="H886" s="7" t="n">
        <v>13.8</v>
      </c>
      <c r="I886" s="7" t="n">
        <v>0</v>
      </c>
      <c r="J886" s="7" t="n">
        <v>0</v>
      </c>
      <c r="K886" s="9" t="n">
        <v>0</v>
      </c>
      <c r="L886" s="10" t="n">
        <v>8.18</v>
      </c>
      <c r="M886" s="10" t="n">
        <v>1.43</v>
      </c>
      <c r="N886" t="inlineStr">
        <is>
          <t>1</t>
        </is>
      </c>
      <c r="O886" t="inlineStr">
        <is>
          <t>16</t>
        </is>
      </c>
      <c r="P886" t="inlineStr">
        <is>
          <t xml:space="preserve">109709  </t>
        </is>
      </c>
      <c r="Q886" s="26" t="n">
        <v>8.19</v>
      </c>
      <c r="R886" s="26">
        <f>Q886*G886</f>
        <v/>
      </c>
      <c r="S886" s="26">
        <f>IFERROR(VLOOKUP(E886*1,Tabla[#All],8,0),0)</f>
        <v/>
      </c>
      <c r="T886" s="26">
        <f>S886*G886</f>
        <v/>
      </c>
      <c r="U886" s="26">
        <f>R886-T886</f>
        <v/>
      </c>
      <c r="V886" s="26">
        <f>U886-L886</f>
        <v/>
      </c>
    </row>
    <row r="887">
      <c r="A887" s="11" t="n">
        <v>46212</v>
      </c>
      <c r="B887" s="1" t="n">
        <v>20095</v>
      </c>
      <c r="C887" s="1" t="inlineStr">
        <is>
          <t>043</t>
        </is>
      </c>
      <c r="D887" s="1" t="inlineStr">
        <is>
          <t>107599</t>
        </is>
      </c>
      <c r="E887" s="1" t="inlineStr">
        <is>
          <t xml:space="preserve">28194783       </t>
        </is>
      </c>
      <c r="F887" s="5" t="inlineStr">
        <is>
          <t>SET DE BATALLA INFINITY NADO CON 2 TROMPOS</t>
        </is>
      </c>
      <c r="G887" t="n">
        <v>1</v>
      </c>
      <c r="H887" s="7" t="n">
        <v>159</v>
      </c>
      <c r="I887" s="7" t="n">
        <v>0</v>
      </c>
      <c r="J887" s="7" t="n">
        <v>0</v>
      </c>
      <c r="K887" s="9" t="n">
        <v>0</v>
      </c>
      <c r="L887" s="10" t="n">
        <v>94.33</v>
      </c>
      <c r="M887" s="10" t="n">
        <v>1.43</v>
      </c>
      <c r="N887" t="inlineStr">
        <is>
          <t>1</t>
        </is>
      </c>
      <c r="O887" t="inlineStr">
        <is>
          <t>16</t>
        </is>
      </c>
      <c r="P887" t="inlineStr">
        <is>
          <t xml:space="preserve">38948   </t>
        </is>
      </c>
      <c r="Q887" s="26" t="n">
        <v>94.31999999999999</v>
      </c>
      <c r="R887" s="26">
        <f>Q887*G887</f>
        <v/>
      </c>
      <c r="S887" s="26">
        <f>IFERROR(VLOOKUP(E887*1,Tabla[#All],8,0),0)</f>
        <v/>
      </c>
      <c r="T887" s="26">
        <f>S887*G887</f>
        <v/>
      </c>
      <c r="U887" s="26">
        <f>R887-T887</f>
        <v/>
      </c>
      <c r="V887" s="26">
        <f>U887-L887</f>
        <v/>
      </c>
    </row>
    <row r="888">
      <c r="A888" s="11" t="n">
        <v>46212</v>
      </c>
      <c r="B888" s="1" t="n">
        <v>20095</v>
      </c>
      <c r="C888" s="1" t="inlineStr">
        <is>
          <t>044</t>
        </is>
      </c>
      <c r="D888" s="1" t="inlineStr">
        <is>
          <t xml:space="preserve">93241 </t>
        </is>
      </c>
      <c r="E888" s="1" t="inlineStr">
        <is>
          <t xml:space="preserve">28194769       </t>
        </is>
      </c>
      <c r="F888" s="5" t="inlineStr">
        <is>
          <t>AUTOS DE METAL 3 TEAMSTERZ PACK DE 2</t>
        </is>
      </c>
      <c r="G888" t="n">
        <v>1</v>
      </c>
      <c r="H888" s="7" t="n">
        <v>13.8</v>
      </c>
      <c r="I888" s="7" t="n">
        <v>0</v>
      </c>
      <c r="J888" s="7" t="n">
        <v>0</v>
      </c>
      <c r="K888" s="9" t="n">
        <v>0</v>
      </c>
      <c r="L888" s="10" t="n">
        <v>8.18</v>
      </c>
      <c r="M888" s="10" t="n">
        <v>1.43</v>
      </c>
      <c r="N888" t="inlineStr">
        <is>
          <t>1</t>
        </is>
      </c>
      <c r="O888" t="inlineStr">
        <is>
          <t xml:space="preserve">2 </t>
        </is>
      </c>
      <c r="P888" t="inlineStr">
        <is>
          <t xml:space="preserve">248232  </t>
        </is>
      </c>
      <c r="Q888" s="26" t="n">
        <v>8.19</v>
      </c>
      <c r="R888" s="26">
        <f>Q888*G888</f>
        <v/>
      </c>
      <c r="S888" s="26">
        <f>IFERROR(VLOOKUP(E888*1,Tabla[#All],8,0),0)</f>
        <v/>
      </c>
      <c r="T888" s="26">
        <f>S888*G888</f>
        <v/>
      </c>
      <c r="U888" s="26">
        <f>R888-T888</f>
        <v/>
      </c>
      <c r="V888" s="26">
        <f>U888-L888</f>
        <v/>
      </c>
    </row>
    <row r="889">
      <c r="A889" s="11" t="n">
        <v>46213</v>
      </c>
      <c r="B889" s="1" t="n">
        <v>20021</v>
      </c>
      <c r="C889" s="1" t="inlineStr">
        <is>
          <t>078</t>
        </is>
      </c>
      <c r="D889" s="1" t="inlineStr">
        <is>
          <t>100577</t>
        </is>
      </c>
      <c r="E889" s="1" t="inlineStr">
        <is>
          <t xml:space="preserve">28194768       </t>
        </is>
      </c>
      <c r="F889" s="5" t="inlineStr">
        <is>
          <t>AUTO COLOR CHANGE TEAMSTERZ SURTIDO</t>
        </is>
      </c>
      <c r="G889" t="n">
        <v>1</v>
      </c>
      <c r="H889" s="7" t="n">
        <v>14.9</v>
      </c>
      <c r="I889" s="7" t="n">
        <v>0</v>
      </c>
      <c r="J889" s="7" t="n">
        <v>0</v>
      </c>
      <c r="K889" s="9" t="n">
        <v>0</v>
      </c>
      <c r="L889" s="10" t="n">
        <v>8.84</v>
      </c>
      <c r="M889" s="10" t="n">
        <v>1.43</v>
      </c>
      <c r="N889" t="inlineStr">
        <is>
          <t>1</t>
        </is>
      </c>
      <c r="O889" t="inlineStr">
        <is>
          <t>16</t>
        </is>
      </c>
      <c r="P889" t="inlineStr">
        <is>
          <t xml:space="preserve">42013   </t>
        </is>
      </c>
      <c r="Q889" s="26" t="n">
        <v>8.84</v>
      </c>
      <c r="R889" s="26">
        <f>Q889*G889</f>
        <v/>
      </c>
      <c r="S889" s="26">
        <f>IFERROR(VLOOKUP(E889*1,Tabla[#All],8,0),0)</f>
        <v/>
      </c>
      <c r="T889" s="26">
        <f>S889*G889</f>
        <v/>
      </c>
      <c r="U889" s="26">
        <f>R889-T889</f>
        <v/>
      </c>
      <c r="V889" s="26">
        <f>U889-L889</f>
        <v/>
      </c>
    </row>
    <row r="890">
      <c r="A890" s="11" t="n">
        <v>46213</v>
      </c>
      <c r="B890" s="1" t="n">
        <v>20021</v>
      </c>
      <c r="C890" s="1" t="inlineStr">
        <is>
          <t>078</t>
        </is>
      </c>
      <c r="D890" s="1" t="inlineStr">
        <is>
          <t>100577</t>
        </is>
      </c>
      <c r="E890" s="1" t="inlineStr">
        <is>
          <t xml:space="preserve">28194768       </t>
        </is>
      </c>
      <c r="F890" s="5" t="inlineStr">
        <is>
          <t>AUTO COLOR CHANGE TEAMSTERZ SURTIDO</t>
        </is>
      </c>
      <c r="G890" t="n">
        <v>1</v>
      </c>
      <c r="H890" s="7" t="n">
        <v>14.9</v>
      </c>
      <c r="I890" s="7" t="n">
        <v>0</v>
      </c>
      <c r="J890" s="7" t="n">
        <v>0</v>
      </c>
      <c r="K890" s="9" t="n">
        <v>0</v>
      </c>
      <c r="L890" s="10" t="n">
        <v>8.84</v>
      </c>
      <c r="M890" s="10" t="n">
        <v>1.43</v>
      </c>
      <c r="N890" t="inlineStr">
        <is>
          <t>1</t>
        </is>
      </c>
      <c r="O890" t="inlineStr">
        <is>
          <t>16</t>
        </is>
      </c>
      <c r="P890" t="inlineStr">
        <is>
          <t xml:space="preserve">42013   </t>
        </is>
      </c>
      <c r="Q890" s="26" t="n">
        <v>8.84</v>
      </c>
      <c r="R890" s="26">
        <f>Q890*G890</f>
        <v/>
      </c>
      <c r="S890" s="26">
        <f>IFERROR(VLOOKUP(E890*1,Tabla[#All],8,0),0)</f>
        <v/>
      </c>
      <c r="T890" s="26">
        <f>S890*G890</f>
        <v/>
      </c>
      <c r="U890" s="26">
        <f>R890-T890</f>
        <v/>
      </c>
      <c r="V890" s="26">
        <f>U890-L890</f>
        <v/>
      </c>
    </row>
    <row r="891">
      <c r="A891" s="11" t="n">
        <v>46213</v>
      </c>
      <c r="B891" s="1" t="n">
        <v>20021</v>
      </c>
      <c r="C891" s="1" t="inlineStr">
        <is>
          <t>080</t>
        </is>
      </c>
      <c r="D891" s="1" t="inlineStr">
        <is>
          <t>309540</t>
        </is>
      </c>
      <c r="E891" s="1" t="inlineStr">
        <is>
          <t xml:space="preserve">28194768       </t>
        </is>
      </c>
      <c r="F891" s="5" t="inlineStr">
        <is>
          <t>AUTO COLOR CHANGE TEAMSTERZ SURTIDO</t>
        </is>
      </c>
      <c r="G891" t="n">
        <v>1</v>
      </c>
      <c r="H891" s="7" t="n">
        <v>14.9</v>
      </c>
      <c r="I891" s="7" t="n">
        <v>0</v>
      </c>
      <c r="J891" s="7" t="n">
        <v>0</v>
      </c>
      <c r="K891" s="9" t="n">
        <v>0</v>
      </c>
      <c r="L891" s="10" t="n">
        <v>8.84</v>
      </c>
      <c r="M891" s="10" t="n">
        <v>1.43</v>
      </c>
      <c r="N891" t="inlineStr">
        <is>
          <t>1</t>
        </is>
      </c>
      <c r="O891" t="inlineStr">
        <is>
          <t>16</t>
        </is>
      </c>
      <c r="P891" t="inlineStr">
        <is>
          <t xml:space="preserve">42929   </t>
        </is>
      </c>
      <c r="Q891" s="26" t="n">
        <v>8.84</v>
      </c>
      <c r="R891" s="26">
        <f>Q891*G891</f>
        <v/>
      </c>
      <c r="S891" s="26">
        <f>IFERROR(VLOOKUP(E891*1,Tabla[#All],8,0),0)</f>
        <v/>
      </c>
      <c r="T891" s="26">
        <f>S891*G891</f>
        <v/>
      </c>
      <c r="U891" s="26">
        <f>R891-T891</f>
        <v/>
      </c>
      <c r="V891" s="26">
        <f>U891-L891</f>
        <v/>
      </c>
    </row>
    <row r="892">
      <c r="A892" s="11" t="n">
        <v>46213</v>
      </c>
      <c r="B892" s="1" t="n">
        <v>20021</v>
      </c>
      <c r="C892" s="1" t="inlineStr">
        <is>
          <t>080</t>
        </is>
      </c>
      <c r="D892" s="1" t="inlineStr">
        <is>
          <t>309540</t>
        </is>
      </c>
      <c r="E892" s="1" t="inlineStr">
        <is>
          <t xml:space="preserve">28194768       </t>
        </is>
      </c>
      <c r="F892" s="5" t="inlineStr">
        <is>
          <t>AUTO COLOR CHANGE TEAMSTERZ SURTIDO</t>
        </is>
      </c>
      <c r="G892" t="n">
        <v>1</v>
      </c>
      <c r="H892" s="7" t="n">
        <v>14.9</v>
      </c>
      <c r="I892" s="7" t="n">
        <v>0</v>
      </c>
      <c r="J892" s="7" t="n">
        <v>0</v>
      </c>
      <c r="K892" s="9" t="n">
        <v>0</v>
      </c>
      <c r="L892" s="10" t="n">
        <v>8.84</v>
      </c>
      <c r="M892" s="10" t="n">
        <v>1.43</v>
      </c>
      <c r="N892" t="inlineStr">
        <is>
          <t>1</t>
        </is>
      </c>
      <c r="O892" t="inlineStr">
        <is>
          <t>16</t>
        </is>
      </c>
      <c r="P892" t="inlineStr">
        <is>
          <t xml:space="preserve">42929   </t>
        </is>
      </c>
      <c r="Q892" s="26" t="n">
        <v>8.84</v>
      </c>
      <c r="R892" s="26">
        <f>Q892*G892</f>
        <v/>
      </c>
      <c r="S892" s="26">
        <f>IFERROR(VLOOKUP(E892*1,Tabla[#All],8,0),0)</f>
        <v/>
      </c>
      <c r="T892" s="26">
        <f>S892*G892</f>
        <v/>
      </c>
      <c r="U892" s="26">
        <f>R892-T892</f>
        <v/>
      </c>
      <c r="V892" s="26">
        <f>U892-L892</f>
        <v/>
      </c>
    </row>
    <row r="893">
      <c r="A893" s="11" t="n">
        <v>46213</v>
      </c>
      <c r="B893" s="1" t="n">
        <v>20021</v>
      </c>
      <c r="C893" s="1" t="inlineStr">
        <is>
          <t>080</t>
        </is>
      </c>
      <c r="D893" s="1" t="inlineStr">
        <is>
          <t>309541</t>
        </is>
      </c>
      <c r="E893" s="1" t="inlineStr">
        <is>
          <t xml:space="preserve">28194768       </t>
        </is>
      </c>
      <c r="F893" s="5" t="inlineStr">
        <is>
          <t>AUTO COLOR CHANGE TEAMSTERZ SURTIDO</t>
        </is>
      </c>
      <c r="G893" t="n">
        <v>1</v>
      </c>
      <c r="H893" s="7" t="n">
        <v>14.9</v>
      </c>
      <c r="I893" s="7" t="n">
        <v>0</v>
      </c>
      <c r="J893" s="7" t="n">
        <v>0</v>
      </c>
      <c r="K893" s="9" t="n">
        <v>0</v>
      </c>
      <c r="L893" s="10" t="n">
        <v>8.84</v>
      </c>
      <c r="M893" s="10" t="n">
        <v>1.43</v>
      </c>
      <c r="N893" t="inlineStr">
        <is>
          <t>1</t>
        </is>
      </c>
      <c r="O893" t="inlineStr">
        <is>
          <t>16</t>
        </is>
      </c>
      <c r="P893" t="inlineStr">
        <is>
          <t xml:space="preserve">42929   </t>
        </is>
      </c>
      <c r="Q893" s="26" t="n">
        <v>8.84</v>
      </c>
      <c r="R893" s="26">
        <f>Q893*G893</f>
        <v/>
      </c>
      <c r="S893" s="26">
        <f>IFERROR(VLOOKUP(E893*1,Tabla[#All],8,0),0)</f>
        <v/>
      </c>
      <c r="T893" s="26">
        <f>S893*G893</f>
        <v/>
      </c>
      <c r="U893" s="26">
        <f>R893-T893</f>
        <v/>
      </c>
      <c r="V893" s="26">
        <f>U893-L893</f>
        <v/>
      </c>
    </row>
    <row r="894">
      <c r="A894" s="11" t="n">
        <v>46213</v>
      </c>
      <c r="B894" s="1" t="n">
        <v>20021</v>
      </c>
      <c r="C894" s="1" t="inlineStr">
        <is>
          <t>080</t>
        </is>
      </c>
      <c r="D894" s="1" t="inlineStr">
        <is>
          <t>309542</t>
        </is>
      </c>
      <c r="E894" s="1" t="inlineStr">
        <is>
          <t xml:space="preserve">31675354       </t>
        </is>
      </c>
      <c r="F894" s="5" t="inlineStr">
        <is>
          <t>NENUCO LLORON CON ACCESORIOS</t>
        </is>
      </c>
      <c r="G894" t="n">
        <v>1</v>
      </c>
      <c r="H894" s="7" t="n">
        <v>89.90000000000001</v>
      </c>
      <c r="I894" s="7" t="n">
        <v>8.99</v>
      </c>
      <c r="J894" s="7" t="n">
        <v>0</v>
      </c>
      <c r="K894" s="9" t="n">
        <v>8.99</v>
      </c>
      <c r="L894" s="10" t="n">
        <v>48</v>
      </c>
      <c r="M894" s="10" t="n">
        <v>1.43</v>
      </c>
      <c r="N894" t="inlineStr">
        <is>
          <t>1</t>
        </is>
      </c>
      <c r="O894" t="inlineStr">
        <is>
          <t xml:space="preserve">3 </t>
        </is>
      </c>
      <c r="P894" t="inlineStr">
        <is>
          <t xml:space="preserve">42929   </t>
        </is>
      </c>
      <c r="Q894" s="26" t="n">
        <v>53.33</v>
      </c>
      <c r="R894" s="26">
        <f>Q894*G894</f>
        <v/>
      </c>
      <c r="S894" s="26">
        <f>IFERROR(VLOOKUP(E894*1,Tabla[#All],8,0),0)</f>
        <v/>
      </c>
      <c r="T894" s="26">
        <f>S894*G894</f>
        <v/>
      </c>
      <c r="U894" s="26">
        <f>R894-T894</f>
        <v/>
      </c>
      <c r="V894" s="26">
        <f>U894-L894</f>
        <v/>
      </c>
    </row>
    <row r="895">
      <c r="A895" s="11" t="n">
        <v>46213</v>
      </c>
      <c r="B895" s="1" t="n">
        <v>20021</v>
      </c>
      <c r="C895" s="1" t="inlineStr">
        <is>
          <t>081</t>
        </is>
      </c>
      <c r="D895" s="1" t="inlineStr">
        <is>
          <t>175723</t>
        </is>
      </c>
      <c r="E895" s="1" t="inlineStr">
        <is>
          <t xml:space="preserve">29235707       </t>
        </is>
      </c>
      <c r="F895" s="5" t="inlineStr">
        <is>
          <t>TEAMSTERZ AUTO DE METAL 3  PACK DE 5</t>
        </is>
      </c>
      <c r="G895" t="n">
        <v>1</v>
      </c>
      <c r="H895" s="7" t="n">
        <v>34.5</v>
      </c>
      <c r="I895" s="7" t="n">
        <v>3.45</v>
      </c>
      <c r="J895" s="7" t="n">
        <v>0</v>
      </c>
      <c r="K895" s="9" t="n">
        <v>3.45</v>
      </c>
      <c r="L895" s="10" t="n">
        <v>18.42</v>
      </c>
      <c r="M895" s="10" t="n">
        <v>1.43</v>
      </c>
      <c r="N895" t="inlineStr">
        <is>
          <t>1</t>
        </is>
      </c>
      <c r="O895" t="inlineStr">
        <is>
          <t xml:space="preserve">3 </t>
        </is>
      </c>
      <c r="P895" t="inlineStr">
        <is>
          <t xml:space="preserve">32209   </t>
        </is>
      </c>
      <c r="Q895" s="26" t="n">
        <v>20.47</v>
      </c>
      <c r="R895" s="26">
        <f>Q895*G895</f>
        <v/>
      </c>
      <c r="S895" s="26">
        <f>IFERROR(VLOOKUP(E895*1,Tabla[#All],8,0),0)</f>
        <v/>
      </c>
      <c r="T895" s="26">
        <f>S895*G895</f>
        <v/>
      </c>
      <c r="U895" s="26">
        <f>R895-T895</f>
        <v/>
      </c>
      <c r="V895" s="26">
        <f>U895-L895</f>
        <v/>
      </c>
    </row>
    <row r="896">
      <c r="A896" s="11" t="n">
        <v>46213</v>
      </c>
      <c r="B896" s="1" t="n">
        <v>20021</v>
      </c>
      <c r="C896" s="1" t="inlineStr">
        <is>
          <t>513</t>
        </is>
      </c>
      <c r="D896" s="1" t="inlineStr">
        <is>
          <t xml:space="preserve">7962  </t>
        </is>
      </c>
      <c r="E896" s="1" t="inlineStr">
        <is>
          <t xml:space="preserve">30232284       </t>
        </is>
      </c>
      <c r="F896" s="5" t="inlineStr">
        <is>
          <t>INFINITY NADO TROMPO DE BATALLA - METAL C/PUNTA DE</t>
        </is>
      </c>
      <c r="G896" t="n">
        <v>1</v>
      </c>
      <c r="H896" s="7" t="n">
        <v>49.9</v>
      </c>
      <c r="I896" s="7" t="n">
        <v>0</v>
      </c>
      <c r="J896" s="7" t="n">
        <v>0</v>
      </c>
      <c r="K896" s="9" t="n">
        <v>0</v>
      </c>
      <c r="L896" s="10" t="n">
        <v>29.6</v>
      </c>
      <c r="M896" s="10" t="n">
        <v>1.43</v>
      </c>
      <c r="N896" t="inlineStr">
        <is>
          <t>1</t>
        </is>
      </c>
      <c r="O896" t="inlineStr">
        <is>
          <t>16</t>
        </is>
      </c>
      <c r="P896" t="inlineStr">
        <is>
          <t xml:space="preserve">250325  </t>
        </is>
      </c>
      <c r="Q896" s="26" t="n">
        <v>29.6</v>
      </c>
      <c r="R896" s="26">
        <f>Q896*G896</f>
        <v/>
      </c>
      <c r="S896" s="26">
        <f>IFERROR(VLOOKUP(E896*1,Tabla[#All],8,0),0)</f>
        <v/>
      </c>
      <c r="T896" s="26">
        <f>S896*G896</f>
        <v/>
      </c>
      <c r="U896" s="26">
        <f>R896-T896</f>
        <v/>
      </c>
      <c r="V896" s="26">
        <f>U896-L896</f>
        <v/>
      </c>
    </row>
    <row r="897">
      <c r="A897" s="11" t="n">
        <v>46213</v>
      </c>
      <c r="B897" s="1" t="n">
        <v>20023</v>
      </c>
      <c r="C897" s="1" t="inlineStr">
        <is>
          <t>105</t>
        </is>
      </c>
      <c r="D897" s="1" t="inlineStr">
        <is>
          <t xml:space="preserve">90649 </t>
        </is>
      </c>
      <c r="E897" s="1" t="inlineStr">
        <is>
          <t xml:space="preserve">31959961       </t>
        </is>
      </c>
      <c r="F897" s="5" t="inlineStr">
        <is>
          <t>TEAMSTERZ CAMBIA DE COLOR PACK DE 3 AUTOS</t>
        </is>
      </c>
      <c r="G897" t="n">
        <v>1</v>
      </c>
      <c r="H897" s="7" t="n">
        <v>49.9</v>
      </c>
      <c r="I897" s="7" t="n">
        <v>4.99</v>
      </c>
      <c r="J897" s="7" t="n">
        <v>0</v>
      </c>
      <c r="K897" s="9" t="n">
        <v>4.99</v>
      </c>
      <c r="L897" s="10" t="n">
        <v>26.64</v>
      </c>
      <c r="M897" s="10" t="n">
        <v>1.43</v>
      </c>
      <c r="N897" t="inlineStr">
        <is>
          <t>1</t>
        </is>
      </c>
      <c r="O897" t="inlineStr">
        <is>
          <t xml:space="preserve">3 </t>
        </is>
      </c>
      <c r="P897" t="inlineStr">
        <is>
          <t xml:space="preserve">35963   </t>
        </is>
      </c>
      <c r="Q897" s="26" t="n">
        <v>29.6</v>
      </c>
      <c r="R897" s="26">
        <f>Q897*G897</f>
        <v/>
      </c>
      <c r="S897" s="26">
        <f>IFERROR(VLOOKUP(E897*1,Tabla[#All],8,0),0)</f>
        <v/>
      </c>
      <c r="T897" s="26">
        <f>S897*G897</f>
        <v/>
      </c>
      <c r="U897" s="26">
        <f>R897-T897</f>
        <v/>
      </c>
      <c r="V897" s="26">
        <f>U897-L897</f>
        <v/>
      </c>
    </row>
    <row r="898">
      <c r="A898" s="11" t="n">
        <v>46213</v>
      </c>
      <c r="B898" s="1" t="n">
        <v>20023</v>
      </c>
      <c r="C898" s="1" t="inlineStr">
        <is>
          <t>105</t>
        </is>
      </c>
      <c r="D898" s="1" t="inlineStr">
        <is>
          <t xml:space="preserve">90676 </t>
        </is>
      </c>
      <c r="E898" s="1" t="inlineStr">
        <is>
          <t xml:space="preserve">32457111       </t>
        </is>
      </c>
      <c r="F898" s="5" t="inlineStr">
        <is>
          <t>TMZ BEAST MACHINES MONSTER JAWS A FRICCION PACK DE</t>
        </is>
      </c>
      <c r="G898" t="n">
        <v>1</v>
      </c>
      <c r="H898" s="7" t="n">
        <v>74.90000000000001</v>
      </c>
      <c r="I898" s="7" t="n">
        <v>0</v>
      </c>
      <c r="J898" s="7" t="n">
        <v>0</v>
      </c>
      <c r="K898" s="9" t="n">
        <v>0</v>
      </c>
      <c r="L898" s="10" t="n">
        <v>44.43</v>
      </c>
      <c r="M898" s="10" t="n">
        <v>1.43</v>
      </c>
      <c r="N898" t="inlineStr">
        <is>
          <t>1</t>
        </is>
      </c>
      <c r="O898" t="inlineStr">
        <is>
          <t>16</t>
        </is>
      </c>
      <c r="P898" t="inlineStr">
        <is>
          <t xml:space="preserve">35963   </t>
        </is>
      </c>
      <c r="Q898" s="26" t="n">
        <v>44.43</v>
      </c>
      <c r="R898" s="26">
        <f>Q898*G898</f>
        <v/>
      </c>
      <c r="S898" s="26">
        <f>IFERROR(VLOOKUP(E898*1,Tabla[#All],8,0),0)</f>
        <v/>
      </c>
      <c r="T898" s="26">
        <f>S898*G898</f>
        <v/>
      </c>
      <c r="U898" s="26">
        <f>R898-T898</f>
        <v/>
      </c>
      <c r="V898" s="26">
        <f>U898-L898</f>
        <v/>
      </c>
    </row>
    <row r="899">
      <c r="A899" s="11" t="n">
        <v>46213</v>
      </c>
      <c r="B899" s="1" t="n">
        <v>20024</v>
      </c>
      <c r="C899" s="1" t="inlineStr">
        <is>
          <t>060</t>
        </is>
      </c>
      <c r="D899" s="1" t="inlineStr">
        <is>
          <t xml:space="preserve">95998 </t>
        </is>
      </c>
      <c r="E899" s="1" t="inlineStr">
        <is>
          <t xml:space="preserve">32457103       </t>
        </is>
      </c>
      <c r="F899" s="5" t="inlineStr">
        <is>
          <t>TMZ BEAST MACHINES MONSTER JAWS A FRICCION PACK DE</t>
        </is>
      </c>
      <c r="G899" t="n">
        <v>1</v>
      </c>
      <c r="H899" s="7" t="n">
        <v>37.9</v>
      </c>
      <c r="I899" s="7" t="n">
        <v>0</v>
      </c>
      <c r="J899" s="7" t="n">
        <v>0</v>
      </c>
      <c r="K899" s="9" t="n">
        <v>0</v>
      </c>
      <c r="L899" s="10" t="n">
        <v>22.48</v>
      </c>
      <c r="M899" s="10" t="n">
        <v>1.43</v>
      </c>
      <c r="N899" t="inlineStr">
        <is>
          <t>1</t>
        </is>
      </c>
      <c r="O899" t="inlineStr">
        <is>
          <t>16</t>
        </is>
      </c>
      <c r="P899" t="inlineStr">
        <is>
          <t xml:space="preserve">23854   </t>
        </is>
      </c>
      <c r="Q899" s="26" t="n">
        <v>22.48</v>
      </c>
      <c r="R899" s="26">
        <f>Q899*G899</f>
        <v/>
      </c>
      <c r="S899" s="26">
        <f>IFERROR(VLOOKUP(E899*1,Tabla[#All],8,0),0)</f>
        <v/>
      </c>
      <c r="T899" s="26">
        <f>S899*G899</f>
        <v/>
      </c>
      <c r="U899" s="26">
        <f>R899-T899</f>
        <v/>
      </c>
      <c r="V899" s="26">
        <f>U899-L899</f>
        <v/>
      </c>
    </row>
    <row r="900">
      <c r="A900" s="11" t="n">
        <v>46213</v>
      </c>
      <c r="B900" s="1" t="n">
        <v>20025</v>
      </c>
      <c r="C900" s="1" t="inlineStr">
        <is>
          <t>074</t>
        </is>
      </c>
      <c r="D900" s="1" t="inlineStr">
        <is>
          <t xml:space="preserve">82623 </t>
        </is>
      </c>
      <c r="E900" s="1" t="inlineStr">
        <is>
          <t xml:space="preserve">30141768       </t>
        </is>
      </c>
      <c r="F900" s="5" t="inlineStr">
        <is>
          <t>TMZ BEAST MACHINES AUTOS DE METAL PACK 10 AUTOS</t>
        </is>
      </c>
      <c r="G900" t="n">
        <v>1</v>
      </c>
      <c r="H900" s="7" t="n">
        <v>79</v>
      </c>
      <c r="I900" s="7" t="n">
        <v>0</v>
      </c>
      <c r="J900" s="7" t="n">
        <v>0</v>
      </c>
      <c r="K900" s="9" t="n">
        <v>0</v>
      </c>
      <c r="L900" s="10" t="n">
        <v>46.87</v>
      </c>
      <c r="M900" s="10" t="n">
        <v>1.43</v>
      </c>
      <c r="N900" t="inlineStr">
        <is>
          <t>1</t>
        </is>
      </c>
      <c r="O900" t="inlineStr">
        <is>
          <t>16</t>
        </is>
      </c>
      <c r="P900" t="inlineStr">
        <is>
          <t xml:space="preserve">42794   </t>
        </is>
      </c>
      <c r="Q900" s="26" t="n">
        <v>46.86</v>
      </c>
      <c r="R900" s="26">
        <f>Q900*G900</f>
        <v/>
      </c>
      <c r="S900" s="26">
        <f>IFERROR(VLOOKUP(E900*1,Tabla[#All],8,0),0)</f>
        <v/>
      </c>
      <c r="T900" s="26">
        <f>S900*G900</f>
        <v/>
      </c>
      <c r="U900" s="26">
        <f>R900-T900</f>
        <v/>
      </c>
      <c r="V900" s="26">
        <f>U900-L900</f>
        <v/>
      </c>
    </row>
    <row r="901">
      <c r="A901" s="11" t="n">
        <v>46213</v>
      </c>
      <c r="B901" s="1" t="n">
        <v>20027</v>
      </c>
      <c r="C901" s="1" t="inlineStr">
        <is>
          <t>064</t>
        </is>
      </c>
      <c r="D901" s="1" t="inlineStr">
        <is>
          <t xml:space="preserve">31770 </t>
        </is>
      </c>
      <c r="E901" s="1" t="inlineStr">
        <is>
          <t xml:space="preserve">28194769       </t>
        </is>
      </c>
      <c r="F901" s="5" t="inlineStr">
        <is>
          <t>AUTOS DE METAL 3 TEAMSTERZ PACK DE 2</t>
        </is>
      </c>
      <c r="G901" t="n">
        <v>1</v>
      </c>
      <c r="H901" s="7" t="n">
        <v>13.8</v>
      </c>
      <c r="I901" s="7" t="n">
        <v>0</v>
      </c>
      <c r="J901" s="7" t="n">
        <v>0</v>
      </c>
      <c r="K901" s="9" t="n">
        <v>0</v>
      </c>
      <c r="L901" s="10" t="n">
        <v>8.18</v>
      </c>
      <c r="M901" s="10" t="n">
        <v>1.43</v>
      </c>
      <c r="N901" t="inlineStr">
        <is>
          <t>1</t>
        </is>
      </c>
      <c r="O901" t="inlineStr">
        <is>
          <t>16</t>
        </is>
      </c>
      <c r="P901" t="inlineStr">
        <is>
          <t xml:space="preserve">30333   </t>
        </is>
      </c>
      <c r="Q901" s="26" t="n">
        <v>8.19</v>
      </c>
      <c r="R901" s="26">
        <f>Q901*G901</f>
        <v/>
      </c>
      <c r="S901" s="26">
        <f>IFERROR(VLOOKUP(E901*1,Tabla[#All],8,0),0)</f>
        <v/>
      </c>
      <c r="T901" s="26">
        <f>S901*G901</f>
        <v/>
      </c>
      <c r="U901" s="26">
        <f>R901-T901</f>
        <v/>
      </c>
      <c r="V901" s="26">
        <f>U901-L901</f>
        <v/>
      </c>
    </row>
    <row r="902">
      <c r="A902" s="11" t="n">
        <v>46213</v>
      </c>
      <c r="B902" s="1" t="n">
        <v>20028</v>
      </c>
      <c r="C902" s="1" t="inlineStr">
        <is>
          <t>011</t>
        </is>
      </c>
      <c r="D902" s="1" t="inlineStr">
        <is>
          <t xml:space="preserve">33518 </t>
        </is>
      </c>
      <c r="E902" s="1" t="inlineStr">
        <is>
          <t xml:space="preserve">28194770       </t>
        </is>
      </c>
      <c r="F902" s="5" t="inlineStr">
        <is>
          <t>AUTOS DE METAL 3 TEAMSTERZ EN BLISTER</t>
        </is>
      </c>
      <c r="G902" t="n">
        <v>1</v>
      </c>
      <c r="H902" s="7" t="n">
        <v>6.9</v>
      </c>
      <c r="I902" s="7" t="n">
        <v>0</v>
      </c>
      <c r="J902" s="7" t="n">
        <v>0</v>
      </c>
      <c r="K902" s="9" t="n">
        <v>0</v>
      </c>
      <c r="L902" s="10" t="n">
        <v>4.1</v>
      </c>
      <c r="M902" s="10" t="n">
        <v>1.43</v>
      </c>
      <c r="N902" t="inlineStr">
        <is>
          <t>1</t>
        </is>
      </c>
      <c r="O902" t="inlineStr">
        <is>
          <t xml:space="preserve">2 </t>
        </is>
      </c>
      <c r="P902" t="inlineStr">
        <is>
          <t xml:space="preserve">23741   </t>
        </is>
      </c>
      <c r="Q902" s="26" t="n">
        <v>4.09</v>
      </c>
      <c r="R902" s="26">
        <f>Q902*G902</f>
        <v/>
      </c>
      <c r="S902" s="26">
        <f>IFERROR(VLOOKUP(E902*1,Tabla[#All],8,0),0)</f>
        <v/>
      </c>
      <c r="T902" s="26">
        <f>S902*G902</f>
        <v/>
      </c>
      <c r="U902" s="26">
        <f>R902-T902</f>
        <v/>
      </c>
      <c r="V902" s="26">
        <f>U902-L902</f>
        <v/>
      </c>
    </row>
    <row r="903">
      <c r="A903" s="11" t="n">
        <v>46213</v>
      </c>
      <c r="B903" s="1" t="n">
        <v>20028</v>
      </c>
      <c r="C903" s="1" t="inlineStr">
        <is>
          <t>011</t>
        </is>
      </c>
      <c r="D903" s="1" t="inlineStr">
        <is>
          <t xml:space="preserve">33518 </t>
        </is>
      </c>
      <c r="E903" s="1" t="inlineStr">
        <is>
          <t xml:space="preserve">28194770       </t>
        </is>
      </c>
      <c r="F903" s="5" t="inlineStr">
        <is>
          <t>AUTOS DE METAL 3 TEAMSTERZ EN BLISTER</t>
        </is>
      </c>
      <c r="G903" t="n">
        <v>1</v>
      </c>
      <c r="H903" s="7" t="n">
        <v>6.9</v>
      </c>
      <c r="I903" s="7" t="n">
        <v>0</v>
      </c>
      <c r="J903" s="7" t="n">
        <v>0</v>
      </c>
      <c r="K903" s="9" t="n">
        <v>0</v>
      </c>
      <c r="L903" s="10" t="n">
        <v>4.1</v>
      </c>
      <c r="M903" s="10" t="n">
        <v>1.43</v>
      </c>
      <c r="N903" t="inlineStr">
        <is>
          <t>1</t>
        </is>
      </c>
      <c r="O903" t="inlineStr">
        <is>
          <t xml:space="preserve">2 </t>
        </is>
      </c>
      <c r="P903" t="inlineStr">
        <is>
          <t xml:space="preserve">23741   </t>
        </is>
      </c>
      <c r="Q903" s="26" t="n">
        <v>4.09</v>
      </c>
      <c r="R903" s="26">
        <f>Q903*G903</f>
        <v/>
      </c>
      <c r="S903" s="26">
        <f>IFERROR(VLOOKUP(E903*1,Tabla[#All],8,0),0)</f>
        <v/>
      </c>
      <c r="T903" s="26">
        <f>S903*G903</f>
        <v/>
      </c>
      <c r="U903" s="26">
        <f>R903-T903</f>
        <v/>
      </c>
      <c r="V903" s="26">
        <f>U903-L903</f>
        <v/>
      </c>
    </row>
    <row r="904">
      <c r="A904" s="11" t="n">
        <v>46213</v>
      </c>
      <c r="B904" s="1" t="n">
        <v>20028</v>
      </c>
      <c r="C904" s="1" t="inlineStr">
        <is>
          <t>011</t>
        </is>
      </c>
      <c r="D904" s="1" t="inlineStr">
        <is>
          <t xml:space="preserve">33518 </t>
        </is>
      </c>
      <c r="E904" s="1" t="inlineStr">
        <is>
          <t xml:space="preserve">28194770       </t>
        </is>
      </c>
      <c r="F904" s="5" t="inlineStr">
        <is>
          <t>AUTOS DE METAL 3 TEAMSTERZ EN BLISTER</t>
        </is>
      </c>
      <c r="G904" t="n">
        <v>1</v>
      </c>
      <c r="H904" s="7" t="n">
        <v>6.9</v>
      </c>
      <c r="I904" s="7" t="n">
        <v>0</v>
      </c>
      <c r="J904" s="7" t="n">
        <v>0</v>
      </c>
      <c r="K904" s="9" t="n">
        <v>0</v>
      </c>
      <c r="L904" s="10" t="n">
        <v>4.1</v>
      </c>
      <c r="M904" s="10" t="n">
        <v>1.43</v>
      </c>
      <c r="N904" t="inlineStr">
        <is>
          <t>1</t>
        </is>
      </c>
      <c r="O904" t="inlineStr">
        <is>
          <t xml:space="preserve">2 </t>
        </is>
      </c>
      <c r="P904" t="inlineStr">
        <is>
          <t xml:space="preserve">23741   </t>
        </is>
      </c>
      <c r="Q904" s="26" t="n">
        <v>4.09</v>
      </c>
      <c r="R904" s="26">
        <f>Q904*G904</f>
        <v/>
      </c>
      <c r="S904" s="26">
        <f>IFERROR(VLOOKUP(E904*1,Tabla[#All],8,0),0)</f>
        <v/>
      </c>
      <c r="T904" s="26">
        <f>S904*G904</f>
        <v/>
      </c>
      <c r="U904" s="26">
        <f>R904-T904</f>
        <v/>
      </c>
      <c r="V904" s="26">
        <f>U904-L904</f>
        <v/>
      </c>
    </row>
    <row r="905">
      <c r="A905" s="11" t="n">
        <v>46213</v>
      </c>
      <c r="B905" s="1" t="n">
        <v>20028</v>
      </c>
      <c r="C905" s="1" t="inlineStr">
        <is>
          <t>011</t>
        </is>
      </c>
      <c r="D905" s="1" t="inlineStr">
        <is>
          <t xml:space="preserve">33540 </t>
        </is>
      </c>
      <c r="E905" s="1" t="inlineStr">
        <is>
          <t xml:space="preserve">31675352       </t>
        </is>
      </c>
      <c r="F905" s="5" t="inlineStr">
        <is>
          <t>MI PEQUENO NENUCO</t>
        </is>
      </c>
      <c r="G905" t="n">
        <v>1</v>
      </c>
      <c r="H905" s="7" t="n">
        <v>69.90000000000001</v>
      </c>
      <c r="I905" s="7" t="n">
        <v>6.99</v>
      </c>
      <c r="J905" s="7" t="n">
        <v>0</v>
      </c>
      <c r="K905" s="9" t="n">
        <v>6.99</v>
      </c>
      <c r="L905" s="10" t="n">
        <v>37.32</v>
      </c>
      <c r="M905" s="10" t="n">
        <v>1.43</v>
      </c>
      <c r="N905" t="inlineStr">
        <is>
          <t>1</t>
        </is>
      </c>
      <c r="O905" t="inlineStr">
        <is>
          <t xml:space="preserve">3 </t>
        </is>
      </c>
      <c r="P905" t="inlineStr">
        <is>
          <t xml:space="preserve">23741   </t>
        </is>
      </c>
      <c r="Q905" s="26" t="n">
        <v>41.47</v>
      </c>
      <c r="R905" s="26">
        <f>Q905*G905</f>
        <v/>
      </c>
      <c r="S905" s="26">
        <f>IFERROR(VLOOKUP(E905*1,Tabla[#All],8,0),0)</f>
        <v/>
      </c>
      <c r="T905" s="26">
        <f>S905*G905</f>
        <v/>
      </c>
      <c r="U905" s="26">
        <f>R905-T905</f>
        <v/>
      </c>
      <c r="V905" s="26">
        <f>U905-L905</f>
        <v/>
      </c>
    </row>
    <row r="906">
      <c r="A906" s="11" t="n">
        <v>46213</v>
      </c>
      <c r="B906" s="1" t="n">
        <v>20028</v>
      </c>
      <c r="C906" s="1" t="inlineStr">
        <is>
          <t>015</t>
        </is>
      </c>
      <c r="D906" s="1" t="inlineStr">
        <is>
          <t>211144</t>
        </is>
      </c>
      <c r="E906" s="1" t="inlineStr">
        <is>
          <t xml:space="preserve">28194770       </t>
        </is>
      </c>
      <c r="F906" s="5" t="inlineStr">
        <is>
          <t>AUTOS DE METAL 3 TEAMSTERZ EN BLISTER</t>
        </is>
      </c>
      <c r="G906" t="n">
        <v>1</v>
      </c>
      <c r="H906" s="7" t="n">
        <v>6.9</v>
      </c>
      <c r="I906" s="7" t="n">
        <v>0</v>
      </c>
      <c r="J906" s="7" t="n">
        <v>0</v>
      </c>
      <c r="K906" s="9" t="n">
        <v>0</v>
      </c>
      <c r="L906" s="10" t="n">
        <v>4.1</v>
      </c>
      <c r="M906" s="10" t="n">
        <v>1.43</v>
      </c>
      <c r="N906" t="inlineStr">
        <is>
          <t>1</t>
        </is>
      </c>
      <c r="O906" t="inlineStr">
        <is>
          <t xml:space="preserve">2 </t>
        </is>
      </c>
      <c r="P906" t="inlineStr">
        <is>
          <t xml:space="preserve">38841   </t>
        </is>
      </c>
      <c r="Q906" s="26" t="n">
        <v>4.09</v>
      </c>
      <c r="R906" s="26">
        <f>Q906*G906</f>
        <v/>
      </c>
      <c r="S906" s="26">
        <f>IFERROR(VLOOKUP(E906*1,Tabla[#All],8,0),0)</f>
        <v/>
      </c>
      <c r="T906" s="26">
        <f>S906*G906</f>
        <v/>
      </c>
      <c r="U906" s="26">
        <f>R906-T906</f>
        <v/>
      </c>
      <c r="V906" s="26">
        <f>U906-L906</f>
        <v/>
      </c>
    </row>
    <row r="907">
      <c r="A907" s="11" t="n">
        <v>46213</v>
      </c>
      <c r="B907" s="1" t="n">
        <v>20028</v>
      </c>
      <c r="C907" s="1" t="inlineStr">
        <is>
          <t>015</t>
        </is>
      </c>
      <c r="D907" s="1" t="inlineStr">
        <is>
          <t>211144</t>
        </is>
      </c>
      <c r="E907" s="1" t="inlineStr">
        <is>
          <t xml:space="preserve">30141766       </t>
        </is>
      </c>
      <c r="F907" s="5" t="inlineStr">
        <is>
          <t>TMZ BEAST MACHINES AUTOS DE METAL BLISTER X 1</t>
        </is>
      </c>
      <c r="G907" t="n">
        <v>1</v>
      </c>
      <c r="H907" s="7" t="n">
        <v>7.9</v>
      </c>
      <c r="I907" s="7" t="n">
        <v>0</v>
      </c>
      <c r="J907" s="7" t="n">
        <v>0</v>
      </c>
      <c r="K907" s="9" t="n">
        <v>0</v>
      </c>
      <c r="L907" s="10" t="n">
        <v>4.68</v>
      </c>
      <c r="M907" s="10" t="n">
        <v>1.43</v>
      </c>
      <c r="N907" t="inlineStr">
        <is>
          <t>1</t>
        </is>
      </c>
      <c r="O907" t="inlineStr">
        <is>
          <t xml:space="preserve">2 </t>
        </is>
      </c>
      <c r="P907" t="inlineStr">
        <is>
          <t xml:space="preserve">38841   </t>
        </is>
      </c>
      <c r="Q907" s="26" t="n">
        <v>4.69</v>
      </c>
      <c r="R907" s="26">
        <f>Q907*G907</f>
        <v/>
      </c>
      <c r="S907" s="26">
        <f>IFERROR(VLOOKUP(E907*1,Tabla[#All],8,0),0)</f>
        <v/>
      </c>
      <c r="T907" s="26">
        <f>S907*G907</f>
        <v/>
      </c>
      <c r="U907" s="26">
        <f>R907-T907</f>
        <v/>
      </c>
      <c r="V907" s="26">
        <f>U907-L907</f>
        <v/>
      </c>
    </row>
    <row r="908">
      <c r="A908" s="11" t="n">
        <v>46213</v>
      </c>
      <c r="B908" s="1" t="n">
        <v>20028</v>
      </c>
      <c r="C908" s="1" t="inlineStr">
        <is>
          <t>019</t>
        </is>
      </c>
      <c r="D908" s="1" t="inlineStr">
        <is>
          <t>114334</t>
        </is>
      </c>
      <c r="E908" s="1" t="inlineStr">
        <is>
          <t xml:space="preserve">29235706       </t>
        </is>
      </c>
      <c r="F908" s="5" t="inlineStr">
        <is>
          <t>TEAMSTERZ CAMION PARA GUARDAR 12 AUTOS INCL 4 AUTO</t>
        </is>
      </c>
      <c r="G908" t="n">
        <v>1</v>
      </c>
      <c r="H908" s="7" t="n">
        <v>59.9</v>
      </c>
      <c r="I908" s="7" t="n">
        <v>0</v>
      </c>
      <c r="J908" s="7" t="n">
        <v>0</v>
      </c>
      <c r="K908" s="9" t="n">
        <v>0</v>
      </c>
      <c r="L908" s="10" t="n">
        <v>35.53</v>
      </c>
      <c r="M908" s="10" t="n">
        <v>1.43</v>
      </c>
      <c r="N908" t="inlineStr">
        <is>
          <t>1</t>
        </is>
      </c>
      <c r="O908" t="inlineStr">
        <is>
          <t>16</t>
        </is>
      </c>
      <c r="P908" t="inlineStr">
        <is>
          <t xml:space="preserve">31165   </t>
        </is>
      </c>
      <c r="Q908" s="26" t="n">
        <v>35.53</v>
      </c>
      <c r="R908" s="26">
        <f>Q908*G908</f>
        <v/>
      </c>
      <c r="S908" s="26">
        <f>IFERROR(VLOOKUP(E908*1,Tabla[#All],8,0),0)</f>
        <v/>
      </c>
      <c r="T908" s="26">
        <f>S908*G908</f>
        <v/>
      </c>
      <c r="U908" s="26">
        <f>R908-T908</f>
        <v/>
      </c>
      <c r="V908" s="26">
        <f>U908-L908</f>
        <v/>
      </c>
    </row>
    <row r="909">
      <c r="A909" s="11" t="n">
        <v>46213</v>
      </c>
      <c r="B909" s="1" t="n">
        <v>20028</v>
      </c>
      <c r="C909" s="1" t="inlineStr">
        <is>
          <t>019</t>
        </is>
      </c>
      <c r="D909" s="1" t="inlineStr">
        <is>
          <t>114334</t>
        </is>
      </c>
      <c r="E909" s="1" t="inlineStr">
        <is>
          <t xml:space="preserve">34840557       </t>
        </is>
      </c>
      <c r="F909" s="5" t="inlineStr">
        <is>
          <t>TMZ BEAST MACH. PLAYSET GARAGE DE SERPIENTE + 2 AU</t>
        </is>
      </c>
      <c r="G909" t="n">
        <v>1</v>
      </c>
      <c r="H909" s="7" t="n">
        <v>79.90000000000001</v>
      </c>
      <c r="I909" s="7" t="n">
        <v>0</v>
      </c>
      <c r="J909" s="7" t="n">
        <v>0</v>
      </c>
      <c r="K909" s="9" t="n">
        <v>0</v>
      </c>
      <c r="L909" s="10" t="n">
        <v>47.4</v>
      </c>
      <c r="M909" s="10" t="n">
        <v>1.43</v>
      </c>
      <c r="N909" t="inlineStr">
        <is>
          <t>1</t>
        </is>
      </c>
      <c r="O909" t="inlineStr">
        <is>
          <t>16</t>
        </is>
      </c>
      <c r="P909" t="inlineStr">
        <is>
          <t xml:space="preserve">31165   </t>
        </is>
      </c>
      <c r="Q909" s="26" t="n">
        <v>47.4</v>
      </c>
      <c r="R909" s="26">
        <f>Q909*G909</f>
        <v/>
      </c>
      <c r="S909" s="26">
        <f>IFERROR(VLOOKUP(E909*1,Tabla[#All],8,0),0)</f>
        <v/>
      </c>
      <c r="T909" s="26">
        <f>S909*G909</f>
        <v/>
      </c>
      <c r="U909" s="26">
        <f>R909-T909</f>
        <v/>
      </c>
      <c r="V909" s="26">
        <f>U909-L909</f>
        <v/>
      </c>
    </row>
    <row r="910">
      <c r="A910" s="11" t="n">
        <v>46213</v>
      </c>
      <c r="B910" s="1" t="n">
        <v>20028</v>
      </c>
      <c r="C910" s="1" t="inlineStr">
        <is>
          <t>021</t>
        </is>
      </c>
      <c r="D910" s="1" t="inlineStr">
        <is>
          <t>185842</t>
        </is>
      </c>
      <c r="E910" s="1" t="inlineStr">
        <is>
          <t xml:space="preserve">31675352       </t>
        </is>
      </c>
      <c r="F910" s="5" t="inlineStr">
        <is>
          <t>MI PEQUENO NENUCO</t>
        </is>
      </c>
      <c r="G910" t="n">
        <v>1</v>
      </c>
      <c r="H910" s="7" t="n">
        <v>69.90000000000001</v>
      </c>
      <c r="I910" s="7" t="n">
        <v>0</v>
      </c>
      <c r="J910" s="7" t="n">
        <v>0</v>
      </c>
      <c r="K910" s="9" t="n">
        <v>0</v>
      </c>
      <c r="L910" s="10" t="n">
        <v>41.47</v>
      </c>
      <c r="M910" s="10" t="n">
        <v>1.43</v>
      </c>
      <c r="N910" t="inlineStr">
        <is>
          <t>1</t>
        </is>
      </c>
      <c r="O910" t="inlineStr">
        <is>
          <t>16</t>
        </is>
      </c>
      <c r="P910" t="inlineStr">
        <is>
          <t xml:space="preserve">35540   </t>
        </is>
      </c>
      <c r="Q910" s="26" t="n">
        <v>41.47</v>
      </c>
      <c r="R910" s="26">
        <f>Q910*G910</f>
        <v/>
      </c>
      <c r="S910" s="26">
        <f>IFERROR(VLOOKUP(E910*1,Tabla[#All],8,0),0)</f>
        <v/>
      </c>
      <c r="T910" s="26">
        <f>S910*G910</f>
        <v/>
      </c>
      <c r="U910" s="26">
        <f>R910-T910</f>
        <v/>
      </c>
      <c r="V910" s="26">
        <f>U910-L910</f>
        <v/>
      </c>
    </row>
    <row r="911">
      <c r="A911" s="11" t="n">
        <v>46213</v>
      </c>
      <c r="B911" s="1" t="n">
        <v>20028</v>
      </c>
      <c r="C911" s="1" t="inlineStr">
        <is>
          <t>140</t>
        </is>
      </c>
      <c r="D911" s="1" t="inlineStr">
        <is>
          <t>225154</t>
        </is>
      </c>
      <c r="E911" s="1" t="inlineStr">
        <is>
          <t xml:space="preserve">35685067       </t>
        </is>
      </c>
      <c r="F911" s="5" t="inlineStr">
        <is>
          <t>HOT WHEELS POWER SET 3 EN 1</t>
        </is>
      </c>
      <c r="G911" t="n">
        <v>1</v>
      </c>
      <c r="H911" s="7" t="n">
        <v>49.9</v>
      </c>
      <c r="I911" s="7" t="n">
        <v>0</v>
      </c>
      <c r="J911" s="7" t="n">
        <v>0</v>
      </c>
      <c r="K911" s="9" t="n">
        <v>0</v>
      </c>
      <c r="L911" s="10" t="n">
        <v>29.6</v>
      </c>
      <c r="M911" s="10" t="n">
        <v>1.43</v>
      </c>
      <c r="N911" t="inlineStr">
        <is>
          <t>1</t>
        </is>
      </c>
      <c r="O911" t="inlineStr">
        <is>
          <t>16</t>
        </is>
      </c>
      <c r="P911" t="inlineStr">
        <is>
          <t xml:space="preserve">35540   </t>
        </is>
      </c>
      <c r="Q911" s="26" t="n">
        <v>29.6</v>
      </c>
      <c r="R911" s="26">
        <f>Q911*G911</f>
        <v/>
      </c>
      <c r="S911" s="26">
        <f>IFERROR(VLOOKUP(E911*1,Tabla[#All],8,0),0)</f>
        <v/>
      </c>
      <c r="T911" s="26">
        <f>S911*G911</f>
        <v/>
      </c>
      <c r="U911" s="26">
        <f>R911-T911</f>
        <v/>
      </c>
      <c r="V911" s="26">
        <f>U911-L911</f>
        <v/>
      </c>
    </row>
    <row r="912">
      <c r="A912" s="11" t="n">
        <v>46213</v>
      </c>
      <c r="B912" s="1" t="n">
        <v>20030</v>
      </c>
      <c r="C912" s="1" t="inlineStr">
        <is>
          <t>067</t>
        </is>
      </c>
      <c r="D912" s="1" t="inlineStr">
        <is>
          <t>273660</t>
        </is>
      </c>
      <c r="E912" s="1" t="inlineStr">
        <is>
          <t xml:space="preserve">30141766       </t>
        </is>
      </c>
      <c r="F912" s="5" t="inlineStr">
        <is>
          <t>TMZ BEAST MACHINES AUTOS DE METAL BLISTER X 1</t>
        </is>
      </c>
      <c r="G912" t="n">
        <v>1</v>
      </c>
      <c r="H912" s="7" t="n">
        <v>7.9</v>
      </c>
      <c r="I912" s="7" t="n">
        <v>0</v>
      </c>
      <c r="J912" s="7" t="n">
        <v>0</v>
      </c>
      <c r="K912" s="9" t="n">
        <v>0</v>
      </c>
      <c r="L912" s="10" t="n">
        <v>4.68</v>
      </c>
      <c r="M912" s="10" t="n">
        <v>1.43</v>
      </c>
      <c r="N912" t="inlineStr">
        <is>
          <t>1</t>
        </is>
      </c>
      <c r="O912" t="inlineStr">
        <is>
          <t>16</t>
        </is>
      </c>
      <c r="P912" t="inlineStr">
        <is>
          <t xml:space="preserve">99737   </t>
        </is>
      </c>
      <c r="Q912" s="26" t="n">
        <v>4.69</v>
      </c>
      <c r="R912" s="26">
        <f>Q912*G912</f>
        <v/>
      </c>
      <c r="S912" s="26">
        <f>IFERROR(VLOOKUP(E912*1,Tabla[#All],8,0),0)</f>
        <v/>
      </c>
      <c r="T912" s="26">
        <f>S912*G912</f>
        <v/>
      </c>
      <c r="U912" s="26">
        <f>R912-T912</f>
        <v/>
      </c>
      <c r="V912" s="26">
        <f>U912-L912</f>
        <v/>
      </c>
    </row>
    <row r="913">
      <c r="A913" s="11" t="n">
        <v>46213</v>
      </c>
      <c r="B913" s="1" t="n">
        <v>20030</v>
      </c>
      <c r="C913" s="1" t="inlineStr">
        <is>
          <t>067</t>
        </is>
      </c>
      <c r="D913" s="1" t="inlineStr">
        <is>
          <t>273661</t>
        </is>
      </c>
      <c r="E913" s="1" t="inlineStr">
        <is>
          <t xml:space="preserve">30232283       </t>
        </is>
      </c>
      <c r="F913" s="5" t="inlineStr">
        <is>
          <t>INFINITY NADO PACK DE 2 TROMPOS DE BATALLA METAL</t>
        </is>
      </c>
      <c r="G913" t="n">
        <v>1</v>
      </c>
      <c r="H913" s="7" t="n">
        <v>79.90000000000001</v>
      </c>
      <c r="I913" s="7" t="n">
        <v>0</v>
      </c>
      <c r="J913" s="7" t="n">
        <v>0</v>
      </c>
      <c r="K913" s="9" t="n">
        <v>0</v>
      </c>
      <c r="L913" s="10" t="n">
        <v>47.4</v>
      </c>
      <c r="M913" s="10" t="n">
        <v>1.43</v>
      </c>
      <c r="N913" t="inlineStr">
        <is>
          <t>1</t>
        </is>
      </c>
      <c r="O913" t="inlineStr">
        <is>
          <t>16</t>
        </is>
      </c>
      <c r="P913" t="inlineStr">
        <is>
          <t xml:space="preserve">99737   </t>
        </is>
      </c>
      <c r="Q913" s="26" t="n">
        <v>47.4</v>
      </c>
      <c r="R913" s="26">
        <f>Q913*G913</f>
        <v/>
      </c>
      <c r="S913" s="26">
        <f>IFERROR(VLOOKUP(E913*1,Tabla[#All],8,0),0)</f>
        <v/>
      </c>
      <c r="T913" s="26">
        <f>S913*G913</f>
        <v/>
      </c>
      <c r="U913" s="26">
        <f>R913-T913</f>
        <v/>
      </c>
      <c r="V913" s="26">
        <f>U913-L913</f>
        <v/>
      </c>
    </row>
    <row r="914">
      <c r="A914" s="11" t="n">
        <v>46213</v>
      </c>
      <c r="B914" s="1" t="n">
        <v>20030</v>
      </c>
      <c r="C914" s="1" t="inlineStr">
        <is>
          <t>067</t>
        </is>
      </c>
      <c r="D914" s="1" t="inlineStr">
        <is>
          <t>273683</t>
        </is>
      </c>
      <c r="E914" s="1" t="inlineStr">
        <is>
          <t xml:space="preserve">34840525       </t>
        </is>
      </c>
      <c r="F914" s="5" t="inlineStr">
        <is>
          <t>NENUCO VAMOS DE PASEO</t>
        </is>
      </c>
      <c r="G914" t="n">
        <v>1</v>
      </c>
      <c r="H914" s="7" t="n">
        <v>99</v>
      </c>
      <c r="I914" s="7" t="n">
        <v>0</v>
      </c>
      <c r="J914" s="7" t="n">
        <v>0</v>
      </c>
      <c r="K914" s="9" t="n">
        <v>0</v>
      </c>
      <c r="L914" s="10" t="n">
        <v>58.73</v>
      </c>
      <c r="M914" s="10" t="n">
        <v>1.43</v>
      </c>
      <c r="N914" t="inlineStr">
        <is>
          <t>1</t>
        </is>
      </c>
      <c r="O914" t="inlineStr">
        <is>
          <t>16</t>
        </is>
      </c>
      <c r="P914" t="inlineStr">
        <is>
          <t xml:space="preserve">99737   </t>
        </is>
      </c>
      <c r="Q914" s="26" t="n">
        <v>58.73</v>
      </c>
      <c r="R914" s="26">
        <f>Q914*G914</f>
        <v/>
      </c>
      <c r="S914" s="26">
        <f>IFERROR(VLOOKUP(E914*1,Tabla[#All],8,0),0)</f>
        <v/>
      </c>
      <c r="T914" s="26">
        <f>S914*G914</f>
        <v/>
      </c>
      <c r="U914" s="26">
        <f>R914-T914</f>
        <v/>
      </c>
      <c r="V914" s="26">
        <f>U914-L914</f>
        <v/>
      </c>
    </row>
    <row r="915">
      <c r="A915" s="11" t="n">
        <v>46213</v>
      </c>
      <c r="B915" s="1" t="n">
        <v>20030</v>
      </c>
      <c r="C915" s="1" t="inlineStr">
        <is>
          <t>067</t>
        </is>
      </c>
      <c r="D915" s="1" t="inlineStr">
        <is>
          <t>273721</t>
        </is>
      </c>
      <c r="E915" s="1" t="inlineStr">
        <is>
          <t xml:space="preserve">34840556       </t>
        </is>
      </c>
      <c r="F915" s="5" t="inlineStr">
        <is>
          <t>TMZ BEAST MACH. TRANSPORT DINO +ACCS</t>
        </is>
      </c>
      <c r="G915" t="n">
        <v>1</v>
      </c>
      <c r="H915" s="7" t="n">
        <v>79.90000000000001</v>
      </c>
      <c r="I915" s="7" t="n">
        <v>0</v>
      </c>
      <c r="J915" s="7" t="n">
        <v>0</v>
      </c>
      <c r="K915" s="9" t="n">
        <v>0</v>
      </c>
      <c r="L915" s="10" t="n">
        <v>47.4</v>
      </c>
      <c r="M915" s="10" t="n">
        <v>1.43</v>
      </c>
      <c r="N915" t="inlineStr">
        <is>
          <t>1</t>
        </is>
      </c>
      <c r="O915" t="inlineStr">
        <is>
          <t xml:space="preserve">2 </t>
        </is>
      </c>
      <c r="P915" t="inlineStr">
        <is>
          <t xml:space="preserve">99737   </t>
        </is>
      </c>
      <c r="Q915" s="26" t="n">
        <v>47.4</v>
      </c>
      <c r="R915" s="26">
        <f>Q915*G915</f>
        <v/>
      </c>
      <c r="S915" s="26">
        <f>IFERROR(VLOOKUP(E915*1,Tabla[#All],8,0),0)</f>
        <v/>
      </c>
      <c r="T915" s="26">
        <f>S915*G915</f>
        <v/>
      </c>
      <c r="U915" s="26">
        <f>R915-T915</f>
        <v/>
      </c>
      <c r="V915" s="26">
        <f>U915-L915</f>
        <v/>
      </c>
    </row>
    <row r="916">
      <c r="A916" s="11" t="n">
        <v>46213</v>
      </c>
      <c r="B916" s="1" t="n">
        <v>20030</v>
      </c>
      <c r="C916" s="1" t="inlineStr">
        <is>
          <t>077</t>
        </is>
      </c>
      <c r="D916" s="1" t="inlineStr">
        <is>
          <t>232123</t>
        </is>
      </c>
      <c r="E916" s="1" t="inlineStr">
        <is>
          <t xml:space="preserve">28194780       </t>
        </is>
      </c>
      <c r="F916" s="5" t="inlineStr">
        <is>
          <t>TROMPO BATALLA INFINITY NADO PLSTICO SURTIDO</t>
        </is>
      </c>
      <c r="G916" t="n">
        <v>1</v>
      </c>
      <c r="H916" s="7" t="n">
        <v>19.9</v>
      </c>
      <c r="I916" s="7" t="n">
        <v>0</v>
      </c>
      <c r="J916" s="7" t="n">
        <v>0</v>
      </c>
      <c r="K916" s="9" t="n">
        <v>0</v>
      </c>
      <c r="L916" s="10" t="n">
        <v>11.8</v>
      </c>
      <c r="M916" s="10" t="n">
        <v>1.43</v>
      </c>
      <c r="N916" t="inlineStr">
        <is>
          <t>1</t>
        </is>
      </c>
      <c r="O916" t="inlineStr">
        <is>
          <t>16</t>
        </is>
      </c>
      <c r="P916" t="inlineStr">
        <is>
          <t xml:space="preserve">52224   </t>
        </is>
      </c>
      <c r="Q916" s="26" t="n">
        <v>11.81</v>
      </c>
      <c r="R916" s="26">
        <f>Q916*G916</f>
        <v/>
      </c>
      <c r="S916" s="26">
        <f>IFERROR(VLOOKUP(E916*1,Tabla[#All],8,0),0)</f>
        <v/>
      </c>
      <c r="T916" s="26">
        <f>S916*G916</f>
        <v/>
      </c>
      <c r="U916" s="26">
        <f>R916-T916</f>
        <v/>
      </c>
      <c r="V916" s="26">
        <f>U916-L916</f>
        <v/>
      </c>
    </row>
    <row r="917">
      <c r="A917" s="11" t="n">
        <v>46213</v>
      </c>
      <c r="B917" s="1" t="n">
        <v>20040</v>
      </c>
      <c r="C917" s="1" t="inlineStr">
        <is>
          <t>072</t>
        </is>
      </c>
      <c r="D917" s="1" t="inlineStr">
        <is>
          <t>251481</t>
        </is>
      </c>
      <c r="E917" s="1" t="inlineStr">
        <is>
          <t xml:space="preserve">28194769       </t>
        </is>
      </c>
      <c r="F917" s="5" t="inlineStr">
        <is>
          <t>AUTOS DE METAL 3 TEAMSTERZ PACK DE 2</t>
        </is>
      </c>
      <c r="G917" t="n">
        <v>1</v>
      </c>
      <c r="H917" s="7" t="n">
        <v>13.8</v>
      </c>
      <c r="I917" s="7" t="n">
        <v>0</v>
      </c>
      <c r="J917" s="7" t="n">
        <v>0</v>
      </c>
      <c r="K917" s="9" t="n">
        <v>0</v>
      </c>
      <c r="L917" s="10" t="n">
        <v>8.18</v>
      </c>
      <c r="M917" s="10" t="n">
        <v>1.43</v>
      </c>
      <c r="N917" t="inlineStr">
        <is>
          <t>1</t>
        </is>
      </c>
      <c r="O917" t="inlineStr">
        <is>
          <t>16</t>
        </is>
      </c>
      <c r="P917" t="inlineStr">
        <is>
          <t xml:space="preserve">247275  </t>
        </is>
      </c>
      <c r="Q917" s="26" t="n">
        <v>8.19</v>
      </c>
      <c r="R917" s="26">
        <f>Q917*G917</f>
        <v/>
      </c>
      <c r="S917" s="26">
        <f>IFERROR(VLOOKUP(E917*1,Tabla[#All],8,0),0)</f>
        <v/>
      </c>
      <c r="T917" s="26">
        <f>S917*G917</f>
        <v/>
      </c>
      <c r="U917" s="26">
        <f>R917-T917</f>
        <v/>
      </c>
      <c r="V917" s="26">
        <f>U917-L917</f>
        <v/>
      </c>
    </row>
    <row r="918">
      <c r="A918" s="11" t="n">
        <v>46213</v>
      </c>
      <c r="B918" s="1" t="n">
        <v>20040</v>
      </c>
      <c r="C918" s="1" t="inlineStr">
        <is>
          <t>073</t>
        </is>
      </c>
      <c r="D918" s="1" t="inlineStr">
        <is>
          <t>254418</t>
        </is>
      </c>
      <c r="E918" s="1" t="inlineStr">
        <is>
          <t xml:space="preserve">28194770       </t>
        </is>
      </c>
      <c r="F918" s="5" t="inlineStr">
        <is>
          <t>AUTOS DE METAL 3 TEAMSTERZ EN BLISTER</t>
        </is>
      </c>
      <c r="G918" t="n">
        <v>1</v>
      </c>
      <c r="H918" s="7" t="n">
        <v>6.9</v>
      </c>
      <c r="I918" s="7" t="n">
        <v>0.6899999999999999</v>
      </c>
      <c r="J918" s="7" t="n">
        <v>0</v>
      </c>
      <c r="K918" s="9" t="n">
        <v>0.6899999999999999</v>
      </c>
      <c r="L918" s="10" t="n">
        <v>3.68</v>
      </c>
      <c r="M918" s="10" t="n">
        <v>1.43</v>
      </c>
      <c r="N918" t="inlineStr">
        <is>
          <t>1</t>
        </is>
      </c>
      <c r="O918" t="inlineStr">
        <is>
          <t xml:space="preserve">3 </t>
        </is>
      </c>
      <c r="P918" t="inlineStr">
        <is>
          <t xml:space="preserve">250391  </t>
        </is>
      </c>
      <c r="Q918" s="26" t="n">
        <v>4.09</v>
      </c>
      <c r="R918" s="26">
        <f>Q918*G918</f>
        <v/>
      </c>
      <c r="S918" s="26">
        <f>IFERROR(VLOOKUP(E918*1,Tabla[#All],8,0),0)</f>
        <v/>
      </c>
      <c r="T918" s="26">
        <f>S918*G918</f>
        <v/>
      </c>
      <c r="U918" s="26">
        <f>R918-T918</f>
        <v/>
      </c>
      <c r="V918" s="26">
        <f>U918-L918</f>
        <v/>
      </c>
    </row>
    <row r="919">
      <c r="A919" s="11" t="n">
        <v>46213</v>
      </c>
      <c r="B919" s="1" t="n">
        <v>20040</v>
      </c>
      <c r="C919" s="1" t="inlineStr">
        <is>
          <t>073</t>
        </is>
      </c>
      <c r="D919" s="1" t="inlineStr">
        <is>
          <t>254418</t>
        </is>
      </c>
      <c r="E919" s="1" t="inlineStr">
        <is>
          <t xml:space="preserve">28194770       </t>
        </is>
      </c>
      <c r="F919" s="5" t="inlineStr">
        <is>
          <t>AUTOS DE METAL 3 TEAMSTERZ EN BLISTER</t>
        </is>
      </c>
      <c r="G919" t="n">
        <v>1</v>
      </c>
      <c r="H919" s="7" t="n">
        <v>6.9</v>
      </c>
      <c r="I919" s="7" t="n">
        <v>0.6899999999999999</v>
      </c>
      <c r="J919" s="7" t="n">
        <v>0</v>
      </c>
      <c r="K919" s="9" t="n">
        <v>0.6899999999999999</v>
      </c>
      <c r="L919" s="10" t="n">
        <v>3.68</v>
      </c>
      <c r="M919" s="10" t="n">
        <v>1.43</v>
      </c>
      <c r="N919" t="inlineStr">
        <is>
          <t>1</t>
        </is>
      </c>
      <c r="O919" t="inlineStr">
        <is>
          <t xml:space="preserve">3 </t>
        </is>
      </c>
      <c r="P919" t="inlineStr">
        <is>
          <t xml:space="preserve">250391  </t>
        </is>
      </c>
      <c r="Q919" s="26" t="n">
        <v>4.09</v>
      </c>
      <c r="R919" s="26">
        <f>Q919*G919</f>
        <v/>
      </c>
      <c r="S919" s="26">
        <f>IFERROR(VLOOKUP(E919*1,Tabla[#All],8,0),0)</f>
        <v/>
      </c>
      <c r="T919" s="26">
        <f>S919*G919</f>
        <v/>
      </c>
      <c r="U919" s="26">
        <f>R919-T919</f>
        <v/>
      </c>
      <c r="V919" s="26">
        <f>U919-L919</f>
        <v/>
      </c>
    </row>
    <row r="920">
      <c r="A920" s="11" t="n">
        <v>46213</v>
      </c>
      <c r="B920" s="1" t="n">
        <v>20041</v>
      </c>
      <c r="C920" s="1" t="inlineStr">
        <is>
          <t>016</t>
        </is>
      </c>
      <c r="D920" s="1" t="inlineStr">
        <is>
          <t>215225</t>
        </is>
      </c>
      <c r="E920" s="1" t="inlineStr">
        <is>
          <t xml:space="preserve">28194770       </t>
        </is>
      </c>
      <c r="F920" s="5" t="inlineStr">
        <is>
          <t>AUTOS DE METAL 3 TEAMSTERZ EN BLISTER</t>
        </is>
      </c>
      <c r="G920" t="n">
        <v>1</v>
      </c>
      <c r="H920" s="7" t="n">
        <v>6.9</v>
      </c>
      <c r="I920" s="7" t="n">
        <v>0</v>
      </c>
      <c r="J920" s="7" t="n">
        <v>0</v>
      </c>
      <c r="K920" s="9" t="n">
        <v>0</v>
      </c>
      <c r="L920" s="10" t="n">
        <v>4.1</v>
      </c>
      <c r="M920" s="10" t="n">
        <v>1.43</v>
      </c>
      <c r="N920" t="inlineStr">
        <is>
          <t>1</t>
        </is>
      </c>
      <c r="O920" t="inlineStr">
        <is>
          <t>16</t>
        </is>
      </c>
      <c r="P920" t="inlineStr">
        <is>
          <t xml:space="preserve">36144   </t>
        </is>
      </c>
      <c r="Q920" s="26" t="n">
        <v>4.09</v>
      </c>
      <c r="R920" s="26">
        <f>Q920*G920</f>
        <v/>
      </c>
      <c r="S920" s="26">
        <f>IFERROR(VLOOKUP(E920*1,Tabla[#All],8,0),0)</f>
        <v/>
      </c>
      <c r="T920" s="26">
        <f>S920*G920</f>
        <v/>
      </c>
      <c r="U920" s="26">
        <f>R920-T920</f>
        <v/>
      </c>
      <c r="V920" s="26">
        <f>U920-L920</f>
        <v/>
      </c>
    </row>
    <row r="921">
      <c r="A921" s="11" t="n">
        <v>46213</v>
      </c>
      <c r="B921" s="1" t="n">
        <v>20041</v>
      </c>
      <c r="C921" s="1" t="inlineStr">
        <is>
          <t>037</t>
        </is>
      </c>
      <c r="D921" s="1" t="inlineStr">
        <is>
          <t>189321</t>
        </is>
      </c>
      <c r="E921" s="1" t="inlineStr">
        <is>
          <t xml:space="preserve">28194780       </t>
        </is>
      </c>
      <c r="F921" s="5" t="inlineStr">
        <is>
          <t>TROMPO BATALLA INFINITY NADO PLSTICO SURTIDO</t>
        </is>
      </c>
      <c r="G921" t="n">
        <v>1</v>
      </c>
      <c r="H921" s="7" t="n">
        <v>19.9</v>
      </c>
      <c r="I921" s="7" t="n">
        <v>1.99</v>
      </c>
      <c r="J921" s="7" t="n">
        <v>0</v>
      </c>
      <c r="K921" s="9" t="n">
        <v>1.99</v>
      </c>
      <c r="L921" s="10" t="n">
        <v>10.63</v>
      </c>
      <c r="M921" s="10" t="n">
        <v>1.43</v>
      </c>
      <c r="N921" t="inlineStr">
        <is>
          <t>1</t>
        </is>
      </c>
      <c r="O921" t="inlineStr">
        <is>
          <t xml:space="preserve">3 </t>
        </is>
      </c>
      <c r="P921" t="inlineStr">
        <is>
          <t xml:space="preserve">245842  </t>
        </is>
      </c>
      <c r="Q921" s="26" t="n">
        <v>11.81</v>
      </c>
      <c r="R921" s="26">
        <f>Q921*G921</f>
        <v/>
      </c>
      <c r="S921" s="26">
        <f>IFERROR(VLOOKUP(E921*1,Tabla[#All],8,0),0)</f>
        <v/>
      </c>
      <c r="T921" s="26">
        <f>S921*G921</f>
        <v/>
      </c>
      <c r="U921" s="26">
        <f>R921-T921</f>
        <v/>
      </c>
      <c r="V921" s="26">
        <f>U921-L921</f>
        <v/>
      </c>
    </row>
    <row r="922">
      <c r="A922" s="11" t="n">
        <v>46213</v>
      </c>
      <c r="B922" s="1" t="n">
        <v>20041</v>
      </c>
      <c r="C922" s="1" t="inlineStr">
        <is>
          <t>037</t>
        </is>
      </c>
      <c r="D922" s="1" t="inlineStr">
        <is>
          <t>189337</t>
        </is>
      </c>
      <c r="E922" s="1" t="inlineStr">
        <is>
          <t xml:space="preserve">28194770       </t>
        </is>
      </c>
      <c r="F922" s="5" t="inlineStr">
        <is>
          <t>AUTOS DE METAL 3 TEAMSTERZ EN BLISTER</t>
        </is>
      </c>
      <c r="G922" t="n">
        <v>1</v>
      </c>
      <c r="H922" s="7" t="n">
        <v>6.9</v>
      </c>
      <c r="I922" s="7" t="n">
        <v>0</v>
      </c>
      <c r="J922" s="7" t="n">
        <v>0</v>
      </c>
      <c r="K922" s="9" t="n">
        <v>0</v>
      </c>
      <c r="L922" s="10" t="n">
        <v>4.1</v>
      </c>
      <c r="M922" s="10" t="n">
        <v>1.43</v>
      </c>
      <c r="N922" t="inlineStr">
        <is>
          <t>1</t>
        </is>
      </c>
      <c r="O922" t="inlineStr">
        <is>
          <t xml:space="preserve">2 </t>
        </is>
      </c>
      <c r="P922" t="inlineStr">
        <is>
          <t xml:space="preserve">245842  </t>
        </is>
      </c>
      <c r="Q922" s="26" t="n">
        <v>4.09</v>
      </c>
      <c r="R922" s="26">
        <f>Q922*G922</f>
        <v/>
      </c>
      <c r="S922" s="26">
        <f>IFERROR(VLOOKUP(E922*1,Tabla[#All],8,0),0)</f>
        <v/>
      </c>
      <c r="T922" s="26">
        <f>S922*G922</f>
        <v/>
      </c>
      <c r="U922" s="26">
        <f>R922-T922</f>
        <v/>
      </c>
      <c r="V922" s="26">
        <f>U922-L922</f>
        <v/>
      </c>
    </row>
    <row r="923">
      <c r="A923" s="11" t="n">
        <v>46213</v>
      </c>
      <c r="B923" s="1" t="n">
        <v>20041</v>
      </c>
      <c r="C923" s="1" t="inlineStr">
        <is>
          <t>037</t>
        </is>
      </c>
      <c r="D923" s="1" t="inlineStr">
        <is>
          <t>189337</t>
        </is>
      </c>
      <c r="E923" s="1" t="inlineStr">
        <is>
          <t xml:space="preserve">28194770       </t>
        </is>
      </c>
      <c r="F923" s="5" t="inlineStr">
        <is>
          <t>AUTOS DE METAL 3 TEAMSTERZ EN BLISTER</t>
        </is>
      </c>
      <c r="G923" t="n">
        <v>1</v>
      </c>
      <c r="H923" s="7" t="n">
        <v>6.9</v>
      </c>
      <c r="I923" s="7" t="n">
        <v>0</v>
      </c>
      <c r="J923" s="7" t="n">
        <v>0</v>
      </c>
      <c r="K923" s="9" t="n">
        <v>0</v>
      </c>
      <c r="L923" s="10" t="n">
        <v>4.1</v>
      </c>
      <c r="M923" s="10" t="n">
        <v>1.43</v>
      </c>
      <c r="N923" t="inlineStr">
        <is>
          <t>1</t>
        </is>
      </c>
      <c r="O923" t="inlineStr">
        <is>
          <t xml:space="preserve">2 </t>
        </is>
      </c>
      <c r="P923" t="inlineStr">
        <is>
          <t xml:space="preserve">245842  </t>
        </is>
      </c>
      <c r="Q923" s="26" t="n">
        <v>4.09</v>
      </c>
      <c r="R923" s="26">
        <f>Q923*G923</f>
        <v/>
      </c>
      <c r="S923" s="26">
        <f>IFERROR(VLOOKUP(E923*1,Tabla[#All],8,0),0)</f>
        <v/>
      </c>
      <c r="T923" s="26">
        <f>S923*G923</f>
        <v/>
      </c>
      <c r="U923" s="26">
        <f>R923-T923</f>
        <v/>
      </c>
      <c r="V923" s="26">
        <f>U923-L923</f>
        <v/>
      </c>
    </row>
    <row r="924">
      <c r="A924" s="11" t="n">
        <v>46213</v>
      </c>
      <c r="B924" s="1" t="n">
        <v>20041</v>
      </c>
      <c r="C924" s="1" t="inlineStr">
        <is>
          <t>037</t>
        </is>
      </c>
      <c r="D924" s="1" t="inlineStr">
        <is>
          <t>189339</t>
        </is>
      </c>
      <c r="E924" s="1" t="inlineStr">
        <is>
          <t xml:space="preserve">28194770       </t>
        </is>
      </c>
      <c r="F924" s="5" t="inlineStr">
        <is>
          <t>AUTOS DE METAL 3 TEAMSTERZ EN BLISTER</t>
        </is>
      </c>
      <c r="G924" t="n">
        <v>1</v>
      </c>
      <c r="H924" s="7" t="n">
        <v>6.9</v>
      </c>
      <c r="I924" s="7" t="n">
        <v>0</v>
      </c>
      <c r="J924" s="7" t="n">
        <v>0</v>
      </c>
      <c r="K924" s="9" t="n">
        <v>0</v>
      </c>
      <c r="L924" s="10" t="n">
        <v>4.1</v>
      </c>
      <c r="M924" s="10" t="n">
        <v>1.43</v>
      </c>
      <c r="N924" t="inlineStr">
        <is>
          <t>1</t>
        </is>
      </c>
      <c r="O924" t="inlineStr">
        <is>
          <t>16</t>
        </is>
      </c>
      <c r="P924" t="inlineStr">
        <is>
          <t xml:space="preserve">245842  </t>
        </is>
      </c>
      <c r="Q924" s="26" t="n">
        <v>4.09</v>
      </c>
      <c r="R924" s="26">
        <f>Q924*G924</f>
        <v/>
      </c>
      <c r="S924" s="26">
        <f>IFERROR(VLOOKUP(E924*1,Tabla[#All],8,0),0)</f>
        <v/>
      </c>
      <c r="T924" s="26">
        <f>S924*G924</f>
        <v/>
      </c>
      <c r="U924" s="26">
        <f>R924-T924</f>
        <v/>
      </c>
      <c r="V924" s="26">
        <f>U924-L924</f>
        <v/>
      </c>
    </row>
    <row r="925">
      <c r="A925" s="11" t="n">
        <v>46213</v>
      </c>
      <c r="B925" s="1" t="n">
        <v>20041</v>
      </c>
      <c r="C925" s="1" t="inlineStr">
        <is>
          <t>037</t>
        </is>
      </c>
      <c r="D925" s="1" t="inlineStr">
        <is>
          <t>189352</t>
        </is>
      </c>
      <c r="E925" s="1" t="inlineStr">
        <is>
          <t xml:space="preserve">28194769       </t>
        </is>
      </c>
      <c r="F925" s="5" t="inlineStr">
        <is>
          <t>AUTOS DE METAL 3 TEAMSTERZ PACK DE 2</t>
        </is>
      </c>
      <c r="G925" t="n">
        <v>1</v>
      </c>
      <c r="H925" s="7" t="n">
        <v>13.8</v>
      </c>
      <c r="I925" s="7" t="n">
        <v>0</v>
      </c>
      <c r="J925" s="7" t="n">
        <v>0</v>
      </c>
      <c r="K925" s="9" t="n">
        <v>0</v>
      </c>
      <c r="L925" s="10" t="n">
        <v>8.18</v>
      </c>
      <c r="M925" s="10" t="n">
        <v>1.43</v>
      </c>
      <c r="N925" t="inlineStr">
        <is>
          <t>1</t>
        </is>
      </c>
      <c r="O925" t="inlineStr">
        <is>
          <t xml:space="preserve">2 </t>
        </is>
      </c>
      <c r="P925" t="inlineStr">
        <is>
          <t xml:space="preserve">245842  </t>
        </is>
      </c>
      <c r="Q925" s="26" t="n">
        <v>8.19</v>
      </c>
      <c r="R925" s="26">
        <f>Q925*G925</f>
        <v/>
      </c>
      <c r="S925" s="26">
        <f>IFERROR(VLOOKUP(E925*1,Tabla[#All],8,0),0)</f>
        <v/>
      </c>
      <c r="T925" s="26">
        <f>S925*G925</f>
        <v/>
      </c>
      <c r="U925" s="26">
        <f>R925-T925</f>
        <v/>
      </c>
      <c r="V925" s="26">
        <f>U925-L925</f>
        <v/>
      </c>
    </row>
    <row r="926">
      <c r="A926" s="11" t="n">
        <v>46213</v>
      </c>
      <c r="B926" s="1" t="n">
        <v>20041</v>
      </c>
      <c r="C926" s="1" t="inlineStr">
        <is>
          <t>037</t>
        </is>
      </c>
      <c r="D926" s="1" t="inlineStr">
        <is>
          <t>189353</t>
        </is>
      </c>
      <c r="E926" s="1" t="inlineStr">
        <is>
          <t xml:space="preserve">28194770       </t>
        </is>
      </c>
      <c r="F926" s="5" t="inlineStr">
        <is>
          <t>AUTOS DE METAL 3 TEAMSTERZ EN BLISTER</t>
        </is>
      </c>
      <c r="G926" t="n">
        <v>1</v>
      </c>
      <c r="H926" s="7" t="n">
        <v>6.9</v>
      </c>
      <c r="I926" s="7" t="n">
        <v>0</v>
      </c>
      <c r="J926" s="7" t="n">
        <v>0</v>
      </c>
      <c r="K926" s="9" t="n">
        <v>0</v>
      </c>
      <c r="L926" s="10" t="n">
        <v>4.1</v>
      </c>
      <c r="M926" s="10" t="n">
        <v>1.43</v>
      </c>
      <c r="N926" t="inlineStr">
        <is>
          <t>1</t>
        </is>
      </c>
      <c r="O926" t="inlineStr">
        <is>
          <t>16</t>
        </is>
      </c>
      <c r="P926" t="inlineStr">
        <is>
          <t xml:space="preserve">245842  </t>
        </is>
      </c>
      <c r="Q926" s="26" t="n">
        <v>4.09</v>
      </c>
      <c r="R926" s="26">
        <f>Q926*G926</f>
        <v/>
      </c>
      <c r="S926" s="26">
        <f>IFERROR(VLOOKUP(E926*1,Tabla[#All],8,0),0)</f>
        <v/>
      </c>
      <c r="T926" s="26">
        <f>S926*G926</f>
        <v/>
      </c>
      <c r="U926" s="26">
        <f>R926-T926</f>
        <v/>
      </c>
      <c r="V926" s="26">
        <f>U926-L926</f>
        <v/>
      </c>
    </row>
    <row r="927">
      <c r="A927" s="11" t="n">
        <v>46213</v>
      </c>
      <c r="B927" s="1" t="n">
        <v>20041</v>
      </c>
      <c r="C927" s="1" t="inlineStr">
        <is>
          <t>037</t>
        </is>
      </c>
      <c r="D927" s="1" t="inlineStr">
        <is>
          <t>189353</t>
        </is>
      </c>
      <c r="E927" s="1" t="inlineStr">
        <is>
          <t xml:space="preserve">28194770       </t>
        </is>
      </c>
      <c r="F927" s="5" t="inlineStr">
        <is>
          <t>AUTOS DE METAL 3 TEAMSTERZ EN BLISTER</t>
        </is>
      </c>
      <c r="G927" t="n">
        <v>1</v>
      </c>
      <c r="H927" s="7" t="n">
        <v>6.9</v>
      </c>
      <c r="I927" s="7" t="n">
        <v>0</v>
      </c>
      <c r="J927" s="7" t="n">
        <v>0</v>
      </c>
      <c r="K927" s="9" t="n">
        <v>0</v>
      </c>
      <c r="L927" s="10" t="n">
        <v>4.1</v>
      </c>
      <c r="M927" s="10" t="n">
        <v>1.43</v>
      </c>
      <c r="N927" t="inlineStr">
        <is>
          <t>1</t>
        </is>
      </c>
      <c r="O927" t="inlineStr">
        <is>
          <t>16</t>
        </is>
      </c>
      <c r="P927" t="inlineStr">
        <is>
          <t xml:space="preserve">245842  </t>
        </is>
      </c>
      <c r="Q927" s="26" t="n">
        <v>4.09</v>
      </c>
      <c r="R927" s="26">
        <f>Q927*G927</f>
        <v/>
      </c>
      <c r="S927" s="26">
        <f>IFERROR(VLOOKUP(E927*1,Tabla[#All],8,0),0)</f>
        <v/>
      </c>
      <c r="T927" s="26">
        <f>S927*G927</f>
        <v/>
      </c>
      <c r="U927" s="26">
        <f>R927-T927</f>
        <v/>
      </c>
      <c r="V927" s="26">
        <f>U927-L927</f>
        <v/>
      </c>
    </row>
    <row r="928">
      <c r="A928" s="11" t="n">
        <v>46213</v>
      </c>
      <c r="B928" s="1" t="n">
        <v>20041</v>
      </c>
      <c r="C928" s="1" t="inlineStr">
        <is>
          <t>037</t>
        </is>
      </c>
      <c r="D928" s="1" t="inlineStr">
        <is>
          <t>189389</t>
        </is>
      </c>
      <c r="E928" s="1" t="inlineStr">
        <is>
          <t xml:space="preserve">28194769       </t>
        </is>
      </c>
      <c r="F928" s="5" t="inlineStr">
        <is>
          <t>AUTOS DE METAL 3 TEAMSTERZ PACK DE 2</t>
        </is>
      </c>
      <c r="G928" t="n">
        <v>1</v>
      </c>
      <c r="H928" s="7" t="n">
        <v>13.8</v>
      </c>
      <c r="I928" s="7" t="n">
        <v>0</v>
      </c>
      <c r="J928" s="7" t="n">
        <v>0</v>
      </c>
      <c r="K928" s="9" t="n">
        <v>0</v>
      </c>
      <c r="L928" s="10" t="n">
        <v>8.18</v>
      </c>
      <c r="M928" s="10" t="n">
        <v>1.43</v>
      </c>
      <c r="N928" t="inlineStr">
        <is>
          <t>1</t>
        </is>
      </c>
      <c r="O928" t="inlineStr">
        <is>
          <t>16</t>
        </is>
      </c>
      <c r="P928" t="inlineStr">
        <is>
          <t xml:space="preserve">243698  </t>
        </is>
      </c>
      <c r="Q928" s="26" t="n">
        <v>8.19</v>
      </c>
      <c r="R928" s="26">
        <f>Q928*G928</f>
        <v/>
      </c>
      <c r="S928" s="26">
        <f>IFERROR(VLOOKUP(E928*1,Tabla[#All],8,0),0)</f>
        <v/>
      </c>
      <c r="T928" s="26">
        <f>S928*G928</f>
        <v/>
      </c>
      <c r="U928" s="26">
        <f>R928-T928</f>
        <v/>
      </c>
      <c r="V928" s="26">
        <f>U928-L928</f>
        <v/>
      </c>
    </row>
    <row r="929">
      <c r="A929" s="11" t="n">
        <v>46213</v>
      </c>
      <c r="B929" s="1" t="n">
        <v>20041</v>
      </c>
      <c r="C929" s="1" t="inlineStr">
        <is>
          <t>037</t>
        </is>
      </c>
      <c r="D929" s="1" t="inlineStr">
        <is>
          <t>189392</t>
        </is>
      </c>
      <c r="E929" s="1" t="inlineStr">
        <is>
          <t xml:space="preserve">28194770       </t>
        </is>
      </c>
      <c r="F929" s="5" t="inlineStr">
        <is>
          <t>AUTOS DE METAL 3 TEAMSTERZ EN BLISTER</t>
        </is>
      </c>
      <c r="G929" t="n">
        <v>3</v>
      </c>
      <c r="H929" s="7" t="n">
        <v>20.7</v>
      </c>
      <c r="I929" s="7" t="n">
        <v>2.07</v>
      </c>
      <c r="J929" s="7" t="n">
        <v>0</v>
      </c>
      <c r="K929" s="9" t="n">
        <v>2.07</v>
      </c>
      <c r="L929" s="10" t="n">
        <v>11.04</v>
      </c>
      <c r="M929" s="10" t="n">
        <v>1.43</v>
      </c>
      <c r="N929" t="inlineStr">
        <is>
          <t>1</t>
        </is>
      </c>
      <c r="O929" t="inlineStr">
        <is>
          <t xml:space="preserve">3 </t>
        </is>
      </c>
      <c r="P929" t="inlineStr">
        <is>
          <t xml:space="preserve">243698  </t>
        </is>
      </c>
      <c r="Q929" s="26" t="n">
        <v>4.09</v>
      </c>
      <c r="R929" s="26">
        <f>Q929*G929</f>
        <v/>
      </c>
      <c r="S929" s="26">
        <f>IFERROR(VLOOKUP(E929*1,Tabla[#All],8,0),0)</f>
        <v/>
      </c>
      <c r="T929" s="26">
        <f>S929*G929</f>
        <v/>
      </c>
      <c r="U929" s="26">
        <f>R929-T929</f>
        <v/>
      </c>
      <c r="V929" s="26">
        <f>U929-L929</f>
        <v/>
      </c>
    </row>
    <row r="930">
      <c r="A930" s="11" t="n">
        <v>46213</v>
      </c>
      <c r="B930" s="1" t="n">
        <v>20041</v>
      </c>
      <c r="C930" s="1" t="inlineStr">
        <is>
          <t>043</t>
        </is>
      </c>
      <c r="D930" s="1" t="inlineStr">
        <is>
          <t xml:space="preserve">75907 </t>
        </is>
      </c>
      <c r="E930" s="1" t="inlineStr">
        <is>
          <t xml:space="preserve">28194770       </t>
        </is>
      </c>
      <c r="F930" s="5" t="inlineStr">
        <is>
          <t>AUTOS DE METAL 3 TEAMSTERZ EN BLISTER</t>
        </is>
      </c>
      <c r="G930" t="n">
        <v>1</v>
      </c>
      <c r="H930" s="7" t="n">
        <v>6.9</v>
      </c>
      <c r="I930" s="7" t="n">
        <v>0</v>
      </c>
      <c r="J930" s="7" t="n">
        <v>0</v>
      </c>
      <c r="K930" s="9" t="n">
        <v>0</v>
      </c>
      <c r="L930" s="10" t="n">
        <v>4.1</v>
      </c>
      <c r="M930" s="10" t="n">
        <v>1.43</v>
      </c>
      <c r="N930" t="inlineStr">
        <is>
          <t>1</t>
        </is>
      </c>
      <c r="O930" t="inlineStr">
        <is>
          <t xml:space="preserve">2 </t>
        </is>
      </c>
      <c r="P930" t="inlineStr">
        <is>
          <t xml:space="preserve">244965  </t>
        </is>
      </c>
      <c r="Q930" s="26" t="n">
        <v>4.09</v>
      </c>
      <c r="R930" s="26">
        <f>Q930*G930</f>
        <v/>
      </c>
      <c r="S930" s="26">
        <f>IFERROR(VLOOKUP(E930*1,Tabla[#All],8,0),0)</f>
        <v/>
      </c>
      <c r="T930" s="26">
        <f>S930*G930</f>
        <v/>
      </c>
      <c r="U930" s="26">
        <f>R930-T930</f>
        <v/>
      </c>
      <c r="V930" s="26">
        <f>U930-L930</f>
        <v/>
      </c>
    </row>
    <row r="931">
      <c r="A931" s="11" t="n">
        <v>46213</v>
      </c>
      <c r="B931" s="1" t="n">
        <v>20041</v>
      </c>
      <c r="C931" s="1" t="inlineStr">
        <is>
          <t>519</t>
        </is>
      </c>
      <c r="D931" s="1" t="inlineStr">
        <is>
          <t xml:space="preserve">6819  </t>
        </is>
      </c>
      <c r="E931" s="1" t="inlineStr">
        <is>
          <t xml:space="preserve">33483121       </t>
        </is>
      </c>
      <c r="F931" s="5" t="inlineStr">
        <is>
          <t>HOT WHEELS ESTUCHE PARA 15 AUTOS SURTIDO</t>
        </is>
      </c>
      <c r="G931" t="n">
        <v>1</v>
      </c>
      <c r="H931" s="7" t="n">
        <v>34.9</v>
      </c>
      <c r="I931" s="7" t="n">
        <v>0</v>
      </c>
      <c r="J931" s="7" t="n">
        <v>0</v>
      </c>
      <c r="K931" s="9" t="n">
        <v>0</v>
      </c>
      <c r="L931" s="10" t="n">
        <v>20.71</v>
      </c>
      <c r="M931" s="10" t="n">
        <v>1.43</v>
      </c>
      <c r="N931" t="inlineStr">
        <is>
          <t>1</t>
        </is>
      </c>
      <c r="O931" t="inlineStr">
        <is>
          <t>16</t>
        </is>
      </c>
      <c r="P931" t="inlineStr">
        <is>
          <t xml:space="preserve">248088  </t>
        </is>
      </c>
      <c r="Q931" s="26" t="n">
        <v>20.7</v>
      </c>
      <c r="R931" s="26">
        <f>Q931*G931</f>
        <v/>
      </c>
      <c r="S931" s="26">
        <f>IFERROR(VLOOKUP(E931*1,Tabla[#All],8,0),0)</f>
        <v/>
      </c>
      <c r="T931" s="26">
        <f>S931*G931</f>
        <v/>
      </c>
      <c r="U931" s="26">
        <f>R931-T931</f>
        <v/>
      </c>
      <c r="V931" s="26">
        <f>U931-L931</f>
        <v/>
      </c>
    </row>
    <row r="932">
      <c r="A932" s="11" t="n">
        <v>46213</v>
      </c>
      <c r="B932" s="1" t="n">
        <v>20041</v>
      </c>
      <c r="C932" s="1" t="inlineStr">
        <is>
          <t>519</t>
        </is>
      </c>
      <c r="D932" s="1" t="inlineStr">
        <is>
          <t xml:space="preserve">6821  </t>
        </is>
      </c>
      <c r="E932" s="1" t="inlineStr">
        <is>
          <t xml:space="preserve">28194770       </t>
        </is>
      </c>
      <c r="F932" s="5" t="inlineStr">
        <is>
          <t>AUTOS DE METAL 3 TEAMSTERZ EN BLISTER</t>
        </is>
      </c>
      <c r="G932" t="n">
        <v>4</v>
      </c>
      <c r="H932" s="7" t="n">
        <v>27.6</v>
      </c>
      <c r="I932" s="7" t="n">
        <v>2.76</v>
      </c>
      <c r="J932" s="7" t="n">
        <v>0</v>
      </c>
      <c r="K932" s="9" t="n">
        <v>2.76</v>
      </c>
      <c r="L932" s="10" t="n">
        <v>14.72</v>
      </c>
      <c r="M932" s="10" t="n">
        <v>1.43</v>
      </c>
      <c r="N932" t="inlineStr">
        <is>
          <t>1</t>
        </is>
      </c>
      <c r="O932" t="inlineStr">
        <is>
          <t>16</t>
        </is>
      </c>
      <c r="P932" t="inlineStr">
        <is>
          <t xml:space="preserve">248088  </t>
        </is>
      </c>
      <c r="Q932" s="26" t="n">
        <v>4.09</v>
      </c>
      <c r="R932" s="26">
        <f>Q932*G932</f>
        <v/>
      </c>
      <c r="S932" s="26">
        <f>IFERROR(VLOOKUP(E932*1,Tabla[#All],8,0),0)</f>
        <v/>
      </c>
      <c r="T932" s="26">
        <f>S932*G932</f>
        <v/>
      </c>
      <c r="U932" s="26">
        <f>R932-T932</f>
        <v/>
      </c>
      <c r="V932" s="26">
        <f>U932-L932</f>
        <v/>
      </c>
    </row>
    <row r="933">
      <c r="A933" s="11" t="n">
        <v>46213</v>
      </c>
      <c r="B933" s="1" t="n">
        <v>20041</v>
      </c>
      <c r="C933" s="1" t="inlineStr">
        <is>
          <t>519</t>
        </is>
      </c>
      <c r="D933" s="1" t="inlineStr">
        <is>
          <t xml:space="preserve">6823  </t>
        </is>
      </c>
      <c r="E933" s="1" t="inlineStr">
        <is>
          <t xml:space="preserve">28194770       </t>
        </is>
      </c>
      <c r="F933" s="5" t="inlineStr">
        <is>
          <t>AUTOS DE METAL 3 TEAMSTERZ EN BLISTER</t>
        </is>
      </c>
      <c r="G933" t="n">
        <v>6</v>
      </c>
      <c r="H933" s="7" t="n">
        <v>41.4</v>
      </c>
      <c r="I933" s="7" t="n">
        <v>4.14</v>
      </c>
      <c r="J933" s="7" t="n">
        <v>0</v>
      </c>
      <c r="K933" s="9" t="n">
        <v>4.14</v>
      </c>
      <c r="L933" s="10" t="n">
        <v>22.08</v>
      </c>
      <c r="M933" s="10" t="n">
        <v>1.43</v>
      </c>
      <c r="N933" t="inlineStr">
        <is>
          <t>1</t>
        </is>
      </c>
      <c r="O933" t="inlineStr">
        <is>
          <t>16</t>
        </is>
      </c>
      <c r="P933" t="inlineStr">
        <is>
          <t xml:space="preserve">248088  </t>
        </is>
      </c>
      <c r="Q933" s="26" t="n">
        <v>4.09</v>
      </c>
      <c r="R933" s="26">
        <f>Q933*G933</f>
        <v/>
      </c>
      <c r="S933" s="26">
        <f>IFERROR(VLOOKUP(E933*1,Tabla[#All],8,0),0)</f>
        <v/>
      </c>
      <c r="T933" s="26">
        <f>S933*G933</f>
        <v/>
      </c>
      <c r="U933" s="26">
        <f>R933-T933</f>
        <v/>
      </c>
      <c r="V933" s="26">
        <f>U933-L933</f>
        <v/>
      </c>
    </row>
    <row r="934">
      <c r="A934" s="11" t="n">
        <v>46213</v>
      </c>
      <c r="B934" s="1" t="n">
        <v>20041</v>
      </c>
      <c r="C934" s="1" t="inlineStr">
        <is>
          <t>522</t>
        </is>
      </c>
      <c r="D934" s="1" t="inlineStr">
        <is>
          <t xml:space="preserve">677   </t>
        </is>
      </c>
      <c r="E934" s="1" t="inlineStr">
        <is>
          <t xml:space="preserve">28194770       </t>
        </is>
      </c>
      <c r="F934" s="5" t="inlineStr">
        <is>
          <t>AUTOS DE METAL 3 TEAMSTERZ EN BLISTER</t>
        </is>
      </c>
      <c r="G934" t="n">
        <v>1</v>
      </c>
      <c r="H934" s="7" t="n">
        <v>6.9</v>
      </c>
      <c r="I934" s="7" t="n">
        <v>0.6899999999999999</v>
      </c>
      <c r="J934" s="7" t="n">
        <v>0</v>
      </c>
      <c r="K934" s="9" t="n">
        <v>0.6899999999999999</v>
      </c>
      <c r="L934" s="10" t="n">
        <v>3.68</v>
      </c>
      <c r="M934" s="10" t="n">
        <v>1.43</v>
      </c>
      <c r="N934" t="inlineStr">
        <is>
          <t>1</t>
        </is>
      </c>
      <c r="O934" t="inlineStr">
        <is>
          <t>16</t>
        </is>
      </c>
      <c r="P934" t="inlineStr">
        <is>
          <t xml:space="preserve">39526   </t>
        </is>
      </c>
      <c r="Q934" s="26" t="n">
        <v>4.09</v>
      </c>
      <c r="R934" s="26">
        <f>Q934*G934</f>
        <v/>
      </c>
      <c r="S934" s="26">
        <f>IFERROR(VLOOKUP(E934*1,Tabla[#All],8,0),0)</f>
        <v/>
      </c>
      <c r="T934" s="26">
        <f>S934*G934</f>
        <v/>
      </c>
      <c r="U934" s="26">
        <f>R934-T934</f>
        <v/>
      </c>
      <c r="V934" s="26">
        <f>U934-L934</f>
        <v/>
      </c>
    </row>
    <row r="935">
      <c r="A935" s="11" t="n">
        <v>46213</v>
      </c>
      <c r="B935" s="1" t="n">
        <v>20047</v>
      </c>
      <c r="C935" s="1" t="inlineStr">
        <is>
          <t>012</t>
        </is>
      </c>
      <c r="D935" s="1" t="inlineStr">
        <is>
          <t>331840</t>
        </is>
      </c>
      <c r="E935" s="1" t="inlineStr">
        <is>
          <t xml:space="preserve">28194770       </t>
        </is>
      </c>
      <c r="F935" s="5" t="inlineStr">
        <is>
          <t>AUTOS DE METAL 3 TEAMSTERZ EN BLISTER</t>
        </is>
      </c>
      <c r="G935" t="n">
        <v>1</v>
      </c>
      <c r="H935" s="7" t="n">
        <v>6.9</v>
      </c>
      <c r="I935" s="7" t="n">
        <v>0</v>
      </c>
      <c r="J935" s="7" t="n">
        <v>0</v>
      </c>
      <c r="K935" s="9" t="n">
        <v>0</v>
      </c>
      <c r="L935" s="10" t="n">
        <v>4.1</v>
      </c>
      <c r="M935" s="10" t="n">
        <v>1.43</v>
      </c>
      <c r="N935" t="inlineStr">
        <is>
          <t>1</t>
        </is>
      </c>
      <c r="O935" t="inlineStr">
        <is>
          <t xml:space="preserve">2 </t>
        </is>
      </c>
      <c r="P935" t="inlineStr">
        <is>
          <t xml:space="preserve">240556  </t>
        </is>
      </c>
      <c r="Q935" s="26" t="n">
        <v>4.09</v>
      </c>
      <c r="R935" s="26">
        <f>Q935*G935</f>
        <v/>
      </c>
      <c r="S935" s="26">
        <f>IFERROR(VLOOKUP(E935*1,Tabla[#All],8,0),0)</f>
        <v/>
      </c>
      <c r="T935" s="26">
        <f>S935*G935</f>
        <v/>
      </c>
      <c r="U935" s="26">
        <f>R935-T935</f>
        <v/>
      </c>
      <c r="V935" s="26">
        <f>U935-L935</f>
        <v/>
      </c>
    </row>
    <row r="936">
      <c r="A936" s="11" t="n">
        <v>46213</v>
      </c>
      <c r="B936" s="1" t="n">
        <v>20047</v>
      </c>
      <c r="C936" s="1" t="inlineStr">
        <is>
          <t>191</t>
        </is>
      </c>
      <c r="D936" s="1" t="inlineStr">
        <is>
          <t>461212</t>
        </is>
      </c>
      <c r="E936" s="1" t="inlineStr">
        <is>
          <t xml:space="preserve">28194770       </t>
        </is>
      </c>
      <c r="F936" s="5" t="inlineStr">
        <is>
          <t>AUTOS DE METAL 3 TEAMSTERZ EN BLISTER</t>
        </is>
      </c>
      <c r="G936" t="n">
        <v>1</v>
      </c>
      <c r="H936" s="7" t="n">
        <v>6.9</v>
      </c>
      <c r="I936" s="7" t="n">
        <v>0.6899999999999999</v>
      </c>
      <c r="J936" s="7" t="n">
        <v>0</v>
      </c>
      <c r="K936" s="9" t="n">
        <v>0.6899999999999999</v>
      </c>
      <c r="L936" s="10" t="n">
        <v>3.68</v>
      </c>
      <c r="M936" s="10" t="n">
        <v>1.43</v>
      </c>
      <c r="N936" t="inlineStr">
        <is>
          <t>1</t>
        </is>
      </c>
      <c r="O936" t="inlineStr">
        <is>
          <t>16</t>
        </is>
      </c>
      <c r="P936" t="inlineStr">
        <is>
          <t xml:space="preserve">245862  </t>
        </is>
      </c>
      <c r="Q936" s="26" t="n">
        <v>4.09</v>
      </c>
      <c r="R936" s="26">
        <f>Q936*G936</f>
        <v/>
      </c>
      <c r="S936" s="26">
        <f>IFERROR(VLOOKUP(E936*1,Tabla[#All],8,0),0)</f>
        <v/>
      </c>
      <c r="T936" s="26">
        <f>S936*G936</f>
        <v/>
      </c>
      <c r="U936" s="26">
        <f>R936-T936</f>
        <v/>
      </c>
      <c r="V936" s="26">
        <f>U936-L936</f>
        <v/>
      </c>
    </row>
    <row r="937">
      <c r="A937" s="11" t="n">
        <v>46213</v>
      </c>
      <c r="B937" s="1" t="n">
        <v>20047</v>
      </c>
      <c r="C937" s="1" t="inlineStr">
        <is>
          <t>191</t>
        </is>
      </c>
      <c r="D937" s="1" t="inlineStr">
        <is>
          <t>461212</t>
        </is>
      </c>
      <c r="E937" s="1" t="inlineStr">
        <is>
          <t xml:space="preserve">28194770       </t>
        </is>
      </c>
      <c r="F937" s="5" t="inlineStr">
        <is>
          <t>AUTOS DE METAL 3 TEAMSTERZ EN BLISTER</t>
        </is>
      </c>
      <c r="G937" t="n">
        <v>1</v>
      </c>
      <c r="H937" s="7" t="n">
        <v>6.9</v>
      </c>
      <c r="I937" s="7" t="n">
        <v>0.6899999999999999</v>
      </c>
      <c r="J937" s="7" t="n">
        <v>0</v>
      </c>
      <c r="K937" s="9" t="n">
        <v>0.6899999999999999</v>
      </c>
      <c r="L937" s="10" t="n">
        <v>3.68</v>
      </c>
      <c r="M937" s="10" t="n">
        <v>1.43</v>
      </c>
      <c r="N937" t="inlineStr">
        <is>
          <t>1</t>
        </is>
      </c>
      <c r="O937" t="inlineStr">
        <is>
          <t>16</t>
        </is>
      </c>
      <c r="P937" t="inlineStr">
        <is>
          <t xml:space="preserve">245862  </t>
        </is>
      </c>
      <c r="Q937" s="26" t="n">
        <v>4.09</v>
      </c>
      <c r="R937" s="26">
        <f>Q937*G937</f>
        <v/>
      </c>
      <c r="S937" s="26">
        <f>IFERROR(VLOOKUP(E937*1,Tabla[#All],8,0),0)</f>
        <v/>
      </c>
      <c r="T937" s="26">
        <f>S937*G937</f>
        <v/>
      </c>
      <c r="U937" s="26">
        <f>R937-T937</f>
        <v/>
      </c>
      <c r="V937" s="26">
        <f>U937-L937</f>
        <v/>
      </c>
    </row>
    <row r="938">
      <c r="A938" s="11" t="n">
        <v>46213</v>
      </c>
      <c r="B938" s="1" t="n">
        <v>20047</v>
      </c>
      <c r="C938" s="1" t="inlineStr">
        <is>
          <t>509</t>
        </is>
      </c>
      <c r="D938" s="1" t="inlineStr">
        <is>
          <t xml:space="preserve">1235  </t>
        </is>
      </c>
      <c r="E938" s="1" t="inlineStr">
        <is>
          <t xml:space="preserve">32656417       </t>
        </is>
      </c>
      <c r="F938" s="5" t="inlineStr">
        <is>
          <t>NO DESPIERTES A PAPA</t>
        </is>
      </c>
      <c r="G938" t="n">
        <v>1</v>
      </c>
      <c r="H938" s="7" t="n">
        <v>89.90000000000001</v>
      </c>
      <c r="I938" s="7" t="n">
        <v>0</v>
      </c>
      <c r="J938" s="7" t="n">
        <v>0</v>
      </c>
      <c r="K938" s="9" t="n">
        <v>0</v>
      </c>
      <c r="L938" s="10" t="n">
        <v>53.33</v>
      </c>
      <c r="M938" s="10" t="n">
        <v>1.43</v>
      </c>
      <c r="N938" t="inlineStr">
        <is>
          <t>1</t>
        </is>
      </c>
      <c r="O938" t="inlineStr">
        <is>
          <t>16</t>
        </is>
      </c>
      <c r="P938" t="inlineStr">
        <is>
          <t xml:space="preserve">242545  </t>
        </is>
      </c>
      <c r="Q938" s="26" t="n">
        <v>53.33</v>
      </c>
      <c r="R938" s="26">
        <f>Q938*G938</f>
        <v/>
      </c>
      <c r="S938" s="26">
        <f>IFERROR(VLOOKUP(E938*1,Tabla[#All],8,0),0)</f>
        <v/>
      </c>
      <c r="T938" s="26">
        <f>S938*G938</f>
        <v/>
      </c>
      <c r="U938" s="26">
        <f>R938-T938</f>
        <v/>
      </c>
      <c r="V938" s="26">
        <f>U938-L938</f>
        <v/>
      </c>
    </row>
    <row r="939">
      <c r="A939" s="11" t="n">
        <v>46213</v>
      </c>
      <c r="B939" s="1" t="n">
        <v>20048</v>
      </c>
      <c r="C939" s="1" t="inlineStr">
        <is>
          <t>018</t>
        </is>
      </c>
      <c r="D939" s="1" t="inlineStr">
        <is>
          <t xml:space="preserve">46370 </t>
        </is>
      </c>
      <c r="E939" s="1" t="inlineStr">
        <is>
          <t xml:space="preserve">28194770       </t>
        </is>
      </c>
      <c r="F939" s="5" t="inlineStr">
        <is>
          <t>AUTOS DE METAL 3 TEAMSTERZ EN BLISTER</t>
        </is>
      </c>
      <c r="G939" t="n">
        <v>1</v>
      </c>
      <c r="H939" s="7" t="n">
        <v>6.9</v>
      </c>
      <c r="I939" s="7" t="n">
        <v>0</v>
      </c>
      <c r="J939" s="7" t="n">
        <v>0</v>
      </c>
      <c r="K939" s="9" t="n">
        <v>0</v>
      </c>
      <c r="L939" s="10" t="n">
        <v>4.1</v>
      </c>
      <c r="M939" s="10" t="n">
        <v>1.43</v>
      </c>
      <c r="N939" t="inlineStr">
        <is>
          <t>1</t>
        </is>
      </c>
      <c r="O939" t="inlineStr">
        <is>
          <t>16</t>
        </is>
      </c>
      <c r="P939" t="inlineStr">
        <is>
          <t xml:space="preserve">22083   </t>
        </is>
      </c>
      <c r="Q939" s="26" t="n">
        <v>4.09</v>
      </c>
      <c r="R939" s="26">
        <f>Q939*G939</f>
        <v/>
      </c>
      <c r="S939" s="26">
        <f>IFERROR(VLOOKUP(E939*1,Tabla[#All],8,0),0)</f>
        <v/>
      </c>
      <c r="T939" s="26">
        <f>S939*G939</f>
        <v/>
      </c>
      <c r="U939" s="26">
        <f>R939-T939</f>
        <v/>
      </c>
      <c r="V939" s="26">
        <f>U939-L939</f>
        <v/>
      </c>
    </row>
    <row r="940">
      <c r="A940" s="11" t="n">
        <v>46213</v>
      </c>
      <c r="B940" s="1" t="n">
        <v>20048</v>
      </c>
      <c r="C940" s="1" t="inlineStr">
        <is>
          <t>018</t>
        </is>
      </c>
      <c r="D940" s="1" t="inlineStr">
        <is>
          <t xml:space="preserve">46373 </t>
        </is>
      </c>
      <c r="E940" s="1" t="inlineStr">
        <is>
          <t xml:space="preserve">28194770       </t>
        </is>
      </c>
      <c r="F940" s="5" t="inlineStr">
        <is>
          <t>AUTOS DE METAL 3 TEAMSTERZ EN BLISTER</t>
        </is>
      </c>
      <c r="G940" t="n">
        <v>1</v>
      </c>
      <c r="H940" s="7" t="n">
        <v>6.9</v>
      </c>
      <c r="I940" s="7" t="n">
        <v>0</v>
      </c>
      <c r="J940" s="7" t="n">
        <v>0</v>
      </c>
      <c r="K940" s="9" t="n">
        <v>0</v>
      </c>
      <c r="L940" s="10" t="n">
        <v>4.1</v>
      </c>
      <c r="M940" s="10" t="n">
        <v>1.43</v>
      </c>
      <c r="N940" t="inlineStr">
        <is>
          <t>1</t>
        </is>
      </c>
      <c r="O940" t="inlineStr">
        <is>
          <t xml:space="preserve">2 </t>
        </is>
      </c>
      <c r="P940" t="inlineStr">
        <is>
          <t xml:space="preserve">243717  </t>
        </is>
      </c>
      <c r="Q940" s="26" t="n">
        <v>4.09</v>
      </c>
      <c r="R940" s="26">
        <f>Q940*G940</f>
        <v/>
      </c>
      <c r="S940" s="26">
        <f>IFERROR(VLOOKUP(E940*1,Tabla[#All],8,0),0)</f>
        <v/>
      </c>
      <c r="T940" s="26">
        <f>S940*G940</f>
        <v/>
      </c>
      <c r="U940" s="26">
        <f>R940-T940</f>
        <v/>
      </c>
      <c r="V940" s="26">
        <f>U940-L940</f>
        <v/>
      </c>
    </row>
    <row r="941">
      <c r="A941" s="11" t="n">
        <v>46213</v>
      </c>
      <c r="B941" s="1" t="n">
        <v>20048</v>
      </c>
      <c r="C941" s="1" t="inlineStr">
        <is>
          <t>801</t>
        </is>
      </c>
      <c r="D941" s="1" t="inlineStr">
        <is>
          <t xml:space="preserve">6051  </t>
        </is>
      </c>
      <c r="E941" s="1" t="inlineStr">
        <is>
          <t xml:space="preserve">28194770       </t>
        </is>
      </c>
      <c r="F941" s="5" t="inlineStr">
        <is>
          <t>AUTOS DE METAL 3 TEAMSTERZ EN BLISTER</t>
        </is>
      </c>
      <c r="G941" t="n">
        <v>1</v>
      </c>
      <c r="H941" s="7" t="n">
        <v>6.9</v>
      </c>
      <c r="I941" s="7" t="n">
        <v>0</v>
      </c>
      <c r="J941" s="7" t="n">
        <v>0</v>
      </c>
      <c r="K941" s="9" t="n">
        <v>0</v>
      </c>
      <c r="L941" s="10" t="n">
        <v>4.1</v>
      </c>
      <c r="M941" s="10" t="n">
        <v>1.43</v>
      </c>
      <c r="N941" t="inlineStr">
        <is>
          <t>1</t>
        </is>
      </c>
      <c r="O941" t="inlineStr">
        <is>
          <t>16</t>
        </is>
      </c>
      <c r="P941" t="inlineStr">
        <is>
          <t xml:space="preserve">234984  </t>
        </is>
      </c>
      <c r="Q941" s="26" t="n">
        <v>4.09</v>
      </c>
      <c r="R941" s="26">
        <f>Q941*G941</f>
        <v/>
      </c>
      <c r="S941" s="26">
        <f>IFERROR(VLOOKUP(E941*1,Tabla[#All],8,0),0)</f>
        <v/>
      </c>
      <c r="T941" s="26">
        <f>S941*G941</f>
        <v/>
      </c>
      <c r="U941" s="26">
        <f>R941-T941</f>
        <v/>
      </c>
      <c r="V941" s="26">
        <f>U941-L941</f>
        <v/>
      </c>
    </row>
    <row r="942">
      <c r="A942" s="11" t="n">
        <v>46213</v>
      </c>
      <c r="B942" s="1" t="n">
        <v>20049</v>
      </c>
      <c r="C942" s="1" t="inlineStr">
        <is>
          <t>025</t>
        </is>
      </c>
      <c r="D942" s="1" t="inlineStr">
        <is>
          <t xml:space="preserve">33337 </t>
        </is>
      </c>
      <c r="E942" s="1" t="inlineStr">
        <is>
          <t xml:space="preserve">28194769       </t>
        </is>
      </c>
      <c r="F942" s="5" t="inlineStr">
        <is>
          <t>AUTOS DE METAL 3 TEAMSTERZ PACK DE 2</t>
        </is>
      </c>
      <c r="G942" t="n">
        <v>1</v>
      </c>
      <c r="H942" s="7" t="n">
        <v>13.8</v>
      </c>
      <c r="I942" s="7" t="n">
        <v>1.38</v>
      </c>
      <c r="J942" s="7" t="n">
        <v>0</v>
      </c>
      <c r="K942" s="9" t="n">
        <v>1.38</v>
      </c>
      <c r="L942" s="10" t="n">
        <v>7.37</v>
      </c>
      <c r="M942" s="10" t="n">
        <v>1.43</v>
      </c>
      <c r="N942" t="inlineStr">
        <is>
          <t>1</t>
        </is>
      </c>
      <c r="O942" t="inlineStr">
        <is>
          <t xml:space="preserve">3 </t>
        </is>
      </c>
      <c r="P942" t="inlineStr">
        <is>
          <t xml:space="preserve">250381  </t>
        </is>
      </c>
      <c r="Q942" s="26" t="n">
        <v>8.19</v>
      </c>
      <c r="R942" s="26">
        <f>Q942*G942</f>
        <v/>
      </c>
      <c r="S942" s="26">
        <f>IFERROR(VLOOKUP(E942*1,Tabla[#All],8,0),0)</f>
        <v/>
      </c>
      <c r="T942" s="26">
        <f>S942*G942</f>
        <v/>
      </c>
      <c r="U942" s="26">
        <f>R942-T942</f>
        <v/>
      </c>
      <c r="V942" s="26">
        <f>U942-L942</f>
        <v/>
      </c>
    </row>
    <row r="943">
      <c r="A943" s="11" t="n">
        <v>46213</v>
      </c>
      <c r="B943" s="1" t="n">
        <v>20049</v>
      </c>
      <c r="C943" s="1" t="inlineStr">
        <is>
          <t>504</t>
        </is>
      </c>
      <c r="D943" s="1" t="inlineStr">
        <is>
          <t xml:space="preserve">8539  </t>
        </is>
      </c>
      <c r="E943" s="1" t="inlineStr">
        <is>
          <t xml:space="preserve">28194769       </t>
        </is>
      </c>
      <c r="F943" s="5" t="inlineStr">
        <is>
          <t>AUTOS DE METAL 3 TEAMSTERZ PACK DE 2</t>
        </is>
      </c>
      <c r="G943" t="n">
        <v>1</v>
      </c>
      <c r="H943" s="7" t="n">
        <v>13.8</v>
      </c>
      <c r="I943" s="7" t="n">
        <v>1.38</v>
      </c>
      <c r="J943" s="7" t="n">
        <v>0</v>
      </c>
      <c r="K943" s="9" t="n">
        <v>1.38</v>
      </c>
      <c r="L943" s="10" t="n">
        <v>7.37</v>
      </c>
      <c r="M943" s="10" t="n">
        <v>1.43</v>
      </c>
      <c r="N943" t="inlineStr">
        <is>
          <t>1</t>
        </is>
      </c>
      <c r="O943" t="inlineStr">
        <is>
          <t>16</t>
        </is>
      </c>
      <c r="P943" t="inlineStr">
        <is>
          <t xml:space="preserve">250726  </t>
        </is>
      </c>
      <c r="Q943" s="26" t="n">
        <v>8.19</v>
      </c>
      <c r="R943" s="26">
        <f>Q943*G943</f>
        <v/>
      </c>
      <c r="S943" s="26">
        <f>IFERROR(VLOOKUP(E943*1,Tabla[#All],8,0),0)</f>
        <v/>
      </c>
      <c r="T943" s="26">
        <f>S943*G943</f>
        <v/>
      </c>
      <c r="U943" s="26">
        <f>R943-T943</f>
        <v/>
      </c>
      <c r="V943" s="26">
        <f>U943-L943</f>
        <v/>
      </c>
    </row>
    <row r="944">
      <c r="A944" s="11" t="n">
        <v>46213</v>
      </c>
      <c r="B944" s="1" t="n">
        <v>20049</v>
      </c>
      <c r="C944" s="1" t="inlineStr">
        <is>
          <t>504</t>
        </is>
      </c>
      <c r="D944" s="1" t="inlineStr">
        <is>
          <t xml:space="preserve">8539  </t>
        </is>
      </c>
      <c r="E944" s="1" t="inlineStr">
        <is>
          <t xml:space="preserve">28194770       </t>
        </is>
      </c>
      <c r="F944" s="5" t="inlineStr">
        <is>
          <t>AUTOS DE METAL 3 TEAMSTERZ EN BLISTER</t>
        </is>
      </c>
      <c r="G944" t="n">
        <v>1</v>
      </c>
      <c r="H944" s="7" t="n">
        <v>6.9</v>
      </c>
      <c r="I944" s="7" t="n">
        <v>0.6899999999999999</v>
      </c>
      <c r="J944" s="7" t="n">
        <v>0</v>
      </c>
      <c r="K944" s="9" t="n">
        <v>0.6899999999999999</v>
      </c>
      <c r="L944" s="10" t="n">
        <v>3.68</v>
      </c>
      <c r="M944" s="10" t="n">
        <v>1.43</v>
      </c>
      <c r="N944" t="inlineStr">
        <is>
          <t>1</t>
        </is>
      </c>
      <c r="O944" t="inlineStr">
        <is>
          <t>16</t>
        </is>
      </c>
      <c r="P944" t="inlineStr">
        <is>
          <t xml:space="preserve">250726  </t>
        </is>
      </c>
      <c r="Q944" s="26" t="n">
        <v>4.09</v>
      </c>
      <c r="R944" s="26">
        <f>Q944*G944</f>
        <v/>
      </c>
      <c r="S944" s="26">
        <f>IFERROR(VLOOKUP(E944*1,Tabla[#All],8,0),0)</f>
        <v/>
      </c>
      <c r="T944" s="26">
        <f>S944*G944</f>
        <v/>
      </c>
      <c r="U944" s="26">
        <f>R944-T944</f>
        <v/>
      </c>
      <c r="V944" s="26">
        <f>U944-L944</f>
        <v/>
      </c>
    </row>
    <row r="945">
      <c r="A945" s="11" t="n">
        <v>46213</v>
      </c>
      <c r="B945" s="1" t="n">
        <v>20057</v>
      </c>
      <c r="C945" s="1" t="inlineStr">
        <is>
          <t>032</t>
        </is>
      </c>
      <c r="D945" s="1" t="inlineStr">
        <is>
          <t xml:space="preserve">74304 </t>
        </is>
      </c>
      <c r="E945" s="1" t="inlineStr">
        <is>
          <t xml:space="preserve">28194770       </t>
        </is>
      </c>
      <c r="F945" s="5" t="inlineStr">
        <is>
          <t>AUTOS DE METAL 3 TEAMSTERZ EN BLISTER</t>
        </is>
      </c>
      <c r="G945" t="n">
        <v>1</v>
      </c>
      <c r="H945" s="7" t="n">
        <v>6.9</v>
      </c>
      <c r="I945" s="7" t="n">
        <v>0</v>
      </c>
      <c r="J945" s="7" t="n">
        <v>0</v>
      </c>
      <c r="K945" s="9" t="n">
        <v>0</v>
      </c>
      <c r="L945" s="10" t="n">
        <v>4.1</v>
      </c>
      <c r="M945" s="10" t="n">
        <v>1.43</v>
      </c>
      <c r="N945" t="inlineStr">
        <is>
          <t>1</t>
        </is>
      </c>
      <c r="O945" t="inlineStr">
        <is>
          <t>16</t>
        </is>
      </c>
      <c r="P945" t="inlineStr">
        <is>
          <t xml:space="preserve">250316  </t>
        </is>
      </c>
      <c r="Q945" s="26" t="n">
        <v>4.09</v>
      </c>
      <c r="R945" s="26">
        <f>Q945*G945</f>
        <v/>
      </c>
      <c r="S945" s="26">
        <f>IFERROR(VLOOKUP(E945*1,Tabla[#All],8,0),0)</f>
        <v/>
      </c>
      <c r="T945" s="26">
        <f>S945*G945</f>
        <v/>
      </c>
      <c r="U945" s="26">
        <f>R945-T945</f>
        <v/>
      </c>
      <c r="V945" s="26">
        <f>U945-L945</f>
        <v/>
      </c>
    </row>
    <row r="946">
      <c r="A946" s="11" t="n">
        <v>46213</v>
      </c>
      <c r="B946" s="1" t="n">
        <v>20057</v>
      </c>
      <c r="C946" s="1" t="inlineStr">
        <is>
          <t>033</t>
        </is>
      </c>
      <c r="D946" s="1" t="inlineStr">
        <is>
          <t xml:space="preserve">66710 </t>
        </is>
      </c>
      <c r="E946" s="1" t="inlineStr">
        <is>
          <t xml:space="preserve">28194770       </t>
        </is>
      </c>
      <c r="F946" s="5" t="inlineStr">
        <is>
          <t>AUTOS DE METAL 3 TEAMSTERZ EN BLISTER</t>
        </is>
      </c>
      <c r="G946" t="n">
        <v>1</v>
      </c>
      <c r="H946" s="7" t="n">
        <v>6.9</v>
      </c>
      <c r="I946" s="7" t="n">
        <v>0.6899999999999999</v>
      </c>
      <c r="J946" s="7" t="n">
        <v>0</v>
      </c>
      <c r="K946" s="9" t="n">
        <v>0.6899999999999999</v>
      </c>
      <c r="L946" s="10" t="n">
        <v>3.68</v>
      </c>
      <c r="M946" s="10" t="n">
        <v>1.43</v>
      </c>
      <c r="N946" t="inlineStr">
        <is>
          <t>1</t>
        </is>
      </c>
      <c r="O946" t="inlineStr">
        <is>
          <t xml:space="preserve">3 </t>
        </is>
      </c>
      <c r="P946" t="inlineStr">
        <is>
          <t xml:space="preserve">240012  </t>
        </is>
      </c>
      <c r="Q946" s="26" t="n">
        <v>4.09</v>
      </c>
      <c r="R946" s="26">
        <f>Q946*G946</f>
        <v/>
      </c>
      <c r="S946" s="26">
        <f>IFERROR(VLOOKUP(E946*1,Tabla[#All],8,0),0)</f>
        <v/>
      </c>
      <c r="T946" s="26">
        <f>S946*G946</f>
        <v/>
      </c>
      <c r="U946" s="26">
        <f>R946-T946</f>
        <v/>
      </c>
      <c r="V946" s="26">
        <f>U946-L946</f>
        <v/>
      </c>
    </row>
    <row r="947">
      <c r="A947" s="11" t="n">
        <v>46213</v>
      </c>
      <c r="B947" s="1" t="n">
        <v>20057</v>
      </c>
      <c r="C947" s="1" t="inlineStr">
        <is>
          <t>034</t>
        </is>
      </c>
      <c r="D947" s="1" t="inlineStr">
        <is>
          <t xml:space="preserve">10428 </t>
        </is>
      </c>
      <c r="E947" s="1" t="inlineStr">
        <is>
          <t xml:space="preserve">28194770       </t>
        </is>
      </c>
      <c r="F947" s="5" t="inlineStr">
        <is>
          <t>AUTOS DE METAL 3 TEAMSTERZ EN BLISTER</t>
        </is>
      </c>
      <c r="G947" t="n">
        <v>1</v>
      </c>
      <c r="H947" s="7" t="n">
        <v>6.9</v>
      </c>
      <c r="I947" s="7" t="n">
        <v>0</v>
      </c>
      <c r="J947" s="7" t="n">
        <v>0</v>
      </c>
      <c r="K947" s="9" t="n">
        <v>0</v>
      </c>
      <c r="L947" s="10" t="n">
        <v>4.1</v>
      </c>
      <c r="M947" s="10" t="n">
        <v>1.43</v>
      </c>
      <c r="N947" t="inlineStr">
        <is>
          <t>1</t>
        </is>
      </c>
      <c r="O947" t="inlineStr">
        <is>
          <t xml:space="preserve">2 </t>
        </is>
      </c>
      <c r="P947" t="inlineStr">
        <is>
          <t xml:space="preserve">106404  </t>
        </is>
      </c>
      <c r="Q947" s="26" t="n">
        <v>4.09</v>
      </c>
      <c r="R947" s="26">
        <f>Q947*G947</f>
        <v/>
      </c>
      <c r="S947" s="26">
        <f>IFERROR(VLOOKUP(E947*1,Tabla[#All],8,0),0)</f>
        <v/>
      </c>
      <c r="T947" s="26">
        <f>S947*G947</f>
        <v/>
      </c>
      <c r="U947" s="26">
        <f>R947-T947</f>
        <v/>
      </c>
      <c r="V947" s="26">
        <f>U947-L947</f>
        <v/>
      </c>
    </row>
    <row r="948">
      <c r="A948" s="11" t="n">
        <v>46213</v>
      </c>
      <c r="B948" s="1" t="n">
        <v>20057</v>
      </c>
      <c r="C948" s="1" t="inlineStr">
        <is>
          <t>861</t>
        </is>
      </c>
      <c r="D948" s="1" t="inlineStr">
        <is>
          <t xml:space="preserve">696   </t>
        </is>
      </c>
      <c r="E948" s="1" t="inlineStr">
        <is>
          <t xml:space="preserve">28194770       </t>
        </is>
      </c>
      <c r="F948" s="5" t="inlineStr">
        <is>
          <t>AUTOS DE METAL 3 TEAMSTERZ EN BLISTER</t>
        </is>
      </c>
      <c r="G948" t="n">
        <v>1</v>
      </c>
      <c r="H948" s="7" t="n">
        <v>6.9</v>
      </c>
      <c r="I948" s="7" t="n">
        <v>0.6899999999999999</v>
      </c>
      <c r="J948" s="7" t="n">
        <v>0</v>
      </c>
      <c r="K948" s="9" t="n">
        <v>0.6899999999999999</v>
      </c>
      <c r="L948" s="10" t="n">
        <v>3.68</v>
      </c>
      <c r="M948" s="10" t="n">
        <v>1.43</v>
      </c>
      <c r="N948" t="inlineStr">
        <is>
          <t>1</t>
        </is>
      </c>
      <c r="O948" t="inlineStr">
        <is>
          <t>16</t>
        </is>
      </c>
      <c r="P948" t="inlineStr">
        <is>
          <t xml:space="preserve">0       </t>
        </is>
      </c>
      <c r="Q948" s="26" t="n">
        <v>4.09</v>
      </c>
      <c r="R948" s="26">
        <f>Q948*G948</f>
        <v/>
      </c>
      <c r="S948" s="26">
        <f>IFERROR(VLOOKUP(E948*1,Tabla[#All],8,0),0)</f>
        <v/>
      </c>
      <c r="T948" s="26">
        <f>S948*G948</f>
        <v/>
      </c>
      <c r="U948" s="26">
        <f>R948-T948</f>
        <v/>
      </c>
      <c r="V948" s="26">
        <f>U948-L948</f>
        <v/>
      </c>
    </row>
    <row r="949">
      <c r="A949" s="11" t="n">
        <v>46213</v>
      </c>
      <c r="B949" s="1" t="n">
        <v>20062</v>
      </c>
      <c r="C949" s="1" t="inlineStr">
        <is>
          <t>038</t>
        </is>
      </c>
      <c r="D949" s="1" t="inlineStr">
        <is>
          <t>173163</t>
        </is>
      </c>
      <c r="E949" s="1" t="inlineStr">
        <is>
          <t xml:space="preserve">29235707       </t>
        </is>
      </c>
      <c r="F949" s="5" t="inlineStr">
        <is>
          <t>TEAMSTERZ AUTO DE METAL 3  PACK DE 5</t>
        </is>
      </c>
      <c r="G949" t="n">
        <v>1</v>
      </c>
      <c r="H949" s="7" t="n">
        <v>34.5</v>
      </c>
      <c r="I949" s="7" t="n">
        <v>0</v>
      </c>
      <c r="J949" s="7" t="n">
        <v>0</v>
      </c>
      <c r="K949" s="9" t="n">
        <v>0</v>
      </c>
      <c r="L949" s="10" t="n">
        <v>20.47</v>
      </c>
      <c r="M949" s="10" t="n">
        <v>1.43</v>
      </c>
      <c r="N949" t="inlineStr">
        <is>
          <t>1</t>
        </is>
      </c>
      <c r="O949" t="inlineStr">
        <is>
          <t>16</t>
        </is>
      </c>
      <c r="P949" t="inlineStr">
        <is>
          <t xml:space="preserve">248790  </t>
        </is>
      </c>
      <c r="Q949" s="26" t="n">
        <v>20.47</v>
      </c>
      <c r="R949" s="26">
        <f>Q949*G949</f>
        <v/>
      </c>
      <c r="S949" s="26">
        <f>IFERROR(VLOOKUP(E949*1,Tabla[#All],8,0),0)</f>
        <v/>
      </c>
      <c r="T949" s="26">
        <f>S949*G949</f>
        <v/>
      </c>
      <c r="U949" s="26">
        <f>R949-T949</f>
        <v/>
      </c>
      <c r="V949" s="26">
        <f>U949-L949</f>
        <v/>
      </c>
    </row>
    <row r="950">
      <c r="A950" s="11" t="n">
        <v>46213</v>
      </c>
      <c r="B950" s="1" t="n">
        <v>20062</v>
      </c>
      <c r="C950" s="1" t="inlineStr">
        <is>
          <t>038</t>
        </is>
      </c>
      <c r="D950" s="1" t="inlineStr">
        <is>
          <t>173171</t>
        </is>
      </c>
      <c r="E950" s="1" t="inlineStr">
        <is>
          <t xml:space="preserve">29235710       </t>
        </is>
      </c>
      <c r="F950" s="5" t="inlineStr">
        <is>
          <t>TEAMSTERZ PLAYSET GRANDES CONSTRUCCIONES</t>
        </is>
      </c>
      <c r="G950" t="n">
        <v>1</v>
      </c>
      <c r="H950" s="7" t="n">
        <v>19.9</v>
      </c>
      <c r="I950" s="7" t="n">
        <v>0</v>
      </c>
      <c r="J950" s="7" t="n">
        <v>0</v>
      </c>
      <c r="K950" s="9" t="n">
        <v>0</v>
      </c>
      <c r="L950" s="10" t="n">
        <v>11.8</v>
      </c>
      <c r="M950" s="10" t="n">
        <v>1.43</v>
      </c>
      <c r="N950" t="inlineStr">
        <is>
          <t>1</t>
        </is>
      </c>
      <c r="O950" t="inlineStr">
        <is>
          <t>16</t>
        </is>
      </c>
      <c r="P950" t="inlineStr">
        <is>
          <t xml:space="preserve">248790  </t>
        </is>
      </c>
      <c r="Q950" s="26" t="n">
        <v>11.81</v>
      </c>
      <c r="R950" s="26">
        <f>Q950*G950</f>
        <v/>
      </c>
      <c r="S950" s="26">
        <f>IFERROR(VLOOKUP(E950*1,Tabla[#All],8,0),0)</f>
        <v/>
      </c>
      <c r="T950" s="26">
        <f>S950*G950</f>
        <v/>
      </c>
      <c r="U950" s="26">
        <f>R950-T950</f>
        <v/>
      </c>
      <c r="V950" s="26">
        <f>U950-L950</f>
        <v/>
      </c>
    </row>
    <row r="951">
      <c r="A951" s="11" t="n">
        <v>46213</v>
      </c>
      <c r="B951" s="1" t="n">
        <v>20062</v>
      </c>
      <c r="C951" s="1" t="inlineStr">
        <is>
          <t>053</t>
        </is>
      </c>
      <c r="D951" s="1" t="inlineStr">
        <is>
          <t>242797</t>
        </is>
      </c>
      <c r="E951" s="1" t="inlineStr">
        <is>
          <t xml:space="preserve">33483123       </t>
        </is>
      </c>
      <c r="F951" s="5" t="inlineStr">
        <is>
          <t>NENUCO DISFRACES</t>
        </is>
      </c>
      <c r="G951" t="n">
        <v>1</v>
      </c>
      <c r="H951" s="7" t="n">
        <v>89.90000000000001</v>
      </c>
      <c r="I951" s="7" t="n">
        <v>8.99</v>
      </c>
      <c r="J951" s="7" t="n">
        <v>0</v>
      </c>
      <c r="K951" s="9" t="n">
        <v>8.99</v>
      </c>
      <c r="L951" s="10" t="n">
        <v>48</v>
      </c>
      <c r="M951" s="10" t="n">
        <v>1.43</v>
      </c>
      <c r="N951" t="inlineStr">
        <is>
          <t>1</t>
        </is>
      </c>
      <c r="O951" t="inlineStr">
        <is>
          <t xml:space="preserve">3 </t>
        </is>
      </c>
      <c r="P951" t="inlineStr">
        <is>
          <t xml:space="preserve">43458   </t>
        </is>
      </c>
      <c r="Q951" s="26" t="n">
        <v>53.33</v>
      </c>
      <c r="R951" s="26">
        <f>Q951*G951</f>
        <v/>
      </c>
      <c r="S951" s="26">
        <f>IFERROR(VLOOKUP(E951*1,Tabla[#All],8,0),0)</f>
        <v/>
      </c>
      <c r="T951" s="26">
        <f>S951*G951</f>
        <v/>
      </c>
      <c r="U951" s="26">
        <f>R951-T951</f>
        <v/>
      </c>
      <c r="V951" s="26">
        <f>U951-L951</f>
        <v/>
      </c>
    </row>
    <row r="952">
      <c r="A952" s="11" t="n">
        <v>46213</v>
      </c>
      <c r="B952" s="1" t="n">
        <v>20062</v>
      </c>
      <c r="C952" s="1" t="inlineStr">
        <is>
          <t>053</t>
        </is>
      </c>
      <c r="D952" s="1" t="inlineStr">
        <is>
          <t>242832</t>
        </is>
      </c>
      <c r="E952" s="1" t="inlineStr">
        <is>
          <t xml:space="preserve">28194770       </t>
        </is>
      </c>
      <c r="F952" s="5" t="inlineStr">
        <is>
          <t>AUTOS DE METAL 3 TEAMSTERZ EN BLISTER</t>
        </is>
      </c>
      <c r="G952" t="n">
        <v>1</v>
      </c>
      <c r="H952" s="7" t="n">
        <v>6.9</v>
      </c>
      <c r="I952" s="7" t="n">
        <v>0</v>
      </c>
      <c r="J952" s="7" t="n">
        <v>0</v>
      </c>
      <c r="K952" s="9" t="n">
        <v>0</v>
      </c>
      <c r="L952" s="10" t="n">
        <v>4.1</v>
      </c>
      <c r="M952" s="10" t="n">
        <v>1.43</v>
      </c>
      <c r="N952" t="inlineStr">
        <is>
          <t>1</t>
        </is>
      </c>
      <c r="O952" t="inlineStr">
        <is>
          <t>16</t>
        </is>
      </c>
      <c r="P952" t="inlineStr">
        <is>
          <t xml:space="preserve">43458   </t>
        </is>
      </c>
      <c r="Q952" s="26" t="n">
        <v>4.09</v>
      </c>
      <c r="R952" s="26">
        <f>Q952*G952</f>
        <v/>
      </c>
      <c r="S952" s="26">
        <f>IFERROR(VLOOKUP(E952*1,Tabla[#All],8,0),0)</f>
        <v/>
      </c>
      <c r="T952" s="26">
        <f>S952*G952</f>
        <v/>
      </c>
      <c r="U952" s="26">
        <f>R952-T952</f>
        <v/>
      </c>
      <c r="V952" s="26">
        <f>U952-L952</f>
        <v/>
      </c>
    </row>
    <row r="953">
      <c r="A953" s="11" t="n">
        <v>46213</v>
      </c>
      <c r="B953" s="1" t="n">
        <v>20062</v>
      </c>
      <c r="C953" s="1" t="inlineStr">
        <is>
          <t>520</t>
        </is>
      </c>
      <c r="D953" s="1" t="inlineStr">
        <is>
          <t xml:space="preserve">2685  </t>
        </is>
      </c>
      <c r="E953" s="1" t="inlineStr">
        <is>
          <t xml:space="preserve">34840552       </t>
        </is>
      </c>
      <c r="F953" s="5" t="inlineStr">
        <is>
          <t>TMZ HELI POLICIA CON LUCES Y SONIDOS</t>
        </is>
      </c>
      <c r="G953" t="n">
        <v>1</v>
      </c>
      <c r="H953" s="7" t="n">
        <v>79.90000000000001</v>
      </c>
      <c r="I953" s="7" t="n">
        <v>0</v>
      </c>
      <c r="J953" s="7" t="n">
        <v>0</v>
      </c>
      <c r="K953" s="9" t="n">
        <v>0</v>
      </c>
      <c r="L953" s="10" t="n">
        <v>47.4</v>
      </c>
      <c r="M953" s="10" t="n">
        <v>1.43</v>
      </c>
      <c r="N953" t="inlineStr">
        <is>
          <t>1</t>
        </is>
      </c>
      <c r="O953" t="inlineStr">
        <is>
          <t>16</t>
        </is>
      </c>
      <c r="P953" t="inlineStr">
        <is>
          <t xml:space="preserve">57746   </t>
        </is>
      </c>
      <c r="Q953" s="26" t="n">
        <v>47.4</v>
      </c>
      <c r="R953" s="26">
        <f>Q953*G953</f>
        <v/>
      </c>
      <c r="S953" s="26">
        <f>IFERROR(VLOOKUP(E953*1,Tabla[#All],8,0),0)</f>
        <v/>
      </c>
      <c r="T953" s="26">
        <f>S953*G953</f>
        <v/>
      </c>
      <c r="U953" s="26">
        <f>R953-T953</f>
        <v/>
      </c>
      <c r="V953" s="26">
        <f>U953-L953</f>
        <v/>
      </c>
    </row>
    <row r="954">
      <c r="A954" s="11" t="n">
        <v>46213</v>
      </c>
      <c r="B954" s="1" t="n">
        <v>20066</v>
      </c>
      <c r="C954" s="1" t="inlineStr">
        <is>
          <t>050</t>
        </is>
      </c>
      <c r="D954" s="1" t="inlineStr">
        <is>
          <t>233848</t>
        </is>
      </c>
      <c r="E954" s="1" t="inlineStr">
        <is>
          <t xml:space="preserve">28194770       </t>
        </is>
      </c>
      <c r="F954" s="5" t="inlineStr">
        <is>
          <t>AUTOS DE METAL 3 TEAMSTERZ EN BLISTER</t>
        </is>
      </c>
      <c r="G954" t="n">
        <v>1</v>
      </c>
      <c r="H954" s="7" t="n">
        <v>6.9</v>
      </c>
      <c r="I954" s="7" t="n">
        <v>0</v>
      </c>
      <c r="J954" s="7" t="n">
        <v>0</v>
      </c>
      <c r="K954" s="9" t="n">
        <v>0</v>
      </c>
      <c r="L954" s="10" t="n">
        <v>4.1</v>
      </c>
      <c r="M954" s="10" t="n">
        <v>1.43</v>
      </c>
      <c r="N954" t="inlineStr">
        <is>
          <t>1</t>
        </is>
      </c>
      <c r="O954" t="inlineStr">
        <is>
          <t xml:space="preserve">2 </t>
        </is>
      </c>
      <c r="P954" t="inlineStr">
        <is>
          <t xml:space="preserve">104839  </t>
        </is>
      </c>
      <c r="Q954" s="26" t="n">
        <v>4.09</v>
      </c>
      <c r="R954" s="26">
        <f>Q954*G954</f>
        <v/>
      </c>
      <c r="S954" s="26">
        <f>IFERROR(VLOOKUP(E954*1,Tabla[#All],8,0),0)</f>
        <v/>
      </c>
      <c r="T954" s="26">
        <f>S954*G954</f>
        <v/>
      </c>
      <c r="U954" s="26">
        <f>R954-T954</f>
        <v/>
      </c>
      <c r="V954" s="26">
        <f>U954-L954</f>
        <v/>
      </c>
    </row>
    <row r="955">
      <c r="A955" s="11" t="n">
        <v>46213</v>
      </c>
      <c r="B955" s="1" t="n">
        <v>20066</v>
      </c>
      <c r="C955" s="1" t="inlineStr">
        <is>
          <t>057</t>
        </is>
      </c>
      <c r="D955" s="1" t="inlineStr">
        <is>
          <t>493547</t>
        </is>
      </c>
      <c r="E955" s="1" t="inlineStr">
        <is>
          <t xml:space="preserve">28194770       </t>
        </is>
      </c>
      <c r="F955" s="5" t="inlineStr">
        <is>
          <t>AUTOS DE METAL 3 TEAMSTERZ EN BLISTER</t>
        </is>
      </c>
      <c r="G955" t="n">
        <v>1</v>
      </c>
      <c r="H955" s="7" t="n">
        <v>6.9</v>
      </c>
      <c r="I955" s="7" t="n">
        <v>0</v>
      </c>
      <c r="J955" s="7" t="n">
        <v>0</v>
      </c>
      <c r="K955" s="9" t="n">
        <v>0</v>
      </c>
      <c r="L955" s="10" t="n">
        <v>4.1</v>
      </c>
      <c r="M955" s="10" t="n">
        <v>1.43</v>
      </c>
      <c r="N955" t="inlineStr">
        <is>
          <t>1</t>
        </is>
      </c>
      <c r="O955" t="inlineStr">
        <is>
          <t xml:space="preserve">2 </t>
        </is>
      </c>
      <c r="P955" t="inlineStr">
        <is>
          <t xml:space="preserve">44050   </t>
        </is>
      </c>
      <c r="Q955" s="26" t="n">
        <v>4.09</v>
      </c>
      <c r="R955" s="26">
        <f>Q955*G955</f>
        <v/>
      </c>
      <c r="S955" s="26">
        <f>IFERROR(VLOOKUP(E955*1,Tabla[#All],8,0),0)</f>
        <v/>
      </c>
      <c r="T955" s="26">
        <f>S955*G955</f>
        <v/>
      </c>
      <c r="U955" s="26">
        <f>R955-T955</f>
        <v/>
      </c>
      <c r="V955" s="26">
        <f>U955-L955</f>
        <v/>
      </c>
    </row>
    <row r="956">
      <c r="A956" s="11" t="n">
        <v>46213</v>
      </c>
      <c r="B956" s="1" t="n">
        <v>20069</v>
      </c>
      <c r="C956" s="1" t="inlineStr">
        <is>
          <t>011</t>
        </is>
      </c>
      <c r="D956" s="1" t="inlineStr">
        <is>
          <t>194289</t>
        </is>
      </c>
      <c r="E956" s="1" t="inlineStr">
        <is>
          <t xml:space="preserve">28194770       </t>
        </is>
      </c>
      <c r="F956" s="5" t="inlineStr">
        <is>
          <t>AUTOS DE METAL 3 TEAMSTERZ EN BLISTER</t>
        </is>
      </c>
      <c r="G956" t="n">
        <v>1</v>
      </c>
      <c r="H956" s="7" t="n">
        <v>6.9</v>
      </c>
      <c r="I956" s="7" t="n">
        <v>0</v>
      </c>
      <c r="J956" s="7" t="n">
        <v>0</v>
      </c>
      <c r="K956" s="9" t="n">
        <v>0</v>
      </c>
      <c r="L956" s="10" t="n">
        <v>4.1</v>
      </c>
      <c r="M956" s="10" t="n">
        <v>1.43</v>
      </c>
      <c r="N956" t="inlineStr">
        <is>
          <t>1</t>
        </is>
      </c>
      <c r="O956" t="inlineStr">
        <is>
          <t>16</t>
        </is>
      </c>
      <c r="P956" t="inlineStr">
        <is>
          <t xml:space="preserve">247845  </t>
        </is>
      </c>
      <c r="Q956" s="26" t="n">
        <v>4.09</v>
      </c>
      <c r="R956" s="26">
        <f>Q956*G956</f>
        <v/>
      </c>
      <c r="S956" s="26">
        <f>IFERROR(VLOOKUP(E956*1,Tabla[#All],8,0),0)</f>
        <v/>
      </c>
      <c r="T956" s="26">
        <f>S956*G956</f>
        <v/>
      </c>
      <c r="U956" s="26">
        <f>R956-T956</f>
        <v/>
      </c>
      <c r="V956" s="26">
        <f>U956-L956</f>
        <v/>
      </c>
    </row>
    <row r="957">
      <c r="A957" s="11" t="n">
        <v>46213</v>
      </c>
      <c r="B957" s="1" t="n">
        <v>20072</v>
      </c>
      <c r="C957" s="1" t="inlineStr">
        <is>
          <t>037</t>
        </is>
      </c>
      <c r="D957" s="1" t="inlineStr">
        <is>
          <t xml:space="preserve">85290 </t>
        </is>
      </c>
      <c r="E957" s="1" t="inlineStr">
        <is>
          <t xml:space="preserve">28194780       </t>
        </is>
      </c>
      <c r="F957" s="5" t="inlineStr">
        <is>
          <t>TROMPO BATALLA INFINITY NADO PLSTICO SURTIDO</t>
        </is>
      </c>
      <c r="G957" t="n">
        <v>1</v>
      </c>
      <c r="H957" s="7" t="n">
        <v>19.9</v>
      </c>
      <c r="I957" s="7" t="n">
        <v>1.99</v>
      </c>
      <c r="J957" s="7" t="n">
        <v>0</v>
      </c>
      <c r="K957" s="9" t="n">
        <v>1.99</v>
      </c>
      <c r="L957" s="10" t="n">
        <v>10.63</v>
      </c>
      <c r="M957" s="10" t="n">
        <v>1.43</v>
      </c>
      <c r="N957" t="inlineStr">
        <is>
          <t>1</t>
        </is>
      </c>
      <c r="O957" t="inlineStr">
        <is>
          <t xml:space="preserve">3 </t>
        </is>
      </c>
      <c r="P957" t="inlineStr">
        <is>
          <t xml:space="preserve">232167  </t>
        </is>
      </c>
      <c r="Q957" s="26" t="n">
        <v>11.81</v>
      </c>
      <c r="R957" s="26">
        <f>Q957*G957</f>
        <v/>
      </c>
      <c r="S957" s="26">
        <f>IFERROR(VLOOKUP(E957*1,Tabla[#All],8,0),0)</f>
        <v/>
      </c>
      <c r="T957" s="26">
        <f>S957*G957</f>
        <v/>
      </c>
      <c r="U957" s="26">
        <f>R957-T957</f>
        <v/>
      </c>
      <c r="V957" s="26">
        <f>U957-L957</f>
        <v/>
      </c>
    </row>
    <row r="958">
      <c r="A958" s="11" t="n">
        <v>46213</v>
      </c>
      <c r="B958" s="1" t="n">
        <v>20073</v>
      </c>
      <c r="C958" s="1" t="inlineStr">
        <is>
          <t>016</t>
        </is>
      </c>
      <c r="D958" s="1" t="inlineStr">
        <is>
          <t xml:space="preserve">14310 </t>
        </is>
      </c>
      <c r="E958" s="1" t="inlineStr">
        <is>
          <t xml:space="preserve">32457099       </t>
        </is>
      </c>
      <c r="F958" s="5" t="inlineStr">
        <is>
          <t>TMZ BEAST MACHINES MONSTER JAWS A FRICCION BLISTER</t>
        </is>
      </c>
      <c r="G958" t="n">
        <v>1</v>
      </c>
      <c r="H958" s="7" t="n">
        <v>19.9</v>
      </c>
      <c r="I958" s="7" t="n">
        <v>0</v>
      </c>
      <c r="J958" s="7" t="n">
        <v>0</v>
      </c>
      <c r="K958" s="9" t="n">
        <v>0</v>
      </c>
      <c r="L958" s="10" t="n">
        <v>11.8</v>
      </c>
      <c r="M958" s="10" t="n">
        <v>1.43</v>
      </c>
      <c r="N958" t="inlineStr">
        <is>
          <t>1</t>
        </is>
      </c>
      <c r="O958" t="inlineStr">
        <is>
          <t>16</t>
        </is>
      </c>
      <c r="P958" t="inlineStr">
        <is>
          <t xml:space="preserve">91372   </t>
        </is>
      </c>
      <c r="Q958" s="26" t="n">
        <v>11.81</v>
      </c>
      <c r="R958" s="26">
        <f>Q958*G958</f>
        <v/>
      </c>
      <c r="S958" s="26">
        <f>IFERROR(VLOOKUP(E958*1,Tabla[#All],8,0),0)</f>
        <v/>
      </c>
      <c r="T958" s="26">
        <f>S958*G958</f>
        <v/>
      </c>
      <c r="U958" s="26">
        <f>R958-T958</f>
        <v/>
      </c>
      <c r="V958" s="26">
        <f>U958-L958</f>
        <v/>
      </c>
    </row>
    <row r="959">
      <c r="A959" s="11" t="n">
        <v>46213</v>
      </c>
      <c r="B959" s="1" t="n">
        <v>20073</v>
      </c>
      <c r="C959" s="1" t="inlineStr">
        <is>
          <t>033</t>
        </is>
      </c>
      <c r="D959" s="1" t="inlineStr">
        <is>
          <t>313666</t>
        </is>
      </c>
      <c r="E959" s="1" t="inlineStr">
        <is>
          <t xml:space="preserve">33483121       </t>
        </is>
      </c>
      <c r="F959" s="5" t="inlineStr">
        <is>
          <t>HOT WHEELS ESTUCHE PARA 15 AUTOS SURTIDO</t>
        </is>
      </c>
      <c r="G959" t="n">
        <v>1</v>
      </c>
      <c r="H959" s="7" t="n">
        <v>34.9</v>
      </c>
      <c r="I959" s="7" t="n">
        <v>3.49</v>
      </c>
      <c r="J959" s="7" t="n">
        <v>0</v>
      </c>
      <c r="K959" s="9" t="n">
        <v>3.49</v>
      </c>
      <c r="L959" s="10" t="n">
        <v>18.63</v>
      </c>
      <c r="M959" s="10" t="n">
        <v>1.43</v>
      </c>
      <c r="N959" t="inlineStr">
        <is>
          <t>1</t>
        </is>
      </c>
      <c r="O959" t="inlineStr">
        <is>
          <t xml:space="preserve">3 </t>
        </is>
      </c>
      <c r="P959" t="inlineStr">
        <is>
          <t xml:space="preserve">250461  </t>
        </is>
      </c>
      <c r="Q959" s="26" t="n">
        <v>20.7</v>
      </c>
      <c r="R959" s="26">
        <f>Q959*G959</f>
        <v/>
      </c>
      <c r="S959" s="26">
        <f>IFERROR(VLOOKUP(E959*1,Tabla[#All],8,0),0)</f>
        <v/>
      </c>
      <c r="T959" s="26">
        <f>S959*G959</f>
        <v/>
      </c>
      <c r="U959" s="26">
        <f>R959-T959</f>
        <v/>
      </c>
      <c r="V959" s="26">
        <f>U959-L959</f>
        <v/>
      </c>
    </row>
    <row r="960">
      <c r="A960" s="11" t="n">
        <v>46213</v>
      </c>
      <c r="B960" s="1" t="n">
        <v>20073</v>
      </c>
      <c r="C960" s="1" t="inlineStr">
        <is>
          <t>045</t>
        </is>
      </c>
      <c r="D960" s="1" t="inlineStr">
        <is>
          <t>149470</t>
        </is>
      </c>
      <c r="E960" s="1" t="inlineStr">
        <is>
          <t xml:space="preserve">34840552       </t>
        </is>
      </c>
      <c r="F960" s="5" t="inlineStr">
        <is>
          <t>TMZ HELI POLICIA CON LUCES Y SONIDOS</t>
        </is>
      </c>
      <c r="G960" t="n">
        <v>1</v>
      </c>
      <c r="H960" s="7" t="n">
        <v>79.90000000000001</v>
      </c>
      <c r="I960" s="7" t="n">
        <v>0</v>
      </c>
      <c r="J960" s="7" t="n">
        <v>0</v>
      </c>
      <c r="K960" s="9" t="n">
        <v>0</v>
      </c>
      <c r="L960" s="10" t="n">
        <v>47.4</v>
      </c>
      <c r="M960" s="10" t="n">
        <v>1.43</v>
      </c>
      <c r="N960" t="inlineStr">
        <is>
          <t>1</t>
        </is>
      </c>
      <c r="O960" t="inlineStr">
        <is>
          <t>16</t>
        </is>
      </c>
      <c r="P960" t="inlineStr">
        <is>
          <t xml:space="preserve">57893   </t>
        </is>
      </c>
      <c r="Q960" s="26" t="n">
        <v>47.4</v>
      </c>
      <c r="R960" s="26">
        <f>Q960*G960</f>
        <v/>
      </c>
      <c r="S960" s="26">
        <f>IFERROR(VLOOKUP(E960*1,Tabla[#All],8,0),0)</f>
        <v/>
      </c>
      <c r="T960" s="26">
        <f>S960*G960</f>
        <v/>
      </c>
      <c r="U960" s="26">
        <f>R960-T960</f>
        <v/>
      </c>
      <c r="V960" s="26">
        <f>U960-L960</f>
        <v/>
      </c>
    </row>
    <row r="961">
      <c r="A961" s="11" t="n">
        <v>46213</v>
      </c>
      <c r="B961" s="1" t="n">
        <v>20074</v>
      </c>
      <c r="C961" s="1" t="inlineStr">
        <is>
          <t>012</t>
        </is>
      </c>
      <c r="D961" s="1" t="inlineStr">
        <is>
          <t>279487</t>
        </is>
      </c>
      <c r="E961" s="1" t="inlineStr">
        <is>
          <t xml:space="preserve">30141768       </t>
        </is>
      </c>
      <c r="F961" s="5" t="inlineStr">
        <is>
          <t>TMZ BEAST MACHINES AUTOS DE METAL PACK 10 AUTOS</t>
        </is>
      </c>
      <c r="G961" t="n">
        <v>1</v>
      </c>
      <c r="H961" s="7" t="n">
        <v>79</v>
      </c>
      <c r="I961" s="7" t="n">
        <v>7.9</v>
      </c>
      <c r="J961" s="7" t="n">
        <v>0</v>
      </c>
      <c r="K961" s="9" t="n">
        <v>7.9</v>
      </c>
      <c r="L961" s="10" t="n">
        <v>42.18</v>
      </c>
      <c r="M961" s="10" t="n">
        <v>1.43</v>
      </c>
      <c r="N961" t="inlineStr">
        <is>
          <t>1</t>
        </is>
      </c>
      <c r="O961" t="inlineStr">
        <is>
          <t xml:space="preserve">3 </t>
        </is>
      </c>
      <c r="P961" t="inlineStr">
        <is>
          <t xml:space="preserve">250534  </t>
        </is>
      </c>
      <c r="Q961" s="26" t="n">
        <v>46.86</v>
      </c>
      <c r="R961" s="26">
        <f>Q961*G961</f>
        <v/>
      </c>
      <c r="S961" s="26">
        <f>IFERROR(VLOOKUP(E961*1,Tabla[#All],8,0),0)</f>
        <v/>
      </c>
      <c r="T961" s="26">
        <f>S961*G961</f>
        <v/>
      </c>
      <c r="U961" s="26">
        <f>R961-T961</f>
        <v/>
      </c>
      <c r="V961" s="26">
        <f>U961-L961</f>
        <v/>
      </c>
    </row>
    <row r="962">
      <c r="A962" s="11" t="n">
        <v>46213</v>
      </c>
      <c r="B962" s="1" t="n">
        <v>20074</v>
      </c>
      <c r="C962" s="1" t="inlineStr">
        <is>
          <t>012</t>
        </is>
      </c>
      <c r="D962" s="1" t="inlineStr">
        <is>
          <t>279487</t>
        </is>
      </c>
      <c r="E962" s="1" t="inlineStr">
        <is>
          <t xml:space="preserve">34840557       </t>
        </is>
      </c>
      <c r="F962" s="5" t="inlineStr">
        <is>
          <t>TMZ BEAST MACH. PLAYSET GARAGE DE SERPIENTE + 2 AU</t>
        </is>
      </c>
      <c r="G962" t="n">
        <v>1</v>
      </c>
      <c r="H962" s="7" t="n">
        <v>79.90000000000001</v>
      </c>
      <c r="I962" s="7" t="n">
        <v>7.99</v>
      </c>
      <c r="J962" s="7" t="n">
        <v>0</v>
      </c>
      <c r="K962" s="9" t="n">
        <v>7.99</v>
      </c>
      <c r="L962" s="10" t="n">
        <v>42.66</v>
      </c>
      <c r="M962" s="10" t="n">
        <v>1.43</v>
      </c>
      <c r="N962" t="inlineStr">
        <is>
          <t>1</t>
        </is>
      </c>
      <c r="O962" t="inlineStr">
        <is>
          <t xml:space="preserve">3 </t>
        </is>
      </c>
      <c r="P962" t="inlineStr">
        <is>
          <t xml:space="preserve">250534  </t>
        </is>
      </c>
      <c r="Q962" s="26" t="n">
        <v>47.4</v>
      </c>
      <c r="R962" s="26">
        <f>Q962*G962</f>
        <v/>
      </c>
      <c r="S962" s="26">
        <f>IFERROR(VLOOKUP(E962*1,Tabla[#All],8,0),0)</f>
        <v/>
      </c>
      <c r="T962" s="26">
        <f>S962*G962</f>
        <v/>
      </c>
      <c r="U962" s="26">
        <f>R962-T962</f>
        <v/>
      </c>
      <c r="V962" s="26">
        <f>U962-L962</f>
        <v/>
      </c>
    </row>
    <row r="963">
      <c r="A963" s="11" t="n">
        <v>46213</v>
      </c>
      <c r="B963" s="1" t="n">
        <v>20074</v>
      </c>
      <c r="C963" s="1" t="inlineStr">
        <is>
          <t>015</t>
        </is>
      </c>
      <c r="D963" s="1" t="inlineStr">
        <is>
          <t>227670</t>
        </is>
      </c>
      <c r="E963" s="1" t="inlineStr">
        <is>
          <t xml:space="preserve">28194770       </t>
        </is>
      </c>
      <c r="F963" s="5" t="inlineStr">
        <is>
          <t>AUTOS DE METAL 3 TEAMSTERZ EN BLISTER</t>
        </is>
      </c>
      <c r="G963" t="n">
        <v>1</v>
      </c>
      <c r="H963" s="7" t="n">
        <v>6.9</v>
      </c>
      <c r="I963" s="7" t="n">
        <v>0.6899999999999999</v>
      </c>
      <c r="J963" s="7" t="n">
        <v>0</v>
      </c>
      <c r="K963" s="9" t="n">
        <v>0.6899999999999999</v>
      </c>
      <c r="L963" s="10" t="n">
        <v>3.68</v>
      </c>
      <c r="M963" s="10" t="n">
        <v>1.43</v>
      </c>
      <c r="N963" t="inlineStr">
        <is>
          <t>1</t>
        </is>
      </c>
      <c r="O963" t="inlineStr">
        <is>
          <t xml:space="preserve">3 </t>
        </is>
      </c>
      <c r="P963" t="inlineStr">
        <is>
          <t xml:space="preserve">104416  </t>
        </is>
      </c>
      <c r="Q963" s="26" t="n">
        <v>4.09</v>
      </c>
      <c r="R963" s="26">
        <f>Q963*G963</f>
        <v/>
      </c>
      <c r="S963" s="26">
        <f>IFERROR(VLOOKUP(E963*1,Tabla[#All],8,0),0)</f>
        <v/>
      </c>
      <c r="T963" s="26">
        <f>S963*G963</f>
        <v/>
      </c>
      <c r="U963" s="26">
        <f>R963-T963</f>
        <v/>
      </c>
      <c r="V963" s="26">
        <f>U963-L963</f>
        <v/>
      </c>
    </row>
    <row r="964">
      <c r="A964" s="11" t="n">
        <v>46213</v>
      </c>
      <c r="B964" s="1" t="n">
        <v>20074</v>
      </c>
      <c r="C964" s="1" t="inlineStr">
        <is>
          <t>025</t>
        </is>
      </c>
      <c r="D964" s="1" t="inlineStr">
        <is>
          <t xml:space="preserve">27582 </t>
        </is>
      </c>
      <c r="E964" s="1" t="inlineStr">
        <is>
          <t xml:space="preserve">28194770       </t>
        </is>
      </c>
      <c r="F964" s="5" t="inlineStr">
        <is>
          <t>AUTOS DE METAL 3 TEAMSTERZ EN BLISTER</t>
        </is>
      </c>
      <c r="G964" t="n">
        <v>1</v>
      </c>
      <c r="H964" s="7" t="n">
        <v>6.9</v>
      </c>
      <c r="I964" s="7" t="n">
        <v>0</v>
      </c>
      <c r="J964" s="7" t="n">
        <v>0</v>
      </c>
      <c r="K964" s="9" t="n">
        <v>0</v>
      </c>
      <c r="L964" s="10" t="n">
        <v>4.1</v>
      </c>
      <c r="M964" s="10" t="n">
        <v>1.43</v>
      </c>
      <c r="N964" t="inlineStr">
        <is>
          <t>1</t>
        </is>
      </c>
      <c r="O964" t="inlineStr">
        <is>
          <t>16</t>
        </is>
      </c>
      <c r="P964" t="inlineStr">
        <is>
          <t xml:space="preserve">102135  </t>
        </is>
      </c>
      <c r="Q964" s="26" t="n">
        <v>4.09</v>
      </c>
      <c r="R964" s="26">
        <f>Q964*G964</f>
        <v/>
      </c>
      <c r="S964" s="26">
        <f>IFERROR(VLOOKUP(E964*1,Tabla[#All],8,0),0)</f>
        <v/>
      </c>
      <c r="T964" s="26">
        <f>S964*G964</f>
        <v/>
      </c>
      <c r="U964" s="26">
        <f>R964-T964</f>
        <v/>
      </c>
      <c r="V964" s="26">
        <f>U964-L964</f>
        <v/>
      </c>
    </row>
    <row r="965">
      <c r="A965" s="11" t="n">
        <v>46213</v>
      </c>
      <c r="B965" s="1" t="n">
        <v>20074</v>
      </c>
      <c r="C965" s="1" t="inlineStr">
        <is>
          <t>048</t>
        </is>
      </c>
      <c r="D965" s="1" t="inlineStr">
        <is>
          <t>144751</t>
        </is>
      </c>
      <c r="E965" s="1" t="inlineStr">
        <is>
          <t xml:space="preserve">28194770       </t>
        </is>
      </c>
      <c r="F965" s="5" t="inlineStr">
        <is>
          <t>AUTOS DE METAL 3 TEAMSTERZ EN BLISTER</t>
        </is>
      </c>
      <c r="G965" t="n">
        <v>1</v>
      </c>
      <c r="H965" s="7" t="n">
        <v>6.9</v>
      </c>
      <c r="I965" s="7" t="n">
        <v>0</v>
      </c>
      <c r="J965" s="7" t="n">
        <v>0</v>
      </c>
      <c r="K965" s="9" t="n">
        <v>0</v>
      </c>
      <c r="L965" s="10" t="n">
        <v>4.1</v>
      </c>
      <c r="M965" s="10" t="n">
        <v>1.43</v>
      </c>
      <c r="N965" t="inlineStr">
        <is>
          <t>1</t>
        </is>
      </c>
      <c r="O965" t="inlineStr">
        <is>
          <t>16</t>
        </is>
      </c>
      <c r="P965" t="inlineStr">
        <is>
          <t xml:space="preserve">249571  </t>
        </is>
      </c>
      <c r="Q965" s="26" t="n">
        <v>4.09</v>
      </c>
      <c r="R965" s="26">
        <f>Q965*G965</f>
        <v/>
      </c>
      <c r="S965" s="26">
        <f>IFERROR(VLOOKUP(E965*1,Tabla[#All],8,0),0)</f>
        <v/>
      </c>
      <c r="T965" s="26">
        <f>S965*G965</f>
        <v/>
      </c>
      <c r="U965" s="26">
        <f>R965-T965</f>
        <v/>
      </c>
      <c r="V965" s="26">
        <f>U965-L965</f>
        <v/>
      </c>
    </row>
    <row r="966">
      <c r="A966" s="11" t="n">
        <v>46213</v>
      </c>
      <c r="B966" s="1" t="n">
        <v>20074</v>
      </c>
      <c r="C966" s="1" t="inlineStr">
        <is>
          <t>048</t>
        </is>
      </c>
      <c r="D966" s="1" t="inlineStr">
        <is>
          <t>144762</t>
        </is>
      </c>
      <c r="E966" s="1" t="inlineStr">
        <is>
          <t xml:space="preserve">29235702       </t>
        </is>
      </c>
      <c r="F966" s="5" t="inlineStr">
        <is>
          <t>INFINITY NADO TROMPO DE BATALLA - METAL C/ ANILLO</t>
        </is>
      </c>
      <c r="G966" t="n">
        <v>1</v>
      </c>
      <c r="H966" s="7" t="n">
        <v>69.90000000000001</v>
      </c>
      <c r="I966" s="7" t="n">
        <v>0</v>
      </c>
      <c r="J966" s="7" t="n">
        <v>0</v>
      </c>
      <c r="K966" s="9" t="n">
        <v>0</v>
      </c>
      <c r="L966" s="10" t="n">
        <v>41.47</v>
      </c>
      <c r="M966" s="10" t="n">
        <v>1.43</v>
      </c>
      <c r="N966" t="inlineStr">
        <is>
          <t>1</t>
        </is>
      </c>
      <c r="O966" t="inlineStr">
        <is>
          <t>16</t>
        </is>
      </c>
      <c r="P966" t="inlineStr">
        <is>
          <t xml:space="preserve">249571  </t>
        </is>
      </c>
      <c r="Q966" s="26" t="n">
        <v>41.47</v>
      </c>
      <c r="R966" s="26">
        <f>Q966*G966</f>
        <v/>
      </c>
      <c r="S966" s="26">
        <f>IFERROR(VLOOKUP(E966*1,Tabla[#All],8,0),0)</f>
        <v/>
      </c>
      <c r="T966" s="26">
        <f>S966*G966</f>
        <v/>
      </c>
      <c r="U966" s="26">
        <f>R966-T966</f>
        <v/>
      </c>
      <c r="V966" s="26">
        <f>U966-L966</f>
        <v/>
      </c>
    </row>
    <row r="967">
      <c r="A967" s="11" t="n">
        <v>46213</v>
      </c>
      <c r="B967" s="1" t="n">
        <v>20077</v>
      </c>
      <c r="C967" s="1" t="inlineStr">
        <is>
          <t>026</t>
        </is>
      </c>
      <c r="D967" s="1" t="inlineStr">
        <is>
          <t>107816</t>
        </is>
      </c>
      <c r="E967" s="1" t="inlineStr">
        <is>
          <t xml:space="preserve">28194770       </t>
        </is>
      </c>
      <c r="F967" s="5" t="inlineStr">
        <is>
          <t>AUTOS DE METAL 3 TEAMSTERZ EN BLISTER</t>
        </is>
      </c>
      <c r="G967" t="n">
        <v>1</v>
      </c>
      <c r="H967" s="7" t="n">
        <v>6.9</v>
      </c>
      <c r="I967" s="7" t="n">
        <v>0</v>
      </c>
      <c r="J967" s="7" t="n">
        <v>0</v>
      </c>
      <c r="K967" s="9" t="n">
        <v>0</v>
      </c>
      <c r="L967" s="10" t="n">
        <v>4.1</v>
      </c>
      <c r="M967" s="10" t="n">
        <v>1.43</v>
      </c>
      <c r="N967" t="inlineStr">
        <is>
          <t>1</t>
        </is>
      </c>
      <c r="O967" t="inlineStr">
        <is>
          <t xml:space="preserve">2 </t>
        </is>
      </c>
      <c r="P967" t="inlineStr">
        <is>
          <t xml:space="preserve">44367   </t>
        </is>
      </c>
      <c r="Q967" s="26" t="n">
        <v>4.09</v>
      </c>
      <c r="R967" s="26">
        <f>Q967*G967</f>
        <v/>
      </c>
      <c r="S967" s="26">
        <f>IFERROR(VLOOKUP(E967*1,Tabla[#All],8,0),0)</f>
        <v/>
      </c>
      <c r="T967" s="26">
        <f>S967*G967</f>
        <v/>
      </c>
      <c r="U967" s="26">
        <f>R967-T967</f>
        <v/>
      </c>
      <c r="V967" s="26">
        <f>U967-L967</f>
        <v/>
      </c>
    </row>
    <row r="968">
      <c r="A968" s="11" t="n">
        <v>46213</v>
      </c>
      <c r="B968" s="1" t="n">
        <v>20077</v>
      </c>
      <c r="C968" s="1" t="inlineStr">
        <is>
          <t>026</t>
        </is>
      </c>
      <c r="D968" s="1" t="inlineStr">
        <is>
          <t>107825</t>
        </is>
      </c>
      <c r="E968" s="1" t="inlineStr">
        <is>
          <t xml:space="preserve">28194780       </t>
        </is>
      </c>
      <c r="F968" s="5" t="inlineStr">
        <is>
          <t>TROMPO BATALLA INFINITY NADO PLSTICO SURTIDO</t>
        </is>
      </c>
      <c r="G968" t="n">
        <v>1</v>
      </c>
      <c r="H968" s="7" t="n">
        <v>19.9</v>
      </c>
      <c r="I968" s="7" t="n">
        <v>0</v>
      </c>
      <c r="J968" s="7" t="n">
        <v>0</v>
      </c>
      <c r="K968" s="9" t="n">
        <v>0</v>
      </c>
      <c r="L968" s="10" t="n">
        <v>11.8</v>
      </c>
      <c r="M968" s="10" t="n">
        <v>1.43</v>
      </c>
      <c r="N968" t="inlineStr">
        <is>
          <t>1</t>
        </is>
      </c>
      <c r="O968" t="inlineStr">
        <is>
          <t>16</t>
        </is>
      </c>
      <c r="P968" t="inlineStr">
        <is>
          <t xml:space="preserve">44367   </t>
        </is>
      </c>
      <c r="Q968" s="26" t="n">
        <v>11.81</v>
      </c>
      <c r="R968" s="26">
        <f>Q968*G968</f>
        <v/>
      </c>
      <c r="S968" s="26">
        <f>IFERROR(VLOOKUP(E968*1,Tabla[#All],8,0),0)</f>
        <v/>
      </c>
      <c r="T968" s="26">
        <f>S968*G968</f>
        <v/>
      </c>
      <c r="U968" s="26">
        <f>R968-T968</f>
        <v/>
      </c>
      <c r="V968" s="26">
        <f>U968-L968</f>
        <v/>
      </c>
    </row>
    <row r="969">
      <c r="A969" s="11" t="n">
        <v>46213</v>
      </c>
      <c r="B969" s="1" t="n">
        <v>20077</v>
      </c>
      <c r="C969" s="1" t="inlineStr">
        <is>
          <t>029</t>
        </is>
      </c>
      <c r="D969" s="1" t="inlineStr">
        <is>
          <t>155878</t>
        </is>
      </c>
      <c r="E969" s="1" t="inlineStr">
        <is>
          <t xml:space="preserve">32457099       </t>
        </is>
      </c>
      <c r="F969" s="5" t="inlineStr">
        <is>
          <t>TMZ BEAST MACHINES MONSTER JAWS A FRICCION BLISTER</t>
        </is>
      </c>
      <c r="G969" t="n">
        <v>1</v>
      </c>
      <c r="H969" s="7" t="n">
        <v>19.9</v>
      </c>
      <c r="I969" s="7" t="n">
        <v>0</v>
      </c>
      <c r="J969" s="7" t="n">
        <v>0</v>
      </c>
      <c r="K969" s="9" t="n">
        <v>0</v>
      </c>
      <c r="L969" s="10" t="n">
        <v>11.8</v>
      </c>
      <c r="M969" s="10" t="n">
        <v>1.43</v>
      </c>
      <c r="N969" t="inlineStr">
        <is>
          <t>1</t>
        </is>
      </c>
      <c r="O969" t="inlineStr">
        <is>
          <t>16</t>
        </is>
      </c>
      <c r="P969" t="inlineStr">
        <is>
          <t xml:space="preserve">250449  </t>
        </is>
      </c>
      <c r="Q969" s="26" t="n">
        <v>11.81</v>
      </c>
      <c r="R969" s="26">
        <f>Q969*G969</f>
        <v/>
      </c>
      <c r="S969" s="26">
        <f>IFERROR(VLOOKUP(E969*1,Tabla[#All],8,0),0)</f>
        <v/>
      </c>
      <c r="T969" s="26">
        <f>S969*G969</f>
        <v/>
      </c>
      <c r="U969" s="26">
        <f>R969-T969</f>
        <v/>
      </c>
      <c r="V969" s="26">
        <f>U969-L969</f>
        <v/>
      </c>
    </row>
    <row r="970">
      <c r="A970" s="11" t="n">
        <v>46213</v>
      </c>
      <c r="B970" s="1" t="n">
        <v>20077</v>
      </c>
      <c r="C970" s="1" t="inlineStr">
        <is>
          <t>029</t>
        </is>
      </c>
      <c r="D970" s="1" t="inlineStr">
        <is>
          <t>155880</t>
        </is>
      </c>
      <c r="E970" s="1" t="inlineStr">
        <is>
          <t xml:space="preserve">35685067       </t>
        </is>
      </c>
      <c r="F970" s="5" t="inlineStr">
        <is>
          <t>HOT WHEELS POWER SET 3 EN 1</t>
        </is>
      </c>
      <c r="G970" t="n">
        <v>1</v>
      </c>
      <c r="H970" s="7" t="n">
        <v>49.9</v>
      </c>
      <c r="I970" s="7" t="n">
        <v>4.99</v>
      </c>
      <c r="J970" s="7" t="n">
        <v>0</v>
      </c>
      <c r="K970" s="9" t="n">
        <v>4.99</v>
      </c>
      <c r="L970" s="10" t="n">
        <v>26.64</v>
      </c>
      <c r="M970" s="10" t="n">
        <v>1.43</v>
      </c>
      <c r="N970" t="inlineStr">
        <is>
          <t>1</t>
        </is>
      </c>
      <c r="O970" t="inlineStr">
        <is>
          <t xml:space="preserve">3 </t>
        </is>
      </c>
      <c r="P970" t="inlineStr">
        <is>
          <t xml:space="preserve">250449  </t>
        </is>
      </c>
      <c r="Q970" s="26" t="n">
        <v>29.6</v>
      </c>
      <c r="R970" s="26">
        <f>Q970*G970</f>
        <v/>
      </c>
      <c r="S970" s="26">
        <f>IFERROR(VLOOKUP(E970*1,Tabla[#All],8,0),0)</f>
        <v/>
      </c>
      <c r="T970" s="26">
        <f>S970*G970</f>
        <v/>
      </c>
      <c r="U970" s="26">
        <f>R970-T970</f>
        <v/>
      </c>
      <c r="V970" s="26">
        <f>U970-L970</f>
        <v/>
      </c>
    </row>
    <row r="971">
      <c r="A971" s="11" t="n">
        <v>46213</v>
      </c>
      <c r="B971" s="1" t="n">
        <v>20077</v>
      </c>
      <c r="C971" s="1" t="inlineStr">
        <is>
          <t>029</t>
        </is>
      </c>
      <c r="D971" s="1" t="inlineStr">
        <is>
          <t>155883</t>
        </is>
      </c>
      <c r="E971" s="1" t="inlineStr">
        <is>
          <t xml:space="preserve">28194770       </t>
        </is>
      </c>
      <c r="F971" s="5" t="inlineStr">
        <is>
          <t>AUTOS DE METAL 3 TEAMSTERZ EN BLISTER</t>
        </is>
      </c>
      <c r="G971" t="n">
        <v>1</v>
      </c>
      <c r="H971" s="7" t="n">
        <v>6.9</v>
      </c>
      <c r="I971" s="7" t="n">
        <v>0</v>
      </c>
      <c r="J971" s="7" t="n">
        <v>0</v>
      </c>
      <c r="K971" s="9" t="n">
        <v>0</v>
      </c>
      <c r="L971" s="10" t="n">
        <v>4.1</v>
      </c>
      <c r="M971" s="10" t="n">
        <v>1.43</v>
      </c>
      <c r="N971" t="inlineStr">
        <is>
          <t>1</t>
        </is>
      </c>
      <c r="O971" t="inlineStr">
        <is>
          <t xml:space="preserve">2 </t>
        </is>
      </c>
      <c r="P971" t="inlineStr">
        <is>
          <t xml:space="preserve">250449  </t>
        </is>
      </c>
      <c r="Q971" s="26" t="n">
        <v>4.09</v>
      </c>
      <c r="R971" s="26">
        <f>Q971*G971</f>
        <v/>
      </c>
      <c r="S971" s="26">
        <f>IFERROR(VLOOKUP(E971*1,Tabla[#All],8,0),0)</f>
        <v/>
      </c>
      <c r="T971" s="26">
        <f>S971*G971</f>
        <v/>
      </c>
      <c r="U971" s="26">
        <f>R971-T971</f>
        <v/>
      </c>
      <c r="V971" s="26">
        <f>U971-L971</f>
        <v/>
      </c>
    </row>
    <row r="972">
      <c r="A972" s="11" t="n">
        <v>46213</v>
      </c>
      <c r="B972" s="1" t="n">
        <v>20077</v>
      </c>
      <c r="C972" s="1" t="inlineStr">
        <is>
          <t>029</t>
        </is>
      </c>
      <c r="D972" s="1" t="inlineStr">
        <is>
          <t>155883</t>
        </is>
      </c>
      <c r="E972" s="1" t="inlineStr">
        <is>
          <t xml:space="preserve">28194770       </t>
        </is>
      </c>
      <c r="F972" s="5" t="inlineStr">
        <is>
          <t>AUTOS DE METAL 3 TEAMSTERZ EN BLISTER</t>
        </is>
      </c>
      <c r="G972" t="n">
        <v>1</v>
      </c>
      <c r="H972" s="7" t="n">
        <v>6.9</v>
      </c>
      <c r="I972" s="7" t="n">
        <v>0</v>
      </c>
      <c r="J972" s="7" t="n">
        <v>0</v>
      </c>
      <c r="K972" s="9" t="n">
        <v>0</v>
      </c>
      <c r="L972" s="10" t="n">
        <v>4.1</v>
      </c>
      <c r="M972" s="10" t="n">
        <v>1.43</v>
      </c>
      <c r="N972" t="inlineStr">
        <is>
          <t>1</t>
        </is>
      </c>
      <c r="O972" t="inlineStr">
        <is>
          <t xml:space="preserve">2 </t>
        </is>
      </c>
      <c r="P972" t="inlineStr">
        <is>
          <t xml:space="preserve">250449  </t>
        </is>
      </c>
      <c r="Q972" s="26" t="n">
        <v>4.09</v>
      </c>
      <c r="R972" s="26">
        <f>Q972*G972</f>
        <v/>
      </c>
      <c r="S972" s="26">
        <f>IFERROR(VLOOKUP(E972*1,Tabla[#All],8,0),0)</f>
        <v/>
      </c>
      <c r="T972" s="26">
        <f>S972*G972</f>
        <v/>
      </c>
      <c r="U972" s="26">
        <f>R972-T972</f>
        <v/>
      </c>
      <c r="V972" s="26">
        <f>U972-L972</f>
        <v/>
      </c>
    </row>
    <row r="973">
      <c r="A973" s="11" t="n">
        <v>46213</v>
      </c>
      <c r="B973" s="1" t="n">
        <v>20079</v>
      </c>
      <c r="C973" s="1" t="inlineStr">
        <is>
          <t>045</t>
        </is>
      </c>
      <c r="D973" s="1" t="inlineStr">
        <is>
          <t>331946</t>
        </is>
      </c>
      <c r="E973" s="1" t="inlineStr">
        <is>
          <t xml:space="preserve">32457103       </t>
        </is>
      </c>
      <c r="F973" s="5" t="inlineStr">
        <is>
          <t>TMZ BEAST MACHINES MONSTER JAWS A FRICCION PACK DE</t>
        </is>
      </c>
      <c r="G973" t="n">
        <v>1</v>
      </c>
      <c r="H973" s="7" t="n">
        <v>37.9</v>
      </c>
      <c r="I973" s="7" t="n">
        <v>3.79</v>
      </c>
      <c r="J973" s="7" t="n">
        <v>0</v>
      </c>
      <c r="K973" s="9" t="n">
        <v>3.79</v>
      </c>
      <c r="L973" s="10" t="n">
        <v>20.24</v>
      </c>
      <c r="M973" s="10" t="n">
        <v>1.43</v>
      </c>
      <c r="N973" t="inlineStr">
        <is>
          <t>1</t>
        </is>
      </c>
      <c r="O973" t="inlineStr">
        <is>
          <t xml:space="preserve">3 </t>
        </is>
      </c>
      <c r="P973" t="inlineStr">
        <is>
          <t xml:space="preserve">61558   </t>
        </is>
      </c>
      <c r="Q973" s="26" t="n">
        <v>22.48</v>
      </c>
      <c r="R973" s="26">
        <f>Q973*G973</f>
        <v/>
      </c>
      <c r="S973" s="26">
        <f>IFERROR(VLOOKUP(E973*1,Tabla[#All],8,0),0)</f>
        <v/>
      </c>
      <c r="T973" s="26">
        <f>S973*G973</f>
        <v/>
      </c>
      <c r="U973" s="26">
        <f>R973-T973</f>
        <v/>
      </c>
      <c r="V973" s="26">
        <f>U973-L973</f>
        <v/>
      </c>
    </row>
    <row r="974">
      <c r="A974" s="11" t="n">
        <v>46213</v>
      </c>
      <c r="B974" s="1" t="n">
        <v>20079</v>
      </c>
      <c r="C974" s="1" t="inlineStr">
        <is>
          <t>045</t>
        </is>
      </c>
      <c r="D974" s="1" t="inlineStr">
        <is>
          <t>331986</t>
        </is>
      </c>
      <c r="E974" s="1" t="inlineStr">
        <is>
          <t xml:space="preserve">28194781       </t>
        </is>
      </c>
      <c r="F974" s="5" t="inlineStr">
        <is>
          <t>TROMPO BATALLA INFINITY NADO SERIE V CLASICA SURTI</t>
        </is>
      </c>
      <c r="G974" t="n">
        <v>1</v>
      </c>
      <c r="H974" s="7" t="n">
        <v>59.9</v>
      </c>
      <c r="I974" s="7" t="n">
        <v>0</v>
      </c>
      <c r="J974" s="7" t="n">
        <v>0</v>
      </c>
      <c r="K974" s="9" t="n">
        <v>0</v>
      </c>
      <c r="L974" s="10" t="n">
        <v>35.53</v>
      </c>
      <c r="M974" s="10" t="n">
        <v>1.43</v>
      </c>
      <c r="N974" t="inlineStr">
        <is>
          <t>1</t>
        </is>
      </c>
      <c r="O974" t="inlineStr">
        <is>
          <t>16</t>
        </is>
      </c>
      <c r="P974" t="inlineStr">
        <is>
          <t xml:space="preserve">61558   </t>
        </is>
      </c>
      <c r="Q974" s="26" t="n">
        <v>35.53</v>
      </c>
      <c r="R974" s="26">
        <f>Q974*G974</f>
        <v/>
      </c>
      <c r="S974" s="26">
        <f>IFERROR(VLOOKUP(E974*1,Tabla[#All],8,0),0)</f>
        <v/>
      </c>
      <c r="T974" s="26">
        <f>S974*G974</f>
        <v/>
      </c>
      <c r="U974" s="26">
        <f>R974-T974</f>
        <v/>
      </c>
      <c r="V974" s="26">
        <f>U974-L974</f>
        <v/>
      </c>
    </row>
    <row r="975">
      <c r="A975" s="11" t="n">
        <v>46213</v>
      </c>
      <c r="B975" s="1" t="n">
        <v>20079</v>
      </c>
      <c r="C975" s="1" t="inlineStr">
        <is>
          <t>045</t>
        </is>
      </c>
      <c r="D975" s="1" t="inlineStr">
        <is>
          <t>331986</t>
        </is>
      </c>
      <c r="E975" s="1" t="inlineStr">
        <is>
          <t xml:space="preserve">31754677       </t>
        </is>
      </c>
      <c r="F975" s="5" t="inlineStr">
        <is>
          <t>INFINITY NADO SERIE 6 SET DE BATALL</t>
        </is>
      </c>
      <c r="G975" t="n">
        <v>1</v>
      </c>
      <c r="H975" s="7" t="n">
        <v>189</v>
      </c>
      <c r="I975" s="7" t="n">
        <v>0</v>
      </c>
      <c r="J975" s="7" t="n">
        <v>0</v>
      </c>
      <c r="K975" s="9" t="n">
        <v>0</v>
      </c>
      <c r="L975" s="10" t="n">
        <v>112.12</v>
      </c>
      <c r="M975" s="10" t="n">
        <v>1.43</v>
      </c>
      <c r="N975" t="inlineStr">
        <is>
          <t>1</t>
        </is>
      </c>
      <c r="O975" t="inlineStr">
        <is>
          <t>16</t>
        </is>
      </c>
      <c r="P975" t="inlineStr">
        <is>
          <t xml:space="preserve">61558   </t>
        </is>
      </c>
      <c r="Q975" s="26" t="n">
        <v>112.12</v>
      </c>
      <c r="R975" s="26">
        <f>Q975*G975</f>
        <v/>
      </c>
      <c r="S975" s="26">
        <f>IFERROR(VLOOKUP(E975*1,Tabla[#All],8,0),0)</f>
        <v/>
      </c>
      <c r="T975" s="26">
        <f>S975*G975</f>
        <v/>
      </c>
      <c r="U975" s="26">
        <f>R975-T975</f>
        <v/>
      </c>
      <c r="V975" s="26">
        <f>U975-L975</f>
        <v/>
      </c>
    </row>
    <row r="976">
      <c r="A976" s="11" t="n">
        <v>46213</v>
      </c>
      <c r="B976" s="1" t="n">
        <v>20079</v>
      </c>
      <c r="C976" s="1" t="inlineStr">
        <is>
          <t>051</t>
        </is>
      </c>
      <c r="D976" s="1" t="inlineStr">
        <is>
          <t>235593</t>
        </is>
      </c>
      <c r="E976" s="1" t="inlineStr">
        <is>
          <t xml:space="preserve">31754674       </t>
        </is>
      </c>
      <c r="F976" s="5" t="inlineStr">
        <is>
          <t>PEPE MOCO - CEREBRO SALTARIN</t>
        </is>
      </c>
      <c r="G976" t="n">
        <v>1</v>
      </c>
      <c r="H976" s="7" t="n">
        <v>89.90000000000001</v>
      </c>
      <c r="I976" s="7" t="n">
        <v>0</v>
      </c>
      <c r="J976" s="7" t="n">
        <v>0</v>
      </c>
      <c r="K976" s="9" t="n">
        <v>0</v>
      </c>
      <c r="L976" s="10" t="n">
        <v>53.33</v>
      </c>
      <c r="M976" s="10" t="n">
        <v>1.43</v>
      </c>
      <c r="N976" t="inlineStr">
        <is>
          <t>1</t>
        </is>
      </c>
      <c r="O976" t="inlineStr">
        <is>
          <t>16</t>
        </is>
      </c>
      <c r="P976" t="inlineStr">
        <is>
          <t xml:space="preserve">55412   </t>
        </is>
      </c>
      <c r="Q976" s="26" t="n">
        <v>53.33</v>
      </c>
      <c r="R976" s="26">
        <f>Q976*G976</f>
        <v/>
      </c>
      <c r="S976" s="26">
        <f>IFERROR(VLOOKUP(E976*1,Tabla[#All],8,0),0)</f>
        <v/>
      </c>
      <c r="T976" s="26">
        <f>S976*G976</f>
        <v/>
      </c>
      <c r="U976" s="26">
        <f>R976-T976</f>
        <v/>
      </c>
      <c r="V976" s="26">
        <f>U976-L976</f>
        <v/>
      </c>
    </row>
    <row r="977">
      <c r="A977" s="11" t="n">
        <v>46213</v>
      </c>
      <c r="B977" s="1" t="n">
        <v>20080</v>
      </c>
      <c r="C977" s="1" t="inlineStr">
        <is>
          <t>013</t>
        </is>
      </c>
      <c r="D977" s="1" t="inlineStr">
        <is>
          <t>129157</t>
        </is>
      </c>
      <c r="E977" s="1" t="inlineStr">
        <is>
          <t xml:space="preserve">31675354       </t>
        </is>
      </c>
      <c r="F977" s="5" t="inlineStr">
        <is>
          <t>NENUCO LLORON CON ACCESORIOS</t>
        </is>
      </c>
      <c r="G977" t="n">
        <v>1</v>
      </c>
      <c r="H977" s="7" t="n">
        <v>89.90000000000001</v>
      </c>
      <c r="I977" s="7" t="n">
        <v>0</v>
      </c>
      <c r="J977" s="7" t="n">
        <v>0</v>
      </c>
      <c r="K977" s="9" t="n">
        <v>0</v>
      </c>
      <c r="L977" s="10" t="n">
        <v>53.33</v>
      </c>
      <c r="M977" s="10" t="n">
        <v>1.43</v>
      </c>
      <c r="N977" t="inlineStr">
        <is>
          <t>1</t>
        </is>
      </c>
      <c r="O977" t="inlineStr">
        <is>
          <t>16</t>
        </is>
      </c>
      <c r="P977" t="inlineStr">
        <is>
          <t xml:space="preserve">66628   </t>
        </is>
      </c>
      <c r="Q977" s="26" t="n">
        <v>53.33</v>
      </c>
      <c r="R977" s="26">
        <f>Q977*G977</f>
        <v/>
      </c>
      <c r="S977" s="26">
        <f>IFERROR(VLOOKUP(E977*1,Tabla[#All],8,0),0)</f>
        <v/>
      </c>
      <c r="T977" s="26">
        <f>S977*G977</f>
        <v/>
      </c>
      <c r="U977" s="26">
        <f>R977-T977</f>
        <v/>
      </c>
      <c r="V977" s="26">
        <f>U977-L977</f>
        <v/>
      </c>
    </row>
    <row r="978">
      <c r="A978" s="11" t="n">
        <v>46213</v>
      </c>
      <c r="B978" s="1" t="n">
        <v>20080</v>
      </c>
      <c r="C978" s="1" t="inlineStr">
        <is>
          <t>026</t>
        </is>
      </c>
      <c r="D978" s="1" t="inlineStr">
        <is>
          <t>208802</t>
        </is>
      </c>
      <c r="E978" s="1" t="inlineStr">
        <is>
          <t xml:space="preserve">32457103       </t>
        </is>
      </c>
      <c r="F978" s="5" t="inlineStr">
        <is>
          <t>TMZ BEAST MACHINES MONSTER JAWS A FRICCION PACK DE</t>
        </is>
      </c>
      <c r="G978" t="n">
        <v>1</v>
      </c>
      <c r="H978" s="7" t="n">
        <v>37.9</v>
      </c>
      <c r="I978" s="7" t="n">
        <v>0</v>
      </c>
      <c r="J978" s="7" t="n">
        <v>0</v>
      </c>
      <c r="K978" s="9" t="n">
        <v>0</v>
      </c>
      <c r="L978" s="10" t="n">
        <v>22.48</v>
      </c>
      <c r="M978" s="10" t="n">
        <v>1.43</v>
      </c>
      <c r="N978" t="inlineStr">
        <is>
          <t>1</t>
        </is>
      </c>
      <c r="O978" t="inlineStr">
        <is>
          <t>16</t>
        </is>
      </c>
      <c r="P978" t="inlineStr">
        <is>
          <t xml:space="preserve">247625  </t>
        </is>
      </c>
      <c r="Q978" s="26" t="n">
        <v>22.48</v>
      </c>
      <c r="R978" s="26">
        <f>Q978*G978</f>
        <v/>
      </c>
      <c r="S978" s="26">
        <f>IFERROR(VLOOKUP(E978*1,Tabla[#All],8,0),0)</f>
        <v/>
      </c>
      <c r="T978" s="26">
        <f>S978*G978</f>
        <v/>
      </c>
      <c r="U978" s="26">
        <f>R978-T978</f>
        <v/>
      </c>
      <c r="V978" s="26">
        <f>U978-L978</f>
        <v/>
      </c>
    </row>
    <row r="979">
      <c r="A979" s="11" t="n">
        <v>46213</v>
      </c>
      <c r="B979" s="1" t="n">
        <v>20080</v>
      </c>
      <c r="C979" s="1" t="inlineStr">
        <is>
          <t>800</t>
        </is>
      </c>
      <c r="D979" s="1" t="inlineStr">
        <is>
          <t xml:space="preserve">5802  </t>
        </is>
      </c>
      <c r="E979" s="1" t="inlineStr">
        <is>
          <t xml:space="preserve">28194770       </t>
        </is>
      </c>
      <c r="F979" s="5" t="inlineStr">
        <is>
          <t>AUTOS DE METAL 3 TEAMSTERZ EN BLISTER</t>
        </is>
      </c>
      <c r="G979" t="n">
        <v>1</v>
      </c>
      <c r="H979" s="7" t="n">
        <v>6.9</v>
      </c>
      <c r="I979" s="7" t="n">
        <v>0</v>
      </c>
      <c r="J979" s="7" t="n">
        <v>0</v>
      </c>
      <c r="K979" s="9" t="n">
        <v>0</v>
      </c>
      <c r="L979" s="10" t="n">
        <v>4.1</v>
      </c>
      <c r="M979" s="10" t="n">
        <v>1.43</v>
      </c>
      <c r="N979" t="inlineStr">
        <is>
          <t>1</t>
        </is>
      </c>
      <c r="O979" t="inlineStr">
        <is>
          <t>16</t>
        </is>
      </c>
      <c r="P979" t="inlineStr">
        <is>
          <t xml:space="preserve">0       </t>
        </is>
      </c>
      <c r="Q979" s="26" t="n">
        <v>4.09</v>
      </c>
      <c r="R979" s="26">
        <f>Q979*G979</f>
        <v/>
      </c>
      <c r="S979" s="26">
        <f>IFERROR(VLOOKUP(E979*1,Tabla[#All],8,0),0)</f>
        <v/>
      </c>
      <c r="T979" s="26">
        <f>S979*G979</f>
        <v/>
      </c>
      <c r="U979" s="26">
        <f>R979-T979</f>
        <v/>
      </c>
      <c r="V979" s="26">
        <f>U979-L979</f>
        <v/>
      </c>
    </row>
    <row r="980">
      <c r="A980" s="11" t="n">
        <v>46213</v>
      </c>
      <c r="B980" s="1" t="n">
        <v>20086</v>
      </c>
      <c r="C980" s="1" t="inlineStr">
        <is>
          <t>192</t>
        </is>
      </c>
      <c r="D980" s="1" t="inlineStr">
        <is>
          <t>129028</t>
        </is>
      </c>
      <c r="E980" s="1" t="inlineStr">
        <is>
          <t xml:space="preserve">28194770       </t>
        </is>
      </c>
      <c r="F980" s="5" t="inlineStr">
        <is>
          <t>AUTOS DE METAL 3 TEAMSTERZ EN BLISTER</t>
        </is>
      </c>
      <c r="G980" t="n">
        <v>1</v>
      </c>
      <c r="H980" s="7" t="n">
        <v>6.9</v>
      </c>
      <c r="I980" s="7" t="n">
        <v>0</v>
      </c>
      <c r="J980" s="7" t="n">
        <v>0</v>
      </c>
      <c r="K980" s="9" t="n">
        <v>0</v>
      </c>
      <c r="L980" s="10" t="n">
        <v>4.1</v>
      </c>
      <c r="M980" s="10" t="n">
        <v>1.43</v>
      </c>
      <c r="N980" t="inlineStr">
        <is>
          <t>1</t>
        </is>
      </c>
      <c r="O980" t="inlineStr">
        <is>
          <t>16</t>
        </is>
      </c>
      <c r="P980" t="inlineStr">
        <is>
          <t xml:space="preserve">74697   </t>
        </is>
      </c>
      <c r="Q980" s="26" t="n">
        <v>4.09</v>
      </c>
      <c r="R980" s="26">
        <f>Q980*G980</f>
        <v/>
      </c>
      <c r="S980" s="26">
        <f>IFERROR(VLOOKUP(E980*1,Tabla[#All],8,0),0)</f>
        <v/>
      </c>
      <c r="T980" s="26">
        <f>S980*G980</f>
        <v/>
      </c>
      <c r="U980" s="26">
        <f>R980-T980</f>
        <v/>
      </c>
      <c r="V980" s="26">
        <f>U980-L980</f>
        <v/>
      </c>
    </row>
    <row r="981">
      <c r="A981" s="11" t="n">
        <v>46213</v>
      </c>
      <c r="B981" s="1" t="n">
        <v>20086</v>
      </c>
      <c r="C981" s="1" t="inlineStr">
        <is>
          <t>192</t>
        </is>
      </c>
      <c r="D981" s="1" t="inlineStr">
        <is>
          <t>129033</t>
        </is>
      </c>
      <c r="E981" s="1" t="inlineStr">
        <is>
          <t xml:space="preserve">33483127       </t>
        </is>
      </c>
      <c r="F981" s="5" t="inlineStr">
        <is>
          <t>MUNECA STEFFI LOVE DIA DE CLASES + ACC.</t>
        </is>
      </c>
      <c r="G981" t="n">
        <v>1</v>
      </c>
      <c r="H981" s="7" t="n">
        <v>79.90000000000001</v>
      </c>
      <c r="I981" s="7" t="n">
        <v>0</v>
      </c>
      <c r="J981" s="7" t="n">
        <v>0</v>
      </c>
      <c r="K981" s="9" t="n">
        <v>0</v>
      </c>
      <c r="L981" s="10" t="n">
        <v>47.4</v>
      </c>
      <c r="M981" s="10" t="n">
        <v>1.43</v>
      </c>
      <c r="N981" t="inlineStr">
        <is>
          <t>1</t>
        </is>
      </c>
      <c r="O981" t="inlineStr">
        <is>
          <t>16</t>
        </is>
      </c>
      <c r="P981" t="inlineStr">
        <is>
          <t xml:space="preserve">74697   </t>
        </is>
      </c>
      <c r="Q981" s="26" t="n">
        <v>47.4</v>
      </c>
      <c r="R981" s="26">
        <f>Q981*G981</f>
        <v/>
      </c>
      <c r="S981" s="26">
        <f>IFERROR(VLOOKUP(E981*1,Tabla[#All],8,0),0)</f>
        <v/>
      </c>
      <c r="T981" s="26">
        <f>S981*G981</f>
        <v/>
      </c>
      <c r="U981" s="26">
        <f>R981-T981</f>
        <v/>
      </c>
      <c r="V981" s="26">
        <f>U981-L981</f>
        <v/>
      </c>
    </row>
    <row r="982">
      <c r="A982" s="11" t="n">
        <v>46213</v>
      </c>
      <c r="B982" s="1" t="n">
        <v>20088</v>
      </c>
      <c r="C982" s="1" t="inlineStr">
        <is>
          <t>021</t>
        </is>
      </c>
      <c r="D982" s="1" t="inlineStr">
        <is>
          <t xml:space="preserve">48679 </t>
        </is>
      </c>
      <c r="E982" s="1" t="inlineStr">
        <is>
          <t xml:space="preserve">32457099       </t>
        </is>
      </c>
      <c r="F982" s="5" t="inlineStr">
        <is>
          <t>TMZ BEAST MACHINES MONSTER JAWS A FRICCION BLISTER</t>
        </is>
      </c>
      <c r="G982" t="n">
        <v>1</v>
      </c>
      <c r="H982" s="7" t="n">
        <v>17.9</v>
      </c>
      <c r="I982" s="7" t="n">
        <v>0</v>
      </c>
      <c r="J982" s="7" t="n">
        <v>0</v>
      </c>
      <c r="K982" s="9" t="n">
        <v>0</v>
      </c>
      <c r="L982" s="10" t="n">
        <v>10.62</v>
      </c>
      <c r="M982" s="10" t="n">
        <v>1.43</v>
      </c>
      <c r="N982" t="inlineStr">
        <is>
          <t>1</t>
        </is>
      </c>
      <c r="O982" t="inlineStr">
        <is>
          <t xml:space="preserve">2 </t>
        </is>
      </c>
      <c r="P982" t="inlineStr">
        <is>
          <t xml:space="preserve">249601  </t>
        </is>
      </c>
      <c r="Q982" s="26" t="n">
        <v>11.81</v>
      </c>
      <c r="R982" s="26">
        <f>Q982*G982</f>
        <v/>
      </c>
      <c r="S982" s="26">
        <f>IFERROR(VLOOKUP(E982*1,Tabla[#All],8,0),0)</f>
        <v/>
      </c>
      <c r="T982" s="26">
        <f>S982*G982</f>
        <v/>
      </c>
      <c r="U982" s="26">
        <f>R982-T982</f>
        <v/>
      </c>
      <c r="V982" s="26">
        <f>U982-L982</f>
        <v/>
      </c>
    </row>
    <row r="983">
      <c r="A983" s="11" t="n">
        <v>46213</v>
      </c>
      <c r="B983" s="1" t="n">
        <v>20088</v>
      </c>
      <c r="C983" s="1" t="inlineStr">
        <is>
          <t>024</t>
        </is>
      </c>
      <c r="D983" s="1" t="inlineStr">
        <is>
          <t xml:space="preserve">2797  </t>
        </is>
      </c>
      <c r="E983" s="1" t="inlineStr">
        <is>
          <t xml:space="preserve">31754676       </t>
        </is>
      </c>
      <c r="F983" s="5" t="inlineStr">
        <is>
          <t>INFINITY NADO SERIE 6 STD PACK LANZ ESPAD ANILLO M</t>
        </is>
      </c>
      <c r="G983" t="n">
        <v>1</v>
      </c>
      <c r="H983" s="7" t="n">
        <v>59.9</v>
      </c>
      <c r="I983" s="7" t="n">
        <v>0</v>
      </c>
      <c r="J983" s="7" t="n">
        <v>0</v>
      </c>
      <c r="K983" s="9" t="n">
        <v>0</v>
      </c>
      <c r="L983" s="10" t="n">
        <v>35.53</v>
      </c>
      <c r="M983" s="10" t="n">
        <v>1.43</v>
      </c>
      <c r="N983" t="inlineStr">
        <is>
          <t>1</t>
        </is>
      </c>
      <c r="O983" t="inlineStr">
        <is>
          <t>16</t>
        </is>
      </c>
      <c r="P983" t="inlineStr">
        <is>
          <t xml:space="preserve">39502   </t>
        </is>
      </c>
      <c r="Q983" s="26" t="n">
        <v>47.4</v>
      </c>
      <c r="R983" s="26">
        <f>Q983*G983</f>
        <v/>
      </c>
      <c r="S983" s="26">
        <f>IFERROR(VLOOKUP(E983*1,Tabla[#All],8,0),0)</f>
        <v/>
      </c>
      <c r="T983" s="26">
        <f>S983*G983</f>
        <v/>
      </c>
      <c r="U983" s="26">
        <f>R983-T983</f>
        <v/>
      </c>
      <c r="V983" s="26">
        <f>U983-L983</f>
        <v/>
      </c>
    </row>
    <row r="984">
      <c r="A984" s="11" t="n">
        <v>46213</v>
      </c>
      <c r="B984" s="1" t="n">
        <v>20088</v>
      </c>
      <c r="C984" s="1" t="inlineStr">
        <is>
          <t>510</t>
        </is>
      </c>
      <c r="D984" s="1" t="inlineStr">
        <is>
          <t xml:space="preserve">3385  </t>
        </is>
      </c>
      <c r="E984" s="1" t="inlineStr">
        <is>
          <t xml:space="preserve">35685066       </t>
        </is>
      </c>
      <c r="F984" s="5" t="inlineStr">
        <is>
          <t>HOT WHEELS RACK GUARDA AUTOS 3 EN 1</t>
        </is>
      </c>
      <c r="G984" t="n">
        <v>1</v>
      </c>
      <c r="H984" s="7" t="n">
        <v>79.90000000000001</v>
      </c>
      <c r="I984" s="7" t="n">
        <v>0</v>
      </c>
      <c r="J984" s="7" t="n">
        <v>0</v>
      </c>
      <c r="K984" s="9" t="n">
        <v>0</v>
      </c>
      <c r="L984" s="10" t="n">
        <v>47.4</v>
      </c>
      <c r="M984" s="10" t="n">
        <v>1.43</v>
      </c>
      <c r="N984" t="inlineStr">
        <is>
          <t>1</t>
        </is>
      </c>
      <c r="O984" t="inlineStr">
        <is>
          <t>16</t>
        </is>
      </c>
      <c r="P984" t="inlineStr">
        <is>
          <t xml:space="preserve">248083  </t>
        </is>
      </c>
      <c r="Q984" s="26" t="n">
        <v>47.4</v>
      </c>
      <c r="R984" s="26">
        <f>Q984*G984</f>
        <v/>
      </c>
      <c r="S984" s="26">
        <f>IFERROR(VLOOKUP(E984*1,Tabla[#All],8,0),0)</f>
        <v/>
      </c>
      <c r="T984" s="26">
        <f>S984*G984</f>
        <v/>
      </c>
      <c r="U984" s="26">
        <f>R984-T984</f>
        <v/>
      </c>
      <c r="V984" s="26">
        <f>U984-L984</f>
        <v/>
      </c>
    </row>
    <row r="985">
      <c r="A985" s="11" t="n">
        <v>46213</v>
      </c>
      <c r="B985" s="1" t="n">
        <v>20089</v>
      </c>
      <c r="C985" s="1" t="inlineStr">
        <is>
          <t>025</t>
        </is>
      </c>
      <c r="D985" s="1" t="inlineStr">
        <is>
          <t>121511</t>
        </is>
      </c>
      <c r="E985" s="1" t="inlineStr">
        <is>
          <t xml:space="preserve">30141766       </t>
        </is>
      </c>
      <c r="F985" s="5" t="inlineStr">
        <is>
          <t>TMZ BEAST MACHINES AUTOS DE METAL BLISTER X 1</t>
        </is>
      </c>
      <c r="G985" t="n">
        <v>1</v>
      </c>
      <c r="H985" s="7" t="n">
        <v>7.9</v>
      </c>
      <c r="I985" s="7" t="n">
        <v>0</v>
      </c>
      <c r="J985" s="7" t="n">
        <v>0</v>
      </c>
      <c r="K985" s="9" t="n">
        <v>0</v>
      </c>
      <c r="L985" s="10" t="n">
        <v>4.68</v>
      </c>
      <c r="M985" s="10" t="n">
        <v>1.43</v>
      </c>
      <c r="N985" t="inlineStr">
        <is>
          <t>1</t>
        </is>
      </c>
      <c r="O985" t="inlineStr">
        <is>
          <t>16</t>
        </is>
      </c>
      <c r="P985" t="inlineStr">
        <is>
          <t xml:space="preserve">69718   </t>
        </is>
      </c>
      <c r="Q985" s="26" t="n">
        <v>4.69</v>
      </c>
      <c r="R985" s="26">
        <f>Q985*G985</f>
        <v/>
      </c>
      <c r="S985" s="26">
        <f>IFERROR(VLOOKUP(E985*1,Tabla[#All],8,0),0)</f>
        <v/>
      </c>
      <c r="T985" s="26">
        <f>S985*G985</f>
        <v/>
      </c>
      <c r="U985" s="26">
        <f>R985-T985</f>
        <v/>
      </c>
      <c r="V985" s="26">
        <f>U985-L985</f>
        <v/>
      </c>
    </row>
    <row r="986">
      <c r="A986" s="11" t="n">
        <v>46213</v>
      </c>
      <c r="B986" s="1" t="n">
        <v>20089</v>
      </c>
      <c r="C986" s="1" t="inlineStr">
        <is>
          <t>860</t>
        </is>
      </c>
      <c r="D986" s="1" t="inlineStr">
        <is>
          <t xml:space="preserve">9461  </t>
        </is>
      </c>
      <c r="E986" s="1" t="inlineStr">
        <is>
          <t xml:space="preserve">28194770       </t>
        </is>
      </c>
      <c r="F986" s="5" t="inlineStr">
        <is>
          <t>AUTOS DE METAL 3 TEAMSTERZ EN BLISTER</t>
        </is>
      </c>
      <c r="G986" t="n">
        <v>1</v>
      </c>
      <c r="H986" s="7" t="n">
        <v>6.9</v>
      </c>
      <c r="I986" s="7" t="n">
        <v>0</v>
      </c>
      <c r="J986" s="7" t="n">
        <v>0</v>
      </c>
      <c r="K986" s="9" t="n">
        <v>0</v>
      </c>
      <c r="L986" s="10" t="n">
        <v>4.1</v>
      </c>
      <c r="M986" s="10" t="n">
        <v>1.43</v>
      </c>
      <c r="N986" t="inlineStr">
        <is>
          <t>1</t>
        </is>
      </c>
      <c r="O986" t="inlineStr">
        <is>
          <t>16</t>
        </is>
      </c>
      <c r="P986" t="inlineStr">
        <is>
          <t xml:space="preserve">0       </t>
        </is>
      </c>
      <c r="Q986" s="26" t="n">
        <v>4.09</v>
      </c>
      <c r="R986" s="26">
        <f>Q986*G986</f>
        <v/>
      </c>
      <c r="S986" s="26">
        <f>IFERROR(VLOOKUP(E986*1,Tabla[#All],8,0),0)</f>
        <v/>
      </c>
      <c r="T986" s="26">
        <f>S986*G986</f>
        <v/>
      </c>
      <c r="U986" s="26">
        <f>R986-T986</f>
        <v/>
      </c>
      <c r="V986" s="26">
        <f>U986-L986</f>
        <v/>
      </c>
    </row>
    <row r="987">
      <c r="A987" s="11" t="n">
        <v>46213</v>
      </c>
      <c r="B987" s="1" t="n">
        <v>20095</v>
      </c>
      <c r="C987" s="1" t="inlineStr">
        <is>
          <t>028</t>
        </is>
      </c>
      <c r="D987" s="1" t="inlineStr">
        <is>
          <t xml:space="preserve">40120 </t>
        </is>
      </c>
      <c r="E987" s="1" t="inlineStr">
        <is>
          <t xml:space="preserve">29235702       </t>
        </is>
      </c>
      <c r="F987" s="5" t="inlineStr">
        <is>
          <t>INFINITY NADO TROMPO DE BATALLA - METAL C/ ANILLO</t>
        </is>
      </c>
      <c r="G987" t="n">
        <v>1</v>
      </c>
      <c r="H987" s="7" t="n">
        <v>69.90000000000001</v>
      </c>
      <c r="I987" s="7" t="n">
        <v>0</v>
      </c>
      <c r="J987" s="7" t="n">
        <v>0</v>
      </c>
      <c r="K987" s="9" t="n">
        <v>0</v>
      </c>
      <c r="L987" s="10" t="n">
        <v>41.47</v>
      </c>
      <c r="M987" s="10" t="n">
        <v>1.43</v>
      </c>
      <c r="N987" t="inlineStr">
        <is>
          <t>1</t>
        </is>
      </c>
      <c r="O987" t="inlineStr">
        <is>
          <t xml:space="preserve">2 </t>
        </is>
      </c>
      <c r="P987" t="inlineStr">
        <is>
          <t xml:space="preserve">250453  </t>
        </is>
      </c>
      <c r="Q987" s="26" t="n">
        <v>41.47</v>
      </c>
      <c r="R987" s="26">
        <f>Q987*G987</f>
        <v/>
      </c>
      <c r="S987" s="26">
        <f>IFERROR(VLOOKUP(E987*1,Tabla[#All],8,0),0)</f>
        <v/>
      </c>
      <c r="T987" s="26">
        <f>S987*G987</f>
        <v/>
      </c>
      <c r="U987" s="26">
        <f>R987-T987</f>
        <v/>
      </c>
      <c r="V987" s="26">
        <f>U987-L987</f>
        <v/>
      </c>
    </row>
    <row r="988">
      <c r="A988" s="11" t="n">
        <v>46213</v>
      </c>
      <c r="B988" s="1" t="n">
        <v>20095</v>
      </c>
      <c r="C988" s="1" t="inlineStr">
        <is>
          <t>043</t>
        </is>
      </c>
      <c r="D988" s="1" t="inlineStr">
        <is>
          <t>107601</t>
        </is>
      </c>
      <c r="E988" s="1" t="inlineStr">
        <is>
          <t xml:space="preserve">28194768       </t>
        </is>
      </c>
      <c r="F988" s="5" t="inlineStr">
        <is>
          <t>AUTO COLOR CHANGE TEAMSTERZ SURTIDO</t>
        </is>
      </c>
      <c r="G988" t="n">
        <v>1</v>
      </c>
      <c r="H988" s="7" t="n">
        <v>14.9</v>
      </c>
      <c r="I988" s="7" t="n">
        <v>0</v>
      </c>
      <c r="J988" s="7" t="n">
        <v>0</v>
      </c>
      <c r="K988" s="9" t="n">
        <v>0</v>
      </c>
      <c r="L988" s="10" t="n">
        <v>8.84</v>
      </c>
      <c r="M988" s="10" t="n">
        <v>1.43</v>
      </c>
      <c r="N988" t="inlineStr">
        <is>
          <t>1</t>
        </is>
      </c>
      <c r="O988" t="inlineStr">
        <is>
          <t>16</t>
        </is>
      </c>
      <c r="P988" t="inlineStr">
        <is>
          <t xml:space="preserve">57866   </t>
        </is>
      </c>
      <c r="Q988" s="26" t="n">
        <v>8.84</v>
      </c>
      <c r="R988" s="26">
        <f>Q988*G988</f>
        <v/>
      </c>
      <c r="S988" s="26">
        <f>IFERROR(VLOOKUP(E988*1,Tabla[#All],8,0),0)</f>
        <v/>
      </c>
      <c r="T988" s="26">
        <f>S988*G988</f>
        <v/>
      </c>
      <c r="U988" s="26">
        <f>R988-T988</f>
        <v/>
      </c>
      <c r="V988" s="26">
        <f>U988-L988</f>
        <v/>
      </c>
    </row>
    <row r="989">
      <c r="A989" s="11" t="n">
        <v>46214</v>
      </c>
      <c r="B989" s="1" t="n">
        <v>20021</v>
      </c>
      <c r="C989" s="1" t="inlineStr">
        <is>
          <t>078</t>
        </is>
      </c>
      <c r="D989" s="1" t="inlineStr">
        <is>
          <t>100670</t>
        </is>
      </c>
      <c r="E989" s="1" t="inlineStr">
        <is>
          <t xml:space="preserve">32656523       </t>
        </is>
      </c>
      <c r="F989" s="5" t="inlineStr">
        <is>
          <t>TMZ BEAST MACHINES TRANSPORT. T-REX ELECTR. + ACCE</t>
        </is>
      </c>
      <c r="G989" t="n">
        <v>1</v>
      </c>
      <c r="H989" s="7" t="n">
        <v>179</v>
      </c>
      <c r="I989" s="7" t="n">
        <v>0</v>
      </c>
      <c r="J989" s="7" t="n">
        <v>0</v>
      </c>
      <c r="K989" s="9" t="n">
        <v>0</v>
      </c>
      <c r="L989" s="10" t="n">
        <v>106.18</v>
      </c>
      <c r="M989" s="10" t="n">
        <v>1.43</v>
      </c>
      <c r="N989" t="inlineStr">
        <is>
          <t>1</t>
        </is>
      </c>
      <c r="O989" t="inlineStr">
        <is>
          <t>16</t>
        </is>
      </c>
      <c r="P989" t="inlineStr">
        <is>
          <t xml:space="preserve">22728   </t>
        </is>
      </c>
      <c r="Q989" s="26" t="n">
        <v>106.19</v>
      </c>
      <c r="R989" s="26">
        <f>Q989*G989</f>
        <v/>
      </c>
      <c r="S989" s="26">
        <f>IFERROR(VLOOKUP(E989*1,Tabla[#All],8,0),0)</f>
        <v/>
      </c>
      <c r="T989" s="26">
        <f>S989*G989</f>
        <v/>
      </c>
      <c r="U989" s="26">
        <f>R989-T989</f>
        <v/>
      </c>
      <c r="V989" s="26">
        <f>U989-L989</f>
        <v/>
      </c>
    </row>
    <row r="990">
      <c r="A990" s="11" t="n">
        <v>46214</v>
      </c>
      <c r="B990" s="1" t="n">
        <v>20021</v>
      </c>
      <c r="C990" s="1" t="inlineStr">
        <is>
          <t>078</t>
        </is>
      </c>
      <c r="D990" s="1" t="inlineStr">
        <is>
          <t>100675</t>
        </is>
      </c>
      <c r="E990" s="1" t="inlineStr">
        <is>
          <t xml:space="preserve">30141766       </t>
        </is>
      </c>
      <c r="F990" s="5" t="inlineStr">
        <is>
          <t>TMZ BEAST MACHINES AUTOS DE METAL BLISTER X 1</t>
        </is>
      </c>
      <c r="G990" t="n">
        <v>1</v>
      </c>
      <c r="H990" s="7" t="n">
        <v>7.9</v>
      </c>
      <c r="I990" s="7" t="n">
        <v>0</v>
      </c>
      <c r="J990" s="7" t="n">
        <v>0</v>
      </c>
      <c r="K990" s="9" t="n">
        <v>0</v>
      </c>
      <c r="L990" s="10" t="n">
        <v>4.68</v>
      </c>
      <c r="M990" s="10" t="n">
        <v>1.43</v>
      </c>
      <c r="N990" t="inlineStr">
        <is>
          <t>1</t>
        </is>
      </c>
      <c r="O990" t="inlineStr">
        <is>
          <t>16</t>
        </is>
      </c>
      <c r="P990" t="inlineStr">
        <is>
          <t xml:space="preserve">22728   </t>
        </is>
      </c>
      <c r="Q990" s="26" t="n">
        <v>4.69</v>
      </c>
      <c r="R990" s="26">
        <f>Q990*G990</f>
        <v/>
      </c>
      <c r="S990" s="26">
        <f>IFERROR(VLOOKUP(E990*1,Tabla[#All],8,0),0)</f>
        <v/>
      </c>
      <c r="T990" s="26">
        <f>S990*G990</f>
        <v/>
      </c>
      <c r="U990" s="26">
        <f>R990-T990</f>
        <v/>
      </c>
      <c r="V990" s="26">
        <f>U990-L990</f>
        <v/>
      </c>
    </row>
    <row r="991">
      <c r="A991" s="11" t="n">
        <v>46214</v>
      </c>
      <c r="B991" s="1" t="n">
        <v>20023</v>
      </c>
      <c r="C991" s="1" t="inlineStr">
        <is>
          <t>128</t>
        </is>
      </c>
      <c r="D991" s="1" t="inlineStr">
        <is>
          <t>223389</t>
        </is>
      </c>
      <c r="E991" s="1" t="inlineStr">
        <is>
          <t xml:space="preserve">29235701       </t>
        </is>
      </c>
      <c r="F991" s="5" t="inlineStr">
        <is>
          <t>INFINITY NADO TROMPO DE BATALLA - METAL EN CAJA</t>
        </is>
      </c>
      <c r="G991" t="n">
        <v>1</v>
      </c>
      <c r="H991" s="7" t="n">
        <v>39.9</v>
      </c>
      <c r="I991" s="7" t="n">
        <v>0</v>
      </c>
      <c r="J991" s="7" t="n">
        <v>0</v>
      </c>
      <c r="K991" s="9" t="n">
        <v>0</v>
      </c>
      <c r="L991" s="10" t="n">
        <v>23.67</v>
      </c>
      <c r="M991" s="10" t="n">
        <v>1.43</v>
      </c>
      <c r="N991" t="inlineStr">
        <is>
          <t>1</t>
        </is>
      </c>
      <c r="O991" t="inlineStr">
        <is>
          <t xml:space="preserve">6 </t>
        </is>
      </c>
      <c r="P991" t="inlineStr">
        <is>
          <t xml:space="preserve">243703  </t>
        </is>
      </c>
      <c r="Q991" s="26" t="n">
        <v>23.67</v>
      </c>
      <c r="R991" s="26">
        <f>Q991*G991</f>
        <v/>
      </c>
      <c r="S991" s="26">
        <f>IFERROR(VLOOKUP(E991*1,Tabla[#All],8,0),0)</f>
        <v/>
      </c>
      <c r="T991" s="26">
        <f>S991*G991</f>
        <v/>
      </c>
      <c r="U991" s="26">
        <f>R991-T991</f>
        <v/>
      </c>
      <c r="V991" s="26">
        <f>U991-L991</f>
        <v/>
      </c>
    </row>
    <row r="992">
      <c r="A992" s="11" t="n">
        <v>46214</v>
      </c>
      <c r="B992" s="1" t="n">
        <v>20024</v>
      </c>
      <c r="C992" s="1" t="inlineStr">
        <is>
          <t>015</t>
        </is>
      </c>
      <c r="D992" s="1" t="inlineStr">
        <is>
          <t xml:space="preserve">18390 </t>
        </is>
      </c>
      <c r="E992" s="1" t="inlineStr">
        <is>
          <t xml:space="preserve">28194768       </t>
        </is>
      </c>
      <c r="F992" s="5" t="inlineStr">
        <is>
          <t>AUTO COLOR CHANGE TEAMSTERZ SURTIDO</t>
        </is>
      </c>
      <c r="G992" t="n">
        <v>1</v>
      </c>
      <c r="H992" s="7" t="n">
        <v>14.9</v>
      </c>
      <c r="I992" s="7" t="n">
        <v>0</v>
      </c>
      <c r="J992" s="7" t="n">
        <v>0</v>
      </c>
      <c r="K992" s="9" t="n">
        <v>0</v>
      </c>
      <c r="L992" s="10" t="n">
        <v>8.84</v>
      </c>
      <c r="M992" s="10" t="n">
        <v>1.43</v>
      </c>
      <c r="N992" t="inlineStr">
        <is>
          <t>1</t>
        </is>
      </c>
      <c r="O992" t="inlineStr">
        <is>
          <t>16</t>
        </is>
      </c>
      <c r="P992" t="inlineStr">
        <is>
          <t xml:space="preserve">21982   </t>
        </is>
      </c>
      <c r="Q992" s="26" t="n">
        <v>8.84</v>
      </c>
      <c r="R992" s="26">
        <f>Q992*G992</f>
        <v/>
      </c>
      <c r="S992" s="26">
        <f>IFERROR(VLOOKUP(E992*1,Tabla[#All],8,0),0)</f>
        <v/>
      </c>
      <c r="T992" s="26">
        <f>S992*G992</f>
        <v/>
      </c>
      <c r="U992" s="26">
        <f>R992-T992</f>
        <v/>
      </c>
      <c r="V992" s="26">
        <f>U992-L992</f>
        <v/>
      </c>
    </row>
    <row r="993">
      <c r="A993" s="11" t="n">
        <v>46214</v>
      </c>
      <c r="B993" s="1" t="n">
        <v>20024</v>
      </c>
      <c r="C993" s="1" t="inlineStr">
        <is>
          <t>060</t>
        </is>
      </c>
      <c r="D993" s="1" t="inlineStr">
        <is>
          <t xml:space="preserve">2964  </t>
        </is>
      </c>
      <c r="E993" s="1" t="inlineStr">
        <is>
          <t xml:space="preserve">30141768       </t>
        </is>
      </c>
      <c r="F993" s="5" t="inlineStr">
        <is>
          <t>TMZ BEAST MACHINES AUTOS DE METAL PACK 10 AUTOS</t>
        </is>
      </c>
      <c r="G993" t="n">
        <v>1</v>
      </c>
      <c r="H993" s="7" t="n">
        <v>79</v>
      </c>
      <c r="I993" s="7" t="n">
        <v>7.9</v>
      </c>
      <c r="J993" s="7" t="n">
        <v>0</v>
      </c>
      <c r="K993" s="9" t="n">
        <v>7.9</v>
      </c>
      <c r="L993" s="10" t="n">
        <v>42.18</v>
      </c>
      <c r="M993" s="10" t="n">
        <v>1.43</v>
      </c>
      <c r="N993" t="inlineStr">
        <is>
          <t>1</t>
        </is>
      </c>
      <c r="O993" t="inlineStr">
        <is>
          <t xml:space="preserve">3 </t>
        </is>
      </c>
      <c r="P993" t="inlineStr">
        <is>
          <t xml:space="preserve">38672   </t>
        </is>
      </c>
      <c r="Q993" s="26" t="n">
        <v>46.86</v>
      </c>
      <c r="R993" s="26">
        <f>Q993*G993</f>
        <v/>
      </c>
      <c r="S993" s="26">
        <f>IFERROR(VLOOKUP(E993*1,Tabla[#All],8,0),0)</f>
        <v/>
      </c>
      <c r="T993" s="26">
        <f>S993*G993</f>
        <v/>
      </c>
      <c r="U993" s="26">
        <f>R993-T993</f>
        <v/>
      </c>
      <c r="V993" s="26">
        <f>U993-L993</f>
        <v/>
      </c>
    </row>
    <row r="994">
      <c r="A994" s="11" t="n">
        <v>46214</v>
      </c>
      <c r="B994" s="1" t="n">
        <v>20024</v>
      </c>
      <c r="C994" s="1" t="inlineStr">
        <is>
          <t>806</t>
        </is>
      </c>
      <c r="D994" s="1" t="inlineStr">
        <is>
          <t xml:space="preserve">8663  </t>
        </is>
      </c>
      <c r="E994" s="1" t="inlineStr">
        <is>
          <t xml:space="preserve">29235706       </t>
        </is>
      </c>
      <c r="F994" s="5" t="inlineStr">
        <is>
          <t>TEAMSTERZ CAMION PARA GUARDAR 12 AUTOS INCL 4 AUTO</t>
        </is>
      </c>
      <c r="G994" t="n">
        <v>1</v>
      </c>
      <c r="H994" s="7" t="n">
        <v>59.9</v>
      </c>
      <c r="I994" s="7" t="n">
        <v>0</v>
      </c>
      <c r="J994" s="7" t="n">
        <v>0</v>
      </c>
      <c r="K994" s="9" t="n">
        <v>0</v>
      </c>
      <c r="L994" s="10" t="n">
        <v>35.53</v>
      </c>
      <c r="M994" s="10" t="n">
        <v>1.43</v>
      </c>
      <c r="N994" t="inlineStr">
        <is>
          <t>1</t>
        </is>
      </c>
      <c r="O994" t="inlineStr">
        <is>
          <t>16</t>
        </is>
      </c>
      <c r="P994" t="inlineStr">
        <is>
          <t xml:space="preserve">0       </t>
        </is>
      </c>
      <c r="Q994" s="26" t="n">
        <v>35.53</v>
      </c>
      <c r="R994" s="26">
        <f>Q994*G994</f>
        <v/>
      </c>
      <c r="S994" s="26">
        <f>IFERROR(VLOOKUP(E994*1,Tabla[#All],8,0),0)</f>
        <v/>
      </c>
      <c r="T994" s="26">
        <f>S994*G994</f>
        <v/>
      </c>
      <c r="U994" s="26">
        <f>R994-T994</f>
        <v/>
      </c>
      <c r="V994" s="26">
        <f>U994-L994</f>
        <v/>
      </c>
    </row>
    <row r="995">
      <c r="A995" s="11" t="n">
        <v>46214</v>
      </c>
      <c r="B995" s="1" t="n">
        <v>20025</v>
      </c>
      <c r="C995" s="1" t="inlineStr">
        <is>
          <t>073</t>
        </is>
      </c>
      <c r="D995" s="1" t="inlineStr">
        <is>
          <t xml:space="preserve">23391 </t>
        </is>
      </c>
      <c r="E995" s="1" t="inlineStr">
        <is>
          <t xml:space="preserve">34840553       </t>
        </is>
      </c>
      <c r="F995" s="5" t="inlineStr">
        <is>
          <t>TMZ AUTO LUZ Y SONIDO ESQUELET DINO T-REX</t>
        </is>
      </c>
      <c r="G995" t="n">
        <v>1</v>
      </c>
      <c r="H995" s="7" t="n">
        <v>79.90000000000001</v>
      </c>
      <c r="I995" s="7" t="n">
        <v>0</v>
      </c>
      <c r="J995" s="7" t="n">
        <v>0</v>
      </c>
      <c r="K995" s="9" t="n">
        <v>0</v>
      </c>
      <c r="L995" s="10" t="n">
        <v>47.4</v>
      </c>
      <c r="M995" s="10" t="n">
        <v>1.43</v>
      </c>
      <c r="N995" t="inlineStr">
        <is>
          <t>1</t>
        </is>
      </c>
      <c r="O995" t="inlineStr">
        <is>
          <t>16</t>
        </is>
      </c>
      <c r="P995" t="inlineStr">
        <is>
          <t xml:space="preserve">57293   </t>
        </is>
      </c>
      <c r="Q995" s="26" t="n">
        <v>47.4</v>
      </c>
      <c r="R995" s="26">
        <f>Q995*G995</f>
        <v/>
      </c>
      <c r="S995" s="26">
        <f>IFERROR(VLOOKUP(E995*1,Tabla[#All],8,0),0)</f>
        <v/>
      </c>
      <c r="T995" s="26">
        <f>S995*G995</f>
        <v/>
      </c>
      <c r="U995" s="26">
        <f>R995-T995</f>
        <v/>
      </c>
      <c r="V995" s="26">
        <f>U995-L995</f>
        <v/>
      </c>
    </row>
    <row r="996">
      <c r="A996" s="11" t="n">
        <v>46214</v>
      </c>
      <c r="B996" s="1" t="n">
        <v>20025</v>
      </c>
      <c r="C996" s="1" t="inlineStr">
        <is>
          <t>076</t>
        </is>
      </c>
      <c r="D996" s="1" t="inlineStr">
        <is>
          <t>147353</t>
        </is>
      </c>
      <c r="E996" s="1" t="inlineStr">
        <is>
          <t xml:space="preserve">31959958       </t>
        </is>
      </c>
      <c r="F996" s="5" t="inlineStr">
        <is>
          <t>TMZ BEAST MACHINE AUTOS DE METAL PACK 3 AUTOS</t>
        </is>
      </c>
      <c r="G996" t="n">
        <v>1</v>
      </c>
      <c r="H996" s="7" t="n">
        <v>23.7</v>
      </c>
      <c r="I996" s="7" t="n">
        <v>2.37</v>
      </c>
      <c r="J996" s="7" t="n">
        <v>0</v>
      </c>
      <c r="K996" s="9" t="n">
        <v>2.37</v>
      </c>
      <c r="L996" s="10" t="n">
        <v>12.66</v>
      </c>
      <c r="M996" s="10" t="n">
        <v>1.43</v>
      </c>
      <c r="N996" t="inlineStr">
        <is>
          <t>1</t>
        </is>
      </c>
      <c r="O996" t="inlineStr">
        <is>
          <t xml:space="preserve">3 </t>
        </is>
      </c>
      <c r="P996" t="inlineStr">
        <is>
          <t xml:space="preserve">70760   </t>
        </is>
      </c>
      <c r="Q996" s="26" t="n">
        <v>14.06</v>
      </c>
      <c r="R996" s="26">
        <f>Q996*G996</f>
        <v/>
      </c>
      <c r="S996" s="26">
        <f>IFERROR(VLOOKUP(E996*1,Tabla[#All],8,0),0)</f>
        <v/>
      </c>
      <c r="T996" s="26">
        <f>S996*G996</f>
        <v/>
      </c>
      <c r="U996" s="26">
        <f>R996-T996</f>
        <v/>
      </c>
      <c r="V996" s="26">
        <f>U996-L996</f>
        <v/>
      </c>
    </row>
    <row r="997">
      <c r="A997" s="11" t="n">
        <v>46214</v>
      </c>
      <c r="B997" s="1" t="n">
        <v>20025</v>
      </c>
      <c r="C997" s="1" t="inlineStr">
        <is>
          <t>114</t>
        </is>
      </c>
      <c r="D997" s="1" t="inlineStr">
        <is>
          <t>118451</t>
        </is>
      </c>
      <c r="E997" s="1" t="inlineStr">
        <is>
          <t xml:space="preserve">33483121       </t>
        </is>
      </c>
      <c r="F997" s="5" t="inlineStr">
        <is>
          <t>HOT WHEELS ESTUCHE PARA 15 AUTOS SURTIDO</t>
        </is>
      </c>
      <c r="G997" t="n">
        <v>1</v>
      </c>
      <c r="H997" s="7" t="n">
        <v>34.9</v>
      </c>
      <c r="I997" s="7" t="n">
        <v>0</v>
      </c>
      <c r="J997" s="7" t="n">
        <v>0</v>
      </c>
      <c r="K997" s="9" t="n">
        <v>0</v>
      </c>
      <c r="L997" s="10" t="n">
        <v>20.71</v>
      </c>
      <c r="M997" s="10" t="n">
        <v>1.43</v>
      </c>
      <c r="N997" t="inlineStr">
        <is>
          <t>1</t>
        </is>
      </c>
      <c r="O997" t="inlineStr">
        <is>
          <t>16</t>
        </is>
      </c>
      <c r="P997" t="inlineStr">
        <is>
          <t xml:space="preserve">23486   </t>
        </is>
      </c>
      <c r="Q997" s="26" t="n">
        <v>20.7</v>
      </c>
      <c r="R997" s="26">
        <f>Q997*G997</f>
        <v/>
      </c>
      <c r="S997" s="26">
        <f>IFERROR(VLOOKUP(E997*1,Tabla[#All],8,0),0)</f>
        <v/>
      </c>
      <c r="T997" s="26">
        <f>S997*G997</f>
        <v/>
      </c>
      <c r="U997" s="26">
        <f>R997-T997</f>
        <v/>
      </c>
      <c r="V997" s="26">
        <f>U997-L997</f>
        <v/>
      </c>
    </row>
    <row r="998">
      <c r="A998" s="11" t="n">
        <v>46214</v>
      </c>
      <c r="B998" s="1" t="n">
        <v>20027</v>
      </c>
      <c r="C998" s="1" t="inlineStr">
        <is>
          <t>064</t>
        </is>
      </c>
      <c r="D998" s="1" t="inlineStr">
        <is>
          <t xml:space="preserve">31807 </t>
        </is>
      </c>
      <c r="E998" s="1" t="inlineStr">
        <is>
          <t xml:space="preserve">28194770       </t>
        </is>
      </c>
      <c r="F998" s="5" t="inlineStr">
        <is>
          <t>AUTOS DE METAL 3 TEAMSTERZ EN BLISTER</t>
        </is>
      </c>
      <c r="G998" t="n">
        <v>1</v>
      </c>
      <c r="H998" s="7" t="n">
        <v>6.9</v>
      </c>
      <c r="I998" s="7" t="n">
        <v>0</v>
      </c>
      <c r="J998" s="7" t="n">
        <v>0</v>
      </c>
      <c r="K998" s="9" t="n">
        <v>0</v>
      </c>
      <c r="L998" s="10" t="n">
        <v>4.1</v>
      </c>
      <c r="M998" s="10" t="n">
        <v>1.43</v>
      </c>
      <c r="N998" t="inlineStr">
        <is>
          <t>1</t>
        </is>
      </c>
      <c r="O998" t="inlineStr">
        <is>
          <t>16</t>
        </is>
      </c>
      <c r="P998" t="inlineStr">
        <is>
          <t xml:space="preserve">38978   </t>
        </is>
      </c>
      <c r="Q998" s="26" t="n">
        <v>4.09</v>
      </c>
      <c r="R998" s="26">
        <f>Q998*G998</f>
        <v/>
      </c>
      <c r="S998" s="26">
        <f>IFERROR(VLOOKUP(E998*1,Tabla[#All],8,0),0)</f>
        <v/>
      </c>
      <c r="T998" s="26">
        <f>S998*G998</f>
        <v/>
      </c>
      <c r="U998" s="26">
        <f>R998-T998</f>
        <v/>
      </c>
      <c r="V998" s="26">
        <f>U998-L998</f>
        <v/>
      </c>
    </row>
    <row r="999">
      <c r="A999" s="11" t="n">
        <v>46214</v>
      </c>
      <c r="B999" s="1" t="n">
        <v>20028</v>
      </c>
      <c r="C999" s="1" t="inlineStr">
        <is>
          <t>011</t>
        </is>
      </c>
      <c r="D999" s="1" t="inlineStr">
        <is>
          <t xml:space="preserve">33573 </t>
        </is>
      </c>
      <c r="E999" s="1" t="inlineStr">
        <is>
          <t xml:space="preserve">31675354       </t>
        </is>
      </c>
      <c r="F999" s="5" t="inlineStr">
        <is>
          <t>NENUCO LLORON CON ACCESORIOS</t>
        </is>
      </c>
      <c r="G999" t="n">
        <v>1</v>
      </c>
      <c r="H999" s="7" t="n">
        <v>89.90000000000001</v>
      </c>
      <c r="I999" s="7" t="n">
        <v>0</v>
      </c>
      <c r="J999" s="7" t="n">
        <v>0</v>
      </c>
      <c r="K999" s="9" t="n">
        <v>0</v>
      </c>
      <c r="L999" s="10" t="n">
        <v>53.33</v>
      </c>
      <c r="M999" s="10" t="n">
        <v>1.43</v>
      </c>
      <c r="N999" t="inlineStr">
        <is>
          <t>1</t>
        </is>
      </c>
      <c r="O999" t="inlineStr">
        <is>
          <t>16</t>
        </is>
      </c>
      <c r="P999" t="inlineStr">
        <is>
          <t xml:space="preserve">33914   </t>
        </is>
      </c>
      <c r="Q999" s="26" t="n">
        <v>53.33</v>
      </c>
      <c r="R999" s="26">
        <f>Q999*G999</f>
        <v/>
      </c>
      <c r="S999" s="26">
        <f>IFERROR(VLOOKUP(E999*1,Tabla[#All],8,0),0)</f>
        <v/>
      </c>
      <c r="T999" s="26">
        <f>S999*G999</f>
        <v/>
      </c>
      <c r="U999" s="26">
        <f>R999-T999</f>
        <v/>
      </c>
      <c r="V999" s="26">
        <f>U999-L999</f>
        <v/>
      </c>
    </row>
    <row r="1000">
      <c r="A1000" s="11" t="n">
        <v>46214</v>
      </c>
      <c r="B1000" s="1" t="n">
        <v>20028</v>
      </c>
      <c r="C1000" s="1" t="inlineStr">
        <is>
          <t>021</t>
        </is>
      </c>
      <c r="D1000" s="1" t="inlineStr">
        <is>
          <t>185884</t>
        </is>
      </c>
      <c r="E1000" s="1" t="inlineStr">
        <is>
          <t xml:space="preserve">28194770       </t>
        </is>
      </c>
      <c r="F1000" s="5" t="inlineStr">
        <is>
          <t>AUTOS DE METAL 3 TEAMSTERZ EN BLISTER</t>
        </is>
      </c>
      <c r="G1000" t="n">
        <v>1</v>
      </c>
      <c r="H1000" s="7" t="n">
        <v>6.9</v>
      </c>
      <c r="I1000" s="7" t="n">
        <v>0</v>
      </c>
      <c r="J1000" s="7" t="n">
        <v>0</v>
      </c>
      <c r="K1000" s="9" t="n">
        <v>0</v>
      </c>
      <c r="L1000" s="10" t="n">
        <v>4.1</v>
      </c>
      <c r="M1000" s="10" t="n">
        <v>1.43</v>
      </c>
      <c r="N1000" t="inlineStr">
        <is>
          <t>1</t>
        </is>
      </c>
      <c r="O1000" t="inlineStr">
        <is>
          <t>16</t>
        </is>
      </c>
      <c r="P1000" t="inlineStr">
        <is>
          <t xml:space="preserve">23715   </t>
        </is>
      </c>
      <c r="Q1000" s="26" t="n">
        <v>4.09</v>
      </c>
      <c r="R1000" s="26">
        <f>Q1000*G1000</f>
        <v/>
      </c>
      <c r="S1000" s="26">
        <f>IFERROR(VLOOKUP(E1000*1,Tabla[#All],8,0),0)</f>
        <v/>
      </c>
      <c r="T1000" s="26">
        <f>S1000*G1000</f>
        <v/>
      </c>
      <c r="U1000" s="26">
        <f>R1000-T1000</f>
        <v/>
      </c>
      <c r="V1000" s="26">
        <f>U1000-L1000</f>
        <v/>
      </c>
    </row>
    <row r="1001">
      <c r="A1001" s="11" t="n">
        <v>46214</v>
      </c>
      <c r="B1001" s="1" t="n">
        <v>20028</v>
      </c>
      <c r="C1001" s="1" t="inlineStr">
        <is>
          <t>021</t>
        </is>
      </c>
      <c r="D1001" s="1" t="inlineStr">
        <is>
          <t>185884</t>
        </is>
      </c>
      <c r="E1001" s="1" t="inlineStr">
        <is>
          <t xml:space="preserve">30141766       </t>
        </is>
      </c>
      <c r="F1001" s="5" t="inlineStr">
        <is>
          <t>TMZ BEAST MACHINES AUTOS DE METAL BLISTER X 1</t>
        </is>
      </c>
      <c r="G1001" t="n">
        <v>1</v>
      </c>
      <c r="H1001" s="7" t="n">
        <v>7.9</v>
      </c>
      <c r="I1001" s="7" t="n">
        <v>0</v>
      </c>
      <c r="J1001" s="7" t="n">
        <v>0</v>
      </c>
      <c r="K1001" s="9" t="n">
        <v>0</v>
      </c>
      <c r="L1001" s="10" t="n">
        <v>4.68</v>
      </c>
      <c r="M1001" s="10" t="n">
        <v>1.43</v>
      </c>
      <c r="N1001" t="inlineStr">
        <is>
          <t>1</t>
        </is>
      </c>
      <c r="O1001" t="inlineStr">
        <is>
          <t>16</t>
        </is>
      </c>
      <c r="P1001" t="inlineStr">
        <is>
          <t xml:space="preserve">23715   </t>
        </is>
      </c>
      <c r="Q1001" s="26" t="n">
        <v>4.69</v>
      </c>
      <c r="R1001" s="26">
        <f>Q1001*G1001</f>
        <v/>
      </c>
      <c r="S1001" s="26">
        <f>IFERROR(VLOOKUP(E1001*1,Tabla[#All],8,0),0)</f>
        <v/>
      </c>
      <c r="T1001" s="26">
        <f>S1001*G1001</f>
        <v/>
      </c>
      <c r="U1001" s="26">
        <f>R1001-T1001</f>
        <v/>
      </c>
      <c r="V1001" s="26">
        <f>U1001-L1001</f>
        <v/>
      </c>
    </row>
    <row r="1002">
      <c r="A1002" s="11" t="n">
        <v>46214</v>
      </c>
      <c r="B1002" s="1" t="n">
        <v>20028</v>
      </c>
      <c r="C1002" s="1" t="inlineStr">
        <is>
          <t>122</t>
        </is>
      </c>
      <c r="D1002" s="1" t="inlineStr">
        <is>
          <t xml:space="preserve">7449  </t>
        </is>
      </c>
      <c r="E1002" s="1" t="inlineStr">
        <is>
          <t xml:space="preserve">34840552       </t>
        </is>
      </c>
      <c r="F1002" s="5" t="inlineStr">
        <is>
          <t>TMZ HELI POLICIA CON LUCES Y SONIDOS</t>
        </is>
      </c>
      <c r="G1002" t="n">
        <v>1</v>
      </c>
      <c r="H1002" s="7" t="n">
        <v>79.90000000000001</v>
      </c>
      <c r="I1002" s="7" t="n">
        <v>0</v>
      </c>
      <c r="J1002" s="7" t="n">
        <v>0</v>
      </c>
      <c r="K1002" s="9" t="n">
        <v>0</v>
      </c>
      <c r="L1002" s="10" t="n">
        <v>47.4</v>
      </c>
      <c r="M1002" s="10" t="n">
        <v>1.43</v>
      </c>
      <c r="N1002" t="inlineStr">
        <is>
          <t>1</t>
        </is>
      </c>
      <c r="O1002" t="inlineStr">
        <is>
          <t>16</t>
        </is>
      </c>
      <c r="P1002" t="inlineStr">
        <is>
          <t xml:space="preserve">40254   </t>
        </is>
      </c>
      <c r="Q1002" s="26" t="n">
        <v>47.4</v>
      </c>
      <c r="R1002" s="26">
        <f>Q1002*G1002</f>
        <v/>
      </c>
      <c r="S1002" s="26">
        <f>IFERROR(VLOOKUP(E1002*1,Tabla[#All],8,0),0)</f>
        <v/>
      </c>
      <c r="T1002" s="26">
        <f>S1002*G1002</f>
        <v/>
      </c>
      <c r="U1002" s="26">
        <f>R1002-T1002</f>
        <v/>
      </c>
      <c r="V1002" s="26">
        <f>U1002-L1002</f>
        <v/>
      </c>
    </row>
    <row r="1003">
      <c r="A1003" s="11" t="n">
        <v>46214</v>
      </c>
      <c r="B1003" s="1" t="n">
        <v>20028</v>
      </c>
      <c r="C1003" s="1" t="inlineStr">
        <is>
          <t>833</t>
        </is>
      </c>
      <c r="D1003" s="1" t="inlineStr">
        <is>
          <t xml:space="preserve">7867  </t>
        </is>
      </c>
      <c r="E1003" s="1" t="inlineStr">
        <is>
          <t xml:space="preserve">29235702       </t>
        </is>
      </c>
      <c r="F1003" s="5" t="inlineStr">
        <is>
          <t>INFINITY NADO TROMPO DE BATALLA - METAL C/ ANILLO</t>
        </is>
      </c>
      <c r="G1003" t="n">
        <v>1</v>
      </c>
      <c r="H1003" s="7" t="n">
        <v>69.90000000000001</v>
      </c>
      <c r="I1003" s="7" t="n">
        <v>0</v>
      </c>
      <c r="J1003" s="7" t="n">
        <v>0</v>
      </c>
      <c r="K1003" s="9" t="n">
        <v>0</v>
      </c>
      <c r="L1003" s="10" t="n">
        <v>41.47</v>
      </c>
      <c r="M1003" s="10" t="n">
        <v>1.43</v>
      </c>
      <c r="N1003" t="inlineStr">
        <is>
          <t>1</t>
        </is>
      </c>
      <c r="O1003" t="inlineStr">
        <is>
          <t>16</t>
        </is>
      </c>
      <c r="P1003" t="inlineStr">
        <is>
          <t xml:space="preserve">248238  </t>
        </is>
      </c>
      <c r="Q1003" s="26" t="n">
        <v>41.47</v>
      </c>
      <c r="R1003" s="26">
        <f>Q1003*G1003</f>
        <v/>
      </c>
      <c r="S1003" s="26">
        <f>IFERROR(VLOOKUP(E1003*1,Tabla[#All],8,0),0)</f>
        <v/>
      </c>
      <c r="T1003" s="26">
        <f>S1003*G1003</f>
        <v/>
      </c>
      <c r="U1003" s="26">
        <f>R1003-T1003</f>
        <v/>
      </c>
      <c r="V1003" s="26">
        <f>U1003-L1003</f>
        <v/>
      </c>
    </row>
    <row r="1004">
      <c r="A1004" s="11" t="n">
        <v>46214</v>
      </c>
      <c r="B1004" s="1" t="n">
        <v>20030</v>
      </c>
      <c r="C1004" s="1" t="inlineStr">
        <is>
          <t>077</t>
        </is>
      </c>
      <c r="D1004" s="1" t="inlineStr">
        <is>
          <t>232175</t>
        </is>
      </c>
      <c r="E1004" s="1" t="inlineStr">
        <is>
          <t xml:space="preserve">31959958       </t>
        </is>
      </c>
      <c r="F1004" s="5" t="inlineStr">
        <is>
          <t>TMZ BEAST MACHINE AUTOS DE METAL PACK 3 AUTOS</t>
        </is>
      </c>
      <c r="G1004" t="n">
        <v>1</v>
      </c>
      <c r="H1004" s="7" t="n">
        <v>23.7</v>
      </c>
      <c r="I1004" s="7" t="n">
        <v>0</v>
      </c>
      <c r="J1004" s="7" t="n">
        <v>0</v>
      </c>
      <c r="K1004" s="9" t="n">
        <v>0</v>
      </c>
      <c r="L1004" s="10" t="n">
        <v>14.06</v>
      </c>
      <c r="M1004" s="10" t="n">
        <v>1.43</v>
      </c>
      <c r="N1004" t="inlineStr">
        <is>
          <t>1</t>
        </is>
      </c>
      <c r="O1004" t="inlineStr">
        <is>
          <t>16</t>
        </is>
      </c>
      <c r="P1004" t="inlineStr">
        <is>
          <t xml:space="preserve">44915   </t>
        </is>
      </c>
      <c r="Q1004" s="26" t="n">
        <v>14.06</v>
      </c>
      <c r="R1004" s="26">
        <f>Q1004*G1004</f>
        <v/>
      </c>
      <c r="S1004" s="26">
        <f>IFERROR(VLOOKUP(E1004*1,Tabla[#All],8,0),0)</f>
        <v/>
      </c>
      <c r="T1004" s="26">
        <f>S1004*G1004</f>
        <v/>
      </c>
      <c r="U1004" s="26">
        <f>R1004-T1004</f>
        <v/>
      </c>
      <c r="V1004" s="26">
        <f>U1004-L1004</f>
        <v/>
      </c>
    </row>
    <row r="1005">
      <c r="A1005" s="11" t="n">
        <v>46214</v>
      </c>
      <c r="B1005" s="1" t="n">
        <v>20030</v>
      </c>
      <c r="C1005" s="1" t="inlineStr">
        <is>
          <t>077</t>
        </is>
      </c>
      <c r="D1005" s="1" t="inlineStr">
        <is>
          <t>232224</t>
        </is>
      </c>
      <c r="E1005" s="1" t="inlineStr">
        <is>
          <t xml:space="preserve">28194770       </t>
        </is>
      </c>
      <c r="F1005" s="5" t="inlineStr">
        <is>
          <t>AUTOS DE METAL 3 TEAMSTERZ EN BLISTER</t>
        </is>
      </c>
      <c r="G1005" t="n">
        <v>1</v>
      </c>
      <c r="H1005" s="7" t="n">
        <v>6.9</v>
      </c>
      <c r="I1005" s="7" t="n">
        <v>0</v>
      </c>
      <c r="J1005" s="7" t="n">
        <v>0</v>
      </c>
      <c r="K1005" s="9" t="n">
        <v>0</v>
      </c>
      <c r="L1005" s="10" t="n">
        <v>4.1</v>
      </c>
      <c r="M1005" s="10" t="n">
        <v>1.43</v>
      </c>
      <c r="N1005" t="inlineStr">
        <is>
          <t>1</t>
        </is>
      </c>
      <c r="O1005" t="inlineStr">
        <is>
          <t>16</t>
        </is>
      </c>
      <c r="P1005" t="inlineStr">
        <is>
          <t xml:space="preserve">44915   </t>
        </is>
      </c>
      <c r="Q1005" s="26" t="n">
        <v>4.09</v>
      </c>
      <c r="R1005" s="26">
        <f>Q1005*G1005</f>
        <v/>
      </c>
      <c r="S1005" s="26">
        <f>IFERROR(VLOOKUP(E1005*1,Tabla[#All],8,0),0)</f>
        <v/>
      </c>
      <c r="T1005" s="26">
        <f>S1005*G1005</f>
        <v/>
      </c>
      <c r="U1005" s="26">
        <f>R1005-T1005</f>
        <v/>
      </c>
      <c r="V1005" s="26">
        <f>U1005-L1005</f>
        <v/>
      </c>
    </row>
    <row r="1006">
      <c r="A1006" s="11" t="n">
        <v>46214</v>
      </c>
      <c r="B1006" s="1" t="n">
        <v>20040</v>
      </c>
      <c r="C1006" s="1" t="inlineStr">
        <is>
          <t>039</t>
        </is>
      </c>
      <c r="D1006" s="1" t="inlineStr">
        <is>
          <t>229015</t>
        </is>
      </c>
      <c r="E1006" s="1" t="inlineStr">
        <is>
          <t xml:space="preserve">29773844       </t>
        </is>
      </c>
      <c r="F1006" s="5" t="inlineStr">
        <is>
          <t>INFINITY NADO MALETIN DE TROMPO DE BATALLA DE META</t>
        </is>
      </c>
      <c r="G1006" t="n">
        <v>1</v>
      </c>
      <c r="H1006" s="7" t="n">
        <v>99</v>
      </c>
      <c r="I1006" s="7" t="n">
        <v>0</v>
      </c>
      <c r="J1006" s="7" t="n">
        <v>0</v>
      </c>
      <c r="K1006" s="9" t="n">
        <v>0</v>
      </c>
      <c r="L1006" s="10" t="n">
        <v>58.73</v>
      </c>
      <c r="M1006" s="10" t="n">
        <v>1.43</v>
      </c>
      <c r="N1006" t="inlineStr">
        <is>
          <t>1</t>
        </is>
      </c>
      <c r="O1006" t="inlineStr">
        <is>
          <t>16</t>
        </is>
      </c>
      <c r="P1006" t="inlineStr">
        <is>
          <t xml:space="preserve">250193  </t>
        </is>
      </c>
      <c r="Q1006" s="26" t="n">
        <v>58.73</v>
      </c>
      <c r="R1006" s="26">
        <f>Q1006*G1006</f>
        <v/>
      </c>
      <c r="S1006" s="26">
        <f>IFERROR(VLOOKUP(E1006*1,Tabla[#All],8,0),0)</f>
        <v/>
      </c>
      <c r="T1006" s="26">
        <f>S1006*G1006</f>
        <v/>
      </c>
      <c r="U1006" s="26">
        <f>R1006-T1006</f>
        <v/>
      </c>
      <c r="V1006" s="26">
        <f>U1006-L1006</f>
        <v/>
      </c>
    </row>
    <row r="1007">
      <c r="A1007" s="11" t="n">
        <v>46214</v>
      </c>
      <c r="B1007" s="1" t="n">
        <v>20040</v>
      </c>
      <c r="C1007" s="1" t="inlineStr">
        <is>
          <t>190</t>
        </is>
      </c>
      <c r="D1007" s="1" t="inlineStr">
        <is>
          <t>367971</t>
        </is>
      </c>
      <c r="E1007" s="1" t="inlineStr">
        <is>
          <t xml:space="preserve">33661538       </t>
        </is>
      </c>
      <c r="F1007" s="5" t="inlineStr">
        <is>
          <t>HOT WHEELS CASE GARAGE RUEDA METAL EN LLAMAS X 29</t>
        </is>
      </c>
      <c r="G1007" t="n">
        <v>1</v>
      </c>
      <c r="H1007" s="7" t="n">
        <v>69.90000000000001</v>
      </c>
      <c r="I1007" s="7" t="n">
        <v>0</v>
      </c>
      <c r="J1007" s="7" t="n">
        <v>0</v>
      </c>
      <c r="K1007" s="9" t="n">
        <v>0</v>
      </c>
      <c r="L1007" s="10" t="n">
        <v>41.47</v>
      </c>
      <c r="M1007" s="10" t="n">
        <v>1.43</v>
      </c>
      <c r="N1007" t="inlineStr">
        <is>
          <t>1</t>
        </is>
      </c>
      <c r="O1007" t="inlineStr">
        <is>
          <t>16</t>
        </is>
      </c>
      <c r="P1007" t="inlineStr">
        <is>
          <t xml:space="preserve">242658  </t>
        </is>
      </c>
      <c r="Q1007" s="26" t="n">
        <v>41.47</v>
      </c>
      <c r="R1007" s="26">
        <f>Q1007*G1007</f>
        <v/>
      </c>
      <c r="S1007" s="26">
        <f>IFERROR(VLOOKUP(E1007*1,Tabla[#All],8,0),0)</f>
        <v/>
      </c>
      <c r="T1007" s="26">
        <f>S1007*G1007</f>
        <v/>
      </c>
      <c r="U1007" s="26">
        <f>R1007-T1007</f>
        <v/>
      </c>
      <c r="V1007" s="26">
        <f>U1007-L1007</f>
        <v/>
      </c>
    </row>
    <row r="1008">
      <c r="A1008" s="11" t="n">
        <v>46214</v>
      </c>
      <c r="B1008" s="1" t="n">
        <v>20041</v>
      </c>
      <c r="C1008" s="1" t="inlineStr">
        <is>
          <t>020</t>
        </is>
      </c>
      <c r="D1008" s="1" t="inlineStr">
        <is>
          <t>366065</t>
        </is>
      </c>
      <c r="E1008" s="1" t="inlineStr">
        <is>
          <t xml:space="preserve">28194769       </t>
        </is>
      </c>
      <c r="F1008" s="5" t="inlineStr">
        <is>
          <t>AUTOS DE METAL 3 TEAMSTERZ PACK DE 2</t>
        </is>
      </c>
      <c r="G1008" t="n">
        <v>1</v>
      </c>
      <c r="H1008" s="7" t="n">
        <v>13.8</v>
      </c>
      <c r="I1008" s="7" t="n">
        <v>0</v>
      </c>
      <c r="J1008" s="7" t="n">
        <v>0</v>
      </c>
      <c r="K1008" s="9" t="n">
        <v>0</v>
      </c>
      <c r="L1008" s="10" t="n">
        <v>8.18</v>
      </c>
      <c r="M1008" s="10" t="n">
        <v>1.43</v>
      </c>
      <c r="N1008" t="inlineStr">
        <is>
          <t>1</t>
        </is>
      </c>
      <c r="O1008" t="inlineStr">
        <is>
          <t>16</t>
        </is>
      </c>
      <c r="P1008" t="inlineStr">
        <is>
          <t xml:space="preserve">91630   </t>
        </is>
      </c>
      <c r="Q1008" s="26" t="n">
        <v>8.19</v>
      </c>
      <c r="R1008" s="26">
        <f>Q1008*G1008</f>
        <v/>
      </c>
      <c r="S1008" s="26">
        <f>IFERROR(VLOOKUP(E1008*1,Tabla[#All],8,0),0)</f>
        <v/>
      </c>
      <c r="T1008" s="26">
        <f>S1008*G1008</f>
        <v/>
      </c>
      <c r="U1008" s="26">
        <f>R1008-T1008</f>
        <v/>
      </c>
      <c r="V1008" s="26">
        <f>U1008-L1008</f>
        <v/>
      </c>
    </row>
    <row r="1009">
      <c r="A1009" s="11" t="n">
        <v>46214</v>
      </c>
      <c r="B1009" s="1" t="n">
        <v>20041</v>
      </c>
      <c r="C1009" s="1" t="inlineStr">
        <is>
          <t>020</t>
        </is>
      </c>
      <c r="D1009" s="1" t="inlineStr">
        <is>
          <t>366065</t>
        </is>
      </c>
      <c r="E1009" s="1" t="inlineStr">
        <is>
          <t xml:space="preserve">28194770       </t>
        </is>
      </c>
      <c r="F1009" s="5" t="inlineStr">
        <is>
          <t>AUTOS DE METAL 3 TEAMSTERZ EN BLISTER</t>
        </is>
      </c>
      <c r="G1009" t="n">
        <v>1</v>
      </c>
      <c r="H1009" s="7" t="n">
        <v>6.9</v>
      </c>
      <c r="I1009" s="7" t="n">
        <v>0</v>
      </c>
      <c r="J1009" s="7" t="n">
        <v>0</v>
      </c>
      <c r="K1009" s="9" t="n">
        <v>0</v>
      </c>
      <c r="L1009" s="10" t="n">
        <v>4.1</v>
      </c>
      <c r="M1009" s="10" t="n">
        <v>1.43</v>
      </c>
      <c r="N1009" t="inlineStr">
        <is>
          <t>1</t>
        </is>
      </c>
      <c r="O1009" t="inlineStr">
        <is>
          <t>16</t>
        </is>
      </c>
      <c r="P1009" t="inlineStr">
        <is>
          <t xml:space="preserve">91630   </t>
        </is>
      </c>
      <c r="Q1009" s="26" t="n">
        <v>4.09</v>
      </c>
      <c r="R1009" s="26">
        <f>Q1009*G1009</f>
        <v/>
      </c>
      <c r="S1009" s="26">
        <f>IFERROR(VLOOKUP(E1009*1,Tabla[#All],8,0),0)</f>
        <v/>
      </c>
      <c r="T1009" s="26">
        <f>S1009*G1009</f>
        <v/>
      </c>
      <c r="U1009" s="26">
        <f>R1009-T1009</f>
        <v/>
      </c>
      <c r="V1009" s="26">
        <f>U1009-L1009</f>
        <v/>
      </c>
    </row>
    <row r="1010">
      <c r="A1010" s="11" t="n">
        <v>46214</v>
      </c>
      <c r="B1010" s="1" t="n">
        <v>20041</v>
      </c>
      <c r="C1010" s="1" t="inlineStr">
        <is>
          <t>020</t>
        </is>
      </c>
      <c r="D1010" s="1" t="inlineStr">
        <is>
          <t>366065</t>
        </is>
      </c>
      <c r="E1010" s="1" t="inlineStr">
        <is>
          <t xml:space="preserve">28194770       </t>
        </is>
      </c>
      <c r="F1010" s="5" t="inlineStr">
        <is>
          <t>AUTOS DE METAL 3 TEAMSTERZ EN BLISTER</t>
        </is>
      </c>
      <c r="G1010" t="n">
        <v>1</v>
      </c>
      <c r="H1010" s="7" t="n">
        <v>6.9</v>
      </c>
      <c r="I1010" s="7" t="n">
        <v>0</v>
      </c>
      <c r="J1010" s="7" t="n">
        <v>0</v>
      </c>
      <c r="K1010" s="9" t="n">
        <v>0</v>
      </c>
      <c r="L1010" s="10" t="n">
        <v>4.1</v>
      </c>
      <c r="M1010" s="10" t="n">
        <v>1.43</v>
      </c>
      <c r="N1010" t="inlineStr">
        <is>
          <t>1</t>
        </is>
      </c>
      <c r="O1010" t="inlineStr">
        <is>
          <t>16</t>
        </is>
      </c>
      <c r="P1010" t="inlineStr">
        <is>
          <t xml:space="preserve">91630   </t>
        </is>
      </c>
      <c r="Q1010" s="26" t="n">
        <v>4.09</v>
      </c>
      <c r="R1010" s="26">
        <f>Q1010*G1010</f>
        <v/>
      </c>
      <c r="S1010" s="26">
        <f>IFERROR(VLOOKUP(E1010*1,Tabla[#All],8,0),0)</f>
        <v/>
      </c>
      <c r="T1010" s="26">
        <f>S1010*G1010</f>
        <v/>
      </c>
      <c r="U1010" s="26">
        <f>R1010-T1010</f>
        <v/>
      </c>
      <c r="V1010" s="26">
        <f>U1010-L1010</f>
        <v/>
      </c>
    </row>
    <row r="1011">
      <c r="A1011" s="11" t="n">
        <v>46214</v>
      </c>
      <c r="B1011" s="1" t="n">
        <v>20041</v>
      </c>
      <c r="C1011" s="1" t="inlineStr">
        <is>
          <t>031</t>
        </is>
      </c>
      <c r="D1011" s="1" t="inlineStr">
        <is>
          <t>165327</t>
        </is>
      </c>
      <c r="E1011" s="1" t="inlineStr">
        <is>
          <t xml:space="preserve">28194770       </t>
        </is>
      </c>
      <c r="F1011" s="5" t="inlineStr">
        <is>
          <t>AUTOS DE METAL 3 TEAMSTERZ EN BLISTER</t>
        </is>
      </c>
      <c r="G1011" t="n">
        <v>1</v>
      </c>
      <c r="H1011" s="7" t="n">
        <v>6.9</v>
      </c>
      <c r="I1011" s="7" t="n">
        <v>0</v>
      </c>
      <c r="J1011" s="7" t="n">
        <v>0</v>
      </c>
      <c r="K1011" s="9" t="n">
        <v>0</v>
      </c>
      <c r="L1011" s="10" t="n">
        <v>4.1</v>
      </c>
      <c r="M1011" s="10" t="n">
        <v>1.43</v>
      </c>
      <c r="N1011" t="inlineStr">
        <is>
          <t>1</t>
        </is>
      </c>
      <c r="O1011" t="inlineStr">
        <is>
          <t xml:space="preserve">2 </t>
        </is>
      </c>
      <c r="P1011" t="inlineStr">
        <is>
          <t xml:space="preserve">245842  </t>
        </is>
      </c>
      <c r="Q1011" s="26" t="n">
        <v>4.09</v>
      </c>
      <c r="R1011" s="26">
        <f>Q1011*G1011</f>
        <v/>
      </c>
      <c r="S1011" s="26">
        <f>IFERROR(VLOOKUP(E1011*1,Tabla[#All],8,0),0)</f>
        <v/>
      </c>
      <c r="T1011" s="26">
        <f>S1011*G1011</f>
        <v/>
      </c>
      <c r="U1011" s="26">
        <f>R1011-T1011</f>
        <v/>
      </c>
      <c r="V1011" s="26">
        <f>U1011-L1011</f>
        <v/>
      </c>
    </row>
    <row r="1012">
      <c r="A1012" s="11" t="n">
        <v>46214</v>
      </c>
      <c r="B1012" s="1" t="n">
        <v>20041</v>
      </c>
      <c r="C1012" s="1" t="inlineStr">
        <is>
          <t>031</t>
        </is>
      </c>
      <c r="D1012" s="1" t="inlineStr">
        <is>
          <t>165348</t>
        </is>
      </c>
      <c r="E1012" s="1" t="inlineStr">
        <is>
          <t xml:space="preserve">28194770       </t>
        </is>
      </c>
      <c r="F1012" s="5" t="inlineStr">
        <is>
          <t>AUTOS DE METAL 3 TEAMSTERZ EN BLISTER</t>
        </is>
      </c>
      <c r="G1012" t="n">
        <v>1</v>
      </c>
      <c r="H1012" s="7" t="n">
        <v>6.9</v>
      </c>
      <c r="I1012" s="7" t="n">
        <v>0</v>
      </c>
      <c r="J1012" s="7" t="n">
        <v>0</v>
      </c>
      <c r="K1012" s="9" t="n">
        <v>0</v>
      </c>
      <c r="L1012" s="10" t="n">
        <v>4.1</v>
      </c>
      <c r="M1012" s="10" t="n">
        <v>1.43</v>
      </c>
      <c r="N1012" t="inlineStr">
        <is>
          <t>1</t>
        </is>
      </c>
      <c r="O1012" t="inlineStr">
        <is>
          <t xml:space="preserve">2 </t>
        </is>
      </c>
      <c r="P1012" t="inlineStr">
        <is>
          <t xml:space="preserve">245842  </t>
        </is>
      </c>
      <c r="Q1012" s="26" t="n">
        <v>4.09</v>
      </c>
      <c r="R1012" s="26">
        <f>Q1012*G1012</f>
        <v/>
      </c>
      <c r="S1012" s="26">
        <f>IFERROR(VLOOKUP(E1012*1,Tabla[#All],8,0),0)</f>
        <v/>
      </c>
      <c r="T1012" s="26">
        <f>S1012*G1012</f>
        <v/>
      </c>
      <c r="U1012" s="26">
        <f>R1012-T1012</f>
        <v/>
      </c>
      <c r="V1012" s="26">
        <f>U1012-L1012</f>
        <v/>
      </c>
    </row>
    <row r="1013">
      <c r="A1013" s="11" t="n">
        <v>46214</v>
      </c>
      <c r="B1013" s="1" t="n">
        <v>20041</v>
      </c>
      <c r="C1013" s="1" t="inlineStr">
        <is>
          <t>031</t>
        </is>
      </c>
      <c r="D1013" s="1" t="inlineStr">
        <is>
          <t>165348</t>
        </is>
      </c>
      <c r="E1013" s="1" t="inlineStr">
        <is>
          <t xml:space="preserve">28194770       </t>
        </is>
      </c>
      <c r="F1013" s="5" t="inlineStr">
        <is>
          <t>AUTOS DE METAL 3 TEAMSTERZ EN BLISTER</t>
        </is>
      </c>
      <c r="G1013" t="n">
        <v>1</v>
      </c>
      <c r="H1013" s="7" t="n">
        <v>6.9</v>
      </c>
      <c r="I1013" s="7" t="n">
        <v>0</v>
      </c>
      <c r="J1013" s="7" t="n">
        <v>0</v>
      </c>
      <c r="K1013" s="9" t="n">
        <v>0</v>
      </c>
      <c r="L1013" s="10" t="n">
        <v>4.1</v>
      </c>
      <c r="M1013" s="10" t="n">
        <v>1.43</v>
      </c>
      <c r="N1013" t="inlineStr">
        <is>
          <t>1</t>
        </is>
      </c>
      <c r="O1013" t="inlineStr">
        <is>
          <t xml:space="preserve">2 </t>
        </is>
      </c>
      <c r="P1013" t="inlineStr">
        <is>
          <t xml:space="preserve">245842  </t>
        </is>
      </c>
      <c r="Q1013" s="26" t="n">
        <v>4.09</v>
      </c>
      <c r="R1013" s="26">
        <f>Q1013*G1013</f>
        <v/>
      </c>
      <c r="S1013" s="26">
        <f>IFERROR(VLOOKUP(E1013*1,Tabla[#All],8,0),0)</f>
        <v/>
      </c>
      <c r="T1013" s="26">
        <f>S1013*G1013</f>
        <v/>
      </c>
      <c r="U1013" s="26">
        <f>R1013-T1013</f>
        <v/>
      </c>
      <c r="V1013" s="26">
        <f>U1013-L1013</f>
        <v/>
      </c>
    </row>
    <row r="1014">
      <c r="A1014" s="11" t="n">
        <v>46214</v>
      </c>
      <c r="B1014" s="1" t="n">
        <v>20041</v>
      </c>
      <c r="C1014" s="1" t="inlineStr">
        <is>
          <t>031</t>
        </is>
      </c>
      <c r="D1014" s="1" t="inlineStr">
        <is>
          <t>165348</t>
        </is>
      </c>
      <c r="E1014" s="1" t="inlineStr">
        <is>
          <t xml:space="preserve">28194770       </t>
        </is>
      </c>
      <c r="F1014" s="5" t="inlineStr">
        <is>
          <t>AUTOS DE METAL 3 TEAMSTERZ EN BLISTER</t>
        </is>
      </c>
      <c r="G1014" t="n">
        <v>1</v>
      </c>
      <c r="H1014" s="7" t="n">
        <v>6.9</v>
      </c>
      <c r="I1014" s="7" t="n">
        <v>0</v>
      </c>
      <c r="J1014" s="7" t="n">
        <v>0</v>
      </c>
      <c r="K1014" s="9" t="n">
        <v>0</v>
      </c>
      <c r="L1014" s="10" t="n">
        <v>4.1</v>
      </c>
      <c r="M1014" s="10" t="n">
        <v>1.43</v>
      </c>
      <c r="N1014" t="inlineStr">
        <is>
          <t>1</t>
        </is>
      </c>
      <c r="O1014" t="inlineStr">
        <is>
          <t xml:space="preserve">2 </t>
        </is>
      </c>
      <c r="P1014" t="inlineStr">
        <is>
          <t xml:space="preserve">245842  </t>
        </is>
      </c>
      <c r="Q1014" s="26" t="n">
        <v>4.09</v>
      </c>
      <c r="R1014" s="26">
        <f>Q1014*G1014</f>
        <v/>
      </c>
      <c r="S1014" s="26">
        <f>IFERROR(VLOOKUP(E1014*1,Tabla[#All],8,0),0)</f>
        <v/>
      </c>
      <c r="T1014" s="26">
        <f>S1014*G1014</f>
        <v/>
      </c>
      <c r="U1014" s="26">
        <f>R1014-T1014</f>
        <v/>
      </c>
      <c r="V1014" s="26">
        <f>U1014-L1014</f>
        <v/>
      </c>
    </row>
    <row r="1015">
      <c r="A1015" s="11" t="n">
        <v>46214</v>
      </c>
      <c r="B1015" s="1" t="n">
        <v>20041</v>
      </c>
      <c r="C1015" s="1" t="inlineStr">
        <is>
          <t>031</t>
        </is>
      </c>
      <c r="D1015" s="1" t="inlineStr">
        <is>
          <t>165348</t>
        </is>
      </c>
      <c r="E1015" s="1" t="inlineStr">
        <is>
          <t xml:space="preserve">28194770       </t>
        </is>
      </c>
      <c r="F1015" s="5" t="inlineStr">
        <is>
          <t>AUTOS DE METAL 3 TEAMSTERZ EN BLISTER</t>
        </is>
      </c>
      <c r="G1015" t="n">
        <v>1</v>
      </c>
      <c r="H1015" s="7" t="n">
        <v>6.9</v>
      </c>
      <c r="I1015" s="7" t="n">
        <v>0</v>
      </c>
      <c r="J1015" s="7" t="n">
        <v>0</v>
      </c>
      <c r="K1015" s="9" t="n">
        <v>0</v>
      </c>
      <c r="L1015" s="10" t="n">
        <v>4.1</v>
      </c>
      <c r="M1015" s="10" t="n">
        <v>1.43</v>
      </c>
      <c r="N1015" t="inlineStr">
        <is>
          <t>1</t>
        </is>
      </c>
      <c r="O1015" t="inlineStr">
        <is>
          <t xml:space="preserve">2 </t>
        </is>
      </c>
      <c r="P1015" t="inlineStr">
        <is>
          <t xml:space="preserve">245842  </t>
        </is>
      </c>
      <c r="Q1015" s="26" t="n">
        <v>4.09</v>
      </c>
      <c r="R1015" s="26">
        <f>Q1015*G1015</f>
        <v/>
      </c>
      <c r="S1015" s="26">
        <f>IFERROR(VLOOKUP(E1015*1,Tabla[#All],8,0),0)</f>
        <v/>
      </c>
      <c r="T1015" s="26">
        <f>S1015*G1015</f>
        <v/>
      </c>
      <c r="U1015" s="26">
        <f>R1015-T1015</f>
        <v/>
      </c>
      <c r="V1015" s="26">
        <f>U1015-L1015</f>
        <v/>
      </c>
    </row>
    <row r="1016">
      <c r="A1016" s="11" t="n">
        <v>46214</v>
      </c>
      <c r="B1016" s="1" t="n">
        <v>20041</v>
      </c>
      <c r="C1016" s="1" t="inlineStr">
        <is>
          <t>031</t>
        </is>
      </c>
      <c r="D1016" s="1" t="inlineStr">
        <is>
          <t>165388</t>
        </is>
      </c>
      <c r="E1016" s="1" t="inlineStr">
        <is>
          <t xml:space="preserve">28194770       </t>
        </is>
      </c>
      <c r="F1016" s="5" t="inlineStr">
        <is>
          <t>AUTOS DE METAL 3 TEAMSTERZ EN BLISTER</t>
        </is>
      </c>
      <c r="G1016" t="n">
        <v>1</v>
      </c>
      <c r="H1016" s="7" t="n">
        <v>6.9</v>
      </c>
      <c r="I1016" s="7" t="n">
        <v>0</v>
      </c>
      <c r="J1016" s="7" t="n">
        <v>0</v>
      </c>
      <c r="K1016" s="9" t="n">
        <v>0</v>
      </c>
      <c r="L1016" s="10" t="n">
        <v>4.1</v>
      </c>
      <c r="M1016" s="10" t="n">
        <v>1.43</v>
      </c>
      <c r="N1016" t="inlineStr">
        <is>
          <t>1</t>
        </is>
      </c>
      <c r="O1016" t="inlineStr">
        <is>
          <t>16</t>
        </is>
      </c>
      <c r="P1016" t="inlineStr">
        <is>
          <t xml:space="preserve">245842  </t>
        </is>
      </c>
      <c r="Q1016" s="26" t="n">
        <v>4.09</v>
      </c>
      <c r="R1016" s="26">
        <f>Q1016*G1016</f>
        <v/>
      </c>
      <c r="S1016" s="26">
        <f>IFERROR(VLOOKUP(E1016*1,Tabla[#All],8,0),0)</f>
        <v/>
      </c>
      <c r="T1016" s="26">
        <f>S1016*G1016</f>
        <v/>
      </c>
      <c r="U1016" s="26">
        <f>R1016-T1016</f>
        <v/>
      </c>
      <c r="V1016" s="26">
        <f>U1016-L1016</f>
        <v/>
      </c>
    </row>
    <row r="1017">
      <c r="A1017" s="11" t="n">
        <v>46214</v>
      </c>
      <c r="B1017" s="1" t="n">
        <v>20041</v>
      </c>
      <c r="C1017" s="1" t="inlineStr">
        <is>
          <t>036</t>
        </is>
      </c>
      <c r="D1017" s="1" t="inlineStr">
        <is>
          <t xml:space="preserve">2504  </t>
        </is>
      </c>
      <c r="E1017" s="1" t="inlineStr">
        <is>
          <t xml:space="preserve">28194770       </t>
        </is>
      </c>
      <c r="F1017" s="5" t="inlineStr">
        <is>
          <t>AUTOS DE METAL 3 TEAMSTERZ EN BLISTER</t>
        </is>
      </c>
      <c r="G1017" t="n">
        <v>1</v>
      </c>
      <c r="H1017" s="7" t="n">
        <v>6.9</v>
      </c>
      <c r="I1017" s="7" t="n">
        <v>0</v>
      </c>
      <c r="J1017" s="7" t="n">
        <v>0</v>
      </c>
      <c r="K1017" s="9" t="n">
        <v>0</v>
      </c>
      <c r="L1017" s="10" t="n">
        <v>4.1</v>
      </c>
      <c r="M1017" s="10" t="n">
        <v>1.43</v>
      </c>
      <c r="N1017" t="inlineStr">
        <is>
          <t>1</t>
        </is>
      </c>
      <c r="O1017" t="inlineStr">
        <is>
          <t>16</t>
        </is>
      </c>
      <c r="P1017" t="inlineStr">
        <is>
          <t xml:space="preserve">36180   </t>
        </is>
      </c>
      <c r="Q1017" s="26" t="n">
        <v>4.09</v>
      </c>
      <c r="R1017" s="26">
        <f>Q1017*G1017</f>
        <v/>
      </c>
      <c r="S1017" s="26">
        <f>IFERROR(VLOOKUP(E1017*1,Tabla[#All],8,0),0)</f>
        <v/>
      </c>
      <c r="T1017" s="26">
        <f>S1017*G1017</f>
        <v/>
      </c>
      <c r="U1017" s="26">
        <f>R1017-T1017</f>
        <v/>
      </c>
      <c r="V1017" s="26">
        <f>U1017-L1017</f>
        <v/>
      </c>
    </row>
    <row r="1018">
      <c r="A1018" s="11" t="n">
        <v>46214</v>
      </c>
      <c r="B1018" s="1" t="n">
        <v>20041</v>
      </c>
      <c r="C1018" s="1" t="inlineStr">
        <is>
          <t>037</t>
        </is>
      </c>
      <c r="D1018" s="1" t="inlineStr">
        <is>
          <t>189440</t>
        </is>
      </c>
      <c r="E1018" s="1" t="inlineStr">
        <is>
          <t xml:space="preserve">28194770       </t>
        </is>
      </c>
      <c r="F1018" s="5" t="inlineStr">
        <is>
          <t>AUTOS DE METAL 3 TEAMSTERZ EN BLISTER</t>
        </is>
      </c>
      <c r="G1018" t="n">
        <v>1</v>
      </c>
      <c r="H1018" s="7" t="n">
        <v>6.9</v>
      </c>
      <c r="I1018" s="7" t="n">
        <v>0.6899999999999999</v>
      </c>
      <c r="J1018" s="7" t="n">
        <v>0</v>
      </c>
      <c r="K1018" s="9" t="n">
        <v>0.6899999999999999</v>
      </c>
      <c r="L1018" s="10" t="n">
        <v>3.68</v>
      </c>
      <c r="M1018" s="10" t="n">
        <v>1.43</v>
      </c>
      <c r="N1018" t="inlineStr">
        <is>
          <t>1</t>
        </is>
      </c>
      <c r="O1018" t="inlineStr">
        <is>
          <t xml:space="preserve">3 </t>
        </is>
      </c>
      <c r="P1018" t="inlineStr">
        <is>
          <t xml:space="preserve">242748  </t>
        </is>
      </c>
      <c r="Q1018" s="26" t="n">
        <v>4.09</v>
      </c>
      <c r="R1018" s="26">
        <f>Q1018*G1018</f>
        <v/>
      </c>
      <c r="S1018" s="26">
        <f>IFERROR(VLOOKUP(E1018*1,Tabla[#All],8,0),0)</f>
        <v/>
      </c>
      <c r="T1018" s="26">
        <f>S1018*G1018</f>
        <v/>
      </c>
      <c r="U1018" s="26">
        <f>R1018-T1018</f>
        <v/>
      </c>
      <c r="V1018" s="26">
        <f>U1018-L1018</f>
        <v/>
      </c>
    </row>
    <row r="1019">
      <c r="A1019" s="11" t="n">
        <v>46214</v>
      </c>
      <c r="B1019" s="1" t="n">
        <v>20041</v>
      </c>
      <c r="C1019" s="1" t="inlineStr">
        <is>
          <t>037</t>
        </is>
      </c>
      <c r="D1019" s="1" t="inlineStr">
        <is>
          <t>189441</t>
        </is>
      </c>
      <c r="E1019" s="1" t="inlineStr">
        <is>
          <t xml:space="preserve">28194770       </t>
        </is>
      </c>
      <c r="F1019" s="5" t="inlineStr">
        <is>
          <t>AUTOS DE METAL 3 TEAMSTERZ EN BLISTER</t>
        </is>
      </c>
      <c r="G1019" t="n">
        <v>1</v>
      </c>
      <c r="H1019" s="7" t="n">
        <v>6.9</v>
      </c>
      <c r="I1019" s="7" t="n">
        <v>0</v>
      </c>
      <c r="J1019" s="7" t="n">
        <v>0</v>
      </c>
      <c r="K1019" s="9" t="n">
        <v>0</v>
      </c>
      <c r="L1019" s="10" t="n">
        <v>4.1</v>
      </c>
      <c r="M1019" s="10" t="n">
        <v>1.43</v>
      </c>
      <c r="N1019" t="inlineStr">
        <is>
          <t>1</t>
        </is>
      </c>
      <c r="O1019" t="inlineStr">
        <is>
          <t>16</t>
        </is>
      </c>
      <c r="P1019" t="inlineStr">
        <is>
          <t xml:space="preserve">242748  </t>
        </is>
      </c>
      <c r="Q1019" s="26" t="n">
        <v>4.09</v>
      </c>
      <c r="R1019" s="26">
        <f>Q1019*G1019</f>
        <v/>
      </c>
      <c r="S1019" s="26">
        <f>IFERROR(VLOOKUP(E1019*1,Tabla[#All],8,0),0)</f>
        <v/>
      </c>
      <c r="T1019" s="26">
        <f>S1019*G1019</f>
        <v/>
      </c>
      <c r="U1019" s="26">
        <f>R1019-T1019</f>
        <v/>
      </c>
      <c r="V1019" s="26">
        <f>U1019-L1019</f>
        <v/>
      </c>
    </row>
    <row r="1020">
      <c r="A1020" s="11" t="n">
        <v>46214</v>
      </c>
      <c r="B1020" s="1" t="n">
        <v>20041</v>
      </c>
      <c r="C1020" s="1" t="inlineStr">
        <is>
          <t>037</t>
        </is>
      </c>
      <c r="D1020" s="1" t="inlineStr">
        <is>
          <t>189475</t>
        </is>
      </c>
      <c r="E1020" s="1" t="inlineStr">
        <is>
          <t xml:space="preserve">28194770       </t>
        </is>
      </c>
      <c r="F1020" s="5" t="inlineStr">
        <is>
          <t>AUTOS DE METAL 3 TEAMSTERZ EN BLISTER</t>
        </is>
      </c>
      <c r="G1020" t="n">
        <v>1</v>
      </c>
      <c r="H1020" s="7" t="n">
        <v>6.9</v>
      </c>
      <c r="I1020" s="7" t="n">
        <v>0</v>
      </c>
      <c r="J1020" s="7" t="n">
        <v>0</v>
      </c>
      <c r="K1020" s="9" t="n">
        <v>0</v>
      </c>
      <c r="L1020" s="10" t="n">
        <v>4.1</v>
      </c>
      <c r="M1020" s="10" t="n">
        <v>1.43</v>
      </c>
      <c r="N1020" t="inlineStr">
        <is>
          <t>1</t>
        </is>
      </c>
      <c r="O1020" t="inlineStr">
        <is>
          <t>16</t>
        </is>
      </c>
      <c r="P1020" t="inlineStr">
        <is>
          <t xml:space="preserve">245841  </t>
        </is>
      </c>
      <c r="Q1020" s="26" t="n">
        <v>4.09</v>
      </c>
      <c r="R1020" s="26">
        <f>Q1020*G1020</f>
        <v/>
      </c>
      <c r="S1020" s="26">
        <f>IFERROR(VLOOKUP(E1020*1,Tabla[#All],8,0),0)</f>
        <v/>
      </c>
      <c r="T1020" s="26">
        <f>S1020*G1020</f>
        <v/>
      </c>
      <c r="U1020" s="26">
        <f>R1020-T1020</f>
        <v/>
      </c>
      <c r="V1020" s="26">
        <f>U1020-L1020</f>
        <v/>
      </c>
    </row>
    <row r="1021">
      <c r="A1021" s="11" t="n">
        <v>46214</v>
      </c>
      <c r="B1021" s="1" t="n">
        <v>20041</v>
      </c>
      <c r="C1021" s="1" t="inlineStr">
        <is>
          <t>037</t>
        </is>
      </c>
      <c r="D1021" s="1" t="inlineStr">
        <is>
          <t>189475</t>
        </is>
      </c>
      <c r="E1021" s="1" t="inlineStr">
        <is>
          <t xml:space="preserve">28194770       </t>
        </is>
      </c>
      <c r="F1021" s="5" t="inlineStr">
        <is>
          <t>AUTOS DE METAL 3 TEAMSTERZ EN BLISTER</t>
        </is>
      </c>
      <c r="G1021" t="n">
        <v>1</v>
      </c>
      <c r="H1021" s="7" t="n">
        <v>6.9</v>
      </c>
      <c r="I1021" s="7" t="n">
        <v>0</v>
      </c>
      <c r="J1021" s="7" t="n">
        <v>0</v>
      </c>
      <c r="K1021" s="9" t="n">
        <v>0</v>
      </c>
      <c r="L1021" s="10" t="n">
        <v>4.1</v>
      </c>
      <c r="M1021" s="10" t="n">
        <v>1.43</v>
      </c>
      <c r="N1021" t="inlineStr">
        <is>
          <t>1</t>
        </is>
      </c>
      <c r="O1021" t="inlineStr">
        <is>
          <t>16</t>
        </is>
      </c>
      <c r="P1021" t="inlineStr">
        <is>
          <t xml:space="preserve">245841  </t>
        </is>
      </c>
      <c r="Q1021" s="26" t="n">
        <v>4.09</v>
      </c>
      <c r="R1021" s="26">
        <f>Q1021*G1021</f>
        <v/>
      </c>
      <c r="S1021" s="26">
        <f>IFERROR(VLOOKUP(E1021*1,Tabla[#All],8,0),0)</f>
        <v/>
      </c>
      <c r="T1021" s="26">
        <f>S1021*G1021</f>
        <v/>
      </c>
      <c r="U1021" s="26">
        <f>R1021-T1021</f>
        <v/>
      </c>
      <c r="V1021" s="26">
        <f>U1021-L1021</f>
        <v/>
      </c>
    </row>
    <row r="1022">
      <c r="A1022" s="11" t="n">
        <v>46214</v>
      </c>
      <c r="B1022" s="1" t="n">
        <v>20041</v>
      </c>
      <c r="C1022" s="1" t="inlineStr">
        <is>
          <t>037</t>
        </is>
      </c>
      <c r="D1022" s="1" t="inlineStr">
        <is>
          <t>189493</t>
        </is>
      </c>
      <c r="E1022" s="1" t="inlineStr">
        <is>
          <t xml:space="preserve">28194769       </t>
        </is>
      </c>
      <c r="F1022" s="5" t="inlineStr">
        <is>
          <t>AUTOS DE METAL 3 TEAMSTERZ PACK DE 2</t>
        </is>
      </c>
      <c r="G1022" t="n">
        <v>1</v>
      </c>
      <c r="H1022" s="7" t="n">
        <v>13.8</v>
      </c>
      <c r="I1022" s="7" t="n">
        <v>0</v>
      </c>
      <c r="J1022" s="7" t="n">
        <v>0</v>
      </c>
      <c r="K1022" s="9" t="n">
        <v>0</v>
      </c>
      <c r="L1022" s="10" t="n">
        <v>8.18</v>
      </c>
      <c r="M1022" s="10" t="n">
        <v>1.43</v>
      </c>
      <c r="N1022" t="inlineStr">
        <is>
          <t>1</t>
        </is>
      </c>
      <c r="O1022" t="inlineStr">
        <is>
          <t>16</t>
        </is>
      </c>
      <c r="P1022" t="inlineStr">
        <is>
          <t xml:space="preserve">245841  </t>
        </is>
      </c>
      <c r="Q1022" s="26" t="n">
        <v>8.19</v>
      </c>
      <c r="R1022" s="26">
        <f>Q1022*G1022</f>
        <v/>
      </c>
      <c r="S1022" s="26">
        <f>IFERROR(VLOOKUP(E1022*1,Tabla[#All],8,0),0)</f>
        <v/>
      </c>
      <c r="T1022" s="26">
        <f>S1022*G1022</f>
        <v/>
      </c>
      <c r="U1022" s="26">
        <f>R1022-T1022</f>
        <v/>
      </c>
      <c r="V1022" s="26">
        <f>U1022-L1022</f>
        <v/>
      </c>
    </row>
    <row r="1023">
      <c r="A1023" s="11" t="n">
        <v>46214</v>
      </c>
      <c r="B1023" s="1" t="n">
        <v>20041</v>
      </c>
      <c r="C1023" s="1" t="inlineStr">
        <is>
          <t>037</t>
        </is>
      </c>
      <c r="D1023" s="1" t="inlineStr">
        <is>
          <t>189503</t>
        </is>
      </c>
      <c r="E1023" s="1" t="inlineStr">
        <is>
          <t xml:space="preserve">35685067       </t>
        </is>
      </c>
      <c r="F1023" s="5" t="inlineStr">
        <is>
          <t>HOT WHEELS POWER SET 3 EN 1</t>
        </is>
      </c>
      <c r="G1023" t="n">
        <v>1</v>
      </c>
      <c r="H1023" s="7" t="n">
        <v>49.9</v>
      </c>
      <c r="I1023" s="7" t="n">
        <v>0</v>
      </c>
      <c r="J1023" s="7" t="n">
        <v>0</v>
      </c>
      <c r="K1023" s="9" t="n">
        <v>0</v>
      </c>
      <c r="L1023" s="10" t="n">
        <v>29.6</v>
      </c>
      <c r="M1023" s="10" t="n">
        <v>1.43</v>
      </c>
      <c r="N1023" t="inlineStr">
        <is>
          <t>1</t>
        </is>
      </c>
      <c r="O1023" t="inlineStr">
        <is>
          <t xml:space="preserve">2 </t>
        </is>
      </c>
      <c r="P1023" t="inlineStr">
        <is>
          <t xml:space="preserve">245841  </t>
        </is>
      </c>
      <c r="Q1023" s="26" t="n">
        <v>29.6</v>
      </c>
      <c r="R1023" s="26">
        <f>Q1023*G1023</f>
        <v/>
      </c>
      <c r="S1023" s="26">
        <f>IFERROR(VLOOKUP(E1023*1,Tabla[#All],8,0),0)</f>
        <v/>
      </c>
      <c r="T1023" s="26">
        <f>S1023*G1023</f>
        <v/>
      </c>
      <c r="U1023" s="26">
        <f>R1023-T1023</f>
        <v/>
      </c>
      <c r="V1023" s="26">
        <f>U1023-L1023</f>
        <v/>
      </c>
    </row>
    <row r="1024">
      <c r="A1024" s="11" t="n">
        <v>46214</v>
      </c>
      <c r="B1024" s="1" t="n">
        <v>20041</v>
      </c>
      <c r="C1024" s="1" t="inlineStr">
        <is>
          <t>037</t>
        </is>
      </c>
      <c r="D1024" s="1" t="inlineStr">
        <is>
          <t>189508</t>
        </is>
      </c>
      <c r="E1024" s="1" t="inlineStr">
        <is>
          <t xml:space="preserve">35685067       </t>
        </is>
      </c>
      <c r="F1024" s="5" t="inlineStr">
        <is>
          <t>HOT WHEELS POWER SET 3 EN 1</t>
        </is>
      </c>
      <c r="G1024" t="n">
        <v>1</v>
      </c>
      <c r="H1024" s="7" t="n">
        <v>49.9</v>
      </c>
      <c r="I1024" s="7" t="n">
        <v>0</v>
      </c>
      <c r="J1024" s="7" t="n">
        <v>0</v>
      </c>
      <c r="K1024" s="9" t="n">
        <v>0</v>
      </c>
      <c r="L1024" s="10" t="n">
        <v>29.6</v>
      </c>
      <c r="M1024" s="10" t="n">
        <v>1.43</v>
      </c>
      <c r="N1024" t="inlineStr">
        <is>
          <t>1</t>
        </is>
      </c>
      <c r="O1024" t="inlineStr">
        <is>
          <t>16</t>
        </is>
      </c>
      <c r="P1024" t="inlineStr">
        <is>
          <t xml:space="preserve">245841  </t>
        </is>
      </c>
      <c r="Q1024" s="26" t="n">
        <v>29.6</v>
      </c>
      <c r="R1024" s="26">
        <f>Q1024*G1024</f>
        <v/>
      </c>
      <c r="S1024" s="26">
        <f>IFERROR(VLOOKUP(E1024*1,Tabla[#All],8,0),0)</f>
        <v/>
      </c>
      <c r="T1024" s="26">
        <f>S1024*G1024</f>
        <v/>
      </c>
      <c r="U1024" s="26">
        <f>R1024-T1024</f>
        <v/>
      </c>
      <c r="V1024" s="26">
        <f>U1024-L1024</f>
        <v/>
      </c>
    </row>
    <row r="1025">
      <c r="A1025" s="11" t="n">
        <v>46214</v>
      </c>
      <c r="B1025" s="1" t="n">
        <v>20041</v>
      </c>
      <c r="C1025" s="1" t="inlineStr">
        <is>
          <t>043</t>
        </is>
      </c>
      <c r="D1025" s="1" t="inlineStr">
        <is>
          <t xml:space="preserve">75949 </t>
        </is>
      </c>
      <c r="E1025" s="1" t="inlineStr">
        <is>
          <t xml:space="preserve">28194770       </t>
        </is>
      </c>
      <c r="F1025" s="5" t="inlineStr">
        <is>
          <t>AUTOS DE METAL 3 TEAMSTERZ EN BLISTER</t>
        </is>
      </c>
      <c r="G1025" t="n">
        <v>1</v>
      </c>
      <c r="H1025" s="7" t="n">
        <v>6.9</v>
      </c>
      <c r="I1025" s="7" t="n">
        <v>0</v>
      </c>
      <c r="J1025" s="7" t="n">
        <v>0</v>
      </c>
      <c r="K1025" s="9" t="n">
        <v>0</v>
      </c>
      <c r="L1025" s="10" t="n">
        <v>4.1</v>
      </c>
      <c r="M1025" s="10" t="n">
        <v>1.43</v>
      </c>
      <c r="N1025" t="inlineStr">
        <is>
          <t>1</t>
        </is>
      </c>
      <c r="O1025" t="inlineStr">
        <is>
          <t xml:space="preserve">2 </t>
        </is>
      </c>
      <c r="P1025" t="inlineStr">
        <is>
          <t xml:space="preserve">242747  </t>
        </is>
      </c>
      <c r="Q1025" s="26" t="n">
        <v>4.09</v>
      </c>
      <c r="R1025" s="26">
        <f>Q1025*G1025</f>
        <v/>
      </c>
      <c r="S1025" s="26">
        <f>IFERROR(VLOOKUP(E1025*1,Tabla[#All],8,0),0)</f>
        <v/>
      </c>
      <c r="T1025" s="26">
        <f>S1025*G1025</f>
        <v/>
      </c>
      <c r="U1025" s="26">
        <f>R1025-T1025</f>
        <v/>
      </c>
      <c r="V1025" s="26">
        <f>U1025-L1025</f>
        <v/>
      </c>
    </row>
    <row r="1026">
      <c r="A1026" s="11" t="n">
        <v>46214</v>
      </c>
      <c r="B1026" s="1" t="n">
        <v>20041</v>
      </c>
      <c r="C1026" s="1" t="inlineStr">
        <is>
          <t>043</t>
        </is>
      </c>
      <c r="D1026" s="1" t="inlineStr">
        <is>
          <t xml:space="preserve">75974 </t>
        </is>
      </c>
      <c r="E1026" s="1" t="inlineStr">
        <is>
          <t xml:space="preserve">28194770       </t>
        </is>
      </c>
      <c r="F1026" s="5" t="inlineStr">
        <is>
          <t>AUTOS DE METAL 3 TEAMSTERZ EN BLISTER</t>
        </is>
      </c>
      <c r="G1026" t="n">
        <v>1</v>
      </c>
      <c r="H1026" s="7" t="n">
        <v>6.9</v>
      </c>
      <c r="I1026" s="7" t="n">
        <v>0</v>
      </c>
      <c r="J1026" s="7" t="n">
        <v>0</v>
      </c>
      <c r="K1026" s="9" t="n">
        <v>0</v>
      </c>
      <c r="L1026" s="10" t="n">
        <v>4.1</v>
      </c>
      <c r="M1026" s="10" t="n">
        <v>1.43</v>
      </c>
      <c r="N1026" t="inlineStr">
        <is>
          <t>1</t>
        </is>
      </c>
      <c r="O1026" t="inlineStr">
        <is>
          <t xml:space="preserve">2 </t>
        </is>
      </c>
      <c r="P1026" t="inlineStr">
        <is>
          <t xml:space="preserve">242747  </t>
        </is>
      </c>
      <c r="Q1026" s="26" t="n">
        <v>4.09</v>
      </c>
      <c r="R1026" s="26">
        <f>Q1026*G1026</f>
        <v/>
      </c>
      <c r="S1026" s="26">
        <f>IFERROR(VLOOKUP(E1026*1,Tabla[#All],8,0),0)</f>
        <v/>
      </c>
      <c r="T1026" s="26">
        <f>S1026*G1026</f>
        <v/>
      </c>
      <c r="U1026" s="26">
        <f>R1026-T1026</f>
        <v/>
      </c>
      <c r="V1026" s="26">
        <f>U1026-L1026</f>
        <v/>
      </c>
    </row>
    <row r="1027">
      <c r="A1027" s="11" t="n">
        <v>46214</v>
      </c>
      <c r="B1027" s="1" t="n">
        <v>20041</v>
      </c>
      <c r="C1027" s="1" t="inlineStr">
        <is>
          <t>513</t>
        </is>
      </c>
      <c r="D1027" s="1" t="inlineStr">
        <is>
          <t xml:space="preserve">5698  </t>
        </is>
      </c>
      <c r="E1027" s="1" t="inlineStr">
        <is>
          <t xml:space="preserve">28194769       </t>
        </is>
      </c>
      <c r="F1027" s="5" t="inlineStr">
        <is>
          <t>AUTOS DE METAL 3 TEAMSTERZ PACK DE 2</t>
        </is>
      </c>
      <c r="G1027" t="n">
        <v>2</v>
      </c>
      <c r="H1027" s="7" t="n">
        <v>27.6</v>
      </c>
      <c r="I1027" s="7" t="n">
        <v>0</v>
      </c>
      <c r="J1027" s="7" t="n">
        <v>0</v>
      </c>
      <c r="K1027" s="9" t="n">
        <v>0</v>
      </c>
      <c r="L1027" s="10" t="n">
        <v>16.38</v>
      </c>
      <c r="M1027" s="10" t="n">
        <v>1.43</v>
      </c>
      <c r="N1027" t="inlineStr">
        <is>
          <t>1</t>
        </is>
      </c>
      <c r="O1027" t="inlineStr">
        <is>
          <t>16</t>
        </is>
      </c>
      <c r="P1027" t="inlineStr">
        <is>
          <t xml:space="preserve">242748  </t>
        </is>
      </c>
      <c r="Q1027" s="26" t="n">
        <v>8.19</v>
      </c>
      <c r="R1027" s="26">
        <f>Q1027*G1027</f>
        <v/>
      </c>
      <c r="S1027" s="26">
        <f>IFERROR(VLOOKUP(E1027*1,Tabla[#All],8,0),0)</f>
        <v/>
      </c>
      <c r="T1027" s="26">
        <f>S1027*G1027</f>
        <v/>
      </c>
      <c r="U1027" s="26">
        <f>R1027-T1027</f>
        <v/>
      </c>
      <c r="V1027" s="26">
        <f>U1027-L1027</f>
        <v/>
      </c>
    </row>
    <row r="1028">
      <c r="A1028" s="11" t="n">
        <v>46214</v>
      </c>
      <c r="B1028" s="1" t="n">
        <v>20043</v>
      </c>
      <c r="C1028" s="1" t="inlineStr">
        <is>
          <t>054</t>
        </is>
      </c>
      <c r="D1028" s="1" t="inlineStr">
        <is>
          <t xml:space="preserve">15149 </t>
        </is>
      </c>
      <c r="E1028" s="1" t="inlineStr">
        <is>
          <t xml:space="preserve">28194770       </t>
        </is>
      </c>
      <c r="F1028" s="5" t="inlineStr">
        <is>
          <t>AUTOS DE METAL 3 TEAMSTERZ EN BLISTER</t>
        </is>
      </c>
      <c r="G1028" t="n">
        <v>1</v>
      </c>
      <c r="H1028" s="7" t="n">
        <v>6.9</v>
      </c>
      <c r="I1028" s="7" t="n">
        <v>0</v>
      </c>
      <c r="J1028" s="7" t="n">
        <v>0</v>
      </c>
      <c r="K1028" s="9" t="n">
        <v>0</v>
      </c>
      <c r="L1028" s="10" t="n">
        <v>4.1</v>
      </c>
      <c r="M1028" s="10" t="n">
        <v>1.43</v>
      </c>
      <c r="N1028" t="inlineStr">
        <is>
          <t>1</t>
        </is>
      </c>
      <c r="O1028" t="inlineStr">
        <is>
          <t xml:space="preserve">2 </t>
        </is>
      </c>
      <c r="P1028" t="inlineStr">
        <is>
          <t xml:space="preserve">82644   </t>
        </is>
      </c>
      <c r="Q1028" s="26" t="n">
        <v>4.09</v>
      </c>
      <c r="R1028" s="26">
        <f>Q1028*G1028</f>
        <v/>
      </c>
      <c r="S1028" s="26">
        <f>IFERROR(VLOOKUP(E1028*1,Tabla[#All],8,0),0)</f>
        <v/>
      </c>
      <c r="T1028" s="26">
        <f>S1028*G1028</f>
        <v/>
      </c>
      <c r="U1028" s="26">
        <f>R1028-T1028</f>
        <v/>
      </c>
      <c r="V1028" s="26">
        <f>U1028-L1028</f>
        <v/>
      </c>
    </row>
    <row r="1029">
      <c r="A1029" s="11" t="n">
        <v>46214</v>
      </c>
      <c r="B1029" s="1" t="n">
        <v>20043</v>
      </c>
      <c r="C1029" s="1" t="inlineStr">
        <is>
          <t>054</t>
        </is>
      </c>
      <c r="D1029" s="1" t="inlineStr">
        <is>
          <t xml:space="preserve">15155 </t>
        </is>
      </c>
      <c r="E1029" s="1" t="inlineStr">
        <is>
          <t xml:space="preserve">28194770       </t>
        </is>
      </c>
      <c r="F1029" s="5" t="inlineStr">
        <is>
          <t>AUTOS DE METAL 3 TEAMSTERZ EN BLISTER</t>
        </is>
      </c>
      <c r="G1029" t="n">
        <v>1</v>
      </c>
      <c r="H1029" s="7" t="n">
        <v>6.9</v>
      </c>
      <c r="I1029" s="7" t="n">
        <v>0.6899999999999999</v>
      </c>
      <c r="J1029" s="7" t="n">
        <v>0</v>
      </c>
      <c r="K1029" s="9" t="n">
        <v>0.6899999999999999</v>
      </c>
      <c r="L1029" s="10" t="n">
        <v>3.68</v>
      </c>
      <c r="M1029" s="10" t="n">
        <v>1.43</v>
      </c>
      <c r="N1029" t="inlineStr">
        <is>
          <t>1</t>
        </is>
      </c>
      <c r="O1029" t="inlineStr">
        <is>
          <t xml:space="preserve">3 </t>
        </is>
      </c>
      <c r="P1029" t="inlineStr">
        <is>
          <t xml:space="preserve">249961  </t>
        </is>
      </c>
      <c r="Q1029" s="26" t="n">
        <v>4.09</v>
      </c>
      <c r="R1029" s="26">
        <f>Q1029*G1029</f>
        <v/>
      </c>
      <c r="S1029" s="26">
        <f>IFERROR(VLOOKUP(E1029*1,Tabla[#All],8,0),0)</f>
        <v/>
      </c>
      <c r="T1029" s="26">
        <f>S1029*G1029</f>
        <v/>
      </c>
      <c r="U1029" s="26">
        <f>R1029-T1029</f>
        <v/>
      </c>
      <c r="V1029" s="26">
        <f>U1029-L1029</f>
        <v/>
      </c>
    </row>
    <row r="1030">
      <c r="A1030" s="11" t="n">
        <v>46214</v>
      </c>
      <c r="B1030" s="1" t="n">
        <v>20043</v>
      </c>
      <c r="C1030" s="1" t="inlineStr">
        <is>
          <t>059</t>
        </is>
      </c>
      <c r="D1030" s="1" t="inlineStr">
        <is>
          <t>150945</t>
        </is>
      </c>
      <c r="E1030" s="1" t="inlineStr">
        <is>
          <t xml:space="preserve">32457103       </t>
        </is>
      </c>
      <c r="F1030" s="5" t="inlineStr">
        <is>
          <t>TMZ BEAST MACHINES MONSTER JAWS A FRICCION PACK DE</t>
        </is>
      </c>
      <c r="G1030" t="n">
        <v>1</v>
      </c>
      <c r="H1030" s="7" t="n">
        <v>37.9</v>
      </c>
      <c r="I1030" s="7" t="n">
        <v>0</v>
      </c>
      <c r="J1030" s="7" t="n">
        <v>0</v>
      </c>
      <c r="K1030" s="9" t="n">
        <v>0</v>
      </c>
      <c r="L1030" s="10" t="n">
        <v>22.48</v>
      </c>
      <c r="M1030" s="10" t="n">
        <v>1.43</v>
      </c>
      <c r="N1030" t="inlineStr">
        <is>
          <t>1</t>
        </is>
      </c>
      <c r="O1030" t="inlineStr">
        <is>
          <t>16</t>
        </is>
      </c>
      <c r="P1030" t="inlineStr">
        <is>
          <t xml:space="preserve">47299   </t>
        </is>
      </c>
      <c r="Q1030" s="26" t="n">
        <v>22.48</v>
      </c>
      <c r="R1030" s="26">
        <f>Q1030*G1030</f>
        <v/>
      </c>
      <c r="S1030" s="26">
        <f>IFERROR(VLOOKUP(E1030*1,Tabla[#All],8,0),0)</f>
        <v/>
      </c>
      <c r="T1030" s="26">
        <f>S1030*G1030</f>
        <v/>
      </c>
      <c r="U1030" s="26">
        <f>R1030-T1030</f>
        <v/>
      </c>
      <c r="V1030" s="26">
        <f>U1030-L1030</f>
        <v/>
      </c>
    </row>
    <row r="1031">
      <c r="A1031" s="11" t="n">
        <v>46214</v>
      </c>
      <c r="B1031" s="1" t="n">
        <v>20043</v>
      </c>
      <c r="C1031" s="1" t="inlineStr">
        <is>
          <t>061</t>
        </is>
      </c>
      <c r="D1031" s="1" t="inlineStr">
        <is>
          <t>154794</t>
        </is>
      </c>
      <c r="E1031" s="1" t="inlineStr">
        <is>
          <t xml:space="preserve">28194769       </t>
        </is>
      </c>
      <c r="F1031" s="5" t="inlineStr">
        <is>
          <t>AUTOS DE METAL 3 TEAMSTERZ PACK DE 2</t>
        </is>
      </c>
      <c r="G1031" t="n">
        <v>1</v>
      </c>
      <c r="H1031" s="7" t="n">
        <v>13.8</v>
      </c>
      <c r="I1031" s="7" t="n">
        <v>0</v>
      </c>
      <c r="J1031" s="7" t="n">
        <v>0</v>
      </c>
      <c r="K1031" s="9" t="n">
        <v>0</v>
      </c>
      <c r="L1031" s="10" t="n">
        <v>8.18</v>
      </c>
      <c r="M1031" s="10" t="n">
        <v>1.43</v>
      </c>
      <c r="N1031" t="inlineStr">
        <is>
          <t>1</t>
        </is>
      </c>
      <c r="O1031" t="inlineStr">
        <is>
          <t xml:space="preserve">2 </t>
        </is>
      </c>
      <c r="P1031" t="inlineStr">
        <is>
          <t xml:space="preserve">52184   </t>
        </is>
      </c>
      <c r="Q1031" s="26" t="n">
        <v>8.19</v>
      </c>
      <c r="R1031" s="26">
        <f>Q1031*G1031</f>
        <v/>
      </c>
      <c r="S1031" s="26">
        <f>IFERROR(VLOOKUP(E1031*1,Tabla[#All],8,0),0)</f>
        <v/>
      </c>
      <c r="T1031" s="26">
        <f>S1031*G1031</f>
        <v/>
      </c>
      <c r="U1031" s="26">
        <f>R1031-T1031</f>
        <v/>
      </c>
      <c r="V1031" s="26">
        <f>U1031-L1031</f>
        <v/>
      </c>
    </row>
    <row r="1032">
      <c r="A1032" s="11" t="n">
        <v>46214</v>
      </c>
      <c r="B1032" s="1" t="n">
        <v>20047</v>
      </c>
      <c r="C1032" s="1" t="inlineStr">
        <is>
          <t>012</t>
        </is>
      </c>
      <c r="D1032" s="1" t="inlineStr">
        <is>
          <t>332094</t>
        </is>
      </c>
      <c r="E1032" s="1" t="inlineStr">
        <is>
          <t xml:space="preserve">28194770       </t>
        </is>
      </c>
      <c r="F1032" s="5" t="inlineStr">
        <is>
          <t>AUTOS DE METAL 3 TEAMSTERZ EN BLISTER</t>
        </is>
      </c>
      <c r="G1032" t="n">
        <v>1</v>
      </c>
      <c r="H1032" s="7" t="n">
        <v>6.9</v>
      </c>
      <c r="I1032" s="7" t="n">
        <v>0</v>
      </c>
      <c r="J1032" s="7" t="n">
        <v>0</v>
      </c>
      <c r="K1032" s="9" t="n">
        <v>0</v>
      </c>
      <c r="L1032" s="10" t="n">
        <v>4.1</v>
      </c>
      <c r="M1032" s="10" t="n">
        <v>1.43</v>
      </c>
      <c r="N1032" t="inlineStr">
        <is>
          <t>1</t>
        </is>
      </c>
      <c r="O1032" t="inlineStr">
        <is>
          <t xml:space="preserve">2 </t>
        </is>
      </c>
      <c r="P1032" t="inlineStr">
        <is>
          <t xml:space="preserve">78210   </t>
        </is>
      </c>
      <c r="Q1032" s="26" t="n">
        <v>4.09</v>
      </c>
      <c r="R1032" s="26">
        <f>Q1032*G1032</f>
        <v/>
      </c>
      <c r="S1032" s="26">
        <f>IFERROR(VLOOKUP(E1032*1,Tabla[#All],8,0),0)</f>
        <v/>
      </c>
      <c r="T1032" s="26">
        <f>S1032*G1032</f>
        <v/>
      </c>
      <c r="U1032" s="26">
        <f>R1032-T1032</f>
        <v/>
      </c>
      <c r="V1032" s="26">
        <f>U1032-L1032</f>
        <v/>
      </c>
    </row>
    <row r="1033">
      <c r="A1033" s="11" t="n">
        <v>46214</v>
      </c>
      <c r="B1033" s="1" t="n">
        <v>20047</v>
      </c>
      <c r="C1033" s="1" t="inlineStr">
        <is>
          <t>012</t>
        </is>
      </c>
      <c r="D1033" s="1" t="inlineStr">
        <is>
          <t>332099</t>
        </is>
      </c>
      <c r="E1033" s="1" t="inlineStr">
        <is>
          <t xml:space="preserve">28194770       </t>
        </is>
      </c>
      <c r="F1033" s="5" t="inlineStr">
        <is>
          <t>AUTOS DE METAL 3 TEAMSTERZ EN BLISTER</t>
        </is>
      </c>
      <c r="G1033" t="n">
        <v>1</v>
      </c>
      <c r="H1033" s="7" t="n">
        <v>6.9</v>
      </c>
      <c r="I1033" s="7" t="n">
        <v>0.6899999999999999</v>
      </c>
      <c r="J1033" s="7" t="n">
        <v>0</v>
      </c>
      <c r="K1033" s="9" t="n">
        <v>0.6899999999999999</v>
      </c>
      <c r="L1033" s="10" t="n">
        <v>3.68</v>
      </c>
      <c r="M1033" s="10" t="n">
        <v>1.43</v>
      </c>
      <c r="N1033" t="inlineStr">
        <is>
          <t>1</t>
        </is>
      </c>
      <c r="O1033" t="inlineStr">
        <is>
          <t xml:space="preserve">3 </t>
        </is>
      </c>
      <c r="P1033" t="inlineStr">
        <is>
          <t xml:space="preserve">78210   </t>
        </is>
      </c>
      <c r="Q1033" s="26" t="n">
        <v>4.09</v>
      </c>
      <c r="R1033" s="26">
        <f>Q1033*G1033</f>
        <v/>
      </c>
      <c r="S1033" s="26">
        <f>IFERROR(VLOOKUP(E1033*1,Tabla[#All],8,0),0)</f>
        <v/>
      </c>
      <c r="T1033" s="26">
        <f>S1033*G1033</f>
        <v/>
      </c>
      <c r="U1033" s="26">
        <f>R1033-T1033</f>
        <v/>
      </c>
      <c r="V1033" s="26">
        <f>U1033-L1033</f>
        <v/>
      </c>
    </row>
    <row r="1034">
      <c r="A1034" s="11" t="n">
        <v>46214</v>
      </c>
      <c r="B1034" s="1" t="n">
        <v>20047</v>
      </c>
      <c r="C1034" s="1" t="inlineStr">
        <is>
          <t>191</t>
        </is>
      </c>
      <c r="D1034" s="1" t="inlineStr">
        <is>
          <t>461325</t>
        </is>
      </c>
      <c r="E1034" s="1" t="inlineStr">
        <is>
          <t xml:space="preserve">30232284       </t>
        </is>
      </c>
      <c r="F1034" s="5" t="inlineStr">
        <is>
          <t>INFINITY NADO TROMPO DE BATALLA - METAL C/PUNTA DE</t>
        </is>
      </c>
      <c r="G1034" t="n">
        <v>1</v>
      </c>
      <c r="H1034" s="7" t="n">
        <v>49.9</v>
      </c>
      <c r="I1034" s="7" t="n">
        <v>0</v>
      </c>
      <c r="J1034" s="7" t="n">
        <v>0</v>
      </c>
      <c r="K1034" s="9" t="n">
        <v>0</v>
      </c>
      <c r="L1034" s="10" t="n">
        <v>29.6</v>
      </c>
      <c r="M1034" s="10" t="n">
        <v>1.43</v>
      </c>
      <c r="N1034" t="inlineStr">
        <is>
          <t>1</t>
        </is>
      </c>
      <c r="O1034" t="inlineStr">
        <is>
          <t xml:space="preserve">2 </t>
        </is>
      </c>
      <c r="P1034" t="inlineStr">
        <is>
          <t xml:space="preserve">240556  </t>
        </is>
      </c>
      <c r="Q1034" s="26" t="n">
        <v>29.6</v>
      </c>
      <c r="R1034" s="26">
        <f>Q1034*G1034</f>
        <v/>
      </c>
      <c r="S1034" s="26">
        <f>IFERROR(VLOOKUP(E1034*1,Tabla[#All],8,0),0)</f>
        <v/>
      </c>
      <c r="T1034" s="26">
        <f>S1034*G1034</f>
        <v/>
      </c>
      <c r="U1034" s="26">
        <f>R1034-T1034</f>
        <v/>
      </c>
      <c r="V1034" s="26">
        <f>U1034-L1034</f>
        <v/>
      </c>
    </row>
    <row r="1035">
      <c r="A1035" s="11" t="n">
        <v>46214</v>
      </c>
      <c r="B1035" s="1" t="n">
        <v>20048</v>
      </c>
      <c r="C1035" s="1" t="inlineStr">
        <is>
          <t>013</t>
        </is>
      </c>
      <c r="D1035" s="1" t="inlineStr">
        <is>
          <t>224775</t>
        </is>
      </c>
      <c r="E1035" s="1" t="inlineStr">
        <is>
          <t xml:space="preserve">28194770       </t>
        </is>
      </c>
      <c r="F1035" s="5" t="inlineStr">
        <is>
          <t>AUTOS DE METAL 3 TEAMSTERZ EN BLISTER</t>
        </is>
      </c>
      <c r="G1035" t="n">
        <v>1</v>
      </c>
      <c r="H1035" s="7" t="n">
        <v>6.9</v>
      </c>
      <c r="I1035" s="7" t="n">
        <v>0</v>
      </c>
      <c r="J1035" s="7" t="n">
        <v>0</v>
      </c>
      <c r="K1035" s="9" t="n">
        <v>0</v>
      </c>
      <c r="L1035" s="10" t="n">
        <v>4.1</v>
      </c>
      <c r="M1035" s="10" t="n">
        <v>1.43</v>
      </c>
      <c r="N1035" t="inlineStr">
        <is>
          <t>1</t>
        </is>
      </c>
      <c r="O1035" t="inlineStr">
        <is>
          <t>16</t>
        </is>
      </c>
      <c r="P1035" t="inlineStr">
        <is>
          <t xml:space="preserve">80955   </t>
        </is>
      </c>
      <c r="Q1035" s="26" t="n">
        <v>4.09</v>
      </c>
      <c r="R1035" s="26">
        <f>Q1035*G1035</f>
        <v/>
      </c>
      <c r="S1035" s="26">
        <f>IFERROR(VLOOKUP(E1035*1,Tabla[#All],8,0),0)</f>
        <v/>
      </c>
      <c r="T1035" s="26">
        <f>S1035*G1035</f>
        <v/>
      </c>
      <c r="U1035" s="26">
        <f>R1035-T1035</f>
        <v/>
      </c>
      <c r="V1035" s="26">
        <f>U1035-L1035</f>
        <v/>
      </c>
    </row>
    <row r="1036">
      <c r="A1036" s="11" t="n">
        <v>46214</v>
      </c>
      <c r="B1036" s="1" t="n">
        <v>20048</v>
      </c>
      <c r="C1036" s="1" t="inlineStr">
        <is>
          <t>013</t>
        </is>
      </c>
      <c r="D1036" s="1" t="inlineStr">
        <is>
          <t>224775</t>
        </is>
      </c>
      <c r="E1036" s="1" t="inlineStr">
        <is>
          <t xml:space="preserve">28194770       </t>
        </is>
      </c>
      <c r="F1036" s="5" t="inlineStr">
        <is>
          <t>AUTOS DE METAL 3 TEAMSTERZ EN BLISTER</t>
        </is>
      </c>
      <c r="G1036" t="n">
        <v>1</v>
      </c>
      <c r="H1036" s="7" t="n">
        <v>6.9</v>
      </c>
      <c r="I1036" s="7" t="n">
        <v>0</v>
      </c>
      <c r="J1036" s="7" t="n">
        <v>0</v>
      </c>
      <c r="K1036" s="9" t="n">
        <v>0</v>
      </c>
      <c r="L1036" s="10" t="n">
        <v>4.1</v>
      </c>
      <c r="M1036" s="10" t="n">
        <v>1.43</v>
      </c>
      <c r="N1036" t="inlineStr">
        <is>
          <t>1</t>
        </is>
      </c>
      <c r="O1036" t="inlineStr">
        <is>
          <t>16</t>
        </is>
      </c>
      <c r="P1036" t="inlineStr">
        <is>
          <t xml:space="preserve">80955   </t>
        </is>
      </c>
      <c r="Q1036" s="26" t="n">
        <v>4.09</v>
      </c>
      <c r="R1036" s="26">
        <f>Q1036*G1036</f>
        <v/>
      </c>
      <c r="S1036" s="26">
        <f>IFERROR(VLOOKUP(E1036*1,Tabla[#All],8,0),0)</f>
        <v/>
      </c>
      <c r="T1036" s="26">
        <f>S1036*G1036</f>
        <v/>
      </c>
      <c r="U1036" s="26">
        <f>R1036-T1036</f>
        <v/>
      </c>
      <c r="V1036" s="26">
        <f>U1036-L1036</f>
        <v/>
      </c>
    </row>
    <row r="1037">
      <c r="A1037" s="11" t="n">
        <v>46214</v>
      </c>
      <c r="B1037" s="1" t="n">
        <v>20048</v>
      </c>
      <c r="C1037" s="1" t="inlineStr">
        <is>
          <t>013</t>
        </is>
      </c>
      <c r="D1037" s="1" t="inlineStr">
        <is>
          <t>224775</t>
        </is>
      </c>
      <c r="E1037" s="1" t="inlineStr">
        <is>
          <t xml:space="preserve">28194770       </t>
        </is>
      </c>
      <c r="F1037" s="5" t="inlineStr">
        <is>
          <t>AUTOS DE METAL 3 TEAMSTERZ EN BLISTER</t>
        </is>
      </c>
      <c r="G1037" t="n">
        <v>1</v>
      </c>
      <c r="H1037" s="7" t="n">
        <v>6.9</v>
      </c>
      <c r="I1037" s="7" t="n">
        <v>0</v>
      </c>
      <c r="J1037" s="7" t="n">
        <v>0</v>
      </c>
      <c r="K1037" s="9" t="n">
        <v>0</v>
      </c>
      <c r="L1037" s="10" t="n">
        <v>4.1</v>
      </c>
      <c r="M1037" s="10" t="n">
        <v>1.43</v>
      </c>
      <c r="N1037" t="inlineStr">
        <is>
          <t>1</t>
        </is>
      </c>
      <c r="O1037" t="inlineStr">
        <is>
          <t>16</t>
        </is>
      </c>
      <c r="P1037" t="inlineStr">
        <is>
          <t xml:space="preserve">80955   </t>
        </is>
      </c>
      <c r="Q1037" s="26" t="n">
        <v>4.09</v>
      </c>
      <c r="R1037" s="26">
        <f>Q1037*G1037</f>
        <v/>
      </c>
      <c r="S1037" s="26">
        <f>IFERROR(VLOOKUP(E1037*1,Tabla[#All],8,0),0)</f>
        <v/>
      </c>
      <c r="T1037" s="26">
        <f>S1037*G1037</f>
        <v/>
      </c>
      <c r="U1037" s="26">
        <f>R1037-T1037</f>
        <v/>
      </c>
      <c r="V1037" s="26">
        <f>U1037-L1037</f>
        <v/>
      </c>
    </row>
    <row r="1038">
      <c r="A1038" s="11" t="n">
        <v>46214</v>
      </c>
      <c r="B1038" s="1" t="n">
        <v>20048</v>
      </c>
      <c r="C1038" s="1" t="inlineStr">
        <is>
          <t>013</t>
        </is>
      </c>
      <c r="D1038" s="1" t="inlineStr">
        <is>
          <t>224775</t>
        </is>
      </c>
      <c r="E1038" s="1" t="inlineStr">
        <is>
          <t xml:space="preserve">28194770       </t>
        </is>
      </c>
      <c r="F1038" s="5" t="inlineStr">
        <is>
          <t>AUTOS DE METAL 3 TEAMSTERZ EN BLISTER</t>
        </is>
      </c>
      <c r="G1038" t="n">
        <v>1</v>
      </c>
      <c r="H1038" s="7" t="n">
        <v>6.9</v>
      </c>
      <c r="I1038" s="7" t="n">
        <v>0</v>
      </c>
      <c r="J1038" s="7" t="n">
        <v>0</v>
      </c>
      <c r="K1038" s="9" t="n">
        <v>0</v>
      </c>
      <c r="L1038" s="10" t="n">
        <v>4.1</v>
      </c>
      <c r="M1038" s="10" t="n">
        <v>1.43</v>
      </c>
      <c r="N1038" t="inlineStr">
        <is>
          <t>1</t>
        </is>
      </c>
      <c r="O1038" t="inlineStr">
        <is>
          <t>16</t>
        </is>
      </c>
      <c r="P1038" t="inlineStr">
        <is>
          <t xml:space="preserve">80955   </t>
        </is>
      </c>
      <c r="Q1038" s="26" t="n">
        <v>4.09</v>
      </c>
      <c r="R1038" s="26">
        <f>Q1038*G1038</f>
        <v/>
      </c>
      <c r="S1038" s="26">
        <f>IFERROR(VLOOKUP(E1038*1,Tabla[#All],8,0),0)</f>
        <v/>
      </c>
      <c r="T1038" s="26">
        <f>S1038*G1038</f>
        <v/>
      </c>
      <c r="U1038" s="26">
        <f>R1038-T1038</f>
        <v/>
      </c>
      <c r="V1038" s="26">
        <f>U1038-L1038</f>
        <v/>
      </c>
    </row>
    <row r="1039">
      <c r="A1039" s="11" t="n">
        <v>46214</v>
      </c>
      <c r="B1039" s="1" t="n">
        <v>20048</v>
      </c>
      <c r="C1039" s="1" t="inlineStr">
        <is>
          <t>013</t>
        </is>
      </c>
      <c r="D1039" s="1" t="inlineStr">
        <is>
          <t>224906</t>
        </is>
      </c>
      <c r="E1039" s="1" t="inlineStr">
        <is>
          <t xml:space="preserve">30141766       </t>
        </is>
      </c>
      <c r="F1039" s="5" t="inlineStr">
        <is>
          <t>TMZ BEAST MACHINES AUTOS DE METAL BLISTER X 1</t>
        </is>
      </c>
      <c r="G1039" t="n">
        <v>1</v>
      </c>
      <c r="H1039" s="7" t="n">
        <v>7.9</v>
      </c>
      <c r="I1039" s="7" t="n">
        <v>0</v>
      </c>
      <c r="J1039" s="7" t="n">
        <v>0</v>
      </c>
      <c r="K1039" s="9" t="n">
        <v>0</v>
      </c>
      <c r="L1039" s="10" t="n">
        <v>4.68</v>
      </c>
      <c r="M1039" s="10" t="n">
        <v>1.43</v>
      </c>
      <c r="N1039" t="inlineStr">
        <is>
          <t>1</t>
        </is>
      </c>
      <c r="O1039" t="inlineStr">
        <is>
          <t>16</t>
        </is>
      </c>
      <c r="P1039" t="inlineStr">
        <is>
          <t xml:space="preserve">80084   </t>
        </is>
      </c>
      <c r="Q1039" s="26" t="n">
        <v>4.69</v>
      </c>
      <c r="R1039" s="26">
        <f>Q1039*G1039</f>
        <v/>
      </c>
      <c r="S1039" s="26">
        <f>IFERROR(VLOOKUP(E1039*1,Tabla[#All],8,0),0)</f>
        <v/>
      </c>
      <c r="T1039" s="26">
        <f>S1039*G1039</f>
        <v/>
      </c>
      <c r="U1039" s="26">
        <f>R1039-T1039</f>
        <v/>
      </c>
      <c r="V1039" s="26">
        <f>U1039-L1039</f>
        <v/>
      </c>
    </row>
    <row r="1040">
      <c r="A1040" s="11" t="n">
        <v>46214</v>
      </c>
      <c r="B1040" s="1" t="n">
        <v>20048</v>
      </c>
      <c r="C1040" s="1" t="inlineStr">
        <is>
          <t>013</t>
        </is>
      </c>
      <c r="D1040" s="1" t="inlineStr">
        <is>
          <t>224906</t>
        </is>
      </c>
      <c r="E1040" s="1" t="inlineStr">
        <is>
          <t xml:space="preserve">30141766       </t>
        </is>
      </c>
      <c r="F1040" s="5" t="inlineStr">
        <is>
          <t>TMZ BEAST MACHINES AUTOS DE METAL BLISTER X 1</t>
        </is>
      </c>
      <c r="G1040" t="n">
        <v>1</v>
      </c>
      <c r="H1040" s="7" t="n">
        <v>7.9</v>
      </c>
      <c r="I1040" s="7" t="n">
        <v>0</v>
      </c>
      <c r="J1040" s="7" t="n">
        <v>0</v>
      </c>
      <c r="K1040" s="9" t="n">
        <v>0</v>
      </c>
      <c r="L1040" s="10" t="n">
        <v>4.68</v>
      </c>
      <c r="M1040" s="10" t="n">
        <v>1.43</v>
      </c>
      <c r="N1040" t="inlineStr">
        <is>
          <t>1</t>
        </is>
      </c>
      <c r="O1040" t="inlineStr">
        <is>
          <t>16</t>
        </is>
      </c>
      <c r="P1040" t="inlineStr">
        <is>
          <t xml:space="preserve">80084   </t>
        </is>
      </c>
      <c r="Q1040" s="26" t="n">
        <v>4.69</v>
      </c>
      <c r="R1040" s="26">
        <f>Q1040*G1040</f>
        <v/>
      </c>
      <c r="S1040" s="26">
        <f>IFERROR(VLOOKUP(E1040*1,Tabla[#All],8,0),0)</f>
        <v/>
      </c>
      <c r="T1040" s="26">
        <f>S1040*G1040</f>
        <v/>
      </c>
      <c r="U1040" s="26">
        <f>R1040-T1040</f>
        <v/>
      </c>
      <c r="V1040" s="26">
        <f>U1040-L1040</f>
        <v/>
      </c>
    </row>
    <row r="1041">
      <c r="A1041" s="11" t="n">
        <v>46214</v>
      </c>
      <c r="B1041" s="1" t="n">
        <v>20048</v>
      </c>
      <c r="C1041" s="1" t="inlineStr">
        <is>
          <t>017</t>
        </is>
      </c>
      <c r="D1041" s="1" t="inlineStr">
        <is>
          <t>166538</t>
        </is>
      </c>
      <c r="E1041" s="1" t="inlineStr">
        <is>
          <t xml:space="preserve">28194768       </t>
        </is>
      </c>
      <c r="F1041" s="5" t="inlineStr">
        <is>
          <t>AUTO COLOR CHANGE TEAMSTERZ SURTIDO</t>
        </is>
      </c>
      <c r="G1041" t="n">
        <v>1</v>
      </c>
      <c r="H1041" s="7" t="n">
        <v>14.9</v>
      </c>
      <c r="I1041" s="7" t="n">
        <v>0</v>
      </c>
      <c r="J1041" s="7" t="n">
        <v>0</v>
      </c>
      <c r="K1041" s="9" t="n">
        <v>0</v>
      </c>
      <c r="L1041" s="10" t="n">
        <v>8.84</v>
      </c>
      <c r="M1041" s="10" t="n">
        <v>1.43</v>
      </c>
      <c r="N1041" t="inlineStr">
        <is>
          <t>1</t>
        </is>
      </c>
      <c r="O1041" t="inlineStr">
        <is>
          <t>16</t>
        </is>
      </c>
      <c r="P1041" t="inlineStr">
        <is>
          <t xml:space="preserve">80084   </t>
        </is>
      </c>
      <c r="Q1041" s="26" t="n">
        <v>8.84</v>
      </c>
      <c r="R1041" s="26">
        <f>Q1041*G1041</f>
        <v/>
      </c>
      <c r="S1041" s="26">
        <f>IFERROR(VLOOKUP(E1041*1,Tabla[#All],8,0),0)</f>
        <v/>
      </c>
      <c r="T1041" s="26">
        <f>S1041*G1041</f>
        <v/>
      </c>
      <c r="U1041" s="26">
        <f>R1041-T1041</f>
        <v/>
      </c>
      <c r="V1041" s="26">
        <f>U1041-L1041</f>
        <v/>
      </c>
    </row>
    <row r="1042">
      <c r="A1042" s="11" t="n">
        <v>46214</v>
      </c>
      <c r="B1042" s="1" t="n">
        <v>20048</v>
      </c>
      <c r="C1042" s="1" t="inlineStr">
        <is>
          <t>017</t>
        </is>
      </c>
      <c r="D1042" s="1" t="inlineStr">
        <is>
          <t>166538</t>
        </is>
      </c>
      <c r="E1042" s="1" t="inlineStr">
        <is>
          <t xml:space="preserve">28194768       </t>
        </is>
      </c>
      <c r="F1042" s="5" t="inlineStr">
        <is>
          <t>AUTO COLOR CHANGE TEAMSTERZ SURTIDO</t>
        </is>
      </c>
      <c r="G1042" t="n">
        <v>1</v>
      </c>
      <c r="H1042" s="7" t="n">
        <v>14.9</v>
      </c>
      <c r="I1042" s="7" t="n">
        <v>0</v>
      </c>
      <c r="J1042" s="7" t="n">
        <v>0</v>
      </c>
      <c r="K1042" s="9" t="n">
        <v>0</v>
      </c>
      <c r="L1042" s="10" t="n">
        <v>8.84</v>
      </c>
      <c r="M1042" s="10" t="n">
        <v>1.43</v>
      </c>
      <c r="N1042" t="inlineStr">
        <is>
          <t>1</t>
        </is>
      </c>
      <c r="O1042" t="inlineStr">
        <is>
          <t>16</t>
        </is>
      </c>
      <c r="P1042" t="inlineStr">
        <is>
          <t xml:space="preserve">80084   </t>
        </is>
      </c>
      <c r="Q1042" s="26" t="n">
        <v>8.84</v>
      </c>
      <c r="R1042" s="26">
        <f>Q1042*G1042</f>
        <v/>
      </c>
      <c r="S1042" s="26">
        <f>IFERROR(VLOOKUP(E1042*1,Tabla[#All],8,0),0)</f>
        <v/>
      </c>
      <c r="T1042" s="26">
        <f>S1042*G1042</f>
        <v/>
      </c>
      <c r="U1042" s="26">
        <f>R1042-T1042</f>
        <v/>
      </c>
      <c r="V1042" s="26">
        <f>U1042-L1042</f>
        <v/>
      </c>
    </row>
    <row r="1043">
      <c r="A1043" s="11" t="n">
        <v>46214</v>
      </c>
      <c r="B1043" s="1" t="n">
        <v>20048</v>
      </c>
      <c r="C1043" s="1" t="inlineStr">
        <is>
          <t>018</t>
        </is>
      </c>
      <c r="D1043" s="1" t="inlineStr">
        <is>
          <t xml:space="preserve">46471 </t>
        </is>
      </c>
      <c r="E1043" s="1" t="inlineStr">
        <is>
          <t xml:space="preserve">28194770       </t>
        </is>
      </c>
      <c r="F1043" s="5" t="inlineStr">
        <is>
          <t>AUTOS DE METAL 3 TEAMSTERZ EN BLISTER</t>
        </is>
      </c>
      <c r="G1043" t="n">
        <v>1</v>
      </c>
      <c r="H1043" s="7" t="n">
        <v>6.9</v>
      </c>
      <c r="I1043" s="7" t="n">
        <v>0</v>
      </c>
      <c r="J1043" s="7" t="n">
        <v>0</v>
      </c>
      <c r="K1043" s="9" t="n">
        <v>0</v>
      </c>
      <c r="L1043" s="10" t="n">
        <v>4.1</v>
      </c>
      <c r="M1043" s="10" t="n">
        <v>1.43</v>
      </c>
      <c r="N1043" t="inlineStr">
        <is>
          <t>1</t>
        </is>
      </c>
      <c r="O1043" t="inlineStr">
        <is>
          <t>16</t>
        </is>
      </c>
      <c r="P1043" t="inlineStr">
        <is>
          <t xml:space="preserve">80084   </t>
        </is>
      </c>
      <c r="Q1043" s="26" t="n">
        <v>4.09</v>
      </c>
      <c r="R1043" s="26">
        <f>Q1043*G1043</f>
        <v/>
      </c>
      <c r="S1043" s="26">
        <f>IFERROR(VLOOKUP(E1043*1,Tabla[#All],8,0),0)</f>
        <v/>
      </c>
      <c r="T1043" s="26">
        <f>S1043*G1043</f>
        <v/>
      </c>
      <c r="U1043" s="26">
        <f>R1043-T1043</f>
        <v/>
      </c>
      <c r="V1043" s="26">
        <f>U1043-L1043</f>
        <v/>
      </c>
    </row>
    <row r="1044">
      <c r="A1044" s="11" t="n">
        <v>46214</v>
      </c>
      <c r="B1044" s="1" t="n">
        <v>20048</v>
      </c>
      <c r="C1044" s="1" t="inlineStr">
        <is>
          <t>018</t>
        </is>
      </c>
      <c r="D1044" s="1" t="inlineStr">
        <is>
          <t xml:space="preserve">46532 </t>
        </is>
      </c>
      <c r="E1044" s="1" t="inlineStr">
        <is>
          <t xml:space="preserve">34840552       </t>
        </is>
      </c>
      <c r="F1044" s="5" t="inlineStr">
        <is>
          <t>TMZ HELI POLICIA CON LUCES Y SONIDOS</t>
        </is>
      </c>
      <c r="G1044" t="n">
        <v>1</v>
      </c>
      <c r="H1044" s="7" t="n">
        <v>79.90000000000001</v>
      </c>
      <c r="I1044" s="7" t="n">
        <v>7.99</v>
      </c>
      <c r="J1044" s="7" t="n">
        <v>0</v>
      </c>
      <c r="K1044" s="9" t="n">
        <v>7.99</v>
      </c>
      <c r="L1044" s="10" t="n">
        <v>42.66</v>
      </c>
      <c r="M1044" s="10" t="n">
        <v>1.43</v>
      </c>
      <c r="N1044" t="inlineStr">
        <is>
          <t>1</t>
        </is>
      </c>
      <c r="O1044" t="inlineStr">
        <is>
          <t xml:space="preserve">3 </t>
        </is>
      </c>
      <c r="P1044" t="inlineStr">
        <is>
          <t xml:space="preserve">85763   </t>
        </is>
      </c>
      <c r="Q1044" s="26" t="n">
        <v>47.4</v>
      </c>
      <c r="R1044" s="26">
        <f>Q1044*G1044</f>
        <v/>
      </c>
      <c r="S1044" s="26">
        <f>IFERROR(VLOOKUP(E1044*1,Tabla[#All],8,0),0)</f>
        <v/>
      </c>
      <c r="T1044" s="26">
        <f>S1044*G1044</f>
        <v/>
      </c>
      <c r="U1044" s="26">
        <f>R1044-T1044</f>
        <v/>
      </c>
      <c r="V1044" s="26">
        <f>U1044-L1044</f>
        <v/>
      </c>
    </row>
    <row r="1045">
      <c r="A1045" s="11" t="n">
        <v>46214</v>
      </c>
      <c r="B1045" s="1" t="n">
        <v>20049</v>
      </c>
      <c r="C1045" s="1" t="inlineStr">
        <is>
          <t>025</t>
        </is>
      </c>
      <c r="D1045" s="1" t="inlineStr">
        <is>
          <t xml:space="preserve">33426 </t>
        </is>
      </c>
      <c r="E1045" s="1" t="inlineStr">
        <is>
          <t xml:space="preserve">32457111       </t>
        </is>
      </c>
      <c r="F1045" s="5" t="inlineStr">
        <is>
          <t>TMZ BEAST MACHINES MONSTER JAWS A FRICCION PACK DE</t>
        </is>
      </c>
      <c r="G1045" t="n">
        <v>1</v>
      </c>
      <c r="H1045" s="7" t="n">
        <v>74.90000000000001</v>
      </c>
      <c r="I1045" s="7" t="n">
        <v>0</v>
      </c>
      <c r="J1045" s="7" t="n">
        <v>0</v>
      </c>
      <c r="K1045" s="9" t="n">
        <v>0</v>
      </c>
      <c r="L1045" s="10" t="n">
        <v>44.43</v>
      </c>
      <c r="M1045" s="10" t="n">
        <v>1.43</v>
      </c>
      <c r="N1045" t="inlineStr">
        <is>
          <t>1</t>
        </is>
      </c>
      <c r="O1045" t="inlineStr">
        <is>
          <t xml:space="preserve">2 </t>
        </is>
      </c>
      <c r="P1045" t="inlineStr">
        <is>
          <t xml:space="preserve">234411  </t>
        </is>
      </c>
      <c r="Q1045" s="26" t="n">
        <v>44.43</v>
      </c>
      <c r="R1045" s="26">
        <f>Q1045*G1045</f>
        <v/>
      </c>
      <c r="S1045" s="26">
        <f>IFERROR(VLOOKUP(E1045*1,Tabla[#All],8,0),0)</f>
        <v/>
      </c>
      <c r="T1045" s="26">
        <f>S1045*G1045</f>
        <v/>
      </c>
      <c r="U1045" s="26">
        <f>R1045-T1045</f>
        <v/>
      </c>
      <c r="V1045" s="26">
        <f>U1045-L1045</f>
        <v/>
      </c>
    </row>
    <row r="1046">
      <c r="A1046" s="11" t="n">
        <v>46214</v>
      </c>
      <c r="B1046" s="1" t="n">
        <v>20049</v>
      </c>
      <c r="C1046" s="1" t="inlineStr">
        <is>
          <t>025</t>
        </is>
      </c>
      <c r="D1046" s="1" t="inlineStr">
        <is>
          <t xml:space="preserve">33439 </t>
        </is>
      </c>
      <c r="E1046" s="1" t="inlineStr">
        <is>
          <t xml:space="preserve">28194770       </t>
        </is>
      </c>
      <c r="F1046" s="5" t="inlineStr">
        <is>
          <t>AUTOS DE METAL 3 TEAMSTERZ EN BLISTER</t>
        </is>
      </c>
      <c r="G1046" t="n">
        <v>1</v>
      </c>
      <c r="H1046" s="7" t="n">
        <v>6.9</v>
      </c>
      <c r="I1046" s="7" t="n">
        <v>0</v>
      </c>
      <c r="J1046" s="7" t="n">
        <v>0</v>
      </c>
      <c r="K1046" s="9" t="n">
        <v>0</v>
      </c>
      <c r="L1046" s="10" t="n">
        <v>4.1</v>
      </c>
      <c r="M1046" s="10" t="n">
        <v>1.43</v>
      </c>
      <c r="N1046" t="inlineStr">
        <is>
          <t>1</t>
        </is>
      </c>
      <c r="O1046" t="inlineStr">
        <is>
          <t>16</t>
        </is>
      </c>
      <c r="P1046" t="inlineStr">
        <is>
          <t xml:space="preserve">234411  </t>
        </is>
      </c>
      <c r="Q1046" s="26" t="n">
        <v>4.09</v>
      </c>
      <c r="R1046" s="26">
        <f>Q1046*G1046</f>
        <v/>
      </c>
      <c r="S1046" s="26">
        <f>IFERROR(VLOOKUP(E1046*1,Tabla[#All],8,0),0)</f>
        <v/>
      </c>
      <c r="T1046" s="26">
        <f>S1046*G1046</f>
        <v/>
      </c>
      <c r="U1046" s="26">
        <f>R1046-T1046</f>
        <v/>
      </c>
      <c r="V1046" s="26">
        <f>U1046-L1046</f>
        <v/>
      </c>
    </row>
    <row r="1047">
      <c r="A1047" s="11" t="n">
        <v>46214</v>
      </c>
      <c r="B1047" s="1" t="n">
        <v>20049</v>
      </c>
      <c r="C1047" s="1" t="inlineStr">
        <is>
          <t>031</t>
        </is>
      </c>
      <c r="D1047" s="1" t="inlineStr">
        <is>
          <t>120976</t>
        </is>
      </c>
      <c r="E1047" s="1" t="inlineStr">
        <is>
          <t xml:space="preserve">29235702       </t>
        </is>
      </c>
      <c r="F1047" s="5" t="inlineStr">
        <is>
          <t>INFINITY NADO TROMPO DE BATALLA - METAL C/ ANILLO</t>
        </is>
      </c>
      <c r="G1047" t="n">
        <v>1</v>
      </c>
      <c r="H1047" s="7" t="n">
        <v>69.90000000000001</v>
      </c>
      <c r="I1047" s="7" t="n">
        <v>6.99</v>
      </c>
      <c r="J1047" s="7" t="n">
        <v>0</v>
      </c>
      <c r="K1047" s="9" t="n">
        <v>6.99</v>
      </c>
      <c r="L1047" s="10" t="n">
        <v>37.32</v>
      </c>
      <c r="M1047" s="10" t="n">
        <v>1.43</v>
      </c>
      <c r="N1047" t="inlineStr">
        <is>
          <t>1</t>
        </is>
      </c>
      <c r="O1047" t="inlineStr">
        <is>
          <t xml:space="preserve">3 </t>
        </is>
      </c>
      <c r="P1047" t="inlineStr">
        <is>
          <t xml:space="preserve">248534  </t>
        </is>
      </c>
      <c r="Q1047" s="26" t="n">
        <v>41.47</v>
      </c>
      <c r="R1047" s="26">
        <f>Q1047*G1047</f>
        <v/>
      </c>
      <c r="S1047" s="26">
        <f>IFERROR(VLOOKUP(E1047*1,Tabla[#All],8,0),0)</f>
        <v/>
      </c>
      <c r="T1047" s="26">
        <f>S1047*G1047</f>
        <v/>
      </c>
      <c r="U1047" s="26">
        <f>R1047-T1047</f>
        <v/>
      </c>
      <c r="V1047" s="26">
        <f>U1047-L1047</f>
        <v/>
      </c>
    </row>
    <row r="1048">
      <c r="A1048" s="11" t="n">
        <v>46214</v>
      </c>
      <c r="B1048" s="1" t="n">
        <v>20049</v>
      </c>
      <c r="C1048" s="1" t="inlineStr">
        <is>
          <t>031</t>
        </is>
      </c>
      <c r="D1048" s="1" t="inlineStr">
        <is>
          <t>120991</t>
        </is>
      </c>
      <c r="E1048" s="1" t="inlineStr">
        <is>
          <t xml:space="preserve">28194783       </t>
        </is>
      </c>
      <c r="F1048" s="5" t="inlineStr">
        <is>
          <t>SET DE BATALLA INFINITY NADO CON 2 TROMPOS</t>
        </is>
      </c>
      <c r="G1048" t="n">
        <v>1</v>
      </c>
      <c r="H1048" s="7" t="n">
        <v>159</v>
      </c>
      <c r="I1048" s="7" t="n">
        <v>0</v>
      </c>
      <c r="J1048" s="7" t="n">
        <v>0</v>
      </c>
      <c r="K1048" s="9" t="n">
        <v>0</v>
      </c>
      <c r="L1048" s="10" t="n">
        <v>94.33</v>
      </c>
      <c r="M1048" s="10" t="n">
        <v>1.43</v>
      </c>
      <c r="N1048" t="inlineStr">
        <is>
          <t>1</t>
        </is>
      </c>
      <c r="O1048" t="inlineStr">
        <is>
          <t xml:space="preserve">2 </t>
        </is>
      </c>
      <c r="P1048" t="inlineStr">
        <is>
          <t xml:space="preserve">248534  </t>
        </is>
      </c>
      <c r="Q1048" s="26" t="n">
        <v>94.31999999999999</v>
      </c>
      <c r="R1048" s="26">
        <f>Q1048*G1048</f>
        <v/>
      </c>
      <c r="S1048" s="26">
        <f>IFERROR(VLOOKUP(E1048*1,Tabla[#All],8,0),0)</f>
        <v/>
      </c>
      <c r="T1048" s="26">
        <f>S1048*G1048</f>
        <v/>
      </c>
      <c r="U1048" s="26">
        <f>R1048-T1048</f>
        <v/>
      </c>
      <c r="V1048" s="26">
        <f>U1048-L1048</f>
        <v/>
      </c>
    </row>
    <row r="1049">
      <c r="A1049" s="11" t="n">
        <v>46214</v>
      </c>
      <c r="B1049" s="1" t="n">
        <v>20049</v>
      </c>
      <c r="C1049" s="1" t="inlineStr">
        <is>
          <t>031</t>
        </is>
      </c>
      <c r="D1049" s="1" t="inlineStr">
        <is>
          <t>120991</t>
        </is>
      </c>
      <c r="E1049" s="1" t="inlineStr">
        <is>
          <t xml:space="preserve">31754675       </t>
        </is>
      </c>
      <c r="F1049" s="5" t="inlineStr">
        <is>
          <t>INFINITY NADO SERIE 6 STARTER PACK - 4 MODELOS</t>
        </is>
      </c>
      <c r="G1049" t="n">
        <v>1</v>
      </c>
      <c r="H1049" s="7" t="n">
        <v>69.90000000000001</v>
      </c>
      <c r="I1049" s="7" t="n">
        <v>0</v>
      </c>
      <c r="J1049" s="7" t="n">
        <v>0</v>
      </c>
      <c r="K1049" s="9" t="n">
        <v>0</v>
      </c>
      <c r="L1049" s="10" t="n">
        <v>41.47</v>
      </c>
      <c r="M1049" s="10" t="n">
        <v>1.43</v>
      </c>
      <c r="N1049" t="inlineStr">
        <is>
          <t>1</t>
        </is>
      </c>
      <c r="O1049" t="inlineStr">
        <is>
          <t xml:space="preserve">2 </t>
        </is>
      </c>
      <c r="P1049" t="inlineStr">
        <is>
          <t xml:space="preserve">248534  </t>
        </is>
      </c>
      <c r="Q1049" s="26" t="n">
        <v>41.47</v>
      </c>
      <c r="R1049" s="26">
        <f>Q1049*G1049</f>
        <v/>
      </c>
      <c r="S1049" s="26">
        <f>IFERROR(VLOOKUP(E1049*1,Tabla[#All],8,0),0)</f>
        <v/>
      </c>
      <c r="T1049" s="26">
        <f>S1049*G1049</f>
        <v/>
      </c>
      <c r="U1049" s="26">
        <f>R1049-T1049</f>
        <v/>
      </c>
      <c r="V1049" s="26">
        <f>U1049-L1049</f>
        <v/>
      </c>
    </row>
    <row r="1050">
      <c r="A1050" s="11" t="n">
        <v>46214</v>
      </c>
      <c r="B1050" s="1" t="n">
        <v>20056</v>
      </c>
      <c r="C1050" s="1" t="inlineStr">
        <is>
          <t>014</t>
        </is>
      </c>
      <c r="D1050" s="1" t="inlineStr">
        <is>
          <t xml:space="preserve">8461  </t>
        </is>
      </c>
      <c r="E1050" s="1" t="inlineStr">
        <is>
          <t xml:space="preserve">32656416       </t>
        </is>
      </c>
      <c r="F1050" s="5" t="inlineStr">
        <is>
          <t>EL PISO ES LAVA</t>
        </is>
      </c>
      <c r="G1050" t="n">
        <v>1</v>
      </c>
      <c r="H1050" s="7" t="n">
        <v>79.90000000000001</v>
      </c>
      <c r="I1050" s="7" t="n">
        <v>7.99</v>
      </c>
      <c r="J1050" s="7" t="n">
        <v>0</v>
      </c>
      <c r="K1050" s="9" t="n">
        <v>7.99</v>
      </c>
      <c r="L1050" s="10" t="n">
        <v>42.66</v>
      </c>
      <c r="M1050" s="10" t="n">
        <v>1.43</v>
      </c>
      <c r="N1050" t="inlineStr">
        <is>
          <t>1</t>
        </is>
      </c>
      <c r="O1050" t="inlineStr">
        <is>
          <t xml:space="preserve">3 </t>
        </is>
      </c>
      <c r="P1050" t="inlineStr">
        <is>
          <t xml:space="preserve">246530  </t>
        </is>
      </c>
      <c r="Q1050" s="26" t="n">
        <v>47.4</v>
      </c>
      <c r="R1050" s="26">
        <f>Q1050*G1050</f>
        <v/>
      </c>
      <c r="S1050" s="26">
        <f>IFERROR(VLOOKUP(E1050*1,Tabla[#All],8,0),0)</f>
        <v/>
      </c>
      <c r="T1050" s="26">
        <f>S1050*G1050</f>
        <v/>
      </c>
      <c r="U1050" s="26">
        <f>R1050-T1050</f>
        <v/>
      </c>
      <c r="V1050" s="26">
        <f>U1050-L1050</f>
        <v/>
      </c>
    </row>
    <row r="1051">
      <c r="A1051" s="11" t="n">
        <v>46214</v>
      </c>
      <c r="B1051" s="1" t="n">
        <v>20056</v>
      </c>
      <c r="C1051" s="1" t="inlineStr">
        <is>
          <t>022</t>
        </is>
      </c>
      <c r="D1051" s="1" t="inlineStr">
        <is>
          <t xml:space="preserve">54860 </t>
        </is>
      </c>
      <c r="E1051" s="1" t="inlineStr">
        <is>
          <t xml:space="preserve">32457105       </t>
        </is>
      </c>
      <c r="F1051" s="5" t="inlineStr">
        <is>
          <t>TMZ BEAST MACHINES MONSTER JAWS ATAQUE ESCORPION +</t>
        </is>
      </c>
      <c r="G1051" t="n">
        <v>1</v>
      </c>
      <c r="H1051" s="7" t="n">
        <v>69.90000000000001</v>
      </c>
      <c r="I1051" s="7" t="n">
        <v>0</v>
      </c>
      <c r="J1051" s="7" t="n">
        <v>0</v>
      </c>
      <c r="K1051" s="9" t="n">
        <v>0</v>
      </c>
      <c r="L1051" s="10" t="n">
        <v>41.47</v>
      </c>
      <c r="M1051" s="10" t="n">
        <v>1.43</v>
      </c>
      <c r="N1051" t="inlineStr">
        <is>
          <t>1</t>
        </is>
      </c>
      <c r="O1051" t="inlineStr">
        <is>
          <t>16</t>
        </is>
      </c>
      <c r="P1051" t="inlineStr">
        <is>
          <t xml:space="preserve">248464  </t>
        </is>
      </c>
      <c r="Q1051" s="26" t="n">
        <v>41.47</v>
      </c>
      <c r="R1051" s="26">
        <f>Q1051*G1051</f>
        <v/>
      </c>
      <c r="S1051" s="26">
        <f>IFERROR(VLOOKUP(E1051*1,Tabla[#All],8,0),0)</f>
        <v/>
      </c>
      <c r="T1051" s="26">
        <f>S1051*G1051</f>
        <v/>
      </c>
      <c r="U1051" s="26">
        <f>R1051-T1051</f>
        <v/>
      </c>
      <c r="V1051" s="26">
        <f>U1051-L1051</f>
        <v/>
      </c>
    </row>
    <row r="1052">
      <c r="A1052" s="11" t="n">
        <v>46214</v>
      </c>
      <c r="B1052" s="1" t="n">
        <v>20057</v>
      </c>
      <c r="C1052" s="1" t="inlineStr">
        <is>
          <t>030</t>
        </is>
      </c>
      <c r="D1052" s="1" t="inlineStr">
        <is>
          <t xml:space="preserve">12670 </t>
        </is>
      </c>
      <c r="E1052" s="1" t="inlineStr">
        <is>
          <t xml:space="preserve">28194781       </t>
        </is>
      </c>
      <c r="F1052" s="5" t="inlineStr">
        <is>
          <t>TROMPO BATALLA INFINITY NADO SERIE V CLASICA SURTI</t>
        </is>
      </c>
      <c r="G1052" t="n">
        <v>1</v>
      </c>
      <c r="H1052" s="7" t="n">
        <v>59.9</v>
      </c>
      <c r="I1052" s="7" t="n">
        <v>0</v>
      </c>
      <c r="J1052" s="7" t="n">
        <v>0</v>
      </c>
      <c r="K1052" s="9" t="n">
        <v>0</v>
      </c>
      <c r="L1052" s="10" t="n">
        <v>35.53</v>
      </c>
      <c r="M1052" s="10" t="n">
        <v>1.43</v>
      </c>
      <c r="N1052" t="inlineStr">
        <is>
          <t>1</t>
        </is>
      </c>
      <c r="O1052" t="inlineStr">
        <is>
          <t xml:space="preserve">2 </t>
        </is>
      </c>
      <c r="P1052" t="inlineStr">
        <is>
          <t xml:space="preserve">98856   </t>
        </is>
      </c>
      <c r="Q1052" s="26" t="n">
        <v>35.53</v>
      </c>
      <c r="R1052" s="26">
        <f>Q1052*G1052</f>
        <v/>
      </c>
      <c r="S1052" s="26">
        <f>IFERROR(VLOOKUP(E1052*1,Tabla[#All],8,0),0)</f>
        <v/>
      </c>
      <c r="T1052" s="26">
        <f>S1052*G1052</f>
        <v/>
      </c>
      <c r="U1052" s="26">
        <f>R1052-T1052</f>
        <v/>
      </c>
      <c r="V1052" s="26">
        <f>U1052-L1052</f>
        <v/>
      </c>
    </row>
    <row r="1053">
      <c r="A1053" s="11" t="n">
        <v>46214</v>
      </c>
      <c r="B1053" s="1" t="n">
        <v>20057</v>
      </c>
      <c r="C1053" s="1" t="inlineStr">
        <is>
          <t>032</t>
        </is>
      </c>
      <c r="D1053" s="1" t="inlineStr">
        <is>
          <t xml:space="preserve">2003  </t>
        </is>
      </c>
      <c r="E1053" s="1" t="inlineStr">
        <is>
          <t xml:space="preserve">30141768       </t>
        </is>
      </c>
      <c r="F1053" s="5" t="inlineStr">
        <is>
          <t>TMZ BEAST MACHINES AUTOS DE METAL PACK 10 AUTOS</t>
        </is>
      </c>
      <c r="G1053" t="n">
        <v>1</v>
      </c>
      <c r="H1053" s="7" t="n">
        <v>79</v>
      </c>
      <c r="I1053" s="7" t="n">
        <v>0</v>
      </c>
      <c r="J1053" s="7" t="n">
        <v>0</v>
      </c>
      <c r="K1053" s="9" t="n">
        <v>0</v>
      </c>
      <c r="L1053" s="10" t="n">
        <v>46.87</v>
      </c>
      <c r="M1053" s="10" t="n">
        <v>1.43</v>
      </c>
      <c r="N1053" t="inlineStr">
        <is>
          <t>1</t>
        </is>
      </c>
      <c r="O1053" t="inlineStr">
        <is>
          <t>16</t>
        </is>
      </c>
      <c r="P1053" t="inlineStr">
        <is>
          <t xml:space="preserve">250522  </t>
        </is>
      </c>
      <c r="Q1053" s="26" t="n">
        <v>46.86</v>
      </c>
      <c r="R1053" s="26">
        <f>Q1053*G1053</f>
        <v/>
      </c>
      <c r="S1053" s="26">
        <f>IFERROR(VLOOKUP(E1053*1,Tabla[#All],8,0),0)</f>
        <v/>
      </c>
      <c r="T1053" s="26">
        <f>S1053*G1053</f>
        <v/>
      </c>
      <c r="U1053" s="26">
        <f>R1053-T1053</f>
        <v/>
      </c>
      <c r="V1053" s="26">
        <f>U1053-L1053</f>
        <v/>
      </c>
    </row>
    <row r="1054">
      <c r="A1054" s="11" t="n">
        <v>46214</v>
      </c>
      <c r="B1054" s="1" t="n">
        <v>20057</v>
      </c>
      <c r="C1054" s="1" t="inlineStr">
        <is>
          <t>032</t>
        </is>
      </c>
      <c r="D1054" s="1" t="inlineStr">
        <is>
          <t xml:space="preserve">74450 </t>
        </is>
      </c>
      <c r="E1054" s="1" t="inlineStr">
        <is>
          <t xml:space="preserve">35685067       </t>
        </is>
      </c>
      <c r="F1054" s="5" t="inlineStr">
        <is>
          <t>HOT WHEELS POWER SET 3 EN 1</t>
        </is>
      </c>
      <c r="G1054" t="n">
        <v>1</v>
      </c>
      <c r="H1054" s="7" t="n">
        <v>49.9</v>
      </c>
      <c r="I1054" s="7" t="n">
        <v>4.99</v>
      </c>
      <c r="J1054" s="7" t="n">
        <v>0</v>
      </c>
      <c r="K1054" s="9" t="n">
        <v>4.99</v>
      </c>
      <c r="L1054" s="10" t="n">
        <v>26.64</v>
      </c>
      <c r="M1054" s="10" t="n">
        <v>1.43</v>
      </c>
      <c r="N1054" t="inlineStr">
        <is>
          <t>1</t>
        </is>
      </c>
      <c r="O1054" t="inlineStr">
        <is>
          <t xml:space="preserve">3 </t>
        </is>
      </c>
      <c r="P1054" t="inlineStr">
        <is>
          <t xml:space="preserve">250522  </t>
        </is>
      </c>
      <c r="Q1054" s="26" t="n">
        <v>29.6</v>
      </c>
      <c r="R1054" s="26">
        <f>Q1054*G1054</f>
        <v/>
      </c>
      <c r="S1054" s="26">
        <f>IFERROR(VLOOKUP(E1054*1,Tabla[#All],8,0),0)</f>
        <v/>
      </c>
      <c r="T1054" s="26">
        <f>S1054*G1054</f>
        <v/>
      </c>
      <c r="U1054" s="26">
        <f>R1054-T1054</f>
        <v/>
      </c>
      <c r="V1054" s="26">
        <f>U1054-L1054</f>
        <v/>
      </c>
    </row>
    <row r="1055">
      <c r="A1055" s="11" t="n">
        <v>46214</v>
      </c>
      <c r="B1055" s="1" t="n">
        <v>20057</v>
      </c>
      <c r="C1055" s="1" t="inlineStr">
        <is>
          <t>032</t>
        </is>
      </c>
      <c r="D1055" s="1" t="inlineStr">
        <is>
          <t xml:space="preserve">74497 </t>
        </is>
      </c>
      <c r="E1055" s="1" t="inlineStr">
        <is>
          <t xml:space="preserve">28194769       </t>
        </is>
      </c>
      <c r="F1055" s="5" t="inlineStr">
        <is>
          <t>AUTOS DE METAL 3 TEAMSTERZ PACK DE 2</t>
        </is>
      </c>
      <c r="G1055" t="n">
        <v>1</v>
      </c>
      <c r="H1055" s="7" t="n">
        <v>13.8</v>
      </c>
      <c r="I1055" s="7" t="n">
        <v>1.38</v>
      </c>
      <c r="J1055" s="7" t="n">
        <v>0</v>
      </c>
      <c r="K1055" s="9" t="n">
        <v>1.38</v>
      </c>
      <c r="L1055" s="10" t="n">
        <v>7.37</v>
      </c>
      <c r="M1055" s="10" t="n">
        <v>1.43</v>
      </c>
      <c r="N1055" t="inlineStr">
        <is>
          <t>1</t>
        </is>
      </c>
      <c r="O1055" t="inlineStr">
        <is>
          <t xml:space="preserve">3 </t>
        </is>
      </c>
      <c r="P1055" t="inlineStr">
        <is>
          <t xml:space="preserve">250522  </t>
        </is>
      </c>
      <c r="Q1055" s="26" t="n">
        <v>8.19</v>
      </c>
      <c r="R1055" s="26">
        <f>Q1055*G1055</f>
        <v/>
      </c>
      <c r="S1055" s="26">
        <f>IFERROR(VLOOKUP(E1055*1,Tabla[#All],8,0),0)</f>
        <v/>
      </c>
      <c r="T1055" s="26">
        <f>S1055*G1055</f>
        <v/>
      </c>
      <c r="U1055" s="26">
        <f>R1055-T1055</f>
        <v/>
      </c>
      <c r="V1055" s="26">
        <f>U1055-L1055</f>
        <v/>
      </c>
    </row>
    <row r="1056">
      <c r="A1056" s="11" t="n">
        <v>46214</v>
      </c>
      <c r="B1056" s="1" t="n">
        <v>20057</v>
      </c>
      <c r="C1056" s="1" t="inlineStr">
        <is>
          <t>033</t>
        </is>
      </c>
      <c r="D1056" s="1" t="inlineStr">
        <is>
          <t xml:space="preserve">66806 </t>
        </is>
      </c>
      <c r="E1056" s="1" t="inlineStr">
        <is>
          <t xml:space="preserve">28194770       </t>
        </is>
      </c>
      <c r="F1056" s="5" t="inlineStr">
        <is>
          <t>AUTOS DE METAL 3 TEAMSTERZ EN BLISTER</t>
        </is>
      </c>
      <c r="G1056" t="n">
        <v>1</v>
      </c>
      <c r="H1056" s="7" t="n">
        <v>6.9</v>
      </c>
      <c r="I1056" s="7" t="n">
        <v>0</v>
      </c>
      <c r="J1056" s="7" t="n">
        <v>0</v>
      </c>
      <c r="K1056" s="9" t="n">
        <v>0</v>
      </c>
      <c r="L1056" s="10" t="n">
        <v>4.1</v>
      </c>
      <c r="M1056" s="10" t="n">
        <v>1.43</v>
      </c>
      <c r="N1056" t="inlineStr">
        <is>
          <t>1</t>
        </is>
      </c>
      <c r="O1056" t="inlineStr">
        <is>
          <t>16</t>
        </is>
      </c>
      <c r="P1056" t="inlineStr">
        <is>
          <t xml:space="preserve">105593  </t>
        </is>
      </c>
      <c r="Q1056" s="26" t="n">
        <v>4.09</v>
      </c>
      <c r="R1056" s="26">
        <f>Q1056*G1056</f>
        <v/>
      </c>
      <c r="S1056" s="26">
        <f>IFERROR(VLOOKUP(E1056*1,Tabla[#All],8,0),0)</f>
        <v/>
      </c>
      <c r="T1056" s="26">
        <f>S1056*G1056</f>
        <v/>
      </c>
      <c r="U1056" s="26">
        <f>R1056-T1056</f>
        <v/>
      </c>
      <c r="V1056" s="26">
        <f>U1056-L1056</f>
        <v/>
      </c>
    </row>
    <row r="1057">
      <c r="A1057" s="11" t="n">
        <v>46214</v>
      </c>
      <c r="B1057" s="1" t="n">
        <v>20057</v>
      </c>
      <c r="C1057" s="1" t="inlineStr">
        <is>
          <t>033</t>
        </is>
      </c>
      <c r="D1057" s="1" t="inlineStr">
        <is>
          <t xml:space="preserve">66806 </t>
        </is>
      </c>
      <c r="E1057" s="1" t="inlineStr">
        <is>
          <t xml:space="preserve">28194770       </t>
        </is>
      </c>
      <c r="F1057" s="5" t="inlineStr">
        <is>
          <t>AUTOS DE METAL 3 TEAMSTERZ EN BLISTER</t>
        </is>
      </c>
      <c r="G1057" t="n">
        <v>1</v>
      </c>
      <c r="H1057" s="7" t="n">
        <v>6.9</v>
      </c>
      <c r="I1057" s="7" t="n">
        <v>0</v>
      </c>
      <c r="J1057" s="7" t="n">
        <v>0</v>
      </c>
      <c r="K1057" s="9" t="n">
        <v>0</v>
      </c>
      <c r="L1057" s="10" t="n">
        <v>4.1</v>
      </c>
      <c r="M1057" s="10" t="n">
        <v>1.43</v>
      </c>
      <c r="N1057" t="inlineStr">
        <is>
          <t>1</t>
        </is>
      </c>
      <c r="O1057" t="inlineStr">
        <is>
          <t>16</t>
        </is>
      </c>
      <c r="P1057" t="inlineStr">
        <is>
          <t xml:space="preserve">105593  </t>
        </is>
      </c>
      <c r="Q1057" s="26" t="n">
        <v>4.09</v>
      </c>
      <c r="R1057" s="26">
        <f>Q1057*G1057</f>
        <v/>
      </c>
      <c r="S1057" s="26">
        <f>IFERROR(VLOOKUP(E1057*1,Tabla[#All],8,0),0)</f>
        <v/>
      </c>
      <c r="T1057" s="26">
        <f>S1057*G1057</f>
        <v/>
      </c>
      <c r="U1057" s="26">
        <f>R1057-T1057</f>
        <v/>
      </c>
      <c r="V1057" s="26">
        <f>U1057-L1057</f>
        <v/>
      </c>
    </row>
    <row r="1058">
      <c r="A1058" s="11" t="n">
        <v>46214</v>
      </c>
      <c r="B1058" s="1" t="n">
        <v>20057</v>
      </c>
      <c r="C1058" s="1" t="inlineStr">
        <is>
          <t>033</t>
        </is>
      </c>
      <c r="D1058" s="1" t="inlineStr">
        <is>
          <t xml:space="preserve">66858 </t>
        </is>
      </c>
      <c r="E1058" s="1" t="inlineStr">
        <is>
          <t xml:space="preserve">28194770       </t>
        </is>
      </c>
      <c r="F1058" s="5" t="inlineStr">
        <is>
          <t>AUTOS DE METAL 3 TEAMSTERZ EN BLISTER</t>
        </is>
      </c>
      <c r="G1058" t="n">
        <v>1</v>
      </c>
      <c r="H1058" s="7" t="n">
        <v>6.9</v>
      </c>
      <c r="I1058" s="7" t="n">
        <v>0</v>
      </c>
      <c r="J1058" s="7" t="n">
        <v>0</v>
      </c>
      <c r="K1058" s="9" t="n">
        <v>0</v>
      </c>
      <c r="L1058" s="10" t="n">
        <v>4.1</v>
      </c>
      <c r="M1058" s="10" t="n">
        <v>1.43</v>
      </c>
      <c r="N1058" t="inlineStr">
        <is>
          <t>1</t>
        </is>
      </c>
      <c r="O1058" t="inlineStr">
        <is>
          <t xml:space="preserve">2 </t>
        </is>
      </c>
      <c r="P1058" t="inlineStr">
        <is>
          <t xml:space="preserve">105593  </t>
        </is>
      </c>
      <c r="Q1058" s="26" t="n">
        <v>4.09</v>
      </c>
      <c r="R1058" s="26">
        <f>Q1058*G1058</f>
        <v/>
      </c>
      <c r="S1058" s="26">
        <f>IFERROR(VLOOKUP(E1058*1,Tabla[#All],8,0),0)</f>
        <v/>
      </c>
      <c r="T1058" s="26">
        <f>S1058*G1058</f>
        <v/>
      </c>
      <c r="U1058" s="26">
        <f>R1058-T1058</f>
        <v/>
      </c>
      <c r="V1058" s="26">
        <f>U1058-L1058</f>
        <v/>
      </c>
    </row>
    <row r="1059">
      <c r="A1059" s="11" t="n">
        <v>46214</v>
      </c>
      <c r="B1059" s="1" t="n">
        <v>20058</v>
      </c>
      <c r="C1059" s="1" t="inlineStr">
        <is>
          <t>039</t>
        </is>
      </c>
      <c r="D1059" s="1" t="inlineStr">
        <is>
          <t>230170</t>
        </is>
      </c>
      <c r="E1059" s="1" t="inlineStr">
        <is>
          <t xml:space="preserve">28194780       </t>
        </is>
      </c>
      <c r="F1059" s="5" t="inlineStr">
        <is>
          <t>TROMPO BATALLA INFINITY NADO PLSTICO SURTIDO</t>
        </is>
      </c>
      <c r="G1059" t="n">
        <v>1</v>
      </c>
      <c r="H1059" s="7" t="n">
        <v>19.9</v>
      </c>
      <c r="I1059" s="7" t="n">
        <v>0</v>
      </c>
      <c r="J1059" s="7" t="n">
        <v>0</v>
      </c>
      <c r="K1059" s="9" t="n">
        <v>0</v>
      </c>
      <c r="L1059" s="10" t="n">
        <v>11.8</v>
      </c>
      <c r="M1059" s="10" t="n">
        <v>1.43</v>
      </c>
      <c r="N1059" t="inlineStr">
        <is>
          <t>1</t>
        </is>
      </c>
      <c r="O1059" t="inlineStr">
        <is>
          <t>16</t>
        </is>
      </c>
      <c r="P1059" t="inlineStr">
        <is>
          <t xml:space="preserve">246156  </t>
        </is>
      </c>
      <c r="Q1059" s="26" t="n">
        <v>11.81</v>
      </c>
      <c r="R1059" s="26">
        <f>Q1059*G1059</f>
        <v/>
      </c>
      <c r="S1059" s="26">
        <f>IFERROR(VLOOKUP(E1059*1,Tabla[#All],8,0),0)</f>
        <v/>
      </c>
      <c r="T1059" s="26">
        <f>S1059*G1059</f>
        <v/>
      </c>
      <c r="U1059" s="26">
        <f>R1059-T1059</f>
        <v/>
      </c>
      <c r="V1059" s="26">
        <f>U1059-L1059</f>
        <v/>
      </c>
    </row>
    <row r="1060">
      <c r="A1060" s="11" t="n">
        <v>46214</v>
      </c>
      <c r="B1060" s="1" t="n">
        <v>20058</v>
      </c>
      <c r="C1060" s="1" t="inlineStr">
        <is>
          <t>039</t>
        </is>
      </c>
      <c r="D1060" s="1" t="inlineStr">
        <is>
          <t>230170</t>
        </is>
      </c>
      <c r="E1060" s="1" t="inlineStr">
        <is>
          <t xml:space="preserve">34840550       </t>
        </is>
      </c>
      <c r="F1060" s="5" t="inlineStr">
        <is>
          <t>TEAMSTERZ M/MOVERZ TRANSPORTA GORILA</t>
        </is>
      </c>
      <c r="G1060" t="n">
        <v>1</v>
      </c>
      <c r="H1060" s="7" t="n">
        <v>129</v>
      </c>
      <c r="I1060" s="7" t="n">
        <v>0</v>
      </c>
      <c r="J1060" s="7" t="n">
        <v>0</v>
      </c>
      <c r="K1060" s="9" t="n">
        <v>0</v>
      </c>
      <c r="L1060" s="10" t="n">
        <v>76.52</v>
      </c>
      <c r="M1060" s="10" t="n">
        <v>1.43</v>
      </c>
      <c r="N1060" t="inlineStr">
        <is>
          <t>1</t>
        </is>
      </c>
      <c r="O1060" t="inlineStr">
        <is>
          <t>16</t>
        </is>
      </c>
      <c r="P1060" t="inlineStr">
        <is>
          <t xml:space="preserve">246156  </t>
        </is>
      </c>
      <c r="Q1060" s="26" t="n">
        <v>76.53</v>
      </c>
      <c r="R1060" s="26">
        <f>Q1060*G1060</f>
        <v/>
      </c>
      <c r="S1060" s="26">
        <f>IFERROR(VLOOKUP(E1060*1,Tabla[#All],8,0),0)</f>
        <v/>
      </c>
      <c r="T1060" s="26">
        <f>S1060*G1060</f>
        <v/>
      </c>
      <c r="U1060" s="26">
        <f>R1060-T1060</f>
        <v/>
      </c>
      <c r="V1060" s="26">
        <f>U1060-L1060</f>
        <v/>
      </c>
    </row>
    <row r="1061">
      <c r="A1061" s="11" t="n">
        <v>46214</v>
      </c>
      <c r="B1061" s="1" t="n">
        <v>20058</v>
      </c>
      <c r="C1061" s="1" t="inlineStr">
        <is>
          <t>039</t>
        </is>
      </c>
      <c r="D1061" s="1" t="inlineStr">
        <is>
          <t>230248</t>
        </is>
      </c>
      <c r="E1061" s="1" t="inlineStr">
        <is>
          <t xml:space="preserve">28194768       </t>
        </is>
      </c>
      <c r="F1061" s="5" t="inlineStr">
        <is>
          <t>AUTO COLOR CHANGE TEAMSTERZ SURTIDO</t>
        </is>
      </c>
      <c r="G1061" t="n">
        <v>1</v>
      </c>
      <c r="H1061" s="7" t="n">
        <v>14.9</v>
      </c>
      <c r="I1061" s="7" t="n">
        <v>0</v>
      </c>
      <c r="J1061" s="7" t="n">
        <v>0</v>
      </c>
      <c r="K1061" s="9" t="n">
        <v>0</v>
      </c>
      <c r="L1061" s="10" t="n">
        <v>8.84</v>
      </c>
      <c r="M1061" s="10" t="n">
        <v>1.43</v>
      </c>
      <c r="N1061" t="inlineStr">
        <is>
          <t>1</t>
        </is>
      </c>
      <c r="O1061" t="inlineStr">
        <is>
          <t>16</t>
        </is>
      </c>
      <c r="P1061" t="inlineStr">
        <is>
          <t xml:space="preserve">250714  </t>
        </is>
      </c>
      <c r="Q1061" s="26" t="n">
        <v>8.84</v>
      </c>
      <c r="R1061" s="26">
        <f>Q1061*G1061</f>
        <v/>
      </c>
      <c r="S1061" s="26">
        <f>IFERROR(VLOOKUP(E1061*1,Tabla[#All],8,0),0)</f>
        <v/>
      </c>
      <c r="T1061" s="26">
        <f>S1061*G1061</f>
        <v/>
      </c>
      <c r="U1061" s="26">
        <f>R1061-T1061</f>
        <v/>
      </c>
      <c r="V1061" s="26">
        <f>U1061-L1061</f>
        <v/>
      </c>
    </row>
    <row r="1062">
      <c r="A1062" s="11" t="n">
        <v>46214</v>
      </c>
      <c r="B1062" s="1" t="n">
        <v>20062</v>
      </c>
      <c r="C1062" s="1" t="inlineStr">
        <is>
          <t>014</t>
        </is>
      </c>
      <c r="D1062" s="1" t="inlineStr">
        <is>
          <t>228016</t>
        </is>
      </c>
      <c r="E1062" s="1" t="inlineStr">
        <is>
          <t xml:space="preserve">30232284       </t>
        </is>
      </c>
      <c r="F1062" s="5" t="inlineStr">
        <is>
          <t>INFINITY NADO TROMPO DE BATALLA - METAL C/PUNTA DE</t>
        </is>
      </c>
      <c r="G1062" t="n">
        <v>1</v>
      </c>
      <c r="H1062" s="7" t="n">
        <v>49.9</v>
      </c>
      <c r="I1062" s="7" t="n">
        <v>0</v>
      </c>
      <c r="J1062" s="7" t="n">
        <v>0</v>
      </c>
      <c r="K1062" s="9" t="n">
        <v>0</v>
      </c>
      <c r="L1062" s="10" t="n">
        <v>29.6</v>
      </c>
      <c r="M1062" s="10" t="n">
        <v>1.43</v>
      </c>
      <c r="N1062" t="inlineStr">
        <is>
          <t>1</t>
        </is>
      </c>
      <c r="O1062" t="inlineStr">
        <is>
          <t xml:space="preserve">2 </t>
        </is>
      </c>
      <c r="P1062" t="inlineStr">
        <is>
          <t xml:space="preserve">243976  </t>
        </is>
      </c>
      <c r="Q1062" s="26" t="n">
        <v>29.6</v>
      </c>
      <c r="R1062" s="26">
        <f>Q1062*G1062</f>
        <v/>
      </c>
      <c r="S1062" s="26">
        <f>IFERROR(VLOOKUP(E1062*1,Tabla[#All],8,0),0)</f>
        <v/>
      </c>
      <c r="T1062" s="26">
        <f>S1062*G1062</f>
        <v/>
      </c>
      <c r="U1062" s="26">
        <f>R1062-T1062</f>
        <v/>
      </c>
      <c r="V1062" s="26">
        <f>U1062-L1062</f>
        <v/>
      </c>
    </row>
    <row r="1063">
      <c r="A1063" s="11" t="n">
        <v>46214</v>
      </c>
      <c r="B1063" s="1" t="n">
        <v>20062</v>
      </c>
      <c r="C1063" s="1" t="inlineStr">
        <is>
          <t>017</t>
        </is>
      </c>
      <c r="D1063" s="1" t="inlineStr">
        <is>
          <t>235456</t>
        </is>
      </c>
      <c r="E1063" s="1" t="inlineStr">
        <is>
          <t xml:space="preserve">33483119       </t>
        </is>
      </c>
      <c r="F1063" s="5" t="inlineStr">
        <is>
          <t>MUNECA EVI LOVE TRAJE TIPICO CON ALPACA</t>
        </is>
      </c>
      <c r="G1063" t="n">
        <v>1</v>
      </c>
      <c r="H1063" s="7" t="n">
        <v>29.9</v>
      </c>
      <c r="I1063" s="7" t="n">
        <v>0</v>
      </c>
      <c r="J1063" s="7" t="n">
        <v>0</v>
      </c>
      <c r="K1063" s="9" t="n">
        <v>0</v>
      </c>
      <c r="L1063" s="10" t="n">
        <v>17.74</v>
      </c>
      <c r="M1063" s="10" t="n">
        <v>1.43</v>
      </c>
      <c r="N1063" t="inlineStr">
        <is>
          <t>1</t>
        </is>
      </c>
      <c r="O1063" t="inlineStr">
        <is>
          <t>16</t>
        </is>
      </c>
      <c r="P1063" t="inlineStr">
        <is>
          <t xml:space="preserve">94938   </t>
        </is>
      </c>
      <c r="Q1063" s="26" t="n">
        <v>17.74</v>
      </c>
      <c r="R1063" s="26">
        <f>Q1063*G1063</f>
        <v/>
      </c>
      <c r="S1063" s="26">
        <f>IFERROR(VLOOKUP(E1063*1,Tabla[#All],8,0),0)</f>
        <v/>
      </c>
      <c r="T1063" s="26">
        <f>S1063*G1063</f>
        <v/>
      </c>
      <c r="U1063" s="26">
        <f>R1063-T1063</f>
        <v/>
      </c>
      <c r="V1063" s="26">
        <f>U1063-L1063</f>
        <v/>
      </c>
    </row>
    <row r="1064">
      <c r="A1064" s="11" t="n">
        <v>46214</v>
      </c>
      <c r="B1064" s="1" t="n">
        <v>20062</v>
      </c>
      <c r="C1064" s="1" t="inlineStr">
        <is>
          <t>038</t>
        </is>
      </c>
      <c r="D1064" s="1" t="inlineStr">
        <is>
          <t>173260</t>
        </is>
      </c>
      <c r="E1064" s="1" t="inlineStr">
        <is>
          <t xml:space="preserve">28194780       </t>
        </is>
      </c>
      <c r="F1064" s="5" t="inlineStr">
        <is>
          <t>TROMPO BATALLA INFINITY NADO PLSTICO SURTIDO</t>
        </is>
      </c>
      <c r="G1064" t="n">
        <v>1</v>
      </c>
      <c r="H1064" s="7" t="n">
        <v>19.9</v>
      </c>
      <c r="I1064" s="7" t="n">
        <v>0</v>
      </c>
      <c r="J1064" s="7" t="n">
        <v>0</v>
      </c>
      <c r="K1064" s="9" t="n">
        <v>0</v>
      </c>
      <c r="L1064" s="10" t="n">
        <v>11.8</v>
      </c>
      <c r="M1064" s="10" t="n">
        <v>1.43</v>
      </c>
      <c r="N1064" t="inlineStr">
        <is>
          <t>1</t>
        </is>
      </c>
      <c r="O1064" t="inlineStr">
        <is>
          <t xml:space="preserve">2 </t>
        </is>
      </c>
      <c r="P1064" t="inlineStr">
        <is>
          <t xml:space="preserve">244467  </t>
        </is>
      </c>
      <c r="Q1064" s="26" t="n">
        <v>11.81</v>
      </c>
      <c r="R1064" s="26">
        <f>Q1064*G1064</f>
        <v/>
      </c>
      <c r="S1064" s="26">
        <f>IFERROR(VLOOKUP(E1064*1,Tabla[#All],8,0),0)</f>
        <v/>
      </c>
      <c r="T1064" s="26">
        <f>S1064*G1064</f>
        <v/>
      </c>
      <c r="U1064" s="26">
        <f>R1064-T1064</f>
        <v/>
      </c>
      <c r="V1064" s="26">
        <f>U1064-L1064</f>
        <v/>
      </c>
    </row>
    <row r="1065">
      <c r="A1065" s="11" t="n">
        <v>46214</v>
      </c>
      <c r="B1065" s="1" t="n">
        <v>20062</v>
      </c>
      <c r="C1065" s="1" t="inlineStr">
        <is>
          <t>038</t>
        </is>
      </c>
      <c r="D1065" s="1" t="inlineStr">
        <is>
          <t>173264</t>
        </is>
      </c>
      <c r="E1065" s="1" t="inlineStr">
        <is>
          <t xml:space="preserve">29235701       </t>
        </is>
      </c>
      <c r="F1065" s="5" t="inlineStr">
        <is>
          <t>INFINITY NADO TROMPO DE BATALLA - METAL EN CAJA</t>
        </is>
      </c>
      <c r="G1065" t="n">
        <v>1</v>
      </c>
      <c r="H1065" s="7" t="n">
        <v>39.9</v>
      </c>
      <c r="I1065" s="7" t="n">
        <v>0</v>
      </c>
      <c r="J1065" s="7" t="n">
        <v>0</v>
      </c>
      <c r="K1065" s="9" t="n">
        <v>0</v>
      </c>
      <c r="L1065" s="10" t="n">
        <v>23.67</v>
      </c>
      <c r="M1065" s="10" t="n">
        <v>1.43</v>
      </c>
      <c r="N1065" t="inlineStr">
        <is>
          <t>1</t>
        </is>
      </c>
      <c r="O1065" t="inlineStr">
        <is>
          <t xml:space="preserve">2 </t>
        </is>
      </c>
      <c r="P1065" t="inlineStr">
        <is>
          <t xml:space="preserve">244467  </t>
        </is>
      </c>
      <c r="Q1065" s="26" t="n">
        <v>23.67</v>
      </c>
      <c r="R1065" s="26">
        <f>Q1065*G1065</f>
        <v/>
      </c>
      <c r="S1065" s="26">
        <f>IFERROR(VLOOKUP(E1065*1,Tabla[#All],8,0),0)</f>
        <v/>
      </c>
      <c r="T1065" s="26">
        <f>S1065*G1065</f>
        <v/>
      </c>
      <c r="U1065" s="26">
        <f>R1065-T1065</f>
        <v/>
      </c>
      <c r="V1065" s="26">
        <f>U1065-L1065</f>
        <v/>
      </c>
    </row>
    <row r="1066">
      <c r="A1066" s="11" t="n">
        <v>46214</v>
      </c>
      <c r="B1066" s="1" t="n">
        <v>20062</v>
      </c>
      <c r="C1066" s="1" t="inlineStr">
        <is>
          <t>053</t>
        </is>
      </c>
      <c r="D1066" s="1" t="inlineStr">
        <is>
          <t>242939</t>
        </is>
      </c>
      <c r="E1066" s="1" t="inlineStr">
        <is>
          <t xml:space="preserve">32457099       </t>
        </is>
      </c>
      <c r="F1066" s="5" t="inlineStr">
        <is>
          <t>TMZ BEAST MACHINES MONSTER JAWS A FRICCION BLISTER</t>
        </is>
      </c>
      <c r="G1066" t="n">
        <v>1</v>
      </c>
      <c r="H1066" s="7" t="n">
        <v>19.9</v>
      </c>
      <c r="I1066" s="7" t="n">
        <v>1.99</v>
      </c>
      <c r="J1066" s="7" t="n">
        <v>0</v>
      </c>
      <c r="K1066" s="9" t="n">
        <v>1.99</v>
      </c>
      <c r="L1066" s="10" t="n">
        <v>10.63</v>
      </c>
      <c r="M1066" s="10" t="n">
        <v>1.43</v>
      </c>
      <c r="N1066" t="inlineStr">
        <is>
          <t>1</t>
        </is>
      </c>
      <c r="O1066" t="inlineStr">
        <is>
          <t xml:space="preserve">3 </t>
        </is>
      </c>
      <c r="P1066" t="inlineStr">
        <is>
          <t xml:space="preserve">43396   </t>
        </is>
      </c>
      <c r="Q1066" s="26" t="n">
        <v>11.81</v>
      </c>
      <c r="R1066" s="26">
        <f>Q1066*G1066</f>
        <v/>
      </c>
      <c r="S1066" s="26">
        <f>IFERROR(VLOOKUP(E1066*1,Tabla[#All],8,0),0)</f>
        <v/>
      </c>
      <c r="T1066" s="26">
        <f>S1066*G1066</f>
        <v/>
      </c>
      <c r="U1066" s="26">
        <f>R1066-T1066</f>
        <v/>
      </c>
      <c r="V1066" s="26">
        <f>U1066-L1066</f>
        <v/>
      </c>
    </row>
    <row r="1067">
      <c r="A1067" s="11" t="n">
        <v>46214</v>
      </c>
      <c r="B1067" s="1" t="n">
        <v>20062</v>
      </c>
      <c r="C1067" s="1" t="inlineStr">
        <is>
          <t>509</t>
        </is>
      </c>
      <c r="D1067" s="1" t="inlineStr">
        <is>
          <t xml:space="preserve">4598  </t>
        </is>
      </c>
      <c r="E1067" s="1" t="inlineStr">
        <is>
          <t xml:space="preserve">32457099       </t>
        </is>
      </c>
      <c r="F1067" s="5" t="inlineStr">
        <is>
          <t>TMZ BEAST MACHINES MONSTER JAWS A FRICCION BLISTER</t>
        </is>
      </c>
      <c r="G1067" t="n">
        <v>2</v>
      </c>
      <c r="H1067" s="7" t="n">
        <v>39.8</v>
      </c>
      <c r="I1067" s="7" t="n">
        <v>3.98</v>
      </c>
      <c r="J1067" s="7" t="n">
        <v>0</v>
      </c>
      <c r="K1067" s="9" t="n">
        <v>3.98</v>
      </c>
      <c r="L1067" s="10" t="n">
        <v>21.26</v>
      </c>
      <c r="M1067" s="10" t="n">
        <v>1.43</v>
      </c>
      <c r="N1067" t="inlineStr">
        <is>
          <t>1</t>
        </is>
      </c>
      <c r="O1067" t="inlineStr">
        <is>
          <t>16</t>
        </is>
      </c>
      <c r="P1067" t="inlineStr">
        <is>
          <t xml:space="preserve">250090  </t>
        </is>
      </c>
      <c r="Q1067" s="26" t="n">
        <v>11.81</v>
      </c>
      <c r="R1067" s="26">
        <f>Q1067*G1067</f>
        <v/>
      </c>
      <c r="S1067" s="26">
        <f>IFERROR(VLOOKUP(E1067*1,Tabla[#All],8,0),0)</f>
        <v/>
      </c>
      <c r="T1067" s="26">
        <f>S1067*G1067</f>
        <v/>
      </c>
      <c r="U1067" s="26">
        <f>R1067-T1067</f>
        <v/>
      </c>
      <c r="V1067" s="26">
        <f>U1067-L1067</f>
        <v/>
      </c>
    </row>
    <row r="1068">
      <c r="A1068" s="11" t="n">
        <v>46214</v>
      </c>
      <c r="B1068" s="1" t="n">
        <v>20066</v>
      </c>
      <c r="C1068" s="1" t="inlineStr">
        <is>
          <t>050</t>
        </is>
      </c>
      <c r="D1068" s="1" t="inlineStr">
        <is>
          <t>233852</t>
        </is>
      </c>
      <c r="E1068" s="1" t="inlineStr">
        <is>
          <t xml:space="preserve">28194769       </t>
        </is>
      </c>
      <c r="F1068" s="5" t="inlineStr">
        <is>
          <t>AUTOS DE METAL 3 TEAMSTERZ PACK DE 2</t>
        </is>
      </c>
      <c r="G1068" t="n">
        <v>1</v>
      </c>
      <c r="H1068" s="7" t="n">
        <v>13.8</v>
      </c>
      <c r="I1068" s="7" t="n">
        <v>0</v>
      </c>
      <c r="J1068" s="7" t="n">
        <v>0</v>
      </c>
      <c r="K1068" s="9" t="n">
        <v>0</v>
      </c>
      <c r="L1068" s="10" t="n">
        <v>8.18</v>
      </c>
      <c r="M1068" s="10" t="n">
        <v>1.43</v>
      </c>
      <c r="N1068" t="inlineStr">
        <is>
          <t>1</t>
        </is>
      </c>
      <c r="O1068" t="inlineStr">
        <is>
          <t xml:space="preserve">2 </t>
        </is>
      </c>
      <c r="P1068" t="inlineStr">
        <is>
          <t xml:space="preserve">71517   </t>
        </is>
      </c>
      <c r="Q1068" s="26" t="n">
        <v>8.19</v>
      </c>
      <c r="R1068" s="26">
        <f>Q1068*G1068</f>
        <v/>
      </c>
      <c r="S1068" s="26">
        <f>IFERROR(VLOOKUP(E1068*1,Tabla[#All],8,0),0)</f>
        <v/>
      </c>
      <c r="T1068" s="26">
        <f>S1068*G1068</f>
        <v/>
      </c>
      <c r="U1068" s="26">
        <f>R1068-T1068</f>
        <v/>
      </c>
      <c r="V1068" s="26">
        <f>U1068-L1068</f>
        <v/>
      </c>
    </row>
    <row r="1069">
      <c r="A1069" s="11" t="n">
        <v>46214</v>
      </c>
      <c r="B1069" s="1" t="n">
        <v>20066</v>
      </c>
      <c r="C1069" s="1" t="inlineStr">
        <is>
          <t>057</t>
        </is>
      </c>
      <c r="D1069" s="1" t="inlineStr">
        <is>
          <t>493632</t>
        </is>
      </c>
      <c r="E1069" s="1" t="inlineStr">
        <is>
          <t xml:space="preserve">28194766       </t>
        </is>
      </c>
      <c r="F1069" s="5" t="inlineStr">
        <is>
          <t>CAMIONES TEAMSTERZ DE CIUDAD</t>
        </is>
      </c>
      <c r="G1069" t="n">
        <v>1</v>
      </c>
      <c r="H1069" s="7" t="n">
        <v>17.9</v>
      </c>
      <c r="I1069" s="7" t="n">
        <v>0</v>
      </c>
      <c r="J1069" s="7" t="n">
        <v>0</v>
      </c>
      <c r="K1069" s="9" t="n">
        <v>0</v>
      </c>
      <c r="L1069" s="10" t="n">
        <v>10.62</v>
      </c>
      <c r="M1069" s="10" t="n">
        <v>1.43</v>
      </c>
      <c r="N1069" t="inlineStr">
        <is>
          <t>1</t>
        </is>
      </c>
      <c r="O1069" t="inlineStr">
        <is>
          <t xml:space="preserve">2 </t>
        </is>
      </c>
      <c r="P1069" t="inlineStr">
        <is>
          <t xml:space="preserve">43274   </t>
        </is>
      </c>
      <c r="Q1069" s="26" t="n">
        <v>10.62</v>
      </c>
      <c r="R1069" s="26">
        <f>Q1069*G1069</f>
        <v/>
      </c>
      <c r="S1069" s="26">
        <f>IFERROR(VLOOKUP(E1069*1,Tabla[#All],8,0),0)</f>
        <v/>
      </c>
      <c r="T1069" s="26">
        <f>S1069*G1069</f>
        <v/>
      </c>
      <c r="U1069" s="26">
        <f>R1069-T1069</f>
        <v/>
      </c>
      <c r="V1069" s="26">
        <f>U1069-L1069</f>
        <v/>
      </c>
    </row>
    <row r="1070">
      <c r="A1070" s="11" t="n">
        <v>46214</v>
      </c>
      <c r="B1070" s="1" t="n">
        <v>20066</v>
      </c>
      <c r="C1070" s="1" t="inlineStr">
        <is>
          <t>057</t>
        </is>
      </c>
      <c r="D1070" s="1" t="inlineStr">
        <is>
          <t>493632</t>
        </is>
      </c>
      <c r="E1070" s="1" t="inlineStr">
        <is>
          <t xml:space="preserve">29235710       </t>
        </is>
      </c>
      <c r="F1070" s="5" t="inlineStr">
        <is>
          <t>TEAMSTERZ PLAYSET GRANDES CONSTRUCCIONES</t>
        </is>
      </c>
      <c r="G1070" t="n">
        <v>1</v>
      </c>
      <c r="H1070" s="7" t="n">
        <v>19.9</v>
      </c>
      <c r="I1070" s="7" t="n">
        <v>0</v>
      </c>
      <c r="J1070" s="7" t="n">
        <v>0</v>
      </c>
      <c r="K1070" s="9" t="n">
        <v>0</v>
      </c>
      <c r="L1070" s="10" t="n">
        <v>11.8</v>
      </c>
      <c r="M1070" s="10" t="n">
        <v>1.43</v>
      </c>
      <c r="N1070" t="inlineStr">
        <is>
          <t>1</t>
        </is>
      </c>
      <c r="O1070" t="inlineStr">
        <is>
          <t xml:space="preserve">2 </t>
        </is>
      </c>
      <c r="P1070" t="inlineStr">
        <is>
          <t xml:space="preserve">43274   </t>
        </is>
      </c>
      <c r="Q1070" s="26" t="n">
        <v>11.81</v>
      </c>
      <c r="R1070" s="26">
        <f>Q1070*G1070</f>
        <v/>
      </c>
      <c r="S1070" s="26">
        <f>IFERROR(VLOOKUP(E1070*1,Tabla[#All],8,0),0)</f>
        <v/>
      </c>
      <c r="T1070" s="26">
        <f>S1070*G1070</f>
        <v/>
      </c>
      <c r="U1070" s="26">
        <f>R1070-T1070</f>
        <v/>
      </c>
      <c r="V1070" s="26">
        <f>U1070-L1070</f>
        <v/>
      </c>
    </row>
    <row r="1071">
      <c r="A1071" s="11" t="n">
        <v>46214</v>
      </c>
      <c r="B1071" s="1" t="n">
        <v>20066</v>
      </c>
      <c r="C1071" s="1" t="inlineStr">
        <is>
          <t>530</t>
        </is>
      </c>
      <c r="D1071" s="1" t="inlineStr">
        <is>
          <t xml:space="preserve">9740  </t>
        </is>
      </c>
      <c r="E1071" s="1" t="inlineStr">
        <is>
          <t xml:space="preserve">28194770       </t>
        </is>
      </c>
      <c r="F1071" s="5" t="inlineStr">
        <is>
          <t>AUTOS DE METAL 3 TEAMSTERZ EN BLISTER</t>
        </is>
      </c>
      <c r="G1071" t="n">
        <v>2</v>
      </c>
      <c r="H1071" s="7" t="n">
        <v>13.8</v>
      </c>
      <c r="I1071" s="7" t="n">
        <v>1.38</v>
      </c>
      <c r="J1071" s="7" t="n">
        <v>0</v>
      </c>
      <c r="K1071" s="9" t="n">
        <v>1.38</v>
      </c>
      <c r="L1071" s="10" t="n">
        <v>7.38</v>
      </c>
      <c r="M1071" s="10" t="n">
        <v>1.43</v>
      </c>
      <c r="N1071" t="inlineStr">
        <is>
          <t>1</t>
        </is>
      </c>
      <c r="O1071" t="inlineStr">
        <is>
          <t>16</t>
        </is>
      </c>
      <c r="P1071" t="inlineStr">
        <is>
          <t xml:space="preserve">246398  </t>
        </is>
      </c>
      <c r="Q1071" s="26" t="n">
        <v>4.09</v>
      </c>
      <c r="R1071" s="26">
        <f>Q1071*G1071</f>
        <v/>
      </c>
      <c r="S1071" s="26">
        <f>IFERROR(VLOOKUP(E1071*1,Tabla[#All],8,0),0)</f>
        <v/>
      </c>
      <c r="T1071" s="26">
        <f>S1071*G1071</f>
        <v/>
      </c>
      <c r="U1071" s="26">
        <f>R1071-T1071</f>
        <v/>
      </c>
      <c r="V1071" s="26">
        <f>U1071-L1071</f>
        <v/>
      </c>
    </row>
    <row r="1072">
      <c r="A1072" s="11" t="n">
        <v>46214</v>
      </c>
      <c r="B1072" s="1" t="n">
        <v>20069</v>
      </c>
      <c r="C1072" s="1" t="inlineStr">
        <is>
          <t>024</t>
        </is>
      </c>
      <c r="D1072" s="1" t="inlineStr">
        <is>
          <t>104142</t>
        </is>
      </c>
      <c r="E1072" s="1" t="inlineStr">
        <is>
          <t xml:space="preserve">28194770       </t>
        </is>
      </c>
      <c r="F1072" s="5" t="inlineStr">
        <is>
          <t>AUTOS DE METAL 3 TEAMSTERZ EN BLISTER</t>
        </is>
      </c>
      <c r="G1072" t="n">
        <v>1</v>
      </c>
      <c r="H1072" s="7" t="n">
        <v>6.9</v>
      </c>
      <c r="I1072" s="7" t="n">
        <v>0</v>
      </c>
      <c r="J1072" s="7" t="n">
        <v>0</v>
      </c>
      <c r="K1072" s="9" t="n">
        <v>0</v>
      </c>
      <c r="L1072" s="10" t="n">
        <v>4.1</v>
      </c>
      <c r="M1072" s="10" t="n">
        <v>1.43</v>
      </c>
      <c r="N1072" t="inlineStr">
        <is>
          <t>1</t>
        </is>
      </c>
      <c r="O1072" t="inlineStr">
        <is>
          <t xml:space="preserve">2 </t>
        </is>
      </c>
      <c r="P1072" t="inlineStr">
        <is>
          <t xml:space="preserve">247842  </t>
        </is>
      </c>
      <c r="Q1072" s="26" t="n">
        <v>4.09</v>
      </c>
      <c r="R1072" s="26">
        <f>Q1072*G1072</f>
        <v/>
      </c>
      <c r="S1072" s="26">
        <f>IFERROR(VLOOKUP(E1072*1,Tabla[#All],8,0),0)</f>
        <v/>
      </c>
      <c r="T1072" s="26">
        <f>S1072*G1072</f>
        <v/>
      </c>
      <c r="U1072" s="26">
        <f>R1072-T1072</f>
        <v/>
      </c>
      <c r="V1072" s="26">
        <f>U1072-L1072</f>
        <v/>
      </c>
    </row>
    <row r="1073">
      <c r="A1073" s="11" t="n">
        <v>46214</v>
      </c>
      <c r="B1073" s="1" t="n">
        <v>20069</v>
      </c>
      <c r="C1073" s="1" t="inlineStr">
        <is>
          <t>024</t>
        </is>
      </c>
      <c r="D1073" s="1" t="inlineStr">
        <is>
          <t>104142</t>
        </is>
      </c>
      <c r="E1073" s="1" t="inlineStr">
        <is>
          <t xml:space="preserve">28194780       </t>
        </is>
      </c>
      <c r="F1073" s="5" t="inlineStr">
        <is>
          <t>TROMPO BATALLA INFINITY NADO PLSTICO SURTIDO</t>
        </is>
      </c>
      <c r="G1073" t="n">
        <v>1</v>
      </c>
      <c r="H1073" s="7" t="n">
        <v>19.9</v>
      </c>
      <c r="I1073" s="7" t="n">
        <v>0</v>
      </c>
      <c r="J1073" s="7" t="n">
        <v>0</v>
      </c>
      <c r="K1073" s="9" t="n">
        <v>0</v>
      </c>
      <c r="L1073" s="10" t="n">
        <v>11.8</v>
      </c>
      <c r="M1073" s="10" t="n">
        <v>1.43</v>
      </c>
      <c r="N1073" t="inlineStr">
        <is>
          <t>1</t>
        </is>
      </c>
      <c r="O1073" t="inlineStr">
        <is>
          <t xml:space="preserve">2 </t>
        </is>
      </c>
      <c r="P1073" t="inlineStr">
        <is>
          <t xml:space="preserve">247842  </t>
        </is>
      </c>
      <c r="Q1073" s="26" t="n">
        <v>11.81</v>
      </c>
      <c r="R1073" s="26">
        <f>Q1073*G1073</f>
        <v/>
      </c>
      <c r="S1073" s="26">
        <f>IFERROR(VLOOKUP(E1073*1,Tabla[#All],8,0),0)</f>
        <v/>
      </c>
      <c r="T1073" s="26">
        <f>S1073*G1073</f>
        <v/>
      </c>
      <c r="U1073" s="26">
        <f>R1073-T1073</f>
        <v/>
      </c>
      <c r="V1073" s="26">
        <f>U1073-L1073</f>
        <v/>
      </c>
    </row>
    <row r="1074">
      <c r="A1074" s="11" t="n">
        <v>46214</v>
      </c>
      <c r="B1074" s="1" t="n">
        <v>20069</v>
      </c>
      <c r="C1074" s="1" t="inlineStr">
        <is>
          <t>024</t>
        </is>
      </c>
      <c r="D1074" s="1" t="inlineStr">
        <is>
          <t>104142</t>
        </is>
      </c>
      <c r="E1074" s="1" t="inlineStr">
        <is>
          <t xml:space="preserve">29235701       </t>
        </is>
      </c>
      <c r="F1074" s="5" t="inlineStr">
        <is>
          <t>INFINITY NADO TROMPO DE BATALLA - METAL EN CAJA</t>
        </is>
      </c>
      <c r="G1074" t="n">
        <v>1</v>
      </c>
      <c r="H1074" s="7" t="n">
        <v>39.9</v>
      </c>
      <c r="I1074" s="7" t="n">
        <v>0</v>
      </c>
      <c r="J1074" s="7" t="n">
        <v>0</v>
      </c>
      <c r="K1074" s="9" t="n">
        <v>0</v>
      </c>
      <c r="L1074" s="10" t="n">
        <v>23.67</v>
      </c>
      <c r="M1074" s="10" t="n">
        <v>1.43</v>
      </c>
      <c r="N1074" t="inlineStr">
        <is>
          <t>1</t>
        </is>
      </c>
      <c r="O1074" t="inlineStr">
        <is>
          <t xml:space="preserve">2 </t>
        </is>
      </c>
      <c r="P1074" t="inlineStr">
        <is>
          <t xml:space="preserve">247842  </t>
        </is>
      </c>
      <c r="Q1074" s="26" t="n">
        <v>23.67</v>
      </c>
      <c r="R1074" s="26">
        <f>Q1074*G1074</f>
        <v/>
      </c>
      <c r="S1074" s="26">
        <f>IFERROR(VLOOKUP(E1074*1,Tabla[#All],8,0),0)</f>
        <v/>
      </c>
      <c r="T1074" s="26">
        <f>S1074*G1074</f>
        <v/>
      </c>
      <c r="U1074" s="26">
        <f>R1074-T1074</f>
        <v/>
      </c>
      <c r="V1074" s="26">
        <f>U1074-L1074</f>
        <v/>
      </c>
    </row>
    <row r="1075">
      <c r="A1075" s="11" t="n">
        <v>46214</v>
      </c>
      <c r="B1075" s="1" t="n">
        <v>20069</v>
      </c>
      <c r="C1075" s="1" t="inlineStr">
        <is>
          <t>024</t>
        </is>
      </c>
      <c r="D1075" s="1" t="inlineStr">
        <is>
          <t>104166</t>
        </is>
      </c>
      <c r="E1075" s="1" t="inlineStr">
        <is>
          <t xml:space="preserve">28194770       </t>
        </is>
      </c>
      <c r="F1075" s="5" t="inlineStr">
        <is>
          <t>AUTOS DE METAL 3 TEAMSTERZ EN BLISTER</t>
        </is>
      </c>
      <c r="G1075" t="n">
        <v>1</v>
      </c>
      <c r="H1075" s="7" t="n">
        <v>6.9</v>
      </c>
      <c r="I1075" s="7" t="n">
        <v>0.6899999999999999</v>
      </c>
      <c r="J1075" s="7" t="n">
        <v>0</v>
      </c>
      <c r="K1075" s="9" t="n">
        <v>0.6899999999999999</v>
      </c>
      <c r="L1075" s="10" t="n">
        <v>3.68</v>
      </c>
      <c r="M1075" s="10" t="n">
        <v>1.43</v>
      </c>
      <c r="N1075" t="inlineStr">
        <is>
          <t>1</t>
        </is>
      </c>
      <c r="O1075" t="inlineStr">
        <is>
          <t xml:space="preserve">3 </t>
        </is>
      </c>
      <c r="P1075" t="inlineStr">
        <is>
          <t xml:space="preserve">247842  </t>
        </is>
      </c>
      <c r="Q1075" s="26" t="n">
        <v>4.09</v>
      </c>
      <c r="R1075" s="26">
        <f>Q1075*G1075</f>
        <v/>
      </c>
      <c r="S1075" s="26">
        <f>IFERROR(VLOOKUP(E1075*1,Tabla[#All],8,0),0)</f>
        <v/>
      </c>
      <c r="T1075" s="26">
        <f>S1075*G1075</f>
        <v/>
      </c>
      <c r="U1075" s="26">
        <f>R1075-T1075</f>
        <v/>
      </c>
      <c r="V1075" s="26">
        <f>U1075-L1075</f>
        <v/>
      </c>
    </row>
    <row r="1076">
      <c r="A1076" s="11" t="n">
        <v>46214</v>
      </c>
      <c r="B1076" s="1" t="n">
        <v>20069</v>
      </c>
      <c r="C1076" s="1" t="inlineStr">
        <is>
          <t>503</t>
        </is>
      </c>
      <c r="D1076" s="1" t="inlineStr">
        <is>
          <t xml:space="preserve">4094  </t>
        </is>
      </c>
      <c r="E1076" s="1" t="inlineStr">
        <is>
          <t xml:space="preserve">28194770       </t>
        </is>
      </c>
      <c r="F1076" s="5" t="inlineStr">
        <is>
          <t>AUTOS DE METAL 3 TEAMSTERZ EN BLISTER</t>
        </is>
      </c>
      <c r="G1076" t="n">
        <v>1</v>
      </c>
      <c r="H1076" s="7" t="n">
        <v>6.9</v>
      </c>
      <c r="I1076" s="7" t="n">
        <v>0</v>
      </c>
      <c r="J1076" s="7" t="n">
        <v>0</v>
      </c>
      <c r="K1076" s="9" t="n">
        <v>0</v>
      </c>
      <c r="L1076" s="10" t="n">
        <v>4.1</v>
      </c>
      <c r="M1076" s="10" t="n">
        <v>1.43</v>
      </c>
      <c r="N1076" t="inlineStr">
        <is>
          <t>1</t>
        </is>
      </c>
      <c r="O1076" t="inlineStr">
        <is>
          <t>16</t>
        </is>
      </c>
      <c r="P1076" t="inlineStr">
        <is>
          <t xml:space="preserve">99440   </t>
        </is>
      </c>
      <c r="Q1076" s="26" t="n">
        <v>4.09</v>
      </c>
      <c r="R1076" s="26">
        <f>Q1076*G1076</f>
        <v/>
      </c>
      <c r="S1076" s="26">
        <f>IFERROR(VLOOKUP(E1076*1,Tabla[#All],8,0),0)</f>
        <v/>
      </c>
      <c r="T1076" s="26">
        <f>S1076*G1076</f>
        <v/>
      </c>
      <c r="U1076" s="26">
        <f>R1076-T1076</f>
        <v/>
      </c>
      <c r="V1076" s="26">
        <f>U1076-L1076</f>
        <v/>
      </c>
    </row>
    <row r="1077">
      <c r="A1077" s="11" t="n">
        <v>46214</v>
      </c>
      <c r="B1077" s="1" t="n">
        <v>20073</v>
      </c>
      <c r="C1077" s="1" t="inlineStr">
        <is>
          <t>016</t>
        </is>
      </c>
      <c r="D1077" s="1" t="inlineStr">
        <is>
          <t xml:space="preserve">14380 </t>
        </is>
      </c>
      <c r="E1077" s="1" t="inlineStr">
        <is>
          <t xml:space="preserve">28194770       </t>
        </is>
      </c>
      <c r="F1077" s="5" t="inlineStr">
        <is>
          <t>AUTOS DE METAL 3 TEAMSTERZ EN BLISTER</t>
        </is>
      </c>
      <c r="G1077" t="n">
        <v>1</v>
      </c>
      <c r="H1077" s="7" t="n">
        <v>6.9</v>
      </c>
      <c r="I1077" s="7" t="n">
        <v>0</v>
      </c>
      <c r="J1077" s="7" t="n">
        <v>0</v>
      </c>
      <c r="K1077" s="9" t="n">
        <v>0</v>
      </c>
      <c r="L1077" s="10" t="n">
        <v>4.1</v>
      </c>
      <c r="M1077" s="10" t="n">
        <v>1.43</v>
      </c>
      <c r="N1077" t="inlineStr">
        <is>
          <t>1</t>
        </is>
      </c>
      <c r="O1077" t="inlineStr">
        <is>
          <t xml:space="preserve">2 </t>
        </is>
      </c>
      <c r="P1077" t="inlineStr">
        <is>
          <t xml:space="preserve">101947  </t>
        </is>
      </c>
      <c r="Q1077" s="26" t="n">
        <v>4.09</v>
      </c>
      <c r="R1077" s="26">
        <f>Q1077*G1077</f>
        <v/>
      </c>
      <c r="S1077" s="26">
        <f>IFERROR(VLOOKUP(E1077*1,Tabla[#All],8,0),0)</f>
        <v/>
      </c>
      <c r="T1077" s="26">
        <f>S1077*G1077</f>
        <v/>
      </c>
      <c r="U1077" s="26">
        <f>R1077-T1077</f>
        <v/>
      </c>
      <c r="V1077" s="26">
        <f>U1077-L1077</f>
        <v/>
      </c>
    </row>
    <row r="1078">
      <c r="A1078" s="11" t="n">
        <v>46214</v>
      </c>
      <c r="B1078" s="1" t="n">
        <v>20073</v>
      </c>
      <c r="C1078" s="1" t="inlineStr">
        <is>
          <t>016</t>
        </is>
      </c>
      <c r="D1078" s="1" t="inlineStr">
        <is>
          <t xml:space="preserve">14387 </t>
        </is>
      </c>
      <c r="E1078" s="1" t="inlineStr">
        <is>
          <t xml:space="preserve">28194770       </t>
        </is>
      </c>
      <c r="F1078" s="5" t="inlineStr">
        <is>
          <t>AUTOS DE METAL 3 TEAMSTERZ EN BLISTER</t>
        </is>
      </c>
      <c r="G1078" t="n">
        <v>1</v>
      </c>
      <c r="H1078" s="7" t="n">
        <v>6.9</v>
      </c>
      <c r="I1078" s="7" t="n">
        <v>0</v>
      </c>
      <c r="J1078" s="7" t="n">
        <v>0</v>
      </c>
      <c r="K1078" s="9" t="n">
        <v>0</v>
      </c>
      <c r="L1078" s="10" t="n">
        <v>4.1</v>
      </c>
      <c r="M1078" s="10" t="n">
        <v>1.43</v>
      </c>
      <c r="N1078" t="inlineStr">
        <is>
          <t>1</t>
        </is>
      </c>
      <c r="O1078" t="inlineStr">
        <is>
          <t>16</t>
        </is>
      </c>
      <c r="P1078" t="inlineStr">
        <is>
          <t xml:space="preserve">101947  </t>
        </is>
      </c>
      <c r="Q1078" s="26" t="n">
        <v>4.09</v>
      </c>
      <c r="R1078" s="26">
        <f>Q1078*G1078</f>
        <v/>
      </c>
      <c r="S1078" s="26">
        <f>IFERROR(VLOOKUP(E1078*1,Tabla[#All],8,0),0)</f>
        <v/>
      </c>
      <c r="T1078" s="26">
        <f>S1078*G1078</f>
        <v/>
      </c>
      <c r="U1078" s="26">
        <f>R1078-T1078</f>
        <v/>
      </c>
      <c r="V1078" s="26">
        <f>U1078-L1078</f>
        <v/>
      </c>
    </row>
    <row r="1079">
      <c r="A1079" s="11" t="n">
        <v>46214</v>
      </c>
      <c r="B1079" s="1" t="n">
        <v>20073</v>
      </c>
      <c r="C1079" s="1" t="inlineStr">
        <is>
          <t>021</t>
        </is>
      </c>
      <c r="D1079" s="1" t="inlineStr">
        <is>
          <t>278933</t>
        </is>
      </c>
      <c r="E1079" s="1" t="inlineStr">
        <is>
          <t xml:space="preserve">28194770       </t>
        </is>
      </c>
      <c r="F1079" s="5" t="inlineStr">
        <is>
          <t>AUTOS DE METAL 3 TEAMSTERZ EN BLISTER</t>
        </is>
      </c>
      <c r="G1079" t="n">
        <v>1</v>
      </c>
      <c r="H1079" s="7" t="n">
        <v>6.9</v>
      </c>
      <c r="I1079" s="7" t="n">
        <v>0</v>
      </c>
      <c r="J1079" s="7" t="n">
        <v>0</v>
      </c>
      <c r="K1079" s="9" t="n">
        <v>0</v>
      </c>
      <c r="L1079" s="10" t="n">
        <v>4.1</v>
      </c>
      <c r="M1079" s="10" t="n">
        <v>1.43</v>
      </c>
      <c r="N1079" t="inlineStr">
        <is>
          <t>1</t>
        </is>
      </c>
      <c r="O1079" t="inlineStr">
        <is>
          <t xml:space="preserve">2 </t>
        </is>
      </c>
      <c r="P1079" t="inlineStr">
        <is>
          <t xml:space="preserve">73225   </t>
        </is>
      </c>
      <c r="Q1079" s="26" t="n">
        <v>4.09</v>
      </c>
      <c r="R1079" s="26">
        <f>Q1079*G1079</f>
        <v/>
      </c>
      <c r="S1079" s="26">
        <f>IFERROR(VLOOKUP(E1079*1,Tabla[#All],8,0),0)</f>
        <v/>
      </c>
      <c r="T1079" s="26">
        <f>S1079*G1079</f>
        <v/>
      </c>
      <c r="U1079" s="26">
        <f>R1079-T1079</f>
        <v/>
      </c>
      <c r="V1079" s="26">
        <f>U1079-L1079</f>
        <v/>
      </c>
    </row>
    <row r="1080">
      <c r="A1080" s="11" t="n">
        <v>46214</v>
      </c>
      <c r="B1080" s="1" t="n">
        <v>20073</v>
      </c>
      <c r="C1080" s="1" t="inlineStr">
        <is>
          <t>023</t>
        </is>
      </c>
      <c r="D1080" s="1" t="inlineStr">
        <is>
          <t xml:space="preserve">95928 </t>
        </is>
      </c>
      <c r="E1080" s="1" t="inlineStr">
        <is>
          <t xml:space="preserve">28194770       </t>
        </is>
      </c>
      <c r="F1080" s="5" t="inlineStr">
        <is>
          <t>AUTOS DE METAL 3 TEAMSTERZ EN BLISTER</t>
        </is>
      </c>
      <c r="G1080" t="n">
        <v>1</v>
      </c>
      <c r="H1080" s="7" t="n">
        <v>6.9</v>
      </c>
      <c r="I1080" s="7" t="n">
        <v>0</v>
      </c>
      <c r="J1080" s="7" t="n">
        <v>0</v>
      </c>
      <c r="K1080" s="9" t="n">
        <v>0</v>
      </c>
      <c r="L1080" s="10" t="n">
        <v>4.1</v>
      </c>
      <c r="M1080" s="10" t="n">
        <v>1.43</v>
      </c>
      <c r="N1080" t="inlineStr">
        <is>
          <t>1</t>
        </is>
      </c>
      <c r="O1080" t="inlineStr">
        <is>
          <t>16</t>
        </is>
      </c>
      <c r="P1080" t="inlineStr">
        <is>
          <t xml:space="preserve">58386   </t>
        </is>
      </c>
      <c r="Q1080" s="26" t="n">
        <v>4.09</v>
      </c>
      <c r="R1080" s="26">
        <f>Q1080*G1080</f>
        <v/>
      </c>
      <c r="S1080" s="26">
        <f>IFERROR(VLOOKUP(E1080*1,Tabla[#All],8,0),0)</f>
        <v/>
      </c>
      <c r="T1080" s="26">
        <f>S1080*G1080</f>
        <v/>
      </c>
      <c r="U1080" s="26">
        <f>R1080-T1080</f>
        <v/>
      </c>
      <c r="V1080" s="26">
        <f>U1080-L1080</f>
        <v/>
      </c>
    </row>
    <row r="1081">
      <c r="A1081" s="11" t="n">
        <v>46214</v>
      </c>
      <c r="B1081" s="1" t="n">
        <v>20073</v>
      </c>
      <c r="C1081" s="1" t="inlineStr">
        <is>
          <t>023</t>
        </is>
      </c>
      <c r="D1081" s="1" t="inlineStr">
        <is>
          <t xml:space="preserve">95928 </t>
        </is>
      </c>
      <c r="E1081" s="1" t="inlineStr">
        <is>
          <t xml:space="preserve">28194770       </t>
        </is>
      </c>
      <c r="F1081" s="5" t="inlineStr">
        <is>
          <t>AUTOS DE METAL 3 TEAMSTERZ EN BLISTER</t>
        </is>
      </c>
      <c r="G1081" t="n">
        <v>1</v>
      </c>
      <c r="H1081" s="7" t="n">
        <v>6.9</v>
      </c>
      <c r="I1081" s="7" t="n">
        <v>0</v>
      </c>
      <c r="J1081" s="7" t="n">
        <v>0</v>
      </c>
      <c r="K1081" s="9" t="n">
        <v>0</v>
      </c>
      <c r="L1081" s="10" t="n">
        <v>4.1</v>
      </c>
      <c r="M1081" s="10" t="n">
        <v>1.43</v>
      </c>
      <c r="N1081" t="inlineStr">
        <is>
          <t>1</t>
        </is>
      </c>
      <c r="O1081" t="inlineStr">
        <is>
          <t>16</t>
        </is>
      </c>
      <c r="P1081" t="inlineStr">
        <is>
          <t xml:space="preserve">58386   </t>
        </is>
      </c>
      <c r="Q1081" s="26" t="n">
        <v>4.09</v>
      </c>
      <c r="R1081" s="26">
        <f>Q1081*G1081</f>
        <v/>
      </c>
      <c r="S1081" s="26">
        <f>IFERROR(VLOOKUP(E1081*1,Tabla[#All],8,0),0)</f>
        <v/>
      </c>
      <c r="T1081" s="26">
        <f>S1081*G1081</f>
        <v/>
      </c>
      <c r="U1081" s="26">
        <f>R1081-T1081</f>
        <v/>
      </c>
      <c r="V1081" s="26">
        <f>U1081-L1081</f>
        <v/>
      </c>
    </row>
    <row r="1082">
      <c r="A1082" s="11" t="n">
        <v>46214</v>
      </c>
      <c r="B1082" s="1" t="n">
        <v>20073</v>
      </c>
      <c r="C1082" s="1" t="inlineStr">
        <is>
          <t>034</t>
        </is>
      </c>
      <c r="D1082" s="1" t="inlineStr">
        <is>
          <t>344326</t>
        </is>
      </c>
      <c r="E1082" s="1" t="inlineStr">
        <is>
          <t xml:space="preserve">30141766       </t>
        </is>
      </c>
      <c r="F1082" s="5" t="inlineStr">
        <is>
          <t>TMZ BEAST MACHINES AUTOS DE METAL BLISTER X 1</t>
        </is>
      </c>
      <c r="G1082" t="n">
        <v>1</v>
      </c>
      <c r="H1082" s="7" t="n">
        <v>7.9</v>
      </c>
      <c r="I1082" s="7" t="n">
        <v>0</v>
      </c>
      <c r="J1082" s="7" t="n">
        <v>0</v>
      </c>
      <c r="K1082" s="9" t="n">
        <v>0</v>
      </c>
      <c r="L1082" s="10" t="n">
        <v>4.68</v>
      </c>
      <c r="M1082" s="10" t="n">
        <v>1.43</v>
      </c>
      <c r="N1082" t="inlineStr">
        <is>
          <t>1</t>
        </is>
      </c>
      <c r="O1082" t="inlineStr">
        <is>
          <t xml:space="preserve">2 </t>
        </is>
      </c>
      <c r="P1082" t="inlineStr">
        <is>
          <t xml:space="preserve">74879   </t>
        </is>
      </c>
      <c r="Q1082" s="26" t="n">
        <v>4.69</v>
      </c>
      <c r="R1082" s="26">
        <f>Q1082*G1082</f>
        <v/>
      </c>
      <c r="S1082" s="26">
        <f>IFERROR(VLOOKUP(E1082*1,Tabla[#All],8,0),0)</f>
        <v/>
      </c>
      <c r="T1082" s="26">
        <f>S1082*G1082</f>
        <v/>
      </c>
      <c r="U1082" s="26">
        <f>R1082-T1082</f>
        <v/>
      </c>
      <c r="V1082" s="26">
        <f>U1082-L1082</f>
        <v/>
      </c>
    </row>
    <row r="1083">
      <c r="A1083" s="11" t="n">
        <v>46214</v>
      </c>
      <c r="B1083" s="1" t="n">
        <v>20074</v>
      </c>
      <c r="C1083" s="1" t="inlineStr">
        <is>
          <t>015</t>
        </is>
      </c>
      <c r="D1083" s="1" t="inlineStr">
        <is>
          <t>227712</t>
        </is>
      </c>
      <c r="E1083" s="1" t="inlineStr">
        <is>
          <t xml:space="preserve">29235702       </t>
        </is>
      </c>
      <c r="F1083" s="5" t="inlineStr">
        <is>
          <t>INFINITY NADO TROMPO DE BATALLA - METAL C/ ANILLO</t>
        </is>
      </c>
      <c r="G1083" t="n">
        <v>1</v>
      </c>
      <c r="H1083" s="7" t="n">
        <v>69.90000000000001</v>
      </c>
      <c r="I1083" s="7" t="n">
        <v>13.98</v>
      </c>
      <c r="J1083" s="7" t="n">
        <v>0</v>
      </c>
      <c r="K1083" s="9" t="n">
        <v>13.98</v>
      </c>
      <c r="L1083" s="10" t="n">
        <v>33.17</v>
      </c>
      <c r="M1083" s="10" t="n">
        <v>1.43</v>
      </c>
      <c r="N1083" t="inlineStr">
        <is>
          <t>1</t>
        </is>
      </c>
      <c r="O1083" t="inlineStr">
        <is>
          <t>16</t>
        </is>
      </c>
      <c r="P1083" t="inlineStr">
        <is>
          <t xml:space="preserve">235827  </t>
        </is>
      </c>
      <c r="Q1083" s="26" t="n">
        <v>41.47</v>
      </c>
      <c r="R1083" s="26">
        <f>Q1083*G1083</f>
        <v/>
      </c>
      <c r="S1083" s="26">
        <f>IFERROR(VLOOKUP(E1083*1,Tabla[#All],8,0),0)</f>
        <v/>
      </c>
      <c r="T1083" s="26">
        <f>S1083*G1083</f>
        <v/>
      </c>
      <c r="U1083" s="26">
        <f>R1083-T1083</f>
        <v/>
      </c>
      <c r="V1083" s="26">
        <f>U1083-L1083</f>
        <v/>
      </c>
    </row>
    <row r="1084">
      <c r="A1084" s="11" t="n">
        <v>46214</v>
      </c>
      <c r="B1084" s="1" t="n">
        <v>20074</v>
      </c>
      <c r="C1084" s="1" t="inlineStr">
        <is>
          <t>015</t>
        </is>
      </c>
      <c r="D1084" s="1" t="inlineStr">
        <is>
          <t>227713</t>
        </is>
      </c>
      <c r="E1084" s="1" t="inlineStr">
        <is>
          <t xml:space="preserve">29235702       </t>
        </is>
      </c>
      <c r="F1084" s="5" t="inlineStr">
        <is>
          <t>INFINITY NADO TROMPO DE BATALLA - METAL C/ ANILLO</t>
        </is>
      </c>
      <c r="G1084" t="n">
        <v>1</v>
      </c>
      <c r="H1084" s="7" t="n">
        <v>69.90000000000001</v>
      </c>
      <c r="I1084" s="7" t="n">
        <v>6.99</v>
      </c>
      <c r="J1084" s="7" t="n">
        <v>0</v>
      </c>
      <c r="K1084" s="9" t="n">
        <v>6.99</v>
      </c>
      <c r="L1084" s="10" t="n">
        <v>37.32</v>
      </c>
      <c r="M1084" s="10" t="n">
        <v>1.43</v>
      </c>
      <c r="N1084" t="inlineStr">
        <is>
          <t>1</t>
        </is>
      </c>
      <c r="O1084" t="inlineStr">
        <is>
          <t xml:space="preserve">3 </t>
        </is>
      </c>
      <c r="P1084" t="inlineStr">
        <is>
          <t xml:space="preserve">235827  </t>
        </is>
      </c>
      <c r="Q1084" s="26" t="n">
        <v>41.47</v>
      </c>
      <c r="R1084" s="26">
        <f>Q1084*G1084</f>
        <v/>
      </c>
      <c r="S1084" s="26">
        <f>IFERROR(VLOOKUP(E1084*1,Tabla[#All],8,0),0)</f>
        <v/>
      </c>
      <c r="T1084" s="26">
        <f>S1084*G1084</f>
        <v/>
      </c>
      <c r="U1084" s="26">
        <f>R1084-T1084</f>
        <v/>
      </c>
      <c r="V1084" s="26">
        <f>U1084-L1084</f>
        <v/>
      </c>
    </row>
    <row r="1085">
      <c r="A1085" s="11" t="n">
        <v>46214</v>
      </c>
      <c r="B1085" s="1" t="n">
        <v>20074</v>
      </c>
      <c r="C1085" s="1" t="inlineStr">
        <is>
          <t>015</t>
        </is>
      </c>
      <c r="D1085" s="1" t="inlineStr">
        <is>
          <t>227738</t>
        </is>
      </c>
      <c r="E1085" s="1" t="inlineStr">
        <is>
          <t xml:space="preserve">34840557       </t>
        </is>
      </c>
      <c r="F1085" s="5" t="inlineStr">
        <is>
          <t>TMZ BEAST MACH. PLAYSET GARAGE DE SERPIENTE + 2 AU</t>
        </is>
      </c>
      <c r="G1085" t="n">
        <v>1</v>
      </c>
      <c r="H1085" s="7" t="n">
        <v>79.90000000000001</v>
      </c>
      <c r="I1085" s="7" t="n">
        <v>0</v>
      </c>
      <c r="J1085" s="7" t="n">
        <v>0</v>
      </c>
      <c r="K1085" s="9" t="n">
        <v>0</v>
      </c>
      <c r="L1085" s="10" t="n">
        <v>47.4</v>
      </c>
      <c r="M1085" s="10" t="n">
        <v>1.43</v>
      </c>
      <c r="N1085" t="inlineStr">
        <is>
          <t>1</t>
        </is>
      </c>
      <c r="O1085" t="inlineStr">
        <is>
          <t>16</t>
        </is>
      </c>
      <c r="P1085" t="inlineStr">
        <is>
          <t xml:space="preserve">250387  </t>
        </is>
      </c>
      <c r="Q1085" s="26" t="n">
        <v>47.4</v>
      </c>
      <c r="R1085" s="26">
        <f>Q1085*G1085</f>
        <v/>
      </c>
      <c r="S1085" s="26">
        <f>IFERROR(VLOOKUP(E1085*1,Tabla[#All],8,0),0)</f>
        <v/>
      </c>
      <c r="T1085" s="26">
        <f>S1085*G1085</f>
        <v/>
      </c>
      <c r="U1085" s="26">
        <f>R1085-T1085</f>
        <v/>
      </c>
      <c r="V1085" s="26">
        <f>U1085-L1085</f>
        <v/>
      </c>
    </row>
    <row r="1086">
      <c r="A1086" s="11" t="n">
        <v>46214</v>
      </c>
      <c r="B1086" s="1" t="n">
        <v>20074</v>
      </c>
      <c r="C1086" s="1" t="inlineStr">
        <is>
          <t>028</t>
        </is>
      </c>
      <c r="D1086" s="1" t="inlineStr">
        <is>
          <t>182257</t>
        </is>
      </c>
      <c r="E1086" s="1" t="inlineStr">
        <is>
          <t xml:space="preserve">28194770       </t>
        </is>
      </c>
      <c r="F1086" s="5" t="inlineStr">
        <is>
          <t>AUTOS DE METAL 3 TEAMSTERZ EN BLISTER</t>
        </is>
      </c>
      <c r="G1086" t="n">
        <v>1</v>
      </c>
      <c r="H1086" s="7" t="n">
        <v>6.9</v>
      </c>
      <c r="I1086" s="7" t="n">
        <v>0</v>
      </c>
      <c r="J1086" s="7" t="n">
        <v>0</v>
      </c>
      <c r="K1086" s="9" t="n">
        <v>0</v>
      </c>
      <c r="L1086" s="10" t="n">
        <v>4.1</v>
      </c>
      <c r="M1086" s="10" t="n">
        <v>1.43</v>
      </c>
      <c r="N1086" t="inlineStr">
        <is>
          <t>1</t>
        </is>
      </c>
      <c r="O1086" t="inlineStr">
        <is>
          <t>16</t>
        </is>
      </c>
      <c r="P1086" t="inlineStr">
        <is>
          <t xml:space="preserve">12598   </t>
        </is>
      </c>
      <c r="Q1086" s="26" t="n">
        <v>4.09</v>
      </c>
      <c r="R1086" s="26">
        <f>Q1086*G1086</f>
        <v/>
      </c>
      <c r="S1086" s="26">
        <f>IFERROR(VLOOKUP(E1086*1,Tabla[#All],8,0),0)</f>
        <v/>
      </c>
      <c r="T1086" s="26">
        <f>S1086*G1086</f>
        <v/>
      </c>
      <c r="U1086" s="26">
        <f>R1086-T1086</f>
        <v/>
      </c>
      <c r="V1086" s="26">
        <f>U1086-L1086</f>
        <v/>
      </c>
    </row>
    <row r="1087">
      <c r="A1087" s="11" t="n">
        <v>46214</v>
      </c>
      <c r="B1087" s="1" t="n">
        <v>20074</v>
      </c>
      <c r="C1087" s="1" t="inlineStr">
        <is>
          <t>028</t>
        </is>
      </c>
      <c r="D1087" s="1" t="inlineStr">
        <is>
          <t>182257</t>
        </is>
      </c>
      <c r="E1087" s="1" t="inlineStr">
        <is>
          <t xml:space="preserve">30141766       </t>
        </is>
      </c>
      <c r="F1087" s="5" t="inlineStr">
        <is>
          <t>TMZ BEAST MACHINES AUTOS DE METAL BLISTER X 1</t>
        </is>
      </c>
      <c r="G1087" t="n">
        <v>1</v>
      </c>
      <c r="H1087" s="7" t="n">
        <v>7.9</v>
      </c>
      <c r="I1087" s="7" t="n">
        <v>0</v>
      </c>
      <c r="J1087" s="7" t="n">
        <v>0</v>
      </c>
      <c r="K1087" s="9" t="n">
        <v>0</v>
      </c>
      <c r="L1087" s="10" t="n">
        <v>4.68</v>
      </c>
      <c r="M1087" s="10" t="n">
        <v>1.43</v>
      </c>
      <c r="N1087" t="inlineStr">
        <is>
          <t>1</t>
        </is>
      </c>
      <c r="O1087" t="inlineStr">
        <is>
          <t>16</t>
        </is>
      </c>
      <c r="P1087" t="inlineStr">
        <is>
          <t xml:space="preserve">12598   </t>
        </is>
      </c>
      <c r="Q1087" s="26" t="n">
        <v>4.69</v>
      </c>
      <c r="R1087" s="26">
        <f>Q1087*G1087</f>
        <v/>
      </c>
      <c r="S1087" s="26">
        <f>IFERROR(VLOOKUP(E1087*1,Tabla[#All],8,0),0)</f>
        <v/>
      </c>
      <c r="T1087" s="26">
        <f>S1087*G1087</f>
        <v/>
      </c>
      <c r="U1087" s="26">
        <f>R1087-T1087</f>
        <v/>
      </c>
      <c r="V1087" s="26">
        <f>U1087-L1087</f>
        <v/>
      </c>
    </row>
    <row r="1088">
      <c r="A1088" s="11" t="n">
        <v>46214</v>
      </c>
      <c r="B1088" s="1" t="n">
        <v>20074</v>
      </c>
      <c r="C1088" s="1" t="inlineStr">
        <is>
          <t>028</t>
        </is>
      </c>
      <c r="D1088" s="1" t="inlineStr">
        <is>
          <t>182257</t>
        </is>
      </c>
      <c r="E1088" s="1" t="inlineStr">
        <is>
          <t xml:space="preserve">30141766       </t>
        </is>
      </c>
      <c r="F1088" s="5" t="inlineStr">
        <is>
          <t>TMZ BEAST MACHINES AUTOS DE METAL BLISTER X 1</t>
        </is>
      </c>
      <c r="G1088" t="n">
        <v>1</v>
      </c>
      <c r="H1088" s="7" t="n">
        <v>7.9</v>
      </c>
      <c r="I1088" s="7" t="n">
        <v>0</v>
      </c>
      <c r="J1088" s="7" t="n">
        <v>0</v>
      </c>
      <c r="K1088" s="9" t="n">
        <v>0</v>
      </c>
      <c r="L1088" s="10" t="n">
        <v>4.68</v>
      </c>
      <c r="M1088" s="10" t="n">
        <v>1.43</v>
      </c>
      <c r="N1088" t="inlineStr">
        <is>
          <t>1</t>
        </is>
      </c>
      <c r="O1088" t="inlineStr">
        <is>
          <t>16</t>
        </is>
      </c>
      <c r="P1088" t="inlineStr">
        <is>
          <t xml:space="preserve">12598   </t>
        </is>
      </c>
      <c r="Q1088" s="26" t="n">
        <v>4.69</v>
      </c>
      <c r="R1088" s="26">
        <f>Q1088*G1088</f>
        <v/>
      </c>
      <c r="S1088" s="26">
        <f>IFERROR(VLOOKUP(E1088*1,Tabla[#All],8,0),0)</f>
        <v/>
      </c>
      <c r="T1088" s="26">
        <f>S1088*G1088</f>
        <v/>
      </c>
      <c r="U1088" s="26">
        <f>R1088-T1088</f>
        <v/>
      </c>
      <c r="V1088" s="26">
        <f>U1088-L1088</f>
        <v/>
      </c>
    </row>
    <row r="1089">
      <c r="A1089" s="11" t="n">
        <v>46214</v>
      </c>
      <c r="B1089" s="1" t="n">
        <v>20074</v>
      </c>
      <c r="C1089" s="1" t="inlineStr">
        <is>
          <t>028</t>
        </is>
      </c>
      <c r="D1089" s="1" t="inlineStr">
        <is>
          <t>182257</t>
        </is>
      </c>
      <c r="E1089" s="1" t="inlineStr">
        <is>
          <t xml:space="preserve">30141766       </t>
        </is>
      </c>
      <c r="F1089" s="5" t="inlineStr">
        <is>
          <t>TMZ BEAST MACHINES AUTOS DE METAL BLISTER X 1</t>
        </is>
      </c>
      <c r="G1089" t="n">
        <v>1</v>
      </c>
      <c r="H1089" s="7" t="n">
        <v>7.9</v>
      </c>
      <c r="I1089" s="7" t="n">
        <v>0</v>
      </c>
      <c r="J1089" s="7" t="n">
        <v>0</v>
      </c>
      <c r="K1089" s="9" t="n">
        <v>0</v>
      </c>
      <c r="L1089" s="10" t="n">
        <v>4.68</v>
      </c>
      <c r="M1089" s="10" t="n">
        <v>1.43</v>
      </c>
      <c r="N1089" t="inlineStr">
        <is>
          <t>1</t>
        </is>
      </c>
      <c r="O1089" t="inlineStr">
        <is>
          <t>16</t>
        </is>
      </c>
      <c r="P1089" t="inlineStr">
        <is>
          <t xml:space="preserve">12598   </t>
        </is>
      </c>
      <c r="Q1089" s="26" t="n">
        <v>4.69</v>
      </c>
      <c r="R1089" s="26">
        <f>Q1089*G1089</f>
        <v/>
      </c>
      <c r="S1089" s="26">
        <f>IFERROR(VLOOKUP(E1089*1,Tabla[#All],8,0),0)</f>
        <v/>
      </c>
      <c r="T1089" s="26">
        <f>S1089*G1089</f>
        <v/>
      </c>
      <c r="U1089" s="26">
        <f>R1089-T1089</f>
        <v/>
      </c>
      <c r="V1089" s="26">
        <f>U1089-L1089</f>
        <v/>
      </c>
    </row>
    <row r="1090">
      <c r="A1090" s="11" t="n">
        <v>46214</v>
      </c>
      <c r="B1090" s="1" t="n">
        <v>20074</v>
      </c>
      <c r="C1090" s="1" t="inlineStr">
        <is>
          <t>028</t>
        </is>
      </c>
      <c r="D1090" s="1" t="inlineStr">
        <is>
          <t>182257</t>
        </is>
      </c>
      <c r="E1090" s="1" t="inlineStr">
        <is>
          <t xml:space="preserve">30141766       </t>
        </is>
      </c>
      <c r="F1090" s="5" t="inlineStr">
        <is>
          <t>TMZ BEAST MACHINES AUTOS DE METAL BLISTER X 1</t>
        </is>
      </c>
      <c r="G1090" t="n">
        <v>1</v>
      </c>
      <c r="H1090" s="7" t="n">
        <v>7.9</v>
      </c>
      <c r="I1090" s="7" t="n">
        <v>0</v>
      </c>
      <c r="J1090" s="7" t="n">
        <v>0</v>
      </c>
      <c r="K1090" s="9" t="n">
        <v>0</v>
      </c>
      <c r="L1090" s="10" t="n">
        <v>4.68</v>
      </c>
      <c r="M1090" s="10" t="n">
        <v>1.43</v>
      </c>
      <c r="N1090" t="inlineStr">
        <is>
          <t>1</t>
        </is>
      </c>
      <c r="O1090" t="inlineStr">
        <is>
          <t>16</t>
        </is>
      </c>
      <c r="P1090" t="inlineStr">
        <is>
          <t xml:space="preserve">12598   </t>
        </is>
      </c>
      <c r="Q1090" s="26" t="n">
        <v>4.69</v>
      </c>
      <c r="R1090" s="26">
        <f>Q1090*G1090</f>
        <v/>
      </c>
      <c r="S1090" s="26">
        <f>IFERROR(VLOOKUP(E1090*1,Tabla[#All],8,0),0)</f>
        <v/>
      </c>
      <c r="T1090" s="26">
        <f>S1090*G1090</f>
        <v/>
      </c>
      <c r="U1090" s="26">
        <f>R1090-T1090</f>
        <v/>
      </c>
      <c r="V1090" s="26">
        <f>U1090-L1090</f>
        <v/>
      </c>
    </row>
    <row r="1091">
      <c r="A1091" s="11" t="n">
        <v>46214</v>
      </c>
      <c r="B1091" s="1" t="n">
        <v>20074</v>
      </c>
      <c r="C1091" s="1" t="inlineStr">
        <is>
          <t>028</t>
        </is>
      </c>
      <c r="D1091" s="1" t="inlineStr">
        <is>
          <t>182257</t>
        </is>
      </c>
      <c r="E1091" s="1" t="inlineStr">
        <is>
          <t xml:space="preserve">32457111       </t>
        </is>
      </c>
      <c r="F1091" s="5" t="inlineStr">
        <is>
          <t>TMZ BEAST MACHINES MONSTER JAWS A FRICCION PACK DE</t>
        </is>
      </c>
      <c r="G1091" t="n">
        <v>1</v>
      </c>
      <c r="H1091" s="7" t="n">
        <v>74.90000000000001</v>
      </c>
      <c r="I1091" s="7" t="n">
        <v>0</v>
      </c>
      <c r="J1091" s="7" t="n">
        <v>0</v>
      </c>
      <c r="K1091" s="9" t="n">
        <v>0</v>
      </c>
      <c r="L1091" s="10" t="n">
        <v>44.43</v>
      </c>
      <c r="M1091" s="10" t="n">
        <v>1.43</v>
      </c>
      <c r="N1091" t="inlineStr">
        <is>
          <t>1</t>
        </is>
      </c>
      <c r="O1091" t="inlineStr">
        <is>
          <t>16</t>
        </is>
      </c>
      <c r="P1091" t="inlineStr">
        <is>
          <t xml:space="preserve">12598   </t>
        </is>
      </c>
      <c r="Q1091" s="26" t="n">
        <v>44.43</v>
      </c>
      <c r="R1091" s="26">
        <f>Q1091*G1091</f>
        <v/>
      </c>
      <c r="S1091" s="26">
        <f>IFERROR(VLOOKUP(E1091*1,Tabla[#All],8,0),0)</f>
        <v/>
      </c>
      <c r="T1091" s="26">
        <f>S1091*G1091</f>
        <v/>
      </c>
      <c r="U1091" s="26">
        <f>R1091-T1091</f>
        <v/>
      </c>
      <c r="V1091" s="26">
        <f>U1091-L1091</f>
        <v/>
      </c>
    </row>
    <row r="1092">
      <c r="A1092" s="11" t="n">
        <v>46214</v>
      </c>
      <c r="B1092" s="1" t="n">
        <v>20074</v>
      </c>
      <c r="C1092" s="1" t="inlineStr">
        <is>
          <t>048</t>
        </is>
      </c>
      <c r="D1092" s="1" t="inlineStr">
        <is>
          <t>144806</t>
        </is>
      </c>
      <c r="E1092" s="1" t="inlineStr">
        <is>
          <t xml:space="preserve">31675354       </t>
        </is>
      </c>
      <c r="F1092" s="5" t="inlineStr">
        <is>
          <t>NENUCO LLORON CON ACCESORIOS</t>
        </is>
      </c>
      <c r="G1092" t="n">
        <v>1</v>
      </c>
      <c r="H1092" s="7" t="n">
        <v>89.90000000000001</v>
      </c>
      <c r="I1092" s="7" t="n">
        <v>8.99</v>
      </c>
      <c r="J1092" s="7" t="n">
        <v>0</v>
      </c>
      <c r="K1092" s="9" t="n">
        <v>8.99</v>
      </c>
      <c r="L1092" s="10" t="n">
        <v>48</v>
      </c>
      <c r="M1092" s="10" t="n">
        <v>1.43</v>
      </c>
      <c r="N1092" t="inlineStr">
        <is>
          <t>1</t>
        </is>
      </c>
      <c r="O1092" t="inlineStr">
        <is>
          <t xml:space="preserve">3 </t>
        </is>
      </c>
      <c r="P1092" t="inlineStr">
        <is>
          <t xml:space="preserve">250385  </t>
        </is>
      </c>
      <c r="Q1092" s="26" t="n">
        <v>53.33</v>
      </c>
      <c r="R1092" s="26">
        <f>Q1092*G1092</f>
        <v/>
      </c>
      <c r="S1092" s="26">
        <f>IFERROR(VLOOKUP(E1092*1,Tabla[#All],8,0),0)</f>
        <v/>
      </c>
      <c r="T1092" s="26">
        <f>S1092*G1092</f>
        <v/>
      </c>
      <c r="U1092" s="26">
        <f>R1092-T1092</f>
        <v/>
      </c>
      <c r="V1092" s="26">
        <f>U1092-L1092</f>
        <v/>
      </c>
    </row>
    <row r="1093">
      <c r="A1093" s="11" t="n">
        <v>46214</v>
      </c>
      <c r="B1093" s="1" t="n">
        <v>20074</v>
      </c>
      <c r="C1093" s="1" t="inlineStr">
        <is>
          <t>048</t>
        </is>
      </c>
      <c r="D1093" s="1" t="inlineStr">
        <is>
          <t>144828</t>
        </is>
      </c>
      <c r="E1093" s="1" t="inlineStr">
        <is>
          <t xml:space="preserve">32457099       </t>
        </is>
      </c>
      <c r="F1093" s="5" t="inlineStr">
        <is>
          <t>TMZ BEAST MACHINES MONSTER JAWS A FRICCION BLISTER</t>
        </is>
      </c>
      <c r="G1093" t="n">
        <v>1</v>
      </c>
      <c r="H1093" s="7" t="n">
        <v>19.9</v>
      </c>
      <c r="I1093" s="7" t="n">
        <v>0</v>
      </c>
      <c r="J1093" s="7" t="n">
        <v>0</v>
      </c>
      <c r="K1093" s="9" t="n">
        <v>0</v>
      </c>
      <c r="L1093" s="10" t="n">
        <v>11.8</v>
      </c>
      <c r="M1093" s="10" t="n">
        <v>1.43</v>
      </c>
      <c r="N1093" t="inlineStr">
        <is>
          <t>1</t>
        </is>
      </c>
      <c r="O1093" t="inlineStr">
        <is>
          <t>16</t>
        </is>
      </c>
      <c r="P1093" t="inlineStr">
        <is>
          <t xml:space="preserve">250385  </t>
        </is>
      </c>
      <c r="Q1093" s="26" t="n">
        <v>11.81</v>
      </c>
      <c r="R1093" s="26">
        <f>Q1093*G1093</f>
        <v/>
      </c>
      <c r="S1093" s="26">
        <f>IFERROR(VLOOKUP(E1093*1,Tabla[#All],8,0),0)</f>
        <v/>
      </c>
      <c r="T1093" s="26">
        <f>S1093*G1093</f>
        <v/>
      </c>
      <c r="U1093" s="26">
        <f>R1093-T1093</f>
        <v/>
      </c>
      <c r="V1093" s="26">
        <f>U1093-L1093</f>
        <v/>
      </c>
    </row>
    <row r="1094">
      <c r="A1094" s="11" t="n">
        <v>46214</v>
      </c>
      <c r="B1094" s="1" t="n">
        <v>20077</v>
      </c>
      <c r="C1094" s="1" t="inlineStr">
        <is>
          <t>011</t>
        </is>
      </c>
      <c r="D1094" s="1" t="inlineStr">
        <is>
          <t xml:space="preserve">83803 </t>
        </is>
      </c>
      <c r="E1094" s="1" t="inlineStr">
        <is>
          <t xml:space="preserve">28194768       </t>
        </is>
      </c>
      <c r="F1094" s="5" t="inlineStr">
        <is>
          <t>AUTO COLOR CHANGE TEAMSTERZ SURTIDO</t>
        </is>
      </c>
      <c r="G1094" t="n">
        <v>1</v>
      </c>
      <c r="H1094" s="7" t="n">
        <v>14.9</v>
      </c>
      <c r="I1094" s="7" t="n">
        <v>1.49</v>
      </c>
      <c r="J1094" s="7" t="n">
        <v>0</v>
      </c>
      <c r="K1094" s="9" t="n">
        <v>1.49</v>
      </c>
      <c r="L1094" s="10" t="n">
        <v>7.95</v>
      </c>
      <c r="M1094" s="10" t="n">
        <v>1.43</v>
      </c>
      <c r="N1094" t="inlineStr">
        <is>
          <t>1</t>
        </is>
      </c>
      <c r="O1094" t="inlineStr">
        <is>
          <t>16</t>
        </is>
      </c>
      <c r="P1094" t="inlineStr">
        <is>
          <t xml:space="preserve">62762   </t>
        </is>
      </c>
      <c r="Q1094" s="26" t="n">
        <v>8.84</v>
      </c>
      <c r="R1094" s="26">
        <f>Q1094*G1094</f>
        <v/>
      </c>
      <c r="S1094" s="26">
        <f>IFERROR(VLOOKUP(E1094*1,Tabla[#All],8,0),0)</f>
        <v/>
      </c>
      <c r="T1094" s="26">
        <f>S1094*G1094</f>
        <v/>
      </c>
      <c r="U1094" s="26">
        <f>R1094-T1094</f>
        <v/>
      </c>
      <c r="V1094" s="26">
        <f>U1094-L1094</f>
        <v/>
      </c>
    </row>
    <row r="1095">
      <c r="A1095" s="11" t="n">
        <v>46214</v>
      </c>
      <c r="B1095" s="1" t="n">
        <v>20077</v>
      </c>
      <c r="C1095" s="1" t="inlineStr">
        <is>
          <t>029</t>
        </is>
      </c>
      <c r="D1095" s="1" t="inlineStr">
        <is>
          <t>155980</t>
        </is>
      </c>
      <c r="E1095" s="1" t="inlineStr">
        <is>
          <t xml:space="preserve">28194768       </t>
        </is>
      </c>
      <c r="F1095" s="5" t="inlineStr">
        <is>
          <t>AUTO COLOR CHANGE TEAMSTERZ SURTIDO</t>
        </is>
      </c>
      <c r="G1095" t="n">
        <v>1</v>
      </c>
      <c r="H1095" s="7" t="n">
        <v>14.9</v>
      </c>
      <c r="I1095" s="7" t="n">
        <v>0</v>
      </c>
      <c r="J1095" s="7" t="n">
        <v>0</v>
      </c>
      <c r="K1095" s="9" t="n">
        <v>0</v>
      </c>
      <c r="L1095" s="10" t="n">
        <v>8.84</v>
      </c>
      <c r="M1095" s="10" t="n">
        <v>1.43</v>
      </c>
      <c r="N1095" t="inlineStr">
        <is>
          <t>1</t>
        </is>
      </c>
      <c r="O1095" t="inlineStr">
        <is>
          <t xml:space="preserve">2 </t>
        </is>
      </c>
      <c r="P1095" t="inlineStr">
        <is>
          <t xml:space="preserve">244089  </t>
        </is>
      </c>
      <c r="Q1095" s="26" t="n">
        <v>8.84</v>
      </c>
      <c r="R1095" s="26">
        <f>Q1095*G1095</f>
        <v/>
      </c>
      <c r="S1095" s="26">
        <f>IFERROR(VLOOKUP(E1095*1,Tabla[#All],8,0),0)</f>
        <v/>
      </c>
      <c r="T1095" s="26">
        <f>S1095*G1095</f>
        <v/>
      </c>
      <c r="U1095" s="26">
        <f>R1095-T1095</f>
        <v/>
      </c>
      <c r="V1095" s="26">
        <f>U1095-L1095</f>
        <v/>
      </c>
    </row>
    <row r="1096">
      <c r="A1096" s="11" t="n">
        <v>46214</v>
      </c>
      <c r="B1096" s="1" t="n">
        <v>20077</v>
      </c>
      <c r="C1096" s="1" t="inlineStr">
        <is>
          <t>029</t>
        </is>
      </c>
      <c r="D1096" s="1" t="inlineStr">
        <is>
          <t>155989</t>
        </is>
      </c>
      <c r="E1096" s="1" t="inlineStr">
        <is>
          <t xml:space="preserve">30141766       </t>
        </is>
      </c>
      <c r="F1096" s="5" t="inlineStr">
        <is>
          <t>TMZ BEAST MACHINES AUTOS DE METAL BLISTER X 1</t>
        </is>
      </c>
      <c r="G1096" t="n">
        <v>1</v>
      </c>
      <c r="H1096" s="7" t="n">
        <v>7.9</v>
      </c>
      <c r="I1096" s="7" t="n">
        <v>0</v>
      </c>
      <c r="J1096" s="7" t="n">
        <v>0</v>
      </c>
      <c r="K1096" s="9" t="n">
        <v>0</v>
      </c>
      <c r="L1096" s="10" t="n">
        <v>4.68</v>
      </c>
      <c r="M1096" s="10" t="n">
        <v>1.43</v>
      </c>
      <c r="N1096" t="inlineStr">
        <is>
          <t>1</t>
        </is>
      </c>
      <c r="O1096" t="inlineStr">
        <is>
          <t>16</t>
        </is>
      </c>
      <c r="P1096" t="inlineStr">
        <is>
          <t xml:space="preserve">244089  </t>
        </is>
      </c>
      <c r="Q1096" s="26" t="n">
        <v>4.69</v>
      </c>
      <c r="R1096" s="26">
        <f>Q1096*G1096</f>
        <v/>
      </c>
      <c r="S1096" s="26">
        <f>IFERROR(VLOOKUP(E1096*1,Tabla[#All],8,0),0)</f>
        <v/>
      </c>
      <c r="T1096" s="26">
        <f>S1096*G1096</f>
        <v/>
      </c>
      <c r="U1096" s="26">
        <f>R1096-T1096</f>
        <v/>
      </c>
      <c r="V1096" s="26">
        <f>U1096-L1096</f>
        <v/>
      </c>
    </row>
    <row r="1097">
      <c r="A1097" s="11" t="n">
        <v>46214</v>
      </c>
      <c r="B1097" s="1" t="n">
        <v>20077</v>
      </c>
      <c r="C1097" s="1" t="inlineStr">
        <is>
          <t>029</t>
        </is>
      </c>
      <c r="D1097" s="1" t="inlineStr">
        <is>
          <t>155989</t>
        </is>
      </c>
      <c r="E1097" s="1" t="inlineStr">
        <is>
          <t xml:space="preserve">30141766       </t>
        </is>
      </c>
      <c r="F1097" s="5" t="inlineStr">
        <is>
          <t>TMZ BEAST MACHINES AUTOS DE METAL BLISTER X 1</t>
        </is>
      </c>
      <c r="G1097" t="n">
        <v>1</v>
      </c>
      <c r="H1097" s="7" t="n">
        <v>7.9</v>
      </c>
      <c r="I1097" s="7" t="n">
        <v>0</v>
      </c>
      <c r="J1097" s="7" t="n">
        <v>0</v>
      </c>
      <c r="K1097" s="9" t="n">
        <v>0</v>
      </c>
      <c r="L1097" s="10" t="n">
        <v>4.68</v>
      </c>
      <c r="M1097" s="10" t="n">
        <v>1.43</v>
      </c>
      <c r="N1097" t="inlineStr">
        <is>
          <t>1</t>
        </is>
      </c>
      <c r="O1097" t="inlineStr">
        <is>
          <t>16</t>
        </is>
      </c>
      <c r="P1097" t="inlineStr">
        <is>
          <t xml:space="preserve">244089  </t>
        </is>
      </c>
      <c r="Q1097" s="26" t="n">
        <v>4.69</v>
      </c>
      <c r="R1097" s="26">
        <f>Q1097*G1097</f>
        <v/>
      </c>
      <c r="S1097" s="26">
        <f>IFERROR(VLOOKUP(E1097*1,Tabla[#All],8,0),0)</f>
        <v/>
      </c>
      <c r="T1097" s="26">
        <f>S1097*G1097</f>
        <v/>
      </c>
      <c r="U1097" s="26">
        <f>R1097-T1097</f>
        <v/>
      </c>
      <c r="V1097" s="26">
        <f>U1097-L1097</f>
        <v/>
      </c>
    </row>
    <row r="1098">
      <c r="A1098" s="11" t="n">
        <v>46214</v>
      </c>
      <c r="B1098" s="1" t="n">
        <v>20077</v>
      </c>
      <c r="C1098" s="1" t="inlineStr">
        <is>
          <t>031</t>
        </is>
      </c>
      <c r="D1098" s="1" t="inlineStr">
        <is>
          <t>186321</t>
        </is>
      </c>
      <c r="E1098" s="1" t="inlineStr">
        <is>
          <t xml:space="preserve">28194770       </t>
        </is>
      </c>
      <c r="F1098" s="5" t="inlineStr">
        <is>
          <t>AUTOS DE METAL 3 TEAMSTERZ EN BLISTER</t>
        </is>
      </c>
      <c r="G1098" t="n">
        <v>1</v>
      </c>
      <c r="H1098" s="7" t="n">
        <v>6.9</v>
      </c>
      <c r="I1098" s="7" t="n">
        <v>0</v>
      </c>
      <c r="J1098" s="7" t="n">
        <v>0</v>
      </c>
      <c r="K1098" s="9" t="n">
        <v>0</v>
      </c>
      <c r="L1098" s="10" t="n">
        <v>4.1</v>
      </c>
      <c r="M1098" s="10" t="n">
        <v>1.43</v>
      </c>
      <c r="N1098" t="inlineStr">
        <is>
          <t>1</t>
        </is>
      </c>
      <c r="O1098" t="inlineStr">
        <is>
          <t xml:space="preserve">2 </t>
        </is>
      </c>
      <c r="P1098" t="inlineStr">
        <is>
          <t xml:space="preserve">50022   </t>
        </is>
      </c>
      <c r="Q1098" s="26" t="n">
        <v>4.09</v>
      </c>
      <c r="R1098" s="26">
        <f>Q1098*G1098</f>
        <v/>
      </c>
      <c r="S1098" s="26">
        <f>IFERROR(VLOOKUP(E1098*1,Tabla[#All],8,0),0)</f>
        <v/>
      </c>
      <c r="T1098" s="26">
        <f>S1098*G1098</f>
        <v/>
      </c>
      <c r="U1098" s="26">
        <f>R1098-T1098</f>
        <v/>
      </c>
      <c r="V1098" s="26">
        <f>U1098-L1098</f>
        <v/>
      </c>
    </row>
    <row r="1099">
      <c r="A1099" s="11" t="n">
        <v>46214</v>
      </c>
      <c r="B1099" s="1" t="n">
        <v>20077</v>
      </c>
      <c r="C1099" s="1" t="inlineStr">
        <is>
          <t>031</t>
        </is>
      </c>
      <c r="D1099" s="1" t="inlineStr">
        <is>
          <t>186321</t>
        </is>
      </c>
      <c r="E1099" s="1" t="inlineStr">
        <is>
          <t xml:space="preserve">30141766       </t>
        </is>
      </c>
      <c r="F1099" s="5" t="inlineStr">
        <is>
          <t>TMZ BEAST MACHINES AUTOS DE METAL BLISTER X 1</t>
        </is>
      </c>
      <c r="G1099" t="n">
        <v>1</v>
      </c>
      <c r="H1099" s="7" t="n">
        <v>7.9</v>
      </c>
      <c r="I1099" s="7" t="n">
        <v>0</v>
      </c>
      <c r="J1099" s="7" t="n">
        <v>0</v>
      </c>
      <c r="K1099" s="9" t="n">
        <v>0</v>
      </c>
      <c r="L1099" s="10" t="n">
        <v>4.68</v>
      </c>
      <c r="M1099" s="10" t="n">
        <v>1.43</v>
      </c>
      <c r="N1099" t="inlineStr">
        <is>
          <t>1</t>
        </is>
      </c>
      <c r="O1099" t="inlineStr">
        <is>
          <t xml:space="preserve">2 </t>
        </is>
      </c>
      <c r="P1099" t="inlineStr">
        <is>
          <t xml:space="preserve">50022   </t>
        </is>
      </c>
      <c r="Q1099" s="26" t="n">
        <v>4.69</v>
      </c>
      <c r="R1099" s="26">
        <f>Q1099*G1099</f>
        <v/>
      </c>
      <c r="S1099" s="26">
        <f>IFERROR(VLOOKUP(E1099*1,Tabla[#All],8,0),0)</f>
        <v/>
      </c>
      <c r="T1099" s="26">
        <f>S1099*G1099</f>
        <v/>
      </c>
      <c r="U1099" s="26">
        <f>R1099-T1099</f>
        <v/>
      </c>
      <c r="V1099" s="26">
        <f>U1099-L1099</f>
        <v/>
      </c>
    </row>
    <row r="1100">
      <c r="A1100" s="11" t="n">
        <v>46214</v>
      </c>
      <c r="B1100" s="1" t="n">
        <v>20077</v>
      </c>
      <c r="C1100" s="1" t="inlineStr">
        <is>
          <t>031</t>
        </is>
      </c>
      <c r="D1100" s="1" t="inlineStr">
        <is>
          <t>186336</t>
        </is>
      </c>
      <c r="E1100" s="1" t="inlineStr">
        <is>
          <t xml:space="preserve">28194780       </t>
        </is>
      </c>
      <c r="F1100" s="5" t="inlineStr">
        <is>
          <t>TROMPO BATALLA INFINITY NADO PLSTICO SURTIDO</t>
        </is>
      </c>
      <c r="G1100" t="n">
        <v>1</v>
      </c>
      <c r="H1100" s="7" t="n">
        <v>19.9</v>
      </c>
      <c r="I1100" s="7" t="n">
        <v>0</v>
      </c>
      <c r="J1100" s="7" t="n">
        <v>0</v>
      </c>
      <c r="K1100" s="9" t="n">
        <v>0</v>
      </c>
      <c r="L1100" s="10" t="n">
        <v>11.8</v>
      </c>
      <c r="M1100" s="10" t="n">
        <v>1.43</v>
      </c>
      <c r="N1100" t="inlineStr">
        <is>
          <t>1</t>
        </is>
      </c>
      <c r="O1100" t="inlineStr">
        <is>
          <t xml:space="preserve">2 </t>
        </is>
      </c>
      <c r="P1100" t="inlineStr">
        <is>
          <t xml:space="preserve">238746  </t>
        </is>
      </c>
      <c r="Q1100" s="26" t="n">
        <v>11.81</v>
      </c>
      <c r="R1100" s="26">
        <f>Q1100*G1100</f>
        <v/>
      </c>
      <c r="S1100" s="26">
        <f>IFERROR(VLOOKUP(E1100*1,Tabla[#All],8,0),0)</f>
        <v/>
      </c>
      <c r="T1100" s="26">
        <f>S1100*G1100</f>
        <v/>
      </c>
      <c r="U1100" s="26">
        <f>R1100-T1100</f>
        <v/>
      </c>
      <c r="V1100" s="26">
        <f>U1100-L1100</f>
        <v/>
      </c>
    </row>
    <row r="1101">
      <c r="A1101" s="11" t="n">
        <v>46214</v>
      </c>
      <c r="B1101" s="1" t="n">
        <v>20079</v>
      </c>
      <c r="C1101" s="1" t="inlineStr">
        <is>
          <t>013</t>
        </is>
      </c>
      <c r="D1101" s="1" t="inlineStr">
        <is>
          <t>228304</t>
        </is>
      </c>
      <c r="E1101" s="1" t="inlineStr">
        <is>
          <t xml:space="preserve">32457099       </t>
        </is>
      </c>
      <c r="F1101" s="5" t="inlineStr">
        <is>
          <t>TMZ BEAST MACHINES MONSTER JAWS A FRICCION BLISTER</t>
        </is>
      </c>
      <c r="G1101" t="n">
        <v>1</v>
      </c>
      <c r="H1101" s="7" t="n">
        <v>19.9</v>
      </c>
      <c r="I1101" s="7" t="n">
        <v>0</v>
      </c>
      <c r="J1101" s="7" t="n">
        <v>0</v>
      </c>
      <c r="K1101" s="9" t="n">
        <v>0</v>
      </c>
      <c r="L1101" s="10" t="n">
        <v>11.8</v>
      </c>
      <c r="M1101" s="10" t="n">
        <v>1.43</v>
      </c>
      <c r="N1101" t="inlineStr">
        <is>
          <t>1</t>
        </is>
      </c>
      <c r="O1101" t="inlineStr">
        <is>
          <t>16</t>
        </is>
      </c>
      <c r="P1101" t="inlineStr">
        <is>
          <t xml:space="preserve">38146   </t>
        </is>
      </c>
      <c r="Q1101" s="26" t="n">
        <v>11.81</v>
      </c>
      <c r="R1101" s="26">
        <f>Q1101*G1101</f>
        <v/>
      </c>
      <c r="S1101" s="26">
        <f>IFERROR(VLOOKUP(E1101*1,Tabla[#All],8,0),0)</f>
        <v/>
      </c>
      <c r="T1101" s="26">
        <f>S1101*G1101</f>
        <v/>
      </c>
      <c r="U1101" s="26">
        <f>R1101-T1101</f>
        <v/>
      </c>
      <c r="V1101" s="26">
        <f>U1101-L1101</f>
        <v/>
      </c>
    </row>
    <row r="1102">
      <c r="A1102" s="11" t="n">
        <v>46214</v>
      </c>
      <c r="B1102" s="1" t="n">
        <v>20079</v>
      </c>
      <c r="C1102" s="1" t="inlineStr">
        <is>
          <t>033</t>
        </is>
      </c>
      <c r="D1102" s="1" t="inlineStr">
        <is>
          <t xml:space="preserve">34196 </t>
        </is>
      </c>
      <c r="E1102" s="1" t="inlineStr">
        <is>
          <t xml:space="preserve">28194769       </t>
        </is>
      </c>
      <c r="F1102" s="5" t="inlineStr">
        <is>
          <t>AUTOS DE METAL 3 TEAMSTERZ PACK DE 2</t>
        </is>
      </c>
      <c r="G1102" t="n">
        <v>1</v>
      </c>
      <c r="H1102" s="7" t="n">
        <v>13.8</v>
      </c>
      <c r="I1102" s="7" t="n">
        <v>1.38</v>
      </c>
      <c r="J1102" s="7" t="n">
        <v>0</v>
      </c>
      <c r="K1102" s="9" t="n">
        <v>1.38</v>
      </c>
      <c r="L1102" s="10" t="n">
        <v>7.37</v>
      </c>
      <c r="M1102" s="10" t="n">
        <v>1.43</v>
      </c>
      <c r="N1102" t="inlineStr">
        <is>
          <t>1</t>
        </is>
      </c>
      <c r="O1102" t="inlineStr">
        <is>
          <t xml:space="preserve">3 </t>
        </is>
      </c>
      <c r="P1102" t="inlineStr">
        <is>
          <t xml:space="preserve">47148   </t>
        </is>
      </c>
      <c r="Q1102" s="26" t="n">
        <v>8.19</v>
      </c>
      <c r="R1102" s="26">
        <f>Q1102*G1102</f>
        <v/>
      </c>
      <c r="S1102" s="26">
        <f>IFERROR(VLOOKUP(E1102*1,Tabla[#All],8,0),0)</f>
        <v/>
      </c>
      <c r="T1102" s="26">
        <f>S1102*G1102</f>
        <v/>
      </c>
      <c r="U1102" s="26">
        <f>R1102-T1102</f>
        <v/>
      </c>
      <c r="V1102" s="26">
        <f>U1102-L1102</f>
        <v/>
      </c>
    </row>
    <row r="1103">
      <c r="A1103" s="11" t="n">
        <v>46214</v>
      </c>
      <c r="B1103" s="1" t="n">
        <v>20079</v>
      </c>
      <c r="C1103" s="1" t="inlineStr">
        <is>
          <t>033</t>
        </is>
      </c>
      <c r="D1103" s="1" t="inlineStr">
        <is>
          <t xml:space="preserve">34196 </t>
        </is>
      </c>
      <c r="E1103" s="1" t="inlineStr">
        <is>
          <t xml:space="preserve">28194770       </t>
        </is>
      </c>
      <c r="F1103" s="5" t="inlineStr">
        <is>
          <t>AUTOS DE METAL 3 TEAMSTERZ EN BLISTER</t>
        </is>
      </c>
      <c r="G1103" t="n">
        <v>1</v>
      </c>
      <c r="H1103" s="7" t="n">
        <v>6.9</v>
      </c>
      <c r="I1103" s="7" t="n">
        <v>0.6899999999999999</v>
      </c>
      <c r="J1103" s="7" t="n">
        <v>0</v>
      </c>
      <c r="K1103" s="9" t="n">
        <v>0.6899999999999999</v>
      </c>
      <c r="L1103" s="10" t="n">
        <v>3.68</v>
      </c>
      <c r="M1103" s="10" t="n">
        <v>1.43</v>
      </c>
      <c r="N1103" t="inlineStr">
        <is>
          <t>1</t>
        </is>
      </c>
      <c r="O1103" t="inlineStr">
        <is>
          <t xml:space="preserve">3 </t>
        </is>
      </c>
      <c r="P1103" t="inlineStr">
        <is>
          <t xml:space="preserve">47148   </t>
        </is>
      </c>
      <c r="Q1103" s="26" t="n">
        <v>4.09</v>
      </c>
      <c r="R1103" s="26">
        <f>Q1103*G1103</f>
        <v/>
      </c>
      <c r="S1103" s="26">
        <f>IFERROR(VLOOKUP(E1103*1,Tabla[#All],8,0),0)</f>
        <v/>
      </c>
      <c r="T1103" s="26">
        <f>S1103*G1103</f>
        <v/>
      </c>
      <c r="U1103" s="26">
        <f>R1103-T1103</f>
        <v/>
      </c>
      <c r="V1103" s="26">
        <f>U1103-L1103</f>
        <v/>
      </c>
    </row>
    <row r="1104">
      <c r="A1104" s="11" t="n">
        <v>46214</v>
      </c>
      <c r="B1104" s="1" t="n">
        <v>20079</v>
      </c>
      <c r="C1104" s="1" t="inlineStr">
        <is>
          <t>051</t>
        </is>
      </c>
      <c r="D1104" s="1" t="inlineStr">
        <is>
          <t>235644</t>
        </is>
      </c>
      <c r="E1104" s="1" t="inlineStr">
        <is>
          <t xml:space="preserve">28194769       </t>
        </is>
      </c>
      <c r="F1104" s="5" t="inlineStr">
        <is>
          <t>AUTOS DE METAL 3 TEAMSTERZ PACK DE 2</t>
        </is>
      </c>
      <c r="G1104" t="n">
        <v>1</v>
      </c>
      <c r="H1104" s="7" t="n">
        <v>13.8</v>
      </c>
      <c r="I1104" s="7" t="n">
        <v>0</v>
      </c>
      <c r="J1104" s="7" t="n">
        <v>0</v>
      </c>
      <c r="K1104" s="9" t="n">
        <v>0</v>
      </c>
      <c r="L1104" s="10" t="n">
        <v>8.18</v>
      </c>
      <c r="M1104" s="10" t="n">
        <v>1.43</v>
      </c>
      <c r="N1104" t="inlineStr">
        <is>
          <t>1</t>
        </is>
      </c>
      <c r="O1104" t="inlineStr">
        <is>
          <t>16</t>
        </is>
      </c>
      <c r="P1104" t="inlineStr">
        <is>
          <t xml:space="preserve">57836   </t>
        </is>
      </c>
      <c r="Q1104" s="26" t="n">
        <v>8.19</v>
      </c>
      <c r="R1104" s="26">
        <f>Q1104*G1104</f>
        <v/>
      </c>
      <c r="S1104" s="26">
        <f>IFERROR(VLOOKUP(E1104*1,Tabla[#All],8,0),0)</f>
        <v/>
      </c>
      <c r="T1104" s="26">
        <f>S1104*G1104</f>
        <v/>
      </c>
      <c r="U1104" s="26">
        <f>R1104-T1104</f>
        <v/>
      </c>
      <c r="V1104" s="26">
        <f>U1104-L1104</f>
        <v/>
      </c>
    </row>
    <row r="1105">
      <c r="A1105" s="11" t="n">
        <v>46214</v>
      </c>
      <c r="B1105" s="1" t="n">
        <v>20079</v>
      </c>
      <c r="C1105" s="1" t="inlineStr">
        <is>
          <t>051</t>
        </is>
      </c>
      <c r="D1105" s="1" t="inlineStr">
        <is>
          <t>235644</t>
        </is>
      </c>
      <c r="E1105" s="1" t="inlineStr">
        <is>
          <t xml:space="preserve">28194769       </t>
        </is>
      </c>
      <c r="F1105" s="5" t="inlineStr">
        <is>
          <t>AUTOS DE METAL 3 TEAMSTERZ PACK DE 2</t>
        </is>
      </c>
      <c r="G1105" t="n">
        <v>1</v>
      </c>
      <c r="H1105" s="7" t="n">
        <v>13.8</v>
      </c>
      <c r="I1105" s="7" t="n">
        <v>0</v>
      </c>
      <c r="J1105" s="7" t="n">
        <v>0</v>
      </c>
      <c r="K1105" s="9" t="n">
        <v>0</v>
      </c>
      <c r="L1105" s="10" t="n">
        <v>8.18</v>
      </c>
      <c r="M1105" s="10" t="n">
        <v>1.43</v>
      </c>
      <c r="N1105" t="inlineStr">
        <is>
          <t>1</t>
        </is>
      </c>
      <c r="O1105" t="inlineStr">
        <is>
          <t>16</t>
        </is>
      </c>
      <c r="P1105" t="inlineStr">
        <is>
          <t xml:space="preserve">57836   </t>
        </is>
      </c>
      <c r="Q1105" s="26" t="n">
        <v>8.19</v>
      </c>
      <c r="R1105" s="26">
        <f>Q1105*G1105</f>
        <v/>
      </c>
      <c r="S1105" s="26">
        <f>IFERROR(VLOOKUP(E1105*1,Tabla[#All],8,0),0)</f>
        <v/>
      </c>
      <c r="T1105" s="26">
        <f>S1105*G1105</f>
        <v/>
      </c>
      <c r="U1105" s="26">
        <f>R1105-T1105</f>
        <v/>
      </c>
      <c r="V1105" s="26">
        <f>U1105-L1105</f>
        <v/>
      </c>
    </row>
    <row r="1106">
      <c r="A1106" s="11" t="n">
        <v>46214</v>
      </c>
      <c r="B1106" s="1" t="n">
        <v>20079</v>
      </c>
      <c r="C1106" s="1" t="inlineStr">
        <is>
          <t>051</t>
        </is>
      </c>
      <c r="D1106" s="1" t="inlineStr">
        <is>
          <t>235644</t>
        </is>
      </c>
      <c r="E1106" s="1" t="inlineStr">
        <is>
          <t xml:space="preserve">32457099       </t>
        </is>
      </c>
      <c r="F1106" s="5" t="inlineStr">
        <is>
          <t>TMZ BEAST MACHINES MONSTER JAWS A FRICCION BLISTER</t>
        </is>
      </c>
      <c r="G1106" t="n">
        <v>1</v>
      </c>
      <c r="H1106" s="7" t="n">
        <v>19.9</v>
      </c>
      <c r="I1106" s="7" t="n">
        <v>0</v>
      </c>
      <c r="J1106" s="7" t="n">
        <v>0</v>
      </c>
      <c r="K1106" s="9" t="n">
        <v>0</v>
      </c>
      <c r="L1106" s="10" t="n">
        <v>11.8</v>
      </c>
      <c r="M1106" s="10" t="n">
        <v>1.43</v>
      </c>
      <c r="N1106" t="inlineStr">
        <is>
          <t>1</t>
        </is>
      </c>
      <c r="O1106" t="inlineStr">
        <is>
          <t>16</t>
        </is>
      </c>
      <c r="P1106" t="inlineStr">
        <is>
          <t xml:space="preserve">57836   </t>
        </is>
      </c>
      <c r="Q1106" s="26" t="n">
        <v>11.81</v>
      </c>
      <c r="R1106" s="26">
        <f>Q1106*G1106</f>
        <v/>
      </c>
      <c r="S1106" s="26">
        <f>IFERROR(VLOOKUP(E1106*1,Tabla[#All],8,0),0)</f>
        <v/>
      </c>
      <c r="T1106" s="26">
        <f>S1106*G1106</f>
        <v/>
      </c>
      <c r="U1106" s="26">
        <f>R1106-T1106</f>
        <v/>
      </c>
      <c r="V1106" s="26">
        <f>U1106-L1106</f>
        <v/>
      </c>
    </row>
    <row r="1107">
      <c r="A1107" s="11" t="n">
        <v>46214</v>
      </c>
      <c r="B1107" s="1" t="n">
        <v>20079</v>
      </c>
      <c r="C1107" s="1" t="inlineStr">
        <is>
          <t>051</t>
        </is>
      </c>
      <c r="D1107" s="1" t="inlineStr">
        <is>
          <t>235708</t>
        </is>
      </c>
      <c r="E1107" s="1" t="inlineStr">
        <is>
          <t xml:space="preserve">30141766       </t>
        </is>
      </c>
      <c r="F1107" s="5" t="inlineStr">
        <is>
          <t>TMZ BEAST MACHINES AUTOS DE METAL BLISTER X 1</t>
        </is>
      </c>
      <c r="G1107" t="n">
        <v>1</v>
      </c>
      <c r="H1107" s="7" t="n">
        <v>7.9</v>
      </c>
      <c r="I1107" s="7" t="n">
        <v>0</v>
      </c>
      <c r="J1107" s="7" t="n">
        <v>0</v>
      </c>
      <c r="K1107" s="9" t="n">
        <v>0</v>
      </c>
      <c r="L1107" s="10" t="n">
        <v>4.68</v>
      </c>
      <c r="M1107" s="10" t="n">
        <v>1.43</v>
      </c>
      <c r="N1107" t="inlineStr">
        <is>
          <t>1</t>
        </is>
      </c>
      <c r="O1107" t="inlineStr">
        <is>
          <t>16</t>
        </is>
      </c>
      <c r="P1107" t="inlineStr">
        <is>
          <t xml:space="preserve">57836   </t>
        </is>
      </c>
      <c r="Q1107" s="26" t="n">
        <v>4.69</v>
      </c>
      <c r="R1107" s="26">
        <f>Q1107*G1107</f>
        <v/>
      </c>
      <c r="S1107" s="26">
        <f>IFERROR(VLOOKUP(E1107*1,Tabla[#All],8,0),0)</f>
        <v/>
      </c>
      <c r="T1107" s="26">
        <f>S1107*G1107</f>
        <v/>
      </c>
      <c r="U1107" s="26">
        <f>R1107-T1107</f>
        <v/>
      </c>
      <c r="V1107" s="26">
        <f>U1107-L1107</f>
        <v/>
      </c>
    </row>
    <row r="1108">
      <c r="A1108" s="11" t="n">
        <v>46214</v>
      </c>
      <c r="B1108" s="1" t="n">
        <v>20079</v>
      </c>
      <c r="C1108" s="1" t="inlineStr">
        <is>
          <t>531</t>
        </is>
      </c>
      <c r="D1108" s="1" t="inlineStr">
        <is>
          <t xml:space="preserve">4843  </t>
        </is>
      </c>
      <c r="E1108" s="1" t="inlineStr">
        <is>
          <t xml:space="preserve">29235706       </t>
        </is>
      </c>
      <c r="F1108" s="5" t="inlineStr">
        <is>
          <t>TEAMSTERZ CAMION PARA GUARDAR 12 AUTOS INCL 4 AUTO</t>
        </is>
      </c>
      <c r="G1108" t="n">
        <v>1</v>
      </c>
      <c r="H1108" s="7" t="n">
        <v>59.9</v>
      </c>
      <c r="I1108" s="7" t="n">
        <v>0</v>
      </c>
      <c r="J1108" s="7" t="n">
        <v>0</v>
      </c>
      <c r="K1108" s="9" t="n">
        <v>0</v>
      </c>
      <c r="L1108" s="10" t="n">
        <v>35.53</v>
      </c>
      <c r="M1108" s="10" t="n">
        <v>1.43</v>
      </c>
      <c r="N1108" t="inlineStr">
        <is>
          <t>1</t>
        </is>
      </c>
      <c r="O1108" t="inlineStr">
        <is>
          <t>16</t>
        </is>
      </c>
      <c r="P1108" t="inlineStr">
        <is>
          <t xml:space="preserve">245804  </t>
        </is>
      </c>
      <c r="Q1108" s="26" t="n">
        <v>35.53</v>
      </c>
      <c r="R1108" s="26">
        <f>Q1108*G1108</f>
        <v/>
      </c>
      <c r="S1108" s="26">
        <f>IFERROR(VLOOKUP(E1108*1,Tabla[#All],8,0),0)</f>
        <v/>
      </c>
      <c r="T1108" s="26">
        <f>S1108*G1108</f>
        <v/>
      </c>
      <c r="U1108" s="26">
        <f>R1108-T1108</f>
        <v/>
      </c>
      <c r="V1108" s="26">
        <f>U1108-L1108</f>
        <v/>
      </c>
    </row>
    <row r="1109">
      <c r="A1109" s="11" t="n">
        <v>46214</v>
      </c>
      <c r="B1109" s="1" t="n">
        <v>20080</v>
      </c>
      <c r="C1109" s="1" t="inlineStr">
        <is>
          <t>020</t>
        </is>
      </c>
      <c r="D1109" s="1" t="inlineStr">
        <is>
          <t xml:space="preserve">2552  </t>
        </is>
      </c>
      <c r="E1109" s="1" t="inlineStr">
        <is>
          <t xml:space="preserve">32457118       </t>
        </is>
      </c>
      <c r="F1109" s="5" t="inlineStr">
        <is>
          <t>MUNECA EVI LOVE CAMAROTE + 2 MUNECAS</t>
        </is>
      </c>
      <c r="G1109" t="n">
        <v>1</v>
      </c>
      <c r="H1109" s="7" t="n">
        <v>49.9</v>
      </c>
      <c r="I1109" s="7" t="n">
        <v>0</v>
      </c>
      <c r="J1109" s="7" t="n">
        <v>0</v>
      </c>
      <c r="K1109" s="9" t="n">
        <v>0</v>
      </c>
      <c r="L1109" s="10" t="n">
        <v>29.6</v>
      </c>
      <c r="M1109" s="10" t="n">
        <v>1.43</v>
      </c>
      <c r="N1109" t="inlineStr">
        <is>
          <t>1</t>
        </is>
      </c>
      <c r="O1109" t="inlineStr">
        <is>
          <t>16</t>
        </is>
      </c>
      <c r="P1109" t="inlineStr">
        <is>
          <t xml:space="preserve">66628   </t>
        </is>
      </c>
      <c r="Q1109" s="26" t="n">
        <v>29.6</v>
      </c>
      <c r="R1109" s="26">
        <f>Q1109*G1109</f>
        <v/>
      </c>
      <c r="S1109" s="26">
        <f>IFERROR(VLOOKUP(E1109*1,Tabla[#All],8,0),0)</f>
        <v/>
      </c>
      <c r="T1109" s="26">
        <f>S1109*G1109</f>
        <v/>
      </c>
      <c r="U1109" s="26">
        <f>R1109-T1109</f>
        <v/>
      </c>
      <c r="V1109" s="26">
        <f>U1109-L1109</f>
        <v/>
      </c>
    </row>
    <row r="1110">
      <c r="A1110" s="11" t="n">
        <v>46214</v>
      </c>
      <c r="B1110" s="1" t="n">
        <v>20080</v>
      </c>
      <c r="C1110" s="1" t="inlineStr">
        <is>
          <t>026</t>
        </is>
      </c>
      <c r="D1110" s="1" t="inlineStr">
        <is>
          <t>208837</t>
        </is>
      </c>
      <c r="E1110" s="1" t="inlineStr">
        <is>
          <t xml:space="preserve">30141768       </t>
        </is>
      </c>
      <c r="F1110" s="5" t="inlineStr">
        <is>
          <t>TMZ BEAST MACHINES AUTOS DE METAL PACK 10 AUTOS</t>
        </is>
      </c>
      <c r="G1110" t="n">
        <v>1</v>
      </c>
      <c r="H1110" s="7" t="n">
        <v>79</v>
      </c>
      <c r="I1110" s="7" t="n">
        <v>7.9</v>
      </c>
      <c r="J1110" s="7" t="n">
        <v>0</v>
      </c>
      <c r="K1110" s="9" t="n">
        <v>7.9</v>
      </c>
      <c r="L1110" s="10" t="n">
        <v>42.18</v>
      </c>
      <c r="M1110" s="10" t="n">
        <v>1.43</v>
      </c>
      <c r="N1110" t="inlineStr">
        <is>
          <t>1</t>
        </is>
      </c>
      <c r="O1110" t="inlineStr">
        <is>
          <t xml:space="preserve">3 </t>
        </is>
      </c>
      <c r="P1110" t="inlineStr">
        <is>
          <t xml:space="preserve">81033   </t>
        </is>
      </c>
      <c r="Q1110" s="26" t="n">
        <v>46.86</v>
      </c>
      <c r="R1110" s="26">
        <f>Q1110*G1110</f>
        <v/>
      </c>
      <c r="S1110" s="26">
        <f>IFERROR(VLOOKUP(E1110*1,Tabla[#All],8,0),0)</f>
        <v/>
      </c>
      <c r="T1110" s="26">
        <f>S1110*G1110</f>
        <v/>
      </c>
      <c r="U1110" s="26">
        <f>R1110-T1110</f>
        <v/>
      </c>
      <c r="V1110" s="26">
        <f>U1110-L1110</f>
        <v/>
      </c>
    </row>
    <row r="1111">
      <c r="A1111" s="11" t="n">
        <v>46214</v>
      </c>
      <c r="B1111" s="1" t="n">
        <v>20080</v>
      </c>
      <c r="C1111" s="1" t="inlineStr">
        <is>
          <t>029</t>
        </is>
      </c>
      <c r="D1111" s="1" t="inlineStr">
        <is>
          <t>225270</t>
        </is>
      </c>
      <c r="E1111" s="1" t="inlineStr">
        <is>
          <t xml:space="preserve">29854052       </t>
        </is>
      </c>
      <c r="F1111" s="5" t="inlineStr">
        <is>
          <t>PLAYSET CAMBIA DE COLOR CROC BITE</t>
        </is>
      </c>
      <c r="G1111" t="n">
        <v>1</v>
      </c>
      <c r="H1111" s="7" t="n">
        <v>79.90000000000001</v>
      </c>
      <c r="I1111" s="7" t="n">
        <v>0</v>
      </c>
      <c r="J1111" s="7" t="n">
        <v>0</v>
      </c>
      <c r="K1111" s="9" t="n">
        <v>0</v>
      </c>
      <c r="L1111" s="10" t="n">
        <v>47.4</v>
      </c>
      <c r="M1111" s="10" t="n">
        <v>1.43</v>
      </c>
      <c r="N1111" t="inlineStr">
        <is>
          <t>1</t>
        </is>
      </c>
      <c r="O1111" t="inlineStr">
        <is>
          <t>16</t>
        </is>
      </c>
      <c r="P1111" t="inlineStr">
        <is>
          <t xml:space="preserve">66628   </t>
        </is>
      </c>
      <c r="Q1111" s="26" t="n">
        <v>47.4</v>
      </c>
      <c r="R1111" s="26">
        <f>Q1111*G1111</f>
        <v/>
      </c>
      <c r="S1111" s="26">
        <f>IFERROR(VLOOKUP(E1111*1,Tabla[#All],8,0),0)</f>
        <v/>
      </c>
      <c r="T1111" s="26">
        <f>S1111*G1111</f>
        <v/>
      </c>
      <c r="U1111" s="26">
        <f>R1111-T1111</f>
        <v/>
      </c>
      <c r="V1111" s="26">
        <f>U1111-L1111</f>
        <v/>
      </c>
    </row>
    <row r="1112">
      <c r="A1112" s="11" t="n">
        <v>46214</v>
      </c>
      <c r="B1112" s="1" t="n">
        <v>20080</v>
      </c>
      <c r="C1112" s="1" t="inlineStr">
        <is>
          <t>029</t>
        </is>
      </c>
      <c r="D1112" s="1" t="inlineStr">
        <is>
          <t>225314</t>
        </is>
      </c>
      <c r="E1112" s="1" t="inlineStr">
        <is>
          <t xml:space="preserve">29235706       </t>
        </is>
      </c>
      <c r="F1112" s="5" t="inlineStr">
        <is>
          <t>TEAMSTERZ CAMION PARA GUARDAR 12 AUTOS INCL 4 AUTO</t>
        </is>
      </c>
      <c r="G1112" t="n">
        <v>1</v>
      </c>
      <c r="H1112" s="7" t="n">
        <v>59.9</v>
      </c>
      <c r="I1112" s="7" t="n">
        <v>0</v>
      </c>
      <c r="J1112" s="7" t="n">
        <v>0</v>
      </c>
      <c r="K1112" s="9" t="n">
        <v>0</v>
      </c>
      <c r="L1112" s="10" t="n">
        <v>35.53</v>
      </c>
      <c r="M1112" s="10" t="n">
        <v>1.43</v>
      </c>
      <c r="N1112" t="inlineStr">
        <is>
          <t>1</t>
        </is>
      </c>
      <c r="O1112" t="inlineStr">
        <is>
          <t>16</t>
        </is>
      </c>
      <c r="P1112" t="inlineStr">
        <is>
          <t xml:space="preserve">247625  </t>
        </is>
      </c>
      <c r="Q1112" s="26" t="n">
        <v>35.53</v>
      </c>
      <c r="R1112" s="26">
        <f>Q1112*G1112</f>
        <v/>
      </c>
      <c r="S1112" s="26">
        <f>IFERROR(VLOOKUP(E1112*1,Tabla[#All],8,0),0)</f>
        <v/>
      </c>
      <c r="T1112" s="26">
        <f>S1112*G1112</f>
        <v/>
      </c>
      <c r="U1112" s="26">
        <f>R1112-T1112</f>
        <v/>
      </c>
      <c r="V1112" s="26">
        <f>U1112-L1112</f>
        <v/>
      </c>
    </row>
    <row r="1113">
      <c r="A1113" s="11" t="n">
        <v>46214</v>
      </c>
      <c r="B1113" s="1" t="n">
        <v>20080</v>
      </c>
      <c r="C1113" s="1" t="inlineStr">
        <is>
          <t>029</t>
        </is>
      </c>
      <c r="D1113" s="1" t="inlineStr">
        <is>
          <t>225347</t>
        </is>
      </c>
      <c r="E1113" s="1" t="inlineStr">
        <is>
          <t xml:space="preserve">28194770       </t>
        </is>
      </c>
      <c r="F1113" s="5" t="inlineStr">
        <is>
          <t>AUTOS DE METAL 3 TEAMSTERZ EN BLISTER</t>
        </is>
      </c>
      <c r="G1113" t="n">
        <v>1</v>
      </c>
      <c r="H1113" s="7" t="n">
        <v>6.9</v>
      </c>
      <c r="I1113" s="7" t="n">
        <v>0</v>
      </c>
      <c r="J1113" s="7" t="n">
        <v>0</v>
      </c>
      <c r="K1113" s="9" t="n">
        <v>0</v>
      </c>
      <c r="L1113" s="10" t="n">
        <v>4.1</v>
      </c>
      <c r="M1113" s="10" t="n">
        <v>1.43</v>
      </c>
      <c r="N1113" t="inlineStr">
        <is>
          <t>1</t>
        </is>
      </c>
      <c r="O1113" t="inlineStr">
        <is>
          <t xml:space="preserve">6 </t>
        </is>
      </c>
      <c r="P1113" t="inlineStr">
        <is>
          <t xml:space="preserve">247625  </t>
        </is>
      </c>
      <c r="Q1113" s="26" t="n">
        <v>4.09</v>
      </c>
      <c r="R1113" s="26">
        <f>Q1113*G1113</f>
        <v/>
      </c>
      <c r="S1113" s="26">
        <f>IFERROR(VLOOKUP(E1113*1,Tabla[#All],8,0),0)</f>
        <v/>
      </c>
      <c r="T1113" s="26">
        <f>S1113*G1113</f>
        <v/>
      </c>
      <c r="U1113" s="26">
        <f>R1113-T1113</f>
        <v/>
      </c>
      <c r="V1113" s="26">
        <f>U1113-L1113</f>
        <v/>
      </c>
    </row>
    <row r="1114">
      <c r="A1114" s="11" t="n">
        <v>46214</v>
      </c>
      <c r="B1114" s="1" t="n">
        <v>20086</v>
      </c>
      <c r="C1114" s="1" t="inlineStr">
        <is>
          <t>015</t>
        </is>
      </c>
      <c r="D1114" s="1" t="inlineStr">
        <is>
          <t xml:space="preserve">3655  </t>
        </is>
      </c>
      <c r="E1114" s="1" t="inlineStr">
        <is>
          <t xml:space="preserve">28194770       </t>
        </is>
      </c>
      <c r="F1114" s="5" t="inlineStr">
        <is>
          <t>AUTOS DE METAL 3 TEAMSTERZ EN BLISTER</t>
        </is>
      </c>
      <c r="G1114" t="n">
        <v>1</v>
      </c>
      <c r="H1114" s="7" t="n">
        <v>6.9</v>
      </c>
      <c r="I1114" s="7" t="n">
        <v>0</v>
      </c>
      <c r="J1114" s="7" t="n">
        <v>0</v>
      </c>
      <c r="K1114" s="9" t="n">
        <v>0</v>
      </c>
      <c r="L1114" s="10" t="n">
        <v>4.1</v>
      </c>
      <c r="M1114" s="10" t="n">
        <v>1.43</v>
      </c>
      <c r="N1114" t="inlineStr">
        <is>
          <t>1</t>
        </is>
      </c>
      <c r="O1114" t="inlineStr">
        <is>
          <t xml:space="preserve">2 </t>
        </is>
      </c>
      <c r="P1114" t="inlineStr">
        <is>
          <t xml:space="preserve">250783  </t>
        </is>
      </c>
      <c r="Q1114" s="26" t="n">
        <v>4.09</v>
      </c>
      <c r="R1114" s="26">
        <f>Q1114*G1114</f>
        <v/>
      </c>
      <c r="S1114" s="26">
        <f>IFERROR(VLOOKUP(E1114*1,Tabla[#All],8,0),0)</f>
        <v/>
      </c>
      <c r="T1114" s="26">
        <f>S1114*G1114</f>
        <v/>
      </c>
      <c r="U1114" s="26">
        <f>R1114-T1114</f>
        <v/>
      </c>
      <c r="V1114" s="26">
        <f>U1114-L1114</f>
        <v/>
      </c>
    </row>
    <row r="1115">
      <c r="A1115" s="11" t="n">
        <v>46214</v>
      </c>
      <c r="B1115" s="1" t="n">
        <v>20086</v>
      </c>
      <c r="C1115" s="1" t="inlineStr">
        <is>
          <t>191</t>
        </is>
      </c>
      <c r="D1115" s="1" t="inlineStr">
        <is>
          <t>291535</t>
        </is>
      </c>
      <c r="E1115" s="1" t="inlineStr">
        <is>
          <t xml:space="preserve">28194770       </t>
        </is>
      </c>
      <c r="F1115" s="5" t="inlineStr">
        <is>
          <t>AUTOS DE METAL 3 TEAMSTERZ EN BLISTER</t>
        </is>
      </c>
      <c r="G1115" t="n">
        <v>1</v>
      </c>
      <c r="H1115" s="7" t="n">
        <v>6.9</v>
      </c>
      <c r="I1115" s="7" t="n">
        <v>0</v>
      </c>
      <c r="J1115" s="7" t="n">
        <v>0</v>
      </c>
      <c r="K1115" s="9" t="n">
        <v>0</v>
      </c>
      <c r="L1115" s="10" t="n">
        <v>4.1</v>
      </c>
      <c r="M1115" s="10" t="n">
        <v>1.43</v>
      </c>
      <c r="N1115" t="inlineStr">
        <is>
          <t>1</t>
        </is>
      </c>
      <c r="O1115" t="inlineStr">
        <is>
          <t>16</t>
        </is>
      </c>
      <c r="P1115" t="inlineStr">
        <is>
          <t xml:space="preserve">74697   </t>
        </is>
      </c>
      <c r="Q1115" s="26" t="n">
        <v>4.09</v>
      </c>
      <c r="R1115" s="26">
        <f>Q1115*G1115</f>
        <v/>
      </c>
      <c r="S1115" s="26">
        <f>IFERROR(VLOOKUP(E1115*1,Tabla[#All],8,0),0)</f>
        <v/>
      </c>
      <c r="T1115" s="26">
        <f>S1115*G1115</f>
        <v/>
      </c>
      <c r="U1115" s="26">
        <f>R1115-T1115</f>
        <v/>
      </c>
      <c r="V1115" s="26">
        <f>U1115-L1115</f>
        <v/>
      </c>
    </row>
    <row r="1116">
      <c r="A1116" s="11" t="n">
        <v>46214</v>
      </c>
      <c r="B1116" s="1" t="n">
        <v>20086</v>
      </c>
      <c r="C1116" s="1" t="inlineStr">
        <is>
          <t>191</t>
        </is>
      </c>
      <c r="D1116" s="1" t="inlineStr">
        <is>
          <t>291535</t>
        </is>
      </c>
      <c r="E1116" s="1" t="inlineStr">
        <is>
          <t xml:space="preserve">28194770       </t>
        </is>
      </c>
      <c r="F1116" s="5" t="inlineStr">
        <is>
          <t>AUTOS DE METAL 3 TEAMSTERZ EN BLISTER</t>
        </is>
      </c>
      <c r="G1116" t="n">
        <v>1</v>
      </c>
      <c r="H1116" s="7" t="n">
        <v>6.9</v>
      </c>
      <c r="I1116" s="7" t="n">
        <v>0</v>
      </c>
      <c r="J1116" s="7" t="n">
        <v>0</v>
      </c>
      <c r="K1116" s="9" t="n">
        <v>0</v>
      </c>
      <c r="L1116" s="10" t="n">
        <v>4.1</v>
      </c>
      <c r="M1116" s="10" t="n">
        <v>1.43</v>
      </c>
      <c r="N1116" t="inlineStr">
        <is>
          <t>1</t>
        </is>
      </c>
      <c r="O1116" t="inlineStr">
        <is>
          <t>16</t>
        </is>
      </c>
      <c r="P1116" t="inlineStr">
        <is>
          <t xml:space="preserve">74697   </t>
        </is>
      </c>
      <c r="Q1116" s="26" t="n">
        <v>4.09</v>
      </c>
      <c r="R1116" s="26">
        <f>Q1116*G1116</f>
        <v/>
      </c>
      <c r="S1116" s="26">
        <f>IFERROR(VLOOKUP(E1116*1,Tabla[#All],8,0),0)</f>
        <v/>
      </c>
      <c r="T1116" s="26">
        <f>S1116*G1116</f>
        <v/>
      </c>
      <c r="U1116" s="26">
        <f>R1116-T1116</f>
        <v/>
      </c>
      <c r="V1116" s="26">
        <f>U1116-L1116</f>
        <v/>
      </c>
    </row>
    <row r="1117">
      <c r="A1117" s="11" t="n">
        <v>46214</v>
      </c>
      <c r="B1117" s="1" t="n">
        <v>20086</v>
      </c>
      <c r="C1117" s="1" t="inlineStr">
        <is>
          <t>500</t>
        </is>
      </c>
      <c r="D1117" s="1" t="inlineStr">
        <is>
          <t xml:space="preserve">4341  </t>
        </is>
      </c>
      <c r="E1117" s="1" t="inlineStr">
        <is>
          <t xml:space="preserve">28194769       </t>
        </is>
      </c>
      <c r="F1117" s="5" t="inlineStr">
        <is>
          <t>AUTOS DE METAL 3 TEAMSTERZ PACK DE 2</t>
        </is>
      </c>
      <c r="G1117" t="n">
        <v>1</v>
      </c>
      <c r="H1117" s="7" t="n">
        <v>13.8</v>
      </c>
      <c r="I1117" s="7" t="n">
        <v>0</v>
      </c>
      <c r="J1117" s="7" t="n">
        <v>0</v>
      </c>
      <c r="K1117" s="9" t="n">
        <v>0</v>
      </c>
      <c r="L1117" s="10" t="n">
        <v>8.18</v>
      </c>
      <c r="M1117" s="10" t="n">
        <v>1.43</v>
      </c>
      <c r="N1117" t="inlineStr">
        <is>
          <t>1</t>
        </is>
      </c>
      <c r="O1117" t="inlineStr">
        <is>
          <t>16</t>
        </is>
      </c>
      <c r="P1117" t="inlineStr">
        <is>
          <t xml:space="preserve">243254  </t>
        </is>
      </c>
      <c r="Q1117" s="26" t="n">
        <v>8.19</v>
      </c>
      <c r="R1117" s="26">
        <f>Q1117*G1117</f>
        <v/>
      </c>
      <c r="S1117" s="26">
        <f>IFERROR(VLOOKUP(E1117*1,Tabla[#All],8,0),0)</f>
        <v/>
      </c>
      <c r="T1117" s="26">
        <f>S1117*G1117</f>
        <v/>
      </c>
      <c r="U1117" s="26">
        <f>R1117-T1117</f>
        <v/>
      </c>
      <c r="V1117" s="26">
        <f>U1117-L1117</f>
        <v/>
      </c>
    </row>
    <row r="1118">
      <c r="A1118" s="11" t="n">
        <v>46214</v>
      </c>
      <c r="B1118" s="1" t="n">
        <v>20088</v>
      </c>
      <c r="C1118" s="1" t="inlineStr">
        <is>
          <t>011</t>
        </is>
      </c>
      <c r="D1118" s="1" t="inlineStr">
        <is>
          <t xml:space="preserve">63300 </t>
        </is>
      </c>
      <c r="E1118" s="1" t="inlineStr">
        <is>
          <t xml:space="preserve">28194768       </t>
        </is>
      </c>
      <c r="F1118" s="5" t="inlineStr">
        <is>
          <t>AUTO COLOR CHANGE TEAMSTERZ SURTIDO</t>
        </is>
      </c>
      <c r="G1118" t="n">
        <v>1</v>
      </c>
      <c r="H1118" s="7" t="n">
        <v>14.9</v>
      </c>
      <c r="I1118" s="7" t="n">
        <v>0</v>
      </c>
      <c r="J1118" s="7" t="n">
        <v>0</v>
      </c>
      <c r="K1118" s="9" t="n">
        <v>0</v>
      </c>
      <c r="L1118" s="10" t="n">
        <v>8.84</v>
      </c>
      <c r="M1118" s="10" t="n">
        <v>1.43</v>
      </c>
      <c r="N1118" t="inlineStr">
        <is>
          <t>1</t>
        </is>
      </c>
      <c r="O1118" t="inlineStr">
        <is>
          <t>16</t>
        </is>
      </c>
      <c r="P1118" t="inlineStr">
        <is>
          <t xml:space="preserve">249601  </t>
        </is>
      </c>
      <c r="Q1118" s="26" t="n">
        <v>8.84</v>
      </c>
      <c r="R1118" s="26">
        <f>Q1118*G1118</f>
        <v/>
      </c>
      <c r="S1118" s="26">
        <f>IFERROR(VLOOKUP(E1118*1,Tabla[#All],8,0),0)</f>
        <v/>
      </c>
      <c r="T1118" s="26">
        <f>S1118*G1118</f>
        <v/>
      </c>
      <c r="U1118" s="26">
        <f>R1118-T1118</f>
        <v/>
      </c>
      <c r="V1118" s="26">
        <f>U1118-L1118</f>
        <v/>
      </c>
    </row>
    <row r="1119">
      <c r="A1119" s="11" t="n">
        <v>46214</v>
      </c>
      <c r="B1119" s="1" t="n">
        <v>20088</v>
      </c>
      <c r="C1119" s="1" t="inlineStr">
        <is>
          <t>011</t>
        </is>
      </c>
      <c r="D1119" s="1" t="inlineStr">
        <is>
          <t xml:space="preserve">63300 </t>
        </is>
      </c>
      <c r="E1119" s="1" t="inlineStr">
        <is>
          <t xml:space="preserve">28194769       </t>
        </is>
      </c>
      <c r="F1119" s="5" t="inlineStr">
        <is>
          <t>AUTOS DE METAL 3 TEAMSTERZ PACK DE 2</t>
        </is>
      </c>
      <c r="G1119" t="n">
        <v>1</v>
      </c>
      <c r="H1119" s="7" t="n">
        <v>13.8</v>
      </c>
      <c r="I1119" s="7" t="n">
        <v>0</v>
      </c>
      <c r="J1119" s="7" t="n">
        <v>0</v>
      </c>
      <c r="K1119" s="9" t="n">
        <v>0</v>
      </c>
      <c r="L1119" s="10" t="n">
        <v>8.18</v>
      </c>
      <c r="M1119" s="10" t="n">
        <v>1.43</v>
      </c>
      <c r="N1119" t="inlineStr">
        <is>
          <t>1</t>
        </is>
      </c>
      <c r="O1119" t="inlineStr">
        <is>
          <t>16</t>
        </is>
      </c>
      <c r="P1119" t="inlineStr">
        <is>
          <t xml:space="preserve">249601  </t>
        </is>
      </c>
      <c r="Q1119" s="26" t="n">
        <v>8.19</v>
      </c>
      <c r="R1119" s="26">
        <f>Q1119*G1119</f>
        <v/>
      </c>
      <c r="S1119" s="26">
        <f>IFERROR(VLOOKUP(E1119*1,Tabla[#All],8,0),0)</f>
        <v/>
      </c>
      <c r="T1119" s="26">
        <f>S1119*G1119</f>
        <v/>
      </c>
      <c r="U1119" s="26">
        <f>R1119-T1119</f>
        <v/>
      </c>
      <c r="V1119" s="26">
        <f>U1119-L1119</f>
        <v/>
      </c>
    </row>
    <row r="1120">
      <c r="A1120" s="11" t="n">
        <v>46214</v>
      </c>
      <c r="B1120" s="1" t="n">
        <v>20088</v>
      </c>
      <c r="C1120" s="1" t="inlineStr">
        <is>
          <t>021</t>
        </is>
      </c>
      <c r="D1120" s="1" t="inlineStr">
        <is>
          <t xml:space="preserve">48692 </t>
        </is>
      </c>
      <c r="E1120" s="1" t="inlineStr">
        <is>
          <t xml:space="preserve">28194770       </t>
        </is>
      </c>
      <c r="F1120" s="5" t="inlineStr">
        <is>
          <t>AUTOS DE METAL 3 TEAMSTERZ EN BLISTER</t>
        </is>
      </c>
      <c r="G1120" t="n">
        <v>1</v>
      </c>
      <c r="H1120" s="7" t="n">
        <v>6.9</v>
      </c>
      <c r="I1120" s="7" t="n">
        <v>0</v>
      </c>
      <c r="J1120" s="7" t="n">
        <v>0</v>
      </c>
      <c r="K1120" s="9" t="n">
        <v>0</v>
      </c>
      <c r="L1120" s="10" t="n">
        <v>4.1</v>
      </c>
      <c r="M1120" s="10" t="n">
        <v>1.43</v>
      </c>
      <c r="N1120" t="inlineStr">
        <is>
          <t>1</t>
        </is>
      </c>
      <c r="O1120" t="inlineStr">
        <is>
          <t xml:space="preserve">2 </t>
        </is>
      </c>
      <c r="P1120" t="inlineStr">
        <is>
          <t xml:space="preserve">235264  </t>
        </is>
      </c>
      <c r="Q1120" s="26" t="n">
        <v>4.09</v>
      </c>
      <c r="R1120" s="26">
        <f>Q1120*G1120</f>
        <v/>
      </c>
      <c r="S1120" s="26">
        <f>IFERROR(VLOOKUP(E1120*1,Tabla[#All],8,0),0)</f>
        <v/>
      </c>
      <c r="T1120" s="26">
        <f>S1120*G1120</f>
        <v/>
      </c>
      <c r="U1120" s="26">
        <f>R1120-T1120</f>
        <v/>
      </c>
      <c r="V1120" s="26">
        <f>U1120-L1120</f>
        <v/>
      </c>
    </row>
    <row r="1121">
      <c r="A1121" s="11" t="n">
        <v>46214</v>
      </c>
      <c r="B1121" s="1" t="n">
        <v>20088</v>
      </c>
      <c r="C1121" s="1" t="inlineStr">
        <is>
          <t>021</t>
        </is>
      </c>
      <c r="D1121" s="1" t="inlineStr">
        <is>
          <t xml:space="preserve">48705 </t>
        </is>
      </c>
      <c r="E1121" s="1" t="inlineStr">
        <is>
          <t xml:space="preserve">32457099       </t>
        </is>
      </c>
      <c r="F1121" s="5" t="inlineStr">
        <is>
          <t>TMZ BEAST MACHINES MONSTER JAWS A FRICCION BLISTER</t>
        </is>
      </c>
      <c r="G1121" t="n">
        <v>1</v>
      </c>
      <c r="H1121" s="7" t="n">
        <v>17.9</v>
      </c>
      <c r="I1121" s="7" t="n">
        <v>1.79</v>
      </c>
      <c r="J1121" s="7" t="n">
        <v>0</v>
      </c>
      <c r="K1121" s="9" t="n">
        <v>1.79</v>
      </c>
      <c r="L1121" s="10" t="n">
        <v>9.56</v>
      </c>
      <c r="M1121" s="10" t="n">
        <v>1.43</v>
      </c>
      <c r="N1121" t="inlineStr">
        <is>
          <t>1</t>
        </is>
      </c>
      <c r="O1121" t="inlineStr">
        <is>
          <t xml:space="preserve">3 </t>
        </is>
      </c>
      <c r="P1121" t="inlineStr">
        <is>
          <t xml:space="preserve">235264  </t>
        </is>
      </c>
      <c r="Q1121" s="26" t="n">
        <v>11.81</v>
      </c>
      <c r="R1121" s="26">
        <f>Q1121*G1121</f>
        <v/>
      </c>
      <c r="S1121" s="26">
        <f>IFERROR(VLOOKUP(E1121*1,Tabla[#All],8,0),0)</f>
        <v/>
      </c>
      <c r="T1121" s="26">
        <f>S1121*G1121</f>
        <v/>
      </c>
      <c r="U1121" s="26">
        <f>R1121-T1121</f>
        <v/>
      </c>
      <c r="V1121" s="26">
        <f>U1121-L1121</f>
        <v/>
      </c>
    </row>
    <row r="1122">
      <c r="A1122" s="11" t="n">
        <v>46214</v>
      </c>
      <c r="B1122" s="1" t="n">
        <v>20088</v>
      </c>
      <c r="C1122" s="1" t="inlineStr">
        <is>
          <t>021</t>
        </is>
      </c>
      <c r="D1122" s="1" t="inlineStr">
        <is>
          <t xml:space="preserve">48729 </t>
        </is>
      </c>
      <c r="E1122" s="1" t="inlineStr">
        <is>
          <t xml:space="preserve">35685067       </t>
        </is>
      </c>
      <c r="F1122" s="5" t="inlineStr">
        <is>
          <t>HOT WHEELS POWER SET 3 EN 1</t>
        </is>
      </c>
      <c r="G1122" t="n">
        <v>1</v>
      </c>
      <c r="H1122" s="7" t="n">
        <v>49.9</v>
      </c>
      <c r="I1122" s="7" t="n">
        <v>0</v>
      </c>
      <c r="J1122" s="7" t="n">
        <v>0</v>
      </c>
      <c r="K1122" s="9" t="n">
        <v>0</v>
      </c>
      <c r="L1122" s="10" t="n">
        <v>29.6</v>
      </c>
      <c r="M1122" s="10" t="n">
        <v>1.43</v>
      </c>
      <c r="N1122" t="inlineStr">
        <is>
          <t>1</t>
        </is>
      </c>
      <c r="O1122" t="inlineStr">
        <is>
          <t>16</t>
        </is>
      </c>
      <c r="P1122" t="inlineStr">
        <is>
          <t xml:space="preserve">235264  </t>
        </is>
      </c>
      <c r="Q1122" s="26" t="n">
        <v>29.6</v>
      </c>
      <c r="R1122" s="26">
        <f>Q1122*G1122</f>
        <v/>
      </c>
      <c r="S1122" s="26">
        <f>IFERROR(VLOOKUP(E1122*1,Tabla[#All],8,0),0)</f>
        <v/>
      </c>
      <c r="T1122" s="26">
        <f>S1122*G1122</f>
        <v/>
      </c>
      <c r="U1122" s="26">
        <f>R1122-T1122</f>
        <v/>
      </c>
      <c r="V1122" s="26">
        <f>U1122-L1122</f>
        <v/>
      </c>
    </row>
    <row r="1123">
      <c r="A1123" s="11" t="n">
        <v>46214</v>
      </c>
      <c r="B1123" s="1" t="n">
        <v>20088</v>
      </c>
      <c r="C1123" s="1" t="inlineStr">
        <is>
          <t>023</t>
        </is>
      </c>
      <c r="D1123" s="1" t="inlineStr">
        <is>
          <t>126833</t>
        </is>
      </c>
      <c r="E1123" s="1" t="inlineStr">
        <is>
          <t xml:space="preserve">30141768       </t>
        </is>
      </c>
      <c r="F1123" s="5" t="inlineStr">
        <is>
          <t>TMZ BEAST MACHINES AUTOS DE METAL PACK 10 AUTOS</t>
        </is>
      </c>
      <c r="G1123" t="n">
        <v>1</v>
      </c>
      <c r="H1123" s="7" t="n">
        <v>69</v>
      </c>
      <c r="I1123" s="7" t="n">
        <v>0</v>
      </c>
      <c r="J1123" s="7" t="n">
        <v>0</v>
      </c>
      <c r="K1123" s="9" t="n">
        <v>0</v>
      </c>
      <c r="L1123" s="10" t="n">
        <v>40.93</v>
      </c>
      <c r="M1123" s="10" t="n">
        <v>1.43</v>
      </c>
      <c r="N1123" t="inlineStr">
        <is>
          <t>1</t>
        </is>
      </c>
      <c r="O1123" t="inlineStr">
        <is>
          <t>16</t>
        </is>
      </c>
      <c r="P1123" t="inlineStr">
        <is>
          <t xml:space="preserve">248960  </t>
        </is>
      </c>
      <c r="Q1123" s="26" t="n">
        <v>46.86</v>
      </c>
      <c r="R1123" s="26">
        <f>Q1123*G1123</f>
        <v/>
      </c>
      <c r="S1123" s="26">
        <f>IFERROR(VLOOKUP(E1123*1,Tabla[#All],8,0),0)</f>
        <v/>
      </c>
      <c r="T1123" s="26">
        <f>S1123*G1123</f>
        <v/>
      </c>
      <c r="U1123" s="26">
        <f>R1123-T1123</f>
        <v/>
      </c>
      <c r="V1123" s="26">
        <f>U1123-L1123</f>
        <v/>
      </c>
    </row>
    <row r="1124">
      <c r="A1124" s="11" t="n">
        <v>46214</v>
      </c>
      <c r="B1124" s="1" t="n">
        <v>20088</v>
      </c>
      <c r="C1124" s="1" t="inlineStr">
        <is>
          <t>527</t>
        </is>
      </c>
      <c r="D1124" s="1" t="inlineStr">
        <is>
          <t xml:space="preserve">2190  </t>
        </is>
      </c>
      <c r="E1124" s="1" t="inlineStr">
        <is>
          <t xml:space="preserve">35685067       </t>
        </is>
      </c>
      <c r="F1124" s="5" t="inlineStr">
        <is>
          <t>HOT WHEELS POWER SET 3 EN 1</t>
        </is>
      </c>
      <c r="G1124" t="n">
        <v>1</v>
      </c>
      <c r="H1124" s="7" t="n">
        <v>49.9</v>
      </c>
      <c r="I1124" s="7" t="n">
        <v>0</v>
      </c>
      <c r="J1124" s="7" t="n">
        <v>0</v>
      </c>
      <c r="K1124" s="9" t="n">
        <v>0</v>
      </c>
      <c r="L1124" s="10" t="n">
        <v>29.6</v>
      </c>
      <c r="M1124" s="10" t="n">
        <v>1.43</v>
      </c>
      <c r="N1124" t="inlineStr">
        <is>
          <t>1</t>
        </is>
      </c>
      <c r="O1124" t="inlineStr">
        <is>
          <t>16</t>
        </is>
      </c>
      <c r="P1124" t="inlineStr">
        <is>
          <t xml:space="preserve">200475  </t>
        </is>
      </c>
      <c r="Q1124" s="26" t="n">
        <v>29.6</v>
      </c>
      <c r="R1124" s="26">
        <f>Q1124*G1124</f>
        <v/>
      </c>
      <c r="S1124" s="26">
        <f>IFERROR(VLOOKUP(E1124*1,Tabla[#All],8,0),0)</f>
        <v/>
      </c>
      <c r="T1124" s="26">
        <f>S1124*G1124</f>
        <v/>
      </c>
      <c r="U1124" s="26">
        <f>R1124-T1124</f>
        <v/>
      </c>
      <c r="V1124" s="26">
        <f>U1124-L1124</f>
        <v/>
      </c>
    </row>
    <row r="1125">
      <c r="A1125" s="11" t="n">
        <v>46214</v>
      </c>
      <c r="B1125" s="1" t="n">
        <v>20089</v>
      </c>
      <c r="C1125" s="1" t="inlineStr">
        <is>
          <t>025</t>
        </is>
      </c>
      <c r="D1125" s="1" t="inlineStr">
        <is>
          <t>121540</t>
        </is>
      </c>
      <c r="E1125" s="1" t="inlineStr">
        <is>
          <t xml:space="preserve">28194780       </t>
        </is>
      </c>
      <c r="F1125" s="5" t="inlineStr">
        <is>
          <t>TROMPO BATALLA INFINITY NADO PLSTICO SURTIDO</t>
        </is>
      </c>
      <c r="G1125" t="n">
        <v>1</v>
      </c>
      <c r="H1125" s="7" t="n">
        <v>19.9</v>
      </c>
      <c r="I1125" s="7" t="n">
        <v>1.99</v>
      </c>
      <c r="J1125" s="7" t="n">
        <v>0</v>
      </c>
      <c r="K1125" s="9" t="n">
        <v>1.99</v>
      </c>
      <c r="L1125" s="10" t="n">
        <v>10.63</v>
      </c>
      <c r="M1125" s="10" t="n">
        <v>1.43</v>
      </c>
      <c r="N1125" t="inlineStr">
        <is>
          <t>1</t>
        </is>
      </c>
      <c r="O1125" t="inlineStr">
        <is>
          <t xml:space="preserve">3 </t>
        </is>
      </c>
      <c r="P1125" t="inlineStr">
        <is>
          <t xml:space="preserve">94948   </t>
        </is>
      </c>
      <c r="Q1125" s="26" t="n">
        <v>11.81</v>
      </c>
      <c r="R1125" s="26">
        <f>Q1125*G1125</f>
        <v/>
      </c>
      <c r="S1125" s="26">
        <f>IFERROR(VLOOKUP(E1125*1,Tabla[#All],8,0),0)</f>
        <v/>
      </c>
      <c r="T1125" s="26">
        <f>S1125*G1125</f>
        <v/>
      </c>
      <c r="U1125" s="26">
        <f>R1125-T1125</f>
        <v/>
      </c>
      <c r="V1125" s="26">
        <f>U1125-L1125</f>
        <v/>
      </c>
    </row>
    <row r="1126">
      <c r="A1126" s="11" t="n">
        <v>46214</v>
      </c>
      <c r="B1126" s="1" t="n">
        <v>20089</v>
      </c>
      <c r="C1126" s="1" t="inlineStr">
        <is>
          <t>025</t>
        </is>
      </c>
      <c r="D1126" s="1" t="inlineStr">
        <is>
          <t>121578</t>
        </is>
      </c>
      <c r="E1126" s="1" t="inlineStr">
        <is>
          <t xml:space="preserve">28194770       </t>
        </is>
      </c>
      <c r="F1126" s="5" t="inlineStr">
        <is>
          <t>AUTOS DE METAL 3 TEAMSTERZ EN BLISTER</t>
        </is>
      </c>
      <c r="G1126" t="n">
        <v>1</v>
      </c>
      <c r="H1126" s="7" t="n">
        <v>6.9</v>
      </c>
      <c r="I1126" s="7" t="n">
        <v>0</v>
      </c>
      <c r="J1126" s="7" t="n">
        <v>0</v>
      </c>
      <c r="K1126" s="9" t="n">
        <v>0</v>
      </c>
      <c r="L1126" s="10" t="n">
        <v>4.1</v>
      </c>
      <c r="M1126" s="10" t="n">
        <v>1.43</v>
      </c>
      <c r="N1126" t="inlineStr">
        <is>
          <t>1</t>
        </is>
      </c>
      <c r="O1126" t="inlineStr">
        <is>
          <t xml:space="preserve">6 </t>
        </is>
      </c>
      <c r="P1126" t="inlineStr">
        <is>
          <t xml:space="preserve">82992   </t>
        </is>
      </c>
      <c r="Q1126" s="26" t="n">
        <v>4.09</v>
      </c>
      <c r="R1126" s="26">
        <f>Q1126*G1126</f>
        <v/>
      </c>
      <c r="S1126" s="26">
        <f>IFERROR(VLOOKUP(E1126*1,Tabla[#All],8,0),0)</f>
        <v/>
      </c>
      <c r="T1126" s="26">
        <f>S1126*G1126</f>
        <v/>
      </c>
      <c r="U1126" s="26">
        <f>R1126-T1126</f>
        <v/>
      </c>
      <c r="V1126" s="26">
        <f>U1126-L1126</f>
        <v/>
      </c>
    </row>
    <row r="1127">
      <c r="A1127" s="11" t="n">
        <v>46214</v>
      </c>
      <c r="B1127" s="1" t="n">
        <v>20089</v>
      </c>
      <c r="C1127" s="1" t="inlineStr">
        <is>
          <t>027</t>
        </is>
      </c>
      <c r="D1127" s="1" t="inlineStr">
        <is>
          <t xml:space="preserve">15713 </t>
        </is>
      </c>
      <c r="E1127" s="1" t="inlineStr">
        <is>
          <t xml:space="preserve">28194770       </t>
        </is>
      </c>
      <c r="F1127" s="5" t="inlineStr">
        <is>
          <t>AUTOS DE METAL 3 TEAMSTERZ EN BLISTER</t>
        </is>
      </c>
      <c r="G1127" t="n">
        <v>1</v>
      </c>
      <c r="H1127" s="7" t="n">
        <v>6.9</v>
      </c>
      <c r="I1127" s="7" t="n">
        <v>0.6899999999999999</v>
      </c>
      <c r="J1127" s="7" t="n">
        <v>0</v>
      </c>
      <c r="K1127" s="9" t="n">
        <v>0.6899999999999999</v>
      </c>
      <c r="L1127" s="10" t="n">
        <v>3.68</v>
      </c>
      <c r="M1127" s="10" t="n">
        <v>1.43</v>
      </c>
      <c r="N1127" t="inlineStr">
        <is>
          <t>1</t>
        </is>
      </c>
      <c r="O1127" t="inlineStr">
        <is>
          <t xml:space="preserve">3 </t>
        </is>
      </c>
      <c r="P1127" t="inlineStr">
        <is>
          <t xml:space="preserve">233031  </t>
        </is>
      </c>
      <c r="Q1127" s="26" t="n">
        <v>4.09</v>
      </c>
      <c r="R1127" s="26">
        <f>Q1127*G1127</f>
        <v/>
      </c>
      <c r="S1127" s="26">
        <f>IFERROR(VLOOKUP(E1127*1,Tabla[#All],8,0),0)</f>
        <v/>
      </c>
      <c r="T1127" s="26">
        <f>S1127*G1127</f>
        <v/>
      </c>
      <c r="U1127" s="26">
        <f>R1127-T1127</f>
        <v/>
      </c>
      <c r="V1127" s="26">
        <f>U1127-L1127</f>
        <v/>
      </c>
    </row>
    <row r="1128">
      <c r="A1128" s="11" t="n">
        <v>46214</v>
      </c>
      <c r="B1128" s="1" t="n">
        <v>20089</v>
      </c>
      <c r="C1128" s="1" t="inlineStr">
        <is>
          <t>027</t>
        </is>
      </c>
      <c r="D1128" s="1" t="inlineStr">
        <is>
          <t xml:space="preserve">15724 </t>
        </is>
      </c>
      <c r="E1128" s="1" t="inlineStr">
        <is>
          <t xml:space="preserve">28194770       </t>
        </is>
      </c>
      <c r="F1128" s="5" t="inlineStr">
        <is>
          <t>AUTOS DE METAL 3 TEAMSTERZ EN BLISTER</t>
        </is>
      </c>
      <c r="G1128" t="n">
        <v>1</v>
      </c>
      <c r="H1128" s="7" t="n">
        <v>6.9</v>
      </c>
      <c r="I1128" s="7" t="n">
        <v>0</v>
      </c>
      <c r="J1128" s="7" t="n">
        <v>0</v>
      </c>
      <c r="K1128" s="9" t="n">
        <v>0</v>
      </c>
      <c r="L1128" s="10" t="n">
        <v>4.1</v>
      </c>
      <c r="M1128" s="10" t="n">
        <v>1.43</v>
      </c>
      <c r="N1128" t="inlineStr">
        <is>
          <t>1</t>
        </is>
      </c>
      <c r="O1128" t="inlineStr">
        <is>
          <t xml:space="preserve">2 </t>
        </is>
      </c>
      <c r="P1128" t="inlineStr">
        <is>
          <t xml:space="preserve">233031  </t>
        </is>
      </c>
      <c r="Q1128" s="26" t="n">
        <v>4.09</v>
      </c>
      <c r="R1128" s="26">
        <f>Q1128*G1128</f>
        <v/>
      </c>
      <c r="S1128" s="26">
        <f>IFERROR(VLOOKUP(E1128*1,Tabla[#All],8,0),0)</f>
        <v/>
      </c>
      <c r="T1128" s="26">
        <f>S1128*G1128</f>
        <v/>
      </c>
      <c r="U1128" s="26">
        <f>R1128-T1128</f>
        <v/>
      </c>
      <c r="V1128" s="26">
        <f>U1128-L1128</f>
        <v/>
      </c>
    </row>
    <row r="1129">
      <c r="A1129" s="11" t="n">
        <v>46214</v>
      </c>
      <c r="B1129" s="1" t="n">
        <v>20089</v>
      </c>
      <c r="C1129" s="1" t="inlineStr">
        <is>
          <t>029</t>
        </is>
      </c>
      <c r="D1129" s="1" t="inlineStr">
        <is>
          <t xml:space="preserve">181   </t>
        </is>
      </c>
      <c r="E1129" s="1" t="inlineStr">
        <is>
          <t xml:space="preserve">28194770       </t>
        </is>
      </c>
      <c r="F1129" s="5" t="inlineStr">
        <is>
          <t>AUTOS DE METAL 3 TEAMSTERZ EN BLISTER</t>
        </is>
      </c>
      <c r="G1129" t="n">
        <v>1</v>
      </c>
      <c r="H1129" s="7" t="n">
        <v>6.9</v>
      </c>
      <c r="I1129" s="7" t="n">
        <v>0</v>
      </c>
      <c r="J1129" s="7" t="n">
        <v>0</v>
      </c>
      <c r="K1129" s="9" t="n">
        <v>0</v>
      </c>
      <c r="L1129" s="10" t="n">
        <v>4.1</v>
      </c>
      <c r="M1129" s="10" t="n">
        <v>1.43</v>
      </c>
      <c r="N1129" t="inlineStr">
        <is>
          <t>1</t>
        </is>
      </c>
      <c r="O1129" t="inlineStr">
        <is>
          <t>16</t>
        </is>
      </c>
      <c r="P1129" t="inlineStr">
        <is>
          <t xml:space="preserve">250455  </t>
        </is>
      </c>
      <c r="Q1129" s="26" t="n">
        <v>4.09</v>
      </c>
      <c r="R1129" s="26">
        <f>Q1129*G1129</f>
        <v/>
      </c>
      <c r="S1129" s="26">
        <f>IFERROR(VLOOKUP(E1129*1,Tabla[#All],8,0),0)</f>
        <v/>
      </c>
      <c r="T1129" s="26">
        <f>S1129*G1129</f>
        <v/>
      </c>
      <c r="U1129" s="26">
        <f>R1129-T1129</f>
        <v/>
      </c>
      <c r="V1129" s="26">
        <f>U1129-L1129</f>
        <v/>
      </c>
    </row>
    <row r="1130">
      <c r="A1130" s="11" t="n">
        <v>46214</v>
      </c>
      <c r="B1130" s="1" t="n">
        <v>20089</v>
      </c>
      <c r="C1130" s="1" t="inlineStr">
        <is>
          <t>029</t>
        </is>
      </c>
      <c r="D1130" s="1" t="inlineStr">
        <is>
          <t xml:space="preserve">2894  </t>
        </is>
      </c>
      <c r="E1130" s="1" t="inlineStr">
        <is>
          <t xml:space="preserve">28194770       </t>
        </is>
      </c>
      <c r="F1130" s="5" t="inlineStr">
        <is>
          <t>AUTOS DE METAL 3 TEAMSTERZ EN BLISTER</t>
        </is>
      </c>
      <c r="G1130" t="n">
        <v>1</v>
      </c>
      <c r="H1130" s="7" t="n">
        <v>6.9</v>
      </c>
      <c r="I1130" s="7" t="n">
        <v>0</v>
      </c>
      <c r="J1130" s="7" t="n">
        <v>0</v>
      </c>
      <c r="K1130" s="9" t="n">
        <v>0</v>
      </c>
      <c r="L1130" s="10" t="n">
        <v>4.1</v>
      </c>
      <c r="M1130" s="10" t="n">
        <v>1.43</v>
      </c>
      <c r="N1130" t="inlineStr">
        <is>
          <t>1</t>
        </is>
      </c>
      <c r="O1130" t="inlineStr">
        <is>
          <t>16</t>
        </is>
      </c>
      <c r="P1130" t="inlineStr">
        <is>
          <t xml:space="preserve">250455  </t>
        </is>
      </c>
      <c r="Q1130" s="26" t="n">
        <v>4.09</v>
      </c>
      <c r="R1130" s="26">
        <f>Q1130*G1130</f>
        <v/>
      </c>
      <c r="S1130" s="26">
        <f>IFERROR(VLOOKUP(E1130*1,Tabla[#All],8,0),0)</f>
        <v/>
      </c>
      <c r="T1130" s="26">
        <f>S1130*G1130</f>
        <v/>
      </c>
      <c r="U1130" s="26">
        <f>R1130-T1130</f>
        <v/>
      </c>
      <c r="V1130" s="26">
        <f>U1130-L1130</f>
        <v/>
      </c>
    </row>
    <row r="1131">
      <c r="A1131" s="11" t="n">
        <v>46214</v>
      </c>
      <c r="B1131" s="1" t="n">
        <v>20089</v>
      </c>
      <c r="C1131" s="1" t="inlineStr">
        <is>
          <t>029</t>
        </is>
      </c>
      <c r="D1131" s="1" t="inlineStr">
        <is>
          <t xml:space="preserve">2903  </t>
        </is>
      </c>
      <c r="E1131" s="1" t="inlineStr">
        <is>
          <t xml:space="preserve">28194770       </t>
        </is>
      </c>
      <c r="F1131" s="5" t="inlineStr">
        <is>
          <t>AUTOS DE METAL 3 TEAMSTERZ EN BLISTER</t>
        </is>
      </c>
      <c r="G1131" t="n">
        <v>1</v>
      </c>
      <c r="H1131" s="7" t="n">
        <v>6.9</v>
      </c>
      <c r="I1131" s="7" t="n">
        <v>0</v>
      </c>
      <c r="J1131" s="7" t="n">
        <v>0</v>
      </c>
      <c r="K1131" s="9" t="n">
        <v>0</v>
      </c>
      <c r="L1131" s="10" t="n">
        <v>4.1</v>
      </c>
      <c r="M1131" s="10" t="n">
        <v>1.43</v>
      </c>
      <c r="N1131" t="inlineStr">
        <is>
          <t>1</t>
        </is>
      </c>
      <c r="O1131" t="inlineStr">
        <is>
          <t>16</t>
        </is>
      </c>
      <c r="P1131" t="inlineStr">
        <is>
          <t xml:space="preserve">250455  </t>
        </is>
      </c>
      <c r="Q1131" s="26" t="n">
        <v>4.09</v>
      </c>
      <c r="R1131" s="26">
        <f>Q1131*G1131</f>
        <v/>
      </c>
      <c r="S1131" s="26">
        <f>IFERROR(VLOOKUP(E1131*1,Tabla[#All],8,0),0)</f>
        <v/>
      </c>
      <c r="T1131" s="26">
        <f>S1131*G1131</f>
        <v/>
      </c>
      <c r="U1131" s="26">
        <f>R1131-T1131</f>
        <v/>
      </c>
      <c r="V1131" s="26">
        <f>U1131-L1131</f>
        <v/>
      </c>
    </row>
    <row r="1132">
      <c r="A1132" s="11" t="n">
        <v>46214</v>
      </c>
      <c r="B1132" s="1" t="n">
        <v>20089</v>
      </c>
      <c r="C1132" s="1" t="inlineStr">
        <is>
          <t>862</t>
        </is>
      </c>
      <c r="D1132" s="1" t="inlineStr">
        <is>
          <t xml:space="preserve">8361  </t>
        </is>
      </c>
      <c r="E1132" s="1" t="inlineStr">
        <is>
          <t xml:space="preserve">28194770       </t>
        </is>
      </c>
      <c r="F1132" s="5" t="inlineStr">
        <is>
          <t>AUTOS DE METAL 3 TEAMSTERZ EN BLISTER</t>
        </is>
      </c>
      <c r="G1132" t="n">
        <v>1</v>
      </c>
      <c r="H1132" s="7" t="n">
        <v>6.9</v>
      </c>
      <c r="I1132" s="7" t="n">
        <v>0</v>
      </c>
      <c r="J1132" s="7" t="n">
        <v>0</v>
      </c>
      <c r="K1132" s="9" t="n">
        <v>0</v>
      </c>
      <c r="L1132" s="10" t="n">
        <v>4.1</v>
      </c>
      <c r="M1132" s="10" t="n">
        <v>1.43</v>
      </c>
      <c r="N1132" t="inlineStr">
        <is>
          <t>1</t>
        </is>
      </c>
      <c r="O1132" t="inlineStr">
        <is>
          <t>16</t>
        </is>
      </c>
      <c r="P1132" t="inlineStr">
        <is>
          <t xml:space="preserve">0       </t>
        </is>
      </c>
      <c r="Q1132" s="26" t="n">
        <v>4.09</v>
      </c>
      <c r="R1132" s="26">
        <f>Q1132*G1132</f>
        <v/>
      </c>
      <c r="S1132" s="26">
        <f>IFERROR(VLOOKUP(E1132*1,Tabla[#All],8,0),0)</f>
        <v/>
      </c>
      <c r="T1132" s="26">
        <f>S1132*G1132</f>
        <v/>
      </c>
      <c r="U1132" s="26">
        <f>R1132-T1132</f>
        <v/>
      </c>
      <c r="V1132" s="26">
        <f>U1132-L1132</f>
        <v/>
      </c>
    </row>
    <row r="1133">
      <c r="A1133" s="11" t="n">
        <v>46214</v>
      </c>
      <c r="B1133" s="1" t="n">
        <v>20095</v>
      </c>
      <c r="C1133" s="1" t="inlineStr">
        <is>
          <t>038</t>
        </is>
      </c>
      <c r="D1133" s="1" t="inlineStr">
        <is>
          <t xml:space="preserve">13638 </t>
        </is>
      </c>
      <c r="E1133" s="1" t="inlineStr">
        <is>
          <t xml:space="preserve">28194781       </t>
        </is>
      </c>
      <c r="F1133" s="5" t="inlineStr">
        <is>
          <t>TROMPO BATALLA INFINITY NADO SERIE V CLASICA SURTI</t>
        </is>
      </c>
      <c r="G1133" t="n">
        <v>1</v>
      </c>
      <c r="H1133" s="7" t="n">
        <v>59.9</v>
      </c>
      <c r="I1133" s="7" t="n">
        <v>0</v>
      </c>
      <c r="J1133" s="7" t="n">
        <v>0</v>
      </c>
      <c r="K1133" s="9" t="n">
        <v>0</v>
      </c>
      <c r="L1133" s="10" t="n">
        <v>35.53</v>
      </c>
      <c r="M1133" s="10" t="n">
        <v>1.43</v>
      </c>
      <c r="N1133" t="inlineStr">
        <is>
          <t>1</t>
        </is>
      </c>
      <c r="O1133" t="inlineStr">
        <is>
          <t>16</t>
        </is>
      </c>
      <c r="P1133" t="inlineStr">
        <is>
          <t xml:space="preserve">61701   </t>
        </is>
      </c>
      <c r="Q1133" s="26" t="n">
        <v>35.53</v>
      </c>
      <c r="R1133" s="26">
        <f>Q1133*G1133</f>
        <v/>
      </c>
      <c r="S1133" s="26">
        <f>IFERROR(VLOOKUP(E1133*1,Tabla[#All],8,0),0)</f>
        <v/>
      </c>
      <c r="T1133" s="26">
        <f>S1133*G1133</f>
        <v/>
      </c>
      <c r="U1133" s="26">
        <f>R1133-T1133</f>
        <v/>
      </c>
      <c r="V1133" s="26">
        <f>U1133-L1133</f>
        <v/>
      </c>
    </row>
    <row r="1134">
      <c r="A1134" s="11" t="n">
        <v>46214</v>
      </c>
      <c r="B1134" s="1" t="n">
        <v>20095</v>
      </c>
      <c r="C1134" s="1" t="inlineStr">
        <is>
          <t>044</t>
        </is>
      </c>
      <c r="D1134" s="1" t="inlineStr">
        <is>
          <t xml:space="preserve">93418 </t>
        </is>
      </c>
      <c r="E1134" s="1" t="inlineStr">
        <is>
          <t xml:space="preserve">28194769       </t>
        </is>
      </c>
      <c r="F1134" s="5" t="inlineStr">
        <is>
          <t>AUTOS DE METAL 3 TEAMSTERZ PACK DE 2</t>
        </is>
      </c>
      <c r="G1134" t="n">
        <v>1</v>
      </c>
      <c r="H1134" s="7" t="n">
        <v>13.8</v>
      </c>
      <c r="I1134" s="7" t="n">
        <v>0</v>
      </c>
      <c r="J1134" s="7" t="n">
        <v>0</v>
      </c>
      <c r="K1134" s="9" t="n">
        <v>0</v>
      </c>
      <c r="L1134" s="10" t="n">
        <v>8.18</v>
      </c>
      <c r="M1134" s="10" t="n">
        <v>1.43</v>
      </c>
      <c r="N1134" t="inlineStr">
        <is>
          <t>1</t>
        </is>
      </c>
      <c r="O1134" t="inlineStr">
        <is>
          <t>16</t>
        </is>
      </c>
      <c r="P1134" t="inlineStr">
        <is>
          <t xml:space="preserve">57461   </t>
        </is>
      </c>
      <c r="Q1134" s="26" t="n">
        <v>8.19</v>
      </c>
      <c r="R1134" s="26">
        <f>Q1134*G1134</f>
        <v/>
      </c>
      <c r="S1134" s="26">
        <f>IFERROR(VLOOKUP(E1134*1,Tabla[#All],8,0),0)</f>
        <v/>
      </c>
      <c r="T1134" s="26">
        <f>S1134*G1134</f>
        <v/>
      </c>
      <c r="U1134" s="26">
        <f>R1134-T1134</f>
        <v/>
      </c>
      <c r="V1134" s="26">
        <f>U1134-L1134</f>
        <v/>
      </c>
    </row>
    <row r="1135">
      <c r="A1135" s="11" t="n">
        <v>46214</v>
      </c>
      <c r="B1135" s="1" t="n">
        <v>20095</v>
      </c>
      <c r="C1135" s="1" t="inlineStr">
        <is>
          <t>535</t>
        </is>
      </c>
      <c r="D1135" s="1" t="inlineStr">
        <is>
          <t xml:space="preserve">77    </t>
        </is>
      </c>
      <c r="E1135" s="1" t="inlineStr">
        <is>
          <t xml:space="preserve">28194768       </t>
        </is>
      </c>
      <c r="F1135" s="5" t="inlineStr">
        <is>
          <t>AUTO COLOR CHANGE TEAMSTERZ SURTIDO</t>
        </is>
      </c>
      <c r="G1135" t="n">
        <v>2</v>
      </c>
      <c r="H1135" s="7" t="n">
        <v>29.8</v>
      </c>
      <c r="I1135" s="7" t="n">
        <v>2.98</v>
      </c>
      <c r="J1135" s="7" t="n">
        <v>0</v>
      </c>
      <c r="K1135" s="9" t="n">
        <v>2.98</v>
      </c>
      <c r="L1135" s="10" t="n">
        <v>15.92</v>
      </c>
      <c r="M1135" s="10" t="n">
        <v>1.43</v>
      </c>
      <c r="N1135" t="inlineStr">
        <is>
          <t>1</t>
        </is>
      </c>
      <c r="O1135" t="inlineStr">
        <is>
          <t>16</t>
        </is>
      </c>
      <c r="P1135" t="inlineStr">
        <is>
          <t xml:space="preserve">31361   </t>
        </is>
      </c>
      <c r="Q1135" s="26" t="n">
        <v>8.84</v>
      </c>
      <c r="R1135" s="26">
        <f>Q1135*G1135</f>
        <v/>
      </c>
      <c r="S1135" s="26">
        <f>IFERROR(VLOOKUP(E1135*1,Tabla[#All],8,0),0)</f>
        <v/>
      </c>
      <c r="T1135" s="26">
        <f>S1135*G1135</f>
        <v/>
      </c>
      <c r="U1135" s="26">
        <f>R1135-T1135</f>
        <v/>
      </c>
      <c r="V1135" s="26">
        <f>U1135-L1135</f>
        <v/>
      </c>
    </row>
    <row r="1136">
      <c r="A1136" s="11" t="n">
        <v>46215</v>
      </c>
      <c r="B1136" s="1" t="n">
        <v>20021</v>
      </c>
      <c r="C1136" s="1" t="inlineStr">
        <is>
          <t>013</t>
        </is>
      </c>
      <c r="D1136" s="1" t="inlineStr">
        <is>
          <t>135094</t>
        </is>
      </c>
      <c r="E1136" s="1" t="inlineStr">
        <is>
          <t xml:space="preserve">28194766       </t>
        </is>
      </c>
      <c r="F1136" s="5" t="inlineStr">
        <is>
          <t>CAMIONES TEAMSTERZ DE CIUDAD</t>
        </is>
      </c>
      <c r="G1136" t="n">
        <v>1</v>
      </c>
      <c r="H1136" s="7" t="n">
        <v>17.9</v>
      </c>
      <c r="I1136" s="7" t="n">
        <v>0</v>
      </c>
      <c r="J1136" s="7" t="n">
        <v>0</v>
      </c>
      <c r="K1136" s="9" t="n">
        <v>0</v>
      </c>
      <c r="L1136" s="10" t="n">
        <v>10.62</v>
      </c>
      <c r="M1136" s="10" t="n">
        <v>1.43</v>
      </c>
      <c r="N1136" t="inlineStr">
        <is>
          <t>1</t>
        </is>
      </c>
      <c r="O1136" t="inlineStr">
        <is>
          <t>16</t>
        </is>
      </c>
      <c r="P1136" t="inlineStr">
        <is>
          <t xml:space="preserve">250202  </t>
        </is>
      </c>
      <c r="Q1136" s="26" t="n">
        <v>10.62</v>
      </c>
      <c r="R1136" s="26">
        <f>Q1136*G1136</f>
        <v/>
      </c>
      <c r="S1136" s="26">
        <f>IFERROR(VLOOKUP(E1136*1,Tabla[#All],8,0),0)</f>
        <v/>
      </c>
      <c r="T1136" s="26">
        <f>S1136*G1136</f>
        <v/>
      </c>
      <c r="U1136" s="26">
        <f>R1136-T1136</f>
        <v/>
      </c>
      <c r="V1136" s="26">
        <f>U1136-L1136</f>
        <v/>
      </c>
    </row>
    <row r="1137">
      <c r="A1137" s="11" t="n">
        <v>46215</v>
      </c>
      <c r="B1137" s="1" t="n">
        <v>20021</v>
      </c>
      <c r="C1137" s="1" t="inlineStr">
        <is>
          <t>034</t>
        </is>
      </c>
      <c r="D1137" s="1" t="inlineStr">
        <is>
          <t xml:space="preserve">44815 </t>
        </is>
      </c>
      <c r="E1137" s="1" t="inlineStr">
        <is>
          <t xml:space="preserve">29235702       </t>
        </is>
      </c>
      <c r="F1137" s="5" t="inlineStr">
        <is>
          <t>INFINITY NADO TROMPO DE BATALLA - METAL C/ ANILLO</t>
        </is>
      </c>
      <c r="G1137" t="n">
        <v>1</v>
      </c>
      <c r="H1137" s="7" t="n">
        <v>69.90000000000001</v>
      </c>
      <c r="I1137" s="7" t="n">
        <v>0</v>
      </c>
      <c r="J1137" s="7" t="n">
        <v>0</v>
      </c>
      <c r="K1137" s="9" t="n">
        <v>0</v>
      </c>
      <c r="L1137" s="10" t="n">
        <v>41.47</v>
      </c>
      <c r="M1137" s="10" t="n">
        <v>1.43</v>
      </c>
      <c r="N1137" t="inlineStr">
        <is>
          <t>1</t>
        </is>
      </c>
      <c r="O1137" t="inlineStr">
        <is>
          <t>16</t>
        </is>
      </c>
      <c r="P1137" t="inlineStr">
        <is>
          <t xml:space="preserve">22728   </t>
        </is>
      </c>
      <c r="Q1137" s="26" t="n">
        <v>41.47</v>
      </c>
      <c r="R1137" s="26">
        <f>Q1137*G1137</f>
        <v/>
      </c>
      <c r="S1137" s="26">
        <f>IFERROR(VLOOKUP(E1137*1,Tabla[#All],8,0),0)</f>
        <v/>
      </c>
      <c r="T1137" s="26">
        <f>S1137*G1137</f>
        <v/>
      </c>
      <c r="U1137" s="26">
        <f>R1137-T1137</f>
        <v/>
      </c>
      <c r="V1137" s="26">
        <f>U1137-L1137</f>
        <v/>
      </c>
    </row>
    <row r="1138">
      <c r="A1138" s="11" t="n">
        <v>46215</v>
      </c>
      <c r="B1138" s="1" t="n">
        <v>20021</v>
      </c>
      <c r="C1138" s="1" t="inlineStr">
        <is>
          <t>034</t>
        </is>
      </c>
      <c r="D1138" s="1" t="inlineStr">
        <is>
          <t xml:space="preserve">44818 </t>
        </is>
      </c>
      <c r="E1138" s="1" t="inlineStr">
        <is>
          <t xml:space="preserve">34840550       </t>
        </is>
      </c>
      <c r="F1138" s="5" t="inlineStr">
        <is>
          <t>TEAMSTERZ M/MOVERZ TRANSPORTA GORILA</t>
        </is>
      </c>
      <c r="G1138" t="n">
        <v>1</v>
      </c>
      <c r="H1138" s="7" t="n">
        <v>129</v>
      </c>
      <c r="I1138" s="7" t="n">
        <v>0</v>
      </c>
      <c r="J1138" s="7" t="n">
        <v>0</v>
      </c>
      <c r="K1138" s="9" t="n">
        <v>0</v>
      </c>
      <c r="L1138" s="10" t="n">
        <v>76.52</v>
      </c>
      <c r="M1138" s="10" t="n">
        <v>1.43</v>
      </c>
      <c r="N1138" t="inlineStr">
        <is>
          <t>1</t>
        </is>
      </c>
      <c r="O1138" t="inlineStr">
        <is>
          <t>16</t>
        </is>
      </c>
      <c r="P1138" t="inlineStr">
        <is>
          <t xml:space="preserve">22728   </t>
        </is>
      </c>
      <c r="Q1138" s="26" t="n">
        <v>76.53</v>
      </c>
      <c r="R1138" s="26">
        <f>Q1138*G1138</f>
        <v/>
      </c>
      <c r="S1138" s="26">
        <f>IFERROR(VLOOKUP(E1138*1,Tabla[#All],8,0),0)</f>
        <v/>
      </c>
      <c r="T1138" s="26">
        <f>S1138*G1138</f>
        <v/>
      </c>
      <c r="U1138" s="26">
        <f>R1138-T1138</f>
        <v/>
      </c>
      <c r="V1138" s="26">
        <f>U1138-L1138</f>
        <v/>
      </c>
    </row>
    <row r="1139">
      <c r="A1139" s="11" t="n">
        <v>46215</v>
      </c>
      <c r="B1139" s="1" t="n">
        <v>20021</v>
      </c>
      <c r="C1139" s="1" t="inlineStr">
        <is>
          <t>045</t>
        </is>
      </c>
      <c r="D1139" s="1" t="inlineStr">
        <is>
          <t>107573</t>
        </is>
      </c>
      <c r="E1139" s="1" t="inlineStr">
        <is>
          <t xml:space="preserve">29235706       </t>
        </is>
      </c>
      <c r="F1139" s="5" t="inlineStr">
        <is>
          <t>TEAMSTERZ CAMION PARA GUARDAR 12 AUTOS INCL 4 AUTO</t>
        </is>
      </c>
      <c r="G1139" t="n">
        <v>1</v>
      </c>
      <c r="H1139" s="7" t="n">
        <v>59.9</v>
      </c>
      <c r="I1139" s="7" t="n">
        <v>0</v>
      </c>
      <c r="J1139" s="7" t="n">
        <v>0</v>
      </c>
      <c r="K1139" s="9" t="n">
        <v>0</v>
      </c>
      <c r="L1139" s="10" t="n">
        <v>35.53</v>
      </c>
      <c r="M1139" s="10" t="n">
        <v>1.43</v>
      </c>
      <c r="N1139" t="inlineStr">
        <is>
          <t>1</t>
        </is>
      </c>
      <c r="O1139" t="inlineStr">
        <is>
          <t xml:space="preserve">2 </t>
        </is>
      </c>
      <c r="P1139" t="inlineStr">
        <is>
          <t xml:space="preserve">42013   </t>
        </is>
      </c>
      <c r="Q1139" s="26" t="n">
        <v>35.53</v>
      </c>
      <c r="R1139" s="26">
        <f>Q1139*G1139</f>
        <v/>
      </c>
      <c r="S1139" s="26">
        <f>IFERROR(VLOOKUP(E1139*1,Tabla[#All],8,0),0)</f>
        <v/>
      </c>
      <c r="T1139" s="26">
        <f>S1139*G1139</f>
        <v/>
      </c>
      <c r="U1139" s="26">
        <f>R1139-T1139</f>
        <v/>
      </c>
      <c r="V1139" s="26">
        <f>U1139-L1139</f>
        <v/>
      </c>
    </row>
    <row r="1140">
      <c r="A1140" s="11" t="n">
        <v>46215</v>
      </c>
      <c r="B1140" s="1" t="n">
        <v>20021</v>
      </c>
      <c r="C1140" s="1" t="inlineStr">
        <is>
          <t>051</t>
        </is>
      </c>
      <c r="D1140" s="1" t="inlineStr">
        <is>
          <t xml:space="preserve">7457  </t>
        </is>
      </c>
      <c r="E1140" s="1" t="inlineStr">
        <is>
          <t xml:space="preserve">32457103       </t>
        </is>
      </c>
      <c r="F1140" s="5" t="inlineStr">
        <is>
          <t>TMZ BEAST MACHINES MONSTER JAWS A FRICCION PACK DE</t>
        </is>
      </c>
      <c r="G1140" t="n">
        <v>1</v>
      </c>
      <c r="H1140" s="7" t="n">
        <v>37.9</v>
      </c>
      <c r="I1140" s="7" t="n">
        <v>0</v>
      </c>
      <c r="J1140" s="7" t="n">
        <v>0</v>
      </c>
      <c r="K1140" s="9" t="n">
        <v>0</v>
      </c>
      <c r="L1140" s="10" t="n">
        <v>22.48</v>
      </c>
      <c r="M1140" s="10" t="n">
        <v>1.43</v>
      </c>
      <c r="N1140" t="inlineStr">
        <is>
          <t>1</t>
        </is>
      </c>
      <c r="O1140" t="inlineStr">
        <is>
          <t>16</t>
        </is>
      </c>
      <c r="P1140" t="inlineStr">
        <is>
          <t xml:space="preserve">42152   </t>
        </is>
      </c>
      <c r="Q1140" s="26" t="n">
        <v>22.48</v>
      </c>
      <c r="R1140" s="26">
        <f>Q1140*G1140</f>
        <v/>
      </c>
      <c r="S1140" s="26">
        <f>IFERROR(VLOOKUP(E1140*1,Tabla[#All],8,0),0)</f>
        <v/>
      </c>
      <c r="T1140" s="26">
        <f>S1140*G1140</f>
        <v/>
      </c>
      <c r="U1140" s="26">
        <f>R1140-T1140</f>
        <v/>
      </c>
      <c r="V1140" s="26">
        <f>U1140-L1140</f>
        <v/>
      </c>
    </row>
    <row r="1141">
      <c r="A1141" s="11" t="n">
        <v>46215</v>
      </c>
      <c r="B1141" s="1" t="n">
        <v>20021</v>
      </c>
      <c r="C1141" s="1" t="inlineStr">
        <is>
          <t>055</t>
        </is>
      </c>
      <c r="D1141" s="1" t="inlineStr">
        <is>
          <t>154692</t>
        </is>
      </c>
      <c r="E1141" s="1" t="inlineStr">
        <is>
          <t xml:space="preserve">28194780       </t>
        </is>
      </c>
      <c r="F1141" s="5" t="inlineStr">
        <is>
          <t>TROMPO BATALLA INFINITY NADO PLSTICO SURTIDO</t>
        </is>
      </c>
      <c r="G1141" t="n">
        <v>1</v>
      </c>
      <c r="H1141" s="7" t="n">
        <v>19.9</v>
      </c>
      <c r="I1141" s="7" t="n">
        <v>0</v>
      </c>
      <c r="J1141" s="7" t="n">
        <v>0</v>
      </c>
      <c r="K1141" s="9" t="n">
        <v>0</v>
      </c>
      <c r="L1141" s="10" t="n">
        <v>11.8</v>
      </c>
      <c r="M1141" s="10" t="n">
        <v>1.43</v>
      </c>
      <c r="N1141" t="inlineStr">
        <is>
          <t>1</t>
        </is>
      </c>
      <c r="O1141" t="inlineStr">
        <is>
          <t>16</t>
        </is>
      </c>
      <c r="P1141" t="inlineStr">
        <is>
          <t xml:space="preserve">12097   </t>
        </is>
      </c>
      <c r="Q1141" s="26" t="n">
        <v>11.81</v>
      </c>
      <c r="R1141" s="26">
        <f>Q1141*G1141</f>
        <v/>
      </c>
      <c r="S1141" s="26">
        <f>IFERROR(VLOOKUP(E1141*1,Tabla[#All],8,0),0)</f>
        <v/>
      </c>
      <c r="T1141" s="26">
        <f>S1141*G1141</f>
        <v/>
      </c>
      <c r="U1141" s="26">
        <f>R1141-T1141</f>
        <v/>
      </c>
      <c r="V1141" s="26">
        <f>U1141-L1141</f>
        <v/>
      </c>
    </row>
    <row r="1142">
      <c r="A1142" s="11" t="n">
        <v>46215</v>
      </c>
      <c r="B1142" s="1" t="n">
        <v>20021</v>
      </c>
      <c r="C1142" s="1" t="inlineStr">
        <is>
          <t>078</t>
        </is>
      </c>
      <c r="D1142" s="1" t="inlineStr">
        <is>
          <t>100712</t>
        </is>
      </c>
      <c r="E1142" s="1" t="inlineStr">
        <is>
          <t xml:space="preserve">29854051       </t>
        </is>
      </c>
      <c r="F1142" s="5" t="inlineStr">
        <is>
          <t>TEAMSTERZ AUTO DE METAL PACK 10 AUTOS</t>
        </is>
      </c>
      <c r="G1142" t="n">
        <v>1</v>
      </c>
      <c r="H1142" s="7" t="n">
        <v>69</v>
      </c>
      <c r="I1142" s="7" t="n">
        <v>0</v>
      </c>
      <c r="J1142" s="7" t="n">
        <v>0</v>
      </c>
      <c r="K1142" s="9" t="n">
        <v>0</v>
      </c>
      <c r="L1142" s="10" t="n">
        <v>40.93</v>
      </c>
      <c r="M1142" s="10" t="n">
        <v>1.43</v>
      </c>
      <c r="N1142" t="inlineStr">
        <is>
          <t>1</t>
        </is>
      </c>
      <c r="O1142" t="inlineStr">
        <is>
          <t>16</t>
        </is>
      </c>
      <c r="P1142" t="inlineStr">
        <is>
          <t xml:space="preserve">36042   </t>
        </is>
      </c>
      <c r="Q1142" s="26" t="n">
        <v>40.93</v>
      </c>
      <c r="R1142" s="26">
        <f>Q1142*G1142</f>
        <v/>
      </c>
      <c r="S1142" s="26">
        <f>IFERROR(VLOOKUP(E1142*1,Tabla[#All],8,0),0)</f>
        <v/>
      </c>
      <c r="T1142" s="26">
        <f>S1142*G1142</f>
        <v/>
      </c>
      <c r="U1142" s="26">
        <f>R1142-T1142</f>
        <v/>
      </c>
      <c r="V1142" s="26">
        <f>U1142-L1142</f>
        <v/>
      </c>
    </row>
    <row r="1143">
      <c r="A1143" s="11" t="n">
        <v>46215</v>
      </c>
      <c r="B1143" s="1" t="n">
        <v>20023</v>
      </c>
      <c r="C1143" s="1" t="inlineStr">
        <is>
          <t>079</t>
        </is>
      </c>
      <c r="D1143" s="1" t="inlineStr">
        <is>
          <t>289049</t>
        </is>
      </c>
      <c r="E1143" s="1" t="inlineStr">
        <is>
          <t xml:space="preserve">30141766       </t>
        </is>
      </c>
      <c r="F1143" s="5" t="inlineStr">
        <is>
          <t>TMZ BEAST MACHINES AUTOS DE METAL BLISTER X 1</t>
        </is>
      </c>
      <c r="G1143" t="n">
        <v>1</v>
      </c>
      <c r="H1143" s="7" t="n">
        <v>7.9</v>
      </c>
      <c r="I1143" s="7" t="n">
        <v>0</v>
      </c>
      <c r="J1143" s="7" t="n">
        <v>0</v>
      </c>
      <c r="K1143" s="9" t="n">
        <v>0</v>
      </c>
      <c r="L1143" s="10" t="n">
        <v>4.68</v>
      </c>
      <c r="M1143" s="10" t="n">
        <v>1.43</v>
      </c>
      <c r="N1143" t="inlineStr">
        <is>
          <t>1</t>
        </is>
      </c>
      <c r="O1143" t="inlineStr">
        <is>
          <t>16</t>
        </is>
      </c>
      <c r="P1143" t="inlineStr">
        <is>
          <t xml:space="preserve">38444   </t>
        </is>
      </c>
      <c r="Q1143" s="26" t="n">
        <v>4.69</v>
      </c>
      <c r="R1143" s="26">
        <f>Q1143*G1143</f>
        <v/>
      </c>
      <c r="S1143" s="26">
        <f>IFERROR(VLOOKUP(E1143*1,Tabla[#All],8,0),0)</f>
        <v/>
      </c>
      <c r="T1143" s="26">
        <f>S1143*G1143</f>
        <v/>
      </c>
      <c r="U1143" s="26">
        <f>R1143-T1143</f>
        <v/>
      </c>
      <c r="V1143" s="26">
        <f>U1143-L1143</f>
        <v/>
      </c>
    </row>
    <row r="1144">
      <c r="A1144" s="11" t="n">
        <v>46215</v>
      </c>
      <c r="B1144" s="1" t="n">
        <v>20023</v>
      </c>
      <c r="C1144" s="1" t="inlineStr">
        <is>
          <t>105</t>
        </is>
      </c>
      <c r="D1144" s="1" t="inlineStr">
        <is>
          <t xml:space="preserve">3889  </t>
        </is>
      </c>
      <c r="E1144" s="1" t="inlineStr">
        <is>
          <t xml:space="preserve">29235700       </t>
        </is>
      </c>
      <c r="F1144" s="5" t="inlineStr">
        <is>
          <t>HOT WHEELS CASE METALICO PARA GUARDAR 18 CARRITOS</t>
        </is>
      </c>
      <c r="G1144" t="n">
        <v>1</v>
      </c>
      <c r="H1144" s="7" t="n">
        <v>49.9</v>
      </c>
      <c r="I1144" s="7" t="n">
        <v>0</v>
      </c>
      <c r="J1144" s="7" t="n">
        <v>0</v>
      </c>
      <c r="K1144" s="9" t="n">
        <v>0</v>
      </c>
      <c r="L1144" s="10" t="n">
        <v>29.6</v>
      </c>
      <c r="M1144" s="10" t="n">
        <v>1.43</v>
      </c>
      <c r="N1144" t="inlineStr">
        <is>
          <t>1</t>
        </is>
      </c>
      <c r="O1144" t="inlineStr">
        <is>
          <t>16</t>
        </is>
      </c>
      <c r="P1144" t="inlineStr">
        <is>
          <t xml:space="preserve">17213   </t>
        </is>
      </c>
      <c r="Q1144" s="26" t="n">
        <v>29.6</v>
      </c>
      <c r="R1144" s="26">
        <f>Q1144*G1144</f>
        <v/>
      </c>
      <c r="S1144" s="26">
        <f>IFERROR(VLOOKUP(E1144*1,Tabla[#All],8,0),0)</f>
        <v/>
      </c>
      <c r="T1144" s="26">
        <f>S1144*G1144</f>
        <v/>
      </c>
      <c r="U1144" s="26">
        <f>R1144-T1144</f>
        <v/>
      </c>
      <c r="V1144" s="26">
        <f>U1144-L1144</f>
        <v/>
      </c>
    </row>
    <row r="1145">
      <c r="A1145" s="11" t="n">
        <v>46215</v>
      </c>
      <c r="B1145" s="1" t="n">
        <v>20024</v>
      </c>
      <c r="C1145" s="1" t="inlineStr">
        <is>
          <t>021</t>
        </is>
      </c>
      <c r="D1145" s="1" t="inlineStr">
        <is>
          <t>215539</t>
        </is>
      </c>
      <c r="E1145" s="1" t="inlineStr">
        <is>
          <t xml:space="preserve">31959956       </t>
        </is>
      </c>
      <c r="F1145" s="5" t="inlineStr">
        <is>
          <t>TEAMSTERZ CAMION TRANSPORTA ANIMALES SURTIDO</t>
        </is>
      </c>
      <c r="G1145" t="n">
        <v>1</v>
      </c>
      <c r="H1145" s="7" t="n">
        <v>17.9</v>
      </c>
      <c r="I1145" s="7" t="n">
        <v>0</v>
      </c>
      <c r="J1145" s="7" t="n">
        <v>0</v>
      </c>
      <c r="K1145" s="9" t="n">
        <v>0</v>
      </c>
      <c r="L1145" s="10" t="n">
        <v>10.62</v>
      </c>
      <c r="M1145" s="10" t="n">
        <v>1.43</v>
      </c>
      <c r="N1145" t="inlineStr">
        <is>
          <t>1</t>
        </is>
      </c>
      <c r="O1145" t="inlineStr">
        <is>
          <t>16</t>
        </is>
      </c>
      <c r="P1145" t="inlineStr">
        <is>
          <t xml:space="preserve">65868   </t>
        </is>
      </c>
      <c r="Q1145" s="26" t="n">
        <v>10.62</v>
      </c>
      <c r="R1145" s="26">
        <f>Q1145*G1145</f>
        <v/>
      </c>
      <c r="S1145" s="26">
        <f>IFERROR(VLOOKUP(E1145*1,Tabla[#All],8,0),0)</f>
        <v/>
      </c>
      <c r="T1145" s="26">
        <f>S1145*G1145</f>
        <v/>
      </c>
      <c r="U1145" s="26">
        <f>R1145-T1145</f>
        <v/>
      </c>
      <c r="V1145" s="26">
        <f>U1145-L1145</f>
        <v/>
      </c>
    </row>
    <row r="1146">
      <c r="A1146" s="11" t="n">
        <v>46215</v>
      </c>
      <c r="B1146" s="1" t="n">
        <v>20024</v>
      </c>
      <c r="C1146" s="1" t="inlineStr">
        <is>
          <t>021</t>
        </is>
      </c>
      <c r="D1146" s="1" t="inlineStr">
        <is>
          <t>215539</t>
        </is>
      </c>
      <c r="E1146" s="1" t="inlineStr">
        <is>
          <t xml:space="preserve">31959956       </t>
        </is>
      </c>
      <c r="F1146" s="5" t="inlineStr">
        <is>
          <t>TEAMSTERZ CAMION TRANSPORTA ANIMALES SURTIDO</t>
        </is>
      </c>
      <c r="G1146" t="n">
        <v>1</v>
      </c>
      <c r="H1146" s="7" t="n">
        <v>17.9</v>
      </c>
      <c r="I1146" s="7" t="n">
        <v>0</v>
      </c>
      <c r="J1146" s="7" t="n">
        <v>0</v>
      </c>
      <c r="K1146" s="9" t="n">
        <v>0</v>
      </c>
      <c r="L1146" s="10" t="n">
        <v>10.62</v>
      </c>
      <c r="M1146" s="10" t="n">
        <v>1.43</v>
      </c>
      <c r="N1146" t="inlineStr">
        <is>
          <t>1</t>
        </is>
      </c>
      <c r="O1146" t="inlineStr">
        <is>
          <t>16</t>
        </is>
      </c>
      <c r="P1146" t="inlineStr">
        <is>
          <t xml:space="preserve">65868   </t>
        </is>
      </c>
      <c r="Q1146" s="26" t="n">
        <v>10.62</v>
      </c>
      <c r="R1146" s="26">
        <f>Q1146*G1146</f>
        <v/>
      </c>
      <c r="S1146" s="26">
        <f>IFERROR(VLOOKUP(E1146*1,Tabla[#All],8,0),0)</f>
        <v/>
      </c>
      <c r="T1146" s="26">
        <f>S1146*G1146</f>
        <v/>
      </c>
      <c r="U1146" s="26">
        <f>R1146-T1146</f>
        <v/>
      </c>
      <c r="V1146" s="26">
        <f>U1146-L1146</f>
        <v/>
      </c>
    </row>
    <row r="1147">
      <c r="A1147" s="11" t="n">
        <v>46215</v>
      </c>
      <c r="B1147" s="1" t="n">
        <v>20024</v>
      </c>
      <c r="C1147" s="1" t="inlineStr">
        <is>
          <t>021</t>
        </is>
      </c>
      <c r="D1147" s="1" t="inlineStr">
        <is>
          <t>215552</t>
        </is>
      </c>
      <c r="E1147" s="1" t="inlineStr">
        <is>
          <t xml:space="preserve">32656416       </t>
        </is>
      </c>
      <c r="F1147" s="5" t="inlineStr">
        <is>
          <t>EL PISO ES LAVA</t>
        </is>
      </c>
      <c r="G1147" t="n">
        <v>1</v>
      </c>
      <c r="H1147" s="7" t="n">
        <v>79.90000000000001</v>
      </c>
      <c r="I1147" s="7" t="n">
        <v>0</v>
      </c>
      <c r="J1147" s="7" t="n">
        <v>0</v>
      </c>
      <c r="K1147" s="9" t="n">
        <v>0</v>
      </c>
      <c r="L1147" s="10" t="n">
        <v>47.4</v>
      </c>
      <c r="M1147" s="10" t="n">
        <v>1.43</v>
      </c>
      <c r="N1147" t="inlineStr">
        <is>
          <t>1</t>
        </is>
      </c>
      <c r="O1147" t="inlineStr">
        <is>
          <t>16</t>
        </is>
      </c>
      <c r="P1147" t="inlineStr">
        <is>
          <t xml:space="preserve">65868   </t>
        </is>
      </c>
      <c r="Q1147" s="26" t="n">
        <v>47.4</v>
      </c>
      <c r="R1147" s="26">
        <f>Q1147*G1147</f>
        <v/>
      </c>
      <c r="S1147" s="26">
        <f>IFERROR(VLOOKUP(E1147*1,Tabla[#All],8,0),0)</f>
        <v/>
      </c>
      <c r="T1147" s="26">
        <f>S1147*G1147</f>
        <v/>
      </c>
      <c r="U1147" s="26">
        <f>R1147-T1147</f>
        <v/>
      </c>
      <c r="V1147" s="26">
        <f>U1147-L1147</f>
        <v/>
      </c>
    </row>
    <row r="1148">
      <c r="A1148" s="11" t="n">
        <v>46215</v>
      </c>
      <c r="B1148" s="1" t="n">
        <v>20024</v>
      </c>
      <c r="C1148" s="1" t="inlineStr">
        <is>
          <t>032</t>
        </is>
      </c>
      <c r="D1148" s="1" t="inlineStr">
        <is>
          <t>364670</t>
        </is>
      </c>
      <c r="E1148" s="1" t="inlineStr">
        <is>
          <t xml:space="preserve">35685067       </t>
        </is>
      </c>
      <c r="F1148" s="5" t="inlineStr">
        <is>
          <t>HOT WHEELS POWER SET 3 EN 1</t>
        </is>
      </c>
      <c r="G1148" t="n">
        <v>1</v>
      </c>
      <c r="H1148" s="7" t="n">
        <v>49.9</v>
      </c>
      <c r="I1148" s="7" t="n">
        <v>0</v>
      </c>
      <c r="J1148" s="7" t="n">
        <v>0</v>
      </c>
      <c r="K1148" s="9" t="n">
        <v>0</v>
      </c>
      <c r="L1148" s="10" t="n">
        <v>29.6</v>
      </c>
      <c r="M1148" s="10" t="n">
        <v>1.43</v>
      </c>
      <c r="N1148" t="inlineStr">
        <is>
          <t>1</t>
        </is>
      </c>
      <c r="O1148" t="inlineStr">
        <is>
          <t>16</t>
        </is>
      </c>
      <c r="P1148" t="inlineStr">
        <is>
          <t xml:space="preserve">71372   </t>
        </is>
      </c>
      <c r="Q1148" s="26" t="n">
        <v>29.6</v>
      </c>
      <c r="R1148" s="26">
        <f>Q1148*G1148</f>
        <v/>
      </c>
      <c r="S1148" s="26">
        <f>IFERROR(VLOOKUP(E1148*1,Tabla[#All],8,0),0)</f>
        <v/>
      </c>
      <c r="T1148" s="26">
        <f>S1148*G1148</f>
        <v/>
      </c>
      <c r="U1148" s="26">
        <f>R1148-T1148</f>
        <v/>
      </c>
      <c r="V1148" s="26">
        <f>U1148-L1148</f>
        <v/>
      </c>
    </row>
    <row r="1149">
      <c r="A1149" s="11" t="n">
        <v>46215</v>
      </c>
      <c r="B1149" s="1" t="n">
        <v>20024</v>
      </c>
      <c r="C1149" s="1" t="inlineStr">
        <is>
          <t>037</t>
        </is>
      </c>
      <c r="D1149" s="1" t="inlineStr">
        <is>
          <t xml:space="preserve">472   </t>
        </is>
      </c>
      <c r="E1149" s="1" t="inlineStr">
        <is>
          <t xml:space="preserve">31675356       </t>
        </is>
      </c>
      <c r="F1149" s="5" t="inlineStr">
        <is>
          <t>PINYPON PEQUENA CASITA CON MUNECA + ACCESORIOS</t>
        </is>
      </c>
      <c r="G1149" t="n">
        <v>1</v>
      </c>
      <c r="H1149" s="7" t="n">
        <v>59.9</v>
      </c>
      <c r="I1149" s="7" t="n">
        <v>0</v>
      </c>
      <c r="J1149" s="7" t="n">
        <v>0</v>
      </c>
      <c r="K1149" s="9" t="n">
        <v>0</v>
      </c>
      <c r="L1149" s="10" t="n">
        <v>35.53</v>
      </c>
      <c r="M1149" s="10" t="n">
        <v>1.43</v>
      </c>
      <c r="N1149" t="inlineStr">
        <is>
          <t>1</t>
        </is>
      </c>
      <c r="O1149" t="inlineStr">
        <is>
          <t>16</t>
        </is>
      </c>
      <c r="P1149" t="inlineStr">
        <is>
          <t xml:space="preserve">251782  </t>
        </is>
      </c>
      <c r="Q1149" s="26" t="n">
        <v>35.53</v>
      </c>
      <c r="R1149" s="26">
        <f>Q1149*G1149</f>
        <v/>
      </c>
      <c r="S1149" s="26">
        <f>IFERROR(VLOOKUP(E1149*1,Tabla[#All],8,0),0)</f>
        <v/>
      </c>
      <c r="T1149" s="26">
        <f>S1149*G1149</f>
        <v/>
      </c>
      <c r="U1149" s="26">
        <f>R1149-T1149</f>
        <v/>
      </c>
      <c r="V1149" s="26">
        <f>U1149-L1149</f>
        <v/>
      </c>
    </row>
    <row r="1150">
      <c r="A1150" s="11" t="n">
        <v>46215</v>
      </c>
      <c r="B1150" s="1" t="n">
        <v>20025</v>
      </c>
      <c r="C1150" s="1" t="inlineStr">
        <is>
          <t>043</t>
        </is>
      </c>
      <c r="D1150" s="1" t="inlineStr">
        <is>
          <t xml:space="preserve">86618 </t>
        </is>
      </c>
      <c r="E1150" s="1" t="inlineStr">
        <is>
          <t xml:space="preserve">29235708       </t>
        </is>
      </c>
      <c r="F1150" s="5" t="inlineStr">
        <is>
          <t>TEAMSTERZ RESCATE POR AIRE Y MAR</t>
        </is>
      </c>
      <c r="G1150" t="n">
        <v>1</v>
      </c>
      <c r="H1150" s="7" t="n">
        <v>39.9</v>
      </c>
      <c r="I1150" s="7" t="n">
        <v>0</v>
      </c>
      <c r="J1150" s="7" t="n">
        <v>0</v>
      </c>
      <c r="K1150" s="9" t="n">
        <v>0</v>
      </c>
      <c r="L1150" s="10" t="n">
        <v>23.67</v>
      </c>
      <c r="M1150" s="10" t="n">
        <v>1.43</v>
      </c>
      <c r="N1150" t="inlineStr">
        <is>
          <t>1</t>
        </is>
      </c>
      <c r="O1150" t="inlineStr">
        <is>
          <t xml:space="preserve">2 </t>
        </is>
      </c>
      <c r="P1150" t="inlineStr">
        <is>
          <t xml:space="preserve">41674   </t>
        </is>
      </c>
      <c r="Q1150" s="26" t="n">
        <v>23.67</v>
      </c>
      <c r="R1150" s="26">
        <f>Q1150*G1150</f>
        <v/>
      </c>
      <c r="S1150" s="26">
        <f>IFERROR(VLOOKUP(E1150*1,Tabla[#All],8,0),0)</f>
        <v/>
      </c>
      <c r="T1150" s="26">
        <f>S1150*G1150</f>
        <v/>
      </c>
      <c r="U1150" s="26">
        <f>R1150-T1150</f>
        <v/>
      </c>
      <c r="V1150" s="26">
        <f>U1150-L1150</f>
        <v/>
      </c>
    </row>
    <row r="1151">
      <c r="A1151" s="11" t="n">
        <v>46215</v>
      </c>
      <c r="B1151" s="1" t="n">
        <v>20025</v>
      </c>
      <c r="C1151" s="1" t="inlineStr">
        <is>
          <t>073</t>
        </is>
      </c>
      <c r="D1151" s="1" t="inlineStr">
        <is>
          <t xml:space="preserve">23488 </t>
        </is>
      </c>
      <c r="E1151" s="1" t="inlineStr">
        <is>
          <t xml:space="preserve">34840549       </t>
        </is>
      </c>
      <c r="F1151" s="5" t="inlineStr">
        <is>
          <t>TEAMSTERZ MONTANA CALAVERA INCL. 1 AUTO</t>
        </is>
      </c>
      <c r="G1151" t="n">
        <v>1</v>
      </c>
      <c r="H1151" s="7" t="n">
        <v>119</v>
      </c>
      <c r="I1151" s="7" t="n">
        <v>0</v>
      </c>
      <c r="J1151" s="7" t="n">
        <v>0</v>
      </c>
      <c r="K1151" s="9" t="n">
        <v>0</v>
      </c>
      <c r="L1151" s="10" t="n">
        <v>70.59999999999999</v>
      </c>
      <c r="M1151" s="10" t="n">
        <v>1.43</v>
      </c>
      <c r="N1151" t="inlineStr">
        <is>
          <t>1</t>
        </is>
      </c>
      <c r="O1151" t="inlineStr">
        <is>
          <t>16</t>
        </is>
      </c>
      <c r="P1151" t="inlineStr">
        <is>
          <t xml:space="preserve">201722  </t>
        </is>
      </c>
      <c r="Q1151" s="26" t="n">
        <v>70.59</v>
      </c>
      <c r="R1151" s="26">
        <f>Q1151*G1151</f>
        <v/>
      </c>
      <c r="S1151" s="26">
        <f>IFERROR(VLOOKUP(E1151*1,Tabla[#All],8,0),0)</f>
        <v/>
      </c>
      <c r="T1151" s="26">
        <f>S1151*G1151</f>
        <v/>
      </c>
      <c r="U1151" s="26">
        <f>R1151-T1151</f>
        <v/>
      </c>
      <c r="V1151" s="26">
        <f>U1151-L1151</f>
        <v/>
      </c>
    </row>
    <row r="1152">
      <c r="A1152" s="11" t="n">
        <v>46215</v>
      </c>
      <c r="B1152" s="1" t="n">
        <v>20025</v>
      </c>
      <c r="C1152" s="1" t="inlineStr">
        <is>
          <t>074</t>
        </is>
      </c>
      <c r="D1152" s="1" t="inlineStr">
        <is>
          <t xml:space="preserve">82734 </t>
        </is>
      </c>
      <c r="E1152" s="1" t="inlineStr">
        <is>
          <t xml:space="preserve">31959956       </t>
        </is>
      </c>
      <c r="F1152" s="5" t="inlineStr">
        <is>
          <t>TEAMSTERZ CAMION TRANSPORTA ANIMALES SURTIDO</t>
        </is>
      </c>
      <c r="G1152" t="n">
        <v>1</v>
      </c>
      <c r="H1152" s="7" t="n">
        <v>17.9</v>
      </c>
      <c r="I1152" s="7" t="n">
        <v>1.79</v>
      </c>
      <c r="J1152" s="7" t="n">
        <v>0</v>
      </c>
      <c r="K1152" s="9" t="n">
        <v>1.79</v>
      </c>
      <c r="L1152" s="10" t="n">
        <v>9.56</v>
      </c>
      <c r="M1152" s="10" t="n">
        <v>1.43</v>
      </c>
      <c r="N1152" t="inlineStr">
        <is>
          <t>1</t>
        </is>
      </c>
      <c r="O1152" t="inlineStr">
        <is>
          <t xml:space="preserve">3 </t>
        </is>
      </c>
      <c r="P1152" t="inlineStr">
        <is>
          <t xml:space="preserve">251187  </t>
        </is>
      </c>
      <c r="Q1152" s="26" t="n">
        <v>10.62</v>
      </c>
      <c r="R1152" s="26">
        <f>Q1152*G1152</f>
        <v/>
      </c>
      <c r="S1152" s="26">
        <f>IFERROR(VLOOKUP(E1152*1,Tabla[#All],8,0),0)</f>
        <v/>
      </c>
      <c r="T1152" s="26">
        <f>S1152*G1152</f>
        <v/>
      </c>
      <c r="U1152" s="26">
        <f>R1152-T1152</f>
        <v/>
      </c>
      <c r="V1152" s="26">
        <f>U1152-L1152</f>
        <v/>
      </c>
    </row>
    <row r="1153">
      <c r="A1153" s="11" t="n">
        <v>46215</v>
      </c>
      <c r="B1153" s="1" t="n">
        <v>20025</v>
      </c>
      <c r="C1153" s="1" t="inlineStr">
        <is>
          <t>074</t>
        </is>
      </c>
      <c r="D1153" s="1" t="inlineStr">
        <is>
          <t xml:space="preserve">82792 </t>
        </is>
      </c>
      <c r="E1153" s="1" t="inlineStr">
        <is>
          <t xml:space="preserve">34840552       </t>
        </is>
      </c>
      <c r="F1153" s="5" t="inlineStr">
        <is>
          <t>TMZ HELI POLICIA CON LUCES Y SONIDOS</t>
        </is>
      </c>
      <c r="G1153" t="n">
        <v>1</v>
      </c>
      <c r="H1153" s="7" t="n">
        <v>79.90000000000001</v>
      </c>
      <c r="I1153" s="7" t="n">
        <v>0</v>
      </c>
      <c r="J1153" s="7" t="n">
        <v>0</v>
      </c>
      <c r="K1153" s="9" t="n">
        <v>0</v>
      </c>
      <c r="L1153" s="10" t="n">
        <v>47.4</v>
      </c>
      <c r="M1153" s="10" t="n">
        <v>1.43</v>
      </c>
      <c r="N1153" t="inlineStr">
        <is>
          <t>1</t>
        </is>
      </c>
      <c r="O1153" t="inlineStr">
        <is>
          <t>16</t>
        </is>
      </c>
      <c r="P1153" t="inlineStr">
        <is>
          <t xml:space="preserve">251187  </t>
        </is>
      </c>
      <c r="Q1153" s="26" t="n">
        <v>47.4</v>
      </c>
      <c r="R1153" s="26">
        <f>Q1153*G1153</f>
        <v/>
      </c>
      <c r="S1153" s="26">
        <f>IFERROR(VLOOKUP(E1153*1,Tabla[#All],8,0),0)</f>
        <v/>
      </c>
      <c r="T1153" s="26">
        <f>S1153*G1153</f>
        <v/>
      </c>
      <c r="U1153" s="26">
        <f>R1153-T1153</f>
        <v/>
      </c>
      <c r="V1153" s="26">
        <f>U1153-L1153</f>
        <v/>
      </c>
    </row>
    <row r="1154">
      <c r="A1154" s="11" t="n">
        <v>46215</v>
      </c>
      <c r="B1154" s="1" t="n">
        <v>20025</v>
      </c>
      <c r="C1154" s="1" t="inlineStr">
        <is>
          <t>112</t>
        </is>
      </c>
      <c r="D1154" s="1" t="inlineStr">
        <is>
          <t xml:space="preserve">11526 </t>
        </is>
      </c>
      <c r="E1154" s="1" t="inlineStr">
        <is>
          <t xml:space="preserve">28194770       </t>
        </is>
      </c>
      <c r="F1154" s="5" t="inlineStr">
        <is>
          <t>AUTOS DE METAL 3 TEAMSTERZ EN BLISTER</t>
        </is>
      </c>
      <c r="G1154" t="n">
        <v>1</v>
      </c>
      <c r="H1154" s="7" t="n">
        <v>6.9</v>
      </c>
      <c r="I1154" s="7" t="n">
        <v>0</v>
      </c>
      <c r="J1154" s="7" t="n">
        <v>0</v>
      </c>
      <c r="K1154" s="9" t="n">
        <v>0</v>
      </c>
      <c r="L1154" s="10" t="n">
        <v>4.1</v>
      </c>
      <c r="M1154" s="10" t="n">
        <v>1.43</v>
      </c>
      <c r="N1154" t="inlineStr">
        <is>
          <t>1</t>
        </is>
      </c>
      <c r="O1154" t="inlineStr">
        <is>
          <t>16</t>
        </is>
      </c>
      <c r="P1154" t="inlineStr">
        <is>
          <t xml:space="preserve">245698  </t>
        </is>
      </c>
      <c r="Q1154" s="26" t="n">
        <v>4.09</v>
      </c>
      <c r="R1154" s="26">
        <f>Q1154*G1154</f>
        <v/>
      </c>
      <c r="S1154" s="26">
        <f>IFERROR(VLOOKUP(E1154*1,Tabla[#All],8,0),0)</f>
        <v/>
      </c>
      <c r="T1154" s="26">
        <f>S1154*G1154</f>
        <v/>
      </c>
      <c r="U1154" s="26">
        <f>R1154-T1154</f>
        <v/>
      </c>
      <c r="V1154" s="26">
        <f>U1154-L1154</f>
        <v/>
      </c>
    </row>
    <row r="1155">
      <c r="A1155" s="11" t="n">
        <v>46215</v>
      </c>
      <c r="B1155" s="1" t="n">
        <v>20025</v>
      </c>
      <c r="C1155" s="1" t="inlineStr">
        <is>
          <t>112</t>
        </is>
      </c>
      <c r="D1155" s="1" t="inlineStr">
        <is>
          <t xml:space="preserve">11527 </t>
        </is>
      </c>
      <c r="E1155" s="1" t="inlineStr">
        <is>
          <t xml:space="preserve">34840550       </t>
        </is>
      </c>
      <c r="F1155" s="5" t="inlineStr">
        <is>
          <t>TEAMSTERZ M/MOVERZ TRANSPORTA GORILA</t>
        </is>
      </c>
      <c r="G1155" t="n">
        <v>1</v>
      </c>
      <c r="H1155" s="7" t="n">
        <v>129</v>
      </c>
      <c r="I1155" s="7" t="n">
        <v>0</v>
      </c>
      <c r="J1155" s="7" t="n">
        <v>0</v>
      </c>
      <c r="K1155" s="9" t="n">
        <v>0</v>
      </c>
      <c r="L1155" s="10" t="n">
        <v>76.52</v>
      </c>
      <c r="M1155" s="10" t="n">
        <v>1.43</v>
      </c>
      <c r="N1155" t="inlineStr">
        <is>
          <t>1</t>
        </is>
      </c>
      <c r="O1155" t="inlineStr">
        <is>
          <t>16</t>
        </is>
      </c>
      <c r="P1155" t="inlineStr">
        <is>
          <t xml:space="preserve">245698  </t>
        </is>
      </c>
      <c r="Q1155" s="26" t="n">
        <v>76.53</v>
      </c>
      <c r="R1155" s="26">
        <f>Q1155*G1155</f>
        <v/>
      </c>
      <c r="S1155" s="26">
        <f>IFERROR(VLOOKUP(E1155*1,Tabla[#All],8,0),0)</f>
        <v/>
      </c>
      <c r="T1155" s="26">
        <f>S1155*G1155</f>
        <v/>
      </c>
      <c r="U1155" s="26">
        <f>R1155-T1155</f>
        <v/>
      </c>
      <c r="V1155" s="26">
        <f>U1155-L1155</f>
        <v/>
      </c>
    </row>
    <row r="1156">
      <c r="A1156" s="11" t="n">
        <v>46215</v>
      </c>
      <c r="B1156" s="1" t="n">
        <v>20025</v>
      </c>
      <c r="C1156" s="1" t="inlineStr">
        <is>
          <t>831</t>
        </is>
      </c>
      <c r="D1156" s="1" t="inlineStr">
        <is>
          <t xml:space="preserve">6160  </t>
        </is>
      </c>
      <c r="E1156" s="1" t="inlineStr">
        <is>
          <t xml:space="preserve">28194769       </t>
        </is>
      </c>
      <c r="F1156" s="5" t="inlineStr">
        <is>
          <t>AUTOS DE METAL 3 TEAMSTERZ PACK DE 2</t>
        </is>
      </c>
      <c r="G1156" t="n">
        <v>1</v>
      </c>
      <c r="H1156" s="7" t="n">
        <v>13.8</v>
      </c>
      <c r="I1156" s="7" t="n">
        <v>0</v>
      </c>
      <c r="J1156" s="7" t="n">
        <v>0</v>
      </c>
      <c r="K1156" s="9" t="n">
        <v>0</v>
      </c>
      <c r="L1156" s="10" t="n">
        <v>8.18</v>
      </c>
      <c r="M1156" s="10" t="n">
        <v>1.43</v>
      </c>
      <c r="N1156" t="inlineStr">
        <is>
          <t>1</t>
        </is>
      </c>
      <c r="O1156" t="inlineStr">
        <is>
          <t>16</t>
        </is>
      </c>
      <c r="P1156" t="inlineStr">
        <is>
          <t xml:space="preserve">0       </t>
        </is>
      </c>
      <c r="Q1156" s="26" t="n">
        <v>8.19</v>
      </c>
      <c r="R1156" s="26">
        <f>Q1156*G1156</f>
        <v/>
      </c>
      <c r="S1156" s="26">
        <f>IFERROR(VLOOKUP(E1156*1,Tabla[#All],8,0),0)</f>
        <v/>
      </c>
      <c r="T1156" s="26">
        <f>S1156*G1156</f>
        <v/>
      </c>
      <c r="U1156" s="26">
        <f>R1156-T1156</f>
        <v/>
      </c>
      <c r="V1156" s="26">
        <f>U1156-L1156</f>
        <v/>
      </c>
    </row>
    <row r="1157">
      <c r="A1157" s="11" t="n">
        <v>46215</v>
      </c>
      <c r="B1157" s="1" t="n">
        <v>20028</v>
      </c>
      <c r="C1157" s="1" t="inlineStr">
        <is>
          <t>011</t>
        </is>
      </c>
      <c r="D1157" s="1" t="inlineStr">
        <is>
          <t xml:space="preserve">33591 </t>
        </is>
      </c>
      <c r="E1157" s="1" t="inlineStr">
        <is>
          <t xml:space="preserve">28194782       </t>
        </is>
      </c>
      <c r="F1157" s="5" t="inlineStr">
        <is>
          <t>TROMPO BATALLA INFINITY NADO SERIE V ORIGINAL SURT</t>
        </is>
      </c>
      <c r="G1157" t="n">
        <v>1</v>
      </c>
      <c r="H1157" s="7" t="n">
        <v>69.90000000000001</v>
      </c>
      <c r="I1157" s="7" t="n">
        <v>0</v>
      </c>
      <c r="J1157" s="7" t="n">
        <v>0</v>
      </c>
      <c r="K1157" s="9" t="n">
        <v>0</v>
      </c>
      <c r="L1157" s="10" t="n">
        <v>41.47</v>
      </c>
      <c r="M1157" s="10" t="n">
        <v>1.43</v>
      </c>
      <c r="N1157" t="inlineStr">
        <is>
          <t>1</t>
        </is>
      </c>
      <c r="O1157" t="inlineStr">
        <is>
          <t>16</t>
        </is>
      </c>
      <c r="P1157" t="inlineStr">
        <is>
          <t xml:space="preserve">35540   </t>
        </is>
      </c>
      <c r="Q1157" s="26" t="n">
        <v>41.47</v>
      </c>
      <c r="R1157" s="26">
        <f>Q1157*G1157</f>
        <v/>
      </c>
      <c r="S1157" s="26">
        <f>IFERROR(VLOOKUP(E1157*1,Tabla[#All],8,0),0)</f>
        <v/>
      </c>
      <c r="T1157" s="26">
        <f>S1157*G1157</f>
        <v/>
      </c>
      <c r="U1157" s="26">
        <f>R1157-T1157</f>
        <v/>
      </c>
      <c r="V1157" s="26">
        <f>U1157-L1157</f>
        <v/>
      </c>
    </row>
    <row r="1158">
      <c r="A1158" s="11" t="n">
        <v>46215</v>
      </c>
      <c r="B1158" s="1" t="n">
        <v>20030</v>
      </c>
      <c r="C1158" s="1" t="inlineStr">
        <is>
          <t>022</t>
        </is>
      </c>
      <c r="D1158" s="1" t="inlineStr">
        <is>
          <t>317153</t>
        </is>
      </c>
      <c r="E1158" s="1" t="inlineStr">
        <is>
          <t xml:space="preserve">29235707       </t>
        </is>
      </c>
      <c r="F1158" s="5" t="inlineStr">
        <is>
          <t>TEAMSTERZ AUTO DE METAL 3  PACK DE 5</t>
        </is>
      </c>
      <c r="G1158" t="n">
        <v>1</v>
      </c>
      <c r="H1158" s="7" t="n">
        <v>34.5</v>
      </c>
      <c r="I1158" s="7" t="n">
        <v>0</v>
      </c>
      <c r="J1158" s="7" t="n">
        <v>0</v>
      </c>
      <c r="K1158" s="9" t="n">
        <v>0</v>
      </c>
      <c r="L1158" s="10" t="n">
        <v>20.47</v>
      </c>
      <c r="M1158" s="10" t="n">
        <v>1.43</v>
      </c>
      <c r="N1158" t="inlineStr">
        <is>
          <t>1</t>
        </is>
      </c>
      <c r="O1158" t="inlineStr">
        <is>
          <t>16</t>
        </is>
      </c>
      <c r="P1158" t="inlineStr">
        <is>
          <t xml:space="preserve">47352   </t>
        </is>
      </c>
      <c r="Q1158" s="26" t="n">
        <v>20.47</v>
      </c>
      <c r="R1158" s="26">
        <f>Q1158*G1158</f>
        <v/>
      </c>
      <c r="S1158" s="26">
        <f>IFERROR(VLOOKUP(E1158*1,Tabla[#All],8,0),0)</f>
        <v/>
      </c>
      <c r="T1158" s="26">
        <f>S1158*G1158</f>
        <v/>
      </c>
      <c r="U1158" s="26">
        <f>R1158-T1158</f>
        <v/>
      </c>
      <c r="V1158" s="26">
        <f>U1158-L1158</f>
        <v/>
      </c>
    </row>
    <row r="1159">
      <c r="A1159" s="11" t="n">
        <v>46215</v>
      </c>
      <c r="B1159" s="1" t="n">
        <v>20030</v>
      </c>
      <c r="C1159" s="1" t="inlineStr">
        <is>
          <t>067</t>
        </is>
      </c>
      <c r="D1159" s="1" t="inlineStr">
        <is>
          <t>273882</t>
        </is>
      </c>
      <c r="E1159" s="1" t="inlineStr">
        <is>
          <t xml:space="preserve">30141766       </t>
        </is>
      </c>
      <c r="F1159" s="5" t="inlineStr">
        <is>
          <t>TMZ BEAST MACHINES AUTOS DE METAL BLISTER X 1</t>
        </is>
      </c>
      <c r="G1159" t="n">
        <v>1</v>
      </c>
      <c r="H1159" s="7" t="n">
        <v>7.9</v>
      </c>
      <c r="I1159" s="7" t="n">
        <v>0</v>
      </c>
      <c r="J1159" s="7" t="n">
        <v>0</v>
      </c>
      <c r="K1159" s="9" t="n">
        <v>0</v>
      </c>
      <c r="L1159" s="10" t="n">
        <v>4.68</v>
      </c>
      <c r="M1159" s="10" t="n">
        <v>1.43</v>
      </c>
      <c r="N1159" t="inlineStr">
        <is>
          <t>1</t>
        </is>
      </c>
      <c r="O1159" t="inlineStr">
        <is>
          <t>16</t>
        </is>
      </c>
      <c r="P1159" t="inlineStr">
        <is>
          <t xml:space="preserve">27455   </t>
        </is>
      </c>
      <c r="Q1159" s="26" t="n">
        <v>4.69</v>
      </c>
      <c r="R1159" s="26">
        <f>Q1159*G1159</f>
        <v/>
      </c>
      <c r="S1159" s="26">
        <f>IFERROR(VLOOKUP(E1159*1,Tabla[#All],8,0),0)</f>
        <v/>
      </c>
      <c r="T1159" s="26">
        <f>S1159*G1159</f>
        <v/>
      </c>
      <c r="U1159" s="26">
        <f>R1159-T1159</f>
        <v/>
      </c>
      <c r="V1159" s="26">
        <f>U1159-L1159</f>
        <v/>
      </c>
    </row>
    <row r="1160">
      <c r="A1160" s="11" t="n">
        <v>46215</v>
      </c>
      <c r="B1160" s="1" t="n">
        <v>20030</v>
      </c>
      <c r="C1160" s="1" t="inlineStr">
        <is>
          <t>067</t>
        </is>
      </c>
      <c r="D1160" s="1" t="inlineStr">
        <is>
          <t>273885</t>
        </is>
      </c>
      <c r="E1160" s="1" t="inlineStr">
        <is>
          <t xml:space="preserve">35685066       </t>
        </is>
      </c>
      <c r="F1160" s="5" t="inlineStr">
        <is>
          <t>HOT WHEELS RACK GUARDA AUTOS 3 EN 1</t>
        </is>
      </c>
      <c r="G1160" t="n">
        <v>1</v>
      </c>
      <c r="H1160" s="7" t="n">
        <v>79.90000000000001</v>
      </c>
      <c r="I1160" s="7" t="n">
        <v>0</v>
      </c>
      <c r="J1160" s="7" t="n">
        <v>0</v>
      </c>
      <c r="K1160" s="9" t="n">
        <v>0</v>
      </c>
      <c r="L1160" s="10" t="n">
        <v>47.4</v>
      </c>
      <c r="M1160" s="10" t="n">
        <v>1.43</v>
      </c>
      <c r="N1160" t="inlineStr">
        <is>
          <t>1</t>
        </is>
      </c>
      <c r="O1160" t="inlineStr">
        <is>
          <t>16</t>
        </is>
      </c>
      <c r="P1160" t="inlineStr">
        <is>
          <t xml:space="preserve">27455   </t>
        </is>
      </c>
      <c r="Q1160" s="26" t="n">
        <v>47.4</v>
      </c>
      <c r="R1160" s="26">
        <f>Q1160*G1160</f>
        <v/>
      </c>
      <c r="S1160" s="26">
        <f>IFERROR(VLOOKUP(E1160*1,Tabla[#All],8,0),0)</f>
        <v/>
      </c>
      <c r="T1160" s="26">
        <f>S1160*G1160</f>
        <v/>
      </c>
      <c r="U1160" s="26">
        <f>R1160-T1160</f>
        <v/>
      </c>
      <c r="V1160" s="26">
        <f>U1160-L1160</f>
        <v/>
      </c>
    </row>
    <row r="1161">
      <c r="A1161" s="11" t="n">
        <v>46215</v>
      </c>
      <c r="B1161" s="1" t="n">
        <v>20030</v>
      </c>
      <c r="C1161" s="1" t="inlineStr">
        <is>
          <t>067</t>
        </is>
      </c>
      <c r="D1161" s="1" t="inlineStr">
        <is>
          <t>273974</t>
        </is>
      </c>
      <c r="E1161" s="1" t="inlineStr">
        <is>
          <t xml:space="preserve">31675352       </t>
        </is>
      </c>
      <c r="F1161" s="5" t="inlineStr">
        <is>
          <t>MI PEQUENO NENUCO</t>
        </is>
      </c>
      <c r="G1161" t="n">
        <v>1</v>
      </c>
      <c r="H1161" s="7" t="n">
        <v>69.90000000000001</v>
      </c>
      <c r="I1161" s="7" t="n">
        <v>0</v>
      </c>
      <c r="J1161" s="7" t="n">
        <v>0</v>
      </c>
      <c r="K1161" s="9" t="n">
        <v>0</v>
      </c>
      <c r="L1161" s="10" t="n">
        <v>41.47</v>
      </c>
      <c r="M1161" s="10" t="n">
        <v>1.43</v>
      </c>
      <c r="N1161" t="inlineStr">
        <is>
          <t>1</t>
        </is>
      </c>
      <c r="O1161" t="inlineStr">
        <is>
          <t>16</t>
        </is>
      </c>
      <c r="P1161" t="inlineStr">
        <is>
          <t xml:space="preserve">27455   </t>
        </is>
      </c>
      <c r="Q1161" s="26" t="n">
        <v>41.47</v>
      </c>
      <c r="R1161" s="26">
        <f>Q1161*G1161</f>
        <v/>
      </c>
      <c r="S1161" s="26">
        <f>IFERROR(VLOOKUP(E1161*1,Tabla[#All],8,0),0)</f>
        <v/>
      </c>
      <c r="T1161" s="26">
        <f>S1161*G1161</f>
        <v/>
      </c>
      <c r="U1161" s="26">
        <f>R1161-T1161</f>
        <v/>
      </c>
      <c r="V1161" s="26">
        <f>U1161-L1161</f>
        <v/>
      </c>
    </row>
    <row r="1162">
      <c r="A1162" s="11" t="n">
        <v>46215</v>
      </c>
      <c r="B1162" s="1" t="n">
        <v>20030</v>
      </c>
      <c r="C1162" s="1" t="inlineStr">
        <is>
          <t>067</t>
        </is>
      </c>
      <c r="D1162" s="1" t="inlineStr">
        <is>
          <t>273982</t>
        </is>
      </c>
      <c r="E1162" s="1" t="inlineStr">
        <is>
          <t xml:space="preserve">35685067       </t>
        </is>
      </c>
      <c r="F1162" s="5" t="inlineStr">
        <is>
          <t>HOT WHEELS POWER SET 3 EN 1</t>
        </is>
      </c>
      <c r="G1162" t="n">
        <v>1</v>
      </c>
      <c r="H1162" s="7" t="n">
        <v>49.9</v>
      </c>
      <c r="I1162" s="7" t="n">
        <v>0</v>
      </c>
      <c r="J1162" s="7" t="n">
        <v>0</v>
      </c>
      <c r="K1162" s="9" t="n">
        <v>0</v>
      </c>
      <c r="L1162" s="10" t="n">
        <v>29.6</v>
      </c>
      <c r="M1162" s="10" t="n">
        <v>1.43</v>
      </c>
      <c r="N1162" t="inlineStr">
        <is>
          <t>1</t>
        </is>
      </c>
      <c r="O1162" t="inlineStr">
        <is>
          <t>16</t>
        </is>
      </c>
      <c r="P1162" t="inlineStr">
        <is>
          <t xml:space="preserve">22672   </t>
        </is>
      </c>
      <c r="Q1162" s="26" t="n">
        <v>29.6</v>
      </c>
      <c r="R1162" s="26">
        <f>Q1162*G1162</f>
        <v/>
      </c>
      <c r="S1162" s="26">
        <f>IFERROR(VLOOKUP(E1162*1,Tabla[#All],8,0),0)</f>
        <v/>
      </c>
      <c r="T1162" s="26">
        <f>S1162*G1162</f>
        <v/>
      </c>
      <c r="U1162" s="26">
        <f>R1162-T1162</f>
        <v/>
      </c>
      <c r="V1162" s="26">
        <f>U1162-L1162</f>
        <v/>
      </c>
    </row>
    <row r="1163">
      <c r="A1163" s="11" t="n">
        <v>46215</v>
      </c>
      <c r="B1163" s="1" t="n">
        <v>20040</v>
      </c>
      <c r="C1163" s="1" t="inlineStr">
        <is>
          <t>033</t>
        </is>
      </c>
      <c r="D1163" s="1" t="inlineStr">
        <is>
          <t xml:space="preserve">84960 </t>
        </is>
      </c>
      <c r="E1163" s="1" t="inlineStr">
        <is>
          <t xml:space="preserve">28194783       </t>
        </is>
      </c>
      <c r="F1163" s="5" t="inlineStr">
        <is>
          <t>SET DE BATALLA INFINITY NADO CON 2 TROMPOS</t>
        </is>
      </c>
      <c r="G1163" t="n">
        <v>1</v>
      </c>
      <c r="H1163" s="7" t="n">
        <v>159</v>
      </c>
      <c r="I1163" s="7" t="n">
        <v>0</v>
      </c>
      <c r="J1163" s="7" t="n">
        <v>0</v>
      </c>
      <c r="K1163" s="9" t="n">
        <v>0</v>
      </c>
      <c r="L1163" s="10" t="n">
        <v>94.33</v>
      </c>
      <c r="M1163" s="10" t="n">
        <v>1.43</v>
      </c>
      <c r="N1163" t="inlineStr">
        <is>
          <t>1</t>
        </is>
      </c>
      <c r="O1163" t="inlineStr">
        <is>
          <t>16</t>
        </is>
      </c>
      <c r="P1163" t="inlineStr">
        <is>
          <t xml:space="preserve">243636  </t>
        </is>
      </c>
      <c r="Q1163" s="26" t="n">
        <v>94.31999999999999</v>
      </c>
      <c r="R1163" s="26">
        <f>Q1163*G1163</f>
        <v/>
      </c>
      <c r="S1163" s="26">
        <f>IFERROR(VLOOKUP(E1163*1,Tabla[#All],8,0),0)</f>
        <v/>
      </c>
      <c r="T1163" s="26">
        <f>S1163*G1163</f>
        <v/>
      </c>
      <c r="U1163" s="26">
        <f>R1163-T1163</f>
        <v/>
      </c>
      <c r="V1163" s="26">
        <f>U1163-L1163</f>
        <v/>
      </c>
    </row>
    <row r="1164">
      <c r="A1164" s="11" t="n">
        <v>46215</v>
      </c>
      <c r="B1164" s="1" t="n">
        <v>20040</v>
      </c>
      <c r="C1164" s="1" t="inlineStr">
        <is>
          <t>072</t>
        </is>
      </c>
      <c r="D1164" s="1" t="inlineStr">
        <is>
          <t>251643</t>
        </is>
      </c>
      <c r="E1164" s="1" t="inlineStr">
        <is>
          <t xml:space="preserve">28194781       </t>
        </is>
      </c>
      <c r="F1164" s="5" t="inlineStr">
        <is>
          <t>TROMPO BATALLA INFINITY NADO SERIE V CLASICA SURTI</t>
        </is>
      </c>
      <c r="G1164" t="n">
        <v>1</v>
      </c>
      <c r="H1164" s="7" t="n">
        <v>59.9</v>
      </c>
      <c r="I1164" s="7" t="n">
        <v>5.99</v>
      </c>
      <c r="J1164" s="7" t="n">
        <v>0</v>
      </c>
      <c r="K1164" s="9" t="n">
        <v>5.99</v>
      </c>
      <c r="L1164" s="10" t="n">
        <v>31.98</v>
      </c>
      <c r="M1164" s="10" t="n">
        <v>1.43</v>
      </c>
      <c r="N1164" t="inlineStr">
        <is>
          <t>1</t>
        </is>
      </c>
      <c r="O1164" t="inlineStr">
        <is>
          <t xml:space="preserve">3 </t>
        </is>
      </c>
      <c r="P1164" t="inlineStr">
        <is>
          <t xml:space="preserve">250392  </t>
        </is>
      </c>
      <c r="Q1164" s="26" t="n">
        <v>35.53</v>
      </c>
      <c r="R1164" s="26">
        <f>Q1164*G1164</f>
        <v/>
      </c>
      <c r="S1164" s="26">
        <f>IFERROR(VLOOKUP(E1164*1,Tabla[#All],8,0),0)</f>
        <v/>
      </c>
      <c r="T1164" s="26">
        <f>S1164*G1164</f>
        <v/>
      </c>
      <c r="U1164" s="26">
        <f>R1164-T1164</f>
        <v/>
      </c>
      <c r="V1164" s="26">
        <f>U1164-L1164</f>
        <v/>
      </c>
    </row>
    <row r="1165">
      <c r="A1165" s="11" t="n">
        <v>46215</v>
      </c>
      <c r="B1165" s="1" t="n">
        <v>20040</v>
      </c>
      <c r="C1165" s="1" t="inlineStr">
        <is>
          <t>072</t>
        </is>
      </c>
      <c r="D1165" s="1" t="inlineStr">
        <is>
          <t>251702</t>
        </is>
      </c>
      <c r="E1165" s="1" t="inlineStr">
        <is>
          <t xml:space="preserve">31675352       </t>
        </is>
      </c>
      <c r="F1165" s="5" t="inlineStr">
        <is>
          <t>MI PEQUENO NENUCO</t>
        </is>
      </c>
      <c r="G1165" t="n">
        <v>1</v>
      </c>
      <c r="H1165" s="7" t="n">
        <v>69.90000000000001</v>
      </c>
      <c r="I1165" s="7" t="n">
        <v>0</v>
      </c>
      <c r="J1165" s="7" t="n">
        <v>0</v>
      </c>
      <c r="K1165" s="9" t="n">
        <v>0</v>
      </c>
      <c r="L1165" s="10" t="n">
        <v>41.47</v>
      </c>
      <c r="M1165" s="10" t="n">
        <v>1.43</v>
      </c>
      <c r="N1165" t="inlineStr">
        <is>
          <t>1</t>
        </is>
      </c>
      <c r="O1165" t="inlineStr">
        <is>
          <t>16</t>
        </is>
      </c>
      <c r="P1165" t="inlineStr">
        <is>
          <t xml:space="preserve">248589  </t>
        </is>
      </c>
      <c r="Q1165" s="26" t="n">
        <v>41.47</v>
      </c>
      <c r="R1165" s="26">
        <f>Q1165*G1165</f>
        <v/>
      </c>
      <c r="S1165" s="26">
        <f>IFERROR(VLOOKUP(E1165*1,Tabla[#All],8,0),0)</f>
        <v/>
      </c>
      <c r="T1165" s="26">
        <f>S1165*G1165</f>
        <v/>
      </c>
      <c r="U1165" s="26">
        <f>R1165-T1165</f>
        <v/>
      </c>
      <c r="V1165" s="26">
        <f>U1165-L1165</f>
        <v/>
      </c>
    </row>
    <row r="1166">
      <c r="A1166" s="11" t="n">
        <v>46215</v>
      </c>
      <c r="B1166" s="1" t="n">
        <v>20040</v>
      </c>
      <c r="C1166" s="1" t="inlineStr">
        <is>
          <t>072</t>
        </is>
      </c>
      <c r="D1166" s="1" t="inlineStr">
        <is>
          <t>251707</t>
        </is>
      </c>
      <c r="E1166" s="1" t="inlineStr">
        <is>
          <t xml:space="preserve">32457099       </t>
        </is>
      </c>
      <c r="F1166" s="5" t="inlineStr">
        <is>
          <t>TMZ BEAST MACHINES MONSTER JAWS A FRICCION BLISTER</t>
        </is>
      </c>
      <c r="G1166" t="n">
        <v>1</v>
      </c>
      <c r="H1166" s="7" t="n">
        <v>19.9</v>
      </c>
      <c r="I1166" s="7" t="n">
        <v>0</v>
      </c>
      <c r="J1166" s="7" t="n">
        <v>0</v>
      </c>
      <c r="K1166" s="9" t="n">
        <v>0</v>
      </c>
      <c r="L1166" s="10" t="n">
        <v>11.8</v>
      </c>
      <c r="M1166" s="10" t="n">
        <v>1.43</v>
      </c>
      <c r="N1166" t="inlineStr">
        <is>
          <t>1</t>
        </is>
      </c>
      <c r="O1166" t="inlineStr">
        <is>
          <t xml:space="preserve">2 </t>
        </is>
      </c>
      <c r="P1166" t="inlineStr">
        <is>
          <t xml:space="preserve">248589  </t>
        </is>
      </c>
      <c r="Q1166" s="26" t="n">
        <v>11.81</v>
      </c>
      <c r="R1166" s="26">
        <f>Q1166*G1166</f>
        <v/>
      </c>
      <c r="S1166" s="26">
        <f>IFERROR(VLOOKUP(E1166*1,Tabla[#All],8,0),0)</f>
        <v/>
      </c>
      <c r="T1166" s="26">
        <f>S1166*G1166</f>
        <v/>
      </c>
      <c r="U1166" s="26">
        <f>R1166-T1166</f>
        <v/>
      </c>
      <c r="V1166" s="26">
        <f>U1166-L1166</f>
        <v/>
      </c>
    </row>
    <row r="1167">
      <c r="A1167" s="11" t="n">
        <v>46215</v>
      </c>
      <c r="B1167" s="1" t="n">
        <v>20040</v>
      </c>
      <c r="C1167" s="1" t="inlineStr">
        <is>
          <t>083</t>
        </is>
      </c>
      <c r="D1167" s="1" t="inlineStr">
        <is>
          <t>159628</t>
        </is>
      </c>
      <c r="E1167" s="1" t="inlineStr">
        <is>
          <t xml:space="preserve">28194768       </t>
        </is>
      </c>
      <c r="F1167" s="5" t="inlineStr">
        <is>
          <t>AUTO COLOR CHANGE TEAMSTERZ SURTIDO</t>
        </is>
      </c>
      <c r="G1167" t="n">
        <v>1</v>
      </c>
      <c r="H1167" s="7" t="n">
        <v>14.9</v>
      </c>
      <c r="I1167" s="7" t="n">
        <v>0</v>
      </c>
      <c r="J1167" s="7" t="n">
        <v>0</v>
      </c>
      <c r="K1167" s="9" t="n">
        <v>0</v>
      </c>
      <c r="L1167" s="10" t="n">
        <v>8.84</v>
      </c>
      <c r="M1167" s="10" t="n">
        <v>1.43</v>
      </c>
      <c r="N1167" t="inlineStr">
        <is>
          <t>1</t>
        </is>
      </c>
      <c r="O1167" t="inlineStr">
        <is>
          <t>16</t>
        </is>
      </c>
      <c r="P1167" t="inlineStr">
        <is>
          <t xml:space="preserve">99716   </t>
        </is>
      </c>
      <c r="Q1167" s="26" t="n">
        <v>8.84</v>
      </c>
      <c r="R1167" s="26">
        <f>Q1167*G1167</f>
        <v/>
      </c>
      <c r="S1167" s="26">
        <f>IFERROR(VLOOKUP(E1167*1,Tabla[#All],8,0),0)</f>
        <v/>
      </c>
      <c r="T1167" s="26">
        <f>S1167*G1167</f>
        <v/>
      </c>
      <c r="U1167" s="26">
        <f>R1167-T1167</f>
        <v/>
      </c>
      <c r="V1167" s="26">
        <f>U1167-L1167</f>
        <v/>
      </c>
    </row>
    <row r="1168">
      <c r="A1168" s="11" t="n">
        <v>46215</v>
      </c>
      <c r="B1168" s="1" t="n">
        <v>20040</v>
      </c>
      <c r="C1168" s="1" t="inlineStr">
        <is>
          <t>083</t>
        </is>
      </c>
      <c r="D1168" s="1" t="inlineStr">
        <is>
          <t xml:space="preserve">2598  </t>
        </is>
      </c>
      <c r="E1168" s="1" t="inlineStr">
        <is>
          <t xml:space="preserve">32457103       </t>
        </is>
      </c>
      <c r="F1168" s="5" t="inlineStr">
        <is>
          <t>TMZ BEAST MACHINES MONSTER JAWS A FRICCION PACK DE</t>
        </is>
      </c>
      <c r="G1168" t="n">
        <v>1</v>
      </c>
      <c r="H1168" s="7" t="n">
        <v>37.9</v>
      </c>
      <c r="I1168" s="7" t="n">
        <v>3.79</v>
      </c>
      <c r="J1168" s="7" t="n">
        <v>0</v>
      </c>
      <c r="K1168" s="9" t="n">
        <v>3.79</v>
      </c>
      <c r="L1168" s="10" t="n">
        <v>20.24</v>
      </c>
      <c r="M1168" s="10" t="n">
        <v>1.43</v>
      </c>
      <c r="N1168" t="inlineStr">
        <is>
          <t>1</t>
        </is>
      </c>
      <c r="O1168" t="inlineStr">
        <is>
          <t xml:space="preserve">3 </t>
        </is>
      </c>
      <c r="P1168" t="inlineStr">
        <is>
          <t xml:space="preserve">99716   </t>
        </is>
      </c>
      <c r="Q1168" s="26" t="n">
        <v>22.48</v>
      </c>
      <c r="R1168" s="26">
        <f>Q1168*G1168</f>
        <v/>
      </c>
      <c r="S1168" s="26">
        <f>IFERROR(VLOOKUP(E1168*1,Tabla[#All],8,0),0)</f>
        <v/>
      </c>
      <c r="T1168" s="26">
        <f>S1168*G1168</f>
        <v/>
      </c>
      <c r="U1168" s="26">
        <f>R1168-T1168</f>
        <v/>
      </c>
      <c r="V1168" s="26">
        <f>U1168-L1168</f>
        <v/>
      </c>
    </row>
    <row r="1169">
      <c r="A1169" s="11" t="n">
        <v>46215</v>
      </c>
      <c r="B1169" s="1" t="n">
        <v>20040</v>
      </c>
      <c r="C1169" s="1" t="inlineStr">
        <is>
          <t>190</t>
        </is>
      </c>
      <c r="D1169" s="1" t="inlineStr">
        <is>
          <t>368055</t>
        </is>
      </c>
      <c r="E1169" s="1" t="inlineStr">
        <is>
          <t xml:space="preserve">31675354       </t>
        </is>
      </c>
      <c r="F1169" s="5" t="inlineStr">
        <is>
          <t>NENUCO LLORON CON ACCESORIOS</t>
        </is>
      </c>
      <c r="G1169" t="n">
        <v>1</v>
      </c>
      <c r="H1169" s="7" t="n">
        <v>89.90000000000001</v>
      </c>
      <c r="I1169" s="7" t="n">
        <v>0</v>
      </c>
      <c r="J1169" s="7" t="n">
        <v>0</v>
      </c>
      <c r="K1169" s="9" t="n">
        <v>0</v>
      </c>
      <c r="L1169" s="10" t="n">
        <v>53.33</v>
      </c>
      <c r="M1169" s="10" t="n">
        <v>1.43</v>
      </c>
      <c r="N1169" t="inlineStr">
        <is>
          <t>1</t>
        </is>
      </c>
      <c r="O1169" t="inlineStr">
        <is>
          <t>16</t>
        </is>
      </c>
      <c r="P1169" t="inlineStr">
        <is>
          <t xml:space="preserve">52786   </t>
        </is>
      </c>
      <c r="Q1169" s="26" t="n">
        <v>53.33</v>
      </c>
      <c r="R1169" s="26">
        <f>Q1169*G1169</f>
        <v/>
      </c>
      <c r="S1169" s="26">
        <f>IFERROR(VLOOKUP(E1169*1,Tabla[#All],8,0),0)</f>
        <v/>
      </c>
      <c r="T1169" s="26">
        <f>S1169*G1169</f>
        <v/>
      </c>
      <c r="U1169" s="26">
        <f>R1169-T1169</f>
        <v/>
      </c>
      <c r="V1169" s="26">
        <f>U1169-L1169</f>
        <v/>
      </c>
    </row>
    <row r="1170">
      <c r="A1170" s="11" t="n">
        <v>46215</v>
      </c>
      <c r="B1170" s="1" t="n">
        <v>20040</v>
      </c>
      <c r="C1170" s="1" t="inlineStr">
        <is>
          <t>190</t>
        </is>
      </c>
      <c r="D1170" s="1" t="inlineStr">
        <is>
          <t>368111</t>
        </is>
      </c>
      <c r="E1170" s="1" t="inlineStr">
        <is>
          <t xml:space="preserve">32457111       </t>
        </is>
      </c>
      <c r="F1170" s="5" t="inlineStr">
        <is>
          <t>TMZ BEAST MACHINES MONSTER JAWS A FRICCION PACK DE</t>
        </is>
      </c>
      <c r="G1170" t="n">
        <v>1</v>
      </c>
      <c r="H1170" s="7" t="n">
        <v>74.90000000000001</v>
      </c>
      <c r="I1170" s="7" t="n">
        <v>7.49</v>
      </c>
      <c r="J1170" s="7" t="n">
        <v>0</v>
      </c>
      <c r="K1170" s="9" t="n">
        <v>7.49</v>
      </c>
      <c r="L1170" s="10" t="n">
        <v>39.99</v>
      </c>
      <c r="M1170" s="10" t="n">
        <v>1.43</v>
      </c>
      <c r="N1170" t="inlineStr">
        <is>
          <t>1</t>
        </is>
      </c>
      <c r="O1170" t="inlineStr">
        <is>
          <t xml:space="preserve">3 </t>
        </is>
      </c>
      <c r="P1170" t="inlineStr">
        <is>
          <t xml:space="preserve">52786   </t>
        </is>
      </c>
      <c r="Q1170" s="26" t="n">
        <v>44.43</v>
      </c>
      <c r="R1170" s="26">
        <f>Q1170*G1170</f>
        <v/>
      </c>
      <c r="S1170" s="26">
        <f>IFERROR(VLOOKUP(E1170*1,Tabla[#All],8,0),0)</f>
        <v/>
      </c>
      <c r="T1170" s="26">
        <f>S1170*G1170</f>
        <v/>
      </c>
      <c r="U1170" s="26">
        <f>R1170-T1170</f>
        <v/>
      </c>
      <c r="V1170" s="26">
        <f>U1170-L1170</f>
        <v/>
      </c>
    </row>
    <row r="1171">
      <c r="A1171" s="11" t="n">
        <v>46215</v>
      </c>
      <c r="B1171" s="1" t="n">
        <v>20041</v>
      </c>
      <c r="C1171" s="1" t="inlineStr">
        <is>
          <t>011</t>
        </is>
      </c>
      <c r="D1171" s="1" t="inlineStr">
        <is>
          <t xml:space="preserve">538   </t>
        </is>
      </c>
      <c r="E1171" s="1" t="inlineStr">
        <is>
          <t xml:space="preserve">28194770       </t>
        </is>
      </c>
      <c r="F1171" s="5" t="inlineStr">
        <is>
          <t>AUTOS DE METAL 3 TEAMSTERZ EN BLISTER</t>
        </is>
      </c>
      <c r="G1171" t="n">
        <v>1</v>
      </c>
      <c r="H1171" s="7" t="n">
        <v>6.9</v>
      </c>
      <c r="I1171" s="7" t="n">
        <v>0.6899999999999999</v>
      </c>
      <c r="J1171" s="7" t="n">
        <v>0</v>
      </c>
      <c r="K1171" s="9" t="n">
        <v>0.6899999999999999</v>
      </c>
      <c r="L1171" s="10" t="n">
        <v>3.68</v>
      </c>
      <c r="M1171" s="10" t="n">
        <v>1.43</v>
      </c>
      <c r="N1171" t="inlineStr">
        <is>
          <t>1</t>
        </is>
      </c>
      <c r="O1171" t="inlineStr">
        <is>
          <t>16</t>
        </is>
      </c>
      <c r="P1171" t="inlineStr">
        <is>
          <t xml:space="preserve">241916  </t>
        </is>
      </c>
      <c r="Q1171" s="26" t="n">
        <v>4.09</v>
      </c>
      <c r="R1171" s="26">
        <f>Q1171*G1171</f>
        <v/>
      </c>
      <c r="S1171" s="26">
        <f>IFERROR(VLOOKUP(E1171*1,Tabla[#All],8,0),0)</f>
        <v/>
      </c>
      <c r="T1171" s="26">
        <f>S1171*G1171</f>
        <v/>
      </c>
      <c r="U1171" s="26">
        <f>R1171-T1171</f>
        <v/>
      </c>
      <c r="V1171" s="26">
        <f>U1171-L1171</f>
        <v/>
      </c>
    </row>
    <row r="1172">
      <c r="A1172" s="11" t="n">
        <v>46215</v>
      </c>
      <c r="B1172" s="1" t="n">
        <v>20041</v>
      </c>
      <c r="C1172" s="1" t="inlineStr">
        <is>
          <t>016</t>
        </is>
      </c>
      <c r="D1172" s="1" t="inlineStr">
        <is>
          <t>215455</t>
        </is>
      </c>
      <c r="E1172" s="1" t="inlineStr">
        <is>
          <t xml:space="preserve">28194770       </t>
        </is>
      </c>
      <c r="F1172" s="5" t="inlineStr">
        <is>
          <t>AUTOS DE METAL 3 TEAMSTERZ EN BLISTER</t>
        </is>
      </c>
      <c r="G1172" t="n">
        <v>1</v>
      </c>
      <c r="H1172" s="7" t="n">
        <v>6.9</v>
      </c>
      <c r="I1172" s="7" t="n">
        <v>0</v>
      </c>
      <c r="J1172" s="7" t="n">
        <v>0</v>
      </c>
      <c r="K1172" s="9" t="n">
        <v>0</v>
      </c>
      <c r="L1172" s="10" t="n">
        <v>4.1</v>
      </c>
      <c r="M1172" s="10" t="n">
        <v>1.43</v>
      </c>
      <c r="N1172" t="inlineStr">
        <is>
          <t>1</t>
        </is>
      </c>
      <c r="O1172" t="inlineStr">
        <is>
          <t>16</t>
        </is>
      </c>
      <c r="P1172" t="inlineStr">
        <is>
          <t xml:space="preserve">57146   </t>
        </is>
      </c>
      <c r="Q1172" s="26" t="n">
        <v>4.09</v>
      </c>
      <c r="R1172" s="26">
        <f>Q1172*G1172</f>
        <v/>
      </c>
      <c r="S1172" s="26">
        <f>IFERROR(VLOOKUP(E1172*1,Tabla[#All],8,0),0)</f>
        <v/>
      </c>
      <c r="T1172" s="26">
        <f>S1172*G1172</f>
        <v/>
      </c>
      <c r="U1172" s="26">
        <f>R1172-T1172</f>
        <v/>
      </c>
      <c r="V1172" s="26">
        <f>U1172-L1172</f>
        <v/>
      </c>
    </row>
    <row r="1173">
      <c r="A1173" s="11" t="n">
        <v>46215</v>
      </c>
      <c r="B1173" s="1" t="n">
        <v>20041</v>
      </c>
      <c r="C1173" s="1" t="inlineStr">
        <is>
          <t>018</t>
        </is>
      </c>
      <c r="D1173" s="1" t="inlineStr">
        <is>
          <t xml:space="preserve">55853 </t>
        </is>
      </c>
      <c r="E1173" s="1" t="inlineStr">
        <is>
          <t xml:space="preserve">28194770       </t>
        </is>
      </c>
      <c r="F1173" s="5" t="inlineStr">
        <is>
          <t>AUTOS DE METAL 3 TEAMSTERZ EN BLISTER</t>
        </is>
      </c>
      <c r="G1173" t="n">
        <v>1</v>
      </c>
      <c r="H1173" s="7" t="n">
        <v>6.9</v>
      </c>
      <c r="I1173" s="7" t="n">
        <v>0</v>
      </c>
      <c r="J1173" s="7" t="n">
        <v>0</v>
      </c>
      <c r="K1173" s="9" t="n">
        <v>0</v>
      </c>
      <c r="L1173" s="10" t="n">
        <v>4.1</v>
      </c>
      <c r="M1173" s="10" t="n">
        <v>1.43</v>
      </c>
      <c r="N1173" t="inlineStr">
        <is>
          <t>1</t>
        </is>
      </c>
      <c r="O1173" t="inlineStr">
        <is>
          <t>16</t>
        </is>
      </c>
      <c r="P1173" t="inlineStr">
        <is>
          <t xml:space="preserve">242748  </t>
        </is>
      </c>
      <c r="Q1173" s="26" t="n">
        <v>4.09</v>
      </c>
      <c r="R1173" s="26">
        <f>Q1173*G1173</f>
        <v/>
      </c>
      <c r="S1173" s="26">
        <f>IFERROR(VLOOKUP(E1173*1,Tabla[#All],8,0),0)</f>
        <v/>
      </c>
      <c r="T1173" s="26">
        <f>S1173*G1173</f>
        <v/>
      </c>
      <c r="U1173" s="26">
        <f>R1173-T1173</f>
        <v/>
      </c>
      <c r="V1173" s="26">
        <f>U1173-L1173</f>
        <v/>
      </c>
    </row>
    <row r="1174">
      <c r="A1174" s="11" t="n">
        <v>46215</v>
      </c>
      <c r="B1174" s="1" t="n">
        <v>20041</v>
      </c>
      <c r="C1174" s="1" t="inlineStr">
        <is>
          <t>018</t>
        </is>
      </c>
      <c r="D1174" s="1" t="inlineStr">
        <is>
          <t xml:space="preserve">55859 </t>
        </is>
      </c>
      <c r="E1174" s="1" t="inlineStr">
        <is>
          <t xml:space="preserve">28194770       </t>
        </is>
      </c>
      <c r="F1174" s="5" t="inlineStr">
        <is>
          <t>AUTOS DE METAL 3 TEAMSTERZ EN BLISTER</t>
        </is>
      </c>
      <c r="G1174" t="n">
        <v>1</v>
      </c>
      <c r="H1174" s="7" t="n">
        <v>6.9</v>
      </c>
      <c r="I1174" s="7" t="n">
        <v>0</v>
      </c>
      <c r="J1174" s="7" t="n">
        <v>0</v>
      </c>
      <c r="K1174" s="9" t="n">
        <v>0</v>
      </c>
      <c r="L1174" s="10" t="n">
        <v>4.1</v>
      </c>
      <c r="M1174" s="10" t="n">
        <v>1.43</v>
      </c>
      <c r="N1174" t="inlineStr">
        <is>
          <t>1</t>
        </is>
      </c>
      <c r="O1174" t="inlineStr">
        <is>
          <t>16</t>
        </is>
      </c>
      <c r="P1174" t="inlineStr">
        <is>
          <t xml:space="preserve">242748  </t>
        </is>
      </c>
      <c r="Q1174" s="26" t="n">
        <v>4.09</v>
      </c>
      <c r="R1174" s="26">
        <f>Q1174*G1174</f>
        <v/>
      </c>
      <c r="S1174" s="26">
        <f>IFERROR(VLOOKUP(E1174*1,Tabla[#All],8,0),0)</f>
        <v/>
      </c>
      <c r="T1174" s="26">
        <f>S1174*G1174</f>
        <v/>
      </c>
      <c r="U1174" s="26">
        <f>R1174-T1174</f>
        <v/>
      </c>
      <c r="V1174" s="26">
        <f>U1174-L1174</f>
        <v/>
      </c>
    </row>
    <row r="1175">
      <c r="A1175" s="11" t="n">
        <v>46215</v>
      </c>
      <c r="B1175" s="1" t="n">
        <v>20041</v>
      </c>
      <c r="C1175" s="1" t="inlineStr">
        <is>
          <t>018</t>
        </is>
      </c>
      <c r="D1175" s="1" t="inlineStr">
        <is>
          <t xml:space="preserve">55859 </t>
        </is>
      </c>
      <c r="E1175" s="1" t="inlineStr">
        <is>
          <t xml:space="preserve">28194770       </t>
        </is>
      </c>
      <c r="F1175" s="5" t="inlineStr">
        <is>
          <t>AUTOS DE METAL 3 TEAMSTERZ EN BLISTER</t>
        </is>
      </c>
      <c r="G1175" t="n">
        <v>1</v>
      </c>
      <c r="H1175" s="7" t="n">
        <v>6.9</v>
      </c>
      <c r="I1175" s="7" t="n">
        <v>0</v>
      </c>
      <c r="J1175" s="7" t="n">
        <v>0</v>
      </c>
      <c r="K1175" s="9" t="n">
        <v>0</v>
      </c>
      <c r="L1175" s="10" t="n">
        <v>4.1</v>
      </c>
      <c r="M1175" s="10" t="n">
        <v>1.43</v>
      </c>
      <c r="N1175" t="inlineStr">
        <is>
          <t>1</t>
        </is>
      </c>
      <c r="O1175" t="inlineStr">
        <is>
          <t>16</t>
        </is>
      </c>
      <c r="P1175" t="inlineStr">
        <is>
          <t xml:space="preserve">242748  </t>
        </is>
      </c>
      <c r="Q1175" s="26" t="n">
        <v>4.09</v>
      </c>
      <c r="R1175" s="26">
        <f>Q1175*G1175</f>
        <v/>
      </c>
      <c r="S1175" s="26">
        <f>IFERROR(VLOOKUP(E1175*1,Tabla[#All],8,0),0)</f>
        <v/>
      </c>
      <c r="T1175" s="26">
        <f>S1175*G1175</f>
        <v/>
      </c>
      <c r="U1175" s="26">
        <f>R1175-T1175</f>
        <v/>
      </c>
      <c r="V1175" s="26">
        <f>U1175-L1175</f>
        <v/>
      </c>
    </row>
    <row r="1176">
      <c r="A1176" s="11" t="n">
        <v>46215</v>
      </c>
      <c r="B1176" s="1" t="n">
        <v>20041</v>
      </c>
      <c r="C1176" s="1" t="inlineStr">
        <is>
          <t>043</t>
        </is>
      </c>
      <c r="D1176" s="1" t="inlineStr">
        <is>
          <t xml:space="preserve">76010 </t>
        </is>
      </c>
      <c r="E1176" s="1" t="inlineStr">
        <is>
          <t xml:space="preserve">35685067       </t>
        </is>
      </c>
      <c r="F1176" s="5" t="inlineStr">
        <is>
          <t>HOT WHEELS POWER SET 3 EN 1</t>
        </is>
      </c>
      <c r="G1176" t="n">
        <v>1</v>
      </c>
      <c r="H1176" s="7" t="n">
        <v>49.9</v>
      </c>
      <c r="I1176" s="7" t="n">
        <v>0</v>
      </c>
      <c r="J1176" s="7" t="n">
        <v>0</v>
      </c>
      <c r="K1176" s="9" t="n">
        <v>0</v>
      </c>
      <c r="L1176" s="10" t="n">
        <v>29.6</v>
      </c>
      <c r="M1176" s="10" t="n">
        <v>1.43</v>
      </c>
      <c r="N1176" t="inlineStr">
        <is>
          <t>1</t>
        </is>
      </c>
      <c r="O1176" t="inlineStr">
        <is>
          <t xml:space="preserve">2 </t>
        </is>
      </c>
      <c r="P1176" t="inlineStr">
        <is>
          <t xml:space="preserve">92331   </t>
        </is>
      </c>
      <c r="Q1176" s="26" t="n">
        <v>29.6</v>
      </c>
      <c r="R1176" s="26">
        <f>Q1176*G1176</f>
        <v/>
      </c>
      <c r="S1176" s="26">
        <f>IFERROR(VLOOKUP(E1176*1,Tabla[#All],8,0),0)</f>
        <v/>
      </c>
      <c r="T1176" s="26">
        <f>S1176*G1176</f>
        <v/>
      </c>
      <c r="U1176" s="26">
        <f>R1176-T1176</f>
        <v/>
      </c>
      <c r="V1176" s="26">
        <f>U1176-L1176</f>
        <v/>
      </c>
    </row>
    <row r="1177">
      <c r="A1177" s="11" t="n">
        <v>46215</v>
      </c>
      <c r="B1177" s="1" t="n">
        <v>20041</v>
      </c>
      <c r="C1177" s="1" t="inlineStr">
        <is>
          <t>043</t>
        </is>
      </c>
      <c r="D1177" s="1" t="inlineStr">
        <is>
          <t xml:space="preserve">76026 </t>
        </is>
      </c>
      <c r="E1177" s="1" t="inlineStr">
        <is>
          <t xml:space="preserve">35685067       </t>
        </is>
      </c>
      <c r="F1177" s="5" t="inlineStr">
        <is>
          <t>HOT WHEELS POWER SET 3 EN 1</t>
        </is>
      </c>
      <c r="G1177" t="n">
        <v>1</v>
      </c>
      <c r="H1177" s="7" t="n">
        <v>49.9</v>
      </c>
      <c r="I1177" s="7" t="n">
        <v>4.99</v>
      </c>
      <c r="J1177" s="7" t="n">
        <v>0</v>
      </c>
      <c r="K1177" s="9" t="n">
        <v>4.99</v>
      </c>
      <c r="L1177" s="10" t="n">
        <v>26.64</v>
      </c>
      <c r="M1177" s="10" t="n">
        <v>1.43</v>
      </c>
      <c r="N1177" t="inlineStr">
        <is>
          <t>1</t>
        </is>
      </c>
      <c r="O1177" t="inlineStr">
        <is>
          <t xml:space="preserve">3 </t>
        </is>
      </c>
      <c r="P1177" t="inlineStr">
        <is>
          <t xml:space="preserve">92331   </t>
        </is>
      </c>
      <c r="Q1177" s="26" t="n">
        <v>29.6</v>
      </c>
      <c r="R1177" s="26">
        <f>Q1177*G1177</f>
        <v/>
      </c>
      <c r="S1177" s="26">
        <f>IFERROR(VLOOKUP(E1177*1,Tabla[#All],8,0),0)</f>
        <v/>
      </c>
      <c r="T1177" s="26">
        <f>S1177*G1177</f>
        <v/>
      </c>
      <c r="U1177" s="26">
        <f>R1177-T1177</f>
        <v/>
      </c>
      <c r="V1177" s="26">
        <f>U1177-L1177</f>
        <v/>
      </c>
    </row>
    <row r="1178">
      <c r="A1178" s="11" t="n">
        <v>46215</v>
      </c>
      <c r="B1178" s="1" t="n">
        <v>20041</v>
      </c>
      <c r="C1178" s="1" t="inlineStr">
        <is>
          <t>511</t>
        </is>
      </c>
      <c r="D1178" s="1" t="inlineStr">
        <is>
          <t xml:space="preserve">625   </t>
        </is>
      </c>
      <c r="E1178" s="1" t="inlineStr">
        <is>
          <t xml:space="preserve">28194770       </t>
        </is>
      </c>
      <c r="F1178" s="5" t="inlineStr">
        <is>
          <t>AUTOS DE METAL 3 TEAMSTERZ EN BLISTER</t>
        </is>
      </c>
      <c r="G1178" t="n">
        <v>1</v>
      </c>
      <c r="H1178" s="7" t="n">
        <v>6.9</v>
      </c>
      <c r="I1178" s="7" t="n">
        <v>0</v>
      </c>
      <c r="J1178" s="7" t="n">
        <v>0</v>
      </c>
      <c r="K1178" s="9" t="n">
        <v>0</v>
      </c>
      <c r="L1178" s="10" t="n">
        <v>4.1</v>
      </c>
      <c r="M1178" s="10" t="n">
        <v>1.43</v>
      </c>
      <c r="N1178" t="inlineStr">
        <is>
          <t>1</t>
        </is>
      </c>
      <c r="O1178" t="inlineStr">
        <is>
          <t>16</t>
        </is>
      </c>
      <c r="P1178" t="inlineStr">
        <is>
          <t xml:space="preserve">248088  </t>
        </is>
      </c>
      <c r="Q1178" s="26" t="n">
        <v>4.09</v>
      </c>
      <c r="R1178" s="26">
        <f>Q1178*G1178</f>
        <v/>
      </c>
      <c r="S1178" s="26">
        <f>IFERROR(VLOOKUP(E1178*1,Tabla[#All],8,0),0)</f>
        <v/>
      </c>
      <c r="T1178" s="26">
        <f>S1178*G1178</f>
        <v/>
      </c>
      <c r="U1178" s="26">
        <f>R1178-T1178</f>
        <v/>
      </c>
      <c r="V1178" s="26">
        <f>U1178-L1178</f>
        <v/>
      </c>
    </row>
    <row r="1179">
      <c r="A1179" s="11" t="n">
        <v>46215</v>
      </c>
      <c r="B1179" s="1" t="n">
        <v>20043</v>
      </c>
      <c r="C1179" s="1" t="inlineStr">
        <is>
          <t>061</t>
        </is>
      </c>
      <c r="D1179" s="1" t="inlineStr">
        <is>
          <t>154861</t>
        </is>
      </c>
      <c r="E1179" s="1" t="inlineStr">
        <is>
          <t xml:space="preserve">28194769       </t>
        </is>
      </c>
      <c r="F1179" s="5" t="inlineStr">
        <is>
          <t>AUTOS DE METAL 3 TEAMSTERZ PACK DE 2</t>
        </is>
      </c>
      <c r="G1179" t="n">
        <v>1</v>
      </c>
      <c r="H1179" s="7" t="n">
        <v>13.8</v>
      </c>
      <c r="I1179" s="7" t="n">
        <v>1.38</v>
      </c>
      <c r="J1179" s="7" t="n">
        <v>0</v>
      </c>
      <c r="K1179" s="9" t="n">
        <v>1.38</v>
      </c>
      <c r="L1179" s="10" t="n">
        <v>7.37</v>
      </c>
      <c r="M1179" s="10" t="n">
        <v>1.43</v>
      </c>
      <c r="N1179" t="inlineStr">
        <is>
          <t>1</t>
        </is>
      </c>
      <c r="O1179" t="inlineStr">
        <is>
          <t xml:space="preserve">3 </t>
        </is>
      </c>
      <c r="P1179" t="inlineStr">
        <is>
          <t xml:space="preserve">73748   </t>
        </is>
      </c>
      <c r="Q1179" s="26" t="n">
        <v>8.19</v>
      </c>
      <c r="R1179" s="26">
        <f>Q1179*G1179</f>
        <v/>
      </c>
      <c r="S1179" s="26">
        <f>IFERROR(VLOOKUP(E1179*1,Tabla[#All],8,0),0)</f>
        <v/>
      </c>
      <c r="T1179" s="26">
        <f>S1179*G1179</f>
        <v/>
      </c>
      <c r="U1179" s="26">
        <f>R1179-T1179</f>
        <v/>
      </c>
      <c r="V1179" s="26">
        <f>U1179-L1179</f>
        <v/>
      </c>
    </row>
    <row r="1180">
      <c r="A1180" s="11" t="n">
        <v>46215</v>
      </c>
      <c r="B1180" s="1" t="n">
        <v>20043</v>
      </c>
      <c r="C1180" s="1" t="inlineStr">
        <is>
          <t>061</t>
        </is>
      </c>
      <c r="D1180" s="1" t="inlineStr">
        <is>
          <t>154861</t>
        </is>
      </c>
      <c r="E1180" s="1" t="inlineStr">
        <is>
          <t xml:space="preserve">28194769       </t>
        </is>
      </c>
      <c r="F1180" s="5" t="inlineStr">
        <is>
          <t>AUTOS DE METAL 3 TEAMSTERZ PACK DE 2</t>
        </is>
      </c>
      <c r="G1180" t="n">
        <v>1</v>
      </c>
      <c r="H1180" s="7" t="n">
        <v>13.8</v>
      </c>
      <c r="I1180" s="7" t="n">
        <v>1.38</v>
      </c>
      <c r="J1180" s="7" t="n">
        <v>0</v>
      </c>
      <c r="K1180" s="9" t="n">
        <v>1.38</v>
      </c>
      <c r="L1180" s="10" t="n">
        <v>7.37</v>
      </c>
      <c r="M1180" s="10" t="n">
        <v>1.43</v>
      </c>
      <c r="N1180" t="inlineStr">
        <is>
          <t>1</t>
        </is>
      </c>
      <c r="O1180" t="inlineStr">
        <is>
          <t xml:space="preserve">3 </t>
        </is>
      </c>
      <c r="P1180" t="inlineStr">
        <is>
          <t xml:space="preserve">73748   </t>
        </is>
      </c>
      <c r="Q1180" s="26" t="n">
        <v>8.19</v>
      </c>
      <c r="R1180" s="26">
        <f>Q1180*G1180</f>
        <v/>
      </c>
      <c r="S1180" s="26">
        <f>IFERROR(VLOOKUP(E1180*1,Tabla[#All],8,0),0)</f>
        <v/>
      </c>
      <c r="T1180" s="26">
        <f>S1180*G1180</f>
        <v/>
      </c>
      <c r="U1180" s="26">
        <f>R1180-T1180</f>
        <v/>
      </c>
      <c r="V1180" s="26">
        <f>U1180-L1180</f>
        <v/>
      </c>
    </row>
    <row r="1181">
      <c r="A1181" s="11" t="n">
        <v>46215</v>
      </c>
      <c r="B1181" s="1" t="n">
        <v>20043</v>
      </c>
      <c r="C1181" s="1" t="inlineStr">
        <is>
          <t>061</t>
        </is>
      </c>
      <c r="D1181" s="1" t="inlineStr">
        <is>
          <t>154861</t>
        </is>
      </c>
      <c r="E1181" s="1" t="inlineStr">
        <is>
          <t xml:space="preserve">30141766       </t>
        </is>
      </c>
      <c r="F1181" s="5" t="inlineStr">
        <is>
          <t>TMZ BEAST MACHINES AUTOS DE METAL BLISTER X 1</t>
        </is>
      </c>
      <c r="G1181" t="n">
        <v>1</v>
      </c>
      <c r="H1181" s="7" t="n">
        <v>7.9</v>
      </c>
      <c r="I1181" s="7" t="n">
        <v>0.79</v>
      </c>
      <c r="J1181" s="7" t="n">
        <v>0</v>
      </c>
      <c r="K1181" s="9" t="n">
        <v>0.79</v>
      </c>
      <c r="L1181" s="10" t="n">
        <v>4.22</v>
      </c>
      <c r="M1181" s="10" t="n">
        <v>1.43</v>
      </c>
      <c r="N1181" t="inlineStr">
        <is>
          <t>1</t>
        </is>
      </c>
      <c r="O1181" t="inlineStr">
        <is>
          <t xml:space="preserve">3 </t>
        </is>
      </c>
      <c r="P1181" t="inlineStr">
        <is>
          <t xml:space="preserve">73748   </t>
        </is>
      </c>
      <c r="Q1181" s="26" t="n">
        <v>4.69</v>
      </c>
      <c r="R1181" s="26">
        <f>Q1181*G1181</f>
        <v/>
      </c>
      <c r="S1181" s="26">
        <f>IFERROR(VLOOKUP(E1181*1,Tabla[#All],8,0),0)</f>
        <v/>
      </c>
      <c r="T1181" s="26">
        <f>S1181*G1181</f>
        <v/>
      </c>
      <c r="U1181" s="26">
        <f>R1181-T1181</f>
        <v/>
      </c>
      <c r="V1181" s="26">
        <f>U1181-L1181</f>
        <v/>
      </c>
    </row>
    <row r="1182">
      <c r="A1182" s="11" t="n">
        <v>46215</v>
      </c>
      <c r="B1182" s="1" t="n">
        <v>20043</v>
      </c>
      <c r="C1182" s="1" t="inlineStr">
        <is>
          <t>061</t>
        </is>
      </c>
      <c r="D1182" s="1" t="inlineStr">
        <is>
          <t>154878</t>
        </is>
      </c>
      <c r="E1182" s="1" t="inlineStr">
        <is>
          <t xml:space="preserve">30141766       </t>
        </is>
      </c>
      <c r="F1182" s="5" t="inlineStr">
        <is>
          <t>TMZ BEAST MACHINES AUTOS DE METAL BLISTER X 1</t>
        </is>
      </c>
      <c r="G1182" t="n">
        <v>1</v>
      </c>
      <c r="H1182" s="7" t="n">
        <v>7.9</v>
      </c>
      <c r="I1182" s="7" t="n">
        <v>0</v>
      </c>
      <c r="J1182" s="7" t="n">
        <v>0</v>
      </c>
      <c r="K1182" s="9" t="n">
        <v>0</v>
      </c>
      <c r="L1182" s="10" t="n">
        <v>4.68</v>
      </c>
      <c r="M1182" s="10" t="n">
        <v>1.43</v>
      </c>
      <c r="N1182" t="inlineStr">
        <is>
          <t>1</t>
        </is>
      </c>
      <c r="O1182" t="inlineStr">
        <is>
          <t xml:space="preserve">2 </t>
        </is>
      </c>
      <c r="P1182" t="inlineStr">
        <is>
          <t xml:space="preserve">73748   </t>
        </is>
      </c>
      <c r="Q1182" s="26" t="n">
        <v>4.69</v>
      </c>
      <c r="R1182" s="26">
        <f>Q1182*G1182</f>
        <v/>
      </c>
      <c r="S1182" s="26">
        <f>IFERROR(VLOOKUP(E1182*1,Tabla[#All],8,0),0)</f>
        <v/>
      </c>
      <c r="T1182" s="26">
        <f>S1182*G1182</f>
        <v/>
      </c>
      <c r="U1182" s="26">
        <f>R1182-T1182</f>
        <v/>
      </c>
      <c r="V1182" s="26">
        <f>U1182-L1182</f>
        <v/>
      </c>
    </row>
    <row r="1183">
      <c r="A1183" s="11" t="n">
        <v>46215</v>
      </c>
      <c r="B1183" s="1" t="n">
        <v>20043</v>
      </c>
      <c r="C1183" s="1" t="inlineStr">
        <is>
          <t>061</t>
        </is>
      </c>
      <c r="D1183" s="1" t="inlineStr">
        <is>
          <t>154890</t>
        </is>
      </c>
      <c r="E1183" s="1" t="inlineStr">
        <is>
          <t xml:space="preserve">28194770       </t>
        </is>
      </c>
      <c r="F1183" s="5" t="inlineStr">
        <is>
          <t>AUTOS DE METAL 3 TEAMSTERZ EN BLISTER</t>
        </is>
      </c>
      <c r="G1183" t="n">
        <v>1</v>
      </c>
      <c r="H1183" s="7" t="n">
        <v>6.9</v>
      </c>
      <c r="I1183" s="7" t="n">
        <v>0.6899999999999999</v>
      </c>
      <c r="J1183" s="7" t="n">
        <v>0</v>
      </c>
      <c r="K1183" s="9" t="n">
        <v>0.6899999999999999</v>
      </c>
      <c r="L1183" s="10" t="n">
        <v>3.68</v>
      </c>
      <c r="M1183" s="10" t="n">
        <v>1.43</v>
      </c>
      <c r="N1183" t="inlineStr">
        <is>
          <t>1</t>
        </is>
      </c>
      <c r="O1183" t="inlineStr">
        <is>
          <t xml:space="preserve">3 </t>
        </is>
      </c>
      <c r="P1183" t="inlineStr">
        <is>
          <t xml:space="preserve">73748   </t>
        </is>
      </c>
      <c r="Q1183" s="26" t="n">
        <v>4.09</v>
      </c>
      <c r="R1183" s="26">
        <f>Q1183*G1183</f>
        <v/>
      </c>
      <c r="S1183" s="26">
        <f>IFERROR(VLOOKUP(E1183*1,Tabla[#All],8,0),0)</f>
        <v/>
      </c>
      <c r="T1183" s="26">
        <f>S1183*G1183</f>
        <v/>
      </c>
      <c r="U1183" s="26">
        <f>R1183-T1183</f>
        <v/>
      </c>
      <c r="V1183" s="26">
        <f>U1183-L1183</f>
        <v/>
      </c>
    </row>
    <row r="1184">
      <c r="A1184" s="11" t="n">
        <v>46215</v>
      </c>
      <c r="B1184" s="1" t="n">
        <v>20047</v>
      </c>
      <c r="C1184" s="1" t="inlineStr">
        <is>
          <t>012</t>
        </is>
      </c>
      <c r="D1184" s="1" t="inlineStr">
        <is>
          <t>332243</t>
        </is>
      </c>
      <c r="E1184" s="1" t="inlineStr">
        <is>
          <t xml:space="preserve">28194770       </t>
        </is>
      </c>
      <c r="F1184" s="5" t="inlineStr">
        <is>
          <t>AUTOS DE METAL 3 TEAMSTERZ EN BLISTER</t>
        </is>
      </c>
      <c r="G1184" t="n">
        <v>1</v>
      </c>
      <c r="H1184" s="7" t="n">
        <v>6.9</v>
      </c>
      <c r="I1184" s="7" t="n">
        <v>0.6899999999999999</v>
      </c>
      <c r="J1184" s="7" t="n">
        <v>0</v>
      </c>
      <c r="K1184" s="9" t="n">
        <v>0.6899999999999999</v>
      </c>
      <c r="L1184" s="10" t="n">
        <v>3.68</v>
      </c>
      <c r="M1184" s="10" t="n">
        <v>1.43</v>
      </c>
      <c r="N1184" t="inlineStr">
        <is>
          <t>1</t>
        </is>
      </c>
      <c r="O1184" t="inlineStr">
        <is>
          <t xml:space="preserve">3 </t>
        </is>
      </c>
      <c r="P1184" t="inlineStr">
        <is>
          <t xml:space="preserve">78210   </t>
        </is>
      </c>
      <c r="Q1184" s="26" t="n">
        <v>4.09</v>
      </c>
      <c r="R1184" s="26">
        <f>Q1184*G1184</f>
        <v/>
      </c>
      <c r="S1184" s="26">
        <f>IFERROR(VLOOKUP(E1184*1,Tabla[#All],8,0),0)</f>
        <v/>
      </c>
      <c r="T1184" s="26">
        <f>S1184*G1184</f>
        <v/>
      </c>
      <c r="U1184" s="26">
        <f>R1184-T1184</f>
        <v/>
      </c>
      <c r="V1184" s="26">
        <f>U1184-L1184</f>
        <v/>
      </c>
    </row>
    <row r="1185">
      <c r="A1185" s="11" t="n">
        <v>46215</v>
      </c>
      <c r="B1185" s="1" t="n">
        <v>20047</v>
      </c>
      <c r="C1185" s="1" t="inlineStr">
        <is>
          <t>012</t>
        </is>
      </c>
      <c r="D1185" s="1" t="inlineStr">
        <is>
          <t>332243</t>
        </is>
      </c>
      <c r="E1185" s="1" t="inlineStr">
        <is>
          <t xml:space="preserve">28194770       </t>
        </is>
      </c>
      <c r="F1185" s="5" t="inlineStr">
        <is>
          <t>AUTOS DE METAL 3 TEAMSTERZ EN BLISTER</t>
        </is>
      </c>
      <c r="G1185" t="n">
        <v>1</v>
      </c>
      <c r="H1185" s="7" t="n">
        <v>6.9</v>
      </c>
      <c r="I1185" s="7" t="n">
        <v>0.6899999999999999</v>
      </c>
      <c r="J1185" s="7" t="n">
        <v>0</v>
      </c>
      <c r="K1185" s="9" t="n">
        <v>0.6899999999999999</v>
      </c>
      <c r="L1185" s="10" t="n">
        <v>3.68</v>
      </c>
      <c r="M1185" s="10" t="n">
        <v>1.43</v>
      </c>
      <c r="N1185" t="inlineStr">
        <is>
          <t>1</t>
        </is>
      </c>
      <c r="O1185" t="inlineStr">
        <is>
          <t xml:space="preserve">3 </t>
        </is>
      </c>
      <c r="P1185" t="inlineStr">
        <is>
          <t xml:space="preserve">78210   </t>
        </is>
      </c>
      <c r="Q1185" s="26" t="n">
        <v>4.09</v>
      </c>
      <c r="R1185" s="26">
        <f>Q1185*G1185</f>
        <v/>
      </c>
      <c r="S1185" s="26">
        <f>IFERROR(VLOOKUP(E1185*1,Tabla[#All],8,0),0)</f>
        <v/>
      </c>
      <c r="T1185" s="26">
        <f>S1185*G1185</f>
        <v/>
      </c>
      <c r="U1185" s="26">
        <f>R1185-T1185</f>
        <v/>
      </c>
      <c r="V1185" s="26">
        <f>U1185-L1185</f>
        <v/>
      </c>
    </row>
    <row r="1186">
      <c r="A1186" s="11" t="n">
        <v>46215</v>
      </c>
      <c r="B1186" s="1" t="n">
        <v>20047</v>
      </c>
      <c r="C1186" s="1" t="inlineStr">
        <is>
          <t>017</t>
        </is>
      </c>
      <c r="D1186" s="1" t="inlineStr">
        <is>
          <t>122685</t>
        </is>
      </c>
      <c r="E1186" s="1" t="inlineStr">
        <is>
          <t xml:space="preserve">28194770       </t>
        </is>
      </c>
      <c r="F1186" s="5" t="inlineStr">
        <is>
          <t>AUTOS DE METAL 3 TEAMSTERZ EN BLISTER</t>
        </is>
      </c>
      <c r="G1186" t="n">
        <v>1</v>
      </c>
      <c r="H1186" s="7" t="n">
        <v>6.9</v>
      </c>
      <c r="I1186" s="7" t="n">
        <v>0</v>
      </c>
      <c r="J1186" s="7" t="n">
        <v>0</v>
      </c>
      <c r="K1186" s="9" t="n">
        <v>0</v>
      </c>
      <c r="L1186" s="10" t="n">
        <v>4.1</v>
      </c>
      <c r="M1186" s="10" t="n">
        <v>1.43</v>
      </c>
      <c r="N1186" t="inlineStr">
        <is>
          <t>1</t>
        </is>
      </c>
      <c r="O1186" t="inlineStr">
        <is>
          <t xml:space="preserve">2 </t>
        </is>
      </c>
      <c r="P1186" t="inlineStr">
        <is>
          <t xml:space="preserve">244589  </t>
        </is>
      </c>
      <c r="Q1186" s="26" t="n">
        <v>4.09</v>
      </c>
      <c r="R1186" s="26">
        <f>Q1186*G1186</f>
        <v/>
      </c>
      <c r="S1186" s="26">
        <f>IFERROR(VLOOKUP(E1186*1,Tabla[#All],8,0),0)</f>
        <v/>
      </c>
      <c r="T1186" s="26">
        <f>S1186*G1186</f>
        <v/>
      </c>
      <c r="U1186" s="26">
        <f>R1186-T1186</f>
        <v/>
      </c>
      <c r="V1186" s="26">
        <f>U1186-L1186</f>
        <v/>
      </c>
    </row>
    <row r="1187">
      <c r="A1187" s="11" t="n">
        <v>46215</v>
      </c>
      <c r="B1187" s="1" t="n">
        <v>20047</v>
      </c>
      <c r="C1187" s="1" t="inlineStr">
        <is>
          <t>017</t>
        </is>
      </c>
      <c r="D1187" s="1" t="inlineStr">
        <is>
          <t>122685</t>
        </is>
      </c>
      <c r="E1187" s="1" t="inlineStr">
        <is>
          <t xml:space="preserve">28194770       </t>
        </is>
      </c>
      <c r="F1187" s="5" t="inlineStr">
        <is>
          <t>AUTOS DE METAL 3 TEAMSTERZ EN BLISTER</t>
        </is>
      </c>
      <c r="G1187" t="n">
        <v>1</v>
      </c>
      <c r="H1187" s="7" t="n">
        <v>6.9</v>
      </c>
      <c r="I1187" s="7" t="n">
        <v>0</v>
      </c>
      <c r="J1187" s="7" t="n">
        <v>0</v>
      </c>
      <c r="K1187" s="9" t="n">
        <v>0</v>
      </c>
      <c r="L1187" s="10" t="n">
        <v>4.1</v>
      </c>
      <c r="M1187" s="10" t="n">
        <v>1.43</v>
      </c>
      <c r="N1187" t="inlineStr">
        <is>
          <t>1</t>
        </is>
      </c>
      <c r="O1187" t="inlineStr">
        <is>
          <t xml:space="preserve">2 </t>
        </is>
      </c>
      <c r="P1187" t="inlineStr">
        <is>
          <t xml:space="preserve">244589  </t>
        </is>
      </c>
      <c r="Q1187" s="26" t="n">
        <v>4.09</v>
      </c>
      <c r="R1187" s="26">
        <f>Q1187*G1187</f>
        <v/>
      </c>
      <c r="S1187" s="26">
        <f>IFERROR(VLOOKUP(E1187*1,Tabla[#All],8,0),0)</f>
        <v/>
      </c>
      <c r="T1187" s="26">
        <f>S1187*G1187</f>
        <v/>
      </c>
      <c r="U1187" s="26">
        <f>R1187-T1187</f>
        <v/>
      </c>
      <c r="V1187" s="26">
        <f>U1187-L1187</f>
        <v/>
      </c>
    </row>
    <row r="1188">
      <c r="A1188" s="11" t="n">
        <v>46215</v>
      </c>
      <c r="B1188" s="1" t="n">
        <v>20047</v>
      </c>
      <c r="C1188" s="1" t="inlineStr">
        <is>
          <t>017</t>
        </is>
      </c>
      <c r="D1188" s="1" t="inlineStr">
        <is>
          <t>122685</t>
        </is>
      </c>
      <c r="E1188" s="1" t="inlineStr">
        <is>
          <t xml:space="preserve">28194770       </t>
        </is>
      </c>
      <c r="F1188" s="5" t="inlineStr">
        <is>
          <t>AUTOS DE METAL 3 TEAMSTERZ EN BLISTER</t>
        </is>
      </c>
      <c r="G1188" t="n">
        <v>1</v>
      </c>
      <c r="H1188" s="7" t="n">
        <v>6.9</v>
      </c>
      <c r="I1188" s="7" t="n">
        <v>0</v>
      </c>
      <c r="J1188" s="7" t="n">
        <v>0</v>
      </c>
      <c r="K1188" s="9" t="n">
        <v>0</v>
      </c>
      <c r="L1188" s="10" t="n">
        <v>4.1</v>
      </c>
      <c r="M1188" s="10" t="n">
        <v>1.43</v>
      </c>
      <c r="N1188" t="inlineStr">
        <is>
          <t>1</t>
        </is>
      </c>
      <c r="O1188" t="inlineStr">
        <is>
          <t xml:space="preserve">2 </t>
        </is>
      </c>
      <c r="P1188" t="inlineStr">
        <is>
          <t xml:space="preserve">244589  </t>
        </is>
      </c>
      <c r="Q1188" s="26" t="n">
        <v>4.09</v>
      </c>
      <c r="R1188" s="26">
        <f>Q1188*G1188</f>
        <v/>
      </c>
      <c r="S1188" s="26">
        <f>IFERROR(VLOOKUP(E1188*1,Tabla[#All],8,0),0)</f>
        <v/>
      </c>
      <c r="T1188" s="26">
        <f>S1188*G1188</f>
        <v/>
      </c>
      <c r="U1188" s="26">
        <f>R1188-T1188</f>
        <v/>
      </c>
      <c r="V1188" s="26">
        <f>U1188-L1188</f>
        <v/>
      </c>
    </row>
    <row r="1189">
      <c r="A1189" s="11" t="n">
        <v>46215</v>
      </c>
      <c r="B1189" s="1" t="n">
        <v>20047</v>
      </c>
      <c r="C1189" s="1" t="inlineStr">
        <is>
          <t>017</t>
        </is>
      </c>
      <c r="D1189" s="1" t="inlineStr">
        <is>
          <t>122685</t>
        </is>
      </c>
      <c r="E1189" s="1" t="inlineStr">
        <is>
          <t xml:space="preserve">28194770       </t>
        </is>
      </c>
      <c r="F1189" s="5" t="inlineStr">
        <is>
          <t>AUTOS DE METAL 3 TEAMSTERZ EN BLISTER</t>
        </is>
      </c>
      <c r="G1189" t="n">
        <v>1</v>
      </c>
      <c r="H1189" s="7" t="n">
        <v>6.9</v>
      </c>
      <c r="I1189" s="7" t="n">
        <v>0</v>
      </c>
      <c r="J1189" s="7" t="n">
        <v>0</v>
      </c>
      <c r="K1189" s="9" t="n">
        <v>0</v>
      </c>
      <c r="L1189" s="10" t="n">
        <v>4.1</v>
      </c>
      <c r="M1189" s="10" t="n">
        <v>1.43</v>
      </c>
      <c r="N1189" t="inlineStr">
        <is>
          <t>1</t>
        </is>
      </c>
      <c r="O1189" t="inlineStr">
        <is>
          <t xml:space="preserve">2 </t>
        </is>
      </c>
      <c r="P1189" t="inlineStr">
        <is>
          <t xml:space="preserve">244589  </t>
        </is>
      </c>
      <c r="Q1189" s="26" t="n">
        <v>4.09</v>
      </c>
      <c r="R1189" s="26">
        <f>Q1189*G1189</f>
        <v/>
      </c>
      <c r="S1189" s="26">
        <f>IFERROR(VLOOKUP(E1189*1,Tabla[#All],8,0),0)</f>
        <v/>
      </c>
      <c r="T1189" s="26">
        <f>S1189*G1189</f>
        <v/>
      </c>
      <c r="U1189" s="26">
        <f>R1189-T1189</f>
        <v/>
      </c>
      <c r="V1189" s="26">
        <f>U1189-L1189</f>
        <v/>
      </c>
    </row>
    <row r="1190">
      <c r="A1190" s="11" t="n">
        <v>46215</v>
      </c>
      <c r="B1190" s="1" t="n">
        <v>20047</v>
      </c>
      <c r="C1190" s="1" t="inlineStr">
        <is>
          <t>191</t>
        </is>
      </c>
      <c r="D1190" s="1" t="inlineStr">
        <is>
          <t>461513</t>
        </is>
      </c>
      <c r="E1190" s="1" t="inlineStr">
        <is>
          <t xml:space="preserve">28194770       </t>
        </is>
      </c>
      <c r="F1190" s="5" t="inlineStr">
        <is>
          <t>AUTOS DE METAL 3 TEAMSTERZ EN BLISTER</t>
        </is>
      </c>
      <c r="G1190" t="n">
        <v>1</v>
      </c>
      <c r="H1190" s="7" t="n">
        <v>6.9</v>
      </c>
      <c r="I1190" s="7" t="n">
        <v>0</v>
      </c>
      <c r="J1190" s="7" t="n">
        <v>0</v>
      </c>
      <c r="K1190" s="9" t="n">
        <v>0</v>
      </c>
      <c r="L1190" s="10" t="n">
        <v>4.1</v>
      </c>
      <c r="M1190" s="10" t="n">
        <v>1.43</v>
      </c>
      <c r="N1190" t="inlineStr">
        <is>
          <t>1</t>
        </is>
      </c>
      <c r="O1190" t="inlineStr">
        <is>
          <t xml:space="preserve">2 </t>
        </is>
      </c>
      <c r="P1190" t="inlineStr">
        <is>
          <t xml:space="preserve">245862  </t>
        </is>
      </c>
      <c r="Q1190" s="26" t="n">
        <v>4.09</v>
      </c>
      <c r="R1190" s="26">
        <f>Q1190*G1190</f>
        <v/>
      </c>
      <c r="S1190" s="26">
        <f>IFERROR(VLOOKUP(E1190*1,Tabla[#All],8,0),0)</f>
        <v/>
      </c>
      <c r="T1190" s="26">
        <f>S1190*G1190</f>
        <v/>
      </c>
      <c r="U1190" s="26">
        <f>R1190-T1190</f>
        <v/>
      </c>
      <c r="V1190" s="26">
        <f>U1190-L1190</f>
        <v/>
      </c>
    </row>
    <row r="1191">
      <c r="A1191" s="11" t="n">
        <v>46215</v>
      </c>
      <c r="B1191" s="1" t="n">
        <v>20048</v>
      </c>
      <c r="C1191" s="1" t="inlineStr">
        <is>
          <t>013</t>
        </is>
      </c>
      <c r="D1191" s="1" t="inlineStr">
        <is>
          <t>224946</t>
        </is>
      </c>
      <c r="E1191" s="1" t="inlineStr">
        <is>
          <t xml:space="preserve">31754676       </t>
        </is>
      </c>
      <c r="F1191" s="5" t="inlineStr">
        <is>
          <t>INFINITY NADO SERIE 6 STD PACK LANZ ESPAD ANILLO M</t>
        </is>
      </c>
      <c r="G1191" t="n">
        <v>1</v>
      </c>
      <c r="H1191" s="7" t="n">
        <v>79.90000000000001</v>
      </c>
      <c r="I1191" s="7" t="n">
        <v>0</v>
      </c>
      <c r="J1191" s="7" t="n">
        <v>0</v>
      </c>
      <c r="K1191" s="9" t="n">
        <v>0</v>
      </c>
      <c r="L1191" s="10" t="n">
        <v>47.4</v>
      </c>
      <c r="M1191" s="10" t="n">
        <v>1.43</v>
      </c>
      <c r="N1191" t="inlineStr">
        <is>
          <t>1</t>
        </is>
      </c>
      <c r="O1191" t="inlineStr">
        <is>
          <t>16</t>
        </is>
      </c>
      <c r="P1191" t="inlineStr">
        <is>
          <t xml:space="preserve">243717  </t>
        </is>
      </c>
      <c r="Q1191" s="26" t="n">
        <v>47.4</v>
      </c>
      <c r="R1191" s="26">
        <f>Q1191*G1191</f>
        <v/>
      </c>
      <c r="S1191" s="26">
        <f>IFERROR(VLOOKUP(E1191*1,Tabla[#All],8,0),0)</f>
        <v/>
      </c>
      <c r="T1191" s="26">
        <f>S1191*G1191</f>
        <v/>
      </c>
      <c r="U1191" s="26">
        <f>R1191-T1191</f>
        <v/>
      </c>
      <c r="V1191" s="26">
        <f>U1191-L1191</f>
        <v/>
      </c>
    </row>
    <row r="1192">
      <c r="A1192" s="11" t="n">
        <v>46215</v>
      </c>
      <c r="B1192" s="1" t="n">
        <v>20048</v>
      </c>
      <c r="C1192" s="1" t="inlineStr">
        <is>
          <t>013</t>
        </is>
      </c>
      <c r="D1192" s="1" t="inlineStr">
        <is>
          <t>224970</t>
        </is>
      </c>
      <c r="E1192" s="1" t="inlineStr">
        <is>
          <t xml:space="preserve">30141766       </t>
        </is>
      </c>
      <c r="F1192" s="5" t="inlineStr">
        <is>
          <t>TMZ BEAST MACHINES AUTOS DE METAL BLISTER X 1</t>
        </is>
      </c>
      <c r="G1192" t="n">
        <v>1</v>
      </c>
      <c r="H1192" s="7" t="n">
        <v>7.9</v>
      </c>
      <c r="I1192" s="7" t="n">
        <v>0</v>
      </c>
      <c r="J1192" s="7" t="n">
        <v>0</v>
      </c>
      <c r="K1192" s="9" t="n">
        <v>0</v>
      </c>
      <c r="L1192" s="10" t="n">
        <v>4.68</v>
      </c>
      <c r="M1192" s="10" t="n">
        <v>1.43</v>
      </c>
      <c r="N1192" t="inlineStr">
        <is>
          <t>1</t>
        </is>
      </c>
      <c r="O1192" t="inlineStr">
        <is>
          <t xml:space="preserve">2 </t>
        </is>
      </c>
      <c r="P1192" t="inlineStr">
        <is>
          <t xml:space="preserve">243717  </t>
        </is>
      </c>
      <c r="Q1192" s="26" t="n">
        <v>4.69</v>
      </c>
      <c r="R1192" s="26">
        <f>Q1192*G1192</f>
        <v/>
      </c>
      <c r="S1192" s="26">
        <f>IFERROR(VLOOKUP(E1192*1,Tabla[#All],8,0),0)</f>
        <v/>
      </c>
      <c r="T1192" s="26">
        <f>S1192*G1192</f>
        <v/>
      </c>
      <c r="U1192" s="26">
        <f>R1192-T1192</f>
        <v/>
      </c>
      <c r="V1192" s="26">
        <f>U1192-L1192</f>
        <v/>
      </c>
    </row>
    <row r="1193">
      <c r="A1193" s="11" t="n">
        <v>46215</v>
      </c>
      <c r="B1193" s="1" t="n">
        <v>20048</v>
      </c>
      <c r="C1193" s="1" t="inlineStr">
        <is>
          <t>013</t>
        </is>
      </c>
      <c r="D1193" s="1" t="inlineStr">
        <is>
          <t>224977</t>
        </is>
      </c>
      <c r="E1193" s="1" t="inlineStr">
        <is>
          <t xml:space="preserve">28194770       </t>
        </is>
      </c>
      <c r="F1193" s="5" t="inlineStr">
        <is>
          <t>AUTOS DE METAL 3 TEAMSTERZ EN BLISTER</t>
        </is>
      </c>
      <c r="G1193" t="n">
        <v>1</v>
      </c>
      <c r="H1193" s="7" t="n">
        <v>6.9</v>
      </c>
      <c r="I1193" s="7" t="n">
        <v>0</v>
      </c>
      <c r="J1193" s="7" t="n">
        <v>0</v>
      </c>
      <c r="K1193" s="9" t="n">
        <v>0</v>
      </c>
      <c r="L1193" s="10" t="n">
        <v>4.1</v>
      </c>
      <c r="M1193" s="10" t="n">
        <v>1.43</v>
      </c>
      <c r="N1193" t="inlineStr">
        <is>
          <t>1</t>
        </is>
      </c>
      <c r="O1193" t="inlineStr">
        <is>
          <t>16</t>
        </is>
      </c>
      <c r="P1193" t="inlineStr">
        <is>
          <t xml:space="preserve">243717  </t>
        </is>
      </c>
      <c r="Q1193" s="26" t="n">
        <v>4.09</v>
      </c>
      <c r="R1193" s="26">
        <f>Q1193*G1193</f>
        <v/>
      </c>
      <c r="S1193" s="26">
        <f>IFERROR(VLOOKUP(E1193*1,Tabla[#All],8,0),0)</f>
        <v/>
      </c>
      <c r="T1193" s="26">
        <f>S1193*G1193</f>
        <v/>
      </c>
      <c r="U1193" s="26">
        <f>R1193-T1193</f>
        <v/>
      </c>
      <c r="V1193" s="26">
        <f>U1193-L1193</f>
        <v/>
      </c>
    </row>
    <row r="1194">
      <c r="A1194" s="11" t="n">
        <v>46215</v>
      </c>
      <c r="B1194" s="1" t="n">
        <v>20048</v>
      </c>
      <c r="C1194" s="1" t="inlineStr">
        <is>
          <t>013</t>
        </is>
      </c>
      <c r="D1194" s="1" t="inlineStr">
        <is>
          <t>224977</t>
        </is>
      </c>
      <c r="E1194" s="1" t="inlineStr">
        <is>
          <t xml:space="preserve">30141766       </t>
        </is>
      </c>
      <c r="F1194" s="5" t="inlineStr">
        <is>
          <t>TMZ BEAST MACHINES AUTOS DE METAL BLISTER X 1</t>
        </is>
      </c>
      <c r="G1194" t="n">
        <v>1</v>
      </c>
      <c r="H1194" s="7" t="n">
        <v>7.9</v>
      </c>
      <c r="I1194" s="7" t="n">
        <v>0</v>
      </c>
      <c r="J1194" s="7" t="n">
        <v>0</v>
      </c>
      <c r="K1194" s="9" t="n">
        <v>0</v>
      </c>
      <c r="L1194" s="10" t="n">
        <v>4.68</v>
      </c>
      <c r="M1194" s="10" t="n">
        <v>1.43</v>
      </c>
      <c r="N1194" t="inlineStr">
        <is>
          <t>1</t>
        </is>
      </c>
      <c r="O1194" t="inlineStr">
        <is>
          <t>16</t>
        </is>
      </c>
      <c r="P1194" t="inlineStr">
        <is>
          <t xml:space="preserve">243717  </t>
        </is>
      </c>
      <c r="Q1194" s="26" t="n">
        <v>4.69</v>
      </c>
      <c r="R1194" s="26">
        <f>Q1194*G1194</f>
        <v/>
      </c>
      <c r="S1194" s="26">
        <f>IFERROR(VLOOKUP(E1194*1,Tabla[#All],8,0),0)</f>
        <v/>
      </c>
      <c r="T1194" s="26">
        <f>S1194*G1194</f>
        <v/>
      </c>
      <c r="U1194" s="26">
        <f>R1194-T1194</f>
        <v/>
      </c>
      <c r="V1194" s="26">
        <f>U1194-L1194</f>
        <v/>
      </c>
    </row>
    <row r="1195">
      <c r="A1195" s="11" t="n">
        <v>46215</v>
      </c>
      <c r="B1195" s="1" t="n">
        <v>20048</v>
      </c>
      <c r="C1195" s="1" t="inlineStr">
        <is>
          <t>013</t>
        </is>
      </c>
      <c r="D1195" s="1" t="inlineStr">
        <is>
          <t>225011</t>
        </is>
      </c>
      <c r="E1195" s="1" t="inlineStr">
        <is>
          <t xml:space="preserve">28194769       </t>
        </is>
      </c>
      <c r="F1195" s="5" t="inlineStr">
        <is>
          <t>AUTOS DE METAL 3 TEAMSTERZ PACK DE 2</t>
        </is>
      </c>
      <c r="G1195" t="n">
        <v>1</v>
      </c>
      <c r="H1195" s="7" t="n">
        <v>13.8</v>
      </c>
      <c r="I1195" s="7" t="n">
        <v>0</v>
      </c>
      <c r="J1195" s="7" t="n">
        <v>0</v>
      </c>
      <c r="K1195" s="9" t="n">
        <v>0</v>
      </c>
      <c r="L1195" s="10" t="n">
        <v>8.18</v>
      </c>
      <c r="M1195" s="10" t="n">
        <v>1.43</v>
      </c>
      <c r="N1195" t="inlineStr">
        <is>
          <t>1</t>
        </is>
      </c>
      <c r="O1195" t="inlineStr">
        <is>
          <t>16</t>
        </is>
      </c>
      <c r="P1195" t="inlineStr">
        <is>
          <t xml:space="preserve">243717  </t>
        </is>
      </c>
      <c r="Q1195" s="26" t="n">
        <v>8.19</v>
      </c>
      <c r="R1195" s="26">
        <f>Q1195*G1195</f>
        <v/>
      </c>
      <c r="S1195" s="26">
        <f>IFERROR(VLOOKUP(E1195*1,Tabla[#All],8,0),0)</f>
        <v/>
      </c>
      <c r="T1195" s="26">
        <f>S1195*G1195</f>
        <v/>
      </c>
      <c r="U1195" s="26">
        <f>R1195-T1195</f>
        <v/>
      </c>
      <c r="V1195" s="26">
        <f>U1195-L1195</f>
        <v/>
      </c>
    </row>
    <row r="1196">
      <c r="A1196" s="11" t="n">
        <v>46215</v>
      </c>
      <c r="B1196" s="1" t="n">
        <v>20048</v>
      </c>
      <c r="C1196" s="1" t="inlineStr">
        <is>
          <t>013</t>
        </is>
      </c>
      <c r="D1196" s="1" t="inlineStr">
        <is>
          <t>225011</t>
        </is>
      </c>
      <c r="E1196" s="1" t="inlineStr">
        <is>
          <t xml:space="preserve">28194770       </t>
        </is>
      </c>
      <c r="F1196" s="5" t="inlineStr">
        <is>
          <t>AUTOS DE METAL 3 TEAMSTERZ EN BLISTER</t>
        </is>
      </c>
      <c r="G1196" t="n">
        <v>1</v>
      </c>
      <c r="H1196" s="7" t="n">
        <v>6.9</v>
      </c>
      <c r="I1196" s="7" t="n">
        <v>0</v>
      </c>
      <c r="J1196" s="7" t="n">
        <v>0</v>
      </c>
      <c r="K1196" s="9" t="n">
        <v>0</v>
      </c>
      <c r="L1196" s="10" t="n">
        <v>4.1</v>
      </c>
      <c r="M1196" s="10" t="n">
        <v>1.43</v>
      </c>
      <c r="N1196" t="inlineStr">
        <is>
          <t>1</t>
        </is>
      </c>
      <c r="O1196" t="inlineStr">
        <is>
          <t>16</t>
        </is>
      </c>
      <c r="P1196" t="inlineStr">
        <is>
          <t xml:space="preserve">243717  </t>
        </is>
      </c>
      <c r="Q1196" s="26" t="n">
        <v>4.09</v>
      </c>
      <c r="R1196" s="26">
        <f>Q1196*G1196</f>
        <v/>
      </c>
      <c r="S1196" s="26">
        <f>IFERROR(VLOOKUP(E1196*1,Tabla[#All],8,0),0)</f>
        <v/>
      </c>
      <c r="T1196" s="26">
        <f>S1196*G1196</f>
        <v/>
      </c>
      <c r="U1196" s="26">
        <f>R1196-T1196</f>
        <v/>
      </c>
      <c r="V1196" s="26">
        <f>U1196-L1196</f>
        <v/>
      </c>
    </row>
    <row r="1197">
      <c r="A1197" s="11" t="n">
        <v>46215</v>
      </c>
      <c r="B1197" s="1" t="n">
        <v>20048</v>
      </c>
      <c r="C1197" s="1" t="inlineStr">
        <is>
          <t>017</t>
        </is>
      </c>
      <c r="D1197" s="1" t="inlineStr">
        <is>
          <t>166651</t>
        </is>
      </c>
      <c r="E1197" s="1" t="inlineStr">
        <is>
          <t xml:space="preserve">28194770       </t>
        </is>
      </c>
      <c r="F1197" s="5" t="inlineStr">
        <is>
          <t>AUTOS DE METAL 3 TEAMSTERZ EN BLISTER</t>
        </is>
      </c>
      <c r="G1197" t="n">
        <v>1</v>
      </c>
      <c r="H1197" s="7" t="n">
        <v>6.9</v>
      </c>
      <c r="I1197" s="7" t="n">
        <v>0</v>
      </c>
      <c r="J1197" s="7" t="n">
        <v>0</v>
      </c>
      <c r="K1197" s="9" t="n">
        <v>0</v>
      </c>
      <c r="L1197" s="10" t="n">
        <v>4.1</v>
      </c>
      <c r="M1197" s="10" t="n">
        <v>1.43</v>
      </c>
      <c r="N1197" t="inlineStr">
        <is>
          <t>1</t>
        </is>
      </c>
      <c r="O1197" t="inlineStr">
        <is>
          <t>16</t>
        </is>
      </c>
      <c r="P1197" t="inlineStr">
        <is>
          <t xml:space="preserve">248417  </t>
        </is>
      </c>
      <c r="Q1197" s="26" t="n">
        <v>4.09</v>
      </c>
      <c r="R1197" s="26">
        <f>Q1197*G1197</f>
        <v/>
      </c>
      <c r="S1197" s="26">
        <f>IFERROR(VLOOKUP(E1197*1,Tabla[#All],8,0),0)</f>
        <v/>
      </c>
      <c r="T1197" s="26">
        <f>S1197*G1197</f>
        <v/>
      </c>
      <c r="U1197" s="26">
        <f>R1197-T1197</f>
        <v/>
      </c>
      <c r="V1197" s="26">
        <f>U1197-L1197</f>
        <v/>
      </c>
    </row>
    <row r="1198">
      <c r="A1198" s="11" t="n">
        <v>46215</v>
      </c>
      <c r="B1198" s="1" t="n">
        <v>20048</v>
      </c>
      <c r="C1198" s="1" t="inlineStr">
        <is>
          <t>800</t>
        </is>
      </c>
      <c r="D1198" s="1" t="inlineStr">
        <is>
          <t xml:space="preserve">4026  </t>
        </is>
      </c>
      <c r="E1198" s="1" t="inlineStr">
        <is>
          <t xml:space="preserve">28194770       </t>
        </is>
      </c>
      <c r="F1198" s="5" t="inlineStr">
        <is>
          <t>AUTOS DE METAL 3 TEAMSTERZ EN BLISTER</t>
        </is>
      </c>
      <c r="G1198" t="n">
        <v>1</v>
      </c>
      <c r="H1198" s="7" t="n">
        <v>6.9</v>
      </c>
      <c r="I1198" s="7" t="n">
        <v>0</v>
      </c>
      <c r="J1198" s="7" t="n">
        <v>0</v>
      </c>
      <c r="K1198" s="9" t="n">
        <v>0</v>
      </c>
      <c r="L1198" s="10" t="n">
        <v>4.1</v>
      </c>
      <c r="M1198" s="10" t="n">
        <v>1.43</v>
      </c>
      <c r="N1198" t="inlineStr">
        <is>
          <t>1</t>
        </is>
      </c>
      <c r="O1198" t="inlineStr">
        <is>
          <t>16</t>
        </is>
      </c>
      <c r="P1198" t="inlineStr">
        <is>
          <t xml:space="preserve">234984  </t>
        </is>
      </c>
      <c r="Q1198" s="26" t="n">
        <v>4.09</v>
      </c>
      <c r="R1198" s="26">
        <f>Q1198*G1198</f>
        <v/>
      </c>
      <c r="S1198" s="26">
        <f>IFERROR(VLOOKUP(E1198*1,Tabla[#All],8,0),0)</f>
        <v/>
      </c>
      <c r="T1198" s="26">
        <f>S1198*G1198</f>
        <v/>
      </c>
      <c r="U1198" s="26">
        <f>R1198-T1198</f>
        <v/>
      </c>
      <c r="V1198" s="26">
        <f>U1198-L1198</f>
        <v/>
      </c>
    </row>
    <row r="1199">
      <c r="A1199" s="11" t="n">
        <v>46215</v>
      </c>
      <c r="B1199" s="1" t="n">
        <v>20048</v>
      </c>
      <c r="C1199" s="1" t="inlineStr">
        <is>
          <t>800</t>
        </is>
      </c>
      <c r="D1199" s="1" t="inlineStr">
        <is>
          <t xml:space="preserve">4078  </t>
        </is>
      </c>
      <c r="E1199" s="1" t="inlineStr">
        <is>
          <t xml:space="preserve">28194769       </t>
        </is>
      </c>
      <c r="F1199" s="5" t="inlineStr">
        <is>
          <t>AUTOS DE METAL 3 TEAMSTERZ PACK DE 2</t>
        </is>
      </c>
      <c r="G1199" t="n">
        <v>1</v>
      </c>
      <c r="H1199" s="7" t="n">
        <v>13.8</v>
      </c>
      <c r="I1199" s="7" t="n">
        <v>0</v>
      </c>
      <c r="J1199" s="7" t="n">
        <v>0</v>
      </c>
      <c r="K1199" s="9" t="n">
        <v>0</v>
      </c>
      <c r="L1199" s="10" t="n">
        <v>8.18</v>
      </c>
      <c r="M1199" s="10" t="n">
        <v>1.43</v>
      </c>
      <c r="N1199" t="inlineStr">
        <is>
          <t>1</t>
        </is>
      </c>
      <c r="O1199" t="inlineStr">
        <is>
          <t>16</t>
        </is>
      </c>
      <c r="P1199" t="inlineStr">
        <is>
          <t xml:space="preserve">234984  </t>
        </is>
      </c>
      <c r="Q1199" s="26" t="n">
        <v>8.19</v>
      </c>
      <c r="R1199" s="26">
        <f>Q1199*G1199</f>
        <v/>
      </c>
      <c r="S1199" s="26">
        <f>IFERROR(VLOOKUP(E1199*1,Tabla[#All],8,0),0)</f>
        <v/>
      </c>
      <c r="T1199" s="26">
        <f>S1199*G1199</f>
        <v/>
      </c>
      <c r="U1199" s="26">
        <f>R1199-T1199</f>
        <v/>
      </c>
      <c r="V1199" s="26">
        <f>U1199-L1199</f>
        <v/>
      </c>
    </row>
    <row r="1200">
      <c r="A1200" s="11" t="n">
        <v>46215</v>
      </c>
      <c r="B1200" s="1" t="n">
        <v>20048</v>
      </c>
      <c r="C1200" s="1" t="inlineStr">
        <is>
          <t>800</t>
        </is>
      </c>
      <c r="D1200" s="1" t="inlineStr">
        <is>
          <t xml:space="preserve">4078  </t>
        </is>
      </c>
      <c r="E1200" s="1" t="inlineStr">
        <is>
          <t xml:space="preserve">30141766       </t>
        </is>
      </c>
      <c r="F1200" s="5" t="inlineStr">
        <is>
          <t>TMZ BEAST MACHINES AUTOS DE METAL BLISTER X 1</t>
        </is>
      </c>
      <c r="G1200" t="n">
        <v>1</v>
      </c>
      <c r="H1200" s="7" t="n">
        <v>7.9</v>
      </c>
      <c r="I1200" s="7" t="n">
        <v>0</v>
      </c>
      <c r="J1200" s="7" t="n">
        <v>0</v>
      </c>
      <c r="K1200" s="9" t="n">
        <v>0</v>
      </c>
      <c r="L1200" s="10" t="n">
        <v>4.68</v>
      </c>
      <c r="M1200" s="10" t="n">
        <v>1.43</v>
      </c>
      <c r="N1200" t="inlineStr">
        <is>
          <t>1</t>
        </is>
      </c>
      <c r="O1200" t="inlineStr">
        <is>
          <t>16</t>
        </is>
      </c>
      <c r="P1200" t="inlineStr">
        <is>
          <t xml:space="preserve">234984  </t>
        </is>
      </c>
      <c r="Q1200" s="26" t="n">
        <v>4.69</v>
      </c>
      <c r="R1200" s="26">
        <f>Q1200*G1200</f>
        <v/>
      </c>
      <c r="S1200" s="26">
        <f>IFERROR(VLOOKUP(E1200*1,Tabla[#All],8,0),0)</f>
        <v/>
      </c>
      <c r="T1200" s="26">
        <f>S1200*G1200</f>
        <v/>
      </c>
      <c r="U1200" s="26">
        <f>R1200-T1200</f>
        <v/>
      </c>
      <c r="V1200" s="26">
        <f>U1200-L1200</f>
        <v/>
      </c>
    </row>
    <row r="1201">
      <c r="A1201" s="11" t="n">
        <v>46215</v>
      </c>
      <c r="B1201" s="1" t="n">
        <v>20048</v>
      </c>
      <c r="C1201" s="1" t="inlineStr">
        <is>
          <t>801</t>
        </is>
      </c>
      <c r="D1201" s="1" t="inlineStr">
        <is>
          <t xml:space="preserve">6222  </t>
        </is>
      </c>
      <c r="E1201" s="1" t="inlineStr">
        <is>
          <t xml:space="preserve">34840550       </t>
        </is>
      </c>
      <c r="F1201" s="5" t="inlineStr">
        <is>
          <t>TEAMSTERZ M/MOVERZ TRANSPORTA GORILA</t>
        </is>
      </c>
      <c r="G1201" t="n">
        <v>1</v>
      </c>
      <c r="H1201" s="7" t="n">
        <v>129</v>
      </c>
      <c r="I1201" s="7" t="n">
        <v>12.9</v>
      </c>
      <c r="J1201" s="7" t="n">
        <v>0</v>
      </c>
      <c r="K1201" s="9" t="n">
        <v>12.9</v>
      </c>
      <c r="L1201" s="10" t="n">
        <v>68.87</v>
      </c>
      <c r="M1201" s="10" t="n">
        <v>1.43</v>
      </c>
      <c r="N1201" t="inlineStr">
        <is>
          <t>1</t>
        </is>
      </c>
      <c r="O1201" t="inlineStr">
        <is>
          <t>16</t>
        </is>
      </c>
      <c r="P1201" t="inlineStr">
        <is>
          <t xml:space="preserve">234984  </t>
        </is>
      </c>
      <c r="Q1201" s="26" t="n">
        <v>76.53</v>
      </c>
      <c r="R1201" s="26">
        <f>Q1201*G1201</f>
        <v/>
      </c>
      <c r="S1201" s="26">
        <f>IFERROR(VLOOKUP(E1201*1,Tabla[#All],8,0),0)</f>
        <v/>
      </c>
      <c r="T1201" s="26">
        <f>S1201*G1201</f>
        <v/>
      </c>
      <c r="U1201" s="26">
        <f>R1201-T1201</f>
        <v/>
      </c>
      <c r="V1201" s="26">
        <f>U1201-L1201</f>
        <v/>
      </c>
    </row>
    <row r="1202">
      <c r="A1202" s="11" t="n">
        <v>46215</v>
      </c>
      <c r="B1202" s="1" t="n">
        <v>20049</v>
      </c>
      <c r="C1202" s="1" t="inlineStr">
        <is>
          <t>013</t>
        </is>
      </c>
      <c r="D1202" s="1" t="inlineStr">
        <is>
          <t>235820</t>
        </is>
      </c>
      <c r="E1202" s="1" t="inlineStr">
        <is>
          <t xml:space="preserve">29854051       </t>
        </is>
      </c>
      <c r="F1202" s="5" t="inlineStr">
        <is>
          <t>TEAMSTERZ AUTO DE METAL PACK 10 AUTOS</t>
        </is>
      </c>
      <c r="G1202" t="n">
        <v>1</v>
      </c>
      <c r="H1202" s="7" t="n">
        <v>69</v>
      </c>
      <c r="I1202" s="7" t="n">
        <v>0</v>
      </c>
      <c r="J1202" s="7" t="n">
        <v>0</v>
      </c>
      <c r="K1202" s="9" t="n">
        <v>0</v>
      </c>
      <c r="L1202" s="10" t="n">
        <v>40.93</v>
      </c>
      <c r="M1202" s="10" t="n">
        <v>1.43</v>
      </c>
      <c r="N1202" t="inlineStr">
        <is>
          <t>1</t>
        </is>
      </c>
      <c r="O1202" t="inlineStr">
        <is>
          <t>16</t>
        </is>
      </c>
      <c r="P1202" t="inlineStr">
        <is>
          <t xml:space="preserve">250173  </t>
        </is>
      </c>
      <c r="Q1202" s="26" t="n">
        <v>40.93</v>
      </c>
      <c r="R1202" s="26">
        <f>Q1202*G1202</f>
        <v/>
      </c>
      <c r="S1202" s="26">
        <f>IFERROR(VLOOKUP(E1202*1,Tabla[#All],8,0),0)</f>
        <v/>
      </c>
      <c r="T1202" s="26">
        <f>S1202*G1202</f>
        <v/>
      </c>
      <c r="U1202" s="26">
        <f>R1202-T1202</f>
        <v/>
      </c>
      <c r="V1202" s="26">
        <f>U1202-L1202</f>
        <v/>
      </c>
    </row>
    <row r="1203">
      <c r="A1203" s="11" t="n">
        <v>46215</v>
      </c>
      <c r="B1203" s="1" t="n">
        <v>20049</v>
      </c>
      <c r="C1203" s="1" t="inlineStr">
        <is>
          <t>017</t>
        </is>
      </c>
      <c r="D1203" s="1" t="inlineStr">
        <is>
          <t>238735</t>
        </is>
      </c>
      <c r="E1203" s="1" t="inlineStr">
        <is>
          <t xml:space="preserve">28194769       </t>
        </is>
      </c>
      <c r="F1203" s="5" t="inlineStr">
        <is>
          <t>AUTOS DE METAL 3 TEAMSTERZ PACK DE 2</t>
        </is>
      </c>
      <c r="G1203" t="n">
        <v>1</v>
      </c>
      <c r="H1203" s="7" t="n">
        <v>13.8</v>
      </c>
      <c r="I1203" s="7" t="n">
        <v>0</v>
      </c>
      <c r="J1203" s="7" t="n">
        <v>0</v>
      </c>
      <c r="K1203" s="9" t="n">
        <v>0</v>
      </c>
      <c r="L1203" s="10" t="n">
        <v>8.18</v>
      </c>
      <c r="M1203" s="10" t="n">
        <v>1.43</v>
      </c>
      <c r="N1203" t="inlineStr">
        <is>
          <t>1</t>
        </is>
      </c>
      <c r="O1203" t="inlineStr">
        <is>
          <t xml:space="preserve">2 </t>
        </is>
      </c>
      <c r="P1203" t="inlineStr">
        <is>
          <t xml:space="preserve">234411  </t>
        </is>
      </c>
      <c r="Q1203" s="26" t="n">
        <v>8.19</v>
      </c>
      <c r="R1203" s="26">
        <f>Q1203*G1203</f>
        <v/>
      </c>
      <c r="S1203" s="26">
        <f>IFERROR(VLOOKUP(E1203*1,Tabla[#All],8,0),0)</f>
        <v/>
      </c>
      <c r="T1203" s="26">
        <f>S1203*G1203</f>
        <v/>
      </c>
      <c r="U1203" s="26">
        <f>R1203-T1203</f>
        <v/>
      </c>
      <c r="V1203" s="26">
        <f>U1203-L1203</f>
        <v/>
      </c>
    </row>
    <row r="1204">
      <c r="A1204" s="11" t="n">
        <v>46215</v>
      </c>
      <c r="B1204" s="1" t="n">
        <v>20056</v>
      </c>
      <c r="C1204" s="1" t="inlineStr">
        <is>
          <t>021</t>
        </is>
      </c>
      <c r="D1204" s="1" t="inlineStr">
        <is>
          <t xml:space="preserve">52236 </t>
        </is>
      </c>
      <c r="E1204" s="1" t="inlineStr">
        <is>
          <t xml:space="preserve">31675354       </t>
        </is>
      </c>
      <c r="F1204" s="5" t="inlineStr">
        <is>
          <t>NENUCO LLORON CON ACCESORIOS</t>
        </is>
      </c>
      <c r="G1204" t="n">
        <v>1</v>
      </c>
      <c r="H1204" s="7" t="n">
        <v>89.90000000000001</v>
      </c>
      <c r="I1204" s="7" t="n">
        <v>8.99</v>
      </c>
      <c r="J1204" s="7" t="n">
        <v>0</v>
      </c>
      <c r="K1204" s="9" t="n">
        <v>8.99</v>
      </c>
      <c r="L1204" s="10" t="n">
        <v>48</v>
      </c>
      <c r="M1204" s="10" t="n">
        <v>1.43</v>
      </c>
      <c r="N1204" t="inlineStr">
        <is>
          <t>1</t>
        </is>
      </c>
      <c r="O1204" t="inlineStr">
        <is>
          <t xml:space="preserve">3 </t>
        </is>
      </c>
      <c r="P1204" t="inlineStr">
        <is>
          <t xml:space="preserve">250152  </t>
        </is>
      </c>
      <c r="Q1204" s="26" t="n">
        <v>53.33</v>
      </c>
      <c r="R1204" s="26">
        <f>Q1204*G1204</f>
        <v/>
      </c>
      <c r="S1204" s="26">
        <f>IFERROR(VLOOKUP(E1204*1,Tabla[#All],8,0),0)</f>
        <v/>
      </c>
      <c r="T1204" s="26">
        <f>S1204*G1204</f>
        <v/>
      </c>
      <c r="U1204" s="26">
        <f>R1204-T1204</f>
        <v/>
      </c>
      <c r="V1204" s="26">
        <f>U1204-L1204</f>
        <v/>
      </c>
    </row>
    <row r="1205">
      <c r="A1205" s="11" t="n">
        <v>46215</v>
      </c>
      <c r="B1205" s="1" t="n">
        <v>20056</v>
      </c>
      <c r="C1205" s="1" t="inlineStr">
        <is>
          <t>021</t>
        </is>
      </c>
      <c r="D1205" s="1" t="inlineStr">
        <is>
          <t xml:space="preserve">52265 </t>
        </is>
      </c>
      <c r="E1205" s="1" t="inlineStr">
        <is>
          <t xml:space="preserve">28194769       </t>
        </is>
      </c>
      <c r="F1205" s="5" t="inlineStr">
        <is>
          <t>AUTOS DE METAL 3 TEAMSTERZ PACK DE 2</t>
        </is>
      </c>
      <c r="G1205" t="n">
        <v>1</v>
      </c>
      <c r="H1205" s="7" t="n">
        <v>13.8</v>
      </c>
      <c r="I1205" s="7" t="n">
        <v>0</v>
      </c>
      <c r="J1205" s="7" t="n">
        <v>0</v>
      </c>
      <c r="K1205" s="9" t="n">
        <v>0</v>
      </c>
      <c r="L1205" s="10" t="n">
        <v>8.18</v>
      </c>
      <c r="M1205" s="10" t="n">
        <v>1.43</v>
      </c>
      <c r="N1205" t="inlineStr">
        <is>
          <t>1</t>
        </is>
      </c>
      <c r="O1205" t="inlineStr">
        <is>
          <t xml:space="preserve">2 </t>
        </is>
      </c>
      <c r="P1205" t="inlineStr">
        <is>
          <t xml:space="preserve">250152  </t>
        </is>
      </c>
      <c r="Q1205" s="26" t="n">
        <v>8.19</v>
      </c>
      <c r="R1205" s="26">
        <f>Q1205*G1205</f>
        <v/>
      </c>
      <c r="S1205" s="26">
        <f>IFERROR(VLOOKUP(E1205*1,Tabla[#All],8,0),0)</f>
        <v/>
      </c>
      <c r="T1205" s="26">
        <f>S1205*G1205</f>
        <v/>
      </c>
      <c r="U1205" s="26">
        <f>R1205-T1205</f>
        <v/>
      </c>
      <c r="V1205" s="26">
        <f>U1205-L1205</f>
        <v/>
      </c>
    </row>
    <row r="1206">
      <c r="A1206" s="11" t="n">
        <v>46215</v>
      </c>
      <c r="B1206" s="1" t="n">
        <v>20057</v>
      </c>
      <c r="C1206" s="1" t="inlineStr">
        <is>
          <t>011</t>
        </is>
      </c>
      <c r="D1206" s="1" t="inlineStr">
        <is>
          <t xml:space="preserve">74253 </t>
        </is>
      </c>
      <c r="E1206" s="1" t="inlineStr">
        <is>
          <t xml:space="preserve">28194770       </t>
        </is>
      </c>
      <c r="F1206" s="5" t="inlineStr">
        <is>
          <t>AUTOS DE METAL 3 TEAMSTERZ EN BLISTER</t>
        </is>
      </c>
      <c r="G1206" t="n">
        <v>1</v>
      </c>
      <c r="H1206" s="7" t="n">
        <v>6.9</v>
      </c>
      <c r="I1206" s="7" t="n">
        <v>0</v>
      </c>
      <c r="J1206" s="7" t="n">
        <v>0</v>
      </c>
      <c r="K1206" s="9" t="n">
        <v>0</v>
      </c>
      <c r="L1206" s="10" t="n">
        <v>4.1</v>
      </c>
      <c r="M1206" s="10" t="n">
        <v>1.43</v>
      </c>
      <c r="N1206" t="inlineStr">
        <is>
          <t>1</t>
        </is>
      </c>
      <c r="O1206" t="inlineStr">
        <is>
          <t>16</t>
        </is>
      </c>
      <c r="P1206" t="inlineStr">
        <is>
          <t xml:space="preserve">250316  </t>
        </is>
      </c>
      <c r="Q1206" s="26" t="n">
        <v>4.09</v>
      </c>
      <c r="R1206" s="26">
        <f>Q1206*G1206</f>
        <v/>
      </c>
      <c r="S1206" s="26">
        <f>IFERROR(VLOOKUP(E1206*1,Tabla[#All],8,0),0)</f>
        <v/>
      </c>
      <c r="T1206" s="26">
        <f>S1206*G1206</f>
        <v/>
      </c>
      <c r="U1206" s="26">
        <f>R1206-T1206</f>
        <v/>
      </c>
      <c r="V1206" s="26">
        <f>U1206-L1206</f>
        <v/>
      </c>
    </row>
    <row r="1207">
      <c r="A1207" s="11" t="n">
        <v>46215</v>
      </c>
      <c r="B1207" s="1" t="n">
        <v>20057</v>
      </c>
      <c r="C1207" s="1" t="inlineStr">
        <is>
          <t>032</t>
        </is>
      </c>
      <c r="D1207" s="1" t="inlineStr">
        <is>
          <t xml:space="preserve">74545 </t>
        </is>
      </c>
      <c r="E1207" s="1" t="inlineStr">
        <is>
          <t xml:space="preserve">28194770       </t>
        </is>
      </c>
      <c r="F1207" s="5" t="inlineStr">
        <is>
          <t>AUTOS DE METAL 3 TEAMSTERZ EN BLISTER</t>
        </is>
      </c>
      <c r="G1207" t="n">
        <v>1</v>
      </c>
      <c r="H1207" s="7" t="n">
        <v>6.9</v>
      </c>
      <c r="I1207" s="7" t="n">
        <v>0</v>
      </c>
      <c r="J1207" s="7" t="n">
        <v>0</v>
      </c>
      <c r="K1207" s="9" t="n">
        <v>0</v>
      </c>
      <c r="L1207" s="10" t="n">
        <v>4.1</v>
      </c>
      <c r="M1207" s="10" t="n">
        <v>1.43</v>
      </c>
      <c r="N1207" t="inlineStr">
        <is>
          <t>1</t>
        </is>
      </c>
      <c r="O1207" t="inlineStr">
        <is>
          <t>16</t>
        </is>
      </c>
      <c r="P1207" t="inlineStr">
        <is>
          <t xml:space="preserve">238606  </t>
        </is>
      </c>
      <c r="Q1207" s="26" t="n">
        <v>4.09</v>
      </c>
      <c r="R1207" s="26">
        <f>Q1207*G1207</f>
        <v/>
      </c>
      <c r="S1207" s="26">
        <f>IFERROR(VLOOKUP(E1207*1,Tabla[#All],8,0),0)</f>
        <v/>
      </c>
      <c r="T1207" s="26">
        <f>S1207*G1207</f>
        <v/>
      </c>
      <c r="U1207" s="26">
        <f>R1207-T1207</f>
        <v/>
      </c>
      <c r="V1207" s="26">
        <f>U1207-L1207</f>
        <v/>
      </c>
    </row>
    <row r="1208">
      <c r="A1208" s="11" t="n">
        <v>46215</v>
      </c>
      <c r="B1208" s="1" t="n">
        <v>20057</v>
      </c>
      <c r="C1208" s="1" t="inlineStr">
        <is>
          <t>032</t>
        </is>
      </c>
      <c r="D1208" s="1" t="inlineStr">
        <is>
          <t xml:space="preserve">74584 </t>
        </is>
      </c>
      <c r="E1208" s="1" t="inlineStr">
        <is>
          <t xml:space="preserve">28194769       </t>
        </is>
      </c>
      <c r="F1208" s="5" t="inlineStr">
        <is>
          <t>AUTOS DE METAL 3 TEAMSTERZ PACK DE 2</t>
        </is>
      </c>
      <c r="G1208" t="n">
        <v>1</v>
      </c>
      <c r="H1208" s="7" t="n">
        <v>13.8</v>
      </c>
      <c r="I1208" s="7" t="n">
        <v>0</v>
      </c>
      <c r="J1208" s="7" t="n">
        <v>0</v>
      </c>
      <c r="K1208" s="9" t="n">
        <v>0</v>
      </c>
      <c r="L1208" s="10" t="n">
        <v>8.18</v>
      </c>
      <c r="M1208" s="10" t="n">
        <v>1.43</v>
      </c>
      <c r="N1208" t="inlineStr">
        <is>
          <t>1</t>
        </is>
      </c>
      <c r="O1208" t="inlineStr">
        <is>
          <t>16</t>
        </is>
      </c>
      <c r="P1208" t="inlineStr">
        <is>
          <t xml:space="preserve">238606  </t>
        </is>
      </c>
      <c r="Q1208" s="26" t="n">
        <v>8.19</v>
      </c>
      <c r="R1208" s="26">
        <f>Q1208*G1208</f>
        <v/>
      </c>
      <c r="S1208" s="26">
        <f>IFERROR(VLOOKUP(E1208*1,Tabla[#All],8,0),0)</f>
        <v/>
      </c>
      <c r="T1208" s="26">
        <f>S1208*G1208</f>
        <v/>
      </c>
      <c r="U1208" s="26">
        <f>R1208-T1208</f>
        <v/>
      </c>
      <c r="V1208" s="26">
        <f>U1208-L1208</f>
        <v/>
      </c>
    </row>
    <row r="1209">
      <c r="A1209" s="11" t="n">
        <v>46215</v>
      </c>
      <c r="B1209" s="1" t="n">
        <v>20057</v>
      </c>
      <c r="C1209" s="1" t="inlineStr">
        <is>
          <t>032</t>
        </is>
      </c>
      <c r="D1209" s="1" t="inlineStr">
        <is>
          <t xml:space="preserve">74613 </t>
        </is>
      </c>
      <c r="E1209" s="1" t="inlineStr">
        <is>
          <t xml:space="preserve">28194770       </t>
        </is>
      </c>
      <c r="F1209" s="5" t="inlineStr">
        <is>
          <t>AUTOS DE METAL 3 TEAMSTERZ EN BLISTER</t>
        </is>
      </c>
      <c r="G1209" t="n">
        <v>1</v>
      </c>
      <c r="H1209" s="7" t="n">
        <v>6.9</v>
      </c>
      <c r="I1209" s="7" t="n">
        <v>0</v>
      </c>
      <c r="J1209" s="7" t="n">
        <v>0</v>
      </c>
      <c r="K1209" s="9" t="n">
        <v>0</v>
      </c>
      <c r="L1209" s="10" t="n">
        <v>4.1</v>
      </c>
      <c r="M1209" s="10" t="n">
        <v>1.43</v>
      </c>
      <c r="N1209" t="inlineStr">
        <is>
          <t>1</t>
        </is>
      </c>
      <c r="O1209" t="inlineStr">
        <is>
          <t>16</t>
        </is>
      </c>
      <c r="P1209" t="inlineStr">
        <is>
          <t xml:space="preserve">238606  </t>
        </is>
      </c>
      <c r="Q1209" s="26" t="n">
        <v>4.09</v>
      </c>
      <c r="R1209" s="26">
        <f>Q1209*G1209</f>
        <v/>
      </c>
      <c r="S1209" s="26">
        <f>IFERROR(VLOOKUP(E1209*1,Tabla[#All],8,0),0)</f>
        <v/>
      </c>
      <c r="T1209" s="26">
        <f>S1209*G1209</f>
        <v/>
      </c>
      <c r="U1209" s="26">
        <f>R1209-T1209</f>
        <v/>
      </c>
      <c r="V1209" s="26">
        <f>U1209-L1209</f>
        <v/>
      </c>
    </row>
    <row r="1210">
      <c r="A1210" s="11" t="n">
        <v>46215</v>
      </c>
      <c r="B1210" s="1" t="n">
        <v>20057</v>
      </c>
      <c r="C1210" s="1" t="inlineStr">
        <is>
          <t>032</t>
        </is>
      </c>
      <c r="D1210" s="1" t="inlineStr">
        <is>
          <t xml:space="preserve">74635 </t>
        </is>
      </c>
      <c r="E1210" s="1" t="inlineStr">
        <is>
          <t xml:space="preserve">28194769       </t>
        </is>
      </c>
      <c r="F1210" s="5" t="inlineStr">
        <is>
          <t>AUTOS DE METAL 3 TEAMSTERZ PACK DE 2</t>
        </is>
      </c>
      <c r="G1210" t="n">
        <v>1</v>
      </c>
      <c r="H1210" s="7" t="n">
        <v>13.8</v>
      </c>
      <c r="I1210" s="7" t="n">
        <v>0</v>
      </c>
      <c r="J1210" s="7" t="n">
        <v>0</v>
      </c>
      <c r="K1210" s="9" t="n">
        <v>0</v>
      </c>
      <c r="L1210" s="10" t="n">
        <v>8.18</v>
      </c>
      <c r="M1210" s="10" t="n">
        <v>1.43</v>
      </c>
      <c r="N1210" t="inlineStr">
        <is>
          <t>1</t>
        </is>
      </c>
      <c r="O1210" t="inlineStr">
        <is>
          <t>16</t>
        </is>
      </c>
      <c r="P1210" t="inlineStr">
        <is>
          <t xml:space="preserve">238606  </t>
        </is>
      </c>
      <c r="Q1210" s="26" t="n">
        <v>8.19</v>
      </c>
      <c r="R1210" s="26">
        <f>Q1210*G1210</f>
        <v/>
      </c>
      <c r="S1210" s="26">
        <f>IFERROR(VLOOKUP(E1210*1,Tabla[#All],8,0),0)</f>
        <v/>
      </c>
      <c r="T1210" s="26">
        <f>S1210*G1210</f>
        <v/>
      </c>
      <c r="U1210" s="26">
        <f>R1210-T1210</f>
        <v/>
      </c>
      <c r="V1210" s="26">
        <f>U1210-L1210</f>
        <v/>
      </c>
    </row>
    <row r="1211">
      <c r="A1211" s="11" t="n">
        <v>46215</v>
      </c>
      <c r="B1211" s="1" t="n">
        <v>20057</v>
      </c>
      <c r="C1211" s="1" t="inlineStr">
        <is>
          <t>033</t>
        </is>
      </c>
      <c r="D1211" s="1" t="inlineStr">
        <is>
          <t xml:space="preserve">66877 </t>
        </is>
      </c>
      <c r="E1211" s="1" t="inlineStr">
        <is>
          <t xml:space="preserve">28194770       </t>
        </is>
      </c>
      <c r="F1211" s="5" t="inlineStr">
        <is>
          <t>AUTOS DE METAL 3 TEAMSTERZ EN BLISTER</t>
        </is>
      </c>
      <c r="G1211" t="n">
        <v>1</v>
      </c>
      <c r="H1211" s="7" t="n">
        <v>6.9</v>
      </c>
      <c r="I1211" s="7" t="n">
        <v>0</v>
      </c>
      <c r="J1211" s="7" t="n">
        <v>0</v>
      </c>
      <c r="K1211" s="9" t="n">
        <v>0</v>
      </c>
      <c r="L1211" s="10" t="n">
        <v>4.1</v>
      </c>
      <c r="M1211" s="10" t="n">
        <v>1.43</v>
      </c>
      <c r="N1211" t="inlineStr">
        <is>
          <t>1</t>
        </is>
      </c>
      <c r="O1211" t="inlineStr">
        <is>
          <t xml:space="preserve">2 </t>
        </is>
      </c>
      <c r="P1211" t="inlineStr">
        <is>
          <t xml:space="preserve">241623  </t>
        </is>
      </c>
      <c r="Q1211" s="26" t="n">
        <v>4.09</v>
      </c>
      <c r="R1211" s="26">
        <f>Q1211*G1211</f>
        <v/>
      </c>
      <c r="S1211" s="26">
        <f>IFERROR(VLOOKUP(E1211*1,Tabla[#All],8,0),0)</f>
        <v/>
      </c>
      <c r="T1211" s="26">
        <f>S1211*G1211</f>
        <v/>
      </c>
      <c r="U1211" s="26">
        <f>R1211-T1211</f>
        <v/>
      </c>
      <c r="V1211" s="26">
        <f>U1211-L1211</f>
        <v/>
      </c>
    </row>
    <row r="1212">
      <c r="A1212" s="11" t="n">
        <v>46215</v>
      </c>
      <c r="B1212" s="1" t="n">
        <v>20057</v>
      </c>
      <c r="C1212" s="1" t="inlineStr">
        <is>
          <t>033</t>
        </is>
      </c>
      <c r="D1212" s="1" t="inlineStr">
        <is>
          <t xml:space="preserve">66946 </t>
        </is>
      </c>
      <c r="E1212" s="1" t="inlineStr">
        <is>
          <t xml:space="preserve">29235708       </t>
        </is>
      </c>
      <c r="F1212" s="5" t="inlineStr">
        <is>
          <t>TEAMSTERZ RESCATE POR AIRE Y MAR</t>
        </is>
      </c>
      <c r="G1212" t="n">
        <v>1</v>
      </c>
      <c r="H1212" s="7" t="n">
        <v>39.9</v>
      </c>
      <c r="I1212" s="7" t="n">
        <v>0</v>
      </c>
      <c r="J1212" s="7" t="n">
        <v>0</v>
      </c>
      <c r="K1212" s="9" t="n">
        <v>0</v>
      </c>
      <c r="L1212" s="10" t="n">
        <v>23.67</v>
      </c>
      <c r="M1212" s="10" t="n">
        <v>1.43</v>
      </c>
      <c r="N1212" t="inlineStr">
        <is>
          <t>1</t>
        </is>
      </c>
      <c r="O1212" t="inlineStr">
        <is>
          <t xml:space="preserve">2 </t>
        </is>
      </c>
      <c r="P1212" t="inlineStr">
        <is>
          <t xml:space="preserve">241623  </t>
        </is>
      </c>
      <c r="Q1212" s="26" t="n">
        <v>23.67</v>
      </c>
      <c r="R1212" s="26">
        <f>Q1212*G1212</f>
        <v/>
      </c>
      <c r="S1212" s="26">
        <f>IFERROR(VLOOKUP(E1212*1,Tabla[#All],8,0),0)</f>
        <v/>
      </c>
      <c r="T1212" s="26">
        <f>S1212*G1212</f>
        <v/>
      </c>
      <c r="U1212" s="26">
        <f>R1212-T1212</f>
        <v/>
      </c>
      <c r="V1212" s="26">
        <f>U1212-L1212</f>
        <v/>
      </c>
    </row>
    <row r="1213">
      <c r="A1213" s="11" t="n">
        <v>46215</v>
      </c>
      <c r="B1213" s="1" t="n">
        <v>20057</v>
      </c>
      <c r="C1213" s="1" t="inlineStr">
        <is>
          <t>037</t>
        </is>
      </c>
      <c r="D1213" s="1" t="inlineStr">
        <is>
          <t xml:space="preserve">4467  </t>
        </is>
      </c>
      <c r="E1213" s="1" t="inlineStr">
        <is>
          <t xml:space="preserve">28194770       </t>
        </is>
      </c>
      <c r="F1213" s="5" t="inlineStr">
        <is>
          <t>AUTOS DE METAL 3 TEAMSTERZ EN BLISTER</t>
        </is>
      </c>
      <c r="G1213" t="n">
        <v>1</v>
      </c>
      <c r="H1213" s="7" t="n">
        <v>6.9</v>
      </c>
      <c r="I1213" s="7" t="n">
        <v>0</v>
      </c>
      <c r="J1213" s="7" t="n">
        <v>0</v>
      </c>
      <c r="K1213" s="9" t="n">
        <v>0</v>
      </c>
      <c r="L1213" s="10" t="n">
        <v>4.1</v>
      </c>
      <c r="M1213" s="10" t="n">
        <v>1.43</v>
      </c>
      <c r="N1213" t="inlineStr">
        <is>
          <t>1</t>
        </is>
      </c>
      <c r="O1213" t="inlineStr">
        <is>
          <t>16</t>
        </is>
      </c>
      <c r="P1213" t="inlineStr">
        <is>
          <t xml:space="preserve">235719  </t>
        </is>
      </c>
      <c r="Q1213" s="26" t="n">
        <v>4.09</v>
      </c>
      <c r="R1213" s="26">
        <f>Q1213*G1213</f>
        <v/>
      </c>
      <c r="S1213" s="26">
        <f>IFERROR(VLOOKUP(E1213*1,Tabla[#All],8,0),0)</f>
        <v/>
      </c>
      <c r="T1213" s="26">
        <f>S1213*G1213</f>
        <v/>
      </c>
      <c r="U1213" s="26">
        <f>R1213-T1213</f>
        <v/>
      </c>
      <c r="V1213" s="26">
        <f>U1213-L1213</f>
        <v/>
      </c>
    </row>
    <row r="1214">
      <c r="A1214" s="11" t="n">
        <v>46215</v>
      </c>
      <c r="B1214" s="1" t="n">
        <v>20057</v>
      </c>
      <c r="C1214" s="1" t="inlineStr">
        <is>
          <t>861</t>
        </is>
      </c>
      <c r="D1214" s="1" t="inlineStr">
        <is>
          <t xml:space="preserve">752   </t>
        </is>
      </c>
      <c r="E1214" s="1" t="inlineStr">
        <is>
          <t xml:space="preserve">30141769       </t>
        </is>
      </c>
      <c r="F1214" s="5" t="inlineStr">
        <is>
          <t>TMZ BEAST MACHINES TRANSPORTE DINOSAURIO + 3 AUTOS</t>
        </is>
      </c>
      <c r="G1214" t="n">
        <v>1</v>
      </c>
      <c r="H1214" s="7" t="n">
        <v>79.90000000000001</v>
      </c>
      <c r="I1214" s="7" t="n">
        <v>0</v>
      </c>
      <c r="J1214" s="7" t="n">
        <v>0</v>
      </c>
      <c r="K1214" s="9" t="n">
        <v>0</v>
      </c>
      <c r="L1214" s="10" t="n">
        <v>47.4</v>
      </c>
      <c r="M1214" s="10" t="n">
        <v>1.43</v>
      </c>
      <c r="N1214" t="inlineStr">
        <is>
          <t>1</t>
        </is>
      </c>
      <c r="O1214" t="inlineStr">
        <is>
          <t>16</t>
        </is>
      </c>
      <c r="P1214" t="inlineStr">
        <is>
          <t xml:space="preserve">0       </t>
        </is>
      </c>
      <c r="Q1214" s="26" t="n">
        <v>47.4</v>
      </c>
      <c r="R1214" s="26">
        <f>Q1214*G1214</f>
        <v/>
      </c>
      <c r="S1214" s="26">
        <f>IFERROR(VLOOKUP(E1214*1,Tabla[#All],8,0),0)</f>
        <v/>
      </c>
      <c r="T1214" s="26">
        <f>S1214*G1214</f>
        <v/>
      </c>
      <c r="U1214" s="26">
        <f>R1214-T1214</f>
        <v/>
      </c>
      <c r="V1214" s="26">
        <f>U1214-L1214</f>
        <v/>
      </c>
    </row>
    <row r="1215">
      <c r="A1215" s="11" t="n">
        <v>46215</v>
      </c>
      <c r="B1215" s="1" t="n">
        <v>20057</v>
      </c>
      <c r="C1215" s="1" t="inlineStr">
        <is>
          <t>862</t>
        </is>
      </c>
      <c r="D1215" s="1" t="inlineStr">
        <is>
          <t xml:space="preserve">7913  </t>
        </is>
      </c>
      <c r="E1215" s="1" t="inlineStr">
        <is>
          <t xml:space="preserve">29235708       </t>
        </is>
      </c>
      <c r="F1215" s="5" t="inlineStr">
        <is>
          <t>TEAMSTERZ RESCATE POR AIRE Y MAR</t>
        </is>
      </c>
      <c r="G1215" t="n">
        <v>1</v>
      </c>
      <c r="H1215" s="7" t="n">
        <v>39.9</v>
      </c>
      <c r="I1215" s="7" t="n">
        <v>0</v>
      </c>
      <c r="J1215" s="7" t="n">
        <v>0</v>
      </c>
      <c r="K1215" s="9" t="n">
        <v>0</v>
      </c>
      <c r="L1215" s="10" t="n">
        <v>23.67</v>
      </c>
      <c r="M1215" s="10" t="n">
        <v>1.43</v>
      </c>
      <c r="N1215" t="inlineStr">
        <is>
          <t>1</t>
        </is>
      </c>
      <c r="O1215" t="inlineStr">
        <is>
          <t>16</t>
        </is>
      </c>
      <c r="P1215" t="inlineStr">
        <is>
          <t xml:space="preserve">0       </t>
        </is>
      </c>
      <c r="Q1215" s="26" t="n">
        <v>23.67</v>
      </c>
      <c r="R1215" s="26">
        <f>Q1215*G1215</f>
        <v/>
      </c>
      <c r="S1215" s="26">
        <f>IFERROR(VLOOKUP(E1215*1,Tabla[#All],8,0),0)</f>
        <v/>
      </c>
      <c r="T1215" s="26">
        <f>S1215*G1215</f>
        <v/>
      </c>
      <c r="U1215" s="26">
        <f>R1215-T1215</f>
        <v/>
      </c>
      <c r="V1215" s="26">
        <f>U1215-L1215</f>
        <v/>
      </c>
    </row>
    <row r="1216">
      <c r="A1216" s="11" t="n">
        <v>46215</v>
      </c>
      <c r="B1216" s="1" t="n">
        <v>20057</v>
      </c>
      <c r="C1216" s="1" t="inlineStr">
        <is>
          <t>862</t>
        </is>
      </c>
      <c r="D1216" s="1" t="inlineStr">
        <is>
          <t xml:space="preserve">7913  </t>
        </is>
      </c>
      <c r="E1216" s="1" t="inlineStr">
        <is>
          <t xml:space="preserve">32457099       </t>
        </is>
      </c>
      <c r="F1216" s="5" t="inlineStr">
        <is>
          <t>TMZ BEAST MACHINES MONSTER JAWS A FRICCION BLISTER</t>
        </is>
      </c>
      <c r="G1216" t="n">
        <v>1</v>
      </c>
      <c r="H1216" s="7" t="n">
        <v>19.9</v>
      </c>
      <c r="I1216" s="7" t="n">
        <v>0</v>
      </c>
      <c r="J1216" s="7" t="n">
        <v>0</v>
      </c>
      <c r="K1216" s="9" t="n">
        <v>0</v>
      </c>
      <c r="L1216" s="10" t="n">
        <v>11.8</v>
      </c>
      <c r="M1216" s="10" t="n">
        <v>1.43</v>
      </c>
      <c r="N1216" t="inlineStr">
        <is>
          <t>1</t>
        </is>
      </c>
      <c r="O1216" t="inlineStr">
        <is>
          <t>16</t>
        </is>
      </c>
      <c r="P1216" t="inlineStr">
        <is>
          <t xml:space="preserve">0       </t>
        </is>
      </c>
      <c r="Q1216" s="26" t="n">
        <v>11.81</v>
      </c>
      <c r="R1216" s="26">
        <f>Q1216*G1216</f>
        <v/>
      </c>
      <c r="S1216" s="26">
        <f>IFERROR(VLOOKUP(E1216*1,Tabla[#All],8,0),0)</f>
        <v/>
      </c>
      <c r="T1216" s="26">
        <f>S1216*G1216</f>
        <v/>
      </c>
      <c r="U1216" s="26">
        <f>R1216-T1216</f>
        <v/>
      </c>
      <c r="V1216" s="26">
        <f>U1216-L1216</f>
        <v/>
      </c>
    </row>
    <row r="1217">
      <c r="A1217" s="11" t="n">
        <v>46215</v>
      </c>
      <c r="B1217" s="1" t="n">
        <v>20058</v>
      </c>
      <c r="C1217" s="1" t="inlineStr">
        <is>
          <t>011</t>
        </is>
      </c>
      <c r="D1217" s="1" t="inlineStr">
        <is>
          <t>185491</t>
        </is>
      </c>
      <c r="E1217" s="1" t="inlineStr">
        <is>
          <t xml:space="preserve">30141766       </t>
        </is>
      </c>
      <c r="F1217" s="5" t="inlineStr">
        <is>
          <t>TMZ BEAST MACHINES AUTOS DE METAL BLISTER X 1</t>
        </is>
      </c>
      <c r="G1217" t="n">
        <v>1</v>
      </c>
      <c r="H1217" s="7" t="n">
        <v>7.9</v>
      </c>
      <c r="I1217" s="7" t="n">
        <v>0</v>
      </c>
      <c r="J1217" s="7" t="n">
        <v>0</v>
      </c>
      <c r="K1217" s="9" t="n">
        <v>0</v>
      </c>
      <c r="L1217" s="10" t="n">
        <v>4.68</v>
      </c>
      <c r="M1217" s="10" t="n">
        <v>1.43</v>
      </c>
      <c r="N1217" t="inlineStr">
        <is>
          <t>1</t>
        </is>
      </c>
      <c r="O1217" t="inlineStr">
        <is>
          <t xml:space="preserve">2 </t>
        </is>
      </c>
      <c r="P1217" t="inlineStr">
        <is>
          <t xml:space="preserve">244733  </t>
        </is>
      </c>
      <c r="Q1217" s="26" t="n">
        <v>4.69</v>
      </c>
      <c r="R1217" s="26">
        <f>Q1217*G1217</f>
        <v/>
      </c>
      <c r="S1217" s="26">
        <f>IFERROR(VLOOKUP(E1217*1,Tabla[#All],8,0),0)</f>
        <v/>
      </c>
      <c r="T1217" s="26">
        <f>S1217*G1217</f>
        <v/>
      </c>
      <c r="U1217" s="26">
        <f>R1217-T1217</f>
        <v/>
      </c>
      <c r="V1217" s="26">
        <f>U1217-L1217</f>
        <v/>
      </c>
    </row>
    <row r="1218">
      <c r="A1218" s="11" t="n">
        <v>46215</v>
      </c>
      <c r="B1218" s="1" t="n">
        <v>20058</v>
      </c>
      <c r="C1218" s="1" t="inlineStr">
        <is>
          <t>017</t>
        </is>
      </c>
      <c r="D1218" s="1" t="inlineStr">
        <is>
          <t>181969</t>
        </is>
      </c>
      <c r="E1218" s="1" t="inlineStr">
        <is>
          <t xml:space="preserve">28194770       </t>
        </is>
      </c>
      <c r="F1218" s="5" t="inlineStr">
        <is>
          <t>AUTOS DE METAL 3 TEAMSTERZ EN BLISTER</t>
        </is>
      </c>
      <c r="G1218" t="n">
        <v>1</v>
      </c>
      <c r="H1218" s="7" t="n">
        <v>6.9</v>
      </c>
      <c r="I1218" s="7" t="n">
        <v>0</v>
      </c>
      <c r="J1218" s="7" t="n">
        <v>0</v>
      </c>
      <c r="K1218" s="9" t="n">
        <v>0</v>
      </c>
      <c r="L1218" s="10" t="n">
        <v>4.1</v>
      </c>
      <c r="M1218" s="10" t="n">
        <v>1.43</v>
      </c>
      <c r="N1218" t="inlineStr">
        <is>
          <t>1</t>
        </is>
      </c>
      <c r="O1218" t="inlineStr">
        <is>
          <t>16</t>
        </is>
      </c>
      <c r="P1218" t="inlineStr">
        <is>
          <t xml:space="preserve">251348  </t>
        </is>
      </c>
      <c r="Q1218" s="26" t="n">
        <v>4.09</v>
      </c>
      <c r="R1218" s="26">
        <f>Q1218*G1218</f>
        <v/>
      </c>
      <c r="S1218" s="26">
        <f>IFERROR(VLOOKUP(E1218*1,Tabla[#All],8,0),0)</f>
        <v/>
      </c>
      <c r="T1218" s="26">
        <f>S1218*G1218</f>
        <v/>
      </c>
      <c r="U1218" s="26">
        <f>R1218-T1218</f>
        <v/>
      </c>
      <c r="V1218" s="26">
        <f>U1218-L1218</f>
        <v/>
      </c>
    </row>
    <row r="1219">
      <c r="A1219" s="11" t="n">
        <v>46215</v>
      </c>
      <c r="B1219" s="1" t="n">
        <v>20058</v>
      </c>
      <c r="C1219" s="1" t="inlineStr">
        <is>
          <t>031</t>
        </is>
      </c>
      <c r="D1219" s="1" t="inlineStr">
        <is>
          <t>179185</t>
        </is>
      </c>
      <c r="E1219" s="1" t="inlineStr">
        <is>
          <t xml:space="preserve">32457099       </t>
        </is>
      </c>
      <c r="F1219" s="5" t="inlineStr">
        <is>
          <t>TMZ BEAST MACHINES MONSTER JAWS A FRICCION BLISTER</t>
        </is>
      </c>
      <c r="G1219" t="n">
        <v>1</v>
      </c>
      <c r="H1219" s="7" t="n">
        <v>19.9</v>
      </c>
      <c r="I1219" s="7" t="n">
        <v>0</v>
      </c>
      <c r="J1219" s="7" t="n">
        <v>0</v>
      </c>
      <c r="K1219" s="9" t="n">
        <v>0</v>
      </c>
      <c r="L1219" s="10" t="n">
        <v>11.8</v>
      </c>
      <c r="M1219" s="10" t="n">
        <v>1.43</v>
      </c>
      <c r="N1219" t="inlineStr">
        <is>
          <t>1</t>
        </is>
      </c>
      <c r="O1219" t="inlineStr">
        <is>
          <t xml:space="preserve">6 </t>
        </is>
      </c>
      <c r="P1219" t="inlineStr">
        <is>
          <t xml:space="preserve">242648  </t>
        </is>
      </c>
      <c r="Q1219" s="26" t="n">
        <v>11.81</v>
      </c>
      <c r="R1219" s="26">
        <f>Q1219*G1219</f>
        <v/>
      </c>
      <c r="S1219" s="26">
        <f>IFERROR(VLOOKUP(E1219*1,Tabla[#All],8,0),0)</f>
        <v/>
      </c>
      <c r="T1219" s="26">
        <f>S1219*G1219</f>
        <v/>
      </c>
      <c r="U1219" s="26">
        <f>R1219-T1219</f>
        <v/>
      </c>
      <c r="V1219" s="26">
        <f>U1219-L1219</f>
        <v/>
      </c>
    </row>
    <row r="1220">
      <c r="A1220" s="11" t="n">
        <v>46215</v>
      </c>
      <c r="B1220" s="1" t="n">
        <v>20058</v>
      </c>
      <c r="C1220" s="1" t="inlineStr">
        <is>
          <t>038</t>
        </is>
      </c>
      <c r="D1220" s="1" t="inlineStr">
        <is>
          <t>209135</t>
        </is>
      </c>
      <c r="E1220" s="1" t="inlineStr">
        <is>
          <t xml:space="preserve">32457099       </t>
        </is>
      </c>
      <c r="F1220" s="5" t="inlineStr">
        <is>
          <t>TMZ BEAST MACHINES MONSTER JAWS A FRICCION BLISTER</t>
        </is>
      </c>
      <c r="G1220" t="n">
        <v>1</v>
      </c>
      <c r="H1220" s="7" t="n">
        <v>19.9</v>
      </c>
      <c r="I1220" s="7" t="n">
        <v>0</v>
      </c>
      <c r="J1220" s="7" t="n">
        <v>0</v>
      </c>
      <c r="K1220" s="9" t="n">
        <v>0</v>
      </c>
      <c r="L1220" s="10" t="n">
        <v>11.8</v>
      </c>
      <c r="M1220" s="10" t="n">
        <v>1.43</v>
      </c>
      <c r="N1220" t="inlineStr">
        <is>
          <t>1</t>
        </is>
      </c>
      <c r="O1220" t="inlineStr">
        <is>
          <t>16</t>
        </is>
      </c>
      <c r="P1220" t="inlineStr">
        <is>
          <t xml:space="preserve">90737   </t>
        </is>
      </c>
      <c r="Q1220" s="26" t="n">
        <v>11.81</v>
      </c>
      <c r="R1220" s="26">
        <f>Q1220*G1220</f>
        <v/>
      </c>
      <c r="S1220" s="26">
        <f>IFERROR(VLOOKUP(E1220*1,Tabla[#All],8,0),0)</f>
        <v/>
      </c>
      <c r="T1220" s="26">
        <f>S1220*G1220</f>
        <v/>
      </c>
      <c r="U1220" s="26">
        <f>R1220-T1220</f>
        <v/>
      </c>
      <c r="V1220" s="26">
        <f>U1220-L1220</f>
        <v/>
      </c>
    </row>
    <row r="1221">
      <c r="A1221" s="11" t="n">
        <v>46215</v>
      </c>
      <c r="B1221" s="1" t="n">
        <v>20058</v>
      </c>
      <c r="C1221" s="1" t="inlineStr">
        <is>
          <t>038</t>
        </is>
      </c>
      <c r="D1221" s="1" t="inlineStr">
        <is>
          <t>209144</t>
        </is>
      </c>
      <c r="E1221" s="1" t="inlineStr">
        <is>
          <t xml:space="preserve">30141766       </t>
        </is>
      </c>
      <c r="F1221" s="5" t="inlineStr">
        <is>
          <t>TMZ BEAST MACHINES AUTOS DE METAL BLISTER X 1</t>
        </is>
      </c>
      <c r="G1221" t="n">
        <v>1</v>
      </c>
      <c r="H1221" s="7" t="n">
        <v>7.9</v>
      </c>
      <c r="I1221" s="7" t="n">
        <v>0</v>
      </c>
      <c r="J1221" s="7" t="n">
        <v>0</v>
      </c>
      <c r="K1221" s="9" t="n">
        <v>0</v>
      </c>
      <c r="L1221" s="10" t="n">
        <v>4.68</v>
      </c>
      <c r="M1221" s="10" t="n">
        <v>1.43</v>
      </c>
      <c r="N1221" t="inlineStr">
        <is>
          <t>1</t>
        </is>
      </c>
      <c r="O1221" t="inlineStr">
        <is>
          <t>16</t>
        </is>
      </c>
      <c r="P1221" t="inlineStr">
        <is>
          <t xml:space="preserve">90737   </t>
        </is>
      </c>
      <c r="Q1221" s="26" t="n">
        <v>4.69</v>
      </c>
      <c r="R1221" s="26">
        <f>Q1221*G1221</f>
        <v/>
      </c>
      <c r="S1221" s="26">
        <f>IFERROR(VLOOKUP(E1221*1,Tabla[#All],8,0),0)</f>
        <v/>
      </c>
      <c r="T1221" s="26">
        <f>S1221*G1221</f>
        <v/>
      </c>
      <c r="U1221" s="26">
        <f>R1221-T1221</f>
        <v/>
      </c>
      <c r="V1221" s="26">
        <f>U1221-L1221</f>
        <v/>
      </c>
    </row>
    <row r="1222">
      <c r="A1222" s="11" t="n">
        <v>46215</v>
      </c>
      <c r="B1222" s="1" t="n">
        <v>20058</v>
      </c>
      <c r="C1222" s="1" t="inlineStr">
        <is>
          <t>039</t>
        </is>
      </c>
      <c r="D1222" s="1" t="inlineStr">
        <is>
          <t>230355</t>
        </is>
      </c>
      <c r="E1222" s="1" t="inlineStr">
        <is>
          <t xml:space="preserve">31959958       </t>
        </is>
      </c>
      <c r="F1222" s="5" t="inlineStr">
        <is>
          <t>TMZ BEAST MACHINE AUTOS DE METAL PACK 3 AUTOS</t>
        </is>
      </c>
      <c r="G1222" t="n">
        <v>1</v>
      </c>
      <c r="H1222" s="7" t="n">
        <v>23.7</v>
      </c>
      <c r="I1222" s="7" t="n">
        <v>0</v>
      </c>
      <c r="J1222" s="7" t="n">
        <v>0</v>
      </c>
      <c r="K1222" s="9" t="n">
        <v>0</v>
      </c>
      <c r="L1222" s="10" t="n">
        <v>14.06</v>
      </c>
      <c r="M1222" s="10" t="n">
        <v>1.43</v>
      </c>
      <c r="N1222" t="inlineStr">
        <is>
          <t>1</t>
        </is>
      </c>
      <c r="O1222" t="inlineStr">
        <is>
          <t xml:space="preserve">2 </t>
        </is>
      </c>
      <c r="P1222" t="inlineStr">
        <is>
          <t xml:space="preserve">236703  </t>
        </is>
      </c>
      <c r="Q1222" s="26" t="n">
        <v>14.06</v>
      </c>
      <c r="R1222" s="26">
        <f>Q1222*G1222</f>
        <v/>
      </c>
      <c r="S1222" s="26">
        <f>IFERROR(VLOOKUP(E1222*1,Tabla[#All],8,0),0)</f>
        <v/>
      </c>
      <c r="T1222" s="26">
        <f>S1222*G1222</f>
        <v/>
      </c>
      <c r="U1222" s="26">
        <f>R1222-T1222</f>
        <v/>
      </c>
      <c r="V1222" s="26">
        <f>U1222-L1222</f>
        <v/>
      </c>
    </row>
    <row r="1223">
      <c r="A1223" s="11" t="n">
        <v>46215</v>
      </c>
      <c r="B1223" s="1" t="n">
        <v>20058</v>
      </c>
      <c r="C1223" s="1" t="inlineStr">
        <is>
          <t>039</t>
        </is>
      </c>
      <c r="D1223" s="1" t="inlineStr">
        <is>
          <t>230365</t>
        </is>
      </c>
      <c r="E1223" s="1" t="inlineStr">
        <is>
          <t xml:space="preserve">28194780       </t>
        </is>
      </c>
      <c r="F1223" s="5" t="inlineStr">
        <is>
          <t>TROMPO BATALLA INFINITY NADO PLSTICO SURTIDO</t>
        </is>
      </c>
      <c r="G1223" t="n">
        <v>1</v>
      </c>
      <c r="H1223" s="7" t="n">
        <v>19.9</v>
      </c>
      <c r="I1223" s="7" t="n">
        <v>0</v>
      </c>
      <c r="J1223" s="7" t="n">
        <v>0</v>
      </c>
      <c r="K1223" s="9" t="n">
        <v>0</v>
      </c>
      <c r="L1223" s="10" t="n">
        <v>11.8</v>
      </c>
      <c r="M1223" s="10" t="n">
        <v>1.43</v>
      </c>
      <c r="N1223" t="inlineStr">
        <is>
          <t>1</t>
        </is>
      </c>
      <c r="O1223" t="inlineStr">
        <is>
          <t>16</t>
        </is>
      </c>
      <c r="P1223" t="inlineStr">
        <is>
          <t xml:space="preserve">236703  </t>
        </is>
      </c>
      <c r="Q1223" s="26" t="n">
        <v>11.81</v>
      </c>
      <c r="R1223" s="26">
        <f>Q1223*G1223</f>
        <v/>
      </c>
      <c r="S1223" s="26">
        <f>IFERROR(VLOOKUP(E1223*1,Tabla[#All],8,0),0)</f>
        <v/>
      </c>
      <c r="T1223" s="26">
        <f>S1223*G1223</f>
        <v/>
      </c>
      <c r="U1223" s="26">
        <f>R1223-T1223</f>
        <v/>
      </c>
      <c r="V1223" s="26">
        <f>U1223-L1223</f>
        <v/>
      </c>
    </row>
    <row r="1224">
      <c r="A1224" s="11" t="n">
        <v>46215</v>
      </c>
      <c r="B1224" s="1" t="n">
        <v>20058</v>
      </c>
      <c r="C1224" s="1" t="inlineStr">
        <is>
          <t>039</t>
        </is>
      </c>
      <c r="D1224" s="1" t="inlineStr">
        <is>
          <t>230449</t>
        </is>
      </c>
      <c r="E1224" s="1" t="inlineStr">
        <is>
          <t xml:space="preserve">28194769       </t>
        </is>
      </c>
      <c r="F1224" s="5" t="inlineStr">
        <is>
          <t>AUTOS DE METAL 3 TEAMSTERZ PACK DE 2</t>
        </is>
      </c>
      <c r="G1224" t="n">
        <v>1</v>
      </c>
      <c r="H1224" s="7" t="n">
        <v>13.8</v>
      </c>
      <c r="I1224" s="7" t="n">
        <v>0</v>
      </c>
      <c r="J1224" s="7" t="n">
        <v>0</v>
      </c>
      <c r="K1224" s="9" t="n">
        <v>0</v>
      </c>
      <c r="L1224" s="10" t="n">
        <v>8.18</v>
      </c>
      <c r="M1224" s="10" t="n">
        <v>1.43</v>
      </c>
      <c r="N1224" t="inlineStr">
        <is>
          <t>1</t>
        </is>
      </c>
      <c r="O1224" t="inlineStr">
        <is>
          <t xml:space="preserve">2 </t>
        </is>
      </c>
      <c r="P1224" t="inlineStr">
        <is>
          <t xml:space="preserve">92832   </t>
        </is>
      </c>
      <c r="Q1224" s="26" t="n">
        <v>8.19</v>
      </c>
      <c r="R1224" s="26">
        <f>Q1224*G1224</f>
        <v/>
      </c>
      <c r="S1224" s="26">
        <f>IFERROR(VLOOKUP(E1224*1,Tabla[#All],8,0),0)</f>
        <v/>
      </c>
      <c r="T1224" s="26">
        <f>S1224*G1224</f>
        <v/>
      </c>
      <c r="U1224" s="26">
        <f>R1224-T1224</f>
        <v/>
      </c>
      <c r="V1224" s="26">
        <f>U1224-L1224</f>
        <v/>
      </c>
    </row>
    <row r="1225">
      <c r="A1225" s="11" t="n">
        <v>46215</v>
      </c>
      <c r="B1225" s="1" t="n">
        <v>20058</v>
      </c>
      <c r="C1225" s="1" t="inlineStr">
        <is>
          <t>197</t>
        </is>
      </c>
      <c r="D1225" s="1" t="inlineStr">
        <is>
          <t>170020</t>
        </is>
      </c>
      <c r="E1225" s="1" t="inlineStr">
        <is>
          <t xml:space="preserve">28194770       </t>
        </is>
      </c>
      <c r="F1225" s="5" t="inlineStr">
        <is>
          <t>AUTOS DE METAL 3 TEAMSTERZ EN BLISTER</t>
        </is>
      </c>
      <c r="G1225" t="n">
        <v>1</v>
      </c>
      <c r="H1225" s="7" t="n">
        <v>6.9</v>
      </c>
      <c r="I1225" s="7" t="n">
        <v>0.6899999999999999</v>
      </c>
      <c r="J1225" s="7" t="n">
        <v>0</v>
      </c>
      <c r="K1225" s="9" t="n">
        <v>0.6899999999999999</v>
      </c>
      <c r="L1225" s="10" t="n">
        <v>3.68</v>
      </c>
      <c r="M1225" s="10" t="n">
        <v>1.43</v>
      </c>
      <c r="N1225" t="inlineStr">
        <is>
          <t>1</t>
        </is>
      </c>
      <c r="O1225" t="inlineStr">
        <is>
          <t xml:space="preserve">3 </t>
        </is>
      </c>
      <c r="P1225" t="inlineStr">
        <is>
          <t xml:space="preserve">244700  </t>
        </is>
      </c>
      <c r="Q1225" s="26" t="n">
        <v>4.09</v>
      </c>
      <c r="R1225" s="26">
        <f>Q1225*G1225</f>
        <v/>
      </c>
      <c r="S1225" s="26">
        <f>IFERROR(VLOOKUP(E1225*1,Tabla[#All],8,0),0)</f>
        <v/>
      </c>
      <c r="T1225" s="26">
        <f>S1225*G1225</f>
        <v/>
      </c>
      <c r="U1225" s="26">
        <f>R1225-T1225</f>
        <v/>
      </c>
      <c r="V1225" s="26">
        <f>U1225-L1225</f>
        <v/>
      </c>
    </row>
    <row r="1226">
      <c r="A1226" s="11" t="n">
        <v>46215</v>
      </c>
      <c r="B1226" s="1" t="n">
        <v>20058</v>
      </c>
      <c r="C1226" s="1" t="inlineStr">
        <is>
          <t>197</t>
        </is>
      </c>
      <c r="D1226" s="1" t="inlineStr">
        <is>
          <t>170020</t>
        </is>
      </c>
      <c r="E1226" s="1" t="inlineStr">
        <is>
          <t xml:space="preserve">28194770       </t>
        </is>
      </c>
      <c r="F1226" s="5" t="inlineStr">
        <is>
          <t>AUTOS DE METAL 3 TEAMSTERZ EN BLISTER</t>
        </is>
      </c>
      <c r="G1226" t="n">
        <v>1</v>
      </c>
      <c r="H1226" s="7" t="n">
        <v>6.9</v>
      </c>
      <c r="I1226" s="7" t="n">
        <v>0.6899999999999999</v>
      </c>
      <c r="J1226" s="7" t="n">
        <v>0</v>
      </c>
      <c r="K1226" s="9" t="n">
        <v>0.6899999999999999</v>
      </c>
      <c r="L1226" s="10" t="n">
        <v>3.68</v>
      </c>
      <c r="M1226" s="10" t="n">
        <v>1.43</v>
      </c>
      <c r="N1226" t="inlineStr">
        <is>
          <t>1</t>
        </is>
      </c>
      <c r="O1226" t="inlineStr">
        <is>
          <t xml:space="preserve">3 </t>
        </is>
      </c>
      <c r="P1226" t="inlineStr">
        <is>
          <t xml:space="preserve">244700  </t>
        </is>
      </c>
      <c r="Q1226" s="26" t="n">
        <v>4.09</v>
      </c>
      <c r="R1226" s="26">
        <f>Q1226*G1226</f>
        <v/>
      </c>
      <c r="S1226" s="26">
        <f>IFERROR(VLOOKUP(E1226*1,Tabla[#All],8,0),0)</f>
        <v/>
      </c>
      <c r="T1226" s="26">
        <f>S1226*G1226</f>
        <v/>
      </c>
      <c r="U1226" s="26">
        <f>R1226-T1226</f>
        <v/>
      </c>
      <c r="V1226" s="26">
        <f>U1226-L1226</f>
        <v/>
      </c>
    </row>
    <row r="1227">
      <c r="A1227" s="11" t="n">
        <v>46215</v>
      </c>
      <c r="B1227" s="1" t="n">
        <v>20058</v>
      </c>
      <c r="C1227" s="1" t="inlineStr">
        <is>
          <t>197</t>
        </is>
      </c>
      <c r="D1227" s="1" t="inlineStr">
        <is>
          <t>170035</t>
        </is>
      </c>
      <c r="E1227" s="1" t="inlineStr">
        <is>
          <t xml:space="preserve">28194770       </t>
        </is>
      </c>
      <c r="F1227" s="5" t="inlineStr">
        <is>
          <t>AUTOS DE METAL 3 TEAMSTERZ EN BLISTER</t>
        </is>
      </c>
      <c r="G1227" t="n">
        <v>1</v>
      </c>
      <c r="H1227" s="7" t="n">
        <v>6.9</v>
      </c>
      <c r="I1227" s="7" t="n">
        <v>0</v>
      </c>
      <c r="J1227" s="7" t="n">
        <v>0</v>
      </c>
      <c r="K1227" s="9" t="n">
        <v>0</v>
      </c>
      <c r="L1227" s="10" t="n">
        <v>4.1</v>
      </c>
      <c r="M1227" s="10" t="n">
        <v>1.43</v>
      </c>
      <c r="N1227" t="inlineStr">
        <is>
          <t>1</t>
        </is>
      </c>
      <c r="O1227" t="inlineStr">
        <is>
          <t>16</t>
        </is>
      </c>
      <c r="P1227" t="inlineStr">
        <is>
          <t xml:space="preserve">244700  </t>
        </is>
      </c>
      <c r="Q1227" s="26" t="n">
        <v>4.09</v>
      </c>
      <c r="R1227" s="26">
        <f>Q1227*G1227</f>
        <v/>
      </c>
      <c r="S1227" s="26">
        <f>IFERROR(VLOOKUP(E1227*1,Tabla[#All],8,0),0)</f>
        <v/>
      </c>
      <c r="T1227" s="26">
        <f>S1227*G1227</f>
        <v/>
      </c>
      <c r="U1227" s="26">
        <f>R1227-T1227</f>
        <v/>
      </c>
      <c r="V1227" s="26">
        <f>U1227-L1227</f>
        <v/>
      </c>
    </row>
    <row r="1228">
      <c r="A1228" s="11" t="n">
        <v>46215</v>
      </c>
      <c r="B1228" s="1" t="n">
        <v>20058</v>
      </c>
      <c r="C1228" s="1" t="inlineStr">
        <is>
          <t>609</t>
        </is>
      </c>
      <c r="D1228" s="1" t="inlineStr">
        <is>
          <t xml:space="preserve">1012  </t>
        </is>
      </c>
      <c r="E1228" s="1" t="inlineStr">
        <is>
          <t xml:space="preserve">34840552       </t>
        </is>
      </c>
      <c r="F1228" s="5" t="inlineStr">
        <is>
          <t>TMZ HELI POLICIA CON LUCES Y SONIDOS</t>
        </is>
      </c>
      <c r="G1228" t="n">
        <v>1</v>
      </c>
      <c r="H1228" s="7" t="n">
        <v>79.90000000000001</v>
      </c>
      <c r="I1228" s="7" t="n">
        <v>7.99</v>
      </c>
      <c r="J1228" s="7" t="n">
        <v>0</v>
      </c>
      <c r="K1228" s="9" t="n">
        <v>7.99</v>
      </c>
      <c r="L1228" s="10" t="n">
        <v>42.66</v>
      </c>
      <c r="M1228" s="10" t="n">
        <v>1.43</v>
      </c>
      <c r="N1228" t="inlineStr">
        <is>
          <t>1</t>
        </is>
      </c>
      <c r="O1228" t="inlineStr">
        <is>
          <t>16</t>
        </is>
      </c>
      <c r="P1228" t="inlineStr">
        <is>
          <t xml:space="preserve">243275  </t>
        </is>
      </c>
      <c r="Q1228" s="26" t="n">
        <v>47.4</v>
      </c>
      <c r="R1228" s="26">
        <f>Q1228*G1228</f>
        <v/>
      </c>
      <c r="S1228" s="26">
        <f>IFERROR(VLOOKUP(E1228*1,Tabla[#All],8,0),0)</f>
        <v/>
      </c>
      <c r="T1228" s="26">
        <f>S1228*G1228</f>
        <v/>
      </c>
      <c r="U1228" s="26">
        <f>R1228-T1228</f>
        <v/>
      </c>
      <c r="V1228" s="26">
        <f>U1228-L1228</f>
        <v/>
      </c>
    </row>
    <row r="1229">
      <c r="A1229" s="11" t="n">
        <v>46215</v>
      </c>
      <c r="B1229" s="1" t="n">
        <v>20058</v>
      </c>
      <c r="C1229" s="1" t="inlineStr">
        <is>
          <t>803</t>
        </is>
      </c>
      <c r="D1229" s="1" t="inlineStr">
        <is>
          <t xml:space="preserve">1756  </t>
        </is>
      </c>
      <c r="E1229" s="1" t="inlineStr">
        <is>
          <t xml:space="preserve">32457099       </t>
        </is>
      </c>
      <c r="F1229" s="5" t="inlineStr">
        <is>
          <t>TMZ BEAST MACHINES MONSTER JAWS A FRICCION BLISTER</t>
        </is>
      </c>
      <c r="G1229" t="n">
        <v>1</v>
      </c>
      <c r="H1229" s="7" t="n">
        <v>19.9</v>
      </c>
      <c r="I1229" s="7" t="n">
        <v>0</v>
      </c>
      <c r="J1229" s="7" t="n">
        <v>0</v>
      </c>
      <c r="K1229" s="9" t="n">
        <v>0</v>
      </c>
      <c r="L1229" s="10" t="n">
        <v>11.8</v>
      </c>
      <c r="M1229" s="10" t="n">
        <v>1.43</v>
      </c>
      <c r="N1229" t="inlineStr">
        <is>
          <t>1</t>
        </is>
      </c>
      <c r="O1229" t="inlineStr">
        <is>
          <t>16</t>
        </is>
      </c>
      <c r="P1229" t="inlineStr">
        <is>
          <t xml:space="preserve">244952  </t>
        </is>
      </c>
      <c r="Q1229" s="26" t="n">
        <v>11.81</v>
      </c>
      <c r="R1229" s="26">
        <f>Q1229*G1229</f>
        <v/>
      </c>
      <c r="S1229" s="26">
        <f>IFERROR(VLOOKUP(E1229*1,Tabla[#All],8,0),0)</f>
        <v/>
      </c>
      <c r="T1229" s="26">
        <f>S1229*G1229</f>
        <v/>
      </c>
      <c r="U1229" s="26">
        <f>R1229-T1229</f>
        <v/>
      </c>
      <c r="V1229" s="26">
        <f>U1229-L1229</f>
        <v/>
      </c>
    </row>
    <row r="1230">
      <c r="A1230" s="11" t="n">
        <v>46215</v>
      </c>
      <c r="B1230" s="1" t="n">
        <v>20058</v>
      </c>
      <c r="C1230" s="1" t="inlineStr">
        <is>
          <t>831</t>
        </is>
      </c>
      <c r="D1230" s="1" t="inlineStr">
        <is>
          <t xml:space="preserve">8917  </t>
        </is>
      </c>
      <c r="E1230" s="1" t="inlineStr">
        <is>
          <t xml:space="preserve">28194770       </t>
        </is>
      </c>
      <c r="F1230" s="5" t="inlineStr">
        <is>
          <t>AUTOS DE METAL 3 TEAMSTERZ EN BLISTER</t>
        </is>
      </c>
      <c r="G1230" t="n">
        <v>1</v>
      </c>
      <c r="H1230" s="7" t="n">
        <v>6.9</v>
      </c>
      <c r="I1230" s="7" t="n">
        <v>0</v>
      </c>
      <c r="J1230" s="7" t="n">
        <v>0</v>
      </c>
      <c r="K1230" s="9" t="n">
        <v>0</v>
      </c>
      <c r="L1230" s="10" t="n">
        <v>4.1</v>
      </c>
      <c r="M1230" s="10" t="n">
        <v>1.43</v>
      </c>
      <c r="N1230" t="inlineStr">
        <is>
          <t>1</t>
        </is>
      </c>
      <c r="O1230" t="inlineStr">
        <is>
          <t>16</t>
        </is>
      </c>
      <c r="P1230" t="inlineStr">
        <is>
          <t xml:space="preserve">0       </t>
        </is>
      </c>
      <c r="Q1230" s="26" t="n">
        <v>4.09</v>
      </c>
      <c r="R1230" s="26">
        <f>Q1230*G1230</f>
        <v/>
      </c>
      <c r="S1230" s="26">
        <f>IFERROR(VLOOKUP(E1230*1,Tabla[#All],8,0),0)</f>
        <v/>
      </c>
      <c r="T1230" s="26">
        <f>S1230*G1230</f>
        <v/>
      </c>
      <c r="U1230" s="26">
        <f>R1230-T1230</f>
        <v/>
      </c>
      <c r="V1230" s="26">
        <f>U1230-L1230</f>
        <v/>
      </c>
    </row>
    <row r="1231">
      <c r="A1231" s="11" t="n">
        <v>46215</v>
      </c>
      <c r="B1231" s="1" t="n">
        <v>20062</v>
      </c>
      <c r="C1231" s="1" t="inlineStr">
        <is>
          <t>038</t>
        </is>
      </c>
      <c r="D1231" s="1" t="inlineStr">
        <is>
          <t>173284</t>
        </is>
      </c>
      <c r="E1231" s="1" t="inlineStr">
        <is>
          <t xml:space="preserve">29854051       </t>
        </is>
      </c>
      <c r="F1231" s="5" t="inlineStr">
        <is>
          <t>TEAMSTERZ AUTO DE METAL PACK 10 AUTOS</t>
        </is>
      </c>
      <c r="G1231" t="n">
        <v>1</v>
      </c>
      <c r="H1231" s="7" t="n">
        <v>69</v>
      </c>
      <c r="I1231" s="7" t="n">
        <v>6.9</v>
      </c>
      <c r="J1231" s="7" t="n">
        <v>0</v>
      </c>
      <c r="K1231" s="9" t="n">
        <v>6.9</v>
      </c>
      <c r="L1231" s="10" t="n">
        <v>36.84</v>
      </c>
      <c r="M1231" s="10" t="n">
        <v>1.43</v>
      </c>
      <c r="N1231" t="inlineStr">
        <is>
          <t>1</t>
        </is>
      </c>
      <c r="O1231" t="inlineStr">
        <is>
          <t xml:space="preserve">3 </t>
        </is>
      </c>
      <c r="P1231" t="inlineStr">
        <is>
          <t xml:space="preserve">43458   </t>
        </is>
      </c>
      <c r="Q1231" s="26" t="n">
        <v>40.93</v>
      </c>
      <c r="R1231" s="26">
        <f>Q1231*G1231</f>
        <v/>
      </c>
      <c r="S1231" s="26">
        <f>IFERROR(VLOOKUP(E1231*1,Tabla[#All],8,0),0)</f>
        <v/>
      </c>
      <c r="T1231" s="26">
        <f>S1231*G1231</f>
        <v/>
      </c>
      <c r="U1231" s="26">
        <f>R1231-T1231</f>
        <v/>
      </c>
      <c r="V1231" s="26">
        <f>U1231-L1231</f>
        <v/>
      </c>
    </row>
    <row r="1232">
      <c r="A1232" s="11" t="n">
        <v>46215</v>
      </c>
      <c r="B1232" s="1" t="n">
        <v>20062</v>
      </c>
      <c r="C1232" s="1" t="inlineStr">
        <is>
          <t>830</t>
        </is>
      </c>
      <c r="D1232" s="1" t="inlineStr">
        <is>
          <t xml:space="preserve">5135  </t>
        </is>
      </c>
      <c r="E1232" s="1" t="inlineStr">
        <is>
          <t xml:space="preserve">28194767       </t>
        </is>
      </c>
      <c r="F1232" s="5" t="inlineStr">
        <is>
          <t>CAMIONES TEAMSTERZ DE EMERGENCIA</t>
        </is>
      </c>
      <c r="G1232" t="n">
        <v>1</v>
      </c>
      <c r="H1232" s="7" t="n">
        <v>17.9</v>
      </c>
      <c r="I1232" s="7" t="n">
        <v>0</v>
      </c>
      <c r="J1232" s="7" t="n">
        <v>0</v>
      </c>
      <c r="K1232" s="9" t="n">
        <v>0</v>
      </c>
      <c r="L1232" s="10" t="n">
        <v>10.62</v>
      </c>
      <c r="M1232" s="10" t="n">
        <v>1.43</v>
      </c>
      <c r="N1232" t="inlineStr">
        <is>
          <t>1</t>
        </is>
      </c>
      <c r="O1232" t="inlineStr">
        <is>
          <t>16</t>
        </is>
      </c>
      <c r="P1232" t="inlineStr">
        <is>
          <t xml:space="preserve">250430  </t>
        </is>
      </c>
      <c r="Q1232" s="26" t="n">
        <v>10.62</v>
      </c>
      <c r="R1232" s="26">
        <f>Q1232*G1232</f>
        <v/>
      </c>
      <c r="S1232" s="26">
        <f>IFERROR(VLOOKUP(E1232*1,Tabla[#All],8,0),0)</f>
        <v/>
      </c>
      <c r="T1232" s="26">
        <f>S1232*G1232</f>
        <v/>
      </c>
      <c r="U1232" s="26">
        <f>R1232-T1232</f>
        <v/>
      </c>
      <c r="V1232" s="26">
        <f>U1232-L1232</f>
        <v/>
      </c>
    </row>
    <row r="1233">
      <c r="A1233" s="11" t="n">
        <v>46215</v>
      </c>
      <c r="B1233" s="1" t="n">
        <v>20066</v>
      </c>
      <c r="C1233" s="1" t="inlineStr">
        <is>
          <t>057</t>
        </is>
      </c>
      <c r="D1233" s="1" t="inlineStr">
        <is>
          <t>493815</t>
        </is>
      </c>
      <c r="E1233" s="1" t="inlineStr">
        <is>
          <t xml:space="preserve">28194770       </t>
        </is>
      </c>
      <c r="F1233" s="5" t="inlineStr">
        <is>
          <t>AUTOS DE METAL 3 TEAMSTERZ EN BLISTER</t>
        </is>
      </c>
      <c r="G1233" t="n">
        <v>1</v>
      </c>
      <c r="H1233" s="7" t="n">
        <v>6.9</v>
      </c>
      <c r="I1233" s="7" t="n">
        <v>0</v>
      </c>
      <c r="J1233" s="7" t="n">
        <v>0</v>
      </c>
      <c r="K1233" s="9" t="n">
        <v>0</v>
      </c>
      <c r="L1233" s="10" t="n">
        <v>4.1</v>
      </c>
      <c r="M1233" s="10" t="n">
        <v>1.43</v>
      </c>
      <c r="N1233" t="inlineStr">
        <is>
          <t>1</t>
        </is>
      </c>
      <c r="O1233" t="inlineStr">
        <is>
          <t xml:space="preserve">2 </t>
        </is>
      </c>
      <c r="P1233" t="inlineStr">
        <is>
          <t xml:space="preserve">57030   </t>
        </is>
      </c>
      <c r="Q1233" s="26" t="n">
        <v>4.09</v>
      </c>
      <c r="R1233" s="26">
        <f>Q1233*G1233</f>
        <v/>
      </c>
      <c r="S1233" s="26">
        <f>IFERROR(VLOOKUP(E1233*1,Tabla[#All],8,0),0)</f>
        <v/>
      </c>
      <c r="T1233" s="26">
        <f>S1233*G1233</f>
        <v/>
      </c>
      <c r="U1233" s="26">
        <f>R1233-T1233</f>
        <v/>
      </c>
      <c r="V1233" s="26">
        <f>U1233-L1233</f>
        <v/>
      </c>
    </row>
    <row r="1234">
      <c r="A1234" s="11" t="n">
        <v>46215</v>
      </c>
      <c r="B1234" s="1" t="n">
        <v>20069</v>
      </c>
      <c r="C1234" s="1" t="inlineStr">
        <is>
          <t>024</t>
        </is>
      </c>
      <c r="D1234" s="1" t="inlineStr">
        <is>
          <t>104269</t>
        </is>
      </c>
      <c r="E1234" s="1" t="inlineStr">
        <is>
          <t xml:space="preserve">28194770       </t>
        </is>
      </c>
      <c r="F1234" s="5" t="inlineStr">
        <is>
          <t>AUTOS DE METAL 3 TEAMSTERZ EN BLISTER</t>
        </is>
      </c>
      <c r="G1234" t="n">
        <v>1</v>
      </c>
      <c r="H1234" s="7" t="n">
        <v>6.9</v>
      </c>
      <c r="I1234" s="7" t="n">
        <v>0</v>
      </c>
      <c r="J1234" s="7" t="n">
        <v>0</v>
      </c>
      <c r="K1234" s="9" t="n">
        <v>0</v>
      </c>
      <c r="L1234" s="10" t="n">
        <v>4.1</v>
      </c>
      <c r="M1234" s="10" t="n">
        <v>1.43</v>
      </c>
      <c r="N1234" t="inlineStr">
        <is>
          <t>1</t>
        </is>
      </c>
      <c r="O1234" t="inlineStr">
        <is>
          <t xml:space="preserve">2 </t>
        </is>
      </c>
      <c r="P1234" t="inlineStr">
        <is>
          <t xml:space="preserve">248423  </t>
        </is>
      </c>
      <c r="Q1234" s="26" t="n">
        <v>4.09</v>
      </c>
      <c r="R1234" s="26">
        <f>Q1234*G1234</f>
        <v/>
      </c>
      <c r="S1234" s="26">
        <f>IFERROR(VLOOKUP(E1234*1,Tabla[#All],8,0),0)</f>
        <v/>
      </c>
      <c r="T1234" s="26">
        <f>S1234*G1234</f>
        <v/>
      </c>
      <c r="U1234" s="26">
        <f>R1234-T1234</f>
        <v/>
      </c>
      <c r="V1234" s="26">
        <f>U1234-L1234</f>
        <v/>
      </c>
    </row>
    <row r="1235">
      <c r="A1235" s="11" t="n">
        <v>46215</v>
      </c>
      <c r="B1235" s="1" t="n">
        <v>20069</v>
      </c>
      <c r="C1235" s="1" t="inlineStr">
        <is>
          <t>024</t>
        </is>
      </c>
      <c r="D1235" s="1" t="inlineStr">
        <is>
          <t>104300</t>
        </is>
      </c>
      <c r="E1235" s="1" t="inlineStr">
        <is>
          <t xml:space="preserve">28194769       </t>
        </is>
      </c>
      <c r="F1235" s="5" t="inlineStr">
        <is>
          <t>AUTOS DE METAL 3 TEAMSTERZ PACK DE 2</t>
        </is>
      </c>
      <c r="G1235" t="n">
        <v>1</v>
      </c>
      <c r="H1235" s="7" t="n">
        <v>13.8</v>
      </c>
      <c r="I1235" s="7" t="n">
        <v>0</v>
      </c>
      <c r="J1235" s="7" t="n">
        <v>0</v>
      </c>
      <c r="K1235" s="9" t="n">
        <v>0</v>
      </c>
      <c r="L1235" s="10" t="n">
        <v>8.18</v>
      </c>
      <c r="M1235" s="10" t="n">
        <v>1.43</v>
      </c>
      <c r="N1235" t="inlineStr">
        <is>
          <t>1</t>
        </is>
      </c>
      <c r="O1235" t="inlineStr">
        <is>
          <t>16</t>
        </is>
      </c>
      <c r="P1235" t="inlineStr">
        <is>
          <t xml:space="preserve">249780  </t>
        </is>
      </c>
      <c r="Q1235" s="26" t="n">
        <v>8.19</v>
      </c>
      <c r="R1235" s="26">
        <f>Q1235*G1235</f>
        <v/>
      </c>
      <c r="S1235" s="26">
        <f>IFERROR(VLOOKUP(E1235*1,Tabla[#All],8,0),0)</f>
        <v/>
      </c>
      <c r="T1235" s="26">
        <f>S1235*G1235</f>
        <v/>
      </c>
      <c r="U1235" s="26">
        <f>R1235-T1235</f>
        <v/>
      </c>
      <c r="V1235" s="26">
        <f>U1235-L1235</f>
        <v/>
      </c>
    </row>
    <row r="1236">
      <c r="A1236" s="11" t="n">
        <v>46215</v>
      </c>
      <c r="B1236" s="1" t="n">
        <v>20069</v>
      </c>
      <c r="C1236" s="1" t="inlineStr">
        <is>
          <t>026</t>
        </is>
      </c>
      <c r="D1236" s="1" t="inlineStr">
        <is>
          <t>359178</t>
        </is>
      </c>
      <c r="E1236" s="1" t="inlineStr">
        <is>
          <t xml:space="preserve">28194769       </t>
        </is>
      </c>
      <c r="F1236" s="5" t="inlineStr">
        <is>
          <t>AUTOS DE METAL 3 TEAMSTERZ PACK DE 2</t>
        </is>
      </c>
      <c r="G1236" t="n">
        <v>1</v>
      </c>
      <c r="H1236" s="7" t="n">
        <v>13.8</v>
      </c>
      <c r="I1236" s="7" t="n">
        <v>0</v>
      </c>
      <c r="J1236" s="7" t="n">
        <v>0</v>
      </c>
      <c r="K1236" s="9" t="n">
        <v>0</v>
      </c>
      <c r="L1236" s="10" t="n">
        <v>8.18</v>
      </c>
      <c r="M1236" s="10" t="n">
        <v>1.43</v>
      </c>
      <c r="N1236" t="inlineStr">
        <is>
          <t>1</t>
        </is>
      </c>
      <c r="O1236" t="inlineStr">
        <is>
          <t xml:space="preserve">2 </t>
        </is>
      </c>
      <c r="P1236" t="inlineStr">
        <is>
          <t xml:space="preserve">247843  </t>
        </is>
      </c>
      <c r="Q1236" s="26" t="n">
        <v>8.19</v>
      </c>
      <c r="R1236" s="26">
        <f>Q1236*G1236</f>
        <v/>
      </c>
      <c r="S1236" s="26">
        <f>IFERROR(VLOOKUP(E1236*1,Tabla[#All],8,0),0)</f>
        <v/>
      </c>
      <c r="T1236" s="26">
        <f>S1236*G1236</f>
        <v/>
      </c>
      <c r="U1236" s="26">
        <f>R1236-T1236</f>
        <v/>
      </c>
      <c r="V1236" s="26">
        <f>U1236-L1236</f>
        <v/>
      </c>
    </row>
    <row r="1237">
      <c r="A1237" s="11" t="n">
        <v>46215</v>
      </c>
      <c r="B1237" s="1" t="n">
        <v>20072</v>
      </c>
      <c r="C1237" s="1" t="inlineStr">
        <is>
          <t>030</t>
        </is>
      </c>
      <c r="D1237" s="1" t="inlineStr">
        <is>
          <t xml:space="preserve">76639 </t>
        </is>
      </c>
      <c r="E1237" s="1" t="inlineStr">
        <is>
          <t xml:space="preserve">31959968       </t>
        </is>
      </c>
      <c r="F1237" s="5" t="inlineStr">
        <is>
          <t>PINYPON FIGURAS BASICAS SERIE 13 DISP. 56</t>
        </is>
      </c>
      <c r="G1237" t="n">
        <v>1</v>
      </c>
      <c r="H1237" s="7" t="n">
        <v>17.9</v>
      </c>
      <c r="I1237" s="7" t="n">
        <v>0</v>
      </c>
      <c r="J1237" s="7" t="n">
        <v>0</v>
      </c>
      <c r="K1237" s="9" t="n">
        <v>0</v>
      </c>
      <c r="L1237" s="10" t="n">
        <v>10.62</v>
      </c>
      <c r="M1237" s="10" t="n">
        <v>1.43</v>
      </c>
      <c r="N1237" t="inlineStr">
        <is>
          <t>1</t>
        </is>
      </c>
      <c r="O1237" t="inlineStr">
        <is>
          <t>16</t>
        </is>
      </c>
      <c r="P1237" t="inlineStr">
        <is>
          <t xml:space="preserve">82474   </t>
        </is>
      </c>
      <c r="Q1237" s="26" t="n">
        <v>10.62</v>
      </c>
      <c r="R1237" s="26">
        <f>Q1237*G1237</f>
        <v/>
      </c>
      <c r="S1237" s="26">
        <f>IFERROR(VLOOKUP(E1237*1,Tabla[#All],8,0),0)</f>
        <v/>
      </c>
      <c r="T1237" s="26">
        <f>S1237*G1237</f>
        <v/>
      </c>
      <c r="U1237" s="26">
        <f>R1237-T1237</f>
        <v/>
      </c>
      <c r="V1237" s="26">
        <f>U1237-L1237</f>
        <v/>
      </c>
    </row>
    <row r="1238">
      <c r="A1238" s="11" t="n">
        <v>46215</v>
      </c>
      <c r="B1238" s="1" t="n">
        <v>20073</v>
      </c>
      <c r="C1238" s="1" t="inlineStr">
        <is>
          <t>016</t>
        </is>
      </c>
      <c r="D1238" s="1" t="inlineStr">
        <is>
          <t xml:space="preserve">14403 </t>
        </is>
      </c>
      <c r="E1238" s="1" t="inlineStr">
        <is>
          <t xml:space="preserve">31675353       </t>
        </is>
      </c>
      <c r="F1238" s="5" t="inlineStr">
        <is>
          <t>NENUCO CON BIBERON Y SONAJERO</t>
        </is>
      </c>
      <c r="G1238" t="n">
        <v>1</v>
      </c>
      <c r="H1238" s="7" t="n">
        <v>79.90000000000001</v>
      </c>
      <c r="I1238" s="7" t="n">
        <v>0</v>
      </c>
      <c r="J1238" s="7" t="n">
        <v>0</v>
      </c>
      <c r="K1238" s="9" t="n">
        <v>0</v>
      </c>
      <c r="L1238" s="10" t="n">
        <v>47.4</v>
      </c>
      <c r="M1238" s="10" t="n">
        <v>1.43</v>
      </c>
      <c r="N1238" t="inlineStr">
        <is>
          <t>1</t>
        </is>
      </c>
      <c r="O1238" t="inlineStr">
        <is>
          <t>16</t>
        </is>
      </c>
      <c r="P1238" t="inlineStr">
        <is>
          <t xml:space="preserve">101947  </t>
        </is>
      </c>
      <c r="Q1238" s="26" t="n">
        <v>47.4</v>
      </c>
      <c r="R1238" s="26">
        <f>Q1238*G1238</f>
        <v/>
      </c>
      <c r="S1238" s="26">
        <f>IFERROR(VLOOKUP(E1238*1,Tabla[#All],8,0),0)</f>
        <v/>
      </c>
      <c r="T1238" s="26">
        <f>S1238*G1238</f>
        <v/>
      </c>
      <c r="U1238" s="26">
        <f>R1238-T1238</f>
        <v/>
      </c>
      <c r="V1238" s="26">
        <f>U1238-L1238</f>
        <v/>
      </c>
    </row>
    <row r="1239">
      <c r="A1239" s="11" t="n">
        <v>46215</v>
      </c>
      <c r="B1239" s="1" t="n">
        <v>20073</v>
      </c>
      <c r="C1239" s="1" t="inlineStr">
        <is>
          <t>016</t>
        </is>
      </c>
      <c r="D1239" s="1" t="inlineStr">
        <is>
          <t xml:space="preserve">14438 </t>
        </is>
      </c>
      <c r="E1239" s="1" t="inlineStr">
        <is>
          <t xml:space="preserve">28194784       </t>
        </is>
      </c>
      <c r="F1239" s="5" t="inlineStr">
        <is>
          <t>SET DE ACROBACIAS INFINITY NADO CON TROMPO</t>
        </is>
      </c>
      <c r="G1239" t="n">
        <v>1</v>
      </c>
      <c r="H1239" s="7" t="n">
        <v>179</v>
      </c>
      <c r="I1239" s="7" t="n">
        <v>0</v>
      </c>
      <c r="J1239" s="7" t="n">
        <v>0</v>
      </c>
      <c r="K1239" s="9" t="n">
        <v>0</v>
      </c>
      <c r="L1239" s="10" t="n">
        <v>106.18</v>
      </c>
      <c r="M1239" s="10" t="n">
        <v>1.43</v>
      </c>
      <c r="N1239" t="inlineStr">
        <is>
          <t>1</t>
        </is>
      </c>
      <c r="O1239" t="inlineStr">
        <is>
          <t>16</t>
        </is>
      </c>
      <c r="P1239" t="inlineStr">
        <is>
          <t xml:space="preserve">101947  </t>
        </is>
      </c>
      <c r="Q1239" s="26" t="n">
        <v>106.19</v>
      </c>
      <c r="R1239" s="26">
        <f>Q1239*G1239</f>
        <v/>
      </c>
      <c r="S1239" s="26">
        <f>IFERROR(VLOOKUP(E1239*1,Tabla[#All],8,0),0)</f>
        <v/>
      </c>
      <c r="T1239" s="26">
        <f>S1239*G1239</f>
        <v/>
      </c>
      <c r="U1239" s="26">
        <f>R1239-T1239</f>
        <v/>
      </c>
      <c r="V1239" s="26">
        <f>U1239-L1239</f>
        <v/>
      </c>
    </row>
    <row r="1240">
      <c r="A1240" s="11" t="n">
        <v>46215</v>
      </c>
      <c r="B1240" s="1" t="n">
        <v>20073</v>
      </c>
      <c r="C1240" s="1" t="inlineStr">
        <is>
          <t>016</t>
        </is>
      </c>
      <c r="D1240" s="1" t="inlineStr">
        <is>
          <t xml:space="preserve">14448 </t>
        </is>
      </c>
      <c r="E1240" s="1" t="inlineStr">
        <is>
          <t xml:space="preserve">28194769       </t>
        </is>
      </c>
      <c r="F1240" s="5" t="inlineStr">
        <is>
          <t>AUTOS DE METAL 3 TEAMSTERZ PACK DE 2</t>
        </is>
      </c>
      <c r="G1240" t="n">
        <v>1</v>
      </c>
      <c r="H1240" s="7" t="n">
        <v>13.8</v>
      </c>
      <c r="I1240" s="7" t="n">
        <v>1.38</v>
      </c>
      <c r="J1240" s="7" t="n">
        <v>0</v>
      </c>
      <c r="K1240" s="9" t="n">
        <v>1.38</v>
      </c>
      <c r="L1240" s="10" t="n">
        <v>7.37</v>
      </c>
      <c r="M1240" s="10" t="n">
        <v>1.43</v>
      </c>
      <c r="N1240" t="inlineStr">
        <is>
          <t>1</t>
        </is>
      </c>
      <c r="O1240" t="inlineStr">
        <is>
          <t>16</t>
        </is>
      </c>
      <c r="P1240" t="inlineStr">
        <is>
          <t xml:space="preserve">91372   </t>
        </is>
      </c>
      <c r="Q1240" s="26" t="n">
        <v>8.19</v>
      </c>
      <c r="R1240" s="26">
        <f>Q1240*G1240</f>
        <v/>
      </c>
      <c r="S1240" s="26">
        <f>IFERROR(VLOOKUP(E1240*1,Tabla[#All],8,0),0)</f>
        <v/>
      </c>
      <c r="T1240" s="26">
        <f>S1240*G1240</f>
        <v/>
      </c>
      <c r="U1240" s="26">
        <f>R1240-T1240</f>
        <v/>
      </c>
      <c r="V1240" s="26">
        <f>U1240-L1240</f>
        <v/>
      </c>
    </row>
    <row r="1241">
      <c r="A1241" s="11" t="n">
        <v>46215</v>
      </c>
      <c r="B1241" s="1" t="n">
        <v>20073</v>
      </c>
      <c r="C1241" s="1" t="inlineStr">
        <is>
          <t>023</t>
        </is>
      </c>
      <c r="D1241" s="1" t="inlineStr">
        <is>
          <t xml:space="preserve">95988 </t>
        </is>
      </c>
      <c r="E1241" s="1" t="inlineStr">
        <is>
          <t xml:space="preserve">28194769       </t>
        </is>
      </c>
      <c r="F1241" s="5" t="inlineStr">
        <is>
          <t>AUTOS DE METAL 3 TEAMSTERZ PACK DE 2</t>
        </is>
      </c>
      <c r="G1241" t="n">
        <v>1</v>
      </c>
      <c r="H1241" s="7" t="n">
        <v>13.8</v>
      </c>
      <c r="I1241" s="7" t="n">
        <v>0</v>
      </c>
      <c r="J1241" s="7" t="n">
        <v>0</v>
      </c>
      <c r="K1241" s="9" t="n">
        <v>0</v>
      </c>
      <c r="L1241" s="10" t="n">
        <v>8.18</v>
      </c>
      <c r="M1241" s="10" t="n">
        <v>1.43</v>
      </c>
      <c r="N1241" t="inlineStr">
        <is>
          <t>1</t>
        </is>
      </c>
      <c r="O1241" t="inlineStr">
        <is>
          <t>16</t>
        </is>
      </c>
      <c r="P1241" t="inlineStr">
        <is>
          <t xml:space="preserve">50467   </t>
        </is>
      </c>
      <c r="Q1241" s="26" t="n">
        <v>8.19</v>
      </c>
      <c r="R1241" s="26">
        <f>Q1241*G1241</f>
        <v/>
      </c>
      <c r="S1241" s="26">
        <f>IFERROR(VLOOKUP(E1241*1,Tabla[#All],8,0),0)</f>
        <v/>
      </c>
      <c r="T1241" s="26">
        <f>S1241*G1241</f>
        <v/>
      </c>
      <c r="U1241" s="26">
        <f>R1241-T1241</f>
        <v/>
      </c>
      <c r="V1241" s="26">
        <f>U1241-L1241</f>
        <v/>
      </c>
    </row>
    <row r="1242">
      <c r="A1242" s="11" t="n">
        <v>46215</v>
      </c>
      <c r="B1242" s="1" t="n">
        <v>20073</v>
      </c>
      <c r="C1242" s="1" t="inlineStr">
        <is>
          <t>033</t>
        </is>
      </c>
      <c r="D1242" s="1" t="inlineStr">
        <is>
          <t>313778</t>
        </is>
      </c>
      <c r="E1242" s="1" t="inlineStr">
        <is>
          <t xml:space="preserve">28194770       </t>
        </is>
      </c>
      <c r="F1242" s="5" t="inlineStr">
        <is>
          <t>AUTOS DE METAL 3 TEAMSTERZ EN BLISTER</t>
        </is>
      </c>
      <c r="G1242" t="n">
        <v>1</v>
      </c>
      <c r="H1242" s="7" t="n">
        <v>6.9</v>
      </c>
      <c r="I1242" s="7" t="n">
        <v>0</v>
      </c>
      <c r="J1242" s="7" t="n">
        <v>0</v>
      </c>
      <c r="K1242" s="9" t="n">
        <v>0</v>
      </c>
      <c r="L1242" s="10" t="n">
        <v>4.1</v>
      </c>
      <c r="M1242" s="10" t="n">
        <v>1.43</v>
      </c>
      <c r="N1242" t="inlineStr">
        <is>
          <t>1</t>
        </is>
      </c>
      <c r="O1242" t="inlineStr">
        <is>
          <t>16</t>
        </is>
      </c>
      <c r="P1242" t="inlineStr">
        <is>
          <t xml:space="preserve">61458   </t>
        </is>
      </c>
      <c r="Q1242" s="26" t="n">
        <v>4.09</v>
      </c>
      <c r="R1242" s="26">
        <f>Q1242*G1242</f>
        <v/>
      </c>
      <c r="S1242" s="26">
        <f>IFERROR(VLOOKUP(E1242*1,Tabla[#All],8,0),0)</f>
        <v/>
      </c>
      <c r="T1242" s="26">
        <f>S1242*G1242</f>
        <v/>
      </c>
      <c r="U1242" s="26">
        <f>R1242-T1242</f>
        <v/>
      </c>
      <c r="V1242" s="26">
        <f>U1242-L1242</f>
        <v/>
      </c>
    </row>
    <row r="1243">
      <c r="A1243" s="11" t="n">
        <v>46215</v>
      </c>
      <c r="B1243" s="1" t="n">
        <v>20073</v>
      </c>
      <c r="C1243" s="1" t="inlineStr">
        <is>
          <t>037</t>
        </is>
      </c>
      <c r="D1243" s="1" t="inlineStr">
        <is>
          <t>295425</t>
        </is>
      </c>
      <c r="E1243" s="1" t="inlineStr">
        <is>
          <t xml:space="preserve">28194769       </t>
        </is>
      </c>
      <c r="F1243" s="5" t="inlineStr">
        <is>
          <t>AUTOS DE METAL 3 TEAMSTERZ PACK DE 2</t>
        </is>
      </c>
      <c r="G1243" t="n">
        <v>1</v>
      </c>
      <c r="H1243" s="7" t="n">
        <v>13.8</v>
      </c>
      <c r="I1243" s="7" t="n">
        <v>0</v>
      </c>
      <c r="J1243" s="7" t="n">
        <v>0</v>
      </c>
      <c r="K1243" s="9" t="n">
        <v>0</v>
      </c>
      <c r="L1243" s="10" t="n">
        <v>8.18</v>
      </c>
      <c r="M1243" s="10" t="n">
        <v>1.43</v>
      </c>
      <c r="N1243" t="inlineStr">
        <is>
          <t>1</t>
        </is>
      </c>
      <c r="O1243" t="inlineStr">
        <is>
          <t xml:space="preserve">2 </t>
        </is>
      </c>
      <c r="P1243" t="inlineStr">
        <is>
          <t xml:space="preserve">13762   </t>
        </is>
      </c>
      <c r="Q1243" s="26" t="n">
        <v>8.19</v>
      </c>
      <c r="R1243" s="26">
        <f>Q1243*G1243</f>
        <v/>
      </c>
      <c r="S1243" s="26">
        <f>IFERROR(VLOOKUP(E1243*1,Tabla[#All],8,0),0)</f>
        <v/>
      </c>
      <c r="T1243" s="26">
        <f>S1243*G1243</f>
        <v/>
      </c>
      <c r="U1243" s="26">
        <f>R1243-T1243</f>
        <v/>
      </c>
      <c r="V1243" s="26">
        <f>U1243-L1243</f>
        <v/>
      </c>
    </row>
    <row r="1244">
      <c r="A1244" s="11" t="n">
        <v>46215</v>
      </c>
      <c r="B1244" s="1" t="n">
        <v>20073</v>
      </c>
      <c r="C1244" s="1" t="inlineStr">
        <is>
          <t>045</t>
        </is>
      </c>
      <c r="D1244" s="1" t="inlineStr">
        <is>
          <t>149540</t>
        </is>
      </c>
      <c r="E1244" s="1" t="inlineStr">
        <is>
          <t xml:space="preserve">28194769       </t>
        </is>
      </c>
      <c r="F1244" s="5" t="inlineStr">
        <is>
          <t>AUTOS DE METAL 3 TEAMSTERZ PACK DE 2</t>
        </is>
      </c>
      <c r="G1244" t="n">
        <v>1</v>
      </c>
      <c r="H1244" s="7" t="n">
        <v>13.8</v>
      </c>
      <c r="I1244" s="7" t="n">
        <v>1.38</v>
      </c>
      <c r="J1244" s="7" t="n">
        <v>0</v>
      </c>
      <c r="K1244" s="9" t="n">
        <v>1.38</v>
      </c>
      <c r="L1244" s="10" t="n">
        <v>7.37</v>
      </c>
      <c r="M1244" s="10" t="n">
        <v>1.43</v>
      </c>
      <c r="N1244" t="inlineStr">
        <is>
          <t>1</t>
        </is>
      </c>
      <c r="O1244" t="inlineStr">
        <is>
          <t xml:space="preserve">3 </t>
        </is>
      </c>
      <c r="P1244" t="inlineStr">
        <is>
          <t xml:space="preserve">57916   </t>
        </is>
      </c>
      <c r="Q1244" s="26" t="n">
        <v>8.19</v>
      </c>
      <c r="R1244" s="26">
        <f>Q1244*G1244</f>
        <v/>
      </c>
      <c r="S1244" s="26">
        <f>IFERROR(VLOOKUP(E1244*1,Tabla[#All],8,0),0)</f>
        <v/>
      </c>
      <c r="T1244" s="26">
        <f>S1244*G1244</f>
        <v/>
      </c>
      <c r="U1244" s="26">
        <f>R1244-T1244</f>
        <v/>
      </c>
      <c r="V1244" s="26">
        <f>U1244-L1244</f>
        <v/>
      </c>
    </row>
    <row r="1245">
      <c r="A1245" s="11" t="n">
        <v>46215</v>
      </c>
      <c r="B1245" s="1" t="n">
        <v>20073</v>
      </c>
      <c r="C1245" s="1" t="inlineStr">
        <is>
          <t>804</t>
        </is>
      </c>
      <c r="D1245" s="1" t="inlineStr">
        <is>
          <t xml:space="preserve">36    </t>
        </is>
      </c>
      <c r="E1245" s="1" t="inlineStr">
        <is>
          <t xml:space="preserve">28194770       </t>
        </is>
      </c>
      <c r="F1245" s="5" t="inlineStr">
        <is>
          <t>AUTOS DE METAL 3 TEAMSTERZ EN BLISTER</t>
        </is>
      </c>
      <c r="G1245" t="n">
        <v>1</v>
      </c>
      <c r="H1245" s="7" t="n">
        <v>6.9</v>
      </c>
      <c r="I1245" s="7" t="n">
        <v>0</v>
      </c>
      <c r="J1245" s="7" t="n">
        <v>0</v>
      </c>
      <c r="K1245" s="9" t="n">
        <v>0</v>
      </c>
      <c r="L1245" s="10" t="n">
        <v>4.1</v>
      </c>
      <c r="M1245" s="10" t="n">
        <v>1.43</v>
      </c>
      <c r="N1245" t="inlineStr">
        <is>
          <t>1</t>
        </is>
      </c>
      <c r="O1245" t="inlineStr">
        <is>
          <t>16</t>
        </is>
      </c>
      <c r="P1245" t="inlineStr">
        <is>
          <t xml:space="preserve">0       </t>
        </is>
      </c>
      <c r="Q1245" s="26" t="n">
        <v>4.09</v>
      </c>
      <c r="R1245" s="26">
        <f>Q1245*G1245</f>
        <v/>
      </c>
      <c r="S1245" s="26">
        <f>IFERROR(VLOOKUP(E1245*1,Tabla[#All],8,0),0)</f>
        <v/>
      </c>
      <c r="T1245" s="26">
        <f>S1245*G1245</f>
        <v/>
      </c>
      <c r="U1245" s="26">
        <f>R1245-T1245</f>
        <v/>
      </c>
      <c r="V1245" s="26">
        <f>U1245-L1245</f>
        <v/>
      </c>
    </row>
    <row r="1246">
      <c r="A1246" s="11" t="n">
        <v>46215</v>
      </c>
      <c r="B1246" s="1" t="n">
        <v>20074</v>
      </c>
      <c r="C1246" s="1" t="inlineStr">
        <is>
          <t>015</t>
        </is>
      </c>
      <c r="D1246" s="1" t="inlineStr">
        <is>
          <t>227875</t>
        </is>
      </c>
      <c r="E1246" s="1" t="inlineStr">
        <is>
          <t xml:space="preserve">32457099       </t>
        </is>
      </c>
      <c r="F1246" s="5" t="inlineStr">
        <is>
          <t>TMZ BEAST MACHINES MONSTER JAWS A FRICCION BLISTER</t>
        </is>
      </c>
      <c r="G1246" t="n">
        <v>1</v>
      </c>
      <c r="H1246" s="7" t="n">
        <v>19.9</v>
      </c>
      <c r="I1246" s="7" t="n">
        <v>0</v>
      </c>
      <c r="J1246" s="7" t="n">
        <v>0</v>
      </c>
      <c r="K1246" s="9" t="n">
        <v>0</v>
      </c>
      <c r="L1246" s="10" t="n">
        <v>11.8</v>
      </c>
      <c r="M1246" s="10" t="n">
        <v>1.43</v>
      </c>
      <c r="N1246" t="inlineStr">
        <is>
          <t>1</t>
        </is>
      </c>
      <c r="O1246" t="inlineStr">
        <is>
          <t>16</t>
        </is>
      </c>
      <c r="P1246" t="inlineStr">
        <is>
          <t xml:space="preserve">70025   </t>
        </is>
      </c>
      <c r="Q1246" s="26" t="n">
        <v>11.81</v>
      </c>
      <c r="R1246" s="26">
        <f>Q1246*G1246</f>
        <v/>
      </c>
      <c r="S1246" s="26">
        <f>IFERROR(VLOOKUP(E1246*1,Tabla[#All],8,0),0)</f>
        <v/>
      </c>
      <c r="T1246" s="26">
        <f>S1246*G1246</f>
        <v/>
      </c>
      <c r="U1246" s="26">
        <f>R1246-T1246</f>
        <v/>
      </c>
      <c r="V1246" s="26">
        <f>U1246-L1246</f>
        <v/>
      </c>
    </row>
    <row r="1247">
      <c r="A1247" s="11" t="n">
        <v>46215</v>
      </c>
      <c r="B1247" s="1" t="n">
        <v>20074</v>
      </c>
      <c r="C1247" s="1" t="inlineStr">
        <is>
          <t>048</t>
        </is>
      </c>
      <c r="D1247" s="1" t="inlineStr">
        <is>
          <t>144979</t>
        </is>
      </c>
      <c r="E1247" s="1" t="inlineStr">
        <is>
          <t xml:space="preserve">28194770       </t>
        </is>
      </c>
      <c r="F1247" s="5" t="inlineStr">
        <is>
          <t>AUTOS DE METAL 3 TEAMSTERZ EN BLISTER</t>
        </is>
      </c>
      <c r="G1247" t="n">
        <v>1</v>
      </c>
      <c r="H1247" s="7" t="n">
        <v>6.9</v>
      </c>
      <c r="I1247" s="7" t="n">
        <v>0</v>
      </c>
      <c r="J1247" s="7" t="n">
        <v>0</v>
      </c>
      <c r="K1247" s="9" t="n">
        <v>0</v>
      </c>
      <c r="L1247" s="10" t="n">
        <v>4.1</v>
      </c>
      <c r="M1247" s="10" t="n">
        <v>1.43</v>
      </c>
      <c r="N1247" t="inlineStr">
        <is>
          <t>1</t>
        </is>
      </c>
      <c r="O1247" t="inlineStr">
        <is>
          <t xml:space="preserve">6 </t>
        </is>
      </c>
      <c r="P1247" t="inlineStr">
        <is>
          <t xml:space="preserve">251008  </t>
        </is>
      </c>
      <c r="Q1247" s="26" t="n">
        <v>4.09</v>
      </c>
      <c r="R1247" s="26">
        <f>Q1247*G1247</f>
        <v/>
      </c>
      <c r="S1247" s="26">
        <f>IFERROR(VLOOKUP(E1247*1,Tabla[#All],8,0),0)</f>
        <v/>
      </c>
      <c r="T1247" s="26">
        <f>S1247*G1247</f>
        <v/>
      </c>
      <c r="U1247" s="26">
        <f>R1247-T1247</f>
        <v/>
      </c>
      <c r="V1247" s="26">
        <f>U1247-L1247</f>
        <v/>
      </c>
    </row>
    <row r="1248">
      <c r="A1248" s="11" t="n">
        <v>46215</v>
      </c>
      <c r="B1248" s="1" t="n">
        <v>20077</v>
      </c>
      <c r="C1248" s="1" t="inlineStr">
        <is>
          <t>029</t>
        </is>
      </c>
      <c r="D1248" s="1" t="inlineStr">
        <is>
          <t>156022</t>
        </is>
      </c>
      <c r="E1248" s="1" t="inlineStr">
        <is>
          <t xml:space="preserve">28194770       </t>
        </is>
      </c>
      <c r="F1248" s="5" t="inlineStr">
        <is>
          <t>AUTOS DE METAL 3 TEAMSTERZ EN BLISTER</t>
        </is>
      </c>
      <c r="G1248" t="n">
        <v>1</v>
      </c>
      <c r="H1248" s="7" t="n">
        <v>6.9</v>
      </c>
      <c r="I1248" s="7" t="n">
        <v>0</v>
      </c>
      <c r="J1248" s="7" t="n">
        <v>0</v>
      </c>
      <c r="K1248" s="9" t="n">
        <v>0</v>
      </c>
      <c r="L1248" s="10" t="n">
        <v>4.1</v>
      </c>
      <c r="M1248" s="10" t="n">
        <v>1.43</v>
      </c>
      <c r="N1248" t="inlineStr">
        <is>
          <t>1</t>
        </is>
      </c>
      <c r="O1248" t="inlineStr">
        <is>
          <t xml:space="preserve">2 </t>
        </is>
      </c>
      <c r="P1248" t="inlineStr">
        <is>
          <t xml:space="preserve">43639   </t>
        </is>
      </c>
      <c r="Q1248" s="26" t="n">
        <v>4.09</v>
      </c>
      <c r="R1248" s="26">
        <f>Q1248*G1248</f>
        <v/>
      </c>
      <c r="S1248" s="26">
        <f>IFERROR(VLOOKUP(E1248*1,Tabla[#All],8,0),0)</f>
        <v/>
      </c>
      <c r="T1248" s="26">
        <f>S1248*G1248</f>
        <v/>
      </c>
      <c r="U1248" s="26">
        <f>R1248-T1248</f>
        <v/>
      </c>
      <c r="V1248" s="26">
        <f>U1248-L1248</f>
        <v/>
      </c>
    </row>
    <row r="1249">
      <c r="A1249" s="11" t="n">
        <v>46215</v>
      </c>
      <c r="B1249" s="1" t="n">
        <v>20077</v>
      </c>
      <c r="C1249" s="1" t="inlineStr">
        <is>
          <t>029</t>
        </is>
      </c>
      <c r="D1249" s="1" t="inlineStr">
        <is>
          <t>156022</t>
        </is>
      </c>
      <c r="E1249" s="1" t="inlineStr">
        <is>
          <t xml:space="preserve">28194770       </t>
        </is>
      </c>
      <c r="F1249" s="5" t="inlineStr">
        <is>
          <t>AUTOS DE METAL 3 TEAMSTERZ EN BLISTER</t>
        </is>
      </c>
      <c r="G1249" t="n">
        <v>1</v>
      </c>
      <c r="H1249" s="7" t="n">
        <v>6.9</v>
      </c>
      <c r="I1249" s="7" t="n">
        <v>0</v>
      </c>
      <c r="J1249" s="7" t="n">
        <v>0</v>
      </c>
      <c r="K1249" s="9" t="n">
        <v>0</v>
      </c>
      <c r="L1249" s="10" t="n">
        <v>4.1</v>
      </c>
      <c r="M1249" s="10" t="n">
        <v>1.43</v>
      </c>
      <c r="N1249" t="inlineStr">
        <is>
          <t>1</t>
        </is>
      </c>
      <c r="O1249" t="inlineStr">
        <is>
          <t xml:space="preserve">2 </t>
        </is>
      </c>
      <c r="P1249" t="inlineStr">
        <is>
          <t xml:space="preserve">43639   </t>
        </is>
      </c>
      <c r="Q1249" s="26" t="n">
        <v>4.09</v>
      </c>
      <c r="R1249" s="26">
        <f>Q1249*G1249</f>
        <v/>
      </c>
      <c r="S1249" s="26">
        <f>IFERROR(VLOOKUP(E1249*1,Tabla[#All],8,0),0)</f>
        <v/>
      </c>
      <c r="T1249" s="26">
        <f>S1249*G1249</f>
        <v/>
      </c>
      <c r="U1249" s="26">
        <f>R1249-T1249</f>
        <v/>
      </c>
      <c r="V1249" s="26">
        <f>U1249-L1249</f>
        <v/>
      </c>
    </row>
    <row r="1250">
      <c r="A1250" s="11" t="n">
        <v>46215</v>
      </c>
      <c r="B1250" s="1" t="n">
        <v>20077</v>
      </c>
      <c r="C1250" s="1" t="inlineStr">
        <is>
          <t>029</t>
        </is>
      </c>
      <c r="D1250" s="1" t="inlineStr">
        <is>
          <t>156086</t>
        </is>
      </c>
      <c r="E1250" s="1" t="inlineStr">
        <is>
          <t xml:space="preserve">30141766       </t>
        </is>
      </c>
      <c r="F1250" s="5" t="inlineStr">
        <is>
          <t>TMZ BEAST MACHINES AUTOS DE METAL BLISTER X 1</t>
        </is>
      </c>
      <c r="G1250" t="n">
        <v>1</v>
      </c>
      <c r="H1250" s="7" t="n">
        <v>7.9</v>
      </c>
      <c r="I1250" s="7" t="n">
        <v>0</v>
      </c>
      <c r="J1250" s="7" t="n">
        <v>0</v>
      </c>
      <c r="K1250" s="9" t="n">
        <v>0</v>
      </c>
      <c r="L1250" s="10" t="n">
        <v>4.68</v>
      </c>
      <c r="M1250" s="10" t="n">
        <v>1.43</v>
      </c>
      <c r="N1250" t="inlineStr">
        <is>
          <t>1</t>
        </is>
      </c>
      <c r="O1250" t="inlineStr">
        <is>
          <t xml:space="preserve">2 </t>
        </is>
      </c>
      <c r="P1250" t="inlineStr">
        <is>
          <t xml:space="preserve">43639   </t>
        </is>
      </c>
      <c r="Q1250" s="26" t="n">
        <v>4.69</v>
      </c>
      <c r="R1250" s="26">
        <f>Q1250*G1250</f>
        <v/>
      </c>
      <c r="S1250" s="26">
        <f>IFERROR(VLOOKUP(E1250*1,Tabla[#All],8,0),0)</f>
        <v/>
      </c>
      <c r="T1250" s="26">
        <f>S1250*G1250</f>
        <v/>
      </c>
      <c r="U1250" s="26">
        <f>R1250-T1250</f>
        <v/>
      </c>
      <c r="V1250" s="26">
        <f>U1250-L1250</f>
        <v/>
      </c>
    </row>
    <row r="1251">
      <c r="A1251" s="11" t="n">
        <v>46215</v>
      </c>
      <c r="B1251" s="1" t="n">
        <v>20077</v>
      </c>
      <c r="C1251" s="1" t="inlineStr">
        <is>
          <t>029</t>
        </is>
      </c>
      <c r="D1251" s="1" t="inlineStr">
        <is>
          <t>156088</t>
        </is>
      </c>
      <c r="E1251" s="1" t="inlineStr">
        <is>
          <t xml:space="preserve">28194770       </t>
        </is>
      </c>
      <c r="F1251" s="5" t="inlineStr">
        <is>
          <t>AUTOS DE METAL 3 TEAMSTERZ EN BLISTER</t>
        </is>
      </c>
      <c r="G1251" t="n">
        <v>1</v>
      </c>
      <c r="H1251" s="7" t="n">
        <v>6.9</v>
      </c>
      <c r="I1251" s="7" t="n">
        <v>0</v>
      </c>
      <c r="J1251" s="7" t="n">
        <v>0</v>
      </c>
      <c r="K1251" s="9" t="n">
        <v>0</v>
      </c>
      <c r="L1251" s="10" t="n">
        <v>4.1</v>
      </c>
      <c r="M1251" s="10" t="n">
        <v>1.43</v>
      </c>
      <c r="N1251" t="inlineStr">
        <is>
          <t>1</t>
        </is>
      </c>
      <c r="O1251" t="inlineStr">
        <is>
          <t xml:space="preserve">2 </t>
        </is>
      </c>
      <c r="P1251" t="inlineStr">
        <is>
          <t xml:space="preserve">43639   </t>
        </is>
      </c>
      <c r="Q1251" s="26" t="n">
        <v>4.09</v>
      </c>
      <c r="R1251" s="26">
        <f>Q1251*G1251</f>
        <v/>
      </c>
      <c r="S1251" s="26">
        <f>IFERROR(VLOOKUP(E1251*1,Tabla[#All],8,0),0)</f>
        <v/>
      </c>
      <c r="T1251" s="26">
        <f>S1251*G1251</f>
        <v/>
      </c>
      <c r="U1251" s="26">
        <f>R1251-T1251</f>
        <v/>
      </c>
      <c r="V1251" s="26">
        <f>U1251-L1251</f>
        <v/>
      </c>
    </row>
    <row r="1252">
      <c r="A1252" s="11" t="n">
        <v>46215</v>
      </c>
      <c r="B1252" s="1" t="n">
        <v>20077</v>
      </c>
      <c r="C1252" s="1" t="inlineStr">
        <is>
          <t>029</t>
        </is>
      </c>
      <c r="D1252" s="1" t="inlineStr">
        <is>
          <t>156088</t>
        </is>
      </c>
      <c r="E1252" s="1" t="inlineStr">
        <is>
          <t xml:space="preserve">30141766       </t>
        </is>
      </c>
      <c r="F1252" s="5" t="inlineStr">
        <is>
          <t>TMZ BEAST MACHINES AUTOS DE METAL BLISTER X 1</t>
        </is>
      </c>
      <c r="G1252" t="n">
        <v>1</v>
      </c>
      <c r="H1252" s="7" t="n">
        <v>7.9</v>
      </c>
      <c r="I1252" s="7" t="n">
        <v>0</v>
      </c>
      <c r="J1252" s="7" t="n">
        <v>0</v>
      </c>
      <c r="K1252" s="9" t="n">
        <v>0</v>
      </c>
      <c r="L1252" s="10" t="n">
        <v>4.68</v>
      </c>
      <c r="M1252" s="10" t="n">
        <v>1.43</v>
      </c>
      <c r="N1252" t="inlineStr">
        <is>
          <t>1</t>
        </is>
      </c>
      <c r="O1252" t="inlineStr">
        <is>
          <t xml:space="preserve">2 </t>
        </is>
      </c>
      <c r="P1252" t="inlineStr">
        <is>
          <t xml:space="preserve">43639   </t>
        </is>
      </c>
      <c r="Q1252" s="26" t="n">
        <v>4.69</v>
      </c>
      <c r="R1252" s="26">
        <f>Q1252*G1252</f>
        <v/>
      </c>
      <c r="S1252" s="26">
        <f>IFERROR(VLOOKUP(E1252*1,Tabla[#All],8,0),0)</f>
        <v/>
      </c>
      <c r="T1252" s="26">
        <f>S1252*G1252</f>
        <v/>
      </c>
      <c r="U1252" s="26">
        <f>R1252-T1252</f>
        <v/>
      </c>
      <c r="V1252" s="26">
        <f>U1252-L1252</f>
        <v/>
      </c>
    </row>
    <row r="1253">
      <c r="A1253" s="11" t="n">
        <v>46215</v>
      </c>
      <c r="B1253" s="1" t="n">
        <v>20077</v>
      </c>
      <c r="C1253" s="1" t="inlineStr">
        <is>
          <t>030</t>
        </is>
      </c>
      <c r="D1253" s="1" t="inlineStr">
        <is>
          <t xml:space="preserve">40492 </t>
        </is>
      </c>
      <c r="E1253" s="1" t="inlineStr">
        <is>
          <t xml:space="preserve">28194770       </t>
        </is>
      </c>
      <c r="F1253" s="5" t="inlineStr">
        <is>
          <t>AUTOS DE METAL 3 TEAMSTERZ EN BLISTER</t>
        </is>
      </c>
      <c r="G1253" t="n">
        <v>1</v>
      </c>
      <c r="H1253" s="7" t="n">
        <v>6.9</v>
      </c>
      <c r="I1253" s="7" t="n">
        <v>0.6899999999999999</v>
      </c>
      <c r="J1253" s="7" t="n">
        <v>0</v>
      </c>
      <c r="K1253" s="9" t="n">
        <v>0.6899999999999999</v>
      </c>
      <c r="L1253" s="10" t="n">
        <v>3.68</v>
      </c>
      <c r="M1253" s="10" t="n">
        <v>1.43</v>
      </c>
      <c r="N1253" t="inlineStr">
        <is>
          <t>1</t>
        </is>
      </c>
      <c r="O1253" t="inlineStr">
        <is>
          <t xml:space="preserve">3 </t>
        </is>
      </c>
      <c r="P1253" t="inlineStr">
        <is>
          <t xml:space="preserve">48922   </t>
        </is>
      </c>
      <c r="Q1253" s="26" t="n">
        <v>4.09</v>
      </c>
      <c r="R1253" s="26">
        <f>Q1253*G1253</f>
        <v/>
      </c>
      <c r="S1253" s="26">
        <f>IFERROR(VLOOKUP(E1253*1,Tabla[#All],8,0),0)</f>
        <v/>
      </c>
      <c r="T1253" s="26">
        <f>S1253*G1253</f>
        <v/>
      </c>
      <c r="U1253" s="26">
        <f>R1253-T1253</f>
        <v/>
      </c>
      <c r="V1253" s="26">
        <f>U1253-L1253</f>
        <v/>
      </c>
    </row>
    <row r="1254">
      <c r="A1254" s="11" t="n">
        <v>46215</v>
      </c>
      <c r="B1254" s="1" t="n">
        <v>20077</v>
      </c>
      <c r="C1254" s="1" t="inlineStr">
        <is>
          <t>539</t>
        </is>
      </c>
      <c r="D1254" s="1" t="inlineStr">
        <is>
          <t xml:space="preserve">3896  </t>
        </is>
      </c>
      <c r="E1254" s="1" t="inlineStr">
        <is>
          <t xml:space="preserve">28194768       </t>
        </is>
      </c>
      <c r="F1254" s="5" t="inlineStr">
        <is>
          <t>AUTO COLOR CHANGE TEAMSTERZ SURTIDO</t>
        </is>
      </c>
      <c r="G1254" t="n">
        <v>1</v>
      </c>
      <c r="H1254" s="7" t="n">
        <v>14.9</v>
      </c>
      <c r="I1254" s="7" t="n">
        <v>0</v>
      </c>
      <c r="J1254" s="7" t="n">
        <v>0</v>
      </c>
      <c r="K1254" s="9" t="n">
        <v>0</v>
      </c>
      <c r="L1254" s="10" t="n">
        <v>8.84</v>
      </c>
      <c r="M1254" s="10" t="n">
        <v>1.43</v>
      </c>
      <c r="N1254" t="inlineStr">
        <is>
          <t>1</t>
        </is>
      </c>
      <c r="O1254" t="inlineStr">
        <is>
          <t>16</t>
        </is>
      </c>
      <c r="P1254" t="inlineStr">
        <is>
          <t xml:space="preserve">250421  </t>
        </is>
      </c>
      <c r="Q1254" s="26" t="n">
        <v>8.84</v>
      </c>
      <c r="R1254" s="26">
        <f>Q1254*G1254</f>
        <v/>
      </c>
      <c r="S1254" s="26">
        <f>IFERROR(VLOOKUP(E1254*1,Tabla[#All],8,0),0)</f>
        <v/>
      </c>
      <c r="T1254" s="26">
        <f>S1254*G1254</f>
        <v/>
      </c>
      <c r="U1254" s="26">
        <f>R1254-T1254</f>
        <v/>
      </c>
      <c r="V1254" s="26">
        <f>U1254-L1254</f>
        <v/>
      </c>
    </row>
    <row r="1255">
      <c r="A1255" s="11" t="n">
        <v>46215</v>
      </c>
      <c r="B1255" s="1" t="n">
        <v>20079</v>
      </c>
      <c r="C1255" s="1" t="inlineStr">
        <is>
          <t>045</t>
        </is>
      </c>
      <c r="D1255" s="1" t="inlineStr">
        <is>
          <t xml:space="preserve">15831 </t>
        </is>
      </c>
      <c r="E1255" s="1" t="inlineStr">
        <is>
          <t xml:space="preserve">35685067       </t>
        </is>
      </c>
      <c r="F1255" s="5" t="inlineStr">
        <is>
          <t>HOT WHEELS POWER SET 3 EN 1</t>
        </is>
      </c>
      <c r="G1255" t="n">
        <v>1</v>
      </c>
      <c r="H1255" s="7" t="n">
        <v>49.9</v>
      </c>
      <c r="I1255" s="7" t="n">
        <v>4.99</v>
      </c>
      <c r="J1255" s="7" t="n">
        <v>0</v>
      </c>
      <c r="K1255" s="9" t="n">
        <v>4.99</v>
      </c>
      <c r="L1255" s="10" t="n">
        <v>26.64</v>
      </c>
      <c r="M1255" s="10" t="n">
        <v>1.43</v>
      </c>
      <c r="N1255" t="inlineStr">
        <is>
          <t>1</t>
        </is>
      </c>
      <c r="O1255" t="inlineStr">
        <is>
          <t xml:space="preserve">3 </t>
        </is>
      </c>
      <c r="P1255" t="inlineStr">
        <is>
          <t xml:space="preserve">45006   </t>
        </is>
      </c>
      <c r="Q1255" s="26" t="n">
        <v>29.6</v>
      </c>
      <c r="R1255" s="26">
        <f>Q1255*G1255</f>
        <v/>
      </c>
      <c r="S1255" s="26">
        <f>IFERROR(VLOOKUP(E1255*1,Tabla[#All],8,0),0)</f>
        <v/>
      </c>
      <c r="T1255" s="26">
        <f>S1255*G1255</f>
        <v/>
      </c>
      <c r="U1255" s="26">
        <f>R1255-T1255</f>
        <v/>
      </c>
      <c r="V1255" s="26">
        <f>U1255-L1255</f>
        <v/>
      </c>
    </row>
    <row r="1256">
      <c r="A1256" s="11" t="n">
        <v>46215</v>
      </c>
      <c r="B1256" s="1" t="n">
        <v>20079</v>
      </c>
      <c r="C1256" s="1" t="inlineStr">
        <is>
          <t>045</t>
        </is>
      </c>
      <c r="D1256" s="1" t="inlineStr">
        <is>
          <t>332245</t>
        </is>
      </c>
      <c r="E1256" s="1" t="inlineStr">
        <is>
          <t xml:space="preserve">28194781       </t>
        </is>
      </c>
      <c r="F1256" s="5" t="inlineStr">
        <is>
          <t>TROMPO BATALLA INFINITY NADO SERIE V CLASICA SURTI</t>
        </is>
      </c>
      <c r="G1256" t="n">
        <v>1</v>
      </c>
      <c r="H1256" s="7" t="n">
        <v>59.9</v>
      </c>
      <c r="I1256" s="7" t="n">
        <v>0</v>
      </c>
      <c r="J1256" s="7" t="n">
        <v>0</v>
      </c>
      <c r="K1256" s="9" t="n">
        <v>0</v>
      </c>
      <c r="L1256" s="10" t="n">
        <v>35.53</v>
      </c>
      <c r="M1256" s="10" t="n">
        <v>1.43</v>
      </c>
      <c r="N1256" t="inlineStr">
        <is>
          <t>1</t>
        </is>
      </c>
      <c r="O1256" t="inlineStr">
        <is>
          <t>16</t>
        </is>
      </c>
      <c r="P1256" t="inlineStr">
        <is>
          <t xml:space="preserve">45006   </t>
        </is>
      </c>
      <c r="Q1256" s="26" t="n">
        <v>35.53</v>
      </c>
      <c r="R1256" s="26">
        <f>Q1256*G1256</f>
        <v/>
      </c>
      <c r="S1256" s="26">
        <f>IFERROR(VLOOKUP(E1256*1,Tabla[#All],8,0),0)</f>
        <v/>
      </c>
      <c r="T1256" s="26">
        <f>S1256*G1256</f>
        <v/>
      </c>
      <c r="U1256" s="26">
        <f>R1256-T1256</f>
        <v/>
      </c>
      <c r="V1256" s="26">
        <f>U1256-L1256</f>
        <v/>
      </c>
    </row>
    <row r="1257">
      <c r="A1257" s="11" t="n">
        <v>46215</v>
      </c>
      <c r="B1257" s="1" t="n">
        <v>20079</v>
      </c>
      <c r="C1257" s="1" t="inlineStr">
        <is>
          <t>051</t>
        </is>
      </c>
      <c r="D1257" s="1" t="inlineStr">
        <is>
          <t>235753</t>
        </is>
      </c>
      <c r="E1257" s="1" t="inlineStr">
        <is>
          <t xml:space="preserve">34840553       </t>
        </is>
      </c>
      <c r="F1257" s="5" t="inlineStr">
        <is>
          <t>TMZ AUTO LUZ Y SONIDO ESQUELET DINO T-REX</t>
        </is>
      </c>
      <c r="G1257" t="n">
        <v>1</v>
      </c>
      <c r="H1257" s="7" t="n">
        <v>79.90000000000001</v>
      </c>
      <c r="I1257" s="7" t="n">
        <v>0</v>
      </c>
      <c r="J1257" s="7" t="n">
        <v>0</v>
      </c>
      <c r="K1257" s="9" t="n">
        <v>0</v>
      </c>
      <c r="L1257" s="10" t="n">
        <v>47.4</v>
      </c>
      <c r="M1257" s="10" t="n">
        <v>1.43</v>
      </c>
      <c r="N1257" t="inlineStr">
        <is>
          <t>1</t>
        </is>
      </c>
      <c r="O1257" t="inlineStr">
        <is>
          <t>16</t>
        </is>
      </c>
      <c r="P1257" t="inlineStr">
        <is>
          <t xml:space="preserve">41082   </t>
        </is>
      </c>
      <c r="Q1257" s="26" t="n">
        <v>47.4</v>
      </c>
      <c r="R1257" s="26">
        <f>Q1257*G1257</f>
        <v/>
      </c>
      <c r="S1257" s="26">
        <f>IFERROR(VLOOKUP(E1257*1,Tabla[#All],8,0),0)</f>
        <v/>
      </c>
      <c r="T1257" s="26">
        <f>S1257*G1257</f>
        <v/>
      </c>
      <c r="U1257" s="26">
        <f>R1257-T1257</f>
        <v/>
      </c>
      <c r="V1257" s="26">
        <f>U1257-L1257</f>
        <v/>
      </c>
    </row>
    <row r="1258">
      <c r="A1258" s="11" t="n">
        <v>46215</v>
      </c>
      <c r="B1258" s="1" t="n">
        <v>20079</v>
      </c>
      <c r="C1258" s="1" t="inlineStr">
        <is>
          <t>051</t>
        </is>
      </c>
      <c r="D1258" s="1" t="inlineStr">
        <is>
          <t>235801</t>
        </is>
      </c>
      <c r="E1258" s="1" t="inlineStr">
        <is>
          <t xml:space="preserve">28194770       </t>
        </is>
      </c>
      <c r="F1258" s="5" t="inlineStr">
        <is>
          <t>AUTOS DE METAL 3 TEAMSTERZ EN BLISTER</t>
        </is>
      </c>
      <c r="G1258" t="n">
        <v>1</v>
      </c>
      <c r="H1258" s="7" t="n">
        <v>6.9</v>
      </c>
      <c r="I1258" s="7" t="n">
        <v>0</v>
      </c>
      <c r="J1258" s="7" t="n">
        <v>0</v>
      </c>
      <c r="K1258" s="9" t="n">
        <v>0</v>
      </c>
      <c r="L1258" s="10" t="n">
        <v>4.1</v>
      </c>
      <c r="M1258" s="10" t="n">
        <v>1.43</v>
      </c>
      <c r="N1258" t="inlineStr">
        <is>
          <t>1</t>
        </is>
      </c>
      <c r="O1258" t="inlineStr">
        <is>
          <t>16</t>
        </is>
      </c>
      <c r="P1258" t="inlineStr">
        <is>
          <t xml:space="preserve">41082   </t>
        </is>
      </c>
      <c r="Q1258" s="26" t="n">
        <v>4.09</v>
      </c>
      <c r="R1258" s="26">
        <f>Q1258*G1258</f>
        <v/>
      </c>
      <c r="S1258" s="26">
        <f>IFERROR(VLOOKUP(E1258*1,Tabla[#All],8,0),0)</f>
        <v/>
      </c>
      <c r="T1258" s="26">
        <f>S1258*G1258</f>
        <v/>
      </c>
      <c r="U1258" s="26">
        <f>R1258-T1258</f>
        <v/>
      </c>
      <c r="V1258" s="26">
        <f>U1258-L1258</f>
        <v/>
      </c>
    </row>
    <row r="1259">
      <c r="A1259" s="11" t="n">
        <v>46215</v>
      </c>
      <c r="B1259" s="1" t="n">
        <v>20080</v>
      </c>
      <c r="C1259" s="1" t="inlineStr">
        <is>
          <t>020</t>
        </is>
      </c>
      <c r="D1259" s="1" t="inlineStr">
        <is>
          <t xml:space="preserve">2658  </t>
        </is>
      </c>
      <c r="E1259" s="1" t="inlineStr">
        <is>
          <t xml:space="preserve">28194783       </t>
        </is>
      </c>
      <c r="F1259" s="5" t="inlineStr">
        <is>
          <t>SET DE BATALLA INFINITY NADO CON 2 TROMPOS</t>
        </is>
      </c>
      <c r="G1259" t="n">
        <v>1</v>
      </c>
      <c r="H1259" s="7" t="n">
        <v>159</v>
      </c>
      <c r="I1259" s="7" t="n">
        <v>0</v>
      </c>
      <c r="J1259" s="7" t="n">
        <v>0</v>
      </c>
      <c r="K1259" s="9" t="n">
        <v>0</v>
      </c>
      <c r="L1259" s="10" t="n">
        <v>94.33</v>
      </c>
      <c r="M1259" s="10" t="n">
        <v>1.43</v>
      </c>
      <c r="N1259" t="inlineStr">
        <is>
          <t>1</t>
        </is>
      </c>
      <c r="O1259" t="inlineStr">
        <is>
          <t>16</t>
        </is>
      </c>
      <c r="P1259" t="inlineStr">
        <is>
          <t xml:space="preserve">236747  </t>
        </is>
      </c>
      <c r="Q1259" s="26" t="n">
        <v>94.31999999999999</v>
      </c>
      <c r="R1259" s="26">
        <f>Q1259*G1259</f>
        <v/>
      </c>
      <c r="S1259" s="26">
        <f>IFERROR(VLOOKUP(E1259*1,Tabla[#All],8,0),0)</f>
        <v/>
      </c>
      <c r="T1259" s="26">
        <f>S1259*G1259</f>
        <v/>
      </c>
      <c r="U1259" s="26">
        <f>R1259-T1259</f>
        <v/>
      </c>
      <c r="V1259" s="26">
        <f>U1259-L1259</f>
        <v/>
      </c>
    </row>
    <row r="1260">
      <c r="A1260" s="11" t="n">
        <v>46215</v>
      </c>
      <c r="B1260" s="1" t="n">
        <v>20080</v>
      </c>
      <c r="C1260" s="1" t="inlineStr">
        <is>
          <t>020</t>
        </is>
      </c>
      <c r="D1260" s="1" t="inlineStr">
        <is>
          <t xml:space="preserve">2658  </t>
        </is>
      </c>
      <c r="E1260" s="1" t="inlineStr">
        <is>
          <t xml:space="preserve">31754676       </t>
        </is>
      </c>
      <c r="F1260" s="5" t="inlineStr">
        <is>
          <t>INFINITY NADO SERIE 6 STD PACK LANZ ESPAD ANILLO M</t>
        </is>
      </c>
      <c r="G1260" t="n">
        <v>1</v>
      </c>
      <c r="H1260" s="7" t="n">
        <v>79.90000000000001</v>
      </c>
      <c r="I1260" s="7" t="n">
        <v>0</v>
      </c>
      <c r="J1260" s="7" t="n">
        <v>0</v>
      </c>
      <c r="K1260" s="9" t="n">
        <v>0</v>
      </c>
      <c r="L1260" s="10" t="n">
        <v>47.4</v>
      </c>
      <c r="M1260" s="10" t="n">
        <v>1.43</v>
      </c>
      <c r="N1260" t="inlineStr">
        <is>
          <t>1</t>
        </is>
      </c>
      <c r="O1260" t="inlineStr">
        <is>
          <t>16</t>
        </is>
      </c>
      <c r="P1260" t="inlineStr">
        <is>
          <t xml:space="preserve">236747  </t>
        </is>
      </c>
      <c r="Q1260" s="26" t="n">
        <v>47.4</v>
      </c>
      <c r="R1260" s="26">
        <f>Q1260*G1260</f>
        <v/>
      </c>
      <c r="S1260" s="26">
        <f>IFERROR(VLOOKUP(E1260*1,Tabla[#All],8,0),0)</f>
        <v/>
      </c>
      <c r="T1260" s="26">
        <f>S1260*G1260</f>
        <v/>
      </c>
      <c r="U1260" s="26">
        <f>R1260-T1260</f>
        <v/>
      </c>
      <c r="V1260" s="26">
        <f>U1260-L1260</f>
        <v/>
      </c>
    </row>
    <row r="1261">
      <c r="A1261" s="11" t="n">
        <v>46215</v>
      </c>
      <c r="B1261" s="1" t="n">
        <v>20080</v>
      </c>
      <c r="C1261" s="1" t="inlineStr">
        <is>
          <t>020</t>
        </is>
      </c>
      <c r="D1261" s="1" t="inlineStr">
        <is>
          <t xml:space="preserve">2658  </t>
        </is>
      </c>
      <c r="E1261" s="1" t="inlineStr">
        <is>
          <t xml:space="preserve">31754676       </t>
        </is>
      </c>
      <c r="F1261" s="5" t="inlineStr">
        <is>
          <t>INFINITY NADO SERIE 6 STD PACK LANZ ESPAD ANILLO M</t>
        </is>
      </c>
      <c r="G1261" t="n">
        <v>1</v>
      </c>
      <c r="H1261" s="7" t="n">
        <v>79.90000000000001</v>
      </c>
      <c r="I1261" s="7" t="n">
        <v>0</v>
      </c>
      <c r="J1261" s="7" t="n">
        <v>0</v>
      </c>
      <c r="K1261" s="9" t="n">
        <v>0</v>
      </c>
      <c r="L1261" s="10" t="n">
        <v>47.4</v>
      </c>
      <c r="M1261" s="10" t="n">
        <v>1.43</v>
      </c>
      <c r="N1261" t="inlineStr">
        <is>
          <t>1</t>
        </is>
      </c>
      <c r="O1261" t="inlineStr">
        <is>
          <t>16</t>
        </is>
      </c>
      <c r="P1261" t="inlineStr">
        <is>
          <t xml:space="preserve">236747  </t>
        </is>
      </c>
      <c r="Q1261" s="26" t="n">
        <v>47.4</v>
      </c>
      <c r="R1261" s="26">
        <f>Q1261*G1261</f>
        <v/>
      </c>
      <c r="S1261" s="26">
        <f>IFERROR(VLOOKUP(E1261*1,Tabla[#All],8,0),0)</f>
        <v/>
      </c>
      <c r="T1261" s="26">
        <f>S1261*G1261</f>
        <v/>
      </c>
      <c r="U1261" s="26">
        <f>R1261-T1261</f>
        <v/>
      </c>
      <c r="V1261" s="26">
        <f>U1261-L1261</f>
        <v/>
      </c>
    </row>
    <row r="1262">
      <c r="A1262" s="11" t="n">
        <v>46215</v>
      </c>
      <c r="B1262" s="1" t="n">
        <v>20080</v>
      </c>
      <c r="C1262" s="1" t="inlineStr">
        <is>
          <t>026</t>
        </is>
      </c>
      <c r="D1262" s="1" t="inlineStr">
        <is>
          <t>208939</t>
        </is>
      </c>
      <c r="E1262" s="1" t="inlineStr">
        <is>
          <t xml:space="preserve">31959959       </t>
        </is>
      </c>
      <c r="F1262" s="5" t="inlineStr">
        <is>
          <t>TMZ CAMBIA DE COLOR LANZADOR SPIN SPLASH + 1 AUTO</t>
        </is>
      </c>
      <c r="G1262" t="n">
        <v>1</v>
      </c>
      <c r="H1262" s="7" t="n">
        <v>39.9</v>
      </c>
      <c r="I1262" s="7" t="n">
        <v>25</v>
      </c>
      <c r="J1262" s="7" t="n">
        <v>0</v>
      </c>
      <c r="K1262" s="9" t="n">
        <v>25</v>
      </c>
      <c r="L1262" s="10" t="n">
        <v>8.84</v>
      </c>
      <c r="M1262" s="10" t="n">
        <v>1.43</v>
      </c>
      <c r="N1262" t="inlineStr">
        <is>
          <t>1</t>
        </is>
      </c>
      <c r="O1262" t="inlineStr">
        <is>
          <t xml:space="preserve">2 </t>
        </is>
      </c>
      <c r="P1262" t="inlineStr">
        <is>
          <t xml:space="preserve">79951   </t>
        </is>
      </c>
      <c r="Q1262" s="26" t="n">
        <v>23.67</v>
      </c>
      <c r="R1262" s="26">
        <f>Q1262*G1262</f>
        <v/>
      </c>
      <c r="S1262" s="26">
        <f>IFERROR(VLOOKUP(E1262*1,Tabla[#All],8,0),0)</f>
        <v/>
      </c>
      <c r="T1262" s="26">
        <f>S1262*G1262</f>
        <v/>
      </c>
      <c r="U1262" s="26">
        <f>R1262-T1262</f>
        <v/>
      </c>
      <c r="V1262" s="26">
        <f>U1262-L1262</f>
        <v/>
      </c>
    </row>
    <row r="1263">
      <c r="A1263" s="11" t="n">
        <v>46215</v>
      </c>
      <c r="B1263" s="1" t="n">
        <v>20080</v>
      </c>
      <c r="C1263" s="1" t="inlineStr">
        <is>
          <t>026</t>
        </is>
      </c>
      <c r="D1263" s="1" t="inlineStr">
        <is>
          <t>208960</t>
        </is>
      </c>
      <c r="E1263" s="1" t="inlineStr">
        <is>
          <t xml:space="preserve">33483116       </t>
        </is>
      </c>
      <c r="F1263" s="5" t="inlineStr">
        <is>
          <t>MUNECA EVI LOVE GATO + COCHE + ACC.</t>
        </is>
      </c>
      <c r="G1263" t="n">
        <v>1</v>
      </c>
      <c r="H1263" s="7" t="n">
        <v>34.9</v>
      </c>
      <c r="I1263" s="7" t="n">
        <v>0</v>
      </c>
      <c r="J1263" s="7" t="n">
        <v>0</v>
      </c>
      <c r="K1263" s="9" t="n">
        <v>0</v>
      </c>
      <c r="L1263" s="10" t="n">
        <v>20.71</v>
      </c>
      <c r="M1263" s="10" t="n">
        <v>1.43</v>
      </c>
      <c r="N1263" t="inlineStr">
        <is>
          <t>1</t>
        </is>
      </c>
      <c r="O1263" t="inlineStr">
        <is>
          <t>16</t>
        </is>
      </c>
      <c r="P1263" t="inlineStr">
        <is>
          <t xml:space="preserve">79951   </t>
        </is>
      </c>
      <c r="Q1263" s="26" t="n">
        <v>20.7</v>
      </c>
      <c r="R1263" s="26">
        <f>Q1263*G1263</f>
        <v/>
      </c>
      <c r="S1263" s="26">
        <f>IFERROR(VLOOKUP(E1263*1,Tabla[#All],8,0),0)</f>
        <v/>
      </c>
      <c r="T1263" s="26">
        <f>S1263*G1263</f>
        <v/>
      </c>
      <c r="U1263" s="26">
        <f>R1263-T1263</f>
        <v/>
      </c>
      <c r="V1263" s="26">
        <f>U1263-L1263</f>
        <v/>
      </c>
    </row>
    <row r="1264">
      <c r="A1264" s="11" t="n">
        <v>46215</v>
      </c>
      <c r="B1264" s="1" t="n">
        <v>20080</v>
      </c>
      <c r="C1264" s="1" t="inlineStr">
        <is>
          <t>026</t>
        </is>
      </c>
      <c r="D1264" s="1" t="inlineStr">
        <is>
          <t>208973</t>
        </is>
      </c>
      <c r="E1264" s="1" t="inlineStr">
        <is>
          <t xml:space="preserve">32457118       </t>
        </is>
      </c>
      <c r="F1264" s="5" t="inlineStr">
        <is>
          <t>MUNECA EVI LOVE CAMAROTE + 2 MUNECAS</t>
        </is>
      </c>
      <c r="G1264" t="n">
        <v>1</v>
      </c>
      <c r="H1264" s="7" t="n">
        <v>49.9</v>
      </c>
      <c r="I1264" s="7" t="n">
        <v>0</v>
      </c>
      <c r="J1264" s="7" t="n">
        <v>0</v>
      </c>
      <c r="K1264" s="9" t="n">
        <v>0</v>
      </c>
      <c r="L1264" s="10" t="n">
        <v>29.6</v>
      </c>
      <c r="M1264" s="10" t="n">
        <v>1.43</v>
      </c>
      <c r="N1264" t="inlineStr">
        <is>
          <t>1</t>
        </is>
      </c>
      <c r="O1264" t="inlineStr">
        <is>
          <t>16</t>
        </is>
      </c>
      <c r="P1264" t="inlineStr">
        <is>
          <t xml:space="preserve">79951   </t>
        </is>
      </c>
      <c r="Q1264" s="26" t="n">
        <v>29.6</v>
      </c>
      <c r="R1264" s="26">
        <f>Q1264*G1264</f>
        <v/>
      </c>
      <c r="S1264" s="26">
        <f>IFERROR(VLOOKUP(E1264*1,Tabla[#All],8,0),0)</f>
        <v/>
      </c>
      <c r="T1264" s="26">
        <f>S1264*G1264</f>
        <v/>
      </c>
      <c r="U1264" s="26">
        <f>R1264-T1264</f>
        <v/>
      </c>
      <c r="V1264" s="26">
        <f>U1264-L1264</f>
        <v/>
      </c>
    </row>
    <row r="1265">
      <c r="A1265" s="11" t="n">
        <v>46215</v>
      </c>
      <c r="B1265" s="1" t="n">
        <v>20080</v>
      </c>
      <c r="C1265" s="1" t="inlineStr">
        <is>
          <t>026</t>
        </is>
      </c>
      <c r="D1265" s="1" t="inlineStr">
        <is>
          <t>208973</t>
        </is>
      </c>
      <c r="E1265" s="1" t="inlineStr">
        <is>
          <t xml:space="preserve">34840556       </t>
        </is>
      </c>
      <c r="F1265" s="5" t="inlineStr">
        <is>
          <t>TMZ BEAST MACH. TRANSPORT DINO +ACCS</t>
        </is>
      </c>
      <c r="G1265" t="n">
        <v>1</v>
      </c>
      <c r="H1265" s="7" t="n">
        <v>79.90000000000001</v>
      </c>
      <c r="I1265" s="7" t="n">
        <v>0</v>
      </c>
      <c r="J1265" s="7" t="n">
        <v>0</v>
      </c>
      <c r="K1265" s="9" t="n">
        <v>0</v>
      </c>
      <c r="L1265" s="10" t="n">
        <v>47.4</v>
      </c>
      <c r="M1265" s="10" t="n">
        <v>1.43</v>
      </c>
      <c r="N1265" t="inlineStr">
        <is>
          <t>1</t>
        </is>
      </c>
      <c r="O1265" t="inlineStr">
        <is>
          <t>16</t>
        </is>
      </c>
      <c r="P1265" t="inlineStr">
        <is>
          <t xml:space="preserve">79951   </t>
        </is>
      </c>
      <c r="Q1265" s="26" t="n">
        <v>47.4</v>
      </c>
      <c r="R1265" s="26">
        <f>Q1265*G1265</f>
        <v/>
      </c>
      <c r="S1265" s="26">
        <f>IFERROR(VLOOKUP(E1265*1,Tabla[#All],8,0),0)</f>
        <v/>
      </c>
      <c r="T1265" s="26">
        <f>S1265*G1265</f>
        <v/>
      </c>
      <c r="U1265" s="26">
        <f>R1265-T1265</f>
        <v/>
      </c>
      <c r="V1265" s="26">
        <f>U1265-L1265</f>
        <v/>
      </c>
    </row>
    <row r="1266">
      <c r="A1266" s="11" t="n">
        <v>46215</v>
      </c>
      <c r="B1266" s="1" t="n">
        <v>20080</v>
      </c>
      <c r="C1266" s="1" t="inlineStr">
        <is>
          <t>029</t>
        </is>
      </c>
      <c r="D1266" s="1" t="inlineStr">
        <is>
          <t>225375</t>
        </is>
      </c>
      <c r="E1266" s="1" t="inlineStr">
        <is>
          <t xml:space="preserve">31675352       </t>
        </is>
      </c>
      <c r="F1266" s="5" t="inlineStr">
        <is>
          <t>MI PEQUENO NENUCO</t>
        </is>
      </c>
      <c r="G1266" t="n">
        <v>1</v>
      </c>
      <c r="H1266" s="7" t="n">
        <v>69.90000000000001</v>
      </c>
      <c r="I1266" s="7" t="n">
        <v>6.99</v>
      </c>
      <c r="J1266" s="7" t="n">
        <v>0</v>
      </c>
      <c r="K1266" s="9" t="n">
        <v>6.99</v>
      </c>
      <c r="L1266" s="10" t="n">
        <v>37.32</v>
      </c>
      <c r="M1266" s="10" t="n">
        <v>1.43</v>
      </c>
      <c r="N1266" t="inlineStr">
        <is>
          <t>1</t>
        </is>
      </c>
      <c r="O1266" t="inlineStr">
        <is>
          <t xml:space="preserve">3 </t>
        </is>
      </c>
      <c r="P1266" t="inlineStr">
        <is>
          <t xml:space="preserve">66621   </t>
        </is>
      </c>
      <c r="Q1266" s="26" t="n">
        <v>41.47</v>
      </c>
      <c r="R1266" s="26">
        <f>Q1266*G1266</f>
        <v/>
      </c>
      <c r="S1266" s="26">
        <f>IFERROR(VLOOKUP(E1266*1,Tabla[#All],8,0),0)</f>
        <v/>
      </c>
      <c r="T1266" s="26">
        <f>S1266*G1266</f>
        <v/>
      </c>
      <c r="U1266" s="26">
        <f>R1266-T1266</f>
        <v/>
      </c>
      <c r="V1266" s="26">
        <f>U1266-L1266</f>
        <v/>
      </c>
    </row>
    <row r="1267">
      <c r="A1267" s="11" t="n">
        <v>46215</v>
      </c>
      <c r="B1267" s="1" t="n">
        <v>20086</v>
      </c>
      <c r="C1267" s="1" t="inlineStr">
        <is>
          <t>501</t>
        </is>
      </c>
      <c r="D1267" s="1" t="inlineStr">
        <is>
          <t xml:space="preserve">4678  </t>
        </is>
      </c>
      <c r="E1267" s="1" t="inlineStr">
        <is>
          <t xml:space="preserve">28194769       </t>
        </is>
      </c>
      <c r="F1267" s="5" t="inlineStr">
        <is>
          <t>AUTOS DE METAL 3 TEAMSTERZ PACK DE 2</t>
        </is>
      </c>
      <c r="G1267" t="n">
        <v>2</v>
      </c>
      <c r="H1267" s="7" t="n">
        <v>27.6</v>
      </c>
      <c r="I1267" s="7" t="n">
        <v>2.76</v>
      </c>
      <c r="J1267" s="7" t="n">
        <v>0</v>
      </c>
      <c r="K1267" s="9" t="n">
        <v>2.76</v>
      </c>
      <c r="L1267" s="10" t="n">
        <v>14.74</v>
      </c>
      <c r="M1267" s="10" t="n">
        <v>1.43</v>
      </c>
      <c r="N1267" t="inlineStr">
        <is>
          <t>1</t>
        </is>
      </c>
      <c r="O1267" t="inlineStr">
        <is>
          <t>16</t>
        </is>
      </c>
      <c r="P1267" t="inlineStr">
        <is>
          <t xml:space="preserve">248208  </t>
        </is>
      </c>
      <c r="Q1267" s="26" t="n">
        <v>8.19</v>
      </c>
      <c r="R1267" s="26">
        <f>Q1267*G1267</f>
        <v/>
      </c>
      <c r="S1267" s="26">
        <f>IFERROR(VLOOKUP(E1267*1,Tabla[#All],8,0),0)</f>
        <v/>
      </c>
      <c r="T1267" s="26">
        <f>S1267*G1267</f>
        <v/>
      </c>
      <c r="U1267" s="26">
        <f>R1267-T1267</f>
        <v/>
      </c>
      <c r="V1267" s="26">
        <f>U1267-L1267</f>
        <v/>
      </c>
    </row>
    <row r="1268">
      <c r="A1268" s="11" t="n">
        <v>46215</v>
      </c>
      <c r="B1268" s="1" t="n">
        <v>20088</v>
      </c>
      <c r="C1268" s="1" t="inlineStr">
        <is>
          <t>011</t>
        </is>
      </c>
      <c r="D1268" s="1" t="inlineStr">
        <is>
          <t xml:space="preserve">63486 </t>
        </is>
      </c>
      <c r="E1268" s="1" t="inlineStr">
        <is>
          <t xml:space="preserve">32457099       </t>
        </is>
      </c>
      <c r="F1268" s="5" t="inlineStr">
        <is>
          <t>TMZ BEAST MACHINES MONSTER JAWS A FRICCION BLISTER</t>
        </is>
      </c>
      <c r="G1268" t="n">
        <v>1</v>
      </c>
      <c r="H1268" s="7" t="n">
        <v>17.9</v>
      </c>
      <c r="I1268" s="7" t="n">
        <v>0</v>
      </c>
      <c r="J1268" s="7" t="n">
        <v>0</v>
      </c>
      <c r="K1268" s="9" t="n">
        <v>0</v>
      </c>
      <c r="L1268" s="10" t="n">
        <v>10.62</v>
      </c>
      <c r="M1268" s="10" t="n">
        <v>1.43</v>
      </c>
      <c r="N1268" t="inlineStr">
        <is>
          <t>1</t>
        </is>
      </c>
      <c r="O1268" t="inlineStr">
        <is>
          <t>16</t>
        </is>
      </c>
      <c r="P1268" t="inlineStr">
        <is>
          <t xml:space="preserve">232153  </t>
        </is>
      </c>
      <c r="Q1268" s="26" t="n">
        <v>11.81</v>
      </c>
      <c r="R1268" s="26">
        <f>Q1268*G1268</f>
        <v/>
      </c>
      <c r="S1268" s="26">
        <f>IFERROR(VLOOKUP(E1268*1,Tabla[#All],8,0),0)</f>
        <v/>
      </c>
      <c r="T1268" s="26">
        <f>S1268*G1268</f>
        <v/>
      </c>
      <c r="U1268" s="26">
        <f>R1268-T1268</f>
        <v/>
      </c>
      <c r="V1268" s="26">
        <f>U1268-L1268</f>
        <v/>
      </c>
    </row>
    <row r="1269">
      <c r="A1269" s="11" t="n">
        <v>46215</v>
      </c>
      <c r="B1269" s="1" t="n">
        <v>20088</v>
      </c>
      <c r="C1269" s="1" t="inlineStr">
        <is>
          <t>021</t>
        </is>
      </c>
      <c r="D1269" s="1" t="inlineStr">
        <is>
          <t xml:space="preserve">48892 </t>
        </is>
      </c>
      <c r="E1269" s="1" t="inlineStr">
        <is>
          <t xml:space="preserve">28194769       </t>
        </is>
      </c>
      <c r="F1269" s="5" t="inlineStr">
        <is>
          <t>AUTOS DE METAL 3 TEAMSTERZ PACK DE 2</t>
        </is>
      </c>
      <c r="G1269" t="n">
        <v>1</v>
      </c>
      <c r="H1269" s="7" t="n">
        <v>13.8</v>
      </c>
      <c r="I1269" s="7" t="n">
        <v>1.38</v>
      </c>
      <c r="J1269" s="7" t="n">
        <v>0</v>
      </c>
      <c r="K1269" s="9" t="n">
        <v>1.38</v>
      </c>
      <c r="L1269" s="10" t="n">
        <v>7.37</v>
      </c>
      <c r="M1269" s="10" t="n">
        <v>1.43</v>
      </c>
      <c r="N1269" t="inlineStr">
        <is>
          <t>1</t>
        </is>
      </c>
      <c r="O1269" t="inlineStr">
        <is>
          <t xml:space="preserve">3 </t>
        </is>
      </c>
      <c r="P1269" t="inlineStr">
        <is>
          <t xml:space="preserve">249601  </t>
        </is>
      </c>
      <c r="Q1269" s="26" t="n">
        <v>8.19</v>
      </c>
      <c r="R1269" s="26">
        <f>Q1269*G1269</f>
        <v/>
      </c>
      <c r="S1269" s="26">
        <f>IFERROR(VLOOKUP(E1269*1,Tabla[#All],8,0),0)</f>
        <v/>
      </c>
      <c r="T1269" s="26">
        <f>S1269*G1269</f>
        <v/>
      </c>
      <c r="U1269" s="26">
        <f>R1269-T1269</f>
        <v/>
      </c>
      <c r="V1269" s="26">
        <f>U1269-L1269</f>
        <v/>
      </c>
    </row>
    <row r="1270">
      <c r="A1270" s="11" t="n">
        <v>46215</v>
      </c>
      <c r="B1270" s="1" t="n">
        <v>20088</v>
      </c>
      <c r="C1270" s="1" t="inlineStr">
        <is>
          <t>023</t>
        </is>
      </c>
      <c r="D1270" s="1" t="inlineStr">
        <is>
          <t>126926</t>
        </is>
      </c>
      <c r="E1270" s="1" t="inlineStr">
        <is>
          <t xml:space="preserve">33661538       </t>
        </is>
      </c>
      <c r="F1270" s="5" t="inlineStr">
        <is>
          <t>HOT WHEELS CASE GARAGE RUEDA METAL EN LLAMAS X 29</t>
        </is>
      </c>
      <c r="G1270" t="n">
        <v>1</v>
      </c>
      <c r="H1270" s="7" t="n">
        <v>69.90000000000001</v>
      </c>
      <c r="I1270" s="7" t="n">
        <v>0</v>
      </c>
      <c r="J1270" s="7" t="n">
        <v>0</v>
      </c>
      <c r="K1270" s="9" t="n">
        <v>0</v>
      </c>
      <c r="L1270" s="10" t="n">
        <v>41.47</v>
      </c>
      <c r="M1270" s="10" t="n">
        <v>1.43</v>
      </c>
      <c r="N1270" t="inlineStr">
        <is>
          <t>1</t>
        </is>
      </c>
      <c r="O1270" t="inlineStr">
        <is>
          <t>16</t>
        </is>
      </c>
      <c r="P1270" t="inlineStr">
        <is>
          <t xml:space="preserve">233525  </t>
        </is>
      </c>
      <c r="Q1270" s="26" t="n">
        <v>41.47</v>
      </c>
      <c r="R1270" s="26">
        <f>Q1270*G1270</f>
        <v/>
      </c>
      <c r="S1270" s="26">
        <f>IFERROR(VLOOKUP(E1270*1,Tabla[#All],8,0),0)</f>
        <v/>
      </c>
      <c r="T1270" s="26">
        <f>S1270*G1270</f>
        <v/>
      </c>
      <c r="U1270" s="26">
        <f>R1270-T1270</f>
        <v/>
      </c>
      <c r="V1270" s="26">
        <f>U1270-L1270</f>
        <v/>
      </c>
    </row>
    <row r="1271">
      <c r="A1271" s="11" t="n">
        <v>46215</v>
      </c>
      <c r="B1271" s="1" t="n">
        <v>20088</v>
      </c>
      <c r="C1271" s="1" t="inlineStr">
        <is>
          <t>023</t>
        </is>
      </c>
      <c r="D1271" s="1" t="inlineStr">
        <is>
          <t>126949</t>
        </is>
      </c>
      <c r="E1271" s="1" t="inlineStr">
        <is>
          <t xml:space="preserve">30141766       </t>
        </is>
      </c>
      <c r="F1271" s="5" t="inlineStr">
        <is>
          <t>TMZ BEAST MACHINES AUTOS DE METAL BLISTER X 1</t>
        </is>
      </c>
      <c r="G1271" t="n">
        <v>1</v>
      </c>
      <c r="H1271" s="7" t="n">
        <v>7.9</v>
      </c>
      <c r="I1271" s="7" t="n">
        <v>0</v>
      </c>
      <c r="J1271" s="7" t="n">
        <v>0</v>
      </c>
      <c r="K1271" s="9" t="n">
        <v>0</v>
      </c>
      <c r="L1271" s="10" t="n">
        <v>4.68</v>
      </c>
      <c r="M1271" s="10" t="n">
        <v>1.43</v>
      </c>
      <c r="N1271" t="inlineStr">
        <is>
          <t>1</t>
        </is>
      </c>
      <c r="O1271" t="inlineStr">
        <is>
          <t>16</t>
        </is>
      </c>
      <c r="P1271" t="inlineStr">
        <is>
          <t xml:space="preserve">233525  </t>
        </is>
      </c>
      <c r="Q1271" s="26" t="n">
        <v>4.69</v>
      </c>
      <c r="R1271" s="26">
        <f>Q1271*G1271</f>
        <v/>
      </c>
      <c r="S1271" s="26">
        <f>IFERROR(VLOOKUP(E1271*1,Tabla[#All],8,0),0)</f>
        <v/>
      </c>
      <c r="T1271" s="26">
        <f>S1271*G1271</f>
        <v/>
      </c>
      <c r="U1271" s="26">
        <f>R1271-T1271</f>
        <v/>
      </c>
      <c r="V1271" s="26">
        <f>U1271-L1271</f>
        <v/>
      </c>
    </row>
    <row r="1272">
      <c r="A1272" s="11" t="n">
        <v>46215</v>
      </c>
      <c r="B1272" s="1" t="n">
        <v>20088</v>
      </c>
      <c r="C1272" s="1" t="inlineStr">
        <is>
          <t>023</t>
        </is>
      </c>
      <c r="D1272" s="1" t="inlineStr">
        <is>
          <t>126964</t>
        </is>
      </c>
      <c r="E1272" s="1" t="inlineStr">
        <is>
          <t xml:space="preserve">34840551       </t>
        </is>
      </c>
      <c r="F1272" s="5" t="inlineStr">
        <is>
          <t>TMZ HELI BOMBERO CON LUCES Y SONIDOS</t>
        </is>
      </c>
      <c r="G1272" t="n">
        <v>1</v>
      </c>
      <c r="H1272" s="7" t="n">
        <v>79.90000000000001</v>
      </c>
      <c r="I1272" s="7" t="n">
        <v>0</v>
      </c>
      <c r="J1272" s="7" t="n">
        <v>0</v>
      </c>
      <c r="K1272" s="9" t="n">
        <v>0</v>
      </c>
      <c r="L1272" s="10" t="n">
        <v>47.4</v>
      </c>
      <c r="M1272" s="10" t="n">
        <v>1.43</v>
      </c>
      <c r="N1272" t="inlineStr">
        <is>
          <t>1</t>
        </is>
      </c>
      <c r="O1272" t="inlineStr">
        <is>
          <t xml:space="preserve">2 </t>
        </is>
      </c>
      <c r="P1272" t="inlineStr">
        <is>
          <t xml:space="preserve">233525  </t>
        </is>
      </c>
      <c r="Q1272" s="26" t="n">
        <v>47.4</v>
      </c>
      <c r="R1272" s="26">
        <f>Q1272*G1272</f>
        <v/>
      </c>
      <c r="S1272" s="26">
        <f>IFERROR(VLOOKUP(E1272*1,Tabla[#All],8,0),0)</f>
        <v/>
      </c>
      <c r="T1272" s="26">
        <f>S1272*G1272</f>
        <v/>
      </c>
      <c r="U1272" s="26">
        <f>R1272-T1272</f>
        <v/>
      </c>
      <c r="V1272" s="26">
        <f>U1272-L1272</f>
        <v/>
      </c>
    </row>
    <row r="1273">
      <c r="A1273" s="11" t="n">
        <v>46215</v>
      </c>
      <c r="B1273" s="1" t="n">
        <v>20088</v>
      </c>
      <c r="C1273" s="1" t="inlineStr">
        <is>
          <t>023</t>
        </is>
      </c>
      <c r="D1273" s="1" t="inlineStr">
        <is>
          <t>126974</t>
        </is>
      </c>
      <c r="E1273" s="1" t="inlineStr">
        <is>
          <t xml:space="preserve">32457099       </t>
        </is>
      </c>
      <c r="F1273" s="5" t="inlineStr">
        <is>
          <t>TMZ BEAST MACHINES MONSTER JAWS A FRICCION BLISTER</t>
        </is>
      </c>
      <c r="G1273" t="n">
        <v>1</v>
      </c>
      <c r="H1273" s="7" t="n">
        <v>17.9</v>
      </c>
      <c r="I1273" s="7" t="n">
        <v>1.79</v>
      </c>
      <c r="J1273" s="7" t="n">
        <v>0</v>
      </c>
      <c r="K1273" s="9" t="n">
        <v>1.79</v>
      </c>
      <c r="L1273" s="10" t="n">
        <v>9.56</v>
      </c>
      <c r="M1273" s="10" t="n">
        <v>1.43</v>
      </c>
      <c r="N1273" t="inlineStr">
        <is>
          <t>1</t>
        </is>
      </c>
      <c r="O1273" t="inlineStr">
        <is>
          <t xml:space="preserve">3 </t>
        </is>
      </c>
      <c r="P1273" t="inlineStr">
        <is>
          <t xml:space="preserve">233525  </t>
        </is>
      </c>
      <c r="Q1273" s="26" t="n">
        <v>11.81</v>
      </c>
      <c r="R1273" s="26">
        <f>Q1273*G1273</f>
        <v/>
      </c>
      <c r="S1273" s="26">
        <f>IFERROR(VLOOKUP(E1273*1,Tabla[#All],8,0),0)</f>
        <v/>
      </c>
      <c r="T1273" s="26">
        <f>S1273*G1273</f>
        <v/>
      </c>
      <c r="U1273" s="26">
        <f>R1273-T1273</f>
        <v/>
      </c>
      <c r="V1273" s="26">
        <f>U1273-L1273</f>
        <v/>
      </c>
    </row>
    <row r="1274">
      <c r="A1274" s="11" t="n">
        <v>46215</v>
      </c>
      <c r="B1274" s="1" t="n">
        <v>20088</v>
      </c>
      <c r="C1274" s="1" t="inlineStr">
        <is>
          <t>034</t>
        </is>
      </c>
      <c r="D1274" s="1" t="inlineStr">
        <is>
          <t xml:space="preserve">15956 </t>
        </is>
      </c>
      <c r="E1274" s="1" t="inlineStr">
        <is>
          <t xml:space="preserve">32457099       </t>
        </is>
      </c>
      <c r="F1274" s="5" t="inlineStr">
        <is>
          <t>TMZ BEAST MACHINES MONSTER JAWS A FRICCION BLISTER</t>
        </is>
      </c>
      <c r="G1274" t="n">
        <v>1</v>
      </c>
      <c r="H1274" s="7" t="n">
        <v>17.9</v>
      </c>
      <c r="I1274" s="7" t="n">
        <v>1.79</v>
      </c>
      <c r="J1274" s="7" t="n">
        <v>0</v>
      </c>
      <c r="K1274" s="9" t="n">
        <v>1.79</v>
      </c>
      <c r="L1274" s="10" t="n">
        <v>9.56</v>
      </c>
      <c r="M1274" s="10" t="n">
        <v>1.43</v>
      </c>
      <c r="N1274" t="inlineStr">
        <is>
          <t>1</t>
        </is>
      </c>
      <c r="O1274" t="inlineStr">
        <is>
          <t xml:space="preserve">3 </t>
        </is>
      </c>
      <c r="P1274" t="inlineStr">
        <is>
          <t xml:space="preserve">241571  </t>
        </is>
      </c>
      <c r="Q1274" s="26" t="n">
        <v>11.81</v>
      </c>
      <c r="R1274" s="26">
        <f>Q1274*G1274</f>
        <v/>
      </c>
      <c r="S1274" s="26">
        <f>IFERROR(VLOOKUP(E1274*1,Tabla[#All],8,0),0)</f>
        <v/>
      </c>
      <c r="T1274" s="26">
        <f>S1274*G1274</f>
        <v/>
      </c>
      <c r="U1274" s="26">
        <f>R1274-T1274</f>
        <v/>
      </c>
      <c r="V1274" s="26">
        <f>U1274-L1274</f>
        <v/>
      </c>
    </row>
    <row r="1275">
      <c r="A1275" s="11" t="n">
        <v>46215</v>
      </c>
      <c r="B1275" s="1" t="n">
        <v>20088</v>
      </c>
      <c r="C1275" s="1" t="inlineStr">
        <is>
          <t>517</t>
        </is>
      </c>
      <c r="D1275" s="1" t="inlineStr">
        <is>
          <t xml:space="preserve">3333  </t>
        </is>
      </c>
      <c r="E1275" s="1" t="inlineStr">
        <is>
          <t xml:space="preserve">28194768       </t>
        </is>
      </c>
      <c r="F1275" s="5" t="inlineStr">
        <is>
          <t>AUTO COLOR CHANGE TEAMSTERZ SURTIDO</t>
        </is>
      </c>
      <c r="G1275" t="n">
        <v>1</v>
      </c>
      <c r="H1275" s="7" t="n">
        <v>14.9</v>
      </c>
      <c r="I1275" s="7" t="n">
        <v>0</v>
      </c>
      <c r="J1275" s="7" t="n">
        <v>0</v>
      </c>
      <c r="K1275" s="9" t="n">
        <v>0</v>
      </c>
      <c r="L1275" s="10" t="n">
        <v>8.84</v>
      </c>
      <c r="M1275" s="10" t="n">
        <v>1.43</v>
      </c>
      <c r="N1275" t="inlineStr">
        <is>
          <t>1</t>
        </is>
      </c>
      <c r="O1275" t="inlineStr">
        <is>
          <t>16</t>
        </is>
      </c>
      <c r="P1275" t="inlineStr">
        <is>
          <t xml:space="preserve">36199   </t>
        </is>
      </c>
      <c r="Q1275" s="26" t="n">
        <v>8.84</v>
      </c>
      <c r="R1275" s="26">
        <f>Q1275*G1275</f>
        <v/>
      </c>
      <c r="S1275" s="26">
        <f>IFERROR(VLOOKUP(E1275*1,Tabla[#All],8,0),0)</f>
        <v/>
      </c>
      <c r="T1275" s="26">
        <f>S1275*G1275</f>
        <v/>
      </c>
      <c r="U1275" s="26">
        <f>R1275-T1275</f>
        <v/>
      </c>
      <c r="V1275" s="26">
        <f>U1275-L1275</f>
        <v/>
      </c>
    </row>
    <row r="1276">
      <c r="A1276" s="11" t="n">
        <v>46215</v>
      </c>
      <c r="B1276" s="1" t="n">
        <v>20089</v>
      </c>
      <c r="C1276" s="1" t="inlineStr">
        <is>
          <t>025</t>
        </is>
      </c>
      <c r="D1276" s="1" t="inlineStr">
        <is>
          <t>121596</t>
        </is>
      </c>
      <c r="E1276" s="1" t="inlineStr">
        <is>
          <t xml:space="preserve">28194770       </t>
        </is>
      </c>
      <c r="F1276" s="5" t="inlineStr">
        <is>
          <t>AUTOS DE METAL 3 TEAMSTERZ EN BLISTER</t>
        </is>
      </c>
      <c r="G1276" t="n">
        <v>1</v>
      </c>
      <c r="H1276" s="7" t="n">
        <v>6.9</v>
      </c>
      <c r="I1276" s="7" t="n">
        <v>0</v>
      </c>
      <c r="J1276" s="7" t="n">
        <v>0</v>
      </c>
      <c r="K1276" s="9" t="n">
        <v>0</v>
      </c>
      <c r="L1276" s="10" t="n">
        <v>4.1</v>
      </c>
      <c r="M1276" s="10" t="n">
        <v>1.43</v>
      </c>
      <c r="N1276" t="inlineStr">
        <is>
          <t>1</t>
        </is>
      </c>
      <c r="O1276" t="inlineStr">
        <is>
          <t xml:space="preserve">2 </t>
        </is>
      </c>
      <c r="P1276" t="inlineStr">
        <is>
          <t xml:space="preserve">232968  </t>
        </is>
      </c>
      <c r="Q1276" s="26" t="n">
        <v>4.09</v>
      </c>
      <c r="R1276" s="26">
        <f>Q1276*G1276</f>
        <v/>
      </c>
      <c r="S1276" s="26">
        <f>IFERROR(VLOOKUP(E1276*1,Tabla[#All],8,0),0)</f>
        <v/>
      </c>
      <c r="T1276" s="26">
        <f>S1276*G1276</f>
        <v/>
      </c>
      <c r="U1276" s="26">
        <f>R1276-T1276</f>
        <v/>
      </c>
      <c r="V1276" s="26">
        <f>U1276-L1276</f>
        <v/>
      </c>
    </row>
    <row r="1277">
      <c r="A1277" s="11" t="n">
        <v>46215</v>
      </c>
      <c r="B1277" s="1" t="n">
        <v>20089</v>
      </c>
      <c r="C1277" s="1" t="inlineStr">
        <is>
          <t>025</t>
        </is>
      </c>
      <c r="D1277" s="1" t="inlineStr">
        <is>
          <t>121608</t>
        </is>
      </c>
      <c r="E1277" s="1" t="inlineStr">
        <is>
          <t xml:space="preserve">31959956       </t>
        </is>
      </c>
      <c r="F1277" s="5" t="inlineStr">
        <is>
          <t>TEAMSTERZ CAMION TRANSPORTA ANIMALES SURTIDO</t>
        </is>
      </c>
      <c r="G1277" t="n">
        <v>1</v>
      </c>
      <c r="H1277" s="7" t="n">
        <v>17.9</v>
      </c>
      <c r="I1277" s="7" t="n">
        <v>0</v>
      </c>
      <c r="J1277" s="7" t="n">
        <v>0</v>
      </c>
      <c r="K1277" s="9" t="n">
        <v>0</v>
      </c>
      <c r="L1277" s="10" t="n">
        <v>10.62</v>
      </c>
      <c r="M1277" s="10" t="n">
        <v>1.43</v>
      </c>
      <c r="N1277" t="inlineStr">
        <is>
          <t>1</t>
        </is>
      </c>
      <c r="O1277" t="inlineStr">
        <is>
          <t>16</t>
        </is>
      </c>
      <c r="P1277" t="inlineStr">
        <is>
          <t xml:space="preserve">232968  </t>
        </is>
      </c>
      <c r="Q1277" s="26" t="n">
        <v>10.62</v>
      </c>
      <c r="R1277" s="26">
        <f>Q1277*G1277</f>
        <v/>
      </c>
      <c r="S1277" s="26">
        <f>IFERROR(VLOOKUP(E1277*1,Tabla[#All],8,0),0)</f>
        <v/>
      </c>
      <c r="T1277" s="26">
        <f>S1277*G1277</f>
        <v/>
      </c>
      <c r="U1277" s="26">
        <f>R1277-T1277</f>
        <v/>
      </c>
      <c r="V1277" s="26">
        <f>U1277-L1277</f>
        <v/>
      </c>
    </row>
    <row r="1278">
      <c r="A1278" s="11" t="n">
        <v>46215</v>
      </c>
      <c r="B1278" s="1" t="n">
        <v>20089</v>
      </c>
      <c r="C1278" s="1" t="inlineStr">
        <is>
          <t>025</t>
        </is>
      </c>
      <c r="D1278" s="1" t="inlineStr">
        <is>
          <t>121633</t>
        </is>
      </c>
      <c r="E1278" s="1" t="inlineStr">
        <is>
          <t xml:space="preserve">30232284       </t>
        </is>
      </c>
      <c r="F1278" s="5" t="inlineStr">
        <is>
          <t>INFINITY NADO TROMPO DE BATALLA - METAL C/PUNTA DE</t>
        </is>
      </c>
      <c r="G1278" t="n">
        <v>1</v>
      </c>
      <c r="H1278" s="7" t="n">
        <v>49.9</v>
      </c>
      <c r="I1278" s="7" t="n">
        <v>0</v>
      </c>
      <c r="J1278" s="7" t="n">
        <v>0</v>
      </c>
      <c r="K1278" s="9" t="n">
        <v>0</v>
      </c>
      <c r="L1278" s="10" t="n">
        <v>29.6</v>
      </c>
      <c r="M1278" s="10" t="n">
        <v>1.43</v>
      </c>
      <c r="N1278" t="inlineStr">
        <is>
          <t>1</t>
        </is>
      </c>
      <c r="O1278" t="inlineStr">
        <is>
          <t>16</t>
        </is>
      </c>
      <c r="P1278" t="inlineStr">
        <is>
          <t xml:space="preserve">232968  </t>
        </is>
      </c>
      <c r="Q1278" s="26" t="n">
        <v>29.6</v>
      </c>
      <c r="R1278" s="26">
        <f>Q1278*G1278</f>
        <v/>
      </c>
      <c r="S1278" s="26">
        <f>IFERROR(VLOOKUP(E1278*1,Tabla[#All],8,0),0)</f>
        <v/>
      </c>
      <c r="T1278" s="26">
        <f>S1278*G1278</f>
        <v/>
      </c>
      <c r="U1278" s="26">
        <f>R1278-T1278</f>
        <v/>
      </c>
      <c r="V1278" s="26">
        <f>U1278-L1278</f>
        <v/>
      </c>
    </row>
    <row r="1279">
      <c r="A1279" s="11" t="n">
        <v>46215</v>
      </c>
      <c r="B1279" s="1" t="n">
        <v>20089</v>
      </c>
      <c r="C1279" s="1" t="inlineStr">
        <is>
          <t>026</t>
        </is>
      </c>
      <c r="D1279" s="1" t="inlineStr">
        <is>
          <t xml:space="preserve">87731 </t>
        </is>
      </c>
      <c r="E1279" s="1" t="inlineStr">
        <is>
          <t xml:space="preserve">29235700       </t>
        </is>
      </c>
      <c r="F1279" s="5" t="inlineStr">
        <is>
          <t>HOT WHEELS CASE METALICO PARA GUARDAR 18 CARRITOS</t>
        </is>
      </c>
      <c r="G1279" t="n">
        <v>1</v>
      </c>
      <c r="H1279" s="7" t="n">
        <v>49.9</v>
      </c>
      <c r="I1279" s="7" t="n">
        <v>0</v>
      </c>
      <c r="J1279" s="7" t="n">
        <v>0</v>
      </c>
      <c r="K1279" s="9" t="n">
        <v>0</v>
      </c>
      <c r="L1279" s="10" t="n">
        <v>29.6</v>
      </c>
      <c r="M1279" s="10" t="n">
        <v>1.43</v>
      </c>
      <c r="N1279" t="inlineStr">
        <is>
          <t>1</t>
        </is>
      </c>
      <c r="O1279" t="inlineStr">
        <is>
          <t>16</t>
        </is>
      </c>
      <c r="P1279" t="inlineStr">
        <is>
          <t xml:space="preserve">238367  </t>
        </is>
      </c>
      <c r="Q1279" s="26" t="n">
        <v>29.6</v>
      </c>
      <c r="R1279" s="26">
        <f>Q1279*G1279</f>
        <v/>
      </c>
      <c r="S1279" s="26">
        <f>IFERROR(VLOOKUP(E1279*1,Tabla[#All],8,0),0)</f>
        <v/>
      </c>
      <c r="T1279" s="26">
        <f>S1279*G1279</f>
        <v/>
      </c>
      <c r="U1279" s="26">
        <f>R1279-T1279</f>
        <v/>
      </c>
      <c r="V1279" s="26">
        <f>U1279-L1279</f>
        <v/>
      </c>
    </row>
    <row r="1280">
      <c r="A1280" s="11" t="n">
        <v>46215</v>
      </c>
      <c r="B1280" s="1" t="n">
        <v>20089</v>
      </c>
      <c r="C1280" s="1" t="inlineStr">
        <is>
          <t>027</t>
        </is>
      </c>
      <c r="D1280" s="1" t="inlineStr">
        <is>
          <t xml:space="preserve">15799 </t>
        </is>
      </c>
      <c r="E1280" s="1" t="inlineStr">
        <is>
          <t xml:space="preserve">28194770       </t>
        </is>
      </c>
      <c r="F1280" s="5" t="inlineStr">
        <is>
          <t>AUTOS DE METAL 3 TEAMSTERZ EN BLISTER</t>
        </is>
      </c>
      <c r="G1280" t="n">
        <v>1</v>
      </c>
      <c r="H1280" s="7" t="n">
        <v>6.9</v>
      </c>
      <c r="I1280" s="7" t="n">
        <v>0</v>
      </c>
      <c r="J1280" s="7" t="n">
        <v>0</v>
      </c>
      <c r="K1280" s="9" t="n">
        <v>0</v>
      </c>
      <c r="L1280" s="10" t="n">
        <v>4.1</v>
      </c>
      <c r="M1280" s="10" t="n">
        <v>1.43</v>
      </c>
      <c r="N1280" t="inlineStr">
        <is>
          <t>1</t>
        </is>
      </c>
      <c r="O1280" t="inlineStr">
        <is>
          <t xml:space="preserve">2 </t>
        </is>
      </c>
      <c r="P1280" t="inlineStr">
        <is>
          <t xml:space="preserve">109709  </t>
        </is>
      </c>
      <c r="Q1280" s="26" t="n">
        <v>4.09</v>
      </c>
      <c r="R1280" s="26">
        <f>Q1280*G1280</f>
        <v/>
      </c>
      <c r="S1280" s="26">
        <f>IFERROR(VLOOKUP(E1280*1,Tabla[#All],8,0),0)</f>
        <v/>
      </c>
      <c r="T1280" s="26">
        <f>S1280*G1280</f>
        <v/>
      </c>
      <c r="U1280" s="26">
        <f>R1280-T1280</f>
        <v/>
      </c>
      <c r="V1280" s="26">
        <f>U1280-L1280</f>
        <v/>
      </c>
    </row>
    <row r="1281">
      <c r="A1281" s="11" t="n">
        <v>46215</v>
      </c>
      <c r="B1281" s="1" t="n">
        <v>20089</v>
      </c>
      <c r="C1281" s="1" t="inlineStr">
        <is>
          <t>027</t>
        </is>
      </c>
      <c r="D1281" s="1" t="inlineStr">
        <is>
          <t xml:space="preserve">15831 </t>
        </is>
      </c>
      <c r="E1281" s="1" t="inlineStr">
        <is>
          <t xml:space="preserve">28194770       </t>
        </is>
      </c>
      <c r="F1281" s="5" t="inlineStr">
        <is>
          <t>AUTOS DE METAL 3 TEAMSTERZ EN BLISTER</t>
        </is>
      </c>
      <c r="G1281" t="n">
        <v>1</v>
      </c>
      <c r="H1281" s="7" t="n">
        <v>6.9</v>
      </c>
      <c r="I1281" s="7" t="n">
        <v>0</v>
      </c>
      <c r="J1281" s="7" t="n">
        <v>0</v>
      </c>
      <c r="K1281" s="9" t="n">
        <v>0</v>
      </c>
      <c r="L1281" s="10" t="n">
        <v>4.1</v>
      </c>
      <c r="M1281" s="10" t="n">
        <v>1.43</v>
      </c>
      <c r="N1281" t="inlineStr">
        <is>
          <t>1</t>
        </is>
      </c>
      <c r="O1281" t="inlineStr">
        <is>
          <t>16</t>
        </is>
      </c>
      <c r="P1281" t="inlineStr">
        <is>
          <t xml:space="preserve">109709  </t>
        </is>
      </c>
      <c r="Q1281" s="26" t="n">
        <v>4.09</v>
      </c>
      <c r="R1281" s="26">
        <f>Q1281*G1281</f>
        <v/>
      </c>
      <c r="S1281" s="26">
        <f>IFERROR(VLOOKUP(E1281*1,Tabla[#All],8,0),0)</f>
        <v/>
      </c>
      <c r="T1281" s="26">
        <f>S1281*G1281</f>
        <v/>
      </c>
      <c r="U1281" s="26">
        <f>R1281-T1281</f>
        <v/>
      </c>
      <c r="V1281" s="26">
        <f>U1281-L1281</f>
        <v/>
      </c>
    </row>
    <row r="1282">
      <c r="A1282" s="11" t="n">
        <v>46215</v>
      </c>
      <c r="B1282" s="1" t="n">
        <v>20089</v>
      </c>
      <c r="C1282" s="1" t="inlineStr">
        <is>
          <t>027</t>
        </is>
      </c>
      <c r="D1282" s="1" t="inlineStr">
        <is>
          <t xml:space="preserve">15852 </t>
        </is>
      </c>
      <c r="E1282" s="1" t="inlineStr">
        <is>
          <t xml:space="preserve">28194770       </t>
        </is>
      </c>
      <c r="F1282" s="5" t="inlineStr">
        <is>
          <t>AUTOS DE METAL 3 TEAMSTERZ EN BLISTER</t>
        </is>
      </c>
      <c r="G1282" t="n">
        <v>1</v>
      </c>
      <c r="H1282" s="7" t="n">
        <v>6.9</v>
      </c>
      <c r="I1282" s="7" t="n">
        <v>0</v>
      </c>
      <c r="J1282" s="7" t="n">
        <v>0</v>
      </c>
      <c r="K1282" s="9" t="n">
        <v>0</v>
      </c>
      <c r="L1282" s="10" t="n">
        <v>4.1</v>
      </c>
      <c r="M1282" s="10" t="n">
        <v>1.43</v>
      </c>
      <c r="N1282" t="inlineStr">
        <is>
          <t>1</t>
        </is>
      </c>
      <c r="O1282" t="inlineStr">
        <is>
          <t xml:space="preserve">2 </t>
        </is>
      </c>
      <c r="P1282" t="inlineStr">
        <is>
          <t xml:space="preserve">109709  </t>
        </is>
      </c>
      <c r="Q1282" s="26" t="n">
        <v>4.09</v>
      </c>
      <c r="R1282" s="26">
        <f>Q1282*G1282</f>
        <v/>
      </c>
      <c r="S1282" s="26">
        <f>IFERROR(VLOOKUP(E1282*1,Tabla[#All],8,0),0)</f>
        <v/>
      </c>
      <c r="T1282" s="26">
        <f>S1282*G1282</f>
        <v/>
      </c>
      <c r="U1282" s="26">
        <f>R1282-T1282</f>
        <v/>
      </c>
      <c r="V1282" s="26">
        <f>U1282-L1282</f>
        <v/>
      </c>
    </row>
    <row r="1283">
      <c r="A1283" s="11" t="n">
        <v>46215</v>
      </c>
      <c r="B1283" s="1" t="n">
        <v>20089</v>
      </c>
      <c r="C1283" s="1" t="inlineStr">
        <is>
          <t>029</t>
        </is>
      </c>
      <c r="D1283" s="1" t="inlineStr">
        <is>
          <t xml:space="preserve">182   </t>
        </is>
      </c>
      <c r="E1283" s="1" t="inlineStr">
        <is>
          <t xml:space="preserve">28194769       </t>
        </is>
      </c>
      <c r="F1283" s="5" t="inlineStr">
        <is>
          <t>AUTOS DE METAL 3 TEAMSTERZ PACK DE 2</t>
        </is>
      </c>
      <c r="G1283" t="n">
        <v>1</v>
      </c>
      <c r="H1283" s="7" t="n">
        <v>13.8</v>
      </c>
      <c r="I1283" s="7" t="n">
        <v>1.38</v>
      </c>
      <c r="J1283" s="7" t="n">
        <v>0</v>
      </c>
      <c r="K1283" s="9" t="n">
        <v>1.38</v>
      </c>
      <c r="L1283" s="10" t="n">
        <v>7.37</v>
      </c>
      <c r="M1283" s="10" t="n">
        <v>1.43</v>
      </c>
      <c r="N1283" t="inlineStr">
        <is>
          <t>1</t>
        </is>
      </c>
      <c r="O1283" t="inlineStr">
        <is>
          <t>16</t>
        </is>
      </c>
      <c r="P1283" t="inlineStr">
        <is>
          <t xml:space="preserve">250455  </t>
        </is>
      </c>
      <c r="Q1283" s="26" t="n">
        <v>8.19</v>
      </c>
      <c r="R1283" s="26">
        <f>Q1283*G1283</f>
        <v/>
      </c>
      <c r="S1283" s="26">
        <f>IFERROR(VLOOKUP(E1283*1,Tabla[#All],8,0),0)</f>
        <v/>
      </c>
      <c r="T1283" s="26">
        <f>S1283*G1283</f>
        <v/>
      </c>
      <c r="U1283" s="26">
        <f>R1283-T1283</f>
        <v/>
      </c>
      <c r="V1283" s="26">
        <f>U1283-L1283</f>
        <v/>
      </c>
    </row>
    <row r="1284">
      <c r="A1284" s="11" t="n">
        <v>46215</v>
      </c>
      <c r="B1284" s="1" t="n">
        <v>20089</v>
      </c>
      <c r="C1284" s="1" t="inlineStr">
        <is>
          <t>860</t>
        </is>
      </c>
      <c r="D1284" s="1" t="inlineStr">
        <is>
          <t xml:space="preserve">9526  </t>
        </is>
      </c>
      <c r="E1284" s="1" t="inlineStr">
        <is>
          <t xml:space="preserve">28194770       </t>
        </is>
      </c>
      <c r="F1284" s="5" t="inlineStr">
        <is>
          <t>AUTOS DE METAL 3 TEAMSTERZ EN BLISTER</t>
        </is>
      </c>
      <c r="G1284" t="n">
        <v>1</v>
      </c>
      <c r="H1284" s="7" t="n">
        <v>6.9</v>
      </c>
      <c r="I1284" s="7" t="n">
        <v>0</v>
      </c>
      <c r="J1284" s="7" t="n">
        <v>0</v>
      </c>
      <c r="K1284" s="9" t="n">
        <v>0</v>
      </c>
      <c r="L1284" s="10" t="n">
        <v>4.1</v>
      </c>
      <c r="M1284" s="10" t="n">
        <v>1.43</v>
      </c>
      <c r="N1284" t="inlineStr">
        <is>
          <t>1</t>
        </is>
      </c>
      <c r="O1284" t="inlineStr">
        <is>
          <t>16</t>
        </is>
      </c>
      <c r="P1284" t="inlineStr">
        <is>
          <t xml:space="preserve">0       </t>
        </is>
      </c>
      <c r="Q1284" s="26" t="n">
        <v>4.09</v>
      </c>
      <c r="R1284" s="26">
        <f>Q1284*G1284</f>
        <v/>
      </c>
      <c r="S1284" s="26">
        <f>IFERROR(VLOOKUP(E1284*1,Tabla[#All],8,0),0)</f>
        <v/>
      </c>
      <c r="T1284" s="26">
        <f>S1284*G1284</f>
        <v/>
      </c>
      <c r="U1284" s="26">
        <f>R1284-T1284</f>
        <v/>
      </c>
      <c r="V1284" s="26">
        <f>U1284-L1284</f>
        <v/>
      </c>
    </row>
    <row r="1285">
      <c r="A1285" s="11" t="n">
        <v>46215</v>
      </c>
      <c r="B1285" s="1" t="n">
        <v>20089</v>
      </c>
      <c r="C1285" s="1" t="inlineStr">
        <is>
          <t>860</t>
        </is>
      </c>
      <c r="D1285" s="1" t="inlineStr">
        <is>
          <t xml:space="preserve">9534  </t>
        </is>
      </c>
      <c r="E1285" s="1" t="inlineStr">
        <is>
          <t xml:space="preserve">28194770       </t>
        </is>
      </c>
      <c r="F1285" s="5" t="inlineStr">
        <is>
          <t>AUTOS DE METAL 3 TEAMSTERZ EN BLISTER</t>
        </is>
      </c>
      <c r="G1285" t="n">
        <v>1</v>
      </c>
      <c r="H1285" s="7" t="n">
        <v>6.9</v>
      </c>
      <c r="I1285" s="7" t="n">
        <v>0</v>
      </c>
      <c r="J1285" s="7" t="n">
        <v>0</v>
      </c>
      <c r="K1285" s="9" t="n">
        <v>0</v>
      </c>
      <c r="L1285" s="10" t="n">
        <v>4.1</v>
      </c>
      <c r="M1285" s="10" t="n">
        <v>1.43</v>
      </c>
      <c r="N1285" t="inlineStr">
        <is>
          <t>1</t>
        </is>
      </c>
      <c r="O1285" t="inlineStr">
        <is>
          <t>16</t>
        </is>
      </c>
      <c r="P1285" t="inlineStr">
        <is>
          <t xml:space="preserve">0       </t>
        </is>
      </c>
      <c r="Q1285" s="26" t="n">
        <v>4.09</v>
      </c>
      <c r="R1285" s="26">
        <f>Q1285*G1285</f>
        <v/>
      </c>
      <c r="S1285" s="26">
        <f>IFERROR(VLOOKUP(E1285*1,Tabla[#All],8,0),0)</f>
        <v/>
      </c>
      <c r="T1285" s="26">
        <f>S1285*G1285</f>
        <v/>
      </c>
      <c r="U1285" s="26">
        <f>R1285-T1285</f>
        <v/>
      </c>
      <c r="V1285" s="26">
        <f>U1285-L1285</f>
        <v/>
      </c>
    </row>
    <row r="1286">
      <c r="A1286" s="11" t="n">
        <v>46215</v>
      </c>
      <c r="B1286" s="1" t="n">
        <v>20095</v>
      </c>
      <c r="C1286" s="1" t="inlineStr">
        <is>
          <t>043</t>
        </is>
      </c>
      <c r="D1286" s="1" t="inlineStr">
        <is>
          <t>107770</t>
        </is>
      </c>
      <c r="E1286" s="1" t="inlineStr">
        <is>
          <t xml:space="preserve">28194768       </t>
        </is>
      </c>
      <c r="F1286" s="5" t="inlineStr">
        <is>
          <t>AUTO COLOR CHANGE TEAMSTERZ SURTIDO</t>
        </is>
      </c>
      <c r="G1286" t="n">
        <v>1</v>
      </c>
      <c r="H1286" s="7" t="n">
        <v>14.9</v>
      </c>
      <c r="I1286" s="7" t="n">
        <v>1.49</v>
      </c>
      <c r="J1286" s="7" t="n">
        <v>0</v>
      </c>
      <c r="K1286" s="9" t="n">
        <v>1.49</v>
      </c>
      <c r="L1286" s="10" t="n">
        <v>7.95</v>
      </c>
      <c r="M1286" s="10" t="n">
        <v>1.43</v>
      </c>
      <c r="N1286" t="inlineStr">
        <is>
          <t>1</t>
        </is>
      </c>
      <c r="O1286" t="inlineStr">
        <is>
          <t xml:space="preserve">3 </t>
        </is>
      </c>
      <c r="P1286" t="inlineStr">
        <is>
          <t xml:space="preserve">38948   </t>
        </is>
      </c>
      <c r="Q1286" s="26" t="n">
        <v>8.84</v>
      </c>
      <c r="R1286" s="26">
        <f>Q1286*G1286</f>
        <v/>
      </c>
      <c r="S1286" s="26">
        <f>IFERROR(VLOOKUP(E1286*1,Tabla[#All],8,0),0)</f>
        <v/>
      </c>
      <c r="T1286" s="26">
        <f>S1286*G1286</f>
        <v/>
      </c>
      <c r="U1286" s="26">
        <f>R1286-T1286</f>
        <v/>
      </c>
      <c r="V1286" s="26">
        <f>U1286-L1286</f>
        <v/>
      </c>
    </row>
    <row r="1287">
      <c r="A1287" s="11" t="n">
        <v>46215</v>
      </c>
      <c r="B1287" s="1" t="n">
        <v>20095</v>
      </c>
      <c r="C1287" s="1" t="inlineStr">
        <is>
          <t>044</t>
        </is>
      </c>
      <c r="D1287" s="1" t="inlineStr">
        <is>
          <t xml:space="preserve">93501 </t>
        </is>
      </c>
      <c r="E1287" s="1" t="inlineStr">
        <is>
          <t xml:space="preserve">28194770       </t>
        </is>
      </c>
      <c r="F1287" s="5" t="inlineStr">
        <is>
          <t>AUTOS DE METAL 3 TEAMSTERZ EN BLISTER</t>
        </is>
      </c>
      <c r="G1287" t="n">
        <v>1</v>
      </c>
      <c r="H1287" s="7" t="n">
        <v>6.9</v>
      </c>
      <c r="I1287" s="7" t="n">
        <v>0</v>
      </c>
      <c r="J1287" s="7" t="n">
        <v>0</v>
      </c>
      <c r="K1287" s="9" t="n">
        <v>0</v>
      </c>
      <c r="L1287" s="10" t="n">
        <v>4.1</v>
      </c>
      <c r="M1287" s="10" t="n">
        <v>1.43</v>
      </c>
      <c r="N1287" t="inlineStr">
        <is>
          <t>1</t>
        </is>
      </c>
      <c r="O1287" t="inlineStr">
        <is>
          <t>16</t>
        </is>
      </c>
      <c r="P1287" t="inlineStr">
        <is>
          <t xml:space="preserve">243250  </t>
        </is>
      </c>
      <c r="Q1287" s="26" t="n">
        <v>4.09</v>
      </c>
      <c r="R1287" s="26">
        <f>Q1287*G1287</f>
        <v/>
      </c>
      <c r="S1287" s="26">
        <f>IFERROR(VLOOKUP(E1287*1,Tabla[#All],8,0),0)</f>
        <v/>
      </c>
      <c r="T1287" s="26">
        <f>S1287*G1287</f>
        <v/>
      </c>
      <c r="U1287" s="26">
        <f>R1287-T1287</f>
        <v/>
      </c>
      <c r="V1287" s="26">
        <f>U1287-L1287</f>
        <v/>
      </c>
    </row>
    <row r="1288">
      <c r="A1288" s="11" t="n">
        <v>46215</v>
      </c>
      <c r="B1288" s="1" t="n">
        <v>20095</v>
      </c>
      <c r="C1288" s="1" t="inlineStr">
        <is>
          <t>044</t>
        </is>
      </c>
      <c r="D1288" s="1" t="inlineStr">
        <is>
          <t xml:space="preserve">93531 </t>
        </is>
      </c>
      <c r="E1288" s="1" t="inlineStr">
        <is>
          <t xml:space="preserve">28194769       </t>
        </is>
      </c>
      <c r="F1288" s="5" t="inlineStr">
        <is>
          <t>AUTOS DE METAL 3 TEAMSTERZ PACK DE 2</t>
        </is>
      </c>
      <c r="G1288" t="n">
        <v>1</v>
      </c>
      <c r="H1288" s="7" t="n">
        <v>13.8</v>
      </c>
      <c r="I1288" s="7" t="n">
        <v>0</v>
      </c>
      <c r="J1288" s="7" t="n">
        <v>0</v>
      </c>
      <c r="K1288" s="9" t="n">
        <v>0</v>
      </c>
      <c r="L1288" s="10" t="n">
        <v>8.18</v>
      </c>
      <c r="M1288" s="10" t="n">
        <v>1.43</v>
      </c>
      <c r="N1288" t="inlineStr">
        <is>
          <t>1</t>
        </is>
      </c>
      <c r="O1288" t="inlineStr">
        <is>
          <t>16</t>
        </is>
      </c>
      <c r="P1288" t="inlineStr">
        <is>
          <t xml:space="preserve">243250  </t>
        </is>
      </c>
      <c r="Q1288" s="26" t="n">
        <v>8.19</v>
      </c>
      <c r="R1288" s="26">
        <f>Q1288*G1288</f>
        <v/>
      </c>
      <c r="S1288" s="26">
        <f>IFERROR(VLOOKUP(E1288*1,Tabla[#All],8,0),0)</f>
        <v/>
      </c>
      <c r="T1288" s="26">
        <f>S1288*G1288</f>
        <v/>
      </c>
      <c r="U1288" s="26">
        <f>R1288-T1288</f>
        <v/>
      </c>
      <c r="V1288" s="26">
        <f>U1288-L1288</f>
        <v/>
      </c>
    </row>
    <row r="1289">
      <c r="A1289" s="11" t="n">
        <v>46215</v>
      </c>
      <c r="B1289" s="1" t="n">
        <v>20095</v>
      </c>
      <c r="C1289" s="1" t="inlineStr">
        <is>
          <t>044</t>
        </is>
      </c>
      <c r="D1289" s="1" t="inlineStr">
        <is>
          <t xml:space="preserve">93531 </t>
        </is>
      </c>
      <c r="E1289" s="1" t="inlineStr">
        <is>
          <t xml:space="preserve">30141766       </t>
        </is>
      </c>
      <c r="F1289" s="5" t="inlineStr">
        <is>
          <t>TMZ BEAST MACHINES AUTOS DE METAL BLISTER X 1</t>
        </is>
      </c>
      <c r="G1289" t="n">
        <v>1</v>
      </c>
      <c r="H1289" s="7" t="n">
        <v>7.9</v>
      </c>
      <c r="I1289" s="7" t="n">
        <v>0</v>
      </c>
      <c r="J1289" s="7" t="n">
        <v>0</v>
      </c>
      <c r="K1289" s="9" t="n">
        <v>0</v>
      </c>
      <c r="L1289" s="10" t="n">
        <v>4.68</v>
      </c>
      <c r="M1289" s="10" t="n">
        <v>1.43</v>
      </c>
      <c r="N1289" t="inlineStr">
        <is>
          <t>1</t>
        </is>
      </c>
      <c r="O1289" t="inlineStr">
        <is>
          <t>16</t>
        </is>
      </c>
      <c r="P1289" t="inlineStr">
        <is>
          <t xml:space="preserve">243250  </t>
        </is>
      </c>
      <c r="Q1289" s="26" t="n">
        <v>4.69</v>
      </c>
      <c r="R1289" s="26">
        <f>Q1289*G1289</f>
        <v/>
      </c>
      <c r="S1289" s="26">
        <f>IFERROR(VLOOKUP(E1289*1,Tabla[#All],8,0),0)</f>
        <v/>
      </c>
      <c r="T1289" s="26">
        <f>S1289*G1289</f>
        <v/>
      </c>
      <c r="U1289" s="26">
        <f>R1289-T1289</f>
        <v/>
      </c>
      <c r="V1289" s="26">
        <f>U1289-L1289</f>
        <v/>
      </c>
    </row>
    <row r="1290">
      <c r="A1290" s="11" t="n">
        <v>46215</v>
      </c>
      <c r="B1290" s="1" t="n">
        <v>20095</v>
      </c>
      <c r="C1290" s="1" t="inlineStr">
        <is>
          <t>044</t>
        </is>
      </c>
      <c r="D1290" s="1" t="inlineStr">
        <is>
          <t xml:space="preserve">93541 </t>
        </is>
      </c>
      <c r="E1290" s="1" t="inlineStr">
        <is>
          <t xml:space="preserve">29235700       </t>
        </is>
      </c>
      <c r="F1290" s="5" t="inlineStr">
        <is>
          <t>HOT WHEELS CASE METALICO PARA GUARDAR 18 CARRITOS</t>
        </is>
      </c>
      <c r="G1290" t="n">
        <v>1</v>
      </c>
      <c r="H1290" s="7" t="n">
        <v>49.9</v>
      </c>
      <c r="I1290" s="7" t="n">
        <v>0</v>
      </c>
      <c r="J1290" s="7" t="n">
        <v>0</v>
      </c>
      <c r="K1290" s="9" t="n">
        <v>0</v>
      </c>
      <c r="L1290" s="10" t="n">
        <v>29.6</v>
      </c>
      <c r="M1290" s="10" t="n">
        <v>1.43</v>
      </c>
      <c r="N1290" t="inlineStr">
        <is>
          <t>1</t>
        </is>
      </c>
      <c r="O1290" t="inlineStr">
        <is>
          <t>16</t>
        </is>
      </c>
      <c r="P1290" t="inlineStr">
        <is>
          <t xml:space="preserve">243250  </t>
        </is>
      </c>
      <c r="Q1290" s="26" t="n">
        <v>29.6</v>
      </c>
      <c r="R1290" s="26">
        <f>Q1290*G1290</f>
        <v/>
      </c>
      <c r="S1290" s="26">
        <f>IFERROR(VLOOKUP(E1290*1,Tabla[#All],8,0),0)</f>
        <v/>
      </c>
      <c r="T1290" s="26">
        <f>S1290*G1290</f>
        <v/>
      </c>
      <c r="U1290" s="26">
        <f>R1290-T1290</f>
        <v/>
      </c>
      <c r="V1290" s="26">
        <f>U1290-L1290</f>
        <v/>
      </c>
    </row>
    <row r="1291">
      <c r="A1291" s="11" t="n">
        <v>46215</v>
      </c>
      <c r="B1291" s="1" t="n">
        <v>20095</v>
      </c>
      <c r="C1291" s="1" t="inlineStr">
        <is>
          <t>044</t>
        </is>
      </c>
      <c r="D1291" s="1" t="inlineStr">
        <is>
          <t xml:space="preserve">93575 </t>
        </is>
      </c>
      <c r="E1291" s="1" t="inlineStr">
        <is>
          <t xml:space="preserve">28194770       </t>
        </is>
      </c>
      <c r="F1291" s="5" t="inlineStr">
        <is>
          <t>AUTOS DE METAL 3 TEAMSTERZ EN BLISTER</t>
        </is>
      </c>
      <c r="G1291" t="n">
        <v>1</v>
      </c>
      <c r="H1291" s="7" t="n">
        <v>6.9</v>
      </c>
      <c r="I1291" s="7" t="n">
        <v>0</v>
      </c>
      <c r="J1291" s="7" t="n">
        <v>0</v>
      </c>
      <c r="K1291" s="9" t="n">
        <v>0</v>
      </c>
      <c r="L1291" s="10" t="n">
        <v>4.1</v>
      </c>
      <c r="M1291" s="10" t="n">
        <v>1.43</v>
      </c>
      <c r="N1291" t="inlineStr">
        <is>
          <t>1</t>
        </is>
      </c>
      <c r="O1291" t="inlineStr">
        <is>
          <t>16</t>
        </is>
      </c>
      <c r="P1291" t="inlineStr">
        <is>
          <t xml:space="preserve">243250  </t>
        </is>
      </c>
      <c r="Q1291" s="26" t="n">
        <v>4.09</v>
      </c>
      <c r="R1291" s="26">
        <f>Q1291*G1291</f>
        <v/>
      </c>
      <c r="S1291" s="26">
        <f>IFERROR(VLOOKUP(E1291*1,Tabla[#All],8,0),0)</f>
        <v/>
      </c>
      <c r="T1291" s="26">
        <f>S1291*G1291</f>
        <v/>
      </c>
      <c r="U1291" s="26">
        <f>R1291-T1291</f>
        <v/>
      </c>
      <c r="V1291" s="26">
        <f>U1291-L1291</f>
        <v/>
      </c>
    </row>
    <row r="1292">
      <c r="A1292" s="11" t="n">
        <v>46215</v>
      </c>
      <c r="B1292" s="1" t="n">
        <v>20095</v>
      </c>
      <c r="C1292" s="1" t="inlineStr">
        <is>
          <t>044</t>
        </is>
      </c>
      <c r="D1292" s="1" t="inlineStr">
        <is>
          <t xml:space="preserve">93601 </t>
        </is>
      </c>
      <c r="E1292" s="1" t="inlineStr">
        <is>
          <t xml:space="preserve">30141766       </t>
        </is>
      </c>
      <c r="F1292" s="5" t="inlineStr">
        <is>
          <t>TMZ BEAST MACHINES AUTOS DE METAL BLISTER X 1</t>
        </is>
      </c>
      <c r="G1292" t="n">
        <v>1</v>
      </c>
      <c r="H1292" s="7" t="n">
        <v>7.9</v>
      </c>
      <c r="I1292" s="7" t="n">
        <v>0.79</v>
      </c>
      <c r="J1292" s="7" t="n">
        <v>0</v>
      </c>
      <c r="K1292" s="9" t="n">
        <v>0.79</v>
      </c>
      <c r="L1292" s="10" t="n">
        <v>4.22</v>
      </c>
      <c r="M1292" s="10" t="n">
        <v>1.43</v>
      </c>
      <c r="N1292" t="inlineStr">
        <is>
          <t>1</t>
        </is>
      </c>
      <c r="O1292" t="inlineStr">
        <is>
          <t xml:space="preserve">3 </t>
        </is>
      </c>
      <c r="P1292" t="inlineStr">
        <is>
          <t xml:space="preserve">243250  </t>
        </is>
      </c>
      <c r="Q1292" s="26" t="n">
        <v>4.69</v>
      </c>
      <c r="R1292" s="26">
        <f>Q1292*G1292</f>
        <v/>
      </c>
      <c r="S1292" s="26">
        <f>IFERROR(VLOOKUP(E1292*1,Tabla[#All],8,0),0)</f>
        <v/>
      </c>
      <c r="T1292" s="26">
        <f>S1292*G1292</f>
        <v/>
      </c>
      <c r="U1292" s="26">
        <f>R1292-T1292</f>
        <v/>
      </c>
      <c r="V1292" s="26">
        <f>U1292-L1292</f>
        <v/>
      </c>
    </row>
    <row r="1293">
      <c r="A1293" s="11" t="n">
        <v>46215</v>
      </c>
      <c r="B1293" s="1" t="n">
        <v>20095</v>
      </c>
      <c r="C1293" s="1" t="inlineStr">
        <is>
          <t>044</t>
        </is>
      </c>
      <c r="D1293" s="1" t="inlineStr">
        <is>
          <t xml:space="preserve">93602 </t>
        </is>
      </c>
      <c r="E1293" s="1" t="inlineStr">
        <is>
          <t xml:space="preserve">28194769       </t>
        </is>
      </c>
      <c r="F1293" s="5" t="inlineStr">
        <is>
          <t>AUTOS DE METAL 3 TEAMSTERZ PACK DE 2</t>
        </is>
      </c>
      <c r="G1293" t="n">
        <v>1</v>
      </c>
      <c r="H1293" s="7" t="n">
        <v>13.8</v>
      </c>
      <c r="I1293" s="7" t="n">
        <v>0</v>
      </c>
      <c r="J1293" s="7" t="n">
        <v>0</v>
      </c>
      <c r="K1293" s="9" t="n">
        <v>0</v>
      </c>
      <c r="L1293" s="10" t="n">
        <v>8.18</v>
      </c>
      <c r="M1293" s="10" t="n">
        <v>1.43</v>
      </c>
      <c r="N1293" t="inlineStr">
        <is>
          <t>1</t>
        </is>
      </c>
      <c r="O1293" t="inlineStr">
        <is>
          <t>16</t>
        </is>
      </c>
      <c r="P1293" t="inlineStr">
        <is>
          <t xml:space="preserve">243250  </t>
        </is>
      </c>
      <c r="Q1293" s="26" t="n">
        <v>8.19</v>
      </c>
      <c r="R1293" s="26">
        <f>Q1293*G1293</f>
        <v/>
      </c>
      <c r="S1293" s="26">
        <f>IFERROR(VLOOKUP(E1293*1,Tabla[#All],8,0),0)</f>
        <v/>
      </c>
      <c r="T1293" s="26">
        <f>S1293*G1293</f>
        <v/>
      </c>
      <c r="U1293" s="26">
        <f>R1293-T1293</f>
        <v/>
      </c>
      <c r="V1293" s="26">
        <f>U1293-L1293</f>
        <v/>
      </c>
    </row>
    <row r="1294">
      <c r="A1294" s="11" t="n">
        <v>46215</v>
      </c>
      <c r="B1294" s="1" t="n">
        <v>20095</v>
      </c>
      <c r="C1294" s="1" t="inlineStr">
        <is>
          <t>800</t>
        </is>
      </c>
      <c r="D1294" s="1" t="inlineStr">
        <is>
          <t xml:space="preserve">6678  </t>
        </is>
      </c>
      <c r="E1294" s="1" t="inlineStr">
        <is>
          <t xml:space="preserve">30141766       </t>
        </is>
      </c>
      <c r="F1294" s="5" t="inlineStr">
        <is>
          <t>TMZ BEAST MACHINES AUTOS DE METAL BLISTER X 1</t>
        </is>
      </c>
      <c r="G1294" t="n">
        <v>1</v>
      </c>
      <c r="H1294" s="7" t="n">
        <v>7.9</v>
      </c>
      <c r="I1294" s="7" t="n">
        <v>0</v>
      </c>
      <c r="J1294" s="7" t="n">
        <v>0</v>
      </c>
      <c r="K1294" s="9" t="n">
        <v>0</v>
      </c>
      <c r="L1294" s="10" t="n">
        <v>4.68</v>
      </c>
      <c r="M1294" s="10" t="n">
        <v>1.43</v>
      </c>
      <c r="N1294" t="inlineStr">
        <is>
          <t>1</t>
        </is>
      </c>
      <c r="O1294" t="inlineStr">
        <is>
          <t>16</t>
        </is>
      </c>
      <c r="P1294" t="inlineStr">
        <is>
          <t xml:space="preserve">0       </t>
        </is>
      </c>
      <c r="Q1294" s="26" t="n">
        <v>4.69</v>
      </c>
      <c r="R1294" s="26">
        <f>Q1294*G1294</f>
        <v/>
      </c>
      <c r="S1294" s="26">
        <f>IFERROR(VLOOKUP(E1294*1,Tabla[#All],8,0),0)</f>
        <v/>
      </c>
      <c r="T1294" s="26">
        <f>S1294*G1294</f>
        <v/>
      </c>
      <c r="U1294" s="26">
        <f>R1294-T1294</f>
        <v/>
      </c>
      <c r="V1294" s="26">
        <f>U1294-L1294</f>
        <v/>
      </c>
    </row>
    <row r="1295">
      <c r="A1295" s="11" t="n">
        <v>46216</v>
      </c>
      <c r="B1295" s="1" t="n">
        <v>20021</v>
      </c>
      <c r="C1295" s="1" t="inlineStr">
        <is>
          <t>078</t>
        </is>
      </c>
      <c r="D1295" s="1" t="inlineStr">
        <is>
          <t>100772</t>
        </is>
      </c>
      <c r="E1295" s="1" t="inlineStr">
        <is>
          <t xml:space="preserve">28194770       </t>
        </is>
      </c>
      <c r="F1295" s="5" t="inlineStr">
        <is>
          <t>AUTOS DE METAL 3 TEAMSTERZ EN BLISTER</t>
        </is>
      </c>
      <c r="G1295" t="n">
        <v>1</v>
      </c>
      <c r="H1295" s="7" t="n">
        <v>6.9</v>
      </c>
      <c r="I1295" s="7" t="n">
        <v>0</v>
      </c>
      <c r="J1295" s="7" t="n">
        <v>0</v>
      </c>
      <c r="K1295" s="9" t="n">
        <v>0</v>
      </c>
      <c r="L1295" s="10" t="n">
        <v>4.1</v>
      </c>
      <c r="M1295" s="10" t="n">
        <v>1.43</v>
      </c>
      <c r="N1295" t="inlineStr">
        <is>
          <t>1</t>
        </is>
      </c>
      <c r="O1295" t="inlineStr">
        <is>
          <t>16</t>
        </is>
      </c>
      <c r="P1295" t="inlineStr">
        <is>
          <t xml:space="preserve">42013   </t>
        </is>
      </c>
      <c r="Q1295" s="26" t="n">
        <v>4.09</v>
      </c>
      <c r="R1295" s="26">
        <f>Q1295*G1295</f>
        <v/>
      </c>
      <c r="S1295" s="26">
        <f>IFERROR(VLOOKUP(E1295*1,Tabla[#All],8,0),0)</f>
        <v/>
      </c>
      <c r="T1295" s="26">
        <f>S1295*G1295</f>
        <v/>
      </c>
      <c r="U1295" s="26">
        <f>R1295-T1295</f>
        <v/>
      </c>
      <c r="V1295" s="26">
        <f>U1295-L1295</f>
        <v/>
      </c>
    </row>
    <row r="1296">
      <c r="A1296" s="11" t="n">
        <v>46216</v>
      </c>
      <c r="B1296" s="1" t="n">
        <v>20021</v>
      </c>
      <c r="C1296" s="1" t="inlineStr">
        <is>
          <t>078</t>
        </is>
      </c>
      <c r="D1296" s="1" t="inlineStr">
        <is>
          <t>100785</t>
        </is>
      </c>
      <c r="E1296" s="1" t="inlineStr">
        <is>
          <t xml:space="preserve">28194770       </t>
        </is>
      </c>
      <c r="F1296" s="5" t="inlineStr">
        <is>
          <t>AUTOS DE METAL 3 TEAMSTERZ EN BLISTER</t>
        </is>
      </c>
      <c r="G1296" t="n">
        <v>1</v>
      </c>
      <c r="H1296" s="7" t="n">
        <v>6.9</v>
      </c>
      <c r="I1296" s="7" t="n">
        <v>0</v>
      </c>
      <c r="J1296" s="7" t="n">
        <v>0</v>
      </c>
      <c r="K1296" s="9" t="n">
        <v>0</v>
      </c>
      <c r="L1296" s="10" t="n">
        <v>4.1</v>
      </c>
      <c r="M1296" s="10" t="n">
        <v>1.43</v>
      </c>
      <c r="N1296" t="inlineStr">
        <is>
          <t>1</t>
        </is>
      </c>
      <c r="O1296" t="inlineStr">
        <is>
          <t>16</t>
        </is>
      </c>
      <c r="P1296" t="inlineStr">
        <is>
          <t xml:space="preserve">42013   </t>
        </is>
      </c>
      <c r="Q1296" s="26" t="n">
        <v>4.09</v>
      </c>
      <c r="R1296" s="26">
        <f>Q1296*G1296</f>
        <v/>
      </c>
      <c r="S1296" s="26">
        <f>IFERROR(VLOOKUP(E1296*1,Tabla[#All],8,0),0)</f>
        <v/>
      </c>
      <c r="T1296" s="26">
        <f>S1296*G1296</f>
        <v/>
      </c>
      <c r="U1296" s="26">
        <f>R1296-T1296</f>
        <v/>
      </c>
      <c r="V1296" s="26">
        <f>U1296-L1296</f>
        <v/>
      </c>
    </row>
    <row r="1297">
      <c r="A1297" s="11" t="n">
        <v>46216</v>
      </c>
      <c r="B1297" s="1" t="n">
        <v>20021</v>
      </c>
      <c r="C1297" s="1" t="inlineStr">
        <is>
          <t>078</t>
        </is>
      </c>
      <c r="D1297" s="1" t="inlineStr">
        <is>
          <t>100785</t>
        </is>
      </c>
      <c r="E1297" s="1" t="inlineStr">
        <is>
          <t xml:space="preserve">30141766       </t>
        </is>
      </c>
      <c r="F1297" s="5" t="inlineStr">
        <is>
          <t>TMZ BEAST MACHINES AUTOS DE METAL BLISTER X 1</t>
        </is>
      </c>
      <c r="G1297" t="n">
        <v>1</v>
      </c>
      <c r="H1297" s="7" t="n">
        <v>7.9</v>
      </c>
      <c r="I1297" s="7" t="n">
        <v>0</v>
      </c>
      <c r="J1297" s="7" t="n">
        <v>0</v>
      </c>
      <c r="K1297" s="9" t="n">
        <v>0</v>
      </c>
      <c r="L1297" s="10" t="n">
        <v>4.68</v>
      </c>
      <c r="M1297" s="10" t="n">
        <v>1.43</v>
      </c>
      <c r="N1297" t="inlineStr">
        <is>
          <t>1</t>
        </is>
      </c>
      <c r="O1297" t="inlineStr">
        <is>
          <t>16</t>
        </is>
      </c>
      <c r="P1297" t="inlineStr">
        <is>
          <t xml:space="preserve">42013   </t>
        </is>
      </c>
      <c r="Q1297" s="26" t="n">
        <v>4.69</v>
      </c>
      <c r="R1297" s="26">
        <f>Q1297*G1297</f>
        <v/>
      </c>
      <c r="S1297" s="26">
        <f>IFERROR(VLOOKUP(E1297*1,Tabla[#All],8,0),0)</f>
        <v/>
      </c>
      <c r="T1297" s="26">
        <f>S1297*G1297</f>
        <v/>
      </c>
      <c r="U1297" s="26">
        <f>R1297-T1297</f>
        <v/>
      </c>
      <c r="V1297" s="26">
        <f>U1297-L1297</f>
        <v/>
      </c>
    </row>
    <row r="1298">
      <c r="A1298" s="11" t="n">
        <v>46216</v>
      </c>
      <c r="B1298" s="1" t="n">
        <v>20021</v>
      </c>
      <c r="C1298" s="1" t="inlineStr">
        <is>
          <t>080</t>
        </is>
      </c>
      <c r="D1298" s="1" t="inlineStr">
        <is>
          <t>309648</t>
        </is>
      </c>
      <c r="E1298" s="1" t="inlineStr">
        <is>
          <t xml:space="preserve">28194769       </t>
        </is>
      </c>
      <c r="F1298" s="5" t="inlineStr">
        <is>
          <t>AUTOS DE METAL 3 TEAMSTERZ PACK DE 2</t>
        </is>
      </c>
      <c r="G1298" t="n">
        <v>1</v>
      </c>
      <c r="H1298" s="7" t="n">
        <v>13.8</v>
      </c>
      <c r="I1298" s="7" t="n">
        <v>0</v>
      </c>
      <c r="J1298" s="7" t="n">
        <v>0</v>
      </c>
      <c r="K1298" s="9" t="n">
        <v>0</v>
      </c>
      <c r="L1298" s="10" t="n">
        <v>8.18</v>
      </c>
      <c r="M1298" s="10" t="n">
        <v>1.43</v>
      </c>
      <c r="N1298" t="inlineStr">
        <is>
          <t>1</t>
        </is>
      </c>
      <c r="O1298" t="inlineStr">
        <is>
          <t xml:space="preserve">2 </t>
        </is>
      </c>
      <c r="P1298" t="inlineStr">
        <is>
          <t xml:space="preserve">249982  </t>
        </is>
      </c>
      <c r="Q1298" s="26" t="n">
        <v>8.19</v>
      </c>
      <c r="R1298" s="26">
        <f>Q1298*G1298</f>
        <v/>
      </c>
      <c r="S1298" s="26">
        <f>IFERROR(VLOOKUP(E1298*1,Tabla[#All],8,0),0)</f>
        <v/>
      </c>
      <c r="T1298" s="26">
        <f>S1298*G1298</f>
        <v/>
      </c>
      <c r="U1298" s="26">
        <f>R1298-T1298</f>
        <v/>
      </c>
      <c r="V1298" s="26">
        <f>U1298-L1298</f>
        <v/>
      </c>
    </row>
    <row r="1299">
      <c r="A1299" s="11" t="n">
        <v>46216</v>
      </c>
      <c r="B1299" s="1" t="n">
        <v>20021</v>
      </c>
      <c r="C1299" s="1" t="inlineStr">
        <is>
          <t>081</t>
        </is>
      </c>
      <c r="D1299" s="1" t="inlineStr">
        <is>
          <t>175932</t>
        </is>
      </c>
      <c r="E1299" s="1" t="inlineStr">
        <is>
          <t xml:space="preserve">28194770       </t>
        </is>
      </c>
      <c r="F1299" s="5" t="inlineStr">
        <is>
          <t>AUTOS DE METAL 3 TEAMSTERZ EN BLISTER</t>
        </is>
      </c>
      <c r="G1299" t="n">
        <v>1</v>
      </c>
      <c r="H1299" s="7" t="n">
        <v>6.9</v>
      </c>
      <c r="I1299" s="7" t="n">
        <v>0</v>
      </c>
      <c r="J1299" s="7" t="n">
        <v>0</v>
      </c>
      <c r="K1299" s="9" t="n">
        <v>0</v>
      </c>
      <c r="L1299" s="10" t="n">
        <v>4.1</v>
      </c>
      <c r="M1299" s="10" t="n">
        <v>1.43</v>
      </c>
      <c r="N1299" t="inlineStr">
        <is>
          <t>1</t>
        </is>
      </c>
      <c r="O1299" t="inlineStr">
        <is>
          <t xml:space="preserve">2 </t>
        </is>
      </c>
      <c r="P1299" t="inlineStr">
        <is>
          <t xml:space="preserve">22701   </t>
        </is>
      </c>
      <c r="Q1299" s="26" t="n">
        <v>4.09</v>
      </c>
      <c r="R1299" s="26">
        <f>Q1299*G1299</f>
        <v/>
      </c>
      <c r="S1299" s="26">
        <f>IFERROR(VLOOKUP(E1299*1,Tabla[#All],8,0),0)</f>
        <v/>
      </c>
      <c r="T1299" s="26">
        <f>S1299*G1299</f>
        <v/>
      </c>
      <c r="U1299" s="26">
        <f>R1299-T1299</f>
        <v/>
      </c>
      <c r="V1299" s="26">
        <f>U1299-L1299</f>
        <v/>
      </c>
    </row>
    <row r="1300">
      <c r="A1300" s="11" t="n">
        <v>46216</v>
      </c>
      <c r="B1300" s="1" t="n">
        <v>20023</v>
      </c>
      <c r="C1300" s="1" t="inlineStr">
        <is>
          <t>105</t>
        </is>
      </c>
      <c r="D1300" s="1" t="inlineStr">
        <is>
          <t xml:space="preserve">90953 </t>
        </is>
      </c>
      <c r="E1300" s="1" t="inlineStr">
        <is>
          <t xml:space="preserve">28194770       </t>
        </is>
      </c>
      <c r="F1300" s="5" t="inlineStr">
        <is>
          <t>AUTOS DE METAL 3 TEAMSTERZ EN BLISTER</t>
        </is>
      </c>
      <c r="G1300" t="n">
        <v>1</v>
      </c>
      <c r="H1300" s="7" t="n">
        <v>6.9</v>
      </c>
      <c r="I1300" s="7" t="n">
        <v>0</v>
      </c>
      <c r="J1300" s="7" t="n">
        <v>0</v>
      </c>
      <c r="K1300" s="9" t="n">
        <v>0</v>
      </c>
      <c r="L1300" s="10" t="n">
        <v>4.1</v>
      </c>
      <c r="M1300" s="10" t="n">
        <v>1.43</v>
      </c>
      <c r="N1300" t="inlineStr">
        <is>
          <t>1</t>
        </is>
      </c>
      <c r="O1300" t="inlineStr">
        <is>
          <t>16</t>
        </is>
      </c>
      <c r="P1300" t="inlineStr">
        <is>
          <t xml:space="preserve">20173   </t>
        </is>
      </c>
      <c r="Q1300" s="26" t="n">
        <v>4.09</v>
      </c>
      <c r="R1300" s="26">
        <f>Q1300*G1300</f>
        <v/>
      </c>
      <c r="S1300" s="26">
        <f>IFERROR(VLOOKUP(E1300*1,Tabla[#All],8,0),0)</f>
        <v/>
      </c>
      <c r="T1300" s="26">
        <f>S1300*G1300</f>
        <v/>
      </c>
      <c r="U1300" s="26">
        <f>R1300-T1300</f>
        <v/>
      </c>
      <c r="V1300" s="26">
        <f>U1300-L1300</f>
        <v/>
      </c>
    </row>
    <row r="1301">
      <c r="A1301" s="11" t="n">
        <v>46216</v>
      </c>
      <c r="B1301" s="1" t="n">
        <v>20023</v>
      </c>
      <c r="C1301" s="1" t="inlineStr">
        <is>
          <t>105</t>
        </is>
      </c>
      <c r="D1301" s="1" t="inlineStr">
        <is>
          <t xml:space="preserve">90953 </t>
        </is>
      </c>
      <c r="E1301" s="1" t="inlineStr">
        <is>
          <t xml:space="preserve">28194770       </t>
        </is>
      </c>
      <c r="F1301" s="5" t="inlineStr">
        <is>
          <t>AUTOS DE METAL 3 TEAMSTERZ EN BLISTER</t>
        </is>
      </c>
      <c r="G1301" t="n">
        <v>1</v>
      </c>
      <c r="H1301" s="7" t="n">
        <v>6.9</v>
      </c>
      <c r="I1301" s="7" t="n">
        <v>0</v>
      </c>
      <c r="J1301" s="7" t="n">
        <v>0</v>
      </c>
      <c r="K1301" s="9" t="n">
        <v>0</v>
      </c>
      <c r="L1301" s="10" t="n">
        <v>4.1</v>
      </c>
      <c r="M1301" s="10" t="n">
        <v>1.43</v>
      </c>
      <c r="N1301" t="inlineStr">
        <is>
          <t>1</t>
        </is>
      </c>
      <c r="O1301" t="inlineStr">
        <is>
          <t>16</t>
        </is>
      </c>
      <c r="P1301" t="inlineStr">
        <is>
          <t xml:space="preserve">20173   </t>
        </is>
      </c>
      <c r="Q1301" s="26" t="n">
        <v>4.09</v>
      </c>
      <c r="R1301" s="26">
        <f>Q1301*G1301</f>
        <v/>
      </c>
      <c r="S1301" s="26">
        <f>IFERROR(VLOOKUP(E1301*1,Tabla[#All],8,0),0)</f>
        <v/>
      </c>
      <c r="T1301" s="26">
        <f>S1301*G1301</f>
        <v/>
      </c>
      <c r="U1301" s="26">
        <f>R1301-T1301</f>
        <v/>
      </c>
      <c r="V1301" s="26">
        <f>U1301-L1301</f>
        <v/>
      </c>
    </row>
    <row r="1302">
      <c r="A1302" s="11" t="n">
        <v>46216</v>
      </c>
      <c r="B1302" s="1" t="n">
        <v>20025</v>
      </c>
      <c r="C1302" s="1" t="inlineStr">
        <is>
          <t>074</t>
        </is>
      </c>
      <c r="D1302" s="1" t="inlineStr">
        <is>
          <t xml:space="preserve">82819 </t>
        </is>
      </c>
      <c r="E1302" s="1" t="inlineStr">
        <is>
          <t xml:space="preserve">28194769       </t>
        </is>
      </c>
      <c r="F1302" s="5" t="inlineStr">
        <is>
          <t>AUTOS DE METAL 3 TEAMSTERZ PACK DE 2</t>
        </is>
      </c>
      <c r="G1302" t="n">
        <v>1</v>
      </c>
      <c r="H1302" s="7" t="n">
        <v>13.8</v>
      </c>
      <c r="I1302" s="7" t="n">
        <v>0</v>
      </c>
      <c r="J1302" s="7" t="n">
        <v>0</v>
      </c>
      <c r="K1302" s="9" t="n">
        <v>0</v>
      </c>
      <c r="L1302" s="10" t="n">
        <v>8.18</v>
      </c>
      <c r="M1302" s="10" t="n">
        <v>1.43</v>
      </c>
      <c r="N1302" t="inlineStr">
        <is>
          <t>1</t>
        </is>
      </c>
      <c r="O1302" t="inlineStr">
        <is>
          <t>16</t>
        </is>
      </c>
      <c r="P1302" t="inlineStr">
        <is>
          <t xml:space="preserve">39592   </t>
        </is>
      </c>
      <c r="Q1302" s="26" t="n">
        <v>8.19</v>
      </c>
      <c r="R1302" s="26">
        <f>Q1302*G1302</f>
        <v/>
      </c>
      <c r="S1302" s="26">
        <f>IFERROR(VLOOKUP(E1302*1,Tabla[#All],8,0),0)</f>
        <v/>
      </c>
      <c r="T1302" s="26">
        <f>S1302*G1302</f>
        <v/>
      </c>
      <c r="U1302" s="26">
        <f>R1302-T1302</f>
        <v/>
      </c>
      <c r="V1302" s="26">
        <f>U1302-L1302</f>
        <v/>
      </c>
    </row>
    <row r="1303">
      <c r="A1303" s="11" t="n">
        <v>46216</v>
      </c>
      <c r="B1303" s="1" t="n">
        <v>20028</v>
      </c>
      <c r="C1303" s="1" t="inlineStr">
        <is>
          <t>140</t>
        </is>
      </c>
      <c r="D1303" s="1" t="inlineStr">
        <is>
          <t>225237</t>
        </is>
      </c>
      <c r="E1303" s="1" t="inlineStr">
        <is>
          <t xml:space="preserve">28194770       </t>
        </is>
      </c>
      <c r="F1303" s="5" t="inlineStr">
        <is>
          <t>AUTOS DE METAL 3 TEAMSTERZ EN BLISTER</t>
        </is>
      </c>
      <c r="G1303" t="n">
        <v>1</v>
      </c>
      <c r="H1303" s="7" t="n">
        <v>6.9</v>
      </c>
      <c r="I1303" s="7" t="n">
        <v>0</v>
      </c>
      <c r="J1303" s="7" t="n">
        <v>0</v>
      </c>
      <c r="K1303" s="9" t="n">
        <v>0</v>
      </c>
      <c r="L1303" s="10" t="n">
        <v>4.1</v>
      </c>
      <c r="M1303" s="10" t="n">
        <v>1.43</v>
      </c>
      <c r="N1303" t="inlineStr">
        <is>
          <t>1</t>
        </is>
      </c>
      <c r="O1303" t="inlineStr">
        <is>
          <t>16</t>
        </is>
      </c>
      <c r="P1303" t="inlineStr">
        <is>
          <t xml:space="preserve">33914   </t>
        </is>
      </c>
      <c r="Q1303" s="26" t="n">
        <v>4.09</v>
      </c>
      <c r="R1303" s="26">
        <f>Q1303*G1303</f>
        <v/>
      </c>
      <c r="S1303" s="26">
        <f>IFERROR(VLOOKUP(E1303*1,Tabla[#All],8,0),0)</f>
        <v/>
      </c>
      <c r="T1303" s="26">
        <f>S1303*G1303</f>
        <v/>
      </c>
      <c r="U1303" s="26">
        <f>R1303-T1303</f>
        <v/>
      </c>
      <c r="V1303" s="26">
        <f>U1303-L1303</f>
        <v/>
      </c>
    </row>
    <row r="1304">
      <c r="A1304" s="11" t="n">
        <v>46216</v>
      </c>
      <c r="B1304" s="1" t="n">
        <v>20028</v>
      </c>
      <c r="C1304" s="1" t="inlineStr">
        <is>
          <t>140</t>
        </is>
      </c>
      <c r="D1304" s="1" t="inlineStr">
        <is>
          <t>225237</t>
        </is>
      </c>
      <c r="E1304" s="1" t="inlineStr">
        <is>
          <t xml:space="preserve">28194770       </t>
        </is>
      </c>
      <c r="F1304" s="5" t="inlineStr">
        <is>
          <t>AUTOS DE METAL 3 TEAMSTERZ EN BLISTER</t>
        </is>
      </c>
      <c r="G1304" t="n">
        <v>1</v>
      </c>
      <c r="H1304" s="7" t="n">
        <v>6.9</v>
      </c>
      <c r="I1304" s="7" t="n">
        <v>0</v>
      </c>
      <c r="J1304" s="7" t="n">
        <v>0</v>
      </c>
      <c r="K1304" s="9" t="n">
        <v>0</v>
      </c>
      <c r="L1304" s="10" t="n">
        <v>4.1</v>
      </c>
      <c r="M1304" s="10" t="n">
        <v>1.43</v>
      </c>
      <c r="N1304" t="inlineStr">
        <is>
          <t>1</t>
        </is>
      </c>
      <c r="O1304" t="inlineStr">
        <is>
          <t>16</t>
        </is>
      </c>
      <c r="P1304" t="inlineStr">
        <is>
          <t xml:space="preserve">33914   </t>
        </is>
      </c>
      <c r="Q1304" s="26" t="n">
        <v>4.09</v>
      </c>
      <c r="R1304" s="26">
        <f>Q1304*G1304</f>
        <v/>
      </c>
      <c r="S1304" s="26">
        <f>IFERROR(VLOOKUP(E1304*1,Tabla[#All],8,0),0)</f>
        <v/>
      </c>
      <c r="T1304" s="26">
        <f>S1304*G1304</f>
        <v/>
      </c>
      <c r="U1304" s="26">
        <f>R1304-T1304</f>
        <v/>
      </c>
      <c r="V1304" s="26">
        <f>U1304-L1304</f>
        <v/>
      </c>
    </row>
    <row r="1305">
      <c r="A1305" s="11" t="n">
        <v>46216</v>
      </c>
      <c r="B1305" s="1" t="n">
        <v>20030</v>
      </c>
      <c r="C1305" s="1" t="inlineStr">
        <is>
          <t>067</t>
        </is>
      </c>
      <c r="D1305" s="1" t="inlineStr">
        <is>
          <t>274049</t>
        </is>
      </c>
      <c r="E1305" s="1" t="inlineStr">
        <is>
          <t xml:space="preserve">34840525       </t>
        </is>
      </c>
      <c r="F1305" s="5" t="inlineStr">
        <is>
          <t>NENUCO VAMOS DE PASEO</t>
        </is>
      </c>
      <c r="G1305" t="n">
        <v>1</v>
      </c>
      <c r="H1305" s="7" t="n">
        <v>99</v>
      </c>
      <c r="I1305" s="7" t="n">
        <v>0</v>
      </c>
      <c r="J1305" s="7" t="n">
        <v>0</v>
      </c>
      <c r="K1305" s="9" t="n">
        <v>0</v>
      </c>
      <c r="L1305" s="10" t="n">
        <v>58.73</v>
      </c>
      <c r="M1305" s="10" t="n">
        <v>1.43</v>
      </c>
      <c r="N1305" t="inlineStr">
        <is>
          <t>1</t>
        </is>
      </c>
      <c r="O1305" t="inlineStr">
        <is>
          <t>16</t>
        </is>
      </c>
      <c r="P1305" t="inlineStr">
        <is>
          <t xml:space="preserve">39099   </t>
        </is>
      </c>
      <c r="Q1305" s="26" t="n">
        <v>58.73</v>
      </c>
      <c r="R1305" s="26">
        <f>Q1305*G1305</f>
        <v/>
      </c>
      <c r="S1305" s="26">
        <f>IFERROR(VLOOKUP(E1305*1,Tabla[#All],8,0),0)</f>
        <v/>
      </c>
      <c r="T1305" s="26">
        <f>S1305*G1305</f>
        <v/>
      </c>
      <c r="U1305" s="26">
        <f>R1305-T1305</f>
        <v/>
      </c>
      <c r="V1305" s="26">
        <f>U1305-L1305</f>
        <v/>
      </c>
    </row>
    <row r="1306">
      <c r="A1306" s="11" t="n">
        <v>46216</v>
      </c>
      <c r="B1306" s="1" t="n">
        <v>20030</v>
      </c>
      <c r="C1306" s="1" t="inlineStr">
        <is>
          <t>067</t>
        </is>
      </c>
      <c r="D1306" s="1" t="inlineStr">
        <is>
          <t>274049</t>
        </is>
      </c>
      <c r="E1306" s="1" t="inlineStr">
        <is>
          <t xml:space="preserve">34840556       </t>
        </is>
      </c>
      <c r="F1306" s="5" t="inlineStr">
        <is>
          <t>TMZ BEAST MACH. TRANSPORT DINO +ACCS</t>
        </is>
      </c>
      <c r="G1306" t="n">
        <v>1</v>
      </c>
      <c r="H1306" s="7" t="n">
        <v>79.90000000000001</v>
      </c>
      <c r="I1306" s="7" t="n">
        <v>0</v>
      </c>
      <c r="J1306" s="7" t="n">
        <v>0</v>
      </c>
      <c r="K1306" s="9" t="n">
        <v>0</v>
      </c>
      <c r="L1306" s="10" t="n">
        <v>47.4</v>
      </c>
      <c r="M1306" s="10" t="n">
        <v>1.43</v>
      </c>
      <c r="N1306" t="inlineStr">
        <is>
          <t>1</t>
        </is>
      </c>
      <c r="O1306" t="inlineStr">
        <is>
          <t>16</t>
        </is>
      </c>
      <c r="P1306" t="inlineStr">
        <is>
          <t xml:space="preserve">39099   </t>
        </is>
      </c>
      <c r="Q1306" s="26" t="n">
        <v>47.4</v>
      </c>
      <c r="R1306" s="26">
        <f>Q1306*G1306</f>
        <v/>
      </c>
      <c r="S1306" s="26">
        <f>IFERROR(VLOOKUP(E1306*1,Tabla[#All],8,0),0)</f>
        <v/>
      </c>
      <c r="T1306" s="26">
        <f>S1306*G1306</f>
        <v/>
      </c>
      <c r="U1306" s="26">
        <f>R1306-T1306</f>
        <v/>
      </c>
      <c r="V1306" s="26">
        <f>U1306-L1306</f>
        <v/>
      </c>
    </row>
    <row r="1307">
      <c r="A1307" s="11" t="n">
        <v>46216</v>
      </c>
      <c r="B1307" s="1" t="n">
        <v>20030</v>
      </c>
      <c r="C1307" s="1" t="inlineStr">
        <is>
          <t>067</t>
        </is>
      </c>
      <c r="D1307" s="1" t="inlineStr">
        <is>
          <t>274064</t>
        </is>
      </c>
      <c r="E1307" s="1" t="inlineStr">
        <is>
          <t xml:space="preserve">28194770       </t>
        </is>
      </c>
      <c r="F1307" s="5" t="inlineStr">
        <is>
          <t>AUTOS DE METAL 3 TEAMSTERZ EN BLISTER</t>
        </is>
      </c>
      <c r="G1307" t="n">
        <v>1</v>
      </c>
      <c r="H1307" s="7" t="n">
        <v>6.9</v>
      </c>
      <c r="I1307" s="7" t="n">
        <v>0</v>
      </c>
      <c r="J1307" s="7" t="n">
        <v>0</v>
      </c>
      <c r="K1307" s="9" t="n">
        <v>0</v>
      </c>
      <c r="L1307" s="10" t="n">
        <v>4.1</v>
      </c>
      <c r="M1307" s="10" t="n">
        <v>1.43</v>
      </c>
      <c r="N1307" t="inlineStr">
        <is>
          <t>1</t>
        </is>
      </c>
      <c r="O1307" t="inlineStr">
        <is>
          <t>16</t>
        </is>
      </c>
      <c r="P1307" t="inlineStr">
        <is>
          <t xml:space="preserve">39099   </t>
        </is>
      </c>
      <c r="Q1307" s="26" t="n">
        <v>4.09</v>
      </c>
      <c r="R1307" s="26">
        <f>Q1307*G1307</f>
        <v/>
      </c>
      <c r="S1307" s="26">
        <f>IFERROR(VLOOKUP(E1307*1,Tabla[#All],8,0),0)</f>
        <v/>
      </c>
      <c r="T1307" s="26">
        <f>S1307*G1307</f>
        <v/>
      </c>
      <c r="U1307" s="26">
        <f>R1307-T1307</f>
        <v/>
      </c>
      <c r="V1307" s="26">
        <f>U1307-L1307</f>
        <v/>
      </c>
    </row>
    <row r="1308">
      <c r="A1308" s="11" t="n">
        <v>46216</v>
      </c>
      <c r="B1308" s="1" t="n">
        <v>20030</v>
      </c>
      <c r="C1308" s="1" t="inlineStr">
        <is>
          <t>067</t>
        </is>
      </c>
      <c r="D1308" s="1" t="inlineStr">
        <is>
          <t xml:space="preserve">8963  </t>
        </is>
      </c>
      <c r="E1308" s="1" t="inlineStr">
        <is>
          <t xml:space="preserve">28194770       </t>
        </is>
      </c>
      <c r="F1308" s="5" t="inlineStr">
        <is>
          <t>AUTOS DE METAL 3 TEAMSTERZ EN BLISTER</t>
        </is>
      </c>
      <c r="G1308" t="n">
        <v>1</v>
      </c>
      <c r="H1308" s="7" t="n">
        <v>6.9</v>
      </c>
      <c r="I1308" s="7" t="n">
        <v>0</v>
      </c>
      <c r="J1308" s="7" t="n">
        <v>0</v>
      </c>
      <c r="K1308" s="9" t="n">
        <v>0</v>
      </c>
      <c r="L1308" s="10" t="n">
        <v>4.1</v>
      </c>
      <c r="M1308" s="10" t="n">
        <v>1.43</v>
      </c>
      <c r="N1308" t="inlineStr">
        <is>
          <t>1</t>
        </is>
      </c>
      <c r="O1308" t="inlineStr">
        <is>
          <t xml:space="preserve">6 </t>
        </is>
      </c>
      <c r="P1308" t="inlineStr">
        <is>
          <t xml:space="preserve">39099   </t>
        </is>
      </c>
      <c r="Q1308" s="26" t="n">
        <v>4.09</v>
      </c>
      <c r="R1308" s="26">
        <f>Q1308*G1308</f>
        <v/>
      </c>
      <c r="S1308" s="26">
        <f>IFERROR(VLOOKUP(E1308*1,Tabla[#All],8,0),0)</f>
        <v/>
      </c>
      <c r="T1308" s="26">
        <f>S1308*G1308</f>
        <v/>
      </c>
      <c r="U1308" s="26">
        <f>R1308-T1308</f>
        <v/>
      </c>
      <c r="V1308" s="26">
        <f>U1308-L1308</f>
        <v/>
      </c>
    </row>
    <row r="1309">
      <c r="A1309" s="11" t="n">
        <v>46216</v>
      </c>
      <c r="B1309" s="1" t="n">
        <v>20040</v>
      </c>
      <c r="C1309" s="1" t="inlineStr">
        <is>
          <t>190</t>
        </is>
      </c>
      <c r="D1309" s="1" t="inlineStr">
        <is>
          <t>368164</t>
        </is>
      </c>
      <c r="E1309" s="1" t="inlineStr">
        <is>
          <t xml:space="preserve">28194769       </t>
        </is>
      </c>
      <c r="F1309" s="5" t="inlineStr">
        <is>
          <t>AUTOS DE METAL 3 TEAMSTERZ PACK DE 2</t>
        </is>
      </c>
      <c r="G1309" t="n">
        <v>1</v>
      </c>
      <c r="H1309" s="7" t="n">
        <v>13.8</v>
      </c>
      <c r="I1309" s="7" t="n">
        <v>0</v>
      </c>
      <c r="J1309" s="7" t="n">
        <v>0</v>
      </c>
      <c r="K1309" s="9" t="n">
        <v>0</v>
      </c>
      <c r="L1309" s="10" t="n">
        <v>8.18</v>
      </c>
      <c r="M1309" s="10" t="n">
        <v>1.43</v>
      </c>
      <c r="N1309" t="inlineStr">
        <is>
          <t>1</t>
        </is>
      </c>
      <c r="O1309" t="inlineStr">
        <is>
          <t>16</t>
        </is>
      </c>
      <c r="P1309" t="inlineStr">
        <is>
          <t xml:space="preserve">247177  </t>
        </is>
      </c>
      <c r="Q1309" s="26" t="n">
        <v>8.19</v>
      </c>
      <c r="R1309" s="26">
        <f>Q1309*G1309</f>
        <v/>
      </c>
      <c r="S1309" s="26">
        <f>IFERROR(VLOOKUP(E1309*1,Tabla[#All],8,0),0)</f>
        <v/>
      </c>
      <c r="T1309" s="26">
        <f>S1309*G1309</f>
        <v/>
      </c>
      <c r="U1309" s="26">
        <f>R1309-T1309</f>
        <v/>
      </c>
      <c r="V1309" s="26">
        <f>U1309-L1309</f>
        <v/>
      </c>
    </row>
    <row r="1310">
      <c r="A1310" s="11" t="n">
        <v>46216</v>
      </c>
      <c r="B1310" s="1" t="n">
        <v>20040</v>
      </c>
      <c r="C1310" s="1" t="inlineStr">
        <is>
          <t>190</t>
        </is>
      </c>
      <c r="D1310" s="1" t="inlineStr">
        <is>
          <t>368164</t>
        </is>
      </c>
      <c r="E1310" s="1" t="inlineStr">
        <is>
          <t xml:space="preserve">29235700       </t>
        </is>
      </c>
      <c r="F1310" s="5" t="inlineStr">
        <is>
          <t>HOT WHEELS CASE METALICO PARA GUARDAR 18 CARRITOS</t>
        </is>
      </c>
      <c r="G1310" t="n">
        <v>1</v>
      </c>
      <c r="H1310" s="7" t="n">
        <v>49.9</v>
      </c>
      <c r="I1310" s="7" t="n">
        <v>0</v>
      </c>
      <c r="J1310" s="7" t="n">
        <v>0</v>
      </c>
      <c r="K1310" s="9" t="n">
        <v>0</v>
      </c>
      <c r="L1310" s="10" t="n">
        <v>29.6</v>
      </c>
      <c r="M1310" s="10" t="n">
        <v>1.43</v>
      </c>
      <c r="N1310" t="inlineStr">
        <is>
          <t>1</t>
        </is>
      </c>
      <c r="O1310" t="inlineStr">
        <is>
          <t>16</t>
        </is>
      </c>
      <c r="P1310" t="inlineStr">
        <is>
          <t xml:space="preserve">247177  </t>
        </is>
      </c>
      <c r="Q1310" s="26" t="n">
        <v>29.6</v>
      </c>
      <c r="R1310" s="26">
        <f>Q1310*G1310</f>
        <v/>
      </c>
      <c r="S1310" s="26">
        <f>IFERROR(VLOOKUP(E1310*1,Tabla[#All],8,0),0)</f>
        <v/>
      </c>
      <c r="T1310" s="26">
        <f>S1310*G1310</f>
        <v/>
      </c>
      <c r="U1310" s="26">
        <f>R1310-T1310</f>
        <v/>
      </c>
      <c r="V1310" s="26">
        <f>U1310-L1310</f>
        <v/>
      </c>
    </row>
    <row r="1311">
      <c r="A1311" s="11" t="n">
        <v>46216</v>
      </c>
      <c r="B1311" s="1" t="n">
        <v>20040</v>
      </c>
      <c r="C1311" s="1" t="inlineStr">
        <is>
          <t>190</t>
        </is>
      </c>
      <c r="D1311" s="1" t="inlineStr">
        <is>
          <t>368184</t>
        </is>
      </c>
      <c r="E1311" s="1" t="inlineStr">
        <is>
          <t xml:space="preserve">28194780       </t>
        </is>
      </c>
      <c r="F1311" s="5" t="inlineStr">
        <is>
          <t>TROMPO BATALLA INFINITY NADO PLSTICO SURTIDO</t>
        </is>
      </c>
      <c r="G1311" t="n">
        <v>1</v>
      </c>
      <c r="H1311" s="7" t="n">
        <v>19.9</v>
      </c>
      <c r="I1311" s="7" t="n">
        <v>0</v>
      </c>
      <c r="J1311" s="7" t="n">
        <v>0</v>
      </c>
      <c r="K1311" s="9" t="n">
        <v>0</v>
      </c>
      <c r="L1311" s="10" t="n">
        <v>11.8</v>
      </c>
      <c r="M1311" s="10" t="n">
        <v>1.43</v>
      </c>
      <c r="N1311" t="inlineStr">
        <is>
          <t>1</t>
        </is>
      </c>
      <c r="O1311" t="inlineStr">
        <is>
          <t xml:space="preserve">2 </t>
        </is>
      </c>
      <c r="P1311" t="inlineStr">
        <is>
          <t xml:space="preserve">250392  </t>
        </is>
      </c>
      <c r="Q1311" s="26" t="n">
        <v>11.81</v>
      </c>
      <c r="R1311" s="26">
        <f>Q1311*G1311</f>
        <v/>
      </c>
      <c r="S1311" s="26">
        <f>IFERROR(VLOOKUP(E1311*1,Tabla[#All],8,0),0)</f>
        <v/>
      </c>
      <c r="T1311" s="26">
        <f>S1311*G1311</f>
        <v/>
      </c>
      <c r="U1311" s="26">
        <f>R1311-T1311</f>
        <v/>
      </c>
      <c r="V1311" s="26">
        <f>U1311-L1311</f>
        <v/>
      </c>
    </row>
    <row r="1312">
      <c r="A1312" s="11" t="n">
        <v>46216</v>
      </c>
      <c r="B1312" s="1" t="n">
        <v>20041</v>
      </c>
      <c r="C1312" s="1" t="inlineStr">
        <is>
          <t>031</t>
        </is>
      </c>
      <c r="D1312" s="1" t="inlineStr">
        <is>
          <t>165459</t>
        </is>
      </c>
      <c r="E1312" s="1" t="inlineStr">
        <is>
          <t xml:space="preserve">28194770       </t>
        </is>
      </c>
      <c r="F1312" s="5" t="inlineStr">
        <is>
          <t>AUTOS DE METAL 3 TEAMSTERZ EN BLISTER</t>
        </is>
      </c>
      <c r="G1312" t="n">
        <v>1</v>
      </c>
      <c r="H1312" s="7" t="n">
        <v>6.9</v>
      </c>
      <c r="I1312" s="7" t="n">
        <v>0</v>
      </c>
      <c r="J1312" s="7" t="n">
        <v>0</v>
      </c>
      <c r="K1312" s="9" t="n">
        <v>0</v>
      </c>
      <c r="L1312" s="10" t="n">
        <v>4.1</v>
      </c>
      <c r="M1312" s="10" t="n">
        <v>1.43</v>
      </c>
      <c r="N1312" t="inlineStr">
        <is>
          <t>1</t>
        </is>
      </c>
      <c r="O1312" t="inlineStr">
        <is>
          <t>16</t>
        </is>
      </c>
      <c r="P1312" t="inlineStr">
        <is>
          <t xml:space="preserve">240974  </t>
        </is>
      </c>
      <c r="Q1312" s="26" t="n">
        <v>4.09</v>
      </c>
      <c r="R1312" s="26">
        <f>Q1312*G1312</f>
        <v/>
      </c>
      <c r="S1312" s="26">
        <f>IFERROR(VLOOKUP(E1312*1,Tabla[#All],8,0),0)</f>
        <v/>
      </c>
      <c r="T1312" s="26">
        <f>S1312*G1312</f>
        <v/>
      </c>
      <c r="U1312" s="26">
        <f>R1312-T1312</f>
        <v/>
      </c>
      <c r="V1312" s="26">
        <f>U1312-L1312</f>
        <v/>
      </c>
    </row>
    <row r="1313">
      <c r="A1313" s="11" t="n">
        <v>46216</v>
      </c>
      <c r="B1313" s="1" t="n">
        <v>20041</v>
      </c>
      <c r="C1313" s="1" t="inlineStr">
        <is>
          <t>031</t>
        </is>
      </c>
      <c r="D1313" s="1" t="inlineStr">
        <is>
          <t>165459</t>
        </is>
      </c>
      <c r="E1313" s="1" t="inlineStr">
        <is>
          <t xml:space="preserve">28194770       </t>
        </is>
      </c>
      <c r="F1313" s="5" t="inlineStr">
        <is>
          <t>AUTOS DE METAL 3 TEAMSTERZ EN BLISTER</t>
        </is>
      </c>
      <c r="G1313" t="n">
        <v>1</v>
      </c>
      <c r="H1313" s="7" t="n">
        <v>6.9</v>
      </c>
      <c r="I1313" s="7" t="n">
        <v>0</v>
      </c>
      <c r="J1313" s="7" t="n">
        <v>0</v>
      </c>
      <c r="K1313" s="9" t="n">
        <v>0</v>
      </c>
      <c r="L1313" s="10" t="n">
        <v>4.1</v>
      </c>
      <c r="M1313" s="10" t="n">
        <v>1.43</v>
      </c>
      <c r="N1313" t="inlineStr">
        <is>
          <t>1</t>
        </is>
      </c>
      <c r="O1313" t="inlineStr">
        <is>
          <t>16</t>
        </is>
      </c>
      <c r="P1313" t="inlineStr">
        <is>
          <t xml:space="preserve">240974  </t>
        </is>
      </c>
      <c r="Q1313" s="26" t="n">
        <v>4.09</v>
      </c>
      <c r="R1313" s="26">
        <f>Q1313*G1313</f>
        <v/>
      </c>
      <c r="S1313" s="26">
        <f>IFERROR(VLOOKUP(E1313*1,Tabla[#All],8,0),0)</f>
        <v/>
      </c>
      <c r="T1313" s="26">
        <f>S1313*G1313</f>
        <v/>
      </c>
      <c r="U1313" s="26">
        <f>R1313-T1313</f>
        <v/>
      </c>
      <c r="V1313" s="26">
        <f>U1313-L1313</f>
        <v/>
      </c>
    </row>
    <row r="1314">
      <c r="A1314" s="11" t="n">
        <v>46216</v>
      </c>
      <c r="B1314" s="1" t="n">
        <v>20041</v>
      </c>
      <c r="C1314" s="1" t="inlineStr">
        <is>
          <t>037</t>
        </is>
      </c>
      <c r="D1314" s="1" t="inlineStr">
        <is>
          <t>189534</t>
        </is>
      </c>
      <c r="E1314" s="1" t="inlineStr">
        <is>
          <t xml:space="preserve">34840539       </t>
        </is>
      </c>
      <c r="F1314" s="5" t="inlineStr">
        <is>
          <t>MUNECA STEFFI LOVE ABRIGO FLUFFY</t>
        </is>
      </c>
      <c r="G1314" t="n">
        <v>1</v>
      </c>
      <c r="H1314" s="7" t="n">
        <v>59.9</v>
      </c>
      <c r="I1314" s="7" t="n">
        <v>0</v>
      </c>
      <c r="J1314" s="7" t="n">
        <v>0</v>
      </c>
      <c r="K1314" s="9" t="n">
        <v>0</v>
      </c>
      <c r="L1314" s="10" t="n">
        <v>35.53</v>
      </c>
      <c r="M1314" s="10" t="n">
        <v>1.43</v>
      </c>
      <c r="N1314" t="inlineStr">
        <is>
          <t>1</t>
        </is>
      </c>
      <c r="O1314" t="inlineStr">
        <is>
          <t xml:space="preserve">2 </t>
        </is>
      </c>
      <c r="P1314" t="inlineStr">
        <is>
          <t xml:space="preserve">245842  </t>
        </is>
      </c>
      <c r="Q1314" s="26" t="n">
        <v>35.53</v>
      </c>
      <c r="R1314" s="26">
        <f>Q1314*G1314</f>
        <v/>
      </c>
      <c r="S1314" s="26">
        <f>IFERROR(VLOOKUP(E1314*1,Tabla[#All],8,0),0)</f>
        <v/>
      </c>
      <c r="T1314" s="26">
        <f>S1314*G1314</f>
        <v/>
      </c>
      <c r="U1314" s="26">
        <f>R1314-T1314</f>
        <v/>
      </c>
      <c r="V1314" s="26">
        <f>U1314-L1314</f>
        <v/>
      </c>
    </row>
    <row r="1315">
      <c r="A1315" s="11" t="n">
        <v>46216</v>
      </c>
      <c r="B1315" s="1" t="n">
        <v>20041</v>
      </c>
      <c r="C1315" s="1" t="inlineStr">
        <is>
          <t>037</t>
        </is>
      </c>
      <c r="D1315" s="1" t="inlineStr">
        <is>
          <t>189556</t>
        </is>
      </c>
      <c r="E1315" s="1" t="inlineStr">
        <is>
          <t xml:space="preserve">28194770       </t>
        </is>
      </c>
      <c r="F1315" s="5" t="inlineStr">
        <is>
          <t>AUTOS DE METAL 3 TEAMSTERZ EN BLISTER</t>
        </is>
      </c>
      <c r="G1315" t="n">
        <v>1</v>
      </c>
      <c r="H1315" s="7" t="n">
        <v>6.9</v>
      </c>
      <c r="I1315" s="7" t="n">
        <v>0</v>
      </c>
      <c r="J1315" s="7" t="n">
        <v>0</v>
      </c>
      <c r="K1315" s="9" t="n">
        <v>0</v>
      </c>
      <c r="L1315" s="10" t="n">
        <v>4.1</v>
      </c>
      <c r="M1315" s="10" t="n">
        <v>1.43</v>
      </c>
      <c r="N1315" t="inlineStr">
        <is>
          <t>1</t>
        </is>
      </c>
      <c r="O1315" t="inlineStr">
        <is>
          <t>16</t>
        </is>
      </c>
      <c r="P1315" t="inlineStr">
        <is>
          <t xml:space="preserve">242746  </t>
        </is>
      </c>
      <c r="Q1315" s="26" t="n">
        <v>4.09</v>
      </c>
      <c r="R1315" s="26">
        <f>Q1315*G1315</f>
        <v/>
      </c>
      <c r="S1315" s="26">
        <f>IFERROR(VLOOKUP(E1315*1,Tabla[#All],8,0),0)</f>
        <v/>
      </c>
      <c r="T1315" s="26">
        <f>S1315*G1315</f>
        <v/>
      </c>
      <c r="U1315" s="26">
        <f>R1315-T1315</f>
        <v/>
      </c>
      <c r="V1315" s="26">
        <f>U1315-L1315</f>
        <v/>
      </c>
    </row>
    <row r="1316">
      <c r="A1316" s="11" t="n">
        <v>46216</v>
      </c>
      <c r="B1316" s="1" t="n">
        <v>20043</v>
      </c>
      <c r="C1316" s="1" t="inlineStr">
        <is>
          <t>061</t>
        </is>
      </c>
      <c r="D1316" s="1" t="inlineStr">
        <is>
          <t>154938</t>
        </is>
      </c>
      <c r="E1316" s="1" t="inlineStr">
        <is>
          <t xml:space="preserve">28194770       </t>
        </is>
      </c>
      <c r="F1316" s="5" t="inlineStr">
        <is>
          <t>AUTOS DE METAL 3 TEAMSTERZ EN BLISTER</t>
        </is>
      </c>
      <c r="G1316" t="n">
        <v>1</v>
      </c>
      <c r="H1316" s="7" t="n">
        <v>6.9</v>
      </c>
      <c r="I1316" s="7" t="n">
        <v>0</v>
      </c>
      <c r="J1316" s="7" t="n">
        <v>0</v>
      </c>
      <c r="K1316" s="9" t="n">
        <v>0</v>
      </c>
      <c r="L1316" s="10" t="n">
        <v>4.1</v>
      </c>
      <c r="M1316" s="10" t="n">
        <v>1.43</v>
      </c>
      <c r="N1316" t="inlineStr">
        <is>
          <t>1</t>
        </is>
      </c>
      <c r="O1316" t="inlineStr">
        <is>
          <t>16</t>
        </is>
      </c>
      <c r="P1316" t="inlineStr">
        <is>
          <t xml:space="preserve">55076   </t>
        </is>
      </c>
      <c r="Q1316" s="26" t="n">
        <v>4.09</v>
      </c>
      <c r="R1316" s="26">
        <f>Q1316*G1316</f>
        <v/>
      </c>
      <c r="S1316" s="26">
        <f>IFERROR(VLOOKUP(E1316*1,Tabla[#All],8,0),0)</f>
        <v/>
      </c>
      <c r="T1316" s="26">
        <f>S1316*G1316</f>
        <v/>
      </c>
      <c r="U1316" s="26">
        <f>R1316-T1316</f>
        <v/>
      </c>
      <c r="V1316" s="26">
        <f>U1316-L1316</f>
        <v/>
      </c>
    </row>
    <row r="1317">
      <c r="A1317" s="11" t="n">
        <v>46216</v>
      </c>
      <c r="B1317" s="1" t="n">
        <v>20043</v>
      </c>
      <c r="C1317" s="1" t="inlineStr">
        <is>
          <t>061</t>
        </is>
      </c>
      <c r="D1317" s="1" t="inlineStr">
        <is>
          <t>154938</t>
        </is>
      </c>
      <c r="E1317" s="1" t="inlineStr">
        <is>
          <t xml:space="preserve">28194770       </t>
        </is>
      </c>
      <c r="F1317" s="5" t="inlineStr">
        <is>
          <t>AUTOS DE METAL 3 TEAMSTERZ EN BLISTER</t>
        </is>
      </c>
      <c r="G1317" t="n">
        <v>1</v>
      </c>
      <c r="H1317" s="7" t="n">
        <v>6.9</v>
      </c>
      <c r="I1317" s="7" t="n">
        <v>0</v>
      </c>
      <c r="J1317" s="7" t="n">
        <v>0</v>
      </c>
      <c r="K1317" s="9" t="n">
        <v>0</v>
      </c>
      <c r="L1317" s="10" t="n">
        <v>4.1</v>
      </c>
      <c r="M1317" s="10" t="n">
        <v>1.43</v>
      </c>
      <c r="N1317" t="inlineStr">
        <is>
          <t>1</t>
        </is>
      </c>
      <c r="O1317" t="inlineStr">
        <is>
          <t>16</t>
        </is>
      </c>
      <c r="P1317" t="inlineStr">
        <is>
          <t xml:space="preserve">55076   </t>
        </is>
      </c>
      <c r="Q1317" s="26" t="n">
        <v>4.09</v>
      </c>
      <c r="R1317" s="26">
        <f>Q1317*G1317</f>
        <v/>
      </c>
      <c r="S1317" s="26">
        <f>IFERROR(VLOOKUP(E1317*1,Tabla[#All],8,0),0)</f>
        <v/>
      </c>
      <c r="T1317" s="26">
        <f>S1317*G1317</f>
        <v/>
      </c>
      <c r="U1317" s="26">
        <f>R1317-T1317</f>
        <v/>
      </c>
      <c r="V1317" s="26">
        <f>U1317-L1317</f>
        <v/>
      </c>
    </row>
    <row r="1318">
      <c r="A1318" s="11" t="n">
        <v>46216</v>
      </c>
      <c r="B1318" s="1" t="n">
        <v>20048</v>
      </c>
      <c r="C1318" s="1" t="inlineStr">
        <is>
          <t>018</t>
        </is>
      </c>
      <c r="D1318" s="1" t="inlineStr">
        <is>
          <t xml:space="preserve">46783 </t>
        </is>
      </c>
      <c r="E1318" s="1" t="inlineStr">
        <is>
          <t xml:space="preserve">28194770       </t>
        </is>
      </c>
      <c r="F1318" s="5" t="inlineStr">
        <is>
          <t>AUTOS DE METAL 3 TEAMSTERZ EN BLISTER</t>
        </is>
      </c>
      <c r="G1318" t="n">
        <v>1</v>
      </c>
      <c r="H1318" s="7" t="n">
        <v>6.9</v>
      </c>
      <c r="I1318" s="7" t="n">
        <v>0</v>
      </c>
      <c r="J1318" s="7" t="n">
        <v>0</v>
      </c>
      <c r="K1318" s="9" t="n">
        <v>0</v>
      </c>
      <c r="L1318" s="10" t="n">
        <v>4.1</v>
      </c>
      <c r="M1318" s="10" t="n">
        <v>1.43</v>
      </c>
      <c r="N1318" t="inlineStr">
        <is>
          <t>1</t>
        </is>
      </c>
      <c r="O1318" t="inlineStr">
        <is>
          <t>16</t>
        </is>
      </c>
      <c r="P1318" t="inlineStr">
        <is>
          <t xml:space="preserve">82617   </t>
        </is>
      </c>
      <c r="Q1318" s="26" t="n">
        <v>4.09</v>
      </c>
      <c r="R1318" s="26">
        <f>Q1318*G1318</f>
        <v/>
      </c>
      <c r="S1318" s="26">
        <f>IFERROR(VLOOKUP(E1318*1,Tabla[#All],8,0),0)</f>
        <v/>
      </c>
      <c r="T1318" s="26">
        <f>S1318*G1318</f>
        <v/>
      </c>
      <c r="U1318" s="26">
        <f>R1318-T1318</f>
        <v/>
      </c>
      <c r="V1318" s="26">
        <f>U1318-L1318</f>
        <v/>
      </c>
    </row>
    <row r="1319">
      <c r="A1319" s="11" t="n">
        <v>46216</v>
      </c>
      <c r="B1319" s="1" t="n">
        <v>20048</v>
      </c>
      <c r="C1319" s="1" t="inlineStr">
        <is>
          <t>018</t>
        </is>
      </c>
      <c r="D1319" s="1" t="inlineStr">
        <is>
          <t xml:space="preserve">46783 </t>
        </is>
      </c>
      <c r="E1319" s="1" t="inlineStr">
        <is>
          <t xml:space="preserve">28194770       </t>
        </is>
      </c>
      <c r="F1319" s="5" t="inlineStr">
        <is>
          <t>AUTOS DE METAL 3 TEAMSTERZ EN BLISTER</t>
        </is>
      </c>
      <c r="G1319" t="n">
        <v>1</v>
      </c>
      <c r="H1319" s="7" t="n">
        <v>6.9</v>
      </c>
      <c r="I1319" s="7" t="n">
        <v>0</v>
      </c>
      <c r="J1319" s="7" t="n">
        <v>0</v>
      </c>
      <c r="K1319" s="9" t="n">
        <v>0</v>
      </c>
      <c r="L1319" s="10" t="n">
        <v>4.1</v>
      </c>
      <c r="M1319" s="10" t="n">
        <v>1.43</v>
      </c>
      <c r="N1319" t="inlineStr">
        <is>
          <t>1</t>
        </is>
      </c>
      <c r="O1319" t="inlineStr">
        <is>
          <t>16</t>
        </is>
      </c>
      <c r="P1319" t="inlineStr">
        <is>
          <t xml:space="preserve">82617   </t>
        </is>
      </c>
      <c r="Q1319" s="26" t="n">
        <v>4.09</v>
      </c>
      <c r="R1319" s="26">
        <f>Q1319*G1319</f>
        <v/>
      </c>
      <c r="S1319" s="26">
        <f>IFERROR(VLOOKUP(E1319*1,Tabla[#All],8,0),0)</f>
        <v/>
      </c>
      <c r="T1319" s="26">
        <f>S1319*G1319</f>
        <v/>
      </c>
      <c r="U1319" s="26">
        <f>R1319-T1319</f>
        <v/>
      </c>
      <c r="V1319" s="26">
        <f>U1319-L1319</f>
        <v/>
      </c>
    </row>
    <row r="1320">
      <c r="A1320" s="11" t="n">
        <v>46216</v>
      </c>
      <c r="B1320" s="1" t="n">
        <v>20048</v>
      </c>
      <c r="C1320" s="1" t="inlineStr">
        <is>
          <t>027</t>
        </is>
      </c>
      <c r="D1320" s="1" t="inlineStr">
        <is>
          <t>322884</t>
        </is>
      </c>
      <c r="E1320" s="1" t="inlineStr">
        <is>
          <t xml:space="preserve">28194783       </t>
        </is>
      </c>
      <c r="F1320" s="5" t="inlineStr">
        <is>
          <t>SET DE BATALLA INFINITY NADO CON 2 TROMPOS</t>
        </is>
      </c>
      <c r="G1320" t="n">
        <v>1</v>
      </c>
      <c r="H1320" s="7" t="n">
        <v>159</v>
      </c>
      <c r="I1320" s="7" t="n">
        <v>0</v>
      </c>
      <c r="J1320" s="7" t="n">
        <v>0</v>
      </c>
      <c r="K1320" s="9" t="n">
        <v>0</v>
      </c>
      <c r="L1320" s="10" t="n">
        <v>94.33</v>
      </c>
      <c r="M1320" s="10" t="n">
        <v>1.43</v>
      </c>
      <c r="N1320" t="inlineStr">
        <is>
          <t>1</t>
        </is>
      </c>
      <c r="O1320" t="inlineStr">
        <is>
          <t>16</t>
        </is>
      </c>
      <c r="P1320" t="inlineStr">
        <is>
          <t xml:space="preserve">247622  </t>
        </is>
      </c>
      <c r="Q1320" s="26" t="n">
        <v>94.31999999999999</v>
      </c>
      <c r="R1320" s="26">
        <f>Q1320*G1320</f>
        <v/>
      </c>
      <c r="S1320" s="26">
        <f>IFERROR(VLOOKUP(E1320*1,Tabla[#All],8,0),0)</f>
        <v/>
      </c>
      <c r="T1320" s="26">
        <f>S1320*G1320</f>
        <v/>
      </c>
      <c r="U1320" s="26">
        <f>R1320-T1320</f>
        <v/>
      </c>
      <c r="V1320" s="26">
        <f>U1320-L1320</f>
        <v/>
      </c>
    </row>
    <row r="1321">
      <c r="A1321" s="11" t="n">
        <v>46216</v>
      </c>
      <c r="B1321" s="1" t="n">
        <v>20048</v>
      </c>
      <c r="C1321" s="1" t="inlineStr">
        <is>
          <t>800</t>
        </is>
      </c>
      <c r="D1321" s="1" t="inlineStr">
        <is>
          <t xml:space="preserve">4100  </t>
        </is>
      </c>
      <c r="E1321" s="1" t="inlineStr">
        <is>
          <t xml:space="preserve">32457099       </t>
        </is>
      </c>
      <c r="F1321" s="5" t="inlineStr">
        <is>
          <t>TMZ BEAST MACHINES MONSTER JAWS A FRICCION BLISTER</t>
        </is>
      </c>
      <c r="G1321" t="n">
        <v>1</v>
      </c>
      <c r="H1321" s="7" t="n">
        <v>19.9</v>
      </c>
      <c r="I1321" s="7" t="n">
        <v>0</v>
      </c>
      <c r="J1321" s="7" t="n">
        <v>0</v>
      </c>
      <c r="K1321" s="9" t="n">
        <v>0</v>
      </c>
      <c r="L1321" s="10" t="n">
        <v>11.8</v>
      </c>
      <c r="M1321" s="10" t="n">
        <v>1.43</v>
      </c>
      <c r="N1321" t="inlineStr">
        <is>
          <t>1</t>
        </is>
      </c>
      <c r="O1321" t="inlineStr">
        <is>
          <t>16</t>
        </is>
      </c>
      <c r="P1321" t="inlineStr">
        <is>
          <t xml:space="preserve">0       </t>
        </is>
      </c>
      <c r="Q1321" s="26" t="n">
        <v>11.81</v>
      </c>
      <c r="R1321" s="26">
        <f>Q1321*G1321</f>
        <v/>
      </c>
      <c r="S1321" s="26">
        <f>IFERROR(VLOOKUP(E1321*1,Tabla[#All],8,0),0)</f>
        <v/>
      </c>
      <c r="T1321" s="26">
        <f>S1321*G1321</f>
        <v/>
      </c>
      <c r="U1321" s="26">
        <f>R1321-T1321</f>
        <v/>
      </c>
      <c r="V1321" s="26">
        <f>U1321-L1321</f>
        <v/>
      </c>
    </row>
    <row r="1322">
      <c r="A1322" s="11" t="n">
        <v>46216</v>
      </c>
      <c r="B1322" s="1" t="n">
        <v>20049</v>
      </c>
      <c r="C1322" s="1" t="inlineStr">
        <is>
          <t>013</t>
        </is>
      </c>
      <c r="D1322" s="1" t="inlineStr">
        <is>
          <t>235927</t>
        </is>
      </c>
      <c r="E1322" s="1" t="inlineStr">
        <is>
          <t xml:space="preserve">32457099       </t>
        </is>
      </c>
      <c r="F1322" s="5" t="inlineStr">
        <is>
          <t>TMZ BEAST MACHINES MONSTER JAWS A FRICCION BLISTER</t>
        </is>
      </c>
      <c r="G1322" t="n">
        <v>1</v>
      </c>
      <c r="H1322" s="7" t="n">
        <v>19.9</v>
      </c>
      <c r="I1322" s="7" t="n">
        <v>0</v>
      </c>
      <c r="J1322" s="7" t="n">
        <v>0</v>
      </c>
      <c r="K1322" s="9" t="n">
        <v>0</v>
      </c>
      <c r="L1322" s="10" t="n">
        <v>11.8</v>
      </c>
      <c r="M1322" s="10" t="n">
        <v>1.43</v>
      </c>
      <c r="N1322" t="inlineStr">
        <is>
          <t>1</t>
        </is>
      </c>
      <c r="O1322" t="inlineStr">
        <is>
          <t>16</t>
        </is>
      </c>
      <c r="P1322" t="inlineStr">
        <is>
          <t xml:space="preserve">250381  </t>
        </is>
      </c>
      <c r="Q1322" s="26" t="n">
        <v>11.81</v>
      </c>
      <c r="R1322" s="26">
        <f>Q1322*G1322</f>
        <v/>
      </c>
      <c r="S1322" s="26">
        <f>IFERROR(VLOOKUP(E1322*1,Tabla[#All],8,0),0)</f>
        <v/>
      </c>
      <c r="T1322" s="26">
        <f>S1322*G1322</f>
        <v/>
      </c>
      <c r="U1322" s="26">
        <f>R1322-T1322</f>
        <v/>
      </c>
      <c r="V1322" s="26">
        <f>U1322-L1322</f>
        <v/>
      </c>
    </row>
    <row r="1323">
      <c r="A1323" s="11" t="n">
        <v>46216</v>
      </c>
      <c r="B1323" s="1" t="n">
        <v>20049</v>
      </c>
      <c r="C1323" s="1" t="inlineStr">
        <is>
          <t>528</t>
        </is>
      </c>
      <c r="D1323" s="1" t="inlineStr">
        <is>
          <t xml:space="preserve">4054  </t>
        </is>
      </c>
      <c r="E1323" s="1" t="inlineStr">
        <is>
          <t xml:space="preserve">34840551       </t>
        </is>
      </c>
      <c r="F1323" s="5" t="inlineStr">
        <is>
          <t>TMZ HELI BOMBERO CON LUCES Y SONIDOS</t>
        </is>
      </c>
      <c r="G1323" t="n">
        <v>1</v>
      </c>
      <c r="H1323" s="7" t="n">
        <v>79.90000000000001</v>
      </c>
      <c r="I1323" s="7" t="n">
        <v>0</v>
      </c>
      <c r="J1323" s="7" t="n">
        <v>0</v>
      </c>
      <c r="K1323" s="9" t="n">
        <v>0</v>
      </c>
      <c r="L1323" s="10" t="n">
        <v>47.4</v>
      </c>
      <c r="M1323" s="10" t="n">
        <v>1.43</v>
      </c>
      <c r="N1323" t="inlineStr">
        <is>
          <t>1</t>
        </is>
      </c>
      <c r="O1323" t="inlineStr">
        <is>
          <t>16</t>
        </is>
      </c>
      <c r="P1323" t="inlineStr">
        <is>
          <t xml:space="preserve">244153  </t>
        </is>
      </c>
      <c r="Q1323" s="26" t="n">
        <v>47.4</v>
      </c>
      <c r="R1323" s="26">
        <f>Q1323*G1323</f>
        <v/>
      </c>
      <c r="S1323" s="26">
        <f>IFERROR(VLOOKUP(E1323*1,Tabla[#All],8,0),0)</f>
        <v/>
      </c>
      <c r="T1323" s="26">
        <f>S1323*G1323</f>
        <v/>
      </c>
      <c r="U1323" s="26">
        <f>R1323-T1323</f>
        <v/>
      </c>
      <c r="V1323" s="26">
        <f>U1323-L1323</f>
        <v/>
      </c>
    </row>
    <row r="1324">
      <c r="A1324" s="11" t="n">
        <v>46216</v>
      </c>
      <c r="B1324" s="1" t="n">
        <v>20057</v>
      </c>
      <c r="C1324" s="1" t="inlineStr">
        <is>
          <t>032</t>
        </is>
      </c>
      <c r="D1324" s="1" t="inlineStr">
        <is>
          <t xml:space="preserve">74666 </t>
        </is>
      </c>
      <c r="E1324" s="1" t="inlineStr">
        <is>
          <t xml:space="preserve">28194769       </t>
        </is>
      </c>
      <c r="F1324" s="5" t="inlineStr">
        <is>
          <t>AUTOS DE METAL 3 TEAMSTERZ PACK DE 2</t>
        </is>
      </c>
      <c r="G1324" t="n">
        <v>1</v>
      </c>
      <c r="H1324" s="7" t="n">
        <v>13.8</v>
      </c>
      <c r="I1324" s="7" t="n">
        <v>0</v>
      </c>
      <c r="J1324" s="7" t="n">
        <v>0</v>
      </c>
      <c r="K1324" s="9" t="n">
        <v>0</v>
      </c>
      <c r="L1324" s="10" t="n">
        <v>8.18</v>
      </c>
      <c r="M1324" s="10" t="n">
        <v>1.43</v>
      </c>
      <c r="N1324" t="inlineStr">
        <is>
          <t>1</t>
        </is>
      </c>
      <c r="O1324" t="inlineStr">
        <is>
          <t xml:space="preserve">2 </t>
        </is>
      </c>
      <c r="P1324" t="inlineStr">
        <is>
          <t xml:space="preserve">243704  </t>
        </is>
      </c>
      <c r="Q1324" s="26" t="n">
        <v>8.19</v>
      </c>
      <c r="R1324" s="26">
        <f>Q1324*G1324</f>
        <v/>
      </c>
      <c r="S1324" s="26">
        <f>IFERROR(VLOOKUP(E1324*1,Tabla[#All],8,0),0)</f>
        <v/>
      </c>
      <c r="T1324" s="26">
        <f>S1324*G1324</f>
        <v/>
      </c>
      <c r="U1324" s="26">
        <f>R1324-T1324</f>
        <v/>
      </c>
      <c r="V1324" s="26">
        <f>U1324-L1324</f>
        <v/>
      </c>
    </row>
    <row r="1325">
      <c r="A1325" s="11" t="n">
        <v>46216</v>
      </c>
      <c r="B1325" s="1" t="n">
        <v>20057</v>
      </c>
      <c r="C1325" s="1" t="inlineStr">
        <is>
          <t>032</t>
        </is>
      </c>
      <c r="D1325" s="1" t="inlineStr">
        <is>
          <t xml:space="preserve">74666 </t>
        </is>
      </c>
      <c r="E1325" s="1" t="inlineStr">
        <is>
          <t xml:space="preserve">28194770       </t>
        </is>
      </c>
      <c r="F1325" s="5" t="inlineStr">
        <is>
          <t>AUTOS DE METAL 3 TEAMSTERZ EN BLISTER</t>
        </is>
      </c>
      <c r="G1325" t="n">
        <v>1</v>
      </c>
      <c r="H1325" s="7" t="n">
        <v>6.9</v>
      </c>
      <c r="I1325" s="7" t="n">
        <v>0</v>
      </c>
      <c r="J1325" s="7" t="n">
        <v>0</v>
      </c>
      <c r="K1325" s="9" t="n">
        <v>0</v>
      </c>
      <c r="L1325" s="10" t="n">
        <v>4.1</v>
      </c>
      <c r="M1325" s="10" t="n">
        <v>1.43</v>
      </c>
      <c r="N1325" t="inlineStr">
        <is>
          <t>1</t>
        </is>
      </c>
      <c r="O1325" t="inlineStr">
        <is>
          <t xml:space="preserve">2 </t>
        </is>
      </c>
      <c r="P1325" t="inlineStr">
        <is>
          <t xml:space="preserve">243704  </t>
        </is>
      </c>
      <c r="Q1325" s="26" t="n">
        <v>4.09</v>
      </c>
      <c r="R1325" s="26">
        <f>Q1325*G1325</f>
        <v/>
      </c>
      <c r="S1325" s="26">
        <f>IFERROR(VLOOKUP(E1325*1,Tabla[#All],8,0),0)</f>
        <v/>
      </c>
      <c r="T1325" s="26">
        <f>S1325*G1325</f>
        <v/>
      </c>
      <c r="U1325" s="26">
        <f>R1325-T1325</f>
        <v/>
      </c>
      <c r="V1325" s="26">
        <f>U1325-L1325</f>
        <v/>
      </c>
    </row>
    <row r="1326">
      <c r="A1326" s="11" t="n">
        <v>46216</v>
      </c>
      <c r="B1326" s="1" t="n">
        <v>20057</v>
      </c>
      <c r="C1326" s="1" t="inlineStr">
        <is>
          <t>032</t>
        </is>
      </c>
      <c r="D1326" s="1" t="inlineStr">
        <is>
          <t xml:space="preserve">74671 </t>
        </is>
      </c>
      <c r="E1326" s="1" t="inlineStr">
        <is>
          <t xml:space="preserve">30141768       </t>
        </is>
      </c>
      <c r="F1326" s="5" t="inlineStr">
        <is>
          <t>TMZ BEAST MACHINES AUTOS DE METAL PACK 10 AUTOS</t>
        </is>
      </c>
      <c r="G1326" t="n">
        <v>1</v>
      </c>
      <c r="H1326" s="7" t="n">
        <v>79</v>
      </c>
      <c r="I1326" s="7" t="n">
        <v>0</v>
      </c>
      <c r="J1326" s="7" t="n">
        <v>0</v>
      </c>
      <c r="K1326" s="9" t="n">
        <v>0</v>
      </c>
      <c r="L1326" s="10" t="n">
        <v>46.87</v>
      </c>
      <c r="M1326" s="10" t="n">
        <v>1.43</v>
      </c>
      <c r="N1326" t="inlineStr">
        <is>
          <t>1</t>
        </is>
      </c>
      <c r="O1326" t="inlineStr">
        <is>
          <t xml:space="preserve">2 </t>
        </is>
      </c>
      <c r="P1326" t="inlineStr">
        <is>
          <t xml:space="preserve">243704  </t>
        </is>
      </c>
      <c r="Q1326" s="26" t="n">
        <v>46.86</v>
      </c>
      <c r="R1326" s="26">
        <f>Q1326*G1326</f>
        <v/>
      </c>
      <c r="S1326" s="26">
        <f>IFERROR(VLOOKUP(E1326*1,Tabla[#All],8,0),0)</f>
        <v/>
      </c>
      <c r="T1326" s="26">
        <f>S1326*G1326</f>
        <v/>
      </c>
      <c r="U1326" s="26">
        <f>R1326-T1326</f>
        <v/>
      </c>
      <c r="V1326" s="26">
        <f>U1326-L1326</f>
        <v/>
      </c>
    </row>
    <row r="1327">
      <c r="A1327" s="11" t="n">
        <v>46216</v>
      </c>
      <c r="B1327" s="1" t="n">
        <v>20057</v>
      </c>
      <c r="C1327" s="1" t="inlineStr">
        <is>
          <t>033</t>
        </is>
      </c>
      <c r="D1327" s="1" t="inlineStr">
        <is>
          <t xml:space="preserve">67080 </t>
        </is>
      </c>
      <c r="E1327" s="1" t="inlineStr">
        <is>
          <t xml:space="preserve">28194770       </t>
        </is>
      </c>
      <c r="F1327" s="5" t="inlineStr">
        <is>
          <t>AUTOS DE METAL 3 TEAMSTERZ EN BLISTER</t>
        </is>
      </c>
      <c r="G1327" t="n">
        <v>1</v>
      </c>
      <c r="H1327" s="7" t="n">
        <v>6.9</v>
      </c>
      <c r="I1327" s="7" t="n">
        <v>0</v>
      </c>
      <c r="J1327" s="7" t="n">
        <v>0</v>
      </c>
      <c r="K1327" s="9" t="n">
        <v>0</v>
      </c>
      <c r="L1327" s="10" t="n">
        <v>4.1</v>
      </c>
      <c r="M1327" s="10" t="n">
        <v>1.43</v>
      </c>
      <c r="N1327" t="inlineStr">
        <is>
          <t>1</t>
        </is>
      </c>
      <c r="O1327" t="inlineStr">
        <is>
          <t>16</t>
        </is>
      </c>
      <c r="P1327" t="inlineStr">
        <is>
          <t xml:space="preserve">250316  </t>
        </is>
      </c>
      <c r="Q1327" s="26" t="n">
        <v>4.09</v>
      </c>
      <c r="R1327" s="26">
        <f>Q1327*G1327</f>
        <v/>
      </c>
      <c r="S1327" s="26">
        <f>IFERROR(VLOOKUP(E1327*1,Tabla[#All],8,0),0)</f>
        <v/>
      </c>
      <c r="T1327" s="26">
        <f>S1327*G1327</f>
        <v/>
      </c>
      <c r="U1327" s="26">
        <f>R1327-T1327</f>
        <v/>
      </c>
      <c r="V1327" s="26">
        <f>U1327-L1327</f>
        <v/>
      </c>
    </row>
    <row r="1328">
      <c r="A1328" s="11" t="n">
        <v>46216</v>
      </c>
      <c r="B1328" s="1" t="n">
        <v>20057</v>
      </c>
      <c r="C1328" s="1" t="inlineStr">
        <is>
          <t>536</t>
        </is>
      </c>
      <c r="D1328" s="1" t="inlineStr">
        <is>
          <t xml:space="preserve">7197  </t>
        </is>
      </c>
      <c r="E1328" s="1" t="inlineStr">
        <is>
          <t xml:space="preserve">28194769       </t>
        </is>
      </c>
      <c r="F1328" s="5" t="inlineStr">
        <is>
          <t>AUTOS DE METAL 3 TEAMSTERZ PACK DE 2</t>
        </is>
      </c>
      <c r="G1328" t="n">
        <v>1</v>
      </c>
      <c r="H1328" s="7" t="n">
        <v>13.8</v>
      </c>
      <c r="I1328" s="7" t="n">
        <v>0</v>
      </c>
      <c r="J1328" s="7" t="n">
        <v>0</v>
      </c>
      <c r="K1328" s="9" t="n">
        <v>0</v>
      </c>
      <c r="L1328" s="10" t="n">
        <v>8.18</v>
      </c>
      <c r="M1328" s="10" t="n">
        <v>1.43</v>
      </c>
      <c r="N1328" t="inlineStr">
        <is>
          <t>1</t>
        </is>
      </c>
      <c r="O1328" t="inlineStr">
        <is>
          <t>16</t>
        </is>
      </c>
      <c r="P1328" t="inlineStr">
        <is>
          <t xml:space="preserve">249928  </t>
        </is>
      </c>
      <c r="Q1328" s="26" t="n">
        <v>8.19</v>
      </c>
      <c r="R1328" s="26">
        <f>Q1328*G1328</f>
        <v/>
      </c>
      <c r="S1328" s="26">
        <f>IFERROR(VLOOKUP(E1328*1,Tabla[#All],8,0),0)</f>
        <v/>
      </c>
      <c r="T1328" s="26">
        <f>S1328*G1328</f>
        <v/>
      </c>
      <c r="U1328" s="26">
        <f>R1328-T1328</f>
        <v/>
      </c>
      <c r="V1328" s="26">
        <f>U1328-L1328</f>
        <v/>
      </c>
    </row>
    <row r="1329">
      <c r="A1329" s="11" t="n">
        <v>46216</v>
      </c>
      <c r="B1329" s="1" t="n">
        <v>20057</v>
      </c>
      <c r="C1329" s="1" t="inlineStr">
        <is>
          <t>862</t>
        </is>
      </c>
      <c r="D1329" s="1" t="inlineStr">
        <is>
          <t xml:space="preserve">7941  </t>
        </is>
      </c>
      <c r="E1329" s="1" t="inlineStr">
        <is>
          <t xml:space="preserve">28194770       </t>
        </is>
      </c>
      <c r="F1329" s="5" t="inlineStr">
        <is>
          <t>AUTOS DE METAL 3 TEAMSTERZ EN BLISTER</t>
        </is>
      </c>
      <c r="G1329" t="n">
        <v>1</v>
      </c>
      <c r="H1329" s="7" t="n">
        <v>6.9</v>
      </c>
      <c r="I1329" s="7" t="n">
        <v>0</v>
      </c>
      <c r="J1329" s="7" t="n">
        <v>0</v>
      </c>
      <c r="K1329" s="9" t="n">
        <v>0</v>
      </c>
      <c r="L1329" s="10" t="n">
        <v>4.1</v>
      </c>
      <c r="M1329" s="10" t="n">
        <v>1.43</v>
      </c>
      <c r="N1329" t="inlineStr">
        <is>
          <t>1</t>
        </is>
      </c>
      <c r="O1329" t="inlineStr">
        <is>
          <t>16</t>
        </is>
      </c>
      <c r="P1329" t="inlineStr">
        <is>
          <t xml:space="preserve">0       </t>
        </is>
      </c>
      <c r="Q1329" s="26" t="n">
        <v>4.09</v>
      </c>
      <c r="R1329" s="26">
        <f>Q1329*G1329</f>
        <v/>
      </c>
      <c r="S1329" s="26">
        <f>IFERROR(VLOOKUP(E1329*1,Tabla[#All],8,0),0)</f>
        <v/>
      </c>
      <c r="T1329" s="26">
        <f>S1329*G1329</f>
        <v/>
      </c>
      <c r="U1329" s="26">
        <f>R1329-T1329</f>
        <v/>
      </c>
      <c r="V1329" s="26">
        <f>U1329-L1329</f>
        <v/>
      </c>
    </row>
    <row r="1330">
      <c r="A1330" s="11" t="n">
        <v>46216</v>
      </c>
      <c r="B1330" s="1" t="n">
        <v>20058</v>
      </c>
      <c r="C1330" s="1" t="inlineStr">
        <is>
          <t>038</t>
        </is>
      </c>
      <c r="D1330" s="1" t="inlineStr">
        <is>
          <t>209256</t>
        </is>
      </c>
      <c r="E1330" s="1" t="inlineStr">
        <is>
          <t xml:space="preserve">28194769       </t>
        </is>
      </c>
      <c r="F1330" s="5" t="inlineStr">
        <is>
          <t>AUTOS DE METAL 3 TEAMSTERZ PACK DE 2</t>
        </is>
      </c>
      <c r="G1330" t="n">
        <v>1</v>
      </c>
      <c r="H1330" s="7" t="n">
        <v>13.8</v>
      </c>
      <c r="I1330" s="7" t="n">
        <v>0</v>
      </c>
      <c r="J1330" s="7" t="n">
        <v>0</v>
      </c>
      <c r="K1330" s="9" t="n">
        <v>0</v>
      </c>
      <c r="L1330" s="10" t="n">
        <v>8.18</v>
      </c>
      <c r="M1330" s="10" t="n">
        <v>1.43</v>
      </c>
      <c r="N1330" t="inlineStr">
        <is>
          <t>1</t>
        </is>
      </c>
      <c r="O1330" t="inlineStr">
        <is>
          <t xml:space="preserve">3 </t>
        </is>
      </c>
      <c r="P1330" t="inlineStr">
        <is>
          <t xml:space="preserve">94051   </t>
        </is>
      </c>
      <c r="Q1330" s="26" t="n">
        <v>8.19</v>
      </c>
      <c r="R1330" s="26">
        <f>Q1330*G1330</f>
        <v/>
      </c>
      <c r="S1330" s="26">
        <f>IFERROR(VLOOKUP(E1330*1,Tabla[#All],8,0),0)</f>
        <v/>
      </c>
      <c r="T1330" s="26">
        <f>S1330*G1330</f>
        <v/>
      </c>
      <c r="U1330" s="26">
        <f>R1330-T1330</f>
        <v/>
      </c>
      <c r="V1330" s="26">
        <f>U1330-L1330</f>
        <v/>
      </c>
    </row>
    <row r="1331">
      <c r="A1331" s="11" t="n">
        <v>46216</v>
      </c>
      <c r="B1331" s="1" t="n">
        <v>20058</v>
      </c>
      <c r="C1331" s="1" t="inlineStr">
        <is>
          <t>038</t>
        </is>
      </c>
      <c r="D1331" s="1" t="inlineStr">
        <is>
          <t>209256</t>
        </is>
      </c>
      <c r="E1331" s="1" t="inlineStr">
        <is>
          <t xml:space="preserve">28194769       </t>
        </is>
      </c>
      <c r="F1331" s="5" t="inlineStr">
        <is>
          <t>AUTOS DE METAL 3 TEAMSTERZ PACK DE 2</t>
        </is>
      </c>
      <c r="G1331" t="n">
        <v>1</v>
      </c>
      <c r="H1331" s="7" t="n">
        <v>13.8</v>
      </c>
      <c r="I1331" s="7" t="n">
        <v>0</v>
      </c>
      <c r="J1331" s="7" t="n">
        <v>0</v>
      </c>
      <c r="K1331" s="9" t="n">
        <v>0</v>
      </c>
      <c r="L1331" s="10" t="n">
        <v>8.18</v>
      </c>
      <c r="M1331" s="10" t="n">
        <v>1.43</v>
      </c>
      <c r="N1331" t="inlineStr">
        <is>
          <t>1</t>
        </is>
      </c>
      <c r="O1331" t="inlineStr">
        <is>
          <t xml:space="preserve">3 </t>
        </is>
      </c>
      <c r="P1331" t="inlineStr">
        <is>
          <t xml:space="preserve">94051   </t>
        </is>
      </c>
      <c r="Q1331" s="26" t="n">
        <v>8.19</v>
      </c>
      <c r="R1331" s="26">
        <f>Q1331*G1331</f>
        <v/>
      </c>
      <c r="S1331" s="26">
        <f>IFERROR(VLOOKUP(E1331*1,Tabla[#All],8,0),0)</f>
        <v/>
      </c>
      <c r="T1331" s="26">
        <f>S1331*G1331</f>
        <v/>
      </c>
      <c r="U1331" s="26">
        <f>R1331-T1331</f>
        <v/>
      </c>
      <c r="V1331" s="26">
        <f>U1331-L1331</f>
        <v/>
      </c>
    </row>
    <row r="1332">
      <c r="A1332" s="11" t="n">
        <v>46216</v>
      </c>
      <c r="B1332" s="1" t="n">
        <v>20058</v>
      </c>
      <c r="C1332" s="1" t="inlineStr">
        <is>
          <t>039</t>
        </is>
      </c>
      <c r="D1332" s="1" t="inlineStr">
        <is>
          <t>230539</t>
        </is>
      </c>
      <c r="E1332" s="1" t="inlineStr">
        <is>
          <t xml:space="preserve">28194769       </t>
        </is>
      </c>
      <c r="F1332" s="5" t="inlineStr">
        <is>
          <t>AUTOS DE METAL 3 TEAMSTERZ PACK DE 2</t>
        </is>
      </c>
      <c r="G1332" t="n">
        <v>1</v>
      </c>
      <c r="H1332" s="7" t="n">
        <v>13.8</v>
      </c>
      <c r="I1332" s="7" t="n">
        <v>0</v>
      </c>
      <c r="J1332" s="7" t="n">
        <v>0</v>
      </c>
      <c r="K1332" s="9" t="n">
        <v>0</v>
      </c>
      <c r="L1332" s="10" t="n">
        <v>8.18</v>
      </c>
      <c r="M1332" s="10" t="n">
        <v>1.43</v>
      </c>
      <c r="N1332" t="inlineStr">
        <is>
          <t>1</t>
        </is>
      </c>
      <c r="O1332" t="inlineStr">
        <is>
          <t xml:space="preserve">3 </t>
        </is>
      </c>
      <c r="P1332" t="inlineStr">
        <is>
          <t xml:space="preserve">249014  </t>
        </is>
      </c>
      <c r="Q1332" s="26" t="n">
        <v>8.19</v>
      </c>
      <c r="R1332" s="26">
        <f>Q1332*G1332</f>
        <v/>
      </c>
      <c r="S1332" s="26">
        <f>IFERROR(VLOOKUP(E1332*1,Tabla[#All],8,0),0)</f>
        <v/>
      </c>
      <c r="T1332" s="26">
        <f>S1332*G1332</f>
        <v/>
      </c>
      <c r="U1332" s="26">
        <f>R1332-T1332</f>
        <v/>
      </c>
      <c r="V1332" s="26">
        <f>U1332-L1332</f>
        <v/>
      </c>
    </row>
    <row r="1333">
      <c r="A1333" s="11" t="n">
        <v>46216</v>
      </c>
      <c r="B1333" s="1" t="n">
        <v>20058</v>
      </c>
      <c r="C1333" s="1" t="inlineStr">
        <is>
          <t>039</t>
        </is>
      </c>
      <c r="D1333" s="1" t="inlineStr">
        <is>
          <t>230539</t>
        </is>
      </c>
      <c r="E1333" s="1" t="inlineStr">
        <is>
          <t xml:space="preserve">28194769       </t>
        </is>
      </c>
      <c r="F1333" s="5" t="inlineStr">
        <is>
          <t>AUTOS DE METAL 3 TEAMSTERZ PACK DE 2</t>
        </is>
      </c>
      <c r="G1333" t="n">
        <v>1</v>
      </c>
      <c r="H1333" s="7" t="n">
        <v>13.8</v>
      </c>
      <c r="I1333" s="7" t="n">
        <v>0</v>
      </c>
      <c r="J1333" s="7" t="n">
        <v>0</v>
      </c>
      <c r="K1333" s="9" t="n">
        <v>0</v>
      </c>
      <c r="L1333" s="10" t="n">
        <v>8.18</v>
      </c>
      <c r="M1333" s="10" t="n">
        <v>1.43</v>
      </c>
      <c r="N1333" t="inlineStr">
        <is>
          <t>1</t>
        </is>
      </c>
      <c r="O1333" t="inlineStr">
        <is>
          <t xml:space="preserve">3 </t>
        </is>
      </c>
      <c r="P1333" t="inlineStr">
        <is>
          <t xml:space="preserve">249014  </t>
        </is>
      </c>
      <c r="Q1333" s="26" t="n">
        <v>8.19</v>
      </c>
      <c r="R1333" s="26">
        <f>Q1333*G1333</f>
        <v/>
      </c>
      <c r="S1333" s="26">
        <f>IFERROR(VLOOKUP(E1333*1,Tabla[#All],8,0),0)</f>
        <v/>
      </c>
      <c r="T1333" s="26">
        <f>S1333*G1333</f>
        <v/>
      </c>
      <c r="U1333" s="26">
        <f>R1333-T1333</f>
        <v/>
      </c>
      <c r="V1333" s="26">
        <f>U1333-L1333</f>
        <v/>
      </c>
    </row>
    <row r="1334">
      <c r="A1334" s="11" t="n">
        <v>46216</v>
      </c>
      <c r="B1334" s="1" t="n">
        <v>20058</v>
      </c>
      <c r="C1334" s="1" t="inlineStr">
        <is>
          <t>039</t>
        </is>
      </c>
      <c r="D1334" s="1" t="inlineStr">
        <is>
          <t>230539</t>
        </is>
      </c>
      <c r="E1334" s="1" t="inlineStr">
        <is>
          <t xml:space="preserve">28194769       </t>
        </is>
      </c>
      <c r="F1334" s="5" t="inlineStr">
        <is>
          <t>AUTOS DE METAL 3 TEAMSTERZ PACK DE 2</t>
        </is>
      </c>
      <c r="G1334" t="n">
        <v>1</v>
      </c>
      <c r="H1334" s="7" t="n">
        <v>13.8</v>
      </c>
      <c r="I1334" s="7" t="n">
        <v>0</v>
      </c>
      <c r="J1334" s="7" t="n">
        <v>0</v>
      </c>
      <c r="K1334" s="9" t="n">
        <v>0</v>
      </c>
      <c r="L1334" s="10" t="n">
        <v>8.18</v>
      </c>
      <c r="M1334" s="10" t="n">
        <v>1.43</v>
      </c>
      <c r="N1334" t="inlineStr">
        <is>
          <t>1</t>
        </is>
      </c>
      <c r="O1334" t="inlineStr">
        <is>
          <t xml:space="preserve">3 </t>
        </is>
      </c>
      <c r="P1334" t="inlineStr">
        <is>
          <t xml:space="preserve">249014  </t>
        </is>
      </c>
      <c r="Q1334" s="26" t="n">
        <v>8.19</v>
      </c>
      <c r="R1334" s="26">
        <f>Q1334*G1334</f>
        <v/>
      </c>
      <c r="S1334" s="26">
        <f>IFERROR(VLOOKUP(E1334*1,Tabla[#All],8,0),0)</f>
        <v/>
      </c>
      <c r="T1334" s="26">
        <f>S1334*G1334</f>
        <v/>
      </c>
      <c r="U1334" s="26">
        <f>R1334-T1334</f>
        <v/>
      </c>
      <c r="V1334" s="26">
        <f>U1334-L1334</f>
        <v/>
      </c>
    </row>
    <row r="1335">
      <c r="A1335" s="11" t="n">
        <v>46216</v>
      </c>
      <c r="B1335" s="1" t="n">
        <v>20058</v>
      </c>
      <c r="C1335" s="1" t="inlineStr">
        <is>
          <t>039</t>
        </is>
      </c>
      <c r="D1335" s="1" t="inlineStr">
        <is>
          <t>230539</t>
        </is>
      </c>
      <c r="E1335" s="1" t="inlineStr">
        <is>
          <t xml:space="preserve">28194769       </t>
        </is>
      </c>
      <c r="F1335" s="5" t="inlineStr">
        <is>
          <t>AUTOS DE METAL 3 TEAMSTERZ PACK DE 2</t>
        </is>
      </c>
      <c r="G1335" t="n">
        <v>1</v>
      </c>
      <c r="H1335" s="7" t="n">
        <v>13.8</v>
      </c>
      <c r="I1335" s="7" t="n">
        <v>0</v>
      </c>
      <c r="J1335" s="7" t="n">
        <v>0</v>
      </c>
      <c r="K1335" s="9" t="n">
        <v>0</v>
      </c>
      <c r="L1335" s="10" t="n">
        <v>8.18</v>
      </c>
      <c r="M1335" s="10" t="n">
        <v>1.43</v>
      </c>
      <c r="N1335" t="inlineStr">
        <is>
          <t>1</t>
        </is>
      </c>
      <c r="O1335" t="inlineStr">
        <is>
          <t xml:space="preserve">3 </t>
        </is>
      </c>
      <c r="P1335" t="inlineStr">
        <is>
          <t xml:space="preserve">249014  </t>
        </is>
      </c>
      <c r="Q1335" s="26" t="n">
        <v>8.19</v>
      </c>
      <c r="R1335" s="26">
        <f>Q1335*G1335</f>
        <v/>
      </c>
      <c r="S1335" s="26">
        <f>IFERROR(VLOOKUP(E1335*1,Tabla[#All],8,0),0)</f>
        <v/>
      </c>
      <c r="T1335" s="26">
        <f>S1335*G1335</f>
        <v/>
      </c>
      <c r="U1335" s="26">
        <f>R1335-T1335</f>
        <v/>
      </c>
      <c r="V1335" s="26">
        <f>U1335-L1335</f>
        <v/>
      </c>
    </row>
    <row r="1336">
      <c r="A1336" s="11" t="n">
        <v>46216</v>
      </c>
      <c r="B1336" s="1" t="n">
        <v>20058</v>
      </c>
      <c r="C1336" s="1" t="inlineStr">
        <is>
          <t>039</t>
        </is>
      </c>
      <c r="D1336" s="1" t="inlineStr">
        <is>
          <t>230539</t>
        </is>
      </c>
      <c r="E1336" s="1" t="inlineStr">
        <is>
          <t xml:space="preserve">28194769       </t>
        </is>
      </c>
      <c r="F1336" s="5" t="inlineStr">
        <is>
          <t>AUTOS DE METAL 3 TEAMSTERZ PACK DE 2</t>
        </is>
      </c>
      <c r="G1336" t="n">
        <v>1</v>
      </c>
      <c r="H1336" s="7" t="n">
        <v>13.8</v>
      </c>
      <c r="I1336" s="7" t="n">
        <v>0</v>
      </c>
      <c r="J1336" s="7" t="n">
        <v>0</v>
      </c>
      <c r="K1336" s="9" t="n">
        <v>0</v>
      </c>
      <c r="L1336" s="10" t="n">
        <v>8.18</v>
      </c>
      <c r="M1336" s="10" t="n">
        <v>1.43</v>
      </c>
      <c r="N1336" t="inlineStr">
        <is>
          <t>1</t>
        </is>
      </c>
      <c r="O1336" t="inlineStr">
        <is>
          <t xml:space="preserve">3 </t>
        </is>
      </c>
      <c r="P1336" t="inlineStr">
        <is>
          <t xml:space="preserve">249014  </t>
        </is>
      </c>
      <c r="Q1336" s="26" t="n">
        <v>8.19</v>
      </c>
      <c r="R1336" s="26">
        <f>Q1336*G1336</f>
        <v/>
      </c>
      <c r="S1336" s="26">
        <f>IFERROR(VLOOKUP(E1336*1,Tabla[#All],8,0),0)</f>
        <v/>
      </c>
      <c r="T1336" s="26">
        <f>S1336*G1336</f>
        <v/>
      </c>
      <c r="U1336" s="26">
        <f>R1336-T1336</f>
        <v/>
      </c>
      <c r="V1336" s="26">
        <f>U1336-L1336</f>
        <v/>
      </c>
    </row>
    <row r="1337">
      <c r="A1337" s="11" t="n">
        <v>46216</v>
      </c>
      <c r="B1337" s="1" t="n">
        <v>20058</v>
      </c>
      <c r="C1337" s="1" t="inlineStr">
        <is>
          <t>039</t>
        </is>
      </c>
      <c r="D1337" s="1" t="inlineStr">
        <is>
          <t>230539</t>
        </is>
      </c>
      <c r="E1337" s="1" t="inlineStr">
        <is>
          <t xml:space="preserve">28194770       </t>
        </is>
      </c>
      <c r="F1337" s="5" t="inlineStr">
        <is>
          <t>AUTOS DE METAL 3 TEAMSTERZ EN BLISTER</t>
        </is>
      </c>
      <c r="G1337" t="n">
        <v>1</v>
      </c>
      <c r="H1337" s="7" t="n">
        <v>6.9</v>
      </c>
      <c r="I1337" s="7" t="n">
        <v>0</v>
      </c>
      <c r="J1337" s="7" t="n">
        <v>0</v>
      </c>
      <c r="K1337" s="9" t="n">
        <v>0</v>
      </c>
      <c r="L1337" s="10" t="n">
        <v>4.1</v>
      </c>
      <c r="M1337" s="10" t="n">
        <v>1.43</v>
      </c>
      <c r="N1337" t="inlineStr">
        <is>
          <t>1</t>
        </is>
      </c>
      <c r="O1337" t="inlineStr">
        <is>
          <t xml:space="preserve">3 </t>
        </is>
      </c>
      <c r="P1337" t="inlineStr">
        <is>
          <t xml:space="preserve">249014  </t>
        </is>
      </c>
      <c r="Q1337" s="26" t="n">
        <v>4.09</v>
      </c>
      <c r="R1337" s="26">
        <f>Q1337*G1337</f>
        <v/>
      </c>
      <c r="S1337" s="26">
        <f>IFERROR(VLOOKUP(E1337*1,Tabla[#All],8,0),0)</f>
        <v/>
      </c>
      <c r="T1337" s="26">
        <f>S1337*G1337</f>
        <v/>
      </c>
      <c r="U1337" s="26">
        <f>R1337-T1337</f>
        <v/>
      </c>
      <c r="V1337" s="26">
        <f>U1337-L1337</f>
        <v/>
      </c>
    </row>
    <row r="1338">
      <c r="A1338" s="11" t="n">
        <v>46216</v>
      </c>
      <c r="B1338" s="1" t="n">
        <v>20058</v>
      </c>
      <c r="C1338" s="1" t="inlineStr">
        <is>
          <t>039</t>
        </is>
      </c>
      <c r="D1338" s="1" t="inlineStr">
        <is>
          <t>230539</t>
        </is>
      </c>
      <c r="E1338" s="1" t="inlineStr">
        <is>
          <t xml:space="preserve">28194770       </t>
        </is>
      </c>
      <c r="F1338" s="5" t="inlineStr">
        <is>
          <t>AUTOS DE METAL 3 TEAMSTERZ EN BLISTER</t>
        </is>
      </c>
      <c r="G1338" t="n">
        <v>1</v>
      </c>
      <c r="H1338" s="7" t="n">
        <v>6.9</v>
      </c>
      <c r="I1338" s="7" t="n">
        <v>0</v>
      </c>
      <c r="J1338" s="7" t="n">
        <v>0</v>
      </c>
      <c r="K1338" s="9" t="n">
        <v>0</v>
      </c>
      <c r="L1338" s="10" t="n">
        <v>4.1</v>
      </c>
      <c r="M1338" s="10" t="n">
        <v>1.43</v>
      </c>
      <c r="N1338" t="inlineStr">
        <is>
          <t>1</t>
        </is>
      </c>
      <c r="O1338" t="inlineStr">
        <is>
          <t xml:space="preserve">3 </t>
        </is>
      </c>
      <c r="P1338" t="inlineStr">
        <is>
          <t xml:space="preserve">249014  </t>
        </is>
      </c>
      <c r="Q1338" s="26" t="n">
        <v>4.09</v>
      </c>
      <c r="R1338" s="26">
        <f>Q1338*G1338</f>
        <v/>
      </c>
      <c r="S1338" s="26">
        <f>IFERROR(VLOOKUP(E1338*1,Tabla[#All],8,0),0)</f>
        <v/>
      </c>
      <c r="T1338" s="26">
        <f>S1338*G1338</f>
        <v/>
      </c>
      <c r="U1338" s="26">
        <f>R1338-T1338</f>
        <v/>
      </c>
      <c r="V1338" s="26">
        <f>U1338-L1338</f>
        <v/>
      </c>
    </row>
    <row r="1339">
      <c r="A1339" s="11" t="n">
        <v>46216</v>
      </c>
      <c r="B1339" s="1" t="n">
        <v>20058</v>
      </c>
      <c r="C1339" s="1" t="inlineStr">
        <is>
          <t>039</t>
        </is>
      </c>
      <c r="D1339" s="1" t="inlineStr">
        <is>
          <t>230539</t>
        </is>
      </c>
      <c r="E1339" s="1" t="inlineStr">
        <is>
          <t xml:space="preserve">28194770       </t>
        </is>
      </c>
      <c r="F1339" s="5" t="inlineStr">
        <is>
          <t>AUTOS DE METAL 3 TEAMSTERZ EN BLISTER</t>
        </is>
      </c>
      <c r="G1339" t="n">
        <v>1</v>
      </c>
      <c r="H1339" s="7" t="n">
        <v>6.9</v>
      </c>
      <c r="I1339" s="7" t="n">
        <v>0</v>
      </c>
      <c r="J1339" s="7" t="n">
        <v>0</v>
      </c>
      <c r="K1339" s="9" t="n">
        <v>0</v>
      </c>
      <c r="L1339" s="10" t="n">
        <v>4.1</v>
      </c>
      <c r="M1339" s="10" t="n">
        <v>1.43</v>
      </c>
      <c r="N1339" t="inlineStr">
        <is>
          <t>1</t>
        </is>
      </c>
      <c r="O1339" t="inlineStr">
        <is>
          <t xml:space="preserve">3 </t>
        </is>
      </c>
      <c r="P1339" t="inlineStr">
        <is>
          <t xml:space="preserve">249014  </t>
        </is>
      </c>
      <c r="Q1339" s="26" t="n">
        <v>4.09</v>
      </c>
      <c r="R1339" s="26">
        <f>Q1339*G1339</f>
        <v/>
      </c>
      <c r="S1339" s="26">
        <f>IFERROR(VLOOKUP(E1339*1,Tabla[#All],8,0),0)</f>
        <v/>
      </c>
      <c r="T1339" s="26">
        <f>S1339*G1339</f>
        <v/>
      </c>
      <c r="U1339" s="26">
        <f>R1339-T1339</f>
        <v/>
      </c>
      <c r="V1339" s="26">
        <f>U1339-L1339</f>
        <v/>
      </c>
    </row>
    <row r="1340">
      <c r="A1340" s="11" t="n">
        <v>46216</v>
      </c>
      <c r="B1340" s="1" t="n">
        <v>20058</v>
      </c>
      <c r="C1340" s="1" t="inlineStr">
        <is>
          <t>039</t>
        </is>
      </c>
      <c r="D1340" s="1" t="inlineStr">
        <is>
          <t>230539</t>
        </is>
      </c>
      <c r="E1340" s="1" t="inlineStr">
        <is>
          <t xml:space="preserve">28194770       </t>
        </is>
      </c>
      <c r="F1340" s="5" t="inlineStr">
        <is>
          <t>AUTOS DE METAL 3 TEAMSTERZ EN BLISTER</t>
        </is>
      </c>
      <c r="G1340" t="n">
        <v>1</v>
      </c>
      <c r="H1340" s="7" t="n">
        <v>6.9</v>
      </c>
      <c r="I1340" s="7" t="n">
        <v>0</v>
      </c>
      <c r="J1340" s="7" t="n">
        <v>0</v>
      </c>
      <c r="K1340" s="9" t="n">
        <v>0</v>
      </c>
      <c r="L1340" s="10" t="n">
        <v>4.1</v>
      </c>
      <c r="M1340" s="10" t="n">
        <v>1.43</v>
      </c>
      <c r="N1340" t="inlineStr">
        <is>
          <t>1</t>
        </is>
      </c>
      <c r="O1340" t="inlineStr">
        <is>
          <t xml:space="preserve">3 </t>
        </is>
      </c>
      <c r="P1340" t="inlineStr">
        <is>
          <t xml:space="preserve">249014  </t>
        </is>
      </c>
      <c r="Q1340" s="26" t="n">
        <v>4.09</v>
      </c>
      <c r="R1340" s="26">
        <f>Q1340*G1340</f>
        <v/>
      </c>
      <c r="S1340" s="26">
        <f>IFERROR(VLOOKUP(E1340*1,Tabla[#All],8,0),0)</f>
        <v/>
      </c>
      <c r="T1340" s="26">
        <f>S1340*G1340</f>
        <v/>
      </c>
      <c r="U1340" s="26">
        <f>R1340-T1340</f>
        <v/>
      </c>
      <c r="V1340" s="26">
        <f>U1340-L1340</f>
        <v/>
      </c>
    </row>
    <row r="1341">
      <c r="A1341" s="11" t="n">
        <v>46216</v>
      </c>
      <c r="B1341" s="1" t="n">
        <v>20062</v>
      </c>
      <c r="C1341" s="1" t="inlineStr">
        <is>
          <t>050</t>
        </is>
      </c>
      <c r="D1341" s="1" t="inlineStr">
        <is>
          <t>317337</t>
        </is>
      </c>
      <c r="E1341" s="1" t="inlineStr">
        <is>
          <t xml:space="preserve">31959957       </t>
        </is>
      </c>
      <c r="F1341" s="5" t="inlineStr">
        <is>
          <t>TEAMSTERZ PLAYSET RESCATE EN EL MAR</t>
        </is>
      </c>
      <c r="G1341" t="n">
        <v>1</v>
      </c>
      <c r="H1341" s="7" t="n">
        <v>19.9</v>
      </c>
      <c r="I1341" s="7" t="n">
        <v>0</v>
      </c>
      <c r="J1341" s="7" t="n">
        <v>0</v>
      </c>
      <c r="K1341" s="9" t="n">
        <v>0</v>
      </c>
      <c r="L1341" s="10" t="n">
        <v>11.8</v>
      </c>
      <c r="M1341" s="10" t="n">
        <v>1.43</v>
      </c>
      <c r="N1341" t="inlineStr">
        <is>
          <t>1</t>
        </is>
      </c>
      <c r="O1341" t="inlineStr">
        <is>
          <t xml:space="preserve">3 </t>
        </is>
      </c>
      <c r="P1341" t="inlineStr">
        <is>
          <t xml:space="preserve">43458   </t>
        </is>
      </c>
      <c r="Q1341" s="26" t="n">
        <v>11.81</v>
      </c>
      <c r="R1341" s="26">
        <f>Q1341*G1341</f>
        <v/>
      </c>
      <c r="S1341" s="26">
        <f>IFERROR(VLOOKUP(E1341*1,Tabla[#All],8,0),0)</f>
        <v/>
      </c>
      <c r="T1341" s="26">
        <f>S1341*G1341</f>
        <v/>
      </c>
      <c r="U1341" s="26">
        <f>R1341-T1341</f>
        <v/>
      </c>
      <c r="V1341" s="26">
        <f>U1341-L1341</f>
        <v/>
      </c>
    </row>
    <row r="1342">
      <c r="A1342" s="11" t="n">
        <v>46216</v>
      </c>
      <c r="B1342" s="1" t="n">
        <v>20062</v>
      </c>
      <c r="C1342" s="1" t="inlineStr">
        <is>
          <t>831</t>
        </is>
      </c>
      <c r="D1342" s="1" t="inlineStr">
        <is>
          <t xml:space="preserve">1469  </t>
        </is>
      </c>
      <c r="E1342" s="1" t="inlineStr">
        <is>
          <t xml:space="preserve">32457101       </t>
        </is>
      </c>
      <c r="F1342" s="5" t="inlineStr">
        <is>
          <t>TMZ BEAST MACHINES TRANSPORTE PESADO + 2 AUTOS SUR</t>
        </is>
      </c>
      <c r="G1342" t="n">
        <v>1</v>
      </c>
      <c r="H1342" s="7" t="n">
        <v>37.9</v>
      </c>
      <c r="I1342" s="7" t="n">
        <v>0</v>
      </c>
      <c r="J1342" s="7" t="n">
        <v>0</v>
      </c>
      <c r="K1342" s="9" t="n">
        <v>0</v>
      </c>
      <c r="L1342" s="10" t="n">
        <v>22.48</v>
      </c>
      <c r="M1342" s="10" t="n">
        <v>1.43</v>
      </c>
      <c r="N1342" t="inlineStr">
        <is>
          <t>1</t>
        </is>
      </c>
      <c r="O1342" t="inlineStr">
        <is>
          <t>16</t>
        </is>
      </c>
      <c r="P1342" t="inlineStr">
        <is>
          <t xml:space="preserve">0       </t>
        </is>
      </c>
      <c r="Q1342" s="26" t="n">
        <v>22.48</v>
      </c>
      <c r="R1342" s="26">
        <f>Q1342*G1342</f>
        <v/>
      </c>
      <c r="S1342" s="26">
        <f>IFERROR(VLOOKUP(E1342*1,Tabla[#All],8,0),0)</f>
        <v/>
      </c>
      <c r="T1342" s="26">
        <f>S1342*G1342</f>
        <v/>
      </c>
      <c r="U1342" s="26">
        <f>R1342-T1342</f>
        <v/>
      </c>
      <c r="V1342" s="26">
        <f>U1342-L1342</f>
        <v/>
      </c>
    </row>
    <row r="1343">
      <c r="A1343" s="11" t="n">
        <v>46216</v>
      </c>
      <c r="B1343" s="1" t="n">
        <v>20069</v>
      </c>
      <c r="C1343" s="1" t="inlineStr">
        <is>
          <t>190</t>
        </is>
      </c>
      <c r="D1343" s="1" t="inlineStr">
        <is>
          <t>299305</t>
        </is>
      </c>
      <c r="E1343" s="1" t="inlineStr">
        <is>
          <t xml:space="preserve">28194770       </t>
        </is>
      </c>
      <c r="F1343" s="5" t="inlineStr">
        <is>
          <t>AUTOS DE METAL 3 TEAMSTERZ EN BLISTER</t>
        </is>
      </c>
      <c r="G1343" t="n">
        <v>1</v>
      </c>
      <c r="H1343" s="7" t="n">
        <v>6.9</v>
      </c>
      <c r="I1343" s="7" t="n">
        <v>0</v>
      </c>
      <c r="J1343" s="7" t="n">
        <v>0</v>
      </c>
      <c r="K1343" s="9" t="n">
        <v>0</v>
      </c>
      <c r="L1343" s="10" t="n">
        <v>4.1</v>
      </c>
      <c r="M1343" s="10" t="n">
        <v>1.43</v>
      </c>
      <c r="N1343" t="inlineStr">
        <is>
          <t>1</t>
        </is>
      </c>
      <c r="O1343" t="inlineStr">
        <is>
          <t>16</t>
        </is>
      </c>
      <c r="P1343" t="inlineStr">
        <is>
          <t xml:space="preserve">250750  </t>
        </is>
      </c>
      <c r="Q1343" s="26" t="n">
        <v>4.09</v>
      </c>
      <c r="R1343" s="26">
        <f>Q1343*G1343</f>
        <v/>
      </c>
      <c r="S1343" s="26">
        <f>IFERROR(VLOOKUP(E1343*1,Tabla[#All],8,0),0)</f>
        <v/>
      </c>
      <c r="T1343" s="26">
        <f>S1343*G1343</f>
        <v/>
      </c>
      <c r="U1343" s="26">
        <f>R1343-T1343</f>
        <v/>
      </c>
      <c r="V1343" s="26">
        <f>U1343-L1343</f>
        <v/>
      </c>
    </row>
    <row r="1344">
      <c r="A1344" s="11" t="n">
        <v>46216</v>
      </c>
      <c r="B1344" s="1" t="n">
        <v>20072</v>
      </c>
      <c r="C1344" s="1" t="inlineStr">
        <is>
          <t>036</t>
        </is>
      </c>
      <c r="D1344" s="1" t="inlineStr">
        <is>
          <t>179615</t>
        </is>
      </c>
      <c r="E1344" s="1" t="inlineStr">
        <is>
          <t xml:space="preserve">28194780       </t>
        </is>
      </c>
      <c r="F1344" s="5" t="inlineStr">
        <is>
          <t>TROMPO BATALLA INFINITY NADO PLSTICO SURTIDO</t>
        </is>
      </c>
      <c r="G1344" t="n">
        <v>1</v>
      </c>
      <c r="H1344" s="7" t="n">
        <v>19.9</v>
      </c>
      <c r="I1344" s="7" t="n">
        <v>0</v>
      </c>
      <c r="J1344" s="7" t="n">
        <v>0</v>
      </c>
      <c r="K1344" s="9" t="n">
        <v>0</v>
      </c>
      <c r="L1344" s="10" t="n">
        <v>11.8</v>
      </c>
      <c r="M1344" s="10" t="n">
        <v>1.43</v>
      </c>
      <c r="N1344" t="inlineStr">
        <is>
          <t>1</t>
        </is>
      </c>
      <c r="O1344" t="inlineStr">
        <is>
          <t>16</t>
        </is>
      </c>
      <c r="P1344" t="inlineStr">
        <is>
          <t xml:space="preserve">71221   </t>
        </is>
      </c>
      <c r="Q1344" s="26" t="n">
        <v>11.81</v>
      </c>
      <c r="R1344" s="26">
        <f>Q1344*G1344</f>
        <v/>
      </c>
      <c r="S1344" s="26">
        <f>IFERROR(VLOOKUP(E1344*1,Tabla[#All],8,0),0)</f>
        <v/>
      </c>
      <c r="T1344" s="26">
        <f>S1344*G1344</f>
        <v/>
      </c>
      <c r="U1344" s="26">
        <f>R1344-T1344</f>
        <v/>
      </c>
      <c r="V1344" s="26">
        <f>U1344-L1344</f>
        <v/>
      </c>
    </row>
    <row r="1345">
      <c r="A1345" s="11" t="n">
        <v>46216</v>
      </c>
      <c r="B1345" s="1" t="n">
        <v>20072</v>
      </c>
      <c r="C1345" s="1" t="inlineStr">
        <is>
          <t>036</t>
        </is>
      </c>
      <c r="D1345" s="1" t="inlineStr">
        <is>
          <t>179615</t>
        </is>
      </c>
      <c r="E1345" s="1" t="inlineStr">
        <is>
          <t xml:space="preserve">28194780       </t>
        </is>
      </c>
      <c r="F1345" s="5" t="inlineStr">
        <is>
          <t>TROMPO BATALLA INFINITY NADO PLSTICO SURTIDO</t>
        </is>
      </c>
      <c r="G1345" t="n">
        <v>1</v>
      </c>
      <c r="H1345" s="7" t="n">
        <v>19.9</v>
      </c>
      <c r="I1345" s="7" t="n">
        <v>0</v>
      </c>
      <c r="J1345" s="7" t="n">
        <v>0</v>
      </c>
      <c r="K1345" s="9" t="n">
        <v>0</v>
      </c>
      <c r="L1345" s="10" t="n">
        <v>11.8</v>
      </c>
      <c r="M1345" s="10" t="n">
        <v>1.43</v>
      </c>
      <c r="N1345" t="inlineStr">
        <is>
          <t>1</t>
        </is>
      </c>
      <c r="O1345" t="inlineStr">
        <is>
          <t>16</t>
        </is>
      </c>
      <c r="P1345" t="inlineStr">
        <is>
          <t xml:space="preserve">71221   </t>
        </is>
      </c>
      <c r="Q1345" s="26" t="n">
        <v>11.81</v>
      </c>
      <c r="R1345" s="26">
        <f>Q1345*G1345</f>
        <v/>
      </c>
      <c r="S1345" s="26">
        <f>IFERROR(VLOOKUP(E1345*1,Tabla[#All],8,0),0)</f>
        <v/>
      </c>
      <c r="T1345" s="26">
        <f>S1345*G1345</f>
        <v/>
      </c>
      <c r="U1345" s="26">
        <f>R1345-T1345</f>
        <v/>
      </c>
      <c r="V1345" s="26">
        <f>U1345-L1345</f>
        <v/>
      </c>
    </row>
    <row r="1346">
      <c r="A1346" s="11" t="n">
        <v>46216</v>
      </c>
      <c r="B1346" s="1" t="n">
        <v>20077</v>
      </c>
      <c r="C1346" s="1" t="inlineStr">
        <is>
          <t>016</t>
        </is>
      </c>
      <c r="D1346" s="1" t="inlineStr">
        <is>
          <t>121836</t>
        </is>
      </c>
      <c r="E1346" s="1" t="inlineStr">
        <is>
          <t xml:space="preserve">31754676       </t>
        </is>
      </c>
      <c r="F1346" s="5" t="inlineStr">
        <is>
          <t>INFINITY NADO SERIE 6 STD PACK LANZ ESPAD ANILLO M</t>
        </is>
      </c>
      <c r="G1346" t="n">
        <v>1</v>
      </c>
      <c r="H1346" s="7" t="n">
        <v>79.90000000000001</v>
      </c>
      <c r="I1346" s="7" t="n">
        <v>0</v>
      </c>
      <c r="J1346" s="7" t="n">
        <v>0</v>
      </c>
      <c r="K1346" s="9" t="n">
        <v>0</v>
      </c>
      <c r="L1346" s="10" t="n">
        <v>47.4</v>
      </c>
      <c r="M1346" s="10" t="n">
        <v>1.43</v>
      </c>
      <c r="N1346" t="inlineStr">
        <is>
          <t>1</t>
        </is>
      </c>
      <c r="O1346" t="inlineStr">
        <is>
          <t>16</t>
        </is>
      </c>
      <c r="P1346" t="inlineStr">
        <is>
          <t xml:space="preserve">44367   </t>
        </is>
      </c>
      <c r="Q1346" s="26" t="n">
        <v>47.4</v>
      </c>
      <c r="R1346" s="26">
        <f>Q1346*G1346</f>
        <v/>
      </c>
      <c r="S1346" s="26">
        <f>IFERROR(VLOOKUP(E1346*1,Tabla[#All],8,0),0)</f>
        <v/>
      </c>
      <c r="T1346" s="26">
        <f>S1346*G1346</f>
        <v/>
      </c>
      <c r="U1346" s="26">
        <f>R1346-T1346</f>
        <v/>
      </c>
      <c r="V1346" s="26">
        <f>U1346-L1346</f>
        <v/>
      </c>
    </row>
    <row r="1347">
      <c r="A1347" s="11" t="n">
        <v>46216</v>
      </c>
      <c r="B1347" s="1" t="n">
        <v>20077</v>
      </c>
      <c r="C1347" s="1" t="inlineStr">
        <is>
          <t>029</t>
        </is>
      </c>
      <c r="D1347" s="1" t="inlineStr">
        <is>
          <t>156115</t>
        </is>
      </c>
      <c r="E1347" s="1" t="inlineStr">
        <is>
          <t xml:space="preserve">30141766       </t>
        </is>
      </c>
      <c r="F1347" s="5" t="inlineStr">
        <is>
          <t>TMZ BEAST MACHINES AUTOS DE METAL BLISTER X 1</t>
        </is>
      </c>
      <c r="G1347" t="n">
        <v>1</v>
      </c>
      <c r="H1347" s="7" t="n">
        <v>7.9</v>
      </c>
      <c r="I1347" s="7" t="n">
        <v>0</v>
      </c>
      <c r="J1347" s="7" t="n">
        <v>0</v>
      </c>
      <c r="K1347" s="9" t="n">
        <v>0</v>
      </c>
      <c r="L1347" s="10" t="n">
        <v>4.68</v>
      </c>
      <c r="M1347" s="10" t="n">
        <v>1.43</v>
      </c>
      <c r="N1347" t="inlineStr">
        <is>
          <t>1</t>
        </is>
      </c>
      <c r="O1347" t="inlineStr">
        <is>
          <t xml:space="preserve">2 </t>
        </is>
      </c>
      <c r="P1347" t="inlineStr">
        <is>
          <t xml:space="preserve">238517  </t>
        </is>
      </c>
      <c r="Q1347" s="26" t="n">
        <v>4.69</v>
      </c>
      <c r="R1347" s="26">
        <f>Q1347*G1347</f>
        <v/>
      </c>
      <c r="S1347" s="26">
        <f>IFERROR(VLOOKUP(E1347*1,Tabla[#All],8,0),0)</f>
        <v/>
      </c>
      <c r="T1347" s="26">
        <f>S1347*G1347</f>
        <v/>
      </c>
      <c r="U1347" s="26">
        <f>R1347-T1347</f>
        <v/>
      </c>
      <c r="V1347" s="26">
        <f>U1347-L1347</f>
        <v/>
      </c>
    </row>
    <row r="1348">
      <c r="A1348" s="11" t="n">
        <v>46216</v>
      </c>
      <c r="B1348" s="1" t="n">
        <v>20077</v>
      </c>
      <c r="C1348" s="1" t="inlineStr">
        <is>
          <t>038</t>
        </is>
      </c>
      <c r="D1348" s="1" t="inlineStr">
        <is>
          <t>111287</t>
        </is>
      </c>
      <c r="E1348" s="1" t="inlineStr">
        <is>
          <t xml:space="preserve">29235700       </t>
        </is>
      </c>
      <c r="F1348" s="5" t="inlineStr">
        <is>
          <t>HOT WHEELS CASE METALICO PARA GUARDAR 18 CARRITOS</t>
        </is>
      </c>
      <c r="G1348" t="n">
        <v>1</v>
      </c>
      <c r="H1348" s="7" t="n">
        <v>49.9</v>
      </c>
      <c r="I1348" s="7" t="n">
        <v>0</v>
      </c>
      <c r="J1348" s="7" t="n">
        <v>0</v>
      </c>
      <c r="K1348" s="9" t="n">
        <v>0</v>
      </c>
      <c r="L1348" s="10" t="n">
        <v>29.6</v>
      </c>
      <c r="M1348" s="10" t="n">
        <v>1.43</v>
      </c>
      <c r="N1348" t="inlineStr">
        <is>
          <t>1</t>
        </is>
      </c>
      <c r="O1348" t="inlineStr">
        <is>
          <t xml:space="preserve">2 </t>
        </is>
      </c>
      <c r="P1348" t="inlineStr">
        <is>
          <t xml:space="preserve">43583   </t>
        </is>
      </c>
      <c r="Q1348" s="26" t="n">
        <v>29.6</v>
      </c>
      <c r="R1348" s="26">
        <f>Q1348*G1348</f>
        <v/>
      </c>
      <c r="S1348" s="26">
        <f>IFERROR(VLOOKUP(E1348*1,Tabla[#All],8,0),0)</f>
        <v/>
      </c>
      <c r="T1348" s="26">
        <f>S1348*G1348</f>
        <v/>
      </c>
      <c r="U1348" s="26">
        <f>R1348-T1348</f>
        <v/>
      </c>
      <c r="V1348" s="26">
        <f>U1348-L1348</f>
        <v/>
      </c>
    </row>
    <row r="1349">
      <c r="A1349" s="11" t="n">
        <v>46216</v>
      </c>
      <c r="B1349" s="1" t="n">
        <v>20088</v>
      </c>
      <c r="C1349" s="1" t="inlineStr">
        <is>
          <t>013</t>
        </is>
      </c>
      <c r="D1349" s="1" t="inlineStr">
        <is>
          <t xml:space="preserve">41896 </t>
        </is>
      </c>
      <c r="E1349" s="1" t="inlineStr">
        <is>
          <t xml:space="preserve">32457099       </t>
        </is>
      </c>
      <c r="F1349" s="5" t="inlineStr">
        <is>
          <t>TMZ BEAST MACHINES MONSTER JAWS A FRICCION BLISTER</t>
        </is>
      </c>
      <c r="G1349" t="n">
        <v>1</v>
      </c>
      <c r="H1349" s="7" t="n">
        <v>17.9</v>
      </c>
      <c r="I1349" s="7" t="n">
        <v>0</v>
      </c>
      <c r="J1349" s="7" t="n">
        <v>0</v>
      </c>
      <c r="K1349" s="9" t="n">
        <v>0</v>
      </c>
      <c r="L1349" s="10" t="n">
        <v>10.62</v>
      </c>
      <c r="M1349" s="10" t="n">
        <v>1.43</v>
      </c>
      <c r="N1349" t="inlineStr">
        <is>
          <t>1</t>
        </is>
      </c>
      <c r="O1349" t="inlineStr">
        <is>
          <t>16</t>
        </is>
      </c>
      <c r="P1349" t="inlineStr">
        <is>
          <t xml:space="preserve">101886  </t>
        </is>
      </c>
      <c r="Q1349" s="26" t="n">
        <v>11.81</v>
      </c>
      <c r="R1349" s="26">
        <f>Q1349*G1349</f>
        <v/>
      </c>
      <c r="S1349" s="26">
        <f>IFERROR(VLOOKUP(E1349*1,Tabla[#All],8,0),0)</f>
        <v/>
      </c>
      <c r="T1349" s="26">
        <f>S1349*G1349</f>
        <v/>
      </c>
      <c r="U1349" s="26">
        <f>R1349-T1349</f>
        <v/>
      </c>
      <c r="V1349" s="26">
        <f>U1349-L1349</f>
        <v/>
      </c>
    </row>
    <row r="1350">
      <c r="A1350" s="11" t="n">
        <v>46216</v>
      </c>
      <c r="B1350" s="1" t="n">
        <v>20089</v>
      </c>
      <c r="C1350" s="1" t="inlineStr">
        <is>
          <t>025</t>
        </is>
      </c>
      <c r="D1350" s="1" t="inlineStr">
        <is>
          <t>121657</t>
        </is>
      </c>
      <c r="E1350" s="1" t="inlineStr">
        <is>
          <t xml:space="preserve">28194783       </t>
        </is>
      </c>
      <c r="F1350" s="5" t="inlineStr">
        <is>
          <t>SET DE BATALLA INFINITY NADO CON 2 TROMPOS</t>
        </is>
      </c>
      <c r="G1350" t="n">
        <v>1</v>
      </c>
      <c r="H1350" s="7" t="n">
        <v>159</v>
      </c>
      <c r="I1350" s="7" t="n">
        <v>0</v>
      </c>
      <c r="J1350" s="7" t="n">
        <v>0</v>
      </c>
      <c r="K1350" s="9" t="n">
        <v>0</v>
      </c>
      <c r="L1350" s="10" t="n">
        <v>94.33</v>
      </c>
      <c r="M1350" s="10" t="n">
        <v>1.43</v>
      </c>
      <c r="N1350" t="inlineStr">
        <is>
          <t>1</t>
        </is>
      </c>
      <c r="O1350" t="inlineStr">
        <is>
          <t>16</t>
        </is>
      </c>
      <c r="P1350" t="inlineStr">
        <is>
          <t xml:space="preserve">233031  </t>
        </is>
      </c>
      <c r="Q1350" s="26" t="n">
        <v>94.31999999999999</v>
      </c>
      <c r="R1350" s="26">
        <f>Q1350*G1350</f>
        <v/>
      </c>
      <c r="S1350" s="26">
        <f>IFERROR(VLOOKUP(E1350*1,Tabla[#All],8,0),0)</f>
        <v/>
      </c>
      <c r="T1350" s="26">
        <f>S1350*G1350</f>
        <v/>
      </c>
      <c r="U1350" s="26">
        <f>R1350-T1350</f>
        <v/>
      </c>
      <c r="V1350" s="26">
        <f>U1350-L1350</f>
        <v/>
      </c>
    </row>
    <row r="1351">
      <c r="A1351" s="11" t="n">
        <v>46216</v>
      </c>
      <c r="B1351" s="1" t="n">
        <v>20089</v>
      </c>
      <c r="C1351" s="1" t="inlineStr">
        <is>
          <t>026</t>
        </is>
      </c>
      <c r="D1351" s="1" t="inlineStr">
        <is>
          <t xml:space="preserve">87769 </t>
        </is>
      </c>
      <c r="E1351" s="1" t="inlineStr">
        <is>
          <t xml:space="preserve">28194770       </t>
        </is>
      </c>
      <c r="F1351" s="5" t="inlineStr">
        <is>
          <t>AUTOS DE METAL 3 TEAMSTERZ EN BLISTER</t>
        </is>
      </c>
      <c r="G1351" t="n">
        <v>1</v>
      </c>
      <c r="H1351" s="7" t="n">
        <v>6.9</v>
      </c>
      <c r="I1351" s="7" t="n">
        <v>0</v>
      </c>
      <c r="J1351" s="7" t="n">
        <v>0</v>
      </c>
      <c r="K1351" s="9" t="n">
        <v>0</v>
      </c>
      <c r="L1351" s="10" t="n">
        <v>4.1</v>
      </c>
      <c r="M1351" s="10" t="n">
        <v>1.43</v>
      </c>
      <c r="N1351" t="inlineStr">
        <is>
          <t>1</t>
        </is>
      </c>
      <c r="O1351" t="inlineStr">
        <is>
          <t xml:space="preserve">2 </t>
        </is>
      </c>
      <c r="P1351" t="inlineStr">
        <is>
          <t xml:space="preserve">98400   </t>
        </is>
      </c>
      <c r="Q1351" s="26" t="n">
        <v>4.09</v>
      </c>
      <c r="R1351" s="26">
        <f>Q1351*G1351</f>
        <v/>
      </c>
      <c r="S1351" s="26">
        <f>IFERROR(VLOOKUP(E1351*1,Tabla[#All],8,0),0)</f>
        <v/>
      </c>
      <c r="T1351" s="26">
        <f>S1351*G1351</f>
        <v/>
      </c>
      <c r="U1351" s="26">
        <f>R1351-T1351</f>
        <v/>
      </c>
      <c r="V1351" s="26">
        <f>U1351-L1351</f>
        <v/>
      </c>
    </row>
    <row r="1352">
      <c r="A1352" s="11" t="n">
        <v>46216</v>
      </c>
      <c r="B1352" s="1" t="n">
        <v>20089</v>
      </c>
      <c r="C1352" s="1" t="inlineStr">
        <is>
          <t>026</t>
        </is>
      </c>
      <c r="D1352" s="1" t="inlineStr">
        <is>
          <t xml:space="preserve">87774 </t>
        </is>
      </c>
      <c r="E1352" s="1" t="inlineStr">
        <is>
          <t xml:space="preserve">28194770       </t>
        </is>
      </c>
      <c r="F1352" s="5" t="inlineStr">
        <is>
          <t>AUTOS DE METAL 3 TEAMSTERZ EN BLISTER</t>
        </is>
      </c>
      <c r="G1352" t="n">
        <v>1</v>
      </c>
      <c r="H1352" s="7" t="n">
        <v>6.9</v>
      </c>
      <c r="I1352" s="7" t="n">
        <v>0</v>
      </c>
      <c r="J1352" s="7" t="n">
        <v>0</v>
      </c>
      <c r="K1352" s="9" t="n">
        <v>0</v>
      </c>
      <c r="L1352" s="10" t="n">
        <v>4.1</v>
      </c>
      <c r="M1352" s="10" t="n">
        <v>1.43</v>
      </c>
      <c r="N1352" t="inlineStr">
        <is>
          <t>1</t>
        </is>
      </c>
      <c r="O1352" t="inlineStr">
        <is>
          <t xml:space="preserve">2 </t>
        </is>
      </c>
      <c r="P1352" t="inlineStr">
        <is>
          <t xml:space="preserve">98400   </t>
        </is>
      </c>
      <c r="Q1352" s="26" t="n">
        <v>4.09</v>
      </c>
      <c r="R1352" s="26">
        <f>Q1352*G1352</f>
        <v/>
      </c>
      <c r="S1352" s="26">
        <f>IFERROR(VLOOKUP(E1352*1,Tabla[#All],8,0),0)</f>
        <v/>
      </c>
      <c r="T1352" s="26">
        <f>S1352*G1352</f>
        <v/>
      </c>
      <c r="U1352" s="26">
        <f>R1352-T1352</f>
        <v/>
      </c>
      <c r="V1352" s="26">
        <f>U1352-L1352</f>
        <v/>
      </c>
    </row>
    <row r="1353">
      <c r="A1353" s="11" t="n">
        <v>46216</v>
      </c>
      <c r="B1353" s="1" t="n">
        <v>20089</v>
      </c>
      <c r="C1353" s="1" t="inlineStr">
        <is>
          <t>026</t>
        </is>
      </c>
      <c r="D1353" s="1" t="inlineStr">
        <is>
          <t xml:space="preserve">87774 </t>
        </is>
      </c>
      <c r="E1353" s="1" t="inlineStr">
        <is>
          <t xml:space="preserve">28194770       </t>
        </is>
      </c>
      <c r="F1353" s="5" t="inlineStr">
        <is>
          <t>AUTOS DE METAL 3 TEAMSTERZ EN BLISTER</t>
        </is>
      </c>
      <c r="G1353" t="n">
        <v>1</v>
      </c>
      <c r="H1353" s="7" t="n">
        <v>6.9</v>
      </c>
      <c r="I1353" s="7" t="n">
        <v>0</v>
      </c>
      <c r="J1353" s="7" t="n">
        <v>0</v>
      </c>
      <c r="K1353" s="9" t="n">
        <v>0</v>
      </c>
      <c r="L1353" s="10" t="n">
        <v>4.1</v>
      </c>
      <c r="M1353" s="10" t="n">
        <v>1.43</v>
      </c>
      <c r="N1353" t="inlineStr">
        <is>
          <t>1</t>
        </is>
      </c>
      <c r="O1353" t="inlineStr">
        <is>
          <t xml:space="preserve">2 </t>
        </is>
      </c>
      <c r="P1353" t="inlineStr">
        <is>
          <t xml:space="preserve">98400   </t>
        </is>
      </c>
      <c r="Q1353" s="26" t="n">
        <v>4.09</v>
      </c>
      <c r="R1353" s="26">
        <f>Q1353*G1353</f>
        <v/>
      </c>
      <c r="S1353" s="26">
        <f>IFERROR(VLOOKUP(E1353*1,Tabla[#All],8,0),0)</f>
        <v/>
      </c>
      <c r="T1353" s="26">
        <f>S1353*G1353</f>
        <v/>
      </c>
      <c r="U1353" s="26">
        <f>R1353-T1353</f>
        <v/>
      </c>
      <c r="V1353" s="26">
        <f>U1353-L1353</f>
        <v/>
      </c>
    </row>
    <row r="1354">
      <c r="A1354" s="11" t="n">
        <v>46216</v>
      </c>
      <c r="B1354" s="1" t="n">
        <v>20089</v>
      </c>
      <c r="C1354" s="1" t="inlineStr">
        <is>
          <t>862</t>
        </is>
      </c>
      <c r="D1354" s="1" t="inlineStr">
        <is>
          <t xml:space="preserve">8440  </t>
        </is>
      </c>
      <c r="E1354" s="1" t="inlineStr">
        <is>
          <t xml:space="preserve">28194770       </t>
        </is>
      </c>
      <c r="F1354" s="5" t="inlineStr">
        <is>
          <t>AUTOS DE METAL 3 TEAMSTERZ EN BLISTER</t>
        </is>
      </c>
      <c r="G1354" t="n">
        <v>2</v>
      </c>
      <c r="H1354" s="7" t="n">
        <v>13.8</v>
      </c>
      <c r="I1354" s="7" t="n">
        <v>0</v>
      </c>
      <c r="J1354" s="7" t="n">
        <v>0</v>
      </c>
      <c r="K1354" s="9" t="n">
        <v>0</v>
      </c>
      <c r="L1354" s="10" t="n">
        <v>8.18</v>
      </c>
      <c r="M1354" s="10" t="n">
        <v>1.43</v>
      </c>
      <c r="N1354" t="inlineStr">
        <is>
          <t>1</t>
        </is>
      </c>
      <c r="O1354" t="inlineStr">
        <is>
          <t>16</t>
        </is>
      </c>
      <c r="P1354" t="inlineStr">
        <is>
          <t xml:space="preserve">0       </t>
        </is>
      </c>
      <c r="Q1354" s="26" t="n">
        <v>4.09</v>
      </c>
      <c r="R1354" s="26">
        <f>Q1354*G1354</f>
        <v/>
      </c>
      <c r="S1354" s="26">
        <f>IFERROR(VLOOKUP(E1354*1,Tabla[#All],8,0),0)</f>
        <v/>
      </c>
      <c r="T1354" s="26">
        <f>S1354*G1354</f>
        <v/>
      </c>
      <c r="U1354" s="26">
        <f>R1354-T1354</f>
        <v/>
      </c>
      <c r="V1354" s="26">
        <f>U1354-L1354</f>
        <v/>
      </c>
    </row>
    <row r="1355">
      <c r="A1355" s="11" t="n">
        <v>46216</v>
      </c>
      <c r="B1355" s="1" t="n">
        <v>20095</v>
      </c>
      <c r="C1355" s="1" t="inlineStr">
        <is>
          <t>044</t>
        </is>
      </c>
      <c r="D1355" s="1" t="inlineStr">
        <is>
          <t xml:space="preserve">93626 </t>
        </is>
      </c>
      <c r="E1355" s="1" t="inlineStr">
        <is>
          <t xml:space="preserve">28194768       </t>
        </is>
      </c>
      <c r="F1355" s="5" t="inlineStr">
        <is>
          <t>AUTO COLOR CHANGE TEAMSTERZ SURTIDO</t>
        </is>
      </c>
      <c r="G1355" t="n">
        <v>1</v>
      </c>
      <c r="H1355" s="7" t="n">
        <v>14.9</v>
      </c>
      <c r="I1355" s="7" t="n">
        <v>0</v>
      </c>
      <c r="J1355" s="7" t="n">
        <v>0</v>
      </c>
      <c r="K1355" s="9" t="n">
        <v>0</v>
      </c>
      <c r="L1355" s="10" t="n">
        <v>8.84</v>
      </c>
      <c r="M1355" s="10" t="n">
        <v>1.43</v>
      </c>
      <c r="N1355" t="inlineStr">
        <is>
          <t>1</t>
        </is>
      </c>
      <c r="O1355" t="inlineStr">
        <is>
          <t>16</t>
        </is>
      </c>
      <c r="P1355" t="inlineStr">
        <is>
          <t xml:space="preserve">248294  </t>
        </is>
      </c>
      <c r="Q1355" s="26" t="n">
        <v>8.84</v>
      </c>
      <c r="R1355" s="26">
        <f>Q1355*G1355</f>
        <v/>
      </c>
      <c r="S1355" s="26">
        <f>IFERROR(VLOOKUP(E1355*1,Tabla[#All],8,0),0)</f>
        <v/>
      </c>
      <c r="T1355" s="26">
        <f>S1355*G1355</f>
        <v/>
      </c>
      <c r="U1355" s="26">
        <f>R1355-T1355</f>
        <v/>
      </c>
      <c r="V1355" s="26">
        <f>U1355-L1355</f>
        <v/>
      </c>
    </row>
    <row r="1356">
      <c r="A1356" s="11" t="n">
        <v>46216</v>
      </c>
      <c r="B1356" s="1" t="n">
        <v>20095</v>
      </c>
      <c r="C1356" s="1" t="inlineStr">
        <is>
          <t>044</t>
        </is>
      </c>
      <c r="D1356" s="1" t="inlineStr">
        <is>
          <t xml:space="preserve">93654 </t>
        </is>
      </c>
      <c r="E1356" s="1" t="inlineStr">
        <is>
          <t xml:space="preserve">28194769       </t>
        </is>
      </c>
      <c r="F1356" s="5" t="inlineStr">
        <is>
          <t>AUTOS DE METAL 3 TEAMSTERZ PACK DE 2</t>
        </is>
      </c>
      <c r="G1356" t="n">
        <v>1</v>
      </c>
      <c r="H1356" s="7" t="n">
        <v>13.8</v>
      </c>
      <c r="I1356" s="7" t="n">
        <v>0</v>
      </c>
      <c r="J1356" s="7" t="n">
        <v>0</v>
      </c>
      <c r="K1356" s="9" t="n">
        <v>0</v>
      </c>
      <c r="L1356" s="10" t="n">
        <v>8.18</v>
      </c>
      <c r="M1356" s="10" t="n">
        <v>1.43</v>
      </c>
      <c r="N1356" t="inlineStr">
        <is>
          <t>1</t>
        </is>
      </c>
      <c r="O1356" t="inlineStr">
        <is>
          <t xml:space="preserve">3 </t>
        </is>
      </c>
      <c r="P1356" t="inlineStr">
        <is>
          <t xml:space="preserve">248294  </t>
        </is>
      </c>
      <c r="Q1356" s="26" t="n">
        <v>8.19</v>
      </c>
      <c r="R1356" s="26">
        <f>Q1356*G1356</f>
        <v/>
      </c>
      <c r="S1356" s="26">
        <f>IFERROR(VLOOKUP(E1356*1,Tabla[#All],8,0),0)</f>
        <v/>
      </c>
      <c r="T1356" s="26">
        <f>S1356*G1356</f>
        <v/>
      </c>
      <c r="U1356" s="26">
        <f>R1356-T1356</f>
        <v/>
      </c>
      <c r="V1356" s="26">
        <f>U1356-L1356</f>
        <v/>
      </c>
    </row>
    <row r="1357">
      <c r="A1357" s="11" t="n">
        <v>46216</v>
      </c>
      <c r="B1357" s="1" t="n">
        <v>20095</v>
      </c>
      <c r="C1357" s="1" t="inlineStr">
        <is>
          <t>044</t>
        </is>
      </c>
      <c r="D1357" s="1" t="inlineStr">
        <is>
          <t xml:space="preserve">93655 </t>
        </is>
      </c>
      <c r="E1357" s="1" t="inlineStr">
        <is>
          <t xml:space="preserve">28194770       </t>
        </is>
      </c>
      <c r="F1357" s="5" t="inlineStr">
        <is>
          <t>AUTOS DE METAL 3 TEAMSTERZ EN BLISTER</t>
        </is>
      </c>
      <c r="G1357" t="n">
        <v>1</v>
      </c>
      <c r="H1357" s="7" t="n">
        <v>6.9</v>
      </c>
      <c r="I1357" s="7" t="n">
        <v>0</v>
      </c>
      <c r="J1357" s="7" t="n">
        <v>0</v>
      </c>
      <c r="K1357" s="9" t="n">
        <v>0</v>
      </c>
      <c r="L1357" s="10" t="n">
        <v>4.1</v>
      </c>
      <c r="M1357" s="10" t="n">
        <v>1.43</v>
      </c>
      <c r="N1357" t="inlineStr">
        <is>
          <t>1</t>
        </is>
      </c>
      <c r="O1357" t="inlineStr">
        <is>
          <t xml:space="preserve">2 </t>
        </is>
      </c>
      <c r="P1357" t="inlineStr">
        <is>
          <t xml:space="preserve">248294  </t>
        </is>
      </c>
      <c r="Q1357" s="26" t="n">
        <v>4.09</v>
      </c>
      <c r="R1357" s="26">
        <f>Q1357*G1357</f>
        <v/>
      </c>
      <c r="S1357" s="26">
        <f>IFERROR(VLOOKUP(E1357*1,Tabla[#All],8,0),0)</f>
        <v/>
      </c>
      <c r="T1357" s="26">
        <f>S1357*G1357</f>
        <v/>
      </c>
      <c r="U1357" s="26">
        <f>R1357-T1357</f>
        <v/>
      </c>
      <c r="V1357" s="26">
        <f>U1357-L1357</f>
        <v/>
      </c>
    </row>
    <row r="1358">
      <c r="A1358" s="11" t="n">
        <v>46216</v>
      </c>
      <c r="B1358" s="1" t="n">
        <v>20095</v>
      </c>
      <c r="C1358" s="1" t="inlineStr">
        <is>
          <t>044</t>
        </is>
      </c>
      <c r="D1358" s="1" t="inlineStr">
        <is>
          <t xml:space="preserve">93659 </t>
        </is>
      </c>
      <c r="E1358" s="1" t="inlineStr">
        <is>
          <t xml:space="preserve">30141766       </t>
        </is>
      </c>
      <c r="F1358" s="5" t="inlineStr">
        <is>
          <t>TMZ BEAST MACHINES AUTOS DE METAL BLISTER X 1</t>
        </is>
      </c>
      <c r="G1358" t="n">
        <v>1</v>
      </c>
      <c r="H1358" s="7" t="n">
        <v>7.9</v>
      </c>
      <c r="I1358" s="7" t="n">
        <v>0</v>
      </c>
      <c r="J1358" s="7" t="n">
        <v>0</v>
      </c>
      <c r="K1358" s="9" t="n">
        <v>0</v>
      </c>
      <c r="L1358" s="10" t="n">
        <v>4.68</v>
      </c>
      <c r="M1358" s="10" t="n">
        <v>1.43</v>
      </c>
      <c r="N1358" t="inlineStr">
        <is>
          <t>1</t>
        </is>
      </c>
      <c r="O1358" t="inlineStr">
        <is>
          <t xml:space="preserve">3 </t>
        </is>
      </c>
      <c r="P1358" t="inlineStr">
        <is>
          <t xml:space="preserve">248294  </t>
        </is>
      </c>
      <c r="Q1358" s="26" t="n">
        <v>4.69</v>
      </c>
      <c r="R1358" s="26">
        <f>Q1358*G1358</f>
        <v/>
      </c>
      <c r="S1358" s="26">
        <f>IFERROR(VLOOKUP(E1358*1,Tabla[#All],8,0),0)</f>
        <v/>
      </c>
      <c r="T1358" s="26">
        <f>S1358*G1358</f>
        <v/>
      </c>
      <c r="U1358" s="26">
        <f>R1358-T1358</f>
        <v/>
      </c>
      <c r="V1358" s="26">
        <f>U1358-L1358</f>
        <v/>
      </c>
    </row>
    <row r="1359">
      <c r="A1359" s="11" t="n">
        <v>46216</v>
      </c>
      <c r="B1359" s="1" t="n">
        <v>20095</v>
      </c>
      <c r="C1359" s="1" t="inlineStr">
        <is>
          <t>044</t>
        </is>
      </c>
      <c r="D1359" s="1" t="inlineStr">
        <is>
          <t xml:space="preserve">93662 </t>
        </is>
      </c>
      <c r="E1359" s="1" t="inlineStr">
        <is>
          <t xml:space="preserve">28194769       </t>
        </is>
      </c>
      <c r="F1359" s="5" t="inlineStr">
        <is>
          <t>AUTOS DE METAL 3 TEAMSTERZ PACK DE 2</t>
        </is>
      </c>
      <c r="G1359" t="n">
        <v>1</v>
      </c>
      <c r="H1359" s="7" t="n">
        <v>13.8</v>
      </c>
      <c r="I1359" s="7" t="n">
        <v>0</v>
      </c>
      <c r="J1359" s="7" t="n">
        <v>0</v>
      </c>
      <c r="K1359" s="9" t="n">
        <v>0</v>
      </c>
      <c r="L1359" s="10" t="n">
        <v>8.18</v>
      </c>
      <c r="M1359" s="10" t="n">
        <v>1.43</v>
      </c>
      <c r="N1359" t="inlineStr">
        <is>
          <t>1</t>
        </is>
      </c>
      <c r="O1359" t="inlineStr">
        <is>
          <t xml:space="preserve">2 </t>
        </is>
      </c>
      <c r="P1359" t="inlineStr">
        <is>
          <t xml:space="preserve">248294  </t>
        </is>
      </c>
      <c r="Q1359" s="26" t="n">
        <v>8.19</v>
      </c>
      <c r="R1359" s="26">
        <f>Q1359*G1359</f>
        <v/>
      </c>
      <c r="S1359" s="26">
        <f>IFERROR(VLOOKUP(E1359*1,Tabla[#All],8,0),0)</f>
        <v/>
      </c>
      <c r="T1359" s="26">
        <f>S1359*G1359</f>
        <v/>
      </c>
      <c r="U1359" s="26">
        <f>R1359-T1359</f>
        <v/>
      </c>
      <c r="V1359" s="26">
        <f>U1359-L1359</f>
        <v/>
      </c>
    </row>
    <row r="1360">
      <c r="A1360" s="11" t="n">
        <v>46216</v>
      </c>
      <c r="B1360" s="1" t="n">
        <v>20095</v>
      </c>
      <c r="C1360" s="1" t="inlineStr">
        <is>
          <t>535</t>
        </is>
      </c>
      <c r="D1360" s="1" t="inlineStr">
        <is>
          <t xml:space="preserve">112   </t>
        </is>
      </c>
      <c r="E1360" s="1" t="inlineStr">
        <is>
          <t xml:space="preserve">33483123       </t>
        </is>
      </c>
      <c r="F1360" s="5" t="inlineStr">
        <is>
          <t>NENUCO DISFRACES</t>
        </is>
      </c>
      <c r="G1360" t="n">
        <v>1</v>
      </c>
      <c r="H1360" s="7" t="n">
        <v>89.90000000000001</v>
      </c>
      <c r="I1360" s="7" t="n">
        <v>0</v>
      </c>
      <c r="J1360" s="7" t="n">
        <v>0</v>
      </c>
      <c r="K1360" s="9" t="n">
        <v>0</v>
      </c>
      <c r="L1360" s="10" t="n">
        <v>53.33</v>
      </c>
      <c r="M1360" s="10" t="n">
        <v>1.43</v>
      </c>
      <c r="N1360" t="inlineStr">
        <is>
          <t>1</t>
        </is>
      </c>
      <c r="O1360" t="inlineStr">
        <is>
          <t>16</t>
        </is>
      </c>
      <c r="P1360" t="inlineStr">
        <is>
          <t xml:space="preserve">31361   </t>
        </is>
      </c>
      <c r="Q1360" s="26" t="n">
        <v>53.33</v>
      </c>
      <c r="R1360" s="26">
        <f>Q1360*G1360</f>
        <v/>
      </c>
      <c r="S1360" s="26">
        <f>IFERROR(VLOOKUP(E1360*1,Tabla[#All],8,0),0)</f>
        <v/>
      </c>
      <c r="T1360" s="26">
        <f>S1360*G1360</f>
        <v/>
      </c>
      <c r="U1360" s="26">
        <f>R1360-T1360</f>
        <v/>
      </c>
      <c r="V1360" s="26">
        <f>U1360-L1360</f>
        <v/>
      </c>
    </row>
    <row r="1361">
      <c r="A1361" s="11" t="n">
        <v>46217</v>
      </c>
      <c r="B1361" s="1" t="n">
        <v>20021</v>
      </c>
      <c r="C1361" s="1" t="inlineStr">
        <is>
          <t>055</t>
        </is>
      </c>
      <c r="D1361" s="1" t="inlineStr">
        <is>
          <t>154794</t>
        </is>
      </c>
      <c r="E1361" s="1" t="inlineStr">
        <is>
          <t xml:space="preserve">28194770       </t>
        </is>
      </c>
      <c r="F1361" s="5" t="inlineStr">
        <is>
          <t>AUTOS DE METAL 3 TEAMSTERZ EN BLISTER</t>
        </is>
      </c>
      <c r="G1361" t="n">
        <v>1</v>
      </c>
      <c r="H1361" s="7" t="n">
        <v>6.9</v>
      </c>
      <c r="I1361" s="7" t="n">
        <v>0</v>
      </c>
      <c r="J1361" s="7" t="n">
        <v>0</v>
      </c>
      <c r="K1361" s="9" t="n">
        <v>0</v>
      </c>
      <c r="L1361" s="10" t="n">
        <v>4.1</v>
      </c>
      <c r="M1361" s="10" t="n">
        <v>1.43</v>
      </c>
      <c r="N1361" t="inlineStr">
        <is>
          <t>1</t>
        </is>
      </c>
      <c r="O1361" t="inlineStr">
        <is>
          <t>16</t>
        </is>
      </c>
      <c r="P1361" t="inlineStr">
        <is>
          <t xml:space="preserve">42152   </t>
        </is>
      </c>
      <c r="Q1361" s="26" t="n">
        <v>4.09</v>
      </c>
      <c r="R1361" s="26">
        <f>Q1361*G1361</f>
        <v/>
      </c>
      <c r="S1361" s="26">
        <f>IFERROR(VLOOKUP(E1361*1,Tabla[#All],8,0),0)</f>
        <v/>
      </c>
      <c r="T1361" s="26">
        <f>S1361*G1361</f>
        <v/>
      </c>
      <c r="U1361" s="26">
        <f>R1361-T1361</f>
        <v/>
      </c>
      <c r="V1361" s="26">
        <f>U1361-L1361</f>
        <v/>
      </c>
    </row>
    <row r="1362">
      <c r="A1362" s="11" t="n">
        <v>46217</v>
      </c>
      <c r="B1362" s="1" t="n">
        <v>20021</v>
      </c>
      <c r="C1362" s="1" t="inlineStr">
        <is>
          <t>055</t>
        </is>
      </c>
      <c r="D1362" s="1" t="inlineStr">
        <is>
          <t>154794</t>
        </is>
      </c>
      <c r="E1362" s="1" t="inlineStr">
        <is>
          <t xml:space="preserve">30141766       </t>
        </is>
      </c>
      <c r="F1362" s="5" t="inlineStr">
        <is>
          <t>TMZ BEAST MACHINES AUTOS DE METAL BLISTER X 1</t>
        </is>
      </c>
      <c r="G1362" t="n">
        <v>1</v>
      </c>
      <c r="H1362" s="7" t="n">
        <v>7.9</v>
      </c>
      <c r="I1362" s="7" t="n">
        <v>0</v>
      </c>
      <c r="J1362" s="7" t="n">
        <v>0</v>
      </c>
      <c r="K1362" s="9" t="n">
        <v>0</v>
      </c>
      <c r="L1362" s="10" t="n">
        <v>4.68</v>
      </c>
      <c r="M1362" s="10" t="n">
        <v>1.43</v>
      </c>
      <c r="N1362" t="inlineStr">
        <is>
          <t>1</t>
        </is>
      </c>
      <c r="O1362" t="inlineStr">
        <is>
          <t>16</t>
        </is>
      </c>
      <c r="P1362" t="inlineStr">
        <is>
          <t xml:space="preserve">42152   </t>
        </is>
      </c>
      <c r="Q1362" s="26" t="n">
        <v>4.69</v>
      </c>
      <c r="R1362" s="26">
        <f>Q1362*G1362</f>
        <v/>
      </c>
      <c r="S1362" s="26">
        <f>IFERROR(VLOOKUP(E1362*1,Tabla[#All],8,0),0)</f>
        <v/>
      </c>
      <c r="T1362" s="26">
        <f>S1362*G1362</f>
        <v/>
      </c>
      <c r="U1362" s="26">
        <f>R1362-T1362</f>
        <v/>
      </c>
      <c r="V1362" s="26">
        <f>U1362-L1362</f>
        <v/>
      </c>
    </row>
    <row r="1363">
      <c r="A1363" s="11" t="n">
        <v>46217</v>
      </c>
      <c r="B1363" s="1" t="n">
        <v>20021</v>
      </c>
      <c r="C1363" s="1" t="inlineStr">
        <is>
          <t>055</t>
        </is>
      </c>
      <c r="D1363" s="1" t="inlineStr">
        <is>
          <t>154794</t>
        </is>
      </c>
      <c r="E1363" s="1" t="inlineStr">
        <is>
          <t xml:space="preserve">30141766       </t>
        </is>
      </c>
      <c r="F1363" s="5" t="inlineStr">
        <is>
          <t>TMZ BEAST MACHINES AUTOS DE METAL BLISTER X 1</t>
        </is>
      </c>
      <c r="G1363" t="n">
        <v>1</v>
      </c>
      <c r="H1363" s="7" t="n">
        <v>7.9</v>
      </c>
      <c r="I1363" s="7" t="n">
        <v>0</v>
      </c>
      <c r="J1363" s="7" t="n">
        <v>0</v>
      </c>
      <c r="K1363" s="9" t="n">
        <v>0</v>
      </c>
      <c r="L1363" s="10" t="n">
        <v>4.68</v>
      </c>
      <c r="M1363" s="10" t="n">
        <v>1.43</v>
      </c>
      <c r="N1363" t="inlineStr">
        <is>
          <t>1</t>
        </is>
      </c>
      <c r="O1363" t="inlineStr">
        <is>
          <t>16</t>
        </is>
      </c>
      <c r="P1363" t="inlineStr">
        <is>
          <t xml:space="preserve">42152   </t>
        </is>
      </c>
      <c r="Q1363" s="26" t="n">
        <v>4.69</v>
      </c>
      <c r="R1363" s="26">
        <f>Q1363*G1363</f>
        <v/>
      </c>
      <c r="S1363" s="26">
        <f>IFERROR(VLOOKUP(E1363*1,Tabla[#All],8,0),0)</f>
        <v/>
      </c>
      <c r="T1363" s="26">
        <f>S1363*G1363</f>
        <v/>
      </c>
      <c r="U1363" s="26">
        <f>R1363-T1363</f>
        <v/>
      </c>
      <c r="V1363" s="26">
        <f>U1363-L1363</f>
        <v/>
      </c>
    </row>
    <row r="1364">
      <c r="A1364" s="11" t="n">
        <v>46217</v>
      </c>
      <c r="B1364" s="1" t="n">
        <v>20021</v>
      </c>
      <c r="C1364" s="1" t="inlineStr">
        <is>
          <t>055</t>
        </is>
      </c>
      <c r="D1364" s="1" t="inlineStr">
        <is>
          <t>154823</t>
        </is>
      </c>
      <c r="E1364" s="1" t="inlineStr">
        <is>
          <t xml:space="preserve">28194770       </t>
        </is>
      </c>
      <c r="F1364" s="5" t="inlineStr">
        <is>
          <t>AUTOS DE METAL 3 TEAMSTERZ EN BLISTER</t>
        </is>
      </c>
      <c r="G1364" t="n">
        <v>1</v>
      </c>
      <c r="H1364" s="7" t="n">
        <v>6.9</v>
      </c>
      <c r="I1364" s="7" t="n">
        <v>0</v>
      </c>
      <c r="J1364" s="7" t="n">
        <v>0</v>
      </c>
      <c r="K1364" s="9" t="n">
        <v>0</v>
      </c>
      <c r="L1364" s="10" t="n">
        <v>4.1</v>
      </c>
      <c r="M1364" s="10" t="n">
        <v>1.43</v>
      </c>
      <c r="N1364" t="inlineStr">
        <is>
          <t>1</t>
        </is>
      </c>
      <c r="O1364" t="inlineStr">
        <is>
          <t>16</t>
        </is>
      </c>
      <c r="P1364" t="inlineStr">
        <is>
          <t xml:space="preserve">42152   </t>
        </is>
      </c>
      <c r="Q1364" s="26" t="n">
        <v>4.09</v>
      </c>
      <c r="R1364" s="26">
        <f>Q1364*G1364</f>
        <v/>
      </c>
      <c r="S1364" s="26">
        <f>IFERROR(VLOOKUP(E1364*1,Tabla[#All],8,0),0)</f>
        <v/>
      </c>
      <c r="T1364" s="26">
        <f>S1364*G1364</f>
        <v/>
      </c>
      <c r="U1364" s="26">
        <f>R1364-T1364</f>
        <v/>
      </c>
      <c r="V1364" s="26">
        <f>U1364-L1364</f>
        <v/>
      </c>
    </row>
    <row r="1365">
      <c r="A1365" s="11" t="n">
        <v>46217</v>
      </c>
      <c r="B1365" s="1" t="n">
        <v>20024</v>
      </c>
      <c r="C1365" s="1" t="inlineStr">
        <is>
          <t>020</t>
        </is>
      </c>
      <c r="D1365" s="1" t="inlineStr">
        <is>
          <t>254195</t>
        </is>
      </c>
      <c r="E1365" s="1" t="inlineStr">
        <is>
          <t xml:space="preserve">31959956       </t>
        </is>
      </c>
      <c r="F1365" s="5" t="inlineStr">
        <is>
          <t>TEAMSTERZ CAMION TRANSPORTA ANIMALES SURTIDO</t>
        </is>
      </c>
      <c r="G1365" t="n">
        <v>1</v>
      </c>
      <c r="H1365" s="7" t="n">
        <v>17.9</v>
      </c>
      <c r="I1365" s="7" t="n">
        <v>0</v>
      </c>
      <c r="J1365" s="7" t="n">
        <v>0</v>
      </c>
      <c r="K1365" s="9" t="n">
        <v>0</v>
      </c>
      <c r="L1365" s="10" t="n">
        <v>10.62</v>
      </c>
      <c r="M1365" s="10" t="n">
        <v>1.43</v>
      </c>
      <c r="N1365" t="inlineStr">
        <is>
          <t>1</t>
        </is>
      </c>
      <c r="O1365" t="inlineStr">
        <is>
          <t>16</t>
        </is>
      </c>
      <c r="P1365" t="inlineStr">
        <is>
          <t xml:space="preserve">75273   </t>
        </is>
      </c>
      <c r="Q1365" s="26" t="n">
        <v>10.62</v>
      </c>
      <c r="R1365" s="26">
        <f>Q1365*G1365</f>
        <v/>
      </c>
      <c r="S1365" s="26">
        <f>IFERROR(VLOOKUP(E1365*1,Tabla[#All],8,0),0)</f>
        <v/>
      </c>
      <c r="T1365" s="26">
        <f>S1365*G1365</f>
        <v/>
      </c>
      <c r="U1365" s="26">
        <f>R1365-T1365</f>
        <v/>
      </c>
      <c r="V1365" s="26">
        <f>U1365-L1365</f>
        <v/>
      </c>
    </row>
    <row r="1366">
      <c r="A1366" s="11" t="n">
        <v>46217</v>
      </c>
      <c r="B1366" s="1" t="n">
        <v>20024</v>
      </c>
      <c r="C1366" s="1" t="inlineStr">
        <is>
          <t>093</t>
        </is>
      </c>
      <c r="D1366" s="1" t="inlineStr">
        <is>
          <t>425175</t>
        </is>
      </c>
      <c r="E1366" s="1" t="inlineStr">
        <is>
          <t xml:space="preserve">32457099       </t>
        </is>
      </c>
      <c r="F1366" s="5" t="inlineStr">
        <is>
          <t>TMZ BEAST MACHINES MONSTER JAWS A FRICCION BLISTER</t>
        </is>
      </c>
      <c r="G1366" t="n">
        <v>1</v>
      </c>
      <c r="H1366" s="7" t="n">
        <v>19.9</v>
      </c>
      <c r="I1366" s="7" t="n">
        <v>0</v>
      </c>
      <c r="J1366" s="7" t="n">
        <v>0</v>
      </c>
      <c r="K1366" s="9" t="n">
        <v>0</v>
      </c>
      <c r="L1366" s="10" t="n">
        <v>11.8</v>
      </c>
      <c r="M1366" s="10" t="n">
        <v>1.43</v>
      </c>
      <c r="N1366" t="inlineStr">
        <is>
          <t>1</t>
        </is>
      </c>
      <c r="O1366" t="inlineStr">
        <is>
          <t>16</t>
        </is>
      </c>
      <c r="P1366" t="inlineStr">
        <is>
          <t xml:space="preserve">57844   </t>
        </is>
      </c>
      <c r="Q1366" s="26" t="n">
        <v>11.81</v>
      </c>
      <c r="R1366" s="26">
        <f>Q1366*G1366</f>
        <v/>
      </c>
      <c r="S1366" s="26">
        <f>IFERROR(VLOOKUP(E1366*1,Tabla[#All],8,0),0)</f>
        <v/>
      </c>
      <c r="T1366" s="26">
        <f>S1366*G1366</f>
        <v/>
      </c>
      <c r="U1366" s="26">
        <f>R1366-T1366</f>
        <v/>
      </c>
      <c r="V1366" s="26">
        <f>U1366-L1366</f>
        <v/>
      </c>
    </row>
    <row r="1367">
      <c r="A1367" s="11" t="n">
        <v>46217</v>
      </c>
      <c r="B1367" s="1" t="n">
        <v>20027</v>
      </c>
      <c r="C1367" s="1" t="inlineStr">
        <is>
          <t>191</t>
        </is>
      </c>
      <c r="D1367" s="1" t="inlineStr">
        <is>
          <t>103681</t>
        </is>
      </c>
      <c r="E1367" s="1" t="inlineStr">
        <is>
          <t xml:space="preserve">28194770       </t>
        </is>
      </c>
      <c r="F1367" s="5" t="inlineStr">
        <is>
          <t>AUTOS DE METAL 3 TEAMSTERZ EN BLISTER</t>
        </is>
      </c>
      <c r="G1367" t="n">
        <v>1</v>
      </c>
      <c r="H1367" s="7" t="n">
        <v>6.9</v>
      </c>
      <c r="I1367" s="7" t="n">
        <v>0</v>
      </c>
      <c r="J1367" s="7" t="n">
        <v>0</v>
      </c>
      <c r="K1367" s="9" t="n">
        <v>0</v>
      </c>
      <c r="L1367" s="10" t="n">
        <v>4.1</v>
      </c>
      <c r="M1367" s="10" t="n">
        <v>1.43</v>
      </c>
      <c r="N1367" t="inlineStr">
        <is>
          <t>1</t>
        </is>
      </c>
      <c r="O1367" t="inlineStr">
        <is>
          <t xml:space="preserve">3 </t>
        </is>
      </c>
      <c r="P1367" t="inlineStr">
        <is>
          <t xml:space="preserve">12746   </t>
        </is>
      </c>
      <c r="Q1367" s="26" t="n">
        <v>4.09</v>
      </c>
      <c r="R1367" s="26">
        <f>Q1367*G1367</f>
        <v/>
      </c>
      <c r="S1367" s="26">
        <f>IFERROR(VLOOKUP(E1367*1,Tabla[#All],8,0),0)</f>
        <v/>
      </c>
      <c r="T1367" s="26">
        <f>S1367*G1367</f>
        <v/>
      </c>
      <c r="U1367" s="26">
        <f>R1367-T1367</f>
        <v/>
      </c>
      <c r="V1367" s="26">
        <f>U1367-L1367</f>
        <v/>
      </c>
    </row>
    <row r="1368">
      <c r="A1368" s="11" t="n">
        <v>46217</v>
      </c>
      <c r="B1368" s="1" t="n">
        <v>20030</v>
      </c>
      <c r="C1368" s="1" t="inlineStr">
        <is>
          <t>067</t>
        </is>
      </c>
      <c r="D1368" s="1" t="inlineStr">
        <is>
          <t>274096</t>
        </is>
      </c>
      <c r="E1368" s="1" t="inlineStr">
        <is>
          <t xml:space="preserve">28194770       </t>
        </is>
      </c>
      <c r="F1368" s="5" t="inlineStr">
        <is>
          <t>AUTOS DE METAL 3 TEAMSTERZ EN BLISTER</t>
        </is>
      </c>
      <c r="G1368" t="n">
        <v>3</v>
      </c>
      <c r="H1368" s="7" t="n">
        <v>20.7</v>
      </c>
      <c r="I1368" s="7" t="n">
        <v>0</v>
      </c>
      <c r="J1368" s="7" t="n">
        <v>0</v>
      </c>
      <c r="K1368" s="9" t="n">
        <v>0</v>
      </c>
      <c r="L1368" s="10" t="n">
        <v>12.27</v>
      </c>
      <c r="M1368" s="10" t="n">
        <v>1.43</v>
      </c>
      <c r="N1368" t="inlineStr">
        <is>
          <t>1</t>
        </is>
      </c>
      <c r="O1368" t="inlineStr">
        <is>
          <t>16</t>
        </is>
      </c>
      <c r="P1368" t="inlineStr">
        <is>
          <t xml:space="preserve">48628   </t>
        </is>
      </c>
      <c r="Q1368" s="26" t="n">
        <v>4.09</v>
      </c>
      <c r="R1368" s="26">
        <f>Q1368*G1368</f>
        <v/>
      </c>
      <c r="S1368" s="26">
        <f>IFERROR(VLOOKUP(E1368*1,Tabla[#All],8,0),0)</f>
        <v/>
      </c>
      <c r="T1368" s="26">
        <f>S1368*G1368</f>
        <v/>
      </c>
      <c r="U1368" s="26">
        <f>R1368-T1368</f>
        <v/>
      </c>
      <c r="V1368" s="26">
        <f>U1368-L1368</f>
        <v/>
      </c>
    </row>
    <row r="1369">
      <c r="A1369" s="11" t="n">
        <v>46217</v>
      </c>
      <c r="B1369" s="1" t="n">
        <v>20030</v>
      </c>
      <c r="C1369" s="1" t="inlineStr">
        <is>
          <t>067</t>
        </is>
      </c>
      <c r="D1369" s="1" t="inlineStr">
        <is>
          <t>274096</t>
        </is>
      </c>
      <c r="E1369" s="1" t="inlineStr">
        <is>
          <t xml:space="preserve">28194770       </t>
        </is>
      </c>
      <c r="F1369" s="5" t="inlineStr">
        <is>
          <t>AUTOS DE METAL 3 TEAMSTERZ EN BLISTER</t>
        </is>
      </c>
      <c r="G1369" t="n">
        <v>1</v>
      </c>
      <c r="H1369" s="7" t="n">
        <v>6.9</v>
      </c>
      <c r="I1369" s="7" t="n">
        <v>0</v>
      </c>
      <c r="J1369" s="7" t="n">
        <v>0</v>
      </c>
      <c r="K1369" s="9" t="n">
        <v>0</v>
      </c>
      <c r="L1369" s="10" t="n">
        <v>4.1</v>
      </c>
      <c r="M1369" s="10" t="n">
        <v>1.43</v>
      </c>
      <c r="N1369" t="inlineStr">
        <is>
          <t>1</t>
        </is>
      </c>
      <c r="O1369" t="inlineStr">
        <is>
          <t>16</t>
        </is>
      </c>
      <c r="P1369" t="inlineStr">
        <is>
          <t xml:space="preserve">48628   </t>
        </is>
      </c>
      <c r="Q1369" s="26" t="n">
        <v>4.09</v>
      </c>
      <c r="R1369" s="26">
        <f>Q1369*G1369</f>
        <v/>
      </c>
      <c r="S1369" s="26">
        <f>IFERROR(VLOOKUP(E1369*1,Tabla[#All],8,0),0)</f>
        <v/>
      </c>
      <c r="T1369" s="26">
        <f>S1369*G1369</f>
        <v/>
      </c>
      <c r="U1369" s="26">
        <f>R1369-T1369</f>
        <v/>
      </c>
      <c r="V1369" s="26">
        <f>U1369-L1369</f>
        <v/>
      </c>
    </row>
    <row r="1370">
      <c r="A1370" s="11" t="n">
        <v>46217</v>
      </c>
      <c r="B1370" s="1" t="n">
        <v>20030</v>
      </c>
      <c r="C1370" s="1" t="inlineStr">
        <is>
          <t>067</t>
        </is>
      </c>
      <c r="D1370" s="1" t="inlineStr">
        <is>
          <t>274096</t>
        </is>
      </c>
      <c r="E1370" s="1" t="inlineStr">
        <is>
          <t xml:space="preserve">30141766       </t>
        </is>
      </c>
      <c r="F1370" s="5" t="inlineStr">
        <is>
          <t>TMZ BEAST MACHINES AUTOS DE METAL BLISTER X 1</t>
        </is>
      </c>
      <c r="G1370" t="n">
        <v>1</v>
      </c>
      <c r="H1370" s="7" t="n">
        <v>7.9</v>
      </c>
      <c r="I1370" s="7" t="n">
        <v>0</v>
      </c>
      <c r="J1370" s="7" t="n">
        <v>0</v>
      </c>
      <c r="K1370" s="9" t="n">
        <v>0</v>
      </c>
      <c r="L1370" s="10" t="n">
        <v>4.68</v>
      </c>
      <c r="M1370" s="10" t="n">
        <v>1.43</v>
      </c>
      <c r="N1370" t="inlineStr">
        <is>
          <t>1</t>
        </is>
      </c>
      <c r="O1370" t="inlineStr">
        <is>
          <t>16</t>
        </is>
      </c>
      <c r="P1370" t="inlineStr">
        <is>
          <t xml:space="preserve">48628   </t>
        </is>
      </c>
      <c r="Q1370" s="26" t="n">
        <v>4.69</v>
      </c>
      <c r="R1370" s="26">
        <f>Q1370*G1370</f>
        <v/>
      </c>
      <c r="S1370" s="26">
        <f>IFERROR(VLOOKUP(E1370*1,Tabla[#All],8,0),0)</f>
        <v/>
      </c>
      <c r="T1370" s="26">
        <f>S1370*G1370</f>
        <v/>
      </c>
      <c r="U1370" s="26">
        <f>R1370-T1370</f>
        <v/>
      </c>
      <c r="V1370" s="26">
        <f>U1370-L1370</f>
        <v/>
      </c>
    </row>
    <row r="1371">
      <c r="A1371" s="11" t="n">
        <v>46217</v>
      </c>
      <c r="B1371" s="1" t="n">
        <v>20030</v>
      </c>
      <c r="C1371" s="1" t="inlineStr">
        <is>
          <t>067</t>
        </is>
      </c>
      <c r="D1371" s="1" t="inlineStr">
        <is>
          <t>274160</t>
        </is>
      </c>
      <c r="E1371" s="1" t="inlineStr">
        <is>
          <t xml:space="preserve">28194770       </t>
        </is>
      </c>
      <c r="F1371" s="5" t="inlineStr">
        <is>
          <t>AUTOS DE METAL 3 TEAMSTERZ EN BLISTER</t>
        </is>
      </c>
      <c r="G1371" t="n">
        <v>1</v>
      </c>
      <c r="H1371" s="7" t="n">
        <v>6.9</v>
      </c>
      <c r="I1371" s="7" t="n">
        <v>0</v>
      </c>
      <c r="J1371" s="7" t="n">
        <v>0</v>
      </c>
      <c r="K1371" s="9" t="n">
        <v>0</v>
      </c>
      <c r="L1371" s="10" t="n">
        <v>4.1</v>
      </c>
      <c r="M1371" s="10" t="n">
        <v>1.43</v>
      </c>
      <c r="N1371" t="inlineStr">
        <is>
          <t>1</t>
        </is>
      </c>
      <c r="O1371" t="inlineStr">
        <is>
          <t>16</t>
        </is>
      </c>
      <c r="P1371" t="inlineStr">
        <is>
          <t xml:space="preserve">47899   </t>
        </is>
      </c>
      <c r="Q1371" s="26" t="n">
        <v>4.09</v>
      </c>
      <c r="R1371" s="26">
        <f>Q1371*G1371</f>
        <v/>
      </c>
      <c r="S1371" s="26">
        <f>IFERROR(VLOOKUP(E1371*1,Tabla[#All],8,0),0)</f>
        <v/>
      </c>
      <c r="T1371" s="26">
        <f>S1371*G1371</f>
        <v/>
      </c>
      <c r="U1371" s="26">
        <f>R1371-T1371</f>
        <v/>
      </c>
      <c r="V1371" s="26">
        <f>U1371-L1371</f>
        <v/>
      </c>
    </row>
    <row r="1372">
      <c r="A1372" s="11" t="n">
        <v>46217</v>
      </c>
      <c r="B1372" s="1" t="n">
        <v>20030</v>
      </c>
      <c r="C1372" s="1" t="inlineStr">
        <is>
          <t>067</t>
        </is>
      </c>
      <c r="D1372" s="1" t="inlineStr">
        <is>
          <t>274160</t>
        </is>
      </c>
      <c r="E1372" s="1" t="inlineStr">
        <is>
          <t xml:space="preserve">28194770       </t>
        </is>
      </c>
      <c r="F1372" s="5" t="inlineStr">
        <is>
          <t>AUTOS DE METAL 3 TEAMSTERZ EN BLISTER</t>
        </is>
      </c>
      <c r="G1372" t="n">
        <v>1</v>
      </c>
      <c r="H1372" s="7" t="n">
        <v>6.9</v>
      </c>
      <c r="I1372" s="7" t="n">
        <v>0</v>
      </c>
      <c r="J1372" s="7" t="n">
        <v>0</v>
      </c>
      <c r="K1372" s="9" t="n">
        <v>0</v>
      </c>
      <c r="L1372" s="10" t="n">
        <v>4.1</v>
      </c>
      <c r="M1372" s="10" t="n">
        <v>1.43</v>
      </c>
      <c r="N1372" t="inlineStr">
        <is>
          <t>1</t>
        </is>
      </c>
      <c r="O1372" t="inlineStr">
        <is>
          <t>16</t>
        </is>
      </c>
      <c r="P1372" t="inlineStr">
        <is>
          <t xml:space="preserve">47899   </t>
        </is>
      </c>
      <c r="Q1372" s="26" t="n">
        <v>4.09</v>
      </c>
      <c r="R1372" s="26">
        <f>Q1372*G1372</f>
        <v/>
      </c>
      <c r="S1372" s="26">
        <f>IFERROR(VLOOKUP(E1372*1,Tabla[#All],8,0),0)</f>
        <v/>
      </c>
      <c r="T1372" s="26">
        <f>S1372*G1372</f>
        <v/>
      </c>
      <c r="U1372" s="26">
        <f>R1372-T1372</f>
        <v/>
      </c>
      <c r="V1372" s="26">
        <f>U1372-L1372</f>
        <v/>
      </c>
    </row>
    <row r="1373">
      <c r="A1373" s="11" t="n">
        <v>46217</v>
      </c>
      <c r="B1373" s="1" t="n">
        <v>20030</v>
      </c>
      <c r="C1373" s="1" t="inlineStr">
        <is>
          <t>067</t>
        </is>
      </c>
      <c r="D1373" s="1" t="inlineStr">
        <is>
          <t>274160</t>
        </is>
      </c>
      <c r="E1373" s="1" t="inlineStr">
        <is>
          <t xml:space="preserve">28194770       </t>
        </is>
      </c>
      <c r="F1373" s="5" t="inlineStr">
        <is>
          <t>AUTOS DE METAL 3 TEAMSTERZ EN BLISTER</t>
        </is>
      </c>
      <c r="G1373" t="n">
        <v>1</v>
      </c>
      <c r="H1373" s="7" t="n">
        <v>6.9</v>
      </c>
      <c r="I1373" s="7" t="n">
        <v>0</v>
      </c>
      <c r="J1373" s="7" t="n">
        <v>0</v>
      </c>
      <c r="K1373" s="9" t="n">
        <v>0</v>
      </c>
      <c r="L1373" s="10" t="n">
        <v>4.1</v>
      </c>
      <c r="M1373" s="10" t="n">
        <v>1.43</v>
      </c>
      <c r="N1373" t="inlineStr">
        <is>
          <t>1</t>
        </is>
      </c>
      <c r="O1373" t="inlineStr">
        <is>
          <t>16</t>
        </is>
      </c>
      <c r="P1373" t="inlineStr">
        <is>
          <t xml:space="preserve">47899   </t>
        </is>
      </c>
      <c r="Q1373" s="26" t="n">
        <v>4.09</v>
      </c>
      <c r="R1373" s="26">
        <f>Q1373*G1373</f>
        <v/>
      </c>
      <c r="S1373" s="26">
        <f>IFERROR(VLOOKUP(E1373*1,Tabla[#All],8,0),0)</f>
        <v/>
      </c>
      <c r="T1373" s="26">
        <f>S1373*G1373</f>
        <v/>
      </c>
      <c r="U1373" s="26">
        <f>R1373-T1373</f>
        <v/>
      </c>
      <c r="V1373" s="26">
        <f>U1373-L1373</f>
        <v/>
      </c>
    </row>
    <row r="1374">
      <c r="A1374" s="11" t="n">
        <v>46217</v>
      </c>
      <c r="B1374" s="1" t="n">
        <v>20030</v>
      </c>
      <c r="C1374" s="1" t="inlineStr">
        <is>
          <t>067</t>
        </is>
      </c>
      <c r="D1374" s="1" t="inlineStr">
        <is>
          <t>274160</t>
        </is>
      </c>
      <c r="E1374" s="1" t="inlineStr">
        <is>
          <t xml:space="preserve">28194770       </t>
        </is>
      </c>
      <c r="F1374" s="5" t="inlineStr">
        <is>
          <t>AUTOS DE METAL 3 TEAMSTERZ EN BLISTER</t>
        </is>
      </c>
      <c r="G1374" t="n">
        <v>1</v>
      </c>
      <c r="H1374" s="7" t="n">
        <v>6.9</v>
      </c>
      <c r="I1374" s="7" t="n">
        <v>0</v>
      </c>
      <c r="J1374" s="7" t="n">
        <v>0</v>
      </c>
      <c r="K1374" s="9" t="n">
        <v>0</v>
      </c>
      <c r="L1374" s="10" t="n">
        <v>4.1</v>
      </c>
      <c r="M1374" s="10" t="n">
        <v>1.43</v>
      </c>
      <c r="N1374" t="inlineStr">
        <is>
          <t>1</t>
        </is>
      </c>
      <c r="O1374" t="inlineStr">
        <is>
          <t>16</t>
        </is>
      </c>
      <c r="P1374" t="inlineStr">
        <is>
          <t xml:space="preserve">47899   </t>
        </is>
      </c>
      <c r="Q1374" s="26" t="n">
        <v>4.09</v>
      </c>
      <c r="R1374" s="26">
        <f>Q1374*G1374</f>
        <v/>
      </c>
      <c r="S1374" s="26">
        <f>IFERROR(VLOOKUP(E1374*1,Tabla[#All],8,0),0)</f>
        <v/>
      </c>
      <c r="T1374" s="26">
        <f>S1374*G1374</f>
        <v/>
      </c>
      <c r="U1374" s="26">
        <f>R1374-T1374</f>
        <v/>
      </c>
      <c r="V1374" s="26">
        <f>U1374-L1374</f>
        <v/>
      </c>
    </row>
    <row r="1375">
      <c r="A1375" s="11" t="n">
        <v>46217</v>
      </c>
      <c r="B1375" s="1" t="n">
        <v>20030</v>
      </c>
      <c r="C1375" s="1" t="inlineStr">
        <is>
          <t>067</t>
        </is>
      </c>
      <c r="D1375" s="1" t="inlineStr">
        <is>
          <t>274160</t>
        </is>
      </c>
      <c r="E1375" s="1" t="inlineStr">
        <is>
          <t xml:space="preserve">28194770       </t>
        </is>
      </c>
      <c r="F1375" s="5" t="inlineStr">
        <is>
          <t>AUTOS DE METAL 3 TEAMSTERZ EN BLISTER</t>
        </is>
      </c>
      <c r="G1375" t="n">
        <v>1</v>
      </c>
      <c r="H1375" s="7" t="n">
        <v>6.9</v>
      </c>
      <c r="I1375" s="7" t="n">
        <v>0</v>
      </c>
      <c r="J1375" s="7" t="n">
        <v>0</v>
      </c>
      <c r="K1375" s="9" t="n">
        <v>0</v>
      </c>
      <c r="L1375" s="10" t="n">
        <v>4.1</v>
      </c>
      <c r="M1375" s="10" t="n">
        <v>1.43</v>
      </c>
      <c r="N1375" t="inlineStr">
        <is>
          <t>1</t>
        </is>
      </c>
      <c r="O1375" t="inlineStr">
        <is>
          <t>16</t>
        </is>
      </c>
      <c r="P1375" t="inlineStr">
        <is>
          <t xml:space="preserve">47899   </t>
        </is>
      </c>
      <c r="Q1375" s="26" t="n">
        <v>4.09</v>
      </c>
      <c r="R1375" s="26">
        <f>Q1375*G1375</f>
        <v/>
      </c>
      <c r="S1375" s="26">
        <f>IFERROR(VLOOKUP(E1375*1,Tabla[#All],8,0),0)</f>
        <v/>
      </c>
      <c r="T1375" s="26">
        <f>S1375*G1375</f>
        <v/>
      </c>
      <c r="U1375" s="26">
        <f>R1375-T1375</f>
        <v/>
      </c>
      <c r="V1375" s="26">
        <f>U1375-L1375</f>
        <v/>
      </c>
    </row>
    <row r="1376">
      <c r="A1376" s="11" t="n">
        <v>46217</v>
      </c>
      <c r="B1376" s="1" t="n">
        <v>20030</v>
      </c>
      <c r="C1376" s="1" t="inlineStr">
        <is>
          <t>067</t>
        </is>
      </c>
      <c r="D1376" s="1" t="inlineStr">
        <is>
          <t>274160</t>
        </is>
      </c>
      <c r="E1376" s="1" t="inlineStr">
        <is>
          <t xml:space="preserve">30141766       </t>
        </is>
      </c>
      <c r="F1376" s="5" t="inlineStr">
        <is>
          <t>TMZ BEAST MACHINES AUTOS DE METAL BLISTER X 1</t>
        </is>
      </c>
      <c r="G1376" t="n">
        <v>1</v>
      </c>
      <c r="H1376" s="7" t="n">
        <v>7.9</v>
      </c>
      <c r="I1376" s="7" t="n">
        <v>0</v>
      </c>
      <c r="J1376" s="7" t="n">
        <v>0</v>
      </c>
      <c r="K1376" s="9" t="n">
        <v>0</v>
      </c>
      <c r="L1376" s="10" t="n">
        <v>4.68</v>
      </c>
      <c r="M1376" s="10" t="n">
        <v>1.43</v>
      </c>
      <c r="N1376" t="inlineStr">
        <is>
          <t>1</t>
        </is>
      </c>
      <c r="O1376" t="inlineStr">
        <is>
          <t>16</t>
        </is>
      </c>
      <c r="P1376" t="inlineStr">
        <is>
          <t xml:space="preserve">47899   </t>
        </is>
      </c>
      <c r="Q1376" s="26" t="n">
        <v>4.69</v>
      </c>
      <c r="R1376" s="26">
        <f>Q1376*G1376</f>
        <v/>
      </c>
      <c r="S1376" s="26">
        <f>IFERROR(VLOOKUP(E1376*1,Tabla[#All],8,0),0)</f>
        <v/>
      </c>
      <c r="T1376" s="26">
        <f>S1376*G1376</f>
        <v/>
      </c>
      <c r="U1376" s="26">
        <f>R1376-T1376</f>
        <v/>
      </c>
      <c r="V1376" s="26">
        <f>U1376-L1376</f>
        <v/>
      </c>
    </row>
    <row r="1377">
      <c r="A1377" s="11" t="n">
        <v>46217</v>
      </c>
      <c r="B1377" s="1" t="n">
        <v>20040</v>
      </c>
      <c r="C1377" s="1" t="inlineStr">
        <is>
          <t>067</t>
        </is>
      </c>
      <c r="D1377" s="1" t="inlineStr">
        <is>
          <t>225293</t>
        </is>
      </c>
      <c r="E1377" s="1" t="inlineStr">
        <is>
          <t xml:space="preserve">28194782       </t>
        </is>
      </c>
      <c r="F1377" s="5" t="inlineStr">
        <is>
          <t>TROMPO BATALLA INFINITY NADO SERIE V ORIGINAL SURT</t>
        </is>
      </c>
      <c r="G1377" t="n">
        <v>1</v>
      </c>
      <c r="H1377" s="7" t="n">
        <v>69.90000000000001</v>
      </c>
      <c r="I1377" s="7" t="n">
        <v>0</v>
      </c>
      <c r="J1377" s="7" t="n">
        <v>0</v>
      </c>
      <c r="K1377" s="9" t="n">
        <v>0</v>
      </c>
      <c r="L1377" s="10" t="n">
        <v>41.47</v>
      </c>
      <c r="M1377" s="10" t="n">
        <v>1.43</v>
      </c>
      <c r="N1377" t="inlineStr">
        <is>
          <t>1</t>
        </is>
      </c>
      <c r="O1377" t="inlineStr">
        <is>
          <t>16</t>
        </is>
      </c>
      <c r="P1377" t="inlineStr">
        <is>
          <t xml:space="preserve">50776   </t>
        </is>
      </c>
      <c r="Q1377" s="26" t="n">
        <v>41.47</v>
      </c>
      <c r="R1377" s="26">
        <f>Q1377*G1377</f>
        <v/>
      </c>
      <c r="S1377" s="26">
        <f>IFERROR(VLOOKUP(E1377*1,Tabla[#All],8,0),0)</f>
        <v/>
      </c>
      <c r="T1377" s="26">
        <f>S1377*G1377</f>
        <v/>
      </c>
      <c r="U1377" s="26">
        <f>R1377-T1377</f>
        <v/>
      </c>
      <c r="V1377" s="26">
        <f>U1377-L1377</f>
        <v/>
      </c>
    </row>
    <row r="1378">
      <c r="A1378" s="11" t="n">
        <v>46217</v>
      </c>
      <c r="B1378" s="1" t="n">
        <v>20040</v>
      </c>
      <c r="C1378" s="1" t="inlineStr">
        <is>
          <t>067</t>
        </is>
      </c>
      <c r="D1378" s="1" t="inlineStr">
        <is>
          <t>225293</t>
        </is>
      </c>
      <c r="E1378" s="1" t="inlineStr">
        <is>
          <t xml:space="preserve">28194783       </t>
        </is>
      </c>
      <c r="F1378" s="5" t="inlineStr">
        <is>
          <t>SET DE BATALLA INFINITY NADO CON 2 TROMPOS</t>
        </is>
      </c>
      <c r="G1378" t="n">
        <v>1</v>
      </c>
      <c r="H1378" s="7" t="n">
        <v>159</v>
      </c>
      <c r="I1378" s="7" t="n">
        <v>0</v>
      </c>
      <c r="J1378" s="7" t="n">
        <v>0</v>
      </c>
      <c r="K1378" s="9" t="n">
        <v>0</v>
      </c>
      <c r="L1378" s="10" t="n">
        <v>94.33</v>
      </c>
      <c r="M1378" s="10" t="n">
        <v>1.43</v>
      </c>
      <c r="N1378" t="inlineStr">
        <is>
          <t>1</t>
        </is>
      </c>
      <c r="O1378" t="inlineStr">
        <is>
          <t>16</t>
        </is>
      </c>
      <c r="P1378" t="inlineStr">
        <is>
          <t xml:space="preserve">50776   </t>
        </is>
      </c>
      <c r="Q1378" s="26" t="n">
        <v>94.31999999999999</v>
      </c>
      <c r="R1378" s="26">
        <f>Q1378*G1378</f>
        <v/>
      </c>
      <c r="S1378" s="26">
        <f>IFERROR(VLOOKUP(E1378*1,Tabla[#All],8,0),0)</f>
        <v/>
      </c>
      <c r="T1378" s="26">
        <f>S1378*G1378</f>
        <v/>
      </c>
      <c r="U1378" s="26">
        <f>R1378-T1378</f>
        <v/>
      </c>
      <c r="V1378" s="26">
        <f>U1378-L1378</f>
        <v/>
      </c>
    </row>
    <row r="1379">
      <c r="A1379" s="11" t="n">
        <v>46217</v>
      </c>
      <c r="B1379" s="1" t="n">
        <v>20040</v>
      </c>
      <c r="C1379" s="1" t="inlineStr">
        <is>
          <t>067</t>
        </is>
      </c>
      <c r="D1379" s="1" t="inlineStr">
        <is>
          <t>225293</t>
        </is>
      </c>
      <c r="E1379" s="1" t="inlineStr">
        <is>
          <t xml:space="preserve">31754675       </t>
        </is>
      </c>
      <c r="F1379" s="5" t="inlineStr">
        <is>
          <t>INFINITY NADO SERIE 6 STARTER PACK - 4 MODELOS</t>
        </is>
      </c>
      <c r="G1379" t="n">
        <v>1</v>
      </c>
      <c r="H1379" s="7" t="n">
        <v>69.90000000000001</v>
      </c>
      <c r="I1379" s="7" t="n">
        <v>0</v>
      </c>
      <c r="J1379" s="7" t="n">
        <v>0</v>
      </c>
      <c r="K1379" s="9" t="n">
        <v>0</v>
      </c>
      <c r="L1379" s="10" t="n">
        <v>41.47</v>
      </c>
      <c r="M1379" s="10" t="n">
        <v>1.43</v>
      </c>
      <c r="N1379" t="inlineStr">
        <is>
          <t>1</t>
        </is>
      </c>
      <c r="O1379" t="inlineStr">
        <is>
          <t>16</t>
        </is>
      </c>
      <c r="P1379" t="inlineStr">
        <is>
          <t xml:space="preserve">50776   </t>
        </is>
      </c>
      <c r="Q1379" s="26" t="n">
        <v>41.47</v>
      </c>
      <c r="R1379" s="26">
        <f>Q1379*G1379</f>
        <v/>
      </c>
      <c r="S1379" s="26">
        <f>IFERROR(VLOOKUP(E1379*1,Tabla[#All],8,0),0)</f>
        <v/>
      </c>
      <c r="T1379" s="26">
        <f>S1379*G1379</f>
        <v/>
      </c>
      <c r="U1379" s="26">
        <f>R1379-T1379</f>
        <v/>
      </c>
      <c r="V1379" s="26">
        <f>U1379-L1379</f>
        <v/>
      </c>
    </row>
    <row r="1380">
      <c r="A1380" s="11" t="n">
        <v>46217</v>
      </c>
      <c r="B1380" s="1" t="n">
        <v>20040</v>
      </c>
      <c r="C1380" s="1" t="inlineStr">
        <is>
          <t>072</t>
        </is>
      </c>
      <c r="D1380" s="1" t="inlineStr">
        <is>
          <t>251815</t>
        </is>
      </c>
      <c r="E1380" s="1" t="inlineStr">
        <is>
          <t xml:space="preserve">29235702       </t>
        </is>
      </c>
      <c r="F1380" s="5" t="inlineStr">
        <is>
          <t>INFINITY NADO TROMPO DE BATALLA - METAL C/ ANILLO</t>
        </is>
      </c>
      <c r="G1380" t="n">
        <v>1</v>
      </c>
      <c r="H1380" s="7" t="n">
        <v>69.90000000000001</v>
      </c>
      <c r="I1380" s="7" t="n">
        <v>0</v>
      </c>
      <c r="J1380" s="7" t="n">
        <v>0</v>
      </c>
      <c r="K1380" s="9" t="n">
        <v>0</v>
      </c>
      <c r="L1380" s="10" t="n">
        <v>41.47</v>
      </c>
      <c r="M1380" s="10" t="n">
        <v>1.43</v>
      </c>
      <c r="N1380" t="inlineStr">
        <is>
          <t>1</t>
        </is>
      </c>
      <c r="O1380" t="inlineStr">
        <is>
          <t xml:space="preserve">2 </t>
        </is>
      </c>
      <c r="P1380" t="inlineStr">
        <is>
          <t xml:space="preserve">52786   </t>
        </is>
      </c>
      <c r="Q1380" s="26" t="n">
        <v>41.47</v>
      </c>
      <c r="R1380" s="26">
        <f>Q1380*G1380</f>
        <v/>
      </c>
      <c r="S1380" s="26">
        <f>IFERROR(VLOOKUP(E1380*1,Tabla[#All],8,0),0)</f>
        <v/>
      </c>
      <c r="T1380" s="26">
        <f>S1380*G1380</f>
        <v/>
      </c>
      <c r="U1380" s="26">
        <f>R1380-T1380</f>
        <v/>
      </c>
      <c r="V1380" s="26">
        <f>U1380-L1380</f>
        <v/>
      </c>
    </row>
    <row r="1381">
      <c r="A1381" s="11" t="n">
        <v>46217</v>
      </c>
      <c r="B1381" s="1" t="n">
        <v>20040</v>
      </c>
      <c r="C1381" s="1" t="inlineStr">
        <is>
          <t>529</t>
        </is>
      </c>
      <c r="D1381" s="1" t="inlineStr">
        <is>
          <t xml:space="preserve">8309  </t>
        </is>
      </c>
      <c r="E1381" s="1" t="inlineStr">
        <is>
          <t xml:space="preserve">28194780       </t>
        </is>
      </c>
      <c r="F1381" s="5" t="inlineStr">
        <is>
          <t>TROMPO BATALLA INFINITY NADO PLSTICO SURTIDO</t>
        </is>
      </c>
      <c r="G1381" t="n">
        <v>1</v>
      </c>
      <c r="H1381" s="7" t="n">
        <v>19.9</v>
      </c>
      <c r="I1381" s="7" t="n">
        <v>0</v>
      </c>
      <c r="J1381" s="7" t="n">
        <v>0</v>
      </c>
      <c r="K1381" s="9" t="n">
        <v>0</v>
      </c>
      <c r="L1381" s="10" t="n">
        <v>11.8</v>
      </c>
      <c r="M1381" s="10" t="n">
        <v>1.43</v>
      </c>
      <c r="N1381" t="inlineStr">
        <is>
          <t>1</t>
        </is>
      </c>
      <c r="O1381" t="inlineStr">
        <is>
          <t>16</t>
        </is>
      </c>
      <c r="P1381" t="inlineStr">
        <is>
          <t xml:space="preserve">86916   </t>
        </is>
      </c>
      <c r="Q1381" s="26" t="n">
        <v>11.81</v>
      </c>
      <c r="R1381" s="26">
        <f>Q1381*G1381</f>
        <v/>
      </c>
      <c r="S1381" s="26">
        <f>IFERROR(VLOOKUP(E1381*1,Tabla[#All],8,0),0)</f>
        <v/>
      </c>
      <c r="T1381" s="26">
        <f>S1381*G1381</f>
        <v/>
      </c>
      <c r="U1381" s="26">
        <f>R1381-T1381</f>
        <v/>
      </c>
      <c r="V1381" s="26">
        <f>U1381-L1381</f>
        <v/>
      </c>
    </row>
    <row r="1382">
      <c r="A1382" s="11" t="n">
        <v>46217</v>
      </c>
      <c r="B1382" s="1" t="n">
        <v>20040</v>
      </c>
      <c r="C1382" s="1" t="inlineStr">
        <is>
          <t>831</t>
        </is>
      </c>
      <c r="D1382" s="1" t="inlineStr">
        <is>
          <t xml:space="preserve">8793  </t>
        </is>
      </c>
      <c r="E1382" s="1" t="inlineStr">
        <is>
          <t xml:space="preserve">34840552       </t>
        </is>
      </c>
      <c r="F1382" s="5" t="inlineStr">
        <is>
          <t>TMZ HELI POLICIA CON LUCES Y SONIDOS</t>
        </is>
      </c>
      <c r="G1382" t="n">
        <v>1</v>
      </c>
      <c r="H1382" s="7" t="n">
        <v>79.90000000000001</v>
      </c>
      <c r="I1382" s="7" t="n">
        <v>0</v>
      </c>
      <c r="J1382" s="7" t="n">
        <v>0</v>
      </c>
      <c r="K1382" s="9" t="n">
        <v>0</v>
      </c>
      <c r="L1382" s="10" t="n">
        <v>47.4</v>
      </c>
      <c r="M1382" s="10" t="n">
        <v>1.43</v>
      </c>
      <c r="N1382" t="inlineStr">
        <is>
          <t>1</t>
        </is>
      </c>
      <c r="O1382" t="inlineStr">
        <is>
          <t>16</t>
        </is>
      </c>
      <c r="P1382" t="inlineStr">
        <is>
          <t xml:space="preserve">0       </t>
        </is>
      </c>
      <c r="Q1382" s="26" t="n">
        <v>47.4</v>
      </c>
      <c r="R1382" s="26">
        <f>Q1382*G1382</f>
        <v/>
      </c>
      <c r="S1382" s="26">
        <f>IFERROR(VLOOKUP(E1382*1,Tabla[#All],8,0),0)</f>
        <v/>
      </c>
      <c r="T1382" s="26">
        <f>S1382*G1382</f>
        <v/>
      </c>
      <c r="U1382" s="26">
        <f>R1382-T1382</f>
        <v/>
      </c>
      <c r="V1382" s="26">
        <f>U1382-L1382</f>
        <v/>
      </c>
    </row>
    <row r="1383">
      <c r="A1383" s="11" t="n">
        <v>46217</v>
      </c>
      <c r="B1383" s="1" t="n">
        <v>20041</v>
      </c>
      <c r="C1383" s="1" t="inlineStr">
        <is>
          <t>013</t>
        </is>
      </c>
      <c r="D1383" s="1" t="inlineStr">
        <is>
          <t>459056</t>
        </is>
      </c>
      <c r="E1383" s="1" t="inlineStr">
        <is>
          <t xml:space="preserve">35685067       </t>
        </is>
      </c>
      <c r="F1383" s="5" t="inlineStr">
        <is>
          <t>HOT WHEELS POWER SET 3 EN 1</t>
        </is>
      </c>
      <c r="G1383" t="n">
        <v>1</v>
      </c>
      <c r="H1383" s="7" t="n">
        <v>49.9</v>
      </c>
      <c r="I1383" s="7" t="n">
        <v>0</v>
      </c>
      <c r="J1383" s="7" t="n">
        <v>0</v>
      </c>
      <c r="K1383" s="9" t="n">
        <v>0</v>
      </c>
      <c r="L1383" s="10" t="n">
        <v>29.6</v>
      </c>
      <c r="M1383" s="10" t="n">
        <v>1.43</v>
      </c>
      <c r="N1383" t="inlineStr">
        <is>
          <t>1</t>
        </is>
      </c>
      <c r="O1383" t="inlineStr">
        <is>
          <t>16</t>
        </is>
      </c>
      <c r="P1383" t="inlineStr">
        <is>
          <t xml:space="preserve">53218   </t>
        </is>
      </c>
      <c r="Q1383" s="26" t="n">
        <v>29.6</v>
      </c>
      <c r="R1383" s="26">
        <f>Q1383*G1383</f>
        <v/>
      </c>
      <c r="S1383" s="26">
        <f>IFERROR(VLOOKUP(E1383*1,Tabla[#All],8,0),0)</f>
        <v/>
      </c>
      <c r="T1383" s="26">
        <f>S1383*G1383</f>
        <v/>
      </c>
      <c r="U1383" s="26">
        <f>R1383-T1383</f>
        <v/>
      </c>
      <c r="V1383" s="26">
        <f>U1383-L1383</f>
        <v/>
      </c>
    </row>
    <row r="1384">
      <c r="A1384" s="11" t="n">
        <v>46217</v>
      </c>
      <c r="B1384" s="1" t="n">
        <v>20041</v>
      </c>
      <c r="C1384" s="1" t="inlineStr">
        <is>
          <t>031</t>
        </is>
      </c>
      <c r="D1384" s="1" t="inlineStr">
        <is>
          <t>165495</t>
        </is>
      </c>
      <c r="E1384" s="1" t="inlineStr">
        <is>
          <t xml:space="preserve">28194769       </t>
        </is>
      </c>
      <c r="F1384" s="5" t="inlineStr">
        <is>
          <t>AUTOS DE METAL 3 TEAMSTERZ PACK DE 2</t>
        </is>
      </c>
      <c r="G1384" t="n">
        <v>1</v>
      </c>
      <c r="H1384" s="7" t="n">
        <v>13.8</v>
      </c>
      <c r="I1384" s="7" t="n">
        <v>0</v>
      </c>
      <c r="J1384" s="7" t="n">
        <v>0</v>
      </c>
      <c r="K1384" s="9" t="n">
        <v>0</v>
      </c>
      <c r="L1384" s="10" t="n">
        <v>8.18</v>
      </c>
      <c r="M1384" s="10" t="n">
        <v>1.43</v>
      </c>
      <c r="N1384" t="inlineStr">
        <is>
          <t>1</t>
        </is>
      </c>
      <c r="O1384" t="inlineStr">
        <is>
          <t xml:space="preserve">2 </t>
        </is>
      </c>
      <c r="P1384" t="inlineStr">
        <is>
          <t xml:space="preserve">242748  </t>
        </is>
      </c>
      <c r="Q1384" s="26" t="n">
        <v>8.19</v>
      </c>
      <c r="R1384" s="26">
        <f>Q1384*G1384</f>
        <v/>
      </c>
      <c r="S1384" s="26">
        <f>IFERROR(VLOOKUP(E1384*1,Tabla[#All],8,0),0)</f>
        <v/>
      </c>
      <c r="T1384" s="26">
        <f>S1384*G1384</f>
        <v/>
      </c>
      <c r="U1384" s="26">
        <f>R1384-T1384</f>
        <v/>
      </c>
      <c r="V1384" s="26">
        <f>U1384-L1384</f>
        <v/>
      </c>
    </row>
    <row r="1385">
      <c r="A1385" s="11" t="n">
        <v>46217</v>
      </c>
      <c r="B1385" s="1" t="n">
        <v>20041</v>
      </c>
      <c r="C1385" s="1" t="inlineStr">
        <is>
          <t>031</t>
        </is>
      </c>
      <c r="D1385" s="1" t="inlineStr">
        <is>
          <t>165527</t>
        </is>
      </c>
      <c r="E1385" s="1" t="inlineStr">
        <is>
          <t xml:space="preserve">28194780       </t>
        </is>
      </c>
      <c r="F1385" s="5" t="inlineStr">
        <is>
          <t>TROMPO BATALLA INFINITY NADO PLSTICO SURTIDO</t>
        </is>
      </c>
      <c r="G1385" t="n">
        <v>1</v>
      </c>
      <c r="H1385" s="7" t="n">
        <v>19.9</v>
      </c>
      <c r="I1385" s="7" t="n">
        <v>0</v>
      </c>
      <c r="J1385" s="7" t="n">
        <v>0</v>
      </c>
      <c r="K1385" s="9" t="n">
        <v>0</v>
      </c>
      <c r="L1385" s="10" t="n">
        <v>11.8</v>
      </c>
      <c r="M1385" s="10" t="n">
        <v>1.43</v>
      </c>
      <c r="N1385" t="inlineStr">
        <is>
          <t>1</t>
        </is>
      </c>
      <c r="O1385" t="inlineStr">
        <is>
          <t>16</t>
        </is>
      </c>
      <c r="P1385" t="inlineStr">
        <is>
          <t xml:space="preserve">242748  </t>
        </is>
      </c>
      <c r="Q1385" s="26" t="n">
        <v>11.81</v>
      </c>
      <c r="R1385" s="26">
        <f>Q1385*G1385</f>
        <v/>
      </c>
      <c r="S1385" s="26">
        <f>IFERROR(VLOOKUP(E1385*1,Tabla[#All],8,0),0)</f>
        <v/>
      </c>
      <c r="T1385" s="26">
        <f>S1385*G1385</f>
        <v/>
      </c>
      <c r="U1385" s="26">
        <f>R1385-T1385</f>
        <v/>
      </c>
      <c r="V1385" s="26">
        <f>U1385-L1385</f>
        <v/>
      </c>
    </row>
    <row r="1386">
      <c r="A1386" s="11" t="n">
        <v>46217</v>
      </c>
      <c r="B1386" s="1" t="n">
        <v>20041</v>
      </c>
      <c r="C1386" s="1" t="inlineStr">
        <is>
          <t>504</t>
        </is>
      </c>
      <c r="D1386" s="1" t="inlineStr">
        <is>
          <t xml:space="preserve">6219  </t>
        </is>
      </c>
      <c r="E1386" s="1" t="inlineStr">
        <is>
          <t xml:space="preserve">28194770       </t>
        </is>
      </c>
      <c r="F1386" s="5" t="inlineStr">
        <is>
          <t>AUTOS DE METAL 3 TEAMSTERZ EN BLISTER</t>
        </is>
      </c>
      <c r="G1386" t="n">
        <v>1</v>
      </c>
      <c r="H1386" s="7" t="n">
        <v>6.9</v>
      </c>
      <c r="I1386" s="7" t="n">
        <v>0</v>
      </c>
      <c r="J1386" s="7" t="n">
        <v>0</v>
      </c>
      <c r="K1386" s="9" t="n">
        <v>0</v>
      </c>
      <c r="L1386" s="10" t="n">
        <v>4.1</v>
      </c>
      <c r="M1386" s="10" t="n">
        <v>1.43</v>
      </c>
      <c r="N1386" t="inlineStr">
        <is>
          <t>1</t>
        </is>
      </c>
      <c r="O1386" t="inlineStr">
        <is>
          <t>16</t>
        </is>
      </c>
      <c r="P1386" t="inlineStr">
        <is>
          <t xml:space="preserve">39526   </t>
        </is>
      </c>
      <c r="Q1386" s="26" t="n">
        <v>4.09</v>
      </c>
      <c r="R1386" s="26">
        <f>Q1386*G1386</f>
        <v/>
      </c>
      <c r="S1386" s="26">
        <f>IFERROR(VLOOKUP(E1386*1,Tabla[#All],8,0),0)</f>
        <v/>
      </c>
      <c r="T1386" s="26">
        <f>S1386*G1386</f>
        <v/>
      </c>
      <c r="U1386" s="26">
        <f>R1386-T1386</f>
        <v/>
      </c>
      <c r="V1386" s="26">
        <f>U1386-L1386</f>
        <v/>
      </c>
    </row>
    <row r="1387">
      <c r="A1387" s="11" t="n">
        <v>46217</v>
      </c>
      <c r="B1387" s="1" t="n">
        <v>20043</v>
      </c>
      <c r="C1387" s="1" t="inlineStr">
        <is>
          <t>061</t>
        </is>
      </c>
      <c r="D1387" s="1" t="inlineStr">
        <is>
          <t>154965</t>
        </is>
      </c>
      <c r="E1387" s="1" t="inlineStr">
        <is>
          <t xml:space="preserve">28194769       </t>
        </is>
      </c>
      <c r="F1387" s="5" t="inlineStr">
        <is>
          <t>AUTOS DE METAL 3 TEAMSTERZ PACK DE 2</t>
        </is>
      </c>
      <c r="G1387" t="n">
        <v>1</v>
      </c>
      <c r="H1387" s="7" t="n">
        <v>13.8</v>
      </c>
      <c r="I1387" s="7" t="n">
        <v>0</v>
      </c>
      <c r="J1387" s="7" t="n">
        <v>0</v>
      </c>
      <c r="K1387" s="9" t="n">
        <v>0</v>
      </c>
      <c r="L1387" s="10" t="n">
        <v>8.18</v>
      </c>
      <c r="M1387" s="10" t="n">
        <v>1.43</v>
      </c>
      <c r="N1387" t="inlineStr">
        <is>
          <t>1</t>
        </is>
      </c>
      <c r="O1387" t="inlineStr">
        <is>
          <t xml:space="preserve">3 </t>
        </is>
      </c>
      <c r="P1387" t="inlineStr">
        <is>
          <t xml:space="preserve">55076   </t>
        </is>
      </c>
      <c r="Q1387" s="26" t="n">
        <v>8.19</v>
      </c>
      <c r="R1387" s="26">
        <f>Q1387*G1387</f>
        <v/>
      </c>
      <c r="S1387" s="26">
        <f>IFERROR(VLOOKUP(E1387*1,Tabla[#All],8,0),0)</f>
        <v/>
      </c>
      <c r="T1387" s="26">
        <f>S1387*G1387</f>
        <v/>
      </c>
      <c r="U1387" s="26">
        <f>R1387-T1387</f>
        <v/>
      </c>
      <c r="V1387" s="26">
        <f>U1387-L1387</f>
        <v/>
      </c>
    </row>
    <row r="1388">
      <c r="A1388" s="11" t="n">
        <v>46217</v>
      </c>
      <c r="B1388" s="1" t="n">
        <v>20043</v>
      </c>
      <c r="C1388" s="1" t="inlineStr">
        <is>
          <t>061</t>
        </is>
      </c>
      <c r="D1388" s="1" t="inlineStr">
        <is>
          <t>154965</t>
        </is>
      </c>
      <c r="E1388" s="1" t="inlineStr">
        <is>
          <t xml:space="preserve">28194769       </t>
        </is>
      </c>
      <c r="F1388" s="5" t="inlineStr">
        <is>
          <t>AUTOS DE METAL 3 TEAMSTERZ PACK DE 2</t>
        </is>
      </c>
      <c r="G1388" t="n">
        <v>1</v>
      </c>
      <c r="H1388" s="7" t="n">
        <v>13.8</v>
      </c>
      <c r="I1388" s="7" t="n">
        <v>0</v>
      </c>
      <c r="J1388" s="7" t="n">
        <v>0</v>
      </c>
      <c r="K1388" s="9" t="n">
        <v>0</v>
      </c>
      <c r="L1388" s="10" t="n">
        <v>8.18</v>
      </c>
      <c r="M1388" s="10" t="n">
        <v>1.43</v>
      </c>
      <c r="N1388" t="inlineStr">
        <is>
          <t>1</t>
        </is>
      </c>
      <c r="O1388" t="inlineStr">
        <is>
          <t xml:space="preserve">3 </t>
        </is>
      </c>
      <c r="P1388" t="inlineStr">
        <is>
          <t xml:space="preserve">55076   </t>
        </is>
      </c>
      <c r="Q1388" s="26" t="n">
        <v>8.19</v>
      </c>
      <c r="R1388" s="26">
        <f>Q1388*G1388</f>
        <v/>
      </c>
      <c r="S1388" s="26">
        <f>IFERROR(VLOOKUP(E1388*1,Tabla[#All],8,0),0)</f>
        <v/>
      </c>
      <c r="T1388" s="26">
        <f>S1388*G1388</f>
        <v/>
      </c>
      <c r="U1388" s="26">
        <f>R1388-T1388</f>
        <v/>
      </c>
      <c r="V1388" s="26">
        <f>U1388-L1388</f>
        <v/>
      </c>
    </row>
    <row r="1389">
      <c r="A1389" s="11" t="n">
        <v>46217</v>
      </c>
      <c r="B1389" s="1" t="n">
        <v>20043</v>
      </c>
      <c r="C1389" s="1" t="inlineStr">
        <is>
          <t>061</t>
        </is>
      </c>
      <c r="D1389" s="1" t="inlineStr">
        <is>
          <t>154996</t>
        </is>
      </c>
      <c r="E1389" s="1" t="inlineStr">
        <is>
          <t xml:space="preserve">28194770       </t>
        </is>
      </c>
      <c r="F1389" s="5" t="inlineStr">
        <is>
          <t>AUTOS DE METAL 3 TEAMSTERZ EN BLISTER</t>
        </is>
      </c>
      <c r="G1389" t="n">
        <v>1</v>
      </c>
      <c r="H1389" s="7" t="n">
        <v>6.9</v>
      </c>
      <c r="I1389" s="7" t="n">
        <v>0</v>
      </c>
      <c r="J1389" s="7" t="n">
        <v>0</v>
      </c>
      <c r="K1389" s="9" t="n">
        <v>0</v>
      </c>
      <c r="L1389" s="10" t="n">
        <v>4.1</v>
      </c>
      <c r="M1389" s="10" t="n">
        <v>1.43</v>
      </c>
      <c r="N1389" t="inlineStr">
        <is>
          <t>1</t>
        </is>
      </c>
      <c r="O1389" t="inlineStr">
        <is>
          <t>16</t>
        </is>
      </c>
      <c r="P1389" t="inlineStr">
        <is>
          <t xml:space="preserve">55076   </t>
        </is>
      </c>
      <c r="Q1389" s="26" t="n">
        <v>4.09</v>
      </c>
      <c r="R1389" s="26">
        <f>Q1389*G1389</f>
        <v/>
      </c>
      <c r="S1389" s="26">
        <f>IFERROR(VLOOKUP(E1389*1,Tabla[#All],8,0),0)</f>
        <v/>
      </c>
      <c r="T1389" s="26">
        <f>S1389*G1389</f>
        <v/>
      </c>
      <c r="U1389" s="26">
        <f>R1389-T1389</f>
        <v/>
      </c>
      <c r="V1389" s="26">
        <f>U1389-L1389</f>
        <v/>
      </c>
    </row>
    <row r="1390">
      <c r="A1390" s="11" t="n">
        <v>46217</v>
      </c>
      <c r="B1390" s="1" t="n">
        <v>20043</v>
      </c>
      <c r="C1390" s="1" t="inlineStr">
        <is>
          <t>061</t>
        </is>
      </c>
      <c r="D1390" s="1" t="inlineStr">
        <is>
          <t>154996</t>
        </is>
      </c>
      <c r="E1390" s="1" t="inlineStr">
        <is>
          <t xml:space="preserve">28194770       </t>
        </is>
      </c>
      <c r="F1390" s="5" t="inlineStr">
        <is>
          <t>AUTOS DE METAL 3 TEAMSTERZ EN BLISTER</t>
        </is>
      </c>
      <c r="G1390" t="n">
        <v>1</v>
      </c>
      <c r="H1390" s="7" t="n">
        <v>6.9</v>
      </c>
      <c r="I1390" s="7" t="n">
        <v>0</v>
      </c>
      <c r="J1390" s="7" t="n">
        <v>0</v>
      </c>
      <c r="K1390" s="9" t="n">
        <v>0</v>
      </c>
      <c r="L1390" s="10" t="n">
        <v>4.1</v>
      </c>
      <c r="M1390" s="10" t="n">
        <v>1.43</v>
      </c>
      <c r="N1390" t="inlineStr">
        <is>
          <t>1</t>
        </is>
      </c>
      <c r="O1390" t="inlineStr">
        <is>
          <t>16</t>
        </is>
      </c>
      <c r="P1390" t="inlineStr">
        <is>
          <t xml:space="preserve">55076   </t>
        </is>
      </c>
      <c r="Q1390" s="26" t="n">
        <v>4.09</v>
      </c>
      <c r="R1390" s="26">
        <f>Q1390*G1390</f>
        <v/>
      </c>
      <c r="S1390" s="26">
        <f>IFERROR(VLOOKUP(E1390*1,Tabla[#All],8,0),0)</f>
        <v/>
      </c>
      <c r="T1390" s="26">
        <f>S1390*G1390</f>
        <v/>
      </c>
      <c r="U1390" s="26">
        <f>R1390-T1390</f>
        <v/>
      </c>
      <c r="V1390" s="26">
        <f>U1390-L1390</f>
        <v/>
      </c>
    </row>
    <row r="1391">
      <c r="A1391" s="11" t="n">
        <v>46217</v>
      </c>
      <c r="B1391" s="1" t="n">
        <v>20048</v>
      </c>
      <c r="C1391" s="1" t="inlineStr">
        <is>
          <t>013</t>
        </is>
      </c>
      <c r="D1391" s="1" t="inlineStr">
        <is>
          <t>225177</t>
        </is>
      </c>
      <c r="E1391" s="1" t="inlineStr">
        <is>
          <t xml:space="preserve">35685067       </t>
        </is>
      </c>
      <c r="F1391" s="5" t="inlineStr">
        <is>
          <t>HOT WHEELS POWER SET 3 EN 1</t>
        </is>
      </c>
      <c r="G1391" t="n">
        <v>1</v>
      </c>
      <c r="H1391" s="7" t="n">
        <v>49.9</v>
      </c>
      <c r="I1391" s="7" t="n">
        <v>0</v>
      </c>
      <c r="J1391" s="7" t="n">
        <v>0</v>
      </c>
      <c r="K1391" s="9" t="n">
        <v>0</v>
      </c>
      <c r="L1391" s="10" t="n">
        <v>29.6</v>
      </c>
      <c r="M1391" s="10" t="n">
        <v>1.43</v>
      </c>
      <c r="N1391" t="inlineStr">
        <is>
          <t>1</t>
        </is>
      </c>
      <c r="O1391" t="inlineStr">
        <is>
          <t xml:space="preserve">3 </t>
        </is>
      </c>
      <c r="P1391" t="inlineStr">
        <is>
          <t xml:space="preserve">80084   </t>
        </is>
      </c>
      <c r="Q1391" s="26" t="n">
        <v>29.6</v>
      </c>
      <c r="R1391" s="26">
        <f>Q1391*G1391</f>
        <v/>
      </c>
      <c r="S1391" s="26">
        <f>IFERROR(VLOOKUP(E1391*1,Tabla[#All],8,0),0)</f>
        <v/>
      </c>
      <c r="T1391" s="26">
        <f>S1391*G1391</f>
        <v/>
      </c>
      <c r="U1391" s="26">
        <f>R1391-T1391</f>
        <v/>
      </c>
      <c r="V1391" s="26">
        <f>U1391-L1391</f>
        <v/>
      </c>
    </row>
    <row r="1392">
      <c r="A1392" s="11" t="n">
        <v>46217</v>
      </c>
      <c r="B1392" s="1" t="n">
        <v>20048</v>
      </c>
      <c r="C1392" s="1" t="inlineStr">
        <is>
          <t>018</t>
        </is>
      </c>
      <c r="D1392" s="1" t="inlineStr">
        <is>
          <t xml:space="preserve">46885 </t>
        </is>
      </c>
      <c r="E1392" s="1" t="inlineStr">
        <is>
          <t xml:space="preserve">28194770       </t>
        </is>
      </c>
      <c r="F1392" s="5" t="inlineStr">
        <is>
          <t>AUTOS DE METAL 3 TEAMSTERZ EN BLISTER</t>
        </is>
      </c>
      <c r="G1392" t="n">
        <v>1</v>
      </c>
      <c r="H1392" s="7" t="n">
        <v>6.9</v>
      </c>
      <c r="I1392" s="7" t="n">
        <v>0</v>
      </c>
      <c r="J1392" s="7" t="n">
        <v>0</v>
      </c>
      <c r="K1392" s="9" t="n">
        <v>0</v>
      </c>
      <c r="L1392" s="10" t="n">
        <v>4.1</v>
      </c>
      <c r="M1392" s="10" t="n">
        <v>1.43</v>
      </c>
      <c r="N1392" t="inlineStr">
        <is>
          <t>1</t>
        </is>
      </c>
      <c r="O1392" t="inlineStr">
        <is>
          <t xml:space="preserve">2 </t>
        </is>
      </c>
      <c r="P1392" t="inlineStr">
        <is>
          <t xml:space="preserve">200219  </t>
        </is>
      </c>
      <c r="Q1392" s="26" t="n">
        <v>4.09</v>
      </c>
      <c r="R1392" s="26">
        <f>Q1392*G1392</f>
        <v/>
      </c>
      <c r="S1392" s="26">
        <f>IFERROR(VLOOKUP(E1392*1,Tabla[#All],8,0),0)</f>
        <v/>
      </c>
      <c r="T1392" s="26">
        <f>S1392*G1392</f>
        <v/>
      </c>
      <c r="U1392" s="26">
        <f>R1392-T1392</f>
        <v/>
      </c>
      <c r="V1392" s="26">
        <f>U1392-L1392</f>
        <v/>
      </c>
    </row>
    <row r="1393">
      <c r="A1393" s="11" t="n">
        <v>46217</v>
      </c>
      <c r="B1393" s="1" t="n">
        <v>20048</v>
      </c>
      <c r="C1393" s="1" t="inlineStr">
        <is>
          <t>831</t>
        </is>
      </c>
      <c r="D1393" s="1" t="inlineStr">
        <is>
          <t xml:space="preserve">5511  </t>
        </is>
      </c>
      <c r="E1393" s="1" t="inlineStr">
        <is>
          <t xml:space="preserve">28194770       </t>
        </is>
      </c>
      <c r="F1393" s="5" t="inlineStr">
        <is>
          <t>AUTOS DE METAL 3 TEAMSTERZ EN BLISTER</t>
        </is>
      </c>
      <c r="G1393" t="n">
        <v>1</v>
      </c>
      <c r="H1393" s="7" t="n">
        <v>6.9</v>
      </c>
      <c r="I1393" s="7" t="n">
        <v>0</v>
      </c>
      <c r="J1393" s="7" t="n">
        <v>0</v>
      </c>
      <c r="K1393" s="9" t="n">
        <v>0</v>
      </c>
      <c r="L1393" s="10" t="n">
        <v>4.1</v>
      </c>
      <c r="M1393" s="10" t="n">
        <v>1.43</v>
      </c>
      <c r="N1393" t="inlineStr">
        <is>
          <t>1</t>
        </is>
      </c>
      <c r="O1393" t="inlineStr">
        <is>
          <t>16</t>
        </is>
      </c>
      <c r="P1393" t="inlineStr">
        <is>
          <t xml:space="preserve">250434  </t>
        </is>
      </c>
      <c r="Q1393" s="26" t="n">
        <v>4.09</v>
      </c>
      <c r="R1393" s="26">
        <f>Q1393*G1393</f>
        <v/>
      </c>
      <c r="S1393" s="26">
        <f>IFERROR(VLOOKUP(E1393*1,Tabla[#All],8,0),0)</f>
        <v/>
      </c>
      <c r="T1393" s="26">
        <f>S1393*G1393</f>
        <v/>
      </c>
      <c r="U1393" s="26">
        <f>R1393-T1393</f>
        <v/>
      </c>
      <c r="V1393" s="26">
        <f>U1393-L1393</f>
        <v/>
      </c>
    </row>
    <row r="1394">
      <c r="A1394" s="11" t="n">
        <v>46217</v>
      </c>
      <c r="B1394" s="1" t="n">
        <v>20049</v>
      </c>
      <c r="C1394" s="1" t="inlineStr">
        <is>
          <t>027</t>
        </is>
      </c>
      <c r="D1394" s="1" t="inlineStr">
        <is>
          <t>176054</t>
        </is>
      </c>
      <c r="E1394" s="1" t="inlineStr">
        <is>
          <t xml:space="preserve">28194769       </t>
        </is>
      </c>
      <c r="F1394" s="5" t="inlineStr">
        <is>
          <t>AUTOS DE METAL 3 TEAMSTERZ PACK DE 2</t>
        </is>
      </c>
      <c r="G1394" t="n">
        <v>1</v>
      </c>
      <c r="H1394" s="7" t="n">
        <v>13.8</v>
      </c>
      <c r="I1394" s="7" t="n">
        <v>0</v>
      </c>
      <c r="J1394" s="7" t="n">
        <v>0</v>
      </c>
      <c r="K1394" s="9" t="n">
        <v>0</v>
      </c>
      <c r="L1394" s="10" t="n">
        <v>8.18</v>
      </c>
      <c r="M1394" s="10" t="n">
        <v>1.43</v>
      </c>
      <c r="N1394" t="inlineStr">
        <is>
          <t>1</t>
        </is>
      </c>
      <c r="O1394" t="inlineStr">
        <is>
          <t xml:space="preserve">2 </t>
        </is>
      </c>
      <c r="P1394" t="inlineStr">
        <is>
          <t xml:space="preserve">248690  </t>
        </is>
      </c>
      <c r="Q1394" s="26" t="n">
        <v>8.19</v>
      </c>
      <c r="R1394" s="26">
        <f>Q1394*G1394</f>
        <v/>
      </c>
      <c r="S1394" s="26">
        <f>IFERROR(VLOOKUP(E1394*1,Tabla[#All],8,0),0)</f>
        <v/>
      </c>
      <c r="T1394" s="26">
        <f>S1394*G1394</f>
        <v/>
      </c>
      <c r="U1394" s="26">
        <f>R1394-T1394</f>
        <v/>
      </c>
      <c r="V1394" s="26">
        <f>U1394-L1394</f>
        <v/>
      </c>
    </row>
    <row r="1395">
      <c r="A1395" s="11" t="n">
        <v>46217</v>
      </c>
      <c r="B1395" s="1" t="n">
        <v>20049</v>
      </c>
      <c r="C1395" s="1" t="inlineStr">
        <is>
          <t>029</t>
        </is>
      </c>
      <c r="D1395" s="1" t="inlineStr">
        <is>
          <t xml:space="preserve">26177 </t>
        </is>
      </c>
      <c r="E1395" s="1" t="inlineStr">
        <is>
          <t xml:space="preserve">34840551       </t>
        </is>
      </c>
      <c r="F1395" s="5" t="inlineStr">
        <is>
          <t>TMZ HELI BOMBERO CON LUCES Y SONIDOS</t>
        </is>
      </c>
      <c r="G1395" t="n">
        <v>-1</v>
      </c>
      <c r="H1395" s="7" t="n">
        <v>-79.90000000000001</v>
      </c>
      <c r="I1395" s="7" t="n">
        <v>0</v>
      </c>
      <c r="J1395" s="7" t="n">
        <v>0</v>
      </c>
      <c r="K1395" s="9" t="n">
        <v>0</v>
      </c>
      <c r="L1395" s="10" t="n">
        <v>-47.4</v>
      </c>
      <c r="M1395" s="10" t="n">
        <v>0</v>
      </c>
      <c r="N1395" t="inlineStr">
        <is>
          <t>3</t>
        </is>
      </c>
      <c r="O1395" t="inlineStr">
        <is>
          <t>26</t>
        </is>
      </c>
      <c r="P1395" t="inlineStr">
        <is>
          <t xml:space="preserve">83095   </t>
        </is>
      </c>
      <c r="Q1395" s="26" t="n">
        <v>47.4</v>
      </c>
      <c r="R1395" s="26">
        <f>Q1395*G1395</f>
        <v/>
      </c>
      <c r="S1395" s="26">
        <f>IFERROR(VLOOKUP(E1395*1,Tabla[#All],8,0),0)</f>
        <v/>
      </c>
      <c r="T1395" s="26">
        <f>S1395*G1395</f>
        <v/>
      </c>
      <c r="U1395" s="26">
        <f>R1395-T1395</f>
        <v/>
      </c>
      <c r="V1395" s="26">
        <f>U1395-L1395</f>
        <v/>
      </c>
    </row>
    <row r="1396">
      <c r="A1396" s="11" t="n">
        <v>46217</v>
      </c>
      <c r="B1396" s="1" t="n">
        <v>20057</v>
      </c>
      <c r="C1396" s="1" t="inlineStr">
        <is>
          <t>020</t>
        </is>
      </c>
      <c r="D1396" s="1" t="inlineStr">
        <is>
          <t xml:space="preserve">39914 </t>
        </is>
      </c>
      <c r="E1396" s="1" t="inlineStr">
        <is>
          <t xml:space="preserve">32457103       </t>
        </is>
      </c>
      <c r="F1396" s="5" t="inlineStr">
        <is>
          <t>TMZ BEAST MACHINES MONSTER JAWS A FRICCION PACK DE</t>
        </is>
      </c>
      <c r="G1396" t="n">
        <v>1</v>
      </c>
      <c r="H1396" s="7" t="n">
        <v>37.9</v>
      </c>
      <c r="I1396" s="7" t="n">
        <v>0</v>
      </c>
      <c r="J1396" s="7" t="n">
        <v>0</v>
      </c>
      <c r="K1396" s="9" t="n">
        <v>0</v>
      </c>
      <c r="L1396" s="10" t="n">
        <v>22.48</v>
      </c>
      <c r="M1396" s="10" t="n">
        <v>1.43</v>
      </c>
      <c r="N1396" t="inlineStr">
        <is>
          <t>1</t>
        </is>
      </c>
      <c r="O1396" t="inlineStr">
        <is>
          <t>16</t>
        </is>
      </c>
      <c r="P1396" t="inlineStr">
        <is>
          <t xml:space="preserve">105593  </t>
        </is>
      </c>
      <c r="Q1396" s="26" t="n">
        <v>22.48</v>
      </c>
      <c r="R1396" s="26">
        <f>Q1396*G1396</f>
        <v/>
      </c>
      <c r="S1396" s="26">
        <f>IFERROR(VLOOKUP(E1396*1,Tabla[#All],8,0),0)</f>
        <v/>
      </c>
      <c r="T1396" s="26">
        <f>S1396*G1396</f>
        <v/>
      </c>
      <c r="U1396" s="26">
        <f>R1396-T1396</f>
        <v/>
      </c>
      <c r="V1396" s="26">
        <f>U1396-L1396</f>
        <v/>
      </c>
    </row>
    <row r="1397">
      <c r="A1397" s="11" t="n">
        <v>46217</v>
      </c>
      <c r="B1397" s="1" t="n">
        <v>20057</v>
      </c>
      <c r="C1397" s="1" t="inlineStr">
        <is>
          <t>032</t>
        </is>
      </c>
      <c r="D1397" s="1" t="inlineStr">
        <is>
          <t xml:space="preserve">74710 </t>
        </is>
      </c>
      <c r="E1397" s="1" t="inlineStr">
        <is>
          <t xml:space="preserve">29235710       </t>
        </is>
      </c>
      <c r="F1397" s="5" t="inlineStr">
        <is>
          <t>TEAMSTERZ PLAYSET GRANDES CONSTRUCCIONES</t>
        </is>
      </c>
      <c r="G1397" t="n">
        <v>1</v>
      </c>
      <c r="H1397" s="7" t="n">
        <v>19.9</v>
      </c>
      <c r="I1397" s="7" t="n">
        <v>0</v>
      </c>
      <c r="J1397" s="7" t="n">
        <v>0</v>
      </c>
      <c r="K1397" s="9" t="n">
        <v>0</v>
      </c>
      <c r="L1397" s="10" t="n">
        <v>11.8</v>
      </c>
      <c r="M1397" s="10" t="n">
        <v>1.43</v>
      </c>
      <c r="N1397" t="inlineStr">
        <is>
          <t>1</t>
        </is>
      </c>
      <c r="O1397" t="inlineStr">
        <is>
          <t xml:space="preserve">3 </t>
        </is>
      </c>
      <c r="P1397" t="inlineStr">
        <is>
          <t xml:space="preserve">238606  </t>
        </is>
      </c>
      <c r="Q1397" s="26" t="n">
        <v>11.81</v>
      </c>
      <c r="R1397" s="26">
        <f>Q1397*G1397</f>
        <v/>
      </c>
      <c r="S1397" s="26">
        <f>IFERROR(VLOOKUP(E1397*1,Tabla[#All],8,0),0)</f>
        <v/>
      </c>
      <c r="T1397" s="26">
        <f>S1397*G1397</f>
        <v/>
      </c>
      <c r="U1397" s="26">
        <f>R1397-T1397</f>
        <v/>
      </c>
      <c r="V1397" s="26">
        <f>U1397-L1397</f>
        <v/>
      </c>
    </row>
    <row r="1398">
      <c r="A1398" s="11" t="n">
        <v>46217</v>
      </c>
      <c r="B1398" s="1" t="n">
        <v>20057</v>
      </c>
      <c r="C1398" s="1" t="inlineStr">
        <is>
          <t>033</t>
        </is>
      </c>
      <c r="D1398" s="1" t="inlineStr">
        <is>
          <t xml:space="preserve">67094 </t>
        </is>
      </c>
      <c r="E1398" s="1" t="inlineStr">
        <is>
          <t xml:space="preserve">28194770       </t>
        </is>
      </c>
      <c r="F1398" s="5" t="inlineStr">
        <is>
          <t>AUTOS DE METAL 3 TEAMSTERZ EN BLISTER</t>
        </is>
      </c>
      <c r="G1398" t="n">
        <v>1</v>
      </c>
      <c r="H1398" s="7" t="n">
        <v>6.9</v>
      </c>
      <c r="I1398" s="7" t="n">
        <v>0</v>
      </c>
      <c r="J1398" s="7" t="n">
        <v>0</v>
      </c>
      <c r="K1398" s="9" t="n">
        <v>0</v>
      </c>
      <c r="L1398" s="10" t="n">
        <v>4.1</v>
      </c>
      <c r="M1398" s="10" t="n">
        <v>1.43</v>
      </c>
      <c r="N1398" t="inlineStr">
        <is>
          <t>1</t>
        </is>
      </c>
      <c r="O1398" t="inlineStr">
        <is>
          <t xml:space="preserve">3 </t>
        </is>
      </c>
      <c r="P1398" t="inlineStr">
        <is>
          <t xml:space="preserve">240012  </t>
        </is>
      </c>
      <c r="Q1398" s="26" t="n">
        <v>4.09</v>
      </c>
      <c r="R1398" s="26">
        <f>Q1398*G1398</f>
        <v/>
      </c>
      <c r="S1398" s="26">
        <f>IFERROR(VLOOKUP(E1398*1,Tabla[#All],8,0),0)</f>
        <v/>
      </c>
      <c r="T1398" s="26">
        <f>S1398*G1398</f>
        <v/>
      </c>
      <c r="U1398" s="26">
        <f>R1398-T1398</f>
        <v/>
      </c>
      <c r="V1398" s="26">
        <f>U1398-L1398</f>
        <v/>
      </c>
    </row>
    <row r="1399">
      <c r="A1399" s="11" t="n">
        <v>46217</v>
      </c>
      <c r="B1399" s="1" t="n">
        <v>20058</v>
      </c>
      <c r="C1399" s="1" t="inlineStr">
        <is>
          <t>038</t>
        </is>
      </c>
      <c r="D1399" s="1" t="inlineStr">
        <is>
          <t>209313</t>
        </is>
      </c>
      <c r="E1399" s="1" t="inlineStr">
        <is>
          <t xml:space="preserve">28194770       </t>
        </is>
      </c>
      <c r="F1399" s="5" t="inlineStr">
        <is>
          <t>AUTOS DE METAL 3 TEAMSTERZ EN BLISTER</t>
        </is>
      </c>
      <c r="G1399" t="n">
        <v>1</v>
      </c>
      <c r="H1399" s="7" t="n">
        <v>6.9</v>
      </c>
      <c r="I1399" s="7" t="n">
        <v>0</v>
      </c>
      <c r="J1399" s="7" t="n">
        <v>0</v>
      </c>
      <c r="K1399" s="9" t="n">
        <v>0</v>
      </c>
      <c r="L1399" s="10" t="n">
        <v>4.1</v>
      </c>
      <c r="M1399" s="10" t="n">
        <v>1.43</v>
      </c>
      <c r="N1399" t="inlineStr">
        <is>
          <t>1</t>
        </is>
      </c>
      <c r="O1399" t="inlineStr">
        <is>
          <t>16</t>
        </is>
      </c>
      <c r="P1399" t="inlineStr">
        <is>
          <t xml:space="preserve">80570   </t>
        </is>
      </c>
      <c r="Q1399" s="26" t="n">
        <v>4.09</v>
      </c>
      <c r="R1399" s="26">
        <f>Q1399*G1399</f>
        <v/>
      </c>
      <c r="S1399" s="26">
        <f>IFERROR(VLOOKUP(E1399*1,Tabla[#All],8,0),0)</f>
        <v/>
      </c>
      <c r="T1399" s="26">
        <f>S1399*G1399</f>
        <v/>
      </c>
      <c r="U1399" s="26">
        <f>R1399-T1399</f>
        <v/>
      </c>
      <c r="V1399" s="26">
        <f>U1399-L1399</f>
        <v/>
      </c>
    </row>
    <row r="1400">
      <c r="A1400" s="11" t="n">
        <v>46217</v>
      </c>
      <c r="B1400" s="1" t="n">
        <v>20058</v>
      </c>
      <c r="C1400" s="1" t="inlineStr">
        <is>
          <t>197</t>
        </is>
      </c>
      <c r="D1400" s="1" t="inlineStr">
        <is>
          <t>170098</t>
        </is>
      </c>
      <c r="E1400" s="1" t="inlineStr">
        <is>
          <t xml:space="preserve">29235700       </t>
        </is>
      </c>
      <c r="F1400" s="5" t="inlineStr">
        <is>
          <t>HOT WHEELS CASE METALICO PARA GUARDAR 18 CARRITOS</t>
        </is>
      </c>
      <c r="G1400" t="n">
        <v>1</v>
      </c>
      <c r="H1400" s="7" t="n">
        <v>49.9</v>
      </c>
      <c r="I1400" s="7" t="n">
        <v>0</v>
      </c>
      <c r="J1400" s="7" t="n">
        <v>0</v>
      </c>
      <c r="K1400" s="9" t="n">
        <v>0</v>
      </c>
      <c r="L1400" s="10" t="n">
        <v>29.6</v>
      </c>
      <c r="M1400" s="10" t="n">
        <v>1.43</v>
      </c>
      <c r="N1400" t="inlineStr">
        <is>
          <t>1</t>
        </is>
      </c>
      <c r="O1400" t="inlineStr">
        <is>
          <t>16</t>
        </is>
      </c>
      <c r="P1400" t="inlineStr">
        <is>
          <t xml:space="preserve">92832   </t>
        </is>
      </c>
      <c r="Q1400" s="26" t="n">
        <v>29.6</v>
      </c>
      <c r="R1400" s="26">
        <f>Q1400*G1400</f>
        <v/>
      </c>
      <c r="S1400" s="26">
        <f>IFERROR(VLOOKUP(E1400*1,Tabla[#All],8,0),0)</f>
        <v/>
      </c>
      <c r="T1400" s="26">
        <f>S1400*G1400</f>
        <v/>
      </c>
      <c r="U1400" s="26">
        <f>R1400-T1400</f>
        <v/>
      </c>
      <c r="V1400" s="26">
        <f>U1400-L1400</f>
        <v/>
      </c>
    </row>
    <row r="1401">
      <c r="A1401" s="11" t="n">
        <v>46217</v>
      </c>
      <c r="B1401" s="1" t="n">
        <v>20058</v>
      </c>
      <c r="C1401" s="1" t="inlineStr">
        <is>
          <t>197</t>
        </is>
      </c>
      <c r="D1401" s="1" t="inlineStr">
        <is>
          <t>170131</t>
        </is>
      </c>
      <c r="E1401" s="1" t="inlineStr">
        <is>
          <t xml:space="preserve">32457099       </t>
        </is>
      </c>
      <c r="F1401" s="5" t="inlineStr">
        <is>
          <t>TMZ BEAST MACHINES MONSTER JAWS A FRICCION BLISTER</t>
        </is>
      </c>
      <c r="G1401" t="n">
        <v>1</v>
      </c>
      <c r="H1401" s="7" t="n">
        <v>19.9</v>
      </c>
      <c r="I1401" s="7" t="n">
        <v>0</v>
      </c>
      <c r="J1401" s="7" t="n">
        <v>0</v>
      </c>
      <c r="K1401" s="9" t="n">
        <v>0</v>
      </c>
      <c r="L1401" s="10" t="n">
        <v>11.8</v>
      </c>
      <c r="M1401" s="10" t="n">
        <v>1.43</v>
      </c>
      <c r="N1401" t="inlineStr">
        <is>
          <t>1</t>
        </is>
      </c>
      <c r="O1401" t="inlineStr">
        <is>
          <t xml:space="preserve">3 </t>
        </is>
      </c>
      <c r="P1401" t="inlineStr">
        <is>
          <t xml:space="preserve">92832   </t>
        </is>
      </c>
      <c r="Q1401" s="26" t="n">
        <v>11.81</v>
      </c>
      <c r="R1401" s="26">
        <f>Q1401*G1401</f>
        <v/>
      </c>
      <c r="S1401" s="26">
        <f>IFERROR(VLOOKUP(E1401*1,Tabla[#All],8,0),0)</f>
        <v/>
      </c>
      <c r="T1401" s="26">
        <f>S1401*G1401</f>
        <v/>
      </c>
      <c r="U1401" s="26">
        <f>R1401-T1401</f>
        <v/>
      </c>
      <c r="V1401" s="26">
        <f>U1401-L1401</f>
        <v/>
      </c>
    </row>
    <row r="1402">
      <c r="A1402" s="11" t="n">
        <v>46217</v>
      </c>
      <c r="B1402" s="1" t="n">
        <v>20060</v>
      </c>
      <c r="C1402" s="1" t="inlineStr">
        <is>
          <t>303</t>
        </is>
      </c>
      <c r="D1402" s="1" t="inlineStr">
        <is>
          <t xml:space="preserve">2277  </t>
        </is>
      </c>
      <c r="E1402" s="1" t="inlineStr">
        <is>
          <t xml:space="preserve">33661538       </t>
        </is>
      </c>
      <c r="F1402" s="5" t="inlineStr">
        <is>
          <t>HOT WHEELS CASE GARAGE RUEDA METAL EN LLAMAS X 29</t>
        </is>
      </c>
      <c r="G1402" t="n">
        <v>1</v>
      </c>
      <c r="H1402" s="7" t="n">
        <v>62.9</v>
      </c>
      <c r="I1402" s="7" t="n">
        <v>0</v>
      </c>
      <c r="J1402" s="7" t="n">
        <v>0</v>
      </c>
      <c r="K1402" s="9" t="n">
        <v>0</v>
      </c>
      <c r="L1402" s="10" t="n">
        <v>37.32</v>
      </c>
      <c r="M1402" s="10" t="n">
        <v>1.43</v>
      </c>
      <c r="N1402" t="inlineStr">
        <is>
          <t>1</t>
        </is>
      </c>
      <c r="O1402" t="inlineStr">
        <is>
          <t xml:space="preserve">3 </t>
        </is>
      </c>
      <c r="P1402" t="inlineStr">
        <is>
          <t>82807346</t>
        </is>
      </c>
      <c r="Q1402" s="26" t="n">
        <v>41.47</v>
      </c>
      <c r="R1402" s="26">
        <f>Q1402*G1402</f>
        <v/>
      </c>
      <c r="S1402" s="26">
        <f>IFERROR(VLOOKUP(E1402*1,Tabla[#All],8,0),0)</f>
        <v/>
      </c>
      <c r="T1402" s="26">
        <f>S1402*G1402</f>
        <v/>
      </c>
      <c r="U1402" s="26">
        <f>R1402-T1402</f>
        <v/>
      </c>
      <c r="V1402" s="26">
        <f>U1402-L1402</f>
        <v/>
      </c>
    </row>
    <row r="1403">
      <c r="A1403" s="11" t="n">
        <v>46217</v>
      </c>
      <c r="B1403" s="1" t="n">
        <v>20062</v>
      </c>
      <c r="C1403" s="1" t="inlineStr">
        <is>
          <t>053</t>
        </is>
      </c>
      <c r="D1403" s="1" t="inlineStr">
        <is>
          <t>243180</t>
        </is>
      </c>
      <c r="E1403" s="1" t="inlineStr">
        <is>
          <t xml:space="preserve">28194767       </t>
        </is>
      </c>
      <c r="F1403" s="5" t="inlineStr">
        <is>
          <t>CAMIONES TEAMSTERZ DE EMERGENCIA</t>
        </is>
      </c>
      <c r="G1403" t="n">
        <v>1</v>
      </c>
      <c r="H1403" s="7" t="n">
        <v>17.9</v>
      </c>
      <c r="I1403" s="7" t="n">
        <v>0</v>
      </c>
      <c r="J1403" s="7" t="n">
        <v>0</v>
      </c>
      <c r="K1403" s="9" t="n">
        <v>0</v>
      </c>
      <c r="L1403" s="10" t="n">
        <v>10.62</v>
      </c>
      <c r="M1403" s="10" t="n">
        <v>1.43</v>
      </c>
      <c r="N1403" t="inlineStr">
        <is>
          <t>1</t>
        </is>
      </c>
      <c r="O1403" t="inlineStr">
        <is>
          <t xml:space="preserve">3 </t>
        </is>
      </c>
      <c r="P1403" t="inlineStr">
        <is>
          <t xml:space="preserve">88849   </t>
        </is>
      </c>
      <c r="Q1403" s="26" t="n">
        <v>10.62</v>
      </c>
      <c r="R1403" s="26">
        <f>Q1403*G1403</f>
        <v/>
      </c>
      <c r="S1403" s="26">
        <f>IFERROR(VLOOKUP(E1403*1,Tabla[#All],8,0),0)</f>
        <v/>
      </c>
      <c r="T1403" s="26">
        <f>S1403*G1403</f>
        <v/>
      </c>
      <c r="U1403" s="26">
        <f>R1403-T1403</f>
        <v/>
      </c>
      <c r="V1403" s="26">
        <f>U1403-L1403</f>
        <v/>
      </c>
    </row>
    <row r="1404">
      <c r="A1404" s="11" t="n">
        <v>46217</v>
      </c>
      <c r="B1404" s="1" t="n">
        <v>20062</v>
      </c>
      <c r="C1404" s="1" t="inlineStr">
        <is>
          <t>053</t>
        </is>
      </c>
      <c r="D1404" s="1" t="inlineStr">
        <is>
          <t>243180</t>
        </is>
      </c>
      <c r="E1404" s="1" t="inlineStr">
        <is>
          <t xml:space="preserve">31959956       </t>
        </is>
      </c>
      <c r="F1404" s="5" t="inlineStr">
        <is>
          <t>TEAMSTERZ CAMION TRANSPORTA ANIMALES SURTIDO</t>
        </is>
      </c>
      <c r="G1404" t="n">
        <v>1</v>
      </c>
      <c r="H1404" s="7" t="n">
        <v>17.9</v>
      </c>
      <c r="I1404" s="7" t="n">
        <v>0</v>
      </c>
      <c r="J1404" s="7" t="n">
        <v>0</v>
      </c>
      <c r="K1404" s="9" t="n">
        <v>0</v>
      </c>
      <c r="L1404" s="10" t="n">
        <v>10.62</v>
      </c>
      <c r="M1404" s="10" t="n">
        <v>1.43</v>
      </c>
      <c r="N1404" t="inlineStr">
        <is>
          <t>1</t>
        </is>
      </c>
      <c r="O1404" t="inlineStr">
        <is>
          <t xml:space="preserve">3 </t>
        </is>
      </c>
      <c r="P1404" t="inlineStr">
        <is>
          <t xml:space="preserve">88849   </t>
        </is>
      </c>
      <c r="Q1404" s="26" t="n">
        <v>10.62</v>
      </c>
      <c r="R1404" s="26">
        <f>Q1404*G1404</f>
        <v/>
      </c>
      <c r="S1404" s="26">
        <f>IFERROR(VLOOKUP(E1404*1,Tabla[#All],8,0),0)</f>
        <v/>
      </c>
      <c r="T1404" s="26">
        <f>S1404*G1404</f>
        <v/>
      </c>
      <c r="U1404" s="26">
        <f>R1404-T1404</f>
        <v/>
      </c>
      <c r="V1404" s="26">
        <f>U1404-L1404</f>
        <v/>
      </c>
    </row>
    <row r="1405">
      <c r="A1405" s="11" t="n">
        <v>46217</v>
      </c>
      <c r="B1405" s="1" t="n">
        <v>20066</v>
      </c>
      <c r="C1405" s="1" t="inlineStr">
        <is>
          <t>052</t>
        </is>
      </c>
      <c r="D1405" s="1" t="inlineStr">
        <is>
          <t>320424</t>
        </is>
      </c>
      <c r="E1405" s="1" t="inlineStr">
        <is>
          <t xml:space="preserve">28194770       </t>
        </is>
      </c>
      <c r="F1405" s="5" t="inlineStr">
        <is>
          <t>AUTOS DE METAL 3 TEAMSTERZ EN BLISTER</t>
        </is>
      </c>
      <c r="G1405" t="n">
        <v>1</v>
      </c>
      <c r="H1405" s="7" t="n">
        <v>6.9</v>
      </c>
      <c r="I1405" s="7" t="n">
        <v>0</v>
      </c>
      <c r="J1405" s="7" t="n">
        <v>0</v>
      </c>
      <c r="K1405" s="9" t="n">
        <v>0</v>
      </c>
      <c r="L1405" s="10" t="n">
        <v>4.1</v>
      </c>
      <c r="M1405" s="10" t="n">
        <v>1.43</v>
      </c>
      <c r="N1405" t="inlineStr">
        <is>
          <t>1</t>
        </is>
      </c>
      <c r="O1405" t="inlineStr">
        <is>
          <t>16</t>
        </is>
      </c>
      <c r="P1405" t="inlineStr">
        <is>
          <t xml:space="preserve">57030   </t>
        </is>
      </c>
      <c r="Q1405" s="26" t="n">
        <v>4.09</v>
      </c>
      <c r="R1405" s="26">
        <f>Q1405*G1405</f>
        <v/>
      </c>
      <c r="S1405" s="26">
        <f>IFERROR(VLOOKUP(E1405*1,Tabla[#All],8,0),0)</f>
        <v/>
      </c>
      <c r="T1405" s="26">
        <f>S1405*G1405</f>
        <v/>
      </c>
      <c r="U1405" s="26">
        <f>R1405-T1405</f>
        <v/>
      </c>
      <c r="V1405" s="26">
        <f>U1405-L1405</f>
        <v/>
      </c>
    </row>
    <row r="1406">
      <c r="A1406" s="11" t="n">
        <v>46217</v>
      </c>
      <c r="B1406" s="1" t="n">
        <v>20066</v>
      </c>
      <c r="C1406" s="1" t="inlineStr">
        <is>
          <t>052</t>
        </is>
      </c>
      <c r="D1406" s="1" t="inlineStr">
        <is>
          <t>320424</t>
        </is>
      </c>
      <c r="E1406" s="1" t="inlineStr">
        <is>
          <t xml:space="preserve">28194770       </t>
        </is>
      </c>
      <c r="F1406" s="5" t="inlineStr">
        <is>
          <t>AUTOS DE METAL 3 TEAMSTERZ EN BLISTER</t>
        </is>
      </c>
      <c r="G1406" t="n">
        <v>1</v>
      </c>
      <c r="H1406" s="7" t="n">
        <v>6.9</v>
      </c>
      <c r="I1406" s="7" t="n">
        <v>0</v>
      </c>
      <c r="J1406" s="7" t="n">
        <v>0</v>
      </c>
      <c r="K1406" s="9" t="n">
        <v>0</v>
      </c>
      <c r="L1406" s="10" t="n">
        <v>4.1</v>
      </c>
      <c r="M1406" s="10" t="n">
        <v>1.43</v>
      </c>
      <c r="N1406" t="inlineStr">
        <is>
          <t>1</t>
        </is>
      </c>
      <c r="O1406" t="inlineStr">
        <is>
          <t>16</t>
        </is>
      </c>
      <c r="P1406" t="inlineStr">
        <is>
          <t xml:space="preserve">57030   </t>
        </is>
      </c>
      <c r="Q1406" s="26" t="n">
        <v>4.09</v>
      </c>
      <c r="R1406" s="26">
        <f>Q1406*G1406</f>
        <v/>
      </c>
      <c r="S1406" s="26">
        <f>IFERROR(VLOOKUP(E1406*1,Tabla[#All],8,0),0)</f>
        <v/>
      </c>
      <c r="T1406" s="26">
        <f>S1406*G1406</f>
        <v/>
      </c>
      <c r="U1406" s="26">
        <f>R1406-T1406</f>
        <v/>
      </c>
      <c r="V1406" s="26">
        <f>U1406-L1406</f>
        <v/>
      </c>
    </row>
    <row r="1407">
      <c r="A1407" s="11" t="n">
        <v>46217</v>
      </c>
      <c r="B1407" s="1" t="n">
        <v>20073</v>
      </c>
      <c r="C1407" s="1" t="inlineStr">
        <is>
          <t>045</t>
        </is>
      </c>
      <c r="D1407" s="1" t="inlineStr">
        <is>
          <t>149593</t>
        </is>
      </c>
      <c r="E1407" s="1" t="inlineStr">
        <is>
          <t xml:space="preserve">28194770       </t>
        </is>
      </c>
      <c r="F1407" s="5" t="inlineStr">
        <is>
          <t>AUTOS DE METAL 3 TEAMSTERZ EN BLISTER</t>
        </is>
      </c>
      <c r="G1407" t="n">
        <v>1</v>
      </c>
      <c r="H1407" s="7" t="n">
        <v>6.9</v>
      </c>
      <c r="I1407" s="7" t="n">
        <v>0</v>
      </c>
      <c r="J1407" s="7" t="n">
        <v>0</v>
      </c>
      <c r="K1407" s="9" t="n">
        <v>0</v>
      </c>
      <c r="L1407" s="10" t="n">
        <v>4.1</v>
      </c>
      <c r="M1407" s="10" t="n">
        <v>1.43</v>
      </c>
      <c r="N1407" t="inlineStr">
        <is>
          <t>1</t>
        </is>
      </c>
      <c r="O1407" t="inlineStr">
        <is>
          <t xml:space="preserve">2 </t>
        </is>
      </c>
      <c r="P1407" t="inlineStr">
        <is>
          <t xml:space="preserve">57886   </t>
        </is>
      </c>
      <c r="Q1407" s="26" t="n">
        <v>4.09</v>
      </c>
      <c r="R1407" s="26">
        <f>Q1407*G1407</f>
        <v/>
      </c>
      <c r="S1407" s="26">
        <f>IFERROR(VLOOKUP(E1407*1,Tabla[#All],8,0),0)</f>
        <v/>
      </c>
      <c r="T1407" s="26">
        <f>S1407*G1407</f>
        <v/>
      </c>
      <c r="U1407" s="26">
        <f>R1407-T1407</f>
        <v/>
      </c>
      <c r="V1407" s="26">
        <f>U1407-L1407</f>
        <v/>
      </c>
    </row>
    <row r="1408">
      <c r="A1408" s="11" t="n">
        <v>46217</v>
      </c>
      <c r="B1408" s="1" t="n">
        <v>20073</v>
      </c>
      <c r="C1408" s="1" t="inlineStr">
        <is>
          <t>045</t>
        </is>
      </c>
      <c r="D1408" s="1" t="inlineStr">
        <is>
          <t>149597</t>
        </is>
      </c>
      <c r="E1408" s="1" t="inlineStr">
        <is>
          <t xml:space="preserve">32457099       </t>
        </is>
      </c>
      <c r="F1408" s="5" t="inlineStr">
        <is>
          <t>TMZ BEAST MACHINES MONSTER JAWS A FRICCION BLISTER</t>
        </is>
      </c>
      <c r="G1408" t="n">
        <v>1</v>
      </c>
      <c r="H1408" s="7" t="n">
        <v>19.9</v>
      </c>
      <c r="I1408" s="7" t="n">
        <v>0</v>
      </c>
      <c r="J1408" s="7" t="n">
        <v>0</v>
      </c>
      <c r="K1408" s="9" t="n">
        <v>0</v>
      </c>
      <c r="L1408" s="10" t="n">
        <v>11.8</v>
      </c>
      <c r="M1408" s="10" t="n">
        <v>1.43</v>
      </c>
      <c r="N1408" t="inlineStr">
        <is>
          <t>1</t>
        </is>
      </c>
      <c r="O1408" t="inlineStr">
        <is>
          <t>16</t>
        </is>
      </c>
      <c r="P1408" t="inlineStr">
        <is>
          <t xml:space="preserve">57886   </t>
        </is>
      </c>
      <c r="Q1408" s="26" t="n">
        <v>11.81</v>
      </c>
      <c r="R1408" s="26">
        <f>Q1408*G1408</f>
        <v/>
      </c>
      <c r="S1408" s="26">
        <f>IFERROR(VLOOKUP(E1408*1,Tabla[#All],8,0),0)</f>
        <v/>
      </c>
      <c r="T1408" s="26">
        <f>S1408*G1408</f>
        <v/>
      </c>
      <c r="U1408" s="26">
        <f>R1408-T1408</f>
        <v/>
      </c>
      <c r="V1408" s="26">
        <f>U1408-L1408</f>
        <v/>
      </c>
    </row>
    <row r="1409">
      <c r="A1409" s="11" t="n">
        <v>46217</v>
      </c>
      <c r="B1409" s="1" t="n">
        <v>20073</v>
      </c>
      <c r="C1409" s="1" t="inlineStr">
        <is>
          <t>046</t>
        </is>
      </c>
      <c r="D1409" s="1" t="inlineStr">
        <is>
          <t>207585</t>
        </is>
      </c>
      <c r="E1409" s="1" t="inlineStr">
        <is>
          <t xml:space="preserve">28194770       </t>
        </is>
      </c>
      <c r="F1409" s="5" t="inlineStr">
        <is>
          <t>AUTOS DE METAL 3 TEAMSTERZ EN BLISTER</t>
        </is>
      </c>
      <c r="G1409" t="n">
        <v>1</v>
      </c>
      <c r="H1409" s="7" t="n">
        <v>6.9</v>
      </c>
      <c r="I1409" s="7" t="n">
        <v>0</v>
      </c>
      <c r="J1409" s="7" t="n">
        <v>0</v>
      </c>
      <c r="K1409" s="9" t="n">
        <v>0</v>
      </c>
      <c r="L1409" s="10" t="n">
        <v>4.1</v>
      </c>
      <c r="M1409" s="10" t="n">
        <v>1.43</v>
      </c>
      <c r="N1409" t="inlineStr">
        <is>
          <t>1</t>
        </is>
      </c>
      <c r="O1409" t="inlineStr">
        <is>
          <t>16</t>
        </is>
      </c>
      <c r="P1409" t="inlineStr">
        <is>
          <t xml:space="preserve">74879   </t>
        </is>
      </c>
      <c r="Q1409" s="26" t="n">
        <v>4.09</v>
      </c>
      <c r="R1409" s="26">
        <f>Q1409*G1409</f>
        <v/>
      </c>
      <c r="S1409" s="26">
        <f>IFERROR(VLOOKUP(E1409*1,Tabla[#All],8,0),0)</f>
        <v/>
      </c>
      <c r="T1409" s="26">
        <f>S1409*G1409</f>
        <v/>
      </c>
      <c r="U1409" s="26">
        <f>R1409-T1409</f>
        <v/>
      </c>
      <c r="V1409" s="26">
        <f>U1409-L1409</f>
        <v/>
      </c>
    </row>
    <row r="1410">
      <c r="A1410" s="11" t="n">
        <v>46217</v>
      </c>
      <c r="B1410" s="1" t="n">
        <v>20074</v>
      </c>
      <c r="C1410" s="1" t="inlineStr">
        <is>
          <t>039</t>
        </is>
      </c>
      <c r="D1410" s="1" t="inlineStr">
        <is>
          <t xml:space="preserve">30742 </t>
        </is>
      </c>
      <c r="E1410" s="1" t="inlineStr">
        <is>
          <t xml:space="preserve">32457099       </t>
        </is>
      </c>
      <c r="F1410" s="5" t="inlineStr">
        <is>
          <t>TMZ BEAST MACHINES MONSTER JAWS A FRICCION BLISTER</t>
        </is>
      </c>
      <c r="G1410" t="n">
        <v>1</v>
      </c>
      <c r="H1410" s="7" t="n">
        <v>19.9</v>
      </c>
      <c r="I1410" s="7" t="n">
        <v>0</v>
      </c>
      <c r="J1410" s="7" t="n">
        <v>0</v>
      </c>
      <c r="K1410" s="9" t="n">
        <v>0</v>
      </c>
      <c r="L1410" s="10" t="n">
        <v>11.8</v>
      </c>
      <c r="M1410" s="10" t="n">
        <v>1.43</v>
      </c>
      <c r="N1410" t="inlineStr">
        <is>
          <t>1</t>
        </is>
      </c>
      <c r="O1410" t="inlineStr">
        <is>
          <t>16</t>
        </is>
      </c>
      <c r="P1410" t="inlineStr">
        <is>
          <t xml:space="preserve">250534  </t>
        </is>
      </c>
      <c r="Q1410" s="26" t="n">
        <v>11.81</v>
      </c>
      <c r="R1410" s="26">
        <f>Q1410*G1410</f>
        <v/>
      </c>
      <c r="S1410" s="26">
        <f>IFERROR(VLOOKUP(E1410*1,Tabla[#All],8,0),0)</f>
        <v/>
      </c>
      <c r="T1410" s="26">
        <f>S1410*G1410</f>
        <v/>
      </c>
      <c r="U1410" s="26">
        <f>R1410-T1410</f>
        <v/>
      </c>
      <c r="V1410" s="26">
        <f>U1410-L1410</f>
        <v/>
      </c>
    </row>
    <row r="1411">
      <c r="A1411" s="11" t="n">
        <v>46217</v>
      </c>
      <c r="B1411" s="1" t="n">
        <v>20074</v>
      </c>
      <c r="C1411" s="1" t="inlineStr">
        <is>
          <t>044</t>
        </is>
      </c>
      <c r="D1411" s="1" t="inlineStr">
        <is>
          <t xml:space="preserve">30330 </t>
        </is>
      </c>
      <c r="E1411" s="1" t="inlineStr">
        <is>
          <t xml:space="preserve">28194770       </t>
        </is>
      </c>
      <c r="F1411" s="5" t="inlineStr">
        <is>
          <t>AUTOS DE METAL 3 TEAMSTERZ EN BLISTER</t>
        </is>
      </c>
      <c r="G1411" t="n">
        <v>1</v>
      </c>
      <c r="H1411" s="7" t="n">
        <v>6.9</v>
      </c>
      <c r="I1411" s="7" t="n">
        <v>0</v>
      </c>
      <c r="J1411" s="7" t="n">
        <v>0</v>
      </c>
      <c r="K1411" s="9" t="n">
        <v>0</v>
      </c>
      <c r="L1411" s="10" t="n">
        <v>4.1</v>
      </c>
      <c r="M1411" s="10" t="n">
        <v>1.43</v>
      </c>
      <c r="N1411" t="inlineStr">
        <is>
          <t>1</t>
        </is>
      </c>
      <c r="O1411" t="inlineStr">
        <is>
          <t>16</t>
        </is>
      </c>
      <c r="P1411" t="inlineStr">
        <is>
          <t xml:space="preserve">104416  </t>
        </is>
      </c>
      <c r="Q1411" s="26" t="n">
        <v>4.09</v>
      </c>
      <c r="R1411" s="26">
        <f>Q1411*G1411</f>
        <v/>
      </c>
      <c r="S1411" s="26">
        <f>IFERROR(VLOOKUP(E1411*1,Tabla[#All],8,0),0)</f>
        <v/>
      </c>
      <c r="T1411" s="26">
        <f>S1411*G1411</f>
        <v/>
      </c>
      <c r="U1411" s="26">
        <f>R1411-T1411</f>
        <v/>
      </c>
      <c r="V1411" s="26">
        <f>U1411-L1411</f>
        <v/>
      </c>
    </row>
    <row r="1412">
      <c r="A1412" s="11" t="n">
        <v>46217</v>
      </c>
      <c r="B1412" s="1" t="n">
        <v>20074</v>
      </c>
      <c r="C1412" s="1" t="inlineStr">
        <is>
          <t>048</t>
        </is>
      </c>
      <c r="D1412" s="1" t="inlineStr">
        <is>
          <t>145056</t>
        </is>
      </c>
      <c r="E1412" s="1" t="inlineStr">
        <is>
          <t xml:space="preserve">28194770       </t>
        </is>
      </c>
      <c r="F1412" s="5" t="inlineStr">
        <is>
          <t>AUTOS DE METAL 3 TEAMSTERZ EN BLISTER</t>
        </is>
      </c>
      <c r="G1412" t="n">
        <v>1</v>
      </c>
      <c r="H1412" s="7" t="n">
        <v>6.9</v>
      </c>
      <c r="I1412" s="7" t="n">
        <v>0</v>
      </c>
      <c r="J1412" s="7" t="n">
        <v>0</v>
      </c>
      <c r="K1412" s="9" t="n">
        <v>0</v>
      </c>
      <c r="L1412" s="10" t="n">
        <v>4.1</v>
      </c>
      <c r="M1412" s="10" t="n">
        <v>1.43</v>
      </c>
      <c r="N1412" t="inlineStr">
        <is>
          <t>1</t>
        </is>
      </c>
      <c r="O1412" t="inlineStr">
        <is>
          <t>16</t>
        </is>
      </c>
      <c r="P1412" t="inlineStr">
        <is>
          <t xml:space="preserve">248567  </t>
        </is>
      </c>
      <c r="Q1412" s="26" t="n">
        <v>4.09</v>
      </c>
      <c r="R1412" s="26">
        <f>Q1412*G1412</f>
        <v/>
      </c>
      <c r="S1412" s="26">
        <f>IFERROR(VLOOKUP(E1412*1,Tabla[#All],8,0),0)</f>
        <v/>
      </c>
      <c r="T1412" s="26">
        <f>S1412*G1412</f>
        <v/>
      </c>
      <c r="U1412" s="26">
        <f>R1412-T1412</f>
        <v/>
      </c>
      <c r="V1412" s="26">
        <f>U1412-L1412</f>
        <v/>
      </c>
    </row>
    <row r="1413">
      <c r="A1413" s="11" t="n">
        <v>46217</v>
      </c>
      <c r="B1413" s="1" t="n">
        <v>20074</v>
      </c>
      <c r="C1413" s="1" t="inlineStr">
        <is>
          <t>048</t>
        </is>
      </c>
      <c r="D1413" s="1" t="inlineStr">
        <is>
          <t>145056</t>
        </is>
      </c>
      <c r="E1413" s="1" t="inlineStr">
        <is>
          <t xml:space="preserve">28194770       </t>
        </is>
      </c>
      <c r="F1413" s="5" t="inlineStr">
        <is>
          <t>AUTOS DE METAL 3 TEAMSTERZ EN BLISTER</t>
        </is>
      </c>
      <c r="G1413" t="n">
        <v>1</v>
      </c>
      <c r="H1413" s="7" t="n">
        <v>6.9</v>
      </c>
      <c r="I1413" s="7" t="n">
        <v>0</v>
      </c>
      <c r="J1413" s="7" t="n">
        <v>0</v>
      </c>
      <c r="K1413" s="9" t="n">
        <v>0</v>
      </c>
      <c r="L1413" s="10" t="n">
        <v>4.1</v>
      </c>
      <c r="M1413" s="10" t="n">
        <v>1.43</v>
      </c>
      <c r="N1413" t="inlineStr">
        <is>
          <t>1</t>
        </is>
      </c>
      <c r="O1413" t="inlineStr">
        <is>
          <t>16</t>
        </is>
      </c>
      <c r="P1413" t="inlineStr">
        <is>
          <t xml:space="preserve">248567  </t>
        </is>
      </c>
      <c r="Q1413" s="26" t="n">
        <v>4.09</v>
      </c>
      <c r="R1413" s="26">
        <f>Q1413*G1413</f>
        <v/>
      </c>
      <c r="S1413" s="26">
        <f>IFERROR(VLOOKUP(E1413*1,Tabla[#All],8,0),0)</f>
        <v/>
      </c>
      <c r="T1413" s="26">
        <f>S1413*G1413</f>
        <v/>
      </c>
      <c r="U1413" s="26">
        <f>R1413-T1413</f>
        <v/>
      </c>
      <c r="V1413" s="26">
        <f>U1413-L1413</f>
        <v/>
      </c>
    </row>
    <row r="1414">
      <c r="A1414" s="11" t="n">
        <v>46217</v>
      </c>
      <c r="B1414" s="1" t="n">
        <v>20074</v>
      </c>
      <c r="C1414" s="1" t="inlineStr">
        <is>
          <t>048</t>
        </is>
      </c>
      <c r="D1414" s="1" t="inlineStr">
        <is>
          <t>145078</t>
        </is>
      </c>
      <c r="E1414" s="1" t="inlineStr">
        <is>
          <t xml:space="preserve">31959961       </t>
        </is>
      </c>
      <c r="F1414" s="5" t="inlineStr">
        <is>
          <t>TEAMSTERZ CAMBIA DE COLOR PACK DE 3 AUTOS</t>
        </is>
      </c>
      <c r="G1414" t="n">
        <v>1</v>
      </c>
      <c r="H1414" s="7" t="n">
        <v>49.9</v>
      </c>
      <c r="I1414" s="7" t="n">
        <v>0</v>
      </c>
      <c r="J1414" s="7" t="n">
        <v>0</v>
      </c>
      <c r="K1414" s="9" t="n">
        <v>0</v>
      </c>
      <c r="L1414" s="10" t="n">
        <v>29.6</v>
      </c>
      <c r="M1414" s="10" t="n">
        <v>1.43</v>
      </c>
      <c r="N1414" t="inlineStr">
        <is>
          <t>1</t>
        </is>
      </c>
      <c r="O1414" t="inlineStr">
        <is>
          <t xml:space="preserve">2 </t>
        </is>
      </c>
      <c r="P1414" t="inlineStr">
        <is>
          <t xml:space="preserve">248567  </t>
        </is>
      </c>
      <c r="Q1414" s="26" t="n">
        <v>29.6</v>
      </c>
      <c r="R1414" s="26">
        <f>Q1414*G1414</f>
        <v/>
      </c>
      <c r="S1414" s="26">
        <f>IFERROR(VLOOKUP(E1414*1,Tabla[#All],8,0),0)</f>
        <v/>
      </c>
      <c r="T1414" s="26">
        <f>S1414*G1414</f>
        <v/>
      </c>
      <c r="U1414" s="26">
        <f>R1414-T1414</f>
        <v/>
      </c>
      <c r="V1414" s="26">
        <f>U1414-L1414</f>
        <v/>
      </c>
    </row>
    <row r="1415">
      <c r="A1415" s="11" t="n">
        <v>46217</v>
      </c>
      <c r="B1415" s="1" t="n">
        <v>20077</v>
      </c>
      <c r="C1415" s="1" t="inlineStr">
        <is>
          <t>038</t>
        </is>
      </c>
      <c r="D1415" s="1" t="inlineStr">
        <is>
          <t>111320</t>
        </is>
      </c>
      <c r="E1415" s="1" t="inlineStr">
        <is>
          <t xml:space="preserve">34840526       </t>
        </is>
      </c>
      <c r="F1415" s="5" t="inlineStr">
        <is>
          <t>NENUCO ABRACITOS</t>
        </is>
      </c>
      <c r="G1415" t="n">
        <v>1</v>
      </c>
      <c r="H1415" s="7" t="n">
        <v>119</v>
      </c>
      <c r="I1415" s="7" t="n">
        <v>0</v>
      </c>
      <c r="J1415" s="7" t="n">
        <v>0</v>
      </c>
      <c r="K1415" s="9" t="n">
        <v>0</v>
      </c>
      <c r="L1415" s="10" t="n">
        <v>70.59999999999999</v>
      </c>
      <c r="M1415" s="10" t="n">
        <v>1.43</v>
      </c>
      <c r="N1415" t="inlineStr">
        <is>
          <t>1</t>
        </is>
      </c>
      <c r="O1415" t="inlineStr">
        <is>
          <t xml:space="preserve">3 </t>
        </is>
      </c>
      <c r="P1415" t="inlineStr">
        <is>
          <t xml:space="preserve">43583   </t>
        </is>
      </c>
      <c r="Q1415" s="26" t="n">
        <v>70.59</v>
      </c>
      <c r="R1415" s="26">
        <f>Q1415*G1415</f>
        <v/>
      </c>
      <c r="S1415" s="26">
        <f>IFERROR(VLOOKUP(E1415*1,Tabla[#All],8,0),0)</f>
        <v/>
      </c>
      <c r="T1415" s="26">
        <f>S1415*G1415</f>
        <v/>
      </c>
      <c r="U1415" s="26">
        <f>R1415-T1415</f>
        <v/>
      </c>
      <c r="V1415" s="26">
        <f>U1415-L1415</f>
        <v/>
      </c>
    </row>
    <row r="1416">
      <c r="A1416" s="11" t="n">
        <v>46217</v>
      </c>
      <c r="B1416" s="1" t="n">
        <v>20077</v>
      </c>
      <c r="C1416" s="1" t="inlineStr">
        <is>
          <t>802</t>
        </is>
      </c>
      <c r="D1416" s="1" t="inlineStr">
        <is>
          <t xml:space="preserve">6373  </t>
        </is>
      </c>
      <c r="E1416" s="1" t="inlineStr">
        <is>
          <t xml:space="preserve">35685067       </t>
        </is>
      </c>
      <c r="F1416" s="5" t="inlineStr">
        <is>
          <t>HOT WHEELS POWER SET 3 EN 1</t>
        </is>
      </c>
      <c r="G1416" t="n">
        <v>1</v>
      </c>
      <c r="H1416" s="7" t="n">
        <v>49.9</v>
      </c>
      <c r="I1416" s="7" t="n">
        <v>0</v>
      </c>
      <c r="J1416" s="7" t="n">
        <v>0</v>
      </c>
      <c r="K1416" s="9" t="n">
        <v>0</v>
      </c>
      <c r="L1416" s="10" t="n">
        <v>29.6</v>
      </c>
      <c r="M1416" s="10" t="n">
        <v>1.43</v>
      </c>
      <c r="N1416" t="inlineStr">
        <is>
          <t>1</t>
        </is>
      </c>
      <c r="O1416" t="inlineStr">
        <is>
          <t>16</t>
        </is>
      </c>
      <c r="P1416" t="inlineStr">
        <is>
          <t xml:space="preserve">0       </t>
        </is>
      </c>
      <c r="Q1416" s="26" t="n">
        <v>29.6</v>
      </c>
      <c r="R1416" s="26">
        <f>Q1416*G1416</f>
        <v/>
      </c>
      <c r="S1416" s="26">
        <f>IFERROR(VLOOKUP(E1416*1,Tabla[#All],8,0),0)</f>
        <v/>
      </c>
      <c r="T1416" s="26">
        <f>S1416*G1416</f>
        <v/>
      </c>
      <c r="U1416" s="26">
        <f>R1416-T1416</f>
        <v/>
      </c>
      <c r="V1416" s="26">
        <f>U1416-L1416</f>
        <v/>
      </c>
    </row>
    <row r="1417">
      <c r="A1417" s="11" t="n">
        <v>46217</v>
      </c>
      <c r="B1417" s="1" t="n">
        <v>20079</v>
      </c>
      <c r="C1417" s="1" t="inlineStr">
        <is>
          <t>051</t>
        </is>
      </c>
      <c r="D1417" s="1" t="inlineStr">
        <is>
          <t>235939</t>
        </is>
      </c>
      <c r="E1417" s="1" t="inlineStr">
        <is>
          <t xml:space="preserve">28194780       </t>
        </is>
      </c>
      <c r="F1417" s="5" t="inlineStr">
        <is>
          <t>TROMPO BATALLA INFINITY NADO PLSTICO SURTIDO</t>
        </is>
      </c>
      <c r="G1417" t="n">
        <v>1</v>
      </c>
      <c r="H1417" s="7" t="n">
        <v>19.9</v>
      </c>
      <c r="I1417" s="7" t="n">
        <v>0</v>
      </c>
      <c r="J1417" s="7" t="n">
        <v>0</v>
      </c>
      <c r="K1417" s="9" t="n">
        <v>0</v>
      </c>
      <c r="L1417" s="10" t="n">
        <v>11.8</v>
      </c>
      <c r="M1417" s="10" t="n">
        <v>1.43</v>
      </c>
      <c r="N1417" t="inlineStr">
        <is>
          <t>1</t>
        </is>
      </c>
      <c r="O1417" t="inlineStr">
        <is>
          <t>16</t>
        </is>
      </c>
      <c r="P1417" t="inlineStr">
        <is>
          <t xml:space="preserve">47624   </t>
        </is>
      </c>
      <c r="Q1417" s="26" t="n">
        <v>11.81</v>
      </c>
      <c r="R1417" s="26">
        <f>Q1417*G1417</f>
        <v/>
      </c>
      <c r="S1417" s="26">
        <f>IFERROR(VLOOKUP(E1417*1,Tabla[#All],8,0),0)</f>
        <v/>
      </c>
      <c r="T1417" s="26">
        <f>S1417*G1417</f>
        <v/>
      </c>
      <c r="U1417" s="26">
        <f>R1417-T1417</f>
        <v/>
      </c>
      <c r="V1417" s="26">
        <f>U1417-L1417</f>
        <v/>
      </c>
    </row>
    <row r="1418">
      <c r="A1418" s="11" t="n">
        <v>46217</v>
      </c>
      <c r="B1418" s="1" t="n">
        <v>20079</v>
      </c>
      <c r="C1418" s="1" t="inlineStr">
        <is>
          <t>051</t>
        </is>
      </c>
      <c r="D1418" s="1" t="inlineStr">
        <is>
          <t>235939</t>
        </is>
      </c>
      <c r="E1418" s="1" t="inlineStr">
        <is>
          <t xml:space="preserve">28194781       </t>
        </is>
      </c>
      <c r="F1418" s="5" t="inlineStr">
        <is>
          <t>TROMPO BATALLA INFINITY NADO SERIE V CLASICA SURTI</t>
        </is>
      </c>
      <c r="G1418" t="n">
        <v>1</v>
      </c>
      <c r="H1418" s="7" t="n">
        <v>59.9</v>
      </c>
      <c r="I1418" s="7" t="n">
        <v>0</v>
      </c>
      <c r="J1418" s="7" t="n">
        <v>0</v>
      </c>
      <c r="K1418" s="9" t="n">
        <v>0</v>
      </c>
      <c r="L1418" s="10" t="n">
        <v>35.53</v>
      </c>
      <c r="M1418" s="10" t="n">
        <v>1.43</v>
      </c>
      <c r="N1418" t="inlineStr">
        <is>
          <t>1</t>
        </is>
      </c>
      <c r="O1418" t="inlineStr">
        <is>
          <t>16</t>
        </is>
      </c>
      <c r="P1418" t="inlineStr">
        <is>
          <t xml:space="preserve">47624   </t>
        </is>
      </c>
      <c r="Q1418" s="26" t="n">
        <v>35.53</v>
      </c>
      <c r="R1418" s="26">
        <f>Q1418*G1418</f>
        <v/>
      </c>
      <c r="S1418" s="26">
        <f>IFERROR(VLOOKUP(E1418*1,Tabla[#All],8,0),0)</f>
        <v/>
      </c>
      <c r="T1418" s="26">
        <f>S1418*G1418</f>
        <v/>
      </c>
      <c r="U1418" s="26">
        <f>R1418-T1418</f>
        <v/>
      </c>
      <c r="V1418" s="26">
        <f>U1418-L1418</f>
        <v/>
      </c>
    </row>
    <row r="1419">
      <c r="A1419" s="11" t="n">
        <v>46217</v>
      </c>
      <c r="B1419" s="1" t="n">
        <v>20080</v>
      </c>
      <c r="C1419" s="1" t="inlineStr">
        <is>
          <t>029</t>
        </is>
      </c>
      <c r="D1419" s="1" t="inlineStr">
        <is>
          <t>225531</t>
        </is>
      </c>
      <c r="E1419" s="1" t="inlineStr">
        <is>
          <t xml:space="preserve">28194770       </t>
        </is>
      </c>
      <c r="F1419" s="5" t="inlineStr">
        <is>
          <t>AUTOS DE METAL 3 TEAMSTERZ EN BLISTER</t>
        </is>
      </c>
      <c r="G1419" t="n">
        <v>1</v>
      </c>
      <c r="H1419" s="7" t="n">
        <v>6.9</v>
      </c>
      <c r="I1419" s="7" t="n">
        <v>0</v>
      </c>
      <c r="J1419" s="7" t="n">
        <v>0</v>
      </c>
      <c r="K1419" s="9" t="n">
        <v>0</v>
      </c>
      <c r="L1419" s="10" t="n">
        <v>4.1</v>
      </c>
      <c r="M1419" s="10" t="n">
        <v>1.43</v>
      </c>
      <c r="N1419" t="inlineStr">
        <is>
          <t>1</t>
        </is>
      </c>
      <c r="O1419" t="inlineStr">
        <is>
          <t>16</t>
        </is>
      </c>
      <c r="P1419" t="inlineStr">
        <is>
          <t xml:space="preserve">66621   </t>
        </is>
      </c>
      <c r="Q1419" s="26" t="n">
        <v>4.09</v>
      </c>
      <c r="R1419" s="26">
        <f>Q1419*G1419</f>
        <v/>
      </c>
      <c r="S1419" s="26">
        <f>IFERROR(VLOOKUP(E1419*1,Tabla[#All],8,0),0)</f>
        <v/>
      </c>
      <c r="T1419" s="26">
        <f>S1419*G1419</f>
        <v/>
      </c>
      <c r="U1419" s="26">
        <f>R1419-T1419</f>
        <v/>
      </c>
      <c r="V1419" s="26">
        <f>U1419-L1419</f>
        <v/>
      </c>
    </row>
    <row r="1420">
      <c r="A1420" s="11" t="n">
        <v>46217</v>
      </c>
      <c r="B1420" s="1" t="n">
        <v>20080</v>
      </c>
      <c r="C1420" s="1" t="inlineStr">
        <is>
          <t>500</t>
        </is>
      </c>
      <c r="D1420" s="1" t="inlineStr">
        <is>
          <t xml:space="preserve">3730  </t>
        </is>
      </c>
      <c r="E1420" s="1" t="inlineStr">
        <is>
          <t xml:space="preserve">28194767       </t>
        </is>
      </c>
      <c r="F1420" s="5" t="inlineStr">
        <is>
          <t>CAMIONES TEAMSTERZ DE EMERGENCIA</t>
        </is>
      </c>
      <c r="G1420" t="n">
        <v>1</v>
      </c>
      <c r="H1420" s="7" t="n">
        <v>17.9</v>
      </c>
      <c r="I1420" s="7" t="n">
        <v>0</v>
      </c>
      <c r="J1420" s="7" t="n">
        <v>0</v>
      </c>
      <c r="K1420" s="9" t="n">
        <v>0</v>
      </c>
      <c r="L1420" s="10" t="n">
        <v>10.62</v>
      </c>
      <c r="M1420" s="10" t="n">
        <v>1.43</v>
      </c>
      <c r="N1420" t="inlineStr">
        <is>
          <t>1</t>
        </is>
      </c>
      <c r="O1420" t="inlineStr">
        <is>
          <t>16</t>
        </is>
      </c>
      <c r="P1420" t="inlineStr">
        <is>
          <t xml:space="preserve">66829   </t>
        </is>
      </c>
      <c r="Q1420" s="26" t="n">
        <v>10.62</v>
      </c>
      <c r="R1420" s="26">
        <f>Q1420*G1420</f>
        <v/>
      </c>
      <c r="S1420" s="26">
        <f>IFERROR(VLOOKUP(E1420*1,Tabla[#All],8,0),0)</f>
        <v/>
      </c>
      <c r="T1420" s="26">
        <f>S1420*G1420</f>
        <v/>
      </c>
      <c r="U1420" s="26">
        <f>R1420-T1420</f>
        <v/>
      </c>
      <c r="V1420" s="26">
        <f>U1420-L1420</f>
        <v/>
      </c>
    </row>
    <row r="1421">
      <c r="A1421" s="11" t="n">
        <v>46217</v>
      </c>
      <c r="B1421" s="1" t="n">
        <v>20095</v>
      </c>
      <c r="C1421" s="1" t="inlineStr">
        <is>
          <t>044</t>
        </is>
      </c>
      <c r="D1421" s="1" t="inlineStr">
        <is>
          <t xml:space="preserve">93719 </t>
        </is>
      </c>
      <c r="E1421" s="1" t="inlineStr">
        <is>
          <t xml:space="preserve">28194770       </t>
        </is>
      </c>
      <c r="F1421" s="5" t="inlineStr">
        <is>
          <t>AUTOS DE METAL 3 TEAMSTERZ EN BLISTER</t>
        </is>
      </c>
      <c r="G1421" t="n">
        <v>1</v>
      </c>
      <c r="H1421" s="7" t="n">
        <v>6.9</v>
      </c>
      <c r="I1421" s="7" t="n">
        <v>0</v>
      </c>
      <c r="J1421" s="7" t="n">
        <v>0</v>
      </c>
      <c r="K1421" s="9" t="n">
        <v>0</v>
      </c>
      <c r="L1421" s="10" t="n">
        <v>4.1</v>
      </c>
      <c r="M1421" s="10" t="n">
        <v>1.43</v>
      </c>
      <c r="N1421" t="inlineStr">
        <is>
          <t>1</t>
        </is>
      </c>
      <c r="O1421" t="inlineStr">
        <is>
          <t xml:space="preserve">3 </t>
        </is>
      </c>
      <c r="P1421" t="inlineStr">
        <is>
          <t xml:space="preserve">241955  </t>
        </is>
      </c>
      <c r="Q1421" s="26" t="n">
        <v>4.09</v>
      </c>
      <c r="R1421" s="26">
        <f>Q1421*G1421</f>
        <v/>
      </c>
      <c r="S1421" s="26">
        <f>IFERROR(VLOOKUP(E1421*1,Tabla[#All],8,0),0)</f>
        <v/>
      </c>
      <c r="T1421" s="26">
        <f>S1421*G1421</f>
        <v/>
      </c>
      <c r="U1421" s="26">
        <f>R1421-T1421</f>
        <v/>
      </c>
      <c r="V1421" s="26">
        <f>U1421-L1421</f>
        <v/>
      </c>
    </row>
    <row r="1422">
      <c r="A1422" s="11" t="n">
        <v>46218</v>
      </c>
      <c r="B1422" s="1" t="n">
        <v>20021</v>
      </c>
      <c r="C1422" s="1" t="inlineStr">
        <is>
          <t>069</t>
        </is>
      </c>
      <c r="D1422" s="1" t="inlineStr">
        <is>
          <t>129622</t>
        </is>
      </c>
      <c r="E1422" s="1" t="inlineStr">
        <is>
          <t xml:space="preserve">28194780       </t>
        </is>
      </c>
      <c r="F1422" s="5" t="inlineStr">
        <is>
          <t>TROMPO BATALLA INFINITY NADO PLSTICO SURTIDO</t>
        </is>
      </c>
      <c r="G1422" t="n">
        <v>1</v>
      </c>
      <c r="H1422" s="7" t="n">
        <v>19.9</v>
      </c>
      <c r="I1422" s="7" t="n">
        <v>0</v>
      </c>
      <c r="J1422" s="7" t="n">
        <v>0</v>
      </c>
      <c r="K1422" s="9" t="n">
        <v>0</v>
      </c>
      <c r="L1422" s="10" t="n">
        <v>11.8</v>
      </c>
      <c r="M1422" s="10" t="n">
        <v>1.43</v>
      </c>
      <c r="N1422" t="inlineStr">
        <is>
          <t>1</t>
        </is>
      </c>
      <c r="O1422" t="inlineStr">
        <is>
          <t xml:space="preserve">2 </t>
        </is>
      </c>
      <c r="P1422" t="inlineStr">
        <is>
          <t xml:space="preserve">94940   </t>
        </is>
      </c>
      <c r="Q1422" s="26" t="n">
        <v>11.81</v>
      </c>
      <c r="R1422" s="26">
        <f>Q1422*G1422</f>
        <v/>
      </c>
      <c r="S1422" s="26">
        <f>IFERROR(VLOOKUP(E1422*1,Tabla[#All],8,0),0)</f>
        <v/>
      </c>
      <c r="T1422" s="26">
        <f>S1422*G1422</f>
        <v/>
      </c>
      <c r="U1422" s="26">
        <f>R1422-T1422</f>
        <v/>
      </c>
      <c r="V1422" s="26">
        <f>U1422-L1422</f>
        <v/>
      </c>
    </row>
    <row r="1423">
      <c r="A1423" s="11" t="n">
        <v>46218</v>
      </c>
      <c r="B1423" s="1" t="n">
        <v>20023</v>
      </c>
      <c r="C1423" s="1" t="inlineStr">
        <is>
          <t>088</t>
        </is>
      </c>
      <c r="D1423" s="1" t="inlineStr">
        <is>
          <t>130463</t>
        </is>
      </c>
      <c r="E1423" s="1" t="inlineStr">
        <is>
          <t xml:space="preserve">28194765       </t>
        </is>
      </c>
      <c r="F1423" s="5" t="inlineStr">
        <is>
          <t>PLAYSET COLOR CHANGE TIBURN TEAMSTERZ  1 AUTITO</t>
        </is>
      </c>
      <c r="G1423" t="n">
        <v>1</v>
      </c>
      <c r="H1423" s="7" t="n">
        <v>79.90000000000001</v>
      </c>
      <c r="I1423" s="7" t="n">
        <v>0</v>
      </c>
      <c r="J1423" s="7" t="n">
        <v>0</v>
      </c>
      <c r="K1423" s="9" t="n">
        <v>0</v>
      </c>
      <c r="L1423" s="10" t="n">
        <v>47.4</v>
      </c>
      <c r="M1423" s="10" t="n">
        <v>1.43</v>
      </c>
      <c r="N1423" t="inlineStr">
        <is>
          <t>1</t>
        </is>
      </c>
      <c r="O1423" t="inlineStr">
        <is>
          <t>16</t>
        </is>
      </c>
      <c r="P1423" t="inlineStr">
        <is>
          <t xml:space="preserve">234849  </t>
        </is>
      </c>
      <c r="Q1423" s="26" t="n">
        <v>47.4</v>
      </c>
      <c r="R1423" s="26">
        <f>Q1423*G1423</f>
        <v/>
      </c>
      <c r="S1423" s="26">
        <f>IFERROR(VLOOKUP(E1423*1,Tabla[#All],8,0),0)</f>
        <v/>
      </c>
      <c r="T1423" s="26">
        <f>S1423*G1423</f>
        <v/>
      </c>
      <c r="U1423" s="26">
        <f>R1423-T1423</f>
        <v/>
      </c>
      <c r="V1423" s="26">
        <f>U1423-L1423</f>
        <v/>
      </c>
    </row>
    <row r="1424">
      <c r="A1424" s="11" t="n">
        <v>46218</v>
      </c>
      <c r="B1424" s="1" t="n">
        <v>20024</v>
      </c>
      <c r="C1424" s="1" t="inlineStr">
        <is>
          <t>807</t>
        </is>
      </c>
      <c r="D1424" s="1" t="inlineStr">
        <is>
          <t xml:space="preserve">4416  </t>
        </is>
      </c>
      <c r="E1424" s="1" t="inlineStr">
        <is>
          <t xml:space="preserve">28194769       </t>
        </is>
      </c>
      <c r="F1424" s="5" t="inlineStr">
        <is>
          <t>AUTOS DE METAL 3 TEAMSTERZ PACK DE 2</t>
        </is>
      </c>
      <c r="G1424" t="n">
        <v>1</v>
      </c>
      <c r="H1424" s="7" t="n">
        <v>13.8</v>
      </c>
      <c r="I1424" s="7" t="n">
        <v>0</v>
      </c>
      <c r="J1424" s="7" t="n">
        <v>0</v>
      </c>
      <c r="K1424" s="9" t="n">
        <v>0</v>
      </c>
      <c r="L1424" s="10" t="n">
        <v>8.18</v>
      </c>
      <c r="M1424" s="10" t="n">
        <v>1.43</v>
      </c>
      <c r="N1424" t="inlineStr">
        <is>
          <t>1</t>
        </is>
      </c>
      <c r="O1424" t="inlineStr">
        <is>
          <t>16</t>
        </is>
      </c>
      <c r="P1424" t="inlineStr">
        <is>
          <t xml:space="preserve">0       </t>
        </is>
      </c>
      <c r="Q1424" s="26" t="n">
        <v>8.19</v>
      </c>
      <c r="R1424" s="26">
        <f>Q1424*G1424</f>
        <v/>
      </c>
      <c r="S1424" s="26">
        <f>IFERROR(VLOOKUP(E1424*1,Tabla[#All],8,0),0)</f>
        <v/>
      </c>
      <c r="T1424" s="26">
        <f>S1424*G1424</f>
        <v/>
      </c>
      <c r="U1424" s="26">
        <f>R1424-T1424</f>
        <v/>
      </c>
      <c r="V1424" s="26">
        <f>U1424-L1424</f>
        <v/>
      </c>
    </row>
    <row r="1425">
      <c r="A1425" s="11" t="n">
        <v>46218</v>
      </c>
      <c r="B1425" s="1" t="n">
        <v>20028</v>
      </c>
      <c r="C1425" s="1" t="inlineStr">
        <is>
          <t>011</t>
        </is>
      </c>
      <c r="D1425" s="1" t="inlineStr">
        <is>
          <t xml:space="preserve">33676 </t>
        </is>
      </c>
      <c r="E1425" s="1" t="inlineStr">
        <is>
          <t xml:space="preserve">34840550       </t>
        </is>
      </c>
      <c r="F1425" s="5" t="inlineStr">
        <is>
          <t>TEAMSTERZ M/MOVERZ TRANSPORTA GORILA</t>
        </is>
      </c>
      <c r="G1425" t="n">
        <v>1</v>
      </c>
      <c r="H1425" s="7" t="n">
        <v>129</v>
      </c>
      <c r="I1425" s="7" t="n">
        <v>0</v>
      </c>
      <c r="J1425" s="7" t="n">
        <v>0</v>
      </c>
      <c r="K1425" s="9" t="n">
        <v>0</v>
      </c>
      <c r="L1425" s="10" t="n">
        <v>76.52</v>
      </c>
      <c r="M1425" s="10" t="n">
        <v>1.43</v>
      </c>
      <c r="N1425" t="inlineStr">
        <is>
          <t>1</t>
        </is>
      </c>
      <c r="O1425" t="inlineStr">
        <is>
          <t>16</t>
        </is>
      </c>
      <c r="P1425" t="inlineStr">
        <is>
          <t xml:space="preserve">29476   </t>
        </is>
      </c>
      <c r="Q1425" s="26" t="n">
        <v>76.53</v>
      </c>
      <c r="R1425" s="26">
        <f>Q1425*G1425</f>
        <v/>
      </c>
      <c r="S1425" s="26">
        <f>IFERROR(VLOOKUP(E1425*1,Tabla[#All],8,0),0)</f>
        <v/>
      </c>
      <c r="T1425" s="26">
        <f>S1425*G1425</f>
        <v/>
      </c>
      <c r="U1425" s="26">
        <f>R1425-T1425</f>
        <v/>
      </c>
      <c r="V1425" s="26">
        <f>U1425-L1425</f>
        <v/>
      </c>
    </row>
    <row r="1426">
      <c r="A1426" s="11" t="n">
        <v>46218</v>
      </c>
      <c r="B1426" s="1" t="n">
        <v>20030</v>
      </c>
      <c r="C1426" s="1" t="inlineStr">
        <is>
          <t>067</t>
        </is>
      </c>
      <c r="D1426" s="1" t="inlineStr">
        <is>
          <t>274213</t>
        </is>
      </c>
      <c r="E1426" s="1" t="inlineStr">
        <is>
          <t xml:space="preserve">30141766       </t>
        </is>
      </c>
      <c r="F1426" s="5" t="inlineStr">
        <is>
          <t>TMZ BEAST MACHINES AUTOS DE METAL BLISTER X 1</t>
        </is>
      </c>
      <c r="G1426" t="n">
        <v>1</v>
      </c>
      <c r="H1426" s="7" t="n">
        <v>7.9</v>
      </c>
      <c r="I1426" s="7" t="n">
        <v>0</v>
      </c>
      <c r="J1426" s="7" t="n">
        <v>0</v>
      </c>
      <c r="K1426" s="9" t="n">
        <v>0</v>
      </c>
      <c r="L1426" s="10" t="n">
        <v>4.68</v>
      </c>
      <c r="M1426" s="10" t="n">
        <v>1.43</v>
      </c>
      <c r="N1426" t="inlineStr">
        <is>
          <t>1</t>
        </is>
      </c>
      <c r="O1426" t="inlineStr">
        <is>
          <t>16</t>
        </is>
      </c>
      <c r="P1426" t="inlineStr">
        <is>
          <t xml:space="preserve">50936   </t>
        </is>
      </c>
      <c r="Q1426" s="26" t="n">
        <v>4.69</v>
      </c>
      <c r="R1426" s="26">
        <f>Q1426*G1426</f>
        <v/>
      </c>
      <c r="S1426" s="26">
        <f>IFERROR(VLOOKUP(E1426*1,Tabla[#All],8,0),0)</f>
        <v/>
      </c>
      <c r="T1426" s="26">
        <f>S1426*G1426</f>
        <v/>
      </c>
      <c r="U1426" s="26">
        <f>R1426-T1426</f>
        <v/>
      </c>
      <c r="V1426" s="26">
        <f>U1426-L1426</f>
        <v/>
      </c>
    </row>
    <row r="1427">
      <c r="A1427" s="11" t="n">
        <v>46218</v>
      </c>
      <c r="B1427" s="1" t="n">
        <v>20030</v>
      </c>
      <c r="C1427" s="1" t="inlineStr">
        <is>
          <t>067</t>
        </is>
      </c>
      <c r="D1427" s="1" t="inlineStr">
        <is>
          <t>274213</t>
        </is>
      </c>
      <c r="E1427" s="1" t="inlineStr">
        <is>
          <t xml:space="preserve">30141766       </t>
        </is>
      </c>
      <c r="F1427" s="5" t="inlineStr">
        <is>
          <t>TMZ BEAST MACHINES AUTOS DE METAL BLISTER X 1</t>
        </is>
      </c>
      <c r="G1427" t="n">
        <v>1</v>
      </c>
      <c r="H1427" s="7" t="n">
        <v>7.9</v>
      </c>
      <c r="I1427" s="7" t="n">
        <v>0</v>
      </c>
      <c r="J1427" s="7" t="n">
        <v>0</v>
      </c>
      <c r="K1427" s="9" t="n">
        <v>0</v>
      </c>
      <c r="L1427" s="10" t="n">
        <v>4.68</v>
      </c>
      <c r="M1427" s="10" t="n">
        <v>1.43</v>
      </c>
      <c r="N1427" t="inlineStr">
        <is>
          <t>1</t>
        </is>
      </c>
      <c r="O1427" t="inlineStr">
        <is>
          <t>16</t>
        </is>
      </c>
      <c r="P1427" t="inlineStr">
        <is>
          <t xml:space="preserve">50936   </t>
        </is>
      </c>
      <c r="Q1427" s="26" t="n">
        <v>4.69</v>
      </c>
      <c r="R1427" s="26">
        <f>Q1427*G1427</f>
        <v/>
      </c>
      <c r="S1427" s="26">
        <f>IFERROR(VLOOKUP(E1427*1,Tabla[#All],8,0),0)</f>
        <v/>
      </c>
      <c r="T1427" s="26">
        <f>S1427*G1427</f>
        <v/>
      </c>
      <c r="U1427" s="26">
        <f>R1427-T1427</f>
        <v/>
      </c>
      <c r="V1427" s="26">
        <f>U1427-L1427</f>
        <v/>
      </c>
    </row>
    <row r="1428">
      <c r="A1428" s="11" t="n">
        <v>46218</v>
      </c>
      <c r="B1428" s="1" t="n">
        <v>20030</v>
      </c>
      <c r="C1428" s="1" t="inlineStr">
        <is>
          <t>067</t>
        </is>
      </c>
      <c r="D1428" s="1" t="inlineStr">
        <is>
          <t>274255</t>
        </is>
      </c>
      <c r="E1428" s="1" t="inlineStr">
        <is>
          <t xml:space="preserve">28194769       </t>
        </is>
      </c>
      <c r="F1428" s="5" t="inlineStr">
        <is>
          <t>AUTOS DE METAL 3 TEAMSTERZ PACK DE 2</t>
        </is>
      </c>
      <c r="G1428" t="n">
        <v>1</v>
      </c>
      <c r="H1428" s="7" t="n">
        <v>13.8</v>
      </c>
      <c r="I1428" s="7" t="n">
        <v>0</v>
      </c>
      <c r="J1428" s="7" t="n">
        <v>0</v>
      </c>
      <c r="K1428" s="9" t="n">
        <v>0</v>
      </c>
      <c r="L1428" s="10" t="n">
        <v>8.18</v>
      </c>
      <c r="M1428" s="10" t="n">
        <v>1.43</v>
      </c>
      <c r="N1428" t="inlineStr">
        <is>
          <t>1</t>
        </is>
      </c>
      <c r="O1428" t="inlineStr">
        <is>
          <t>16</t>
        </is>
      </c>
      <c r="P1428" t="inlineStr">
        <is>
          <t xml:space="preserve">52224   </t>
        </is>
      </c>
      <c r="Q1428" s="26" t="n">
        <v>8.19</v>
      </c>
      <c r="R1428" s="26">
        <f>Q1428*G1428</f>
        <v/>
      </c>
      <c r="S1428" s="26">
        <f>IFERROR(VLOOKUP(E1428*1,Tabla[#All],8,0),0)</f>
        <v/>
      </c>
      <c r="T1428" s="26">
        <f>S1428*G1428</f>
        <v/>
      </c>
      <c r="U1428" s="26">
        <f>R1428-T1428</f>
        <v/>
      </c>
      <c r="V1428" s="26">
        <f>U1428-L1428</f>
        <v/>
      </c>
    </row>
    <row r="1429">
      <c r="A1429" s="11" t="n">
        <v>46218</v>
      </c>
      <c r="B1429" s="1" t="n">
        <v>20030</v>
      </c>
      <c r="C1429" s="1" t="inlineStr">
        <is>
          <t>067</t>
        </is>
      </c>
      <c r="D1429" s="1" t="inlineStr">
        <is>
          <t>274256</t>
        </is>
      </c>
      <c r="E1429" s="1" t="inlineStr">
        <is>
          <t xml:space="preserve">28194769       </t>
        </is>
      </c>
      <c r="F1429" s="5" t="inlineStr">
        <is>
          <t>AUTOS DE METAL 3 TEAMSTERZ PACK DE 2</t>
        </is>
      </c>
      <c r="G1429" t="n">
        <v>1</v>
      </c>
      <c r="H1429" s="7" t="n">
        <v>13.8</v>
      </c>
      <c r="I1429" s="7" t="n">
        <v>0</v>
      </c>
      <c r="J1429" s="7" t="n">
        <v>0</v>
      </c>
      <c r="K1429" s="9" t="n">
        <v>0</v>
      </c>
      <c r="L1429" s="10" t="n">
        <v>8.18</v>
      </c>
      <c r="M1429" s="10" t="n">
        <v>1.43</v>
      </c>
      <c r="N1429" t="inlineStr">
        <is>
          <t>1</t>
        </is>
      </c>
      <c r="O1429" t="inlineStr">
        <is>
          <t>16</t>
        </is>
      </c>
      <c r="P1429" t="inlineStr">
        <is>
          <t xml:space="preserve">52224   </t>
        </is>
      </c>
      <c r="Q1429" s="26" t="n">
        <v>8.19</v>
      </c>
      <c r="R1429" s="26">
        <f>Q1429*G1429</f>
        <v/>
      </c>
      <c r="S1429" s="26">
        <f>IFERROR(VLOOKUP(E1429*1,Tabla[#All],8,0),0)</f>
        <v/>
      </c>
      <c r="T1429" s="26">
        <f>S1429*G1429</f>
        <v/>
      </c>
      <c r="U1429" s="26">
        <f>R1429-T1429</f>
        <v/>
      </c>
      <c r="V1429" s="26">
        <f>U1429-L1429</f>
        <v/>
      </c>
    </row>
    <row r="1430">
      <c r="A1430" s="11" t="n">
        <v>46218</v>
      </c>
      <c r="B1430" s="1" t="n">
        <v>20030</v>
      </c>
      <c r="C1430" s="1" t="inlineStr">
        <is>
          <t>067</t>
        </is>
      </c>
      <c r="D1430" s="1" t="inlineStr">
        <is>
          <t>274270</t>
        </is>
      </c>
      <c r="E1430" s="1" t="inlineStr">
        <is>
          <t xml:space="preserve">31959958       </t>
        </is>
      </c>
      <c r="F1430" s="5" t="inlineStr">
        <is>
          <t>TMZ BEAST MACHINE AUTOS DE METAL PACK 3 AUTOS</t>
        </is>
      </c>
      <c r="G1430" t="n">
        <v>1</v>
      </c>
      <c r="H1430" s="7" t="n">
        <v>23.7</v>
      </c>
      <c r="I1430" s="7" t="n">
        <v>0</v>
      </c>
      <c r="J1430" s="7" t="n">
        <v>0</v>
      </c>
      <c r="K1430" s="9" t="n">
        <v>0</v>
      </c>
      <c r="L1430" s="10" t="n">
        <v>14.06</v>
      </c>
      <c r="M1430" s="10" t="n">
        <v>1.43</v>
      </c>
      <c r="N1430" t="inlineStr">
        <is>
          <t>1</t>
        </is>
      </c>
      <c r="O1430" t="inlineStr">
        <is>
          <t>16</t>
        </is>
      </c>
      <c r="P1430" t="inlineStr">
        <is>
          <t xml:space="preserve">52224   </t>
        </is>
      </c>
      <c r="Q1430" s="26" t="n">
        <v>14.06</v>
      </c>
      <c r="R1430" s="26">
        <f>Q1430*G1430</f>
        <v/>
      </c>
      <c r="S1430" s="26">
        <f>IFERROR(VLOOKUP(E1430*1,Tabla[#All],8,0),0)</f>
        <v/>
      </c>
      <c r="T1430" s="26">
        <f>S1430*G1430</f>
        <v/>
      </c>
      <c r="U1430" s="26">
        <f>R1430-T1430</f>
        <v/>
      </c>
      <c r="V1430" s="26">
        <f>U1430-L1430</f>
        <v/>
      </c>
    </row>
    <row r="1431">
      <c r="A1431" s="11" t="n">
        <v>46218</v>
      </c>
      <c r="B1431" s="1" t="n">
        <v>20040</v>
      </c>
      <c r="C1431" s="1" t="inlineStr">
        <is>
          <t>072</t>
        </is>
      </c>
      <c r="D1431" s="1" t="inlineStr">
        <is>
          <t>251897</t>
        </is>
      </c>
      <c r="E1431" s="1" t="inlineStr">
        <is>
          <t xml:space="preserve">34840550       </t>
        </is>
      </c>
      <c r="F1431" s="5" t="inlineStr">
        <is>
          <t>TEAMSTERZ M/MOVERZ TRANSPORTA GORILA</t>
        </is>
      </c>
      <c r="G1431" t="n">
        <v>1</v>
      </c>
      <c r="H1431" s="7" t="n">
        <v>129</v>
      </c>
      <c r="I1431" s="7" t="n">
        <v>0</v>
      </c>
      <c r="J1431" s="7" t="n">
        <v>0</v>
      </c>
      <c r="K1431" s="9" t="n">
        <v>0</v>
      </c>
      <c r="L1431" s="10" t="n">
        <v>76.52</v>
      </c>
      <c r="M1431" s="10" t="n">
        <v>1.43</v>
      </c>
      <c r="N1431" t="inlineStr">
        <is>
          <t>1</t>
        </is>
      </c>
      <c r="O1431" t="inlineStr">
        <is>
          <t>16</t>
        </is>
      </c>
      <c r="P1431" t="inlineStr">
        <is>
          <t xml:space="preserve">243636  </t>
        </is>
      </c>
      <c r="Q1431" s="26" t="n">
        <v>76.53</v>
      </c>
      <c r="R1431" s="26">
        <f>Q1431*G1431</f>
        <v/>
      </c>
      <c r="S1431" s="26">
        <f>IFERROR(VLOOKUP(E1431*1,Tabla[#All],8,0),0)</f>
        <v/>
      </c>
      <c r="T1431" s="26">
        <f>S1431*G1431</f>
        <v/>
      </c>
      <c r="U1431" s="26">
        <f>R1431-T1431</f>
        <v/>
      </c>
      <c r="V1431" s="26">
        <f>U1431-L1431</f>
        <v/>
      </c>
    </row>
    <row r="1432">
      <c r="A1432" s="11" t="n">
        <v>46218</v>
      </c>
      <c r="B1432" s="1" t="n">
        <v>20040</v>
      </c>
      <c r="C1432" s="1" t="inlineStr">
        <is>
          <t>190</t>
        </is>
      </c>
      <c r="D1432" s="1" t="inlineStr">
        <is>
          <t>368266</t>
        </is>
      </c>
      <c r="E1432" s="1" t="inlineStr">
        <is>
          <t xml:space="preserve">35685067       </t>
        </is>
      </c>
      <c r="F1432" s="5" t="inlineStr">
        <is>
          <t>HOT WHEELS POWER SET 3 EN 1</t>
        </is>
      </c>
      <c r="G1432" t="n">
        <v>1</v>
      </c>
      <c r="H1432" s="7" t="n">
        <v>49.9</v>
      </c>
      <c r="I1432" s="7" t="n">
        <v>0</v>
      </c>
      <c r="J1432" s="7" t="n">
        <v>0</v>
      </c>
      <c r="K1432" s="9" t="n">
        <v>0</v>
      </c>
      <c r="L1432" s="10" t="n">
        <v>29.6</v>
      </c>
      <c r="M1432" s="10" t="n">
        <v>1.43</v>
      </c>
      <c r="N1432" t="inlineStr">
        <is>
          <t>1</t>
        </is>
      </c>
      <c r="O1432" t="inlineStr">
        <is>
          <t xml:space="preserve">3 </t>
        </is>
      </c>
      <c r="P1432" t="inlineStr">
        <is>
          <t xml:space="preserve">246092  </t>
        </is>
      </c>
      <c r="Q1432" s="26" t="n">
        <v>29.6</v>
      </c>
      <c r="R1432" s="26">
        <f>Q1432*G1432</f>
        <v/>
      </c>
      <c r="S1432" s="26">
        <f>IFERROR(VLOOKUP(E1432*1,Tabla[#All],8,0),0)</f>
        <v/>
      </c>
      <c r="T1432" s="26">
        <f>S1432*G1432</f>
        <v/>
      </c>
      <c r="U1432" s="26">
        <f>R1432-T1432</f>
        <v/>
      </c>
      <c r="V1432" s="26">
        <f>U1432-L1432</f>
        <v/>
      </c>
    </row>
    <row r="1433">
      <c r="A1433" s="11" t="n">
        <v>46218</v>
      </c>
      <c r="B1433" s="1" t="n">
        <v>20040</v>
      </c>
      <c r="C1433" s="1" t="inlineStr">
        <is>
          <t>190</t>
        </is>
      </c>
      <c r="D1433" s="1" t="inlineStr">
        <is>
          <t>368285</t>
        </is>
      </c>
      <c r="E1433" s="1" t="inlineStr">
        <is>
          <t xml:space="preserve">32656523       </t>
        </is>
      </c>
      <c r="F1433" s="5" t="inlineStr">
        <is>
          <t>TMZ BEAST MACHINES TRANSPORT. T-REX ELECTR. + ACCE</t>
        </is>
      </c>
      <c r="G1433" t="n">
        <v>1</v>
      </c>
      <c r="H1433" s="7" t="n">
        <v>179</v>
      </c>
      <c r="I1433" s="7" t="n">
        <v>0</v>
      </c>
      <c r="J1433" s="7" t="n">
        <v>0</v>
      </c>
      <c r="K1433" s="9" t="n">
        <v>0</v>
      </c>
      <c r="L1433" s="10" t="n">
        <v>106.18</v>
      </c>
      <c r="M1433" s="10" t="n">
        <v>1.43</v>
      </c>
      <c r="N1433" t="inlineStr">
        <is>
          <t>1</t>
        </is>
      </c>
      <c r="O1433" t="inlineStr">
        <is>
          <t>16</t>
        </is>
      </c>
      <c r="P1433" t="inlineStr">
        <is>
          <t xml:space="preserve">246092  </t>
        </is>
      </c>
      <c r="Q1433" s="26" t="n">
        <v>106.19</v>
      </c>
      <c r="R1433" s="26">
        <f>Q1433*G1433</f>
        <v/>
      </c>
      <c r="S1433" s="26">
        <f>IFERROR(VLOOKUP(E1433*1,Tabla[#All],8,0),0)</f>
        <v/>
      </c>
      <c r="T1433" s="26">
        <f>S1433*G1433</f>
        <v/>
      </c>
      <c r="U1433" s="26">
        <f>R1433-T1433</f>
        <v/>
      </c>
      <c r="V1433" s="26">
        <f>U1433-L1433</f>
        <v/>
      </c>
    </row>
    <row r="1434">
      <c r="A1434" s="11" t="n">
        <v>46218</v>
      </c>
      <c r="B1434" s="1" t="n">
        <v>20040</v>
      </c>
      <c r="C1434" s="1" t="inlineStr">
        <is>
          <t>190</t>
        </is>
      </c>
      <c r="D1434" s="1" t="inlineStr">
        <is>
          <t>368329</t>
        </is>
      </c>
      <c r="E1434" s="1" t="inlineStr">
        <is>
          <t xml:space="preserve">32457099       </t>
        </is>
      </c>
      <c r="F1434" s="5" t="inlineStr">
        <is>
          <t>TMZ BEAST MACHINES MONSTER JAWS A FRICCION BLISTER</t>
        </is>
      </c>
      <c r="G1434" t="n">
        <v>1</v>
      </c>
      <c r="H1434" s="7" t="n">
        <v>19.9</v>
      </c>
      <c r="I1434" s="7" t="n">
        <v>0</v>
      </c>
      <c r="J1434" s="7" t="n">
        <v>0</v>
      </c>
      <c r="K1434" s="9" t="n">
        <v>0</v>
      </c>
      <c r="L1434" s="10" t="n">
        <v>11.8</v>
      </c>
      <c r="M1434" s="10" t="n">
        <v>1.43</v>
      </c>
      <c r="N1434" t="inlineStr">
        <is>
          <t>1</t>
        </is>
      </c>
      <c r="O1434" t="inlineStr">
        <is>
          <t>16</t>
        </is>
      </c>
      <c r="P1434" t="inlineStr">
        <is>
          <t xml:space="preserve">250193  </t>
        </is>
      </c>
      <c r="Q1434" s="26" t="n">
        <v>11.81</v>
      </c>
      <c r="R1434" s="26">
        <f>Q1434*G1434</f>
        <v/>
      </c>
      <c r="S1434" s="26">
        <f>IFERROR(VLOOKUP(E1434*1,Tabla[#All],8,0),0)</f>
        <v/>
      </c>
      <c r="T1434" s="26">
        <f>S1434*G1434</f>
        <v/>
      </c>
      <c r="U1434" s="26">
        <f>R1434-T1434</f>
        <v/>
      </c>
      <c r="V1434" s="26">
        <f>U1434-L1434</f>
        <v/>
      </c>
    </row>
    <row r="1435">
      <c r="A1435" s="11" t="n">
        <v>46218</v>
      </c>
      <c r="B1435" s="1" t="n">
        <v>20041</v>
      </c>
      <c r="C1435" s="1" t="inlineStr">
        <is>
          <t>011</t>
        </is>
      </c>
      <c r="D1435" s="1" t="inlineStr">
        <is>
          <t xml:space="preserve">786   </t>
        </is>
      </c>
      <c r="E1435" s="1" t="inlineStr">
        <is>
          <t xml:space="preserve">30141779       </t>
        </is>
      </c>
      <c r="F1435" s="5" t="inlineStr">
        <is>
          <t>RELOJ DIGITAL NERF</t>
        </is>
      </c>
      <c r="G1435" t="n">
        <v>1</v>
      </c>
      <c r="H1435" s="7" t="n">
        <v>18.9</v>
      </c>
      <c r="I1435" s="7" t="n">
        <v>0</v>
      </c>
      <c r="J1435" s="7" t="n">
        <v>0</v>
      </c>
      <c r="K1435" s="9" t="n">
        <v>0</v>
      </c>
      <c r="L1435" s="10" t="n">
        <v>11.21</v>
      </c>
      <c r="M1435" s="10" t="n">
        <v>1.43</v>
      </c>
      <c r="N1435" t="inlineStr">
        <is>
          <t>1</t>
        </is>
      </c>
      <c r="O1435" t="inlineStr">
        <is>
          <t xml:space="preserve">2 </t>
        </is>
      </c>
      <c r="P1435" t="inlineStr">
        <is>
          <t xml:space="preserve">57146   </t>
        </is>
      </c>
      <c r="Q1435" s="26" t="n">
        <v>11.21</v>
      </c>
      <c r="R1435" s="26">
        <f>Q1435*G1435</f>
        <v/>
      </c>
      <c r="S1435" s="26">
        <f>IFERROR(VLOOKUP(E1435*1,Tabla[#All],8,0),0)</f>
        <v/>
      </c>
      <c r="T1435" s="26">
        <f>S1435*G1435</f>
        <v/>
      </c>
      <c r="U1435" s="26">
        <f>R1435-T1435</f>
        <v/>
      </c>
      <c r="V1435" s="26">
        <f>U1435-L1435</f>
        <v/>
      </c>
    </row>
    <row r="1436">
      <c r="A1436" s="11" t="n">
        <v>46218</v>
      </c>
      <c r="B1436" s="1" t="n">
        <v>20041</v>
      </c>
      <c r="C1436" s="1" t="inlineStr">
        <is>
          <t>037</t>
        </is>
      </c>
      <c r="D1436" s="1" t="inlineStr">
        <is>
          <t>189687</t>
        </is>
      </c>
      <c r="E1436" s="1" t="inlineStr">
        <is>
          <t xml:space="preserve">30141779       </t>
        </is>
      </c>
      <c r="F1436" s="5" t="inlineStr">
        <is>
          <t>RELOJ DIGITAL NERF</t>
        </is>
      </c>
      <c r="G1436" t="n">
        <v>1</v>
      </c>
      <c r="H1436" s="7" t="n">
        <v>18.9</v>
      </c>
      <c r="I1436" s="7" t="n">
        <v>0</v>
      </c>
      <c r="J1436" s="7" t="n">
        <v>0</v>
      </c>
      <c r="K1436" s="9" t="n">
        <v>0</v>
      </c>
      <c r="L1436" s="10" t="n">
        <v>11.21</v>
      </c>
      <c r="M1436" s="10" t="n">
        <v>1.43</v>
      </c>
      <c r="N1436" t="inlineStr">
        <is>
          <t>1</t>
        </is>
      </c>
      <c r="O1436" t="inlineStr">
        <is>
          <t xml:space="preserve">3 </t>
        </is>
      </c>
      <c r="P1436" t="inlineStr">
        <is>
          <t xml:space="preserve">243698  </t>
        </is>
      </c>
      <c r="Q1436" s="26" t="n">
        <v>11.21</v>
      </c>
      <c r="R1436" s="26">
        <f>Q1436*G1436</f>
        <v/>
      </c>
      <c r="S1436" s="26">
        <f>IFERROR(VLOOKUP(E1436*1,Tabla[#All],8,0),0)</f>
        <v/>
      </c>
      <c r="T1436" s="26">
        <f>S1436*G1436</f>
        <v/>
      </c>
      <c r="U1436" s="26">
        <f>R1436-T1436</f>
        <v/>
      </c>
      <c r="V1436" s="26">
        <f>U1436-L1436</f>
        <v/>
      </c>
    </row>
    <row r="1437">
      <c r="A1437" s="11" t="n">
        <v>46218</v>
      </c>
      <c r="B1437" s="1" t="n">
        <v>20041</v>
      </c>
      <c r="C1437" s="1" t="inlineStr">
        <is>
          <t>037</t>
        </is>
      </c>
      <c r="D1437" s="1" t="inlineStr">
        <is>
          <t>189691</t>
        </is>
      </c>
      <c r="E1437" s="1" t="inlineStr">
        <is>
          <t xml:space="preserve">32457107       </t>
        </is>
      </c>
      <c r="F1437" s="5" t="inlineStr">
        <is>
          <t>TMZ CAMBIA DE COLOR PLAYSET ATAQUE PIRANA + 1 AUTO</t>
        </is>
      </c>
      <c r="G1437" t="n">
        <v>1</v>
      </c>
      <c r="H1437" s="7" t="n">
        <v>79.90000000000001</v>
      </c>
      <c r="I1437" s="7" t="n">
        <v>0</v>
      </c>
      <c r="J1437" s="7" t="n">
        <v>0</v>
      </c>
      <c r="K1437" s="9" t="n">
        <v>0</v>
      </c>
      <c r="L1437" s="10" t="n">
        <v>47.4</v>
      </c>
      <c r="M1437" s="10" t="n">
        <v>1.43</v>
      </c>
      <c r="N1437" t="inlineStr">
        <is>
          <t>1</t>
        </is>
      </c>
      <c r="O1437" t="inlineStr">
        <is>
          <t>16</t>
        </is>
      </c>
      <c r="P1437" t="inlineStr">
        <is>
          <t xml:space="preserve">243698  </t>
        </is>
      </c>
      <c r="Q1437" s="26" t="n">
        <v>47.4</v>
      </c>
      <c r="R1437" s="26">
        <f>Q1437*G1437</f>
        <v/>
      </c>
      <c r="S1437" s="26">
        <f>IFERROR(VLOOKUP(E1437*1,Tabla[#All],8,0),0)</f>
        <v/>
      </c>
      <c r="T1437" s="26">
        <f>S1437*G1437</f>
        <v/>
      </c>
      <c r="U1437" s="26">
        <f>R1437-T1437</f>
        <v/>
      </c>
      <c r="V1437" s="26">
        <f>U1437-L1437</f>
        <v/>
      </c>
    </row>
    <row r="1438">
      <c r="A1438" s="11" t="n">
        <v>46218</v>
      </c>
      <c r="B1438" s="1" t="n">
        <v>20041</v>
      </c>
      <c r="C1438" s="1" t="inlineStr">
        <is>
          <t>037</t>
        </is>
      </c>
      <c r="D1438" s="1" t="inlineStr">
        <is>
          <t>189693</t>
        </is>
      </c>
      <c r="E1438" s="1" t="inlineStr">
        <is>
          <t xml:space="preserve">28194770       </t>
        </is>
      </c>
      <c r="F1438" s="5" t="inlineStr">
        <is>
          <t>AUTOS DE METAL 3 TEAMSTERZ EN BLISTER</t>
        </is>
      </c>
      <c r="G1438" t="n">
        <v>1</v>
      </c>
      <c r="H1438" s="7" t="n">
        <v>6.9</v>
      </c>
      <c r="I1438" s="7" t="n">
        <v>0</v>
      </c>
      <c r="J1438" s="7" t="n">
        <v>0</v>
      </c>
      <c r="K1438" s="9" t="n">
        <v>0</v>
      </c>
      <c r="L1438" s="10" t="n">
        <v>4.1</v>
      </c>
      <c r="M1438" s="10" t="n">
        <v>1.43</v>
      </c>
      <c r="N1438" t="inlineStr">
        <is>
          <t>1</t>
        </is>
      </c>
      <c r="O1438" t="inlineStr">
        <is>
          <t>16</t>
        </is>
      </c>
      <c r="P1438" t="inlineStr">
        <is>
          <t xml:space="preserve">243698  </t>
        </is>
      </c>
      <c r="Q1438" s="26" t="n">
        <v>4.09</v>
      </c>
      <c r="R1438" s="26">
        <f>Q1438*G1438</f>
        <v/>
      </c>
      <c r="S1438" s="26">
        <f>IFERROR(VLOOKUP(E1438*1,Tabla[#All],8,0),0)</f>
        <v/>
      </c>
      <c r="T1438" s="26">
        <f>S1438*G1438</f>
        <v/>
      </c>
      <c r="U1438" s="26">
        <f>R1438-T1438</f>
        <v/>
      </c>
      <c r="V1438" s="26">
        <f>U1438-L1438</f>
        <v/>
      </c>
    </row>
    <row r="1439">
      <c r="A1439" s="11" t="n">
        <v>46218</v>
      </c>
      <c r="B1439" s="1" t="n">
        <v>20041</v>
      </c>
      <c r="C1439" s="1" t="inlineStr">
        <is>
          <t>037</t>
        </is>
      </c>
      <c r="D1439" s="1" t="inlineStr">
        <is>
          <t>189693</t>
        </is>
      </c>
      <c r="E1439" s="1" t="inlineStr">
        <is>
          <t xml:space="preserve">29854051       </t>
        </is>
      </c>
      <c r="F1439" s="5" t="inlineStr">
        <is>
          <t>TEAMSTERZ AUTO DE METAL PACK 10 AUTOS</t>
        </is>
      </c>
      <c r="G1439" t="n">
        <v>1</v>
      </c>
      <c r="H1439" s="7" t="n">
        <v>69</v>
      </c>
      <c r="I1439" s="7" t="n">
        <v>0</v>
      </c>
      <c r="J1439" s="7" t="n">
        <v>0</v>
      </c>
      <c r="K1439" s="9" t="n">
        <v>0</v>
      </c>
      <c r="L1439" s="10" t="n">
        <v>40.93</v>
      </c>
      <c r="M1439" s="10" t="n">
        <v>1.43</v>
      </c>
      <c r="N1439" t="inlineStr">
        <is>
          <t>1</t>
        </is>
      </c>
      <c r="O1439" t="inlineStr">
        <is>
          <t>16</t>
        </is>
      </c>
      <c r="P1439" t="inlineStr">
        <is>
          <t xml:space="preserve">243698  </t>
        </is>
      </c>
      <c r="Q1439" s="26" t="n">
        <v>40.93</v>
      </c>
      <c r="R1439" s="26">
        <f>Q1439*G1439</f>
        <v/>
      </c>
      <c r="S1439" s="26">
        <f>IFERROR(VLOOKUP(E1439*1,Tabla[#All],8,0),0)</f>
        <v/>
      </c>
      <c r="T1439" s="26">
        <f>S1439*G1439</f>
        <v/>
      </c>
      <c r="U1439" s="26">
        <f>R1439-T1439</f>
        <v/>
      </c>
      <c r="V1439" s="26">
        <f>U1439-L1439</f>
        <v/>
      </c>
    </row>
    <row r="1440">
      <c r="A1440" s="11" t="n">
        <v>46218</v>
      </c>
      <c r="B1440" s="1" t="n">
        <v>20043</v>
      </c>
      <c r="C1440" s="1" t="inlineStr">
        <is>
          <t>029</t>
        </is>
      </c>
      <c r="D1440" s="1" t="inlineStr">
        <is>
          <t>168817</t>
        </is>
      </c>
      <c r="E1440" s="1" t="inlineStr">
        <is>
          <t xml:space="preserve">28194770       </t>
        </is>
      </c>
      <c r="F1440" s="5" t="inlineStr">
        <is>
          <t>AUTOS DE METAL 3 TEAMSTERZ EN BLISTER</t>
        </is>
      </c>
      <c r="G1440" t="n">
        <v>1</v>
      </c>
      <c r="H1440" s="7" t="n">
        <v>6.9</v>
      </c>
      <c r="I1440" s="7" t="n">
        <v>0</v>
      </c>
      <c r="J1440" s="7" t="n">
        <v>0</v>
      </c>
      <c r="K1440" s="9" t="n">
        <v>0</v>
      </c>
      <c r="L1440" s="10" t="n">
        <v>4.1</v>
      </c>
      <c r="M1440" s="10" t="n">
        <v>1.43</v>
      </c>
      <c r="N1440" t="inlineStr">
        <is>
          <t>1</t>
        </is>
      </c>
      <c r="O1440" t="inlineStr">
        <is>
          <t xml:space="preserve">2 </t>
        </is>
      </c>
      <c r="P1440" t="inlineStr">
        <is>
          <t xml:space="preserve">73748   </t>
        </is>
      </c>
      <c r="Q1440" s="26" t="n">
        <v>4.09</v>
      </c>
      <c r="R1440" s="26">
        <f>Q1440*G1440</f>
        <v/>
      </c>
      <c r="S1440" s="26">
        <f>IFERROR(VLOOKUP(E1440*1,Tabla[#All],8,0),0)</f>
        <v/>
      </c>
      <c r="T1440" s="26">
        <f>S1440*G1440</f>
        <v/>
      </c>
      <c r="U1440" s="26">
        <f>R1440-T1440</f>
        <v/>
      </c>
      <c r="V1440" s="26">
        <f>U1440-L1440</f>
        <v/>
      </c>
    </row>
    <row r="1441">
      <c r="A1441" s="11" t="n">
        <v>46218</v>
      </c>
      <c r="B1441" s="1" t="n">
        <v>20043</v>
      </c>
      <c r="C1441" s="1" t="inlineStr">
        <is>
          <t>054</t>
        </is>
      </c>
      <c r="D1441" s="1" t="inlineStr">
        <is>
          <t xml:space="preserve">15220 </t>
        </is>
      </c>
      <c r="E1441" s="1" t="inlineStr">
        <is>
          <t xml:space="preserve">28194770       </t>
        </is>
      </c>
      <c r="F1441" s="5" t="inlineStr">
        <is>
          <t>AUTOS DE METAL 3 TEAMSTERZ EN BLISTER</t>
        </is>
      </c>
      <c r="G1441" t="n">
        <v>1</v>
      </c>
      <c r="H1441" s="7" t="n">
        <v>6.9</v>
      </c>
      <c r="I1441" s="7" t="n">
        <v>0</v>
      </c>
      <c r="J1441" s="7" t="n">
        <v>0</v>
      </c>
      <c r="K1441" s="9" t="n">
        <v>0</v>
      </c>
      <c r="L1441" s="10" t="n">
        <v>4.1</v>
      </c>
      <c r="M1441" s="10" t="n">
        <v>1.43</v>
      </c>
      <c r="N1441" t="inlineStr">
        <is>
          <t>1</t>
        </is>
      </c>
      <c r="O1441" t="inlineStr">
        <is>
          <t xml:space="preserve">3 </t>
        </is>
      </c>
      <c r="P1441" t="inlineStr">
        <is>
          <t xml:space="preserve">244278  </t>
        </is>
      </c>
      <c r="Q1441" s="26" t="n">
        <v>4.09</v>
      </c>
      <c r="R1441" s="26">
        <f>Q1441*G1441</f>
        <v/>
      </c>
      <c r="S1441" s="26">
        <f>IFERROR(VLOOKUP(E1441*1,Tabla[#All],8,0),0)</f>
        <v/>
      </c>
      <c r="T1441" s="26">
        <f>S1441*G1441</f>
        <v/>
      </c>
      <c r="U1441" s="26">
        <f>R1441-T1441</f>
        <v/>
      </c>
      <c r="V1441" s="26">
        <f>U1441-L1441</f>
        <v/>
      </c>
    </row>
    <row r="1442">
      <c r="A1442" s="11" t="n">
        <v>46218</v>
      </c>
      <c r="B1442" s="1" t="n">
        <v>20049</v>
      </c>
      <c r="C1442" s="1" t="inlineStr">
        <is>
          <t>013</t>
        </is>
      </c>
      <c r="D1442" s="1" t="inlineStr">
        <is>
          <t>236137</t>
        </is>
      </c>
      <c r="E1442" s="1" t="inlineStr">
        <is>
          <t xml:space="preserve">28194769       </t>
        </is>
      </c>
      <c r="F1442" s="5" t="inlineStr">
        <is>
          <t>AUTOS DE METAL 3 TEAMSTERZ PACK DE 2</t>
        </is>
      </c>
      <c r="G1442" t="n">
        <v>1</v>
      </c>
      <c r="H1442" s="7" t="n">
        <v>13.8</v>
      </c>
      <c r="I1442" s="7" t="n">
        <v>0</v>
      </c>
      <c r="J1442" s="7" t="n">
        <v>0</v>
      </c>
      <c r="K1442" s="9" t="n">
        <v>0</v>
      </c>
      <c r="L1442" s="10" t="n">
        <v>8.18</v>
      </c>
      <c r="M1442" s="10" t="n">
        <v>1.43</v>
      </c>
      <c r="N1442" t="inlineStr">
        <is>
          <t>1</t>
        </is>
      </c>
      <c r="O1442" t="inlineStr">
        <is>
          <t xml:space="preserve">2 </t>
        </is>
      </c>
      <c r="P1442" t="inlineStr">
        <is>
          <t xml:space="preserve">244725  </t>
        </is>
      </c>
      <c r="Q1442" s="26" t="n">
        <v>8.19</v>
      </c>
      <c r="R1442" s="26">
        <f>Q1442*G1442</f>
        <v/>
      </c>
      <c r="S1442" s="26">
        <f>IFERROR(VLOOKUP(E1442*1,Tabla[#All],8,0),0)</f>
        <v/>
      </c>
      <c r="T1442" s="26">
        <f>S1442*G1442</f>
        <v/>
      </c>
      <c r="U1442" s="26">
        <f>R1442-T1442</f>
        <v/>
      </c>
      <c r="V1442" s="26">
        <f>U1442-L1442</f>
        <v/>
      </c>
    </row>
    <row r="1443">
      <c r="A1443" s="11" t="n">
        <v>46218</v>
      </c>
      <c r="B1443" s="1" t="n">
        <v>20049</v>
      </c>
      <c r="C1443" s="1" t="inlineStr">
        <is>
          <t>013</t>
        </is>
      </c>
      <c r="D1443" s="1" t="inlineStr">
        <is>
          <t>236144</t>
        </is>
      </c>
      <c r="E1443" s="1" t="inlineStr">
        <is>
          <t xml:space="preserve">33483121       </t>
        </is>
      </c>
      <c r="F1443" s="5" t="inlineStr">
        <is>
          <t>HOT WHEELS ESTUCHE PARA 15 AUTOS SURTIDO</t>
        </is>
      </c>
      <c r="G1443" t="n">
        <v>1</v>
      </c>
      <c r="H1443" s="7" t="n">
        <v>34.9</v>
      </c>
      <c r="I1443" s="7" t="n">
        <v>0</v>
      </c>
      <c r="J1443" s="7" t="n">
        <v>0</v>
      </c>
      <c r="K1443" s="9" t="n">
        <v>0</v>
      </c>
      <c r="L1443" s="10" t="n">
        <v>20.71</v>
      </c>
      <c r="M1443" s="10" t="n">
        <v>1.43</v>
      </c>
      <c r="N1443" t="inlineStr">
        <is>
          <t>1</t>
        </is>
      </c>
      <c r="O1443" t="inlineStr">
        <is>
          <t>16</t>
        </is>
      </c>
      <c r="P1443" t="inlineStr">
        <is>
          <t xml:space="preserve">249970  </t>
        </is>
      </c>
      <c r="Q1443" s="26" t="n">
        <v>20.7</v>
      </c>
      <c r="R1443" s="26">
        <f>Q1443*G1443</f>
        <v/>
      </c>
      <c r="S1443" s="26">
        <f>IFERROR(VLOOKUP(E1443*1,Tabla[#All],8,0),0)</f>
        <v/>
      </c>
      <c r="T1443" s="26">
        <f>S1443*G1443</f>
        <v/>
      </c>
      <c r="U1443" s="26">
        <f>R1443-T1443</f>
        <v/>
      </c>
      <c r="V1443" s="26">
        <f>U1443-L1443</f>
        <v/>
      </c>
    </row>
    <row r="1444">
      <c r="A1444" s="11" t="n">
        <v>46218</v>
      </c>
      <c r="B1444" s="1" t="n">
        <v>20049</v>
      </c>
      <c r="C1444" s="1" t="inlineStr">
        <is>
          <t>013</t>
        </is>
      </c>
      <c r="D1444" s="1" t="inlineStr">
        <is>
          <t>236144</t>
        </is>
      </c>
      <c r="E1444" s="1" t="inlineStr">
        <is>
          <t xml:space="preserve">33483121       </t>
        </is>
      </c>
      <c r="F1444" s="5" t="inlineStr">
        <is>
          <t>HOT WHEELS ESTUCHE PARA 15 AUTOS SURTIDO</t>
        </is>
      </c>
      <c r="G1444" t="n">
        <v>1</v>
      </c>
      <c r="H1444" s="7" t="n">
        <v>34.9</v>
      </c>
      <c r="I1444" s="7" t="n">
        <v>0</v>
      </c>
      <c r="J1444" s="7" t="n">
        <v>0</v>
      </c>
      <c r="K1444" s="9" t="n">
        <v>0</v>
      </c>
      <c r="L1444" s="10" t="n">
        <v>20.71</v>
      </c>
      <c r="M1444" s="10" t="n">
        <v>1.43</v>
      </c>
      <c r="N1444" t="inlineStr">
        <is>
          <t>1</t>
        </is>
      </c>
      <c r="O1444" t="inlineStr">
        <is>
          <t>16</t>
        </is>
      </c>
      <c r="P1444" t="inlineStr">
        <is>
          <t xml:space="preserve">249970  </t>
        </is>
      </c>
      <c r="Q1444" s="26" t="n">
        <v>20.7</v>
      </c>
      <c r="R1444" s="26">
        <f>Q1444*G1444</f>
        <v/>
      </c>
      <c r="S1444" s="26">
        <f>IFERROR(VLOOKUP(E1444*1,Tabla[#All],8,0),0)</f>
        <v/>
      </c>
      <c r="T1444" s="26">
        <f>S1444*G1444</f>
        <v/>
      </c>
      <c r="U1444" s="26">
        <f>R1444-T1444</f>
        <v/>
      </c>
      <c r="V1444" s="26">
        <f>U1444-L1444</f>
        <v/>
      </c>
    </row>
    <row r="1445">
      <c r="A1445" s="11" t="n">
        <v>46218</v>
      </c>
      <c r="B1445" s="1" t="n">
        <v>20049</v>
      </c>
      <c r="C1445" s="1" t="inlineStr">
        <is>
          <t>017</t>
        </is>
      </c>
      <c r="D1445" s="1" t="inlineStr">
        <is>
          <t>239058</t>
        </is>
      </c>
      <c r="E1445" s="1" t="inlineStr">
        <is>
          <t xml:space="preserve">28194769       </t>
        </is>
      </c>
      <c r="F1445" s="5" t="inlineStr">
        <is>
          <t>AUTOS DE METAL 3 TEAMSTERZ PACK DE 2</t>
        </is>
      </c>
      <c r="G1445" t="n">
        <v>1</v>
      </c>
      <c r="H1445" s="7" t="n">
        <v>13.8</v>
      </c>
      <c r="I1445" s="7" t="n">
        <v>0</v>
      </c>
      <c r="J1445" s="7" t="n">
        <v>0</v>
      </c>
      <c r="K1445" s="9" t="n">
        <v>0</v>
      </c>
      <c r="L1445" s="10" t="n">
        <v>8.18</v>
      </c>
      <c r="M1445" s="10" t="n">
        <v>1.43</v>
      </c>
      <c r="N1445" t="inlineStr">
        <is>
          <t>1</t>
        </is>
      </c>
      <c r="O1445" t="inlineStr">
        <is>
          <t xml:space="preserve">2 </t>
        </is>
      </c>
      <c r="P1445" t="inlineStr">
        <is>
          <t xml:space="preserve">244682  </t>
        </is>
      </c>
      <c r="Q1445" s="26" t="n">
        <v>8.19</v>
      </c>
      <c r="R1445" s="26">
        <f>Q1445*G1445</f>
        <v/>
      </c>
      <c r="S1445" s="26">
        <f>IFERROR(VLOOKUP(E1445*1,Tabla[#All],8,0),0)</f>
        <v/>
      </c>
      <c r="T1445" s="26">
        <f>S1445*G1445</f>
        <v/>
      </c>
      <c r="U1445" s="26">
        <f>R1445-T1445</f>
        <v/>
      </c>
      <c r="V1445" s="26">
        <f>U1445-L1445</f>
        <v/>
      </c>
    </row>
    <row r="1446">
      <c r="A1446" s="11" t="n">
        <v>46218</v>
      </c>
      <c r="B1446" s="1" t="n">
        <v>20056</v>
      </c>
      <c r="C1446" s="1" t="inlineStr">
        <is>
          <t>022</t>
        </is>
      </c>
      <c r="D1446" s="1" t="inlineStr">
        <is>
          <t xml:space="preserve">55003 </t>
        </is>
      </c>
      <c r="E1446" s="1" t="inlineStr">
        <is>
          <t xml:space="preserve">28194769       </t>
        </is>
      </c>
      <c r="F1446" s="5" t="inlineStr">
        <is>
          <t>AUTOS DE METAL 3 TEAMSTERZ PACK DE 2</t>
        </is>
      </c>
      <c r="G1446" t="n">
        <v>1</v>
      </c>
      <c r="H1446" s="7" t="n">
        <v>13.8</v>
      </c>
      <c r="I1446" s="7" t="n">
        <v>0</v>
      </c>
      <c r="J1446" s="7" t="n">
        <v>0</v>
      </c>
      <c r="K1446" s="9" t="n">
        <v>0</v>
      </c>
      <c r="L1446" s="10" t="n">
        <v>8.18</v>
      </c>
      <c r="M1446" s="10" t="n">
        <v>1.43</v>
      </c>
      <c r="N1446" t="inlineStr">
        <is>
          <t>1</t>
        </is>
      </c>
      <c r="O1446" t="inlineStr">
        <is>
          <t xml:space="preserve">2 </t>
        </is>
      </c>
      <c r="P1446" t="inlineStr">
        <is>
          <t xml:space="preserve">247194  </t>
        </is>
      </c>
      <c r="Q1446" s="26" t="n">
        <v>8.19</v>
      </c>
      <c r="R1446" s="26">
        <f>Q1446*G1446</f>
        <v/>
      </c>
      <c r="S1446" s="26">
        <f>IFERROR(VLOOKUP(E1446*1,Tabla[#All],8,0),0)</f>
        <v/>
      </c>
      <c r="T1446" s="26">
        <f>S1446*G1446</f>
        <v/>
      </c>
      <c r="U1446" s="26">
        <f>R1446-T1446</f>
        <v/>
      </c>
      <c r="V1446" s="26">
        <f>U1446-L1446</f>
        <v/>
      </c>
    </row>
    <row r="1447">
      <c r="A1447" s="11" t="n">
        <v>46218</v>
      </c>
      <c r="B1447" s="1" t="n">
        <v>20056</v>
      </c>
      <c r="C1447" s="1" t="inlineStr">
        <is>
          <t>023</t>
        </is>
      </c>
      <c r="D1447" s="1" t="inlineStr">
        <is>
          <t xml:space="preserve">30816 </t>
        </is>
      </c>
      <c r="E1447" s="1" t="inlineStr">
        <is>
          <t xml:space="preserve">28194769       </t>
        </is>
      </c>
      <c r="F1447" s="5" t="inlineStr">
        <is>
          <t>AUTOS DE METAL 3 TEAMSTERZ PACK DE 2</t>
        </is>
      </c>
      <c r="G1447" t="n">
        <v>1</v>
      </c>
      <c r="H1447" s="7" t="n">
        <v>13.8</v>
      </c>
      <c r="I1447" s="7" t="n">
        <v>0</v>
      </c>
      <c r="J1447" s="7" t="n">
        <v>0</v>
      </c>
      <c r="K1447" s="9" t="n">
        <v>0</v>
      </c>
      <c r="L1447" s="10" t="n">
        <v>8.18</v>
      </c>
      <c r="M1447" s="10" t="n">
        <v>1.43</v>
      </c>
      <c r="N1447" t="inlineStr">
        <is>
          <t>1</t>
        </is>
      </c>
      <c r="O1447" t="inlineStr">
        <is>
          <t xml:space="preserve">2 </t>
        </is>
      </c>
      <c r="P1447" t="inlineStr">
        <is>
          <t xml:space="preserve">241925  </t>
        </is>
      </c>
      <c r="Q1447" s="26" t="n">
        <v>8.19</v>
      </c>
      <c r="R1447" s="26">
        <f>Q1447*G1447</f>
        <v/>
      </c>
      <c r="S1447" s="26">
        <f>IFERROR(VLOOKUP(E1447*1,Tabla[#All],8,0),0)</f>
        <v/>
      </c>
      <c r="T1447" s="26">
        <f>S1447*G1447</f>
        <v/>
      </c>
      <c r="U1447" s="26">
        <f>R1447-T1447</f>
        <v/>
      </c>
      <c r="V1447" s="26">
        <f>U1447-L1447</f>
        <v/>
      </c>
    </row>
    <row r="1448">
      <c r="A1448" s="11" t="n">
        <v>46218</v>
      </c>
      <c r="B1448" s="1" t="n">
        <v>20057</v>
      </c>
      <c r="C1448" s="1" t="inlineStr">
        <is>
          <t>033</t>
        </is>
      </c>
      <c r="D1448" s="1" t="inlineStr">
        <is>
          <t xml:space="preserve">67170 </t>
        </is>
      </c>
      <c r="E1448" s="1" t="inlineStr">
        <is>
          <t xml:space="preserve">28194769       </t>
        </is>
      </c>
      <c r="F1448" s="5" t="inlineStr">
        <is>
          <t>AUTOS DE METAL 3 TEAMSTERZ PACK DE 2</t>
        </is>
      </c>
      <c r="G1448" t="n">
        <v>1</v>
      </c>
      <c r="H1448" s="7" t="n">
        <v>13.8</v>
      </c>
      <c r="I1448" s="7" t="n">
        <v>0</v>
      </c>
      <c r="J1448" s="7" t="n">
        <v>0</v>
      </c>
      <c r="K1448" s="9" t="n">
        <v>0</v>
      </c>
      <c r="L1448" s="10" t="n">
        <v>8.18</v>
      </c>
      <c r="M1448" s="10" t="n">
        <v>1.43</v>
      </c>
      <c r="N1448" t="inlineStr">
        <is>
          <t>1</t>
        </is>
      </c>
      <c r="O1448" t="inlineStr">
        <is>
          <t>16</t>
        </is>
      </c>
      <c r="P1448" t="inlineStr">
        <is>
          <t xml:space="preserve">248132  </t>
        </is>
      </c>
      <c r="Q1448" s="26" t="n">
        <v>8.19</v>
      </c>
      <c r="R1448" s="26">
        <f>Q1448*G1448</f>
        <v/>
      </c>
      <c r="S1448" s="26">
        <f>IFERROR(VLOOKUP(E1448*1,Tabla[#All],8,0),0)</f>
        <v/>
      </c>
      <c r="T1448" s="26">
        <f>S1448*G1448</f>
        <v/>
      </c>
      <c r="U1448" s="26">
        <f>R1448-T1448</f>
        <v/>
      </c>
      <c r="V1448" s="26">
        <f>U1448-L1448</f>
        <v/>
      </c>
    </row>
    <row r="1449">
      <c r="A1449" s="11" t="n">
        <v>46218</v>
      </c>
      <c r="B1449" s="1" t="n">
        <v>20057</v>
      </c>
      <c r="C1449" s="1" t="inlineStr">
        <is>
          <t>861</t>
        </is>
      </c>
      <c r="D1449" s="1" t="inlineStr">
        <is>
          <t xml:space="preserve">803   </t>
        </is>
      </c>
      <c r="E1449" s="1" t="inlineStr">
        <is>
          <t xml:space="preserve">28194770       </t>
        </is>
      </c>
      <c r="F1449" s="5" t="inlineStr">
        <is>
          <t>AUTOS DE METAL 3 TEAMSTERZ EN BLISTER</t>
        </is>
      </c>
      <c r="G1449" t="n">
        <v>1</v>
      </c>
      <c r="H1449" s="7" t="n">
        <v>6.9</v>
      </c>
      <c r="I1449" s="7" t="n">
        <v>0</v>
      </c>
      <c r="J1449" s="7" t="n">
        <v>0</v>
      </c>
      <c r="K1449" s="9" t="n">
        <v>0</v>
      </c>
      <c r="L1449" s="10" t="n">
        <v>4.1</v>
      </c>
      <c r="M1449" s="10" t="n">
        <v>1.43</v>
      </c>
      <c r="N1449" t="inlineStr">
        <is>
          <t>1</t>
        </is>
      </c>
      <c r="O1449" t="inlineStr">
        <is>
          <t>16</t>
        </is>
      </c>
      <c r="P1449" t="inlineStr">
        <is>
          <t xml:space="preserve">0       </t>
        </is>
      </c>
      <c r="Q1449" s="26" t="n">
        <v>4.09</v>
      </c>
      <c r="R1449" s="26">
        <f>Q1449*G1449</f>
        <v/>
      </c>
      <c r="S1449" s="26">
        <f>IFERROR(VLOOKUP(E1449*1,Tabla[#All],8,0),0)</f>
        <v/>
      </c>
      <c r="T1449" s="26">
        <f>S1449*G1449</f>
        <v/>
      </c>
      <c r="U1449" s="26">
        <f>R1449-T1449</f>
        <v/>
      </c>
      <c r="V1449" s="26">
        <f>U1449-L1449</f>
        <v/>
      </c>
    </row>
    <row r="1450">
      <c r="A1450" s="11" t="n">
        <v>46218</v>
      </c>
      <c r="B1450" s="1" t="n">
        <v>20057</v>
      </c>
      <c r="C1450" s="1" t="inlineStr">
        <is>
          <t>862</t>
        </is>
      </c>
      <c r="D1450" s="1" t="inlineStr">
        <is>
          <t xml:space="preserve">7959  </t>
        </is>
      </c>
      <c r="E1450" s="1" t="inlineStr">
        <is>
          <t xml:space="preserve">28194770       </t>
        </is>
      </c>
      <c r="F1450" s="5" t="inlineStr">
        <is>
          <t>AUTOS DE METAL 3 TEAMSTERZ EN BLISTER</t>
        </is>
      </c>
      <c r="G1450" t="n">
        <v>1</v>
      </c>
      <c r="H1450" s="7" t="n">
        <v>6.9</v>
      </c>
      <c r="I1450" s="7" t="n">
        <v>0</v>
      </c>
      <c r="J1450" s="7" t="n">
        <v>0</v>
      </c>
      <c r="K1450" s="9" t="n">
        <v>0</v>
      </c>
      <c r="L1450" s="10" t="n">
        <v>4.1</v>
      </c>
      <c r="M1450" s="10" t="n">
        <v>1.43</v>
      </c>
      <c r="N1450" t="inlineStr">
        <is>
          <t>1</t>
        </is>
      </c>
      <c r="O1450" t="inlineStr">
        <is>
          <t>16</t>
        </is>
      </c>
      <c r="P1450" t="inlineStr">
        <is>
          <t xml:space="preserve">0       </t>
        </is>
      </c>
      <c r="Q1450" s="26" t="n">
        <v>4.09</v>
      </c>
      <c r="R1450" s="26">
        <f>Q1450*G1450</f>
        <v/>
      </c>
      <c r="S1450" s="26">
        <f>IFERROR(VLOOKUP(E1450*1,Tabla[#All],8,0),0)</f>
        <v/>
      </c>
      <c r="T1450" s="26">
        <f>S1450*G1450</f>
        <v/>
      </c>
      <c r="U1450" s="26">
        <f>R1450-T1450</f>
        <v/>
      </c>
      <c r="V1450" s="26">
        <f>U1450-L1450</f>
        <v/>
      </c>
    </row>
    <row r="1451">
      <c r="A1451" s="11" t="n">
        <v>46218</v>
      </c>
      <c r="B1451" s="1" t="n">
        <v>20057</v>
      </c>
      <c r="C1451" s="1" t="inlineStr">
        <is>
          <t>863</t>
        </is>
      </c>
      <c r="D1451" s="1" t="inlineStr">
        <is>
          <t xml:space="preserve">4875  </t>
        </is>
      </c>
      <c r="E1451" s="1" t="inlineStr">
        <is>
          <t xml:space="preserve">28194770       </t>
        </is>
      </c>
      <c r="F1451" s="5" t="inlineStr">
        <is>
          <t>AUTOS DE METAL 3 TEAMSTERZ EN BLISTER</t>
        </is>
      </c>
      <c r="G1451" t="n">
        <v>1</v>
      </c>
      <c r="H1451" s="7" t="n">
        <v>6.9</v>
      </c>
      <c r="I1451" s="7" t="n">
        <v>0</v>
      </c>
      <c r="J1451" s="7" t="n">
        <v>0</v>
      </c>
      <c r="K1451" s="9" t="n">
        <v>0</v>
      </c>
      <c r="L1451" s="10" t="n">
        <v>4.1</v>
      </c>
      <c r="M1451" s="10" t="n">
        <v>1.43</v>
      </c>
      <c r="N1451" t="inlineStr">
        <is>
          <t>1</t>
        </is>
      </c>
      <c r="O1451" t="inlineStr">
        <is>
          <t>16</t>
        </is>
      </c>
      <c r="P1451" t="inlineStr">
        <is>
          <t xml:space="preserve">0       </t>
        </is>
      </c>
      <c r="Q1451" s="26" t="n">
        <v>4.09</v>
      </c>
      <c r="R1451" s="26">
        <f>Q1451*G1451</f>
        <v/>
      </c>
      <c r="S1451" s="26">
        <f>IFERROR(VLOOKUP(E1451*1,Tabla[#All],8,0),0)</f>
        <v/>
      </c>
      <c r="T1451" s="26">
        <f>S1451*G1451</f>
        <v/>
      </c>
      <c r="U1451" s="26">
        <f>R1451-T1451</f>
        <v/>
      </c>
      <c r="V1451" s="26">
        <f>U1451-L1451</f>
        <v/>
      </c>
    </row>
    <row r="1452">
      <c r="A1452" s="11" t="n">
        <v>46218</v>
      </c>
      <c r="B1452" s="1" t="n">
        <v>20058</v>
      </c>
      <c r="C1452" s="1" t="inlineStr">
        <is>
          <t>011</t>
        </is>
      </c>
      <c r="D1452" s="1" t="inlineStr">
        <is>
          <t>185654</t>
        </is>
      </c>
      <c r="E1452" s="1" t="inlineStr">
        <is>
          <t xml:space="preserve">28194770       </t>
        </is>
      </c>
      <c r="F1452" s="5" t="inlineStr">
        <is>
          <t>AUTOS DE METAL 3 TEAMSTERZ EN BLISTER</t>
        </is>
      </c>
      <c r="G1452" t="n">
        <v>1</v>
      </c>
      <c r="H1452" s="7" t="n">
        <v>6.9</v>
      </c>
      <c r="I1452" s="7" t="n">
        <v>0</v>
      </c>
      <c r="J1452" s="7" t="n">
        <v>0</v>
      </c>
      <c r="K1452" s="9" t="n">
        <v>0</v>
      </c>
      <c r="L1452" s="10" t="n">
        <v>4.1</v>
      </c>
      <c r="M1452" s="10" t="n">
        <v>1.43</v>
      </c>
      <c r="N1452" t="inlineStr">
        <is>
          <t>1</t>
        </is>
      </c>
      <c r="O1452" t="inlineStr">
        <is>
          <t>16</t>
        </is>
      </c>
      <c r="P1452" t="inlineStr">
        <is>
          <t xml:space="preserve">244733  </t>
        </is>
      </c>
      <c r="Q1452" s="26" t="n">
        <v>4.09</v>
      </c>
      <c r="R1452" s="26">
        <f>Q1452*G1452</f>
        <v/>
      </c>
      <c r="S1452" s="26">
        <f>IFERROR(VLOOKUP(E1452*1,Tabla[#All],8,0),0)</f>
        <v/>
      </c>
      <c r="T1452" s="26">
        <f>S1452*G1452</f>
        <v/>
      </c>
      <c r="U1452" s="26">
        <f>R1452-T1452</f>
        <v/>
      </c>
      <c r="V1452" s="26">
        <f>U1452-L1452</f>
        <v/>
      </c>
    </row>
    <row r="1453">
      <c r="A1453" s="11" t="n">
        <v>46218</v>
      </c>
      <c r="B1453" s="1" t="n">
        <v>20058</v>
      </c>
      <c r="C1453" s="1" t="inlineStr">
        <is>
          <t>038</t>
        </is>
      </c>
      <c r="D1453" s="1" t="inlineStr">
        <is>
          <t>209442</t>
        </is>
      </c>
      <c r="E1453" s="1" t="inlineStr">
        <is>
          <t xml:space="preserve">30232283       </t>
        </is>
      </c>
      <c r="F1453" s="5" t="inlineStr">
        <is>
          <t>INFINITY NADO PACK DE 2 TROMPOS DE BATALLA METAL</t>
        </is>
      </c>
      <c r="G1453" t="n">
        <v>1</v>
      </c>
      <c r="H1453" s="7" t="n">
        <v>79.90000000000001</v>
      </c>
      <c r="I1453" s="7" t="n">
        <v>0</v>
      </c>
      <c r="J1453" s="7" t="n">
        <v>0</v>
      </c>
      <c r="K1453" s="9" t="n">
        <v>0</v>
      </c>
      <c r="L1453" s="10" t="n">
        <v>47.4</v>
      </c>
      <c r="M1453" s="10" t="n">
        <v>1.43</v>
      </c>
      <c r="N1453" t="inlineStr">
        <is>
          <t>1</t>
        </is>
      </c>
      <c r="O1453" t="inlineStr">
        <is>
          <t>16</t>
        </is>
      </c>
      <c r="P1453" t="inlineStr">
        <is>
          <t xml:space="preserve">239663  </t>
        </is>
      </c>
      <c r="Q1453" s="26" t="n">
        <v>47.4</v>
      </c>
      <c r="R1453" s="26">
        <f>Q1453*G1453</f>
        <v/>
      </c>
      <c r="S1453" s="26">
        <f>IFERROR(VLOOKUP(E1453*1,Tabla[#All],8,0),0)</f>
        <v/>
      </c>
      <c r="T1453" s="26">
        <f>S1453*G1453</f>
        <v/>
      </c>
      <c r="U1453" s="26">
        <f>R1453-T1453</f>
        <v/>
      </c>
      <c r="V1453" s="26">
        <f>U1453-L1453</f>
        <v/>
      </c>
    </row>
    <row r="1454">
      <c r="A1454" s="11" t="n">
        <v>46218</v>
      </c>
      <c r="B1454" s="1" t="n">
        <v>20058</v>
      </c>
      <c r="C1454" s="1" t="inlineStr">
        <is>
          <t>039</t>
        </is>
      </c>
      <c r="D1454" s="1" t="inlineStr">
        <is>
          <t>230580</t>
        </is>
      </c>
      <c r="E1454" s="1" t="inlineStr">
        <is>
          <t xml:space="preserve">30141766       </t>
        </is>
      </c>
      <c r="F1454" s="5" t="inlineStr">
        <is>
          <t>TMZ BEAST MACHINES AUTOS DE METAL BLISTER X 1</t>
        </is>
      </c>
      <c r="G1454" t="n">
        <v>1</v>
      </c>
      <c r="H1454" s="7" t="n">
        <v>7.9</v>
      </c>
      <c r="I1454" s="7" t="n">
        <v>1</v>
      </c>
      <c r="J1454" s="7" t="n">
        <v>0</v>
      </c>
      <c r="K1454" s="9" t="n">
        <v>1</v>
      </c>
      <c r="L1454" s="10" t="n">
        <v>4.1</v>
      </c>
      <c r="M1454" s="10" t="n">
        <v>1.43</v>
      </c>
      <c r="N1454" t="inlineStr">
        <is>
          <t>1</t>
        </is>
      </c>
      <c r="O1454" t="inlineStr">
        <is>
          <t xml:space="preserve">6 </t>
        </is>
      </c>
      <c r="P1454" t="inlineStr">
        <is>
          <t xml:space="preserve">239663  </t>
        </is>
      </c>
      <c r="Q1454" s="26" t="n">
        <v>4.69</v>
      </c>
      <c r="R1454" s="26">
        <f>Q1454*G1454</f>
        <v/>
      </c>
      <c r="S1454" s="26">
        <f>IFERROR(VLOOKUP(E1454*1,Tabla[#All],8,0),0)</f>
        <v/>
      </c>
      <c r="T1454" s="26">
        <f>S1454*G1454</f>
        <v/>
      </c>
      <c r="U1454" s="26">
        <f>R1454-T1454</f>
        <v/>
      </c>
      <c r="V1454" s="26">
        <f>U1454-L1454</f>
        <v/>
      </c>
    </row>
    <row r="1455">
      <c r="A1455" s="11" t="n">
        <v>46218</v>
      </c>
      <c r="B1455" s="1" t="n">
        <v>20058</v>
      </c>
      <c r="C1455" s="1" t="inlineStr">
        <is>
          <t>039</t>
        </is>
      </c>
      <c r="D1455" s="1" t="inlineStr">
        <is>
          <t>230580</t>
        </is>
      </c>
      <c r="E1455" s="1" t="inlineStr">
        <is>
          <t xml:space="preserve">30141766       </t>
        </is>
      </c>
      <c r="F1455" s="5" t="inlineStr">
        <is>
          <t>TMZ BEAST MACHINES AUTOS DE METAL BLISTER X 1</t>
        </is>
      </c>
      <c r="G1455" t="n">
        <v>1</v>
      </c>
      <c r="H1455" s="7" t="n">
        <v>7.9</v>
      </c>
      <c r="I1455" s="7" t="n">
        <v>1</v>
      </c>
      <c r="J1455" s="7" t="n">
        <v>0</v>
      </c>
      <c r="K1455" s="9" t="n">
        <v>1</v>
      </c>
      <c r="L1455" s="10" t="n">
        <v>4.1</v>
      </c>
      <c r="M1455" s="10" t="n">
        <v>1.43</v>
      </c>
      <c r="N1455" t="inlineStr">
        <is>
          <t>1</t>
        </is>
      </c>
      <c r="O1455" t="inlineStr">
        <is>
          <t xml:space="preserve">6 </t>
        </is>
      </c>
      <c r="P1455" t="inlineStr">
        <is>
          <t xml:space="preserve">239663  </t>
        </is>
      </c>
      <c r="Q1455" s="26" t="n">
        <v>4.69</v>
      </c>
      <c r="R1455" s="26">
        <f>Q1455*G1455</f>
        <v/>
      </c>
      <c r="S1455" s="26">
        <f>IFERROR(VLOOKUP(E1455*1,Tabla[#All],8,0),0)</f>
        <v/>
      </c>
      <c r="T1455" s="26">
        <f>S1455*G1455</f>
        <v/>
      </c>
      <c r="U1455" s="26">
        <f>R1455-T1455</f>
        <v/>
      </c>
      <c r="V1455" s="26">
        <f>U1455-L1455</f>
        <v/>
      </c>
    </row>
    <row r="1456">
      <c r="A1456" s="11" t="n">
        <v>46218</v>
      </c>
      <c r="B1456" s="1" t="n">
        <v>20058</v>
      </c>
      <c r="C1456" s="1" t="inlineStr">
        <is>
          <t>039</t>
        </is>
      </c>
      <c r="D1456" s="1" t="inlineStr">
        <is>
          <t>230580</t>
        </is>
      </c>
      <c r="E1456" s="1" t="inlineStr">
        <is>
          <t xml:space="preserve">30141766       </t>
        </is>
      </c>
      <c r="F1456" s="5" t="inlineStr">
        <is>
          <t>TMZ BEAST MACHINES AUTOS DE METAL BLISTER X 1</t>
        </is>
      </c>
      <c r="G1456" t="n">
        <v>1</v>
      </c>
      <c r="H1456" s="7" t="n">
        <v>7.9</v>
      </c>
      <c r="I1456" s="7" t="n">
        <v>1</v>
      </c>
      <c r="J1456" s="7" t="n">
        <v>0</v>
      </c>
      <c r="K1456" s="9" t="n">
        <v>1</v>
      </c>
      <c r="L1456" s="10" t="n">
        <v>4.1</v>
      </c>
      <c r="M1456" s="10" t="n">
        <v>1.43</v>
      </c>
      <c r="N1456" t="inlineStr">
        <is>
          <t>1</t>
        </is>
      </c>
      <c r="O1456" t="inlineStr">
        <is>
          <t xml:space="preserve">6 </t>
        </is>
      </c>
      <c r="P1456" t="inlineStr">
        <is>
          <t xml:space="preserve">239663  </t>
        </is>
      </c>
      <c r="Q1456" s="26" t="n">
        <v>4.69</v>
      </c>
      <c r="R1456" s="26">
        <f>Q1456*G1456</f>
        <v/>
      </c>
      <c r="S1456" s="26">
        <f>IFERROR(VLOOKUP(E1456*1,Tabla[#All],8,0),0)</f>
        <v/>
      </c>
      <c r="T1456" s="26">
        <f>S1456*G1456</f>
        <v/>
      </c>
      <c r="U1456" s="26">
        <f>R1456-T1456</f>
        <v/>
      </c>
      <c r="V1456" s="26">
        <f>U1456-L1456</f>
        <v/>
      </c>
    </row>
    <row r="1457">
      <c r="A1457" s="11" t="n">
        <v>46218</v>
      </c>
      <c r="B1457" s="1" t="n">
        <v>20058</v>
      </c>
      <c r="C1457" s="1" t="inlineStr">
        <is>
          <t>039</t>
        </is>
      </c>
      <c r="D1457" s="1" t="inlineStr">
        <is>
          <t>230584</t>
        </is>
      </c>
      <c r="E1457" s="1" t="inlineStr">
        <is>
          <t xml:space="preserve">35685067       </t>
        </is>
      </c>
      <c r="F1457" s="5" t="inlineStr">
        <is>
          <t>HOT WHEELS POWER SET 3 EN 1</t>
        </is>
      </c>
      <c r="G1457" t="n">
        <v>1</v>
      </c>
      <c r="H1457" s="7" t="n">
        <v>49.9</v>
      </c>
      <c r="I1457" s="7" t="n">
        <v>0</v>
      </c>
      <c r="J1457" s="7" t="n">
        <v>0</v>
      </c>
      <c r="K1457" s="9" t="n">
        <v>0</v>
      </c>
      <c r="L1457" s="10" t="n">
        <v>29.6</v>
      </c>
      <c r="M1457" s="10" t="n">
        <v>1.43</v>
      </c>
      <c r="N1457" t="inlineStr">
        <is>
          <t>1</t>
        </is>
      </c>
      <c r="O1457" t="inlineStr">
        <is>
          <t>16</t>
        </is>
      </c>
      <c r="P1457" t="inlineStr">
        <is>
          <t xml:space="preserve">246156  </t>
        </is>
      </c>
      <c r="Q1457" s="26" t="n">
        <v>29.6</v>
      </c>
      <c r="R1457" s="26">
        <f>Q1457*G1457</f>
        <v/>
      </c>
      <c r="S1457" s="26">
        <f>IFERROR(VLOOKUP(E1457*1,Tabla[#All],8,0),0)</f>
        <v/>
      </c>
      <c r="T1457" s="26">
        <f>S1457*G1457</f>
        <v/>
      </c>
      <c r="U1457" s="26">
        <f>R1457-T1457</f>
        <v/>
      </c>
      <c r="V1457" s="26">
        <f>U1457-L1457</f>
        <v/>
      </c>
    </row>
    <row r="1458">
      <c r="A1458" s="11" t="n">
        <v>46218</v>
      </c>
      <c r="B1458" s="1" t="n">
        <v>20058</v>
      </c>
      <c r="C1458" s="1" t="inlineStr">
        <is>
          <t>039</t>
        </is>
      </c>
      <c r="D1458" s="1" t="inlineStr">
        <is>
          <t>230624</t>
        </is>
      </c>
      <c r="E1458" s="1" t="inlineStr">
        <is>
          <t xml:space="preserve">34840551       </t>
        </is>
      </c>
      <c r="F1458" s="5" t="inlineStr">
        <is>
          <t>TMZ HELI BOMBERO CON LUCES Y SONIDOS</t>
        </is>
      </c>
      <c r="G1458" t="n">
        <v>1</v>
      </c>
      <c r="H1458" s="7" t="n">
        <v>79.90000000000001</v>
      </c>
      <c r="I1458" s="7" t="n">
        <v>0</v>
      </c>
      <c r="J1458" s="7" t="n">
        <v>0</v>
      </c>
      <c r="K1458" s="9" t="n">
        <v>0</v>
      </c>
      <c r="L1458" s="10" t="n">
        <v>47.4</v>
      </c>
      <c r="M1458" s="10" t="n">
        <v>1.43</v>
      </c>
      <c r="N1458" t="inlineStr">
        <is>
          <t>1</t>
        </is>
      </c>
      <c r="O1458" t="inlineStr">
        <is>
          <t>16</t>
        </is>
      </c>
      <c r="P1458" t="inlineStr">
        <is>
          <t xml:space="preserve">244952  </t>
        </is>
      </c>
      <c r="Q1458" s="26" t="n">
        <v>47.4</v>
      </c>
      <c r="R1458" s="26">
        <f>Q1458*G1458</f>
        <v/>
      </c>
      <c r="S1458" s="26">
        <f>IFERROR(VLOOKUP(E1458*1,Tabla[#All],8,0),0)</f>
        <v/>
      </c>
      <c r="T1458" s="26">
        <f>S1458*G1458</f>
        <v/>
      </c>
      <c r="U1458" s="26">
        <f>R1458-T1458</f>
        <v/>
      </c>
      <c r="V1458" s="26">
        <f>U1458-L1458</f>
        <v/>
      </c>
    </row>
    <row r="1459">
      <c r="A1459" s="11" t="n">
        <v>46218</v>
      </c>
      <c r="B1459" s="1" t="n">
        <v>20058</v>
      </c>
      <c r="C1459" s="1" t="inlineStr">
        <is>
          <t>191</t>
        </is>
      </c>
      <c r="D1459" s="1" t="inlineStr">
        <is>
          <t xml:space="preserve">6270  </t>
        </is>
      </c>
      <c r="E1459" s="1" t="inlineStr">
        <is>
          <t xml:space="preserve">33483121       </t>
        </is>
      </c>
      <c r="F1459" s="5" t="inlineStr">
        <is>
          <t>HOT WHEELS ESTUCHE PARA 15 AUTOS SURTIDO</t>
        </is>
      </c>
      <c r="G1459" t="n">
        <v>1</v>
      </c>
      <c r="H1459" s="7" t="n">
        <v>34.9</v>
      </c>
      <c r="I1459" s="7" t="n">
        <v>0</v>
      </c>
      <c r="J1459" s="7" t="n">
        <v>0</v>
      </c>
      <c r="K1459" s="9" t="n">
        <v>0</v>
      </c>
      <c r="L1459" s="10" t="n">
        <v>20.71</v>
      </c>
      <c r="M1459" s="10" t="n">
        <v>1.43</v>
      </c>
      <c r="N1459" t="inlineStr">
        <is>
          <t>1</t>
        </is>
      </c>
      <c r="O1459" t="inlineStr">
        <is>
          <t>16</t>
        </is>
      </c>
      <c r="P1459" t="inlineStr">
        <is>
          <t xml:space="preserve">249636  </t>
        </is>
      </c>
      <c r="Q1459" s="26" t="n">
        <v>20.7</v>
      </c>
      <c r="R1459" s="26">
        <f>Q1459*G1459</f>
        <v/>
      </c>
      <c r="S1459" s="26">
        <f>IFERROR(VLOOKUP(E1459*1,Tabla[#All],8,0),0)</f>
        <v/>
      </c>
      <c r="T1459" s="26">
        <f>S1459*G1459</f>
        <v/>
      </c>
      <c r="U1459" s="26">
        <f>R1459-T1459</f>
        <v/>
      </c>
      <c r="V1459" s="26">
        <f>U1459-L1459</f>
        <v/>
      </c>
    </row>
    <row r="1460">
      <c r="A1460" s="11" t="n">
        <v>46218</v>
      </c>
      <c r="B1460" s="1" t="n">
        <v>20060</v>
      </c>
      <c r="C1460" s="1" t="inlineStr">
        <is>
          <t>303</t>
        </is>
      </c>
      <c r="D1460" s="1" t="inlineStr">
        <is>
          <t xml:space="preserve">2564  </t>
        </is>
      </c>
      <c r="E1460" s="1" t="inlineStr">
        <is>
          <t xml:space="preserve">29235701       </t>
        </is>
      </c>
      <c r="F1460" s="5" t="inlineStr">
        <is>
          <t>INFINITY NADO TROMPO DE BATALLA - METAL EN CAJA</t>
        </is>
      </c>
      <c r="G1460" t="n">
        <v>1</v>
      </c>
      <c r="H1460" s="7" t="n">
        <v>39.9</v>
      </c>
      <c r="I1460" s="7" t="n">
        <v>0</v>
      </c>
      <c r="J1460" s="7" t="n">
        <v>0</v>
      </c>
      <c r="K1460" s="9" t="n">
        <v>0</v>
      </c>
      <c r="L1460" s="10" t="n">
        <v>23.67</v>
      </c>
      <c r="M1460" s="10" t="n">
        <v>1.43</v>
      </c>
      <c r="N1460" t="inlineStr">
        <is>
          <t>1</t>
        </is>
      </c>
      <c r="O1460" t="inlineStr">
        <is>
          <t>16</t>
        </is>
      </c>
      <c r="P1460" t="inlineStr">
        <is>
          <t>82807346</t>
        </is>
      </c>
      <c r="Q1460" s="26" t="n">
        <v>23.67</v>
      </c>
      <c r="R1460" s="26">
        <f>Q1460*G1460</f>
        <v/>
      </c>
      <c r="S1460" s="26">
        <f>IFERROR(VLOOKUP(E1460*1,Tabla[#All],8,0),0)</f>
        <v/>
      </c>
      <c r="T1460" s="26">
        <f>S1460*G1460</f>
        <v/>
      </c>
      <c r="U1460" s="26">
        <f>R1460-T1460</f>
        <v/>
      </c>
      <c r="V1460" s="26">
        <f>U1460-L1460</f>
        <v/>
      </c>
    </row>
    <row r="1461">
      <c r="A1461" s="11" t="n">
        <v>46218</v>
      </c>
      <c r="B1461" s="1" t="n">
        <v>20060</v>
      </c>
      <c r="C1461" s="1" t="inlineStr">
        <is>
          <t>306</t>
        </is>
      </c>
      <c r="D1461" s="1" t="inlineStr">
        <is>
          <t xml:space="preserve">2233  </t>
        </is>
      </c>
      <c r="E1461" s="1" t="inlineStr">
        <is>
          <t xml:space="preserve">32457101       </t>
        </is>
      </c>
      <c r="F1461" s="5" t="inlineStr">
        <is>
          <t>TMZ BEAST MACHINES TRANSPORTE PESADO + 2 AUTOS SUR</t>
        </is>
      </c>
      <c r="G1461" t="n">
        <v>1</v>
      </c>
      <c r="H1461" s="7" t="n">
        <v>33.9</v>
      </c>
      <c r="I1461" s="7" t="n">
        <v>0</v>
      </c>
      <c r="J1461" s="7" t="n">
        <v>0</v>
      </c>
      <c r="K1461" s="9" t="n">
        <v>0</v>
      </c>
      <c r="L1461" s="10" t="n">
        <v>20.11</v>
      </c>
      <c r="M1461" s="10" t="n">
        <v>1.43</v>
      </c>
      <c r="N1461" t="inlineStr">
        <is>
          <t>1</t>
        </is>
      </c>
      <c r="O1461" t="inlineStr">
        <is>
          <t xml:space="preserve">3 </t>
        </is>
      </c>
      <c r="P1461" t="inlineStr">
        <is>
          <t>82807346</t>
        </is>
      </c>
      <c r="Q1461" s="26" t="n">
        <v>22.48</v>
      </c>
      <c r="R1461" s="26">
        <f>Q1461*G1461</f>
        <v/>
      </c>
      <c r="S1461" s="26">
        <f>IFERROR(VLOOKUP(E1461*1,Tabla[#All],8,0),0)</f>
        <v/>
      </c>
      <c r="T1461" s="26">
        <f>S1461*G1461</f>
        <v/>
      </c>
      <c r="U1461" s="26">
        <f>R1461-T1461</f>
        <v/>
      </c>
      <c r="V1461" s="26">
        <f>U1461-L1461</f>
        <v/>
      </c>
    </row>
    <row r="1462">
      <c r="A1462" s="11" t="n">
        <v>46218</v>
      </c>
      <c r="B1462" s="1" t="n">
        <v>20062</v>
      </c>
      <c r="C1462" s="1" t="inlineStr">
        <is>
          <t>053</t>
        </is>
      </c>
      <c r="D1462" s="1" t="inlineStr">
        <is>
          <t>243212</t>
        </is>
      </c>
      <c r="E1462" s="1" t="inlineStr">
        <is>
          <t xml:space="preserve">32457099       </t>
        </is>
      </c>
      <c r="F1462" s="5" t="inlineStr">
        <is>
          <t>TMZ BEAST MACHINES MONSTER JAWS A FRICCION BLISTER</t>
        </is>
      </c>
      <c r="G1462" t="n">
        <v>1</v>
      </c>
      <c r="H1462" s="7" t="n">
        <v>19.9</v>
      </c>
      <c r="I1462" s="7" t="n">
        <v>0</v>
      </c>
      <c r="J1462" s="7" t="n">
        <v>0</v>
      </c>
      <c r="K1462" s="9" t="n">
        <v>0</v>
      </c>
      <c r="L1462" s="10" t="n">
        <v>11.8</v>
      </c>
      <c r="M1462" s="10" t="n">
        <v>1.43</v>
      </c>
      <c r="N1462" t="inlineStr">
        <is>
          <t>1</t>
        </is>
      </c>
      <c r="O1462" t="inlineStr">
        <is>
          <t xml:space="preserve">3 </t>
        </is>
      </c>
      <c r="P1462" t="inlineStr">
        <is>
          <t xml:space="preserve">250432  </t>
        </is>
      </c>
      <c r="Q1462" s="26" t="n">
        <v>11.81</v>
      </c>
      <c r="R1462" s="26">
        <f>Q1462*G1462</f>
        <v/>
      </c>
      <c r="S1462" s="26">
        <f>IFERROR(VLOOKUP(E1462*1,Tabla[#All],8,0),0)</f>
        <v/>
      </c>
      <c r="T1462" s="26">
        <f>S1462*G1462</f>
        <v/>
      </c>
      <c r="U1462" s="26">
        <f>R1462-T1462</f>
        <v/>
      </c>
      <c r="V1462" s="26">
        <f>U1462-L1462</f>
        <v/>
      </c>
    </row>
    <row r="1463">
      <c r="A1463" s="11" t="n">
        <v>46218</v>
      </c>
      <c r="B1463" s="1" t="n">
        <v>20062</v>
      </c>
      <c r="C1463" s="1" t="inlineStr">
        <is>
          <t>800</t>
        </is>
      </c>
      <c r="D1463" s="1" t="inlineStr">
        <is>
          <t xml:space="preserve">4041  </t>
        </is>
      </c>
      <c r="E1463" s="1" t="inlineStr">
        <is>
          <t xml:space="preserve">32457099       </t>
        </is>
      </c>
      <c r="F1463" s="5" t="inlineStr">
        <is>
          <t>TMZ BEAST MACHINES MONSTER JAWS A FRICCION BLISTER</t>
        </is>
      </c>
      <c r="G1463" t="n">
        <v>1</v>
      </c>
      <c r="H1463" s="7" t="n">
        <v>19.9</v>
      </c>
      <c r="I1463" s="7" t="n">
        <v>0</v>
      </c>
      <c r="J1463" s="7" t="n">
        <v>0</v>
      </c>
      <c r="K1463" s="9" t="n">
        <v>0</v>
      </c>
      <c r="L1463" s="10" t="n">
        <v>11.8</v>
      </c>
      <c r="M1463" s="10" t="n">
        <v>1.43</v>
      </c>
      <c r="N1463" t="inlineStr">
        <is>
          <t>1</t>
        </is>
      </c>
      <c r="O1463" t="inlineStr">
        <is>
          <t>16</t>
        </is>
      </c>
      <c r="P1463" t="inlineStr">
        <is>
          <t xml:space="preserve">244467  </t>
        </is>
      </c>
      <c r="Q1463" s="26" t="n">
        <v>11.81</v>
      </c>
      <c r="R1463" s="26">
        <f>Q1463*G1463</f>
        <v/>
      </c>
      <c r="S1463" s="26">
        <f>IFERROR(VLOOKUP(E1463*1,Tabla[#All],8,0),0)</f>
        <v/>
      </c>
      <c r="T1463" s="26">
        <f>S1463*G1463</f>
        <v/>
      </c>
      <c r="U1463" s="26">
        <f>R1463-T1463</f>
        <v/>
      </c>
      <c r="V1463" s="26">
        <f>U1463-L1463</f>
        <v/>
      </c>
    </row>
    <row r="1464">
      <c r="A1464" s="11" t="n">
        <v>46218</v>
      </c>
      <c r="B1464" s="1" t="n">
        <v>20066</v>
      </c>
      <c r="C1464" s="1" t="inlineStr">
        <is>
          <t>057</t>
        </is>
      </c>
      <c r="D1464" s="1" t="inlineStr">
        <is>
          <t>493970</t>
        </is>
      </c>
      <c r="E1464" s="1" t="inlineStr">
        <is>
          <t xml:space="preserve">28194770       </t>
        </is>
      </c>
      <c r="F1464" s="5" t="inlineStr">
        <is>
          <t>AUTOS DE METAL 3 TEAMSTERZ EN BLISTER</t>
        </is>
      </c>
      <c r="G1464" t="n">
        <v>1</v>
      </c>
      <c r="H1464" s="7" t="n">
        <v>6.9</v>
      </c>
      <c r="I1464" s="7" t="n">
        <v>0</v>
      </c>
      <c r="J1464" s="7" t="n">
        <v>0</v>
      </c>
      <c r="K1464" s="9" t="n">
        <v>0</v>
      </c>
      <c r="L1464" s="10" t="n">
        <v>4.1</v>
      </c>
      <c r="M1464" s="10" t="n">
        <v>1.43</v>
      </c>
      <c r="N1464" t="inlineStr">
        <is>
          <t>1</t>
        </is>
      </c>
      <c r="O1464" t="inlineStr">
        <is>
          <t>16</t>
        </is>
      </c>
      <c r="P1464" t="inlineStr">
        <is>
          <t xml:space="preserve">57301   </t>
        </is>
      </c>
      <c r="Q1464" s="26" t="n">
        <v>4.09</v>
      </c>
      <c r="R1464" s="26">
        <f>Q1464*G1464</f>
        <v/>
      </c>
      <c r="S1464" s="26">
        <f>IFERROR(VLOOKUP(E1464*1,Tabla[#All],8,0),0)</f>
        <v/>
      </c>
      <c r="T1464" s="26">
        <f>S1464*G1464</f>
        <v/>
      </c>
      <c r="U1464" s="26">
        <f>R1464-T1464</f>
        <v/>
      </c>
      <c r="V1464" s="26">
        <f>U1464-L1464</f>
        <v/>
      </c>
    </row>
    <row r="1465">
      <c r="A1465" s="11" t="n">
        <v>46218</v>
      </c>
      <c r="B1465" s="1" t="n">
        <v>20066</v>
      </c>
      <c r="C1465" s="1" t="inlineStr">
        <is>
          <t>057</t>
        </is>
      </c>
      <c r="D1465" s="1" t="inlineStr">
        <is>
          <t>493970</t>
        </is>
      </c>
      <c r="E1465" s="1" t="inlineStr">
        <is>
          <t xml:space="preserve">28194770       </t>
        </is>
      </c>
      <c r="F1465" s="5" t="inlineStr">
        <is>
          <t>AUTOS DE METAL 3 TEAMSTERZ EN BLISTER</t>
        </is>
      </c>
      <c r="G1465" t="n">
        <v>1</v>
      </c>
      <c r="H1465" s="7" t="n">
        <v>6.9</v>
      </c>
      <c r="I1465" s="7" t="n">
        <v>0</v>
      </c>
      <c r="J1465" s="7" t="n">
        <v>0</v>
      </c>
      <c r="K1465" s="9" t="n">
        <v>0</v>
      </c>
      <c r="L1465" s="10" t="n">
        <v>4.1</v>
      </c>
      <c r="M1465" s="10" t="n">
        <v>1.43</v>
      </c>
      <c r="N1465" t="inlineStr">
        <is>
          <t>1</t>
        </is>
      </c>
      <c r="O1465" t="inlineStr">
        <is>
          <t>16</t>
        </is>
      </c>
      <c r="P1465" t="inlineStr">
        <is>
          <t xml:space="preserve">57301   </t>
        </is>
      </c>
      <c r="Q1465" s="26" t="n">
        <v>4.09</v>
      </c>
      <c r="R1465" s="26">
        <f>Q1465*G1465</f>
        <v/>
      </c>
      <c r="S1465" s="26">
        <f>IFERROR(VLOOKUP(E1465*1,Tabla[#All],8,0),0)</f>
        <v/>
      </c>
      <c r="T1465" s="26">
        <f>S1465*G1465</f>
        <v/>
      </c>
      <c r="U1465" s="26">
        <f>R1465-T1465</f>
        <v/>
      </c>
      <c r="V1465" s="26">
        <f>U1465-L1465</f>
        <v/>
      </c>
    </row>
    <row r="1466">
      <c r="A1466" s="11" t="n">
        <v>46218</v>
      </c>
      <c r="B1466" s="1" t="n">
        <v>20066</v>
      </c>
      <c r="C1466" s="1" t="inlineStr">
        <is>
          <t>058</t>
        </is>
      </c>
      <c r="D1466" s="1" t="inlineStr">
        <is>
          <t xml:space="preserve">60588 </t>
        </is>
      </c>
      <c r="E1466" s="1" t="inlineStr">
        <is>
          <t xml:space="preserve">28194770       </t>
        </is>
      </c>
      <c r="F1466" s="5" t="inlineStr">
        <is>
          <t>AUTOS DE METAL 3 TEAMSTERZ EN BLISTER</t>
        </is>
      </c>
      <c r="G1466" t="n">
        <v>1</v>
      </c>
      <c r="H1466" s="7" t="n">
        <v>6.9</v>
      </c>
      <c r="I1466" s="7" t="n">
        <v>0</v>
      </c>
      <c r="J1466" s="7" t="n">
        <v>0</v>
      </c>
      <c r="K1466" s="9" t="n">
        <v>0</v>
      </c>
      <c r="L1466" s="10" t="n">
        <v>4.1</v>
      </c>
      <c r="M1466" s="10" t="n">
        <v>1.43</v>
      </c>
      <c r="N1466" t="inlineStr">
        <is>
          <t>1</t>
        </is>
      </c>
      <c r="O1466" t="inlineStr">
        <is>
          <t>16</t>
        </is>
      </c>
      <c r="P1466" t="inlineStr">
        <is>
          <t xml:space="preserve">44050   </t>
        </is>
      </c>
      <c r="Q1466" s="26" t="n">
        <v>4.09</v>
      </c>
      <c r="R1466" s="26">
        <f>Q1466*G1466</f>
        <v/>
      </c>
      <c r="S1466" s="26">
        <f>IFERROR(VLOOKUP(E1466*1,Tabla[#All],8,0),0)</f>
        <v/>
      </c>
      <c r="T1466" s="26">
        <f>S1466*G1466</f>
        <v/>
      </c>
      <c r="U1466" s="26">
        <f>R1466-T1466</f>
        <v/>
      </c>
      <c r="V1466" s="26">
        <f>U1466-L1466</f>
        <v/>
      </c>
    </row>
    <row r="1467">
      <c r="A1467" s="11" t="n">
        <v>46218</v>
      </c>
      <c r="B1467" s="1" t="n">
        <v>20066</v>
      </c>
      <c r="C1467" s="1" t="inlineStr">
        <is>
          <t>058</t>
        </is>
      </c>
      <c r="D1467" s="1" t="inlineStr">
        <is>
          <t xml:space="preserve">60601 </t>
        </is>
      </c>
      <c r="E1467" s="1" t="inlineStr">
        <is>
          <t xml:space="preserve">28194770       </t>
        </is>
      </c>
      <c r="F1467" s="5" t="inlineStr">
        <is>
          <t>AUTOS DE METAL 3 TEAMSTERZ EN BLISTER</t>
        </is>
      </c>
      <c r="G1467" t="n">
        <v>1</v>
      </c>
      <c r="H1467" s="7" t="n">
        <v>6.9</v>
      </c>
      <c r="I1467" s="7" t="n">
        <v>0</v>
      </c>
      <c r="J1467" s="7" t="n">
        <v>0</v>
      </c>
      <c r="K1467" s="9" t="n">
        <v>0</v>
      </c>
      <c r="L1467" s="10" t="n">
        <v>4.1</v>
      </c>
      <c r="M1467" s="10" t="n">
        <v>1.43</v>
      </c>
      <c r="N1467" t="inlineStr">
        <is>
          <t>1</t>
        </is>
      </c>
      <c r="O1467" t="inlineStr">
        <is>
          <t>16</t>
        </is>
      </c>
      <c r="P1467" t="inlineStr">
        <is>
          <t xml:space="preserve">44050   </t>
        </is>
      </c>
      <c r="Q1467" s="26" t="n">
        <v>4.09</v>
      </c>
      <c r="R1467" s="26">
        <f>Q1467*G1467</f>
        <v/>
      </c>
      <c r="S1467" s="26">
        <f>IFERROR(VLOOKUP(E1467*1,Tabla[#All],8,0),0)</f>
        <v/>
      </c>
      <c r="T1467" s="26">
        <f>S1467*G1467</f>
        <v/>
      </c>
      <c r="U1467" s="26">
        <f>R1467-T1467</f>
        <v/>
      </c>
      <c r="V1467" s="26">
        <f>U1467-L1467</f>
        <v/>
      </c>
    </row>
    <row r="1468">
      <c r="A1468" s="11" t="n">
        <v>46218</v>
      </c>
      <c r="B1468" s="1" t="n">
        <v>20069</v>
      </c>
      <c r="C1468" s="1" t="inlineStr">
        <is>
          <t>026</t>
        </is>
      </c>
      <c r="D1468" s="1" t="inlineStr">
        <is>
          <t>359360</t>
        </is>
      </c>
      <c r="E1468" s="1" t="inlineStr">
        <is>
          <t xml:space="preserve">28194770       </t>
        </is>
      </c>
      <c r="F1468" s="5" t="inlineStr">
        <is>
          <t>AUTOS DE METAL 3 TEAMSTERZ EN BLISTER</t>
        </is>
      </c>
      <c r="G1468" t="n">
        <v>1</v>
      </c>
      <c r="H1468" s="7" t="n">
        <v>6.9</v>
      </c>
      <c r="I1468" s="7" t="n">
        <v>0</v>
      </c>
      <c r="J1468" s="7" t="n">
        <v>0</v>
      </c>
      <c r="K1468" s="9" t="n">
        <v>0</v>
      </c>
      <c r="L1468" s="10" t="n">
        <v>4.1</v>
      </c>
      <c r="M1468" s="10" t="n">
        <v>1.43</v>
      </c>
      <c r="N1468" t="inlineStr">
        <is>
          <t>1</t>
        </is>
      </c>
      <c r="O1468" t="inlineStr">
        <is>
          <t xml:space="preserve">2 </t>
        </is>
      </c>
      <c r="P1468" t="inlineStr">
        <is>
          <t xml:space="preserve">249779  </t>
        </is>
      </c>
      <c r="Q1468" s="26" t="n">
        <v>4.09</v>
      </c>
      <c r="R1468" s="26">
        <f>Q1468*G1468</f>
        <v/>
      </c>
      <c r="S1468" s="26">
        <f>IFERROR(VLOOKUP(E1468*1,Tabla[#All],8,0),0)</f>
        <v/>
      </c>
      <c r="T1468" s="26">
        <f>S1468*G1468</f>
        <v/>
      </c>
      <c r="U1468" s="26">
        <f>R1468-T1468</f>
        <v/>
      </c>
      <c r="V1468" s="26">
        <f>U1468-L1468</f>
        <v/>
      </c>
    </row>
    <row r="1469">
      <c r="A1469" s="11" t="n">
        <v>46218</v>
      </c>
      <c r="B1469" s="1" t="n">
        <v>20073</v>
      </c>
      <c r="C1469" s="1" t="inlineStr">
        <is>
          <t>016</t>
        </is>
      </c>
      <c r="D1469" s="1" t="inlineStr">
        <is>
          <t xml:space="preserve">14528 </t>
        </is>
      </c>
      <c r="E1469" s="1" t="inlineStr">
        <is>
          <t xml:space="preserve">28194768       </t>
        </is>
      </c>
      <c r="F1469" s="5" t="inlineStr">
        <is>
          <t>AUTO COLOR CHANGE TEAMSTERZ SURTIDO</t>
        </is>
      </c>
      <c r="G1469" t="n">
        <v>1</v>
      </c>
      <c r="H1469" s="7" t="n">
        <v>14.9</v>
      </c>
      <c r="I1469" s="7" t="n">
        <v>0</v>
      </c>
      <c r="J1469" s="7" t="n">
        <v>0</v>
      </c>
      <c r="K1469" s="9" t="n">
        <v>0</v>
      </c>
      <c r="L1469" s="10" t="n">
        <v>8.84</v>
      </c>
      <c r="M1469" s="10" t="n">
        <v>1.43</v>
      </c>
      <c r="N1469" t="inlineStr">
        <is>
          <t>1</t>
        </is>
      </c>
      <c r="O1469" t="inlineStr">
        <is>
          <t>16</t>
        </is>
      </c>
      <c r="P1469" t="inlineStr">
        <is>
          <t xml:space="preserve">91372   </t>
        </is>
      </c>
      <c r="Q1469" s="26" t="n">
        <v>8.84</v>
      </c>
      <c r="R1469" s="26">
        <f>Q1469*G1469</f>
        <v/>
      </c>
      <c r="S1469" s="26">
        <f>IFERROR(VLOOKUP(E1469*1,Tabla[#All],8,0),0)</f>
        <v/>
      </c>
      <c r="T1469" s="26">
        <f>S1469*G1469</f>
        <v/>
      </c>
      <c r="U1469" s="26">
        <f>R1469-T1469</f>
        <v/>
      </c>
      <c r="V1469" s="26">
        <f>U1469-L1469</f>
        <v/>
      </c>
    </row>
    <row r="1470">
      <c r="A1470" s="11" t="n">
        <v>46218</v>
      </c>
      <c r="B1470" s="1" t="n">
        <v>20073</v>
      </c>
      <c r="C1470" s="1" t="inlineStr">
        <is>
          <t>016</t>
        </is>
      </c>
      <c r="D1470" s="1" t="inlineStr">
        <is>
          <t xml:space="preserve">14528 </t>
        </is>
      </c>
      <c r="E1470" s="1" t="inlineStr">
        <is>
          <t xml:space="preserve">30141766       </t>
        </is>
      </c>
      <c r="F1470" s="5" t="inlineStr">
        <is>
          <t>TMZ BEAST MACHINES AUTOS DE METAL BLISTER X 1</t>
        </is>
      </c>
      <c r="G1470" t="n">
        <v>1</v>
      </c>
      <c r="H1470" s="7" t="n">
        <v>7.9</v>
      </c>
      <c r="I1470" s="7" t="n">
        <v>0</v>
      </c>
      <c r="J1470" s="7" t="n">
        <v>0</v>
      </c>
      <c r="K1470" s="9" t="n">
        <v>0</v>
      </c>
      <c r="L1470" s="10" t="n">
        <v>4.68</v>
      </c>
      <c r="M1470" s="10" t="n">
        <v>1.43</v>
      </c>
      <c r="N1470" t="inlineStr">
        <is>
          <t>1</t>
        </is>
      </c>
      <c r="O1470" t="inlineStr">
        <is>
          <t>16</t>
        </is>
      </c>
      <c r="P1470" t="inlineStr">
        <is>
          <t xml:space="preserve">91372   </t>
        </is>
      </c>
      <c r="Q1470" s="26" t="n">
        <v>4.69</v>
      </c>
      <c r="R1470" s="26">
        <f>Q1470*G1470</f>
        <v/>
      </c>
      <c r="S1470" s="26">
        <f>IFERROR(VLOOKUP(E1470*1,Tabla[#All],8,0),0)</f>
        <v/>
      </c>
      <c r="T1470" s="26">
        <f>S1470*G1470</f>
        <v/>
      </c>
      <c r="U1470" s="26">
        <f>R1470-T1470</f>
        <v/>
      </c>
      <c r="V1470" s="26">
        <f>U1470-L1470</f>
        <v/>
      </c>
    </row>
    <row r="1471">
      <c r="A1471" s="11" t="n">
        <v>46218</v>
      </c>
      <c r="B1471" s="1" t="n">
        <v>20073</v>
      </c>
      <c r="C1471" s="1" t="inlineStr">
        <is>
          <t>016</t>
        </is>
      </c>
      <c r="D1471" s="1" t="inlineStr">
        <is>
          <t xml:space="preserve">14528 </t>
        </is>
      </c>
      <c r="E1471" s="1" t="inlineStr">
        <is>
          <t xml:space="preserve">30141766       </t>
        </is>
      </c>
      <c r="F1471" s="5" t="inlineStr">
        <is>
          <t>TMZ BEAST MACHINES AUTOS DE METAL BLISTER X 1</t>
        </is>
      </c>
      <c r="G1471" t="n">
        <v>1</v>
      </c>
      <c r="H1471" s="7" t="n">
        <v>7.9</v>
      </c>
      <c r="I1471" s="7" t="n">
        <v>0</v>
      </c>
      <c r="J1471" s="7" t="n">
        <v>0</v>
      </c>
      <c r="K1471" s="9" t="n">
        <v>0</v>
      </c>
      <c r="L1471" s="10" t="n">
        <v>4.68</v>
      </c>
      <c r="M1471" s="10" t="n">
        <v>1.43</v>
      </c>
      <c r="N1471" t="inlineStr">
        <is>
          <t>1</t>
        </is>
      </c>
      <c r="O1471" t="inlineStr">
        <is>
          <t>16</t>
        </is>
      </c>
      <c r="P1471" t="inlineStr">
        <is>
          <t xml:space="preserve">91372   </t>
        </is>
      </c>
      <c r="Q1471" s="26" t="n">
        <v>4.69</v>
      </c>
      <c r="R1471" s="26">
        <f>Q1471*G1471</f>
        <v/>
      </c>
      <c r="S1471" s="26">
        <f>IFERROR(VLOOKUP(E1471*1,Tabla[#All],8,0),0)</f>
        <v/>
      </c>
      <c r="T1471" s="26">
        <f>S1471*G1471</f>
        <v/>
      </c>
      <c r="U1471" s="26">
        <f>R1471-T1471</f>
        <v/>
      </c>
      <c r="V1471" s="26">
        <f>U1471-L1471</f>
        <v/>
      </c>
    </row>
    <row r="1472">
      <c r="A1472" s="11" t="n">
        <v>46218</v>
      </c>
      <c r="B1472" s="1" t="n">
        <v>20073</v>
      </c>
      <c r="C1472" s="1" t="inlineStr">
        <is>
          <t>016</t>
        </is>
      </c>
      <c r="D1472" s="1" t="inlineStr">
        <is>
          <t xml:space="preserve">14531 </t>
        </is>
      </c>
      <c r="E1472" s="1" t="inlineStr">
        <is>
          <t xml:space="preserve">28194768       </t>
        </is>
      </c>
      <c r="F1472" s="5" t="inlineStr">
        <is>
          <t>AUTO COLOR CHANGE TEAMSTERZ SURTIDO</t>
        </is>
      </c>
      <c r="G1472" t="n">
        <v>1</v>
      </c>
      <c r="H1472" s="7" t="n">
        <v>14.9</v>
      </c>
      <c r="I1472" s="7" t="n">
        <v>0</v>
      </c>
      <c r="J1472" s="7" t="n">
        <v>0</v>
      </c>
      <c r="K1472" s="9" t="n">
        <v>0</v>
      </c>
      <c r="L1472" s="10" t="n">
        <v>8.84</v>
      </c>
      <c r="M1472" s="10" t="n">
        <v>1.43</v>
      </c>
      <c r="N1472" t="inlineStr">
        <is>
          <t>1</t>
        </is>
      </c>
      <c r="O1472" t="inlineStr">
        <is>
          <t xml:space="preserve">6 </t>
        </is>
      </c>
      <c r="P1472" t="inlineStr">
        <is>
          <t xml:space="preserve">91372   </t>
        </is>
      </c>
      <c r="Q1472" s="26" t="n">
        <v>8.84</v>
      </c>
      <c r="R1472" s="26">
        <f>Q1472*G1472</f>
        <v/>
      </c>
      <c r="S1472" s="26">
        <f>IFERROR(VLOOKUP(E1472*1,Tabla[#All],8,0),0)</f>
        <v/>
      </c>
      <c r="T1472" s="26">
        <f>S1472*G1472</f>
        <v/>
      </c>
      <c r="U1472" s="26">
        <f>R1472-T1472</f>
        <v/>
      </c>
      <c r="V1472" s="26">
        <f>U1472-L1472</f>
        <v/>
      </c>
    </row>
    <row r="1473">
      <c r="A1473" s="11" t="n">
        <v>46218</v>
      </c>
      <c r="B1473" s="1" t="n">
        <v>20073</v>
      </c>
      <c r="C1473" s="1" t="inlineStr">
        <is>
          <t>016</t>
        </is>
      </c>
      <c r="D1473" s="1" t="inlineStr">
        <is>
          <t xml:space="preserve">14531 </t>
        </is>
      </c>
      <c r="E1473" s="1" t="inlineStr">
        <is>
          <t xml:space="preserve">30141766       </t>
        </is>
      </c>
      <c r="F1473" s="5" t="inlineStr">
        <is>
          <t>TMZ BEAST MACHINES AUTOS DE METAL BLISTER X 1</t>
        </is>
      </c>
      <c r="G1473" t="n">
        <v>1</v>
      </c>
      <c r="H1473" s="7" t="n">
        <v>7.9</v>
      </c>
      <c r="I1473" s="7" t="n">
        <v>0</v>
      </c>
      <c r="J1473" s="7" t="n">
        <v>0</v>
      </c>
      <c r="K1473" s="9" t="n">
        <v>0</v>
      </c>
      <c r="L1473" s="10" t="n">
        <v>4.68</v>
      </c>
      <c r="M1473" s="10" t="n">
        <v>1.43</v>
      </c>
      <c r="N1473" t="inlineStr">
        <is>
          <t>1</t>
        </is>
      </c>
      <c r="O1473" t="inlineStr">
        <is>
          <t xml:space="preserve">6 </t>
        </is>
      </c>
      <c r="P1473" t="inlineStr">
        <is>
          <t xml:space="preserve">91372   </t>
        </is>
      </c>
      <c r="Q1473" s="26" t="n">
        <v>4.69</v>
      </c>
      <c r="R1473" s="26">
        <f>Q1473*G1473</f>
        <v/>
      </c>
      <c r="S1473" s="26">
        <f>IFERROR(VLOOKUP(E1473*1,Tabla[#All],8,0),0)</f>
        <v/>
      </c>
      <c r="T1473" s="26">
        <f>S1473*G1473</f>
        <v/>
      </c>
      <c r="U1473" s="26">
        <f>R1473-T1473</f>
        <v/>
      </c>
      <c r="V1473" s="26">
        <f>U1473-L1473</f>
        <v/>
      </c>
    </row>
    <row r="1474">
      <c r="A1474" s="11" t="n">
        <v>46218</v>
      </c>
      <c r="B1474" s="1" t="n">
        <v>20073</v>
      </c>
      <c r="C1474" s="1" t="inlineStr">
        <is>
          <t>016</t>
        </is>
      </c>
      <c r="D1474" s="1" t="inlineStr">
        <is>
          <t xml:space="preserve">14531 </t>
        </is>
      </c>
      <c r="E1474" s="1" t="inlineStr">
        <is>
          <t xml:space="preserve">30141766       </t>
        </is>
      </c>
      <c r="F1474" s="5" t="inlineStr">
        <is>
          <t>TMZ BEAST MACHINES AUTOS DE METAL BLISTER X 1</t>
        </is>
      </c>
      <c r="G1474" t="n">
        <v>1</v>
      </c>
      <c r="H1474" s="7" t="n">
        <v>7.9</v>
      </c>
      <c r="I1474" s="7" t="n">
        <v>0</v>
      </c>
      <c r="J1474" s="7" t="n">
        <v>0</v>
      </c>
      <c r="K1474" s="9" t="n">
        <v>0</v>
      </c>
      <c r="L1474" s="10" t="n">
        <v>4.68</v>
      </c>
      <c r="M1474" s="10" t="n">
        <v>1.43</v>
      </c>
      <c r="N1474" t="inlineStr">
        <is>
          <t>1</t>
        </is>
      </c>
      <c r="O1474" t="inlineStr">
        <is>
          <t xml:space="preserve">6 </t>
        </is>
      </c>
      <c r="P1474" t="inlineStr">
        <is>
          <t xml:space="preserve">91372   </t>
        </is>
      </c>
      <c r="Q1474" s="26" t="n">
        <v>4.69</v>
      </c>
      <c r="R1474" s="26">
        <f>Q1474*G1474</f>
        <v/>
      </c>
      <c r="S1474" s="26">
        <f>IFERROR(VLOOKUP(E1474*1,Tabla[#All],8,0),0)</f>
        <v/>
      </c>
      <c r="T1474" s="26">
        <f>S1474*G1474</f>
        <v/>
      </c>
      <c r="U1474" s="26">
        <f>R1474-T1474</f>
        <v/>
      </c>
      <c r="V1474" s="26">
        <f>U1474-L1474</f>
        <v/>
      </c>
    </row>
    <row r="1475">
      <c r="A1475" s="11" t="n">
        <v>46218</v>
      </c>
      <c r="B1475" s="1" t="n">
        <v>20073</v>
      </c>
      <c r="C1475" s="1" t="inlineStr">
        <is>
          <t>016</t>
        </is>
      </c>
      <c r="D1475" s="1" t="inlineStr">
        <is>
          <t xml:space="preserve">900   </t>
        </is>
      </c>
      <c r="E1475" s="1" t="inlineStr">
        <is>
          <t xml:space="preserve">28194768       </t>
        </is>
      </c>
      <c r="F1475" s="5" t="inlineStr">
        <is>
          <t>AUTO COLOR CHANGE TEAMSTERZ SURTIDO</t>
        </is>
      </c>
      <c r="G1475" t="n">
        <v>-1</v>
      </c>
      <c r="H1475" s="7" t="n">
        <v>-14.9</v>
      </c>
      <c r="I1475" s="7" t="n">
        <v>0</v>
      </c>
      <c r="J1475" s="7" t="n">
        <v>0</v>
      </c>
      <c r="K1475" s="9" t="n">
        <v>0</v>
      </c>
      <c r="L1475" s="10" t="n">
        <v>-8.84</v>
      </c>
      <c r="M1475" s="10" t="n">
        <v>0</v>
      </c>
      <c r="N1475" t="inlineStr">
        <is>
          <t>3</t>
        </is>
      </c>
      <c r="O1475" t="inlineStr">
        <is>
          <t>26</t>
        </is>
      </c>
      <c r="P1475" t="inlineStr">
        <is>
          <t xml:space="preserve">36294   </t>
        </is>
      </c>
      <c r="Q1475" s="26" t="n">
        <v>8.84</v>
      </c>
      <c r="R1475" s="26">
        <f>Q1475*G1475</f>
        <v/>
      </c>
      <c r="S1475" s="26">
        <f>IFERROR(VLOOKUP(E1475*1,Tabla[#All],8,0),0)</f>
        <v/>
      </c>
      <c r="T1475" s="26">
        <f>S1475*G1475</f>
        <v/>
      </c>
      <c r="U1475" s="26">
        <f>R1475-T1475</f>
        <v/>
      </c>
      <c r="V1475" s="26">
        <f>U1475-L1475</f>
        <v/>
      </c>
    </row>
    <row r="1476">
      <c r="A1476" s="11" t="n">
        <v>46218</v>
      </c>
      <c r="B1476" s="1" t="n">
        <v>20073</v>
      </c>
      <c r="C1476" s="1" t="inlineStr">
        <is>
          <t>016</t>
        </is>
      </c>
      <c r="D1476" s="1" t="inlineStr">
        <is>
          <t xml:space="preserve">900   </t>
        </is>
      </c>
      <c r="E1476" s="1" t="inlineStr">
        <is>
          <t xml:space="preserve">30141766       </t>
        </is>
      </c>
      <c r="F1476" s="5" t="inlineStr">
        <is>
          <t>TMZ BEAST MACHINES AUTOS DE METAL BLISTER X 1</t>
        </is>
      </c>
      <c r="G1476" t="n">
        <v>-1</v>
      </c>
      <c r="H1476" s="7" t="n">
        <v>-7.9</v>
      </c>
      <c r="I1476" s="7" t="n">
        <v>0</v>
      </c>
      <c r="J1476" s="7" t="n">
        <v>0</v>
      </c>
      <c r="K1476" s="9" t="n">
        <v>0</v>
      </c>
      <c r="L1476" s="10" t="n">
        <v>-4.68</v>
      </c>
      <c r="M1476" s="10" t="n">
        <v>0</v>
      </c>
      <c r="N1476" t="inlineStr">
        <is>
          <t>3</t>
        </is>
      </c>
      <c r="O1476" t="inlineStr">
        <is>
          <t>26</t>
        </is>
      </c>
      <c r="P1476" t="inlineStr">
        <is>
          <t xml:space="preserve">36294   </t>
        </is>
      </c>
      <c r="Q1476" s="26" t="n">
        <v>4.69</v>
      </c>
      <c r="R1476" s="26">
        <f>Q1476*G1476</f>
        <v/>
      </c>
      <c r="S1476" s="26">
        <f>IFERROR(VLOOKUP(E1476*1,Tabla[#All],8,0),0)</f>
        <v/>
      </c>
      <c r="T1476" s="26">
        <f>S1476*G1476</f>
        <v/>
      </c>
      <c r="U1476" s="26">
        <f>R1476-T1476</f>
        <v/>
      </c>
      <c r="V1476" s="26">
        <f>U1476-L1476</f>
        <v/>
      </c>
    </row>
    <row r="1477">
      <c r="A1477" s="11" t="n">
        <v>46218</v>
      </c>
      <c r="B1477" s="1" t="n">
        <v>20073</v>
      </c>
      <c r="C1477" s="1" t="inlineStr">
        <is>
          <t>016</t>
        </is>
      </c>
      <c r="D1477" s="1" t="inlineStr">
        <is>
          <t xml:space="preserve">900   </t>
        </is>
      </c>
      <c r="E1477" s="1" t="inlineStr">
        <is>
          <t xml:space="preserve">30141766       </t>
        </is>
      </c>
      <c r="F1477" s="5" t="inlineStr">
        <is>
          <t>TMZ BEAST MACHINES AUTOS DE METAL BLISTER X 1</t>
        </is>
      </c>
      <c r="G1477" t="n">
        <v>-1</v>
      </c>
      <c r="H1477" s="7" t="n">
        <v>-7.9</v>
      </c>
      <c r="I1477" s="7" t="n">
        <v>0</v>
      </c>
      <c r="J1477" s="7" t="n">
        <v>0</v>
      </c>
      <c r="K1477" s="9" t="n">
        <v>0</v>
      </c>
      <c r="L1477" s="10" t="n">
        <v>-4.68</v>
      </c>
      <c r="M1477" s="10" t="n">
        <v>0</v>
      </c>
      <c r="N1477" t="inlineStr">
        <is>
          <t>3</t>
        </is>
      </c>
      <c r="O1477" t="inlineStr">
        <is>
          <t>26</t>
        </is>
      </c>
      <c r="P1477" t="inlineStr">
        <is>
          <t xml:space="preserve">36294   </t>
        </is>
      </c>
      <c r="Q1477" s="26" t="n">
        <v>4.69</v>
      </c>
      <c r="R1477" s="26">
        <f>Q1477*G1477</f>
        <v/>
      </c>
      <c r="S1477" s="26">
        <f>IFERROR(VLOOKUP(E1477*1,Tabla[#All],8,0),0)</f>
        <v/>
      </c>
      <c r="T1477" s="26">
        <f>S1477*G1477</f>
        <v/>
      </c>
      <c r="U1477" s="26">
        <f>R1477-T1477</f>
        <v/>
      </c>
      <c r="V1477" s="26">
        <f>U1477-L1477</f>
        <v/>
      </c>
    </row>
    <row r="1478">
      <c r="A1478" s="11" t="n">
        <v>46218</v>
      </c>
      <c r="B1478" s="1" t="n">
        <v>20073</v>
      </c>
      <c r="C1478" s="1" t="inlineStr">
        <is>
          <t>045</t>
        </is>
      </c>
      <c r="D1478" s="1" t="inlineStr">
        <is>
          <t>149627</t>
        </is>
      </c>
      <c r="E1478" s="1" t="inlineStr">
        <is>
          <t xml:space="preserve">28194770       </t>
        </is>
      </c>
      <c r="F1478" s="5" t="inlineStr">
        <is>
          <t>AUTOS DE METAL 3 TEAMSTERZ EN BLISTER</t>
        </is>
      </c>
      <c r="G1478" t="n">
        <v>1</v>
      </c>
      <c r="H1478" s="7" t="n">
        <v>6.9</v>
      </c>
      <c r="I1478" s="7" t="n">
        <v>0</v>
      </c>
      <c r="J1478" s="7" t="n">
        <v>0</v>
      </c>
      <c r="K1478" s="9" t="n">
        <v>0</v>
      </c>
      <c r="L1478" s="10" t="n">
        <v>4.1</v>
      </c>
      <c r="M1478" s="10" t="n">
        <v>1.43</v>
      </c>
      <c r="N1478" t="inlineStr">
        <is>
          <t>1</t>
        </is>
      </c>
      <c r="O1478" t="inlineStr">
        <is>
          <t xml:space="preserve">2 </t>
        </is>
      </c>
      <c r="P1478" t="inlineStr">
        <is>
          <t xml:space="preserve">73225   </t>
        </is>
      </c>
      <c r="Q1478" s="26" t="n">
        <v>4.09</v>
      </c>
      <c r="R1478" s="26">
        <f>Q1478*G1478</f>
        <v/>
      </c>
      <c r="S1478" s="26">
        <f>IFERROR(VLOOKUP(E1478*1,Tabla[#All],8,0),0)</f>
        <v/>
      </c>
      <c r="T1478" s="26">
        <f>S1478*G1478</f>
        <v/>
      </c>
      <c r="U1478" s="26">
        <f>R1478-T1478</f>
        <v/>
      </c>
      <c r="V1478" s="26">
        <f>U1478-L1478</f>
        <v/>
      </c>
    </row>
    <row r="1479">
      <c r="A1479" s="11" t="n">
        <v>46218</v>
      </c>
      <c r="B1479" s="1" t="n">
        <v>20073</v>
      </c>
      <c r="C1479" s="1" t="inlineStr">
        <is>
          <t>046</t>
        </is>
      </c>
      <c r="D1479" s="1" t="inlineStr">
        <is>
          <t>207603</t>
        </is>
      </c>
      <c r="E1479" s="1" t="inlineStr">
        <is>
          <t xml:space="preserve">29235700       </t>
        </is>
      </c>
      <c r="F1479" s="5" t="inlineStr">
        <is>
          <t>HOT WHEELS CASE METALICO PARA GUARDAR 18 CARRITOS</t>
        </is>
      </c>
      <c r="G1479" t="n">
        <v>1</v>
      </c>
      <c r="H1479" s="7" t="n">
        <v>49.9</v>
      </c>
      <c r="I1479" s="7" t="n">
        <v>0</v>
      </c>
      <c r="J1479" s="7" t="n">
        <v>0</v>
      </c>
      <c r="K1479" s="9" t="n">
        <v>0</v>
      </c>
      <c r="L1479" s="10" t="n">
        <v>29.6</v>
      </c>
      <c r="M1479" s="10" t="n">
        <v>1.43</v>
      </c>
      <c r="N1479" t="inlineStr">
        <is>
          <t>1</t>
        </is>
      </c>
      <c r="O1479" t="inlineStr">
        <is>
          <t>16</t>
        </is>
      </c>
      <c r="P1479" t="inlineStr">
        <is>
          <t xml:space="preserve">250388  </t>
        </is>
      </c>
      <c r="Q1479" s="26" t="n">
        <v>29.6</v>
      </c>
      <c r="R1479" s="26">
        <f>Q1479*G1479</f>
        <v/>
      </c>
      <c r="S1479" s="26">
        <f>IFERROR(VLOOKUP(E1479*1,Tabla[#All],8,0),0)</f>
        <v/>
      </c>
      <c r="T1479" s="26">
        <f>S1479*G1479</f>
        <v/>
      </c>
      <c r="U1479" s="26">
        <f>R1479-T1479</f>
        <v/>
      </c>
      <c r="V1479" s="26">
        <f>U1479-L1479</f>
        <v/>
      </c>
    </row>
    <row r="1480">
      <c r="A1480" s="11" t="n">
        <v>46218</v>
      </c>
      <c r="B1480" s="1" t="n">
        <v>20074</v>
      </c>
      <c r="C1480" s="1" t="inlineStr">
        <is>
          <t>028</t>
        </is>
      </c>
      <c r="D1480" s="1" t="inlineStr">
        <is>
          <t>182779</t>
        </is>
      </c>
      <c r="E1480" s="1" t="inlineStr">
        <is>
          <t xml:space="preserve">29854051       </t>
        </is>
      </c>
      <c r="F1480" s="5" t="inlineStr">
        <is>
          <t>TEAMSTERZ AUTO DE METAL PACK 10 AUTOS</t>
        </is>
      </c>
      <c r="G1480" t="n">
        <v>1</v>
      </c>
      <c r="H1480" s="7" t="n">
        <v>69</v>
      </c>
      <c r="I1480" s="7" t="n">
        <v>0</v>
      </c>
      <c r="J1480" s="7" t="n">
        <v>0</v>
      </c>
      <c r="K1480" s="9" t="n">
        <v>0</v>
      </c>
      <c r="L1480" s="10" t="n">
        <v>40.93</v>
      </c>
      <c r="M1480" s="10" t="n">
        <v>1.43</v>
      </c>
      <c r="N1480" t="inlineStr">
        <is>
          <t>1</t>
        </is>
      </c>
      <c r="O1480" t="inlineStr">
        <is>
          <t>16</t>
        </is>
      </c>
      <c r="P1480" t="inlineStr">
        <is>
          <t xml:space="preserve">12059   </t>
        </is>
      </c>
      <c r="Q1480" s="26" t="n">
        <v>40.93</v>
      </c>
      <c r="R1480" s="26">
        <f>Q1480*G1480</f>
        <v/>
      </c>
      <c r="S1480" s="26">
        <f>IFERROR(VLOOKUP(E1480*1,Tabla[#All],8,0),0)</f>
        <v/>
      </c>
      <c r="T1480" s="26">
        <f>S1480*G1480</f>
        <v/>
      </c>
      <c r="U1480" s="26">
        <f>R1480-T1480</f>
        <v/>
      </c>
      <c r="V1480" s="26">
        <f>U1480-L1480</f>
        <v/>
      </c>
    </row>
    <row r="1481">
      <c r="A1481" s="11" t="n">
        <v>46218</v>
      </c>
      <c r="B1481" s="1" t="n">
        <v>20074</v>
      </c>
      <c r="C1481" s="1" t="inlineStr">
        <is>
          <t>031</t>
        </is>
      </c>
      <c r="D1481" s="1" t="inlineStr">
        <is>
          <t>308569</t>
        </is>
      </c>
      <c r="E1481" s="1" t="inlineStr">
        <is>
          <t xml:space="preserve">35685066       </t>
        </is>
      </c>
      <c r="F1481" s="5" t="inlineStr">
        <is>
          <t>HOT WHEELS RACK GUARDA AUTOS 3 EN 1</t>
        </is>
      </c>
      <c r="G1481" t="n">
        <v>1</v>
      </c>
      <c r="H1481" s="7" t="n">
        <v>79.90000000000001</v>
      </c>
      <c r="I1481" s="7" t="n">
        <v>0</v>
      </c>
      <c r="J1481" s="7" t="n">
        <v>0</v>
      </c>
      <c r="K1481" s="9" t="n">
        <v>0</v>
      </c>
      <c r="L1481" s="10" t="n">
        <v>47.4</v>
      </c>
      <c r="M1481" s="10" t="n">
        <v>1.43</v>
      </c>
      <c r="N1481" t="inlineStr">
        <is>
          <t>1</t>
        </is>
      </c>
      <c r="O1481" t="inlineStr">
        <is>
          <t xml:space="preserve">3 </t>
        </is>
      </c>
      <c r="P1481" t="inlineStr">
        <is>
          <t xml:space="preserve">65472   </t>
        </is>
      </c>
      <c r="Q1481" s="26" t="n">
        <v>47.4</v>
      </c>
      <c r="R1481" s="26">
        <f>Q1481*G1481</f>
        <v/>
      </c>
      <c r="S1481" s="26">
        <f>IFERROR(VLOOKUP(E1481*1,Tabla[#All],8,0),0)</f>
        <v/>
      </c>
      <c r="T1481" s="26">
        <f>S1481*G1481</f>
        <v/>
      </c>
      <c r="U1481" s="26">
        <f>R1481-T1481</f>
        <v/>
      </c>
      <c r="V1481" s="26">
        <f>U1481-L1481</f>
        <v/>
      </c>
    </row>
    <row r="1482">
      <c r="A1482" s="11" t="n">
        <v>46218</v>
      </c>
      <c r="B1482" s="1" t="n">
        <v>20074</v>
      </c>
      <c r="C1482" s="1" t="inlineStr">
        <is>
          <t>032</t>
        </is>
      </c>
      <c r="D1482" s="1" t="inlineStr">
        <is>
          <t>262515</t>
        </is>
      </c>
      <c r="E1482" s="1" t="inlineStr">
        <is>
          <t xml:space="preserve">28194781       </t>
        </is>
      </c>
      <c r="F1482" s="5" t="inlineStr">
        <is>
          <t>TROMPO BATALLA INFINITY NADO SERIE V CLASICA SURTI</t>
        </is>
      </c>
      <c r="G1482" t="n">
        <v>1</v>
      </c>
      <c r="H1482" s="7" t="n">
        <v>59.9</v>
      </c>
      <c r="I1482" s="7" t="n">
        <v>0</v>
      </c>
      <c r="J1482" s="7" t="n">
        <v>0</v>
      </c>
      <c r="K1482" s="9" t="n">
        <v>0</v>
      </c>
      <c r="L1482" s="10" t="n">
        <v>35.53</v>
      </c>
      <c r="M1482" s="10" t="n">
        <v>1.43</v>
      </c>
      <c r="N1482" t="inlineStr">
        <is>
          <t>1</t>
        </is>
      </c>
      <c r="O1482" t="inlineStr">
        <is>
          <t>16</t>
        </is>
      </c>
      <c r="P1482" t="inlineStr">
        <is>
          <t xml:space="preserve">64344   </t>
        </is>
      </c>
      <c r="Q1482" s="26" t="n">
        <v>35.53</v>
      </c>
      <c r="R1482" s="26">
        <f>Q1482*G1482</f>
        <v/>
      </c>
      <c r="S1482" s="26">
        <f>IFERROR(VLOOKUP(E1482*1,Tabla[#All],8,0),0)</f>
        <v/>
      </c>
      <c r="T1482" s="26">
        <f>S1482*G1482</f>
        <v/>
      </c>
      <c r="U1482" s="26">
        <f>R1482-T1482</f>
        <v/>
      </c>
      <c r="V1482" s="26">
        <f>U1482-L1482</f>
        <v/>
      </c>
    </row>
    <row r="1483">
      <c r="A1483" s="11" t="n">
        <v>46218</v>
      </c>
      <c r="B1483" s="1" t="n">
        <v>20074</v>
      </c>
      <c r="C1483" s="1" t="inlineStr">
        <is>
          <t>528</t>
        </is>
      </c>
      <c r="D1483" s="1" t="inlineStr">
        <is>
          <t xml:space="preserve">6119  </t>
        </is>
      </c>
      <c r="E1483" s="1" t="inlineStr">
        <is>
          <t xml:space="preserve">28194769       </t>
        </is>
      </c>
      <c r="F1483" s="5" t="inlineStr">
        <is>
          <t>AUTOS DE METAL 3 TEAMSTERZ PACK DE 2</t>
        </is>
      </c>
      <c r="G1483" t="n">
        <v>1</v>
      </c>
      <c r="H1483" s="7" t="n">
        <v>13.8</v>
      </c>
      <c r="I1483" s="7" t="n">
        <v>0</v>
      </c>
      <c r="J1483" s="7" t="n">
        <v>0</v>
      </c>
      <c r="K1483" s="9" t="n">
        <v>0</v>
      </c>
      <c r="L1483" s="10" t="n">
        <v>8.18</v>
      </c>
      <c r="M1483" s="10" t="n">
        <v>1.43</v>
      </c>
      <c r="N1483" t="inlineStr">
        <is>
          <t>1</t>
        </is>
      </c>
      <c r="O1483" t="inlineStr">
        <is>
          <t>16</t>
        </is>
      </c>
      <c r="P1483" t="inlineStr">
        <is>
          <t xml:space="preserve">251845  </t>
        </is>
      </c>
      <c r="Q1483" s="26" t="n">
        <v>8.19</v>
      </c>
      <c r="R1483" s="26">
        <f>Q1483*G1483</f>
        <v/>
      </c>
      <c r="S1483" s="26">
        <f>IFERROR(VLOOKUP(E1483*1,Tabla[#All],8,0),0)</f>
        <v/>
      </c>
      <c r="T1483" s="26">
        <f>S1483*G1483</f>
        <v/>
      </c>
      <c r="U1483" s="26">
        <f>R1483-T1483</f>
        <v/>
      </c>
      <c r="V1483" s="26">
        <f>U1483-L1483</f>
        <v/>
      </c>
    </row>
    <row r="1484">
      <c r="A1484" s="11" t="n">
        <v>46218</v>
      </c>
      <c r="B1484" s="1" t="n">
        <v>20077</v>
      </c>
      <c r="C1484" s="1" t="inlineStr">
        <is>
          <t>011</t>
        </is>
      </c>
      <c r="D1484" s="1" t="inlineStr">
        <is>
          <t xml:space="preserve">84419 </t>
        </is>
      </c>
      <c r="E1484" s="1" t="inlineStr">
        <is>
          <t xml:space="preserve">32457099       </t>
        </is>
      </c>
      <c r="F1484" s="5" t="inlineStr">
        <is>
          <t>TMZ BEAST MACHINES MONSTER JAWS A FRICCION BLISTER</t>
        </is>
      </c>
      <c r="G1484" t="n">
        <v>1</v>
      </c>
      <c r="H1484" s="7" t="n">
        <v>19.9</v>
      </c>
      <c r="I1484" s="7" t="n">
        <v>0</v>
      </c>
      <c r="J1484" s="7" t="n">
        <v>0</v>
      </c>
      <c r="K1484" s="9" t="n">
        <v>0</v>
      </c>
      <c r="L1484" s="10" t="n">
        <v>11.8</v>
      </c>
      <c r="M1484" s="10" t="n">
        <v>1.43</v>
      </c>
      <c r="N1484" t="inlineStr">
        <is>
          <t>1</t>
        </is>
      </c>
      <c r="O1484" t="inlineStr">
        <is>
          <t>16</t>
        </is>
      </c>
      <c r="P1484" t="inlineStr">
        <is>
          <t xml:space="preserve">250382  </t>
        </is>
      </c>
      <c r="Q1484" s="26" t="n">
        <v>11.81</v>
      </c>
      <c r="R1484" s="26">
        <f>Q1484*G1484</f>
        <v/>
      </c>
      <c r="S1484" s="26">
        <f>IFERROR(VLOOKUP(E1484*1,Tabla[#All],8,0),0)</f>
        <v/>
      </c>
      <c r="T1484" s="26">
        <f>S1484*G1484</f>
        <v/>
      </c>
      <c r="U1484" s="26">
        <f>R1484-T1484</f>
        <v/>
      </c>
      <c r="V1484" s="26">
        <f>U1484-L1484</f>
        <v/>
      </c>
    </row>
    <row r="1485">
      <c r="A1485" s="11" t="n">
        <v>46218</v>
      </c>
      <c r="B1485" s="1" t="n">
        <v>20077</v>
      </c>
      <c r="C1485" s="1" t="inlineStr">
        <is>
          <t>030</t>
        </is>
      </c>
      <c r="D1485" s="1" t="inlineStr">
        <is>
          <t xml:space="preserve">40662 </t>
        </is>
      </c>
      <c r="E1485" s="1" t="inlineStr">
        <is>
          <t xml:space="preserve">35685067       </t>
        </is>
      </c>
      <c r="F1485" s="5" t="inlineStr">
        <is>
          <t>HOT WHEELS POWER SET 3 EN 1</t>
        </is>
      </c>
      <c r="G1485" t="n">
        <v>1</v>
      </c>
      <c r="H1485" s="7" t="n">
        <v>49.9</v>
      </c>
      <c r="I1485" s="7" t="n">
        <v>0</v>
      </c>
      <c r="J1485" s="7" t="n">
        <v>0</v>
      </c>
      <c r="K1485" s="9" t="n">
        <v>0</v>
      </c>
      <c r="L1485" s="10" t="n">
        <v>29.6</v>
      </c>
      <c r="M1485" s="10" t="n">
        <v>1.43</v>
      </c>
      <c r="N1485" t="inlineStr">
        <is>
          <t>1</t>
        </is>
      </c>
      <c r="O1485" t="inlineStr">
        <is>
          <t>16</t>
        </is>
      </c>
      <c r="P1485" t="inlineStr">
        <is>
          <t xml:space="preserve">61615   </t>
        </is>
      </c>
      <c r="Q1485" s="26" t="n">
        <v>29.6</v>
      </c>
      <c r="R1485" s="26">
        <f>Q1485*G1485</f>
        <v/>
      </c>
      <c r="S1485" s="26">
        <f>IFERROR(VLOOKUP(E1485*1,Tabla[#All],8,0),0)</f>
        <v/>
      </c>
      <c r="T1485" s="26">
        <f>S1485*G1485</f>
        <v/>
      </c>
      <c r="U1485" s="26">
        <f>R1485-T1485</f>
        <v/>
      </c>
      <c r="V1485" s="26">
        <f>U1485-L1485</f>
        <v/>
      </c>
    </row>
    <row r="1486">
      <c r="A1486" s="11" t="n">
        <v>46218</v>
      </c>
      <c r="B1486" s="1" t="n">
        <v>20077</v>
      </c>
      <c r="C1486" s="1" t="inlineStr">
        <is>
          <t>030</t>
        </is>
      </c>
      <c r="D1486" s="1" t="inlineStr">
        <is>
          <t xml:space="preserve">40671 </t>
        </is>
      </c>
      <c r="E1486" s="1" t="inlineStr">
        <is>
          <t xml:space="preserve">35685067       </t>
        </is>
      </c>
      <c r="F1486" s="5" t="inlineStr">
        <is>
          <t>HOT WHEELS POWER SET 3 EN 1</t>
        </is>
      </c>
      <c r="G1486" t="n">
        <v>1</v>
      </c>
      <c r="H1486" s="7" t="n">
        <v>49.9</v>
      </c>
      <c r="I1486" s="7" t="n">
        <v>0</v>
      </c>
      <c r="J1486" s="7" t="n">
        <v>0</v>
      </c>
      <c r="K1486" s="9" t="n">
        <v>0</v>
      </c>
      <c r="L1486" s="10" t="n">
        <v>29.6</v>
      </c>
      <c r="M1486" s="10" t="n">
        <v>1.43</v>
      </c>
      <c r="N1486" t="inlineStr">
        <is>
          <t>1</t>
        </is>
      </c>
      <c r="O1486" t="inlineStr">
        <is>
          <t>16</t>
        </is>
      </c>
      <c r="P1486" t="inlineStr">
        <is>
          <t xml:space="preserve">61615   </t>
        </is>
      </c>
      <c r="Q1486" s="26" t="n">
        <v>29.6</v>
      </c>
      <c r="R1486" s="26">
        <f>Q1486*G1486</f>
        <v/>
      </c>
      <c r="S1486" s="26">
        <f>IFERROR(VLOOKUP(E1486*1,Tabla[#All],8,0),0)</f>
        <v/>
      </c>
      <c r="T1486" s="26">
        <f>S1486*G1486</f>
        <v/>
      </c>
      <c r="U1486" s="26">
        <f>R1486-T1486</f>
        <v/>
      </c>
      <c r="V1486" s="26">
        <f>U1486-L1486</f>
        <v/>
      </c>
    </row>
    <row r="1487">
      <c r="A1487" s="11" t="n">
        <v>46218</v>
      </c>
      <c r="B1487" s="1" t="n">
        <v>20079</v>
      </c>
      <c r="C1487" s="1" t="inlineStr">
        <is>
          <t>045</t>
        </is>
      </c>
      <c r="D1487" s="1" t="inlineStr">
        <is>
          <t>332455</t>
        </is>
      </c>
      <c r="E1487" s="1" t="inlineStr">
        <is>
          <t xml:space="preserve">28194770       </t>
        </is>
      </c>
      <c r="F1487" s="5" t="inlineStr">
        <is>
          <t>AUTOS DE METAL 3 TEAMSTERZ EN BLISTER</t>
        </is>
      </c>
      <c r="G1487" t="n">
        <v>1</v>
      </c>
      <c r="H1487" s="7" t="n">
        <v>6.9</v>
      </c>
      <c r="I1487" s="7" t="n">
        <v>0</v>
      </c>
      <c r="J1487" s="7" t="n">
        <v>0</v>
      </c>
      <c r="K1487" s="9" t="n">
        <v>0</v>
      </c>
      <c r="L1487" s="10" t="n">
        <v>4.1</v>
      </c>
      <c r="M1487" s="10" t="n">
        <v>1.43</v>
      </c>
      <c r="N1487" t="inlineStr">
        <is>
          <t>1</t>
        </is>
      </c>
      <c r="O1487" t="inlineStr">
        <is>
          <t>16</t>
        </is>
      </c>
      <c r="P1487" t="inlineStr">
        <is>
          <t xml:space="preserve">57836   </t>
        </is>
      </c>
      <c r="Q1487" s="26" t="n">
        <v>4.09</v>
      </c>
      <c r="R1487" s="26">
        <f>Q1487*G1487</f>
        <v/>
      </c>
      <c r="S1487" s="26">
        <f>IFERROR(VLOOKUP(E1487*1,Tabla[#All],8,0),0)</f>
        <v/>
      </c>
      <c r="T1487" s="26">
        <f>S1487*G1487</f>
        <v/>
      </c>
      <c r="U1487" s="26">
        <f>R1487-T1487</f>
        <v/>
      </c>
      <c r="V1487" s="26">
        <f>U1487-L1487</f>
        <v/>
      </c>
    </row>
    <row r="1488">
      <c r="A1488" s="11" t="n">
        <v>46218</v>
      </c>
      <c r="B1488" s="1" t="n">
        <v>20079</v>
      </c>
      <c r="C1488" s="1" t="inlineStr">
        <is>
          <t>045</t>
        </is>
      </c>
      <c r="D1488" s="1" t="inlineStr">
        <is>
          <t>332455</t>
        </is>
      </c>
      <c r="E1488" s="1" t="inlineStr">
        <is>
          <t xml:space="preserve">30141766       </t>
        </is>
      </c>
      <c r="F1488" s="5" t="inlineStr">
        <is>
          <t>TMZ BEAST MACHINES AUTOS DE METAL BLISTER X 1</t>
        </is>
      </c>
      <c r="G1488" t="n">
        <v>1</v>
      </c>
      <c r="H1488" s="7" t="n">
        <v>7.9</v>
      </c>
      <c r="I1488" s="7" t="n">
        <v>0</v>
      </c>
      <c r="J1488" s="7" t="n">
        <v>0</v>
      </c>
      <c r="K1488" s="9" t="n">
        <v>0</v>
      </c>
      <c r="L1488" s="10" t="n">
        <v>4.68</v>
      </c>
      <c r="M1488" s="10" t="n">
        <v>1.43</v>
      </c>
      <c r="N1488" t="inlineStr">
        <is>
          <t>1</t>
        </is>
      </c>
      <c r="O1488" t="inlineStr">
        <is>
          <t>16</t>
        </is>
      </c>
      <c r="P1488" t="inlineStr">
        <is>
          <t xml:space="preserve">57836   </t>
        </is>
      </c>
      <c r="Q1488" s="26" t="n">
        <v>4.69</v>
      </c>
      <c r="R1488" s="26">
        <f>Q1488*G1488</f>
        <v/>
      </c>
      <c r="S1488" s="26">
        <f>IFERROR(VLOOKUP(E1488*1,Tabla[#All],8,0),0)</f>
        <v/>
      </c>
      <c r="T1488" s="26">
        <f>S1488*G1488</f>
        <v/>
      </c>
      <c r="U1488" s="26">
        <f>R1488-T1488</f>
        <v/>
      </c>
      <c r="V1488" s="26">
        <f>U1488-L1488</f>
        <v/>
      </c>
    </row>
    <row r="1489">
      <c r="A1489" s="11" t="n">
        <v>46218</v>
      </c>
      <c r="B1489" s="1" t="n">
        <v>20079</v>
      </c>
      <c r="C1489" s="1" t="inlineStr">
        <is>
          <t>051</t>
        </is>
      </c>
      <c r="D1489" s="1" t="inlineStr">
        <is>
          <t>236031</t>
        </is>
      </c>
      <c r="E1489" s="1" t="inlineStr">
        <is>
          <t xml:space="preserve">31754674       </t>
        </is>
      </c>
      <c r="F1489" s="5" t="inlineStr">
        <is>
          <t>PEPE MOCO - CEREBRO SALTARIN</t>
        </is>
      </c>
      <c r="G1489" t="n">
        <v>1</v>
      </c>
      <c r="H1489" s="7" t="n">
        <v>89.90000000000001</v>
      </c>
      <c r="I1489" s="7" t="n">
        <v>0</v>
      </c>
      <c r="J1489" s="7" t="n">
        <v>0</v>
      </c>
      <c r="K1489" s="9" t="n">
        <v>0</v>
      </c>
      <c r="L1489" s="10" t="n">
        <v>53.33</v>
      </c>
      <c r="M1489" s="10" t="n">
        <v>1.43</v>
      </c>
      <c r="N1489" t="inlineStr">
        <is>
          <t>1</t>
        </is>
      </c>
      <c r="O1489" t="inlineStr">
        <is>
          <t xml:space="preserve">2 </t>
        </is>
      </c>
      <c r="P1489" t="inlineStr">
        <is>
          <t xml:space="preserve">75771   </t>
        </is>
      </c>
      <c r="Q1489" s="26" t="n">
        <v>53.33</v>
      </c>
      <c r="R1489" s="26">
        <f>Q1489*G1489</f>
        <v/>
      </c>
      <c r="S1489" s="26">
        <f>IFERROR(VLOOKUP(E1489*1,Tabla[#All],8,0),0)</f>
        <v/>
      </c>
      <c r="T1489" s="26">
        <f>S1489*G1489</f>
        <v/>
      </c>
      <c r="U1489" s="26">
        <f>R1489-T1489</f>
        <v/>
      </c>
      <c r="V1489" s="26">
        <f>U1489-L1489</f>
        <v/>
      </c>
    </row>
    <row r="1490">
      <c r="A1490" s="11" t="n">
        <v>46218</v>
      </c>
      <c r="B1490" s="1" t="n">
        <v>20080</v>
      </c>
      <c r="C1490" s="1" t="inlineStr">
        <is>
          <t>029</t>
        </is>
      </c>
      <c r="D1490" s="1" t="inlineStr">
        <is>
          <t>225549</t>
        </is>
      </c>
      <c r="E1490" s="1" t="inlineStr">
        <is>
          <t xml:space="preserve">33483123       </t>
        </is>
      </c>
      <c r="F1490" s="5" t="inlineStr">
        <is>
          <t>NENUCO DISFRACES</t>
        </is>
      </c>
      <c r="G1490" t="n">
        <v>1</v>
      </c>
      <c r="H1490" s="7" t="n">
        <v>89.90000000000001</v>
      </c>
      <c r="I1490" s="7" t="n">
        <v>0</v>
      </c>
      <c r="J1490" s="7" t="n">
        <v>0</v>
      </c>
      <c r="K1490" s="9" t="n">
        <v>0</v>
      </c>
      <c r="L1490" s="10" t="n">
        <v>53.33</v>
      </c>
      <c r="M1490" s="10" t="n">
        <v>1.43</v>
      </c>
      <c r="N1490" t="inlineStr">
        <is>
          <t>1</t>
        </is>
      </c>
      <c r="O1490" t="inlineStr">
        <is>
          <t xml:space="preserve">2 </t>
        </is>
      </c>
      <c r="P1490" t="inlineStr">
        <is>
          <t xml:space="preserve">66628   </t>
        </is>
      </c>
      <c r="Q1490" s="26" t="n">
        <v>53.33</v>
      </c>
      <c r="R1490" s="26">
        <f>Q1490*G1490</f>
        <v/>
      </c>
      <c r="S1490" s="26">
        <f>IFERROR(VLOOKUP(E1490*1,Tabla[#All],8,0),0)</f>
        <v/>
      </c>
      <c r="T1490" s="26">
        <f>S1490*G1490</f>
        <v/>
      </c>
      <c r="U1490" s="26">
        <f>R1490-T1490</f>
        <v/>
      </c>
      <c r="V1490" s="26">
        <f>U1490-L1490</f>
        <v/>
      </c>
    </row>
    <row r="1491">
      <c r="A1491" s="11" t="n">
        <v>46218</v>
      </c>
      <c r="B1491" s="1" t="n">
        <v>20080</v>
      </c>
      <c r="C1491" s="1" t="inlineStr">
        <is>
          <t>029</t>
        </is>
      </c>
      <c r="D1491" s="1" t="inlineStr">
        <is>
          <t>225620</t>
        </is>
      </c>
      <c r="E1491" s="1" t="inlineStr">
        <is>
          <t xml:space="preserve">28194770       </t>
        </is>
      </c>
      <c r="F1491" s="5" t="inlineStr">
        <is>
          <t>AUTOS DE METAL 3 TEAMSTERZ EN BLISTER</t>
        </is>
      </c>
      <c r="G1491" t="n">
        <v>1</v>
      </c>
      <c r="H1491" s="7" t="n">
        <v>6.9</v>
      </c>
      <c r="I1491" s="7" t="n">
        <v>0</v>
      </c>
      <c r="J1491" s="7" t="n">
        <v>0</v>
      </c>
      <c r="K1491" s="9" t="n">
        <v>0</v>
      </c>
      <c r="L1491" s="10" t="n">
        <v>4.1</v>
      </c>
      <c r="M1491" s="10" t="n">
        <v>1.43</v>
      </c>
      <c r="N1491" t="inlineStr">
        <is>
          <t>1</t>
        </is>
      </c>
      <c r="O1491" t="inlineStr">
        <is>
          <t xml:space="preserve">3 </t>
        </is>
      </c>
      <c r="P1491" t="inlineStr">
        <is>
          <t xml:space="preserve">66628   </t>
        </is>
      </c>
      <c r="Q1491" s="26" t="n">
        <v>4.09</v>
      </c>
      <c r="R1491" s="26">
        <f>Q1491*G1491</f>
        <v/>
      </c>
      <c r="S1491" s="26">
        <f>IFERROR(VLOOKUP(E1491*1,Tabla[#All],8,0),0)</f>
        <v/>
      </c>
      <c r="T1491" s="26">
        <f>S1491*G1491</f>
        <v/>
      </c>
      <c r="U1491" s="26">
        <f>R1491-T1491</f>
        <v/>
      </c>
      <c r="V1491" s="26">
        <f>U1491-L1491</f>
        <v/>
      </c>
    </row>
    <row r="1492">
      <c r="A1492" s="11" t="n">
        <v>46218</v>
      </c>
      <c r="B1492" s="1" t="n">
        <v>20086</v>
      </c>
      <c r="C1492" s="1" t="inlineStr">
        <is>
          <t>015</t>
        </is>
      </c>
      <c r="D1492" s="1" t="inlineStr">
        <is>
          <t xml:space="preserve">3975  </t>
        </is>
      </c>
      <c r="E1492" s="1" t="inlineStr">
        <is>
          <t xml:space="preserve">28194770       </t>
        </is>
      </c>
      <c r="F1492" s="5" t="inlineStr">
        <is>
          <t>AUTOS DE METAL 3 TEAMSTERZ EN BLISTER</t>
        </is>
      </c>
      <c r="G1492" t="n">
        <v>1</v>
      </c>
      <c r="H1492" s="7" t="n">
        <v>6.9</v>
      </c>
      <c r="I1492" s="7" t="n">
        <v>0</v>
      </c>
      <c r="J1492" s="7" t="n">
        <v>0</v>
      </c>
      <c r="K1492" s="9" t="n">
        <v>0</v>
      </c>
      <c r="L1492" s="10" t="n">
        <v>4.1</v>
      </c>
      <c r="M1492" s="10" t="n">
        <v>1.43</v>
      </c>
      <c r="N1492" t="inlineStr">
        <is>
          <t>1</t>
        </is>
      </c>
      <c r="O1492" t="inlineStr">
        <is>
          <t xml:space="preserve">2 </t>
        </is>
      </c>
      <c r="P1492" t="inlineStr">
        <is>
          <t xml:space="preserve">95768   </t>
        </is>
      </c>
      <c r="Q1492" s="26" t="n">
        <v>4.09</v>
      </c>
      <c r="R1492" s="26">
        <f>Q1492*G1492</f>
        <v/>
      </c>
      <c r="S1492" s="26">
        <f>IFERROR(VLOOKUP(E1492*1,Tabla[#All],8,0),0)</f>
        <v/>
      </c>
      <c r="T1492" s="26">
        <f>S1492*G1492</f>
        <v/>
      </c>
      <c r="U1492" s="26">
        <f>R1492-T1492</f>
        <v/>
      </c>
      <c r="V1492" s="26">
        <f>U1492-L1492</f>
        <v/>
      </c>
    </row>
    <row r="1493">
      <c r="A1493" s="11" t="n">
        <v>46218</v>
      </c>
      <c r="B1493" s="1" t="n">
        <v>20086</v>
      </c>
      <c r="C1493" s="1" t="inlineStr">
        <is>
          <t>500</t>
        </is>
      </c>
      <c r="D1493" s="1" t="inlineStr">
        <is>
          <t xml:space="preserve">4365  </t>
        </is>
      </c>
      <c r="E1493" s="1" t="inlineStr">
        <is>
          <t xml:space="preserve">28194769       </t>
        </is>
      </c>
      <c r="F1493" s="5" t="inlineStr">
        <is>
          <t>AUTOS DE METAL 3 TEAMSTERZ PACK DE 2</t>
        </is>
      </c>
      <c r="G1493" t="n">
        <v>1</v>
      </c>
      <c r="H1493" s="7" t="n">
        <v>13.8</v>
      </c>
      <c r="I1493" s="7" t="n">
        <v>0</v>
      </c>
      <c r="J1493" s="7" t="n">
        <v>0</v>
      </c>
      <c r="K1493" s="9" t="n">
        <v>0</v>
      </c>
      <c r="L1493" s="10" t="n">
        <v>8.18</v>
      </c>
      <c r="M1493" s="10" t="n">
        <v>1.43</v>
      </c>
      <c r="N1493" t="inlineStr">
        <is>
          <t>1</t>
        </is>
      </c>
      <c r="O1493" t="inlineStr">
        <is>
          <t>16</t>
        </is>
      </c>
      <c r="P1493" t="inlineStr">
        <is>
          <t xml:space="preserve">239143  </t>
        </is>
      </c>
      <c r="Q1493" s="26" t="n">
        <v>8.19</v>
      </c>
      <c r="R1493" s="26">
        <f>Q1493*G1493</f>
        <v/>
      </c>
      <c r="S1493" s="26">
        <f>IFERROR(VLOOKUP(E1493*1,Tabla[#All],8,0),0)</f>
        <v/>
      </c>
      <c r="T1493" s="26">
        <f>S1493*G1493</f>
        <v/>
      </c>
      <c r="U1493" s="26">
        <f>R1493-T1493</f>
        <v/>
      </c>
      <c r="V1493" s="26">
        <f>U1493-L1493</f>
        <v/>
      </c>
    </row>
    <row r="1494">
      <c r="A1494" s="11" t="n">
        <v>46218</v>
      </c>
      <c r="B1494" s="1" t="n">
        <v>20088</v>
      </c>
      <c r="C1494" s="1" t="inlineStr">
        <is>
          <t>021</t>
        </is>
      </c>
      <c r="D1494" s="1" t="inlineStr">
        <is>
          <t xml:space="preserve">49086 </t>
        </is>
      </c>
      <c r="E1494" s="1" t="inlineStr">
        <is>
          <t xml:space="preserve">32457099       </t>
        </is>
      </c>
      <c r="F1494" s="5" t="inlineStr">
        <is>
          <t>TMZ BEAST MACHINES MONSTER JAWS A FRICCION BLISTER</t>
        </is>
      </c>
      <c r="G1494" t="n">
        <v>1</v>
      </c>
      <c r="H1494" s="7" t="n">
        <v>17.9</v>
      </c>
      <c r="I1494" s="7" t="n">
        <v>0</v>
      </c>
      <c r="J1494" s="7" t="n">
        <v>0</v>
      </c>
      <c r="K1494" s="9" t="n">
        <v>0</v>
      </c>
      <c r="L1494" s="10" t="n">
        <v>10.62</v>
      </c>
      <c r="M1494" s="10" t="n">
        <v>1.43</v>
      </c>
      <c r="N1494" t="inlineStr">
        <is>
          <t>1</t>
        </is>
      </c>
      <c r="O1494" t="inlineStr">
        <is>
          <t>16</t>
        </is>
      </c>
      <c r="P1494" t="inlineStr">
        <is>
          <t xml:space="preserve">249601  </t>
        </is>
      </c>
      <c r="Q1494" s="26" t="n">
        <v>11.81</v>
      </c>
      <c r="R1494" s="26">
        <f>Q1494*G1494</f>
        <v/>
      </c>
      <c r="S1494" s="26">
        <f>IFERROR(VLOOKUP(E1494*1,Tabla[#All],8,0),0)</f>
        <v/>
      </c>
      <c r="T1494" s="26">
        <f>S1494*G1494</f>
        <v/>
      </c>
      <c r="U1494" s="26">
        <f>R1494-T1494</f>
        <v/>
      </c>
      <c r="V1494" s="26">
        <f>U1494-L1494</f>
        <v/>
      </c>
    </row>
    <row r="1495">
      <c r="A1495" s="11" t="n">
        <v>46218</v>
      </c>
      <c r="B1495" s="1" t="n">
        <v>20088</v>
      </c>
      <c r="C1495" s="1" t="inlineStr">
        <is>
          <t>021</t>
        </is>
      </c>
      <c r="D1495" s="1" t="inlineStr">
        <is>
          <t xml:space="preserve">49098 </t>
        </is>
      </c>
      <c r="E1495" s="1" t="inlineStr">
        <is>
          <t xml:space="preserve">28194768       </t>
        </is>
      </c>
      <c r="F1495" s="5" t="inlineStr">
        <is>
          <t>AUTO COLOR CHANGE TEAMSTERZ SURTIDO</t>
        </is>
      </c>
      <c r="G1495" t="n">
        <v>1</v>
      </c>
      <c r="H1495" s="7" t="n">
        <v>14.9</v>
      </c>
      <c r="I1495" s="7" t="n">
        <v>0</v>
      </c>
      <c r="J1495" s="7" t="n">
        <v>0</v>
      </c>
      <c r="K1495" s="9" t="n">
        <v>0</v>
      </c>
      <c r="L1495" s="10" t="n">
        <v>8.84</v>
      </c>
      <c r="M1495" s="10" t="n">
        <v>1.43</v>
      </c>
      <c r="N1495" t="inlineStr">
        <is>
          <t>1</t>
        </is>
      </c>
      <c r="O1495" t="inlineStr">
        <is>
          <t>16</t>
        </is>
      </c>
      <c r="P1495" t="inlineStr">
        <is>
          <t xml:space="preserve">249601  </t>
        </is>
      </c>
      <c r="Q1495" s="26" t="n">
        <v>8.84</v>
      </c>
      <c r="R1495" s="26">
        <f>Q1495*G1495</f>
        <v/>
      </c>
      <c r="S1495" s="26">
        <f>IFERROR(VLOOKUP(E1495*1,Tabla[#All],8,0),0)</f>
        <v/>
      </c>
      <c r="T1495" s="26">
        <f>S1495*G1495</f>
        <v/>
      </c>
      <c r="U1495" s="26">
        <f>R1495-T1495</f>
        <v/>
      </c>
      <c r="V1495" s="26">
        <f>U1495-L1495</f>
        <v/>
      </c>
    </row>
    <row r="1496">
      <c r="A1496" s="11" t="n">
        <v>46218</v>
      </c>
      <c r="B1496" s="1" t="n">
        <v>20088</v>
      </c>
      <c r="C1496" s="1" t="inlineStr">
        <is>
          <t>021</t>
        </is>
      </c>
      <c r="D1496" s="1" t="inlineStr">
        <is>
          <t xml:space="preserve">49106 </t>
        </is>
      </c>
      <c r="E1496" s="1" t="inlineStr">
        <is>
          <t xml:space="preserve">28194768       </t>
        </is>
      </c>
      <c r="F1496" s="5" t="inlineStr">
        <is>
          <t>AUTO COLOR CHANGE TEAMSTERZ SURTIDO</t>
        </is>
      </c>
      <c r="G1496" t="n">
        <v>1</v>
      </c>
      <c r="H1496" s="7" t="n">
        <v>14.9</v>
      </c>
      <c r="I1496" s="7" t="n">
        <v>0</v>
      </c>
      <c r="J1496" s="7" t="n">
        <v>0</v>
      </c>
      <c r="K1496" s="9" t="n">
        <v>0</v>
      </c>
      <c r="L1496" s="10" t="n">
        <v>8.84</v>
      </c>
      <c r="M1496" s="10" t="n">
        <v>1.43</v>
      </c>
      <c r="N1496" t="inlineStr">
        <is>
          <t>1</t>
        </is>
      </c>
      <c r="O1496" t="inlineStr">
        <is>
          <t xml:space="preserve">2 </t>
        </is>
      </c>
      <c r="P1496" t="inlineStr">
        <is>
          <t xml:space="preserve">249601  </t>
        </is>
      </c>
      <c r="Q1496" s="26" t="n">
        <v>8.84</v>
      </c>
      <c r="R1496" s="26">
        <f>Q1496*G1496</f>
        <v/>
      </c>
      <c r="S1496" s="26">
        <f>IFERROR(VLOOKUP(E1496*1,Tabla[#All],8,0),0)</f>
        <v/>
      </c>
      <c r="T1496" s="26">
        <f>S1496*G1496</f>
        <v/>
      </c>
      <c r="U1496" s="26">
        <f>R1496-T1496</f>
        <v/>
      </c>
      <c r="V1496" s="26">
        <f>U1496-L1496</f>
        <v/>
      </c>
    </row>
    <row r="1497">
      <c r="A1497" s="11" t="n">
        <v>46218</v>
      </c>
      <c r="B1497" s="1" t="n">
        <v>20088</v>
      </c>
      <c r="C1497" s="1" t="inlineStr">
        <is>
          <t>021</t>
        </is>
      </c>
      <c r="D1497" s="1" t="inlineStr">
        <is>
          <t xml:space="preserve">49106 </t>
        </is>
      </c>
      <c r="E1497" s="1" t="inlineStr">
        <is>
          <t xml:space="preserve">28194768       </t>
        </is>
      </c>
      <c r="F1497" s="5" t="inlineStr">
        <is>
          <t>AUTO COLOR CHANGE TEAMSTERZ SURTIDO</t>
        </is>
      </c>
      <c r="G1497" t="n">
        <v>1</v>
      </c>
      <c r="H1497" s="7" t="n">
        <v>14.9</v>
      </c>
      <c r="I1497" s="7" t="n">
        <v>0</v>
      </c>
      <c r="J1497" s="7" t="n">
        <v>0</v>
      </c>
      <c r="K1497" s="9" t="n">
        <v>0</v>
      </c>
      <c r="L1497" s="10" t="n">
        <v>8.84</v>
      </c>
      <c r="M1497" s="10" t="n">
        <v>1.43</v>
      </c>
      <c r="N1497" t="inlineStr">
        <is>
          <t>1</t>
        </is>
      </c>
      <c r="O1497" t="inlineStr">
        <is>
          <t xml:space="preserve">2 </t>
        </is>
      </c>
      <c r="P1497" t="inlineStr">
        <is>
          <t xml:space="preserve">249601  </t>
        </is>
      </c>
      <c r="Q1497" s="26" t="n">
        <v>8.84</v>
      </c>
      <c r="R1497" s="26">
        <f>Q1497*G1497</f>
        <v/>
      </c>
      <c r="S1497" s="26">
        <f>IFERROR(VLOOKUP(E1497*1,Tabla[#All],8,0),0)</f>
        <v/>
      </c>
      <c r="T1497" s="26">
        <f>S1497*G1497</f>
        <v/>
      </c>
      <c r="U1497" s="26">
        <f>R1497-T1497</f>
        <v/>
      </c>
      <c r="V1497" s="26">
        <f>U1497-L1497</f>
        <v/>
      </c>
    </row>
    <row r="1498">
      <c r="A1498" s="11" t="n">
        <v>46218</v>
      </c>
      <c r="B1498" s="1" t="n">
        <v>20088</v>
      </c>
      <c r="C1498" s="1" t="inlineStr">
        <is>
          <t>021</t>
        </is>
      </c>
      <c r="D1498" s="1" t="inlineStr">
        <is>
          <t xml:space="preserve">803   </t>
        </is>
      </c>
      <c r="E1498" s="1" t="inlineStr">
        <is>
          <t xml:space="preserve">28194765       </t>
        </is>
      </c>
      <c r="F1498" s="5" t="inlineStr">
        <is>
          <t>PLAYSET COLOR CHANGE TIBURN TEAMSTERZ  1 AUTITO</t>
        </is>
      </c>
      <c r="G1498" t="n">
        <v>1</v>
      </c>
      <c r="H1498" s="7" t="n">
        <v>79.90000000000001</v>
      </c>
      <c r="I1498" s="7" t="n">
        <v>0</v>
      </c>
      <c r="J1498" s="7" t="n">
        <v>0</v>
      </c>
      <c r="K1498" s="9" t="n">
        <v>0</v>
      </c>
      <c r="L1498" s="10" t="n">
        <v>47.4</v>
      </c>
      <c r="M1498" s="10" t="n">
        <v>1.43</v>
      </c>
      <c r="N1498" t="inlineStr">
        <is>
          <t>1</t>
        </is>
      </c>
      <c r="O1498" t="inlineStr">
        <is>
          <t>16</t>
        </is>
      </c>
      <c r="P1498" t="inlineStr">
        <is>
          <t xml:space="preserve">249601  </t>
        </is>
      </c>
      <c r="Q1498" s="26" t="n">
        <v>47.4</v>
      </c>
      <c r="R1498" s="26">
        <f>Q1498*G1498</f>
        <v/>
      </c>
      <c r="S1498" s="26">
        <f>IFERROR(VLOOKUP(E1498*1,Tabla[#All],8,0),0)</f>
        <v/>
      </c>
      <c r="T1498" s="26">
        <f>S1498*G1498</f>
        <v/>
      </c>
      <c r="U1498" s="26">
        <f>R1498-T1498</f>
        <v/>
      </c>
      <c r="V1498" s="26">
        <f>U1498-L1498</f>
        <v/>
      </c>
    </row>
    <row r="1499">
      <c r="A1499" s="11" t="n">
        <v>46218</v>
      </c>
      <c r="B1499" s="1" t="n">
        <v>20089</v>
      </c>
      <c r="C1499" s="1" t="inlineStr">
        <is>
          <t>025</t>
        </is>
      </c>
      <c r="D1499" s="1" t="inlineStr">
        <is>
          <t>121774</t>
        </is>
      </c>
      <c r="E1499" s="1" t="inlineStr">
        <is>
          <t xml:space="preserve">28194770       </t>
        </is>
      </c>
      <c r="F1499" s="5" t="inlineStr">
        <is>
          <t>AUTOS DE METAL 3 TEAMSTERZ EN BLISTER</t>
        </is>
      </c>
      <c r="G1499" t="n">
        <v>1</v>
      </c>
      <c r="H1499" s="7" t="n">
        <v>6.9</v>
      </c>
      <c r="I1499" s="7" t="n">
        <v>0</v>
      </c>
      <c r="J1499" s="7" t="n">
        <v>0</v>
      </c>
      <c r="K1499" s="9" t="n">
        <v>0</v>
      </c>
      <c r="L1499" s="10" t="n">
        <v>4.1</v>
      </c>
      <c r="M1499" s="10" t="n">
        <v>1.43</v>
      </c>
      <c r="N1499" t="inlineStr">
        <is>
          <t>1</t>
        </is>
      </c>
      <c r="O1499" t="inlineStr">
        <is>
          <t>16</t>
        </is>
      </c>
      <c r="P1499" t="inlineStr">
        <is>
          <t xml:space="preserve">94948   </t>
        </is>
      </c>
      <c r="Q1499" s="26" t="n">
        <v>4.09</v>
      </c>
      <c r="R1499" s="26">
        <f>Q1499*G1499</f>
        <v/>
      </c>
      <c r="S1499" s="26">
        <f>IFERROR(VLOOKUP(E1499*1,Tabla[#All],8,0),0)</f>
        <v/>
      </c>
      <c r="T1499" s="26">
        <f>S1499*G1499</f>
        <v/>
      </c>
      <c r="U1499" s="26">
        <f>R1499-T1499</f>
        <v/>
      </c>
      <c r="V1499" s="26">
        <f>U1499-L1499</f>
        <v/>
      </c>
    </row>
    <row r="1500">
      <c r="A1500" s="11" t="n">
        <v>46218</v>
      </c>
      <c r="B1500" s="1" t="n">
        <v>20089</v>
      </c>
      <c r="C1500" s="1" t="inlineStr">
        <is>
          <t>025</t>
        </is>
      </c>
      <c r="D1500" s="1" t="inlineStr">
        <is>
          <t>121774</t>
        </is>
      </c>
      <c r="E1500" s="1" t="inlineStr">
        <is>
          <t xml:space="preserve">30141766       </t>
        </is>
      </c>
      <c r="F1500" s="5" t="inlineStr">
        <is>
          <t>TMZ BEAST MACHINES AUTOS DE METAL BLISTER X 1</t>
        </is>
      </c>
      <c r="G1500" t="n">
        <v>1</v>
      </c>
      <c r="H1500" s="7" t="n">
        <v>7.9</v>
      </c>
      <c r="I1500" s="7" t="n">
        <v>0</v>
      </c>
      <c r="J1500" s="7" t="n">
        <v>0</v>
      </c>
      <c r="K1500" s="9" t="n">
        <v>0</v>
      </c>
      <c r="L1500" s="10" t="n">
        <v>4.68</v>
      </c>
      <c r="M1500" s="10" t="n">
        <v>1.43</v>
      </c>
      <c r="N1500" t="inlineStr">
        <is>
          <t>1</t>
        </is>
      </c>
      <c r="O1500" t="inlineStr">
        <is>
          <t>16</t>
        </is>
      </c>
      <c r="P1500" t="inlineStr">
        <is>
          <t xml:space="preserve">94948   </t>
        </is>
      </c>
      <c r="Q1500" s="26" t="n">
        <v>4.69</v>
      </c>
      <c r="R1500" s="26">
        <f>Q1500*G1500</f>
        <v/>
      </c>
      <c r="S1500" s="26">
        <f>IFERROR(VLOOKUP(E1500*1,Tabla[#All],8,0),0)</f>
        <v/>
      </c>
      <c r="T1500" s="26">
        <f>S1500*G1500</f>
        <v/>
      </c>
      <c r="U1500" s="26">
        <f>R1500-T1500</f>
        <v/>
      </c>
      <c r="V1500" s="26">
        <f>U1500-L1500</f>
        <v/>
      </c>
    </row>
    <row r="1501">
      <c r="A1501" s="11" t="n">
        <v>46218</v>
      </c>
      <c r="B1501" s="1" t="n">
        <v>20089</v>
      </c>
      <c r="C1501" s="1" t="inlineStr">
        <is>
          <t>026</t>
        </is>
      </c>
      <c r="D1501" s="1" t="inlineStr">
        <is>
          <t xml:space="preserve">87876 </t>
        </is>
      </c>
      <c r="E1501" s="1" t="inlineStr">
        <is>
          <t xml:space="preserve">28194770       </t>
        </is>
      </c>
      <c r="F1501" s="5" t="inlineStr">
        <is>
          <t>AUTOS DE METAL 3 TEAMSTERZ EN BLISTER</t>
        </is>
      </c>
      <c r="G1501" t="n">
        <v>1</v>
      </c>
      <c r="H1501" s="7" t="n">
        <v>6.9</v>
      </c>
      <c r="I1501" s="7" t="n">
        <v>0</v>
      </c>
      <c r="J1501" s="7" t="n">
        <v>0</v>
      </c>
      <c r="K1501" s="9" t="n">
        <v>0</v>
      </c>
      <c r="L1501" s="10" t="n">
        <v>4.1</v>
      </c>
      <c r="M1501" s="10" t="n">
        <v>1.43</v>
      </c>
      <c r="N1501" t="inlineStr">
        <is>
          <t>1</t>
        </is>
      </c>
      <c r="O1501" t="inlineStr">
        <is>
          <t>16</t>
        </is>
      </c>
      <c r="P1501" t="inlineStr">
        <is>
          <t xml:space="preserve">109709  </t>
        </is>
      </c>
      <c r="Q1501" s="26" t="n">
        <v>4.09</v>
      </c>
      <c r="R1501" s="26">
        <f>Q1501*G1501</f>
        <v/>
      </c>
      <c r="S1501" s="26">
        <f>IFERROR(VLOOKUP(E1501*1,Tabla[#All],8,0),0)</f>
        <v/>
      </c>
      <c r="T1501" s="26">
        <f>S1501*G1501</f>
        <v/>
      </c>
      <c r="U1501" s="26">
        <f>R1501-T1501</f>
        <v/>
      </c>
      <c r="V1501" s="26">
        <f>U1501-L1501</f>
        <v/>
      </c>
    </row>
    <row r="1502">
      <c r="A1502" s="11" t="n">
        <v>46218</v>
      </c>
      <c r="B1502" s="1" t="n">
        <v>20089</v>
      </c>
      <c r="C1502" s="1" t="inlineStr">
        <is>
          <t>026</t>
        </is>
      </c>
      <c r="D1502" s="1" t="inlineStr">
        <is>
          <t xml:space="preserve">87909 </t>
        </is>
      </c>
      <c r="E1502" s="1" t="inlineStr">
        <is>
          <t xml:space="preserve">29235710       </t>
        </is>
      </c>
      <c r="F1502" s="5" t="inlineStr">
        <is>
          <t>TEAMSTERZ PLAYSET GRANDES CONSTRUCCIONES</t>
        </is>
      </c>
      <c r="G1502" t="n">
        <v>1</v>
      </c>
      <c r="H1502" s="7" t="n">
        <v>19.9</v>
      </c>
      <c r="I1502" s="7" t="n">
        <v>0</v>
      </c>
      <c r="J1502" s="7" t="n">
        <v>0</v>
      </c>
      <c r="K1502" s="9" t="n">
        <v>0</v>
      </c>
      <c r="L1502" s="10" t="n">
        <v>11.8</v>
      </c>
      <c r="M1502" s="10" t="n">
        <v>1.43</v>
      </c>
      <c r="N1502" t="inlineStr">
        <is>
          <t>1</t>
        </is>
      </c>
      <c r="O1502" t="inlineStr">
        <is>
          <t>16</t>
        </is>
      </c>
      <c r="P1502" t="inlineStr">
        <is>
          <t xml:space="preserve">109709  </t>
        </is>
      </c>
      <c r="Q1502" s="26" t="n">
        <v>11.81</v>
      </c>
      <c r="R1502" s="26">
        <f>Q1502*G1502</f>
        <v/>
      </c>
      <c r="S1502" s="26">
        <f>IFERROR(VLOOKUP(E1502*1,Tabla[#All],8,0),0)</f>
        <v/>
      </c>
      <c r="T1502" s="26">
        <f>S1502*G1502</f>
        <v/>
      </c>
      <c r="U1502" s="26">
        <f>R1502-T1502</f>
        <v/>
      </c>
      <c r="V1502" s="26">
        <f>U1502-L1502</f>
        <v/>
      </c>
    </row>
    <row r="1503">
      <c r="A1503" s="11" t="n">
        <v>46218</v>
      </c>
      <c r="B1503" s="1" t="n">
        <v>20089</v>
      </c>
      <c r="C1503" s="1" t="inlineStr">
        <is>
          <t>026</t>
        </is>
      </c>
      <c r="D1503" s="1" t="inlineStr">
        <is>
          <t xml:space="preserve">87931 </t>
        </is>
      </c>
      <c r="E1503" s="1" t="inlineStr">
        <is>
          <t xml:space="preserve">28194770       </t>
        </is>
      </c>
      <c r="F1503" s="5" t="inlineStr">
        <is>
          <t>AUTOS DE METAL 3 TEAMSTERZ EN BLISTER</t>
        </is>
      </c>
      <c r="G1503" t="n">
        <v>1</v>
      </c>
      <c r="H1503" s="7" t="n">
        <v>6.9</v>
      </c>
      <c r="I1503" s="7" t="n">
        <v>0</v>
      </c>
      <c r="J1503" s="7" t="n">
        <v>0</v>
      </c>
      <c r="K1503" s="9" t="n">
        <v>0</v>
      </c>
      <c r="L1503" s="10" t="n">
        <v>4.1</v>
      </c>
      <c r="M1503" s="10" t="n">
        <v>1.43</v>
      </c>
      <c r="N1503" t="inlineStr">
        <is>
          <t>1</t>
        </is>
      </c>
      <c r="O1503" t="inlineStr">
        <is>
          <t>16</t>
        </is>
      </c>
      <c r="P1503" t="inlineStr">
        <is>
          <t xml:space="preserve">109709  </t>
        </is>
      </c>
      <c r="Q1503" s="26" t="n">
        <v>4.09</v>
      </c>
      <c r="R1503" s="26">
        <f>Q1503*G1503</f>
        <v/>
      </c>
      <c r="S1503" s="26">
        <f>IFERROR(VLOOKUP(E1503*1,Tabla[#All],8,0),0)</f>
        <v/>
      </c>
      <c r="T1503" s="26">
        <f>S1503*G1503</f>
        <v/>
      </c>
      <c r="U1503" s="26">
        <f>R1503-T1503</f>
        <v/>
      </c>
      <c r="V1503" s="26">
        <f>U1503-L1503</f>
        <v/>
      </c>
    </row>
    <row r="1504">
      <c r="A1504" s="11" t="n">
        <v>46218</v>
      </c>
      <c r="B1504" s="1" t="n">
        <v>20089</v>
      </c>
      <c r="C1504" s="1" t="inlineStr">
        <is>
          <t>026</t>
        </is>
      </c>
      <c r="D1504" s="1" t="inlineStr">
        <is>
          <t xml:space="preserve">87957 </t>
        </is>
      </c>
      <c r="E1504" s="1" t="inlineStr">
        <is>
          <t xml:space="preserve">28194783       </t>
        </is>
      </c>
      <c r="F1504" s="5" t="inlineStr">
        <is>
          <t>SET DE BATALLA INFINITY NADO CON 2 TROMPOS</t>
        </is>
      </c>
      <c r="G1504" t="n">
        <v>1</v>
      </c>
      <c r="H1504" s="7" t="n">
        <v>159</v>
      </c>
      <c r="I1504" s="7" t="n">
        <v>0</v>
      </c>
      <c r="J1504" s="7" t="n">
        <v>0</v>
      </c>
      <c r="K1504" s="9" t="n">
        <v>0</v>
      </c>
      <c r="L1504" s="10" t="n">
        <v>94.33</v>
      </c>
      <c r="M1504" s="10" t="n">
        <v>1.43</v>
      </c>
      <c r="N1504" t="inlineStr">
        <is>
          <t>1</t>
        </is>
      </c>
      <c r="O1504" t="inlineStr">
        <is>
          <t>16</t>
        </is>
      </c>
      <c r="P1504" t="inlineStr">
        <is>
          <t xml:space="preserve">109709  </t>
        </is>
      </c>
      <c r="Q1504" s="26" t="n">
        <v>94.31999999999999</v>
      </c>
      <c r="R1504" s="26">
        <f>Q1504*G1504</f>
        <v/>
      </c>
      <c r="S1504" s="26">
        <f>IFERROR(VLOOKUP(E1504*1,Tabla[#All],8,0),0)</f>
        <v/>
      </c>
      <c r="T1504" s="26">
        <f>S1504*G1504</f>
        <v/>
      </c>
      <c r="U1504" s="26">
        <f>R1504-T1504</f>
        <v/>
      </c>
      <c r="V1504" s="26">
        <f>U1504-L1504</f>
        <v/>
      </c>
    </row>
    <row r="1505">
      <c r="A1505" s="11" t="n">
        <v>46218</v>
      </c>
      <c r="B1505" s="1" t="n">
        <v>20089</v>
      </c>
      <c r="C1505" s="1" t="inlineStr">
        <is>
          <t>860</t>
        </is>
      </c>
      <c r="D1505" s="1" t="inlineStr">
        <is>
          <t xml:space="preserve">9580  </t>
        </is>
      </c>
      <c r="E1505" s="1" t="inlineStr">
        <is>
          <t xml:space="preserve">28194770       </t>
        </is>
      </c>
      <c r="F1505" s="5" t="inlineStr">
        <is>
          <t>AUTOS DE METAL 3 TEAMSTERZ EN BLISTER</t>
        </is>
      </c>
      <c r="G1505" t="n">
        <v>1</v>
      </c>
      <c r="H1505" s="7" t="n">
        <v>6.9</v>
      </c>
      <c r="I1505" s="7" t="n">
        <v>0</v>
      </c>
      <c r="J1505" s="7" t="n">
        <v>0</v>
      </c>
      <c r="K1505" s="9" t="n">
        <v>0</v>
      </c>
      <c r="L1505" s="10" t="n">
        <v>4.1</v>
      </c>
      <c r="M1505" s="10" t="n">
        <v>1.43</v>
      </c>
      <c r="N1505" t="inlineStr">
        <is>
          <t>1</t>
        </is>
      </c>
      <c r="O1505" t="inlineStr">
        <is>
          <t>16</t>
        </is>
      </c>
      <c r="P1505" t="inlineStr">
        <is>
          <t xml:space="preserve">0       </t>
        </is>
      </c>
      <c r="Q1505" s="26" t="n">
        <v>4.09</v>
      </c>
      <c r="R1505" s="26">
        <f>Q1505*G1505</f>
        <v/>
      </c>
      <c r="S1505" s="26">
        <f>IFERROR(VLOOKUP(E1505*1,Tabla[#All],8,0),0)</f>
        <v/>
      </c>
      <c r="T1505" s="26">
        <f>S1505*G1505</f>
        <v/>
      </c>
      <c r="U1505" s="26">
        <f>R1505-T1505</f>
        <v/>
      </c>
      <c r="V1505" s="26">
        <f>U1505-L1505</f>
        <v/>
      </c>
    </row>
    <row r="1506">
      <c r="A1506" s="11" t="n">
        <v>46218</v>
      </c>
      <c r="B1506" s="1" t="n">
        <v>20095</v>
      </c>
      <c r="C1506" s="1" t="inlineStr">
        <is>
          <t>043</t>
        </is>
      </c>
      <c r="D1506" s="1" t="inlineStr">
        <is>
          <t>107869</t>
        </is>
      </c>
      <c r="E1506" s="1" t="inlineStr">
        <is>
          <t xml:space="preserve">28194770       </t>
        </is>
      </c>
      <c r="F1506" s="5" t="inlineStr">
        <is>
          <t>AUTOS DE METAL 3 TEAMSTERZ EN BLISTER</t>
        </is>
      </c>
      <c r="G1506" t="n">
        <v>1</v>
      </c>
      <c r="H1506" s="7" t="n">
        <v>6.9</v>
      </c>
      <c r="I1506" s="7" t="n">
        <v>0</v>
      </c>
      <c r="J1506" s="7" t="n">
        <v>0</v>
      </c>
      <c r="K1506" s="9" t="n">
        <v>0</v>
      </c>
      <c r="L1506" s="10" t="n">
        <v>4.1</v>
      </c>
      <c r="M1506" s="10" t="n">
        <v>1.43</v>
      </c>
      <c r="N1506" t="inlineStr">
        <is>
          <t>1</t>
        </is>
      </c>
      <c r="O1506" t="inlineStr">
        <is>
          <t>16</t>
        </is>
      </c>
      <c r="P1506" t="inlineStr">
        <is>
          <t xml:space="preserve">57866   </t>
        </is>
      </c>
      <c r="Q1506" s="26" t="n">
        <v>4.09</v>
      </c>
      <c r="R1506" s="26">
        <f>Q1506*G1506</f>
        <v/>
      </c>
      <c r="S1506" s="26">
        <f>IFERROR(VLOOKUP(E1506*1,Tabla[#All],8,0),0)</f>
        <v/>
      </c>
      <c r="T1506" s="26">
        <f>S1506*G1506</f>
        <v/>
      </c>
      <c r="U1506" s="26">
        <f>R1506-T1506</f>
        <v/>
      </c>
      <c r="V1506" s="26">
        <f>U1506-L1506</f>
        <v/>
      </c>
    </row>
    <row r="1507">
      <c r="A1507" s="11" t="n">
        <v>46218</v>
      </c>
      <c r="B1507" s="1" t="n">
        <v>20095</v>
      </c>
      <c r="C1507" s="1" t="inlineStr">
        <is>
          <t>043</t>
        </is>
      </c>
      <c r="D1507" s="1" t="inlineStr">
        <is>
          <t>107869</t>
        </is>
      </c>
      <c r="E1507" s="1" t="inlineStr">
        <is>
          <t xml:space="preserve">30141766       </t>
        </is>
      </c>
      <c r="F1507" s="5" t="inlineStr">
        <is>
          <t>TMZ BEAST MACHINES AUTOS DE METAL BLISTER X 1</t>
        </is>
      </c>
      <c r="G1507" t="n">
        <v>1</v>
      </c>
      <c r="H1507" s="7" t="n">
        <v>7.9</v>
      </c>
      <c r="I1507" s="7" t="n">
        <v>0</v>
      </c>
      <c r="J1507" s="7" t="n">
        <v>0</v>
      </c>
      <c r="K1507" s="9" t="n">
        <v>0</v>
      </c>
      <c r="L1507" s="10" t="n">
        <v>4.68</v>
      </c>
      <c r="M1507" s="10" t="n">
        <v>1.43</v>
      </c>
      <c r="N1507" t="inlineStr">
        <is>
          <t>1</t>
        </is>
      </c>
      <c r="O1507" t="inlineStr">
        <is>
          <t>16</t>
        </is>
      </c>
      <c r="P1507" t="inlineStr">
        <is>
          <t xml:space="preserve">57866   </t>
        </is>
      </c>
      <c r="Q1507" s="26" t="n">
        <v>4.69</v>
      </c>
      <c r="R1507" s="26">
        <f>Q1507*G1507</f>
        <v/>
      </c>
      <c r="S1507" s="26">
        <f>IFERROR(VLOOKUP(E1507*1,Tabla[#All],8,0),0)</f>
        <v/>
      </c>
      <c r="T1507" s="26">
        <f>S1507*G1507</f>
        <v/>
      </c>
      <c r="U1507" s="26">
        <f>R1507-T1507</f>
        <v/>
      </c>
      <c r="V1507" s="26">
        <f>U1507-L1507</f>
        <v/>
      </c>
    </row>
    <row r="1508">
      <c r="A1508" s="11" t="n">
        <v>46218</v>
      </c>
      <c r="B1508" s="1" t="n">
        <v>20095</v>
      </c>
      <c r="C1508" s="1" t="inlineStr">
        <is>
          <t>044</t>
        </is>
      </c>
      <c r="D1508" s="1" t="inlineStr">
        <is>
          <t xml:space="preserve">93761 </t>
        </is>
      </c>
      <c r="E1508" s="1" t="inlineStr">
        <is>
          <t xml:space="preserve">28194770       </t>
        </is>
      </c>
      <c r="F1508" s="5" t="inlineStr">
        <is>
          <t>AUTOS DE METAL 3 TEAMSTERZ EN BLISTER</t>
        </is>
      </c>
      <c r="G1508" t="n">
        <v>1</v>
      </c>
      <c r="H1508" s="7" t="n">
        <v>6.9</v>
      </c>
      <c r="I1508" s="7" t="n">
        <v>0</v>
      </c>
      <c r="J1508" s="7" t="n">
        <v>0</v>
      </c>
      <c r="K1508" s="9" t="n">
        <v>0</v>
      </c>
      <c r="L1508" s="10" t="n">
        <v>4.1</v>
      </c>
      <c r="M1508" s="10" t="n">
        <v>1.43</v>
      </c>
      <c r="N1508" t="inlineStr">
        <is>
          <t>1</t>
        </is>
      </c>
      <c r="O1508" t="inlineStr">
        <is>
          <t>16</t>
        </is>
      </c>
      <c r="P1508" t="inlineStr">
        <is>
          <t xml:space="preserve">248232  </t>
        </is>
      </c>
      <c r="Q1508" s="26" t="n">
        <v>4.09</v>
      </c>
      <c r="R1508" s="26">
        <f>Q1508*G1508</f>
        <v/>
      </c>
      <c r="S1508" s="26">
        <f>IFERROR(VLOOKUP(E1508*1,Tabla[#All],8,0),0)</f>
        <v/>
      </c>
      <c r="T1508" s="26">
        <f>S1508*G1508</f>
        <v/>
      </c>
      <c r="U1508" s="26">
        <f>R1508-T1508</f>
        <v/>
      </c>
      <c r="V1508" s="26">
        <f>U1508-L1508</f>
        <v/>
      </c>
    </row>
    <row r="1509">
      <c r="A1509" s="11" t="n">
        <v>46219</v>
      </c>
      <c r="B1509" s="1" t="n">
        <v>20021</v>
      </c>
      <c r="C1509" s="1" t="inlineStr">
        <is>
          <t>055</t>
        </is>
      </c>
      <c r="D1509" s="1" t="inlineStr">
        <is>
          <t>154909</t>
        </is>
      </c>
      <c r="E1509" s="1" t="inlineStr">
        <is>
          <t xml:space="preserve">29235702       </t>
        </is>
      </c>
      <c r="F1509" s="5" t="inlineStr">
        <is>
          <t>INFINITY NADO TROMPO DE BATALLA - METAL C/ ANILLO</t>
        </is>
      </c>
      <c r="G1509" t="n">
        <v>1</v>
      </c>
      <c r="H1509" s="7" t="n">
        <v>69.90000000000001</v>
      </c>
      <c r="I1509" s="7" t="n">
        <v>0</v>
      </c>
      <c r="J1509" s="7" t="n">
        <v>0</v>
      </c>
      <c r="K1509" s="9" t="n">
        <v>0</v>
      </c>
      <c r="L1509" s="10" t="n">
        <v>41.47</v>
      </c>
      <c r="M1509" s="10" t="n">
        <v>1.43</v>
      </c>
      <c r="N1509" t="inlineStr">
        <is>
          <t>1</t>
        </is>
      </c>
      <c r="O1509" t="inlineStr">
        <is>
          <t>16</t>
        </is>
      </c>
      <c r="P1509" t="inlineStr">
        <is>
          <t xml:space="preserve">36042   </t>
        </is>
      </c>
      <c r="Q1509" s="26" t="n">
        <v>41.47</v>
      </c>
      <c r="R1509" s="26">
        <f>Q1509*G1509</f>
        <v/>
      </c>
      <c r="S1509" s="26">
        <f>IFERROR(VLOOKUP(E1509*1,Tabla[#All],8,0),0)</f>
        <v/>
      </c>
      <c r="T1509" s="26">
        <f>S1509*G1509</f>
        <v/>
      </c>
      <c r="U1509" s="26">
        <f>R1509-T1509</f>
        <v/>
      </c>
      <c r="V1509" s="26">
        <f>U1509-L1509</f>
        <v/>
      </c>
    </row>
    <row r="1510">
      <c r="A1510" s="11" t="n">
        <v>46219</v>
      </c>
      <c r="B1510" s="1" t="n">
        <v>20023</v>
      </c>
      <c r="C1510" s="1" t="inlineStr">
        <is>
          <t>105</t>
        </is>
      </c>
      <c r="D1510" s="1" t="inlineStr">
        <is>
          <t xml:space="preserve">91062 </t>
        </is>
      </c>
      <c r="E1510" s="1" t="inlineStr">
        <is>
          <t xml:space="preserve">31675352       </t>
        </is>
      </c>
      <c r="F1510" s="5" t="inlineStr">
        <is>
          <t>MI PEQUENO NENUCO</t>
        </is>
      </c>
      <c r="G1510" t="n">
        <v>1</v>
      </c>
      <c r="H1510" s="7" t="n">
        <v>69.90000000000001</v>
      </c>
      <c r="I1510" s="7" t="n">
        <v>0</v>
      </c>
      <c r="J1510" s="7" t="n">
        <v>0</v>
      </c>
      <c r="K1510" s="9" t="n">
        <v>0</v>
      </c>
      <c r="L1510" s="10" t="n">
        <v>41.47</v>
      </c>
      <c r="M1510" s="10" t="n">
        <v>1.43</v>
      </c>
      <c r="N1510" t="inlineStr">
        <is>
          <t>1</t>
        </is>
      </c>
      <c r="O1510" t="inlineStr">
        <is>
          <t>16</t>
        </is>
      </c>
      <c r="P1510" t="inlineStr">
        <is>
          <t xml:space="preserve">19329   </t>
        </is>
      </c>
      <c r="Q1510" s="26" t="n">
        <v>41.47</v>
      </c>
      <c r="R1510" s="26">
        <f>Q1510*G1510</f>
        <v/>
      </c>
      <c r="S1510" s="26">
        <f>IFERROR(VLOOKUP(E1510*1,Tabla[#All],8,0),0)</f>
        <v/>
      </c>
      <c r="T1510" s="26">
        <f>S1510*G1510</f>
        <v/>
      </c>
      <c r="U1510" s="26">
        <f>R1510-T1510</f>
        <v/>
      </c>
      <c r="V1510" s="26">
        <f>U1510-L1510</f>
        <v/>
      </c>
    </row>
    <row r="1511">
      <c r="A1511" s="11" t="n">
        <v>46219</v>
      </c>
      <c r="B1511" s="1" t="n">
        <v>20027</v>
      </c>
      <c r="C1511" s="1" t="inlineStr">
        <is>
          <t>064</t>
        </is>
      </c>
      <c r="D1511" s="1" t="inlineStr">
        <is>
          <t xml:space="preserve">32025 </t>
        </is>
      </c>
      <c r="E1511" s="1" t="inlineStr">
        <is>
          <t xml:space="preserve">30141768       </t>
        </is>
      </c>
      <c r="F1511" s="5" t="inlineStr">
        <is>
          <t>TMZ BEAST MACHINES AUTOS DE METAL PACK 10 AUTOS</t>
        </is>
      </c>
      <c r="G1511" t="n">
        <v>1</v>
      </c>
      <c r="H1511" s="7" t="n">
        <v>79</v>
      </c>
      <c r="I1511" s="7" t="n">
        <v>0</v>
      </c>
      <c r="J1511" s="7" t="n">
        <v>0</v>
      </c>
      <c r="K1511" s="9" t="n">
        <v>0</v>
      </c>
      <c r="L1511" s="10" t="n">
        <v>46.87</v>
      </c>
      <c r="M1511" s="10" t="n">
        <v>1.43</v>
      </c>
      <c r="N1511" t="inlineStr">
        <is>
          <t>1</t>
        </is>
      </c>
      <c r="O1511" t="inlineStr">
        <is>
          <t>16</t>
        </is>
      </c>
      <c r="P1511" t="inlineStr">
        <is>
          <t xml:space="preserve">23385   </t>
        </is>
      </c>
      <c r="Q1511" s="26" t="n">
        <v>46.86</v>
      </c>
      <c r="R1511" s="26">
        <f>Q1511*G1511</f>
        <v/>
      </c>
      <c r="S1511" s="26">
        <f>IFERROR(VLOOKUP(E1511*1,Tabla[#All],8,0),0)</f>
        <v/>
      </c>
      <c r="T1511" s="26">
        <f>S1511*G1511</f>
        <v/>
      </c>
      <c r="U1511" s="26">
        <f>R1511-T1511</f>
        <v/>
      </c>
      <c r="V1511" s="26">
        <f>U1511-L1511</f>
        <v/>
      </c>
    </row>
    <row r="1512">
      <c r="A1512" s="11" t="n">
        <v>46219</v>
      </c>
      <c r="B1512" s="1" t="n">
        <v>20028</v>
      </c>
      <c r="C1512" s="1" t="inlineStr">
        <is>
          <t>088</t>
        </is>
      </c>
      <c r="D1512" s="1" t="inlineStr">
        <is>
          <t>340576</t>
        </is>
      </c>
      <c r="E1512" s="1" t="inlineStr">
        <is>
          <t xml:space="preserve">30232284       </t>
        </is>
      </c>
      <c r="F1512" s="5" t="inlineStr">
        <is>
          <t>INFINITY NADO TROMPO DE BATALLA - METAL C/PUNTA DE</t>
        </is>
      </c>
      <c r="G1512" t="n">
        <v>1</v>
      </c>
      <c r="H1512" s="7" t="n">
        <v>49.9</v>
      </c>
      <c r="I1512" s="7" t="n">
        <v>0</v>
      </c>
      <c r="J1512" s="7" t="n">
        <v>0</v>
      </c>
      <c r="K1512" s="9" t="n">
        <v>0</v>
      </c>
      <c r="L1512" s="10" t="n">
        <v>29.6</v>
      </c>
      <c r="M1512" s="10" t="n">
        <v>1.43</v>
      </c>
      <c r="N1512" t="inlineStr">
        <is>
          <t>1</t>
        </is>
      </c>
      <c r="O1512" t="inlineStr">
        <is>
          <t xml:space="preserve">2 </t>
        </is>
      </c>
      <c r="P1512" t="inlineStr">
        <is>
          <t xml:space="preserve">31171   </t>
        </is>
      </c>
      <c r="Q1512" s="26" t="n">
        <v>29.6</v>
      </c>
      <c r="R1512" s="26">
        <f>Q1512*G1512</f>
        <v/>
      </c>
      <c r="S1512" s="26">
        <f>IFERROR(VLOOKUP(E1512*1,Tabla[#All],8,0),0)</f>
        <v/>
      </c>
      <c r="T1512" s="26">
        <f>S1512*G1512</f>
        <v/>
      </c>
      <c r="U1512" s="26">
        <f>R1512-T1512</f>
        <v/>
      </c>
      <c r="V1512" s="26">
        <f>U1512-L1512</f>
        <v/>
      </c>
    </row>
    <row r="1513">
      <c r="A1513" s="11" t="n">
        <v>46219</v>
      </c>
      <c r="B1513" s="1" t="n">
        <v>20028</v>
      </c>
      <c r="C1513" s="1" t="inlineStr">
        <is>
          <t>088</t>
        </is>
      </c>
      <c r="D1513" s="1" t="inlineStr">
        <is>
          <t>340576</t>
        </is>
      </c>
      <c r="E1513" s="1" t="inlineStr">
        <is>
          <t xml:space="preserve">30232284       </t>
        </is>
      </c>
      <c r="F1513" s="5" t="inlineStr">
        <is>
          <t>INFINITY NADO TROMPO DE BATALLA - METAL C/PUNTA DE</t>
        </is>
      </c>
      <c r="G1513" t="n">
        <v>1</v>
      </c>
      <c r="H1513" s="7" t="n">
        <v>49.9</v>
      </c>
      <c r="I1513" s="7" t="n">
        <v>0</v>
      </c>
      <c r="J1513" s="7" t="n">
        <v>0</v>
      </c>
      <c r="K1513" s="9" t="n">
        <v>0</v>
      </c>
      <c r="L1513" s="10" t="n">
        <v>29.6</v>
      </c>
      <c r="M1513" s="10" t="n">
        <v>1.43</v>
      </c>
      <c r="N1513" t="inlineStr">
        <is>
          <t>1</t>
        </is>
      </c>
      <c r="O1513" t="inlineStr">
        <is>
          <t xml:space="preserve">2 </t>
        </is>
      </c>
      <c r="P1513" t="inlineStr">
        <is>
          <t xml:space="preserve">31171   </t>
        </is>
      </c>
      <c r="Q1513" s="26" t="n">
        <v>29.6</v>
      </c>
      <c r="R1513" s="26">
        <f>Q1513*G1513</f>
        <v/>
      </c>
      <c r="S1513" s="26">
        <f>IFERROR(VLOOKUP(E1513*1,Tabla[#All],8,0),0)</f>
        <v/>
      </c>
      <c r="T1513" s="26">
        <f>S1513*G1513</f>
        <v/>
      </c>
      <c r="U1513" s="26">
        <f>R1513-T1513</f>
        <v/>
      </c>
      <c r="V1513" s="26">
        <f>U1513-L1513</f>
        <v/>
      </c>
    </row>
    <row r="1514">
      <c r="A1514" s="11" t="n">
        <v>46219</v>
      </c>
      <c r="B1514" s="1" t="n">
        <v>20030</v>
      </c>
      <c r="C1514" s="1" t="inlineStr">
        <is>
          <t>077</t>
        </is>
      </c>
      <c r="D1514" s="1" t="inlineStr">
        <is>
          <t>232302</t>
        </is>
      </c>
      <c r="E1514" s="1" t="inlineStr">
        <is>
          <t xml:space="preserve">28194770       </t>
        </is>
      </c>
      <c r="F1514" s="5" t="inlineStr">
        <is>
          <t>AUTOS DE METAL 3 TEAMSTERZ EN BLISTER</t>
        </is>
      </c>
      <c r="G1514" t="n">
        <v>1</v>
      </c>
      <c r="H1514" s="7" t="n">
        <v>6.9</v>
      </c>
      <c r="I1514" s="7" t="n">
        <v>0</v>
      </c>
      <c r="J1514" s="7" t="n">
        <v>0</v>
      </c>
      <c r="K1514" s="9" t="n">
        <v>0</v>
      </c>
      <c r="L1514" s="10" t="n">
        <v>4.1</v>
      </c>
      <c r="M1514" s="10" t="n">
        <v>1.43</v>
      </c>
      <c r="N1514" t="inlineStr">
        <is>
          <t>1</t>
        </is>
      </c>
      <c r="O1514" t="inlineStr">
        <is>
          <t>16</t>
        </is>
      </c>
      <c r="P1514" t="inlineStr">
        <is>
          <t xml:space="preserve">47352   </t>
        </is>
      </c>
      <c r="Q1514" s="26" t="n">
        <v>4.09</v>
      </c>
      <c r="R1514" s="26">
        <f>Q1514*G1514</f>
        <v/>
      </c>
      <c r="S1514" s="26">
        <f>IFERROR(VLOOKUP(E1514*1,Tabla[#All],8,0),0)</f>
        <v/>
      </c>
      <c r="T1514" s="26">
        <f>S1514*G1514</f>
        <v/>
      </c>
      <c r="U1514" s="26">
        <f>R1514-T1514</f>
        <v/>
      </c>
      <c r="V1514" s="26">
        <f>U1514-L1514</f>
        <v/>
      </c>
    </row>
    <row r="1515">
      <c r="A1515" s="11" t="n">
        <v>46219</v>
      </c>
      <c r="B1515" s="1" t="n">
        <v>20040</v>
      </c>
      <c r="C1515" s="1" t="inlineStr">
        <is>
          <t>030</t>
        </is>
      </c>
      <c r="D1515" s="1" t="inlineStr">
        <is>
          <t>345190</t>
        </is>
      </c>
      <c r="E1515" s="1" t="inlineStr">
        <is>
          <t xml:space="preserve">28194765       </t>
        </is>
      </c>
      <c r="F1515" s="5" t="inlineStr">
        <is>
          <t>PLAYSET COLOR CHANGE TIBURN TEAMSTERZ  1 AUTITO</t>
        </is>
      </c>
      <c r="G1515" t="n">
        <v>1</v>
      </c>
      <c r="H1515" s="7" t="n">
        <v>79.90000000000001</v>
      </c>
      <c r="I1515" s="7" t="n">
        <v>0</v>
      </c>
      <c r="J1515" s="7" t="n">
        <v>0</v>
      </c>
      <c r="K1515" s="9" t="n">
        <v>0</v>
      </c>
      <c r="L1515" s="10" t="n">
        <v>47.4</v>
      </c>
      <c r="M1515" s="10" t="n">
        <v>1.43</v>
      </c>
      <c r="N1515" t="inlineStr">
        <is>
          <t>1</t>
        </is>
      </c>
      <c r="O1515" t="inlineStr">
        <is>
          <t xml:space="preserve">2 </t>
        </is>
      </c>
      <c r="P1515" t="inlineStr">
        <is>
          <t xml:space="preserve">50087   </t>
        </is>
      </c>
      <c r="Q1515" s="26" t="n">
        <v>47.4</v>
      </c>
      <c r="R1515" s="26">
        <f>Q1515*G1515</f>
        <v/>
      </c>
      <c r="S1515" s="26">
        <f>IFERROR(VLOOKUP(E1515*1,Tabla[#All],8,0),0)</f>
        <v/>
      </c>
      <c r="T1515" s="26">
        <f>S1515*G1515</f>
        <v/>
      </c>
      <c r="U1515" s="26">
        <f>R1515-T1515</f>
        <v/>
      </c>
      <c r="V1515" s="26">
        <f>U1515-L1515</f>
        <v/>
      </c>
    </row>
    <row r="1516">
      <c r="A1516" s="11" t="n">
        <v>46219</v>
      </c>
      <c r="B1516" s="1" t="n">
        <v>20040</v>
      </c>
      <c r="C1516" s="1" t="inlineStr">
        <is>
          <t>072</t>
        </is>
      </c>
      <c r="D1516" s="1" t="inlineStr">
        <is>
          <t>251993</t>
        </is>
      </c>
      <c r="E1516" s="1" t="inlineStr">
        <is>
          <t xml:space="preserve">28194780       </t>
        </is>
      </c>
      <c r="F1516" s="5" t="inlineStr">
        <is>
          <t>TROMPO BATALLA INFINITY NADO PLSTICO SURTIDO</t>
        </is>
      </c>
      <c r="G1516" t="n">
        <v>1</v>
      </c>
      <c r="H1516" s="7" t="n">
        <v>19.9</v>
      </c>
      <c r="I1516" s="7" t="n">
        <v>0</v>
      </c>
      <c r="J1516" s="7" t="n">
        <v>0</v>
      </c>
      <c r="K1516" s="9" t="n">
        <v>0</v>
      </c>
      <c r="L1516" s="10" t="n">
        <v>11.8</v>
      </c>
      <c r="M1516" s="10" t="n">
        <v>1.43</v>
      </c>
      <c r="N1516" t="inlineStr">
        <is>
          <t>1</t>
        </is>
      </c>
      <c r="O1516" t="inlineStr">
        <is>
          <t>16</t>
        </is>
      </c>
      <c r="P1516" t="inlineStr">
        <is>
          <t xml:space="preserve">61602   </t>
        </is>
      </c>
      <c r="Q1516" s="26" t="n">
        <v>11.81</v>
      </c>
      <c r="R1516" s="26">
        <f>Q1516*G1516</f>
        <v/>
      </c>
      <c r="S1516" s="26">
        <f>IFERROR(VLOOKUP(E1516*1,Tabla[#All],8,0),0)</f>
        <v/>
      </c>
      <c r="T1516" s="26">
        <f>S1516*G1516</f>
        <v/>
      </c>
      <c r="U1516" s="26">
        <f>R1516-T1516</f>
        <v/>
      </c>
      <c r="V1516" s="26">
        <f>U1516-L1516</f>
        <v/>
      </c>
    </row>
    <row r="1517">
      <c r="A1517" s="11" t="n">
        <v>46219</v>
      </c>
      <c r="B1517" s="1" t="n">
        <v>20040</v>
      </c>
      <c r="C1517" s="1" t="inlineStr">
        <is>
          <t>072</t>
        </is>
      </c>
      <c r="D1517" s="1" t="inlineStr">
        <is>
          <t>251995</t>
        </is>
      </c>
      <c r="E1517" s="1" t="inlineStr">
        <is>
          <t xml:space="preserve">28194781       </t>
        </is>
      </c>
      <c r="F1517" s="5" t="inlineStr">
        <is>
          <t>TROMPO BATALLA INFINITY NADO SERIE V CLASICA SURTI</t>
        </is>
      </c>
      <c r="G1517" t="n">
        <v>1</v>
      </c>
      <c r="H1517" s="7" t="n">
        <v>59.9</v>
      </c>
      <c r="I1517" s="7" t="n">
        <v>0</v>
      </c>
      <c r="J1517" s="7" t="n">
        <v>0</v>
      </c>
      <c r="K1517" s="9" t="n">
        <v>0</v>
      </c>
      <c r="L1517" s="10" t="n">
        <v>35.53</v>
      </c>
      <c r="M1517" s="10" t="n">
        <v>1.43</v>
      </c>
      <c r="N1517" t="inlineStr">
        <is>
          <t>1</t>
        </is>
      </c>
      <c r="O1517" t="inlineStr">
        <is>
          <t>16</t>
        </is>
      </c>
      <c r="P1517" t="inlineStr">
        <is>
          <t xml:space="preserve">61602   </t>
        </is>
      </c>
      <c r="Q1517" s="26" t="n">
        <v>35.53</v>
      </c>
      <c r="R1517" s="26">
        <f>Q1517*G1517</f>
        <v/>
      </c>
      <c r="S1517" s="26">
        <f>IFERROR(VLOOKUP(E1517*1,Tabla[#All],8,0),0)</f>
        <v/>
      </c>
      <c r="T1517" s="26">
        <f>S1517*G1517</f>
        <v/>
      </c>
      <c r="U1517" s="26">
        <f>R1517-T1517</f>
        <v/>
      </c>
      <c r="V1517" s="26">
        <f>U1517-L1517</f>
        <v/>
      </c>
    </row>
    <row r="1518">
      <c r="A1518" s="11" t="n">
        <v>46219</v>
      </c>
      <c r="B1518" s="1" t="n">
        <v>20040</v>
      </c>
      <c r="C1518" s="1" t="inlineStr">
        <is>
          <t>083</t>
        </is>
      </c>
      <c r="D1518" s="1" t="inlineStr">
        <is>
          <t>159902</t>
        </is>
      </c>
      <c r="E1518" s="1" t="inlineStr">
        <is>
          <t xml:space="preserve">31675352       </t>
        </is>
      </c>
      <c r="F1518" s="5" t="inlineStr">
        <is>
          <t>MI PEQUENO NENUCO</t>
        </is>
      </c>
      <c r="G1518" t="n">
        <v>1</v>
      </c>
      <c r="H1518" s="7" t="n">
        <v>69.90000000000001</v>
      </c>
      <c r="I1518" s="7" t="n">
        <v>0</v>
      </c>
      <c r="J1518" s="7" t="n">
        <v>0</v>
      </c>
      <c r="K1518" s="9" t="n">
        <v>0</v>
      </c>
      <c r="L1518" s="10" t="n">
        <v>41.47</v>
      </c>
      <c r="M1518" s="10" t="n">
        <v>1.43</v>
      </c>
      <c r="N1518" t="inlineStr">
        <is>
          <t>1</t>
        </is>
      </c>
      <c r="O1518" t="inlineStr">
        <is>
          <t xml:space="preserve">2 </t>
        </is>
      </c>
      <c r="P1518" t="inlineStr">
        <is>
          <t xml:space="preserve">243237  </t>
        </is>
      </c>
      <c r="Q1518" s="26" t="n">
        <v>41.47</v>
      </c>
      <c r="R1518" s="26">
        <f>Q1518*G1518</f>
        <v/>
      </c>
      <c r="S1518" s="26">
        <f>IFERROR(VLOOKUP(E1518*1,Tabla[#All],8,0),0)</f>
        <v/>
      </c>
      <c r="T1518" s="26">
        <f>S1518*G1518</f>
        <v/>
      </c>
      <c r="U1518" s="26">
        <f>R1518-T1518</f>
        <v/>
      </c>
      <c r="V1518" s="26">
        <f>U1518-L1518</f>
        <v/>
      </c>
    </row>
    <row r="1519">
      <c r="A1519" s="11" t="n">
        <v>46219</v>
      </c>
      <c r="B1519" s="1" t="n">
        <v>20040</v>
      </c>
      <c r="C1519" s="1" t="inlineStr">
        <is>
          <t>190</t>
        </is>
      </c>
      <c r="D1519" s="1" t="inlineStr">
        <is>
          <t>368368</t>
        </is>
      </c>
      <c r="E1519" s="1" t="inlineStr">
        <is>
          <t xml:space="preserve">34840526       </t>
        </is>
      </c>
      <c r="F1519" s="5" t="inlineStr">
        <is>
          <t>NENUCO ABRACITOS</t>
        </is>
      </c>
      <c r="G1519" t="n">
        <v>1</v>
      </c>
      <c r="H1519" s="7" t="n">
        <v>119</v>
      </c>
      <c r="I1519" s="7" t="n">
        <v>0</v>
      </c>
      <c r="J1519" s="7" t="n">
        <v>0</v>
      </c>
      <c r="K1519" s="9" t="n">
        <v>0</v>
      </c>
      <c r="L1519" s="10" t="n">
        <v>70.59999999999999</v>
      </c>
      <c r="M1519" s="10" t="n">
        <v>1.43</v>
      </c>
      <c r="N1519" t="inlineStr">
        <is>
          <t>1</t>
        </is>
      </c>
      <c r="O1519" t="inlineStr">
        <is>
          <t>16</t>
        </is>
      </c>
      <c r="P1519" t="inlineStr">
        <is>
          <t xml:space="preserve">243236  </t>
        </is>
      </c>
      <c r="Q1519" s="26" t="n">
        <v>70.59</v>
      </c>
      <c r="R1519" s="26">
        <f>Q1519*G1519</f>
        <v/>
      </c>
      <c r="S1519" s="26">
        <f>IFERROR(VLOOKUP(E1519*1,Tabla[#All],8,0),0)</f>
        <v/>
      </c>
      <c r="T1519" s="26">
        <f>S1519*G1519</f>
        <v/>
      </c>
      <c r="U1519" s="26">
        <f>R1519-T1519</f>
        <v/>
      </c>
      <c r="V1519" s="26">
        <f>U1519-L1519</f>
        <v/>
      </c>
    </row>
    <row r="1520">
      <c r="A1520" s="11" t="n">
        <v>46219</v>
      </c>
      <c r="B1520" s="1" t="n">
        <v>20041</v>
      </c>
      <c r="C1520" s="1" t="inlineStr">
        <is>
          <t>018</t>
        </is>
      </c>
      <c r="D1520" s="1" t="inlineStr">
        <is>
          <t xml:space="preserve">56177 </t>
        </is>
      </c>
      <c r="E1520" s="1" t="inlineStr">
        <is>
          <t xml:space="preserve">30141768       </t>
        </is>
      </c>
      <c r="F1520" s="5" t="inlineStr">
        <is>
          <t>TMZ BEAST MACHINES AUTOS DE METAL PACK 10 AUTOS</t>
        </is>
      </c>
      <c r="G1520" t="n">
        <v>1</v>
      </c>
      <c r="H1520" s="7" t="n">
        <v>79</v>
      </c>
      <c r="I1520" s="7" t="n">
        <v>0</v>
      </c>
      <c r="J1520" s="7" t="n">
        <v>0</v>
      </c>
      <c r="K1520" s="9" t="n">
        <v>0</v>
      </c>
      <c r="L1520" s="10" t="n">
        <v>46.87</v>
      </c>
      <c r="M1520" s="10" t="n">
        <v>1.43</v>
      </c>
      <c r="N1520" t="inlineStr">
        <is>
          <t>1</t>
        </is>
      </c>
      <c r="O1520" t="inlineStr">
        <is>
          <t>16</t>
        </is>
      </c>
      <c r="P1520" t="inlineStr">
        <is>
          <t xml:space="preserve">91630   </t>
        </is>
      </c>
      <c r="Q1520" s="26" t="n">
        <v>46.86</v>
      </c>
      <c r="R1520" s="26">
        <f>Q1520*G1520</f>
        <v/>
      </c>
      <c r="S1520" s="26">
        <f>IFERROR(VLOOKUP(E1520*1,Tabla[#All],8,0),0)</f>
        <v/>
      </c>
      <c r="T1520" s="26">
        <f>S1520*G1520</f>
        <v/>
      </c>
      <c r="U1520" s="26">
        <f>R1520-T1520</f>
        <v/>
      </c>
      <c r="V1520" s="26">
        <f>U1520-L1520</f>
        <v/>
      </c>
    </row>
    <row r="1521">
      <c r="A1521" s="11" t="n">
        <v>46219</v>
      </c>
      <c r="B1521" s="1" t="n">
        <v>20041</v>
      </c>
      <c r="C1521" s="1" t="inlineStr">
        <is>
          <t>031</t>
        </is>
      </c>
      <c r="D1521" s="1" t="inlineStr">
        <is>
          <t>165652</t>
        </is>
      </c>
      <c r="E1521" s="1" t="inlineStr">
        <is>
          <t xml:space="preserve">28194770       </t>
        </is>
      </c>
      <c r="F1521" s="5" t="inlineStr">
        <is>
          <t>AUTOS DE METAL 3 TEAMSTERZ EN BLISTER</t>
        </is>
      </c>
      <c r="G1521" t="n">
        <v>1</v>
      </c>
      <c r="H1521" s="7" t="n">
        <v>6.9</v>
      </c>
      <c r="I1521" s="7" t="n">
        <v>0.6899999999999999</v>
      </c>
      <c r="J1521" s="7" t="n">
        <v>0</v>
      </c>
      <c r="K1521" s="9" t="n">
        <v>0.6899999999999999</v>
      </c>
      <c r="L1521" s="10" t="n">
        <v>3.68</v>
      </c>
      <c r="M1521" s="10" t="n">
        <v>1.43</v>
      </c>
      <c r="N1521" t="inlineStr">
        <is>
          <t>1</t>
        </is>
      </c>
      <c r="O1521" t="inlineStr">
        <is>
          <t xml:space="preserve">3 </t>
        </is>
      </c>
      <c r="P1521" t="inlineStr">
        <is>
          <t xml:space="preserve">243970  </t>
        </is>
      </c>
      <c r="Q1521" s="26" t="n">
        <v>4.09</v>
      </c>
      <c r="R1521" s="26">
        <f>Q1521*G1521</f>
        <v/>
      </c>
      <c r="S1521" s="26">
        <f>IFERROR(VLOOKUP(E1521*1,Tabla[#All],8,0),0)</f>
        <v/>
      </c>
      <c r="T1521" s="26">
        <f>S1521*G1521</f>
        <v/>
      </c>
      <c r="U1521" s="26">
        <f>R1521-T1521</f>
        <v/>
      </c>
      <c r="V1521" s="26">
        <f>U1521-L1521</f>
        <v/>
      </c>
    </row>
    <row r="1522">
      <c r="A1522" s="11" t="n">
        <v>46219</v>
      </c>
      <c r="B1522" s="1" t="n">
        <v>20041</v>
      </c>
      <c r="C1522" s="1" t="inlineStr">
        <is>
          <t>031</t>
        </is>
      </c>
      <c r="D1522" s="1" t="inlineStr">
        <is>
          <t>165652</t>
        </is>
      </c>
      <c r="E1522" s="1" t="inlineStr">
        <is>
          <t xml:space="preserve">28194770       </t>
        </is>
      </c>
      <c r="F1522" s="5" t="inlineStr">
        <is>
          <t>AUTOS DE METAL 3 TEAMSTERZ EN BLISTER</t>
        </is>
      </c>
      <c r="G1522" t="n">
        <v>1</v>
      </c>
      <c r="H1522" s="7" t="n">
        <v>6.9</v>
      </c>
      <c r="I1522" s="7" t="n">
        <v>0.6899999999999999</v>
      </c>
      <c r="J1522" s="7" t="n">
        <v>0</v>
      </c>
      <c r="K1522" s="9" t="n">
        <v>0.6899999999999999</v>
      </c>
      <c r="L1522" s="10" t="n">
        <v>3.68</v>
      </c>
      <c r="M1522" s="10" t="n">
        <v>1.43</v>
      </c>
      <c r="N1522" t="inlineStr">
        <is>
          <t>1</t>
        </is>
      </c>
      <c r="O1522" t="inlineStr">
        <is>
          <t xml:space="preserve">3 </t>
        </is>
      </c>
      <c r="P1522" t="inlineStr">
        <is>
          <t xml:space="preserve">243970  </t>
        </is>
      </c>
      <c r="Q1522" s="26" t="n">
        <v>4.09</v>
      </c>
      <c r="R1522" s="26">
        <f>Q1522*G1522</f>
        <v/>
      </c>
      <c r="S1522" s="26">
        <f>IFERROR(VLOOKUP(E1522*1,Tabla[#All],8,0),0)</f>
        <v/>
      </c>
      <c r="T1522" s="26">
        <f>S1522*G1522</f>
        <v/>
      </c>
      <c r="U1522" s="26">
        <f>R1522-T1522</f>
        <v/>
      </c>
      <c r="V1522" s="26">
        <f>U1522-L1522</f>
        <v/>
      </c>
    </row>
    <row r="1523">
      <c r="A1523" s="11" t="n">
        <v>46219</v>
      </c>
      <c r="B1523" s="1" t="n">
        <v>20041</v>
      </c>
      <c r="C1523" s="1" t="inlineStr">
        <is>
          <t>031</t>
        </is>
      </c>
      <c r="D1523" s="1" t="inlineStr">
        <is>
          <t>165652</t>
        </is>
      </c>
      <c r="E1523" s="1" t="inlineStr">
        <is>
          <t xml:space="preserve">28194770       </t>
        </is>
      </c>
      <c r="F1523" s="5" t="inlineStr">
        <is>
          <t>AUTOS DE METAL 3 TEAMSTERZ EN BLISTER</t>
        </is>
      </c>
      <c r="G1523" t="n">
        <v>1</v>
      </c>
      <c r="H1523" s="7" t="n">
        <v>6.9</v>
      </c>
      <c r="I1523" s="7" t="n">
        <v>0.6899999999999999</v>
      </c>
      <c r="J1523" s="7" t="n">
        <v>0</v>
      </c>
      <c r="K1523" s="9" t="n">
        <v>0.6899999999999999</v>
      </c>
      <c r="L1523" s="10" t="n">
        <v>3.68</v>
      </c>
      <c r="M1523" s="10" t="n">
        <v>1.43</v>
      </c>
      <c r="N1523" t="inlineStr">
        <is>
          <t>1</t>
        </is>
      </c>
      <c r="O1523" t="inlineStr">
        <is>
          <t xml:space="preserve">3 </t>
        </is>
      </c>
      <c r="P1523" t="inlineStr">
        <is>
          <t xml:space="preserve">243970  </t>
        </is>
      </c>
      <c r="Q1523" s="26" t="n">
        <v>4.09</v>
      </c>
      <c r="R1523" s="26">
        <f>Q1523*G1523</f>
        <v/>
      </c>
      <c r="S1523" s="26">
        <f>IFERROR(VLOOKUP(E1523*1,Tabla[#All],8,0),0)</f>
        <v/>
      </c>
      <c r="T1523" s="26">
        <f>S1523*G1523</f>
        <v/>
      </c>
      <c r="U1523" s="26">
        <f>R1523-T1523</f>
        <v/>
      </c>
      <c r="V1523" s="26">
        <f>U1523-L1523</f>
        <v/>
      </c>
    </row>
    <row r="1524">
      <c r="A1524" s="11" t="n">
        <v>46219</v>
      </c>
      <c r="B1524" s="1" t="n">
        <v>20041</v>
      </c>
      <c r="C1524" s="1" t="inlineStr">
        <is>
          <t>031</t>
        </is>
      </c>
      <c r="D1524" s="1" t="inlineStr">
        <is>
          <t>165652</t>
        </is>
      </c>
      <c r="E1524" s="1" t="inlineStr">
        <is>
          <t xml:space="preserve">28194770       </t>
        </is>
      </c>
      <c r="F1524" s="5" t="inlineStr">
        <is>
          <t>AUTOS DE METAL 3 TEAMSTERZ EN BLISTER</t>
        </is>
      </c>
      <c r="G1524" t="n">
        <v>1</v>
      </c>
      <c r="H1524" s="7" t="n">
        <v>6.9</v>
      </c>
      <c r="I1524" s="7" t="n">
        <v>0.6899999999999999</v>
      </c>
      <c r="J1524" s="7" t="n">
        <v>0</v>
      </c>
      <c r="K1524" s="9" t="n">
        <v>0.6899999999999999</v>
      </c>
      <c r="L1524" s="10" t="n">
        <v>3.68</v>
      </c>
      <c r="M1524" s="10" t="n">
        <v>1.43</v>
      </c>
      <c r="N1524" t="inlineStr">
        <is>
          <t>1</t>
        </is>
      </c>
      <c r="O1524" t="inlineStr">
        <is>
          <t xml:space="preserve">3 </t>
        </is>
      </c>
      <c r="P1524" t="inlineStr">
        <is>
          <t xml:space="preserve">243970  </t>
        </is>
      </c>
      <c r="Q1524" s="26" t="n">
        <v>4.09</v>
      </c>
      <c r="R1524" s="26">
        <f>Q1524*G1524</f>
        <v/>
      </c>
      <c r="S1524" s="26">
        <f>IFERROR(VLOOKUP(E1524*1,Tabla[#All],8,0),0)</f>
        <v/>
      </c>
      <c r="T1524" s="26">
        <f>S1524*G1524</f>
        <v/>
      </c>
      <c r="U1524" s="26">
        <f>R1524-T1524</f>
        <v/>
      </c>
      <c r="V1524" s="26">
        <f>U1524-L1524</f>
        <v/>
      </c>
    </row>
    <row r="1525">
      <c r="A1525" s="11" t="n">
        <v>46219</v>
      </c>
      <c r="B1525" s="1" t="n">
        <v>20043</v>
      </c>
      <c r="C1525" s="1" t="inlineStr">
        <is>
          <t>041</t>
        </is>
      </c>
      <c r="D1525" s="1" t="inlineStr">
        <is>
          <t xml:space="preserve">27391 </t>
        </is>
      </c>
      <c r="E1525" s="1" t="inlineStr">
        <is>
          <t xml:space="preserve">30141766       </t>
        </is>
      </c>
      <c r="F1525" s="5" t="inlineStr">
        <is>
          <t>TMZ BEAST MACHINES AUTOS DE METAL BLISTER X 1</t>
        </is>
      </c>
      <c r="G1525" t="n">
        <v>1</v>
      </c>
      <c r="H1525" s="7" t="n">
        <v>7.9</v>
      </c>
      <c r="I1525" s="7" t="n">
        <v>0</v>
      </c>
      <c r="J1525" s="7" t="n">
        <v>0</v>
      </c>
      <c r="K1525" s="9" t="n">
        <v>0</v>
      </c>
      <c r="L1525" s="10" t="n">
        <v>4.68</v>
      </c>
      <c r="M1525" s="10" t="n">
        <v>1.43</v>
      </c>
      <c r="N1525" t="inlineStr">
        <is>
          <t>1</t>
        </is>
      </c>
      <c r="O1525" t="inlineStr">
        <is>
          <t>16</t>
        </is>
      </c>
      <c r="P1525" t="inlineStr">
        <is>
          <t xml:space="preserve">30787   </t>
        </is>
      </c>
      <c r="Q1525" s="26" t="n">
        <v>4.69</v>
      </c>
      <c r="R1525" s="26">
        <f>Q1525*G1525</f>
        <v/>
      </c>
      <c r="S1525" s="26">
        <f>IFERROR(VLOOKUP(E1525*1,Tabla[#All],8,0),0)</f>
        <v/>
      </c>
      <c r="T1525" s="26">
        <f>S1525*G1525</f>
        <v/>
      </c>
      <c r="U1525" s="26">
        <f>R1525-T1525</f>
        <v/>
      </c>
      <c r="V1525" s="26">
        <f>U1525-L1525</f>
        <v/>
      </c>
    </row>
    <row r="1526">
      <c r="A1526" s="11" t="n">
        <v>46219</v>
      </c>
      <c r="B1526" s="1" t="n">
        <v>20043</v>
      </c>
      <c r="C1526" s="1" t="inlineStr">
        <is>
          <t>054</t>
        </is>
      </c>
      <c r="D1526" s="1" t="inlineStr">
        <is>
          <t xml:space="preserve">15259 </t>
        </is>
      </c>
      <c r="E1526" s="1" t="inlineStr">
        <is>
          <t xml:space="preserve">28194770       </t>
        </is>
      </c>
      <c r="F1526" s="5" t="inlineStr">
        <is>
          <t>AUTOS DE METAL 3 TEAMSTERZ EN BLISTER</t>
        </is>
      </c>
      <c r="G1526" t="n">
        <v>1</v>
      </c>
      <c r="H1526" s="7" t="n">
        <v>6.9</v>
      </c>
      <c r="I1526" s="7" t="n">
        <v>0</v>
      </c>
      <c r="J1526" s="7" t="n">
        <v>0</v>
      </c>
      <c r="K1526" s="9" t="n">
        <v>0</v>
      </c>
      <c r="L1526" s="10" t="n">
        <v>4.1</v>
      </c>
      <c r="M1526" s="10" t="n">
        <v>1.43</v>
      </c>
      <c r="N1526" t="inlineStr">
        <is>
          <t>1</t>
        </is>
      </c>
      <c r="O1526" t="inlineStr">
        <is>
          <t>16</t>
        </is>
      </c>
      <c r="P1526" t="inlineStr">
        <is>
          <t xml:space="preserve">248415  </t>
        </is>
      </c>
      <c r="Q1526" s="26" t="n">
        <v>4.09</v>
      </c>
      <c r="R1526" s="26">
        <f>Q1526*G1526</f>
        <v/>
      </c>
      <c r="S1526" s="26">
        <f>IFERROR(VLOOKUP(E1526*1,Tabla[#All],8,0),0)</f>
        <v/>
      </c>
      <c r="T1526" s="26">
        <f>S1526*G1526</f>
        <v/>
      </c>
      <c r="U1526" s="26">
        <f>R1526-T1526</f>
        <v/>
      </c>
      <c r="V1526" s="26">
        <f>U1526-L1526</f>
        <v/>
      </c>
    </row>
    <row r="1527">
      <c r="A1527" s="11" t="n">
        <v>46219</v>
      </c>
      <c r="B1527" s="1" t="n">
        <v>20043</v>
      </c>
      <c r="C1527" s="1" t="inlineStr">
        <is>
          <t>054</t>
        </is>
      </c>
      <c r="D1527" s="1" t="inlineStr">
        <is>
          <t xml:space="preserve">15259 </t>
        </is>
      </c>
      <c r="E1527" s="1" t="inlineStr">
        <is>
          <t xml:space="preserve">28194770       </t>
        </is>
      </c>
      <c r="F1527" s="5" t="inlineStr">
        <is>
          <t>AUTOS DE METAL 3 TEAMSTERZ EN BLISTER</t>
        </is>
      </c>
      <c r="G1527" t="n">
        <v>1</v>
      </c>
      <c r="H1527" s="7" t="n">
        <v>6.9</v>
      </c>
      <c r="I1527" s="7" t="n">
        <v>0</v>
      </c>
      <c r="J1527" s="7" t="n">
        <v>0</v>
      </c>
      <c r="K1527" s="9" t="n">
        <v>0</v>
      </c>
      <c r="L1527" s="10" t="n">
        <v>4.1</v>
      </c>
      <c r="M1527" s="10" t="n">
        <v>1.43</v>
      </c>
      <c r="N1527" t="inlineStr">
        <is>
          <t>1</t>
        </is>
      </c>
      <c r="O1527" t="inlineStr">
        <is>
          <t>16</t>
        </is>
      </c>
      <c r="P1527" t="inlineStr">
        <is>
          <t xml:space="preserve">248415  </t>
        </is>
      </c>
      <c r="Q1527" s="26" t="n">
        <v>4.09</v>
      </c>
      <c r="R1527" s="26">
        <f>Q1527*G1527</f>
        <v/>
      </c>
      <c r="S1527" s="26">
        <f>IFERROR(VLOOKUP(E1527*1,Tabla[#All],8,0),0)</f>
        <v/>
      </c>
      <c r="T1527" s="26">
        <f>S1527*G1527</f>
        <v/>
      </c>
      <c r="U1527" s="26">
        <f>R1527-T1527</f>
        <v/>
      </c>
      <c r="V1527" s="26">
        <f>U1527-L1527</f>
        <v/>
      </c>
    </row>
    <row r="1528">
      <c r="A1528" s="11" t="n">
        <v>46219</v>
      </c>
      <c r="B1528" s="1" t="n">
        <v>20043</v>
      </c>
      <c r="C1528" s="1" t="inlineStr">
        <is>
          <t>054</t>
        </is>
      </c>
      <c r="D1528" s="1" t="inlineStr">
        <is>
          <t xml:space="preserve">15279 </t>
        </is>
      </c>
      <c r="E1528" s="1" t="inlineStr">
        <is>
          <t xml:space="preserve">28194770       </t>
        </is>
      </c>
      <c r="F1528" s="5" t="inlineStr">
        <is>
          <t>AUTOS DE METAL 3 TEAMSTERZ EN BLISTER</t>
        </is>
      </c>
      <c r="G1528" t="n">
        <v>1</v>
      </c>
      <c r="H1528" s="7" t="n">
        <v>6.9</v>
      </c>
      <c r="I1528" s="7" t="n">
        <v>0</v>
      </c>
      <c r="J1528" s="7" t="n">
        <v>0</v>
      </c>
      <c r="K1528" s="9" t="n">
        <v>0</v>
      </c>
      <c r="L1528" s="10" t="n">
        <v>4.1</v>
      </c>
      <c r="M1528" s="10" t="n">
        <v>1.43</v>
      </c>
      <c r="N1528" t="inlineStr">
        <is>
          <t>1</t>
        </is>
      </c>
      <c r="O1528" t="inlineStr">
        <is>
          <t>16</t>
        </is>
      </c>
      <c r="P1528" t="inlineStr">
        <is>
          <t xml:space="preserve">248415  </t>
        </is>
      </c>
      <c r="Q1528" s="26" t="n">
        <v>4.09</v>
      </c>
      <c r="R1528" s="26">
        <f>Q1528*G1528</f>
        <v/>
      </c>
      <c r="S1528" s="26">
        <f>IFERROR(VLOOKUP(E1528*1,Tabla[#All],8,0),0)</f>
        <v/>
      </c>
      <c r="T1528" s="26">
        <f>S1528*G1528</f>
        <v/>
      </c>
      <c r="U1528" s="26">
        <f>R1528-T1528</f>
        <v/>
      </c>
      <c r="V1528" s="26">
        <f>U1528-L1528</f>
        <v/>
      </c>
    </row>
    <row r="1529">
      <c r="A1529" s="11" t="n">
        <v>46219</v>
      </c>
      <c r="B1529" s="1" t="n">
        <v>20043</v>
      </c>
      <c r="C1529" s="1" t="inlineStr">
        <is>
          <t>063</t>
        </is>
      </c>
      <c r="D1529" s="1" t="inlineStr">
        <is>
          <t>157442</t>
        </is>
      </c>
      <c r="E1529" s="1" t="inlineStr">
        <is>
          <t xml:space="preserve">30141766       </t>
        </is>
      </c>
      <c r="F1529" s="5" t="inlineStr">
        <is>
          <t>TMZ BEAST MACHINES AUTOS DE METAL BLISTER X 1</t>
        </is>
      </c>
      <c r="G1529" t="n">
        <v>1</v>
      </c>
      <c r="H1529" s="7" t="n">
        <v>7.9</v>
      </c>
      <c r="I1529" s="7" t="n">
        <v>0</v>
      </c>
      <c r="J1529" s="7" t="n">
        <v>0</v>
      </c>
      <c r="K1529" s="9" t="n">
        <v>0</v>
      </c>
      <c r="L1529" s="10" t="n">
        <v>4.68</v>
      </c>
      <c r="M1529" s="10" t="n">
        <v>1.43</v>
      </c>
      <c r="N1529" t="inlineStr">
        <is>
          <t>1</t>
        </is>
      </c>
      <c r="O1529" t="inlineStr">
        <is>
          <t>16</t>
        </is>
      </c>
      <c r="P1529" t="inlineStr">
        <is>
          <t xml:space="preserve">21959   </t>
        </is>
      </c>
      <c r="Q1529" s="26" t="n">
        <v>4.69</v>
      </c>
      <c r="R1529" s="26">
        <f>Q1529*G1529</f>
        <v/>
      </c>
      <c r="S1529" s="26">
        <f>IFERROR(VLOOKUP(E1529*1,Tabla[#All],8,0),0)</f>
        <v/>
      </c>
      <c r="T1529" s="26">
        <f>S1529*G1529</f>
        <v/>
      </c>
      <c r="U1529" s="26">
        <f>R1529-T1529</f>
        <v/>
      </c>
      <c r="V1529" s="26">
        <f>U1529-L1529</f>
        <v/>
      </c>
    </row>
    <row r="1530">
      <c r="A1530" s="11" t="n">
        <v>46219</v>
      </c>
      <c r="B1530" s="1" t="n">
        <v>20043</v>
      </c>
      <c r="C1530" s="1" t="inlineStr">
        <is>
          <t>063</t>
        </is>
      </c>
      <c r="D1530" s="1" t="inlineStr">
        <is>
          <t>157442</t>
        </is>
      </c>
      <c r="E1530" s="1" t="inlineStr">
        <is>
          <t xml:space="preserve">32457099       </t>
        </is>
      </c>
      <c r="F1530" s="5" t="inlineStr">
        <is>
          <t>TMZ BEAST MACHINES MONSTER JAWS A FRICCION BLISTER</t>
        </is>
      </c>
      <c r="G1530" t="n">
        <v>1</v>
      </c>
      <c r="H1530" s="7" t="n">
        <v>19.9</v>
      </c>
      <c r="I1530" s="7" t="n">
        <v>0</v>
      </c>
      <c r="J1530" s="7" t="n">
        <v>0</v>
      </c>
      <c r="K1530" s="9" t="n">
        <v>0</v>
      </c>
      <c r="L1530" s="10" t="n">
        <v>11.8</v>
      </c>
      <c r="M1530" s="10" t="n">
        <v>1.43</v>
      </c>
      <c r="N1530" t="inlineStr">
        <is>
          <t>1</t>
        </is>
      </c>
      <c r="O1530" t="inlineStr">
        <is>
          <t>16</t>
        </is>
      </c>
      <c r="P1530" t="inlineStr">
        <is>
          <t xml:space="preserve">21959   </t>
        </is>
      </c>
      <c r="Q1530" s="26" t="n">
        <v>11.81</v>
      </c>
      <c r="R1530" s="26">
        <f>Q1530*G1530</f>
        <v/>
      </c>
      <c r="S1530" s="26">
        <f>IFERROR(VLOOKUP(E1530*1,Tabla[#All],8,0),0)</f>
        <v/>
      </c>
      <c r="T1530" s="26">
        <f>S1530*G1530</f>
        <v/>
      </c>
      <c r="U1530" s="26">
        <f>R1530-T1530</f>
        <v/>
      </c>
      <c r="V1530" s="26">
        <f>U1530-L1530</f>
        <v/>
      </c>
    </row>
    <row r="1531">
      <c r="A1531" s="11" t="n">
        <v>46219</v>
      </c>
      <c r="B1531" s="1" t="n">
        <v>20047</v>
      </c>
      <c r="C1531" s="1" t="inlineStr">
        <is>
          <t>012</t>
        </is>
      </c>
      <c r="D1531" s="1" t="inlineStr">
        <is>
          <t>332793</t>
        </is>
      </c>
      <c r="E1531" s="1" t="inlineStr">
        <is>
          <t xml:space="preserve">28194770       </t>
        </is>
      </c>
      <c r="F1531" s="5" t="inlineStr">
        <is>
          <t>AUTOS DE METAL 3 TEAMSTERZ EN BLISTER</t>
        </is>
      </c>
      <c r="G1531" t="n">
        <v>1</v>
      </c>
      <c r="H1531" s="7" t="n">
        <v>6.9</v>
      </c>
      <c r="I1531" s="7" t="n">
        <v>0</v>
      </c>
      <c r="J1531" s="7" t="n">
        <v>0</v>
      </c>
      <c r="K1531" s="9" t="n">
        <v>0</v>
      </c>
      <c r="L1531" s="10" t="n">
        <v>4.1</v>
      </c>
      <c r="M1531" s="10" t="n">
        <v>1.43</v>
      </c>
      <c r="N1531" t="inlineStr">
        <is>
          <t>1</t>
        </is>
      </c>
      <c r="O1531" t="inlineStr">
        <is>
          <t xml:space="preserve">2 </t>
        </is>
      </c>
      <c r="P1531" t="inlineStr">
        <is>
          <t xml:space="preserve">78210   </t>
        </is>
      </c>
      <c r="Q1531" s="26" t="n">
        <v>4.09</v>
      </c>
      <c r="R1531" s="26">
        <f>Q1531*G1531</f>
        <v/>
      </c>
      <c r="S1531" s="26">
        <f>IFERROR(VLOOKUP(E1531*1,Tabla[#All],8,0),0)</f>
        <v/>
      </c>
      <c r="T1531" s="26">
        <f>S1531*G1531</f>
        <v/>
      </c>
      <c r="U1531" s="26">
        <f>R1531-T1531</f>
        <v/>
      </c>
      <c r="V1531" s="26">
        <f>U1531-L1531</f>
        <v/>
      </c>
    </row>
    <row r="1532">
      <c r="A1532" s="11" t="n">
        <v>46219</v>
      </c>
      <c r="B1532" s="1" t="n">
        <v>20047</v>
      </c>
      <c r="C1532" s="1" t="inlineStr">
        <is>
          <t>012</t>
        </is>
      </c>
      <c r="D1532" s="1" t="inlineStr">
        <is>
          <t>332797</t>
        </is>
      </c>
      <c r="E1532" s="1" t="inlineStr">
        <is>
          <t xml:space="preserve">28194770       </t>
        </is>
      </c>
      <c r="F1532" s="5" t="inlineStr">
        <is>
          <t>AUTOS DE METAL 3 TEAMSTERZ EN BLISTER</t>
        </is>
      </c>
      <c r="G1532" t="n">
        <v>1</v>
      </c>
      <c r="H1532" s="7" t="n">
        <v>6.9</v>
      </c>
      <c r="I1532" s="7" t="n">
        <v>0</v>
      </c>
      <c r="J1532" s="7" t="n">
        <v>0</v>
      </c>
      <c r="K1532" s="9" t="n">
        <v>0</v>
      </c>
      <c r="L1532" s="10" t="n">
        <v>4.1</v>
      </c>
      <c r="M1532" s="10" t="n">
        <v>1.43</v>
      </c>
      <c r="N1532" t="inlineStr">
        <is>
          <t>1</t>
        </is>
      </c>
      <c r="O1532" t="inlineStr">
        <is>
          <t>16</t>
        </is>
      </c>
      <c r="P1532" t="inlineStr">
        <is>
          <t xml:space="preserve">78210   </t>
        </is>
      </c>
      <c r="Q1532" s="26" t="n">
        <v>4.09</v>
      </c>
      <c r="R1532" s="26">
        <f>Q1532*G1532</f>
        <v/>
      </c>
      <c r="S1532" s="26">
        <f>IFERROR(VLOOKUP(E1532*1,Tabla[#All],8,0),0)</f>
        <v/>
      </c>
      <c r="T1532" s="26">
        <f>S1532*G1532</f>
        <v/>
      </c>
      <c r="U1532" s="26">
        <f>R1532-T1532</f>
        <v/>
      </c>
      <c r="V1532" s="26">
        <f>U1532-L1532</f>
        <v/>
      </c>
    </row>
    <row r="1533">
      <c r="A1533" s="11" t="n">
        <v>46219</v>
      </c>
      <c r="B1533" s="1" t="n">
        <v>20047</v>
      </c>
      <c r="C1533" s="1" t="inlineStr">
        <is>
          <t>012</t>
        </is>
      </c>
      <c r="D1533" s="1" t="inlineStr">
        <is>
          <t>332797</t>
        </is>
      </c>
      <c r="E1533" s="1" t="inlineStr">
        <is>
          <t xml:space="preserve">28194770       </t>
        </is>
      </c>
      <c r="F1533" s="5" t="inlineStr">
        <is>
          <t>AUTOS DE METAL 3 TEAMSTERZ EN BLISTER</t>
        </is>
      </c>
      <c r="G1533" t="n">
        <v>1</v>
      </c>
      <c r="H1533" s="7" t="n">
        <v>6.9</v>
      </c>
      <c r="I1533" s="7" t="n">
        <v>0</v>
      </c>
      <c r="J1533" s="7" t="n">
        <v>0</v>
      </c>
      <c r="K1533" s="9" t="n">
        <v>0</v>
      </c>
      <c r="L1533" s="10" t="n">
        <v>4.1</v>
      </c>
      <c r="M1533" s="10" t="n">
        <v>1.43</v>
      </c>
      <c r="N1533" t="inlineStr">
        <is>
          <t>1</t>
        </is>
      </c>
      <c r="O1533" t="inlineStr">
        <is>
          <t>16</t>
        </is>
      </c>
      <c r="P1533" t="inlineStr">
        <is>
          <t xml:space="preserve">78210   </t>
        </is>
      </c>
      <c r="Q1533" s="26" t="n">
        <v>4.09</v>
      </c>
      <c r="R1533" s="26">
        <f>Q1533*G1533</f>
        <v/>
      </c>
      <c r="S1533" s="26">
        <f>IFERROR(VLOOKUP(E1533*1,Tabla[#All],8,0),0)</f>
        <v/>
      </c>
      <c r="T1533" s="26">
        <f>S1533*G1533</f>
        <v/>
      </c>
      <c r="U1533" s="26">
        <f>R1533-T1533</f>
        <v/>
      </c>
      <c r="V1533" s="26">
        <f>U1533-L1533</f>
        <v/>
      </c>
    </row>
    <row r="1534">
      <c r="A1534" s="11" t="n">
        <v>46219</v>
      </c>
      <c r="B1534" s="1" t="n">
        <v>20047</v>
      </c>
      <c r="C1534" s="1" t="inlineStr">
        <is>
          <t>191</t>
        </is>
      </c>
      <c r="D1534" s="1" t="inlineStr">
        <is>
          <t>462072</t>
        </is>
      </c>
      <c r="E1534" s="1" t="inlineStr">
        <is>
          <t xml:space="preserve">28194770       </t>
        </is>
      </c>
      <c r="F1534" s="5" t="inlineStr">
        <is>
          <t>AUTOS DE METAL 3 TEAMSTERZ EN BLISTER</t>
        </is>
      </c>
      <c r="G1534" t="n">
        <v>1</v>
      </c>
      <c r="H1534" s="7" t="n">
        <v>6.9</v>
      </c>
      <c r="I1534" s="7" t="n">
        <v>0</v>
      </c>
      <c r="J1534" s="7" t="n">
        <v>0</v>
      </c>
      <c r="K1534" s="9" t="n">
        <v>0</v>
      </c>
      <c r="L1534" s="10" t="n">
        <v>4.1</v>
      </c>
      <c r="M1534" s="10" t="n">
        <v>1.43</v>
      </c>
      <c r="N1534" t="inlineStr">
        <is>
          <t>1</t>
        </is>
      </c>
      <c r="O1534" t="inlineStr">
        <is>
          <t xml:space="preserve">2 </t>
        </is>
      </c>
      <c r="P1534" t="inlineStr">
        <is>
          <t xml:space="preserve">245257  </t>
        </is>
      </c>
      <c r="Q1534" s="26" t="n">
        <v>4.09</v>
      </c>
      <c r="R1534" s="26">
        <f>Q1534*G1534</f>
        <v/>
      </c>
      <c r="S1534" s="26">
        <f>IFERROR(VLOOKUP(E1534*1,Tabla[#All],8,0),0)</f>
        <v/>
      </c>
      <c r="T1534" s="26">
        <f>S1534*G1534</f>
        <v/>
      </c>
      <c r="U1534" s="26">
        <f>R1534-T1534</f>
        <v/>
      </c>
      <c r="V1534" s="26">
        <f>U1534-L1534</f>
        <v/>
      </c>
    </row>
    <row r="1535">
      <c r="A1535" s="11" t="n">
        <v>46219</v>
      </c>
      <c r="B1535" s="1" t="n">
        <v>20047</v>
      </c>
      <c r="C1535" s="1" t="inlineStr">
        <is>
          <t>191</t>
        </is>
      </c>
      <c r="D1535" s="1" t="inlineStr">
        <is>
          <t>462072</t>
        </is>
      </c>
      <c r="E1535" s="1" t="inlineStr">
        <is>
          <t xml:space="preserve">28194770       </t>
        </is>
      </c>
      <c r="F1535" s="5" t="inlineStr">
        <is>
          <t>AUTOS DE METAL 3 TEAMSTERZ EN BLISTER</t>
        </is>
      </c>
      <c r="G1535" t="n">
        <v>1</v>
      </c>
      <c r="H1535" s="7" t="n">
        <v>6.9</v>
      </c>
      <c r="I1535" s="7" t="n">
        <v>0</v>
      </c>
      <c r="J1535" s="7" t="n">
        <v>0</v>
      </c>
      <c r="K1535" s="9" t="n">
        <v>0</v>
      </c>
      <c r="L1535" s="10" t="n">
        <v>4.1</v>
      </c>
      <c r="M1535" s="10" t="n">
        <v>1.43</v>
      </c>
      <c r="N1535" t="inlineStr">
        <is>
          <t>1</t>
        </is>
      </c>
      <c r="O1535" t="inlineStr">
        <is>
          <t xml:space="preserve">2 </t>
        </is>
      </c>
      <c r="P1535" t="inlineStr">
        <is>
          <t xml:space="preserve">245257  </t>
        </is>
      </c>
      <c r="Q1535" s="26" t="n">
        <v>4.09</v>
      </c>
      <c r="R1535" s="26">
        <f>Q1535*G1535</f>
        <v/>
      </c>
      <c r="S1535" s="26">
        <f>IFERROR(VLOOKUP(E1535*1,Tabla[#All],8,0),0)</f>
        <v/>
      </c>
      <c r="T1535" s="26">
        <f>S1535*G1535</f>
        <v/>
      </c>
      <c r="U1535" s="26">
        <f>R1535-T1535</f>
        <v/>
      </c>
      <c r="V1535" s="26">
        <f>U1535-L1535</f>
        <v/>
      </c>
    </row>
    <row r="1536">
      <c r="A1536" s="11" t="n">
        <v>46219</v>
      </c>
      <c r="B1536" s="1" t="n">
        <v>20048</v>
      </c>
      <c r="C1536" s="1" t="inlineStr">
        <is>
          <t>013</t>
        </is>
      </c>
      <c r="D1536" s="1" t="inlineStr">
        <is>
          <t>225565</t>
        </is>
      </c>
      <c r="E1536" s="1" t="inlineStr">
        <is>
          <t xml:space="preserve">28194768       </t>
        </is>
      </c>
      <c r="F1536" s="5" t="inlineStr">
        <is>
          <t>AUTO COLOR CHANGE TEAMSTERZ SURTIDO</t>
        </is>
      </c>
      <c r="G1536" t="n">
        <v>1</v>
      </c>
      <c r="H1536" s="7" t="n">
        <v>14.9</v>
      </c>
      <c r="I1536" s="7" t="n">
        <v>1.49</v>
      </c>
      <c r="J1536" s="7" t="n">
        <v>0</v>
      </c>
      <c r="K1536" s="9" t="n">
        <v>1.49</v>
      </c>
      <c r="L1536" s="10" t="n">
        <v>7.95</v>
      </c>
      <c r="M1536" s="10" t="n">
        <v>1.43</v>
      </c>
      <c r="N1536" t="inlineStr">
        <is>
          <t>1</t>
        </is>
      </c>
      <c r="O1536" t="inlineStr">
        <is>
          <t xml:space="preserve">3 </t>
        </is>
      </c>
      <c r="P1536" t="inlineStr">
        <is>
          <t xml:space="preserve">249966  </t>
        </is>
      </c>
      <c r="Q1536" s="26" t="n">
        <v>8.84</v>
      </c>
      <c r="R1536" s="26">
        <f>Q1536*G1536</f>
        <v/>
      </c>
      <c r="S1536" s="26">
        <f>IFERROR(VLOOKUP(E1536*1,Tabla[#All],8,0),0)</f>
        <v/>
      </c>
      <c r="T1536" s="26">
        <f>S1536*G1536</f>
        <v/>
      </c>
      <c r="U1536" s="26">
        <f>R1536-T1536</f>
        <v/>
      </c>
      <c r="V1536" s="26">
        <f>U1536-L1536</f>
        <v/>
      </c>
    </row>
    <row r="1537">
      <c r="A1537" s="11" t="n">
        <v>46219</v>
      </c>
      <c r="B1537" s="1" t="n">
        <v>20048</v>
      </c>
      <c r="C1537" s="1" t="inlineStr">
        <is>
          <t>013</t>
        </is>
      </c>
      <c r="D1537" s="1" t="inlineStr">
        <is>
          <t>225569</t>
        </is>
      </c>
      <c r="E1537" s="1" t="inlineStr">
        <is>
          <t xml:space="preserve">28194770       </t>
        </is>
      </c>
      <c r="F1537" s="5" t="inlineStr">
        <is>
          <t>AUTOS DE METAL 3 TEAMSTERZ EN BLISTER</t>
        </is>
      </c>
      <c r="G1537" t="n">
        <v>1</v>
      </c>
      <c r="H1537" s="7" t="n">
        <v>6.9</v>
      </c>
      <c r="I1537" s="7" t="n">
        <v>0</v>
      </c>
      <c r="J1537" s="7" t="n">
        <v>0</v>
      </c>
      <c r="K1537" s="9" t="n">
        <v>0</v>
      </c>
      <c r="L1537" s="10" t="n">
        <v>4.1</v>
      </c>
      <c r="M1537" s="10" t="n">
        <v>1.43</v>
      </c>
      <c r="N1537" t="inlineStr">
        <is>
          <t>1</t>
        </is>
      </c>
      <c r="O1537" t="inlineStr">
        <is>
          <t>16</t>
        </is>
      </c>
      <c r="P1537" t="inlineStr">
        <is>
          <t xml:space="preserve">249966  </t>
        </is>
      </c>
      <c r="Q1537" s="26" t="n">
        <v>4.09</v>
      </c>
      <c r="R1537" s="26">
        <f>Q1537*G1537</f>
        <v/>
      </c>
      <c r="S1537" s="26">
        <f>IFERROR(VLOOKUP(E1537*1,Tabla[#All],8,0),0)</f>
        <v/>
      </c>
      <c r="T1537" s="26">
        <f>S1537*G1537</f>
        <v/>
      </c>
      <c r="U1537" s="26">
        <f>R1537-T1537</f>
        <v/>
      </c>
      <c r="V1537" s="26">
        <f>U1537-L1537</f>
        <v/>
      </c>
    </row>
    <row r="1538">
      <c r="A1538" s="11" t="n">
        <v>46219</v>
      </c>
      <c r="B1538" s="1" t="n">
        <v>20048</v>
      </c>
      <c r="C1538" s="1" t="inlineStr">
        <is>
          <t>018</t>
        </is>
      </c>
      <c r="D1538" s="1" t="inlineStr">
        <is>
          <t xml:space="preserve">47097 </t>
        </is>
      </c>
      <c r="E1538" s="1" t="inlineStr">
        <is>
          <t xml:space="preserve">32457099       </t>
        </is>
      </c>
      <c r="F1538" s="5" t="inlineStr">
        <is>
          <t>TMZ BEAST MACHINES MONSTER JAWS A FRICCION BLISTER</t>
        </is>
      </c>
      <c r="G1538" t="n">
        <v>1</v>
      </c>
      <c r="H1538" s="7" t="n">
        <v>19.9</v>
      </c>
      <c r="I1538" s="7" t="n">
        <v>0</v>
      </c>
      <c r="J1538" s="7" t="n">
        <v>0</v>
      </c>
      <c r="K1538" s="9" t="n">
        <v>0</v>
      </c>
      <c r="L1538" s="10" t="n">
        <v>11.8</v>
      </c>
      <c r="M1538" s="10" t="n">
        <v>1.43</v>
      </c>
      <c r="N1538" t="inlineStr">
        <is>
          <t>1</t>
        </is>
      </c>
      <c r="O1538" t="inlineStr">
        <is>
          <t>16</t>
        </is>
      </c>
      <c r="P1538" t="inlineStr">
        <is>
          <t xml:space="preserve">250433  </t>
        </is>
      </c>
      <c r="Q1538" s="26" t="n">
        <v>11.81</v>
      </c>
      <c r="R1538" s="26">
        <f>Q1538*G1538</f>
        <v/>
      </c>
      <c r="S1538" s="26">
        <f>IFERROR(VLOOKUP(E1538*1,Tabla[#All],8,0),0)</f>
        <v/>
      </c>
      <c r="T1538" s="26">
        <f>S1538*G1538</f>
        <v/>
      </c>
      <c r="U1538" s="26">
        <f>R1538-T1538</f>
        <v/>
      </c>
      <c r="V1538" s="26">
        <f>U1538-L1538</f>
        <v/>
      </c>
    </row>
    <row r="1539">
      <c r="A1539" s="11" t="n">
        <v>46219</v>
      </c>
      <c r="B1539" s="1" t="n">
        <v>20048</v>
      </c>
      <c r="C1539" s="1" t="inlineStr">
        <is>
          <t>515</t>
        </is>
      </c>
      <c r="D1539" s="1" t="inlineStr">
        <is>
          <t xml:space="preserve">1516  </t>
        </is>
      </c>
      <c r="E1539" s="1" t="inlineStr">
        <is>
          <t xml:space="preserve">29235702       </t>
        </is>
      </c>
      <c r="F1539" s="5" t="inlineStr">
        <is>
          <t>INFINITY NADO TROMPO DE BATALLA - METAL C/ ANILLO</t>
        </is>
      </c>
      <c r="G1539" t="n">
        <v>1</v>
      </c>
      <c r="H1539" s="7" t="n">
        <v>69.90000000000001</v>
      </c>
      <c r="I1539" s="7" t="n">
        <v>6.99</v>
      </c>
      <c r="J1539" s="7" t="n">
        <v>0</v>
      </c>
      <c r="K1539" s="9" t="n">
        <v>6.99</v>
      </c>
      <c r="L1539" s="10" t="n">
        <v>37.32</v>
      </c>
      <c r="M1539" s="10" t="n">
        <v>1.43</v>
      </c>
      <c r="N1539" t="inlineStr">
        <is>
          <t>1</t>
        </is>
      </c>
      <c r="O1539" t="inlineStr">
        <is>
          <t>16</t>
        </is>
      </c>
      <c r="P1539" t="inlineStr">
        <is>
          <t xml:space="preserve">102671  </t>
        </is>
      </c>
      <c r="Q1539" s="26" t="n">
        <v>41.47</v>
      </c>
      <c r="R1539" s="26">
        <f>Q1539*G1539</f>
        <v/>
      </c>
      <c r="S1539" s="26">
        <f>IFERROR(VLOOKUP(E1539*1,Tabla[#All],8,0),0)</f>
        <v/>
      </c>
      <c r="T1539" s="26">
        <f>S1539*G1539</f>
        <v/>
      </c>
      <c r="U1539" s="26">
        <f>R1539-T1539</f>
        <v/>
      </c>
      <c r="V1539" s="26">
        <f>U1539-L1539</f>
        <v/>
      </c>
    </row>
    <row r="1540">
      <c r="A1540" s="11" t="n">
        <v>46219</v>
      </c>
      <c r="B1540" s="1" t="n">
        <v>20056</v>
      </c>
      <c r="C1540" s="1" t="inlineStr">
        <is>
          <t>021</t>
        </is>
      </c>
      <c r="D1540" s="1" t="inlineStr">
        <is>
          <t xml:space="preserve">52470 </t>
        </is>
      </c>
      <c r="E1540" s="1" t="inlineStr">
        <is>
          <t xml:space="preserve">28194767       </t>
        </is>
      </c>
      <c r="F1540" s="5" t="inlineStr">
        <is>
          <t>CAMIONES TEAMSTERZ DE EMERGENCIA</t>
        </is>
      </c>
      <c r="G1540" t="n">
        <v>1</v>
      </c>
      <c r="H1540" s="7" t="n">
        <v>17.9</v>
      </c>
      <c r="I1540" s="7" t="n">
        <v>0</v>
      </c>
      <c r="J1540" s="7" t="n">
        <v>0</v>
      </c>
      <c r="K1540" s="9" t="n">
        <v>0</v>
      </c>
      <c r="L1540" s="10" t="n">
        <v>10.62</v>
      </c>
      <c r="M1540" s="10" t="n">
        <v>1.43</v>
      </c>
      <c r="N1540" t="inlineStr">
        <is>
          <t>1</t>
        </is>
      </c>
      <c r="O1540" t="inlineStr">
        <is>
          <t>16</t>
        </is>
      </c>
      <c r="P1540" t="inlineStr">
        <is>
          <t xml:space="preserve">248464  </t>
        </is>
      </c>
      <c r="Q1540" s="26" t="n">
        <v>10.62</v>
      </c>
      <c r="R1540" s="26">
        <f>Q1540*G1540</f>
        <v/>
      </c>
      <c r="S1540" s="26">
        <f>IFERROR(VLOOKUP(E1540*1,Tabla[#All],8,0),0)</f>
        <v/>
      </c>
      <c r="T1540" s="26">
        <f>S1540*G1540</f>
        <v/>
      </c>
      <c r="U1540" s="26">
        <f>R1540-T1540</f>
        <v/>
      </c>
      <c r="V1540" s="26">
        <f>U1540-L1540</f>
        <v/>
      </c>
    </row>
    <row r="1541">
      <c r="A1541" s="11" t="n">
        <v>46219</v>
      </c>
      <c r="B1541" s="1" t="n">
        <v>20056</v>
      </c>
      <c r="C1541" s="1" t="inlineStr">
        <is>
          <t>022</t>
        </is>
      </c>
      <c r="D1541" s="1" t="inlineStr">
        <is>
          <t xml:space="preserve">55025 </t>
        </is>
      </c>
      <c r="E1541" s="1" t="inlineStr">
        <is>
          <t xml:space="preserve">28194769       </t>
        </is>
      </c>
      <c r="F1541" s="5" t="inlineStr">
        <is>
          <t>AUTOS DE METAL 3 TEAMSTERZ PACK DE 2</t>
        </is>
      </c>
      <c r="G1541" t="n">
        <v>1</v>
      </c>
      <c r="H1541" s="7" t="n">
        <v>13.8</v>
      </c>
      <c r="I1541" s="7" t="n">
        <v>0</v>
      </c>
      <c r="J1541" s="7" t="n">
        <v>0</v>
      </c>
      <c r="K1541" s="9" t="n">
        <v>0</v>
      </c>
      <c r="L1541" s="10" t="n">
        <v>8.18</v>
      </c>
      <c r="M1541" s="10" t="n">
        <v>1.43</v>
      </c>
      <c r="N1541" t="inlineStr">
        <is>
          <t>1</t>
        </is>
      </c>
      <c r="O1541" t="inlineStr">
        <is>
          <t>16</t>
        </is>
      </c>
      <c r="P1541" t="inlineStr">
        <is>
          <t xml:space="preserve">246533  </t>
        </is>
      </c>
      <c r="Q1541" s="26" t="n">
        <v>8.19</v>
      </c>
      <c r="R1541" s="26">
        <f>Q1541*G1541</f>
        <v/>
      </c>
      <c r="S1541" s="26">
        <f>IFERROR(VLOOKUP(E1541*1,Tabla[#All],8,0),0)</f>
        <v/>
      </c>
      <c r="T1541" s="26">
        <f>S1541*G1541</f>
        <v/>
      </c>
      <c r="U1541" s="26">
        <f>R1541-T1541</f>
        <v/>
      </c>
      <c r="V1541" s="26">
        <f>U1541-L1541</f>
        <v/>
      </c>
    </row>
    <row r="1542">
      <c r="A1542" s="11" t="n">
        <v>46219</v>
      </c>
      <c r="B1542" s="1" t="n">
        <v>20056</v>
      </c>
      <c r="C1542" s="1" t="inlineStr">
        <is>
          <t>022</t>
        </is>
      </c>
      <c r="D1542" s="1" t="inlineStr">
        <is>
          <t xml:space="preserve">55039 </t>
        </is>
      </c>
      <c r="E1542" s="1" t="inlineStr">
        <is>
          <t xml:space="preserve">29235700       </t>
        </is>
      </c>
      <c r="F1542" s="5" t="inlineStr">
        <is>
          <t>HOT WHEELS CASE METALICO PARA GUARDAR 18 CARRITOS</t>
        </is>
      </c>
      <c r="G1542" t="n">
        <v>1</v>
      </c>
      <c r="H1542" s="7" t="n">
        <v>49.9</v>
      </c>
      <c r="I1542" s="7" t="n">
        <v>0</v>
      </c>
      <c r="J1542" s="7" t="n">
        <v>0</v>
      </c>
      <c r="K1542" s="9" t="n">
        <v>0</v>
      </c>
      <c r="L1542" s="10" t="n">
        <v>29.6</v>
      </c>
      <c r="M1542" s="10" t="n">
        <v>1.43</v>
      </c>
      <c r="N1542" t="inlineStr">
        <is>
          <t>1</t>
        </is>
      </c>
      <c r="O1542" t="inlineStr">
        <is>
          <t>16</t>
        </is>
      </c>
      <c r="P1542" t="inlineStr">
        <is>
          <t xml:space="preserve">246533  </t>
        </is>
      </c>
      <c r="Q1542" s="26" t="n">
        <v>29.6</v>
      </c>
      <c r="R1542" s="26">
        <f>Q1542*G1542</f>
        <v/>
      </c>
      <c r="S1542" s="26">
        <f>IFERROR(VLOOKUP(E1542*1,Tabla[#All],8,0),0)</f>
        <v/>
      </c>
      <c r="T1542" s="26">
        <f>S1542*G1542</f>
        <v/>
      </c>
      <c r="U1542" s="26">
        <f>R1542-T1542</f>
        <v/>
      </c>
      <c r="V1542" s="26">
        <f>U1542-L1542</f>
        <v/>
      </c>
    </row>
    <row r="1543">
      <c r="A1543" s="11" t="n">
        <v>46219</v>
      </c>
      <c r="B1543" s="1" t="n">
        <v>20057</v>
      </c>
      <c r="C1543" s="1" t="inlineStr">
        <is>
          <t>032</t>
        </is>
      </c>
      <c r="D1543" s="1" t="inlineStr">
        <is>
          <t xml:space="preserve">74926 </t>
        </is>
      </c>
      <c r="E1543" s="1" t="inlineStr">
        <is>
          <t xml:space="preserve">28194769       </t>
        </is>
      </c>
      <c r="F1543" s="5" t="inlineStr">
        <is>
          <t>AUTOS DE METAL 3 TEAMSTERZ PACK DE 2</t>
        </is>
      </c>
      <c r="G1543" t="n">
        <v>1</v>
      </c>
      <c r="H1543" s="7" t="n">
        <v>13.8</v>
      </c>
      <c r="I1543" s="7" t="n">
        <v>0</v>
      </c>
      <c r="J1543" s="7" t="n">
        <v>0</v>
      </c>
      <c r="K1543" s="9" t="n">
        <v>0</v>
      </c>
      <c r="L1543" s="10" t="n">
        <v>8.18</v>
      </c>
      <c r="M1543" s="10" t="n">
        <v>1.43</v>
      </c>
      <c r="N1543" t="inlineStr">
        <is>
          <t>1</t>
        </is>
      </c>
      <c r="O1543" t="inlineStr">
        <is>
          <t>16</t>
        </is>
      </c>
      <c r="P1543" t="inlineStr">
        <is>
          <t xml:space="preserve">238606  </t>
        </is>
      </c>
      <c r="Q1543" s="26" t="n">
        <v>8.19</v>
      </c>
      <c r="R1543" s="26">
        <f>Q1543*G1543</f>
        <v/>
      </c>
      <c r="S1543" s="26">
        <f>IFERROR(VLOOKUP(E1543*1,Tabla[#All],8,0),0)</f>
        <v/>
      </c>
      <c r="T1543" s="26">
        <f>S1543*G1543</f>
        <v/>
      </c>
      <c r="U1543" s="26">
        <f>R1543-T1543</f>
        <v/>
      </c>
      <c r="V1543" s="26">
        <f>U1543-L1543</f>
        <v/>
      </c>
    </row>
    <row r="1544">
      <c r="A1544" s="11" t="n">
        <v>46219</v>
      </c>
      <c r="B1544" s="1" t="n">
        <v>20057</v>
      </c>
      <c r="C1544" s="1" t="inlineStr">
        <is>
          <t>032</t>
        </is>
      </c>
      <c r="D1544" s="1" t="inlineStr">
        <is>
          <t xml:space="preserve">74961 </t>
        </is>
      </c>
      <c r="E1544" s="1" t="inlineStr">
        <is>
          <t xml:space="preserve">28194770       </t>
        </is>
      </c>
      <c r="F1544" s="5" t="inlineStr">
        <is>
          <t>AUTOS DE METAL 3 TEAMSTERZ EN BLISTER</t>
        </is>
      </c>
      <c r="G1544" t="n">
        <v>1</v>
      </c>
      <c r="H1544" s="7" t="n">
        <v>6.9</v>
      </c>
      <c r="I1544" s="7" t="n">
        <v>0</v>
      </c>
      <c r="J1544" s="7" t="n">
        <v>0</v>
      </c>
      <c r="K1544" s="9" t="n">
        <v>0</v>
      </c>
      <c r="L1544" s="10" t="n">
        <v>4.1</v>
      </c>
      <c r="M1544" s="10" t="n">
        <v>1.43</v>
      </c>
      <c r="N1544" t="inlineStr">
        <is>
          <t>1</t>
        </is>
      </c>
      <c r="O1544" t="inlineStr">
        <is>
          <t>16</t>
        </is>
      </c>
      <c r="P1544" t="inlineStr">
        <is>
          <t xml:space="preserve">238606  </t>
        </is>
      </c>
      <c r="Q1544" s="26" t="n">
        <v>4.09</v>
      </c>
      <c r="R1544" s="26">
        <f>Q1544*G1544</f>
        <v/>
      </c>
      <c r="S1544" s="26">
        <f>IFERROR(VLOOKUP(E1544*1,Tabla[#All],8,0),0)</f>
        <v/>
      </c>
      <c r="T1544" s="26">
        <f>S1544*G1544</f>
        <v/>
      </c>
      <c r="U1544" s="26">
        <f>R1544-T1544</f>
        <v/>
      </c>
      <c r="V1544" s="26">
        <f>U1544-L1544</f>
        <v/>
      </c>
    </row>
    <row r="1545">
      <c r="A1545" s="11" t="n">
        <v>46219</v>
      </c>
      <c r="B1545" s="1" t="n">
        <v>20057</v>
      </c>
      <c r="C1545" s="1" t="inlineStr">
        <is>
          <t>032</t>
        </is>
      </c>
      <c r="D1545" s="1" t="inlineStr">
        <is>
          <t xml:space="preserve">74961 </t>
        </is>
      </c>
      <c r="E1545" s="1" t="inlineStr">
        <is>
          <t xml:space="preserve">28194770       </t>
        </is>
      </c>
      <c r="F1545" s="5" t="inlineStr">
        <is>
          <t>AUTOS DE METAL 3 TEAMSTERZ EN BLISTER</t>
        </is>
      </c>
      <c r="G1545" t="n">
        <v>1</v>
      </c>
      <c r="H1545" s="7" t="n">
        <v>6.9</v>
      </c>
      <c r="I1545" s="7" t="n">
        <v>0</v>
      </c>
      <c r="J1545" s="7" t="n">
        <v>0</v>
      </c>
      <c r="K1545" s="9" t="n">
        <v>0</v>
      </c>
      <c r="L1545" s="10" t="n">
        <v>4.1</v>
      </c>
      <c r="M1545" s="10" t="n">
        <v>1.43</v>
      </c>
      <c r="N1545" t="inlineStr">
        <is>
          <t>1</t>
        </is>
      </c>
      <c r="O1545" t="inlineStr">
        <is>
          <t>16</t>
        </is>
      </c>
      <c r="P1545" t="inlineStr">
        <is>
          <t xml:space="preserve">238606  </t>
        </is>
      </c>
      <c r="Q1545" s="26" t="n">
        <v>4.09</v>
      </c>
      <c r="R1545" s="26">
        <f>Q1545*G1545</f>
        <v/>
      </c>
      <c r="S1545" s="26">
        <f>IFERROR(VLOOKUP(E1545*1,Tabla[#All],8,0),0)</f>
        <v/>
      </c>
      <c r="T1545" s="26">
        <f>S1545*G1545</f>
        <v/>
      </c>
      <c r="U1545" s="26">
        <f>R1545-T1545</f>
        <v/>
      </c>
      <c r="V1545" s="26">
        <f>U1545-L1545</f>
        <v/>
      </c>
    </row>
    <row r="1546">
      <c r="A1546" s="11" t="n">
        <v>46219</v>
      </c>
      <c r="B1546" s="1" t="n">
        <v>20057</v>
      </c>
      <c r="C1546" s="1" t="inlineStr">
        <is>
          <t>032</t>
        </is>
      </c>
      <c r="D1546" s="1" t="inlineStr">
        <is>
          <t xml:space="preserve">74977 </t>
        </is>
      </c>
      <c r="E1546" s="1" t="inlineStr">
        <is>
          <t xml:space="preserve">28194770       </t>
        </is>
      </c>
      <c r="F1546" s="5" t="inlineStr">
        <is>
          <t>AUTOS DE METAL 3 TEAMSTERZ EN BLISTER</t>
        </is>
      </c>
      <c r="G1546" t="n">
        <v>1</v>
      </c>
      <c r="H1546" s="7" t="n">
        <v>6.9</v>
      </c>
      <c r="I1546" s="7" t="n">
        <v>0</v>
      </c>
      <c r="J1546" s="7" t="n">
        <v>0</v>
      </c>
      <c r="K1546" s="9" t="n">
        <v>0</v>
      </c>
      <c r="L1546" s="10" t="n">
        <v>4.1</v>
      </c>
      <c r="M1546" s="10" t="n">
        <v>1.43</v>
      </c>
      <c r="N1546" t="inlineStr">
        <is>
          <t>1</t>
        </is>
      </c>
      <c r="O1546" t="inlineStr">
        <is>
          <t xml:space="preserve">2 </t>
        </is>
      </c>
      <c r="P1546" t="inlineStr">
        <is>
          <t xml:space="preserve">238606  </t>
        </is>
      </c>
      <c r="Q1546" s="26" t="n">
        <v>4.09</v>
      </c>
      <c r="R1546" s="26">
        <f>Q1546*G1546</f>
        <v/>
      </c>
      <c r="S1546" s="26">
        <f>IFERROR(VLOOKUP(E1546*1,Tabla[#All],8,0),0)</f>
        <v/>
      </c>
      <c r="T1546" s="26">
        <f>S1546*G1546</f>
        <v/>
      </c>
      <c r="U1546" s="26">
        <f>R1546-T1546</f>
        <v/>
      </c>
      <c r="V1546" s="26">
        <f>U1546-L1546</f>
        <v/>
      </c>
    </row>
    <row r="1547">
      <c r="A1547" s="11" t="n">
        <v>46219</v>
      </c>
      <c r="B1547" s="1" t="n">
        <v>20057</v>
      </c>
      <c r="C1547" s="1" t="inlineStr">
        <is>
          <t>032</t>
        </is>
      </c>
      <c r="D1547" s="1" t="inlineStr">
        <is>
          <t xml:space="preserve">74977 </t>
        </is>
      </c>
      <c r="E1547" s="1" t="inlineStr">
        <is>
          <t xml:space="preserve">28194770       </t>
        </is>
      </c>
      <c r="F1547" s="5" t="inlineStr">
        <is>
          <t>AUTOS DE METAL 3 TEAMSTERZ EN BLISTER</t>
        </is>
      </c>
      <c r="G1547" t="n">
        <v>1</v>
      </c>
      <c r="H1547" s="7" t="n">
        <v>6.9</v>
      </c>
      <c r="I1547" s="7" t="n">
        <v>0</v>
      </c>
      <c r="J1547" s="7" t="n">
        <v>0</v>
      </c>
      <c r="K1547" s="9" t="n">
        <v>0</v>
      </c>
      <c r="L1547" s="10" t="n">
        <v>4.1</v>
      </c>
      <c r="M1547" s="10" t="n">
        <v>1.43</v>
      </c>
      <c r="N1547" t="inlineStr">
        <is>
          <t>1</t>
        </is>
      </c>
      <c r="O1547" t="inlineStr">
        <is>
          <t xml:space="preserve">2 </t>
        </is>
      </c>
      <c r="P1547" t="inlineStr">
        <is>
          <t xml:space="preserve">238606  </t>
        </is>
      </c>
      <c r="Q1547" s="26" t="n">
        <v>4.09</v>
      </c>
      <c r="R1547" s="26">
        <f>Q1547*G1547</f>
        <v/>
      </c>
      <c r="S1547" s="26">
        <f>IFERROR(VLOOKUP(E1547*1,Tabla[#All],8,0),0)</f>
        <v/>
      </c>
      <c r="T1547" s="26">
        <f>S1547*G1547</f>
        <v/>
      </c>
      <c r="U1547" s="26">
        <f>R1547-T1547</f>
        <v/>
      </c>
      <c r="V1547" s="26">
        <f>U1547-L1547</f>
        <v/>
      </c>
    </row>
    <row r="1548">
      <c r="A1548" s="11" t="n">
        <v>46219</v>
      </c>
      <c r="B1548" s="1" t="n">
        <v>20057</v>
      </c>
      <c r="C1548" s="1" t="inlineStr">
        <is>
          <t>033</t>
        </is>
      </c>
      <c r="D1548" s="1" t="inlineStr">
        <is>
          <t xml:space="preserve">67237 </t>
        </is>
      </c>
      <c r="E1548" s="1" t="inlineStr">
        <is>
          <t xml:space="preserve">34840556       </t>
        </is>
      </c>
      <c r="F1548" s="5" t="inlineStr">
        <is>
          <t>TMZ BEAST MACH. TRANSPORT DINO +ACCS</t>
        </is>
      </c>
      <c r="G1548" t="n">
        <v>1</v>
      </c>
      <c r="H1548" s="7" t="n">
        <v>79.90000000000001</v>
      </c>
      <c r="I1548" s="7" t="n">
        <v>0</v>
      </c>
      <c r="J1548" s="7" t="n">
        <v>0</v>
      </c>
      <c r="K1548" s="9" t="n">
        <v>0</v>
      </c>
      <c r="L1548" s="10" t="n">
        <v>47.4</v>
      </c>
      <c r="M1548" s="10" t="n">
        <v>1.43</v>
      </c>
      <c r="N1548" t="inlineStr">
        <is>
          <t>1</t>
        </is>
      </c>
      <c r="O1548" t="inlineStr">
        <is>
          <t>16</t>
        </is>
      </c>
      <c r="P1548" t="inlineStr">
        <is>
          <t xml:space="preserve">250316  </t>
        </is>
      </c>
      <c r="Q1548" s="26" t="n">
        <v>47.4</v>
      </c>
      <c r="R1548" s="26">
        <f>Q1548*G1548</f>
        <v/>
      </c>
      <c r="S1548" s="26">
        <f>IFERROR(VLOOKUP(E1548*1,Tabla[#All],8,0),0)</f>
        <v/>
      </c>
      <c r="T1548" s="26">
        <f>S1548*G1548</f>
        <v/>
      </c>
      <c r="U1548" s="26">
        <f>R1548-T1548</f>
        <v/>
      </c>
      <c r="V1548" s="26">
        <f>U1548-L1548</f>
        <v/>
      </c>
    </row>
    <row r="1549">
      <c r="A1549" s="11" t="n">
        <v>46219</v>
      </c>
      <c r="B1549" s="1" t="n">
        <v>20058</v>
      </c>
      <c r="C1549" s="1" t="inlineStr">
        <is>
          <t>038</t>
        </is>
      </c>
      <c r="D1549" s="1" t="inlineStr">
        <is>
          <t>209491</t>
        </is>
      </c>
      <c r="E1549" s="1" t="inlineStr">
        <is>
          <t xml:space="preserve">28194760       </t>
        </is>
      </c>
      <c r="F1549" s="5" t="inlineStr">
        <is>
          <t>CAR CASE MULTIMODULAR HOT WHEELS POR 18 PCS</t>
        </is>
      </c>
      <c r="G1549" t="n">
        <v>1</v>
      </c>
      <c r="H1549" s="7" t="n">
        <v>69.90000000000001</v>
      </c>
      <c r="I1549" s="7" t="n">
        <v>0</v>
      </c>
      <c r="J1549" s="7" t="n">
        <v>0</v>
      </c>
      <c r="K1549" s="9" t="n">
        <v>0</v>
      </c>
      <c r="L1549" s="10" t="n">
        <v>41.47</v>
      </c>
      <c r="M1549" s="10" t="n">
        <v>1.43</v>
      </c>
      <c r="N1549" t="inlineStr">
        <is>
          <t>1</t>
        </is>
      </c>
      <c r="O1549" t="inlineStr">
        <is>
          <t>16</t>
        </is>
      </c>
      <c r="P1549" t="inlineStr">
        <is>
          <t xml:space="preserve">90737   </t>
        </is>
      </c>
      <c r="Q1549" s="26" t="n">
        <v>41.47</v>
      </c>
      <c r="R1549" s="26">
        <f>Q1549*G1549</f>
        <v/>
      </c>
      <c r="S1549" s="26">
        <f>IFERROR(VLOOKUP(E1549*1,Tabla[#All],8,0),0)</f>
        <v/>
      </c>
      <c r="T1549" s="26">
        <f>S1549*G1549</f>
        <v/>
      </c>
      <c r="U1549" s="26">
        <f>R1549-T1549</f>
        <v/>
      </c>
      <c r="V1549" s="26">
        <f>U1549-L1549</f>
        <v/>
      </c>
    </row>
    <row r="1550">
      <c r="A1550" s="11" t="n">
        <v>46219</v>
      </c>
      <c r="B1550" s="1" t="n">
        <v>20058</v>
      </c>
      <c r="C1550" s="1" t="inlineStr">
        <is>
          <t>038</t>
        </is>
      </c>
      <c r="D1550" s="1" t="inlineStr">
        <is>
          <t>209505</t>
        </is>
      </c>
      <c r="E1550" s="1" t="inlineStr">
        <is>
          <t xml:space="preserve">28194767       </t>
        </is>
      </c>
      <c r="F1550" s="5" t="inlineStr">
        <is>
          <t>CAMIONES TEAMSTERZ DE EMERGENCIA</t>
        </is>
      </c>
      <c r="G1550" t="n">
        <v>1</v>
      </c>
      <c r="H1550" s="7" t="n">
        <v>17.9</v>
      </c>
      <c r="I1550" s="7" t="n">
        <v>0</v>
      </c>
      <c r="J1550" s="7" t="n">
        <v>0</v>
      </c>
      <c r="K1550" s="9" t="n">
        <v>0</v>
      </c>
      <c r="L1550" s="10" t="n">
        <v>10.62</v>
      </c>
      <c r="M1550" s="10" t="n">
        <v>1.43</v>
      </c>
      <c r="N1550" t="inlineStr">
        <is>
          <t>1</t>
        </is>
      </c>
      <c r="O1550" t="inlineStr">
        <is>
          <t>16</t>
        </is>
      </c>
      <c r="P1550" t="inlineStr">
        <is>
          <t xml:space="preserve">90737   </t>
        </is>
      </c>
      <c r="Q1550" s="26" t="n">
        <v>10.62</v>
      </c>
      <c r="R1550" s="26">
        <f>Q1550*G1550</f>
        <v/>
      </c>
      <c r="S1550" s="26">
        <f>IFERROR(VLOOKUP(E1550*1,Tabla[#All],8,0),0)</f>
        <v/>
      </c>
      <c r="T1550" s="26">
        <f>S1550*G1550</f>
        <v/>
      </c>
      <c r="U1550" s="26">
        <f>R1550-T1550</f>
        <v/>
      </c>
      <c r="V1550" s="26">
        <f>U1550-L1550</f>
        <v/>
      </c>
    </row>
    <row r="1551">
      <c r="A1551" s="11" t="n">
        <v>46219</v>
      </c>
      <c r="B1551" s="1" t="n">
        <v>20058</v>
      </c>
      <c r="C1551" s="1" t="inlineStr">
        <is>
          <t>038</t>
        </is>
      </c>
      <c r="D1551" s="1" t="inlineStr">
        <is>
          <t>209525</t>
        </is>
      </c>
      <c r="E1551" s="1" t="inlineStr">
        <is>
          <t xml:space="preserve">28194769       </t>
        </is>
      </c>
      <c r="F1551" s="5" t="inlineStr">
        <is>
          <t>AUTOS DE METAL 3 TEAMSTERZ PACK DE 2</t>
        </is>
      </c>
      <c r="G1551" t="n">
        <v>1</v>
      </c>
      <c r="H1551" s="7" t="n">
        <v>13.8</v>
      </c>
      <c r="I1551" s="7" t="n">
        <v>0</v>
      </c>
      <c r="J1551" s="7" t="n">
        <v>0</v>
      </c>
      <c r="K1551" s="9" t="n">
        <v>0</v>
      </c>
      <c r="L1551" s="10" t="n">
        <v>8.18</v>
      </c>
      <c r="M1551" s="10" t="n">
        <v>1.43</v>
      </c>
      <c r="N1551" t="inlineStr">
        <is>
          <t>1</t>
        </is>
      </c>
      <c r="O1551" t="inlineStr">
        <is>
          <t>16</t>
        </is>
      </c>
      <c r="P1551" t="inlineStr">
        <is>
          <t xml:space="preserve">242648  </t>
        </is>
      </c>
      <c r="Q1551" s="26" t="n">
        <v>8.19</v>
      </c>
      <c r="R1551" s="26">
        <f>Q1551*G1551</f>
        <v/>
      </c>
      <c r="S1551" s="26">
        <f>IFERROR(VLOOKUP(E1551*1,Tabla[#All],8,0),0)</f>
        <v/>
      </c>
      <c r="T1551" s="26">
        <f>S1551*G1551</f>
        <v/>
      </c>
      <c r="U1551" s="26">
        <f>R1551-T1551</f>
        <v/>
      </c>
      <c r="V1551" s="26">
        <f>U1551-L1551</f>
        <v/>
      </c>
    </row>
    <row r="1552">
      <c r="A1552" s="11" t="n">
        <v>46219</v>
      </c>
      <c r="B1552" s="1" t="n">
        <v>20058</v>
      </c>
      <c r="C1552" s="1" t="inlineStr">
        <is>
          <t>038</t>
        </is>
      </c>
      <c r="D1552" s="1" t="inlineStr">
        <is>
          <t>209525</t>
        </is>
      </c>
      <c r="E1552" s="1" t="inlineStr">
        <is>
          <t xml:space="preserve">28194770       </t>
        </is>
      </c>
      <c r="F1552" s="5" t="inlineStr">
        <is>
          <t>AUTOS DE METAL 3 TEAMSTERZ EN BLISTER</t>
        </is>
      </c>
      <c r="G1552" t="n">
        <v>1</v>
      </c>
      <c r="H1552" s="7" t="n">
        <v>6.9</v>
      </c>
      <c r="I1552" s="7" t="n">
        <v>0</v>
      </c>
      <c r="J1552" s="7" t="n">
        <v>0</v>
      </c>
      <c r="K1552" s="9" t="n">
        <v>0</v>
      </c>
      <c r="L1552" s="10" t="n">
        <v>4.1</v>
      </c>
      <c r="M1552" s="10" t="n">
        <v>1.43</v>
      </c>
      <c r="N1552" t="inlineStr">
        <is>
          <t>1</t>
        </is>
      </c>
      <c r="O1552" t="inlineStr">
        <is>
          <t>16</t>
        </is>
      </c>
      <c r="P1552" t="inlineStr">
        <is>
          <t xml:space="preserve">242648  </t>
        </is>
      </c>
      <c r="Q1552" s="26" t="n">
        <v>4.09</v>
      </c>
      <c r="R1552" s="26">
        <f>Q1552*G1552</f>
        <v/>
      </c>
      <c r="S1552" s="26">
        <f>IFERROR(VLOOKUP(E1552*1,Tabla[#All],8,0),0)</f>
        <v/>
      </c>
      <c r="T1552" s="26">
        <f>S1552*G1552</f>
        <v/>
      </c>
      <c r="U1552" s="26">
        <f>R1552-T1552</f>
        <v/>
      </c>
      <c r="V1552" s="26">
        <f>U1552-L1552</f>
        <v/>
      </c>
    </row>
    <row r="1553">
      <c r="A1553" s="11" t="n">
        <v>46219</v>
      </c>
      <c r="B1553" s="1" t="n">
        <v>20058</v>
      </c>
      <c r="C1553" s="1" t="inlineStr">
        <is>
          <t>039</t>
        </is>
      </c>
      <c r="D1553" s="1" t="inlineStr">
        <is>
          <t>230668</t>
        </is>
      </c>
      <c r="E1553" s="1" t="inlineStr">
        <is>
          <t xml:space="preserve">35685067       </t>
        </is>
      </c>
      <c r="F1553" s="5" t="inlineStr">
        <is>
          <t>HOT WHEELS POWER SET 3 EN 1</t>
        </is>
      </c>
      <c r="G1553" t="n">
        <v>1</v>
      </c>
      <c r="H1553" s="7" t="n">
        <v>49.9</v>
      </c>
      <c r="I1553" s="7" t="n">
        <v>0</v>
      </c>
      <c r="J1553" s="7" t="n">
        <v>0</v>
      </c>
      <c r="K1553" s="9" t="n">
        <v>0</v>
      </c>
      <c r="L1553" s="10" t="n">
        <v>29.6</v>
      </c>
      <c r="M1553" s="10" t="n">
        <v>1.43</v>
      </c>
      <c r="N1553" t="inlineStr">
        <is>
          <t>1</t>
        </is>
      </c>
      <c r="O1553" t="inlineStr">
        <is>
          <t>16</t>
        </is>
      </c>
      <c r="P1553" t="inlineStr">
        <is>
          <t xml:space="preserve">239663  </t>
        </is>
      </c>
      <c r="Q1553" s="26" t="n">
        <v>29.6</v>
      </c>
      <c r="R1553" s="26">
        <f>Q1553*G1553</f>
        <v/>
      </c>
      <c r="S1553" s="26">
        <f>IFERROR(VLOOKUP(E1553*1,Tabla[#All],8,0),0)</f>
        <v/>
      </c>
      <c r="T1553" s="26">
        <f>S1553*G1553</f>
        <v/>
      </c>
      <c r="U1553" s="26">
        <f>R1553-T1553</f>
        <v/>
      </c>
      <c r="V1553" s="26">
        <f>U1553-L1553</f>
        <v/>
      </c>
    </row>
    <row r="1554">
      <c r="A1554" s="11" t="n">
        <v>46219</v>
      </c>
      <c r="B1554" s="1" t="n">
        <v>20060</v>
      </c>
      <c r="C1554" s="1" t="inlineStr">
        <is>
          <t>300</t>
        </is>
      </c>
      <c r="D1554" s="1" t="inlineStr">
        <is>
          <t xml:space="preserve">8147  </t>
        </is>
      </c>
      <c r="E1554" s="1" t="inlineStr">
        <is>
          <t xml:space="preserve">34840524       </t>
        </is>
      </c>
      <c r="F1554" s="5" t="inlineStr">
        <is>
          <t>NENUCO 5 FUNCIONES INTERACTIVAS</t>
        </is>
      </c>
      <c r="G1554" t="n">
        <v>1</v>
      </c>
      <c r="H1554" s="7" t="n">
        <v>80.90000000000001</v>
      </c>
      <c r="I1554" s="7" t="n">
        <v>0</v>
      </c>
      <c r="J1554" s="7" t="n">
        <v>0</v>
      </c>
      <c r="K1554" s="9" t="n">
        <v>0</v>
      </c>
      <c r="L1554" s="10" t="n">
        <v>47.99</v>
      </c>
      <c r="M1554" s="10" t="n">
        <v>1.43</v>
      </c>
      <c r="N1554" t="inlineStr">
        <is>
          <t>1</t>
        </is>
      </c>
      <c r="O1554" t="inlineStr">
        <is>
          <t xml:space="preserve">3 </t>
        </is>
      </c>
      <c r="P1554" t="inlineStr">
        <is>
          <t>82807346</t>
        </is>
      </c>
      <c r="Q1554" s="26" t="n">
        <v>53.33</v>
      </c>
      <c r="R1554" s="26">
        <f>Q1554*G1554</f>
        <v/>
      </c>
      <c r="S1554" s="26">
        <f>IFERROR(VLOOKUP(E1554*1,Tabla[#All],8,0),0)</f>
        <v/>
      </c>
      <c r="T1554" s="26">
        <f>S1554*G1554</f>
        <v/>
      </c>
      <c r="U1554" s="26">
        <f>R1554-T1554</f>
        <v/>
      </c>
      <c r="V1554" s="26">
        <f>U1554-L1554</f>
        <v/>
      </c>
    </row>
    <row r="1555">
      <c r="A1555" s="11" t="n">
        <v>46219</v>
      </c>
      <c r="B1555" s="1" t="n">
        <v>20062</v>
      </c>
      <c r="C1555" s="1" t="inlineStr">
        <is>
          <t>017</t>
        </is>
      </c>
      <c r="D1555" s="1" t="inlineStr">
        <is>
          <t>235727</t>
        </is>
      </c>
      <c r="E1555" s="1" t="inlineStr">
        <is>
          <t xml:space="preserve">34840556       </t>
        </is>
      </c>
      <c r="F1555" s="5" t="inlineStr">
        <is>
          <t>TMZ BEAST MACH. TRANSPORT DINO +ACCS</t>
        </is>
      </c>
      <c r="G1555" t="n">
        <v>1</v>
      </c>
      <c r="H1555" s="7" t="n">
        <v>79.90000000000001</v>
      </c>
      <c r="I1555" s="7" t="n">
        <v>0</v>
      </c>
      <c r="J1555" s="7" t="n">
        <v>0</v>
      </c>
      <c r="K1555" s="9" t="n">
        <v>0</v>
      </c>
      <c r="L1555" s="10" t="n">
        <v>47.4</v>
      </c>
      <c r="M1555" s="10" t="n">
        <v>1.43</v>
      </c>
      <c r="N1555" t="inlineStr">
        <is>
          <t>1</t>
        </is>
      </c>
      <c r="O1555" t="inlineStr">
        <is>
          <t xml:space="preserve">2 </t>
        </is>
      </c>
      <c r="P1555" t="inlineStr">
        <is>
          <t xml:space="preserve">237521  </t>
        </is>
      </c>
      <c r="Q1555" s="26" t="n">
        <v>47.4</v>
      </c>
      <c r="R1555" s="26">
        <f>Q1555*G1555</f>
        <v/>
      </c>
      <c r="S1555" s="26">
        <f>IFERROR(VLOOKUP(E1555*1,Tabla[#All],8,0),0)</f>
        <v/>
      </c>
      <c r="T1555" s="26">
        <f>S1555*G1555</f>
        <v/>
      </c>
      <c r="U1555" s="26">
        <f>R1555-T1555</f>
        <v/>
      </c>
      <c r="V1555" s="26">
        <f>U1555-L1555</f>
        <v/>
      </c>
    </row>
    <row r="1556">
      <c r="A1556" s="11" t="n">
        <v>46219</v>
      </c>
      <c r="B1556" s="1" t="n">
        <v>20062</v>
      </c>
      <c r="C1556" s="1" t="inlineStr">
        <is>
          <t>051</t>
        </is>
      </c>
      <c r="D1556" s="1" t="inlineStr">
        <is>
          <t>242040</t>
        </is>
      </c>
      <c r="E1556" s="1" t="inlineStr">
        <is>
          <t xml:space="preserve">30141767       </t>
        </is>
      </c>
      <c r="F1556" s="5" t="inlineStr">
        <is>
          <t>TMZ BEAST MACHINES AUTOS DE METAL PACK 5 AUTOS</t>
        </is>
      </c>
      <c r="G1556" t="n">
        <v>1</v>
      </c>
      <c r="H1556" s="7" t="n">
        <v>39.5</v>
      </c>
      <c r="I1556" s="7" t="n">
        <v>0</v>
      </c>
      <c r="J1556" s="7" t="n">
        <v>0</v>
      </c>
      <c r="K1556" s="9" t="n">
        <v>0</v>
      </c>
      <c r="L1556" s="10" t="n">
        <v>23.43</v>
      </c>
      <c r="M1556" s="10" t="n">
        <v>1.43</v>
      </c>
      <c r="N1556" t="inlineStr">
        <is>
          <t>1</t>
        </is>
      </c>
      <c r="O1556" t="inlineStr">
        <is>
          <t xml:space="preserve">2 </t>
        </is>
      </c>
      <c r="P1556" t="inlineStr">
        <is>
          <t xml:space="preserve">57106   </t>
        </is>
      </c>
      <c r="Q1556" s="26" t="n">
        <v>23.43</v>
      </c>
      <c r="R1556" s="26">
        <f>Q1556*G1556</f>
        <v/>
      </c>
      <c r="S1556" s="26">
        <f>IFERROR(VLOOKUP(E1556*1,Tabla[#All],8,0),0)</f>
        <v/>
      </c>
      <c r="T1556" s="26">
        <f>S1556*G1556</f>
        <v/>
      </c>
      <c r="U1556" s="26">
        <f>R1556-T1556</f>
        <v/>
      </c>
      <c r="V1556" s="26">
        <f>U1556-L1556</f>
        <v/>
      </c>
    </row>
    <row r="1557">
      <c r="A1557" s="11" t="n">
        <v>46219</v>
      </c>
      <c r="B1557" s="1" t="n">
        <v>20062</v>
      </c>
      <c r="C1557" s="1" t="inlineStr">
        <is>
          <t>831</t>
        </is>
      </c>
      <c r="D1557" s="1" t="inlineStr">
        <is>
          <t xml:space="preserve">1497  </t>
        </is>
      </c>
      <c r="E1557" s="1" t="inlineStr">
        <is>
          <t xml:space="preserve">28194780       </t>
        </is>
      </c>
      <c r="F1557" s="5" t="inlineStr">
        <is>
          <t>TROMPO BATALLA INFINITY NADO PLSTICO SURTIDO</t>
        </is>
      </c>
      <c r="G1557" t="n">
        <v>1</v>
      </c>
      <c r="H1557" s="7" t="n">
        <v>19.9</v>
      </c>
      <c r="I1557" s="7" t="n">
        <v>1.99</v>
      </c>
      <c r="J1557" s="7" t="n">
        <v>0</v>
      </c>
      <c r="K1557" s="9" t="n">
        <v>1.99</v>
      </c>
      <c r="L1557" s="10" t="n">
        <v>10.63</v>
      </c>
      <c r="M1557" s="10" t="n">
        <v>1.43</v>
      </c>
      <c r="N1557" t="inlineStr">
        <is>
          <t>1</t>
        </is>
      </c>
      <c r="O1557" t="inlineStr">
        <is>
          <t>16</t>
        </is>
      </c>
      <c r="P1557" t="inlineStr">
        <is>
          <t xml:space="preserve">0       </t>
        </is>
      </c>
      <c r="Q1557" s="26" t="n">
        <v>11.81</v>
      </c>
      <c r="R1557" s="26">
        <f>Q1557*G1557</f>
        <v/>
      </c>
      <c r="S1557" s="26">
        <f>IFERROR(VLOOKUP(E1557*1,Tabla[#All],8,0),0)</f>
        <v/>
      </c>
      <c r="T1557" s="26">
        <f>S1557*G1557</f>
        <v/>
      </c>
      <c r="U1557" s="26">
        <f>R1557-T1557</f>
        <v/>
      </c>
      <c r="V1557" s="26">
        <f>U1557-L1557</f>
        <v/>
      </c>
    </row>
    <row r="1558">
      <c r="A1558" s="11" t="n">
        <v>46219</v>
      </c>
      <c r="B1558" s="1" t="n">
        <v>20066</v>
      </c>
      <c r="C1558" s="1" t="inlineStr">
        <is>
          <t>059</t>
        </is>
      </c>
      <c r="D1558" s="1" t="inlineStr">
        <is>
          <t xml:space="preserve">18921 </t>
        </is>
      </c>
      <c r="E1558" s="1" t="inlineStr">
        <is>
          <t xml:space="preserve">28194766       </t>
        </is>
      </c>
      <c r="F1558" s="5" t="inlineStr">
        <is>
          <t>CAMIONES TEAMSTERZ DE CIUDAD</t>
        </is>
      </c>
      <c r="G1558" t="n">
        <v>1</v>
      </c>
      <c r="H1558" s="7" t="n">
        <v>17.9</v>
      </c>
      <c r="I1558" s="7" t="n">
        <v>0</v>
      </c>
      <c r="J1558" s="7" t="n">
        <v>0</v>
      </c>
      <c r="K1558" s="9" t="n">
        <v>0</v>
      </c>
      <c r="L1558" s="10" t="n">
        <v>10.62</v>
      </c>
      <c r="M1558" s="10" t="n">
        <v>1.43</v>
      </c>
      <c r="N1558" t="inlineStr">
        <is>
          <t>1</t>
        </is>
      </c>
      <c r="O1558" t="inlineStr">
        <is>
          <t>16</t>
        </is>
      </c>
      <c r="P1558" t="inlineStr">
        <is>
          <t xml:space="preserve">13622   </t>
        </is>
      </c>
      <c r="Q1558" s="26" t="n">
        <v>10.62</v>
      </c>
      <c r="R1558" s="26">
        <f>Q1558*G1558</f>
        <v/>
      </c>
      <c r="S1558" s="26">
        <f>IFERROR(VLOOKUP(E1558*1,Tabla[#All],8,0),0)</f>
        <v/>
      </c>
      <c r="T1558" s="26">
        <f>S1558*G1558</f>
        <v/>
      </c>
      <c r="U1558" s="26">
        <f>R1558-T1558</f>
        <v/>
      </c>
      <c r="V1558" s="26">
        <f>U1558-L1558</f>
        <v/>
      </c>
    </row>
    <row r="1559">
      <c r="A1559" s="11" t="n">
        <v>46219</v>
      </c>
      <c r="B1559" s="1" t="n">
        <v>20066</v>
      </c>
      <c r="C1559" s="1" t="inlineStr">
        <is>
          <t>059</t>
        </is>
      </c>
      <c r="D1559" s="1" t="inlineStr">
        <is>
          <t xml:space="preserve">18921 </t>
        </is>
      </c>
      <c r="E1559" s="1" t="inlineStr">
        <is>
          <t xml:space="preserve">28194767       </t>
        </is>
      </c>
      <c r="F1559" s="5" t="inlineStr">
        <is>
          <t>CAMIONES TEAMSTERZ DE EMERGENCIA</t>
        </is>
      </c>
      <c r="G1559" t="n">
        <v>1</v>
      </c>
      <c r="H1559" s="7" t="n">
        <v>17.9</v>
      </c>
      <c r="I1559" s="7" t="n">
        <v>0</v>
      </c>
      <c r="J1559" s="7" t="n">
        <v>0</v>
      </c>
      <c r="K1559" s="9" t="n">
        <v>0</v>
      </c>
      <c r="L1559" s="10" t="n">
        <v>10.62</v>
      </c>
      <c r="M1559" s="10" t="n">
        <v>1.43</v>
      </c>
      <c r="N1559" t="inlineStr">
        <is>
          <t>1</t>
        </is>
      </c>
      <c r="O1559" t="inlineStr">
        <is>
          <t>16</t>
        </is>
      </c>
      <c r="P1559" t="inlineStr">
        <is>
          <t xml:space="preserve">13622   </t>
        </is>
      </c>
      <c r="Q1559" s="26" t="n">
        <v>10.62</v>
      </c>
      <c r="R1559" s="26">
        <f>Q1559*G1559</f>
        <v/>
      </c>
      <c r="S1559" s="26">
        <f>IFERROR(VLOOKUP(E1559*1,Tabla[#All],8,0),0)</f>
        <v/>
      </c>
      <c r="T1559" s="26">
        <f>S1559*G1559</f>
        <v/>
      </c>
      <c r="U1559" s="26">
        <f>R1559-T1559</f>
        <v/>
      </c>
      <c r="V1559" s="26">
        <f>U1559-L1559</f>
        <v/>
      </c>
    </row>
    <row r="1560">
      <c r="A1560" s="11" t="n">
        <v>46219</v>
      </c>
      <c r="B1560" s="1" t="n">
        <v>20066</v>
      </c>
      <c r="C1560" s="1" t="inlineStr">
        <is>
          <t>059</t>
        </is>
      </c>
      <c r="D1560" s="1" t="inlineStr">
        <is>
          <t xml:space="preserve">18921 </t>
        </is>
      </c>
      <c r="E1560" s="1" t="inlineStr">
        <is>
          <t xml:space="preserve">28194767       </t>
        </is>
      </c>
      <c r="F1560" s="5" t="inlineStr">
        <is>
          <t>CAMIONES TEAMSTERZ DE EMERGENCIA</t>
        </is>
      </c>
      <c r="G1560" t="n">
        <v>1</v>
      </c>
      <c r="H1560" s="7" t="n">
        <v>17.9</v>
      </c>
      <c r="I1560" s="7" t="n">
        <v>0</v>
      </c>
      <c r="J1560" s="7" t="n">
        <v>0</v>
      </c>
      <c r="K1560" s="9" t="n">
        <v>0</v>
      </c>
      <c r="L1560" s="10" t="n">
        <v>10.62</v>
      </c>
      <c r="M1560" s="10" t="n">
        <v>1.43</v>
      </c>
      <c r="N1560" t="inlineStr">
        <is>
          <t>1</t>
        </is>
      </c>
      <c r="O1560" t="inlineStr">
        <is>
          <t>16</t>
        </is>
      </c>
      <c r="P1560" t="inlineStr">
        <is>
          <t xml:space="preserve">13622   </t>
        </is>
      </c>
      <c r="Q1560" s="26" t="n">
        <v>10.62</v>
      </c>
      <c r="R1560" s="26">
        <f>Q1560*G1560</f>
        <v/>
      </c>
      <c r="S1560" s="26">
        <f>IFERROR(VLOOKUP(E1560*1,Tabla[#All],8,0),0)</f>
        <v/>
      </c>
      <c r="T1560" s="26">
        <f>S1560*G1560</f>
        <v/>
      </c>
      <c r="U1560" s="26">
        <f>R1560-T1560</f>
        <v/>
      </c>
      <c r="V1560" s="26">
        <f>U1560-L1560</f>
        <v/>
      </c>
    </row>
    <row r="1561">
      <c r="A1561" s="11" t="n">
        <v>46219</v>
      </c>
      <c r="B1561" s="1" t="n">
        <v>20066</v>
      </c>
      <c r="C1561" s="1" t="inlineStr">
        <is>
          <t>059</t>
        </is>
      </c>
      <c r="D1561" s="1" t="inlineStr">
        <is>
          <t xml:space="preserve">18921 </t>
        </is>
      </c>
      <c r="E1561" s="1" t="inlineStr">
        <is>
          <t xml:space="preserve">28194767       </t>
        </is>
      </c>
      <c r="F1561" s="5" t="inlineStr">
        <is>
          <t>CAMIONES TEAMSTERZ DE EMERGENCIA</t>
        </is>
      </c>
      <c r="G1561" t="n">
        <v>1</v>
      </c>
      <c r="H1561" s="7" t="n">
        <v>17.9</v>
      </c>
      <c r="I1561" s="7" t="n">
        <v>0</v>
      </c>
      <c r="J1561" s="7" t="n">
        <v>0</v>
      </c>
      <c r="K1561" s="9" t="n">
        <v>0</v>
      </c>
      <c r="L1561" s="10" t="n">
        <v>10.62</v>
      </c>
      <c r="M1561" s="10" t="n">
        <v>1.43</v>
      </c>
      <c r="N1561" t="inlineStr">
        <is>
          <t>1</t>
        </is>
      </c>
      <c r="O1561" t="inlineStr">
        <is>
          <t>16</t>
        </is>
      </c>
      <c r="P1561" t="inlineStr">
        <is>
          <t xml:space="preserve">13622   </t>
        </is>
      </c>
      <c r="Q1561" s="26" t="n">
        <v>10.62</v>
      </c>
      <c r="R1561" s="26">
        <f>Q1561*G1561</f>
        <v/>
      </c>
      <c r="S1561" s="26">
        <f>IFERROR(VLOOKUP(E1561*1,Tabla[#All],8,0),0)</f>
        <v/>
      </c>
      <c r="T1561" s="26">
        <f>S1561*G1561</f>
        <v/>
      </c>
      <c r="U1561" s="26">
        <f>R1561-T1561</f>
        <v/>
      </c>
      <c r="V1561" s="26">
        <f>U1561-L1561</f>
        <v/>
      </c>
    </row>
    <row r="1562">
      <c r="A1562" s="11" t="n">
        <v>46219</v>
      </c>
      <c r="B1562" s="1" t="n">
        <v>20066</v>
      </c>
      <c r="C1562" s="1" t="inlineStr">
        <is>
          <t>061</t>
        </is>
      </c>
      <c r="D1562" s="1" t="inlineStr">
        <is>
          <t xml:space="preserve">35207 </t>
        </is>
      </c>
      <c r="E1562" s="1" t="inlineStr">
        <is>
          <t xml:space="preserve">28194770       </t>
        </is>
      </c>
      <c r="F1562" s="5" t="inlineStr">
        <is>
          <t>AUTOS DE METAL 3 TEAMSTERZ EN BLISTER</t>
        </is>
      </c>
      <c r="G1562" t="n">
        <v>1</v>
      </c>
      <c r="H1562" s="7" t="n">
        <v>6.9</v>
      </c>
      <c r="I1562" s="7" t="n">
        <v>0</v>
      </c>
      <c r="J1562" s="7" t="n">
        <v>0</v>
      </c>
      <c r="K1562" s="9" t="n">
        <v>0</v>
      </c>
      <c r="L1562" s="10" t="n">
        <v>4.1</v>
      </c>
      <c r="M1562" s="10" t="n">
        <v>1.43</v>
      </c>
      <c r="N1562" t="inlineStr">
        <is>
          <t>1</t>
        </is>
      </c>
      <c r="O1562" t="inlineStr">
        <is>
          <t xml:space="preserve">2 </t>
        </is>
      </c>
      <c r="P1562" t="inlineStr">
        <is>
          <t xml:space="preserve">62683   </t>
        </is>
      </c>
      <c r="Q1562" s="26" t="n">
        <v>4.09</v>
      </c>
      <c r="R1562" s="26">
        <f>Q1562*G1562</f>
        <v/>
      </c>
      <c r="S1562" s="26">
        <f>IFERROR(VLOOKUP(E1562*1,Tabla[#All],8,0),0)</f>
        <v/>
      </c>
      <c r="T1562" s="26">
        <f>S1562*G1562</f>
        <v/>
      </c>
      <c r="U1562" s="26">
        <f>R1562-T1562</f>
        <v/>
      </c>
      <c r="V1562" s="26">
        <f>U1562-L1562</f>
        <v/>
      </c>
    </row>
    <row r="1563">
      <c r="A1563" s="11" t="n">
        <v>46219</v>
      </c>
      <c r="B1563" s="1" t="n">
        <v>20066</v>
      </c>
      <c r="C1563" s="1" t="inlineStr">
        <is>
          <t>061</t>
        </is>
      </c>
      <c r="D1563" s="1" t="inlineStr">
        <is>
          <t xml:space="preserve">35207 </t>
        </is>
      </c>
      <c r="E1563" s="1" t="inlineStr">
        <is>
          <t xml:space="preserve">28194770       </t>
        </is>
      </c>
      <c r="F1563" s="5" t="inlineStr">
        <is>
          <t>AUTOS DE METAL 3 TEAMSTERZ EN BLISTER</t>
        </is>
      </c>
      <c r="G1563" t="n">
        <v>1</v>
      </c>
      <c r="H1563" s="7" t="n">
        <v>6.9</v>
      </c>
      <c r="I1563" s="7" t="n">
        <v>0</v>
      </c>
      <c r="J1563" s="7" t="n">
        <v>0</v>
      </c>
      <c r="K1563" s="9" t="n">
        <v>0</v>
      </c>
      <c r="L1563" s="10" t="n">
        <v>4.1</v>
      </c>
      <c r="M1563" s="10" t="n">
        <v>1.43</v>
      </c>
      <c r="N1563" t="inlineStr">
        <is>
          <t>1</t>
        </is>
      </c>
      <c r="O1563" t="inlineStr">
        <is>
          <t xml:space="preserve">2 </t>
        </is>
      </c>
      <c r="P1563" t="inlineStr">
        <is>
          <t xml:space="preserve">62683   </t>
        </is>
      </c>
      <c r="Q1563" s="26" t="n">
        <v>4.09</v>
      </c>
      <c r="R1563" s="26">
        <f>Q1563*G1563</f>
        <v/>
      </c>
      <c r="S1563" s="26">
        <f>IFERROR(VLOOKUP(E1563*1,Tabla[#All],8,0),0)</f>
        <v/>
      </c>
      <c r="T1563" s="26">
        <f>S1563*G1563</f>
        <v/>
      </c>
      <c r="U1563" s="26">
        <f>R1563-T1563</f>
        <v/>
      </c>
      <c r="V1563" s="26">
        <f>U1563-L1563</f>
        <v/>
      </c>
    </row>
    <row r="1564">
      <c r="A1564" s="11" t="n">
        <v>46219</v>
      </c>
      <c r="B1564" s="1" t="n">
        <v>20069</v>
      </c>
      <c r="C1564" s="1" t="inlineStr">
        <is>
          <t>011</t>
        </is>
      </c>
      <c r="D1564" s="1" t="inlineStr">
        <is>
          <t>195000</t>
        </is>
      </c>
      <c r="E1564" s="1" t="inlineStr">
        <is>
          <t xml:space="preserve">29235710       </t>
        </is>
      </c>
      <c r="F1564" s="5" t="inlineStr">
        <is>
          <t>TEAMSTERZ PLAYSET GRANDES CONSTRUCCIONES</t>
        </is>
      </c>
      <c r="G1564" t="n">
        <v>1</v>
      </c>
      <c r="H1564" s="7" t="n">
        <v>19.9</v>
      </c>
      <c r="I1564" s="7" t="n">
        <v>0</v>
      </c>
      <c r="J1564" s="7" t="n">
        <v>0</v>
      </c>
      <c r="K1564" s="9" t="n">
        <v>0</v>
      </c>
      <c r="L1564" s="10" t="n">
        <v>11.8</v>
      </c>
      <c r="M1564" s="10" t="n">
        <v>1.43</v>
      </c>
      <c r="N1564" t="inlineStr">
        <is>
          <t>1</t>
        </is>
      </c>
      <c r="O1564" t="inlineStr">
        <is>
          <t xml:space="preserve">2 </t>
        </is>
      </c>
      <c r="P1564" t="inlineStr">
        <is>
          <t xml:space="preserve">247848  </t>
        </is>
      </c>
      <c r="Q1564" s="26" t="n">
        <v>11.81</v>
      </c>
      <c r="R1564" s="26">
        <f>Q1564*G1564</f>
        <v/>
      </c>
      <c r="S1564" s="26">
        <f>IFERROR(VLOOKUP(E1564*1,Tabla[#All],8,0),0)</f>
        <v/>
      </c>
      <c r="T1564" s="26">
        <f>S1564*G1564</f>
        <v/>
      </c>
      <c r="U1564" s="26">
        <f>R1564-T1564</f>
        <v/>
      </c>
      <c r="V1564" s="26">
        <f>U1564-L1564</f>
        <v/>
      </c>
    </row>
    <row r="1565">
      <c r="A1565" s="11" t="n">
        <v>46219</v>
      </c>
      <c r="B1565" s="1" t="n">
        <v>20069</v>
      </c>
      <c r="C1565" s="1" t="inlineStr">
        <is>
          <t>190</t>
        </is>
      </c>
      <c r="D1565" s="1" t="inlineStr">
        <is>
          <t>299491</t>
        </is>
      </c>
      <c r="E1565" s="1" t="inlineStr">
        <is>
          <t xml:space="preserve">31754679       </t>
        </is>
      </c>
      <c r="F1565" s="5" t="inlineStr">
        <is>
          <t>RELOJ DIGITAL CRY BABIES</t>
        </is>
      </c>
      <c r="G1565" t="n">
        <v>1</v>
      </c>
      <c r="H1565" s="7" t="n">
        <v>18.9</v>
      </c>
      <c r="I1565" s="7" t="n">
        <v>0</v>
      </c>
      <c r="J1565" s="7" t="n">
        <v>0</v>
      </c>
      <c r="K1565" s="9" t="n">
        <v>0</v>
      </c>
      <c r="L1565" s="10" t="n">
        <v>11.21</v>
      </c>
      <c r="M1565" s="10" t="n">
        <v>1.43</v>
      </c>
      <c r="N1565" t="inlineStr">
        <is>
          <t>1</t>
        </is>
      </c>
      <c r="O1565" t="inlineStr">
        <is>
          <t>16</t>
        </is>
      </c>
      <c r="P1565" t="inlineStr">
        <is>
          <t xml:space="preserve">250749  </t>
        </is>
      </c>
      <c r="Q1565" s="26" t="n">
        <v>11.21</v>
      </c>
      <c r="R1565" s="26">
        <f>Q1565*G1565</f>
        <v/>
      </c>
      <c r="S1565" s="26">
        <f>IFERROR(VLOOKUP(E1565*1,Tabla[#All],8,0),0)</f>
        <v/>
      </c>
      <c r="T1565" s="26">
        <f>S1565*G1565</f>
        <v/>
      </c>
      <c r="U1565" s="26">
        <f>R1565-T1565</f>
        <v/>
      </c>
      <c r="V1565" s="26">
        <f>U1565-L1565</f>
        <v/>
      </c>
    </row>
    <row r="1566">
      <c r="A1566" s="11" t="n">
        <v>46219</v>
      </c>
      <c r="B1566" s="1" t="n">
        <v>20073</v>
      </c>
      <c r="C1566" s="1" t="inlineStr">
        <is>
          <t>016</t>
        </is>
      </c>
      <c r="D1566" s="1" t="inlineStr">
        <is>
          <t xml:space="preserve">14577 </t>
        </is>
      </c>
      <c r="E1566" s="1" t="inlineStr">
        <is>
          <t xml:space="preserve">28194768       </t>
        </is>
      </c>
      <c r="F1566" s="5" t="inlineStr">
        <is>
          <t>AUTO COLOR CHANGE TEAMSTERZ SURTIDO</t>
        </is>
      </c>
      <c r="G1566" t="n">
        <v>1</v>
      </c>
      <c r="H1566" s="7" t="n">
        <v>14.9</v>
      </c>
      <c r="I1566" s="7" t="n">
        <v>0</v>
      </c>
      <c r="J1566" s="7" t="n">
        <v>0</v>
      </c>
      <c r="K1566" s="9" t="n">
        <v>0</v>
      </c>
      <c r="L1566" s="10" t="n">
        <v>8.84</v>
      </c>
      <c r="M1566" s="10" t="n">
        <v>1.43</v>
      </c>
      <c r="N1566" t="inlineStr">
        <is>
          <t>1</t>
        </is>
      </c>
      <c r="O1566" t="inlineStr">
        <is>
          <t>16</t>
        </is>
      </c>
      <c r="P1566" t="inlineStr">
        <is>
          <t xml:space="preserve">91372   </t>
        </is>
      </c>
      <c r="Q1566" s="26" t="n">
        <v>8.84</v>
      </c>
      <c r="R1566" s="26">
        <f>Q1566*G1566</f>
        <v/>
      </c>
      <c r="S1566" s="26">
        <f>IFERROR(VLOOKUP(E1566*1,Tabla[#All],8,0),0)</f>
        <v/>
      </c>
      <c r="T1566" s="26">
        <f>S1566*G1566</f>
        <v/>
      </c>
      <c r="U1566" s="26">
        <f>R1566-T1566</f>
        <v/>
      </c>
      <c r="V1566" s="26">
        <f>U1566-L1566</f>
        <v/>
      </c>
    </row>
    <row r="1567">
      <c r="A1567" s="11" t="n">
        <v>46219</v>
      </c>
      <c r="B1567" s="1" t="n">
        <v>20073</v>
      </c>
      <c r="C1567" s="1" t="inlineStr">
        <is>
          <t>023</t>
        </is>
      </c>
      <c r="D1567" s="1" t="inlineStr">
        <is>
          <t xml:space="preserve">96248 </t>
        </is>
      </c>
      <c r="E1567" s="1" t="inlineStr">
        <is>
          <t xml:space="preserve">29235700       </t>
        </is>
      </c>
      <c r="F1567" s="5" t="inlineStr">
        <is>
          <t>HOT WHEELS CASE METALICO PARA GUARDAR 18 CARRITOS</t>
        </is>
      </c>
      <c r="G1567" t="n">
        <v>1</v>
      </c>
      <c r="H1567" s="7" t="n">
        <v>49.9</v>
      </c>
      <c r="I1567" s="7" t="n">
        <v>0</v>
      </c>
      <c r="J1567" s="7" t="n">
        <v>0</v>
      </c>
      <c r="K1567" s="9" t="n">
        <v>0</v>
      </c>
      <c r="L1567" s="10" t="n">
        <v>29.6</v>
      </c>
      <c r="M1567" s="10" t="n">
        <v>1.43</v>
      </c>
      <c r="N1567" t="inlineStr">
        <is>
          <t>1</t>
        </is>
      </c>
      <c r="O1567" t="inlineStr">
        <is>
          <t xml:space="preserve">2 </t>
        </is>
      </c>
      <c r="P1567" t="inlineStr">
        <is>
          <t xml:space="preserve">64168   </t>
        </is>
      </c>
      <c r="Q1567" s="26" t="n">
        <v>29.6</v>
      </c>
      <c r="R1567" s="26">
        <f>Q1567*G1567</f>
        <v/>
      </c>
      <c r="S1567" s="26">
        <f>IFERROR(VLOOKUP(E1567*1,Tabla[#All],8,0),0)</f>
        <v/>
      </c>
      <c r="T1567" s="26">
        <f>S1567*G1567</f>
        <v/>
      </c>
      <c r="U1567" s="26">
        <f>R1567-T1567</f>
        <v/>
      </c>
      <c r="V1567" s="26">
        <f>U1567-L1567</f>
        <v/>
      </c>
    </row>
    <row r="1568">
      <c r="A1568" s="11" t="n">
        <v>46219</v>
      </c>
      <c r="B1568" s="1" t="n">
        <v>20074</v>
      </c>
      <c r="C1568" s="1" t="inlineStr">
        <is>
          <t>015</t>
        </is>
      </c>
      <c r="D1568" s="1" t="inlineStr">
        <is>
          <t>227978</t>
        </is>
      </c>
      <c r="E1568" s="1" t="inlineStr">
        <is>
          <t xml:space="preserve">28194768       </t>
        </is>
      </c>
      <c r="F1568" s="5" t="inlineStr">
        <is>
          <t>AUTO COLOR CHANGE TEAMSTERZ SURTIDO</t>
        </is>
      </c>
      <c r="G1568" t="n">
        <v>1</v>
      </c>
      <c r="H1568" s="7" t="n">
        <v>14.9</v>
      </c>
      <c r="I1568" s="7" t="n">
        <v>0</v>
      </c>
      <c r="J1568" s="7" t="n">
        <v>0</v>
      </c>
      <c r="K1568" s="9" t="n">
        <v>0</v>
      </c>
      <c r="L1568" s="10" t="n">
        <v>8.84</v>
      </c>
      <c r="M1568" s="10" t="n">
        <v>1.43</v>
      </c>
      <c r="N1568" t="inlineStr">
        <is>
          <t>1</t>
        </is>
      </c>
      <c r="O1568" t="inlineStr">
        <is>
          <t>16</t>
        </is>
      </c>
      <c r="P1568" t="inlineStr">
        <is>
          <t xml:space="preserve">248567  </t>
        </is>
      </c>
      <c r="Q1568" s="26" t="n">
        <v>8.84</v>
      </c>
      <c r="R1568" s="26">
        <f>Q1568*G1568</f>
        <v/>
      </c>
      <c r="S1568" s="26">
        <f>IFERROR(VLOOKUP(E1568*1,Tabla[#All],8,0),0)</f>
        <v/>
      </c>
      <c r="T1568" s="26">
        <f>S1568*G1568</f>
        <v/>
      </c>
      <c r="U1568" s="26">
        <f>R1568-T1568</f>
        <v/>
      </c>
      <c r="V1568" s="26">
        <f>U1568-L1568</f>
        <v/>
      </c>
    </row>
    <row r="1569">
      <c r="A1569" s="11" t="n">
        <v>46219</v>
      </c>
      <c r="B1569" s="1" t="n">
        <v>20074</v>
      </c>
      <c r="C1569" s="1" t="inlineStr">
        <is>
          <t>048</t>
        </is>
      </c>
      <c r="D1569" s="1" t="inlineStr">
        <is>
          <t>145244</t>
        </is>
      </c>
      <c r="E1569" s="1" t="inlineStr">
        <is>
          <t xml:space="preserve">34840551       </t>
        </is>
      </c>
      <c r="F1569" s="5" t="inlineStr">
        <is>
          <t>TMZ HELI BOMBERO CON LUCES Y SONIDOS</t>
        </is>
      </c>
      <c r="G1569" t="n">
        <v>1</v>
      </c>
      <c r="H1569" s="7" t="n">
        <v>79.90000000000001</v>
      </c>
      <c r="I1569" s="7" t="n">
        <v>0</v>
      </c>
      <c r="J1569" s="7" t="n">
        <v>0</v>
      </c>
      <c r="K1569" s="9" t="n">
        <v>0</v>
      </c>
      <c r="L1569" s="10" t="n">
        <v>47.4</v>
      </c>
      <c r="M1569" s="10" t="n">
        <v>1.43</v>
      </c>
      <c r="N1569" t="inlineStr">
        <is>
          <t>1</t>
        </is>
      </c>
      <c r="O1569" t="inlineStr">
        <is>
          <t>16</t>
        </is>
      </c>
      <c r="P1569" t="inlineStr">
        <is>
          <t xml:space="preserve">251008  </t>
        </is>
      </c>
      <c r="Q1569" s="26" t="n">
        <v>47.4</v>
      </c>
      <c r="R1569" s="26">
        <f>Q1569*G1569</f>
        <v/>
      </c>
      <c r="S1569" s="26">
        <f>IFERROR(VLOOKUP(E1569*1,Tabla[#All],8,0),0)</f>
        <v/>
      </c>
      <c r="T1569" s="26">
        <f>S1569*G1569</f>
        <v/>
      </c>
      <c r="U1569" s="26">
        <f>R1569-T1569</f>
        <v/>
      </c>
      <c r="V1569" s="26">
        <f>U1569-L1569</f>
        <v/>
      </c>
    </row>
    <row r="1570">
      <c r="A1570" s="11" t="n">
        <v>46219</v>
      </c>
      <c r="B1570" s="1" t="n">
        <v>20077</v>
      </c>
      <c r="C1570" s="1" t="inlineStr">
        <is>
          <t>016</t>
        </is>
      </c>
      <c r="D1570" s="1" t="inlineStr">
        <is>
          <t>122130</t>
        </is>
      </c>
      <c r="E1570" s="1" t="inlineStr">
        <is>
          <t xml:space="preserve">30141766       </t>
        </is>
      </c>
      <c r="F1570" s="5" t="inlineStr">
        <is>
          <t>TMZ BEAST MACHINES AUTOS DE METAL BLISTER X 1</t>
        </is>
      </c>
      <c r="G1570" t="n">
        <v>1</v>
      </c>
      <c r="H1570" s="7" t="n">
        <v>7.9</v>
      </c>
      <c r="I1570" s="7" t="n">
        <v>0.79</v>
      </c>
      <c r="J1570" s="7" t="n">
        <v>0</v>
      </c>
      <c r="K1570" s="9" t="n">
        <v>0.79</v>
      </c>
      <c r="L1570" s="10" t="n">
        <v>4.22</v>
      </c>
      <c r="M1570" s="10" t="n">
        <v>1.43</v>
      </c>
      <c r="N1570" t="inlineStr">
        <is>
          <t>1</t>
        </is>
      </c>
      <c r="O1570" t="inlineStr">
        <is>
          <t xml:space="preserve">3 </t>
        </is>
      </c>
      <c r="P1570" t="inlineStr">
        <is>
          <t xml:space="preserve">62766   </t>
        </is>
      </c>
      <c r="Q1570" s="26" t="n">
        <v>4.69</v>
      </c>
      <c r="R1570" s="26">
        <f>Q1570*G1570</f>
        <v/>
      </c>
      <c r="S1570" s="26">
        <f>IFERROR(VLOOKUP(E1570*1,Tabla[#All],8,0),0)</f>
        <v/>
      </c>
      <c r="T1570" s="26">
        <f>S1570*G1570</f>
        <v/>
      </c>
      <c r="U1570" s="26">
        <f>R1570-T1570</f>
        <v/>
      </c>
      <c r="V1570" s="26">
        <f>U1570-L1570</f>
        <v/>
      </c>
    </row>
    <row r="1571">
      <c r="A1571" s="11" t="n">
        <v>46219</v>
      </c>
      <c r="B1571" s="1" t="n">
        <v>20077</v>
      </c>
      <c r="C1571" s="1" t="inlineStr">
        <is>
          <t>029</t>
        </is>
      </c>
      <c r="D1571" s="1" t="inlineStr">
        <is>
          <t>156238</t>
        </is>
      </c>
      <c r="E1571" s="1" t="inlineStr">
        <is>
          <t xml:space="preserve">28194770       </t>
        </is>
      </c>
      <c r="F1571" s="5" t="inlineStr">
        <is>
          <t>AUTOS DE METAL 3 TEAMSTERZ EN BLISTER</t>
        </is>
      </c>
      <c r="G1571" t="n">
        <v>1</v>
      </c>
      <c r="H1571" s="7" t="n">
        <v>6.9</v>
      </c>
      <c r="I1571" s="7" t="n">
        <v>0.6899999999999999</v>
      </c>
      <c r="J1571" s="7" t="n">
        <v>0</v>
      </c>
      <c r="K1571" s="9" t="n">
        <v>0.6899999999999999</v>
      </c>
      <c r="L1571" s="10" t="n">
        <v>3.68</v>
      </c>
      <c r="M1571" s="10" t="n">
        <v>1.43</v>
      </c>
      <c r="N1571" t="inlineStr">
        <is>
          <t>1</t>
        </is>
      </c>
      <c r="O1571" t="inlineStr">
        <is>
          <t xml:space="preserve">3 </t>
        </is>
      </c>
      <c r="P1571" t="inlineStr">
        <is>
          <t xml:space="preserve">238517  </t>
        </is>
      </c>
      <c r="Q1571" s="26" t="n">
        <v>4.09</v>
      </c>
      <c r="R1571" s="26">
        <f>Q1571*G1571</f>
        <v/>
      </c>
      <c r="S1571" s="26">
        <f>IFERROR(VLOOKUP(E1571*1,Tabla[#All],8,0),0)</f>
        <v/>
      </c>
      <c r="T1571" s="26">
        <f>S1571*G1571</f>
        <v/>
      </c>
      <c r="U1571" s="26">
        <f>R1571-T1571</f>
        <v/>
      </c>
      <c r="V1571" s="26">
        <f>U1571-L1571</f>
        <v/>
      </c>
    </row>
    <row r="1572">
      <c r="A1572" s="11" t="n">
        <v>46219</v>
      </c>
      <c r="B1572" s="1" t="n">
        <v>20077</v>
      </c>
      <c r="C1572" s="1" t="inlineStr">
        <is>
          <t>029</t>
        </is>
      </c>
      <c r="D1572" s="1" t="inlineStr">
        <is>
          <t>156238</t>
        </is>
      </c>
      <c r="E1572" s="1" t="inlineStr">
        <is>
          <t xml:space="preserve">28194770       </t>
        </is>
      </c>
      <c r="F1572" s="5" t="inlineStr">
        <is>
          <t>AUTOS DE METAL 3 TEAMSTERZ EN BLISTER</t>
        </is>
      </c>
      <c r="G1572" t="n">
        <v>1</v>
      </c>
      <c r="H1572" s="7" t="n">
        <v>6.9</v>
      </c>
      <c r="I1572" s="7" t="n">
        <v>0.6899999999999999</v>
      </c>
      <c r="J1572" s="7" t="n">
        <v>0</v>
      </c>
      <c r="K1572" s="9" t="n">
        <v>0.6899999999999999</v>
      </c>
      <c r="L1572" s="10" t="n">
        <v>3.68</v>
      </c>
      <c r="M1572" s="10" t="n">
        <v>1.43</v>
      </c>
      <c r="N1572" t="inlineStr">
        <is>
          <t>1</t>
        </is>
      </c>
      <c r="O1572" t="inlineStr">
        <is>
          <t xml:space="preserve">3 </t>
        </is>
      </c>
      <c r="P1572" t="inlineStr">
        <is>
          <t xml:space="preserve">238517  </t>
        </is>
      </c>
      <c r="Q1572" s="26" t="n">
        <v>4.09</v>
      </c>
      <c r="R1572" s="26">
        <f>Q1572*G1572</f>
        <v/>
      </c>
      <c r="S1572" s="26">
        <f>IFERROR(VLOOKUP(E1572*1,Tabla[#All],8,0),0)</f>
        <v/>
      </c>
      <c r="T1572" s="26">
        <f>S1572*G1572</f>
        <v/>
      </c>
      <c r="U1572" s="26">
        <f>R1572-T1572</f>
        <v/>
      </c>
      <c r="V1572" s="26">
        <f>U1572-L1572</f>
        <v/>
      </c>
    </row>
    <row r="1573">
      <c r="A1573" s="11" t="n">
        <v>46219</v>
      </c>
      <c r="B1573" s="1" t="n">
        <v>20077</v>
      </c>
      <c r="C1573" s="1" t="inlineStr">
        <is>
          <t>029</t>
        </is>
      </c>
      <c r="D1573" s="1" t="inlineStr">
        <is>
          <t>156278</t>
        </is>
      </c>
      <c r="E1573" s="1" t="inlineStr">
        <is>
          <t xml:space="preserve">34840554       </t>
        </is>
      </c>
      <c r="F1573" s="5" t="inlineStr">
        <is>
          <t>TMZ AUTO LUZ Y SONIDO ESQUELET DINO TRICE</t>
        </is>
      </c>
      <c r="G1573" t="n">
        <v>1</v>
      </c>
      <c r="H1573" s="7" t="n">
        <v>79.90000000000001</v>
      </c>
      <c r="I1573" s="7" t="n">
        <v>0</v>
      </c>
      <c r="J1573" s="7" t="n">
        <v>0</v>
      </c>
      <c r="K1573" s="9" t="n">
        <v>0</v>
      </c>
      <c r="L1573" s="10" t="n">
        <v>47.4</v>
      </c>
      <c r="M1573" s="10" t="n">
        <v>1.43</v>
      </c>
      <c r="N1573" t="inlineStr">
        <is>
          <t>1</t>
        </is>
      </c>
      <c r="O1573" t="inlineStr">
        <is>
          <t>16</t>
        </is>
      </c>
      <c r="P1573" t="inlineStr">
        <is>
          <t xml:space="preserve">238517  </t>
        </is>
      </c>
      <c r="Q1573" s="26" t="n">
        <v>47.4</v>
      </c>
      <c r="R1573" s="26">
        <f>Q1573*G1573</f>
        <v/>
      </c>
      <c r="S1573" s="26">
        <f>IFERROR(VLOOKUP(E1573*1,Tabla[#All],8,0),0)</f>
        <v/>
      </c>
      <c r="T1573" s="26">
        <f>S1573*G1573</f>
        <v/>
      </c>
      <c r="U1573" s="26">
        <f>R1573-T1573</f>
        <v/>
      </c>
      <c r="V1573" s="26">
        <f>U1573-L1573</f>
        <v/>
      </c>
    </row>
    <row r="1574">
      <c r="A1574" s="11" t="n">
        <v>46219</v>
      </c>
      <c r="B1574" s="1" t="n">
        <v>20077</v>
      </c>
      <c r="C1574" s="1" t="inlineStr">
        <is>
          <t>029</t>
        </is>
      </c>
      <c r="D1574" s="1" t="inlineStr">
        <is>
          <t>156284</t>
        </is>
      </c>
      <c r="E1574" s="1" t="inlineStr">
        <is>
          <t xml:space="preserve">28194770       </t>
        </is>
      </c>
      <c r="F1574" s="5" t="inlineStr">
        <is>
          <t>AUTOS DE METAL 3 TEAMSTERZ EN BLISTER</t>
        </is>
      </c>
      <c r="G1574" t="n">
        <v>1</v>
      </c>
      <c r="H1574" s="7" t="n">
        <v>6.9</v>
      </c>
      <c r="I1574" s="7" t="n">
        <v>0</v>
      </c>
      <c r="J1574" s="7" t="n">
        <v>0</v>
      </c>
      <c r="K1574" s="9" t="n">
        <v>0</v>
      </c>
      <c r="L1574" s="10" t="n">
        <v>4.1</v>
      </c>
      <c r="M1574" s="10" t="n">
        <v>1.43</v>
      </c>
      <c r="N1574" t="inlineStr">
        <is>
          <t>1</t>
        </is>
      </c>
      <c r="O1574" t="inlineStr">
        <is>
          <t>16</t>
        </is>
      </c>
      <c r="P1574" t="inlineStr">
        <is>
          <t xml:space="preserve">238517  </t>
        </is>
      </c>
      <c r="Q1574" s="26" t="n">
        <v>4.09</v>
      </c>
      <c r="R1574" s="26">
        <f>Q1574*G1574</f>
        <v/>
      </c>
      <c r="S1574" s="26">
        <f>IFERROR(VLOOKUP(E1574*1,Tabla[#All],8,0),0)</f>
        <v/>
      </c>
      <c r="T1574" s="26">
        <f>S1574*G1574</f>
        <v/>
      </c>
      <c r="U1574" s="26">
        <f>R1574-T1574</f>
        <v/>
      </c>
      <c r="V1574" s="26">
        <f>U1574-L1574</f>
        <v/>
      </c>
    </row>
    <row r="1575">
      <c r="A1575" s="11" t="n">
        <v>46219</v>
      </c>
      <c r="B1575" s="1" t="n">
        <v>20077</v>
      </c>
      <c r="C1575" s="1" t="inlineStr">
        <is>
          <t>029</t>
        </is>
      </c>
      <c r="D1575" s="1" t="inlineStr">
        <is>
          <t xml:space="preserve">2246  </t>
        </is>
      </c>
      <c r="E1575" s="1" t="inlineStr">
        <is>
          <t xml:space="preserve">28194770       </t>
        </is>
      </c>
      <c r="F1575" s="5" t="inlineStr">
        <is>
          <t>AUTOS DE METAL 3 TEAMSTERZ EN BLISTER</t>
        </is>
      </c>
      <c r="G1575" t="n">
        <v>1</v>
      </c>
      <c r="H1575" s="7" t="n">
        <v>6.9</v>
      </c>
      <c r="I1575" s="7" t="n">
        <v>0.6899999999999999</v>
      </c>
      <c r="J1575" s="7" t="n">
        <v>0</v>
      </c>
      <c r="K1575" s="9" t="n">
        <v>0.6899999999999999</v>
      </c>
      <c r="L1575" s="10" t="n">
        <v>3.68</v>
      </c>
      <c r="M1575" s="10" t="n">
        <v>1.43</v>
      </c>
      <c r="N1575" t="inlineStr">
        <is>
          <t>1</t>
        </is>
      </c>
      <c r="O1575" t="inlineStr">
        <is>
          <t xml:space="preserve">3 </t>
        </is>
      </c>
      <c r="P1575" t="inlineStr">
        <is>
          <t xml:space="preserve">238517  </t>
        </is>
      </c>
      <c r="Q1575" s="26" t="n">
        <v>4.09</v>
      </c>
      <c r="R1575" s="26">
        <f>Q1575*G1575</f>
        <v/>
      </c>
      <c r="S1575" s="26">
        <f>IFERROR(VLOOKUP(E1575*1,Tabla[#All],8,0),0)</f>
        <v/>
      </c>
      <c r="T1575" s="26">
        <f>S1575*G1575</f>
        <v/>
      </c>
      <c r="U1575" s="26">
        <f>R1575-T1575</f>
        <v/>
      </c>
      <c r="V1575" s="26">
        <f>U1575-L1575</f>
        <v/>
      </c>
    </row>
    <row r="1576">
      <c r="A1576" s="11" t="n">
        <v>46219</v>
      </c>
      <c r="B1576" s="1" t="n">
        <v>20077</v>
      </c>
      <c r="C1576" s="1" t="inlineStr">
        <is>
          <t>030</t>
        </is>
      </c>
      <c r="D1576" s="1" t="inlineStr">
        <is>
          <t xml:space="preserve">40748 </t>
        </is>
      </c>
      <c r="E1576" s="1" t="inlineStr">
        <is>
          <t xml:space="preserve">28194768       </t>
        </is>
      </c>
      <c r="F1576" s="5" t="inlineStr">
        <is>
          <t>AUTO COLOR CHANGE TEAMSTERZ SURTIDO</t>
        </is>
      </c>
      <c r="G1576" t="n">
        <v>1</v>
      </c>
      <c r="H1576" s="7" t="n">
        <v>14.9</v>
      </c>
      <c r="I1576" s="7" t="n">
        <v>1.49</v>
      </c>
      <c r="J1576" s="7" t="n">
        <v>0</v>
      </c>
      <c r="K1576" s="9" t="n">
        <v>1.49</v>
      </c>
      <c r="L1576" s="10" t="n">
        <v>7.95</v>
      </c>
      <c r="M1576" s="10" t="n">
        <v>1.43</v>
      </c>
      <c r="N1576" t="inlineStr">
        <is>
          <t>1</t>
        </is>
      </c>
      <c r="O1576" t="inlineStr">
        <is>
          <t xml:space="preserve">3 </t>
        </is>
      </c>
      <c r="P1576" t="inlineStr">
        <is>
          <t xml:space="preserve">48922   </t>
        </is>
      </c>
      <c r="Q1576" s="26" t="n">
        <v>8.84</v>
      </c>
      <c r="R1576" s="26">
        <f>Q1576*G1576</f>
        <v/>
      </c>
      <c r="S1576" s="26">
        <f>IFERROR(VLOOKUP(E1576*1,Tabla[#All],8,0),0)</f>
        <v/>
      </c>
      <c r="T1576" s="26">
        <f>S1576*G1576</f>
        <v/>
      </c>
      <c r="U1576" s="26">
        <f>R1576-T1576</f>
        <v/>
      </c>
      <c r="V1576" s="26">
        <f>U1576-L1576</f>
        <v/>
      </c>
    </row>
    <row r="1577">
      <c r="A1577" s="11" t="n">
        <v>46219</v>
      </c>
      <c r="B1577" s="1" t="n">
        <v>20077</v>
      </c>
      <c r="C1577" s="1" t="inlineStr">
        <is>
          <t>030</t>
        </is>
      </c>
      <c r="D1577" s="1" t="inlineStr">
        <is>
          <t xml:space="preserve">40748 </t>
        </is>
      </c>
      <c r="E1577" s="1" t="inlineStr">
        <is>
          <t xml:space="preserve">28194770       </t>
        </is>
      </c>
      <c r="F1577" s="5" t="inlineStr">
        <is>
          <t>AUTOS DE METAL 3 TEAMSTERZ EN BLISTER</t>
        </is>
      </c>
      <c r="G1577" t="n">
        <v>1</v>
      </c>
      <c r="H1577" s="7" t="n">
        <v>6.9</v>
      </c>
      <c r="I1577" s="7" t="n">
        <v>0.6899999999999999</v>
      </c>
      <c r="J1577" s="7" t="n">
        <v>0</v>
      </c>
      <c r="K1577" s="9" t="n">
        <v>0.6899999999999999</v>
      </c>
      <c r="L1577" s="10" t="n">
        <v>3.68</v>
      </c>
      <c r="M1577" s="10" t="n">
        <v>1.43</v>
      </c>
      <c r="N1577" t="inlineStr">
        <is>
          <t>1</t>
        </is>
      </c>
      <c r="O1577" t="inlineStr">
        <is>
          <t xml:space="preserve">3 </t>
        </is>
      </c>
      <c r="P1577" t="inlineStr">
        <is>
          <t xml:space="preserve">48922   </t>
        </is>
      </c>
      <c r="Q1577" s="26" t="n">
        <v>4.09</v>
      </c>
      <c r="R1577" s="26">
        <f>Q1577*G1577</f>
        <v/>
      </c>
      <c r="S1577" s="26">
        <f>IFERROR(VLOOKUP(E1577*1,Tabla[#All],8,0),0)</f>
        <v/>
      </c>
      <c r="T1577" s="26">
        <f>S1577*G1577</f>
        <v/>
      </c>
      <c r="U1577" s="26">
        <f>R1577-T1577</f>
        <v/>
      </c>
      <c r="V1577" s="26">
        <f>U1577-L1577</f>
        <v/>
      </c>
    </row>
    <row r="1578">
      <c r="A1578" s="11" t="n">
        <v>46219</v>
      </c>
      <c r="B1578" s="1" t="n">
        <v>20077</v>
      </c>
      <c r="C1578" s="1" t="inlineStr">
        <is>
          <t>030</t>
        </is>
      </c>
      <c r="D1578" s="1" t="inlineStr">
        <is>
          <t xml:space="preserve">40748 </t>
        </is>
      </c>
      <c r="E1578" s="1" t="inlineStr">
        <is>
          <t xml:space="preserve">28194770       </t>
        </is>
      </c>
      <c r="F1578" s="5" t="inlineStr">
        <is>
          <t>AUTOS DE METAL 3 TEAMSTERZ EN BLISTER</t>
        </is>
      </c>
      <c r="G1578" t="n">
        <v>1</v>
      </c>
      <c r="H1578" s="7" t="n">
        <v>6.9</v>
      </c>
      <c r="I1578" s="7" t="n">
        <v>0.6899999999999999</v>
      </c>
      <c r="J1578" s="7" t="n">
        <v>0</v>
      </c>
      <c r="K1578" s="9" t="n">
        <v>0.6899999999999999</v>
      </c>
      <c r="L1578" s="10" t="n">
        <v>3.68</v>
      </c>
      <c r="M1578" s="10" t="n">
        <v>1.43</v>
      </c>
      <c r="N1578" t="inlineStr">
        <is>
          <t>1</t>
        </is>
      </c>
      <c r="O1578" t="inlineStr">
        <is>
          <t xml:space="preserve">3 </t>
        </is>
      </c>
      <c r="P1578" t="inlineStr">
        <is>
          <t xml:space="preserve">48922   </t>
        </is>
      </c>
      <c r="Q1578" s="26" t="n">
        <v>4.09</v>
      </c>
      <c r="R1578" s="26">
        <f>Q1578*G1578</f>
        <v/>
      </c>
      <c r="S1578" s="26">
        <f>IFERROR(VLOOKUP(E1578*1,Tabla[#All],8,0),0)</f>
        <v/>
      </c>
      <c r="T1578" s="26">
        <f>S1578*G1578</f>
        <v/>
      </c>
      <c r="U1578" s="26">
        <f>R1578-T1578</f>
        <v/>
      </c>
      <c r="V1578" s="26">
        <f>U1578-L1578</f>
        <v/>
      </c>
    </row>
    <row r="1579">
      <c r="A1579" s="11" t="n">
        <v>46219</v>
      </c>
      <c r="B1579" s="1" t="n">
        <v>20077</v>
      </c>
      <c r="C1579" s="1" t="inlineStr">
        <is>
          <t>038</t>
        </is>
      </c>
      <c r="D1579" s="1" t="inlineStr">
        <is>
          <t>111440</t>
        </is>
      </c>
      <c r="E1579" s="1" t="inlineStr">
        <is>
          <t xml:space="preserve">28194770       </t>
        </is>
      </c>
      <c r="F1579" s="5" t="inlineStr">
        <is>
          <t>AUTOS DE METAL 3 TEAMSTERZ EN BLISTER</t>
        </is>
      </c>
      <c r="G1579" t="n">
        <v>1</v>
      </c>
      <c r="H1579" s="7" t="n">
        <v>6.9</v>
      </c>
      <c r="I1579" s="7" t="n">
        <v>0</v>
      </c>
      <c r="J1579" s="7" t="n">
        <v>0</v>
      </c>
      <c r="K1579" s="9" t="n">
        <v>0</v>
      </c>
      <c r="L1579" s="10" t="n">
        <v>4.1</v>
      </c>
      <c r="M1579" s="10" t="n">
        <v>1.43</v>
      </c>
      <c r="N1579" t="inlineStr">
        <is>
          <t>1</t>
        </is>
      </c>
      <c r="O1579" t="inlineStr">
        <is>
          <t xml:space="preserve">2 </t>
        </is>
      </c>
      <c r="P1579" t="inlineStr">
        <is>
          <t xml:space="preserve">43583   </t>
        </is>
      </c>
      <c r="Q1579" s="26" t="n">
        <v>4.09</v>
      </c>
      <c r="R1579" s="26">
        <f>Q1579*G1579</f>
        <v/>
      </c>
      <c r="S1579" s="26">
        <f>IFERROR(VLOOKUP(E1579*1,Tabla[#All],8,0),0)</f>
        <v/>
      </c>
      <c r="T1579" s="26">
        <f>S1579*G1579</f>
        <v/>
      </c>
      <c r="U1579" s="26">
        <f>R1579-T1579</f>
        <v/>
      </c>
      <c r="V1579" s="26">
        <f>U1579-L1579</f>
        <v/>
      </c>
    </row>
    <row r="1580">
      <c r="A1580" s="11" t="n">
        <v>46219</v>
      </c>
      <c r="B1580" s="1" t="n">
        <v>20077</v>
      </c>
      <c r="C1580" s="1" t="inlineStr">
        <is>
          <t>039</t>
        </is>
      </c>
      <c r="D1580" s="1" t="inlineStr">
        <is>
          <t>279312</t>
        </is>
      </c>
      <c r="E1580" s="1" t="inlineStr">
        <is>
          <t xml:space="preserve">31959961       </t>
        </is>
      </c>
      <c r="F1580" s="5" t="inlineStr">
        <is>
          <t>TEAMSTERZ CAMBIA DE COLOR PACK DE 3 AUTOS</t>
        </is>
      </c>
      <c r="G1580" t="n">
        <v>1</v>
      </c>
      <c r="H1580" s="7" t="n">
        <v>49.9</v>
      </c>
      <c r="I1580" s="7" t="n">
        <v>0</v>
      </c>
      <c r="J1580" s="7" t="n">
        <v>0</v>
      </c>
      <c r="K1580" s="9" t="n">
        <v>0</v>
      </c>
      <c r="L1580" s="10" t="n">
        <v>29.6</v>
      </c>
      <c r="M1580" s="10" t="n">
        <v>1.43</v>
      </c>
      <c r="N1580" t="inlineStr">
        <is>
          <t>1</t>
        </is>
      </c>
      <c r="O1580" t="inlineStr">
        <is>
          <t>16</t>
        </is>
      </c>
      <c r="P1580" t="inlineStr">
        <is>
          <t xml:space="preserve">63117   </t>
        </is>
      </c>
      <c r="Q1580" s="26" t="n">
        <v>29.6</v>
      </c>
      <c r="R1580" s="26">
        <f>Q1580*G1580</f>
        <v/>
      </c>
      <c r="S1580" s="26">
        <f>IFERROR(VLOOKUP(E1580*1,Tabla[#All],8,0),0)</f>
        <v/>
      </c>
      <c r="T1580" s="26">
        <f>S1580*G1580</f>
        <v/>
      </c>
      <c r="U1580" s="26">
        <f>R1580-T1580</f>
        <v/>
      </c>
      <c r="V1580" s="26">
        <f>U1580-L1580</f>
        <v/>
      </c>
    </row>
    <row r="1581">
      <c r="A1581" s="11" t="n">
        <v>46219</v>
      </c>
      <c r="B1581" s="1" t="n">
        <v>20077</v>
      </c>
      <c r="C1581" s="1" t="inlineStr">
        <is>
          <t>039</t>
        </is>
      </c>
      <c r="D1581" s="1" t="inlineStr">
        <is>
          <t>279312</t>
        </is>
      </c>
      <c r="E1581" s="1" t="inlineStr">
        <is>
          <t xml:space="preserve">31959961       </t>
        </is>
      </c>
      <c r="F1581" s="5" t="inlineStr">
        <is>
          <t>TEAMSTERZ CAMBIA DE COLOR PACK DE 3 AUTOS</t>
        </is>
      </c>
      <c r="G1581" t="n">
        <v>1</v>
      </c>
      <c r="H1581" s="7" t="n">
        <v>49.9</v>
      </c>
      <c r="I1581" s="7" t="n">
        <v>0</v>
      </c>
      <c r="J1581" s="7" t="n">
        <v>0</v>
      </c>
      <c r="K1581" s="9" t="n">
        <v>0</v>
      </c>
      <c r="L1581" s="10" t="n">
        <v>29.6</v>
      </c>
      <c r="M1581" s="10" t="n">
        <v>1.43</v>
      </c>
      <c r="N1581" t="inlineStr">
        <is>
          <t>1</t>
        </is>
      </c>
      <c r="O1581" t="inlineStr">
        <is>
          <t>16</t>
        </is>
      </c>
      <c r="P1581" t="inlineStr">
        <is>
          <t xml:space="preserve">63117   </t>
        </is>
      </c>
      <c r="Q1581" s="26" t="n">
        <v>29.6</v>
      </c>
      <c r="R1581" s="26">
        <f>Q1581*G1581</f>
        <v/>
      </c>
      <c r="S1581" s="26">
        <f>IFERROR(VLOOKUP(E1581*1,Tabla[#All],8,0),0)</f>
        <v/>
      </c>
      <c r="T1581" s="26">
        <f>S1581*G1581</f>
        <v/>
      </c>
      <c r="U1581" s="26">
        <f>R1581-T1581</f>
        <v/>
      </c>
      <c r="V1581" s="26">
        <f>U1581-L1581</f>
        <v/>
      </c>
    </row>
    <row r="1582">
      <c r="A1582" s="11" t="n">
        <v>46219</v>
      </c>
      <c r="B1582" s="1" t="n">
        <v>20080</v>
      </c>
      <c r="C1582" s="1" t="inlineStr">
        <is>
          <t>029</t>
        </is>
      </c>
      <c r="D1582" s="1" t="inlineStr">
        <is>
          <t>225633</t>
        </is>
      </c>
      <c r="E1582" s="1" t="inlineStr">
        <is>
          <t xml:space="preserve">33483119       </t>
        </is>
      </c>
      <c r="F1582" s="5" t="inlineStr">
        <is>
          <t>MUNECA EVI LOVE TRAJE TIPICO CON ALPACA</t>
        </is>
      </c>
      <c r="G1582" t="n">
        <v>1</v>
      </c>
      <c r="H1582" s="7" t="n">
        <v>29.9</v>
      </c>
      <c r="I1582" s="7" t="n">
        <v>0</v>
      </c>
      <c r="J1582" s="7" t="n">
        <v>0</v>
      </c>
      <c r="K1582" s="9" t="n">
        <v>0</v>
      </c>
      <c r="L1582" s="10" t="n">
        <v>17.74</v>
      </c>
      <c r="M1582" s="10" t="n">
        <v>1.43</v>
      </c>
      <c r="N1582" t="inlineStr">
        <is>
          <t>1</t>
        </is>
      </c>
      <c r="O1582" t="inlineStr">
        <is>
          <t>16</t>
        </is>
      </c>
      <c r="P1582" t="inlineStr">
        <is>
          <t xml:space="preserve">79951   </t>
        </is>
      </c>
      <c r="Q1582" s="26" t="n">
        <v>17.74</v>
      </c>
      <c r="R1582" s="26">
        <f>Q1582*G1582</f>
        <v/>
      </c>
      <c r="S1582" s="26">
        <f>IFERROR(VLOOKUP(E1582*1,Tabla[#All],8,0),0)</f>
        <v/>
      </c>
      <c r="T1582" s="26">
        <f>S1582*G1582</f>
        <v/>
      </c>
      <c r="U1582" s="26">
        <f>R1582-T1582</f>
        <v/>
      </c>
      <c r="V1582" s="26">
        <f>U1582-L1582</f>
        <v/>
      </c>
    </row>
    <row r="1583">
      <c r="A1583" s="11" t="n">
        <v>46219</v>
      </c>
      <c r="B1583" s="1" t="n">
        <v>20086</v>
      </c>
      <c r="C1583" s="1" t="inlineStr">
        <is>
          <t>191</t>
        </is>
      </c>
      <c r="D1583" s="1" t="inlineStr">
        <is>
          <t>291892</t>
        </is>
      </c>
      <c r="E1583" s="1" t="inlineStr">
        <is>
          <t xml:space="preserve">28194769       </t>
        </is>
      </c>
      <c r="F1583" s="5" t="inlineStr">
        <is>
          <t>AUTOS DE METAL 3 TEAMSTERZ PACK DE 2</t>
        </is>
      </c>
      <c r="G1583" t="n">
        <v>1</v>
      </c>
      <c r="H1583" s="7" t="n">
        <v>13.8</v>
      </c>
      <c r="I1583" s="7" t="n">
        <v>0</v>
      </c>
      <c r="J1583" s="7" t="n">
        <v>0</v>
      </c>
      <c r="K1583" s="9" t="n">
        <v>0</v>
      </c>
      <c r="L1583" s="10" t="n">
        <v>8.18</v>
      </c>
      <c r="M1583" s="10" t="n">
        <v>1.43</v>
      </c>
      <c r="N1583" t="inlineStr">
        <is>
          <t>1</t>
        </is>
      </c>
      <c r="O1583" t="inlineStr">
        <is>
          <t xml:space="preserve">2 </t>
        </is>
      </c>
      <c r="P1583" t="inlineStr">
        <is>
          <t xml:space="preserve">74931   </t>
        </is>
      </c>
      <c r="Q1583" s="26" t="n">
        <v>8.19</v>
      </c>
      <c r="R1583" s="26">
        <f>Q1583*G1583</f>
        <v/>
      </c>
      <c r="S1583" s="26">
        <f>IFERROR(VLOOKUP(E1583*1,Tabla[#All],8,0),0)</f>
        <v/>
      </c>
      <c r="T1583" s="26">
        <f>S1583*G1583</f>
        <v/>
      </c>
      <c r="U1583" s="26">
        <f>R1583-T1583</f>
        <v/>
      </c>
      <c r="V1583" s="26">
        <f>U1583-L1583</f>
        <v/>
      </c>
    </row>
    <row r="1584">
      <c r="A1584" s="11" t="n">
        <v>46219</v>
      </c>
      <c r="B1584" s="1" t="n">
        <v>20086</v>
      </c>
      <c r="C1584" s="1" t="inlineStr">
        <is>
          <t>191</t>
        </is>
      </c>
      <c r="D1584" s="1" t="inlineStr">
        <is>
          <t>291908</t>
        </is>
      </c>
      <c r="E1584" s="1" t="inlineStr">
        <is>
          <t xml:space="preserve">28194769       </t>
        </is>
      </c>
      <c r="F1584" s="5" t="inlineStr">
        <is>
          <t>AUTOS DE METAL 3 TEAMSTERZ PACK DE 2</t>
        </is>
      </c>
      <c r="G1584" t="n">
        <v>1</v>
      </c>
      <c r="H1584" s="7" t="n">
        <v>13.8</v>
      </c>
      <c r="I1584" s="7" t="n">
        <v>0</v>
      </c>
      <c r="J1584" s="7" t="n">
        <v>0</v>
      </c>
      <c r="K1584" s="9" t="n">
        <v>0</v>
      </c>
      <c r="L1584" s="10" t="n">
        <v>8.18</v>
      </c>
      <c r="M1584" s="10" t="n">
        <v>1.43</v>
      </c>
      <c r="N1584" t="inlineStr">
        <is>
          <t>1</t>
        </is>
      </c>
      <c r="O1584" t="inlineStr">
        <is>
          <t>16</t>
        </is>
      </c>
      <c r="P1584" t="inlineStr">
        <is>
          <t xml:space="preserve">74931   </t>
        </is>
      </c>
      <c r="Q1584" s="26" t="n">
        <v>8.19</v>
      </c>
      <c r="R1584" s="26">
        <f>Q1584*G1584</f>
        <v/>
      </c>
      <c r="S1584" s="26">
        <f>IFERROR(VLOOKUP(E1584*1,Tabla[#All],8,0),0)</f>
        <v/>
      </c>
      <c r="T1584" s="26">
        <f>S1584*G1584</f>
        <v/>
      </c>
      <c r="U1584" s="26">
        <f>R1584-T1584</f>
        <v/>
      </c>
      <c r="V1584" s="26">
        <f>U1584-L1584</f>
        <v/>
      </c>
    </row>
    <row r="1585">
      <c r="A1585" s="11" t="n">
        <v>46219</v>
      </c>
      <c r="B1585" s="1" t="n">
        <v>20086</v>
      </c>
      <c r="C1585" s="1" t="inlineStr">
        <is>
          <t>192</t>
        </is>
      </c>
      <c r="D1585" s="1" t="inlineStr">
        <is>
          <t>129109</t>
        </is>
      </c>
      <c r="E1585" s="1" t="inlineStr">
        <is>
          <t xml:space="preserve">28194769       </t>
        </is>
      </c>
      <c r="F1585" s="5" t="inlineStr">
        <is>
          <t>AUTOS DE METAL 3 TEAMSTERZ PACK DE 2</t>
        </is>
      </c>
      <c r="G1585" t="n">
        <v>1</v>
      </c>
      <c r="H1585" s="7" t="n">
        <v>13.8</v>
      </c>
      <c r="I1585" s="7" t="n">
        <v>0</v>
      </c>
      <c r="J1585" s="7" t="n">
        <v>0</v>
      </c>
      <c r="K1585" s="9" t="n">
        <v>0</v>
      </c>
      <c r="L1585" s="10" t="n">
        <v>8.18</v>
      </c>
      <c r="M1585" s="10" t="n">
        <v>1.43</v>
      </c>
      <c r="N1585" t="inlineStr">
        <is>
          <t>1</t>
        </is>
      </c>
      <c r="O1585" t="inlineStr">
        <is>
          <t xml:space="preserve">2 </t>
        </is>
      </c>
      <c r="P1585" t="inlineStr">
        <is>
          <t xml:space="preserve">231297  </t>
        </is>
      </c>
      <c r="Q1585" s="26" t="n">
        <v>8.19</v>
      </c>
      <c r="R1585" s="26">
        <f>Q1585*G1585</f>
        <v/>
      </c>
      <c r="S1585" s="26">
        <f>IFERROR(VLOOKUP(E1585*1,Tabla[#All],8,0),0)</f>
        <v/>
      </c>
      <c r="T1585" s="26">
        <f>S1585*G1585</f>
        <v/>
      </c>
      <c r="U1585" s="26">
        <f>R1585-T1585</f>
        <v/>
      </c>
      <c r="V1585" s="26">
        <f>U1585-L1585</f>
        <v/>
      </c>
    </row>
    <row r="1586">
      <c r="A1586" s="11" t="n">
        <v>46219</v>
      </c>
      <c r="B1586" s="1" t="n">
        <v>20088</v>
      </c>
      <c r="C1586" s="1" t="inlineStr">
        <is>
          <t>021</t>
        </is>
      </c>
      <c r="D1586" s="1" t="inlineStr">
        <is>
          <t xml:space="preserve">49160 </t>
        </is>
      </c>
      <c r="E1586" s="1" t="inlineStr">
        <is>
          <t xml:space="preserve">28194781       </t>
        </is>
      </c>
      <c r="F1586" s="5" t="inlineStr">
        <is>
          <t>TROMPO BATALLA INFINITY NADO SERIE V CLASICA SURTI</t>
        </is>
      </c>
      <c r="G1586" t="n">
        <v>1</v>
      </c>
      <c r="H1586" s="7" t="n">
        <v>39.9</v>
      </c>
      <c r="I1586" s="7" t="n">
        <v>0</v>
      </c>
      <c r="J1586" s="7" t="n">
        <v>0</v>
      </c>
      <c r="K1586" s="9" t="n">
        <v>0</v>
      </c>
      <c r="L1586" s="10" t="n">
        <v>23.67</v>
      </c>
      <c r="M1586" s="10" t="n">
        <v>1.43</v>
      </c>
      <c r="N1586" t="inlineStr">
        <is>
          <t>1</t>
        </is>
      </c>
      <c r="O1586" t="inlineStr">
        <is>
          <t>16</t>
        </is>
      </c>
      <c r="P1586" t="inlineStr">
        <is>
          <t xml:space="preserve">232153  </t>
        </is>
      </c>
      <c r="Q1586" s="26" t="n">
        <v>35.53</v>
      </c>
      <c r="R1586" s="26">
        <f>Q1586*G1586</f>
        <v/>
      </c>
      <c r="S1586" s="26">
        <f>IFERROR(VLOOKUP(E1586*1,Tabla[#All],8,0),0)</f>
        <v/>
      </c>
      <c r="T1586" s="26">
        <f>S1586*G1586</f>
        <v/>
      </c>
      <c r="U1586" s="26">
        <f>R1586-T1586</f>
        <v/>
      </c>
      <c r="V1586" s="26">
        <f>U1586-L1586</f>
        <v/>
      </c>
    </row>
    <row r="1587">
      <c r="A1587" s="11" t="n">
        <v>46219</v>
      </c>
      <c r="B1587" s="1" t="n">
        <v>20088</v>
      </c>
      <c r="C1587" s="1" t="inlineStr">
        <is>
          <t>800</t>
        </is>
      </c>
      <c r="D1587" s="1" t="inlineStr">
        <is>
          <t xml:space="preserve">3561  </t>
        </is>
      </c>
      <c r="E1587" s="1" t="inlineStr">
        <is>
          <t xml:space="preserve">28194768       </t>
        </is>
      </c>
      <c r="F1587" s="5" t="inlineStr">
        <is>
          <t>AUTO COLOR CHANGE TEAMSTERZ SURTIDO</t>
        </is>
      </c>
      <c r="G1587" t="n">
        <v>1</v>
      </c>
      <c r="H1587" s="7" t="n">
        <v>14.9</v>
      </c>
      <c r="I1587" s="7" t="n">
        <v>0</v>
      </c>
      <c r="J1587" s="7" t="n">
        <v>0</v>
      </c>
      <c r="K1587" s="9" t="n">
        <v>0</v>
      </c>
      <c r="L1587" s="10" t="n">
        <v>8.84</v>
      </c>
      <c r="M1587" s="10" t="n">
        <v>1.43</v>
      </c>
      <c r="N1587" t="inlineStr">
        <is>
          <t>1</t>
        </is>
      </c>
      <c r="O1587" t="inlineStr">
        <is>
          <t>16</t>
        </is>
      </c>
      <c r="P1587" t="inlineStr">
        <is>
          <t xml:space="preserve">0       </t>
        </is>
      </c>
      <c r="Q1587" s="26" t="n">
        <v>8.84</v>
      </c>
      <c r="R1587" s="26">
        <f>Q1587*G1587</f>
        <v/>
      </c>
      <c r="S1587" s="26">
        <f>IFERROR(VLOOKUP(E1587*1,Tabla[#All],8,0),0)</f>
        <v/>
      </c>
      <c r="T1587" s="26">
        <f>S1587*G1587</f>
        <v/>
      </c>
      <c r="U1587" s="26">
        <f>R1587-T1587</f>
        <v/>
      </c>
      <c r="V1587" s="26">
        <f>U1587-L1587</f>
        <v/>
      </c>
    </row>
    <row r="1588">
      <c r="A1588" s="11" t="n">
        <v>46219</v>
      </c>
      <c r="B1588" s="1" t="n">
        <v>20088</v>
      </c>
      <c r="C1588" s="1" t="inlineStr">
        <is>
          <t>800</t>
        </is>
      </c>
      <c r="D1588" s="1" t="inlineStr">
        <is>
          <t xml:space="preserve">3561  </t>
        </is>
      </c>
      <c r="E1588" s="1" t="inlineStr">
        <is>
          <t xml:space="preserve">28194770       </t>
        </is>
      </c>
      <c r="F1588" s="5" t="inlineStr">
        <is>
          <t>AUTOS DE METAL 3 TEAMSTERZ EN BLISTER</t>
        </is>
      </c>
      <c r="G1588" t="n">
        <v>1</v>
      </c>
      <c r="H1588" s="7" t="n">
        <v>6.9</v>
      </c>
      <c r="I1588" s="7" t="n">
        <v>0</v>
      </c>
      <c r="J1588" s="7" t="n">
        <v>0</v>
      </c>
      <c r="K1588" s="9" t="n">
        <v>0</v>
      </c>
      <c r="L1588" s="10" t="n">
        <v>4.1</v>
      </c>
      <c r="M1588" s="10" t="n">
        <v>1.43</v>
      </c>
      <c r="N1588" t="inlineStr">
        <is>
          <t>1</t>
        </is>
      </c>
      <c r="O1588" t="inlineStr">
        <is>
          <t>16</t>
        </is>
      </c>
      <c r="P1588" t="inlineStr">
        <is>
          <t xml:space="preserve">0       </t>
        </is>
      </c>
      <c r="Q1588" s="26" t="n">
        <v>4.09</v>
      </c>
      <c r="R1588" s="26">
        <f>Q1588*G1588</f>
        <v/>
      </c>
      <c r="S1588" s="26">
        <f>IFERROR(VLOOKUP(E1588*1,Tabla[#All],8,0),0)</f>
        <v/>
      </c>
      <c r="T1588" s="26">
        <f>S1588*G1588</f>
        <v/>
      </c>
      <c r="U1588" s="26">
        <f>R1588-T1588</f>
        <v/>
      </c>
      <c r="V1588" s="26">
        <f>U1588-L1588</f>
        <v/>
      </c>
    </row>
    <row r="1589">
      <c r="A1589" s="11" t="n">
        <v>46219</v>
      </c>
      <c r="B1589" s="1" t="n">
        <v>20088</v>
      </c>
      <c r="C1589" s="1" t="inlineStr">
        <is>
          <t>801</t>
        </is>
      </c>
      <c r="D1589" s="1" t="inlineStr">
        <is>
          <t xml:space="preserve">6729  </t>
        </is>
      </c>
      <c r="E1589" s="1" t="inlineStr">
        <is>
          <t xml:space="preserve">35685067       </t>
        </is>
      </c>
      <c r="F1589" s="5" t="inlineStr">
        <is>
          <t>HOT WHEELS POWER SET 3 EN 1</t>
        </is>
      </c>
      <c r="G1589" t="n">
        <v>1</v>
      </c>
      <c r="H1589" s="7" t="n">
        <v>49.9</v>
      </c>
      <c r="I1589" s="7" t="n">
        <v>4.99</v>
      </c>
      <c r="J1589" s="7" t="n">
        <v>0</v>
      </c>
      <c r="K1589" s="9" t="n">
        <v>4.99</v>
      </c>
      <c r="L1589" s="10" t="n">
        <v>26.64</v>
      </c>
      <c r="M1589" s="10" t="n">
        <v>1.43</v>
      </c>
      <c r="N1589" t="inlineStr">
        <is>
          <t>1</t>
        </is>
      </c>
      <c r="O1589" t="inlineStr">
        <is>
          <t>16</t>
        </is>
      </c>
      <c r="P1589" t="inlineStr">
        <is>
          <t xml:space="preserve">0       </t>
        </is>
      </c>
      <c r="Q1589" s="26" t="n">
        <v>29.6</v>
      </c>
      <c r="R1589" s="26">
        <f>Q1589*G1589</f>
        <v/>
      </c>
      <c r="S1589" s="26">
        <f>IFERROR(VLOOKUP(E1589*1,Tabla[#All],8,0),0)</f>
        <v/>
      </c>
      <c r="T1589" s="26">
        <f>S1589*G1589</f>
        <v/>
      </c>
      <c r="U1589" s="26">
        <f>R1589-T1589</f>
        <v/>
      </c>
      <c r="V1589" s="26">
        <f>U1589-L1589</f>
        <v/>
      </c>
    </row>
    <row r="1590">
      <c r="A1590" s="11" t="n">
        <v>46219</v>
      </c>
      <c r="B1590" s="1" t="n">
        <v>20089</v>
      </c>
      <c r="C1590" s="1" t="inlineStr">
        <is>
          <t>025</t>
        </is>
      </c>
      <c r="D1590" s="1" t="inlineStr">
        <is>
          <t>121861</t>
        </is>
      </c>
      <c r="E1590" s="1" t="inlineStr">
        <is>
          <t xml:space="preserve">28194770       </t>
        </is>
      </c>
      <c r="F1590" s="5" t="inlineStr">
        <is>
          <t>AUTOS DE METAL 3 TEAMSTERZ EN BLISTER</t>
        </is>
      </c>
      <c r="G1590" t="n">
        <v>1</v>
      </c>
      <c r="H1590" s="7" t="n">
        <v>6.9</v>
      </c>
      <c r="I1590" s="7" t="n">
        <v>0.6899999999999999</v>
      </c>
      <c r="J1590" s="7" t="n">
        <v>0</v>
      </c>
      <c r="K1590" s="9" t="n">
        <v>0.6899999999999999</v>
      </c>
      <c r="L1590" s="10" t="n">
        <v>3.68</v>
      </c>
      <c r="M1590" s="10" t="n">
        <v>1.43</v>
      </c>
      <c r="N1590" t="inlineStr">
        <is>
          <t>1</t>
        </is>
      </c>
      <c r="O1590" t="inlineStr">
        <is>
          <t xml:space="preserve">3 </t>
        </is>
      </c>
      <c r="P1590" t="inlineStr">
        <is>
          <t xml:space="preserve">238367  </t>
        </is>
      </c>
      <c r="Q1590" s="26" t="n">
        <v>4.09</v>
      </c>
      <c r="R1590" s="26">
        <f>Q1590*G1590</f>
        <v/>
      </c>
      <c r="S1590" s="26">
        <f>IFERROR(VLOOKUP(E1590*1,Tabla[#All],8,0),0)</f>
        <v/>
      </c>
      <c r="T1590" s="26">
        <f>S1590*G1590</f>
        <v/>
      </c>
      <c r="U1590" s="26">
        <f>R1590-T1590</f>
        <v/>
      </c>
      <c r="V1590" s="26">
        <f>U1590-L1590</f>
        <v/>
      </c>
    </row>
    <row r="1591">
      <c r="A1591" s="11" t="n">
        <v>46219</v>
      </c>
      <c r="B1591" s="1" t="n">
        <v>20089</v>
      </c>
      <c r="C1591" s="1" t="inlineStr">
        <is>
          <t>026</t>
        </is>
      </c>
      <c r="D1591" s="1" t="inlineStr">
        <is>
          <t xml:space="preserve">87973 </t>
        </is>
      </c>
      <c r="E1591" s="1" t="inlineStr">
        <is>
          <t xml:space="preserve">28194769       </t>
        </is>
      </c>
      <c r="F1591" s="5" t="inlineStr">
        <is>
          <t>AUTOS DE METAL 3 TEAMSTERZ PACK DE 2</t>
        </is>
      </c>
      <c r="G1591" t="n">
        <v>1</v>
      </c>
      <c r="H1591" s="7" t="n">
        <v>13.8</v>
      </c>
      <c r="I1591" s="7" t="n">
        <v>0</v>
      </c>
      <c r="J1591" s="7" t="n">
        <v>0</v>
      </c>
      <c r="K1591" s="9" t="n">
        <v>0</v>
      </c>
      <c r="L1591" s="10" t="n">
        <v>8.18</v>
      </c>
      <c r="M1591" s="10" t="n">
        <v>1.43</v>
      </c>
      <c r="N1591" t="inlineStr">
        <is>
          <t>1</t>
        </is>
      </c>
      <c r="O1591" t="inlineStr">
        <is>
          <t xml:space="preserve">2 </t>
        </is>
      </c>
      <c r="P1591" t="inlineStr">
        <is>
          <t xml:space="preserve">66808   </t>
        </is>
      </c>
      <c r="Q1591" s="26" t="n">
        <v>8.19</v>
      </c>
      <c r="R1591" s="26">
        <f>Q1591*G1591</f>
        <v/>
      </c>
      <c r="S1591" s="26">
        <f>IFERROR(VLOOKUP(E1591*1,Tabla[#All],8,0),0)</f>
        <v/>
      </c>
      <c r="T1591" s="26">
        <f>S1591*G1591</f>
        <v/>
      </c>
      <c r="U1591" s="26">
        <f>R1591-T1591</f>
        <v/>
      </c>
      <c r="V1591" s="26">
        <f>U1591-L1591</f>
        <v/>
      </c>
    </row>
    <row r="1592">
      <c r="A1592" s="11" t="n">
        <v>46219</v>
      </c>
      <c r="B1592" s="1" t="n">
        <v>20089</v>
      </c>
      <c r="C1592" s="1" t="inlineStr">
        <is>
          <t>862</t>
        </is>
      </c>
      <c r="D1592" s="1" t="inlineStr">
        <is>
          <t xml:space="preserve">8509  </t>
        </is>
      </c>
      <c r="E1592" s="1" t="inlineStr">
        <is>
          <t xml:space="preserve">34840552       </t>
        </is>
      </c>
      <c r="F1592" s="5" t="inlineStr">
        <is>
          <t>TMZ HELI POLICIA CON LUCES Y SONIDOS</t>
        </is>
      </c>
      <c r="G1592" t="n">
        <v>1</v>
      </c>
      <c r="H1592" s="7" t="n">
        <v>79.90000000000001</v>
      </c>
      <c r="I1592" s="7" t="n">
        <v>0</v>
      </c>
      <c r="J1592" s="7" t="n">
        <v>0</v>
      </c>
      <c r="K1592" s="9" t="n">
        <v>0</v>
      </c>
      <c r="L1592" s="10" t="n">
        <v>47.4</v>
      </c>
      <c r="M1592" s="10" t="n">
        <v>1.43</v>
      </c>
      <c r="N1592" t="inlineStr">
        <is>
          <t>1</t>
        </is>
      </c>
      <c r="O1592" t="inlineStr">
        <is>
          <t>16</t>
        </is>
      </c>
      <c r="P1592" t="inlineStr">
        <is>
          <t xml:space="preserve">0       </t>
        </is>
      </c>
      <c r="Q1592" s="26" t="n">
        <v>47.4</v>
      </c>
      <c r="R1592" s="26">
        <f>Q1592*G1592</f>
        <v/>
      </c>
      <c r="S1592" s="26">
        <f>IFERROR(VLOOKUP(E1592*1,Tabla[#All],8,0),0)</f>
        <v/>
      </c>
      <c r="T1592" s="26">
        <f>S1592*G1592</f>
        <v/>
      </c>
      <c r="U1592" s="26">
        <f>R1592-T1592</f>
        <v/>
      </c>
      <c r="V1592" s="26">
        <f>U1592-L1592</f>
        <v/>
      </c>
    </row>
    <row r="1593">
      <c r="A1593" s="11" t="n">
        <v>46219</v>
      </c>
      <c r="B1593" s="1" t="n">
        <v>20095</v>
      </c>
      <c r="C1593" s="1" t="inlineStr">
        <is>
          <t>044</t>
        </is>
      </c>
      <c r="D1593" s="1" t="inlineStr">
        <is>
          <t xml:space="preserve">93919 </t>
        </is>
      </c>
      <c r="E1593" s="1" t="inlineStr">
        <is>
          <t xml:space="preserve">30141766       </t>
        </is>
      </c>
      <c r="F1593" s="5" t="inlineStr">
        <is>
          <t>TMZ BEAST MACHINES AUTOS DE METAL BLISTER X 1</t>
        </is>
      </c>
      <c r="G1593" t="n">
        <v>1</v>
      </c>
      <c r="H1593" s="7" t="n">
        <v>7.9</v>
      </c>
      <c r="I1593" s="7" t="n">
        <v>0</v>
      </c>
      <c r="J1593" s="7" t="n">
        <v>0</v>
      </c>
      <c r="K1593" s="9" t="n">
        <v>0</v>
      </c>
      <c r="L1593" s="10" t="n">
        <v>4.68</v>
      </c>
      <c r="M1593" s="10" t="n">
        <v>1.43</v>
      </c>
      <c r="N1593" t="inlineStr">
        <is>
          <t>1</t>
        </is>
      </c>
      <c r="O1593" t="inlineStr">
        <is>
          <t>16</t>
        </is>
      </c>
      <c r="P1593" t="inlineStr">
        <is>
          <t xml:space="preserve">248421  </t>
        </is>
      </c>
      <c r="Q1593" s="26" t="n">
        <v>4.69</v>
      </c>
      <c r="R1593" s="26">
        <f>Q1593*G1593</f>
        <v/>
      </c>
      <c r="S1593" s="26">
        <f>IFERROR(VLOOKUP(E1593*1,Tabla[#All],8,0),0)</f>
        <v/>
      </c>
      <c r="T1593" s="26">
        <f>S1593*G1593</f>
        <v/>
      </c>
      <c r="U1593" s="26">
        <f>R1593-T1593</f>
        <v/>
      </c>
      <c r="V1593" s="26">
        <f>U1593-L1593</f>
        <v/>
      </c>
    </row>
    <row r="1594">
      <c r="A1594" s="11" t="n">
        <v>46219</v>
      </c>
      <c r="B1594" s="1" t="n">
        <v>20095</v>
      </c>
      <c r="C1594" s="1" t="inlineStr">
        <is>
          <t>044</t>
        </is>
      </c>
      <c r="D1594" s="1" t="inlineStr">
        <is>
          <t xml:space="preserve">93954 </t>
        </is>
      </c>
      <c r="E1594" s="1" t="inlineStr">
        <is>
          <t xml:space="preserve">28194768       </t>
        </is>
      </c>
      <c r="F1594" s="5" t="inlineStr">
        <is>
          <t>AUTO COLOR CHANGE TEAMSTERZ SURTIDO</t>
        </is>
      </c>
      <c r="G1594" t="n">
        <v>1</v>
      </c>
      <c r="H1594" s="7" t="n">
        <v>14.9</v>
      </c>
      <c r="I1594" s="7" t="n">
        <v>0</v>
      </c>
      <c r="J1594" s="7" t="n">
        <v>0</v>
      </c>
      <c r="K1594" s="9" t="n">
        <v>0</v>
      </c>
      <c r="L1594" s="10" t="n">
        <v>8.84</v>
      </c>
      <c r="M1594" s="10" t="n">
        <v>1.43</v>
      </c>
      <c r="N1594" t="inlineStr">
        <is>
          <t>1</t>
        </is>
      </c>
      <c r="O1594" t="inlineStr">
        <is>
          <t>16</t>
        </is>
      </c>
      <c r="P1594" t="inlineStr">
        <is>
          <t xml:space="preserve">248421  </t>
        </is>
      </c>
      <c r="Q1594" s="26" t="n">
        <v>8.84</v>
      </c>
      <c r="R1594" s="26">
        <f>Q1594*G1594</f>
        <v/>
      </c>
      <c r="S1594" s="26">
        <f>IFERROR(VLOOKUP(E1594*1,Tabla[#All],8,0),0)</f>
        <v/>
      </c>
      <c r="T1594" s="26">
        <f>S1594*G1594</f>
        <v/>
      </c>
      <c r="U1594" s="26">
        <f>R1594-T1594</f>
        <v/>
      </c>
      <c r="V1594" s="26">
        <f>U1594-L1594</f>
        <v/>
      </c>
    </row>
    <row r="1595">
      <c r="A1595" s="11" t="n">
        <v>46219</v>
      </c>
      <c r="B1595" s="1" t="n">
        <v>20095</v>
      </c>
      <c r="C1595" s="1" t="inlineStr">
        <is>
          <t>044</t>
        </is>
      </c>
      <c r="D1595" s="1" t="inlineStr">
        <is>
          <t xml:space="preserve">93966 </t>
        </is>
      </c>
      <c r="E1595" s="1" t="inlineStr">
        <is>
          <t xml:space="preserve">28194768       </t>
        </is>
      </c>
      <c r="F1595" s="5" t="inlineStr">
        <is>
          <t>AUTO COLOR CHANGE TEAMSTERZ SURTIDO</t>
        </is>
      </c>
      <c r="G1595" t="n">
        <v>1</v>
      </c>
      <c r="H1595" s="7" t="n">
        <v>14.9</v>
      </c>
      <c r="I1595" s="7" t="n">
        <v>0</v>
      </c>
      <c r="J1595" s="7" t="n">
        <v>0</v>
      </c>
      <c r="K1595" s="9" t="n">
        <v>0</v>
      </c>
      <c r="L1595" s="10" t="n">
        <v>8.84</v>
      </c>
      <c r="M1595" s="10" t="n">
        <v>1.43</v>
      </c>
      <c r="N1595" t="inlineStr">
        <is>
          <t>1</t>
        </is>
      </c>
      <c r="O1595" t="inlineStr">
        <is>
          <t>16</t>
        </is>
      </c>
      <c r="P1595" t="inlineStr">
        <is>
          <t xml:space="preserve">248421  </t>
        </is>
      </c>
      <c r="Q1595" s="26" t="n">
        <v>8.84</v>
      </c>
      <c r="R1595" s="26">
        <f>Q1595*G1595</f>
        <v/>
      </c>
      <c r="S1595" s="26">
        <f>IFERROR(VLOOKUP(E1595*1,Tabla[#All],8,0),0)</f>
        <v/>
      </c>
      <c r="T1595" s="26">
        <f>S1595*G1595</f>
        <v/>
      </c>
      <c r="U1595" s="26">
        <f>R1595-T1595</f>
        <v/>
      </c>
      <c r="V1595" s="26">
        <f>U1595-L1595</f>
        <v/>
      </c>
    </row>
    <row r="1596">
      <c r="A1596" s="11" t="n">
        <v>46219</v>
      </c>
      <c r="B1596" s="1" t="n">
        <v>20095</v>
      </c>
      <c r="C1596" s="1" t="inlineStr">
        <is>
          <t>501</t>
        </is>
      </c>
      <c r="D1596" s="1" t="inlineStr">
        <is>
          <t xml:space="preserve">8485  </t>
        </is>
      </c>
      <c r="E1596" s="1" t="inlineStr">
        <is>
          <t xml:space="preserve">28194770       </t>
        </is>
      </c>
      <c r="F1596" s="5" t="inlineStr">
        <is>
          <t>AUTOS DE METAL 3 TEAMSTERZ EN BLISTER</t>
        </is>
      </c>
      <c r="G1596" t="n">
        <v>1</v>
      </c>
      <c r="H1596" s="7" t="n">
        <v>6.9</v>
      </c>
      <c r="I1596" s="7" t="n">
        <v>0</v>
      </c>
      <c r="J1596" s="7" t="n">
        <v>0</v>
      </c>
      <c r="K1596" s="9" t="n">
        <v>0</v>
      </c>
      <c r="L1596" s="10" t="n">
        <v>4.1</v>
      </c>
      <c r="M1596" s="10" t="n">
        <v>1.43</v>
      </c>
      <c r="N1596" t="inlineStr">
        <is>
          <t>1</t>
        </is>
      </c>
      <c r="O1596" t="inlineStr">
        <is>
          <t>16</t>
        </is>
      </c>
      <c r="P1596" t="inlineStr">
        <is>
          <t xml:space="preserve">70244   </t>
        </is>
      </c>
      <c r="Q1596" s="26" t="n">
        <v>4.09</v>
      </c>
      <c r="R1596" s="26">
        <f>Q1596*G1596</f>
        <v/>
      </c>
      <c r="S1596" s="26">
        <f>IFERROR(VLOOKUP(E1596*1,Tabla[#All],8,0),0)</f>
        <v/>
      </c>
      <c r="T1596" s="26">
        <f>S1596*G1596</f>
        <v/>
      </c>
      <c r="U1596" s="26">
        <f>R1596-T1596</f>
        <v/>
      </c>
      <c r="V1596" s="26">
        <f>U1596-L1596</f>
        <v/>
      </c>
    </row>
    <row r="1597">
      <c r="A1597" s="11" t="n">
        <v>46220</v>
      </c>
      <c r="B1597" s="1" t="n">
        <v>20021</v>
      </c>
      <c r="C1597" s="1" t="inlineStr">
        <is>
          <t>055</t>
        </is>
      </c>
      <c r="D1597" s="1" t="inlineStr">
        <is>
          <t xml:space="preserve">362   </t>
        </is>
      </c>
      <c r="E1597" s="1" t="inlineStr">
        <is>
          <t xml:space="preserve">28194770       </t>
        </is>
      </c>
      <c r="F1597" s="5" t="inlineStr">
        <is>
          <t>AUTOS DE METAL 3 TEAMSTERZ EN BLISTER</t>
        </is>
      </c>
      <c r="G1597" t="n">
        <v>-1</v>
      </c>
      <c r="H1597" s="7" t="n">
        <v>-6.9</v>
      </c>
      <c r="I1597" s="7" t="n">
        <v>0</v>
      </c>
      <c r="J1597" s="7" t="n">
        <v>0</v>
      </c>
      <c r="K1597" s="9" t="n">
        <v>0</v>
      </c>
      <c r="L1597" s="10" t="n">
        <v>-4.1</v>
      </c>
      <c r="M1597" s="10" t="n">
        <v>0</v>
      </c>
      <c r="N1597" t="inlineStr">
        <is>
          <t>3</t>
        </is>
      </c>
      <c r="O1597" t="inlineStr">
        <is>
          <t>26</t>
        </is>
      </c>
      <c r="P1597" t="inlineStr">
        <is>
          <t xml:space="preserve">22709   </t>
        </is>
      </c>
      <c r="Q1597" s="26" t="n">
        <v>4.09</v>
      </c>
      <c r="R1597" s="26">
        <f>Q1597*G1597</f>
        <v/>
      </c>
      <c r="S1597" s="26">
        <f>IFERROR(VLOOKUP(E1597*1,Tabla[#All],8,0),0)</f>
        <v/>
      </c>
      <c r="T1597" s="26">
        <f>S1597*G1597</f>
        <v/>
      </c>
      <c r="U1597" s="26">
        <f>R1597-T1597</f>
        <v/>
      </c>
      <c r="V1597" s="26">
        <f>U1597-L1597</f>
        <v/>
      </c>
    </row>
    <row r="1598">
      <c r="A1598" s="11" t="n">
        <v>46220</v>
      </c>
      <c r="B1598" s="1" t="n">
        <v>20021</v>
      </c>
      <c r="C1598" s="1" t="inlineStr">
        <is>
          <t>080</t>
        </is>
      </c>
      <c r="D1598" s="1" t="inlineStr">
        <is>
          <t>309834</t>
        </is>
      </c>
      <c r="E1598" s="1" t="inlineStr">
        <is>
          <t xml:space="preserve">28194770       </t>
        </is>
      </c>
      <c r="F1598" s="5" t="inlineStr">
        <is>
          <t>AUTOS DE METAL 3 TEAMSTERZ EN BLISTER</t>
        </is>
      </c>
      <c r="G1598" t="n">
        <v>1</v>
      </c>
      <c r="H1598" s="7" t="n">
        <v>6.9</v>
      </c>
      <c r="I1598" s="7" t="n">
        <v>0</v>
      </c>
      <c r="J1598" s="7" t="n">
        <v>0</v>
      </c>
      <c r="K1598" s="9" t="n">
        <v>0</v>
      </c>
      <c r="L1598" s="10" t="n">
        <v>4.1</v>
      </c>
      <c r="M1598" s="10" t="n">
        <v>1.43</v>
      </c>
      <c r="N1598" t="inlineStr">
        <is>
          <t>1</t>
        </is>
      </c>
      <c r="O1598" t="inlineStr">
        <is>
          <t>16</t>
        </is>
      </c>
      <c r="P1598" t="inlineStr">
        <is>
          <t xml:space="preserve">22728   </t>
        </is>
      </c>
      <c r="Q1598" s="26" t="n">
        <v>4.09</v>
      </c>
      <c r="R1598" s="26">
        <f>Q1598*G1598</f>
        <v/>
      </c>
      <c r="S1598" s="26">
        <f>IFERROR(VLOOKUP(E1598*1,Tabla[#All],8,0),0)</f>
        <v/>
      </c>
      <c r="T1598" s="26">
        <f>S1598*G1598</f>
        <v/>
      </c>
      <c r="U1598" s="26">
        <f>R1598-T1598</f>
        <v/>
      </c>
      <c r="V1598" s="26">
        <f>U1598-L1598</f>
        <v/>
      </c>
    </row>
    <row r="1599">
      <c r="A1599" s="11" t="n">
        <v>46220</v>
      </c>
      <c r="B1599" s="1" t="n">
        <v>20021</v>
      </c>
      <c r="C1599" s="1" t="inlineStr">
        <is>
          <t>080</t>
        </is>
      </c>
      <c r="D1599" s="1" t="inlineStr">
        <is>
          <t>309834</t>
        </is>
      </c>
      <c r="E1599" s="1" t="inlineStr">
        <is>
          <t xml:space="preserve">28194770       </t>
        </is>
      </c>
      <c r="F1599" s="5" t="inlineStr">
        <is>
          <t>AUTOS DE METAL 3 TEAMSTERZ EN BLISTER</t>
        </is>
      </c>
      <c r="G1599" t="n">
        <v>1</v>
      </c>
      <c r="H1599" s="7" t="n">
        <v>6.9</v>
      </c>
      <c r="I1599" s="7" t="n">
        <v>0</v>
      </c>
      <c r="J1599" s="7" t="n">
        <v>0</v>
      </c>
      <c r="K1599" s="9" t="n">
        <v>0</v>
      </c>
      <c r="L1599" s="10" t="n">
        <v>4.1</v>
      </c>
      <c r="M1599" s="10" t="n">
        <v>1.43</v>
      </c>
      <c r="N1599" t="inlineStr">
        <is>
          <t>1</t>
        </is>
      </c>
      <c r="O1599" t="inlineStr">
        <is>
          <t>16</t>
        </is>
      </c>
      <c r="P1599" t="inlineStr">
        <is>
          <t xml:space="preserve">22728   </t>
        </is>
      </c>
      <c r="Q1599" s="26" t="n">
        <v>4.09</v>
      </c>
      <c r="R1599" s="26">
        <f>Q1599*G1599</f>
        <v/>
      </c>
      <c r="S1599" s="26">
        <f>IFERROR(VLOOKUP(E1599*1,Tabla[#All],8,0),0)</f>
        <v/>
      </c>
      <c r="T1599" s="26">
        <f>S1599*G1599</f>
        <v/>
      </c>
      <c r="U1599" s="26">
        <f>R1599-T1599</f>
        <v/>
      </c>
      <c r="V1599" s="26">
        <f>U1599-L1599</f>
        <v/>
      </c>
    </row>
    <row r="1600">
      <c r="A1600" s="11" t="n">
        <v>46220</v>
      </c>
      <c r="B1600" s="1" t="n">
        <v>20021</v>
      </c>
      <c r="C1600" s="1" t="inlineStr">
        <is>
          <t>080</t>
        </is>
      </c>
      <c r="D1600" s="1" t="inlineStr">
        <is>
          <t>309839</t>
        </is>
      </c>
      <c r="E1600" s="1" t="inlineStr">
        <is>
          <t xml:space="preserve">28194768       </t>
        </is>
      </c>
      <c r="F1600" s="5" t="inlineStr">
        <is>
          <t>AUTO COLOR CHANGE TEAMSTERZ SURTIDO</t>
        </is>
      </c>
      <c r="G1600" t="n">
        <v>1</v>
      </c>
      <c r="H1600" s="7" t="n">
        <v>14.9</v>
      </c>
      <c r="I1600" s="7" t="n">
        <v>0</v>
      </c>
      <c r="J1600" s="7" t="n">
        <v>0</v>
      </c>
      <c r="K1600" s="9" t="n">
        <v>0</v>
      </c>
      <c r="L1600" s="10" t="n">
        <v>8.84</v>
      </c>
      <c r="M1600" s="10" t="n">
        <v>1.43</v>
      </c>
      <c r="N1600" t="inlineStr">
        <is>
          <t>1</t>
        </is>
      </c>
      <c r="O1600" t="inlineStr">
        <is>
          <t>16</t>
        </is>
      </c>
      <c r="P1600" t="inlineStr">
        <is>
          <t xml:space="preserve">22728   </t>
        </is>
      </c>
      <c r="Q1600" s="26" t="n">
        <v>8.84</v>
      </c>
      <c r="R1600" s="26">
        <f>Q1600*G1600</f>
        <v/>
      </c>
      <c r="S1600" s="26">
        <f>IFERROR(VLOOKUP(E1600*1,Tabla[#All],8,0),0)</f>
        <v/>
      </c>
      <c r="T1600" s="26">
        <f>S1600*G1600</f>
        <v/>
      </c>
      <c r="U1600" s="26">
        <f>R1600-T1600</f>
        <v/>
      </c>
      <c r="V1600" s="26">
        <f>U1600-L1600</f>
        <v/>
      </c>
    </row>
    <row r="1601">
      <c r="A1601" s="11" t="n">
        <v>46220</v>
      </c>
      <c r="B1601" s="1" t="n">
        <v>20021</v>
      </c>
      <c r="C1601" s="1" t="inlineStr">
        <is>
          <t>082</t>
        </is>
      </c>
      <c r="D1601" s="1" t="inlineStr">
        <is>
          <t>270334</t>
        </is>
      </c>
      <c r="E1601" s="1" t="inlineStr">
        <is>
          <t xml:space="preserve">31959961       </t>
        </is>
      </c>
      <c r="F1601" s="5" t="inlineStr">
        <is>
          <t>TEAMSTERZ CAMBIA DE COLOR PACK DE 3 AUTOS</t>
        </is>
      </c>
      <c r="G1601" t="n">
        <v>1</v>
      </c>
      <c r="H1601" s="7" t="n">
        <v>49.9</v>
      </c>
      <c r="I1601" s="7" t="n">
        <v>0</v>
      </c>
      <c r="J1601" s="7" t="n">
        <v>0</v>
      </c>
      <c r="K1601" s="9" t="n">
        <v>0</v>
      </c>
      <c r="L1601" s="10" t="n">
        <v>29.6</v>
      </c>
      <c r="M1601" s="10" t="n">
        <v>1.43</v>
      </c>
      <c r="N1601" t="inlineStr">
        <is>
          <t>1</t>
        </is>
      </c>
      <c r="O1601" t="inlineStr">
        <is>
          <t>16</t>
        </is>
      </c>
      <c r="P1601" t="inlineStr">
        <is>
          <t xml:space="preserve">109073  </t>
        </is>
      </c>
      <c r="Q1601" s="26" t="n">
        <v>29.6</v>
      </c>
      <c r="R1601" s="26">
        <f>Q1601*G1601</f>
        <v/>
      </c>
      <c r="S1601" s="26">
        <f>IFERROR(VLOOKUP(E1601*1,Tabla[#All],8,0),0)</f>
        <v/>
      </c>
      <c r="T1601" s="26">
        <f>S1601*G1601</f>
        <v/>
      </c>
      <c r="U1601" s="26">
        <f>R1601-T1601</f>
        <v/>
      </c>
      <c r="V1601" s="26">
        <f>U1601-L1601</f>
        <v/>
      </c>
    </row>
    <row r="1602">
      <c r="A1602" s="11" t="n">
        <v>46220</v>
      </c>
      <c r="B1602" s="1" t="n">
        <v>20023</v>
      </c>
      <c r="C1602" s="1" t="inlineStr">
        <is>
          <t>079</t>
        </is>
      </c>
      <c r="D1602" s="1" t="inlineStr">
        <is>
          <t>289555</t>
        </is>
      </c>
      <c r="E1602" s="1" t="inlineStr">
        <is>
          <t xml:space="preserve">29235700       </t>
        </is>
      </c>
      <c r="F1602" s="5" t="inlineStr">
        <is>
          <t>HOT WHEELS CASE METALICO PARA GUARDAR 18 CARRITOS</t>
        </is>
      </c>
      <c r="G1602" t="n">
        <v>1</v>
      </c>
      <c r="H1602" s="7" t="n">
        <v>49.9</v>
      </c>
      <c r="I1602" s="7" t="n">
        <v>0</v>
      </c>
      <c r="J1602" s="7" t="n">
        <v>0</v>
      </c>
      <c r="K1602" s="9" t="n">
        <v>0</v>
      </c>
      <c r="L1602" s="10" t="n">
        <v>29.6</v>
      </c>
      <c r="M1602" s="10" t="n">
        <v>1.43</v>
      </c>
      <c r="N1602" t="inlineStr">
        <is>
          <t>1</t>
        </is>
      </c>
      <c r="O1602" t="inlineStr">
        <is>
          <t>16</t>
        </is>
      </c>
      <c r="P1602" t="inlineStr">
        <is>
          <t xml:space="preserve">23508   </t>
        </is>
      </c>
      <c r="Q1602" s="26" t="n">
        <v>29.6</v>
      </c>
      <c r="R1602" s="26">
        <f>Q1602*G1602</f>
        <v/>
      </c>
      <c r="S1602" s="26">
        <f>IFERROR(VLOOKUP(E1602*1,Tabla[#All],8,0),0)</f>
        <v/>
      </c>
      <c r="T1602" s="26">
        <f>S1602*G1602</f>
        <v/>
      </c>
      <c r="U1602" s="26">
        <f>R1602-T1602</f>
        <v/>
      </c>
      <c r="V1602" s="26">
        <f>U1602-L1602</f>
        <v/>
      </c>
    </row>
    <row r="1603">
      <c r="A1603" s="11" t="n">
        <v>46220</v>
      </c>
      <c r="B1603" s="1" t="n">
        <v>20023</v>
      </c>
      <c r="C1603" s="1" t="inlineStr">
        <is>
          <t>191</t>
        </is>
      </c>
      <c r="D1603" s="1" t="inlineStr">
        <is>
          <t xml:space="preserve">7401  </t>
        </is>
      </c>
      <c r="E1603" s="1" t="inlineStr">
        <is>
          <t xml:space="preserve">28194780       </t>
        </is>
      </c>
      <c r="F1603" s="5" t="inlineStr">
        <is>
          <t>TROMPO BATALLA INFINITY NADO PLSTICO SURTIDO</t>
        </is>
      </c>
      <c r="G1603" t="n">
        <v>1</v>
      </c>
      <c r="H1603" s="7" t="n">
        <v>19.9</v>
      </c>
      <c r="I1603" s="7" t="n">
        <v>0</v>
      </c>
      <c r="J1603" s="7" t="n">
        <v>0</v>
      </c>
      <c r="K1603" s="9" t="n">
        <v>0</v>
      </c>
      <c r="L1603" s="10" t="n">
        <v>11.8</v>
      </c>
      <c r="M1603" s="10" t="n">
        <v>1.43</v>
      </c>
      <c r="N1603" t="inlineStr">
        <is>
          <t>1</t>
        </is>
      </c>
      <c r="O1603" t="inlineStr">
        <is>
          <t>16</t>
        </is>
      </c>
      <c r="P1603" t="inlineStr">
        <is>
          <t xml:space="preserve">32921   </t>
        </is>
      </c>
      <c r="Q1603" s="26" t="n">
        <v>11.81</v>
      </c>
      <c r="R1603" s="26">
        <f>Q1603*G1603</f>
        <v/>
      </c>
      <c r="S1603" s="26">
        <f>IFERROR(VLOOKUP(E1603*1,Tabla[#All],8,0),0)</f>
        <v/>
      </c>
      <c r="T1603" s="26">
        <f>S1603*G1603</f>
        <v/>
      </c>
      <c r="U1603" s="26">
        <f>R1603-T1603</f>
        <v/>
      </c>
      <c r="V1603" s="26">
        <f>U1603-L1603</f>
        <v/>
      </c>
    </row>
    <row r="1604">
      <c r="A1604" s="11" t="n">
        <v>46220</v>
      </c>
      <c r="B1604" s="1" t="n">
        <v>20024</v>
      </c>
      <c r="C1604" s="1" t="inlineStr">
        <is>
          <t>021</t>
        </is>
      </c>
      <c r="D1604" s="1" t="inlineStr">
        <is>
          <t>215624</t>
        </is>
      </c>
      <c r="E1604" s="1" t="inlineStr">
        <is>
          <t xml:space="preserve">32457099       </t>
        </is>
      </c>
      <c r="F1604" s="5" t="inlineStr">
        <is>
          <t>TMZ BEAST MACHINES MONSTER JAWS A FRICCION BLISTER</t>
        </is>
      </c>
      <c r="G1604" t="n">
        <v>1</v>
      </c>
      <c r="H1604" s="7" t="n">
        <v>17.9</v>
      </c>
      <c r="I1604" s="7" t="n">
        <v>1.79</v>
      </c>
      <c r="J1604" s="7" t="n">
        <v>0</v>
      </c>
      <c r="K1604" s="9" t="n">
        <v>1.79</v>
      </c>
      <c r="L1604" s="10" t="n">
        <v>9.56</v>
      </c>
      <c r="M1604" s="10" t="n">
        <v>1.43</v>
      </c>
      <c r="N1604" t="inlineStr">
        <is>
          <t>1</t>
        </is>
      </c>
      <c r="O1604" t="inlineStr">
        <is>
          <t xml:space="preserve">3 </t>
        </is>
      </c>
      <c r="P1604" t="inlineStr">
        <is>
          <t xml:space="preserve">251741  </t>
        </is>
      </c>
      <c r="Q1604" s="26" t="n">
        <v>11.81</v>
      </c>
      <c r="R1604" s="26">
        <f>Q1604*G1604</f>
        <v/>
      </c>
      <c r="S1604" s="26">
        <f>IFERROR(VLOOKUP(E1604*1,Tabla[#All],8,0),0)</f>
        <v/>
      </c>
      <c r="T1604" s="26">
        <f>S1604*G1604</f>
        <v/>
      </c>
      <c r="U1604" s="26">
        <f>R1604-T1604</f>
        <v/>
      </c>
      <c r="V1604" s="26">
        <f>U1604-L1604</f>
        <v/>
      </c>
    </row>
    <row r="1605">
      <c r="A1605" s="11" t="n">
        <v>46220</v>
      </c>
      <c r="B1605" s="1" t="n">
        <v>20025</v>
      </c>
      <c r="C1605" s="1" t="inlineStr">
        <is>
          <t>073</t>
        </is>
      </c>
      <c r="D1605" s="1" t="inlineStr">
        <is>
          <t xml:space="preserve">23497 </t>
        </is>
      </c>
      <c r="E1605" s="1" t="inlineStr">
        <is>
          <t xml:space="preserve">32656523       </t>
        </is>
      </c>
      <c r="F1605" s="5" t="inlineStr">
        <is>
          <t>TMZ BEAST MACHINES TRANSPORT. T-REX ELECTR. + ACCE</t>
        </is>
      </c>
      <c r="G1605" t="n">
        <v>1</v>
      </c>
      <c r="H1605" s="7" t="n">
        <v>179</v>
      </c>
      <c r="I1605" s="7" t="n">
        <v>0</v>
      </c>
      <c r="J1605" s="7" t="n">
        <v>0</v>
      </c>
      <c r="K1605" s="9" t="n">
        <v>0</v>
      </c>
      <c r="L1605" s="10" t="n">
        <v>106.18</v>
      </c>
      <c r="M1605" s="10" t="n">
        <v>1.43</v>
      </c>
      <c r="N1605" t="inlineStr">
        <is>
          <t>1</t>
        </is>
      </c>
      <c r="O1605" t="inlineStr">
        <is>
          <t>16</t>
        </is>
      </c>
      <c r="P1605" t="inlineStr">
        <is>
          <t xml:space="preserve">22908   </t>
        </is>
      </c>
      <c r="Q1605" s="26" t="n">
        <v>106.19</v>
      </c>
      <c r="R1605" s="26">
        <f>Q1605*G1605</f>
        <v/>
      </c>
      <c r="S1605" s="26">
        <f>IFERROR(VLOOKUP(E1605*1,Tabla[#All],8,0),0)</f>
        <v/>
      </c>
      <c r="T1605" s="26">
        <f>S1605*G1605</f>
        <v/>
      </c>
      <c r="U1605" s="26">
        <f>R1605-T1605</f>
        <v/>
      </c>
      <c r="V1605" s="26">
        <f>U1605-L1605</f>
        <v/>
      </c>
    </row>
    <row r="1606">
      <c r="A1606" s="11" t="n">
        <v>46220</v>
      </c>
      <c r="B1606" s="1" t="n">
        <v>20025</v>
      </c>
      <c r="C1606" s="1" t="inlineStr">
        <is>
          <t>074</t>
        </is>
      </c>
      <c r="D1606" s="1" t="inlineStr">
        <is>
          <t xml:space="preserve">83093 </t>
        </is>
      </c>
      <c r="E1606" s="1" t="inlineStr">
        <is>
          <t xml:space="preserve">34031339       </t>
        </is>
      </c>
      <c r="F1606" s="5" t="inlineStr">
        <is>
          <t>TMZ BEAST MACHINES TRANSPORT. ROBO-TIBURON ELECTR</t>
        </is>
      </c>
      <c r="G1606" t="n">
        <v>1</v>
      </c>
      <c r="H1606" s="7" t="n">
        <v>169</v>
      </c>
      <c r="I1606" s="7" t="n">
        <v>0</v>
      </c>
      <c r="J1606" s="7" t="n">
        <v>0</v>
      </c>
      <c r="K1606" s="9" t="n">
        <v>0</v>
      </c>
      <c r="L1606" s="10" t="n">
        <v>100.25</v>
      </c>
      <c r="M1606" s="10" t="n">
        <v>1.43</v>
      </c>
      <c r="N1606" t="inlineStr">
        <is>
          <t>1</t>
        </is>
      </c>
      <c r="O1606" t="inlineStr">
        <is>
          <t>16</t>
        </is>
      </c>
      <c r="P1606" t="inlineStr">
        <is>
          <t xml:space="preserve">251187  </t>
        </is>
      </c>
      <c r="Q1606" s="26" t="n">
        <v>100.25</v>
      </c>
      <c r="R1606" s="26">
        <f>Q1606*G1606</f>
        <v/>
      </c>
      <c r="S1606" s="26">
        <f>IFERROR(VLOOKUP(E1606*1,Tabla[#All],8,0),0)</f>
        <v/>
      </c>
      <c r="T1606" s="26">
        <f>S1606*G1606</f>
        <v/>
      </c>
      <c r="U1606" s="26">
        <f>R1606-T1606</f>
        <v/>
      </c>
      <c r="V1606" s="26">
        <f>U1606-L1606</f>
        <v/>
      </c>
    </row>
    <row r="1607">
      <c r="A1607" s="11" t="n">
        <v>46220</v>
      </c>
      <c r="B1607" s="1" t="n">
        <v>20025</v>
      </c>
      <c r="C1607" s="1" t="inlineStr">
        <is>
          <t>076</t>
        </is>
      </c>
      <c r="D1607" s="1" t="inlineStr">
        <is>
          <t>147756</t>
        </is>
      </c>
      <c r="E1607" s="1" t="inlineStr">
        <is>
          <t xml:space="preserve">33661538       </t>
        </is>
      </c>
      <c r="F1607" s="5" t="inlineStr">
        <is>
          <t>HOT WHEELS CASE GARAGE RUEDA METAL EN LLAMAS X 29</t>
        </is>
      </c>
      <c r="G1607" t="n">
        <v>1</v>
      </c>
      <c r="H1607" s="7" t="n">
        <v>69.90000000000001</v>
      </c>
      <c r="I1607" s="7" t="n">
        <v>0</v>
      </c>
      <c r="J1607" s="7" t="n">
        <v>0</v>
      </c>
      <c r="K1607" s="9" t="n">
        <v>0</v>
      </c>
      <c r="L1607" s="10" t="n">
        <v>41.47</v>
      </c>
      <c r="M1607" s="10" t="n">
        <v>1.43</v>
      </c>
      <c r="N1607" t="inlineStr">
        <is>
          <t>1</t>
        </is>
      </c>
      <c r="O1607" t="inlineStr">
        <is>
          <t>16</t>
        </is>
      </c>
      <c r="P1607" t="inlineStr">
        <is>
          <t xml:space="preserve">22196   </t>
        </is>
      </c>
      <c r="Q1607" s="26" t="n">
        <v>41.47</v>
      </c>
      <c r="R1607" s="26">
        <f>Q1607*G1607</f>
        <v/>
      </c>
      <c r="S1607" s="26">
        <f>IFERROR(VLOOKUP(E1607*1,Tabla[#All],8,0),0)</f>
        <v/>
      </c>
      <c r="T1607" s="26">
        <f>S1607*G1607</f>
        <v/>
      </c>
      <c r="U1607" s="26">
        <f>R1607-T1607</f>
        <v/>
      </c>
      <c r="V1607" s="26">
        <f>U1607-L1607</f>
        <v/>
      </c>
    </row>
    <row r="1608">
      <c r="A1608" s="11" t="n">
        <v>46220</v>
      </c>
      <c r="B1608" s="1" t="n">
        <v>20027</v>
      </c>
      <c r="C1608" s="1" t="inlineStr">
        <is>
          <t>110</t>
        </is>
      </c>
      <c r="D1608" s="1" t="inlineStr">
        <is>
          <t xml:space="preserve">60713 </t>
        </is>
      </c>
      <c r="E1608" s="1" t="inlineStr">
        <is>
          <t xml:space="preserve">28194770       </t>
        </is>
      </c>
      <c r="F1608" s="5" t="inlineStr">
        <is>
          <t>AUTOS DE METAL 3 TEAMSTERZ EN BLISTER</t>
        </is>
      </c>
      <c r="G1608" t="n">
        <v>1</v>
      </c>
      <c r="H1608" s="7" t="n">
        <v>6.9</v>
      </c>
      <c r="I1608" s="7" t="n">
        <v>0</v>
      </c>
      <c r="J1608" s="7" t="n">
        <v>0</v>
      </c>
      <c r="K1608" s="9" t="n">
        <v>0</v>
      </c>
      <c r="L1608" s="10" t="n">
        <v>4.1</v>
      </c>
      <c r="M1608" s="10" t="n">
        <v>1.43</v>
      </c>
      <c r="N1608" t="inlineStr">
        <is>
          <t>1</t>
        </is>
      </c>
      <c r="O1608" t="inlineStr">
        <is>
          <t>16</t>
        </is>
      </c>
      <c r="P1608" t="inlineStr">
        <is>
          <t xml:space="preserve">65829   </t>
        </is>
      </c>
      <c r="Q1608" s="26" t="n">
        <v>4.09</v>
      </c>
      <c r="R1608" s="26">
        <f>Q1608*G1608</f>
        <v/>
      </c>
      <c r="S1608" s="26">
        <f>IFERROR(VLOOKUP(E1608*1,Tabla[#All],8,0),0)</f>
        <v/>
      </c>
      <c r="T1608" s="26">
        <f>S1608*G1608</f>
        <v/>
      </c>
      <c r="U1608" s="26">
        <f>R1608-T1608</f>
        <v/>
      </c>
      <c r="V1608" s="26">
        <f>U1608-L1608</f>
        <v/>
      </c>
    </row>
    <row r="1609">
      <c r="A1609" s="11" t="n">
        <v>46220</v>
      </c>
      <c r="B1609" s="1" t="n">
        <v>20028</v>
      </c>
      <c r="C1609" s="1" t="inlineStr">
        <is>
          <t>043</t>
        </is>
      </c>
      <c r="D1609" s="1" t="inlineStr">
        <is>
          <t xml:space="preserve">87658 </t>
        </is>
      </c>
      <c r="E1609" s="1" t="inlineStr">
        <is>
          <t xml:space="preserve">33483133       </t>
        </is>
      </c>
      <c r="F1609" s="5" t="inlineStr">
        <is>
          <t>PLAY-DOH ARCILLA LIVIANA X 20 GR. AUTOS SURTIDO</t>
        </is>
      </c>
      <c r="G1609" t="n">
        <v>1</v>
      </c>
      <c r="H1609" s="7" t="n">
        <v>11.9</v>
      </c>
      <c r="I1609" s="7" t="n">
        <v>0</v>
      </c>
      <c r="J1609" s="7" t="n">
        <v>0</v>
      </c>
      <c r="K1609" s="9" t="n">
        <v>0</v>
      </c>
      <c r="L1609" s="10" t="n">
        <v>7.06</v>
      </c>
      <c r="M1609" s="10" t="n">
        <v>1.43</v>
      </c>
      <c r="N1609" t="inlineStr">
        <is>
          <t>1</t>
        </is>
      </c>
      <c r="O1609" t="inlineStr">
        <is>
          <t>16</t>
        </is>
      </c>
      <c r="P1609" t="inlineStr">
        <is>
          <t xml:space="preserve">54001   </t>
        </is>
      </c>
      <c r="Q1609" s="26" t="n">
        <v>7.06</v>
      </c>
      <c r="R1609" s="26">
        <f>Q1609*G1609</f>
        <v/>
      </c>
      <c r="S1609" s="26">
        <f>IFERROR(VLOOKUP(E1609*1,Tabla[#All],8,0),0)</f>
        <v/>
      </c>
      <c r="T1609" s="26">
        <f>S1609*G1609</f>
        <v/>
      </c>
      <c r="U1609" s="26">
        <f>R1609-T1609</f>
        <v/>
      </c>
      <c r="V1609" s="26">
        <f>U1609-L1609</f>
        <v/>
      </c>
    </row>
    <row r="1610">
      <c r="A1610" s="11" t="n">
        <v>46220</v>
      </c>
      <c r="B1610" s="1" t="n">
        <v>20028</v>
      </c>
      <c r="C1610" s="1" t="inlineStr">
        <is>
          <t>140</t>
        </is>
      </c>
      <c r="D1610" s="1" t="inlineStr">
        <is>
          <t>225302</t>
        </is>
      </c>
      <c r="E1610" s="1" t="inlineStr">
        <is>
          <t xml:space="preserve">30232284       </t>
        </is>
      </c>
      <c r="F1610" s="5" t="inlineStr">
        <is>
          <t>INFINITY NADO TROMPO DE BATALLA - METAL C/PUNTA DE</t>
        </is>
      </c>
      <c r="G1610" t="n">
        <v>1</v>
      </c>
      <c r="H1610" s="7" t="n">
        <v>34.9</v>
      </c>
      <c r="I1610" s="7" t="n">
        <v>0</v>
      </c>
      <c r="J1610" s="7" t="n">
        <v>0</v>
      </c>
      <c r="K1610" s="9" t="n">
        <v>0</v>
      </c>
      <c r="L1610" s="10" t="n">
        <v>20.71</v>
      </c>
      <c r="M1610" s="10" t="n">
        <v>1.43</v>
      </c>
      <c r="N1610" t="inlineStr">
        <is>
          <t>1</t>
        </is>
      </c>
      <c r="O1610" t="inlineStr">
        <is>
          <t>16</t>
        </is>
      </c>
      <c r="P1610" t="inlineStr">
        <is>
          <t xml:space="preserve">23344   </t>
        </is>
      </c>
      <c r="Q1610" s="26" t="n">
        <v>29.6</v>
      </c>
      <c r="R1610" s="26">
        <f>Q1610*G1610</f>
        <v/>
      </c>
      <c r="S1610" s="26">
        <f>IFERROR(VLOOKUP(E1610*1,Tabla[#All],8,0),0)</f>
        <v/>
      </c>
      <c r="T1610" s="26">
        <f>S1610*G1610</f>
        <v/>
      </c>
      <c r="U1610" s="26">
        <f>R1610-T1610</f>
        <v/>
      </c>
      <c r="V1610" s="26">
        <f>U1610-L1610</f>
        <v/>
      </c>
    </row>
    <row r="1611">
      <c r="A1611" s="11" t="n">
        <v>46220</v>
      </c>
      <c r="B1611" s="1" t="n">
        <v>20030</v>
      </c>
      <c r="C1611" s="1" t="inlineStr">
        <is>
          <t>030</t>
        </is>
      </c>
      <c r="D1611" s="1" t="inlineStr">
        <is>
          <t>359694</t>
        </is>
      </c>
      <c r="E1611" s="1" t="inlineStr">
        <is>
          <t xml:space="preserve">28194770       </t>
        </is>
      </c>
      <c r="F1611" s="5" t="inlineStr">
        <is>
          <t>AUTOS DE METAL 3 TEAMSTERZ EN BLISTER</t>
        </is>
      </c>
      <c r="G1611" t="n">
        <v>1</v>
      </c>
      <c r="H1611" s="7" t="n">
        <v>6.9</v>
      </c>
      <c r="I1611" s="7" t="n">
        <v>0</v>
      </c>
      <c r="J1611" s="7" t="n">
        <v>0</v>
      </c>
      <c r="K1611" s="9" t="n">
        <v>0</v>
      </c>
      <c r="L1611" s="10" t="n">
        <v>4.1</v>
      </c>
      <c r="M1611" s="10" t="n">
        <v>1.43</v>
      </c>
      <c r="N1611" t="inlineStr">
        <is>
          <t>1</t>
        </is>
      </c>
      <c r="O1611" t="inlineStr">
        <is>
          <t>16</t>
        </is>
      </c>
      <c r="P1611" t="inlineStr">
        <is>
          <t xml:space="preserve">47352   </t>
        </is>
      </c>
      <c r="Q1611" s="26" t="n">
        <v>4.09</v>
      </c>
      <c r="R1611" s="26">
        <f>Q1611*G1611</f>
        <v/>
      </c>
      <c r="S1611" s="26">
        <f>IFERROR(VLOOKUP(E1611*1,Tabla[#All],8,0),0)</f>
        <v/>
      </c>
      <c r="T1611" s="26">
        <f>S1611*G1611</f>
        <v/>
      </c>
      <c r="U1611" s="26">
        <f>R1611-T1611</f>
        <v/>
      </c>
      <c r="V1611" s="26">
        <f>U1611-L1611</f>
        <v/>
      </c>
    </row>
    <row r="1612">
      <c r="A1612" s="11" t="n">
        <v>46220</v>
      </c>
      <c r="B1612" s="1" t="n">
        <v>20030</v>
      </c>
      <c r="C1612" s="1" t="inlineStr">
        <is>
          <t>077</t>
        </is>
      </c>
      <c r="D1612" s="1" t="inlineStr">
        <is>
          <t>232456</t>
        </is>
      </c>
      <c r="E1612" s="1" t="inlineStr">
        <is>
          <t xml:space="preserve">31675352       </t>
        </is>
      </c>
      <c r="F1612" s="5" t="inlineStr">
        <is>
          <t>MI PEQUENO NENUCO</t>
        </is>
      </c>
      <c r="G1612" t="n">
        <v>1</v>
      </c>
      <c r="H1612" s="7" t="n">
        <v>49.9</v>
      </c>
      <c r="I1612" s="7" t="n">
        <v>0</v>
      </c>
      <c r="J1612" s="7" t="n">
        <v>0</v>
      </c>
      <c r="K1612" s="9" t="n">
        <v>0</v>
      </c>
      <c r="L1612" s="10" t="n">
        <v>29.6</v>
      </c>
      <c r="M1612" s="10" t="n">
        <v>1.43</v>
      </c>
      <c r="N1612" t="inlineStr">
        <is>
          <t>1</t>
        </is>
      </c>
      <c r="O1612" t="inlineStr">
        <is>
          <t xml:space="preserve">2 </t>
        </is>
      </c>
      <c r="P1612" t="inlineStr">
        <is>
          <t xml:space="preserve">27455   </t>
        </is>
      </c>
      <c r="Q1612" s="26" t="n">
        <v>41.47</v>
      </c>
      <c r="R1612" s="26">
        <f>Q1612*G1612</f>
        <v/>
      </c>
      <c r="S1612" s="26">
        <f>IFERROR(VLOOKUP(E1612*1,Tabla[#All],8,0),0)</f>
        <v/>
      </c>
      <c r="T1612" s="26">
        <f>S1612*G1612</f>
        <v/>
      </c>
      <c r="U1612" s="26">
        <f>R1612-T1612</f>
        <v/>
      </c>
      <c r="V1612" s="26">
        <f>U1612-L1612</f>
        <v/>
      </c>
    </row>
    <row r="1613">
      <c r="A1613" s="11" t="n">
        <v>46220</v>
      </c>
      <c r="B1613" s="1" t="n">
        <v>20040</v>
      </c>
      <c r="C1613" s="1" t="inlineStr">
        <is>
          <t>072</t>
        </is>
      </c>
      <c r="D1613" s="1" t="inlineStr">
        <is>
          <t>252005</t>
        </is>
      </c>
      <c r="E1613" s="1" t="inlineStr">
        <is>
          <t xml:space="preserve">28194782       </t>
        </is>
      </c>
      <c r="F1613" s="5" t="inlineStr">
        <is>
          <t>TROMPO BATALLA INFINITY NADO SERIE V ORIGINAL SURT</t>
        </is>
      </c>
      <c r="G1613" t="n">
        <v>1</v>
      </c>
      <c r="H1613" s="7" t="n">
        <v>49.9</v>
      </c>
      <c r="I1613" s="7" t="n">
        <v>0</v>
      </c>
      <c r="J1613" s="7" t="n">
        <v>0</v>
      </c>
      <c r="K1613" s="9" t="n">
        <v>0</v>
      </c>
      <c r="L1613" s="10" t="n">
        <v>29.6</v>
      </c>
      <c r="M1613" s="10" t="n">
        <v>1.43</v>
      </c>
      <c r="N1613" t="inlineStr">
        <is>
          <t>1</t>
        </is>
      </c>
      <c r="O1613" t="inlineStr">
        <is>
          <t>16</t>
        </is>
      </c>
      <c r="P1613" t="inlineStr">
        <is>
          <t xml:space="preserve">250392  </t>
        </is>
      </c>
      <c r="Q1613" s="26" t="n">
        <v>41.47</v>
      </c>
      <c r="R1613" s="26">
        <f>Q1613*G1613</f>
        <v/>
      </c>
      <c r="S1613" s="26">
        <f>IFERROR(VLOOKUP(E1613*1,Tabla[#All],8,0),0)</f>
        <v/>
      </c>
      <c r="T1613" s="26">
        <f>S1613*G1613</f>
        <v/>
      </c>
      <c r="U1613" s="26">
        <f>R1613-T1613</f>
        <v/>
      </c>
      <c r="V1613" s="26">
        <f>U1613-L1613</f>
        <v/>
      </c>
    </row>
    <row r="1614">
      <c r="A1614" s="11" t="n">
        <v>46220</v>
      </c>
      <c r="B1614" s="1" t="n">
        <v>20040</v>
      </c>
      <c r="C1614" s="1" t="inlineStr">
        <is>
          <t>073</t>
        </is>
      </c>
      <c r="D1614" s="1" t="inlineStr">
        <is>
          <t>254868</t>
        </is>
      </c>
      <c r="E1614" s="1" t="inlineStr">
        <is>
          <t xml:space="preserve">28194769       </t>
        </is>
      </c>
      <c r="F1614" s="5" t="inlineStr">
        <is>
          <t>AUTOS DE METAL 3 TEAMSTERZ PACK DE 2</t>
        </is>
      </c>
      <c r="G1614" t="n">
        <v>1</v>
      </c>
      <c r="H1614" s="7" t="n">
        <v>13.8</v>
      </c>
      <c r="I1614" s="7" t="n">
        <v>0</v>
      </c>
      <c r="J1614" s="7" t="n">
        <v>0</v>
      </c>
      <c r="K1614" s="9" t="n">
        <v>0</v>
      </c>
      <c r="L1614" s="10" t="n">
        <v>8.18</v>
      </c>
      <c r="M1614" s="10" t="n">
        <v>1.43</v>
      </c>
      <c r="N1614" t="inlineStr">
        <is>
          <t>1</t>
        </is>
      </c>
      <c r="O1614" t="inlineStr">
        <is>
          <t>16</t>
        </is>
      </c>
      <c r="P1614" t="inlineStr">
        <is>
          <t xml:space="preserve">52786   </t>
        </is>
      </c>
      <c r="Q1614" s="26" t="n">
        <v>8.19</v>
      </c>
      <c r="R1614" s="26">
        <f>Q1614*G1614</f>
        <v/>
      </c>
      <c r="S1614" s="26">
        <f>IFERROR(VLOOKUP(E1614*1,Tabla[#All],8,0),0)</f>
        <v/>
      </c>
      <c r="T1614" s="26">
        <f>S1614*G1614</f>
        <v/>
      </c>
      <c r="U1614" s="26">
        <f>R1614-T1614</f>
        <v/>
      </c>
      <c r="V1614" s="26">
        <f>U1614-L1614</f>
        <v/>
      </c>
    </row>
    <row r="1615">
      <c r="A1615" s="11" t="n">
        <v>46220</v>
      </c>
      <c r="B1615" s="1" t="n">
        <v>20040</v>
      </c>
      <c r="C1615" s="1" t="inlineStr">
        <is>
          <t>073</t>
        </is>
      </c>
      <c r="D1615" s="1" t="inlineStr">
        <is>
          <t>254904</t>
        </is>
      </c>
      <c r="E1615" s="1" t="inlineStr">
        <is>
          <t xml:space="preserve">34840550       </t>
        </is>
      </c>
      <c r="F1615" s="5" t="inlineStr">
        <is>
          <t>TEAMSTERZ M/MOVERZ TRANSPORTA GORILA</t>
        </is>
      </c>
      <c r="G1615" t="n">
        <v>1</v>
      </c>
      <c r="H1615" s="7" t="n">
        <v>129</v>
      </c>
      <c r="I1615" s="7" t="n">
        <v>12.9</v>
      </c>
      <c r="J1615" s="7" t="n">
        <v>0</v>
      </c>
      <c r="K1615" s="9" t="n">
        <v>12.9</v>
      </c>
      <c r="L1615" s="10" t="n">
        <v>68.87</v>
      </c>
      <c r="M1615" s="10" t="n">
        <v>1.43</v>
      </c>
      <c r="N1615" t="inlineStr">
        <is>
          <t>1</t>
        </is>
      </c>
      <c r="O1615" t="inlineStr">
        <is>
          <t xml:space="preserve">3 </t>
        </is>
      </c>
      <c r="P1615" t="inlineStr">
        <is>
          <t xml:space="preserve">52786   </t>
        </is>
      </c>
      <c r="Q1615" s="26" t="n">
        <v>76.53</v>
      </c>
      <c r="R1615" s="26">
        <f>Q1615*G1615</f>
        <v/>
      </c>
      <c r="S1615" s="26">
        <f>IFERROR(VLOOKUP(E1615*1,Tabla[#All],8,0),0)</f>
        <v/>
      </c>
      <c r="T1615" s="26">
        <f>S1615*G1615</f>
        <v/>
      </c>
      <c r="U1615" s="26">
        <f>R1615-T1615</f>
        <v/>
      </c>
      <c r="V1615" s="26">
        <f>U1615-L1615</f>
        <v/>
      </c>
    </row>
    <row r="1616">
      <c r="A1616" s="11" t="n">
        <v>46220</v>
      </c>
      <c r="B1616" s="1" t="n">
        <v>20040</v>
      </c>
      <c r="C1616" s="1" t="inlineStr">
        <is>
          <t>083</t>
        </is>
      </c>
      <c r="D1616" s="1" t="inlineStr">
        <is>
          <t>159991</t>
        </is>
      </c>
      <c r="E1616" s="1" t="inlineStr">
        <is>
          <t xml:space="preserve">28194770       </t>
        </is>
      </c>
      <c r="F1616" s="5" t="inlineStr">
        <is>
          <t>AUTOS DE METAL 3 TEAMSTERZ EN BLISTER</t>
        </is>
      </c>
      <c r="G1616" t="n">
        <v>1</v>
      </c>
      <c r="H1616" s="7" t="n">
        <v>6.9</v>
      </c>
      <c r="I1616" s="7" t="n">
        <v>0</v>
      </c>
      <c r="J1616" s="7" t="n">
        <v>0</v>
      </c>
      <c r="K1616" s="9" t="n">
        <v>0</v>
      </c>
      <c r="L1616" s="10" t="n">
        <v>4.1</v>
      </c>
      <c r="M1616" s="10" t="n">
        <v>1.43</v>
      </c>
      <c r="N1616" t="inlineStr">
        <is>
          <t>1</t>
        </is>
      </c>
      <c r="O1616" t="inlineStr">
        <is>
          <t>16</t>
        </is>
      </c>
      <c r="P1616" t="inlineStr">
        <is>
          <t xml:space="preserve">61602   </t>
        </is>
      </c>
      <c r="Q1616" s="26" t="n">
        <v>4.09</v>
      </c>
      <c r="R1616" s="26">
        <f>Q1616*G1616</f>
        <v/>
      </c>
      <c r="S1616" s="26">
        <f>IFERROR(VLOOKUP(E1616*1,Tabla[#All],8,0),0)</f>
        <v/>
      </c>
      <c r="T1616" s="26">
        <f>S1616*G1616</f>
        <v/>
      </c>
      <c r="U1616" s="26">
        <f>R1616-T1616</f>
        <v/>
      </c>
      <c r="V1616" s="26">
        <f>U1616-L1616</f>
        <v/>
      </c>
    </row>
    <row r="1617">
      <c r="A1617" s="11" t="n">
        <v>46220</v>
      </c>
      <c r="B1617" s="1" t="n">
        <v>20040</v>
      </c>
      <c r="C1617" s="1" t="inlineStr">
        <is>
          <t>083</t>
        </is>
      </c>
      <c r="D1617" s="1" t="inlineStr">
        <is>
          <t>159993</t>
        </is>
      </c>
      <c r="E1617" s="1" t="inlineStr">
        <is>
          <t xml:space="preserve">28194780       </t>
        </is>
      </c>
      <c r="F1617" s="5" t="inlineStr">
        <is>
          <t>TROMPO BATALLA INFINITY NADO PLSTICO SURTIDO</t>
        </is>
      </c>
      <c r="G1617" t="n">
        <v>1</v>
      </c>
      <c r="H1617" s="7" t="n">
        <v>19.9</v>
      </c>
      <c r="I1617" s="7" t="n">
        <v>0</v>
      </c>
      <c r="J1617" s="7" t="n">
        <v>0</v>
      </c>
      <c r="K1617" s="9" t="n">
        <v>0</v>
      </c>
      <c r="L1617" s="10" t="n">
        <v>11.8</v>
      </c>
      <c r="M1617" s="10" t="n">
        <v>1.43</v>
      </c>
      <c r="N1617" t="inlineStr">
        <is>
          <t>1</t>
        </is>
      </c>
      <c r="O1617" t="inlineStr">
        <is>
          <t>16</t>
        </is>
      </c>
      <c r="P1617" t="inlineStr">
        <is>
          <t xml:space="preserve">61602   </t>
        </is>
      </c>
      <c r="Q1617" s="26" t="n">
        <v>11.81</v>
      </c>
      <c r="R1617" s="26">
        <f>Q1617*G1617</f>
        <v/>
      </c>
      <c r="S1617" s="26">
        <f>IFERROR(VLOOKUP(E1617*1,Tabla[#All],8,0),0)</f>
        <v/>
      </c>
      <c r="T1617" s="26">
        <f>S1617*G1617</f>
        <v/>
      </c>
      <c r="U1617" s="26">
        <f>R1617-T1617</f>
        <v/>
      </c>
      <c r="V1617" s="26">
        <f>U1617-L1617</f>
        <v/>
      </c>
    </row>
    <row r="1618">
      <c r="A1618" s="11" t="n">
        <v>46220</v>
      </c>
      <c r="B1618" s="1" t="n">
        <v>20040</v>
      </c>
      <c r="C1618" s="1" t="inlineStr">
        <is>
          <t>190</t>
        </is>
      </c>
      <c r="D1618" s="1" t="inlineStr">
        <is>
          <t>368442</t>
        </is>
      </c>
      <c r="E1618" s="1" t="inlineStr">
        <is>
          <t xml:space="preserve">28194768       </t>
        </is>
      </c>
      <c r="F1618" s="5" t="inlineStr">
        <is>
          <t>AUTO COLOR CHANGE TEAMSTERZ SURTIDO</t>
        </is>
      </c>
      <c r="G1618" t="n">
        <v>1</v>
      </c>
      <c r="H1618" s="7" t="n">
        <v>14.9</v>
      </c>
      <c r="I1618" s="7" t="n">
        <v>0</v>
      </c>
      <c r="J1618" s="7" t="n">
        <v>0</v>
      </c>
      <c r="K1618" s="9" t="n">
        <v>0</v>
      </c>
      <c r="L1618" s="10" t="n">
        <v>8.84</v>
      </c>
      <c r="M1618" s="10" t="n">
        <v>1.43</v>
      </c>
      <c r="N1618" t="inlineStr">
        <is>
          <t>1</t>
        </is>
      </c>
      <c r="O1618" t="inlineStr">
        <is>
          <t xml:space="preserve">2 </t>
        </is>
      </c>
      <c r="P1618" t="inlineStr">
        <is>
          <t xml:space="preserve">242658  </t>
        </is>
      </c>
      <c r="Q1618" s="26" t="n">
        <v>8.84</v>
      </c>
      <c r="R1618" s="26">
        <f>Q1618*G1618</f>
        <v/>
      </c>
      <c r="S1618" s="26">
        <f>IFERROR(VLOOKUP(E1618*1,Tabla[#All],8,0),0)</f>
        <v/>
      </c>
      <c r="T1618" s="26">
        <f>S1618*G1618</f>
        <v/>
      </c>
      <c r="U1618" s="26">
        <f>R1618-T1618</f>
        <v/>
      </c>
      <c r="V1618" s="26">
        <f>U1618-L1618</f>
        <v/>
      </c>
    </row>
    <row r="1619">
      <c r="A1619" s="11" t="n">
        <v>46220</v>
      </c>
      <c r="B1619" s="1" t="n">
        <v>20040</v>
      </c>
      <c r="C1619" s="1" t="inlineStr">
        <is>
          <t>800</t>
        </is>
      </c>
      <c r="D1619" s="1" t="inlineStr">
        <is>
          <t xml:space="preserve">3369  </t>
        </is>
      </c>
      <c r="E1619" s="1" t="inlineStr">
        <is>
          <t xml:space="preserve">31675354       </t>
        </is>
      </c>
      <c r="F1619" s="5" t="inlineStr">
        <is>
          <t>NENUCO LLORON CON ACCESORIOS</t>
        </is>
      </c>
      <c r="G1619" t="n">
        <v>1</v>
      </c>
      <c r="H1619" s="7" t="n">
        <v>69.90000000000001</v>
      </c>
      <c r="I1619" s="7" t="n">
        <v>6.99</v>
      </c>
      <c r="J1619" s="7" t="n">
        <v>0</v>
      </c>
      <c r="K1619" s="9" t="n">
        <v>6.99</v>
      </c>
      <c r="L1619" s="10" t="n">
        <v>37.32</v>
      </c>
      <c r="M1619" s="10" t="n">
        <v>1.43</v>
      </c>
      <c r="N1619" t="inlineStr">
        <is>
          <t>1</t>
        </is>
      </c>
      <c r="O1619" t="inlineStr">
        <is>
          <t>16</t>
        </is>
      </c>
      <c r="P1619" t="inlineStr">
        <is>
          <t xml:space="preserve">24630   </t>
        </is>
      </c>
      <c r="Q1619" s="26" t="n">
        <v>53.33</v>
      </c>
      <c r="R1619" s="26">
        <f>Q1619*G1619</f>
        <v/>
      </c>
      <c r="S1619" s="26">
        <f>IFERROR(VLOOKUP(E1619*1,Tabla[#All],8,0),0)</f>
        <v/>
      </c>
      <c r="T1619" s="26">
        <f>S1619*G1619</f>
        <v/>
      </c>
      <c r="U1619" s="26">
        <f>R1619-T1619</f>
        <v/>
      </c>
      <c r="V1619" s="26">
        <f>U1619-L1619</f>
        <v/>
      </c>
    </row>
    <row r="1620">
      <c r="A1620" s="11" t="n">
        <v>46220</v>
      </c>
      <c r="B1620" s="1" t="n">
        <v>20041</v>
      </c>
      <c r="C1620" s="1" t="inlineStr">
        <is>
          <t>011</t>
        </is>
      </c>
      <c r="D1620" s="1" t="inlineStr">
        <is>
          <t xml:space="preserve">917   </t>
        </is>
      </c>
      <c r="E1620" s="1" t="inlineStr">
        <is>
          <t xml:space="preserve">28194770       </t>
        </is>
      </c>
      <c r="F1620" s="5" t="inlineStr">
        <is>
          <t>AUTOS DE METAL 3 TEAMSTERZ EN BLISTER</t>
        </is>
      </c>
      <c r="G1620" t="n">
        <v>1</v>
      </c>
      <c r="H1620" s="7" t="n">
        <v>6.9</v>
      </c>
      <c r="I1620" s="7" t="n">
        <v>0</v>
      </c>
      <c r="J1620" s="7" t="n">
        <v>0</v>
      </c>
      <c r="K1620" s="9" t="n">
        <v>0</v>
      </c>
      <c r="L1620" s="10" t="n">
        <v>4.1</v>
      </c>
      <c r="M1620" s="10" t="n">
        <v>1.43</v>
      </c>
      <c r="N1620" t="inlineStr">
        <is>
          <t>1</t>
        </is>
      </c>
      <c r="O1620" t="inlineStr">
        <is>
          <t>16</t>
        </is>
      </c>
      <c r="P1620" t="inlineStr">
        <is>
          <t xml:space="preserve">46327   </t>
        </is>
      </c>
      <c r="Q1620" s="26" t="n">
        <v>4.09</v>
      </c>
      <c r="R1620" s="26">
        <f>Q1620*G1620</f>
        <v/>
      </c>
      <c r="S1620" s="26">
        <f>IFERROR(VLOOKUP(E1620*1,Tabla[#All],8,0),0)</f>
        <v/>
      </c>
      <c r="T1620" s="26">
        <f>S1620*G1620</f>
        <v/>
      </c>
      <c r="U1620" s="26">
        <f>R1620-T1620</f>
        <v/>
      </c>
      <c r="V1620" s="26">
        <f>U1620-L1620</f>
        <v/>
      </c>
    </row>
    <row r="1621">
      <c r="A1621" s="11" t="n">
        <v>46220</v>
      </c>
      <c r="B1621" s="1" t="n">
        <v>20041</v>
      </c>
      <c r="C1621" s="1" t="inlineStr">
        <is>
          <t>013</t>
        </is>
      </c>
      <c r="D1621" s="1" t="inlineStr">
        <is>
          <t>459395</t>
        </is>
      </c>
      <c r="E1621" s="1" t="inlineStr">
        <is>
          <t xml:space="preserve">28194770       </t>
        </is>
      </c>
      <c r="F1621" s="5" t="inlineStr">
        <is>
          <t>AUTOS DE METAL 3 TEAMSTERZ EN BLISTER</t>
        </is>
      </c>
      <c r="G1621" t="n">
        <v>1</v>
      </c>
      <c r="H1621" s="7" t="n">
        <v>6.9</v>
      </c>
      <c r="I1621" s="7" t="n">
        <v>0</v>
      </c>
      <c r="J1621" s="7" t="n">
        <v>0</v>
      </c>
      <c r="K1621" s="9" t="n">
        <v>0</v>
      </c>
      <c r="L1621" s="10" t="n">
        <v>4.1</v>
      </c>
      <c r="M1621" s="10" t="n">
        <v>1.43</v>
      </c>
      <c r="N1621" t="inlineStr">
        <is>
          <t>1</t>
        </is>
      </c>
      <c r="O1621" t="inlineStr">
        <is>
          <t xml:space="preserve">2 </t>
        </is>
      </c>
      <c r="P1621" t="inlineStr">
        <is>
          <t xml:space="preserve">49695   </t>
        </is>
      </c>
      <c r="Q1621" s="26" t="n">
        <v>4.09</v>
      </c>
      <c r="R1621" s="26">
        <f>Q1621*G1621</f>
        <v/>
      </c>
      <c r="S1621" s="26">
        <f>IFERROR(VLOOKUP(E1621*1,Tabla[#All],8,0),0)</f>
        <v/>
      </c>
      <c r="T1621" s="26">
        <f>S1621*G1621</f>
        <v/>
      </c>
      <c r="U1621" s="26">
        <f>R1621-T1621</f>
        <v/>
      </c>
      <c r="V1621" s="26">
        <f>U1621-L1621</f>
        <v/>
      </c>
    </row>
    <row r="1622">
      <c r="A1622" s="11" t="n">
        <v>46220</v>
      </c>
      <c r="B1622" s="1" t="n">
        <v>20041</v>
      </c>
      <c r="C1622" s="1" t="inlineStr">
        <is>
          <t>018</t>
        </is>
      </c>
      <c r="D1622" s="1" t="inlineStr">
        <is>
          <t xml:space="preserve">56218 </t>
        </is>
      </c>
      <c r="E1622" s="1" t="inlineStr">
        <is>
          <t xml:space="preserve">28194769       </t>
        </is>
      </c>
      <c r="F1622" s="5" t="inlineStr">
        <is>
          <t>AUTOS DE METAL 3 TEAMSTERZ PACK DE 2</t>
        </is>
      </c>
      <c r="G1622" t="n">
        <v>1</v>
      </c>
      <c r="H1622" s="7" t="n">
        <v>13.8</v>
      </c>
      <c r="I1622" s="7" t="n">
        <v>0</v>
      </c>
      <c r="J1622" s="7" t="n">
        <v>0</v>
      </c>
      <c r="K1622" s="9" t="n">
        <v>0</v>
      </c>
      <c r="L1622" s="10" t="n">
        <v>8.18</v>
      </c>
      <c r="M1622" s="10" t="n">
        <v>1.43</v>
      </c>
      <c r="N1622" t="inlineStr">
        <is>
          <t>1</t>
        </is>
      </c>
      <c r="O1622" t="inlineStr">
        <is>
          <t>16</t>
        </is>
      </c>
      <c r="P1622" t="inlineStr">
        <is>
          <t xml:space="preserve">53218   </t>
        </is>
      </c>
      <c r="Q1622" s="26" t="n">
        <v>8.19</v>
      </c>
      <c r="R1622" s="26">
        <f>Q1622*G1622</f>
        <v/>
      </c>
      <c r="S1622" s="26">
        <f>IFERROR(VLOOKUP(E1622*1,Tabla[#All],8,0),0)</f>
        <v/>
      </c>
      <c r="T1622" s="26">
        <f>S1622*G1622</f>
        <v/>
      </c>
      <c r="U1622" s="26">
        <f>R1622-T1622</f>
        <v/>
      </c>
      <c r="V1622" s="26">
        <f>U1622-L1622</f>
        <v/>
      </c>
    </row>
    <row r="1623">
      <c r="A1623" s="11" t="n">
        <v>46220</v>
      </c>
      <c r="B1623" s="1" t="n">
        <v>20041</v>
      </c>
      <c r="C1623" s="1" t="inlineStr">
        <is>
          <t>037</t>
        </is>
      </c>
      <c r="D1623" s="1" t="inlineStr">
        <is>
          <t>189802</t>
        </is>
      </c>
      <c r="E1623" s="1" t="inlineStr">
        <is>
          <t xml:space="preserve">28194770       </t>
        </is>
      </c>
      <c r="F1623" s="5" t="inlineStr">
        <is>
          <t>AUTOS DE METAL 3 TEAMSTERZ EN BLISTER</t>
        </is>
      </c>
      <c r="G1623" t="n">
        <v>1</v>
      </c>
      <c r="H1623" s="7" t="n">
        <v>6.9</v>
      </c>
      <c r="I1623" s="7" t="n">
        <v>0</v>
      </c>
      <c r="J1623" s="7" t="n">
        <v>0</v>
      </c>
      <c r="K1623" s="9" t="n">
        <v>0</v>
      </c>
      <c r="L1623" s="10" t="n">
        <v>4.1</v>
      </c>
      <c r="M1623" s="10" t="n">
        <v>1.43</v>
      </c>
      <c r="N1623" t="inlineStr">
        <is>
          <t>1</t>
        </is>
      </c>
      <c r="O1623" t="inlineStr">
        <is>
          <t>16</t>
        </is>
      </c>
      <c r="P1623" t="inlineStr">
        <is>
          <t xml:space="preserve">242746  </t>
        </is>
      </c>
      <c r="Q1623" s="26" t="n">
        <v>4.09</v>
      </c>
      <c r="R1623" s="26">
        <f>Q1623*G1623</f>
        <v/>
      </c>
      <c r="S1623" s="26">
        <f>IFERROR(VLOOKUP(E1623*1,Tabla[#All],8,0),0)</f>
        <v/>
      </c>
      <c r="T1623" s="26">
        <f>S1623*G1623</f>
        <v/>
      </c>
      <c r="U1623" s="26">
        <f>R1623-T1623</f>
        <v/>
      </c>
      <c r="V1623" s="26">
        <f>U1623-L1623</f>
        <v/>
      </c>
    </row>
    <row r="1624">
      <c r="A1624" s="11" t="n">
        <v>46220</v>
      </c>
      <c r="B1624" s="1" t="n">
        <v>20041</v>
      </c>
      <c r="C1624" s="1" t="inlineStr">
        <is>
          <t>037</t>
        </is>
      </c>
      <c r="D1624" s="1" t="inlineStr">
        <is>
          <t>189802</t>
        </is>
      </c>
      <c r="E1624" s="1" t="inlineStr">
        <is>
          <t xml:space="preserve">28194770       </t>
        </is>
      </c>
      <c r="F1624" s="5" t="inlineStr">
        <is>
          <t>AUTOS DE METAL 3 TEAMSTERZ EN BLISTER</t>
        </is>
      </c>
      <c r="G1624" t="n">
        <v>1</v>
      </c>
      <c r="H1624" s="7" t="n">
        <v>6.9</v>
      </c>
      <c r="I1624" s="7" t="n">
        <v>0</v>
      </c>
      <c r="J1624" s="7" t="n">
        <v>0</v>
      </c>
      <c r="K1624" s="9" t="n">
        <v>0</v>
      </c>
      <c r="L1624" s="10" t="n">
        <v>4.1</v>
      </c>
      <c r="M1624" s="10" t="n">
        <v>1.43</v>
      </c>
      <c r="N1624" t="inlineStr">
        <is>
          <t>1</t>
        </is>
      </c>
      <c r="O1624" t="inlineStr">
        <is>
          <t>16</t>
        </is>
      </c>
      <c r="P1624" t="inlineStr">
        <is>
          <t xml:space="preserve">242746  </t>
        </is>
      </c>
      <c r="Q1624" s="26" t="n">
        <v>4.09</v>
      </c>
      <c r="R1624" s="26">
        <f>Q1624*G1624</f>
        <v/>
      </c>
      <c r="S1624" s="26">
        <f>IFERROR(VLOOKUP(E1624*1,Tabla[#All],8,0),0)</f>
        <v/>
      </c>
      <c r="T1624" s="26">
        <f>S1624*G1624</f>
        <v/>
      </c>
      <c r="U1624" s="26">
        <f>R1624-T1624</f>
        <v/>
      </c>
      <c r="V1624" s="26">
        <f>U1624-L1624</f>
        <v/>
      </c>
    </row>
    <row r="1625">
      <c r="A1625" s="11" t="n">
        <v>46220</v>
      </c>
      <c r="B1625" s="1" t="n">
        <v>20041</v>
      </c>
      <c r="C1625" s="1" t="inlineStr">
        <is>
          <t>037</t>
        </is>
      </c>
      <c r="D1625" s="1" t="inlineStr">
        <is>
          <t>189826</t>
        </is>
      </c>
      <c r="E1625" s="1" t="inlineStr">
        <is>
          <t xml:space="preserve">28194770       </t>
        </is>
      </c>
      <c r="F1625" s="5" t="inlineStr">
        <is>
          <t>AUTOS DE METAL 3 TEAMSTERZ EN BLISTER</t>
        </is>
      </c>
      <c r="G1625" t="n">
        <v>1</v>
      </c>
      <c r="H1625" s="7" t="n">
        <v>6.9</v>
      </c>
      <c r="I1625" s="7" t="n">
        <v>0</v>
      </c>
      <c r="J1625" s="7" t="n">
        <v>0</v>
      </c>
      <c r="K1625" s="9" t="n">
        <v>0</v>
      </c>
      <c r="L1625" s="10" t="n">
        <v>4.1</v>
      </c>
      <c r="M1625" s="10" t="n">
        <v>1.43</v>
      </c>
      <c r="N1625" t="inlineStr">
        <is>
          <t>1</t>
        </is>
      </c>
      <c r="O1625" t="inlineStr">
        <is>
          <t>16</t>
        </is>
      </c>
      <c r="P1625" t="inlineStr">
        <is>
          <t xml:space="preserve">244965  </t>
        </is>
      </c>
      <c r="Q1625" s="26" t="n">
        <v>4.09</v>
      </c>
      <c r="R1625" s="26">
        <f>Q1625*G1625</f>
        <v/>
      </c>
      <c r="S1625" s="26">
        <f>IFERROR(VLOOKUP(E1625*1,Tabla[#All],8,0),0)</f>
        <v/>
      </c>
      <c r="T1625" s="26">
        <f>S1625*G1625</f>
        <v/>
      </c>
      <c r="U1625" s="26">
        <f>R1625-T1625</f>
        <v/>
      </c>
      <c r="V1625" s="26">
        <f>U1625-L1625</f>
        <v/>
      </c>
    </row>
    <row r="1626">
      <c r="A1626" s="11" t="n">
        <v>46220</v>
      </c>
      <c r="B1626" s="1" t="n">
        <v>20041</v>
      </c>
      <c r="C1626" s="1" t="inlineStr">
        <is>
          <t>043</t>
        </is>
      </c>
      <c r="D1626" s="1" t="inlineStr">
        <is>
          <t xml:space="preserve">76250 </t>
        </is>
      </c>
      <c r="E1626" s="1" t="inlineStr">
        <is>
          <t xml:space="preserve">28194770       </t>
        </is>
      </c>
      <c r="F1626" s="5" t="inlineStr">
        <is>
          <t>AUTOS DE METAL 3 TEAMSTERZ EN BLISTER</t>
        </is>
      </c>
      <c r="G1626" t="n">
        <v>1</v>
      </c>
      <c r="H1626" s="7" t="n">
        <v>6.9</v>
      </c>
      <c r="I1626" s="7" t="n">
        <v>0</v>
      </c>
      <c r="J1626" s="7" t="n">
        <v>0</v>
      </c>
      <c r="K1626" s="9" t="n">
        <v>0</v>
      </c>
      <c r="L1626" s="10" t="n">
        <v>4.1</v>
      </c>
      <c r="M1626" s="10" t="n">
        <v>1.43</v>
      </c>
      <c r="N1626" t="inlineStr">
        <is>
          <t>1</t>
        </is>
      </c>
      <c r="O1626" t="inlineStr">
        <is>
          <t xml:space="preserve">2 </t>
        </is>
      </c>
      <c r="P1626" t="inlineStr">
        <is>
          <t xml:space="preserve">243698  </t>
        </is>
      </c>
      <c r="Q1626" s="26" t="n">
        <v>4.09</v>
      </c>
      <c r="R1626" s="26">
        <f>Q1626*G1626</f>
        <v/>
      </c>
      <c r="S1626" s="26">
        <f>IFERROR(VLOOKUP(E1626*1,Tabla[#All],8,0),0)</f>
        <v/>
      </c>
      <c r="T1626" s="26">
        <f>S1626*G1626</f>
        <v/>
      </c>
      <c r="U1626" s="26">
        <f>R1626-T1626</f>
        <v/>
      </c>
      <c r="V1626" s="26">
        <f>U1626-L1626</f>
        <v/>
      </c>
    </row>
    <row r="1627">
      <c r="A1627" s="11" t="n">
        <v>46220</v>
      </c>
      <c r="B1627" s="1" t="n">
        <v>20043</v>
      </c>
      <c r="C1627" s="1" t="inlineStr">
        <is>
          <t>054</t>
        </is>
      </c>
      <c r="D1627" s="1" t="inlineStr">
        <is>
          <t xml:space="preserve">15307 </t>
        </is>
      </c>
      <c r="E1627" s="1" t="inlineStr">
        <is>
          <t xml:space="preserve">28194770       </t>
        </is>
      </c>
      <c r="F1627" s="5" t="inlineStr">
        <is>
          <t>AUTOS DE METAL 3 TEAMSTERZ EN BLISTER</t>
        </is>
      </c>
      <c r="G1627" t="n">
        <v>1</v>
      </c>
      <c r="H1627" s="7" t="n">
        <v>6.9</v>
      </c>
      <c r="I1627" s="7" t="n">
        <v>0</v>
      </c>
      <c r="J1627" s="7" t="n">
        <v>0</v>
      </c>
      <c r="K1627" s="9" t="n">
        <v>0</v>
      </c>
      <c r="L1627" s="10" t="n">
        <v>4.1</v>
      </c>
      <c r="M1627" s="10" t="n">
        <v>1.43</v>
      </c>
      <c r="N1627" t="inlineStr">
        <is>
          <t>1</t>
        </is>
      </c>
      <c r="O1627" t="inlineStr">
        <is>
          <t>16</t>
        </is>
      </c>
      <c r="P1627" t="inlineStr">
        <is>
          <t xml:space="preserve">73748   </t>
        </is>
      </c>
      <c r="Q1627" s="26" t="n">
        <v>4.09</v>
      </c>
      <c r="R1627" s="26">
        <f>Q1627*G1627</f>
        <v/>
      </c>
      <c r="S1627" s="26">
        <f>IFERROR(VLOOKUP(E1627*1,Tabla[#All],8,0),0)</f>
        <v/>
      </c>
      <c r="T1627" s="26">
        <f>S1627*G1627</f>
        <v/>
      </c>
      <c r="U1627" s="26">
        <f>R1627-T1627</f>
        <v/>
      </c>
      <c r="V1627" s="26">
        <f>U1627-L1627</f>
        <v/>
      </c>
    </row>
    <row r="1628">
      <c r="A1628" s="11" t="n">
        <v>46220</v>
      </c>
      <c r="B1628" s="1" t="n">
        <v>20043</v>
      </c>
      <c r="C1628" s="1" t="inlineStr">
        <is>
          <t>054</t>
        </is>
      </c>
      <c r="D1628" s="1" t="inlineStr">
        <is>
          <t xml:space="preserve">15332 </t>
        </is>
      </c>
      <c r="E1628" s="1" t="inlineStr">
        <is>
          <t xml:space="preserve">28194769       </t>
        </is>
      </c>
      <c r="F1628" s="5" t="inlineStr">
        <is>
          <t>AUTOS DE METAL 3 TEAMSTERZ PACK DE 2</t>
        </is>
      </c>
      <c r="G1628" t="n">
        <v>1</v>
      </c>
      <c r="H1628" s="7" t="n">
        <v>13.8</v>
      </c>
      <c r="I1628" s="7" t="n">
        <v>0</v>
      </c>
      <c r="J1628" s="7" t="n">
        <v>0</v>
      </c>
      <c r="K1628" s="9" t="n">
        <v>0</v>
      </c>
      <c r="L1628" s="10" t="n">
        <v>8.18</v>
      </c>
      <c r="M1628" s="10" t="n">
        <v>1.43</v>
      </c>
      <c r="N1628" t="inlineStr">
        <is>
          <t>1</t>
        </is>
      </c>
      <c r="O1628" t="inlineStr">
        <is>
          <t>16</t>
        </is>
      </c>
      <c r="P1628" t="inlineStr">
        <is>
          <t xml:space="preserve">73748   </t>
        </is>
      </c>
      <c r="Q1628" s="26" t="n">
        <v>8.19</v>
      </c>
      <c r="R1628" s="26">
        <f>Q1628*G1628</f>
        <v/>
      </c>
      <c r="S1628" s="26">
        <f>IFERROR(VLOOKUP(E1628*1,Tabla[#All],8,0),0)</f>
        <v/>
      </c>
      <c r="T1628" s="26">
        <f>S1628*G1628</f>
        <v/>
      </c>
      <c r="U1628" s="26">
        <f>R1628-T1628</f>
        <v/>
      </c>
      <c r="V1628" s="26">
        <f>U1628-L1628</f>
        <v/>
      </c>
    </row>
    <row r="1629">
      <c r="A1629" s="11" t="n">
        <v>46220</v>
      </c>
      <c r="B1629" s="1" t="n">
        <v>20043</v>
      </c>
      <c r="C1629" s="1" t="inlineStr">
        <is>
          <t>054</t>
        </is>
      </c>
      <c r="D1629" s="1" t="inlineStr">
        <is>
          <t xml:space="preserve">15332 </t>
        </is>
      </c>
      <c r="E1629" s="1" t="inlineStr">
        <is>
          <t xml:space="preserve">28194770       </t>
        </is>
      </c>
      <c r="F1629" s="5" t="inlineStr">
        <is>
          <t>AUTOS DE METAL 3 TEAMSTERZ EN BLISTER</t>
        </is>
      </c>
      <c r="G1629" t="n">
        <v>1</v>
      </c>
      <c r="H1629" s="7" t="n">
        <v>6.9</v>
      </c>
      <c r="I1629" s="7" t="n">
        <v>0</v>
      </c>
      <c r="J1629" s="7" t="n">
        <v>0</v>
      </c>
      <c r="K1629" s="9" t="n">
        <v>0</v>
      </c>
      <c r="L1629" s="10" t="n">
        <v>4.1</v>
      </c>
      <c r="M1629" s="10" t="n">
        <v>1.43</v>
      </c>
      <c r="N1629" t="inlineStr">
        <is>
          <t>1</t>
        </is>
      </c>
      <c r="O1629" t="inlineStr">
        <is>
          <t>16</t>
        </is>
      </c>
      <c r="P1629" t="inlineStr">
        <is>
          <t xml:space="preserve">73748   </t>
        </is>
      </c>
      <c r="Q1629" s="26" t="n">
        <v>4.09</v>
      </c>
      <c r="R1629" s="26">
        <f>Q1629*G1629</f>
        <v/>
      </c>
      <c r="S1629" s="26">
        <f>IFERROR(VLOOKUP(E1629*1,Tabla[#All],8,0),0)</f>
        <v/>
      </c>
      <c r="T1629" s="26">
        <f>S1629*G1629</f>
        <v/>
      </c>
      <c r="U1629" s="26">
        <f>R1629-T1629</f>
        <v/>
      </c>
      <c r="V1629" s="26">
        <f>U1629-L1629</f>
        <v/>
      </c>
    </row>
    <row r="1630">
      <c r="A1630" s="11" t="n">
        <v>46220</v>
      </c>
      <c r="B1630" s="1" t="n">
        <v>20043</v>
      </c>
      <c r="C1630" s="1" t="inlineStr">
        <is>
          <t>059</t>
        </is>
      </c>
      <c r="D1630" s="1" t="inlineStr">
        <is>
          <t>150971</t>
        </is>
      </c>
      <c r="E1630" s="1" t="inlineStr">
        <is>
          <t xml:space="preserve">28194769       </t>
        </is>
      </c>
      <c r="F1630" s="5" t="inlineStr">
        <is>
          <t>AUTOS DE METAL 3 TEAMSTERZ PACK DE 2</t>
        </is>
      </c>
      <c r="G1630" t="n">
        <v>1</v>
      </c>
      <c r="H1630" s="7" t="n">
        <v>13.8</v>
      </c>
      <c r="I1630" s="7" t="n">
        <v>1.38</v>
      </c>
      <c r="J1630" s="7" t="n">
        <v>0</v>
      </c>
      <c r="K1630" s="9" t="n">
        <v>1.38</v>
      </c>
      <c r="L1630" s="10" t="n">
        <v>7.37</v>
      </c>
      <c r="M1630" s="10" t="n">
        <v>1.43</v>
      </c>
      <c r="N1630" t="inlineStr">
        <is>
          <t>1</t>
        </is>
      </c>
      <c r="O1630" t="inlineStr">
        <is>
          <t xml:space="preserve">3 </t>
        </is>
      </c>
      <c r="P1630" t="inlineStr">
        <is>
          <t xml:space="preserve">248955  </t>
        </is>
      </c>
      <c r="Q1630" s="26" t="n">
        <v>8.19</v>
      </c>
      <c r="R1630" s="26">
        <f>Q1630*G1630</f>
        <v/>
      </c>
      <c r="S1630" s="26">
        <f>IFERROR(VLOOKUP(E1630*1,Tabla[#All],8,0),0)</f>
        <v/>
      </c>
      <c r="T1630" s="26">
        <f>S1630*G1630</f>
        <v/>
      </c>
      <c r="U1630" s="26">
        <f>R1630-T1630</f>
        <v/>
      </c>
      <c r="V1630" s="26">
        <f>U1630-L1630</f>
        <v/>
      </c>
    </row>
    <row r="1631">
      <c r="A1631" s="11" t="n">
        <v>46220</v>
      </c>
      <c r="B1631" s="1" t="n">
        <v>20043</v>
      </c>
      <c r="C1631" s="1" t="inlineStr">
        <is>
          <t>059</t>
        </is>
      </c>
      <c r="D1631" s="1" t="inlineStr">
        <is>
          <t>150971</t>
        </is>
      </c>
      <c r="E1631" s="1" t="inlineStr">
        <is>
          <t xml:space="preserve">28194769       </t>
        </is>
      </c>
      <c r="F1631" s="5" t="inlineStr">
        <is>
          <t>AUTOS DE METAL 3 TEAMSTERZ PACK DE 2</t>
        </is>
      </c>
      <c r="G1631" t="n">
        <v>1</v>
      </c>
      <c r="H1631" s="7" t="n">
        <v>13.8</v>
      </c>
      <c r="I1631" s="7" t="n">
        <v>1.38</v>
      </c>
      <c r="J1631" s="7" t="n">
        <v>0</v>
      </c>
      <c r="K1631" s="9" t="n">
        <v>1.38</v>
      </c>
      <c r="L1631" s="10" t="n">
        <v>7.37</v>
      </c>
      <c r="M1631" s="10" t="n">
        <v>1.43</v>
      </c>
      <c r="N1631" t="inlineStr">
        <is>
          <t>1</t>
        </is>
      </c>
      <c r="O1631" t="inlineStr">
        <is>
          <t xml:space="preserve">3 </t>
        </is>
      </c>
      <c r="P1631" t="inlineStr">
        <is>
          <t xml:space="preserve">248955  </t>
        </is>
      </c>
      <c r="Q1631" s="26" t="n">
        <v>8.19</v>
      </c>
      <c r="R1631" s="26">
        <f>Q1631*G1631</f>
        <v/>
      </c>
      <c r="S1631" s="26">
        <f>IFERROR(VLOOKUP(E1631*1,Tabla[#All],8,0),0)</f>
        <v/>
      </c>
      <c r="T1631" s="26">
        <f>S1631*G1631</f>
        <v/>
      </c>
      <c r="U1631" s="26">
        <f>R1631-T1631</f>
        <v/>
      </c>
      <c r="V1631" s="26">
        <f>U1631-L1631</f>
        <v/>
      </c>
    </row>
    <row r="1632">
      <c r="A1632" s="11" t="n">
        <v>46220</v>
      </c>
      <c r="B1632" s="1" t="n">
        <v>20043</v>
      </c>
      <c r="C1632" s="1" t="inlineStr">
        <is>
          <t>061</t>
        </is>
      </c>
      <c r="D1632" s="1" t="inlineStr">
        <is>
          <t>155137</t>
        </is>
      </c>
      <c r="E1632" s="1" t="inlineStr">
        <is>
          <t xml:space="preserve">28194770       </t>
        </is>
      </c>
      <c r="F1632" s="5" t="inlineStr">
        <is>
          <t>AUTOS DE METAL 3 TEAMSTERZ EN BLISTER</t>
        </is>
      </c>
      <c r="G1632" t="n">
        <v>1</v>
      </c>
      <c r="H1632" s="7" t="n">
        <v>6.9</v>
      </c>
      <c r="I1632" s="7" t="n">
        <v>0</v>
      </c>
      <c r="J1632" s="7" t="n">
        <v>0</v>
      </c>
      <c r="K1632" s="9" t="n">
        <v>0</v>
      </c>
      <c r="L1632" s="10" t="n">
        <v>4.1</v>
      </c>
      <c r="M1632" s="10" t="n">
        <v>1.43</v>
      </c>
      <c r="N1632" t="inlineStr">
        <is>
          <t>1</t>
        </is>
      </c>
      <c r="O1632" t="inlineStr">
        <is>
          <t>16</t>
        </is>
      </c>
      <c r="P1632" t="inlineStr">
        <is>
          <t xml:space="preserve">244243  </t>
        </is>
      </c>
      <c r="Q1632" s="26" t="n">
        <v>4.09</v>
      </c>
      <c r="R1632" s="26">
        <f>Q1632*G1632</f>
        <v/>
      </c>
      <c r="S1632" s="26">
        <f>IFERROR(VLOOKUP(E1632*1,Tabla[#All],8,0),0)</f>
        <v/>
      </c>
      <c r="T1632" s="26">
        <f>S1632*G1632</f>
        <v/>
      </c>
      <c r="U1632" s="26">
        <f>R1632-T1632</f>
        <v/>
      </c>
      <c r="V1632" s="26">
        <f>U1632-L1632</f>
        <v/>
      </c>
    </row>
    <row r="1633">
      <c r="A1633" s="11" t="n">
        <v>46220</v>
      </c>
      <c r="B1633" s="1" t="n">
        <v>20043</v>
      </c>
      <c r="C1633" s="1" t="inlineStr">
        <is>
          <t>061</t>
        </is>
      </c>
      <c r="D1633" s="1" t="inlineStr">
        <is>
          <t>155171</t>
        </is>
      </c>
      <c r="E1633" s="1" t="inlineStr">
        <is>
          <t xml:space="preserve">30141766       </t>
        </is>
      </c>
      <c r="F1633" s="5" t="inlineStr">
        <is>
          <t>TMZ BEAST MACHINES AUTOS DE METAL BLISTER X 1</t>
        </is>
      </c>
      <c r="G1633" t="n">
        <v>1</v>
      </c>
      <c r="H1633" s="7" t="n">
        <v>7.9</v>
      </c>
      <c r="I1633" s="7" t="n">
        <v>0.79</v>
      </c>
      <c r="J1633" s="7" t="n">
        <v>0</v>
      </c>
      <c r="K1633" s="9" t="n">
        <v>0.79</v>
      </c>
      <c r="L1633" s="10" t="n">
        <v>4.22</v>
      </c>
      <c r="M1633" s="10" t="n">
        <v>1.43</v>
      </c>
      <c r="N1633" t="inlineStr">
        <is>
          <t>1</t>
        </is>
      </c>
      <c r="O1633" t="inlineStr">
        <is>
          <t xml:space="preserve">3 </t>
        </is>
      </c>
      <c r="P1633" t="inlineStr">
        <is>
          <t xml:space="preserve">244243  </t>
        </is>
      </c>
      <c r="Q1633" s="26" t="n">
        <v>4.69</v>
      </c>
      <c r="R1633" s="26">
        <f>Q1633*G1633</f>
        <v/>
      </c>
      <c r="S1633" s="26">
        <f>IFERROR(VLOOKUP(E1633*1,Tabla[#All],8,0),0)</f>
        <v/>
      </c>
      <c r="T1633" s="26">
        <f>S1633*G1633</f>
        <v/>
      </c>
      <c r="U1633" s="26">
        <f>R1633-T1633</f>
        <v/>
      </c>
      <c r="V1633" s="26">
        <f>U1633-L1633</f>
        <v/>
      </c>
    </row>
    <row r="1634">
      <c r="A1634" s="11" t="n">
        <v>46220</v>
      </c>
      <c r="B1634" s="1" t="n">
        <v>20043</v>
      </c>
      <c r="C1634" s="1" t="inlineStr">
        <is>
          <t>061</t>
        </is>
      </c>
      <c r="D1634" s="1" t="inlineStr">
        <is>
          <t>155171</t>
        </is>
      </c>
      <c r="E1634" s="1" t="inlineStr">
        <is>
          <t xml:space="preserve">30141766       </t>
        </is>
      </c>
      <c r="F1634" s="5" t="inlineStr">
        <is>
          <t>TMZ BEAST MACHINES AUTOS DE METAL BLISTER X 1</t>
        </is>
      </c>
      <c r="G1634" t="n">
        <v>1</v>
      </c>
      <c r="H1634" s="7" t="n">
        <v>7.9</v>
      </c>
      <c r="I1634" s="7" t="n">
        <v>0.79</v>
      </c>
      <c r="J1634" s="7" t="n">
        <v>0</v>
      </c>
      <c r="K1634" s="9" t="n">
        <v>0.79</v>
      </c>
      <c r="L1634" s="10" t="n">
        <v>4.22</v>
      </c>
      <c r="M1634" s="10" t="n">
        <v>1.43</v>
      </c>
      <c r="N1634" t="inlineStr">
        <is>
          <t>1</t>
        </is>
      </c>
      <c r="O1634" t="inlineStr">
        <is>
          <t xml:space="preserve">3 </t>
        </is>
      </c>
      <c r="P1634" t="inlineStr">
        <is>
          <t xml:space="preserve">244243  </t>
        </is>
      </c>
      <c r="Q1634" s="26" t="n">
        <v>4.69</v>
      </c>
      <c r="R1634" s="26">
        <f>Q1634*G1634</f>
        <v/>
      </c>
      <c r="S1634" s="26">
        <f>IFERROR(VLOOKUP(E1634*1,Tabla[#All],8,0),0)</f>
        <v/>
      </c>
      <c r="T1634" s="26">
        <f>S1634*G1634</f>
        <v/>
      </c>
      <c r="U1634" s="26">
        <f>R1634-T1634</f>
        <v/>
      </c>
      <c r="V1634" s="26">
        <f>U1634-L1634</f>
        <v/>
      </c>
    </row>
    <row r="1635">
      <c r="A1635" s="11" t="n">
        <v>46220</v>
      </c>
      <c r="B1635" s="1" t="n">
        <v>20043</v>
      </c>
      <c r="C1635" s="1" t="inlineStr">
        <is>
          <t>061</t>
        </is>
      </c>
      <c r="D1635" s="1" t="inlineStr">
        <is>
          <t>155173</t>
        </is>
      </c>
      <c r="E1635" s="1" t="inlineStr">
        <is>
          <t xml:space="preserve">32457099       </t>
        </is>
      </c>
      <c r="F1635" s="5" t="inlineStr">
        <is>
          <t>TMZ BEAST MACHINES MONSTER JAWS A FRICCION BLISTER</t>
        </is>
      </c>
      <c r="G1635" t="n">
        <v>1</v>
      </c>
      <c r="H1635" s="7" t="n">
        <v>17.9</v>
      </c>
      <c r="I1635" s="7" t="n">
        <v>0</v>
      </c>
      <c r="J1635" s="7" t="n">
        <v>0</v>
      </c>
      <c r="K1635" s="9" t="n">
        <v>0</v>
      </c>
      <c r="L1635" s="10" t="n">
        <v>10.62</v>
      </c>
      <c r="M1635" s="10" t="n">
        <v>1.43</v>
      </c>
      <c r="N1635" t="inlineStr">
        <is>
          <t>1</t>
        </is>
      </c>
      <c r="O1635" t="inlineStr">
        <is>
          <t>16</t>
        </is>
      </c>
      <c r="P1635" t="inlineStr">
        <is>
          <t xml:space="preserve">244243  </t>
        </is>
      </c>
      <c r="Q1635" s="26" t="n">
        <v>11.81</v>
      </c>
      <c r="R1635" s="26">
        <f>Q1635*G1635</f>
        <v/>
      </c>
      <c r="S1635" s="26">
        <f>IFERROR(VLOOKUP(E1635*1,Tabla[#All],8,0),0)</f>
        <v/>
      </c>
      <c r="T1635" s="26">
        <f>S1635*G1635</f>
        <v/>
      </c>
      <c r="U1635" s="26">
        <f>R1635-T1635</f>
        <v/>
      </c>
      <c r="V1635" s="26">
        <f>U1635-L1635</f>
        <v/>
      </c>
    </row>
    <row r="1636">
      <c r="A1636" s="11" t="n">
        <v>46220</v>
      </c>
      <c r="B1636" s="1" t="n">
        <v>20047</v>
      </c>
      <c r="C1636" s="1" t="inlineStr">
        <is>
          <t>012</t>
        </is>
      </c>
      <c r="D1636" s="1" t="inlineStr">
        <is>
          <t>332908</t>
        </is>
      </c>
      <c r="E1636" s="1" t="inlineStr">
        <is>
          <t xml:space="preserve">28194770       </t>
        </is>
      </c>
      <c r="F1636" s="5" t="inlineStr">
        <is>
          <t>AUTOS DE METAL 3 TEAMSTERZ EN BLISTER</t>
        </is>
      </c>
      <c r="G1636" t="n">
        <v>1</v>
      </c>
      <c r="H1636" s="7" t="n">
        <v>6.9</v>
      </c>
      <c r="I1636" s="7" t="n">
        <v>0</v>
      </c>
      <c r="J1636" s="7" t="n">
        <v>0</v>
      </c>
      <c r="K1636" s="9" t="n">
        <v>0</v>
      </c>
      <c r="L1636" s="10" t="n">
        <v>4.1</v>
      </c>
      <c r="M1636" s="10" t="n">
        <v>1.43</v>
      </c>
      <c r="N1636" t="inlineStr">
        <is>
          <t>1</t>
        </is>
      </c>
      <c r="O1636" t="inlineStr">
        <is>
          <t xml:space="preserve">2 </t>
        </is>
      </c>
      <c r="P1636" t="inlineStr">
        <is>
          <t xml:space="preserve">248424  </t>
        </is>
      </c>
      <c r="Q1636" s="26" t="n">
        <v>4.09</v>
      </c>
      <c r="R1636" s="26">
        <f>Q1636*G1636</f>
        <v/>
      </c>
      <c r="S1636" s="26">
        <f>IFERROR(VLOOKUP(E1636*1,Tabla[#All],8,0),0)</f>
        <v/>
      </c>
      <c r="T1636" s="26">
        <f>S1636*G1636</f>
        <v/>
      </c>
      <c r="U1636" s="26">
        <f>R1636-T1636</f>
        <v/>
      </c>
      <c r="V1636" s="26">
        <f>U1636-L1636</f>
        <v/>
      </c>
    </row>
    <row r="1637">
      <c r="A1637" s="11" t="n">
        <v>46220</v>
      </c>
      <c r="B1637" s="1" t="n">
        <v>20047</v>
      </c>
      <c r="C1637" s="1" t="inlineStr">
        <is>
          <t>012</t>
        </is>
      </c>
      <c r="D1637" s="1" t="inlineStr">
        <is>
          <t>332908</t>
        </is>
      </c>
      <c r="E1637" s="1" t="inlineStr">
        <is>
          <t xml:space="preserve">28194770       </t>
        </is>
      </c>
      <c r="F1637" s="5" t="inlineStr">
        <is>
          <t>AUTOS DE METAL 3 TEAMSTERZ EN BLISTER</t>
        </is>
      </c>
      <c r="G1637" t="n">
        <v>1</v>
      </c>
      <c r="H1637" s="7" t="n">
        <v>6.9</v>
      </c>
      <c r="I1637" s="7" t="n">
        <v>0</v>
      </c>
      <c r="J1637" s="7" t="n">
        <v>0</v>
      </c>
      <c r="K1637" s="9" t="n">
        <v>0</v>
      </c>
      <c r="L1637" s="10" t="n">
        <v>4.1</v>
      </c>
      <c r="M1637" s="10" t="n">
        <v>1.43</v>
      </c>
      <c r="N1637" t="inlineStr">
        <is>
          <t>1</t>
        </is>
      </c>
      <c r="O1637" t="inlineStr">
        <is>
          <t xml:space="preserve">2 </t>
        </is>
      </c>
      <c r="P1637" t="inlineStr">
        <is>
          <t xml:space="preserve">248424  </t>
        </is>
      </c>
      <c r="Q1637" s="26" t="n">
        <v>4.09</v>
      </c>
      <c r="R1637" s="26">
        <f>Q1637*G1637</f>
        <v/>
      </c>
      <c r="S1637" s="26">
        <f>IFERROR(VLOOKUP(E1637*1,Tabla[#All],8,0),0)</f>
        <v/>
      </c>
      <c r="T1637" s="26">
        <f>S1637*G1637</f>
        <v/>
      </c>
      <c r="U1637" s="26">
        <f>R1637-T1637</f>
        <v/>
      </c>
      <c r="V1637" s="26">
        <f>U1637-L1637</f>
        <v/>
      </c>
    </row>
    <row r="1638">
      <c r="A1638" s="11" t="n">
        <v>46220</v>
      </c>
      <c r="B1638" s="1" t="n">
        <v>20047</v>
      </c>
      <c r="C1638" s="1" t="inlineStr">
        <is>
          <t>012</t>
        </is>
      </c>
      <c r="D1638" s="1" t="inlineStr">
        <is>
          <t>332908</t>
        </is>
      </c>
      <c r="E1638" s="1" t="inlineStr">
        <is>
          <t xml:space="preserve">28194770       </t>
        </is>
      </c>
      <c r="F1638" s="5" t="inlineStr">
        <is>
          <t>AUTOS DE METAL 3 TEAMSTERZ EN BLISTER</t>
        </is>
      </c>
      <c r="G1638" t="n">
        <v>1</v>
      </c>
      <c r="H1638" s="7" t="n">
        <v>6.9</v>
      </c>
      <c r="I1638" s="7" t="n">
        <v>0</v>
      </c>
      <c r="J1638" s="7" t="n">
        <v>0</v>
      </c>
      <c r="K1638" s="9" t="n">
        <v>0</v>
      </c>
      <c r="L1638" s="10" t="n">
        <v>4.1</v>
      </c>
      <c r="M1638" s="10" t="n">
        <v>1.43</v>
      </c>
      <c r="N1638" t="inlineStr">
        <is>
          <t>1</t>
        </is>
      </c>
      <c r="O1638" t="inlineStr">
        <is>
          <t xml:space="preserve">2 </t>
        </is>
      </c>
      <c r="P1638" t="inlineStr">
        <is>
          <t xml:space="preserve">248424  </t>
        </is>
      </c>
      <c r="Q1638" s="26" t="n">
        <v>4.09</v>
      </c>
      <c r="R1638" s="26">
        <f>Q1638*G1638</f>
        <v/>
      </c>
      <c r="S1638" s="26">
        <f>IFERROR(VLOOKUP(E1638*1,Tabla[#All],8,0),0)</f>
        <v/>
      </c>
      <c r="T1638" s="26">
        <f>S1638*G1638</f>
        <v/>
      </c>
      <c r="U1638" s="26">
        <f>R1638-T1638</f>
        <v/>
      </c>
      <c r="V1638" s="26">
        <f>U1638-L1638</f>
        <v/>
      </c>
    </row>
    <row r="1639">
      <c r="A1639" s="11" t="n">
        <v>46220</v>
      </c>
      <c r="B1639" s="1" t="n">
        <v>20048</v>
      </c>
      <c r="C1639" s="1" t="inlineStr">
        <is>
          <t>017</t>
        </is>
      </c>
      <c r="D1639" s="1" t="inlineStr">
        <is>
          <t>166920</t>
        </is>
      </c>
      <c r="E1639" s="1" t="inlineStr">
        <is>
          <t xml:space="preserve">28194770       </t>
        </is>
      </c>
      <c r="F1639" s="5" t="inlineStr">
        <is>
          <t>AUTOS DE METAL 3 TEAMSTERZ EN BLISTER</t>
        </is>
      </c>
      <c r="G1639" t="n">
        <v>1</v>
      </c>
      <c r="H1639" s="7" t="n">
        <v>6.9</v>
      </c>
      <c r="I1639" s="7" t="n">
        <v>0</v>
      </c>
      <c r="J1639" s="7" t="n">
        <v>0</v>
      </c>
      <c r="K1639" s="9" t="n">
        <v>0</v>
      </c>
      <c r="L1639" s="10" t="n">
        <v>4.1</v>
      </c>
      <c r="M1639" s="10" t="n">
        <v>1.43</v>
      </c>
      <c r="N1639" t="inlineStr">
        <is>
          <t>1</t>
        </is>
      </c>
      <c r="O1639" t="inlineStr">
        <is>
          <t>16</t>
        </is>
      </c>
      <c r="P1639" t="inlineStr">
        <is>
          <t xml:space="preserve">250434  </t>
        </is>
      </c>
      <c r="Q1639" s="26" t="n">
        <v>4.09</v>
      </c>
      <c r="R1639" s="26">
        <f>Q1639*G1639</f>
        <v/>
      </c>
      <c r="S1639" s="26">
        <f>IFERROR(VLOOKUP(E1639*1,Tabla[#All],8,0),0)</f>
        <v/>
      </c>
      <c r="T1639" s="26">
        <f>S1639*G1639</f>
        <v/>
      </c>
      <c r="U1639" s="26">
        <f>R1639-T1639</f>
        <v/>
      </c>
      <c r="V1639" s="26">
        <f>U1639-L1639</f>
        <v/>
      </c>
    </row>
    <row r="1640">
      <c r="A1640" s="11" t="n">
        <v>46220</v>
      </c>
      <c r="B1640" s="1" t="n">
        <v>20048</v>
      </c>
      <c r="C1640" s="1" t="inlineStr">
        <is>
          <t>017</t>
        </is>
      </c>
      <c r="D1640" s="1" t="inlineStr">
        <is>
          <t>166970</t>
        </is>
      </c>
      <c r="E1640" s="1" t="inlineStr">
        <is>
          <t xml:space="preserve">28194770       </t>
        </is>
      </c>
      <c r="F1640" s="5" t="inlineStr">
        <is>
          <t>AUTOS DE METAL 3 TEAMSTERZ EN BLISTER</t>
        </is>
      </c>
      <c r="G1640" t="n">
        <v>1</v>
      </c>
      <c r="H1640" s="7" t="n">
        <v>6.9</v>
      </c>
      <c r="I1640" s="7" t="n">
        <v>0</v>
      </c>
      <c r="J1640" s="7" t="n">
        <v>0</v>
      </c>
      <c r="K1640" s="9" t="n">
        <v>0</v>
      </c>
      <c r="L1640" s="10" t="n">
        <v>4.1</v>
      </c>
      <c r="M1640" s="10" t="n">
        <v>1.43</v>
      </c>
      <c r="N1640" t="inlineStr">
        <is>
          <t>1</t>
        </is>
      </c>
      <c r="O1640" t="inlineStr">
        <is>
          <t>16</t>
        </is>
      </c>
      <c r="P1640" t="inlineStr">
        <is>
          <t xml:space="preserve">250434  </t>
        </is>
      </c>
      <c r="Q1640" s="26" t="n">
        <v>4.09</v>
      </c>
      <c r="R1640" s="26">
        <f>Q1640*G1640</f>
        <v/>
      </c>
      <c r="S1640" s="26">
        <f>IFERROR(VLOOKUP(E1640*1,Tabla[#All],8,0),0)</f>
        <v/>
      </c>
      <c r="T1640" s="26">
        <f>S1640*G1640</f>
        <v/>
      </c>
      <c r="U1640" s="26">
        <f>R1640-T1640</f>
        <v/>
      </c>
      <c r="V1640" s="26">
        <f>U1640-L1640</f>
        <v/>
      </c>
    </row>
    <row r="1641">
      <c r="A1641" s="11" t="n">
        <v>46220</v>
      </c>
      <c r="B1641" s="1" t="n">
        <v>20048</v>
      </c>
      <c r="C1641" s="1" t="inlineStr">
        <is>
          <t>017</t>
        </is>
      </c>
      <c r="D1641" s="1" t="inlineStr">
        <is>
          <t>166970</t>
        </is>
      </c>
      <c r="E1641" s="1" t="inlineStr">
        <is>
          <t xml:space="preserve">28194770       </t>
        </is>
      </c>
      <c r="F1641" s="5" t="inlineStr">
        <is>
          <t>AUTOS DE METAL 3 TEAMSTERZ EN BLISTER</t>
        </is>
      </c>
      <c r="G1641" t="n">
        <v>1</v>
      </c>
      <c r="H1641" s="7" t="n">
        <v>6.9</v>
      </c>
      <c r="I1641" s="7" t="n">
        <v>0</v>
      </c>
      <c r="J1641" s="7" t="n">
        <v>0</v>
      </c>
      <c r="K1641" s="9" t="n">
        <v>0</v>
      </c>
      <c r="L1641" s="10" t="n">
        <v>4.1</v>
      </c>
      <c r="M1641" s="10" t="n">
        <v>1.43</v>
      </c>
      <c r="N1641" t="inlineStr">
        <is>
          <t>1</t>
        </is>
      </c>
      <c r="O1641" t="inlineStr">
        <is>
          <t>16</t>
        </is>
      </c>
      <c r="P1641" t="inlineStr">
        <is>
          <t xml:space="preserve">250434  </t>
        </is>
      </c>
      <c r="Q1641" s="26" t="n">
        <v>4.09</v>
      </c>
      <c r="R1641" s="26">
        <f>Q1641*G1641</f>
        <v/>
      </c>
      <c r="S1641" s="26">
        <f>IFERROR(VLOOKUP(E1641*1,Tabla[#All],8,0),0)</f>
        <v/>
      </c>
      <c r="T1641" s="26">
        <f>S1641*G1641</f>
        <v/>
      </c>
      <c r="U1641" s="26">
        <f>R1641-T1641</f>
        <v/>
      </c>
      <c r="V1641" s="26">
        <f>U1641-L1641</f>
        <v/>
      </c>
    </row>
    <row r="1642">
      <c r="A1642" s="11" t="n">
        <v>46220</v>
      </c>
      <c r="B1642" s="1" t="n">
        <v>20048</v>
      </c>
      <c r="C1642" s="1" t="inlineStr">
        <is>
          <t>194</t>
        </is>
      </c>
      <c r="D1642" s="1" t="inlineStr">
        <is>
          <t xml:space="preserve">6004  </t>
        </is>
      </c>
      <c r="E1642" s="1" t="inlineStr">
        <is>
          <t xml:space="preserve">28194770       </t>
        </is>
      </c>
      <c r="F1642" s="5" t="inlineStr">
        <is>
          <t>AUTOS DE METAL 3 TEAMSTERZ EN BLISTER</t>
        </is>
      </c>
      <c r="G1642" t="n">
        <v>1</v>
      </c>
      <c r="H1642" s="7" t="n">
        <v>6.9</v>
      </c>
      <c r="I1642" s="7" t="n">
        <v>0</v>
      </c>
      <c r="J1642" s="7" t="n">
        <v>0</v>
      </c>
      <c r="K1642" s="9" t="n">
        <v>0</v>
      </c>
      <c r="L1642" s="10" t="n">
        <v>4.1</v>
      </c>
      <c r="M1642" s="10" t="n">
        <v>1.43</v>
      </c>
      <c r="N1642" t="inlineStr">
        <is>
          <t>1</t>
        </is>
      </c>
      <c r="O1642" t="inlineStr">
        <is>
          <t>16</t>
        </is>
      </c>
      <c r="P1642" t="inlineStr">
        <is>
          <t xml:space="preserve">80084   </t>
        </is>
      </c>
      <c r="Q1642" s="26" t="n">
        <v>4.09</v>
      </c>
      <c r="R1642" s="26">
        <f>Q1642*G1642</f>
        <v/>
      </c>
      <c r="S1642" s="26">
        <f>IFERROR(VLOOKUP(E1642*1,Tabla[#All],8,0),0)</f>
        <v/>
      </c>
      <c r="T1642" s="26">
        <f>S1642*G1642</f>
        <v/>
      </c>
      <c r="U1642" s="26">
        <f>R1642-T1642</f>
        <v/>
      </c>
      <c r="V1642" s="26">
        <f>U1642-L1642</f>
        <v/>
      </c>
    </row>
    <row r="1643">
      <c r="A1643" s="11" t="n">
        <v>46220</v>
      </c>
      <c r="B1643" s="1" t="n">
        <v>20048</v>
      </c>
      <c r="C1643" s="1" t="inlineStr">
        <is>
          <t>194</t>
        </is>
      </c>
      <c r="D1643" s="1" t="inlineStr">
        <is>
          <t xml:space="preserve">6004  </t>
        </is>
      </c>
      <c r="E1643" s="1" t="inlineStr">
        <is>
          <t xml:space="preserve">33483121       </t>
        </is>
      </c>
      <c r="F1643" s="5" t="inlineStr">
        <is>
          <t>HOT WHEELS ESTUCHE PARA 15 AUTOS SURTIDO</t>
        </is>
      </c>
      <c r="G1643" t="n">
        <v>1</v>
      </c>
      <c r="H1643" s="7" t="n">
        <v>34.9</v>
      </c>
      <c r="I1643" s="7" t="n">
        <v>0</v>
      </c>
      <c r="J1643" s="7" t="n">
        <v>0</v>
      </c>
      <c r="K1643" s="9" t="n">
        <v>0</v>
      </c>
      <c r="L1643" s="10" t="n">
        <v>20.71</v>
      </c>
      <c r="M1643" s="10" t="n">
        <v>1.43</v>
      </c>
      <c r="N1643" t="inlineStr">
        <is>
          <t>1</t>
        </is>
      </c>
      <c r="O1643" t="inlineStr">
        <is>
          <t>16</t>
        </is>
      </c>
      <c r="P1643" t="inlineStr">
        <is>
          <t xml:space="preserve">80084   </t>
        </is>
      </c>
      <c r="Q1643" s="26" t="n">
        <v>20.7</v>
      </c>
      <c r="R1643" s="26">
        <f>Q1643*G1643</f>
        <v/>
      </c>
      <c r="S1643" s="26">
        <f>IFERROR(VLOOKUP(E1643*1,Tabla[#All],8,0),0)</f>
        <v/>
      </c>
      <c r="T1643" s="26">
        <f>S1643*G1643</f>
        <v/>
      </c>
      <c r="U1643" s="26">
        <f>R1643-T1643</f>
        <v/>
      </c>
      <c r="V1643" s="26">
        <f>U1643-L1643</f>
        <v/>
      </c>
    </row>
    <row r="1644">
      <c r="A1644" s="11" t="n">
        <v>46220</v>
      </c>
      <c r="B1644" s="1" t="n">
        <v>20048</v>
      </c>
      <c r="C1644" s="1" t="inlineStr">
        <is>
          <t>801</t>
        </is>
      </c>
      <c r="D1644" s="1" t="inlineStr">
        <is>
          <t xml:space="preserve">6440  </t>
        </is>
      </c>
      <c r="E1644" s="1" t="inlineStr">
        <is>
          <t xml:space="preserve">32457099       </t>
        </is>
      </c>
      <c r="F1644" s="5" t="inlineStr">
        <is>
          <t>TMZ BEAST MACHINES MONSTER JAWS A FRICCION BLISTER</t>
        </is>
      </c>
      <c r="G1644" t="n">
        <v>1</v>
      </c>
      <c r="H1644" s="7" t="n">
        <v>17.9</v>
      </c>
      <c r="I1644" s="7" t="n">
        <v>1.79</v>
      </c>
      <c r="J1644" s="7" t="n">
        <v>0</v>
      </c>
      <c r="K1644" s="9" t="n">
        <v>1.79</v>
      </c>
      <c r="L1644" s="10" t="n">
        <v>9.56</v>
      </c>
      <c r="M1644" s="10" t="n">
        <v>1.43</v>
      </c>
      <c r="N1644" t="inlineStr">
        <is>
          <t>1</t>
        </is>
      </c>
      <c r="O1644" t="inlineStr">
        <is>
          <t>16</t>
        </is>
      </c>
      <c r="P1644" t="inlineStr">
        <is>
          <t xml:space="preserve">234984  </t>
        </is>
      </c>
      <c r="Q1644" s="26" t="n">
        <v>11.81</v>
      </c>
      <c r="R1644" s="26">
        <f>Q1644*G1644</f>
        <v/>
      </c>
      <c r="S1644" s="26">
        <f>IFERROR(VLOOKUP(E1644*1,Tabla[#All],8,0),0)</f>
        <v/>
      </c>
      <c r="T1644" s="26">
        <f>S1644*G1644</f>
        <v/>
      </c>
      <c r="U1644" s="26">
        <f>R1644-T1644</f>
        <v/>
      </c>
      <c r="V1644" s="26">
        <f>U1644-L1644</f>
        <v/>
      </c>
    </row>
    <row r="1645">
      <c r="A1645" s="11" t="n">
        <v>46220</v>
      </c>
      <c r="B1645" s="1" t="n">
        <v>20048</v>
      </c>
      <c r="C1645" s="1" t="inlineStr">
        <is>
          <t>801</t>
        </is>
      </c>
      <c r="D1645" s="1" t="inlineStr">
        <is>
          <t xml:space="preserve">6447  </t>
        </is>
      </c>
      <c r="E1645" s="1" t="inlineStr">
        <is>
          <t xml:space="preserve">30141766       </t>
        </is>
      </c>
      <c r="F1645" s="5" t="inlineStr">
        <is>
          <t>TMZ BEAST MACHINES AUTOS DE METAL BLISTER X 1</t>
        </is>
      </c>
      <c r="G1645" t="n">
        <v>1</v>
      </c>
      <c r="H1645" s="7" t="n">
        <v>7.9</v>
      </c>
      <c r="I1645" s="7" t="n">
        <v>0</v>
      </c>
      <c r="J1645" s="7" t="n">
        <v>0</v>
      </c>
      <c r="K1645" s="9" t="n">
        <v>0</v>
      </c>
      <c r="L1645" s="10" t="n">
        <v>4.68</v>
      </c>
      <c r="M1645" s="10" t="n">
        <v>1.43</v>
      </c>
      <c r="N1645" t="inlineStr">
        <is>
          <t>1</t>
        </is>
      </c>
      <c r="O1645" t="inlineStr">
        <is>
          <t>16</t>
        </is>
      </c>
      <c r="P1645" t="inlineStr">
        <is>
          <t xml:space="preserve">234984  </t>
        </is>
      </c>
      <c r="Q1645" s="26" t="n">
        <v>4.69</v>
      </c>
      <c r="R1645" s="26">
        <f>Q1645*G1645</f>
        <v/>
      </c>
      <c r="S1645" s="26">
        <f>IFERROR(VLOOKUP(E1645*1,Tabla[#All],8,0),0)</f>
        <v/>
      </c>
      <c r="T1645" s="26">
        <f>S1645*G1645</f>
        <v/>
      </c>
      <c r="U1645" s="26">
        <f>R1645-T1645</f>
        <v/>
      </c>
      <c r="V1645" s="26">
        <f>U1645-L1645</f>
        <v/>
      </c>
    </row>
    <row r="1646">
      <c r="A1646" s="11" t="n">
        <v>46220</v>
      </c>
      <c r="B1646" s="1" t="n">
        <v>20049</v>
      </c>
      <c r="C1646" s="1" t="inlineStr">
        <is>
          <t>017</t>
        </is>
      </c>
      <c r="D1646" s="1" t="inlineStr">
        <is>
          <t>239205</t>
        </is>
      </c>
      <c r="E1646" s="1" t="inlineStr">
        <is>
          <t xml:space="preserve">32457099       </t>
        </is>
      </c>
      <c r="F1646" s="5" t="inlineStr">
        <is>
          <t>TMZ BEAST MACHINES MONSTER JAWS A FRICCION BLISTER</t>
        </is>
      </c>
      <c r="G1646" t="n">
        <v>1</v>
      </c>
      <c r="H1646" s="7" t="n">
        <v>17.9</v>
      </c>
      <c r="I1646" s="7" t="n">
        <v>0</v>
      </c>
      <c r="J1646" s="7" t="n">
        <v>0</v>
      </c>
      <c r="K1646" s="9" t="n">
        <v>0</v>
      </c>
      <c r="L1646" s="10" t="n">
        <v>10.62</v>
      </c>
      <c r="M1646" s="10" t="n">
        <v>1.43</v>
      </c>
      <c r="N1646" t="inlineStr">
        <is>
          <t>1</t>
        </is>
      </c>
      <c r="O1646" t="inlineStr">
        <is>
          <t>16</t>
        </is>
      </c>
      <c r="P1646" t="inlineStr">
        <is>
          <t xml:space="preserve">109185  </t>
        </is>
      </c>
      <c r="Q1646" s="26" t="n">
        <v>11.81</v>
      </c>
      <c r="R1646" s="26">
        <f>Q1646*G1646</f>
        <v/>
      </c>
      <c r="S1646" s="26">
        <f>IFERROR(VLOOKUP(E1646*1,Tabla[#All],8,0),0)</f>
        <v/>
      </c>
      <c r="T1646" s="26">
        <f>S1646*G1646</f>
        <v/>
      </c>
      <c r="U1646" s="26">
        <f>R1646-T1646</f>
        <v/>
      </c>
      <c r="V1646" s="26">
        <f>U1646-L1646</f>
        <v/>
      </c>
    </row>
    <row r="1647">
      <c r="A1647" s="11" t="n">
        <v>46220</v>
      </c>
      <c r="B1647" s="1" t="n">
        <v>20049</v>
      </c>
      <c r="C1647" s="1" t="inlineStr">
        <is>
          <t>017</t>
        </is>
      </c>
      <c r="D1647" s="1" t="inlineStr">
        <is>
          <t>239299</t>
        </is>
      </c>
      <c r="E1647" s="1" t="inlineStr">
        <is>
          <t xml:space="preserve">30232284       </t>
        </is>
      </c>
      <c r="F1647" s="5" t="inlineStr">
        <is>
          <t>INFINITY NADO TROMPO DE BATALLA - METAL C/PUNTA DE</t>
        </is>
      </c>
      <c r="G1647" t="n">
        <v>1</v>
      </c>
      <c r="H1647" s="7" t="n">
        <v>34.9</v>
      </c>
      <c r="I1647" s="7" t="n">
        <v>0</v>
      </c>
      <c r="J1647" s="7" t="n">
        <v>0</v>
      </c>
      <c r="K1647" s="9" t="n">
        <v>0</v>
      </c>
      <c r="L1647" s="10" t="n">
        <v>20.71</v>
      </c>
      <c r="M1647" s="10" t="n">
        <v>1.43</v>
      </c>
      <c r="N1647" t="inlineStr">
        <is>
          <t>1</t>
        </is>
      </c>
      <c r="O1647" t="inlineStr">
        <is>
          <t xml:space="preserve">2 </t>
        </is>
      </c>
      <c r="P1647" t="inlineStr">
        <is>
          <t xml:space="preserve">109185  </t>
        </is>
      </c>
      <c r="Q1647" s="26" t="n">
        <v>29.6</v>
      </c>
      <c r="R1647" s="26">
        <f>Q1647*G1647</f>
        <v/>
      </c>
      <c r="S1647" s="26">
        <f>IFERROR(VLOOKUP(E1647*1,Tabla[#All],8,0),0)</f>
        <v/>
      </c>
      <c r="T1647" s="26">
        <f>S1647*G1647</f>
        <v/>
      </c>
      <c r="U1647" s="26">
        <f>R1647-T1647</f>
        <v/>
      </c>
      <c r="V1647" s="26">
        <f>U1647-L1647</f>
        <v/>
      </c>
    </row>
    <row r="1648">
      <c r="A1648" s="11" t="n">
        <v>46220</v>
      </c>
      <c r="B1648" s="1" t="n">
        <v>20049</v>
      </c>
      <c r="C1648" s="1" t="inlineStr">
        <is>
          <t>024</t>
        </is>
      </c>
      <c r="D1648" s="1" t="inlineStr">
        <is>
          <t xml:space="preserve">72023 </t>
        </is>
      </c>
      <c r="E1648" s="1" t="inlineStr">
        <is>
          <t xml:space="preserve">34840556       </t>
        </is>
      </c>
      <c r="F1648" s="5" t="inlineStr">
        <is>
          <t>TMZ BEAST MACH. TRANSPORT DINO +ACCS</t>
        </is>
      </c>
      <c r="G1648" t="n">
        <v>1</v>
      </c>
      <c r="H1648" s="7" t="n">
        <v>59.9</v>
      </c>
      <c r="I1648" s="7" t="n">
        <v>0</v>
      </c>
      <c r="J1648" s="7" t="n">
        <v>0</v>
      </c>
      <c r="K1648" s="9" t="n">
        <v>0</v>
      </c>
      <c r="L1648" s="10" t="n">
        <v>35.53</v>
      </c>
      <c r="M1648" s="10" t="n">
        <v>1.43</v>
      </c>
      <c r="N1648" t="inlineStr">
        <is>
          <t>1</t>
        </is>
      </c>
      <c r="O1648" t="inlineStr">
        <is>
          <t>16</t>
        </is>
      </c>
      <c r="P1648" t="inlineStr">
        <is>
          <t xml:space="preserve">91963   </t>
        </is>
      </c>
      <c r="Q1648" s="26" t="n">
        <v>47.4</v>
      </c>
      <c r="R1648" s="26">
        <f>Q1648*G1648</f>
        <v/>
      </c>
      <c r="S1648" s="26">
        <f>IFERROR(VLOOKUP(E1648*1,Tabla[#All],8,0),0)</f>
        <v/>
      </c>
      <c r="T1648" s="26">
        <f>S1648*G1648</f>
        <v/>
      </c>
      <c r="U1648" s="26">
        <f>R1648-T1648</f>
        <v/>
      </c>
      <c r="V1648" s="26">
        <f>U1648-L1648</f>
        <v/>
      </c>
    </row>
    <row r="1649">
      <c r="A1649" s="11" t="n">
        <v>46220</v>
      </c>
      <c r="B1649" s="1" t="n">
        <v>20049</v>
      </c>
      <c r="C1649" s="1" t="inlineStr">
        <is>
          <t>801</t>
        </is>
      </c>
      <c r="D1649" s="1" t="inlineStr">
        <is>
          <t xml:space="preserve">6075  </t>
        </is>
      </c>
      <c r="E1649" s="1" t="inlineStr">
        <is>
          <t xml:space="preserve">29773844       </t>
        </is>
      </c>
      <c r="F1649" s="5" t="inlineStr">
        <is>
          <t>INFINITY NADO MALETIN DE TROMPO DE BATALLA DE META</t>
        </is>
      </c>
      <c r="G1649" t="n">
        <v>1</v>
      </c>
      <c r="H1649" s="7" t="n">
        <v>79.90000000000001</v>
      </c>
      <c r="I1649" s="7" t="n">
        <v>0</v>
      </c>
      <c r="J1649" s="7" t="n">
        <v>0</v>
      </c>
      <c r="K1649" s="9" t="n">
        <v>0</v>
      </c>
      <c r="L1649" s="10" t="n">
        <v>47.4</v>
      </c>
      <c r="M1649" s="10" t="n">
        <v>1.43</v>
      </c>
      <c r="N1649" t="inlineStr">
        <is>
          <t>1</t>
        </is>
      </c>
      <c r="O1649" t="inlineStr">
        <is>
          <t>16</t>
        </is>
      </c>
      <c r="P1649" t="inlineStr">
        <is>
          <t xml:space="preserve">0       </t>
        </is>
      </c>
      <c r="Q1649" s="26" t="n">
        <v>58.73</v>
      </c>
      <c r="R1649" s="26">
        <f>Q1649*G1649</f>
        <v/>
      </c>
      <c r="S1649" s="26">
        <f>IFERROR(VLOOKUP(E1649*1,Tabla[#All],8,0),0)</f>
        <v/>
      </c>
      <c r="T1649" s="26">
        <f>S1649*G1649</f>
        <v/>
      </c>
      <c r="U1649" s="26">
        <f>R1649-T1649</f>
        <v/>
      </c>
      <c r="V1649" s="26">
        <f>U1649-L1649</f>
        <v/>
      </c>
    </row>
    <row r="1650">
      <c r="A1650" s="11" t="n">
        <v>46220</v>
      </c>
      <c r="B1650" s="1" t="n">
        <v>20049</v>
      </c>
      <c r="C1650" s="1" t="inlineStr">
        <is>
          <t>801</t>
        </is>
      </c>
      <c r="D1650" s="1" t="inlineStr">
        <is>
          <t xml:space="preserve">6082  </t>
        </is>
      </c>
      <c r="E1650" s="1" t="inlineStr">
        <is>
          <t xml:space="preserve">29235706       </t>
        </is>
      </c>
      <c r="F1650" s="5" t="inlineStr">
        <is>
          <t>TEAMSTERZ CAMION PARA GUARDAR 12 AUTOS INCL 4 AUTO</t>
        </is>
      </c>
      <c r="G1650" t="n">
        <v>1</v>
      </c>
      <c r="H1650" s="7" t="n">
        <v>59.9</v>
      </c>
      <c r="I1650" s="7" t="n">
        <v>0</v>
      </c>
      <c r="J1650" s="7" t="n">
        <v>0</v>
      </c>
      <c r="K1650" s="9" t="n">
        <v>0</v>
      </c>
      <c r="L1650" s="10" t="n">
        <v>35.53</v>
      </c>
      <c r="M1650" s="10" t="n">
        <v>1.43</v>
      </c>
      <c r="N1650" t="inlineStr">
        <is>
          <t>1</t>
        </is>
      </c>
      <c r="O1650" t="inlineStr">
        <is>
          <t>16</t>
        </is>
      </c>
      <c r="P1650" t="inlineStr">
        <is>
          <t xml:space="preserve">0       </t>
        </is>
      </c>
      <c r="Q1650" s="26" t="n">
        <v>35.53</v>
      </c>
      <c r="R1650" s="26">
        <f>Q1650*G1650</f>
        <v/>
      </c>
      <c r="S1650" s="26">
        <f>IFERROR(VLOOKUP(E1650*1,Tabla[#All],8,0),0)</f>
        <v/>
      </c>
      <c r="T1650" s="26">
        <f>S1650*G1650</f>
        <v/>
      </c>
      <c r="U1650" s="26">
        <f>R1650-T1650</f>
        <v/>
      </c>
      <c r="V1650" s="26">
        <f>U1650-L1650</f>
        <v/>
      </c>
    </row>
    <row r="1651">
      <c r="A1651" s="11" t="n">
        <v>46220</v>
      </c>
      <c r="B1651" s="1" t="n">
        <v>20049</v>
      </c>
      <c r="C1651" s="1" t="inlineStr">
        <is>
          <t>801</t>
        </is>
      </c>
      <c r="D1651" s="1" t="inlineStr">
        <is>
          <t xml:space="preserve">6083  </t>
        </is>
      </c>
      <c r="E1651" s="1" t="inlineStr">
        <is>
          <t xml:space="preserve">32457111       </t>
        </is>
      </c>
      <c r="F1651" s="5" t="inlineStr">
        <is>
          <t>TMZ BEAST MACHINES MONSTER JAWS A FRICCION PACK DE</t>
        </is>
      </c>
      <c r="G1651" t="n">
        <v>1</v>
      </c>
      <c r="H1651" s="7" t="n">
        <v>54.9</v>
      </c>
      <c r="I1651" s="7" t="n">
        <v>0</v>
      </c>
      <c r="J1651" s="7" t="n">
        <v>0</v>
      </c>
      <c r="K1651" s="9" t="n">
        <v>0</v>
      </c>
      <c r="L1651" s="10" t="n">
        <v>32.57</v>
      </c>
      <c r="M1651" s="10" t="n">
        <v>1.43</v>
      </c>
      <c r="N1651" t="inlineStr">
        <is>
          <t>1</t>
        </is>
      </c>
      <c r="O1651" t="inlineStr">
        <is>
          <t>16</t>
        </is>
      </c>
      <c r="P1651" t="inlineStr">
        <is>
          <t xml:space="preserve">0       </t>
        </is>
      </c>
      <c r="Q1651" s="26" t="n">
        <v>44.43</v>
      </c>
      <c r="R1651" s="26">
        <f>Q1651*G1651</f>
        <v/>
      </c>
      <c r="S1651" s="26">
        <f>IFERROR(VLOOKUP(E1651*1,Tabla[#All],8,0),0)</f>
        <v/>
      </c>
      <c r="T1651" s="26">
        <f>S1651*G1651</f>
        <v/>
      </c>
      <c r="U1651" s="26">
        <f>R1651-T1651</f>
        <v/>
      </c>
      <c r="V1651" s="26">
        <f>U1651-L1651</f>
        <v/>
      </c>
    </row>
    <row r="1652">
      <c r="A1652" s="11" t="n">
        <v>46220</v>
      </c>
      <c r="B1652" s="1" t="n">
        <v>20056</v>
      </c>
      <c r="C1652" s="1" t="inlineStr">
        <is>
          <t>022</t>
        </is>
      </c>
      <c r="D1652" s="1" t="inlineStr">
        <is>
          <t xml:space="preserve">55074 </t>
        </is>
      </c>
      <c r="E1652" s="1" t="inlineStr">
        <is>
          <t xml:space="preserve">28194769       </t>
        </is>
      </c>
      <c r="F1652" s="5" t="inlineStr">
        <is>
          <t>AUTOS DE METAL 3 TEAMSTERZ PACK DE 2</t>
        </is>
      </c>
      <c r="G1652" t="n">
        <v>1</v>
      </c>
      <c r="H1652" s="7" t="n">
        <v>13.8</v>
      </c>
      <c r="I1652" s="7" t="n">
        <v>0</v>
      </c>
      <c r="J1652" s="7" t="n">
        <v>0</v>
      </c>
      <c r="K1652" s="9" t="n">
        <v>0</v>
      </c>
      <c r="L1652" s="10" t="n">
        <v>8.18</v>
      </c>
      <c r="M1652" s="10" t="n">
        <v>1.43</v>
      </c>
      <c r="N1652" t="inlineStr">
        <is>
          <t>1</t>
        </is>
      </c>
      <c r="O1652" t="inlineStr">
        <is>
          <t xml:space="preserve">2 </t>
        </is>
      </c>
      <c r="P1652" t="inlineStr">
        <is>
          <t xml:space="preserve">246478  </t>
        </is>
      </c>
      <c r="Q1652" s="26" t="n">
        <v>8.19</v>
      </c>
      <c r="R1652" s="26">
        <f>Q1652*G1652</f>
        <v/>
      </c>
      <c r="S1652" s="26">
        <f>IFERROR(VLOOKUP(E1652*1,Tabla[#All],8,0),0)</f>
        <v/>
      </c>
      <c r="T1652" s="26">
        <f>S1652*G1652</f>
        <v/>
      </c>
      <c r="U1652" s="26">
        <f>R1652-T1652</f>
        <v/>
      </c>
      <c r="V1652" s="26">
        <f>U1652-L1652</f>
        <v/>
      </c>
    </row>
    <row r="1653">
      <c r="A1653" s="11" t="n">
        <v>46220</v>
      </c>
      <c r="B1653" s="1" t="n">
        <v>20056</v>
      </c>
      <c r="C1653" s="1" t="inlineStr">
        <is>
          <t>024</t>
        </is>
      </c>
      <c r="D1653" s="1" t="inlineStr">
        <is>
          <t xml:space="preserve">10415 </t>
        </is>
      </c>
      <c r="E1653" s="1" t="inlineStr">
        <is>
          <t xml:space="preserve">28194769       </t>
        </is>
      </c>
      <c r="F1653" s="5" t="inlineStr">
        <is>
          <t>AUTOS DE METAL 3 TEAMSTERZ PACK DE 2</t>
        </is>
      </c>
      <c r="G1653" t="n">
        <v>1</v>
      </c>
      <c r="H1653" s="7" t="n">
        <v>13.8</v>
      </c>
      <c r="I1653" s="7" t="n">
        <v>1.38</v>
      </c>
      <c r="J1653" s="7" t="n">
        <v>0</v>
      </c>
      <c r="K1653" s="9" t="n">
        <v>1.38</v>
      </c>
      <c r="L1653" s="10" t="n">
        <v>7.37</v>
      </c>
      <c r="M1653" s="10" t="n">
        <v>1.43</v>
      </c>
      <c r="N1653" t="inlineStr">
        <is>
          <t>1</t>
        </is>
      </c>
      <c r="O1653" t="inlineStr">
        <is>
          <t>16</t>
        </is>
      </c>
      <c r="P1653" t="inlineStr">
        <is>
          <t xml:space="preserve">241325  </t>
        </is>
      </c>
      <c r="Q1653" s="26" t="n">
        <v>8.19</v>
      </c>
      <c r="R1653" s="26">
        <f>Q1653*G1653</f>
        <v/>
      </c>
      <c r="S1653" s="26">
        <f>IFERROR(VLOOKUP(E1653*1,Tabla[#All],8,0),0)</f>
        <v/>
      </c>
      <c r="T1653" s="26">
        <f>S1653*G1653</f>
        <v/>
      </c>
      <c r="U1653" s="26">
        <f>R1653-T1653</f>
        <v/>
      </c>
      <c r="V1653" s="26">
        <f>U1653-L1653</f>
        <v/>
      </c>
    </row>
    <row r="1654">
      <c r="A1654" s="11" t="n">
        <v>46220</v>
      </c>
      <c r="B1654" s="1" t="n">
        <v>20056</v>
      </c>
      <c r="C1654" s="1" t="inlineStr">
        <is>
          <t>516</t>
        </is>
      </c>
      <c r="D1654" s="1" t="inlineStr">
        <is>
          <t xml:space="preserve">4195  </t>
        </is>
      </c>
      <c r="E1654" s="1" t="inlineStr">
        <is>
          <t xml:space="preserve">28194781       </t>
        </is>
      </c>
      <c r="F1654" s="5" t="inlineStr">
        <is>
          <t>TROMPO BATALLA INFINITY NADO SERIE V CLASICA SURTI</t>
        </is>
      </c>
      <c r="G1654" t="n">
        <v>1</v>
      </c>
      <c r="H1654" s="7" t="n">
        <v>39.9</v>
      </c>
      <c r="I1654" s="7" t="n">
        <v>0</v>
      </c>
      <c r="J1654" s="7" t="n">
        <v>0</v>
      </c>
      <c r="K1654" s="9" t="n">
        <v>0</v>
      </c>
      <c r="L1654" s="10" t="n">
        <v>23.67</v>
      </c>
      <c r="M1654" s="10" t="n">
        <v>1.43</v>
      </c>
      <c r="N1654" t="inlineStr">
        <is>
          <t>1</t>
        </is>
      </c>
      <c r="O1654" t="inlineStr">
        <is>
          <t>16</t>
        </is>
      </c>
      <c r="P1654" t="inlineStr">
        <is>
          <t xml:space="preserve">241220  </t>
        </is>
      </c>
      <c r="Q1654" s="26" t="n">
        <v>35.53</v>
      </c>
      <c r="R1654" s="26">
        <f>Q1654*G1654</f>
        <v/>
      </c>
      <c r="S1654" s="26">
        <f>IFERROR(VLOOKUP(E1654*1,Tabla[#All],8,0),0)</f>
        <v/>
      </c>
      <c r="T1654" s="26">
        <f>S1654*G1654</f>
        <v/>
      </c>
      <c r="U1654" s="26">
        <f>R1654-T1654</f>
        <v/>
      </c>
      <c r="V1654" s="26">
        <f>U1654-L1654</f>
        <v/>
      </c>
    </row>
    <row r="1655">
      <c r="A1655" s="11" t="n">
        <v>46220</v>
      </c>
      <c r="B1655" s="1" t="n">
        <v>20057</v>
      </c>
      <c r="C1655" s="1" t="inlineStr">
        <is>
          <t>020</t>
        </is>
      </c>
      <c r="D1655" s="1" t="inlineStr">
        <is>
          <t xml:space="preserve">40088 </t>
        </is>
      </c>
      <c r="E1655" s="1" t="inlineStr">
        <is>
          <t xml:space="preserve">34840525       </t>
        </is>
      </c>
      <c r="F1655" s="5" t="inlineStr">
        <is>
          <t>NENUCO VAMOS DE PASEO</t>
        </is>
      </c>
      <c r="G1655" t="n">
        <v>1</v>
      </c>
      <c r="H1655" s="7" t="n">
        <v>79.90000000000001</v>
      </c>
      <c r="I1655" s="7" t="n">
        <v>0</v>
      </c>
      <c r="J1655" s="7" t="n">
        <v>0</v>
      </c>
      <c r="K1655" s="9" t="n">
        <v>0</v>
      </c>
      <c r="L1655" s="10" t="n">
        <v>47.4</v>
      </c>
      <c r="M1655" s="10" t="n">
        <v>1.43</v>
      </c>
      <c r="N1655" t="inlineStr">
        <is>
          <t>1</t>
        </is>
      </c>
      <c r="O1655" t="inlineStr">
        <is>
          <t>16</t>
        </is>
      </c>
      <c r="P1655" t="inlineStr">
        <is>
          <t xml:space="preserve">241530  </t>
        </is>
      </c>
      <c r="Q1655" s="26" t="n">
        <v>58.73</v>
      </c>
      <c r="R1655" s="26">
        <f>Q1655*G1655</f>
        <v/>
      </c>
      <c r="S1655" s="26">
        <f>IFERROR(VLOOKUP(E1655*1,Tabla[#All],8,0),0)</f>
        <v/>
      </c>
      <c r="T1655" s="26">
        <f>S1655*G1655</f>
        <v/>
      </c>
      <c r="U1655" s="26">
        <f>R1655-T1655</f>
        <v/>
      </c>
      <c r="V1655" s="26">
        <f>U1655-L1655</f>
        <v/>
      </c>
    </row>
    <row r="1656">
      <c r="A1656" s="11" t="n">
        <v>46220</v>
      </c>
      <c r="B1656" s="1" t="n">
        <v>20057</v>
      </c>
      <c r="C1656" s="1" t="inlineStr">
        <is>
          <t>032</t>
        </is>
      </c>
      <c r="D1656" s="1" t="inlineStr">
        <is>
          <t xml:space="preserve">75015 </t>
        </is>
      </c>
      <c r="E1656" s="1" t="inlineStr">
        <is>
          <t xml:space="preserve">32457111       </t>
        </is>
      </c>
      <c r="F1656" s="5" t="inlineStr">
        <is>
          <t>TMZ BEAST MACHINES MONSTER JAWS A FRICCION PACK DE</t>
        </is>
      </c>
      <c r="G1656" t="n">
        <v>1</v>
      </c>
      <c r="H1656" s="7" t="n">
        <v>54.9</v>
      </c>
      <c r="I1656" s="7" t="n">
        <v>0</v>
      </c>
      <c r="J1656" s="7" t="n">
        <v>0</v>
      </c>
      <c r="K1656" s="9" t="n">
        <v>0</v>
      </c>
      <c r="L1656" s="10" t="n">
        <v>32.57</v>
      </c>
      <c r="M1656" s="10" t="n">
        <v>1.43</v>
      </c>
      <c r="N1656" t="inlineStr">
        <is>
          <t>1</t>
        </is>
      </c>
      <c r="O1656" t="inlineStr">
        <is>
          <t>16</t>
        </is>
      </c>
      <c r="P1656" t="inlineStr">
        <is>
          <t xml:space="preserve">243704  </t>
        </is>
      </c>
      <c r="Q1656" s="26" t="n">
        <v>44.43</v>
      </c>
      <c r="R1656" s="26">
        <f>Q1656*G1656</f>
        <v/>
      </c>
      <c r="S1656" s="26">
        <f>IFERROR(VLOOKUP(E1656*1,Tabla[#All],8,0),0)</f>
        <v/>
      </c>
      <c r="T1656" s="26">
        <f>S1656*G1656</f>
        <v/>
      </c>
      <c r="U1656" s="26">
        <f>R1656-T1656</f>
        <v/>
      </c>
      <c r="V1656" s="26">
        <f>U1656-L1656</f>
        <v/>
      </c>
    </row>
    <row r="1657">
      <c r="A1657" s="11" t="n">
        <v>46220</v>
      </c>
      <c r="B1657" s="1" t="n">
        <v>20057</v>
      </c>
      <c r="C1657" s="1" t="inlineStr">
        <is>
          <t>032</t>
        </is>
      </c>
      <c r="D1657" s="1" t="inlineStr">
        <is>
          <t xml:space="preserve">75021 </t>
        </is>
      </c>
      <c r="E1657" s="1" t="inlineStr">
        <is>
          <t xml:space="preserve">28194770       </t>
        </is>
      </c>
      <c r="F1657" s="5" t="inlineStr">
        <is>
          <t>AUTOS DE METAL 3 TEAMSTERZ EN BLISTER</t>
        </is>
      </c>
      <c r="G1657" t="n">
        <v>1</v>
      </c>
      <c r="H1657" s="7" t="n">
        <v>6.9</v>
      </c>
      <c r="I1657" s="7" t="n">
        <v>0</v>
      </c>
      <c r="J1657" s="7" t="n">
        <v>0</v>
      </c>
      <c r="K1657" s="9" t="n">
        <v>0</v>
      </c>
      <c r="L1657" s="10" t="n">
        <v>4.1</v>
      </c>
      <c r="M1657" s="10" t="n">
        <v>1.43</v>
      </c>
      <c r="N1657" t="inlineStr">
        <is>
          <t>1</t>
        </is>
      </c>
      <c r="O1657" t="inlineStr">
        <is>
          <t>16</t>
        </is>
      </c>
      <c r="P1657" t="inlineStr">
        <is>
          <t xml:space="preserve">243704  </t>
        </is>
      </c>
      <c r="Q1657" s="26" t="n">
        <v>4.09</v>
      </c>
      <c r="R1657" s="26">
        <f>Q1657*G1657</f>
        <v/>
      </c>
      <c r="S1657" s="26">
        <f>IFERROR(VLOOKUP(E1657*1,Tabla[#All],8,0),0)</f>
        <v/>
      </c>
      <c r="T1657" s="26">
        <f>S1657*G1657</f>
        <v/>
      </c>
      <c r="U1657" s="26">
        <f>R1657-T1657</f>
        <v/>
      </c>
      <c r="V1657" s="26">
        <f>U1657-L1657</f>
        <v/>
      </c>
    </row>
    <row r="1658">
      <c r="A1658" s="11" t="n">
        <v>46220</v>
      </c>
      <c r="B1658" s="1" t="n">
        <v>20057</v>
      </c>
      <c r="C1658" s="1" t="inlineStr">
        <is>
          <t>032</t>
        </is>
      </c>
      <c r="D1658" s="1" t="inlineStr">
        <is>
          <t xml:space="preserve">75081 </t>
        </is>
      </c>
      <c r="E1658" s="1" t="inlineStr">
        <is>
          <t xml:space="preserve">32457103       </t>
        </is>
      </c>
      <c r="F1658" s="5" t="inlineStr">
        <is>
          <t>TMZ BEAST MACHINES MONSTER JAWS A FRICCION PACK DE</t>
        </is>
      </c>
      <c r="G1658" t="n">
        <v>1</v>
      </c>
      <c r="H1658" s="7" t="n">
        <v>32.9</v>
      </c>
      <c r="I1658" s="7" t="n">
        <v>0</v>
      </c>
      <c r="J1658" s="7" t="n">
        <v>0</v>
      </c>
      <c r="K1658" s="9" t="n">
        <v>0</v>
      </c>
      <c r="L1658" s="10" t="n">
        <v>19.52</v>
      </c>
      <c r="M1658" s="10" t="n">
        <v>1.43</v>
      </c>
      <c r="N1658" t="inlineStr">
        <is>
          <t>1</t>
        </is>
      </c>
      <c r="O1658" t="inlineStr">
        <is>
          <t>16</t>
        </is>
      </c>
      <c r="P1658" t="inlineStr">
        <is>
          <t xml:space="preserve">243704  </t>
        </is>
      </c>
      <c r="Q1658" s="26" t="n">
        <v>22.48</v>
      </c>
      <c r="R1658" s="26">
        <f>Q1658*G1658</f>
        <v/>
      </c>
      <c r="S1658" s="26">
        <f>IFERROR(VLOOKUP(E1658*1,Tabla[#All],8,0),0)</f>
        <v/>
      </c>
      <c r="T1658" s="26">
        <f>S1658*G1658</f>
        <v/>
      </c>
      <c r="U1658" s="26">
        <f>R1658-T1658</f>
        <v/>
      </c>
      <c r="V1658" s="26">
        <f>U1658-L1658</f>
        <v/>
      </c>
    </row>
    <row r="1659">
      <c r="A1659" s="11" t="n">
        <v>46220</v>
      </c>
      <c r="B1659" s="1" t="n">
        <v>20057</v>
      </c>
      <c r="C1659" s="1" t="inlineStr">
        <is>
          <t>032</t>
        </is>
      </c>
      <c r="D1659" s="1" t="inlineStr">
        <is>
          <t xml:space="preserve">75082 </t>
        </is>
      </c>
      <c r="E1659" s="1" t="inlineStr">
        <is>
          <t xml:space="preserve">28194769       </t>
        </is>
      </c>
      <c r="F1659" s="5" t="inlineStr">
        <is>
          <t>AUTOS DE METAL 3 TEAMSTERZ PACK DE 2</t>
        </is>
      </c>
      <c r="G1659" t="n">
        <v>1</v>
      </c>
      <c r="H1659" s="7" t="n">
        <v>13.8</v>
      </c>
      <c r="I1659" s="7" t="n">
        <v>1.38</v>
      </c>
      <c r="J1659" s="7" t="n">
        <v>0</v>
      </c>
      <c r="K1659" s="9" t="n">
        <v>1.38</v>
      </c>
      <c r="L1659" s="10" t="n">
        <v>7.37</v>
      </c>
      <c r="M1659" s="10" t="n">
        <v>1.43</v>
      </c>
      <c r="N1659" t="inlineStr">
        <is>
          <t>1</t>
        </is>
      </c>
      <c r="O1659" t="inlineStr">
        <is>
          <t xml:space="preserve">3 </t>
        </is>
      </c>
      <c r="P1659" t="inlineStr">
        <is>
          <t xml:space="preserve">243704  </t>
        </is>
      </c>
      <c r="Q1659" s="26" t="n">
        <v>8.19</v>
      </c>
      <c r="R1659" s="26">
        <f>Q1659*G1659</f>
        <v/>
      </c>
      <c r="S1659" s="26">
        <f>IFERROR(VLOOKUP(E1659*1,Tabla[#All],8,0),0)</f>
        <v/>
      </c>
      <c r="T1659" s="26">
        <f>S1659*G1659</f>
        <v/>
      </c>
      <c r="U1659" s="26">
        <f>R1659-T1659</f>
        <v/>
      </c>
      <c r="V1659" s="26">
        <f>U1659-L1659</f>
        <v/>
      </c>
    </row>
    <row r="1660">
      <c r="A1660" s="11" t="n">
        <v>46220</v>
      </c>
      <c r="B1660" s="1" t="n">
        <v>20057</v>
      </c>
      <c r="C1660" s="1" t="inlineStr">
        <is>
          <t>033</t>
        </is>
      </c>
      <c r="D1660" s="1" t="inlineStr">
        <is>
          <t xml:space="preserve">67292 </t>
        </is>
      </c>
      <c r="E1660" s="1" t="inlineStr">
        <is>
          <t xml:space="preserve">28194770       </t>
        </is>
      </c>
      <c r="F1660" s="5" t="inlineStr">
        <is>
          <t>AUTOS DE METAL 3 TEAMSTERZ EN BLISTER</t>
        </is>
      </c>
      <c r="G1660" t="n">
        <v>1</v>
      </c>
      <c r="H1660" s="7" t="n">
        <v>6.9</v>
      </c>
      <c r="I1660" s="7" t="n">
        <v>0.6899999999999999</v>
      </c>
      <c r="J1660" s="7" t="n">
        <v>0</v>
      </c>
      <c r="K1660" s="9" t="n">
        <v>0.6899999999999999</v>
      </c>
      <c r="L1660" s="10" t="n">
        <v>3.68</v>
      </c>
      <c r="M1660" s="10" t="n">
        <v>1.43</v>
      </c>
      <c r="N1660" t="inlineStr">
        <is>
          <t>1</t>
        </is>
      </c>
      <c r="O1660" t="inlineStr">
        <is>
          <t xml:space="preserve">3 </t>
        </is>
      </c>
      <c r="P1660" t="inlineStr">
        <is>
          <t xml:space="preserve">250522  </t>
        </is>
      </c>
      <c r="Q1660" s="26" t="n">
        <v>4.09</v>
      </c>
      <c r="R1660" s="26">
        <f>Q1660*G1660</f>
        <v/>
      </c>
      <c r="S1660" s="26">
        <f>IFERROR(VLOOKUP(E1660*1,Tabla[#All],8,0),0)</f>
        <v/>
      </c>
      <c r="T1660" s="26">
        <f>S1660*G1660</f>
        <v/>
      </c>
      <c r="U1660" s="26">
        <f>R1660-T1660</f>
        <v/>
      </c>
      <c r="V1660" s="26">
        <f>U1660-L1660</f>
        <v/>
      </c>
    </row>
    <row r="1661">
      <c r="A1661" s="11" t="n">
        <v>46220</v>
      </c>
      <c r="B1661" s="1" t="n">
        <v>20057</v>
      </c>
      <c r="C1661" s="1" t="inlineStr">
        <is>
          <t>033</t>
        </is>
      </c>
      <c r="D1661" s="1" t="inlineStr">
        <is>
          <t xml:space="preserve">67292 </t>
        </is>
      </c>
      <c r="E1661" s="1" t="inlineStr">
        <is>
          <t xml:space="preserve">28194770       </t>
        </is>
      </c>
      <c r="F1661" s="5" t="inlineStr">
        <is>
          <t>AUTOS DE METAL 3 TEAMSTERZ EN BLISTER</t>
        </is>
      </c>
      <c r="G1661" t="n">
        <v>1</v>
      </c>
      <c r="H1661" s="7" t="n">
        <v>6.9</v>
      </c>
      <c r="I1661" s="7" t="n">
        <v>0.6899999999999999</v>
      </c>
      <c r="J1661" s="7" t="n">
        <v>0</v>
      </c>
      <c r="K1661" s="9" t="n">
        <v>0.6899999999999999</v>
      </c>
      <c r="L1661" s="10" t="n">
        <v>3.68</v>
      </c>
      <c r="M1661" s="10" t="n">
        <v>1.43</v>
      </c>
      <c r="N1661" t="inlineStr">
        <is>
          <t>1</t>
        </is>
      </c>
      <c r="O1661" t="inlineStr">
        <is>
          <t xml:space="preserve">3 </t>
        </is>
      </c>
      <c r="P1661" t="inlineStr">
        <is>
          <t xml:space="preserve">250522  </t>
        </is>
      </c>
      <c r="Q1661" s="26" t="n">
        <v>4.09</v>
      </c>
      <c r="R1661" s="26">
        <f>Q1661*G1661</f>
        <v/>
      </c>
      <c r="S1661" s="26">
        <f>IFERROR(VLOOKUP(E1661*1,Tabla[#All],8,0),0)</f>
        <v/>
      </c>
      <c r="T1661" s="26">
        <f>S1661*G1661</f>
        <v/>
      </c>
      <c r="U1661" s="26">
        <f>R1661-T1661</f>
        <v/>
      </c>
      <c r="V1661" s="26">
        <f>U1661-L1661</f>
        <v/>
      </c>
    </row>
    <row r="1662">
      <c r="A1662" s="11" t="n">
        <v>46220</v>
      </c>
      <c r="B1662" s="1" t="n">
        <v>20057</v>
      </c>
      <c r="C1662" s="1" t="inlineStr">
        <is>
          <t>033</t>
        </is>
      </c>
      <c r="D1662" s="1" t="inlineStr">
        <is>
          <t xml:space="preserve">67294 </t>
        </is>
      </c>
      <c r="E1662" s="1" t="inlineStr">
        <is>
          <t xml:space="preserve">28194770       </t>
        </is>
      </c>
      <c r="F1662" s="5" t="inlineStr">
        <is>
          <t>AUTOS DE METAL 3 TEAMSTERZ EN BLISTER</t>
        </is>
      </c>
      <c r="G1662" t="n">
        <v>1</v>
      </c>
      <c r="H1662" s="7" t="n">
        <v>6.9</v>
      </c>
      <c r="I1662" s="7" t="n">
        <v>0.6899999999999999</v>
      </c>
      <c r="J1662" s="7" t="n">
        <v>0</v>
      </c>
      <c r="K1662" s="9" t="n">
        <v>0.6899999999999999</v>
      </c>
      <c r="L1662" s="10" t="n">
        <v>3.68</v>
      </c>
      <c r="M1662" s="10" t="n">
        <v>1.43</v>
      </c>
      <c r="N1662" t="inlineStr">
        <is>
          <t>1</t>
        </is>
      </c>
      <c r="O1662" t="inlineStr">
        <is>
          <t xml:space="preserve">3 </t>
        </is>
      </c>
      <c r="P1662" t="inlineStr">
        <is>
          <t xml:space="preserve">250522  </t>
        </is>
      </c>
      <c r="Q1662" s="26" t="n">
        <v>4.09</v>
      </c>
      <c r="R1662" s="26">
        <f>Q1662*G1662</f>
        <v/>
      </c>
      <c r="S1662" s="26">
        <f>IFERROR(VLOOKUP(E1662*1,Tabla[#All],8,0),0)</f>
        <v/>
      </c>
      <c r="T1662" s="26">
        <f>S1662*G1662</f>
        <v/>
      </c>
      <c r="U1662" s="26">
        <f>R1662-T1662</f>
        <v/>
      </c>
      <c r="V1662" s="26">
        <f>U1662-L1662</f>
        <v/>
      </c>
    </row>
    <row r="1663">
      <c r="A1663" s="11" t="n">
        <v>46220</v>
      </c>
      <c r="B1663" s="1" t="n">
        <v>20057</v>
      </c>
      <c r="C1663" s="1" t="inlineStr">
        <is>
          <t>033</t>
        </is>
      </c>
      <c r="D1663" s="1" t="inlineStr">
        <is>
          <t xml:space="preserve">67294 </t>
        </is>
      </c>
      <c r="E1663" s="1" t="inlineStr">
        <is>
          <t xml:space="preserve">28194770       </t>
        </is>
      </c>
      <c r="F1663" s="5" t="inlineStr">
        <is>
          <t>AUTOS DE METAL 3 TEAMSTERZ EN BLISTER</t>
        </is>
      </c>
      <c r="G1663" t="n">
        <v>1</v>
      </c>
      <c r="H1663" s="7" t="n">
        <v>6.9</v>
      </c>
      <c r="I1663" s="7" t="n">
        <v>0.6899999999999999</v>
      </c>
      <c r="J1663" s="7" t="n">
        <v>0</v>
      </c>
      <c r="K1663" s="9" t="n">
        <v>0.6899999999999999</v>
      </c>
      <c r="L1663" s="10" t="n">
        <v>3.68</v>
      </c>
      <c r="M1663" s="10" t="n">
        <v>1.43</v>
      </c>
      <c r="N1663" t="inlineStr">
        <is>
          <t>1</t>
        </is>
      </c>
      <c r="O1663" t="inlineStr">
        <is>
          <t xml:space="preserve">3 </t>
        </is>
      </c>
      <c r="P1663" t="inlineStr">
        <is>
          <t xml:space="preserve">250522  </t>
        </is>
      </c>
      <c r="Q1663" s="26" t="n">
        <v>4.09</v>
      </c>
      <c r="R1663" s="26">
        <f>Q1663*G1663</f>
        <v/>
      </c>
      <c r="S1663" s="26">
        <f>IFERROR(VLOOKUP(E1663*1,Tabla[#All],8,0),0)</f>
        <v/>
      </c>
      <c r="T1663" s="26">
        <f>S1663*G1663</f>
        <v/>
      </c>
      <c r="U1663" s="26">
        <f>R1663-T1663</f>
        <v/>
      </c>
      <c r="V1663" s="26">
        <f>U1663-L1663</f>
        <v/>
      </c>
    </row>
    <row r="1664">
      <c r="A1664" s="11" t="n">
        <v>46220</v>
      </c>
      <c r="B1664" s="1" t="n">
        <v>20057</v>
      </c>
      <c r="C1664" s="1" t="inlineStr">
        <is>
          <t>033</t>
        </is>
      </c>
      <c r="D1664" s="1" t="inlineStr">
        <is>
          <t xml:space="preserve">67297 </t>
        </is>
      </c>
      <c r="E1664" s="1" t="inlineStr">
        <is>
          <t xml:space="preserve">28194770       </t>
        </is>
      </c>
      <c r="F1664" s="5" t="inlineStr">
        <is>
          <t>AUTOS DE METAL 3 TEAMSTERZ EN BLISTER</t>
        </is>
      </c>
      <c r="G1664" t="n">
        <v>1</v>
      </c>
      <c r="H1664" s="7" t="n">
        <v>6.9</v>
      </c>
      <c r="I1664" s="7" t="n">
        <v>0</v>
      </c>
      <c r="J1664" s="7" t="n">
        <v>0</v>
      </c>
      <c r="K1664" s="9" t="n">
        <v>0</v>
      </c>
      <c r="L1664" s="10" t="n">
        <v>4.1</v>
      </c>
      <c r="M1664" s="10" t="n">
        <v>1.43</v>
      </c>
      <c r="N1664" t="inlineStr">
        <is>
          <t>1</t>
        </is>
      </c>
      <c r="O1664" t="inlineStr">
        <is>
          <t>16</t>
        </is>
      </c>
      <c r="P1664" t="inlineStr">
        <is>
          <t xml:space="preserve">250522  </t>
        </is>
      </c>
      <c r="Q1664" s="26" t="n">
        <v>4.09</v>
      </c>
      <c r="R1664" s="26">
        <f>Q1664*G1664</f>
        <v/>
      </c>
      <c r="S1664" s="26">
        <f>IFERROR(VLOOKUP(E1664*1,Tabla[#All],8,0),0)</f>
        <v/>
      </c>
      <c r="T1664" s="26">
        <f>S1664*G1664</f>
        <v/>
      </c>
      <c r="U1664" s="26">
        <f>R1664-T1664</f>
        <v/>
      </c>
      <c r="V1664" s="26">
        <f>U1664-L1664</f>
        <v/>
      </c>
    </row>
    <row r="1665">
      <c r="A1665" s="11" t="n">
        <v>46220</v>
      </c>
      <c r="B1665" s="1" t="n">
        <v>20057</v>
      </c>
      <c r="C1665" s="1" t="inlineStr">
        <is>
          <t>033</t>
        </is>
      </c>
      <c r="D1665" s="1" t="inlineStr">
        <is>
          <t xml:space="preserve">67297 </t>
        </is>
      </c>
      <c r="E1665" s="1" t="inlineStr">
        <is>
          <t xml:space="preserve">28194770       </t>
        </is>
      </c>
      <c r="F1665" s="5" t="inlineStr">
        <is>
          <t>AUTOS DE METAL 3 TEAMSTERZ EN BLISTER</t>
        </is>
      </c>
      <c r="G1665" t="n">
        <v>1</v>
      </c>
      <c r="H1665" s="7" t="n">
        <v>6.9</v>
      </c>
      <c r="I1665" s="7" t="n">
        <v>0</v>
      </c>
      <c r="J1665" s="7" t="n">
        <v>0</v>
      </c>
      <c r="K1665" s="9" t="n">
        <v>0</v>
      </c>
      <c r="L1665" s="10" t="n">
        <v>4.1</v>
      </c>
      <c r="M1665" s="10" t="n">
        <v>1.43</v>
      </c>
      <c r="N1665" t="inlineStr">
        <is>
          <t>1</t>
        </is>
      </c>
      <c r="O1665" t="inlineStr">
        <is>
          <t>16</t>
        </is>
      </c>
      <c r="P1665" t="inlineStr">
        <is>
          <t xml:space="preserve">250522  </t>
        </is>
      </c>
      <c r="Q1665" s="26" t="n">
        <v>4.09</v>
      </c>
      <c r="R1665" s="26">
        <f>Q1665*G1665</f>
        <v/>
      </c>
      <c r="S1665" s="26">
        <f>IFERROR(VLOOKUP(E1665*1,Tabla[#All],8,0),0)</f>
        <v/>
      </c>
      <c r="T1665" s="26">
        <f>S1665*G1665</f>
        <v/>
      </c>
      <c r="U1665" s="26">
        <f>R1665-T1665</f>
        <v/>
      </c>
      <c r="V1665" s="26">
        <f>U1665-L1665</f>
        <v/>
      </c>
    </row>
    <row r="1666">
      <c r="A1666" s="11" t="n">
        <v>46220</v>
      </c>
      <c r="B1666" s="1" t="n">
        <v>20057</v>
      </c>
      <c r="C1666" s="1" t="inlineStr">
        <is>
          <t>033</t>
        </is>
      </c>
      <c r="D1666" s="1" t="inlineStr">
        <is>
          <t xml:space="preserve">67297 </t>
        </is>
      </c>
      <c r="E1666" s="1" t="inlineStr">
        <is>
          <t xml:space="preserve">28194770       </t>
        </is>
      </c>
      <c r="F1666" s="5" t="inlineStr">
        <is>
          <t>AUTOS DE METAL 3 TEAMSTERZ EN BLISTER</t>
        </is>
      </c>
      <c r="G1666" t="n">
        <v>1</v>
      </c>
      <c r="H1666" s="7" t="n">
        <v>6.9</v>
      </c>
      <c r="I1666" s="7" t="n">
        <v>0</v>
      </c>
      <c r="J1666" s="7" t="n">
        <v>0</v>
      </c>
      <c r="K1666" s="9" t="n">
        <v>0</v>
      </c>
      <c r="L1666" s="10" t="n">
        <v>4.1</v>
      </c>
      <c r="M1666" s="10" t="n">
        <v>1.43</v>
      </c>
      <c r="N1666" t="inlineStr">
        <is>
          <t>1</t>
        </is>
      </c>
      <c r="O1666" t="inlineStr">
        <is>
          <t>16</t>
        </is>
      </c>
      <c r="P1666" t="inlineStr">
        <is>
          <t xml:space="preserve">250522  </t>
        </is>
      </c>
      <c r="Q1666" s="26" t="n">
        <v>4.09</v>
      </c>
      <c r="R1666" s="26">
        <f>Q1666*G1666</f>
        <v/>
      </c>
      <c r="S1666" s="26">
        <f>IFERROR(VLOOKUP(E1666*1,Tabla[#All],8,0),0)</f>
        <v/>
      </c>
      <c r="T1666" s="26">
        <f>S1666*G1666</f>
        <v/>
      </c>
      <c r="U1666" s="26">
        <f>R1666-T1666</f>
        <v/>
      </c>
      <c r="V1666" s="26">
        <f>U1666-L1666</f>
        <v/>
      </c>
    </row>
    <row r="1667">
      <c r="A1667" s="11" t="n">
        <v>46220</v>
      </c>
      <c r="B1667" s="1" t="n">
        <v>20057</v>
      </c>
      <c r="C1667" s="1" t="inlineStr">
        <is>
          <t>033</t>
        </is>
      </c>
      <c r="D1667" s="1" t="inlineStr">
        <is>
          <t xml:space="preserve">67297 </t>
        </is>
      </c>
      <c r="E1667" s="1" t="inlineStr">
        <is>
          <t xml:space="preserve">28194770       </t>
        </is>
      </c>
      <c r="F1667" s="5" t="inlineStr">
        <is>
          <t>AUTOS DE METAL 3 TEAMSTERZ EN BLISTER</t>
        </is>
      </c>
      <c r="G1667" t="n">
        <v>1</v>
      </c>
      <c r="H1667" s="7" t="n">
        <v>6.9</v>
      </c>
      <c r="I1667" s="7" t="n">
        <v>0</v>
      </c>
      <c r="J1667" s="7" t="n">
        <v>0</v>
      </c>
      <c r="K1667" s="9" t="n">
        <v>0</v>
      </c>
      <c r="L1667" s="10" t="n">
        <v>4.1</v>
      </c>
      <c r="M1667" s="10" t="n">
        <v>1.43</v>
      </c>
      <c r="N1667" t="inlineStr">
        <is>
          <t>1</t>
        </is>
      </c>
      <c r="O1667" t="inlineStr">
        <is>
          <t>16</t>
        </is>
      </c>
      <c r="P1667" t="inlineStr">
        <is>
          <t xml:space="preserve">250522  </t>
        </is>
      </c>
      <c r="Q1667" s="26" t="n">
        <v>4.09</v>
      </c>
      <c r="R1667" s="26">
        <f>Q1667*G1667</f>
        <v/>
      </c>
      <c r="S1667" s="26">
        <f>IFERROR(VLOOKUP(E1667*1,Tabla[#All],8,0),0)</f>
        <v/>
      </c>
      <c r="T1667" s="26">
        <f>S1667*G1667</f>
        <v/>
      </c>
      <c r="U1667" s="26">
        <f>R1667-T1667</f>
        <v/>
      </c>
      <c r="V1667" s="26">
        <f>U1667-L1667</f>
        <v/>
      </c>
    </row>
    <row r="1668">
      <c r="A1668" s="11" t="n">
        <v>46220</v>
      </c>
      <c r="B1668" s="1" t="n">
        <v>20057</v>
      </c>
      <c r="C1668" s="1" t="inlineStr">
        <is>
          <t>033</t>
        </is>
      </c>
      <c r="D1668" s="1" t="inlineStr">
        <is>
          <t xml:space="preserve">67297 </t>
        </is>
      </c>
      <c r="E1668" s="1" t="inlineStr">
        <is>
          <t xml:space="preserve">28194770       </t>
        </is>
      </c>
      <c r="F1668" s="5" t="inlineStr">
        <is>
          <t>AUTOS DE METAL 3 TEAMSTERZ EN BLISTER</t>
        </is>
      </c>
      <c r="G1668" t="n">
        <v>1</v>
      </c>
      <c r="H1668" s="7" t="n">
        <v>6.9</v>
      </c>
      <c r="I1668" s="7" t="n">
        <v>0</v>
      </c>
      <c r="J1668" s="7" t="n">
        <v>0</v>
      </c>
      <c r="K1668" s="9" t="n">
        <v>0</v>
      </c>
      <c r="L1668" s="10" t="n">
        <v>4.1</v>
      </c>
      <c r="M1668" s="10" t="n">
        <v>1.43</v>
      </c>
      <c r="N1668" t="inlineStr">
        <is>
          <t>1</t>
        </is>
      </c>
      <c r="O1668" t="inlineStr">
        <is>
          <t>16</t>
        </is>
      </c>
      <c r="P1668" t="inlineStr">
        <is>
          <t xml:space="preserve">250522  </t>
        </is>
      </c>
      <c r="Q1668" s="26" t="n">
        <v>4.09</v>
      </c>
      <c r="R1668" s="26">
        <f>Q1668*G1668</f>
        <v/>
      </c>
      <c r="S1668" s="26">
        <f>IFERROR(VLOOKUP(E1668*1,Tabla[#All],8,0),0)</f>
        <v/>
      </c>
      <c r="T1668" s="26">
        <f>S1668*G1668</f>
        <v/>
      </c>
      <c r="U1668" s="26">
        <f>R1668-T1668</f>
        <v/>
      </c>
      <c r="V1668" s="26">
        <f>U1668-L1668</f>
        <v/>
      </c>
    </row>
    <row r="1669">
      <c r="A1669" s="11" t="n">
        <v>46220</v>
      </c>
      <c r="B1669" s="1" t="n">
        <v>20057</v>
      </c>
      <c r="C1669" s="1" t="inlineStr">
        <is>
          <t>033</t>
        </is>
      </c>
      <c r="D1669" s="1" t="inlineStr">
        <is>
          <t xml:space="preserve">67297 </t>
        </is>
      </c>
      <c r="E1669" s="1" t="inlineStr">
        <is>
          <t xml:space="preserve">30141766       </t>
        </is>
      </c>
      <c r="F1669" s="5" t="inlineStr">
        <is>
          <t>TMZ BEAST MACHINES AUTOS DE METAL BLISTER X 1</t>
        </is>
      </c>
      <c r="G1669" t="n">
        <v>1</v>
      </c>
      <c r="H1669" s="7" t="n">
        <v>7.9</v>
      </c>
      <c r="I1669" s="7" t="n">
        <v>0</v>
      </c>
      <c r="J1669" s="7" t="n">
        <v>0</v>
      </c>
      <c r="K1669" s="9" t="n">
        <v>0</v>
      </c>
      <c r="L1669" s="10" t="n">
        <v>4.68</v>
      </c>
      <c r="M1669" s="10" t="n">
        <v>1.43</v>
      </c>
      <c r="N1669" t="inlineStr">
        <is>
          <t>1</t>
        </is>
      </c>
      <c r="O1669" t="inlineStr">
        <is>
          <t>16</t>
        </is>
      </c>
      <c r="P1669" t="inlineStr">
        <is>
          <t xml:space="preserve">250522  </t>
        </is>
      </c>
      <c r="Q1669" s="26" t="n">
        <v>4.69</v>
      </c>
      <c r="R1669" s="26">
        <f>Q1669*G1669</f>
        <v/>
      </c>
      <c r="S1669" s="26">
        <f>IFERROR(VLOOKUP(E1669*1,Tabla[#All],8,0),0)</f>
        <v/>
      </c>
      <c r="T1669" s="26">
        <f>S1669*G1669</f>
        <v/>
      </c>
      <c r="U1669" s="26">
        <f>R1669-T1669</f>
        <v/>
      </c>
      <c r="V1669" s="26">
        <f>U1669-L1669</f>
        <v/>
      </c>
    </row>
    <row r="1670">
      <c r="A1670" s="11" t="n">
        <v>46220</v>
      </c>
      <c r="B1670" s="1" t="n">
        <v>20057</v>
      </c>
      <c r="C1670" s="1" t="inlineStr">
        <is>
          <t>033</t>
        </is>
      </c>
      <c r="D1670" s="1" t="inlineStr">
        <is>
          <t xml:space="preserve">67305 </t>
        </is>
      </c>
      <c r="E1670" s="1" t="inlineStr">
        <is>
          <t xml:space="preserve">28194769       </t>
        </is>
      </c>
      <c r="F1670" s="5" t="inlineStr">
        <is>
          <t>AUTOS DE METAL 3 TEAMSTERZ PACK DE 2</t>
        </is>
      </c>
      <c r="G1670" t="n">
        <v>1</v>
      </c>
      <c r="H1670" s="7" t="n">
        <v>13.8</v>
      </c>
      <c r="I1670" s="7" t="n">
        <v>0</v>
      </c>
      <c r="J1670" s="7" t="n">
        <v>0</v>
      </c>
      <c r="K1670" s="9" t="n">
        <v>0</v>
      </c>
      <c r="L1670" s="10" t="n">
        <v>8.18</v>
      </c>
      <c r="M1670" s="10" t="n">
        <v>1.43</v>
      </c>
      <c r="N1670" t="inlineStr">
        <is>
          <t>1</t>
        </is>
      </c>
      <c r="O1670" t="inlineStr">
        <is>
          <t>16</t>
        </is>
      </c>
      <c r="P1670" t="inlineStr">
        <is>
          <t xml:space="preserve">250522  </t>
        </is>
      </c>
      <c r="Q1670" s="26" t="n">
        <v>8.19</v>
      </c>
      <c r="R1670" s="26">
        <f>Q1670*G1670</f>
        <v/>
      </c>
      <c r="S1670" s="26">
        <f>IFERROR(VLOOKUP(E1670*1,Tabla[#All],8,0),0)</f>
        <v/>
      </c>
      <c r="T1670" s="26">
        <f>S1670*G1670</f>
        <v/>
      </c>
      <c r="U1670" s="26">
        <f>R1670-T1670</f>
        <v/>
      </c>
      <c r="V1670" s="26">
        <f>U1670-L1670</f>
        <v/>
      </c>
    </row>
    <row r="1671">
      <c r="A1671" s="11" t="n">
        <v>46220</v>
      </c>
      <c r="B1671" s="1" t="n">
        <v>20057</v>
      </c>
      <c r="C1671" s="1" t="inlineStr">
        <is>
          <t>861</t>
        </is>
      </c>
      <c r="D1671" s="1" t="inlineStr">
        <is>
          <t xml:space="preserve">838   </t>
        </is>
      </c>
      <c r="E1671" s="1" t="inlineStr">
        <is>
          <t xml:space="preserve">28194770       </t>
        </is>
      </c>
      <c r="F1671" s="5" t="inlineStr">
        <is>
          <t>AUTOS DE METAL 3 TEAMSTERZ EN BLISTER</t>
        </is>
      </c>
      <c r="G1671" t="n">
        <v>2</v>
      </c>
      <c r="H1671" s="7" t="n">
        <v>13.8</v>
      </c>
      <c r="I1671" s="7" t="n">
        <v>0</v>
      </c>
      <c r="J1671" s="7" t="n">
        <v>0</v>
      </c>
      <c r="K1671" s="9" t="n">
        <v>0</v>
      </c>
      <c r="L1671" s="10" t="n">
        <v>8.18</v>
      </c>
      <c r="M1671" s="10" t="n">
        <v>1.43</v>
      </c>
      <c r="N1671" t="inlineStr">
        <is>
          <t>1</t>
        </is>
      </c>
      <c r="O1671" t="inlineStr">
        <is>
          <t>16</t>
        </is>
      </c>
      <c r="P1671" t="inlineStr">
        <is>
          <t xml:space="preserve">0       </t>
        </is>
      </c>
      <c r="Q1671" s="26" t="n">
        <v>4.09</v>
      </c>
      <c r="R1671" s="26">
        <f>Q1671*G1671</f>
        <v/>
      </c>
      <c r="S1671" s="26">
        <f>IFERROR(VLOOKUP(E1671*1,Tabla[#All],8,0),0)</f>
        <v/>
      </c>
      <c r="T1671" s="26">
        <f>S1671*G1671</f>
        <v/>
      </c>
      <c r="U1671" s="26">
        <f>R1671-T1671</f>
        <v/>
      </c>
      <c r="V1671" s="26">
        <f>U1671-L1671</f>
        <v/>
      </c>
    </row>
    <row r="1672">
      <c r="A1672" s="11" t="n">
        <v>46220</v>
      </c>
      <c r="B1672" s="1" t="n">
        <v>20057</v>
      </c>
      <c r="C1672" s="1" t="inlineStr">
        <is>
          <t>861</t>
        </is>
      </c>
      <c r="D1672" s="1" t="inlineStr">
        <is>
          <t xml:space="preserve">838   </t>
        </is>
      </c>
      <c r="E1672" s="1" t="inlineStr">
        <is>
          <t xml:space="preserve">28194770       </t>
        </is>
      </c>
      <c r="F1672" s="5" t="inlineStr">
        <is>
          <t>AUTOS DE METAL 3 TEAMSTERZ EN BLISTER</t>
        </is>
      </c>
      <c r="G1672" t="n">
        <v>2</v>
      </c>
      <c r="H1672" s="7" t="n">
        <v>13.8</v>
      </c>
      <c r="I1672" s="7" t="n">
        <v>0</v>
      </c>
      <c r="J1672" s="7" t="n">
        <v>0</v>
      </c>
      <c r="K1672" s="9" t="n">
        <v>0</v>
      </c>
      <c r="L1672" s="10" t="n">
        <v>8.18</v>
      </c>
      <c r="M1672" s="10" t="n">
        <v>1.43</v>
      </c>
      <c r="N1672" t="inlineStr">
        <is>
          <t>1</t>
        </is>
      </c>
      <c r="O1672" t="inlineStr">
        <is>
          <t>16</t>
        </is>
      </c>
      <c r="P1672" t="inlineStr">
        <is>
          <t xml:space="preserve">0       </t>
        </is>
      </c>
      <c r="Q1672" s="26" t="n">
        <v>4.09</v>
      </c>
      <c r="R1672" s="26">
        <f>Q1672*G1672</f>
        <v/>
      </c>
      <c r="S1672" s="26">
        <f>IFERROR(VLOOKUP(E1672*1,Tabla[#All],8,0),0)</f>
        <v/>
      </c>
      <c r="T1672" s="26">
        <f>S1672*G1672</f>
        <v/>
      </c>
      <c r="U1672" s="26">
        <f>R1672-T1672</f>
        <v/>
      </c>
      <c r="V1672" s="26">
        <f>U1672-L1672</f>
        <v/>
      </c>
    </row>
    <row r="1673">
      <c r="A1673" s="11" t="n">
        <v>46220</v>
      </c>
      <c r="B1673" s="1" t="n">
        <v>20057</v>
      </c>
      <c r="C1673" s="1" t="inlineStr">
        <is>
          <t>861</t>
        </is>
      </c>
      <c r="D1673" s="1" t="inlineStr">
        <is>
          <t xml:space="preserve">839   </t>
        </is>
      </c>
      <c r="E1673" s="1" t="inlineStr">
        <is>
          <t xml:space="preserve">28194770       </t>
        </is>
      </c>
      <c r="F1673" s="5" t="inlineStr">
        <is>
          <t>AUTOS DE METAL 3 TEAMSTERZ EN BLISTER</t>
        </is>
      </c>
      <c r="G1673" t="n">
        <v>1</v>
      </c>
      <c r="H1673" s="7" t="n">
        <v>6.9</v>
      </c>
      <c r="I1673" s="7" t="n">
        <v>0</v>
      </c>
      <c r="J1673" s="7" t="n">
        <v>0</v>
      </c>
      <c r="K1673" s="9" t="n">
        <v>0</v>
      </c>
      <c r="L1673" s="10" t="n">
        <v>4.1</v>
      </c>
      <c r="M1673" s="10" t="n">
        <v>1.43</v>
      </c>
      <c r="N1673" t="inlineStr">
        <is>
          <t>1</t>
        </is>
      </c>
      <c r="O1673" t="inlineStr">
        <is>
          <t>16</t>
        </is>
      </c>
      <c r="P1673" t="inlineStr">
        <is>
          <t xml:space="preserve">0       </t>
        </is>
      </c>
      <c r="Q1673" s="26" t="n">
        <v>4.09</v>
      </c>
      <c r="R1673" s="26">
        <f>Q1673*G1673</f>
        <v/>
      </c>
      <c r="S1673" s="26">
        <f>IFERROR(VLOOKUP(E1673*1,Tabla[#All],8,0),0)</f>
        <v/>
      </c>
      <c r="T1673" s="26">
        <f>S1673*G1673</f>
        <v/>
      </c>
      <c r="U1673" s="26">
        <f>R1673-T1673</f>
        <v/>
      </c>
      <c r="V1673" s="26">
        <f>U1673-L1673</f>
        <v/>
      </c>
    </row>
    <row r="1674">
      <c r="A1674" s="11" t="n">
        <v>46220</v>
      </c>
      <c r="B1674" s="1" t="n">
        <v>20058</v>
      </c>
      <c r="C1674" s="1" t="inlineStr">
        <is>
          <t>032</t>
        </is>
      </c>
      <c r="D1674" s="1" t="inlineStr">
        <is>
          <t>208106</t>
        </is>
      </c>
      <c r="E1674" s="1" t="inlineStr">
        <is>
          <t xml:space="preserve">28194770       </t>
        </is>
      </c>
      <c r="F1674" s="5" t="inlineStr">
        <is>
          <t>AUTOS DE METAL 3 TEAMSTERZ EN BLISTER</t>
        </is>
      </c>
      <c r="G1674" t="n">
        <v>1</v>
      </c>
      <c r="H1674" s="7" t="n">
        <v>6.9</v>
      </c>
      <c r="I1674" s="7" t="n">
        <v>0</v>
      </c>
      <c r="J1674" s="7" t="n">
        <v>0</v>
      </c>
      <c r="K1674" s="9" t="n">
        <v>0</v>
      </c>
      <c r="L1674" s="10" t="n">
        <v>4.1</v>
      </c>
      <c r="M1674" s="10" t="n">
        <v>1.43</v>
      </c>
      <c r="N1674" t="inlineStr">
        <is>
          <t>1</t>
        </is>
      </c>
      <c r="O1674" t="inlineStr">
        <is>
          <t>16</t>
        </is>
      </c>
      <c r="P1674" t="inlineStr">
        <is>
          <t xml:space="preserve">248289  </t>
        </is>
      </c>
      <c r="Q1674" s="26" t="n">
        <v>4.09</v>
      </c>
      <c r="R1674" s="26">
        <f>Q1674*G1674</f>
        <v/>
      </c>
      <c r="S1674" s="26">
        <f>IFERROR(VLOOKUP(E1674*1,Tabla[#All],8,0),0)</f>
        <v/>
      </c>
      <c r="T1674" s="26">
        <f>S1674*G1674</f>
        <v/>
      </c>
      <c r="U1674" s="26">
        <f>R1674-T1674</f>
        <v/>
      </c>
      <c r="V1674" s="26">
        <f>U1674-L1674</f>
        <v/>
      </c>
    </row>
    <row r="1675">
      <c r="A1675" s="11" t="n">
        <v>46220</v>
      </c>
      <c r="B1675" s="1" t="n">
        <v>20058</v>
      </c>
      <c r="C1675" s="1" t="inlineStr">
        <is>
          <t>197</t>
        </is>
      </c>
      <c r="D1675" s="1" t="inlineStr">
        <is>
          <t>170203</t>
        </is>
      </c>
      <c r="E1675" s="1" t="inlineStr">
        <is>
          <t xml:space="preserve">32457105       </t>
        </is>
      </c>
      <c r="F1675" s="5" t="inlineStr">
        <is>
          <t>TMZ BEAST MACHINES MONSTER JAWS ATAQUE ESCORPION +</t>
        </is>
      </c>
      <c r="G1675" t="n">
        <v>1</v>
      </c>
      <c r="H1675" s="7" t="n">
        <v>49.9</v>
      </c>
      <c r="I1675" s="7" t="n">
        <v>0</v>
      </c>
      <c r="J1675" s="7" t="n">
        <v>0</v>
      </c>
      <c r="K1675" s="9" t="n">
        <v>0</v>
      </c>
      <c r="L1675" s="10" t="n">
        <v>29.6</v>
      </c>
      <c r="M1675" s="10" t="n">
        <v>1.43</v>
      </c>
      <c r="N1675" t="inlineStr">
        <is>
          <t>1</t>
        </is>
      </c>
      <c r="O1675" t="inlineStr">
        <is>
          <t xml:space="preserve">2 </t>
        </is>
      </c>
      <c r="P1675" t="inlineStr">
        <is>
          <t xml:space="preserve">247297  </t>
        </is>
      </c>
      <c r="Q1675" s="26" t="n">
        <v>41.47</v>
      </c>
      <c r="R1675" s="26">
        <f>Q1675*G1675</f>
        <v/>
      </c>
      <c r="S1675" s="26">
        <f>IFERROR(VLOOKUP(E1675*1,Tabla[#All],8,0),0)</f>
        <v/>
      </c>
      <c r="T1675" s="26">
        <f>S1675*G1675</f>
        <v/>
      </c>
      <c r="U1675" s="26">
        <f>R1675-T1675</f>
        <v/>
      </c>
      <c r="V1675" s="26">
        <f>U1675-L1675</f>
        <v/>
      </c>
    </row>
    <row r="1676">
      <c r="A1676" s="11" t="n">
        <v>46220</v>
      </c>
      <c r="B1676" s="1" t="n">
        <v>20062</v>
      </c>
      <c r="C1676" s="1" t="inlineStr">
        <is>
          <t>053</t>
        </is>
      </c>
      <c r="D1676" s="1" t="inlineStr">
        <is>
          <t>243277</t>
        </is>
      </c>
      <c r="E1676" s="1" t="inlineStr">
        <is>
          <t xml:space="preserve">35685067       </t>
        </is>
      </c>
      <c r="F1676" s="5" t="inlineStr">
        <is>
          <t>HOT WHEELS POWER SET 3 EN 1</t>
        </is>
      </c>
      <c r="G1676" t="n">
        <v>1</v>
      </c>
      <c r="H1676" s="7" t="n">
        <v>49.9</v>
      </c>
      <c r="I1676" s="7" t="n">
        <v>4.99</v>
      </c>
      <c r="J1676" s="7" t="n">
        <v>0</v>
      </c>
      <c r="K1676" s="9" t="n">
        <v>4.99</v>
      </c>
      <c r="L1676" s="10" t="n">
        <v>26.64</v>
      </c>
      <c r="M1676" s="10" t="n">
        <v>1.43</v>
      </c>
      <c r="N1676" t="inlineStr">
        <is>
          <t>1</t>
        </is>
      </c>
      <c r="O1676" t="inlineStr">
        <is>
          <t xml:space="preserve">3 </t>
        </is>
      </c>
      <c r="P1676" t="inlineStr">
        <is>
          <t xml:space="preserve">43458   </t>
        </is>
      </c>
      <c r="Q1676" s="26" t="n">
        <v>29.6</v>
      </c>
      <c r="R1676" s="26">
        <f>Q1676*G1676</f>
        <v/>
      </c>
      <c r="S1676" s="26">
        <f>IFERROR(VLOOKUP(E1676*1,Tabla[#All],8,0),0)</f>
        <v/>
      </c>
      <c r="T1676" s="26">
        <f>S1676*G1676</f>
        <v/>
      </c>
      <c r="U1676" s="26">
        <f>R1676-T1676</f>
        <v/>
      </c>
      <c r="V1676" s="26">
        <f>U1676-L1676</f>
        <v/>
      </c>
    </row>
    <row r="1677">
      <c r="A1677" s="11" t="n">
        <v>46220</v>
      </c>
      <c r="B1677" s="1" t="n">
        <v>20066</v>
      </c>
      <c r="C1677" s="1" t="inlineStr">
        <is>
          <t>805</t>
        </is>
      </c>
      <c r="D1677" s="1" t="inlineStr">
        <is>
          <t xml:space="preserve">1789  </t>
        </is>
      </c>
      <c r="E1677" s="1" t="inlineStr">
        <is>
          <t xml:space="preserve">31800856       </t>
        </is>
      </c>
      <c r="F1677" s="5" t="inlineStr">
        <is>
          <t>DART ZONE STORM SQUAD TIRO RAPIDO BLASTER + 25 DAR</t>
        </is>
      </c>
      <c r="G1677" t="n">
        <v>1</v>
      </c>
      <c r="H1677" s="7" t="n">
        <v>14.95</v>
      </c>
      <c r="I1677" s="7" t="n">
        <v>0</v>
      </c>
      <c r="J1677" s="7" t="n">
        <v>0</v>
      </c>
      <c r="K1677" s="9" t="n">
        <v>0</v>
      </c>
      <c r="L1677" s="10" t="n">
        <v>8.869999999999999</v>
      </c>
      <c r="M1677" s="10" t="n">
        <v>1.43</v>
      </c>
      <c r="N1677" t="inlineStr">
        <is>
          <t>1</t>
        </is>
      </c>
      <c r="O1677" t="inlineStr">
        <is>
          <t>16</t>
        </is>
      </c>
      <c r="P1677" t="inlineStr">
        <is>
          <t xml:space="preserve">247448  </t>
        </is>
      </c>
      <c r="Q1677" s="26" t="n">
        <v>17.74</v>
      </c>
      <c r="R1677" s="26">
        <f>Q1677*G1677</f>
        <v/>
      </c>
      <c r="S1677" s="26">
        <f>IFERROR(VLOOKUP(E1677*1,Tabla[#All],8,0),0)</f>
        <v/>
      </c>
      <c r="T1677" s="26">
        <f>S1677*G1677</f>
        <v/>
      </c>
      <c r="U1677" s="26">
        <f>R1677-T1677</f>
        <v/>
      </c>
      <c r="V1677" s="26">
        <f>U1677-L1677</f>
        <v/>
      </c>
    </row>
    <row r="1678">
      <c r="A1678" s="11" t="n">
        <v>46220</v>
      </c>
      <c r="B1678" s="1" t="n">
        <v>20069</v>
      </c>
      <c r="C1678" s="1" t="inlineStr">
        <is>
          <t>024</t>
        </is>
      </c>
      <c r="D1678" s="1" t="inlineStr">
        <is>
          <t>104750</t>
        </is>
      </c>
      <c r="E1678" s="1" t="inlineStr">
        <is>
          <t xml:space="preserve">28194770       </t>
        </is>
      </c>
      <c r="F1678" s="5" t="inlineStr">
        <is>
          <t>AUTOS DE METAL 3 TEAMSTERZ EN BLISTER</t>
        </is>
      </c>
      <c r="G1678" t="n">
        <v>1</v>
      </c>
      <c r="H1678" s="7" t="n">
        <v>6.9</v>
      </c>
      <c r="I1678" s="7" t="n">
        <v>0</v>
      </c>
      <c r="J1678" s="7" t="n">
        <v>0</v>
      </c>
      <c r="K1678" s="9" t="n">
        <v>0</v>
      </c>
      <c r="L1678" s="10" t="n">
        <v>4.1</v>
      </c>
      <c r="M1678" s="10" t="n">
        <v>1.43</v>
      </c>
      <c r="N1678" t="inlineStr">
        <is>
          <t>1</t>
        </is>
      </c>
      <c r="O1678" t="inlineStr">
        <is>
          <t xml:space="preserve">2 </t>
        </is>
      </c>
      <c r="P1678" t="inlineStr">
        <is>
          <t xml:space="preserve">247845  </t>
        </is>
      </c>
      <c r="Q1678" s="26" t="n">
        <v>4.09</v>
      </c>
      <c r="R1678" s="26">
        <f>Q1678*G1678</f>
        <v/>
      </c>
      <c r="S1678" s="26">
        <f>IFERROR(VLOOKUP(E1678*1,Tabla[#All],8,0),0)</f>
        <v/>
      </c>
      <c r="T1678" s="26">
        <f>S1678*G1678</f>
        <v/>
      </c>
      <c r="U1678" s="26">
        <f>R1678-T1678</f>
        <v/>
      </c>
      <c r="V1678" s="26">
        <f>U1678-L1678</f>
        <v/>
      </c>
    </row>
    <row r="1679">
      <c r="A1679" s="11" t="n">
        <v>46220</v>
      </c>
      <c r="B1679" s="1" t="n">
        <v>20069</v>
      </c>
      <c r="C1679" s="1" t="inlineStr">
        <is>
          <t>190</t>
        </is>
      </c>
      <c r="D1679" s="1" t="inlineStr">
        <is>
          <t>299582</t>
        </is>
      </c>
      <c r="E1679" s="1" t="inlineStr">
        <is>
          <t xml:space="preserve">34840541       </t>
        </is>
      </c>
      <c r="F1679" s="5" t="inlineStr">
        <is>
          <t>MUNECA STEFFI LOVE ESTILISTA</t>
        </is>
      </c>
      <c r="G1679" t="n">
        <v>1</v>
      </c>
      <c r="H1679" s="7" t="n">
        <v>41.94</v>
      </c>
      <c r="I1679" s="7" t="n">
        <v>4.19</v>
      </c>
      <c r="J1679" s="7" t="n">
        <v>0</v>
      </c>
      <c r="K1679" s="9" t="n">
        <v>4.19</v>
      </c>
      <c r="L1679" s="10" t="n">
        <v>22.39</v>
      </c>
      <c r="M1679" s="10" t="n">
        <v>1.43</v>
      </c>
      <c r="N1679" t="inlineStr">
        <is>
          <t>1</t>
        </is>
      </c>
      <c r="O1679" t="inlineStr">
        <is>
          <t xml:space="preserve">3 </t>
        </is>
      </c>
      <c r="P1679" t="inlineStr">
        <is>
          <t xml:space="preserve">249779  </t>
        </is>
      </c>
      <c r="Q1679" s="26" t="n">
        <v>41.47</v>
      </c>
      <c r="R1679" s="26">
        <f>Q1679*G1679</f>
        <v/>
      </c>
      <c r="S1679" s="26">
        <f>IFERROR(VLOOKUP(E1679*1,Tabla[#All],8,0),0)</f>
        <v/>
      </c>
      <c r="T1679" s="26">
        <f>S1679*G1679</f>
        <v/>
      </c>
      <c r="U1679" s="26">
        <f>R1679-T1679</f>
        <v/>
      </c>
      <c r="V1679" s="26">
        <f>U1679-L1679</f>
        <v/>
      </c>
    </row>
    <row r="1680">
      <c r="A1680" s="11" t="n">
        <v>46220</v>
      </c>
      <c r="B1680" s="1" t="n">
        <v>20073</v>
      </c>
      <c r="C1680" s="1" t="inlineStr">
        <is>
          <t>016</t>
        </is>
      </c>
      <c r="D1680" s="1" t="inlineStr">
        <is>
          <t xml:space="preserve">14606 </t>
        </is>
      </c>
      <c r="E1680" s="1" t="inlineStr">
        <is>
          <t xml:space="preserve">29235700       </t>
        </is>
      </c>
      <c r="F1680" s="5" t="inlineStr">
        <is>
          <t>HOT WHEELS CASE METALICO PARA GUARDAR 18 CARRITOS</t>
        </is>
      </c>
      <c r="G1680" t="n">
        <v>1</v>
      </c>
      <c r="H1680" s="7" t="n">
        <v>49.9</v>
      </c>
      <c r="I1680" s="7" t="n">
        <v>0</v>
      </c>
      <c r="J1680" s="7" t="n">
        <v>0</v>
      </c>
      <c r="K1680" s="9" t="n">
        <v>0</v>
      </c>
      <c r="L1680" s="10" t="n">
        <v>29.6</v>
      </c>
      <c r="M1680" s="10" t="n">
        <v>1.43</v>
      </c>
      <c r="N1680" t="inlineStr">
        <is>
          <t>1</t>
        </is>
      </c>
      <c r="O1680" t="inlineStr">
        <is>
          <t>16</t>
        </is>
      </c>
      <c r="P1680" t="inlineStr">
        <is>
          <t xml:space="preserve">91372   </t>
        </is>
      </c>
      <c r="Q1680" s="26" t="n">
        <v>29.6</v>
      </c>
      <c r="R1680" s="26">
        <f>Q1680*G1680</f>
        <v/>
      </c>
      <c r="S1680" s="26">
        <f>IFERROR(VLOOKUP(E1680*1,Tabla[#All],8,0),0)</f>
        <v/>
      </c>
      <c r="T1680" s="26">
        <f>S1680*G1680</f>
        <v/>
      </c>
      <c r="U1680" s="26">
        <f>R1680-T1680</f>
        <v/>
      </c>
      <c r="V1680" s="26">
        <f>U1680-L1680</f>
        <v/>
      </c>
    </row>
    <row r="1681">
      <c r="A1681" s="11" t="n">
        <v>46220</v>
      </c>
      <c r="B1681" s="1" t="n">
        <v>20073</v>
      </c>
      <c r="C1681" s="1" t="inlineStr">
        <is>
          <t>022</t>
        </is>
      </c>
      <c r="D1681" s="1" t="inlineStr">
        <is>
          <t>294867</t>
        </is>
      </c>
      <c r="E1681" s="1" t="inlineStr">
        <is>
          <t xml:space="preserve">31754675       </t>
        </is>
      </c>
      <c r="F1681" s="5" t="inlineStr">
        <is>
          <t>INFINITY NADO SERIE 6 STARTER PACK - 4 MODELOS</t>
        </is>
      </c>
      <c r="G1681" t="n">
        <v>1</v>
      </c>
      <c r="H1681" s="7" t="n">
        <v>49.9</v>
      </c>
      <c r="I1681" s="7" t="n">
        <v>0</v>
      </c>
      <c r="J1681" s="7" t="n">
        <v>0</v>
      </c>
      <c r="K1681" s="9" t="n">
        <v>0</v>
      </c>
      <c r="L1681" s="10" t="n">
        <v>29.6</v>
      </c>
      <c r="M1681" s="10" t="n">
        <v>1.43</v>
      </c>
      <c r="N1681" t="inlineStr">
        <is>
          <t>1</t>
        </is>
      </c>
      <c r="O1681" t="inlineStr">
        <is>
          <t>16</t>
        </is>
      </c>
      <c r="P1681" t="inlineStr">
        <is>
          <t xml:space="preserve">57881   </t>
        </is>
      </c>
      <c r="Q1681" s="26" t="n">
        <v>41.47</v>
      </c>
      <c r="R1681" s="26">
        <f>Q1681*G1681</f>
        <v/>
      </c>
      <c r="S1681" s="26">
        <f>IFERROR(VLOOKUP(E1681*1,Tabla[#All],8,0),0)</f>
        <v/>
      </c>
      <c r="T1681" s="26">
        <f>S1681*G1681</f>
        <v/>
      </c>
      <c r="U1681" s="26">
        <f>R1681-T1681</f>
        <v/>
      </c>
      <c r="V1681" s="26">
        <f>U1681-L1681</f>
        <v/>
      </c>
    </row>
    <row r="1682">
      <c r="A1682" s="11" t="n">
        <v>46220</v>
      </c>
      <c r="B1682" s="1" t="n">
        <v>20073</v>
      </c>
      <c r="C1682" s="1" t="inlineStr">
        <is>
          <t>022</t>
        </is>
      </c>
      <c r="D1682" s="1" t="inlineStr">
        <is>
          <t>294867</t>
        </is>
      </c>
      <c r="E1682" s="1" t="inlineStr">
        <is>
          <t xml:space="preserve">31754675       </t>
        </is>
      </c>
      <c r="F1682" s="5" t="inlineStr">
        <is>
          <t>INFINITY NADO SERIE 6 STARTER PACK - 4 MODELOS</t>
        </is>
      </c>
      <c r="G1682" t="n">
        <v>1</v>
      </c>
      <c r="H1682" s="7" t="n">
        <v>49.9</v>
      </c>
      <c r="I1682" s="7" t="n">
        <v>0</v>
      </c>
      <c r="J1682" s="7" t="n">
        <v>0</v>
      </c>
      <c r="K1682" s="9" t="n">
        <v>0</v>
      </c>
      <c r="L1682" s="10" t="n">
        <v>29.6</v>
      </c>
      <c r="M1682" s="10" t="n">
        <v>1.43</v>
      </c>
      <c r="N1682" t="inlineStr">
        <is>
          <t>1</t>
        </is>
      </c>
      <c r="O1682" t="inlineStr">
        <is>
          <t>16</t>
        </is>
      </c>
      <c r="P1682" t="inlineStr">
        <is>
          <t xml:space="preserve">57881   </t>
        </is>
      </c>
      <c r="Q1682" s="26" t="n">
        <v>41.47</v>
      </c>
      <c r="R1682" s="26">
        <f>Q1682*G1682</f>
        <v/>
      </c>
      <c r="S1682" s="26">
        <f>IFERROR(VLOOKUP(E1682*1,Tabla[#All],8,0),0)</f>
        <v/>
      </c>
      <c r="T1682" s="26">
        <f>S1682*G1682</f>
        <v/>
      </c>
      <c r="U1682" s="26">
        <f>R1682-T1682</f>
        <v/>
      </c>
      <c r="V1682" s="26">
        <f>U1682-L1682</f>
        <v/>
      </c>
    </row>
    <row r="1683">
      <c r="A1683" s="11" t="n">
        <v>46220</v>
      </c>
      <c r="B1683" s="1" t="n">
        <v>20073</v>
      </c>
      <c r="C1683" s="1" t="inlineStr">
        <is>
          <t>803</t>
        </is>
      </c>
      <c r="D1683" s="1" t="inlineStr">
        <is>
          <t xml:space="preserve">9746  </t>
        </is>
      </c>
      <c r="E1683" s="1" t="inlineStr">
        <is>
          <t xml:space="preserve">28194770       </t>
        </is>
      </c>
      <c r="F1683" s="5" t="inlineStr">
        <is>
          <t>AUTOS DE METAL 3 TEAMSTERZ EN BLISTER</t>
        </is>
      </c>
      <c r="G1683" t="n">
        <v>1</v>
      </c>
      <c r="H1683" s="7" t="n">
        <v>6.9</v>
      </c>
      <c r="I1683" s="7" t="n">
        <v>0</v>
      </c>
      <c r="J1683" s="7" t="n">
        <v>0</v>
      </c>
      <c r="K1683" s="9" t="n">
        <v>0</v>
      </c>
      <c r="L1683" s="10" t="n">
        <v>4.1</v>
      </c>
      <c r="M1683" s="10" t="n">
        <v>1.43</v>
      </c>
      <c r="N1683" t="inlineStr">
        <is>
          <t>1</t>
        </is>
      </c>
      <c r="O1683" t="inlineStr">
        <is>
          <t>16</t>
        </is>
      </c>
      <c r="P1683" t="inlineStr">
        <is>
          <t xml:space="preserve">0       </t>
        </is>
      </c>
      <c r="Q1683" s="26" t="n">
        <v>4.09</v>
      </c>
      <c r="R1683" s="26">
        <f>Q1683*G1683</f>
        <v/>
      </c>
      <c r="S1683" s="26">
        <f>IFERROR(VLOOKUP(E1683*1,Tabla[#All],8,0),0)</f>
        <v/>
      </c>
      <c r="T1683" s="26">
        <f>S1683*G1683</f>
        <v/>
      </c>
      <c r="U1683" s="26">
        <f>R1683-T1683</f>
        <v/>
      </c>
      <c r="V1683" s="26">
        <f>U1683-L1683</f>
        <v/>
      </c>
    </row>
    <row r="1684">
      <c r="A1684" s="11" t="n">
        <v>46220</v>
      </c>
      <c r="B1684" s="1" t="n">
        <v>20073</v>
      </c>
      <c r="C1684" s="1" t="inlineStr">
        <is>
          <t>803</t>
        </is>
      </c>
      <c r="D1684" s="1" t="inlineStr">
        <is>
          <t xml:space="preserve">9746  </t>
        </is>
      </c>
      <c r="E1684" s="1" t="inlineStr">
        <is>
          <t xml:space="preserve">28194770       </t>
        </is>
      </c>
      <c r="F1684" s="5" t="inlineStr">
        <is>
          <t>AUTOS DE METAL 3 TEAMSTERZ EN BLISTER</t>
        </is>
      </c>
      <c r="G1684" t="n">
        <v>1</v>
      </c>
      <c r="H1684" s="7" t="n">
        <v>6.9</v>
      </c>
      <c r="I1684" s="7" t="n">
        <v>0</v>
      </c>
      <c r="J1684" s="7" t="n">
        <v>0</v>
      </c>
      <c r="K1684" s="9" t="n">
        <v>0</v>
      </c>
      <c r="L1684" s="10" t="n">
        <v>4.1</v>
      </c>
      <c r="M1684" s="10" t="n">
        <v>1.43</v>
      </c>
      <c r="N1684" t="inlineStr">
        <is>
          <t>1</t>
        </is>
      </c>
      <c r="O1684" t="inlineStr">
        <is>
          <t>16</t>
        </is>
      </c>
      <c r="P1684" t="inlineStr">
        <is>
          <t xml:space="preserve">0       </t>
        </is>
      </c>
      <c r="Q1684" s="26" t="n">
        <v>4.09</v>
      </c>
      <c r="R1684" s="26">
        <f>Q1684*G1684</f>
        <v/>
      </c>
      <c r="S1684" s="26">
        <f>IFERROR(VLOOKUP(E1684*1,Tabla[#All],8,0),0)</f>
        <v/>
      </c>
      <c r="T1684" s="26">
        <f>S1684*G1684</f>
        <v/>
      </c>
      <c r="U1684" s="26">
        <f>R1684-T1684</f>
        <v/>
      </c>
      <c r="V1684" s="26">
        <f>U1684-L1684</f>
        <v/>
      </c>
    </row>
    <row r="1685">
      <c r="A1685" s="11" t="n">
        <v>46220</v>
      </c>
      <c r="B1685" s="1" t="n">
        <v>20074</v>
      </c>
      <c r="C1685" s="1" t="inlineStr">
        <is>
          <t>011</t>
        </is>
      </c>
      <c r="D1685" s="1" t="inlineStr">
        <is>
          <t>234309</t>
        </is>
      </c>
      <c r="E1685" s="1" t="inlineStr">
        <is>
          <t xml:space="preserve">28194770       </t>
        </is>
      </c>
      <c r="F1685" s="5" t="inlineStr">
        <is>
          <t>AUTOS DE METAL 3 TEAMSTERZ EN BLISTER</t>
        </is>
      </c>
      <c r="G1685" t="n">
        <v>1</v>
      </c>
      <c r="H1685" s="7" t="n">
        <v>6.9</v>
      </c>
      <c r="I1685" s="7" t="n">
        <v>0</v>
      </c>
      <c r="J1685" s="7" t="n">
        <v>0</v>
      </c>
      <c r="K1685" s="9" t="n">
        <v>0</v>
      </c>
      <c r="L1685" s="10" t="n">
        <v>4.1</v>
      </c>
      <c r="M1685" s="10" t="n">
        <v>1.43</v>
      </c>
      <c r="N1685" t="inlineStr">
        <is>
          <t>1</t>
        </is>
      </c>
      <c r="O1685" t="inlineStr">
        <is>
          <t>16</t>
        </is>
      </c>
      <c r="P1685" t="inlineStr">
        <is>
          <t xml:space="preserve">201480  </t>
        </is>
      </c>
      <c r="Q1685" s="26" t="n">
        <v>4.09</v>
      </c>
      <c r="R1685" s="26">
        <f>Q1685*G1685</f>
        <v/>
      </c>
      <c r="S1685" s="26">
        <f>IFERROR(VLOOKUP(E1685*1,Tabla[#All],8,0),0)</f>
        <v/>
      </c>
      <c r="T1685" s="26">
        <f>S1685*G1685</f>
        <v/>
      </c>
      <c r="U1685" s="26">
        <f>R1685-T1685</f>
        <v/>
      </c>
      <c r="V1685" s="26">
        <f>U1685-L1685</f>
        <v/>
      </c>
    </row>
    <row r="1686">
      <c r="A1686" s="11" t="n">
        <v>46220</v>
      </c>
      <c r="B1686" s="1" t="n">
        <v>20074</v>
      </c>
      <c r="C1686" s="1" t="inlineStr">
        <is>
          <t>011</t>
        </is>
      </c>
      <c r="D1686" s="1" t="inlineStr">
        <is>
          <t>234309</t>
        </is>
      </c>
      <c r="E1686" s="1" t="inlineStr">
        <is>
          <t xml:space="preserve">28194770       </t>
        </is>
      </c>
      <c r="F1686" s="5" t="inlineStr">
        <is>
          <t>AUTOS DE METAL 3 TEAMSTERZ EN BLISTER</t>
        </is>
      </c>
      <c r="G1686" t="n">
        <v>1</v>
      </c>
      <c r="H1686" s="7" t="n">
        <v>6.9</v>
      </c>
      <c r="I1686" s="7" t="n">
        <v>0</v>
      </c>
      <c r="J1686" s="7" t="n">
        <v>0</v>
      </c>
      <c r="K1686" s="9" t="n">
        <v>0</v>
      </c>
      <c r="L1686" s="10" t="n">
        <v>4.1</v>
      </c>
      <c r="M1686" s="10" t="n">
        <v>1.43</v>
      </c>
      <c r="N1686" t="inlineStr">
        <is>
          <t>1</t>
        </is>
      </c>
      <c r="O1686" t="inlineStr">
        <is>
          <t>16</t>
        </is>
      </c>
      <c r="P1686" t="inlineStr">
        <is>
          <t xml:space="preserve">201480  </t>
        </is>
      </c>
      <c r="Q1686" s="26" t="n">
        <v>4.09</v>
      </c>
      <c r="R1686" s="26">
        <f>Q1686*G1686</f>
        <v/>
      </c>
      <c r="S1686" s="26">
        <f>IFERROR(VLOOKUP(E1686*1,Tabla[#All],8,0),0)</f>
        <v/>
      </c>
      <c r="T1686" s="26">
        <f>S1686*G1686</f>
        <v/>
      </c>
      <c r="U1686" s="26">
        <f>R1686-T1686</f>
        <v/>
      </c>
      <c r="V1686" s="26">
        <f>U1686-L1686</f>
        <v/>
      </c>
    </row>
    <row r="1687">
      <c r="A1687" s="11" t="n">
        <v>46220</v>
      </c>
      <c r="B1687" s="1" t="n">
        <v>20074</v>
      </c>
      <c r="C1687" s="1" t="inlineStr">
        <is>
          <t>015</t>
        </is>
      </c>
      <c r="D1687" s="1" t="inlineStr">
        <is>
          <t>228113</t>
        </is>
      </c>
      <c r="E1687" s="1" t="inlineStr">
        <is>
          <t xml:space="preserve">31754676       </t>
        </is>
      </c>
      <c r="F1687" s="5" t="inlineStr">
        <is>
          <t>INFINITY NADO SERIE 6 STD PACK LANZ ESPAD ANILLO M</t>
        </is>
      </c>
      <c r="G1687" t="n">
        <v>1</v>
      </c>
      <c r="H1687" s="7" t="n">
        <v>59.9</v>
      </c>
      <c r="I1687" s="7" t="n">
        <v>0</v>
      </c>
      <c r="J1687" s="7" t="n">
        <v>0</v>
      </c>
      <c r="K1687" s="9" t="n">
        <v>0</v>
      </c>
      <c r="L1687" s="10" t="n">
        <v>35.53</v>
      </c>
      <c r="M1687" s="10" t="n">
        <v>1.43</v>
      </c>
      <c r="N1687" t="inlineStr">
        <is>
          <t>1</t>
        </is>
      </c>
      <c r="O1687" t="inlineStr">
        <is>
          <t>16</t>
        </is>
      </c>
      <c r="P1687" t="inlineStr">
        <is>
          <t xml:space="preserve">235827  </t>
        </is>
      </c>
      <c r="Q1687" s="26" t="n">
        <v>47.4</v>
      </c>
      <c r="R1687" s="26">
        <f>Q1687*G1687</f>
        <v/>
      </c>
      <c r="S1687" s="26">
        <f>IFERROR(VLOOKUP(E1687*1,Tabla[#All],8,0),0)</f>
        <v/>
      </c>
      <c r="T1687" s="26">
        <f>S1687*G1687</f>
        <v/>
      </c>
      <c r="U1687" s="26">
        <f>R1687-T1687</f>
        <v/>
      </c>
      <c r="V1687" s="26">
        <f>U1687-L1687</f>
        <v/>
      </c>
    </row>
    <row r="1688">
      <c r="A1688" s="11" t="n">
        <v>46220</v>
      </c>
      <c r="B1688" s="1" t="n">
        <v>20074</v>
      </c>
      <c r="C1688" s="1" t="inlineStr">
        <is>
          <t>015</t>
        </is>
      </c>
      <c r="D1688" s="1" t="inlineStr">
        <is>
          <t>228205</t>
        </is>
      </c>
      <c r="E1688" s="1" t="inlineStr">
        <is>
          <t xml:space="preserve">30232284       </t>
        </is>
      </c>
      <c r="F1688" s="5" t="inlineStr">
        <is>
          <t>INFINITY NADO TROMPO DE BATALLA - METAL C/PUNTA DE</t>
        </is>
      </c>
      <c r="G1688" t="n">
        <v>1</v>
      </c>
      <c r="H1688" s="7" t="n">
        <v>34.9</v>
      </c>
      <c r="I1688" s="7" t="n">
        <v>0</v>
      </c>
      <c r="J1688" s="7" t="n">
        <v>0</v>
      </c>
      <c r="K1688" s="9" t="n">
        <v>0</v>
      </c>
      <c r="L1688" s="10" t="n">
        <v>20.71</v>
      </c>
      <c r="M1688" s="10" t="n">
        <v>1.43</v>
      </c>
      <c r="N1688" t="inlineStr">
        <is>
          <t>1</t>
        </is>
      </c>
      <c r="O1688" t="inlineStr">
        <is>
          <t>16</t>
        </is>
      </c>
      <c r="P1688" t="inlineStr">
        <is>
          <t xml:space="preserve">249571  </t>
        </is>
      </c>
      <c r="Q1688" s="26" t="n">
        <v>29.6</v>
      </c>
      <c r="R1688" s="26">
        <f>Q1688*G1688</f>
        <v/>
      </c>
      <c r="S1688" s="26">
        <f>IFERROR(VLOOKUP(E1688*1,Tabla[#All],8,0),0)</f>
        <v/>
      </c>
      <c r="T1688" s="26">
        <f>S1688*G1688</f>
        <v/>
      </c>
      <c r="U1688" s="26">
        <f>R1688-T1688</f>
        <v/>
      </c>
      <c r="V1688" s="26">
        <f>U1688-L1688</f>
        <v/>
      </c>
    </row>
    <row r="1689">
      <c r="A1689" s="11" t="n">
        <v>46220</v>
      </c>
      <c r="B1689" s="1" t="n">
        <v>20074</v>
      </c>
      <c r="C1689" s="1" t="inlineStr">
        <is>
          <t>027</t>
        </is>
      </c>
      <c r="D1689" s="1" t="inlineStr">
        <is>
          <t xml:space="preserve">21634 </t>
        </is>
      </c>
      <c r="E1689" s="1" t="inlineStr">
        <is>
          <t xml:space="preserve">28194780       </t>
        </is>
      </c>
      <c r="F1689" s="5" t="inlineStr">
        <is>
          <t>TROMPO BATALLA INFINITY NADO PLSTICO SURTIDO</t>
        </is>
      </c>
      <c r="G1689" t="n">
        <v>1</v>
      </c>
      <c r="H1689" s="7" t="n">
        <v>19.9</v>
      </c>
      <c r="I1689" s="7" t="n">
        <v>1.99</v>
      </c>
      <c r="J1689" s="7" t="n">
        <v>0</v>
      </c>
      <c r="K1689" s="9" t="n">
        <v>1.99</v>
      </c>
      <c r="L1689" s="10" t="n">
        <v>10.63</v>
      </c>
      <c r="M1689" s="10" t="n">
        <v>1.43</v>
      </c>
      <c r="N1689" t="inlineStr">
        <is>
          <t>1</t>
        </is>
      </c>
      <c r="O1689" t="inlineStr">
        <is>
          <t xml:space="preserve">3 </t>
        </is>
      </c>
      <c r="P1689" t="inlineStr">
        <is>
          <t xml:space="preserve">22378   </t>
        </is>
      </c>
      <c r="Q1689" s="26" t="n">
        <v>11.81</v>
      </c>
      <c r="R1689" s="26">
        <f>Q1689*G1689</f>
        <v/>
      </c>
      <c r="S1689" s="26">
        <f>IFERROR(VLOOKUP(E1689*1,Tabla[#All],8,0),0)</f>
        <v/>
      </c>
      <c r="T1689" s="26">
        <f>S1689*G1689</f>
        <v/>
      </c>
      <c r="U1689" s="26">
        <f>R1689-T1689</f>
        <v/>
      </c>
      <c r="V1689" s="26">
        <f>U1689-L1689</f>
        <v/>
      </c>
    </row>
    <row r="1690">
      <c r="A1690" s="11" t="n">
        <v>46220</v>
      </c>
      <c r="B1690" s="1" t="n">
        <v>20074</v>
      </c>
      <c r="C1690" s="1" t="inlineStr">
        <is>
          <t>031</t>
        </is>
      </c>
      <c r="D1690" s="1" t="inlineStr">
        <is>
          <t xml:space="preserve">5257  </t>
        </is>
      </c>
      <c r="E1690" s="1" t="inlineStr">
        <is>
          <t xml:space="preserve">31046051       </t>
        </is>
      </c>
      <c r="F1690" s="5" t="inlineStr">
        <is>
          <t>RELOJ DISNEY TOY STORY</t>
        </is>
      </c>
      <c r="G1690" t="n">
        <v>1</v>
      </c>
      <c r="H1690" s="7" t="n">
        <v>18.9</v>
      </c>
      <c r="I1690" s="7" t="n">
        <v>0</v>
      </c>
      <c r="J1690" s="7" t="n">
        <v>0</v>
      </c>
      <c r="K1690" s="9" t="n">
        <v>0</v>
      </c>
      <c r="L1690" s="10" t="n">
        <v>11.21</v>
      </c>
      <c r="M1690" s="10" t="n">
        <v>1.43</v>
      </c>
      <c r="N1690" t="inlineStr">
        <is>
          <t>1</t>
        </is>
      </c>
      <c r="O1690" t="inlineStr">
        <is>
          <t>16</t>
        </is>
      </c>
      <c r="P1690" t="inlineStr">
        <is>
          <t xml:space="preserve">79835   </t>
        </is>
      </c>
      <c r="Q1690" s="26" t="n">
        <v>11.21</v>
      </c>
      <c r="R1690" s="26">
        <f>Q1690*G1690</f>
        <v/>
      </c>
      <c r="S1690" s="26">
        <f>IFERROR(VLOOKUP(E1690*1,Tabla[#All],8,0),0)</f>
        <v/>
      </c>
      <c r="T1690" s="26">
        <f>S1690*G1690</f>
        <v/>
      </c>
      <c r="U1690" s="26">
        <f>R1690-T1690</f>
        <v/>
      </c>
      <c r="V1690" s="26">
        <f>U1690-L1690</f>
        <v/>
      </c>
    </row>
    <row r="1691">
      <c r="A1691" s="11" t="n">
        <v>46220</v>
      </c>
      <c r="B1691" s="1" t="n">
        <v>20077</v>
      </c>
      <c r="C1691" s="1" t="inlineStr">
        <is>
          <t>029</t>
        </is>
      </c>
      <c r="D1691" s="1" t="inlineStr">
        <is>
          <t>156292</t>
        </is>
      </c>
      <c r="E1691" s="1" t="inlineStr">
        <is>
          <t xml:space="preserve">30141766       </t>
        </is>
      </c>
      <c r="F1691" s="5" t="inlineStr">
        <is>
          <t>TMZ BEAST MACHINES AUTOS DE METAL BLISTER X 1</t>
        </is>
      </c>
      <c r="G1691" t="n">
        <v>1</v>
      </c>
      <c r="H1691" s="7" t="n">
        <v>7.9</v>
      </c>
      <c r="I1691" s="7" t="n">
        <v>0</v>
      </c>
      <c r="J1691" s="7" t="n">
        <v>0</v>
      </c>
      <c r="K1691" s="9" t="n">
        <v>0</v>
      </c>
      <c r="L1691" s="10" t="n">
        <v>4.68</v>
      </c>
      <c r="M1691" s="10" t="n">
        <v>1.43</v>
      </c>
      <c r="N1691" t="inlineStr">
        <is>
          <t>1</t>
        </is>
      </c>
      <c r="O1691" t="inlineStr">
        <is>
          <t>16</t>
        </is>
      </c>
      <c r="P1691" t="inlineStr">
        <is>
          <t xml:space="preserve">250449  </t>
        </is>
      </c>
      <c r="Q1691" s="26" t="n">
        <v>4.69</v>
      </c>
      <c r="R1691" s="26">
        <f>Q1691*G1691</f>
        <v/>
      </c>
      <c r="S1691" s="26">
        <f>IFERROR(VLOOKUP(E1691*1,Tabla[#All],8,0),0)</f>
        <v/>
      </c>
      <c r="T1691" s="26">
        <f>S1691*G1691</f>
        <v/>
      </c>
      <c r="U1691" s="26">
        <f>R1691-T1691</f>
        <v/>
      </c>
      <c r="V1691" s="26">
        <f>U1691-L1691</f>
        <v/>
      </c>
    </row>
    <row r="1692">
      <c r="A1692" s="11" t="n">
        <v>46220</v>
      </c>
      <c r="B1692" s="1" t="n">
        <v>20077</v>
      </c>
      <c r="C1692" s="1" t="inlineStr">
        <is>
          <t>029</t>
        </is>
      </c>
      <c r="D1692" s="1" t="inlineStr">
        <is>
          <t xml:space="preserve">2250  </t>
        </is>
      </c>
      <c r="E1692" s="1" t="inlineStr">
        <is>
          <t xml:space="preserve">28194770       </t>
        </is>
      </c>
      <c r="F1692" s="5" t="inlineStr">
        <is>
          <t>AUTOS DE METAL 3 TEAMSTERZ EN BLISTER</t>
        </is>
      </c>
      <c r="G1692" t="n">
        <v>1</v>
      </c>
      <c r="H1692" s="7" t="n">
        <v>6.9</v>
      </c>
      <c r="I1692" s="7" t="n">
        <v>0</v>
      </c>
      <c r="J1692" s="7" t="n">
        <v>0</v>
      </c>
      <c r="K1692" s="9" t="n">
        <v>0</v>
      </c>
      <c r="L1692" s="10" t="n">
        <v>4.1</v>
      </c>
      <c r="M1692" s="10" t="n">
        <v>1.43</v>
      </c>
      <c r="N1692" t="inlineStr">
        <is>
          <t>1</t>
        </is>
      </c>
      <c r="O1692" t="inlineStr">
        <is>
          <t>16</t>
        </is>
      </c>
      <c r="P1692" t="inlineStr">
        <is>
          <t xml:space="preserve">250449  </t>
        </is>
      </c>
      <c r="Q1692" s="26" t="n">
        <v>4.09</v>
      </c>
      <c r="R1692" s="26">
        <f>Q1692*G1692</f>
        <v/>
      </c>
      <c r="S1692" s="26">
        <f>IFERROR(VLOOKUP(E1692*1,Tabla[#All],8,0),0)</f>
        <v/>
      </c>
      <c r="T1692" s="26">
        <f>S1692*G1692</f>
        <v/>
      </c>
      <c r="U1692" s="26">
        <f>R1692-T1692</f>
        <v/>
      </c>
      <c r="V1692" s="26">
        <f>U1692-L1692</f>
        <v/>
      </c>
    </row>
    <row r="1693">
      <c r="A1693" s="11" t="n">
        <v>46220</v>
      </c>
      <c r="B1693" s="1" t="n">
        <v>20078</v>
      </c>
      <c r="C1693" s="1" t="inlineStr">
        <is>
          <t>192</t>
        </is>
      </c>
      <c r="D1693" s="1" t="inlineStr">
        <is>
          <t>274278</t>
        </is>
      </c>
      <c r="E1693" s="1" t="inlineStr">
        <is>
          <t xml:space="preserve">28194767       </t>
        </is>
      </c>
      <c r="F1693" s="5" t="inlineStr">
        <is>
          <t>CAMIONES TEAMSTERZ DE EMERGENCIA</t>
        </is>
      </c>
      <c r="G1693" t="n">
        <v>1</v>
      </c>
      <c r="H1693" s="7" t="n">
        <v>17.9</v>
      </c>
      <c r="I1693" s="7" t="n">
        <v>0</v>
      </c>
      <c r="J1693" s="7" t="n">
        <v>0</v>
      </c>
      <c r="K1693" s="9" t="n">
        <v>0</v>
      </c>
      <c r="L1693" s="10" t="n">
        <v>10.62</v>
      </c>
      <c r="M1693" s="10" t="n">
        <v>1.43</v>
      </c>
      <c r="N1693" t="inlineStr">
        <is>
          <t>1</t>
        </is>
      </c>
      <c r="O1693" t="inlineStr">
        <is>
          <t>16</t>
        </is>
      </c>
      <c r="P1693" t="inlineStr">
        <is>
          <t xml:space="preserve">234549  </t>
        </is>
      </c>
      <c r="Q1693" s="26" t="n">
        <v>10.62</v>
      </c>
      <c r="R1693" s="26">
        <f>Q1693*G1693</f>
        <v/>
      </c>
      <c r="S1693" s="26">
        <f>IFERROR(VLOOKUP(E1693*1,Tabla[#All],8,0),0)</f>
        <v/>
      </c>
      <c r="T1693" s="26">
        <f>S1693*G1693</f>
        <v/>
      </c>
      <c r="U1693" s="26">
        <f>R1693-T1693</f>
        <v/>
      </c>
      <c r="V1693" s="26">
        <f>U1693-L1693</f>
        <v/>
      </c>
    </row>
    <row r="1694">
      <c r="A1694" s="11" t="n">
        <v>46220</v>
      </c>
      <c r="B1694" s="1" t="n">
        <v>20079</v>
      </c>
      <c r="C1694" s="1" t="inlineStr">
        <is>
          <t>051</t>
        </is>
      </c>
      <c r="D1694" s="1" t="inlineStr">
        <is>
          <t>236249</t>
        </is>
      </c>
      <c r="E1694" s="1" t="inlineStr">
        <is>
          <t xml:space="preserve">28194781       </t>
        </is>
      </c>
      <c r="F1694" s="5" t="inlineStr">
        <is>
          <t>TROMPO BATALLA INFINITY NADO SERIE V CLASICA SURTI</t>
        </is>
      </c>
      <c r="G1694" t="n">
        <v>1</v>
      </c>
      <c r="H1694" s="7" t="n">
        <v>39.9</v>
      </c>
      <c r="I1694" s="7" t="n">
        <v>0</v>
      </c>
      <c r="J1694" s="7" t="n">
        <v>0</v>
      </c>
      <c r="K1694" s="9" t="n">
        <v>0</v>
      </c>
      <c r="L1694" s="10" t="n">
        <v>23.67</v>
      </c>
      <c r="M1694" s="10" t="n">
        <v>1.43</v>
      </c>
      <c r="N1694" t="inlineStr">
        <is>
          <t>1</t>
        </is>
      </c>
      <c r="O1694" t="inlineStr">
        <is>
          <t>16</t>
        </is>
      </c>
      <c r="P1694" t="inlineStr">
        <is>
          <t xml:space="preserve">54413   </t>
        </is>
      </c>
      <c r="Q1694" s="26" t="n">
        <v>35.53</v>
      </c>
      <c r="R1694" s="26">
        <f>Q1694*G1694</f>
        <v/>
      </c>
      <c r="S1694" s="26">
        <f>IFERROR(VLOOKUP(E1694*1,Tabla[#All],8,0),0)</f>
        <v/>
      </c>
      <c r="T1694" s="26">
        <f>S1694*G1694</f>
        <v/>
      </c>
      <c r="U1694" s="26">
        <f>R1694-T1694</f>
        <v/>
      </c>
      <c r="V1694" s="26">
        <f>U1694-L1694</f>
        <v/>
      </c>
    </row>
    <row r="1695">
      <c r="A1695" s="11" t="n">
        <v>46220</v>
      </c>
      <c r="B1695" s="1" t="n">
        <v>20079</v>
      </c>
      <c r="C1695" s="1" t="inlineStr">
        <is>
          <t>051</t>
        </is>
      </c>
      <c r="D1695" s="1" t="inlineStr">
        <is>
          <t>236249</t>
        </is>
      </c>
      <c r="E1695" s="1" t="inlineStr">
        <is>
          <t xml:space="preserve">28194784       </t>
        </is>
      </c>
      <c r="F1695" s="5" t="inlineStr">
        <is>
          <t>SET DE ACROBACIAS INFINITY NADO CON TROMPO</t>
        </is>
      </c>
      <c r="G1695" t="n">
        <v>1</v>
      </c>
      <c r="H1695" s="7" t="n">
        <v>139</v>
      </c>
      <c r="I1695" s="7" t="n">
        <v>0</v>
      </c>
      <c r="J1695" s="7" t="n">
        <v>0</v>
      </c>
      <c r="K1695" s="9" t="n">
        <v>0</v>
      </c>
      <c r="L1695" s="10" t="n">
        <v>82.45999999999999</v>
      </c>
      <c r="M1695" s="10" t="n">
        <v>1.43</v>
      </c>
      <c r="N1695" t="inlineStr">
        <is>
          <t>1</t>
        </is>
      </c>
      <c r="O1695" t="inlineStr">
        <is>
          <t>16</t>
        </is>
      </c>
      <c r="P1695" t="inlineStr">
        <is>
          <t xml:space="preserve">54413   </t>
        </is>
      </c>
      <c r="Q1695" s="26" t="n">
        <v>106.19</v>
      </c>
      <c r="R1695" s="26">
        <f>Q1695*G1695</f>
        <v/>
      </c>
      <c r="S1695" s="26">
        <f>IFERROR(VLOOKUP(E1695*1,Tabla[#All],8,0),0)</f>
        <v/>
      </c>
      <c r="T1695" s="26">
        <f>S1695*G1695</f>
        <v/>
      </c>
      <c r="U1695" s="26">
        <f>R1695-T1695</f>
        <v/>
      </c>
      <c r="V1695" s="26">
        <f>U1695-L1695</f>
        <v/>
      </c>
    </row>
    <row r="1696">
      <c r="A1696" s="11" t="n">
        <v>46220</v>
      </c>
      <c r="B1696" s="1" t="n">
        <v>20080</v>
      </c>
      <c r="C1696" s="1" t="inlineStr">
        <is>
          <t>012</t>
        </is>
      </c>
      <c r="D1696" s="1" t="inlineStr">
        <is>
          <t xml:space="preserve">59238 </t>
        </is>
      </c>
      <c r="E1696" s="1" t="inlineStr">
        <is>
          <t xml:space="preserve">28194781       </t>
        </is>
      </c>
      <c r="F1696" s="5" t="inlineStr">
        <is>
          <t>TROMPO BATALLA INFINITY NADO SERIE V CLASICA SURTI</t>
        </is>
      </c>
      <c r="G1696" t="n">
        <v>1</v>
      </c>
      <c r="H1696" s="7" t="n">
        <v>39.9</v>
      </c>
      <c r="I1696" s="7" t="n">
        <v>0</v>
      </c>
      <c r="J1696" s="7" t="n">
        <v>0</v>
      </c>
      <c r="K1696" s="9" t="n">
        <v>0</v>
      </c>
      <c r="L1696" s="10" t="n">
        <v>23.67</v>
      </c>
      <c r="M1696" s="10" t="n">
        <v>1.43</v>
      </c>
      <c r="N1696" t="inlineStr">
        <is>
          <t>1</t>
        </is>
      </c>
      <c r="O1696" t="inlineStr">
        <is>
          <t>16</t>
        </is>
      </c>
      <c r="P1696" t="inlineStr">
        <is>
          <t xml:space="preserve">89863   </t>
        </is>
      </c>
      <c r="Q1696" s="26" t="n">
        <v>35.53</v>
      </c>
      <c r="R1696" s="26">
        <f>Q1696*G1696</f>
        <v/>
      </c>
      <c r="S1696" s="26">
        <f>IFERROR(VLOOKUP(E1696*1,Tabla[#All],8,0),0)</f>
        <v/>
      </c>
      <c r="T1696" s="26">
        <f>S1696*G1696</f>
        <v/>
      </c>
      <c r="U1696" s="26">
        <f>R1696-T1696</f>
        <v/>
      </c>
      <c r="V1696" s="26">
        <f>U1696-L1696</f>
        <v/>
      </c>
    </row>
    <row r="1697">
      <c r="A1697" s="11" t="n">
        <v>46220</v>
      </c>
      <c r="B1697" s="1" t="n">
        <v>20080</v>
      </c>
      <c r="C1697" s="1" t="inlineStr">
        <is>
          <t>026</t>
        </is>
      </c>
      <c r="D1697" s="1" t="inlineStr">
        <is>
          <t>209117</t>
        </is>
      </c>
      <c r="E1697" s="1" t="inlineStr">
        <is>
          <t xml:space="preserve">33483118       </t>
        </is>
      </c>
      <c r="F1697" s="5" t="inlineStr">
        <is>
          <t>MUNECA EVI LOVE SET CUIDADO DE PERROS + ACC.</t>
        </is>
      </c>
      <c r="G1697" t="n">
        <v>1</v>
      </c>
      <c r="H1697" s="7" t="n">
        <v>23.94</v>
      </c>
      <c r="I1697" s="7" t="n">
        <v>2.39</v>
      </c>
      <c r="J1697" s="7" t="n">
        <v>0</v>
      </c>
      <c r="K1697" s="9" t="n">
        <v>2.39</v>
      </c>
      <c r="L1697" s="10" t="n">
        <v>12.78</v>
      </c>
      <c r="M1697" s="10" t="n">
        <v>1.43</v>
      </c>
      <c r="N1697" t="inlineStr">
        <is>
          <t>1</t>
        </is>
      </c>
      <c r="O1697" t="inlineStr">
        <is>
          <t xml:space="preserve">3 </t>
        </is>
      </c>
      <c r="P1697" t="inlineStr">
        <is>
          <t xml:space="preserve">79951   </t>
        </is>
      </c>
      <c r="Q1697" s="26" t="n">
        <v>23.67</v>
      </c>
      <c r="R1697" s="26">
        <f>Q1697*G1697</f>
        <v/>
      </c>
      <c r="S1697" s="26">
        <f>IFERROR(VLOOKUP(E1697*1,Tabla[#All],8,0),0)</f>
        <v/>
      </c>
      <c r="T1697" s="26">
        <f>S1697*G1697</f>
        <v/>
      </c>
      <c r="U1697" s="26">
        <f>R1697-T1697</f>
        <v/>
      </c>
      <c r="V1697" s="26">
        <f>U1697-L1697</f>
        <v/>
      </c>
    </row>
    <row r="1698">
      <c r="A1698" s="11" t="n">
        <v>46220</v>
      </c>
      <c r="B1698" s="1" t="n">
        <v>20080</v>
      </c>
      <c r="C1698" s="1" t="inlineStr">
        <is>
          <t>026</t>
        </is>
      </c>
      <c r="D1698" s="1" t="inlineStr">
        <is>
          <t>209134</t>
        </is>
      </c>
      <c r="E1698" s="1" t="inlineStr">
        <is>
          <t xml:space="preserve">28194783       </t>
        </is>
      </c>
      <c r="F1698" s="5" t="inlineStr">
        <is>
          <t>SET DE BATALLA INFINITY NADO CON 2 TROMPOS</t>
        </is>
      </c>
      <c r="G1698" t="n">
        <v>1</v>
      </c>
      <c r="H1698" s="7" t="n">
        <v>159</v>
      </c>
      <c r="I1698" s="7" t="n">
        <v>0</v>
      </c>
      <c r="J1698" s="7" t="n">
        <v>0</v>
      </c>
      <c r="K1698" s="9" t="n">
        <v>0</v>
      </c>
      <c r="L1698" s="10" t="n">
        <v>94.33</v>
      </c>
      <c r="M1698" s="10" t="n">
        <v>1.43</v>
      </c>
      <c r="N1698" t="inlineStr">
        <is>
          <t>1</t>
        </is>
      </c>
      <c r="O1698" t="inlineStr">
        <is>
          <t xml:space="preserve">2 </t>
        </is>
      </c>
      <c r="P1698" t="inlineStr">
        <is>
          <t xml:space="preserve">79951   </t>
        </is>
      </c>
      <c r="Q1698" s="26" t="n">
        <v>94.31999999999999</v>
      </c>
      <c r="R1698" s="26">
        <f>Q1698*G1698</f>
        <v/>
      </c>
      <c r="S1698" s="26">
        <f>IFERROR(VLOOKUP(E1698*1,Tabla[#All],8,0),0)</f>
        <v/>
      </c>
      <c r="T1698" s="26">
        <f>S1698*G1698</f>
        <v/>
      </c>
      <c r="U1698" s="26">
        <f>R1698-T1698</f>
        <v/>
      </c>
      <c r="V1698" s="26">
        <f>U1698-L1698</f>
        <v/>
      </c>
    </row>
    <row r="1699">
      <c r="A1699" s="11" t="n">
        <v>46220</v>
      </c>
      <c r="B1699" s="1" t="n">
        <v>20086</v>
      </c>
      <c r="C1699" s="1" t="inlineStr">
        <is>
          <t>014</t>
        </is>
      </c>
      <c r="D1699" s="1" t="inlineStr">
        <is>
          <t>126778</t>
        </is>
      </c>
      <c r="E1699" s="1" t="inlineStr">
        <is>
          <t xml:space="preserve">28194770       </t>
        </is>
      </c>
      <c r="F1699" s="5" t="inlineStr">
        <is>
          <t>AUTOS DE METAL 3 TEAMSTERZ EN BLISTER</t>
        </is>
      </c>
      <c r="G1699" t="n">
        <v>1</v>
      </c>
      <c r="H1699" s="7" t="n">
        <v>6.9</v>
      </c>
      <c r="I1699" s="7" t="n">
        <v>0</v>
      </c>
      <c r="J1699" s="7" t="n">
        <v>0</v>
      </c>
      <c r="K1699" s="9" t="n">
        <v>0</v>
      </c>
      <c r="L1699" s="10" t="n">
        <v>4.1</v>
      </c>
      <c r="M1699" s="10" t="n">
        <v>1.43</v>
      </c>
      <c r="N1699" t="inlineStr">
        <is>
          <t>1</t>
        </is>
      </c>
      <c r="O1699" t="inlineStr">
        <is>
          <t>16</t>
        </is>
      </c>
      <c r="P1699" t="inlineStr">
        <is>
          <t xml:space="preserve">250783  </t>
        </is>
      </c>
      <c r="Q1699" s="26" t="n">
        <v>4.09</v>
      </c>
      <c r="R1699" s="26">
        <f>Q1699*G1699</f>
        <v/>
      </c>
      <c r="S1699" s="26">
        <f>IFERROR(VLOOKUP(E1699*1,Tabla[#All],8,0),0)</f>
        <v/>
      </c>
      <c r="T1699" s="26">
        <f>S1699*G1699</f>
        <v/>
      </c>
      <c r="U1699" s="26">
        <f>R1699-T1699</f>
        <v/>
      </c>
      <c r="V1699" s="26">
        <f>U1699-L1699</f>
        <v/>
      </c>
    </row>
    <row r="1700">
      <c r="A1700" s="11" t="n">
        <v>46220</v>
      </c>
      <c r="B1700" s="1" t="n">
        <v>20086</v>
      </c>
      <c r="C1700" s="1" t="inlineStr">
        <is>
          <t>019</t>
        </is>
      </c>
      <c r="D1700" s="1" t="inlineStr">
        <is>
          <t xml:space="preserve">2296  </t>
        </is>
      </c>
      <c r="E1700" s="1" t="inlineStr">
        <is>
          <t xml:space="preserve">28194770       </t>
        </is>
      </c>
      <c r="F1700" s="5" t="inlineStr">
        <is>
          <t>AUTOS DE METAL 3 TEAMSTERZ EN BLISTER</t>
        </is>
      </c>
      <c r="G1700" t="n">
        <v>1</v>
      </c>
      <c r="H1700" s="7" t="n">
        <v>6.9</v>
      </c>
      <c r="I1700" s="7" t="n">
        <v>0</v>
      </c>
      <c r="J1700" s="7" t="n">
        <v>0</v>
      </c>
      <c r="K1700" s="9" t="n">
        <v>0</v>
      </c>
      <c r="L1700" s="10" t="n">
        <v>4.1</v>
      </c>
      <c r="M1700" s="10" t="n">
        <v>1.43</v>
      </c>
      <c r="N1700" t="inlineStr">
        <is>
          <t>1</t>
        </is>
      </c>
      <c r="O1700" t="inlineStr">
        <is>
          <t xml:space="preserve">6 </t>
        </is>
      </c>
      <c r="P1700" t="inlineStr">
        <is>
          <t xml:space="preserve">250452  </t>
        </is>
      </c>
      <c r="Q1700" s="26" t="n">
        <v>4.09</v>
      </c>
      <c r="R1700" s="26">
        <f>Q1700*G1700</f>
        <v/>
      </c>
      <c r="S1700" s="26">
        <f>IFERROR(VLOOKUP(E1700*1,Tabla[#All],8,0),0)</f>
        <v/>
      </c>
      <c r="T1700" s="26">
        <f>S1700*G1700</f>
        <v/>
      </c>
      <c r="U1700" s="26">
        <f>R1700-T1700</f>
        <v/>
      </c>
      <c r="V1700" s="26">
        <f>U1700-L1700</f>
        <v/>
      </c>
    </row>
    <row r="1701">
      <c r="A1701" s="11" t="n">
        <v>46220</v>
      </c>
      <c r="B1701" s="1" t="n">
        <v>20086</v>
      </c>
      <c r="C1701" s="1" t="inlineStr">
        <is>
          <t>022</t>
        </is>
      </c>
      <c r="D1701" s="1" t="inlineStr">
        <is>
          <t>113114</t>
        </is>
      </c>
      <c r="E1701" s="1" t="inlineStr">
        <is>
          <t xml:space="preserve">28194770       </t>
        </is>
      </c>
      <c r="F1701" s="5" t="inlineStr">
        <is>
          <t>AUTOS DE METAL 3 TEAMSTERZ EN BLISTER</t>
        </is>
      </c>
      <c r="G1701" t="n">
        <v>1</v>
      </c>
      <c r="H1701" s="7" t="n">
        <v>6.9</v>
      </c>
      <c r="I1701" s="7" t="n">
        <v>0</v>
      </c>
      <c r="J1701" s="7" t="n">
        <v>0</v>
      </c>
      <c r="K1701" s="9" t="n">
        <v>0</v>
      </c>
      <c r="L1701" s="10" t="n">
        <v>4.1</v>
      </c>
      <c r="M1701" s="10" t="n">
        <v>1.43</v>
      </c>
      <c r="N1701" t="inlineStr">
        <is>
          <t>1</t>
        </is>
      </c>
      <c r="O1701" t="inlineStr">
        <is>
          <t xml:space="preserve">2 </t>
        </is>
      </c>
      <c r="P1701" t="inlineStr">
        <is>
          <t xml:space="preserve">74639   </t>
        </is>
      </c>
      <c r="Q1701" s="26" t="n">
        <v>4.09</v>
      </c>
      <c r="R1701" s="26">
        <f>Q1701*G1701</f>
        <v/>
      </c>
      <c r="S1701" s="26">
        <f>IFERROR(VLOOKUP(E1701*1,Tabla[#All],8,0),0)</f>
        <v/>
      </c>
      <c r="T1701" s="26">
        <f>S1701*G1701</f>
        <v/>
      </c>
      <c r="U1701" s="26">
        <f>R1701-T1701</f>
        <v/>
      </c>
      <c r="V1701" s="26">
        <f>U1701-L1701</f>
        <v/>
      </c>
    </row>
    <row r="1702">
      <c r="A1702" s="11" t="n">
        <v>46220</v>
      </c>
      <c r="B1702" s="1" t="n">
        <v>20086</v>
      </c>
      <c r="C1702" s="1" t="inlineStr">
        <is>
          <t>192</t>
        </is>
      </c>
      <c r="D1702" s="1" t="inlineStr">
        <is>
          <t>129147</t>
        </is>
      </c>
      <c r="E1702" s="1" t="inlineStr">
        <is>
          <t xml:space="preserve">28194769       </t>
        </is>
      </c>
      <c r="F1702" s="5" t="inlineStr">
        <is>
          <t>AUTOS DE METAL 3 TEAMSTERZ PACK DE 2</t>
        </is>
      </c>
      <c r="G1702" t="n">
        <v>1</v>
      </c>
      <c r="H1702" s="7" t="n">
        <v>13.8</v>
      </c>
      <c r="I1702" s="7" t="n">
        <v>0</v>
      </c>
      <c r="J1702" s="7" t="n">
        <v>0</v>
      </c>
      <c r="K1702" s="9" t="n">
        <v>0</v>
      </c>
      <c r="L1702" s="10" t="n">
        <v>8.18</v>
      </c>
      <c r="M1702" s="10" t="n">
        <v>1.43</v>
      </c>
      <c r="N1702" t="inlineStr">
        <is>
          <t>1</t>
        </is>
      </c>
      <c r="O1702" t="inlineStr">
        <is>
          <t>16</t>
        </is>
      </c>
      <c r="P1702" t="inlineStr">
        <is>
          <t xml:space="preserve">74931   </t>
        </is>
      </c>
      <c r="Q1702" s="26" t="n">
        <v>8.19</v>
      </c>
      <c r="R1702" s="26">
        <f>Q1702*G1702</f>
        <v/>
      </c>
      <c r="S1702" s="26">
        <f>IFERROR(VLOOKUP(E1702*1,Tabla[#All],8,0),0)</f>
        <v/>
      </c>
      <c r="T1702" s="26">
        <f>S1702*G1702</f>
        <v/>
      </c>
      <c r="U1702" s="26">
        <f>R1702-T1702</f>
        <v/>
      </c>
      <c r="V1702" s="26">
        <f>U1702-L1702</f>
        <v/>
      </c>
    </row>
    <row r="1703">
      <c r="A1703" s="11" t="n">
        <v>46220</v>
      </c>
      <c r="B1703" s="1" t="n">
        <v>20088</v>
      </c>
      <c r="C1703" s="1" t="inlineStr">
        <is>
          <t>021</t>
        </is>
      </c>
      <c r="D1703" s="1" t="inlineStr">
        <is>
          <t xml:space="preserve">49328 </t>
        </is>
      </c>
      <c r="E1703" s="1" t="inlineStr">
        <is>
          <t xml:space="preserve">30232284       </t>
        </is>
      </c>
      <c r="F1703" s="5" t="inlineStr">
        <is>
          <t>INFINITY NADO TROMPO DE BATALLA - METAL C/PUNTA DE</t>
        </is>
      </c>
      <c r="G1703" t="n">
        <v>1</v>
      </c>
      <c r="H1703" s="7" t="n">
        <v>34.9</v>
      </c>
      <c r="I1703" s="7" t="n">
        <v>3.49</v>
      </c>
      <c r="J1703" s="7" t="n">
        <v>0</v>
      </c>
      <c r="K1703" s="9" t="n">
        <v>3.49</v>
      </c>
      <c r="L1703" s="10" t="n">
        <v>18.63</v>
      </c>
      <c r="M1703" s="10" t="n">
        <v>1.43</v>
      </c>
      <c r="N1703" t="inlineStr">
        <is>
          <t>1</t>
        </is>
      </c>
      <c r="O1703" t="inlineStr">
        <is>
          <t xml:space="preserve">3 </t>
        </is>
      </c>
      <c r="P1703" t="inlineStr">
        <is>
          <t xml:space="preserve">248960  </t>
        </is>
      </c>
      <c r="Q1703" s="26" t="n">
        <v>29.6</v>
      </c>
      <c r="R1703" s="26">
        <f>Q1703*G1703</f>
        <v/>
      </c>
      <c r="S1703" s="26">
        <f>IFERROR(VLOOKUP(E1703*1,Tabla[#All],8,0),0)</f>
        <v/>
      </c>
      <c r="T1703" s="26">
        <f>S1703*G1703</f>
        <v/>
      </c>
      <c r="U1703" s="26">
        <f>R1703-T1703</f>
        <v/>
      </c>
      <c r="V1703" s="26">
        <f>U1703-L1703</f>
        <v/>
      </c>
    </row>
    <row r="1704">
      <c r="A1704" s="11" t="n">
        <v>46220</v>
      </c>
      <c r="B1704" s="1" t="n">
        <v>20088</v>
      </c>
      <c r="C1704" s="1" t="inlineStr">
        <is>
          <t>021</t>
        </is>
      </c>
      <c r="D1704" s="1" t="inlineStr">
        <is>
          <t xml:space="preserve">49328 </t>
        </is>
      </c>
      <c r="E1704" s="1" t="inlineStr">
        <is>
          <t xml:space="preserve">31754676       </t>
        </is>
      </c>
      <c r="F1704" s="5" t="inlineStr">
        <is>
          <t>INFINITY NADO SERIE 6 STD PACK LANZ ESPAD ANILLO M</t>
        </is>
      </c>
      <c r="G1704" t="n">
        <v>1</v>
      </c>
      <c r="H1704" s="7" t="n">
        <v>59.9</v>
      </c>
      <c r="I1704" s="7" t="n">
        <v>5.99</v>
      </c>
      <c r="J1704" s="7" t="n">
        <v>0</v>
      </c>
      <c r="K1704" s="9" t="n">
        <v>5.99</v>
      </c>
      <c r="L1704" s="10" t="n">
        <v>31.98</v>
      </c>
      <c r="M1704" s="10" t="n">
        <v>1.43</v>
      </c>
      <c r="N1704" t="inlineStr">
        <is>
          <t>1</t>
        </is>
      </c>
      <c r="O1704" t="inlineStr">
        <is>
          <t xml:space="preserve">3 </t>
        </is>
      </c>
      <c r="P1704" t="inlineStr">
        <is>
          <t xml:space="preserve">248960  </t>
        </is>
      </c>
      <c r="Q1704" s="26" t="n">
        <v>47.4</v>
      </c>
      <c r="R1704" s="26">
        <f>Q1704*G1704</f>
        <v/>
      </c>
      <c r="S1704" s="26">
        <f>IFERROR(VLOOKUP(E1704*1,Tabla[#All],8,0),0)</f>
        <v/>
      </c>
      <c r="T1704" s="26">
        <f>S1704*G1704</f>
        <v/>
      </c>
      <c r="U1704" s="26">
        <f>R1704-T1704</f>
        <v/>
      </c>
      <c r="V1704" s="26">
        <f>U1704-L1704</f>
        <v/>
      </c>
    </row>
    <row r="1705">
      <c r="A1705" s="11" t="n">
        <v>46220</v>
      </c>
      <c r="B1705" s="1" t="n">
        <v>20088</v>
      </c>
      <c r="C1705" s="1" t="inlineStr">
        <is>
          <t>023</t>
        </is>
      </c>
      <c r="D1705" s="1" t="inlineStr">
        <is>
          <t>127208</t>
        </is>
      </c>
      <c r="E1705" s="1" t="inlineStr">
        <is>
          <t xml:space="preserve">32457105       </t>
        </is>
      </c>
      <c r="F1705" s="5" t="inlineStr">
        <is>
          <t>TMZ BEAST MACHINES MONSTER JAWS ATAQUE ESCORPION +</t>
        </is>
      </c>
      <c r="G1705" t="n">
        <v>1</v>
      </c>
      <c r="H1705" s="7" t="n">
        <v>49.9</v>
      </c>
      <c r="I1705" s="7" t="n">
        <v>0</v>
      </c>
      <c r="J1705" s="7" t="n">
        <v>0</v>
      </c>
      <c r="K1705" s="9" t="n">
        <v>0</v>
      </c>
      <c r="L1705" s="10" t="n">
        <v>29.6</v>
      </c>
      <c r="M1705" s="10" t="n">
        <v>1.43</v>
      </c>
      <c r="N1705" t="inlineStr">
        <is>
          <t>1</t>
        </is>
      </c>
      <c r="O1705" t="inlineStr">
        <is>
          <t>16</t>
        </is>
      </c>
      <c r="P1705" t="inlineStr">
        <is>
          <t xml:space="preserve">232153  </t>
        </is>
      </c>
      <c r="Q1705" s="26" t="n">
        <v>41.47</v>
      </c>
      <c r="R1705" s="26">
        <f>Q1705*G1705</f>
        <v/>
      </c>
      <c r="S1705" s="26">
        <f>IFERROR(VLOOKUP(E1705*1,Tabla[#All],8,0),0)</f>
        <v/>
      </c>
      <c r="T1705" s="26">
        <f>S1705*G1705</f>
        <v/>
      </c>
      <c r="U1705" s="26">
        <f>R1705-T1705</f>
        <v/>
      </c>
      <c r="V1705" s="26">
        <f>U1705-L1705</f>
        <v/>
      </c>
    </row>
    <row r="1706">
      <c r="A1706" s="11" t="n">
        <v>46220</v>
      </c>
      <c r="B1706" s="1" t="n">
        <v>20089</v>
      </c>
      <c r="C1706" s="1" t="inlineStr">
        <is>
          <t>025</t>
        </is>
      </c>
      <c r="D1706" s="1" t="inlineStr">
        <is>
          <t>121887</t>
        </is>
      </c>
      <c r="E1706" s="1" t="inlineStr">
        <is>
          <t xml:space="preserve">30141766       </t>
        </is>
      </c>
      <c r="F1706" s="5" t="inlineStr">
        <is>
          <t>TMZ BEAST MACHINES AUTOS DE METAL BLISTER X 1</t>
        </is>
      </c>
      <c r="G1706" t="n">
        <v>1</v>
      </c>
      <c r="H1706" s="7" t="n">
        <v>7.9</v>
      </c>
      <c r="I1706" s="7" t="n">
        <v>0</v>
      </c>
      <c r="J1706" s="7" t="n">
        <v>0</v>
      </c>
      <c r="K1706" s="9" t="n">
        <v>0</v>
      </c>
      <c r="L1706" s="10" t="n">
        <v>4.68</v>
      </c>
      <c r="M1706" s="10" t="n">
        <v>1.43</v>
      </c>
      <c r="N1706" t="inlineStr">
        <is>
          <t>1</t>
        </is>
      </c>
      <c r="O1706" t="inlineStr">
        <is>
          <t xml:space="preserve">2 </t>
        </is>
      </c>
      <c r="P1706" t="inlineStr">
        <is>
          <t xml:space="preserve">232968  </t>
        </is>
      </c>
      <c r="Q1706" s="26" t="n">
        <v>4.69</v>
      </c>
      <c r="R1706" s="26">
        <f>Q1706*G1706</f>
        <v/>
      </c>
      <c r="S1706" s="26">
        <f>IFERROR(VLOOKUP(E1706*1,Tabla[#All],8,0),0)</f>
        <v/>
      </c>
      <c r="T1706" s="26">
        <f>S1706*G1706</f>
        <v/>
      </c>
      <c r="U1706" s="26">
        <f>R1706-T1706</f>
        <v/>
      </c>
      <c r="V1706" s="26">
        <f>U1706-L1706</f>
        <v/>
      </c>
    </row>
    <row r="1707">
      <c r="A1707" s="11" t="n">
        <v>46220</v>
      </c>
      <c r="B1707" s="1" t="n">
        <v>20089</v>
      </c>
      <c r="C1707" s="1" t="inlineStr">
        <is>
          <t>025</t>
        </is>
      </c>
      <c r="D1707" s="1" t="inlineStr">
        <is>
          <t>121887</t>
        </is>
      </c>
      <c r="E1707" s="1" t="inlineStr">
        <is>
          <t xml:space="preserve">30141766       </t>
        </is>
      </c>
      <c r="F1707" s="5" t="inlineStr">
        <is>
          <t>TMZ BEAST MACHINES AUTOS DE METAL BLISTER X 1</t>
        </is>
      </c>
      <c r="G1707" t="n">
        <v>1</v>
      </c>
      <c r="H1707" s="7" t="n">
        <v>7.9</v>
      </c>
      <c r="I1707" s="7" t="n">
        <v>0</v>
      </c>
      <c r="J1707" s="7" t="n">
        <v>0</v>
      </c>
      <c r="K1707" s="9" t="n">
        <v>0</v>
      </c>
      <c r="L1707" s="10" t="n">
        <v>4.68</v>
      </c>
      <c r="M1707" s="10" t="n">
        <v>1.43</v>
      </c>
      <c r="N1707" t="inlineStr">
        <is>
          <t>1</t>
        </is>
      </c>
      <c r="O1707" t="inlineStr">
        <is>
          <t xml:space="preserve">2 </t>
        </is>
      </c>
      <c r="P1707" t="inlineStr">
        <is>
          <t xml:space="preserve">232968  </t>
        </is>
      </c>
      <c r="Q1707" s="26" t="n">
        <v>4.69</v>
      </c>
      <c r="R1707" s="26">
        <f>Q1707*G1707</f>
        <v/>
      </c>
      <c r="S1707" s="26">
        <f>IFERROR(VLOOKUP(E1707*1,Tabla[#All],8,0),0)</f>
        <v/>
      </c>
      <c r="T1707" s="26">
        <f>S1707*G1707</f>
        <v/>
      </c>
      <c r="U1707" s="26">
        <f>R1707-T1707</f>
        <v/>
      </c>
      <c r="V1707" s="26">
        <f>U1707-L1707</f>
        <v/>
      </c>
    </row>
    <row r="1708">
      <c r="A1708" s="11" t="n">
        <v>46220</v>
      </c>
      <c r="B1708" s="1" t="n">
        <v>20089</v>
      </c>
      <c r="C1708" s="1" t="inlineStr">
        <is>
          <t>025</t>
        </is>
      </c>
      <c r="D1708" s="1" t="inlineStr">
        <is>
          <t>121944</t>
        </is>
      </c>
      <c r="E1708" s="1" t="inlineStr">
        <is>
          <t xml:space="preserve">28194770       </t>
        </is>
      </c>
      <c r="F1708" s="5" t="inlineStr">
        <is>
          <t>AUTOS DE METAL 3 TEAMSTERZ EN BLISTER</t>
        </is>
      </c>
      <c r="G1708" t="n">
        <v>1</v>
      </c>
      <c r="H1708" s="7" t="n">
        <v>6.9</v>
      </c>
      <c r="I1708" s="7" t="n">
        <v>0.6899999999999999</v>
      </c>
      <c r="J1708" s="7" t="n">
        <v>0</v>
      </c>
      <c r="K1708" s="9" t="n">
        <v>0.6899999999999999</v>
      </c>
      <c r="L1708" s="10" t="n">
        <v>3.68</v>
      </c>
      <c r="M1708" s="10" t="n">
        <v>1.43</v>
      </c>
      <c r="N1708" t="inlineStr">
        <is>
          <t>1</t>
        </is>
      </c>
      <c r="O1708" t="inlineStr">
        <is>
          <t xml:space="preserve">3 </t>
        </is>
      </c>
      <c r="P1708" t="inlineStr">
        <is>
          <t xml:space="preserve">246416  </t>
        </is>
      </c>
      <c r="Q1708" s="26" t="n">
        <v>4.09</v>
      </c>
      <c r="R1708" s="26">
        <f>Q1708*G1708</f>
        <v/>
      </c>
      <c r="S1708" s="26">
        <f>IFERROR(VLOOKUP(E1708*1,Tabla[#All],8,0),0)</f>
        <v/>
      </c>
      <c r="T1708" s="26">
        <f>S1708*G1708</f>
        <v/>
      </c>
      <c r="U1708" s="26">
        <f>R1708-T1708</f>
        <v/>
      </c>
      <c r="V1708" s="26">
        <f>U1708-L1708</f>
        <v/>
      </c>
    </row>
    <row r="1709">
      <c r="A1709" s="11" t="n">
        <v>46220</v>
      </c>
      <c r="B1709" s="1" t="n">
        <v>20089</v>
      </c>
      <c r="C1709" s="1" t="inlineStr">
        <is>
          <t>025</t>
        </is>
      </c>
      <c r="D1709" s="1" t="inlineStr">
        <is>
          <t>121944</t>
        </is>
      </c>
      <c r="E1709" s="1" t="inlineStr">
        <is>
          <t xml:space="preserve">28194770       </t>
        </is>
      </c>
      <c r="F1709" s="5" t="inlineStr">
        <is>
          <t>AUTOS DE METAL 3 TEAMSTERZ EN BLISTER</t>
        </is>
      </c>
      <c r="G1709" t="n">
        <v>1</v>
      </c>
      <c r="H1709" s="7" t="n">
        <v>6.9</v>
      </c>
      <c r="I1709" s="7" t="n">
        <v>0.6899999999999999</v>
      </c>
      <c r="J1709" s="7" t="n">
        <v>0</v>
      </c>
      <c r="K1709" s="9" t="n">
        <v>0.6899999999999999</v>
      </c>
      <c r="L1709" s="10" t="n">
        <v>3.68</v>
      </c>
      <c r="M1709" s="10" t="n">
        <v>1.43</v>
      </c>
      <c r="N1709" t="inlineStr">
        <is>
          <t>1</t>
        </is>
      </c>
      <c r="O1709" t="inlineStr">
        <is>
          <t xml:space="preserve">3 </t>
        </is>
      </c>
      <c r="P1709" t="inlineStr">
        <is>
          <t xml:space="preserve">246416  </t>
        </is>
      </c>
      <c r="Q1709" s="26" t="n">
        <v>4.09</v>
      </c>
      <c r="R1709" s="26">
        <f>Q1709*G1709</f>
        <v/>
      </c>
      <c r="S1709" s="26">
        <f>IFERROR(VLOOKUP(E1709*1,Tabla[#All],8,0),0)</f>
        <v/>
      </c>
      <c r="T1709" s="26">
        <f>S1709*G1709</f>
        <v/>
      </c>
      <c r="U1709" s="26">
        <f>R1709-T1709</f>
        <v/>
      </c>
      <c r="V1709" s="26">
        <f>U1709-L1709</f>
        <v/>
      </c>
    </row>
    <row r="1710">
      <c r="A1710" s="11" t="n">
        <v>46220</v>
      </c>
      <c r="B1710" s="1" t="n">
        <v>20089</v>
      </c>
      <c r="C1710" s="1" t="inlineStr">
        <is>
          <t>025</t>
        </is>
      </c>
      <c r="D1710" s="1" t="inlineStr">
        <is>
          <t>121944</t>
        </is>
      </c>
      <c r="E1710" s="1" t="inlineStr">
        <is>
          <t xml:space="preserve">28194770       </t>
        </is>
      </c>
      <c r="F1710" s="5" t="inlineStr">
        <is>
          <t>AUTOS DE METAL 3 TEAMSTERZ EN BLISTER</t>
        </is>
      </c>
      <c r="G1710" t="n">
        <v>1</v>
      </c>
      <c r="H1710" s="7" t="n">
        <v>6.9</v>
      </c>
      <c r="I1710" s="7" t="n">
        <v>0.6899999999999999</v>
      </c>
      <c r="J1710" s="7" t="n">
        <v>0</v>
      </c>
      <c r="K1710" s="9" t="n">
        <v>0.6899999999999999</v>
      </c>
      <c r="L1710" s="10" t="n">
        <v>3.68</v>
      </c>
      <c r="M1710" s="10" t="n">
        <v>1.43</v>
      </c>
      <c r="N1710" t="inlineStr">
        <is>
          <t>1</t>
        </is>
      </c>
      <c r="O1710" t="inlineStr">
        <is>
          <t xml:space="preserve">3 </t>
        </is>
      </c>
      <c r="P1710" t="inlineStr">
        <is>
          <t xml:space="preserve">246416  </t>
        </is>
      </c>
      <c r="Q1710" s="26" t="n">
        <v>4.09</v>
      </c>
      <c r="R1710" s="26">
        <f>Q1710*G1710</f>
        <v/>
      </c>
      <c r="S1710" s="26">
        <f>IFERROR(VLOOKUP(E1710*1,Tabla[#All],8,0),0)</f>
        <v/>
      </c>
      <c r="T1710" s="26">
        <f>S1710*G1710</f>
        <v/>
      </c>
      <c r="U1710" s="26">
        <f>R1710-T1710</f>
        <v/>
      </c>
      <c r="V1710" s="26">
        <f>U1710-L1710</f>
        <v/>
      </c>
    </row>
    <row r="1711">
      <c r="A1711" s="11" t="n">
        <v>46220</v>
      </c>
      <c r="B1711" s="1" t="n">
        <v>20089</v>
      </c>
      <c r="C1711" s="1" t="inlineStr">
        <is>
          <t>025</t>
        </is>
      </c>
      <c r="D1711" s="1" t="inlineStr">
        <is>
          <t>121959</t>
        </is>
      </c>
      <c r="E1711" s="1" t="inlineStr">
        <is>
          <t xml:space="preserve">28194768       </t>
        </is>
      </c>
      <c r="F1711" s="5" t="inlineStr">
        <is>
          <t>AUTO COLOR CHANGE TEAMSTERZ SURTIDO</t>
        </is>
      </c>
      <c r="G1711" t="n">
        <v>1</v>
      </c>
      <c r="H1711" s="7" t="n">
        <v>14.9</v>
      </c>
      <c r="I1711" s="7" t="n">
        <v>0</v>
      </c>
      <c r="J1711" s="7" t="n">
        <v>0</v>
      </c>
      <c r="K1711" s="9" t="n">
        <v>0</v>
      </c>
      <c r="L1711" s="10" t="n">
        <v>8.84</v>
      </c>
      <c r="M1711" s="10" t="n">
        <v>1.43</v>
      </c>
      <c r="N1711" t="inlineStr">
        <is>
          <t>1</t>
        </is>
      </c>
      <c r="O1711" t="inlineStr">
        <is>
          <t>16</t>
        </is>
      </c>
      <c r="P1711" t="inlineStr">
        <is>
          <t xml:space="preserve">246416  </t>
        </is>
      </c>
      <c r="Q1711" s="26" t="n">
        <v>8.84</v>
      </c>
      <c r="R1711" s="26">
        <f>Q1711*G1711</f>
        <v/>
      </c>
      <c r="S1711" s="26">
        <f>IFERROR(VLOOKUP(E1711*1,Tabla[#All],8,0),0)</f>
        <v/>
      </c>
      <c r="T1711" s="26">
        <f>S1711*G1711</f>
        <v/>
      </c>
      <c r="U1711" s="26">
        <f>R1711-T1711</f>
        <v/>
      </c>
      <c r="V1711" s="26">
        <f>U1711-L1711</f>
        <v/>
      </c>
    </row>
    <row r="1712">
      <c r="A1712" s="11" t="n">
        <v>46220</v>
      </c>
      <c r="B1712" s="1" t="n">
        <v>20089</v>
      </c>
      <c r="C1712" s="1" t="inlineStr">
        <is>
          <t>025</t>
        </is>
      </c>
      <c r="D1712" s="1" t="inlineStr">
        <is>
          <t>121964</t>
        </is>
      </c>
      <c r="E1712" s="1" t="inlineStr">
        <is>
          <t xml:space="preserve">35685067       </t>
        </is>
      </c>
      <c r="F1712" s="5" t="inlineStr">
        <is>
          <t>HOT WHEELS POWER SET 3 EN 1</t>
        </is>
      </c>
      <c r="G1712" t="n">
        <v>1</v>
      </c>
      <c r="H1712" s="7" t="n">
        <v>49.9</v>
      </c>
      <c r="I1712" s="7" t="n">
        <v>0</v>
      </c>
      <c r="J1712" s="7" t="n">
        <v>0</v>
      </c>
      <c r="K1712" s="9" t="n">
        <v>0</v>
      </c>
      <c r="L1712" s="10" t="n">
        <v>29.6</v>
      </c>
      <c r="M1712" s="10" t="n">
        <v>1.43</v>
      </c>
      <c r="N1712" t="inlineStr">
        <is>
          <t>1</t>
        </is>
      </c>
      <c r="O1712" t="inlineStr">
        <is>
          <t>16</t>
        </is>
      </c>
      <c r="P1712" t="inlineStr">
        <is>
          <t xml:space="preserve">246416  </t>
        </is>
      </c>
      <c r="Q1712" s="26" t="n">
        <v>29.6</v>
      </c>
      <c r="R1712" s="26">
        <f>Q1712*G1712</f>
        <v/>
      </c>
      <c r="S1712" s="26">
        <f>IFERROR(VLOOKUP(E1712*1,Tabla[#All],8,0),0)</f>
        <v/>
      </c>
      <c r="T1712" s="26">
        <f>S1712*G1712</f>
        <v/>
      </c>
      <c r="U1712" s="26">
        <f>R1712-T1712</f>
        <v/>
      </c>
      <c r="V1712" s="26">
        <f>U1712-L1712</f>
        <v/>
      </c>
    </row>
    <row r="1713">
      <c r="A1713" s="11" t="n">
        <v>46220</v>
      </c>
      <c r="B1713" s="1" t="n">
        <v>20089</v>
      </c>
      <c r="C1713" s="1" t="inlineStr">
        <is>
          <t>026</t>
        </is>
      </c>
      <c r="D1713" s="1" t="inlineStr">
        <is>
          <t xml:space="preserve">88097 </t>
        </is>
      </c>
      <c r="E1713" s="1" t="inlineStr">
        <is>
          <t xml:space="preserve">28194770       </t>
        </is>
      </c>
      <c r="F1713" s="5" t="inlineStr">
        <is>
          <t>AUTOS DE METAL 3 TEAMSTERZ EN BLISTER</t>
        </is>
      </c>
      <c r="G1713" t="n">
        <v>1</v>
      </c>
      <c r="H1713" s="7" t="n">
        <v>6.9</v>
      </c>
      <c r="I1713" s="7" t="n">
        <v>0</v>
      </c>
      <c r="J1713" s="7" t="n">
        <v>0</v>
      </c>
      <c r="K1713" s="9" t="n">
        <v>0</v>
      </c>
      <c r="L1713" s="10" t="n">
        <v>4.1</v>
      </c>
      <c r="M1713" s="10" t="n">
        <v>1.43</v>
      </c>
      <c r="N1713" t="inlineStr">
        <is>
          <t>1</t>
        </is>
      </c>
      <c r="O1713" t="inlineStr">
        <is>
          <t xml:space="preserve">2 </t>
        </is>
      </c>
      <c r="P1713" t="inlineStr">
        <is>
          <t xml:space="preserve">82992   </t>
        </is>
      </c>
      <c r="Q1713" s="26" t="n">
        <v>4.09</v>
      </c>
      <c r="R1713" s="26">
        <f>Q1713*G1713</f>
        <v/>
      </c>
      <c r="S1713" s="26">
        <f>IFERROR(VLOOKUP(E1713*1,Tabla[#All],8,0),0)</f>
        <v/>
      </c>
      <c r="T1713" s="26">
        <f>S1713*G1713</f>
        <v/>
      </c>
      <c r="U1713" s="26">
        <f>R1713-T1713</f>
        <v/>
      </c>
      <c r="V1713" s="26">
        <f>U1713-L1713</f>
        <v/>
      </c>
    </row>
    <row r="1714">
      <c r="A1714" s="11" t="n">
        <v>46220</v>
      </c>
      <c r="B1714" s="1" t="n">
        <v>20089</v>
      </c>
      <c r="C1714" s="1" t="inlineStr">
        <is>
          <t>026</t>
        </is>
      </c>
      <c r="D1714" s="1" t="inlineStr">
        <is>
          <t xml:space="preserve">88097 </t>
        </is>
      </c>
      <c r="E1714" s="1" t="inlineStr">
        <is>
          <t xml:space="preserve">30141766       </t>
        </is>
      </c>
      <c r="F1714" s="5" t="inlineStr">
        <is>
          <t>TMZ BEAST MACHINES AUTOS DE METAL BLISTER X 1</t>
        </is>
      </c>
      <c r="G1714" t="n">
        <v>1</v>
      </c>
      <c r="H1714" s="7" t="n">
        <v>7.9</v>
      </c>
      <c r="I1714" s="7" t="n">
        <v>0</v>
      </c>
      <c r="J1714" s="7" t="n">
        <v>0</v>
      </c>
      <c r="K1714" s="9" t="n">
        <v>0</v>
      </c>
      <c r="L1714" s="10" t="n">
        <v>4.68</v>
      </c>
      <c r="M1714" s="10" t="n">
        <v>1.43</v>
      </c>
      <c r="N1714" t="inlineStr">
        <is>
          <t>1</t>
        </is>
      </c>
      <c r="O1714" t="inlineStr">
        <is>
          <t xml:space="preserve">2 </t>
        </is>
      </c>
      <c r="P1714" t="inlineStr">
        <is>
          <t xml:space="preserve">82992   </t>
        </is>
      </c>
      <c r="Q1714" s="26" t="n">
        <v>4.69</v>
      </c>
      <c r="R1714" s="26">
        <f>Q1714*G1714</f>
        <v/>
      </c>
      <c r="S1714" s="26">
        <f>IFERROR(VLOOKUP(E1714*1,Tabla[#All],8,0),0)</f>
        <v/>
      </c>
      <c r="T1714" s="26">
        <f>S1714*G1714</f>
        <v/>
      </c>
      <c r="U1714" s="26">
        <f>R1714-T1714</f>
        <v/>
      </c>
      <c r="V1714" s="26">
        <f>U1714-L1714</f>
        <v/>
      </c>
    </row>
    <row r="1715">
      <c r="A1715" s="11" t="n">
        <v>46220</v>
      </c>
      <c r="B1715" s="1" t="n">
        <v>20089</v>
      </c>
      <c r="C1715" s="1" t="inlineStr">
        <is>
          <t>026</t>
        </is>
      </c>
      <c r="D1715" s="1" t="inlineStr">
        <is>
          <t xml:space="preserve">88120 </t>
        </is>
      </c>
      <c r="E1715" s="1" t="inlineStr">
        <is>
          <t xml:space="preserve">31959960       </t>
        </is>
      </c>
      <c r="F1715" s="5" t="inlineStr">
        <is>
          <t>TEAMSTERZ PLAYSET DE CONSTRUCCION VEHICULOS + ACCE</t>
        </is>
      </c>
      <c r="G1715" t="n">
        <v>1</v>
      </c>
      <c r="H1715" s="7" t="n">
        <v>39.9</v>
      </c>
      <c r="I1715" s="7" t="n">
        <v>3.99</v>
      </c>
      <c r="J1715" s="7" t="n">
        <v>0</v>
      </c>
      <c r="K1715" s="9" t="n">
        <v>3.99</v>
      </c>
      <c r="L1715" s="10" t="n">
        <v>21.3</v>
      </c>
      <c r="M1715" s="10" t="n">
        <v>1.43</v>
      </c>
      <c r="N1715" t="inlineStr">
        <is>
          <t>1</t>
        </is>
      </c>
      <c r="O1715" t="inlineStr">
        <is>
          <t xml:space="preserve">3 </t>
        </is>
      </c>
      <c r="P1715" t="inlineStr">
        <is>
          <t xml:space="preserve">82992   </t>
        </is>
      </c>
      <c r="Q1715" s="26" t="n">
        <v>23.67</v>
      </c>
      <c r="R1715" s="26">
        <f>Q1715*G1715</f>
        <v/>
      </c>
      <c r="S1715" s="26">
        <f>IFERROR(VLOOKUP(E1715*1,Tabla[#All],8,0),0)</f>
        <v/>
      </c>
      <c r="T1715" s="26">
        <f>S1715*G1715</f>
        <v/>
      </c>
      <c r="U1715" s="26">
        <f>R1715-T1715</f>
        <v/>
      </c>
      <c r="V1715" s="26">
        <f>U1715-L1715</f>
        <v/>
      </c>
    </row>
    <row r="1716">
      <c r="A1716" s="11" t="n">
        <v>46220</v>
      </c>
      <c r="B1716" s="1" t="n">
        <v>20089</v>
      </c>
      <c r="C1716" s="1" t="inlineStr">
        <is>
          <t>026</t>
        </is>
      </c>
      <c r="D1716" s="1" t="inlineStr">
        <is>
          <t xml:space="preserve">88137 </t>
        </is>
      </c>
      <c r="E1716" s="1" t="inlineStr">
        <is>
          <t xml:space="preserve">28194769       </t>
        </is>
      </c>
      <c r="F1716" s="5" t="inlineStr">
        <is>
          <t>AUTOS DE METAL 3 TEAMSTERZ PACK DE 2</t>
        </is>
      </c>
      <c r="G1716" t="n">
        <v>1</v>
      </c>
      <c r="H1716" s="7" t="n">
        <v>13.8</v>
      </c>
      <c r="I1716" s="7" t="n">
        <v>0</v>
      </c>
      <c r="J1716" s="7" t="n">
        <v>0</v>
      </c>
      <c r="K1716" s="9" t="n">
        <v>0</v>
      </c>
      <c r="L1716" s="10" t="n">
        <v>8.18</v>
      </c>
      <c r="M1716" s="10" t="n">
        <v>1.43</v>
      </c>
      <c r="N1716" t="inlineStr">
        <is>
          <t>1</t>
        </is>
      </c>
      <c r="O1716" t="inlineStr">
        <is>
          <t>16</t>
        </is>
      </c>
      <c r="P1716" t="inlineStr">
        <is>
          <t xml:space="preserve">82992   </t>
        </is>
      </c>
      <c r="Q1716" s="26" t="n">
        <v>8.19</v>
      </c>
      <c r="R1716" s="26">
        <f>Q1716*G1716</f>
        <v/>
      </c>
      <c r="S1716" s="26">
        <f>IFERROR(VLOOKUP(E1716*1,Tabla[#All],8,0),0)</f>
        <v/>
      </c>
      <c r="T1716" s="26">
        <f>S1716*G1716</f>
        <v/>
      </c>
      <c r="U1716" s="26">
        <f>R1716-T1716</f>
        <v/>
      </c>
      <c r="V1716" s="26">
        <f>U1716-L1716</f>
        <v/>
      </c>
    </row>
    <row r="1717">
      <c r="A1717" s="11" t="n">
        <v>46220</v>
      </c>
      <c r="B1717" s="1" t="n">
        <v>20089</v>
      </c>
      <c r="C1717" s="1" t="inlineStr">
        <is>
          <t>026</t>
        </is>
      </c>
      <c r="D1717" s="1" t="inlineStr">
        <is>
          <t xml:space="preserve">88137 </t>
        </is>
      </c>
      <c r="E1717" s="1" t="inlineStr">
        <is>
          <t xml:space="preserve">30141766       </t>
        </is>
      </c>
      <c r="F1717" s="5" t="inlineStr">
        <is>
          <t>TMZ BEAST MACHINES AUTOS DE METAL BLISTER X 1</t>
        </is>
      </c>
      <c r="G1717" t="n">
        <v>1</v>
      </c>
      <c r="H1717" s="7" t="n">
        <v>7.9</v>
      </c>
      <c r="I1717" s="7" t="n">
        <v>0</v>
      </c>
      <c r="J1717" s="7" t="n">
        <v>0</v>
      </c>
      <c r="K1717" s="9" t="n">
        <v>0</v>
      </c>
      <c r="L1717" s="10" t="n">
        <v>4.68</v>
      </c>
      <c r="M1717" s="10" t="n">
        <v>1.43</v>
      </c>
      <c r="N1717" t="inlineStr">
        <is>
          <t>1</t>
        </is>
      </c>
      <c r="O1717" t="inlineStr">
        <is>
          <t>16</t>
        </is>
      </c>
      <c r="P1717" t="inlineStr">
        <is>
          <t xml:space="preserve">82992   </t>
        </is>
      </c>
      <c r="Q1717" s="26" t="n">
        <v>4.69</v>
      </c>
      <c r="R1717" s="26">
        <f>Q1717*G1717</f>
        <v/>
      </c>
      <c r="S1717" s="26">
        <f>IFERROR(VLOOKUP(E1717*1,Tabla[#All],8,0),0)</f>
        <v/>
      </c>
      <c r="T1717" s="26">
        <f>S1717*G1717</f>
        <v/>
      </c>
      <c r="U1717" s="26">
        <f>R1717-T1717</f>
        <v/>
      </c>
      <c r="V1717" s="26">
        <f>U1717-L1717</f>
        <v/>
      </c>
    </row>
    <row r="1718">
      <c r="A1718" s="11" t="n">
        <v>46220</v>
      </c>
      <c r="B1718" s="1" t="n">
        <v>20089</v>
      </c>
      <c r="C1718" s="1" t="inlineStr">
        <is>
          <t>520</t>
        </is>
      </c>
      <c r="D1718" s="1" t="inlineStr">
        <is>
          <t xml:space="preserve">2918  </t>
        </is>
      </c>
      <c r="E1718" s="1" t="inlineStr">
        <is>
          <t xml:space="preserve">28194770       </t>
        </is>
      </c>
      <c r="F1718" s="5" t="inlineStr">
        <is>
          <t>AUTOS DE METAL 3 TEAMSTERZ EN BLISTER</t>
        </is>
      </c>
      <c r="G1718" t="n">
        <v>1</v>
      </c>
      <c r="H1718" s="7" t="n">
        <v>6.9</v>
      </c>
      <c r="I1718" s="7" t="n">
        <v>0</v>
      </c>
      <c r="J1718" s="7" t="n">
        <v>0</v>
      </c>
      <c r="K1718" s="9" t="n">
        <v>0</v>
      </c>
      <c r="L1718" s="10" t="n">
        <v>4.1</v>
      </c>
      <c r="M1718" s="10" t="n">
        <v>1.43</v>
      </c>
      <c r="N1718" t="inlineStr">
        <is>
          <t>1</t>
        </is>
      </c>
      <c r="O1718" t="inlineStr">
        <is>
          <t>16</t>
        </is>
      </c>
      <c r="P1718" t="inlineStr">
        <is>
          <t xml:space="preserve">250455  </t>
        </is>
      </c>
      <c r="Q1718" s="26" t="n">
        <v>4.09</v>
      </c>
      <c r="R1718" s="26">
        <f>Q1718*G1718</f>
        <v/>
      </c>
      <c r="S1718" s="26">
        <f>IFERROR(VLOOKUP(E1718*1,Tabla[#All],8,0),0)</f>
        <v/>
      </c>
      <c r="T1718" s="26">
        <f>S1718*G1718</f>
        <v/>
      </c>
      <c r="U1718" s="26">
        <f>R1718-T1718</f>
        <v/>
      </c>
      <c r="V1718" s="26">
        <f>U1718-L1718</f>
        <v/>
      </c>
    </row>
    <row r="1719">
      <c r="A1719" s="11" t="n">
        <v>46220</v>
      </c>
      <c r="B1719" s="1" t="n">
        <v>20089</v>
      </c>
      <c r="C1719" s="1" t="inlineStr">
        <is>
          <t>862</t>
        </is>
      </c>
      <c r="D1719" s="1" t="inlineStr">
        <is>
          <t xml:space="preserve">8547  </t>
        </is>
      </c>
      <c r="E1719" s="1" t="inlineStr">
        <is>
          <t xml:space="preserve">28194780       </t>
        </is>
      </c>
      <c r="F1719" s="5" t="inlineStr">
        <is>
          <t>TROMPO BATALLA INFINITY NADO PLSTICO SURTIDO</t>
        </is>
      </c>
      <c r="G1719" t="n">
        <v>1</v>
      </c>
      <c r="H1719" s="7" t="n">
        <v>19.9</v>
      </c>
      <c r="I1719" s="7" t="n">
        <v>0</v>
      </c>
      <c r="J1719" s="7" t="n">
        <v>0</v>
      </c>
      <c r="K1719" s="9" t="n">
        <v>0</v>
      </c>
      <c r="L1719" s="10" t="n">
        <v>11.8</v>
      </c>
      <c r="M1719" s="10" t="n">
        <v>1.43</v>
      </c>
      <c r="N1719" t="inlineStr">
        <is>
          <t>1</t>
        </is>
      </c>
      <c r="O1719" t="inlineStr">
        <is>
          <t>16</t>
        </is>
      </c>
      <c r="P1719" t="inlineStr">
        <is>
          <t xml:space="preserve">0       </t>
        </is>
      </c>
      <c r="Q1719" s="26" t="n">
        <v>11.81</v>
      </c>
      <c r="R1719" s="26">
        <f>Q1719*G1719</f>
        <v/>
      </c>
      <c r="S1719" s="26">
        <f>IFERROR(VLOOKUP(E1719*1,Tabla[#All],8,0),0)</f>
        <v/>
      </c>
      <c r="T1719" s="26">
        <f>S1719*G1719</f>
        <v/>
      </c>
      <c r="U1719" s="26">
        <f>R1719-T1719</f>
        <v/>
      </c>
      <c r="V1719" s="26">
        <f>U1719-L1719</f>
        <v/>
      </c>
    </row>
    <row r="1720">
      <c r="A1720" s="11" t="n">
        <v>46220</v>
      </c>
      <c r="B1720" s="1" t="n">
        <v>20095</v>
      </c>
      <c r="C1720" s="1" t="inlineStr">
        <is>
          <t>026</t>
        </is>
      </c>
      <c r="D1720" s="1" t="inlineStr">
        <is>
          <t xml:space="preserve">55388 </t>
        </is>
      </c>
      <c r="E1720" s="1" t="inlineStr">
        <is>
          <t xml:space="preserve">33483121       </t>
        </is>
      </c>
      <c r="F1720" s="5" t="inlineStr">
        <is>
          <t>HOT WHEELS ESTUCHE PARA 15 AUTOS SURTIDO</t>
        </is>
      </c>
      <c r="G1720" t="n">
        <v>1</v>
      </c>
      <c r="H1720" s="7" t="n">
        <v>34.9</v>
      </c>
      <c r="I1720" s="7" t="n">
        <v>0</v>
      </c>
      <c r="J1720" s="7" t="n">
        <v>0</v>
      </c>
      <c r="K1720" s="9" t="n">
        <v>0</v>
      </c>
      <c r="L1720" s="10" t="n">
        <v>20.71</v>
      </c>
      <c r="M1720" s="10" t="n">
        <v>1.43</v>
      </c>
      <c r="N1720" t="inlineStr">
        <is>
          <t>1</t>
        </is>
      </c>
      <c r="O1720" t="inlineStr">
        <is>
          <t>16</t>
        </is>
      </c>
      <c r="P1720" t="inlineStr">
        <is>
          <t xml:space="preserve">250453  </t>
        </is>
      </c>
      <c r="Q1720" s="26" t="n">
        <v>20.7</v>
      </c>
      <c r="R1720" s="26">
        <f>Q1720*G1720</f>
        <v/>
      </c>
      <c r="S1720" s="26">
        <f>IFERROR(VLOOKUP(E1720*1,Tabla[#All],8,0),0)</f>
        <v/>
      </c>
      <c r="T1720" s="26">
        <f>S1720*G1720</f>
        <v/>
      </c>
      <c r="U1720" s="26">
        <f>R1720-T1720</f>
        <v/>
      </c>
      <c r="V1720" s="26">
        <f>U1720-L1720</f>
        <v/>
      </c>
    </row>
    <row r="1721">
      <c r="A1721" s="11" t="n">
        <v>46220</v>
      </c>
      <c r="B1721" s="1" t="n">
        <v>20095</v>
      </c>
      <c r="C1721" s="1" t="inlineStr">
        <is>
          <t>026</t>
        </is>
      </c>
      <c r="D1721" s="1" t="inlineStr">
        <is>
          <t xml:space="preserve">55388 </t>
        </is>
      </c>
      <c r="E1721" s="1" t="inlineStr">
        <is>
          <t xml:space="preserve">35685067       </t>
        </is>
      </c>
      <c r="F1721" s="5" t="inlineStr">
        <is>
          <t>HOT WHEELS POWER SET 3 EN 1</t>
        </is>
      </c>
      <c r="G1721" t="n">
        <v>1</v>
      </c>
      <c r="H1721" s="7" t="n">
        <v>49.9</v>
      </c>
      <c r="I1721" s="7" t="n">
        <v>0</v>
      </c>
      <c r="J1721" s="7" t="n">
        <v>0</v>
      </c>
      <c r="K1721" s="9" t="n">
        <v>0</v>
      </c>
      <c r="L1721" s="10" t="n">
        <v>29.6</v>
      </c>
      <c r="M1721" s="10" t="n">
        <v>1.43</v>
      </c>
      <c r="N1721" t="inlineStr">
        <is>
          <t>1</t>
        </is>
      </c>
      <c r="O1721" t="inlineStr">
        <is>
          <t>16</t>
        </is>
      </c>
      <c r="P1721" t="inlineStr">
        <is>
          <t xml:space="preserve">250453  </t>
        </is>
      </c>
      <c r="Q1721" s="26" t="n">
        <v>29.6</v>
      </c>
      <c r="R1721" s="26">
        <f>Q1721*G1721</f>
        <v/>
      </c>
      <c r="S1721" s="26">
        <f>IFERROR(VLOOKUP(E1721*1,Tabla[#All],8,0),0)</f>
        <v/>
      </c>
      <c r="T1721" s="26">
        <f>S1721*G1721</f>
        <v/>
      </c>
      <c r="U1721" s="26">
        <f>R1721-T1721</f>
        <v/>
      </c>
      <c r="V1721" s="26">
        <f>U1721-L1721</f>
        <v/>
      </c>
    </row>
    <row r="1722">
      <c r="A1722" s="11" t="n">
        <v>46221</v>
      </c>
      <c r="B1722" s="1" t="n">
        <v>20021</v>
      </c>
      <c r="C1722" s="1" t="inlineStr">
        <is>
          <t>034</t>
        </is>
      </c>
      <c r="D1722" s="1" t="inlineStr">
        <is>
          <t xml:space="preserve">45378 </t>
        </is>
      </c>
      <c r="E1722" s="1" t="inlineStr">
        <is>
          <t xml:space="preserve">29235700       </t>
        </is>
      </c>
      <c r="F1722" s="5" t="inlineStr">
        <is>
          <t>HOT WHEELS CASE METALICO PARA GUARDAR 18 CARRITOS</t>
        </is>
      </c>
      <c r="G1722" t="n">
        <v>1</v>
      </c>
      <c r="H1722" s="7" t="n">
        <v>49.9</v>
      </c>
      <c r="I1722" s="7" t="n">
        <v>0</v>
      </c>
      <c r="J1722" s="7" t="n">
        <v>0</v>
      </c>
      <c r="K1722" s="9" t="n">
        <v>0</v>
      </c>
      <c r="L1722" s="10" t="n">
        <v>29.6</v>
      </c>
      <c r="M1722" s="10" t="n">
        <v>1.43</v>
      </c>
      <c r="N1722" t="inlineStr">
        <is>
          <t>1</t>
        </is>
      </c>
      <c r="O1722" t="inlineStr">
        <is>
          <t>16</t>
        </is>
      </c>
      <c r="P1722" t="inlineStr">
        <is>
          <t xml:space="preserve">74460   </t>
        </is>
      </c>
      <c r="Q1722" s="26" t="n">
        <v>29.6</v>
      </c>
      <c r="R1722" s="26">
        <f>Q1722*G1722</f>
        <v/>
      </c>
      <c r="S1722" s="26">
        <f>IFERROR(VLOOKUP(E1722*1,Tabla[#All],8,0),0)</f>
        <v/>
      </c>
      <c r="T1722" s="26">
        <f>S1722*G1722</f>
        <v/>
      </c>
      <c r="U1722" s="26">
        <f>R1722-T1722</f>
        <v/>
      </c>
      <c r="V1722" s="26">
        <f>U1722-L1722</f>
        <v/>
      </c>
    </row>
    <row r="1723">
      <c r="A1723" s="11" t="n">
        <v>46221</v>
      </c>
      <c r="B1723" s="1" t="n">
        <v>20021</v>
      </c>
      <c r="C1723" s="1" t="inlineStr">
        <is>
          <t>042</t>
        </is>
      </c>
      <c r="D1723" s="1" t="inlineStr">
        <is>
          <t>128638</t>
        </is>
      </c>
      <c r="E1723" s="1" t="inlineStr">
        <is>
          <t xml:space="preserve">32457099       </t>
        </is>
      </c>
      <c r="F1723" s="5" t="inlineStr">
        <is>
          <t>TMZ BEAST MACHINES MONSTER JAWS A FRICCION BLISTER</t>
        </is>
      </c>
      <c r="G1723" t="n">
        <v>1</v>
      </c>
      <c r="H1723" s="7" t="n">
        <v>17.9</v>
      </c>
      <c r="I1723" s="7" t="n">
        <v>0</v>
      </c>
      <c r="J1723" s="7" t="n">
        <v>0</v>
      </c>
      <c r="K1723" s="9" t="n">
        <v>0</v>
      </c>
      <c r="L1723" s="10" t="n">
        <v>10.62</v>
      </c>
      <c r="M1723" s="10" t="n">
        <v>1.43</v>
      </c>
      <c r="N1723" t="inlineStr">
        <is>
          <t>1</t>
        </is>
      </c>
      <c r="O1723" t="inlineStr">
        <is>
          <t>16</t>
        </is>
      </c>
      <c r="P1723" t="inlineStr">
        <is>
          <t xml:space="preserve">12097   </t>
        </is>
      </c>
      <c r="Q1723" s="26" t="n">
        <v>11.81</v>
      </c>
      <c r="R1723" s="26">
        <f>Q1723*G1723</f>
        <v/>
      </c>
      <c r="S1723" s="26">
        <f>IFERROR(VLOOKUP(E1723*1,Tabla[#All],8,0),0)</f>
        <v/>
      </c>
      <c r="T1723" s="26">
        <f>S1723*G1723</f>
        <v/>
      </c>
      <c r="U1723" s="26">
        <f>R1723-T1723</f>
        <v/>
      </c>
      <c r="V1723" s="26">
        <f>U1723-L1723</f>
        <v/>
      </c>
    </row>
    <row r="1724">
      <c r="A1724" s="11" t="n">
        <v>46221</v>
      </c>
      <c r="B1724" s="1" t="n">
        <v>20021</v>
      </c>
      <c r="C1724" s="1" t="inlineStr">
        <is>
          <t>082</t>
        </is>
      </c>
      <c r="D1724" s="1" t="inlineStr">
        <is>
          <t>270403</t>
        </is>
      </c>
      <c r="E1724" s="1" t="inlineStr">
        <is>
          <t xml:space="preserve">34840552       </t>
        </is>
      </c>
      <c r="F1724" s="5" t="inlineStr">
        <is>
          <t>TMZ HELI POLICIA CON LUCES Y SONIDOS</t>
        </is>
      </c>
      <c r="G1724" t="n">
        <v>1</v>
      </c>
      <c r="H1724" s="7" t="n">
        <v>79.90000000000001</v>
      </c>
      <c r="I1724" s="7" t="n">
        <v>0</v>
      </c>
      <c r="J1724" s="7" t="n">
        <v>0</v>
      </c>
      <c r="K1724" s="9" t="n">
        <v>0</v>
      </c>
      <c r="L1724" s="10" t="n">
        <v>47.4</v>
      </c>
      <c r="M1724" s="10" t="n">
        <v>1.43</v>
      </c>
      <c r="N1724" t="inlineStr">
        <is>
          <t>1</t>
        </is>
      </c>
      <c r="O1724" t="inlineStr">
        <is>
          <t>16</t>
        </is>
      </c>
      <c r="P1724" t="inlineStr">
        <is>
          <t xml:space="preserve">81066   </t>
        </is>
      </c>
      <c r="Q1724" s="26" t="n">
        <v>47.4</v>
      </c>
      <c r="R1724" s="26">
        <f>Q1724*G1724</f>
        <v/>
      </c>
      <c r="S1724" s="26">
        <f>IFERROR(VLOOKUP(E1724*1,Tabla[#All],8,0),0)</f>
        <v/>
      </c>
      <c r="T1724" s="26">
        <f>S1724*G1724</f>
        <v/>
      </c>
      <c r="U1724" s="26">
        <f>R1724-T1724</f>
        <v/>
      </c>
      <c r="V1724" s="26">
        <f>U1724-L1724</f>
        <v/>
      </c>
    </row>
    <row r="1725">
      <c r="A1725" s="11" t="n">
        <v>46221</v>
      </c>
      <c r="B1725" s="1" t="n">
        <v>20021</v>
      </c>
      <c r="C1725" s="1" t="inlineStr">
        <is>
          <t>082</t>
        </is>
      </c>
      <c r="D1725" s="1" t="inlineStr">
        <is>
          <t>270405</t>
        </is>
      </c>
      <c r="E1725" s="1" t="inlineStr">
        <is>
          <t xml:space="preserve">30141766       </t>
        </is>
      </c>
      <c r="F1725" s="5" t="inlineStr">
        <is>
          <t>TMZ BEAST MACHINES AUTOS DE METAL BLISTER X 1</t>
        </is>
      </c>
      <c r="G1725" t="n">
        <v>1</v>
      </c>
      <c r="H1725" s="7" t="n">
        <v>7.9</v>
      </c>
      <c r="I1725" s="7" t="n">
        <v>0</v>
      </c>
      <c r="J1725" s="7" t="n">
        <v>0</v>
      </c>
      <c r="K1725" s="9" t="n">
        <v>0</v>
      </c>
      <c r="L1725" s="10" t="n">
        <v>4.68</v>
      </c>
      <c r="M1725" s="10" t="n">
        <v>1.43</v>
      </c>
      <c r="N1725" t="inlineStr">
        <is>
          <t>1</t>
        </is>
      </c>
      <c r="O1725" t="inlineStr">
        <is>
          <t xml:space="preserve">6 </t>
        </is>
      </c>
      <c r="P1725" t="inlineStr">
        <is>
          <t xml:space="preserve">81066   </t>
        </is>
      </c>
      <c r="Q1725" s="26" t="n">
        <v>4.69</v>
      </c>
      <c r="R1725" s="26">
        <f>Q1725*G1725</f>
        <v/>
      </c>
      <c r="S1725" s="26">
        <f>IFERROR(VLOOKUP(E1725*1,Tabla[#All],8,0),0)</f>
        <v/>
      </c>
      <c r="T1725" s="26">
        <f>S1725*G1725</f>
        <v/>
      </c>
      <c r="U1725" s="26">
        <f>R1725-T1725</f>
        <v/>
      </c>
      <c r="V1725" s="26">
        <f>U1725-L1725</f>
        <v/>
      </c>
    </row>
    <row r="1726">
      <c r="A1726" s="11" t="n">
        <v>46221</v>
      </c>
      <c r="B1726" s="1" t="n">
        <v>20021</v>
      </c>
      <c r="C1726" s="1" t="inlineStr">
        <is>
          <t>082</t>
        </is>
      </c>
      <c r="D1726" s="1" t="inlineStr">
        <is>
          <t>270411</t>
        </is>
      </c>
      <c r="E1726" s="1" t="inlineStr">
        <is>
          <t xml:space="preserve">28194769       </t>
        </is>
      </c>
      <c r="F1726" s="5" t="inlineStr">
        <is>
          <t>AUTOS DE METAL 3 TEAMSTERZ PACK DE 2</t>
        </is>
      </c>
      <c r="G1726" t="n">
        <v>1</v>
      </c>
      <c r="H1726" s="7" t="n">
        <v>13.8</v>
      </c>
      <c r="I1726" s="7" t="n">
        <v>0</v>
      </c>
      <c r="J1726" s="7" t="n">
        <v>0</v>
      </c>
      <c r="K1726" s="9" t="n">
        <v>0</v>
      </c>
      <c r="L1726" s="10" t="n">
        <v>8.18</v>
      </c>
      <c r="M1726" s="10" t="n">
        <v>1.43</v>
      </c>
      <c r="N1726" t="inlineStr">
        <is>
          <t>1</t>
        </is>
      </c>
      <c r="O1726" t="inlineStr">
        <is>
          <t>16</t>
        </is>
      </c>
      <c r="P1726" t="inlineStr">
        <is>
          <t xml:space="preserve">246381  </t>
        </is>
      </c>
      <c r="Q1726" s="26" t="n">
        <v>8.19</v>
      </c>
      <c r="R1726" s="26">
        <f>Q1726*G1726</f>
        <v/>
      </c>
      <c r="S1726" s="26">
        <f>IFERROR(VLOOKUP(E1726*1,Tabla[#All],8,0),0)</f>
        <v/>
      </c>
      <c r="T1726" s="26">
        <f>S1726*G1726</f>
        <v/>
      </c>
      <c r="U1726" s="26">
        <f>R1726-T1726</f>
        <v/>
      </c>
      <c r="V1726" s="26">
        <f>U1726-L1726</f>
        <v/>
      </c>
    </row>
    <row r="1727">
      <c r="A1727" s="11" t="n">
        <v>46221</v>
      </c>
      <c r="B1727" s="1" t="n">
        <v>20021</v>
      </c>
      <c r="C1727" s="1" t="inlineStr">
        <is>
          <t>519</t>
        </is>
      </c>
      <c r="D1727" s="1" t="inlineStr">
        <is>
          <t xml:space="preserve">5618  </t>
        </is>
      </c>
      <c r="E1727" s="1" t="inlineStr">
        <is>
          <t xml:space="preserve">28194766       </t>
        </is>
      </c>
      <c r="F1727" s="5" t="inlineStr">
        <is>
          <t>CAMIONES TEAMSTERZ DE CIUDAD</t>
        </is>
      </c>
      <c r="G1727" t="n">
        <v>1</v>
      </c>
      <c r="H1727" s="7" t="n">
        <v>17.9</v>
      </c>
      <c r="I1727" s="7" t="n">
        <v>0</v>
      </c>
      <c r="J1727" s="7" t="n">
        <v>0</v>
      </c>
      <c r="K1727" s="9" t="n">
        <v>0</v>
      </c>
      <c r="L1727" s="10" t="n">
        <v>10.62</v>
      </c>
      <c r="M1727" s="10" t="n">
        <v>1.43</v>
      </c>
      <c r="N1727" t="inlineStr">
        <is>
          <t>1</t>
        </is>
      </c>
      <c r="O1727" t="inlineStr">
        <is>
          <t>16</t>
        </is>
      </c>
      <c r="P1727" t="inlineStr">
        <is>
          <t xml:space="preserve">231824  </t>
        </is>
      </c>
      <c r="Q1727" s="26" t="n">
        <v>10.62</v>
      </c>
      <c r="R1727" s="26">
        <f>Q1727*G1727</f>
        <v/>
      </c>
      <c r="S1727" s="26">
        <f>IFERROR(VLOOKUP(E1727*1,Tabla[#All],8,0),0)</f>
        <v/>
      </c>
      <c r="T1727" s="26">
        <f>S1727*G1727</f>
        <v/>
      </c>
      <c r="U1727" s="26">
        <f>R1727-T1727</f>
        <v/>
      </c>
      <c r="V1727" s="26">
        <f>U1727-L1727</f>
        <v/>
      </c>
    </row>
    <row r="1728">
      <c r="A1728" s="11" t="n">
        <v>46221</v>
      </c>
      <c r="B1728" s="1" t="n">
        <v>20023</v>
      </c>
      <c r="C1728" s="1" t="inlineStr">
        <is>
          <t>079</t>
        </is>
      </c>
      <c r="D1728" s="1" t="inlineStr">
        <is>
          <t>289657</t>
        </is>
      </c>
      <c r="E1728" s="1" t="inlineStr">
        <is>
          <t xml:space="preserve">28194765       </t>
        </is>
      </c>
      <c r="F1728" s="5" t="inlineStr">
        <is>
          <t>PLAYSET COLOR CHANGE TIBURN TEAMSTERZ  1 AUTITO</t>
        </is>
      </c>
      <c r="G1728" t="n">
        <v>1</v>
      </c>
      <c r="H1728" s="7" t="n">
        <v>79.90000000000001</v>
      </c>
      <c r="I1728" s="7" t="n">
        <v>0</v>
      </c>
      <c r="J1728" s="7" t="n">
        <v>0</v>
      </c>
      <c r="K1728" s="9" t="n">
        <v>0</v>
      </c>
      <c r="L1728" s="10" t="n">
        <v>47.4</v>
      </c>
      <c r="M1728" s="10" t="n">
        <v>1.43</v>
      </c>
      <c r="N1728" t="inlineStr">
        <is>
          <t>1</t>
        </is>
      </c>
      <c r="O1728" t="inlineStr">
        <is>
          <t>16</t>
        </is>
      </c>
      <c r="P1728" t="inlineStr">
        <is>
          <t xml:space="preserve">51756   </t>
        </is>
      </c>
      <c r="Q1728" s="26" t="n">
        <v>47.4</v>
      </c>
      <c r="R1728" s="26">
        <f>Q1728*G1728</f>
        <v/>
      </c>
      <c r="S1728" s="26">
        <f>IFERROR(VLOOKUP(E1728*1,Tabla[#All],8,0),0)</f>
        <v/>
      </c>
      <c r="T1728" s="26">
        <f>S1728*G1728</f>
        <v/>
      </c>
      <c r="U1728" s="26">
        <f>R1728-T1728</f>
        <v/>
      </c>
      <c r="V1728" s="26">
        <f>U1728-L1728</f>
        <v/>
      </c>
    </row>
    <row r="1729">
      <c r="A1729" s="11" t="n">
        <v>46221</v>
      </c>
      <c r="B1729" s="1" t="n">
        <v>20023</v>
      </c>
      <c r="C1729" s="1" t="inlineStr">
        <is>
          <t>079</t>
        </is>
      </c>
      <c r="D1729" s="1" t="inlineStr">
        <is>
          <t>289676</t>
        </is>
      </c>
      <c r="E1729" s="1" t="inlineStr">
        <is>
          <t xml:space="preserve">28194768       </t>
        </is>
      </c>
      <c r="F1729" s="5" t="inlineStr">
        <is>
          <t>AUTO COLOR CHANGE TEAMSTERZ SURTIDO</t>
        </is>
      </c>
      <c r="G1729" t="n">
        <v>1</v>
      </c>
      <c r="H1729" s="7" t="n">
        <v>14.9</v>
      </c>
      <c r="I1729" s="7" t="n">
        <v>0</v>
      </c>
      <c r="J1729" s="7" t="n">
        <v>0</v>
      </c>
      <c r="K1729" s="9" t="n">
        <v>0</v>
      </c>
      <c r="L1729" s="10" t="n">
        <v>8.84</v>
      </c>
      <c r="M1729" s="10" t="n">
        <v>1.43</v>
      </c>
      <c r="N1729" t="inlineStr">
        <is>
          <t>1</t>
        </is>
      </c>
      <c r="O1729" t="inlineStr">
        <is>
          <t>16</t>
        </is>
      </c>
      <c r="P1729" t="inlineStr">
        <is>
          <t xml:space="preserve">51756   </t>
        </is>
      </c>
      <c r="Q1729" s="26" t="n">
        <v>8.84</v>
      </c>
      <c r="R1729" s="26">
        <f>Q1729*G1729</f>
        <v/>
      </c>
      <c r="S1729" s="26">
        <f>IFERROR(VLOOKUP(E1729*1,Tabla[#All],8,0),0)</f>
        <v/>
      </c>
      <c r="T1729" s="26">
        <f>S1729*G1729</f>
        <v/>
      </c>
      <c r="U1729" s="26">
        <f>R1729-T1729</f>
        <v/>
      </c>
      <c r="V1729" s="26">
        <f>U1729-L1729</f>
        <v/>
      </c>
    </row>
    <row r="1730">
      <c r="A1730" s="11" t="n">
        <v>46221</v>
      </c>
      <c r="B1730" s="1" t="n">
        <v>20023</v>
      </c>
      <c r="C1730" s="1" t="inlineStr">
        <is>
          <t>079</t>
        </is>
      </c>
      <c r="D1730" s="1" t="inlineStr">
        <is>
          <t>289676</t>
        </is>
      </c>
      <c r="E1730" s="1" t="inlineStr">
        <is>
          <t xml:space="preserve">28194768       </t>
        </is>
      </c>
      <c r="F1730" s="5" t="inlineStr">
        <is>
          <t>AUTO COLOR CHANGE TEAMSTERZ SURTIDO</t>
        </is>
      </c>
      <c r="G1730" t="n">
        <v>1</v>
      </c>
      <c r="H1730" s="7" t="n">
        <v>14.9</v>
      </c>
      <c r="I1730" s="7" t="n">
        <v>0</v>
      </c>
      <c r="J1730" s="7" t="n">
        <v>0</v>
      </c>
      <c r="K1730" s="9" t="n">
        <v>0</v>
      </c>
      <c r="L1730" s="10" t="n">
        <v>8.84</v>
      </c>
      <c r="M1730" s="10" t="n">
        <v>1.43</v>
      </c>
      <c r="N1730" t="inlineStr">
        <is>
          <t>1</t>
        </is>
      </c>
      <c r="O1730" t="inlineStr">
        <is>
          <t>16</t>
        </is>
      </c>
      <c r="P1730" t="inlineStr">
        <is>
          <t xml:space="preserve">51756   </t>
        </is>
      </c>
      <c r="Q1730" s="26" t="n">
        <v>8.84</v>
      </c>
      <c r="R1730" s="26">
        <f>Q1730*G1730</f>
        <v/>
      </c>
      <c r="S1730" s="26">
        <f>IFERROR(VLOOKUP(E1730*1,Tabla[#All],8,0),0)</f>
        <v/>
      </c>
      <c r="T1730" s="26">
        <f>S1730*G1730</f>
        <v/>
      </c>
      <c r="U1730" s="26">
        <f>R1730-T1730</f>
        <v/>
      </c>
      <c r="V1730" s="26">
        <f>U1730-L1730</f>
        <v/>
      </c>
    </row>
    <row r="1731">
      <c r="A1731" s="11" t="n">
        <v>46221</v>
      </c>
      <c r="B1731" s="1" t="n">
        <v>20023</v>
      </c>
      <c r="C1731" s="1" t="inlineStr">
        <is>
          <t>191</t>
        </is>
      </c>
      <c r="D1731" s="1" t="inlineStr">
        <is>
          <t xml:space="preserve">7510  </t>
        </is>
      </c>
      <c r="E1731" s="1" t="inlineStr">
        <is>
          <t xml:space="preserve">30232283       </t>
        </is>
      </c>
      <c r="F1731" s="5" t="inlineStr">
        <is>
          <t>INFINITY NADO PACK DE 2 TROMPOS DE BATALLA METAL</t>
        </is>
      </c>
      <c r="G1731" t="n">
        <v>1</v>
      </c>
      <c r="H1731" s="7" t="n">
        <v>59.9</v>
      </c>
      <c r="I1731" s="7" t="n">
        <v>0</v>
      </c>
      <c r="J1731" s="7" t="n">
        <v>0</v>
      </c>
      <c r="K1731" s="9" t="n">
        <v>0</v>
      </c>
      <c r="L1731" s="10" t="n">
        <v>35.53</v>
      </c>
      <c r="M1731" s="10" t="n">
        <v>1.43</v>
      </c>
      <c r="N1731" t="inlineStr">
        <is>
          <t>1</t>
        </is>
      </c>
      <c r="O1731" t="inlineStr">
        <is>
          <t>16</t>
        </is>
      </c>
      <c r="P1731" t="inlineStr">
        <is>
          <t xml:space="preserve">22413   </t>
        </is>
      </c>
      <c r="Q1731" s="26" t="n">
        <v>47.4</v>
      </c>
      <c r="R1731" s="26">
        <f>Q1731*G1731</f>
        <v/>
      </c>
      <c r="S1731" s="26">
        <f>IFERROR(VLOOKUP(E1731*1,Tabla[#All],8,0),0)</f>
        <v/>
      </c>
      <c r="T1731" s="26">
        <f>S1731*G1731</f>
        <v/>
      </c>
      <c r="U1731" s="26">
        <f>R1731-T1731</f>
        <v/>
      </c>
      <c r="V1731" s="26">
        <f>U1731-L1731</f>
        <v/>
      </c>
    </row>
    <row r="1732">
      <c r="A1732" s="11" t="n">
        <v>46221</v>
      </c>
      <c r="B1732" s="1" t="n">
        <v>20023</v>
      </c>
      <c r="C1732" s="1" t="inlineStr">
        <is>
          <t>191</t>
        </is>
      </c>
      <c r="D1732" s="1" t="inlineStr">
        <is>
          <t xml:space="preserve">7541  </t>
        </is>
      </c>
      <c r="E1732" s="1" t="inlineStr">
        <is>
          <t xml:space="preserve">28194769       </t>
        </is>
      </c>
      <c r="F1732" s="5" t="inlineStr">
        <is>
          <t>AUTOS DE METAL 3 TEAMSTERZ PACK DE 2</t>
        </is>
      </c>
      <c r="G1732" t="n">
        <v>1</v>
      </c>
      <c r="H1732" s="7" t="n">
        <v>13.8</v>
      </c>
      <c r="I1732" s="7" t="n">
        <v>0</v>
      </c>
      <c r="J1732" s="7" t="n">
        <v>0</v>
      </c>
      <c r="K1732" s="9" t="n">
        <v>0</v>
      </c>
      <c r="L1732" s="10" t="n">
        <v>8.18</v>
      </c>
      <c r="M1732" s="10" t="n">
        <v>1.43</v>
      </c>
      <c r="N1732" t="inlineStr">
        <is>
          <t>1</t>
        </is>
      </c>
      <c r="O1732" t="inlineStr">
        <is>
          <t xml:space="preserve">2 </t>
        </is>
      </c>
      <c r="P1732" t="inlineStr">
        <is>
          <t xml:space="preserve">22413   </t>
        </is>
      </c>
      <c r="Q1732" s="26" t="n">
        <v>8.19</v>
      </c>
      <c r="R1732" s="26">
        <f>Q1732*G1732</f>
        <v/>
      </c>
      <c r="S1732" s="26">
        <f>IFERROR(VLOOKUP(E1732*1,Tabla[#All],8,0),0)</f>
        <v/>
      </c>
      <c r="T1732" s="26">
        <f>S1732*G1732</f>
        <v/>
      </c>
      <c r="U1732" s="26">
        <f>R1732-T1732</f>
        <v/>
      </c>
      <c r="V1732" s="26">
        <f>U1732-L1732</f>
        <v/>
      </c>
    </row>
    <row r="1733">
      <c r="A1733" s="11" t="n">
        <v>46221</v>
      </c>
      <c r="B1733" s="1" t="n">
        <v>20024</v>
      </c>
      <c r="C1733" s="1" t="inlineStr">
        <is>
          <t>015</t>
        </is>
      </c>
      <c r="D1733" s="1" t="inlineStr">
        <is>
          <t xml:space="preserve">18837 </t>
        </is>
      </c>
      <c r="E1733" s="1" t="inlineStr">
        <is>
          <t xml:space="preserve">33483120       </t>
        </is>
      </c>
      <c r="F1733" s="5" t="inlineStr">
        <is>
          <t>HOT WHEELS 2 EN 1 AUTO DE CARRERAS + GUARDA AUTOS</t>
        </is>
      </c>
      <c r="G1733" t="n">
        <v>1</v>
      </c>
      <c r="H1733" s="7" t="n">
        <v>79.90000000000001</v>
      </c>
      <c r="I1733" s="7" t="n">
        <v>0</v>
      </c>
      <c r="J1733" s="7" t="n">
        <v>0</v>
      </c>
      <c r="K1733" s="9" t="n">
        <v>0</v>
      </c>
      <c r="L1733" s="10" t="n">
        <v>47.4</v>
      </c>
      <c r="M1733" s="10" t="n">
        <v>1.43</v>
      </c>
      <c r="N1733" t="inlineStr">
        <is>
          <t>1</t>
        </is>
      </c>
      <c r="O1733" t="inlineStr">
        <is>
          <t>16</t>
        </is>
      </c>
      <c r="P1733" t="inlineStr">
        <is>
          <t xml:space="preserve">58016   </t>
        </is>
      </c>
      <c r="Q1733" s="26" t="n">
        <v>47.4</v>
      </c>
      <c r="R1733" s="26">
        <f>Q1733*G1733</f>
        <v/>
      </c>
      <c r="S1733" s="26">
        <f>IFERROR(VLOOKUP(E1733*1,Tabla[#All],8,0),0)</f>
        <v/>
      </c>
      <c r="T1733" s="26">
        <f>S1733*G1733</f>
        <v/>
      </c>
      <c r="U1733" s="26">
        <f>R1733-T1733</f>
        <v/>
      </c>
      <c r="V1733" s="26">
        <f>U1733-L1733</f>
        <v/>
      </c>
    </row>
    <row r="1734">
      <c r="A1734" s="11" t="n">
        <v>46221</v>
      </c>
      <c r="B1734" s="1" t="n">
        <v>20024</v>
      </c>
      <c r="C1734" s="1" t="inlineStr">
        <is>
          <t>015</t>
        </is>
      </c>
      <c r="D1734" s="1" t="inlineStr">
        <is>
          <t xml:space="preserve">18884 </t>
        </is>
      </c>
      <c r="E1734" s="1" t="inlineStr">
        <is>
          <t xml:space="preserve">29235706       </t>
        </is>
      </c>
      <c r="F1734" s="5" t="inlineStr">
        <is>
          <t>TEAMSTERZ CAMION PARA GUARDAR 12 AUTOS INCL 4 AUTO</t>
        </is>
      </c>
      <c r="G1734" t="n">
        <v>1</v>
      </c>
      <c r="H1734" s="7" t="n">
        <v>59.9</v>
      </c>
      <c r="I1734" s="7" t="n">
        <v>0</v>
      </c>
      <c r="J1734" s="7" t="n">
        <v>0</v>
      </c>
      <c r="K1734" s="9" t="n">
        <v>0</v>
      </c>
      <c r="L1734" s="10" t="n">
        <v>35.53</v>
      </c>
      <c r="M1734" s="10" t="n">
        <v>1.43</v>
      </c>
      <c r="N1734" t="inlineStr">
        <is>
          <t>1</t>
        </is>
      </c>
      <c r="O1734" t="inlineStr">
        <is>
          <t>16</t>
        </is>
      </c>
      <c r="P1734" t="inlineStr">
        <is>
          <t xml:space="preserve">58016   </t>
        </is>
      </c>
      <c r="Q1734" s="26" t="n">
        <v>35.53</v>
      </c>
      <c r="R1734" s="26">
        <f>Q1734*G1734</f>
        <v/>
      </c>
      <c r="S1734" s="26">
        <f>IFERROR(VLOOKUP(E1734*1,Tabla[#All],8,0),0)</f>
        <v/>
      </c>
      <c r="T1734" s="26">
        <f>S1734*G1734</f>
        <v/>
      </c>
      <c r="U1734" s="26">
        <f>R1734-T1734</f>
        <v/>
      </c>
      <c r="V1734" s="26">
        <f>U1734-L1734</f>
        <v/>
      </c>
    </row>
    <row r="1735">
      <c r="A1735" s="11" t="n">
        <v>46221</v>
      </c>
      <c r="B1735" s="1" t="n">
        <v>20024</v>
      </c>
      <c r="C1735" s="1" t="inlineStr">
        <is>
          <t>020</t>
        </is>
      </c>
      <c r="D1735" s="1" t="inlineStr">
        <is>
          <t>254482</t>
        </is>
      </c>
      <c r="E1735" s="1" t="inlineStr">
        <is>
          <t xml:space="preserve">31959956       </t>
        </is>
      </c>
      <c r="F1735" s="5" t="inlineStr">
        <is>
          <t>TEAMSTERZ CAMION TRANSPORTA ANIMALES SURTIDO</t>
        </is>
      </c>
      <c r="G1735" t="n">
        <v>1</v>
      </c>
      <c r="H1735" s="7" t="n">
        <v>17.9</v>
      </c>
      <c r="I1735" s="7" t="n">
        <v>1.79</v>
      </c>
      <c r="J1735" s="7" t="n">
        <v>0</v>
      </c>
      <c r="K1735" s="9" t="n">
        <v>1.79</v>
      </c>
      <c r="L1735" s="10" t="n">
        <v>9.56</v>
      </c>
      <c r="M1735" s="10" t="n">
        <v>1.43</v>
      </c>
      <c r="N1735" t="inlineStr">
        <is>
          <t>1</t>
        </is>
      </c>
      <c r="O1735" t="inlineStr">
        <is>
          <t xml:space="preserve">3 </t>
        </is>
      </c>
      <c r="P1735" t="inlineStr">
        <is>
          <t xml:space="preserve">23463   </t>
        </is>
      </c>
      <c r="Q1735" s="26" t="n">
        <v>10.62</v>
      </c>
      <c r="R1735" s="26">
        <f>Q1735*G1735</f>
        <v/>
      </c>
      <c r="S1735" s="26">
        <f>IFERROR(VLOOKUP(E1735*1,Tabla[#All],8,0),0)</f>
        <v/>
      </c>
      <c r="T1735" s="26">
        <f>S1735*G1735</f>
        <v/>
      </c>
      <c r="U1735" s="26">
        <f>R1735-T1735</f>
        <v/>
      </c>
      <c r="V1735" s="26">
        <f>U1735-L1735</f>
        <v/>
      </c>
    </row>
    <row r="1736">
      <c r="A1736" s="11" t="n">
        <v>46221</v>
      </c>
      <c r="B1736" s="1" t="n">
        <v>20024</v>
      </c>
      <c r="C1736" s="1" t="inlineStr">
        <is>
          <t>021</t>
        </is>
      </c>
      <c r="D1736" s="1" t="inlineStr">
        <is>
          <t>215672</t>
        </is>
      </c>
      <c r="E1736" s="1" t="inlineStr">
        <is>
          <t xml:space="preserve">30141766       </t>
        </is>
      </c>
      <c r="F1736" s="5" t="inlineStr">
        <is>
          <t>TMZ BEAST MACHINES AUTOS DE METAL BLISTER X 1</t>
        </is>
      </c>
      <c r="G1736" t="n">
        <v>1</v>
      </c>
      <c r="H1736" s="7" t="n">
        <v>7.9</v>
      </c>
      <c r="I1736" s="7" t="n">
        <v>0</v>
      </c>
      <c r="J1736" s="7" t="n">
        <v>0</v>
      </c>
      <c r="K1736" s="9" t="n">
        <v>0</v>
      </c>
      <c r="L1736" s="10" t="n">
        <v>4.68</v>
      </c>
      <c r="M1736" s="10" t="n">
        <v>1.43</v>
      </c>
      <c r="N1736" t="inlineStr">
        <is>
          <t>1</t>
        </is>
      </c>
      <c r="O1736" t="inlineStr">
        <is>
          <t>16</t>
        </is>
      </c>
      <c r="P1736" t="inlineStr">
        <is>
          <t xml:space="preserve">71372   </t>
        </is>
      </c>
      <c r="Q1736" s="26" t="n">
        <v>4.69</v>
      </c>
      <c r="R1736" s="26">
        <f>Q1736*G1736</f>
        <v/>
      </c>
      <c r="S1736" s="26">
        <f>IFERROR(VLOOKUP(E1736*1,Tabla[#All],8,0),0)</f>
        <v/>
      </c>
      <c r="T1736" s="26">
        <f>S1736*G1736</f>
        <v/>
      </c>
      <c r="U1736" s="26">
        <f>R1736-T1736</f>
        <v/>
      </c>
      <c r="V1736" s="26">
        <f>U1736-L1736</f>
        <v/>
      </c>
    </row>
    <row r="1737">
      <c r="A1737" s="11" t="n">
        <v>46221</v>
      </c>
      <c r="B1737" s="1" t="n">
        <v>20024</v>
      </c>
      <c r="C1737" s="1" t="inlineStr">
        <is>
          <t>807</t>
        </is>
      </c>
      <c r="D1737" s="1" t="inlineStr">
        <is>
          <t xml:space="preserve">4566  </t>
        </is>
      </c>
      <c r="E1737" s="1" t="inlineStr">
        <is>
          <t xml:space="preserve">34840550       </t>
        </is>
      </c>
      <c r="F1737" s="5" t="inlineStr">
        <is>
          <t>TEAMSTERZ M/MOVERZ TRANSPORTA GORILA</t>
        </is>
      </c>
      <c r="G1737" t="n">
        <v>1</v>
      </c>
      <c r="H1737" s="7" t="n">
        <v>129</v>
      </c>
      <c r="I1737" s="7" t="n">
        <v>0</v>
      </c>
      <c r="J1737" s="7" t="n">
        <v>0</v>
      </c>
      <c r="K1737" s="9" t="n">
        <v>0</v>
      </c>
      <c r="L1737" s="10" t="n">
        <v>76.52</v>
      </c>
      <c r="M1737" s="10" t="n">
        <v>1.43</v>
      </c>
      <c r="N1737" t="inlineStr">
        <is>
          <t>1</t>
        </is>
      </c>
      <c r="O1737" t="inlineStr">
        <is>
          <t>16</t>
        </is>
      </c>
      <c r="P1737" t="inlineStr">
        <is>
          <t xml:space="preserve">0       </t>
        </is>
      </c>
      <c r="Q1737" s="26" t="n">
        <v>76.53</v>
      </c>
      <c r="R1737" s="26">
        <f>Q1737*G1737</f>
        <v/>
      </c>
      <c r="S1737" s="26">
        <f>IFERROR(VLOOKUP(E1737*1,Tabla[#All],8,0),0)</f>
        <v/>
      </c>
      <c r="T1737" s="26">
        <f>S1737*G1737</f>
        <v/>
      </c>
      <c r="U1737" s="26">
        <f>R1737-T1737</f>
        <v/>
      </c>
      <c r="V1737" s="26">
        <f>U1737-L1737</f>
        <v/>
      </c>
    </row>
    <row r="1738">
      <c r="A1738" s="11" t="n">
        <v>46221</v>
      </c>
      <c r="B1738" s="1" t="n">
        <v>20024</v>
      </c>
      <c r="C1738" s="1" t="inlineStr">
        <is>
          <t>807</t>
        </is>
      </c>
      <c r="D1738" s="1" t="inlineStr">
        <is>
          <t xml:space="preserve">4605  </t>
        </is>
      </c>
      <c r="E1738" s="1" t="inlineStr">
        <is>
          <t xml:space="preserve">28194769       </t>
        </is>
      </c>
      <c r="F1738" s="5" t="inlineStr">
        <is>
          <t>AUTOS DE METAL 3 TEAMSTERZ PACK DE 2</t>
        </is>
      </c>
      <c r="G1738" t="n">
        <v>1</v>
      </c>
      <c r="H1738" s="7" t="n">
        <v>13.8</v>
      </c>
      <c r="I1738" s="7" t="n">
        <v>0</v>
      </c>
      <c r="J1738" s="7" t="n">
        <v>0</v>
      </c>
      <c r="K1738" s="9" t="n">
        <v>0</v>
      </c>
      <c r="L1738" s="10" t="n">
        <v>8.18</v>
      </c>
      <c r="M1738" s="10" t="n">
        <v>1.43</v>
      </c>
      <c r="N1738" t="inlineStr">
        <is>
          <t>1</t>
        </is>
      </c>
      <c r="O1738" t="inlineStr">
        <is>
          <t>16</t>
        </is>
      </c>
      <c r="P1738" t="inlineStr">
        <is>
          <t xml:space="preserve">0       </t>
        </is>
      </c>
      <c r="Q1738" s="26" t="n">
        <v>8.19</v>
      </c>
      <c r="R1738" s="26">
        <f>Q1738*G1738</f>
        <v/>
      </c>
      <c r="S1738" s="26">
        <f>IFERROR(VLOOKUP(E1738*1,Tabla[#All],8,0),0)</f>
        <v/>
      </c>
      <c r="T1738" s="26">
        <f>S1738*G1738</f>
        <v/>
      </c>
      <c r="U1738" s="26">
        <f>R1738-T1738</f>
        <v/>
      </c>
      <c r="V1738" s="26">
        <f>U1738-L1738</f>
        <v/>
      </c>
    </row>
    <row r="1739">
      <c r="A1739" s="11" t="n">
        <v>46221</v>
      </c>
      <c r="B1739" s="1" t="n">
        <v>20028</v>
      </c>
      <c r="C1739" s="1" t="inlineStr">
        <is>
          <t>011</t>
        </is>
      </c>
      <c r="D1739" s="1" t="inlineStr">
        <is>
          <t xml:space="preserve">33789 </t>
        </is>
      </c>
      <c r="E1739" s="1" t="inlineStr">
        <is>
          <t xml:space="preserve">28194780       </t>
        </is>
      </c>
      <c r="F1739" s="5" t="inlineStr">
        <is>
          <t>TROMPO BATALLA INFINITY NADO PLSTICO SURTIDO</t>
        </is>
      </c>
      <c r="G1739" t="n">
        <v>1</v>
      </c>
      <c r="H1739" s="7" t="n">
        <v>19.9</v>
      </c>
      <c r="I1739" s="7" t="n">
        <v>0</v>
      </c>
      <c r="J1739" s="7" t="n">
        <v>0</v>
      </c>
      <c r="K1739" s="9" t="n">
        <v>0</v>
      </c>
      <c r="L1739" s="10" t="n">
        <v>11.8</v>
      </c>
      <c r="M1739" s="10" t="n">
        <v>1.43</v>
      </c>
      <c r="N1739" t="inlineStr">
        <is>
          <t>1</t>
        </is>
      </c>
      <c r="O1739" t="inlineStr">
        <is>
          <t>16</t>
        </is>
      </c>
      <c r="P1739" t="inlineStr">
        <is>
          <t xml:space="preserve">23741   </t>
        </is>
      </c>
      <c r="Q1739" s="26" t="n">
        <v>11.81</v>
      </c>
      <c r="R1739" s="26">
        <f>Q1739*G1739</f>
        <v/>
      </c>
      <c r="S1739" s="26">
        <f>IFERROR(VLOOKUP(E1739*1,Tabla[#All],8,0),0)</f>
        <v/>
      </c>
      <c r="T1739" s="26">
        <f>S1739*G1739</f>
        <v/>
      </c>
      <c r="U1739" s="26">
        <f>R1739-T1739</f>
        <v/>
      </c>
      <c r="V1739" s="26">
        <f>U1739-L1739</f>
        <v/>
      </c>
    </row>
    <row r="1740">
      <c r="A1740" s="11" t="n">
        <v>46221</v>
      </c>
      <c r="B1740" s="1" t="n">
        <v>20028</v>
      </c>
      <c r="C1740" s="1" t="inlineStr">
        <is>
          <t>011</t>
        </is>
      </c>
      <c r="D1740" s="1" t="inlineStr">
        <is>
          <t xml:space="preserve">33789 </t>
        </is>
      </c>
      <c r="E1740" s="1" t="inlineStr">
        <is>
          <t xml:space="preserve">28194780       </t>
        </is>
      </c>
      <c r="F1740" s="5" t="inlineStr">
        <is>
          <t>TROMPO BATALLA INFINITY NADO PLSTICO SURTIDO</t>
        </is>
      </c>
      <c r="G1740" t="n">
        <v>1</v>
      </c>
      <c r="H1740" s="7" t="n">
        <v>19.9</v>
      </c>
      <c r="I1740" s="7" t="n">
        <v>0</v>
      </c>
      <c r="J1740" s="7" t="n">
        <v>0</v>
      </c>
      <c r="K1740" s="9" t="n">
        <v>0</v>
      </c>
      <c r="L1740" s="10" t="n">
        <v>11.8</v>
      </c>
      <c r="M1740" s="10" t="n">
        <v>1.43</v>
      </c>
      <c r="N1740" t="inlineStr">
        <is>
          <t>1</t>
        </is>
      </c>
      <c r="O1740" t="inlineStr">
        <is>
          <t>16</t>
        </is>
      </c>
      <c r="P1740" t="inlineStr">
        <is>
          <t xml:space="preserve">23741   </t>
        </is>
      </c>
      <c r="Q1740" s="26" t="n">
        <v>11.81</v>
      </c>
      <c r="R1740" s="26">
        <f>Q1740*G1740</f>
        <v/>
      </c>
      <c r="S1740" s="26">
        <f>IFERROR(VLOOKUP(E1740*1,Tabla[#All],8,0),0)</f>
        <v/>
      </c>
      <c r="T1740" s="26">
        <f>S1740*G1740</f>
        <v/>
      </c>
      <c r="U1740" s="26">
        <f>R1740-T1740</f>
        <v/>
      </c>
      <c r="V1740" s="26">
        <f>U1740-L1740</f>
        <v/>
      </c>
    </row>
    <row r="1741">
      <c r="A1741" s="11" t="n">
        <v>46221</v>
      </c>
      <c r="B1741" s="1" t="n">
        <v>20028</v>
      </c>
      <c r="C1741" s="1" t="inlineStr">
        <is>
          <t>019</t>
        </is>
      </c>
      <c r="D1741" s="1" t="inlineStr">
        <is>
          <t>114703</t>
        </is>
      </c>
      <c r="E1741" s="1" t="inlineStr">
        <is>
          <t xml:space="preserve">29773844       </t>
        </is>
      </c>
      <c r="F1741" s="5" t="inlineStr">
        <is>
          <t>INFINITY NADO MALETIN DE TROMPO DE BATALLA DE META</t>
        </is>
      </c>
      <c r="G1741" t="n">
        <v>1</v>
      </c>
      <c r="H1741" s="7" t="n">
        <v>79.90000000000001</v>
      </c>
      <c r="I1741" s="7" t="n">
        <v>0</v>
      </c>
      <c r="J1741" s="7" t="n">
        <v>0</v>
      </c>
      <c r="K1741" s="9" t="n">
        <v>0</v>
      </c>
      <c r="L1741" s="10" t="n">
        <v>47.4</v>
      </c>
      <c r="M1741" s="10" t="n">
        <v>1.43</v>
      </c>
      <c r="N1741" t="inlineStr">
        <is>
          <t>1</t>
        </is>
      </c>
      <c r="O1741" t="inlineStr">
        <is>
          <t xml:space="preserve">2 </t>
        </is>
      </c>
      <c r="P1741" t="inlineStr">
        <is>
          <t xml:space="preserve">29476   </t>
        </is>
      </c>
      <c r="Q1741" s="26" t="n">
        <v>58.73</v>
      </c>
      <c r="R1741" s="26">
        <f>Q1741*G1741</f>
        <v/>
      </c>
      <c r="S1741" s="26">
        <f>IFERROR(VLOOKUP(E1741*1,Tabla[#All],8,0),0)</f>
        <v/>
      </c>
      <c r="T1741" s="26">
        <f>S1741*G1741</f>
        <v/>
      </c>
      <c r="U1741" s="26">
        <f>R1741-T1741</f>
        <v/>
      </c>
      <c r="V1741" s="26">
        <f>U1741-L1741</f>
        <v/>
      </c>
    </row>
    <row r="1742">
      <c r="A1742" s="11" t="n">
        <v>46221</v>
      </c>
      <c r="B1742" s="1" t="n">
        <v>20028</v>
      </c>
      <c r="C1742" s="1" t="inlineStr">
        <is>
          <t>140</t>
        </is>
      </c>
      <c r="D1742" s="1" t="inlineStr">
        <is>
          <t>225326</t>
        </is>
      </c>
      <c r="E1742" s="1" t="inlineStr">
        <is>
          <t xml:space="preserve">32656523       </t>
        </is>
      </c>
      <c r="F1742" s="5" t="inlineStr">
        <is>
          <t>TMZ BEAST MACHINES TRANSPORT. T-REX ELECTR. + ACCE</t>
        </is>
      </c>
      <c r="G1742" t="n">
        <v>1</v>
      </c>
      <c r="H1742" s="7" t="n">
        <v>179</v>
      </c>
      <c r="I1742" s="7" t="n">
        <v>0</v>
      </c>
      <c r="J1742" s="7" t="n">
        <v>0</v>
      </c>
      <c r="K1742" s="9" t="n">
        <v>0</v>
      </c>
      <c r="L1742" s="10" t="n">
        <v>106.18</v>
      </c>
      <c r="M1742" s="10" t="n">
        <v>1.43</v>
      </c>
      <c r="N1742" t="inlineStr">
        <is>
          <t>1</t>
        </is>
      </c>
      <c r="O1742" t="inlineStr">
        <is>
          <t>16</t>
        </is>
      </c>
      <c r="P1742" t="inlineStr">
        <is>
          <t xml:space="preserve">33914   </t>
        </is>
      </c>
      <c r="Q1742" s="26" t="n">
        <v>106.19</v>
      </c>
      <c r="R1742" s="26">
        <f>Q1742*G1742</f>
        <v/>
      </c>
      <c r="S1742" s="26">
        <f>IFERROR(VLOOKUP(E1742*1,Tabla[#All],8,0),0)</f>
        <v/>
      </c>
      <c r="T1742" s="26">
        <f>S1742*G1742</f>
        <v/>
      </c>
      <c r="U1742" s="26">
        <f>R1742-T1742</f>
        <v/>
      </c>
      <c r="V1742" s="26">
        <f>U1742-L1742</f>
        <v/>
      </c>
    </row>
    <row r="1743">
      <c r="A1743" s="11" t="n">
        <v>46221</v>
      </c>
      <c r="B1743" s="1" t="n">
        <v>20030</v>
      </c>
      <c r="C1743" s="1" t="inlineStr">
        <is>
          <t>067</t>
        </is>
      </c>
      <c r="D1743" s="1" t="inlineStr">
        <is>
          <t>274518</t>
        </is>
      </c>
      <c r="E1743" s="1" t="inlineStr">
        <is>
          <t xml:space="preserve">29854051       </t>
        </is>
      </c>
      <c r="F1743" s="5" t="inlineStr">
        <is>
          <t>TEAMSTERZ AUTO DE METAL PACK 10 AUTOS</t>
        </is>
      </c>
      <c r="G1743" t="n">
        <v>1</v>
      </c>
      <c r="H1743" s="7" t="n">
        <v>69</v>
      </c>
      <c r="I1743" s="7" t="n">
        <v>0</v>
      </c>
      <c r="J1743" s="7" t="n">
        <v>0</v>
      </c>
      <c r="K1743" s="9" t="n">
        <v>0</v>
      </c>
      <c r="L1743" s="10" t="n">
        <v>40.93</v>
      </c>
      <c r="M1743" s="10" t="n">
        <v>1.43</v>
      </c>
      <c r="N1743" t="inlineStr">
        <is>
          <t>1</t>
        </is>
      </c>
      <c r="O1743" t="inlineStr">
        <is>
          <t>16</t>
        </is>
      </c>
      <c r="P1743" t="inlineStr">
        <is>
          <t xml:space="preserve">50377   </t>
        </is>
      </c>
      <c r="Q1743" s="26" t="n">
        <v>40.93</v>
      </c>
      <c r="R1743" s="26">
        <f>Q1743*G1743</f>
        <v/>
      </c>
      <c r="S1743" s="26">
        <f>IFERROR(VLOOKUP(E1743*1,Tabla[#All],8,0),0)</f>
        <v/>
      </c>
      <c r="T1743" s="26">
        <f>S1743*G1743</f>
        <v/>
      </c>
      <c r="U1743" s="26">
        <f>R1743-T1743</f>
        <v/>
      </c>
      <c r="V1743" s="26">
        <f>U1743-L1743</f>
        <v/>
      </c>
    </row>
    <row r="1744">
      <c r="A1744" s="11" t="n">
        <v>46221</v>
      </c>
      <c r="B1744" s="1" t="n">
        <v>20030</v>
      </c>
      <c r="C1744" s="1" t="inlineStr">
        <is>
          <t>077</t>
        </is>
      </c>
      <c r="D1744" s="1" t="inlineStr">
        <is>
          <t>232481</t>
        </is>
      </c>
      <c r="E1744" s="1" t="inlineStr">
        <is>
          <t xml:space="preserve">30141766       </t>
        </is>
      </c>
      <c r="F1744" s="5" t="inlineStr">
        <is>
          <t>TMZ BEAST MACHINES AUTOS DE METAL BLISTER X 1</t>
        </is>
      </c>
      <c r="G1744" t="n">
        <v>1</v>
      </c>
      <c r="H1744" s="7" t="n">
        <v>7.9</v>
      </c>
      <c r="I1744" s="7" t="n">
        <v>0</v>
      </c>
      <c r="J1744" s="7" t="n">
        <v>0</v>
      </c>
      <c r="K1744" s="9" t="n">
        <v>0</v>
      </c>
      <c r="L1744" s="10" t="n">
        <v>4.68</v>
      </c>
      <c r="M1744" s="10" t="n">
        <v>1.43</v>
      </c>
      <c r="N1744" t="inlineStr">
        <is>
          <t>1</t>
        </is>
      </c>
      <c r="O1744" t="inlineStr">
        <is>
          <t>16</t>
        </is>
      </c>
      <c r="P1744" t="inlineStr">
        <is>
          <t xml:space="preserve">65971   </t>
        </is>
      </c>
      <c r="Q1744" s="26" t="n">
        <v>4.69</v>
      </c>
      <c r="R1744" s="26">
        <f>Q1744*G1744</f>
        <v/>
      </c>
      <c r="S1744" s="26">
        <f>IFERROR(VLOOKUP(E1744*1,Tabla[#All],8,0),0)</f>
        <v/>
      </c>
      <c r="T1744" s="26">
        <f>S1744*G1744</f>
        <v/>
      </c>
      <c r="U1744" s="26">
        <f>R1744-T1744</f>
        <v/>
      </c>
      <c r="V1744" s="26">
        <f>U1744-L1744</f>
        <v/>
      </c>
    </row>
    <row r="1745">
      <c r="A1745" s="11" t="n">
        <v>46221</v>
      </c>
      <c r="B1745" s="1" t="n">
        <v>20040</v>
      </c>
      <c r="C1745" s="1" t="inlineStr">
        <is>
          <t>047</t>
        </is>
      </c>
      <c r="D1745" s="1" t="inlineStr">
        <is>
          <t xml:space="preserve">62967 </t>
        </is>
      </c>
      <c r="E1745" s="1" t="inlineStr">
        <is>
          <t xml:space="preserve">28194768       </t>
        </is>
      </c>
      <c r="F1745" s="5" t="inlineStr">
        <is>
          <t>AUTO COLOR CHANGE TEAMSTERZ SURTIDO</t>
        </is>
      </c>
      <c r="G1745" t="n">
        <v>1</v>
      </c>
      <c r="H1745" s="7" t="n">
        <v>14.9</v>
      </c>
      <c r="I1745" s="7" t="n">
        <v>0</v>
      </c>
      <c r="J1745" s="7" t="n">
        <v>0</v>
      </c>
      <c r="K1745" s="9" t="n">
        <v>0</v>
      </c>
      <c r="L1745" s="10" t="n">
        <v>8.84</v>
      </c>
      <c r="M1745" s="10" t="n">
        <v>1.43</v>
      </c>
      <c r="N1745" t="inlineStr">
        <is>
          <t>1</t>
        </is>
      </c>
      <c r="O1745" t="inlineStr">
        <is>
          <t>16</t>
        </is>
      </c>
      <c r="P1745" t="inlineStr">
        <is>
          <t xml:space="preserve">250391  </t>
        </is>
      </c>
      <c r="Q1745" s="26" t="n">
        <v>8.84</v>
      </c>
      <c r="R1745" s="26">
        <f>Q1745*G1745</f>
        <v/>
      </c>
      <c r="S1745" s="26">
        <f>IFERROR(VLOOKUP(E1745*1,Tabla[#All],8,0),0)</f>
        <v/>
      </c>
      <c r="T1745" s="26">
        <f>S1745*G1745</f>
        <v/>
      </c>
      <c r="U1745" s="26">
        <f>R1745-T1745</f>
        <v/>
      </c>
      <c r="V1745" s="26">
        <f>U1745-L1745</f>
        <v/>
      </c>
    </row>
    <row r="1746">
      <c r="A1746" s="11" t="n">
        <v>46221</v>
      </c>
      <c r="B1746" s="1" t="n">
        <v>20040</v>
      </c>
      <c r="C1746" s="1" t="inlineStr">
        <is>
          <t>072</t>
        </is>
      </c>
      <c r="D1746" s="1" t="inlineStr">
        <is>
          <t>252154</t>
        </is>
      </c>
      <c r="E1746" s="1" t="inlineStr">
        <is>
          <t xml:space="preserve">28194769       </t>
        </is>
      </c>
      <c r="F1746" s="5" t="inlineStr">
        <is>
          <t>AUTOS DE METAL 3 TEAMSTERZ PACK DE 2</t>
        </is>
      </c>
      <c r="G1746" t="n">
        <v>1</v>
      </c>
      <c r="H1746" s="7" t="n">
        <v>13.8</v>
      </c>
      <c r="I1746" s="7" t="n">
        <v>0</v>
      </c>
      <c r="J1746" s="7" t="n">
        <v>0</v>
      </c>
      <c r="K1746" s="9" t="n">
        <v>0</v>
      </c>
      <c r="L1746" s="10" t="n">
        <v>8.18</v>
      </c>
      <c r="M1746" s="10" t="n">
        <v>1.43</v>
      </c>
      <c r="N1746" t="inlineStr">
        <is>
          <t>1</t>
        </is>
      </c>
      <c r="O1746" t="inlineStr">
        <is>
          <t>16</t>
        </is>
      </c>
      <c r="P1746" t="inlineStr">
        <is>
          <t xml:space="preserve">248589  </t>
        </is>
      </c>
      <c r="Q1746" s="26" t="n">
        <v>8.19</v>
      </c>
      <c r="R1746" s="26">
        <f>Q1746*G1746</f>
        <v/>
      </c>
      <c r="S1746" s="26">
        <f>IFERROR(VLOOKUP(E1746*1,Tabla[#All],8,0),0)</f>
        <v/>
      </c>
      <c r="T1746" s="26">
        <f>S1746*G1746</f>
        <v/>
      </c>
      <c r="U1746" s="26">
        <f>R1746-T1746</f>
        <v/>
      </c>
      <c r="V1746" s="26">
        <f>U1746-L1746</f>
        <v/>
      </c>
    </row>
    <row r="1747">
      <c r="A1747" s="11" t="n">
        <v>46221</v>
      </c>
      <c r="B1747" s="1" t="n">
        <v>20040</v>
      </c>
      <c r="C1747" s="1" t="inlineStr">
        <is>
          <t>072</t>
        </is>
      </c>
      <c r="D1747" s="1" t="inlineStr">
        <is>
          <t>252171</t>
        </is>
      </c>
      <c r="E1747" s="1" t="inlineStr">
        <is>
          <t xml:space="preserve">29235706       </t>
        </is>
      </c>
      <c r="F1747" s="5" t="inlineStr">
        <is>
          <t>TEAMSTERZ CAMION PARA GUARDAR 12 AUTOS INCL 4 AUTO</t>
        </is>
      </c>
      <c r="G1747" t="n">
        <v>1</v>
      </c>
      <c r="H1747" s="7" t="n">
        <v>59.9</v>
      </c>
      <c r="I1747" s="7" t="n">
        <v>0</v>
      </c>
      <c r="J1747" s="7" t="n">
        <v>0</v>
      </c>
      <c r="K1747" s="9" t="n">
        <v>0</v>
      </c>
      <c r="L1747" s="10" t="n">
        <v>35.53</v>
      </c>
      <c r="M1747" s="10" t="n">
        <v>1.43</v>
      </c>
      <c r="N1747" t="inlineStr">
        <is>
          <t>1</t>
        </is>
      </c>
      <c r="O1747" t="inlineStr">
        <is>
          <t>16</t>
        </is>
      </c>
      <c r="P1747" t="inlineStr">
        <is>
          <t xml:space="preserve">248589  </t>
        </is>
      </c>
      <c r="Q1747" s="26" t="n">
        <v>35.53</v>
      </c>
      <c r="R1747" s="26">
        <f>Q1747*G1747</f>
        <v/>
      </c>
      <c r="S1747" s="26">
        <f>IFERROR(VLOOKUP(E1747*1,Tabla[#All],8,0),0)</f>
        <v/>
      </c>
      <c r="T1747" s="26">
        <f>S1747*G1747</f>
        <v/>
      </c>
      <c r="U1747" s="26">
        <f>R1747-T1747</f>
        <v/>
      </c>
      <c r="V1747" s="26">
        <f>U1747-L1747</f>
        <v/>
      </c>
    </row>
    <row r="1748">
      <c r="A1748" s="11" t="n">
        <v>46221</v>
      </c>
      <c r="B1748" s="1" t="n">
        <v>20040</v>
      </c>
      <c r="C1748" s="1" t="inlineStr">
        <is>
          <t>072</t>
        </is>
      </c>
      <c r="D1748" s="1" t="inlineStr">
        <is>
          <t>252185</t>
        </is>
      </c>
      <c r="E1748" s="1" t="inlineStr">
        <is>
          <t xml:space="preserve">32457103       </t>
        </is>
      </c>
      <c r="F1748" s="5" t="inlineStr">
        <is>
          <t>TMZ BEAST MACHINES MONSTER JAWS A FRICCION PACK DE</t>
        </is>
      </c>
      <c r="G1748" t="n">
        <v>1</v>
      </c>
      <c r="H1748" s="7" t="n">
        <v>32.9</v>
      </c>
      <c r="I1748" s="7" t="n">
        <v>0</v>
      </c>
      <c r="J1748" s="7" t="n">
        <v>0</v>
      </c>
      <c r="K1748" s="9" t="n">
        <v>0</v>
      </c>
      <c r="L1748" s="10" t="n">
        <v>19.52</v>
      </c>
      <c r="M1748" s="10" t="n">
        <v>1.43</v>
      </c>
      <c r="N1748" t="inlineStr">
        <is>
          <t>1</t>
        </is>
      </c>
      <c r="O1748" t="inlineStr">
        <is>
          <t>16</t>
        </is>
      </c>
      <c r="P1748" t="inlineStr">
        <is>
          <t xml:space="preserve">247275  </t>
        </is>
      </c>
      <c r="Q1748" s="26" t="n">
        <v>22.48</v>
      </c>
      <c r="R1748" s="26">
        <f>Q1748*G1748</f>
        <v/>
      </c>
      <c r="S1748" s="26">
        <f>IFERROR(VLOOKUP(E1748*1,Tabla[#All],8,0),0)</f>
        <v/>
      </c>
      <c r="T1748" s="26">
        <f>S1748*G1748</f>
        <v/>
      </c>
      <c r="U1748" s="26">
        <f>R1748-T1748</f>
        <v/>
      </c>
      <c r="V1748" s="26">
        <f>U1748-L1748</f>
        <v/>
      </c>
    </row>
    <row r="1749">
      <c r="A1749" s="11" t="n">
        <v>46221</v>
      </c>
      <c r="B1749" s="1" t="n">
        <v>20040</v>
      </c>
      <c r="C1749" s="1" t="inlineStr">
        <is>
          <t>072</t>
        </is>
      </c>
      <c r="D1749" s="1" t="inlineStr">
        <is>
          <t>252220</t>
        </is>
      </c>
      <c r="E1749" s="1" t="inlineStr">
        <is>
          <t xml:space="preserve">32457106       </t>
        </is>
      </c>
      <c r="F1749" s="5" t="inlineStr">
        <is>
          <t>TMZ BEAST MACHINES PLAYSET DESASTRE DRAGON + 1 AUT</t>
        </is>
      </c>
      <c r="G1749" t="n">
        <v>1</v>
      </c>
      <c r="H1749" s="7" t="n">
        <v>49.9</v>
      </c>
      <c r="I1749" s="7" t="n">
        <v>0</v>
      </c>
      <c r="J1749" s="7" t="n">
        <v>0</v>
      </c>
      <c r="K1749" s="9" t="n">
        <v>0</v>
      </c>
      <c r="L1749" s="10" t="n">
        <v>29.6</v>
      </c>
      <c r="M1749" s="10" t="n">
        <v>1.43</v>
      </c>
      <c r="N1749" t="inlineStr">
        <is>
          <t>1</t>
        </is>
      </c>
      <c r="O1749" t="inlineStr">
        <is>
          <t>16</t>
        </is>
      </c>
      <c r="P1749" t="inlineStr">
        <is>
          <t xml:space="preserve">248842  </t>
        </is>
      </c>
      <c r="Q1749" s="26" t="n">
        <v>41.47</v>
      </c>
      <c r="R1749" s="26">
        <f>Q1749*G1749</f>
        <v/>
      </c>
      <c r="S1749" s="26">
        <f>IFERROR(VLOOKUP(E1749*1,Tabla[#All],8,0),0)</f>
        <v/>
      </c>
      <c r="T1749" s="26">
        <f>S1749*G1749</f>
        <v/>
      </c>
      <c r="U1749" s="26">
        <f>R1749-T1749</f>
        <v/>
      </c>
      <c r="V1749" s="26">
        <f>U1749-L1749</f>
        <v/>
      </c>
    </row>
    <row r="1750">
      <c r="A1750" s="11" t="n">
        <v>46221</v>
      </c>
      <c r="B1750" s="1" t="n">
        <v>20040</v>
      </c>
      <c r="C1750" s="1" t="inlineStr">
        <is>
          <t>073</t>
        </is>
      </c>
      <c r="D1750" s="1" t="inlineStr">
        <is>
          <t>254938</t>
        </is>
      </c>
      <c r="E1750" s="1" t="inlineStr">
        <is>
          <t xml:space="preserve">32457099       </t>
        </is>
      </c>
      <c r="F1750" s="5" t="inlineStr">
        <is>
          <t>TMZ BEAST MACHINES MONSTER JAWS A FRICCION BLISTER</t>
        </is>
      </c>
      <c r="G1750" t="n">
        <v>1</v>
      </c>
      <c r="H1750" s="7" t="n">
        <v>17.9</v>
      </c>
      <c r="I1750" s="7" t="n">
        <v>1.79</v>
      </c>
      <c r="J1750" s="7" t="n">
        <v>0</v>
      </c>
      <c r="K1750" s="9" t="n">
        <v>1.79</v>
      </c>
      <c r="L1750" s="10" t="n">
        <v>9.56</v>
      </c>
      <c r="M1750" s="10" t="n">
        <v>1.43</v>
      </c>
      <c r="N1750" t="inlineStr">
        <is>
          <t>1</t>
        </is>
      </c>
      <c r="O1750" t="inlineStr">
        <is>
          <t xml:space="preserve">3 </t>
        </is>
      </c>
      <c r="P1750" t="inlineStr">
        <is>
          <t xml:space="preserve">61602   </t>
        </is>
      </c>
      <c r="Q1750" s="26" t="n">
        <v>11.81</v>
      </c>
      <c r="R1750" s="26">
        <f>Q1750*G1750</f>
        <v/>
      </c>
      <c r="S1750" s="26">
        <f>IFERROR(VLOOKUP(E1750*1,Tabla[#All],8,0),0)</f>
        <v/>
      </c>
      <c r="T1750" s="26">
        <f>S1750*G1750</f>
        <v/>
      </c>
      <c r="U1750" s="26">
        <f>R1750-T1750</f>
        <v/>
      </c>
      <c r="V1750" s="26">
        <f>U1750-L1750</f>
        <v/>
      </c>
    </row>
    <row r="1751">
      <c r="A1751" s="11" t="n">
        <v>46221</v>
      </c>
      <c r="B1751" s="1" t="n">
        <v>20040</v>
      </c>
      <c r="C1751" s="1" t="inlineStr">
        <is>
          <t>073</t>
        </is>
      </c>
      <c r="D1751" s="1" t="inlineStr">
        <is>
          <t>254938</t>
        </is>
      </c>
      <c r="E1751" s="1" t="inlineStr">
        <is>
          <t xml:space="preserve">32457099       </t>
        </is>
      </c>
      <c r="F1751" s="5" t="inlineStr">
        <is>
          <t>TMZ BEAST MACHINES MONSTER JAWS A FRICCION BLISTER</t>
        </is>
      </c>
      <c r="G1751" t="n">
        <v>1</v>
      </c>
      <c r="H1751" s="7" t="n">
        <v>17.9</v>
      </c>
      <c r="I1751" s="7" t="n">
        <v>1.79</v>
      </c>
      <c r="J1751" s="7" t="n">
        <v>0</v>
      </c>
      <c r="K1751" s="9" t="n">
        <v>1.79</v>
      </c>
      <c r="L1751" s="10" t="n">
        <v>9.56</v>
      </c>
      <c r="M1751" s="10" t="n">
        <v>1.43</v>
      </c>
      <c r="N1751" t="inlineStr">
        <is>
          <t>1</t>
        </is>
      </c>
      <c r="O1751" t="inlineStr">
        <is>
          <t xml:space="preserve">3 </t>
        </is>
      </c>
      <c r="P1751" t="inlineStr">
        <is>
          <t xml:space="preserve">61602   </t>
        </is>
      </c>
      <c r="Q1751" s="26" t="n">
        <v>11.81</v>
      </c>
      <c r="R1751" s="26">
        <f>Q1751*G1751</f>
        <v/>
      </c>
      <c r="S1751" s="26">
        <f>IFERROR(VLOOKUP(E1751*1,Tabla[#All],8,0),0)</f>
        <v/>
      </c>
      <c r="T1751" s="26">
        <f>S1751*G1751</f>
        <v/>
      </c>
      <c r="U1751" s="26">
        <f>R1751-T1751</f>
        <v/>
      </c>
      <c r="V1751" s="26">
        <f>U1751-L1751</f>
        <v/>
      </c>
    </row>
    <row r="1752">
      <c r="A1752" s="11" t="n">
        <v>46221</v>
      </c>
      <c r="B1752" s="1" t="n">
        <v>20040</v>
      </c>
      <c r="C1752" s="1" t="inlineStr">
        <is>
          <t>073</t>
        </is>
      </c>
      <c r="D1752" s="1" t="inlineStr">
        <is>
          <t>254938</t>
        </is>
      </c>
      <c r="E1752" s="1" t="inlineStr">
        <is>
          <t xml:space="preserve">32457099       </t>
        </is>
      </c>
      <c r="F1752" s="5" t="inlineStr">
        <is>
          <t>TMZ BEAST MACHINES MONSTER JAWS A FRICCION BLISTER</t>
        </is>
      </c>
      <c r="G1752" t="n">
        <v>1</v>
      </c>
      <c r="H1752" s="7" t="n">
        <v>17.9</v>
      </c>
      <c r="I1752" s="7" t="n">
        <v>1.79</v>
      </c>
      <c r="J1752" s="7" t="n">
        <v>0</v>
      </c>
      <c r="K1752" s="9" t="n">
        <v>1.79</v>
      </c>
      <c r="L1752" s="10" t="n">
        <v>9.56</v>
      </c>
      <c r="M1752" s="10" t="n">
        <v>1.43</v>
      </c>
      <c r="N1752" t="inlineStr">
        <is>
          <t>1</t>
        </is>
      </c>
      <c r="O1752" t="inlineStr">
        <is>
          <t xml:space="preserve">3 </t>
        </is>
      </c>
      <c r="P1752" t="inlineStr">
        <is>
          <t xml:space="preserve">61602   </t>
        </is>
      </c>
      <c r="Q1752" s="26" t="n">
        <v>11.81</v>
      </c>
      <c r="R1752" s="26">
        <f>Q1752*G1752</f>
        <v/>
      </c>
      <c r="S1752" s="26">
        <f>IFERROR(VLOOKUP(E1752*1,Tabla[#All],8,0),0)</f>
        <v/>
      </c>
      <c r="T1752" s="26">
        <f>S1752*G1752</f>
        <v/>
      </c>
      <c r="U1752" s="26">
        <f>R1752-T1752</f>
        <v/>
      </c>
      <c r="V1752" s="26">
        <f>U1752-L1752</f>
        <v/>
      </c>
    </row>
    <row r="1753">
      <c r="A1753" s="11" t="n">
        <v>46221</v>
      </c>
      <c r="B1753" s="1" t="n">
        <v>20040</v>
      </c>
      <c r="C1753" s="1" t="inlineStr">
        <is>
          <t>073</t>
        </is>
      </c>
      <c r="D1753" s="1" t="inlineStr">
        <is>
          <t>254976</t>
        </is>
      </c>
      <c r="E1753" s="1" t="inlineStr">
        <is>
          <t xml:space="preserve">34840551       </t>
        </is>
      </c>
      <c r="F1753" s="5" t="inlineStr">
        <is>
          <t>TMZ HELI BOMBERO CON LUCES Y SONIDOS</t>
        </is>
      </c>
      <c r="G1753" t="n">
        <v>1</v>
      </c>
      <c r="H1753" s="7" t="n">
        <v>79.90000000000001</v>
      </c>
      <c r="I1753" s="7" t="n">
        <v>0</v>
      </c>
      <c r="J1753" s="7" t="n">
        <v>0</v>
      </c>
      <c r="K1753" s="9" t="n">
        <v>0</v>
      </c>
      <c r="L1753" s="10" t="n">
        <v>47.4</v>
      </c>
      <c r="M1753" s="10" t="n">
        <v>1.43</v>
      </c>
      <c r="N1753" t="inlineStr">
        <is>
          <t>1</t>
        </is>
      </c>
      <c r="O1753" t="inlineStr">
        <is>
          <t xml:space="preserve">2 </t>
        </is>
      </c>
      <c r="P1753" t="inlineStr">
        <is>
          <t xml:space="preserve">61602   </t>
        </is>
      </c>
      <c r="Q1753" s="26" t="n">
        <v>47.4</v>
      </c>
      <c r="R1753" s="26">
        <f>Q1753*G1753</f>
        <v/>
      </c>
      <c r="S1753" s="26">
        <f>IFERROR(VLOOKUP(E1753*1,Tabla[#All],8,0),0)</f>
        <v/>
      </c>
      <c r="T1753" s="26">
        <f>S1753*G1753</f>
        <v/>
      </c>
      <c r="U1753" s="26">
        <f>R1753-T1753</f>
        <v/>
      </c>
      <c r="V1753" s="26">
        <f>U1753-L1753</f>
        <v/>
      </c>
    </row>
    <row r="1754">
      <c r="A1754" s="11" t="n">
        <v>46221</v>
      </c>
      <c r="B1754" s="1" t="n">
        <v>20040</v>
      </c>
      <c r="C1754" s="1" t="inlineStr">
        <is>
          <t>083</t>
        </is>
      </c>
      <c r="D1754" s="1" t="inlineStr">
        <is>
          <t>160115</t>
        </is>
      </c>
      <c r="E1754" s="1" t="inlineStr">
        <is>
          <t xml:space="preserve">32457099       </t>
        </is>
      </c>
      <c r="F1754" s="5" t="inlineStr">
        <is>
          <t>TMZ BEAST MACHINES MONSTER JAWS A FRICCION BLISTER</t>
        </is>
      </c>
      <c r="G1754" t="n">
        <v>1</v>
      </c>
      <c r="H1754" s="7" t="n">
        <v>17.9</v>
      </c>
      <c r="I1754" s="7" t="n">
        <v>1.79</v>
      </c>
      <c r="J1754" s="7" t="n">
        <v>0</v>
      </c>
      <c r="K1754" s="9" t="n">
        <v>1.79</v>
      </c>
      <c r="L1754" s="10" t="n">
        <v>9.56</v>
      </c>
      <c r="M1754" s="10" t="n">
        <v>1.43</v>
      </c>
      <c r="N1754" t="inlineStr">
        <is>
          <t>1</t>
        </is>
      </c>
      <c r="O1754" t="inlineStr">
        <is>
          <t>16</t>
        </is>
      </c>
      <c r="P1754" t="inlineStr">
        <is>
          <t xml:space="preserve">250040  </t>
        </is>
      </c>
      <c r="Q1754" s="26" t="n">
        <v>11.81</v>
      </c>
      <c r="R1754" s="26">
        <f>Q1754*G1754</f>
        <v/>
      </c>
      <c r="S1754" s="26">
        <f>IFERROR(VLOOKUP(E1754*1,Tabla[#All],8,0),0)</f>
        <v/>
      </c>
      <c r="T1754" s="26">
        <f>S1754*G1754</f>
        <v/>
      </c>
      <c r="U1754" s="26">
        <f>R1754-T1754</f>
        <v/>
      </c>
      <c r="V1754" s="26">
        <f>U1754-L1754</f>
        <v/>
      </c>
    </row>
    <row r="1755">
      <c r="A1755" s="11" t="n">
        <v>46221</v>
      </c>
      <c r="B1755" s="1" t="n">
        <v>20040</v>
      </c>
      <c r="C1755" s="1" t="inlineStr">
        <is>
          <t>083</t>
        </is>
      </c>
      <c r="D1755" s="1" t="inlineStr">
        <is>
          <t>160121</t>
        </is>
      </c>
      <c r="E1755" s="1" t="inlineStr">
        <is>
          <t xml:space="preserve">28194770       </t>
        </is>
      </c>
      <c r="F1755" s="5" t="inlineStr">
        <is>
          <t>AUTOS DE METAL 3 TEAMSTERZ EN BLISTER</t>
        </is>
      </c>
      <c r="G1755" t="n">
        <v>1</v>
      </c>
      <c r="H1755" s="7" t="n">
        <v>6.9</v>
      </c>
      <c r="I1755" s="7" t="n">
        <v>0</v>
      </c>
      <c r="J1755" s="7" t="n">
        <v>0</v>
      </c>
      <c r="K1755" s="9" t="n">
        <v>0</v>
      </c>
      <c r="L1755" s="10" t="n">
        <v>4.1</v>
      </c>
      <c r="M1755" s="10" t="n">
        <v>1.43</v>
      </c>
      <c r="N1755" t="inlineStr">
        <is>
          <t>1</t>
        </is>
      </c>
      <c r="O1755" t="inlineStr">
        <is>
          <t xml:space="preserve">2 </t>
        </is>
      </c>
      <c r="P1755" t="inlineStr">
        <is>
          <t xml:space="preserve">250040  </t>
        </is>
      </c>
      <c r="Q1755" s="26" t="n">
        <v>4.09</v>
      </c>
      <c r="R1755" s="26">
        <f>Q1755*G1755</f>
        <v/>
      </c>
      <c r="S1755" s="26">
        <f>IFERROR(VLOOKUP(E1755*1,Tabla[#All],8,0),0)</f>
        <v/>
      </c>
      <c r="T1755" s="26">
        <f>S1755*G1755</f>
        <v/>
      </c>
      <c r="U1755" s="26">
        <f>R1755-T1755</f>
        <v/>
      </c>
      <c r="V1755" s="26">
        <f>U1755-L1755</f>
        <v/>
      </c>
    </row>
    <row r="1756">
      <c r="A1756" s="11" t="n">
        <v>46221</v>
      </c>
      <c r="B1756" s="1" t="n">
        <v>20040</v>
      </c>
      <c r="C1756" s="1" t="inlineStr">
        <is>
          <t>083</t>
        </is>
      </c>
      <c r="D1756" s="1" t="inlineStr">
        <is>
          <t>160121</t>
        </is>
      </c>
      <c r="E1756" s="1" t="inlineStr">
        <is>
          <t xml:space="preserve">28194770       </t>
        </is>
      </c>
      <c r="F1756" s="5" t="inlineStr">
        <is>
          <t>AUTOS DE METAL 3 TEAMSTERZ EN BLISTER</t>
        </is>
      </c>
      <c r="G1756" t="n">
        <v>1</v>
      </c>
      <c r="H1756" s="7" t="n">
        <v>6.9</v>
      </c>
      <c r="I1756" s="7" t="n">
        <v>0</v>
      </c>
      <c r="J1756" s="7" t="n">
        <v>0</v>
      </c>
      <c r="K1756" s="9" t="n">
        <v>0</v>
      </c>
      <c r="L1756" s="10" t="n">
        <v>4.1</v>
      </c>
      <c r="M1756" s="10" t="n">
        <v>1.43</v>
      </c>
      <c r="N1756" t="inlineStr">
        <is>
          <t>1</t>
        </is>
      </c>
      <c r="O1756" t="inlineStr">
        <is>
          <t xml:space="preserve">2 </t>
        </is>
      </c>
      <c r="P1756" t="inlineStr">
        <is>
          <t xml:space="preserve">250040  </t>
        </is>
      </c>
      <c r="Q1756" s="26" t="n">
        <v>4.09</v>
      </c>
      <c r="R1756" s="26">
        <f>Q1756*G1756</f>
        <v/>
      </c>
      <c r="S1756" s="26">
        <f>IFERROR(VLOOKUP(E1756*1,Tabla[#All],8,0),0)</f>
        <v/>
      </c>
      <c r="T1756" s="26">
        <f>S1756*G1756</f>
        <v/>
      </c>
      <c r="U1756" s="26">
        <f>R1756-T1756</f>
        <v/>
      </c>
      <c r="V1756" s="26">
        <f>U1756-L1756</f>
        <v/>
      </c>
    </row>
    <row r="1757">
      <c r="A1757" s="11" t="n">
        <v>46221</v>
      </c>
      <c r="B1757" s="1" t="n">
        <v>20040</v>
      </c>
      <c r="C1757" s="1" t="inlineStr">
        <is>
          <t>083</t>
        </is>
      </c>
      <c r="D1757" s="1" t="inlineStr">
        <is>
          <t>160158</t>
        </is>
      </c>
      <c r="E1757" s="1" t="inlineStr">
        <is>
          <t xml:space="preserve">30141769       </t>
        </is>
      </c>
      <c r="F1757" s="5" t="inlineStr">
        <is>
          <t>TMZ BEAST MACHINES TRANSPORTE DINOSAURIO + 3 AUTOS</t>
        </is>
      </c>
      <c r="G1757" t="n">
        <v>1</v>
      </c>
      <c r="H1757" s="7" t="n">
        <v>59.9</v>
      </c>
      <c r="I1757" s="7" t="n">
        <v>0</v>
      </c>
      <c r="J1757" s="7" t="n">
        <v>0</v>
      </c>
      <c r="K1757" s="9" t="n">
        <v>0</v>
      </c>
      <c r="L1757" s="10" t="n">
        <v>35.53</v>
      </c>
      <c r="M1757" s="10" t="n">
        <v>1.43</v>
      </c>
      <c r="N1757" t="inlineStr">
        <is>
          <t>1</t>
        </is>
      </c>
      <c r="O1757" t="inlineStr">
        <is>
          <t xml:space="preserve">2 </t>
        </is>
      </c>
      <c r="P1757" t="inlineStr">
        <is>
          <t xml:space="preserve">250040  </t>
        </is>
      </c>
      <c r="Q1757" s="26" t="n">
        <v>47.4</v>
      </c>
      <c r="R1757" s="26">
        <f>Q1757*G1757</f>
        <v/>
      </c>
      <c r="S1757" s="26">
        <f>IFERROR(VLOOKUP(E1757*1,Tabla[#All],8,0),0)</f>
        <v/>
      </c>
      <c r="T1757" s="26">
        <f>S1757*G1757</f>
        <v/>
      </c>
      <c r="U1757" s="26">
        <f>R1757-T1757</f>
        <v/>
      </c>
      <c r="V1757" s="26">
        <f>U1757-L1757</f>
        <v/>
      </c>
    </row>
    <row r="1758">
      <c r="A1758" s="11" t="n">
        <v>46221</v>
      </c>
      <c r="B1758" s="1" t="n">
        <v>20040</v>
      </c>
      <c r="C1758" s="1" t="inlineStr">
        <is>
          <t>524</t>
        </is>
      </c>
      <c r="D1758" s="1" t="inlineStr">
        <is>
          <t xml:space="preserve">835   </t>
        </is>
      </c>
      <c r="E1758" s="1" t="inlineStr">
        <is>
          <t xml:space="preserve">32457103       </t>
        </is>
      </c>
      <c r="F1758" s="5" t="inlineStr">
        <is>
          <t>TMZ BEAST MACHINES MONSTER JAWS A FRICCION PACK DE</t>
        </is>
      </c>
      <c r="G1758" t="n">
        <v>1</v>
      </c>
      <c r="H1758" s="7" t="n">
        <v>32.9</v>
      </c>
      <c r="I1758" s="7" t="n">
        <v>0</v>
      </c>
      <c r="J1758" s="7" t="n">
        <v>0</v>
      </c>
      <c r="K1758" s="9" t="n">
        <v>0</v>
      </c>
      <c r="L1758" s="10" t="n">
        <v>19.52</v>
      </c>
      <c r="M1758" s="10" t="n">
        <v>1.43</v>
      </c>
      <c r="N1758" t="inlineStr">
        <is>
          <t>1</t>
        </is>
      </c>
      <c r="O1758" t="inlineStr">
        <is>
          <t>16</t>
        </is>
      </c>
      <c r="P1758" t="inlineStr">
        <is>
          <t xml:space="preserve">250413  </t>
        </is>
      </c>
      <c r="Q1758" s="26" t="n">
        <v>22.48</v>
      </c>
      <c r="R1758" s="26">
        <f>Q1758*G1758</f>
        <v/>
      </c>
      <c r="S1758" s="26">
        <f>IFERROR(VLOOKUP(E1758*1,Tabla[#All],8,0),0)</f>
        <v/>
      </c>
      <c r="T1758" s="26">
        <f>S1758*G1758</f>
        <v/>
      </c>
      <c r="U1758" s="26">
        <f>R1758-T1758</f>
        <v/>
      </c>
      <c r="V1758" s="26">
        <f>U1758-L1758</f>
        <v/>
      </c>
    </row>
    <row r="1759">
      <c r="A1759" s="11" t="n">
        <v>46221</v>
      </c>
      <c r="B1759" s="1" t="n">
        <v>20040</v>
      </c>
      <c r="C1759" s="1" t="inlineStr">
        <is>
          <t>831</t>
        </is>
      </c>
      <c r="D1759" s="1" t="inlineStr">
        <is>
          <t xml:space="preserve">8909  </t>
        </is>
      </c>
      <c r="E1759" s="1" t="inlineStr">
        <is>
          <t xml:space="preserve">28194770       </t>
        </is>
      </c>
      <c r="F1759" s="5" t="inlineStr">
        <is>
          <t>AUTOS DE METAL 3 TEAMSTERZ EN BLISTER</t>
        </is>
      </c>
      <c r="G1759" t="n">
        <v>1</v>
      </c>
      <c r="H1759" s="7" t="n">
        <v>6.9</v>
      </c>
      <c r="I1759" s="7" t="n">
        <v>0</v>
      </c>
      <c r="J1759" s="7" t="n">
        <v>0</v>
      </c>
      <c r="K1759" s="9" t="n">
        <v>0</v>
      </c>
      <c r="L1759" s="10" t="n">
        <v>4.1</v>
      </c>
      <c r="M1759" s="10" t="n">
        <v>1.43</v>
      </c>
      <c r="N1759" t="inlineStr">
        <is>
          <t>1</t>
        </is>
      </c>
      <c r="O1759" t="inlineStr">
        <is>
          <t>16</t>
        </is>
      </c>
      <c r="P1759" t="inlineStr">
        <is>
          <t xml:space="preserve">24630   </t>
        </is>
      </c>
      <c r="Q1759" s="26" t="n">
        <v>4.09</v>
      </c>
      <c r="R1759" s="26">
        <f>Q1759*G1759</f>
        <v/>
      </c>
      <c r="S1759" s="26">
        <f>IFERROR(VLOOKUP(E1759*1,Tabla[#All],8,0),0)</f>
        <v/>
      </c>
      <c r="T1759" s="26">
        <f>S1759*G1759</f>
        <v/>
      </c>
      <c r="U1759" s="26">
        <f>R1759-T1759</f>
        <v/>
      </c>
      <c r="V1759" s="26">
        <f>U1759-L1759</f>
        <v/>
      </c>
    </row>
    <row r="1760">
      <c r="A1760" s="11" t="n">
        <v>46221</v>
      </c>
      <c r="B1760" s="1" t="n">
        <v>20041</v>
      </c>
      <c r="C1760" s="1" t="inlineStr">
        <is>
          <t>013</t>
        </is>
      </c>
      <c r="D1760" s="1" t="inlineStr">
        <is>
          <t>459508</t>
        </is>
      </c>
      <c r="E1760" s="1" t="inlineStr">
        <is>
          <t xml:space="preserve">28194770       </t>
        </is>
      </c>
      <c r="F1760" s="5" t="inlineStr">
        <is>
          <t>AUTOS DE METAL 3 TEAMSTERZ EN BLISTER</t>
        </is>
      </c>
      <c r="G1760" t="n">
        <v>1</v>
      </c>
      <c r="H1760" s="7" t="n">
        <v>6.9</v>
      </c>
      <c r="I1760" s="7" t="n">
        <v>0</v>
      </c>
      <c r="J1760" s="7" t="n">
        <v>0</v>
      </c>
      <c r="K1760" s="9" t="n">
        <v>0</v>
      </c>
      <c r="L1760" s="10" t="n">
        <v>4.1</v>
      </c>
      <c r="M1760" s="10" t="n">
        <v>1.43</v>
      </c>
      <c r="N1760" t="inlineStr">
        <is>
          <t>1</t>
        </is>
      </c>
      <c r="O1760" t="inlineStr">
        <is>
          <t xml:space="preserve">2 </t>
        </is>
      </c>
      <c r="P1760" t="inlineStr">
        <is>
          <t xml:space="preserve">46327   </t>
        </is>
      </c>
      <c r="Q1760" s="26" t="n">
        <v>4.09</v>
      </c>
      <c r="R1760" s="26">
        <f>Q1760*G1760</f>
        <v/>
      </c>
      <c r="S1760" s="26">
        <f>IFERROR(VLOOKUP(E1760*1,Tabla[#All],8,0),0)</f>
        <v/>
      </c>
      <c r="T1760" s="26">
        <f>S1760*G1760</f>
        <v/>
      </c>
      <c r="U1760" s="26">
        <f>R1760-T1760</f>
        <v/>
      </c>
      <c r="V1760" s="26">
        <f>U1760-L1760</f>
        <v/>
      </c>
    </row>
    <row r="1761">
      <c r="A1761" s="11" t="n">
        <v>46221</v>
      </c>
      <c r="B1761" s="1" t="n">
        <v>20041</v>
      </c>
      <c r="C1761" s="1" t="inlineStr">
        <is>
          <t>031</t>
        </is>
      </c>
      <c r="D1761" s="1" t="inlineStr">
        <is>
          <t>165831</t>
        </is>
      </c>
      <c r="E1761" s="1" t="inlineStr">
        <is>
          <t xml:space="preserve">28194770       </t>
        </is>
      </c>
      <c r="F1761" s="5" t="inlineStr">
        <is>
          <t>AUTOS DE METAL 3 TEAMSTERZ EN BLISTER</t>
        </is>
      </c>
      <c r="G1761" t="n">
        <v>1</v>
      </c>
      <c r="H1761" s="7" t="n">
        <v>6.9</v>
      </c>
      <c r="I1761" s="7" t="n">
        <v>0</v>
      </c>
      <c r="J1761" s="7" t="n">
        <v>0</v>
      </c>
      <c r="K1761" s="9" t="n">
        <v>0</v>
      </c>
      <c r="L1761" s="10" t="n">
        <v>4.1</v>
      </c>
      <c r="M1761" s="10" t="n">
        <v>1.43</v>
      </c>
      <c r="N1761" t="inlineStr">
        <is>
          <t>1</t>
        </is>
      </c>
      <c r="O1761" t="inlineStr">
        <is>
          <t>16</t>
        </is>
      </c>
      <c r="P1761" t="inlineStr">
        <is>
          <t xml:space="preserve">36180   </t>
        </is>
      </c>
      <c r="Q1761" s="26" t="n">
        <v>4.09</v>
      </c>
      <c r="R1761" s="26">
        <f>Q1761*G1761</f>
        <v/>
      </c>
      <c r="S1761" s="26">
        <f>IFERROR(VLOOKUP(E1761*1,Tabla[#All],8,0),0)</f>
        <v/>
      </c>
      <c r="T1761" s="26">
        <f>S1761*G1761</f>
        <v/>
      </c>
      <c r="U1761" s="26">
        <f>R1761-T1761</f>
        <v/>
      </c>
      <c r="V1761" s="26">
        <f>U1761-L1761</f>
        <v/>
      </c>
    </row>
    <row r="1762">
      <c r="A1762" s="11" t="n">
        <v>46221</v>
      </c>
      <c r="B1762" s="1" t="n">
        <v>20041</v>
      </c>
      <c r="C1762" s="1" t="inlineStr">
        <is>
          <t>031</t>
        </is>
      </c>
      <c r="D1762" s="1" t="inlineStr">
        <is>
          <t>165879</t>
        </is>
      </c>
      <c r="E1762" s="1" t="inlineStr">
        <is>
          <t xml:space="preserve">28194770       </t>
        </is>
      </c>
      <c r="F1762" s="5" t="inlineStr">
        <is>
          <t>AUTOS DE METAL 3 TEAMSTERZ EN BLISTER</t>
        </is>
      </c>
      <c r="G1762" t="n">
        <v>1</v>
      </c>
      <c r="H1762" s="7" t="n">
        <v>6.9</v>
      </c>
      <c r="I1762" s="7" t="n">
        <v>0.6899999999999999</v>
      </c>
      <c r="J1762" s="7" t="n">
        <v>0</v>
      </c>
      <c r="K1762" s="9" t="n">
        <v>0.6899999999999999</v>
      </c>
      <c r="L1762" s="10" t="n">
        <v>3.68</v>
      </c>
      <c r="M1762" s="10" t="n">
        <v>1.43</v>
      </c>
      <c r="N1762" t="inlineStr">
        <is>
          <t>1</t>
        </is>
      </c>
      <c r="O1762" t="inlineStr">
        <is>
          <t xml:space="preserve">3 </t>
        </is>
      </c>
      <c r="P1762" t="inlineStr">
        <is>
          <t xml:space="preserve">36180   </t>
        </is>
      </c>
      <c r="Q1762" s="26" t="n">
        <v>4.09</v>
      </c>
      <c r="R1762" s="26">
        <f>Q1762*G1762</f>
        <v/>
      </c>
      <c r="S1762" s="26">
        <f>IFERROR(VLOOKUP(E1762*1,Tabla[#All],8,0),0)</f>
        <v/>
      </c>
      <c r="T1762" s="26">
        <f>S1762*G1762</f>
        <v/>
      </c>
      <c r="U1762" s="26">
        <f>R1762-T1762</f>
        <v/>
      </c>
      <c r="V1762" s="26">
        <f>U1762-L1762</f>
        <v/>
      </c>
    </row>
    <row r="1763">
      <c r="A1763" s="11" t="n">
        <v>46221</v>
      </c>
      <c r="B1763" s="1" t="n">
        <v>20041</v>
      </c>
      <c r="C1763" s="1" t="inlineStr">
        <is>
          <t>036</t>
        </is>
      </c>
      <c r="D1763" s="1" t="inlineStr">
        <is>
          <t>319983</t>
        </is>
      </c>
      <c r="E1763" s="1" t="inlineStr">
        <is>
          <t xml:space="preserve">28194770       </t>
        </is>
      </c>
      <c r="F1763" s="5" t="inlineStr">
        <is>
          <t>AUTOS DE METAL 3 TEAMSTERZ EN BLISTER</t>
        </is>
      </c>
      <c r="G1763" t="n">
        <v>1</v>
      </c>
      <c r="H1763" s="7" t="n">
        <v>6.9</v>
      </c>
      <c r="I1763" s="7" t="n">
        <v>0</v>
      </c>
      <c r="J1763" s="7" t="n">
        <v>0</v>
      </c>
      <c r="K1763" s="9" t="n">
        <v>0</v>
      </c>
      <c r="L1763" s="10" t="n">
        <v>4.1</v>
      </c>
      <c r="M1763" s="10" t="n">
        <v>1.43</v>
      </c>
      <c r="N1763" t="inlineStr">
        <is>
          <t>1</t>
        </is>
      </c>
      <c r="O1763" t="inlineStr">
        <is>
          <t>16</t>
        </is>
      </c>
      <c r="P1763" t="inlineStr">
        <is>
          <t xml:space="preserve">57146   </t>
        </is>
      </c>
      <c r="Q1763" s="26" t="n">
        <v>4.09</v>
      </c>
      <c r="R1763" s="26">
        <f>Q1763*G1763</f>
        <v/>
      </c>
      <c r="S1763" s="26">
        <f>IFERROR(VLOOKUP(E1763*1,Tabla[#All],8,0),0)</f>
        <v/>
      </c>
      <c r="T1763" s="26">
        <f>S1763*G1763</f>
        <v/>
      </c>
      <c r="U1763" s="26">
        <f>R1763-T1763</f>
        <v/>
      </c>
      <c r="V1763" s="26">
        <f>U1763-L1763</f>
        <v/>
      </c>
    </row>
    <row r="1764">
      <c r="A1764" s="11" t="n">
        <v>46221</v>
      </c>
      <c r="B1764" s="1" t="n">
        <v>20043</v>
      </c>
      <c r="C1764" s="1" t="inlineStr">
        <is>
          <t>054</t>
        </is>
      </c>
      <c r="D1764" s="1" t="inlineStr">
        <is>
          <t xml:space="preserve">15356 </t>
        </is>
      </c>
      <c r="E1764" s="1" t="inlineStr">
        <is>
          <t xml:space="preserve">32656523       </t>
        </is>
      </c>
      <c r="F1764" s="5" t="inlineStr">
        <is>
          <t>TMZ BEAST MACHINES TRANSPORT. T-REX ELECTR. + ACCE</t>
        </is>
      </c>
      <c r="G1764" t="n">
        <v>1</v>
      </c>
      <c r="H1764" s="7" t="n">
        <v>179</v>
      </c>
      <c r="I1764" s="7" t="n">
        <v>17.9</v>
      </c>
      <c r="J1764" s="7" t="n">
        <v>0</v>
      </c>
      <c r="K1764" s="9" t="n">
        <v>17.9</v>
      </c>
      <c r="L1764" s="10" t="n">
        <v>95.56999999999999</v>
      </c>
      <c r="M1764" s="10" t="n">
        <v>1.43</v>
      </c>
      <c r="N1764" t="inlineStr">
        <is>
          <t>1</t>
        </is>
      </c>
      <c r="O1764" t="inlineStr">
        <is>
          <t xml:space="preserve">3 </t>
        </is>
      </c>
      <c r="P1764" t="inlineStr">
        <is>
          <t xml:space="preserve">52184   </t>
        </is>
      </c>
      <c r="Q1764" s="26" t="n">
        <v>106.19</v>
      </c>
      <c r="R1764" s="26">
        <f>Q1764*G1764</f>
        <v/>
      </c>
      <c r="S1764" s="26">
        <f>IFERROR(VLOOKUP(E1764*1,Tabla[#All],8,0),0)</f>
        <v/>
      </c>
      <c r="T1764" s="26">
        <f>S1764*G1764</f>
        <v/>
      </c>
      <c r="U1764" s="26">
        <f>R1764-T1764</f>
        <v/>
      </c>
      <c r="V1764" s="26">
        <f>U1764-L1764</f>
        <v/>
      </c>
    </row>
    <row r="1765">
      <c r="A1765" s="11" t="n">
        <v>46221</v>
      </c>
      <c r="B1765" s="1" t="n">
        <v>20043</v>
      </c>
      <c r="C1765" s="1" t="inlineStr">
        <is>
          <t>054</t>
        </is>
      </c>
      <c r="D1765" s="1" t="inlineStr">
        <is>
          <t xml:space="preserve">15369 </t>
        </is>
      </c>
      <c r="E1765" s="1" t="inlineStr">
        <is>
          <t xml:space="preserve">28194770       </t>
        </is>
      </c>
      <c r="F1765" s="5" t="inlineStr">
        <is>
          <t>AUTOS DE METAL 3 TEAMSTERZ EN BLISTER</t>
        </is>
      </c>
      <c r="G1765" t="n">
        <v>1</v>
      </c>
      <c r="H1765" s="7" t="n">
        <v>6.9</v>
      </c>
      <c r="I1765" s="7" t="n">
        <v>0</v>
      </c>
      <c r="J1765" s="7" t="n">
        <v>0</v>
      </c>
      <c r="K1765" s="9" t="n">
        <v>0</v>
      </c>
      <c r="L1765" s="10" t="n">
        <v>4.1</v>
      </c>
      <c r="M1765" s="10" t="n">
        <v>1.43</v>
      </c>
      <c r="N1765" t="inlineStr">
        <is>
          <t>1</t>
        </is>
      </c>
      <c r="O1765" t="inlineStr">
        <is>
          <t>16</t>
        </is>
      </c>
      <c r="P1765" t="inlineStr">
        <is>
          <t xml:space="preserve">52184   </t>
        </is>
      </c>
      <c r="Q1765" s="26" t="n">
        <v>4.09</v>
      </c>
      <c r="R1765" s="26">
        <f>Q1765*G1765</f>
        <v/>
      </c>
      <c r="S1765" s="26">
        <f>IFERROR(VLOOKUP(E1765*1,Tabla[#All],8,0),0)</f>
        <v/>
      </c>
      <c r="T1765" s="26">
        <f>S1765*G1765</f>
        <v/>
      </c>
      <c r="U1765" s="26">
        <f>R1765-T1765</f>
        <v/>
      </c>
      <c r="V1765" s="26">
        <f>U1765-L1765</f>
        <v/>
      </c>
    </row>
    <row r="1766">
      <c r="A1766" s="11" t="n">
        <v>46221</v>
      </c>
      <c r="B1766" s="1" t="n">
        <v>20043</v>
      </c>
      <c r="C1766" s="1" t="inlineStr">
        <is>
          <t>054</t>
        </is>
      </c>
      <c r="D1766" s="1" t="inlineStr">
        <is>
          <t xml:space="preserve">15403 </t>
        </is>
      </c>
      <c r="E1766" s="1" t="inlineStr">
        <is>
          <t xml:space="preserve">30141766       </t>
        </is>
      </c>
      <c r="F1766" s="5" t="inlineStr">
        <is>
          <t>TMZ BEAST MACHINES AUTOS DE METAL BLISTER X 1</t>
        </is>
      </c>
      <c r="G1766" t="n">
        <v>1</v>
      </c>
      <c r="H1766" s="7" t="n">
        <v>7.9</v>
      </c>
      <c r="I1766" s="7" t="n">
        <v>0</v>
      </c>
      <c r="J1766" s="7" t="n">
        <v>0</v>
      </c>
      <c r="K1766" s="9" t="n">
        <v>0</v>
      </c>
      <c r="L1766" s="10" t="n">
        <v>4.68</v>
      </c>
      <c r="M1766" s="10" t="n">
        <v>1.43</v>
      </c>
      <c r="N1766" t="inlineStr">
        <is>
          <t>1</t>
        </is>
      </c>
      <c r="O1766" t="inlineStr">
        <is>
          <t>16</t>
        </is>
      </c>
      <c r="P1766" t="inlineStr">
        <is>
          <t xml:space="preserve">52184   </t>
        </is>
      </c>
      <c r="Q1766" s="26" t="n">
        <v>4.69</v>
      </c>
      <c r="R1766" s="26">
        <f>Q1766*G1766</f>
        <v/>
      </c>
      <c r="S1766" s="26">
        <f>IFERROR(VLOOKUP(E1766*1,Tabla[#All],8,0),0)</f>
        <v/>
      </c>
      <c r="T1766" s="26">
        <f>S1766*G1766</f>
        <v/>
      </c>
      <c r="U1766" s="26">
        <f>R1766-T1766</f>
        <v/>
      </c>
      <c r="V1766" s="26">
        <f>U1766-L1766</f>
        <v/>
      </c>
    </row>
    <row r="1767">
      <c r="A1767" s="11" t="n">
        <v>46221</v>
      </c>
      <c r="B1767" s="1" t="n">
        <v>20043</v>
      </c>
      <c r="C1767" s="1" t="inlineStr">
        <is>
          <t>054</t>
        </is>
      </c>
      <c r="D1767" s="1" t="inlineStr">
        <is>
          <t xml:space="preserve">15408 </t>
        </is>
      </c>
      <c r="E1767" s="1" t="inlineStr">
        <is>
          <t xml:space="preserve">28194769       </t>
        </is>
      </c>
      <c r="F1767" s="5" t="inlineStr">
        <is>
          <t>AUTOS DE METAL 3 TEAMSTERZ PACK DE 2</t>
        </is>
      </c>
      <c r="G1767" t="n">
        <v>1</v>
      </c>
      <c r="H1767" s="7" t="n">
        <v>13.8</v>
      </c>
      <c r="I1767" s="7" t="n">
        <v>1.38</v>
      </c>
      <c r="J1767" s="7" t="n">
        <v>0</v>
      </c>
      <c r="K1767" s="9" t="n">
        <v>1.38</v>
      </c>
      <c r="L1767" s="10" t="n">
        <v>7.37</v>
      </c>
      <c r="M1767" s="10" t="n">
        <v>1.43</v>
      </c>
      <c r="N1767" t="inlineStr">
        <is>
          <t>1</t>
        </is>
      </c>
      <c r="O1767" t="inlineStr">
        <is>
          <t xml:space="preserve">3 </t>
        </is>
      </c>
      <c r="P1767" t="inlineStr">
        <is>
          <t xml:space="preserve">52184   </t>
        </is>
      </c>
      <c r="Q1767" s="26" t="n">
        <v>8.19</v>
      </c>
      <c r="R1767" s="26">
        <f>Q1767*G1767</f>
        <v/>
      </c>
      <c r="S1767" s="26">
        <f>IFERROR(VLOOKUP(E1767*1,Tabla[#All],8,0),0)</f>
        <v/>
      </c>
      <c r="T1767" s="26">
        <f>S1767*G1767</f>
        <v/>
      </c>
      <c r="U1767" s="26">
        <f>R1767-T1767</f>
        <v/>
      </c>
      <c r="V1767" s="26">
        <f>U1767-L1767</f>
        <v/>
      </c>
    </row>
    <row r="1768">
      <c r="A1768" s="11" t="n">
        <v>46221</v>
      </c>
      <c r="B1768" s="1" t="n">
        <v>20043</v>
      </c>
      <c r="C1768" s="1" t="inlineStr">
        <is>
          <t>054</t>
        </is>
      </c>
      <c r="D1768" s="1" t="inlineStr">
        <is>
          <t xml:space="preserve">15408 </t>
        </is>
      </c>
      <c r="E1768" s="1" t="inlineStr">
        <is>
          <t xml:space="preserve">30141766       </t>
        </is>
      </c>
      <c r="F1768" s="5" t="inlineStr">
        <is>
          <t>TMZ BEAST MACHINES AUTOS DE METAL BLISTER X 1</t>
        </is>
      </c>
      <c r="G1768" t="n">
        <v>1</v>
      </c>
      <c r="H1768" s="7" t="n">
        <v>7.9</v>
      </c>
      <c r="I1768" s="7" t="n">
        <v>0.79</v>
      </c>
      <c r="J1768" s="7" t="n">
        <v>0</v>
      </c>
      <c r="K1768" s="9" t="n">
        <v>0.79</v>
      </c>
      <c r="L1768" s="10" t="n">
        <v>4.22</v>
      </c>
      <c r="M1768" s="10" t="n">
        <v>1.43</v>
      </c>
      <c r="N1768" t="inlineStr">
        <is>
          <t>1</t>
        </is>
      </c>
      <c r="O1768" t="inlineStr">
        <is>
          <t xml:space="preserve">3 </t>
        </is>
      </c>
      <c r="P1768" t="inlineStr">
        <is>
          <t xml:space="preserve">52184   </t>
        </is>
      </c>
      <c r="Q1768" s="26" t="n">
        <v>4.69</v>
      </c>
      <c r="R1768" s="26">
        <f>Q1768*G1768</f>
        <v/>
      </c>
      <c r="S1768" s="26">
        <f>IFERROR(VLOOKUP(E1768*1,Tabla[#All],8,0),0)</f>
        <v/>
      </c>
      <c r="T1768" s="26">
        <f>S1768*G1768</f>
        <v/>
      </c>
      <c r="U1768" s="26">
        <f>R1768-T1768</f>
        <v/>
      </c>
      <c r="V1768" s="26">
        <f>U1768-L1768</f>
        <v/>
      </c>
    </row>
    <row r="1769">
      <c r="A1769" s="11" t="n">
        <v>46221</v>
      </c>
      <c r="B1769" s="1" t="n">
        <v>20043</v>
      </c>
      <c r="C1769" s="1" t="inlineStr">
        <is>
          <t>061</t>
        </is>
      </c>
      <c r="D1769" s="1" t="inlineStr">
        <is>
          <t>155190</t>
        </is>
      </c>
      <c r="E1769" s="1" t="inlineStr">
        <is>
          <t xml:space="preserve">32457103       </t>
        </is>
      </c>
      <c r="F1769" s="5" t="inlineStr">
        <is>
          <t>TMZ BEAST MACHINES MONSTER JAWS A FRICCION PACK DE</t>
        </is>
      </c>
      <c r="G1769" t="n">
        <v>1</v>
      </c>
      <c r="H1769" s="7" t="n">
        <v>32.9</v>
      </c>
      <c r="I1769" s="7" t="n">
        <v>3.29</v>
      </c>
      <c r="J1769" s="7" t="n">
        <v>0</v>
      </c>
      <c r="K1769" s="9" t="n">
        <v>3.29</v>
      </c>
      <c r="L1769" s="10" t="n">
        <v>17.56</v>
      </c>
      <c r="M1769" s="10" t="n">
        <v>1.43</v>
      </c>
      <c r="N1769" t="inlineStr">
        <is>
          <t>1</t>
        </is>
      </c>
      <c r="O1769" t="inlineStr">
        <is>
          <t xml:space="preserve">3 </t>
        </is>
      </c>
      <c r="P1769" t="inlineStr">
        <is>
          <t xml:space="preserve">30705   </t>
        </is>
      </c>
      <c r="Q1769" s="26" t="n">
        <v>22.48</v>
      </c>
      <c r="R1769" s="26">
        <f>Q1769*G1769</f>
        <v/>
      </c>
      <c r="S1769" s="26">
        <f>IFERROR(VLOOKUP(E1769*1,Tabla[#All],8,0),0)</f>
        <v/>
      </c>
      <c r="T1769" s="26">
        <f>S1769*G1769</f>
        <v/>
      </c>
      <c r="U1769" s="26">
        <f>R1769-T1769</f>
        <v/>
      </c>
      <c r="V1769" s="26">
        <f>U1769-L1769</f>
        <v/>
      </c>
    </row>
    <row r="1770">
      <c r="A1770" s="11" t="n">
        <v>46221</v>
      </c>
      <c r="B1770" s="1" t="n">
        <v>20043</v>
      </c>
      <c r="C1770" s="1" t="inlineStr">
        <is>
          <t>061</t>
        </is>
      </c>
      <c r="D1770" s="1" t="inlineStr">
        <is>
          <t>155234</t>
        </is>
      </c>
      <c r="E1770" s="1" t="inlineStr">
        <is>
          <t xml:space="preserve">28194768       </t>
        </is>
      </c>
      <c r="F1770" s="5" t="inlineStr">
        <is>
          <t>AUTO COLOR CHANGE TEAMSTERZ SURTIDO</t>
        </is>
      </c>
      <c r="G1770" t="n">
        <v>1</v>
      </c>
      <c r="H1770" s="7" t="n">
        <v>14.9</v>
      </c>
      <c r="I1770" s="7" t="n">
        <v>0</v>
      </c>
      <c r="J1770" s="7" t="n">
        <v>0</v>
      </c>
      <c r="K1770" s="9" t="n">
        <v>0</v>
      </c>
      <c r="L1770" s="10" t="n">
        <v>8.84</v>
      </c>
      <c r="M1770" s="10" t="n">
        <v>1.43</v>
      </c>
      <c r="N1770" t="inlineStr">
        <is>
          <t>1</t>
        </is>
      </c>
      <c r="O1770" t="inlineStr">
        <is>
          <t>16</t>
        </is>
      </c>
      <c r="P1770" t="inlineStr">
        <is>
          <t xml:space="preserve">30705   </t>
        </is>
      </c>
      <c r="Q1770" s="26" t="n">
        <v>8.84</v>
      </c>
      <c r="R1770" s="26">
        <f>Q1770*G1770</f>
        <v/>
      </c>
      <c r="S1770" s="26">
        <f>IFERROR(VLOOKUP(E1770*1,Tabla[#All],8,0),0)</f>
        <v/>
      </c>
      <c r="T1770" s="26">
        <f>S1770*G1770</f>
        <v/>
      </c>
      <c r="U1770" s="26">
        <f>R1770-T1770</f>
        <v/>
      </c>
      <c r="V1770" s="26">
        <f>U1770-L1770</f>
        <v/>
      </c>
    </row>
    <row r="1771">
      <c r="A1771" s="11" t="n">
        <v>46221</v>
      </c>
      <c r="B1771" s="1" t="n">
        <v>20043</v>
      </c>
      <c r="C1771" s="1" t="inlineStr">
        <is>
          <t>061</t>
        </is>
      </c>
      <c r="D1771" s="1" t="inlineStr">
        <is>
          <t>155259</t>
        </is>
      </c>
      <c r="E1771" s="1" t="inlineStr">
        <is>
          <t xml:space="preserve">31754676       </t>
        </is>
      </c>
      <c r="F1771" s="5" t="inlineStr">
        <is>
          <t>INFINITY NADO SERIE 6 STD PACK LANZ ESPAD ANILLO M</t>
        </is>
      </c>
      <c r="G1771" t="n">
        <v>1</v>
      </c>
      <c r="H1771" s="7" t="n">
        <v>59.9</v>
      </c>
      <c r="I1771" s="7" t="n">
        <v>0</v>
      </c>
      <c r="J1771" s="7" t="n">
        <v>0</v>
      </c>
      <c r="K1771" s="9" t="n">
        <v>0</v>
      </c>
      <c r="L1771" s="10" t="n">
        <v>35.53</v>
      </c>
      <c r="M1771" s="10" t="n">
        <v>1.43</v>
      </c>
      <c r="N1771" t="inlineStr">
        <is>
          <t>1</t>
        </is>
      </c>
      <c r="O1771" t="inlineStr">
        <is>
          <t>16</t>
        </is>
      </c>
      <c r="P1771" t="inlineStr">
        <is>
          <t xml:space="preserve">30705   </t>
        </is>
      </c>
      <c r="Q1771" s="26" t="n">
        <v>47.4</v>
      </c>
      <c r="R1771" s="26">
        <f>Q1771*G1771</f>
        <v/>
      </c>
      <c r="S1771" s="26">
        <f>IFERROR(VLOOKUP(E1771*1,Tabla[#All],8,0),0)</f>
        <v/>
      </c>
      <c r="T1771" s="26">
        <f>S1771*G1771</f>
        <v/>
      </c>
      <c r="U1771" s="26">
        <f>R1771-T1771</f>
        <v/>
      </c>
      <c r="V1771" s="26">
        <f>U1771-L1771</f>
        <v/>
      </c>
    </row>
    <row r="1772">
      <c r="A1772" s="11" t="n">
        <v>46221</v>
      </c>
      <c r="B1772" s="1" t="n">
        <v>20047</v>
      </c>
      <c r="C1772" s="1" t="inlineStr">
        <is>
          <t>012</t>
        </is>
      </c>
      <c r="D1772" s="1" t="inlineStr">
        <is>
          <t>332955</t>
        </is>
      </c>
      <c r="E1772" s="1" t="inlineStr">
        <is>
          <t xml:space="preserve">28194770       </t>
        </is>
      </c>
      <c r="F1772" s="5" t="inlineStr">
        <is>
          <t>AUTOS DE METAL 3 TEAMSTERZ EN BLISTER</t>
        </is>
      </c>
      <c r="G1772" t="n">
        <v>1</v>
      </c>
      <c r="H1772" s="7" t="n">
        <v>6.9</v>
      </c>
      <c r="I1772" s="7" t="n">
        <v>0</v>
      </c>
      <c r="J1772" s="7" t="n">
        <v>0</v>
      </c>
      <c r="K1772" s="9" t="n">
        <v>0</v>
      </c>
      <c r="L1772" s="10" t="n">
        <v>4.1</v>
      </c>
      <c r="M1772" s="10" t="n">
        <v>1.43</v>
      </c>
      <c r="N1772" t="inlineStr">
        <is>
          <t>1</t>
        </is>
      </c>
      <c r="O1772" t="inlineStr">
        <is>
          <t xml:space="preserve">2 </t>
        </is>
      </c>
      <c r="P1772" t="inlineStr">
        <is>
          <t xml:space="preserve">240556  </t>
        </is>
      </c>
      <c r="Q1772" s="26" t="n">
        <v>4.09</v>
      </c>
      <c r="R1772" s="26">
        <f>Q1772*G1772</f>
        <v/>
      </c>
      <c r="S1772" s="26">
        <f>IFERROR(VLOOKUP(E1772*1,Tabla[#All],8,0),0)</f>
        <v/>
      </c>
      <c r="T1772" s="26">
        <f>S1772*G1772</f>
        <v/>
      </c>
      <c r="U1772" s="26">
        <f>R1772-T1772</f>
        <v/>
      </c>
      <c r="V1772" s="26">
        <f>U1772-L1772</f>
        <v/>
      </c>
    </row>
    <row r="1773">
      <c r="A1773" s="11" t="n">
        <v>46221</v>
      </c>
      <c r="B1773" s="1" t="n">
        <v>20047</v>
      </c>
      <c r="C1773" s="1" t="inlineStr">
        <is>
          <t>012</t>
        </is>
      </c>
      <c r="D1773" s="1" t="inlineStr">
        <is>
          <t>332967</t>
        </is>
      </c>
      <c r="E1773" s="1" t="inlineStr">
        <is>
          <t xml:space="preserve">28194770       </t>
        </is>
      </c>
      <c r="F1773" s="5" t="inlineStr">
        <is>
          <t>AUTOS DE METAL 3 TEAMSTERZ EN BLISTER</t>
        </is>
      </c>
      <c r="G1773" t="n">
        <v>1</v>
      </c>
      <c r="H1773" s="7" t="n">
        <v>6.9</v>
      </c>
      <c r="I1773" s="7" t="n">
        <v>0</v>
      </c>
      <c r="J1773" s="7" t="n">
        <v>0</v>
      </c>
      <c r="K1773" s="9" t="n">
        <v>0</v>
      </c>
      <c r="L1773" s="10" t="n">
        <v>4.1</v>
      </c>
      <c r="M1773" s="10" t="n">
        <v>1.43</v>
      </c>
      <c r="N1773" t="inlineStr">
        <is>
          <t>1</t>
        </is>
      </c>
      <c r="O1773" t="inlineStr">
        <is>
          <t xml:space="preserve">2 </t>
        </is>
      </c>
      <c r="P1773" t="inlineStr">
        <is>
          <t xml:space="preserve">240556  </t>
        </is>
      </c>
      <c r="Q1773" s="26" t="n">
        <v>4.09</v>
      </c>
      <c r="R1773" s="26">
        <f>Q1773*G1773</f>
        <v/>
      </c>
      <c r="S1773" s="26">
        <f>IFERROR(VLOOKUP(E1773*1,Tabla[#All],8,0),0)</f>
        <v/>
      </c>
      <c r="T1773" s="26">
        <f>S1773*G1773</f>
        <v/>
      </c>
      <c r="U1773" s="26">
        <f>R1773-T1773</f>
        <v/>
      </c>
      <c r="V1773" s="26">
        <f>U1773-L1773</f>
        <v/>
      </c>
    </row>
    <row r="1774">
      <c r="A1774" s="11" t="n">
        <v>46221</v>
      </c>
      <c r="B1774" s="1" t="n">
        <v>20047</v>
      </c>
      <c r="C1774" s="1" t="inlineStr">
        <is>
          <t>012</t>
        </is>
      </c>
      <c r="D1774" s="1" t="inlineStr">
        <is>
          <t>332967</t>
        </is>
      </c>
      <c r="E1774" s="1" t="inlineStr">
        <is>
          <t xml:space="preserve">28194770       </t>
        </is>
      </c>
      <c r="F1774" s="5" t="inlineStr">
        <is>
          <t>AUTOS DE METAL 3 TEAMSTERZ EN BLISTER</t>
        </is>
      </c>
      <c r="G1774" t="n">
        <v>1</v>
      </c>
      <c r="H1774" s="7" t="n">
        <v>6.9</v>
      </c>
      <c r="I1774" s="7" t="n">
        <v>0</v>
      </c>
      <c r="J1774" s="7" t="n">
        <v>0</v>
      </c>
      <c r="K1774" s="9" t="n">
        <v>0</v>
      </c>
      <c r="L1774" s="10" t="n">
        <v>4.1</v>
      </c>
      <c r="M1774" s="10" t="n">
        <v>1.43</v>
      </c>
      <c r="N1774" t="inlineStr">
        <is>
          <t>1</t>
        </is>
      </c>
      <c r="O1774" t="inlineStr">
        <is>
          <t xml:space="preserve">2 </t>
        </is>
      </c>
      <c r="P1774" t="inlineStr">
        <is>
          <t xml:space="preserve">240556  </t>
        </is>
      </c>
      <c r="Q1774" s="26" t="n">
        <v>4.09</v>
      </c>
      <c r="R1774" s="26">
        <f>Q1774*G1774</f>
        <v/>
      </c>
      <c r="S1774" s="26">
        <f>IFERROR(VLOOKUP(E1774*1,Tabla[#All],8,0),0)</f>
        <v/>
      </c>
      <c r="T1774" s="26">
        <f>S1774*G1774</f>
        <v/>
      </c>
      <c r="U1774" s="26">
        <f>R1774-T1774</f>
        <v/>
      </c>
      <c r="V1774" s="26">
        <f>U1774-L1774</f>
        <v/>
      </c>
    </row>
    <row r="1775">
      <c r="A1775" s="11" t="n">
        <v>46221</v>
      </c>
      <c r="B1775" s="1" t="n">
        <v>20047</v>
      </c>
      <c r="C1775" s="1" t="inlineStr">
        <is>
          <t>017</t>
        </is>
      </c>
      <c r="D1775" s="1" t="inlineStr">
        <is>
          <t>122945</t>
        </is>
      </c>
      <c r="E1775" s="1" t="inlineStr">
        <is>
          <t xml:space="preserve">28194770       </t>
        </is>
      </c>
      <c r="F1775" s="5" t="inlineStr">
        <is>
          <t>AUTOS DE METAL 3 TEAMSTERZ EN BLISTER</t>
        </is>
      </c>
      <c r="G1775" t="n">
        <v>1</v>
      </c>
      <c r="H1775" s="7" t="n">
        <v>6.9</v>
      </c>
      <c r="I1775" s="7" t="n">
        <v>0</v>
      </c>
      <c r="J1775" s="7" t="n">
        <v>0</v>
      </c>
      <c r="K1775" s="9" t="n">
        <v>0</v>
      </c>
      <c r="L1775" s="10" t="n">
        <v>4.1</v>
      </c>
      <c r="M1775" s="10" t="n">
        <v>1.43</v>
      </c>
      <c r="N1775" t="inlineStr">
        <is>
          <t>1</t>
        </is>
      </c>
      <c r="O1775" t="inlineStr">
        <is>
          <t xml:space="preserve">2 </t>
        </is>
      </c>
      <c r="P1775" t="inlineStr">
        <is>
          <t xml:space="preserve">233956  </t>
        </is>
      </c>
      <c r="Q1775" s="26" t="n">
        <v>4.09</v>
      </c>
      <c r="R1775" s="26">
        <f>Q1775*G1775</f>
        <v/>
      </c>
      <c r="S1775" s="26">
        <f>IFERROR(VLOOKUP(E1775*1,Tabla[#All],8,0),0)</f>
        <v/>
      </c>
      <c r="T1775" s="26">
        <f>S1775*G1775</f>
        <v/>
      </c>
      <c r="U1775" s="26">
        <f>R1775-T1775</f>
        <v/>
      </c>
      <c r="V1775" s="26">
        <f>U1775-L1775</f>
        <v/>
      </c>
    </row>
    <row r="1776">
      <c r="A1776" s="11" t="n">
        <v>46221</v>
      </c>
      <c r="B1776" s="1" t="n">
        <v>20047</v>
      </c>
      <c r="C1776" s="1" t="inlineStr">
        <is>
          <t>191</t>
        </is>
      </c>
      <c r="D1776" s="1" t="inlineStr">
        <is>
          <t>462320</t>
        </is>
      </c>
      <c r="E1776" s="1" t="inlineStr">
        <is>
          <t xml:space="preserve">28194770       </t>
        </is>
      </c>
      <c r="F1776" s="5" t="inlineStr">
        <is>
          <t>AUTOS DE METAL 3 TEAMSTERZ EN BLISTER</t>
        </is>
      </c>
      <c r="G1776" t="n">
        <v>1</v>
      </c>
      <c r="H1776" s="7" t="n">
        <v>6.9</v>
      </c>
      <c r="I1776" s="7" t="n">
        <v>0</v>
      </c>
      <c r="J1776" s="7" t="n">
        <v>0</v>
      </c>
      <c r="K1776" s="9" t="n">
        <v>0</v>
      </c>
      <c r="L1776" s="10" t="n">
        <v>4.1</v>
      </c>
      <c r="M1776" s="10" t="n">
        <v>1.43</v>
      </c>
      <c r="N1776" t="inlineStr">
        <is>
          <t>1</t>
        </is>
      </c>
      <c r="O1776" t="inlineStr">
        <is>
          <t xml:space="preserve">2 </t>
        </is>
      </c>
      <c r="P1776" t="inlineStr">
        <is>
          <t xml:space="preserve">245862  </t>
        </is>
      </c>
      <c r="Q1776" s="26" t="n">
        <v>4.09</v>
      </c>
      <c r="R1776" s="26">
        <f>Q1776*G1776</f>
        <v/>
      </c>
      <c r="S1776" s="26">
        <f>IFERROR(VLOOKUP(E1776*1,Tabla[#All],8,0),0)</f>
        <v/>
      </c>
      <c r="T1776" s="26">
        <f>S1776*G1776</f>
        <v/>
      </c>
      <c r="U1776" s="26">
        <f>R1776-T1776</f>
        <v/>
      </c>
      <c r="V1776" s="26">
        <f>U1776-L1776</f>
        <v/>
      </c>
    </row>
    <row r="1777">
      <c r="A1777" s="11" t="n">
        <v>46221</v>
      </c>
      <c r="B1777" s="1" t="n">
        <v>20047</v>
      </c>
      <c r="C1777" s="1" t="inlineStr">
        <is>
          <t>191</t>
        </is>
      </c>
      <c r="D1777" s="1" t="inlineStr">
        <is>
          <t>462369</t>
        </is>
      </c>
      <c r="E1777" s="1" t="inlineStr">
        <is>
          <t xml:space="preserve">28194770       </t>
        </is>
      </c>
      <c r="F1777" s="5" t="inlineStr">
        <is>
          <t>AUTOS DE METAL 3 TEAMSTERZ EN BLISTER</t>
        </is>
      </c>
      <c r="G1777" t="n">
        <v>1</v>
      </c>
      <c r="H1777" s="7" t="n">
        <v>6.9</v>
      </c>
      <c r="I1777" s="7" t="n">
        <v>0</v>
      </c>
      <c r="J1777" s="7" t="n">
        <v>0</v>
      </c>
      <c r="K1777" s="9" t="n">
        <v>0</v>
      </c>
      <c r="L1777" s="10" t="n">
        <v>4.1</v>
      </c>
      <c r="M1777" s="10" t="n">
        <v>1.43</v>
      </c>
      <c r="N1777" t="inlineStr">
        <is>
          <t>1</t>
        </is>
      </c>
      <c r="O1777" t="inlineStr">
        <is>
          <t xml:space="preserve">2 </t>
        </is>
      </c>
      <c r="P1777" t="inlineStr">
        <is>
          <t xml:space="preserve">245862  </t>
        </is>
      </c>
      <c r="Q1777" s="26" t="n">
        <v>4.09</v>
      </c>
      <c r="R1777" s="26">
        <f>Q1777*G1777</f>
        <v/>
      </c>
      <c r="S1777" s="26">
        <f>IFERROR(VLOOKUP(E1777*1,Tabla[#All],8,0),0)</f>
        <v/>
      </c>
      <c r="T1777" s="26">
        <f>S1777*G1777</f>
        <v/>
      </c>
      <c r="U1777" s="26">
        <f>R1777-T1777</f>
        <v/>
      </c>
      <c r="V1777" s="26">
        <f>U1777-L1777</f>
        <v/>
      </c>
    </row>
    <row r="1778">
      <c r="A1778" s="11" t="n">
        <v>46221</v>
      </c>
      <c r="B1778" s="1" t="n">
        <v>20047</v>
      </c>
      <c r="C1778" s="1" t="inlineStr">
        <is>
          <t>191</t>
        </is>
      </c>
      <c r="D1778" s="1" t="inlineStr">
        <is>
          <t>462369</t>
        </is>
      </c>
      <c r="E1778" s="1" t="inlineStr">
        <is>
          <t xml:space="preserve">28194770       </t>
        </is>
      </c>
      <c r="F1778" s="5" t="inlineStr">
        <is>
          <t>AUTOS DE METAL 3 TEAMSTERZ EN BLISTER</t>
        </is>
      </c>
      <c r="G1778" t="n">
        <v>1</v>
      </c>
      <c r="H1778" s="7" t="n">
        <v>6.9</v>
      </c>
      <c r="I1778" s="7" t="n">
        <v>0</v>
      </c>
      <c r="J1778" s="7" t="n">
        <v>0</v>
      </c>
      <c r="K1778" s="9" t="n">
        <v>0</v>
      </c>
      <c r="L1778" s="10" t="n">
        <v>4.1</v>
      </c>
      <c r="M1778" s="10" t="n">
        <v>1.43</v>
      </c>
      <c r="N1778" t="inlineStr">
        <is>
          <t>1</t>
        </is>
      </c>
      <c r="O1778" t="inlineStr">
        <is>
          <t xml:space="preserve">2 </t>
        </is>
      </c>
      <c r="P1778" t="inlineStr">
        <is>
          <t xml:space="preserve">245862  </t>
        </is>
      </c>
      <c r="Q1778" s="26" t="n">
        <v>4.09</v>
      </c>
      <c r="R1778" s="26">
        <f>Q1778*G1778</f>
        <v/>
      </c>
      <c r="S1778" s="26">
        <f>IFERROR(VLOOKUP(E1778*1,Tabla[#All],8,0),0)</f>
        <v/>
      </c>
      <c r="T1778" s="26">
        <f>S1778*G1778</f>
        <v/>
      </c>
      <c r="U1778" s="26">
        <f>R1778-T1778</f>
        <v/>
      </c>
      <c r="V1778" s="26">
        <f>U1778-L1778</f>
        <v/>
      </c>
    </row>
    <row r="1779">
      <c r="A1779" s="11" t="n">
        <v>46221</v>
      </c>
      <c r="B1779" s="1" t="n">
        <v>20047</v>
      </c>
      <c r="C1779" s="1" t="inlineStr">
        <is>
          <t>191</t>
        </is>
      </c>
      <c r="D1779" s="1" t="inlineStr">
        <is>
          <t>462369</t>
        </is>
      </c>
      <c r="E1779" s="1" t="inlineStr">
        <is>
          <t xml:space="preserve">28194770       </t>
        </is>
      </c>
      <c r="F1779" s="5" t="inlineStr">
        <is>
          <t>AUTOS DE METAL 3 TEAMSTERZ EN BLISTER</t>
        </is>
      </c>
      <c r="G1779" t="n">
        <v>1</v>
      </c>
      <c r="H1779" s="7" t="n">
        <v>6.9</v>
      </c>
      <c r="I1779" s="7" t="n">
        <v>0</v>
      </c>
      <c r="J1779" s="7" t="n">
        <v>0</v>
      </c>
      <c r="K1779" s="9" t="n">
        <v>0</v>
      </c>
      <c r="L1779" s="10" t="n">
        <v>4.1</v>
      </c>
      <c r="M1779" s="10" t="n">
        <v>1.43</v>
      </c>
      <c r="N1779" t="inlineStr">
        <is>
          <t>1</t>
        </is>
      </c>
      <c r="O1779" t="inlineStr">
        <is>
          <t xml:space="preserve">2 </t>
        </is>
      </c>
      <c r="P1779" t="inlineStr">
        <is>
          <t xml:space="preserve">245862  </t>
        </is>
      </c>
      <c r="Q1779" s="26" t="n">
        <v>4.09</v>
      </c>
      <c r="R1779" s="26">
        <f>Q1779*G1779</f>
        <v/>
      </c>
      <c r="S1779" s="26">
        <f>IFERROR(VLOOKUP(E1779*1,Tabla[#All],8,0),0)</f>
        <v/>
      </c>
      <c r="T1779" s="26">
        <f>S1779*G1779</f>
        <v/>
      </c>
      <c r="U1779" s="26">
        <f>R1779-T1779</f>
        <v/>
      </c>
      <c r="V1779" s="26">
        <f>U1779-L1779</f>
        <v/>
      </c>
    </row>
    <row r="1780">
      <c r="A1780" s="11" t="n">
        <v>46221</v>
      </c>
      <c r="B1780" s="1" t="n">
        <v>20047</v>
      </c>
      <c r="C1780" s="1" t="inlineStr">
        <is>
          <t>191</t>
        </is>
      </c>
      <c r="D1780" s="1" t="inlineStr">
        <is>
          <t>462369</t>
        </is>
      </c>
      <c r="E1780" s="1" t="inlineStr">
        <is>
          <t xml:space="preserve">28194770       </t>
        </is>
      </c>
      <c r="F1780" s="5" t="inlineStr">
        <is>
          <t>AUTOS DE METAL 3 TEAMSTERZ EN BLISTER</t>
        </is>
      </c>
      <c r="G1780" t="n">
        <v>1</v>
      </c>
      <c r="H1780" s="7" t="n">
        <v>6.9</v>
      </c>
      <c r="I1780" s="7" t="n">
        <v>0</v>
      </c>
      <c r="J1780" s="7" t="n">
        <v>0</v>
      </c>
      <c r="K1780" s="9" t="n">
        <v>0</v>
      </c>
      <c r="L1780" s="10" t="n">
        <v>4.1</v>
      </c>
      <c r="M1780" s="10" t="n">
        <v>1.43</v>
      </c>
      <c r="N1780" t="inlineStr">
        <is>
          <t>1</t>
        </is>
      </c>
      <c r="O1780" t="inlineStr">
        <is>
          <t xml:space="preserve">2 </t>
        </is>
      </c>
      <c r="P1780" t="inlineStr">
        <is>
          <t xml:space="preserve">245862  </t>
        </is>
      </c>
      <c r="Q1780" s="26" t="n">
        <v>4.09</v>
      </c>
      <c r="R1780" s="26">
        <f>Q1780*G1780</f>
        <v/>
      </c>
      <c r="S1780" s="26">
        <f>IFERROR(VLOOKUP(E1780*1,Tabla[#All],8,0),0)</f>
        <v/>
      </c>
      <c r="T1780" s="26">
        <f>S1780*G1780</f>
        <v/>
      </c>
      <c r="U1780" s="26">
        <f>R1780-T1780</f>
        <v/>
      </c>
      <c r="V1780" s="26">
        <f>U1780-L1780</f>
        <v/>
      </c>
    </row>
    <row r="1781">
      <c r="A1781" s="11" t="n">
        <v>46221</v>
      </c>
      <c r="B1781" s="1" t="n">
        <v>20047</v>
      </c>
      <c r="C1781" s="1" t="inlineStr">
        <is>
          <t>191</t>
        </is>
      </c>
      <c r="D1781" s="1" t="inlineStr">
        <is>
          <t>462369</t>
        </is>
      </c>
      <c r="E1781" s="1" t="inlineStr">
        <is>
          <t xml:space="preserve">28194770       </t>
        </is>
      </c>
      <c r="F1781" s="5" t="inlineStr">
        <is>
          <t>AUTOS DE METAL 3 TEAMSTERZ EN BLISTER</t>
        </is>
      </c>
      <c r="G1781" t="n">
        <v>1</v>
      </c>
      <c r="H1781" s="7" t="n">
        <v>6.9</v>
      </c>
      <c r="I1781" s="7" t="n">
        <v>0</v>
      </c>
      <c r="J1781" s="7" t="n">
        <v>0</v>
      </c>
      <c r="K1781" s="9" t="n">
        <v>0</v>
      </c>
      <c r="L1781" s="10" t="n">
        <v>4.1</v>
      </c>
      <c r="M1781" s="10" t="n">
        <v>1.43</v>
      </c>
      <c r="N1781" t="inlineStr">
        <is>
          <t>1</t>
        </is>
      </c>
      <c r="O1781" t="inlineStr">
        <is>
          <t xml:space="preserve">2 </t>
        </is>
      </c>
      <c r="P1781" t="inlineStr">
        <is>
          <t xml:space="preserve">245862  </t>
        </is>
      </c>
      <c r="Q1781" s="26" t="n">
        <v>4.09</v>
      </c>
      <c r="R1781" s="26">
        <f>Q1781*G1781</f>
        <v/>
      </c>
      <c r="S1781" s="26">
        <f>IFERROR(VLOOKUP(E1781*1,Tabla[#All],8,0),0)</f>
        <v/>
      </c>
      <c r="T1781" s="26">
        <f>S1781*G1781</f>
        <v/>
      </c>
      <c r="U1781" s="26">
        <f>R1781-T1781</f>
        <v/>
      </c>
      <c r="V1781" s="26">
        <f>U1781-L1781</f>
        <v/>
      </c>
    </row>
    <row r="1782">
      <c r="A1782" s="11" t="n">
        <v>46221</v>
      </c>
      <c r="B1782" s="1" t="n">
        <v>20047</v>
      </c>
      <c r="C1782" s="1" t="inlineStr">
        <is>
          <t>502</t>
        </is>
      </c>
      <c r="D1782" s="1" t="inlineStr">
        <is>
          <t xml:space="preserve">4087  </t>
        </is>
      </c>
      <c r="E1782" s="1" t="inlineStr">
        <is>
          <t xml:space="preserve">32457111       </t>
        </is>
      </c>
      <c r="F1782" s="5" t="inlineStr">
        <is>
          <t>TMZ BEAST MACHINES MONSTER JAWS A FRICCION PACK DE</t>
        </is>
      </c>
      <c r="G1782" t="n">
        <v>1</v>
      </c>
      <c r="H1782" s="7" t="n">
        <v>54.9</v>
      </c>
      <c r="I1782" s="7" t="n">
        <v>0</v>
      </c>
      <c r="J1782" s="7" t="n">
        <v>0</v>
      </c>
      <c r="K1782" s="9" t="n">
        <v>0</v>
      </c>
      <c r="L1782" s="10" t="n">
        <v>32.57</v>
      </c>
      <c r="M1782" s="10" t="n">
        <v>1.43</v>
      </c>
      <c r="N1782" t="inlineStr">
        <is>
          <t>1</t>
        </is>
      </c>
      <c r="O1782" t="inlineStr">
        <is>
          <t>16</t>
        </is>
      </c>
      <c r="P1782" t="inlineStr">
        <is>
          <t xml:space="preserve">242545  </t>
        </is>
      </c>
      <c r="Q1782" s="26" t="n">
        <v>44.43</v>
      </c>
      <c r="R1782" s="26">
        <f>Q1782*G1782</f>
        <v/>
      </c>
      <c r="S1782" s="26">
        <f>IFERROR(VLOOKUP(E1782*1,Tabla[#All],8,0),0)</f>
        <v/>
      </c>
      <c r="T1782" s="26">
        <f>S1782*G1782</f>
        <v/>
      </c>
      <c r="U1782" s="26">
        <f>R1782-T1782</f>
        <v/>
      </c>
      <c r="V1782" s="26">
        <f>U1782-L1782</f>
        <v/>
      </c>
    </row>
    <row r="1783">
      <c r="A1783" s="11" t="n">
        <v>46221</v>
      </c>
      <c r="B1783" s="1" t="n">
        <v>20047</v>
      </c>
      <c r="C1783" s="1" t="inlineStr">
        <is>
          <t>502</t>
        </is>
      </c>
      <c r="D1783" s="1" t="inlineStr">
        <is>
          <t xml:space="preserve">4090  </t>
        </is>
      </c>
      <c r="E1783" s="1" t="inlineStr">
        <is>
          <t xml:space="preserve">28194770       </t>
        </is>
      </c>
      <c r="F1783" s="5" t="inlineStr">
        <is>
          <t>AUTOS DE METAL 3 TEAMSTERZ EN BLISTER</t>
        </is>
      </c>
      <c r="G1783" t="n">
        <v>3</v>
      </c>
      <c r="H1783" s="7" t="n">
        <v>20.7</v>
      </c>
      <c r="I1783" s="7" t="n">
        <v>0</v>
      </c>
      <c r="J1783" s="7" t="n">
        <v>0</v>
      </c>
      <c r="K1783" s="9" t="n">
        <v>0</v>
      </c>
      <c r="L1783" s="10" t="n">
        <v>12.27</v>
      </c>
      <c r="M1783" s="10" t="n">
        <v>1.43</v>
      </c>
      <c r="N1783" t="inlineStr">
        <is>
          <t>1</t>
        </is>
      </c>
      <c r="O1783" t="inlineStr">
        <is>
          <t>16</t>
        </is>
      </c>
      <c r="P1783" t="inlineStr">
        <is>
          <t xml:space="preserve">242545  </t>
        </is>
      </c>
      <c r="Q1783" s="26" t="n">
        <v>4.09</v>
      </c>
      <c r="R1783" s="26">
        <f>Q1783*G1783</f>
        <v/>
      </c>
      <c r="S1783" s="26">
        <f>IFERROR(VLOOKUP(E1783*1,Tabla[#All],8,0),0)</f>
        <v/>
      </c>
      <c r="T1783" s="26">
        <f>S1783*G1783</f>
        <v/>
      </c>
      <c r="U1783" s="26">
        <f>R1783-T1783</f>
        <v/>
      </c>
      <c r="V1783" s="26">
        <f>U1783-L1783</f>
        <v/>
      </c>
    </row>
    <row r="1784">
      <c r="A1784" s="11" t="n">
        <v>46221</v>
      </c>
      <c r="B1784" s="1" t="n">
        <v>20048</v>
      </c>
      <c r="C1784" s="1" t="inlineStr">
        <is>
          <t>013</t>
        </is>
      </c>
      <c r="D1784" s="1" t="inlineStr">
        <is>
          <t>225844</t>
        </is>
      </c>
      <c r="E1784" s="1" t="inlineStr">
        <is>
          <t xml:space="preserve">32457099       </t>
        </is>
      </c>
      <c r="F1784" s="5" t="inlineStr">
        <is>
          <t>TMZ BEAST MACHINES MONSTER JAWS A FRICCION BLISTER</t>
        </is>
      </c>
      <c r="G1784" t="n">
        <v>1</v>
      </c>
      <c r="H1784" s="7" t="n">
        <v>17.9</v>
      </c>
      <c r="I1784" s="7" t="n">
        <v>0</v>
      </c>
      <c r="J1784" s="7" t="n">
        <v>0</v>
      </c>
      <c r="K1784" s="9" t="n">
        <v>0</v>
      </c>
      <c r="L1784" s="10" t="n">
        <v>10.62</v>
      </c>
      <c r="M1784" s="10" t="n">
        <v>1.43</v>
      </c>
      <c r="N1784" t="inlineStr">
        <is>
          <t>1</t>
        </is>
      </c>
      <c r="O1784" t="inlineStr">
        <is>
          <t>16</t>
        </is>
      </c>
      <c r="P1784" t="inlineStr">
        <is>
          <t xml:space="preserve">80084   </t>
        </is>
      </c>
      <c r="Q1784" s="26" t="n">
        <v>11.81</v>
      </c>
      <c r="R1784" s="26">
        <f>Q1784*G1784</f>
        <v/>
      </c>
      <c r="S1784" s="26">
        <f>IFERROR(VLOOKUP(E1784*1,Tabla[#All],8,0),0)</f>
        <v/>
      </c>
      <c r="T1784" s="26">
        <f>S1784*G1784</f>
        <v/>
      </c>
      <c r="U1784" s="26">
        <f>R1784-T1784</f>
        <v/>
      </c>
      <c r="V1784" s="26">
        <f>U1784-L1784</f>
        <v/>
      </c>
    </row>
    <row r="1785">
      <c r="A1785" s="11" t="n">
        <v>46221</v>
      </c>
      <c r="B1785" s="1" t="n">
        <v>20048</v>
      </c>
      <c r="C1785" s="1" t="inlineStr">
        <is>
          <t>013</t>
        </is>
      </c>
      <c r="D1785" s="1" t="inlineStr">
        <is>
          <t>225879</t>
        </is>
      </c>
      <c r="E1785" s="1" t="inlineStr">
        <is>
          <t xml:space="preserve">28194782       </t>
        </is>
      </c>
      <c r="F1785" s="5" t="inlineStr">
        <is>
          <t>TROMPO BATALLA INFINITY NADO SERIE V ORIGINAL SURT</t>
        </is>
      </c>
      <c r="G1785" t="n">
        <v>1</v>
      </c>
      <c r="H1785" s="7" t="n">
        <v>49.9</v>
      </c>
      <c r="I1785" s="7" t="n">
        <v>0</v>
      </c>
      <c r="J1785" s="7" t="n">
        <v>0</v>
      </c>
      <c r="K1785" s="9" t="n">
        <v>0</v>
      </c>
      <c r="L1785" s="10" t="n">
        <v>29.6</v>
      </c>
      <c r="M1785" s="10" t="n">
        <v>1.43</v>
      </c>
      <c r="N1785" t="inlineStr">
        <is>
          <t>1</t>
        </is>
      </c>
      <c r="O1785" t="inlineStr">
        <is>
          <t>16</t>
        </is>
      </c>
      <c r="P1785" t="inlineStr">
        <is>
          <t xml:space="preserve">80084   </t>
        </is>
      </c>
      <c r="Q1785" s="26" t="n">
        <v>41.47</v>
      </c>
      <c r="R1785" s="26">
        <f>Q1785*G1785</f>
        <v/>
      </c>
      <c r="S1785" s="26">
        <f>IFERROR(VLOOKUP(E1785*1,Tabla[#All],8,0),0)</f>
        <v/>
      </c>
      <c r="T1785" s="26">
        <f>S1785*G1785</f>
        <v/>
      </c>
      <c r="U1785" s="26">
        <f>R1785-T1785</f>
        <v/>
      </c>
      <c r="V1785" s="26">
        <f>U1785-L1785</f>
        <v/>
      </c>
    </row>
    <row r="1786">
      <c r="A1786" s="11" t="n">
        <v>46221</v>
      </c>
      <c r="B1786" s="1" t="n">
        <v>20048</v>
      </c>
      <c r="C1786" s="1" t="inlineStr">
        <is>
          <t>013</t>
        </is>
      </c>
      <c r="D1786" s="1" t="inlineStr">
        <is>
          <t>225879</t>
        </is>
      </c>
      <c r="E1786" s="1" t="inlineStr">
        <is>
          <t xml:space="preserve">31754675       </t>
        </is>
      </c>
      <c r="F1786" s="5" t="inlineStr">
        <is>
          <t>INFINITY NADO SERIE 6 STARTER PACK - 4 MODELOS</t>
        </is>
      </c>
      <c r="G1786" t="n">
        <v>1</v>
      </c>
      <c r="H1786" s="7" t="n">
        <v>49.9</v>
      </c>
      <c r="I1786" s="7" t="n">
        <v>0</v>
      </c>
      <c r="J1786" s="7" t="n">
        <v>0</v>
      </c>
      <c r="K1786" s="9" t="n">
        <v>0</v>
      </c>
      <c r="L1786" s="10" t="n">
        <v>29.6</v>
      </c>
      <c r="M1786" s="10" t="n">
        <v>1.43</v>
      </c>
      <c r="N1786" t="inlineStr">
        <is>
          <t>1</t>
        </is>
      </c>
      <c r="O1786" t="inlineStr">
        <is>
          <t>16</t>
        </is>
      </c>
      <c r="P1786" t="inlineStr">
        <is>
          <t xml:space="preserve">80084   </t>
        </is>
      </c>
      <c r="Q1786" s="26" t="n">
        <v>41.47</v>
      </c>
      <c r="R1786" s="26">
        <f>Q1786*G1786</f>
        <v/>
      </c>
      <c r="S1786" s="26">
        <f>IFERROR(VLOOKUP(E1786*1,Tabla[#All],8,0),0)</f>
        <v/>
      </c>
      <c r="T1786" s="26">
        <f>S1786*G1786</f>
        <v/>
      </c>
      <c r="U1786" s="26">
        <f>R1786-T1786</f>
        <v/>
      </c>
      <c r="V1786" s="26">
        <f>U1786-L1786</f>
        <v/>
      </c>
    </row>
    <row r="1787">
      <c r="A1787" s="11" t="n">
        <v>46221</v>
      </c>
      <c r="B1787" s="1" t="n">
        <v>20048</v>
      </c>
      <c r="C1787" s="1" t="inlineStr">
        <is>
          <t>013</t>
        </is>
      </c>
      <c r="D1787" s="1" t="inlineStr">
        <is>
          <t>225953</t>
        </is>
      </c>
      <c r="E1787" s="1" t="inlineStr">
        <is>
          <t xml:space="preserve">29235701       </t>
        </is>
      </c>
      <c r="F1787" s="5" t="inlineStr">
        <is>
          <t>INFINITY NADO TROMPO DE BATALLA - METAL EN CAJA</t>
        </is>
      </c>
      <c r="G1787" t="n">
        <v>1</v>
      </c>
      <c r="H1787" s="7" t="n">
        <v>29.9</v>
      </c>
      <c r="I1787" s="7" t="n">
        <v>0</v>
      </c>
      <c r="J1787" s="7" t="n">
        <v>0</v>
      </c>
      <c r="K1787" s="9" t="n">
        <v>0</v>
      </c>
      <c r="L1787" s="10" t="n">
        <v>17.74</v>
      </c>
      <c r="M1787" s="10" t="n">
        <v>1.43</v>
      </c>
      <c r="N1787" t="inlineStr">
        <is>
          <t>1</t>
        </is>
      </c>
      <c r="O1787" t="inlineStr">
        <is>
          <t xml:space="preserve">2 </t>
        </is>
      </c>
      <c r="P1787" t="inlineStr">
        <is>
          <t xml:space="preserve">250433  </t>
        </is>
      </c>
      <c r="Q1787" s="26" t="n">
        <v>23.67</v>
      </c>
      <c r="R1787" s="26">
        <f>Q1787*G1787</f>
        <v/>
      </c>
      <c r="S1787" s="26">
        <f>IFERROR(VLOOKUP(E1787*1,Tabla[#All],8,0),0)</f>
        <v/>
      </c>
      <c r="T1787" s="26">
        <f>S1787*G1787</f>
        <v/>
      </c>
      <c r="U1787" s="26">
        <f>R1787-T1787</f>
        <v/>
      </c>
      <c r="V1787" s="26">
        <f>U1787-L1787</f>
        <v/>
      </c>
    </row>
    <row r="1788">
      <c r="A1788" s="11" t="n">
        <v>46221</v>
      </c>
      <c r="B1788" s="1" t="n">
        <v>20048</v>
      </c>
      <c r="C1788" s="1" t="inlineStr">
        <is>
          <t>017</t>
        </is>
      </c>
      <c r="D1788" s="1" t="inlineStr">
        <is>
          <t>166993</t>
        </is>
      </c>
      <c r="E1788" s="1" t="inlineStr">
        <is>
          <t xml:space="preserve">28194770       </t>
        </is>
      </c>
      <c r="F1788" s="5" t="inlineStr">
        <is>
          <t>AUTOS DE METAL 3 TEAMSTERZ EN BLISTER</t>
        </is>
      </c>
      <c r="G1788" t="n">
        <v>1</v>
      </c>
      <c r="H1788" s="7" t="n">
        <v>6.9</v>
      </c>
      <c r="I1788" s="7" t="n">
        <v>0</v>
      </c>
      <c r="J1788" s="7" t="n">
        <v>0</v>
      </c>
      <c r="K1788" s="9" t="n">
        <v>0</v>
      </c>
      <c r="L1788" s="10" t="n">
        <v>4.1</v>
      </c>
      <c r="M1788" s="10" t="n">
        <v>1.43</v>
      </c>
      <c r="N1788" t="inlineStr">
        <is>
          <t>1</t>
        </is>
      </c>
      <c r="O1788" t="inlineStr">
        <is>
          <t>16</t>
        </is>
      </c>
      <c r="P1788" t="inlineStr">
        <is>
          <t xml:space="preserve">200219  </t>
        </is>
      </c>
      <c r="Q1788" s="26" t="n">
        <v>4.09</v>
      </c>
      <c r="R1788" s="26">
        <f>Q1788*G1788</f>
        <v/>
      </c>
      <c r="S1788" s="26">
        <f>IFERROR(VLOOKUP(E1788*1,Tabla[#All],8,0),0)</f>
        <v/>
      </c>
      <c r="T1788" s="26">
        <f>S1788*G1788</f>
        <v/>
      </c>
      <c r="U1788" s="26">
        <f>R1788-T1788</f>
        <v/>
      </c>
      <c r="V1788" s="26">
        <f>U1788-L1788</f>
        <v/>
      </c>
    </row>
    <row r="1789">
      <c r="A1789" s="11" t="n">
        <v>46221</v>
      </c>
      <c r="B1789" s="1" t="n">
        <v>20048</v>
      </c>
      <c r="C1789" s="1" t="inlineStr">
        <is>
          <t>018</t>
        </is>
      </c>
      <c r="D1789" s="1" t="inlineStr">
        <is>
          <t xml:space="preserve">47267 </t>
        </is>
      </c>
      <c r="E1789" s="1" t="inlineStr">
        <is>
          <t xml:space="preserve">28194770       </t>
        </is>
      </c>
      <c r="F1789" s="5" t="inlineStr">
        <is>
          <t>AUTOS DE METAL 3 TEAMSTERZ EN BLISTER</t>
        </is>
      </c>
      <c r="G1789" t="n">
        <v>1</v>
      </c>
      <c r="H1789" s="7" t="n">
        <v>6.9</v>
      </c>
      <c r="I1789" s="7" t="n">
        <v>0.6899999999999999</v>
      </c>
      <c r="J1789" s="7" t="n">
        <v>0</v>
      </c>
      <c r="K1789" s="9" t="n">
        <v>0.6899999999999999</v>
      </c>
      <c r="L1789" s="10" t="n">
        <v>3.68</v>
      </c>
      <c r="M1789" s="10" t="n">
        <v>1.43</v>
      </c>
      <c r="N1789" t="inlineStr">
        <is>
          <t>1</t>
        </is>
      </c>
      <c r="O1789" t="inlineStr">
        <is>
          <t xml:space="preserve">3 </t>
        </is>
      </c>
      <c r="P1789" t="inlineStr">
        <is>
          <t xml:space="preserve">80955   </t>
        </is>
      </c>
      <c r="Q1789" s="26" t="n">
        <v>4.09</v>
      </c>
      <c r="R1789" s="26">
        <f>Q1789*G1789</f>
        <v/>
      </c>
      <c r="S1789" s="26">
        <f>IFERROR(VLOOKUP(E1789*1,Tabla[#All],8,0),0)</f>
        <v/>
      </c>
      <c r="T1789" s="26">
        <f>S1789*G1789</f>
        <v/>
      </c>
      <c r="U1789" s="26">
        <f>R1789-T1789</f>
        <v/>
      </c>
      <c r="V1789" s="26">
        <f>U1789-L1789</f>
        <v/>
      </c>
    </row>
    <row r="1790">
      <c r="A1790" s="11" t="n">
        <v>46221</v>
      </c>
      <c r="B1790" s="1" t="n">
        <v>20048</v>
      </c>
      <c r="C1790" s="1" t="inlineStr">
        <is>
          <t>027</t>
        </is>
      </c>
      <c r="D1790" s="1" t="inlineStr">
        <is>
          <t>323403</t>
        </is>
      </c>
      <c r="E1790" s="1" t="inlineStr">
        <is>
          <t xml:space="preserve">31959968       </t>
        </is>
      </c>
      <c r="F1790" s="5" t="inlineStr">
        <is>
          <t>PINYPON FIGURAS BASICAS SERIE 13 DISP. 56</t>
        </is>
      </c>
      <c r="G1790" t="n">
        <v>1</v>
      </c>
      <c r="H1790" s="7" t="n">
        <v>10.74</v>
      </c>
      <c r="I1790" s="7" t="n">
        <v>0</v>
      </c>
      <c r="J1790" s="7" t="n">
        <v>0</v>
      </c>
      <c r="K1790" s="9" t="n">
        <v>0</v>
      </c>
      <c r="L1790" s="10" t="n">
        <v>6.37</v>
      </c>
      <c r="M1790" s="10" t="n">
        <v>1.43</v>
      </c>
      <c r="N1790" t="inlineStr">
        <is>
          <t>1</t>
        </is>
      </c>
      <c r="O1790" t="inlineStr">
        <is>
          <t>16</t>
        </is>
      </c>
      <c r="P1790" t="inlineStr">
        <is>
          <t xml:space="preserve">248416  </t>
        </is>
      </c>
      <c r="Q1790" s="26" t="n">
        <v>10.62</v>
      </c>
      <c r="R1790" s="26">
        <f>Q1790*G1790</f>
        <v/>
      </c>
      <c r="S1790" s="26">
        <f>IFERROR(VLOOKUP(E1790*1,Tabla[#All],8,0),0)</f>
        <v/>
      </c>
      <c r="T1790" s="26">
        <f>S1790*G1790</f>
        <v/>
      </c>
      <c r="U1790" s="26">
        <f>R1790-T1790</f>
        <v/>
      </c>
      <c r="V1790" s="26">
        <f>U1790-L1790</f>
        <v/>
      </c>
    </row>
    <row r="1791">
      <c r="A1791" s="11" t="n">
        <v>46221</v>
      </c>
      <c r="B1791" s="1" t="n">
        <v>20048</v>
      </c>
      <c r="C1791" s="1" t="inlineStr">
        <is>
          <t>800</t>
        </is>
      </c>
      <c r="D1791" s="1" t="inlineStr">
        <is>
          <t xml:space="preserve">4339  </t>
        </is>
      </c>
      <c r="E1791" s="1" t="inlineStr">
        <is>
          <t xml:space="preserve">28194769       </t>
        </is>
      </c>
      <c r="F1791" s="5" t="inlineStr">
        <is>
          <t>AUTOS DE METAL 3 TEAMSTERZ PACK DE 2</t>
        </is>
      </c>
      <c r="G1791" t="n">
        <v>1</v>
      </c>
      <c r="H1791" s="7" t="n">
        <v>13.8</v>
      </c>
      <c r="I1791" s="7" t="n">
        <v>1.38</v>
      </c>
      <c r="J1791" s="7" t="n">
        <v>0</v>
      </c>
      <c r="K1791" s="9" t="n">
        <v>1.38</v>
      </c>
      <c r="L1791" s="10" t="n">
        <v>7.37</v>
      </c>
      <c r="M1791" s="10" t="n">
        <v>1.43</v>
      </c>
      <c r="N1791" t="inlineStr">
        <is>
          <t>1</t>
        </is>
      </c>
      <c r="O1791" t="inlineStr">
        <is>
          <t>16</t>
        </is>
      </c>
      <c r="P1791" t="inlineStr">
        <is>
          <t xml:space="preserve">0       </t>
        </is>
      </c>
      <c r="Q1791" s="26" t="n">
        <v>8.19</v>
      </c>
      <c r="R1791" s="26">
        <f>Q1791*G1791</f>
        <v/>
      </c>
      <c r="S1791" s="26">
        <f>IFERROR(VLOOKUP(E1791*1,Tabla[#All],8,0),0)</f>
        <v/>
      </c>
      <c r="T1791" s="26">
        <f>S1791*G1791</f>
        <v/>
      </c>
      <c r="U1791" s="26">
        <f>R1791-T1791</f>
        <v/>
      </c>
      <c r="V1791" s="26">
        <f>U1791-L1791</f>
        <v/>
      </c>
    </row>
    <row r="1792">
      <c r="A1792" s="11" t="n">
        <v>46221</v>
      </c>
      <c r="B1792" s="1" t="n">
        <v>20048</v>
      </c>
      <c r="C1792" s="1" t="inlineStr">
        <is>
          <t>800</t>
        </is>
      </c>
      <c r="D1792" s="1" t="inlineStr">
        <is>
          <t xml:space="preserve">4405  </t>
        </is>
      </c>
      <c r="E1792" s="1" t="inlineStr">
        <is>
          <t xml:space="preserve">28194770       </t>
        </is>
      </c>
      <c r="F1792" s="5" t="inlineStr">
        <is>
          <t>AUTOS DE METAL 3 TEAMSTERZ EN BLISTER</t>
        </is>
      </c>
      <c r="G1792" t="n">
        <v>1</v>
      </c>
      <c r="H1792" s="7" t="n">
        <v>6.9</v>
      </c>
      <c r="I1792" s="7" t="n">
        <v>0</v>
      </c>
      <c r="J1792" s="7" t="n">
        <v>0</v>
      </c>
      <c r="K1792" s="9" t="n">
        <v>0</v>
      </c>
      <c r="L1792" s="10" t="n">
        <v>4.1</v>
      </c>
      <c r="M1792" s="10" t="n">
        <v>1.43</v>
      </c>
      <c r="N1792" t="inlineStr">
        <is>
          <t>1</t>
        </is>
      </c>
      <c r="O1792" t="inlineStr">
        <is>
          <t>16</t>
        </is>
      </c>
      <c r="P1792" t="inlineStr">
        <is>
          <t xml:space="preserve">0       </t>
        </is>
      </c>
      <c r="Q1792" s="26" t="n">
        <v>4.09</v>
      </c>
      <c r="R1792" s="26">
        <f>Q1792*G1792</f>
        <v/>
      </c>
      <c r="S1792" s="26">
        <f>IFERROR(VLOOKUP(E1792*1,Tabla[#All],8,0),0)</f>
        <v/>
      </c>
      <c r="T1792" s="26">
        <f>S1792*G1792</f>
        <v/>
      </c>
      <c r="U1792" s="26">
        <f>R1792-T1792</f>
        <v/>
      </c>
      <c r="V1792" s="26">
        <f>U1792-L1792</f>
        <v/>
      </c>
    </row>
    <row r="1793">
      <c r="A1793" s="11" t="n">
        <v>46221</v>
      </c>
      <c r="B1793" s="1" t="n">
        <v>20048</v>
      </c>
      <c r="C1793" s="1" t="inlineStr">
        <is>
          <t>801</t>
        </is>
      </c>
      <c r="D1793" s="1" t="inlineStr">
        <is>
          <t xml:space="preserve">6508  </t>
        </is>
      </c>
      <c r="E1793" s="1" t="inlineStr">
        <is>
          <t xml:space="preserve">30232284       </t>
        </is>
      </c>
      <c r="F1793" s="5" t="inlineStr">
        <is>
          <t>INFINITY NADO TROMPO DE BATALLA - METAL C/PUNTA DE</t>
        </is>
      </c>
      <c r="G1793" t="n">
        <v>1</v>
      </c>
      <c r="H1793" s="7" t="n">
        <v>34.9</v>
      </c>
      <c r="I1793" s="7" t="n">
        <v>3.49</v>
      </c>
      <c r="J1793" s="7" t="n">
        <v>0</v>
      </c>
      <c r="K1793" s="9" t="n">
        <v>3.49</v>
      </c>
      <c r="L1793" s="10" t="n">
        <v>18.63</v>
      </c>
      <c r="M1793" s="10" t="n">
        <v>1.43</v>
      </c>
      <c r="N1793" t="inlineStr">
        <is>
          <t>1</t>
        </is>
      </c>
      <c r="O1793" t="inlineStr">
        <is>
          <t>16</t>
        </is>
      </c>
      <c r="P1793" t="inlineStr">
        <is>
          <t xml:space="preserve">234984  </t>
        </is>
      </c>
      <c r="Q1793" s="26" t="n">
        <v>29.6</v>
      </c>
      <c r="R1793" s="26">
        <f>Q1793*G1793</f>
        <v/>
      </c>
      <c r="S1793" s="26">
        <f>IFERROR(VLOOKUP(E1793*1,Tabla[#All],8,0),0)</f>
        <v/>
      </c>
      <c r="T1793" s="26">
        <f>S1793*G1793</f>
        <v/>
      </c>
      <c r="U1793" s="26">
        <f>R1793-T1793</f>
        <v/>
      </c>
      <c r="V1793" s="26">
        <f>U1793-L1793</f>
        <v/>
      </c>
    </row>
    <row r="1794">
      <c r="A1794" s="11" t="n">
        <v>46221</v>
      </c>
      <c r="B1794" s="1" t="n">
        <v>20049</v>
      </c>
      <c r="C1794" s="1" t="inlineStr">
        <is>
          <t>013</t>
        </is>
      </c>
      <c r="D1794" s="1" t="inlineStr">
        <is>
          <t>236500</t>
        </is>
      </c>
      <c r="E1794" s="1" t="inlineStr">
        <is>
          <t xml:space="preserve">28194769       </t>
        </is>
      </c>
      <c r="F1794" s="5" t="inlineStr">
        <is>
          <t>AUTOS DE METAL 3 TEAMSTERZ PACK DE 2</t>
        </is>
      </c>
      <c r="G1794" t="n">
        <v>1</v>
      </c>
      <c r="H1794" s="7" t="n">
        <v>13.8</v>
      </c>
      <c r="I1794" s="7" t="n">
        <v>1.38</v>
      </c>
      <c r="J1794" s="7" t="n">
        <v>0</v>
      </c>
      <c r="K1794" s="9" t="n">
        <v>1.38</v>
      </c>
      <c r="L1794" s="10" t="n">
        <v>7.37</v>
      </c>
      <c r="M1794" s="10" t="n">
        <v>1.43</v>
      </c>
      <c r="N1794" t="inlineStr">
        <is>
          <t>1</t>
        </is>
      </c>
      <c r="O1794" t="inlineStr">
        <is>
          <t xml:space="preserve">3 </t>
        </is>
      </c>
      <c r="P1794" t="inlineStr">
        <is>
          <t xml:space="preserve">48754   </t>
        </is>
      </c>
      <c r="Q1794" s="26" t="n">
        <v>8.19</v>
      </c>
      <c r="R1794" s="26">
        <f>Q1794*G1794</f>
        <v/>
      </c>
      <c r="S1794" s="26">
        <f>IFERROR(VLOOKUP(E1794*1,Tabla[#All],8,0),0)</f>
        <v/>
      </c>
      <c r="T1794" s="26">
        <f>S1794*G1794</f>
        <v/>
      </c>
      <c r="U1794" s="26">
        <f>R1794-T1794</f>
        <v/>
      </c>
      <c r="V1794" s="26">
        <f>U1794-L1794</f>
        <v/>
      </c>
    </row>
    <row r="1795">
      <c r="A1795" s="11" t="n">
        <v>46221</v>
      </c>
      <c r="B1795" s="1" t="n">
        <v>20049</v>
      </c>
      <c r="C1795" s="1" t="inlineStr">
        <is>
          <t>025</t>
        </is>
      </c>
      <c r="D1795" s="1" t="inlineStr">
        <is>
          <t xml:space="preserve">34030 </t>
        </is>
      </c>
      <c r="E1795" s="1" t="inlineStr">
        <is>
          <t xml:space="preserve">28194780       </t>
        </is>
      </c>
      <c r="F1795" s="5" t="inlineStr">
        <is>
          <t>TROMPO BATALLA INFINITY NADO PLSTICO SURTIDO</t>
        </is>
      </c>
      <c r="G1795" t="n">
        <v>1</v>
      </c>
      <c r="H1795" s="7" t="n">
        <v>19.9</v>
      </c>
      <c r="I1795" s="7" t="n">
        <v>1.99</v>
      </c>
      <c r="J1795" s="7" t="n">
        <v>0</v>
      </c>
      <c r="K1795" s="9" t="n">
        <v>1.99</v>
      </c>
      <c r="L1795" s="10" t="n">
        <v>10.63</v>
      </c>
      <c r="M1795" s="10" t="n">
        <v>1.43</v>
      </c>
      <c r="N1795" t="inlineStr">
        <is>
          <t>1</t>
        </is>
      </c>
      <c r="O1795" t="inlineStr">
        <is>
          <t xml:space="preserve">3 </t>
        </is>
      </c>
      <c r="P1795" t="inlineStr">
        <is>
          <t xml:space="preserve">248534  </t>
        </is>
      </c>
      <c r="Q1795" s="26" t="n">
        <v>11.81</v>
      </c>
      <c r="R1795" s="26">
        <f>Q1795*G1795</f>
        <v/>
      </c>
      <c r="S1795" s="26">
        <f>IFERROR(VLOOKUP(E1795*1,Tabla[#All],8,0),0)</f>
        <v/>
      </c>
      <c r="T1795" s="26">
        <f>S1795*G1795</f>
        <v/>
      </c>
      <c r="U1795" s="26">
        <f>R1795-T1795</f>
        <v/>
      </c>
      <c r="V1795" s="26">
        <f>U1795-L1795</f>
        <v/>
      </c>
    </row>
    <row r="1796">
      <c r="A1796" s="11" t="n">
        <v>46221</v>
      </c>
      <c r="B1796" s="1" t="n">
        <v>20049</v>
      </c>
      <c r="C1796" s="1" t="inlineStr">
        <is>
          <t>025</t>
        </is>
      </c>
      <c r="D1796" s="1" t="inlineStr">
        <is>
          <t xml:space="preserve">34063 </t>
        </is>
      </c>
      <c r="E1796" s="1" t="inlineStr">
        <is>
          <t xml:space="preserve">28194769       </t>
        </is>
      </c>
      <c r="F1796" s="5" t="inlineStr">
        <is>
          <t>AUTOS DE METAL 3 TEAMSTERZ PACK DE 2</t>
        </is>
      </c>
      <c r="G1796" t="n">
        <v>1</v>
      </c>
      <c r="H1796" s="7" t="n">
        <v>13.8</v>
      </c>
      <c r="I1796" s="7" t="n">
        <v>1.38</v>
      </c>
      <c r="J1796" s="7" t="n">
        <v>0</v>
      </c>
      <c r="K1796" s="9" t="n">
        <v>1.38</v>
      </c>
      <c r="L1796" s="10" t="n">
        <v>7.37</v>
      </c>
      <c r="M1796" s="10" t="n">
        <v>1.43</v>
      </c>
      <c r="N1796" t="inlineStr">
        <is>
          <t>1</t>
        </is>
      </c>
      <c r="O1796" t="inlineStr">
        <is>
          <t xml:space="preserve">3 </t>
        </is>
      </c>
      <c r="P1796" t="inlineStr">
        <is>
          <t xml:space="preserve">248534  </t>
        </is>
      </c>
      <c r="Q1796" s="26" t="n">
        <v>8.19</v>
      </c>
      <c r="R1796" s="26">
        <f>Q1796*G1796</f>
        <v/>
      </c>
      <c r="S1796" s="26">
        <f>IFERROR(VLOOKUP(E1796*1,Tabla[#All],8,0),0)</f>
        <v/>
      </c>
      <c r="T1796" s="26">
        <f>S1796*G1796</f>
        <v/>
      </c>
      <c r="U1796" s="26">
        <f>R1796-T1796</f>
        <v/>
      </c>
      <c r="V1796" s="26">
        <f>U1796-L1796</f>
        <v/>
      </c>
    </row>
    <row r="1797">
      <c r="A1797" s="11" t="n">
        <v>46221</v>
      </c>
      <c r="B1797" s="1" t="n">
        <v>20049</v>
      </c>
      <c r="C1797" s="1" t="inlineStr">
        <is>
          <t>025</t>
        </is>
      </c>
      <c r="D1797" s="1" t="inlineStr">
        <is>
          <t xml:space="preserve">34073 </t>
        </is>
      </c>
      <c r="E1797" s="1" t="inlineStr">
        <is>
          <t xml:space="preserve">31959959       </t>
        </is>
      </c>
      <c r="F1797" s="5" t="inlineStr">
        <is>
          <t>TMZ CAMBIA DE COLOR LANZADOR SPIN SPLASH + 1 AUTO</t>
        </is>
      </c>
      <c r="G1797" t="n">
        <v>1</v>
      </c>
      <c r="H1797" s="7" t="n">
        <v>14.9</v>
      </c>
      <c r="I1797" s="7" t="n">
        <v>0</v>
      </c>
      <c r="J1797" s="7" t="n">
        <v>0</v>
      </c>
      <c r="K1797" s="9" t="n">
        <v>0</v>
      </c>
      <c r="L1797" s="10" t="n">
        <v>8.84</v>
      </c>
      <c r="M1797" s="10" t="n">
        <v>1.43</v>
      </c>
      <c r="N1797" t="inlineStr">
        <is>
          <t>1</t>
        </is>
      </c>
      <c r="O1797" t="inlineStr">
        <is>
          <t>16</t>
        </is>
      </c>
      <c r="P1797" t="inlineStr">
        <is>
          <t xml:space="preserve">248534  </t>
        </is>
      </c>
      <c r="Q1797" s="26" t="n">
        <v>23.67</v>
      </c>
      <c r="R1797" s="26">
        <f>Q1797*G1797</f>
        <v/>
      </c>
      <c r="S1797" s="26">
        <f>IFERROR(VLOOKUP(E1797*1,Tabla[#All],8,0),0)</f>
        <v/>
      </c>
      <c r="T1797" s="26">
        <f>S1797*G1797</f>
        <v/>
      </c>
      <c r="U1797" s="26">
        <f>R1797-T1797</f>
        <v/>
      </c>
      <c r="V1797" s="26">
        <f>U1797-L1797</f>
        <v/>
      </c>
    </row>
    <row r="1798">
      <c r="A1798" s="11" t="n">
        <v>46221</v>
      </c>
      <c r="B1798" s="1" t="n">
        <v>20049</v>
      </c>
      <c r="C1798" s="1" t="inlineStr">
        <is>
          <t>025</t>
        </is>
      </c>
      <c r="D1798" s="1" t="inlineStr">
        <is>
          <t xml:space="preserve">34130 </t>
        </is>
      </c>
      <c r="E1798" s="1" t="inlineStr">
        <is>
          <t xml:space="preserve">28194770       </t>
        </is>
      </c>
      <c r="F1798" s="5" t="inlineStr">
        <is>
          <t>AUTOS DE METAL 3 TEAMSTERZ EN BLISTER</t>
        </is>
      </c>
      <c r="G1798" t="n">
        <v>1</v>
      </c>
      <c r="H1798" s="7" t="n">
        <v>6.9</v>
      </c>
      <c r="I1798" s="7" t="n">
        <v>0</v>
      </c>
      <c r="J1798" s="7" t="n">
        <v>0</v>
      </c>
      <c r="K1798" s="9" t="n">
        <v>0</v>
      </c>
      <c r="L1798" s="10" t="n">
        <v>4.1</v>
      </c>
      <c r="M1798" s="10" t="n">
        <v>1.43</v>
      </c>
      <c r="N1798" t="inlineStr">
        <is>
          <t>1</t>
        </is>
      </c>
      <c r="O1798" t="inlineStr">
        <is>
          <t>16</t>
        </is>
      </c>
      <c r="P1798" t="inlineStr">
        <is>
          <t xml:space="preserve">245485  </t>
        </is>
      </c>
      <c r="Q1798" s="26" t="n">
        <v>4.09</v>
      </c>
      <c r="R1798" s="26">
        <f>Q1798*G1798</f>
        <v/>
      </c>
      <c r="S1798" s="26">
        <f>IFERROR(VLOOKUP(E1798*1,Tabla[#All],8,0),0)</f>
        <v/>
      </c>
      <c r="T1798" s="26">
        <f>S1798*G1798</f>
        <v/>
      </c>
      <c r="U1798" s="26">
        <f>R1798-T1798</f>
        <v/>
      </c>
      <c r="V1798" s="26">
        <f>U1798-L1798</f>
        <v/>
      </c>
    </row>
    <row r="1799">
      <c r="A1799" s="11" t="n">
        <v>46221</v>
      </c>
      <c r="B1799" s="1" t="n">
        <v>20056</v>
      </c>
      <c r="C1799" s="1" t="inlineStr">
        <is>
          <t>021</t>
        </is>
      </c>
      <c r="D1799" s="1" t="inlineStr">
        <is>
          <t xml:space="preserve">52554 </t>
        </is>
      </c>
      <c r="E1799" s="1" t="inlineStr">
        <is>
          <t xml:space="preserve">33661538       </t>
        </is>
      </c>
      <c r="F1799" s="5" t="inlineStr">
        <is>
          <t>HOT WHEELS CASE GARAGE RUEDA METAL EN LLAMAS X 29</t>
        </is>
      </c>
      <c r="G1799" t="n">
        <v>1</v>
      </c>
      <c r="H1799" s="7" t="n">
        <v>69.90000000000001</v>
      </c>
      <c r="I1799" s="7" t="n">
        <v>0</v>
      </c>
      <c r="J1799" s="7" t="n">
        <v>0</v>
      </c>
      <c r="K1799" s="9" t="n">
        <v>0</v>
      </c>
      <c r="L1799" s="10" t="n">
        <v>41.47</v>
      </c>
      <c r="M1799" s="10" t="n">
        <v>1.43</v>
      </c>
      <c r="N1799" t="inlineStr">
        <is>
          <t>1</t>
        </is>
      </c>
      <c r="O1799" t="inlineStr">
        <is>
          <t>16</t>
        </is>
      </c>
      <c r="P1799" t="inlineStr">
        <is>
          <t xml:space="preserve">244178  </t>
        </is>
      </c>
      <c r="Q1799" s="26" t="n">
        <v>41.47</v>
      </c>
      <c r="R1799" s="26">
        <f>Q1799*G1799</f>
        <v/>
      </c>
      <c r="S1799" s="26">
        <f>IFERROR(VLOOKUP(E1799*1,Tabla[#All],8,0),0)</f>
        <v/>
      </c>
      <c r="T1799" s="26">
        <f>S1799*G1799</f>
        <v/>
      </c>
      <c r="U1799" s="26">
        <f>R1799-T1799</f>
        <v/>
      </c>
      <c r="V1799" s="26">
        <f>U1799-L1799</f>
        <v/>
      </c>
    </row>
    <row r="1800">
      <c r="A1800" s="11" t="n">
        <v>46221</v>
      </c>
      <c r="B1800" s="1" t="n">
        <v>20056</v>
      </c>
      <c r="C1800" s="1" t="inlineStr">
        <is>
          <t>021</t>
        </is>
      </c>
      <c r="D1800" s="1" t="inlineStr">
        <is>
          <t xml:space="preserve">52561 </t>
        </is>
      </c>
      <c r="E1800" s="1" t="inlineStr">
        <is>
          <t xml:space="preserve">30141781       </t>
        </is>
      </c>
      <c r="F1800" s="5" t="inlineStr">
        <is>
          <t>RELOJ DIGITAL POLLY POCKET</t>
        </is>
      </c>
      <c r="G1800" t="n">
        <v>1</v>
      </c>
      <c r="H1800" s="7" t="n">
        <v>18.9</v>
      </c>
      <c r="I1800" s="7" t="n">
        <v>1.89</v>
      </c>
      <c r="J1800" s="7" t="n">
        <v>0</v>
      </c>
      <c r="K1800" s="9" t="n">
        <v>1.89</v>
      </c>
      <c r="L1800" s="10" t="n">
        <v>10.09</v>
      </c>
      <c r="M1800" s="10" t="n">
        <v>1.43</v>
      </c>
      <c r="N1800" t="inlineStr">
        <is>
          <t>1</t>
        </is>
      </c>
      <c r="O1800" t="inlineStr">
        <is>
          <t xml:space="preserve">3 </t>
        </is>
      </c>
      <c r="P1800" t="inlineStr">
        <is>
          <t xml:space="preserve">244178  </t>
        </is>
      </c>
      <c r="Q1800" s="26" t="n">
        <v>11.21</v>
      </c>
      <c r="R1800" s="26">
        <f>Q1800*G1800</f>
        <v/>
      </c>
      <c r="S1800" s="26">
        <f>IFERROR(VLOOKUP(E1800*1,Tabla[#All],8,0),0)</f>
        <v/>
      </c>
      <c r="T1800" s="26">
        <f>S1800*G1800</f>
        <v/>
      </c>
      <c r="U1800" s="26">
        <f>R1800-T1800</f>
        <v/>
      </c>
      <c r="V1800" s="26">
        <f>U1800-L1800</f>
        <v/>
      </c>
    </row>
    <row r="1801">
      <c r="A1801" s="11" t="n">
        <v>46221</v>
      </c>
      <c r="B1801" s="1" t="n">
        <v>20056</v>
      </c>
      <c r="C1801" s="1" t="inlineStr">
        <is>
          <t>501</t>
        </is>
      </c>
      <c r="D1801" s="1" t="inlineStr">
        <is>
          <t xml:space="preserve">4240  </t>
        </is>
      </c>
      <c r="E1801" s="1" t="inlineStr">
        <is>
          <t xml:space="preserve">31800857       </t>
        </is>
      </c>
      <c r="F1801" s="5" t="inlineStr">
        <is>
          <t>DART ZONE BLITZFIRE TIRO RAPIDO BLASTER X1</t>
        </is>
      </c>
      <c r="G1801" t="n">
        <v>1</v>
      </c>
      <c r="H1801" s="7" t="n">
        <v>14.95</v>
      </c>
      <c r="I1801" s="7" t="n">
        <v>0</v>
      </c>
      <c r="J1801" s="7" t="n">
        <v>0</v>
      </c>
      <c r="K1801" s="9" t="n">
        <v>0</v>
      </c>
      <c r="L1801" s="10" t="n">
        <v>8.869999999999999</v>
      </c>
      <c r="M1801" s="10" t="n">
        <v>1.43</v>
      </c>
      <c r="N1801" t="inlineStr">
        <is>
          <t>1</t>
        </is>
      </c>
      <c r="O1801" t="inlineStr">
        <is>
          <t>16</t>
        </is>
      </c>
      <c r="P1801" t="inlineStr">
        <is>
          <t xml:space="preserve">241925  </t>
        </is>
      </c>
      <c r="Q1801" s="26" t="n">
        <v>17.74</v>
      </c>
      <c r="R1801" s="26">
        <f>Q1801*G1801</f>
        <v/>
      </c>
      <c r="S1801" s="26">
        <f>IFERROR(VLOOKUP(E1801*1,Tabla[#All],8,0),0)</f>
        <v/>
      </c>
      <c r="T1801" s="26">
        <f>S1801*G1801</f>
        <v/>
      </c>
      <c r="U1801" s="26">
        <f>R1801-T1801</f>
        <v/>
      </c>
      <c r="V1801" s="26">
        <f>U1801-L1801</f>
        <v/>
      </c>
    </row>
    <row r="1802">
      <c r="A1802" s="11" t="n">
        <v>46221</v>
      </c>
      <c r="B1802" s="1" t="n">
        <v>20057</v>
      </c>
      <c r="C1802" s="1" t="inlineStr">
        <is>
          <t>032</t>
        </is>
      </c>
      <c r="D1802" s="1" t="inlineStr">
        <is>
          <t xml:space="preserve">2015  </t>
        </is>
      </c>
      <c r="E1802" s="1" t="inlineStr">
        <is>
          <t xml:space="preserve">28194770       </t>
        </is>
      </c>
      <c r="F1802" s="5" t="inlineStr">
        <is>
          <t>AUTOS DE METAL 3 TEAMSTERZ EN BLISTER</t>
        </is>
      </c>
      <c r="G1802" t="n">
        <v>1</v>
      </c>
      <c r="H1802" s="7" t="n">
        <v>6.9</v>
      </c>
      <c r="I1802" s="7" t="n">
        <v>0</v>
      </c>
      <c r="J1802" s="7" t="n">
        <v>0</v>
      </c>
      <c r="K1802" s="9" t="n">
        <v>0</v>
      </c>
      <c r="L1802" s="10" t="n">
        <v>4.1</v>
      </c>
      <c r="M1802" s="10" t="n">
        <v>1.43</v>
      </c>
      <c r="N1802" t="inlineStr">
        <is>
          <t>1</t>
        </is>
      </c>
      <c r="O1802" t="inlineStr">
        <is>
          <t>16</t>
        </is>
      </c>
      <c r="P1802" t="inlineStr">
        <is>
          <t xml:space="preserve">105593  </t>
        </is>
      </c>
      <c r="Q1802" s="26" t="n">
        <v>4.09</v>
      </c>
      <c r="R1802" s="26">
        <f>Q1802*G1802</f>
        <v/>
      </c>
      <c r="S1802" s="26">
        <f>IFERROR(VLOOKUP(E1802*1,Tabla[#All],8,0),0)</f>
        <v/>
      </c>
      <c r="T1802" s="26">
        <f>S1802*G1802</f>
        <v/>
      </c>
      <c r="U1802" s="26">
        <f>R1802-T1802</f>
        <v/>
      </c>
      <c r="V1802" s="26">
        <f>U1802-L1802</f>
        <v/>
      </c>
    </row>
    <row r="1803">
      <c r="A1803" s="11" t="n">
        <v>46221</v>
      </c>
      <c r="B1803" s="1" t="n">
        <v>20057</v>
      </c>
      <c r="C1803" s="1" t="inlineStr">
        <is>
          <t>032</t>
        </is>
      </c>
      <c r="D1803" s="1" t="inlineStr">
        <is>
          <t xml:space="preserve">75092 </t>
        </is>
      </c>
      <c r="E1803" s="1" t="inlineStr">
        <is>
          <t xml:space="preserve">28194770       </t>
        </is>
      </c>
      <c r="F1803" s="5" t="inlineStr">
        <is>
          <t>AUTOS DE METAL 3 TEAMSTERZ EN BLISTER</t>
        </is>
      </c>
      <c r="G1803" t="n">
        <v>1</v>
      </c>
      <c r="H1803" s="7" t="n">
        <v>6.9</v>
      </c>
      <c r="I1803" s="7" t="n">
        <v>0</v>
      </c>
      <c r="J1803" s="7" t="n">
        <v>0</v>
      </c>
      <c r="K1803" s="9" t="n">
        <v>0</v>
      </c>
      <c r="L1803" s="10" t="n">
        <v>4.1</v>
      </c>
      <c r="M1803" s="10" t="n">
        <v>1.43</v>
      </c>
      <c r="N1803" t="inlineStr">
        <is>
          <t>1</t>
        </is>
      </c>
      <c r="O1803" t="inlineStr">
        <is>
          <t xml:space="preserve">2 </t>
        </is>
      </c>
      <c r="P1803" t="inlineStr">
        <is>
          <t xml:space="preserve">105593  </t>
        </is>
      </c>
      <c r="Q1803" s="26" t="n">
        <v>4.09</v>
      </c>
      <c r="R1803" s="26">
        <f>Q1803*G1803</f>
        <v/>
      </c>
      <c r="S1803" s="26">
        <f>IFERROR(VLOOKUP(E1803*1,Tabla[#All],8,0),0)</f>
        <v/>
      </c>
      <c r="T1803" s="26">
        <f>S1803*G1803</f>
        <v/>
      </c>
      <c r="U1803" s="26">
        <f>R1803-T1803</f>
        <v/>
      </c>
      <c r="V1803" s="26">
        <f>U1803-L1803</f>
        <v/>
      </c>
    </row>
    <row r="1804">
      <c r="A1804" s="11" t="n">
        <v>46221</v>
      </c>
      <c r="B1804" s="1" t="n">
        <v>20057</v>
      </c>
      <c r="C1804" s="1" t="inlineStr">
        <is>
          <t>032</t>
        </is>
      </c>
      <c r="D1804" s="1" t="inlineStr">
        <is>
          <t xml:space="preserve">75134 </t>
        </is>
      </c>
      <c r="E1804" s="1" t="inlineStr">
        <is>
          <t xml:space="preserve">32457099       </t>
        </is>
      </c>
      <c r="F1804" s="5" t="inlineStr">
        <is>
          <t>TMZ BEAST MACHINES MONSTER JAWS A FRICCION BLISTER</t>
        </is>
      </c>
      <c r="G1804" t="n">
        <v>1</v>
      </c>
      <c r="H1804" s="7" t="n">
        <v>17.9</v>
      </c>
      <c r="I1804" s="7" t="n">
        <v>0</v>
      </c>
      <c r="J1804" s="7" t="n">
        <v>0</v>
      </c>
      <c r="K1804" s="9" t="n">
        <v>0</v>
      </c>
      <c r="L1804" s="10" t="n">
        <v>10.62</v>
      </c>
      <c r="M1804" s="10" t="n">
        <v>1.43</v>
      </c>
      <c r="N1804" t="inlineStr">
        <is>
          <t>1</t>
        </is>
      </c>
      <c r="O1804" t="inlineStr">
        <is>
          <t xml:space="preserve">2 </t>
        </is>
      </c>
      <c r="P1804" t="inlineStr">
        <is>
          <t xml:space="preserve">105593  </t>
        </is>
      </c>
      <c r="Q1804" s="26" t="n">
        <v>11.81</v>
      </c>
      <c r="R1804" s="26">
        <f>Q1804*G1804</f>
        <v/>
      </c>
      <c r="S1804" s="26">
        <f>IFERROR(VLOOKUP(E1804*1,Tabla[#All],8,0),0)</f>
        <v/>
      </c>
      <c r="T1804" s="26">
        <f>S1804*G1804</f>
        <v/>
      </c>
      <c r="U1804" s="26">
        <f>R1804-T1804</f>
        <v/>
      </c>
      <c r="V1804" s="26">
        <f>U1804-L1804</f>
        <v/>
      </c>
    </row>
    <row r="1805">
      <c r="A1805" s="11" t="n">
        <v>46221</v>
      </c>
      <c r="B1805" s="1" t="n">
        <v>20057</v>
      </c>
      <c r="C1805" s="1" t="inlineStr">
        <is>
          <t>032</t>
        </is>
      </c>
      <c r="D1805" s="1" t="inlineStr">
        <is>
          <t xml:space="preserve">75174 </t>
        </is>
      </c>
      <c r="E1805" s="1" t="inlineStr">
        <is>
          <t xml:space="preserve">31675354       </t>
        </is>
      </c>
      <c r="F1805" s="5" t="inlineStr">
        <is>
          <t>NENUCO LLORON CON ACCESORIOS</t>
        </is>
      </c>
      <c r="G1805" t="n">
        <v>1</v>
      </c>
      <c r="H1805" s="7" t="n">
        <v>69.90000000000001</v>
      </c>
      <c r="I1805" s="7" t="n">
        <v>0</v>
      </c>
      <c r="J1805" s="7" t="n">
        <v>0</v>
      </c>
      <c r="K1805" s="9" t="n">
        <v>0</v>
      </c>
      <c r="L1805" s="10" t="n">
        <v>41.47</v>
      </c>
      <c r="M1805" s="10" t="n">
        <v>1.43</v>
      </c>
      <c r="N1805" t="inlineStr">
        <is>
          <t>1</t>
        </is>
      </c>
      <c r="O1805" t="inlineStr">
        <is>
          <t>16</t>
        </is>
      </c>
      <c r="P1805" t="inlineStr">
        <is>
          <t xml:space="preserve">105593  </t>
        </is>
      </c>
      <c r="Q1805" s="26" t="n">
        <v>53.33</v>
      </c>
      <c r="R1805" s="26">
        <f>Q1805*G1805</f>
        <v/>
      </c>
      <c r="S1805" s="26">
        <f>IFERROR(VLOOKUP(E1805*1,Tabla[#All],8,0),0)</f>
        <v/>
      </c>
      <c r="T1805" s="26">
        <f>S1805*G1805</f>
        <v/>
      </c>
      <c r="U1805" s="26">
        <f>R1805-T1805</f>
        <v/>
      </c>
      <c r="V1805" s="26">
        <f>U1805-L1805</f>
        <v/>
      </c>
    </row>
    <row r="1806">
      <c r="A1806" s="11" t="n">
        <v>46221</v>
      </c>
      <c r="B1806" s="1" t="n">
        <v>20057</v>
      </c>
      <c r="C1806" s="1" t="inlineStr">
        <is>
          <t>032</t>
        </is>
      </c>
      <c r="D1806" s="1" t="inlineStr">
        <is>
          <t xml:space="preserve">75211 </t>
        </is>
      </c>
      <c r="E1806" s="1" t="inlineStr">
        <is>
          <t xml:space="preserve">28194770       </t>
        </is>
      </c>
      <c r="F1806" s="5" t="inlineStr">
        <is>
          <t>AUTOS DE METAL 3 TEAMSTERZ EN BLISTER</t>
        </is>
      </c>
      <c r="G1806" t="n">
        <v>1</v>
      </c>
      <c r="H1806" s="7" t="n">
        <v>6.9</v>
      </c>
      <c r="I1806" s="7" t="n">
        <v>0</v>
      </c>
      <c r="J1806" s="7" t="n">
        <v>0</v>
      </c>
      <c r="K1806" s="9" t="n">
        <v>0</v>
      </c>
      <c r="L1806" s="10" t="n">
        <v>4.1</v>
      </c>
      <c r="M1806" s="10" t="n">
        <v>1.43</v>
      </c>
      <c r="N1806" t="inlineStr">
        <is>
          <t>1</t>
        </is>
      </c>
      <c r="O1806" t="inlineStr">
        <is>
          <t xml:space="preserve">6 </t>
        </is>
      </c>
      <c r="P1806" t="inlineStr">
        <is>
          <t xml:space="preserve">105593  </t>
        </is>
      </c>
      <c r="Q1806" s="26" t="n">
        <v>4.09</v>
      </c>
      <c r="R1806" s="26">
        <f>Q1806*G1806</f>
        <v/>
      </c>
      <c r="S1806" s="26">
        <f>IFERROR(VLOOKUP(E1806*1,Tabla[#All],8,0),0)</f>
        <v/>
      </c>
      <c r="T1806" s="26">
        <f>S1806*G1806</f>
        <v/>
      </c>
      <c r="U1806" s="26">
        <f>R1806-T1806</f>
        <v/>
      </c>
      <c r="V1806" s="26">
        <f>U1806-L1806</f>
        <v/>
      </c>
    </row>
    <row r="1807">
      <c r="A1807" s="11" t="n">
        <v>46221</v>
      </c>
      <c r="B1807" s="1" t="n">
        <v>20057</v>
      </c>
      <c r="C1807" s="1" t="inlineStr">
        <is>
          <t>033</t>
        </is>
      </c>
      <c r="D1807" s="1" t="inlineStr">
        <is>
          <t xml:space="preserve">67373 </t>
        </is>
      </c>
      <c r="E1807" s="1" t="inlineStr">
        <is>
          <t xml:space="preserve">28194769       </t>
        </is>
      </c>
      <c r="F1807" s="5" t="inlineStr">
        <is>
          <t>AUTOS DE METAL 3 TEAMSTERZ PACK DE 2</t>
        </is>
      </c>
      <c r="G1807" t="n">
        <v>1</v>
      </c>
      <c r="H1807" s="7" t="n">
        <v>13.8</v>
      </c>
      <c r="I1807" s="7" t="n">
        <v>0</v>
      </c>
      <c r="J1807" s="7" t="n">
        <v>0</v>
      </c>
      <c r="K1807" s="9" t="n">
        <v>0</v>
      </c>
      <c r="L1807" s="10" t="n">
        <v>8.18</v>
      </c>
      <c r="M1807" s="10" t="n">
        <v>1.43</v>
      </c>
      <c r="N1807" t="inlineStr">
        <is>
          <t>1</t>
        </is>
      </c>
      <c r="O1807" t="inlineStr">
        <is>
          <t>16</t>
        </is>
      </c>
      <c r="P1807" t="inlineStr">
        <is>
          <t xml:space="preserve">248132  </t>
        </is>
      </c>
      <c r="Q1807" s="26" t="n">
        <v>8.19</v>
      </c>
      <c r="R1807" s="26">
        <f>Q1807*G1807</f>
        <v/>
      </c>
      <c r="S1807" s="26">
        <f>IFERROR(VLOOKUP(E1807*1,Tabla[#All],8,0),0)</f>
        <v/>
      </c>
      <c r="T1807" s="26">
        <f>S1807*G1807</f>
        <v/>
      </c>
      <c r="U1807" s="26">
        <f>R1807-T1807</f>
        <v/>
      </c>
      <c r="V1807" s="26">
        <f>U1807-L1807</f>
        <v/>
      </c>
    </row>
    <row r="1808">
      <c r="A1808" s="11" t="n">
        <v>46221</v>
      </c>
      <c r="B1808" s="1" t="n">
        <v>20057</v>
      </c>
      <c r="C1808" s="1" t="inlineStr">
        <is>
          <t>033</t>
        </is>
      </c>
      <c r="D1808" s="1" t="inlineStr">
        <is>
          <t xml:space="preserve">67378 </t>
        </is>
      </c>
      <c r="E1808" s="1" t="inlineStr">
        <is>
          <t xml:space="preserve">31675354       </t>
        </is>
      </c>
      <c r="F1808" s="5" t="inlineStr">
        <is>
          <t>NENUCO LLORON CON ACCESORIOS</t>
        </is>
      </c>
      <c r="G1808" t="n">
        <v>1</v>
      </c>
      <c r="H1808" s="7" t="n">
        <v>69.90000000000001</v>
      </c>
      <c r="I1808" s="7" t="n">
        <v>0</v>
      </c>
      <c r="J1808" s="7" t="n">
        <v>0</v>
      </c>
      <c r="K1808" s="9" t="n">
        <v>0</v>
      </c>
      <c r="L1808" s="10" t="n">
        <v>41.47</v>
      </c>
      <c r="M1808" s="10" t="n">
        <v>1.43</v>
      </c>
      <c r="N1808" t="inlineStr">
        <is>
          <t>1</t>
        </is>
      </c>
      <c r="O1808" t="inlineStr">
        <is>
          <t xml:space="preserve">2 </t>
        </is>
      </c>
      <c r="P1808" t="inlineStr">
        <is>
          <t xml:space="preserve">248132  </t>
        </is>
      </c>
      <c r="Q1808" s="26" t="n">
        <v>53.33</v>
      </c>
      <c r="R1808" s="26">
        <f>Q1808*G1808</f>
        <v/>
      </c>
      <c r="S1808" s="26">
        <f>IFERROR(VLOOKUP(E1808*1,Tabla[#All],8,0),0)</f>
        <v/>
      </c>
      <c r="T1808" s="26">
        <f>S1808*G1808</f>
        <v/>
      </c>
      <c r="U1808" s="26">
        <f>R1808-T1808</f>
        <v/>
      </c>
      <c r="V1808" s="26">
        <f>U1808-L1808</f>
        <v/>
      </c>
    </row>
    <row r="1809">
      <c r="A1809" s="11" t="n">
        <v>46221</v>
      </c>
      <c r="B1809" s="1" t="n">
        <v>20057</v>
      </c>
      <c r="C1809" s="1" t="inlineStr">
        <is>
          <t>033</t>
        </is>
      </c>
      <c r="D1809" s="1" t="inlineStr">
        <is>
          <t xml:space="preserve">67381 </t>
        </is>
      </c>
      <c r="E1809" s="1" t="inlineStr">
        <is>
          <t xml:space="preserve">28194769       </t>
        </is>
      </c>
      <c r="F1809" s="5" t="inlineStr">
        <is>
          <t>AUTOS DE METAL 3 TEAMSTERZ PACK DE 2</t>
        </is>
      </c>
      <c r="G1809" t="n">
        <v>1</v>
      </c>
      <c r="H1809" s="7" t="n">
        <v>13.8</v>
      </c>
      <c r="I1809" s="7" t="n">
        <v>0</v>
      </c>
      <c r="J1809" s="7" t="n">
        <v>0</v>
      </c>
      <c r="K1809" s="9" t="n">
        <v>0</v>
      </c>
      <c r="L1809" s="10" t="n">
        <v>8.18</v>
      </c>
      <c r="M1809" s="10" t="n">
        <v>1.43</v>
      </c>
      <c r="N1809" t="inlineStr">
        <is>
          <t>1</t>
        </is>
      </c>
      <c r="O1809" t="inlineStr">
        <is>
          <t>16</t>
        </is>
      </c>
      <c r="P1809" t="inlineStr">
        <is>
          <t xml:space="preserve">248132  </t>
        </is>
      </c>
      <c r="Q1809" s="26" t="n">
        <v>8.19</v>
      </c>
      <c r="R1809" s="26">
        <f>Q1809*G1809</f>
        <v/>
      </c>
      <c r="S1809" s="26">
        <f>IFERROR(VLOOKUP(E1809*1,Tabla[#All],8,0),0)</f>
        <v/>
      </c>
      <c r="T1809" s="26">
        <f>S1809*G1809</f>
        <v/>
      </c>
      <c r="U1809" s="26">
        <f>R1809-T1809</f>
        <v/>
      </c>
      <c r="V1809" s="26">
        <f>U1809-L1809</f>
        <v/>
      </c>
    </row>
    <row r="1810">
      <c r="A1810" s="11" t="n">
        <v>46221</v>
      </c>
      <c r="B1810" s="1" t="n">
        <v>20057</v>
      </c>
      <c r="C1810" s="1" t="inlineStr">
        <is>
          <t>033</t>
        </is>
      </c>
      <c r="D1810" s="1" t="inlineStr">
        <is>
          <t xml:space="preserve">67402 </t>
        </is>
      </c>
      <c r="E1810" s="1" t="inlineStr">
        <is>
          <t xml:space="preserve">28194766       </t>
        </is>
      </c>
      <c r="F1810" s="5" t="inlineStr">
        <is>
          <t>CAMIONES TEAMSTERZ DE CIUDAD</t>
        </is>
      </c>
      <c r="G1810" t="n">
        <v>1</v>
      </c>
      <c r="H1810" s="7" t="n">
        <v>17.9</v>
      </c>
      <c r="I1810" s="7" t="n">
        <v>0</v>
      </c>
      <c r="J1810" s="7" t="n">
        <v>0</v>
      </c>
      <c r="K1810" s="9" t="n">
        <v>0</v>
      </c>
      <c r="L1810" s="10" t="n">
        <v>10.62</v>
      </c>
      <c r="M1810" s="10" t="n">
        <v>1.43</v>
      </c>
      <c r="N1810" t="inlineStr">
        <is>
          <t>1</t>
        </is>
      </c>
      <c r="O1810" t="inlineStr">
        <is>
          <t>16</t>
        </is>
      </c>
      <c r="P1810" t="inlineStr">
        <is>
          <t xml:space="preserve">248132  </t>
        </is>
      </c>
      <c r="Q1810" s="26" t="n">
        <v>10.62</v>
      </c>
      <c r="R1810" s="26">
        <f>Q1810*G1810</f>
        <v/>
      </c>
      <c r="S1810" s="26">
        <f>IFERROR(VLOOKUP(E1810*1,Tabla[#All],8,0),0)</f>
        <v/>
      </c>
      <c r="T1810" s="26">
        <f>S1810*G1810</f>
        <v/>
      </c>
      <c r="U1810" s="26">
        <f>R1810-T1810</f>
        <v/>
      </c>
      <c r="V1810" s="26">
        <f>U1810-L1810</f>
        <v/>
      </c>
    </row>
    <row r="1811">
      <c r="A1811" s="11" t="n">
        <v>46221</v>
      </c>
      <c r="B1811" s="1" t="n">
        <v>20057</v>
      </c>
      <c r="C1811" s="1" t="inlineStr">
        <is>
          <t>033</t>
        </is>
      </c>
      <c r="D1811" s="1" t="inlineStr">
        <is>
          <t xml:space="preserve">67419 </t>
        </is>
      </c>
      <c r="E1811" s="1" t="inlineStr">
        <is>
          <t xml:space="preserve">28194769       </t>
        </is>
      </c>
      <c r="F1811" s="5" t="inlineStr">
        <is>
          <t>AUTOS DE METAL 3 TEAMSTERZ PACK DE 2</t>
        </is>
      </c>
      <c r="G1811" t="n">
        <v>1</v>
      </c>
      <c r="H1811" s="7" t="n">
        <v>13.8</v>
      </c>
      <c r="I1811" s="7" t="n">
        <v>1.38</v>
      </c>
      <c r="J1811" s="7" t="n">
        <v>0</v>
      </c>
      <c r="K1811" s="9" t="n">
        <v>1.38</v>
      </c>
      <c r="L1811" s="10" t="n">
        <v>7.37</v>
      </c>
      <c r="M1811" s="10" t="n">
        <v>1.43</v>
      </c>
      <c r="N1811" t="inlineStr">
        <is>
          <t>1</t>
        </is>
      </c>
      <c r="O1811" t="inlineStr">
        <is>
          <t xml:space="preserve">3 </t>
        </is>
      </c>
      <c r="P1811" t="inlineStr">
        <is>
          <t xml:space="preserve">248132  </t>
        </is>
      </c>
      <c r="Q1811" s="26" t="n">
        <v>8.19</v>
      </c>
      <c r="R1811" s="26">
        <f>Q1811*G1811</f>
        <v/>
      </c>
      <c r="S1811" s="26">
        <f>IFERROR(VLOOKUP(E1811*1,Tabla[#All],8,0),0)</f>
        <v/>
      </c>
      <c r="T1811" s="26">
        <f>S1811*G1811</f>
        <v/>
      </c>
      <c r="U1811" s="26">
        <f>R1811-T1811</f>
        <v/>
      </c>
      <c r="V1811" s="26">
        <f>U1811-L1811</f>
        <v/>
      </c>
    </row>
    <row r="1812">
      <c r="A1812" s="11" t="n">
        <v>46221</v>
      </c>
      <c r="B1812" s="1" t="n">
        <v>20057</v>
      </c>
      <c r="C1812" s="1" t="inlineStr">
        <is>
          <t>033</t>
        </is>
      </c>
      <c r="D1812" s="1" t="inlineStr">
        <is>
          <t xml:space="preserve">67446 </t>
        </is>
      </c>
      <c r="E1812" s="1" t="inlineStr">
        <is>
          <t xml:space="preserve">34840552       </t>
        </is>
      </c>
      <c r="F1812" s="5" t="inlineStr">
        <is>
          <t>TMZ HELI POLICIA CON LUCES Y SONIDOS</t>
        </is>
      </c>
      <c r="G1812" t="n">
        <v>1</v>
      </c>
      <c r="H1812" s="7" t="n">
        <v>79.90000000000001</v>
      </c>
      <c r="I1812" s="7" t="n">
        <v>0</v>
      </c>
      <c r="J1812" s="7" t="n">
        <v>0</v>
      </c>
      <c r="K1812" s="9" t="n">
        <v>0</v>
      </c>
      <c r="L1812" s="10" t="n">
        <v>47.4</v>
      </c>
      <c r="M1812" s="10" t="n">
        <v>1.43</v>
      </c>
      <c r="N1812" t="inlineStr">
        <is>
          <t>1</t>
        </is>
      </c>
      <c r="O1812" t="inlineStr">
        <is>
          <t>16</t>
        </is>
      </c>
      <c r="P1812" t="inlineStr">
        <is>
          <t xml:space="preserve">248132  </t>
        </is>
      </c>
      <c r="Q1812" s="26" t="n">
        <v>47.4</v>
      </c>
      <c r="R1812" s="26">
        <f>Q1812*G1812</f>
        <v/>
      </c>
      <c r="S1812" s="26">
        <f>IFERROR(VLOOKUP(E1812*1,Tabla[#All],8,0),0)</f>
        <v/>
      </c>
      <c r="T1812" s="26">
        <f>S1812*G1812</f>
        <v/>
      </c>
      <c r="U1812" s="26">
        <f>R1812-T1812</f>
        <v/>
      </c>
      <c r="V1812" s="26">
        <f>U1812-L1812</f>
        <v/>
      </c>
    </row>
    <row r="1813">
      <c r="A1813" s="11" t="n">
        <v>46221</v>
      </c>
      <c r="B1813" s="1" t="n">
        <v>20057</v>
      </c>
      <c r="C1813" s="1" t="inlineStr">
        <is>
          <t>033</t>
        </is>
      </c>
      <c r="D1813" s="1" t="inlineStr">
        <is>
          <t xml:space="preserve">67504 </t>
        </is>
      </c>
      <c r="E1813" s="1" t="inlineStr">
        <is>
          <t xml:space="preserve">28194769       </t>
        </is>
      </c>
      <c r="F1813" s="5" t="inlineStr">
        <is>
          <t>AUTOS DE METAL 3 TEAMSTERZ PACK DE 2</t>
        </is>
      </c>
      <c r="G1813" t="n">
        <v>1</v>
      </c>
      <c r="H1813" s="7" t="n">
        <v>13.8</v>
      </c>
      <c r="I1813" s="7" t="n">
        <v>1.38</v>
      </c>
      <c r="J1813" s="7" t="n">
        <v>0</v>
      </c>
      <c r="K1813" s="9" t="n">
        <v>1.38</v>
      </c>
      <c r="L1813" s="10" t="n">
        <v>7.37</v>
      </c>
      <c r="M1813" s="10" t="n">
        <v>1.43</v>
      </c>
      <c r="N1813" t="inlineStr">
        <is>
          <t>1</t>
        </is>
      </c>
      <c r="O1813" t="inlineStr">
        <is>
          <t xml:space="preserve">3 </t>
        </is>
      </c>
      <c r="P1813" t="inlineStr">
        <is>
          <t xml:space="preserve">242831  </t>
        </is>
      </c>
      <c r="Q1813" s="26" t="n">
        <v>8.19</v>
      </c>
      <c r="R1813" s="26">
        <f>Q1813*G1813</f>
        <v/>
      </c>
      <c r="S1813" s="26">
        <f>IFERROR(VLOOKUP(E1813*1,Tabla[#All],8,0),0)</f>
        <v/>
      </c>
      <c r="T1813" s="26">
        <f>S1813*G1813</f>
        <v/>
      </c>
      <c r="U1813" s="26">
        <f>R1813-T1813</f>
        <v/>
      </c>
      <c r="V1813" s="26">
        <f>U1813-L1813</f>
        <v/>
      </c>
    </row>
    <row r="1814">
      <c r="A1814" s="11" t="n">
        <v>46221</v>
      </c>
      <c r="B1814" s="1" t="n">
        <v>20057</v>
      </c>
      <c r="C1814" s="1" t="inlineStr">
        <is>
          <t>033</t>
        </is>
      </c>
      <c r="D1814" s="1" t="inlineStr">
        <is>
          <t xml:space="preserve">67512 </t>
        </is>
      </c>
      <c r="E1814" s="1" t="inlineStr">
        <is>
          <t xml:space="preserve">28194769       </t>
        </is>
      </c>
      <c r="F1814" s="5" t="inlineStr">
        <is>
          <t>AUTOS DE METAL 3 TEAMSTERZ PACK DE 2</t>
        </is>
      </c>
      <c r="G1814" t="n">
        <v>1</v>
      </c>
      <c r="H1814" s="7" t="n">
        <v>13.8</v>
      </c>
      <c r="I1814" s="7" t="n">
        <v>0</v>
      </c>
      <c r="J1814" s="7" t="n">
        <v>0</v>
      </c>
      <c r="K1814" s="9" t="n">
        <v>0</v>
      </c>
      <c r="L1814" s="10" t="n">
        <v>8.18</v>
      </c>
      <c r="M1814" s="10" t="n">
        <v>1.43</v>
      </c>
      <c r="N1814" t="inlineStr">
        <is>
          <t>1</t>
        </is>
      </c>
      <c r="O1814" t="inlineStr">
        <is>
          <t>16</t>
        </is>
      </c>
      <c r="P1814" t="inlineStr">
        <is>
          <t xml:space="preserve">242831  </t>
        </is>
      </c>
      <c r="Q1814" s="26" t="n">
        <v>8.19</v>
      </c>
      <c r="R1814" s="26">
        <f>Q1814*G1814</f>
        <v/>
      </c>
      <c r="S1814" s="26">
        <f>IFERROR(VLOOKUP(E1814*1,Tabla[#All],8,0),0)</f>
        <v/>
      </c>
      <c r="T1814" s="26">
        <f>S1814*G1814</f>
        <v/>
      </c>
      <c r="U1814" s="26">
        <f>R1814-T1814</f>
        <v/>
      </c>
      <c r="V1814" s="26">
        <f>U1814-L1814</f>
        <v/>
      </c>
    </row>
    <row r="1815">
      <c r="A1815" s="11" t="n">
        <v>46221</v>
      </c>
      <c r="B1815" s="1" t="n">
        <v>20057</v>
      </c>
      <c r="C1815" s="1" t="inlineStr">
        <is>
          <t>861</t>
        </is>
      </c>
      <c r="D1815" s="1" t="inlineStr">
        <is>
          <t xml:space="preserve">897   </t>
        </is>
      </c>
      <c r="E1815" s="1" t="inlineStr">
        <is>
          <t xml:space="preserve">28194769       </t>
        </is>
      </c>
      <c r="F1815" s="5" t="inlineStr">
        <is>
          <t>AUTOS DE METAL 3 TEAMSTERZ PACK DE 2</t>
        </is>
      </c>
      <c r="G1815" t="n">
        <v>1</v>
      </c>
      <c r="H1815" s="7" t="n">
        <v>13.8</v>
      </c>
      <c r="I1815" s="7" t="n">
        <v>1.38</v>
      </c>
      <c r="J1815" s="7" t="n">
        <v>0</v>
      </c>
      <c r="K1815" s="9" t="n">
        <v>1.38</v>
      </c>
      <c r="L1815" s="10" t="n">
        <v>7.37</v>
      </c>
      <c r="M1815" s="10" t="n">
        <v>1.43</v>
      </c>
      <c r="N1815" t="inlineStr">
        <is>
          <t>1</t>
        </is>
      </c>
      <c r="O1815" t="inlineStr">
        <is>
          <t>16</t>
        </is>
      </c>
      <c r="P1815" t="inlineStr">
        <is>
          <t xml:space="preserve">0       </t>
        </is>
      </c>
      <c r="Q1815" s="26" t="n">
        <v>8.19</v>
      </c>
      <c r="R1815" s="26">
        <f>Q1815*G1815</f>
        <v/>
      </c>
      <c r="S1815" s="26">
        <f>IFERROR(VLOOKUP(E1815*1,Tabla[#All],8,0),0)</f>
        <v/>
      </c>
      <c r="T1815" s="26">
        <f>S1815*G1815</f>
        <v/>
      </c>
      <c r="U1815" s="26">
        <f>R1815-T1815</f>
        <v/>
      </c>
      <c r="V1815" s="26">
        <f>U1815-L1815</f>
        <v/>
      </c>
    </row>
    <row r="1816">
      <c r="A1816" s="11" t="n">
        <v>46221</v>
      </c>
      <c r="B1816" s="1" t="n">
        <v>20057</v>
      </c>
      <c r="C1816" s="1" t="inlineStr">
        <is>
          <t>861</t>
        </is>
      </c>
      <c r="D1816" s="1" t="inlineStr">
        <is>
          <t xml:space="preserve">903   </t>
        </is>
      </c>
      <c r="E1816" s="1" t="inlineStr">
        <is>
          <t xml:space="preserve">28194769       </t>
        </is>
      </c>
      <c r="F1816" s="5" t="inlineStr">
        <is>
          <t>AUTOS DE METAL 3 TEAMSTERZ PACK DE 2</t>
        </is>
      </c>
      <c r="G1816" t="n">
        <v>1</v>
      </c>
      <c r="H1816" s="7" t="n">
        <v>13.8</v>
      </c>
      <c r="I1816" s="7" t="n">
        <v>0</v>
      </c>
      <c r="J1816" s="7" t="n">
        <v>0</v>
      </c>
      <c r="K1816" s="9" t="n">
        <v>0</v>
      </c>
      <c r="L1816" s="10" t="n">
        <v>8.18</v>
      </c>
      <c r="M1816" s="10" t="n">
        <v>1.43</v>
      </c>
      <c r="N1816" t="inlineStr">
        <is>
          <t>1</t>
        </is>
      </c>
      <c r="O1816" t="inlineStr">
        <is>
          <t>16</t>
        </is>
      </c>
      <c r="P1816" t="inlineStr">
        <is>
          <t xml:space="preserve">0       </t>
        </is>
      </c>
      <c r="Q1816" s="26" t="n">
        <v>8.19</v>
      </c>
      <c r="R1816" s="26">
        <f>Q1816*G1816</f>
        <v/>
      </c>
      <c r="S1816" s="26">
        <f>IFERROR(VLOOKUP(E1816*1,Tabla[#All],8,0),0)</f>
        <v/>
      </c>
      <c r="T1816" s="26">
        <f>S1816*G1816</f>
        <v/>
      </c>
      <c r="U1816" s="26">
        <f>R1816-T1816</f>
        <v/>
      </c>
      <c r="V1816" s="26">
        <f>U1816-L1816</f>
        <v/>
      </c>
    </row>
    <row r="1817">
      <c r="A1817" s="11" t="n">
        <v>46221</v>
      </c>
      <c r="B1817" s="1" t="n">
        <v>20057</v>
      </c>
      <c r="C1817" s="1" t="inlineStr">
        <is>
          <t>862</t>
        </is>
      </c>
      <c r="D1817" s="1" t="inlineStr">
        <is>
          <t xml:space="preserve">8048  </t>
        </is>
      </c>
      <c r="E1817" s="1" t="inlineStr">
        <is>
          <t xml:space="preserve">28194770       </t>
        </is>
      </c>
      <c r="F1817" s="5" t="inlineStr">
        <is>
          <t>AUTOS DE METAL 3 TEAMSTERZ EN BLISTER</t>
        </is>
      </c>
      <c r="G1817" t="n">
        <v>1</v>
      </c>
      <c r="H1817" s="7" t="n">
        <v>6.9</v>
      </c>
      <c r="I1817" s="7" t="n">
        <v>0</v>
      </c>
      <c r="J1817" s="7" t="n">
        <v>0</v>
      </c>
      <c r="K1817" s="9" t="n">
        <v>0</v>
      </c>
      <c r="L1817" s="10" t="n">
        <v>4.1</v>
      </c>
      <c r="M1817" s="10" t="n">
        <v>1.43</v>
      </c>
      <c r="N1817" t="inlineStr">
        <is>
          <t>1</t>
        </is>
      </c>
      <c r="O1817" t="inlineStr">
        <is>
          <t>16</t>
        </is>
      </c>
      <c r="P1817" t="inlineStr">
        <is>
          <t xml:space="preserve">0       </t>
        </is>
      </c>
      <c r="Q1817" s="26" t="n">
        <v>4.09</v>
      </c>
      <c r="R1817" s="26">
        <f>Q1817*G1817</f>
        <v/>
      </c>
      <c r="S1817" s="26">
        <f>IFERROR(VLOOKUP(E1817*1,Tabla[#All],8,0),0)</f>
        <v/>
      </c>
      <c r="T1817" s="26">
        <f>S1817*G1817</f>
        <v/>
      </c>
      <c r="U1817" s="26">
        <f>R1817-T1817</f>
        <v/>
      </c>
      <c r="V1817" s="26">
        <f>U1817-L1817</f>
        <v/>
      </c>
    </row>
    <row r="1818">
      <c r="A1818" s="11" t="n">
        <v>46221</v>
      </c>
      <c r="B1818" s="1" t="n">
        <v>20058</v>
      </c>
      <c r="C1818" s="1" t="inlineStr">
        <is>
          <t>013</t>
        </is>
      </c>
      <c r="D1818" s="1" t="inlineStr">
        <is>
          <t>230140</t>
        </is>
      </c>
      <c r="E1818" s="1" t="inlineStr">
        <is>
          <t xml:space="preserve">28194769       </t>
        </is>
      </c>
      <c r="F1818" s="5" t="inlineStr">
        <is>
          <t>AUTOS DE METAL 3 TEAMSTERZ PACK DE 2</t>
        </is>
      </c>
      <c r="G1818" t="n">
        <v>1</v>
      </c>
      <c r="H1818" s="7" t="n">
        <v>13.8</v>
      </c>
      <c r="I1818" s="7" t="n">
        <v>0</v>
      </c>
      <c r="J1818" s="7" t="n">
        <v>0</v>
      </c>
      <c r="K1818" s="9" t="n">
        <v>0</v>
      </c>
      <c r="L1818" s="10" t="n">
        <v>8.18</v>
      </c>
      <c r="M1818" s="10" t="n">
        <v>1.43</v>
      </c>
      <c r="N1818" t="inlineStr">
        <is>
          <t>1</t>
        </is>
      </c>
      <c r="O1818" t="inlineStr">
        <is>
          <t xml:space="preserve">2 </t>
        </is>
      </c>
      <c r="P1818" t="inlineStr">
        <is>
          <t xml:space="preserve">249068  </t>
        </is>
      </c>
      <c r="Q1818" s="26" t="n">
        <v>8.19</v>
      </c>
      <c r="R1818" s="26">
        <f>Q1818*G1818</f>
        <v/>
      </c>
      <c r="S1818" s="26">
        <f>IFERROR(VLOOKUP(E1818*1,Tabla[#All],8,0),0)</f>
        <v/>
      </c>
      <c r="T1818" s="26">
        <f>S1818*G1818</f>
        <v/>
      </c>
      <c r="U1818" s="26">
        <f>R1818-T1818</f>
        <v/>
      </c>
      <c r="V1818" s="26">
        <f>U1818-L1818</f>
        <v/>
      </c>
    </row>
    <row r="1819">
      <c r="A1819" s="11" t="n">
        <v>46221</v>
      </c>
      <c r="B1819" s="1" t="n">
        <v>20058</v>
      </c>
      <c r="C1819" s="1" t="inlineStr">
        <is>
          <t>038</t>
        </is>
      </c>
      <c r="D1819" s="1" t="inlineStr">
        <is>
          <t>209803</t>
        </is>
      </c>
      <c r="E1819" s="1" t="inlineStr">
        <is>
          <t xml:space="preserve">28194770       </t>
        </is>
      </c>
      <c r="F1819" s="5" t="inlineStr">
        <is>
          <t>AUTOS DE METAL 3 TEAMSTERZ EN BLISTER</t>
        </is>
      </c>
      <c r="G1819" t="n">
        <v>1</v>
      </c>
      <c r="H1819" s="7" t="n">
        <v>6.9</v>
      </c>
      <c r="I1819" s="7" t="n">
        <v>0</v>
      </c>
      <c r="J1819" s="7" t="n">
        <v>0</v>
      </c>
      <c r="K1819" s="9" t="n">
        <v>0</v>
      </c>
      <c r="L1819" s="10" t="n">
        <v>4.1</v>
      </c>
      <c r="M1819" s="10" t="n">
        <v>1.43</v>
      </c>
      <c r="N1819" t="inlineStr">
        <is>
          <t>1</t>
        </is>
      </c>
      <c r="O1819" t="inlineStr">
        <is>
          <t>16</t>
        </is>
      </c>
      <c r="P1819" t="inlineStr">
        <is>
          <t xml:space="preserve">61785   </t>
        </is>
      </c>
      <c r="Q1819" s="26" t="n">
        <v>4.09</v>
      </c>
      <c r="R1819" s="26">
        <f>Q1819*G1819</f>
        <v/>
      </c>
      <c r="S1819" s="26">
        <f>IFERROR(VLOOKUP(E1819*1,Tabla[#All],8,0),0)</f>
        <v/>
      </c>
      <c r="T1819" s="26">
        <f>S1819*G1819</f>
        <v/>
      </c>
      <c r="U1819" s="26">
        <f>R1819-T1819</f>
        <v/>
      </c>
      <c r="V1819" s="26">
        <f>U1819-L1819</f>
        <v/>
      </c>
    </row>
    <row r="1820">
      <c r="A1820" s="11" t="n">
        <v>46221</v>
      </c>
      <c r="B1820" s="1" t="n">
        <v>20058</v>
      </c>
      <c r="C1820" s="1" t="inlineStr">
        <is>
          <t>038</t>
        </is>
      </c>
      <c r="D1820" s="1" t="inlineStr">
        <is>
          <t>209803</t>
        </is>
      </c>
      <c r="E1820" s="1" t="inlineStr">
        <is>
          <t xml:space="preserve">28194770       </t>
        </is>
      </c>
      <c r="F1820" s="5" t="inlineStr">
        <is>
          <t>AUTOS DE METAL 3 TEAMSTERZ EN BLISTER</t>
        </is>
      </c>
      <c r="G1820" t="n">
        <v>1</v>
      </c>
      <c r="H1820" s="7" t="n">
        <v>6.9</v>
      </c>
      <c r="I1820" s="7" t="n">
        <v>0</v>
      </c>
      <c r="J1820" s="7" t="n">
        <v>0</v>
      </c>
      <c r="K1820" s="9" t="n">
        <v>0</v>
      </c>
      <c r="L1820" s="10" t="n">
        <v>4.1</v>
      </c>
      <c r="M1820" s="10" t="n">
        <v>1.43</v>
      </c>
      <c r="N1820" t="inlineStr">
        <is>
          <t>1</t>
        </is>
      </c>
      <c r="O1820" t="inlineStr">
        <is>
          <t>16</t>
        </is>
      </c>
      <c r="P1820" t="inlineStr">
        <is>
          <t xml:space="preserve">61785   </t>
        </is>
      </c>
      <c r="Q1820" s="26" t="n">
        <v>4.09</v>
      </c>
      <c r="R1820" s="26">
        <f>Q1820*G1820</f>
        <v/>
      </c>
      <c r="S1820" s="26">
        <f>IFERROR(VLOOKUP(E1820*1,Tabla[#All],8,0),0)</f>
        <v/>
      </c>
      <c r="T1820" s="26">
        <f>S1820*G1820</f>
        <v/>
      </c>
      <c r="U1820" s="26">
        <f>R1820-T1820</f>
        <v/>
      </c>
      <c r="V1820" s="26">
        <f>U1820-L1820</f>
        <v/>
      </c>
    </row>
    <row r="1821">
      <c r="A1821" s="11" t="n">
        <v>46221</v>
      </c>
      <c r="B1821" s="1" t="n">
        <v>20058</v>
      </c>
      <c r="C1821" s="1" t="inlineStr">
        <is>
          <t>039</t>
        </is>
      </c>
      <c r="D1821" s="1" t="inlineStr">
        <is>
          <t>230965</t>
        </is>
      </c>
      <c r="E1821" s="1" t="inlineStr">
        <is>
          <t xml:space="preserve">28194770       </t>
        </is>
      </c>
      <c r="F1821" s="5" t="inlineStr">
        <is>
          <t>AUTOS DE METAL 3 TEAMSTERZ EN BLISTER</t>
        </is>
      </c>
      <c r="G1821" t="n">
        <v>1</v>
      </c>
      <c r="H1821" s="7" t="n">
        <v>6.9</v>
      </c>
      <c r="I1821" s="7" t="n">
        <v>0</v>
      </c>
      <c r="J1821" s="7" t="n">
        <v>0</v>
      </c>
      <c r="K1821" s="9" t="n">
        <v>0</v>
      </c>
      <c r="L1821" s="10" t="n">
        <v>4.1</v>
      </c>
      <c r="M1821" s="10" t="n">
        <v>1.43</v>
      </c>
      <c r="N1821" t="inlineStr">
        <is>
          <t>1</t>
        </is>
      </c>
      <c r="O1821" t="inlineStr">
        <is>
          <t>16</t>
        </is>
      </c>
      <c r="P1821" t="inlineStr">
        <is>
          <t xml:space="preserve">250260  </t>
        </is>
      </c>
      <c r="Q1821" s="26" t="n">
        <v>4.09</v>
      </c>
      <c r="R1821" s="26">
        <f>Q1821*G1821</f>
        <v/>
      </c>
      <c r="S1821" s="26">
        <f>IFERROR(VLOOKUP(E1821*1,Tabla[#All],8,0),0)</f>
        <v/>
      </c>
      <c r="T1821" s="26">
        <f>S1821*G1821</f>
        <v/>
      </c>
      <c r="U1821" s="26">
        <f>R1821-T1821</f>
        <v/>
      </c>
      <c r="V1821" s="26">
        <f>U1821-L1821</f>
        <v/>
      </c>
    </row>
    <row r="1822">
      <c r="A1822" s="11" t="n">
        <v>46221</v>
      </c>
      <c r="B1822" s="1" t="n">
        <v>20062</v>
      </c>
      <c r="C1822" s="1" t="inlineStr">
        <is>
          <t>017</t>
        </is>
      </c>
      <c r="D1822" s="1" t="inlineStr">
        <is>
          <t>235893</t>
        </is>
      </c>
      <c r="E1822" s="1" t="inlineStr">
        <is>
          <t xml:space="preserve">29854051       </t>
        </is>
      </c>
      <c r="F1822" s="5" t="inlineStr">
        <is>
          <t>TEAMSTERZ AUTO DE METAL PACK 10 AUTOS</t>
        </is>
      </c>
      <c r="G1822" t="n">
        <v>1</v>
      </c>
      <c r="H1822" s="7" t="n">
        <v>69</v>
      </c>
      <c r="I1822" s="7" t="n">
        <v>0</v>
      </c>
      <c r="J1822" s="7" t="n">
        <v>0</v>
      </c>
      <c r="K1822" s="9" t="n">
        <v>0</v>
      </c>
      <c r="L1822" s="10" t="n">
        <v>40.93</v>
      </c>
      <c r="M1822" s="10" t="n">
        <v>1.43</v>
      </c>
      <c r="N1822" t="inlineStr">
        <is>
          <t>1</t>
        </is>
      </c>
      <c r="O1822" t="inlineStr">
        <is>
          <t>16</t>
        </is>
      </c>
      <c r="P1822" t="inlineStr">
        <is>
          <t xml:space="preserve">237521  </t>
        </is>
      </c>
      <c r="Q1822" s="26" t="n">
        <v>40.93</v>
      </c>
      <c r="R1822" s="26">
        <f>Q1822*G1822</f>
        <v/>
      </c>
      <c r="S1822" s="26">
        <f>IFERROR(VLOOKUP(E1822*1,Tabla[#All],8,0),0)</f>
        <v/>
      </c>
      <c r="T1822" s="26">
        <f>S1822*G1822</f>
        <v/>
      </c>
      <c r="U1822" s="26">
        <f>R1822-T1822</f>
        <v/>
      </c>
      <c r="V1822" s="26">
        <f>U1822-L1822</f>
        <v/>
      </c>
    </row>
    <row r="1823">
      <c r="A1823" s="11" t="n">
        <v>46221</v>
      </c>
      <c r="B1823" s="1" t="n">
        <v>20062</v>
      </c>
      <c r="C1823" s="1" t="inlineStr">
        <is>
          <t>506</t>
        </is>
      </c>
      <c r="D1823" s="1" t="inlineStr">
        <is>
          <t xml:space="preserve">1512  </t>
        </is>
      </c>
      <c r="E1823" s="1" t="inlineStr">
        <is>
          <t xml:space="preserve">32457102       </t>
        </is>
      </c>
      <c r="F1823" s="5" t="inlineStr">
        <is>
          <t>TMZ CAMBIA DE COLOR LANZADOR DINO SPLASH + 1 AUTO</t>
        </is>
      </c>
      <c r="G1823" t="n">
        <v>1</v>
      </c>
      <c r="H1823" s="7" t="n">
        <v>39.9</v>
      </c>
      <c r="I1823" s="7" t="n">
        <v>0</v>
      </c>
      <c r="J1823" s="7" t="n">
        <v>0</v>
      </c>
      <c r="K1823" s="9" t="n">
        <v>0</v>
      </c>
      <c r="L1823" s="10" t="n">
        <v>23.67</v>
      </c>
      <c r="M1823" s="10" t="n">
        <v>1.43</v>
      </c>
      <c r="N1823" t="inlineStr">
        <is>
          <t>1</t>
        </is>
      </c>
      <c r="O1823" t="inlineStr">
        <is>
          <t>16</t>
        </is>
      </c>
      <c r="P1823" t="inlineStr">
        <is>
          <t xml:space="preserve">249328  </t>
        </is>
      </c>
      <c r="Q1823" s="26" t="n">
        <v>23.67</v>
      </c>
      <c r="R1823" s="26">
        <f>Q1823*G1823</f>
        <v/>
      </c>
      <c r="S1823" s="26">
        <f>IFERROR(VLOOKUP(E1823*1,Tabla[#All],8,0),0)</f>
        <v/>
      </c>
      <c r="T1823" s="26">
        <f>S1823*G1823</f>
        <v/>
      </c>
      <c r="U1823" s="26">
        <f>R1823-T1823</f>
        <v/>
      </c>
      <c r="V1823" s="26">
        <f>U1823-L1823</f>
        <v/>
      </c>
    </row>
    <row r="1824">
      <c r="A1824" s="11" t="n">
        <v>46221</v>
      </c>
      <c r="B1824" s="1" t="n">
        <v>20066</v>
      </c>
      <c r="C1824" s="1" t="inlineStr">
        <is>
          <t>833</t>
        </is>
      </c>
      <c r="D1824" s="1" t="inlineStr">
        <is>
          <t xml:space="preserve">3768  </t>
        </is>
      </c>
      <c r="E1824" s="1" t="inlineStr">
        <is>
          <t xml:space="preserve">28194770       </t>
        </is>
      </c>
      <c r="F1824" s="5" t="inlineStr">
        <is>
          <t>AUTOS DE METAL 3 TEAMSTERZ EN BLISTER</t>
        </is>
      </c>
      <c r="G1824" t="n">
        <v>1</v>
      </c>
      <c r="H1824" s="7" t="n">
        <v>6.9</v>
      </c>
      <c r="I1824" s="7" t="n">
        <v>0</v>
      </c>
      <c r="J1824" s="7" t="n">
        <v>0</v>
      </c>
      <c r="K1824" s="9" t="n">
        <v>0</v>
      </c>
      <c r="L1824" s="10" t="n">
        <v>4.1</v>
      </c>
      <c r="M1824" s="10" t="n">
        <v>1.43</v>
      </c>
      <c r="N1824" t="inlineStr">
        <is>
          <t>1</t>
        </is>
      </c>
      <c r="O1824" t="inlineStr">
        <is>
          <t>16</t>
        </is>
      </c>
      <c r="P1824" t="inlineStr">
        <is>
          <t xml:space="preserve">0       </t>
        </is>
      </c>
      <c r="Q1824" s="26" t="n">
        <v>4.09</v>
      </c>
      <c r="R1824" s="26">
        <f>Q1824*G1824</f>
        <v/>
      </c>
      <c r="S1824" s="26">
        <f>IFERROR(VLOOKUP(E1824*1,Tabla[#All],8,0),0)</f>
        <v/>
      </c>
      <c r="T1824" s="26">
        <f>S1824*G1824</f>
        <v/>
      </c>
      <c r="U1824" s="26">
        <f>R1824-T1824</f>
        <v/>
      </c>
      <c r="V1824" s="26">
        <f>U1824-L1824</f>
        <v/>
      </c>
    </row>
    <row r="1825">
      <c r="A1825" s="11" t="n">
        <v>46221</v>
      </c>
      <c r="B1825" s="1" t="n">
        <v>20069</v>
      </c>
      <c r="C1825" s="1" t="inlineStr">
        <is>
          <t>024</t>
        </is>
      </c>
      <c r="D1825" s="1" t="inlineStr">
        <is>
          <t>104874</t>
        </is>
      </c>
      <c r="E1825" s="1" t="inlineStr">
        <is>
          <t xml:space="preserve">28194770       </t>
        </is>
      </c>
      <c r="F1825" s="5" t="inlineStr">
        <is>
          <t>AUTOS DE METAL 3 TEAMSTERZ EN BLISTER</t>
        </is>
      </c>
      <c r="G1825" t="n">
        <v>1</v>
      </c>
      <c r="H1825" s="7" t="n">
        <v>6.9</v>
      </c>
      <c r="I1825" s="7" t="n">
        <v>0</v>
      </c>
      <c r="J1825" s="7" t="n">
        <v>0</v>
      </c>
      <c r="K1825" s="9" t="n">
        <v>0</v>
      </c>
      <c r="L1825" s="10" t="n">
        <v>4.1</v>
      </c>
      <c r="M1825" s="10" t="n">
        <v>1.43</v>
      </c>
      <c r="N1825" t="inlineStr">
        <is>
          <t>1</t>
        </is>
      </c>
      <c r="O1825" t="inlineStr">
        <is>
          <t xml:space="preserve">2 </t>
        </is>
      </c>
      <c r="P1825" t="inlineStr">
        <is>
          <t xml:space="preserve">249980  </t>
        </is>
      </c>
      <c r="Q1825" s="26" t="n">
        <v>4.09</v>
      </c>
      <c r="R1825" s="26">
        <f>Q1825*G1825</f>
        <v/>
      </c>
      <c r="S1825" s="26">
        <f>IFERROR(VLOOKUP(E1825*1,Tabla[#All],8,0),0)</f>
        <v/>
      </c>
      <c r="T1825" s="26">
        <f>S1825*G1825</f>
        <v/>
      </c>
      <c r="U1825" s="26">
        <f>R1825-T1825</f>
        <v/>
      </c>
      <c r="V1825" s="26">
        <f>U1825-L1825</f>
        <v/>
      </c>
    </row>
    <row r="1826">
      <c r="A1826" s="11" t="n">
        <v>46221</v>
      </c>
      <c r="B1826" s="1" t="n">
        <v>20073</v>
      </c>
      <c r="C1826" s="1" t="inlineStr">
        <is>
          <t>016</t>
        </is>
      </c>
      <c r="D1826" s="1" t="inlineStr">
        <is>
          <t xml:space="preserve">14645 </t>
        </is>
      </c>
      <c r="E1826" s="1" t="inlineStr">
        <is>
          <t xml:space="preserve">30141766       </t>
        </is>
      </c>
      <c r="F1826" s="5" t="inlineStr">
        <is>
          <t>TMZ BEAST MACHINES AUTOS DE METAL BLISTER X 1</t>
        </is>
      </c>
      <c r="G1826" t="n">
        <v>1</v>
      </c>
      <c r="H1826" s="7" t="n">
        <v>7.9</v>
      </c>
      <c r="I1826" s="7" t="n">
        <v>0</v>
      </c>
      <c r="J1826" s="7" t="n">
        <v>0</v>
      </c>
      <c r="K1826" s="9" t="n">
        <v>0</v>
      </c>
      <c r="L1826" s="10" t="n">
        <v>4.68</v>
      </c>
      <c r="M1826" s="10" t="n">
        <v>1.43</v>
      </c>
      <c r="N1826" t="inlineStr">
        <is>
          <t>1</t>
        </is>
      </c>
      <c r="O1826" t="inlineStr">
        <is>
          <t xml:space="preserve">2 </t>
        </is>
      </c>
      <c r="P1826" t="inlineStr">
        <is>
          <t xml:space="preserve">101947  </t>
        </is>
      </c>
      <c r="Q1826" s="26" t="n">
        <v>4.69</v>
      </c>
      <c r="R1826" s="26">
        <f>Q1826*G1826</f>
        <v/>
      </c>
      <c r="S1826" s="26">
        <f>IFERROR(VLOOKUP(E1826*1,Tabla[#All],8,0),0)</f>
        <v/>
      </c>
      <c r="T1826" s="26">
        <f>S1826*G1826</f>
        <v/>
      </c>
      <c r="U1826" s="26">
        <f>R1826-T1826</f>
        <v/>
      </c>
      <c r="V1826" s="26">
        <f>U1826-L1826</f>
        <v/>
      </c>
    </row>
    <row r="1827">
      <c r="A1827" s="11" t="n">
        <v>46221</v>
      </c>
      <c r="B1827" s="1" t="n">
        <v>20073</v>
      </c>
      <c r="C1827" s="1" t="inlineStr">
        <is>
          <t>016</t>
        </is>
      </c>
      <c r="D1827" s="1" t="inlineStr">
        <is>
          <t xml:space="preserve">14652 </t>
        </is>
      </c>
      <c r="E1827" s="1" t="inlineStr">
        <is>
          <t xml:space="preserve">31675354       </t>
        </is>
      </c>
      <c r="F1827" s="5" t="inlineStr">
        <is>
          <t>NENUCO LLORON CON ACCESORIOS</t>
        </is>
      </c>
      <c r="G1827" t="n">
        <v>1</v>
      </c>
      <c r="H1827" s="7" t="n">
        <v>69.90000000000001</v>
      </c>
      <c r="I1827" s="7" t="n">
        <v>6.99</v>
      </c>
      <c r="J1827" s="7" t="n">
        <v>0</v>
      </c>
      <c r="K1827" s="9" t="n">
        <v>6.99</v>
      </c>
      <c r="L1827" s="10" t="n">
        <v>37.32</v>
      </c>
      <c r="M1827" s="10" t="n">
        <v>1.43</v>
      </c>
      <c r="N1827" t="inlineStr">
        <is>
          <t>1</t>
        </is>
      </c>
      <c r="O1827" t="inlineStr">
        <is>
          <t xml:space="preserve">3 </t>
        </is>
      </c>
      <c r="P1827" t="inlineStr">
        <is>
          <t xml:space="preserve">101947  </t>
        </is>
      </c>
      <c r="Q1827" s="26" t="n">
        <v>53.33</v>
      </c>
      <c r="R1827" s="26">
        <f>Q1827*G1827</f>
        <v/>
      </c>
      <c r="S1827" s="26">
        <f>IFERROR(VLOOKUP(E1827*1,Tabla[#All],8,0),0)</f>
        <v/>
      </c>
      <c r="T1827" s="26">
        <f>S1827*G1827</f>
        <v/>
      </c>
      <c r="U1827" s="26">
        <f>R1827-T1827</f>
        <v/>
      </c>
      <c r="V1827" s="26">
        <f>U1827-L1827</f>
        <v/>
      </c>
    </row>
    <row r="1828">
      <c r="A1828" s="11" t="n">
        <v>46221</v>
      </c>
      <c r="B1828" s="1" t="n">
        <v>20073</v>
      </c>
      <c r="C1828" s="1" t="inlineStr">
        <is>
          <t>023</t>
        </is>
      </c>
      <c r="D1828" s="1" t="inlineStr">
        <is>
          <t xml:space="preserve">96411 </t>
        </is>
      </c>
      <c r="E1828" s="1" t="inlineStr">
        <is>
          <t xml:space="preserve">31959959       </t>
        </is>
      </c>
      <c r="F1828" s="5" t="inlineStr">
        <is>
          <t>TMZ CAMBIA DE COLOR LANZADOR SPIN SPLASH + 1 AUTO</t>
        </is>
      </c>
      <c r="G1828" t="n">
        <v>1</v>
      </c>
      <c r="H1828" s="7" t="n">
        <v>14.9</v>
      </c>
      <c r="I1828" s="7" t="n">
        <v>0</v>
      </c>
      <c r="J1828" s="7" t="n">
        <v>0</v>
      </c>
      <c r="K1828" s="9" t="n">
        <v>0</v>
      </c>
      <c r="L1828" s="10" t="n">
        <v>8.84</v>
      </c>
      <c r="M1828" s="10" t="n">
        <v>1.43</v>
      </c>
      <c r="N1828" t="inlineStr">
        <is>
          <t>1</t>
        </is>
      </c>
      <c r="O1828" t="inlineStr">
        <is>
          <t xml:space="preserve">2 </t>
        </is>
      </c>
      <c r="P1828" t="inlineStr">
        <is>
          <t xml:space="preserve">64168   </t>
        </is>
      </c>
      <c r="Q1828" s="26" t="n">
        <v>23.67</v>
      </c>
      <c r="R1828" s="26">
        <f>Q1828*G1828</f>
        <v/>
      </c>
      <c r="S1828" s="26">
        <f>IFERROR(VLOOKUP(E1828*1,Tabla[#All],8,0),0)</f>
        <v/>
      </c>
      <c r="T1828" s="26">
        <f>S1828*G1828</f>
        <v/>
      </c>
      <c r="U1828" s="26">
        <f>R1828-T1828</f>
        <v/>
      </c>
      <c r="V1828" s="26">
        <f>U1828-L1828</f>
        <v/>
      </c>
    </row>
    <row r="1829">
      <c r="A1829" s="11" t="n">
        <v>46221</v>
      </c>
      <c r="B1829" s="1" t="n">
        <v>20073</v>
      </c>
      <c r="C1829" s="1" t="inlineStr">
        <is>
          <t>033</t>
        </is>
      </c>
      <c r="D1829" s="1" t="inlineStr">
        <is>
          <t>314031</t>
        </is>
      </c>
      <c r="E1829" s="1" t="inlineStr">
        <is>
          <t xml:space="preserve">28194770       </t>
        </is>
      </c>
      <c r="F1829" s="5" t="inlineStr">
        <is>
          <t>AUTOS DE METAL 3 TEAMSTERZ EN BLISTER</t>
        </is>
      </c>
      <c r="G1829" t="n">
        <v>1</v>
      </c>
      <c r="H1829" s="7" t="n">
        <v>6.9</v>
      </c>
      <c r="I1829" s="7" t="n">
        <v>0</v>
      </c>
      <c r="J1829" s="7" t="n">
        <v>0</v>
      </c>
      <c r="K1829" s="9" t="n">
        <v>0</v>
      </c>
      <c r="L1829" s="10" t="n">
        <v>4.1</v>
      </c>
      <c r="M1829" s="10" t="n">
        <v>1.43</v>
      </c>
      <c r="N1829" t="inlineStr">
        <is>
          <t>1</t>
        </is>
      </c>
      <c r="O1829" t="inlineStr">
        <is>
          <t>16</t>
        </is>
      </c>
      <c r="P1829" t="inlineStr">
        <is>
          <t xml:space="preserve">250462  </t>
        </is>
      </c>
      <c r="Q1829" s="26" t="n">
        <v>4.09</v>
      </c>
      <c r="R1829" s="26">
        <f>Q1829*G1829</f>
        <v/>
      </c>
      <c r="S1829" s="26">
        <f>IFERROR(VLOOKUP(E1829*1,Tabla[#All],8,0),0)</f>
        <v/>
      </c>
      <c r="T1829" s="26">
        <f>S1829*G1829</f>
        <v/>
      </c>
      <c r="U1829" s="26">
        <f>R1829-T1829</f>
        <v/>
      </c>
      <c r="V1829" s="26">
        <f>U1829-L1829</f>
        <v/>
      </c>
    </row>
    <row r="1830">
      <c r="A1830" s="11" t="n">
        <v>46221</v>
      </c>
      <c r="B1830" s="1" t="n">
        <v>20073</v>
      </c>
      <c r="C1830" s="1" t="inlineStr">
        <is>
          <t>037</t>
        </is>
      </c>
      <c r="D1830" s="1" t="inlineStr">
        <is>
          <t>295743</t>
        </is>
      </c>
      <c r="E1830" s="1" t="inlineStr">
        <is>
          <t xml:space="preserve">28194770       </t>
        </is>
      </c>
      <c r="F1830" s="5" t="inlineStr">
        <is>
          <t>AUTOS DE METAL 3 TEAMSTERZ EN BLISTER</t>
        </is>
      </c>
      <c r="G1830" t="n">
        <v>1</v>
      </c>
      <c r="H1830" s="7" t="n">
        <v>6.9</v>
      </c>
      <c r="I1830" s="7" t="n">
        <v>0</v>
      </c>
      <c r="J1830" s="7" t="n">
        <v>0</v>
      </c>
      <c r="K1830" s="9" t="n">
        <v>0</v>
      </c>
      <c r="L1830" s="10" t="n">
        <v>4.1</v>
      </c>
      <c r="M1830" s="10" t="n">
        <v>1.43</v>
      </c>
      <c r="N1830" t="inlineStr">
        <is>
          <t>1</t>
        </is>
      </c>
      <c r="O1830" t="inlineStr">
        <is>
          <t>16</t>
        </is>
      </c>
      <c r="P1830" t="inlineStr">
        <is>
          <t xml:space="preserve">14759   </t>
        </is>
      </c>
      <c r="Q1830" s="26" t="n">
        <v>4.09</v>
      </c>
      <c r="R1830" s="26">
        <f>Q1830*G1830</f>
        <v/>
      </c>
      <c r="S1830" s="26">
        <f>IFERROR(VLOOKUP(E1830*1,Tabla[#All],8,0),0)</f>
        <v/>
      </c>
      <c r="T1830" s="26">
        <f>S1830*G1830</f>
        <v/>
      </c>
      <c r="U1830" s="26">
        <f>R1830-T1830</f>
        <v/>
      </c>
      <c r="V1830" s="26">
        <f>U1830-L1830</f>
        <v/>
      </c>
    </row>
    <row r="1831">
      <c r="A1831" s="11" t="n">
        <v>46221</v>
      </c>
      <c r="B1831" s="1" t="n">
        <v>20074</v>
      </c>
      <c r="C1831" s="1" t="inlineStr">
        <is>
          <t>024</t>
        </is>
      </c>
      <c r="D1831" s="1" t="inlineStr">
        <is>
          <t>365034</t>
        </is>
      </c>
      <c r="E1831" s="1" t="inlineStr">
        <is>
          <t xml:space="preserve">31754676       </t>
        </is>
      </c>
      <c r="F1831" s="5" t="inlineStr">
        <is>
          <t>INFINITY NADO SERIE 6 STD PACK LANZ ESPAD ANILLO M</t>
        </is>
      </c>
      <c r="G1831" t="n">
        <v>1</v>
      </c>
      <c r="H1831" s="7" t="n">
        <v>59.9</v>
      </c>
      <c r="I1831" s="7" t="n">
        <v>5.99</v>
      </c>
      <c r="J1831" s="7" t="n">
        <v>0</v>
      </c>
      <c r="K1831" s="9" t="n">
        <v>5.99</v>
      </c>
      <c r="L1831" s="10" t="n">
        <v>31.98</v>
      </c>
      <c r="M1831" s="10" t="n">
        <v>1.43</v>
      </c>
      <c r="N1831" t="inlineStr">
        <is>
          <t>1</t>
        </is>
      </c>
      <c r="O1831" t="inlineStr">
        <is>
          <t xml:space="preserve">3 </t>
        </is>
      </c>
      <c r="P1831" t="inlineStr">
        <is>
          <t xml:space="preserve">201480  </t>
        </is>
      </c>
      <c r="Q1831" s="26" t="n">
        <v>47.4</v>
      </c>
      <c r="R1831" s="26">
        <f>Q1831*G1831</f>
        <v/>
      </c>
      <c r="S1831" s="26">
        <f>IFERROR(VLOOKUP(E1831*1,Tabla[#All],8,0),0)</f>
        <v/>
      </c>
      <c r="T1831" s="26">
        <f>S1831*G1831</f>
        <v/>
      </c>
      <c r="U1831" s="26">
        <f>R1831-T1831</f>
        <v/>
      </c>
      <c r="V1831" s="26">
        <f>U1831-L1831</f>
        <v/>
      </c>
    </row>
    <row r="1832">
      <c r="A1832" s="11" t="n">
        <v>46221</v>
      </c>
      <c r="B1832" s="1" t="n">
        <v>20074</v>
      </c>
      <c r="C1832" s="1" t="inlineStr">
        <is>
          <t>039</t>
        </is>
      </c>
      <c r="D1832" s="1" t="inlineStr">
        <is>
          <t xml:space="preserve">30861 </t>
        </is>
      </c>
      <c r="E1832" s="1" t="inlineStr">
        <is>
          <t xml:space="preserve">30232284       </t>
        </is>
      </c>
      <c r="F1832" s="5" t="inlineStr">
        <is>
          <t>INFINITY NADO TROMPO DE BATALLA - METAL C/PUNTA DE</t>
        </is>
      </c>
      <c r="G1832" t="n">
        <v>1</v>
      </c>
      <c r="H1832" s="7" t="n">
        <v>34.9</v>
      </c>
      <c r="I1832" s="7" t="n">
        <v>0</v>
      </c>
      <c r="J1832" s="7" t="n">
        <v>0</v>
      </c>
      <c r="K1832" s="9" t="n">
        <v>0</v>
      </c>
      <c r="L1832" s="10" t="n">
        <v>20.71</v>
      </c>
      <c r="M1832" s="10" t="n">
        <v>1.43</v>
      </c>
      <c r="N1832" t="inlineStr">
        <is>
          <t>1</t>
        </is>
      </c>
      <c r="O1832" t="inlineStr">
        <is>
          <t>16</t>
        </is>
      </c>
      <c r="P1832" t="inlineStr">
        <is>
          <t xml:space="preserve">233574  </t>
        </is>
      </c>
      <c r="Q1832" s="26" t="n">
        <v>29.6</v>
      </c>
      <c r="R1832" s="26">
        <f>Q1832*G1832</f>
        <v/>
      </c>
      <c r="S1832" s="26">
        <f>IFERROR(VLOOKUP(E1832*1,Tabla[#All],8,0),0)</f>
        <v/>
      </c>
      <c r="T1832" s="26">
        <f>S1832*G1832</f>
        <v/>
      </c>
      <c r="U1832" s="26">
        <f>R1832-T1832</f>
        <v/>
      </c>
      <c r="V1832" s="26">
        <f>U1832-L1832</f>
        <v/>
      </c>
    </row>
    <row r="1833">
      <c r="A1833" s="11" t="n">
        <v>46221</v>
      </c>
      <c r="B1833" s="1" t="n">
        <v>20077</v>
      </c>
      <c r="C1833" s="1" t="inlineStr">
        <is>
          <t>016</t>
        </is>
      </c>
      <c r="D1833" s="1" t="inlineStr">
        <is>
          <t>122474</t>
        </is>
      </c>
      <c r="E1833" s="1" t="inlineStr">
        <is>
          <t xml:space="preserve">28194770       </t>
        </is>
      </c>
      <c r="F1833" s="5" t="inlineStr">
        <is>
          <t>AUTOS DE METAL 3 TEAMSTERZ EN BLISTER</t>
        </is>
      </c>
      <c r="G1833" t="n">
        <v>1</v>
      </c>
      <c r="H1833" s="7" t="n">
        <v>6.9</v>
      </c>
      <c r="I1833" s="7" t="n">
        <v>0</v>
      </c>
      <c r="J1833" s="7" t="n">
        <v>0</v>
      </c>
      <c r="K1833" s="9" t="n">
        <v>0</v>
      </c>
      <c r="L1833" s="10" t="n">
        <v>4.1</v>
      </c>
      <c r="M1833" s="10" t="n">
        <v>1.43</v>
      </c>
      <c r="N1833" t="inlineStr">
        <is>
          <t>1</t>
        </is>
      </c>
      <c r="O1833" t="inlineStr">
        <is>
          <t>16</t>
        </is>
      </c>
      <c r="P1833" t="inlineStr">
        <is>
          <t xml:space="preserve">61615   </t>
        </is>
      </c>
      <c r="Q1833" s="26" t="n">
        <v>4.09</v>
      </c>
      <c r="R1833" s="26">
        <f>Q1833*G1833</f>
        <v/>
      </c>
      <c r="S1833" s="26">
        <f>IFERROR(VLOOKUP(E1833*1,Tabla[#All],8,0),0)</f>
        <v/>
      </c>
      <c r="T1833" s="26">
        <f>S1833*G1833</f>
        <v/>
      </c>
      <c r="U1833" s="26">
        <f>R1833-T1833</f>
        <v/>
      </c>
      <c r="V1833" s="26">
        <f>U1833-L1833</f>
        <v/>
      </c>
    </row>
    <row r="1834">
      <c r="A1834" s="11" t="n">
        <v>46221</v>
      </c>
      <c r="B1834" s="1" t="n">
        <v>20077</v>
      </c>
      <c r="C1834" s="1" t="inlineStr">
        <is>
          <t>016</t>
        </is>
      </c>
      <c r="D1834" s="1" t="inlineStr">
        <is>
          <t>122474</t>
        </is>
      </c>
      <c r="E1834" s="1" t="inlineStr">
        <is>
          <t xml:space="preserve">28194770       </t>
        </is>
      </c>
      <c r="F1834" s="5" t="inlineStr">
        <is>
          <t>AUTOS DE METAL 3 TEAMSTERZ EN BLISTER</t>
        </is>
      </c>
      <c r="G1834" t="n">
        <v>1</v>
      </c>
      <c r="H1834" s="7" t="n">
        <v>6.9</v>
      </c>
      <c r="I1834" s="7" t="n">
        <v>0</v>
      </c>
      <c r="J1834" s="7" t="n">
        <v>0</v>
      </c>
      <c r="K1834" s="9" t="n">
        <v>0</v>
      </c>
      <c r="L1834" s="10" t="n">
        <v>4.1</v>
      </c>
      <c r="M1834" s="10" t="n">
        <v>1.43</v>
      </c>
      <c r="N1834" t="inlineStr">
        <is>
          <t>1</t>
        </is>
      </c>
      <c r="O1834" t="inlineStr">
        <is>
          <t>16</t>
        </is>
      </c>
      <c r="P1834" t="inlineStr">
        <is>
          <t xml:space="preserve">61615   </t>
        </is>
      </c>
      <c r="Q1834" s="26" t="n">
        <v>4.09</v>
      </c>
      <c r="R1834" s="26">
        <f>Q1834*G1834</f>
        <v/>
      </c>
      <c r="S1834" s="26">
        <f>IFERROR(VLOOKUP(E1834*1,Tabla[#All],8,0),0)</f>
        <v/>
      </c>
      <c r="T1834" s="26">
        <f>S1834*G1834</f>
        <v/>
      </c>
      <c r="U1834" s="26">
        <f>R1834-T1834</f>
        <v/>
      </c>
      <c r="V1834" s="26">
        <f>U1834-L1834</f>
        <v/>
      </c>
    </row>
    <row r="1835">
      <c r="A1835" s="11" t="n">
        <v>46221</v>
      </c>
      <c r="B1835" s="1" t="n">
        <v>20077</v>
      </c>
      <c r="C1835" s="1" t="inlineStr">
        <is>
          <t>029</t>
        </is>
      </c>
      <c r="D1835" s="1" t="inlineStr">
        <is>
          <t>156356</t>
        </is>
      </c>
      <c r="E1835" s="1" t="inlineStr">
        <is>
          <t xml:space="preserve">28194770       </t>
        </is>
      </c>
      <c r="F1835" s="5" t="inlineStr">
        <is>
          <t>AUTOS DE METAL 3 TEAMSTERZ EN BLISTER</t>
        </is>
      </c>
      <c r="G1835" t="n">
        <v>1</v>
      </c>
      <c r="H1835" s="7" t="n">
        <v>6.9</v>
      </c>
      <c r="I1835" s="7" t="n">
        <v>0</v>
      </c>
      <c r="J1835" s="7" t="n">
        <v>0</v>
      </c>
      <c r="K1835" s="9" t="n">
        <v>0</v>
      </c>
      <c r="L1835" s="10" t="n">
        <v>4.1</v>
      </c>
      <c r="M1835" s="10" t="n">
        <v>1.43</v>
      </c>
      <c r="N1835" t="inlineStr">
        <is>
          <t>1</t>
        </is>
      </c>
      <c r="O1835" t="inlineStr">
        <is>
          <t xml:space="preserve">2 </t>
        </is>
      </c>
      <c r="P1835" t="inlineStr">
        <is>
          <t xml:space="preserve">43639   </t>
        </is>
      </c>
      <c r="Q1835" s="26" t="n">
        <v>4.09</v>
      </c>
      <c r="R1835" s="26">
        <f>Q1835*G1835</f>
        <v/>
      </c>
      <c r="S1835" s="26">
        <f>IFERROR(VLOOKUP(E1835*1,Tabla[#All],8,0),0)</f>
        <v/>
      </c>
      <c r="T1835" s="26">
        <f>S1835*G1835</f>
        <v/>
      </c>
      <c r="U1835" s="26">
        <f>R1835-T1835</f>
        <v/>
      </c>
      <c r="V1835" s="26">
        <f>U1835-L1835</f>
        <v/>
      </c>
    </row>
    <row r="1836">
      <c r="A1836" s="11" t="n">
        <v>46221</v>
      </c>
      <c r="B1836" s="1" t="n">
        <v>20077</v>
      </c>
      <c r="C1836" s="1" t="inlineStr">
        <is>
          <t>029</t>
        </is>
      </c>
      <c r="D1836" s="1" t="inlineStr">
        <is>
          <t>156356</t>
        </is>
      </c>
      <c r="E1836" s="1" t="inlineStr">
        <is>
          <t xml:space="preserve">30141766       </t>
        </is>
      </c>
      <c r="F1836" s="5" t="inlineStr">
        <is>
          <t>TMZ BEAST MACHINES AUTOS DE METAL BLISTER X 1</t>
        </is>
      </c>
      <c r="G1836" t="n">
        <v>1</v>
      </c>
      <c r="H1836" s="7" t="n">
        <v>7.9</v>
      </c>
      <c r="I1836" s="7" t="n">
        <v>0</v>
      </c>
      <c r="J1836" s="7" t="n">
        <v>0</v>
      </c>
      <c r="K1836" s="9" t="n">
        <v>0</v>
      </c>
      <c r="L1836" s="10" t="n">
        <v>4.68</v>
      </c>
      <c r="M1836" s="10" t="n">
        <v>1.43</v>
      </c>
      <c r="N1836" t="inlineStr">
        <is>
          <t>1</t>
        </is>
      </c>
      <c r="O1836" t="inlineStr">
        <is>
          <t xml:space="preserve">2 </t>
        </is>
      </c>
      <c r="P1836" t="inlineStr">
        <is>
          <t xml:space="preserve">43639   </t>
        </is>
      </c>
      <c r="Q1836" s="26" t="n">
        <v>4.69</v>
      </c>
      <c r="R1836" s="26">
        <f>Q1836*G1836</f>
        <v/>
      </c>
      <c r="S1836" s="26">
        <f>IFERROR(VLOOKUP(E1836*1,Tabla[#All],8,0),0)</f>
        <v/>
      </c>
      <c r="T1836" s="26">
        <f>S1836*G1836</f>
        <v/>
      </c>
      <c r="U1836" s="26">
        <f>R1836-T1836</f>
        <v/>
      </c>
      <c r="V1836" s="26">
        <f>U1836-L1836</f>
        <v/>
      </c>
    </row>
    <row r="1837">
      <c r="A1837" s="11" t="n">
        <v>46221</v>
      </c>
      <c r="B1837" s="1" t="n">
        <v>20077</v>
      </c>
      <c r="C1837" s="1" t="inlineStr">
        <is>
          <t>029</t>
        </is>
      </c>
      <c r="D1837" s="1" t="inlineStr">
        <is>
          <t>156364</t>
        </is>
      </c>
      <c r="E1837" s="1" t="inlineStr">
        <is>
          <t xml:space="preserve">28194768       </t>
        </is>
      </c>
      <c r="F1837" s="5" t="inlineStr">
        <is>
          <t>AUTO COLOR CHANGE TEAMSTERZ SURTIDO</t>
        </is>
      </c>
      <c r="G1837" t="n">
        <v>1</v>
      </c>
      <c r="H1837" s="7" t="n">
        <v>14.9</v>
      </c>
      <c r="I1837" s="7" t="n">
        <v>0</v>
      </c>
      <c r="J1837" s="7" t="n">
        <v>0</v>
      </c>
      <c r="K1837" s="9" t="n">
        <v>0</v>
      </c>
      <c r="L1837" s="10" t="n">
        <v>8.84</v>
      </c>
      <c r="M1837" s="10" t="n">
        <v>1.43</v>
      </c>
      <c r="N1837" t="inlineStr">
        <is>
          <t>1</t>
        </is>
      </c>
      <c r="O1837" t="inlineStr">
        <is>
          <t>16</t>
        </is>
      </c>
      <c r="P1837" t="inlineStr">
        <is>
          <t xml:space="preserve">43639   </t>
        </is>
      </c>
      <c r="Q1837" s="26" t="n">
        <v>8.84</v>
      </c>
      <c r="R1837" s="26">
        <f>Q1837*G1837</f>
        <v/>
      </c>
      <c r="S1837" s="26">
        <f>IFERROR(VLOOKUP(E1837*1,Tabla[#All],8,0),0)</f>
        <v/>
      </c>
      <c r="T1837" s="26">
        <f>S1837*G1837</f>
        <v/>
      </c>
      <c r="U1837" s="26">
        <f>R1837-T1837</f>
        <v/>
      </c>
      <c r="V1837" s="26">
        <f>U1837-L1837</f>
        <v/>
      </c>
    </row>
    <row r="1838">
      <c r="A1838" s="11" t="n">
        <v>46221</v>
      </c>
      <c r="B1838" s="1" t="n">
        <v>20077</v>
      </c>
      <c r="C1838" s="1" t="inlineStr">
        <is>
          <t>030</t>
        </is>
      </c>
      <c r="D1838" s="1" t="inlineStr">
        <is>
          <t xml:space="preserve">40894 </t>
        </is>
      </c>
      <c r="E1838" s="1" t="inlineStr">
        <is>
          <t xml:space="preserve">28194770       </t>
        </is>
      </c>
      <c r="F1838" s="5" t="inlineStr">
        <is>
          <t>AUTOS DE METAL 3 TEAMSTERZ EN BLISTER</t>
        </is>
      </c>
      <c r="G1838" t="n">
        <v>1</v>
      </c>
      <c r="H1838" s="7" t="n">
        <v>6.9</v>
      </c>
      <c r="I1838" s="7" t="n">
        <v>0</v>
      </c>
      <c r="J1838" s="7" t="n">
        <v>0</v>
      </c>
      <c r="K1838" s="9" t="n">
        <v>0</v>
      </c>
      <c r="L1838" s="10" t="n">
        <v>4.1</v>
      </c>
      <c r="M1838" s="10" t="n">
        <v>1.43</v>
      </c>
      <c r="N1838" t="inlineStr">
        <is>
          <t>1</t>
        </is>
      </c>
      <c r="O1838" t="inlineStr">
        <is>
          <t>16</t>
        </is>
      </c>
      <c r="P1838" t="inlineStr">
        <is>
          <t xml:space="preserve">246990  </t>
        </is>
      </c>
      <c r="Q1838" s="26" t="n">
        <v>4.09</v>
      </c>
      <c r="R1838" s="26">
        <f>Q1838*G1838</f>
        <v/>
      </c>
      <c r="S1838" s="26">
        <f>IFERROR(VLOOKUP(E1838*1,Tabla[#All],8,0),0)</f>
        <v/>
      </c>
      <c r="T1838" s="26">
        <f>S1838*G1838</f>
        <v/>
      </c>
      <c r="U1838" s="26">
        <f>R1838-T1838</f>
        <v/>
      </c>
      <c r="V1838" s="26">
        <f>U1838-L1838</f>
        <v/>
      </c>
    </row>
    <row r="1839">
      <c r="A1839" s="11" t="n">
        <v>46221</v>
      </c>
      <c r="B1839" s="1" t="n">
        <v>20077</v>
      </c>
      <c r="C1839" s="1" t="inlineStr">
        <is>
          <t>030</t>
        </is>
      </c>
      <c r="D1839" s="1" t="inlineStr">
        <is>
          <t xml:space="preserve">40922 </t>
        </is>
      </c>
      <c r="E1839" s="1" t="inlineStr">
        <is>
          <t xml:space="preserve">31754677       </t>
        </is>
      </c>
      <c r="F1839" s="5" t="inlineStr">
        <is>
          <t>INFINITY NADO SERIE 6 SET DE BATALL</t>
        </is>
      </c>
      <c r="G1839" t="n">
        <v>1</v>
      </c>
      <c r="H1839" s="7" t="n">
        <v>149</v>
      </c>
      <c r="I1839" s="7" t="n">
        <v>0</v>
      </c>
      <c r="J1839" s="7" t="n">
        <v>0</v>
      </c>
      <c r="K1839" s="9" t="n">
        <v>0</v>
      </c>
      <c r="L1839" s="10" t="n">
        <v>88.39</v>
      </c>
      <c r="M1839" s="10" t="n">
        <v>1.43</v>
      </c>
      <c r="N1839" t="inlineStr">
        <is>
          <t>1</t>
        </is>
      </c>
      <c r="O1839" t="inlineStr">
        <is>
          <t>16</t>
        </is>
      </c>
      <c r="P1839" t="inlineStr">
        <is>
          <t xml:space="preserve">246990  </t>
        </is>
      </c>
      <c r="Q1839" s="26" t="n">
        <v>112.12</v>
      </c>
      <c r="R1839" s="26">
        <f>Q1839*G1839</f>
        <v/>
      </c>
      <c r="S1839" s="26">
        <f>IFERROR(VLOOKUP(E1839*1,Tabla[#All],8,0),0)</f>
        <v/>
      </c>
      <c r="T1839" s="26">
        <f>S1839*G1839</f>
        <v/>
      </c>
      <c r="U1839" s="26">
        <f>R1839-T1839</f>
        <v/>
      </c>
      <c r="V1839" s="26">
        <f>U1839-L1839</f>
        <v/>
      </c>
    </row>
    <row r="1840">
      <c r="A1840" s="11" t="n">
        <v>46221</v>
      </c>
      <c r="B1840" s="1" t="n">
        <v>20077</v>
      </c>
      <c r="C1840" s="1" t="inlineStr">
        <is>
          <t>037</t>
        </is>
      </c>
      <c r="D1840" s="1" t="inlineStr">
        <is>
          <t xml:space="preserve">62305 </t>
        </is>
      </c>
      <c r="E1840" s="1" t="inlineStr">
        <is>
          <t xml:space="preserve">28194770       </t>
        </is>
      </c>
      <c r="F1840" s="5" t="inlineStr">
        <is>
          <t>AUTOS DE METAL 3 TEAMSTERZ EN BLISTER</t>
        </is>
      </c>
      <c r="G1840" t="n">
        <v>1</v>
      </c>
      <c r="H1840" s="7" t="n">
        <v>6.9</v>
      </c>
      <c r="I1840" s="7" t="n">
        <v>0</v>
      </c>
      <c r="J1840" s="7" t="n">
        <v>0</v>
      </c>
      <c r="K1840" s="9" t="n">
        <v>0</v>
      </c>
      <c r="L1840" s="10" t="n">
        <v>4.1</v>
      </c>
      <c r="M1840" s="10" t="n">
        <v>1.43</v>
      </c>
      <c r="N1840" t="inlineStr">
        <is>
          <t>1</t>
        </is>
      </c>
      <c r="O1840" t="inlineStr">
        <is>
          <t>16</t>
        </is>
      </c>
      <c r="P1840" t="inlineStr">
        <is>
          <t xml:space="preserve">62766   </t>
        </is>
      </c>
      <c r="Q1840" s="26" t="n">
        <v>4.09</v>
      </c>
      <c r="R1840" s="26">
        <f>Q1840*G1840</f>
        <v/>
      </c>
      <c r="S1840" s="26">
        <f>IFERROR(VLOOKUP(E1840*1,Tabla[#All],8,0),0)</f>
        <v/>
      </c>
      <c r="T1840" s="26">
        <f>S1840*G1840</f>
        <v/>
      </c>
      <c r="U1840" s="26">
        <f>R1840-T1840</f>
        <v/>
      </c>
      <c r="V1840" s="26">
        <f>U1840-L1840</f>
        <v/>
      </c>
    </row>
    <row r="1841">
      <c r="A1841" s="11" t="n">
        <v>46221</v>
      </c>
      <c r="B1841" s="1" t="n">
        <v>20079</v>
      </c>
      <c r="C1841" s="1" t="inlineStr">
        <is>
          <t>032</t>
        </is>
      </c>
      <c r="D1841" s="1" t="inlineStr">
        <is>
          <t>325997</t>
        </is>
      </c>
      <c r="E1841" s="1" t="inlineStr">
        <is>
          <t xml:space="preserve">32457103       </t>
        </is>
      </c>
      <c r="F1841" s="5" t="inlineStr">
        <is>
          <t>TMZ BEAST MACHINES MONSTER JAWS A FRICCION PACK DE</t>
        </is>
      </c>
      <c r="G1841" t="n">
        <v>1</v>
      </c>
      <c r="H1841" s="7" t="n">
        <v>32.9</v>
      </c>
      <c r="I1841" s="7" t="n">
        <v>0</v>
      </c>
      <c r="J1841" s="7" t="n">
        <v>0</v>
      </c>
      <c r="K1841" s="9" t="n">
        <v>0</v>
      </c>
      <c r="L1841" s="10" t="n">
        <v>19.52</v>
      </c>
      <c r="M1841" s="10" t="n">
        <v>1.43</v>
      </c>
      <c r="N1841" t="inlineStr">
        <is>
          <t>1</t>
        </is>
      </c>
      <c r="O1841" t="inlineStr">
        <is>
          <t>16</t>
        </is>
      </c>
      <c r="P1841" t="inlineStr">
        <is>
          <t xml:space="preserve">23578   </t>
        </is>
      </c>
      <c r="Q1841" s="26" t="n">
        <v>22.48</v>
      </c>
      <c r="R1841" s="26">
        <f>Q1841*G1841</f>
        <v/>
      </c>
      <c r="S1841" s="26">
        <f>IFERROR(VLOOKUP(E1841*1,Tabla[#All],8,0),0)</f>
        <v/>
      </c>
      <c r="T1841" s="26">
        <f>S1841*G1841</f>
        <v/>
      </c>
      <c r="U1841" s="26">
        <f>R1841-T1841</f>
        <v/>
      </c>
      <c r="V1841" s="26">
        <f>U1841-L1841</f>
        <v/>
      </c>
    </row>
    <row r="1842">
      <c r="A1842" s="11" t="n">
        <v>46221</v>
      </c>
      <c r="B1842" s="1" t="n">
        <v>20079</v>
      </c>
      <c r="C1842" s="1" t="inlineStr">
        <is>
          <t>045</t>
        </is>
      </c>
      <c r="D1842" s="1" t="inlineStr">
        <is>
          <t>332696</t>
        </is>
      </c>
      <c r="E1842" s="1" t="inlineStr">
        <is>
          <t xml:space="preserve">31675354       </t>
        </is>
      </c>
      <c r="F1842" s="5" t="inlineStr">
        <is>
          <t>NENUCO LLORON CON ACCESORIOS</t>
        </is>
      </c>
      <c r="G1842" t="n">
        <v>1</v>
      </c>
      <c r="H1842" s="7" t="n">
        <v>69.90000000000001</v>
      </c>
      <c r="I1842" s="7" t="n">
        <v>6.99</v>
      </c>
      <c r="J1842" s="7" t="n">
        <v>0</v>
      </c>
      <c r="K1842" s="9" t="n">
        <v>6.99</v>
      </c>
      <c r="L1842" s="10" t="n">
        <v>37.32</v>
      </c>
      <c r="M1842" s="10" t="n">
        <v>1.43</v>
      </c>
      <c r="N1842" t="inlineStr">
        <is>
          <t>1</t>
        </is>
      </c>
      <c r="O1842" t="inlineStr">
        <is>
          <t xml:space="preserve">3 </t>
        </is>
      </c>
      <c r="P1842" t="inlineStr">
        <is>
          <t xml:space="preserve">47148   </t>
        </is>
      </c>
      <c r="Q1842" s="26" t="n">
        <v>53.33</v>
      </c>
      <c r="R1842" s="26">
        <f>Q1842*G1842</f>
        <v/>
      </c>
      <c r="S1842" s="26">
        <f>IFERROR(VLOOKUP(E1842*1,Tabla[#All],8,0),0)</f>
        <v/>
      </c>
      <c r="T1842" s="26">
        <f>S1842*G1842</f>
        <v/>
      </c>
      <c r="U1842" s="26">
        <f>R1842-T1842</f>
        <v/>
      </c>
      <c r="V1842" s="26">
        <f>U1842-L1842</f>
        <v/>
      </c>
    </row>
    <row r="1843">
      <c r="A1843" s="11" t="n">
        <v>46221</v>
      </c>
      <c r="B1843" s="1" t="n">
        <v>20079</v>
      </c>
      <c r="C1843" s="1" t="inlineStr">
        <is>
          <t>045</t>
        </is>
      </c>
      <c r="D1843" s="1" t="inlineStr">
        <is>
          <t>332722</t>
        </is>
      </c>
      <c r="E1843" s="1" t="inlineStr">
        <is>
          <t xml:space="preserve">32656420       </t>
        </is>
      </c>
      <c r="F1843" s="5" t="inlineStr">
        <is>
          <t>PINYPON ACTION EXPLORADOR + FIGURA Y ANIMAL</t>
        </is>
      </c>
      <c r="G1843" t="n">
        <v>1</v>
      </c>
      <c r="H1843" s="7" t="n">
        <v>27.9</v>
      </c>
      <c r="I1843" s="7" t="n">
        <v>0</v>
      </c>
      <c r="J1843" s="7" t="n">
        <v>0</v>
      </c>
      <c r="K1843" s="9" t="n">
        <v>0</v>
      </c>
      <c r="L1843" s="10" t="n">
        <v>16.55</v>
      </c>
      <c r="M1843" s="10" t="n">
        <v>1.43</v>
      </c>
      <c r="N1843" t="inlineStr">
        <is>
          <t>1</t>
        </is>
      </c>
      <c r="O1843" t="inlineStr">
        <is>
          <t>16</t>
        </is>
      </c>
      <c r="P1843" t="inlineStr">
        <is>
          <t xml:space="preserve">47148   </t>
        </is>
      </c>
      <c r="Q1843" s="26" t="n">
        <v>16.55</v>
      </c>
      <c r="R1843" s="26">
        <f>Q1843*G1843</f>
        <v/>
      </c>
      <c r="S1843" s="26">
        <f>IFERROR(VLOOKUP(E1843*1,Tabla[#All],8,0),0)</f>
        <v/>
      </c>
      <c r="T1843" s="26">
        <f>S1843*G1843</f>
        <v/>
      </c>
      <c r="U1843" s="26">
        <f>R1843-T1843</f>
        <v/>
      </c>
      <c r="V1843" s="26">
        <f>U1843-L1843</f>
        <v/>
      </c>
    </row>
    <row r="1844">
      <c r="A1844" s="11" t="n">
        <v>46221</v>
      </c>
      <c r="B1844" s="1" t="n">
        <v>20080</v>
      </c>
      <c r="C1844" s="1" t="inlineStr">
        <is>
          <t>026</t>
        </is>
      </c>
      <c r="D1844" s="1" t="inlineStr">
        <is>
          <t>209150</t>
        </is>
      </c>
      <c r="E1844" s="1" t="inlineStr">
        <is>
          <t xml:space="preserve">32457118       </t>
        </is>
      </c>
      <c r="F1844" s="5" t="inlineStr">
        <is>
          <t>MUNECA EVI LOVE CAMAROTE + 2 MUNECAS</t>
        </is>
      </c>
      <c r="G1844" t="n">
        <v>1</v>
      </c>
      <c r="H1844" s="7" t="n">
        <v>29.94</v>
      </c>
      <c r="I1844" s="7" t="n">
        <v>0</v>
      </c>
      <c r="J1844" s="7" t="n">
        <v>0</v>
      </c>
      <c r="K1844" s="9" t="n">
        <v>0</v>
      </c>
      <c r="L1844" s="10" t="n">
        <v>17.76</v>
      </c>
      <c r="M1844" s="10" t="n">
        <v>1.43</v>
      </c>
      <c r="N1844" t="inlineStr">
        <is>
          <t>1</t>
        </is>
      </c>
      <c r="O1844" t="inlineStr">
        <is>
          <t xml:space="preserve">2 </t>
        </is>
      </c>
      <c r="P1844" t="inlineStr">
        <is>
          <t xml:space="preserve">66628   </t>
        </is>
      </c>
      <c r="Q1844" s="26" t="n">
        <v>29.6</v>
      </c>
      <c r="R1844" s="26">
        <f>Q1844*G1844</f>
        <v/>
      </c>
      <c r="S1844" s="26">
        <f>IFERROR(VLOOKUP(E1844*1,Tabla[#All],8,0),0)</f>
        <v/>
      </c>
      <c r="T1844" s="26">
        <f>S1844*G1844</f>
        <v/>
      </c>
      <c r="U1844" s="26">
        <f>R1844-T1844</f>
        <v/>
      </c>
      <c r="V1844" s="26">
        <f>U1844-L1844</f>
        <v/>
      </c>
    </row>
    <row r="1845">
      <c r="A1845" s="11" t="n">
        <v>46221</v>
      </c>
      <c r="B1845" s="1" t="n">
        <v>20080</v>
      </c>
      <c r="C1845" s="1" t="inlineStr">
        <is>
          <t>026</t>
        </is>
      </c>
      <c r="D1845" s="1" t="inlineStr">
        <is>
          <t>209163</t>
        </is>
      </c>
      <c r="E1845" s="1" t="inlineStr">
        <is>
          <t xml:space="preserve">34840515       </t>
        </is>
      </c>
      <c r="F1845" s="5" t="inlineStr">
        <is>
          <t>MUNECA EVI LOVE PRINCESA + UNICORNIO</t>
        </is>
      </c>
      <c r="G1845" t="n">
        <v>1</v>
      </c>
      <c r="H1845" s="7" t="n">
        <v>19.74</v>
      </c>
      <c r="I1845" s="7" t="n">
        <v>0</v>
      </c>
      <c r="J1845" s="7" t="n">
        <v>0</v>
      </c>
      <c r="K1845" s="9" t="n">
        <v>0</v>
      </c>
      <c r="L1845" s="10" t="n">
        <v>11.71</v>
      </c>
      <c r="M1845" s="10" t="n">
        <v>1.43</v>
      </c>
      <c r="N1845" t="inlineStr">
        <is>
          <t>1</t>
        </is>
      </c>
      <c r="O1845" t="inlineStr">
        <is>
          <t>16</t>
        </is>
      </c>
      <c r="P1845" t="inlineStr">
        <is>
          <t xml:space="preserve">66628   </t>
        </is>
      </c>
      <c r="Q1845" s="26" t="n">
        <v>19.52</v>
      </c>
      <c r="R1845" s="26">
        <f>Q1845*G1845</f>
        <v/>
      </c>
      <c r="S1845" s="26">
        <f>IFERROR(VLOOKUP(E1845*1,Tabla[#All],8,0),0)</f>
        <v/>
      </c>
      <c r="T1845" s="26">
        <f>S1845*G1845</f>
        <v/>
      </c>
      <c r="U1845" s="26">
        <f>R1845-T1845</f>
        <v/>
      </c>
      <c r="V1845" s="26">
        <f>U1845-L1845</f>
        <v/>
      </c>
    </row>
    <row r="1846">
      <c r="A1846" s="11" t="n">
        <v>46221</v>
      </c>
      <c r="B1846" s="1" t="n">
        <v>20080</v>
      </c>
      <c r="C1846" s="1" t="inlineStr">
        <is>
          <t>029</t>
        </is>
      </c>
      <c r="D1846" s="1" t="inlineStr">
        <is>
          <t>225768</t>
        </is>
      </c>
      <c r="E1846" s="1" t="inlineStr">
        <is>
          <t xml:space="preserve">28194770       </t>
        </is>
      </c>
      <c r="F1846" s="5" t="inlineStr">
        <is>
          <t>AUTOS DE METAL 3 TEAMSTERZ EN BLISTER</t>
        </is>
      </c>
      <c r="G1846" t="n">
        <v>1</v>
      </c>
      <c r="H1846" s="7" t="n">
        <v>6.9</v>
      </c>
      <c r="I1846" s="7" t="n">
        <v>0</v>
      </c>
      <c r="J1846" s="7" t="n">
        <v>0</v>
      </c>
      <c r="K1846" s="9" t="n">
        <v>0</v>
      </c>
      <c r="L1846" s="10" t="n">
        <v>4.1</v>
      </c>
      <c r="M1846" s="10" t="n">
        <v>1.43</v>
      </c>
      <c r="N1846" t="inlineStr">
        <is>
          <t>1</t>
        </is>
      </c>
      <c r="O1846" t="inlineStr">
        <is>
          <t xml:space="preserve">2 </t>
        </is>
      </c>
      <c r="P1846" t="inlineStr">
        <is>
          <t xml:space="preserve">89863   </t>
        </is>
      </c>
      <c r="Q1846" s="26" t="n">
        <v>4.09</v>
      </c>
      <c r="R1846" s="26">
        <f>Q1846*G1846</f>
        <v/>
      </c>
      <c r="S1846" s="26">
        <f>IFERROR(VLOOKUP(E1846*1,Tabla[#All],8,0),0)</f>
        <v/>
      </c>
      <c r="T1846" s="26">
        <f>S1846*G1846</f>
        <v/>
      </c>
      <c r="U1846" s="26">
        <f>R1846-T1846</f>
        <v/>
      </c>
      <c r="V1846" s="26">
        <f>U1846-L1846</f>
        <v/>
      </c>
    </row>
    <row r="1847">
      <c r="A1847" s="11" t="n">
        <v>46221</v>
      </c>
      <c r="B1847" s="1" t="n">
        <v>20080</v>
      </c>
      <c r="C1847" s="1" t="inlineStr">
        <is>
          <t>029</t>
        </is>
      </c>
      <c r="D1847" s="1" t="inlineStr">
        <is>
          <t>225781</t>
        </is>
      </c>
      <c r="E1847" s="1" t="inlineStr">
        <is>
          <t xml:space="preserve">31417429       </t>
        </is>
      </c>
      <c r="F1847" s="5" t="inlineStr">
        <is>
          <t>MUNEVA EVI LOVE CON AUTO Y MASCOTA</t>
        </is>
      </c>
      <c r="G1847" t="n">
        <v>1</v>
      </c>
      <c r="H1847" s="7" t="n">
        <v>41.94</v>
      </c>
      <c r="I1847" s="7" t="n">
        <v>0</v>
      </c>
      <c r="J1847" s="7" t="n">
        <v>0</v>
      </c>
      <c r="K1847" s="9" t="n">
        <v>0</v>
      </c>
      <c r="L1847" s="10" t="n">
        <v>24.88</v>
      </c>
      <c r="M1847" s="10" t="n">
        <v>1.43</v>
      </c>
      <c r="N1847" t="inlineStr">
        <is>
          <t>1</t>
        </is>
      </c>
      <c r="O1847" t="inlineStr">
        <is>
          <t xml:space="preserve">2 </t>
        </is>
      </c>
      <c r="P1847" t="inlineStr">
        <is>
          <t xml:space="preserve">89863   </t>
        </is>
      </c>
      <c r="Q1847" s="26" t="n">
        <v>41.47</v>
      </c>
      <c r="R1847" s="26">
        <f>Q1847*G1847</f>
        <v/>
      </c>
      <c r="S1847" s="26">
        <f>IFERROR(VLOOKUP(E1847*1,Tabla[#All],8,0),0)</f>
        <v/>
      </c>
      <c r="T1847" s="26">
        <f>S1847*G1847</f>
        <v/>
      </c>
      <c r="U1847" s="26">
        <f>R1847-T1847</f>
        <v/>
      </c>
      <c r="V1847" s="26">
        <f>U1847-L1847</f>
        <v/>
      </c>
    </row>
    <row r="1848">
      <c r="A1848" s="11" t="n">
        <v>46221</v>
      </c>
      <c r="B1848" s="1" t="n">
        <v>20088</v>
      </c>
      <c r="C1848" s="1" t="inlineStr">
        <is>
          <t>021</t>
        </is>
      </c>
      <c r="D1848" s="1" t="inlineStr">
        <is>
          <t xml:space="preserve">49408 </t>
        </is>
      </c>
      <c r="E1848" s="1" t="inlineStr">
        <is>
          <t xml:space="preserve">32656402       </t>
        </is>
      </c>
      <c r="F1848" s="5" t="inlineStr">
        <is>
          <t>DART ZONE BLASTER MOTORIZADO VULCANATOR</t>
        </is>
      </c>
      <c r="G1848" t="n">
        <v>1</v>
      </c>
      <c r="H1848" s="7" t="n">
        <v>64.5</v>
      </c>
      <c r="I1848" s="7" t="n">
        <v>0</v>
      </c>
      <c r="J1848" s="7" t="n">
        <v>0</v>
      </c>
      <c r="K1848" s="9" t="n">
        <v>0</v>
      </c>
      <c r="L1848" s="10" t="n">
        <v>38.26</v>
      </c>
      <c r="M1848" s="10" t="n">
        <v>1.43</v>
      </c>
      <c r="N1848" t="inlineStr">
        <is>
          <t>1</t>
        </is>
      </c>
      <c r="O1848" t="inlineStr">
        <is>
          <t xml:space="preserve">2 </t>
        </is>
      </c>
      <c r="P1848" t="inlineStr">
        <is>
          <t xml:space="preserve">235264  </t>
        </is>
      </c>
      <c r="Q1848" s="26" t="n">
        <v>76.53</v>
      </c>
      <c r="R1848" s="26">
        <f>Q1848*G1848</f>
        <v/>
      </c>
      <c r="S1848" s="26">
        <f>IFERROR(VLOOKUP(E1848*1,Tabla[#All],8,0),0)</f>
        <v/>
      </c>
      <c r="T1848" s="26">
        <f>S1848*G1848</f>
        <v/>
      </c>
      <c r="U1848" s="26">
        <f>R1848-T1848</f>
        <v/>
      </c>
      <c r="V1848" s="26">
        <f>U1848-L1848</f>
        <v/>
      </c>
    </row>
    <row r="1849">
      <c r="A1849" s="11" t="n">
        <v>46221</v>
      </c>
      <c r="B1849" s="1" t="n">
        <v>20088</v>
      </c>
      <c r="C1849" s="1" t="inlineStr">
        <is>
          <t>021</t>
        </is>
      </c>
      <c r="D1849" s="1" t="inlineStr">
        <is>
          <t xml:space="preserve">49446 </t>
        </is>
      </c>
      <c r="E1849" s="1" t="inlineStr">
        <is>
          <t xml:space="preserve">32656523       </t>
        </is>
      </c>
      <c r="F1849" s="5" t="inlineStr">
        <is>
          <t>TMZ BEAST MACHINES TRANSPORT. T-REX ELECTR. + ACCE</t>
        </is>
      </c>
      <c r="G1849" t="n">
        <v>1</v>
      </c>
      <c r="H1849" s="7" t="n">
        <v>179</v>
      </c>
      <c r="I1849" s="7" t="n">
        <v>0</v>
      </c>
      <c r="J1849" s="7" t="n">
        <v>0</v>
      </c>
      <c r="K1849" s="9" t="n">
        <v>0</v>
      </c>
      <c r="L1849" s="10" t="n">
        <v>106.18</v>
      </c>
      <c r="M1849" s="10" t="n">
        <v>1.43</v>
      </c>
      <c r="N1849" t="inlineStr">
        <is>
          <t>1</t>
        </is>
      </c>
      <c r="O1849" t="inlineStr">
        <is>
          <t>16</t>
        </is>
      </c>
      <c r="P1849" t="inlineStr">
        <is>
          <t xml:space="preserve">235264  </t>
        </is>
      </c>
      <c r="Q1849" s="26" t="n">
        <v>106.19</v>
      </c>
      <c r="R1849" s="26">
        <f>Q1849*G1849</f>
        <v/>
      </c>
      <c r="S1849" s="26">
        <f>IFERROR(VLOOKUP(E1849*1,Tabla[#All],8,0),0)</f>
        <v/>
      </c>
      <c r="T1849" s="26">
        <f>S1849*G1849</f>
        <v/>
      </c>
      <c r="U1849" s="26">
        <f>R1849-T1849</f>
        <v/>
      </c>
      <c r="V1849" s="26">
        <f>U1849-L1849</f>
        <v/>
      </c>
    </row>
    <row r="1850">
      <c r="A1850" s="11" t="n">
        <v>46221</v>
      </c>
      <c r="B1850" s="1" t="n">
        <v>20088</v>
      </c>
      <c r="C1850" s="1" t="inlineStr">
        <is>
          <t>023</t>
        </is>
      </c>
      <c r="D1850" s="1" t="inlineStr">
        <is>
          <t>127261</t>
        </is>
      </c>
      <c r="E1850" s="1" t="inlineStr">
        <is>
          <t xml:space="preserve">28194781       </t>
        </is>
      </c>
      <c r="F1850" s="5" t="inlineStr">
        <is>
          <t>TROMPO BATALLA INFINITY NADO SERIE V CLASICA SURTI</t>
        </is>
      </c>
      <c r="G1850" t="n">
        <v>1</v>
      </c>
      <c r="H1850" s="7" t="n">
        <v>39.9</v>
      </c>
      <c r="I1850" s="7" t="n">
        <v>0</v>
      </c>
      <c r="J1850" s="7" t="n">
        <v>0</v>
      </c>
      <c r="K1850" s="9" t="n">
        <v>0</v>
      </c>
      <c r="L1850" s="10" t="n">
        <v>23.67</v>
      </c>
      <c r="M1850" s="10" t="n">
        <v>1.43</v>
      </c>
      <c r="N1850" t="inlineStr">
        <is>
          <t>1</t>
        </is>
      </c>
      <c r="O1850" t="inlineStr">
        <is>
          <t>16</t>
        </is>
      </c>
      <c r="P1850" t="inlineStr">
        <is>
          <t xml:space="preserve">249601  </t>
        </is>
      </c>
      <c r="Q1850" s="26" t="n">
        <v>35.53</v>
      </c>
      <c r="R1850" s="26">
        <f>Q1850*G1850</f>
        <v/>
      </c>
      <c r="S1850" s="26">
        <f>IFERROR(VLOOKUP(E1850*1,Tabla[#All],8,0),0)</f>
        <v/>
      </c>
      <c r="T1850" s="26">
        <f>S1850*G1850</f>
        <v/>
      </c>
      <c r="U1850" s="26">
        <f>R1850-T1850</f>
        <v/>
      </c>
      <c r="V1850" s="26">
        <f>U1850-L1850</f>
        <v/>
      </c>
    </row>
    <row r="1851">
      <c r="A1851" s="11" t="n">
        <v>46221</v>
      </c>
      <c r="B1851" s="1" t="n">
        <v>20088</v>
      </c>
      <c r="C1851" s="1" t="inlineStr">
        <is>
          <t>024</t>
        </is>
      </c>
      <c r="D1851" s="1" t="inlineStr">
        <is>
          <t xml:space="preserve">49998 </t>
        </is>
      </c>
      <c r="E1851" s="1" t="inlineStr">
        <is>
          <t xml:space="preserve">31675354       </t>
        </is>
      </c>
      <c r="F1851" s="5" t="inlineStr">
        <is>
          <t>NENUCO LLORON CON ACCESORIOS</t>
        </is>
      </c>
      <c r="G1851" t="n">
        <v>1</v>
      </c>
      <c r="H1851" s="7" t="n">
        <v>69.90000000000001</v>
      </c>
      <c r="I1851" s="7" t="n">
        <v>0</v>
      </c>
      <c r="J1851" s="7" t="n">
        <v>0</v>
      </c>
      <c r="K1851" s="9" t="n">
        <v>0</v>
      </c>
      <c r="L1851" s="10" t="n">
        <v>41.47</v>
      </c>
      <c r="M1851" s="10" t="n">
        <v>1.43</v>
      </c>
      <c r="N1851" t="inlineStr">
        <is>
          <t>1</t>
        </is>
      </c>
      <c r="O1851" t="inlineStr">
        <is>
          <t>16</t>
        </is>
      </c>
      <c r="P1851" t="inlineStr">
        <is>
          <t xml:space="preserve">102366  </t>
        </is>
      </c>
      <c r="Q1851" s="26" t="n">
        <v>53.33</v>
      </c>
      <c r="R1851" s="26">
        <f>Q1851*G1851</f>
        <v/>
      </c>
      <c r="S1851" s="26">
        <f>IFERROR(VLOOKUP(E1851*1,Tabla[#All],8,0),0)</f>
        <v/>
      </c>
      <c r="T1851" s="26">
        <f>S1851*G1851</f>
        <v/>
      </c>
      <c r="U1851" s="26">
        <f>R1851-T1851</f>
        <v/>
      </c>
      <c r="V1851" s="26">
        <f>U1851-L1851</f>
        <v/>
      </c>
    </row>
    <row r="1852">
      <c r="A1852" s="11" t="n">
        <v>46221</v>
      </c>
      <c r="B1852" s="1" t="n">
        <v>20088</v>
      </c>
      <c r="C1852" s="1" t="inlineStr">
        <is>
          <t>028</t>
        </is>
      </c>
      <c r="D1852" s="1" t="inlineStr">
        <is>
          <t xml:space="preserve">55640 </t>
        </is>
      </c>
      <c r="E1852" s="1" t="inlineStr">
        <is>
          <t xml:space="preserve">29235700       </t>
        </is>
      </c>
      <c r="F1852" s="5" t="inlineStr">
        <is>
          <t>HOT WHEELS CASE METALICO PARA GUARDAR 18 CARRITOS</t>
        </is>
      </c>
      <c r="G1852" t="n">
        <v>1</v>
      </c>
      <c r="H1852" s="7" t="n">
        <v>49.9</v>
      </c>
      <c r="I1852" s="7" t="n">
        <v>0</v>
      </c>
      <c r="J1852" s="7" t="n">
        <v>0</v>
      </c>
      <c r="K1852" s="9" t="n">
        <v>0</v>
      </c>
      <c r="L1852" s="10" t="n">
        <v>29.6</v>
      </c>
      <c r="M1852" s="10" t="n">
        <v>1.43</v>
      </c>
      <c r="N1852" t="inlineStr">
        <is>
          <t>1</t>
        </is>
      </c>
      <c r="O1852" t="inlineStr">
        <is>
          <t>16</t>
        </is>
      </c>
      <c r="P1852" t="inlineStr">
        <is>
          <t xml:space="preserve">47248   </t>
        </is>
      </c>
      <c r="Q1852" s="26" t="n">
        <v>29.6</v>
      </c>
      <c r="R1852" s="26">
        <f>Q1852*G1852</f>
        <v/>
      </c>
      <c r="S1852" s="26">
        <f>IFERROR(VLOOKUP(E1852*1,Tabla[#All],8,0),0)</f>
        <v/>
      </c>
      <c r="T1852" s="26">
        <f>S1852*G1852</f>
        <v/>
      </c>
      <c r="U1852" s="26">
        <f>R1852-T1852</f>
        <v/>
      </c>
      <c r="V1852" s="26">
        <f>U1852-L1852</f>
        <v/>
      </c>
    </row>
    <row r="1853">
      <c r="A1853" s="11" t="n">
        <v>46221</v>
      </c>
      <c r="B1853" s="1" t="n">
        <v>20088</v>
      </c>
      <c r="C1853" s="1" t="inlineStr">
        <is>
          <t>800</t>
        </is>
      </c>
      <c r="D1853" s="1" t="inlineStr">
        <is>
          <t xml:space="preserve">3691  </t>
        </is>
      </c>
      <c r="E1853" s="1" t="inlineStr">
        <is>
          <t xml:space="preserve">31754675       </t>
        </is>
      </c>
      <c r="F1853" s="5" t="inlineStr">
        <is>
          <t>INFINITY NADO SERIE 6 STARTER PACK - 4 MODELOS</t>
        </is>
      </c>
      <c r="G1853" t="n">
        <v>1</v>
      </c>
      <c r="H1853" s="7" t="n">
        <v>49.9</v>
      </c>
      <c r="I1853" s="7" t="n">
        <v>0</v>
      </c>
      <c r="J1853" s="7" t="n">
        <v>0</v>
      </c>
      <c r="K1853" s="9" t="n">
        <v>0</v>
      </c>
      <c r="L1853" s="10" t="n">
        <v>29.6</v>
      </c>
      <c r="M1853" s="10" t="n">
        <v>1.43</v>
      </c>
      <c r="N1853" t="inlineStr">
        <is>
          <t>1</t>
        </is>
      </c>
      <c r="O1853" t="inlineStr">
        <is>
          <t>16</t>
        </is>
      </c>
      <c r="P1853" t="inlineStr">
        <is>
          <t xml:space="preserve">0       </t>
        </is>
      </c>
      <c r="Q1853" s="26" t="n">
        <v>41.47</v>
      </c>
      <c r="R1853" s="26">
        <f>Q1853*G1853</f>
        <v/>
      </c>
      <c r="S1853" s="26">
        <f>IFERROR(VLOOKUP(E1853*1,Tabla[#All],8,0),0)</f>
        <v/>
      </c>
      <c r="T1853" s="26">
        <f>S1853*G1853</f>
        <v/>
      </c>
      <c r="U1853" s="26">
        <f>R1853-T1853</f>
        <v/>
      </c>
      <c r="V1853" s="26">
        <f>U1853-L1853</f>
        <v/>
      </c>
    </row>
    <row r="1854">
      <c r="A1854" s="11" t="n">
        <v>46221</v>
      </c>
      <c r="B1854" s="1" t="n">
        <v>20088</v>
      </c>
      <c r="C1854" s="1" t="inlineStr">
        <is>
          <t>801</t>
        </is>
      </c>
      <c r="D1854" s="1" t="inlineStr">
        <is>
          <t xml:space="preserve">6776  </t>
        </is>
      </c>
      <c r="E1854" s="1" t="inlineStr">
        <is>
          <t xml:space="preserve">28194781       </t>
        </is>
      </c>
      <c r="F1854" s="5" t="inlineStr">
        <is>
          <t>TROMPO BATALLA INFINITY NADO SERIE V CLASICA SURTI</t>
        </is>
      </c>
      <c r="G1854" t="n">
        <v>1</v>
      </c>
      <c r="H1854" s="7" t="n">
        <v>39.9</v>
      </c>
      <c r="I1854" s="7" t="n">
        <v>0</v>
      </c>
      <c r="J1854" s="7" t="n">
        <v>0</v>
      </c>
      <c r="K1854" s="9" t="n">
        <v>0</v>
      </c>
      <c r="L1854" s="10" t="n">
        <v>23.67</v>
      </c>
      <c r="M1854" s="10" t="n">
        <v>1.43</v>
      </c>
      <c r="N1854" t="inlineStr">
        <is>
          <t>1</t>
        </is>
      </c>
      <c r="O1854" t="inlineStr">
        <is>
          <t>16</t>
        </is>
      </c>
      <c r="P1854" t="inlineStr">
        <is>
          <t xml:space="preserve">0       </t>
        </is>
      </c>
      <c r="Q1854" s="26" t="n">
        <v>35.53</v>
      </c>
      <c r="R1854" s="26">
        <f>Q1854*G1854</f>
        <v/>
      </c>
      <c r="S1854" s="26">
        <f>IFERROR(VLOOKUP(E1854*1,Tabla[#All],8,0),0)</f>
        <v/>
      </c>
      <c r="T1854" s="26">
        <f>S1854*G1854</f>
        <v/>
      </c>
      <c r="U1854" s="26">
        <f>R1854-T1854</f>
        <v/>
      </c>
      <c r="V1854" s="26">
        <f>U1854-L1854</f>
        <v/>
      </c>
    </row>
    <row r="1855">
      <c r="A1855" s="11" t="n">
        <v>46221</v>
      </c>
      <c r="B1855" s="1" t="n">
        <v>20089</v>
      </c>
      <c r="C1855" s="1" t="inlineStr">
        <is>
          <t>025</t>
        </is>
      </c>
      <c r="D1855" s="1" t="inlineStr">
        <is>
          <t>122014</t>
        </is>
      </c>
      <c r="E1855" s="1" t="inlineStr">
        <is>
          <t xml:space="preserve">28194770       </t>
        </is>
      </c>
      <c r="F1855" s="5" t="inlineStr">
        <is>
          <t>AUTOS DE METAL 3 TEAMSTERZ EN BLISTER</t>
        </is>
      </c>
      <c r="G1855" t="n">
        <v>1</v>
      </c>
      <c r="H1855" s="7" t="n">
        <v>6.9</v>
      </c>
      <c r="I1855" s="7" t="n">
        <v>0.6899999999999999</v>
      </c>
      <c r="J1855" s="7" t="n">
        <v>0</v>
      </c>
      <c r="K1855" s="9" t="n">
        <v>0.6899999999999999</v>
      </c>
      <c r="L1855" s="10" t="n">
        <v>3.68</v>
      </c>
      <c r="M1855" s="10" t="n">
        <v>1.43</v>
      </c>
      <c r="N1855" t="inlineStr">
        <is>
          <t>1</t>
        </is>
      </c>
      <c r="O1855" t="inlineStr">
        <is>
          <t xml:space="preserve">3 </t>
        </is>
      </c>
      <c r="P1855" t="inlineStr">
        <is>
          <t xml:space="preserve">109709  </t>
        </is>
      </c>
      <c r="Q1855" s="26" t="n">
        <v>4.09</v>
      </c>
      <c r="R1855" s="26">
        <f>Q1855*G1855</f>
        <v/>
      </c>
      <c r="S1855" s="26">
        <f>IFERROR(VLOOKUP(E1855*1,Tabla[#All],8,0),0)</f>
        <v/>
      </c>
      <c r="T1855" s="26">
        <f>S1855*G1855</f>
        <v/>
      </c>
      <c r="U1855" s="26">
        <f>R1855-T1855</f>
        <v/>
      </c>
      <c r="V1855" s="26">
        <f>U1855-L1855</f>
        <v/>
      </c>
    </row>
    <row r="1856">
      <c r="A1856" s="11" t="n">
        <v>46221</v>
      </c>
      <c r="B1856" s="1" t="n">
        <v>20089</v>
      </c>
      <c r="C1856" s="1" t="inlineStr">
        <is>
          <t>025</t>
        </is>
      </c>
      <c r="D1856" s="1" t="inlineStr">
        <is>
          <t>122079</t>
        </is>
      </c>
      <c r="E1856" s="1" t="inlineStr">
        <is>
          <t xml:space="preserve">31959960       </t>
        </is>
      </c>
      <c r="F1856" s="5" t="inlineStr">
        <is>
          <t>TEAMSTERZ PLAYSET DE CONSTRUCCION VEHICULOS + ACCE</t>
        </is>
      </c>
      <c r="G1856" t="n">
        <v>1</v>
      </c>
      <c r="H1856" s="7" t="n">
        <v>39.9</v>
      </c>
      <c r="I1856" s="7" t="n">
        <v>0</v>
      </c>
      <c r="J1856" s="7" t="n">
        <v>0</v>
      </c>
      <c r="K1856" s="9" t="n">
        <v>0</v>
      </c>
      <c r="L1856" s="10" t="n">
        <v>23.67</v>
      </c>
      <c r="M1856" s="10" t="n">
        <v>1.43</v>
      </c>
      <c r="N1856" t="inlineStr">
        <is>
          <t>1</t>
        </is>
      </c>
      <c r="O1856" t="inlineStr">
        <is>
          <t>16</t>
        </is>
      </c>
      <c r="P1856" t="inlineStr">
        <is>
          <t xml:space="preserve">109709  </t>
        </is>
      </c>
      <c r="Q1856" s="26" t="n">
        <v>23.67</v>
      </c>
      <c r="R1856" s="26">
        <f>Q1856*G1856</f>
        <v/>
      </c>
      <c r="S1856" s="26">
        <f>IFERROR(VLOOKUP(E1856*1,Tabla[#All],8,0),0)</f>
        <v/>
      </c>
      <c r="T1856" s="26">
        <f>S1856*G1856</f>
        <v/>
      </c>
      <c r="U1856" s="26">
        <f>R1856-T1856</f>
        <v/>
      </c>
      <c r="V1856" s="26">
        <f>U1856-L1856</f>
        <v/>
      </c>
    </row>
    <row r="1857">
      <c r="A1857" s="11" t="n">
        <v>46221</v>
      </c>
      <c r="B1857" s="1" t="n">
        <v>20089</v>
      </c>
      <c r="C1857" s="1" t="inlineStr">
        <is>
          <t>026</t>
        </is>
      </c>
      <c r="D1857" s="1" t="inlineStr">
        <is>
          <t xml:space="preserve">88151 </t>
        </is>
      </c>
      <c r="E1857" s="1" t="inlineStr">
        <is>
          <t xml:space="preserve">28194770       </t>
        </is>
      </c>
      <c r="F1857" s="5" t="inlineStr">
        <is>
          <t>AUTOS DE METAL 3 TEAMSTERZ EN BLISTER</t>
        </is>
      </c>
      <c r="G1857" t="n">
        <v>1</v>
      </c>
      <c r="H1857" s="7" t="n">
        <v>6.9</v>
      </c>
      <c r="I1857" s="7" t="n">
        <v>0.6899999999999999</v>
      </c>
      <c r="J1857" s="7" t="n">
        <v>0</v>
      </c>
      <c r="K1857" s="9" t="n">
        <v>0.6899999999999999</v>
      </c>
      <c r="L1857" s="10" t="n">
        <v>3.68</v>
      </c>
      <c r="M1857" s="10" t="n">
        <v>1.43</v>
      </c>
      <c r="N1857" t="inlineStr">
        <is>
          <t>1</t>
        </is>
      </c>
      <c r="O1857" t="inlineStr">
        <is>
          <t xml:space="preserve">3 </t>
        </is>
      </c>
      <c r="P1857" t="inlineStr">
        <is>
          <t xml:space="preserve">94948   </t>
        </is>
      </c>
      <c r="Q1857" s="26" t="n">
        <v>4.09</v>
      </c>
      <c r="R1857" s="26">
        <f>Q1857*G1857</f>
        <v/>
      </c>
      <c r="S1857" s="26">
        <f>IFERROR(VLOOKUP(E1857*1,Tabla[#All],8,0),0)</f>
        <v/>
      </c>
      <c r="T1857" s="26">
        <f>S1857*G1857</f>
        <v/>
      </c>
      <c r="U1857" s="26">
        <f>R1857-T1857</f>
        <v/>
      </c>
      <c r="V1857" s="26">
        <f>U1857-L1857</f>
        <v/>
      </c>
    </row>
    <row r="1858">
      <c r="A1858" s="11" t="n">
        <v>46221</v>
      </c>
      <c r="B1858" s="1" t="n">
        <v>20089</v>
      </c>
      <c r="C1858" s="1" t="inlineStr">
        <is>
          <t>026</t>
        </is>
      </c>
      <c r="D1858" s="1" t="inlineStr">
        <is>
          <t xml:space="preserve">88151 </t>
        </is>
      </c>
      <c r="E1858" s="1" t="inlineStr">
        <is>
          <t xml:space="preserve">28194770       </t>
        </is>
      </c>
      <c r="F1858" s="5" t="inlineStr">
        <is>
          <t>AUTOS DE METAL 3 TEAMSTERZ EN BLISTER</t>
        </is>
      </c>
      <c r="G1858" t="n">
        <v>1</v>
      </c>
      <c r="H1858" s="7" t="n">
        <v>6.9</v>
      </c>
      <c r="I1858" s="7" t="n">
        <v>0.6899999999999999</v>
      </c>
      <c r="J1858" s="7" t="n">
        <v>0</v>
      </c>
      <c r="K1858" s="9" t="n">
        <v>0.6899999999999999</v>
      </c>
      <c r="L1858" s="10" t="n">
        <v>3.68</v>
      </c>
      <c r="M1858" s="10" t="n">
        <v>1.43</v>
      </c>
      <c r="N1858" t="inlineStr">
        <is>
          <t>1</t>
        </is>
      </c>
      <c r="O1858" t="inlineStr">
        <is>
          <t xml:space="preserve">3 </t>
        </is>
      </c>
      <c r="P1858" t="inlineStr">
        <is>
          <t xml:space="preserve">94948   </t>
        </is>
      </c>
      <c r="Q1858" s="26" t="n">
        <v>4.09</v>
      </c>
      <c r="R1858" s="26">
        <f>Q1858*G1858</f>
        <v/>
      </c>
      <c r="S1858" s="26">
        <f>IFERROR(VLOOKUP(E1858*1,Tabla[#All],8,0),0)</f>
        <v/>
      </c>
      <c r="T1858" s="26">
        <f>S1858*G1858</f>
        <v/>
      </c>
      <c r="U1858" s="26">
        <f>R1858-T1858</f>
        <v/>
      </c>
      <c r="V1858" s="26">
        <f>U1858-L1858</f>
        <v/>
      </c>
    </row>
    <row r="1859">
      <c r="A1859" s="11" t="n">
        <v>46221</v>
      </c>
      <c r="B1859" s="1" t="n">
        <v>20089</v>
      </c>
      <c r="C1859" s="1" t="inlineStr">
        <is>
          <t>026</t>
        </is>
      </c>
      <c r="D1859" s="1" t="inlineStr">
        <is>
          <t xml:space="preserve">88169 </t>
        </is>
      </c>
      <c r="E1859" s="1" t="inlineStr">
        <is>
          <t xml:space="preserve">28194770       </t>
        </is>
      </c>
      <c r="F1859" s="5" t="inlineStr">
        <is>
          <t>AUTOS DE METAL 3 TEAMSTERZ EN BLISTER</t>
        </is>
      </c>
      <c r="G1859" t="n">
        <v>1</v>
      </c>
      <c r="H1859" s="7" t="n">
        <v>6.9</v>
      </c>
      <c r="I1859" s="7" t="n">
        <v>0</v>
      </c>
      <c r="J1859" s="7" t="n">
        <v>0</v>
      </c>
      <c r="K1859" s="9" t="n">
        <v>0</v>
      </c>
      <c r="L1859" s="10" t="n">
        <v>4.1</v>
      </c>
      <c r="M1859" s="10" t="n">
        <v>1.43</v>
      </c>
      <c r="N1859" t="inlineStr">
        <is>
          <t>1</t>
        </is>
      </c>
      <c r="O1859" t="inlineStr">
        <is>
          <t>16</t>
        </is>
      </c>
      <c r="P1859" t="inlineStr">
        <is>
          <t xml:space="preserve">66808   </t>
        </is>
      </c>
      <c r="Q1859" s="26" t="n">
        <v>4.09</v>
      </c>
      <c r="R1859" s="26">
        <f>Q1859*G1859</f>
        <v/>
      </c>
      <c r="S1859" s="26">
        <f>IFERROR(VLOOKUP(E1859*1,Tabla[#All],8,0),0)</f>
        <v/>
      </c>
      <c r="T1859" s="26">
        <f>S1859*G1859</f>
        <v/>
      </c>
      <c r="U1859" s="26">
        <f>R1859-T1859</f>
        <v/>
      </c>
      <c r="V1859" s="26">
        <f>U1859-L1859</f>
        <v/>
      </c>
    </row>
    <row r="1860">
      <c r="A1860" s="11" t="n">
        <v>46221</v>
      </c>
      <c r="B1860" s="1" t="n">
        <v>20089</v>
      </c>
      <c r="C1860" s="1" t="inlineStr">
        <is>
          <t>026</t>
        </is>
      </c>
      <c r="D1860" s="1" t="inlineStr">
        <is>
          <t xml:space="preserve">88176 </t>
        </is>
      </c>
      <c r="E1860" s="1" t="inlineStr">
        <is>
          <t xml:space="preserve">28194770       </t>
        </is>
      </c>
      <c r="F1860" s="5" t="inlineStr">
        <is>
          <t>AUTOS DE METAL 3 TEAMSTERZ EN BLISTER</t>
        </is>
      </c>
      <c r="G1860" t="n">
        <v>1</v>
      </c>
      <c r="H1860" s="7" t="n">
        <v>6.9</v>
      </c>
      <c r="I1860" s="7" t="n">
        <v>0.6899999999999999</v>
      </c>
      <c r="J1860" s="7" t="n">
        <v>0</v>
      </c>
      <c r="K1860" s="9" t="n">
        <v>0.6899999999999999</v>
      </c>
      <c r="L1860" s="10" t="n">
        <v>3.68</v>
      </c>
      <c r="M1860" s="10" t="n">
        <v>1.43</v>
      </c>
      <c r="N1860" t="inlineStr">
        <is>
          <t>1</t>
        </is>
      </c>
      <c r="O1860" t="inlineStr">
        <is>
          <t xml:space="preserve">3 </t>
        </is>
      </c>
      <c r="P1860" t="inlineStr">
        <is>
          <t xml:space="preserve">66808   </t>
        </is>
      </c>
      <c r="Q1860" s="26" t="n">
        <v>4.09</v>
      </c>
      <c r="R1860" s="26">
        <f>Q1860*G1860</f>
        <v/>
      </c>
      <c r="S1860" s="26">
        <f>IFERROR(VLOOKUP(E1860*1,Tabla[#All],8,0),0)</f>
        <v/>
      </c>
      <c r="T1860" s="26">
        <f>S1860*G1860</f>
        <v/>
      </c>
      <c r="U1860" s="26">
        <f>R1860-T1860</f>
        <v/>
      </c>
      <c r="V1860" s="26">
        <f>U1860-L1860</f>
        <v/>
      </c>
    </row>
    <row r="1861">
      <c r="A1861" s="11" t="n">
        <v>46221</v>
      </c>
      <c r="B1861" s="1" t="n">
        <v>20089</v>
      </c>
      <c r="C1861" s="1" t="inlineStr">
        <is>
          <t>026</t>
        </is>
      </c>
      <c r="D1861" s="1" t="inlineStr">
        <is>
          <t xml:space="preserve">88176 </t>
        </is>
      </c>
      <c r="E1861" s="1" t="inlineStr">
        <is>
          <t xml:space="preserve">28194770       </t>
        </is>
      </c>
      <c r="F1861" s="5" t="inlineStr">
        <is>
          <t>AUTOS DE METAL 3 TEAMSTERZ EN BLISTER</t>
        </is>
      </c>
      <c r="G1861" t="n">
        <v>1</v>
      </c>
      <c r="H1861" s="7" t="n">
        <v>6.9</v>
      </c>
      <c r="I1861" s="7" t="n">
        <v>0.6899999999999999</v>
      </c>
      <c r="J1861" s="7" t="n">
        <v>0</v>
      </c>
      <c r="K1861" s="9" t="n">
        <v>0.6899999999999999</v>
      </c>
      <c r="L1861" s="10" t="n">
        <v>3.68</v>
      </c>
      <c r="M1861" s="10" t="n">
        <v>1.43</v>
      </c>
      <c r="N1861" t="inlineStr">
        <is>
          <t>1</t>
        </is>
      </c>
      <c r="O1861" t="inlineStr">
        <is>
          <t xml:space="preserve">3 </t>
        </is>
      </c>
      <c r="P1861" t="inlineStr">
        <is>
          <t xml:space="preserve">66808   </t>
        </is>
      </c>
      <c r="Q1861" s="26" t="n">
        <v>4.09</v>
      </c>
      <c r="R1861" s="26">
        <f>Q1861*G1861</f>
        <v/>
      </c>
      <c r="S1861" s="26">
        <f>IFERROR(VLOOKUP(E1861*1,Tabla[#All],8,0),0)</f>
        <v/>
      </c>
      <c r="T1861" s="26">
        <f>S1861*G1861</f>
        <v/>
      </c>
      <c r="U1861" s="26">
        <f>R1861-T1861</f>
        <v/>
      </c>
      <c r="V1861" s="26">
        <f>U1861-L1861</f>
        <v/>
      </c>
    </row>
    <row r="1862">
      <c r="A1862" s="11" t="n">
        <v>46221</v>
      </c>
      <c r="B1862" s="1" t="n">
        <v>20089</v>
      </c>
      <c r="C1862" s="1" t="inlineStr">
        <is>
          <t>027</t>
        </is>
      </c>
      <c r="D1862" s="1" t="inlineStr">
        <is>
          <t xml:space="preserve">15961 </t>
        </is>
      </c>
      <c r="E1862" s="1" t="inlineStr">
        <is>
          <t xml:space="preserve">28194768       </t>
        </is>
      </c>
      <c r="F1862" s="5" t="inlineStr">
        <is>
          <t>AUTO COLOR CHANGE TEAMSTERZ SURTIDO</t>
        </is>
      </c>
      <c r="G1862" t="n">
        <v>1</v>
      </c>
      <c r="H1862" s="7" t="n">
        <v>14.9</v>
      </c>
      <c r="I1862" s="7" t="n">
        <v>1.49</v>
      </c>
      <c r="J1862" s="7" t="n">
        <v>0</v>
      </c>
      <c r="K1862" s="9" t="n">
        <v>1.49</v>
      </c>
      <c r="L1862" s="10" t="n">
        <v>7.95</v>
      </c>
      <c r="M1862" s="10" t="n">
        <v>1.43</v>
      </c>
      <c r="N1862" t="inlineStr">
        <is>
          <t>1</t>
        </is>
      </c>
      <c r="O1862" t="inlineStr">
        <is>
          <t xml:space="preserve">3 </t>
        </is>
      </c>
      <c r="P1862" t="inlineStr">
        <is>
          <t xml:space="preserve">248223  </t>
        </is>
      </c>
      <c r="Q1862" s="26" t="n">
        <v>8.84</v>
      </c>
      <c r="R1862" s="26">
        <f>Q1862*G1862</f>
        <v/>
      </c>
      <c r="S1862" s="26">
        <f>IFERROR(VLOOKUP(E1862*1,Tabla[#All],8,0),0)</f>
        <v/>
      </c>
      <c r="T1862" s="26">
        <f>S1862*G1862</f>
        <v/>
      </c>
      <c r="U1862" s="26">
        <f>R1862-T1862</f>
        <v/>
      </c>
      <c r="V1862" s="26">
        <f>U1862-L1862</f>
        <v/>
      </c>
    </row>
    <row r="1863">
      <c r="A1863" s="11" t="n">
        <v>46221</v>
      </c>
      <c r="B1863" s="1" t="n">
        <v>20089</v>
      </c>
      <c r="C1863" s="1" t="inlineStr">
        <is>
          <t>027</t>
        </is>
      </c>
      <c r="D1863" s="1" t="inlineStr">
        <is>
          <t xml:space="preserve">15961 </t>
        </is>
      </c>
      <c r="E1863" s="1" t="inlineStr">
        <is>
          <t xml:space="preserve">28194770       </t>
        </is>
      </c>
      <c r="F1863" s="5" t="inlineStr">
        <is>
          <t>AUTOS DE METAL 3 TEAMSTERZ EN BLISTER</t>
        </is>
      </c>
      <c r="G1863" t="n">
        <v>1</v>
      </c>
      <c r="H1863" s="7" t="n">
        <v>6.9</v>
      </c>
      <c r="I1863" s="7" t="n">
        <v>0.6899999999999999</v>
      </c>
      <c r="J1863" s="7" t="n">
        <v>0</v>
      </c>
      <c r="K1863" s="9" t="n">
        <v>0.6899999999999999</v>
      </c>
      <c r="L1863" s="10" t="n">
        <v>3.68</v>
      </c>
      <c r="M1863" s="10" t="n">
        <v>1.43</v>
      </c>
      <c r="N1863" t="inlineStr">
        <is>
          <t>1</t>
        </is>
      </c>
      <c r="O1863" t="inlineStr">
        <is>
          <t xml:space="preserve">3 </t>
        </is>
      </c>
      <c r="P1863" t="inlineStr">
        <is>
          <t xml:space="preserve">248223  </t>
        </is>
      </c>
      <c r="Q1863" s="26" t="n">
        <v>4.09</v>
      </c>
      <c r="R1863" s="26">
        <f>Q1863*G1863</f>
        <v/>
      </c>
      <c r="S1863" s="26">
        <f>IFERROR(VLOOKUP(E1863*1,Tabla[#All],8,0),0)</f>
        <v/>
      </c>
      <c r="T1863" s="26">
        <f>S1863*G1863</f>
        <v/>
      </c>
      <c r="U1863" s="26">
        <f>R1863-T1863</f>
        <v/>
      </c>
      <c r="V1863" s="26">
        <f>U1863-L1863</f>
        <v/>
      </c>
    </row>
    <row r="1864">
      <c r="A1864" s="11" t="n">
        <v>46221</v>
      </c>
      <c r="B1864" s="1" t="n">
        <v>20089</v>
      </c>
      <c r="C1864" s="1" t="inlineStr">
        <is>
          <t>027</t>
        </is>
      </c>
      <c r="D1864" s="1" t="inlineStr">
        <is>
          <t xml:space="preserve">15969 </t>
        </is>
      </c>
      <c r="E1864" s="1" t="inlineStr">
        <is>
          <t xml:space="preserve">28194770       </t>
        </is>
      </c>
      <c r="F1864" s="5" t="inlineStr">
        <is>
          <t>AUTOS DE METAL 3 TEAMSTERZ EN BLISTER</t>
        </is>
      </c>
      <c r="G1864" t="n">
        <v>1</v>
      </c>
      <c r="H1864" s="7" t="n">
        <v>6.9</v>
      </c>
      <c r="I1864" s="7" t="n">
        <v>0</v>
      </c>
      <c r="J1864" s="7" t="n">
        <v>0</v>
      </c>
      <c r="K1864" s="9" t="n">
        <v>0</v>
      </c>
      <c r="L1864" s="10" t="n">
        <v>4.1</v>
      </c>
      <c r="M1864" s="10" t="n">
        <v>1.43</v>
      </c>
      <c r="N1864" t="inlineStr">
        <is>
          <t>1</t>
        </is>
      </c>
      <c r="O1864" t="inlineStr">
        <is>
          <t>16</t>
        </is>
      </c>
      <c r="P1864" t="inlineStr">
        <is>
          <t xml:space="preserve">248223  </t>
        </is>
      </c>
      <c r="Q1864" s="26" t="n">
        <v>4.09</v>
      </c>
      <c r="R1864" s="26">
        <f>Q1864*G1864</f>
        <v/>
      </c>
      <c r="S1864" s="26">
        <f>IFERROR(VLOOKUP(E1864*1,Tabla[#All],8,0),0)</f>
        <v/>
      </c>
      <c r="T1864" s="26">
        <f>S1864*G1864</f>
        <v/>
      </c>
      <c r="U1864" s="26">
        <f>R1864-T1864</f>
        <v/>
      </c>
      <c r="V1864" s="26">
        <f>U1864-L1864</f>
        <v/>
      </c>
    </row>
    <row r="1865">
      <c r="A1865" s="11" t="n">
        <v>46221</v>
      </c>
      <c r="B1865" s="1" t="n">
        <v>20089</v>
      </c>
      <c r="C1865" s="1" t="inlineStr">
        <is>
          <t>027</t>
        </is>
      </c>
      <c r="D1865" s="1" t="inlineStr">
        <is>
          <t xml:space="preserve">15991 </t>
        </is>
      </c>
      <c r="E1865" s="1" t="inlineStr">
        <is>
          <t xml:space="preserve">30141766       </t>
        </is>
      </c>
      <c r="F1865" s="5" t="inlineStr">
        <is>
          <t>TMZ BEAST MACHINES AUTOS DE METAL BLISTER X 1</t>
        </is>
      </c>
      <c r="G1865" t="n">
        <v>1</v>
      </c>
      <c r="H1865" s="7" t="n">
        <v>7.9</v>
      </c>
      <c r="I1865" s="7" t="n">
        <v>0.79</v>
      </c>
      <c r="J1865" s="7" t="n">
        <v>0</v>
      </c>
      <c r="K1865" s="9" t="n">
        <v>0.79</v>
      </c>
      <c r="L1865" s="10" t="n">
        <v>4.22</v>
      </c>
      <c r="M1865" s="10" t="n">
        <v>1.43</v>
      </c>
      <c r="N1865" t="inlineStr">
        <is>
          <t>1</t>
        </is>
      </c>
      <c r="O1865" t="inlineStr">
        <is>
          <t xml:space="preserve">3 </t>
        </is>
      </c>
      <c r="P1865" t="inlineStr">
        <is>
          <t xml:space="preserve">248223  </t>
        </is>
      </c>
      <c r="Q1865" s="26" t="n">
        <v>4.69</v>
      </c>
      <c r="R1865" s="26">
        <f>Q1865*G1865</f>
        <v/>
      </c>
      <c r="S1865" s="26">
        <f>IFERROR(VLOOKUP(E1865*1,Tabla[#All],8,0),0)</f>
        <v/>
      </c>
      <c r="T1865" s="26">
        <f>S1865*G1865</f>
        <v/>
      </c>
      <c r="U1865" s="26">
        <f>R1865-T1865</f>
        <v/>
      </c>
      <c r="V1865" s="26">
        <f>U1865-L1865</f>
        <v/>
      </c>
    </row>
    <row r="1866">
      <c r="A1866" s="11" t="n">
        <v>46221</v>
      </c>
      <c r="B1866" s="1" t="n">
        <v>20089</v>
      </c>
      <c r="C1866" s="1" t="inlineStr">
        <is>
          <t>027</t>
        </is>
      </c>
      <c r="D1866" s="1" t="inlineStr">
        <is>
          <t xml:space="preserve">15991 </t>
        </is>
      </c>
      <c r="E1866" s="1" t="inlineStr">
        <is>
          <t xml:space="preserve">30141766       </t>
        </is>
      </c>
      <c r="F1866" s="5" t="inlineStr">
        <is>
          <t>TMZ BEAST MACHINES AUTOS DE METAL BLISTER X 1</t>
        </is>
      </c>
      <c r="G1866" t="n">
        <v>1</v>
      </c>
      <c r="H1866" s="7" t="n">
        <v>7.9</v>
      </c>
      <c r="I1866" s="7" t="n">
        <v>0.79</v>
      </c>
      <c r="J1866" s="7" t="n">
        <v>0</v>
      </c>
      <c r="K1866" s="9" t="n">
        <v>0.79</v>
      </c>
      <c r="L1866" s="10" t="n">
        <v>4.22</v>
      </c>
      <c r="M1866" s="10" t="n">
        <v>1.43</v>
      </c>
      <c r="N1866" t="inlineStr">
        <is>
          <t>1</t>
        </is>
      </c>
      <c r="O1866" t="inlineStr">
        <is>
          <t xml:space="preserve">3 </t>
        </is>
      </c>
      <c r="P1866" t="inlineStr">
        <is>
          <t xml:space="preserve">248223  </t>
        </is>
      </c>
      <c r="Q1866" s="26" t="n">
        <v>4.69</v>
      </c>
      <c r="R1866" s="26">
        <f>Q1866*G1866</f>
        <v/>
      </c>
      <c r="S1866" s="26">
        <f>IFERROR(VLOOKUP(E1866*1,Tabla[#All],8,0),0)</f>
        <v/>
      </c>
      <c r="T1866" s="26">
        <f>S1866*G1866</f>
        <v/>
      </c>
      <c r="U1866" s="26">
        <f>R1866-T1866</f>
        <v/>
      </c>
      <c r="V1866" s="26">
        <f>U1866-L1866</f>
        <v/>
      </c>
    </row>
    <row r="1867">
      <c r="A1867" s="11" t="n">
        <v>46221</v>
      </c>
      <c r="B1867" s="1" t="n">
        <v>20089</v>
      </c>
      <c r="C1867" s="1" t="inlineStr">
        <is>
          <t>860</t>
        </is>
      </c>
      <c r="D1867" s="1" t="inlineStr">
        <is>
          <t xml:space="preserve">9697  </t>
        </is>
      </c>
      <c r="E1867" s="1" t="inlineStr">
        <is>
          <t xml:space="preserve">28194769       </t>
        </is>
      </c>
      <c r="F1867" s="5" t="inlineStr">
        <is>
          <t>AUTOS DE METAL 3 TEAMSTERZ PACK DE 2</t>
        </is>
      </c>
      <c r="G1867" t="n">
        <v>1</v>
      </c>
      <c r="H1867" s="7" t="n">
        <v>13.8</v>
      </c>
      <c r="I1867" s="7" t="n">
        <v>0</v>
      </c>
      <c r="J1867" s="7" t="n">
        <v>0</v>
      </c>
      <c r="K1867" s="9" t="n">
        <v>0</v>
      </c>
      <c r="L1867" s="10" t="n">
        <v>8.18</v>
      </c>
      <c r="M1867" s="10" t="n">
        <v>1.43</v>
      </c>
      <c r="N1867" t="inlineStr">
        <is>
          <t>1</t>
        </is>
      </c>
      <c r="O1867" t="inlineStr">
        <is>
          <t>16</t>
        </is>
      </c>
      <c r="P1867" t="inlineStr">
        <is>
          <t xml:space="preserve">0       </t>
        </is>
      </c>
      <c r="Q1867" s="26" t="n">
        <v>8.19</v>
      </c>
      <c r="R1867" s="26">
        <f>Q1867*G1867</f>
        <v/>
      </c>
      <c r="S1867" s="26">
        <f>IFERROR(VLOOKUP(E1867*1,Tabla[#All],8,0),0)</f>
        <v/>
      </c>
      <c r="T1867" s="26">
        <f>S1867*G1867</f>
        <v/>
      </c>
      <c r="U1867" s="26">
        <f>R1867-T1867</f>
        <v/>
      </c>
      <c r="V1867" s="26">
        <f>U1867-L1867</f>
        <v/>
      </c>
    </row>
    <row r="1868">
      <c r="A1868" s="11" t="n">
        <v>46221</v>
      </c>
      <c r="B1868" s="1" t="n">
        <v>20089</v>
      </c>
      <c r="C1868" s="1" t="inlineStr">
        <is>
          <t>862</t>
        </is>
      </c>
      <c r="D1868" s="1" t="inlineStr">
        <is>
          <t xml:space="preserve">8615  </t>
        </is>
      </c>
      <c r="E1868" s="1" t="inlineStr">
        <is>
          <t xml:space="preserve">31675352       </t>
        </is>
      </c>
      <c r="F1868" s="5" t="inlineStr">
        <is>
          <t>MI PEQUENO NENUCO</t>
        </is>
      </c>
      <c r="G1868" t="n">
        <v>1</v>
      </c>
      <c r="H1868" s="7" t="n">
        <v>49.9</v>
      </c>
      <c r="I1868" s="7" t="n">
        <v>0</v>
      </c>
      <c r="J1868" s="7" t="n">
        <v>0</v>
      </c>
      <c r="K1868" s="9" t="n">
        <v>0</v>
      </c>
      <c r="L1868" s="10" t="n">
        <v>29.6</v>
      </c>
      <c r="M1868" s="10" t="n">
        <v>1.43</v>
      </c>
      <c r="N1868" t="inlineStr">
        <is>
          <t>1</t>
        </is>
      </c>
      <c r="O1868" t="inlineStr">
        <is>
          <t>16</t>
        </is>
      </c>
      <c r="P1868" t="inlineStr">
        <is>
          <t xml:space="preserve">0       </t>
        </is>
      </c>
      <c r="Q1868" s="26" t="n">
        <v>41.47</v>
      </c>
      <c r="R1868" s="26">
        <f>Q1868*G1868</f>
        <v/>
      </c>
      <c r="S1868" s="26">
        <f>IFERROR(VLOOKUP(E1868*1,Tabla[#All],8,0),0)</f>
        <v/>
      </c>
      <c r="T1868" s="26">
        <f>S1868*G1868</f>
        <v/>
      </c>
      <c r="U1868" s="26">
        <f>R1868-T1868</f>
        <v/>
      </c>
      <c r="V1868" s="26">
        <f>U1868-L1868</f>
        <v/>
      </c>
    </row>
    <row r="1869">
      <c r="A1869" s="11" t="n">
        <v>46221</v>
      </c>
      <c r="B1869" s="1" t="n">
        <v>20095</v>
      </c>
      <c r="C1869" s="1" t="inlineStr">
        <is>
          <t>043</t>
        </is>
      </c>
      <c r="D1869" s="1" t="inlineStr">
        <is>
          <t>107988</t>
        </is>
      </c>
      <c r="E1869" s="1" t="inlineStr">
        <is>
          <t xml:space="preserve">28194780       </t>
        </is>
      </c>
      <c r="F1869" s="5" t="inlineStr">
        <is>
          <t>TROMPO BATALLA INFINITY NADO PLSTICO SURTIDO</t>
        </is>
      </c>
      <c r="G1869" t="n">
        <v>1</v>
      </c>
      <c r="H1869" s="7" t="n">
        <v>19.9</v>
      </c>
      <c r="I1869" s="7" t="n">
        <v>0</v>
      </c>
      <c r="J1869" s="7" t="n">
        <v>0</v>
      </c>
      <c r="K1869" s="9" t="n">
        <v>0</v>
      </c>
      <c r="L1869" s="10" t="n">
        <v>11.8</v>
      </c>
      <c r="M1869" s="10" t="n">
        <v>1.43</v>
      </c>
      <c r="N1869" t="inlineStr">
        <is>
          <t>1</t>
        </is>
      </c>
      <c r="O1869" t="inlineStr">
        <is>
          <t xml:space="preserve">2 </t>
        </is>
      </c>
      <c r="P1869" t="inlineStr">
        <is>
          <t xml:space="preserve">57461   </t>
        </is>
      </c>
      <c r="Q1869" s="26" t="n">
        <v>11.81</v>
      </c>
      <c r="R1869" s="26">
        <f>Q1869*G1869</f>
        <v/>
      </c>
      <c r="S1869" s="26">
        <f>IFERROR(VLOOKUP(E1869*1,Tabla[#All],8,0),0)</f>
        <v/>
      </c>
      <c r="T1869" s="26">
        <f>S1869*G1869</f>
        <v/>
      </c>
      <c r="U1869" s="26">
        <f>R1869-T1869</f>
        <v/>
      </c>
      <c r="V1869" s="26">
        <f>U1869-L1869</f>
        <v/>
      </c>
    </row>
    <row r="1870">
      <c r="A1870" s="11" t="n">
        <v>46221</v>
      </c>
      <c r="B1870" s="1" t="n">
        <v>20095</v>
      </c>
      <c r="C1870" s="1" t="inlineStr">
        <is>
          <t>043</t>
        </is>
      </c>
      <c r="D1870" s="1" t="inlineStr">
        <is>
          <t>107988</t>
        </is>
      </c>
      <c r="E1870" s="1" t="inlineStr">
        <is>
          <t xml:space="preserve">30232284       </t>
        </is>
      </c>
      <c r="F1870" s="5" t="inlineStr">
        <is>
          <t>INFINITY NADO TROMPO DE BATALLA - METAL C/PUNTA DE</t>
        </is>
      </c>
      <c r="G1870" t="n">
        <v>1</v>
      </c>
      <c r="H1870" s="7" t="n">
        <v>34.9</v>
      </c>
      <c r="I1870" s="7" t="n">
        <v>0</v>
      </c>
      <c r="J1870" s="7" t="n">
        <v>0</v>
      </c>
      <c r="K1870" s="9" t="n">
        <v>0</v>
      </c>
      <c r="L1870" s="10" t="n">
        <v>20.71</v>
      </c>
      <c r="M1870" s="10" t="n">
        <v>1.43</v>
      </c>
      <c r="N1870" t="inlineStr">
        <is>
          <t>1</t>
        </is>
      </c>
      <c r="O1870" t="inlineStr">
        <is>
          <t xml:space="preserve">2 </t>
        </is>
      </c>
      <c r="P1870" t="inlineStr">
        <is>
          <t xml:space="preserve">57461   </t>
        </is>
      </c>
      <c r="Q1870" s="26" t="n">
        <v>29.6</v>
      </c>
      <c r="R1870" s="26">
        <f>Q1870*G1870</f>
        <v/>
      </c>
      <c r="S1870" s="26">
        <f>IFERROR(VLOOKUP(E1870*1,Tabla[#All],8,0),0)</f>
        <v/>
      </c>
      <c r="T1870" s="26">
        <f>S1870*G1870</f>
        <v/>
      </c>
      <c r="U1870" s="26">
        <f>R1870-T1870</f>
        <v/>
      </c>
      <c r="V1870" s="26">
        <f>U1870-L1870</f>
        <v/>
      </c>
    </row>
    <row r="1871">
      <c r="A1871" s="11" t="n">
        <v>46221</v>
      </c>
      <c r="B1871" s="1" t="n">
        <v>20095</v>
      </c>
      <c r="C1871" s="1" t="inlineStr">
        <is>
          <t>043</t>
        </is>
      </c>
      <c r="D1871" s="1" t="inlineStr">
        <is>
          <t>108035</t>
        </is>
      </c>
      <c r="E1871" s="1" t="inlineStr">
        <is>
          <t xml:space="preserve">28194768       </t>
        </is>
      </c>
      <c r="F1871" s="5" t="inlineStr">
        <is>
          <t>AUTO COLOR CHANGE TEAMSTERZ SURTIDO</t>
        </is>
      </c>
      <c r="G1871" t="n">
        <v>1</v>
      </c>
      <c r="H1871" s="7" t="n">
        <v>14.9</v>
      </c>
      <c r="I1871" s="7" t="n">
        <v>0</v>
      </c>
      <c r="J1871" s="7" t="n">
        <v>0</v>
      </c>
      <c r="K1871" s="9" t="n">
        <v>0</v>
      </c>
      <c r="L1871" s="10" t="n">
        <v>8.84</v>
      </c>
      <c r="M1871" s="10" t="n">
        <v>1.43</v>
      </c>
      <c r="N1871" t="inlineStr">
        <is>
          <t>1</t>
        </is>
      </c>
      <c r="O1871" t="inlineStr">
        <is>
          <t>16</t>
        </is>
      </c>
      <c r="P1871" t="inlineStr">
        <is>
          <t xml:space="preserve">57461   </t>
        </is>
      </c>
      <c r="Q1871" s="26" t="n">
        <v>8.84</v>
      </c>
      <c r="R1871" s="26">
        <f>Q1871*G1871</f>
        <v/>
      </c>
      <c r="S1871" s="26">
        <f>IFERROR(VLOOKUP(E1871*1,Tabla[#All],8,0),0)</f>
        <v/>
      </c>
      <c r="T1871" s="26">
        <f>S1871*G1871</f>
        <v/>
      </c>
      <c r="U1871" s="26">
        <f>R1871-T1871</f>
        <v/>
      </c>
      <c r="V1871" s="26">
        <f>U1871-L1871</f>
        <v/>
      </c>
    </row>
    <row r="1872">
      <c r="A1872" s="11" t="n">
        <v>46221</v>
      </c>
      <c r="B1872" s="1" t="n">
        <v>20095</v>
      </c>
      <c r="C1872" s="1" t="inlineStr">
        <is>
          <t>043</t>
        </is>
      </c>
      <c r="D1872" s="1" t="inlineStr">
        <is>
          <t>108035</t>
        </is>
      </c>
      <c r="E1872" s="1" t="inlineStr">
        <is>
          <t xml:space="preserve">28194768       </t>
        </is>
      </c>
      <c r="F1872" s="5" t="inlineStr">
        <is>
          <t>AUTO COLOR CHANGE TEAMSTERZ SURTIDO</t>
        </is>
      </c>
      <c r="G1872" t="n">
        <v>1</v>
      </c>
      <c r="H1872" s="7" t="n">
        <v>14.9</v>
      </c>
      <c r="I1872" s="7" t="n">
        <v>0</v>
      </c>
      <c r="J1872" s="7" t="n">
        <v>0</v>
      </c>
      <c r="K1872" s="9" t="n">
        <v>0</v>
      </c>
      <c r="L1872" s="10" t="n">
        <v>8.84</v>
      </c>
      <c r="M1872" s="10" t="n">
        <v>1.43</v>
      </c>
      <c r="N1872" t="inlineStr">
        <is>
          <t>1</t>
        </is>
      </c>
      <c r="O1872" t="inlineStr">
        <is>
          <t>16</t>
        </is>
      </c>
      <c r="P1872" t="inlineStr">
        <is>
          <t xml:space="preserve">57461   </t>
        </is>
      </c>
      <c r="Q1872" s="26" t="n">
        <v>8.84</v>
      </c>
      <c r="R1872" s="26">
        <f>Q1872*G1872</f>
        <v/>
      </c>
      <c r="S1872" s="26">
        <f>IFERROR(VLOOKUP(E1872*1,Tabla[#All],8,0),0)</f>
        <v/>
      </c>
      <c r="T1872" s="26">
        <f>S1872*G1872</f>
        <v/>
      </c>
      <c r="U1872" s="26">
        <f>R1872-T1872</f>
        <v/>
      </c>
      <c r="V1872" s="26">
        <f>U1872-L1872</f>
        <v/>
      </c>
    </row>
    <row r="1873">
      <c r="A1873" s="11" t="n">
        <v>46221</v>
      </c>
      <c r="B1873" s="1" t="n">
        <v>20095</v>
      </c>
      <c r="C1873" s="1" t="inlineStr">
        <is>
          <t>043</t>
        </is>
      </c>
      <c r="D1873" s="1" t="inlineStr">
        <is>
          <t>108068</t>
        </is>
      </c>
      <c r="E1873" s="1" t="inlineStr">
        <is>
          <t xml:space="preserve">30141766       </t>
        </is>
      </c>
      <c r="F1873" s="5" t="inlineStr">
        <is>
          <t>TMZ BEAST MACHINES AUTOS DE METAL BLISTER X 1</t>
        </is>
      </c>
      <c r="G1873" t="n">
        <v>1</v>
      </c>
      <c r="H1873" s="7" t="n">
        <v>7.9</v>
      </c>
      <c r="I1873" s="7" t="n">
        <v>0</v>
      </c>
      <c r="J1873" s="7" t="n">
        <v>0</v>
      </c>
      <c r="K1873" s="9" t="n">
        <v>0</v>
      </c>
      <c r="L1873" s="10" t="n">
        <v>4.68</v>
      </c>
      <c r="M1873" s="10" t="n">
        <v>1.43</v>
      </c>
      <c r="N1873" t="inlineStr">
        <is>
          <t>1</t>
        </is>
      </c>
      <c r="O1873" t="inlineStr">
        <is>
          <t>16</t>
        </is>
      </c>
      <c r="P1873" t="inlineStr">
        <is>
          <t xml:space="preserve">57461   </t>
        </is>
      </c>
      <c r="Q1873" s="26" t="n">
        <v>4.69</v>
      </c>
      <c r="R1873" s="26">
        <f>Q1873*G1873</f>
        <v/>
      </c>
      <c r="S1873" s="26">
        <f>IFERROR(VLOOKUP(E1873*1,Tabla[#All],8,0),0)</f>
        <v/>
      </c>
      <c r="T1873" s="26">
        <f>S1873*G1873</f>
        <v/>
      </c>
      <c r="U1873" s="26">
        <f>R1873-T1873</f>
        <v/>
      </c>
      <c r="V1873" s="26">
        <f>U1873-L1873</f>
        <v/>
      </c>
    </row>
    <row r="1874">
      <c r="A1874" s="11" t="n">
        <v>46221</v>
      </c>
      <c r="B1874" s="1" t="n">
        <v>20095</v>
      </c>
      <c r="C1874" s="1" t="inlineStr">
        <is>
          <t>044</t>
        </is>
      </c>
      <c r="D1874" s="1" t="inlineStr">
        <is>
          <t xml:space="preserve">94096 </t>
        </is>
      </c>
      <c r="E1874" s="1" t="inlineStr">
        <is>
          <t xml:space="preserve">33661538       </t>
        </is>
      </c>
      <c r="F1874" s="5" t="inlineStr">
        <is>
          <t>HOT WHEELS CASE GARAGE RUEDA METAL EN LLAMAS X 29</t>
        </is>
      </c>
      <c r="G1874" t="n">
        <v>1</v>
      </c>
      <c r="H1874" s="7" t="n">
        <v>69.90000000000001</v>
      </c>
      <c r="I1874" s="7" t="n">
        <v>0</v>
      </c>
      <c r="J1874" s="7" t="n">
        <v>0</v>
      </c>
      <c r="K1874" s="9" t="n">
        <v>0</v>
      </c>
      <c r="L1874" s="10" t="n">
        <v>41.47</v>
      </c>
      <c r="M1874" s="10" t="n">
        <v>1.43</v>
      </c>
      <c r="N1874" t="inlineStr">
        <is>
          <t>1</t>
        </is>
      </c>
      <c r="O1874" t="inlineStr">
        <is>
          <t>16</t>
        </is>
      </c>
      <c r="P1874" t="inlineStr">
        <is>
          <t xml:space="preserve">248989  </t>
        </is>
      </c>
      <c r="Q1874" s="26" t="n">
        <v>41.47</v>
      </c>
      <c r="R1874" s="26">
        <f>Q1874*G1874</f>
        <v/>
      </c>
      <c r="S1874" s="26">
        <f>IFERROR(VLOOKUP(E1874*1,Tabla[#All],8,0),0)</f>
        <v/>
      </c>
      <c r="T1874" s="26">
        <f>S1874*G1874</f>
        <v/>
      </c>
      <c r="U1874" s="26">
        <f>R1874-T1874</f>
        <v/>
      </c>
      <c r="V1874" s="26">
        <f>U1874-L1874</f>
        <v/>
      </c>
    </row>
    <row r="1875">
      <c r="A1875" s="11" t="n">
        <v>46221</v>
      </c>
      <c r="B1875" s="1" t="n">
        <v>20095</v>
      </c>
      <c r="C1875" s="1" t="inlineStr">
        <is>
          <t>044</t>
        </is>
      </c>
      <c r="D1875" s="1" t="inlineStr">
        <is>
          <t xml:space="preserve">94104 </t>
        </is>
      </c>
      <c r="E1875" s="1" t="inlineStr">
        <is>
          <t xml:space="preserve">28194770       </t>
        </is>
      </c>
      <c r="F1875" s="5" t="inlineStr">
        <is>
          <t>AUTOS DE METAL 3 TEAMSTERZ EN BLISTER</t>
        </is>
      </c>
      <c r="G1875" t="n">
        <v>1</v>
      </c>
      <c r="H1875" s="7" t="n">
        <v>6.9</v>
      </c>
      <c r="I1875" s="7" t="n">
        <v>0</v>
      </c>
      <c r="J1875" s="7" t="n">
        <v>0</v>
      </c>
      <c r="K1875" s="9" t="n">
        <v>0</v>
      </c>
      <c r="L1875" s="10" t="n">
        <v>4.1</v>
      </c>
      <c r="M1875" s="10" t="n">
        <v>1.43</v>
      </c>
      <c r="N1875" t="inlineStr">
        <is>
          <t>1</t>
        </is>
      </c>
      <c r="O1875" t="inlineStr">
        <is>
          <t>16</t>
        </is>
      </c>
      <c r="P1875" t="inlineStr">
        <is>
          <t xml:space="preserve">248989  </t>
        </is>
      </c>
      <c r="Q1875" s="26" t="n">
        <v>4.09</v>
      </c>
      <c r="R1875" s="26">
        <f>Q1875*G1875</f>
        <v/>
      </c>
      <c r="S1875" s="26">
        <f>IFERROR(VLOOKUP(E1875*1,Tabla[#All],8,0),0)</f>
        <v/>
      </c>
      <c r="T1875" s="26">
        <f>S1875*G1875</f>
        <v/>
      </c>
      <c r="U1875" s="26">
        <f>R1875-T1875</f>
        <v/>
      </c>
      <c r="V1875" s="26">
        <f>U1875-L1875</f>
        <v/>
      </c>
    </row>
    <row r="1876">
      <c r="A1876" s="11" t="n">
        <v>46221</v>
      </c>
      <c r="B1876" s="1" t="n">
        <v>20095</v>
      </c>
      <c r="C1876" s="1" t="inlineStr">
        <is>
          <t>044</t>
        </is>
      </c>
      <c r="D1876" s="1" t="inlineStr">
        <is>
          <t xml:space="preserve">94104 </t>
        </is>
      </c>
      <c r="E1876" s="1" t="inlineStr">
        <is>
          <t xml:space="preserve">28194770       </t>
        </is>
      </c>
      <c r="F1876" s="5" t="inlineStr">
        <is>
          <t>AUTOS DE METAL 3 TEAMSTERZ EN BLISTER</t>
        </is>
      </c>
      <c r="G1876" t="n">
        <v>1</v>
      </c>
      <c r="H1876" s="7" t="n">
        <v>6.9</v>
      </c>
      <c r="I1876" s="7" t="n">
        <v>0</v>
      </c>
      <c r="J1876" s="7" t="n">
        <v>0</v>
      </c>
      <c r="K1876" s="9" t="n">
        <v>0</v>
      </c>
      <c r="L1876" s="10" t="n">
        <v>4.1</v>
      </c>
      <c r="M1876" s="10" t="n">
        <v>1.43</v>
      </c>
      <c r="N1876" t="inlineStr">
        <is>
          <t>1</t>
        </is>
      </c>
      <c r="O1876" t="inlineStr">
        <is>
          <t>16</t>
        </is>
      </c>
      <c r="P1876" t="inlineStr">
        <is>
          <t xml:space="preserve">248989  </t>
        </is>
      </c>
      <c r="Q1876" s="26" t="n">
        <v>4.09</v>
      </c>
      <c r="R1876" s="26">
        <f>Q1876*G1876</f>
        <v/>
      </c>
      <c r="S1876" s="26">
        <f>IFERROR(VLOOKUP(E1876*1,Tabla[#All],8,0),0)</f>
        <v/>
      </c>
      <c r="T1876" s="26">
        <f>S1876*G1876</f>
        <v/>
      </c>
      <c r="U1876" s="26">
        <f>R1876-T1876</f>
        <v/>
      </c>
      <c r="V1876" s="26">
        <f>U1876-L1876</f>
        <v/>
      </c>
    </row>
    <row r="1877">
      <c r="A1877" s="11" t="n">
        <v>46221</v>
      </c>
      <c r="B1877" s="1" t="n">
        <v>20095</v>
      </c>
      <c r="C1877" s="1" t="inlineStr">
        <is>
          <t>044</t>
        </is>
      </c>
      <c r="D1877" s="1" t="inlineStr">
        <is>
          <t xml:space="preserve">94104 </t>
        </is>
      </c>
      <c r="E1877" s="1" t="inlineStr">
        <is>
          <t xml:space="preserve">28194770       </t>
        </is>
      </c>
      <c r="F1877" s="5" t="inlineStr">
        <is>
          <t>AUTOS DE METAL 3 TEAMSTERZ EN BLISTER</t>
        </is>
      </c>
      <c r="G1877" t="n">
        <v>1</v>
      </c>
      <c r="H1877" s="7" t="n">
        <v>6.9</v>
      </c>
      <c r="I1877" s="7" t="n">
        <v>0</v>
      </c>
      <c r="J1877" s="7" t="n">
        <v>0</v>
      </c>
      <c r="K1877" s="9" t="n">
        <v>0</v>
      </c>
      <c r="L1877" s="10" t="n">
        <v>4.1</v>
      </c>
      <c r="M1877" s="10" t="n">
        <v>1.43</v>
      </c>
      <c r="N1877" t="inlineStr">
        <is>
          <t>1</t>
        </is>
      </c>
      <c r="O1877" t="inlineStr">
        <is>
          <t>16</t>
        </is>
      </c>
      <c r="P1877" t="inlineStr">
        <is>
          <t xml:space="preserve">248989  </t>
        </is>
      </c>
      <c r="Q1877" s="26" t="n">
        <v>4.09</v>
      </c>
      <c r="R1877" s="26">
        <f>Q1877*G1877</f>
        <v/>
      </c>
      <c r="S1877" s="26">
        <f>IFERROR(VLOOKUP(E1877*1,Tabla[#All],8,0),0)</f>
        <v/>
      </c>
      <c r="T1877" s="26">
        <f>S1877*G1877</f>
        <v/>
      </c>
      <c r="U1877" s="26">
        <f>R1877-T1877</f>
        <v/>
      </c>
      <c r="V1877" s="26">
        <f>U1877-L1877</f>
        <v/>
      </c>
    </row>
    <row r="1878">
      <c r="A1878" s="11" t="n">
        <v>46221</v>
      </c>
      <c r="B1878" s="1" t="n">
        <v>20095</v>
      </c>
      <c r="C1878" s="1" t="inlineStr">
        <is>
          <t>044</t>
        </is>
      </c>
      <c r="D1878" s="1" t="inlineStr">
        <is>
          <t xml:space="preserve">94133 </t>
        </is>
      </c>
      <c r="E1878" s="1" t="inlineStr">
        <is>
          <t xml:space="preserve">28194770       </t>
        </is>
      </c>
      <c r="F1878" s="5" t="inlineStr">
        <is>
          <t>AUTOS DE METAL 3 TEAMSTERZ EN BLISTER</t>
        </is>
      </c>
      <c r="G1878" t="n">
        <v>1</v>
      </c>
      <c r="H1878" s="7" t="n">
        <v>6.9</v>
      </c>
      <c r="I1878" s="7" t="n">
        <v>0</v>
      </c>
      <c r="J1878" s="7" t="n">
        <v>0</v>
      </c>
      <c r="K1878" s="9" t="n">
        <v>0</v>
      </c>
      <c r="L1878" s="10" t="n">
        <v>4.1</v>
      </c>
      <c r="M1878" s="10" t="n">
        <v>1.43</v>
      </c>
      <c r="N1878" t="inlineStr">
        <is>
          <t>1</t>
        </is>
      </c>
      <c r="O1878" t="inlineStr">
        <is>
          <t>16</t>
        </is>
      </c>
      <c r="P1878" t="inlineStr">
        <is>
          <t xml:space="preserve">248989  </t>
        </is>
      </c>
      <c r="Q1878" s="26" t="n">
        <v>4.09</v>
      </c>
      <c r="R1878" s="26">
        <f>Q1878*G1878</f>
        <v/>
      </c>
      <c r="S1878" s="26">
        <f>IFERROR(VLOOKUP(E1878*1,Tabla[#All],8,0),0)</f>
        <v/>
      </c>
      <c r="T1878" s="26">
        <f>S1878*G1878</f>
        <v/>
      </c>
      <c r="U1878" s="26">
        <f>R1878-T1878</f>
        <v/>
      </c>
      <c r="V1878" s="26">
        <f>U1878-L1878</f>
        <v/>
      </c>
    </row>
    <row r="1879">
      <c r="A1879" s="11" t="n">
        <v>46221</v>
      </c>
      <c r="B1879" s="1" t="n">
        <v>20095</v>
      </c>
      <c r="C1879" s="1" t="inlineStr">
        <is>
          <t>044</t>
        </is>
      </c>
      <c r="D1879" s="1" t="inlineStr">
        <is>
          <t xml:space="preserve">94170 </t>
        </is>
      </c>
      <c r="E1879" s="1" t="inlineStr">
        <is>
          <t xml:space="preserve">28194768       </t>
        </is>
      </c>
      <c r="F1879" s="5" t="inlineStr">
        <is>
          <t>AUTO COLOR CHANGE TEAMSTERZ SURTIDO</t>
        </is>
      </c>
      <c r="G1879" t="n">
        <v>1</v>
      </c>
      <c r="H1879" s="7" t="n">
        <v>14.9</v>
      </c>
      <c r="I1879" s="7" t="n">
        <v>0</v>
      </c>
      <c r="J1879" s="7" t="n">
        <v>0</v>
      </c>
      <c r="K1879" s="9" t="n">
        <v>0</v>
      </c>
      <c r="L1879" s="10" t="n">
        <v>8.84</v>
      </c>
      <c r="M1879" s="10" t="n">
        <v>1.43</v>
      </c>
      <c r="N1879" t="inlineStr">
        <is>
          <t>1</t>
        </is>
      </c>
      <c r="O1879" t="inlineStr">
        <is>
          <t>16</t>
        </is>
      </c>
      <c r="P1879" t="inlineStr">
        <is>
          <t xml:space="preserve">248989  </t>
        </is>
      </c>
      <c r="Q1879" s="26" t="n">
        <v>8.84</v>
      </c>
      <c r="R1879" s="26">
        <f>Q1879*G1879</f>
        <v/>
      </c>
      <c r="S1879" s="26">
        <f>IFERROR(VLOOKUP(E1879*1,Tabla[#All],8,0),0)</f>
        <v/>
      </c>
      <c r="T1879" s="26">
        <f>S1879*G1879</f>
        <v/>
      </c>
      <c r="U1879" s="26">
        <f>R1879-T1879</f>
        <v/>
      </c>
      <c r="V1879" s="26">
        <f>U1879-L1879</f>
        <v/>
      </c>
    </row>
    <row r="1880">
      <c r="A1880" s="11" t="n">
        <v>46221</v>
      </c>
      <c r="B1880" s="1" t="n">
        <v>20095</v>
      </c>
      <c r="C1880" s="1" t="inlineStr">
        <is>
          <t>522</t>
        </is>
      </c>
      <c r="D1880" s="1" t="inlineStr">
        <is>
          <t xml:space="preserve">3730  </t>
        </is>
      </c>
      <c r="E1880" s="1" t="inlineStr">
        <is>
          <t xml:space="preserve">28194770       </t>
        </is>
      </c>
      <c r="F1880" s="5" t="inlineStr">
        <is>
          <t>AUTOS DE METAL 3 TEAMSTERZ EN BLISTER</t>
        </is>
      </c>
      <c r="G1880" t="n">
        <v>1</v>
      </c>
      <c r="H1880" s="7" t="n">
        <v>6.9</v>
      </c>
      <c r="I1880" s="7" t="n">
        <v>0.6899999999999999</v>
      </c>
      <c r="J1880" s="7" t="n">
        <v>0</v>
      </c>
      <c r="K1880" s="9" t="n">
        <v>0.6899999999999999</v>
      </c>
      <c r="L1880" s="10" t="n">
        <v>3.68</v>
      </c>
      <c r="M1880" s="10" t="n">
        <v>1.43</v>
      </c>
      <c r="N1880" t="inlineStr">
        <is>
          <t>1</t>
        </is>
      </c>
      <c r="O1880" t="inlineStr">
        <is>
          <t>16</t>
        </is>
      </c>
      <c r="P1880" t="inlineStr">
        <is>
          <t xml:space="preserve">242414  </t>
        </is>
      </c>
      <c r="Q1880" s="26" t="n">
        <v>4.09</v>
      </c>
      <c r="R1880" s="26">
        <f>Q1880*G1880</f>
        <v/>
      </c>
      <c r="S1880" s="26">
        <f>IFERROR(VLOOKUP(E1880*1,Tabla[#All],8,0),0)</f>
        <v/>
      </c>
      <c r="T1880" s="26">
        <f>S1880*G1880</f>
        <v/>
      </c>
      <c r="U1880" s="26">
        <f>R1880-T1880</f>
        <v/>
      </c>
      <c r="V1880" s="26">
        <f>U1880-L1880</f>
        <v/>
      </c>
    </row>
    <row r="1881">
      <c r="A1881" s="11" t="n">
        <v>46221</v>
      </c>
      <c r="B1881" s="1" t="n">
        <v>20095</v>
      </c>
      <c r="C1881" s="1" t="inlineStr">
        <is>
          <t>522</t>
        </is>
      </c>
      <c r="D1881" s="1" t="inlineStr">
        <is>
          <t xml:space="preserve">3743  </t>
        </is>
      </c>
      <c r="E1881" s="1" t="inlineStr">
        <is>
          <t xml:space="preserve">28194780       </t>
        </is>
      </c>
      <c r="F1881" s="5" t="inlineStr">
        <is>
          <t>TROMPO BATALLA INFINITY NADO PLSTICO SURTIDO</t>
        </is>
      </c>
      <c r="G1881" t="n">
        <v>1</v>
      </c>
      <c r="H1881" s="7" t="n">
        <v>19.9</v>
      </c>
      <c r="I1881" s="7" t="n">
        <v>0</v>
      </c>
      <c r="J1881" s="7" t="n">
        <v>0</v>
      </c>
      <c r="K1881" s="9" t="n">
        <v>0</v>
      </c>
      <c r="L1881" s="10" t="n">
        <v>11.8</v>
      </c>
      <c r="M1881" s="10" t="n">
        <v>1.43</v>
      </c>
      <c r="N1881" t="inlineStr">
        <is>
          <t>1</t>
        </is>
      </c>
      <c r="O1881" t="inlineStr">
        <is>
          <t>16</t>
        </is>
      </c>
      <c r="P1881" t="inlineStr">
        <is>
          <t xml:space="preserve">242414  </t>
        </is>
      </c>
      <c r="Q1881" s="26" t="n">
        <v>11.81</v>
      </c>
      <c r="R1881" s="26">
        <f>Q1881*G1881</f>
        <v/>
      </c>
      <c r="S1881" s="26">
        <f>IFERROR(VLOOKUP(E1881*1,Tabla[#All],8,0),0)</f>
        <v/>
      </c>
      <c r="T1881" s="26">
        <f>S1881*G1881</f>
        <v/>
      </c>
      <c r="U1881" s="26">
        <f>R1881-T1881</f>
        <v/>
      </c>
      <c r="V1881" s="26">
        <f>U1881-L1881</f>
        <v/>
      </c>
    </row>
    <row r="1882">
      <c r="A1882" s="11" t="n">
        <v>46222</v>
      </c>
      <c r="B1882" s="1" t="n">
        <v>20021</v>
      </c>
      <c r="C1882" s="1" t="inlineStr">
        <is>
          <t>055</t>
        </is>
      </c>
      <c r="D1882" s="1" t="inlineStr">
        <is>
          <t>155219</t>
        </is>
      </c>
      <c r="E1882" s="1" t="inlineStr">
        <is>
          <t xml:space="preserve">34840551       </t>
        </is>
      </c>
      <c r="F1882" s="5" t="inlineStr">
        <is>
          <t>TMZ HELI BOMBERO CON LUCES Y SONIDOS</t>
        </is>
      </c>
      <c r="G1882" t="n">
        <v>1</v>
      </c>
      <c r="H1882" s="7" t="n">
        <v>79.90000000000001</v>
      </c>
      <c r="I1882" s="7" t="n">
        <v>0</v>
      </c>
      <c r="J1882" s="7" t="n">
        <v>0</v>
      </c>
      <c r="K1882" s="9" t="n">
        <v>0</v>
      </c>
      <c r="L1882" s="10" t="n">
        <v>47.4</v>
      </c>
      <c r="M1882" s="10" t="n">
        <v>1.43</v>
      </c>
      <c r="N1882" t="inlineStr">
        <is>
          <t>1</t>
        </is>
      </c>
      <c r="O1882" t="inlineStr">
        <is>
          <t>16</t>
        </is>
      </c>
      <c r="P1882" t="inlineStr">
        <is>
          <t xml:space="preserve">42013   </t>
        </is>
      </c>
      <c r="Q1882" s="26" t="n">
        <v>47.4</v>
      </c>
      <c r="R1882" s="26">
        <f>Q1882*G1882</f>
        <v/>
      </c>
      <c r="S1882" s="26">
        <f>IFERROR(VLOOKUP(E1882*1,Tabla[#All],8,0),0)</f>
        <v/>
      </c>
      <c r="T1882" s="26">
        <f>S1882*G1882</f>
        <v/>
      </c>
      <c r="U1882" s="26">
        <f>R1882-T1882</f>
        <v/>
      </c>
      <c r="V1882" s="26">
        <f>U1882-L1882</f>
        <v/>
      </c>
    </row>
    <row r="1883">
      <c r="A1883" s="11" t="n">
        <v>46222</v>
      </c>
      <c r="B1883" s="1" t="n">
        <v>20021</v>
      </c>
      <c r="C1883" s="1" t="inlineStr">
        <is>
          <t>055</t>
        </is>
      </c>
      <c r="D1883" s="1" t="inlineStr">
        <is>
          <t>155290</t>
        </is>
      </c>
      <c r="E1883" s="1" t="inlineStr">
        <is>
          <t xml:space="preserve">28194770       </t>
        </is>
      </c>
      <c r="F1883" s="5" t="inlineStr">
        <is>
          <t>AUTOS DE METAL 3 TEAMSTERZ EN BLISTER</t>
        </is>
      </c>
      <c r="G1883" t="n">
        <v>1</v>
      </c>
      <c r="H1883" s="7" t="n">
        <v>6.9</v>
      </c>
      <c r="I1883" s="7" t="n">
        <v>0</v>
      </c>
      <c r="J1883" s="7" t="n">
        <v>0</v>
      </c>
      <c r="K1883" s="9" t="n">
        <v>0</v>
      </c>
      <c r="L1883" s="10" t="n">
        <v>4.1</v>
      </c>
      <c r="M1883" s="10" t="n">
        <v>1.43</v>
      </c>
      <c r="N1883" t="inlineStr">
        <is>
          <t>1</t>
        </is>
      </c>
      <c r="O1883" t="inlineStr">
        <is>
          <t>16</t>
        </is>
      </c>
      <c r="P1883" t="inlineStr">
        <is>
          <t xml:space="preserve">42013   </t>
        </is>
      </c>
      <c r="Q1883" s="26" t="n">
        <v>4.09</v>
      </c>
      <c r="R1883" s="26">
        <f>Q1883*G1883</f>
        <v/>
      </c>
      <c r="S1883" s="26">
        <f>IFERROR(VLOOKUP(E1883*1,Tabla[#All],8,0),0)</f>
        <v/>
      </c>
      <c r="T1883" s="26">
        <f>S1883*G1883</f>
        <v/>
      </c>
      <c r="U1883" s="26">
        <f>R1883-T1883</f>
        <v/>
      </c>
      <c r="V1883" s="26">
        <f>U1883-L1883</f>
        <v/>
      </c>
    </row>
    <row r="1884">
      <c r="A1884" s="11" t="n">
        <v>46222</v>
      </c>
      <c r="B1884" s="1" t="n">
        <v>20021</v>
      </c>
      <c r="C1884" s="1" t="inlineStr">
        <is>
          <t>055</t>
        </is>
      </c>
      <c r="D1884" s="1" t="inlineStr">
        <is>
          <t>155290</t>
        </is>
      </c>
      <c r="E1884" s="1" t="inlineStr">
        <is>
          <t xml:space="preserve">28194770       </t>
        </is>
      </c>
      <c r="F1884" s="5" t="inlineStr">
        <is>
          <t>AUTOS DE METAL 3 TEAMSTERZ EN BLISTER</t>
        </is>
      </c>
      <c r="G1884" t="n">
        <v>1</v>
      </c>
      <c r="H1884" s="7" t="n">
        <v>6.9</v>
      </c>
      <c r="I1884" s="7" t="n">
        <v>0</v>
      </c>
      <c r="J1884" s="7" t="n">
        <v>0</v>
      </c>
      <c r="K1884" s="9" t="n">
        <v>0</v>
      </c>
      <c r="L1884" s="10" t="n">
        <v>4.1</v>
      </c>
      <c r="M1884" s="10" t="n">
        <v>1.43</v>
      </c>
      <c r="N1884" t="inlineStr">
        <is>
          <t>1</t>
        </is>
      </c>
      <c r="O1884" t="inlineStr">
        <is>
          <t>16</t>
        </is>
      </c>
      <c r="P1884" t="inlineStr">
        <is>
          <t xml:space="preserve">42013   </t>
        </is>
      </c>
      <c r="Q1884" s="26" t="n">
        <v>4.09</v>
      </c>
      <c r="R1884" s="26">
        <f>Q1884*G1884</f>
        <v/>
      </c>
      <c r="S1884" s="26">
        <f>IFERROR(VLOOKUP(E1884*1,Tabla[#All],8,0),0)</f>
        <v/>
      </c>
      <c r="T1884" s="26">
        <f>S1884*G1884</f>
        <v/>
      </c>
      <c r="U1884" s="26">
        <f>R1884-T1884</f>
        <v/>
      </c>
      <c r="V1884" s="26">
        <f>U1884-L1884</f>
        <v/>
      </c>
    </row>
    <row r="1885">
      <c r="A1885" s="11" t="n">
        <v>46222</v>
      </c>
      <c r="B1885" s="1" t="n">
        <v>20021</v>
      </c>
      <c r="C1885" s="1" t="inlineStr">
        <is>
          <t>069</t>
        </is>
      </c>
      <c r="D1885" s="1" t="inlineStr">
        <is>
          <t>129847</t>
        </is>
      </c>
      <c r="E1885" s="1" t="inlineStr">
        <is>
          <t xml:space="preserve">28194780       </t>
        </is>
      </c>
      <c r="F1885" s="5" t="inlineStr">
        <is>
          <t>TROMPO BATALLA INFINITY NADO PLSTICO SURTIDO</t>
        </is>
      </c>
      <c r="G1885" t="n">
        <v>1</v>
      </c>
      <c r="H1885" s="7" t="n">
        <v>19.9</v>
      </c>
      <c r="I1885" s="7" t="n">
        <v>0</v>
      </c>
      <c r="J1885" s="7" t="n">
        <v>0</v>
      </c>
      <c r="K1885" s="9" t="n">
        <v>0</v>
      </c>
      <c r="L1885" s="10" t="n">
        <v>11.8</v>
      </c>
      <c r="M1885" s="10" t="n">
        <v>1.43</v>
      </c>
      <c r="N1885" t="inlineStr">
        <is>
          <t>1</t>
        </is>
      </c>
      <c r="O1885" t="inlineStr">
        <is>
          <t>16</t>
        </is>
      </c>
      <c r="P1885" t="inlineStr">
        <is>
          <t xml:space="preserve">235838  </t>
        </is>
      </c>
      <c r="Q1885" s="26" t="n">
        <v>11.81</v>
      </c>
      <c r="R1885" s="26">
        <f>Q1885*G1885</f>
        <v/>
      </c>
      <c r="S1885" s="26">
        <f>IFERROR(VLOOKUP(E1885*1,Tabla[#All],8,0),0)</f>
        <v/>
      </c>
      <c r="T1885" s="26">
        <f>S1885*G1885</f>
        <v/>
      </c>
      <c r="U1885" s="26">
        <f>R1885-T1885</f>
        <v/>
      </c>
      <c r="V1885" s="26">
        <f>U1885-L1885</f>
        <v/>
      </c>
    </row>
    <row r="1886">
      <c r="A1886" s="11" t="n">
        <v>46222</v>
      </c>
      <c r="B1886" s="1" t="n">
        <v>20021</v>
      </c>
      <c r="C1886" s="1" t="inlineStr">
        <is>
          <t>082</t>
        </is>
      </c>
      <c r="D1886" s="1" t="inlineStr">
        <is>
          <t>270456</t>
        </is>
      </c>
      <c r="E1886" s="1" t="inlineStr">
        <is>
          <t xml:space="preserve">28194780       </t>
        </is>
      </c>
      <c r="F1886" s="5" t="inlineStr">
        <is>
          <t>TROMPO BATALLA INFINITY NADO PLSTICO SURTIDO</t>
        </is>
      </c>
      <c r="G1886" t="n">
        <v>1</v>
      </c>
      <c r="H1886" s="7" t="n">
        <v>19.9</v>
      </c>
      <c r="I1886" s="7" t="n">
        <v>0</v>
      </c>
      <c r="J1886" s="7" t="n">
        <v>0</v>
      </c>
      <c r="K1886" s="9" t="n">
        <v>0</v>
      </c>
      <c r="L1886" s="10" t="n">
        <v>11.8</v>
      </c>
      <c r="M1886" s="10" t="n">
        <v>1.43</v>
      </c>
      <c r="N1886" t="inlineStr">
        <is>
          <t>1</t>
        </is>
      </c>
      <c r="O1886" t="inlineStr">
        <is>
          <t>16</t>
        </is>
      </c>
      <c r="P1886" t="inlineStr">
        <is>
          <t xml:space="preserve">249982  </t>
        </is>
      </c>
      <c r="Q1886" s="26" t="n">
        <v>11.81</v>
      </c>
      <c r="R1886" s="26">
        <f>Q1886*G1886</f>
        <v/>
      </c>
      <c r="S1886" s="26">
        <f>IFERROR(VLOOKUP(E1886*1,Tabla[#All],8,0),0)</f>
        <v/>
      </c>
      <c r="T1886" s="26">
        <f>S1886*G1886</f>
        <v/>
      </c>
      <c r="U1886" s="26">
        <f>R1886-T1886</f>
        <v/>
      </c>
      <c r="V1886" s="26">
        <f>U1886-L1886</f>
        <v/>
      </c>
    </row>
    <row r="1887">
      <c r="A1887" s="11" t="n">
        <v>46222</v>
      </c>
      <c r="B1887" s="1" t="n">
        <v>20021</v>
      </c>
      <c r="C1887" s="1" t="inlineStr">
        <is>
          <t>082</t>
        </is>
      </c>
      <c r="D1887" s="1" t="inlineStr">
        <is>
          <t>270470</t>
        </is>
      </c>
      <c r="E1887" s="1" t="inlineStr">
        <is>
          <t xml:space="preserve">28194781       </t>
        </is>
      </c>
      <c r="F1887" s="5" t="inlineStr">
        <is>
          <t>TROMPO BATALLA INFINITY NADO SERIE V CLASICA SURTI</t>
        </is>
      </c>
      <c r="G1887" t="n">
        <v>1</v>
      </c>
      <c r="H1887" s="7" t="n">
        <v>39.9</v>
      </c>
      <c r="I1887" s="7" t="n">
        <v>3.99</v>
      </c>
      <c r="J1887" s="7" t="n">
        <v>0</v>
      </c>
      <c r="K1887" s="9" t="n">
        <v>3.99</v>
      </c>
      <c r="L1887" s="10" t="n">
        <v>21.3</v>
      </c>
      <c r="M1887" s="10" t="n">
        <v>1.43</v>
      </c>
      <c r="N1887" t="inlineStr">
        <is>
          <t>1</t>
        </is>
      </c>
      <c r="O1887" t="inlineStr">
        <is>
          <t xml:space="preserve">3 </t>
        </is>
      </c>
      <c r="P1887" t="inlineStr">
        <is>
          <t xml:space="preserve">249982  </t>
        </is>
      </c>
      <c r="Q1887" s="26" t="n">
        <v>35.53</v>
      </c>
      <c r="R1887" s="26">
        <f>Q1887*G1887</f>
        <v/>
      </c>
      <c r="S1887" s="26">
        <f>IFERROR(VLOOKUP(E1887*1,Tabla[#All],8,0),0)</f>
        <v/>
      </c>
      <c r="T1887" s="26">
        <f>S1887*G1887</f>
        <v/>
      </c>
      <c r="U1887" s="26">
        <f>R1887-T1887</f>
        <v/>
      </c>
      <c r="V1887" s="26">
        <f>U1887-L1887</f>
        <v/>
      </c>
    </row>
    <row r="1888">
      <c r="A1888" s="11" t="n">
        <v>46222</v>
      </c>
      <c r="B1888" s="1" t="n">
        <v>20023</v>
      </c>
      <c r="C1888" s="1" t="inlineStr">
        <is>
          <t>079</t>
        </is>
      </c>
      <c r="D1888" s="1" t="inlineStr">
        <is>
          <t>289786</t>
        </is>
      </c>
      <c r="E1888" s="1" t="inlineStr">
        <is>
          <t xml:space="preserve">33483121       </t>
        </is>
      </c>
      <c r="F1888" s="5" t="inlineStr">
        <is>
          <t>HOT WHEELS ESTUCHE PARA 15 AUTOS SURTIDO</t>
        </is>
      </c>
      <c r="G1888" t="n">
        <v>1</v>
      </c>
      <c r="H1888" s="7" t="n">
        <v>34.9</v>
      </c>
      <c r="I1888" s="7" t="n">
        <v>0</v>
      </c>
      <c r="J1888" s="7" t="n">
        <v>0</v>
      </c>
      <c r="K1888" s="9" t="n">
        <v>0</v>
      </c>
      <c r="L1888" s="10" t="n">
        <v>20.71</v>
      </c>
      <c r="M1888" s="10" t="n">
        <v>1.43</v>
      </c>
      <c r="N1888" t="inlineStr">
        <is>
          <t>1</t>
        </is>
      </c>
      <c r="O1888" t="inlineStr">
        <is>
          <t>16</t>
        </is>
      </c>
      <c r="P1888" t="inlineStr">
        <is>
          <t xml:space="preserve">23478   </t>
        </is>
      </c>
      <c r="Q1888" s="26" t="n">
        <v>20.7</v>
      </c>
      <c r="R1888" s="26">
        <f>Q1888*G1888</f>
        <v/>
      </c>
      <c r="S1888" s="26">
        <f>IFERROR(VLOOKUP(E1888*1,Tabla[#All],8,0),0)</f>
        <v/>
      </c>
      <c r="T1888" s="26">
        <f>S1888*G1888</f>
        <v/>
      </c>
      <c r="U1888" s="26">
        <f>R1888-T1888</f>
        <v/>
      </c>
      <c r="V1888" s="26">
        <f>U1888-L1888</f>
        <v/>
      </c>
    </row>
    <row r="1889">
      <c r="A1889" s="11" t="n">
        <v>46222</v>
      </c>
      <c r="B1889" s="1" t="n">
        <v>20024</v>
      </c>
      <c r="C1889" s="1" t="inlineStr">
        <is>
          <t>015</t>
        </is>
      </c>
      <c r="D1889" s="1" t="inlineStr">
        <is>
          <t xml:space="preserve">18944 </t>
        </is>
      </c>
      <c r="E1889" s="1" t="inlineStr">
        <is>
          <t xml:space="preserve">28194768       </t>
        </is>
      </c>
      <c r="F1889" s="5" t="inlineStr">
        <is>
          <t>AUTO COLOR CHANGE TEAMSTERZ SURTIDO</t>
        </is>
      </c>
      <c r="G1889" t="n">
        <v>1</v>
      </c>
      <c r="H1889" s="7" t="n">
        <v>14.9</v>
      </c>
      <c r="I1889" s="7" t="n">
        <v>0</v>
      </c>
      <c r="J1889" s="7" t="n">
        <v>0</v>
      </c>
      <c r="K1889" s="9" t="n">
        <v>0</v>
      </c>
      <c r="L1889" s="10" t="n">
        <v>8.84</v>
      </c>
      <c r="M1889" s="10" t="n">
        <v>1.43</v>
      </c>
      <c r="N1889" t="inlineStr">
        <is>
          <t>1</t>
        </is>
      </c>
      <c r="O1889" t="inlineStr">
        <is>
          <t>16</t>
        </is>
      </c>
      <c r="P1889" t="inlineStr">
        <is>
          <t xml:space="preserve">28289   </t>
        </is>
      </c>
      <c r="Q1889" s="26" t="n">
        <v>8.84</v>
      </c>
      <c r="R1889" s="26">
        <f>Q1889*G1889</f>
        <v/>
      </c>
      <c r="S1889" s="26">
        <f>IFERROR(VLOOKUP(E1889*1,Tabla[#All],8,0),0)</f>
        <v/>
      </c>
      <c r="T1889" s="26">
        <f>S1889*G1889</f>
        <v/>
      </c>
      <c r="U1889" s="26">
        <f>R1889-T1889</f>
        <v/>
      </c>
      <c r="V1889" s="26">
        <f>U1889-L1889</f>
        <v/>
      </c>
    </row>
    <row r="1890">
      <c r="A1890" s="11" t="n">
        <v>46222</v>
      </c>
      <c r="B1890" s="1" t="n">
        <v>20024</v>
      </c>
      <c r="C1890" s="1" t="inlineStr">
        <is>
          <t>075</t>
        </is>
      </c>
      <c r="D1890" s="1" t="inlineStr">
        <is>
          <t>164013</t>
        </is>
      </c>
      <c r="E1890" s="1" t="inlineStr">
        <is>
          <t xml:space="preserve">30141766       </t>
        </is>
      </c>
      <c r="F1890" s="5" t="inlineStr">
        <is>
          <t>TMZ BEAST MACHINES AUTOS DE METAL BLISTER X 1</t>
        </is>
      </c>
      <c r="G1890" t="n">
        <v>1</v>
      </c>
      <c r="H1890" s="7" t="n">
        <v>7.9</v>
      </c>
      <c r="I1890" s="7" t="n">
        <v>0</v>
      </c>
      <c r="J1890" s="7" t="n">
        <v>0</v>
      </c>
      <c r="K1890" s="9" t="n">
        <v>0</v>
      </c>
      <c r="L1890" s="10" t="n">
        <v>4.68</v>
      </c>
      <c r="M1890" s="10" t="n">
        <v>1.43</v>
      </c>
      <c r="N1890" t="inlineStr">
        <is>
          <t>1</t>
        </is>
      </c>
      <c r="O1890" t="inlineStr">
        <is>
          <t>16</t>
        </is>
      </c>
      <c r="P1890" t="inlineStr">
        <is>
          <t xml:space="preserve">240700  </t>
        </is>
      </c>
      <c r="Q1890" s="26" t="n">
        <v>4.69</v>
      </c>
      <c r="R1890" s="26">
        <f>Q1890*G1890</f>
        <v/>
      </c>
      <c r="S1890" s="26">
        <f>IFERROR(VLOOKUP(E1890*1,Tabla[#All],8,0),0)</f>
        <v/>
      </c>
      <c r="T1890" s="26">
        <f>S1890*G1890</f>
        <v/>
      </c>
      <c r="U1890" s="26">
        <f>R1890-T1890</f>
        <v/>
      </c>
      <c r="V1890" s="26">
        <f>U1890-L1890</f>
        <v/>
      </c>
    </row>
    <row r="1891">
      <c r="A1891" s="11" t="n">
        <v>46222</v>
      </c>
      <c r="B1891" s="1" t="n">
        <v>20024</v>
      </c>
      <c r="C1891" s="1" t="inlineStr">
        <is>
          <t>075</t>
        </is>
      </c>
      <c r="D1891" s="1" t="inlineStr">
        <is>
          <t>164013</t>
        </is>
      </c>
      <c r="E1891" s="1" t="inlineStr">
        <is>
          <t xml:space="preserve">30141766       </t>
        </is>
      </c>
      <c r="F1891" s="5" t="inlineStr">
        <is>
          <t>TMZ BEAST MACHINES AUTOS DE METAL BLISTER X 1</t>
        </is>
      </c>
      <c r="G1891" t="n">
        <v>1</v>
      </c>
      <c r="H1891" s="7" t="n">
        <v>7.9</v>
      </c>
      <c r="I1891" s="7" t="n">
        <v>0</v>
      </c>
      <c r="J1891" s="7" t="n">
        <v>0</v>
      </c>
      <c r="K1891" s="9" t="n">
        <v>0</v>
      </c>
      <c r="L1891" s="10" t="n">
        <v>4.68</v>
      </c>
      <c r="M1891" s="10" t="n">
        <v>1.43</v>
      </c>
      <c r="N1891" t="inlineStr">
        <is>
          <t>1</t>
        </is>
      </c>
      <c r="O1891" t="inlineStr">
        <is>
          <t>16</t>
        </is>
      </c>
      <c r="P1891" t="inlineStr">
        <is>
          <t xml:space="preserve">240700  </t>
        </is>
      </c>
      <c r="Q1891" s="26" t="n">
        <v>4.69</v>
      </c>
      <c r="R1891" s="26">
        <f>Q1891*G1891</f>
        <v/>
      </c>
      <c r="S1891" s="26">
        <f>IFERROR(VLOOKUP(E1891*1,Tabla[#All],8,0),0)</f>
        <v/>
      </c>
      <c r="T1891" s="26">
        <f>S1891*G1891</f>
        <v/>
      </c>
      <c r="U1891" s="26">
        <f>R1891-T1891</f>
        <v/>
      </c>
      <c r="V1891" s="26">
        <f>U1891-L1891</f>
        <v/>
      </c>
    </row>
    <row r="1892">
      <c r="A1892" s="11" t="n">
        <v>46222</v>
      </c>
      <c r="B1892" s="1" t="n">
        <v>20024</v>
      </c>
      <c r="C1892" s="1" t="inlineStr">
        <is>
          <t>093</t>
        </is>
      </c>
      <c r="D1892" s="1" t="inlineStr">
        <is>
          <t>425665</t>
        </is>
      </c>
      <c r="E1892" s="1" t="inlineStr">
        <is>
          <t xml:space="preserve">30141766       </t>
        </is>
      </c>
      <c r="F1892" s="5" t="inlineStr">
        <is>
          <t>TMZ BEAST MACHINES AUTOS DE METAL BLISTER X 1</t>
        </is>
      </c>
      <c r="G1892" t="n">
        <v>1</v>
      </c>
      <c r="H1892" s="7" t="n">
        <v>7.9</v>
      </c>
      <c r="I1892" s="7" t="n">
        <v>0</v>
      </c>
      <c r="J1892" s="7" t="n">
        <v>0</v>
      </c>
      <c r="K1892" s="9" t="n">
        <v>0</v>
      </c>
      <c r="L1892" s="10" t="n">
        <v>4.68</v>
      </c>
      <c r="M1892" s="10" t="n">
        <v>1.43</v>
      </c>
      <c r="N1892" t="inlineStr">
        <is>
          <t>1</t>
        </is>
      </c>
      <c r="O1892" t="inlineStr">
        <is>
          <t>16</t>
        </is>
      </c>
      <c r="P1892" t="inlineStr">
        <is>
          <t xml:space="preserve">23463   </t>
        </is>
      </c>
      <c r="Q1892" s="26" t="n">
        <v>4.69</v>
      </c>
      <c r="R1892" s="26">
        <f>Q1892*G1892</f>
        <v/>
      </c>
      <c r="S1892" s="26">
        <f>IFERROR(VLOOKUP(E1892*1,Tabla[#All],8,0),0)</f>
        <v/>
      </c>
      <c r="T1892" s="26">
        <f>S1892*G1892</f>
        <v/>
      </c>
      <c r="U1892" s="26">
        <f>R1892-T1892</f>
        <v/>
      </c>
      <c r="V1892" s="26">
        <f>U1892-L1892</f>
        <v/>
      </c>
    </row>
    <row r="1893">
      <c r="A1893" s="11" t="n">
        <v>46222</v>
      </c>
      <c r="B1893" s="1" t="n">
        <v>20024</v>
      </c>
      <c r="C1893" s="1" t="inlineStr">
        <is>
          <t>118</t>
        </is>
      </c>
      <c r="D1893" s="1" t="inlineStr">
        <is>
          <t>255886</t>
        </is>
      </c>
      <c r="E1893" s="1" t="inlineStr">
        <is>
          <t xml:space="preserve">31046051       </t>
        </is>
      </c>
      <c r="F1893" s="5" t="inlineStr">
        <is>
          <t>RELOJ DISNEY TOY STORY</t>
        </is>
      </c>
      <c r="G1893" t="n">
        <v>1</v>
      </c>
      <c r="H1893" s="7" t="n">
        <v>18.9</v>
      </c>
      <c r="I1893" s="7" t="n">
        <v>1.89</v>
      </c>
      <c r="J1893" s="7" t="n">
        <v>0</v>
      </c>
      <c r="K1893" s="9" t="n">
        <v>1.89</v>
      </c>
      <c r="L1893" s="10" t="n">
        <v>10.09</v>
      </c>
      <c r="M1893" s="10" t="n">
        <v>1.43</v>
      </c>
      <c r="N1893" t="inlineStr">
        <is>
          <t>1</t>
        </is>
      </c>
      <c r="O1893" t="inlineStr">
        <is>
          <t xml:space="preserve">3 </t>
        </is>
      </c>
      <c r="P1893" t="inlineStr">
        <is>
          <t xml:space="preserve">43118   </t>
        </is>
      </c>
      <c r="Q1893" s="26" t="n">
        <v>11.21</v>
      </c>
      <c r="R1893" s="26">
        <f>Q1893*G1893</f>
        <v/>
      </c>
      <c r="S1893" s="26">
        <f>IFERROR(VLOOKUP(E1893*1,Tabla[#All],8,0),0)</f>
        <v/>
      </c>
      <c r="T1893" s="26">
        <f>S1893*G1893</f>
        <v/>
      </c>
      <c r="U1893" s="26">
        <f>R1893-T1893</f>
        <v/>
      </c>
      <c r="V1893" s="26">
        <f>U1893-L1893</f>
        <v/>
      </c>
    </row>
    <row r="1894">
      <c r="A1894" s="11" t="n">
        <v>46222</v>
      </c>
      <c r="B1894" s="1" t="n">
        <v>20024</v>
      </c>
      <c r="C1894" s="1" t="inlineStr">
        <is>
          <t>118</t>
        </is>
      </c>
      <c r="D1894" s="1" t="inlineStr">
        <is>
          <t>255886</t>
        </is>
      </c>
      <c r="E1894" s="1" t="inlineStr">
        <is>
          <t xml:space="preserve">31046051       </t>
        </is>
      </c>
      <c r="F1894" s="5" t="inlineStr">
        <is>
          <t>RELOJ DISNEY TOY STORY</t>
        </is>
      </c>
      <c r="G1894" t="n">
        <v>1</v>
      </c>
      <c r="H1894" s="7" t="n">
        <v>18.9</v>
      </c>
      <c r="I1894" s="7" t="n">
        <v>1.89</v>
      </c>
      <c r="J1894" s="7" t="n">
        <v>0</v>
      </c>
      <c r="K1894" s="9" t="n">
        <v>1.89</v>
      </c>
      <c r="L1894" s="10" t="n">
        <v>10.09</v>
      </c>
      <c r="M1894" s="10" t="n">
        <v>1.43</v>
      </c>
      <c r="N1894" t="inlineStr">
        <is>
          <t>1</t>
        </is>
      </c>
      <c r="O1894" t="inlineStr">
        <is>
          <t xml:space="preserve">3 </t>
        </is>
      </c>
      <c r="P1894" t="inlineStr">
        <is>
          <t xml:space="preserve">43118   </t>
        </is>
      </c>
      <c r="Q1894" s="26" t="n">
        <v>11.21</v>
      </c>
      <c r="R1894" s="26">
        <f>Q1894*G1894</f>
        <v/>
      </c>
      <c r="S1894" s="26">
        <f>IFERROR(VLOOKUP(E1894*1,Tabla[#All],8,0),0)</f>
        <v/>
      </c>
      <c r="T1894" s="26">
        <f>S1894*G1894</f>
        <v/>
      </c>
      <c r="U1894" s="26">
        <f>R1894-T1894</f>
        <v/>
      </c>
      <c r="V1894" s="26">
        <f>U1894-L1894</f>
        <v/>
      </c>
    </row>
    <row r="1895">
      <c r="A1895" s="11" t="n">
        <v>46222</v>
      </c>
      <c r="B1895" s="1" t="n">
        <v>20024</v>
      </c>
      <c r="C1895" s="1" t="inlineStr">
        <is>
          <t>807</t>
        </is>
      </c>
      <c r="D1895" s="1" t="inlineStr">
        <is>
          <t xml:space="preserve">4728  </t>
        </is>
      </c>
      <c r="E1895" s="1" t="inlineStr">
        <is>
          <t xml:space="preserve">28194769       </t>
        </is>
      </c>
      <c r="F1895" s="5" t="inlineStr">
        <is>
          <t>AUTOS DE METAL 3 TEAMSTERZ PACK DE 2</t>
        </is>
      </c>
      <c r="G1895" t="n">
        <v>1</v>
      </c>
      <c r="H1895" s="7" t="n">
        <v>13.8</v>
      </c>
      <c r="I1895" s="7" t="n">
        <v>0</v>
      </c>
      <c r="J1895" s="7" t="n">
        <v>0</v>
      </c>
      <c r="K1895" s="9" t="n">
        <v>0</v>
      </c>
      <c r="L1895" s="10" t="n">
        <v>8.18</v>
      </c>
      <c r="M1895" s="10" t="n">
        <v>1.43</v>
      </c>
      <c r="N1895" t="inlineStr">
        <is>
          <t>1</t>
        </is>
      </c>
      <c r="O1895" t="inlineStr">
        <is>
          <t>16</t>
        </is>
      </c>
      <c r="P1895" t="inlineStr">
        <is>
          <t xml:space="preserve">0       </t>
        </is>
      </c>
      <c r="Q1895" s="26" t="n">
        <v>8.19</v>
      </c>
      <c r="R1895" s="26">
        <f>Q1895*G1895</f>
        <v/>
      </c>
      <c r="S1895" s="26">
        <f>IFERROR(VLOOKUP(E1895*1,Tabla[#All],8,0),0)</f>
        <v/>
      </c>
      <c r="T1895" s="26">
        <f>S1895*G1895</f>
        <v/>
      </c>
      <c r="U1895" s="26">
        <f>R1895-T1895</f>
        <v/>
      </c>
      <c r="V1895" s="26">
        <f>U1895-L1895</f>
        <v/>
      </c>
    </row>
    <row r="1896">
      <c r="A1896" s="11" t="n">
        <v>46222</v>
      </c>
      <c r="B1896" s="1" t="n">
        <v>20025</v>
      </c>
      <c r="C1896" s="1" t="inlineStr">
        <is>
          <t>074</t>
        </is>
      </c>
      <c r="D1896" s="1" t="inlineStr">
        <is>
          <t xml:space="preserve">83219 </t>
        </is>
      </c>
      <c r="E1896" s="1" t="inlineStr">
        <is>
          <t xml:space="preserve">32457100       </t>
        </is>
      </c>
      <c r="F1896" s="5" t="inlineStr">
        <is>
          <t>TMZ BEAST MACHINES LANZADOR ESCORPION + 2 AUTOS</t>
        </is>
      </c>
      <c r="G1896" t="n">
        <v>1</v>
      </c>
      <c r="H1896" s="7" t="n">
        <v>12.9</v>
      </c>
      <c r="I1896" s="7" t="n">
        <v>1.29</v>
      </c>
      <c r="J1896" s="7" t="n">
        <v>0</v>
      </c>
      <c r="K1896" s="9" t="n">
        <v>1.29</v>
      </c>
      <c r="L1896" s="10" t="n">
        <v>6.89</v>
      </c>
      <c r="M1896" s="10" t="n">
        <v>1.43</v>
      </c>
      <c r="N1896" t="inlineStr">
        <is>
          <t>1</t>
        </is>
      </c>
      <c r="O1896" t="inlineStr">
        <is>
          <t xml:space="preserve">3 </t>
        </is>
      </c>
      <c r="P1896" t="inlineStr">
        <is>
          <t xml:space="preserve">250254  </t>
        </is>
      </c>
      <c r="Q1896" s="26" t="n">
        <v>20.7</v>
      </c>
      <c r="R1896" s="26">
        <f>Q1896*G1896</f>
        <v/>
      </c>
      <c r="S1896" s="26">
        <f>IFERROR(VLOOKUP(E1896*1,Tabla[#All],8,0),0)</f>
        <v/>
      </c>
      <c r="T1896" s="26">
        <f>S1896*G1896</f>
        <v/>
      </c>
      <c r="U1896" s="26">
        <f>R1896-T1896</f>
        <v/>
      </c>
      <c r="V1896" s="26">
        <f>U1896-L1896</f>
        <v/>
      </c>
    </row>
    <row r="1897">
      <c r="A1897" s="11" t="n">
        <v>46222</v>
      </c>
      <c r="B1897" s="1" t="n">
        <v>20025</v>
      </c>
      <c r="C1897" s="1" t="inlineStr">
        <is>
          <t>074</t>
        </is>
      </c>
      <c r="D1897" s="1" t="inlineStr">
        <is>
          <t xml:space="preserve">83221 </t>
        </is>
      </c>
      <c r="E1897" s="1" t="inlineStr">
        <is>
          <t xml:space="preserve">31959959       </t>
        </is>
      </c>
      <c r="F1897" s="5" t="inlineStr">
        <is>
          <t>TMZ CAMBIA DE COLOR LANZADOR SPIN SPLASH + 1 AUTO</t>
        </is>
      </c>
      <c r="G1897" t="n">
        <v>1</v>
      </c>
      <c r="H1897" s="7" t="n">
        <v>14.9</v>
      </c>
      <c r="I1897" s="7" t="n">
        <v>1.49</v>
      </c>
      <c r="J1897" s="7" t="n">
        <v>0</v>
      </c>
      <c r="K1897" s="9" t="n">
        <v>1.49</v>
      </c>
      <c r="L1897" s="10" t="n">
        <v>7.95</v>
      </c>
      <c r="M1897" s="10" t="n">
        <v>1.43</v>
      </c>
      <c r="N1897" t="inlineStr">
        <is>
          <t>1</t>
        </is>
      </c>
      <c r="O1897" t="inlineStr">
        <is>
          <t xml:space="preserve">3 </t>
        </is>
      </c>
      <c r="P1897" t="inlineStr">
        <is>
          <t xml:space="preserve">250254  </t>
        </is>
      </c>
      <c r="Q1897" s="26" t="n">
        <v>23.67</v>
      </c>
      <c r="R1897" s="26">
        <f>Q1897*G1897</f>
        <v/>
      </c>
      <c r="S1897" s="26">
        <f>IFERROR(VLOOKUP(E1897*1,Tabla[#All],8,0),0)</f>
        <v/>
      </c>
      <c r="T1897" s="26">
        <f>S1897*G1897</f>
        <v/>
      </c>
      <c r="U1897" s="26">
        <f>R1897-T1897</f>
        <v/>
      </c>
      <c r="V1897" s="26">
        <f>U1897-L1897</f>
        <v/>
      </c>
    </row>
    <row r="1898">
      <c r="A1898" s="11" t="n">
        <v>46222</v>
      </c>
      <c r="B1898" s="1" t="n">
        <v>20025</v>
      </c>
      <c r="C1898" s="1" t="inlineStr">
        <is>
          <t>074</t>
        </is>
      </c>
      <c r="D1898" s="1" t="inlineStr">
        <is>
          <t xml:space="preserve">83237 </t>
        </is>
      </c>
      <c r="E1898" s="1" t="inlineStr">
        <is>
          <t xml:space="preserve">34840558       </t>
        </is>
      </c>
      <c r="F1898" s="5" t="inlineStr">
        <is>
          <t>TMZ CAMBIA DE COLOR PLAYSET CALAVERA + 1 AUTO</t>
        </is>
      </c>
      <c r="G1898" t="n">
        <v>1</v>
      </c>
      <c r="H1898" s="7" t="n">
        <v>59.9</v>
      </c>
      <c r="I1898" s="7" t="n">
        <v>0</v>
      </c>
      <c r="J1898" s="7" t="n">
        <v>0</v>
      </c>
      <c r="K1898" s="9" t="n">
        <v>0</v>
      </c>
      <c r="L1898" s="10" t="n">
        <v>35.53</v>
      </c>
      <c r="M1898" s="10" t="n">
        <v>1.43</v>
      </c>
      <c r="N1898" t="inlineStr">
        <is>
          <t>1</t>
        </is>
      </c>
      <c r="O1898" t="inlineStr">
        <is>
          <t>16</t>
        </is>
      </c>
      <c r="P1898" t="inlineStr">
        <is>
          <t xml:space="preserve">250254  </t>
        </is>
      </c>
      <c r="Q1898" s="26" t="n">
        <v>58.73</v>
      </c>
      <c r="R1898" s="26">
        <f>Q1898*G1898</f>
        <v/>
      </c>
      <c r="S1898" s="26">
        <f>IFERROR(VLOOKUP(E1898*1,Tabla[#All],8,0),0)</f>
        <v/>
      </c>
      <c r="T1898" s="26">
        <f>S1898*G1898</f>
        <v/>
      </c>
      <c r="U1898" s="26">
        <f>R1898-T1898</f>
        <v/>
      </c>
      <c r="V1898" s="26">
        <f>U1898-L1898</f>
        <v/>
      </c>
    </row>
    <row r="1899">
      <c r="A1899" s="11" t="n">
        <v>46222</v>
      </c>
      <c r="B1899" s="1" t="n">
        <v>20027</v>
      </c>
      <c r="C1899" s="1" t="inlineStr">
        <is>
          <t>064</t>
        </is>
      </c>
      <c r="D1899" s="1" t="inlineStr">
        <is>
          <t xml:space="preserve">32240 </t>
        </is>
      </c>
      <c r="E1899" s="1" t="inlineStr">
        <is>
          <t xml:space="preserve">34840524       </t>
        </is>
      </c>
      <c r="F1899" s="5" t="inlineStr">
        <is>
          <t>NENUCO 5 FUNCIONES INTERACTIVAS</t>
        </is>
      </c>
      <c r="G1899" t="n">
        <v>1</v>
      </c>
      <c r="H1899" s="7" t="n">
        <v>69.90000000000001</v>
      </c>
      <c r="I1899" s="7" t="n">
        <v>0</v>
      </c>
      <c r="J1899" s="7" t="n">
        <v>0</v>
      </c>
      <c r="K1899" s="9" t="n">
        <v>0</v>
      </c>
      <c r="L1899" s="10" t="n">
        <v>41.47</v>
      </c>
      <c r="M1899" s="10" t="n">
        <v>1.43</v>
      </c>
      <c r="N1899" t="inlineStr">
        <is>
          <t>1</t>
        </is>
      </c>
      <c r="O1899" t="inlineStr">
        <is>
          <t>16</t>
        </is>
      </c>
      <c r="P1899" t="inlineStr">
        <is>
          <t xml:space="preserve">30333   </t>
        </is>
      </c>
      <c r="Q1899" s="26" t="n">
        <v>53.33</v>
      </c>
      <c r="R1899" s="26">
        <f>Q1899*G1899</f>
        <v/>
      </c>
      <c r="S1899" s="26">
        <f>IFERROR(VLOOKUP(E1899*1,Tabla[#All],8,0),0)</f>
        <v/>
      </c>
      <c r="T1899" s="26">
        <f>S1899*G1899</f>
        <v/>
      </c>
      <c r="U1899" s="26">
        <f>R1899-T1899</f>
        <v/>
      </c>
      <c r="V1899" s="26">
        <f>U1899-L1899</f>
        <v/>
      </c>
    </row>
    <row r="1900">
      <c r="A1900" s="11" t="n">
        <v>46222</v>
      </c>
      <c r="B1900" s="1" t="n">
        <v>20028</v>
      </c>
      <c r="C1900" s="1" t="inlineStr">
        <is>
          <t>011</t>
        </is>
      </c>
      <c r="D1900" s="1" t="inlineStr">
        <is>
          <t xml:space="preserve">33864 </t>
        </is>
      </c>
      <c r="E1900" s="1" t="inlineStr">
        <is>
          <t xml:space="preserve">28194769       </t>
        </is>
      </c>
      <c r="F1900" s="5" t="inlineStr">
        <is>
          <t>AUTOS DE METAL 3 TEAMSTERZ PACK DE 2</t>
        </is>
      </c>
      <c r="G1900" t="n">
        <v>1</v>
      </c>
      <c r="H1900" s="7" t="n">
        <v>13.8</v>
      </c>
      <c r="I1900" s="7" t="n">
        <v>0</v>
      </c>
      <c r="J1900" s="7" t="n">
        <v>0</v>
      </c>
      <c r="K1900" s="9" t="n">
        <v>0</v>
      </c>
      <c r="L1900" s="10" t="n">
        <v>8.18</v>
      </c>
      <c r="M1900" s="10" t="n">
        <v>1.43</v>
      </c>
      <c r="N1900" t="inlineStr">
        <is>
          <t>1</t>
        </is>
      </c>
      <c r="O1900" t="inlineStr">
        <is>
          <t>16</t>
        </is>
      </c>
      <c r="P1900" t="inlineStr">
        <is>
          <t xml:space="preserve">69765   </t>
        </is>
      </c>
      <c r="Q1900" s="26" t="n">
        <v>8.19</v>
      </c>
      <c r="R1900" s="26">
        <f>Q1900*G1900</f>
        <v/>
      </c>
      <c r="S1900" s="26">
        <f>IFERROR(VLOOKUP(E1900*1,Tabla[#All],8,0),0)</f>
        <v/>
      </c>
      <c r="T1900" s="26">
        <f>S1900*G1900</f>
        <v/>
      </c>
      <c r="U1900" s="26">
        <f>R1900-T1900</f>
        <v/>
      </c>
      <c r="V1900" s="26">
        <f>U1900-L1900</f>
        <v/>
      </c>
    </row>
    <row r="1901">
      <c r="A1901" s="11" t="n">
        <v>46222</v>
      </c>
      <c r="B1901" s="1" t="n">
        <v>20030</v>
      </c>
      <c r="C1901" s="1" t="inlineStr">
        <is>
          <t>067</t>
        </is>
      </c>
      <c r="D1901" s="1" t="inlineStr">
        <is>
          <t>274604</t>
        </is>
      </c>
      <c r="E1901" s="1" t="inlineStr">
        <is>
          <t xml:space="preserve">28194770       </t>
        </is>
      </c>
      <c r="F1901" s="5" t="inlineStr">
        <is>
          <t>AUTOS DE METAL 3 TEAMSTERZ EN BLISTER</t>
        </is>
      </c>
      <c r="G1901" t="n">
        <v>1</v>
      </c>
      <c r="H1901" s="7" t="n">
        <v>6.9</v>
      </c>
      <c r="I1901" s="7" t="n">
        <v>0</v>
      </c>
      <c r="J1901" s="7" t="n">
        <v>0</v>
      </c>
      <c r="K1901" s="9" t="n">
        <v>0</v>
      </c>
      <c r="L1901" s="10" t="n">
        <v>4.1</v>
      </c>
      <c r="M1901" s="10" t="n">
        <v>1.43</v>
      </c>
      <c r="N1901" t="inlineStr">
        <is>
          <t>1</t>
        </is>
      </c>
      <c r="O1901" t="inlineStr">
        <is>
          <t>16</t>
        </is>
      </c>
      <c r="P1901" t="inlineStr">
        <is>
          <t xml:space="preserve">44915   </t>
        </is>
      </c>
      <c r="Q1901" s="26" t="n">
        <v>4.09</v>
      </c>
      <c r="R1901" s="26">
        <f>Q1901*G1901</f>
        <v/>
      </c>
      <c r="S1901" s="26">
        <f>IFERROR(VLOOKUP(E1901*1,Tabla[#All],8,0),0)</f>
        <v/>
      </c>
      <c r="T1901" s="26">
        <f>S1901*G1901</f>
        <v/>
      </c>
      <c r="U1901" s="26">
        <f>R1901-T1901</f>
        <v/>
      </c>
      <c r="V1901" s="26">
        <f>U1901-L1901</f>
        <v/>
      </c>
    </row>
    <row r="1902">
      <c r="A1902" s="11" t="n">
        <v>46222</v>
      </c>
      <c r="B1902" s="1" t="n">
        <v>20030</v>
      </c>
      <c r="C1902" s="1" t="inlineStr">
        <is>
          <t>077</t>
        </is>
      </c>
      <c r="D1902" s="1" t="inlineStr">
        <is>
          <t>232543</t>
        </is>
      </c>
      <c r="E1902" s="1" t="inlineStr">
        <is>
          <t xml:space="preserve">30141767       </t>
        </is>
      </c>
      <c r="F1902" s="5" t="inlineStr">
        <is>
          <t>TMZ BEAST MACHINES AUTOS DE METAL PACK 5 AUTOS</t>
        </is>
      </c>
      <c r="G1902" t="n">
        <v>1</v>
      </c>
      <c r="H1902" s="7" t="n">
        <v>29.9</v>
      </c>
      <c r="I1902" s="7" t="n">
        <v>0</v>
      </c>
      <c r="J1902" s="7" t="n">
        <v>0</v>
      </c>
      <c r="K1902" s="9" t="n">
        <v>0</v>
      </c>
      <c r="L1902" s="10" t="n">
        <v>17.74</v>
      </c>
      <c r="M1902" s="10" t="n">
        <v>1.43</v>
      </c>
      <c r="N1902" t="inlineStr">
        <is>
          <t>1</t>
        </is>
      </c>
      <c r="O1902" t="inlineStr">
        <is>
          <t>16</t>
        </is>
      </c>
      <c r="P1902" t="inlineStr">
        <is>
          <t xml:space="preserve">22672   </t>
        </is>
      </c>
      <c r="Q1902" s="26" t="n">
        <v>23.43</v>
      </c>
      <c r="R1902" s="26">
        <f>Q1902*G1902</f>
        <v/>
      </c>
      <c r="S1902" s="26">
        <f>IFERROR(VLOOKUP(E1902*1,Tabla[#All],8,0),0)</f>
        <v/>
      </c>
      <c r="T1902" s="26">
        <f>S1902*G1902</f>
        <v/>
      </c>
      <c r="U1902" s="26">
        <f>R1902-T1902</f>
        <v/>
      </c>
      <c r="V1902" s="26">
        <f>U1902-L1902</f>
        <v/>
      </c>
    </row>
    <row r="1903">
      <c r="A1903" s="11" t="n">
        <v>46222</v>
      </c>
      <c r="B1903" s="1" t="n">
        <v>20040</v>
      </c>
      <c r="C1903" s="1" t="inlineStr">
        <is>
          <t>047</t>
        </is>
      </c>
      <c r="D1903" s="1" t="inlineStr">
        <is>
          <t xml:space="preserve">63067 </t>
        </is>
      </c>
      <c r="E1903" s="1" t="inlineStr">
        <is>
          <t xml:space="preserve">34840556       </t>
        </is>
      </c>
      <c r="F1903" s="5" t="inlineStr">
        <is>
          <t>TMZ BEAST MACH. TRANSPORT DINO +ACCS</t>
        </is>
      </c>
      <c r="G1903" t="n">
        <v>1</v>
      </c>
      <c r="H1903" s="7" t="n">
        <v>59.9</v>
      </c>
      <c r="I1903" s="7" t="n">
        <v>0</v>
      </c>
      <c r="J1903" s="7" t="n">
        <v>0</v>
      </c>
      <c r="K1903" s="9" t="n">
        <v>0</v>
      </c>
      <c r="L1903" s="10" t="n">
        <v>35.53</v>
      </c>
      <c r="M1903" s="10" t="n">
        <v>1.43</v>
      </c>
      <c r="N1903" t="inlineStr">
        <is>
          <t>1</t>
        </is>
      </c>
      <c r="O1903" t="inlineStr">
        <is>
          <t xml:space="preserve">2 </t>
        </is>
      </c>
      <c r="P1903" t="inlineStr">
        <is>
          <t xml:space="preserve">243237  </t>
        </is>
      </c>
      <c r="Q1903" s="26" t="n">
        <v>47.4</v>
      </c>
      <c r="R1903" s="26">
        <f>Q1903*G1903</f>
        <v/>
      </c>
      <c r="S1903" s="26">
        <f>IFERROR(VLOOKUP(E1903*1,Tabla[#All],8,0),0)</f>
        <v/>
      </c>
      <c r="T1903" s="26">
        <f>S1903*G1903</f>
        <v/>
      </c>
      <c r="U1903" s="26">
        <f>R1903-T1903</f>
        <v/>
      </c>
      <c r="V1903" s="26">
        <f>U1903-L1903</f>
        <v/>
      </c>
    </row>
    <row r="1904">
      <c r="A1904" s="11" t="n">
        <v>46222</v>
      </c>
      <c r="B1904" s="1" t="n">
        <v>20040</v>
      </c>
      <c r="C1904" s="1" t="inlineStr">
        <is>
          <t>047</t>
        </is>
      </c>
      <c r="D1904" s="1" t="inlineStr">
        <is>
          <t xml:space="preserve">63069 </t>
        </is>
      </c>
      <c r="E1904" s="1" t="inlineStr">
        <is>
          <t xml:space="preserve">30141769       </t>
        </is>
      </c>
      <c r="F1904" s="5" t="inlineStr">
        <is>
          <t>TMZ BEAST MACHINES TRANSPORTE DINOSAURIO + 3 AUTOS</t>
        </is>
      </c>
      <c r="G1904" t="n">
        <v>1</v>
      </c>
      <c r="H1904" s="7" t="n">
        <v>59.9</v>
      </c>
      <c r="I1904" s="7" t="n">
        <v>0</v>
      </c>
      <c r="J1904" s="7" t="n">
        <v>0</v>
      </c>
      <c r="K1904" s="9" t="n">
        <v>0</v>
      </c>
      <c r="L1904" s="10" t="n">
        <v>35.53</v>
      </c>
      <c r="M1904" s="10" t="n">
        <v>1.43</v>
      </c>
      <c r="N1904" t="inlineStr">
        <is>
          <t>1</t>
        </is>
      </c>
      <c r="O1904" t="inlineStr">
        <is>
          <t>16</t>
        </is>
      </c>
      <c r="P1904" t="inlineStr">
        <is>
          <t xml:space="preserve">243237  </t>
        </is>
      </c>
      <c r="Q1904" s="26" t="n">
        <v>47.4</v>
      </c>
      <c r="R1904" s="26">
        <f>Q1904*G1904</f>
        <v/>
      </c>
      <c r="S1904" s="26">
        <f>IFERROR(VLOOKUP(E1904*1,Tabla[#All],8,0),0)</f>
        <v/>
      </c>
      <c r="T1904" s="26">
        <f>S1904*G1904</f>
        <v/>
      </c>
      <c r="U1904" s="26">
        <f>R1904-T1904</f>
        <v/>
      </c>
      <c r="V1904" s="26">
        <f>U1904-L1904</f>
        <v/>
      </c>
    </row>
    <row r="1905">
      <c r="A1905" s="11" t="n">
        <v>46222</v>
      </c>
      <c r="B1905" s="1" t="n">
        <v>20040</v>
      </c>
      <c r="C1905" s="1" t="inlineStr">
        <is>
          <t>083</t>
        </is>
      </c>
      <c r="D1905" s="1" t="inlineStr">
        <is>
          <t>160222</t>
        </is>
      </c>
      <c r="E1905" s="1" t="inlineStr">
        <is>
          <t xml:space="preserve">28194781       </t>
        </is>
      </c>
      <c r="F1905" s="5" t="inlineStr">
        <is>
          <t>TROMPO BATALLA INFINITY NADO SERIE V CLASICA SURTI</t>
        </is>
      </c>
      <c r="G1905" t="n">
        <v>1</v>
      </c>
      <c r="H1905" s="7" t="n">
        <v>39.9</v>
      </c>
      <c r="I1905" s="7" t="n">
        <v>0</v>
      </c>
      <c r="J1905" s="7" t="n">
        <v>0</v>
      </c>
      <c r="K1905" s="9" t="n">
        <v>0</v>
      </c>
      <c r="L1905" s="10" t="n">
        <v>23.67</v>
      </c>
      <c r="M1905" s="10" t="n">
        <v>1.43</v>
      </c>
      <c r="N1905" t="inlineStr">
        <is>
          <t>1</t>
        </is>
      </c>
      <c r="O1905" t="inlineStr">
        <is>
          <t xml:space="preserve">2 </t>
        </is>
      </c>
      <c r="P1905" t="inlineStr">
        <is>
          <t xml:space="preserve">61602   </t>
        </is>
      </c>
      <c r="Q1905" s="26" t="n">
        <v>35.53</v>
      </c>
      <c r="R1905" s="26">
        <f>Q1905*G1905</f>
        <v/>
      </c>
      <c r="S1905" s="26">
        <f>IFERROR(VLOOKUP(E1905*1,Tabla[#All],8,0),0)</f>
        <v/>
      </c>
      <c r="T1905" s="26">
        <f>S1905*G1905</f>
        <v/>
      </c>
      <c r="U1905" s="26">
        <f>R1905-T1905</f>
        <v/>
      </c>
      <c r="V1905" s="26">
        <f>U1905-L1905</f>
        <v/>
      </c>
    </row>
    <row r="1906">
      <c r="A1906" s="11" t="n">
        <v>46222</v>
      </c>
      <c r="B1906" s="1" t="n">
        <v>20040</v>
      </c>
      <c r="C1906" s="1" t="inlineStr">
        <is>
          <t>083</t>
        </is>
      </c>
      <c r="D1906" s="1" t="inlineStr">
        <is>
          <t>160222</t>
        </is>
      </c>
      <c r="E1906" s="1" t="inlineStr">
        <is>
          <t xml:space="preserve">28194781       </t>
        </is>
      </c>
      <c r="F1906" s="5" t="inlineStr">
        <is>
          <t>TROMPO BATALLA INFINITY NADO SERIE V CLASICA SURTI</t>
        </is>
      </c>
      <c r="G1906" t="n">
        <v>1</v>
      </c>
      <c r="H1906" s="7" t="n">
        <v>39.9</v>
      </c>
      <c r="I1906" s="7" t="n">
        <v>0</v>
      </c>
      <c r="J1906" s="7" t="n">
        <v>0</v>
      </c>
      <c r="K1906" s="9" t="n">
        <v>0</v>
      </c>
      <c r="L1906" s="10" t="n">
        <v>23.67</v>
      </c>
      <c r="M1906" s="10" t="n">
        <v>1.43</v>
      </c>
      <c r="N1906" t="inlineStr">
        <is>
          <t>1</t>
        </is>
      </c>
      <c r="O1906" t="inlineStr">
        <is>
          <t xml:space="preserve">2 </t>
        </is>
      </c>
      <c r="P1906" t="inlineStr">
        <is>
          <t xml:space="preserve">61602   </t>
        </is>
      </c>
      <c r="Q1906" s="26" t="n">
        <v>35.53</v>
      </c>
      <c r="R1906" s="26">
        <f>Q1906*G1906</f>
        <v/>
      </c>
      <c r="S1906" s="26">
        <f>IFERROR(VLOOKUP(E1906*1,Tabla[#All],8,0),0)</f>
        <v/>
      </c>
      <c r="T1906" s="26">
        <f>S1906*G1906</f>
        <v/>
      </c>
      <c r="U1906" s="26">
        <f>R1906-T1906</f>
        <v/>
      </c>
      <c r="V1906" s="26">
        <f>U1906-L1906</f>
        <v/>
      </c>
    </row>
    <row r="1907">
      <c r="A1907" s="11" t="n">
        <v>46222</v>
      </c>
      <c r="B1907" s="1" t="n">
        <v>20040</v>
      </c>
      <c r="C1907" s="1" t="inlineStr">
        <is>
          <t>800</t>
        </is>
      </c>
      <c r="D1907" s="1" t="inlineStr">
        <is>
          <t xml:space="preserve">3527  </t>
        </is>
      </c>
      <c r="E1907" s="1" t="inlineStr">
        <is>
          <t xml:space="preserve">32457099       </t>
        </is>
      </c>
      <c r="F1907" s="5" t="inlineStr">
        <is>
          <t>TMZ BEAST MACHINES MONSTER JAWS A FRICCION BLISTER</t>
        </is>
      </c>
      <c r="G1907" t="n">
        <v>1</v>
      </c>
      <c r="H1907" s="7" t="n">
        <v>17.9</v>
      </c>
      <c r="I1907" s="7" t="n">
        <v>0</v>
      </c>
      <c r="J1907" s="7" t="n">
        <v>0</v>
      </c>
      <c r="K1907" s="9" t="n">
        <v>0</v>
      </c>
      <c r="L1907" s="10" t="n">
        <v>10.62</v>
      </c>
      <c r="M1907" s="10" t="n">
        <v>1.43</v>
      </c>
      <c r="N1907" t="inlineStr">
        <is>
          <t>1</t>
        </is>
      </c>
      <c r="O1907" t="inlineStr">
        <is>
          <t>16</t>
        </is>
      </c>
      <c r="P1907" t="inlineStr">
        <is>
          <t xml:space="preserve">0       </t>
        </is>
      </c>
      <c r="Q1907" s="26" t="n">
        <v>11.81</v>
      </c>
      <c r="R1907" s="26">
        <f>Q1907*G1907</f>
        <v/>
      </c>
      <c r="S1907" s="26">
        <f>IFERROR(VLOOKUP(E1907*1,Tabla[#All],8,0),0)</f>
        <v/>
      </c>
      <c r="T1907" s="26">
        <f>S1907*G1907</f>
        <v/>
      </c>
      <c r="U1907" s="26">
        <f>R1907-T1907</f>
        <v/>
      </c>
      <c r="V1907" s="26">
        <f>U1907-L1907</f>
        <v/>
      </c>
    </row>
    <row r="1908">
      <c r="A1908" s="11" t="n">
        <v>46222</v>
      </c>
      <c r="B1908" s="1" t="n">
        <v>20040</v>
      </c>
      <c r="C1908" s="1" t="inlineStr">
        <is>
          <t>800</t>
        </is>
      </c>
      <c r="D1908" s="1" t="inlineStr">
        <is>
          <t xml:space="preserve">3535  </t>
        </is>
      </c>
      <c r="E1908" s="1" t="inlineStr">
        <is>
          <t xml:space="preserve">31754675       </t>
        </is>
      </c>
      <c r="F1908" s="5" t="inlineStr">
        <is>
          <t>INFINITY NADO SERIE 6 STARTER PACK - 4 MODELOS</t>
        </is>
      </c>
      <c r="G1908" t="n">
        <v>2</v>
      </c>
      <c r="H1908" s="7" t="n">
        <v>99.8</v>
      </c>
      <c r="I1908" s="7" t="n">
        <v>0</v>
      </c>
      <c r="J1908" s="7" t="n">
        <v>0</v>
      </c>
      <c r="K1908" s="9" t="n">
        <v>0</v>
      </c>
      <c r="L1908" s="10" t="n">
        <v>59.2</v>
      </c>
      <c r="M1908" s="10" t="n">
        <v>1.43</v>
      </c>
      <c r="N1908" t="inlineStr">
        <is>
          <t>1</t>
        </is>
      </c>
      <c r="O1908" t="inlineStr">
        <is>
          <t>16</t>
        </is>
      </c>
      <c r="P1908" t="inlineStr">
        <is>
          <t xml:space="preserve">0       </t>
        </is>
      </c>
      <c r="Q1908" s="26" t="n">
        <v>41.47</v>
      </c>
      <c r="R1908" s="26">
        <f>Q1908*G1908</f>
        <v/>
      </c>
      <c r="S1908" s="26">
        <f>IFERROR(VLOOKUP(E1908*1,Tabla[#All],8,0),0)</f>
        <v/>
      </c>
      <c r="T1908" s="26">
        <f>S1908*G1908</f>
        <v/>
      </c>
      <c r="U1908" s="26">
        <f>R1908-T1908</f>
        <v/>
      </c>
      <c r="V1908" s="26">
        <f>U1908-L1908</f>
        <v/>
      </c>
    </row>
    <row r="1909">
      <c r="A1909" s="11" t="n">
        <v>46222</v>
      </c>
      <c r="B1909" s="1" t="n">
        <v>20040</v>
      </c>
      <c r="C1909" s="1" t="inlineStr">
        <is>
          <t>800</t>
        </is>
      </c>
      <c r="D1909" s="1" t="inlineStr">
        <is>
          <t xml:space="preserve">3544  </t>
        </is>
      </c>
      <c r="E1909" s="1" t="inlineStr">
        <is>
          <t xml:space="preserve">33661538       </t>
        </is>
      </c>
      <c r="F1909" s="5" t="inlineStr">
        <is>
          <t>HOT WHEELS CASE GARAGE RUEDA METAL EN LLAMAS X 29</t>
        </is>
      </c>
      <c r="G1909" t="n">
        <v>1</v>
      </c>
      <c r="H1909" s="7" t="n">
        <v>69.90000000000001</v>
      </c>
      <c r="I1909" s="7" t="n">
        <v>0</v>
      </c>
      <c r="J1909" s="7" t="n">
        <v>0</v>
      </c>
      <c r="K1909" s="9" t="n">
        <v>0</v>
      </c>
      <c r="L1909" s="10" t="n">
        <v>41.47</v>
      </c>
      <c r="M1909" s="10" t="n">
        <v>1.43</v>
      </c>
      <c r="N1909" t="inlineStr">
        <is>
          <t>1</t>
        </is>
      </c>
      <c r="O1909" t="inlineStr">
        <is>
          <t>16</t>
        </is>
      </c>
      <c r="P1909" t="inlineStr">
        <is>
          <t xml:space="preserve">0       </t>
        </is>
      </c>
      <c r="Q1909" s="26" t="n">
        <v>41.47</v>
      </c>
      <c r="R1909" s="26">
        <f>Q1909*G1909</f>
        <v/>
      </c>
      <c r="S1909" s="26">
        <f>IFERROR(VLOOKUP(E1909*1,Tabla[#All],8,0),0)</f>
        <v/>
      </c>
      <c r="T1909" s="26">
        <f>S1909*G1909</f>
        <v/>
      </c>
      <c r="U1909" s="26">
        <f>R1909-T1909</f>
        <v/>
      </c>
      <c r="V1909" s="26">
        <f>U1909-L1909</f>
        <v/>
      </c>
    </row>
    <row r="1910">
      <c r="A1910" s="11" t="n">
        <v>46222</v>
      </c>
      <c r="B1910" s="1" t="n">
        <v>20041</v>
      </c>
      <c r="C1910" s="1" t="inlineStr">
        <is>
          <t>031</t>
        </is>
      </c>
      <c r="D1910" s="1" t="inlineStr">
        <is>
          <t>166006</t>
        </is>
      </c>
      <c r="E1910" s="1" t="inlineStr">
        <is>
          <t xml:space="preserve">28194780       </t>
        </is>
      </c>
      <c r="F1910" s="5" t="inlineStr">
        <is>
          <t>TROMPO BATALLA INFINITY NADO PLSTICO SURTIDO</t>
        </is>
      </c>
      <c r="G1910" t="n">
        <v>1</v>
      </c>
      <c r="H1910" s="7" t="n">
        <v>19.9</v>
      </c>
      <c r="I1910" s="7" t="n">
        <v>0</v>
      </c>
      <c r="J1910" s="7" t="n">
        <v>0</v>
      </c>
      <c r="K1910" s="9" t="n">
        <v>0</v>
      </c>
      <c r="L1910" s="10" t="n">
        <v>11.8</v>
      </c>
      <c r="M1910" s="10" t="n">
        <v>1.43</v>
      </c>
      <c r="N1910" t="inlineStr">
        <is>
          <t>1</t>
        </is>
      </c>
      <c r="O1910" t="inlineStr">
        <is>
          <t>16</t>
        </is>
      </c>
      <c r="P1910" t="inlineStr">
        <is>
          <t xml:space="preserve">241916  </t>
        </is>
      </c>
      <c r="Q1910" s="26" t="n">
        <v>11.81</v>
      </c>
      <c r="R1910" s="26">
        <f>Q1910*G1910</f>
        <v/>
      </c>
      <c r="S1910" s="26">
        <f>IFERROR(VLOOKUP(E1910*1,Tabla[#All],8,0),0)</f>
        <v/>
      </c>
      <c r="T1910" s="26">
        <f>S1910*G1910</f>
        <v/>
      </c>
      <c r="U1910" s="26">
        <f>R1910-T1910</f>
        <v/>
      </c>
      <c r="V1910" s="26">
        <f>U1910-L1910</f>
        <v/>
      </c>
    </row>
    <row r="1911">
      <c r="A1911" s="11" t="n">
        <v>46222</v>
      </c>
      <c r="B1911" s="1" t="n">
        <v>20043</v>
      </c>
      <c r="C1911" s="1" t="inlineStr">
        <is>
          <t>014</t>
        </is>
      </c>
      <c r="D1911" s="1" t="inlineStr">
        <is>
          <t>137746</t>
        </is>
      </c>
      <c r="E1911" s="1" t="inlineStr">
        <is>
          <t xml:space="preserve">32457099       </t>
        </is>
      </c>
      <c r="F1911" s="5" t="inlineStr">
        <is>
          <t>TMZ BEAST MACHINES MONSTER JAWS A FRICCION BLISTER</t>
        </is>
      </c>
      <c r="G1911" t="n">
        <v>1</v>
      </c>
      <c r="H1911" s="7" t="n">
        <v>17.9</v>
      </c>
      <c r="I1911" s="7" t="n">
        <v>0</v>
      </c>
      <c r="J1911" s="7" t="n">
        <v>0</v>
      </c>
      <c r="K1911" s="9" t="n">
        <v>0</v>
      </c>
      <c r="L1911" s="10" t="n">
        <v>10.62</v>
      </c>
      <c r="M1911" s="10" t="n">
        <v>1.43</v>
      </c>
      <c r="N1911" t="inlineStr">
        <is>
          <t>1</t>
        </is>
      </c>
      <c r="O1911" t="inlineStr">
        <is>
          <t xml:space="preserve">2 </t>
        </is>
      </c>
      <c r="P1911" t="inlineStr">
        <is>
          <t xml:space="preserve">20505   </t>
        </is>
      </c>
      <c r="Q1911" s="26" t="n">
        <v>11.81</v>
      </c>
      <c r="R1911" s="26">
        <f>Q1911*G1911</f>
        <v/>
      </c>
      <c r="S1911" s="26">
        <f>IFERROR(VLOOKUP(E1911*1,Tabla[#All],8,0),0)</f>
        <v/>
      </c>
      <c r="T1911" s="26">
        <f>S1911*G1911</f>
        <v/>
      </c>
      <c r="U1911" s="26">
        <f>R1911-T1911</f>
        <v/>
      </c>
      <c r="V1911" s="26">
        <f>U1911-L1911</f>
        <v/>
      </c>
    </row>
    <row r="1912">
      <c r="A1912" s="11" t="n">
        <v>46222</v>
      </c>
      <c r="B1912" s="1" t="n">
        <v>20043</v>
      </c>
      <c r="C1912" s="1" t="inlineStr">
        <is>
          <t>015</t>
        </is>
      </c>
      <c r="D1912" s="1" t="inlineStr">
        <is>
          <t>277682</t>
        </is>
      </c>
      <c r="E1912" s="1" t="inlineStr">
        <is>
          <t xml:space="preserve">28194770       </t>
        </is>
      </c>
      <c r="F1912" s="5" t="inlineStr">
        <is>
          <t>AUTOS DE METAL 3 TEAMSTERZ EN BLISTER</t>
        </is>
      </c>
      <c r="G1912" t="n">
        <v>1</v>
      </c>
      <c r="H1912" s="7" t="n">
        <v>6.9</v>
      </c>
      <c r="I1912" s="7" t="n">
        <v>0</v>
      </c>
      <c r="J1912" s="7" t="n">
        <v>0</v>
      </c>
      <c r="K1912" s="9" t="n">
        <v>0</v>
      </c>
      <c r="L1912" s="10" t="n">
        <v>4.1</v>
      </c>
      <c r="M1912" s="10" t="n">
        <v>1.43</v>
      </c>
      <c r="N1912" t="inlineStr">
        <is>
          <t>1</t>
        </is>
      </c>
      <c r="O1912" t="inlineStr">
        <is>
          <t>16</t>
        </is>
      </c>
      <c r="P1912" t="inlineStr">
        <is>
          <t xml:space="preserve">14775   </t>
        </is>
      </c>
      <c r="Q1912" s="26" t="n">
        <v>4.09</v>
      </c>
      <c r="R1912" s="26">
        <f>Q1912*G1912</f>
        <v/>
      </c>
      <c r="S1912" s="26">
        <f>IFERROR(VLOOKUP(E1912*1,Tabla[#All],8,0),0)</f>
        <v/>
      </c>
      <c r="T1912" s="26">
        <f>S1912*G1912</f>
        <v/>
      </c>
      <c r="U1912" s="26">
        <f>R1912-T1912</f>
        <v/>
      </c>
      <c r="V1912" s="26">
        <f>U1912-L1912</f>
        <v/>
      </c>
    </row>
    <row r="1913">
      <c r="A1913" s="11" t="n">
        <v>46222</v>
      </c>
      <c r="B1913" s="1" t="n">
        <v>20043</v>
      </c>
      <c r="C1913" s="1" t="inlineStr">
        <is>
          <t>054</t>
        </is>
      </c>
      <c r="D1913" s="1" t="inlineStr">
        <is>
          <t xml:space="preserve">15438 </t>
        </is>
      </c>
      <c r="E1913" s="1" t="inlineStr">
        <is>
          <t xml:space="preserve">28194770       </t>
        </is>
      </c>
      <c r="F1913" s="5" t="inlineStr">
        <is>
          <t>AUTOS DE METAL 3 TEAMSTERZ EN BLISTER</t>
        </is>
      </c>
      <c r="G1913" t="n">
        <v>1</v>
      </c>
      <c r="H1913" s="7" t="n">
        <v>6.9</v>
      </c>
      <c r="I1913" s="7" t="n">
        <v>0.6899999999999999</v>
      </c>
      <c r="J1913" s="7" t="n">
        <v>0</v>
      </c>
      <c r="K1913" s="9" t="n">
        <v>0.6899999999999999</v>
      </c>
      <c r="L1913" s="10" t="n">
        <v>3.68</v>
      </c>
      <c r="M1913" s="10" t="n">
        <v>1.43</v>
      </c>
      <c r="N1913" t="inlineStr">
        <is>
          <t>1</t>
        </is>
      </c>
      <c r="O1913" t="inlineStr">
        <is>
          <t xml:space="preserve">3 </t>
        </is>
      </c>
      <c r="P1913" t="inlineStr">
        <is>
          <t xml:space="preserve">249961  </t>
        </is>
      </c>
      <c r="Q1913" s="26" t="n">
        <v>4.09</v>
      </c>
      <c r="R1913" s="26">
        <f>Q1913*G1913</f>
        <v/>
      </c>
      <c r="S1913" s="26">
        <f>IFERROR(VLOOKUP(E1913*1,Tabla[#All],8,0),0)</f>
        <v/>
      </c>
      <c r="T1913" s="26">
        <f>S1913*G1913</f>
        <v/>
      </c>
      <c r="U1913" s="26">
        <f>R1913-T1913</f>
        <v/>
      </c>
      <c r="V1913" s="26">
        <f>U1913-L1913</f>
        <v/>
      </c>
    </row>
    <row r="1914">
      <c r="A1914" s="11" t="n">
        <v>46222</v>
      </c>
      <c r="B1914" s="1" t="n">
        <v>20043</v>
      </c>
      <c r="C1914" s="1" t="inlineStr">
        <is>
          <t>054</t>
        </is>
      </c>
      <c r="D1914" s="1" t="inlineStr">
        <is>
          <t xml:space="preserve">15439 </t>
        </is>
      </c>
      <c r="E1914" s="1" t="inlineStr">
        <is>
          <t xml:space="preserve">28194770       </t>
        </is>
      </c>
      <c r="F1914" s="5" t="inlineStr">
        <is>
          <t>AUTOS DE METAL 3 TEAMSTERZ EN BLISTER</t>
        </is>
      </c>
      <c r="G1914" t="n">
        <v>1</v>
      </c>
      <c r="H1914" s="7" t="n">
        <v>6.9</v>
      </c>
      <c r="I1914" s="7" t="n">
        <v>0.6899999999999999</v>
      </c>
      <c r="J1914" s="7" t="n">
        <v>0</v>
      </c>
      <c r="K1914" s="9" t="n">
        <v>0.6899999999999999</v>
      </c>
      <c r="L1914" s="10" t="n">
        <v>3.68</v>
      </c>
      <c r="M1914" s="10" t="n">
        <v>1.43</v>
      </c>
      <c r="N1914" t="inlineStr">
        <is>
          <t>1</t>
        </is>
      </c>
      <c r="O1914" t="inlineStr">
        <is>
          <t xml:space="preserve">3 </t>
        </is>
      </c>
      <c r="P1914" t="inlineStr">
        <is>
          <t xml:space="preserve">249961  </t>
        </is>
      </c>
      <c r="Q1914" s="26" t="n">
        <v>4.09</v>
      </c>
      <c r="R1914" s="26">
        <f>Q1914*G1914</f>
        <v/>
      </c>
      <c r="S1914" s="26">
        <f>IFERROR(VLOOKUP(E1914*1,Tabla[#All],8,0),0)</f>
        <v/>
      </c>
      <c r="T1914" s="26">
        <f>S1914*G1914</f>
        <v/>
      </c>
      <c r="U1914" s="26">
        <f>R1914-T1914</f>
        <v/>
      </c>
      <c r="V1914" s="26">
        <f>U1914-L1914</f>
        <v/>
      </c>
    </row>
    <row r="1915">
      <c r="A1915" s="11" t="n">
        <v>46222</v>
      </c>
      <c r="B1915" s="1" t="n">
        <v>20047</v>
      </c>
      <c r="C1915" s="1" t="inlineStr">
        <is>
          <t>013</t>
        </is>
      </c>
      <c r="D1915" s="1" t="inlineStr">
        <is>
          <t xml:space="preserve">2752  </t>
        </is>
      </c>
      <c r="E1915" s="1" t="inlineStr">
        <is>
          <t xml:space="preserve">28194766       </t>
        </is>
      </c>
      <c r="F1915" s="5" t="inlineStr">
        <is>
          <t>CAMIONES TEAMSTERZ DE CIUDAD</t>
        </is>
      </c>
      <c r="G1915" t="n">
        <v>1</v>
      </c>
      <c r="H1915" s="7" t="n">
        <v>17.9</v>
      </c>
      <c r="I1915" s="7" t="n">
        <v>0</v>
      </c>
      <c r="J1915" s="7" t="n">
        <v>0</v>
      </c>
      <c r="K1915" s="9" t="n">
        <v>0</v>
      </c>
      <c r="L1915" s="10" t="n">
        <v>10.62</v>
      </c>
      <c r="M1915" s="10" t="n">
        <v>1.43</v>
      </c>
      <c r="N1915" t="inlineStr">
        <is>
          <t>1</t>
        </is>
      </c>
      <c r="O1915" t="inlineStr">
        <is>
          <t xml:space="preserve">2 </t>
        </is>
      </c>
      <c r="P1915" t="inlineStr">
        <is>
          <t xml:space="preserve">245257  </t>
        </is>
      </c>
      <c r="Q1915" s="26" t="n">
        <v>10.62</v>
      </c>
      <c r="R1915" s="26">
        <f>Q1915*G1915</f>
        <v/>
      </c>
      <c r="S1915" s="26">
        <f>IFERROR(VLOOKUP(E1915*1,Tabla[#All],8,0),0)</f>
        <v/>
      </c>
      <c r="T1915" s="26">
        <f>S1915*G1915</f>
        <v/>
      </c>
      <c r="U1915" s="26">
        <f>R1915-T1915</f>
        <v/>
      </c>
      <c r="V1915" s="26">
        <f>U1915-L1915</f>
        <v/>
      </c>
    </row>
    <row r="1916">
      <c r="A1916" s="11" t="n">
        <v>46222</v>
      </c>
      <c r="B1916" s="1" t="n">
        <v>20047</v>
      </c>
      <c r="C1916" s="1" t="inlineStr">
        <is>
          <t>191</t>
        </is>
      </c>
      <c r="D1916" s="1" t="inlineStr">
        <is>
          <t>462513</t>
        </is>
      </c>
      <c r="E1916" s="1" t="inlineStr">
        <is>
          <t xml:space="preserve">28194770       </t>
        </is>
      </c>
      <c r="F1916" s="5" t="inlineStr">
        <is>
          <t>AUTOS DE METAL 3 TEAMSTERZ EN BLISTER</t>
        </is>
      </c>
      <c r="G1916" t="n">
        <v>1</v>
      </c>
      <c r="H1916" s="7" t="n">
        <v>6.9</v>
      </c>
      <c r="I1916" s="7" t="n">
        <v>0</v>
      </c>
      <c r="J1916" s="7" t="n">
        <v>0</v>
      </c>
      <c r="K1916" s="9" t="n">
        <v>0</v>
      </c>
      <c r="L1916" s="10" t="n">
        <v>4.1</v>
      </c>
      <c r="M1916" s="10" t="n">
        <v>1.43</v>
      </c>
      <c r="N1916" t="inlineStr">
        <is>
          <t>1</t>
        </is>
      </c>
      <c r="O1916" t="inlineStr">
        <is>
          <t xml:space="preserve">2 </t>
        </is>
      </c>
      <c r="P1916" t="inlineStr">
        <is>
          <t xml:space="preserve">245257  </t>
        </is>
      </c>
      <c r="Q1916" s="26" t="n">
        <v>4.09</v>
      </c>
      <c r="R1916" s="26">
        <f>Q1916*G1916</f>
        <v/>
      </c>
      <c r="S1916" s="26">
        <f>IFERROR(VLOOKUP(E1916*1,Tabla[#All],8,0),0)</f>
        <v/>
      </c>
      <c r="T1916" s="26">
        <f>S1916*G1916</f>
        <v/>
      </c>
      <c r="U1916" s="26">
        <f>R1916-T1916</f>
        <v/>
      </c>
      <c r="V1916" s="26">
        <f>U1916-L1916</f>
        <v/>
      </c>
    </row>
    <row r="1917">
      <c r="A1917" s="11" t="n">
        <v>46222</v>
      </c>
      <c r="B1917" s="1" t="n">
        <v>20047</v>
      </c>
      <c r="C1917" s="1" t="inlineStr">
        <is>
          <t>507</t>
        </is>
      </c>
      <c r="D1917" s="1" t="inlineStr">
        <is>
          <t xml:space="preserve">3613  </t>
        </is>
      </c>
      <c r="E1917" s="1" t="inlineStr">
        <is>
          <t xml:space="preserve">28194770       </t>
        </is>
      </c>
      <c r="F1917" s="5" t="inlineStr">
        <is>
          <t>AUTOS DE METAL 3 TEAMSTERZ EN BLISTER</t>
        </is>
      </c>
      <c r="G1917" t="n">
        <v>2</v>
      </c>
      <c r="H1917" s="7" t="n">
        <v>13.8</v>
      </c>
      <c r="I1917" s="7" t="n">
        <v>1.38</v>
      </c>
      <c r="J1917" s="7" t="n">
        <v>0</v>
      </c>
      <c r="K1917" s="9" t="n">
        <v>1.38</v>
      </c>
      <c r="L1917" s="10" t="n">
        <v>7.38</v>
      </c>
      <c r="M1917" s="10" t="n">
        <v>1.43</v>
      </c>
      <c r="N1917" t="inlineStr">
        <is>
          <t>1</t>
        </is>
      </c>
      <c r="O1917" t="inlineStr">
        <is>
          <t>16</t>
        </is>
      </c>
      <c r="P1917" t="inlineStr">
        <is>
          <t xml:space="preserve">248125  </t>
        </is>
      </c>
      <c r="Q1917" s="26" t="n">
        <v>4.09</v>
      </c>
      <c r="R1917" s="26">
        <f>Q1917*G1917</f>
        <v/>
      </c>
      <c r="S1917" s="26">
        <f>IFERROR(VLOOKUP(E1917*1,Tabla[#All],8,0),0)</f>
        <v/>
      </c>
      <c r="T1917" s="26">
        <f>S1917*G1917</f>
        <v/>
      </c>
      <c r="U1917" s="26">
        <f>R1917-T1917</f>
        <v/>
      </c>
      <c r="V1917" s="26">
        <f>U1917-L1917</f>
        <v/>
      </c>
    </row>
    <row r="1918">
      <c r="A1918" s="11" t="n">
        <v>46222</v>
      </c>
      <c r="B1918" s="1" t="n">
        <v>20048</v>
      </c>
      <c r="C1918" s="1" t="inlineStr">
        <is>
          <t>017</t>
        </is>
      </c>
      <c r="D1918" s="1" t="inlineStr">
        <is>
          <t>167081</t>
        </is>
      </c>
      <c r="E1918" s="1" t="inlineStr">
        <is>
          <t xml:space="preserve">28194770       </t>
        </is>
      </c>
      <c r="F1918" s="5" t="inlineStr">
        <is>
          <t>AUTOS DE METAL 3 TEAMSTERZ EN BLISTER</t>
        </is>
      </c>
      <c r="G1918" t="n">
        <v>1</v>
      </c>
      <c r="H1918" s="7" t="n">
        <v>6.9</v>
      </c>
      <c r="I1918" s="7" t="n">
        <v>0.6899999999999999</v>
      </c>
      <c r="J1918" s="7" t="n">
        <v>0</v>
      </c>
      <c r="K1918" s="9" t="n">
        <v>0.6899999999999999</v>
      </c>
      <c r="L1918" s="10" t="n">
        <v>3.68</v>
      </c>
      <c r="M1918" s="10" t="n">
        <v>1.43</v>
      </c>
      <c r="N1918" t="inlineStr">
        <is>
          <t>1</t>
        </is>
      </c>
      <c r="O1918" t="inlineStr">
        <is>
          <t xml:space="preserve">3 </t>
        </is>
      </c>
      <c r="P1918" t="inlineStr">
        <is>
          <t xml:space="preserve">243717  </t>
        </is>
      </c>
      <c r="Q1918" s="26" t="n">
        <v>4.09</v>
      </c>
      <c r="R1918" s="26">
        <f>Q1918*G1918</f>
        <v/>
      </c>
      <c r="S1918" s="26">
        <f>IFERROR(VLOOKUP(E1918*1,Tabla[#All],8,0),0)</f>
        <v/>
      </c>
      <c r="T1918" s="26">
        <f>S1918*G1918</f>
        <v/>
      </c>
      <c r="U1918" s="26">
        <f>R1918-T1918</f>
        <v/>
      </c>
      <c r="V1918" s="26">
        <f>U1918-L1918</f>
        <v/>
      </c>
    </row>
    <row r="1919">
      <c r="A1919" s="11" t="n">
        <v>46222</v>
      </c>
      <c r="B1919" s="1" t="n">
        <v>20048</v>
      </c>
      <c r="C1919" s="1" t="inlineStr">
        <is>
          <t>018</t>
        </is>
      </c>
      <c r="D1919" s="1" t="inlineStr">
        <is>
          <t xml:space="preserve">47519 </t>
        </is>
      </c>
      <c r="E1919" s="1" t="inlineStr">
        <is>
          <t xml:space="preserve">32457099       </t>
        </is>
      </c>
      <c r="F1919" s="5" t="inlineStr">
        <is>
          <t>TMZ BEAST MACHINES MONSTER JAWS A FRICCION BLISTER</t>
        </is>
      </c>
      <c r="G1919" t="n">
        <v>1</v>
      </c>
      <c r="H1919" s="7" t="n">
        <v>17.9</v>
      </c>
      <c r="I1919" s="7" t="n">
        <v>0</v>
      </c>
      <c r="J1919" s="7" t="n">
        <v>0</v>
      </c>
      <c r="K1919" s="9" t="n">
        <v>0</v>
      </c>
      <c r="L1919" s="10" t="n">
        <v>10.62</v>
      </c>
      <c r="M1919" s="10" t="n">
        <v>1.43</v>
      </c>
      <c r="N1919" t="inlineStr">
        <is>
          <t>1</t>
        </is>
      </c>
      <c r="O1919" t="inlineStr">
        <is>
          <t>16</t>
        </is>
      </c>
      <c r="P1919" t="inlineStr">
        <is>
          <t xml:space="preserve">243717  </t>
        </is>
      </c>
      <c r="Q1919" s="26" t="n">
        <v>11.81</v>
      </c>
      <c r="R1919" s="26">
        <f>Q1919*G1919</f>
        <v/>
      </c>
      <c r="S1919" s="26">
        <f>IFERROR(VLOOKUP(E1919*1,Tabla[#All],8,0),0)</f>
        <v/>
      </c>
      <c r="T1919" s="26">
        <f>S1919*G1919</f>
        <v/>
      </c>
      <c r="U1919" s="26">
        <f>R1919-T1919</f>
        <v/>
      </c>
      <c r="V1919" s="26">
        <f>U1919-L1919</f>
        <v/>
      </c>
    </row>
    <row r="1920">
      <c r="A1920" s="11" t="n">
        <v>46222</v>
      </c>
      <c r="B1920" s="1" t="n">
        <v>20048</v>
      </c>
      <c r="C1920" s="1" t="inlineStr">
        <is>
          <t>018</t>
        </is>
      </c>
      <c r="D1920" s="1" t="inlineStr">
        <is>
          <t xml:space="preserve">47519 </t>
        </is>
      </c>
      <c r="E1920" s="1" t="inlineStr">
        <is>
          <t xml:space="preserve">32457099       </t>
        </is>
      </c>
      <c r="F1920" s="5" t="inlineStr">
        <is>
          <t>TMZ BEAST MACHINES MONSTER JAWS A FRICCION BLISTER</t>
        </is>
      </c>
      <c r="G1920" t="n">
        <v>1</v>
      </c>
      <c r="H1920" s="7" t="n">
        <v>17.9</v>
      </c>
      <c r="I1920" s="7" t="n">
        <v>0</v>
      </c>
      <c r="J1920" s="7" t="n">
        <v>0</v>
      </c>
      <c r="K1920" s="9" t="n">
        <v>0</v>
      </c>
      <c r="L1920" s="10" t="n">
        <v>10.62</v>
      </c>
      <c r="M1920" s="10" t="n">
        <v>1.43</v>
      </c>
      <c r="N1920" t="inlineStr">
        <is>
          <t>1</t>
        </is>
      </c>
      <c r="O1920" t="inlineStr">
        <is>
          <t>16</t>
        </is>
      </c>
      <c r="P1920" t="inlineStr">
        <is>
          <t xml:space="preserve">243717  </t>
        </is>
      </c>
      <c r="Q1920" s="26" t="n">
        <v>11.81</v>
      </c>
      <c r="R1920" s="26">
        <f>Q1920*G1920</f>
        <v/>
      </c>
      <c r="S1920" s="26">
        <f>IFERROR(VLOOKUP(E1920*1,Tabla[#All],8,0),0)</f>
        <v/>
      </c>
      <c r="T1920" s="26">
        <f>S1920*G1920</f>
        <v/>
      </c>
      <c r="U1920" s="26">
        <f>R1920-T1920</f>
        <v/>
      </c>
      <c r="V1920" s="26">
        <f>U1920-L1920</f>
        <v/>
      </c>
    </row>
    <row r="1921">
      <c r="A1921" s="11" t="n">
        <v>46222</v>
      </c>
      <c r="B1921" s="1" t="n">
        <v>20048</v>
      </c>
      <c r="C1921" s="1" t="inlineStr">
        <is>
          <t>018</t>
        </is>
      </c>
      <c r="D1921" s="1" t="inlineStr">
        <is>
          <t xml:space="preserve">47519 </t>
        </is>
      </c>
      <c r="E1921" s="1" t="inlineStr">
        <is>
          <t xml:space="preserve">32457103       </t>
        </is>
      </c>
      <c r="F1921" s="5" t="inlineStr">
        <is>
          <t>TMZ BEAST MACHINES MONSTER JAWS A FRICCION PACK DE</t>
        </is>
      </c>
      <c r="G1921" t="n">
        <v>1</v>
      </c>
      <c r="H1921" s="7" t="n">
        <v>32.9</v>
      </c>
      <c r="I1921" s="7" t="n">
        <v>0</v>
      </c>
      <c r="J1921" s="7" t="n">
        <v>0</v>
      </c>
      <c r="K1921" s="9" t="n">
        <v>0</v>
      </c>
      <c r="L1921" s="10" t="n">
        <v>19.52</v>
      </c>
      <c r="M1921" s="10" t="n">
        <v>1.43</v>
      </c>
      <c r="N1921" t="inlineStr">
        <is>
          <t>1</t>
        </is>
      </c>
      <c r="O1921" t="inlineStr">
        <is>
          <t>16</t>
        </is>
      </c>
      <c r="P1921" t="inlineStr">
        <is>
          <t xml:space="preserve">243717  </t>
        </is>
      </c>
      <c r="Q1921" s="26" t="n">
        <v>22.48</v>
      </c>
      <c r="R1921" s="26">
        <f>Q1921*G1921</f>
        <v/>
      </c>
      <c r="S1921" s="26">
        <f>IFERROR(VLOOKUP(E1921*1,Tabla[#All],8,0),0)</f>
        <v/>
      </c>
      <c r="T1921" s="26">
        <f>S1921*G1921</f>
        <v/>
      </c>
      <c r="U1921" s="26">
        <f>R1921-T1921</f>
        <v/>
      </c>
      <c r="V1921" s="26">
        <f>U1921-L1921</f>
        <v/>
      </c>
    </row>
    <row r="1922">
      <c r="A1922" s="11" t="n">
        <v>46222</v>
      </c>
      <c r="B1922" s="1" t="n">
        <v>20048</v>
      </c>
      <c r="C1922" s="1" t="inlineStr">
        <is>
          <t>018</t>
        </is>
      </c>
      <c r="D1922" s="1" t="inlineStr">
        <is>
          <t xml:space="preserve">47573 </t>
        </is>
      </c>
      <c r="E1922" s="1" t="inlineStr">
        <is>
          <t xml:space="preserve">28194770       </t>
        </is>
      </c>
      <c r="F1922" s="5" t="inlineStr">
        <is>
          <t>AUTOS DE METAL 3 TEAMSTERZ EN BLISTER</t>
        </is>
      </c>
      <c r="G1922" t="n">
        <v>1</v>
      </c>
      <c r="H1922" s="7" t="n">
        <v>6.9</v>
      </c>
      <c r="I1922" s="7" t="n">
        <v>0</v>
      </c>
      <c r="J1922" s="7" t="n">
        <v>0</v>
      </c>
      <c r="K1922" s="9" t="n">
        <v>0</v>
      </c>
      <c r="L1922" s="10" t="n">
        <v>4.1</v>
      </c>
      <c r="M1922" s="10" t="n">
        <v>1.43</v>
      </c>
      <c r="N1922" t="inlineStr">
        <is>
          <t>1</t>
        </is>
      </c>
      <c r="O1922" t="inlineStr">
        <is>
          <t>16</t>
        </is>
      </c>
      <c r="P1922" t="inlineStr">
        <is>
          <t xml:space="preserve">248417  </t>
        </is>
      </c>
      <c r="Q1922" s="26" t="n">
        <v>4.09</v>
      </c>
      <c r="R1922" s="26">
        <f>Q1922*G1922</f>
        <v/>
      </c>
      <c r="S1922" s="26">
        <f>IFERROR(VLOOKUP(E1922*1,Tabla[#All],8,0),0)</f>
        <v/>
      </c>
      <c r="T1922" s="26">
        <f>S1922*G1922</f>
        <v/>
      </c>
      <c r="U1922" s="26">
        <f>R1922-T1922</f>
        <v/>
      </c>
      <c r="V1922" s="26">
        <f>U1922-L1922</f>
        <v/>
      </c>
    </row>
    <row r="1923">
      <c r="A1923" s="11" t="n">
        <v>46222</v>
      </c>
      <c r="B1923" s="1" t="n">
        <v>20048</v>
      </c>
      <c r="C1923" s="1" t="inlineStr">
        <is>
          <t>027</t>
        </is>
      </c>
      <c r="D1923" s="1" t="inlineStr">
        <is>
          <t>323466</t>
        </is>
      </c>
      <c r="E1923" s="1" t="inlineStr">
        <is>
          <t xml:space="preserve">28194770       </t>
        </is>
      </c>
      <c r="F1923" s="5" t="inlineStr">
        <is>
          <t>AUTOS DE METAL 3 TEAMSTERZ EN BLISTER</t>
        </is>
      </c>
      <c r="G1923" t="n">
        <v>1</v>
      </c>
      <c r="H1923" s="7" t="n">
        <v>6.9</v>
      </c>
      <c r="I1923" s="7" t="n">
        <v>0</v>
      </c>
      <c r="J1923" s="7" t="n">
        <v>0</v>
      </c>
      <c r="K1923" s="9" t="n">
        <v>0</v>
      </c>
      <c r="L1923" s="10" t="n">
        <v>4.1</v>
      </c>
      <c r="M1923" s="10" t="n">
        <v>1.43</v>
      </c>
      <c r="N1923" t="inlineStr">
        <is>
          <t>1</t>
        </is>
      </c>
      <c r="O1923" t="inlineStr">
        <is>
          <t>16</t>
        </is>
      </c>
      <c r="P1923" t="inlineStr">
        <is>
          <t xml:space="preserve">200219  </t>
        </is>
      </c>
      <c r="Q1923" s="26" t="n">
        <v>4.09</v>
      </c>
      <c r="R1923" s="26">
        <f>Q1923*G1923</f>
        <v/>
      </c>
      <c r="S1923" s="26">
        <f>IFERROR(VLOOKUP(E1923*1,Tabla[#All],8,0),0)</f>
        <v/>
      </c>
      <c r="T1923" s="26">
        <f>S1923*G1923</f>
        <v/>
      </c>
      <c r="U1923" s="26">
        <f>R1923-T1923</f>
        <v/>
      </c>
      <c r="V1923" s="26">
        <f>U1923-L1923</f>
        <v/>
      </c>
    </row>
    <row r="1924">
      <c r="A1924" s="11" t="n">
        <v>46222</v>
      </c>
      <c r="B1924" s="1" t="n">
        <v>20048</v>
      </c>
      <c r="C1924" s="1" t="inlineStr">
        <is>
          <t>027</t>
        </is>
      </c>
      <c r="D1924" s="1" t="inlineStr">
        <is>
          <t>323476</t>
        </is>
      </c>
      <c r="E1924" s="1" t="inlineStr">
        <is>
          <t xml:space="preserve">28194770       </t>
        </is>
      </c>
      <c r="F1924" s="5" t="inlineStr">
        <is>
          <t>AUTOS DE METAL 3 TEAMSTERZ EN BLISTER</t>
        </is>
      </c>
      <c r="G1924" t="n">
        <v>1</v>
      </c>
      <c r="H1924" s="7" t="n">
        <v>6.9</v>
      </c>
      <c r="I1924" s="7" t="n">
        <v>0</v>
      </c>
      <c r="J1924" s="7" t="n">
        <v>0</v>
      </c>
      <c r="K1924" s="9" t="n">
        <v>0</v>
      </c>
      <c r="L1924" s="10" t="n">
        <v>4.1</v>
      </c>
      <c r="M1924" s="10" t="n">
        <v>1.43</v>
      </c>
      <c r="N1924" t="inlineStr">
        <is>
          <t>1</t>
        </is>
      </c>
      <c r="O1924" t="inlineStr">
        <is>
          <t>16</t>
        </is>
      </c>
      <c r="P1924" t="inlineStr">
        <is>
          <t xml:space="preserve">200219  </t>
        </is>
      </c>
      <c r="Q1924" s="26" t="n">
        <v>4.09</v>
      </c>
      <c r="R1924" s="26">
        <f>Q1924*G1924</f>
        <v/>
      </c>
      <c r="S1924" s="26">
        <f>IFERROR(VLOOKUP(E1924*1,Tabla[#All],8,0),0)</f>
        <v/>
      </c>
      <c r="T1924" s="26">
        <f>S1924*G1924</f>
        <v/>
      </c>
      <c r="U1924" s="26">
        <f>R1924-T1924</f>
        <v/>
      </c>
      <c r="V1924" s="26">
        <f>U1924-L1924</f>
        <v/>
      </c>
    </row>
    <row r="1925">
      <c r="A1925" s="11" t="n">
        <v>46222</v>
      </c>
      <c r="B1925" s="1" t="n">
        <v>20048</v>
      </c>
      <c r="C1925" s="1" t="inlineStr">
        <is>
          <t>800</t>
        </is>
      </c>
      <c r="D1925" s="1" t="inlineStr">
        <is>
          <t xml:space="preserve">4445  </t>
        </is>
      </c>
      <c r="E1925" s="1" t="inlineStr">
        <is>
          <t xml:space="preserve">28194782       </t>
        </is>
      </c>
      <c r="F1925" s="5" t="inlineStr">
        <is>
          <t>TROMPO BATALLA INFINITY NADO SERIE V ORIGINAL SURT</t>
        </is>
      </c>
      <c r="G1925" t="n">
        <v>1</v>
      </c>
      <c r="H1925" s="7" t="n">
        <v>49.9</v>
      </c>
      <c r="I1925" s="7" t="n">
        <v>4.99</v>
      </c>
      <c r="J1925" s="7" t="n">
        <v>0</v>
      </c>
      <c r="K1925" s="9" t="n">
        <v>4.99</v>
      </c>
      <c r="L1925" s="10" t="n">
        <v>26.64</v>
      </c>
      <c r="M1925" s="10" t="n">
        <v>1.43</v>
      </c>
      <c r="N1925" t="inlineStr">
        <is>
          <t>1</t>
        </is>
      </c>
      <c r="O1925" t="inlineStr">
        <is>
          <t>16</t>
        </is>
      </c>
      <c r="P1925" t="inlineStr">
        <is>
          <t xml:space="preserve">0       </t>
        </is>
      </c>
      <c r="Q1925" s="26" t="n">
        <v>41.47</v>
      </c>
      <c r="R1925" s="26">
        <f>Q1925*G1925</f>
        <v/>
      </c>
      <c r="S1925" s="26">
        <f>IFERROR(VLOOKUP(E1925*1,Tabla[#All],8,0),0)</f>
        <v/>
      </c>
      <c r="T1925" s="26">
        <f>S1925*G1925</f>
        <v/>
      </c>
      <c r="U1925" s="26">
        <f>R1925-T1925</f>
        <v/>
      </c>
      <c r="V1925" s="26">
        <f>U1925-L1925</f>
        <v/>
      </c>
    </row>
    <row r="1926">
      <c r="A1926" s="11" t="n">
        <v>46222</v>
      </c>
      <c r="B1926" s="1" t="n">
        <v>20048</v>
      </c>
      <c r="C1926" s="1" t="inlineStr">
        <is>
          <t>801</t>
        </is>
      </c>
      <c r="D1926" s="1" t="inlineStr">
        <is>
          <t xml:space="preserve">6607  </t>
        </is>
      </c>
      <c r="E1926" s="1" t="inlineStr">
        <is>
          <t xml:space="preserve">28194770       </t>
        </is>
      </c>
      <c r="F1926" s="5" t="inlineStr">
        <is>
          <t>AUTOS DE METAL 3 TEAMSTERZ EN BLISTER</t>
        </is>
      </c>
      <c r="G1926" t="n">
        <v>1</v>
      </c>
      <c r="H1926" s="7" t="n">
        <v>6.9</v>
      </c>
      <c r="I1926" s="7" t="n">
        <v>0</v>
      </c>
      <c r="J1926" s="7" t="n">
        <v>0</v>
      </c>
      <c r="K1926" s="9" t="n">
        <v>0</v>
      </c>
      <c r="L1926" s="10" t="n">
        <v>4.1</v>
      </c>
      <c r="M1926" s="10" t="n">
        <v>1.43</v>
      </c>
      <c r="N1926" t="inlineStr">
        <is>
          <t>1</t>
        </is>
      </c>
      <c r="O1926" t="inlineStr">
        <is>
          <t>16</t>
        </is>
      </c>
      <c r="P1926" t="inlineStr">
        <is>
          <t xml:space="preserve">234984  </t>
        </is>
      </c>
      <c r="Q1926" s="26" t="n">
        <v>4.09</v>
      </c>
      <c r="R1926" s="26">
        <f>Q1926*G1926</f>
        <v/>
      </c>
      <c r="S1926" s="26">
        <f>IFERROR(VLOOKUP(E1926*1,Tabla[#All],8,0),0)</f>
        <v/>
      </c>
      <c r="T1926" s="26">
        <f>S1926*G1926</f>
        <v/>
      </c>
      <c r="U1926" s="26">
        <f>R1926-T1926</f>
        <v/>
      </c>
      <c r="V1926" s="26">
        <f>U1926-L1926</f>
        <v/>
      </c>
    </row>
    <row r="1927">
      <c r="A1927" s="11" t="n">
        <v>46222</v>
      </c>
      <c r="B1927" s="1" t="n">
        <v>20048</v>
      </c>
      <c r="C1927" s="1" t="inlineStr">
        <is>
          <t>801</t>
        </is>
      </c>
      <c r="D1927" s="1" t="inlineStr">
        <is>
          <t xml:space="preserve">6607  </t>
        </is>
      </c>
      <c r="E1927" s="1" t="inlineStr">
        <is>
          <t xml:space="preserve">28194770       </t>
        </is>
      </c>
      <c r="F1927" s="5" t="inlineStr">
        <is>
          <t>AUTOS DE METAL 3 TEAMSTERZ EN BLISTER</t>
        </is>
      </c>
      <c r="G1927" t="n">
        <v>1</v>
      </c>
      <c r="H1927" s="7" t="n">
        <v>6.9</v>
      </c>
      <c r="I1927" s="7" t="n">
        <v>0</v>
      </c>
      <c r="J1927" s="7" t="n">
        <v>0</v>
      </c>
      <c r="K1927" s="9" t="n">
        <v>0</v>
      </c>
      <c r="L1927" s="10" t="n">
        <v>4.1</v>
      </c>
      <c r="M1927" s="10" t="n">
        <v>1.43</v>
      </c>
      <c r="N1927" t="inlineStr">
        <is>
          <t>1</t>
        </is>
      </c>
      <c r="O1927" t="inlineStr">
        <is>
          <t>16</t>
        </is>
      </c>
      <c r="P1927" t="inlineStr">
        <is>
          <t xml:space="preserve">234984  </t>
        </is>
      </c>
      <c r="Q1927" s="26" t="n">
        <v>4.09</v>
      </c>
      <c r="R1927" s="26">
        <f>Q1927*G1927</f>
        <v/>
      </c>
      <c r="S1927" s="26">
        <f>IFERROR(VLOOKUP(E1927*1,Tabla[#All],8,0),0)</f>
        <v/>
      </c>
      <c r="T1927" s="26">
        <f>S1927*G1927</f>
        <v/>
      </c>
      <c r="U1927" s="26">
        <f>R1927-T1927</f>
        <v/>
      </c>
      <c r="V1927" s="26">
        <f>U1927-L1927</f>
        <v/>
      </c>
    </row>
    <row r="1928">
      <c r="A1928" s="11" t="n">
        <v>46222</v>
      </c>
      <c r="B1928" s="1" t="n">
        <v>20056</v>
      </c>
      <c r="C1928" s="1" t="inlineStr">
        <is>
          <t>012</t>
        </is>
      </c>
      <c r="D1928" s="1" t="inlineStr">
        <is>
          <t xml:space="preserve">67414 </t>
        </is>
      </c>
      <c r="E1928" s="1" t="inlineStr">
        <is>
          <t xml:space="preserve">31754675       </t>
        </is>
      </c>
      <c r="F1928" s="5" t="inlineStr">
        <is>
          <t>INFINITY NADO SERIE 6 STARTER PACK - 4 MODELOS</t>
        </is>
      </c>
      <c r="G1928" t="n">
        <v>1</v>
      </c>
      <c r="H1928" s="7" t="n">
        <v>49.9</v>
      </c>
      <c r="I1928" s="7" t="n">
        <v>0</v>
      </c>
      <c r="J1928" s="7" t="n">
        <v>0</v>
      </c>
      <c r="K1928" s="9" t="n">
        <v>0</v>
      </c>
      <c r="L1928" s="10" t="n">
        <v>29.6</v>
      </c>
      <c r="M1928" s="10" t="n">
        <v>1.43</v>
      </c>
      <c r="N1928" t="inlineStr">
        <is>
          <t>1</t>
        </is>
      </c>
      <c r="O1928" t="inlineStr">
        <is>
          <t>16</t>
        </is>
      </c>
      <c r="P1928" t="inlineStr">
        <is>
          <t xml:space="preserve">250152  </t>
        </is>
      </c>
      <c r="Q1928" s="26" t="n">
        <v>41.47</v>
      </c>
      <c r="R1928" s="26">
        <f>Q1928*G1928</f>
        <v/>
      </c>
      <c r="S1928" s="26">
        <f>IFERROR(VLOOKUP(E1928*1,Tabla[#All],8,0),0)</f>
        <v/>
      </c>
      <c r="T1928" s="26">
        <f>S1928*G1928</f>
        <v/>
      </c>
      <c r="U1928" s="26">
        <f>R1928-T1928</f>
        <v/>
      </c>
      <c r="V1928" s="26">
        <f>U1928-L1928</f>
        <v/>
      </c>
    </row>
    <row r="1929">
      <c r="A1929" s="11" t="n">
        <v>46222</v>
      </c>
      <c r="B1929" s="1" t="n">
        <v>20056</v>
      </c>
      <c r="C1929" s="1" t="inlineStr">
        <is>
          <t>022</t>
        </is>
      </c>
      <c r="D1929" s="1" t="inlineStr">
        <is>
          <t xml:space="preserve">55102 </t>
        </is>
      </c>
      <c r="E1929" s="1" t="inlineStr">
        <is>
          <t xml:space="preserve">32656417       </t>
        </is>
      </c>
      <c r="F1929" s="5" t="inlineStr">
        <is>
          <t>NO DESPIERTES A PAPA</t>
        </is>
      </c>
      <c r="G1929" t="n">
        <v>1</v>
      </c>
      <c r="H1929" s="7" t="n">
        <v>39.9</v>
      </c>
      <c r="I1929" s="7" t="n">
        <v>0</v>
      </c>
      <c r="J1929" s="7" t="n">
        <v>0</v>
      </c>
      <c r="K1929" s="9" t="n">
        <v>0</v>
      </c>
      <c r="L1929" s="10" t="n">
        <v>23.67</v>
      </c>
      <c r="M1929" s="10" t="n">
        <v>1.43</v>
      </c>
      <c r="N1929" t="inlineStr">
        <is>
          <t>1</t>
        </is>
      </c>
      <c r="O1929" t="inlineStr">
        <is>
          <t>16</t>
        </is>
      </c>
      <c r="P1929" t="inlineStr">
        <is>
          <t xml:space="preserve">247194  </t>
        </is>
      </c>
      <c r="Q1929" s="26" t="n">
        <v>53.33</v>
      </c>
      <c r="R1929" s="26">
        <f>Q1929*G1929</f>
        <v/>
      </c>
      <c r="S1929" s="26">
        <f>IFERROR(VLOOKUP(E1929*1,Tabla[#All],8,0),0)</f>
        <v/>
      </c>
      <c r="T1929" s="26">
        <f>S1929*G1929</f>
        <v/>
      </c>
      <c r="U1929" s="26">
        <f>R1929-T1929</f>
        <v/>
      </c>
      <c r="V1929" s="26">
        <f>U1929-L1929</f>
        <v/>
      </c>
    </row>
    <row r="1930">
      <c r="A1930" s="11" t="n">
        <v>46222</v>
      </c>
      <c r="B1930" s="1" t="n">
        <v>20056</v>
      </c>
      <c r="C1930" s="1" t="inlineStr">
        <is>
          <t>501</t>
        </is>
      </c>
      <c r="D1930" s="1" t="inlineStr">
        <is>
          <t xml:space="preserve">4280  </t>
        </is>
      </c>
      <c r="E1930" s="1" t="inlineStr">
        <is>
          <t xml:space="preserve">28194767       </t>
        </is>
      </c>
      <c r="F1930" s="5" t="inlineStr">
        <is>
          <t>CAMIONES TEAMSTERZ DE EMERGENCIA</t>
        </is>
      </c>
      <c r="G1930" t="n">
        <v>1</v>
      </c>
      <c r="H1930" s="7" t="n">
        <v>17.9</v>
      </c>
      <c r="I1930" s="7" t="n">
        <v>0</v>
      </c>
      <c r="J1930" s="7" t="n">
        <v>0</v>
      </c>
      <c r="K1930" s="9" t="n">
        <v>0</v>
      </c>
      <c r="L1930" s="10" t="n">
        <v>10.62</v>
      </c>
      <c r="M1930" s="10" t="n">
        <v>1.43</v>
      </c>
      <c r="N1930" t="inlineStr">
        <is>
          <t>1</t>
        </is>
      </c>
      <c r="O1930" t="inlineStr">
        <is>
          <t>16</t>
        </is>
      </c>
      <c r="P1930" t="inlineStr">
        <is>
          <t xml:space="preserve">241925  </t>
        </is>
      </c>
      <c r="Q1930" s="26" t="n">
        <v>10.62</v>
      </c>
      <c r="R1930" s="26">
        <f>Q1930*G1930</f>
        <v/>
      </c>
      <c r="S1930" s="26">
        <f>IFERROR(VLOOKUP(E1930*1,Tabla[#All],8,0),0)</f>
        <v/>
      </c>
      <c r="T1930" s="26">
        <f>S1930*G1930</f>
        <v/>
      </c>
      <c r="U1930" s="26">
        <f>R1930-T1930</f>
        <v/>
      </c>
      <c r="V1930" s="26">
        <f>U1930-L1930</f>
        <v/>
      </c>
    </row>
    <row r="1931">
      <c r="A1931" s="11" t="n">
        <v>46222</v>
      </c>
      <c r="B1931" s="1" t="n">
        <v>20057</v>
      </c>
      <c r="C1931" s="1" t="inlineStr">
        <is>
          <t>010</t>
        </is>
      </c>
      <c r="D1931" s="1" t="inlineStr">
        <is>
          <t xml:space="preserve">39552 </t>
        </is>
      </c>
      <c r="E1931" s="1" t="inlineStr">
        <is>
          <t xml:space="preserve">34840558       </t>
        </is>
      </c>
      <c r="F1931" s="5" t="inlineStr">
        <is>
          <t>TMZ CAMBIA DE COLOR PLAYSET CALAVERA + 1 AUTO</t>
        </is>
      </c>
      <c r="G1931" t="n">
        <v>1</v>
      </c>
      <c r="H1931" s="7" t="n">
        <v>59.9</v>
      </c>
      <c r="I1931" s="7" t="n">
        <v>0</v>
      </c>
      <c r="J1931" s="7" t="n">
        <v>0</v>
      </c>
      <c r="K1931" s="9" t="n">
        <v>0</v>
      </c>
      <c r="L1931" s="10" t="n">
        <v>35.53</v>
      </c>
      <c r="M1931" s="10" t="n">
        <v>1.43</v>
      </c>
      <c r="N1931" t="inlineStr">
        <is>
          <t>1</t>
        </is>
      </c>
      <c r="O1931" t="inlineStr">
        <is>
          <t xml:space="preserve">6 </t>
        </is>
      </c>
      <c r="P1931" t="inlineStr">
        <is>
          <t xml:space="preserve">242831  </t>
        </is>
      </c>
      <c r="Q1931" s="26" t="n">
        <v>58.73</v>
      </c>
      <c r="R1931" s="26">
        <f>Q1931*G1931</f>
        <v/>
      </c>
      <c r="S1931" s="26">
        <f>IFERROR(VLOOKUP(E1931*1,Tabla[#All],8,0),0)</f>
        <v/>
      </c>
      <c r="T1931" s="26">
        <f>S1931*G1931</f>
        <v/>
      </c>
      <c r="U1931" s="26">
        <f>R1931-T1931</f>
        <v/>
      </c>
      <c r="V1931" s="26">
        <f>U1931-L1931</f>
        <v/>
      </c>
    </row>
    <row r="1932">
      <c r="A1932" s="11" t="n">
        <v>46222</v>
      </c>
      <c r="B1932" s="1" t="n">
        <v>20057</v>
      </c>
      <c r="C1932" s="1" t="inlineStr">
        <is>
          <t>010</t>
        </is>
      </c>
      <c r="D1932" s="1" t="inlineStr">
        <is>
          <t xml:space="preserve">39561 </t>
        </is>
      </c>
      <c r="E1932" s="1" t="inlineStr">
        <is>
          <t xml:space="preserve">34840552       </t>
        </is>
      </c>
      <c r="F1932" s="5" t="inlineStr">
        <is>
          <t>TMZ HELI POLICIA CON LUCES Y SONIDOS</t>
        </is>
      </c>
      <c r="G1932" t="n">
        <v>1</v>
      </c>
      <c r="H1932" s="7" t="n">
        <v>79.90000000000001</v>
      </c>
      <c r="I1932" s="7" t="n">
        <v>0</v>
      </c>
      <c r="J1932" s="7" t="n">
        <v>0</v>
      </c>
      <c r="K1932" s="9" t="n">
        <v>0</v>
      </c>
      <c r="L1932" s="10" t="n">
        <v>47.4</v>
      </c>
      <c r="M1932" s="10" t="n">
        <v>1.43</v>
      </c>
      <c r="N1932" t="inlineStr">
        <is>
          <t>1</t>
        </is>
      </c>
      <c r="O1932" t="inlineStr">
        <is>
          <t xml:space="preserve">2 </t>
        </is>
      </c>
      <c r="P1932" t="inlineStr">
        <is>
          <t xml:space="preserve">242831  </t>
        </is>
      </c>
      <c r="Q1932" s="26" t="n">
        <v>47.4</v>
      </c>
      <c r="R1932" s="26">
        <f>Q1932*G1932</f>
        <v/>
      </c>
      <c r="S1932" s="26">
        <f>IFERROR(VLOOKUP(E1932*1,Tabla[#All],8,0),0)</f>
        <v/>
      </c>
      <c r="T1932" s="26">
        <f>S1932*G1932</f>
        <v/>
      </c>
      <c r="U1932" s="26">
        <f>R1932-T1932</f>
        <v/>
      </c>
      <c r="V1932" s="26">
        <f>U1932-L1932</f>
        <v/>
      </c>
    </row>
    <row r="1933">
      <c r="A1933" s="11" t="n">
        <v>46222</v>
      </c>
      <c r="B1933" s="1" t="n">
        <v>20057</v>
      </c>
      <c r="C1933" s="1" t="inlineStr">
        <is>
          <t>023</t>
        </is>
      </c>
      <c r="D1933" s="1" t="inlineStr">
        <is>
          <t xml:space="preserve">51305 </t>
        </is>
      </c>
      <c r="E1933" s="1" t="inlineStr">
        <is>
          <t xml:space="preserve">28194769       </t>
        </is>
      </c>
      <c r="F1933" s="5" t="inlineStr">
        <is>
          <t>AUTOS DE METAL 3 TEAMSTERZ PACK DE 2</t>
        </is>
      </c>
      <c r="G1933" t="n">
        <v>1</v>
      </c>
      <c r="H1933" s="7" t="n">
        <v>13.8</v>
      </c>
      <c r="I1933" s="7" t="n">
        <v>0</v>
      </c>
      <c r="J1933" s="7" t="n">
        <v>0</v>
      </c>
      <c r="K1933" s="9" t="n">
        <v>0</v>
      </c>
      <c r="L1933" s="10" t="n">
        <v>8.18</v>
      </c>
      <c r="M1933" s="10" t="n">
        <v>1.43</v>
      </c>
      <c r="N1933" t="inlineStr">
        <is>
          <t>1</t>
        </is>
      </c>
      <c r="O1933" t="inlineStr">
        <is>
          <t>16</t>
        </is>
      </c>
      <c r="P1933" t="inlineStr">
        <is>
          <t xml:space="preserve">241623  </t>
        </is>
      </c>
      <c r="Q1933" s="26" t="n">
        <v>8.19</v>
      </c>
      <c r="R1933" s="26">
        <f>Q1933*G1933</f>
        <v/>
      </c>
      <c r="S1933" s="26">
        <f>IFERROR(VLOOKUP(E1933*1,Tabla[#All],8,0),0)</f>
        <v/>
      </c>
      <c r="T1933" s="26">
        <f>S1933*G1933</f>
        <v/>
      </c>
      <c r="U1933" s="26">
        <f>R1933-T1933</f>
        <v/>
      </c>
      <c r="V1933" s="26">
        <f>U1933-L1933</f>
        <v/>
      </c>
    </row>
    <row r="1934">
      <c r="A1934" s="11" t="n">
        <v>46222</v>
      </c>
      <c r="B1934" s="1" t="n">
        <v>20057</v>
      </c>
      <c r="C1934" s="1" t="inlineStr">
        <is>
          <t>032</t>
        </is>
      </c>
      <c r="D1934" s="1" t="inlineStr">
        <is>
          <t xml:space="preserve">75281 </t>
        </is>
      </c>
      <c r="E1934" s="1" t="inlineStr">
        <is>
          <t xml:space="preserve">28194770       </t>
        </is>
      </c>
      <c r="F1934" s="5" t="inlineStr">
        <is>
          <t>AUTOS DE METAL 3 TEAMSTERZ EN BLISTER</t>
        </is>
      </c>
      <c r="G1934" t="n">
        <v>1</v>
      </c>
      <c r="H1934" s="7" t="n">
        <v>6.9</v>
      </c>
      <c r="I1934" s="7" t="n">
        <v>0</v>
      </c>
      <c r="J1934" s="7" t="n">
        <v>0</v>
      </c>
      <c r="K1934" s="9" t="n">
        <v>0</v>
      </c>
      <c r="L1934" s="10" t="n">
        <v>4.1</v>
      </c>
      <c r="M1934" s="10" t="n">
        <v>1.43</v>
      </c>
      <c r="N1934" t="inlineStr">
        <is>
          <t>1</t>
        </is>
      </c>
      <c r="O1934" t="inlineStr">
        <is>
          <t>16</t>
        </is>
      </c>
      <c r="P1934" t="inlineStr">
        <is>
          <t xml:space="preserve">250316  </t>
        </is>
      </c>
      <c r="Q1934" s="26" t="n">
        <v>4.09</v>
      </c>
      <c r="R1934" s="26">
        <f>Q1934*G1934</f>
        <v/>
      </c>
      <c r="S1934" s="26">
        <f>IFERROR(VLOOKUP(E1934*1,Tabla[#All],8,0),0)</f>
        <v/>
      </c>
      <c r="T1934" s="26">
        <f>S1934*G1934</f>
        <v/>
      </c>
      <c r="U1934" s="26">
        <f>R1934-T1934</f>
        <v/>
      </c>
      <c r="V1934" s="26">
        <f>U1934-L1934</f>
        <v/>
      </c>
    </row>
    <row r="1935">
      <c r="A1935" s="11" t="n">
        <v>46222</v>
      </c>
      <c r="B1935" s="1" t="n">
        <v>20057</v>
      </c>
      <c r="C1935" s="1" t="inlineStr">
        <is>
          <t>032</t>
        </is>
      </c>
      <c r="D1935" s="1" t="inlineStr">
        <is>
          <t xml:space="preserve">75311 </t>
        </is>
      </c>
      <c r="E1935" s="1" t="inlineStr">
        <is>
          <t xml:space="preserve">28194769       </t>
        </is>
      </c>
      <c r="F1935" s="5" t="inlineStr">
        <is>
          <t>AUTOS DE METAL 3 TEAMSTERZ PACK DE 2</t>
        </is>
      </c>
      <c r="G1935" t="n">
        <v>1</v>
      </c>
      <c r="H1935" s="7" t="n">
        <v>13.8</v>
      </c>
      <c r="I1935" s="7" t="n">
        <v>0</v>
      </c>
      <c r="J1935" s="7" t="n">
        <v>0</v>
      </c>
      <c r="K1935" s="9" t="n">
        <v>0</v>
      </c>
      <c r="L1935" s="10" t="n">
        <v>8.18</v>
      </c>
      <c r="M1935" s="10" t="n">
        <v>1.43</v>
      </c>
      <c r="N1935" t="inlineStr">
        <is>
          <t>1</t>
        </is>
      </c>
      <c r="O1935" t="inlineStr">
        <is>
          <t xml:space="preserve">2 </t>
        </is>
      </c>
      <c r="P1935" t="inlineStr">
        <is>
          <t xml:space="preserve">250316  </t>
        </is>
      </c>
      <c r="Q1935" s="26" t="n">
        <v>8.19</v>
      </c>
      <c r="R1935" s="26">
        <f>Q1935*G1935</f>
        <v/>
      </c>
      <c r="S1935" s="26">
        <f>IFERROR(VLOOKUP(E1935*1,Tabla[#All],8,0),0)</f>
        <v/>
      </c>
      <c r="T1935" s="26">
        <f>S1935*G1935</f>
        <v/>
      </c>
      <c r="U1935" s="26">
        <f>R1935-T1935</f>
        <v/>
      </c>
      <c r="V1935" s="26">
        <f>U1935-L1935</f>
        <v/>
      </c>
    </row>
    <row r="1936">
      <c r="A1936" s="11" t="n">
        <v>46222</v>
      </c>
      <c r="B1936" s="1" t="n">
        <v>20057</v>
      </c>
      <c r="C1936" s="1" t="inlineStr">
        <is>
          <t>032</t>
        </is>
      </c>
      <c r="D1936" s="1" t="inlineStr">
        <is>
          <t xml:space="preserve">75311 </t>
        </is>
      </c>
      <c r="E1936" s="1" t="inlineStr">
        <is>
          <t xml:space="preserve">28194769       </t>
        </is>
      </c>
      <c r="F1936" s="5" t="inlineStr">
        <is>
          <t>AUTOS DE METAL 3 TEAMSTERZ PACK DE 2</t>
        </is>
      </c>
      <c r="G1936" t="n">
        <v>1</v>
      </c>
      <c r="H1936" s="7" t="n">
        <v>13.8</v>
      </c>
      <c r="I1936" s="7" t="n">
        <v>0</v>
      </c>
      <c r="J1936" s="7" t="n">
        <v>0</v>
      </c>
      <c r="K1936" s="9" t="n">
        <v>0</v>
      </c>
      <c r="L1936" s="10" t="n">
        <v>8.18</v>
      </c>
      <c r="M1936" s="10" t="n">
        <v>1.43</v>
      </c>
      <c r="N1936" t="inlineStr">
        <is>
          <t>1</t>
        </is>
      </c>
      <c r="O1936" t="inlineStr">
        <is>
          <t xml:space="preserve">2 </t>
        </is>
      </c>
      <c r="P1936" t="inlineStr">
        <is>
          <t xml:space="preserve">250316  </t>
        </is>
      </c>
      <c r="Q1936" s="26" t="n">
        <v>8.19</v>
      </c>
      <c r="R1936" s="26">
        <f>Q1936*G1936</f>
        <v/>
      </c>
      <c r="S1936" s="26">
        <f>IFERROR(VLOOKUP(E1936*1,Tabla[#All],8,0),0)</f>
        <v/>
      </c>
      <c r="T1936" s="26">
        <f>S1936*G1936</f>
        <v/>
      </c>
      <c r="U1936" s="26">
        <f>R1936-T1936</f>
        <v/>
      </c>
      <c r="V1936" s="26">
        <f>U1936-L1936</f>
        <v/>
      </c>
    </row>
    <row r="1937">
      <c r="A1937" s="11" t="n">
        <v>46222</v>
      </c>
      <c r="B1937" s="1" t="n">
        <v>20057</v>
      </c>
      <c r="C1937" s="1" t="inlineStr">
        <is>
          <t>032</t>
        </is>
      </c>
      <c r="D1937" s="1" t="inlineStr">
        <is>
          <t xml:space="preserve">75311 </t>
        </is>
      </c>
      <c r="E1937" s="1" t="inlineStr">
        <is>
          <t xml:space="preserve">28194770       </t>
        </is>
      </c>
      <c r="F1937" s="5" t="inlineStr">
        <is>
          <t>AUTOS DE METAL 3 TEAMSTERZ EN BLISTER</t>
        </is>
      </c>
      <c r="G1937" t="n">
        <v>1</v>
      </c>
      <c r="H1937" s="7" t="n">
        <v>6.9</v>
      </c>
      <c r="I1937" s="7" t="n">
        <v>0</v>
      </c>
      <c r="J1937" s="7" t="n">
        <v>0</v>
      </c>
      <c r="K1937" s="9" t="n">
        <v>0</v>
      </c>
      <c r="L1937" s="10" t="n">
        <v>4.1</v>
      </c>
      <c r="M1937" s="10" t="n">
        <v>1.43</v>
      </c>
      <c r="N1937" t="inlineStr">
        <is>
          <t>1</t>
        </is>
      </c>
      <c r="O1937" t="inlineStr">
        <is>
          <t xml:space="preserve">2 </t>
        </is>
      </c>
      <c r="P1937" t="inlineStr">
        <is>
          <t xml:space="preserve">250316  </t>
        </is>
      </c>
      <c r="Q1937" s="26" t="n">
        <v>4.09</v>
      </c>
      <c r="R1937" s="26">
        <f>Q1937*G1937</f>
        <v/>
      </c>
      <c r="S1937" s="26">
        <f>IFERROR(VLOOKUP(E1937*1,Tabla[#All],8,0),0)</f>
        <v/>
      </c>
      <c r="T1937" s="26">
        <f>S1937*G1937</f>
        <v/>
      </c>
      <c r="U1937" s="26">
        <f>R1937-T1937</f>
        <v/>
      </c>
      <c r="V1937" s="26">
        <f>U1937-L1937</f>
        <v/>
      </c>
    </row>
    <row r="1938">
      <c r="A1938" s="11" t="n">
        <v>46222</v>
      </c>
      <c r="B1938" s="1" t="n">
        <v>20057</v>
      </c>
      <c r="C1938" s="1" t="inlineStr">
        <is>
          <t>033</t>
        </is>
      </c>
      <c r="D1938" s="1" t="inlineStr">
        <is>
          <t xml:space="preserve">67528 </t>
        </is>
      </c>
      <c r="E1938" s="1" t="inlineStr">
        <is>
          <t xml:space="preserve">28194769       </t>
        </is>
      </c>
      <c r="F1938" s="5" t="inlineStr">
        <is>
          <t>AUTOS DE METAL 3 TEAMSTERZ PACK DE 2</t>
        </is>
      </c>
      <c r="G1938" t="n">
        <v>1</v>
      </c>
      <c r="H1938" s="7" t="n">
        <v>13.8</v>
      </c>
      <c r="I1938" s="7" t="n">
        <v>1.38</v>
      </c>
      <c r="J1938" s="7" t="n">
        <v>0</v>
      </c>
      <c r="K1938" s="9" t="n">
        <v>1.38</v>
      </c>
      <c r="L1938" s="10" t="n">
        <v>7.37</v>
      </c>
      <c r="M1938" s="10" t="n">
        <v>1.43</v>
      </c>
      <c r="N1938" t="inlineStr">
        <is>
          <t>1</t>
        </is>
      </c>
      <c r="O1938" t="inlineStr">
        <is>
          <t>16</t>
        </is>
      </c>
      <c r="P1938" t="inlineStr">
        <is>
          <t xml:space="preserve">235719  </t>
        </is>
      </c>
      <c r="Q1938" s="26" t="n">
        <v>8.19</v>
      </c>
      <c r="R1938" s="26">
        <f>Q1938*G1938</f>
        <v/>
      </c>
      <c r="S1938" s="26">
        <f>IFERROR(VLOOKUP(E1938*1,Tabla[#All],8,0),0)</f>
        <v/>
      </c>
      <c r="T1938" s="26">
        <f>S1938*G1938</f>
        <v/>
      </c>
      <c r="U1938" s="26">
        <f>R1938-T1938</f>
        <v/>
      </c>
      <c r="V1938" s="26">
        <f>U1938-L1938</f>
        <v/>
      </c>
    </row>
    <row r="1939">
      <c r="A1939" s="11" t="n">
        <v>46222</v>
      </c>
      <c r="B1939" s="1" t="n">
        <v>20057</v>
      </c>
      <c r="C1939" s="1" t="inlineStr">
        <is>
          <t>033</t>
        </is>
      </c>
      <c r="D1939" s="1" t="inlineStr">
        <is>
          <t xml:space="preserve">67528 </t>
        </is>
      </c>
      <c r="E1939" s="1" t="inlineStr">
        <is>
          <t xml:space="preserve">28194769       </t>
        </is>
      </c>
      <c r="F1939" s="5" t="inlineStr">
        <is>
          <t>AUTOS DE METAL 3 TEAMSTERZ PACK DE 2</t>
        </is>
      </c>
      <c r="G1939" t="n">
        <v>1</v>
      </c>
      <c r="H1939" s="7" t="n">
        <v>13.8</v>
      </c>
      <c r="I1939" s="7" t="n">
        <v>1.38</v>
      </c>
      <c r="J1939" s="7" t="n">
        <v>0</v>
      </c>
      <c r="K1939" s="9" t="n">
        <v>1.38</v>
      </c>
      <c r="L1939" s="10" t="n">
        <v>7.37</v>
      </c>
      <c r="M1939" s="10" t="n">
        <v>1.43</v>
      </c>
      <c r="N1939" t="inlineStr">
        <is>
          <t>1</t>
        </is>
      </c>
      <c r="O1939" t="inlineStr">
        <is>
          <t>16</t>
        </is>
      </c>
      <c r="P1939" t="inlineStr">
        <is>
          <t xml:space="preserve">235719  </t>
        </is>
      </c>
      <c r="Q1939" s="26" t="n">
        <v>8.19</v>
      </c>
      <c r="R1939" s="26">
        <f>Q1939*G1939</f>
        <v/>
      </c>
      <c r="S1939" s="26">
        <f>IFERROR(VLOOKUP(E1939*1,Tabla[#All],8,0),0)</f>
        <v/>
      </c>
      <c r="T1939" s="26">
        <f>S1939*G1939</f>
        <v/>
      </c>
      <c r="U1939" s="26">
        <f>R1939-T1939</f>
        <v/>
      </c>
      <c r="V1939" s="26">
        <f>U1939-L1939</f>
        <v/>
      </c>
    </row>
    <row r="1940">
      <c r="A1940" s="11" t="n">
        <v>46222</v>
      </c>
      <c r="B1940" s="1" t="n">
        <v>20057</v>
      </c>
      <c r="C1940" s="1" t="inlineStr">
        <is>
          <t>033</t>
        </is>
      </c>
      <c r="D1940" s="1" t="inlineStr">
        <is>
          <t xml:space="preserve">67528 </t>
        </is>
      </c>
      <c r="E1940" s="1" t="inlineStr">
        <is>
          <t xml:space="preserve">30141766       </t>
        </is>
      </c>
      <c r="F1940" s="5" t="inlineStr">
        <is>
          <t>TMZ BEAST MACHINES AUTOS DE METAL BLISTER X 1</t>
        </is>
      </c>
      <c r="G1940" t="n">
        <v>1</v>
      </c>
      <c r="H1940" s="7" t="n">
        <v>7.9</v>
      </c>
      <c r="I1940" s="7" t="n">
        <v>0.79</v>
      </c>
      <c r="J1940" s="7" t="n">
        <v>0</v>
      </c>
      <c r="K1940" s="9" t="n">
        <v>0.79</v>
      </c>
      <c r="L1940" s="10" t="n">
        <v>4.22</v>
      </c>
      <c r="M1940" s="10" t="n">
        <v>1.43</v>
      </c>
      <c r="N1940" t="inlineStr">
        <is>
          <t>1</t>
        </is>
      </c>
      <c r="O1940" t="inlineStr">
        <is>
          <t>16</t>
        </is>
      </c>
      <c r="P1940" t="inlineStr">
        <is>
          <t xml:space="preserve">235719  </t>
        </is>
      </c>
      <c r="Q1940" s="26" t="n">
        <v>4.69</v>
      </c>
      <c r="R1940" s="26">
        <f>Q1940*G1940</f>
        <v/>
      </c>
      <c r="S1940" s="26">
        <f>IFERROR(VLOOKUP(E1940*1,Tabla[#All],8,0),0)</f>
        <v/>
      </c>
      <c r="T1940" s="26">
        <f>S1940*G1940</f>
        <v/>
      </c>
      <c r="U1940" s="26">
        <f>R1940-T1940</f>
        <v/>
      </c>
      <c r="V1940" s="26">
        <f>U1940-L1940</f>
        <v/>
      </c>
    </row>
    <row r="1941">
      <c r="A1941" s="11" t="n">
        <v>46222</v>
      </c>
      <c r="B1941" s="1" t="n">
        <v>20057</v>
      </c>
      <c r="C1941" s="1" t="inlineStr">
        <is>
          <t>861</t>
        </is>
      </c>
      <c r="D1941" s="1" t="inlineStr">
        <is>
          <t xml:space="preserve">922   </t>
        </is>
      </c>
      <c r="E1941" s="1" t="inlineStr">
        <is>
          <t xml:space="preserve">32457101       </t>
        </is>
      </c>
      <c r="F1941" s="5" t="inlineStr">
        <is>
          <t>TMZ BEAST MACHINES TRANSPORTE PESADO + 2 AUTOS SUR</t>
        </is>
      </c>
      <c r="G1941" t="n">
        <v>1</v>
      </c>
      <c r="H1941" s="7" t="n">
        <v>17.9</v>
      </c>
      <c r="I1941" s="7" t="n">
        <v>0</v>
      </c>
      <c r="J1941" s="7" t="n">
        <v>0</v>
      </c>
      <c r="K1941" s="9" t="n">
        <v>0</v>
      </c>
      <c r="L1941" s="10" t="n">
        <v>10.62</v>
      </c>
      <c r="M1941" s="10" t="n">
        <v>1.43</v>
      </c>
      <c r="N1941" t="inlineStr">
        <is>
          <t>1</t>
        </is>
      </c>
      <c r="O1941" t="inlineStr">
        <is>
          <t>16</t>
        </is>
      </c>
      <c r="P1941" t="inlineStr">
        <is>
          <t xml:space="preserve">0       </t>
        </is>
      </c>
      <c r="Q1941" s="26" t="n">
        <v>22.48</v>
      </c>
      <c r="R1941" s="26">
        <f>Q1941*G1941</f>
        <v/>
      </c>
      <c r="S1941" s="26">
        <f>IFERROR(VLOOKUP(E1941*1,Tabla[#All],8,0),0)</f>
        <v/>
      </c>
      <c r="T1941" s="26">
        <f>S1941*G1941</f>
        <v/>
      </c>
      <c r="U1941" s="26">
        <f>R1941-T1941</f>
        <v/>
      </c>
      <c r="V1941" s="26">
        <f>U1941-L1941</f>
        <v/>
      </c>
    </row>
    <row r="1942">
      <c r="A1942" s="11" t="n">
        <v>46222</v>
      </c>
      <c r="B1942" s="1" t="n">
        <v>20057</v>
      </c>
      <c r="C1942" s="1" t="inlineStr">
        <is>
          <t>862</t>
        </is>
      </c>
      <c r="D1942" s="1" t="inlineStr">
        <is>
          <t xml:space="preserve">8069  </t>
        </is>
      </c>
      <c r="E1942" s="1" t="inlineStr">
        <is>
          <t xml:space="preserve">33483123       </t>
        </is>
      </c>
      <c r="F1942" s="5" t="inlineStr">
        <is>
          <t>NENUCO DISFRACES</t>
        </is>
      </c>
      <c r="G1942" t="n">
        <v>1</v>
      </c>
      <c r="H1942" s="7" t="n">
        <v>69.90000000000001</v>
      </c>
      <c r="I1942" s="7" t="n">
        <v>0</v>
      </c>
      <c r="J1942" s="7" t="n">
        <v>0</v>
      </c>
      <c r="K1942" s="9" t="n">
        <v>0</v>
      </c>
      <c r="L1942" s="10" t="n">
        <v>41.47</v>
      </c>
      <c r="M1942" s="10" t="n">
        <v>1.43</v>
      </c>
      <c r="N1942" t="inlineStr">
        <is>
          <t>1</t>
        </is>
      </c>
      <c r="O1942" t="inlineStr">
        <is>
          <t>16</t>
        </is>
      </c>
      <c r="P1942" t="inlineStr">
        <is>
          <t xml:space="preserve">0       </t>
        </is>
      </c>
      <c r="Q1942" s="26" t="n">
        <v>53.33</v>
      </c>
      <c r="R1942" s="26">
        <f>Q1942*G1942</f>
        <v/>
      </c>
      <c r="S1942" s="26">
        <f>IFERROR(VLOOKUP(E1942*1,Tabla[#All],8,0),0)</f>
        <v/>
      </c>
      <c r="T1942" s="26">
        <f>S1942*G1942</f>
        <v/>
      </c>
      <c r="U1942" s="26">
        <f>R1942-T1942</f>
        <v/>
      </c>
      <c r="V1942" s="26">
        <f>U1942-L1942</f>
        <v/>
      </c>
    </row>
    <row r="1943">
      <c r="A1943" s="11" t="n">
        <v>46222</v>
      </c>
      <c r="B1943" s="1" t="n">
        <v>20057</v>
      </c>
      <c r="C1943" s="1" t="inlineStr">
        <is>
          <t>863</t>
        </is>
      </c>
      <c r="D1943" s="1" t="inlineStr">
        <is>
          <t xml:space="preserve">4973  </t>
        </is>
      </c>
      <c r="E1943" s="1" t="inlineStr">
        <is>
          <t xml:space="preserve">28194770       </t>
        </is>
      </c>
      <c r="F1943" s="5" t="inlineStr">
        <is>
          <t>AUTOS DE METAL 3 TEAMSTERZ EN BLISTER</t>
        </is>
      </c>
      <c r="G1943" t="n">
        <v>1</v>
      </c>
      <c r="H1943" s="7" t="n">
        <v>6.9</v>
      </c>
      <c r="I1943" s="7" t="n">
        <v>0</v>
      </c>
      <c r="J1943" s="7" t="n">
        <v>0</v>
      </c>
      <c r="K1943" s="9" t="n">
        <v>0</v>
      </c>
      <c r="L1943" s="10" t="n">
        <v>4.1</v>
      </c>
      <c r="M1943" s="10" t="n">
        <v>1.43</v>
      </c>
      <c r="N1943" t="inlineStr">
        <is>
          <t>1</t>
        </is>
      </c>
      <c r="O1943" t="inlineStr">
        <is>
          <t>16</t>
        </is>
      </c>
      <c r="P1943" t="inlineStr">
        <is>
          <t xml:space="preserve">0       </t>
        </is>
      </c>
      <c r="Q1943" s="26" t="n">
        <v>4.09</v>
      </c>
      <c r="R1943" s="26">
        <f>Q1943*G1943</f>
        <v/>
      </c>
      <c r="S1943" s="26">
        <f>IFERROR(VLOOKUP(E1943*1,Tabla[#All],8,0),0)</f>
        <v/>
      </c>
      <c r="T1943" s="26">
        <f>S1943*G1943</f>
        <v/>
      </c>
      <c r="U1943" s="26">
        <f>R1943-T1943</f>
        <v/>
      </c>
      <c r="V1943" s="26">
        <f>U1943-L1943</f>
        <v/>
      </c>
    </row>
    <row r="1944">
      <c r="A1944" s="11" t="n">
        <v>46222</v>
      </c>
      <c r="B1944" s="1" t="n">
        <v>20058</v>
      </c>
      <c r="C1944" s="1" t="inlineStr">
        <is>
          <t>032</t>
        </is>
      </c>
      <c r="D1944" s="1" t="inlineStr">
        <is>
          <t>208342</t>
        </is>
      </c>
      <c r="E1944" s="1" t="inlineStr">
        <is>
          <t xml:space="preserve">28194770       </t>
        </is>
      </c>
      <c r="F1944" s="5" t="inlineStr">
        <is>
          <t>AUTOS DE METAL 3 TEAMSTERZ EN BLISTER</t>
        </is>
      </c>
      <c r="G1944" t="n">
        <v>1</v>
      </c>
      <c r="H1944" s="7" t="n">
        <v>6.9</v>
      </c>
      <c r="I1944" s="7" t="n">
        <v>0</v>
      </c>
      <c r="J1944" s="7" t="n">
        <v>0</v>
      </c>
      <c r="K1944" s="9" t="n">
        <v>0</v>
      </c>
      <c r="L1944" s="10" t="n">
        <v>4.1</v>
      </c>
      <c r="M1944" s="10" t="n">
        <v>1.43</v>
      </c>
      <c r="N1944" t="inlineStr">
        <is>
          <t>1</t>
        </is>
      </c>
      <c r="O1944" t="inlineStr">
        <is>
          <t xml:space="preserve">2 </t>
        </is>
      </c>
      <c r="P1944" t="inlineStr">
        <is>
          <t xml:space="preserve">247297  </t>
        </is>
      </c>
      <c r="Q1944" s="26" t="n">
        <v>4.09</v>
      </c>
      <c r="R1944" s="26">
        <f>Q1944*G1944</f>
        <v/>
      </c>
      <c r="S1944" s="26">
        <f>IFERROR(VLOOKUP(E1944*1,Tabla[#All],8,0),0)</f>
        <v/>
      </c>
      <c r="T1944" s="26">
        <f>S1944*G1944</f>
        <v/>
      </c>
      <c r="U1944" s="26">
        <f>R1944-T1944</f>
        <v/>
      </c>
      <c r="V1944" s="26">
        <f>U1944-L1944</f>
        <v/>
      </c>
    </row>
    <row r="1945">
      <c r="A1945" s="11" t="n">
        <v>46222</v>
      </c>
      <c r="B1945" s="1" t="n">
        <v>20058</v>
      </c>
      <c r="C1945" s="1" t="inlineStr">
        <is>
          <t>039</t>
        </is>
      </c>
      <c r="D1945" s="1" t="inlineStr">
        <is>
          <t>230993</t>
        </is>
      </c>
      <c r="E1945" s="1" t="inlineStr">
        <is>
          <t xml:space="preserve">35685067       </t>
        </is>
      </c>
      <c r="F1945" s="5" t="inlineStr">
        <is>
          <t>HOT WHEELS POWER SET 3 EN 1</t>
        </is>
      </c>
      <c r="G1945" t="n">
        <v>1</v>
      </c>
      <c r="H1945" s="7" t="n">
        <v>49.9</v>
      </c>
      <c r="I1945" s="7" t="n">
        <v>0</v>
      </c>
      <c r="J1945" s="7" t="n">
        <v>0</v>
      </c>
      <c r="K1945" s="9" t="n">
        <v>0</v>
      </c>
      <c r="L1945" s="10" t="n">
        <v>29.6</v>
      </c>
      <c r="M1945" s="10" t="n">
        <v>1.43</v>
      </c>
      <c r="N1945" t="inlineStr">
        <is>
          <t>1</t>
        </is>
      </c>
      <c r="O1945" t="inlineStr">
        <is>
          <t>16</t>
        </is>
      </c>
      <c r="P1945" t="inlineStr">
        <is>
          <t xml:space="preserve">242648  </t>
        </is>
      </c>
      <c r="Q1945" s="26" t="n">
        <v>29.6</v>
      </c>
      <c r="R1945" s="26">
        <f>Q1945*G1945</f>
        <v/>
      </c>
      <c r="S1945" s="26">
        <f>IFERROR(VLOOKUP(E1945*1,Tabla[#All],8,0),0)</f>
        <v/>
      </c>
      <c r="T1945" s="26">
        <f>S1945*G1945</f>
        <v/>
      </c>
      <c r="U1945" s="26">
        <f>R1945-T1945</f>
        <v/>
      </c>
      <c r="V1945" s="26">
        <f>U1945-L1945</f>
        <v/>
      </c>
    </row>
    <row r="1946">
      <c r="A1946" s="11" t="n">
        <v>46222</v>
      </c>
      <c r="B1946" s="1" t="n">
        <v>20058</v>
      </c>
      <c r="C1946" s="1" t="inlineStr">
        <is>
          <t>040</t>
        </is>
      </c>
      <c r="D1946" s="1" t="inlineStr">
        <is>
          <t>197406</t>
        </is>
      </c>
      <c r="E1946" s="1" t="inlineStr">
        <is>
          <t xml:space="preserve">28194770       </t>
        </is>
      </c>
      <c r="F1946" s="5" t="inlineStr">
        <is>
          <t>AUTOS DE METAL 3 TEAMSTERZ EN BLISTER</t>
        </is>
      </c>
      <c r="G1946" t="n">
        <v>1</v>
      </c>
      <c r="H1946" s="7" t="n">
        <v>6.9</v>
      </c>
      <c r="I1946" s="7" t="n">
        <v>0</v>
      </c>
      <c r="J1946" s="7" t="n">
        <v>0</v>
      </c>
      <c r="K1946" s="9" t="n">
        <v>0</v>
      </c>
      <c r="L1946" s="10" t="n">
        <v>4.1</v>
      </c>
      <c r="M1946" s="10" t="n">
        <v>1.43</v>
      </c>
      <c r="N1946" t="inlineStr">
        <is>
          <t>1</t>
        </is>
      </c>
      <c r="O1946" t="inlineStr">
        <is>
          <t>16</t>
        </is>
      </c>
      <c r="P1946" t="inlineStr">
        <is>
          <t xml:space="preserve">41431   </t>
        </is>
      </c>
      <c r="Q1946" s="26" t="n">
        <v>4.09</v>
      </c>
      <c r="R1946" s="26">
        <f>Q1946*G1946</f>
        <v/>
      </c>
      <c r="S1946" s="26">
        <f>IFERROR(VLOOKUP(E1946*1,Tabla[#All],8,0),0)</f>
        <v/>
      </c>
      <c r="T1946" s="26">
        <f>S1946*G1946</f>
        <v/>
      </c>
      <c r="U1946" s="26">
        <f>R1946-T1946</f>
        <v/>
      </c>
      <c r="V1946" s="26">
        <f>U1946-L1946</f>
        <v/>
      </c>
    </row>
    <row r="1947">
      <c r="A1947" s="11" t="n">
        <v>46222</v>
      </c>
      <c r="B1947" s="1" t="n">
        <v>20062</v>
      </c>
      <c r="C1947" s="1" t="inlineStr">
        <is>
          <t>017</t>
        </is>
      </c>
      <c r="D1947" s="1" t="inlineStr">
        <is>
          <t>235940</t>
        </is>
      </c>
      <c r="E1947" s="1" t="inlineStr">
        <is>
          <t xml:space="preserve">30141769       </t>
        </is>
      </c>
      <c r="F1947" s="5" t="inlineStr">
        <is>
          <t>TMZ BEAST MACHINES TRANSPORTE DINOSAURIO + 3 AUTOS</t>
        </is>
      </c>
      <c r="G1947" t="n">
        <v>1</v>
      </c>
      <c r="H1947" s="7" t="n">
        <v>59.9</v>
      </c>
      <c r="I1947" s="7" t="n">
        <v>0</v>
      </c>
      <c r="J1947" s="7" t="n">
        <v>0</v>
      </c>
      <c r="K1947" s="9" t="n">
        <v>0</v>
      </c>
      <c r="L1947" s="10" t="n">
        <v>35.53</v>
      </c>
      <c r="M1947" s="10" t="n">
        <v>1.43</v>
      </c>
      <c r="N1947" t="inlineStr">
        <is>
          <t>1</t>
        </is>
      </c>
      <c r="O1947" t="inlineStr">
        <is>
          <t>16</t>
        </is>
      </c>
      <c r="P1947" t="inlineStr">
        <is>
          <t xml:space="preserve">247900  </t>
        </is>
      </c>
      <c r="Q1947" s="26" t="n">
        <v>47.4</v>
      </c>
      <c r="R1947" s="26">
        <f>Q1947*G1947</f>
        <v/>
      </c>
      <c r="S1947" s="26">
        <f>IFERROR(VLOOKUP(E1947*1,Tabla[#All],8,0),0)</f>
        <v/>
      </c>
      <c r="T1947" s="26">
        <f>S1947*G1947</f>
        <v/>
      </c>
      <c r="U1947" s="26">
        <f>R1947-T1947</f>
        <v/>
      </c>
      <c r="V1947" s="26">
        <f>U1947-L1947</f>
        <v/>
      </c>
    </row>
    <row r="1948">
      <c r="A1948" s="11" t="n">
        <v>46222</v>
      </c>
      <c r="B1948" s="1" t="n">
        <v>20062</v>
      </c>
      <c r="C1948" s="1" t="inlineStr">
        <is>
          <t>038</t>
        </is>
      </c>
      <c r="D1948" s="1" t="inlineStr">
        <is>
          <t>173815</t>
        </is>
      </c>
      <c r="E1948" s="1" t="inlineStr">
        <is>
          <t xml:space="preserve">31754676       </t>
        </is>
      </c>
      <c r="F1948" s="5" t="inlineStr">
        <is>
          <t>INFINITY NADO SERIE 6 STD PACK LANZ ESPAD ANILLO M</t>
        </is>
      </c>
      <c r="G1948" t="n">
        <v>1</v>
      </c>
      <c r="H1948" s="7" t="n">
        <v>59.9</v>
      </c>
      <c r="I1948" s="7" t="n">
        <v>0</v>
      </c>
      <c r="J1948" s="7" t="n">
        <v>0</v>
      </c>
      <c r="K1948" s="9" t="n">
        <v>0</v>
      </c>
      <c r="L1948" s="10" t="n">
        <v>35.53</v>
      </c>
      <c r="M1948" s="10" t="n">
        <v>1.43</v>
      </c>
      <c r="N1948" t="inlineStr">
        <is>
          <t>1</t>
        </is>
      </c>
      <c r="O1948" t="inlineStr">
        <is>
          <t>16</t>
        </is>
      </c>
      <c r="P1948" t="inlineStr">
        <is>
          <t xml:space="preserve">43458   </t>
        </is>
      </c>
      <c r="Q1948" s="26" t="n">
        <v>47.4</v>
      </c>
      <c r="R1948" s="26">
        <f>Q1948*G1948</f>
        <v/>
      </c>
      <c r="S1948" s="26">
        <f>IFERROR(VLOOKUP(E1948*1,Tabla[#All],8,0),0)</f>
        <v/>
      </c>
      <c r="T1948" s="26">
        <f>S1948*G1948</f>
        <v/>
      </c>
      <c r="U1948" s="26">
        <f>R1948-T1948</f>
        <v/>
      </c>
      <c r="V1948" s="26">
        <f>U1948-L1948</f>
        <v/>
      </c>
    </row>
    <row r="1949">
      <c r="A1949" s="11" t="n">
        <v>46222</v>
      </c>
      <c r="B1949" s="1" t="n">
        <v>20062</v>
      </c>
      <c r="C1949" s="1" t="inlineStr">
        <is>
          <t>038</t>
        </is>
      </c>
      <c r="D1949" s="1" t="inlineStr">
        <is>
          <t>173838</t>
        </is>
      </c>
      <c r="E1949" s="1" t="inlineStr">
        <is>
          <t xml:space="preserve">28194781       </t>
        </is>
      </c>
      <c r="F1949" s="5" t="inlineStr">
        <is>
          <t>TROMPO BATALLA INFINITY NADO SERIE V CLASICA SURTI</t>
        </is>
      </c>
      <c r="G1949" t="n">
        <v>1</v>
      </c>
      <c r="H1949" s="7" t="n">
        <v>39.9</v>
      </c>
      <c r="I1949" s="7" t="n">
        <v>0</v>
      </c>
      <c r="J1949" s="7" t="n">
        <v>0</v>
      </c>
      <c r="K1949" s="9" t="n">
        <v>0</v>
      </c>
      <c r="L1949" s="10" t="n">
        <v>23.67</v>
      </c>
      <c r="M1949" s="10" t="n">
        <v>1.43</v>
      </c>
      <c r="N1949" t="inlineStr">
        <is>
          <t>1</t>
        </is>
      </c>
      <c r="O1949" t="inlineStr">
        <is>
          <t>16</t>
        </is>
      </c>
      <c r="P1949" t="inlineStr">
        <is>
          <t xml:space="preserve">43458   </t>
        </is>
      </c>
      <c r="Q1949" s="26" t="n">
        <v>35.53</v>
      </c>
      <c r="R1949" s="26">
        <f>Q1949*G1949</f>
        <v/>
      </c>
      <c r="S1949" s="26">
        <f>IFERROR(VLOOKUP(E1949*1,Tabla[#All],8,0),0)</f>
        <v/>
      </c>
      <c r="T1949" s="26">
        <f>S1949*G1949</f>
        <v/>
      </c>
      <c r="U1949" s="26">
        <f>R1949-T1949</f>
        <v/>
      </c>
      <c r="V1949" s="26">
        <f>U1949-L1949</f>
        <v/>
      </c>
    </row>
    <row r="1950">
      <c r="A1950" s="11" t="n">
        <v>46222</v>
      </c>
      <c r="B1950" s="1" t="n">
        <v>20062</v>
      </c>
      <c r="C1950" s="1" t="inlineStr">
        <is>
          <t>038</t>
        </is>
      </c>
      <c r="D1950" s="1" t="inlineStr">
        <is>
          <t>173861</t>
        </is>
      </c>
      <c r="E1950" s="1" t="inlineStr">
        <is>
          <t xml:space="preserve">29235712       </t>
        </is>
      </c>
      <c r="F1950" s="5" t="inlineStr">
        <is>
          <t>TEAMSTERZ DISPARADOR DINOSAURIO INCL. 1 AUTO</t>
        </is>
      </c>
      <c r="G1950" t="n">
        <v>1</v>
      </c>
      <c r="H1950" s="7" t="n">
        <v>12.9</v>
      </c>
      <c r="I1950" s="7" t="n">
        <v>0</v>
      </c>
      <c r="J1950" s="7" t="n">
        <v>0</v>
      </c>
      <c r="K1950" s="9" t="n">
        <v>0</v>
      </c>
      <c r="L1950" s="10" t="n">
        <v>7.65</v>
      </c>
      <c r="M1950" s="10" t="n">
        <v>1.43</v>
      </c>
      <c r="N1950" t="inlineStr">
        <is>
          <t>1</t>
        </is>
      </c>
      <c r="O1950" t="inlineStr">
        <is>
          <t xml:space="preserve">2 </t>
        </is>
      </c>
      <c r="P1950" t="inlineStr">
        <is>
          <t xml:space="preserve">43458   </t>
        </is>
      </c>
      <c r="Q1950" s="26" t="n">
        <v>17.74</v>
      </c>
      <c r="R1950" s="26">
        <f>Q1950*G1950</f>
        <v/>
      </c>
      <c r="S1950" s="26">
        <f>IFERROR(VLOOKUP(E1950*1,Tabla[#All],8,0),0)</f>
        <v/>
      </c>
      <c r="T1950" s="26">
        <f>S1950*G1950</f>
        <v/>
      </c>
      <c r="U1950" s="26">
        <f>R1950-T1950</f>
        <v/>
      </c>
      <c r="V1950" s="26">
        <f>U1950-L1950</f>
        <v/>
      </c>
    </row>
    <row r="1951">
      <c r="A1951" s="11" t="n">
        <v>46222</v>
      </c>
      <c r="B1951" s="1" t="n">
        <v>20062</v>
      </c>
      <c r="C1951" s="1" t="inlineStr">
        <is>
          <t>038</t>
        </is>
      </c>
      <c r="D1951" s="1" t="inlineStr">
        <is>
          <t>173863</t>
        </is>
      </c>
      <c r="E1951" s="1" t="inlineStr">
        <is>
          <t xml:space="preserve">33483123       </t>
        </is>
      </c>
      <c r="F1951" s="5" t="inlineStr">
        <is>
          <t>NENUCO DISFRACES</t>
        </is>
      </c>
      <c r="G1951" t="n">
        <v>1</v>
      </c>
      <c r="H1951" s="7" t="n">
        <v>69.90000000000001</v>
      </c>
      <c r="I1951" s="7" t="n">
        <v>0</v>
      </c>
      <c r="J1951" s="7" t="n">
        <v>0</v>
      </c>
      <c r="K1951" s="9" t="n">
        <v>0</v>
      </c>
      <c r="L1951" s="10" t="n">
        <v>41.47</v>
      </c>
      <c r="M1951" s="10" t="n">
        <v>1.43</v>
      </c>
      <c r="N1951" t="inlineStr">
        <is>
          <t>1</t>
        </is>
      </c>
      <c r="O1951" t="inlineStr">
        <is>
          <t>16</t>
        </is>
      </c>
      <c r="P1951" t="inlineStr">
        <is>
          <t xml:space="preserve">43458   </t>
        </is>
      </c>
      <c r="Q1951" s="26" t="n">
        <v>53.33</v>
      </c>
      <c r="R1951" s="26">
        <f>Q1951*G1951</f>
        <v/>
      </c>
      <c r="S1951" s="26">
        <f>IFERROR(VLOOKUP(E1951*1,Tabla[#All],8,0),0)</f>
        <v/>
      </c>
      <c r="T1951" s="26">
        <f>S1951*G1951</f>
        <v/>
      </c>
      <c r="U1951" s="26">
        <f>R1951-T1951</f>
        <v/>
      </c>
      <c r="V1951" s="26">
        <f>U1951-L1951</f>
        <v/>
      </c>
    </row>
    <row r="1952">
      <c r="A1952" s="11" t="n">
        <v>46222</v>
      </c>
      <c r="B1952" s="1" t="n">
        <v>20062</v>
      </c>
      <c r="C1952" s="1" t="inlineStr">
        <is>
          <t>053</t>
        </is>
      </c>
      <c r="D1952" s="1" t="inlineStr">
        <is>
          <t>243489</t>
        </is>
      </c>
      <c r="E1952" s="1" t="inlineStr">
        <is>
          <t xml:space="preserve">31754676       </t>
        </is>
      </c>
      <c r="F1952" s="5" t="inlineStr">
        <is>
          <t>INFINITY NADO SERIE 6 STD PACK LANZ ESPAD ANILLO M</t>
        </is>
      </c>
      <c r="G1952" t="n">
        <v>1</v>
      </c>
      <c r="H1952" s="7" t="n">
        <v>59.9</v>
      </c>
      <c r="I1952" s="7" t="n">
        <v>0</v>
      </c>
      <c r="J1952" s="7" t="n">
        <v>0</v>
      </c>
      <c r="K1952" s="9" t="n">
        <v>0</v>
      </c>
      <c r="L1952" s="10" t="n">
        <v>35.53</v>
      </c>
      <c r="M1952" s="10" t="n">
        <v>1.43</v>
      </c>
      <c r="N1952" t="inlineStr">
        <is>
          <t>1</t>
        </is>
      </c>
      <c r="O1952" t="inlineStr">
        <is>
          <t xml:space="preserve">2 </t>
        </is>
      </c>
      <c r="P1952" t="inlineStr">
        <is>
          <t xml:space="preserve">88849   </t>
        </is>
      </c>
      <c r="Q1952" s="26" t="n">
        <v>47.4</v>
      </c>
      <c r="R1952" s="26">
        <f>Q1952*G1952</f>
        <v/>
      </c>
      <c r="S1952" s="26">
        <f>IFERROR(VLOOKUP(E1952*1,Tabla[#All],8,0),0)</f>
        <v/>
      </c>
      <c r="T1952" s="26">
        <f>S1952*G1952</f>
        <v/>
      </c>
      <c r="U1952" s="26">
        <f>R1952-T1952</f>
        <v/>
      </c>
      <c r="V1952" s="26">
        <f>U1952-L1952</f>
        <v/>
      </c>
    </row>
    <row r="1953">
      <c r="A1953" s="11" t="n">
        <v>46222</v>
      </c>
      <c r="B1953" s="1" t="n">
        <v>20066</v>
      </c>
      <c r="C1953" s="1" t="inlineStr">
        <is>
          <t>016</t>
        </is>
      </c>
      <c r="D1953" s="1" t="inlineStr">
        <is>
          <t>239163</t>
        </is>
      </c>
      <c r="E1953" s="1" t="inlineStr">
        <is>
          <t xml:space="preserve">31959957       </t>
        </is>
      </c>
      <c r="F1953" s="5" t="inlineStr">
        <is>
          <t>TEAMSTERZ PLAYSET RESCATE EN EL MAR</t>
        </is>
      </c>
      <c r="G1953" t="n">
        <v>1</v>
      </c>
      <c r="H1953" s="7" t="n">
        <v>19.9</v>
      </c>
      <c r="I1953" s="7" t="n">
        <v>0</v>
      </c>
      <c r="J1953" s="7" t="n">
        <v>0</v>
      </c>
      <c r="K1953" s="9" t="n">
        <v>0</v>
      </c>
      <c r="L1953" s="10" t="n">
        <v>11.8</v>
      </c>
      <c r="M1953" s="10" t="n">
        <v>1.43</v>
      </c>
      <c r="N1953" t="inlineStr">
        <is>
          <t>1</t>
        </is>
      </c>
      <c r="O1953" t="inlineStr">
        <is>
          <t>16</t>
        </is>
      </c>
      <c r="P1953" t="inlineStr">
        <is>
          <t xml:space="preserve">249844  </t>
        </is>
      </c>
      <c r="Q1953" s="26" t="n">
        <v>11.81</v>
      </c>
      <c r="R1953" s="26">
        <f>Q1953*G1953</f>
        <v/>
      </c>
      <c r="S1953" s="26">
        <f>IFERROR(VLOOKUP(E1953*1,Tabla[#All],8,0),0)</f>
        <v/>
      </c>
      <c r="T1953" s="26">
        <f>S1953*G1953</f>
        <v/>
      </c>
      <c r="U1953" s="26">
        <f>R1953-T1953</f>
        <v/>
      </c>
      <c r="V1953" s="26">
        <f>U1953-L1953</f>
        <v/>
      </c>
    </row>
    <row r="1954">
      <c r="A1954" s="11" t="n">
        <v>46222</v>
      </c>
      <c r="B1954" s="1" t="n">
        <v>20066</v>
      </c>
      <c r="C1954" s="1" t="inlineStr">
        <is>
          <t>047</t>
        </is>
      </c>
      <c r="D1954" s="1" t="inlineStr">
        <is>
          <t xml:space="preserve">50672 </t>
        </is>
      </c>
      <c r="E1954" s="1" t="inlineStr">
        <is>
          <t xml:space="preserve">28194770       </t>
        </is>
      </c>
      <c r="F1954" s="5" t="inlineStr">
        <is>
          <t>AUTOS DE METAL 3 TEAMSTERZ EN BLISTER</t>
        </is>
      </c>
      <c r="G1954" t="n">
        <v>1</v>
      </c>
      <c r="H1954" s="7" t="n">
        <v>6.9</v>
      </c>
      <c r="I1954" s="7" t="n">
        <v>0.6899999999999999</v>
      </c>
      <c r="J1954" s="7" t="n">
        <v>0</v>
      </c>
      <c r="K1954" s="9" t="n">
        <v>0.6899999999999999</v>
      </c>
      <c r="L1954" s="10" t="n">
        <v>3.68</v>
      </c>
      <c r="M1954" s="10" t="n">
        <v>1.43</v>
      </c>
      <c r="N1954" t="inlineStr">
        <is>
          <t>1</t>
        </is>
      </c>
      <c r="O1954" t="inlineStr">
        <is>
          <t xml:space="preserve">3 </t>
        </is>
      </c>
      <c r="P1954" t="inlineStr">
        <is>
          <t xml:space="preserve">12646   </t>
        </is>
      </c>
      <c r="Q1954" s="26" t="n">
        <v>4.09</v>
      </c>
      <c r="R1954" s="26">
        <f>Q1954*G1954</f>
        <v/>
      </c>
      <c r="S1954" s="26">
        <f>IFERROR(VLOOKUP(E1954*1,Tabla[#All],8,0),0)</f>
        <v/>
      </c>
      <c r="T1954" s="26">
        <f>S1954*G1954</f>
        <v/>
      </c>
      <c r="U1954" s="26">
        <f>R1954-T1954</f>
        <v/>
      </c>
      <c r="V1954" s="26">
        <f>U1954-L1954</f>
        <v/>
      </c>
    </row>
    <row r="1955">
      <c r="A1955" s="11" t="n">
        <v>46222</v>
      </c>
      <c r="B1955" s="1" t="n">
        <v>20066</v>
      </c>
      <c r="C1955" s="1" t="inlineStr">
        <is>
          <t>047</t>
        </is>
      </c>
      <c r="D1955" s="1" t="inlineStr">
        <is>
          <t xml:space="preserve">50672 </t>
        </is>
      </c>
      <c r="E1955" s="1" t="inlineStr">
        <is>
          <t xml:space="preserve">28194770       </t>
        </is>
      </c>
      <c r="F1955" s="5" t="inlineStr">
        <is>
          <t>AUTOS DE METAL 3 TEAMSTERZ EN BLISTER</t>
        </is>
      </c>
      <c r="G1955" t="n">
        <v>1</v>
      </c>
      <c r="H1955" s="7" t="n">
        <v>6.9</v>
      </c>
      <c r="I1955" s="7" t="n">
        <v>0.6899999999999999</v>
      </c>
      <c r="J1955" s="7" t="n">
        <v>0</v>
      </c>
      <c r="K1955" s="9" t="n">
        <v>0.6899999999999999</v>
      </c>
      <c r="L1955" s="10" t="n">
        <v>3.68</v>
      </c>
      <c r="M1955" s="10" t="n">
        <v>1.43</v>
      </c>
      <c r="N1955" t="inlineStr">
        <is>
          <t>1</t>
        </is>
      </c>
      <c r="O1955" t="inlineStr">
        <is>
          <t xml:space="preserve">3 </t>
        </is>
      </c>
      <c r="P1955" t="inlineStr">
        <is>
          <t xml:space="preserve">12646   </t>
        </is>
      </c>
      <c r="Q1955" s="26" t="n">
        <v>4.09</v>
      </c>
      <c r="R1955" s="26">
        <f>Q1955*G1955</f>
        <v/>
      </c>
      <c r="S1955" s="26">
        <f>IFERROR(VLOOKUP(E1955*1,Tabla[#All],8,0),0)</f>
        <v/>
      </c>
      <c r="T1955" s="26">
        <f>S1955*G1955</f>
        <v/>
      </c>
      <c r="U1955" s="26">
        <f>R1955-T1955</f>
        <v/>
      </c>
      <c r="V1955" s="26">
        <f>U1955-L1955</f>
        <v/>
      </c>
    </row>
    <row r="1956">
      <c r="A1956" s="11" t="n">
        <v>46222</v>
      </c>
      <c r="B1956" s="1" t="n">
        <v>20066</v>
      </c>
      <c r="C1956" s="1" t="inlineStr">
        <is>
          <t>058</t>
        </is>
      </c>
      <c r="D1956" s="1" t="inlineStr">
        <is>
          <t xml:space="preserve">60819 </t>
        </is>
      </c>
      <c r="E1956" s="1" t="inlineStr">
        <is>
          <t xml:space="preserve">28194770       </t>
        </is>
      </c>
      <c r="F1956" s="5" t="inlineStr">
        <is>
          <t>AUTOS DE METAL 3 TEAMSTERZ EN BLISTER</t>
        </is>
      </c>
      <c r="G1956" t="n">
        <v>1</v>
      </c>
      <c r="H1956" s="7" t="n">
        <v>6.9</v>
      </c>
      <c r="I1956" s="7" t="n">
        <v>0.6899999999999999</v>
      </c>
      <c r="J1956" s="7" t="n">
        <v>0</v>
      </c>
      <c r="K1956" s="9" t="n">
        <v>0.6899999999999999</v>
      </c>
      <c r="L1956" s="10" t="n">
        <v>3.68</v>
      </c>
      <c r="M1956" s="10" t="n">
        <v>1.43</v>
      </c>
      <c r="N1956" t="inlineStr">
        <is>
          <t>1</t>
        </is>
      </c>
      <c r="O1956" t="inlineStr">
        <is>
          <t xml:space="preserve">3 </t>
        </is>
      </c>
      <c r="P1956" t="inlineStr">
        <is>
          <t xml:space="preserve">62683   </t>
        </is>
      </c>
      <c r="Q1956" s="26" t="n">
        <v>4.09</v>
      </c>
      <c r="R1956" s="26">
        <f>Q1956*G1956</f>
        <v/>
      </c>
      <c r="S1956" s="26">
        <f>IFERROR(VLOOKUP(E1956*1,Tabla[#All],8,0),0)</f>
        <v/>
      </c>
      <c r="T1956" s="26">
        <f>S1956*G1956</f>
        <v/>
      </c>
      <c r="U1956" s="26">
        <f>R1956-T1956</f>
        <v/>
      </c>
      <c r="V1956" s="26">
        <f>U1956-L1956</f>
        <v/>
      </c>
    </row>
    <row r="1957">
      <c r="A1957" s="11" t="n">
        <v>46222</v>
      </c>
      <c r="B1957" s="1" t="n">
        <v>20066</v>
      </c>
      <c r="C1957" s="1" t="inlineStr">
        <is>
          <t>061</t>
        </is>
      </c>
      <c r="D1957" s="1" t="inlineStr">
        <is>
          <t xml:space="preserve">35545 </t>
        </is>
      </c>
      <c r="E1957" s="1" t="inlineStr">
        <is>
          <t xml:space="preserve">28194770       </t>
        </is>
      </c>
      <c r="F1957" s="5" t="inlineStr">
        <is>
          <t>AUTOS DE METAL 3 TEAMSTERZ EN BLISTER</t>
        </is>
      </c>
      <c r="G1957" t="n">
        <v>1</v>
      </c>
      <c r="H1957" s="7" t="n">
        <v>6.9</v>
      </c>
      <c r="I1957" s="7" t="n">
        <v>0</v>
      </c>
      <c r="J1957" s="7" t="n">
        <v>0</v>
      </c>
      <c r="K1957" s="9" t="n">
        <v>0</v>
      </c>
      <c r="L1957" s="10" t="n">
        <v>4.1</v>
      </c>
      <c r="M1957" s="10" t="n">
        <v>1.43</v>
      </c>
      <c r="N1957" t="inlineStr">
        <is>
          <t>1</t>
        </is>
      </c>
      <c r="O1957" t="inlineStr">
        <is>
          <t>16</t>
        </is>
      </c>
      <c r="P1957" t="inlineStr">
        <is>
          <t xml:space="preserve">231271  </t>
        </is>
      </c>
      <c r="Q1957" s="26" t="n">
        <v>4.09</v>
      </c>
      <c r="R1957" s="26">
        <f>Q1957*G1957</f>
        <v/>
      </c>
      <c r="S1957" s="26">
        <f>IFERROR(VLOOKUP(E1957*1,Tabla[#All],8,0),0)</f>
        <v/>
      </c>
      <c r="T1957" s="26">
        <f>S1957*G1957</f>
        <v/>
      </c>
      <c r="U1957" s="26">
        <f>R1957-T1957</f>
        <v/>
      </c>
      <c r="V1957" s="26">
        <f>U1957-L1957</f>
        <v/>
      </c>
    </row>
    <row r="1958">
      <c r="A1958" s="11" t="n">
        <v>46222</v>
      </c>
      <c r="B1958" s="1" t="n">
        <v>20066</v>
      </c>
      <c r="C1958" s="1" t="inlineStr">
        <is>
          <t>833</t>
        </is>
      </c>
      <c r="D1958" s="1" t="inlineStr">
        <is>
          <t xml:space="preserve">3894  </t>
        </is>
      </c>
      <c r="E1958" s="1" t="inlineStr">
        <is>
          <t xml:space="preserve">28194770       </t>
        </is>
      </c>
      <c r="F1958" s="5" t="inlineStr">
        <is>
          <t>AUTOS DE METAL 3 TEAMSTERZ EN BLISTER</t>
        </is>
      </c>
      <c r="G1958" t="n">
        <v>1</v>
      </c>
      <c r="H1958" s="7" t="n">
        <v>6.9</v>
      </c>
      <c r="I1958" s="7" t="n">
        <v>0</v>
      </c>
      <c r="J1958" s="7" t="n">
        <v>0</v>
      </c>
      <c r="K1958" s="9" t="n">
        <v>0</v>
      </c>
      <c r="L1958" s="10" t="n">
        <v>4.1</v>
      </c>
      <c r="M1958" s="10" t="n">
        <v>1.43</v>
      </c>
      <c r="N1958" t="inlineStr">
        <is>
          <t>1</t>
        </is>
      </c>
      <c r="O1958" t="inlineStr">
        <is>
          <t>16</t>
        </is>
      </c>
      <c r="P1958" t="inlineStr">
        <is>
          <t xml:space="preserve">0       </t>
        </is>
      </c>
      <c r="Q1958" s="26" t="n">
        <v>4.09</v>
      </c>
      <c r="R1958" s="26">
        <f>Q1958*G1958</f>
        <v/>
      </c>
      <c r="S1958" s="26">
        <f>IFERROR(VLOOKUP(E1958*1,Tabla[#All],8,0),0)</f>
        <v/>
      </c>
      <c r="T1958" s="26">
        <f>S1958*G1958</f>
        <v/>
      </c>
      <c r="U1958" s="26">
        <f>R1958-T1958</f>
        <v/>
      </c>
      <c r="V1958" s="26">
        <f>U1958-L1958</f>
        <v/>
      </c>
    </row>
    <row r="1959">
      <c r="A1959" s="11" t="n">
        <v>46222</v>
      </c>
      <c r="B1959" s="1" t="n">
        <v>20069</v>
      </c>
      <c r="C1959" s="1" t="inlineStr">
        <is>
          <t>026</t>
        </is>
      </c>
      <c r="D1959" s="1" t="inlineStr">
        <is>
          <t xml:space="preserve">12144 </t>
        </is>
      </c>
      <c r="E1959" s="1" t="inlineStr">
        <is>
          <t xml:space="preserve">31754679       </t>
        </is>
      </c>
      <c r="F1959" s="5" t="inlineStr">
        <is>
          <t>RELOJ DIGITAL CRY BABIES</t>
        </is>
      </c>
      <c r="G1959" t="n">
        <v>-1</v>
      </c>
      <c r="H1959" s="7" t="n">
        <v>-18.9</v>
      </c>
      <c r="I1959" s="7" t="n">
        <v>0</v>
      </c>
      <c r="J1959" s="7" t="n">
        <v>0</v>
      </c>
      <c r="K1959" s="9" t="n">
        <v>0</v>
      </c>
      <c r="L1959" s="10" t="n">
        <v>-11.21</v>
      </c>
      <c r="M1959" s="10" t="n">
        <v>0</v>
      </c>
      <c r="N1959" t="inlineStr">
        <is>
          <t>3</t>
        </is>
      </c>
      <c r="O1959" t="inlineStr">
        <is>
          <t>26</t>
        </is>
      </c>
      <c r="P1959" t="inlineStr">
        <is>
          <t xml:space="preserve">236765  </t>
        </is>
      </c>
      <c r="Q1959" s="26" t="n">
        <v>11.21</v>
      </c>
      <c r="R1959" s="26">
        <f>Q1959*G1959</f>
        <v/>
      </c>
      <c r="S1959" s="26">
        <f>IFERROR(VLOOKUP(E1959*1,Tabla[#All],8,0),0)</f>
        <v/>
      </c>
      <c r="T1959" s="26">
        <f>S1959*G1959</f>
        <v/>
      </c>
      <c r="U1959" s="26">
        <f>R1959-T1959</f>
        <v/>
      </c>
      <c r="V1959" s="26">
        <f>U1959-L1959</f>
        <v/>
      </c>
    </row>
    <row r="1960">
      <c r="A1960" s="11" t="n">
        <v>46222</v>
      </c>
      <c r="B1960" s="1" t="n">
        <v>20069</v>
      </c>
      <c r="C1960" s="1" t="inlineStr">
        <is>
          <t>026</t>
        </is>
      </c>
      <c r="D1960" s="1" t="inlineStr">
        <is>
          <t>359807</t>
        </is>
      </c>
      <c r="E1960" s="1" t="inlineStr">
        <is>
          <t xml:space="preserve">30141780       </t>
        </is>
      </c>
      <c r="F1960" s="5" t="inlineStr">
        <is>
          <t>RELOJ DIGITAL PEPPA PIG</t>
        </is>
      </c>
      <c r="G1960" t="n">
        <v>1</v>
      </c>
      <c r="H1960" s="7" t="n">
        <v>18.9</v>
      </c>
      <c r="I1960" s="7" t="n">
        <v>0</v>
      </c>
      <c r="J1960" s="7" t="n">
        <v>0</v>
      </c>
      <c r="K1960" s="9" t="n">
        <v>0</v>
      </c>
      <c r="L1960" s="10" t="n">
        <v>11.21</v>
      </c>
      <c r="M1960" s="10" t="n">
        <v>1.43</v>
      </c>
      <c r="N1960" t="inlineStr">
        <is>
          <t>1</t>
        </is>
      </c>
      <c r="O1960" t="inlineStr">
        <is>
          <t xml:space="preserve">6 </t>
        </is>
      </c>
      <c r="P1960" t="inlineStr">
        <is>
          <t xml:space="preserve">249236  </t>
        </is>
      </c>
      <c r="Q1960" s="26" t="n">
        <v>11.21</v>
      </c>
      <c r="R1960" s="26">
        <f>Q1960*G1960</f>
        <v/>
      </c>
      <c r="S1960" s="26">
        <f>IFERROR(VLOOKUP(E1960*1,Tabla[#All],8,0),0)</f>
        <v/>
      </c>
      <c r="T1960" s="26">
        <f>S1960*G1960</f>
        <v/>
      </c>
      <c r="U1960" s="26">
        <f>R1960-T1960</f>
        <v/>
      </c>
      <c r="V1960" s="26">
        <f>U1960-L1960</f>
        <v/>
      </c>
    </row>
    <row r="1961">
      <c r="A1961" s="11" t="n">
        <v>46222</v>
      </c>
      <c r="B1961" s="1" t="n">
        <v>20069</v>
      </c>
      <c r="C1961" s="1" t="inlineStr">
        <is>
          <t>026</t>
        </is>
      </c>
      <c r="D1961" s="1" t="inlineStr">
        <is>
          <t>359841</t>
        </is>
      </c>
      <c r="E1961" s="1" t="inlineStr">
        <is>
          <t xml:space="preserve">28194770       </t>
        </is>
      </c>
      <c r="F1961" s="5" t="inlineStr">
        <is>
          <t>AUTOS DE METAL 3 TEAMSTERZ EN BLISTER</t>
        </is>
      </c>
      <c r="G1961" t="n">
        <v>1</v>
      </c>
      <c r="H1961" s="7" t="n">
        <v>6.9</v>
      </c>
      <c r="I1961" s="7" t="n">
        <v>0</v>
      </c>
      <c r="J1961" s="7" t="n">
        <v>0</v>
      </c>
      <c r="K1961" s="9" t="n">
        <v>0</v>
      </c>
      <c r="L1961" s="10" t="n">
        <v>4.1</v>
      </c>
      <c r="M1961" s="10" t="n">
        <v>1.43</v>
      </c>
      <c r="N1961" t="inlineStr">
        <is>
          <t>1</t>
        </is>
      </c>
      <c r="O1961" t="inlineStr">
        <is>
          <t xml:space="preserve">2 </t>
        </is>
      </c>
      <c r="P1961" t="inlineStr">
        <is>
          <t xml:space="preserve">249236  </t>
        </is>
      </c>
      <c r="Q1961" s="26" t="n">
        <v>4.09</v>
      </c>
      <c r="R1961" s="26">
        <f>Q1961*G1961</f>
        <v/>
      </c>
      <c r="S1961" s="26">
        <f>IFERROR(VLOOKUP(E1961*1,Tabla[#All],8,0),0)</f>
        <v/>
      </c>
      <c r="T1961" s="26">
        <f>S1961*G1961</f>
        <v/>
      </c>
      <c r="U1961" s="26">
        <f>R1961-T1961</f>
        <v/>
      </c>
      <c r="V1961" s="26">
        <f>U1961-L1961</f>
        <v/>
      </c>
    </row>
    <row r="1962">
      <c r="A1962" s="11" t="n">
        <v>46222</v>
      </c>
      <c r="B1962" s="1" t="n">
        <v>20069</v>
      </c>
      <c r="C1962" s="1" t="inlineStr">
        <is>
          <t>520</t>
        </is>
      </c>
      <c r="D1962" s="1" t="inlineStr">
        <is>
          <t xml:space="preserve">995   </t>
        </is>
      </c>
      <c r="E1962" s="1" t="inlineStr">
        <is>
          <t xml:space="preserve">31046049       </t>
        </is>
      </c>
      <c r="F1962" s="5" t="inlineStr">
        <is>
          <t>RELOJ DIGITAL HOT WHEELS</t>
        </is>
      </c>
      <c r="G1962" t="n">
        <v>1</v>
      </c>
      <c r="H1962" s="7" t="n">
        <v>18.9</v>
      </c>
      <c r="I1962" s="7" t="n">
        <v>0</v>
      </c>
      <c r="J1962" s="7" t="n">
        <v>0</v>
      </c>
      <c r="K1962" s="9" t="n">
        <v>0</v>
      </c>
      <c r="L1962" s="10" t="n">
        <v>11.21</v>
      </c>
      <c r="M1962" s="10" t="n">
        <v>1.43</v>
      </c>
      <c r="N1962" t="inlineStr">
        <is>
          <t>1</t>
        </is>
      </c>
      <c r="O1962" t="inlineStr">
        <is>
          <t>16</t>
        </is>
      </c>
      <c r="P1962" t="inlineStr">
        <is>
          <t xml:space="preserve">99440   </t>
        </is>
      </c>
      <c r="Q1962" s="26" t="n">
        <v>11.21</v>
      </c>
      <c r="R1962" s="26">
        <f>Q1962*G1962</f>
        <v/>
      </c>
      <c r="S1962" s="26">
        <f>IFERROR(VLOOKUP(E1962*1,Tabla[#All],8,0),0)</f>
        <v/>
      </c>
      <c r="T1962" s="26">
        <f>S1962*G1962</f>
        <v/>
      </c>
      <c r="U1962" s="26">
        <f>R1962-T1962</f>
        <v/>
      </c>
      <c r="V1962" s="26">
        <f>U1962-L1962</f>
        <v/>
      </c>
    </row>
    <row r="1963">
      <c r="A1963" s="11" t="n">
        <v>46222</v>
      </c>
      <c r="B1963" s="1" t="n">
        <v>20069</v>
      </c>
      <c r="C1963" s="1" t="inlineStr">
        <is>
          <t>801</t>
        </is>
      </c>
      <c r="D1963" s="1" t="inlineStr">
        <is>
          <t xml:space="preserve">1467  </t>
        </is>
      </c>
      <c r="E1963" s="1" t="inlineStr">
        <is>
          <t xml:space="preserve">28194769       </t>
        </is>
      </c>
      <c r="F1963" s="5" t="inlineStr">
        <is>
          <t>AUTOS DE METAL 3 TEAMSTERZ PACK DE 2</t>
        </is>
      </c>
      <c r="G1963" t="n">
        <v>2</v>
      </c>
      <c r="H1963" s="7" t="n">
        <v>27.6</v>
      </c>
      <c r="I1963" s="7" t="n">
        <v>0</v>
      </c>
      <c r="J1963" s="7" t="n">
        <v>0</v>
      </c>
      <c r="K1963" s="9" t="n">
        <v>0</v>
      </c>
      <c r="L1963" s="10" t="n">
        <v>16.38</v>
      </c>
      <c r="M1963" s="10" t="n">
        <v>1.43</v>
      </c>
      <c r="N1963" t="inlineStr">
        <is>
          <t>1</t>
        </is>
      </c>
      <c r="O1963" t="inlineStr">
        <is>
          <t>16</t>
        </is>
      </c>
      <c r="P1963" t="inlineStr">
        <is>
          <t xml:space="preserve">0       </t>
        </is>
      </c>
      <c r="Q1963" s="26" t="n">
        <v>8.19</v>
      </c>
      <c r="R1963" s="26">
        <f>Q1963*G1963</f>
        <v/>
      </c>
      <c r="S1963" s="26">
        <f>IFERROR(VLOOKUP(E1963*1,Tabla[#All],8,0),0)</f>
        <v/>
      </c>
      <c r="T1963" s="26">
        <f>S1963*G1963</f>
        <v/>
      </c>
      <c r="U1963" s="26">
        <f>R1963-T1963</f>
        <v/>
      </c>
      <c r="V1963" s="26">
        <f>U1963-L1963</f>
        <v/>
      </c>
    </row>
    <row r="1964">
      <c r="A1964" s="11" t="n">
        <v>46222</v>
      </c>
      <c r="B1964" s="1" t="n">
        <v>20072</v>
      </c>
      <c r="C1964" s="1" t="inlineStr">
        <is>
          <t>023</t>
        </is>
      </c>
      <c r="D1964" s="1" t="inlineStr">
        <is>
          <t>316966</t>
        </is>
      </c>
      <c r="E1964" s="1" t="inlineStr">
        <is>
          <t xml:space="preserve">33483115       </t>
        </is>
      </c>
      <c r="F1964" s="5" t="inlineStr">
        <is>
          <t>MUNECA EVI LOVE CON MAMA Y BB CANGURO + ACC.</t>
        </is>
      </c>
      <c r="G1964" t="n">
        <v>1</v>
      </c>
      <c r="H1964" s="7" t="n">
        <v>22.74</v>
      </c>
      <c r="I1964" s="7" t="n">
        <v>0</v>
      </c>
      <c r="J1964" s="7" t="n">
        <v>0</v>
      </c>
      <c r="K1964" s="9" t="n">
        <v>0</v>
      </c>
      <c r="L1964" s="10" t="n">
        <v>13.49</v>
      </c>
      <c r="M1964" s="10" t="n">
        <v>1.43</v>
      </c>
      <c r="N1964" t="inlineStr">
        <is>
          <t>1</t>
        </is>
      </c>
      <c r="O1964" t="inlineStr">
        <is>
          <t>16</t>
        </is>
      </c>
      <c r="P1964" t="inlineStr">
        <is>
          <t xml:space="preserve">242897  </t>
        </is>
      </c>
      <c r="Q1964" s="26" t="n">
        <v>22.48</v>
      </c>
      <c r="R1964" s="26">
        <f>Q1964*G1964</f>
        <v/>
      </c>
      <c r="S1964" s="26">
        <f>IFERROR(VLOOKUP(E1964*1,Tabla[#All],8,0),0)</f>
        <v/>
      </c>
      <c r="T1964" s="26">
        <f>S1964*G1964</f>
        <v/>
      </c>
      <c r="U1964" s="26">
        <f>R1964-T1964</f>
        <v/>
      </c>
      <c r="V1964" s="26">
        <f>U1964-L1964</f>
        <v/>
      </c>
    </row>
    <row r="1965">
      <c r="A1965" s="11" t="n">
        <v>46222</v>
      </c>
      <c r="B1965" s="1" t="n">
        <v>20072</v>
      </c>
      <c r="C1965" s="1" t="inlineStr">
        <is>
          <t>032</t>
        </is>
      </c>
      <c r="D1965" s="1" t="inlineStr">
        <is>
          <t>308524</t>
        </is>
      </c>
      <c r="E1965" s="1" t="inlineStr">
        <is>
          <t xml:space="preserve">29235712       </t>
        </is>
      </c>
      <c r="F1965" s="5" t="inlineStr">
        <is>
          <t>TEAMSTERZ DISPARADOR DINOSAURIO INCL. 1 AUTO</t>
        </is>
      </c>
      <c r="G1965" t="n">
        <v>1</v>
      </c>
      <c r="H1965" s="7" t="n">
        <v>12.9</v>
      </c>
      <c r="I1965" s="7" t="n">
        <v>0</v>
      </c>
      <c r="J1965" s="7" t="n">
        <v>0</v>
      </c>
      <c r="K1965" s="9" t="n">
        <v>0</v>
      </c>
      <c r="L1965" s="10" t="n">
        <v>7.65</v>
      </c>
      <c r="M1965" s="10" t="n">
        <v>1.43</v>
      </c>
      <c r="N1965" t="inlineStr">
        <is>
          <t>1</t>
        </is>
      </c>
      <c r="O1965" t="inlineStr">
        <is>
          <t xml:space="preserve">2 </t>
        </is>
      </c>
      <c r="P1965" t="inlineStr">
        <is>
          <t xml:space="preserve">238588  </t>
        </is>
      </c>
      <c r="Q1965" s="26" t="n">
        <v>17.74</v>
      </c>
      <c r="R1965" s="26">
        <f>Q1965*G1965</f>
        <v/>
      </c>
      <c r="S1965" s="26">
        <f>IFERROR(VLOOKUP(E1965*1,Tabla[#All],8,0),0)</f>
        <v/>
      </c>
      <c r="T1965" s="26">
        <f>S1965*G1965</f>
        <v/>
      </c>
      <c r="U1965" s="26">
        <f>R1965-T1965</f>
        <v/>
      </c>
      <c r="V1965" s="26">
        <f>U1965-L1965</f>
        <v/>
      </c>
    </row>
    <row r="1966">
      <c r="A1966" s="11" t="n">
        <v>46222</v>
      </c>
      <c r="B1966" s="1" t="n">
        <v>20072</v>
      </c>
      <c r="C1966" s="1" t="inlineStr">
        <is>
          <t>032</t>
        </is>
      </c>
      <c r="D1966" s="1" t="inlineStr">
        <is>
          <t>308524</t>
        </is>
      </c>
      <c r="E1966" s="1" t="inlineStr">
        <is>
          <t xml:space="preserve">32457101       </t>
        </is>
      </c>
      <c r="F1966" s="5" t="inlineStr">
        <is>
          <t>TMZ BEAST MACHINES TRANSPORTE PESADO + 2 AUTOS SUR</t>
        </is>
      </c>
      <c r="G1966" t="n">
        <v>1</v>
      </c>
      <c r="H1966" s="7" t="n">
        <v>17.9</v>
      </c>
      <c r="I1966" s="7" t="n">
        <v>0</v>
      </c>
      <c r="J1966" s="7" t="n">
        <v>0</v>
      </c>
      <c r="K1966" s="9" t="n">
        <v>0</v>
      </c>
      <c r="L1966" s="10" t="n">
        <v>10.62</v>
      </c>
      <c r="M1966" s="10" t="n">
        <v>1.43</v>
      </c>
      <c r="N1966" t="inlineStr">
        <is>
          <t>1</t>
        </is>
      </c>
      <c r="O1966" t="inlineStr">
        <is>
          <t xml:space="preserve">2 </t>
        </is>
      </c>
      <c r="P1966" t="inlineStr">
        <is>
          <t xml:space="preserve">238588  </t>
        </is>
      </c>
      <c r="Q1966" s="26" t="n">
        <v>22.48</v>
      </c>
      <c r="R1966" s="26">
        <f>Q1966*G1966</f>
        <v/>
      </c>
      <c r="S1966" s="26">
        <f>IFERROR(VLOOKUP(E1966*1,Tabla[#All],8,0),0)</f>
        <v/>
      </c>
      <c r="T1966" s="26">
        <f>S1966*G1966</f>
        <v/>
      </c>
      <c r="U1966" s="26">
        <f>R1966-T1966</f>
        <v/>
      </c>
      <c r="V1966" s="26">
        <f>U1966-L1966</f>
        <v/>
      </c>
    </row>
    <row r="1967">
      <c r="A1967" s="11" t="n">
        <v>46222</v>
      </c>
      <c r="B1967" s="1" t="n">
        <v>20072</v>
      </c>
      <c r="C1967" s="1" t="inlineStr">
        <is>
          <t>032</t>
        </is>
      </c>
      <c r="D1967" s="1" t="inlineStr">
        <is>
          <t>308547</t>
        </is>
      </c>
      <c r="E1967" s="1" t="inlineStr">
        <is>
          <t xml:space="preserve">32457111       </t>
        </is>
      </c>
      <c r="F1967" s="5" t="inlineStr">
        <is>
          <t>TMZ BEAST MACHINES MONSTER JAWS A FRICCION PACK DE</t>
        </is>
      </c>
      <c r="G1967" t="n">
        <v>1</v>
      </c>
      <c r="H1967" s="7" t="n">
        <v>54.9</v>
      </c>
      <c r="I1967" s="7" t="n">
        <v>0</v>
      </c>
      <c r="J1967" s="7" t="n">
        <v>0</v>
      </c>
      <c r="K1967" s="9" t="n">
        <v>0</v>
      </c>
      <c r="L1967" s="10" t="n">
        <v>32.57</v>
      </c>
      <c r="M1967" s="10" t="n">
        <v>1.43</v>
      </c>
      <c r="N1967" t="inlineStr">
        <is>
          <t>1</t>
        </is>
      </c>
      <c r="O1967" t="inlineStr">
        <is>
          <t>16</t>
        </is>
      </c>
      <c r="P1967" t="inlineStr">
        <is>
          <t xml:space="preserve">238588  </t>
        </is>
      </c>
      <c r="Q1967" s="26" t="n">
        <v>44.43</v>
      </c>
      <c r="R1967" s="26">
        <f>Q1967*G1967</f>
        <v/>
      </c>
      <c r="S1967" s="26">
        <f>IFERROR(VLOOKUP(E1967*1,Tabla[#All],8,0),0)</f>
        <v/>
      </c>
      <c r="T1967" s="26">
        <f>S1967*G1967</f>
        <v/>
      </c>
      <c r="U1967" s="26">
        <f>R1967-T1967</f>
        <v/>
      </c>
      <c r="V1967" s="26">
        <f>U1967-L1967</f>
        <v/>
      </c>
    </row>
    <row r="1968">
      <c r="A1968" s="11" t="n">
        <v>46222</v>
      </c>
      <c r="B1968" s="1" t="n">
        <v>20072</v>
      </c>
      <c r="C1968" s="1" t="inlineStr">
        <is>
          <t>033</t>
        </is>
      </c>
      <c r="D1968" s="1" t="inlineStr">
        <is>
          <t>285335</t>
        </is>
      </c>
      <c r="E1968" s="1" t="inlineStr">
        <is>
          <t xml:space="preserve">28194767       </t>
        </is>
      </c>
      <c r="F1968" s="5" t="inlineStr">
        <is>
          <t>CAMIONES TEAMSTERZ DE EMERGENCIA</t>
        </is>
      </c>
      <c r="G1968" t="n">
        <v>1</v>
      </c>
      <c r="H1968" s="7" t="n">
        <v>17.9</v>
      </c>
      <c r="I1968" s="7" t="n">
        <v>0</v>
      </c>
      <c r="J1968" s="7" t="n">
        <v>0</v>
      </c>
      <c r="K1968" s="9" t="n">
        <v>0</v>
      </c>
      <c r="L1968" s="10" t="n">
        <v>10.62</v>
      </c>
      <c r="M1968" s="10" t="n">
        <v>1.43</v>
      </c>
      <c r="N1968" t="inlineStr">
        <is>
          <t>1</t>
        </is>
      </c>
      <c r="O1968" t="inlineStr">
        <is>
          <t>16</t>
        </is>
      </c>
      <c r="P1968" t="inlineStr">
        <is>
          <t xml:space="preserve">59850   </t>
        </is>
      </c>
      <c r="Q1968" s="26" t="n">
        <v>10.62</v>
      </c>
      <c r="R1968" s="26">
        <f>Q1968*G1968</f>
        <v/>
      </c>
      <c r="S1968" s="26">
        <f>IFERROR(VLOOKUP(E1968*1,Tabla[#All],8,0),0)</f>
        <v/>
      </c>
      <c r="T1968" s="26">
        <f>S1968*G1968</f>
        <v/>
      </c>
      <c r="U1968" s="26">
        <f>R1968-T1968</f>
        <v/>
      </c>
      <c r="V1968" s="26">
        <f>U1968-L1968</f>
        <v/>
      </c>
    </row>
    <row r="1969">
      <c r="A1969" s="11" t="n">
        <v>46222</v>
      </c>
      <c r="B1969" s="1" t="n">
        <v>20073</v>
      </c>
      <c r="C1969" s="1" t="inlineStr">
        <is>
          <t>022</t>
        </is>
      </c>
      <c r="D1969" s="1" t="inlineStr">
        <is>
          <t>295026</t>
        </is>
      </c>
      <c r="E1969" s="1" t="inlineStr">
        <is>
          <t xml:space="preserve">28194770       </t>
        </is>
      </c>
      <c r="F1969" s="5" t="inlineStr">
        <is>
          <t>AUTOS DE METAL 3 TEAMSTERZ EN BLISTER</t>
        </is>
      </c>
      <c r="G1969" t="n">
        <v>1</v>
      </c>
      <c r="H1969" s="7" t="n">
        <v>6.9</v>
      </c>
      <c r="I1969" s="7" t="n">
        <v>0</v>
      </c>
      <c r="J1969" s="7" t="n">
        <v>0</v>
      </c>
      <c r="K1969" s="9" t="n">
        <v>0</v>
      </c>
      <c r="L1969" s="10" t="n">
        <v>4.1</v>
      </c>
      <c r="M1969" s="10" t="n">
        <v>1.43</v>
      </c>
      <c r="N1969" t="inlineStr">
        <is>
          <t>1</t>
        </is>
      </c>
      <c r="O1969" t="inlineStr">
        <is>
          <t xml:space="preserve">2 </t>
        </is>
      </c>
      <c r="P1969" t="inlineStr">
        <is>
          <t xml:space="preserve">250462  </t>
        </is>
      </c>
      <c r="Q1969" s="26" t="n">
        <v>4.09</v>
      </c>
      <c r="R1969" s="26">
        <f>Q1969*G1969</f>
        <v/>
      </c>
      <c r="S1969" s="26">
        <f>IFERROR(VLOOKUP(E1969*1,Tabla[#All],8,0),0)</f>
        <v/>
      </c>
      <c r="T1969" s="26">
        <f>S1969*G1969</f>
        <v/>
      </c>
      <c r="U1969" s="26">
        <f>R1969-T1969</f>
        <v/>
      </c>
      <c r="V1969" s="26">
        <f>U1969-L1969</f>
        <v/>
      </c>
    </row>
    <row r="1970">
      <c r="A1970" s="11" t="n">
        <v>46222</v>
      </c>
      <c r="B1970" s="1" t="n">
        <v>20073</v>
      </c>
      <c r="C1970" s="1" t="inlineStr">
        <is>
          <t>045</t>
        </is>
      </c>
      <c r="D1970" s="1" t="inlineStr">
        <is>
          <t>149721</t>
        </is>
      </c>
      <c r="E1970" s="1" t="inlineStr">
        <is>
          <t xml:space="preserve">28194784       </t>
        </is>
      </c>
      <c r="F1970" s="5" t="inlineStr">
        <is>
          <t>SET DE ACROBACIAS INFINITY NADO CON TROMPO</t>
        </is>
      </c>
      <c r="G1970" t="n">
        <v>1</v>
      </c>
      <c r="H1970" s="7" t="n">
        <v>139</v>
      </c>
      <c r="I1970" s="7" t="n">
        <v>13.9</v>
      </c>
      <c r="J1970" s="7" t="n">
        <v>0</v>
      </c>
      <c r="K1970" s="9" t="n">
        <v>13.9</v>
      </c>
      <c r="L1970" s="10" t="n">
        <v>74.20999999999999</v>
      </c>
      <c r="M1970" s="10" t="n">
        <v>1.43</v>
      </c>
      <c r="N1970" t="inlineStr">
        <is>
          <t>1</t>
        </is>
      </c>
      <c r="O1970" t="inlineStr">
        <is>
          <t xml:space="preserve">3 </t>
        </is>
      </c>
      <c r="P1970" t="inlineStr">
        <is>
          <t xml:space="preserve">74879   </t>
        </is>
      </c>
      <c r="Q1970" s="26" t="n">
        <v>106.19</v>
      </c>
      <c r="R1970" s="26">
        <f>Q1970*G1970</f>
        <v/>
      </c>
      <c r="S1970" s="26">
        <f>IFERROR(VLOOKUP(E1970*1,Tabla[#All],8,0),0)</f>
        <v/>
      </c>
      <c r="T1970" s="26">
        <f>S1970*G1970</f>
        <v/>
      </c>
      <c r="U1970" s="26">
        <f>R1970-T1970</f>
        <v/>
      </c>
      <c r="V1970" s="26">
        <f>U1970-L1970</f>
        <v/>
      </c>
    </row>
    <row r="1971">
      <c r="A1971" s="11" t="n">
        <v>46222</v>
      </c>
      <c r="B1971" s="1" t="n">
        <v>20073</v>
      </c>
      <c r="C1971" s="1" t="inlineStr">
        <is>
          <t>045</t>
        </is>
      </c>
      <c r="D1971" s="1" t="inlineStr">
        <is>
          <t>149723</t>
        </is>
      </c>
      <c r="E1971" s="1" t="inlineStr">
        <is>
          <t xml:space="preserve">28194770       </t>
        </is>
      </c>
      <c r="F1971" s="5" t="inlineStr">
        <is>
          <t>AUTOS DE METAL 3 TEAMSTERZ EN BLISTER</t>
        </is>
      </c>
      <c r="G1971" t="n">
        <v>1</v>
      </c>
      <c r="H1971" s="7" t="n">
        <v>6.9</v>
      </c>
      <c r="I1971" s="7" t="n">
        <v>0</v>
      </c>
      <c r="J1971" s="7" t="n">
        <v>0</v>
      </c>
      <c r="K1971" s="9" t="n">
        <v>0</v>
      </c>
      <c r="L1971" s="10" t="n">
        <v>4.1</v>
      </c>
      <c r="M1971" s="10" t="n">
        <v>1.43</v>
      </c>
      <c r="N1971" t="inlineStr">
        <is>
          <t>1</t>
        </is>
      </c>
      <c r="O1971" t="inlineStr">
        <is>
          <t>16</t>
        </is>
      </c>
      <c r="P1971" t="inlineStr">
        <is>
          <t xml:space="preserve">74879   </t>
        </is>
      </c>
      <c r="Q1971" s="26" t="n">
        <v>4.09</v>
      </c>
      <c r="R1971" s="26">
        <f>Q1971*G1971</f>
        <v/>
      </c>
      <c r="S1971" s="26">
        <f>IFERROR(VLOOKUP(E1971*1,Tabla[#All],8,0),0)</f>
        <v/>
      </c>
      <c r="T1971" s="26">
        <f>S1971*G1971</f>
        <v/>
      </c>
      <c r="U1971" s="26">
        <f>R1971-T1971</f>
        <v/>
      </c>
      <c r="V1971" s="26">
        <f>U1971-L1971</f>
        <v/>
      </c>
    </row>
    <row r="1972">
      <c r="A1972" s="11" t="n">
        <v>46222</v>
      </c>
      <c r="B1972" s="1" t="n">
        <v>20073</v>
      </c>
      <c r="C1972" s="1" t="inlineStr">
        <is>
          <t>045</t>
        </is>
      </c>
      <c r="D1972" s="1" t="inlineStr">
        <is>
          <t>149724</t>
        </is>
      </c>
      <c r="E1972" s="1" t="inlineStr">
        <is>
          <t xml:space="preserve">28194769       </t>
        </is>
      </c>
      <c r="F1972" s="5" t="inlineStr">
        <is>
          <t>AUTOS DE METAL 3 TEAMSTERZ PACK DE 2</t>
        </is>
      </c>
      <c r="G1972" t="n">
        <v>1</v>
      </c>
      <c r="H1972" s="7" t="n">
        <v>13.8</v>
      </c>
      <c r="I1972" s="7" t="n">
        <v>0</v>
      </c>
      <c r="J1972" s="7" t="n">
        <v>0</v>
      </c>
      <c r="K1972" s="9" t="n">
        <v>0</v>
      </c>
      <c r="L1972" s="10" t="n">
        <v>8.18</v>
      </c>
      <c r="M1972" s="10" t="n">
        <v>1.43</v>
      </c>
      <c r="N1972" t="inlineStr">
        <is>
          <t>1</t>
        </is>
      </c>
      <c r="O1972" t="inlineStr">
        <is>
          <t xml:space="preserve">2 </t>
        </is>
      </c>
      <c r="P1972" t="inlineStr">
        <is>
          <t xml:space="preserve">74879   </t>
        </is>
      </c>
      <c r="Q1972" s="26" t="n">
        <v>8.19</v>
      </c>
      <c r="R1972" s="26">
        <f>Q1972*G1972</f>
        <v/>
      </c>
      <c r="S1972" s="26">
        <f>IFERROR(VLOOKUP(E1972*1,Tabla[#All],8,0),0)</f>
        <v/>
      </c>
      <c r="T1972" s="26">
        <f>S1972*G1972</f>
        <v/>
      </c>
      <c r="U1972" s="26">
        <f>R1972-T1972</f>
        <v/>
      </c>
      <c r="V1972" s="26">
        <f>U1972-L1972</f>
        <v/>
      </c>
    </row>
    <row r="1973">
      <c r="A1973" s="11" t="n">
        <v>46222</v>
      </c>
      <c r="B1973" s="1" t="n">
        <v>20073</v>
      </c>
      <c r="C1973" s="1" t="inlineStr">
        <is>
          <t>046</t>
        </is>
      </c>
      <c r="D1973" s="1" t="inlineStr">
        <is>
          <t>207706</t>
        </is>
      </c>
      <c r="E1973" s="1" t="inlineStr">
        <is>
          <t xml:space="preserve">32457099       </t>
        </is>
      </c>
      <c r="F1973" s="5" t="inlineStr">
        <is>
          <t>TMZ BEAST MACHINES MONSTER JAWS A FRICCION BLISTER</t>
        </is>
      </c>
      <c r="G1973" t="n">
        <v>1</v>
      </c>
      <c r="H1973" s="7" t="n">
        <v>17.9</v>
      </c>
      <c r="I1973" s="7" t="n">
        <v>0</v>
      </c>
      <c r="J1973" s="7" t="n">
        <v>0</v>
      </c>
      <c r="K1973" s="9" t="n">
        <v>0</v>
      </c>
      <c r="L1973" s="10" t="n">
        <v>10.62</v>
      </c>
      <c r="M1973" s="10" t="n">
        <v>1.43</v>
      </c>
      <c r="N1973" t="inlineStr">
        <is>
          <t>1</t>
        </is>
      </c>
      <c r="O1973" t="inlineStr">
        <is>
          <t xml:space="preserve">2 </t>
        </is>
      </c>
      <c r="P1973" t="inlineStr">
        <is>
          <t xml:space="preserve">57886   </t>
        </is>
      </c>
      <c r="Q1973" s="26" t="n">
        <v>11.81</v>
      </c>
      <c r="R1973" s="26">
        <f>Q1973*G1973</f>
        <v/>
      </c>
      <c r="S1973" s="26">
        <f>IFERROR(VLOOKUP(E1973*1,Tabla[#All],8,0),0)</f>
        <v/>
      </c>
      <c r="T1973" s="26">
        <f>S1973*G1973</f>
        <v/>
      </c>
      <c r="U1973" s="26">
        <f>R1973-T1973</f>
        <v/>
      </c>
      <c r="V1973" s="26">
        <f>U1973-L1973</f>
        <v/>
      </c>
    </row>
    <row r="1974">
      <c r="A1974" s="11" t="n">
        <v>46222</v>
      </c>
      <c r="B1974" s="1" t="n">
        <v>20077</v>
      </c>
      <c r="C1974" s="1" t="inlineStr">
        <is>
          <t>029</t>
        </is>
      </c>
      <c r="D1974" s="1" t="inlineStr">
        <is>
          <t>156426</t>
        </is>
      </c>
      <c r="E1974" s="1" t="inlineStr">
        <is>
          <t xml:space="preserve">34840550       </t>
        </is>
      </c>
      <c r="F1974" s="5" t="inlineStr">
        <is>
          <t>TEAMSTERZ M/MOVERZ TRANSPORTA GORILA</t>
        </is>
      </c>
      <c r="G1974" t="n">
        <v>1</v>
      </c>
      <c r="H1974" s="7" t="n">
        <v>129</v>
      </c>
      <c r="I1974" s="7" t="n">
        <v>0</v>
      </c>
      <c r="J1974" s="7" t="n">
        <v>0</v>
      </c>
      <c r="K1974" s="9" t="n">
        <v>0</v>
      </c>
      <c r="L1974" s="10" t="n">
        <v>76.52</v>
      </c>
      <c r="M1974" s="10" t="n">
        <v>1.43</v>
      </c>
      <c r="N1974" t="inlineStr">
        <is>
          <t>1</t>
        </is>
      </c>
      <c r="O1974" t="inlineStr">
        <is>
          <t>16</t>
        </is>
      </c>
      <c r="P1974" t="inlineStr">
        <is>
          <t xml:space="preserve">48922   </t>
        </is>
      </c>
      <c r="Q1974" s="26" t="n">
        <v>76.53</v>
      </c>
      <c r="R1974" s="26">
        <f>Q1974*G1974</f>
        <v/>
      </c>
      <c r="S1974" s="26">
        <f>IFERROR(VLOOKUP(E1974*1,Tabla[#All],8,0),0)</f>
        <v/>
      </c>
      <c r="T1974" s="26">
        <f>S1974*G1974</f>
        <v/>
      </c>
      <c r="U1974" s="26">
        <f>R1974-T1974</f>
        <v/>
      </c>
      <c r="V1974" s="26">
        <f>U1974-L1974</f>
        <v/>
      </c>
    </row>
    <row r="1975">
      <c r="A1975" s="11" t="n">
        <v>46222</v>
      </c>
      <c r="B1975" s="1" t="n">
        <v>20077</v>
      </c>
      <c r="C1975" s="1" t="inlineStr">
        <is>
          <t>029</t>
        </is>
      </c>
      <c r="D1975" s="1" t="inlineStr">
        <is>
          <t>156470</t>
        </is>
      </c>
      <c r="E1975" s="1" t="inlineStr">
        <is>
          <t xml:space="preserve">30141766       </t>
        </is>
      </c>
      <c r="F1975" s="5" t="inlineStr">
        <is>
          <t>TMZ BEAST MACHINES AUTOS DE METAL BLISTER X 1</t>
        </is>
      </c>
      <c r="G1975" t="n">
        <v>1</v>
      </c>
      <c r="H1975" s="7" t="n">
        <v>7.9</v>
      </c>
      <c r="I1975" s="7" t="n">
        <v>0</v>
      </c>
      <c r="J1975" s="7" t="n">
        <v>0</v>
      </c>
      <c r="K1975" s="9" t="n">
        <v>0</v>
      </c>
      <c r="L1975" s="10" t="n">
        <v>4.68</v>
      </c>
      <c r="M1975" s="10" t="n">
        <v>1.43</v>
      </c>
      <c r="N1975" t="inlineStr">
        <is>
          <t>1</t>
        </is>
      </c>
      <c r="O1975" t="inlineStr">
        <is>
          <t xml:space="preserve">2 </t>
        </is>
      </c>
      <c r="P1975" t="inlineStr">
        <is>
          <t xml:space="preserve">48922   </t>
        </is>
      </c>
      <c r="Q1975" s="26" t="n">
        <v>4.69</v>
      </c>
      <c r="R1975" s="26">
        <f>Q1975*G1975</f>
        <v/>
      </c>
      <c r="S1975" s="26">
        <f>IFERROR(VLOOKUP(E1975*1,Tabla[#All],8,0),0)</f>
        <v/>
      </c>
      <c r="T1975" s="26">
        <f>S1975*G1975</f>
        <v/>
      </c>
      <c r="U1975" s="26">
        <f>R1975-T1975</f>
        <v/>
      </c>
      <c r="V1975" s="26">
        <f>U1975-L1975</f>
        <v/>
      </c>
    </row>
    <row r="1976">
      <c r="A1976" s="11" t="n">
        <v>46222</v>
      </c>
      <c r="B1976" s="1" t="n">
        <v>20077</v>
      </c>
      <c r="C1976" s="1" t="inlineStr">
        <is>
          <t>029</t>
        </is>
      </c>
      <c r="D1976" s="1" t="inlineStr">
        <is>
          <t>156490</t>
        </is>
      </c>
      <c r="E1976" s="1" t="inlineStr">
        <is>
          <t xml:space="preserve">28194770       </t>
        </is>
      </c>
      <c r="F1976" s="5" t="inlineStr">
        <is>
          <t>AUTOS DE METAL 3 TEAMSTERZ EN BLISTER</t>
        </is>
      </c>
      <c r="G1976" t="n">
        <v>1</v>
      </c>
      <c r="H1976" s="7" t="n">
        <v>6.9</v>
      </c>
      <c r="I1976" s="7" t="n">
        <v>0</v>
      </c>
      <c r="J1976" s="7" t="n">
        <v>0</v>
      </c>
      <c r="K1976" s="9" t="n">
        <v>0</v>
      </c>
      <c r="L1976" s="10" t="n">
        <v>4.1</v>
      </c>
      <c r="M1976" s="10" t="n">
        <v>1.43</v>
      </c>
      <c r="N1976" t="inlineStr">
        <is>
          <t>1</t>
        </is>
      </c>
      <c r="O1976" t="inlineStr">
        <is>
          <t>16</t>
        </is>
      </c>
      <c r="P1976" t="inlineStr">
        <is>
          <t xml:space="preserve">48922   </t>
        </is>
      </c>
      <c r="Q1976" s="26" t="n">
        <v>4.09</v>
      </c>
      <c r="R1976" s="26">
        <f>Q1976*G1976</f>
        <v/>
      </c>
      <c r="S1976" s="26">
        <f>IFERROR(VLOOKUP(E1976*1,Tabla[#All],8,0),0)</f>
        <v/>
      </c>
      <c r="T1976" s="26">
        <f>S1976*G1976</f>
        <v/>
      </c>
      <c r="U1976" s="26">
        <f>R1976-T1976</f>
        <v/>
      </c>
      <c r="V1976" s="26">
        <f>U1976-L1976</f>
        <v/>
      </c>
    </row>
    <row r="1977">
      <c r="A1977" s="11" t="n">
        <v>46222</v>
      </c>
      <c r="B1977" s="1" t="n">
        <v>20077</v>
      </c>
      <c r="C1977" s="1" t="inlineStr">
        <is>
          <t>029</t>
        </is>
      </c>
      <c r="D1977" s="1" t="inlineStr">
        <is>
          <t>156512</t>
        </is>
      </c>
      <c r="E1977" s="1" t="inlineStr">
        <is>
          <t xml:space="preserve">30232284       </t>
        </is>
      </c>
      <c r="F1977" s="5" t="inlineStr">
        <is>
          <t>INFINITY NADO TROMPO DE BATALLA - METAL C/PUNTA DE</t>
        </is>
      </c>
      <c r="G1977" t="n">
        <v>1</v>
      </c>
      <c r="H1977" s="7" t="n">
        <v>34.9</v>
      </c>
      <c r="I1977" s="7" t="n">
        <v>0</v>
      </c>
      <c r="J1977" s="7" t="n">
        <v>0</v>
      </c>
      <c r="K1977" s="9" t="n">
        <v>0</v>
      </c>
      <c r="L1977" s="10" t="n">
        <v>20.71</v>
      </c>
      <c r="M1977" s="10" t="n">
        <v>1.43</v>
      </c>
      <c r="N1977" t="inlineStr">
        <is>
          <t>1</t>
        </is>
      </c>
      <c r="O1977" t="inlineStr">
        <is>
          <t>16</t>
        </is>
      </c>
      <c r="P1977" t="inlineStr">
        <is>
          <t xml:space="preserve">250449  </t>
        </is>
      </c>
      <c r="Q1977" s="26" t="n">
        <v>29.6</v>
      </c>
      <c r="R1977" s="26">
        <f>Q1977*G1977</f>
        <v/>
      </c>
      <c r="S1977" s="26">
        <f>IFERROR(VLOOKUP(E1977*1,Tabla[#All],8,0),0)</f>
        <v/>
      </c>
      <c r="T1977" s="26">
        <f>S1977*G1977</f>
        <v/>
      </c>
      <c r="U1977" s="26">
        <f>R1977-T1977</f>
        <v/>
      </c>
      <c r="V1977" s="26">
        <f>U1977-L1977</f>
        <v/>
      </c>
    </row>
    <row r="1978">
      <c r="A1978" s="11" t="n">
        <v>46222</v>
      </c>
      <c r="B1978" s="1" t="n">
        <v>20077</v>
      </c>
      <c r="C1978" s="1" t="inlineStr">
        <is>
          <t>030</t>
        </is>
      </c>
      <c r="D1978" s="1" t="inlineStr">
        <is>
          <t xml:space="preserve">40929 </t>
        </is>
      </c>
      <c r="E1978" s="1" t="inlineStr">
        <is>
          <t xml:space="preserve">28194769       </t>
        </is>
      </c>
      <c r="F1978" s="5" t="inlineStr">
        <is>
          <t>AUTOS DE METAL 3 TEAMSTERZ PACK DE 2</t>
        </is>
      </c>
      <c r="G1978" t="n">
        <v>1</v>
      </c>
      <c r="H1978" s="7" t="n">
        <v>13.8</v>
      </c>
      <c r="I1978" s="7" t="n">
        <v>0</v>
      </c>
      <c r="J1978" s="7" t="n">
        <v>0</v>
      </c>
      <c r="K1978" s="9" t="n">
        <v>0</v>
      </c>
      <c r="L1978" s="10" t="n">
        <v>8.18</v>
      </c>
      <c r="M1978" s="10" t="n">
        <v>1.43</v>
      </c>
      <c r="N1978" t="inlineStr">
        <is>
          <t>1</t>
        </is>
      </c>
      <c r="O1978" t="inlineStr">
        <is>
          <t>16</t>
        </is>
      </c>
      <c r="P1978" t="inlineStr">
        <is>
          <t xml:space="preserve">244089  </t>
        </is>
      </c>
      <c r="Q1978" s="26" t="n">
        <v>8.19</v>
      </c>
      <c r="R1978" s="26">
        <f>Q1978*G1978</f>
        <v/>
      </c>
      <c r="S1978" s="26">
        <f>IFERROR(VLOOKUP(E1978*1,Tabla[#All],8,0),0)</f>
        <v/>
      </c>
      <c r="T1978" s="26">
        <f>S1978*G1978</f>
        <v/>
      </c>
      <c r="U1978" s="26">
        <f>R1978-T1978</f>
        <v/>
      </c>
      <c r="V1978" s="26">
        <f>U1978-L1978</f>
        <v/>
      </c>
    </row>
    <row r="1979">
      <c r="A1979" s="11" t="n">
        <v>46222</v>
      </c>
      <c r="B1979" s="1" t="n">
        <v>20077</v>
      </c>
      <c r="C1979" s="1" t="inlineStr">
        <is>
          <t>030</t>
        </is>
      </c>
      <c r="D1979" s="1" t="inlineStr">
        <is>
          <t xml:space="preserve">40985 </t>
        </is>
      </c>
      <c r="E1979" s="1" t="inlineStr">
        <is>
          <t xml:space="preserve">28194770       </t>
        </is>
      </c>
      <c r="F1979" s="5" t="inlineStr">
        <is>
          <t>AUTOS DE METAL 3 TEAMSTERZ EN BLISTER</t>
        </is>
      </c>
      <c r="G1979" t="n">
        <v>1</v>
      </c>
      <c r="H1979" s="7" t="n">
        <v>6.9</v>
      </c>
      <c r="I1979" s="7" t="n">
        <v>0.6899999999999999</v>
      </c>
      <c r="J1979" s="7" t="n">
        <v>0</v>
      </c>
      <c r="K1979" s="9" t="n">
        <v>0.6899999999999999</v>
      </c>
      <c r="L1979" s="10" t="n">
        <v>3.68</v>
      </c>
      <c r="M1979" s="10" t="n">
        <v>1.43</v>
      </c>
      <c r="N1979" t="inlineStr">
        <is>
          <t>1</t>
        </is>
      </c>
      <c r="O1979" t="inlineStr">
        <is>
          <t xml:space="preserve">3 </t>
        </is>
      </c>
      <c r="P1979" t="inlineStr">
        <is>
          <t xml:space="preserve">244089  </t>
        </is>
      </c>
      <c r="Q1979" s="26" t="n">
        <v>4.09</v>
      </c>
      <c r="R1979" s="26">
        <f>Q1979*G1979</f>
        <v/>
      </c>
      <c r="S1979" s="26">
        <f>IFERROR(VLOOKUP(E1979*1,Tabla[#All],8,0),0)</f>
        <v/>
      </c>
      <c r="T1979" s="26">
        <f>S1979*G1979</f>
        <v/>
      </c>
      <c r="U1979" s="26">
        <f>R1979-T1979</f>
        <v/>
      </c>
      <c r="V1979" s="26">
        <f>U1979-L1979</f>
        <v/>
      </c>
    </row>
    <row r="1980">
      <c r="A1980" s="11" t="n">
        <v>46222</v>
      </c>
      <c r="B1980" s="1" t="n">
        <v>20077</v>
      </c>
      <c r="C1980" s="1" t="inlineStr">
        <is>
          <t>031</t>
        </is>
      </c>
      <c r="D1980" s="1" t="inlineStr">
        <is>
          <t>186526</t>
        </is>
      </c>
      <c r="E1980" s="1" t="inlineStr">
        <is>
          <t xml:space="preserve">30141766       </t>
        </is>
      </c>
      <c r="F1980" s="5" t="inlineStr">
        <is>
          <t>TMZ BEAST MACHINES AUTOS DE METAL BLISTER X 1</t>
        </is>
      </c>
      <c r="G1980" t="n">
        <v>1</v>
      </c>
      <c r="H1980" s="7" t="n">
        <v>7.9</v>
      </c>
      <c r="I1980" s="7" t="n">
        <v>0</v>
      </c>
      <c r="J1980" s="7" t="n">
        <v>0</v>
      </c>
      <c r="K1980" s="9" t="n">
        <v>0</v>
      </c>
      <c r="L1980" s="10" t="n">
        <v>4.68</v>
      </c>
      <c r="M1980" s="10" t="n">
        <v>1.43</v>
      </c>
      <c r="N1980" t="inlineStr">
        <is>
          <t>1</t>
        </is>
      </c>
      <c r="O1980" t="inlineStr">
        <is>
          <t>16</t>
        </is>
      </c>
      <c r="P1980" t="inlineStr">
        <is>
          <t xml:space="preserve">238746  </t>
        </is>
      </c>
      <c r="Q1980" s="26" t="n">
        <v>4.69</v>
      </c>
      <c r="R1980" s="26">
        <f>Q1980*G1980</f>
        <v/>
      </c>
      <c r="S1980" s="26">
        <f>IFERROR(VLOOKUP(E1980*1,Tabla[#All],8,0),0)</f>
        <v/>
      </c>
      <c r="T1980" s="26">
        <f>S1980*G1980</f>
        <v/>
      </c>
      <c r="U1980" s="26">
        <f>R1980-T1980</f>
        <v/>
      </c>
      <c r="V1980" s="26">
        <f>U1980-L1980</f>
        <v/>
      </c>
    </row>
    <row r="1981">
      <c r="A1981" s="11" t="n">
        <v>46222</v>
      </c>
      <c r="B1981" s="1" t="n">
        <v>20077</v>
      </c>
      <c r="C1981" s="1" t="inlineStr">
        <is>
          <t>031</t>
        </is>
      </c>
      <c r="D1981" s="1" t="inlineStr">
        <is>
          <t>186534</t>
        </is>
      </c>
      <c r="E1981" s="1" t="inlineStr">
        <is>
          <t xml:space="preserve">28194770       </t>
        </is>
      </c>
      <c r="F1981" s="5" t="inlineStr">
        <is>
          <t>AUTOS DE METAL 3 TEAMSTERZ EN BLISTER</t>
        </is>
      </c>
      <c r="G1981" t="n">
        <v>1</v>
      </c>
      <c r="H1981" s="7" t="n">
        <v>6.9</v>
      </c>
      <c r="I1981" s="7" t="n">
        <v>0</v>
      </c>
      <c r="J1981" s="7" t="n">
        <v>0</v>
      </c>
      <c r="K1981" s="9" t="n">
        <v>0</v>
      </c>
      <c r="L1981" s="10" t="n">
        <v>4.1</v>
      </c>
      <c r="M1981" s="10" t="n">
        <v>1.43</v>
      </c>
      <c r="N1981" t="inlineStr">
        <is>
          <t>1</t>
        </is>
      </c>
      <c r="O1981" t="inlineStr">
        <is>
          <t xml:space="preserve">2 </t>
        </is>
      </c>
      <c r="P1981" t="inlineStr">
        <is>
          <t xml:space="preserve">64865   </t>
        </is>
      </c>
      <c r="Q1981" s="26" t="n">
        <v>4.09</v>
      </c>
      <c r="R1981" s="26">
        <f>Q1981*G1981</f>
        <v/>
      </c>
      <c r="S1981" s="26">
        <f>IFERROR(VLOOKUP(E1981*1,Tabla[#All],8,0),0)</f>
        <v/>
      </c>
      <c r="T1981" s="26">
        <f>S1981*G1981</f>
        <v/>
      </c>
      <c r="U1981" s="26">
        <f>R1981-T1981</f>
        <v/>
      </c>
      <c r="V1981" s="26">
        <f>U1981-L1981</f>
        <v/>
      </c>
    </row>
    <row r="1982">
      <c r="A1982" s="11" t="n">
        <v>46222</v>
      </c>
      <c r="B1982" s="1" t="n">
        <v>20080</v>
      </c>
      <c r="C1982" s="1" t="inlineStr">
        <is>
          <t>025</t>
        </is>
      </c>
      <c r="D1982" s="1" t="inlineStr">
        <is>
          <t xml:space="preserve">233   </t>
        </is>
      </c>
      <c r="E1982" s="1" t="inlineStr">
        <is>
          <t xml:space="preserve">33483117       </t>
        </is>
      </c>
      <c r="F1982" s="5" t="inlineStr">
        <is>
          <t>MUNECA EVI LOVE SAFARI+VEHIC.+2 BB ANIMAL+ACC.</t>
        </is>
      </c>
      <c r="G1982" t="n">
        <v>1</v>
      </c>
      <c r="H1982" s="7" t="n">
        <v>35.94</v>
      </c>
      <c r="I1982" s="7" t="n">
        <v>0</v>
      </c>
      <c r="J1982" s="7" t="n">
        <v>0</v>
      </c>
      <c r="K1982" s="9" t="n">
        <v>0</v>
      </c>
      <c r="L1982" s="10" t="n">
        <v>21.32</v>
      </c>
      <c r="M1982" s="10" t="n">
        <v>1.43</v>
      </c>
      <c r="N1982" t="inlineStr">
        <is>
          <t>1</t>
        </is>
      </c>
      <c r="O1982" t="inlineStr">
        <is>
          <t>16</t>
        </is>
      </c>
      <c r="P1982" t="inlineStr">
        <is>
          <t xml:space="preserve">247625  </t>
        </is>
      </c>
      <c r="Q1982" s="26" t="n">
        <v>35.53</v>
      </c>
      <c r="R1982" s="26">
        <f>Q1982*G1982</f>
        <v/>
      </c>
      <c r="S1982" s="26">
        <f>IFERROR(VLOOKUP(E1982*1,Tabla[#All],8,0),0)</f>
        <v/>
      </c>
      <c r="T1982" s="26">
        <f>S1982*G1982</f>
        <v/>
      </c>
      <c r="U1982" s="26">
        <f>R1982-T1982</f>
        <v/>
      </c>
      <c r="V1982" s="26">
        <f>U1982-L1982</f>
        <v/>
      </c>
    </row>
    <row r="1983">
      <c r="A1983" s="11" t="n">
        <v>46222</v>
      </c>
      <c r="B1983" s="1" t="n">
        <v>20086</v>
      </c>
      <c r="C1983" s="1" t="inlineStr">
        <is>
          <t>022</t>
        </is>
      </c>
      <c r="D1983" s="1" t="inlineStr">
        <is>
          <t>113179</t>
        </is>
      </c>
      <c r="E1983" s="1" t="inlineStr">
        <is>
          <t xml:space="preserve">29854053       </t>
        </is>
      </c>
      <c r="F1983" s="5" t="inlineStr">
        <is>
          <t>PINYPON CARRO Y MOTO CON CARRO LATERAL SURTIDO</t>
        </is>
      </c>
      <c r="G1983" t="n">
        <v>1</v>
      </c>
      <c r="H1983" s="7" t="n">
        <v>41.94</v>
      </c>
      <c r="I1983" s="7" t="n">
        <v>4.19</v>
      </c>
      <c r="J1983" s="7" t="n">
        <v>0</v>
      </c>
      <c r="K1983" s="9" t="n">
        <v>4.19</v>
      </c>
      <c r="L1983" s="10" t="n">
        <v>22.39</v>
      </c>
      <c r="M1983" s="10" t="n">
        <v>1.43</v>
      </c>
      <c r="N1983" t="inlineStr">
        <is>
          <t>1</t>
        </is>
      </c>
      <c r="O1983" t="inlineStr">
        <is>
          <t xml:space="preserve">3 </t>
        </is>
      </c>
      <c r="P1983" t="inlineStr">
        <is>
          <t xml:space="preserve">243254  </t>
        </is>
      </c>
      <c r="Q1983" s="26" t="n">
        <v>41.47</v>
      </c>
      <c r="R1983" s="26">
        <f>Q1983*G1983</f>
        <v/>
      </c>
      <c r="S1983" s="26">
        <f>IFERROR(VLOOKUP(E1983*1,Tabla[#All],8,0),0)</f>
        <v/>
      </c>
      <c r="T1983" s="26">
        <f>S1983*G1983</f>
        <v/>
      </c>
      <c r="U1983" s="26">
        <f>R1983-T1983</f>
        <v/>
      </c>
      <c r="V1983" s="26">
        <f>U1983-L1983</f>
        <v/>
      </c>
    </row>
    <row r="1984">
      <c r="A1984" s="11" t="n">
        <v>46222</v>
      </c>
      <c r="B1984" s="1" t="n">
        <v>20086</v>
      </c>
      <c r="C1984" s="1" t="inlineStr">
        <is>
          <t>023</t>
        </is>
      </c>
      <c r="D1984" s="1" t="inlineStr">
        <is>
          <t xml:space="preserve">47662 </t>
        </is>
      </c>
      <c r="E1984" s="1" t="inlineStr">
        <is>
          <t xml:space="preserve">28194770       </t>
        </is>
      </c>
      <c r="F1984" s="5" t="inlineStr">
        <is>
          <t>AUTOS DE METAL 3 TEAMSTERZ EN BLISTER</t>
        </is>
      </c>
      <c r="G1984" t="n">
        <v>1</v>
      </c>
      <c r="H1984" s="7" t="n">
        <v>6.9</v>
      </c>
      <c r="I1984" s="7" t="n">
        <v>0</v>
      </c>
      <c r="J1984" s="7" t="n">
        <v>0</v>
      </c>
      <c r="K1984" s="9" t="n">
        <v>0</v>
      </c>
      <c r="L1984" s="10" t="n">
        <v>4.1</v>
      </c>
      <c r="M1984" s="10" t="n">
        <v>1.43</v>
      </c>
      <c r="N1984" t="inlineStr">
        <is>
          <t>1</t>
        </is>
      </c>
      <c r="O1984" t="inlineStr">
        <is>
          <t>16</t>
        </is>
      </c>
      <c r="P1984" t="inlineStr">
        <is>
          <t xml:space="preserve">250782  </t>
        </is>
      </c>
      <c r="Q1984" s="26" t="n">
        <v>4.09</v>
      </c>
      <c r="R1984" s="26">
        <f>Q1984*G1984</f>
        <v/>
      </c>
      <c r="S1984" s="26">
        <f>IFERROR(VLOOKUP(E1984*1,Tabla[#All],8,0),0)</f>
        <v/>
      </c>
      <c r="T1984" s="26">
        <f>S1984*G1984</f>
        <v/>
      </c>
      <c r="U1984" s="26">
        <f>R1984-T1984</f>
        <v/>
      </c>
      <c r="V1984" s="26">
        <f>U1984-L1984</f>
        <v/>
      </c>
    </row>
    <row r="1985">
      <c r="A1985" s="11" t="n">
        <v>46222</v>
      </c>
      <c r="B1985" s="1" t="n">
        <v>20086</v>
      </c>
      <c r="C1985" s="1" t="inlineStr">
        <is>
          <t>192</t>
        </is>
      </c>
      <c r="D1985" s="1" t="inlineStr">
        <is>
          <t>129224</t>
        </is>
      </c>
      <c r="E1985" s="1" t="inlineStr">
        <is>
          <t xml:space="preserve">29235701       </t>
        </is>
      </c>
      <c r="F1985" s="5" t="inlineStr">
        <is>
          <t>INFINITY NADO TROMPO DE BATALLA - METAL EN CAJA</t>
        </is>
      </c>
      <c r="G1985" t="n">
        <v>1</v>
      </c>
      <c r="H1985" s="7" t="n">
        <v>29.9</v>
      </c>
      <c r="I1985" s="7" t="n">
        <v>0</v>
      </c>
      <c r="J1985" s="7" t="n">
        <v>0</v>
      </c>
      <c r="K1985" s="9" t="n">
        <v>0</v>
      </c>
      <c r="L1985" s="10" t="n">
        <v>17.74</v>
      </c>
      <c r="M1985" s="10" t="n">
        <v>1.43</v>
      </c>
      <c r="N1985" t="inlineStr">
        <is>
          <t>1</t>
        </is>
      </c>
      <c r="O1985" t="inlineStr">
        <is>
          <t>16</t>
        </is>
      </c>
      <c r="P1985" t="inlineStr">
        <is>
          <t xml:space="preserve">95768   </t>
        </is>
      </c>
      <c r="Q1985" s="26" t="n">
        <v>23.67</v>
      </c>
      <c r="R1985" s="26">
        <f>Q1985*G1985</f>
        <v/>
      </c>
      <c r="S1985" s="26">
        <f>IFERROR(VLOOKUP(E1985*1,Tabla[#All],8,0),0)</f>
        <v/>
      </c>
      <c r="T1985" s="26">
        <f>S1985*G1985</f>
        <v/>
      </c>
      <c r="U1985" s="26">
        <f>R1985-T1985</f>
        <v/>
      </c>
      <c r="V1985" s="26">
        <f>U1985-L1985</f>
        <v/>
      </c>
    </row>
    <row r="1986">
      <c r="A1986" s="11" t="n">
        <v>46222</v>
      </c>
      <c r="B1986" s="1" t="n">
        <v>20088</v>
      </c>
      <c r="C1986" s="1" t="inlineStr">
        <is>
          <t>021</t>
        </is>
      </c>
      <c r="D1986" s="1" t="inlineStr">
        <is>
          <t xml:space="preserve">49542 </t>
        </is>
      </c>
      <c r="E1986" s="1" t="inlineStr">
        <is>
          <t xml:space="preserve">33483121       </t>
        </is>
      </c>
      <c r="F1986" s="5" t="inlineStr">
        <is>
          <t>HOT WHEELS ESTUCHE PARA 15 AUTOS SURTIDO</t>
        </is>
      </c>
      <c r="G1986" t="n">
        <v>1</v>
      </c>
      <c r="H1986" s="7" t="n">
        <v>34.9</v>
      </c>
      <c r="I1986" s="7" t="n">
        <v>0</v>
      </c>
      <c r="J1986" s="7" t="n">
        <v>0</v>
      </c>
      <c r="K1986" s="9" t="n">
        <v>0</v>
      </c>
      <c r="L1986" s="10" t="n">
        <v>20.71</v>
      </c>
      <c r="M1986" s="10" t="n">
        <v>1.43</v>
      </c>
      <c r="N1986" t="inlineStr">
        <is>
          <t>1</t>
        </is>
      </c>
      <c r="O1986" t="inlineStr">
        <is>
          <t xml:space="preserve">2 </t>
        </is>
      </c>
      <c r="P1986" t="inlineStr">
        <is>
          <t xml:space="preserve">47248   </t>
        </is>
      </c>
      <c r="Q1986" s="26" t="n">
        <v>20.7</v>
      </c>
      <c r="R1986" s="26">
        <f>Q1986*G1986</f>
        <v/>
      </c>
      <c r="S1986" s="26">
        <f>IFERROR(VLOOKUP(E1986*1,Tabla[#All],8,0),0)</f>
        <v/>
      </c>
      <c r="T1986" s="26">
        <f>S1986*G1986</f>
        <v/>
      </c>
      <c r="U1986" s="26">
        <f>R1986-T1986</f>
        <v/>
      </c>
      <c r="V1986" s="26">
        <f>U1986-L1986</f>
        <v/>
      </c>
    </row>
    <row r="1987">
      <c r="A1987" s="11" t="n">
        <v>46222</v>
      </c>
      <c r="B1987" s="1" t="n">
        <v>20088</v>
      </c>
      <c r="C1987" s="1" t="inlineStr">
        <is>
          <t>023</t>
        </is>
      </c>
      <c r="D1987" s="1" t="inlineStr">
        <is>
          <t>127347</t>
        </is>
      </c>
      <c r="E1987" s="1" t="inlineStr">
        <is>
          <t xml:space="preserve">34840526       </t>
        </is>
      </c>
      <c r="F1987" s="5" t="inlineStr">
        <is>
          <t>NENUCO ABRACITOS</t>
        </is>
      </c>
      <c r="G1987" t="n">
        <v>1</v>
      </c>
      <c r="H1987" s="7" t="n">
        <v>89.90000000000001</v>
      </c>
      <c r="I1987" s="7" t="n">
        <v>8.99</v>
      </c>
      <c r="J1987" s="7" t="n">
        <v>0</v>
      </c>
      <c r="K1987" s="9" t="n">
        <v>8.99</v>
      </c>
      <c r="L1987" s="10" t="n">
        <v>48</v>
      </c>
      <c r="M1987" s="10" t="n">
        <v>1.43</v>
      </c>
      <c r="N1987" t="inlineStr">
        <is>
          <t>1</t>
        </is>
      </c>
      <c r="O1987" t="inlineStr">
        <is>
          <t>16</t>
        </is>
      </c>
      <c r="P1987" t="inlineStr">
        <is>
          <t xml:space="preserve">234665  </t>
        </is>
      </c>
      <c r="Q1987" s="26" t="n">
        <v>70.59</v>
      </c>
      <c r="R1987" s="26">
        <f>Q1987*G1987</f>
        <v/>
      </c>
      <c r="S1987" s="26">
        <f>IFERROR(VLOOKUP(E1987*1,Tabla[#All],8,0),0)</f>
        <v/>
      </c>
      <c r="T1987" s="26">
        <f>S1987*G1987</f>
        <v/>
      </c>
      <c r="U1987" s="26">
        <f>R1987-T1987</f>
        <v/>
      </c>
      <c r="V1987" s="26">
        <f>U1987-L1987</f>
        <v/>
      </c>
    </row>
    <row r="1988">
      <c r="A1988" s="11" t="n">
        <v>46222</v>
      </c>
      <c r="B1988" s="1" t="n">
        <v>20088</v>
      </c>
      <c r="C1988" s="1" t="inlineStr">
        <is>
          <t>023</t>
        </is>
      </c>
      <c r="D1988" s="1" t="inlineStr">
        <is>
          <t>127382</t>
        </is>
      </c>
      <c r="E1988" s="1" t="inlineStr">
        <is>
          <t xml:space="preserve">28194769       </t>
        </is>
      </c>
      <c r="F1988" s="5" t="inlineStr">
        <is>
          <t>AUTOS DE METAL 3 TEAMSTERZ PACK DE 2</t>
        </is>
      </c>
      <c r="G1988" t="n">
        <v>1</v>
      </c>
      <c r="H1988" s="7" t="n">
        <v>13.8</v>
      </c>
      <c r="I1988" s="7" t="n">
        <v>0</v>
      </c>
      <c r="J1988" s="7" t="n">
        <v>0</v>
      </c>
      <c r="K1988" s="9" t="n">
        <v>0</v>
      </c>
      <c r="L1988" s="10" t="n">
        <v>8.18</v>
      </c>
      <c r="M1988" s="10" t="n">
        <v>1.43</v>
      </c>
      <c r="N1988" t="inlineStr">
        <is>
          <t>1</t>
        </is>
      </c>
      <c r="O1988" t="inlineStr">
        <is>
          <t>16</t>
        </is>
      </c>
      <c r="P1988" t="inlineStr">
        <is>
          <t xml:space="preserve">234665  </t>
        </is>
      </c>
      <c r="Q1988" s="26" t="n">
        <v>8.19</v>
      </c>
      <c r="R1988" s="26">
        <f>Q1988*G1988</f>
        <v/>
      </c>
      <c r="S1988" s="26">
        <f>IFERROR(VLOOKUP(E1988*1,Tabla[#All],8,0),0)</f>
        <v/>
      </c>
      <c r="T1988" s="26">
        <f>S1988*G1988</f>
        <v/>
      </c>
      <c r="U1988" s="26">
        <f>R1988-T1988</f>
        <v/>
      </c>
      <c r="V1988" s="26">
        <f>U1988-L1988</f>
        <v/>
      </c>
    </row>
    <row r="1989">
      <c r="A1989" s="11" t="n">
        <v>46222</v>
      </c>
      <c r="B1989" s="1" t="n">
        <v>20088</v>
      </c>
      <c r="C1989" s="1" t="inlineStr">
        <is>
          <t>023</t>
        </is>
      </c>
      <c r="D1989" s="1" t="inlineStr">
        <is>
          <t>127390</t>
        </is>
      </c>
      <c r="E1989" s="1" t="inlineStr">
        <is>
          <t xml:space="preserve">28194768       </t>
        </is>
      </c>
      <c r="F1989" s="5" t="inlineStr">
        <is>
          <t>AUTO COLOR CHANGE TEAMSTERZ SURTIDO</t>
        </is>
      </c>
      <c r="G1989" t="n">
        <v>1</v>
      </c>
      <c r="H1989" s="7" t="n">
        <v>14.9</v>
      </c>
      <c r="I1989" s="7" t="n">
        <v>0</v>
      </c>
      <c r="J1989" s="7" t="n">
        <v>0</v>
      </c>
      <c r="K1989" s="9" t="n">
        <v>0</v>
      </c>
      <c r="L1989" s="10" t="n">
        <v>8.84</v>
      </c>
      <c r="M1989" s="10" t="n">
        <v>1.43</v>
      </c>
      <c r="N1989" t="inlineStr">
        <is>
          <t>1</t>
        </is>
      </c>
      <c r="O1989" t="inlineStr">
        <is>
          <t xml:space="preserve">2 </t>
        </is>
      </c>
      <c r="P1989" t="inlineStr">
        <is>
          <t xml:space="preserve">234665  </t>
        </is>
      </c>
      <c r="Q1989" s="26" t="n">
        <v>8.84</v>
      </c>
      <c r="R1989" s="26">
        <f>Q1989*G1989</f>
        <v/>
      </c>
      <c r="S1989" s="26">
        <f>IFERROR(VLOOKUP(E1989*1,Tabla[#All],8,0),0)</f>
        <v/>
      </c>
      <c r="T1989" s="26">
        <f>S1989*G1989</f>
        <v/>
      </c>
      <c r="U1989" s="26">
        <f>R1989-T1989</f>
        <v/>
      </c>
      <c r="V1989" s="26">
        <f>U1989-L1989</f>
        <v/>
      </c>
    </row>
    <row r="1990">
      <c r="A1990" s="11" t="n">
        <v>46222</v>
      </c>
      <c r="B1990" s="1" t="n">
        <v>20089</v>
      </c>
      <c r="C1990" s="1" t="inlineStr">
        <is>
          <t>025</t>
        </is>
      </c>
      <c r="D1990" s="1" t="inlineStr">
        <is>
          <t>122112</t>
        </is>
      </c>
      <c r="E1990" s="1" t="inlineStr">
        <is>
          <t xml:space="preserve">28194769       </t>
        </is>
      </c>
      <c r="F1990" s="5" t="inlineStr">
        <is>
          <t>AUTOS DE METAL 3 TEAMSTERZ PACK DE 2</t>
        </is>
      </c>
      <c r="G1990" t="n">
        <v>1</v>
      </c>
      <c r="H1990" s="7" t="n">
        <v>13.8</v>
      </c>
      <c r="I1990" s="7" t="n">
        <v>0</v>
      </c>
      <c r="J1990" s="7" t="n">
        <v>0</v>
      </c>
      <c r="K1990" s="9" t="n">
        <v>0</v>
      </c>
      <c r="L1990" s="10" t="n">
        <v>8.18</v>
      </c>
      <c r="M1990" s="10" t="n">
        <v>1.43</v>
      </c>
      <c r="N1990" t="inlineStr">
        <is>
          <t>1</t>
        </is>
      </c>
      <c r="O1990" t="inlineStr">
        <is>
          <t>16</t>
        </is>
      </c>
      <c r="P1990" t="inlineStr">
        <is>
          <t xml:space="preserve">94948   </t>
        </is>
      </c>
      <c r="Q1990" s="26" t="n">
        <v>8.19</v>
      </c>
      <c r="R1990" s="26">
        <f>Q1990*G1990</f>
        <v/>
      </c>
      <c r="S1990" s="26">
        <f>IFERROR(VLOOKUP(E1990*1,Tabla[#All],8,0),0)</f>
        <v/>
      </c>
      <c r="T1990" s="26">
        <f>S1990*G1990</f>
        <v/>
      </c>
      <c r="U1990" s="26">
        <f>R1990-T1990</f>
        <v/>
      </c>
      <c r="V1990" s="26">
        <f>U1990-L1990</f>
        <v/>
      </c>
    </row>
    <row r="1991">
      <c r="A1991" s="11" t="n">
        <v>46222</v>
      </c>
      <c r="B1991" s="1" t="n">
        <v>20089</v>
      </c>
      <c r="C1991" s="1" t="inlineStr">
        <is>
          <t>025</t>
        </is>
      </c>
      <c r="D1991" s="1" t="inlineStr">
        <is>
          <t>122128</t>
        </is>
      </c>
      <c r="E1991" s="1" t="inlineStr">
        <is>
          <t xml:space="preserve">30141766       </t>
        </is>
      </c>
      <c r="F1991" s="5" t="inlineStr">
        <is>
          <t>TMZ BEAST MACHINES AUTOS DE METAL BLISTER X 1</t>
        </is>
      </c>
      <c r="G1991" t="n">
        <v>1</v>
      </c>
      <c r="H1991" s="7" t="n">
        <v>7.9</v>
      </c>
      <c r="I1991" s="7" t="n">
        <v>0</v>
      </c>
      <c r="J1991" s="7" t="n">
        <v>0</v>
      </c>
      <c r="K1991" s="9" t="n">
        <v>0</v>
      </c>
      <c r="L1991" s="10" t="n">
        <v>4.68</v>
      </c>
      <c r="M1991" s="10" t="n">
        <v>1.43</v>
      </c>
      <c r="N1991" t="inlineStr">
        <is>
          <t>1</t>
        </is>
      </c>
      <c r="O1991" t="inlineStr">
        <is>
          <t>16</t>
        </is>
      </c>
      <c r="P1991" t="inlineStr">
        <is>
          <t xml:space="preserve">94948   </t>
        </is>
      </c>
      <c r="Q1991" s="26" t="n">
        <v>4.69</v>
      </c>
      <c r="R1991" s="26">
        <f>Q1991*G1991</f>
        <v/>
      </c>
      <c r="S1991" s="26">
        <f>IFERROR(VLOOKUP(E1991*1,Tabla[#All],8,0),0)</f>
        <v/>
      </c>
      <c r="T1991" s="26">
        <f>S1991*G1991</f>
        <v/>
      </c>
      <c r="U1991" s="26">
        <f>R1991-T1991</f>
        <v/>
      </c>
      <c r="V1991" s="26">
        <f>U1991-L1991</f>
        <v/>
      </c>
    </row>
    <row r="1992">
      <c r="A1992" s="11" t="n">
        <v>46222</v>
      </c>
      <c r="B1992" s="1" t="n">
        <v>20089</v>
      </c>
      <c r="C1992" s="1" t="inlineStr">
        <is>
          <t>025</t>
        </is>
      </c>
      <c r="D1992" s="1" t="inlineStr">
        <is>
          <t>122149</t>
        </is>
      </c>
      <c r="E1992" s="1" t="inlineStr">
        <is>
          <t xml:space="preserve">30141766       </t>
        </is>
      </c>
      <c r="F1992" s="5" t="inlineStr">
        <is>
          <t>TMZ BEAST MACHINES AUTOS DE METAL BLISTER X 1</t>
        </is>
      </c>
      <c r="G1992" t="n">
        <v>1</v>
      </c>
      <c r="H1992" s="7" t="n">
        <v>7.9</v>
      </c>
      <c r="I1992" s="7" t="n">
        <v>0</v>
      </c>
      <c r="J1992" s="7" t="n">
        <v>0</v>
      </c>
      <c r="K1992" s="9" t="n">
        <v>0</v>
      </c>
      <c r="L1992" s="10" t="n">
        <v>4.68</v>
      </c>
      <c r="M1992" s="10" t="n">
        <v>1.43</v>
      </c>
      <c r="N1992" t="inlineStr">
        <is>
          <t>1</t>
        </is>
      </c>
      <c r="O1992" t="inlineStr">
        <is>
          <t>16</t>
        </is>
      </c>
      <c r="P1992" t="inlineStr">
        <is>
          <t xml:space="preserve">94948   </t>
        </is>
      </c>
      <c r="Q1992" s="26" t="n">
        <v>4.69</v>
      </c>
      <c r="R1992" s="26">
        <f>Q1992*G1992</f>
        <v/>
      </c>
      <c r="S1992" s="26">
        <f>IFERROR(VLOOKUP(E1992*1,Tabla[#All],8,0),0)</f>
        <v/>
      </c>
      <c r="T1992" s="26">
        <f>S1992*G1992</f>
        <v/>
      </c>
      <c r="U1992" s="26">
        <f>R1992-T1992</f>
        <v/>
      </c>
      <c r="V1992" s="26">
        <f>U1992-L1992</f>
        <v/>
      </c>
    </row>
    <row r="1993">
      <c r="A1993" s="11" t="n">
        <v>46222</v>
      </c>
      <c r="B1993" s="1" t="n">
        <v>20089</v>
      </c>
      <c r="C1993" s="1" t="inlineStr">
        <is>
          <t>025</t>
        </is>
      </c>
      <c r="D1993" s="1" t="inlineStr">
        <is>
          <t>122151</t>
        </is>
      </c>
      <c r="E1993" s="1" t="inlineStr">
        <is>
          <t xml:space="preserve">28194768       </t>
        </is>
      </c>
      <c r="F1993" s="5" t="inlineStr">
        <is>
          <t>AUTO COLOR CHANGE TEAMSTERZ SURTIDO</t>
        </is>
      </c>
      <c r="G1993" t="n">
        <v>1</v>
      </c>
      <c r="H1993" s="7" t="n">
        <v>14.9</v>
      </c>
      <c r="I1993" s="7" t="n">
        <v>0</v>
      </c>
      <c r="J1993" s="7" t="n">
        <v>0</v>
      </c>
      <c r="K1993" s="9" t="n">
        <v>0</v>
      </c>
      <c r="L1993" s="10" t="n">
        <v>8.84</v>
      </c>
      <c r="M1993" s="10" t="n">
        <v>1.43</v>
      </c>
      <c r="N1993" t="inlineStr">
        <is>
          <t>1</t>
        </is>
      </c>
      <c r="O1993" t="inlineStr">
        <is>
          <t xml:space="preserve">2 </t>
        </is>
      </c>
      <c r="P1993" t="inlineStr">
        <is>
          <t xml:space="preserve">94948   </t>
        </is>
      </c>
      <c r="Q1993" s="26" t="n">
        <v>8.84</v>
      </c>
      <c r="R1993" s="26">
        <f>Q1993*G1993</f>
        <v/>
      </c>
      <c r="S1993" s="26">
        <f>IFERROR(VLOOKUP(E1993*1,Tabla[#All],8,0),0)</f>
        <v/>
      </c>
      <c r="T1993" s="26">
        <f>S1993*G1993</f>
        <v/>
      </c>
      <c r="U1993" s="26">
        <f>R1993-T1993</f>
        <v/>
      </c>
      <c r="V1993" s="26">
        <f>U1993-L1993</f>
        <v/>
      </c>
    </row>
    <row r="1994">
      <c r="A1994" s="11" t="n">
        <v>46222</v>
      </c>
      <c r="B1994" s="1" t="n">
        <v>20089</v>
      </c>
      <c r="C1994" s="1" t="inlineStr">
        <is>
          <t>026</t>
        </is>
      </c>
      <c r="D1994" s="1" t="inlineStr">
        <is>
          <t xml:space="preserve">88206 </t>
        </is>
      </c>
      <c r="E1994" s="1" t="inlineStr">
        <is>
          <t xml:space="preserve">28194770       </t>
        </is>
      </c>
      <c r="F1994" s="5" t="inlineStr">
        <is>
          <t>AUTOS DE METAL 3 TEAMSTERZ EN BLISTER</t>
        </is>
      </c>
      <c r="G1994" t="n">
        <v>1</v>
      </c>
      <c r="H1994" s="7" t="n">
        <v>6.9</v>
      </c>
      <c r="I1994" s="7" t="n">
        <v>0</v>
      </c>
      <c r="J1994" s="7" t="n">
        <v>0</v>
      </c>
      <c r="K1994" s="9" t="n">
        <v>0</v>
      </c>
      <c r="L1994" s="10" t="n">
        <v>4.1</v>
      </c>
      <c r="M1994" s="10" t="n">
        <v>1.43</v>
      </c>
      <c r="N1994" t="inlineStr">
        <is>
          <t>1</t>
        </is>
      </c>
      <c r="O1994" t="inlineStr">
        <is>
          <t>16</t>
        </is>
      </c>
      <c r="P1994" t="inlineStr">
        <is>
          <t xml:space="preserve">233031  </t>
        </is>
      </c>
      <c r="Q1994" s="26" t="n">
        <v>4.09</v>
      </c>
      <c r="R1994" s="26">
        <f>Q1994*G1994</f>
        <v/>
      </c>
      <c r="S1994" s="26">
        <f>IFERROR(VLOOKUP(E1994*1,Tabla[#All],8,0),0)</f>
        <v/>
      </c>
      <c r="T1994" s="26">
        <f>S1994*G1994</f>
        <v/>
      </c>
      <c r="U1994" s="26">
        <f>R1994-T1994</f>
        <v/>
      </c>
      <c r="V1994" s="26">
        <f>U1994-L1994</f>
        <v/>
      </c>
    </row>
    <row r="1995">
      <c r="A1995" s="11" t="n">
        <v>46222</v>
      </c>
      <c r="B1995" s="1" t="n">
        <v>20089</v>
      </c>
      <c r="C1995" s="1" t="inlineStr">
        <is>
          <t>026</t>
        </is>
      </c>
      <c r="D1995" s="1" t="inlineStr">
        <is>
          <t xml:space="preserve">88207 </t>
        </is>
      </c>
      <c r="E1995" s="1" t="inlineStr">
        <is>
          <t xml:space="preserve">28194780       </t>
        </is>
      </c>
      <c r="F1995" s="5" t="inlineStr">
        <is>
          <t>TROMPO BATALLA INFINITY NADO PLSTICO SURTIDO</t>
        </is>
      </c>
      <c r="G1995" t="n">
        <v>1</v>
      </c>
      <c r="H1995" s="7" t="n">
        <v>19.9</v>
      </c>
      <c r="I1995" s="7" t="n">
        <v>0</v>
      </c>
      <c r="J1995" s="7" t="n">
        <v>0</v>
      </c>
      <c r="K1995" s="9" t="n">
        <v>0</v>
      </c>
      <c r="L1995" s="10" t="n">
        <v>11.8</v>
      </c>
      <c r="M1995" s="10" t="n">
        <v>1.43</v>
      </c>
      <c r="N1995" t="inlineStr">
        <is>
          <t>1</t>
        </is>
      </c>
      <c r="O1995" t="inlineStr">
        <is>
          <t xml:space="preserve">2 </t>
        </is>
      </c>
      <c r="P1995" t="inlineStr">
        <is>
          <t xml:space="preserve">233031  </t>
        </is>
      </c>
      <c r="Q1995" s="26" t="n">
        <v>11.81</v>
      </c>
      <c r="R1995" s="26">
        <f>Q1995*G1995</f>
        <v/>
      </c>
      <c r="S1995" s="26">
        <f>IFERROR(VLOOKUP(E1995*1,Tabla[#All],8,0),0)</f>
        <v/>
      </c>
      <c r="T1995" s="26">
        <f>S1995*G1995</f>
        <v/>
      </c>
      <c r="U1995" s="26">
        <f>R1995-T1995</f>
        <v/>
      </c>
      <c r="V1995" s="26">
        <f>U1995-L1995</f>
        <v/>
      </c>
    </row>
    <row r="1996">
      <c r="A1996" s="11" t="n">
        <v>46222</v>
      </c>
      <c r="B1996" s="1" t="n">
        <v>20089</v>
      </c>
      <c r="C1996" s="1" t="inlineStr">
        <is>
          <t>026</t>
        </is>
      </c>
      <c r="D1996" s="1" t="inlineStr">
        <is>
          <t xml:space="preserve">88221 </t>
        </is>
      </c>
      <c r="E1996" s="1" t="inlineStr">
        <is>
          <t xml:space="preserve">28194770       </t>
        </is>
      </c>
      <c r="F1996" s="5" t="inlineStr">
        <is>
          <t>AUTOS DE METAL 3 TEAMSTERZ EN BLISTER</t>
        </is>
      </c>
      <c r="G1996" t="n">
        <v>1</v>
      </c>
      <c r="H1996" s="7" t="n">
        <v>6.9</v>
      </c>
      <c r="I1996" s="7" t="n">
        <v>0.6899999999999999</v>
      </c>
      <c r="J1996" s="7" t="n">
        <v>0</v>
      </c>
      <c r="K1996" s="9" t="n">
        <v>0.6899999999999999</v>
      </c>
      <c r="L1996" s="10" t="n">
        <v>3.68</v>
      </c>
      <c r="M1996" s="10" t="n">
        <v>1.43</v>
      </c>
      <c r="N1996" t="inlineStr">
        <is>
          <t>1</t>
        </is>
      </c>
      <c r="O1996" t="inlineStr">
        <is>
          <t>16</t>
        </is>
      </c>
      <c r="P1996" t="inlineStr">
        <is>
          <t xml:space="preserve">233031  </t>
        </is>
      </c>
      <c r="Q1996" s="26" t="n">
        <v>4.09</v>
      </c>
      <c r="R1996" s="26">
        <f>Q1996*G1996</f>
        <v/>
      </c>
      <c r="S1996" s="26">
        <f>IFERROR(VLOOKUP(E1996*1,Tabla[#All],8,0),0)</f>
        <v/>
      </c>
      <c r="T1996" s="26">
        <f>S1996*G1996</f>
        <v/>
      </c>
      <c r="U1996" s="26">
        <f>R1996-T1996</f>
        <v/>
      </c>
      <c r="V1996" s="26">
        <f>U1996-L1996</f>
        <v/>
      </c>
    </row>
    <row r="1997">
      <c r="A1997" s="11" t="n">
        <v>46222</v>
      </c>
      <c r="B1997" s="1" t="n">
        <v>20089</v>
      </c>
      <c r="C1997" s="1" t="inlineStr">
        <is>
          <t>026</t>
        </is>
      </c>
      <c r="D1997" s="1" t="inlineStr">
        <is>
          <t xml:space="preserve">88240 </t>
        </is>
      </c>
      <c r="E1997" s="1" t="inlineStr">
        <is>
          <t xml:space="preserve">28194769       </t>
        </is>
      </c>
      <c r="F1997" s="5" t="inlineStr">
        <is>
          <t>AUTOS DE METAL 3 TEAMSTERZ PACK DE 2</t>
        </is>
      </c>
      <c r="G1997" t="n">
        <v>1</v>
      </c>
      <c r="H1997" s="7" t="n">
        <v>13.8</v>
      </c>
      <c r="I1997" s="7" t="n">
        <v>0</v>
      </c>
      <c r="J1997" s="7" t="n">
        <v>0</v>
      </c>
      <c r="K1997" s="9" t="n">
        <v>0</v>
      </c>
      <c r="L1997" s="10" t="n">
        <v>8.18</v>
      </c>
      <c r="M1997" s="10" t="n">
        <v>1.43</v>
      </c>
      <c r="N1997" t="inlineStr">
        <is>
          <t>1</t>
        </is>
      </c>
      <c r="O1997" t="inlineStr">
        <is>
          <t xml:space="preserve">2 </t>
        </is>
      </c>
      <c r="P1997" t="inlineStr">
        <is>
          <t xml:space="preserve">233031  </t>
        </is>
      </c>
      <c r="Q1997" s="26" t="n">
        <v>8.19</v>
      </c>
      <c r="R1997" s="26">
        <f>Q1997*G1997</f>
        <v/>
      </c>
      <c r="S1997" s="26">
        <f>IFERROR(VLOOKUP(E1997*1,Tabla[#All],8,0),0)</f>
        <v/>
      </c>
      <c r="T1997" s="26">
        <f>S1997*G1997</f>
        <v/>
      </c>
      <c r="U1997" s="26">
        <f>R1997-T1997</f>
        <v/>
      </c>
      <c r="V1997" s="26">
        <f>U1997-L1997</f>
        <v/>
      </c>
    </row>
    <row r="1998">
      <c r="A1998" s="11" t="n">
        <v>46222</v>
      </c>
      <c r="B1998" s="1" t="n">
        <v>20089</v>
      </c>
      <c r="C1998" s="1" t="inlineStr">
        <is>
          <t>026</t>
        </is>
      </c>
      <c r="D1998" s="1" t="inlineStr">
        <is>
          <t xml:space="preserve">88241 </t>
        </is>
      </c>
      <c r="E1998" s="1" t="inlineStr">
        <is>
          <t xml:space="preserve">28194770       </t>
        </is>
      </c>
      <c r="F1998" s="5" t="inlineStr">
        <is>
          <t>AUTOS DE METAL 3 TEAMSTERZ EN BLISTER</t>
        </is>
      </c>
      <c r="G1998" t="n">
        <v>1</v>
      </c>
      <c r="H1998" s="7" t="n">
        <v>6.9</v>
      </c>
      <c r="I1998" s="7" t="n">
        <v>0</v>
      </c>
      <c r="J1998" s="7" t="n">
        <v>0</v>
      </c>
      <c r="K1998" s="9" t="n">
        <v>0</v>
      </c>
      <c r="L1998" s="10" t="n">
        <v>4.1</v>
      </c>
      <c r="M1998" s="10" t="n">
        <v>1.43</v>
      </c>
      <c r="N1998" t="inlineStr">
        <is>
          <t>1</t>
        </is>
      </c>
      <c r="O1998" t="inlineStr">
        <is>
          <t xml:space="preserve">2 </t>
        </is>
      </c>
      <c r="P1998" t="inlineStr">
        <is>
          <t xml:space="preserve">233031  </t>
        </is>
      </c>
      <c r="Q1998" s="26" t="n">
        <v>4.09</v>
      </c>
      <c r="R1998" s="26">
        <f>Q1998*G1998</f>
        <v/>
      </c>
      <c r="S1998" s="26">
        <f>IFERROR(VLOOKUP(E1998*1,Tabla[#All],8,0),0)</f>
        <v/>
      </c>
      <c r="T1998" s="26">
        <f>S1998*G1998</f>
        <v/>
      </c>
      <c r="U1998" s="26">
        <f>R1998-T1998</f>
        <v/>
      </c>
      <c r="V1998" s="26">
        <f>U1998-L1998</f>
        <v/>
      </c>
    </row>
    <row r="1999">
      <c r="A1999" s="11" t="n">
        <v>46222</v>
      </c>
      <c r="B1999" s="1" t="n">
        <v>20089</v>
      </c>
      <c r="C1999" s="1" t="inlineStr">
        <is>
          <t>027</t>
        </is>
      </c>
      <c r="D1999" s="1" t="inlineStr">
        <is>
          <t xml:space="preserve">16040 </t>
        </is>
      </c>
      <c r="E1999" s="1" t="inlineStr">
        <is>
          <t xml:space="preserve">30141766       </t>
        </is>
      </c>
      <c r="F1999" s="5" t="inlineStr">
        <is>
          <t>TMZ BEAST MACHINES AUTOS DE METAL BLISTER X 1</t>
        </is>
      </c>
      <c r="G1999" t="n">
        <v>1</v>
      </c>
      <c r="H1999" s="7" t="n">
        <v>7.9</v>
      </c>
      <c r="I1999" s="7" t="n">
        <v>0</v>
      </c>
      <c r="J1999" s="7" t="n">
        <v>0</v>
      </c>
      <c r="K1999" s="9" t="n">
        <v>0</v>
      </c>
      <c r="L1999" s="10" t="n">
        <v>4.68</v>
      </c>
      <c r="M1999" s="10" t="n">
        <v>1.43</v>
      </c>
      <c r="N1999" t="inlineStr">
        <is>
          <t>1</t>
        </is>
      </c>
      <c r="O1999" t="inlineStr">
        <is>
          <t>16</t>
        </is>
      </c>
      <c r="P1999" t="inlineStr">
        <is>
          <t xml:space="preserve">238367  </t>
        </is>
      </c>
      <c r="Q1999" s="26" t="n">
        <v>4.69</v>
      </c>
      <c r="R1999" s="26">
        <f>Q1999*G1999</f>
        <v/>
      </c>
      <c r="S1999" s="26">
        <f>IFERROR(VLOOKUP(E1999*1,Tabla[#All],8,0),0)</f>
        <v/>
      </c>
      <c r="T1999" s="26">
        <f>S1999*G1999</f>
        <v/>
      </c>
      <c r="U1999" s="26">
        <f>R1999-T1999</f>
        <v/>
      </c>
      <c r="V1999" s="26">
        <f>U1999-L1999</f>
        <v/>
      </c>
    </row>
    <row r="2000">
      <c r="A2000" s="11" t="n">
        <v>46222</v>
      </c>
      <c r="B2000" s="1" t="n">
        <v>20089</v>
      </c>
      <c r="C2000" s="1" t="inlineStr">
        <is>
          <t>027</t>
        </is>
      </c>
      <c r="D2000" s="1" t="inlineStr">
        <is>
          <t xml:space="preserve">16054 </t>
        </is>
      </c>
      <c r="E2000" s="1" t="inlineStr">
        <is>
          <t xml:space="preserve">34840556       </t>
        </is>
      </c>
      <c r="F2000" s="5" t="inlineStr">
        <is>
          <t>TMZ BEAST MACH. TRANSPORT DINO +ACCS</t>
        </is>
      </c>
      <c r="G2000" t="n">
        <v>1</v>
      </c>
      <c r="H2000" s="7" t="n">
        <v>59.9</v>
      </c>
      <c r="I2000" s="7" t="n">
        <v>0</v>
      </c>
      <c r="J2000" s="7" t="n">
        <v>0</v>
      </c>
      <c r="K2000" s="9" t="n">
        <v>0</v>
      </c>
      <c r="L2000" s="10" t="n">
        <v>35.53</v>
      </c>
      <c r="M2000" s="10" t="n">
        <v>1.43</v>
      </c>
      <c r="N2000" t="inlineStr">
        <is>
          <t>1</t>
        </is>
      </c>
      <c r="O2000" t="inlineStr">
        <is>
          <t>16</t>
        </is>
      </c>
      <c r="P2000" t="inlineStr">
        <is>
          <t xml:space="preserve">238367  </t>
        </is>
      </c>
      <c r="Q2000" s="26" t="n">
        <v>47.4</v>
      </c>
      <c r="R2000" s="26">
        <f>Q2000*G2000</f>
        <v/>
      </c>
      <c r="S2000" s="26">
        <f>IFERROR(VLOOKUP(E2000*1,Tabla[#All],8,0),0)</f>
        <v/>
      </c>
      <c r="T2000" s="26">
        <f>S2000*G2000</f>
        <v/>
      </c>
      <c r="U2000" s="26">
        <f>R2000-T2000</f>
        <v/>
      </c>
      <c r="V2000" s="26">
        <f>U2000-L2000</f>
        <v/>
      </c>
    </row>
    <row r="2001">
      <c r="A2001" s="11" t="n">
        <v>46222</v>
      </c>
      <c r="B2001" s="1" t="n">
        <v>20089</v>
      </c>
      <c r="C2001" s="1" t="inlineStr">
        <is>
          <t>027</t>
        </is>
      </c>
      <c r="D2001" s="1" t="inlineStr">
        <is>
          <t xml:space="preserve">16094 </t>
        </is>
      </c>
      <c r="E2001" s="1" t="inlineStr">
        <is>
          <t xml:space="preserve">28194770       </t>
        </is>
      </c>
      <c r="F2001" s="5" t="inlineStr">
        <is>
          <t>AUTOS DE METAL 3 TEAMSTERZ EN BLISTER</t>
        </is>
      </c>
      <c r="G2001" t="n">
        <v>1</v>
      </c>
      <c r="H2001" s="7" t="n">
        <v>6.9</v>
      </c>
      <c r="I2001" s="7" t="n">
        <v>0</v>
      </c>
      <c r="J2001" s="7" t="n">
        <v>0</v>
      </c>
      <c r="K2001" s="9" t="n">
        <v>0</v>
      </c>
      <c r="L2001" s="10" t="n">
        <v>4.1</v>
      </c>
      <c r="M2001" s="10" t="n">
        <v>1.43</v>
      </c>
      <c r="N2001" t="inlineStr">
        <is>
          <t>1</t>
        </is>
      </c>
      <c r="O2001" t="inlineStr">
        <is>
          <t>16</t>
        </is>
      </c>
      <c r="P2001" t="inlineStr">
        <is>
          <t xml:space="preserve">238367  </t>
        </is>
      </c>
      <c r="Q2001" s="26" t="n">
        <v>4.09</v>
      </c>
      <c r="R2001" s="26">
        <f>Q2001*G2001</f>
        <v/>
      </c>
      <c r="S2001" s="26">
        <f>IFERROR(VLOOKUP(E2001*1,Tabla[#All],8,0),0)</f>
        <v/>
      </c>
      <c r="T2001" s="26">
        <f>S2001*G2001</f>
        <v/>
      </c>
      <c r="U2001" s="26">
        <f>R2001-T2001</f>
        <v/>
      </c>
      <c r="V2001" s="26">
        <f>U2001-L2001</f>
        <v/>
      </c>
    </row>
    <row r="2002">
      <c r="A2002" s="11" t="n">
        <v>46222</v>
      </c>
      <c r="B2002" s="1" t="n">
        <v>20089</v>
      </c>
      <c r="C2002" s="1" t="inlineStr">
        <is>
          <t>027</t>
        </is>
      </c>
      <c r="D2002" s="1" t="inlineStr">
        <is>
          <t xml:space="preserve">304   </t>
        </is>
      </c>
      <c r="E2002" s="1" t="inlineStr">
        <is>
          <t xml:space="preserve">30141766       </t>
        </is>
      </c>
      <c r="F2002" s="5" t="inlineStr">
        <is>
          <t>TMZ BEAST MACHINES AUTOS DE METAL BLISTER X 1</t>
        </is>
      </c>
      <c r="G2002" t="n">
        <v>1</v>
      </c>
      <c r="H2002" s="7" t="n">
        <v>7.9</v>
      </c>
      <c r="I2002" s="7" t="n">
        <v>0</v>
      </c>
      <c r="J2002" s="7" t="n">
        <v>0</v>
      </c>
      <c r="K2002" s="9" t="n">
        <v>0</v>
      </c>
      <c r="L2002" s="10" t="n">
        <v>4.68</v>
      </c>
      <c r="M2002" s="10" t="n">
        <v>1.43</v>
      </c>
      <c r="N2002" t="inlineStr">
        <is>
          <t>1</t>
        </is>
      </c>
      <c r="O2002" t="inlineStr">
        <is>
          <t>16</t>
        </is>
      </c>
      <c r="P2002" t="inlineStr">
        <is>
          <t xml:space="preserve">238367  </t>
        </is>
      </c>
      <c r="Q2002" s="26" t="n">
        <v>4.69</v>
      </c>
      <c r="R2002" s="26">
        <f>Q2002*G2002</f>
        <v/>
      </c>
      <c r="S2002" s="26">
        <f>IFERROR(VLOOKUP(E2002*1,Tabla[#All],8,0),0)</f>
        <v/>
      </c>
      <c r="T2002" s="26">
        <f>S2002*G2002</f>
        <v/>
      </c>
      <c r="U2002" s="26">
        <f>R2002-T2002</f>
        <v/>
      </c>
      <c r="V2002" s="26">
        <f>U2002-L2002</f>
        <v/>
      </c>
    </row>
    <row r="2003">
      <c r="A2003" s="11" t="n">
        <v>46222</v>
      </c>
      <c r="B2003" s="1" t="n">
        <v>20089</v>
      </c>
      <c r="C2003" s="1" t="inlineStr">
        <is>
          <t>027</t>
        </is>
      </c>
      <c r="D2003" s="1" t="inlineStr">
        <is>
          <t xml:space="preserve">304   </t>
        </is>
      </c>
      <c r="E2003" s="1" t="inlineStr">
        <is>
          <t xml:space="preserve">30141766       </t>
        </is>
      </c>
      <c r="F2003" s="5" t="inlineStr">
        <is>
          <t>TMZ BEAST MACHINES AUTOS DE METAL BLISTER X 1</t>
        </is>
      </c>
      <c r="G2003" t="n">
        <v>1</v>
      </c>
      <c r="H2003" s="7" t="n">
        <v>7.9</v>
      </c>
      <c r="I2003" s="7" t="n">
        <v>0</v>
      </c>
      <c r="J2003" s="7" t="n">
        <v>0</v>
      </c>
      <c r="K2003" s="9" t="n">
        <v>0</v>
      </c>
      <c r="L2003" s="10" t="n">
        <v>4.68</v>
      </c>
      <c r="M2003" s="10" t="n">
        <v>1.43</v>
      </c>
      <c r="N2003" t="inlineStr">
        <is>
          <t>1</t>
        </is>
      </c>
      <c r="O2003" t="inlineStr">
        <is>
          <t>16</t>
        </is>
      </c>
      <c r="P2003" t="inlineStr">
        <is>
          <t xml:space="preserve">238367  </t>
        </is>
      </c>
      <c r="Q2003" s="26" t="n">
        <v>4.69</v>
      </c>
      <c r="R2003" s="26">
        <f>Q2003*G2003</f>
        <v/>
      </c>
      <c r="S2003" s="26">
        <f>IFERROR(VLOOKUP(E2003*1,Tabla[#All],8,0),0)</f>
        <v/>
      </c>
      <c r="T2003" s="26">
        <f>S2003*G2003</f>
        <v/>
      </c>
      <c r="U2003" s="26">
        <f>R2003-T2003</f>
        <v/>
      </c>
      <c r="V2003" s="26">
        <f>U2003-L2003</f>
        <v/>
      </c>
    </row>
    <row r="2004">
      <c r="A2004" s="11" t="n">
        <v>46222</v>
      </c>
      <c r="B2004" s="1" t="n">
        <v>20089</v>
      </c>
      <c r="C2004" s="1" t="inlineStr">
        <is>
          <t>029</t>
        </is>
      </c>
      <c r="D2004" s="1" t="inlineStr">
        <is>
          <t xml:space="preserve">2975  </t>
        </is>
      </c>
      <c r="E2004" s="1" t="inlineStr">
        <is>
          <t xml:space="preserve">29235706       </t>
        </is>
      </c>
      <c r="F2004" s="5" t="inlineStr">
        <is>
          <t>TEAMSTERZ CAMION PARA GUARDAR 12 AUTOS INCL 4 AUTO</t>
        </is>
      </c>
      <c r="G2004" t="n">
        <v>1</v>
      </c>
      <c r="H2004" s="7" t="n">
        <v>59.9</v>
      </c>
      <c r="I2004" s="7" t="n">
        <v>0</v>
      </c>
      <c r="J2004" s="7" t="n">
        <v>0</v>
      </c>
      <c r="K2004" s="9" t="n">
        <v>0</v>
      </c>
      <c r="L2004" s="10" t="n">
        <v>35.53</v>
      </c>
      <c r="M2004" s="10" t="n">
        <v>1.43</v>
      </c>
      <c r="N2004" t="inlineStr">
        <is>
          <t>1</t>
        </is>
      </c>
      <c r="O2004" t="inlineStr">
        <is>
          <t xml:space="preserve">2 </t>
        </is>
      </c>
      <c r="P2004" t="inlineStr">
        <is>
          <t xml:space="preserve">96037   </t>
        </is>
      </c>
      <c r="Q2004" s="26" t="n">
        <v>35.53</v>
      </c>
      <c r="R2004" s="26">
        <f>Q2004*G2004</f>
        <v/>
      </c>
      <c r="S2004" s="26">
        <f>IFERROR(VLOOKUP(E2004*1,Tabla[#All],8,0),0)</f>
        <v/>
      </c>
      <c r="T2004" s="26">
        <f>S2004*G2004</f>
        <v/>
      </c>
      <c r="U2004" s="26">
        <f>R2004-T2004</f>
        <v/>
      </c>
      <c r="V2004" s="26">
        <f>U2004-L2004</f>
        <v/>
      </c>
    </row>
    <row r="2005">
      <c r="A2005" s="11" t="n">
        <v>46222</v>
      </c>
      <c r="B2005" s="1" t="n">
        <v>20089</v>
      </c>
      <c r="C2005" s="1" t="inlineStr">
        <is>
          <t>525</t>
        </is>
      </c>
      <c r="D2005" s="1" t="inlineStr">
        <is>
          <t xml:space="preserve">4172  </t>
        </is>
      </c>
      <c r="E2005" s="1" t="inlineStr">
        <is>
          <t xml:space="preserve">28194769       </t>
        </is>
      </c>
      <c r="F2005" s="5" t="inlineStr">
        <is>
          <t>AUTOS DE METAL 3 TEAMSTERZ PACK DE 2</t>
        </is>
      </c>
      <c r="G2005" t="n">
        <v>1</v>
      </c>
      <c r="H2005" s="7" t="n">
        <v>13.8</v>
      </c>
      <c r="I2005" s="7" t="n">
        <v>1.38</v>
      </c>
      <c r="J2005" s="7" t="n">
        <v>0</v>
      </c>
      <c r="K2005" s="9" t="n">
        <v>1.38</v>
      </c>
      <c r="L2005" s="10" t="n">
        <v>7.37</v>
      </c>
      <c r="M2005" s="10" t="n">
        <v>1.43</v>
      </c>
      <c r="N2005" t="inlineStr">
        <is>
          <t>1</t>
        </is>
      </c>
      <c r="O2005" t="inlineStr">
        <is>
          <t>16</t>
        </is>
      </c>
      <c r="P2005" t="inlineStr">
        <is>
          <t xml:space="preserve">96037   </t>
        </is>
      </c>
      <c r="Q2005" s="26" t="n">
        <v>8.19</v>
      </c>
      <c r="R2005" s="26">
        <f>Q2005*G2005</f>
        <v/>
      </c>
      <c r="S2005" s="26">
        <f>IFERROR(VLOOKUP(E2005*1,Tabla[#All],8,0),0)</f>
        <v/>
      </c>
      <c r="T2005" s="26">
        <f>S2005*G2005</f>
        <v/>
      </c>
      <c r="U2005" s="26">
        <f>R2005-T2005</f>
        <v/>
      </c>
      <c r="V2005" s="26">
        <f>U2005-L2005</f>
        <v/>
      </c>
    </row>
    <row r="2006">
      <c r="A2006" s="11" t="n">
        <v>46222</v>
      </c>
      <c r="B2006" s="1" t="n">
        <v>20089</v>
      </c>
      <c r="C2006" s="1" t="inlineStr">
        <is>
          <t>860</t>
        </is>
      </c>
      <c r="D2006" s="1" t="inlineStr">
        <is>
          <t xml:space="preserve">9720  </t>
        </is>
      </c>
      <c r="E2006" s="1" t="inlineStr">
        <is>
          <t xml:space="preserve">28194767       </t>
        </is>
      </c>
      <c r="F2006" s="5" t="inlineStr">
        <is>
          <t>CAMIONES TEAMSTERZ DE EMERGENCIA</t>
        </is>
      </c>
      <c r="G2006" t="n">
        <v>1</v>
      </c>
      <c r="H2006" s="7" t="n">
        <v>17.9</v>
      </c>
      <c r="I2006" s="7" t="n">
        <v>0</v>
      </c>
      <c r="J2006" s="7" t="n">
        <v>0</v>
      </c>
      <c r="K2006" s="9" t="n">
        <v>0</v>
      </c>
      <c r="L2006" s="10" t="n">
        <v>10.62</v>
      </c>
      <c r="M2006" s="10" t="n">
        <v>1.43</v>
      </c>
      <c r="N2006" t="inlineStr">
        <is>
          <t>1</t>
        </is>
      </c>
      <c r="O2006" t="inlineStr">
        <is>
          <t>16</t>
        </is>
      </c>
      <c r="P2006" t="inlineStr">
        <is>
          <t xml:space="preserve">0       </t>
        </is>
      </c>
      <c r="Q2006" s="26" t="n">
        <v>10.62</v>
      </c>
      <c r="R2006" s="26">
        <f>Q2006*G2006</f>
        <v/>
      </c>
      <c r="S2006" s="26">
        <f>IFERROR(VLOOKUP(E2006*1,Tabla[#All],8,0),0)</f>
        <v/>
      </c>
      <c r="T2006" s="26">
        <f>S2006*G2006</f>
        <v/>
      </c>
      <c r="U2006" s="26">
        <f>R2006-T2006</f>
        <v/>
      </c>
      <c r="V2006" s="26">
        <f>U2006-L2006</f>
        <v/>
      </c>
    </row>
    <row r="2007">
      <c r="A2007" s="11" t="n">
        <v>46222</v>
      </c>
      <c r="B2007" s="1" t="n">
        <v>20089</v>
      </c>
      <c r="C2007" s="1" t="inlineStr">
        <is>
          <t>860</t>
        </is>
      </c>
      <c r="D2007" s="1" t="inlineStr">
        <is>
          <t xml:space="preserve">9721  </t>
        </is>
      </c>
      <c r="E2007" s="1" t="inlineStr">
        <is>
          <t xml:space="preserve">28194780       </t>
        </is>
      </c>
      <c r="F2007" s="5" t="inlineStr">
        <is>
          <t>TROMPO BATALLA INFINITY NADO PLSTICO SURTIDO</t>
        </is>
      </c>
      <c r="G2007" t="n">
        <v>1</v>
      </c>
      <c r="H2007" s="7" t="n">
        <v>19.9</v>
      </c>
      <c r="I2007" s="7" t="n">
        <v>0</v>
      </c>
      <c r="J2007" s="7" t="n">
        <v>0</v>
      </c>
      <c r="K2007" s="9" t="n">
        <v>0</v>
      </c>
      <c r="L2007" s="10" t="n">
        <v>11.8</v>
      </c>
      <c r="M2007" s="10" t="n">
        <v>1.43</v>
      </c>
      <c r="N2007" t="inlineStr">
        <is>
          <t>1</t>
        </is>
      </c>
      <c r="O2007" t="inlineStr">
        <is>
          <t>16</t>
        </is>
      </c>
      <c r="P2007" t="inlineStr">
        <is>
          <t xml:space="preserve">0       </t>
        </is>
      </c>
      <c r="Q2007" s="26" t="n">
        <v>11.81</v>
      </c>
      <c r="R2007" s="26">
        <f>Q2007*G2007</f>
        <v/>
      </c>
      <c r="S2007" s="26">
        <f>IFERROR(VLOOKUP(E2007*1,Tabla[#All],8,0),0)</f>
        <v/>
      </c>
      <c r="T2007" s="26">
        <f>S2007*G2007</f>
        <v/>
      </c>
      <c r="U2007" s="26">
        <f>R2007-T2007</f>
        <v/>
      </c>
      <c r="V2007" s="26">
        <f>U2007-L2007</f>
        <v/>
      </c>
    </row>
    <row r="2008">
      <c r="A2008" s="11" t="n">
        <v>46222</v>
      </c>
      <c r="B2008" s="1" t="n">
        <v>20095</v>
      </c>
      <c r="C2008" s="1" t="inlineStr">
        <is>
          <t>014</t>
        </is>
      </c>
      <c r="D2008" s="1" t="inlineStr">
        <is>
          <t>129145</t>
        </is>
      </c>
      <c r="E2008" s="1" t="inlineStr">
        <is>
          <t xml:space="preserve">29854052       </t>
        </is>
      </c>
      <c r="F2008" s="5" t="inlineStr">
        <is>
          <t>PLAYSET CAMBIA DE COLOR CROC BITE</t>
        </is>
      </c>
      <c r="G2008" t="n">
        <v>1</v>
      </c>
      <c r="H2008" s="7" t="n">
        <v>79.90000000000001</v>
      </c>
      <c r="I2008" s="7" t="n">
        <v>0</v>
      </c>
      <c r="J2008" s="7" t="n">
        <v>0</v>
      </c>
      <c r="K2008" s="9" t="n">
        <v>0</v>
      </c>
      <c r="L2008" s="10" t="n">
        <v>47.4</v>
      </c>
      <c r="M2008" s="10" t="n">
        <v>1.43</v>
      </c>
      <c r="N2008" t="inlineStr">
        <is>
          <t>1</t>
        </is>
      </c>
      <c r="O2008" t="inlineStr">
        <is>
          <t>16</t>
        </is>
      </c>
      <c r="P2008" t="inlineStr">
        <is>
          <t xml:space="preserve">246365  </t>
        </is>
      </c>
      <c r="Q2008" s="26" t="n">
        <v>47.4</v>
      </c>
      <c r="R2008" s="26">
        <f>Q2008*G2008</f>
        <v/>
      </c>
      <c r="S2008" s="26">
        <f>IFERROR(VLOOKUP(E2008*1,Tabla[#All],8,0),0)</f>
        <v/>
      </c>
      <c r="T2008" s="26">
        <f>S2008*G2008</f>
        <v/>
      </c>
      <c r="U2008" s="26">
        <f>R2008-T2008</f>
        <v/>
      </c>
      <c r="V2008" s="26">
        <f>U2008-L2008</f>
        <v/>
      </c>
    </row>
    <row r="2009">
      <c r="A2009" s="11" t="n">
        <v>46222</v>
      </c>
      <c r="B2009" s="1" t="n">
        <v>20095</v>
      </c>
      <c r="C2009" s="1" t="inlineStr">
        <is>
          <t>044</t>
        </is>
      </c>
      <c r="D2009" s="1" t="inlineStr">
        <is>
          <t xml:space="preserve">94215 </t>
        </is>
      </c>
      <c r="E2009" s="1" t="inlineStr">
        <is>
          <t xml:space="preserve">28194770       </t>
        </is>
      </c>
      <c r="F2009" s="5" t="inlineStr">
        <is>
          <t>AUTOS DE METAL 3 TEAMSTERZ EN BLISTER</t>
        </is>
      </c>
      <c r="G2009" t="n">
        <v>1</v>
      </c>
      <c r="H2009" s="7" t="n">
        <v>6.9</v>
      </c>
      <c r="I2009" s="7" t="n">
        <v>0.6899999999999999</v>
      </c>
      <c r="J2009" s="7" t="n">
        <v>0</v>
      </c>
      <c r="K2009" s="9" t="n">
        <v>0.6899999999999999</v>
      </c>
      <c r="L2009" s="10" t="n">
        <v>3.68</v>
      </c>
      <c r="M2009" s="10" t="n">
        <v>1.43</v>
      </c>
      <c r="N2009" t="inlineStr">
        <is>
          <t>1</t>
        </is>
      </c>
      <c r="O2009" t="inlineStr">
        <is>
          <t xml:space="preserve">3 </t>
        </is>
      </c>
      <c r="P2009" t="inlineStr">
        <is>
          <t xml:space="preserve">248388  </t>
        </is>
      </c>
      <c r="Q2009" s="26" t="n">
        <v>4.09</v>
      </c>
      <c r="R2009" s="26">
        <f>Q2009*G2009</f>
        <v/>
      </c>
      <c r="S2009" s="26">
        <f>IFERROR(VLOOKUP(E2009*1,Tabla[#All],8,0),0)</f>
        <v/>
      </c>
      <c r="T2009" s="26">
        <f>S2009*G2009</f>
        <v/>
      </c>
      <c r="U2009" s="26">
        <f>R2009-T2009</f>
        <v/>
      </c>
      <c r="V2009" s="26">
        <f>U2009-L2009</f>
        <v/>
      </c>
    </row>
    <row r="2010">
      <c r="A2010" s="11" t="n">
        <v>46222</v>
      </c>
      <c r="B2010" s="1" t="n">
        <v>20095</v>
      </c>
      <c r="C2010" s="1" t="inlineStr">
        <is>
          <t>044</t>
        </is>
      </c>
      <c r="D2010" s="1" t="inlineStr">
        <is>
          <t xml:space="preserve">94240 </t>
        </is>
      </c>
      <c r="E2010" s="1" t="inlineStr">
        <is>
          <t xml:space="preserve">30141766       </t>
        </is>
      </c>
      <c r="F2010" s="5" t="inlineStr">
        <is>
          <t>TMZ BEAST MACHINES AUTOS DE METAL BLISTER X 1</t>
        </is>
      </c>
      <c r="G2010" t="n">
        <v>1</v>
      </c>
      <c r="H2010" s="7" t="n">
        <v>7.9</v>
      </c>
      <c r="I2010" s="7" t="n">
        <v>0</v>
      </c>
      <c r="J2010" s="7" t="n">
        <v>0</v>
      </c>
      <c r="K2010" s="9" t="n">
        <v>0</v>
      </c>
      <c r="L2010" s="10" t="n">
        <v>4.68</v>
      </c>
      <c r="M2010" s="10" t="n">
        <v>1.43</v>
      </c>
      <c r="N2010" t="inlineStr">
        <is>
          <t>1</t>
        </is>
      </c>
      <c r="O2010" t="inlineStr">
        <is>
          <t>16</t>
        </is>
      </c>
      <c r="P2010" t="inlineStr">
        <is>
          <t xml:space="preserve">248388  </t>
        </is>
      </c>
      <c r="Q2010" s="26" t="n">
        <v>4.69</v>
      </c>
      <c r="R2010" s="26">
        <f>Q2010*G2010</f>
        <v/>
      </c>
      <c r="S2010" s="26">
        <f>IFERROR(VLOOKUP(E2010*1,Tabla[#All],8,0),0)</f>
        <v/>
      </c>
      <c r="T2010" s="26">
        <f>S2010*G2010</f>
        <v/>
      </c>
      <c r="U2010" s="26">
        <f>R2010-T2010</f>
        <v/>
      </c>
      <c r="V2010" s="26">
        <f>U2010-L2010</f>
        <v/>
      </c>
    </row>
    <row r="2011">
      <c r="A2011" s="11" t="n">
        <v>46222</v>
      </c>
      <c r="B2011" s="1" t="n">
        <v>20095</v>
      </c>
      <c r="C2011" s="1" t="inlineStr">
        <is>
          <t>044</t>
        </is>
      </c>
      <c r="D2011" s="1" t="inlineStr">
        <is>
          <t xml:space="preserve">94242 </t>
        </is>
      </c>
      <c r="E2011" s="1" t="inlineStr">
        <is>
          <t xml:space="preserve">28194769       </t>
        </is>
      </c>
      <c r="F2011" s="5" t="inlineStr">
        <is>
          <t>AUTOS DE METAL 3 TEAMSTERZ PACK DE 2</t>
        </is>
      </c>
      <c r="G2011" t="n">
        <v>1</v>
      </c>
      <c r="H2011" s="7" t="n">
        <v>13.8</v>
      </c>
      <c r="I2011" s="7" t="n">
        <v>0</v>
      </c>
      <c r="J2011" s="7" t="n">
        <v>0</v>
      </c>
      <c r="K2011" s="9" t="n">
        <v>0</v>
      </c>
      <c r="L2011" s="10" t="n">
        <v>8.18</v>
      </c>
      <c r="M2011" s="10" t="n">
        <v>1.43</v>
      </c>
      <c r="N2011" t="inlineStr">
        <is>
          <t>1</t>
        </is>
      </c>
      <c r="O2011" t="inlineStr">
        <is>
          <t>16</t>
        </is>
      </c>
      <c r="P2011" t="inlineStr">
        <is>
          <t xml:space="preserve">248388  </t>
        </is>
      </c>
      <c r="Q2011" s="26" t="n">
        <v>8.19</v>
      </c>
      <c r="R2011" s="26">
        <f>Q2011*G2011</f>
        <v/>
      </c>
      <c r="S2011" s="26">
        <f>IFERROR(VLOOKUP(E2011*1,Tabla[#All],8,0),0)</f>
        <v/>
      </c>
      <c r="T2011" s="26">
        <f>S2011*G2011</f>
        <v/>
      </c>
      <c r="U2011" s="26">
        <f>R2011-T2011</f>
        <v/>
      </c>
      <c r="V2011" s="26">
        <f>U2011-L2011</f>
        <v/>
      </c>
    </row>
    <row r="2012">
      <c r="A2012" s="11" t="n">
        <v>46222</v>
      </c>
      <c r="B2012" s="1" t="n">
        <v>20095</v>
      </c>
      <c r="C2012" s="1" t="inlineStr">
        <is>
          <t>044</t>
        </is>
      </c>
      <c r="D2012" s="1" t="inlineStr">
        <is>
          <t xml:space="preserve">94253 </t>
        </is>
      </c>
      <c r="E2012" s="1" t="inlineStr">
        <is>
          <t xml:space="preserve">28194770       </t>
        </is>
      </c>
      <c r="F2012" s="5" t="inlineStr">
        <is>
          <t>AUTOS DE METAL 3 TEAMSTERZ EN BLISTER</t>
        </is>
      </c>
      <c r="G2012" t="n">
        <v>1</v>
      </c>
      <c r="H2012" s="7" t="n">
        <v>6.9</v>
      </c>
      <c r="I2012" s="7" t="n">
        <v>0.6899999999999999</v>
      </c>
      <c r="J2012" s="7" t="n">
        <v>0</v>
      </c>
      <c r="K2012" s="9" t="n">
        <v>0.6899999999999999</v>
      </c>
      <c r="L2012" s="10" t="n">
        <v>3.68</v>
      </c>
      <c r="M2012" s="10" t="n">
        <v>1.43</v>
      </c>
      <c r="N2012" t="inlineStr">
        <is>
          <t>1</t>
        </is>
      </c>
      <c r="O2012" t="inlineStr">
        <is>
          <t xml:space="preserve">3 </t>
        </is>
      </c>
      <c r="P2012" t="inlineStr">
        <is>
          <t xml:space="preserve">248388  </t>
        </is>
      </c>
      <c r="Q2012" s="26" t="n">
        <v>4.09</v>
      </c>
      <c r="R2012" s="26">
        <f>Q2012*G2012</f>
        <v/>
      </c>
      <c r="S2012" s="26">
        <f>IFERROR(VLOOKUP(E2012*1,Tabla[#All],8,0),0)</f>
        <v/>
      </c>
      <c r="T2012" s="26">
        <f>S2012*G2012</f>
        <v/>
      </c>
      <c r="U2012" s="26">
        <f>R2012-T2012</f>
        <v/>
      </c>
      <c r="V2012" s="26">
        <f>U2012-L2012</f>
        <v/>
      </c>
    </row>
    <row r="2013">
      <c r="A2013" s="11" t="n">
        <v>46222</v>
      </c>
      <c r="B2013" s="1" t="n">
        <v>20095</v>
      </c>
      <c r="C2013" s="1" t="inlineStr">
        <is>
          <t>044</t>
        </is>
      </c>
      <c r="D2013" s="1" t="inlineStr">
        <is>
          <t xml:space="preserve">94272 </t>
        </is>
      </c>
      <c r="E2013" s="1" t="inlineStr">
        <is>
          <t xml:space="preserve">28194770       </t>
        </is>
      </c>
      <c r="F2013" s="5" t="inlineStr">
        <is>
          <t>AUTOS DE METAL 3 TEAMSTERZ EN BLISTER</t>
        </is>
      </c>
      <c r="G2013" t="n">
        <v>1</v>
      </c>
      <c r="H2013" s="7" t="n">
        <v>6.9</v>
      </c>
      <c r="I2013" s="7" t="n">
        <v>0</v>
      </c>
      <c r="J2013" s="7" t="n">
        <v>0</v>
      </c>
      <c r="K2013" s="9" t="n">
        <v>0</v>
      </c>
      <c r="L2013" s="10" t="n">
        <v>4.1</v>
      </c>
      <c r="M2013" s="10" t="n">
        <v>1.43</v>
      </c>
      <c r="N2013" t="inlineStr">
        <is>
          <t>1</t>
        </is>
      </c>
      <c r="O2013" t="inlineStr">
        <is>
          <t xml:space="preserve">2 </t>
        </is>
      </c>
      <c r="P2013" t="inlineStr">
        <is>
          <t xml:space="preserve">241955  </t>
        </is>
      </c>
      <c r="Q2013" s="26" t="n">
        <v>4.09</v>
      </c>
      <c r="R2013" s="26">
        <f>Q2013*G2013</f>
        <v/>
      </c>
      <c r="S2013" s="26">
        <f>IFERROR(VLOOKUP(E2013*1,Tabla[#All],8,0),0)</f>
        <v/>
      </c>
      <c r="T2013" s="26">
        <f>S2013*G2013</f>
        <v/>
      </c>
      <c r="U2013" s="26">
        <f>R2013-T2013</f>
        <v/>
      </c>
      <c r="V2013" s="26">
        <f>U2013-L2013</f>
        <v/>
      </c>
    </row>
    <row r="2014">
      <c r="A2014" s="11" t="n">
        <v>46223</v>
      </c>
      <c r="B2014" s="1" t="n">
        <v>20021</v>
      </c>
      <c r="C2014" s="1" t="inlineStr">
        <is>
          <t>078</t>
        </is>
      </c>
      <c r="D2014" s="1" t="inlineStr">
        <is>
          <t>101271</t>
        </is>
      </c>
      <c r="E2014" s="1" t="inlineStr">
        <is>
          <t xml:space="preserve">28194768       </t>
        </is>
      </c>
      <c r="F2014" s="5" t="inlineStr">
        <is>
          <t>AUTO COLOR CHANGE TEAMSTERZ SURTIDO</t>
        </is>
      </c>
      <c r="G2014" t="n">
        <v>1</v>
      </c>
      <c r="H2014" s="7" t="n">
        <v>14.9</v>
      </c>
      <c r="I2014" s="7" t="n">
        <v>0</v>
      </c>
      <c r="J2014" s="7" t="n">
        <v>0</v>
      </c>
      <c r="K2014" s="9" t="n">
        <v>0</v>
      </c>
      <c r="L2014" s="10" t="n">
        <v>8.84</v>
      </c>
      <c r="M2014" s="10" t="n">
        <v>1.43</v>
      </c>
      <c r="N2014" t="inlineStr">
        <is>
          <t>1</t>
        </is>
      </c>
      <c r="O2014" t="inlineStr">
        <is>
          <t>16</t>
        </is>
      </c>
      <c r="P2014" t="inlineStr">
        <is>
          <t xml:space="preserve">61491   </t>
        </is>
      </c>
      <c r="Q2014" s="26" t="n">
        <v>8.84</v>
      </c>
      <c r="R2014" s="26">
        <f>Q2014*G2014</f>
        <v/>
      </c>
      <c r="S2014" s="26">
        <f>IFERROR(VLOOKUP(E2014*1,Tabla[#All],8,0),0)</f>
        <v/>
      </c>
      <c r="T2014" s="26">
        <f>S2014*G2014</f>
        <v/>
      </c>
      <c r="U2014" s="26">
        <f>R2014-T2014</f>
        <v/>
      </c>
      <c r="V2014" s="26">
        <f>U2014-L2014</f>
        <v/>
      </c>
    </row>
    <row r="2015">
      <c r="A2015" s="11" t="n">
        <v>46223</v>
      </c>
      <c r="B2015" s="1" t="n">
        <v>20023</v>
      </c>
      <c r="C2015" s="1" t="inlineStr">
        <is>
          <t>079</t>
        </is>
      </c>
      <c r="D2015" s="1" t="inlineStr">
        <is>
          <t>289927</t>
        </is>
      </c>
      <c r="E2015" s="1" t="inlineStr">
        <is>
          <t xml:space="preserve">30141766       </t>
        </is>
      </c>
      <c r="F2015" s="5" t="inlineStr">
        <is>
          <t>TMZ BEAST MACHINES AUTOS DE METAL BLISTER X 1</t>
        </is>
      </c>
      <c r="G2015" t="n">
        <v>1</v>
      </c>
      <c r="H2015" s="7" t="n">
        <v>7.9</v>
      </c>
      <c r="I2015" s="7" t="n">
        <v>0</v>
      </c>
      <c r="J2015" s="7" t="n">
        <v>0</v>
      </c>
      <c r="K2015" s="9" t="n">
        <v>0</v>
      </c>
      <c r="L2015" s="10" t="n">
        <v>4.68</v>
      </c>
      <c r="M2015" s="10" t="n">
        <v>1.43</v>
      </c>
      <c r="N2015" t="inlineStr">
        <is>
          <t>1</t>
        </is>
      </c>
      <c r="O2015" t="inlineStr">
        <is>
          <t>16</t>
        </is>
      </c>
      <c r="P2015" t="inlineStr">
        <is>
          <t xml:space="preserve">249016  </t>
        </is>
      </c>
      <c r="Q2015" s="26" t="n">
        <v>4.69</v>
      </c>
      <c r="R2015" s="26">
        <f>Q2015*G2015</f>
        <v/>
      </c>
      <c r="S2015" s="26">
        <f>IFERROR(VLOOKUP(E2015*1,Tabla[#All],8,0),0)</f>
        <v/>
      </c>
      <c r="T2015" s="26">
        <f>S2015*G2015</f>
        <v/>
      </c>
      <c r="U2015" s="26">
        <f>R2015-T2015</f>
        <v/>
      </c>
      <c r="V2015" s="26">
        <f>U2015-L2015</f>
        <v/>
      </c>
    </row>
    <row r="2016">
      <c r="A2016" s="11" t="n">
        <v>46223</v>
      </c>
      <c r="B2016" s="1" t="n">
        <v>20023</v>
      </c>
      <c r="C2016" s="1" t="inlineStr">
        <is>
          <t>079</t>
        </is>
      </c>
      <c r="D2016" s="1" t="inlineStr">
        <is>
          <t>289927</t>
        </is>
      </c>
      <c r="E2016" s="1" t="inlineStr">
        <is>
          <t xml:space="preserve">30141766       </t>
        </is>
      </c>
      <c r="F2016" s="5" t="inlineStr">
        <is>
          <t>TMZ BEAST MACHINES AUTOS DE METAL BLISTER X 1</t>
        </is>
      </c>
      <c r="G2016" t="n">
        <v>1</v>
      </c>
      <c r="H2016" s="7" t="n">
        <v>7.9</v>
      </c>
      <c r="I2016" s="7" t="n">
        <v>0</v>
      </c>
      <c r="J2016" s="7" t="n">
        <v>0</v>
      </c>
      <c r="K2016" s="9" t="n">
        <v>0</v>
      </c>
      <c r="L2016" s="10" t="n">
        <v>4.68</v>
      </c>
      <c r="M2016" s="10" t="n">
        <v>1.43</v>
      </c>
      <c r="N2016" t="inlineStr">
        <is>
          <t>1</t>
        </is>
      </c>
      <c r="O2016" t="inlineStr">
        <is>
          <t>16</t>
        </is>
      </c>
      <c r="P2016" t="inlineStr">
        <is>
          <t xml:space="preserve">249016  </t>
        </is>
      </c>
      <c r="Q2016" s="26" t="n">
        <v>4.69</v>
      </c>
      <c r="R2016" s="26">
        <f>Q2016*G2016</f>
        <v/>
      </c>
      <c r="S2016" s="26">
        <f>IFERROR(VLOOKUP(E2016*1,Tabla[#All],8,0),0)</f>
        <v/>
      </c>
      <c r="T2016" s="26">
        <f>S2016*G2016</f>
        <v/>
      </c>
      <c r="U2016" s="26">
        <f>R2016-T2016</f>
        <v/>
      </c>
      <c r="V2016" s="26">
        <f>U2016-L2016</f>
        <v/>
      </c>
    </row>
    <row r="2017">
      <c r="A2017" s="11" t="n">
        <v>46223</v>
      </c>
      <c r="B2017" s="1" t="n">
        <v>20024</v>
      </c>
      <c r="C2017" s="1" t="inlineStr">
        <is>
          <t>038</t>
        </is>
      </c>
      <c r="D2017" s="1" t="inlineStr">
        <is>
          <t xml:space="preserve">25758 </t>
        </is>
      </c>
      <c r="E2017" s="1" t="inlineStr">
        <is>
          <t xml:space="preserve">30141766       </t>
        </is>
      </c>
      <c r="F2017" s="5" t="inlineStr">
        <is>
          <t>TMZ BEAST MACHINES AUTOS DE METAL BLISTER X 1</t>
        </is>
      </c>
      <c r="G2017" t="n">
        <v>1</v>
      </c>
      <c r="H2017" s="7" t="n">
        <v>7.9</v>
      </c>
      <c r="I2017" s="7" t="n">
        <v>0</v>
      </c>
      <c r="J2017" s="7" t="n">
        <v>0</v>
      </c>
      <c r="K2017" s="9" t="n">
        <v>0</v>
      </c>
      <c r="L2017" s="10" t="n">
        <v>4.68</v>
      </c>
      <c r="M2017" s="10" t="n">
        <v>1.43</v>
      </c>
      <c r="N2017" t="inlineStr">
        <is>
          <t>1</t>
        </is>
      </c>
      <c r="O2017" t="inlineStr">
        <is>
          <t xml:space="preserve">2 </t>
        </is>
      </c>
      <c r="P2017" t="inlineStr">
        <is>
          <t xml:space="preserve">71372   </t>
        </is>
      </c>
      <c r="Q2017" s="26" t="n">
        <v>4.69</v>
      </c>
      <c r="R2017" s="26">
        <f>Q2017*G2017</f>
        <v/>
      </c>
      <c r="S2017" s="26">
        <f>IFERROR(VLOOKUP(E2017*1,Tabla[#All],8,0),0)</f>
        <v/>
      </c>
      <c r="T2017" s="26">
        <f>S2017*G2017</f>
        <v/>
      </c>
      <c r="U2017" s="26">
        <f>R2017-T2017</f>
        <v/>
      </c>
      <c r="V2017" s="26">
        <f>U2017-L2017</f>
        <v/>
      </c>
    </row>
    <row r="2018">
      <c r="A2018" s="11" t="n">
        <v>46223</v>
      </c>
      <c r="B2018" s="1" t="n">
        <v>20025</v>
      </c>
      <c r="C2018" s="1" t="inlineStr">
        <is>
          <t>074</t>
        </is>
      </c>
      <c r="D2018" s="1" t="inlineStr">
        <is>
          <t xml:space="preserve">83299 </t>
        </is>
      </c>
      <c r="E2018" s="1" t="inlineStr">
        <is>
          <t xml:space="preserve">32457103       </t>
        </is>
      </c>
      <c r="F2018" s="5" t="inlineStr">
        <is>
          <t>TMZ BEAST MACHINES MONSTER JAWS A FRICCION PACK DE</t>
        </is>
      </c>
      <c r="G2018" t="n">
        <v>1</v>
      </c>
      <c r="H2018" s="7" t="n">
        <v>32.9</v>
      </c>
      <c r="I2018" s="7" t="n">
        <v>0</v>
      </c>
      <c r="J2018" s="7" t="n">
        <v>0</v>
      </c>
      <c r="K2018" s="9" t="n">
        <v>0</v>
      </c>
      <c r="L2018" s="10" t="n">
        <v>19.52</v>
      </c>
      <c r="M2018" s="10" t="n">
        <v>1.43</v>
      </c>
      <c r="N2018" t="inlineStr">
        <is>
          <t>1</t>
        </is>
      </c>
      <c r="O2018" t="inlineStr">
        <is>
          <t>16</t>
        </is>
      </c>
      <c r="P2018" t="inlineStr">
        <is>
          <t xml:space="preserve">251190  </t>
        </is>
      </c>
      <c r="Q2018" s="26" t="n">
        <v>22.48</v>
      </c>
      <c r="R2018" s="26">
        <f>Q2018*G2018</f>
        <v/>
      </c>
      <c r="S2018" s="26">
        <f>IFERROR(VLOOKUP(E2018*1,Tabla[#All],8,0),0)</f>
        <v/>
      </c>
      <c r="T2018" s="26">
        <f>S2018*G2018</f>
        <v/>
      </c>
      <c r="U2018" s="26">
        <f>R2018-T2018</f>
        <v/>
      </c>
      <c r="V2018" s="26">
        <f>U2018-L2018</f>
        <v/>
      </c>
    </row>
    <row r="2019">
      <c r="A2019" s="11" t="n">
        <v>46223</v>
      </c>
      <c r="B2019" s="1" t="n">
        <v>20025</v>
      </c>
      <c r="C2019" s="1" t="inlineStr">
        <is>
          <t>081</t>
        </is>
      </c>
      <c r="D2019" s="1" t="inlineStr">
        <is>
          <t>266661</t>
        </is>
      </c>
      <c r="E2019" s="1" t="inlineStr">
        <is>
          <t xml:space="preserve">35685067       </t>
        </is>
      </c>
      <c r="F2019" s="5" t="inlineStr">
        <is>
          <t>HOT WHEELS POWER SET 3 EN 1</t>
        </is>
      </c>
      <c r="G2019" t="n">
        <v>1</v>
      </c>
      <c r="H2019" s="7" t="n">
        <v>49.9</v>
      </c>
      <c r="I2019" s="7" t="n">
        <v>0</v>
      </c>
      <c r="J2019" s="7" t="n">
        <v>0</v>
      </c>
      <c r="K2019" s="9" t="n">
        <v>0</v>
      </c>
      <c r="L2019" s="10" t="n">
        <v>29.6</v>
      </c>
      <c r="M2019" s="10" t="n">
        <v>1.43</v>
      </c>
      <c r="N2019" t="inlineStr">
        <is>
          <t>1</t>
        </is>
      </c>
      <c r="O2019" t="inlineStr">
        <is>
          <t>16</t>
        </is>
      </c>
      <c r="P2019" t="inlineStr">
        <is>
          <t xml:space="preserve">17095   </t>
        </is>
      </c>
      <c r="Q2019" s="26" t="n">
        <v>29.6</v>
      </c>
      <c r="R2019" s="26">
        <f>Q2019*G2019</f>
        <v/>
      </c>
      <c r="S2019" s="26">
        <f>IFERROR(VLOOKUP(E2019*1,Tabla[#All],8,0),0)</f>
        <v/>
      </c>
      <c r="T2019" s="26">
        <f>S2019*G2019</f>
        <v/>
      </c>
      <c r="U2019" s="26">
        <f>R2019-T2019</f>
        <v/>
      </c>
      <c r="V2019" s="26">
        <f>U2019-L2019</f>
        <v/>
      </c>
    </row>
    <row r="2020">
      <c r="A2020" s="11" t="n">
        <v>46223</v>
      </c>
      <c r="B2020" s="1" t="n">
        <v>20025</v>
      </c>
      <c r="C2020" s="1" t="inlineStr">
        <is>
          <t>085</t>
        </is>
      </c>
      <c r="D2020" s="1" t="inlineStr">
        <is>
          <t>192959</t>
        </is>
      </c>
      <c r="E2020" s="1" t="inlineStr">
        <is>
          <t xml:space="preserve">30141768       </t>
        </is>
      </c>
      <c r="F2020" s="5" t="inlineStr">
        <is>
          <t>TMZ BEAST MACHINES AUTOS DE METAL PACK 10 AUTOS</t>
        </is>
      </c>
      <c r="G2020" t="n">
        <v>1</v>
      </c>
      <c r="H2020" s="7" t="n">
        <v>69</v>
      </c>
      <c r="I2020" s="7" t="n">
        <v>0</v>
      </c>
      <c r="J2020" s="7" t="n">
        <v>0</v>
      </c>
      <c r="K2020" s="9" t="n">
        <v>0</v>
      </c>
      <c r="L2020" s="10" t="n">
        <v>40.93</v>
      </c>
      <c r="M2020" s="10" t="n">
        <v>1.43</v>
      </c>
      <c r="N2020" t="inlineStr">
        <is>
          <t>1</t>
        </is>
      </c>
      <c r="O2020" t="inlineStr">
        <is>
          <t>16</t>
        </is>
      </c>
      <c r="P2020" t="inlineStr">
        <is>
          <t xml:space="preserve">247863  </t>
        </is>
      </c>
      <c r="Q2020" s="26" t="n">
        <v>46.86</v>
      </c>
      <c r="R2020" s="26">
        <f>Q2020*G2020</f>
        <v/>
      </c>
      <c r="S2020" s="26">
        <f>IFERROR(VLOOKUP(E2020*1,Tabla[#All],8,0),0)</f>
        <v/>
      </c>
      <c r="T2020" s="26">
        <f>S2020*G2020</f>
        <v/>
      </c>
      <c r="U2020" s="26">
        <f>R2020-T2020</f>
        <v/>
      </c>
      <c r="V2020" s="26">
        <f>U2020-L2020</f>
        <v/>
      </c>
    </row>
    <row r="2021">
      <c r="A2021" s="11" t="n">
        <v>46223</v>
      </c>
      <c r="B2021" s="1" t="n">
        <v>20028</v>
      </c>
      <c r="C2021" s="1" t="inlineStr">
        <is>
          <t>140</t>
        </is>
      </c>
      <c r="D2021" s="1" t="inlineStr">
        <is>
          <t>225382</t>
        </is>
      </c>
      <c r="E2021" s="1" t="inlineStr">
        <is>
          <t xml:space="preserve">28194770       </t>
        </is>
      </c>
      <c r="F2021" s="5" t="inlineStr">
        <is>
          <t>AUTOS DE METAL 3 TEAMSTERZ EN BLISTER</t>
        </is>
      </c>
      <c r="G2021" t="n">
        <v>1</v>
      </c>
      <c r="H2021" s="7" t="n">
        <v>6.9</v>
      </c>
      <c r="I2021" s="7" t="n">
        <v>0</v>
      </c>
      <c r="J2021" s="7" t="n">
        <v>0</v>
      </c>
      <c r="K2021" s="9" t="n">
        <v>0</v>
      </c>
      <c r="L2021" s="10" t="n">
        <v>4.1</v>
      </c>
      <c r="M2021" s="10" t="n">
        <v>1.43</v>
      </c>
      <c r="N2021" t="inlineStr">
        <is>
          <t>1</t>
        </is>
      </c>
      <c r="O2021" t="inlineStr">
        <is>
          <t>16</t>
        </is>
      </c>
      <c r="P2021" t="inlineStr">
        <is>
          <t xml:space="preserve">23344   </t>
        </is>
      </c>
      <c r="Q2021" s="26" t="n">
        <v>4.09</v>
      </c>
      <c r="R2021" s="26">
        <f>Q2021*G2021</f>
        <v/>
      </c>
      <c r="S2021" s="26">
        <f>IFERROR(VLOOKUP(E2021*1,Tabla[#All],8,0),0)</f>
        <v/>
      </c>
      <c r="T2021" s="26">
        <f>S2021*G2021</f>
        <v/>
      </c>
      <c r="U2021" s="26">
        <f>R2021-T2021</f>
        <v/>
      </c>
      <c r="V2021" s="26">
        <f>U2021-L2021</f>
        <v/>
      </c>
    </row>
    <row r="2022">
      <c r="A2022" s="11" t="n">
        <v>46223</v>
      </c>
      <c r="B2022" s="1" t="n">
        <v>20040</v>
      </c>
      <c r="C2022" s="1" t="inlineStr">
        <is>
          <t>190</t>
        </is>
      </c>
      <c r="D2022" s="1" t="inlineStr">
        <is>
          <t>368621</t>
        </is>
      </c>
      <c r="E2022" s="1" t="inlineStr">
        <is>
          <t xml:space="preserve">32457105       </t>
        </is>
      </c>
      <c r="F2022" s="5" t="inlineStr">
        <is>
          <t>TMZ BEAST MACHINES MONSTER JAWS ATAQUE ESCORPION +</t>
        </is>
      </c>
      <c r="G2022" t="n">
        <v>1</v>
      </c>
      <c r="H2022" s="7" t="n">
        <v>49.9</v>
      </c>
      <c r="I2022" s="7" t="n">
        <v>0</v>
      </c>
      <c r="J2022" s="7" t="n">
        <v>0</v>
      </c>
      <c r="K2022" s="9" t="n">
        <v>0</v>
      </c>
      <c r="L2022" s="10" t="n">
        <v>29.6</v>
      </c>
      <c r="M2022" s="10" t="n">
        <v>1.43</v>
      </c>
      <c r="N2022" t="inlineStr">
        <is>
          <t>1</t>
        </is>
      </c>
      <c r="O2022" t="inlineStr">
        <is>
          <t>16</t>
        </is>
      </c>
      <c r="P2022" t="inlineStr">
        <is>
          <t xml:space="preserve">241887  </t>
        </is>
      </c>
      <c r="Q2022" s="26" t="n">
        <v>41.47</v>
      </c>
      <c r="R2022" s="26">
        <f>Q2022*G2022</f>
        <v/>
      </c>
      <c r="S2022" s="26">
        <f>IFERROR(VLOOKUP(E2022*1,Tabla[#All],8,0),0)</f>
        <v/>
      </c>
      <c r="T2022" s="26">
        <f>S2022*G2022</f>
        <v/>
      </c>
      <c r="U2022" s="26">
        <f>R2022-T2022</f>
        <v/>
      </c>
      <c r="V2022" s="26">
        <f>U2022-L2022</f>
        <v/>
      </c>
    </row>
    <row r="2023">
      <c r="A2023" s="11" t="n">
        <v>46223</v>
      </c>
      <c r="B2023" s="1" t="n">
        <v>20040</v>
      </c>
      <c r="C2023" s="1" t="inlineStr">
        <is>
          <t>800</t>
        </is>
      </c>
      <c r="D2023" s="1" t="inlineStr">
        <is>
          <t xml:space="preserve">3612  </t>
        </is>
      </c>
      <c r="E2023" s="1" t="inlineStr">
        <is>
          <t xml:space="preserve">32457106       </t>
        </is>
      </c>
      <c r="F2023" s="5" t="inlineStr">
        <is>
          <t>TMZ BEAST MACHINES PLAYSET DESASTRE DRAGON + 1 AUT</t>
        </is>
      </c>
      <c r="G2023" t="n">
        <v>1</v>
      </c>
      <c r="H2023" s="7" t="n">
        <v>49.9</v>
      </c>
      <c r="I2023" s="7" t="n">
        <v>0</v>
      </c>
      <c r="J2023" s="7" t="n">
        <v>0</v>
      </c>
      <c r="K2023" s="9" t="n">
        <v>0</v>
      </c>
      <c r="L2023" s="10" t="n">
        <v>29.6</v>
      </c>
      <c r="M2023" s="10" t="n">
        <v>1.43</v>
      </c>
      <c r="N2023" t="inlineStr">
        <is>
          <t>1</t>
        </is>
      </c>
      <c r="O2023" t="inlineStr">
        <is>
          <t>16</t>
        </is>
      </c>
      <c r="P2023" t="inlineStr">
        <is>
          <t xml:space="preserve">0       </t>
        </is>
      </c>
      <c r="Q2023" s="26" t="n">
        <v>41.47</v>
      </c>
      <c r="R2023" s="26">
        <f>Q2023*G2023</f>
        <v/>
      </c>
      <c r="S2023" s="26">
        <f>IFERROR(VLOOKUP(E2023*1,Tabla[#All],8,0),0)</f>
        <v/>
      </c>
      <c r="T2023" s="26">
        <f>S2023*G2023</f>
        <v/>
      </c>
      <c r="U2023" s="26">
        <f>R2023-T2023</f>
        <v/>
      </c>
      <c r="V2023" s="26">
        <f>U2023-L2023</f>
        <v/>
      </c>
    </row>
    <row r="2024">
      <c r="A2024" s="11" t="n">
        <v>46223</v>
      </c>
      <c r="B2024" s="1" t="n">
        <v>20041</v>
      </c>
      <c r="C2024" s="1" t="inlineStr">
        <is>
          <t>012</t>
        </is>
      </c>
      <c r="D2024" s="1" t="inlineStr">
        <is>
          <t>323698</t>
        </is>
      </c>
      <c r="E2024" s="1" t="inlineStr">
        <is>
          <t xml:space="preserve">28194770       </t>
        </is>
      </c>
      <c r="F2024" s="5" t="inlineStr">
        <is>
          <t>AUTOS DE METAL 3 TEAMSTERZ EN BLISTER</t>
        </is>
      </c>
      <c r="G2024" t="n">
        <v>1</v>
      </c>
      <c r="H2024" s="7" t="n">
        <v>6.9</v>
      </c>
      <c r="I2024" s="7" t="n">
        <v>0</v>
      </c>
      <c r="J2024" s="7" t="n">
        <v>0</v>
      </c>
      <c r="K2024" s="9" t="n">
        <v>0</v>
      </c>
      <c r="L2024" s="10" t="n">
        <v>4.1</v>
      </c>
      <c r="M2024" s="10" t="n">
        <v>1.43</v>
      </c>
      <c r="N2024" t="inlineStr">
        <is>
          <t>1</t>
        </is>
      </c>
      <c r="O2024" t="inlineStr">
        <is>
          <t xml:space="preserve">2 </t>
        </is>
      </c>
      <c r="P2024" t="inlineStr">
        <is>
          <t xml:space="preserve">251773  </t>
        </is>
      </c>
      <c r="Q2024" s="26" t="n">
        <v>4.09</v>
      </c>
      <c r="R2024" s="26">
        <f>Q2024*G2024</f>
        <v/>
      </c>
      <c r="S2024" s="26">
        <f>IFERROR(VLOOKUP(E2024*1,Tabla[#All],8,0),0)</f>
        <v/>
      </c>
      <c r="T2024" s="26">
        <f>S2024*G2024</f>
        <v/>
      </c>
      <c r="U2024" s="26">
        <f>R2024-T2024</f>
        <v/>
      </c>
      <c r="V2024" s="26">
        <f>U2024-L2024</f>
        <v/>
      </c>
    </row>
    <row r="2025">
      <c r="A2025" s="11" t="n">
        <v>46223</v>
      </c>
      <c r="B2025" s="1" t="n">
        <v>20041</v>
      </c>
      <c r="C2025" s="1" t="inlineStr">
        <is>
          <t>013</t>
        </is>
      </c>
      <c r="D2025" s="1" t="inlineStr">
        <is>
          <t>459630</t>
        </is>
      </c>
      <c r="E2025" s="1" t="inlineStr">
        <is>
          <t xml:space="preserve">28194770       </t>
        </is>
      </c>
      <c r="F2025" s="5" t="inlineStr">
        <is>
          <t>AUTOS DE METAL 3 TEAMSTERZ EN BLISTER</t>
        </is>
      </c>
      <c r="G2025" t="n">
        <v>1</v>
      </c>
      <c r="H2025" s="7" t="n">
        <v>6.9</v>
      </c>
      <c r="I2025" s="7" t="n">
        <v>0</v>
      </c>
      <c r="J2025" s="7" t="n">
        <v>0</v>
      </c>
      <c r="K2025" s="9" t="n">
        <v>0</v>
      </c>
      <c r="L2025" s="10" t="n">
        <v>4.1</v>
      </c>
      <c r="M2025" s="10" t="n">
        <v>1.43</v>
      </c>
      <c r="N2025" t="inlineStr">
        <is>
          <t>1</t>
        </is>
      </c>
      <c r="O2025" t="inlineStr">
        <is>
          <t>16</t>
        </is>
      </c>
      <c r="P2025" t="inlineStr">
        <is>
          <t xml:space="preserve">36144   </t>
        </is>
      </c>
      <c r="Q2025" s="26" t="n">
        <v>4.09</v>
      </c>
      <c r="R2025" s="26">
        <f>Q2025*G2025</f>
        <v/>
      </c>
      <c r="S2025" s="26">
        <f>IFERROR(VLOOKUP(E2025*1,Tabla[#All],8,0),0)</f>
        <v/>
      </c>
      <c r="T2025" s="26">
        <f>S2025*G2025</f>
        <v/>
      </c>
      <c r="U2025" s="26">
        <f>R2025-T2025</f>
        <v/>
      </c>
      <c r="V2025" s="26">
        <f>U2025-L2025</f>
        <v/>
      </c>
    </row>
    <row r="2026">
      <c r="A2026" s="11" t="n">
        <v>46223</v>
      </c>
      <c r="B2026" s="1" t="n">
        <v>20041</v>
      </c>
      <c r="C2026" s="1" t="inlineStr">
        <is>
          <t>031</t>
        </is>
      </c>
      <c r="D2026" s="1" t="inlineStr">
        <is>
          <t>166085</t>
        </is>
      </c>
      <c r="E2026" s="1" t="inlineStr">
        <is>
          <t xml:space="preserve">28194770       </t>
        </is>
      </c>
      <c r="F2026" s="5" t="inlineStr">
        <is>
          <t>AUTOS DE METAL 3 TEAMSTERZ EN BLISTER</t>
        </is>
      </c>
      <c r="G2026" t="n">
        <v>1</v>
      </c>
      <c r="H2026" s="7" t="n">
        <v>6.9</v>
      </c>
      <c r="I2026" s="7" t="n">
        <v>0</v>
      </c>
      <c r="J2026" s="7" t="n">
        <v>0</v>
      </c>
      <c r="K2026" s="9" t="n">
        <v>0</v>
      </c>
      <c r="L2026" s="10" t="n">
        <v>4.1</v>
      </c>
      <c r="M2026" s="10" t="n">
        <v>1.43</v>
      </c>
      <c r="N2026" t="inlineStr">
        <is>
          <t>1</t>
        </is>
      </c>
      <c r="O2026" t="inlineStr">
        <is>
          <t xml:space="preserve">2 </t>
        </is>
      </c>
      <c r="P2026" t="inlineStr">
        <is>
          <t xml:space="preserve">240974  </t>
        </is>
      </c>
      <c r="Q2026" s="26" t="n">
        <v>4.09</v>
      </c>
      <c r="R2026" s="26">
        <f>Q2026*G2026</f>
        <v/>
      </c>
      <c r="S2026" s="26">
        <f>IFERROR(VLOOKUP(E2026*1,Tabla[#All],8,0),0)</f>
        <v/>
      </c>
      <c r="T2026" s="26">
        <f>S2026*G2026</f>
        <v/>
      </c>
      <c r="U2026" s="26">
        <f>R2026-T2026</f>
        <v/>
      </c>
      <c r="V2026" s="26">
        <f>U2026-L2026</f>
        <v/>
      </c>
    </row>
    <row r="2027">
      <c r="A2027" s="11" t="n">
        <v>46223</v>
      </c>
      <c r="B2027" s="1" t="n">
        <v>20041</v>
      </c>
      <c r="C2027" s="1" t="inlineStr">
        <is>
          <t>520</t>
        </is>
      </c>
      <c r="D2027" s="1" t="inlineStr">
        <is>
          <t xml:space="preserve">6625  </t>
        </is>
      </c>
      <c r="E2027" s="1" t="inlineStr">
        <is>
          <t xml:space="preserve">28194769       </t>
        </is>
      </c>
      <c r="F2027" s="5" t="inlineStr">
        <is>
          <t>AUTOS DE METAL 3 TEAMSTERZ PACK DE 2</t>
        </is>
      </c>
      <c r="G2027" t="n">
        <v>1</v>
      </c>
      <c r="H2027" s="7" t="n">
        <v>13.8</v>
      </c>
      <c r="I2027" s="7" t="n">
        <v>0</v>
      </c>
      <c r="J2027" s="7" t="n">
        <v>0</v>
      </c>
      <c r="K2027" s="9" t="n">
        <v>0</v>
      </c>
      <c r="L2027" s="10" t="n">
        <v>8.18</v>
      </c>
      <c r="M2027" s="10" t="n">
        <v>1.43</v>
      </c>
      <c r="N2027" t="inlineStr">
        <is>
          <t>1</t>
        </is>
      </c>
      <c r="O2027" t="inlineStr">
        <is>
          <t>16</t>
        </is>
      </c>
      <c r="P2027" t="inlineStr">
        <is>
          <t xml:space="preserve">248088  </t>
        </is>
      </c>
      <c r="Q2027" s="26" t="n">
        <v>8.19</v>
      </c>
      <c r="R2027" s="26">
        <f>Q2027*G2027</f>
        <v/>
      </c>
      <c r="S2027" s="26">
        <f>IFERROR(VLOOKUP(E2027*1,Tabla[#All],8,0),0)</f>
        <v/>
      </c>
      <c r="T2027" s="26">
        <f>S2027*G2027</f>
        <v/>
      </c>
      <c r="U2027" s="26">
        <f>R2027-T2027</f>
        <v/>
      </c>
      <c r="V2027" s="26">
        <f>U2027-L2027</f>
        <v/>
      </c>
    </row>
    <row r="2028">
      <c r="A2028" s="11" t="n">
        <v>46223</v>
      </c>
      <c r="B2028" s="1" t="n">
        <v>20043</v>
      </c>
      <c r="C2028" s="1" t="inlineStr">
        <is>
          <t>059</t>
        </is>
      </c>
      <c r="D2028" s="1" t="inlineStr">
        <is>
          <t>151018</t>
        </is>
      </c>
      <c r="E2028" s="1" t="inlineStr">
        <is>
          <t xml:space="preserve">28194769       </t>
        </is>
      </c>
      <c r="F2028" s="5" t="inlineStr">
        <is>
          <t>AUTOS DE METAL 3 TEAMSTERZ PACK DE 2</t>
        </is>
      </c>
      <c r="G2028" t="n">
        <v>1</v>
      </c>
      <c r="H2028" s="7" t="n">
        <v>13.8</v>
      </c>
      <c r="I2028" s="7" t="n">
        <v>0</v>
      </c>
      <c r="J2028" s="7" t="n">
        <v>0</v>
      </c>
      <c r="K2028" s="9" t="n">
        <v>0</v>
      </c>
      <c r="L2028" s="10" t="n">
        <v>8.18</v>
      </c>
      <c r="M2028" s="10" t="n">
        <v>1.43</v>
      </c>
      <c r="N2028" t="inlineStr">
        <is>
          <t>1</t>
        </is>
      </c>
      <c r="O2028" t="inlineStr">
        <is>
          <t>16</t>
        </is>
      </c>
      <c r="P2028" t="inlineStr">
        <is>
          <t xml:space="preserve">55076   </t>
        </is>
      </c>
      <c r="Q2028" s="26" t="n">
        <v>8.19</v>
      </c>
      <c r="R2028" s="26">
        <f>Q2028*G2028</f>
        <v/>
      </c>
      <c r="S2028" s="26">
        <f>IFERROR(VLOOKUP(E2028*1,Tabla[#All],8,0),0)</f>
        <v/>
      </c>
      <c r="T2028" s="26">
        <f>S2028*G2028</f>
        <v/>
      </c>
      <c r="U2028" s="26">
        <f>R2028-T2028</f>
        <v/>
      </c>
      <c r="V2028" s="26">
        <f>U2028-L2028</f>
        <v/>
      </c>
    </row>
    <row r="2029">
      <c r="A2029" s="11" t="n">
        <v>46223</v>
      </c>
      <c r="B2029" s="1" t="n">
        <v>20043</v>
      </c>
      <c r="C2029" s="1" t="inlineStr">
        <is>
          <t>059</t>
        </is>
      </c>
      <c r="D2029" s="1" t="inlineStr">
        <is>
          <t>151040</t>
        </is>
      </c>
      <c r="E2029" s="1" t="inlineStr">
        <is>
          <t xml:space="preserve">32457103       </t>
        </is>
      </c>
      <c r="F2029" s="5" t="inlineStr">
        <is>
          <t>TMZ BEAST MACHINES MONSTER JAWS A FRICCION PACK DE</t>
        </is>
      </c>
      <c r="G2029" t="n">
        <v>1</v>
      </c>
      <c r="H2029" s="7" t="n">
        <v>32.9</v>
      </c>
      <c r="I2029" s="7" t="n">
        <v>0</v>
      </c>
      <c r="J2029" s="7" t="n">
        <v>0</v>
      </c>
      <c r="K2029" s="9" t="n">
        <v>0</v>
      </c>
      <c r="L2029" s="10" t="n">
        <v>19.52</v>
      </c>
      <c r="M2029" s="10" t="n">
        <v>1.43</v>
      </c>
      <c r="N2029" t="inlineStr">
        <is>
          <t>1</t>
        </is>
      </c>
      <c r="O2029" t="inlineStr">
        <is>
          <t>16</t>
        </is>
      </c>
      <c r="P2029" t="inlineStr">
        <is>
          <t xml:space="preserve">55076   </t>
        </is>
      </c>
      <c r="Q2029" s="26" t="n">
        <v>22.48</v>
      </c>
      <c r="R2029" s="26">
        <f>Q2029*G2029</f>
        <v/>
      </c>
      <c r="S2029" s="26">
        <f>IFERROR(VLOOKUP(E2029*1,Tabla[#All],8,0),0)</f>
        <v/>
      </c>
      <c r="T2029" s="26">
        <f>S2029*G2029</f>
        <v/>
      </c>
      <c r="U2029" s="26">
        <f>R2029-T2029</f>
        <v/>
      </c>
      <c r="V2029" s="26">
        <f>U2029-L2029</f>
        <v/>
      </c>
    </row>
    <row r="2030">
      <c r="A2030" s="11" t="n">
        <v>46223</v>
      </c>
      <c r="B2030" s="1" t="n">
        <v>20043</v>
      </c>
      <c r="C2030" s="1" t="inlineStr">
        <is>
          <t>061</t>
        </is>
      </c>
      <c r="D2030" s="1" t="inlineStr">
        <is>
          <t>155343</t>
        </is>
      </c>
      <c r="E2030" s="1" t="inlineStr">
        <is>
          <t xml:space="preserve">28194769       </t>
        </is>
      </c>
      <c r="F2030" s="5" t="inlineStr">
        <is>
          <t>AUTOS DE METAL 3 TEAMSTERZ PACK DE 2</t>
        </is>
      </c>
      <c r="G2030" t="n">
        <v>1</v>
      </c>
      <c r="H2030" s="7" t="n">
        <v>13.8</v>
      </c>
      <c r="I2030" s="7" t="n">
        <v>0</v>
      </c>
      <c r="J2030" s="7" t="n">
        <v>0</v>
      </c>
      <c r="K2030" s="9" t="n">
        <v>0</v>
      </c>
      <c r="L2030" s="10" t="n">
        <v>8.18</v>
      </c>
      <c r="M2030" s="10" t="n">
        <v>1.43</v>
      </c>
      <c r="N2030" t="inlineStr">
        <is>
          <t>1</t>
        </is>
      </c>
      <c r="O2030" t="inlineStr">
        <is>
          <t xml:space="preserve">3 </t>
        </is>
      </c>
      <c r="P2030" t="inlineStr">
        <is>
          <t xml:space="preserve">47299   </t>
        </is>
      </c>
      <c r="Q2030" s="26" t="n">
        <v>8.19</v>
      </c>
      <c r="R2030" s="26">
        <f>Q2030*G2030</f>
        <v/>
      </c>
      <c r="S2030" s="26">
        <f>IFERROR(VLOOKUP(E2030*1,Tabla[#All],8,0),0)</f>
        <v/>
      </c>
      <c r="T2030" s="26">
        <f>S2030*G2030</f>
        <v/>
      </c>
      <c r="U2030" s="26">
        <f>R2030-T2030</f>
        <v/>
      </c>
      <c r="V2030" s="26">
        <f>U2030-L2030</f>
        <v/>
      </c>
    </row>
    <row r="2031">
      <c r="A2031" s="11" t="n">
        <v>46223</v>
      </c>
      <c r="B2031" s="1" t="n">
        <v>20047</v>
      </c>
      <c r="C2031" s="1" t="inlineStr">
        <is>
          <t>012</t>
        </is>
      </c>
      <c r="D2031" s="1" t="inlineStr">
        <is>
          <t>333289</t>
        </is>
      </c>
      <c r="E2031" s="1" t="inlineStr">
        <is>
          <t xml:space="preserve">28194770       </t>
        </is>
      </c>
      <c r="F2031" s="5" t="inlineStr">
        <is>
          <t>AUTOS DE METAL 3 TEAMSTERZ EN BLISTER</t>
        </is>
      </c>
      <c r="G2031" t="n">
        <v>1</v>
      </c>
      <c r="H2031" s="7" t="n">
        <v>6.9</v>
      </c>
      <c r="I2031" s="7" t="n">
        <v>0</v>
      </c>
      <c r="J2031" s="7" t="n">
        <v>0</v>
      </c>
      <c r="K2031" s="9" t="n">
        <v>0</v>
      </c>
      <c r="L2031" s="10" t="n">
        <v>4.1</v>
      </c>
      <c r="M2031" s="10" t="n">
        <v>1.43</v>
      </c>
      <c r="N2031" t="inlineStr">
        <is>
          <t>1</t>
        </is>
      </c>
      <c r="O2031" t="inlineStr">
        <is>
          <t xml:space="preserve">2 </t>
        </is>
      </c>
      <c r="P2031" t="inlineStr">
        <is>
          <t xml:space="preserve">78210   </t>
        </is>
      </c>
      <c r="Q2031" s="26" t="n">
        <v>4.09</v>
      </c>
      <c r="R2031" s="26">
        <f>Q2031*G2031</f>
        <v/>
      </c>
      <c r="S2031" s="26">
        <f>IFERROR(VLOOKUP(E2031*1,Tabla[#All],8,0),0)</f>
        <v/>
      </c>
      <c r="T2031" s="26">
        <f>S2031*G2031</f>
        <v/>
      </c>
      <c r="U2031" s="26">
        <f>R2031-T2031</f>
        <v/>
      </c>
      <c r="V2031" s="26">
        <f>U2031-L2031</f>
        <v/>
      </c>
    </row>
    <row r="2032">
      <c r="A2032" s="11" t="n">
        <v>46223</v>
      </c>
      <c r="B2032" s="1" t="n">
        <v>20047</v>
      </c>
      <c r="C2032" s="1" t="inlineStr">
        <is>
          <t>012</t>
        </is>
      </c>
      <c r="D2032" s="1" t="inlineStr">
        <is>
          <t>333302</t>
        </is>
      </c>
      <c r="E2032" s="1" t="inlineStr">
        <is>
          <t xml:space="preserve">28194770       </t>
        </is>
      </c>
      <c r="F2032" s="5" t="inlineStr">
        <is>
          <t>AUTOS DE METAL 3 TEAMSTERZ EN BLISTER</t>
        </is>
      </c>
      <c r="G2032" t="n">
        <v>1</v>
      </c>
      <c r="H2032" s="7" t="n">
        <v>6.9</v>
      </c>
      <c r="I2032" s="7" t="n">
        <v>0</v>
      </c>
      <c r="J2032" s="7" t="n">
        <v>0</v>
      </c>
      <c r="K2032" s="9" t="n">
        <v>0</v>
      </c>
      <c r="L2032" s="10" t="n">
        <v>4.1</v>
      </c>
      <c r="M2032" s="10" t="n">
        <v>1.43</v>
      </c>
      <c r="N2032" t="inlineStr">
        <is>
          <t>1</t>
        </is>
      </c>
      <c r="O2032" t="inlineStr">
        <is>
          <t xml:space="preserve">2 </t>
        </is>
      </c>
      <c r="P2032" t="inlineStr">
        <is>
          <t xml:space="preserve">78210   </t>
        </is>
      </c>
      <c r="Q2032" s="26" t="n">
        <v>4.09</v>
      </c>
      <c r="R2032" s="26">
        <f>Q2032*G2032</f>
        <v/>
      </c>
      <c r="S2032" s="26">
        <f>IFERROR(VLOOKUP(E2032*1,Tabla[#All],8,0),0)</f>
        <v/>
      </c>
      <c r="T2032" s="26">
        <f>S2032*G2032</f>
        <v/>
      </c>
      <c r="U2032" s="26">
        <f>R2032-T2032</f>
        <v/>
      </c>
      <c r="V2032" s="26">
        <f>U2032-L2032</f>
        <v/>
      </c>
    </row>
    <row r="2033">
      <c r="A2033" s="11" t="n">
        <v>46223</v>
      </c>
      <c r="B2033" s="1" t="n">
        <v>20047</v>
      </c>
      <c r="C2033" s="1" t="inlineStr">
        <is>
          <t>012</t>
        </is>
      </c>
      <c r="D2033" s="1" t="inlineStr">
        <is>
          <t>333326</t>
        </is>
      </c>
      <c r="E2033" s="1" t="inlineStr">
        <is>
          <t xml:space="preserve">28194770       </t>
        </is>
      </c>
      <c r="F2033" s="5" t="inlineStr">
        <is>
          <t>AUTOS DE METAL 3 TEAMSTERZ EN BLISTER</t>
        </is>
      </c>
      <c r="G2033" t="n">
        <v>1</v>
      </c>
      <c r="H2033" s="7" t="n">
        <v>6.9</v>
      </c>
      <c r="I2033" s="7" t="n">
        <v>0</v>
      </c>
      <c r="J2033" s="7" t="n">
        <v>0</v>
      </c>
      <c r="K2033" s="9" t="n">
        <v>0</v>
      </c>
      <c r="L2033" s="10" t="n">
        <v>4.1</v>
      </c>
      <c r="M2033" s="10" t="n">
        <v>1.43</v>
      </c>
      <c r="N2033" t="inlineStr">
        <is>
          <t>1</t>
        </is>
      </c>
      <c r="O2033" t="inlineStr">
        <is>
          <t xml:space="preserve">2 </t>
        </is>
      </c>
      <c r="P2033" t="inlineStr">
        <is>
          <t xml:space="preserve">78210   </t>
        </is>
      </c>
      <c r="Q2033" s="26" t="n">
        <v>4.09</v>
      </c>
      <c r="R2033" s="26">
        <f>Q2033*G2033</f>
        <v/>
      </c>
      <c r="S2033" s="26">
        <f>IFERROR(VLOOKUP(E2033*1,Tabla[#All],8,0),0)</f>
        <v/>
      </c>
      <c r="T2033" s="26">
        <f>S2033*G2033</f>
        <v/>
      </c>
      <c r="U2033" s="26">
        <f>R2033-T2033</f>
        <v/>
      </c>
      <c r="V2033" s="26">
        <f>U2033-L2033</f>
        <v/>
      </c>
    </row>
    <row r="2034">
      <c r="A2034" s="11" t="n">
        <v>46223</v>
      </c>
      <c r="B2034" s="1" t="n">
        <v>20047</v>
      </c>
      <c r="C2034" s="1" t="inlineStr">
        <is>
          <t>012</t>
        </is>
      </c>
      <c r="D2034" s="1" t="inlineStr">
        <is>
          <t>333326</t>
        </is>
      </c>
      <c r="E2034" s="1" t="inlineStr">
        <is>
          <t xml:space="preserve">28194770       </t>
        </is>
      </c>
      <c r="F2034" s="5" t="inlineStr">
        <is>
          <t>AUTOS DE METAL 3 TEAMSTERZ EN BLISTER</t>
        </is>
      </c>
      <c r="G2034" t="n">
        <v>1</v>
      </c>
      <c r="H2034" s="7" t="n">
        <v>6.9</v>
      </c>
      <c r="I2034" s="7" t="n">
        <v>0</v>
      </c>
      <c r="J2034" s="7" t="n">
        <v>0</v>
      </c>
      <c r="K2034" s="9" t="n">
        <v>0</v>
      </c>
      <c r="L2034" s="10" t="n">
        <v>4.1</v>
      </c>
      <c r="M2034" s="10" t="n">
        <v>1.43</v>
      </c>
      <c r="N2034" t="inlineStr">
        <is>
          <t>1</t>
        </is>
      </c>
      <c r="O2034" t="inlineStr">
        <is>
          <t xml:space="preserve">2 </t>
        </is>
      </c>
      <c r="P2034" t="inlineStr">
        <is>
          <t xml:space="preserve">78210   </t>
        </is>
      </c>
      <c r="Q2034" s="26" t="n">
        <v>4.09</v>
      </c>
      <c r="R2034" s="26">
        <f>Q2034*G2034</f>
        <v/>
      </c>
      <c r="S2034" s="26">
        <f>IFERROR(VLOOKUP(E2034*1,Tabla[#All],8,0),0)</f>
        <v/>
      </c>
      <c r="T2034" s="26">
        <f>S2034*G2034</f>
        <v/>
      </c>
      <c r="U2034" s="26">
        <f>R2034-T2034</f>
        <v/>
      </c>
      <c r="V2034" s="26">
        <f>U2034-L2034</f>
        <v/>
      </c>
    </row>
    <row r="2035">
      <c r="A2035" s="11" t="n">
        <v>46223</v>
      </c>
      <c r="B2035" s="1" t="n">
        <v>20047</v>
      </c>
      <c r="C2035" s="1" t="inlineStr">
        <is>
          <t>012</t>
        </is>
      </c>
      <c r="D2035" s="1" t="inlineStr">
        <is>
          <t>333326</t>
        </is>
      </c>
      <c r="E2035" s="1" t="inlineStr">
        <is>
          <t xml:space="preserve">28194770       </t>
        </is>
      </c>
      <c r="F2035" s="5" t="inlineStr">
        <is>
          <t>AUTOS DE METAL 3 TEAMSTERZ EN BLISTER</t>
        </is>
      </c>
      <c r="G2035" t="n">
        <v>1</v>
      </c>
      <c r="H2035" s="7" t="n">
        <v>6.9</v>
      </c>
      <c r="I2035" s="7" t="n">
        <v>0</v>
      </c>
      <c r="J2035" s="7" t="n">
        <v>0</v>
      </c>
      <c r="K2035" s="9" t="n">
        <v>0</v>
      </c>
      <c r="L2035" s="10" t="n">
        <v>4.1</v>
      </c>
      <c r="M2035" s="10" t="n">
        <v>1.43</v>
      </c>
      <c r="N2035" t="inlineStr">
        <is>
          <t>1</t>
        </is>
      </c>
      <c r="O2035" t="inlineStr">
        <is>
          <t xml:space="preserve">2 </t>
        </is>
      </c>
      <c r="P2035" t="inlineStr">
        <is>
          <t xml:space="preserve">78210   </t>
        </is>
      </c>
      <c r="Q2035" s="26" t="n">
        <v>4.09</v>
      </c>
      <c r="R2035" s="26">
        <f>Q2035*G2035</f>
        <v/>
      </c>
      <c r="S2035" s="26">
        <f>IFERROR(VLOOKUP(E2035*1,Tabla[#All],8,0),0)</f>
        <v/>
      </c>
      <c r="T2035" s="26">
        <f>S2035*G2035</f>
        <v/>
      </c>
      <c r="U2035" s="26">
        <f>R2035-T2035</f>
        <v/>
      </c>
      <c r="V2035" s="26">
        <f>U2035-L2035</f>
        <v/>
      </c>
    </row>
    <row r="2036">
      <c r="A2036" s="11" t="n">
        <v>46223</v>
      </c>
      <c r="B2036" s="1" t="n">
        <v>20047</v>
      </c>
      <c r="C2036" s="1" t="inlineStr">
        <is>
          <t>012</t>
        </is>
      </c>
      <c r="D2036" s="1" t="inlineStr">
        <is>
          <t>333380</t>
        </is>
      </c>
      <c r="E2036" s="1" t="inlineStr">
        <is>
          <t xml:space="preserve">28194770       </t>
        </is>
      </c>
      <c r="F2036" s="5" t="inlineStr">
        <is>
          <t>AUTOS DE METAL 3 TEAMSTERZ EN BLISTER</t>
        </is>
      </c>
      <c r="G2036" t="n">
        <v>1</v>
      </c>
      <c r="H2036" s="7" t="n">
        <v>6.9</v>
      </c>
      <c r="I2036" s="7" t="n">
        <v>0</v>
      </c>
      <c r="J2036" s="7" t="n">
        <v>0</v>
      </c>
      <c r="K2036" s="9" t="n">
        <v>0</v>
      </c>
      <c r="L2036" s="10" t="n">
        <v>4.1</v>
      </c>
      <c r="M2036" s="10" t="n">
        <v>1.43</v>
      </c>
      <c r="N2036" t="inlineStr">
        <is>
          <t>1</t>
        </is>
      </c>
      <c r="O2036" t="inlineStr">
        <is>
          <t xml:space="preserve">2 </t>
        </is>
      </c>
      <c r="P2036" t="inlineStr">
        <is>
          <t xml:space="preserve">248817  </t>
        </is>
      </c>
      <c r="Q2036" s="26" t="n">
        <v>4.09</v>
      </c>
      <c r="R2036" s="26">
        <f>Q2036*G2036</f>
        <v/>
      </c>
      <c r="S2036" s="26">
        <f>IFERROR(VLOOKUP(E2036*1,Tabla[#All],8,0),0)</f>
        <v/>
      </c>
      <c r="T2036" s="26">
        <f>S2036*G2036</f>
        <v/>
      </c>
      <c r="U2036" s="26">
        <f>R2036-T2036</f>
        <v/>
      </c>
      <c r="V2036" s="26">
        <f>U2036-L2036</f>
        <v/>
      </c>
    </row>
    <row r="2037">
      <c r="A2037" s="11" t="n">
        <v>46223</v>
      </c>
      <c r="B2037" s="1" t="n">
        <v>20047</v>
      </c>
      <c r="C2037" s="1" t="inlineStr">
        <is>
          <t>191</t>
        </is>
      </c>
      <c r="D2037" s="1" t="inlineStr">
        <is>
          <t>462595</t>
        </is>
      </c>
      <c r="E2037" s="1" t="inlineStr">
        <is>
          <t xml:space="preserve">28194770       </t>
        </is>
      </c>
      <c r="F2037" s="5" t="inlineStr">
        <is>
          <t>AUTOS DE METAL 3 TEAMSTERZ EN BLISTER</t>
        </is>
      </c>
      <c r="G2037" t="n">
        <v>1</v>
      </c>
      <c r="H2037" s="7" t="n">
        <v>6.9</v>
      </c>
      <c r="I2037" s="7" t="n">
        <v>0</v>
      </c>
      <c r="J2037" s="7" t="n">
        <v>0</v>
      </c>
      <c r="K2037" s="9" t="n">
        <v>0</v>
      </c>
      <c r="L2037" s="10" t="n">
        <v>4.1</v>
      </c>
      <c r="M2037" s="10" t="n">
        <v>1.43</v>
      </c>
      <c r="N2037" t="inlineStr">
        <is>
          <t>1</t>
        </is>
      </c>
      <c r="O2037" t="inlineStr">
        <is>
          <t xml:space="preserve">2 </t>
        </is>
      </c>
      <c r="P2037" t="inlineStr">
        <is>
          <t xml:space="preserve">245750  </t>
        </is>
      </c>
      <c r="Q2037" s="26" t="n">
        <v>4.09</v>
      </c>
      <c r="R2037" s="26">
        <f>Q2037*G2037</f>
        <v/>
      </c>
      <c r="S2037" s="26">
        <f>IFERROR(VLOOKUP(E2037*1,Tabla[#All],8,0),0)</f>
        <v/>
      </c>
      <c r="T2037" s="26">
        <f>S2037*G2037</f>
        <v/>
      </c>
      <c r="U2037" s="26">
        <f>R2037-T2037</f>
        <v/>
      </c>
      <c r="V2037" s="26">
        <f>U2037-L2037</f>
        <v/>
      </c>
    </row>
    <row r="2038">
      <c r="A2038" s="11" t="n">
        <v>46223</v>
      </c>
      <c r="B2038" s="1" t="n">
        <v>20047</v>
      </c>
      <c r="C2038" s="1" t="inlineStr">
        <is>
          <t>191</t>
        </is>
      </c>
      <c r="D2038" s="1" t="inlineStr">
        <is>
          <t>462707</t>
        </is>
      </c>
      <c r="E2038" s="1" t="inlineStr">
        <is>
          <t xml:space="preserve">28194770       </t>
        </is>
      </c>
      <c r="F2038" s="5" t="inlineStr">
        <is>
          <t>AUTOS DE METAL 3 TEAMSTERZ EN BLISTER</t>
        </is>
      </c>
      <c r="G2038" t="n">
        <v>1</v>
      </c>
      <c r="H2038" s="7" t="n">
        <v>6.9</v>
      </c>
      <c r="I2038" s="7" t="n">
        <v>0</v>
      </c>
      <c r="J2038" s="7" t="n">
        <v>0</v>
      </c>
      <c r="K2038" s="9" t="n">
        <v>0</v>
      </c>
      <c r="L2038" s="10" t="n">
        <v>4.1</v>
      </c>
      <c r="M2038" s="10" t="n">
        <v>1.43</v>
      </c>
      <c r="N2038" t="inlineStr">
        <is>
          <t>1</t>
        </is>
      </c>
      <c r="O2038" t="inlineStr">
        <is>
          <t xml:space="preserve">2 </t>
        </is>
      </c>
      <c r="P2038" t="inlineStr">
        <is>
          <t xml:space="preserve">248424  </t>
        </is>
      </c>
      <c r="Q2038" s="26" t="n">
        <v>4.09</v>
      </c>
      <c r="R2038" s="26">
        <f>Q2038*G2038</f>
        <v/>
      </c>
      <c r="S2038" s="26">
        <f>IFERROR(VLOOKUP(E2038*1,Tabla[#All],8,0),0)</f>
        <v/>
      </c>
      <c r="T2038" s="26">
        <f>S2038*G2038</f>
        <v/>
      </c>
      <c r="U2038" s="26">
        <f>R2038-T2038</f>
        <v/>
      </c>
      <c r="V2038" s="26">
        <f>U2038-L2038</f>
        <v/>
      </c>
    </row>
    <row r="2039">
      <c r="A2039" s="11" t="n">
        <v>46223</v>
      </c>
      <c r="B2039" s="1" t="n">
        <v>20047</v>
      </c>
      <c r="C2039" s="1" t="inlineStr">
        <is>
          <t>191</t>
        </is>
      </c>
      <c r="D2039" s="1" t="inlineStr">
        <is>
          <t>462707</t>
        </is>
      </c>
      <c r="E2039" s="1" t="inlineStr">
        <is>
          <t xml:space="preserve">28194770       </t>
        </is>
      </c>
      <c r="F2039" s="5" t="inlineStr">
        <is>
          <t>AUTOS DE METAL 3 TEAMSTERZ EN BLISTER</t>
        </is>
      </c>
      <c r="G2039" t="n">
        <v>1</v>
      </c>
      <c r="H2039" s="7" t="n">
        <v>6.9</v>
      </c>
      <c r="I2039" s="7" t="n">
        <v>0</v>
      </c>
      <c r="J2039" s="7" t="n">
        <v>0</v>
      </c>
      <c r="K2039" s="9" t="n">
        <v>0</v>
      </c>
      <c r="L2039" s="10" t="n">
        <v>4.1</v>
      </c>
      <c r="M2039" s="10" t="n">
        <v>1.43</v>
      </c>
      <c r="N2039" t="inlineStr">
        <is>
          <t>1</t>
        </is>
      </c>
      <c r="O2039" t="inlineStr">
        <is>
          <t xml:space="preserve">2 </t>
        </is>
      </c>
      <c r="P2039" t="inlineStr">
        <is>
          <t xml:space="preserve">248424  </t>
        </is>
      </c>
      <c r="Q2039" s="26" t="n">
        <v>4.09</v>
      </c>
      <c r="R2039" s="26">
        <f>Q2039*G2039</f>
        <v/>
      </c>
      <c r="S2039" s="26">
        <f>IFERROR(VLOOKUP(E2039*1,Tabla[#All],8,0),0)</f>
        <v/>
      </c>
      <c r="T2039" s="26">
        <f>S2039*G2039</f>
        <v/>
      </c>
      <c r="U2039" s="26">
        <f>R2039-T2039</f>
        <v/>
      </c>
      <c r="V2039" s="26">
        <f>U2039-L2039</f>
        <v/>
      </c>
    </row>
    <row r="2040">
      <c r="A2040" s="11" t="n">
        <v>46223</v>
      </c>
      <c r="B2040" s="1" t="n">
        <v>20048</v>
      </c>
      <c r="C2040" s="1" t="inlineStr">
        <is>
          <t>800</t>
        </is>
      </c>
      <c r="D2040" s="1" t="inlineStr">
        <is>
          <t xml:space="preserve">4516  </t>
        </is>
      </c>
      <c r="E2040" s="1" t="inlineStr">
        <is>
          <t xml:space="preserve">28194770       </t>
        </is>
      </c>
      <c r="F2040" s="5" t="inlineStr">
        <is>
          <t>AUTOS DE METAL 3 TEAMSTERZ EN BLISTER</t>
        </is>
      </c>
      <c r="G2040" t="n">
        <v>1</v>
      </c>
      <c r="H2040" s="7" t="n">
        <v>6.9</v>
      </c>
      <c r="I2040" s="7" t="n">
        <v>0</v>
      </c>
      <c r="J2040" s="7" t="n">
        <v>0</v>
      </c>
      <c r="K2040" s="9" t="n">
        <v>0</v>
      </c>
      <c r="L2040" s="10" t="n">
        <v>4.1</v>
      </c>
      <c r="M2040" s="10" t="n">
        <v>1.43</v>
      </c>
      <c r="N2040" t="inlineStr">
        <is>
          <t>1</t>
        </is>
      </c>
      <c r="O2040" t="inlineStr">
        <is>
          <t>16</t>
        </is>
      </c>
      <c r="P2040" t="inlineStr">
        <is>
          <t xml:space="preserve">0       </t>
        </is>
      </c>
      <c r="Q2040" s="26" t="n">
        <v>4.09</v>
      </c>
      <c r="R2040" s="26">
        <f>Q2040*G2040</f>
        <v/>
      </c>
      <c r="S2040" s="26">
        <f>IFERROR(VLOOKUP(E2040*1,Tabla[#All],8,0),0)</f>
        <v/>
      </c>
      <c r="T2040" s="26">
        <f>S2040*G2040</f>
        <v/>
      </c>
      <c r="U2040" s="26">
        <f>R2040-T2040</f>
        <v/>
      </c>
      <c r="V2040" s="26">
        <f>U2040-L2040</f>
        <v/>
      </c>
    </row>
    <row r="2041">
      <c r="A2041" s="11" t="n">
        <v>46223</v>
      </c>
      <c r="B2041" s="1" t="n">
        <v>20049</v>
      </c>
      <c r="C2041" s="1" t="inlineStr">
        <is>
          <t>521</t>
        </is>
      </c>
      <c r="D2041" s="1" t="inlineStr">
        <is>
          <t xml:space="preserve">2933  </t>
        </is>
      </c>
      <c r="E2041" s="1" t="inlineStr">
        <is>
          <t xml:space="preserve">28194769       </t>
        </is>
      </c>
      <c r="F2041" s="5" t="inlineStr">
        <is>
          <t>AUTOS DE METAL 3 TEAMSTERZ PACK DE 2</t>
        </is>
      </c>
      <c r="G2041" t="n">
        <v>1</v>
      </c>
      <c r="H2041" s="7" t="n">
        <v>13.8</v>
      </c>
      <c r="I2041" s="7" t="n">
        <v>0</v>
      </c>
      <c r="J2041" s="7" t="n">
        <v>0</v>
      </c>
      <c r="K2041" s="9" t="n">
        <v>0</v>
      </c>
      <c r="L2041" s="10" t="n">
        <v>8.18</v>
      </c>
      <c r="M2041" s="10" t="n">
        <v>1.43</v>
      </c>
      <c r="N2041" t="inlineStr">
        <is>
          <t>1</t>
        </is>
      </c>
      <c r="O2041" t="inlineStr">
        <is>
          <t>16</t>
        </is>
      </c>
      <c r="P2041" t="inlineStr">
        <is>
          <t xml:space="preserve">249774  </t>
        </is>
      </c>
      <c r="Q2041" s="26" t="n">
        <v>8.19</v>
      </c>
      <c r="R2041" s="26">
        <f>Q2041*G2041</f>
        <v/>
      </c>
      <c r="S2041" s="26">
        <f>IFERROR(VLOOKUP(E2041*1,Tabla[#All],8,0),0)</f>
        <v/>
      </c>
      <c r="T2041" s="26">
        <f>S2041*G2041</f>
        <v/>
      </c>
      <c r="U2041" s="26">
        <f>R2041-T2041</f>
        <v/>
      </c>
      <c r="V2041" s="26">
        <f>U2041-L2041</f>
        <v/>
      </c>
    </row>
    <row r="2042">
      <c r="A2042" s="11" t="n">
        <v>46223</v>
      </c>
      <c r="B2042" s="1" t="n">
        <v>20057</v>
      </c>
      <c r="C2042" s="1" t="inlineStr">
        <is>
          <t>032</t>
        </is>
      </c>
      <c r="D2042" s="1" t="inlineStr">
        <is>
          <t xml:space="preserve">2020  </t>
        </is>
      </c>
      <c r="E2042" s="1" t="inlineStr">
        <is>
          <t xml:space="preserve">34840550       </t>
        </is>
      </c>
      <c r="F2042" s="5" t="inlineStr">
        <is>
          <t>TEAMSTERZ M/MOVERZ TRANSPORTA GORILA</t>
        </is>
      </c>
      <c r="G2042" t="n">
        <v>1</v>
      </c>
      <c r="H2042" s="7" t="n">
        <v>129</v>
      </c>
      <c r="I2042" s="7" t="n">
        <v>0</v>
      </c>
      <c r="J2042" s="7" t="n">
        <v>0</v>
      </c>
      <c r="K2042" s="9" t="n">
        <v>0</v>
      </c>
      <c r="L2042" s="10" t="n">
        <v>76.52</v>
      </c>
      <c r="M2042" s="10" t="n">
        <v>1.43</v>
      </c>
      <c r="N2042" t="inlineStr">
        <is>
          <t>1</t>
        </is>
      </c>
      <c r="O2042" t="inlineStr">
        <is>
          <t xml:space="preserve">6 </t>
        </is>
      </c>
      <c r="P2042" t="inlineStr">
        <is>
          <t xml:space="preserve">203426  </t>
        </is>
      </c>
      <c r="Q2042" s="26" t="n">
        <v>76.53</v>
      </c>
      <c r="R2042" s="26">
        <f>Q2042*G2042</f>
        <v/>
      </c>
      <c r="S2042" s="26">
        <f>IFERROR(VLOOKUP(E2042*1,Tabla[#All],8,0),0)</f>
        <v/>
      </c>
      <c r="T2042" s="26">
        <f>S2042*G2042</f>
        <v/>
      </c>
      <c r="U2042" s="26">
        <f>R2042-T2042</f>
        <v/>
      </c>
      <c r="V2042" s="26">
        <f>U2042-L2042</f>
        <v/>
      </c>
    </row>
    <row r="2043">
      <c r="A2043" s="11" t="n">
        <v>46223</v>
      </c>
      <c r="B2043" s="1" t="n">
        <v>20057</v>
      </c>
      <c r="C2043" s="1" t="inlineStr">
        <is>
          <t>032</t>
        </is>
      </c>
      <c r="D2043" s="1" t="inlineStr">
        <is>
          <t xml:space="preserve">2020  </t>
        </is>
      </c>
      <c r="E2043" s="1" t="inlineStr">
        <is>
          <t xml:space="preserve">34840551       </t>
        </is>
      </c>
      <c r="F2043" s="5" t="inlineStr">
        <is>
          <t>TMZ HELI BOMBERO CON LUCES Y SONIDOS</t>
        </is>
      </c>
      <c r="G2043" t="n">
        <v>1</v>
      </c>
      <c r="H2043" s="7" t="n">
        <v>79.90000000000001</v>
      </c>
      <c r="I2043" s="7" t="n">
        <v>0</v>
      </c>
      <c r="J2043" s="7" t="n">
        <v>0</v>
      </c>
      <c r="K2043" s="9" t="n">
        <v>0</v>
      </c>
      <c r="L2043" s="10" t="n">
        <v>47.4</v>
      </c>
      <c r="M2043" s="10" t="n">
        <v>1.43</v>
      </c>
      <c r="N2043" t="inlineStr">
        <is>
          <t>1</t>
        </is>
      </c>
      <c r="O2043" t="inlineStr">
        <is>
          <t xml:space="preserve">6 </t>
        </is>
      </c>
      <c r="P2043" t="inlineStr">
        <is>
          <t xml:space="preserve">203426  </t>
        </is>
      </c>
      <c r="Q2043" s="26" t="n">
        <v>47.4</v>
      </c>
      <c r="R2043" s="26">
        <f>Q2043*G2043</f>
        <v/>
      </c>
      <c r="S2043" s="26">
        <f>IFERROR(VLOOKUP(E2043*1,Tabla[#All],8,0),0)</f>
        <v/>
      </c>
      <c r="T2043" s="26">
        <f>S2043*G2043</f>
        <v/>
      </c>
      <c r="U2043" s="26">
        <f>R2043-T2043</f>
        <v/>
      </c>
      <c r="V2043" s="26">
        <f>U2043-L2043</f>
        <v/>
      </c>
    </row>
    <row r="2044">
      <c r="A2044" s="11" t="n">
        <v>46223</v>
      </c>
      <c r="B2044" s="1" t="n">
        <v>20057</v>
      </c>
      <c r="C2044" s="1" t="inlineStr">
        <is>
          <t>032</t>
        </is>
      </c>
      <c r="D2044" s="1" t="inlineStr">
        <is>
          <t xml:space="preserve">3607  </t>
        </is>
      </c>
      <c r="E2044" s="1" t="inlineStr">
        <is>
          <t xml:space="preserve">34840550       </t>
        </is>
      </c>
      <c r="F2044" s="5" t="inlineStr">
        <is>
          <t>TEAMSTERZ M/MOVERZ TRANSPORTA GORILA</t>
        </is>
      </c>
      <c r="G2044" t="n">
        <v>-1</v>
      </c>
      <c r="H2044" s="7" t="n">
        <v>-129</v>
      </c>
      <c r="I2044" s="7" t="n">
        <v>0</v>
      </c>
      <c r="J2044" s="7" t="n">
        <v>0</v>
      </c>
      <c r="K2044" s="9" t="n">
        <v>0</v>
      </c>
      <c r="L2044" s="10" t="n">
        <v>-76.52</v>
      </c>
      <c r="M2044" s="10" t="n">
        <v>0</v>
      </c>
      <c r="N2044" t="inlineStr">
        <is>
          <t>3</t>
        </is>
      </c>
      <c r="O2044" t="inlineStr">
        <is>
          <t>26</t>
        </is>
      </c>
      <c r="P2044" t="inlineStr">
        <is>
          <t xml:space="preserve">250464  </t>
        </is>
      </c>
      <c r="Q2044" s="26" t="n">
        <v>76.53</v>
      </c>
      <c r="R2044" s="26">
        <f>Q2044*G2044</f>
        <v/>
      </c>
      <c r="S2044" s="26">
        <f>IFERROR(VLOOKUP(E2044*1,Tabla[#All],8,0),0)</f>
        <v/>
      </c>
      <c r="T2044" s="26">
        <f>S2044*G2044</f>
        <v/>
      </c>
      <c r="U2044" s="26">
        <f>R2044-T2044</f>
        <v/>
      </c>
      <c r="V2044" s="26">
        <f>U2044-L2044</f>
        <v/>
      </c>
    </row>
    <row r="2045">
      <c r="A2045" s="11" t="n">
        <v>46223</v>
      </c>
      <c r="B2045" s="1" t="n">
        <v>20057</v>
      </c>
      <c r="C2045" s="1" t="inlineStr">
        <is>
          <t>032</t>
        </is>
      </c>
      <c r="D2045" s="1" t="inlineStr">
        <is>
          <t xml:space="preserve">3607  </t>
        </is>
      </c>
      <c r="E2045" s="1" t="inlineStr">
        <is>
          <t xml:space="preserve">34840551       </t>
        </is>
      </c>
      <c r="F2045" s="5" t="inlineStr">
        <is>
          <t>TMZ HELI BOMBERO CON LUCES Y SONIDOS</t>
        </is>
      </c>
      <c r="G2045" t="n">
        <v>-1</v>
      </c>
      <c r="H2045" s="7" t="n">
        <v>-79.90000000000001</v>
      </c>
      <c r="I2045" s="7" t="n">
        <v>0</v>
      </c>
      <c r="J2045" s="7" t="n">
        <v>0</v>
      </c>
      <c r="K2045" s="9" t="n">
        <v>0</v>
      </c>
      <c r="L2045" s="10" t="n">
        <v>-47.4</v>
      </c>
      <c r="M2045" s="10" t="n">
        <v>0</v>
      </c>
      <c r="N2045" t="inlineStr">
        <is>
          <t>3</t>
        </is>
      </c>
      <c r="O2045" t="inlineStr">
        <is>
          <t>26</t>
        </is>
      </c>
      <c r="P2045" t="inlineStr">
        <is>
          <t xml:space="preserve">250464  </t>
        </is>
      </c>
      <c r="Q2045" s="26" t="n">
        <v>47.4</v>
      </c>
      <c r="R2045" s="26">
        <f>Q2045*G2045</f>
        <v/>
      </c>
      <c r="S2045" s="26">
        <f>IFERROR(VLOOKUP(E2045*1,Tabla[#All],8,0),0)</f>
        <v/>
      </c>
      <c r="T2045" s="26">
        <f>S2045*G2045</f>
        <v/>
      </c>
      <c r="U2045" s="26">
        <f>R2045-T2045</f>
        <v/>
      </c>
      <c r="V2045" s="26">
        <f>U2045-L2045</f>
        <v/>
      </c>
    </row>
    <row r="2046">
      <c r="A2046" s="11" t="n">
        <v>46223</v>
      </c>
      <c r="B2046" s="1" t="n">
        <v>20057</v>
      </c>
      <c r="C2046" s="1" t="inlineStr">
        <is>
          <t>032</t>
        </is>
      </c>
      <c r="D2046" s="1" t="inlineStr">
        <is>
          <t xml:space="preserve">75367 </t>
        </is>
      </c>
      <c r="E2046" s="1" t="inlineStr">
        <is>
          <t xml:space="preserve">28194781       </t>
        </is>
      </c>
      <c r="F2046" s="5" t="inlineStr">
        <is>
          <t>TROMPO BATALLA INFINITY NADO SERIE V CLASICA SURTI</t>
        </is>
      </c>
      <c r="G2046" t="n">
        <v>1</v>
      </c>
      <c r="H2046" s="7" t="n">
        <v>39.9</v>
      </c>
      <c r="I2046" s="7" t="n">
        <v>0</v>
      </c>
      <c r="J2046" s="7" t="n">
        <v>0</v>
      </c>
      <c r="K2046" s="9" t="n">
        <v>0</v>
      </c>
      <c r="L2046" s="10" t="n">
        <v>23.67</v>
      </c>
      <c r="M2046" s="10" t="n">
        <v>1.43</v>
      </c>
      <c r="N2046" t="inlineStr">
        <is>
          <t>1</t>
        </is>
      </c>
      <c r="O2046" t="inlineStr">
        <is>
          <t>16</t>
        </is>
      </c>
      <c r="P2046" t="inlineStr">
        <is>
          <t xml:space="preserve">203426  </t>
        </is>
      </c>
      <c r="Q2046" s="26" t="n">
        <v>35.53</v>
      </c>
      <c r="R2046" s="26">
        <f>Q2046*G2046</f>
        <v/>
      </c>
      <c r="S2046" s="26">
        <f>IFERROR(VLOOKUP(E2046*1,Tabla[#All],8,0),0)</f>
        <v/>
      </c>
      <c r="T2046" s="26">
        <f>S2046*G2046</f>
        <v/>
      </c>
      <c r="U2046" s="26">
        <f>R2046-T2046</f>
        <v/>
      </c>
      <c r="V2046" s="26">
        <f>U2046-L2046</f>
        <v/>
      </c>
    </row>
    <row r="2047">
      <c r="A2047" s="11" t="n">
        <v>46223</v>
      </c>
      <c r="B2047" s="1" t="n">
        <v>20057</v>
      </c>
      <c r="C2047" s="1" t="inlineStr">
        <is>
          <t>032</t>
        </is>
      </c>
      <c r="D2047" s="1" t="inlineStr">
        <is>
          <t xml:space="preserve">75417 </t>
        </is>
      </c>
      <c r="E2047" s="1" t="inlineStr">
        <is>
          <t xml:space="preserve">34840550       </t>
        </is>
      </c>
      <c r="F2047" s="5" t="inlineStr">
        <is>
          <t>TEAMSTERZ M/MOVERZ TRANSPORTA GORILA</t>
        </is>
      </c>
      <c r="G2047" t="n">
        <v>1</v>
      </c>
      <c r="H2047" s="7" t="n">
        <v>129</v>
      </c>
      <c r="I2047" s="7" t="n">
        <v>0</v>
      </c>
      <c r="J2047" s="7" t="n">
        <v>0</v>
      </c>
      <c r="K2047" s="9" t="n">
        <v>0</v>
      </c>
      <c r="L2047" s="10" t="n">
        <v>76.52</v>
      </c>
      <c r="M2047" s="10" t="n">
        <v>1.43</v>
      </c>
      <c r="N2047" t="inlineStr">
        <is>
          <t>1</t>
        </is>
      </c>
      <c r="O2047" t="inlineStr">
        <is>
          <t>16</t>
        </is>
      </c>
      <c r="P2047" t="inlineStr">
        <is>
          <t xml:space="preserve">203426  </t>
        </is>
      </c>
      <c r="Q2047" s="26" t="n">
        <v>76.53</v>
      </c>
      <c r="R2047" s="26">
        <f>Q2047*G2047</f>
        <v/>
      </c>
      <c r="S2047" s="26">
        <f>IFERROR(VLOOKUP(E2047*1,Tabla[#All],8,0),0)</f>
        <v/>
      </c>
      <c r="T2047" s="26">
        <f>S2047*G2047</f>
        <v/>
      </c>
      <c r="U2047" s="26">
        <f>R2047-T2047</f>
        <v/>
      </c>
      <c r="V2047" s="26">
        <f>U2047-L2047</f>
        <v/>
      </c>
    </row>
    <row r="2048">
      <c r="A2048" s="11" t="n">
        <v>46223</v>
      </c>
      <c r="B2048" s="1" t="n">
        <v>20057</v>
      </c>
      <c r="C2048" s="1" t="inlineStr">
        <is>
          <t>032</t>
        </is>
      </c>
      <c r="D2048" s="1" t="inlineStr">
        <is>
          <t xml:space="preserve">75417 </t>
        </is>
      </c>
      <c r="E2048" s="1" t="inlineStr">
        <is>
          <t xml:space="preserve">34840551       </t>
        </is>
      </c>
      <c r="F2048" s="5" t="inlineStr">
        <is>
          <t>TMZ HELI BOMBERO CON LUCES Y SONIDOS</t>
        </is>
      </c>
      <c r="G2048" t="n">
        <v>1</v>
      </c>
      <c r="H2048" s="7" t="n">
        <v>79.90000000000001</v>
      </c>
      <c r="I2048" s="7" t="n">
        <v>0</v>
      </c>
      <c r="J2048" s="7" t="n">
        <v>0</v>
      </c>
      <c r="K2048" s="9" t="n">
        <v>0</v>
      </c>
      <c r="L2048" s="10" t="n">
        <v>47.4</v>
      </c>
      <c r="M2048" s="10" t="n">
        <v>1.43</v>
      </c>
      <c r="N2048" t="inlineStr">
        <is>
          <t>1</t>
        </is>
      </c>
      <c r="O2048" t="inlineStr">
        <is>
          <t>16</t>
        </is>
      </c>
      <c r="P2048" t="inlineStr">
        <is>
          <t xml:space="preserve">203426  </t>
        </is>
      </c>
      <c r="Q2048" s="26" t="n">
        <v>47.4</v>
      </c>
      <c r="R2048" s="26">
        <f>Q2048*G2048</f>
        <v/>
      </c>
      <c r="S2048" s="26">
        <f>IFERROR(VLOOKUP(E2048*1,Tabla[#All],8,0),0)</f>
        <v/>
      </c>
      <c r="T2048" s="26">
        <f>S2048*G2048</f>
        <v/>
      </c>
      <c r="U2048" s="26">
        <f>R2048-T2048</f>
        <v/>
      </c>
      <c r="V2048" s="26">
        <f>U2048-L2048</f>
        <v/>
      </c>
    </row>
    <row r="2049">
      <c r="A2049" s="11" t="n">
        <v>46223</v>
      </c>
      <c r="B2049" s="1" t="n">
        <v>20057</v>
      </c>
      <c r="C2049" s="1" t="inlineStr">
        <is>
          <t>862</t>
        </is>
      </c>
      <c r="D2049" s="1" t="inlineStr">
        <is>
          <t xml:space="preserve">8088  </t>
        </is>
      </c>
      <c r="E2049" s="1" t="inlineStr">
        <is>
          <t xml:space="preserve">28194770       </t>
        </is>
      </c>
      <c r="F2049" s="5" t="inlineStr">
        <is>
          <t>AUTOS DE METAL 3 TEAMSTERZ EN BLISTER</t>
        </is>
      </c>
      <c r="G2049" t="n">
        <v>1</v>
      </c>
      <c r="H2049" s="7" t="n">
        <v>6.9</v>
      </c>
      <c r="I2049" s="7" t="n">
        <v>0</v>
      </c>
      <c r="J2049" s="7" t="n">
        <v>0</v>
      </c>
      <c r="K2049" s="9" t="n">
        <v>0</v>
      </c>
      <c r="L2049" s="10" t="n">
        <v>4.1</v>
      </c>
      <c r="M2049" s="10" t="n">
        <v>1.43</v>
      </c>
      <c r="N2049" t="inlineStr">
        <is>
          <t>1</t>
        </is>
      </c>
      <c r="O2049" t="inlineStr">
        <is>
          <t>16</t>
        </is>
      </c>
      <c r="P2049" t="inlineStr">
        <is>
          <t xml:space="preserve">0       </t>
        </is>
      </c>
      <c r="Q2049" s="26" t="n">
        <v>4.09</v>
      </c>
      <c r="R2049" s="26">
        <f>Q2049*G2049</f>
        <v/>
      </c>
      <c r="S2049" s="26">
        <f>IFERROR(VLOOKUP(E2049*1,Tabla[#All],8,0),0)</f>
        <v/>
      </c>
      <c r="T2049" s="26">
        <f>S2049*G2049</f>
        <v/>
      </c>
      <c r="U2049" s="26">
        <f>R2049-T2049</f>
        <v/>
      </c>
      <c r="V2049" s="26">
        <f>U2049-L2049</f>
        <v/>
      </c>
    </row>
    <row r="2050">
      <c r="A2050" s="11" t="n">
        <v>46223</v>
      </c>
      <c r="B2050" s="1" t="n">
        <v>20057</v>
      </c>
      <c r="C2050" s="1" t="inlineStr">
        <is>
          <t>862</t>
        </is>
      </c>
      <c r="D2050" s="1" t="inlineStr">
        <is>
          <t xml:space="preserve">8093  </t>
        </is>
      </c>
      <c r="E2050" s="1" t="inlineStr">
        <is>
          <t xml:space="preserve">31959956       </t>
        </is>
      </c>
      <c r="F2050" s="5" t="inlineStr">
        <is>
          <t>TEAMSTERZ CAMION TRANSPORTA ANIMALES SURTIDO</t>
        </is>
      </c>
      <c r="G2050" t="n">
        <v>1</v>
      </c>
      <c r="H2050" s="7" t="n">
        <v>17.9</v>
      </c>
      <c r="I2050" s="7" t="n">
        <v>0</v>
      </c>
      <c r="J2050" s="7" t="n">
        <v>0</v>
      </c>
      <c r="K2050" s="9" t="n">
        <v>0</v>
      </c>
      <c r="L2050" s="10" t="n">
        <v>10.62</v>
      </c>
      <c r="M2050" s="10" t="n">
        <v>1.43</v>
      </c>
      <c r="N2050" t="inlineStr">
        <is>
          <t>1</t>
        </is>
      </c>
      <c r="O2050" t="inlineStr">
        <is>
          <t>16</t>
        </is>
      </c>
      <c r="P2050" t="inlineStr">
        <is>
          <t xml:space="preserve">0       </t>
        </is>
      </c>
      <c r="Q2050" s="26" t="n">
        <v>10.62</v>
      </c>
      <c r="R2050" s="26">
        <f>Q2050*G2050</f>
        <v/>
      </c>
      <c r="S2050" s="26">
        <f>IFERROR(VLOOKUP(E2050*1,Tabla[#All],8,0),0)</f>
        <v/>
      </c>
      <c r="T2050" s="26">
        <f>S2050*G2050</f>
        <v/>
      </c>
      <c r="U2050" s="26">
        <f>R2050-T2050</f>
        <v/>
      </c>
      <c r="V2050" s="26">
        <f>U2050-L2050</f>
        <v/>
      </c>
    </row>
    <row r="2051">
      <c r="A2051" s="11" t="n">
        <v>46223</v>
      </c>
      <c r="B2051" s="1" t="n">
        <v>20058</v>
      </c>
      <c r="C2051" s="1" t="inlineStr">
        <is>
          <t>016</t>
        </is>
      </c>
      <c r="D2051" s="1" t="inlineStr">
        <is>
          <t>168321</t>
        </is>
      </c>
      <c r="E2051" s="1" t="inlineStr">
        <is>
          <t xml:space="preserve">28194769       </t>
        </is>
      </c>
      <c r="F2051" s="5" t="inlineStr">
        <is>
          <t>AUTOS DE METAL 3 TEAMSTERZ PACK DE 2</t>
        </is>
      </c>
      <c r="G2051" t="n">
        <v>1</v>
      </c>
      <c r="H2051" s="7" t="n">
        <v>13.8</v>
      </c>
      <c r="I2051" s="7" t="n">
        <v>0</v>
      </c>
      <c r="J2051" s="7" t="n">
        <v>0</v>
      </c>
      <c r="K2051" s="9" t="n">
        <v>0</v>
      </c>
      <c r="L2051" s="10" t="n">
        <v>8.18</v>
      </c>
      <c r="M2051" s="10" t="n">
        <v>1.43</v>
      </c>
      <c r="N2051" t="inlineStr">
        <is>
          <t>1</t>
        </is>
      </c>
      <c r="O2051" t="inlineStr">
        <is>
          <t xml:space="preserve">2 </t>
        </is>
      </c>
      <c r="P2051" t="inlineStr">
        <is>
          <t xml:space="preserve">250714  </t>
        </is>
      </c>
      <c r="Q2051" s="26" t="n">
        <v>8.19</v>
      </c>
      <c r="R2051" s="26">
        <f>Q2051*G2051</f>
        <v/>
      </c>
      <c r="S2051" s="26">
        <f>IFERROR(VLOOKUP(E2051*1,Tabla[#All],8,0),0)</f>
        <v/>
      </c>
      <c r="T2051" s="26">
        <f>S2051*G2051</f>
        <v/>
      </c>
      <c r="U2051" s="26">
        <f>R2051-T2051</f>
        <v/>
      </c>
      <c r="V2051" s="26">
        <f>U2051-L2051</f>
        <v/>
      </c>
    </row>
    <row r="2052">
      <c r="A2052" s="11" t="n">
        <v>46223</v>
      </c>
      <c r="B2052" s="1" t="n">
        <v>20058</v>
      </c>
      <c r="C2052" s="1" t="inlineStr">
        <is>
          <t>038</t>
        </is>
      </c>
      <c r="D2052" s="1" t="inlineStr">
        <is>
          <t>210113</t>
        </is>
      </c>
      <c r="E2052" s="1" t="inlineStr">
        <is>
          <t xml:space="preserve">28194769       </t>
        </is>
      </c>
      <c r="F2052" s="5" t="inlineStr">
        <is>
          <t>AUTOS DE METAL 3 TEAMSTERZ PACK DE 2</t>
        </is>
      </c>
      <c r="G2052" t="n">
        <v>1</v>
      </c>
      <c r="H2052" s="7" t="n">
        <v>13.8</v>
      </c>
      <c r="I2052" s="7" t="n">
        <v>0</v>
      </c>
      <c r="J2052" s="7" t="n">
        <v>0</v>
      </c>
      <c r="K2052" s="9" t="n">
        <v>0</v>
      </c>
      <c r="L2052" s="10" t="n">
        <v>8.18</v>
      </c>
      <c r="M2052" s="10" t="n">
        <v>1.43</v>
      </c>
      <c r="N2052" t="inlineStr">
        <is>
          <t>1</t>
        </is>
      </c>
      <c r="O2052" t="inlineStr">
        <is>
          <t xml:space="preserve">3 </t>
        </is>
      </c>
      <c r="P2052" t="inlineStr">
        <is>
          <t xml:space="preserve">94557   </t>
        </is>
      </c>
      <c r="Q2052" s="26" t="n">
        <v>8.19</v>
      </c>
      <c r="R2052" s="26">
        <f>Q2052*G2052</f>
        <v/>
      </c>
      <c r="S2052" s="26">
        <f>IFERROR(VLOOKUP(E2052*1,Tabla[#All],8,0),0)</f>
        <v/>
      </c>
      <c r="T2052" s="26">
        <f>S2052*G2052</f>
        <v/>
      </c>
      <c r="U2052" s="26">
        <f>R2052-T2052</f>
        <v/>
      </c>
      <c r="V2052" s="26">
        <f>U2052-L2052</f>
        <v/>
      </c>
    </row>
    <row r="2053">
      <c r="A2053" s="11" t="n">
        <v>46223</v>
      </c>
      <c r="B2053" s="1" t="n">
        <v>20058</v>
      </c>
      <c r="C2053" s="1" t="inlineStr">
        <is>
          <t>197</t>
        </is>
      </c>
      <c r="D2053" s="1" t="inlineStr">
        <is>
          <t>170338</t>
        </is>
      </c>
      <c r="E2053" s="1" t="inlineStr">
        <is>
          <t xml:space="preserve">28194769       </t>
        </is>
      </c>
      <c r="F2053" s="5" t="inlineStr">
        <is>
          <t>AUTOS DE METAL 3 TEAMSTERZ PACK DE 2</t>
        </is>
      </c>
      <c r="G2053" t="n">
        <v>1</v>
      </c>
      <c r="H2053" s="7" t="n">
        <v>13.8</v>
      </c>
      <c r="I2053" s="7" t="n">
        <v>0</v>
      </c>
      <c r="J2053" s="7" t="n">
        <v>0</v>
      </c>
      <c r="K2053" s="9" t="n">
        <v>0</v>
      </c>
      <c r="L2053" s="10" t="n">
        <v>8.18</v>
      </c>
      <c r="M2053" s="10" t="n">
        <v>1.43</v>
      </c>
      <c r="N2053" t="inlineStr">
        <is>
          <t>1</t>
        </is>
      </c>
      <c r="O2053" t="inlineStr">
        <is>
          <t>16</t>
        </is>
      </c>
      <c r="P2053" t="inlineStr">
        <is>
          <t xml:space="preserve">239096  </t>
        </is>
      </c>
      <c r="Q2053" s="26" t="n">
        <v>8.19</v>
      </c>
      <c r="R2053" s="26">
        <f>Q2053*G2053</f>
        <v/>
      </c>
      <c r="S2053" s="26">
        <f>IFERROR(VLOOKUP(E2053*1,Tabla[#All],8,0),0)</f>
        <v/>
      </c>
      <c r="T2053" s="26">
        <f>S2053*G2053</f>
        <v/>
      </c>
      <c r="U2053" s="26">
        <f>R2053-T2053</f>
        <v/>
      </c>
      <c r="V2053" s="26">
        <f>U2053-L2053</f>
        <v/>
      </c>
    </row>
    <row r="2054">
      <c r="A2054" s="11" t="n">
        <v>46223</v>
      </c>
      <c r="B2054" s="1" t="n">
        <v>20062</v>
      </c>
      <c r="C2054" s="1" t="inlineStr">
        <is>
          <t>014</t>
        </is>
      </c>
      <c r="D2054" s="1" t="inlineStr">
        <is>
          <t>228608</t>
        </is>
      </c>
      <c r="E2054" s="1" t="inlineStr">
        <is>
          <t xml:space="preserve">34840539       </t>
        </is>
      </c>
      <c r="F2054" s="5" t="inlineStr">
        <is>
          <t>MUNECA STEFFI LOVE ABRIGO FLUFFY</t>
        </is>
      </c>
      <c r="G2054" t="n">
        <v>1</v>
      </c>
      <c r="H2054" s="7" t="n">
        <v>35.94</v>
      </c>
      <c r="I2054" s="7" t="n">
        <v>0</v>
      </c>
      <c r="J2054" s="7" t="n">
        <v>0</v>
      </c>
      <c r="K2054" s="9" t="n">
        <v>0</v>
      </c>
      <c r="L2054" s="10" t="n">
        <v>21.32</v>
      </c>
      <c r="M2054" s="10" t="n">
        <v>1.43</v>
      </c>
      <c r="N2054" t="inlineStr">
        <is>
          <t>1</t>
        </is>
      </c>
      <c r="O2054" t="inlineStr">
        <is>
          <t>16</t>
        </is>
      </c>
      <c r="P2054" t="inlineStr">
        <is>
          <t xml:space="preserve">248790  </t>
        </is>
      </c>
      <c r="Q2054" s="26" t="n">
        <v>35.53</v>
      </c>
      <c r="R2054" s="26">
        <f>Q2054*G2054</f>
        <v/>
      </c>
      <c r="S2054" s="26">
        <f>IFERROR(VLOOKUP(E2054*1,Tabla[#All],8,0),0)</f>
        <v/>
      </c>
      <c r="T2054" s="26">
        <f>S2054*G2054</f>
        <v/>
      </c>
      <c r="U2054" s="26">
        <f>R2054-T2054</f>
        <v/>
      </c>
      <c r="V2054" s="26">
        <f>U2054-L2054</f>
        <v/>
      </c>
    </row>
    <row r="2055">
      <c r="A2055" s="11" t="n">
        <v>46223</v>
      </c>
      <c r="B2055" s="1" t="n">
        <v>20062</v>
      </c>
      <c r="C2055" s="1" t="inlineStr">
        <is>
          <t>038</t>
        </is>
      </c>
      <c r="D2055" s="1" t="inlineStr">
        <is>
          <t>173931</t>
        </is>
      </c>
      <c r="E2055" s="1" t="inlineStr">
        <is>
          <t xml:space="preserve">31754675       </t>
        </is>
      </c>
      <c r="F2055" s="5" t="inlineStr">
        <is>
          <t>INFINITY NADO SERIE 6 STARTER PACK - 4 MODELOS</t>
        </is>
      </c>
      <c r="G2055" t="n">
        <v>1</v>
      </c>
      <c r="H2055" s="7" t="n">
        <v>49.9</v>
      </c>
      <c r="I2055" s="7" t="n">
        <v>0</v>
      </c>
      <c r="J2055" s="7" t="n">
        <v>0</v>
      </c>
      <c r="K2055" s="9" t="n">
        <v>0</v>
      </c>
      <c r="L2055" s="10" t="n">
        <v>29.6</v>
      </c>
      <c r="M2055" s="10" t="n">
        <v>1.43</v>
      </c>
      <c r="N2055" t="inlineStr">
        <is>
          <t>1</t>
        </is>
      </c>
      <c r="O2055" t="inlineStr">
        <is>
          <t xml:space="preserve">3 </t>
        </is>
      </c>
      <c r="P2055" t="inlineStr">
        <is>
          <t xml:space="preserve">243976  </t>
        </is>
      </c>
      <c r="Q2055" s="26" t="n">
        <v>41.47</v>
      </c>
      <c r="R2055" s="26">
        <f>Q2055*G2055</f>
        <v/>
      </c>
      <c r="S2055" s="26">
        <f>IFERROR(VLOOKUP(E2055*1,Tabla[#All],8,0),0)</f>
        <v/>
      </c>
      <c r="T2055" s="26">
        <f>S2055*G2055</f>
        <v/>
      </c>
      <c r="U2055" s="26">
        <f>R2055-T2055</f>
        <v/>
      </c>
      <c r="V2055" s="26">
        <f>U2055-L2055</f>
        <v/>
      </c>
    </row>
    <row r="2056">
      <c r="A2056" s="11" t="n">
        <v>46223</v>
      </c>
      <c r="B2056" s="1" t="n">
        <v>20062</v>
      </c>
      <c r="C2056" s="1" t="inlineStr">
        <is>
          <t>053</t>
        </is>
      </c>
      <c r="D2056" s="1" t="inlineStr">
        <is>
          <t>243524</t>
        </is>
      </c>
      <c r="E2056" s="1" t="inlineStr">
        <is>
          <t xml:space="preserve">34840556       </t>
        </is>
      </c>
      <c r="F2056" s="5" t="inlineStr">
        <is>
          <t>TMZ BEAST MACH. TRANSPORT DINO +ACCS</t>
        </is>
      </c>
      <c r="G2056" t="n">
        <v>1</v>
      </c>
      <c r="H2056" s="7" t="n">
        <v>59.9</v>
      </c>
      <c r="I2056" s="7" t="n">
        <v>0</v>
      </c>
      <c r="J2056" s="7" t="n">
        <v>0</v>
      </c>
      <c r="K2056" s="9" t="n">
        <v>0</v>
      </c>
      <c r="L2056" s="10" t="n">
        <v>35.53</v>
      </c>
      <c r="M2056" s="10" t="n">
        <v>1.43</v>
      </c>
      <c r="N2056" t="inlineStr">
        <is>
          <t>1</t>
        </is>
      </c>
      <c r="O2056" t="inlineStr">
        <is>
          <t xml:space="preserve">3 </t>
        </is>
      </c>
      <c r="P2056" t="inlineStr">
        <is>
          <t xml:space="preserve">43458   </t>
        </is>
      </c>
      <c r="Q2056" s="26" t="n">
        <v>47.4</v>
      </c>
      <c r="R2056" s="26">
        <f>Q2056*G2056</f>
        <v/>
      </c>
      <c r="S2056" s="26">
        <f>IFERROR(VLOOKUP(E2056*1,Tabla[#All],8,0),0)</f>
        <v/>
      </c>
      <c r="T2056" s="26">
        <f>S2056*G2056</f>
        <v/>
      </c>
      <c r="U2056" s="26">
        <f>R2056-T2056</f>
        <v/>
      </c>
      <c r="V2056" s="26">
        <f>U2056-L2056</f>
        <v/>
      </c>
    </row>
    <row r="2057">
      <c r="A2057" s="11" t="n">
        <v>46223</v>
      </c>
      <c r="B2057" s="1" t="n">
        <v>20066</v>
      </c>
      <c r="C2057" s="1" t="inlineStr">
        <is>
          <t>011</t>
        </is>
      </c>
      <c r="D2057" s="1" t="inlineStr">
        <is>
          <t>112422</t>
        </is>
      </c>
      <c r="E2057" s="1" t="inlineStr">
        <is>
          <t xml:space="preserve">28194770       </t>
        </is>
      </c>
      <c r="F2057" s="5" t="inlineStr">
        <is>
          <t>AUTOS DE METAL 3 TEAMSTERZ EN BLISTER</t>
        </is>
      </c>
      <c r="G2057" t="n">
        <v>1</v>
      </c>
      <c r="H2057" s="7" t="n">
        <v>6.9</v>
      </c>
      <c r="I2057" s="7" t="n">
        <v>0</v>
      </c>
      <c r="J2057" s="7" t="n">
        <v>0</v>
      </c>
      <c r="K2057" s="9" t="n">
        <v>0</v>
      </c>
      <c r="L2057" s="10" t="n">
        <v>4.1</v>
      </c>
      <c r="M2057" s="10" t="n">
        <v>1.43</v>
      </c>
      <c r="N2057" t="inlineStr">
        <is>
          <t>1</t>
        </is>
      </c>
      <c r="O2057" t="inlineStr">
        <is>
          <t xml:space="preserve">6 </t>
        </is>
      </c>
      <c r="P2057" t="inlineStr">
        <is>
          <t xml:space="preserve">52700   </t>
        </is>
      </c>
      <c r="Q2057" s="26" t="n">
        <v>4.09</v>
      </c>
      <c r="R2057" s="26">
        <f>Q2057*G2057</f>
        <v/>
      </c>
      <c r="S2057" s="26">
        <f>IFERROR(VLOOKUP(E2057*1,Tabla[#All],8,0),0)</f>
        <v/>
      </c>
      <c r="T2057" s="26">
        <f>S2057*G2057</f>
        <v/>
      </c>
      <c r="U2057" s="26">
        <f>R2057-T2057</f>
        <v/>
      </c>
      <c r="V2057" s="26">
        <f>U2057-L2057</f>
        <v/>
      </c>
    </row>
    <row r="2058">
      <c r="A2058" s="11" t="n">
        <v>46223</v>
      </c>
      <c r="B2058" s="1" t="n">
        <v>20066</v>
      </c>
      <c r="C2058" s="1" t="inlineStr">
        <is>
          <t>803</t>
        </is>
      </c>
      <c r="D2058" s="1" t="inlineStr">
        <is>
          <t xml:space="preserve">6842  </t>
        </is>
      </c>
      <c r="E2058" s="1" t="inlineStr">
        <is>
          <t xml:space="preserve">28194770       </t>
        </is>
      </c>
      <c r="F2058" s="5" t="inlineStr">
        <is>
          <t>AUTOS DE METAL 3 TEAMSTERZ EN BLISTER</t>
        </is>
      </c>
      <c r="G2058" t="n">
        <v>2</v>
      </c>
      <c r="H2058" s="7" t="n">
        <v>13.8</v>
      </c>
      <c r="I2058" s="7" t="n">
        <v>0</v>
      </c>
      <c r="J2058" s="7" t="n">
        <v>0</v>
      </c>
      <c r="K2058" s="9" t="n">
        <v>0</v>
      </c>
      <c r="L2058" s="10" t="n">
        <v>8.18</v>
      </c>
      <c r="M2058" s="10" t="n">
        <v>1.43</v>
      </c>
      <c r="N2058" t="inlineStr">
        <is>
          <t>1</t>
        </is>
      </c>
      <c r="O2058" t="inlineStr">
        <is>
          <t>16</t>
        </is>
      </c>
      <c r="P2058" t="inlineStr">
        <is>
          <t xml:space="preserve">91152   </t>
        </is>
      </c>
      <c r="Q2058" s="26" t="n">
        <v>4.09</v>
      </c>
      <c r="R2058" s="26">
        <f>Q2058*G2058</f>
        <v/>
      </c>
      <c r="S2058" s="26">
        <f>IFERROR(VLOOKUP(E2058*1,Tabla[#All],8,0),0)</f>
        <v/>
      </c>
      <c r="T2058" s="26">
        <f>S2058*G2058</f>
        <v/>
      </c>
      <c r="U2058" s="26">
        <f>R2058-T2058</f>
        <v/>
      </c>
      <c r="V2058" s="26">
        <f>U2058-L2058</f>
        <v/>
      </c>
    </row>
    <row r="2059">
      <c r="A2059" s="11" t="n">
        <v>46223</v>
      </c>
      <c r="B2059" s="1" t="n">
        <v>20066</v>
      </c>
      <c r="C2059" s="1" t="inlineStr">
        <is>
          <t>831</t>
        </is>
      </c>
      <c r="D2059" s="1" t="inlineStr">
        <is>
          <t xml:space="preserve">7119  </t>
        </is>
      </c>
      <c r="E2059" s="1" t="inlineStr">
        <is>
          <t xml:space="preserve">28194769       </t>
        </is>
      </c>
      <c r="F2059" s="5" t="inlineStr">
        <is>
          <t>AUTOS DE METAL 3 TEAMSTERZ PACK DE 2</t>
        </is>
      </c>
      <c r="G2059" t="n">
        <v>1</v>
      </c>
      <c r="H2059" s="7" t="n">
        <v>13.8</v>
      </c>
      <c r="I2059" s="7" t="n">
        <v>0</v>
      </c>
      <c r="J2059" s="7" t="n">
        <v>0</v>
      </c>
      <c r="K2059" s="9" t="n">
        <v>0</v>
      </c>
      <c r="L2059" s="10" t="n">
        <v>8.18</v>
      </c>
      <c r="M2059" s="10" t="n">
        <v>1.43</v>
      </c>
      <c r="N2059" t="inlineStr">
        <is>
          <t>1</t>
        </is>
      </c>
      <c r="O2059" t="inlineStr">
        <is>
          <t>16</t>
        </is>
      </c>
      <c r="P2059" t="inlineStr">
        <is>
          <t xml:space="preserve">234784  </t>
        </is>
      </c>
      <c r="Q2059" s="26" t="n">
        <v>8.19</v>
      </c>
      <c r="R2059" s="26">
        <f>Q2059*G2059</f>
        <v/>
      </c>
      <c r="S2059" s="26">
        <f>IFERROR(VLOOKUP(E2059*1,Tabla[#All],8,0),0)</f>
        <v/>
      </c>
      <c r="T2059" s="26">
        <f>S2059*G2059</f>
        <v/>
      </c>
      <c r="U2059" s="26">
        <f>R2059-T2059</f>
        <v/>
      </c>
      <c r="V2059" s="26">
        <f>U2059-L2059</f>
        <v/>
      </c>
    </row>
    <row r="2060">
      <c r="A2060" s="11" t="n">
        <v>46223</v>
      </c>
      <c r="B2060" s="1" t="n">
        <v>20069</v>
      </c>
      <c r="C2060" s="1" t="inlineStr">
        <is>
          <t>501</t>
        </is>
      </c>
      <c r="D2060" s="1" t="inlineStr">
        <is>
          <t xml:space="preserve">4540  </t>
        </is>
      </c>
      <c r="E2060" s="1" t="inlineStr">
        <is>
          <t xml:space="preserve">29625603       </t>
        </is>
      </c>
      <c r="F2060" s="5" t="inlineStr">
        <is>
          <t>PINYPON FIG. BASICAS DE VERANO SURT.</t>
        </is>
      </c>
      <c r="G2060" t="n">
        <v>1</v>
      </c>
      <c r="H2060" s="7" t="n">
        <v>10.74</v>
      </c>
      <c r="I2060" s="7" t="n">
        <v>0</v>
      </c>
      <c r="J2060" s="7" t="n">
        <v>0</v>
      </c>
      <c r="K2060" s="9" t="n">
        <v>0</v>
      </c>
      <c r="L2060" s="10" t="n">
        <v>6.37</v>
      </c>
      <c r="M2060" s="10" t="n">
        <v>1.43</v>
      </c>
      <c r="N2060" t="inlineStr">
        <is>
          <t>1</t>
        </is>
      </c>
      <c r="O2060" t="inlineStr">
        <is>
          <t>16</t>
        </is>
      </c>
      <c r="P2060" t="inlineStr">
        <is>
          <t xml:space="preserve">251323  </t>
        </is>
      </c>
      <c r="Q2060" s="26" t="n">
        <v>10.62</v>
      </c>
      <c r="R2060" s="26">
        <f>Q2060*G2060</f>
        <v/>
      </c>
      <c r="S2060" s="26">
        <f>IFERROR(VLOOKUP(E2060*1,Tabla[#All],8,0),0)</f>
        <v/>
      </c>
      <c r="T2060" s="26">
        <f>S2060*G2060</f>
        <v/>
      </c>
      <c r="U2060" s="26">
        <f>R2060-T2060</f>
        <v/>
      </c>
      <c r="V2060" s="26">
        <f>U2060-L2060</f>
        <v/>
      </c>
    </row>
    <row r="2061">
      <c r="A2061" s="11" t="n">
        <v>46223</v>
      </c>
      <c r="B2061" s="1" t="n">
        <v>20073</v>
      </c>
      <c r="C2061" s="1" t="inlineStr">
        <is>
          <t>032</t>
        </is>
      </c>
      <c r="D2061" s="1" t="inlineStr">
        <is>
          <t>380573</t>
        </is>
      </c>
      <c r="E2061" s="1" t="inlineStr">
        <is>
          <t xml:space="preserve">28194770       </t>
        </is>
      </c>
      <c r="F2061" s="5" t="inlineStr">
        <is>
          <t>AUTOS DE METAL 3 TEAMSTERZ EN BLISTER</t>
        </is>
      </c>
      <c r="G2061" t="n">
        <v>1</v>
      </c>
      <c r="H2061" s="7" t="n">
        <v>6.9</v>
      </c>
      <c r="I2061" s="7" t="n">
        <v>0</v>
      </c>
      <c r="J2061" s="7" t="n">
        <v>0</v>
      </c>
      <c r="K2061" s="9" t="n">
        <v>0</v>
      </c>
      <c r="L2061" s="10" t="n">
        <v>4.1</v>
      </c>
      <c r="M2061" s="10" t="n">
        <v>1.43</v>
      </c>
      <c r="N2061" t="inlineStr">
        <is>
          <t>1</t>
        </is>
      </c>
      <c r="O2061" t="inlineStr">
        <is>
          <t>16</t>
        </is>
      </c>
      <c r="P2061" t="inlineStr">
        <is>
          <t xml:space="preserve">74879   </t>
        </is>
      </c>
      <c r="Q2061" s="26" t="n">
        <v>4.09</v>
      </c>
      <c r="R2061" s="26">
        <f>Q2061*G2061</f>
        <v/>
      </c>
      <c r="S2061" s="26">
        <f>IFERROR(VLOOKUP(E2061*1,Tabla[#All],8,0),0)</f>
        <v/>
      </c>
      <c r="T2061" s="26">
        <f>S2061*G2061</f>
        <v/>
      </c>
      <c r="U2061" s="26">
        <f>R2061-T2061</f>
        <v/>
      </c>
      <c r="V2061" s="26">
        <f>U2061-L2061</f>
        <v/>
      </c>
    </row>
    <row r="2062">
      <c r="A2062" s="11" t="n">
        <v>46223</v>
      </c>
      <c r="B2062" s="1" t="n">
        <v>20073</v>
      </c>
      <c r="C2062" s="1" t="inlineStr">
        <is>
          <t>032</t>
        </is>
      </c>
      <c r="D2062" s="1" t="inlineStr">
        <is>
          <t>380573</t>
        </is>
      </c>
      <c r="E2062" s="1" t="inlineStr">
        <is>
          <t xml:space="preserve">28194770       </t>
        </is>
      </c>
      <c r="F2062" s="5" t="inlineStr">
        <is>
          <t>AUTOS DE METAL 3 TEAMSTERZ EN BLISTER</t>
        </is>
      </c>
      <c r="G2062" t="n">
        <v>1</v>
      </c>
      <c r="H2062" s="7" t="n">
        <v>6.9</v>
      </c>
      <c r="I2062" s="7" t="n">
        <v>0</v>
      </c>
      <c r="J2062" s="7" t="n">
        <v>0</v>
      </c>
      <c r="K2062" s="9" t="n">
        <v>0</v>
      </c>
      <c r="L2062" s="10" t="n">
        <v>4.1</v>
      </c>
      <c r="M2062" s="10" t="n">
        <v>1.43</v>
      </c>
      <c r="N2062" t="inlineStr">
        <is>
          <t>1</t>
        </is>
      </c>
      <c r="O2062" t="inlineStr">
        <is>
          <t>16</t>
        </is>
      </c>
      <c r="P2062" t="inlineStr">
        <is>
          <t xml:space="preserve">74879   </t>
        </is>
      </c>
      <c r="Q2062" s="26" t="n">
        <v>4.09</v>
      </c>
      <c r="R2062" s="26">
        <f>Q2062*G2062</f>
        <v/>
      </c>
      <c r="S2062" s="26">
        <f>IFERROR(VLOOKUP(E2062*1,Tabla[#All],8,0),0)</f>
        <v/>
      </c>
      <c r="T2062" s="26">
        <f>S2062*G2062</f>
        <v/>
      </c>
      <c r="U2062" s="26">
        <f>R2062-T2062</f>
        <v/>
      </c>
      <c r="V2062" s="26">
        <f>U2062-L2062</f>
        <v/>
      </c>
    </row>
    <row r="2063">
      <c r="A2063" s="11" t="n">
        <v>46223</v>
      </c>
      <c r="B2063" s="1" t="n">
        <v>20073</v>
      </c>
      <c r="C2063" s="1" t="inlineStr">
        <is>
          <t>032</t>
        </is>
      </c>
      <c r="D2063" s="1" t="inlineStr">
        <is>
          <t>380573</t>
        </is>
      </c>
      <c r="E2063" s="1" t="inlineStr">
        <is>
          <t xml:space="preserve">28194770       </t>
        </is>
      </c>
      <c r="F2063" s="5" t="inlineStr">
        <is>
          <t>AUTOS DE METAL 3 TEAMSTERZ EN BLISTER</t>
        </is>
      </c>
      <c r="G2063" t="n">
        <v>1</v>
      </c>
      <c r="H2063" s="7" t="n">
        <v>6.9</v>
      </c>
      <c r="I2063" s="7" t="n">
        <v>0</v>
      </c>
      <c r="J2063" s="7" t="n">
        <v>0</v>
      </c>
      <c r="K2063" s="9" t="n">
        <v>0</v>
      </c>
      <c r="L2063" s="10" t="n">
        <v>4.1</v>
      </c>
      <c r="M2063" s="10" t="n">
        <v>1.43</v>
      </c>
      <c r="N2063" t="inlineStr">
        <is>
          <t>1</t>
        </is>
      </c>
      <c r="O2063" t="inlineStr">
        <is>
          <t>16</t>
        </is>
      </c>
      <c r="P2063" t="inlineStr">
        <is>
          <t xml:space="preserve">74879   </t>
        </is>
      </c>
      <c r="Q2063" s="26" t="n">
        <v>4.09</v>
      </c>
      <c r="R2063" s="26">
        <f>Q2063*G2063</f>
        <v/>
      </c>
      <c r="S2063" s="26">
        <f>IFERROR(VLOOKUP(E2063*1,Tabla[#All],8,0),0)</f>
        <v/>
      </c>
      <c r="T2063" s="26">
        <f>S2063*G2063</f>
        <v/>
      </c>
      <c r="U2063" s="26">
        <f>R2063-T2063</f>
        <v/>
      </c>
      <c r="V2063" s="26">
        <f>U2063-L2063</f>
        <v/>
      </c>
    </row>
    <row r="2064">
      <c r="A2064" s="11" t="n">
        <v>46223</v>
      </c>
      <c r="B2064" s="1" t="n">
        <v>20074</v>
      </c>
      <c r="C2064" s="1" t="inlineStr">
        <is>
          <t>011</t>
        </is>
      </c>
      <c r="D2064" s="1" t="inlineStr">
        <is>
          <t>234621</t>
        </is>
      </c>
      <c r="E2064" s="1" t="inlineStr">
        <is>
          <t xml:space="preserve">28194769       </t>
        </is>
      </c>
      <c r="F2064" s="5" t="inlineStr">
        <is>
          <t>AUTOS DE METAL 3 TEAMSTERZ PACK DE 2</t>
        </is>
      </c>
      <c r="G2064" t="n">
        <v>1</v>
      </c>
      <c r="H2064" s="7" t="n">
        <v>13.8</v>
      </c>
      <c r="I2064" s="7" t="n">
        <v>0</v>
      </c>
      <c r="J2064" s="7" t="n">
        <v>0</v>
      </c>
      <c r="K2064" s="9" t="n">
        <v>0</v>
      </c>
      <c r="L2064" s="10" t="n">
        <v>8.18</v>
      </c>
      <c r="M2064" s="10" t="n">
        <v>1.43</v>
      </c>
      <c r="N2064" t="inlineStr">
        <is>
          <t>1</t>
        </is>
      </c>
      <c r="O2064" t="inlineStr">
        <is>
          <t>16</t>
        </is>
      </c>
      <c r="P2064" t="inlineStr">
        <is>
          <t xml:space="preserve">70025   </t>
        </is>
      </c>
      <c r="Q2064" s="26" t="n">
        <v>8.19</v>
      </c>
      <c r="R2064" s="26">
        <f>Q2064*G2064</f>
        <v/>
      </c>
      <c r="S2064" s="26">
        <f>IFERROR(VLOOKUP(E2064*1,Tabla[#All],8,0),0)</f>
        <v/>
      </c>
      <c r="T2064" s="26">
        <f>S2064*G2064</f>
        <v/>
      </c>
      <c r="U2064" s="26">
        <f>R2064-T2064</f>
        <v/>
      </c>
      <c r="V2064" s="26">
        <f>U2064-L2064</f>
        <v/>
      </c>
    </row>
    <row r="2065">
      <c r="A2065" s="11" t="n">
        <v>46223</v>
      </c>
      <c r="B2065" s="1" t="n">
        <v>20074</v>
      </c>
      <c r="C2065" s="1" t="inlineStr">
        <is>
          <t>011</t>
        </is>
      </c>
      <c r="D2065" s="1" t="inlineStr">
        <is>
          <t>234621</t>
        </is>
      </c>
      <c r="E2065" s="1" t="inlineStr">
        <is>
          <t xml:space="preserve">32457099       </t>
        </is>
      </c>
      <c r="F2065" s="5" t="inlineStr">
        <is>
          <t>TMZ BEAST MACHINES MONSTER JAWS A FRICCION BLISTER</t>
        </is>
      </c>
      <c r="G2065" t="n">
        <v>1</v>
      </c>
      <c r="H2065" s="7" t="n">
        <v>17.9</v>
      </c>
      <c r="I2065" s="7" t="n">
        <v>0</v>
      </c>
      <c r="J2065" s="7" t="n">
        <v>0</v>
      </c>
      <c r="K2065" s="9" t="n">
        <v>0</v>
      </c>
      <c r="L2065" s="10" t="n">
        <v>10.62</v>
      </c>
      <c r="M2065" s="10" t="n">
        <v>1.43</v>
      </c>
      <c r="N2065" t="inlineStr">
        <is>
          <t>1</t>
        </is>
      </c>
      <c r="O2065" t="inlineStr">
        <is>
          <t>16</t>
        </is>
      </c>
      <c r="P2065" t="inlineStr">
        <is>
          <t xml:space="preserve">70025   </t>
        </is>
      </c>
      <c r="Q2065" s="26" t="n">
        <v>11.81</v>
      </c>
      <c r="R2065" s="26">
        <f>Q2065*G2065</f>
        <v/>
      </c>
      <c r="S2065" s="26">
        <f>IFERROR(VLOOKUP(E2065*1,Tabla[#All],8,0),0)</f>
        <v/>
      </c>
      <c r="T2065" s="26">
        <f>S2065*G2065</f>
        <v/>
      </c>
      <c r="U2065" s="26">
        <f>R2065-T2065</f>
        <v/>
      </c>
      <c r="V2065" s="26">
        <f>U2065-L2065</f>
        <v/>
      </c>
    </row>
    <row r="2066">
      <c r="A2066" s="11" t="n">
        <v>46223</v>
      </c>
      <c r="B2066" s="1" t="n">
        <v>20074</v>
      </c>
      <c r="C2066" s="1" t="inlineStr">
        <is>
          <t>015</t>
        </is>
      </c>
      <c r="D2066" s="1" t="inlineStr">
        <is>
          <t>228354</t>
        </is>
      </c>
      <c r="E2066" s="1" t="inlineStr">
        <is>
          <t xml:space="preserve">29854052       </t>
        </is>
      </c>
      <c r="F2066" s="5" t="inlineStr">
        <is>
          <t>PLAYSET CAMBIA DE COLOR CROC BITE</t>
        </is>
      </c>
      <c r="G2066" t="n">
        <v>1</v>
      </c>
      <c r="H2066" s="7" t="n">
        <v>79.90000000000001</v>
      </c>
      <c r="I2066" s="7" t="n">
        <v>0</v>
      </c>
      <c r="J2066" s="7" t="n">
        <v>0</v>
      </c>
      <c r="K2066" s="9" t="n">
        <v>0</v>
      </c>
      <c r="L2066" s="10" t="n">
        <v>47.4</v>
      </c>
      <c r="M2066" s="10" t="n">
        <v>1.43</v>
      </c>
      <c r="N2066" t="inlineStr">
        <is>
          <t>1</t>
        </is>
      </c>
      <c r="O2066" t="inlineStr">
        <is>
          <t>16</t>
        </is>
      </c>
      <c r="P2066" t="inlineStr">
        <is>
          <t xml:space="preserve">90017   </t>
        </is>
      </c>
      <c r="Q2066" s="26" t="n">
        <v>47.4</v>
      </c>
      <c r="R2066" s="26">
        <f>Q2066*G2066</f>
        <v/>
      </c>
      <c r="S2066" s="26">
        <f>IFERROR(VLOOKUP(E2066*1,Tabla[#All],8,0),0)</f>
        <v/>
      </c>
      <c r="T2066" s="26">
        <f>S2066*G2066</f>
        <v/>
      </c>
      <c r="U2066" s="26">
        <f>R2066-T2066</f>
        <v/>
      </c>
      <c r="V2066" s="26">
        <f>U2066-L2066</f>
        <v/>
      </c>
    </row>
    <row r="2067">
      <c r="A2067" s="11" t="n">
        <v>46223</v>
      </c>
      <c r="B2067" s="1" t="n">
        <v>20079</v>
      </c>
      <c r="C2067" s="1" t="inlineStr">
        <is>
          <t>041</t>
        </is>
      </c>
      <c r="D2067" s="1" t="inlineStr">
        <is>
          <t xml:space="preserve">99468 </t>
        </is>
      </c>
      <c r="E2067" s="1" t="inlineStr">
        <is>
          <t xml:space="preserve">29235706       </t>
        </is>
      </c>
      <c r="F2067" s="5" t="inlineStr">
        <is>
          <t>TEAMSTERZ CAMION PARA GUARDAR 12 AUTOS INCL 4 AUTO</t>
        </is>
      </c>
      <c r="G2067" t="n">
        <v>1</v>
      </c>
      <c r="H2067" s="7" t="n">
        <v>59.9</v>
      </c>
      <c r="I2067" s="7" t="n">
        <v>0</v>
      </c>
      <c r="J2067" s="7" t="n">
        <v>0</v>
      </c>
      <c r="K2067" s="9" t="n">
        <v>0</v>
      </c>
      <c r="L2067" s="10" t="n">
        <v>35.53</v>
      </c>
      <c r="M2067" s="10" t="n">
        <v>1.43</v>
      </c>
      <c r="N2067" t="inlineStr">
        <is>
          <t>1</t>
        </is>
      </c>
      <c r="O2067" t="inlineStr">
        <is>
          <t xml:space="preserve">3 </t>
        </is>
      </c>
      <c r="P2067" t="inlineStr">
        <is>
          <t xml:space="preserve">83637   </t>
        </is>
      </c>
      <c r="Q2067" s="26" t="n">
        <v>35.53</v>
      </c>
      <c r="R2067" s="26">
        <f>Q2067*G2067</f>
        <v/>
      </c>
      <c r="S2067" s="26">
        <f>IFERROR(VLOOKUP(E2067*1,Tabla[#All],8,0),0)</f>
        <v/>
      </c>
      <c r="T2067" s="26">
        <f>S2067*G2067</f>
        <v/>
      </c>
      <c r="U2067" s="26">
        <f>R2067-T2067</f>
        <v/>
      </c>
      <c r="V2067" s="26">
        <f>U2067-L2067</f>
        <v/>
      </c>
    </row>
    <row r="2068">
      <c r="A2068" s="11" t="n">
        <v>46223</v>
      </c>
      <c r="B2068" s="1" t="n">
        <v>20086</v>
      </c>
      <c r="C2068" s="1" t="inlineStr">
        <is>
          <t>014</t>
        </is>
      </c>
      <c r="D2068" s="1" t="inlineStr">
        <is>
          <t>127082</t>
        </is>
      </c>
      <c r="E2068" s="1" t="inlineStr">
        <is>
          <t xml:space="preserve">28194769       </t>
        </is>
      </c>
      <c r="F2068" s="5" t="inlineStr">
        <is>
          <t>AUTOS DE METAL 3 TEAMSTERZ PACK DE 2</t>
        </is>
      </c>
      <c r="G2068" t="n">
        <v>1</v>
      </c>
      <c r="H2068" s="7" t="n">
        <v>13.8</v>
      </c>
      <c r="I2068" s="7" t="n">
        <v>0</v>
      </c>
      <c r="J2068" s="7" t="n">
        <v>0</v>
      </c>
      <c r="K2068" s="9" t="n">
        <v>0</v>
      </c>
      <c r="L2068" s="10" t="n">
        <v>8.18</v>
      </c>
      <c r="M2068" s="10" t="n">
        <v>1.43</v>
      </c>
      <c r="N2068" t="inlineStr">
        <is>
          <t>1</t>
        </is>
      </c>
      <c r="O2068" t="inlineStr">
        <is>
          <t xml:space="preserve">2 </t>
        </is>
      </c>
      <c r="P2068" t="inlineStr">
        <is>
          <t xml:space="preserve">74697   </t>
        </is>
      </c>
      <c r="Q2068" s="26" t="n">
        <v>8.19</v>
      </c>
      <c r="R2068" s="26">
        <f>Q2068*G2068</f>
        <v/>
      </c>
      <c r="S2068" s="26">
        <f>IFERROR(VLOOKUP(E2068*1,Tabla[#All],8,0),0)</f>
        <v/>
      </c>
      <c r="T2068" s="26">
        <f>S2068*G2068</f>
        <v/>
      </c>
      <c r="U2068" s="26">
        <f>R2068-T2068</f>
        <v/>
      </c>
      <c r="V2068" s="26">
        <f>U2068-L2068</f>
        <v/>
      </c>
    </row>
    <row r="2069">
      <c r="A2069" s="11" t="n">
        <v>46223</v>
      </c>
      <c r="B2069" s="1" t="n">
        <v>20088</v>
      </c>
      <c r="C2069" s="1" t="inlineStr">
        <is>
          <t>023</t>
        </is>
      </c>
      <c r="D2069" s="1" t="inlineStr">
        <is>
          <t>127461</t>
        </is>
      </c>
      <c r="E2069" s="1" t="inlineStr">
        <is>
          <t xml:space="preserve">28194782       </t>
        </is>
      </c>
      <c r="F2069" s="5" t="inlineStr">
        <is>
          <t>TROMPO BATALLA INFINITY NADO SERIE V ORIGINAL SURT</t>
        </is>
      </c>
      <c r="G2069" t="n">
        <v>1</v>
      </c>
      <c r="H2069" s="7" t="n">
        <v>49.9</v>
      </c>
      <c r="I2069" s="7" t="n">
        <v>0</v>
      </c>
      <c r="J2069" s="7" t="n">
        <v>0</v>
      </c>
      <c r="K2069" s="9" t="n">
        <v>0</v>
      </c>
      <c r="L2069" s="10" t="n">
        <v>29.6</v>
      </c>
      <c r="M2069" s="10" t="n">
        <v>1.43</v>
      </c>
      <c r="N2069" t="inlineStr">
        <is>
          <t>1</t>
        </is>
      </c>
      <c r="O2069" t="inlineStr">
        <is>
          <t>16</t>
        </is>
      </c>
      <c r="P2069" t="inlineStr">
        <is>
          <t xml:space="preserve">248960  </t>
        </is>
      </c>
      <c r="Q2069" s="26" t="n">
        <v>41.47</v>
      </c>
      <c r="R2069" s="26">
        <f>Q2069*G2069</f>
        <v/>
      </c>
      <c r="S2069" s="26">
        <f>IFERROR(VLOOKUP(E2069*1,Tabla[#All],8,0),0)</f>
        <v/>
      </c>
      <c r="T2069" s="26">
        <f>S2069*G2069</f>
        <v/>
      </c>
      <c r="U2069" s="26">
        <f>R2069-T2069</f>
        <v/>
      </c>
      <c r="V2069" s="26">
        <f>U2069-L2069</f>
        <v/>
      </c>
    </row>
    <row r="2070">
      <c r="A2070" s="11" t="n">
        <v>46223</v>
      </c>
      <c r="B2070" s="1" t="n">
        <v>20088</v>
      </c>
      <c r="C2070" s="1" t="inlineStr">
        <is>
          <t>023</t>
        </is>
      </c>
      <c r="D2070" s="1" t="inlineStr">
        <is>
          <t>127464</t>
        </is>
      </c>
      <c r="E2070" s="1" t="inlineStr">
        <is>
          <t xml:space="preserve">28194783       </t>
        </is>
      </c>
      <c r="F2070" s="5" t="inlineStr">
        <is>
          <t>SET DE BATALLA INFINITY NADO CON 2 TROMPOS</t>
        </is>
      </c>
      <c r="G2070" t="n">
        <v>1</v>
      </c>
      <c r="H2070" s="7" t="n">
        <v>129</v>
      </c>
      <c r="I2070" s="7" t="n">
        <v>0</v>
      </c>
      <c r="J2070" s="7" t="n">
        <v>0</v>
      </c>
      <c r="K2070" s="9" t="n">
        <v>0</v>
      </c>
      <c r="L2070" s="10" t="n">
        <v>76.52</v>
      </c>
      <c r="M2070" s="10" t="n">
        <v>1.43</v>
      </c>
      <c r="N2070" t="inlineStr">
        <is>
          <t>1</t>
        </is>
      </c>
      <c r="O2070" t="inlineStr">
        <is>
          <t>16</t>
        </is>
      </c>
      <c r="P2070" t="inlineStr">
        <is>
          <t xml:space="preserve">248960  </t>
        </is>
      </c>
      <c r="Q2070" s="26" t="n">
        <v>94.31999999999999</v>
      </c>
      <c r="R2070" s="26">
        <f>Q2070*G2070</f>
        <v/>
      </c>
      <c r="S2070" s="26">
        <f>IFERROR(VLOOKUP(E2070*1,Tabla[#All],8,0),0)</f>
        <v/>
      </c>
      <c r="T2070" s="26">
        <f>S2070*G2070</f>
        <v/>
      </c>
      <c r="U2070" s="26">
        <f>R2070-T2070</f>
        <v/>
      </c>
      <c r="V2070" s="26">
        <f>U2070-L2070</f>
        <v/>
      </c>
    </row>
    <row r="2071">
      <c r="A2071" s="11" t="n">
        <v>46223</v>
      </c>
      <c r="B2071" s="1" t="n">
        <v>20088</v>
      </c>
      <c r="C2071" s="1" t="inlineStr">
        <is>
          <t>023</t>
        </is>
      </c>
      <c r="D2071" s="1" t="inlineStr">
        <is>
          <t>127464</t>
        </is>
      </c>
      <c r="E2071" s="1" t="inlineStr">
        <is>
          <t xml:space="preserve">31754675       </t>
        </is>
      </c>
      <c r="F2071" s="5" t="inlineStr">
        <is>
          <t>INFINITY NADO SERIE 6 STARTER PACK - 4 MODELOS</t>
        </is>
      </c>
      <c r="G2071" t="n">
        <v>1</v>
      </c>
      <c r="H2071" s="7" t="n">
        <v>49.9</v>
      </c>
      <c r="I2071" s="7" t="n">
        <v>0</v>
      </c>
      <c r="J2071" s="7" t="n">
        <v>0</v>
      </c>
      <c r="K2071" s="9" t="n">
        <v>0</v>
      </c>
      <c r="L2071" s="10" t="n">
        <v>29.6</v>
      </c>
      <c r="M2071" s="10" t="n">
        <v>1.43</v>
      </c>
      <c r="N2071" t="inlineStr">
        <is>
          <t>1</t>
        </is>
      </c>
      <c r="O2071" t="inlineStr">
        <is>
          <t>16</t>
        </is>
      </c>
      <c r="P2071" t="inlineStr">
        <is>
          <t xml:space="preserve">248960  </t>
        </is>
      </c>
      <c r="Q2071" s="26" t="n">
        <v>41.47</v>
      </c>
      <c r="R2071" s="26">
        <f>Q2071*G2071</f>
        <v/>
      </c>
      <c r="S2071" s="26">
        <f>IFERROR(VLOOKUP(E2071*1,Tabla[#All],8,0),0)</f>
        <v/>
      </c>
      <c r="T2071" s="26">
        <f>S2071*G2071</f>
        <v/>
      </c>
      <c r="U2071" s="26">
        <f>R2071-T2071</f>
        <v/>
      </c>
      <c r="V2071" s="26">
        <f>U2071-L2071</f>
        <v/>
      </c>
    </row>
    <row r="2072">
      <c r="A2072" s="11" t="n">
        <v>46223</v>
      </c>
      <c r="B2072" s="1" t="n">
        <v>20088</v>
      </c>
      <c r="C2072" s="1" t="inlineStr">
        <is>
          <t>023</t>
        </is>
      </c>
      <c r="D2072" s="1" t="inlineStr">
        <is>
          <t>127464</t>
        </is>
      </c>
      <c r="E2072" s="1" t="inlineStr">
        <is>
          <t xml:space="preserve">31754675       </t>
        </is>
      </c>
      <c r="F2072" s="5" t="inlineStr">
        <is>
          <t>INFINITY NADO SERIE 6 STARTER PACK - 4 MODELOS</t>
        </is>
      </c>
      <c r="G2072" t="n">
        <v>1</v>
      </c>
      <c r="H2072" s="7" t="n">
        <v>49.9</v>
      </c>
      <c r="I2072" s="7" t="n">
        <v>0</v>
      </c>
      <c r="J2072" s="7" t="n">
        <v>0</v>
      </c>
      <c r="K2072" s="9" t="n">
        <v>0</v>
      </c>
      <c r="L2072" s="10" t="n">
        <v>29.6</v>
      </c>
      <c r="M2072" s="10" t="n">
        <v>1.43</v>
      </c>
      <c r="N2072" t="inlineStr">
        <is>
          <t>1</t>
        </is>
      </c>
      <c r="O2072" t="inlineStr">
        <is>
          <t>16</t>
        </is>
      </c>
      <c r="P2072" t="inlineStr">
        <is>
          <t xml:space="preserve">248960  </t>
        </is>
      </c>
      <c r="Q2072" s="26" t="n">
        <v>41.47</v>
      </c>
      <c r="R2072" s="26">
        <f>Q2072*G2072</f>
        <v/>
      </c>
      <c r="S2072" s="26">
        <f>IFERROR(VLOOKUP(E2072*1,Tabla[#All],8,0),0)</f>
        <v/>
      </c>
      <c r="T2072" s="26">
        <f>S2072*G2072</f>
        <v/>
      </c>
      <c r="U2072" s="26">
        <f>R2072-T2072</f>
        <v/>
      </c>
      <c r="V2072" s="26">
        <f>U2072-L2072</f>
        <v/>
      </c>
    </row>
    <row r="2073">
      <c r="A2073" s="11" t="n">
        <v>46223</v>
      </c>
      <c r="B2073" s="1" t="n">
        <v>20088</v>
      </c>
      <c r="C2073" s="1" t="inlineStr">
        <is>
          <t>023</t>
        </is>
      </c>
      <c r="D2073" s="1" t="inlineStr">
        <is>
          <t>127464</t>
        </is>
      </c>
      <c r="E2073" s="1" t="inlineStr">
        <is>
          <t xml:space="preserve">31754675       </t>
        </is>
      </c>
      <c r="F2073" s="5" t="inlineStr">
        <is>
          <t>INFINITY NADO SERIE 6 STARTER PACK - 4 MODELOS</t>
        </is>
      </c>
      <c r="G2073" t="n">
        <v>1</v>
      </c>
      <c r="H2073" s="7" t="n">
        <v>49.9</v>
      </c>
      <c r="I2073" s="7" t="n">
        <v>0</v>
      </c>
      <c r="J2073" s="7" t="n">
        <v>0</v>
      </c>
      <c r="K2073" s="9" t="n">
        <v>0</v>
      </c>
      <c r="L2073" s="10" t="n">
        <v>29.6</v>
      </c>
      <c r="M2073" s="10" t="n">
        <v>1.43</v>
      </c>
      <c r="N2073" t="inlineStr">
        <is>
          <t>1</t>
        </is>
      </c>
      <c r="O2073" t="inlineStr">
        <is>
          <t>16</t>
        </is>
      </c>
      <c r="P2073" t="inlineStr">
        <is>
          <t xml:space="preserve">248960  </t>
        </is>
      </c>
      <c r="Q2073" s="26" t="n">
        <v>41.47</v>
      </c>
      <c r="R2073" s="26">
        <f>Q2073*G2073</f>
        <v/>
      </c>
      <c r="S2073" s="26">
        <f>IFERROR(VLOOKUP(E2073*1,Tabla[#All],8,0),0)</f>
        <v/>
      </c>
      <c r="T2073" s="26">
        <f>S2073*G2073</f>
        <v/>
      </c>
      <c r="U2073" s="26">
        <f>R2073-T2073</f>
        <v/>
      </c>
      <c r="V2073" s="26">
        <f>U2073-L2073</f>
        <v/>
      </c>
    </row>
    <row r="2074">
      <c r="A2074" s="11" t="n">
        <v>46223</v>
      </c>
      <c r="B2074" s="1" t="n">
        <v>20088</v>
      </c>
      <c r="C2074" s="1" t="inlineStr">
        <is>
          <t>023</t>
        </is>
      </c>
      <c r="D2074" s="1" t="inlineStr">
        <is>
          <t>127501</t>
        </is>
      </c>
      <c r="E2074" s="1" t="inlineStr">
        <is>
          <t xml:space="preserve">28194769       </t>
        </is>
      </c>
      <c r="F2074" s="5" t="inlineStr">
        <is>
          <t>AUTOS DE METAL 3 TEAMSTERZ PACK DE 2</t>
        </is>
      </c>
      <c r="G2074" t="n">
        <v>1</v>
      </c>
      <c r="H2074" s="7" t="n">
        <v>13.8</v>
      </c>
      <c r="I2074" s="7" t="n">
        <v>0</v>
      </c>
      <c r="J2074" s="7" t="n">
        <v>0</v>
      </c>
      <c r="K2074" s="9" t="n">
        <v>0</v>
      </c>
      <c r="L2074" s="10" t="n">
        <v>8.18</v>
      </c>
      <c r="M2074" s="10" t="n">
        <v>1.43</v>
      </c>
      <c r="N2074" t="inlineStr">
        <is>
          <t>1</t>
        </is>
      </c>
      <c r="O2074" t="inlineStr">
        <is>
          <t>16</t>
        </is>
      </c>
      <c r="P2074" t="inlineStr">
        <is>
          <t xml:space="preserve">248960  </t>
        </is>
      </c>
      <c r="Q2074" s="26" t="n">
        <v>8.19</v>
      </c>
      <c r="R2074" s="26">
        <f>Q2074*G2074</f>
        <v/>
      </c>
      <c r="S2074" s="26">
        <f>IFERROR(VLOOKUP(E2074*1,Tabla[#All],8,0),0)</f>
        <v/>
      </c>
      <c r="T2074" s="26">
        <f>S2074*G2074</f>
        <v/>
      </c>
      <c r="U2074" s="26">
        <f>R2074-T2074</f>
        <v/>
      </c>
      <c r="V2074" s="26">
        <f>U2074-L2074</f>
        <v/>
      </c>
    </row>
    <row r="2075">
      <c r="A2075" s="11" t="n">
        <v>46223</v>
      </c>
      <c r="B2075" s="1" t="n">
        <v>20089</v>
      </c>
      <c r="C2075" s="1" t="inlineStr">
        <is>
          <t>020</t>
        </is>
      </c>
      <c r="D2075" s="1" t="inlineStr">
        <is>
          <t xml:space="preserve">50797 </t>
        </is>
      </c>
      <c r="E2075" s="1" t="inlineStr">
        <is>
          <t xml:space="preserve">32457099       </t>
        </is>
      </c>
      <c r="F2075" s="5" t="inlineStr">
        <is>
          <t>TMZ BEAST MACHINES MONSTER JAWS A FRICCION BLISTER</t>
        </is>
      </c>
      <c r="G2075" t="n">
        <v>1</v>
      </c>
      <c r="H2075" s="7" t="n">
        <v>17.9</v>
      </c>
      <c r="I2075" s="7" t="n">
        <v>0</v>
      </c>
      <c r="J2075" s="7" t="n">
        <v>0</v>
      </c>
      <c r="K2075" s="9" t="n">
        <v>0</v>
      </c>
      <c r="L2075" s="10" t="n">
        <v>10.62</v>
      </c>
      <c r="M2075" s="10" t="n">
        <v>1.43</v>
      </c>
      <c r="N2075" t="inlineStr">
        <is>
          <t>1</t>
        </is>
      </c>
      <c r="O2075" t="inlineStr">
        <is>
          <t xml:space="preserve">2 </t>
        </is>
      </c>
      <c r="P2075" t="inlineStr">
        <is>
          <t xml:space="preserve">233031  </t>
        </is>
      </c>
      <c r="Q2075" s="26" t="n">
        <v>11.81</v>
      </c>
      <c r="R2075" s="26">
        <f>Q2075*G2075</f>
        <v/>
      </c>
      <c r="S2075" s="26">
        <f>IFERROR(VLOOKUP(E2075*1,Tabla[#All],8,0),0)</f>
        <v/>
      </c>
      <c r="T2075" s="26">
        <f>S2075*G2075</f>
        <v/>
      </c>
      <c r="U2075" s="26">
        <f>R2075-T2075</f>
        <v/>
      </c>
      <c r="V2075" s="26">
        <f>U2075-L2075</f>
        <v/>
      </c>
    </row>
    <row r="2076">
      <c r="A2076" s="11" t="n">
        <v>46223</v>
      </c>
      <c r="B2076" s="1" t="n">
        <v>20089</v>
      </c>
      <c r="C2076" s="1" t="inlineStr">
        <is>
          <t>025</t>
        </is>
      </c>
      <c r="D2076" s="1" t="inlineStr">
        <is>
          <t>122229</t>
        </is>
      </c>
      <c r="E2076" s="1" t="inlineStr">
        <is>
          <t xml:space="preserve">28194770       </t>
        </is>
      </c>
      <c r="F2076" s="5" t="inlineStr">
        <is>
          <t>AUTOS DE METAL 3 TEAMSTERZ EN BLISTER</t>
        </is>
      </c>
      <c r="G2076" t="n">
        <v>1</v>
      </c>
      <c r="H2076" s="7" t="n">
        <v>6.9</v>
      </c>
      <c r="I2076" s="7" t="n">
        <v>0</v>
      </c>
      <c r="J2076" s="7" t="n">
        <v>0</v>
      </c>
      <c r="K2076" s="9" t="n">
        <v>0</v>
      </c>
      <c r="L2076" s="10" t="n">
        <v>4.1</v>
      </c>
      <c r="M2076" s="10" t="n">
        <v>1.43</v>
      </c>
      <c r="N2076" t="inlineStr">
        <is>
          <t>1</t>
        </is>
      </c>
      <c r="O2076" t="inlineStr">
        <is>
          <t>16</t>
        </is>
      </c>
      <c r="P2076" t="inlineStr">
        <is>
          <t xml:space="preserve">66808   </t>
        </is>
      </c>
      <c r="Q2076" s="26" t="n">
        <v>4.09</v>
      </c>
      <c r="R2076" s="26">
        <f>Q2076*G2076</f>
        <v/>
      </c>
      <c r="S2076" s="26">
        <f>IFERROR(VLOOKUP(E2076*1,Tabla[#All],8,0),0)</f>
        <v/>
      </c>
      <c r="T2076" s="26">
        <f>S2076*G2076</f>
        <v/>
      </c>
      <c r="U2076" s="26">
        <f>R2076-T2076</f>
        <v/>
      </c>
      <c r="V2076" s="26">
        <f>U2076-L2076</f>
        <v/>
      </c>
    </row>
    <row r="2077">
      <c r="A2077" s="11" t="n">
        <v>46223</v>
      </c>
      <c r="B2077" s="1" t="n">
        <v>20089</v>
      </c>
      <c r="C2077" s="1" t="inlineStr">
        <is>
          <t>862</t>
        </is>
      </c>
      <c r="D2077" s="1" t="inlineStr">
        <is>
          <t xml:space="preserve">8682  </t>
        </is>
      </c>
      <c r="E2077" s="1" t="inlineStr">
        <is>
          <t xml:space="preserve">30141766       </t>
        </is>
      </c>
      <c r="F2077" s="5" t="inlineStr">
        <is>
          <t>TMZ BEAST MACHINES AUTOS DE METAL BLISTER X 1</t>
        </is>
      </c>
      <c r="G2077" t="n">
        <v>2</v>
      </c>
      <c r="H2077" s="7" t="n">
        <v>15.8</v>
      </c>
      <c r="I2077" s="7" t="n">
        <v>0</v>
      </c>
      <c r="J2077" s="7" t="n">
        <v>0</v>
      </c>
      <c r="K2077" s="9" t="n">
        <v>0</v>
      </c>
      <c r="L2077" s="10" t="n">
        <v>9.380000000000001</v>
      </c>
      <c r="M2077" s="10" t="n">
        <v>1.43</v>
      </c>
      <c r="N2077" t="inlineStr">
        <is>
          <t>1</t>
        </is>
      </c>
      <c r="O2077" t="inlineStr">
        <is>
          <t>16</t>
        </is>
      </c>
      <c r="P2077" t="inlineStr">
        <is>
          <t xml:space="preserve">0       </t>
        </is>
      </c>
      <c r="Q2077" s="26" t="n">
        <v>4.69</v>
      </c>
      <c r="R2077" s="26">
        <f>Q2077*G2077</f>
        <v/>
      </c>
      <c r="S2077" s="26">
        <f>IFERROR(VLOOKUP(E2077*1,Tabla[#All],8,0),0)</f>
        <v/>
      </c>
      <c r="T2077" s="26">
        <f>S2077*G2077</f>
        <v/>
      </c>
      <c r="U2077" s="26">
        <f>R2077-T2077</f>
        <v/>
      </c>
      <c r="V2077" s="26">
        <f>U2077-L2077</f>
        <v/>
      </c>
    </row>
    <row r="2078">
      <c r="A2078" s="11" t="n">
        <v>46223</v>
      </c>
      <c r="B2078" s="1" t="n">
        <v>20089</v>
      </c>
      <c r="C2078" s="1" t="inlineStr">
        <is>
          <t>862</t>
        </is>
      </c>
      <c r="D2078" s="1" t="inlineStr">
        <is>
          <t xml:space="preserve">8688  </t>
        </is>
      </c>
      <c r="E2078" s="1" t="inlineStr">
        <is>
          <t xml:space="preserve">28194770       </t>
        </is>
      </c>
      <c r="F2078" s="5" t="inlineStr">
        <is>
          <t>AUTOS DE METAL 3 TEAMSTERZ EN BLISTER</t>
        </is>
      </c>
      <c r="G2078" t="n">
        <v>1</v>
      </c>
      <c r="H2078" s="7" t="n">
        <v>6.9</v>
      </c>
      <c r="I2078" s="7" t="n">
        <v>0</v>
      </c>
      <c r="J2078" s="7" t="n">
        <v>0</v>
      </c>
      <c r="K2078" s="9" t="n">
        <v>0</v>
      </c>
      <c r="L2078" s="10" t="n">
        <v>4.1</v>
      </c>
      <c r="M2078" s="10" t="n">
        <v>1.43</v>
      </c>
      <c r="N2078" t="inlineStr">
        <is>
          <t>1</t>
        </is>
      </c>
      <c r="O2078" t="inlineStr">
        <is>
          <t>16</t>
        </is>
      </c>
      <c r="P2078" t="inlineStr">
        <is>
          <t xml:space="preserve">0       </t>
        </is>
      </c>
      <c r="Q2078" s="26" t="n">
        <v>4.09</v>
      </c>
      <c r="R2078" s="26">
        <f>Q2078*G2078</f>
        <v/>
      </c>
      <c r="S2078" s="26">
        <f>IFERROR(VLOOKUP(E2078*1,Tabla[#All],8,0),0)</f>
        <v/>
      </c>
      <c r="T2078" s="26">
        <f>S2078*G2078</f>
        <v/>
      </c>
      <c r="U2078" s="26">
        <f>R2078-T2078</f>
        <v/>
      </c>
      <c r="V2078" s="26">
        <f>U2078-L2078</f>
        <v/>
      </c>
    </row>
    <row r="2079">
      <c r="A2079" s="11" t="n">
        <v>46223</v>
      </c>
      <c r="B2079" s="1" t="n">
        <v>20089</v>
      </c>
      <c r="C2079" s="1" t="inlineStr">
        <is>
          <t>862</t>
        </is>
      </c>
      <c r="D2079" s="1" t="inlineStr">
        <is>
          <t xml:space="preserve">8702  </t>
        </is>
      </c>
      <c r="E2079" s="1" t="inlineStr">
        <is>
          <t xml:space="preserve">31959959       </t>
        </is>
      </c>
      <c r="F2079" s="5" t="inlineStr">
        <is>
          <t>TMZ CAMBIA DE COLOR LANZADOR SPIN SPLASH + 1 AUTO</t>
        </is>
      </c>
      <c r="G2079" t="n">
        <v>1</v>
      </c>
      <c r="H2079" s="7" t="n">
        <v>14.9</v>
      </c>
      <c r="I2079" s="7" t="n">
        <v>0</v>
      </c>
      <c r="J2079" s="7" t="n">
        <v>0</v>
      </c>
      <c r="K2079" s="9" t="n">
        <v>0</v>
      </c>
      <c r="L2079" s="10" t="n">
        <v>8.84</v>
      </c>
      <c r="M2079" s="10" t="n">
        <v>1.43</v>
      </c>
      <c r="N2079" t="inlineStr">
        <is>
          <t>1</t>
        </is>
      </c>
      <c r="O2079" t="inlineStr">
        <is>
          <t>16</t>
        </is>
      </c>
      <c r="P2079" t="inlineStr">
        <is>
          <t xml:space="preserve">0       </t>
        </is>
      </c>
      <c r="Q2079" s="26" t="n">
        <v>23.67</v>
      </c>
      <c r="R2079" s="26">
        <f>Q2079*G2079</f>
        <v/>
      </c>
      <c r="S2079" s="26">
        <f>IFERROR(VLOOKUP(E2079*1,Tabla[#All],8,0),0)</f>
        <v/>
      </c>
      <c r="T2079" s="26">
        <f>S2079*G2079</f>
        <v/>
      </c>
      <c r="U2079" s="26">
        <f>R2079-T2079</f>
        <v/>
      </c>
      <c r="V2079" s="26">
        <f>U2079-L2079</f>
        <v/>
      </c>
    </row>
    <row r="2080">
      <c r="A2080" s="11" t="n">
        <v>46223</v>
      </c>
      <c r="B2080" s="1" t="n">
        <v>20095</v>
      </c>
      <c r="C2080" s="1" t="inlineStr">
        <is>
          <t>043</t>
        </is>
      </c>
      <c r="D2080" s="1" t="inlineStr">
        <is>
          <t>108310</t>
        </is>
      </c>
      <c r="E2080" s="1" t="inlineStr">
        <is>
          <t xml:space="preserve">28194770       </t>
        </is>
      </c>
      <c r="F2080" s="5" t="inlineStr">
        <is>
          <t>AUTOS DE METAL 3 TEAMSTERZ EN BLISTER</t>
        </is>
      </c>
      <c r="G2080" t="n">
        <v>1</v>
      </c>
      <c r="H2080" s="7" t="n">
        <v>6.9</v>
      </c>
      <c r="I2080" s="7" t="n">
        <v>0</v>
      </c>
      <c r="J2080" s="7" t="n">
        <v>0</v>
      </c>
      <c r="K2080" s="9" t="n">
        <v>0</v>
      </c>
      <c r="L2080" s="10" t="n">
        <v>4.1</v>
      </c>
      <c r="M2080" s="10" t="n">
        <v>1.43</v>
      </c>
      <c r="N2080" t="inlineStr">
        <is>
          <t>1</t>
        </is>
      </c>
      <c r="O2080" t="inlineStr">
        <is>
          <t xml:space="preserve">2 </t>
        </is>
      </c>
      <c r="P2080" t="inlineStr">
        <is>
          <t xml:space="preserve">248421  </t>
        </is>
      </c>
      <c r="Q2080" s="26" t="n">
        <v>4.09</v>
      </c>
      <c r="R2080" s="26">
        <f>Q2080*G2080</f>
        <v/>
      </c>
      <c r="S2080" s="26">
        <f>IFERROR(VLOOKUP(E2080*1,Tabla[#All],8,0),0)</f>
        <v/>
      </c>
      <c r="T2080" s="26">
        <f>S2080*G2080</f>
        <v/>
      </c>
      <c r="U2080" s="26">
        <f>R2080-T2080</f>
        <v/>
      </c>
      <c r="V2080" s="26">
        <f>U2080-L2080</f>
        <v/>
      </c>
    </row>
    <row r="2081">
      <c r="A2081" s="11" t="n">
        <v>46223</v>
      </c>
      <c r="B2081" s="1" t="n">
        <v>20095</v>
      </c>
      <c r="C2081" s="1" t="inlineStr">
        <is>
          <t>043</t>
        </is>
      </c>
      <c r="D2081" s="1" t="inlineStr">
        <is>
          <t>108313</t>
        </is>
      </c>
      <c r="E2081" s="1" t="inlineStr">
        <is>
          <t xml:space="preserve">28194769       </t>
        </is>
      </c>
      <c r="F2081" s="5" t="inlineStr">
        <is>
          <t>AUTOS DE METAL 3 TEAMSTERZ PACK DE 2</t>
        </is>
      </c>
      <c r="G2081" t="n">
        <v>1</v>
      </c>
      <c r="H2081" s="7" t="n">
        <v>13.8</v>
      </c>
      <c r="I2081" s="7" t="n">
        <v>0</v>
      </c>
      <c r="J2081" s="7" t="n">
        <v>0</v>
      </c>
      <c r="K2081" s="9" t="n">
        <v>0</v>
      </c>
      <c r="L2081" s="10" t="n">
        <v>8.18</v>
      </c>
      <c r="M2081" s="10" t="n">
        <v>1.43</v>
      </c>
      <c r="N2081" t="inlineStr">
        <is>
          <t>1</t>
        </is>
      </c>
      <c r="O2081" t="inlineStr">
        <is>
          <t>16</t>
        </is>
      </c>
      <c r="P2081" t="inlineStr">
        <is>
          <t xml:space="preserve">248421  </t>
        </is>
      </c>
      <c r="Q2081" s="26" t="n">
        <v>8.19</v>
      </c>
      <c r="R2081" s="26">
        <f>Q2081*G2081</f>
        <v/>
      </c>
      <c r="S2081" s="26">
        <f>IFERROR(VLOOKUP(E2081*1,Tabla[#All],8,0),0)</f>
        <v/>
      </c>
      <c r="T2081" s="26">
        <f>S2081*G2081</f>
        <v/>
      </c>
      <c r="U2081" s="26">
        <f>R2081-T2081</f>
        <v/>
      </c>
      <c r="V2081" s="26">
        <f>U2081-L2081</f>
        <v/>
      </c>
    </row>
    <row r="2082">
      <c r="A2082" s="11" t="n">
        <v>46224</v>
      </c>
      <c r="B2082" s="1" t="n">
        <v>20021</v>
      </c>
      <c r="C2082" s="1" t="inlineStr">
        <is>
          <t>080</t>
        </is>
      </c>
      <c r="D2082" s="1" t="inlineStr">
        <is>
          <t>310057</t>
        </is>
      </c>
      <c r="E2082" s="1" t="inlineStr">
        <is>
          <t xml:space="preserve">33483121       </t>
        </is>
      </c>
      <c r="F2082" s="5" t="inlineStr">
        <is>
          <t>HOT WHEELS ESTUCHE PARA 15 AUTOS SURTIDO</t>
        </is>
      </c>
      <c r="G2082" t="n">
        <v>1</v>
      </c>
      <c r="H2082" s="7" t="n">
        <v>34.9</v>
      </c>
      <c r="I2082" s="7" t="n">
        <v>0</v>
      </c>
      <c r="J2082" s="7" t="n">
        <v>0</v>
      </c>
      <c r="K2082" s="9" t="n">
        <v>0</v>
      </c>
      <c r="L2082" s="10" t="n">
        <v>20.71</v>
      </c>
      <c r="M2082" s="10" t="n">
        <v>1.43</v>
      </c>
      <c r="N2082" t="inlineStr">
        <is>
          <t>1</t>
        </is>
      </c>
      <c r="O2082" t="inlineStr">
        <is>
          <t>16</t>
        </is>
      </c>
      <c r="P2082" t="inlineStr">
        <is>
          <t xml:space="preserve">249983  </t>
        </is>
      </c>
      <c r="Q2082" s="26" t="n">
        <v>20.7</v>
      </c>
      <c r="R2082" s="26">
        <f>Q2082*G2082</f>
        <v/>
      </c>
      <c r="S2082" s="26">
        <f>IFERROR(VLOOKUP(E2082*1,Tabla[#All],8,0),0)</f>
        <v/>
      </c>
      <c r="T2082" s="26">
        <f>S2082*G2082</f>
        <v/>
      </c>
      <c r="U2082" s="26">
        <f>R2082-T2082</f>
        <v/>
      </c>
      <c r="V2082" s="26">
        <f>U2082-L2082</f>
        <v/>
      </c>
    </row>
    <row r="2083">
      <c r="A2083" s="11" t="n">
        <v>46224</v>
      </c>
      <c r="B2083" s="1" t="n">
        <v>20023</v>
      </c>
      <c r="C2083" s="1" t="inlineStr">
        <is>
          <t>105</t>
        </is>
      </c>
      <c r="D2083" s="1" t="inlineStr">
        <is>
          <t xml:space="preserve">91396 </t>
        </is>
      </c>
      <c r="E2083" s="1" t="inlineStr">
        <is>
          <t xml:space="preserve">29235701       </t>
        </is>
      </c>
      <c r="F2083" s="5" t="inlineStr">
        <is>
          <t>INFINITY NADO TROMPO DE BATALLA - METAL EN CAJA</t>
        </is>
      </c>
      <c r="G2083" t="n">
        <v>1</v>
      </c>
      <c r="H2083" s="7" t="n">
        <v>29.9</v>
      </c>
      <c r="I2083" s="7" t="n">
        <v>0</v>
      </c>
      <c r="J2083" s="7" t="n">
        <v>0</v>
      </c>
      <c r="K2083" s="9" t="n">
        <v>0</v>
      </c>
      <c r="L2083" s="10" t="n">
        <v>17.74</v>
      </c>
      <c r="M2083" s="10" t="n">
        <v>1.43</v>
      </c>
      <c r="N2083" t="inlineStr">
        <is>
          <t>1</t>
        </is>
      </c>
      <c r="O2083" t="inlineStr">
        <is>
          <t>16</t>
        </is>
      </c>
      <c r="P2083" t="inlineStr">
        <is>
          <t xml:space="preserve">22759   </t>
        </is>
      </c>
      <c r="Q2083" s="26" t="n">
        <v>23.67</v>
      </c>
      <c r="R2083" s="26">
        <f>Q2083*G2083</f>
        <v/>
      </c>
      <c r="S2083" s="26">
        <f>IFERROR(VLOOKUP(E2083*1,Tabla[#All],8,0),0)</f>
        <v/>
      </c>
      <c r="T2083" s="26">
        <f>S2083*G2083</f>
        <v/>
      </c>
      <c r="U2083" s="26">
        <f>R2083-T2083</f>
        <v/>
      </c>
      <c r="V2083" s="26">
        <f>U2083-L2083</f>
        <v/>
      </c>
    </row>
    <row r="2084">
      <c r="A2084" s="11" t="n">
        <v>46224</v>
      </c>
      <c r="B2084" s="1" t="n">
        <v>20024</v>
      </c>
      <c r="C2084" s="1" t="inlineStr">
        <is>
          <t>801</t>
        </is>
      </c>
      <c r="D2084" s="1" t="inlineStr">
        <is>
          <t xml:space="preserve">3638  </t>
        </is>
      </c>
      <c r="E2084" s="1" t="inlineStr">
        <is>
          <t xml:space="preserve">28194770       </t>
        </is>
      </c>
      <c r="F2084" s="5" t="inlineStr">
        <is>
          <t>AUTOS DE METAL 3 TEAMSTERZ EN BLISTER</t>
        </is>
      </c>
      <c r="G2084" t="n">
        <v>1</v>
      </c>
      <c r="H2084" s="7" t="n">
        <v>6.9</v>
      </c>
      <c r="I2084" s="7" t="n">
        <v>0</v>
      </c>
      <c r="J2084" s="7" t="n">
        <v>0</v>
      </c>
      <c r="K2084" s="9" t="n">
        <v>0</v>
      </c>
      <c r="L2084" s="10" t="n">
        <v>4.1</v>
      </c>
      <c r="M2084" s="10" t="n">
        <v>1.43</v>
      </c>
      <c r="N2084" t="inlineStr">
        <is>
          <t>1</t>
        </is>
      </c>
      <c r="O2084" t="inlineStr">
        <is>
          <t>16</t>
        </is>
      </c>
      <c r="P2084" t="inlineStr">
        <is>
          <t xml:space="preserve">0       </t>
        </is>
      </c>
      <c r="Q2084" s="26" t="n">
        <v>4.09</v>
      </c>
      <c r="R2084" s="26">
        <f>Q2084*G2084</f>
        <v/>
      </c>
      <c r="S2084" s="26">
        <f>IFERROR(VLOOKUP(E2084*1,Tabla[#All],8,0),0)</f>
        <v/>
      </c>
      <c r="T2084" s="26">
        <f>S2084*G2084</f>
        <v/>
      </c>
      <c r="U2084" s="26">
        <f>R2084-T2084</f>
        <v/>
      </c>
      <c r="V2084" s="26">
        <f>U2084-L2084</f>
        <v/>
      </c>
    </row>
    <row r="2085">
      <c r="A2085" s="11" t="n">
        <v>46224</v>
      </c>
      <c r="B2085" s="1" t="n">
        <v>20025</v>
      </c>
      <c r="C2085" s="1" t="inlineStr">
        <is>
          <t>074</t>
        </is>
      </c>
      <c r="D2085" s="1" t="inlineStr">
        <is>
          <t xml:space="preserve">83309 </t>
        </is>
      </c>
      <c r="E2085" s="1" t="inlineStr">
        <is>
          <t xml:space="preserve">34840551       </t>
        </is>
      </c>
      <c r="F2085" s="5" t="inlineStr">
        <is>
          <t>TMZ HELI BOMBERO CON LUCES Y SONIDOS</t>
        </is>
      </c>
      <c r="G2085" t="n">
        <v>1</v>
      </c>
      <c r="H2085" s="7" t="n">
        <v>79.90000000000001</v>
      </c>
      <c r="I2085" s="7" t="n">
        <v>0</v>
      </c>
      <c r="J2085" s="7" t="n">
        <v>0</v>
      </c>
      <c r="K2085" s="9" t="n">
        <v>0</v>
      </c>
      <c r="L2085" s="10" t="n">
        <v>47.4</v>
      </c>
      <c r="M2085" s="10" t="n">
        <v>1.43</v>
      </c>
      <c r="N2085" t="inlineStr">
        <is>
          <t>1</t>
        </is>
      </c>
      <c r="O2085" t="inlineStr">
        <is>
          <t>16</t>
        </is>
      </c>
      <c r="P2085" t="inlineStr">
        <is>
          <t xml:space="preserve">62409   </t>
        </is>
      </c>
      <c r="Q2085" s="26" t="n">
        <v>47.4</v>
      </c>
      <c r="R2085" s="26">
        <f>Q2085*G2085</f>
        <v/>
      </c>
      <c r="S2085" s="26">
        <f>IFERROR(VLOOKUP(E2085*1,Tabla[#All],8,0),0)</f>
        <v/>
      </c>
      <c r="T2085" s="26">
        <f>S2085*G2085</f>
        <v/>
      </c>
      <c r="U2085" s="26">
        <f>R2085-T2085</f>
        <v/>
      </c>
      <c r="V2085" s="26">
        <f>U2085-L2085</f>
        <v/>
      </c>
    </row>
    <row r="2086">
      <c r="A2086" s="11" t="n">
        <v>46224</v>
      </c>
      <c r="B2086" s="1" t="n">
        <v>20025</v>
      </c>
      <c r="C2086" s="1" t="inlineStr">
        <is>
          <t>074</t>
        </is>
      </c>
      <c r="D2086" s="1" t="inlineStr">
        <is>
          <t xml:space="preserve">83358 </t>
        </is>
      </c>
      <c r="E2086" s="1" t="inlineStr">
        <is>
          <t xml:space="preserve">30141767       </t>
        </is>
      </c>
      <c r="F2086" s="5" t="inlineStr">
        <is>
          <t>TMZ BEAST MACHINES AUTOS DE METAL PACK 5 AUTOS</t>
        </is>
      </c>
      <c r="G2086" t="n">
        <v>1</v>
      </c>
      <c r="H2086" s="7" t="n">
        <v>29.9</v>
      </c>
      <c r="I2086" s="7" t="n">
        <v>0</v>
      </c>
      <c r="J2086" s="7" t="n">
        <v>0</v>
      </c>
      <c r="K2086" s="9" t="n">
        <v>0</v>
      </c>
      <c r="L2086" s="10" t="n">
        <v>17.74</v>
      </c>
      <c r="M2086" s="10" t="n">
        <v>1.43</v>
      </c>
      <c r="N2086" t="inlineStr">
        <is>
          <t>1</t>
        </is>
      </c>
      <c r="O2086" t="inlineStr">
        <is>
          <t xml:space="preserve">2 </t>
        </is>
      </c>
      <c r="P2086" t="inlineStr">
        <is>
          <t xml:space="preserve">62409   </t>
        </is>
      </c>
      <c r="Q2086" s="26" t="n">
        <v>23.43</v>
      </c>
      <c r="R2086" s="26">
        <f>Q2086*G2086</f>
        <v/>
      </c>
      <c r="S2086" s="26">
        <f>IFERROR(VLOOKUP(E2086*1,Tabla[#All],8,0),0)</f>
        <v/>
      </c>
      <c r="T2086" s="26">
        <f>S2086*G2086</f>
        <v/>
      </c>
      <c r="U2086" s="26">
        <f>R2086-T2086</f>
        <v/>
      </c>
      <c r="V2086" s="26">
        <f>U2086-L2086</f>
        <v/>
      </c>
    </row>
    <row r="2087">
      <c r="A2087" s="11" t="n">
        <v>46224</v>
      </c>
      <c r="B2087" s="1" t="n">
        <v>20025</v>
      </c>
      <c r="C2087" s="1" t="inlineStr">
        <is>
          <t>076</t>
        </is>
      </c>
      <c r="D2087" s="1" t="inlineStr">
        <is>
          <t>148104</t>
        </is>
      </c>
      <c r="E2087" s="1" t="inlineStr">
        <is>
          <t xml:space="preserve">30141766       </t>
        </is>
      </c>
      <c r="F2087" s="5" t="inlineStr">
        <is>
          <t>TMZ BEAST MACHINES AUTOS DE METAL BLISTER X 1</t>
        </is>
      </c>
      <c r="G2087" t="n">
        <v>1</v>
      </c>
      <c r="H2087" s="7" t="n">
        <v>7.9</v>
      </c>
      <c r="I2087" s="7" t="n">
        <v>0</v>
      </c>
      <c r="J2087" s="7" t="n">
        <v>0</v>
      </c>
      <c r="K2087" s="9" t="n">
        <v>0</v>
      </c>
      <c r="L2087" s="10" t="n">
        <v>4.68</v>
      </c>
      <c r="M2087" s="10" t="n">
        <v>1.43</v>
      </c>
      <c r="N2087" t="inlineStr">
        <is>
          <t>1</t>
        </is>
      </c>
      <c r="O2087" t="inlineStr">
        <is>
          <t>16</t>
        </is>
      </c>
      <c r="P2087" t="inlineStr">
        <is>
          <t xml:space="preserve">19391   </t>
        </is>
      </c>
      <c r="Q2087" s="26" t="n">
        <v>4.69</v>
      </c>
      <c r="R2087" s="26">
        <f>Q2087*G2087</f>
        <v/>
      </c>
      <c r="S2087" s="26">
        <f>IFERROR(VLOOKUP(E2087*1,Tabla[#All],8,0),0)</f>
        <v/>
      </c>
      <c r="T2087" s="26">
        <f>S2087*G2087</f>
        <v/>
      </c>
      <c r="U2087" s="26">
        <f>R2087-T2087</f>
        <v/>
      </c>
      <c r="V2087" s="26">
        <f>U2087-L2087</f>
        <v/>
      </c>
    </row>
    <row r="2088">
      <c r="A2088" s="11" t="n">
        <v>46224</v>
      </c>
      <c r="B2088" s="1" t="n">
        <v>20027</v>
      </c>
      <c r="C2088" s="1" t="inlineStr">
        <is>
          <t>108</t>
        </is>
      </c>
      <c r="D2088" s="1" t="inlineStr">
        <is>
          <t>199867</t>
        </is>
      </c>
      <c r="E2088" s="1" t="inlineStr">
        <is>
          <t xml:space="preserve">28194768       </t>
        </is>
      </c>
      <c r="F2088" s="5" t="inlineStr">
        <is>
          <t>AUTO COLOR CHANGE TEAMSTERZ SURTIDO</t>
        </is>
      </c>
      <c r="G2088" t="n">
        <v>1</v>
      </c>
      <c r="H2088" s="7" t="n">
        <v>14.9</v>
      </c>
      <c r="I2088" s="7" t="n">
        <v>1.49</v>
      </c>
      <c r="J2088" s="7" t="n">
        <v>0</v>
      </c>
      <c r="K2088" s="9" t="n">
        <v>1.49</v>
      </c>
      <c r="L2088" s="10" t="n">
        <v>7.95</v>
      </c>
      <c r="M2088" s="10" t="n">
        <v>1.43</v>
      </c>
      <c r="N2088" t="inlineStr">
        <is>
          <t>1</t>
        </is>
      </c>
      <c r="O2088" t="inlineStr">
        <is>
          <t xml:space="preserve">3 </t>
        </is>
      </c>
      <c r="P2088" t="inlineStr">
        <is>
          <t xml:space="preserve">30333   </t>
        </is>
      </c>
      <c r="Q2088" s="26" t="n">
        <v>8.84</v>
      </c>
      <c r="R2088" s="26">
        <f>Q2088*G2088</f>
        <v/>
      </c>
      <c r="S2088" s="26">
        <f>IFERROR(VLOOKUP(E2088*1,Tabla[#All],8,0),0)</f>
        <v/>
      </c>
      <c r="T2088" s="26">
        <f>S2088*G2088</f>
        <v/>
      </c>
      <c r="U2088" s="26">
        <f>R2088-T2088</f>
        <v/>
      </c>
      <c r="V2088" s="26">
        <f>U2088-L2088</f>
        <v/>
      </c>
    </row>
    <row r="2089">
      <c r="A2089" s="11" t="n">
        <v>46224</v>
      </c>
      <c r="B2089" s="1" t="n">
        <v>20027</v>
      </c>
      <c r="C2089" s="1" t="inlineStr">
        <is>
          <t>108</t>
        </is>
      </c>
      <c r="D2089" s="1" t="inlineStr">
        <is>
          <t>199867</t>
        </is>
      </c>
      <c r="E2089" s="1" t="inlineStr">
        <is>
          <t xml:space="preserve">28194770       </t>
        </is>
      </c>
      <c r="F2089" s="5" t="inlineStr">
        <is>
          <t>AUTOS DE METAL 3 TEAMSTERZ EN BLISTER</t>
        </is>
      </c>
      <c r="G2089" t="n">
        <v>1</v>
      </c>
      <c r="H2089" s="7" t="n">
        <v>6.9</v>
      </c>
      <c r="I2089" s="7" t="n">
        <v>0.6899999999999999</v>
      </c>
      <c r="J2089" s="7" t="n">
        <v>0</v>
      </c>
      <c r="K2089" s="9" t="n">
        <v>0.6899999999999999</v>
      </c>
      <c r="L2089" s="10" t="n">
        <v>3.68</v>
      </c>
      <c r="M2089" s="10" t="n">
        <v>1.43</v>
      </c>
      <c r="N2089" t="inlineStr">
        <is>
          <t>1</t>
        </is>
      </c>
      <c r="O2089" t="inlineStr">
        <is>
          <t xml:space="preserve">3 </t>
        </is>
      </c>
      <c r="P2089" t="inlineStr">
        <is>
          <t xml:space="preserve">30333   </t>
        </is>
      </c>
      <c r="Q2089" s="26" t="n">
        <v>4.09</v>
      </c>
      <c r="R2089" s="26">
        <f>Q2089*G2089</f>
        <v/>
      </c>
      <c r="S2089" s="26">
        <f>IFERROR(VLOOKUP(E2089*1,Tabla[#All],8,0),0)</f>
        <v/>
      </c>
      <c r="T2089" s="26">
        <f>S2089*G2089</f>
        <v/>
      </c>
      <c r="U2089" s="26">
        <f>R2089-T2089</f>
        <v/>
      </c>
      <c r="V2089" s="26">
        <f>U2089-L2089</f>
        <v/>
      </c>
    </row>
    <row r="2090">
      <c r="A2090" s="11" t="n">
        <v>46224</v>
      </c>
      <c r="B2090" s="1" t="n">
        <v>20028</v>
      </c>
      <c r="C2090" s="1" t="inlineStr">
        <is>
          <t>021</t>
        </is>
      </c>
      <c r="D2090" s="1" t="inlineStr">
        <is>
          <t>186309</t>
        </is>
      </c>
      <c r="E2090" s="1" t="inlineStr">
        <is>
          <t xml:space="preserve">32457103       </t>
        </is>
      </c>
      <c r="F2090" s="5" t="inlineStr">
        <is>
          <t>TMZ BEAST MACHINES MONSTER JAWS A FRICCION PACK DE</t>
        </is>
      </c>
      <c r="G2090" t="n">
        <v>1</v>
      </c>
      <c r="H2090" s="7" t="n">
        <v>32.9</v>
      </c>
      <c r="I2090" s="7" t="n">
        <v>0</v>
      </c>
      <c r="J2090" s="7" t="n">
        <v>0</v>
      </c>
      <c r="K2090" s="9" t="n">
        <v>0</v>
      </c>
      <c r="L2090" s="10" t="n">
        <v>19.52</v>
      </c>
      <c r="M2090" s="10" t="n">
        <v>1.43</v>
      </c>
      <c r="N2090" t="inlineStr">
        <is>
          <t>1</t>
        </is>
      </c>
      <c r="O2090" t="inlineStr">
        <is>
          <t xml:space="preserve">2 </t>
        </is>
      </c>
      <c r="P2090" t="inlineStr">
        <is>
          <t xml:space="preserve">23741   </t>
        </is>
      </c>
      <c r="Q2090" s="26" t="n">
        <v>22.48</v>
      </c>
      <c r="R2090" s="26">
        <f>Q2090*G2090</f>
        <v/>
      </c>
      <c r="S2090" s="26">
        <f>IFERROR(VLOOKUP(E2090*1,Tabla[#All],8,0),0)</f>
        <v/>
      </c>
      <c r="T2090" s="26">
        <f>S2090*G2090</f>
        <v/>
      </c>
      <c r="U2090" s="26">
        <f>R2090-T2090</f>
        <v/>
      </c>
      <c r="V2090" s="26">
        <f>U2090-L2090</f>
        <v/>
      </c>
    </row>
    <row r="2091">
      <c r="A2091" s="11" t="n">
        <v>46224</v>
      </c>
      <c r="B2091" s="1" t="n">
        <v>20028</v>
      </c>
      <c r="C2091" s="1" t="inlineStr">
        <is>
          <t>021</t>
        </is>
      </c>
      <c r="D2091" s="1" t="inlineStr">
        <is>
          <t>186309</t>
        </is>
      </c>
      <c r="E2091" s="1" t="inlineStr">
        <is>
          <t xml:space="preserve">32457103       </t>
        </is>
      </c>
      <c r="F2091" s="5" t="inlineStr">
        <is>
          <t>TMZ BEAST MACHINES MONSTER JAWS A FRICCION PACK DE</t>
        </is>
      </c>
      <c r="G2091" t="n">
        <v>1</v>
      </c>
      <c r="H2091" s="7" t="n">
        <v>32.9</v>
      </c>
      <c r="I2091" s="7" t="n">
        <v>0</v>
      </c>
      <c r="J2091" s="7" t="n">
        <v>0</v>
      </c>
      <c r="K2091" s="9" t="n">
        <v>0</v>
      </c>
      <c r="L2091" s="10" t="n">
        <v>19.52</v>
      </c>
      <c r="M2091" s="10" t="n">
        <v>1.43</v>
      </c>
      <c r="N2091" t="inlineStr">
        <is>
          <t>1</t>
        </is>
      </c>
      <c r="O2091" t="inlineStr">
        <is>
          <t xml:space="preserve">2 </t>
        </is>
      </c>
      <c r="P2091" t="inlineStr">
        <is>
          <t xml:space="preserve">23741   </t>
        </is>
      </c>
      <c r="Q2091" s="26" t="n">
        <v>22.48</v>
      </c>
      <c r="R2091" s="26">
        <f>Q2091*G2091</f>
        <v/>
      </c>
      <c r="S2091" s="26">
        <f>IFERROR(VLOOKUP(E2091*1,Tabla[#All],8,0),0)</f>
        <v/>
      </c>
      <c r="T2091" s="26">
        <f>S2091*G2091</f>
        <v/>
      </c>
      <c r="U2091" s="26">
        <f>R2091-T2091</f>
        <v/>
      </c>
      <c r="V2091" s="26">
        <f>U2091-L2091</f>
        <v/>
      </c>
    </row>
    <row r="2092">
      <c r="A2092" s="11" t="n">
        <v>46224</v>
      </c>
      <c r="B2092" s="1" t="n">
        <v>20028</v>
      </c>
      <c r="C2092" s="1" t="inlineStr">
        <is>
          <t>021</t>
        </is>
      </c>
      <c r="D2092" s="1" t="inlineStr">
        <is>
          <t>186354</t>
        </is>
      </c>
      <c r="E2092" s="1" t="inlineStr">
        <is>
          <t xml:space="preserve">35685067       </t>
        </is>
      </c>
      <c r="F2092" s="5" t="inlineStr">
        <is>
          <t>HOT WHEELS POWER SET 3 EN 1</t>
        </is>
      </c>
      <c r="G2092" t="n">
        <v>1</v>
      </c>
      <c r="H2092" s="7" t="n">
        <v>49.9</v>
      </c>
      <c r="I2092" s="7" t="n">
        <v>4.99</v>
      </c>
      <c r="J2092" s="7" t="n">
        <v>0</v>
      </c>
      <c r="K2092" s="9" t="n">
        <v>4.99</v>
      </c>
      <c r="L2092" s="10" t="n">
        <v>26.64</v>
      </c>
      <c r="M2092" s="10" t="n">
        <v>1.43</v>
      </c>
      <c r="N2092" t="inlineStr">
        <is>
          <t>1</t>
        </is>
      </c>
      <c r="O2092" t="inlineStr">
        <is>
          <t xml:space="preserve">3 </t>
        </is>
      </c>
      <c r="P2092" t="inlineStr">
        <is>
          <t xml:space="preserve">23741   </t>
        </is>
      </c>
      <c r="Q2092" s="26" t="n">
        <v>29.6</v>
      </c>
      <c r="R2092" s="26">
        <f>Q2092*G2092</f>
        <v/>
      </c>
      <c r="S2092" s="26">
        <f>IFERROR(VLOOKUP(E2092*1,Tabla[#All],8,0),0)</f>
        <v/>
      </c>
      <c r="T2092" s="26">
        <f>S2092*G2092</f>
        <v/>
      </c>
      <c r="U2092" s="26">
        <f>R2092-T2092</f>
        <v/>
      </c>
      <c r="V2092" s="26">
        <f>U2092-L2092</f>
        <v/>
      </c>
    </row>
    <row r="2093">
      <c r="A2093" s="11" t="n">
        <v>46224</v>
      </c>
      <c r="B2093" s="1" t="n">
        <v>20040</v>
      </c>
      <c r="C2093" s="1" t="inlineStr">
        <is>
          <t>036</t>
        </is>
      </c>
      <c r="D2093" s="1" t="inlineStr">
        <is>
          <t xml:space="preserve">3150  </t>
        </is>
      </c>
      <c r="E2093" s="1" t="inlineStr">
        <is>
          <t xml:space="preserve">32457105       </t>
        </is>
      </c>
      <c r="F2093" s="5" t="inlineStr">
        <is>
          <t>TMZ BEAST MACHINES MONSTER JAWS ATAQUE ESCORPION +</t>
        </is>
      </c>
      <c r="G2093" t="n">
        <v>1</v>
      </c>
      <c r="H2093" s="7" t="n">
        <v>49.9</v>
      </c>
      <c r="I2093" s="7" t="n">
        <v>0</v>
      </c>
      <c r="J2093" s="7" t="n">
        <v>0</v>
      </c>
      <c r="K2093" s="9" t="n">
        <v>0</v>
      </c>
      <c r="L2093" s="10" t="n">
        <v>29.6</v>
      </c>
      <c r="M2093" s="10" t="n">
        <v>1.43</v>
      </c>
      <c r="N2093" t="inlineStr">
        <is>
          <t>1</t>
        </is>
      </c>
      <c r="O2093" t="inlineStr">
        <is>
          <t>16</t>
        </is>
      </c>
      <c r="P2093" t="inlineStr">
        <is>
          <t xml:space="preserve">248842  </t>
        </is>
      </c>
      <c r="Q2093" s="26" t="n">
        <v>41.47</v>
      </c>
      <c r="R2093" s="26">
        <f>Q2093*G2093</f>
        <v/>
      </c>
      <c r="S2093" s="26">
        <f>IFERROR(VLOOKUP(E2093*1,Tabla[#All],8,0),0)</f>
        <v/>
      </c>
      <c r="T2093" s="26">
        <f>S2093*G2093</f>
        <v/>
      </c>
      <c r="U2093" s="26">
        <f>R2093-T2093</f>
        <v/>
      </c>
      <c r="V2093" s="26">
        <f>U2093-L2093</f>
        <v/>
      </c>
    </row>
    <row r="2094">
      <c r="A2094" s="11" t="n">
        <v>46224</v>
      </c>
      <c r="B2094" s="1" t="n">
        <v>20040</v>
      </c>
      <c r="C2094" s="1" t="inlineStr">
        <is>
          <t>073</t>
        </is>
      </c>
      <c r="D2094" s="1" t="inlineStr">
        <is>
          <t>255256</t>
        </is>
      </c>
      <c r="E2094" s="1" t="inlineStr">
        <is>
          <t xml:space="preserve">34840551       </t>
        </is>
      </c>
      <c r="F2094" s="5" t="inlineStr">
        <is>
          <t>TMZ HELI BOMBERO CON LUCES Y SONIDOS</t>
        </is>
      </c>
      <c r="G2094" t="n">
        <v>1</v>
      </c>
      <c r="H2094" s="7" t="n">
        <v>79.90000000000001</v>
      </c>
      <c r="I2094" s="7" t="n">
        <v>0</v>
      </c>
      <c r="J2094" s="7" t="n">
        <v>0</v>
      </c>
      <c r="K2094" s="9" t="n">
        <v>0</v>
      </c>
      <c r="L2094" s="10" t="n">
        <v>47.4</v>
      </c>
      <c r="M2094" s="10" t="n">
        <v>1.43</v>
      </c>
      <c r="N2094" t="inlineStr">
        <is>
          <t>1</t>
        </is>
      </c>
      <c r="O2094" t="inlineStr">
        <is>
          <t xml:space="preserve">2 </t>
        </is>
      </c>
      <c r="P2094" t="inlineStr">
        <is>
          <t xml:space="preserve">247177  </t>
        </is>
      </c>
      <c r="Q2094" s="26" t="n">
        <v>47.4</v>
      </c>
      <c r="R2094" s="26">
        <f>Q2094*G2094</f>
        <v/>
      </c>
      <c r="S2094" s="26">
        <f>IFERROR(VLOOKUP(E2094*1,Tabla[#All],8,0),0)</f>
        <v/>
      </c>
      <c r="T2094" s="26">
        <f>S2094*G2094</f>
        <v/>
      </c>
      <c r="U2094" s="26">
        <f>R2094-T2094</f>
        <v/>
      </c>
      <c r="V2094" s="26">
        <f>U2094-L2094</f>
        <v/>
      </c>
    </row>
    <row r="2095">
      <c r="A2095" s="11" t="n">
        <v>46224</v>
      </c>
      <c r="B2095" s="1" t="n">
        <v>20040</v>
      </c>
      <c r="C2095" s="1" t="inlineStr">
        <is>
          <t>083</t>
        </is>
      </c>
      <c r="D2095" s="1" t="inlineStr">
        <is>
          <t>160342</t>
        </is>
      </c>
      <c r="E2095" s="1" t="inlineStr">
        <is>
          <t xml:space="preserve">32457099       </t>
        </is>
      </c>
      <c r="F2095" s="5" t="inlineStr">
        <is>
          <t>TMZ BEAST MACHINES MONSTER JAWS A FRICCION BLISTER</t>
        </is>
      </c>
      <c r="G2095" t="n">
        <v>1</v>
      </c>
      <c r="H2095" s="7" t="n">
        <v>17.9</v>
      </c>
      <c r="I2095" s="7" t="n">
        <v>0</v>
      </c>
      <c r="J2095" s="7" t="n">
        <v>0</v>
      </c>
      <c r="K2095" s="9" t="n">
        <v>0</v>
      </c>
      <c r="L2095" s="10" t="n">
        <v>10.62</v>
      </c>
      <c r="M2095" s="10" t="n">
        <v>1.43</v>
      </c>
      <c r="N2095" t="inlineStr">
        <is>
          <t>1</t>
        </is>
      </c>
      <c r="O2095" t="inlineStr">
        <is>
          <t>16</t>
        </is>
      </c>
      <c r="P2095" t="inlineStr">
        <is>
          <t xml:space="preserve">201916  </t>
        </is>
      </c>
      <c r="Q2095" s="26" t="n">
        <v>11.81</v>
      </c>
      <c r="R2095" s="26">
        <f>Q2095*G2095</f>
        <v/>
      </c>
      <c r="S2095" s="26">
        <f>IFERROR(VLOOKUP(E2095*1,Tabla[#All],8,0),0)</f>
        <v/>
      </c>
      <c r="T2095" s="26">
        <f>S2095*G2095</f>
        <v/>
      </c>
      <c r="U2095" s="26">
        <f>R2095-T2095</f>
        <v/>
      </c>
      <c r="V2095" s="26">
        <f>U2095-L2095</f>
        <v/>
      </c>
    </row>
    <row r="2096">
      <c r="A2096" s="11" t="n">
        <v>46224</v>
      </c>
      <c r="B2096" s="1" t="n">
        <v>20041</v>
      </c>
      <c r="C2096" s="1" t="inlineStr">
        <is>
          <t>031</t>
        </is>
      </c>
      <c r="D2096" s="1" t="inlineStr">
        <is>
          <t>166161</t>
        </is>
      </c>
      <c r="E2096" s="1" t="inlineStr">
        <is>
          <t xml:space="preserve">28194770       </t>
        </is>
      </c>
      <c r="F2096" s="5" t="inlineStr">
        <is>
          <t>AUTOS DE METAL 3 TEAMSTERZ EN BLISTER</t>
        </is>
      </c>
      <c r="G2096" t="n">
        <v>1</v>
      </c>
      <c r="H2096" s="7" t="n">
        <v>6.9</v>
      </c>
      <c r="I2096" s="7" t="n">
        <v>0</v>
      </c>
      <c r="J2096" s="7" t="n">
        <v>0</v>
      </c>
      <c r="K2096" s="9" t="n">
        <v>0</v>
      </c>
      <c r="L2096" s="10" t="n">
        <v>4.1</v>
      </c>
      <c r="M2096" s="10" t="n">
        <v>1.43</v>
      </c>
      <c r="N2096" t="inlineStr">
        <is>
          <t>1</t>
        </is>
      </c>
      <c r="O2096" t="inlineStr">
        <is>
          <t xml:space="preserve">3 </t>
        </is>
      </c>
      <c r="P2096" t="inlineStr">
        <is>
          <t xml:space="preserve">245842  </t>
        </is>
      </c>
      <c r="Q2096" s="26" t="n">
        <v>4.09</v>
      </c>
      <c r="R2096" s="26">
        <f>Q2096*G2096</f>
        <v/>
      </c>
      <c r="S2096" s="26">
        <f>IFERROR(VLOOKUP(E2096*1,Tabla[#All],8,0),0)</f>
        <v/>
      </c>
      <c r="T2096" s="26">
        <f>S2096*G2096</f>
        <v/>
      </c>
      <c r="U2096" s="26">
        <f>R2096-T2096</f>
        <v/>
      </c>
      <c r="V2096" s="26">
        <f>U2096-L2096</f>
        <v/>
      </c>
    </row>
    <row r="2097">
      <c r="A2097" s="11" t="n">
        <v>46224</v>
      </c>
      <c r="B2097" s="1" t="n">
        <v>20041</v>
      </c>
      <c r="C2097" s="1" t="inlineStr">
        <is>
          <t>037</t>
        </is>
      </c>
      <c r="D2097" s="1" t="inlineStr">
        <is>
          <t>189957</t>
        </is>
      </c>
      <c r="E2097" s="1" t="inlineStr">
        <is>
          <t xml:space="preserve">28194770       </t>
        </is>
      </c>
      <c r="F2097" s="5" t="inlineStr">
        <is>
          <t>AUTOS DE METAL 3 TEAMSTERZ EN BLISTER</t>
        </is>
      </c>
      <c r="G2097" t="n">
        <v>1</v>
      </c>
      <c r="H2097" s="7" t="n">
        <v>6.9</v>
      </c>
      <c r="I2097" s="7" t="n">
        <v>0</v>
      </c>
      <c r="J2097" s="7" t="n">
        <v>0</v>
      </c>
      <c r="K2097" s="9" t="n">
        <v>0</v>
      </c>
      <c r="L2097" s="10" t="n">
        <v>4.1</v>
      </c>
      <c r="M2097" s="10" t="n">
        <v>1.43</v>
      </c>
      <c r="N2097" t="inlineStr">
        <is>
          <t>1</t>
        </is>
      </c>
      <c r="O2097" t="inlineStr">
        <is>
          <t xml:space="preserve">2 </t>
        </is>
      </c>
      <c r="P2097" t="inlineStr">
        <is>
          <t xml:space="preserve">243970  </t>
        </is>
      </c>
      <c r="Q2097" s="26" t="n">
        <v>4.09</v>
      </c>
      <c r="R2097" s="26">
        <f>Q2097*G2097</f>
        <v/>
      </c>
      <c r="S2097" s="26">
        <f>IFERROR(VLOOKUP(E2097*1,Tabla[#All],8,0),0)</f>
        <v/>
      </c>
      <c r="T2097" s="26">
        <f>S2097*G2097</f>
        <v/>
      </c>
      <c r="U2097" s="26">
        <f>R2097-T2097</f>
        <v/>
      </c>
      <c r="V2097" s="26">
        <f>U2097-L2097</f>
        <v/>
      </c>
    </row>
    <row r="2098">
      <c r="A2098" s="11" t="n">
        <v>46224</v>
      </c>
      <c r="B2098" s="1" t="n">
        <v>20043</v>
      </c>
      <c r="C2098" s="1" t="inlineStr">
        <is>
          <t>029</t>
        </is>
      </c>
      <c r="D2098" s="1" t="inlineStr">
        <is>
          <t>169470</t>
        </is>
      </c>
      <c r="E2098" s="1" t="inlineStr">
        <is>
          <t xml:space="preserve">28194770       </t>
        </is>
      </c>
      <c r="F2098" s="5" t="inlineStr">
        <is>
          <t>AUTOS DE METAL 3 TEAMSTERZ EN BLISTER</t>
        </is>
      </c>
      <c r="G2098" t="n">
        <v>1</v>
      </c>
      <c r="H2098" s="7" t="n">
        <v>6.9</v>
      </c>
      <c r="I2098" s="7" t="n">
        <v>0.6899999999999999</v>
      </c>
      <c r="J2098" s="7" t="n">
        <v>0</v>
      </c>
      <c r="K2098" s="9" t="n">
        <v>0.6899999999999999</v>
      </c>
      <c r="L2098" s="10" t="n">
        <v>3.68</v>
      </c>
      <c r="M2098" s="10" t="n">
        <v>1.43</v>
      </c>
      <c r="N2098" t="inlineStr">
        <is>
          <t>1</t>
        </is>
      </c>
      <c r="O2098" t="inlineStr">
        <is>
          <t xml:space="preserve">3 </t>
        </is>
      </c>
      <c r="P2098" t="inlineStr">
        <is>
          <t xml:space="preserve">30705   </t>
        </is>
      </c>
      <c r="Q2098" s="26" t="n">
        <v>4.09</v>
      </c>
      <c r="R2098" s="26">
        <f>Q2098*G2098</f>
        <v/>
      </c>
      <c r="S2098" s="26">
        <f>IFERROR(VLOOKUP(E2098*1,Tabla[#All],8,0),0)</f>
        <v/>
      </c>
      <c r="T2098" s="26">
        <f>S2098*G2098</f>
        <v/>
      </c>
      <c r="U2098" s="26">
        <f>R2098-T2098</f>
        <v/>
      </c>
      <c r="V2098" s="26">
        <f>U2098-L2098</f>
        <v/>
      </c>
    </row>
    <row r="2099">
      <c r="A2099" s="11" t="n">
        <v>46224</v>
      </c>
      <c r="B2099" s="1" t="n">
        <v>20043</v>
      </c>
      <c r="C2099" s="1" t="inlineStr">
        <is>
          <t>029</t>
        </is>
      </c>
      <c r="D2099" s="1" t="inlineStr">
        <is>
          <t>169470</t>
        </is>
      </c>
      <c r="E2099" s="1" t="inlineStr">
        <is>
          <t xml:space="preserve">28194770       </t>
        </is>
      </c>
      <c r="F2099" s="5" t="inlineStr">
        <is>
          <t>AUTOS DE METAL 3 TEAMSTERZ EN BLISTER</t>
        </is>
      </c>
      <c r="G2099" t="n">
        <v>1</v>
      </c>
      <c r="H2099" s="7" t="n">
        <v>6.9</v>
      </c>
      <c r="I2099" s="7" t="n">
        <v>0.6899999999999999</v>
      </c>
      <c r="J2099" s="7" t="n">
        <v>0</v>
      </c>
      <c r="K2099" s="9" t="n">
        <v>0.6899999999999999</v>
      </c>
      <c r="L2099" s="10" t="n">
        <v>3.68</v>
      </c>
      <c r="M2099" s="10" t="n">
        <v>1.43</v>
      </c>
      <c r="N2099" t="inlineStr">
        <is>
          <t>1</t>
        </is>
      </c>
      <c r="O2099" t="inlineStr">
        <is>
          <t xml:space="preserve">3 </t>
        </is>
      </c>
      <c r="P2099" t="inlineStr">
        <is>
          <t xml:space="preserve">30705   </t>
        </is>
      </c>
      <c r="Q2099" s="26" t="n">
        <v>4.09</v>
      </c>
      <c r="R2099" s="26">
        <f>Q2099*G2099</f>
        <v/>
      </c>
      <c r="S2099" s="26">
        <f>IFERROR(VLOOKUP(E2099*1,Tabla[#All],8,0),0)</f>
        <v/>
      </c>
      <c r="T2099" s="26">
        <f>S2099*G2099</f>
        <v/>
      </c>
      <c r="U2099" s="26">
        <f>R2099-T2099</f>
        <v/>
      </c>
      <c r="V2099" s="26">
        <f>U2099-L2099</f>
        <v/>
      </c>
    </row>
    <row r="2100">
      <c r="A2100" s="11" t="n">
        <v>46224</v>
      </c>
      <c r="B2100" s="1" t="n">
        <v>20047</v>
      </c>
      <c r="C2100" s="1" t="inlineStr">
        <is>
          <t>191</t>
        </is>
      </c>
      <c r="D2100" s="1" t="inlineStr">
        <is>
          <t>462848</t>
        </is>
      </c>
      <c r="E2100" s="1" t="inlineStr">
        <is>
          <t xml:space="preserve">28194770       </t>
        </is>
      </c>
      <c r="F2100" s="5" t="inlineStr">
        <is>
          <t>AUTOS DE METAL 3 TEAMSTERZ EN BLISTER</t>
        </is>
      </c>
      <c r="G2100" t="n">
        <v>1</v>
      </c>
      <c r="H2100" s="7" t="n">
        <v>6.9</v>
      </c>
      <c r="I2100" s="7" t="n">
        <v>0</v>
      </c>
      <c r="J2100" s="7" t="n">
        <v>0</v>
      </c>
      <c r="K2100" s="9" t="n">
        <v>0</v>
      </c>
      <c r="L2100" s="10" t="n">
        <v>4.1</v>
      </c>
      <c r="M2100" s="10" t="n">
        <v>1.43</v>
      </c>
      <c r="N2100" t="inlineStr">
        <is>
          <t>1</t>
        </is>
      </c>
      <c r="O2100" t="inlineStr">
        <is>
          <t xml:space="preserve">2 </t>
        </is>
      </c>
      <c r="P2100" t="inlineStr">
        <is>
          <t xml:space="preserve">248817  </t>
        </is>
      </c>
      <c r="Q2100" s="26" t="n">
        <v>4.09</v>
      </c>
      <c r="R2100" s="26">
        <f>Q2100*G2100</f>
        <v/>
      </c>
      <c r="S2100" s="26">
        <f>IFERROR(VLOOKUP(E2100*1,Tabla[#All],8,0),0)</f>
        <v/>
      </c>
      <c r="T2100" s="26">
        <f>S2100*G2100</f>
        <v/>
      </c>
      <c r="U2100" s="26">
        <f>R2100-T2100</f>
        <v/>
      </c>
      <c r="V2100" s="26">
        <f>U2100-L2100</f>
        <v/>
      </c>
    </row>
    <row r="2101">
      <c r="A2101" s="11" t="n">
        <v>46224</v>
      </c>
      <c r="B2101" s="1" t="n">
        <v>20048</v>
      </c>
      <c r="C2101" s="1" t="inlineStr">
        <is>
          <t>013</t>
        </is>
      </c>
      <c r="D2101" s="1" t="inlineStr">
        <is>
          <t>226115</t>
        </is>
      </c>
      <c r="E2101" s="1" t="inlineStr">
        <is>
          <t xml:space="preserve">29235700       </t>
        </is>
      </c>
      <c r="F2101" s="5" t="inlineStr">
        <is>
          <t>HOT WHEELS CASE METALICO PARA GUARDAR 18 CARRITOS</t>
        </is>
      </c>
      <c r="G2101" t="n">
        <v>1</v>
      </c>
      <c r="H2101" s="7" t="n">
        <v>49.9</v>
      </c>
      <c r="I2101" s="7" t="n">
        <v>0</v>
      </c>
      <c r="J2101" s="7" t="n">
        <v>0</v>
      </c>
      <c r="K2101" s="9" t="n">
        <v>0</v>
      </c>
      <c r="L2101" s="10" t="n">
        <v>29.6</v>
      </c>
      <c r="M2101" s="10" t="n">
        <v>1.43</v>
      </c>
      <c r="N2101" t="inlineStr">
        <is>
          <t>1</t>
        </is>
      </c>
      <c r="O2101" t="inlineStr">
        <is>
          <t xml:space="preserve">3 </t>
        </is>
      </c>
      <c r="P2101" t="inlineStr">
        <is>
          <t xml:space="preserve">45117   </t>
        </is>
      </c>
      <c r="Q2101" s="26" t="n">
        <v>29.6</v>
      </c>
      <c r="R2101" s="26">
        <f>Q2101*G2101</f>
        <v/>
      </c>
      <c r="S2101" s="26">
        <f>IFERROR(VLOOKUP(E2101*1,Tabla[#All],8,0),0)</f>
        <v/>
      </c>
      <c r="T2101" s="26">
        <f>S2101*G2101</f>
        <v/>
      </c>
      <c r="U2101" s="26">
        <f>R2101-T2101</f>
        <v/>
      </c>
      <c r="V2101" s="26">
        <f>U2101-L2101</f>
        <v/>
      </c>
    </row>
    <row r="2102">
      <c r="A2102" s="11" t="n">
        <v>46224</v>
      </c>
      <c r="B2102" s="1" t="n">
        <v>20048</v>
      </c>
      <c r="C2102" s="1" t="inlineStr">
        <is>
          <t>013</t>
        </is>
      </c>
      <c r="D2102" s="1" t="inlineStr">
        <is>
          <t>226141</t>
        </is>
      </c>
      <c r="E2102" s="1" t="inlineStr">
        <is>
          <t xml:space="preserve">34840551       </t>
        </is>
      </c>
      <c r="F2102" s="5" t="inlineStr">
        <is>
          <t>TMZ HELI BOMBERO CON LUCES Y SONIDOS</t>
        </is>
      </c>
      <c r="G2102" t="n">
        <v>1</v>
      </c>
      <c r="H2102" s="7" t="n">
        <v>79.90000000000001</v>
      </c>
      <c r="I2102" s="7" t="n">
        <v>0</v>
      </c>
      <c r="J2102" s="7" t="n">
        <v>0</v>
      </c>
      <c r="K2102" s="9" t="n">
        <v>0</v>
      </c>
      <c r="L2102" s="10" t="n">
        <v>47.4</v>
      </c>
      <c r="M2102" s="10" t="n">
        <v>1.43</v>
      </c>
      <c r="N2102" t="inlineStr">
        <is>
          <t>1</t>
        </is>
      </c>
      <c r="O2102" t="inlineStr">
        <is>
          <t>16</t>
        </is>
      </c>
      <c r="P2102" t="inlineStr">
        <is>
          <t xml:space="preserve">45117   </t>
        </is>
      </c>
      <c r="Q2102" s="26" t="n">
        <v>47.4</v>
      </c>
      <c r="R2102" s="26">
        <f>Q2102*G2102</f>
        <v/>
      </c>
      <c r="S2102" s="26">
        <f>IFERROR(VLOOKUP(E2102*1,Tabla[#All],8,0),0)</f>
        <v/>
      </c>
      <c r="T2102" s="26">
        <f>S2102*G2102</f>
        <v/>
      </c>
      <c r="U2102" s="26">
        <f>R2102-T2102</f>
        <v/>
      </c>
      <c r="V2102" s="26">
        <f>U2102-L2102</f>
        <v/>
      </c>
    </row>
    <row r="2103">
      <c r="A2103" s="11" t="n">
        <v>46224</v>
      </c>
      <c r="B2103" s="1" t="n">
        <v>20048</v>
      </c>
      <c r="C2103" s="1" t="inlineStr">
        <is>
          <t>017</t>
        </is>
      </c>
      <c r="D2103" s="1" t="inlineStr">
        <is>
          <t>167293</t>
        </is>
      </c>
      <c r="E2103" s="1" t="inlineStr">
        <is>
          <t xml:space="preserve">28194769       </t>
        </is>
      </c>
      <c r="F2103" s="5" t="inlineStr">
        <is>
          <t>AUTOS DE METAL 3 TEAMSTERZ PACK DE 2</t>
        </is>
      </c>
      <c r="G2103" t="n">
        <v>1</v>
      </c>
      <c r="H2103" s="7" t="n">
        <v>13.8</v>
      </c>
      <c r="I2103" s="7" t="n">
        <v>0</v>
      </c>
      <c r="J2103" s="7" t="n">
        <v>0</v>
      </c>
      <c r="K2103" s="9" t="n">
        <v>0</v>
      </c>
      <c r="L2103" s="10" t="n">
        <v>8.18</v>
      </c>
      <c r="M2103" s="10" t="n">
        <v>1.43</v>
      </c>
      <c r="N2103" t="inlineStr">
        <is>
          <t>1</t>
        </is>
      </c>
      <c r="O2103" t="inlineStr">
        <is>
          <t xml:space="preserve">2 </t>
        </is>
      </c>
      <c r="P2103" t="inlineStr">
        <is>
          <t xml:space="preserve">82617   </t>
        </is>
      </c>
      <c r="Q2103" s="26" t="n">
        <v>8.19</v>
      </c>
      <c r="R2103" s="26">
        <f>Q2103*G2103</f>
        <v/>
      </c>
      <c r="S2103" s="26">
        <f>IFERROR(VLOOKUP(E2103*1,Tabla[#All],8,0),0)</f>
        <v/>
      </c>
      <c r="T2103" s="26">
        <f>S2103*G2103</f>
        <v/>
      </c>
      <c r="U2103" s="26">
        <f>R2103-T2103</f>
        <v/>
      </c>
      <c r="V2103" s="26">
        <f>U2103-L2103</f>
        <v/>
      </c>
    </row>
    <row r="2104">
      <c r="A2104" s="11" t="n">
        <v>46224</v>
      </c>
      <c r="B2104" s="1" t="n">
        <v>20048</v>
      </c>
      <c r="C2104" s="1" t="inlineStr">
        <is>
          <t>515</t>
        </is>
      </c>
      <c r="D2104" s="1" t="inlineStr">
        <is>
          <t xml:space="preserve">1583  </t>
        </is>
      </c>
      <c r="E2104" s="1" t="inlineStr">
        <is>
          <t xml:space="preserve">28194768       </t>
        </is>
      </c>
      <c r="F2104" s="5" t="inlineStr">
        <is>
          <t>AUTO COLOR CHANGE TEAMSTERZ SURTIDO</t>
        </is>
      </c>
      <c r="G2104" t="n">
        <v>1</v>
      </c>
      <c r="H2104" s="7" t="n">
        <v>14.9</v>
      </c>
      <c r="I2104" s="7" t="n">
        <v>0</v>
      </c>
      <c r="J2104" s="7" t="n">
        <v>0</v>
      </c>
      <c r="K2104" s="9" t="n">
        <v>0</v>
      </c>
      <c r="L2104" s="10" t="n">
        <v>8.84</v>
      </c>
      <c r="M2104" s="10" t="n">
        <v>1.43</v>
      </c>
      <c r="N2104" t="inlineStr">
        <is>
          <t>1</t>
        </is>
      </c>
      <c r="O2104" t="inlineStr">
        <is>
          <t>16</t>
        </is>
      </c>
      <c r="P2104" t="inlineStr">
        <is>
          <t xml:space="preserve">102671  </t>
        </is>
      </c>
      <c r="Q2104" s="26" t="n">
        <v>8.84</v>
      </c>
      <c r="R2104" s="26">
        <f>Q2104*G2104</f>
        <v/>
      </c>
      <c r="S2104" s="26">
        <f>IFERROR(VLOOKUP(E2104*1,Tabla[#All],8,0),0)</f>
        <v/>
      </c>
      <c r="T2104" s="26">
        <f>S2104*G2104</f>
        <v/>
      </c>
      <c r="U2104" s="26">
        <f>R2104-T2104</f>
        <v/>
      </c>
      <c r="V2104" s="26">
        <f>U2104-L2104</f>
        <v/>
      </c>
    </row>
    <row r="2105">
      <c r="A2105" s="11" t="n">
        <v>46224</v>
      </c>
      <c r="B2105" s="1" t="n">
        <v>20049</v>
      </c>
      <c r="C2105" s="1" t="inlineStr">
        <is>
          <t>013</t>
        </is>
      </c>
      <c r="D2105" s="1" t="inlineStr">
        <is>
          <t>236914</t>
        </is>
      </c>
      <c r="E2105" s="1" t="inlineStr">
        <is>
          <t xml:space="preserve">28194781       </t>
        </is>
      </c>
      <c r="F2105" s="5" t="inlineStr">
        <is>
          <t>TROMPO BATALLA INFINITY NADO SERIE V CLASICA SURTI</t>
        </is>
      </c>
      <c r="G2105" t="n">
        <v>1</v>
      </c>
      <c r="H2105" s="7" t="n">
        <v>39.9</v>
      </c>
      <c r="I2105" s="7" t="n">
        <v>0</v>
      </c>
      <c r="J2105" s="7" t="n">
        <v>0</v>
      </c>
      <c r="K2105" s="9" t="n">
        <v>0</v>
      </c>
      <c r="L2105" s="10" t="n">
        <v>23.67</v>
      </c>
      <c r="M2105" s="10" t="n">
        <v>1.43</v>
      </c>
      <c r="N2105" t="inlineStr">
        <is>
          <t>1</t>
        </is>
      </c>
      <c r="O2105" t="inlineStr">
        <is>
          <t>16</t>
        </is>
      </c>
      <c r="P2105" t="inlineStr">
        <is>
          <t xml:space="preserve">245485  </t>
        </is>
      </c>
      <c r="Q2105" s="26" t="n">
        <v>35.53</v>
      </c>
      <c r="R2105" s="26">
        <f>Q2105*G2105</f>
        <v/>
      </c>
      <c r="S2105" s="26">
        <f>IFERROR(VLOOKUP(E2105*1,Tabla[#All],8,0),0)</f>
        <v/>
      </c>
      <c r="T2105" s="26">
        <f>S2105*G2105</f>
        <v/>
      </c>
      <c r="U2105" s="26">
        <f>R2105-T2105</f>
        <v/>
      </c>
      <c r="V2105" s="26">
        <f>U2105-L2105</f>
        <v/>
      </c>
    </row>
    <row r="2106">
      <c r="A2106" s="11" t="n">
        <v>46224</v>
      </c>
      <c r="B2106" s="1" t="n">
        <v>20049</v>
      </c>
      <c r="C2106" s="1" t="inlineStr">
        <is>
          <t>013</t>
        </is>
      </c>
      <c r="D2106" s="1" t="inlineStr">
        <is>
          <t>236914</t>
        </is>
      </c>
      <c r="E2106" s="1" t="inlineStr">
        <is>
          <t xml:space="preserve">28194781       </t>
        </is>
      </c>
      <c r="F2106" s="5" t="inlineStr">
        <is>
          <t>TROMPO BATALLA INFINITY NADO SERIE V CLASICA SURTI</t>
        </is>
      </c>
      <c r="G2106" t="n">
        <v>1</v>
      </c>
      <c r="H2106" s="7" t="n">
        <v>39.9</v>
      </c>
      <c r="I2106" s="7" t="n">
        <v>0</v>
      </c>
      <c r="J2106" s="7" t="n">
        <v>0</v>
      </c>
      <c r="K2106" s="9" t="n">
        <v>0</v>
      </c>
      <c r="L2106" s="10" t="n">
        <v>23.67</v>
      </c>
      <c r="M2106" s="10" t="n">
        <v>1.43</v>
      </c>
      <c r="N2106" t="inlineStr">
        <is>
          <t>1</t>
        </is>
      </c>
      <c r="O2106" t="inlineStr">
        <is>
          <t>16</t>
        </is>
      </c>
      <c r="P2106" t="inlineStr">
        <is>
          <t xml:space="preserve">245485  </t>
        </is>
      </c>
      <c r="Q2106" s="26" t="n">
        <v>35.53</v>
      </c>
      <c r="R2106" s="26">
        <f>Q2106*G2106</f>
        <v/>
      </c>
      <c r="S2106" s="26">
        <f>IFERROR(VLOOKUP(E2106*1,Tabla[#All],8,0),0)</f>
        <v/>
      </c>
      <c r="T2106" s="26">
        <f>S2106*G2106</f>
        <v/>
      </c>
      <c r="U2106" s="26">
        <f>R2106-T2106</f>
        <v/>
      </c>
      <c r="V2106" s="26">
        <f>U2106-L2106</f>
        <v/>
      </c>
    </row>
    <row r="2107">
      <c r="A2107" s="11" t="n">
        <v>46224</v>
      </c>
      <c r="B2107" s="1" t="n">
        <v>20049</v>
      </c>
      <c r="C2107" s="1" t="inlineStr">
        <is>
          <t>025</t>
        </is>
      </c>
      <c r="D2107" s="1" t="inlineStr">
        <is>
          <t xml:space="preserve">34390 </t>
        </is>
      </c>
      <c r="E2107" s="1" t="inlineStr">
        <is>
          <t xml:space="preserve">28194784       </t>
        </is>
      </c>
      <c r="F2107" s="5" t="inlineStr">
        <is>
          <t>SET DE ACROBACIAS INFINITY NADO CON TROMPO</t>
        </is>
      </c>
      <c r="G2107" t="n">
        <v>1</v>
      </c>
      <c r="H2107" s="7" t="n">
        <v>139</v>
      </c>
      <c r="I2107" s="7" t="n">
        <v>0</v>
      </c>
      <c r="J2107" s="7" t="n">
        <v>0</v>
      </c>
      <c r="K2107" s="9" t="n">
        <v>0</v>
      </c>
      <c r="L2107" s="10" t="n">
        <v>82.45999999999999</v>
      </c>
      <c r="M2107" s="10" t="n">
        <v>1.43</v>
      </c>
      <c r="N2107" t="inlineStr">
        <is>
          <t>1</t>
        </is>
      </c>
      <c r="O2107" t="inlineStr">
        <is>
          <t>16</t>
        </is>
      </c>
      <c r="P2107" t="inlineStr">
        <is>
          <t xml:space="preserve">248536  </t>
        </is>
      </c>
      <c r="Q2107" s="26" t="n">
        <v>106.19</v>
      </c>
      <c r="R2107" s="26">
        <f>Q2107*G2107</f>
        <v/>
      </c>
      <c r="S2107" s="26">
        <f>IFERROR(VLOOKUP(E2107*1,Tabla[#All],8,0),0)</f>
        <v/>
      </c>
      <c r="T2107" s="26">
        <f>S2107*G2107</f>
        <v/>
      </c>
      <c r="U2107" s="26">
        <f>R2107-T2107</f>
        <v/>
      </c>
      <c r="V2107" s="26">
        <f>U2107-L2107</f>
        <v/>
      </c>
    </row>
    <row r="2108">
      <c r="A2108" s="11" t="n">
        <v>46224</v>
      </c>
      <c r="B2108" s="1" t="n">
        <v>20049</v>
      </c>
      <c r="C2108" s="1" t="inlineStr">
        <is>
          <t>802</t>
        </is>
      </c>
      <c r="D2108" s="1" t="inlineStr">
        <is>
          <t xml:space="preserve">2247  </t>
        </is>
      </c>
      <c r="E2108" s="1" t="inlineStr">
        <is>
          <t xml:space="preserve">28194769       </t>
        </is>
      </c>
      <c r="F2108" s="5" t="inlineStr">
        <is>
          <t>AUTOS DE METAL 3 TEAMSTERZ PACK DE 2</t>
        </is>
      </c>
      <c r="G2108" t="n">
        <v>1</v>
      </c>
      <c r="H2108" s="7" t="n">
        <v>13.8</v>
      </c>
      <c r="I2108" s="7" t="n">
        <v>0</v>
      </c>
      <c r="J2108" s="7" t="n">
        <v>0</v>
      </c>
      <c r="K2108" s="9" t="n">
        <v>0</v>
      </c>
      <c r="L2108" s="10" t="n">
        <v>8.18</v>
      </c>
      <c r="M2108" s="10" t="n">
        <v>1.43</v>
      </c>
      <c r="N2108" t="inlineStr">
        <is>
          <t>1</t>
        </is>
      </c>
      <c r="O2108" t="inlineStr">
        <is>
          <t>16</t>
        </is>
      </c>
      <c r="P2108" t="inlineStr">
        <is>
          <t xml:space="preserve">0       </t>
        </is>
      </c>
      <c r="Q2108" s="26" t="n">
        <v>8.19</v>
      </c>
      <c r="R2108" s="26">
        <f>Q2108*G2108</f>
        <v/>
      </c>
      <c r="S2108" s="26">
        <f>IFERROR(VLOOKUP(E2108*1,Tabla[#All],8,0),0)</f>
        <v/>
      </c>
      <c r="T2108" s="26">
        <f>S2108*G2108</f>
        <v/>
      </c>
      <c r="U2108" s="26">
        <f>R2108-T2108</f>
        <v/>
      </c>
      <c r="V2108" s="26">
        <f>U2108-L2108</f>
        <v/>
      </c>
    </row>
    <row r="2109">
      <c r="A2109" s="11" t="n">
        <v>46224</v>
      </c>
      <c r="B2109" s="1" t="n">
        <v>20056</v>
      </c>
      <c r="C2109" s="1" t="inlineStr">
        <is>
          <t>023</t>
        </is>
      </c>
      <c r="D2109" s="1" t="inlineStr">
        <is>
          <t xml:space="preserve">31117 </t>
        </is>
      </c>
      <c r="E2109" s="1" t="inlineStr">
        <is>
          <t xml:space="preserve">31959956       </t>
        </is>
      </c>
      <c r="F2109" s="5" t="inlineStr">
        <is>
          <t>TEAMSTERZ CAMION TRANSPORTA ANIMALES SURTIDO</t>
        </is>
      </c>
      <c r="G2109" t="n">
        <v>1</v>
      </c>
      <c r="H2109" s="7" t="n">
        <v>17.9</v>
      </c>
      <c r="I2109" s="7" t="n">
        <v>0</v>
      </c>
      <c r="J2109" s="7" t="n">
        <v>0</v>
      </c>
      <c r="K2109" s="9" t="n">
        <v>0</v>
      </c>
      <c r="L2109" s="10" t="n">
        <v>10.62</v>
      </c>
      <c r="M2109" s="10" t="n">
        <v>1.43</v>
      </c>
      <c r="N2109" t="inlineStr">
        <is>
          <t>1</t>
        </is>
      </c>
      <c r="O2109" t="inlineStr">
        <is>
          <t xml:space="preserve">2 </t>
        </is>
      </c>
      <c r="P2109" t="inlineStr">
        <is>
          <t xml:space="preserve">241925  </t>
        </is>
      </c>
      <c r="Q2109" s="26" t="n">
        <v>10.62</v>
      </c>
      <c r="R2109" s="26">
        <f>Q2109*G2109</f>
        <v/>
      </c>
      <c r="S2109" s="26">
        <f>IFERROR(VLOOKUP(E2109*1,Tabla[#All],8,0),0)</f>
        <v/>
      </c>
      <c r="T2109" s="26">
        <f>S2109*G2109</f>
        <v/>
      </c>
      <c r="U2109" s="26">
        <f>R2109-T2109</f>
        <v/>
      </c>
      <c r="V2109" s="26">
        <f>U2109-L2109</f>
        <v/>
      </c>
    </row>
    <row r="2110">
      <c r="A2110" s="11" t="n">
        <v>46224</v>
      </c>
      <c r="B2110" s="1" t="n">
        <v>20057</v>
      </c>
      <c r="C2110" s="1" t="inlineStr">
        <is>
          <t>033</t>
        </is>
      </c>
      <c r="D2110" s="1" t="inlineStr">
        <is>
          <t xml:space="preserve">67747 </t>
        </is>
      </c>
      <c r="E2110" s="1" t="inlineStr">
        <is>
          <t xml:space="preserve">28194769       </t>
        </is>
      </c>
      <c r="F2110" s="5" t="inlineStr">
        <is>
          <t>AUTOS DE METAL 3 TEAMSTERZ PACK DE 2</t>
        </is>
      </c>
      <c r="G2110" t="n">
        <v>1</v>
      </c>
      <c r="H2110" s="7" t="n">
        <v>13.8</v>
      </c>
      <c r="I2110" s="7" t="n">
        <v>0</v>
      </c>
      <c r="J2110" s="7" t="n">
        <v>0</v>
      </c>
      <c r="K2110" s="9" t="n">
        <v>0</v>
      </c>
      <c r="L2110" s="10" t="n">
        <v>8.18</v>
      </c>
      <c r="M2110" s="10" t="n">
        <v>1.43</v>
      </c>
      <c r="N2110" t="inlineStr">
        <is>
          <t>1</t>
        </is>
      </c>
      <c r="O2110" t="inlineStr">
        <is>
          <t>16</t>
        </is>
      </c>
      <c r="P2110" t="inlineStr">
        <is>
          <t xml:space="preserve">250522  </t>
        </is>
      </c>
      <c r="Q2110" s="26" t="n">
        <v>8.19</v>
      </c>
      <c r="R2110" s="26">
        <f>Q2110*G2110</f>
        <v/>
      </c>
      <c r="S2110" s="26">
        <f>IFERROR(VLOOKUP(E2110*1,Tabla[#All],8,0),0)</f>
        <v/>
      </c>
      <c r="T2110" s="26">
        <f>S2110*G2110</f>
        <v/>
      </c>
      <c r="U2110" s="26">
        <f>R2110-T2110</f>
        <v/>
      </c>
      <c r="V2110" s="26">
        <f>U2110-L2110</f>
        <v/>
      </c>
    </row>
    <row r="2111">
      <c r="A2111" s="11" t="n">
        <v>46224</v>
      </c>
      <c r="B2111" s="1" t="n">
        <v>20057</v>
      </c>
      <c r="C2111" s="1" t="inlineStr">
        <is>
          <t>033</t>
        </is>
      </c>
      <c r="D2111" s="1" t="inlineStr">
        <is>
          <t xml:space="preserve">67801 </t>
        </is>
      </c>
      <c r="E2111" s="1" t="inlineStr">
        <is>
          <t xml:space="preserve">31675354       </t>
        </is>
      </c>
      <c r="F2111" s="5" t="inlineStr">
        <is>
          <t>NENUCO LLORON CON ACCESORIOS</t>
        </is>
      </c>
      <c r="G2111" t="n">
        <v>1</v>
      </c>
      <c r="H2111" s="7" t="n">
        <v>69.90000000000001</v>
      </c>
      <c r="I2111" s="7" t="n">
        <v>0</v>
      </c>
      <c r="J2111" s="7" t="n">
        <v>0</v>
      </c>
      <c r="K2111" s="9" t="n">
        <v>0</v>
      </c>
      <c r="L2111" s="10" t="n">
        <v>41.47</v>
      </c>
      <c r="M2111" s="10" t="n">
        <v>1.43</v>
      </c>
      <c r="N2111" t="inlineStr">
        <is>
          <t>1</t>
        </is>
      </c>
      <c r="O2111" t="inlineStr">
        <is>
          <t xml:space="preserve">2 </t>
        </is>
      </c>
      <c r="P2111" t="inlineStr">
        <is>
          <t xml:space="preserve">250522  </t>
        </is>
      </c>
      <c r="Q2111" s="26" t="n">
        <v>53.33</v>
      </c>
      <c r="R2111" s="26">
        <f>Q2111*G2111</f>
        <v/>
      </c>
      <c r="S2111" s="26">
        <f>IFERROR(VLOOKUP(E2111*1,Tabla[#All],8,0),0)</f>
        <v/>
      </c>
      <c r="T2111" s="26">
        <f>S2111*G2111</f>
        <v/>
      </c>
      <c r="U2111" s="26">
        <f>R2111-T2111</f>
        <v/>
      </c>
      <c r="V2111" s="26">
        <f>U2111-L2111</f>
        <v/>
      </c>
    </row>
    <row r="2112">
      <c r="A2112" s="11" t="n">
        <v>46224</v>
      </c>
      <c r="B2112" s="1" t="n">
        <v>20058</v>
      </c>
      <c r="C2112" s="1" t="inlineStr">
        <is>
          <t>038</t>
        </is>
      </c>
      <c r="D2112" s="1" t="inlineStr">
        <is>
          <t>210215</t>
        </is>
      </c>
      <c r="E2112" s="1" t="inlineStr">
        <is>
          <t xml:space="preserve">28194770       </t>
        </is>
      </c>
      <c r="F2112" s="5" t="inlineStr">
        <is>
          <t>AUTOS DE METAL 3 TEAMSTERZ EN BLISTER</t>
        </is>
      </c>
      <c r="G2112" t="n">
        <v>1</v>
      </c>
      <c r="H2112" s="7" t="n">
        <v>6.9</v>
      </c>
      <c r="I2112" s="7" t="n">
        <v>0.6899999999999999</v>
      </c>
      <c r="J2112" s="7" t="n">
        <v>0</v>
      </c>
      <c r="K2112" s="9" t="n">
        <v>0.6899999999999999</v>
      </c>
      <c r="L2112" s="10" t="n">
        <v>3.68</v>
      </c>
      <c r="M2112" s="10" t="n">
        <v>1.43</v>
      </c>
      <c r="N2112" t="inlineStr">
        <is>
          <t>1</t>
        </is>
      </c>
      <c r="O2112" t="inlineStr">
        <is>
          <t xml:space="preserve">3 </t>
        </is>
      </c>
      <c r="P2112" t="inlineStr">
        <is>
          <t xml:space="preserve">90759   </t>
        </is>
      </c>
      <c r="Q2112" s="26" t="n">
        <v>4.09</v>
      </c>
      <c r="R2112" s="26">
        <f>Q2112*G2112</f>
        <v/>
      </c>
      <c r="S2112" s="26">
        <f>IFERROR(VLOOKUP(E2112*1,Tabla[#All],8,0),0)</f>
        <v/>
      </c>
      <c r="T2112" s="26">
        <f>S2112*G2112</f>
        <v/>
      </c>
      <c r="U2112" s="26">
        <f>R2112-T2112</f>
        <v/>
      </c>
      <c r="V2112" s="26">
        <f>U2112-L2112</f>
        <v/>
      </c>
    </row>
    <row r="2113">
      <c r="A2113" s="11" t="n">
        <v>46224</v>
      </c>
      <c r="B2113" s="1" t="n">
        <v>20058</v>
      </c>
      <c r="C2113" s="1" t="inlineStr">
        <is>
          <t>039</t>
        </is>
      </c>
      <c r="D2113" s="1" t="inlineStr">
        <is>
          <t>231176</t>
        </is>
      </c>
      <c r="E2113" s="1" t="inlineStr">
        <is>
          <t xml:space="preserve">33661538       </t>
        </is>
      </c>
      <c r="F2113" s="5" t="inlineStr">
        <is>
          <t>HOT WHEELS CASE GARAGE RUEDA METAL EN LLAMAS X 29</t>
        </is>
      </c>
      <c r="G2113" t="n">
        <v>1</v>
      </c>
      <c r="H2113" s="7" t="n">
        <v>69.90000000000001</v>
      </c>
      <c r="I2113" s="7" t="n">
        <v>0</v>
      </c>
      <c r="J2113" s="7" t="n">
        <v>0</v>
      </c>
      <c r="K2113" s="9" t="n">
        <v>0</v>
      </c>
      <c r="L2113" s="10" t="n">
        <v>41.47</v>
      </c>
      <c r="M2113" s="10" t="n">
        <v>1.43</v>
      </c>
      <c r="N2113" t="inlineStr">
        <is>
          <t>1</t>
        </is>
      </c>
      <c r="O2113" t="inlineStr">
        <is>
          <t xml:space="preserve">2 </t>
        </is>
      </c>
      <c r="P2113" t="inlineStr">
        <is>
          <t xml:space="preserve">241468  </t>
        </is>
      </c>
      <c r="Q2113" s="26" t="n">
        <v>41.47</v>
      </c>
      <c r="R2113" s="26">
        <f>Q2113*G2113</f>
        <v/>
      </c>
      <c r="S2113" s="26">
        <f>IFERROR(VLOOKUP(E2113*1,Tabla[#All],8,0),0)</f>
        <v/>
      </c>
      <c r="T2113" s="26">
        <f>S2113*G2113</f>
        <v/>
      </c>
      <c r="U2113" s="26">
        <f>R2113-T2113</f>
        <v/>
      </c>
      <c r="V2113" s="26">
        <f>U2113-L2113</f>
        <v/>
      </c>
    </row>
    <row r="2114">
      <c r="A2114" s="11" t="n">
        <v>46224</v>
      </c>
      <c r="B2114" s="1" t="n">
        <v>20062</v>
      </c>
      <c r="C2114" s="1" t="inlineStr">
        <is>
          <t>017</t>
        </is>
      </c>
      <c r="D2114" s="1" t="inlineStr">
        <is>
          <t>236047</t>
        </is>
      </c>
      <c r="E2114" s="1" t="inlineStr">
        <is>
          <t xml:space="preserve">35685067       </t>
        </is>
      </c>
      <c r="F2114" s="5" t="inlineStr">
        <is>
          <t>HOT WHEELS POWER SET 3 EN 1</t>
        </is>
      </c>
      <c r="G2114" t="n">
        <v>1</v>
      </c>
      <c r="H2114" s="7" t="n">
        <v>49.9</v>
      </c>
      <c r="I2114" s="7" t="n">
        <v>0</v>
      </c>
      <c r="J2114" s="7" t="n">
        <v>0</v>
      </c>
      <c r="K2114" s="9" t="n">
        <v>0</v>
      </c>
      <c r="L2114" s="10" t="n">
        <v>29.6</v>
      </c>
      <c r="M2114" s="10" t="n">
        <v>1.43</v>
      </c>
      <c r="N2114" t="inlineStr">
        <is>
          <t>1</t>
        </is>
      </c>
      <c r="O2114" t="inlineStr">
        <is>
          <t>16</t>
        </is>
      </c>
      <c r="P2114" t="inlineStr">
        <is>
          <t xml:space="preserve">249823  </t>
        </is>
      </c>
      <c r="Q2114" s="26" t="n">
        <v>29.6</v>
      </c>
      <c r="R2114" s="26">
        <f>Q2114*G2114</f>
        <v/>
      </c>
      <c r="S2114" s="26">
        <f>IFERROR(VLOOKUP(E2114*1,Tabla[#All],8,0),0)</f>
        <v/>
      </c>
      <c r="T2114" s="26">
        <f>S2114*G2114</f>
        <v/>
      </c>
      <c r="U2114" s="26">
        <f>R2114-T2114</f>
        <v/>
      </c>
      <c r="V2114" s="26">
        <f>U2114-L2114</f>
        <v/>
      </c>
    </row>
    <row r="2115">
      <c r="A2115" s="11" t="n">
        <v>46224</v>
      </c>
      <c r="B2115" s="1" t="n">
        <v>20066</v>
      </c>
      <c r="C2115" s="1" t="inlineStr">
        <is>
          <t>057</t>
        </is>
      </c>
      <c r="D2115" s="1" t="inlineStr">
        <is>
          <t>494553</t>
        </is>
      </c>
      <c r="E2115" s="1" t="inlineStr">
        <is>
          <t xml:space="preserve">28194770       </t>
        </is>
      </c>
      <c r="F2115" s="5" t="inlineStr">
        <is>
          <t>AUTOS DE METAL 3 TEAMSTERZ EN BLISTER</t>
        </is>
      </c>
      <c r="G2115" t="n">
        <v>1</v>
      </c>
      <c r="H2115" s="7" t="n">
        <v>6.9</v>
      </c>
      <c r="I2115" s="7" t="n">
        <v>0</v>
      </c>
      <c r="J2115" s="7" t="n">
        <v>0</v>
      </c>
      <c r="K2115" s="9" t="n">
        <v>0</v>
      </c>
      <c r="L2115" s="10" t="n">
        <v>4.1</v>
      </c>
      <c r="M2115" s="10" t="n">
        <v>1.43</v>
      </c>
      <c r="N2115" t="inlineStr">
        <is>
          <t>1</t>
        </is>
      </c>
      <c r="O2115" t="inlineStr">
        <is>
          <t>16</t>
        </is>
      </c>
      <c r="P2115" t="inlineStr">
        <is>
          <t xml:space="preserve">44050   </t>
        </is>
      </c>
      <c r="Q2115" s="26" t="n">
        <v>4.09</v>
      </c>
      <c r="R2115" s="26">
        <f>Q2115*G2115</f>
        <v/>
      </c>
      <c r="S2115" s="26">
        <f>IFERROR(VLOOKUP(E2115*1,Tabla[#All],8,0),0)</f>
        <v/>
      </c>
      <c r="T2115" s="26">
        <f>S2115*G2115</f>
        <v/>
      </c>
      <c r="U2115" s="26">
        <f>R2115-T2115</f>
        <v/>
      </c>
      <c r="V2115" s="26">
        <f>U2115-L2115</f>
        <v/>
      </c>
    </row>
    <row r="2116">
      <c r="A2116" s="11" t="n">
        <v>46224</v>
      </c>
      <c r="B2116" s="1" t="n">
        <v>20066</v>
      </c>
      <c r="C2116" s="1" t="inlineStr">
        <is>
          <t>058</t>
        </is>
      </c>
      <c r="D2116" s="1" t="inlineStr">
        <is>
          <t xml:space="preserve">61027 </t>
        </is>
      </c>
      <c r="E2116" s="1" t="inlineStr">
        <is>
          <t xml:space="preserve">29235702       </t>
        </is>
      </c>
      <c r="F2116" s="5" t="inlineStr">
        <is>
          <t>INFINITY NADO TROMPO DE BATALLA - METAL C/ ANILLO</t>
        </is>
      </c>
      <c r="G2116" t="n">
        <v>1</v>
      </c>
      <c r="H2116" s="7" t="n">
        <v>49.9</v>
      </c>
      <c r="I2116" s="7" t="n">
        <v>0</v>
      </c>
      <c r="J2116" s="7" t="n">
        <v>0</v>
      </c>
      <c r="K2116" s="9" t="n">
        <v>0</v>
      </c>
      <c r="L2116" s="10" t="n">
        <v>29.6</v>
      </c>
      <c r="M2116" s="10" t="n">
        <v>1.43</v>
      </c>
      <c r="N2116" t="inlineStr">
        <is>
          <t>1</t>
        </is>
      </c>
      <c r="O2116" t="inlineStr">
        <is>
          <t>16</t>
        </is>
      </c>
      <c r="P2116" t="inlineStr">
        <is>
          <t xml:space="preserve">49848   </t>
        </is>
      </c>
      <c r="Q2116" s="26" t="n">
        <v>41.47</v>
      </c>
      <c r="R2116" s="26">
        <f>Q2116*G2116</f>
        <v/>
      </c>
      <c r="S2116" s="26">
        <f>IFERROR(VLOOKUP(E2116*1,Tabla[#All],8,0),0)</f>
        <v/>
      </c>
      <c r="T2116" s="26">
        <f>S2116*G2116</f>
        <v/>
      </c>
      <c r="U2116" s="26">
        <f>R2116-T2116</f>
        <v/>
      </c>
      <c r="V2116" s="26">
        <f>U2116-L2116</f>
        <v/>
      </c>
    </row>
    <row r="2117">
      <c r="A2117" s="11" t="n">
        <v>46224</v>
      </c>
      <c r="B2117" s="1" t="n">
        <v>20066</v>
      </c>
      <c r="C2117" s="1" t="inlineStr">
        <is>
          <t>058</t>
        </is>
      </c>
      <c r="D2117" s="1" t="inlineStr">
        <is>
          <t xml:space="preserve">61027 </t>
        </is>
      </c>
      <c r="E2117" s="1" t="inlineStr">
        <is>
          <t xml:space="preserve">29235702       </t>
        </is>
      </c>
      <c r="F2117" s="5" t="inlineStr">
        <is>
          <t>INFINITY NADO TROMPO DE BATALLA - METAL C/ ANILLO</t>
        </is>
      </c>
      <c r="G2117" t="n">
        <v>1</v>
      </c>
      <c r="H2117" s="7" t="n">
        <v>49.9</v>
      </c>
      <c r="I2117" s="7" t="n">
        <v>0</v>
      </c>
      <c r="J2117" s="7" t="n">
        <v>0</v>
      </c>
      <c r="K2117" s="9" t="n">
        <v>0</v>
      </c>
      <c r="L2117" s="10" t="n">
        <v>29.6</v>
      </c>
      <c r="M2117" s="10" t="n">
        <v>1.43</v>
      </c>
      <c r="N2117" t="inlineStr">
        <is>
          <t>1</t>
        </is>
      </c>
      <c r="O2117" t="inlineStr">
        <is>
          <t>16</t>
        </is>
      </c>
      <c r="P2117" t="inlineStr">
        <is>
          <t xml:space="preserve">49848   </t>
        </is>
      </c>
      <c r="Q2117" s="26" t="n">
        <v>41.47</v>
      </c>
      <c r="R2117" s="26">
        <f>Q2117*G2117</f>
        <v/>
      </c>
      <c r="S2117" s="26">
        <f>IFERROR(VLOOKUP(E2117*1,Tabla[#All],8,0),0)</f>
        <v/>
      </c>
      <c r="T2117" s="26">
        <f>S2117*G2117</f>
        <v/>
      </c>
      <c r="U2117" s="26">
        <f>R2117-T2117</f>
        <v/>
      </c>
      <c r="V2117" s="26">
        <f>U2117-L2117</f>
        <v/>
      </c>
    </row>
    <row r="2118">
      <c r="A2118" s="11" t="n">
        <v>46224</v>
      </c>
      <c r="B2118" s="1" t="n">
        <v>20066</v>
      </c>
      <c r="C2118" s="1" t="inlineStr">
        <is>
          <t>061</t>
        </is>
      </c>
      <c r="D2118" s="1" t="inlineStr">
        <is>
          <t xml:space="preserve">35740 </t>
        </is>
      </c>
      <c r="E2118" s="1" t="inlineStr">
        <is>
          <t xml:space="preserve">29235712       </t>
        </is>
      </c>
      <c r="F2118" s="5" t="inlineStr">
        <is>
          <t>TEAMSTERZ DISPARADOR DINOSAURIO INCL. 1 AUTO</t>
        </is>
      </c>
      <c r="G2118" t="n">
        <v>1</v>
      </c>
      <c r="H2118" s="7" t="n">
        <v>12.9</v>
      </c>
      <c r="I2118" s="7" t="n">
        <v>0</v>
      </c>
      <c r="J2118" s="7" t="n">
        <v>0</v>
      </c>
      <c r="K2118" s="9" t="n">
        <v>0</v>
      </c>
      <c r="L2118" s="10" t="n">
        <v>7.65</v>
      </c>
      <c r="M2118" s="10" t="n">
        <v>1.43</v>
      </c>
      <c r="N2118" t="inlineStr">
        <is>
          <t>1</t>
        </is>
      </c>
      <c r="O2118" t="inlineStr">
        <is>
          <t>16</t>
        </is>
      </c>
      <c r="P2118" t="inlineStr">
        <is>
          <t xml:space="preserve">49848   </t>
        </is>
      </c>
      <c r="Q2118" s="26" t="n">
        <v>17.74</v>
      </c>
      <c r="R2118" s="26">
        <f>Q2118*G2118</f>
        <v/>
      </c>
      <c r="S2118" s="26">
        <f>IFERROR(VLOOKUP(E2118*1,Tabla[#All],8,0),0)</f>
        <v/>
      </c>
      <c r="T2118" s="26">
        <f>S2118*G2118</f>
        <v/>
      </c>
      <c r="U2118" s="26">
        <f>R2118-T2118</f>
        <v/>
      </c>
      <c r="V2118" s="26">
        <f>U2118-L2118</f>
        <v/>
      </c>
    </row>
    <row r="2119">
      <c r="A2119" s="11" t="n">
        <v>46224</v>
      </c>
      <c r="B2119" s="1" t="n">
        <v>20069</v>
      </c>
      <c r="C2119" s="1" t="inlineStr">
        <is>
          <t>508</t>
        </is>
      </c>
      <c r="D2119" s="1" t="inlineStr">
        <is>
          <t xml:space="preserve">3627  </t>
        </is>
      </c>
      <c r="E2119" s="1" t="inlineStr">
        <is>
          <t xml:space="preserve">30141782       </t>
        </is>
      </c>
      <c r="F2119" s="5" t="inlineStr">
        <is>
          <t>RELOJ DIGITAL TRANSFORMERS</t>
        </is>
      </c>
      <c r="G2119" t="n">
        <v>1</v>
      </c>
      <c r="H2119" s="7" t="n">
        <v>18.9</v>
      </c>
      <c r="I2119" s="7" t="n">
        <v>0</v>
      </c>
      <c r="J2119" s="7" t="n">
        <v>0</v>
      </c>
      <c r="K2119" s="9" t="n">
        <v>0</v>
      </c>
      <c r="L2119" s="10" t="n">
        <v>11.21</v>
      </c>
      <c r="M2119" s="10" t="n">
        <v>1.43</v>
      </c>
      <c r="N2119" t="inlineStr">
        <is>
          <t>1</t>
        </is>
      </c>
      <c r="O2119" t="inlineStr">
        <is>
          <t>16</t>
        </is>
      </c>
      <c r="P2119" t="inlineStr">
        <is>
          <t xml:space="preserve">248316  </t>
        </is>
      </c>
      <c r="Q2119" s="26" t="n">
        <v>11.21</v>
      </c>
      <c r="R2119" s="26">
        <f>Q2119*G2119</f>
        <v/>
      </c>
      <c r="S2119" s="26">
        <f>IFERROR(VLOOKUP(E2119*1,Tabla[#All],8,0),0)</f>
        <v/>
      </c>
      <c r="T2119" s="26">
        <f>S2119*G2119</f>
        <v/>
      </c>
      <c r="U2119" s="26">
        <f>R2119-T2119</f>
        <v/>
      </c>
      <c r="V2119" s="26">
        <f>U2119-L2119</f>
        <v/>
      </c>
    </row>
    <row r="2120">
      <c r="A2120" s="11" t="n">
        <v>46224</v>
      </c>
      <c r="B2120" s="1" t="n">
        <v>20077</v>
      </c>
      <c r="C2120" s="1" t="inlineStr">
        <is>
          <t>029</t>
        </is>
      </c>
      <c r="D2120" s="1" t="inlineStr">
        <is>
          <t>156596</t>
        </is>
      </c>
      <c r="E2120" s="1" t="inlineStr">
        <is>
          <t xml:space="preserve">30232283       </t>
        </is>
      </c>
      <c r="F2120" s="5" t="inlineStr">
        <is>
          <t>INFINITY NADO PACK DE 2 TROMPOS DE BATALLA METAL</t>
        </is>
      </c>
      <c r="G2120" t="n">
        <v>1</v>
      </c>
      <c r="H2120" s="7" t="n">
        <v>59.9</v>
      </c>
      <c r="I2120" s="7" t="n">
        <v>0</v>
      </c>
      <c r="J2120" s="7" t="n">
        <v>0</v>
      </c>
      <c r="K2120" s="9" t="n">
        <v>0</v>
      </c>
      <c r="L2120" s="10" t="n">
        <v>35.53</v>
      </c>
      <c r="M2120" s="10" t="n">
        <v>1.43</v>
      </c>
      <c r="N2120" t="inlineStr">
        <is>
          <t>1</t>
        </is>
      </c>
      <c r="O2120" t="inlineStr">
        <is>
          <t xml:space="preserve">3 </t>
        </is>
      </c>
      <c r="P2120" t="inlineStr">
        <is>
          <t xml:space="preserve">48922   </t>
        </is>
      </c>
      <c r="Q2120" s="26" t="n">
        <v>47.4</v>
      </c>
      <c r="R2120" s="26">
        <f>Q2120*G2120</f>
        <v/>
      </c>
      <c r="S2120" s="26">
        <f>IFERROR(VLOOKUP(E2120*1,Tabla[#All],8,0),0)</f>
        <v/>
      </c>
      <c r="T2120" s="26">
        <f>S2120*G2120</f>
        <v/>
      </c>
      <c r="U2120" s="26">
        <f>R2120-T2120</f>
        <v/>
      </c>
      <c r="V2120" s="26">
        <f>U2120-L2120</f>
        <v/>
      </c>
    </row>
    <row r="2121">
      <c r="A2121" s="11" t="n">
        <v>46224</v>
      </c>
      <c r="B2121" s="1" t="n">
        <v>20077</v>
      </c>
      <c r="C2121" s="1" t="inlineStr">
        <is>
          <t>029</t>
        </is>
      </c>
      <c r="D2121" s="1" t="inlineStr">
        <is>
          <t>156641</t>
        </is>
      </c>
      <c r="E2121" s="1" t="inlineStr">
        <is>
          <t xml:space="preserve">32457099       </t>
        </is>
      </c>
      <c r="F2121" s="5" t="inlineStr">
        <is>
          <t>TMZ BEAST MACHINES MONSTER JAWS A FRICCION BLISTER</t>
        </is>
      </c>
      <c r="G2121" t="n">
        <v>1</v>
      </c>
      <c r="H2121" s="7" t="n">
        <v>17.9</v>
      </c>
      <c r="I2121" s="7" t="n">
        <v>0</v>
      </c>
      <c r="J2121" s="7" t="n">
        <v>0</v>
      </c>
      <c r="K2121" s="9" t="n">
        <v>0</v>
      </c>
      <c r="L2121" s="10" t="n">
        <v>10.62</v>
      </c>
      <c r="M2121" s="10" t="n">
        <v>1.43</v>
      </c>
      <c r="N2121" t="inlineStr">
        <is>
          <t>1</t>
        </is>
      </c>
      <c r="O2121" t="inlineStr">
        <is>
          <t>16</t>
        </is>
      </c>
      <c r="P2121" t="inlineStr">
        <is>
          <t xml:space="preserve">48922   </t>
        </is>
      </c>
      <c r="Q2121" s="26" t="n">
        <v>11.81</v>
      </c>
      <c r="R2121" s="26">
        <f>Q2121*G2121</f>
        <v/>
      </c>
      <c r="S2121" s="26">
        <f>IFERROR(VLOOKUP(E2121*1,Tabla[#All],8,0),0)</f>
        <v/>
      </c>
      <c r="T2121" s="26">
        <f>S2121*G2121</f>
        <v/>
      </c>
      <c r="U2121" s="26">
        <f>R2121-T2121</f>
        <v/>
      </c>
      <c r="V2121" s="26">
        <f>U2121-L2121</f>
        <v/>
      </c>
    </row>
    <row r="2122">
      <c r="A2122" s="11" t="n">
        <v>46224</v>
      </c>
      <c r="B2122" s="1" t="n">
        <v>20077</v>
      </c>
      <c r="C2122" s="1" t="inlineStr">
        <is>
          <t>029</t>
        </is>
      </c>
      <c r="D2122" s="1" t="inlineStr">
        <is>
          <t>156641</t>
        </is>
      </c>
      <c r="E2122" s="1" t="inlineStr">
        <is>
          <t xml:space="preserve">32457099       </t>
        </is>
      </c>
      <c r="F2122" s="5" t="inlineStr">
        <is>
          <t>TMZ BEAST MACHINES MONSTER JAWS A FRICCION BLISTER</t>
        </is>
      </c>
      <c r="G2122" t="n">
        <v>1</v>
      </c>
      <c r="H2122" s="7" t="n">
        <v>17.9</v>
      </c>
      <c r="I2122" s="7" t="n">
        <v>0</v>
      </c>
      <c r="J2122" s="7" t="n">
        <v>0</v>
      </c>
      <c r="K2122" s="9" t="n">
        <v>0</v>
      </c>
      <c r="L2122" s="10" t="n">
        <v>10.62</v>
      </c>
      <c r="M2122" s="10" t="n">
        <v>1.43</v>
      </c>
      <c r="N2122" t="inlineStr">
        <is>
          <t>1</t>
        </is>
      </c>
      <c r="O2122" t="inlineStr">
        <is>
          <t>16</t>
        </is>
      </c>
      <c r="P2122" t="inlineStr">
        <is>
          <t xml:space="preserve">48922   </t>
        </is>
      </c>
      <c r="Q2122" s="26" t="n">
        <v>11.81</v>
      </c>
      <c r="R2122" s="26">
        <f>Q2122*G2122</f>
        <v/>
      </c>
      <c r="S2122" s="26">
        <f>IFERROR(VLOOKUP(E2122*1,Tabla[#All],8,0),0)</f>
        <v/>
      </c>
      <c r="T2122" s="26">
        <f>S2122*G2122</f>
        <v/>
      </c>
      <c r="U2122" s="26">
        <f>R2122-T2122</f>
        <v/>
      </c>
      <c r="V2122" s="26">
        <f>U2122-L2122</f>
        <v/>
      </c>
    </row>
    <row r="2123">
      <c r="A2123" s="11" t="n">
        <v>46224</v>
      </c>
      <c r="B2123" s="1" t="n">
        <v>20077</v>
      </c>
      <c r="C2123" s="1" t="inlineStr">
        <is>
          <t>029</t>
        </is>
      </c>
      <c r="D2123" s="1" t="inlineStr">
        <is>
          <t>156641</t>
        </is>
      </c>
      <c r="E2123" s="1" t="inlineStr">
        <is>
          <t xml:space="preserve">32457099       </t>
        </is>
      </c>
      <c r="F2123" s="5" t="inlineStr">
        <is>
          <t>TMZ BEAST MACHINES MONSTER JAWS A FRICCION BLISTER</t>
        </is>
      </c>
      <c r="G2123" t="n">
        <v>1</v>
      </c>
      <c r="H2123" s="7" t="n">
        <v>17.9</v>
      </c>
      <c r="I2123" s="7" t="n">
        <v>0</v>
      </c>
      <c r="J2123" s="7" t="n">
        <v>0</v>
      </c>
      <c r="K2123" s="9" t="n">
        <v>0</v>
      </c>
      <c r="L2123" s="10" t="n">
        <v>10.62</v>
      </c>
      <c r="M2123" s="10" t="n">
        <v>1.43</v>
      </c>
      <c r="N2123" t="inlineStr">
        <is>
          <t>1</t>
        </is>
      </c>
      <c r="O2123" t="inlineStr">
        <is>
          <t>16</t>
        </is>
      </c>
      <c r="P2123" t="inlineStr">
        <is>
          <t xml:space="preserve">48922   </t>
        </is>
      </c>
      <c r="Q2123" s="26" t="n">
        <v>11.81</v>
      </c>
      <c r="R2123" s="26">
        <f>Q2123*G2123</f>
        <v/>
      </c>
      <c r="S2123" s="26">
        <f>IFERROR(VLOOKUP(E2123*1,Tabla[#All],8,0),0)</f>
        <v/>
      </c>
      <c r="T2123" s="26">
        <f>S2123*G2123</f>
        <v/>
      </c>
      <c r="U2123" s="26">
        <f>R2123-T2123</f>
        <v/>
      </c>
      <c r="V2123" s="26">
        <f>U2123-L2123</f>
        <v/>
      </c>
    </row>
    <row r="2124">
      <c r="A2124" s="11" t="n">
        <v>46224</v>
      </c>
      <c r="B2124" s="1" t="n">
        <v>20077</v>
      </c>
      <c r="C2124" s="1" t="inlineStr">
        <is>
          <t>038</t>
        </is>
      </c>
      <c r="D2124" s="1" t="inlineStr">
        <is>
          <t>111825</t>
        </is>
      </c>
      <c r="E2124" s="1" t="inlineStr">
        <is>
          <t xml:space="preserve">28194780       </t>
        </is>
      </c>
      <c r="F2124" s="5" t="inlineStr">
        <is>
          <t>TROMPO BATALLA INFINITY NADO PLSTICO SURTIDO</t>
        </is>
      </c>
      <c r="G2124" t="n">
        <v>1</v>
      </c>
      <c r="H2124" s="7" t="n">
        <v>19.9</v>
      </c>
      <c r="I2124" s="7" t="n">
        <v>1.99</v>
      </c>
      <c r="J2124" s="7" t="n">
        <v>0</v>
      </c>
      <c r="K2124" s="9" t="n">
        <v>1.99</v>
      </c>
      <c r="L2124" s="10" t="n">
        <v>10.63</v>
      </c>
      <c r="M2124" s="10" t="n">
        <v>1.43</v>
      </c>
      <c r="N2124" t="inlineStr">
        <is>
          <t>1</t>
        </is>
      </c>
      <c r="O2124" t="inlineStr">
        <is>
          <t xml:space="preserve">3 </t>
        </is>
      </c>
      <c r="P2124" t="inlineStr">
        <is>
          <t xml:space="preserve">63117   </t>
        </is>
      </c>
      <c r="Q2124" s="26" t="n">
        <v>11.81</v>
      </c>
      <c r="R2124" s="26">
        <f>Q2124*G2124</f>
        <v/>
      </c>
      <c r="S2124" s="26">
        <f>IFERROR(VLOOKUP(E2124*1,Tabla[#All],8,0),0)</f>
        <v/>
      </c>
      <c r="T2124" s="26">
        <f>S2124*G2124</f>
        <v/>
      </c>
      <c r="U2124" s="26">
        <f>R2124-T2124</f>
        <v/>
      </c>
      <c r="V2124" s="26">
        <f>U2124-L2124</f>
        <v/>
      </c>
    </row>
    <row r="2125">
      <c r="A2125" s="11" t="n">
        <v>46224</v>
      </c>
      <c r="B2125" s="1" t="n">
        <v>20079</v>
      </c>
      <c r="C2125" s="1" t="inlineStr">
        <is>
          <t>045</t>
        </is>
      </c>
      <c r="D2125" s="1" t="inlineStr">
        <is>
          <t>332999</t>
        </is>
      </c>
      <c r="E2125" s="1" t="inlineStr">
        <is>
          <t xml:space="preserve">30232282       </t>
        </is>
      </c>
      <c r="F2125" s="5" t="inlineStr">
        <is>
          <t>MANDIBULAS JUEGO DE PESCA</t>
        </is>
      </c>
      <c r="G2125" t="n">
        <v>1</v>
      </c>
      <c r="H2125" s="7" t="n">
        <v>119</v>
      </c>
      <c r="I2125" s="7" t="n">
        <v>0</v>
      </c>
      <c r="J2125" s="7" t="n">
        <v>0</v>
      </c>
      <c r="K2125" s="9" t="n">
        <v>0</v>
      </c>
      <c r="L2125" s="10" t="n">
        <v>70.59999999999999</v>
      </c>
      <c r="M2125" s="10" t="n">
        <v>1.43</v>
      </c>
      <c r="N2125" t="inlineStr">
        <is>
          <t>1</t>
        </is>
      </c>
      <c r="O2125" t="inlineStr">
        <is>
          <t>16</t>
        </is>
      </c>
      <c r="P2125" t="inlineStr">
        <is>
          <t xml:space="preserve">47624   </t>
        </is>
      </c>
      <c r="Q2125" s="26" t="n">
        <v>70.59</v>
      </c>
      <c r="R2125" s="26">
        <f>Q2125*G2125</f>
        <v/>
      </c>
      <c r="S2125" s="26">
        <f>IFERROR(VLOOKUP(E2125*1,Tabla[#All],8,0),0)</f>
        <v/>
      </c>
      <c r="T2125" s="26">
        <f>S2125*G2125</f>
        <v/>
      </c>
      <c r="U2125" s="26">
        <f>R2125-T2125</f>
        <v/>
      </c>
      <c r="V2125" s="26">
        <f>U2125-L2125</f>
        <v/>
      </c>
    </row>
    <row r="2126">
      <c r="A2126" s="11" t="n">
        <v>46224</v>
      </c>
      <c r="B2126" s="1" t="n">
        <v>20086</v>
      </c>
      <c r="C2126" s="1" t="inlineStr">
        <is>
          <t>191</t>
        </is>
      </c>
      <c r="D2126" s="1" t="inlineStr">
        <is>
          <t>292301</t>
        </is>
      </c>
      <c r="E2126" s="1" t="inlineStr">
        <is>
          <t xml:space="preserve">33483119       </t>
        </is>
      </c>
      <c r="F2126" s="5" t="inlineStr">
        <is>
          <t>MUNECA EVI LOVE TRAJE TIPICO CON ALPACA</t>
        </is>
      </c>
      <c r="G2126" t="n">
        <v>1</v>
      </c>
      <c r="H2126" s="7" t="n">
        <v>17.94</v>
      </c>
      <c r="I2126" s="7" t="n">
        <v>0</v>
      </c>
      <c r="J2126" s="7" t="n">
        <v>0</v>
      </c>
      <c r="K2126" s="9" t="n">
        <v>0</v>
      </c>
      <c r="L2126" s="10" t="n">
        <v>10.64</v>
      </c>
      <c r="M2126" s="10" t="n">
        <v>1.43</v>
      </c>
      <c r="N2126" t="inlineStr">
        <is>
          <t>1</t>
        </is>
      </c>
      <c r="O2126" t="inlineStr">
        <is>
          <t xml:space="preserve">2 </t>
        </is>
      </c>
      <c r="P2126" t="inlineStr">
        <is>
          <t xml:space="preserve">74931   </t>
        </is>
      </c>
      <c r="Q2126" s="26" t="n">
        <v>17.74</v>
      </c>
      <c r="R2126" s="26">
        <f>Q2126*G2126</f>
        <v/>
      </c>
      <c r="S2126" s="26">
        <f>IFERROR(VLOOKUP(E2126*1,Tabla[#All],8,0),0)</f>
        <v/>
      </c>
      <c r="T2126" s="26">
        <f>S2126*G2126</f>
        <v/>
      </c>
      <c r="U2126" s="26">
        <f>R2126-T2126</f>
        <v/>
      </c>
      <c r="V2126" s="26">
        <f>U2126-L2126</f>
        <v/>
      </c>
    </row>
    <row r="2127">
      <c r="A2127" s="11" t="n">
        <v>46224</v>
      </c>
      <c r="B2127" s="1" t="n">
        <v>20088</v>
      </c>
      <c r="C2127" s="1" t="inlineStr">
        <is>
          <t>021</t>
        </is>
      </c>
      <c r="D2127" s="1" t="inlineStr">
        <is>
          <t xml:space="preserve">49720 </t>
        </is>
      </c>
      <c r="E2127" s="1" t="inlineStr">
        <is>
          <t xml:space="preserve">28194784       </t>
        </is>
      </c>
      <c r="F2127" s="5" t="inlineStr">
        <is>
          <t>SET DE ACROBACIAS INFINITY NADO CON TROMPO</t>
        </is>
      </c>
      <c r="G2127" t="n">
        <v>1</v>
      </c>
      <c r="H2127" s="7" t="n">
        <v>139</v>
      </c>
      <c r="I2127" s="7" t="n">
        <v>0</v>
      </c>
      <c r="J2127" s="7" t="n">
        <v>0</v>
      </c>
      <c r="K2127" s="9" t="n">
        <v>0</v>
      </c>
      <c r="L2127" s="10" t="n">
        <v>82.45999999999999</v>
      </c>
      <c r="M2127" s="10" t="n">
        <v>1.43</v>
      </c>
      <c r="N2127" t="inlineStr">
        <is>
          <t>1</t>
        </is>
      </c>
      <c r="O2127" t="inlineStr">
        <is>
          <t>16</t>
        </is>
      </c>
      <c r="P2127" t="inlineStr">
        <is>
          <t xml:space="preserve">234665  </t>
        </is>
      </c>
      <c r="Q2127" s="26" t="n">
        <v>106.19</v>
      </c>
      <c r="R2127" s="26">
        <f>Q2127*G2127</f>
        <v/>
      </c>
      <c r="S2127" s="26">
        <f>IFERROR(VLOOKUP(E2127*1,Tabla[#All],8,0),0)</f>
        <v/>
      </c>
      <c r="T2127" s="26">
        <f>S2127*G2127</f>
        <v/>
      </c>
      <c r="U2127" s="26">
        <f>R2127-T2127</f>
        <v/>
      </c>
      <c r="V2127" s="26">
        <f>U2127-L2127</f>
        <v/>
      </c>
    </row>
    <row r="2128">
      <c r="A2128" s="11" t="n">
        <v>46224</v>
      </c>
      <c r="B2128" s="1" t="n">
        <v>20088</v>
      </c>
      <c r="C2128" s="1" t="inlineStr">
        <is>
          <t>023</t>
        </is>
      </c>
      <c r="D2128" s="1" t="inlineStr">
        <is>
          <t>127595</t>
        </is>
      </c>
      <c r="E2128" s="1" t="inlineStr">
        <is>
          <t xml:space="preserve">35685067       </t>
        </is>
      </c>
      <c r="F2128" s="5" t="inlineStr">
        <is>
          <t>HOT WHEELS POWER SET 3 EN 1</t>
        </is>
      </c>
      <c r="G2128" t="n">
        <v>1</v>
      </c>
      <c r="H2128" s="7" t="n">
        <v>49.9</v>
      </c>
      <c r="I2128" s="7" t="n">
        <v>9.98</v>
      </c>
      <c r="J2128" s="7" t="n">
        <v>0</v>
      </c>
      <c r="K2128" s="9" t="n">
        <v>9.98</v>
      </c>
      <c r="L2128" s="10" t="n">
        <v>23.68</v>
      </c>
      <c r="M2128" s="10" t="n">
        <v>1.43</v>
      </c>
      <c r="N2128" t="inlineStr">
        <is>
          <t>1</t>
        </is>
      </c>
      <c r="O2128" t="inlineStr">
        <is>
          <t xml:space="preserve">2 </t>
        </is>
      </c>
      <c r="P2128" t="inlineStr">
        <is>
          <t xml:space="preserve">47248   </t>
        </is>
      </c>
      <c r="Q2128" s="26" t="n">
        <v>29.6</v>
      </c>
      <c r="R2128" s="26">
        <f>Q2128*G2128</f>
        <v/>
      </c>
      <c r="S2128" s="26">
        <f>IFERROR(VLOOKUP(E2128*1,Tabla[#All],8,0),0)</f>
        <v/>
      </c>
      <c r="T2128" s="26">
        <f>S2128*G2128</f>
        <v/>
      </c>
      <c r="U2128" s="26">
        <f>R2128-T2128</f>
        <v/>
      </c>
      <c r="V2128" s="26">
        <f>U2128-L2128</f>
        <v/>
      </c>
    </row>
    <row r="2129">
      <c r="A2129" s="11" t="n">
        <v>46224</v>
      </c>
      <c r="B2129" s="1" t="n">
        <v>20089</v>
      </c>
      <c r="C2129" s="1" t="inlineStr">
        <is>
          <t>025</t>
        </is>
      </c>
      <c r="D2129" s="1" t="inlineStr">
        <is>
          <t>122274</t>
        </is>
      </c>
      <c r="E2129" s="1" t="inlineStr">
        <is>
          <t xml:space="preserve">28194769       </t>
        </is>
      </c>
      <c r="F2129" s="5" t="inlineStr">
        <is>
          <t>AUTOS DE METAL 3 TEAMSTERZ PACK DE 2</t>
        </is>
      </c>
      <c r="G2129" t="n">
        <v>1</v>
      </c>
      <c r="H2129" s="7" t="n">
        <v>13.8</v>
      </c>
      <c r="I2129" s="7" t="n">
        <v>1.38</v>
      </c>
      <c r="J2129" s="7" t="n">
        <v>0</v>
      </c>
      <c r="K2129" s="9" t="n">
        <v>1.38</v>
      </c>
      <c r="L2129" s="10" t="n">
        <v>7.37</v>
      </c>
      <c r="M2129" s="10" t="n">
        <v>1.43</v>
      </c>
      <c r="N2129" t="inlineStr">
        <is>
          <t>1</t>
        </is>
      </c>
      <c r="O2129" t="inlineStr">
        <is>
          <t xml:space="preserve">3 </t>
        </is>
      </c>
      <c r="P2129" t="inlineStr">
        <is>
          <t xml:space="preserve">232968  </t>
        </is>
      </c>
      <c r="Q2129" s="26" t="n">
        <v>8.19</v>
      </c>
      <c r="R2129" s="26">
        <f>Q2129*G2129</f>
        <v/>
      </c>
      <c r="S2129" s="26">
        <f>IFERROR(VLOOKUP(E2129*1,Tabla[#All],8,0),0)</f>
        <v/>
      </c>
      <c r="T2129" s="26">
        <f>S2129*G2129</f>
        <v/>
      </c>
      <c r="U2129" s="26">
        <f>R2129-T2129</f>
        <v/>
      </c>
      <c r="V2129" s="26">
        <f>U2129-L2129</f>
        <v/>
      </c>
    </row>
    <row r="2130">
      <c r="A2130" s="11" t="n">
        <v>46224</v>
      </c>
      <c r="B2130" s="1" t="n">
        <v>20089</v>
      </c>
      <c r="C2130" s="1" t="inlineStr">
        <is>
          <t>026</t>
        </is>
      </c>
      <c r="D2130" s="1" t="inlineStr">
        <is>
          <t xml:space="preserve">2012  </t>
        </is>
      </c>
      <c r="E2130" s="1" t="inlineStr">
        <is>
          <t xml:space="preserve">28194770       </t>
        </is>
      </c>
      <c r="F2130" s="5" t="inlineStr">
        <is>
          <t>AUTOS DE METAL 3 TEAMSTERZ EN BLISTER</t>
        </is>
      </c>
      <c r="G2130" t="n">
        <v>1</v>
      </c>
      <c r="H2130" s="7" t="n">
        <v>6.9</v>
      </c>
      <c r="I2130" s="7" t="n">
        <v>0</v>
      </c>
      <c r="J2130" s="7" t="n">
        <v>0</v>
      </c>
      <c r="K2130" s="9" t="n">
        <v>0</v>
      </c>
      <c r="L2130" s="10" t="n">
        <v>4.1</v>
      </c>
      <c r="M2130" s="10" t="n">
        <v>1.43</v>
      </c>
      <c r="N2130" t="inlineStr">
        <is>
          <t>1</t>
        </is>
      </c>
      <c r="O2130" t="inlineStr">
        <is>
          <t>16</t>
        </is>
      </c>
      <c r="P2130" t="inlineStr">
        <is>
          <t xml:space="preserve">109709  </t>
        </is>
      </c>
      <c r="Q2130" s="26" t="n">
        <v>4.09</v>
      </c>
      <c r="R2130" s="26">
        <f>Q2130*G2130</f>
        <v/>
      </c>
      <c r="S2130" s="26">
        <f>IFERROR(VLOOKUP(E2130*1,Tabla[#All],8,0),0)</f>
        <v/>
      </c>
      <c r="T2130" s="26">
        <f>S2130*G2130</f>
        <v/>
      </c>
      <c r="U2130" s="26">
        <f>R2130-T2130</f>
        <v/>
      </c>
      <c r="V2130" s="26">
        <f>U2130-L2130</f>
        <v/>
      </c>
    </row>
    <row r="2131">
      <c r="A2131" s="11" t="n">
        <v>46224</v>
      </c>
      <c r="B2131" s="1" t="n">
        <v>20089</v>
      </c>
      <c r="C2131" s="1" t="inlineStr">
        <is>
          <t>026</t>
        </is>
      </c>
      <c r="D2131" s="1" t="inlineStr">
        <is>
          <t xml:space="preserve">2012  </t>
        </is>
      </c>
      <c r="E2131" s="1" t="inlineStr">
        <is>
          <t xml:space="preserve">30141766       </t>
        </is>
      </c>
      <c r="F2131" s="5" t="inlineStr">
        <is>
          <t>TMZ BEAST MACHINES AUTOS DE METAL BLISTER X 1</t>
        </is>
      </c>
      <c r="G2131" t="n">
        <v>1</v>
      </c>
      <c r="H2131" s="7" t="n">
        <v>7.9</v>
      </c>
      <c r="I2131" s="7" t="n">
        <v>0</v>
      </c>
      <c r="J2131" s="7" t="n">
        <v>0</v>
      </c>
      <c r="K2131" s="9" t="n">
        <v>0</v>
      </c>
      <c r="L2131" s="10" t="n">
        <v>4.68</v>
      </c>
      <c r="M2131" s="10" t="n">
        <v>1.43</v>
      </c>
      <c r="N2131" t="inlineStr">
        <is>
          <t>1</t>
        </is>
      </c>
      <c r="O2131" t="inlineStr">
        <is>
          <t>16</t>
        </is>
      </c>
      <c r="P2131" t="inlineStr">
        <is>
          <t xml:space="preserve">109709  </t>
        </is>
      </c>
      <c r="Q2131" s="26" t="n">
        <v>4.69</v>
      </c>
      <c r="R2131" s="26">
        <f>Q2131*G2131</f>
        <v/>
      </c>
      <c r="S2131" s="26">
        <f>IFERROR(VLOOKUP(E2131*1,Tabla[#All],8,0),0)</f>
        <v/>
      </c>
      <c r="T2131" s="26">
        <f>S2131*G2131</f>
        <v/>
      </c>
      <c r="U2131" s="26">
        <f>R2131-T2131</f>
        <v/>
      </c>
      <c r="V2131" s="26">
        <f>U2131-L2131</f>
        <v/>
      </c>
    </row>
    <row r="2132">
      <c r="A2132" s="11" t="n">
        <v>46224</v>
      </c>
      <c r="B2132" s="1" t="n">
        <v>20089</v>
      </c>
      <c r="C2132" s="1" t="inlineStr">
        <is>
          <t>026</t>
        </is>
      </c>
      <c r="D2132" s="1" t="inlineStr">
        <is>
          <t xml:space="preserve">88374 </t>
        </is>
      </c>
      <c r="E2132" s="1" t="inlineStr">
        <is>
          <t xml:space="preserve">28194770       </t>
        </is>
      </c>
      <c r="F2132" s="5" t="inlineStr">
        <is>
          <t>AUTOS DE METAL 3 TEAMSTERZ EN BLISTER</t>
        </is>
      </c>
      <c r="G2132" t="n">
        <v>1</v>
      </c>
      <c r="H2132" s="7" t="n">
        <v>6.9</v>
      </c>
      <c r="I2132" s="7" t="n">
        <v>0</v>
      </c>
      <c r="J2132" s="7" t="n">
        <v>0</v>
      </c>
      <c r="K2132" s="9" t="n">
        <v>0</v>
      </c>
      <c r="L2132" s="10" t="n">
        <v>4.1</v>
      </c>
      <c r="M2132" s="10" t="n">
        <v>1.43</v>
      </c>
      <c r="N2132" t="inlineStr">
        <is>
          <t>1</t>
        </is>
      </c>
      <c r="O2132" t="inlineStr">
        <is>
          <t xml:space="preserve">2 </t>
        </is>
      </c>
      <c r="P2132" t="inlineStr">
        <is>
          <t xml:space="preserve">109709  </t>
        </is>
      </c>
      <c r="Q2132" s="26" t="n">
        <v>4.09</v>
      </c>
      <c r="R2132" s="26">
        <f>Q2132*G2132</f>
        <v/>
      </c>
      <c r="S2132" s="26">
        <f>IFERROR(VLOOKUP(E2132*1,Tabla[#All],8,0),0)</f>
        <v/>
      </c>
      <c r="T2132" s="26">
        <f>S2132*G2132</f>
        <v/>
      </c>
      <c r="U2132" s="26">
        <f>R2132-T2132</f>
        <v/>
      </c>
      <c r="V2132" s="26">
        <f>U2132-L2132</f>
        <v/>
      </c>
    </row>
    <row r="2133">
      <c r="A2133" s="11" t="n">
        <v>46224</v>
      </c>
      <c r="B2133" s="1" t="n">
        <v>20089</v>
      </c>
      <c r="C2133" s="1" t="inlineStr">
        <is>
          <t>026</t>
        </is>
      </c>
      <c r="D2133" s="1" t="inlineStr">
        <is>
          <t xml:space="preserve">88406 </t>
        </is>
      </c>
      <c r="E2133" s="1" t="inlineStr">
        <is>
          <t xml:space="preserve">30141766       </t>
        </is>
      </c>
      <c r="F2133" s="5" t="inlineStr">
        <is>
          <t>TMZ BEAST MACHINES AUTOS DE METAL BLISTER X 1</t>
        </is>
      </c>
      <c r="G2133" t="n">
        <v>1</v>
      </c>
      <c r="H2133" s="7" t="n">
        <v>7.9</v>
      </c>
      <c r="I2133" s="7" t="n">
        <v>0</v>
      </c>
      <c r="J2133" s="7" t="n">
        <v>0</v>
      </c>
      <c r="K2133" s="9" t="n">
        <v>0</v>
      </c>
      <c r="L2133" s="10" t="n">
        <v>4.68</v>
      </c>
      <c r="M2133" s="10" t="n">
        <v>1.43</v>
      </c>
      <c r="N2133" t="inlineStr">
        <is>
          <t>1</t>
        </is>
      </c>
      <c r="O2133" t="inlineStr">
        <is>
          <t>16</t>
        </is>
      </c>
      <c r="P2133" t="inlineStr">
        <is>
          <t xml:space="preserve">109709  </t>
        </is>
      </c>
      <c r="Q2133" s="26" t="n">
        <v>4.69</v>
      </c>
      <c r="R2133" s="26">
        <f>Q2133*G2133</f>
        <v/>
      </c>
      <c r="S2133" s="26">
        <f>IFERROR(VLOOKUP(E2133*1,Tabla[#All],8,0),0)</f>
        <v/>
      </c>
      <c r="T2133" s="26">
        <f>S2133*G2133</f>
        <v/>
      </c>
      <c r="U2133" s="26">
        <f>R2133-T2133</f>
        <v/>
      </c>
      <c r="V2133" s="26">
        <f>U2133-L2133</f>
        <v/>
      </c>
    </row>
    <row r="2134">
      <c r="A2134" s="11" t="n">
        <v>46224</v>
      </c>
      <c r="B2134" s="1" t="n">
        <v>20089</v>
      </c>
      <c r="C2134" s="1" t="inlineStr">
        <is>
          <t>800</t>
        </is>
      </c>
      <c r="D2134" s="1" t="inlineStr">
        <is>
          <t xml:space="preserve">4075  </t>
        </is>
      </c>
      <c r="E2134" s="1" t="inlineStr">
        <is>
          <t xml:space="preserve">32457099       </t>
        </is>
      </c>
      <c r="F2134" s="5" t="inlineStr">
        <is>
          <t>TMZ BEAST MACHINES MONSTER JAWS A FRICCION BLISTER</t>
        </is>
      </c>
      <c r="G2134" t="n">
        <v>1</v>
      </c>
      <c r="H2134" s="7" t="n">
        <v>17.9</v>
      </c>
      <c r="I2134" s="7" t="n">
        <v>0</v>
      </c>
      <c r="J2134" s="7" t="n">
        <v>0</v>
      </c>
      <c r="K2134" s="9" t="n">
        <v>0</v>
      </c>
      <c r="L2134" s="10" t="n">
        <v>10.62</v>
      </c>
      <c r="M2134" s="10" t="n">
        <v>1.43</v>
      </c>
      <c r="N2134" t="inlineStr">
        <is>
          <t>1</t>
        </is>
      </c>
      <c r="O2134" t="inlineStr">
        <is>
          <t>16</t>
        </is>
      </c>
      <c r="P2134" t="inlineStr">
        <is>
          <t xml:space="preserve">0       </t>
        </is>
      </c>
      <c r="Q2134" s="26" t="n">
        <v>11.81</v>
      </c>
      <c r="R2134" s="26">
        <f>Q2134*G2134</f>
        <v/>
      </c>
      <c r="S2134" s="26">
        <f>IFERROR(VLOOKUP(E2134*1,Tabla[#All],8,0),0)</f>
        <v/>
      </c>
      <c r="T2134" s="26">
        <f>S2134*G2134</f>
        <v/>
      </c>
      <c r="U2134" s="26">
        <f>R2134-T2134</f>
        <v/>
      </c>
      <c r="V2134" s="26">
        <f>U2134-L2134</f>
        <v/>
      </c>
    </row>
    <row r="2135">
      <c r="A2135" s="11" t="n">
        <v>46224</v>
      </c>
      <c r="B2135" s="1" t="n">
        <v>20095</v>
      </c>
      <c r="C2135" s="1" t="inlineStr">
        <is>
          <t>043</t>
        </is>
      </c>
      <c r="D2135" s="1" t="inlineStr">
        <is>
          <t>108350</t>
        </is>
      </c>
      <c r="E2135" s="1" t="inlineStr">
        <is>
          <t xml:space="preserve">28194770       </t>
        </is>
      </c>
      <c r="F2135" s="5" t="inlineStr">
        <is>
          <t>AUTOS DE METAL 3 TEAMSTERZ EN BLISTER</t>
        </is>
      </c>
      <c r="G2135" t="n">
        <v>1</v>
      </c>
      <c r="H2135" s="7" t="n">
        <v>6.9</v>
      </c>
      <c r="I2135" s="7" t="n">
        <v>0</v>
      </c>
      <c r="J2135" s="7" t="n">
        <v>0</v>
      </c>
      <c r="K2135" s="9" t="n">
        <v>0</v>
      </c>
      <c r="L2135" s="10" t="n">
        <v>4.1</v>
      </c>
      <c r="M2135" s="10" t="n">
        <v>1.43</v>
      </c>
      <c r="N2135" t="inlineStr">
        <is>
          <t>1</t>
        </is>
      </c>
      <c r="O2135" t="inlineStr">
        <is>
          <t>16</t>
        </is>
      </c>
      <c r="P2135" t="inlineStr">
        <is>
          <t xml:space="preserve">248294  </t>
        </is>
      </c>
      <c r="Q2135" s="26" t="n">
        <v>4.09</v>
      </c>
      <c r="R2135" s="26">
        <f>Q2135*G2135</f>
        <v/>
      </c>
      <c r="S2135" s="26">
        <f>IFERROR(VLOOKUP(E2135*1,Tabla[#All],8,0),0)</f>
        <v/>
      </c>
      <c r="T2135" s="26">
        <f>S2135*G2135</f>
        <v/>
      </c>
      <c r="U2135" s="26">
        <f>R2135-T2135</f>
        <v/>
      </c>
      <c r="V2135" s="26">
        <f>U2135-L2135</f>
        <v/>
      </c>
    </row>
    <row r="2136">
      <c r="A2136" s="11" t="n">
        <v>46224</v>
      </c>
      <c r="B2136" s="1" t="n">
        <v>20095</v>
      </c>
      <c r="C2136" s="1" t="inlineStr">
        <is>
          <t>043</t>
        </is>
      </c>
      <c r="D2136" s="1" t="inlineStr">
        <is>
          <t>108432</t>
        </is>
      </c>
      <c r="E2136" s="1" t="inlineStr">
        <is>
          <t xml:space="preserve">30141766       </t>
        </is>
      </c>
      <c r="F2136" s="5" t="inlineStr">
        <is>
          <t>TMZ BEAST MACHINES AUTOS DE METAL BLISTER X 1</t>
        </is>
      </c>
      <c r="G2136" t="n">
        <v>1</v>
      </c>
      <c r="H2136" s="7" t="n">
        <v>7.9</v>
      </c>
      <c r="I2136" s="7" t="n">
        <v>0</v>
      </c>
      <c r="J2136" s="7" t="n">
        <v>0</v>
      </c>
      <c r="K2136" s="9" t="n">
        <v>0</v>
      </c>
      <c r="L2136" s="10" t="n">
        <v>4.68</v>
      </c>
      <c r="M2136" s="10" t="n">
        <v>1.43</v>
      </c>
      <c r="N2136" t="inlineStr">
        <is>
          <t>1</t>
        </is>
      </c>
      <c r="O2136" t="inlineStr">
        <is>
          <t>16</t>
        </is>
      </c>
      <c r="P2136" t="inlineStr">
        <is>
          <t xml:space="preserve">248294  </t>
        </is>
      </c>
      <c r="Q2136" s="26" t="n">
        <v>4.69</v>
      </c>
      <c r="R2136" s="26">
        <f>Q2136*G2136</f>
        <v/>
      </c>
      <c r="S2136" s="26">
        <f>IFERROR(VLOOKUP(E2136*1,Tabla[#All],8,0),0)</f>
        <v/>
      </c>
      <c r="T2136" s="26">
        <f>S2136*G2136</f>
        <v/>
      </c>
      <c r="U2136" s="26">
        <f>R2136-T2136</f>
        <v/>
      </c>
      <c r="V2136" s="26">
        <f>U2136-L2136</f>
        <v/>
      </c>
    </row>
    <row r="2137">
      <c r="A2137" s="11" t="n">
        <v>46224</v>
      </c>
      <c r="B2137" s="1" t="n">
        <v>20095</v>
      </c>
      <c r="C2137" s="1" t="inlineStr">
        <is>
          <t>044</t>
        </is>
      </c>
      <c r="D2137" s="1" t="inlineStr">
        <is>
          <t xml:space="preserve">94326 </t>
        </is>
      </c>
      <c r="E2137" s="1" t="inlineStr">
        <is>
          <t xml:space="preserve">30141766       </t>
        </is>
      </c>
      <c r="F2137" s="5" t="inlineStr">
        <is>
          <t>TMZ BEAST MACHINES AUTOS DE METAL BLISTER X 1</t>
        </is>
      </c>
      <c r="G2137" t="n">
        <v>1</v>
      </c>
      <c r="H2137" s="7" t="n">
        <v>7.9</v>
      </c>
      <c r="I2137" s="7" t="n">
        <v>0</v>
      </c>
      <c r="J2137" s="7" t="n">
        <v>0</v>
      </c>
      <c r="K2137" s="9" t="n">
        <v>0</v>
      </c>
      <c r="L2137" s="10" t="n">
        <v>4.68</v>
      </c>
      <c r="M2137" s="10" t="n">
        <v>1.43</v>
      </c>
      <c r="N2137" t="inlineStr">
        <is>
          <t>1</t>
        </is>
      </c>
      <c r="O2137" t="inlineStr">
        <is>
          <t xml:space="preserve">3 </t>
        </is>
      </c>
      <c r="P2137" t="inlineStr">
        <is>
          <t xml:space="preserve">38948   </t>
        </is>
      </c>
      <c r="Q2137" s="26" t="n">
        <v>4.69</v>
      </c>
      <c r="R2137" s="26">
        <f>Q2137*G2137</f>
        <v/>
      </c>
      <c r="S2137" s="26">
        <f>IFERROR(VLOOKUP(E2137*1,Tabla[#All],8,0),0)</f>
        <v/>
      </c>
      <c r="T2137" s="26">
        <f>S2137*G2137</f>
        <v/>
      </c>
      <c r="U2137" s="26">
        <f>R2137-T2137</f>
        <v/>
      </c>
      <c r="V2137" s="26">
        <f>U2137-L2137</f>
        <v/>
      </c>
    </row>
    <row r="2138">
      <c r="A2138" s="11" t="n">
        <v>46225</v>
      </c>
      <c r="B2138" s="1" t="n">
        <v>20021</v>
      </c>
      <c r="C2138" s="1" t="inlineStr">
        <is>
          <t>078</t>
        </is>
      </c>
      <c r="D2138" s="1" t="inlineStr">
        <is>
          <t>101479</t>
        </is>
      </c>
      <c r="E2138" s="1" t="inlineStr">
        <is>
          <t xml:space="preserve">28194770       </t>
        </is>
      </c>
      <c r="F2138" s="5" t="inlineStr">
        <is>
          <t>AUTOS DE METAL 3 TEAMSTERZ EN BLISTER</t>
        </is>
      </c>
      <c r="G2138" t="n">
        <v>1</v>
      </c>
      <c r="H2138" s="7" t="n">
        <v>6.9</v>
      </c>
      <c r="I2138" s="7" t="n">
        <v>0</v>
      </c>
      <c r="J2138" s="7" t="n">
        <v>0</v>
      </c>
      <c r="K2138" s="9" t="n">
        <v>0</v>
      </c>
      <c r="L2138" s="10" t="n">
        <v>4.1</v>
      </c>
      <c r="M2138" s="10" t="n">
        <v>1.43</v>
      </c>
      <c r="N2138" t="inlineStr">
        <is>
          <t>1</t>
        </is>
      </c>
      <c r="O2138" t="inlineStr">
        <is>
          <t>16</t>
        </is>
      </c>
      <c r="P2138" t="inlineStr">
        <is>
          <t xml:space="preserve">12097   </t>
        </is>
      </c>
      <c r="Q2138" s="26" t="n">
        <v>4.09</v>
      </c>
      <c r="R2138" s="26">
        <f>Q2138*G2138</f>
        <v/>
      </c>
      <c r="S2138" s="26">
        <f>IFERROR(VLOOKUP(E2138*1,Tabla[#All],8,0),0)</f>
        <v/>
      </c>
      <c r="T2138" s="26">
        <f>S2138*G2138</f>
        <v/>
      </c>
      <c r="U2138" s="26">
        <f>R2138-T2138</f>
        <v/>
      </c>
      <c r="V2138" s="26">
        <f>U2138-L2138</f>
        <v/>
      </c>
    </row>
    <row r="2139">
      <c r="A2139" s="11" t="n">
        <v>46225</v>
      </c>
      <c r="B2139" s="1" t="n">
        <v>20023</v>
      </c>
      <c r="C2139" s="1" t="inlineStr">
        <is>
          <t>191</t>
        </is>
      </c>
      <c r="D2139" s="1" t="inlineStr">
        <is>
          <t xml:space="preserve">7991  </t>
        </is>
      </c>
      <c r="E2139" s="1" t="inlineStr">
        <is>
          <t xml:space="preserve">28194782       </t>
        </is>
      </c>
      <c r="F2139" s="5" t="inlineStr">
        <is>
          <t>TROMPO BATALLA INFINITY NADO SERIE V ORIGINAL SURT</t>
        </is>
      </c>
      <c r="G2139" t="n">
        <v>1</v>
      </c>
      <c r="H2139" s="7" t="n">
        <v>49.9</v>
      </c>
      <c r="I2139" s="7" t="n">
        <v>0</v>
      </c>
      <c r="J2139" s="7" t="n">
        <v>0</v>
      </c>
      <c r="K2139" s="9" t="n">
        <v>0</v>
      </c>
      <c r="L2139" s="10" t="n">
        <v>29.6</v>
      </c>
      <c r="M2139" s="10" t="n">
        <v>1.43</v>
      </c>
      <c r="N2139" t="inlineStr">
        <is>
          <t>1</t>
        </is>
      </c>
      <c r="O2139" t="inlineStr">
        <is>
          <t>16</t>
        </is>
      </c>
      <c r="P2139" t="inlineStr">
        <is>
          <t xml:space="preserve">32464   </t>
        </is>
      </c>
      <c r="Q2139" s="26" t="n">
        <v>41.47</v>
      </c>
      <c r="R2139" s="26">
        <f>Q2139*G2139</f>
        <v/>
      </c>
      <c r="S2139" s="26">
        <f>IFERROR(VLOOKUP(E2139*1,Tabla[#All],8,0),0)</f>
        <v/>
      </c>
      <c r="T2139" s="26">
        <f>S2139*G2139</f>
        <v/>
      </c>
      <c r="U2139" s="26">
        <f>R2139-T2139</f>
        <v/>
      </c>
      <c r="V2139" s="26">
        <f>U2139-L2139</f>
        <v/>
      </c>
    </row>
    <row r="2140">
      <c r="A2140" s="11" t="n">
        <v>46225</v>
      </c>
      <c r="B2140" s="1" t="n">
        <v>20024</v>
      </c>
      <c r="C2140" s="1" t="inlineStr">
        <is>
          <t>038</t>
        </is>
      </c>
      <c r="D2140" s="1" t="inlineStr">
        <is>
          <t xml:space="preserve">25895 </t>
        </is>
      </c>
      <c r="E2140" s="1" t="inlineStr">
        <is>
          <t xml:space="preserve">28194769       </t>
        </is>
      </c>
      <c r="F2140" s="5" t="inlineStr">
        <is>
          <t>AUTOS DE METAL 3 TEAMSTERZ PACK DE 2</t>
        </is>
      </c>
      <c r="G2140" t="n">
        <v>1</v>
      </c>
      <c r="H2140" s="7" t="n">
        <v>13.8</v>
      </c>
      <c r="I2140" s="7" t="n">
        <v>0</v>
      </c>
      <c r="J2140" s="7" t="n">
        <v>0</v>
      </c>
      <c r="K2140" s="9" t="n">
        <v>0</v>
      </c>
      <c r="L2140" s="10" t="n">
        <v>8.18</v>
      </c>
      <c r="M2140" s="10" t="n">
        <v>1.43</v>
      </c>
      <c r="N2140" t="inlineStr">
        <is>
          <t>1</t>
        </is>
      </c>
      <c r="O2140" t="inlineStr">
        <is>
          <t>16</t>
        </is>
      </c>
      <c r="P2140" t="inlineStr">
        <is>
          <t xml:space="preserve">65868   </t>
        </is>
      </c>
      <c r="Q2140" s="26" t="n">
        <v>8.19</v>
      </c>
      <c r="R2140" s="26">
        <f>Q2140*G2140</f>
        <v/>
      </c>
      <c r="S2140" s="26">
        <f>IFERROR(VLOOKUP(E2140*1,Tabla[#All],8,0),0)</f>
        <v/>
      </c>
      <c r="T2140" s="26">
        <f>S2140*G2140</f>
        <v/>
      </c>
      <c r="U2140" s="26">
        <f>R2140-T2140</f>
        <v/>
      </c>
      <c r="V2140" s="26">
        <f>U2140-L2140</f>
        <v/>
      </c>
    </row>
    <row r="2141">
      <c r="A2141" s="11" t="n">
        <v>46225</v>
      </c>
      <c r="B2141" s="1" t="n">
        <v>20024</v>
      </c>
      <c r="C2141" s="1" t="inlineStr">
        <is>
          <t>038</t>
        </is>
      </c>
      <c r="D2141" s="1" t="inlineStr">
        <is>
          <t xml:space="preserve">25895 </t>
        </is>
      </c>
      <c r="E2141" s="1" t="inlineStr">
        <is>
          <t xml:space="preserve">28194769       </t>
        </is>
      </c>
      <c r="F2141" s="5" t="inlineStr">
        <is>
          <t>AUTOS DE METAL 3 TEAMSTERZ PACK DE 2</t>
        </is>
      </c>
      <c r="G2141" t="n">
        <v>1</v>
      </c>
      <c r="H2141" s="7" t="n">
        <v>13.8</v>
      </c>
      <c r="I2141" s="7" t="n">
        <v>0</v>
      </c>
      <c r="J2141" s="7" t="n">
        <v>0</v>
      </c>
      <c r="K2141" s="9" t="n">
        <v>0</v>
      </c>
      <c r="L2141" s="10" t="n">
        <v>8.18</v>
      </c>
      <c r="M2141" s="10" t="n">
        <v>1.43</v>
      </c>
      <c r="N2141" t="inlineStr">
        <is>
          <t>1</t>
        </is>
      </c>
      <c r="O2141" t="inlineStr">
        <is>
          <t>16</t>
        </is>
      </c>
      <c r="P2141" t="inlineStr">
        <is>
          <t xml:space="preserve">65868   </t>
        </is>
      </c>
      <c r="Q2141" s="26" t="n">
        <v>8.19</v>
      </c>
      <c r="R2141" s="26">
        <f>Q2141*G2141</f>
        <v/>
      </c>
      <c r="S2141" s="26">
        <f>IFERROR(VLOOKUP(E2141*1,Tabla[#All],8,0),0)</f>
        <v/>
      </c>
      <c r="T2141" s="26">
        <f>S2141*G2141</f>
        <v/>
      </c>
      <c r="U2141" s="26">
        <f>R2141-T2141</f>
        <v/>
      </c>
      <c r="V2141" s="26">
        <f>U2141-L2141</f>
        <v/>
      </c>
    </row>
    <row r="2142">
      <c r="A2142" s="11" t="n">
        <v>46225</v>
      </c>
      <c r="B2142" s="1" t="n">
        <v>20024</v>
      </c>
      <c r="C2142" s="1" t="inlineStr">
        <is>
          <t>038</t>
        </is>
      </c>
      <c r="D2142" s="1" t="inlineStr">
        <is>
          <t xml:space="preserve">25895 </t>
        </is>
      </c>
      <c r="E2142" s="1" t="inlineStr">
        <is>
          <t xml:space="preserve">28194769       </t>
        </is>
      </c>
      <c r="F2142" s="5" t="inlineStr">
        <is>
          <t>AUTOS DE METAL 3 TEAMSTERZ PACK DE 2</t>
        </is>
      </c>
      <c r="G2142" t="n">
        <v>1</v>
      </c>
      <c r="H2142" s="7" t="n">
        <v>13.8</v>
      </c>
      <c r="I2142" s="7" t="n">
        <v>0</v>
      </c>
      <c r="J2142" s="7" t="n">
        <v>0</v>
      </c>
      <c r="K2142" s="9" t="n">
        <v>0</v>
      </c>
      <c r="L2142" s="10" t="n">
        <v>8.18</v>
      </c>
      <c r="M2142" s="10" t="n">
        <v>1.43</v>
      </c>
      <c r="N2142" t="inlineStr">
        <is>
          <t>1</t>
        </is>
      </c>
      <c r="O2142" t="inlineStr">
        <is>
          <t>16</t>
        </is>
      </c>
      <c r="P2142" t="inlineStr">
        <is>
          <t xml:space="preserve">65868   </t>
        </is>
      </c>
      <c r="Q2142" s="26" t="n">
        <v>8.19</v>
      </c>
      <c r="R2142" s="26">
        <f>Q2142*G2142</f>
        <v/>
      </c>
      <c r="S2142" s="26">
        <f>IFERROR(VLOOKUP(E2142*1,Tabla[#All],8,0),0)</f>
        <v/>
      </c>
      <c r="T2142" s="26">
        <f>S2142*G2142</f>
        <v/>
      </c>
      <c r="U2142" s="26">
        <f>R2142-T2142</f>
        <v/>
      </c>
      <c r="V2142" s="26">
        <f>U2142-L2142</f>
        <v/>
      </c>
    </row>
    <row r="2143">
      <c r="A2143" s="11" t="n">
        <v>46225</v>
      </c>
      <c r="B2143" s="1" t="n">
        <v>20024</v>
      </c>
      <c r="C2143" s="1" t="inlineStr">
        <is>
          <t>038</t>
        </is>
      </c>
      <c r="D2143" s="1" t="inlineStr">
        <is>
          <t xml:space="preserve">25895 </t>
        </is>
      </c>
      <c r="E2143" s="1" t="inlineStr">
        <is>
          <t xml:space="preserve">28194769       </t>
        </is>
      </c>
      <c r="F2143" s="5" t="inlineStr">
        <is>
          <t>AUTOS DE METAL 3 TEAMSTERZ PACK DE 2</t>
        </is>
      </c>
      <c r="G2143" t="n">
        <v>1</v>
      </c>
      <c r="H2143" s="7" t="n">
        <v>13.8</v>
      </c>
      <c r="I2143" s="7" t="n">
        <v>0</v>
      </c>
      <c r="J2143" s="7" t="n">
        <v>0</v>
      </c>
      <c r="K2143" s="9" t="n">
        <v>0</v>
      </c>
      <c r="L2143" s="10" t="n">
        <v>8.18</v>
      </c>
      <c r="M2143" s="10" t="n">
        <v>1.43</v>
      </c>
      <c r="N2143" t="inlineStr">
        <is>
          <t>1</t>
        </is>
      </c>
      <c r="O2143" t="inlineStr">
        <is>
          <t>16</t>
        </is>
      </c>
      <c r="P2143" t="inlineStr">
        <is>
          <t xml:space="preserve">65868   </t>
        </is>
      </c>
      <c r="Q2143" s="26" t="n">
        <v>8.19</v>
      </c>
      <c r="R2143" s="26">
        <f>Q2143*G2143</f>
        <v/>
      </c>
      <c r="S2143" s="26">
        <f>IFERROR(VLOOKUP(E2143*1,Tabla[#All],8,0),0)</f>
        <v/>
      </c>
      <c r="T2143" s="26">
        <f>S2143*G2143</f>
        <v/>
      </c>
      <c r="U2143" s="26">
        <f>R2143-T2143</f>
        <v/>
      </c>
      <c r="V2143" s="26">
        <f>U2143-L2143</f>
        <v/>
      </c>
    </row>
    <row r="2144">
      <c r="A2144" s="11" t="n">
        <v>46225</v>
      </c>
      <c r="B2144" s="1" t="n">
        <v>20024</v>
      </c>
      <c r="C2144" s="1" t="inlineStr">
        <is>
          <t>038</t>
        </is>
      </c>
      <c r="D2144" s="1" t="inlineStr">
        <is>
          <t xml:space="preserve">25895 </t>
        </is>
      </c>
      <c r="E2144" s="1" t="inlineStr">
        <is>
          <t xml:space="preserve">28194769       </t>
        </is>
      </c>
      <c r="F2144" s="5" t="inlineStr">
        <is>
          <t>AUTOS DE METAL 3 TEAMSTERZ PACK DE 2</t>
        </is>
      </c>
      <c r="G2144" t="n">
        <v>1</v>
      </c>
      <c r="H2144" s="7" t="n">
        <v>13.8</v>
      </c>
      <c r="I2144" s="7" t="n">
        <v>0</v>
      </c>
      <c r="J2144" s="7" t="n">
        <v>0</v>
      </c>
      <c r="K2144" s="9" t="n">
        <v>0</v>
      </c>
      <c r="L2144" s="10" t="n">
        <v>8.18</v>
      </c>
      <c r="M2144" s="10" t="n">
        <v>1.43</v>
      </c>
      <c r="N2144" t="inlineStr">
        <is>
          <t>1</t>
        </is>
      </c>
      <c r="O2144" t="inlineStr">
        <is>
          <t>16</t>
        </is>
      </c>
      <c r="P2144" t="inlineStr">
        <is>
          <t xml:space="preserve">65868   </t>
        </is>
      </c>
      <c r="Q2144" s="26" t="n">
        <v>8.19</v>
      </c>
      <c r="R2144" s="26">
        <f>Q2144*G2144</f>
        <v/>
      </c>
      <c r="S2144" s="26">
        <f>IFERROR(VLOOKUP(E2144*1,Tabla[#All],8,0),0)</f>
        <v/>
      </c>
      <c r="T2144" s="26">
        <f>S2144*G2144</f>
        <v/>
      </c>
      <c r="U2144" s="26">
        <f>R2144-T2144</f>
        <v/>
      </c>
      <c r="V2144" s="26">
        <f>U2144-L2144</f>
        <v/>
      </c>
    </row>
    <row r="2145">
      <c r="A2145" s="11" t="n">
        <v>46225</v>
      </c>
      <c r="B2145" s="1" t="n">
        <v>20024</v>
      </c>
      <c r="C2145" s="1" t="inlineStr">
        <is>
          <t>075</t>
        </is>
      </c>
      <c r="D2145" s="1" t="inlineStr">
        <is>
          <t>164243</t>
        </is>
      </c>
      <c r="E2145" s="1" t="inlineStr">
        <is>
          <t xml:space="preserve">29235706       </t>
        </is>
      </c>
      <c r="F2145" s="5" t="inlineStr">
        <is>
          <t>TEAMSTERZ CAMION PARA GUARDAR 12 AUTOS INCL 4 AUTO</t>
        </is>
      </c>
      <c r="G2145" t="n">
        <v>1</v>
      </c>
      <c r="H2145" s="7" t="n">
        <v>59.9</v>
      </c>
      <c r="I2145" s="7" t="n">
        <v>0</v>
      </c>
      <c r="J2145" s="7" t="n">
        <v>0</v>
      </c>
      <c r="K2145" s="9" t="n">
        <v>0</v>
      </c>
      <c r="L2145" s="10" t="n">
        <v>35.53</v>
      </c>
      <c r="M2145" s="10" t="n">
        <v>1.43</v>
      </c>
      <c r="N2145" t="inlineStr">
        <is>
          <t>1</t>
        </is>
      </c>
      <c r="O2145" t="inlineStr">
        <is>
          <t>16</t>
        </is>
      </c>
      <c r="P2145" t="inlineStr">
        <is>
          <t xml:space="preserve">23463   </t>
        </is>
      </c>
      <c r="Q2145" s="26" t="n">
        <v>35.53</v>
      </c>
      <c r="R2145" s="26">
        <f>Q2145*G2145</f>
        <v/>
      </c>
      <c r="S2145" s="26">
        <f>IFERROR(VLOOKUP(E2145*1,Tabla[#All],8,0),0)</f>
        <v/>
      </c>
      <c r="T2145" s="26">
        <f>S2145*G2145</f>
        <v/>
      </c>
      <c r="U2145" s="26">
        <f>R2145-T2145</f>
        <v/>
      </c>
      <c r="V2145" s="26">
        <f>U2145-L2145</f>
        <v/>
      </c>
    </row>
    <row r="2146">
      <c r="A2146" s="11" t="n">
        <v>46225</v>
      </c>
      <c r="B2146" s="1" t="n">
        <v>20024</v>
      </c>
      <c r="C2146" s="1" t="inlineStr">
        <is>
          <t>802</t>
        </is>
      </c>
      <c r="D2146" s="1" t="inlineStr">
        <is>
          <t xml:space="preserve">9865  </t>
        </is>
      </c>
      <c r="E2146" s="1" t="inlineStr">
        <is>
          <t xml:space="preserve">35685068       </t>
        </is>
      </c>
      <c r="F2146" s="5" t="inlineStr">
        <is>
          <t>BARBIE FASHION SET 3 EN 1</t>
        </is>
      </c>
      <c r="G2146" t="n">
        <v>1</v>
      </c>
      <c r="H2146" s="7" t="n">
        <v>49.9</v>
      </c>
      <c r="I2146" s="7" t="n">
        <v>0</v>
      </c>
      <c r="J2146" s="7" t="n">
        <v>0</v>
      </c>
      <c r="K2146" s="9" t="n">
        <v>0</v>
      </c>
      <c r="L2146" s="10" t="n">
        <v>29.6</v>
      </c>
      <c r="M2146" s="10" t="n">
        <v>1.43</v>
      </c>
      <c r="N2146" t="inlineStr">
        <is>
          <t>1</t>
        </is>
      </c>
      <c r="O2146" t="inlineStr">
        <is>
          <t>16</t>
        </is>
      </c>
      <c r="P2146" t="inlineStr">
        <is>
          <t xml:space="preserve">0       </t>
        </is>
      </c>
      <c r="Q2146" s="26" t="n">
        <v>29.6</v>
      </c>
      <c r="R2146" s="26">
        <f>Q2146*G2146</f>
        <v/>
      </c>
      <c r="S2146" s="26">
        <f>IFERROR(VLOOKUP(E2146*1,Tabla[#All],8,0),0)</f>
        <v/>
      </c>
      <c r="T2146" s="26">
        <f>S2146*G2146</f>
        <v/>
      </c>
      <c r="U2146" s="26">
        <f>R2146-T2146</f>
        <v/>
      </c>
      <c r="V2146" s="26">
        <f>U2146-L2146</f>
        <v/>
      </c>
    </row>
    <row r="2147">
      <c r="A2147" s="11" t="n">
        <v>46225</v>
      </c>
      <c r="B2147" s="1" t="n">
        <v>20028</v>
      </c>
      <c r="C2147" s="1" t="inlineStr">
        <is>
          <t>021</t>
        </is>
      </c>
      <c r="D2147" s="1" t="inlineStr">
        <is>
          <t>186377</t>
        </is>
      </c>
      <c r="E2147" s="1" t="inlineStr">
        <is>
          <t xml:space="preserve">31754675       </t>
        </is>
      </c>
      <c r="F2147" s="5" t="inlineStr">
        <is>
          <t>INFINITY NADO SERIE 6 STARTER PACK - 4 MODELOS</t>
        </is>
      </c>
      <c r="G2147" t="n">
        <v>1</v>
      </c>
      <c r="H2147" s="7" t="n">
        <v>49.9</v>
      </c>
      <c r="I2147" s="7" t="n">
        <v>0</v>
      </c>
      <c r="J2147" s="7" t="n">
        <v>0</v>
      </c>
      <c r="K2147" s="9" t="n">
        <v>0</v>
      </c>
      <c r="L2147" s="10" t="n">
        <v>29.6</v>
      </c>
      <c r="M2147" s="10" t="n">
        <v>1.43</v>
      </c>
      <c r="N2147" t="inlineStr">
        <is>
          <t>1</t>
        </is>
      </c>
      <c r="O2147" t="inlineStr">
        <is>
          <t>16</t>
        </is>
      </c>
      <c r="P2147" t="inlineStr">
        <is>
          <t xml:space="preserve">23715   </t>
        </is>
      </c>
      <c r="Q2147" s="26" t="n">
        <v>41.47</v>
      </c>
      <c r="R2147" s="26">
        <f>Q2147*G2147</f>
        <v/>
      </c>
      <c r="S2147" s="26">
        <f>IFERROR(VLOOKUP(E2147*1,Tabla[#All],8,0),0)</f>
        <v/>
      </c>
      <c r="T2147" s="26">
        <f>S2147*G2147</f>
        <v/>
      </c>
      <c r="U2147" s="26">
        <f>R2147-T2147</f>
        <v/>
      </c>
      <c r="V2147" s="26">
        <f>U2147-L2147</f>
        <v/>
      </c>
    </row>
    <row r="2148">
      <c r="A2148" s="11" t="n">
        <v>46225</v>
      </c>
      <c r="B2148" s="1" t="n">
        <v>20030</v>
      </c>
      <c r="C2148" s="1" t="inlineStr">
        <is>
          <t>067</t>
        </is>
      </c>
      <c r="D2148" s="1" t="inlineStr">
        <is>
          <t>274827</t>
        </is>
      </c>
      <c r="E2148" s="1" t="inlineStr">
        <is>
          <t xml:space="preserve">30141766       </t>
        </is>
      </c>
      <c r="F2148" s="5" t="inlineStr">
        <is>
          <t>TMZ BEAST MACHINES AUTOS DE METAL BLISTER X 1</t>
        </is>
      </c>
      <c r="G2148" t="n">
        <v>1</v>
      </c>
      <c r="H2148" s="7" t="n">
        <v>7.9</v>
      </c>
      <c r="I2148" s="7" t="n">
        <v>0</v>
      </c>
      <c r="J2148" s="7" t="n">
        <v>0</v>
      </c>
      <c r="K2148" s="9" t="n">
        <v>0</v>
      </c>
      <c r="L2148" s="10" t="n">
        <v>4.68</v>
      </c>
      <c r="M2148" s="10" t="n">
        <v>1.43</v>
      </c>
      <c r="N2148" t="inlineStr">
        <is>
          <t>1</t>
        </is>
      </c>
      <c r="O2148" t="inlineStr">
        <is>
          <t>16</t>
        </is>
      </c>
      <c r="P2148" t="inlineStr">
        <is>
          <t xml:space="preserve">47899   </t>
        </is>
      </c>
      <c r="Q2148" s="26" t="n">
        <v>4.69</v>
      </c>
      <c r="R2148" s="26">
        <f>Q2148*G2148</f>
        <v/>
      </c>
      <c r="S2148" s="26">
        <f>IFERROR(VLOOKUP(E2148*1,Tabla[#All],8,0),0)</f>
        <v/>
      </c>
      <c r="T2148" s="26">
        <f>S2148*G2148</f>
        <v/>
      </c>
      <c r="U2148" s="26">
        <f>R2148-T2148</f>
        <v/>
      </c>
      <c r="V2148" s="26">
        <f>U2148-L2148</f>
        <v/>
      </c>
    </row>
    <row r="2149">
      <c r="A2149" s="11" t="n">
        <v>46225</v>
      </c>
      <c r="B2149" s="1" t="n">
        <v>20041</v>
      </c>
      <c r="C2149" s="1" t="inlineStr">
        <is>
          <t>018</t>
        </is>
      </c>
      <c r="D2149" s="1" t="inlineStr">
        <is>
          <t xml:space="preserve">56728 </t>
        </is>
      </c>
      <c r="E2149" s="1" t="inlineStr">
        <is>
          <t xml:space="preserve">28194770       </t>
        </is>
      </c>
      <c r="F2149" s="5" t="inlineStr">
        <is>
          <t>AUTOS DE METAL 3 TEAMSTERZ EN BLISTER</t>
        </is>
      </c>
      <c r="G2149" t="n">
        <v>1</v>
      </c>
      <c r="H2149" s="7" t="n">
        <v>6.9</v>
      </c>
      <c r="I2149" s="7" t="n">
        <v>0</v>
      </c>
      <c r="J2149" s="7" t="n">
        <v>0</v>
      </c>
      <c r="K2149" s="9" t="n">
        <v>0</v>
      </c>
      <c r="L2149" s="10" t="n">
        <v>4.1</v>
      </c>
      <c r="M2149" s="10" t="n">
        <v>1.43</v>
      </c>
      <c r="N2149" t="inlineStr">
        <is>
          <t>1</t>
        </is>
      </c>
      <c r="O2149" t="inlineStr">
        <is>
          <t xml:space="preserve">2 </t>
        </is>
      </c>
      <c r="P2149" t="inlineStr">
        <is>
          <t xml:space="preserve">244965  </t>
        </is>
      </c>
      <c r="Q2149" s="26" t="n">
        <v>4.09</v>
      </c>
      <c r="R2149" s="26">
        <f>Q2149*G2149</f>
        <v/>
      </c>
      <c r="S2149" s="26">
        <f>IFERROR(VLOOKUP(E2149*1,Tabla[#All],8,0),0)</f>
        <v/>
      </c>
      <c r="T2149" s="26">
        <f>S2149*G2149</f>
        <v/>
      </c>
      <c r="U2149" s="26">
        <f>R2149-T2149</f>
        <v/>
      </c>
      <c r="V2149" s="26">
        <f>U2149-L2149</f>
        <v/>
      </c>
    </row>
    <row r="2150">
      <c r="A2150" s="11" t="n">
        <v>46225</v>
      </c>
      <c r="B2150" s="1" t="n">
        <v>20047</v>
      </c>
      <c r="C2150" s="1" t="inlineStr">
        <is>
          <t>191</t>
        </is>
      </c>
      <c r="D2150" s="1" t="inlineStr">
        <is>
          <t>462940</t>
        </is>
      </c>
      <c r="E2150" s="1" t="inlineStr">
        <is>
          <t xml:space="preserve">28194770       </t>
        </is>
      </c>
      <c r="F2150" s="5" t="inlineStr">
        <is>
          <t>AUTOS DE METAL 3 TEAMSTERZ EN BLISTER</t>
        </is>
      </c>
      <c r="G2150" t="n">
        <v>1</v>
      </c>
      <c r="H2150" s="7" t="n">
        <v>6.9</v>
      </c>
      <c r="I2150" s="7" t="n">
        <v>0</v>
      </c>
      <c r="J2150" s="7" t="n">
        <v>0</v>
      </c>
      <c r="K2150" s="9" t="n">
        <v>0</v>
      </c>
      <c r="L2150" s="10" t="n">
        <v>4.1</v>
      </c>
      <c r="M2150" s="10" t="n">
        <v>1.43</v>
      </c>
      <c r="N2150" t="inlineStr">
        <is>
          <t>1</t>
        </is>
      </c>
      <c r="O2150" t="inlineStr">
        <is>
          <t xml:space="preserve">2 </t>
        </is>
      </c>
      <c r="P2150" t="inlineStr">
        <is>
          <t xml:space="preserve">78210   </t>
        </is>
      </c>
      <c r="Q2150" s="26" t="n">
        <v>4.09</v>
      </c>
      <c r="R2150" s="26">
        <f>Q2150*G2150</f>
        <v/>
      </c>
      <c r="S2150" s="26">
        <f>IFERROR(VLOOKUP(E2150*1,Tabla[#All],8,0),0)</f>
        <v/>
      </c>
      <c r="T2150" s="26">
        <f>S2150*G2150</f>
        <v/>
      </c>
      <c r="U2150" s="26">
        <f>R2150-T2150</f>
        <v/>
      </c>
      <c r="V2150" s="26">
        <f>U2150-L2150</f>
        <v/>
      </c>
    </row>
    <row r="2151">
      <c r="A2151" s="11" t="n">
        <v>46225</v>
      </c>
      <c r="B2151" s="1" t="n">
        <v>20047</v>
      </c>
      <c r="C2151" s="1" t="inlineStr">
        <is>
          <t>191</t>
        </is>
      </c>
      <c r="D2151" s="1" t="inlineStr">
        <is>
          <t>462992</t>
        </is>
      </c>
      <c r="E2151" s="1" t="inlineStr">
        <is>
          <t xml:space="preserve">28194770       </t>
        </is>
      </c>
      <c r="F2151" s="5" t="inlineStr">
        <is>
          <t>AUTOS DE METAL 3 TEAMSTERZ EN BLISTER</t>
        </is>
      </c>
      <c r="G2151" t="n">
        <v>1</v>
      </c>
      <c r="H2151" s="7" t="n">
        <v>6.9</v>
      </c>
      <c r="I2151" s="7" t="n">
        <v>0</v>
      </c>
      <c r="J2151" s="7" t="n">
        <v>0</v>
      </c>
      <c r="K2151" s="9" t="n">
        <v>0</v>
      </c>
      <c r="L2151" s="10" t="n">
        <v>4.1</v>
      </c>
      <c r="M2151" s="10" t="n">
        <v>1.43</v>
      </c>
      <c r="N2151" t="inlineStr">
        <is>
          <t>1</t>
        </is>
      </c>
      <c r="O2151" t="inlineStr">
        <is>
          <t xml:space="preserve">2 </t>
        </is>
      </c>
      <c r="P2151" t="inlineStr">
        <is>
          <t xml:space="preserve">78210   </t>
        </is>
      </c>
      <c r="Q2151" s="26" t="n">
        <v>4.09</v>
      </c>
      <c r="R2151" s="26">
        <f>Q2151*G2151</f>
        <v/>
      </c>
      <c r="S2151" s="26">
        <f>IFERROR(VLOOKUP(E2151*1,Tabla[#All],8,0),0)</f>
        <v/>
      </c>
      <c r="T2151" s="26">
        <f>S2151*G2151</f>
        <v/>
      </c>
      <c r="U2151" s="26">
        <f>R2151-T2151</f>
        <v/>
      </c>
      <c r="V2151" s="26">
        <f>U2151-L2151</f>
        <v/>
      </c>
    </row>
    <row r="2152">
      <c r="A2152" s="11" t="n">
        <v>46225</v>
      </c>
      <c r="B2152" s="1" t="n">
        <v>20047</v>
      </c>
      <c r="C2152" s="1" t="inlineStr">
        <is>
          <t>191</t>
        </is>
      </c>
      <c r="D2152" s="1" t="inlineStr">
        <is>
          <t>462992</t>
        </is>
      </c>
      <c r="E2152" s="1" t="inlineStr">
        <is>
          <t xml:space="preserve">28194770       </t>
        </is>
      </c>
      <c r="F2152" s="5" t="inlineStr">
        <is>
          <t>AUTOS DE METAL 3 TEAMSTERZ EN BLISTER</t>
        </is>
      </c>
      <c r="G2152" t="n">
        <v>1</v>
      </c>
      <c r="H2152" s="7" t="n">
        <v>6.9</v>
      </c>
      <c r="I2152" s="7" t="n">
        <v>0</v>
      </c>
      <c r="J2152" s="7" t="n">
        <v>0</v>
      </c>
      <c r="K2152" s="9" t="n">
        <v>0</v>
      </c>
      <c r="L2152" s="10" t="n">
        <v>4.1</v>
      </c>
      <c r="M2152" s="10" t="n">
        <v>1.43</v>
      </c>
      <c r="N2152" t="inlineStr">
        <is>
          <t>1</t>
        </is>
      </c>
      <c r="O2152" t="inlineStr">
        <is>
          <t xml:space="preserve">2 </t>
        </is>
      </c>
      <c r="P2152" t="inlineStr">
        <is>
          <t xml:space="preserve">78210   </t>
        </is>
      </c>
      <c r="Q2152" s="26" t="n">
        <v>4.09</v>
      </c>
      <c r="R2152" s="26">
        <f>Q2152*G2152</f>
        <v/>
      </c>
      <c r="S2152" s="26">
        <f>IFERROR(VLOOKUP(E2152*1,Tabla[#All],8,0),0)</f>
        <v/>
      </c>
      <c r="T2152" s="26">
        <f>S2152*G2152</f>
        <v/>
      </c>
      <c r="U2152" s="26">
        <f>R2152-T2152</f>
        <v/>
      </c>
      <c r="V2152" s="26">
        <f>U2152-L2152</f>
        <v/>
      </c>
    </row>
    <row r="2153">
      <c r="A2153" s="11" t="n">
        <v>46225</v>
      </c>
      <c r="B2153" s="1" t="n">
        <v>20048</v>
      </c>
      <c r="C2153" s="1" t="inlineStr">
        <is>
          <t>013</t>
        </is>
      </c>
      <c r="D2153" s="1" t="inlineStr">
        <is>
          <t>226322</t>
        </is>
      </c>
      <c r="E2153" s="1" t="inlineStr">
        <is>
          <t xml:space="preserve">29235701       </t>
        </is>
      </c>
      <c r="F2153" s="5" t="inlineStr">
        <is>
          <t>INFINITY NADO TROMPO DE BATALLA - METAL EN CAJA</t>
        </is>
      </c>
      <c r="G2153" t="n">
        <v>1</v>
      </c>
      <c r="H2153" s="7" t="n">
        <v>29.9</v>
      </c>
      <c r="I2153" s="7" t="n">
        <v>0</v>
      </c>
      <c r="J2153" s="7" t="n">
        <v>0</v>
      </c>
      <c r="K2153" s="9" t="n">
        <v>0</v>
      </c>
      <c r="L2153" s="10" t="n">
        <v>17.74</v>
      </c>
      <c r="M2153" s="10" t="n">
        <v>1.43</v>
      </c>
      <c r="N2153" t="inlineStr">
        <is>
          <t>1</t>
        </is>
      </c>
      <c r="O2153" t="inlineStr">
        <is>
          <t>16</t>
        </is>
      </c>
      <c r="P2153" t="inlineStr">
        <is>
          <t xml:space="preserve">241949  </t>
        </is>
      </c>
      <c r="Q2153" s="26" t="n">
        <v>23.67</v>
      </c>
      <c r="R2153" s="26">
        <f>Q2153*G2153</f>
        <v/>
      </c>
      <c r="S2153" s="26">
        <f>IFERROR(VLOOKUP(E2153*1,Tabla[#All],8,0),0)</f>
        <v/>
      </c>
      <c r="T2153" s="26">
        <f>S2153*G2153</f>
        <v/>
      </c>
      <c r="U2153" s="26">
        <f>R2153-T2153</f>
        <v/>
      </c>
      <c r="V2153" s="26">
        <f>U2153-L2153</f>
        <v/>
      </c>
    </row>
    <row r="2154">
      <c r="A2154" s="11" t="n">
        <v>46225</v>
      </c>
      <c r="B2154" s="1" t="n">
        <v>20048</v>
      </c>
      <c r="C2154" s="1" t="inlineStr">
        <is>
          <t>018</t>
        </is>
      </c>
      <c r="D2154" s="1" t="inlineStr">
        <is>
          <t xml:space="preserve">47862 </t>
        </is>
      </c>
      <c r="E2154" s="1" t="inlineStr">
        <is>
          <t xml:space="preserve">31754675       </t>
        </is>
      </c>
      <c r="F2154" s="5" t="inlineStr">
        <is>
          <t>INFINITY NADO SERIE 6 STARTER PACK - 4 MODELOS</t>
        </is>
      </c>
      <c r="G2154" t="n">
        <v>1</v>
      </c>
      <c r="H2154" s="7" t="n">
        <v>49.9</v>
      </c>
      <c r="I2154" s="7" t="n">
        <v>0</v>
      </c>
      <c r="J2154" s="7" t="n">
        <v>0</v>
      </c>
      <c r="K2154" s="9" t="n">
        <v>0</v>
      </c>
      <c r="L2154" s="10" t="n">
        <v>29.6</v>
      </c>
      <c r="M2154" s="10" t="n">
        <v>1.43</v>
      </c>
      <c r="N2154" t="inlineStr">
        <is>
          <t>1</t>
        </is>
      </c>
      <c r="O2154" t="inlineStr">
        <is>
          <t>16</t>
        </is>
      </c>
      <c r="P2154" t="inlineStr">
        <is>
          <t xml:space="preserve">22083   </t>
        </is>
      </c>
      <c r="Q2154" s="26" t="n">
        <v>41.47</v>
      </c>
      <c r="R2154" s="26">
        <f>Q2154*G2154</f>
        <v/>
      </c>
      <c r="S2154" s="26">
        <f>IFERROR(VLOOKUP(E2154*1,Tabla[#All],8,0),0)</f>
        <v/>
      </c>
      <c r="T2154" s="26">
        <f>S2154*G2154</f>
        <v/>
      </c>
      <c r="U2154" s="26">
        <f>R2154-T2154</f>
        <v/>
      </c>
      <c r="V2154" s="26">
        <f>U2154-L2154</f>
        <v/>
      </c>
    </row>
    <row r="2155">
      <c r="A2155" s="11" t="n">
        <v>46225</v>
      </c>
      <c r="B2155" s="1" t="n">
        <v>20048</v>
      </c>
      <c r="C2155" s="1" t="inlineStr">
        <is>
          <t>018</t>
        </is>
      </c>
      <c r="D2155" s="1" t="inlineStr">
        <is>
          <t xml:space="preserve">47880 </t>
        </is>
      </c>
      <c r="E2155" s="1" t="inlineStr">
        <is>
          <t xml:space="preserve">28194768       </t>
        </is>
      </c>
      <c r="F2155" s="5" t="inlineStr">
        <is>
          <t>AUTO COLOR CHANGE TEAMSTERZ SURTIDO</t>
        </is>
      </c>
      <c r="G2155" t="n">
        <v>1</v>
      </c>
      <c r="H2155" s="7" t="n">
        <v>14.9</v>
      </c>
      <c r="I2155" s="7" t="n">
        <v>0</v>
      </c>
      <c r="J2155" s="7" t="n">
        <v>0</v>
      </c>
      <c r="K2155" s="9" t="n">
        <v>0</v>
      </c>
      <c r="L2155" s="10" t="n">
        <v>8.84</v>
      </c>
      <c r="M2155" s="10" t="n">
        <v>1.43</v>
      </c>
      <c r="N2155" t="inlineStr">
        <is>
          <t>1</t>
        </is>
      </c>
      <c r="O2155" t="inlineStr">
        <is>
          <t>16</t>
        </is>
      </c>
      <c r="P2155" t="inlineStr">
        <is>
          <t xml:space="preserve">200219  </t>
        </is>
      </c>
      <c r="Q2155" s="26" t="n">
        <v>8.84</v>
      </c>
      <c r="R2155" s="26">
        <f>Q2155*G2155</f>
        <v/>
      </c>
      <c r="S2155" s="26">
        <f>IFERROR(VLOOKUP(E2155*1,Tabla[#All],8,0),0)</f>
        <v/>
      </c>
      <c r="T2155" s="26">
        <f>S2155*G2155</f>
        <v/>
      </c>
      <c r="U2155" s="26">
        <f>R2155-T2155</f>
        <v/>
      </c>
      <c r="V2155" s="26">
        <f>U2155-L2155</f>
        <v/>
      </c>
    </row>
    <row r="2156">
      <c r="A2156" s="11" t="n">
        <v>46225</v>
      </c>
      <c r="B2156" s="1" t="n">
        <v>20048</v>
      </c>
      <c r="C2156" s="1" t="inlineStr">
        <is>
          <t>018</t>
        </is>
      </c>
      <c r="D2156" s="1" t="inlineStr">
        <is>
          <t xml:space="preserve">47907 </t>
        </is>
      </c>
      <c r="E2156" s="1" t="inlineStr">
        <is>
          <t xml:space="preserve">28194770       </t>
        </is>
      </c>
      <c r="F2156" s="5" t="inlineStr">
        <is>
          <t>AUTOS DE METAL 3 TEAMSTERZ EN BLISTER</t>
        </is>
      </c>
      <c r="G2156" t="n">
        <v>1</v>
      </c>
      <c r="H2156" s="7" t="n">
        <v>6.9</v>
      </c>
      <c r="I2156" s="7" t="n">
        <v>0</v>
      </c>
      <c r="J2156" s="7" t="n">
        <v>0</v>
      </c>
      <c r="K2156" s="9" t="n">
        <v>0</v>
      </c>
      <c r="L2156" s="10" t="n">
        <v>4.1</v>
      </c>
      <c r="M2156" s="10" t="n">
        <v>1.43</v>
      </c>
      <c r="N2156" t="inlineStr">
        <is>
          <t>1</t>
        </is>
      </c>
      <c r="O2156" t="inlineStr">
        <is>
          <t>16</t>
        </is>
      </c>
      <c r="P2156" t="inlineStr">
        <is>
          <t xml:space="preserve">200219  </t>
        </is>
      </c>
      <c r="Q2156" s="26" t="n">
        <v>4.09</v>
      </c>
      <c r="R2156" s="26">
        <f>Q2156*G2156</f>
        <v/>
      </c>
      <c r="S2156" s="26">
        <f>IFERROR(VLOOKUP(E2156*1,Tabla[#All],8,0),0)</f>
        <v/>
      </c>
      <c r="T2156" s="26">
        <f>S2156*G2156</f>
        <v/>
      </c>
      <c r="U2156" s="26">
        <f>R2156-T2156</f>
        <v/>
      </c>
      <c r="V2156" s="26">
        <f>U2156-L2156</f>
        <v/>
      </c>
    </row>
    <row r="2157">
      <c r="A2157" s="11" t="n">
        <v>46225</v>
      </c>
      <c r="B2157" s="1" t="n">
        <v>20048</v>
      </c>
      <c r="C2157" s="1" t="inlineStr">
        <is>
          <t>018</t>
        </is>
      </c>
      <c r="D2157" s="1" t="inlineStr">
        <is>
          <t xml:space="preserve">47907 </t>
        </is>
      </c>
      <c r="E2157" s="1" t="inlineStr">
        <is>
          <t xml:space="preserve">28194770       </t>
        </is>
      </c>
      <c r="F2157" s="5" t="inlineStr">
        <is>
          <t>AUTOS DE METAL 3 TEAMSTERZ EN BLISTER</t>
        </is>
      </c>
      <c r="G2157" t="n">
        <v>1</v>
      </c>
      <c r="H2157" s="7" t="n">
        <v>6.9</v>
      </c>
      <c r="I2157" s="7" t="n">
        <v>0</v>
      </c>
      <c r="J2157" s="7" t="n">
        <v>0</v>
      </c>
      <c r="K2157" s="9" t="n">
        <v>0</v>
      </c>
      <c r="L2157" s="10" t="n">
        <v>4.1</v>
      </c>
      <c r="M2157" s="10" t="n">
        <v>1.43</v>
      </c>
      <c r="N2157" t="inlineStr">
        <is>
          <t>1</t>
        </is>
      </c>
      <c r="O2157" t="inlineStr">
        <is>
          <t>16</t>
        </is>
      </c>
      <c r="P2157" t="inlineStr">
        <is>
          <t xml:space="preserve">200219  </t>
        </is>
      </c>
      <c r="Q2157" s="26" t="n">
        <v>4.09</v>
      </c>
      <c r="R2157" s="26">
        <f>Q2157*G2157</f>
        <v/>
      </c>
      <c r="S2157" s="26">
        <f>IFERROR(VLOOKUP(E2157*1,Tabla[#All],8,0),0)</f>
        <v/>
      </c>
      <c r="T2157" s="26">
        <f>S2157*G2157</f>
        <v/>
      </c>
      <c r="U2157" s="26">
        <f>R2157-T2157</f>
        <v/>
      </c>
      <c r="V2157" s="26">
        <f>U2157-L2157</f>
        <v/>
      </c>
    </row>
    <row r="2158">
      <c r="A2158" s="11" t="n">
        <v>46225</v>
      </c>
      <c r="B2158" s="1" t="n">
        <v>20048</v>
      </c>
      <c r="C2158" s="1" t="inlineStr">
        <is>
          <t>018</t>
        </is>
      </c>
      <c r="D2158" s="1" t="inlineStr">
        <is>
          <t xml:space="preserve">47907 </t>
        </is>
      </c>
      <c r="E2158" s="1" t="inlineStr">
        <is>
          <t xml:space="preserve">28194770       </t>
        </is>
      </c>
      <c r="F2158" s="5" t="inlineStr">
        <is>
          <t>AUTOS DE METAL 3 TEAMSTERZ EN BLISTER</t>
        </is>
      </c>
      <c r="G2158" t="n">
        <v>1</v>
      </c>
      <c r="H2158" s="7" t="n">
        <v>6.9</v>
      </c>
      <c r="I2158" s="7" t="n">
        <v>0</v>
      </c>
      <c r="J2158" s="7" t="n">
        <v>0</v>
      </c>
      <c r="K2158" s="9" t="n">
        <v>0</v>
      </c>
      <c r="L2158" s="10" t="n">
        <v>4.1</v>
      </c>
      <c r="M2158" s="10" t="n">
        <v>1.43</v>
      </c>
      <c r="N2158" t="inlineStr">
        <is>
          <t>1</t>
        </is>
      </c>
      <c r="O2158" t="inlineStr">
        <is>
          <t>16</t>
        </is>
      </c>
      <c r="P2158" t="inlineStr">
        <is>
          <t xml:space="preserve">200219  </t>
        </is>
      </c>
      <c r="Q2158" s="26" t="n">
        <v>4.09</v>
      </c>
      <c r="R2158" s="26">
        <f>Q2158*G2158</f>
        <v/>
      </c>
      <c r="S2158" s="26">
        <f>IFERROR(VLOOKUP(E2158*1,Tabla[#All],8,0),0)</f>
        <v/>
      </c>
      <c r="T2158" s="26">
        <f>S2158*G2158</f>
        <v/>
      </c>
      <c r="U2158" s="26">
        <f>R2158-T2158</f>
        <v/>
      </c>
      <c r="V2158" s="26">
        <f>U2158-L2158</f>
        <v/>
      </c>
    </row>
    <row r="2159">
      <c r="A2159" s="11" t="n">
        <v>46225</v>
      </c>
      <c r="B2159" s="1" t="n">
        <v>20048</v>
      </c>
      <c r="C2159" s="1" t="inlineStr">
        <is>
          <t>801</t>
        </is>
      </c>
      <c r="D2159" s="1" t="inlineStr">
        <is>
          <t xml:space="preserve">6728  </t>
        </is>
      </c>
      <c r="E2159" s="1" t="inlineStr">
        <is>
          <t xml:space="preserve">29235702       </t>
        </is>
      </c>
      <c r="F2159" s="5" t="inlineStr">
        <is>
          <t>INFINITY NADO TROMPO DE BATALLA - METAL C/ ANILLO</t>
        </is>
      </c>
      <c r="G2159" t="n">
        <v>1</v>
      </c>
      <c r="H2159" s="7" t="n">
        <v>49.9</v>
      </c>
      <c r="I2159" s="7" t="n">
        <v>0</v>
      </c>
      <c r="J2159" s="7" t="n">
        <v>0</v>
      </c>
      <c r="K2159" s="9" t="n">
        <v>0</v>
      </c>
      <c r="L2159" s="10" t="n">
        <v>29.6</v>
      </c>
      <c r="M2159" s="10" t="n">
        <v>1.43</v>
      </c>
      <c r="N2159" t="inlineStr">
        <is>
          <t>1</t>
        </is>
      </c>
      <c r="O2159" t="inlineStr">
        <is>
          <t>16</t>
        </is>
      </c>
      <c r="P2159" t="inlineStr">
        <is>
          <t xml:space="preserve">234984  </t>
        </is>
      </c>
      <c r="Q2159" s="26" t="n">
        <v>41.47</v>
      </c>
      <c r="R2159" s="26">
        <f>Q2159*G2159</f>
        <v/>
      </c>
      <c r="S2159" s="26">
        <f>IFERROR(VLOOKUP(E2159*1,Tabla[#All],8,0),0)</f>
        <v/>
      </c>
      <c r="T2159" s="26">
        <f>S2159*G2159</f>
        <v/>
      </c>
      <c r="U2159" s="26">
        <f>R2159-T2159</f>
        <v/>
      </c>
      <c r="V2159" s="26">
        <f>U2159-L2159</f>
        <v/>
      </c>
    </row>
    <row r="2160">
      <c r="A2160" s="11" t="n">
        <v>46225</v>
      </c>
      <c r="B2160" s="1" t="n">
        <v>20049</v>
      </c>
      <c r="C2160" s="1" t="inlineStr">
        <is>
          <t>017</t>
        </is>
      </c>
      <c r="D2160" s="1" t="inlineStr">
        <is>
          <t>239831</t>
        </is>
      </c>
      <c r="E2160" s="1" t="inlineStr">
        <is>
          <t xml:space="preserve">28194781       </t>
        </is>
      </c>
      <c r="F2160" s="5" t="inlineStr">
        <is>
          <t>TROMPO BATALLA INFINITY NADO SERIE V CLASICA SURTI</t>
        </is>
      </c>
      <c r="G2160" t="n">
        <v>1</v>
      </c>
      <c r="H2160" s="7" t="n">
        <v>39.9</v>
      </c>
      <c r="I2160" s="7" t="n">
        <v>0</v>
      </c>
      <c r="J2160" s="7" t="n">
        <v>0</v>
      </c>
      <c r="K2160" s="9" t="n">
        <v>0</v>
      </c>
      <c r="L2160" s="10" t="n">
        <v>23.67</v>
      </c>
      <c r="M2160" s="10" t="n">
        <v>1.43</v>
      </c>
      <c r="N2160" t="inlineStr">
        <is>
          <t>1</t>
        </is>
      </c>
      <c r="O2160" t="inlineStr">
        <is>
          <t>16</t>
        </is>
      </c>
      <c r="P2160" t="inlineStr">
        <is>
          <t xml:space="preserve">234411  </t>
        </is>
      </c>
      <c r="Q2160" s="26" t="n">
        <v>35.53</v>
      </c>
      <c r="R2160" s="26">
        <f>Q2160*G2160</f>
        <v/>
      </c>
      <c r="S2160" s="26">
        <f>IFERROR(VLOOKUP(E2160*1,Tabla[#All],8,0),0)</f>
        <v/>
      </c>
      <c r="T2160" s="26">
        <f>S2160*G2160</f>
        <v/>
      </c>
      <c r="U2160" s="26">
        <f>R2160-T2160</f>
        <v/>
      </c>
      <c r="V2160" s="26">
        <f>U2160-L2160</f>
        <v/>
      </c>
    </row>
    <row r="2161">
      <c r="A2161" s="11" t="n">
        <v>46225</v>
      </c>
      <c r="B2161" s="1" t="n">
        <v>20049</v>
      </c>
      <c r="C2161" s="1" t="inlineStr">
        <is>
          <t>801</t>
        </is>
      </c>
      <c r="D2161" s="1" t="inlineStr">
        <is>
          <t xml:space="preserve">6162  </t>
        </is>
      </c>
      <c r="E2161" s="1" t="inlineStr">
        <is>
          <t xml:space="preserve">28194783       </t>
        </is>
      </c>
      <c r="F2161" s="5" t="inlineStr">
        <is>
          <t>SET DE BATALLA INFINITY NADO CON 2 TROMPOS</t>
        </is>
      </c>
      <c r="G2161" t="n">
        <v>1</v>
      </c>
      <c r="H2161" s="7" t="n">
        <v>159</v>
      </c>
      <c r="I2161" s="7" t="n">
        <v>0</v>
      </c>
      <c r="J2161" s="7" t="n">
        <v>0</v>
      </c>
      <c r="K2161" s="9" t="n">
        <v>0</v>
      </c>
      <c r="L2161" s="10" t="n">
        <v>94.33</v>
      </c>
      <c r="M2161" s="10" t="n">
        <v>1.43</v>
      </c>
      <c r="N2161" t="inlineStr">
        <is>
          <t>1</t>
        </is>
      </c>
      <c r="O2161" t="inlineStr">
        <is>
          <t>16</t>
        </is>
      </c>
      <c r="P2161" t="inlineStr">
        <is>
          <t xml:space="preserve">0       </t>
        </is>
      </c>
      <c r="Q2161" s="26" t="n">
        <v>94.31999999999999</v>
      </c>
      <c r="R2161" s="26">
        <f>Q2161*G2161</f>
        <v/>
      </c>
      <c r="S2161" s="26">
        <f>IFERROR(VLOOKUP(E2161*1,Tabla[#All],8,0),0)</f>
        <v/>
      </c>
      <c r="T2161" s="26">
        <f>S2161*G2161</f>
        <v/>
      </c>
      <c r="U2161" s="26">
        <f>R2161-T2161</f>
        <v/>
      </c>
      <c r="V2161" s="26">
        <f>U2161-L2161</f>
        <v/>
      </c>
    </row>
    <row r="2162">
      <c r="A2162" s="11" t="n">
        <v>46225</v>
      </c>
      <c r="B2162" s="1" t="n">
        <v>20049</v>
      </c>
      <c r="C2162" s="1" t="inlineStr">
        <is>
          <t>803</t>
        </is>
      </c>
      <c r="D2162" s="1" t="inlineStr">
        <is>
          <t xml:space="preserve">5643  </t>
        </is>
      </c>
      <c r="E2162" s="1" t="inlineStr">
        <is>
          <t xml:space="preserve">32457111       </t>
        </is>
      </c>
      <c r="F2162" s="5" t="inlineStr">
        <is>
          <t>TMZ BEAST MACHINES MONSTER JAWS A FRICCION PACK DE</t>
        </is>
      </c>
      <c r="G2162" t="n">
        <v>2</v>
      </c>
      <c r="H2162" s="7" t="n">
        <v>109.8</v>
      </c>
      <c r="I2162" s="7" t="n">
        <v>0</v>
      </c>
      <c r="J2162" s="7" t="n">
        <v>0</v>
      </c>
      <c r="K2162" s="9" t="n">
        <v>0</v>
      </c>
      <c r="L2162" s="10" t="n">
        <v>65.14</v>
      </c>
      <c r="M2162" s="10" t="n">
        <v>1.43</v>
      </c>
      <c r="N2162" t="inlineStr">
        <is>
          <t>1</t>
        </is>
      </c>
      <c r="O2162" t="inlineStr">
        <is>
          <t>16</t>
        </is>
      </c>
      <c r="P2162" t="inlineStr">
        <is>
          <t xml:space="preserve">0       </t>
        </is>
      </c>
      <c r="Q2162" s="26" t="n">
        <v>44.43</v>
      </c>
      <c r="R2162" s="26">
        <f>Q2162*G2162</f>
        <v/>
      </c>
      <c r="S2162" s="26">
        <f>IFERROR(VLOOKUP(E2162*1,Tabla[#All],8,0),0)</f>
        <v/>
      </c>
      <c r="T2162" s="26">
        <f>S2162*G2162</f>
        <v/>
      </c>
      <c r="U2162" s="26">
        <f>R2162-T2162</f>
        <v/>
      </c>
      <c r="V2162" s="26">
        <f>U2162-L2162</f>
        <v/>
      </c>
    </row>
    <row r="2163">
      <c r="A2163" s="11" t="n">
        <v>46225</v>
      </c>
      <c r="B2163" s="1" t="n">
        <v>20057</v>
      </c>
      <c r="C2163" s="1" t="inlineStr">
        <is>
          <t>032</t>
        </is>
      </c>
      <c r="D2163" s="1" t="inlineStr">
        <is>
          <t xml:space="preserve">2024  </t>
        </is>
      </c>
      <c r="E2163" s="1" t="inlineStr">
        <is>
          <t xml:space="preserve">34840526       </t>
        </is>
      </c>
      <c r="F2163" s="5" t="inlineStr">
        <is>
          <t>NENUCO ABRACITOS</t>
        </is>
      </c>
      <c r="G2163" t="n">
        <v>1</v>
      </c>
      <c r="H2163" s="7" t="n">
        <v>89.90000000000001</v>
      </c>
      <c r="I2163" s="7" t="n">
        <v>0</v>
      </c>
      <c r="J2163" s="7" t="n">
        <v>0</v>
      </c>
      <c r="K2163" s="9" t="n">
        <v>0</v>
      </c>
      <c r="L2163" s="10" t="n">
        <v>53.33</v>
      </c>
      <c r="M2163" s="10" t="n">
        <v>1.43</v>
      </c>
      <c r="N2163" t="inlineStr">
        <is>
          <t>1</t>
        </is>
      </c>
      <c r="O2163" t="inlineStr">
        <is>
          <t>16</t>
        </is>
      </c>
      <c r="P2163" t="inlineStr">
        <is>
          <t xml:space="preserve">241502  </t>
        </is>
      </c>
      <c r="Q2163" s="26" t="n">
        <v>70.59</v>
      </c>
      <c r="R2163" s="26">
        <f>Q2163*G2163</f>
        <v/>
      </c>
      <c r="S2163" s="26">
        <f>IFERROR(VLOOKUP(E2163*1,Tabla[#All],8,0),0)</f>
        <v/>
      </c>
      <c r="T2163" s="26">
        <f>S2163*G2163</f>
        <v/>
      </c>
      <c r="U2163" s="26">
        <f>R2163-T2163</f>
        <v/>
      </c>
      <c r="V2163" s="26">
        <f>U2163-L2163</f>
        <v/>
      </c>
    </row>
    <row r="2164">
      <c r="A2164" s="11" t="n">
        <v>46225</v>
      </c>
      <c r="B2164" s="1" t="n">
        <v>20057</v>
      </c>
      <c r="C2164" s="1" t="inlineStr">
        <is>
          <t>861</t>
        </is>
      </c>
      <c r="D2164" s="1" t="inlineStr">
        <is>
          <t xml:space="preserve">993   </t>
        </is>
      </c>
      <c r="E2164" s="1" t="inlineStr">
        <is>
          <t xml:space="preserve">28194770       </t>
        </is>
      </c>
      <c r="F2164" s="5" t="inlineStr">
        <is>
          <t>AUTOS DE METAL 3 TEAMSTERZ EN BLISTER</t>
        </is>
      </c>
      <c r="G2164" t="n">
        <v>2</v>
      </c>
      <c r="H2164" s="7" t="n">
        <v>13.8</v>
      </c>
      <c r="I2164" s="7" t="n">
        <v>0</v>
      </c>
      <c r="J2164" s="7" t="n">
        <v>0</v>
      </c>
      <c r="K2164" s="9" t="n">
        <v>0</v>
      </c>
      <c r="L2164" s="10" t="n">
        <v>8.18</v>
      </c>
      <c r="M2164" s="10" t="n">
        <v>1.43</v>
      </c>
      <c r="N2164" t="inlineStr">
        <is>
          <t>1</t>
        </is>
      </c>
      <c r="O2164" t="inlineStr">
        <is>
          <t>16</t>
        </is>
      </c>
      <c r="P2164" t="inlineStr">
        <is>
          <t xml:space="preserve">0       </t>
        </is>
      </c>
      <c r="Q2164" s="26" t="n">
        <v>4.09</v>
      </c>
      <c r="R2164" s="26">
        <f>Q2164*G2164</f>
        <v/>
      </c>
      <c r="S2164" s="26">
        <f>IFERROR(VLOOKUP(E2164*1,Tabla[#All],8,0),0)</f>
        <v/>
      </c>
      <c r="T2164" s="26">
        <f>S2164*G2164</f>
        <v/>
      </c>
      <c r="U2164" s="26">
        <f>R2164-T2164</f>
        <v/>
      </c>
      <c r="V2164" s="26">
        <f>U2164-L2164</f>
        <v/>
      </c>
    </row>
    <row r="2165">
      <c r="A2165" s="11" t="n">
        <v>46225</v>
      </c>
      <c r="B2165" s="1" t="n">
        <v>20058</v>
      </c>
      <c r="C2165" s="1" t="inlineStr">
        <is>
          <t>039</t>
        </is>
      </c>
      <c r="D2165" s="1" t="inlineStr">
        <is>
          <t>231297</t>
        </is>
      </c>
      <c r="E2165" s="1" t="inlineStr">
        <is>
          <t xml:space="preserve">28194770       </t>
        </is>
      </c>
      <c r="F2165" s="5" t="inlineStr">
        <is>
          <t>AUTOS DE METAL 3 TEAMSTERZ EN BLISTER</t>
        </is>
      </c>
      <c r="G2165" t="n">
        <v>1</v>
      </c>
      <c r="H2165" s="7" t="n">
        <v>6.9</v>
      </c>
      <c r="I2165" s="7" t="n">
        <v>0</v>
      </c>
      <c r="J2165" s="7" t="n">
        <v>0</v>
      </c>
      <c r="K2165" s="9" t="n">
        <v>0</v>
      </c>
      <c r="L2165" s="10" t="n">
        <v>4.1</v>
      </c>
      <c r="M2165" s="10" t="n">
        <v>1.43</v>
      </c>
      <c r="N2165" t="inlineStr">
        <is>
          <t>1</t>
        </is>
      </c>
      <c r="O2165" t="inlineStr">
        <is>
          <t>16</t>
        </is>
      </c>
      <c r="P2165" t="inlineStr">
        <is>
          <t xml:space="preserve">241468  </t>
        </is>
      </c>
      <c r="Q2165" s="26" t="n">
        <v>4.09</v>
      </c>
      <c r="R2165" s="26">
        <f>Q2165*G2165</f>
        <v/>
      </c>
      <c r="S2165" s="26">
        <f>IFERROR(VLOOKUP(E2165*1,Tabla[#All],8,0),0)</f>
        <v/>
      </c>
      <c r="T2165" s="26">
        <f>S2165*G2165</f>
        <v/>
      </c>
      <c r="U2165" s="26">
        <f>R2165-T2165</f>
        <v/>
      </c>
      <c r="V2165" s="26">
        <f>U2165-L2165</f>
        <v/>
      </c>
    </row>
    <row r="2166">
      <c r="A2166" s="11" t="n">
        <v>46225</v>
      </c>
      <c r="B2166" s="1" t="n">
        <v>20058</v>
      </c>
      <c r="C2166" s="1" t="inlineStr">
        <is>
          <t>039</t>
        </is>
      </c>
      <c r="D2166" s="1" t="inlineStr">
        <is>
          <t>231297</t>
        </is>
      </c>
      <c r="E2166" s="1" t="inlineStr">
        <is>
          <t xml:space="preserve">28194770       </t>
        </is>
      </c>
      <c r="F2166" s="5" t="inlineStr">
        <is>
          <t>AUTOS DE METAL 3 TEAMSTERZ EN BLISTER</t>
        </is>
      </c>
      <c r="G2166" t="n">
        <v>1</v>
      </c>
      <c r="H2166" s="7" t="n">
        <v>6.9</v>
      </c>
      <c r="I2166" s="7" t="n">
        <v>0</v>
      </c>
      <c r="J2166" s="7" t="n">
        <v>0</v>
      </c>
      <c r="K2166" s="9" t="n">
        <v>0</v>
      </c>
      <c r="L2166" s="10" t="n">
        <v>4.1</v>
      </c>
      <c r="M2166" s="10" t="n">
        <v>1.43</v>
      </c>
      <c r="N2166" t="inlineStr">
        <is>
          <t>1</t>
        </is>
      </c>
      <c r="O2166" t="inlineStr">
        <is>
          <t>16</t>
        </is>
      </c>
      <c r="P2166" t="inlineStr">
        <is>
          <t xml:space="preserve">241468  </t>
        </is>
      </c>
      <c r="Q2166" s="26" t="n">
        <v>4.09</v>
      </c>
      <c r="R2166" s="26">
        <f>Q2166*G2166</f>
        <v/>
      </c>
      <c r="S2166" s="26">
        <f>IFERROR(VLOOKUP(E2166*1,Tabla[#All],8,0),0)</f>
        <v/>
      </c>
      <c r="T2166" s="26">
        <f>S2166*G2166</f>
        <v/>
      </c>
      <c r="U2166" s="26">
        <f>R2166-T2166</f>
        <v/>
      </c>
      <c r="V2166" s="26">
        <f>U2166-L2166</f>
        <v/>
      </c>
    </row>
    <row r="2167">
      <c r="A2167" s="11" t="n">
        <v>46225</v>
      </c>
      <c r="B2167" s="1" t="n">
        <v>20058</v>
      </c>
      <c r="C2167" s="1" t="inlineStr">
        <is>
          <t>039</t>
        </is>
      </c>
      <c r="D2167" s="1" t="inlineStr">
        <is>
          <t>231350</t>
        </is>
      </c>
      <c r="E2167" s="1" t="inlineStr">
        <is>
          <t xml:space="preserve">34840526       </t>
        </is>
      </c>
      <c r="F2167" s="5" t="inlineStr">
        <is>
          <t>NENUCO ABRACITOS</t>
        </is>
      </c>
      <c r="G2167" t="n">
        <v>1</v>
      </c>
      <c r="H2167" s="7" t="n">
        <v>89.90000000000001</v>
      </c>
      <c r="I2167" s="7" t="n">
        <v>0</v>
      </c>
      <c r="J2167" s="7" t="n">
        <v>0</v>
      </c>
      <c r="K2167" s="9" t="n">
        <v>0</v>
      </c>
      <c r="L2167" s="10" t="n">
        <v>53.33</v>
      </c>
      <c r="M2167" s="10" t="n">
        <v>1.43</v>
      </c>
      <c r="N2167" t="inlineStr">
        <is>
          <t>1</t>
        </is>
      </c>
      <c r="O2167" t="inlineStr">
        <is>
          <t>16</t>
        </is>
      </c>
      <c r="P2167" t="inlineStr">
        <is>
          <t xml:space="preserve">241468  </t>
        </is>
      </c>
      <c r="Q2167" s="26" t="n">
        <v>70.59</v>
      </c>
      <c r="R2167" s="26">
        <f>Q2167*G2167</f>
        <v/>
      </c>
      <c r="S2167" s="26">
        <f>IFERROR(VLOOKUP(E2167*1,Tabla[#All],8,0),0)</f>
        <v/>
      </c>
      <c r="T2167" s="26">
        <f>S2167*G2167</f>
        <v/>
      </c>
      <c r="U2167" s="26">
        <f>R2167-T2167</f>
        <v/>
      </c>
      <c r="V2167" s="26">
        <f>U2167-L2167</f>
        <v/>
      </c>
    </row>
    <row r="2168">
      <c r="A2168" s="11" t="n">
        <v>46225</v>
      </c>
      <c r="B2168" s="1" t="n">
        <v>20058</v>
      </c>
      <c r="C2168" s="1" t="inlineStr">
        <is>
          <t>197</t>
        </is>
      </c>
      <c r="D2168" s="1" t="inlineStr">
        <is>
          <t>170481</t>
        </is>
      </c>
      <c r="E2168" s="1" t="inlineStr">
        <is>
          <t xml:space="preserve">32656417       </t>
        </is>
      </c>
      <c r="F2168" s="5" t="inlineStr">
        <is>
          <t>NO DESPIERTES A PAPA</t>
        </is>
      </c>
      <c r="G2168" t="n">
        <v>1</v>
      </c>
      <c r="H2168" s="7" t="n">
        <v>39.9</v>
      </c>
      <c r="I2168" s="7" t="n">
        <v>0</v>
      </c>
      <c r="J2168" s="7" t="n">
        <v>0</v>
      </c>
      <c r="K2168" s="9" t="n">
        <v>0</v>
      </c>
      <c r="L2168" s="10" t="n">
        <v>23.67</v>
      </c>
      <c r="M2168" s="10" t="n">
        <v>1.43</v>
      </c>
      <c r="N2168" t="inlineStr">
        <is>
          <t>1</t>
        </is>
      </c>
      <c r="O2168" t="inlineStr">
        <is>
          <t>16</t>
        </is>
      </c>
      <c r="P2168" t="inlineStr">
        <is>
          <t xml:space="preserve">92832   </t>
        </is>
      </c>
      <c r="Q2168" s="26" t="n">
        <v>53.33</v>
      </c>
      <c r="R2168" s="26">
        <f>Q2168*G2168</f>
        <v/>
      </c>
      <c r="S2168" s="26">
        <f>IFERROR(VLOOKUP(E2168*1,Tabla[#All],8,0),0)</f>
        <v/>
      </c>
      <c r="T2168" s="26">
        <f>S2168*G2168</f>
        <v/>
      </c>
      <c r="U2168" s="26">
        <f>R2168-T2168</f>
        <v/>
      </c>
      <c r="V2168" s="26">
        <f>U2168-L2168</f>
        <v/>
      </c>
    </row>
    <row r="2169">
      <c r="A2169" s="11" t="n">
        <v>46225</v>
      </c>
      <c r="B2169" s="1" t="n">
        <v>20060</v>
      </c>
      <c r="C2169" s="1" t="inlineStr">
        <is>
          <t>300</t>
        </is>
      </c>
      <c r="D2169" s="1" t="inlineStr">
        <is>
          <t xml:space="preserve">655   </t>
        </is>
      </c>
      <c r="E2169" s="1" t="inlineStr">
        <is>
          <t xml:space="preserve">31754677       </t>
        </is>
      </c>
      <c r="F2169" s="5" t="inlineStr">
        <is>
          <t>INFINITY NADO SERIE 6 SET DE BATALL</t>
        </is>
      </c>
      <c r="G2169" t="n">
        <v>1</v>
      </c>
      <c r="H2169" s="7" t="n">
        <v>189</v>
      </c>
      <c r="I2169" s="7" t="n">
        <v>0</v>
      </c>
      <c r="J2169" s="7" t="n">
        <v>0</v>
      </c>
      <c r="K2169" s="9" t="n">
        <v>0</v>
      </c>
      <c r="L2169" s="10" t="n">
        <v>112.12</v>
      </c>
      <c r="M2169" s="10" t="n">
        <v>1.43</v>
      </c>
      <c r="N2169" t="inlineStr">
        <is>
          <t>1</t>
        </is>
      </c>
      <c r="O2169" t="inlineStr">
        <is>
          <t>16</t>
        </is>
      </c>
      <c r="P2169" t="inlineStr">
        <is>
          <t>82807346</t>
        </is>
      </c>
      <c r="Q2169" s="26" t="n">
        <v>112.12</v>
      </c>
      <c r="R2169" s="26">
        <f>Q2169*G2169</f>
        <v/>
      </c>
      <c r="S2169" s="26">
        <f>IFERROR(VLOOKUP(E2169*1,Tabla[#All],8,0),0)</f>
        <v/>
      </c>
      <c r="T2169" s="26">
        <f>S2169*G2169</f>
        <v/>
      </c>
      <c r="U2169" s="26">
        <f>R2169-T2169</f>
        <v/>
      </c>
      <c r="V2169" s="26">
        <f>U2169-L2169</f>
        <v/>
      </c>
    </row>
    <row r="2170">
      <c r="A2170" s="11" t="n">
        <v>46225</v>
      </c>
      <c r="B2170" s="1" t="n">
        <v>20062</v>
      </c>
      <c r="C2170" s="1" t="inlineStr">
        <is>
          <t>512</t>
        </is>
      </c>
      <c r="D2170" s="1" t="inlineStr">
        <is>
          <t xml:space="preserve">5720  </t>
        </is>
      </c>
      <c r="E2170" s="1" t="inlineStr">
        <is>
          <t xml:space="preserve">32457103       </t>
        </is>
      </c>
      <c r="F2170" s="5" t="inlineStr">
        <is>
          <t>TMZ BEAST MACHINES MONSTER JAWS A FRICCION PACK DE</t>
        </is>
      </c>
      <c r="G2170" t="n">
        <v>1</v>
      </c>
      <c r="H2170" s="7" t="n">
        <v>32.9</v>
      </c>
      <c r="I2170" s="7" t="n">
        <v>0</v>
      </c>
      <c r="J2170" s="7" t="n">
        <v>0</v>
      </c>
      <c r="K2170" s="9" t="n">
        <v>0</v>
      </c>
      <c r="L2170" s="10" t="n">
        <v>19.52</v>
      </c>
      <c r="M2170" s="10" t="n">
        <v>1.43</v>
      </c>
      <c r="N2170" t="inlineStr">
        <is>
          <t>1</t>
        </is>
      </c>
      <c r="O2170" t="inlineStr">
        <is>
          <t>16</t>
        </is>
      </c>
      <c r="P2170" t="inlineStr">
        <is>
          <t xml:space="preserve">250090  </t>
        </is>
      </c>
      <c r="Q2170" s="26" t="n">
        <v>22.48</v>
      </c>
      <c r="R2170" s="26">
        <f>Q2170*G2170</f>
        <v/>
      </c>
      <c r="S2170" s="26">
        <f>IFERROR(VLOOKUP(E2170*1,Tabla[#All],8,0),0)</f>
        <v/>
      </c>
      <c r="T2170" s="26">
        <f>S2170*G2170</f>
        <v/>
      </c>
      <c r="U2170" s="26">
        <f>R2170-T2170</f>
        <v/>
      </c>
      <c r="V2170" s="26">
        <f>U2170-L2170</f>
        <v/>
      </c>
    </row>
    <row r="2171">
      <c r="A2171" s="11" t="n">
        <v>46225</v>
      </c>
      <c r="B2171" s="1" t="n">
        <v>20066</v>
      </c>
      <c r="C2171" s="1" t="inlineStr">
        <is>
          <t>047</t>
        </is>
      </c>
      <c r="D2171" s="1" t="inlineStr">
        <is>
          <t xml:space="preserve">51040 </t>
        </is>
      </c>
      <c r="E2171" s="1" t="inlineStr">
        <is>
          <t xml:space="preserve">30141768       </t>
        </is>
      </c>
      <c r="F2171" s="5" t="inlineStr">
        <is>
          <t>TMZ BEAST MACHINES AUTOS DE METAL PACK 10 AUTOS</t>
        </is>
      </c>
      <c r="G2171" t="n">
        <v>1</v>
      </c>
      <c r="H2171" s="7" t="n">
        <v>69</v>
      </c>
      <c r="I2171" s="7" t="n">
        <v>0</v>
      </c>
      <c r="J2171" s="7" t="n">
        <v>0</v>
      </c>
      <c r="K2171" s="9" t="n">
        <v>0</v>
      </c>
      <c r="L2171" s="10" t="n">
        <v>40.93</v>
      </c>
      <c r="M2171" s="10" t="n">
        <v>1.43</v>
      </c>
      <c r="N2171" t="inlineStr">
        <is>
          <t>1</t>
        </is>
      </c>
      <c r="O2171" t="inlineStr">
        <is>
          <t xml:space="preserve">2 </t>
        </is>
      </c>
      <c r="P2171" t="inlineStr">
        <is>
          <t xml:space="preserve">19353   </t>
        </is>
      </c>
      <c r="Q2171" s="26" t="n">
        <v>46.86</v>
      </c>
      <c r="R2171" s="26">
        <f>Q2171*G2171</f>
        <v/>
      </c>
      <c r="S2171" s="26">
        <f>IFERROR(VLOOKUP(E2171*1,Tabla[#All],8,0),0)</f>
        <v/>
      </c>
      <c r="T2171" s="26">
        <f>S2171*G2171</f>
        <v/>
      </c>
      <c r="U2171" s="26">
        <f>R2171-T2171</f>
        <v/>
      </c>
      <c r="V2171" s="26">
        <f>U2171-L2171</f>
        <v/>
      </c>
    </row>
    <row r="2172">
      <c r="A2172" s="11" t="n">
        <v>46225</v>
      </c>
      <c r="B2172" s="1" t="n">
        <v>20066</v>
      </c>
      <c r="C2172" s="1" t="inlineStr">
        <is>
          <t>058</t>
        </is>
      </c>
      <c r="D2172" s="1" t="inlineStr">
        <is>
          <t xml:space="preserve">1517  </t>
        </is>
      </c>
      <c r="E2172" s="1" t="inlineStr">
        <is>
          <t xml:space="preserve">28194770       </t>
        </is>
      </c>
      <c r="F2172" s="5" t="inlineStr">
        <is>
          <t>AUTOS DE METAL 3 TEAMSTERZ EN BLISTER</t>
        </is>
      </c>
      <c r="G2172" t="n">
        <v>1</v>
      </c>
      <c r="H2172" s="7" t="n">
        <v>6.9</v>
      </c>
      <c r="I2172" s="7" t="n">
        <v>0</v>
      </c>
      <c r="J2172" s="7" t="n">
        <v>0</v>
      </c>
      <c r="K2172" s="9" t="n">
        <v>0</v>
      </c>
      <c r="L2172" s="10" t="n">
        <v>4.1</v>
      </c>
      <c r="M2172" s="10" t="n">
        <v>1.43</v>
      </c>
      <c r="N2172" t="inlineStr">
        <is>
          <t>1</t>
        </is>
      </c>
      <c r="O2172" t="inlineStr">
        <is>
          <t>16</t>
        </is>
      </c>
      <c r="P2172" t="inlineStr">
        <is>
          <t xml:space="preserve">234784  </t>
        </is>
      </c>
      <c r="Q2172" s="26" t="n">
        <v>4.09</v>
      </c>
      <c r="R2172" s="26">
        <f>Q2172*G2172</f>
        <v/>
      </c>
      <c r="S2172" s="26">
        <f>IFERROR(VLOOKUP(E2172*1,Tabla[#All],8,0),0)</f>
        <v/>
      </c>
      <c r="T2172" s="26">
        <f>S2172*G2172</f>
        <v/>
      </c>
      <c r="U2172" s="26">
        <f>R2172-T2172</f>
        <v/>
      </c>
      <c r="V2172" s="26">
        <f>U2172-L2172</f>
        <v/>
      </c>
    </row>
    <row r="2173">
      <c r="A2173" s="11" t="n">
        <v>46225</v>
      </c>
      <c r="B2173" s="1" t="n">
        <v>20066</v>
      </c>
      <c r="C2173" s="1" t="inlineStr">
        <is>
          <t>058</t>
        </is>
      </c>
      <c r="D2173" s="1" t="inlineStr">
        <is>
          <t xml:space="preserve">1517  </t>
        </is>
      </c>
      <c r="E2173" s="1" t="inlineStr">
        <is>
          <t xml:space="preserve">30141766       </t>
        </is>
      </c>
      <c r="F2173" s="5" t="inlineStr">
        <is>
          <t>TMZ BEAST MACHINES AUTOS DE METAL BLISTER X 1</t>
        </is>
      </c>
      <c r="G2173" t="n">
        <v>1</v>
      </c>
      <c r="H2173" s="7" t="n">
        <v>7.9</v>
      </c>
      <c r="I2173" s="7" t="n">
        <v>0</v>
      </c>
      <c r="J2173" s="7" t="n">
        <v>0</v>
      </c>
      <c r="K2173" s="9" t="n">
        <v>0</v>
      </c>
      <c r="L2173" s="10" t="n">
        <v>4.68</v>
      </c>
      <c r="M2173" s="10" t="n">
        <v>1.43</v>
      </c>
      <c r="N2173" t="inlineStr">
        <is>
          <t>1</t>
        </is>
      </c>
      <c r="O2173" t="inlineStr">
        <is>
          <t>16</t>
        </is>
      </c>
      <c r="P2173" t="inlineStr">
        <is>
          <t xml:space="preserve">234784  </t>
        </is>
      </c>
      <c r="Q2173" s="26" t="n">
        <v>4.69</v>
      </c>
      <c r="R2173" s="26">
        <f>Q2173*G2173</f>
        <v/>
      </c>
      <c r="S2173" s="26">
        <f>IFERROR(VLOOKUP(E2173*1,Tabla[#All],8,0),0)</f>
        <v/>
      </c>
      <c r="T2173" s="26">
        <f>S2173*G2173</f>
        <v/>
      </c>
      <c r="U2173" s="26">
        <f>R2173-T2173</f>
        <v/>
      </c>
      <c r="V2173" s="26">
        <f>U2173-L2173</f>
        <v/>
      </c>
    </row>
    <row r="2174">
      <c r="A2174" s="11" t="n">
        <v>46225</v>
      </c>
      <c r="B2174" s="1" t="n">
        <v>20069</v>
      </c>
      <c r="C2174" s="1" t="inlineStr">
        <is>
          <t>011</t>
        </is>
      </c>
      <c r="D2174" s="1" t="inlineStr">
        <is>
          <t>195710</t>
        </is>
      </c>
      <c r="E2174" s="1" t="inlineStr">
        <is>
          <t xml:space="preserve">30232284       </t>
        </is>
      </c>
      <c r="F2174" s="5" t="inlineStr">
        <is>
          <t>INFINITY NADO TROMPO DE BATALLA - METAL C/PUNTA DE</t>
        </is>
      </c>
      <c r="G2174" t="n">
        <v>1</v>
      </c>
      <c r="H2174" s="7" t="n">
        <v>34.9</v>
      </c>
      <c r="I2174" s="7" t="n">
        <v>0</v>
      </c>
      <c r="J2174" s="7" t="n">
        <v>0</v>
      </c>
      <c r="K2174" s="9" t="n">
        <v>0</v>
      </c>
      <c r="L2174" s="10" t="n">
        <v>20.71</v>
      </c>
      <c r="M2174" s="10" t="n">
        <v>1.43</v>
      </c>
      <c r="N2174" t="inlineStr">
        <is>
          <t>1</t>
        </is>
      </c>
      <c r="O2174" t="inlineStr">
        <is>
          <t>16</t>
        </is>
      </c>
      <c r="P2174" t="inlineStr">
        <is>
          <t xml:space="preserve">249779  </t>
        </is>
      </c>
      <c r="Q2174" s="26" t="n">
        <v>29.6</v>
      </c>
      <c r="R2174" s="26">
        <f>Q2174*G2174</f>
        <v/>
      </c>
      <c r="S2174" s="26">
        <f>IFERROR(VLOOKUP(E2174*1,Tabla[#All],8,0),0)</f>
        <v/>
      </c>
      <c r="T2174" s="26">
        <f>S2174*G2174</f>
        <v/>
      </c>
      <c r="U2174" s="26">
        <f>R2174-T2174</f>
        <v/>
      </c>
      <c r="V2174" s="26">
        <f>U2174-L2174</f>
        <v/>
      </c>
    </row>
    <row r="2175">
      <c r="A2175" s="11" t="n">
        <v>46225</v>
      </c>
      <c r="B2175" s="1" t="n">
        <v>20069</v>
      </c>
      <c r="C2175" s="1" t="inlineStr">
        <is>
          <t>024</t>
        </is>
      </c>
      <c r="D2175" s="1" t="inlineStr">
        <is>
          <t>105280</t>
        </is>
      </c>
      <c r="E2175" s="1" t="inlineStr">
        <is>
          <t xml:space="preserve">31675347       </t>
        </is>
      </c>
      <c r="F2175" s="5" t="inlineStr">
        <is>
          <t>PETRONIX FIGURA + MASCOTAMOBIL SURTIDO</t>
        </is>
      </c>
      <c r="G2175" t="n">
        <v>1</v>
      </c>
      <c r="H2175" s="7" t="n">
        <v>16.03</v>
      </c>
      <c r="I2175" s="7" t="n">
        <v>0</v>
      </c>
      <c r="J2175" s="7" t="n">
        <v>0</v>
      </c>
      <c r="K2175" s="9" t="n">
        <v>0</v>
      </c>
      <c r="L2175" s="10" t="n">
        <v>9.51</v>
      </c>
      <c r="M2175" s="10" t="n">
        <v>1.43</v>
      </c>
      <c r="N2175" t="inlineStr">
        <is>
          <t>1</t>
        </is>
      </c>
      <c r="O2175" t="inlineStr">
        <is>
          <t xml:space="preserve">2 </t>
        </is>
      </c>
      <c r="P2175" t="inlineStr">
        <is>
          <t xml:space="preserve">247845  </t>
        </is>
      </c>
      <c r="Q2175" s="26" t="n">
        <v>13.58</v>
      </c>
      <c r="R2175" s="26">
        <f>Q2175*G2175</f>
        <v/>
      </c>
      <c r="S2175" s="26">
        <f>IFERROR(VLOOKUP(E2175*1,Tabla[#All],8,0),0)</f>
        <v/>
      </c>
      <c r="T2175" s="26">
        <f>S2175*G2175</f>
        <v/>
      </c>
      <c r="U2175" s="26">
        <f>R2175-T2175</f>
        <v/>
      </c>
      <c r="V2175" s="26">
        <f>U2175-L2175</f>
        <v/>
      </c>
    </row>
    <row r="2176">
      <c r="A2176" s="11" t="n">
        <v>46225</v>
      </c>
      <c r="B2176" s="1" t="n">
        <v>20069</v>
      </c>
      <c r="C2176" s="1" t="inlineStr">
        <is>
          <t>024</t>
        </is>
      </c>
      <c r="D2176" s="1" t="inlineStr">
        <is>
          <t>105341</t>
        </is>
      </c>
      <c r="E2176" s="1" t="inlineStr">
        <is>
          <t xml:space="preserve">28194769       </t>
        </is>
      </c>
      <c r="F2176" s="5" t="inlineStr">
        <is>
          <t>AUTOS DE METAL 3 TEAMSTERZ PACK DE 2</t>
        </is>
      </c>
      <c r="G2176" t="n">
        <v>1</v>
      </c>
      <c r="H2176" s="7" t="n">
        <v>13.8</v>
      </c>
      <c r="I2176" s="7" t="n">
        <v>1.38</v>
      </c>
      <c r="J2176" s="7" t="n">
        <v>0</v>
      </c>
      <c r="K2176" s="9" t="n">
        <v>1.38</v>
      </c>
      <c r="L2176" s="10" t="n">
        <v>7.37</v>
      </c>
      <c r="M2176" s="10" t="n">
        <v>1.43</v>
      </c>
      <c r="N2176" t="inlineStr">
        <is>
          <t>1</t>
        </is>
      </c>
      <c r="O2176" t="inlineStr">
        <is>
          <t xml:space="preserve">3 </t>
        </is>
      </c>
      <c r="P2176" t="inlineStr">
        <is>
          <t xml:space="preserve">247845  </t>
        </is>
      </c>
      <c r="Q2176" s="26" t="n">
        <v>8.19</v>
      </c>
      <c r="R2176" s="26">
        <f>Q2176*G2176</f>
        <v/>
      </c>
      <c r="S2176" s="26">
        <f>IFERROR(VLOOKUP(E2176*1,Tabla[#All],8,0),0)</f>
        <v/>
      </c>
      <c r="T2176" s="26">
        <f>S2176*G2176</f>
        <v/>
      </c>
      <c r="U2176" s="26">
        <f>R2176-T2176</f>
        <v/>
      </c>
      <c r="V2176" s="26">
        <f>U2176-L2176</f>
        <v/>
      </c>
    </row>
    <row r="2177">
      <c r="A2177" s="11" t="n">
        <v>46225</v>
      </c>
      <c r="B2177" s="1" t="n">
        <v>20069</v>
      </c>
      <c r="C2177" s="1" t="inlineStr">
        <is>
          <t>024</t>
        </is>
      </c>
      <c r="D2177" s="1" t="inlineStr">
        <is>
          <t>105360</t>
        </is>
      </c>
      <c r="E2177" s="1" t="inlineStr">
        <is>
          <t xml:space="preserve">28194770       </t>
        </is>
      </c>
      <c r="F2177" s="5" t="inlineStr">
        <is>
          <t>AUTOS DE METAL 3 TEAMSTERZ EN BLISTER</t>
        </is>
      </c>
      <c r="G2177" t="n">
        <v>1</v>
      </c>
      <c r="H2177" s="7" t="n">
        <v>6.9</v>
      </c>
      <c r="I2177" s="7" t="n">
        <v>0</v>
      </c>
      <c r="J2177" s="7" t="n">
        <v>0</v>
      </c>
      <c r="K2177" s="9" t="n">
        <v>0</v>
      </c>
      <c r="L2177" s="10" t="n">
        <v>4.1</v>
      </c>
      <c r="M2177" s="10" t="n">
        <v>1.43</v>
      </c>
      <c r="N2177" t="inlineStr">
        <is>
          <t>1</t>
        </is>
      </c>
      <c r="O2177" t="inlineStr">
        <is>
          <t xml:space="preserve">2 </t>
        </is>
      </c>
      <c r="P2177" t="inlineStr">
        <is>
          <t xml:space="preserve">247845  </t>
        </is>
      </c>
      <c r="Q2177" s="26" t="n">
        <v>4.09</v>
      </c>
      <c r="R2177" s="26">
        <f>Q2177*G2177</f>
        <v/>
      </c>
      <c r="S2177" s="26">
        <f>IFERROR(VLOOKUP(E2177*1,Tabla[#All],8,0),0)</f>
        <v/>
      </c>
      <c r="T2177" s="26">
        <f>S2177*G2177</f>
        <v/>
      </c>
      <c r="U2177" s="26">
        <f>R2177-T2177</f>
        <v/>
      </c>
      <c r="V2177" s="26">
        <f>U2177-L2177</f>
        <v/>
      </c>
    </row>
    <row r="2178">
      <c r="A2178" s="11" t="n">
        <v>46225</v>
      </c>
      <c r="B2178" s="1" t="n">
        <v>20074</v>
      </c>
      <c r="C2178" s="1" t="inlineStr">
        <is>
          <t>015</t>
        </is>
      </c>
      <c r="D2178" s="1" t="inlineStr">
        <is>
          <t>228433</t>
        </is>
      </c>
      <c r="E2178" s="1" t="inlineStr">
        <is>
          <t xml:space="preserve">30232284       </t>
        </is>
      </c>
      <c r="F2178" s="5" t="inlineStr">
        <is>
          <t>INFINITY NADO TROMPO DE BATALLA - METAL C/PUNTA DE</t>
        </is>
      </c>
      <c r="G2178" t="n">
        <v>1</v>
      </c>
      <c r="H2178" s="7" t="n">
        <v>34.9</v>
      </c>
      <c r="I2178" s="7" t="n">
        <v>0</v>
      </c>
      <c r="J2178" s="7" t="n">
        <v>0</v>
      </c>
      <c r="K2178" s="9" t="n">
        <v>0</v>
      </c>
      <c r="L2178" s="10" t="n">
        <v>20.71</v>
      </c>
      <c r="M2178" s="10" t="n">
        <v>1.43</v>
      </c>
      <c r="N2178" t="inlineStr">
        <is>
          <t>1</t>
        </is>
      </c>
      <c r="O2178" t="inlineStr">
        <is>
          <t>16</t>
        </is>
      </c>
      <c r="P2178" t="inlineStr">
        <is>
          <t xml:space="preserve">251791  </t>
        </is>
      </c>
      <c r="Q2178" s="26" t="n">
        <v>29.6</v>
      </c>
      <c r="R2178" s="26">
        <f>Q2178*G2178</f>
        <v/>
      </c>
      <c r="S2178" s="26">
        <f>IFERROR(VLOOKUP(E2178*1,Tabla[#All],8,0),0)</f>
        <v/>
      </c>
      <c r="T2178" s="26">
        <f>S2178*G2178</f>
        <v/>
      </c>
      <c r="U2178" s="26">
        <f>R2178-T2178</f>
        <v/>
      </c>
      <c r="V2178" s="26">
        <f>U2178-L2178</f>
        <v/>
      </c>
    </row>
    <row r="2179">
      <c r="A2179" s="11" t="n">
        <v>46225</v>
      </c>
      <c r="B2179" s="1" t="n">
        <v>20074</v>
      </c>
      <c r="C2179" s="1" t="inlineStr">
        <is>
          <t>039</t>
        </is>
      </c>
      <c r="D2179" s="1" t="inlineStr">
        <is>
          <t xml:space="preserve">31094 </t>
        </is>
      </c>
      <c r="E2179" s="1" t="inlineStr">
        <is>
          <t xml:space="preserve">28194780       </t>
        </is>
      </c>
      <c r="F2179" s="5" t="inlineStr">
        <is>
          <t>TROMPO BATALLA INFINITY NADO PLSTICO SURTIDO</t>
        </is>
      </c>
      <c r="G2179" t="n">
        <v>1</v>
      </c>
      <c r="H2179" s="7" t="n">
        <v>19.9</v>
      </c>
      <c r="I2179" s="7" t="n">
        <v>0</v>
      </c>
      <c r="J2179" s="7" t="n">
        <v>0</v>
      </c>
      <c r="K2179" s="9" t="n">
        <v>0</v>
      </c>
      <c r="L2179" s="10" t="n">
        <v>11.8</v>
      </c>
      <c r="M2179" s="10" t="n">
        <v>1.43</v>
      </c>
      <c r="N2179" t="inlineStr">
        <is>
          <t>1</t>
        </is>
      </c>
      <c r="O2179" t="inlineStr">
        <is>
          <t>16</t>
        </is>
      </c>
      <c r="P2179" t="inlineStr">
        <is>
          <t xml:space="preserve">235827  </t>
        </is>
      </c>
      <c r="Q2179" s="26" t="n">
        <v>11.81</v>
      </c>
      <c r="R2179" s="26">
        <f>Q2179*G2179</f>
        <v/>
      </c>
      <c r="S2179" s="26">
        <f>IFERROR(VLOOKUP(E2179*1,Tabla[#All],8,0),0)</f>
        <v/>
      </c>
      <c r="T2179" s="26">
        <f>S2179*G2179</f>
        <v/>
      </c>
      <c r="U2179" s="26">
        <f>R2179-T2179</f>
        <v/>
      </c>
      <c r="V2179" s="26">
        <f>U2179-L2179</f>
        <v/>
      </c>
    </row>
    <row r="2180">
      <c r="A2180" s="11" t="n">
        <v>46225</v>
      </c>
      <c r="B2180" s="1" t="n">
        <v>20077</v>
      </c>
      <c r="C2180" s="1" t="inlineStr">
        <is>
          <t>026</t>
        </is>
      </c>
      <c r="D2180" s="1" t="inlineStr">
        <is>
          <t>109245</t>
        </is>
      </c>
      <c r="E2180" s="1" t="inlineStr">
        <is>
          <t xml:space="preserve">30141766       </t>
        </is>
      </c>
      <c r="F2180" s="5" t="inlineStr">
        <is>
          <t>TMZ BEAST MACHINES AUTOS DE METAL BLISTER X 1</t>
        </is>
      </c>
      <c r="G2180" t="n">
        <v>1</v>
      </c>
      <c r="H2180" s="7" t="n">
        <v>7.9</v>
      </c>
      <c r="I2180" s="7" t="n">
        <v>0</v>
      </c>
      <c r="J2180" s="7" t="n">
        <v>0</v>
      </c>
      <c r="K2180" s="9" t="n">
        <v>0</v>
      </c>
      <c r="L2180" s="10" t="n">
        <v>4.68</v>
      </c>
      <c r="M2180" s="10" t="n">
        <v>1.43</v>
      </c>
      <c r="N2180" t="inlineStr">
        <is>
          <t>1</t>
        </is>
      </c>
      <c r="O2180" t="inlineStr">
        <is>
          <t>16</t>
        </is>
      </c>
      <c r="P2180" t="inlineStr">
        <is>
          <t xml:space="preserve">61615   </t>
        </is>
      </c>
      <c r="Q2180" s="26" t="n">
        <v>4.69</v>
      </c>
      <c r="R2180" s="26">
        <f>Q2180*G2180</f>
        <v/>
      </c>
      <c r="S2180" s="26">
        <f>IFERROR(VLOOKUP(E2180*1,Tabla[#All],8,0),0)</f>
        <v/>
      </c>
      <c r="T2180" s="26">
        <f>S2180*G2180</f>
        <v/>
      </c>
      <c r="U2180" s="26">
        <f>R2180-T2180</f>
        <v/>
      </c>
      <c r="V2180" s="26">
        <f>U2180-L2180</f>
        <v/>
      </c>
    </row>
    <row r="2181">
      <c r="A2181" s="11" t="n">
        <v>46225</v>
      </c>
      <c r="B2181" s="1" t="n">
        <v>20078</v>
      </c>
      <c r="C2181" s="1" t="inlineStr">
        <is>
          <t>192</t>
        </is>
      </c>
      <c r="D2181" s="1" t="inlineStr">
        <is>
          <t>274682</t>
        </is>
      </c>
      <c r="E2181" s="1" t="inlineStr">
        <is>
          <t xml:space="preserve">32656408       </t>
        </is>
      </c>
      <c r="F2181" s="5" t="inlineStr">
        <is>
          <t>VIP PETS INFLUENCER</t>
        </is>
      </c>
      <c r="G2181" t="n">
        <v>1</v>
      </c>
      <c r="H2181" s="7" t="n">
        <v>77.40000000000001</v>
      </c>
      <c r="I2181" s="7" t="n">
        <v>0</v>
      </c>
      <c r="J2181" s="7" t="n">
        <v>0</v>
      </c>
      <c r="K2181" s="9" t="n">
        <v>0</v>
      </c>
      <c r="L2181" s="10" t="n">
        <v>45.91</v>
      </c>
      <c r="M2181" s="10" t="n">
        <v>1.43</v>
      </c>
      <c r="N2181" t="inlineStr">
        <is>
          <t>1</t>
        </is>
      </c>
      <c r="O2181" t="inlineStr">
        <is>
          <t xml:space="preserve">2 </t>
        </is>
      </c>
      <c r="P2181" t="inlineStr">
        <is>
          <t xml:space="preserve">70416   </t>
        </is>
      </c>
      <c r="Q2181" s="26" t="n">
        <v>76.53</v>
      </c>
      <c r="R2181" s="26">
        <f>Q2181*G2181</f>
        <v/>
      </c>
      <c r="S2181" s="26">
        <f>IFERROR(VLOOKUP(E2181*1,Tabla[#All],8,0),0)</f>
        <v/>
      </c>
      <c r="T2181" s="26">
        <f>S2181*G2181</f>
        <v/>
      </c>
      <c r="U2181" s="26">
        <f>R2181-T2181</f>
        <v/>
      </c>
      <c r="V2181" s="26">
        <f>U2181-L2181</f>
        <v/>
      </c>
    </row>
    <row r="2182">
      <c r="A2182" s="11" t="n">
        <v>46225</v>
      </c>
      <c r="B2182" s="1" t="n">
        <v>20079</v>
      </c>
      <c r="C2182" s="1" t="inlineStr">
        <is>
          <t>051</t>
        </is>
      </c>
      <c r="D2182" s="1" t="inlineStr">
        <is>
          <t>236745</t>
        </is>
      </c>
      <c r="E2182" s="1" t="inlineStr">
        <is>
          <t xml:space="preserve">32457111       </t>
        </is>
      </c>
      <c r="F2182" s="5" t="inlineStr">
        <is>
          <t>TMZ BEAST MACHINES MONSTER JAWS A FRICCION PACK DE</t>
        </is>
      </c>
      <c r="G2182" t="n">
        <v>1</v>
      </c>
      <c r="H2182" s="7" t="n">
        <v>54.9</v>
      </c>
      <c r="I2182" s="7" t="n">
        <v>0</v>
      </c>
      <c r="J2182" s="7" t="n">
        <v>0</v>
      </c>
      <c r="K2182" s="9" t="n">
        <v>0</v>
      </c>
      <c r="L2182" s="10" t="n">
        <v>32.57</v>
      </c>
      <c r="M2182" s="10" t="n">
        <v>1.43</v>
      </c>
      <c r="N2182" t="inlineStr">
        <is>
          <t>1</t>
        </is>
      </c>
      <c r="O2182" t="inlineStr">
        <is>
          <t>16</t>
        </is>
      </c>
      <c r="P2182" t="inlineStr">
        <is>
          <t xml:space="preserve">97404   </t>
        </is>
      </c>
      <c r="Q2182" s="26" t="n">
        <v>44.43</v>
      </c>
      <c r="R2182" s="26">
        <f>Q2182*G2182</f>
        <v/>
      </c>
      <c r="S2182" s="26">
        <f>IFERROR(VLOOKUP(E2182*1,Tabla[#All],8,0),0)</f>
        <v/>
      </c>
      <c r="T2182" s="26">
        <f>S2182*G2182</f>
        <v/>
      </c>
      <c r="U2182" s="26">
        <f>R2182-T2182</f>
        <v/>
      </c>
      <c r="V2182" s="26">
        <f>U2182-L2182</f>
        <v/>
      </c>
    </row>
    <row r="2183">
      <c r="A2183" s="11" t="n">
        <v>46225</v>
      </c>
      <c r="B2183" s="1" t="n">
        <v>20079</v>
      </c>
      <c r="C2183" s="1" t="inlineStr">
        <is>
          <t>051</t>
        </is>
      </c>
      <c r="D2183" s="1" t="inlineStr">
        <is>
          <t>236753</t>
        </is>
      </c>
      <c r="E2183" s="1" t="inlineStr">
        <is>
          <t xml:space="preserve">31754676       </t>
        </is>
      </c>
      <c r="F2183" s="5" t="inlineStr">
        <is>
          <t>INFINITY NADO SERIE 6 STD PACK LANZ ESPAD ANILLO M</t>
        </is>
      </c>
      <c r="G2183" t="n">
        <v>1</v>
      </c>
      <c r="H2183" s="7" t="n">
        <v>59.9</v>
      </c>
      <c r="I2183" s="7" t="n">
        <v>0</v>
      </c>
      <c r="J2183" s="7" t="n">
        <v>0</v>
      </c>
      <c r="K2183" s="9" t="n">
        <v>0</v>
      </c>
      <c r="L2183" s="10" t="n">
        <v>35.53</v>
      </c>
      <c r="M2183" s="10" t="n">
        <v>1.43</v>
      </c>
      <c r="N2183" t="inlineStr">
        <is>
          <t>1</t>
        </is>
      </c>
      <c r="O2183" t="inlineStr">
        <is>
          <t>16</t>
        </is>
      </c>
      <c r="P2183" t="inlineStr">
        <is>
          <t xml:space="preserve">97404   </t>
        </is>
      </c>
      <c r="Q2183" s="26" t="n">
        <v>47.4</v>
      </c>
      <c r="R2183" s="26">
        <f>Q2183*G2183</f>
        <v/>
      </c>
      <c r="S2183" s="26">
        <f>IFERROR(VLOOKUP(E2183*1,Tabla[#All],8,0),0)</f>
        <v/>
      </c>
      <c r="T2183" s="26">
        <f>S2183*G2183</f>
        <v/>
      </c>
      <c r="U2183" s="26">
        <f>R2183-T2183</f>
        <v/>
      </c>
      <c r="V2183" s="26">
        <f>U2183-L2183</f>
        <v/>
      </c>
    </row>
    <row r="2184">
      <c r="A2184" s="11" t="n">
        <v>46225</v>
      </c>
      <c r="B2184" s="1" t="n">
        <v>20086</v>
      </c>
      <c r="C2184" s="1" t="inlineStr">
        <is>
          <t>022</t>
        </is>
      </c>
      <c r="D2184" s="1" t="inlineStr">
        <is>
          <t>113306</t>
        </is>
      </c>
      <c r="E2184" s="1" t="inlineStr">
        <is>
          <t xml:space="preserve">28194770       </t>
        </is>
      </c>
      <c r="F2184" s="5" t="inlineStr">
        <is>
          <t>AUTOS DE METAL 3 TEAMSTERZ EN BLISTER</t>
        </is>
      </c>
      <c r="G2184" t="n">
        <v>1</v>
      </c>
      <c r="H2184" s="7" t="n">
        <v>6.9</v>
      </c>
      <c r="I2184" s="7" t="n">
        <v>0</v>
      </c>
      <c r="J2184" s="7" t="n">
        <v>0</v>
      </c>
      <c r="K2184" s="9" t="n">
        <v>0</v>
      </c>
      <c r="L2184" s="10" t="n">
        <v>4.1</v>
      </c>
      <c r="M2184" s="10" t="n">
        <v>1.43</v>
      </c>
      <c r="N2184" t="inlineStr">
        <is>
          <t>1</t>
        </is>
      </c>
      <c r="O2184" t="inlineStr">
        <is>
          <t xml:space="preserve">2 </t>
        </is>
      </c>
      <c r="P2184" t="inlineStr">
        <is>
          <t xml:space="preserve">231840  </t>
        </is>
      </c>
      <c r="Q2184" s="26" t="n">
        <v>4.09</v>
      </c>
      <c r="R2184" s="26">
        <f>Q2184*G2184</f>
        <v/>
      </c>
      <c r="S2184" s="26">
        <f>IFERROR(VLOOKUP(E2184*1,Tabla[#All],8,0),0)</f>
        <v/>
      </c>
      <c r="T2184" s="26">
        <f>S2184*G2184</f>
        <v/>
      </c>
      <c r="U2184" s="26">
        <f>R2184-T2184</f>
        <v/>
      </c>
      <c r="V2184" s="26">
        <f>U2184-L2184</f>
        <v/>
      </c>
    </row>
    <row r="2185">
      <c r="A2185" s="11" t="n">
        <v>46225</v>
      </c>
      <c r="B2185" s="1" t="n">
        <v>20088</v>
      </c>
      <c r="C2185" s="1" t="inlineStr">
        <is>
          <t>021</t>
        </is>
      </c>
      <c r="D2185" s="1" t="inlineStr">
        <is>
          <t xml:space="preserve">49759 </t>
        </is>
      </c>
      <c r="E2185" s="1" t="inlineStr">
        <is>
          <t xml:space="preserve">28194784       </t>
        </is>
      </c>
      <c r="F2185" s="5" t="inlineStr">
        <is>
          <t>SET DE ACROBACIAS INFINITY NADO CON TROMPO</t>
        </is>
      </c>
      <c r="G2185" t="n">
        <v>1</v>
      </c>
      <c r="H2185" s="7" t="n">
        <v>139</v>
      </c>
      <c r="I2185" s="7" t="n">
        <v>0</v>
      </c>
      <c r="J2185" s="7" t="n">
        <v>0</v>
      </c>
      <c r="K2185" s="9" t="n">
        <v>0</v>
      </c>
      <c r="L2185" s="10" t="n">
        <v>82.45999999999999</v>
      </c>
      <c r="M2185" s="10" t="n">
        <v>1.43</v>
      </c>
      <c r="N2185" t="inlineStr">
        <is>
          <t>1</t>
        </is>
      </c>
      <c r="O2185" t="inlineStr">
        <is>
          <t>16</t>
        </is>
      </c>
      <c r="P2185" t="inlineStr">
        <is>
          <t xml:space="preserve">249601  </t>
        </is>
      </c>
      <c r="Q2185" s="26" t="n">
        <v>106.19</v>
      </c>
      <c r="R2185" s="26">
        <f>Q2185*G2185</f>
        <v/>
      </c>
      <c r="S2185" s="26">
        <f>IFERROR(VLOOKUP(E2185*1,Tabla[#All],8,0),0)</f>
        <v/>
      </c>
      <c r="T2185" s="26">
        <f>S2185*G2185</f>
        <v/>
      </c>
      <c r="U2185" s="26">
        <f>R2185-T2185</f>
        <v/>
      </c>
      <c r="V2185" s="26">
        <f>U2185-L2185</f>
        <v/>
      </c>
    </row>
    <row r="2186">
      <c r="A2186" s="11" t="n">
        <v>46225</v>
      </c>
      <c r="B2186" s="1" t="n">
        <v>20088</v>
      </c>
      <c r="C2186" s="1" t="inlineStr">
        <is>
          <t>021</t>
        </is>
      </c>
      <c r="D2186" s="1" t="inlineStr">
        <is>
          <t xml:space="preserve">49759 </t>
        </is>
      </c>
      <c r="E2186" s="1" t="inlineStr">
        <is>
          <t xml:space="preserve">30232284       </t>
        </is>
      </c>
      <c r="F2186" s="5" t="inlineStr">
        <is>
          <t>INFINITY NADO TROMPO DE BATALLA - METAL C/PUNTA DE</t>
        </is>
      </c>
      <c r="G2186" t="n">
        <v>1</v>
      </c>
      <c r="H2186" s="7" t="n">
        <v>34.9</v>
      </c>
      <c r="I2186" s="7" t="n">
        <v>0</v>
      </c>
      <c r="J2186" s="7" t="n">
        <v>0</v>
      </c>
      <c r="K2186" s="9" t="n">
        <v>0</v>
      </c>
      <c r="L2186" s="10" t="n">
        <v>20.71</v>
      </c>
      <c r="M2186" s="10" t="n">
        <v>1.43</v>
      </c>
      <c r="N2186" t="inlineStr">
        <is>
          <t>1</t>
        </is>
      </c>
      <c r="O2186" t="inlineStr">
        <is>
          <t>16</t>
        </is>
      </c>
      <c r="P2186" t="inlineStr">
        <is>
          <t xml:space="preserve">249601  </t>
        </is>
      </c>
      <c r="Q2186" s="26" t="n">
        <v>29.6</v>
      </c>
      <c r="R2186" s="26">
        <f>Q2186*G2186</f>
        <v/>
      </c>
      <c r="S2186" s="26">
        <f>IFERROR(VLOOKUP(E2186*1,Tabla[#All],8,0),0)</f>
        <v/>
      </c>
      <c r="T2186" s="26">
        <f>S2186*G2186</f>
        <v/>
      </c>
      <c r="U2186" s="26">
        <f>R2186-T2186</f>
        <v/>
      </c>
      <c r="V2186" s="26">
        <f>U2186-L2186</f>
        <v/>
      </c>
    </row>
    <row r="2187">
      <c r="A2187" s="11" t="n">
        <v>46225</v>
      </c>
      <c r="B2187" s="1" t="n">
        <v>20088</v>
      </c>
      <c r="C2187" s="1" t="inlineStr">
        <is>
          <t>021</t>
        </is>
      </c>
      <c r="D2187" s="1" t="inlineStr">
        <is>
          <t xml:space="preserve">49765 </t>
        </is>
      </c>
      <c r="E2187" s="1" t="inlineStr">
        <is>
          <t xml:space="preserve">28194769       </t>
        </is>
      </c>
      <c r="F2187" s="5" t="inlineStr">
        <is>
          <t>AUTOS DE METAL 3 TEAMSTERZ PACK DE 2</t>
        </is>
      </c>
      <c r="G2187" t="n">
        <v>1</v>
      </c>
      <c r="H2187" s="7" t="n">
        <v>13.8</v>
      </c>
      <c r="I2187" s="7" t="n">
        <v>0</v>
      </c>
      <c r="J2187" s="7" t="n">
        <v>0</v>
      </c>
      <c r="K2187" s="9" t="n">
        <v>0</v>
      </c>
      <c r="L2187" s="10" t="n">
        <v>8.18</v>
      </c>
      <c r="M2187" s="10" t="n">
        <v>1.43</v>
      </c>
      <c r="N2187" t="inlineStr">
        <is>
          <t>1</t>
        </is>
      </c>
      <c r="O2187" t="inlineStr">
        <is>
          <t xml:space="preserve">2 </t>
        </is>
      </c>
      <c r="P2187" t="inlineStr">
        <is>
          <t xml:space="preserve">249601  </t>
        </is>
      </c>
      <c r="Q2187" s="26" t="n">
        <v>8.19</v>
      </c>
      <c r="R2187" s="26">
        <f>Q2187*G2187</f>
        <v/>
      </c>
      <c r="S2187" s="26">
        <f>IFERROR(VLOOKUP(E2187*1,Tabla[#All],8,0),0)</f>
        <v/>
      </c>
      <c r="T2187" s="26">
        <f>S2187*G2187</f>
        <v/>
      </c>
      <c r="U2187" s="26">
        <f>R2187-T2187</f>
        <v/>
      </c>
      <c r="V2187" s="26">
        <f>U2187-L2187</f>
        <v/>
      </c>
    </row>
    <row r="2188">
      <c r="A2188" s="11" t="n">
        <v>46225</v>
      </c>
      <c r="B2188" s="1" t="n">
        <v>20088</v>
      </c>
      <c r="C2188" s="1" t="inlineStr">
        <is>
          <t>023</t>
        </is>
      </c>
      <c r="D2188" s="1" t="inlineStr">
        <is>
          <t>127632</t>
        </is>
      </c>
      <c r="E2188" s="1" t="inlineStr">
        <is>
          <t xml:space="preserve">32457104       </t>
        </is>
      </c>
      <c r="F2188" s="5" t="inlineStr">
        <is>
          <t>TMZ BEAST MACHINES PLAYSET DESASTRE REPTIL + 1 AUT</t>
        </is>
      </c>
      <c r="G2188" t="n">
        <v>1</v>
      </c>
      <c r="H2188" s="7" t="n">
        <v>49.9</v>
      </c>
      <c r="I2188" s="7" t="n">
        <v>0</v>
      </c>
      <c r="J2188" s="7" t="n">
        <v>0</v>
      </c>
      <c r="K2188" s="9" t="n">
        <v>0</v>
      </c>
      <c r="L2188" s="10" t="n">
        <v>29.6</v>
      </c>
      <c r="M2188" s="10" t="n">
        <v>1.43</v>
      </c>
      <c r="N2188" t="inlineStr">
        <is>
          <t>1</t>
        </is>
      </c>
      <c r="O2188" t="inlineStr">
        <is>
          <t xml:space="preserve">2 </t>
        </is>
      </c>
      <c r="P2188" t="inlineStr">
        <is>
          <t xml:space="preserve">232153  </t>
        </is>
      </c>
      <c r="Q2188" s="26" t="n">
        <v>41.47</v>
      </c>
      <c r="R2188" s="26">
        <f>Q2188*G2188</f>
        <v/>
      </c>
      <c r="S2188" s="26">
        <f>IFERROR(VLOOKUP(E2188*1,Tabla[#All],8,0),0)</f>
        <v/>
      </c>
      <c r="T2188" s="26">
        <f>S2188*G2188</f>
        <v/>
      </c>
      <c r="U2188" s="26">
        <f>R2188-T2188</f>
        <v/>
      </c>
      <c r="V2188" s="26">
        <f>U2188-L2188</f>
        <v/>
      </c>
    </row>
    <row r="2189">
      <c r="A2189" s="11" t="n">
        <v>46225</v>
      </c>
      <c r="B2189" s="1" t="n">
        <v>20088</v>
      </c>
      <c r="C2189" s="1" t="inlineStr">
        <is>
          <t>023</t>
        </is>
      </c>
      <c r="D2189" s="1" t="inlineStr">
        <is>
          <t>127662</t>
        </is>
      </c>
      <c r="E2189" s="1" t="inlineStr">
        <is>
          <t xml:space="preserve">28194770       </t>
        </is>
      </c>
      <c r="F2189" s="5" t="inlineStr">
        <is>
          <t>AUTOS DE METAL 3 TEAMSTERZ EN BLISTER</t>
        </is>
      </c>
      <c r="G2189" t="n">
        <v>1</v>
      </c>
      <c r="H2189" s="7" t="n">
        <v>6.9</v>
      </c>
      <c r="I2189" s="7" t="n">
        <v>0</v>
      </c>
      <c r="J2189" s="7" t="n">
        <v>0</v>
      </c>
      <c r="K2189" s="9" t="n">
        <v>0</v>
      </c>
      <c r="L2189" s="10" t="n">
        <v>4.1</v>
      </c>
      <c r="M2189" s="10" t="n">
        <v>1.43</v>
      </c>
      <c r="N2189" t="inlineStr">
        <is>
          <t>1</t>
        </is>
      </c>
      <c r="O2189" t="inlineStr">
        <is>
          <t>16</t>
        </is>
      </c>
      <c r="P2189" t="inlineStr">
        <is>
          <t xml:space="preserve">232153  </t>
        </is>
      </c>
      <c r="Q2189" s="26" t="n">
        <v>4.09</v>
      </c>
      <c r="R2189" s="26">
        <f>Q2189*G2189</f>
        <v/>
      </c>
      <c r="S2189" s="26">
        <f>IFERROR(VLOOKUP(E2189*1,Tabla[#All],8,0),0)</f>
        <v/>
      </c>
      <c r="T2189" s="26">
        <f>S2189*G2189</f>
        <v/>
      </c>
      <c r="U2189" s="26">
        <f>R2189-T2189</f>
        <v/>
      </c>
      <c r="V2189" s="26">
        <f>U2189-L2189</f>
        <v/>
      </c>
    </row>
    <row r="2190">
      <c r="A2190" s="11" t="n">
        <v>46225</v>
      </c>
      <c r="B2190" s="1" t="n">
        <v>20088</v>
      </c>
      <c r="C2190" s="1" t="inlineStr">
        <is>
          <t>023</t>
        </is>
      </c>
      <c r="D2190" s="1" t="inlineStr">
        <is>
          <t>127662</t>
        </is>
      </c>
      <c r="E2190" s="1" t="inlineStr">
        <is>
          <t xml:space="preserve">30232284       </t>
        </is>
      </c>
      <c r="F2190" s="5" t="inlineStr">
        <is>
          <t>INFINITY NADO TROMPO DE BATALLA - METAL C/PUNTA DE</t>
        </is>
      </c>
      <c r="G2190" t="n">
        <v>1</v>
      </c>
      <c r="H2190" s="7" t="n">
        <v>34.9</v>
      </c>
      <c r="I2190" s="7" t="n">
        <v>0</v>
      </c>
      <c r="J2190" s="7" t="n">
        <v>0</v>
      </c>
      <c r="K2190" s="9" t="n">
        <v>0</v>
      </c>
      <c r="L2190" s="10" t="n">
        <v>20.71</v>
      </c>
      <c r="M2190" s="10" t="n">
        <v>1.43</v>
      </c>
      <c r="N2190" t="inlineStr">
        <is>
          <t>1</t>
        </is>
      </c>
      <c r="O2190" t="inlineStr">
        <is>
          <t>16</t>
        </is>
      </c>
      <c r="P2190" t="inlineStr">
        <is>
          <t xml:space="preserve">232153  </t>
        </is>
      </c>
      <c r="Q2190" s="26" t="n">
        <v>29.6</v>
      </c>
      <c r="R2190" s="26">
        <f>Q2190*G2190</f>
        <v/>
      </c>
      <c r="S2190" s="26">
        <f>IFERROR(VLOOKUP(E2190*1,Tabla[#All],8,0),0)</f>
        <v/>
      </c>
      <c r="T2190" s="26">
        <f>S2190*G2190</f>
        <v/>
      </c>
      <c r="U2190" s="26">
        <f>R2190-T2190</f>
        <v/>
      </c>
      <c r="V2190" s="26">
        <f>U2190-L2190</f>
        <v/>
      </c>
    </row>
    <row r="2191">
      <c r="A2191" s="11" t="n">
        <v>46225</v>
      </c>
      <c r="B2191" s="1" t="n">
        <v>20089</v>
      </c>
      <c r="C2191" s="1" t="inlineStr">
        <is>
          <t>025</t>
        </is>
      </c>
      <c r="D2191" s="1" t="inlineStr">
        <is>
          <t>122329</t>
        </is>
      </c>
      <c r="E2191" s="1" t="inlineStr">
        <is>
          <t xml:space="preserve">29235702       </t>
        </is>
      </c>
      <c r="F2191" s="5" t="inlineStr">
        <is>
          <t>INFINITY NADO TROMPO DE BATALLA - METAL C/ ANILLO</t>
        </is>
      </c>
      <c r="G2191" t="n">
        <v>1</v>
      </c>
      <c r="H2191" s="7" t="n">
        <v>49.9</v>
      </c>
      <c r="I2191" s="7" t="n">
        <v>0</v>
      </c>
      <c r="J2191" s="7" t="n">
        <v>0</v>
      </c>
      <c r="K2191" s="9" t="n">
        <v>0</v>
      </c>
      <c r="L2191" s="10" t="n">
        <v>29.6</v>
      </c>
      <c r="M2191" s="10" t="n">
        <v>1.43</v>
      </c>
      <c r="N2191" t="inlineStr">
        <is>
          <t>1</t>
        </is>
      </c>
      <c r="O2191" t="inlineStr">
        <is>
          <t>16</t>
        </is>
      </c>
      <c r="P2191" t="inlineStr">
        <is>
          <t xml:space="preserve">101864  </t>
        </is>
      </c>
      <c r="Q2191" s="26" t="n">
        <v>41.47</v>
      </c>
      <c r="R2191" s="26">
        <f>Q2191*G2191</f>
        <v/>
      </c>
      <c r="S2191" s="26">
        <f>IFERROR(VLOOKUP(E2191*1,Tabla[#All],8,0),0)</f>
        <v/>
      </c>
      <c r="T2191" s="26">
        <f>S2191*G2191</f>
        <v/>
      </c>
      <c r="U2191" s="26">
        <f>R2191-T2191</f>
        <v/>
      </c>
      <c r="V2191" s="26">
        <f>U2191-L2191</f>
        <v/>
      </c>
    </row>
    <row r="2192">
      <c r="A2192" s="11" t="n">
        <v>46225</v>
      </c>
      <c r="B2192" s="1" t="n">
        <v>20089</v>
      </c>
      <c r="C2192" s="1" t="inlineStr">
        <is>
          <t>025</t>
        </is>
      </c>
      <c r="D2192" s="1" t="inlineStr">
        <is>
          <t>122342</t>
        </is>
      </c>
      <c r="E2192" s="1" t="inlineStr">
        <is>
          <t xml:space="preserve">31754675       </t>
        </is>
      </c>
      <c r="F2192" s="5" t="inlineStr">
        <is>
          <t>INFINITY NADO SERIE 6 STARTER PACK - 4 MODELOS</t>
        </is>
      </c>
      <c r="G2192" t="n">
        <v>1</v>
      </c>
      <c r="H2192" s="7" t="n">
        <v>49.9</v>
      </c>
      <c r="I2192" s="7" t="n">
        <v>0</v>
      </c>
      <c r="J2192" s="7" t="n">
        <v>0</v>
      </c>
      <c r="K2192" s="9" t="n">
        <v>0</v>
      </c>
      <c r="L2192" s="10" t="n">
        <v>29.6</v>
      </c>
      <c r="M2192" s="10" t="n">
        <v>1.43</v>
      </c>
      <c r="N2192" t="inlineStr">
        <is>
          <t>1</t>
        </is>
      </c>
      <c r="O2192" t="inlineStr">
        <is>
          <t>16</t>
        </is>
      </c>
      <c r="P2192" t="inlineStr">
        <is>
          <t xml:space="preserve">101864  </t>
        </is>
      </c>
      <c r="Q2192" s="26" t="n">
        <v>41.47</v>
      </c>
      <c r="R2192" s="26">
        <f>Q2192*G2192</f>
        <v/>
      </c>
      <c r="S2192" s="26">
        <f>IFERROR(VLOOKUP(E2192*1,Tabla[#All],8,0),0)</f>
        <v/>
      </c>
      <c r="T2192" s="26">
        <f>S2192*G2192</f>
        <v/>
      </c>
      <c r="U2192" s="26">
        <f>R2192-T2192</f>
        <v/>
      </c>
      <c r="V2192" s="26">
        <f>U2192-L2192</f>
        <v/>
      </c>
    </row>
    <row r="2193">
      <c r="A2193" s="11" t="n">
        <v>46225</v>
      </c>
      <c r="B2193" s="1" t="n">
        <v>20089</v>
      </c>
      <c r="C2193" s="1" t="inlineStr">
        <is>
          <t>027</t>
        </is>
      </c>
      <c r="D2193" s="1" t="inlineStr">
        <is>
          <t xml:space="preserve">16119 </t>
        </is>
      </c>
      <c r="E2193" s="1" t="inlineStr">
        <is>
          <t xml:space="preserve">31959961       </t>
        </is>
      </c>
      <c r="F2193" s="5" t="inlineStr">
        <is>
          <t>TEAMSTERZ CAMBIA DE COLOR PACK DE 3 AUTOS</t>
        </is>
      </c>
      <c r="G2193" t="n">
        <v>1</v>
      </c>
      <c r="H2193" s="7" t="n">
        <v>49.9</v>
      </c>
      <c r="I2193" s="7" t="n">
        <v>0</v>
      </c>
      <c r="J2193" s="7" t="n">
        <v>0</v>
      </c>
      <c r="K2193" s="9" t="n">
        <v>0</v>
      </c>
      <c r="L2193" s="10" t="n">
        <v>29.6</v>
      </c>
      <c r="M2193" s="10" t="n">
        <v>1.43</v>
      </c>
      <c r="N2193" t="inlineStr">
        <is>
          <t>1</t>
        </is>
      </c>
      <c r="O2193" t="inlineStr">
        <is>
          <t xml:space="preserve">2 </t>
        </is>
      </c>
      <c r="P2193" t="inlineStr">
        <is>
          <t xml:space="preserve">82992   </t>
        </is>
      </c>
      <c r="Q2193" s="26" t="n">
        <v>29.6</v>
      </c>
      <c r="R2193" s="26">
        <f>Q2193*G2193</f>
        <v/>
      </c>
      <c r="S2193" s="26">
        <f>IFERROR(VLOOKUP(E2193*1,Tabla[#All],8,0),0)</f>
        <v/>
      </c>
      <c r="T2193" s="26">
        <f>S2193*G2193</f>
        <v/>
      </c>
      <c r="U2193" s="26">
        <f>R2193-T2193</f>
        <v/>
      </c>
      <c r="V2193" s="26">
        <f>U2193-L2193</f>
        <v/>
      </c>
    </row>
    <row r="2194">
      <c r="A2194" s="11" t="n">
        <v>46225</v>
      </c>
      <c r="B2194" s="1" t="n">
        <v>20089</v>
      </c>
      <c r="C2194" s="1" t="inlineStr">
        <is>
          <t>027</t>
        </is>
      </c>
      <c r="D2194" s="1" t="inlineStr">
        <is>
          <t xml:space="preserve">16158 </t>
        </is>
      </c>
      <c r="E2194" s="1" t="inlineStr">
        <is>
          <t xml:space="preserve">34840552       </t>
        </is>
      </c>
      <c r="F2194" s="5" t="inlineStr">
        <is>
          <t>TMZ HELI POLICIA CON LUCES Y SONIDOS</t>
        </is>
      </c>
      <c r="G2194" t="n">
        <v>1</v>
      </c>
      <c r="H2194" s="7" t="n">
        <v>79.90000000000001</v>
      </c>
      <c r="I2194" s="7" t="n">
        <v>0</v>
      </c>
      <c r="J2194" s="7" t="n">
        <v>0</v>
      </c>
      <c r="K2194" s="9" t="n">
        <v>0</v>
      </c>
      <c r="L2194" s="10" t="n">
        <v>47.4</v>
      </c>
      <c r="M2194" s="10" t="n">
        <v>1.43</v>
      </c>
      <c r="N2194" t="inlineStr">
        <is>
          <t>1</t>
        </is>
      </c>
      <c r="O2194" t="inlineStr">
        <is>
          <t>16</t>
        </is>
      </c>
      <c r="P2194" t="inlineStr">
        <is>
          <t xml:space="preserve">82992   </t>
        </is>
      </c>
      <c r="Q2194" s="26" t="n">
        <v>47.4</v>
      </c>
      <c r="R2194" s="26">
        <f>Q2194*G2194</f>
        <v/>
      </c>
      <c r="S2194" s="26">
        <f>IFERROR(VLOOKUP(E2194*1,Tabla[#All],8,0),0)</f>
        <v/>
      </c>
      <c r="T2194" s="26">
        <f>S2194*G2194</f>
        <v/>
      </c>
      <c r="U2194" s="26">
        <f>R2194-T2194</f>
        <v/>
      </c>
      <c r="V2194" s="26">
        <f>U2194-L2194</f>
        <v/>
      </c>
    </row>
    <row r="2195">
      <c r="A2195" s="11" t="n">
        <v>46225</v>
      </c>
      <c r="B2195" s="1" t="n">
        <v>20089</v>
      </c>
      <c r="C2195" s="1" t="inlineStr">
        <is>
          <t>860</t>
        </is>
      </c>
      <c r="D2195" s="1" t="inlineStr">
        <is>
          <t xml:space="preserve">9765  </t>
        </is>
      </c>
      <c r="E2195" s="1" t="inlineStr">
        <is>
          <t xml:space="preserve">31754677       </t>
        </is>
      </c>
      <c r="F2195" s="5" t="inlineStr">
        <is>
          <t>INFINITY NADO SERIE 6 SET DE BATALL</t>
        </is>
      </c>
      <c r="G2195" t="n">
        <v>1</v>
      </c>
      <c r="H2195" s="7" t="n">
        <v>149</v>
      </c>
      <c r="I2195" s="7" t="n">
        <v>0</v>
      </c>
      <c r="J2195" s="7" t="n">
        <v>0</v>
      </c>
      <c r="K2195" s="9" t="n">
        <v>0</v>
      </c>
      <c r="L2195" s="10" t="n">
        <v>88.39</v>
      </c>
      <c r="M2195" s="10" t="n">
        <v>1.43</v>
      </c>
      <c r="N2195" t="inlineStr">
        <is>
          <t>1</t>
        </is>
      </c>
      <c r="O2195" t="inlineStr">
        <is>
          <t>16</t>
        </is>
      </c>
      <c r="P2195" t="inlineStr">
        <is>
          <t xml:space="preserve">0       </t>
        </is>
      </c>
      <c r="Q2195" s="26" t="n">
        <v>112.12</v>
      </c>
      <c r="R2195" s="26">
        <f>Q2195*G2195</f>
        <v/>
      </c>
      <c r="S2195" s="26">
        <f>IFERROR(VLOOKUP(E2195*1,Tabla[#All],8,0),0)</f>
        <v/>
      </c>
      <c r="T2195" s="26">
        <f>S2195*G2195</f>
        <v/>
      </c>
      <c r="U2195" s="26">
        <f>R2195-T2195</f>
        <v/>
      </c>
      <c r="V2195" s="26">
        <f>U2195-L2195</f>
        <v/>
      </c>
    </row>
    <row r="2196">
      <c r="A2196" s="11" t="n">
        <v>46225</v>
      </c>
      <c r="B2196" s="1" t="n">
        <v>20089</v>
      </c>
      <c r="C2196" s="1" t="inlineStr">
        <is>
          <t>862</t>
        </is>
      </c>
      <c r="D2196" s="1" t="inlineStr">
        <is>
          <t xml:space="preserve">8724  </t>
        </is>
      </c>
      <c r="E2196" s="1" t="inlineStr">
        <is>
          <t xml:space="preserve">35685067       </t>
        </is>
      </c>
      <c r="F2196" s="5" t="inlineStr">
        <is>
          <t>HOT WHEELS POWER SET 3 EN 1</t>
        </is>
      </c>
      <c r="G2196" t="n">
        <v>1</v>
      </c>
      <c r="H2196" s="7" t="n">
        <v>49.9</v>
      </c>
      <c r="I2196" s="7" t="n">
        <v>0</v>
      </c>
      <c r="J2196" s="7" t="n">
        <v>0</v>
      </c>
      <c r="K2196" s="9" t="n">
        <v>0</v>
      </c>
      <c r="L2196" s="10" t="n">
        <v>29.6</v>
      </c>
      <c r="M2196" s="10" t="n">
        <v>1.43</v>
      </c>
      <c r="N2196" t="inlineStr">
        <is>
          <t>1</t>
        </is>
      </c>
      <c r="O2196" t="inlineStr">
        <is>
          <t>16</t>
        </is>
      </c>
      <c r="P2196" t="inlineStr">
        <is>
          <t xml:space="preserve">0       </t>
        </is>
      </c>
      <c r="Q2196" s="26" t="n">
        <v>29.6</v>
      </c>
      <c r="R2196" s="26">
        <f>Q2196*G2196</f>
        <v/>
      </c>
      <c r="S2196" s="26">
        <f>IFERROR(VLOOKUP(E2196*1,Tabla[#All],8,0),0)</f>
        <v/>
      </c>
      <c r="T2196" s="26">
        <f>S2196*G2196</f>
        <v/>
      </c>
      <c r="U2196" s="26">
        <f>R2196-T2196</f>
        <v/>
      </c>
      <c r="V2196" s="26">
        <f>U2196-L2196</f>
        <v/>
      </c>
    </row>
    <row r="2197">
      <c r="A2197" s="11" t="n">
        <v>46225</v>
      </c>
      <c r="B2197" s="1" t="n">
        <v>20095</v>
      </c>
      <c r="C2197" s="1" t="inlineStr">
        <is>
          <t>043</t>
        </is>
      </c>
      <c r="D2197" s="1" t="inlineStr">
        <is>
          <t>108456</t>
        </is>
      </c>
      <c r="E2197" s="1" t="inlineStr">
        <is>
          <t xml:space="preserve">28194766       </t>
        </is>
      </c>
      <c r="F2197" s="5" t="inlineStr">
        <is>
          <t>CAMIONES TEAMSTERZ DE CIUDAD</t>
        </is>
      </c>
      <c r="G2197" t="n">
        <v>1</v>
      </c>
      <c r="H2197" s="7" t="n">
        <v>17.9</v>
      </c>
      <c r="I2197" s="7" t="n">
        <v>0</v>
      </c>
      <c r="J2197" s="7" t="n">
        <v>0</v>
      </c>
      <c r="K2197" s="9" t="n">
        <v>0</v>
      </c>
      <c r="L2197" s="10" t="n">
        <v>10.62</v>
      </c>
      <c r="M2197" s="10" t="n">
        <v>1.43</v>
      </c>
      <c r="N2197" t="inlineStr">
        <is>
          <t>1</t>
        </is>
      </c>
      <c r="O2197" t="inlineStr">
        <is>
          <t>16</t>
        </is>
      </c>
      <c r="P2197" t="inlineStr">
        <is>
          <t xml:space="preserve">250453  </t>
        </is>
      </c>
      <c r="Q2197" s="26" t="n">
        <v>10.62</v>
      </c>
      <c r="R2197" s="26">
        <f>Q2197*G2197</f>
        <v/>
      </c>
      <c r="S2197" s="26">
        <f>IFERROR(VLOOKUP(E2197*1,Tabla[#All],8,0),0)</f>
        <v/>
      </c>
      <c r="T2197" s="26">
        <f>S2197*G2197</f>
        <v/>
      </c>
      <c r="U2197" s="26">
        <f>R2197-T2197</f>
        <v/>
      </c>
      <c r="V2197" s="26">
        <f>U2197-L2197</f>
        <v/>
      </c>
    </row>
    <row r="2198">
      <c r="A2198" s="11" t="n">
        <v>46226</v>
      </c>
      <c r="B2198" s="1" t="n">
        <v>20021</v>
      </c>
      <c r="C2198" s="1" t="inlineStr">
        <is>
          <t>065</t>
        </is>
      </c>
      <c r="D2198" s="1" t="inlineStr">
        <is>
          <t>174441</t>
        </is>
      </c>
      <c r="E2198" s="1" t="inlineStr">
        <is>
          <t xml:space="preserve">30141766       </t>
        </is>
      </c>
      <c r="F2198" s="5" t="inlineStr">
        <is>
          <t>TMZ BEAST MACHINES AUTOS DE METAL BLISTER X 1</t>
        </is>
      </c>
      <c r="G2198" t="n">
        <v>1</v>
      </c>
      <c r="H2198" s="7" t="n">
        <v>7.9</v>
      </c>
      <c r="I2198" s="7" t="n">
        <v>0.79</v>
      </c>
      <c r="J2198" s="7" t="n">
        <v>0</v>
      </c>
      <c r="K2198" s="9" t="n">
        <v>0.79</v>
      </c>
      <c r="L2198" s="10" t="n">
        <v>4.22</v>
      </c>
      <c r="M2198" s="10" t="n">
        <v>1.43</v>
      </c>
      <c r="N2198" t="inlineStr">
        <is>
          <t>1</t>
        </is>
      </c>
      <c r="O2198" t="inlineStr">
        <is>
          <t xml:space="preserve">3 </t>
        </is>
      </c>
      <c r="P2198" t="inlineStr">
        <is>
          <t xml:space="preserve">81066   </t>
        </is>
      </c>
      <c r="Q2198" s="26" t="n">
        <v>4.69</v>
      </c>
      <c r="R2198" s="26">
        <f>Q2198*G2198</f>
        <v/>
      </c>
      <c r="S2198" s="26">
        <f>IFERROR(VLOOKUP(E2198*1,Tabla[#All],8,0),0)</f>
        <v/>
      </c>
      <c r="T2198" s="26">
        <f>S2198*G2198</f>
        <v/>
      </c>
      <c r="U2198" s="26">
        <f>R2198-T2198</f>
        <v/>
      </c>
      <c r="V2198" s="26">
        <f>U2198-L2198</f>
        <v/>
      </c>
    </row>
    <row r="2199">
      <c r="A2199" s="11" t="n">
        <v>46226</v>
      </c>
      <c r="B2199" s="1" t="n">
        <v>20021</v>
      </c>
      <c r="C2199" s="1" t="inlineStr">
        <is>
          <t>065</t>
        </is>
      </c>
      <c r="D2199" s="1" t="inlineStr">
        <is>
          <t>174441</t>
        </is>
      </c>
      <c r="E2199" s="1" t="inlineStr">
        <is>
          <t xml:space="preserve">30141766       </t>
        </is>
      </c>
      <c r="F2199" s="5" t="inlineStr">
        <is>
          <t>TMZ BEAST MACHINES AUTOS DE METAL BLISTER X 1</t>
        </is>
      </c>
      <c r="G2199" t="n">
        <v>1</v>
      </c>
      <c r="H2199" s="7" t="n">
        <v>7.9</v>
      </c>
      <c r="I2199" s="7" t="n">
        <v>0.79</v>
      </c>
      <c r="J2199" s="7" t="n">
        <v>0</v>
      </c>
      <c r="K2199" s="9" t="n">
        <v>0.79</v>
      </c>
      <c r="L2199" s="10" t="n">
        <v>4.22</v>
      </c>
      <c r="M2199" s="10" t="n">
        <v>1.43</v>
      </c>
      <c r="N2199" t="inlineStr">
        <is>
          <t>1</t>
        </is>
      </c>
      <c r="O2199" t="inlineStr">
        <is>
          <t xml:space="preserve">3 </t>
        </is>
      </c>
      <c r="P2199" t="inlineStr">
        <is>
          <t xml:space="preserve">81066   </t>
        </is>
      </c>
      <c r="Q2199" s="26" t="n">
        <v>4.69</v>
      </c>
      <c r="R2199" s="26">
        <f>Q2199*G2199</f>
        <v/>
      </c>
      <c r="S2199" s="26">
        <f>IFERROR(VLOOKUP(E2199*1,Tabla[#All],8,0),0)</f>
        <v/>
      </c>
      <c r="T2199" s="26">
        <f>S2199*G2199</f>
        <v/>
      </c>
      <c r="U2199" s="26">
        <f>R2199-T2199</f>
        <v/>
      </c>
      <c r="V2199" s="26">
        <f>U2199-L2199</f>
        <v/>
      </c>
    </row>
    <row r="2200">
      <c r="A2200" s="11" t="n">
        <v>46226</v>
      </c>
      <c r="B2200" s="1" t="n">
        <v>20021</v>
      </c>
      <c r="C2200" s="1" t="inlineStr">
        <is>
          <t>069</t>
        </is>
      </c>
      <c r="D2200" s="1" t="inlineStr">
        <is>
          <t>130011</t>
        </is>
      </c>
      <c r="E2200" s="1" t="inlineStr">
        <is>
          <t xml:space="preserve">29235707       </t>
        </is>
      </c>
      <c r="F2200" s="5" t="inlineStr">
        <is>
          <t>TEAMSTERZ AUTO DE METAL 3  PACK DE 5</t>
        </is>
      </c>
      <c r="G2200" t="n">
        <v>1</v>
      </c>
      <c r="H2200" s="7" t="n">
        <v>34.5</v>
      </c>
      <c r="I2200" s="7" t="n">
        <v>0</v>
      </c>
      <c r="J2200" s="7" t="n">
        <v>0</v>
      </c>
      <c r="K2200" s="9" t="n">
        <v>0</v>
      </c>
      <c r="L2200" s="10" t="n">
        <v>20.47</v>
      </c>
      <c r="M2200" s="10" t="n">
        <v>1.43</v>
      </c>
      <c r="N2200" t="inlineStr">
        <is>
          <t>1</t>
        </is>
      </c>
      <c r="O2200" t="inlineStr">
        <is>
          <t>16</t>
        </is>
      </c>
      <c r="P2200" t="inlineStr">
        <is>
          <t xml:space="preserve">235838  </t>
        </is>
      </c>
      <c r="Q2200" s="26" t="n">
        <v>20.47</v>
      </c>
      <c r="R2200" s="26">
        <f>Q2200*G2200</f>
        <v/>
      </c>
      <c r="S2200" s="26">
        <f>IFERROR(VLOOKUP(E2200*1,Tabla[#All],8,0),0)</f>
        <v/>
      </c>
      <c r="T2200" s="26">
        <f>S2200*G2200</f>
        <v/>
      </c>
      <c r="U2200" s="26">
        <f>R2200-T2200</f>
        <v/>
      </c>
      <c r="V2200" s="26">
        <f>U2200-L2200</f>
        <v/>
      </c>
    </row>
    <row r="2201">
      <c r="A2201" s="11" t="n">
        <v>46226</v>
      </c>
      <c r="B2201" s="1" t="n">
        <v>20021</v>
      </c>
      <c r="C2201" s="1" t="inlineStr">
        <is>
          <t>080</t>
        </is>
      </c>
      <c r="D2201" s="1" t="inlineStr">
        <is>
          <t>310124</t>
        </is>
      </c>
      <c r="E2201" s="1" t="inlineStr">
        <is>
          <t xml:space="preserve">28194770       </t>
        </is>
      </c>
      <c r="F2201" s="5" t="inlineStr">
        <is>
          <t>AUTOS DE METAL 3 TEAMSTERZ EN BLISTER</t>
        </is>
      </c>
      <c r="G2201" t="n">
        <v>1</v>
      </c>
      <c r="H2201" s="7" t="n">
        <v>6.9</v>
      </c>
      <c r="I2201" s="7" t="n">
        <v>0</v>
      </c>
      <c r="J2201" s="7" t="n">
        <v>0</v>
      </c>
      <c r="K2201" s="9" t="n">
        <v>0</v>
      </c>
      <c r="L2201" s="10" t="n">
        <v>4.1</v>
      </c>
      <c r="M2201" s="10" t="n">
        <v>1.43</v>
      </c>
      <c r="N2201" t="inlineStr">
        <is>
          <t>1</t>
        </is>
      </c>
      <c r="O2201" t="inlineStr">
        <is>
          <t>16</t>
        </is>
      </c>
      <c r="P2201" t="inlineStr">
        <is>
          <t xml:space="preserve">250202  </t>
        </is>
      </c>
      <c r="Q2201" s="26" t="n">
        <v>4.09</v>
      </c>
      <c r="R2201" s="26">
        <f>Q2201*G2201</f>
        <v/>
      </c>
      <c r="S2201" s="26">
        <f>IFERROR(VLOOKUP(E2201*1,Tabla[#All],8,0),0)</f>
        <v/>
      </c>
      <c r="T2201" s="26">
        <f>S2201*G2201</f>
        <v/>
      </c>
      <c r="U2201" s="26">
        <f>R2201-T2201</f>
        <v/>
      </c>
      <c r="V2201" s="26">
        <f>U2201-L2201</f>
        <v/>
      </c>
    </row>
    <row r="2202">
      <c r="A2202" s="11" t="n">
        <v>46226</v>
      </c>
      <c r="B2202" s="1" t="n">
        <v>20021</v>
      </c>
      <c r="C2202" s="1" t="inlineStr">
        <is>
          <t>080</t>
        </is>
      </c>
      <c r="D2202" s="1" t="inlineStr">
        <is>
          <t>310129</t>
        </is>
      </c>
      <c r="E2202" s="1" t="inlineStr">
        <is>
          <t xml:space="preserve">34840550       </t>
        </is>
      </c>
      <c r="F2202" s="5" t="inlineStr">
        <is>
          <t>TEAMSTERZ M/MOVERZ TRANSPORTA GORILA</t>
        </is>
      </c>
      <c r="G2202" t="n">
        <v>1</v>
      </c>
      <c r="H2202" s="7" t="n">
        <v>129</v>
      </c>
      <c r="I2202" s="7" t="n">
        <v>0</v>
      </c>
      <c r="J2202" s="7" t="n">
        <v>0</v>
      </c>
      <c r="K2202" s="9" t="n">
        <v>0</v>
      </c>
      <c r="L2202" s="10" t="n">
        <v>76.52</v>
      </c>
      <c r="M2202" s="10" t="n">
        <v>1.43</v>
      </c>
      <c r="N2202" t="inlineStr">
        <is>
          <t>1</t>
        </is>
      </c>
      <c r="O2202" t="inlineStr">
        <is>
          <t>16</t>
        </is>
      </c>
      <c r="P2202" t="inlineStr">
        <is>
          <t xml:space="preserve">250202  </t>
        </is>
      </c>
      <c r="Q2202" s="26" t="n">
        <v>76.53</v>
      </c>
      <c r="R2202" s="26">
        <f>Q2202*G2202</f>
        <v/>
      </c>
      <c r="S2202" s="26">
        <f>IFERROR(VLOOKUP(E2202*1,Tabla[#All],8,0),0)</f>
        <v/>
      </c>
      <c r="T2202" s="26">
        <f>S2202*G2202</f>
        <v/>
      </c>
      <c r="U2202" s="26">
        <f>R2202-T2202</f>
        <v/>
      </c>
      <c r="V2202" s="26">
        <f>U2202-L2202</f>
        <v/>
      </c>
    </row>
    <row r="2203">
      <c r="A2203" s="11" t="n">
        <v>46226</v>
      </c>
      <c r="B2203" s="1" t="n">
        <v>20023</v>
      </c>
      <c r="C2203" s="1" t="inlineStr">
        <is>
          <t>015</t>
        </is>
      </c>
      <c r="D2203" s="1" t="inlineStr">
        <is>
          <t>240117</t>
        </is>
      </c>
      <c r="E2203" s="1" t="inlineStr">
        <is>
          <t xml:space="preserve">30232284       </t>
        </is>
      </c>
      <c r="F2203" s="5" t="inlineStr">
        <is>
          <t>INFINITY NADO TROMPO DE BATALLA - METAL C/PUNTA DE</t>
        </is>
      </c>
      <c r="G2203" t="n">
        <v>1</v>
      </c>
      <c r="H2203" s="7" t="n">
        <v>34.9</v>
      </c>
      <c r="I2203" s="7" t="n">
        <v>0</v>
      </c>
      <c r="J2203" s="7" t="n">
        <v>0</v>
      </c>
      <c r="K2203" s="9" t="n">
        <v>0</v>
      </c>
      <c r="L2203" s="10" t="n">
        <v>20.71</v>
      </c>
      <c r="M2203" s="10" t="n">
        <v>1.43</v>
      </c>
      <c r="N2203" t="inlineStr">
        <is>
          <t>1</t>
        </is>
      </c>
      <c r="O2203" t="inlineStr">
        <is>
          <t xml:space="preserve">2 </t>
        </is>
      </c>
      <c r="P2203" t="inlineStr">
        <is>
          <t xml:space="preserve">32926   </t>
        </is>
      </c>
      <c r="Q2203" s="26" t="n">
        <v>29.6</v>
      </c>
      <c r="R2203" s="26">
        <f>Q2203*G2203</f>
        <v/>
      </c>
      <c r="S2203" s="26">
        <f>IFERROR(VLOOKUP(E2203*1,Tabla[#All],8,0),0)</f>
        <v/>
      </c>
      <c r="T2203" s="26">
        <f>S2203*G2203</f>
        <v/>
      </c>
      <c r="U2203" s="26">
        <f>R2203-T2203</f>
        <v/>
      </c>
      <c r="V2203" s="26">
        <f>U2203-L2203</f>
        <v/>
      </c>
    </row>
    <row r="2204">
      <c r="A2204" s="11" t="n">
        <v>46226</v>
      </c>
      <c r="B2204" s="1" t="n">
        <v>20023</v>
      </c>
      <c r="C2204" s="1" t="inlineStr">
        <is>
          <t>015</t>
        </is>
      </c>
      <c r="D2204" s="1" t="inlineStr">
        <is>
          <t>240117</t>
        </is>
      </c>
      <c r="E2204" s="1" t="inlineStr">
        <is>
          <t xml:space="preserve">30232284       </t>
        </is>
      </c>
      <c r="F2204" s="5" t="inlineStr">
        <is>
          <t>INFINITY NADO TROMPO DE BATALLA - METAL C/PUNTA DE</t>
        </is>
      </c>
      <c r="G2204" t="n">
        <v>1</v>
      </c>
      <c r="H2204" s="7" t="n">
        <v>34.9</v>
      </c>
      <c r="I2204" s="7" t="n">
        <v>0</v>
      </c>
      <c r="J2204" s="7" t="n">
        <v>0</v>
      </c>
      <c r="K2204" s="9" t="n">
        <v>0</v>
      </c>
      <c r="L2204" s="10" t="n">
        <v>20.71</v>
      </c>
      <c r="M2204" s="10" t="n">
        <v>1.43</v>
      </c>
      <c r="N2204" t="inlineStr">
        <is>
          <t>1</t>
        </is>
      </c>
      <c r="O2204" t="inlineStr">
        <is>
          <t xml:space="preserve">2 </t>
        </is>
      </c>
      <c r="P2204" t="inlineStr">
        <is>
          <t xml:space="preserve">32926   </t>
        </is>
      </c>
      <c r="Q2204" s="26" t="n">
        <v>29.6</v>
      </c>
      <c r="R2204" s="26">
        <f>Q2204*G2204</f>
        <v/>
      </c>
      <c r="S2204" s="26">
        <f>IFERROR(VLOOKUP(E2204*1,Tabla[#All],8,0),0)</f>
        <v/>
      </c>
      <c r="T2204" s="26">
        <f>S2204*G2204</f>
        <v/>
      </c>
      <c r="U2204" s="26">
        <f>R2204-T2204</f>
        <v/>
      </c>
      <c r="V2204" s="26">
        <f>U2204-L2204</f>
        <v/>
      </c>
    </row>
    <row r="2205">
      <c r="A2205" s="11" t="n">
        <v>46226</v>
      </c>
      <c r="B2205" s="1" t="n">
        <v>20023</v>
      </c>
      <c r="C2205" s="1" t="inlineStr">
        <is>
          <t>105</t>
        </is>
      </c>
      <c r="D2205" s="1" t="inlineStr">
        <is>
          <t xml:space="preserve">91503 </t>
        </is>
      </c>
      <c r="E2205" s="1" t="inlineStr">
        <is>
          <t xml:space="preserve">34840556       </t>
        </is>
      </c>
      <c r="F2205" s="5" t="inlineStr">
        <is>
          <t>TMZ BEAST MACH. TRANSPORT DINO +ACCS</t>
        </is>
      </c>
      <c r="G2205" t="n">
        <v>1</v>
      </c>
      <c r="H2205" s="7" t="n">
        <v>59.9</v>
      </c>
      <c r="I2205" s="7" t="n">
        <v>0</v>
      </c>
      <c r="J2205" s="7" t="n">
        <v>0</v>
      </c>
      <c r="K2205" s="9" t="n">
        <v>0</v>
      </c>
      <c r="L2205" s="10" t="n">
        <v>35.53</v>
      </c>
      <c r="M2205" s="10" t="n">
        <v>1.43</v>
      </c>
      <c r="N2205" t="inlineStr">
        <is>
          <t>1</t>
        </is>
      </c>
      <c r="O2205" t="inlineStr">
        <is>
          <t>16</t>
        </is>
      </c>
      <c r="P2205" t="inlineStr">
        <is>
          <t xml:space="preserve">23478   </t>
        </is>
      </c>
      <c r="Q2205" s="26" t="n">
        <v>47.4</v>
      </c>
      <c r="R2205" s="26">
        <f>Q2205*G2205</f>
        <v/>
      </c>
      <c r="S2205" s="26">
        <f>IFERROR(VLOOKUP(E2205*1,Tabla[#All],8,0),0)</f>
        <v/>
      </c>
      <c r="T2205" s="26">
        <f>S2205*G2205</f>
        <v/>
      </c>
      <c r="U2205" s="26">
        <f>R2205-T2205</f>
        <v/>
      </c>
      <c r="V2205" s="26">
        <f>U2205-L2205</f>
        <v/>
      </c>
    </row>
    <row r="2206">
      <c r="A2206" s="11" t="n">
        <v>46226</v>
      </c>
      <c r="B2206" s="1" t="n">
        <v>20023</v>
      </c>
      <c r="C2206" s="1" t="inlineStr">
        <is>
          <t>105</t>
        </is>
      </c>
      <c r="D2206" s="1" t="inlineStr">
        <is>
          <t xml:space="preserve">91542 </t>
        </is>
      </c>
      <c r="E2206" s="1" t="inlineStr">
        <is>
          <t xml:space="preserve">29235702       </t>
        </is>
      </c>
      <c r="F2206" s="5" t="inlineStr">
        <is>
          <t>INFINITY NADO TROMPO DE BATALLA - METAL C/ ANILLO</t>
        </is>
      </c>
      <c r="G2206" t="n">
        <v>1</v>
      </c>
      <c r="H2206" s="7" t="n">
        <v>49.9</v>
      </c>
      <c r="I2206" s="7" t="n">
        <v>0</v>
      </c>
      <c r="J2206" s="7" t="n">
        <v>0</v>
      </c>
      <c r="K2206" s="9" t="n">
        <v>0</v>
      </c>
      <c r="L2206" s="10" t="n">
        <v>29.6</v>
      </c>
      <c r="M2206" s="10" t="n">
        <v>1.43</v>
      </c>
      <c r="N2206" t="inlineStr">
        <is>
          <t>1</t>
        </is>
      </c>
      <c r="O2206" t="inlineStr">
        <is>
          <t>16</t>
        </is>
      </c>
      <c r="P2206" t="inlineStr">
        <is>
          <t xml:space="preserve">23478   </t>
        </is>
      </c>
      <c r="Q2206" s="26" t="n">
        <v>41.47</v>
      </c>
      <c r="R2206" s="26">
        <f>Q2206*G2206</f>
        <v/>
      </c>
      <c r="S2206" s="26">
        <f>IFERROR(VLOOKUP(E2206*1,Tabla[#All],8,0),0)</f>
        <v/>
      </c>
      <c r="T2206" s="26">
        <f>S2206*G2206</f>
        <v/>
      </c>
      <c r="U2206" s="26">
        <f>R2206-T2206</f>
        <v/>
      </c>
      <c r="V2206" s="26">
        <f>U2206-L2206</f>
        <v/>
      </c>
    </row>
    <row r="2207">
      <c r="A2207" s="11" t="n">
        <v>46226</v>
      </c>
      <c r="B2207" s="1" t="n">
        <v>20023</v>
      </c>
      <c r="C2207" s="1" t="inlineStr">
        <is>
          <t>191</t>
        </is>
      </c>
      <c r="D2207" s="1" t="inlineStr">
        <is>
          <t xml:space="preserve">8092  </t>
        </is>
      </c>
      <c r="E2207" s="1" t="inlineStr">
        <is>
          <t xml:space="preserve">31046049       </t>
        </is>
      </c>
      <c r="F2207" s="5" t="inlineStr">
        <is>
          <t>RELOJ DIGITAL HOT WHEELS</t>
        </is>
      </c>
      <c r="G2207" t="n">
        <v>1</v>
      </c>
      <c r="H2207" s="7" t="n">
        <v>18.9</v>
      </c>
      <c r="I2207" s="7" t="n">
        <v>0</v>
      </c>
      <c r="J2207" s="7" t="n">
        <v>0</v>
      </c>
      <c r="K2207" s="9" t="n">
        <v>0</v>
      </c>
      <c r="L2207" s="10" t="n">
        <v>11.21</v>
      </c>
      <c r="M2207" s="10" t="n">
        <v>1.43</v>
      </c>
      <c r="N2207" t="inlineStr">
        <is>
          <t>1</t>
        </is>
      </c>
      <c r="O2207" t="inlineStr">
        <is>
          <t>16</t>
        </is>
      </c>
      <c r="P2207" t="inlineStr">
        <is>
          <t xml:space="preserve">23508   </t>
        </is>
      </c>
      <c r="Q2207" s="26" t="n">
        <v>11.21</v>
      </c>
      <c r="R2207" s="26">
        <f>Q2207*G2207</f>
        <v/>
      </c>
      <c r="S2207" s="26">
        <f>IFERROR(VLOOKUP(E2207*1,Tabla[#All],8,0),0)</f>
        <v/>
      </c>
      <c r="T2207" s="26">
        <f>S2207*G2207</f>
        <v/>
      </c>
      <c r="U2207" s="26">
        <f>R2207-T2207</f>
        <v/>
      </c>
      <c r="V2207" s="26">
        <f>U2207-L2207</f>
        <v/>
      </c>
    </row>
    <row r="2208">
      <c r="A2208" s="11" t="n">
        <v>46226</v>
      </c>
      <c r="B2208" s="1" t="n">
        <v>20024</v>
      </c>
      <c r="C2208" s="1" t="inlineStr">
        <is>
          <t>015</t>
        </is>
      </c>
      <c r="D2208" s="1" t="inlineStr">
        <is>
          <t xml:space="preserve">19186 </t>
        </is>
      </c>
      <c r="E2208" s="1" t="inlineStr">
        <is>
          <t xml:space="preserve">28194767       </t>
        </is>
      </c>
      <c r="F2208" s="5" t="inlineStr">
        <is>
          <t>CAMIONES TEAMSTERZ DE EMERGENCIA</t>
        </is>
      </c>
      <c r="G2208" t="n">
        <v>1</v>
      </c>
      <c r="H2208" s="7" t="n">
        <v>17.9</v>
      </c>
      <c r="I2208" s="7" t="n">
        <v>0</v>
      </c>
      <c r="J2208" s="7" t="n">
        <v>0</v>
      </c>
      <c r="K2208" s="9" t="n">
        <v>0</v>
      </c>
      <c r="L2208" s="10" t="n">
        <v>10.62</v>
      </c>
      <c r="M2208" s="10" t="n">
        <v>1.43</v>
      </c>
      <c r="N2208" t="inlineStr">
        <is>
          <t>1</t>
        </is>
      </c>
      <c r="O2208" t="inlineStr">
        <is>
          <t>16</t>
        </is>
      </c>
      <c r="P2208" t="inlineStr">
        <is>
          <t xml:space="preserve">28289   </t>
        </is>
      </c>
      <c r="Q2208" s="26" t="n">
        <v>10.62</v>
      </c>
      <c r="R2208" s="26">
        <f>Q2208*G2208</f>
        <v/>
      </c>
      <c r="S2208" s="26">
        <f>IFERROR(VLOOKUP(E2208*1,Tabla[#All],8,0),0)</f>
        <v/>
      </c>
      <c r="T2208" s="26">
        <f>S2208*G2208</f>
        <v/>
      </c>
      <c r="U2208" s="26">
        <f>R2208-T2208</f>
        <v/>
      </c>
      <c r="V2208" s="26">
        <f>U2208-L2208</f>
        <v/>
      </c>
    </row>
    <row r="2209">
      <c r="A2209" s="11" t="n">
        <v>46226</v>
      </c>
      <c r="B2209" s="1" t="n">
        <v>20024</v>
      </c>
      <c r="C2209" s="1" t="inlineStr">
        <is>
          <t>118</t>
        </is>
      </c>
      <c r="D2209" s="1" t="inlineStr">
        <is>
          <t>256132</t>
        </is>
      </c>
      <c r="E2209" s="1" t="inlineStr">
        <is>
          <t xml:space="preserve">28194781       </t>
        </is>
      </c>
      <c r="F2209" s="5" t="inlineStr">
        <is>
          <t>TROMPO BATALLA INFINITY NADO SERIE V CLASICA SURTI</t>
        </is>
      </c>
      <c r="G2209" t="n">
        <v>1</v>
      </c>
      <c r="H2209" s="7" t="n">
        <v>39.9</v>
      </c>
      <c r="I2209" s="7" t="n">
        <v>0</v>
      </c>
      <c r="J2209" s="7" t="n">
        <v>0</v>
      </c>
      <c r="K2209" s="9" t="n">
        <v>0</v>
      </c>
      <c r="L2209" s="10" t="n">
        <v>23.67</v>
      </c>
      <c r="M2209" s="10" t="n">
        <v>1.43</v>
      </c>
      <c r="N2209" t="inlineStr">
        <is>
          <t>1</t>
        </is>
      </c>
      <c r="O2209" t="inlineStr">
        <is>
          <t>16</t>
        </is>
      </c>
      <c r="P2209" t="inlineStr">
        <is>
          <t xml:space="preserve">23463   </t>
        </is>
      </c>
      <c r="Q2209" s="26" t="n">
        <v>35.53</v>
      </c>
      <c r="R2209" s="26">
        <f>Q2209*G2209</f>
        <v/>
      </c>
      <c r="S2209" s="26">
        <f>IFERROR(VLOOKUP(E2209*1,Tabla[#All],8,0),0)</f>
        <v/>
      </c>
      <c r="T2209" s="26">
        <f>S2209*G2209</f>
        <v/>
      </c>
      <c r="U2209" s="26">
        <f>R2209-T2209</f>
        <v/>
      </c>
      <c r="V2209" s="26">
        <f>U2209-L2209</f>
        <v/>
      </c>
    </row>
    <row r="2210">
      <c r="A2210" s="11" t="n">
        <v>46226</v>
      </c>
      <c r="B2210" s="1" t="n">
        <v>20024</v>
      </c>
      <c r="C2210" s="1" t="inlineStr">
        <is>
          <t>118</t>
        </is>
      </c>
      <c r="D2210" s="1" t="inlineStr">
        <is>
          <t>256211</t>
        </is>
      </c>
      <c r="E2210" s="1" t="inlineStr">
        <is>
          <t xml:space="preserve">31754676       </t>
        </is>
      </c>
      <c r="F2210" s="5" t="inlineStr">
        <is>
          <t>INFINITY NADO SERIE 6 STD PACK LANZ ESPAD ANILLO M</t>
        </is>
      </c>
      <c r="G2210" t="n">
        <v>1</v>
      </c>
      <c r="H2210" s="7" t="n">
        <v>59.9</v>
      </c>
      <c r="I2210" s="7" t="n">
        <v>0</v>
      </c>
      <c r="J2210" s="7" t="n">
        <v>0</v>
      </c>
      <c r="K2210" s="9" t="n">
        <v>0</v>
      </c>
      <c r="L2210" s="10" t="n">
        <v>35.53</v>
      </c>
      <c r="M2210" s="10" t="n">
        <v>1.43</v>
      </c>
      <c r="N2210" t="inlineStr">
        <is>
          <t>1</t>
        </is>
      </c>
      <c r="O2210" t="inlineStr">
        <is>
          <t>16</t>
        </is>
      </c>
      <c r="P2210" t="inlineStr">
        <is>
          <t xml:space="preserve">23463   </t>
        </is>
      </c>
      <c r="Q2210" s="26" t="n">
        <v>47.4</v>
      </c>
      <c r="R2210" s="26">
        <f>Q2210*G2210</f>
        <v/>
      </c>
      <c r="S2210" s="26">
        <f>IFERROR(VLOOKUP(E2210*1,Tabla[#All],8,0),0)</f>
        <v/>
      </c>
      <c r="T2210" s="26">
        <f>S2210*G2210</f>
        <v/>
      </c>
      <c r="U2210" s="26">
        <f>R2210-T2210</f>
        <v/>
      </c>
      <c r="V2210" s="26">
        <f>U2210-L2210</f>
        <v/>
      </c>
    </row>
    <row r="2211">
      <c r="A2211" s="11" t="n">
        <v>46226</v>
      </c>
      <c r="B2211" s="1" t="n">
        <v>20024</v>
      </c>
      <c r="C2211" s="1" t="inlineStr">
        <is>
          <t>800</t>
        </is>
      </c>
      <c r="D2211" s="1" t="inlineStr">
        <is>
          <t xml:space="preserve">6005  </t>
        </is>
      </c>
      <c r="E2211" s="1" t="inlineStr">
        <is>
          <t xml:space="preserve">28194782       </t>
        </is>
      </c>
      <c r="F2211" s="5" t="inlineStr">
        <is>
          <t>TROMPO BATALLA INFINITY NADO SERIE V ORIGINAL SURT</t>
        </is>
      </c>
      <c r="G2211" t="n">
        <v>1</v>
      </c>
      <c r="H2211" s="7" t="n">
        <v>49.9</v>
      </c>
      <c r="I2211" s="7" t="n">
        <v>0</v>
      </c>
      <c r="J2211" s="7" t="n">
        <v>0</v>
      </c>
      <c r="K2211" s="9" t="n">
        <v>0</v>
      </c>
      <c r="L2211" s="10" t="n">
        <v>29.6</v>
      </c>
      <c r="M2211" s="10" t="n">
        <v>1.43</v>
      </c>
      <c r="N2211" t="inlineStr">
        <is>
          <t>1</t>
        </is>
      </c>
      <c r="O2211" t="inlineStr">
        <is>
          <t>16</t>
        </is>
      </c>
      <c r="P2211" t="inlineStr">
        <is>
          <t xml:space="preserve">0       </t>
        </is>
      </c>
      <c r="Q2211" s="26" t="n">
        <v>41.47</v>
      </c>
      <c r="R2211" s="26">
        <f>Q2211*G2211</f>
        <v/>
      </c>
      <c r="S2211" s="26">
        <f>IFERROR(VLOOKUP(E2211*1,Tabla[#All],8,0),0)</f>
        <v/>
      </c>
      <c r="T2211" s="26">
        <f>S2211*G2211</f>
        <v/>
      </c>
      <c r="U2211" s="26">
        <f>R2211-T2211</f>
        <v/>
      </c>
      <c r="V2211" s="26">
        <f>U2211-L2211</f>
        <v/>
      </c>
    </row>
    <row r="2212">
      <c r="A2212" s="11" t="n">
        <v>46226</v>
      </c>
      <c r="B2212" s="1" t="n">
        <v>20025</v>
      </c>
      <c r="C2212" s="1" t="inlineStr">
        <is>
          <t>017</t>
        </is>
      </c>
      <c r="D2212" s="1" t="inlineStr">
        <is>
          <t>265826</t>
        </is>
      </c>
      <c r="E2212" s="1" t="inlineStr">
        <is>
          <t xml:space="preserve">29235712       </t>
        </is>
      </c>
      <c r="F2212" s="5" t="inlineStr">
        <is>
          <t>TEAMSTERZ DISPARADOR DINOSAURIO INCL. 1 AUTO</t>
        </is>
      </c>
      <c r="G2212" t="n">
        <v>1</v>
      </c>
      <c r="H2212" s="7" t="n">
        <v>12.9</v>
      </c>
      <c r="I2212" s="7" t="n">
        <v>0</v>
      </c>
      <c r="J2212" s="7" t="n">
        <v>0</v>
      </c>
      <c r="K2212" s="9" t="n">
        <v>0</v>
      </c>
      <c r="L2212" s="10" t="n">
        <v>7.65</v>
      </c>
      <c r="M2212" s="10" t="n">
        <v>1.43</v>
      </c>
      <c r="N2212" t="inlineStr">
        <is>
          <t>1</t>
        </is>
      </c>
      <c r="O2212" t="inlineStr">
        <is>
          <t>16</t>
        </is>
      </c>
      <c r="P2212" t="inlineStr">
        <is>
          <t xml:space="preserve">35124   </t>
        </is>
      </c>
      <c r="Q2212" s="26" t="n">
        <v>17.74</v>
      </c>
      <c r="R2212" s="26">
        <f>Q2212*G2212</f>
        <v/>
      </c>
      <c r="S2212" s="26">
        <f>IFERROR(VLOOKUP(E2212*1,Tabla[#All],8,0),0)</f>
        <v/>
      </c>
      <c r="T2212" s="26">
        <f>S2212*G2212</f>
        <v/>
      </c>
      <c r="U2212" s="26">
        <f>R2212-T2212</f>
        <v/>
      </c>
      <c r="V2212" s="26">
        <f>U2212-L2212</f>
        <v/>
      </c>
    </row>
    <row r="2213">
      <c r="A2213" s="11" t="n">
        <v>46226</v>
      </c>
      <c r="B2213" s="1" t="n">
        <v>20025</v>
      </c>
      <c r="C2213" s="1" t="inlineStr">
        <is>
          <t>043</t>
        </is>
      </c>
      <c r="D2213" s="1" t="inlineStr">
        <is>
          <t xml:space="preserve">3043  </t>
        </is>
      </c>
      <c r="E2213" s="1" t="inlineStr">
        <is>
          <t xml:space="preserve">35685067       </t>
        </is>
      </c>
      <c r="F2213" s="5" t="inlineStr">
        <is>
          <t>HOT WHEELS POWER SET 3 EN 1</t>
        </is>
      </c>
      <c r="G2213" t="n">
        <v>1</v>
      </c>
      <c r="H2213" s="7" t="n">
        <v>49.9</v>
      </c>
      <c r="I2213" s="7" t="n">
        <v>0</v>
      </c>
      <c r="J2213" s="7" t="n">
        <v>0</v>
      </c>
      <c r="K2213" s="9" t="n">
        <v>0</v>
      </c>
      <c r="L2213" s="10" t="n">
        <v>29.6</v>
      </c>
      <c r="M2213" s="10" t="n">
        <v>1.43</v>
      </c>
      <c r="N2213" t="inlineStr">
        <is>
          <t>1</t>
        </is>
      </c>
      <c r="O2213" t="inlineStr">
        <is>
          <t>16</t>
        </is>
      </c>
      <c r="P2213" t="inlineStr">
        <is>
          <t xml:space="preserve">57293   </t>
        </is>
      </c>
      <c r="Q2213" s="26" t="n">
        <v>29.6</v>
      </c>
      <c r="R2213" s="26">
        <f>Q2213*G2213</f>
        <v/>
      </c>
      <c r="S2213" s="26">
        <f>IFERROR(VLOOKUP(E2213*1,Tabla[#All],8,0),0)</f>
        <v/>
      </c>
      <c r="T2213" s="26">
        <f>S2213*G2213</f>
        <v/>
      </c>
      <c r="U2213" s="26">
        <f>R2213-T2213</f>
        <v/>
      </c>
      <c r="V2213" s="26">
        <f>U2213-L2213</f>
        <v/>
      </c>
    </row>
    <row r="2214">
      <c r="A2214" s="11" t="n">
        <v>46226</v>
      </c>
      <c r="B2214" s="1" t="n">
        <v>20025</v>
      </c>
      <c r="C2214" s="1" t="inlineStr">
        <is>
          <t>074</t>
        </is>
      </c>
      <c r="D2214" s="1" t="inlineStr">
        <is>
          <t xml:space="preserve">83483 </t>
        </is>
      </c>
      <c r="E2214" s="1" t="inlineStr">
        <is>
          <t xml:space="preserve">29235710       </t>
        </is>
      </c>
      <c r="F2214" s="5" t="inlineStr">
        <is>
          <t>TEAMSTERZ PLAYSET GRANDES CONSTRUCCIONES</t>
        </is>
      </c>
      <c r="G2214" t="n">
        <v>1</v>
      </c>
      <c r="H2214" s="7" t="n">
        <v>19.9</v>
      </c>
      <c r="I2214" s="7" t="n">
        <v>0</v>
      </c>
      <c r="J2214" s="7" t="n">
        <v>0</v>
      </c>
      <c r="K2214" s="9" t="n">
        <v>0</v>
      </c>
      <c r="L2214" s="10" t="n">
        <v>11.8</v>
      </c>
      <c r="M2214" s="10" t="n">
        <v>1.43</v>
      </c>
      <c r="N2214" t="inlineStr">
        <is>
          <t>1</t>
        </is>
      </c>
      <c r="O2214" t="inlineStr">
        <is>
          <t>16</t>
        </is>
      </c>
      <c r="P2214" t="inlineStr">
        <is>
          <t xml:space="preserve">251702  </t>
        </is>
      </c>
      <c r="Q2214" s="26" t="n">
        <v>11.81</v>
      </c>
      <c r="R2214" s="26">
        <f>Q2214*G2214</f>
        <v/>
      </c>
      <c r="S2214" s="26">
        <f>IFERROR(VLOOKUP(E2214*1,Tabla[#All],8,0),0)</f>
        <v/>
      </c>
      <c r="T2214" s="26">
        <f>S2214*G2214</f>
        <v/>
      </c>
      <c r="U2214" s="26">
        <f>R2214-T2214</f>
        <v/>
      </c>
      <c r="V2214" s="26">
        <f>U2214-L2214</f>
        <v/>
      </c>
    </row>
    <row r="2215">
      <c r="A2215" s="11" t="n">
        <v>46226</v>
      </c>
      <c r="B2215" s="1" t="n">
        <v>20025</v>
      </c>
      <c r="C2215" s="1" t="inlineStr">
        <is>
          <t>076</t>
        </is>
      </c>
      <c r="D2215" s="1" t="inlineStr">
        <is>
          <t>148192</t>
        </is>
      </c>
      <c r="E2215" s="1" t="inlineStr">
        <is>
          <t xml:space="preserve">32457099       </t>
        </is>
      </c>
      <c r="F2215" s="5" t="inlineStr">
        <is>
          <t>TMZ BEAST MACHINES MONSTER JAWS A FRICCION BLISTER</t>
        </is>
      </c>
      <c r="G2215" t="n">
        <v>1</v>
      </c>
      <c r="H2215" s="7" t="n">
        <v>17.9</v>
      </c>
      <c r="I2215" s="7" t="n">
        <v>0</v>
      </c>
      <c r="J2215" s="7" t="n">
        <v>0</v>
      </c>
      <c r="K2215" s="9" t="n">
        <v>0</v>
      </c>
      <c r="L2215" s="10" t="n">
        <v>10.62</v>
      </c>
      <c r="M2215" s="10" t="n">
        <v>1.43</v>
      </c>
      <c r="N2215" t="inlineStr">
        <is>
          <t>1</t>
        </is>
      </c>
      <c r="O2215" t="inlineStr">
        <is>
          <t>16</t>
        </is>
      </c>
      <c r="P2215" t="inlineStr">
        <is>
          <t xml:space="preserve">250254  </t>
        </is>
      </c>
      <c r="Q2215" s="26" t="n">
        <v>11.81</v>
      </c>
      <c r="R2215" s="26">
        <f>Q2215*G2215</f>
        <v/>
      </c>
      <c r="S2215" s="26">
        <f>IFERROR(VLOOKUP(E2215*1,Tabla[#All],8,0),0)</f>
        <v/>
      </c>
      <c r="T2215" s="26">
        <f>S2215*G2215</f>
        <v/>
      </c>
      <c r="U2215" s="26">
        <f>R2215-T2215</f>
        <v/>
      </c>
      <c r="V2215" s="26">
        <f>U2215-L2215</f>
        <v/>
      </c>
    </row>
    <row r="2216">
      <c r="A2216" s="11" t="n">
        <v>46226</v>
      </c>
      <c r="B2216" s="1" t="n">
        <v>20027</v>
      </c>
      <c r="C2216" s="1" t="inlineStr">
        <is>
          <t>191</t>
        </is>
      </c>
      <c r="D2216" s="1" t="inlineStr">
        <is>
          <t>103718</t>
        </is>
      </c>
      <c r="E2216" s="1" t="inlineStr">
        <is>
          <t xml:space="preserve">28194769       </t>
        </is>
      </c>
      <c r="F2216" s="5" t="inlineStr">
        <is>
          <t>AUTOS DE METAL 3 TEAMSTERZ PACK DE 2</t>
        </is>
      </c>
      <c r="G2216" t="n">
        <v>1</v>
      </c>
      <c r="H2216" s="7" t="n">
        <v>13.8</v>
      </c>
      <c r="I2216" s="7" t="n">
        <v>0</v>
      </c>
      <c r="J2216" s="7" t="n">
        <v>0</v>
      </c>
      <c r="K2216" s="9" t="n">
        <v>0</v>
      </c>
      <c r="L2216" s="10" t="n">
        <v>8.18</v>
      </c>
      <c r="M2216" s="10" t="n">
        <v>1.43</v>
      </c>
      <c r="N2216" t="inlineStr">
        <is>
          <t>1</t>
        </is>
      </c>
      <c r="O2216" t="inlineStr">
        <is>
          <t>16</t>
        </is>
      </c>
      <c r="P2216" t="inlineStr">
        <is>
          <t xml:space="preserve">65829   </t>
        </is>
      </c>
      <c r="Q2216" s="26" t="n">
        <v>8.19</v>
      </c>
      <c r="R2216" s="26">
        <f>Q2216*G2216</f>
        <v/>
      </c>
      <c r="S2216" s="26">
        <f>IFERROR(VLOOKUP(E2216*1,Tabla[#All],8,0),0)</f>
        <v/>
      </c>
      <c r="T2216" s="26">
        <f>S2216*G2216</f>
        <v/>
      </c>
      <c r="U2216" s="26">
        <f>R2216-T2216</f>
        <v/>
      </c>
      <c r="V2216" s="26">
        <f>U2216-L2216</f>
        <v/>
      </c>
    </row>
    <row r="2217">
      <c r="A2217" s="11" t="n">
        <v>46226</v>
      </c>
      <c r="B2217" s="1" t="n">
        <v>20028</v>
      </c>
      <c r="C2217" s="1" t="inlineStr">
        <is>
          <t>512</t>
        </is>
      </c>
      <c r="D2217" s="1" t="inlineStr">
        <is>
          <t xml:space="preserve">4103  </t>
        </is>
      </c>
      <c r="E2217" s="1" t="inlineStr">
        <is>
          <t xml:space="preserve">28194770       </t>
        </is>
      </c>
      <c r="F2217" s="5" t="inlineStr">
        <is>
          <t>AUTOS DE METAL 3 TEAMSTERZ EN BLISTER</t>
        </is>
      </c>
      <c r="G2217" t="n">
        <v>1</v>
      </c>
      <c r="H2217" s="7" t="n">
        <v>6.9</v>
      </c>
      <c r="I2217" s="7" t="n">
        <v>0</v>
      </c>
      <c r="J2217" s="7" t="n">
        <v>0</v>
      </c>
      <c r="K2217" s="9" t="n">
        <v>0</v>
      </c>
      <c r="L2217" s="10" t="n">
        <v>4.1</v>
      </c>
      <c r="M2217" s="10" t="n">
        <v>1.43</v>
      </c>
      <c r="N2217" t="inlineStr">
        <is>
          <t>1</t>
        </is>
      </c>
      <c r="O2217" t="inlineStr">
        <is>
          <t>16</t>
        </is>
      </c>
      <c r="P2217" t="inlineStr">
        <is>
          <t xml:space="preserve">108153  </t>
        </is>
      </c>
      <c r="Q2217" s="26" t="n">
        <v>4.09</v>
      </c>
      <c r="R2217" s="26">
        <f>Q2217*G2217</f>
        <v/>
      </c>
      <c r="S2217" s="26">
        <f>IFERROR(VLOOKUP(E2217*1,Tabla[#All],8,0),0)</f>
        <v/>
      </c>
      <c r="T2217" s="26">
        <f>S2217*G2217</f>
        <v/>
      </c>
      <c r="U2217" s="26">
        <f>R2217-T2217</f>
        <v/>
      </c>
      <c r="V2217" s="26">
        <f>U2217-L2217</f>
        <v/>
      </c>
    </row>
    <row r="2218">
      <c r="A2218" s="11" t="n">
        <v>46226</v>
      </c>
      <c r="B2218" s="1" t="n">
        <v>20030</v>
      </c>
      <c r="C2218" s="1" t="inlineStr">
        <is>
          <t>067</t>
        </is>
      </c>
      <c r="D2218" s="1" t="inlineStr">
        <is>
          <t>274851</t>
        </is>
      </c>
      <c r="E2218" s="1" t="inlineStr">
        <is>
          <t xml:space="preserve">28194770       </t>
        </is>
      </c>
      <c r="F2218" s="5" t="inlineStr">
        <is>
          <t>AUTOS DE METAL 3 TEAMSTERZ EN BLISTER</t>
        </is>
      </c>
      <c r="G2218" t="n">
        <v>1</v>
      </c>
      <c r="H2218" s="7" t="n">
        <v>6.9</v>
      </c>
      <c r="I2218" s="7" t="n">
        <v>0.6899999999999999</v>
      </c>
      <c r="J2218" s="7" t="n">
        <v>0</v>
      </c>
      <c r="K2218" s="9" t="n">
        <v>0.6899999999999999</v>
      </c>
      <c r="L2218" s="10" t="n">
        <v>3.68</v>
      </c>
      <c r="M2218" s="10" t="n">
        <v>1.43</v>
      </c>
      <c r="N2218" t="inlineStr">
        <is>
          <t>1</t>
        </is>
      </c>
      <c r="O2218" t="inlineStr">
        <is>
          <t xml:space="preserve">3 </t>
        </is>
      </c>
      <c r="P2218" t="inlineStr">
        <is>
          <t xml:space="preserve">99737   </t>
        </is>
      </c>
      <c r="Q2218" s="26" t="n">
        <v>4.09</v>
      </c>
      <c r="R2218" s="26">
        <f>Q2218*G2218</f>
        <v/>
      </c>
      <c r="S2218" s="26">
        <f>IFERROR(VLOOKUP(E2218*1,Tabla[#All],8,0),0)</f>
        <v/>
      </c>
      <c r="T2218" s="26">
        <f>S2218*G2218</f>
        <v/>
      </c>
      <c r="U2218" s="26">
        <f>R2218-T2218</f>
        <v/>
      </c>
      <c r="V2218" s="26">
        <f>U2218-L2218</f>
        <v/>
      </c>
    </row>
    <row r="2219">
      <c r="A2219" s="11" t="n">
        <v>46226</v>
      </c>
      <c r="B2219" s="1" t="n">
        <v>20030</v>
      </c>
      <c r="C2219" s="1" t="inlineStr">
        <is>
          <t>067</t>
        </is>
      </c>
      <c r="D2219" s="1" t="inlineStr">
        <is>
          <t>274851</t>
        </is>
      </c>
      <c r="E2219" s="1" t="inlineStr">
        <is>
          <t xml:space="preserve">28194770       </t>
        </is>
      </c>
      <c r="F2219" s="5" t="inlineStr">
        <is>
          <t>AUTOS DE METAL 3 TEAMSTERZ EN BLISTER</t>
        </is>
      </c>
      <c r="G2219" t="n">
        <v>1</v>
      </c>
      <c r="H2219" s="7" t="n">
        <v>6.9</v>
      </c>
      <c r="I2219" s="7" t="n">
        <v>0.6899999999999999</v>
      </c>
      <c r="J2219" s="7" t="n">
        <v>0</v>
      </c>
      <c r="K2219" s="9" t="n">
        <v>0.6899999999999999</v>
      </c>
      <c r="L2219" s="10" t="n">
        <v>3.68</v>
      </c>
      <c r="M2219" s="10" t="n">
        <v>1.43</v>
      </c>
      <c r="N2219" t="inlineStr">
        <is>
          <t>1</t>
        </is>
      </c>
      <c r="O2219" t="inlineStr">
        <is>
          <t xml:space="preserve">3 </t>
        </is>
      </c>
      <c r="P2219" t="inlineStr">
        <is>
          <t xml:space="preserve">99737   </t>
        </is>
      </c>
      <c r="Q2219" s="26" t="n">
        <v>4.09</v>
      </c>
      <c r="R2219" s="26">
        <f>Q2219*G2219</f>
        <v/>
      </c>
      <c r="S2219" s="26">
        <f>IFERROR(VLOOKUP(E2219*1,Tabla[#All],8,0),0)</f>
        <v/>
      </c>
      <c r="T2219" s="26">
        <f>S2219*G2219</f>
        <v/>
      </c>
      <c r="U2219" s="26">
        <f>R2219-T2219</f>
        <v/>
      </c>
      <c r="V2219" s="26">
        <f>U2219-L2219</f>
        <v/>
      </c>
    </row>
    <row r="2220">
      <c r="A2220" s="11" t="n">
        <v>46226</v>
      </c>
      <c r="B2220" s="1" t="n">
        <v>20030</v>
      </c>
      <c r="C2220" s="1" t="inlineStr">
        <is>
          <t>067</t>
        </is>
      </c>
      <c r="D2220" s="1" t="inlineStr">
        <is>
          <t>274851</t>
        </is>
      </c>
      <c r="E2220" s="1" t="inlineStr">
        <is>
          <t xml:space="preserve">28194770       </t>
        </is>
      </c>
      <c r="F2220" s="5" t="inlineStr">
        <is>
          <t>AUTOS DE METAL 3 TEAMSTERZ EN BLISTER</t>
        </is>
      </c>
      <c r="G2220" t="n">
        <v>1</v>
      </c>
      <c r="H2220" s="7" t="n">
        <v>6.9</v>
      </c>
      <c r="I2220" s="7" t="n">
        <v>0.6899999999999999</v>
      </c>
      <c r="J2220" s="7" t="n">
        <v>0</v>
      </c>
      <c r="K2220" s="9" t="n">
        <v>0.6899999999999999</v>
      </c>
      <c r="L2220" s="10" t="n">
        <v>3.68</v>
      </c>
      <c r="M2220" s="10" t="n">
        <v>1.43</v>
      </c>
      <c r="N2220" t="inlineStr">
        <is>
          <t>1</t>
        </is>
      </c>
      <c r="O2220" t="inlineStr">
        <is>
          <t xml:space="preserve">3 </t>
        </is>
      </c>
      <c r="P2220" t="inlineStr">
        <is>
          <t xml:space="preserve">99737   </t>
        </is>
      </c>
      <c r="Q2220" s="26" t="n">
        <v>4.09</v>
      </c>
      <c r="R2220" s="26">
        <f>Q2220*G2220</f>
        <v/>
      </c>
      <c r="S2220" s="26">
        <f>IFERROR(VLOOKUP(E2220*1,Tabla[#All],8,0),0)</f>
        <v/>
      </c>
      <c r="T2220" s="26">
        <f>S2220*G2220</f>
        <v/>
      </c>
      <c r="U2220" s="26">
        <f>R2220-T2220</f>
        <v/>
      </c>
      <c r="V2220" s="26">
        <f>U2220-L2220</f>
        <v/>
      </c>
    </row>
    <row r="2221">
      <c r="A2221" s="11" t="n">
        <v>46226</v>
      </c>
      <c r="B2221" s="1" t="n">
        <v>20030</v>
      </c>
      <c r="C2221" s="1" t="inlineStr">
        <is>
          <t>067</t>
        </is>
      </c>
      <c r="D2221" s="1" t="inlineStr">
        <is>
          <t>274851</t>
        </is>
      </c>
      <c r="E2221" s="1" t="inlineStr">
        <is>
          <t xml:space="preserve">28194770       </t>
        </is>
      </c>
      <c r="F2221" s="5" t="inlineStr">
        <is>
          <t>AUTOS DE METAL 3 TEAMSTERZ EN BLISTER</t>
        </is>
      </c>
      <c r="G2221" t="n">
        <v>1</v>
      </c>
      <c r="H2221" s="7" t="n">
        <v>6.9</v>
      </c>
      <c r="I2221" s="7" t="n">
        <v>0.6899999999999999</v>
      </c>
      <c r="J2221" s="7" t="n">
        <v>0</v>
      </c>
      <c r="K2221" s="9" t="n">
        <v>0.6899999999999999</v>
      </c>
      <c r="L2221" s="10" t="n">
        <v>3.68</v>
      </c>
      <c r="M2221" s="10" t="n">
        <v>1.43</v>
      </c>
      <c r="N2221" t="inlineStr">
        <is>
          <t>1</t>
        </is>
      </c>
      <c r="O2221" t="inlineStr">
        <is>
          <t xml:space="preserve">3 </t>
        </is>
      </c>
      <c r="P2221" t="inlineStr">
        <is>
          <t xml:space="preserve">99737   </t>
        </is>
      </c>
      <c r="Q2221" s="26" t="n">
        <v>4.09</v>
      </c>
      <c r="R2221" s="26">
        <f>Q2221*G2221</f>
        <v/>
      </c>
      <c r="S2221" s="26">
        <f>IFERROR(VLOOKUP(E2221*1,Tabla[#All],8,0),0)</f>
        <v/>
      </c>
      <c r="T2221" s="26">
        <f>S2221*G2221</f>
        <v/>
      </c>
      <c r="U2221" s="26">
        <f>R2221-T2221</f>
        <v/>
      </c>
      <c r="V2221" s="26">
        <f>U2221-L2221</f>
        <v/>
      </c>
    </row>
    <row r="2222">
      <c r="A2222" s="11" t="n">
        <v>46226</v>
      </c>
      <c r="B2222" s="1" t="n">
        <v>20030</v>
      </c>
      <c r="C2222" s="1" t="inlineStr">
        <is>
          <t>067</t>
        </is>
      </c>
      <c r="D2222" s="1" t="inlineStr">
        <is>
          <t>274852</t>
        </is>
      </c>
      <c r="E2222" s="1" t="inlineStr">
        <is>
          <t xml:space="preserve">28194770       </t>
        </is>
      </c>
      <c r="F2222" s="5" t="inlineStr">
        <is>
          <t>AUTOS DE METAL 3 TEAMSTERZ EN BLISTER</t>
        </is>
      </c>
      <c r="G2222" t="n">
        <v>1</v>
      </c>
      <c r="H2222" s="7" t="n">
        <v>6.9</v>
      </c>
      <c r="I2222" s="7" t="n">
        <v>0</v>
      </c>
      <c r="J2222" s="7" t="n">
        <v>0</v>
      </c>
      <c r="K2222" s="9" t="n">
        <v>0</v>
      </c>
      <c r="L2222" s="10" t="n">
        <v>4.1</v>
      </c>
      <c r="M2222" s="10" t="n">
        <v>1.43</v>
      </c>
      <c r="N2222" t="inlineStr">
        <is>
          <t>1</t>
        </is>
      </c>
      <c r="O2222" t="inlineStr">
        <is>
          <t>16</t>
        </is>
      </c>
      <c r="P2222" t="inlineStr">
        <is>
          <t xml:space="preserve">99737   </t>
        </is>
      </c>
      <c r="Q2222" s="26" t="n">
        <v>4.09</v>
      </c>
      <c r="R2222" s="26">
        <f>Q2222*G2222</f>
        <v/>
      </c>
      <c r="S2222" s="26">
        <f>IFERROR(VLOOKUP(E2222*1,Tabla[#All],8,0),0)</f>
        <v/>
      </c>
      <c r="T2222" s="26">
        <f>S2222*G2222</f>
        <v/>
      </c>
      <c r="U2222" s="26">
        <f>R2222-T2222</f>
        <v/>
      </c>
      <c r="V2222" s="26">
        <f>U2222-L2222</f>
        <v/>
      </c>
    </row>
    <row r="2223">
      <c r="A2223" s="11" t="n">
        <v>46226</v>
      </c>
      <c r="B2223" s="1" t="n">
        <v>20030</v>
      </c>
      <c r="C2223" s="1" t="inlineStr">
        <is>
          <t>073</t>
        </is>
      </c>
      <c r="D2223" s="1" t="inlineStr">
        <is>
          <t xml:space="preserve">84355 </t>
        </is>
      </c>
      <c r="E2223" s="1" t="inlineStr">
        <is>
          <t xml:space="preserve">30141766       </t>
        </is>
      </c>
      <c r="F2223" s="5" t="inlineStr">
        <is>
          <t>TMZ BEAST MACHINES AUTOS DE METAL BLISTER X 1</t>
        </is>
      </c>
      <c r="G2223" t="n">
        <v>1</v>
      </c>
      <c r="H2223" s="7" t="n">
        <v>7.9</v>
      </c>
      <c r="I2223" s="7" t="n">
        <v>0.79</v>
      </c>
      <c r="J2223" s="7" t="n">
        <v>0</v>
      </c>
      <c r="K2223" s="9" t="n">
        <v>0.79</v>
      </c>
      <c r="L2223" s="10" t="n">
        <v>4.22</v>
      </c>
      <c r="M2223" s="10" t="n">
        <v>1.43</v>
      </c>
      <c r="N2223" t="inlineStr">
        <is>
          <t>1</t>
        </is>
      </c>
      <c r="O2223" t="inlineStr">
        <is>
          <t xml:space="preserve">3 </t>
        </is>
      </c>
      <c r="P2223" t="inlineStr">
        <is>
          <t xml:space="preserve">29263   </t>
        </is>
      </c>
      <c r="Q2223" s="26" t="n">
        <v>4.69</v>
      </c>
      <c r="R2223" s="26">
        <f>Q2223*G2223</f>
        <v/>
      </c>
      <c r="S2223" s="26">
        <f>IFERROR(VLOOKUP(E2223*1,Tabla[#All],8,0),0)</f>
        <v/>
      </c>
      <c r="T2223" s="26">
        <f>S2223*G2223</f>
        <v/>
      </c>
      <c r="U2223" s="26">
        <f>R2223-T2223</f>
        <v/>
      </c>
      <c r="V2223" s="26">
        <f>U2223-L2223</f>
        <v/>
      </c>
    </row>
    <row r="2224">
      <c r="A2224" s="11" t="n">
        <v>46226</v>
      </c>
      <c r="B2224" s="1" t="n">
        <v>20030</v>
      </c>
      <c r="C2224" s="1" t="inlineStr">
        <is>
          <t>077</t>
        </is>
      </c>
      <c r="D2224" s="1" t="inlineStr">
        <is>
          <t>232689</t>
        </is>
      </c>
      <c r="E2224" s="1" t="inlineStr">
        <is>
          <t xml:space="preserve">28194770       </t>
        </is>
      </c>
      <c r="F2224" s="5" t="inlineStr">
        <is>
          <t>AUTOS DE METAL 3 TEAMSTERZ EN BLISTER</t>
        </is>
      </c>
      <c r="G2224" t="n">
        <v>1</v>
      </c>
      <c r="H2224" s="7" t="n">
        <v>6.9</v>
      </c>
      <c r="I2224" s="7" t="n">
        <v>0</v>
      </c>
      <c r="J2224" s="7" t="n">
        <v>0</v>
      </c>
      <c r="K2224" s="9" t="n">
        <v>0</v>
      </c>
      <c r="L2224" s="10" t="n">
        <v>4.1</v>
      </c>
      <c r="M2224" s="10" t="n">
        <v>1.43</v>
      </c>
      <c r="N2224" t="inlineStr">
        <is>
          <t>1</t>
        </is>
      </c>
      <c r="O2224" t="inlineStr">
        <is>
          <t>16</t>
        </is>
      </c>
      <c r="P2224" t="inlineStr">
        <is>
          <t xml:space="preserve">65971   </t>
        </is>
      </c>
      <c r="Q2224" s="26" t="n">
        <v>4.09</v>
      </c>
      <c r="R2224" s="26">
        <f>Q2224*G2224</f>
        <v/>
      </c>
      <c r="S2224" s="26">
        <f>IFERROR(VLOOKUP(E2224*1,Tabla[#All],8,0),0)</f>
        <v/>
      </c>
      <c r="T2224" s="26">
        <f>S2224*G2224</f>
        <v/>
      </c>
      <c r="U2224" s="26">
        <f>R2224-T2224</f>
        <v/>
      </c>
      <c r="V2224" s="26">
        <f>U2224-L2224</f>
        <v/>
      </c>
    </row>
    <row r="2225">
      <c r="A2225" s="11" t="n">
        <v>46226</v>
      </c>
      <c r="B2225" s="1" t="n">
        <v>20040</v>
      </c>
      <c r="C2225" s="1" t="inlineStr">
        <is>
          <t>036</t>
        </is>
      </c>
      <c r="D2225" s="1" t="inlineStr">
        <is>
          <t>192799</t>
        </is>
      </c>
      <c r="E2225" s="1" t="inlineStr">
        <is>
          <t xml:space="preserve">31754675       </t>
        </is>
      </c>
      <c r="F2225" s="5" t="inlineStr">
        <is>
          <t>INFINITY NADO SERIE 6 STARTER PACK - 4 MODELOS</t>
        </is>
      </c>
      <c r="G2225" t="n">
        <v>1</v>
      </c>
      <c r="H2225" s="7" t="n">
        <v>49.9</v>
      </c>
      <c r="I2225" s="7" t="n">
        <v>0</v>
      </c>
      <c r="J2225" s="7" t="n">
        <v>0</v>
      </c>
      <c r="K2225" s="9" t="n">
        <v>0</v>
      </c>
      <c r="L2225" s="10" t="n">
        <v>29.6</v>
      </c>
      <c r="M2225" s="10" t="n">
        <v>1.43</v>
      </c>
      <c r="N2225" t="inlineStr">
        <is>
          <t>1</t>
        </is>
      </c>
      <c r="O2225" t="inlineStr">
        <is>
          <t xml:space="preserve">2 </t>
        </is>
      </c>
      <c r="P2225" t="inlineStr">
        <is>
          <t xml:space="preserve">50087   </t>
        </is>
      </c>
      <c r="Q2225" s="26" t="n">
        <v>41.47</v>
      </c>
      <c r="R2225" s="26">
        <f>Q2225*G2225</f>
        <v/>
      </c>
      <c r="S2225" s="26">
        <f>IFERROR(VLOOKUP(E2225*1,Tabla[#All],8,0),0)</f>
        <v/>
      </c>
      <c r="T2225" s="26">
        <f>S2225*G2225</f>
        <v/>
      </c>
      <c r="U2225" s="26">
        <f>R2225-T2225</f>
        <v/>
      </c>
      <c r="V2225" s="26">
        <f>U2225-L2225</f>
        <v/>
      </c>
    </row>
    <row r="2226">
      <c r="A2226" s="11" t="n">
        <v>46226</v>
      </c>
      <c r="B2226" s="1" t="n">
        <v>20040</v>
      </c>
      <c r="C2226" s="1" t="inlineStr">
        <is>
          <t>072</t>
        </is>
      </c>
      <c r="D2226" s="1" t="inlineStr">
        <is>
          <t>252706</t>
        </is>
      </c>
      <c r="E2226" s="1" t="inlineStr">
        <is>
          <t xml:space="preserve">28194769       </t>
        </is>
      </c>
      <c r="F2226" s="5" t="inlineStr">
        <is>
          <t>AUTOS DE METAL 3 TEAMSTERZ PACK DE 2</t>
        </is>
      </c>
      <c r="G2226" t="n">
        <v>1</v>
      </c>
      <c r="H2226" s="7" t="n">
        <v>13.8</v>
      </c>
      <c r="I2226" s="7" t="n">
        <v>0</v>
      </c>
      <c r="J2226" s="7" t="n">
        <v>0</v>
      </c>
      <c r="K2226" s="9" t="n">
        <v>0</v>
      </c>
      <c r="L2226" s="10" t="n">
        <v>8.18</v>
      </c>
      <c r="M2226" s="10" t="n">
        <v>1.43</v>
      </c>
      <c r="N2226" t="inlineStr">
        <is>
          <t>1</t>
        </is>
      </c>
      <c r="O2226" t="inlineStr">
        <is>
          <t xml:space="preserve">6 </t>
        </is>
      </c>
      <c r="P2226" t="inlineStr">
        <is>
          <t xml:space="preserve">242657  </t>
        </is>
      </c>
      <c r="Q2226" s="26" t="n">
        <v>8.19</v>
      </c>
      <c r="R2226" s="26">
        <f>Q2226*G2226</f>
        <v/>
      </c>
      <c r="S2226" s="26">
        <f>IFERROR(VLOOKUP(E2226*1,Tabla[#All],8,0),0)</f>
        <v/>
      </c>
      <c r="T2226" s="26">
        <f>S2226*G2226</f>
        <v/>
      </c>
      <c r="U2226" s="26">
        <f>R2226-T2226</f>
        <v/>
      </c>
      <c r="V2226" s="26">
        <f>U2226-L2226</f>
        <v/>
      </c>
    </row>
    <row r="2227">
      <c r="A2227" s="11" t="n">
        <v>46226</v>
      </c>
      <c r="B2227" s="1" t="n">
        <v>20040</v>
      </c>
      <c r="C2227" s="1" t="inlineStr">
        <is>
          <t>073</t>
        </is>
      </c>
      <c r="D2227" s="1" t="inlineStr">
        <is>
          <t>255386</t>
        </is>
      </c>
      <c r="E2227" s="1" t="inlineStr">
        <is>
          <t xml:space="preserve">28194781       </t>
        </is>
      </c>
      <c r="F2227" s="5" t="inlineStr">
        <is>
          <t>TROMPO BATALLA INFINITY NADO SERIE V CLASICA SURTI</t>
        </is>
      </c>
      <c r="G2227" t="n">
        <v>1</v>
      </c>
      <c r="H2227" s="7" t="n">
        <v>39.9</v>
      </c>
      <c r="I2227" s="7" t="n">
        <v>3.99</v>
      </c>
      <c r="J2227" s="7" t="n">
        <v>0</v>
      </c>
      <c r="K2227" s="9" t="n">
        <v>3.99</v>
      </c>
      <c r="L2227" s="10" t="n">
        <v>21.3</v>
      </c>
      <c r="M2227" s="10" t="n">
        <v>1.43</v>
      </c>
      <c r="N2227" t="inlineStr">
        <is>
          <t>1</t>
        </is>
      </c>
      <c r="O2227" t="inlineStr">
        <is>
          <t xml:space="preserve">3 </t>
        </is>
      </c>
      <c r="P2227" t="inlineStr">
        <is>
          <t xml:space="preserve">248842  </t>
        </is>
      </c>
      <c r="Q2227" s="26" t="n">
        <v>35.53</v>
      </c>
      <c r="R2227" s="26">
        <f>Q2227*G2227</f>
        <v/>
      </c>
      <c r="S2227" s="26">
        <f>IFERROR(VLOOKUP(E2227*1,Tabla[#All],8,0),0)</f>
        <v/>
      </c>
      <c r="T2227" s="26">
        <f>S2227*G2227</f>
        <v/>
      </c>
      <c r="U2227" s="26">
        <f>R2227-T2227</f>
        <v/>
      </c>
      <c r="V2227" s="26">
        <f>U2227-L2227</f>
        <v/>
      </c>
    </row>
    <row r="2228">
      <c r="A2228" s="11" t="n">
        <v>46226</v>
      </c>
      <c r="B2228" s="1" t="n">
        <v>20040</v>
      </c>
      <c r="C2228" s="1" t="inlineStr">
        <is>
          <t>073</t>
        </is>
      </c>
      <c r="D2228" s="1" t="inlineStr">
        <is>
          <t>255386</t>
        </is>
      </c>
      <c r="E2228" s="1" t="inlineStr">
        <is>
          <t xml:space="preserve">30232284       </t>
        </is>
      </c>
      <c r="F2228" s="5" t="inlineStr">
        <is>
          <t>INFINITY NADO TROMPO DE BATALLA - METAL C/PUNTA DE</t>
        </is>
      </c>
      <c r="G2228" t="n">
        <v>1</v>
      </c>
      <c r="H2228" s="7" t="n">
        <v>34.9</v>
      </c>
      <c r="I2228" s="7" t="n">
        <v>3.49</v>
      </c>
      <c r="J2228" s="7" t="n">
        <v>0</v>
      </c>
      <c r="K2228" s="9" t="n">
        <v>3.49</v>
      </c>
      <c r="L2228" s="10" t="n">
        <v>18.63</v>
      </c>
      <c r="M2228" s="10" t="n">
        <v>1.43</v>
      </c>
      <c r="N2228" t="inlineStr">
        <is>
          <t>1</t>
        </is>
      </c>
      <c r="O2228" t="inlineStr">
        <is>
          <t xml:space="preserve">3 </t>
        </is>
      </c>
      <c r="P2228" t="inlineStr">
        <is>
          <t xml:space="preserve">248842  </t>
        </is>
      </c>
      <c r="Q2228" s="26" t="n">
        <v>29.6</v>
      </c>
      <c r="R2228" s="26">
        <f>Q2228*G2228</f>
        <v/>
      </c>
      <c r="S2228" s="26">
        <f>IFERROR(VLOOKUP(E2228*1,Tabla[#All],8,0),0)</f>
        <v/>
      </c>
      <c r="T2228" s="26">
        <f>S2228*G2228</f>
        <v/>
      </c>
      <c r="U2228" s="26">
        <f>R2228-T2228</f>
        <v/>
      </c>
      <c r="V2228" s="26">
        <f>U2228-L2228</f>
        <v/>
      </c>
    </row>
    <row r="2229">
      <c r="A2229" s="11" t="n">
        <v>46226</v>
      </c>
      <c r="B2229" s="1" t="n">
        <v>20040</v>
      </c>
      <c r="C2229" s="1" t="inlineStr">
        <is>
          <t>083</t>
        </is>
      </c>
      <c r="D2229" s="1" t="inlineStr">
        <is>
          <t>160550</t>
        </is>
      </c>
      <c r="E2229" s="1" t="inlineStr">
        <is>
          <t xml:space="preserve">32457099       </t>
        </is>
      </c>
      <c r="F2229" s="5" t="inlineStr">
        <is>
          <t>TMZ BEAST MACHINES MONSTER JAWS A FRICCION BLISTER</t>
        </is>
      </c>
      <c r="G2229" t="n">
        <v>1</v>
      </c>
      <c r="H2229" s="7" t="n">
        <v>17.9</v>
      </c>
      <c r="I2229" s="7" t="n">
        <v>0</v>
      </c>
      <c r="J2229" s="7" t="n">
        <v>0</v>
      </c>
      <c r="K2229" s="9" t="n">
        <v>0</v>
      </c>
      <c r="L2229" s="10" t="n">
        <v>10.62</v>
      </c>
      <c r="M2229" s="10" t="n">
        <v>1.43</v>
      </c>
      <c r="N2229" t="inlineStr">
        <is>
          <t>1</t>
        </is>
      </c>
      <c r="O2229" t="inlineStr">
        <is>
          <t xml:space="preserve">2 </t>
        </is>
      </c>
      <c r="P2229" t="inlineStr">
        <is>
          <t xml:space="preserve">243237  </t>
        </is>
      </c>
      <c r="Q2229" s="26" t="n">
        <v>11.81</v>
      </c>
      <c r="R2229" s="26">
        <f>Q2229*G2229</f>
        <v/>
      </c>
      <c r="S2229" s="26">
        <f>IFERROR(VLOOKUP(E2229*1,Tabla[#All],8,0),0)</f>
        <v/>
      </c>
      <c r="T2229" s="26">
        <f>S2229*G2229</f>
        <v/>
      </c>
      <c r="U2229" s="26">
        <f>R2229-T2229</f>
        <v/>
      </c>
      <c r="V2229" s="26">
        <f>U2229-L2229</f>
        <v/>
      </c>
    </row>
    <row r="2230">
      <c r="A2230" s="11" t="n">
        <v>46226</v>
      </c>
      <c r="B2230" s="1" t="n">
        <v>20040</v>
      </c>
      <c r="C2230" s="1" t="inlineStr">
        <is>
          <t>832</t>
        </is>
      </c>
      <c r="D2230" s="1" t="inlineStr">
        <is>
          <t xml:space="preserve">3423  </t>
        </is>
      </c>
      <c r="E2230" s="1" t="inlineStr">
        <is>
          <t xml:space="preserve">28194780       </t>
        </is>
      </c>
      <c r="F2230" s="5" t="inlineStr">
        <is>
          <t>TROMPO BATALLA INFINITY NADO PLSTICO SURTIDO</t>
        </is>
      </c>
      <c r="G2230" t="n">
        <v>1</v>
      </c>
      <c r="H2230" s="7" t="n">
        <v>19.9</v>
      </c>
      <c r="I2230" s="7" t="n">
        <v>0</v>
      </c>
      <c r="J2230" s="7" t="n">
        <v>0</v>
      </c>
      <c r="K2230" s="9" t="n">
        <v>0</v>
      </c>
      <c r="L2230" s="10" t="n">
        <v>11.8</v>
      </c>
      <c r="M2230" s="10" t="n">
        <v>1.43</v>
      </c>
      <c r="N2230" t="inlineStr">
        <is>
          <t>1</t>
        </is>
      </c>
      <c r="O2230" t="inlineStr">
        <is>
          <t>16</t>
        </is>
      </c>
      <c r="P2230" t="inlineStr">
        <is>
          <t xml:space="preserve">0       </t>
        </is>
      </c>
      <c r="Q2230" s="26" t="n">
        <v>11.81</v>
      </c>
      <c r="R2230" s="26">
        <f>Q2230*G2230</f>
        <v/>
      </c>
      <c r="S2230" s="26">
        <f>IFERROR(VLOOKUP(E2230*1,Tabla[#All],8,0),0)</f>
        <v/>
      </c>
      <c r="T2230" s="26">
        <f>S2230*G2230</f>
        <v/>
      </c>
      <c r="U2230" s="26">
        <f>R2230-T2230</f>
        <v/>
      </c>
      <c r="V2230" s="26">
        <f>U2230-L2230</f>
        <v/>
      </c>
    </row>
    <row r="2231">
      <c r="A2231" s="11" t="n">
        <v>46226</v>
      </c>
      <c r="B2231" s="1" t="n">
        <v>20040</v>
      </c>
      <c r="C2231" s="1" t="inlineStr">
        <is>
          <t>832</t>
        </is>
      </c>
      <c r="D2231" s="1" t="inlineStr">
        <is>
          <t xml:space="preserve">3424  </t>
        </is>
      </c>
      <c r="E2231" s="1" t="inlineStr">
        <is>
          <t xml:space="preserve">28194768       </t>
        </is>
      </c>
      <c r="F2231" s="5" t="inlineStr">
        <is>
          <t>AUTO COLOR CHANGE TEAMSTERZ SURTIDO</t>
        </is>
      </c>
      <c r="G2231" t="n">
        <v>1</v>
      </c>
      <c r="H2231" s="7" t="n">
        <v>14.9</v>
      </c>
      <c r="I2231" s="7" t="n">
        <v>0</v>
      </c>
      <c r="J2231" s="7" t="n">
        <v>0</v>
      </c>
      <c r="K2231" s="9" t="n">
        <v>0</v>
      </c>
      <c r="L2231" s="10" t="n">
        <v>8.84</v>
      </c>
      <c r="M2231" s="10" t="n">
        <v>1.43</v>
      </c>
      <c r="N2231" t="inlineStr">
        <is>
          <t>1</t>
        </is>
      </c>
      <c r="O2231" t="inlineStr">
        <is>
          <t>16</t>
        </is>
      </c>
      <c r="P2231" t="inlineStr">
        <is>
          <t xml:space="preserve">0       </t>
        </is>
      </c>
      <c r="Q2231" s="26" t="n">
        <v>8.84</v>
      </c>
      <c r="R2231" s="26">
        <f>Q2231*G2231</f>
        <v/>
      </c>
      <c r="S2231" s="26">
        <f>IFERROR(VLOOKUP(E2231*1,Tabla[#All],8,0),0)</f>
        <v/>
      </c>
      <c r="T2231" s="26">
        <f>S2231*G2231</f>
        <v/>
      </c>
      <c r="U2231" s="26">
        <f>R2231-T2231</f>
        <v/>
      </c>
      <c r="V2231" s="26">
        <f>U2231-L2231</f>
        <v/>
      </c>
    </row>
    <row r="2232">
      <c r="A2232" s="11" t="n">
        <v>46226</v>
      </c>
      <c r="B2232" s="1" t="n">
        <v>20040</v>
      </c>
      <c r="C2232" s="1" t="inlineStr">
        <is>
          <t>832</t>
        </is>
      </c>
      <c r="D2232" s="1" t="inlineStr">
        <is>
          <t xml:space="preserve">3438  </t>
        </is>
      </c>
      <c r="E2232" s="1" t="inlineStr">
        <is>
          <t xml:space="preserve">34840526       </t>
        </is>
      </c>
      <c r="F2232" s="5" t="inlineStr">
        <is>
          <t>NENUCO ABRACITOS</t>
        </is>
      </c>
      <c r="G2232" t="n">
        <v>1</v>
      </c>
      <c r="H2232" s="7" t="n">
        <v>89.90000000000001</v>
      </c>
      <c r="I2232" s="7" t="n">
        <v>0</v>
      </c>
      <c r="J2232" s="7" t="n">
        <v>0</v>
      </c>
      <c r="K2232" s="9" t="n">
        <v>0</v>
      </c>
      <c r="L2232" s="10" t="n">
        <v>53.33</v>
      </c>
      <c r="M2232" s="10" t="n">
        <v>1.43</v>
      </c>
      <c r="N2232" t="inlineStr">
        <is>
          <t>1</t>
        </is>
      </c>
      <c r="O2232" t="inlineStr">
        <is>
          <t>16</t>
        </is>
      </c>
      <c r="P2232" t="inlineStr">
        <is>
          <t xml:space="preserve">0       </t>
        </is>
      </c>
      <c r="Q2232" s="26" t="n">
        <v>70.59</v>
      </c>
      <c r="R2232" s="26">
        <f>Q2232*G2232</f>
        <v/>
      </c>
      <c r="S2232" s="26">
        <f>IFERROR(VLOOKUP(E2232*1,Tabla[#All],8,0),0)</f>
        <v/>
      </c>
      <c r="T2232" s="26">
        <f>S2232*G2232</f>
        <v/>
      </c>
      <c r="U2232" s="26">
        <f>R2232-T2232</f>
        <v/>
      </c>
      <c r="V2232" s="26">
        <f>U2232-L2232</f>
        <v/>
      </c>
    </row>
    <row r="2233">
      <c r="A2233" s="11" t="n">
        <v>46226</v>
      </c>
      <c r="B2233" s="1" t="n">
        <v>20040</v>
      </c>
      <c r="C2233" s="1" t="inlineStr">
        <is>
          <t>832</t>
        </is>
      </c>
      <c r="D2233" s="1" t="inlineStr">
        <is>
          <t xml:space="preserve">3463  </t>
        </is>
      </c>
      <c r="E2233" s="1" t="inlineStr">
        <is>
          <t xml:space="preserve">31754675       </t>
        </is>
      </c>
      <c r="F2233" s="5" t="inlineStr">
        <is>
          <t>INFINITY NADO SERIE 6 STARTER PACK - 4 MODELOS</t>
        </is>
      </c>
      <c r="G2233" t="n">
        <v>1</v>
      </c>
      <c r="H2233" s="7" t="n">
        <v>49.9</v>
      </c>
      <c r="I2233" s="7" t="n">
        <v>4.99</v>
      </c>
      <c r="J2233" s="7" t="n">
        <v>0</v>
      </c>
      <c r="K2233" s="9" t="n">
        <v>4.99</v>
      </c>
      <c r="L2233" s="10" t="n">
        <v>26.64</v>
      </c>
      <c r="M2233" s="10" t="n">
        <v>1.43</v>
      </c>
      <c r="N2233" t="inlineStr">
        <is>
          <t>1</t>
        </is>
      </c>
      <c r="O2233" t="inlineStr">
        <is>
          <t>16</t>
        </is>
      </c>
      <c r="P2233" t="inlineStr">
        <is>
          <t xml:space="preserve">0       </t>
        </is>
      </c>
      <c r="Q2233" s="26" t="n">
        <v>41.47</v>
      </c>
      <c r="R2233" s="26">
        <f>Q2233*G2233</f>
        <v/>
      </c>
      <c r="S2233" s="26">
        <f>IFERROR(VLOOKUP(E2233*1,Tabla[#All],8,0),0)</f>
        <v/>
      </c>
      <c r="T2233" s="26">
        <f>S2233*G2233</f>
        <v/>
      </c>
      <c r="U2233" s="26">
        <f>R2233-T2233</f>
        <v/>
      </c>
      <c r="V2233" s="26">
        <f>U2233-L2233</f>
        <v/>
      </c>
    </row>
    <row r="2234">
      <c r="A2234" s="11" t="n">
        <v>46226</v>
      </c>
      <c r="B2234" s="1" t="n">
        <v>20041</v>
      </c>
      <c r="C2234" s="1" t="inlineStr">
        <is>
          <t>031</t>
        </is>
      </c>
      <c r="D2234" s="1" t="inlineStr">
        <is>
          <t>166403</t>
        </is>
      </c>
      <c r="E2234" s="1" t="inlineStr">
        <is>
          <t xml:space="preserve">28194770       </t>
        </is>
      </c>
      <c r="F2234" s="5" t="inlineStr">
        <is>
          <t>AUTOS DE METAL 3 TEAMSTERZ EN BLISTER</t>
        </is>
      </c>
      <c r="G2234" t="n">
        <v>1</v>
      </c>
      <c r="H2234" s="7" t="n">
        <v>6.9</v>
      </c>
      <c r="I2234" s="7" t="n">
        <v>0</v>
      </c>
      <c r="J2234" s="7" t="n">
        <v>0</v>
      </c>
      <c r="K2234" s="9" t="n">
        <v>0</v>
      </c>
      <c r="L2234" s="10" t="n">
        <v>4.1</v>
      </c>
      <c r="M2234" s="10" t="n">
        <v>1.43</v>
      </c>
      <c r="N2234" t="inlineStr">
        <is>
          <t>1</t>
        </is>
      </c>
      <c r="O2234" t="inlineStr">
        <is>
          <t>16</t>
        </is>
      </c>
      <c r="P2234" t="inlineStr">
        <is>
          <t xml:space="preserve">245842  </t>
        </is>
      </c>
      <c r="Q2234" s="26" t="n">
        <v>4.09</v>
      </c>
      <c r="R2234" s="26">
        <f>Q2234*G2234</f>
        <v/>
      </c>
      <c r="S2234" s="26">
        <f>IFERROR(VLOOKUP(E2234*1,Tabla[#All],8,0),0)</f>
        <v/>
      </c>
      <c r="T2234" s="26">
        <f>S2234*G2234</f>
        <v/>
      </c>
      <c r="U2234" s="26">
        <f>R2234-T2234</f>
        <v/>
      </c>
      <c r="V2234" s="26">
        <f>U2234-L2234</f>
        <v/>
      </c>
    </row>
    <row r="2235">
      <c r="A2235" s="11" t="n">
        <v>46226</v>
      </c>
      <c r="B2235" s="1" t="n">
        <v>20041</v>
      </c>
      <c r="C2235" s="1" t="inlineStr">
        <is>
          <t>031</t>
        </is>
      </c>
      <c r="D2235" s="1" t="inlineStr">
        <is>
          <t>166403</t>
        </is>
      </c>
      <c r="E2235" s="1" t="inlineStr">
        <is>
          <t xml:space="preserve">28194770       </t>
        </is>
      </c>
      <c r="F2235" s="5" t="inlineStr">
        <is>
          <t>AUTOS DE METAL 3 TEAMSTERZ EN BLISTER</t>
        </is>
      </c>
      <c r="G2235" t="n">
        <v>1</v>
      </c>
      <c r="H2235" s="7" t="n">
        <v>6.9</v>
      </c>
      <c r="I2235" s="7" t="n">
        <v>0</v>
      </c>
      <c r="J2235" s="7" t="n">
        <v>0</v>
      </c>
      <c r="K2235" s="9" t="n">
        <v>0</v>
      </c>
      <c r="L2235" s="10" t="n">
        <v>4.1</v>
      </c>
      <c r="M2235" s="10" t="n">
        <v>1.43</v>
      </c>
      <c r="N2235" t="inlineStr">
        <is>
          <t>1</t>
        </is>
      </c>
      <c r="O2235" t="inlineStr">
        <is>
          <t>16</t>
        </is>
      </c>
      <c r="P2235" t="inlineStr">
        <is>
          <t xml:space="preserve">245842  </t>
        </is>
      </c>
      <c r="Q2235" s="26" t="n">
        <v>4.09</v>
      </c>
      <c r="R2235" s="26">
        <f>Q2235*G2235</f>
        <v/>
      </c>
      <c r="S2235" s="26">
        <f>IFERROR(VLOOKUP(E2235*1,Tabla[#All],8,0),0)</f>
        <v/>
      </c>
      <c r="T2235" s="26">
        <f>S2235*G2235</f>
        <v/>
      </c>
      <c r="U2235" s="26">
        <f>R2235-T2235</f>
        <v/>
      </c>
      <c r="V2235" s="26">
        <f>U2235-L2235</f>
        <v/>
      </c>
    </row>
    <row r="2236">
      <c r="A2236" s="11" t="n">
        <v>46226</v>
      </c>
      <c r="B2236" s="1" t="n">
        <v>20041</v>
      </c>
      <c r="C2236" s="1" t="inlineStr">
        <is>
          <t>037</t>
        </is>
      </c>
      <c r="D2236" s="1" t="inlineStr">
        <is>
          <t>189998</t>
        </is>
      </c>
      <c r="E2236" s="1" t="inlineStr">
        <is>
          <t xml:space="preserve">28194770       </t>
        </is>
      </c>
      <c r="F2236" s="5" t="inlineStr">
        <is>
          <t>AUTOS DE METAL 3 TEAMSTERZ EN BLISTER</t>
        </is>
      </c>
      <c r="G2236" t="n">
        <v>1</v>
      </c>
      <c r="H2236" s="7" t="n">
        <v>6.9</v>
      </c>
      <c r="I2236" s="7" t="n">
        <v>0</v>
      </c>
      <c r="J2236" s="7" t="n">
        <v>0</v>
      </c>
      <c r="K2236" s="9" t="n">
        <v>0</v>
      </c>
      <c r="L2236" s="10" t="n">
        <v>4.1</v>
      </c>
      <c r="M2236" s="10" t="n">
        <v>1.43</v>
      </c>
      <c r="N2236" t="inlineStr">
        <is>
          <t>1</t>
        </is>
      </c>
      <c r="O2236" t="inlineStr">
        <is>
          <t>16</t>
        </is>
      </c>
      <c r="P2236" t="inlineStr">
        <is>
          <t xml:space="preserve">245842  </t>
        </is>
      </c>
      <c r="Q2236" s="26" t="n">
        <v>4.09</v>
      </c>
      <c r="R2236" s="26">
        <f>Q2236*G2236</f>
        <v/>
      </c>
      <c r="S2236" s="26">
        <f>IFERROR(VLOOKUP(E2236*1,Tabla[#All],8,0),0)</f>
        <v/>
      </c>
      <c r="T2236" s="26">
        <f>S2236*G2236</f>
        <v/>
      </c>
      <c r="U2236" s="26">
        <f>R2236-T2236</f>
        <v/>
      </c>
      <c r="V2236" s="26">
        <f>U2236-L2236</f>
        <v/>
      </c>
    </row>
    <row r="2237">
      <c r="A2237" s="11" t="n">
        <v>46226</v>
      </c>
      <c r="B2237" s="1" t="n">
        <v>20041</v>
      </c>
      <c r="C2237" s="1" t="inlineStr">
        <is>
          <t>037</t>
        </is>
      </c>
      <c r="D2237" s="1" t="inlineStr">
        <is>
          <t>190010</t>
        </is>
      </c>
      <c r="E2237" s="1" t="inlineStr">
        <is>
          <t xml:space="preserve">29235700       </t>
        </is>
      </c>
      <c r="F2237" s="5" t="inlineStr">
        <is>
          <t>HOT WHEELS CASE METALICO PARA GUARDAR 18 CARRITOS</t>
        </is>
      </c>
      <c r="G2237" t="n">
        <v>1</v>
      </c>
      <c r="H2237" s="7" t="n">
        <v>49.9</v>
      </c>
      <c r="I2237" s="7" t="n">
        <v>0</v>
      </c>
      <c r="J2237" s="7" t="n">
        <v>0</v>
      </c>
      <c r="K2237" s="9" t="n">
        <v>0</v>
      </c>
      <c r="L2237" s="10" t="n">
        <v>29.6</v>
      </c>
      <c r="M2237" s="10" t="n">
        <v>1.43</v>
      </c>
      <c r="N2237" t="inlineStr">
        <is>
          <t>1</t>
        </is>
      </c>
      <c r="O2237" t="inlineStr">
        <is>
          <t>16</t>
        </is>
      </c>
      <c r="P2237" t="inlineStr">
        <is>
          <t xml:space="preserve">245842  </t>
        </is>
      </c>
      <c r="Q2237" s="26" t="n">
        <v>29.6</v>
      </c>
      <c r="R2237" s="26">
        <f>Q2237*G2237</f>
        <v/>
      </c>
      <c r="S2237" s="26">
        <f>IFERROR(VLOOKUP(E2237*1,Tabla[#All],8,0),0)</f>
        <v/>
      </c>
      <c r="T2237" s="26">
        <f>S2237*G2237</f>
        <v/>
      </c>
      <c r="U2237" s="26">
        <f>R2237-T2237</f>
        <v/>
      </c>
      <c r="V2237" s="26">
        <f>U2237-L2237</f>
        <v/>
      </c>
    </row>
    <row r="2238">
      <c r="A2238" s="11" t="n">
        <v>46226</v>
      </c>
      <c r="B2238" s="1" t="n">
        <v>20041</v>
      </c>
      <c r="C2238" s="1" t="inlineStr">
        <is>
          <t>037</t>
        </is>
      </c>
      <c r="D2238" s="1" t="inlineStr">
        <is>
          <t>190022</t>
        </is>
      </c>
      <c r="E2238" s="1" t="inlineStr">
        <is>
          <t xml:space="preserve">28194770       </t>
        </is>
      </c>
      <c r="F2238" s="5" t="inlineStr">
        <is>
          <t>AUTOS DE METAL 3 TEAMSTERZ EN BLISTER</t>
        </is>
      </c>
      <c r="G2238" t="n">
        <v>1</v>
      </c>
      <c r="H2238" s="7" t="n">
        <v>6.9</v>
      </c>
      <c r="I2238" s="7" t="n">
        <v>0</v>
      </c>
      <c r="J2238" s="7" t="n">
        <v>0</v>
      </c>
      <c r="K2238" s="9" t="n">
        <v>0</v>
      </c>
      <c r="L2238" s="10" t="n">
        <v>4.1</v>
      </c>
      <c r="M2238" s="10" t="n">
        <v>1.43</v>
      </c>
      <c r="N2238" t="inlineStr">
        <is>
          <t>1</t>
        </is>
      </c>
      <c r="O2238" t="inlineStr">
        <is>
          <t xml:space="preserve">2 </t>
        </is>
      </c>
      <c r="P2238" t="inlineStr">
        <is>
          <t xml:space="preserve">245842  </t>
        </is>
      </c>
      <c r="Q2238" s="26" t="n">
        <v>4.09</v>
      </c>
      <c r="R2238" s="26">
        <f>Q2238*G2238</f>
        <v/>
      </c>
      <c r="S2238" s="26">
        <f>IFERROR(VLOOKUP(E2238*1,Tabla[#All],8,0),0)</f>
        <v/>
      </c>
      <c r="T2238" s="26">
        <f>S2238*G2238</f>
        <v/>
      </c>
      <c r="U2238" s="26">
        <f>R2238-T2238</f>
        <v/>
      </c>
      <c r="V2238" s="26">
        <f>U2238-L2238</f>
        <v/>
      </c>
    </row>
    <row r="2239">
      <c r="A2239" s="11" t="n">
        <v>46226</v>
      </c>
      <c r="B2239" s="1" t="n">
        <v>20041</v>
      </c>
      <c r="C2239" s="1" t="inlineStr">
        <is>
          <t>037</t>
        </is>
      </c>
      <c r="D2239" s="1" t="inlineStr">
        <is>
          <t>190026</t>
        </is>
      </c>
      <c r="E2239" s="1" t="inlineStr">
        <is>
          <t xml:space="preserve">32656401       </t>
        </is>
      </c>
      <c r="F2239" s="5" t="inlineStr">
        <is>
          <t>DART ZONE MAX DICTATOR</t>
        </is>
      </c>
      <c r="G2239" t="n">
        <v>1</v>
      </c>
      <c r="H2239" s="7" t="n">
        <v>74.5</v>
      </c>
      <c r="I2239" s="7" t="n">
        <v>0</v>
      </c>
      <c r="J2239" s="7" t="n">
        <v>0</v>
      </c>
      <c r="K2239" s="9" t="n">
        <v>0</v>
      </c>
      <c r="L2239" s="10" t="n">
        <v>44.2</v>
      </c>
      <c r="M2239" s="10" t="n">
        <v>1.43</v>
      </c>
      <c r="N2239" t="inlineStr">
        <is>
          <t>1</t>
        </is>
      </c>
      <c r="O2239" t="inlineStr">
        <is>
          <t>16</t>
        </is>
      </c>
      <c r="P2239" t="inlineStr">
        <is>
          <t xml:space="preserve">245842  </t>
        </is>
      </c>
      <c r="Q2239" s="26" t="n">
        <v>88.39</v>
      </c>
      <c r="R2239" s="26">
        <f>Q2239*G2239</f>
        <v/>
      </c>
      <c r="S2239" s="26">
        <f>IFERROR(VLOOKUP(E2239*1,Tabla[#All],8,0),0)</f>
        <v/>
      </c>
      <c r="T2239" s="26">
        <f>S2239*G2239</f>
        <v/>
      </c>
      <c r="U2239" s="26">
        <f>R2239-T2239</f>
        <v/>
      </c>
      <c r="V2239" s="26">
        <f>U2239-L2239</f>
        <v/>
      </c>
    </row>
    <row r="2240">
      <c r="A2240" s="11" t="n">
        <v>46226</v>
      </c>
      <c r="B2240" s="1" t="n">
        <v>20041</v>
      </c>
      <c r="C2240" s="1" t="inlineStr">
        <is>
          <t>037</t>
        </is>
      </c>
      <c r="D2240" s="1" t="inlineStr">
        <is>
          <t>190040</t>
        </is>
      </c>
      <c r="E2240" s="1" t="inlineStr">
        <is>
          <t xml:space="preserve">28194780       </t>
        </is>
      </c>
      <c r="F2240" s="5" t="inlineStr">
        <is>
          <t>TROMPO BATALLA INFINITY NADO PLSTICO SURTIDO</t>
        </is>
      </c>
      <c r="G2240" t="n">
        <v>1</v>
      </c>
      <c r="H2240" s="7" t="n">
        <v>19.9</v>
      </c>
      <c r="I2240" s="7" t="n">
        <v>0</v>
      </c>
      <c r="J2240" s="7" t="n">
        <v>0</v>
      </c>
      <c r="K2240" s="9" t="n">
        <v>0</v>
      </c>
      <c r="L2240" s="10" t="n">
        <v>11.8</v>
      </c>
      <c r="M2240" s="10" t="n">
        <v>1.43</v>
      </c>
      <c r="N2240" t="inlineStr">
        <is>
          <t>1</t>
        </is>
      </c>
      <c r="O2240" t="inlineStr">
        <is>
          <t>16</t>
        </is>
      </c>
      <c r="P2240" t="inlineStr">
        <is>
          <t xml:space="preserve">245842  </t>
        </is>
      </c>
      <c r="Q2240" s="26" t="n">
        <v>11.81</v>
      </c>
      <c r="R2240" s="26">
        <f>Q2240*G2240</f>
        <v/>
      </c>
      <c r="S2240" s="26">
        <f>IFERROR(VLOOKUP(E2240*1,Tabla[#All],8,0),0)</f>
        <v/>
      </c>
      <c r="T2240" s="26">
        <f>S2240*G2240</f>
        <v/>
      </c>
      <c r="U2240" s="26">
        <f>R2240-T2240</f>
        <v/>
      </c>
      <c r="V2240" s="26">
        <f>U2240-L2240</f>
        <v/>
      </c>
    </row>
    <row r="2241">
      <c r="A2241" s="11" t="n">
        <v>46226</v>
      </c>
      <c r="B2241" s="1" t="n">
        <v>20041</v>
      </c>
      <c r="C2241" s="1" t="inlineStr">
        <is>
          <t>037</t>
        </is>
      </c>
      <c r="D2241" s="1" t="inlineStr">
        <is>
          <t>190066</t>
        </is>
      </c>
      <c r="E2241" s="1" t="inlineStr">
        <is>
          <t xml:space="preserve">28194770       </t>
        </is>
      </c>
      <c r="F2241" s="5" t="inlineStr">
        <is>
          <t>AUTOS DE METAL 3 TEAMSTERZ EN BLISTER</t>
        </is>
      </c>
      <c r="G2241" t="n">
        <v>1</v>
      </c>
      <c r="H2241" s="7" t="n">
        <v>6.9</v>
      </c>
      <c r="I2241" s="7" t="n">
        <v>0.6899999999999999</v>
      </c>
      <c r="J2241" s="7" t="n">
        <v>0</v>
      </c>
      <c r="K2241" s="9" t="n">
        <v>0.6899999999999999</v>
      </c>
      <c r="L2241" s="10" t="n">
        <v>3.68</v>
      </c>
      <c r="M2241" s="10" t="n">
        <v>1.43</v>
      </c>
      <c r="N2241" t="inlineStr">
        <is>
          <t>1</t>
        </is>
      </c>
      <c r="O2241" t="inlineStr">
        <is>
          <t xml:space="preserve">3 </t>
        </is>
      </c>
      <c r="P2241" t="inlineStr">
        <is>
          <t xml:space="preserve">242746  </t>
        </is>
      </c>
      <c r="Q2241" s="26" t="n">
        <v>4.09</v>
      </c>
      <c r="R2241" s="26">
        <f>Q2241*G2241</f>
        <v/>
      </c>
      <c r="S2241" s="26">
        <f>IFERROR(VLOOKUP(E2241*1,Tabla[#All],8,0),0)</f>
        <v/>
      </c>
      <c r="T2241" s="26">
        <f>S2241*G2241</f>
        <v/>
      </c>
      <c r="U2241" s="26">
        <f>R2241-T2241</f>
        <v/>
      </c>
      <c r="V2241" s="26">
        <f>U2241-L2241</f>
        <v/>
      </c>
    </row>
    <row r="2242">
      <c r="A2242" s="11" t="n">
        <v>46226</v>
      </c>
      <c r="B2242" s="1" t="n">
        <v>20041</v>
      </c>
      <c r="C2242" s="1" t="inlineStr">
        <is>
          <t>037</t>
        </is>
      </c>
      <c r="D2242" s="1" t="inlineStr">
        <is>
          <t>190084</t>
        </is>
      </c>
      <c r="E2242" s="1" t="inlineStr">
        <is>
          <t xml:space="preserve">28194770       </t>
        </is>
      </c>
      <c r="F2242" s="5" t="inlineStr">
        <is>
          <t>AUTOS DE METAL 3 TEAMSTERZ EN BLISTER</t>
        </is>
      </c>
      <c r="G2242" t="n">
        <v>1</v>
      </c>
      <c r="H2242" s="7" t="n">
        <v>6.9</v>
      </c>
      <c r="I2242" s="7" t="n">
        <v>0.6899999999999999</v>
      </c>
      <c r="J2242" s="7" t="n">
        <v>0</v>
      </c>
      <c r="K2242" s="9" t="n">
        <v>0.6899999999999999</v>
      </c>
      <c r="L2242" s="10" t="n">
        <v>3.68</v>
      </c>
      <c r="M2242" s="10" t="n">
        <v>1.43</v>
      </c>
      <c r="N2242" t="inlineStr">
        <is>
          <t>1</t>
        </is>
      </c>
      <c r="O2242" t="inlineStr">
        <is>
          <t xml:space="preserve">3 </t>
        </is>
      </c>
      <c r="P2242" t="inlineStr">
        <is>
          <t xml:space="preserve">242746  </t>
        </is>
      </c>
      <c r="Q2242" s="26" t="n">
        <v>4.09</v>
      </c>
      <c r="R2242" s="26">
        <f>Q2242*G2242</f>
        <v/>
      </c>
      <c r="S2242" s="26">
        <f>IFERROR(VLOOKUP(E2242*1,Tabla[#All],8,0),0)</f>
        <v/>
      </c>
      <c r="T2242" s="26">
        <f>S2242*G2242</f>
        <v/>
      </c>
      <c r="U2242" s="26">
        <f>R2242-T2242</f>
        <v/>
      </c>
      <c r="V2242" s="26">
        <f>U2242-L2242</f>
        <v/>
      </c>
    </row>
    <row r="2243">
      <c r="A2243" s="11" t="n">
        <v>46226</v>
      </c>
      <c r="B2243" s="1" t="n">
        <v>20043</v>
      </c>
      <c r="C2243" s="1" t="inlineStr">
        <is>
          <t>014</t>
        </is>
      </c>
      <c r="D2243" s="1" t="inlineStr">
        <is>
          <t>138026</t>
        </is>
      </c>
      <c r="E2243" s="1" t="inlineStr">
        <is>
          <t xml:space="preserve">28194770       </t>
        </is>
      </c>
      <c r="F2243" s="5" t="inlineStr">
        <is>
          <t>AUTOS DE METAL 3 TEAMSTERZ EN BLISTER</t>
        </is>
      </c>
      <c r="G2243" t="n">
        <v>1</v>
      </c>
      <c r="H2243" s="7" t="n">
        <v>6.9</v>
      </c>
      <c r="I2243" s="7" t="n">
        <v>0</v>
      </c>
      <c r="J2243" s="7" t="n">
        <v>0</v>
      </c>
      <c r="K2243" s="9" t="n">
        <v>0</v>
      </c>
      <c r="L2243" s="10" t="n">
        <v>4.1</v>
      </c>
      <c r="M2243" s="10" t="n">
        <v>1.43</v>
      </c>
      <c r="N2243" t="inlineStr">
        <is>
          <t>1</t>
        </is>
      </c>
      <c r="O2243" t="inlineStr">
        <is>
          <t>16</t>
        </is>
      </c>
      <c r="P2243" t="inlineStr">
        <is>
          <t xml:space="preserve">20505   </t>
        </is>
      </c>
      <c r="Q2243" s="26" t="n">
        <v>4.09</v>
      </c>
      <c r="R2243" s="26">
        <f>Q2243*G2243</f>
        <v/>
      </c>
      <c r="S2243" s="26">
        <f>IFERROR(VLOOKUP(E2243*1,Tabla[#All],8,0),0)</f>
        <v/>
      </c>
      <c r="T2243" s="26">
        <f>S2243*G2243</f>
        <v/>
      </c>
      <c r="U2243" s="26">
        <f>R2243-T2243</f>
        <v/>
      </c>
      <c r="V2243" s="26">
        <f>U2243-L2243</f>
        <v/>
      </c>
    </row>
    <row r="2244">
      <c r="A2244" s="11" t="n">
        <v>46226</v>
      </c>
      <c r="B2244" s="1" t="n">
        <v>20043</v>
      </c>
      <c r="C2244" s="1" t="inlineStr">
        <is>
          <t>014</t>
        </is>
      </c>
      <c r="D2244" s="1" t="inlineStr">
        <is>
          <t>138065</t>
        </is>
      </c>
      <c r="E2244" s="1" t="inlineStr">
        <is>
          <t xml:space="preserve">28194770       </t>
        </is>
      </c>
      <c r="F2244" s="5" t="inlineStr">
        <is>
          <t>AUTOS DE METAL 3 TEAMSTERZ EN BLISTER</t>
        </is>
      </c>
      <c r="G2244" t="n">
        <v>1</v>
      </c>
      <c r="H2244" s="7" t="n">
        <v>6.9</v>
      </c>
      <c r="I2244" s="7" t="n">
        <v>1.38</v>
      </c>
      <c r="J2244" s="7" t="n">
        <v>0</v>
      </c>
      <c r="K2244" s="9" t="n">
        <v>1.38</v>
      </c>
      <c r="L2244" s="10" t="n">
        <v>3.28</v>
      </c>
      <c r="M2244" s="10" t="n">
        <v>1.43</v>
      </c>
      <c r="N2244" t="inlineStr">
        <is>
          <t>1</t>
        </is>
      </c>
      <c r="O2244" t="inlineStr">
        <is>
          <t>16</t>
        </is>
      </c>
      <c r="P2244" t="inlineStr">
        <is>
          <t xml:space="preserve">20505   </t>
        </is>
      </c>
      <c r="Q2244" s="26" t="n">
        <v>4.09</v>
      </c>
      <c r="R2244" s="26">
        <f>Q2244*G2244</f>
        <v/>
      </c>
      <c r="S2244" s="26">
        <f>IFERROR(VLOOKUP(E2244*1,Tabla[#All],8,0),0)</f>
        <v/>
      </c>
      <c r="T2244" s="26">
        <f>S2244*G2244</f>
        <v/>
      </c>
      <c r="U2244" s="26">
        <f>R2244-T2244</f>
        <v/>
      </c>
      <c r="V2244" s="26">
        <f>U2244-L2244</f>
        <v/>
      </c>
    </row>
    <row r="2245">
      <c r="A2245" s="11" t="n">
        <v>46226</v>
      </c>
      <c r="B2245" s="1" t="n">
        <v>20043</v>
      </c>
      <c r="C2245" s="1" t="inlineStr">
        <is>
          <t>054</t>
        </is>
      </c>
      <c r="D2245" s="1" t="inlineStr">
        <is>
          <t xml:space="preserve">15463 </t>
        </is>
      </c>
      <c r="E2245" s="1" t="inlineStr">
        <is>
          <t xml:space="preserve">28194770       </t>
        </is>
      </c>
      <c r="F2245" s="5" t="inlineStr">
        <is>
          <t>AUTOS DE METAL 3 TEAMSTERZ EN BLISTER</t>
        </is>
      </c>
      <c r="G2245" t="n">
        <v>1</v>
      </c>
      <c r="H2245" s="7" t="n">
        <v>6.9</v>
      </c>
      <c r="I2245" s="7" t="n">
        <v>0.6899999999999999</v>
      </c>
      <c r="J2245" s="7" t="n">
        <v>0</v>
      </c>
      <c r="K2245" s="9" t="n">
        <v>0.6899999999999999</v>
      </c>
      <c r="L2245" s="10" t="n">
        <v>3.68</v>
      </c>
      <c r="M2245" s="10" t="n">
        <v>1.43</v>
      </c>
      <c r="N2245" t="inlineStr">
        <is>
          <t>1</t>
        </is>
      </c>
      <c r="O2245" t="inlineStr">
        <is>
          <t xml:space="preserve">3 </t>
        </is>
      </c>
      <c r="P2245" t="inlineStr">
        <is>
          <t xml:space="preserve">248415  </t>
        </is>
      </c>
      <c r="Q2245" s="26" t="n">
        <v>4.09</v>
      </c>
      <c r="R2245" s="26">
        <f>Q2245*G2245</f>
        <v/>
      </c>
      <c r="S2245" s="26">
        <f>IFERROR(VLOOKUP(E2245*1,Tabla[#All],8,0),0)</f>
        <v/>
      </c>
      <c r="T2245" s="26">
        <f>S2245*G2245</f>
        <v/>
      </c>
      <c r="U2245" s="26">
        <f>R2245-T2245</f>
        <v/>
      </c>
      <c r="V2245" s="26">
        <f>U2245-L2245</f>
        <v/>
      </c>
    </row>
    <row r="2246">
      <c r="A2246" s="11" t="n">
        <v>46226</v>
      </c>
      <c r="B2246" s="1" t="n">
        <v>20043</v>
      </c>
      <c r="C2246" s="1" t="inlineStr">
        <is>
          <t>054</t>
        </is>
      </c>
      <c r="D2246" s="1" t="inlineStr">
        <is>
          <t xml:space="preserve">15463 </t>
        </is>
      </c>
      <c r="E2246" s="1" t="inlineStr">
        <is>
          <t xml:space="preserve">30141766       </t>
        </is>
      </c>
      <c r="F2246" s="5" t="inlineStr">
        <is>
          <t>TMZ BEAST MACHINES AUTOS DE METAL BLISTER X 1</t>
        </is>
      </c>
      <c r="G2246" t="n">
        <v>1</v>
      </c>
      <c r="H2246" s="7" t="n">
        <v>7.9</v>
      </c>
      <c r="I2246" s="7" t="n">
        <v>0.79</v>
      </c>
      <c r="J2246" s="7" t="n">
        <v>0</v>
      </c>
      <c r="K2246" s="9" t="n">
        <v>0.79</v>
      </c>
      <c r="L2246" s="10" t="n">
        <v>4.22</v>
      </c>
      <c r="M2246" s="10" t="n">
        <v>1.43</v>
      </c>
      <c r="N2246" t="inlineStr">
        <is>
          <t>1</t>
        </is>
      </c>
      <c r="O2246" t="inlineStr">
        <is>
          <t xml:space="preserve">3 </t>
        </is>
      </c>
      <c r="P2246" t="inlineStr">
        <is>
          <t xml:space="preserve">248415  </t>
        </is>
      </c>
      <c r="Q2246" s="26" t="n">
        <v>4.69</v>
      </c>
      <c r="R2246" s="26">
        <f>Q2246*G2246</f>
        <v/>
      </c>
      <c r="S2246" s="26">
        <f>IFERROR(VLOOKUP(E2246*1,Tabla[#All],8,0),0)</f>
        <v/>
      </c>
      <c r="T2246" s="26">
        <f>S2246*G2246</f>
        <v/>
      </c>
      <c r="U2246" s="26">
        <f>R2246-T2246</f>
        <v/>
      </c>
      <c r="V2246" s="26">
        <f>U2246-L2246</f>
        <v/>
      </c>
    </row>
    <row r="2247">
      <c r="A2247" s="11" t="n">
        <v>46226</v>
      </c>
      <c r="B2247" s="1" t="n">
        <v>20043</v>
      </c>
      <c r="C2247" s="1" t="inlineStr">
        <is>
          <t>054</t>
        </is>
      </c>
      <c r="D2247" s="1" t="inlineStr">
        <is>
          <t xml:space="preserve">15475 </t>
        </is>
      </c>
      <c r="E2247" s="1" t="inlineStr">
        <is>
          <t xml:space="preserve">28194770       </t>
        </is>
      </c>
      <c r="F2247" s="5" t="inlineStr">
        <is>
          <t>AUTOS DE METAL 3 TEAMSTERZ EN BLISTER</t>
        </is>
      </c>
      <c r="G2247" t="n">
        <v>1</v>
      </c>
      <c r="H2247" s="7" t="n">
        <v>6.9</v>
      </c>
      <c r="I2247" s="7" t="n">
        <v>0</v>
      </c>
      <c r="J2247" s="7" t="n">
        <v>0</v>
      </c>
      <c r="K2247" s="9" t="n">
        <v>0</v>
      </c>
      <c r="L2247" s="10" t="n">
        <v>4.1</v>
      </c>
      <c r="M2247" s="10" t="n">
        <v>1.43</v>
      </c>
      <c r="N2247" t="inlineStr">
        <is>
          <t>1</t>
        </is>
      </c>
      <c r="O2247" t="inlineStr">
        <is>
          <t>16</t>
        </is>
      </c>
      <c r="P2247" t="inlineStr">
        <is>
          <t xml:space="preserve">248415  </t>
        </is>
      </c>
      <c r="Q2247" s="26" t="n">
        <v>4.09</v>
      </c>
      <c r="R2247" s="26">
        <f>Q2247*G2247</f>
        <v/>
      </c>
      <c r="S2247" s="26">
        <f>IFERROR(VLOOKUP(E2247*1,Tabla[#All],8,0),0)</f>
        <v/>
      </c>
      <c r="T2247" s="26">
        <f>S2247*G2247</f>
        <v/>
      </c>
      <c r="U2247" s="26">
        <f>R2247-T2247</f>
        <v/>
      </c>
      <c r="V2247" s="26">
        <f>U2247-L2247</f>
        <v/>
      </c>
    </row>
    <row r="2248">
      <c r="A2248" s="11" t="n">
        <v>46226</v>
      </c>
      <c r="B2248" s="1" t="n">
        <v>20043</v>
      </c>
      <c r="C2248" s="1" t="inlineStr">
        <is>
          <t>061</t>
        </is>
      </c>
      <c r="D2248" s="1" t="inlineStr">
        <is>
          <t>155480</t>
        </is>
      </c>
      <c r="E2248" s="1" t="inlineStr">
        <is>
          <t xml:space="preserve">28194770       </t>
        </is>
      </c>
      <c r="F2248" s="5" t="inlineStr">
        <is>
          <t>AUTOS DE METAL 3 TEAMSTERZ EN BLISTER</t>
        </is>
      </c>
      <c r="G2248" t="n">
        <v>1</v>
      </c>
      <c r="H2248" s="7" t="n">
        <v>6.9</v>
      </c>
      <c r="I2248" s="7" t="n">
        <v>0</v>
      </c>
      <c r="J2248" s="7" t="n">
        <v>0</v>
      </c>
      <c r="K2248" s="9" t="n">
        <v>0</v>
      </c>
      <c r="L2248" s="10" t="n">
        <v>4.1</v>
      </c>
      <c r="M2248" s="10" t="n">
        <v>1.43</v>
      </c>
      <c r="N2248" t="inlineStr">
        <is>
          <t>1</t>
        </is>
      </c>
      <c r="O2248" t="inlineStr">
        <is>
          <t xml:space="preserve">2 </t>
        </is>
      </c>
      <c r="P2248" t="inlineStr">
        <is>
          <t xml:space="preserve">52184   </t>
        </is>
      </c>
      <c r="Q2248" s="26" t="n">
        <v>4.09</v>
      </c>
      <c r="R2248" s="26">
        <f>Q2248*G2248</f>
        <v/>
      </c>
      <c r="S2248" s="26">
        <f>IFERROR(VLOOKUP(E2248*1,Tabla[#All],8,0),0)</f>
        <v/>
      </c>
      <c r="T2248" s="26">
        <f>S2248*G2248</f>
        <v/>
      </c>
      <c r="U2248" s="26">
        <f>R2248-T2248</f>
        <v/>
      </c>
      <c r="V2248" s="26">
        <f>U2248-L2248</f>
        <v/>
      </c>
    </row>
    <row r="2249">
      <c r="A2249" s="11" t="n">
        <v>46226</v>
      </c>
      <c r="B2249" s="1" t="n">
        <v>20043</v>
      </c>
      <c r="C2249" s="1" t="inlineStr">
        <is>
          <t>061</t>
        </is>
      </c>
      <c r="D2249" s="1" t="inlineStr">
        <is>
          <t>155480</t>
        </is>
      </c>
      <c r="E2249" s="1" t="inlineStr">
        <is>
          <t xml:space="preserve">28194770       </t>
        </is>
      </c>
      <c r="F2249" s="5" t="inlineStr">
        <is>
          <t>AUTOS DE METAL 3 TEAMSTERZ EN BLISTER</t>
        </is>
      </c>
      <c r="G2249" t="n">
        <v>1</v>
      </c>
      <c r="H2249" s="7" t="n">
        <v>6.9</v>
      </c>
      <c r="I2249" s="7" t="n">
        <v>0</v>
      </c>
      <c r="J2249" s="7" t="n">
        <v>0</v>
      </c>
      <c r="K2249" s="9" t="n">
        <v>0</v>
      </c>
      <c r="L2249" s="10" t="n">
        <v>4.1</v>
      </c>
      <c r="M2249" s="10" t="n">
        <v>1.43</v>
      </c>
      <c r="N2249" t="inlineStr">
        <is>
          <t>1</t>
        </is>
      </c>
      <c r="O2249" t="inlineStr">
        <is>
          <t xml:space="preserve">2 </t>
        </is>
      </c>
      <c r="P2249" t="inlineStr">
        <is>
          <t xml:space="preserve">52184   </t>
        </is>
      </c>
      <c r="Q2249" s="26" t="n">
        <v>4.09</v>
      </c>
      <c r="R2249" s="26">
        <f>Q2249*G2249</f>
        <v/>
      </c>
      <c r="S2249" s="26">
        <f>IFERROR(VLOOKUP(E2249*1,Tabla[#All],8,0),0)</f>
        <v/>
      </c>
      <c r="T2249" s="26">
        <f>S2249*G2249</f>
        <v/>
      </c>
      <c r="U2249" s="26">
        <f>R2249-T2249</f>
        <v/>
      </c>
      <c r="V2249" s="26">
        <f>U2249-L2249</f>
        <v/>
      </c>
    </row>
    <row r="2250">
      <c r="A2250" s="11" t="n">
        <v>46226</v>
      </c>
      <c r="B2250" s="1" t="n">
        <v>20043</v>
      </c>
      <c r="C2250" s="1" t="inlineStr">
        <is>
          <t>061</t>
        </is>
      </c>
      <c r="D2250" s="1" t="inlineStr">
        <is>
          <t>155481</t>
        </is>
      </c>
      <c r="E2250" s="1" t="inlineStr">
        <is>
          <t xml:space="preserve">28194770       </t>
        </is>
      </c>
      <c r="F2250" s="5" t="inlineStr">
        <is>
          <t>AUTOS DE METAL 3 TEAMSTERZ EN BLISTER</t>
        </is>
      </c>
      <c r="G2250" t="n">
        <v>1</v>
      </c>
      <c r="H2250" s="7" t="n">
        <v>6.9</v>
      </c>
      <c r="I2250" s="7" t="n">
        <v>0</v>
      </c>
      <c r="J2250" s="7" t="n">
        <v>0</v>
      </c>
      <c r="K2250" s="9" t="n">
        <v>0</v>
      </c>
      <c r="L2250" s="10" t="n">
        <v>4.1</v>
      </c>
      <c r="M2250" s="10" t="n">
        <v>1.43</v>
      </c>
      <c r="N2250" t="inlineStr">
        <is>
          <t>1</t>
        </is>
      </c>
      <c r="O2250" t="inlineStr">
        <is>
          <t>16</t>
        </is>
      </c>
      <c r="P2250" t="inlineStr">
        <is>
          <t xml:space="preserve">52184   </t>
        </is>
      </c>
      <c r="Q2250" s="26" t="n">
        <v>4.09</v>
      </c>
      <c r="R2250" s="26">
        <f>Q2250*G2250</f>
        <v/>
      </c>
      <c r="S2250" s="26">
        <f>IFERROR(VLOOKUP(E2250*1,Tabla[#All],8,0),0)</f>
        <v/>
      </c>
      <c r="T2250" s="26">
        <f>S2250*G2250</f>
        <v/>
      </c>
      <c r="U2250" s="26">
        <f>R2250-T2250</f>
        <v/>
      </c>
      <c r="V2250" s="26">
        <f>U2250-L2250</f>
        <v/>
      </c>
    </row>
    <row r="2251">
      <c r="A2251" s="11" t="n">
        <v>46226</v>
      </c>
      <c r="B2251" s="1" t="n">
        <v>20043</v>
      </c>
      <c r="C2251" s="1" t="inlineStr">
        <is>
          <t>061</t>
        </is>
      </c>
      <c r="D2251" s="1" t="inlineStr">
        <is>
          <t>155482</t>
        </is>
      </c>
      <c r="E2251" s="1" t="inlineStr">
        <is>
          <t xml:space="preserve">28194770       </t>
        </is>
      </c>
      <c r="F2251" s="5" t="inlineStr">
        <is>
          <t>AUTOS DE METAL 3 TEAMSTERZ EN BLISTER</t>
        </is>
      </c>
      <c r="G2251" t="n">
        <v>1</v>
      </c>
      <c r="H2251" s="7" t="n">
        <v>6.9</v>
      </c>
      <c r="I2251" s="7" t="n">
        <v>0</v>
      </c>
      <c r="J2251" s="7" t="n">
        <v>0</v>
      </c>
      <c r="K2251" s="9" t="n">
        <v>0</v>
      </c>
      <c r="L2251" s="10" t="n">
        <v>4.1</v>
      </c>
      <c r="M2251" s="10" t="n">
        <v>1.43</v>
      </c>
      <c r="N2251" t="inlineStr">
        <is>
          <t>1</t>
        </is>
      </c>
      <c r="O2251" t="inlineStr">
        <is>
          <t>16</t>
        </is>
      </c>
      <c r="P2251" t="inlineStr">
        <is>
          <t xml:space="preserve">52184   </t>
        </is>
      </c>
      <c r="Q2251" s="26" t="n">
        <v>4.09</v>
      </c>
      <c r="R2251" s="26">
        <f>Q2251*G2251</f>
        <v/>
      </c>
      <c r="S2251" s="26">
        <f>IFERROR(VLOOKUP(E2251*1,Tabla[#All],8,0),0)</f>
        <v/>
      </c>
      <c r="T2251" s="26">
        <f>S2251*G2251</f>
        <v/>
      </c>
      <c r="U2251" s="26">
        <f>R2251-T2251</f>
        <v/>
      </c>
      <c r="V2251" s="26">
        <f>U2251-L2251</f>
        <v/>
      </c>
    </row>
    <row r="2252">
      <c r="A2252" s="11" t="n">
        <v>46226</v>
      </c>
      <c r="B2252" s="1" t="n">
        <v>20043</v>
      </c>
      <c r="C2252" s="1" t="inlineStr">
        <is>
          <t>061</t>
        </is>
      </c>
      <c r="D2252" s="1" t="inlineStr">
        <is>
          <t>155483</t>
        </is>
      </c>
      <c r="E2252" s="1" t="inlineStr">
        <is>
          <t xml:space="preserve">28194770       </t>
        </is>
      </c>
      <c r="F2252" s="5" t="inlineStr">
        <is>
          <t>AUTOS DE METAL 3 TEAMSTERZ EN BLISTER</t>
        </is>
      </c>
      <c r="G2252" t="n">
        <v>1</v>
      </c>
      <c r="H2252" s="7" t="n">
        <v>6.9</v>
      </c>
      <c r="I2252" s="7" t="n">
        <v>0</v>
      </c>
      <c r="J2252" s="7" t="n">
        <v>0</v>
      </c>
      <c r="K2252" s="9" t="n">
        <v>0</v>
      </c>
      <c r="L2252" s="10" t="n">
        <v>4.1</v>
      </c>
      <c r="M2252" s="10" t="n">
        <v>1.43</v>
      </c>
      <c r="N2252" t="inlineStr">
        <is>
          <t>1</t>
        </is>
      </c>
      <c r="O2252" t="inlineStr">
        <is>
          <t>16</t>
        </is>
      </c>
      <c r="P2252" t="inlineStr">
        <is>
          <t xml:space="preserve">52184   </t>
        </is>
      </c>
      <c r="Q2252" s="26" t="n">
        <v>4.09</v>
      </c>
      <c r="R2252" s="26">
        <f>Q2252*G2252</f>
        <v/>
      </c>
      <c r="S2252" s="26">
        <f>IFERROR(VLOOKUP(E2252*1,Tabla[#All],8,0),0)</f>
        <v/>
      </c>
      <c r="T2252" s="26">
        <f>S2252*G2252</f>
        <v/>
      </c>
      <c r="U2252" s="26">
        <f>R2252-T2252</f>
        <v/>
      </c>
      <c r="V2252" s="26">
        <f>U2252-L2252</f>
        <v/>
      </c>
    </row>
    <row r="2253">
      <c r="A2253" s="11" t="n">
        <v>46226</v>
      </c>
      <c r="B2253" s="1" t="n">
        <v>20043</v>
      </c>
      <c r="C2253" s="1" t="inlineStr">
        <is>
          <t>061</t>
        </is>
      </c>
      <c r="D2253" s="1" t="inlineStr">
        <is>
          <t>155503</t>
        </is>
      </c>
      <c r="E2253" s="1" t="inlineStr">
        <is>
          <t xml:space="preserve">28194769       </t>
        </is>
      </c>
      <c r="F2253" s="5" t="inlineStr">
        <is>
          <t>AUTOS DE METAL 3 TEAMSTERZ PACK DE 2</t>
        </is>
      </c>
      <c r="G2253" t="n">
        <v>1</v>
      </c>
      <c r="H2253" s="7" t="n">
        <v>13.8</v>
      </c>
      <c r="I2253" s="7" t="n">
        <v>1.38</v>
      </c>
      <c r="J2253" s="7" t="n">
        <v>0</v>
      </c>
      <c r="K2253" s="9" t="n">
        <v>1.38</v>
      </c>
      <c r="L2253" s="10" t="n">
        <v>7.37</v>
      </c>
      <c r="M2253" s="10" t="n">
        <v>1.43</v>
      </c>
      <c r="N2253" t="inlineStr">
        <is>
          <t>1</t>
        </is>
      </c>
      <c r="O2253" t="inlineStr">
        <is>
          <t xml:space="preserve">3 </t>
        </is>
      </c>
      <c r="P2253" t="inlineStr">
        <is>
          <t xml:space="preserve">52184   </t>
        </is>
      </c>
      <c r="Q2253" s="26" t="n">
        <v>8.19</v>
      </c>
      <c r="R2253" s="26">
        <f>Q2253*G2253</f>
        <v/>
      </c>
      <c r="S2253" s="26">
        <f>IFERROR(VLOOKUP(E2253*1,Tabla[#All],8,0),0)</f>
        <v/>
      </c>
      <c r="T2253" s="26">
        <f>S2253*G2253</f>
        <v/>
      </c>
      <c r="U2253" s="26">
        <f>R2253-T2253</f>
        <v/>
      </c>
      <c r="V2253" s="26">
        <f>U2253-L2253</f>
        <v/>
      </c>
    </row>
    <row r="2254">
      <c r="A2254" s="11" t="n">
        <v>46226</v>
      </c>
      <c r="B2254" s="1" t="n">
        <v>20043</v>
      </c>
      <c r="C2254" s="1" t="inlineStr">
        <is>
          <t>061</t>
        </is>
      </c>
      <c r="D2254" s="1" t="inlineStr">
        <is>
          <t>155504</t>
        </is>
      </c>
      <c r="E2254" s="1" t="inlineStr">
        <is>
          <t xml:space="preserve">28194770       </t>
        </is>
      </c>
      <c r="F2254" s="5" t="inlineStr">
        <is>
          <t>AUTOS DE METAL 3 TEAMSTERZ EN BLISTER</t>
        </is>
      </c>
      <c r="G2254" t="n">
        <v>1</v>
      </c>
      <c r="H2254" s="7" t="n">
        <v>6.9</v>
      </c>
      <c r="I2254" s="7" t="n">
        <v>0.6899999999999999</v>
      </c>
      <c r="J2254" s="7" t="n">
        <v>0</v>
      </c>
      <c r="K2254" s="9" t="n">
        <v>0.6899999999999999</v>
      </c>
      <c r="L2254" s="10" t="n">
        <v>3.68</v>
      </c>
      <c r="M2254" s="10" t="n">
        <v>1.43</v>
      </c>
      <c r="N2254" t="inlineStr">
        <is>
          <t>1</t>
        </is>
      </c>
      <c r="O2254" t="inlineStr">
        <is>
          <t xml:space="preserve">3 </t>
        </is>
      </c>
      <c r="P2254" t="inlineStr">
        <is>
          <t xml:space="preserve">52184   </t>
        </is>
      </c>
      <c r="Q2254" s="26" t="n">
        <v>4.09</v>
      </c>
      <c r="R2254" s="26">
        <f>Q2254*G2254</f>
        <v/>
      </c>
      <c r="S2254" s="26">
        <f>IFERROR(VLOOKUP(E2254*1,Tabla[#All],8,0),0)</f>
        <v/>
      </c>
      <c r="T2254" s="26">
        <f>S2254*G2254</f>
        <v/>
      </c>
      <c r="U2254" s="26">
        <f>R2254-T2254</f>
        <v/>
      </c>
      <c r="V2254" s="26">
        <f>U2254-L2254</f>
        <v/>
      </c>
    </row>
    <row r="2255">
      <c r="A2255" s="11" t="n">
        <v>46226</v>
      </c>
      <c r="B2255" s="1" t="n">
        <v>20047</v>
      </c>
      <c r="C2255" s="1" t="inlineStr">
        <is>
          <t>191</t>
        </is>
      </c>
      <c r="D2255" s="1" t="inlineStr">
        <is>
          <t>463062</t>
        </is>
      </c>
      <c r="E2255" s="1" t="inlineStr">
        <is>
          <t xml:space="preserve">28194770       </t>
        </is>
      </c>
      <c r="F2255" s="5" t="inlineStr">
        <is>
          <t>AUTOS DE METAL 3 TEAMSTERZ EN BLISTER</t>
        </is>
      </c>
      <c r="G2255" t="n">
        <v>1</v>
      </c>
      <c r="H2255" s="7" t="n">
        <v>6.9</v>
      </c>
      <c r="I2255" s="7" t="n">
        <v>0.6899999999999999</v>
      </c>
      <c r="J2255" s="7" t="n">
        <v>0</v>
      </c>
      <c r="K2255" s="9" t="n">
        <v>0.6899999999999999</v>
      </c>
      <c r="L2255" s="10" t="n">
        <v>3.68</v>
      </c>
      <c r="M2255" s="10" t="n">
        <v>1.43</v>
      </c>
      <c r="N2255" t="inlineStr">
        <is>
          <t>1</t>
        </is>
      </c>
      <c r="O2255" t="inlineStr">
        <is>
          <t xml:space="preserve">3 </t>
        </is>
      </c>
      <c r="P2255" t="inlineStr">
        <is>
          <t xml:space="preserve">245750  </t>
        </is>
      </c>
      <c r="Q2255" s="26" t="n">
        <v>4.09</v>
      </c>
      <c r="R2255" s="26">
        <f>Q2255*G2255</f>
        <v/>
      </c>
      <c r="S2255" s="26">
        <f>IFERROR(VLOOKUP(E2255*1,Tabla[#All],8,0),0)</f>
        <v/>
      </c>
      <c r="T2255" s="26">
        <f>S2255*G2255</f>
        <v/>
      </c>
      <c r="U2255" s="26">
        <f>R2255-T2255</f>
        <v/>
      </c>
      <c r="V2255" s="26">
        <f>U2255-L2255</f>
        <v/>
      </c>
    </row>
    <row r="2256">
      <c r="A2256" s="11" t="n">
        <v>46226</v>
      </c>
      <c r="B2256" s="1" t="n">
        <v>20047</v>
      </c>
      <c r="C2256" s="1" t="inlineStr">
        <is>
          <t>191</t>
        </is>
      </c>
      <c r="D2256" s="1" t="inlineStr">
        <is>
          <t>463127</t>
        </is>
      </c>
      <c r="E2256" s="1" t="inlineStr">
        <is>
          <t xml:space="preserve">28194770       </t>
        </is>
      </c>
      <c r="F2256" s="5" t="inlineStr">
        <is>
          <t>AUTOS DE METAL 3 TEAMSTERZ EN BLISTER</t>
        </is>
      </c>
      <c r="G2256" t="n">
        <v>1</v>
      </c>
      <c r="H2256" s="7" t="n">
        <v>6.9</v>
      </c>
      <c r="I2256" s="7" t="n">
        <v>0.6899999999999999</v>
      </c>
      <c r="J2256" s="7" t="n">
        <v>0</v>
      </c>
      <c r="K2256" s="9" t="n">
        <v>0.6899999999999999</v>
      </c>
      <c r="L2256" s="10" t="n">
        <v>3.68</v>
      </c>
      <c r="M2256" s="10" t="n">
        <v>1.43</v>
      </c>
      <c r="N2256" t="inlineStr">
        <is>
          <t>1</t>
        </is>
      </c>
      <c r="O2256" t="inlineStr">
        <is>
          <t xml:space="preserve">3 </t>
        </is>
      </c>
      <c r="P2256" t="inlineStr">
        <is>
          <t xml:space="preserve">245862  </t>
        </is>
      </c>
      <c r="Q2256" s="26" t="n">
        <v>4.09</v>
      </c>
      <c r="R2256" s="26">
        <f>Q2256*G2256</f>
        <v/>
      </c>
      <c r="S2256" s="26">
        <f>IFERROR(VLOOKUP(E2256*1,Tabla[#All],8,0),0)</f>
        <v/>
      </c>
      <c r="T2256" s="26">
        <f>S2256*G2256</f>
        <v/>
      </c>
      <c r="U2256" s="26">
        <f>R2256-T2256</f>
        <v/>
      </c>
      <c r="V2256" s="26">
        <f>U2256-L2256</f>
        <v/>
      </c>
    </row>
    <row r="2257">
      <c r="A2257" s="11" t="n">
        <v>46226</v>
      </c>
      <c r="B2257" s="1" t="n">
        <v>20047</v>
      </c>
      <c r="C2257" s="1" t="inlineStr">
        <is>
          <t>191</t>
        </is>
      </c>
      <c r="D2257" s="1" t="inlineStr">
        <is>
          <t>463132</t>
        </is>
      </c>
      <c r="E2257" s="1" t="inlineStr">
        <is>
          <t xml:space="preserve">28194770       </t>
        </is>
      </c>
      <c r="F2257" s="5" t="inlineStr">
        <is>
          <t>AUTOS DE METAL 3 TEAMSTERZ EN BLISTER</t>
        </is>
      </c>
      <c r="G2257" t="n">
        <v>1</v>
      </c>
      <c r="H2257" s="7" t="n">
        <v>6.9</v>
      </c>
      <c r="I2257" s="7" t="n">
        <v>0</v>
      </c>
      <c r="J2257" s="7" t="n">
        <v>0</v>
      </c>
      <c r="K2257" s="9" t="n">
        <v>0</v>
      </c>
      <c r="L2257" s="10" t="n">
        <v>4.1</v>
      </c>
      <c r="M2257" s="10" t="n">
        <v>1.43</v>
      </c>
      <c r="N2257" t="inlineStr">
        <is>
          <t>1</t>
        </is>
      </c>
      <c r="O2257" t="inlineStr">
        <is>
          <t xml:space="preserve">2 </t>
        </is>
      </c>
      <c r="P2257" t="inlineStr">
        <is>
          <t xml:space="preserve">245862  </t>
        </is>
      </c>
      <c r="Q2257" s="26" t="n">
        <v>4.09</v>
      </c>
      <c r="R2257" s="26">
        <f>Q2257*G2257</f>
        <v/>
      </c>
      <c r="S2257" s="26">
        <f>IFERROR(VLOOKUP(E2257*1,Tabla[#All],8,0),0)</f>
        <v/>
      </c>
      <c r="T2257" s="26">
        <f>S2257*G2257</f>
        <v/>
      </c>
      <c r="U2257" s="26">
        <f>R2257-T2257</f>
        <v/>
      </c>
      <c r="V2257" s="26">
        <f>U2257-L2257</f>
        <v/>
      </c>
    </row>
    <row r="2258">
      <c r="A2258" s="11" t="n">
        <v>46226</v>
      </c>
      <c r="B2258" s="1" t="n">
        <v>20047</v>
      </c>
      <c r="C2258" s="1" t="inlineStr">
        <is>
          <t>501</t>
        </is>
      </c>
      <c r="D2258" s="1" t="inlineStr">
        <is>
          <t xml:space="preserve">3318  </t>
        </is>
      </c>
      <c r="E2258" s="1" t="inlineStr">
        <is>
          <t xml:space="preserve">28194770       </t>
        </is>
      </c>
      <c r="F2258" s="5" t="inlineStr">
        <is>
          <t>AUTOS DE METAL 3 TEAMSTERZ EN BLISTER</t>
        </is>
      </c>
      <c r="G2258" t="n">
        <v>1</v>
      </c>
      <c r="H2258" s="7" t="n">
        <v>6.9</v>
      </c>
      <c r="I2258" s="7" t="n">
        <v>0.6899999999999999</v>
      </c>
      <c r="J2258" s="7" t="n">
        <v>0</v>
      </c>
      <c r="K2258" s="9" t="n">
        <v>0.6899999999999999</v>
      </c>
      <c r="L2258" s="10" t="n">
        <v>3.68</v>
      </c>
      <c r="M2258" s="10" t="n">
        <v>1.43</v>
      </c>
      <c r="N2258" t="inlineStr">
        <is>
          <t>1</t>
        </is>
      </c>
      <c r="O2258" t="inlineStr">
        <is>
          <t>16</t>
        </is>
      </c>
      <c r="P2258" t="inlineStr">
        <is>
          <t xml:space="preserve">242227  </t>
        </is>
      </c>
      <c r="Q2258" s="26" t="n">
        <v>4.09</v>
      </c>
      <c r="R2258" s="26">
        <f>Q2258*G2258</f>
        <v/>
      </c>
      <c r="S2258" s="26">
        <f>IFERROR(VLOOKUP(E2258*1,Tabla[#All],8,0),0)</f>
        <v/>
      </c>
      <c r="T2258" s="26">
        <f>S2258*G2258</f>
        <v/>
      </c>
      <c r="U2258" s="26">
        <f>R2258-T2258</f>
        <v/>
      </c>
      <c r="V2258" s="26">
        <f>U2258-L2258</f>
        <v/>
      </c>
    </row>
    <row r="2259">
      <c r="A2259" s="11" t="n">
        <v>46226</v>
      </c>
      <c r="B2259" s="1" t="n">
        <v>20047</v>
      </c>
      <c r="C2259" s="1" t="inlineStr">
        <is>
          <t>501</t>
        </is>
      </c>
      <c r="D2259" s="1" t="inlineStr">
        <is>
          <t xml:space="preserve">3318  </t>
        </is>
      </c>
      <c r="E2259" s="1" t="inlineStr">
        <is>
          <t xml:space="preserve">32457106       </t>
        </is>
      </c>
      <c r="F2259" s="5" t="inlineStr">
        <is>
          <t>TMZ BEAST MACHINES PLAYSET DESASTRE DRAGON + 1 AUT</t>
        </is>
      </c>
      <c r="G2259" t="n">
        <v>1</v>
      </c>
      <c r="H2259" s="7" t="n">
        <v>49.9</v>
      </c>
      <c r="I2259" s="7" t="n">
        <v>4.99</v>
      </c>
      <c r="J2259" s="7" t="n">
        <v>0</v>
      </c>
      <c r="K2259" s="9" t="n">
        <v>4.99</v>
      </c>
      <c r="L2259" s="10" t="n">
        <v>26.64</v>
      </c>
      <c r="M2259" s="10" t="n">
        <v>1.43</v>
      </c>
      <c r="N2259" t="inlineStr">
        <is>
          <t>1</t>
        </is>
      </c>
      <c r="O2259" t="inlineStr">
        <is>
          <t>16</t>
        </is>
      </c>
      <c r="P2259" t="inlineStr">
        <is>
          <t xml:space="preserve">242227  </t>
        </is>
      </c>
      <c r="Q2259" s="26" t="n">
        <v>41.47</v>
      </c>
      <c r="R2259" s="26">
        <f>Q2259*G2259</f>
        <v/>
      </c>
      <c r="S2259" s="26">
        <f>IFERROR(VLOOKUP(E2259*1,Tabla[#All],8,0),0)</f>
        <v/>
      </c>
      <c r="T2259" s="26">
        <f>S2259*G2259</f>
        <v/>
      </c>
      <c r="U2259" s="26">
        <f>R2259-T2259</f>
        <v/>
      </c>
      <c r="V2259" s="26">
        <f>U2259-L2259</f>
        <v/>
      </c>
    </row>
    <row r="2260">
      <c r="A2260" s="11" t="n">
        <v>46226</v>
      </c>
      <c r="B2260" s="1" t="n">
        <v>20048</v>
      </c>
      <c r="C2260" s="1" t="inlineStr">
        <is>
          <t>013</t>
        </is>
      </c>
      <c r="D2260" s="1" t="inlineStr">
        <is>
          <t>226359</t>
        </is>
      </c>
      <c r="E2260" s="1" t="inlineStr">
        <is>
          <t xml:space="preserve">32457099       </t>
        </is>
      </c>
      <c r="F2260" s="5" t="inlineStr">
        <is>
          <t>TMZ BEAST MACHINES MONSTER JAWS A FRICCION BLISTER</t>
        </is>
      </c>
      <c r="G2260" t="n">
        <v>1</v>
      </c>
      <c r="H2260" s="7" t="n">
        <v>17.9</v>
      </c>
      <c r="I2260" s="7" t="n">
        <v>0</v>
      </c>
      <c r="J2260" s="7" t="n">
        <v>0</v>
      </c>
      <c r="K2260" s="9" t="n">
        <v>0</v>
      </c>
      <c r="L2260" s="10" t="n">
        <v>10.62</v>
      </c>
      <c r="M2260" s="10" t="n">
        <v>1.43</v>
      </c>
      <c r="N2260" t="inlineStr">
        <is>
          <t>1</t>
        </is>
      </c>
      <c r="O2260" t="inlineStr">
        <is>
          <t>16</t>
        </is>
      </c>
      <c r="P2260" t="inlineStr">
        <is>
          <t xml:space="preserve">82617   </t>
        </is>
      </c>
      <c r="Q2260" s="26" t="n">
        <v>11.81</v>
      </c>
      <c r="R2260" s="26">
        <f>Q2260*G2260</f>
        <v/>
      </c>
      <c r="S2260" s="26">
        <f>IFERROR(VLOOKUP(E2260*1,Tabla[#All],8,0),0)</f>
        <v/>
      </c>
      <c r="T2260" s="26">
        <f>S2260*G2260</f>
        <v/>
      </c>
      <c r="U2260" s="26">
        <f>R2260-T2260</f>
        <v/>
      </c>
      <c r="V2260" s="26">
        <f>U2260-L2260</f>
        <v/>
      </c>
    </row>
    <row r="2261">
      <c r="A2261" s="11" t="n">
        <v>46226</v>
      </c>
      <c r="B2261" s="1" t="n">
        <v>20048</v>
      </c>
      <c r="C2261" s="1" t="inlineStr">
        <is>
          <t>017</t>
        </is>
      </c>
      <c r="D2261" s="1" t="inlineStr">
        <is>
          <t>167475</t>
        </is>
      </c>
      <c r="E2261" s="1" t="inlineStr">
        <is>
          <t xml:space="preserve">30141768       </t>
        </is>
      </c>
      <c r="F2261" s="5" t="inlineStr">
        <is>
          <t>TMZ BEAST MACHINES AUTOS DE METAL PACK 10 AUTOS</t>
        </is>
      </c>
      <c r="G2261" t="n">
        <v>1</v>
      </c>
      <c r="H2261" s="7" t="n">
        <v>69</v>
      </c>
      <c r="I2261" s="7" t="n">
        <v>0</v>
      </c>
      <c r="J2261" s="7" t="n">
        <v>0</v>
      </c>
      <c r="K2261" s="9" t="n">
        <v>0</v>
      </c>
      <c r="L2261" s="10" t="n">
        <v>40.93</v>
      </c>
      <c r="M2261" s="10" t="n">
        <v>1.43</v>
      </c>
      <c r="N2261" t="inlineStr">
        <is>
          <t>1</t>
        </is>
      </c>
      <c r="O2261" t="inlineStr">
        <is>
          <t xml:space="preserve">2 </t>
        </is>
      </c>
      <c r="P2261" t="inlineStr">
        <is>
          <t xml:space="preserve">250434  </t>
        </is>
      </c>
      <c r="Q2261" s="26" t="n">
        <v>46.86</v>
      </c>
      <c r="R2261" s="26">
        <f>Q2261*G2261</f>
        <v/>
      </c>
      <c r="S2261" s="26">
        <f>IFERROR(VLOOKUP(E2261*1,Tabla[#All],8,0),0)</f>
        <v/>
      </c>
      <c r="T2261" s="26">
        <f>S2261*G2261</f>
        <v/>
      </c>
      <c r="U2261" s="26">
        <f>R2261-T2261</f>
        <v/>
      </c>
      <c r="V2261" s="26">
        <f>U2261-L2261</f>
        <v/>
      </c>
    </row>
    <row r="2262">
      <c r="A2262" s="11" t="n">
        <v>46226</v>
      </c>
      <c r="B2262" s="1" t="n">
        <v>20048</v>
      </c>
      <c r="C2262" s="1" t="inlineStr">
        <is>
          <t>018</t>
        </is>
      </c>
      <c r="D2262" s="1" t="inlineStr">
        <is>
          <t xml:space="preserve">47937 </t>
        </is>
      </c>
      <c r="E2262" s="1" t="inlineStr">
        <is>
          <t xml:space="preserve">30141766       </t>
        </is>
      </c>
      <c r="F2262" s="5" t="inlineStr">
        <is>
          <t>TMZ BEAST MACHINES AUTOS DE METAL BLISTER X 1</t>
        </is>
      </c>
      <c r="G2262" t="n">
        <v>1</v>
      </c>
      <c r="H2262" s="7" t="n">
        <v>7.9</v>
      </c>
      <c r="I2262" s="7" t="n">
        <v>0</v>
      </c>
      <c r="J2262" s="7" t="n">
        <v>0</v>
      </c>
      <c r="K2262" s="9" t="n">
        <v>0</v>
      </c>
      <c r="L2262" s="10" t="n">
        <v>4.68</v>
      </c>
      <c r="M2262" s="10" t="n">
        <v>1.43</v>
      </c>
      <c r="N2262" t="inlineStr">
        <is>
          <t>1</t>
        </is>
      </c>
      <c r="O2262" t="inlineStr">
        <is>
          <t>16</t>
        </is>
      </c>
      <c r="P2262" t="inlineStr">
        <is>
          <t xml:space="preserve">243717  </t>
        </is>
      </c>
      <c r="Q2262" s="26" t="n">
        <v>4.69</v>
      </c>
      <c r="R2262" s="26">
        <f>Q2262*G2262</f>
        <v/>
      </c>
      <c r="S2262" s="26">
        <f>IFERROR(VLOOKUP(E2262*1,Tabla[#All],8,0),0)</f>
        <v/>
      </c>
      <c r="T2262" s="26">
        <f>S2262*G2262</f>
        <v/>
      </c>
      <c r="U2262" s="26">
        <f>R2262-T2262</f>
        <v/>
      </c>
      <c r="V2262" s="26">
        <f>U2262-L2262</f>
        <v/>
      </c>
    </row>
    <row r="2263">
      <c r="A2263" s="11" t="n">
        <v>46226</v>
      </c>
      <c r="B2263" s="1" t="n">
        <v>20048</v>
      </c>
      <c r="C2263" s="1" t="inlineStr">
        <is>
          <t>800</t>
        </is>
      </c>
      <c r="D2263" s="1" t="inlineStr">
        <is>
          <t xml:space="preserve">4710  </t>
        </is>
      </c>
      <c r="E2263" s="1" t="inlineStr">
        <is>
          <t xml:space="preserve">34840556       </t>
        </is>
      </c>
      <c r="F2263" s="5" t="inlineStr">
        <is>
          <t>TMZ BEAST MACH. TRANSPORT DINO +ACCS</t>
        </is>
      </c>
      <c r="G2263" t="n">
        <v>1</v>
      </c>
      <c r="H2263" s="7" t="n">
        <v>59.9</v>
      </c>
      <c r="I2263" s="7" t="n">
        <v>5.99</v>
      </c>
      <c r="J2263" s="7" t="n">
        <v>0</v>
      </c>
      <c r="K2263" s="9" t="n">
        <v>5.99</v>
      </c>
      <c r="L2263" s="10" t="n">
        <v>31.98</v>
      </c>
      <c r="M2263" s="10" t="n">
        <v>1.43</v>
      </c>
      <c r="N2263" t="inlineStr">
        <is>
          <t>1</t>
        </is>
      </c>
      <c r="O2263" t="inlineStr">
        <is>
          <t>16</t>
        </is>
      </c>
      <c r="P2263" t="inlineStr">
        <is>
          <t xml:space="preserve">234984  </t>
        </is>
      </c>
      <c r="Q2263" s="26" t="n">
        <v>47.4</v>
      </c>
      <c r="R2263" s="26">
        <f>Q2263*G2263</f>
        <v/>
      </c>
      <c r="S2263" s="26">
        <f>IFERROR(VLOOKUP(E2263*1,Tabla[#All],8,0),0)</f>
        <v/>
      </c>
      <c r="T2263" s="26">
        <f>S2263*G2263</f>
        <v/>
      </c>
      <c r="U2263" s="26">
        <f>R2263-T2263</f>
        <v/>
      </c>
      <c r="V2263" s="26">
        <f>U2263-L2263</f>
        <v/>
      </c>
    </row>
    <row r="2264">
      <c r="A2264" s="11" t="n">
        <v>46226</v>
      </c>
      <c r="B2264" s="1" t="n">
        <v>20048</v>
      </c>
      <c r="C2264" s="1" t="inlineStr">
        <is>
          <t>800</t>
        </is>
      </c>
      <c r="D2264" s="1" t="inlineStr">
        <is>
          <t xml:space="preserve">4714  </t>
        </is>
      </c>
      <c r="E2264" s="1" t="inlineStr">
        <is>
          <t xml:space="preserve">28194770       </t>
        </is>
      </c>
      <c r="F2264" s="5" t="inlineStr">
        <is>
          <t>AUTOS DE METAL 3 TEAMSTERZ EN BLISTER</t>
        </is>
      </c>
      <c r="G2264" t="n">
        <v>1</v>
      </c>
      <c r="H2264" s="7" t="n">
        <v>6.9</v>
      </c>
      <c r="I2264" s="7" t="n">
        <v>0</v>
      </c>
      <c r="J2264" s="7" t="n">
        <v>0</v>
      </c>
      <c r="K2264" s="9" t="n">
        <v>0</v>
      </c>
      <c r="L2264" s="10" t="n">
        <v>4.1</v>
      </c>
      <c r="M2264" s="10" t="n">
        <v>1.43</v>
      </c>
      <c r="N2264" t="inlineStr">
        <is>
          <t>1</t>
        </is>
      </c>
      <c r="O2264" t="inlineStr">
        <is>
          <t>16</t>
        </is>
      </c>
      <c r="P2264" t="inlineStr">
        <is>
          <t xml:space="preserve">234984  </t>
        </is>
      </c>
      <c r="Q2264" s="26" t="n">
        <v>4.09</v>
      </c>
      <c r="R2264" s="26">
        <f>Q2264*G2264</f>
        <v/>
      </c>
      <c r="S2264" s="26">
        <f>IFERROR(VLOOKUP(E2264*1,Tabla[#All],8,0),0)</f>
        <v/>
      </c>
      <c r="T2264" s="26">
        <f>S2264*G2264</f>
        <v/>
      </c>
      <c r="U2264" s="26">
        <f>R2264-T2264</f>
        <v/>
      </c>
      <c r="V2264" s="26">
        <f>U2264-L2264</f>
        <v/>
      </c>
    </row>
    <row r="2265">
      <c r="A2265" s="11" t="n">
        <v>46226</v>
      </c>
      <c r="B2265" s="1" t="n">
        <v>20048</v>
      </c>
      <c r="C2265" s="1" t="inlineStr">
        <is>
          <t>801</t>
        </is>
      </c>
      <c r="D2265" s="1" t="inlineStr">
        <is>
          <t xml:space="preserve">6767  </t>
        </is>
      </c>
      <c r="E2265" s="1" t="inlineStr">
        <is>
          <t xml:space="preserve">28194770       </t>
        </is>
      </c>
      <c r="F2265" s="5" t="inlineStr">
        <is>
          <t>AUTOS DE METAL 3 TEAMSTERZ EN BLISTER</t>
        </is>
      </c>
      <c r="G2265" t="n">
        <v>3</v>
      </c>
      <c r="H2265" s="7" t="n">
        <v>20.7</v>
      </c>
      <c r="I2265" s="7" t="n">
        <v>0</v>
      </c>
      <c r="J2265" s="7" t="n">
        <v>0</v>
      </c>
      <c r="K2265" s="9" t="n">
        <v>0</v>
      </c>
      <c r="L2265" s="10" t="n">
        <v>12.27</v>
      </c>
      <c r="M2265" s="10" t="n">
        <v>1.43</v>
      </c>
      <c r="N2265" t="inlineStr">
        <is>
          <t>1</t>
        </is>
      </c>
      <c r="O2265" t="inlineStr">
        <is>
          <t>16</t>
        </is>
      </c>
      <c r="P2265" t="inlineStr">
        <is>
          <t xml:space="preserve">252197  </t>
        </is>
      </c>
      <c r="Q2265" s="26" t="n">
        <v>4.09</v>
      </c>
      <c r="R2265" s="26">
        <f>Q2265*G2265</f>
        <v/>
      </c>
      <c r="S2265" s="26">
        <f>IFERROR(VLOOKUP(E2265*1,Tabla[#All],8,0),0)</f>
        <v/>
      </c>
      <c r="T2265" s="26">
        <f>S2265*G2265</f>
        <v/>
      </c>
      <c r="U2265" s="26">
        <f>R2265-T2265</f>
        <v/>
      </c>
      <c r="V2265" s="26">
        <f>U2265-L2265</f>
        <v/>
      </c>
    </row>
    <row r="2266">
      <c r="A2266" s="11" t="n">
        <v>46226</v>
      </c>
      <c r="B2266" s="1" t="n">
        <v>20049</v>
      </c>
      <c r="C2266" s="1" t="inlineStr">
        <is>
          <t>026</t>
        </is>
      </c>
      <c r="D2266" s="1" t="inlineStr">
        <is>
          <t>234191</t>
        </is>
      </c>
      <c r="E2266" s="1" t="inlineStr">
        <is>
          <t xml:space="preserve">28194770       </t>
        </is>
      </c>
      <c r="F2266" s="5" t="inlineStr">
        <is>
          <t>AUTOS DE METAL 3 TEAMSTERZ EN BLISTER</t>
        </is>
      </c>
      <c r="G2266" t="n">
        <v>1</v>
      </c>
      <c r="H2266" s="7" t="n">
        <v>6.9</v>
      </c>
      <c r="I2266" s="7" t="n">
        <v>0</v>
      </c>
      <c r="J2266" s="7" t="n">
        <v>0</v>
      </c>
      <c r="K2266" s="9" t="n">
        <v>0</v>
      </c>
      <c r="L2266" s="10" t="n">
        <v>4.1</v>
      </c>
      <c r="M2266" s="10" t="n">
        <v>1.43</v>
      </c>
      <c r="N2266" t="inlineStr">
        <is>
          <t>1</t>
        </is>
      </c>
      <c r="O2266" t="inlineStr">
        <is>
          <t xml:space="preserve">2 </t>
        </is>
      </c>
      <c r="P2266" t="inlineStr">
        <is>
          <t xml:space="preserve">249970  </t>
        </is>
      </c>
      <c r="Q2266" s="26" t="n">
        <v>4.09</v>
      </c>
      <c r="R2266" s="26">
        <f>Q2266*G2266</f>
        <v/>
      </c>
      <c r="S2266" s="26">
        <f>IFERROR(VLOOKUP(E2266*1,Tabla[#All],8,0),0)</f>
        <v/>
      </c>
      <c r="T2266" s="26">
        <f>S2266*G2266</f>
        <v/>
      </c>
      <c r="U2266" s="26">
        <f>R2266-T2266</f>
        <v/>
      </c>
      <c r="V2266" s="26">
        <f>U2266-L2266</f>
        <v/>
      </c>
    </row>
    <row r="2267">
      <c r="A2267" s="11" t="n">
        <v>46226</v>
      </c>
      <c r="B2267" s="1" t="n">
        <v>20049</v>
      </c>
      <c r="C2267" s="1" t="inlineStr">
        <is>
          <t>030</t>
        </is>
      </c>
      <c r="D2267" s="1" t="inlineStr">
        <is>
          <t>114330</t>
        </is>
      </c>
      <c r="E2267" s="1" t="inlineStr">
        <is>
          <t xml:space="preserve">35685067       </t>
        </is>
      </c>
      <c r="F2267" s="5" t="inlineStr">
        <is>
          <t>HOT WHEELS POWER SET 3 EN 1</t>
        </is>
      </c>
      <c r="G2267" t="n">
        <v>1</v>
      </c>
      <c r="H2267" s="7" t="n">
        <v>49.9</v>
      </c>
      <c r="I2267" s="7" t="n">
        <v>4.99</v>
      </c>
      <c r="J2267" s="7" t="n">
        <v>0</v>
      </c>
      <c r="K2267" s="9" t="n">
        <v>4.99</v>
      </c>
      <c r="L2267" s="10" t="n">
        <v>26.64</v>
      </c>
      <c r="M2267" s="10" t="n">
        <v>1.43</v>
      </c>
      <c r="N2267" t="inlineStr">
        <is>
          <t>1</t>
        </is>
      </c>
      <c r="O2267" t="inlineStr">
        <is>
          <t xml:space="preserve">3 </t>
        </is>
      </c>
      <c r="P2267" t="inlineStr">
        <is>
          <t xml:space="preserve">251771  </t>
        </is>
      </c>
      <c r="Q2267" s="26" t="n">
        <v>29.6</v>
      </c>
      <c r="R2267" s="26">
        <f>Q2267*G2267</f>
        <v/>
      </c>
      <c r="S2267" s="26">
        <f>IFERROR(VLOOKUP(E2267*1,Tabla[#All],8,0),0)</f>
        <v/>
      </c>
      <c r="T2267" s="26">
        <f>S2267*G2267</f>
        <v/>
      </c>
      <c r="U2267" s="26">
        <f>R2267-T2267</f>
        <v/>
      </c>
      <c r="V2267" s="26">
        <f>U2267-L2267</f>
        <v/>
      </c>
    </row>
    <row r="2268">
      <c r="A2268" s="11" t="n">
        <v>46226</v>
      </c>
      <c r="B2268" s="1" t="n">
        <v>20049</v>
      </c>
      <c r="C2268" s="1" t="inlineStr">
        <is>
          <t>031</t>
        </is>
      </c>
      <c r="D2268" s="1" t="inlineStr">
        <is>
          <t>121288</t>
        </is>
      </c>
      <c r="E2268" s="1" t="inlineStr">
        <is>
          <t xml:space="preserve">30141769       </t>
        </is>
      </c>
      <c r="F2268" s="5" t="inlineStr">
        <is>
          <t>TMZ BEAST MACHINES TRANSPORTE DINOSAURIO + 3 AUTOS</t>
        </is>
      </c>
      <c r="G2268" t="n">
        <v>1</v>
      </c>
      <c r="H2268" s="7" t="n">
        <v>59.9</v>
      </c>
      <c r="I2268" s="7" t="n">
        <v>0</v>
      </c>
      <c r="J2268" s="7" t="n">
        <v>0</v>
      </c>
      <c r="K2268" s="9" t="n">
        <v>0</v>
      </c>
      <c r="L2268" s="10" t="n">
        <v>35.53</v>
      </c>
      <c r="M2268" s="10" t="n">
        <v>1.43</v>
      </c>
      <c r="N2268" t="inlineStr">
        <is>
          <t>1</t>
        </is>
      </c>
      <c r="O2268" t="inlineStr">
        <is>
          <t>16</t>
        </is>
      </c>
      <c r="P2268" t="inlineStr">
        <is>
          <t xml:space="preserve">234411  </t>
        </is>
      </c>
      <c r="Q2268" s="26" t="n">
        <v>47.4</v>
      </c>
      <c r="R2268" s="26">
        <f>Q2268*G2268</f>
        <v/>
      </c>
      <c r="S2268" s="26">
        <f>IFERROR(VLOOKUP(E2268*1,Tabla[#All],8,0),0)</f>
        <v/>
      </c>
      <c r="T2268" s="26">
        <f>S2268*G2268</f>
        <v/>
      </c>
      <c r="U2268" s="26">
        <f>R2268-T2268</f>
        <v/>
      </c>
      <c r="V2268" s="26">
        <f>U2268-L2268</f>
        <v/>
      </c>
    </row>
    <row r="2269">
      <c r="A2269" s="11" t="n">
        <v>46226</v>
      </c>
      <c r="B2269" s="1" t="n">
        <v>20049</v>
      </c>
      <c r="C2269" s="1" t="inlineStr">
        <is>
          <t>031</t>
        </is>
      </c>
      <c r="D2269" s="1" t="inlineStr">
        <is>
          <t>121288</t>
        </is>
      </c>
      <c r="E2269" s="1" t="inlineStr">
        <is>
          <t xml:space="preserve">31754676       </t>
        </is>
      </c>
      <c r="F2269" s="5" t="inlineStr">
        <is>
          <t>INFINITY NADO SERIE 6 STD PACK LANZ ESPAD ANILLO M</t>
        </is>
      </c>
      <c r="G2269" t="n">
        <v>1</v>
      </c>
      <c r="H2269" s="7" t="n">
        <v>59.9</v>
      </c>
      <c r="I2269" s="7" t="n">
        <v>0</v>
      </c>
      <c r="J2269" s="7" t="n">
        <v>0</v>
      </c>
      <c r="K2269" s="9" t="n">
        <v>0</v>
      </c>
      <c r="L2269" s="10" t="n">
        <v>35.53</v>
      </c>
      <c r="M2269" s="10" t="n">
        <v>1.43</v>
      </c>
      <c r="N2269" t="inlineStr">
        <is>
          <t>1</t>
        </is>
      </c>
      <c r="O2269" t="inlineStr">
        <is>
          <t>16</t>
        </is>
      </c>
      <c r="P2269" t="inlineStr">
        <is>
          <t xml:space="preserve">234411  </t>
        </is>
      </c>
      <c r="Q2269" s="26" t="n">
        <v>47.4</v>
      </c>
      <c r="R2269" s="26">
        <f>Q2269*G2269</f>
        <v/>
      </c>
      <c r="S2269" s="26">
        <f>IFERROR(VLOOKUP(E2269*1,Tabla[#All],8,0),0)</f>
        <v/>
      </c>
      <c r="T2269" s="26">
        <f>S2269*G2269</f>
        <v/>
      </c>
      <c r="U2269" s="26">
        <f>R2269-T2269</f>
        <v/>
      </c>
      <c r="V2269" s="26">
        <f>U2269-L2269</f>
        <v/>
      </c>
    </row>
    <row r="2270">
      <c r="A2270" s="11" t="n">
        <v>46226</v>
      </c>
      <c r="B2270" s="1" t="n">
        <v>20049</v>
      </c>
      <c r="C2270" s="1" t="inlineStr">
        <is>
          <t>800</t>
        </is>
      </c>
      <c r="D2270" s="1" t="inlineStr">
        <is>
          <t xml:space="preserve">6627  </t>
        </is>
      </c>
      <c r="E2270" s="1" t="inlineStr">
        <is>
          <t xml:space="preserve">28194769       </t>
        </is>
      </c>
      <c r="F2270" s="5" t="inlineStr">
        <is>
          <t>AUTOS DE METAL 3 TEAMSTERZ PACK DE 2</t>
        </is>
      </c>
      <c r="G2270" t="n">
        <v>1</v>
      </c>
      <c r="H2270" s="7" t="n">
        <v>13.8</v>
      </c>
      <c r="I2270" s="7" t="n">
        <v>0</v>
      </c>
      <c r="J2270" s="7" t="n">
        <v>0</v>
      </c>
      <c r="K2270" s="9" t="n">
        <v>0</v>
      </c>
      <c r="L2270" s="10" t="n">
        <v>8.18</v>
      </c>
      <c r="M2270" s="10" t="n">
        <v>1.43</v>
      </c>
      <c r="N2270" t="inlineStr">
        <is>
          <t>1</t>
        </is>
      </c>
      <c r="O2270" t="inlineStr">
        <is>
          <t>16</t>
        </is>
      </c>
      <c r="P2270" t="inlineStr">
        <is>
          <t xml:space="preserve">0       </t>
        </is>
      </c>
      <c r="Q2270" s="26" t="n">
        <v>8.19</v>
      </c>
      <c r="R2270" s="26">
        <f>Q2270*G2270</f>
        <v/>
      </c>
      <c r="S2270" s="26">
        <f>IFERROR(VLOOKUP(E2270*1,Tabla[#All],8,0),0)</f>
        <v/>
      </c>
      <c r="T2270" s="26">
        <f>S2270*G2270</f>
        <v/>
      </c>
      <c r="U2270" s="26">
        <f>R2270-T2270</f>
        <v/>
      </c>
      <c r="V2270" s="26">
        <f>U2270-L2270</f>
        <v/>
      </c>
    </row>
    <row r="2271">
      <c r="A2271" s="11" t="n">
        <v>46226</v>
      </c>
      <c r="B2271" s="1" t="n">
        <v>20056</v>
      </c>
      <c r="C2271" s="1" t="inlineStr">
        <is>
          <t>022</t>
        </is>
      </c>
      <c r="D2271" s="1" t="inlineStr">
        <is>
          <t xml:space="preserve">55350 </t>
        </is>
      </c>
      <c r="E2271" s="1" t="inlineStr">
        <is>
          <t xml:space="preserve">31675354       </t>
        </is>
      </c>
      <c r="F2271" s="5" t="inlineStr">
        <is>
          <t>NENUCO LLORON CON ACCESORIOS</t>
        </is>
      </c>
      <c r="G2271" t="n">
        <v>1</v>
      </c>
      <c r="H2271" s="7" t="n">
        <v>69.90000000000001</v>
      </c>
      <c r="I2271" s="7" t="n">
        <v>0</v>
      </c>
      <c r="J2271" s="7" t="n">
        <v>0</v>
      </c>
      <c r="K2271" s="9" t="n">
        <v>0</v>
      </c>
      <c r="L2271" s="10" t="n">
        <v>41.47</v>
      </c>
      <c r="M2271" s="10" t="n">
        <v>1.43</v>
      </c>
      <c r="N2271" t="inlineStr">
        <is>
          <t>1</t>
        </is>
      </c>
      <c r="O2271" t="inlineStr">
        <is>
          <t xml:space="preserve">2 </t>
        </is>
      </c>
      <c r="P2271" t="inlineStr">
        <is>
          <t xml:space="preserve">247194  </t>
        </is>
      </c>
      <c r="Q2271" s="26" t="n">
        <v>53.33</v>
      </c>
      <c r="R2271" s="26">
        <f>Q2271*G2271</f>
        <v/>
      </c>
      <c r="S2271" s="26">
        <f>IFERROR(VLOOKUP(E2271*1,Tabla[#All],8,0),0)</f>
        <v/>
      </c>
      <c r="T2271" s="26">
        <f>S2271*G2271</f>
        <v/>
      </c>
      <c r="U2271" s="26">
        <f>R2271-T2271</f>
        <v/>
      </c>
      <c r="V2271" s="26">
        <f>U2271-L2271</f>
        <v/>
      </c>
    </row>
    <row r="2272">
      <c r="A2272" s="11" t="n">
        <v>46226</v>
      </c>
      <c r="B2272" s="1" t="n">
        <v>20057</v>
      </c>
      <c r="C2272" s="1" t="inlineStr">
        <is>
          <t>023</t>
        </is>
      </c>
      <c r="D2272" s="1" t="inlineStr">
        <is>
          <t xml:space="preserve">51598 </t>
        </is>
      </c>
      <c r="E2272" s="1" t="inlineStr">
        <is>
          <t xml:space="preserve">28194770       </t>
        </is>
      </c>
      <c r="F2272" s="5" t="inlineStr">
        <is>
          <t>AUTOS DE METAL 3 TEAMSTERZ EN BLISTER</t>
        </is>
      </c>
      <c r="G2272" t="n">
        <v>1</v>
      </c>
      <c r="H2272" s="7" t="n">
        <v>6.9</v>
      </c>
      <c r="I2272" s="7" t="n">
        <v>0.6899999999999999</v>
      </c>
      <c r="J2272" s="7" t="n">
        <v>0</v>
      </c>
      <c r="K2272" s="9" t="n">
        <v>0.6899999999999999</v>
      </c>
      <c r="L2272" s="10" t="n">
        <v>3.68</v>
      </c>
      <c r="M2272" s="10" t="n">
        <v>1.43</v>
      </c>
      <c r="N2272" t="inlineStr">
        <is>
          <t>1</t>
        </is>
      </c>
      <c r="O2272" t="inlineStr">
        <is>
          <t xml:space="preserve">3 </t>
        </is>
      </c>
      <c r="P2272" t="inlineStr">
        <is>
          <t xml:space="preserve">248132  </t>
        </is>
      </c>
      <c r="Q2272" s="26" t="n">
        <v>4.09</v>
      </c>
      <c r="R2272" s="26">
        <f>Q2272*G2272</f>
        <v/>
      </c>
      <c r="S2272" s="26">
        <f>IFERROR(VLOOKUP(E2272*1,Tabla[#All],8,0),0)</f>
        <v/>
      </c>
      <c r="T2272" s="26">
        <f>S2272*G2272</f>
        <v/>
      </c>
      <c r="U2272" s="26">
        <f>R2272-T2272</f>
        <v/>
      </c>
      <c r="V2272" s="26">
        <f>U2272-L2272</f>
        <v/>
      </c>
    </row>
    <row r="2273">
      <c r="A2273" s="11" t="n">
        <v>46226</v>
      </c>
      <c r="B2273" s="1" t="n">
        <v>20057</v>
      </c>
      <c r="C2273" s="1" t="inlineStr">
        <is>
          <t>863</t>
        </is>
      </c>
      <c r="D2273" s="1" t="inlineStr">
        <is>
          <t xml:space="preserve">5015  </t>
        </is>
      </c>
      <c r="E2273" s="1" t="inlineStr">
        <is>
          <t xml:space="preserve">28194770       </t>
        </is>
      </c>
      <c r="F2273" s="5" t="inlineStr">
        <is>
          <t>AUTOS DE METAL 3 TEAMSTERZ EN BLISTER</t>
        </is>
      </c>
      <c r="G2273" t="n">
        <v>1</v>
      </c>
      <c r="H2273" s="7" t="n">
        <v>6.9</v>
      </c>
      <c r="I2273" s="7" t="n">
        <v>0.6899999999999999</v>
      </c>
      <c r="J2273" s="7" t="n">
        <v>0</v>
      </c>
      <c r="K2273" s="9" t="n">
        <v>0.6899999999999999</v>
      </c>
      <c r="L2273" s="10" t="n">
        <v>3.68</v>
      </c>
      <c r="M2273" s="10" t="n">
        <v>1.43</v>
      </c>
      <c r="N2273" t="inlineStr">
        <is>
          <t>1</t>
        </is>
      </c>
      <c r="O2273" t="inlineStr">
        <is>
          <t>16</t>
        </is>
      </c>
      <c r="P2273" t="inlineStr">
        <is>
          <t xml:space="preserve">0       </t>
        </is>
      </c>
      <c r="Q2273" s="26" t="n">
        <v>4.09</v>
      </c>
      <c r="R2273" s="26">
        <f>Q2273*G2273</f>
        <v/>
      </c>
      <c r="S2273" s="26">
        <f>IFERROR(VLOOKUP(E2273*1,Tabla[#All],8,0),0)</f>
        <v/>
      </c>
      <c r="T2273" s="26">
        <f>S2273*G2273</f>
        <v/>
      </c>
      <c r="U2273" s="26">
        <f>R2273-T2273</f>
        <v/>
      </c>
      <c r="V2273" s="26">
        <f>U2273-L2273</f>
        <v/>
      </c>
    </row>
    <row r="2274">
      <c r="A2274" s="11" t="n">
        <v>46226</v>
      </c>
      <c r="B2274" s="1" t="n">
        <v>20057</v>
      </c>
      <c r="C2274" s="1" t="inlineStr">
        <is>
          <t>863</t>
        </is>
      </c>
      <c r="D2274" s="1" t="inlineStr">
        <is>
          <t xml:space="preserve">5044  </t>
        </is>
      </c>
      <c r="E2274" s="1" t="inlineStr">
        <is>
          <t xml:space="preserve">28194780       </t>
        </is>
      </c>
      <c r="F2274" s="5" t="inlineStr">
        <is>
          <t>TROMPO BATALLA INFINITY NADO PLSTICO SURTIDO</t>
        </is>
      </c>
      <c r="G2274" t="n">
        <v>1</v>
      </c>
      <c r="H2274" s="7" t="n">
        <v>19.9</v>
      </c>
      <c r="I2274" s="7" t="n">
        <v>0</v>
      </c>
      <c r="J2274" s="7" t="n">
        <v>0</v>
      </c>
      <c r="K2274" s="9" t="n">
        <v>0</v>
      </c>
      <c r="L2274" s="10" t="n">
        <v>11.8</v>
      </c>
      <c r="M2274" s="10" t="n">
        <v>1.43</v>
      </c>
      <c r="N2274" t="inlineStr">
        <is>
          <t>1</t>
        </is>
      </c>
      <c r="O2274" t="inlineStr">
        <is>
          <t>16</t>
        </is>
      </c>
      <c r="P2274" t="inlineStr">
        <is>
          <t xml:space="preserve">0       </t>
        </is>
      </c>
      <c r="Q2274" s="26" t="n">
        <v>11.81</v>
      </c>
      <c r="R2274" s="26">
        <f>Q2274*G2274</f>
        <v/>
      </c>
      <c r="S2274" s="26">
        <f>IFERROR(VLOOKUP(E2274*1,Tabla[#All],8,0),0)</f>
        <v/>
      </c>
      <c r="T2274" s="26">
        <f>S2274*G2274</f>
        <v/>
      </c>
      <c r="U2274" s="26">
        <f>R2274-T2274</f>
        <v/>
      </c>
      <c r="V2274" s="26">
        <f>U2274-L2274</f>
        <v/>
      </c>
    </row>
    <row r="2275">
      <c r="A2275" s="11" t="n">
        <v>46226</v>
      </c>
      <c r="B2275" s="1" t="n">
        <v>20058</v>
      </c>
      <c r="C2275" s="1" t="inlineStr">
        <is>
          <t>035</t>
        </is>
      </c>
      <c r="D2275" s="1" t="inlineStr">
        <is>
          <t xml:space="preserve">6097  </t>
        </is>
      </c>
      <c r="E2275" s="1" t="inlineStr">
        <is>
          <t xml:space="preserve">28194781       </t>
        </is>
      </c>
      <c r="F2275" s="5" t="inlineStr">
        <is>
          <t>TROMPO BATALLA INFINITY NADO SERIE V CLASICA SURTI</t>
        </is>
      </c>
      <c r="G2275" t="n">
        <v>1</v>
      </c>
      <c r="H2275" s="7" t="n">
        <v>39.9</v>
      </c>
      <c r="I2275" s="7" t="n">
        <v>0</v>
      </c>
      <c r="J2275" s="7" t="n">
        <v>0</v>
      </c>
      <c r="K2275" s="9" t="n">
        <v>0</v>
      </c>
      <c r="L2275" s="10" t="n">
        <v>23.67</v>
      </c>
      <c r="M2275" s="10" t="n">
        <v>1.43</v>
      </c>
      <c r="N2275" t="inlineStr">
        <is>
          <t>1</t>
        </is>
      </c>
      <c r="O2275" t="inlineStr">
        <is>
          <t>16</t>
        </is>
      </c>
      <c r="P2275" t="inlineStr">
        <is>
          <t xml:space="preserve">231548  </t>
        </is>
      </c>
      <c r="Q2275" s="26" t="n">
        <v>35.53</v>
      </c>
      <c r="R2275" s="26">
        <f>Q2275*G2275</f>
        <v/>
      </c>
      <c r="S2275" s="26">
        <f>IFERROR(VLOOKUP(E2275*1,Tabla[#All],8,0),0)</f>
        <v/>
      </c>
      <c r="T2275" s="26">
        <f>S2275*G2275</f>
        <v/>
      </c>
      <c r="U2275" s="26">
        <f>R2275-T2275</f>
        <v/>
      </c>
      <c r="V2275" s="26">
        <f>U2275-L2275</f>
        <v/>
      </c>
    </row>
    <row r="2276">
      <c r="A2276" s="11" t="n">
        <v>46226</v>
      </c>
      <c r="B2276" s="1" t="n">
        <v>20058</v>
      </c>
      <c r="C2276" s="1" t="inlineStr">
        <is>
          <t>035</t>
        </is>
      </c>
      <c r="D2276" s="1" t="inlineStr">
        <is>
          <t xml:space="preserve">6097  </t>
        </is>
      </c>
      <c r="E2276" s="1" t="inlineStr">
        <is>
          <t xml:space="preserve">28194781       </t>
        </is>
      </c>
      <c r="F2276" s="5" t="inlineStr">
        <is>
          <t>TROMPO BATALLA INFINITY NADO SERIE V CLASICA SURTI</t>
        </is>
      </c>
      <c r="G2276" t="n">
        <v>1</v>
      </c>
      <c r="H2276" s="7" t="n">
        <v>39.9</v>
      </c>
      <c r="I2276" s="7" t="n">
        <v>0</v>
      </c>
      <c r="J2276" s="7" t="n">
        <v>0</v>
      </c>
      <c r="K2276" s="9" t="n">
        <v>0</v>
      </c>
      <c r="L2276" s="10" t="n">
        <v>23.67</v>
      </c>
      <c r="M2276" s="10" t="n">
        <v>1.43</v>
      </c>
      <c r="N2276" t="inlineStr">
        <is>
          <t>1</t>
        </is>
      </c>
      <c r="O2276" t="inlineStr">
        <is>
          <t>16</t>
        </is>
      </c>
      <c r="P2276" t="inlineStr">
        <is>
          <t xml:space="preserve">231548  </t>
        </is>
      </c>
      <c r="Q2276" s="26" t="n">
        <v>35.53</v>
      </c>
      <c r="R2276" s="26">
        <f>Q2276*G2276</f>
        <v/>
      </c>
      <c r="S2276" s="26">
        <f>IFERROR(VLOOKUP(E2276*1,Tabla[#All],8,0),0)</f>
        <v/>
      </c>
      <c r="T2276" s="26">
        <f>S2276*G2276</f>
        <v/>
      </c>
      <c r="U2276" s="26">
        <f>R2276-T2276</f>
        <v/>
      </c>
      <c r="V2276" s="26">
        <f>U2276-L2276</f>
        <v/>
      </c>
    </row>
    <row r="2277">
      <c r="A2277" s="11" t="n">
        <v>46226</v>
      </c>
      <c r="B2277" s="1" t="n">
        <v>20058</v>
      </c>
      <c r="C2277" s="1" t="inlineStr">
        <is>
          <t>038</t>
        </is>
      </c>
      <c r="D2277" s="1" t="inlineStr">
        <is>
          <t>210301</t>
        </is>
      </c>
      <c r="E2277" s="1" t="inlineStr">
        <is>
          <t xml:space="preserve">34840552       </t>
        </is>
      </c>
      <c r="F2277" s="5" t="inlineStr">
        <is>
          <t>TMZ HELI POLICIA CON LUCES Y SONIDOS</t>
        </is>
      </c>
      <c r="G2277" t="n">
        <v>1</v>
      </c>
      <c r="H2277" s="7" t="n">
        <v>79.90000000000001</v>
      </c>
      <c r="I2277" s="7" t="n">
        <v>0</v>
      </c>
      <c r="J2277" s="7" t="n">
        <v>0</v>
      </c>
      <c r="K2277" s="9" t="n">
        <v>0</v>
      </c>
      <c r="L2277" s="10" t="n">
        <v>47.4</v>
      </c>
      <c r="M2277" s="10" t="n">
        <v>1.43</v>
      </c>
      <c r="N2277" t="inlineStr">
        <is>
          <t>1</t>
        </is>
      </c>
      <c r="O2277" t="inlineStr">
        <is>
          <t>16</t>
        </is>
      </c>
      <c r="P2277" t="inlineStr">
        <is>
          <t xml:space="preserve">97366   </t>
        </is>
      </c>
      <c r="Q2277" s="26" t="n">
        <v>47.4</v>
      </c>
      <c r="R2277" s="26">
        <f>Q2277*G2277</f>
        <v/>
      </c>
      <c r="S2277" s="26">
        <f>IFERROR(VLOOKUP(E2277*1,Tabla[#All],8,0),0)</f>
        <v/>
      </c>
      <c r="T2277" s="26">
        <f>S2277*G2277</f>
        <v/>
      </c>
      <c r="U2277" s="26">
        <f>R2277-T2277</f>
        <v/>
      </c>
      <c r="V2277" s="26">
        <f>U2277-L2277</f>
        <v/>
      </c>
    </row>
    <row r="2278">
      <c r="A2278" s="11" t="n">
        <v>46226</v>
      </c>
      <c r="B2278" s="1" t="n">
        <v>20058</v>
      </c>
      <c r="C2278" s="1" t="inlineStr">
        <is>
          <t>039</t>
        </is>
      </c>
      <c r="D2278" s="1" t="inlineStr">
        <is>
          <t>231369</t>
        </is>
      </c>
      <c r="E2278" s="1" t="inlineStr">
        <is>
          <t xml:space="preserve">28194765       </t>
        </is>
      </c>
      <c r="F2278" s="5" t="inlineStr">
        <is>
          <t>PLAYSET COLOR CHANGE TIBURN TEAMSTERZ  1 AUTITO</t>
        </is>
      </c>
      <c r="G2278" t="n">
        <v>1</v>
      </c>
      <c r="H2278" s="7" t="n">
        <v>79.90000000000001</v>
      </c>
      <c r="I2278" s="7" t="n">
        <v>7.99</v>
      </c>
      <c r="J2278" s="7" t="n">
        <v>0</v>
      </c>
      <c r="K2278" s="9" t="n">
        <v>7.99</v>
      </c>
      <c r="L2278" s="10" t="n">
        <v>42.66</v>
      </c>
      <c r="M2278" s="10" t="n">
        <v>1.43</v>
      </c>
      <c r="N2278" t="inlineStr">
        <is>
          <t>1</t>
        </is>
      </c>
      <c r="O2278" t="inlineStr">
        <is>
          <t xml:space="preserve">3 </t>
        </is>
      </c>
      <c r="P2278" t="inlineStr">
        <is>
          <t xml:space="preserve">251348  </t>
        </is>
      </c>
      <c r="Q2278" s="26" t="n">
        <v>47.4</v>
      </c>
      <c r="R2278" s="26">
        <f>Q2278*G2278</f>
        <v/>
      </c>
      <c r="S2278" s="26">
        <f>IFERROR(VLOOKUP(E2278*1,Tabla[#All],8,0),0)</f>
        <v/>
      </c>
      <c r="T2278" s="26">
        <f>S2278*G2278</f>
        <v/>
      </c>
      <c r="U2278" s="26">
        <f>R2278-T2278</f>
        <v/>
      </c>
      <c r="V2278" s="26">
        <f>U2278-L2278</f>
        <v/>
      </c>
    </row>
    <row r="2279">
      <c r="A2279" s="11" t="n">
        <v>46226</v>
      </c>
      <c r="B2279" s="1" t="n">
        <v>20058</v>
      </c>
      <c r="C2279" s="1" t="inlineStr">
        <is>
          <t>039</t>
        </is>
      </c>
      <c r="D2279" s="1" t="inlineStr">
        <is>
          <t>231443</t>
        </is>
      </c>
      <c r="E2279" s="1" t="inlineStr">
        <is>
          <t xml:space="preserve">28194770       </t>
        </is>
      </c>
      <c r="F2279" s="5" t="inlineStr">
        <is>
          <t>AUTOS DE METAL 3 TEAMSTERZ EN BLISTER</t>
        </is>
      </c>
      <c r="G2279" t="n">
        <v>1</v>
      </c>
      <c r="H2279" s="7" t="n">
        <v>6.9</v>
      </c>
      <c r="I2279" s="7" t="n">
        <v>0.6899999999999999</v>
      </c>
      <c r="J2279" s="7" t="n">
        <v>0</v>
      </c>
      <c r="K2279" s="9" t="n">
        <v>0.6899999999999999</v>
      </c>
      <c r="L2279" s="10" t="n">
        <v>3.68</v>
      </c>
      <c r="M2279" s="10" t="n">
        <v>1.43</v>
      </c>
      <c r="N2279" t="inlineStr">
        <is>
          <t>1</t>
        </is>
      </c>
      <c r="O2279" t="inlineStr">
        <is>
          <t xml:space="preserve">3 </t>
        </is>
      </c>
      <c r="P2279" t="inlineStr">
        <is>
          <t xml:space="preserve">249068  </t>
        </is>
      </c>
      <c r="Q2279" s="26" t="n">
        <v>4.09</v>
      </c>
      <c r="R2279" s="26">
        <f>Q2279*G2279</f>
        <v/>
      </c>
      <c r="S2279" s="26">
        <f>IFERROR(VLOOKUP(E2279*1,Tabla[#All],8,0),0)</f>
        <v/>
      </c>
      <c r="T2279" s="26">
        <f>S2279*G2279</f>
        <v/>
      </c>
      <c r="U2279" s="26">
        <f>R2279-T2279</f>
        <v/>
      </c>
      <c r="V2279" s="26">
        <f>U2279-L2279</f>
        <v/>
      </c>
    </row>
    <row r="2280">
      <c r="A2280" s="11" t="n">
        <v>46226</v>
      </c>
      <c r="B2280" s="1" t="n">
        <v>20058</v>
      </c>
      <c r="C2280" s="1" t="inlineStr">
        <is>
          <t>197</t>
        </is>
      </c>
      <c r="D2280" s="1" t="inlineStr">
        <is>
          <t>170534</t>
        </is>
      </c>
      <c r="E2280" s="1" t="inlineStr">
        <is>
          <t xml:space="preserve">32457099       </t>
        </is>
      </c>
      <c r="F2280" s="5" t="inlineStr">
        <is>
          <t>TMZ BEAST MACHINES MONSTER JAWS A FRICCION BLISTER</t>
        </is>
      </c>
      <c r="G2280" t="n">
        <v>1</v>
      </c>
      <c r="H2280" s="7" t="n">
        <v>17.9</v>
      </c>
      <c r="I2280" s="7" t="n">
        <v>0</v>
      </c>
      <c r="J2280" s="7" t="n">
        <v>0</v>
      </c>
      <c r="K2280" s="9" t="n">
        <v>0</v>
      </c>
      <c r="L2280" s="10" t="n">
        <v>10.62</v>
      </c>
      <c r="M2280" s="10" t="n">
        <v>1.43</v>
      </c>
      <c r="N2280" t="inlineStr">
        <is>
          <t>1</t>
        </is>
      </c>
      <c r="O2280" t="inlineStr">
        <is>
          <t>16</t>
        </is>
      </c>
      <c r="P2280" t="inlineStr">
        <is>
          <t xml:space="preserve">242648  </t>
        </is>
      </c>
      <c r="Q2280" s="26" t="n">
        <v>11.81</v>
      </c>
      <c r="R2280" s="26">
        <f>Q2280*G2280</f>
        <v/>
      </c>
      <c r="S2280" s="26">
        <f>IFERROR(VLOOKUP(E2280*1,Tabla[#All],8,0),0)</f>
        <v/>
      </c>
      <c r="T2280" s="26">
        <f>S2280*G2280</f>
        <v/>
      </c>
      <c r="U2280" s="26">
        <f>R2280-T2280</f>
        <v/>
      </c>
      <c r="V2280" s="26">
        <f>U2280-L2280</f>
        <v/>
      </c>
    </row>
    <row r="2281">
      <c r="A2281" s="11" t="n">
        <v>46226</v>
      </c>
      <c r="B2281" s="1" t="n">
        <v>20058</v>
      </c>
      <c r="C2281" s="1" t="inlineStr">
        <is>
          <t>197</t>
        </is>
      </c>
      <c r="D2281" s="1" t="inlineStr">
        <is>
          <t>170579</t>
        </is>
      </c>
      <c r="E2281" s="1" t="inlineStr">
        <is>
          <t xml:space="preserve">28194769       </t>
        </is>
      </c>
      <c r="F2281" s="5" t="inlineStr">
        <is>
          <t>AUTOS DE METAL 3 TEAMSTERZ PACK DE 2</t>
        </is>
      </c>
      <c r="G2281" t="n">
        <v>1</v>
      </c>
      <c r="H2281" s="7" t="n">
        <v>13.8</v>
      </c>
      <c r="I2281" s="7" t="n">
        <v>0</v>
      </c>
      <c r="J2281" s="7" t="n">
        <v>0</v>
      </c>
      <c r="K2281" s="9" t="n">
        <v>0</v>
      </c>
      <c r="L2281" s="10" t="n">
        <v>8.18</v>
      </c>
      <c r="M2281" s="10" t="n">
        <v>1.43</v>
      </c>
      <c r="N2281" t="inlineStr">
        <is>
          <t>1</t>
        </is>
      </c>
      <c r="O2281" t="inlineStr">
        <is>
          <t>16</t>
        </is>
      </c>
      <c r="P2281" t="inlineStr">
        <is>
          <t xml:space="preserve">242648  </t>
        </is>
      </c>
      <c r="Q2281" s="26" t="n">
        <v>8.19</v>
      </c>
      <c r="R2281" s="26">
        <f>Q2281*G2281</f>
        <v/>
      </c>
      <c r="S2281" s="26">
        <f>IFERROR(VLOOKUP(E2281*1,Tabla[#All],8,0),0)</f>
        <v/>
      </c>
      <c r="T2281" s="26">
        <f>S2281*G2281</f>
        <v/>
      </c>
      <c r="U2281" s="26">
        <f>R2281-T2281</f>
        <v/>
      </c>
      <c r="V2281" s="26">
        <f>U2281-L2281</f>
        <v/>
      </c>
    </row>
    <row r="2282">
      <c r="A2282" s="11" t="n">
        <v>46226</v>
      </c>
      <c r="B2282" s="1" t="n">
        <v>20058</v>
      </c>
      <c r="C2282" s="1" t="inlineStr">
        <is>
          <t>197</t>
        </is>
      </c>
      <c r="D2282" s="1" t="inlineStr">
        <is>
          <t>170583</t>
        </is>
      </c>
      <c r="E2282" s="1" t="inlineStr">
        <is>
          <t xml:space="preserve">28194770       </t>
        </is>
      </c>
      <c r="F2282" s="5" t="inlineStr">
        <is>
          <t>AUTOS DE METAL 3 TEAMSTERZ EN BLISTER</t>
        </is>
      </c>
      <c r="G2282" t="n">
        <v>1</v>
      </c>
      <c r="H2282" s="7" t="n">
        <v>6.9</v>
      </c>
      <c r="I2282" s="7" t="n">
        <v>0</v>
      </c>
      <c r="J2282" s="7" t="n">
        <v>0</v>
      </c>
      <c r="K2282" s="9" t="n">
        <v>0</v>
      </c>
      <c r="L2282" s="10" t="n">
        <v>4.1</v>
      </c>
      <c r="M2282" s="10" t="n">
        <v>1.43</v>
      </c>
      <c r="N2282" t="inlineStr">
        <is>
          <t>1</t>
        </is>
      </c>
      <c r="O2282" t="inlineStr">
        <is>
          <t>16</t>
        </is>
      </c>
      <c r="P2282" t="inlineStr">
        <is>
          <t xml:space="preserve">242648  </t>
        </is>
      </c>
      <c r="Q2282" s="26" t="n">
        <v>4.09</v>
      </c>
      <c r="R2282" s="26">
        <f>Q2282*G2282</f>
        <v/>
      </c>
      <c r="S2282" s="26">
        <f>IFERROR(VLOOKUP(E2282*1,Tabla[#All],8,0),0)</f>
        <v/>
      </c>
      <c r="T2282" s="26">
        <f>S2282*G2282</f>
        <v/>
      </c>
      <c r="U2282" s="26">
        <f>R2282-T2282</f>
        <v/>
      </c>
      <c r="V2282" s="26">
        <f>U2282-L2282</f>
        <v/>
      </c>
    </row>
    <row r="2283">
      <c r="A2283" s="11" t="n">
        <v>46226</v>
      </c>
      <c r="B2283" s="1" t="n">
        <v>20058</v>
      </c>
      <c r="C2283" s="1" t="inlineStr">
        <is>
          <t>197</t>
        </is>
      </c>
      <c r="D2283" s="1" t="inlineStr">
        <is>
          <t>170588</t>
        </is>
      </c>
      <c r="E2283" s="1" t="inlineStr">
        <is>
          <t xml:space="preserve">28194770       </t>
        </is>
      </c>
      <c r="F2283" s="5" t="inlineStr">
        <is>
          <t>AUTOS DE METAL 3 TEAMSTERZ EN BLISTER</t>
        </is>
      </c>
      <c r="G2283" t="n">
        <v>1</v>
      </c>
      <c r="H2283" s="7" t="n">
        <v>6.9</v>
      </c>
      <c r="I2283" s="7" t="n">
        <v>0</v>
      </c>
      <c r="J2283" s="7" t="n">
        <v>0</v>
      </c>
      <c r="K2283" s="9" t="n">
        <v>0</v>
      </c>
      <c r="L2283" s="10" t="n">
        <v>4.1</v>
      </c>
      <c r="M2283" s="10" t="n">
        <v>1.43</v>
      </c>
      <c r="N2283" t="inlineStr">
        <is>
          <t>1</t>
        </is>
      </c>
      <c r="O2283" t="inlineStr">
        <is>
          <t>16</t>
        </is>
      </c>
      <c r="P2283" t="inlineStr">
        <is>
          <t xml:space="preserve">242648  </t>
        </is>
      </c>
      <c r="Q2283" s="26" t="n">
        <v>4.09</v>
      </c>
      <c r="R2283" s="26">
        <f>Q2283*G2283</f>
        <v/>
      </c>
      <c r="S2283" s="26">
        <f>IFERROR(VLOOKUP(E2283*1,Tabla[#All],8,0),0)</f>
        <v/>
      </c>
      <c r="T2283" s="26">
        <f>S2283*G2283</f>
        <v/>
      </c>
      <c r="U2283" s="26">
        <f>R2283-T2283</f>
        <v/>
      </c>
      <c r="V2283" s="26">
        <f>U2283-L2283</f>
        <v/>
      </c>
    </row>
    <row r="2284">
      <c r="A2284" s="11" t="n">
        <v>46226</v>
      </c>
      <c r="B2284" s="1" t="n">
        <v>20058</v>
      </c>
      <c r="C2284" s="1" t="inlineStr">
        <is>
          <t>197</t>
        </is>
      </c>
      <c r="D2284" s="1" t="inlineStr">
        <is>
          <t>170590</t>
        </is>
      </c>
      <c r="E2284" s="1" t="inlineStr">
        <is>
          <t xml:space="preserve">28194770       </t>
        </is>
      </c>
      <c r="F2284" s="5" t="inlineStr">
        <is>
          <t>AUTOS DE METAL 3 TEAMSTERZ EN BLISTER</t>
        </is>
      </c>
      <c r="G2284" t="n">
        <v>1</v>
      </c>
      <c r="H2284" s="7" t="n">
        <v>6.9</v>
      </c>
      <c r="I2284" s="7" t="n">
        <v>0</v>
      </c>
      <c r="J2284" s="7" t="n">
        <v>0</v>
      </c>
      <c r="K2284" s="9" t="n">
        <v>0</v>
      </c>
      <c r="L2284" s="10" t="n">
        <v>4.1</v>
      </c>
      <c r="M2284" s="10" t="n">
        <v>1.43</v>
      </c>
      <c r="N2284" t="inlineStr">
        <is>
          <t>1</t>
        </is>
      </c>
      <c r="O2284" t="inlineStr">
        <is>
          <t>16</t>
        </is>
      </c>
      <c r="P2284" t="inlineStr">
        <is>
          <t xml:space="preserve">244700  </t>
        </is>
      </c>
      <c r="Q2284" s="26" t="n">
        <v>4.09</v>
      </c>
      <c r="R2284" s="26">
        <f>Q2284*G2284</f>
        <v/>
      </c>
      <c r="S2284" s="26">
        <f>IFERROR(VLOOKUP(E2284*1,Tabla[#All],8,0),0)</f>
        <v/>
      </c>
      <c r="T2284" s="26">
        <f>S2284*G2284</f>
        <v/>
      </c>
      <c r="U2284" s="26">
        <f>R2284-T2284</f>
        <v/>
      </c>
      <c r="V2284" s="26">
        <f>U2284-L2284</f>
        <v/>
      </c>
    </row>
    <row r="2285">
      <c r="A2285" s="11" t="n">
        <v>46226</v>
      </c>
      <c r="B2285" s="1" t="n">
        <v>20058</v>
      </c>
      <c r="C2285" s="1" t="inlineStr">
        <is>
          <t>197</t>
        </is>
      </c>
      <c r="D2285" s="1" t="inlineStr">
        <is>
          <t>170590</t>
        </is>
      </c>
      <c r="E2285" s="1" t="inlineStr">
        <is>
          <t xml:space="preserve">28194770       </t>
        </is>
      </c>
      <c r="F2285" s="5" t="inlineStr">
        <is>
          <t>AUTOS DE METAL 3 TEAMSTERZ EN BLISTER</t>
        </is>
      </c>
      <c r="G2285" t="n">
        <v>1</v>
      </c>
      <c r="H2285" s="7" t="n">
        <v>6.9</v>
      </c>
      <c r="I2285" s="7" t="n">
        <v>0</v>
      </c>
      <c r="J2285" s="7" t="n">
        <v>0</v>
      </c>
      <c r="K2285" s="9" t="n">
        <v>0</v>
      </c>
      <c r="L2285" s="10" t="n">
        <v>4.1</v>
      </c>
      <c r="M2285" s="10" t="n">
        <v>1.43</v>
      </c>
      <c r="N2285" t="inlineStr">
        <is>
          <t>1</t>
        </is>
      </c>
      <c r="O2285" t="inlineStr">
        <is>
          <t>16</t>
        </is>
      </c>
      <c r="P2285" t="inlineStr">
        <is>
          <t xml:space="preserve">244700  </t>
        </is>
      </c>
      <c r="Q2285" s="26" t="n">
        <v>4.09</v>
      </c>
      <c r="R2285" s="26">
        <f>Q2285*G2285</f>
        <v/>
      </c>
      <c r="S2285" s="26">
        <f>IFERROR(VLOOKUP(E2285*1,Tabla[#All],8,0),0)</f>
        <v/>
      </c>
      <c r="T2285" s="26">
        <f>S2285*G2285</f>
        <v/>
      </c>
      <c r="U2285" s="26">
        <f>R2285-T2285</f>
        <v/>
      </c>
      <c r="V2285" s="26">
        <f>U2285-L2285</f>
        <v/>
      </c>
    </row>
    <row r="2286">
      <c r="A2286" s="11" t="n">
        <v>46226</v>
      </c>
      <c r="B2286" s="1" t="n">
        <v>20058</v>
      </c>
      <c r="C2286" s="1" t="inlineStr">
        <is>
          <t>197</t>
        </is>
      </c>
      <c r="D2286" s="1" t="inlineStr">
        <is>
          <t>170620</t>
        </is>
      </c>
      <c r="E2286" s="1" t="inlineStr">
        <is>
          <t xml:space="preserve">28194770       </t>
        </is>
      </c>
      <c r="F2286" s="5" t="inlineStr">
        <is>
          <t>AUTOS DE METAL 3 TEAMSTERZ EN BLISTER</t>
        </is>
      </c>
      <c r="G2286" t="n">
        <v>1</v>
      </c>
      <c r="H2286" s="7" t="n">
        <v>6.9</v>
      </c>
      <c r="I2286" s="7" t="n">
        <v>0</v>
      </c>
      <c r="J2286" s="7" t="n">
        <v>0</v>
      </c>
      <c r="K2286" s="9" t="n">
        <v>0</v>
      </c>
      <c r="L2286" s="10" t="n">
        <v>4.1</v>
      </c>
      <c r="M2286" s="10" t="n">
        <v>1.43</v>
      </c>
      <c r="N2286" t="inlineStr">
        <is>
          <t>1</t>
        </is>
      </c>
      <c r="O2286" t="inlineStr">
        <is>
          <t>16</t>
        </is>
      </c>
      <c r="P2286" t="inlineStr">
        <is>
          <t xml:space="preserve">244700  </t>
        </is>
      </c>
      <c r="Q2286" s="26" t="n">
        <v>4.09</v>
      </c>
      <c r="R2286" s="26">
        <f>Q2286*G2286</f>
        <v/>
      </c>
      <c r="S2286" s="26">
        <f>IFERROR(VLOOKUP(E2286*1,Tabla[#All],8,0),0)</f>
        <v/>
      </c>
      <c r="T2286" s="26">
        <f>S2286*G2286</f>
        <v/>
      </c>
      <c r="U2286" s="26">
        <f>R2286-T2286</f>
        <v/>
      </c>
      <c r="V2286" s="26">
        <f>U2286-L2286</f>
        <v/>
      </c>
    </row>
    <row r="2287">
      <c r="A2287" s="11" t="n">
        <v>46226</v>
      </c>
      <c r="B2287" s="1" t="n">
        <v>20058</v>
      </c>
      <c r="C2287" s="1" t="inlineStr">
        <is>
          <t>198</t>
        </is>
      </c>
      <c r="D2287" s="1" t="inlineStr">
        <is>
          <t xml:space="preserve">18872 </t>
        </is>
      </c>
      <c r="E2287" s="1" t="inlineStr">
        <is>
          <t xml:space="preserve">28194768       </t>
        </is>
      </c>
      <c r="F2287" s="5" t="inlineStr">
        <is>
          <t>AUTO COLOR CHANGE TEAMSTERZ SURTIDO</t>
        </is>
      </c>
      <c r="G2287" t="n">
        <v>1</v>
      </c>
      <c r="H2287" s="7" t="n">
        <v>14.9</v>
      </c>
      <c r="I2287" s="7" t="n">
        <v>1.49</v>
      </c>
      <c r="J2287" s="7" t="n">
        <v>0</v>
      </c>
      <c r="K2287" s="9" t="n">
        <v>1.49</v>
      </c>
      <c r="L2287" s="10" t="n">
        <v>7.95</v>
      </c>
      <c r="M2287" s="10" t="n">
        <v>1.43</v>
      </c>
      <c r="N2287" t="inlineStr">
        <is>
          <t>1</t>
        </is>
      </c>
      <c r="O2287" t="inlineStr">
        <is>
          <t xml:space="preserve">3 </t>
        </is>
      </c>
      <c r="P2287" t="inlineStr">
        <is>
          <t xml:space="preserve">231899  </t>
        </is>
      </c>
      <c r="Q2287" s="26" t="n">
        <v>8.84</v>
      </c>
      <c r="R2287" s="26">
        <f>Q2287*G2287</f>
        <v/>
      </c>
      <c r="S2287" s="26">
        <f>IFERROR(VLOOKUP(E2287*1,Tabla[#All],8,0),0)</f>
        <v/>
      </c>
      <c r="T2287" s="26">
        <f>S2287*G2287</f>
        <v/>
      </c>
      <c r="U2287" s="26">
        <f>R2287-T2287</f>
        <v/>
      </c>
      <c r="V2287" s="26">
        <f>U2287-L2287</f>
        <v/>
      </c>
    </row>
    <row r="2288">
      <c r="A2288" s="11" t="n">
        <v>46226</v>
      </c>
      <c r="B2288" s="1" t="n">
        <v>20058</v>
      </c>
      <c r="C2288" s="1" t="inlineStr">
        <is>
          <t>198</t>
        </is>
      </c>
      <c r="D2288" s="1" t="inlineStr">
        <is>
          <t xml:space="preserve">18872 </t>
        </is>
      </c>
      <c r="E2288" s="1" t="inlineStr">
        <is>
          <t xml:space="preserve">28194770       </t>
        </is>
      </c>
      <c r="F2288" s="5" t="inlineStr">
        <is>
          <t>AUTOS DE METAL 3 TEAMSTERZ EN BLISTER</t>
        </is>
      </c>
      <c r="G2288" t="n">
        <v>1</v>
      </c>
      <c r="H2288" s="7" t="n">
        <v>6.9</v>
      </c>
      <c r="I2288" s="7" t="n">
        <v>0.6899999999999999</v>
      </c>
      <c r="J2288" s="7" t="n">
        <v>0</v>
      </c>
      <c r="K2288" s="9" t="n">
        <v>0.6899999999999999</v>
      </c>
      <c r="L2288" s="10" t="n">
        <v>3.68</v>
      </c>
      <c r="M2288" s="10" t="n">
        <v>1.43</v>
      </c>
      <c r="N2288" t="inlineStr">
        <is>
          <t>1</t>
        </is>
      </c>
      <c r="O2288" t="inlineStr">
        <is>
          <t xml:space="preserve">3 </t>
        </is>
      </c>
      <c r="P2288" t="inlineStr">
        <is>
          <t xml:space="preserve">231899  </t>
        </is>
      </c>
      <c r="Q2288" s="26" t="n">
        <v>4.09</v>
      </c>
      <c r="R2288" s="26">
        <f>Q2288*G2288</f>
        <v/>
      </c>
      <c r="S2288" s="26">
        <f>IFERROR(VLOOKUP(E2288*1,Tabla[#All],8,0),0)</f>
        <v/>
      </c>
      <c r="T2288" s="26">
        <f>S2288*G2288</f>
        <v/>
      </c>
      <c r="U2288" s="26">
        <f>R2288-T2288</f>
        <v/>
      </c>
      <c r="V2288" s="26">
        <f>U2288-L2288</f>
        <v/>
      </c>
    </row>
    <row r="2289">
      <c r="A2289" s="11" t="n">
        <v>46226</v>
      </c>
      <c r="B2289" s="1" t="n">
        <v>20058</v>
      </c>
      <c r="C2289" s="1" t="inlineStr">
        <is>
          <t>515</t>
        </is>
      </c>
      <c r="D2289" s="1" t="inlineStr">
        <is>
          <t xml:space="preserve">6146  </t>
        </is>
      </c>
      <c r="E2289" s="1" t="inlineStr">
        <is>
          <t xml:space="preserve">28194770       </t>
        </is>
      </c>
      <c r="F2289" s="5" t="inlineStr">
        <is>
          <t>AUTOS DE METAL 3 TEAMSTERZ EN BLISTER</t>
        </is>
      </c>
      <c r="G2289" t="n">
        <v>1</v>
      </c>
      <c r="H2289" s="7" t="n">
        <v>6.9</v>
      </c>
      <c r="I2289" s="7" t="n">
        <v>0</v>
      </c>
      <c r="J2289" s="7" t="n">
        <v>0</v>
      </c>
      <c r="K2289" s="9" t="n">
        <v>0</v>
      </c>
      <c r="L2289" s="10" t="n">
        <v>4.1</v>
      </c>
      <c r="M2289" s="10" t="n">
        <v>1.43</v>
      </c>
      <c r="N2289" t="inlineStr">
        <is>
          <t>1</t>
        </is>
      </c>
      <c r="O2289" t="inlineStr">
        <is>
          <t>16</t>
        </is>
      </c>
      <c r="P2289" t="inlineStr">
        <is>
          <t xml:space="preserve">251302  </t>
        </is>
      </c>
      <c r="Q2289" s="26" t="n">
        <v>4.09</v>
      </c>
      <c r="R2289" s="26">
        <f>Q2289*G2289</f>
        <v/>
      </c>
      <c r="S2289" s="26">
        <f>IFERROR(VLOOKUP(E2289*1,Tabla[#All],8,0),0)</f>
        <v/>
      </c>
      <c r="T2289" s="26">
        <f>S2289*G2289</f>
        <v/>
      </c>
      <c r="U2289" s="26">
        <f>R2289-T2289</f>
        <v/>
      </c>
      <c r="V2289" s="26">
        <f>U2289-L2289</f>
        <v/>
      </c>
    </row>
    <row r="2290">
      <c r="A2290" s="11" t="n">
        <v>46226</v>
      </c>
      <c r="B2290" s="1" t="n">
        <v>20058</v>
      </c>
      <c r="C2290" s="1" t="inlineStr">
        <is>
          <t>532</t>
        </is>
      </c>
      <c r="D2290" s="1" t="inlineStr">
        <is>
          <t xml:space="preserve">4965  </t>
        </is>
      </c>
      <c r="E2290" s="1" t="inlineStr">
        <is>
          <t xml:space="preserve">34840551       </t>
        </is>
      </c>
      <c r="F2290" s="5" t="inlineStr">
        <is>
          <t>TMZ HELI BOMBERO CON LUCES Y SONIDOS</t>
        </is>
      </c>
      <c r="G2290" t="n">
        <v>1</v>
      </c>
      <c r="H2290" s="7" t="n">
        <v>79.90000000000001</v>
      </c>
      <c r="I2290" s="7" t="n">
        <v>0</v>
      </c>
      <c r="J2290" s="7" t="n">
        <v>0</v>
      </c>
      <c r="K2290" s="9" t="n">
        <v>0</v>
      </c>
      <c r="L2290" s="10" t="n">
        <v>47.4</v>
      </c>
      <c r="M2290" s="10" t="n">
        <v>1.43</v>
      </c>
      <c r="N2290" t="inlineStr">
        <is>
          <t>1</t>
        </is>
      </c>
      <c r="O2290" t="inlineStr">
        <is>
          <t>16</t>
        </is>
      </c>
      <c r="P2290" t="inlineStr">
        <is>
          <t xml:space="preserve">95364   </t>
        </is>
      </c>
      <c r="Q2290" s="26" t="n">
        <v>47.4</v>
      </c>
      <c r="R2290" s="26">
        <f>Q2290*G2290</f>
        <v/>
      </c>
      <c r="S2290" s="26">
        <f>IFERROR(VLOOKUP(E2290*1,Tabla[#All],8,0),0)</f>
        <v/>
      </c>
      <c r="T2290" s="26">
        <f>S2290*G2290</f>
        <v/>
      </c>
      <c r="U2290" s="26">
        <f>R2290-T2290</f>
        <v/>
      </c>
      <c r="V2290" s="26">
        <f>U2290-L2290</f>
        <v/>
      </c>
    </row>
    <row r="2291">
      <c r="A2291" s="11" t="n">
        <v>46226</v>
      </c>
      <c r="B2291" s="1" t="n">
        <v>20058</v>
      </c>
      <c r="C2291" s="1" t="inlineStr">
        <is>
          <t>803</t>
        </is>
      </c>
      <c r="D2291" s="1" t="inlineStr">
        <is>
          <t xml:space="preserve">2059  </t>
        </is>
      </c>
      <c r="E2291" s="1" t="inlineStr">
        <is>
          <t xml:space="preserve">28194770       </t>
        </is>
      </c>
      <c r="F2291" s="5" t="inlineStr">
        <is>
          <t>AUTOS DE METAL 3 TEAMSTERZ EN BLISTER</t>
        </is>
      </c>
      <c r="G2291" t="n">
        <v>1</v>
      </c>
      <c r="H2291" s="7" t="n">
        <v>6.9</v>
      </c>
      <c r="I2291" s="7" t="n">
        <v>0.6899999999999999</v>
      </c>
      <c r="J2291" s="7" t="n">
        <v>0</v>
      </c>
      <c r="K2291" s="9" t="n">
        <v>0.6899999999999999</v>
      </c>
      <c r="L2291" s="10" t="n">
        <v>3.68</v>
      </c>
      <c r="M2291" s="10" t="n">
        <v>1.43</v>
      </c>
      <c r="N2291" t="inlineStr">
        <is>
          <t>1</t>
        </is>
      </c>
      <c r="O2291" t="inlineStr">
        <is>
          <t>16</t>
        </is>
      </c>
      <c r="P2291" t="inlineStr">
        <is>
          <t xml:space="preserve">252213  </t>
        </is>
      </c>
      <c r="Q2291" s="26" t="n">
        <v>4.09</v>
      </c>
      <c r="R2291" s="26">
        <f>Q2291*G2291</f>
        <v/>
      </c>
      <c r="S2291" s="26">
        <f>IFERROR(VLOOKUP(E2291*1,Tabla[#All],8,0),0)</f>
        <v/>
      </c>
      <c r="T2291" s="26">
        <f>S2291*G2291</f>
        <v/>
      </c>
      <c r="U2291" s="26">
        <f>R2291-T2291</f>
        <v/>
      </c>
      <c r="V2291" s="26">
        <f>U2291-L2291</f>
        <v/>
      </c>
    </row>
    <row r="2292">
      <c r="A2292" s="11" t="n">
        <v>46226</v>
      </c>
      <c r="B2292" s="1" t="n">
        <v>20062</v>
      </c>
      <c r="C2292" s="1" t="inlineStr">
        <is>
          <t>512</t>
        </is>
      </c>
      <c r="D2292" s="1" t="inlineStr">
        <is>
          <t xml:space="preserve">5760  </t>
        </is>
      </c>
      <c r="E2292" s="1" t="inlineStr">
        <is>
          <t xml:space="preserve">30141769       </t>
        </is>
      </c>
      <c r="F2292" s="5" t="inlineStr">
        <is>
          <t>TMZ BEAST MACHINES TRANSPORTE DINOSAURIO + 3 AUTOS</t>
        </is>
      </c>
      <c r="G2292" t="n">
        <v>1</v>
      </c>
      <c r="H2292" s="7" t="n">
        <v>59.9</v>
      </c>
      <c r="I2292" s="7" t="n">
        <v>5.99</v>
      </c>
      <c r="J2292" s="7" t="n">
        <v>0</v>
      </c>
      <c r="K2292" s="9" t="n">
        <v>5.99</v>
      </c>
      <c r="L2292" s="10" t="n">
        <v>31.98</v>
      </c>
      <c r="M2292" s="10" t="n">
        <v>1.43</v>
      </c>
      <c r="N2292" t="inlineStr">
        <is>
          <t>1</t>
        </is>
      </c>
      <c r="O2292" t="inlineStr">
        <is>
          <t>16</t>
        </is>
      </c>
      <c r="P2292" t="inlineStr">
        <is>
          <t xml:space="preserve">86979   </t>
        </is>
      </c>
      <c r="Q2292" s="26" t="n">
        <v>47.4</v>
      </c>
      <c r="R2292" s="26">
        <f>Q2292*G2292</f>
        <v/>
      </c>
      <c r="S2292" s="26">
        <f>IFERROR(VLOOKUP(E2292*1,Tabla[#All],8,0),0)</f>
        <v/>
      </c>
      <c r="T2292" s="26">
        <f>S2292*G2292</f>
        <v/>
      </c>
      <c r="U2292" s="26">
        <f>R2292-T2292</f>
        <v/>
      </c>
      <c r="V2292" s="26">
        <f>U2292-L2292</f>
        <v/>
      </c>
    </row>
    <row r="2293">
      <c r="A2293" s="11" t="n">
        <v>46226</v>
      </c>
      <c r="B2293" s="1" t="n">
        <v>20066</v>
      </c>
      <c r="C2293" s="1" t="inlineStr">
        <is>
          <t>052</t>
        </is>
      </c>
      <c r="D2293" s="1" t="inlineStr">
        <is>
          <t>320662</t>
        </is>
      </c>
      <c r="E2293" s="1" t="inlineStr">
        <is>
          <t xml:space="preserve">28194770       </t>
        </is>
      </c>
      <c r="F2293" s="5" t="inlineStr">
        <is>
          <t>AUTOS DE METAL 3 TEAMSTERZ EN BLISTER</t>
        </is>
      </c>
      <c r="G2293" t="n">
        <v>1</v>
      </c>
      <c r="H2293" s="7" t="n">
        <v>6.9</v>
      </c>
      <c r="I2293" s="7" t="n">
        <v>0</v>
      </c>
      <c r="J2293" s="7" t="n">
        <v>0</v>
      </c>
      <c r="K2293" s="9" t="n">
        <v>0</v>
      </c>
      <c r="L2293" s="10" t="n">
        <v>4.1</v>
      </c>
      <c r="M2293" s="10" t="n">
        <v>1.43</v>
      </c>
      <c r="N2293" t="inlineStr">
        <is>
          <t>1</t>
        </is>
      </c>
      <c r="O2293" t="inlineStr">
        <is>
          <t xml:space="preserve">2 </t>
        </is>
      </c>
      <c r="P2293" t="inlineStr">
        <is>
          <t xml:space="preserve">49848   </t>
        </is>
      </c>
      <c r="Q2293" s="26" t="n">
        <v>4.09</v>
      </c>
      <c r="R2293" s="26">
        <f>Q2293*G2293</f>
        <v/>
      </c>
      <c r="S2293" s="26">
        <f>IFERROR(VLOOKUP(E2293*1,Tabla[#All],8,0),0)</f>
        <v/>
      </c>
      <c r="T2293" s="26">
        <f>S2293*G2293</f>
        <v/>
      </c>
      <c r="U2293" s="26">
        <f>R2293-T2293</f>
        <v/>
      </c>
      <c r="V2293" s="26">
        <f>U2293-L2293</f>
        <v/>
      </c>
    </row>
    <row r="2294">
      <c r="A2294" s="11" t="n">
        <v>46226</v>
      </c>
      <c r="B2294" s="1" t="n">
        <v>20066</v>
      </c>
      <c r="C2294" s="1" t="inlineStr">
        <is>
          <t>052</t>
        </is>
      </c>
      <c r="D2294" s="1" t="inlineStr">
        <is>
          <t>320662</t>
        </is>
      </c>
      <c r="E2294" s="1" t="inlineStr">
        <is>
          <t xml:space="preserve">28194770       </t>
        </is>
      </c>
      <c r="F2294" s="5" t="inlineStr">
        <is>
          <t>AUTOS DE METAL 3 TEAMSTERZ EN BLISTER</t>
        </is>
      </c>
      <c r="G2294" t="n">
        <v>1</v>
      </c>
      <c r="H2294" s="7" t="n">
        <v>6.9</v>
      </c>
      <c r="I2294" s="7" t="n">
        <v>0</v>
      </c>
      <c r="J2294" s="7" t="n">
        <v>0</v>
      </c>
      <c r="K2294" s="9" t="n">
        <v>0</v>
      </c>
      <c r="L2294" s="10" t="n">
        <v>4.1</v>
      </c>
      <c r="M2294" s="10" t="n">
        <v>1.43</v>
      </c>
      <c r="N2294" t="inlineStr">
        <is>
          <t>1</t>
        </is>
      </c>
      <c r="O2294" t="inlineStr">
        <is>
          <t xml:space="preserve">2 </t>
        </is>
      </c>
      <c r="P2294" t="inlineStr">
        <is>
          <t xml:space="preserve">49848   </t>
        </is>
      </c>
      <c r="Q2294" s="26" t="n">
        <v>4.09</v>
      </c>
      <c r="R2294" s="26">
        <f>Q2294*G2294</f>
        <v/>
      </c>
      <c r="S2294" s="26">
        <f>IFERROR(VLOOKUP(E2294*1,Tabla[#All],8,0),0)</f>
        <v/>
      </c>
      <c r="T2294" s="26">
        <f>S2294*G2294</f>
        <v/>
      </c>
      <c r="U2294" s="26">
        <f>R2294-T2294</f>
        <v/>
      </c>
      <c r="V2294" s="26">
        <f>U2294-L2294</f>
        <v/>
      </c>
    </row>
    <row r="2295">
      <c r="A2295" s="11" t="n">
        <v>46226</v>
      </c>
      <c r="B2295" s="1" t="n">
        <v>20066</v>
      </c>
      <c r="C2295" s="1" t="inlineStr">
        <is>
          <t>052</t>
        </is>
      </c>
      <c r="D2295" s="1" t="inlineStr">
        <is>
          <t>320662</t>
        </is>
      </c>
      <c r="E2295" s="1" t="inlineStr">
        <is>
          <t xml:space="preserve">28194770       </t>
        </is>
      </c>
      <c r="F2295" s="5" t="inlineStr">
        <is>
          <t>AUTOS DE METAL 3 TEAMSTERZ EN BLISTER</t>
        </is>
      </c>
      <c r="G2295" t="n">
        <v>1</v>
      </c>
      <c r="H2295" s="7" t="n">
        <v>6.9</v>
      </c>
      <c r="I2295" s="7" t="n">
        <v>0</v>
      </c>
      <c r="J2295" s="7" t="n">
        <v>0</v>
      </c>
      <c r="K2295" s="9" t="n">
        <v>0</v>
      </c>
      <c r="L2295" s="10" t="n">
        <v>4.1</v>
      </c>
      <c r="M2295" s="10" t="n">
        <v>1.43</v>
      </c>
      <c r="N2295" t="inlineStr">
        <is>
          <t>1</t>
        </is>
      </c>
      <c r="O2295" t="inlineStr">
        <is>
          <t xml:space="preserve">2 </t>
        </is>
      </c>
      <c r="P2295" t="inlineStr">
        <is>
          <t xml:space="preserve">49848   </t>
        </is>
      </c>
      <c r="Q2295" s="26" t="n">
        <v>4.09</v>
      </c>
      <c r="R2295" s="26">
        <f>Q2295*G2295</f>
        <v/>
      </c>
      <c r="S2295" s="26">
        <f>IFERROR(VLOOKUP(E2295*1,Tabla[#All],8,0),0)</f>
        <v/>
      </c>
      <c r="T2295" s="26">
        <f>S2295*G2295</f>
        <v/>
      </c>
      <c r="U2295" s="26">
        <f>R2295-T2295</f>
        <v/>
      </c>
      <c r="V2295" s="26">
        <f>U2295-L2295</f>
        <v/>
      </c>
    </row>
    <row r="2296">
      <c r="A2296" s="11" t="n">
        <v>46226</v>
      </c>
      <c r="B2296" s="1" t="n">
        <v>20066</v>
      </c>
      <c r="C2296" s="1" t="inlineStr">
        <is>
          <t>059</t>
        </is>
      </c>
      <c r="D2296" s="1" t="inlineStr">
        <is>
          <t xml:space="preserve">19908 </t>
        </is>
      </c>
      <c r="E2296" s="1" t="inlineStr">
        <is>
          <t xml:space="preserve">28194770       </t>
        </is>
      </c>
      <c r="F2296" s="5" t="inlineStr">
        <is>
          <t>AUTOS DE METAL 3 TEAMSTERZ EN BLISTER</t>
        </is>
      </c>
      <c r="G2296" t="n">
        <v>1</v>
      </c>
      <c r="H2296" s="7" t="n">
        <v>6.9</v>
      </c>
      <c r="I2296" s="7" t="n">
        <v>0</v>
      </c>
      <c r="J2296" s="7" t="n">
        <v>0</v>
      </c>
      <c r="K2296" s="9" t="n">
        <v>0</v>
      </c>
      <c r="L2296" s="10" t="n">
        <v>4.1</v>
      </c>
      <c r="M2296" s="10" t="n">
        <v>1.43</v>
      </c>
      <c r="N2296" t="inlineStr">
        <is>
          <t>1</t>
        </is>
      </c>
      <c r="O2296" t="inlineStr">
        <is>
          <t>16</t>
        </is>
      </c>
      <c r="P2296" t="inlineStr">
        <is>
          <t xml:space="preserve">12745   </t>
        </is>
      </c>
      <c r="Q2296" s="26" t="n">
        <v>4.09</v>
      </c>
      <c r="R2296" s="26">
        <f>Q2296*G2296</f>
        <v/>
      </c>
      <c r="S2296" s="26">
        <f>IFERROR(VLOOKUP(E2296*1,Tabla[#All],8,0),0)</f>
        <v/>
      </c>
      <c r="T2296" s="26">
        <f>S2296*G2296</f>
        <v/>
      </c>
      <c r="U2296" s="26">
        <f>R2296-T2296</f>
        <v/>
      </c>
      <c r="V2296" s="26">
        <f>U2296-L2296</f>
        <v/>
      </c>
    </row>
    <row r="2297">
      <c r="A2297" s="11" t="n">
        <v>46226</v>
      </c>
      <c r="B2297" s="1" t="n">
        <v>20066</v>
      </c>
      <c r="C2297" s="1" t="inlineStr">
        <is>
          <t>831</t>
        </is>
      </c>
      <c r="D2297" s="1" t="inlineStr">
        <is>
          <t xml:space="preserve">7160  </t>
        </is>
      </c>
      <c r="E2297" s="1" t="inlineStr">
        <is>
          <t xml:space="preserve">28194770       </t>
        </is>
      </c>
      <c r="F2297" s="5" t="inlineStr">
        <is>
          <t>AUTOS DE METAL 3 TEAMSTERZ EN BLISTER</t>
        </is>
      </c>
      <c r="G2297" t="n">
        <v>7</v>
      </c>
      <c r="H2297" s="7" t="n">
        <v>48.3</v>
      </c>
      <c r="I2297" s="7" t="n">
        <v>0</v>
      </c>
      <c r="J2297" s="7" t="n">
        <v>0</v>
      </c>
      <c r="K2297" s="9" t="n">
        <v>0</v>
      </c>
      <c r="L2297" s="10" t="n">
        <v>28.63</v>
      </c>
      <c r="M2297" s="10" t="n">
        <v>1.43</v>
      </c>
      <c r="N2297" t="inlineStr">
        <is>
          <t>1</t>
        </is>
      </c>
      <c r="O2297" t="inlineStr">
        <is>
          <t>16</t>
        </is>
      </c>
      <c r="P2297" t="inlineStr">
        <is>
          <t xml:space="preserve">0       </t>
        </is>
      </c>
      <c r="Q2297" s="26" t="n">
        <v>4.09</v>
      </c>
      <c r="R2297" s="26">
        <f>Q2297*G2297</f>
        <v/>
      </c>
      <c r="S2297" s="26">
        <f>IFERROR(VLOOKUP(E2297*1,Tabla[#All],8,0),0)</f>
        <v/>
      </c>
      <c r="T2297" s="26">
        <f>S2297*G2297</f>
        <v/>
      </c>
      <c r="U2297" s="26">
        <f>R2297-T2297</f>
        <v/>
      </c>
      <c r="V2297" s="26">
        <f>U2297-L2297</f>
        <v/>
      </c>
    </row>
    <row r="2298">
      <c r="A2298" s="11" t="n">
        <v>46226</v>
      </c>
      <c r="B2298" s="1" t="n">
        <v>20066</v>
      </c>
      <c r="C2298" s="1" t="inlineStr">
        <is>
          <t>833</t>
        </is>
      </c>
      <c r="D2298" s="1" t="inlineStr">
        <is>
          <t xml:space="preserve">3967  </t>
        </is>
      </c>
      <c r="E2298" s="1" t="inlineStr">
        <is>
          <t xml:space="preserve">28194770       </t>
        </is>
      </c>
      <c r="F2298" s="5" t="inlineStr">
        <is>
          <t>AUTOS DE METAL 3 TEAMSTERZ EN BLISTER</t>
        </is>
      </c>
      <c r="G2298" t="n">
        <v>1</v>
      </c>
      <c r="H2298" s="7" t="n">
        <v>6.9</v>
      </c>
      <c r="I2298" s="7" t="n">
        <v>0</v>
      </c>
      <c r="J2298" s="7" t="n">
        <v>0</v>
      </c>
      <c r="K2298" s="9" t="n">
        <v>0</v>
      </c>
      <c r="L2298" s="10" t="n">
        <v>4.1</v>
      </c>
      <c r="M2298" s="10" t="n">
        <v>1.43</v>
      </c>
      <c r="N2298" t="inlineStr">
        <is>
          <t>1</t>
        </is>
      </c>
      <c r="O2298" t="inlineStr">
        <is>
          <t>16</t>
        </is>
      </c>
      <c r="P2298" t="inlineStr">
        <is>
          <t xml:space="preserve">0       </t>
        </is>
      </c>
      <c r="Q2298" s="26" t="n">
        <v>4.09</v>
      </c>
      <c r="R2298" s="26">
        <f>Q2298*G2298</f>
        <v/>
      </c>
      <c r="S2298" s="26">
        <f>IFERROR(VLOOKUP(E2298*1,Tabla[#All],8,0),0)</f>
        <v/>
      </c>
      <c r="T2298" s="26">
        <f>S2298*G2298</f>
        <v/>
      </c>
      <c r="U2298" s="26">
        <f>R2298-T2298</f>
        <v/>
      </c>
      <c r="V2298" s="26">
        <f>U2298-L2298</f>
        <v/>
      </c>
    </row>
    <row r="2299">
      <c r="A2299" s="11" t="n">
        <v>46226</v>
      </c>
      <c r="B2299" s="1" t="n">
        <v>20069</v>
      </c>
      <c r="C2299" s="1" t="inlineStr">
        <is>
          <t>024</t>
        </is>
      </c>
      <c r="D2299" s="1" t="inlineStr">
        <is>
          <t>105397</t>
        </is>
      </c>
      <c r="E2299" s="1" t="inlineStr">
        <is>
          <t xml:space="preserve">30141775       </t>
        </is>
      </c>
      <c r="F2299" s="5" t="inlineStr">
        <is>
          <t>RELOJ DIGITAL PRINCESAS DISNEY</t>
        </is>
      </c>
      <c r="G2299" t="n">
        <v>1</v>
      </c>
      <c r="H2299" s="7" t="n">
        <v>18.9</v>
      </c>
      <c r="I2299" s="7" t="n">
        <v>0</v>
      </c>
      <c r="J2299" s="7" t="n">
        <v>0</v>
      </c>
      <c r="K2299" s="9" t="n">
        <v>0</v>
      </c>
      <c r="L2299" s="10" t="n">
        <v>11.21</v>
      </c>
      <c r="M2299" s="10" t="n">
        <v>1.43</v>
      </c>
      <c r="N2299" t="inlineStr">
        <is>
          <t>1</t>
        </is>
      </c>
      <c r="O2299" t="inlineStr">
        <is>
          <t>16</t>
        </is>
      </c>
      <c r="P2299" t="inlineStr">
        <is>
          <t xml:space="preserve">249236  </t>
        </is>
      </c>
      <c r="Q2299" s="26" t="n">
        <v>11.21</v>
      </c>
      <c r="R2299" s="26">
        <f>Q2299*G2299</f>
        <v/>
      </c>
      <c r="S2299" s="26">
        <f>IFERROR(VLOOKUP(E2299*1,Tabla[#All],8,0),0)</f>
        <v/>
      </c>
      <c r="T2299" s="26">
        <f>S2299*G2299</f>
        <v/>
      </c>
      <c r="U2299" s="26">
        <f>R2299-T2299</f>
        <v/>
      </c>
      <c r="V2299" s="26">
        <f>U2299-L2299</f>
        <v/>
      </c>
    </row>
    <row r="2300">
      <c r="A2300" s="11" t="n">
        <v>46226</v>
      </c>
      <c r="B2300" s="1" t="n">
        <v>20069</v>
      </c>
      <c r="C2300" s="1" t="inlineStr">
        <is>
          <t>024</t>
        </is>
      </c>
      <c r="D2300" s="1" t="inlineStr">
        <is>
          <t>105440</t>
        </is>
      </c>
      <c r="E2300" s="1" t="inlineStr">
        <is>
          <t xml:space="preserve">28194770       </t>
        </is>
      </c>
      <c r="F2300" s="5" t="inlineStr">
        <is>
          <t>AUTOS DE METAL 3 TEAMSTERZ EN BLISTER</t>
        </is>
      </c>
      <c r="G2300" t="n">
        <v>1</v>
      </c>
      <c r="H2300" s="7" t="n">
        <v>6.9</v>
      </c>
      <c r="I2300" s="7" t="n">
        <v>0</v>
      </c>
      <c r="J2300" s="7" t="n">
        <v>0</v>
      </c>
      <c r="K2300" s="9" t="n">
        <v>0</v>
      </c>
      <c r="L2300" s="10" t="n">
        <v>4.1</v>
      </c>
      <c r="M2300" s="10" t="n">
        <v>1.43</v>
      </c>
      <c r="N2300" t="inlineStr">
        <is>
          <t>1</t>
        </is>
      </c>
      <c r="O2300" t="inlineStr">
        <is>
          <t xml:space="preserve">2 </t>
        </is>
      </c>
      <c r="P2300" t="inlineStr">
        <is>
          <t xml:space="preserve">249236  </t>
        </is>
      </c>
      <c r="Q2300" s="26" t="n">
        <v>4.09</v>
      </c>
      <c r="R2300" s="26">
        <f>Q2300*G2300</f>
        <v/>
      </c>
      <c r="S2300" s="26">
        <f>IFERROR(VLOOKUP(E2300*1,Tabla[#All],8,0),0)</f>
        <v/>
      </c>
      <c r="T2300" s="26">
        <f>S2300*G2300</f>
        <v/>
      </c>
      <c r="U2300" s="26">
        <f>R2300-T2300</f>
        <v/>
      </c>
      <c r="V2300" s="26">
        <f>U2300-L2300</f>
        <v/>
      </c>
    </row>
    <row r="2301">
      <c r="A2301" s="11" t="n">
        <v>46226</v>
      </c>
      <c r="B2301" s="1" t="n">
        <v>20069</v>
      </c>
      <c r="C2301" s="1" t="inlineStr">
        <is>
          <t>024</t>
        </is>
      </c>
      <c r="D2301" s="1" t="inlineStr">
        <is>
          <t>105440</t>
        </is>
      </c>
      <c r="E2301" s="1" t="inlineStr">
        <is>
          <t xml:space="preserve">28194770       </t>
        </is>
      </c>
      <c r="F2301" s="5" t="inlineStr">
        <is>
          <t>AUTOS DE METAL 3 TEAMSTERZ EN BLISTER</t>
        </is>
      </c>
      <c r="G2301" t="n">
        <v>1</v>
      </c>
      <c r="H2301" s="7" t="n">
        <v>6.9</v>
      </c>
      <c r="I2301" s="7" t="n">
        <v>0</v>
      </c>
      <c r="J2301" s="7" t="n">
        <v>0</v>
      </c>
      <c r="K2301" s="9" t="n">
        <v>0</v>
      </c>
      <c r="L2301" s="10" t="n">
        <v>4.1</v>
      </c>
      <c r="M2301" s="10" t="n">
        <v>1.43</v>
      </c>
      <c r="N2301" t="inlineStr">
        <is>
          <t>1</t>
        </is>
      </c>
      <c r="O2301" t="inlineStr">
        <is>
          <t xml:space="preserve">2 </t>
        </is>
      </c>
      <c r="P2301" t="inlineStr">
        <is>
          <t xml:space="preserve">249236  </t>
        </is>
      </c>
      <c r="Q2301" s="26" t="n">
        <v>4.09</v>
      </c>
      <c r="R2301" s="26">
        <f>Q2301*G2301</f>
        <v/>
      </c>
      <c r="S2301" s="26">
        <f>IFERROR(VLOOKUP(E2301*1,Tabla[#All],8,0),0)</f>
        <v/>
      </c>
      <c r="T2301" s="26">
        <f>S2301*G2301</f>
        <v/>
      </c>
      <c r="U2301" s="26">
        <f>R2301-T2301</f>
        <v/>
      </c>
      <c r="V2301" s="26">
        <f>U2301-L2301</f>
        <v/>
      </c>
    </row>
    <row r="2302">
      <c r="A2302" s="11" t="n">
        <v>46226</v>
      </c>
      <c r="B2302" s="1" t="n">
        <v>20069</v>
      </c>
      <c r="C2302" s="1" t="inlineStr">
        <is>
          <t>024</t>
        </is>
      </c>
      <c r="D2302" s="1" t="inlineStr">
        <is>
          <t>105440</t>
        </is>
      </c>
      <c r="E2302" s="1" t="inlineStr">
        <is>
          <t xml:space="preserve">28194770       </t>
        </is>
      </c>
      <c r="F2302" s="5" t="inlineStr">
        <is>
          <t>AUTOS DE METAL 3 TEAMSTERZ EN BLISTER</t>
        </is>
      </c>
      <c r="G2302" t="n">
        <v>1</v>
      </c>
      <c r="H2302" s="7" t="n">
        <v>6.9</v>
      </c>
      <c r="I2302" s="7" t="n">
        <v>0</v>
      </c>
      <c r="J2302" s="7" t="n">
        <v>0</v>
      </c>
      <c r="K2302" s="9" t="n">
        <v>0</v>
      </c>
      <c r="L2302" s="10" t="n">
        <v>4.1</v>
      </c>
      <c r="M2302" s="10" t="n">
        <v>1.43</v>
      </c>
      <c r="N2302" t="inlineStr">
        <is>
          <t>1</t>
        </is>
      </c>
      <c r="O2302" t="inlineStr">
        <is>
          <t xml:space="preserve">2 </t>
        </is>
      </c>
      <c r="P2302" t="inlineStr">
        <is>
          <t xml:space="preserve">249236  </t>
        </is>
      </c>
      <c r="Q2302" s="26" t="n">
        <v>4.09</v>
      </c>
      <c r="R2302" s="26">
        <f>Q2302*G2302</f>
        <v/>
      </c>
      <c r="S2302" s="26">
        <f>IFERROR(VLOOKUP(E2302*1,Tabla[#All],8,0),0)</f>
        <v/>
      </c>
      <c r="T2302" s="26">
        <f>S2302*G2302</f>
        <v/>
      </c>
      <c r="U2302" s="26">
        <f>R2302-T2302</f>
        <v/>
      </c>
      <c r="V2302" s="26">
        <f>U2302-L2302</f>
        <v/>
      </c>
    </row>
    <row r="2303">
      <c r="A2303" s="11" t="n">
        <v>46226</v>
      </c>
      <c r="B2303" s="1" t="n">
        <v>20069</v>
      </c>
      <c r="C2303" s="1" t="inlineStr">
        <is>
          <t>024</t>
        </is>
      </c>
      <c r="D2303" s="1" t="inlineStr">
        <is>
          <t>105478</t>
        </is>
      </c>
      <c r="E2303" s="1" t="inlineStr">
        <is>
          <t xml:space="preserve">28194770       </t>
        </is>
      </c>
      <c r="F2303" s="5" t="inlineStr">
        <is>
          <t>AUTOS DE METAL 3 TEAMSTERZ EN BLISTER</t>
        </is>
      </c>
      <c r="G2303" t="n">
        <v>1</v>
      </c>
      <c r="H2303" s="7" t="n">
        <v>6.9</v>
      </c>
      <c r="I2303" s="7" t="n">
        <v>0.6899999999999999</v>
      </c>
      <c r="J2303" s="7" t="n">
        <v>0</v>
      </c>
      <c r="K2303" s="9" t="n">
        <v>0.6899999999999999</v>
      </c>
      <c r="L2303" s="10" t="n">
        <v>3.68</v>
      </c>
      <c r="M2303" s="10" t="n">
        <v>1.43</v>
      </c>
      <c r="N2303" t="inlineStr">
        <is>
          <t>1</t>
        </is>
      </c>
      <c r="O2303" t="inlineStr">
        <is>
          <t xml:space="preserve">3 </t>
        </is>
      </c>
      <c r="P2303" t="inlineStr">
        <is>
          <t xml:space="preserve">249236  </t>
        </is>
      </c>
      <c r="Q2303" s="26" t="n">
        <v>4.09</v>
      </c>
      <c r="R2303" s="26">
        <f>Q2303*G2303</f>
        <v/>
      </c>
      <c r="S2303" s="26">
        <f>IFERROR(VLOOKUP(E2303*1,Tabla[#All],8,0),0)</f>
        <v/>
      </c>
      <c r="T2303" s="26">
        <f>S2303*G2303</f>
        <v/>
      </c>
      <c r="U2303" s="26">
        <f>R2303-T2303</f>
        <v/>
      </c>
      <c r="V2303" s="26">
        <f>U2303-L2303</f>
        <v/>
      </c>
    </row>
    <row r="2304">
      <c r="A2304" s="11" t="n">
        <v>46226</v>
      </c>
      <c r="B2304" s="1" t="n">
        <v>20069</v>
      </c>
      <c r="C2304" s="1" t="inlineStr">
        <is>
          <t>024</t>
        </is>
      </c>
      <c r="D2304" s="1" t="inlineStr">
        <is>
          <t>105478</t>
        </is>
      </c>
      <c r="E2304" s="1" t="inlineStr">
        <is>
          <t xml:space="preserve">28194770       </t>
        </is>
      </c>
      <c r="F2304" s="5" t="inlineStr">
        <is>
          <t>AUTOS DE METAL 3 TEAMSTERZ EN BLISTER</t>
        </is>
      </c>
      <c r="G2304" t="n">
        <v>1</v>
      </c>
      <c r="H2304" s="7" t="n">
        <v>6.9</v>
      </c>
      <c r="I2304" s="7" t="n">
        <v>0.6899999999999999</v>
      </c>
      <c r="J2304" s="7" t="n">
        <v>0</v>
      </c>
      <c r="K2304" s="9" t="n">
        <v>0.6899999999999999</v>
      </c>
      <c r="L2304" s="10" t="n">
        <v>3.68</v>
      </c>
      <c r="M2304" s="10" t="n">
        <v>1.43</v>
      </c>
      <c r="N2304" t="inlineStr">
        <is>
          <t>1</t>
        </is>
      </c>
      <c r="O2304" t="inlineStr">
        <is>
          <t xml:space="preserve">3 </t>
        </is>
      </c>
      <c r="P2304" t="inlineStr">
        <is>
          <t xml:space="preserve">249236  </t>
        </is>
      </c>
      <c r="Q2304" s="26" t="n">
        <v>4.09</v>
      </c>
      <c r="R2304" s="26">
        <f>Q2304*G2304</f>
        <v/>
      </c>
      <c r="S2304" s="26">
        <f>IFERROR(VLOOKUP(E2304*1,Tabla[#All],8,0),0)</f>
        <v/>
      </c>
      <c r="T2304" s="26">
        <f>S2304*G2304</f>
        <v/>
      </c>
      <c r="U2304" s="26">
        <f>R2304-T2304</f>
        <v/>
      </c>
      <c r="V2304" s="26">
        <f>U2304-L2304</f>
        <v/>
      </c>
    </row>
    <row r="2305">
      <c r="A2305" s="11" t="n">
        <v>46226</v>
      </c>
      <c r="B2305" s="1" t="n">
        <v>20069</v>
      </c>
      <c r="C2305" s="1" t="inlineStr">
        <is>
          <t>026</t>
        </is>
      </c>
      <c r="D2305" s="1" t="inlineStr">
        <is>
          <t xml:space="preserve">12180 </t>
        </is>
      </c>
      <c r="E2305" s="1" t="inlineStr">
        <is>
          <t xml:space="preserve">30141780       </t>
        </is>
      </c>
      <c r="F2305" s="5" t="inlineStr">
        <is>
          <t>RELOJ DIGITAL PEPPA PIG</t>
        </is>
      </c>
      <c r="G2305" t="n">
        <v>-1</v>
      </c>
      <c r="H2305" s="7" t="n">
        <v>-18.9</v>
      </c>
      <c r="I2305" s="7" t="n">
        <v>0</v>
      </c>
      <c r="J2305" s="7" t="n">
        <v>0</v>
      </c>
      <c r="K2305" s="9" t="n">
        <v>0</v>
      </c>
      <c r="L2305" s="10" t="n">
        <v>-11.21</v>
      </c>
      <c r="M2305" s="10" t="n">
        <v>0</v>
      </c>
      <c r="N2305" t="inlineStr">
        <is>
          <t>3</t>
        </is>
      </c>
      <c r="O2305" t="inlineStr">
        <is>
          <t>26</t>
        </is>
      </c>
      <c r="P2305" t="inlineStr">
        <is>
          <t xml:space="preserve">250749  </t>
        </is>
      </c>
      <c r="Q2305" s="26" t="n">
        <v>11.21</v>
      </c>
      <c r="R2305" s="26">
        <f>Q2305*G2305</f>
        <v/>
      </c>
      <c r="S2305" s="26">
        <f>IFERROR(VLOOKUP(E2305*1,Tabla[#All],8,0),0)</f>
        <v/>
      </c>
      <c r="T2305" s="26">
        <f>S2305*G2305</f>
        <v/>
      </c>
      <c r="U2305" s="26">
        <f>R2305-T2305</f>
        <v/>
      </c>
      <c r="V2305" s="26">
        <f>U2305-L2305</f>
        <v/>
      </c>
    </row>
    <row r="2306">
      <c r="A2306" s="11" t="n">
        <v>46226</v>
      </c>
      <c r="B2306" s="1" t="n">
        <v>20069</v>
      </c>
      <c r="C2306" s="1" t="inlineStr">
        <is>
          <t>026</t>
        </is>
      </c>
      <c r="D2306" s="1" t="inlineStr">
        <is>
          <t>360088</t>
        </is>
      </c>
      <c r="E2306" s="1" t="inlineStr">
        <is>
          <t xml:space="preserve">28194770       </t>
        </is>
      </c>
      <c r="F2306" s="5" t="inlineStr">
        <is>
          <t>AUTOS DE METAL 3 TEAMSTERZ EN BLISTER</t>
        </is>
      </c>
      <c r="G2306" t="n">
        <v>1</v>
      </c>
      <c r="H2306" s="7" t="n">
        <v>6.9</v>
      </c>
      <c r="I2306" s="7" t="n">
        <v>0</v>
      </c>
      <c r="J2306" s="7" t="n">
        <v>0</v>
      </c>
      <c r="K2306" s="9" t="n">
        <v>0</v>
      </c>
      <c r="L2306" s="10" t="n">
        <v>4.1</v>
      </c>
      <c r="M2306" s="10" t="n">
        <v>1.43</v>
      </c>
      <c r="N2306" t="inlineStr">
        <is>
          <t>1</t>
        </is>
      </c>
      <c r="O2306" t="inlineStr">
        <is>
          <t xml:space="preserve">2 </t>
        </is>
      </c>
      <c r="P2306" t="inlineStr">
        <is>
          <t xml:space="preserve">250750  </t>
        </is>
      </c>
      <c r="Q2306" s="26" t="n">
        <v>4.09</v>
      </c>
      <c r="R2306" s="26">
        <f>Q2306*G2306</f>
        <v/>
      </c>
      <c r="S2306" s="26">
        <f>IFERROR(VLOOKUP(E2306*1,Tabla[#All],8,0),0)</f>
        <v/>
      </c>
      <c r="T2306" s="26">
        <f>S2306*G2306</f>
        <v/>
      </c>
      <c r="U2306" s="26">
        <f>R2306-T2306</f>
        <v/>
      </c>
      <c r="V2306" s="26">
        <f>U2306-L2306</f>
        <v/>
      </c>
    </row>
    <row r="2307">
      <c r="A2307" s="11" t="n">
        <v>46226</v>
      </c>
      <c r="B2307" s="1" t="n">
        <v>20069</v>
      </c>
      <c r="C2307" s="1" t="inlineStr">
        <is>
          <t>026</t>
        </is>
      </c>
      <c r="D2307" s="1" t="inlineStr">
        <is>
          <t>360088</t>
        </is>
      </c>
      <c r="E2307" s="1" t="inlineStr">
        <is>
          <t xml:space="preserve">28194770       </t>
        </is>
      </c>
      <c r="F2307" s="5" t="inlineStr">
        <is>
          <t>AUTOS DE METAL 3 TEAMSTERZ EN BLISTER</t>
        </is>
      </c>
      <c r="G2307" t="n">
        <v>1</v>
      </c>
      <c r="H2307" s="7" t="n">
        <v>6.9</v>
      </c>
      <c r="I2307" s="7" t="n">
        <v>0</v>
      </c>
      <c r="J2307" s="7" t="n">
        <v>0</v>
      </c>
      <c r="K2307" s="9" t="n">
        <v>0</v>
      </c>
      <c r="L2307" s="10" t="n">
        <v>4.1</v>
      </c>
      <c r="M2307" s="10" t="n">
        <v>1.43</v>
      </c>
      <c r="N2307" t="inlineStr">
        <is>
          <t>1</t>
        </is>
      </c>
      <c r="O2307" t="inlineStr">
        <is>
          <t xml:space="preserve">2 </t>
        </is>
      </c>
      <c r="P2307" t="inlineStr">
        <is>
          <t xml:space="preserve">250750  </t>
        </is>
      </c>
      <c r="Q2307" s="26" t="n">
        <v>4.09</v>
      </c>
      <c r="R2307" s="26">
        <f>Q2307*G2307</f>
        <v/>
      </c>
      <c r="S2307" s="26">
        <f>IFERROR(VLOOKUP(E2307*1,Tabla[#All],8,0),0)</f>
        <v/>
      </c>
      <c r="T2307" s="26">
        <f>S2307*G2307</f>
        <v/>
      </c>
      <c r="U2307" s="26">
        <f>R2307-T2307</f>
        <v/>
      </c>
      <c r="V2307" s="26">
        <f>U2307-L2307</f>
        <v/>
      </c>
    </row>
    <row r="2308">
      <c r="A2308" s="11" t="n">
        <v>46226</v>
      </c>
      <c r="B2308" s="1" t="n">
        <v>20073</v>
      </c>
      <c r="C2308" s="1" t="inlineStr">
        <is>
          <t>016</t>
        </is>
      </c>
      <c r="D2308" s="1" t="inlineStr">
        <is>
          <t xml:space="preserve">14862 </t>
        </is>
      </c>
      <c r="E2308" s="1" t="inlineStr">
        <is>
          <t xml:space="preserve">28194781       </t>
        </is>
      </c>
      <c r="F2308" s="5" t="inlineStr">
        <is>
          <t>TROMPO BATALLA INFINITY NADO SERIE V CLASICA SURTI</t>
        </is>
      </c>
      <c r="G2308" t="n">
        <v>1</v>
      </c>
      <c r="H2308" s="7" t="n">
        <v>39.9</v>
      </c>
      <c r="I2308" s="7" t="n">
        <v>0</v>
      </c>
      <c r="J2308" s="7" t="n">
        <v>0</v>
      </c>
      <c r="K2308" s="9" t="n">
        <v>0</v>
      </c>
      <c r="L2308" s="10" t="n">
        <v>23.67</v>
      </c>
      <c r="M2308" s="10" t="n">
        <v>1.43</v>
      </c>
      <c r="N2308" t="inlineStr">
        <is>
          <t>1</t>
        </is>
      </c>
      <c r="O2308" t="inlineStr">
        <is>
          <t xml:space="preserve">2 </t>
        </is>
      </c>
      <c r="P2308" t="inlineStr">
        <is>
          <t xml:space="preserve">101947  </t>
        </is>
      </c>
      <c r="Q2308" s="26" t="n">
        <v>35.53</v>
      </c>
      <c r="R2308" s="26">
        <f>Q2308*G2308</f>
        <v/>
      </c>
      <c r="S2308" s="26">
        <f>IFERROR(VLOOKUP(E2308*1,Tabla[#All],8,0),0)</f>
        <v/>
      </c>
      <c r="T2308" s="26">
        <f>S2308*G2308</f>
        <v/>
      </c>
      <c r="U2308" s="26">
        <f>R2308-T2308</f>
        <v/>
      </c>
      <c r="V2308" s="26">
        <f>U2308-L2308</f>
        <v/>
      </c>
    </row>
    <row r="2309">
      <c r="A2309" s="11" t="n">
        <v>46226</v>
      </c>
      <c r="B2309" s="1" t="n">
        <v>20073</v>
      </c>
      <c r="C2309" s="1" t="inlineStr">
        <is>
          <t>016</t>
        </is>
      </c>
      <c r="D2309" s="1" t="inlineStr">
        <is>
          <t xml:space="preserve">14862 </t>
        </is>
      </c>
      <c r="E2309" s="1" t="inlineStr">
        <is>
          <t xml:space="preserve">28194781       </t>
        </is>
      </c>
      <c r="F2309" s="5" t="inlineStr">
        <is>
          <t>TROMPO BATALLA INFINITY NADO SERIE V CLASICA SURTI</t>
        </is>
      </c>
      <c r="G2309" t="n">
        <v>1</v>
      </c>
      <c r="H2309" s="7" t="n">
        <v>39.9</v>
      </c>
      <c r="I2309" s="7" t="n">
        <v>0</v>
      </c>
      <c r="J2309" s="7" t="n">
        <v>0</v>
      </c>
      <c r="K2309" s="9" t="n">
        <v>0</v>
      </c>
      <c r="L2309" s="10" t="n">
        <v>23.67</v>
      </c>
      <c r="M2309" s="10" t="n">
        <v>1.43</v>
      </c>
      <c r="N2309" t="inlineStr">
        <is>
          <t>1</t>
        </is>
      </c>
      <c r="O2309" t="inlineStr">
        <is>
          <t xml:space="preserve">2 </t>
        </is>
      </c>
      <c r="P2309" t="inlineStr">
        <is>
          <t xml:space="preserve">101947  </t>
        </is>
      </c>
      <c r="Q2309" s="26" t="n">
        <v>35.53</v>
      </c>
      <c r="R2309" s="26">
        <f>Q2309*G2309</f>
        <v/>
      </c>
      <c r="S2309" s="26">
        <f>IFERROR(VLOOKUP(E2309*1,Tabla[#All],8,0),0)</f>
        <v/>
      </c>
      <c r="T2309" s="26">
        <f>S2309*G2309</f>
        <v/>
      </c>
      <c r="U2309" s="26">
        <f>R2309-T2309</f>
        <v/>
      </c>
      <c r="V2309" s="26">
        <f>U2309-L2309</f>
        <v/>
      </c>
    </row>
    <row r="2310">
      <c r="A2310" s="11" t="n">
        <v>46226</v>
      </c>
      <c r="B2310" s="1" t="n">
        <v>20073</v>
      </c>
      <c r="C2310" s="1" t="inlineStr">
        <is>
          <t>016</t>
        </is>
      </c>
      <c r="D2310" s="1" t="inlineStr">
        <is>
          <t xml:space="preserve">14862 </t>
        </is>
      </c>
      <c r="E2310" s="1" t="inlineStr">
        <is>
          <t xml:space="preserve">30232284       </t>
        </is>
      </c>
      <c r="F2310" s="5" t="inlineStr">
        <is>
          <t>INFINITY NADO TROMPO DE BATALLA - METAL C/PUNTA DE</t>
        </is>
      </c>
      <c r="G2310" t="n">
        <v>1</v>
      </c>
      <c r="H2310" s="7" t="n">
        <v>34.9</v>
      </c>
      <c r="I2310" s="7" t="n">
        <v>0</v>
      </c>
      <c r="J2310" s="7" t="n">
        <v>0</v>
      </c>
      <c r="K2310" s="9" t="n">
        <v>0</v>
      </c>
      <c r="L2310" s="10" t="n">
        <v>20.71</v>
      </c>
      <c r="M2310" s="10" t="n">
        <v>1.43</v>
      </c>
      <c r="N2310" t="inlineStr">
        <is>
          <t>1</t>
        </is>
      </c>
      <c r="O2310" t="inlineStr">
        <is>
          <t xml:space="preserve">2 </t>
        </is>
      </c>
      <c r="P2310" t="inlineStr">
        <is>
          <t xml:space="preserve">101947  </t>
        </is>
      </c>
      <c r="Q2310" s="26" t="n">
        <v>29.6</v>
      </c>
      <c r="R2310" s="26">
        <f>Q2310*G2310</f>
        <v/>
      </c>
      <c r="S2310" s="26">
        <f>IFERROR(VLOOKUP(E2310*1,Tabla[#All],8,0),0)</f>
        <v/>
      </c>
      <c r="T2310" s="26">
        <f>S2310*G2310</f>
        <v/>
      </c>
      <c r="U2310" s="26">
        <f>R2310-T2310</f>
        <v/>
      </c>
      <c r="V2310" s="26">
        <f>U2310-L2310</f>
        <v/>
      </c>
    </row>
    <row r="2311">
      <c r="A2311" s="11" t="n">
        <v>46226</v>
      </c>
      <c r="B2311" s="1" t="n">
        <v>20073</v>
      </c>
      <c r="C2311" s="1" t="inlineStr">
        <is>
          <t>016</t>
        </is>
      </c>
      <c r="D2311" s="1" t="inlineStr">
        <is>
          <t xml:space="preserve">14863 </t>
        </is>
      </c>
      <c r="E2311" s="1" t="inlineStr">
        <is>
          <t xml:space="preserve">28194768       </t>
        </is>
      </c>
      <c r="F2311" s="5" t="inlineStr">
        <is>
          <t>AUTO COLOR CHANGE TEAMSTERZ SURTIDO</t>
        </is>
      </c>
      <c r="G2311" t="n">
        <v>1</v>
      </c>
      <c r="H2311" s="7" t="n">
        <v>14.9</v>
      </c>
      <c r="I2311" s="7" t="n">
        <v>0</v>
      </c>
      <c r="J2311" s="7" t="n">
        <v>0</v>
      </c>
      <c r="K2311" s="9" t="n">
        <v>0</v>
      </c>
      <c r="L2311" s="10" t="n">
        <v>8.84</v>
      </c>
      <c r="M2311" s="10" t="n">
        <v>1.43</v>
      </c>
      <c r="N2311" t="inlineStr">
        <is>
          <t>1</t>
        </is>
      </c>
      <c r="O2311" t="inlineStr">
        <is>
          <t xml:space="preserve">2 </t>
        </is>
      </c>
      <c r="P2311" t="inlineStr">
        <is>
          <t xml:space="preserve">101947  </t>
        </is>
      </c>
      <c r="Q2311" s="26" t="n">
        <v>8.84</v>
      </c>
      <c r="R2311" s="26">
        <f>Q2311*G2311</f>
        <v/>
      </c>
      <c r="S2311" s="26">
        <f>IFERROR(VLOOKUP(E2311*1,Tabla[#All],8,0),0)</f>
        <v/>
      </c>
      <c r="T2311" s="26">
        <f>S2311*G2311</f>
        <v/>
      </c>
      <c r="U2311" s="26">
        <f>R2311-T2311</f>
        <v/>
      </c>
      <c r="V2311" s="26">
        <f>U2311-L2311</f>
        <v/>
      </c>
    </row>
    <row r="2312">
      <c r="A2312" s="11" t="n">
        <v>46226</v>
      </c>
      <c r="B2312" s="1" t="n">
        <v>20073</v>
      </c>
      <c r="C2312" s="1" t="inlineStr">
        <is>
          <t>028</t>
        </is>
      </c>
      <c r="D2312" s="1" t="inlineStr">
        <is>
          <t xml:space="preserve">84790 </t>
        </is>
      </c>
      <c r="E2312" s="1" t="inlineStr">
        <is>
          <t xml:space="preserve">28194770       </t>
        </is>
      </c>
      <c r="F2312" s="5" t="inlineStr">
        <is>
          <t>AUTOS DE METAL 3 TEAMSTERZ EN BLISTER</t>
        </is>
      </c>
      <c r="G2312" t="n">
        <v>1</v>
      </c>
      <c r="H2312" s="7" t="n">
        <v>6.9</v>
      </c>
      <c r="I2312" s="7" t="n">
        <v>0</v>
      </c>
      <c r="J2312" s="7" t="n">
        <v>0</v>
      </c>
      <c r="K2312" s="9" t="n">
        <v>0</v>
      </c>
      <c r="L2312" s="10" t="n">
        <v>4.1</v>
      </c>
      <c r="M2312" s="10" t="n">
        <v>1.43</v>
      </c>
      <c r="N2312" t="inlineStr">
        <is>
          <t>1</t>
        </is>
      </c>
      <c r="O2312" t="inlineStr">
        <is>
          <t xml:space="preserve">2 </t>
        </is>
      </c>
      <c r="P2312" t="inlineStr">
        <is>
          <t xml:space="preserve">14759   </t>
        </is>
      </c>
      <c r="Q2312" s="26" t="n">
        <v>4.09</v>
      </c>
      <c r="R2312" s="26">
        <f>Q2312*G2312</f>
        <v/>
      </c>
      <c r="S2312" s="26">
        <f>IFERROR(VLOOKUP(E2312*1,Tabla[#All],8,0),0)</f>
        <v/>
      </c>
      <c r="T2312" s="26">
        <f>S2312*G2312</f>
        <v/>
      </c>
      <c r="U2312" s="26">
        <f>R2312-T2312</f>
        <v/>
      </c>
      <c r="V2312" s="26">
        <f>U2312-L2312</f>
        <v/>
      </c>
    </row>
    <row r="2313">
      <c r="A2313" s="11" t="n">
        <v>46226</v>
      </c>
      <c r="B2313" s="1" t="n">
        <v>20073</v>
      </c>
      <c r="C2313" s="1" t="inlineStr">
        <is>
          <t>028</t>
        </is>
      </c>
      <c r="D2313" s="1" t="inlineStr">
        <is>
          <t xml:space="preserve">84790 </t>
        </is>
      </c>
      <c r="E2313" s="1" t="inlineStr">
        <is>
          <t xml:space="preserve">28194770       </t>
        </is>
      </c>
      <c r="F2313" s="5" t="inlineStr">
        <is>
          <t>AUTOS DE METAL 3 TEAMSTERZ EN BLISTER</t>
        </is>
      </c>
      <c r="G2313" t="n">
        <v>1</v>
      </c>
      <c r="H2313" s="7" t="n">
        <v>6.9</v>
      </c>
      <c r="I2313" s="7" t="n">
        <v>0</v>
      </c>
      <c r="J2313" s="7" t="n">
        <v>0</v>
      </c>
      <c r="K2313" s="9" t="n">
        <v>0</v>
      </c>
      <c r="L2313" s="10" t="n">
        <v>4.1</v>
      </c>
      <c r="M2313" s="10" t="n">
        <v>1.43</v>
      </c>
      <c r="N2313" t="inlineStr">
        <is>
          <t>1</t>
        </is>
      </c>
      <c r="O2313" t="inlineStr">
        <is>
          <t xml:space="preserve">2 </t>
        </is>
      </c>
      <c r="P2313" t="inlineStr">
        <is>
          <t xml:space="preserve">14759   </t>
        </is>
      </c>
      <c r="Q2313" s="26" t="n">
        <v>4.09</v>
      </c>
      <c r="R2313" s="26">
        <f>Q2313*G2313</f>
        <v/>
      </c>
      <c r="S2313" s="26">
        <f>IFERROR(VLOOKUP(E2313*1,Tabla[#All],8,0),0)</f>
        <v/>
      </c>
      <c r="T2313" s="26">
        <f>S2313*G2313</f>
        <v/>
      </c>
      <c r="U2313" s="26">
        <f>R2313-T2313</f>
        <v/>
      </c>
      <c r="V2313" s="26">
        <f>U2313-L2313</f>
        <v/>
      </c>
    </row>
    <row r="2314">
      <c r="A2314" s="11" t="n">
        <v>46226</v>
      </c>
      <c r="B2314" s="1" t="n">
        <v>20073</v>
      </c>
      <c r="C2314" s="1" t="inlineStr">
        <is>
          <t>032</t>
        </is>
      </c>
      <c r="D2314" s="1" t="inlineStr">
        <is>
          <t>380943</t>
        </is>
      </c>
      <c r="E2314" s="1" t="inlineStr">
        <is>
          <t xml:space="preserve">28194770       </t>
        </is>
      </c>
      <c r="F2314" s="5" t="inlineStr">
        <is>
          <t>AUTOS DE METAL 3 TEAMSTERZ EN BLISTER</t>
        </is>
      </c>
      <c r="G2314" t="n">
        <v>1</v>
      </c>
      <c r="H2314" s="7" t="n">
        <v>6.9</v>
      </c>
      <c r="I2314" s="7" t="n">
        <v>0</v>
      </c>
      <c r="J2314" s="7" t="n">
        <v>0</v>
      </c>
      <c r="K2314" s="9" t="n">
        <v>0</v>
      </c>
      <c r="L2314" s="10" t="n">
        <v>4.1</v>
      </c>
      <c r="M2314" s="10" t="n">
        <v>1.43</v>
      </c>
      <c r="N2314" t="inlineStr">
        <is>
          <t>1</t>
        </is>
      </c>
      <c r="O2314" t="inlineStr">
        <is>
          <t>16</t>
        </is>
      </c>
      <c r="P2314" t="inlineStr">
        <is>
          <t xml:space="preserve">57886   </t>
        </is>
      </c>
      <c r="Q2314" s="26" t="n">
        <v>4.09</v>
      </c>
      <c r="R2314" s="26">
        <f>Q2314*G2314</f>
        <v/>
      </c>
      <c r="S2314" s="26">
        <f>IFERROR(VLOOKUP(E2314*1,Tabla[#All],8,0),0)</f>
        <v/>
      </c>
      <c r="T2314" s="26">
        <f>S2314*G2314</f>
        <v/>
      </c>
      <c r="U2314" s="26">
        <f>R2314-T2314</f>
        <v/>
      </c>
      <c r="V2314" s="26">
        <f>U2314-L2314</f>
        <v/>
      </c>
    </row>
    <row r="2315">
      <c r="A2315" s="11" t="n">
        <v>46226</v>
      </c>
      <c r="B2315" s="1" t="n">
        <v>20073</v>
      </c>
      <c r="C2315" s="1" t="inlineStr">
        <is>
          <t>033</t>
        </is>
      </c>
      <c r="D2315" s="1" t="inlineStr">
        <is>
          <t>314160</t>
        </is>
      </c>
      <c r="E2315" s="1" t="inlineStr">
        <is>
          <t xml:space="preserve">28194770       </t>
        </is>
      </c>
      <c r="F2315" s="5" t="inlineStr">
        <is>
          <t>AUTOS DE METAL 3 TEAMSTERZ EN BLISTER</t>
        </is>
      </c>
      <c r="G2315" t="n">
        <v>1</v>
      </c>
      <c r="H2315" s="7" t="n">
        <v>6.9</v>
      </c>
      <c r="I2315" s="7" t="n">
        <v>0</v>
      </c>
      <c r="J2315" s="7" t="n">
        <v>0</v>
      </c>
      <c r="K2315" s="9" t="n">
        <v>0</v>
      </c>
      <c r="L2315" s="10" t="n">
        <v>4.1</v>
      </c>
      <c r="M2315" s="10" t="n">
        <v>1.43</v>
      </c>
      <c r="N2315" t="inlineStr">
        <is>
          <t>1</t>
        </is>
      </c>
      <c r="O2315" t="inlineStr">
        <is>
          <t xml:space="preserve">2 </t>
        </is>
      </c>
      <c r="P2315" t="inlineStr">
        <is>
          <t xml:space="preserve">249001  </t>
        </is>
      </c>
      <c r="Q2315" s="26" t="n">
        <v>4.09</v>
      </c>
      <c r="R2315" s="26">
        <f>Q2315*G2315</f>
        <v/>
      </c>
      <c r="S2315" s="26">
        <f>IFERROR(VLOOKUP(E2315*1,Tabla[#All],8,0),0)</f>
        <v/>
      </c>
      <c r="T2315" s="26">
        <f>S2315*G2315</f>
        <v/>
      </c>
      <c r="U2315" s="26">
        <f>R2315-T2315</f>
        <v/>
      </c>
      <c r="V2315" s="26">
        <f>U2315-L2315</f>
        <v/>
      </c>
    </row>
    <row r="2316">
      <c r="A2316" s="11" t="n">
        <v>46226</v>
      </c>
      <c r="B2316" s="1" t="n">
        <v>20073</v>
      </c>
      <c r="C2316" s="1" t="inlineStr">
        <is>
          <t>033</t>
        </is>
      </c>
      <c r="D2316" s="1" t="inlineStr">
        <is>
          <t>314160</t>
        </is>
      </c>
      <c r="E2316" s="1" t="inlineStr">
        <is>
          <t xml:space="preserve">28194770       </t>
        </is>
      </c>
      <c r="F2316" s="5" t="inlineStr">
        <is>
          <t>AUTOS DE METAL 3 TEAMSTERZ EN BLISTER</t>
        </is>
      </c>
      <c r="G2316" t="n">
        <v>1</v>
      </c>
      <c r="H2316" s="7" t="n">
        <v>6.9</v>
      </c>
      <c r="I2316" s="7" t="n">
        <v>0</v>
      </c>
      <c r="J2316" s="7" t="n">
        <v>0</v>
      </c>
      <c r="K2316" s="9" t="n">
        <v>0</v>
      </c>
      <c r="L2316" s="10" t="n">
        <v>4.1</v>
      </c>
      <c r="M2316" s="10" t="n">
        <v>1.43</v>
      </c>
      <c r="N2316" t="inlineStr">
        <is>
          <t>1</t>
        </is>
      </c>
      <c r="O2316" t="inlineStr">
        <is>
          <t xml:space="preserve">2 </t>
        </is>
      </c>
      <c r="P2316" t="inlineStr">
        <is>
          <t xml:space="preserve">249001  </t>
        </is>
      </c>
      <c r="Q2316" s="26" t="n">
        <v>4.09</v>
      </c>
      <c r="R2316" s="26">
        <f>Q2316*G2316</f>
        <v/>
      </c>
      <c r="S2316" s="26">
        <f>IFERROR(VLOOKUP(E2316*1,Tabla[#All],8,0),0)</f>
        <v/>
      </c>
      <c r="T2316" s="26">
        <f>S2316*G2316</f>
        <v/>
      </c>
      <c r="U2316" s="26">
        <f>R2316-T2316</f>
        <v/>
      </c>
      <c r="V2316" s="26">
        <f>U2316-L2316</f>
        <v/>
      </c>
    </row>
    <row r="2317">
      <c r="A2317" s="11" t="n">
        <v>46226</v>
      </c>
      <c r="B2317" s="1" t="n">
        <v>20073</v>
      </c>
      <c r="C2317" s="1" t="inlineStr">
        <is>
          <t>035</t>
        </is>
      </c>
      <c r="D2317" s="1" t="inlineStr">
        <is>
          <t>277230</t>
        </is>
      </c>
      <c r="E2317" s="1" t="inlineStr">
        <is>
          <t xml:space="preserve">28194770       </t>
        </is>
      </c>
      <c r="F2317" s="5" t="inlineStr">
        <is>
          <t>AUTOS DE METAL 3 TEAMSTERZ EN BLISTER</t>
        </is>
      </c>
      <c r="G2317" t="n">
        <v>1</v>
      </c>
      <c r="H2317" s="7" t="n">
        <v>6.9</v>
      </c>
      <c r="I2317" s="7" t="n">
        <v>0</v>
      </c>
      <c r="J2317" s="7" t="n">
        <v>0</v>
      </c>
      <c r="K2317" s="9" t="n">
        <v>0</v>
      </c>
      <c r="L2317" s="10" t="n">
        <v>4.1</v>
      </c>
      <c r="M2317" s="10" t="n">
        <v>1.43</v>
      </c>
      <c r="N2317" t="inlineStr">
        <is>
          <t>1</t>
        </is>
      </c>
      <c r="O2317" t="inlineStr">
        <is>
          <t xml:space="preserve">2 </t>
        </is>
      </c>
      <c r="P2317" t="inlineStr">
        <is>
          <t xml:space="preserve">250389  </t>
        </is>
      </c>
      <c r="Q2317" s="26" t="n">
        <v>4.09</v>
      </c>
      <c r="R2317" s="26">
        <f>Q2317*G2317</f>
        <v/>
      </c>
      <c r="S2317" s="26">
        <f>IFERROR(VLOOKUP(E2317*1,Tabla[#All],8,0),0)</f>
        <v/>
      </c>
      <c r="T2317" s="26">
        <f>S2317*G2317</f>
        <v/>
      </c>
      <c r="U2317" s="26">
        <f>R2317-T2317</f>
        <v/>
      </c>
      <c r="V2317" s="26">
        <f>U2317-L2317</f>
        <v/>
      </c>
    </row>
    <row r="2318">
      <c r="A2318" s="11" t="n">
        <v>46226</v>
      </c>
      <c r="B2318" s="1" t="n">
        <v>20073</v>
      </c>
      <c r="C2318" s="1" t="inlineStr">
        <is>
          <t>045</t>
        </is>
      </c>
      <c r="D2318" s="1" t="inlineStr">
        <is>
          <t>149785</t>
        </is>
      </c>
      <c r="E2318" s="1" t="inlineStr">
        <is>
          <t xml:space="preserve">28194769       </t>
        </is>
      </c>
      <c r="F2318" s="5" t="inlineStr">
        <is>
          <t>AUTOS DE METAL 3 TEAMSTERZ PACK DE 2</t>
        </is>
      </c>
      <c r="G2318" t="n">
        <v>1</v>
      </c>
      <c r="H2318" s="7" t="n">
        <v>13.8</v>
      </c>
      <c r="I2318" s="7" t="n">
        <v>1.38</v>
      </c>
      <c r="J2318" s="7" t="n">
        <v>0</v>
      </c>
      <c r="K2318" s="9" t="n">
        <v>1.38</v>
      </c>
      <c r="L2318" s="10" t="n">
        <v>7.37</v>
      </c>
      <c r="M2318" s="10" t="n">
        <v>1.43</v>
      </c>
      <c r="N2318" t="inlineStr">
        <is>
          <t>1</t>
        </is>
      </c>
      <c r="O2318" t="inlineStr">
        <is>
          <t xml:space="preserve">3 </t>
        </is>
      </c>
      <c r="P2318" t="inlineStr">
        <is>
          <t xml:space="preserve">61458   </t>
        </is>
      </c>
      <c r="Q2318" s="26" t="n">
        <v>8.19</v>
      </c>
      <c r="R2318" s="26">
        <f>Q2318*G2318</f>
        <v/>
      </c>
      <c r="S2318" s="26">
        <f>IFERROR(VLOOKUP(E2318*1,Tabla[#All],8,0),0)</f>
        <v/>
      </c>
      <c r="T2318" s="26">
        <f>S2318*G2318</f>
        <v/>
      </c>
      <c r="U2318" s="26">
        <f>R2318-T2318</f>
        <v/>
      </c>
      <c r="V2318" s="26">
        <f>U2318-L2318</f>
        <v/>
      </c>
    </row>
    <row r="2319">
      <c r="A2319" s="11" t="n">
        <v>46226</v>
      </c>
      <c r="B2319" s="1" t="n">
        <v>20073</v>
      </c>
      <c r="C2319" s="1" t="inlineStr">
        <is>
          <t>046</t>
        </is>
      </c>
      <c r="D2319" s="1" t="inlineStr">
        <is>
          <t>207843</t>
        </is>
      </c>
      <c r="E2319" s="1" t="inlineStr">
        <is>
          <t xml:space="preserve">28194768       </t>
        </is>
      </c>
      <c r="F2319" s="5" t="inlineStr">
        <is>
          <t>AUTO COLOR CHANGE TEAMSTERZ SURTIDO</t>
        </is>
      </c>
      <c r="G2319" t="n">
        <v>1</v>
      </c>
      <c r="H2319" s="7" t="n">
        <v>14.9</v>
      </c>
      <c r="I2319" s="7" t="n">
        <v>0</v>
      </c>
      <c r="J2319" s="7" t="n">
        <v>0</v>
      </c>
      <c r="K2319" s="9" t="n">
        <v>0</v>
      </c>
      <c r="L2319" s="10" t="n">
        <v>8.84</v>
      </c>
      <c r="M2319" s="10" t="n">
        <v>1.43</v>
      </c>
      <c r="N2319" t="inlineStr">
        <is>
          <t>1</t>
        </is>
      </c>
      <c r="O2319" t="inlineStr">
        <is>
          <t xml:space="preserve">2 </t>
        </is>
      </c>
      <c r="P2319" t="inlineStr">
        <is>
          <t xml:space="preserve">74879   </t>
        </is>
      </c>
      <c r="Q2319" s="26" t="n">
        <v>8.84</v>
      </c>
      <c r="R2319" s="26">
        <f>Q2319*G2319</f>
        <v/>
      </c>
      <c r="S2319" s="26">
        <f>IFERROR(VLOOKUP(E2319*1,Tabla[#All],8,0),0)</f>
        <v/>
      </c>
      <c r="T2319" s="26">
        <f>S2319*G2319</f>
        <v/>
      </c>
      <c r="U2319" s="26">
        <f>R2319-T2319</f>
        <v/>
      </c>
      <c r="V2319" s="26">
        <f>U2319-L2319</f>
        <v/>
      </c>
    </row>
    <row r="2320">
      <c r="A2320" s="11" t="n">
        <v>46226</v>
      </c>
      <c r="B2320" s="1" t="n">
        <v>20073</v>
      </c>
      <c r="C2320" s="1" t="inlineStr">
        <is>
          <t>046</t>
        </is>
      </c>
      <c r="D2320" s="1" t="inlineStr">
        <is>
          <t>207843</t>
        </is>
      </c>
      <c r="E2320" s="1" t="inlineStr">
        <is>
          <t xml:space="preserve">28194770       </t>
        </is>
      </c>
      <c r="F2320" s="5" t="inlineStr">
        <is>
          <t>AUTOS DE METAL 3 TEAMSTERZ EN BLISTER</t>
        </is>
      </c>
      <c r="G2320" t="n">
        <v>1</v>
      </c>
      <c r="H2320" s="7" t="n">
        <v>6.9</v>
      </c>
      <c r="I2320" s="7" t="n">
        <v>0</v>
      </c>
      <c r="J2320" s="7" t="n">
        <v>0</v>
      </c>
      <c r="K2320" s="9" t="n">
        <v>0</v>
      </c>
      <c r="L2320" s="10" t="n">
        <v>4.1</v>
      </c>
      <c r="M2320" s="10" t="n">
        <v>1.43</v>
      </c>
      <c r="N2320" t="inlineStr">
        <is>
          <t>1</t>
        </is>
      </c>
      <c r="O2320" t="inlineStr">
        <is>
          <t xml:space="preserve">2 </t>
        </is>
      </c>
      <c r="P2320" t="inlineStr">
        <is>
          <t xml:space="preserve">74879   </t>
        </is>
      </c>
      <c r="Q2320" s="26" t="n">
        <v>4.09</v>
      </c>
      <c r="R2320" s="26">
        <f>Q2320*G2320</f>
        <v/>
      </c>
      <c r="S2320" s="26">
        <f>IFERROR(VLOOKUP(E2320*1,Tabla[#All],8,0),0)</f>
        <v/>
      </c>
      <c r="T2320" s="26">
        <f>S2320*G2320</f>
        <v/>
      </c>
      <c r="U2320" s="26">
        <f>R2320-T2320</f>
        <v/>
      </c>
      <c r="V2320" s="26">
        <f>U2320-L2320</f>
        <v/>
      </c>
    </row>
    <row r="2321">
      <c r="A2321" s="11" t="n">
        <v>46226</v>
      </c>
      <c r="B2321" s="1" t="n">
        <v>20073</v>
      </c>
      <c r="C2321" s="1" t="inlineStr">
        <is>
          <t>046</t>
        </is>
      </c>
      <c r="D2321" s="1" t="inlineStr">
        <is>
          <t>207843</t>
        </is>
      </c>
      <c r="E2321" s="1" t="inlineStr">
        <is>
          <t xml:space="preserve">28194770       </t>
        </is>
      </c>
      <c r="F2321" s="5" t="inlineStr">
        <is>
          <t>AUTOS DE METAL 3 TEAMSTERZ EN BLISTER</t>
        </is>
      </c>
      <c r="G2321" t="n">
        <v>1</v>
      </c>
      <c r="H2321" s="7" t="n">
        <v>6.9</v>
      </c>
      <c r="I2321" s="7" t="n">
        <v>0</v>
      </c>
      <c r="J2321" s="7" t="n">
        <v>0</v>
      </c>
      <c r="K2321" s="9" t="n">
        <v>0</v>
      </c>
      <c r="L2321" s="10" t="n">
        <v>4.1</v>
      </c>
      <c r="M2321" s="10" t="n">
        <v>1.43</v>
      </c>
      <c r="N2321" t="inlineStr">
        <is>
          <t>1</t>
        </is>
      </c>
      <c r="O2321" t="inlineStr">
        <is>
          <t xml:space="preserve">2 </t>
        </is>
      </c>
      <c r="P2321" t="inlineStr">
        <is>
          <t xml:space="preserve">74879   </t>
        </is>
      </c>
      <c r="Q2321" s="26" t="n">
        <v>4.09</v>
      </c>
      <c r="R2321" s="26">
        <f>Q2321*G2321</f>
        <v/>
      </c>
      <c r="S2321" s="26">
        <f>IFERROR(VLOOKUP(E2321*1,Tabla[#All],8,0),0)</f>
        <v/>
      </c>
      <c r="T2321" s="26">
        <f>S2321*G2321</f>
        <v/>
      </c>
      <c r="U2321" s="26">
        <f>R2321-T2321</f>
        <v/>
      </c>
      <c r="V2321" s="26">
        <f>U2321-L2321</f>
        <v/>
      </c>
    </row>
    <row r="2322">
      <c r="A2322" s="11" t="n">
        <v>46226</v>
      </c>
      <c r="B2322" s="1" t="n">
        <v>20073</v>
      </c>
      <c r="C2322" s="1" t="inlineStr">
        <is>
          <t>046</t>
        </is>
      </c>
      <c r="D2322" s="1" t="inlineStr">
        <is>
          <t>207843</t>
        </is>
      </c>
      <c r="E2322" s="1" t="inlineStr">
        <is>
          <t xml:space="preserve">28194770       </t>
        </is>
      </c>
      <c r="F2322" s="5" t="inlineStr">
        <is>
          <t>AUTOS DE METAL 3 TEAMSTERZ EN BLISTER</t>
        </is>
      </c>
      <c r="G2322" t="n">
        <v>1</v>
      </c>
      <c r="H2322" s="7" t="n">
        <v>6.9</v>
      </c>
      <c r="I2322" s="7" t="n">
        <v>0</v>
      </c>
      <c r="J2322" s="7" t="n">
        <v>0</v>
      </c>
      <c r="K2322" s="9" t="n">
        <v>0</v>
      </c>
      <c r="L2322" s="10" t="n">
        <v>4.1</v>
      </c>
      <c r="M2322" s="10" t="n">
        <v>1.43</v>
      </c>
      <c r="N2322" t="inlineStr">
        <is>
          <t>1</t>
        </is>
      </c>
      <c r="O2322" t="inlineStr">
        <is>
          <t xml:space="preserve">2 </t>
        </is>
      </c>
      <c r="P2322" t="inlineStr">
        <is>
          <t xml:space="preserve">74879   </t>
        </is>
      </c>
      <c r="Q2322" s="26" t="n">
        <v>4.09</v>
      </c>
      <c r="R2322" s="26">
        <f>Q2322*G2322</f>
        <v/>
      </c>
      <c r="S2322" s="26">
        <f>IFERROR(VLOOKUP(E2322*1,Tabla[#All],8,0),0)</f>
        <v/>
      </c>
      <c r="T2322" s="26">
        <f>S2322*G2322</f>
        <v/>
      </c>
      <c r="U2322" s="26">
        <f>R2322-T2322</f>
        <v/>
      </c>
      <c r="V2322" s="26">
        <f>U2322-L2322</f>
        <v/>
      </c>
    </row>
    <row r="2323">
      <c r="A2323" s="11" t="n">
        <v>46226</v>
      </c>
      <c r="B2323" s="1" t="n">
        <v>20074</v>
      </c>
      <c r="C2323" s="1" t="inlineStr">
        <is>
          <t>012</t>
        </is>
      </c>
      <c r="D2323" s="1" t="inlineStr">
        <is>
          <t>280098</t>
        </is>
      </c>
      <c r="E2323" s="1" t="inlineStr">
        <is>
          <t xml:space="preserve">29235702       </t>
        </is>
      </c>
      <c r="F2323" s="5" t="inlineStr">
        <is>
          <t>INFINITY NADO TROMPO DE BATALLA - METAL C/ ANILLO</t>
        </is>
      </c>
      <c r="G2323" t="n">
        <v>1</v>
      </c>
      <c r="H2323" s="7" t="n">
        <v>49.9</v>
      </c>
      <c r="I2323" s="7" t="n">
        <v>0</v>
      </c>
      <c r="J2323" s="7" t="n">
        <v>0</v>
      </c>
      <c r="K2323" s="9" t="n">
        <v>0</v>
      </c>
      <c r="L2323" s="10" t="n">
        <v>29.6</v>
      </c>
      <c r="M2323" s="10" t="n">
        <v>1.43</v>
      </c>
      <c r="N2323" t="inlineStr">
        <is>
          <t>1</t>
        </is>
      </c>
      <c r="O2323" t="inlineStr">
        <is>
          <t>16</t>
        </is>
      </c>
      <c r="P2323" t="inlineStr">
        <is>
          <t xml:space="preserve">102135  </t>
        </is>
      </c>
      <c r="Q2323" s="26" t="n">
        <v>41.47</v>
      </c>
      <c r="R2323" s="26">
        <f>Q2323*G2323</f>
        <v/>
      </c>
      <c r="S2323" s="26">
        <f>IFERROR(VLOOKUP(E2323*1,Tabla[#All],8,0),0)</f>
        <v/>
      </c>
      <c r="T2323" s="26">
        <f>S2323*G2323</f>
        <v/>
      </c>
      <c r="U2323" s="26">
        <f>R2323-T2323</f>
        <v/>
      </c>
      <c r="V2323" s="26">
        <f>U2323-L2323</f>
        <v/>
      </c>
    </row>
    <row r="2324">
      <c r="A2324" s="11" t="n">
        <v>46226</v>
      </c>
      <c r="B2324" s="1" t="n">
        <v>20074</v>
      </c>
      <c r="C2324" s="1" t="inlineStr">
        <is>
          <t>032</t>
        </is>
      </c>
      <c r="D2324" s="1" t="inlineStr">
        <is>
          <t>263027</t>
        </is>
      </c>
      <c r="E2324" s="1" t="inlineStr">
        <is>
          <t xml:space="preserve">28194770       </t>
        </is>
      </c>
      <c r="F2324" s="5" t="inlineStr">
        <is>
          <t>AUTOS DE METAL 3 TEAMSTERZ EN BLISTER</t>
        </is>
      </c>
      <c r="G2324" t="n">
        <v>1</v>
      </c>
      <c r="H2324" s="7" t="n">
        <v>6.9</v>
      </c>
      <c r="I2324" s="7" t="n">
        <v>0</v>
      </c>
      <c r="J2324" s="7" t="n">
        <v>0</v>
      </c>
      <c r="K2324" s="9" t="n">
        <v>0</v>
      </c>
      <c r="L2324" s="10" t="n">
        <v>4.1</v>
      </c>
      <c r="M2324" s="10" t="n">
        <v>1.43</v>
      </c>
      <c r="N2324" t="inlineStr">
        <is>
          <t>1</t>
        </is>
      </c>
      <c r="O2324" t="inlineStr">
        <is>
          <t>16</t>
        </is>
      </c>
      <c r="P2324" t="inlineStr">
        <is>
          <t xml:space="preserve">104416  </t>
        </is>
      </c>
      <c r="Q2324" s="26" t="n">
        <v>4.09</v>
      </c>
      <c r="R2324" s="26">
        <f>Q2324*G2324</f>
        <v/>
      </c>
      <c r="S2324" s="26">
        <f>IFERROR(VLOOKUP(E2324*1,Tabla[#All],8,0),0)</f>
        <v/>
      </c>
      <c r="T2324" s="26">
        <f>S2324*G2324</f>
        <v/>
      </c>
      <c r="U2324" s="26">
        <f>R2324-T2324</f>
        <v/>
      </c>
      <c r="V2324" s="26">
        <f>U2324-L2324</f>
        <v/>
      </c>
    </row>
    <row r="2325">
      <c r="A2325" s="11" t="n">
        <v>46226</v>
      </c>
      <c r="B2325" s="1" t="n">
        <v>20074</v>
      </c>
      <c r="C2325" s="1" t="inlineStr">
        <is>
          <t>032</t>
        </is>
      </c>
      <c r="D2325" s="1" t="inlineStr">
        <is>
          <t>263027</t>
        </is>
      </c>
      <c r="E2325" s="1" t="inlineStr">
        <is>
          <t xml:space="preserve">28194770       </t>
        </is>
      </c>
      <c r="F2325" s="5" t="inlineStr">
        <is>
          <t>AUTOS DE METAL 3 TEAMSTERZ EN BLISTER</t>
        </is>
      </c>
      <c r="G2325" t="n">
        <v>1</v>
      </c>
      <c r="H2325" s="7" t="n">
        <v>6.9</v>
      </c>
      <c r="I2325" s="7" t="n">
        <v>0</v>
      </c>
      <c r="J2325" s="7" t="n">
        <v>0</v>
      </c>
      <c r="K2325" s="9" t="n">
        <v>0</v>
      </c>
      <c r="L2325" s="10" t="n">
        <v>4.1</v>
      </c>
      <c r="M2325" s="10" t="n">
        <v>1.43</v>
      </c>
      <c r="N2325" t="inlineStr">
        <is>
          <t>1</t>
        </is>
      </c>
      <c r="O2325" t="inlineStr">
        <is>
          <t>16</t>
        </is>
      </c>
      <c r="P2325" t="inlineStr">
        <is>
          <t xml:space="preserve">104416  </t>
        </is>
      </c>
      <c r="Q2325" s="26" t="n">
        <v>4.09</v>
      </c>
      <c r="R2325" s="26">
        <f>Q2325*G2325</f>
        <v/>
      </c>
      <c r="S2325" s="26">
        <f>IFERROR(VLOOKUP(E2325*1,Tabla[#All],8,0),0)</f>
        <v/>
      </c>
      <c r="T2325" s="26">
        <f>S2325*G2325</f>
        <v/>
      </c>
      <c r="U2325" s="26">
        <f>R2325-T2325</f>
        <v/>
      </c>
      <c r="V2325" s="26">
        <f>U2325-L2325</f>
        <v/>
      </c>
    </row>
    <row r="2326">
      <c r="A2326" s="11" t="n">
        <v>46226</v>
      </c>
      <c r="B2326" s="1" t="n">
        <v>20077</v>
      </c>
      <c r="C2326" s="1" t="inlineStr">
        <is>
          <t>030</t>
        </is>
      </c>
      <c r="D2326" s="1" t="inlineStr">
        <is>
          <t xml:space="preserve">41194 </t>
        </is>
      </c>
      <c r="E2326" s="1" t="inlineStr">
        <is>
          <t xml:space="preserve">30141766       </t>
        </is>
      </c>
      <c r="F2326" s="5" t="inlineStr">
        <is>
          <t>TMZ BEAST MACHINES AUTOS DE METAL BLISTER X 1</t>
        </is>
      </c>
      <c r="G2326" t="n">
        <v>1</v>
      </c>
      <c r="H2326" s="7" t="n">
        <v>7.9</v>
      </c>
      <c r="I2326" s="7" t="n">
        <v>0</v>
      </c>
      <c r="J2326" s="7" t="n">
        <v>0</v>
      </c>
      <c r="K2326" s="9" t="n">
        <v>0</v>
      </c>
      <c r="L2326" s="10" t="n">
        <v>4.68</v>
      </c>
      <c r="M2326" s="10" t="n">
        <v>1.43</v>
      </c>
      <c r="N2326" t="inlineStr">
        <is>
          <t>1</t>
        </is>
      </c>
      <c r="O2326" t="inlineStr">
        <is>
          <t xml:space="preserve">2 </t>
        </is>
      </c>
      <c r="P2326" t="inlineStr">
        <is>
          <t xml:space="preserve">61615   </t>
        </is>
      </c>
      <c r="Q2326" s="26" t="n">
        <v>4.69</v>
      </c>
      <c r="R2326" s="26">
        <f>Q2326*G2326</f>
        <v/>
      </c>
      <c r="S2326" s="26">
        <f>IFERROR(VLOOKUP(E2326*1,Tabla[#All],8,0),0)</f>
        <v/>
      </c>
      <c r="T2326" s="26">
        <f>S2326*G2326</f>
        <v/>
      </c>
      <c r="U2326" s="26">
        <f>R2326-T2326</f>
        <v/>
      </c>
      <c r="V2326" s="26">
        <f>U2326-L2326</f>
        <v/>
      </c>
    </row>
    <row r="2327">
      <c r="A2327" s="11" t="n">
        <v>46226</v>
      </c>
      <c r="B2327" s="1" t="n">
        <v>20077</v>
      </c>
      <c r="C2327" s="1" t="inlineStr">
        <is>
          <t>030</t>
        </is>
      </c>
      <c r="D2327" s="1" t="inlineStr">
        <is>
          <t xml:space="preserve">41205 </t>
        </is>
      </c>
      <c r="E2327" s="1" t="inlineStr">
        <is>
          <t xml:space="preserve">32457111       </t>
        </is>
      </c>
      <c r="F2327" s="5" t="inlineStr">
        <is>
          <t>TMZ BEAST MACHINES MONSTER JAWS A FRICCION PACK DE</t>
        </is>
      </c>
      <c r="G2327" t="n">
        <v>1</v>
      </c>
      <c r="H2327" s="7" t="n">
        <v>54.9</v>
      </c>
      <c r="I2327" s="7" t="n">
        <v>0</v>
      </c>
      <c r="J2327" s="7" t="n">
        <v>0</v>
      </c>
      <c r="K2327" s="9" t="n">
        <v>0</v>
      </c>
      <c r="L2327" s="10" t="n">
        <v>32.57</v>
      </c>
      <c r="M2327" s="10" t="n">
        <v>1.43</v>
      </c>
      <c r="N2327" t="inlineStr">
        <is>
          <t>1</t>
        </is>
      </c>
      <c r="O2327" t="inlineStr">
        <is>
          <t>16</t>
        </is>
      </c>
      <c r="P2327" t="inlineStr">
        <is>
          <t xml:space="preserve">61615   </t>
        </is>
      </c>
      <c r="Q2327" s="26" t="n">
        <v>44.43</v>
      </c>
      <c r="R2327" s="26">
        <f>Q2327*G2327</f>
        <v/>
      </c>
      <c r="S2327" s="26">
        <f>IFERROR(VLOOKUP(E2327*1,Tabla[#All],8,0),0)</f>
        <v/>
      </c>
      <c r="T2327" s="26">
        <f>S2327*G2327</f>
        <v/>
      </c>
      <c r="U2327" s="26">
        <f>R2327-T2327</f>
        <v/>
      </c>
      <c r="V2327" s="26">
        <f>U2327-L2327</f>
        <v/>
      </c>
    </row>
    <row r="2328">
      <c r="A2328" s="11" t="n">
        <v>46226</v>
      </c>
      <c r="B2328" s="1" t="n">
        <v>20079</v>
      </c>
      <c r="C2328" s="1" t="inlineStr">
        <is>
          <t>017</t>
        </is>
      </c>
      <c r="D2328" s="1" t="inlineStr">
        <is>
          <t>190673</t>
        </is>
      </c>
      <c r="E2328" s="1" t="inlineStr">
        <is>
          <t xml:space="preserve">32457103       </t>
        </is>
      </c>
      <c r="F2328" s="5" t="inlineStr">
        <is>
          <t>TMZ BEAST MACHINES MONSTER JAWS A FRICCION PACK DE</t>
        </is>
      </c>
      <c r="G2328" t="n">
        <v>1</v>
      </c>
      <c r="H2328" s="7" t="n">
        <v>32.9</v>
      </c>
      <c r="I2328" s="7" t="n">
        <v>0</v>
      </c>
      <c r="J2328" s="7" t="n">
        <v>0</v>
      </c>
      <c r="K2328" s="9" t="n">
        <v>0</v>
      </c>
      <c r="L2328" s="10" t="n">
        <v>19.52</v>
      </c>
      <c r="M2328" s="10" t="n">
        <v>1.43</v>
      </c>
      <c r="N2328" t="inlineStr">
        <is>
          <t>1</t>
        </is>
      </c>
      <c r="O2328" t="inlineStr">
        <is>
          <t>16</t>
        </is>
      </c>
      <c r="P2328" t="inlineStr">
        <is>
          <t xml:space="preserve">14729   </t>
        </is>
      </c>
      <c r="Q2328" s="26" t="n">
        <v>22.48</v>
      </c>
      <c r="R2328" s="26">
        <f>Q2328*G2328</f>
        <v/>
      </c>
      <c r="S2328" s="26">
        <f>IFERROR(VLOOKUP(E2328*1,Tabla[#All],8,0),0)</f>
        <v/>
      </c>
      <c r="T2328" s="26">
        <f>S2328*G2328</f>
        <v/>
      </c>
      <c r="U2328" s="26">
        <f>R2328-T2328</f>
        <v/>
      </c>
      <c r="V2328" s="26">
        <f>U2328-L2328</f>
        <v/>
      </c>
    </row>
    <row r="2329">
      <c r="A2329" s="11" t="n">
        <v>46226</v>
      </c>
      <c r="B2329" s="1" t="n">
        <v>20079</v>
      </c>
      <c r="C2329" s="1" t="inlineStr">
        <is>
          <t>045</t>
        </is>
      </c>
      <c r="D2329" s="1" t="inlineStr">
        <is>
          <t>333163</t>
        </is>
      </c>
      <c r="E2329" s="1" t="inlineStr">
        <is>
          <t xml:space="preserve">31754677       </t>
        </is>
      </c>
      <c r="F2329" s="5" t="inlineStr">
        <is>
          <t>INFINITY NADO SERIE 6 SET DE BATALL</t>
        </is>
      </c>
      <c r="G2329" t="n">
        <v>1</v>
      </c>
      <c r="H2329" s="7" t="n">
        <v>149</v>
      </c>
      <c r="I2329" s="7" t="n">
        <v>0</v>
      </c>
      <c r="J2329" s="7" t="n">
        <v>0</v>
      </c>
      <c r="K2329" s="9" t="n">
        <v>0</v>
      </c>
      <c r="L2329" s="10" t="n">
        <v>88.39</v>
      </c>
      <c r="M2329" s="10" t="n">
        <v>1.43</v>
      </c>
      <c r="N2329" t="inlineStr">
        <is>
          <t>1</t>
        </is>
      </c>
      <c r="O2329" t="inlineStr">
        <is>
          <t xml:space="preserve">2 </t>
        </is>
      </c>
      <c r="P2329" t="inlineStr">
        <is>
          <t xml:space="preserve">61558   </t>
        </is>
      </c>
      <c r="Q2329" s="26" t="n">
        <v>112.12</v>
      </c>
      <c r="R2329" s="26">
        <f>Q2329*G2329</f>
        <v/>
      </c>
      <c r="S2329" s="26">
        <f>IFERROR(VLOOKUP(E2329*1,Tabla[#All],8,0),0)</f>
        <v/>
      </c>
      <c r="T2329" s="26">
        <f>S2329*G2329</f>
        <v/>
      </c>
      <c r="U2329" s="26">
        <f>R2329-T2329</f>
        <v/>
      </c>
      <c r="V2329" s="26">
        <f>U2329-L2329</f>
        <v/>
      </c>
    </row>
    <row r="2330">
      <c r="A2330" s="11" t="n">
        <v>46226</v>
      </c>
      <c r="B2330" s="1" t="n">
        <v>20079</v>
      </c>
      <c r="C2330" s="1" t="inlineStr">
        <is>
          <t>051</t>
        </is>
      </c>
      <c r="D2330" s="1" t="inlineStr">
        <is>
          <t>236838</t>
        </is>
      </c>
      <c r="E2330" s="1" t="inlineStr">
        <is>
          <t xml:space="preserve">32457103       </t>
        </is>
      </c>
      <c r="F2330" s="5" t="inlineStr">
        <is>
          <t>TMZ BEAST MACHINES MONSTER JAWS A FRICCION PACK DE</t>
        </is>
      </c>
      <c r="G2330" t="n">
        <v>1</v>
      </c>
      <c r="H2330" s="7" t="n">
        <v>32.9</v>
      </c>
      <c r="I2330" s="7" t="n">
        <v>0</v>
      </c>
      <c r="J2330" s="7" t="n">
        <v>0</v>
      </c>
      <c r="K2330" s="9" t="n">
        <v>0</v>
      </c>
      <c r="L2330" s="10" t="n">
        <v>19.52</v>
      </c>
      <c r="M2330" s="10" t="n">
        <v>1.43</v>
      </c>
      <c r="N2330" t="inlineStr">
        <is>
          <t>1</t>
        </is>
      </c>
      <c r="O2330" t="inlineStr">
        <is>
          <t xml:space="preserve">2 </t>
        </is>
      </c>
      <c r="P2330" t="inlineStr">
        <is>
          <t xml:space="preserve">45006   </t>
        </is>
      </c>
      <c r="Q2330" s="26" t="n">
        <v>22.48</v>
      </c>
      <c r="R2330" s="26">
        <f>Q2330*G2330</f>
        <v/>
      </c>
      <c r="S2330" s="26">
        <f>IFERROR(VLOOKUP(E2330*1,Tabla[#All],8,0),0)</f>
        <v/>
      </c>
      <c r="T2330" s="26">
        <f>S2330*G2330</f>
        <v/>
      </c>
      <c r="U2330" s="26">
        <f>R2330-T2330</f>
        <v/>
      </c>
      <c r="V2330" s="26">
        <f>U2330-L2330</f>
        <v/>
      </c>
    </row>
    <row r="2331">
      <c r="A2331" s="11" t="n">
        <v>46226</v>
      </c>
      <c r="B2331" s="1" t="n">
        <v>20080</v>
      </c>
      <c r="C2331" s="1" t="inlineStr">
        <is>
          <t>012</t>
        </is>
      </c>
      <c r="D2331" s="1" t="inlineStr">
        <is>
          <t xml:space="preserve">59846 </t>
        </is>
      </c>
      <c r="E2331" s="1" t="inlineStr">
        <is>
          <t xml:space="preserve">28194769       </t>
        </is>
      </c>
      <c r="F2331" s="5" t="inlineStr">
        <is>
          <t>AUTOS DE METAL 3 TEAMSTERZ PACK DE 2</t>
        </is>
      </c>
      <c r="G2331" t="n">
        <v>1</v>
      </c>
      <c r="H2331" s="7" t="n">
        <v>13.8</v>
      </c>
      <c r="I2331" s="7" t="n">
        <v>0</v>
      </c>
      <c r="J2331" s="7" t="n">
        <v>0</v>
      </c>
      <c r="K2331" s="9" t="n">
        <v>0</v>
      </c>
      <c r="L2331" s="10" t="n">
        <v>8.18</v>
      </c>
      <c r="M2331" s="10" t="n">
        <v>1.43</v>
      </c>
      <c r="N2331" t="inlineStr">
        <is>
          <t>1</t>
        </is>
      </c>
      <c r="O2331" t="inlineStr">
        <is>
          <t>16</t>
        </is>
      </c>
      <c r="P2331" t="inlineStr">
        <is>
          <t xml:space="preserve">81033   </t>
        </is>
      </c>
      <c r="Q2331" s="26" t="n">
        <v>8.19</v>
      </c>
      <c r="R2331" s="26">
        <f>Q2331*G2331</f>
        <v/>
      </c>
      <c r="S2331" s="26">
        <f>IFERROR(VLOOKUP(E2331*1,Tabla[#All],8,0),0)</f>
        <v/>
      </c>
      <c r="T2331" s="26">
        <f>S2331*G2331</f>
        <v/>
      </c>
      <c r="U2331" s="26">
        <f>R2331-T2331</f>
        <v/>
      </c>
      <c r="V2331" s="26">
        <f>U2331-L2331</f>
        <v/>
      </c>
    </row>
    <row r="2332">
      <c r="A2332" s="11" t="n">
        <v>46226</v>
      </c>
      <c r="B2332" s="1" t="n">
        <v>20080</v>
      </c>
      <c r="C2332" s="1" t="inlineStr">
        <is>
          <t>026</t>
        </is>
      </c>
      <c r="D2332" s="1" t="inlineStr">
        <is>
          <t>209227</t>
        </is>
      </c>
      <c r="E2332" s="1" t="inlineStr">
        <is>
          <t xml:space="preserve">33483118       </t>
        </is>
      </c>
      <c r="F2332" s="5" t="inlineStr">
        <is>
          <t>MUNECA EVI LOVE SET CUIDADO DE PERROS + ACC.</t>
        </is>
      </c>
      <c r="G2332" t="n">
        <v>1</v>
      </c>
      <c r="H2332" s="7" t="n">
        <v>23.94</v>
      </c>
      <c r="I2332" s="7" t="n">
        <v>0</v>
      </c>
      <c r="J2332" s="7" t="n">
        <v>0</v>
      </c>
      <c r="K2332" s="9" t="n">
        <v>0</v>
      </c>
      <c r="L2332" s="10" t="n">
        <v>14.2</v>
      </c>
      <c r="M2332" s="10" t="n">
        <v>1.43</v>
      </c>
      <c r="N2332" t="inlineStr">
        <is>
          <t>1</t>
        </is>
      </c>
      <c r="O2332" t="inlineStr">
        <is>
          <t>16</t>
        </is>
      </c>
      <c r="P2332" t="inlineStr">
        <is>
          <t xml:space="preserve">66621   </t>
        </is>
      </c>
      <c r="Q2332" s="26" t="n">
        <v>23.67</v>
      </c>
      <c r="R2332" s="26">
        <f>Q2332*G2332</f>
        <v/>
      </c>
      <c r="S2332" s="26">
        <f>IFERROR(VLOOKUP(E2332*1,Tabla[#All],8,0),0)</f>
        <v/>
      </c>
      <c r="T2332" s="26">
        <f>S2332*G2332</f>
        <v/>
      </c>
      <c r="U2332" s="26">
        <f>R2332-T2332</f>
        <v/>
      </c>
      <c r="V2332" s="26">
        <f>U2332-L2332</f>
        <v/>
      </c>
    </row>
    <row r="2333">
      <c r="A2333" s="11" t="n">
        <v>46226</v>
      </c>
      <c r="B2333" s="1" t="n">
        <v>20080</v>
      </c>
      <c r="C2333" s="1" t="inlineStr">
        <is>
          <t>026</t>
        </is>
      </c>
      <c r="D2333" s="1" t="inlineStr">
        <is>
          <t>209288</t>
        </is>
      </c>
      <c r="E2333" s="1" t="inlineStr">
        <is>
          <t xml:space="preserve">31417427       </t>
        </is>
      </c>
      <c r="F2333" s="5" t="inlineStr">
        <is>
          <t>MUNECA EVI LOVE AMIGA DE MASCOTAS SURTIDO</t>
        </is>
      </c>
      <c r="G2333" t="n">
        <v>1</v>
      </c>
      <c r="H2333" s="7" t="n">
        <v>11.94</v>
      </c>
      <c r="I2333" s="7" t="n">
        <v>1.19</v>
      </c>
      <c r="J2333" s="7" t="n">
        <v>0</v>
      </c>
      <c r="K2333" s="9" t="n">
        <v>1.19</v>
      </c>
      <c r="L2333" s="10" t="n">
        <v>6.38</v>
      </c>
      <c r="M2333" s="10" t="n">
        <v>1.43</v>
      </c>
      <c r="N2333" t="inlineStr">
        <is>
          <t>1</t>
        </is>
      </c>
      <c r="O2333" t="inlineStr">
        <is>
          <t xml:space="preserve">3 </t>
        </is>
      </c>
      <c r="P2333" t="inlineStr">
        <is>
          <t xml:space="preserve">66621   </t>
        </is>
      </c>
      <c r="Q2333" s="26" t="n">
        <v>11.81</v>
      </c>
      <c r="R2333" s="26">
        <f>Q2333*G2333</f>
        <v/>
      </c>
      <c r="S2333" s="26">
        <f>IFERROR(VLOOKUP(E2333*1,Tabla[#All],8,0),0)</f>
        <v/>
      </c>
      <c r="T2333" s="26">
        <f>S2333*G2333</f>
        <v/>
      </c>
      <c r="U2333" s="26">
        <f>R2333-T2333</f>
        <v/>
      </c>
      <c r="V2333" s="26">
        <f>U2333-L2333</f>
        <v/>
      </c>
    </row>
    <row r="2334">
      <c r="A2334" s="11" t="n">
        <v>46226</v>
      </c>
      <c r="B2334" s="1" t="n">
        <v>20080</v>
      </c>
      <c r="C2334" s="1" t="inlineStr">
        <is>
          <t>026</t>
        </is>
      </c>
      <c r="D2334" s="1" t="inlineStr">
        <is>
          <t>209288</t>
        </is>
      </c>
      <c r="E2334" s="1" t="inlineStr">
        <is>
          <t xml:space="preserve">33483116       </t>
        </is>
      </c>
      <c r="F2334" s="5" t="inlineStr">
        <is>
          <t>MUNECA EVI LOVE GATO + COCHE + ACC.</t>
        </is>
      </c>
      <c r="G2334" t="n">
        <v>1</v>
      </c>
      <c r="H2334" s="7" t="n">
        <v>20.94</v>
      </c>
      <c r="I2334" s="7" t="n">
        <v>2.1</v>
      </c>
      <c r="J2334" s="7" t="n">
        <v>0</v>
      </c>
      <c r="K2334" s="9" t="n">
        <v>2.1</v>
      </c>
      <c r="L2334" s="10" t="n">
        <v>11.18</v>
      </c>
      <c r="M2334" s="10" t="n">
        <v>1.43</v>
      </c>
      <c r="N2334" t="inlineStr">
        <is>
          <t>1</t>
        </is>
      </c>
      <c r="O2334" t="inlineStr">
        <is>
          <t xml:space="preserve">3 </t>
        </is>
      </c>
      <c r="P2334" t="inlineStr">
        <is>
          <t xml:space="preserve">66621   </t>
        </is>
      </c>
      <c r="Q2334" s="26" t="n">
        <v>20.7</v>
      </c>
      <c r="R2334" s="26">
        <f>Q2334*G2334</f>
        <v/>
      </c>
      <c r="S2334" s="26">
        <f>IFERROR(VLOOKUP(E2334*1,Tabla[#All],8,0),0)</f>
        <v/>
      </c>
      <c r="T2334" s="26">
        <f>S2334*G2334</f>
        <v/>
      </c>
      <c r="U2334" s="26">
        <f>R2334-T2334</f>
        <v/>
      </c>
      <c r="V2334" s="26">
        <f>U2334-L2334</f>
        <v/>
      </c>
    </row>
    <row r="2335">
      <c r="A2335" s="11" t="n">
        <v>46226</v>
      </c>
      <c r="B2335" s="1" t="n">
        <v>20080</v>
      </c>
      <c r="C2335" s="1" t="inlineStr">
        <is>
          <t>026</t>
        </is>
      </c>
      <c r="D2335" s="1" t="inlineStr">
        <is>
          <t>209311</t>
        </is>
      </c>
      <c r="E2335" s="1" t="inlineStr">
        <is>
          <t xml:space="preserve">31754676       </t>
        </is>
      </c>
      <c r="F2335" s="5" t="inlineStr">
        <is>
          <t>INFINITY NADO SERIE 6 STD PACK LANZ ESPAD ANILLO M</t>
        </is>
      </c>
      <c r="G2335" t="n">
        <v>1</v>
      </c>
      <c r="H2335" s="7" t="n">
        <v>59.9</v>
      </c>
      <c r="I2335" s="7" t="n">
        <v>5.99</v>
      </c>
      <c r="J2335" s="7" t="n">
        <v>0</v>
      </c>
      <c r="K2335" s="9" t="n">
        <v>5.99</v>
      </c>
      <c r="L2335" s="10" t="n">
        <v>31.98</v>
      </c>
      <c r="M2335" s="10" t="n">
        <v>1.43</v>
      </c>
      <c r="N2335" t="inlineStr">
        <is>
          <t>1</t>
        </is>
      </c>
      <c r="O2335" t="inlineStr">
        <is>
          <t xml:space="preserve">3 </t>
        </is>
      </c>
      <c r="P2335" t="inlineStr">
        <is>
          <t xml:space="preserve">66621   </t>
        </is>
      </c>
      <c r="Q2335" s="26" t="n">
        <v>47.4</v>
      </c>
      <c r="R2335" s="26">
        <f>Q2335*G2335</f>
        <v/>
      </c>
      <c r="S2335" s="26">
        <f>IFERROR(VLOOKUP(E2335*1,Tabla[#All],8,0),0)</f>
        <v/>
      </c>
      <c r="T2335" s="26">
        <f>S2335*G2335</f>
        <v/>
      </c>
      <c r="U2335" s="26">
        <f>R2335-T2335</f>
        <v/>
      </c>
      <c r="V2335" s="26">
        <f>U2335-L2335</f>
        <v/>
      </c>
    </row>
    <row r="2336">
      <c r="A2336" s="11" t="n">
        <v>46226</v>
      </c>
      <c r="B2336" s="1" t="n">
        <v>20080</v>
      </c>
      <c r="C2336" s="1" t="inlineStr">
        <is>
          <t>026</t>
        </is>
      </c>
      <c r="D2336" s="1" t="inlineStr">
        <is>
          <t>209312</t>
        </is>
      </c>
      <c r="E2336" s="1" t="inlineStr">
        <is>
          <t xml:space="preserve">28194784       </t>
        </is>
      </c>
      <c r="F2336" s="5" t="inlineStr">
        <is>
          <t>SET DE ACROBACIAS INFINITY NADO CON TROMPO</t>
        </is>
      </c>
      <c r="G2336" t="n">
        <v>1</v>
      </c>
      <c r="H2336" s="7" t="n">
        <v>139</v>
      </c>
      <c r="I2336" s="7" t="n">
        <v>0</v>
      </c>
      <c r="J2336" s="7" t="n">
        <v>0</v>
      </c>
      <c r="K2336" s="9" t="n">
        <v>0</v>
      </c>
      <c r="L2336" s="10" t="n">
        <v>82.45999999999999</v>
      </c>
      <c r="M2336" s="10" t="n">
        <v>1.43</v>
      </c>
      <c r="N2336" t="inlineStr">
        <is>
          <t>1</t>
        </is>
      </c>
      <c r="O2336" t="inlineStr">
        <is>
          <t>16</t>
        </is>
      </c>
      <c r="P2336" t="inlineStr">
        <is>
          <t xml:space="preserve">66621   </t>
        </is>
      </c>
      <c r="Q2336" s="26" t="n">
        <v>106.19</v>
      </c>
      <c r="R2336" s="26">
        <f>Q2336*G2336</f>
        <v/>
      </c>
      <c r="S2336" s="26">
        <f>IFERROR(VLOOKUP(E2336*1,Tabla[#All],8,0),0)</f>
        <v/>
      </c>
      <c r="T2336" s="26">
        <f>S2336*G2336</f>
        <v/>
      </c>
      <c r="U2336" s="26">
        <f>R2336-T2336</f>
        <v/>
      </c>
      <c r="V2336" s="26">
        <f>U2336-L2336</f>
        <v/>
      </c>
    </row>
    <row r="2337">
      <c r="A2337" s="11" t="n">
        <v>46226</v>
      </c>
      <c r="B2337" s="1" t="n">
        <v>20080</v>
      </c>
      <c r="C2337" s="1" t="inlineStr">
        <is>
          <t>026</t>
        </is>
      </c>
      <c r="D2337" s="1" t="inlineStr">
        <is>
          <t>209317</t>
        </is>
      </c>
      <c r="E2337" s="1" t="inlineStr">
        <is>
          <t xml:space="preserve">28194770       </t>
        </is>
      </c>
      <c r="F2337" s="5" t="inlineStr">
        <is>
          <t>AUTOS DE METAL 3 TEAMSTERZ EN BLISTER</t>
        </is>
      </c>
      <c r="G2337" t="n">
        <v>1</v>
      </c>
      <c r="H2337" s="7" t="n">
        <v>6.9</v>
      </c>
      <c r="I2337" s="7" t="n">
        <v>0</v>
      </c>
      <c r="J2337" s="7" t="n">
        <v>0</v>
      </c>
      <c r="K2337" s="9" t="n">
        <v>0</v>
      </c>
      <c r="L2337" s="10" t="n">
        <v>4.1</v>
      </c>
      <c r="M2337" s="10" t="n">
        <v>1.43</v>
      </c>
      <c r="N2337" t="inlineStr">
        <is>
          <t>1</t>
        </is>
      </c>
      <c r="O2337" t="inlineStr">
        <is>
          <t>16</t>
        </is>
      </c>
      <c r="P2337" t="inlineStr">
        <is>
          <t xml:space="preserve">66621   </t>
        </is>
      </c>
      <c r="Q2337" s="26" t="n">
        <v>4.09</v>
      </c>
      <c r="R2337" s="26">
        <f>Q2337*G2337</f>
        <v/>
      </c>
      <c r="S2337" s="26">
        <f>IFERROR(VLOOKUP(E2337*1,Tabla[#All],8,0),0)</f>
        <v/>
      </c>
      <c r="T2337" s="26">
        <f>S2337*G2337</f>
        <v/>
      </c>
      <c r="U2337" s="26">
        <f>R2337-T2337</f>
        <v/>
      </c>
      <c r="V2337" s="26">
        <f>U2337-L2337</f>
        <v/>
      </c>
    </row>
    <row r="2338">
      <c r="A2338" s="11" t="n">
        <v>46226</v>
      </c>
      <c r="B2338" s="1" t="n">
        <v>20080</v>
      </c>
      <c r="C2338" s="1" t="inlineStr">
        <is>
          <t>029</t>
        </is>
      </c>
      <c r="D2338" s="1" t="inlineStr">
        <is>
          <t>226133</t>
        </is>
      </c>
      <c r="E2338" s="1" t="inlineStr">
        <is>
          <t xml:space="preserve">31754675       </t>
        </is>
      </c>
      <c r="F2338" s="5" t="inlineStr">
        <is>
          <t>INFINITY NADO SERIE 6 STARTER PACK - 4 MODELOS</t>
        </is>
      </c>
      <c r="G2338" t="n">
        <v>1</v>
      </c>
      <c r="H2338" s="7" t="n">
        <v>49.9</v>
      </c>
      <c r="I2338" s="7" t="n">
        <v>0</v>
      </c>
      <c r="J2338" s="7" t="n">
        <v>0</v>
      </c>
      <c r="K2338" s="9" t="n">
        <v>0</v>
      </c>
      <c r="L2338" s="10" t="n">
        <v>29.6</v>
      </c>
      <c r="M2338" s="10" t="n">
        <v>1.43</v>
      </c>
      <c r="N2338" t="inlineStr">
        <is>
          <t>1</t>
        </is>
      </c>
      <c r="O2338" t="inlineStr">
        <is>
          <t>16</t>
        </is>
      </c>
      <c r="P2338" t="inlineStr">
        <is>
          <t xml:space="preserve">76479   </t>
        </is>
      </c>
      <c r="Q2338" s="26" t="n">
        <v>41.47</v>
      </c>
      <c r="R2338" s="26">
        <f>Q2338*G2338</f>
        <v/>
      </c>
      <c r="S2338" s="26">
        <f>IFERROR(VLOOKUP(E2338*1,Tabla[#All],8,0),0)</f>
        <v/>
      </c>
      <c r="T2338" s="26">
        <f>S2338*G2338</f>
        <v/>
      </c>
      <c r="U2338" s="26">
        <f>R2338-T2338</f>
        <v/>
      </c>
      <c r="V2338" s="26">
        <f>U2338-L2338</f>
        <v/>
      </c>
    </row>
    <row r="2339">
      <c r="A2339" s="11" t="n">
        <v>46226</v>
      </c>
      <c r="B2339" s="1" t="n">
        <v>20080</v>
      </c>
      <c r="C2339" s="1" t="inlineStr">
        <is>
          <t>029</t>
        </is>
      </c>
      <c r="D2339" s="1" t="inlineStr">
        <is>
          <t>226148</t>
        </is>
      </c>
      <c r="E2339" s="1" t="inlineStr">
        <is>
          <t xml:space="preserve">28194770       </t>
        </is>
      </c>
      <c r="F2339" s="5" t="inlineStr">
        <is>
          <t>AUTOS DE METAL 3 TEAMSTERZ EN BLISTER</t>
        </is>
      </c>
      <c r="G2339" t="n">
        <v>1</v>
      </c>
      <c r="H2339" s="7" t="n">
        <v>6.9</v>
      </c>
      <c r="I2339" s="7" t="n">
        <v>0</v>
      </c>
      <c r="J2339" s="7" t="n">
        <v>0</v>
      </c>
      <c r="K2339" s="9" t="n">
        <v>0</v>
      </c>
      <c r="L2339" s="10" t="n">
        <v>4.1</v>
      </c>
      <c r="M2339" s="10" t="n">
        <v>1.43</v>
      </c>
      <c r="N2339" t="inlineStr">
        <is>
          <t>1</t>
        </is>
      </c>
      <c r="O2339" t="inlineStr">
        <is>
          <t xml:space="preserve">2 </t>
        </is>
      </c>
      <c r="P2339" t="inlineStr">
        <is>
          <t xml:space="preserve">81033   </t>
        </is>
      </c>
      <c r="Q2339" s="26" t="n">
        <v>4.09</v>
      </c>
      <c r="R2339" s="26">
        <f>Q2339*G2339</f>
        <v/>
      </c>
      <c r="S2339" s="26">
        <f>IFERROR(VLOOKUP(E2339*1,Tabla[#All],8,0),0)</f>
        <v/>
      </c>
      <c r="T2339" s="26">
        <f>S2339*G2339</f>
        <v/>
      </c>
      <c r="U2339" s="26">
        <f>R2339-T2339</f>
        <v/>
      </c>
      <c r="V2339" s="26">
        <f>U2339-L2339</f>
        <v/>
      </c>
    </row>
    <row r="2340">
      <c r="A2340" s="11" t="n">
        <v>46226</v>
      </c>
      <c r="B2340" s="1" t="n">
        <v>20080</v>
      </c>
      <c r="C2340" s="1" t="inlineStr">
        <is>
          <t>029</t>
        </is>
      </c>
      <c r="D2340" s="1" t="inlineStr">
        <is>
          <t xml:space="preserve">4937  </t>
        </is>
      </c>
      <c r="E2340" s="1" t="inlineStr">
        <is>
          <t xml:space="preserve">33483128       </t>
        </is>
      </c>
      <c r="F2340" s="5" t="inlineStr">
        <is>
          <t>MUNECA STEFFI LOVE PASEADORA PERRITOS + ACC.</t>
        </is>
      </c>
      <c r="G2340" t="n">
        <v>1</v>
      </c>
      <c r="H2340" s="7" t="n">
        <v>35.94</v>
      </c>
      <c r="I2340" s="7" t="n">
        <v>0</v>
      </c>
      <c r="J2340" s="7" t="n">
        <v>0</v>
      </c>
      <c r="K2340" s="9" t="n">
        <v>0</v>
      </c>
      <c r="L2340" s="10" t="n">
        <v>21.32</v>
      </c>
      <c r="M2340" s="10" t="n">
        <v>1.43</v>
      </c>
      <c r="N2340" t="inlineStr">
        <is>
          <t>1</t>
        </is>
      </c>
      <c r="O2340" t="inlineStr">
        <is>
          <t>16</t>
        </is>
      </c>
      <c r="P2340" t="inlineStr">
        <is>
          <t xml:space="preserve">251454  </t>
        </is>
      </c>
      <c r="Q2340" s="26" t="n">
        <v>35.53</v>
      </c>
      <c r="R2340" s="26">
        <f>Q2340*G2340</f>
        <v/>
      </c>
      <c r="S2340" s="26">
        <f>IFERROR(VLOOKUP(E2340*1,Tabla[#All],8,0),0)</f>
        <v/>
      </c>
      <c r="T2340" s="26">
        <f>S2340*G2340</f>
        <v/>
      </c>
      <c r="U2340" s="26">
        <f>R2340-T2340</f>
        <v/>
      </c>
      <c r="V2340" s="26">
        <f>U2340-L2340</f>
        <v/>
      </c>
    </row>
    <row r="2341">
      <c r="A2341" s="11" t="n">
        <v>46226</v>
      </c>
      <c r="B2341" s="1" t="n">
        <v>20080</v>
      </c>
      <c r="C2341" s="1" t="inlineStr">
        <is>
          <t>511</t>
        </is>
      </c>
      <c r="D2341" s="1" t="inlineStr">
        <is>
          <t xml:space="preserve">6927  </t>
        </is>
      </c>
      <c r="E2341" s="1" t="inlineStr">
        <is>
          <t xml:space="preserve">31675353       </t>
        </is>
      </c>
      <c r="F2341" s="5" t="inlineStr">
        <is>
          <t>NENUCO CON BIBERON Y SONAJERO</t>
        </is>
      </c>
      <c r="G2341" t="n">
        <v>1</v>
      </c>
      <c r="H2341" s="7" t="n">
        <v>59.9</v>
      </c>
      <c r="I2341" s="7" t="n">
        <v>0</v>
      </c>
      <c r="J2341" s="7" t="n">
        <v>0</v>
      </c>
      <c r="K2341" s="9" t="n">
        <v>0</v>
      </c>
      <c r="L2341" s="10" t="n">
        <v>35.53</v>
      </c>
      <c r="M2341" s="10" t="n">
        <v>1.43</v>
      </c>
      <c r="N2341" t="inlineStr">
        <is>
          <t>1</t>
        </is>
      </c>
      <c r="O2341" t="inlineStr">
        <is>
          <t>16</t>
        </is>
      </c>
      <c r="P2341" t="inlineStr">
        <is>
          <t xml:space="preserve">249326  </t>
        </is>
      </c>
      <c r="Q2341" s="26" t="n">
        <v>47.4</v>
      </c>
      <c r="R2341" s="26">
        <f>Q2341*G2341</f>
        <v/>
      </c>
      <c r="S2341" s="26">
        <f>IFERROR(VLOOKUP(E2341*1,Tabla[#All],8,0),0)</f>
        <v/>
      </c>
      <c r="T2341" s="26">
        <f>S2341*G2341</f>
        <v/>
      </c>
      <c r="U2341" s="26">
        <f>R2341-T2341</f>
        <v/>
      </c>
      <c r="V2341" s="26">
        <f>U2341-L2341</f>
        <v/>
      </c>
    </row>
    <row r="2342">
      <c r="A2342" s="11" t="n">
        <v>46226</v>
      </c>
      <c r="B2342" s="1" t="n">
        <v>20086</v>
      </c>
      <c r="C2342" s="1" t="inlineStr">
        <is>
          <t>192</t>
        </is>
      </c>
      <c r="D2342" s="1" t="inlineStr">
        <is>
          <t>129264</t>
        </is>
      </c>
      <c r="E2342" s="1" t="inlineStr">
        <is>
          <t xml:space="preserve">28194770       </t>
        </is>
      </c>
      <c r="F2342" s="5" t="inlineStr">
        <is>
          <t>AUTOS DE METAL 3 TEAMSTERZ EN BLISTER</t>
        </is>
      </c>
      <c r="G2342" t="n">
        <v>1</v>
      </c>
      <c r="H2342" s="7" t="n">
        <v>6.9</v>
      </c>
      <c r="I2342" s="7" t="n">
        <v>0</v>
      </c>
      <c r="J2342" s="7" t="n">
        <v>0</v>
      </c>
      <c r="K2342" s="9" t="n">
        <v>0</v>
      </c>
      <c r="L2342" s="10" t="n">
        <v>4.1</v>
      </c>
      <c r="M2342" s="10" t="n">
        <v>1.43</v>
      </c>
      <c r="N2342" t="inlineStr">
        <is>
          <t>1</t>
        </is>
      </c>
      <c r="O2342" t="inlineStr">
        <is>
          <t xml:space="preserve">2 </t>
        </is>
      </c>
      <c r="P2342" t="inlineStr">
        <is>
          <t xml:space="preserve">74619   </t>
        </is>
      </c>
      <c r="Q2342" s="26" t="n">
        <v>4.09</v>
      </c>
      <c r="R2342" s="26">
        <f>Q2342*G2342</f>
        <v/>
      </c>
      <c r="S2342" s="26">
        <f>IFERROR(VLOOKUP(E2342*1,Tabla[#All],8,0),0)</f>
        <v/>
      </c>
      <c r="T2342" s="26">
        <f>S2342*G2342</f>
        <v/>
      </c>
      <c r="U2342" s="26">
        <f>R2342-T2342</f>
        <v/>
      </c>
      <c r="V2342" s="26">
        <f>U2342-L2342</f>
        <v/>
      </c>
    </row>
    <row r="2343">
      <c r="A2343" s="11" t="n">
        <v>46226</v>
      </c>
      <c r="B2343" s="1" t="n">
        <v>20086</v>
      </c>
      <c r="C2343" s="1" t="inlineStr">
        <is>
          <t>510</t>
        </is>
      </c>
      <c r="D2343" s="1" t="inlineStr">
        <is>
          <t xml:space="preserve">4239  </t>
        </is>
      </c>
      <c r="E2343" s="1" t="inlineStr">
        <is>
          <t xml:space="preserve">28194770       </t>
        </is>
      </c>
      <c r="F2343" s="5" t="inlineStr">
        <is>
          <t>AUTOS DE METAL 3 TEAMSTERZ EN BLISTER</t>
        </is>
      </c>
      <c r="G2343" t="n">
        <v>2</v>
      </c>
      <c r="H2343" s="7" t="n">
        <v>13.8</v>
      </c>
      <c r="I2343" s="7" t="n">
        <v>0</v>
      </c>
      <c r="J2343" s="7" t="n">
        <v>0</v>
      </c>
      <c r="K2343" s="9" t="n">
        <v>0</v>
      </c>
      <c r="L2343" s="10" t="n">
        <v>8.18</v>
      </c>
      <c r="M2343" s="10" t="n">
        <v>1.43</v>
      </c>
      <c r="N2343" t="inlineStr">
        <is>
          <t>1</t>
        </is>
      </c>
      <c r="O2343" t="inlineStr">
        <is>
          <t>16</t>
        </is>
      </c>
      <c r="P2343" t="inlineStr">
        <is>
          <t xml:space="preserve">250459  </t>
        </is>
      </c>
      <c r="Q2343" s="26" t="n">
        <v>4.09</v>
      </c>
      <c r="R2343" s="26">
        <f>Q2343*G2343</f>
        <v/>
      </c>
      <c r="S2343" s="26">
        <f>IFERROR(VLOOKUP(E2343*1,Tabla[#All],8,0),0)</f>
        <v/>
      </c>
      <c r="T2343" s="26">
        <f>S2343*G2343</f>
        <v/>
      </c>
      <c r="U2343" s="26">
        <f>R2343-T2343</f>
        <v/>
      </c>
      <c r="V2343" s="26">
        <f>U2343-L2343</f>
        <v/>
      </c>
    </row>
    <row r="2344">
      <c r="A2344" s="11" t="n">
        <v>46226</v>
      </c>
      <c r="B2344" s="1" t="n">
        <v>20088</v>
      </c>
      <c r="C2344" s="1" t="inlineStr">
        <is>
          <t>021</t>
        </is>
      </c>
      <c r="D2344" s="1" t="inlineStr">
        <is>
          <t xml:space="preserve">49826 </t>
        </is>
      </c>
      <c r="E2344" s="1" t="inlineStr">
        <is>
          <t xml:space="preserve">34840526       </t>
        </is>
      </c>
      <c r="F2344" s="5" t="inlineStr">
        <is>
          <t>NENUCO ABRACITOS</t>
        </is>
      </c>
      <c r="G2344" t="n">
        <v>1</v>
      </c>
      <c r="H2344" s="7" t="n">
        <v>89.90000000000001</v>
      </c>
      <c r="I2344" s="7" t="n">
        <v>8.99</v>
      </c>
      <c r="J2344" s="7" t="n">
        <v>0</v>
      </c>
      <c r="K2344" s="9" t="n">
        <v>8.99</v>
      </c>
      <c r="L2344" s="10" t="n">
        <v>48</v>
      </c>
      <c r="M2344" s="10" t="n">
        <v>1.43</v>
      </c>
      <c r="N2344" t="inlineStr">
        <is>
          <t>1</t>
        </is>
      </c>
      <c r="O2344" t="inlineStr">
        <is>
          <t>16</t>
        </is>
      </c>
      <c r="P2344" t="inlineStr">
        <is>
          <t xml:space="preserve">248960  </t>
        </is>
      </c>
      <c r="Q2344" s="26" t="n">
        <v>70.59</v>
      </c>
      <c r="R2344" s="26">
        <f>Q2344*G2344</f>
        <v/>
      </c>
      <c r="S2344" s="26">
        <f>IFERROR(VLOOKUP(E2344*1,Tabla[#All],8,0),0)</f>
        <v/>
      </c>
      <c r="T2344" s="26">
        <f>S2344*G2344</f>
        <v/>
      </c>
      <c r="U2344" s="26">
        <f>R2344-T2344</f>
        <v/>
      </c>
      <c r="V2344" s="26">
        <f>U2344-L2344</f>
        <v/>
      </c>
    </row>
    <row r="2345">
      <c r="A2345" s="11" t="n">
        <v>46226</v>
      </c>
      <c r="B2345" s="1" t="n">
        <v>20088</v>
      </c>
      <c r="C2345" s="1" t="inlineStr">
        <is>
          <t>021</t>
        </is>
      </c>
      <c r="D2345" s="1" t="inlineStr">
        <is>
          <t xml:space="preserve">49899 </t>
        </is>
      </c>
      <c r="E2345" s="1" t="inlineStr">
        <is>
          <t xml:space="preserve">33661538       </t>
        </is>
      </c>
      <c r="F2345" s="5" t="inlineStr">
        <is>
          <t>HOT WHEELS CASE GARAGE RUEDA METAL EN LLAMAS X 29</t>
        </is>
      </c>
      <c r="G2345" t="n">
        <v>1</v>
      </c>
      <c r="H2345" s="7" t="n">
        <v>69.90000000000001</v>
      </c>
      <c r="I2345" s="7" t="n">
        <v>0</v>
      </c>
      <c r="J2345" s="7" t="n">
        <v>0</v>
      </c>
      <c r="K2345" s="9" t="n">
        <v>0</v>
      </c>
      <c r="L2345" s="10" t="n">
        <v>41.47</v>
      </c>
      <c r="M2345" s="10" t="n">
        <v>1.43</v>
      </c>
      <c r="N2345" t="inlineStr">
        <is>
          <t>1</t>
        </is>
      </c>
      <c r="O2345" t="inlineStr">
        <is>
          <t>16</t>
        </is>
      </c>
      <c r="P2345" t="inlineStr">
        <is>
          <t xml:space="preserve">248960  </t>
        </is>
      </c>
      <c r="Q2345" s="26" t="n">
        <v>41.47</v>
      </c>
      <c r="R2345" s="26">
        <f>Q2345*G2345</f>
        <v/>
      </c>
      <c r="S2345" s="26">
        <f>IFERROR(VLOOKUP(E2345*1,Tabla[#All],8,0),0)</f>
        <v/>
      </c>
      <c r="T2345" s="26">
        <f>S2345*G2345</f>
        <v/>
      </c>
      <c r="U2345" s="26">
        <f>R2345-T2345</f>
        <v/>
      </c>
      <c r="V2345" s="26">
        <f>U2345-L2345</f>
        <v/>
      </c>
    </row>
    <row r="2346">
      <c r="A2346" s="11" t="n">
        <v>46226</v>
      </c>
      <c r="B2346" s="1" t="n">
        <v>20088</v>
      </c>
      <c r="C2346" s="1" t="inlineStr">
        <is>
          <t>022</t>
        </is>
      </c>
      <c r="D2346" s="1" t="inlineStr">
        <is>
          <t xml:space="preserve">84654 </t>
        </is>
      </c>
      <c r="E2346" s="1" t="inlineStr">
        <is>
          <t xml:space="preserve">28194783       </t>
        </is>
      </c>
      <c r="F2346" s="5" t="inlineStr">
        <is>
          <t>SET DE BATALLA INFINITY NADO CON 2 TROMPOS</t>
        </is>
      </c>
      <c r="G2346" t="n">
        <v>1</v>
      </c>
      <c r="H2346" s="7" t="n">
        <v>129</v>
      </c>
      <c r="I2346" s="7" t="n">
        <v>12.9</v>
      </c>
      <c r="J2346" s="7" t="n">
        <v>0</v>
      </c>
      <c r="K2346" s="9" t="n">
        <v>12.9</v>
      </c>
      <c r="L2346" s="10" t="n">
        <v>68.87</v>
      </c>
      <c r="M2346" s="10" t="n">
        <v>1.43</v>
      </c>
      <c r="N2346" t="inlineStr">
        <is>
          <t>1</t>
        </is>
      </c>
      <c r="O2346" t="inlineStr">
        <is>
          <t xml:space="preserve">3 </t>
        </is>
      </c>
      <c r="P2346" t="inlineStr">
        <is>
          <t xml:space="preserve">235264  </t>
        </is>
      </c>
      <c r="Q2346" s="26" t="n">
        <v>94.31999999999999</v>
      </c>
      <c r="R2346" s="26">
        <f>Q2346*G2346</f>
        <v/>
      </c>
      <c r="S2346" s="26">
        <f>IFERROR(VLOOKUP(E2346*1,Tabla[#All],8,0),0)</f>
        <v/>
      </c>
      <c r="T2346" s="26">
        <f>S2346*G2346</f>
        <v/>
      </c>
      <c r="U2346" s="26">
        <f>R2346-T2346</f>
        <v/>
      </c>
      <c r="V2346" s="26">
        <f>U2346-L2346</f>
        <v/>
      </c>
    </row>
    <row r="2347">
      <c r="A2347" s="11" t="n">
        <v>46226</v>
      </c>
      <c r="B2347" s="1" t="n">
        <v>20088</v>
      </c>
      <c r="C2347" s="1" t="inlineStr">
        <is>
          <t>802</t>
        </is>
      </c>
      <c r="D2347" s="1" t="inlineStr">
        <is>
          <t xml:space="preserve">8217  </t>
        </is>
      </c>
      <c r="E2347" s="1" t="inlineStr">
        <is>
          <t xml:space="preserve">34840553       </t>
        </is>
      </c>
      <c r="F2347" s="5" t="inlineStr">
        <is>
          <t>TMZ AUTO LUZ Y SONIDO ESQUELET DINO T-REX</t>
        </is>
      </c>
      <c r="G2347" t="n">
        <v>1</v>
      </c>
      <c r="H2347" s="7" t="n">
        <v>79.90000000000001</v>
      </c>
      <c r="I2347" s="7" t="n">
        <v>0</v>
      </c>
      <c r="J2347" s="7" t="n">
        <v>0</v>
      </c>
      <c r="K2347" s="9" t="n">
        <v>0</v>
      </c>
      <c r="L2347" s="10" t="n">
        <v>47.4</v>
      </c>
      <c r="M2347" s="10" t="n">
        <v>1.43</v>
      </c>
      <c r="N2347" t="inlineStr">
        <is>
          <t>1</t>
        </is>
      </c>
      <c r="O2347" t="inlineStr">
        <is>
          <t>16</t>
        </is>
      </c>
      <c r="P2347" t="inlineStr">
        <is>
          <t xml:space="preserve">0       </t>
        </is>
      </c>
      <c r="Q2347" s="26" t="n">
        <v>47.4</v>
      </c>
      <c r="R2347" s="26">
        <f>Q2347*G2347</f>
        <v/>
      </c>
      <c r="S2347" s="26">
        <f>IFERROR(VLOOKUP(E2347*1,Tabla[#All],8,0),0)</f>
        <v/>
      </c>
      <c r="T2347" s="26">
        <f>S2347*G2347</f>
        <v/>
      </c>
      <c r="U2347" s="26">
        <f>R2347-T2347</f>
        <v/>
      </c>
      <c r="V2347" s="26">
        <f>U2347-L2347</f>
        <v/>
      </c>
    </row>
    <row r="2348">
      <c r="A2348" s="11" t="n">
        <v>46226</v>
      </c>
      <c r="B2348" s="1" t="n">
        <v>20089</v>
      </c>
      <c r="C2348" s="1" t="inlineStr">
        <is>
          <t>025</t>
        </is>
      </c>
      <c r="D2348" s="1" t="inlineStr">
        <is>
          <t>122356</t>
        </is>
      </c>
      <c r="E2348" s="1" t="inlineStr">
        <is>
          <t xml:space="preserve">31959960       </t>
        </is>
      </c>
      <c r="F2348" s="5" t="inlineStr">
        <is>
          <t>TEAMSTERZ PLAYSET DE CONSTRUCCION VEHICULOS + ACCE</t>
        </is>
      </c>
      <c r="G2348" t="n">
        <v>1</v>
      </c>
      <c r="H2348" s="7" t="n">
        <v>39.9</v>
      </c>
      <c r="I2348" s="7" t="n">
        <v>3.99</v>
      </c>
      <c r="J2348" s="7" t="n">
        <v>0</v>
      </c>
      <c r="K2348" s="9" t="n">
        <v>3.99</v>
      </c>
      <c r="L2348" s="10" t="n">
        <v>21.3</v>
      </c>
      <c r="M2348" s="10" t="n">
        <v>1.43</v>
      </c>
      <c r="N2348" t="inlineStr">
        <is>
          <t>1</t>
        </is>
      </c>
      <c r="O2348" t="inlineStr">
        <is>
          <t xml:space="preserve">3 </t>
        </is>
      </c>
      <c r="P2348" t="inlineStr">
        <is>
          <t xml:space="preserve">98400   </t>
        </is>
      </c>
      <c r="Q2348" s="26" t="n">
        <v>23.67</v>
      </c>
      <c r="R2348" s="26">
        <f>Q2348*G2348</f>
        <v/>
      </c>
      <c r="S2348" s="26">
        <f>IFERROR(VLOOKUP(E2348*1,Tabla[#All],8,0),0)</f>
        <v/>
      </c>
      <c r="T2348" s="26">
        <f>S2348*G2348</f>
        <v/>
      </c>
      <c r="U2348" s="26">
        <f>R2348-T2348</f>
        <v/>
      </c>
      <c r="V2348" s="26">
        <f>U2348-L2348</f>
        <v/>
      </c>
    </row>
    <row r="2349">
      <c r="A2349" s="11" t="n">
        <v>46226</v>
      </c>
      <c r="B2349" s="1" t="n">
        <v>20089</v>
      </c>
      <c r="C2349" s="1" t="inlineStr">
        <is>
          <t>025</t>
        </is>
      </c>
      <c r="D2349" s="1" t="inlineStr">
        <is>
          <t>122400</t>
        </is>
      </c>
      <c r="E2349" s="1" t="inlineStr">
        <is>
          <t xml:space="preserve">28194770       </t>
        </is>
      </c>
      <c r="F2349" s="5" t="inlineStr">
        <is>
          <t>AUTOS DE METAL 3 TEAMSTERZ EN BLISTER</t>
        </is>
      </c>
      <c r="G2349" t="n">
        <v>1</v>
      </c>
      <c r="H2349" s="7" t="n">
        <v>6.9</v>
      </c>
      <c r="I2349" s="7" t="n">
        <v>0.6899999999999999</v>
      </c>
      <c r="J2349" s="7" t="n">
        <v>0</v>
      </c>
      <c r="K2349" s="9" t="n">
        <v>0.6899999999999999</v>
      </c>
      <c r="L2349" s="10" t="n">
        <v>3.68</v>
      </c>
      <c r="M2349" s="10" t="n">
        <v>1.43</v>
      </c>
      <c r="N2349" t="inlineStr">
        <is>
          <t>1</t>
        </is>
      </c>
      <c r="O2349" t="inlineStr">
        <is>
          <t>16</t>
        </is>
      </c>
      <c r="P2349" t="inlineStr">
        <is>
          <t xml:space="preserve">251360  </t>
        </is>
      </c>
      <c r="Q2349" s="26" t="n">
        <v>4.09</v>
      </c>
      <c r="R2349" s="26">
        <f>Q2349*G2349</f>
        <v/>
      </c>
      <c r="S2349" s="26">
        <f>IFERROR(VLOOKUP(E2349*1,Tabla[#All],8,0),0)</f>
        <v/>
      </c>
      <c r="T2349" s="26">
        <f>S2349*G2349</f>
        <v/>
      </c>
      <c r="U2349" s="26">
        <f>R2349-T2349</f>
        <v/>
      </c>
      <c r="V2349" s="26">
        <f>U2349-L2349</f>
        <v/>
      </c>
    </row>
    <row r="2350">
      <c r="A2350" s="11" t="n">
        <v>46226</v>
      </c>
      <c r="B2350" s="1" t="n">
        <v>20089</v>
      </c>
      <c r="C2350" s="1" t="inlineStr">
        <is>
          <t>026</t>
        </is>
      </c>
      <c r="D2350" s="1" t="inlineStr">
        <is>
          <t xml:space="preserve">88522 </t>
        </is>
      </c>
      <c r="E2350" s="1" t="inlineStr">
        <is>
          <t xml:space="preserve">33661538       </t>
        </is>
      </c>
      <c r="F2350" s="5" t="inlineStr">
        <is>
          <t>HOT WHEELS CASE GARAGE RUEDA METAL EN LLAMAS X 29</t>
        </is>
      </c>
      <c r="G2350" t="n">
        <v>1</v>
      </c>
      <c r="H2350" s="7" t="n">
        <v>69.90000000000001</v>
      </c>
      <c r="I2350" s="7" t="n">
        <v>0</v>
      </c>
      <c r="J2350" s="7" t="n">
        <v>0</v>
      </c>
      <c r="K2350" s="9" t="n">
        <v>0</v>
      </c>
      <c r="L2350" s="10" t="n">
        <v>41.47</v>
      </c>
      <c r="M2350" s="10" t="n">
        <v>1.43</v>
      </c>
      <c r="N2350" t="inlineStr">
        <is>
          <t>1</t>
        </is>
      </c>
      <c r="O2350" t="inlineStr">
        <is>
          <t>16</t>
        </is>
      </c>
      <c r="P2350" t="inlineStr">
        <is>
          <t xml:space="preserve">233031  </t>
        </is>
      </c>
      <c r="Q2350" s="26" t="n">
        <v>41.47</v>
      </c>
      <c r="R2350" s="26">
        <f>Q2350*G2350</f>
        <v/>
      </c>
      <c r="S2350" s="26">
        <f>IFERROR(VLOOKUP(E2350*1,Tabla[#All],8,0),0)</f>
        <v/>
      </c>
      <c r="T2350" s="26">
        <f>S2350*G2350</f>
        <v/>
      </c>
      <c r="U2350" s="26">
        <f>R2350-T2350</f>
        <v/>
      </c>
      <c r="V2350" s="26">
        <f>U2350-L2350</f>
        <v/>
      </c>
    </row>
    <row r="2351">
      <c r="A2351" s="11" t="n">
        <v>46226</v>
      </c>
      <c r="B2351" s="1" t="n">
        <v>20089</v>
      </c>
      <c r="C2351" s="1" t="inlineStr">
        <is>
          <t>032</t>
        </is>
      </c>
      <c r="D2351" s="1" t="inlineStr">
        <is>
          <t>163618</t>
        </is>
      </c>
      <c r="E2351" s="1" t="inlineStr">
        <is>
          <t xml:space="preserve">28194768       </t>
        </is>
      </c>
      <c r="F2351" s="5" t="inlineStr">
        <is>
          <t>AUTO COLOR CHANGE TEAMSTERZ SURTIDO</t>
        </is>
      </c>
      <c r="G2351" t="n">
        <v>1</v>
      </c>
      <c r="H2351" s="7" t="n">
        <v>14.9</v>
      </c>
      <c r="I2351" s="7" t="n">
        <v>0</v>
      </c>
      <c r="J2351" s="7" t="n">
        <v>0</v>
      </c>
      <c r="K2351" s="9" t="n">
        <v>0</v>
      </c>
      <c r="L2351" s="10" t="n">
        <v>8.84</v>
      </c>
      <c r="M2351" s="10" t="n">
        <v>1.43</v>
      </c>
      <c r="N2351" t="inlineStr">
        <is>
          <t>1</t>
        </is>
      </c>
      <c r="O2351" t="inlineStr">
        <is>
          <t xml:space="preserve">2 </t>
        </is>
      </c>
      <c r="P2351" t="inlineStr">
        <is>
          <t xml:space="preserve">82992   </t>
        </is>
      </c>
      <c r="Q2351" s="26" t="n">
        <v>8.84</v>
      </c>
      <c r="R2351" s="26">
        <f>Q2351*G2351</f>
        <v/>
      </c>
      <c r="S2351" s="26">
        <f>IFERROR(VLOOKUP(E2351*1,Tabla[#All],8,0),0)</f>
        <v/>
      </c>
      <c r="T2351" s="26">
        <f>S2351*G2351</f>
        <v/>
      </c>
      <c r="U2351" s="26">
        <f>R2351-T2351</f>
        <v/>
      </c>
      <c r="V2351" s="26">
        <f>U2351-L2351</f>
        <v/>
      </c>
    </row>
    <row r="2352">
      <c r="A2352" s="11" t="n">
        <v>46226</v>
      </c>
      <c r="B2352" s="1" t="n">
        <v>20089</v>
      </c>
      <c r="C2352" s="1" t="inlineStr">
        <is>
          <t>862</t>
        </is>
      </c>
      <c r="D2352" s="1" t="inlineStr">
        <is>
          <t xml:space="preserve">8767  </t>
        </is>
      </c>
      <c r="E2352" s="1" t="inlineStr">
        <is>
          <t xml:space="preserve">31959957       </t>
        </is>
      </c>
      <c r="F2352" s="5" t="inlineStr">
        <is>
          <t>TEAMSTERZ PLAYSET RESCATE EN EL MAR</t>
        </is>
      </c>
      <c r="G2352" t="n">
        <v>1</v>
      </c>
      <c r="H2352" s="7" t="n">
        <v>19.9</v>
      </c>
      <c r="I2352" s="7" t="n">
        <v>0</v>
      </c>
      <c r="J2352" s="7" t="n">
        <v>0</v>
      </c>
      <c r="K2352" s="9" t="n">
        <v>0</v>
      </c>
      <c r="L2352" s="10" t="n">
        <v>11.8</v>
      </c>
      <c r="M2352" s="10" t="n">
        <v>1.43</v>
      </c>
      <c r="N2352" t="inlineStr">
        <is>
          <t>1</t>
        </is>
      </c>
      <c r="O2352" t="inlineStr">
        <is>
          <t>16</t>
        </is>
      </c>
      <c r="P2352" t="inlineStr">
        <is>
          <t xml:space="preserve">0       </t>
        </is>
      </c>
      <c r="Q2352" s="26" t="n">
        <v>11.81</v>
      </c>
      <c r="R2352" s="26">
        <f>Q2352*G2352</f>
        <v/>
      </c>
      <c r="S2352" s="26">
        <f>IFERROR(VLOOKUP(E2352*1,Tabla[#All],8,0),0)</f>
        <v/>
      </c>
      <c r="T2352" s="26">
        <f>S2352*G2352</f>
        <v/>
      </c>
      <c r="U2352" s="26">
        <f>R2352-T2352</f>
        <v/>
      </c>
      <c r="V2352" s="26">
        <f>U2352-L2352</f>
        <v/>
      </c>
    </row>
    <row r="2353">
      <c r="A2353" s="11" t="n">
        <v>46226</v>
      </c>
      <c r="B2353" s="1" t="n">
        <v>20089</v>
      </c>
      <c r="C2353" s="1" t="inlineStr">
        <is>
          <t>862</t>
        </is>
      </c>
      <c r="D2353" s="1" t="inlineStr">
        <is>
          <t xml:space="preserve">8777  </t>
        </is>
      </c>
      <c r="E2353" s="1" t="inlineStr">
        <is>
          <t xml:space="preserve">32656523       </t>
        </is>
      </c>
      <c r="F2353" s="5" t="inlineStr">
        <is>
          <t>TMZ BEAST MACHINES TRANSPORT. T-REX ELECTR. + ACCE</t>
        </is>
      </c>
      <c r="G2353" t="n">
        <v>1</v>
      </c>
      <c r="H2353" s="7" t="n">
        <v>179</v>
      </c>
      <c r="I2353" s="7" t="n">
        <v>0</v>
      </c>
      <c r="J2353" s="7" t="n">
        <v>0</v>
      </c>
      <c r="K2353" s="9" t="n">
        <v>0</v>
      </c>
      <c r="L2353" s="10" t="n">
        <v>106.18</v>
      </c>
      <c r="M2353" s="10" t="n">
        <v>1.43</v>
      </c>
      <c r="N2353" t="inlineStr">
        <is>
          <t>1</t>
        </is>
      </c>
      <c r="O2353" t="inlineStr">
        <is>
          <t>16</t>
        </is>
      </c>
      <c r="P2353" t="inlineStr">
        <is>
          <t xml:space="preserve">0       </t>
        </is>
      </c>
      <c r="Q2353" s="26" t="n">
        <v>106.19</v>
      </c>
      <c r="R2353" s="26">
        <f>Q2353*G2353</f>
        <v/>
      </c>
      <c r="S2353" s="26">
        <f>IFERROR(VLOOKUP(E2353*1,Tabla[#All],8,0),0)</f>
        <v/>
      </c>
      <c r="T2353" s="26">
        <f>S2353*G2353</f>
        <v/>
      </c>
      <c r="U2353" s="26">
        <f>R2353-T2353</f>
        <v/>
      </c>
      <c r="V2353" s="26">
        <f>U2353-L2353</f>
        <v/>
      </c>
    </row>
    <row r="2354">
      <c r="A2354" s="11" t="n">
        <v>46226</v>
      </c>
      <c r="B2354" s="1" t="n">
        <v>20095</v>
      </c>
      <c r="C2354" s="1" t="inlineStr">
        <is>
          <t>026</t>
        </is>
      </c>
      <c r="D2354" s="1" t="inlineStr">
        <is>
          <t xml:space="preserve">56037 </t>
        </is>
      </c>
      <c r="E2354" s="1" t="inlineStr">
        <is>
          <t xml:space="preserve">28194780       </t>
        </is>
      </c>
      <c r="F2354" s="5" t="inlineStr">
        <is>
          <t>TROMPO BATALLA INFINITY NADO PLSTICO SURTIDO</t>
        </is>
      </c>
      <c r="G2354" t="n">
        <v>1</v>
      </c>
      <c r="H2354" s="7" t="n">
        <v>19.9</v>
      </c>
      <c r="I2354" s="7" t="n">
        <v>0</v>
      </c>
      <c r="J2354" s="7" t="n">
        <v>0</v>
      </c>
      <c r="K2354" s="9" t="n">
        <v>0</v>
      </c>
      <c r="L2354" s="10" t="n">
        <v>11.8</v>
      </c>
      <c r="M2354" s="10" t="n">
        <v>1.43</v>
      </c>
      <c r="N2354" t="inlineStr">
        <is>
          <t>1</t>
        </is>
      </c>
      <c r="O2354" t="inlineStr">
        <is>
          <t xml:space="preserve">2 </t>
        </is>
      </c>
      <c r="P2354" t="inlineStr">
        <is>
          <t xml:space="preserve">248989  </t>
        </is>
      </c>
      <c r="Q2354" s="26" t="n">
        <v>11.81</v>
      </c>
      <c r="R2354" s="26">
        <f>Q2354*G2354</f>
        <v/>
      </c>
      <c r="S2354" s="26">
        <f>IFERROR(VLOOKUP(E2354*1,Tabla[#All],8,0),0)</f>
        <v/>
      </c>
      <c r="T2354" s="26">
        <f>S2354*G2354</f>
        <v/>
      </c>
      <c r="U2354" s="26">
        <f>R2354-T2354</f>
        <v/>
      </c>
      <c r="V2354" s="26">
        <f>U2354-L2354</f>
        <v/>
      </c>
    </row>
    <row r="2355">
      <c r="A2355" s="11" t="n">
        <v>46226</v>
      </c>
      <c r="B2355" s="1" t="n">
        <v>20095</v>
      </c>
      <c r="C2355" s="1" t="inlineStr">
        <is>
          <t>043</t>
        </is>
      </c>
      <c r="D2355" s="1" t="inlineStr">
        <is>
          <t>108508</t>
        </is>
      </c>
      <c r="E2355" s="1" t="inlineStr">
        <is>
          <t xml:space="preserve">30141766       </t>
        </is>
      </c>
      <c r="F2355" s="5" t="inlineStr">
        <is>
          <t>TMZ BEAST MACHINES AUTOS DE METAL BLISTER X 1</t>
        </is>
      </c>
      <c r="G2355" t="n">
        <v>1</v>
      </c>
      <c r="H2355" s="7" t="n">
        <v>7.9</v>
      </c>
      <c r="I2355" s="7" t="n">
        <v>0</v>
      </c>
      <c r="J2355" s="7" t="n">
        <v>0</v>
      </c>
      <c r="K2355" s="9" t="n">
        <v>0</v>
      </c>
      <c r="L2355" s="10" t="n">
        <v>4.68</v>
      </c>
      <c r="M2355" s="10" t="n">
        <v>1.43</v>
      </c>
      <c r="N2355" t="inlineStr">
        <is>
          <t>1</t>
        </is>
      </c>
      <c r="O2355" t="inlineStr">
        <is>
          <t>16</t>
        </is>
      </c>
      <c r="P2355" t="inlineStr">
        <is>
          <t xml:space="preserve">241955  </t>
        </is>
      </c>
      <c r="Q2355" s="26" t="n">
        <v>4.69</v>
      </c>
      <c r="R2355" s="26">
        <f>Q2355*G2355</f>
        <v/>
      </c>
      <c r="S2355" s="26">
        <f>IFERROR(VLOOKUP(E2355*1,Tabla[#All],8,0),0)</f>
        <v/>
      </c>
      <c r="T2355" s="26">
        <f>S2355*G2355</f>
        <v/>
      </c>
      <c r="U2355" s="26">
        <f>R2355-T2355</f>
        <v/>
      </c>
      <c r="V2355" s="26">
        <f>U2355-L2355</f>
        <v/>
      </c>
    </row>
    <row r="2356">
      <c r="A2356" s="11" t="n">
        <v>46226</v>
      </c>
      <c r="B2356" s="1" t="n">
        <v>20095</v>
      </c>
      <c r="C2356" s="1" t="inlineStr">
        <is>
          <t>043</t>
        </is>
      </c>
      <c r="D2356" s="1" t="inlineStr">
        <is>
          <t>108513</t>
        </is>
      </c>
      <c r="E2356" s="1" t="inlineStr">
        <is>
          <t xml:space="preserve">28194769       </t>
        </is>
      </c>
      <c r="F2356" s="5" t="inlineStr">
        <is>
          <t>AUTOS DE METAL 3 TEAMSTERZ PACK DE 2</t>
        </is>
      </c>
      <c r="G2356" t="n">
        <v>1</v>
      </c>
      <c r="H2356" s="7" t="n">
        <v>13.8</v>
      </c>
      <c r="I2356" s="7" t="n">
        <v>0</v>
      </c>
      <c r="J2356" s="7" t="n">
        <v>0</v>
      </c>
      <c r="K2356" s="9" t="n">
        <v>0</v>
      </c>
      <c r="L2356" s="10" t="n">
        <v>8.18</v>
      </c>
      <c r="M2356" s="10" t="n">
        <v>1.43</v>
      </c>
      <c r="N2356" t="inlineStr">
        <is>
          <t>1</t>
        </is>
      </c>
      <c r="O2356" t="inlineStr">
        <is>
          <t>16</t>
        </is>
      </c>
      <c r="P2356" t="inlineStr">
        <is>
          <t xml:space="preserve">241955  </t>
        </is>
      </c>
      <c r="Q2356" s="26" t="n">
        <v>8.19</v>
      </c>
      <c r="R2356" s="26">
        <f>Q2356*G2356</f>
        <v/>
      </c>
      <c r="S2356" s="26">
        <f>IFERROR(VLOOKUP(E2356*1,Tabla[#All],8,0),0)</f>
        <v/>
      </c>
      <c r="T2356" s="26">
        <f>S2356*G2356</f>
        <v/>
      </c>
      <c r="U2356" s="26">
        <f>R2356-T2356</f>
        <v/>
      </c>
      <c r="V2356" s="26">
        <f>U2356-L2356</f>
        <v/>
      </c>
    </row>
    <row r="2357">
      <c r="A2357" s="11" t="n">
        <v>46226</v>
      </c>
      <c r="B2357" s="1" t="n">
        <v>20095</v>
      </c>
      <c r="C2357" s="1" t="inlineStr">
        <is>
          <t>043</t>
        </is>
      </c>
      <c r="D2357" s="1" t="inlineStr">
        <is>
          <t>108517</t>
        </is>
      </c>
      <c r="E2357" s="1" t="inlineStr">
        <is>
          <t xml:space="preserve">28194770       </t>
        </is>
      </c>
      <c r="F2357" s="5" t="inlineStr">
        <is>
          <t>AUTOS DE METAL 3 TEAMSTERZ EN BLISTER</t>
        </is>
      </c>
      <c r="G2357" t="n">
        <v>1</v>
      </c>
      <c r="H2357" s="7" t="n">
        <v>6.9</v>
      </c>
      <c r="I2357" s="7" t="n">
        <v>0</v>
      </c>
      <c r="J2357" s="7" t="n">
        <v>0</v>
      </c>
      <c r="K2357" s="9" t="n">
        <v>0</v>
      </c>
      <c r="L2357" s="10" t="n">
        <v>4.1</v>
      </c>
      <c r="M2357" s="10" t="n">
        <v>1.43</v>
      </c>
      <c r="N2357" t="inlineStr">
        <is>
          <t>1</t>
        </is>
      </c>
      <c r="O2357" t="inlineStr">
        <is>
          <t xml:space="preserve">2 </t>
        </is>
      </c>
      <c r="P2357" t="inlineStr">
        <is>
          <t xml:space="preserve">241955  </t>
        </is>
      </c>
      <c r="Q2357" s="26" t="n">
        <v>4.09</v>
      </c>
      <c r="R2357" s="26">
        <f>Q2357*G2357</f>
        <v/>
      </c>
      <c r="S2357" s="26">
        <f>IFERROR(VLOOKUP(E2357*1,Tabla[#All],8,0),0)</f>
        <v/>
      </c>
      <c r="T2357" s="26">
        <f>S2357*G2357</f>
        <v/>
      </c>
      <c r="U2357" s="26">
        <f>R2357-T2357</f>
        <v/>
      </c>
      <c r="V2357" s="26">
        <f>U2357-L2357</f>
        <v/>
      </c>
    </row>
    <row r="2358">
      <c r="A2358" s="11" t="n">
        <v>46226</v>
      </c>
      <c r="B2358" s="1" t="n">
        <v>20095</v>
      </c>
      <c r="C2358" s="1" t="inlineStr">
        <is>
          <t>043</t>
        </is>
      </c>
      <c r="D2358" s="1" t="inlineStr">
        <is>
          <t>108554</t>
        </is>
      </c>
      <c r="E2358" s="1" t="inlineStr">
        <is>
          <t xml:space="preserve">31959961       </t>
        </is>
      </c>
      <c r="F2358" s="5" t="inlineStr">
        <is>
          <t>TEAMSTERZ CAMBIA DE COLOR PACK DE 3 AUTOS</t>
        </is>
      </c>
      <c r="G2358" t="n">
        <v>1</v>
      </c>
      <c r="H2358" s="7" t="n">
        <v>49.9</v>
      </c>
      <c r="I2358" s="7" t="n">
        <v>0</v>
      </c>
      <c r="J2358" s="7" t="n">
        <v>0</v>
      </c>
      <c r="K2358" s="9" t="n">
        <v>0</v>
      </c>
      <c r="L2358" s="10" t="n">
        <v>29.6</v>
      </c>
      <c r="M2358" s="10" t="n">
        <v>1.43</v>
      </c>
      <c r="N2358" t="inlineStr">
        <is>
          <t>1</t>
        </is>
      </c>
      <c r="O2358" t="inlineStr">
        <is>
          <t xml:space="preserve">2 </t>
        </is>
      </c>
      <c r="P2358" t="inlineStr">
        <is>
          <t xml:space="preserve">241955  </t>
        </is>
      </c>
      <c r="Q2358" s="26" t="n">
        <v>29.6</v>
      </c>
      <c r="R2358" s="26">
        <f>Q2358*G2358</f>
        <v/>
      </c>
      <c r="S2358" s="26">
        <f>IFERROR(VLOOKUP(E2358*1,Tabla[#All],8,0),0)</f>
        <v/>
      </c>
      <c r="T2358" s="26">
        <f>S2358*G2358</f>
        <v/>
      </c>
      <c r="U2358" s="26">
        <f>R2358-T2358</f>
        <v/>
      </c>
      <c r="V2358" s="26">
        <f>U2358-L2358</f>
        <v/>
      </c>
    </row>
    <row r="2359">
      <c r="A2359" s="11" t="n">
        <v>46226</v>
      </c>
      <c r="B2359" s="1" t="n">
        <v>20095</v>
      </c>
      <c r="C2359" s="1" t="inlineStr">
        <is>
          <t>044</t>
        </is>
      </c>
      <c r="D2359" s="1" t="inlineStr">
        <is>
          <t xml:space="preserve">94364 </t>
        </is>
      </c>
      <c r="E2359" s="1" t="inlineStr">
        <is>
          <t xml:space="preserve">28194769       </t>
        </is>
      </c>
      <c r="F2359" s="5" t="inlineStr">
        <is>
          <t>AUTOS DE METAL 3 TEAMSTERZ PACK DE 2</t>
        </is>
      </c>
      <c r="G2359" t="n">
        <v>1</v>
      </c>
      <c r="H2359" s="7" t="n">
        <v>13.8</v>
      </c>
      <c r="I2359" s="7" t="n">
        <v>0</v>
      </c>
      <c r="J2359" s="7" t="n">
        <v>0</v>
      </c>
      <c r="K2359" s="9" t="n">
        <v>0</v>
      </c>
      <c r="L2359" s="10" t="n">
        <v>8.18</v>
      </c>
      <c r="M2359" s="10" t="n">
        <v>1.43</v>
      </c>
      <c r="N2359" t="inlineStr">
        <is>
          <t>1</t>
        </is>
      </c>
      <c r="O2359" t="inlineStr">
        <is>
          <t>16</t>
        </is>
      </c>
      <c r="P2359" t="inlineStr">
        <is>
          <t xml:space="preserve">250275  </t>
        </is>
      </c>
      <c r="Q2359" s="26" t="n">
        <v>8.19</v>
      </c>
      <c r="R2359" s="26">
        <f>Q2359*G2359</f>
        <v/>
      </c>
      <c r="S2359" s="26">
        <f>IFERROR(VLOOKUP(E2359*1,Tabla[#All],8,0),0)</f>
        <v/>
      </c>
      <c r="T2359" s="26">
        <f>S2359*G2359</f>
        <v/>
      </c>
      <c r="U2359" s="26">
        <f>R2359-T2359</f>
        <v/>
      </c>
      <c r="V2359" s="26">
        <f>U2359-L2359</f>
        <v/>
      </c>
    </row>
    <row r="2360">
      <c r="A2360" s="11" t="n">
        <v>46226</v>
      </c>
      <c r="B2360" s="1" t="n">
        <v>20095</v>
      </c>
      <c r="C2360" s="1" t="inlineStr">
        <is>
          <t>044</t>
        </is>
      </c>
      <c r="D2360" s="1" t="inlineStr">
        <is>
          <t xml:space="preserve">94386 </t>
        </is>
      </c>
      <c r="E2360" s="1" t="inlineStr">
        <is>
          <t xml:space="preserve">28194770       </t>
        </is>
      </c>
      <c r="F2360" s="5" t="inlineStr">
        <is>
          <t>AUTOS DE METAL 3 TEAMSTERZ EN BLISTER</t>
        </is>
      </c>
      <c r="G2360" t="n">
        <v>1</v>
      </c>
      <c r="H2360" s="7" t="n">
        <v>6.9</v>
      </c>
      <c r="I2360" s="7" t="n">
        <v>0</v>
      </c>
      <c r="J2360" s="7" t="n">
        <v>0</v>
      </c>
      <c r="K2360" s="9" t="n">
        <v>0</v>
      </c>
      <c r="L2360" s="10" t="n">
        <v>4.1</v>
      </c>
      <c r="M2360" s="10" t="n">
        <v>1.43</v>
      </c>
      <c r="N2360" t="inlineStr">
        <is>
          <t>1</t>
        </is>
      </c>
      <c r="O2360" t="inlineStr">
        <is>
          <t>16</t>
        </is>
      </c>
      <c r="P2360" t="inlineStr">
        <is>
          <t xml:space="preserve">250275  </t>
        </is>
      </c>
      <c r="Q2360" s="26" t="n">
        <v>4.09</v>
      </c>
      <c r="R2360" s="26">
        <f>Q2360*G2360</f>
        <v/>
      </c>
      <c r="S2360" s="26">
        <f>IFERROR(VLOOKUP(E2360*1,Tabla[#All],8,0),0)</f>
        <v/>
      </c>
      <c r="T2360" s="26">
        <f>S2360*G2360</f>
        <v/>
      </c>
      <c r="U2360" s="26">
        <f>R2360-T2360</f>
        <v/>
      </c>
      <c r="V2360" s="26">
        <f>U2360-L2360</f>
        <v/>
      </c>
    </row>
    <row r="2361">
      <c r="A2361" s="11" t="n">
        <v>46226</v>
      </c>
      <c r="B2361" s="1" t="n">
        <v>20095</v>
      </c>
      <c r="C2361" s="1" t="inlineStr">
        <is>
          <t>044</t>
        </is>
      </c>
      <c r="D2361" s="1" t="inlineStr">
        <is>
          <t xml:space="preserve">94406 </t>
        </is>
      </c>
      <c r="E2361" s="1" t="inlineStr">
        <is>
          <t xml:space="preserve">28194770       </t>
        </is>
      </c>
      <c r="F2361" s="5" t="inlineStr">
        <is>
          <t>AUTOS DE METAL 3 TEAMSTERZ EN BLISTER</t>
        </is>
      </c>
      <c r="G2361" t="n">
        <v>1</v>
      </c>
      <c r="H2361" s="7" t="n">
        <v>6.9</v>
      </c>
      <c r="I2361" s="7" t="n">
        <v>0</v>
      </c>
      <c r="J2361" s="7" t="n">
        <v>0</v>
      </c>
      <c r="K2361" s="9" t="n">
        <v>0</v>
      </c>
      <c r="L2361" s="10" t="n">
        <v>4.1</v>
      </c>
      <c r="M2361" s="10" t="n">
        <v>1.43</v>
      </c>
      <c r="N2361" t="inlineStr">
        <is>
          <t>1</t>
        </is>
      </c>
      <c r="O2361" t="inlineStr">
        <is>
          <t xml:space="preserve">2 </t>
        </is>
      </c>
      <c r="P2361" t="inlineStr">
        <is>
          <t xml:space="preserve">250275  </t>
        </is>
      </c>
      <c r="Q2361" s="26" t="n">
        <v>4.09</v>
      </c>
      <c r="R2361" s="26">
        <f>Q2361*G2361</f>
        <v/>
      </c>
      <c r="S2361" s="26">
        <f>IFERROR(VLOOKUP(E2361*1,Tabla[#All],8,0),0)</f>
        <v/>
      </c>
      <c r="T2361" s="26">
        <f>S2361*G2361</f>
        <v/>
      </c>
      <c r="U2361" s="26">
        <f>R2361-T2361</f>
        <v/>
      </c>
      <c r="V2361" s="26">
        <f>U2361-L2361</f>
        <v/>
      </c>
    </row>
    <row r="2362">
      <c r="A2362" s="11" t="n">
        <v>46226</v>
      </c>
      <c r="B2362" s="1" t="n">
        <v>20095</v>
      </c>
      <c r="C2362" s="1" t="inlineStr">
        <is>
          <t>044</t>
        </is>
      </c>
      <c r="D2362" s="1" t="inlineStr">
        <is>
          <t xml:space="preserve">94416 </t>
        </is>
      </c>
      <c r="E2362" s="1" t="inlineStr">
        <is>
          <t xml:space="preserve">28194770       </t>
        </is>
      </c>
      <c r="F2362" s="5" t="inlineStr">
        <is>
          <t>AUTOS DE METAL 3 TEAMSTERZ EN BLISTER</t>
        </is>
      </c>
      <c r="G2362" t="n">
        <v>1</v>
      </c>
      <c r="H2362" s="7" t="n">
        <v>6.9</v>
      </c>
      <c r="I2362" s="7" t="n">
        <v>0.6899999999999999</v>
      </c>
      <c r="J2362" s="7" t="n">
        <v>0</v>
      </c>
      <c r="K2362" s="9" t="n">
        <v>0.6899999999999999</v>
      </c>
      <c r="L2362" s="10" t="n">
        <v>3.68</v>
      </c>
      <c r="M2362" s="10" t="n">
        <v>1.43</v>
      </c>
      <c r="N2362" t="inlineStr">
        <is>
          <t>1</t>
        </is>
      </c>
      <c r="O2362" t="inlineStr">
        <is>
          <t xml:space="preserve">3 </t>
        </is>
      </c>
      <c r="P2362" t="inlineStr">
        <is>
          <t xml:space="preserve">250275  </t>
        </is>
      </c>
      <c r="Q2362" s="26" t="n">
        <v>4.09</v>
      </c>
      <c r="R2362" s="26">
        <f>Q2362*G2362</f>
        <v/>
      </c>
      <c r="S2362" s="26">
        <f>IFERROR(VLOOKUP(E2362*1,Tabla[#All],8,0),0)</f>
        <v/>
      </c>
      <c r="T2362" s="26">
        <f>S2362*G2362</f>
        <v/>
      </c>
      <c r="U2362" s="26">
        <f>R2362-T2362</f>
        <v/>
      </c>
      <c r="V2362" s="26">
        <f>U2362-L2362</f>
        <v/>
      </c>
    </row>
    <row r="2363">
      <c r="A2363" s="11" t="n">
        <v>46226</v>
      </c>
      <c r="B2363" s="1" t="n">
        <v>20095</v>
      </c>
      <c r="C2363" s="1" t="inlineStr">
        <is>
          <t>044</t>
        </is>
      </c>
      <c r="D2363" s="1" t="inlineStr">
        <is>
          <t xml:space="preserve">94437 </t>
        </is>
      </c>
      <c r="E2363" s="1" t="inlineStr">
        <is>
          <t xml:space="preserve">30141766       </t>
        </is>
      </c>
      <c r="F2363" s="5" t="inlineStr">
        <is>
          <t>TMZ BEAST MACHINES AUTOS DE METAL BLISTER X 1</t>
        </is>
      </c>
      <c r="G2363" t="n">
        <v>1</v>
      </c>
      <c r="H2363" s="7" t="n">
        <v>7.9</v>
      </c>
      <c r="I2363" s="7" t="n">
        <v>0</v>
      </c>
      <c r="J2363" s="7" t="n">
        <v>0</v>
      </c>
      <c r="K2363" s="9" t="n">
        <v>0</v>
      </c>
      <c r="L2363" s="10" t="n">
        <v>4.68</v>
      </c>
      <c r="M2363" s="10" t="n">
        <v>1.43</v>
      </c>
      <c r="N2363" t="inlineStr">
        <is>
          <t>1</t>
        </is>
      </c>
      <c r="O2363" t="inlineStr">
        <is>
          <t xml:space="preserve">2 </t>
        </is>
      </c>
      <c r="P2363" t="inlineStr">
        <is>
          <t xml:space="preserve">250275  </t>
        </is>
      </c>
      <c r="Q2363" s="26" t="n">
        <v>4.69</v>
      </c>
      <c r="R2363" s="26">
        <f>Q2363*G2363</f>
        <v/>
      </c>
      <c r="S2363" s="26">
        <f>IFERROR(VLOOKUP(E2363*1,Tabla[#All],8,0),0)</f>
        <v/>
      </c>
      <c r="T2363" s="26">
        <f>S2363*G2363</f>
        <v/>
      </c>
      <c r="U2363" s="26">
        <f>R2363-T2363</f>
        <v/>
      </c>
      <c r="V2363" s="26">
        <f>U2363-L2363</f>
        <v/>
      </c>
    </row>
    <row r="2364">
      <c r="A2364" s="11" t="n">
        <v>46227</v>
      </c>
      <c r="B2364" s="1" t="n">
        <v>20021</v>
      </c>
      <c r="C2364" s="1" t="inlineStr">
        <is>
          <t>034</t>
        </is>
      </c>
      <c r="D2364" s="1" t="inlineStr">
        <is>
          <t xml:space="preserve">45858 </t>
        </is>
      </c>
      <c r="E2364" s="1" t="inlineStr">
        <is>
          <t xml:space="preserve">29854051       </t>
        </is>
      </c>
      <c r="F2364" s="5" t="inlineStr">
        <is>
          <t>TEAMSTERZ AUTO DE METAL PACK 10 AUTOS</t>
        </is>
      </c>
      <c r="G2364" t="n">
        <v>1</v>
      </c>
      <c r="H2364" s="7" t="n">
        <v>69</v>
      </c>
      <c r="I2364" s="7" t="n">
        <v>6.9</v>
      </c>
      <c r="J2364" s="7" t="n">
        <v>0</v>
      </c>
      <c r="K2364" s="9" t="n">
        <v>6.9</v>
      </c>
      <c r="L2364" s="10" t="n">
        <v>36.84</v>
      </c>
      <c r="M2364" s="10" t="n">
        <v>1.43</v>
      </c>
      <c r="N2364" t="inlineStr">
        <is>
          <t>1</t>
        </is>
      </c>
      <c r="O2364" t="inlineStr">
        <is>
          <t xml:space="preserve">3 </t>
        </is>
      </c>
      <c r="P2364" t="inlineStr">
        <is>
          <t xml:space="preserve">74460   </t>
        </is>
      </c>
      <c r="Q2364" s="26" t="n">
        <v>40.93</v>
      </c>
      <c r="R2364" s="26">
        <f>Q2364*G2364</f>
        <v/>
      </c>
      <c r="S2364" s="26">
        <f>IFERROR(VLOOKUP(E2364*1,Tabla[#All],8,0),0)</f>
        <v/>
      </c>
      <c r="T2364" s="26">
        <f>S2364*G2364</f>
        <v/>
      </c>
      <c r="U2364" s="26">
        <f>R2364-T2364</f>
        <v/>
      </c>
      <c r="V2364" s="26">
        <f>U2364-L2364</f>
        <v/>
      </c>
    </row>
    <row r="2365">
      <c r="A2365" s="11" t="n">
        <v>46227</v>
      </c>
      <c r="B2365" s="1" t="n">
        <v>20021</v>
      </c>
      <c r="C2365" s="1" t="inlineStr">
        <is>
          <t>034</t>
        </is>
      </c>
      <c r="D2365" s="1" t="inlineStr">
        <is>
          <t xml:space="preserve">45858 </t>
        </is>
      </c>
      <c r="E2365" s="1" t="inlineStr">
        <is>
          <t xml:space="preserve">29854051       </t>
        </is>
      </c>
      <c r="F2365" s="5" t="inlineStr">
        <is>
          <t>TEAMSTERZ AUTO DE METAL PACK 10 AUTOS</t>
        </is>
      </c>
      <c r="G2365" t="n">
        <v>1</v>
      </c>
      <c r="H2365" s="7" t="n">
        <v>69</v>
      </c>
      <c r="I2365" s="7" t="n">
        <v>6.9</v>
      </c>
      <c r="J2365" s="7" t="n">
        <v>0</v>
      </c>
      <c r="K2365" s="9" t="n">
        <v>6.9</v>
      </c>
      <c r="L2365" s="10" t="n">
        <v>36.84</v>
      </c>
      <c r="M2365" s="10" t="n">
        <v>1.43</v>
      </c>
      <c r="N2365" t="inlineStr">
        <is>
          <t>1</t>
        </is>
      </c>
      <c r="O2365" t="inlineStr">
        <is>
          <t xml:space="preserve">3 </t>
        </is>
      </c>
      <c r="P2365" t="inlineStr">
        <is>
          <t xml:space="preserve">74460   </t>
        </is>
      </c>
      <c r="Q2365" s="26" t="n">
        <v>40.93</v>
      </c>
      <c r="R2365" s="26">
        <f>Q2365*G2365</f>
        <v/>
      </c>
      <c r="S2365" s="26">
        <f>IFERROR(VLOOKUP(E2365*1,Tabla[#All],8,0),0)</f>
        <v/>
      </c>
      <c r="T2365" s="26">
        <f>S2365*G2365</f>
        <v/>
      </c>
      <c r="U2365" s="26">
        <f>R2365-T2365</f>
        <v/>
      </c>
      <c r="V2365" s="26">
        <f>U2365-L2365</f>
        <v/>
      </c>
    </row>
    <row r="2366">
      <c r="A2366" s="11" t="n">
        <v>46227</v>
      </c>
      <c r="B2366" s="1" t="n">
        <v>20021</v>
      </c>
      <c r="C2366" s="1" t="inlineStr">
        <is>
          <t>055</t>
        </is>
      </c>
      <c r="D2366" s="1" t="inlineStr">
        <is>
          <t>155764</t>
        </is>
      </c>
      <c r="E2366" s="1" t="inlineStr">
        <is>
          <t xml:space="preserve">30141766       </t>
        </is>
      </c>
      <c r="F2366" s="5" t="inlineStr">
        <is>
          <t>TMZ BEAST MACHINES AUTOS DE METAL BLISTER X 1</t>
        </is>
      </c>
      <c r="G2366" t="n">
        <v>1</v>
      </c>
      <c r="H2366" s="7" t="n">
        <v>7.9</v>
      </c>
      <c r="I2366" s="7" t="n">
        <v>0</v>
      </c>
      <c r="J2366" s="7" t="n">
        <v>0</v>
      </c>
      <c r="K2366" s="9" t="n">
        <v>0</v>
      </c>
      <c r="L2366" s="10" t="n">
        <v>4.68</v>
      </c>
      <c r="M2366" s="10" t="n">
        <v>1.43</v>
      </c>
      <c r="N2366" t="inlineStr">
        <is>
          <t>1</t>
        </is>
      </c>
      <c r="O2366" t="inlineStr">
        <is>
          <t xml:space="preserve">2 </t>
        </is>
      </c>
      <c r="P2366" t="inlineStr">
        <is>
          <t xml:space="preserve">36042   </t>
        </is>
      </c>
      <c r="Q2366" s="26" t="n">
        <v>4.69</v>
      </c>
      <c r="R2366" s="26">
        <f>Q2366*G2366</f>
        <v/>
      </c>
      <c r="S2366" s="26">
        <f>IFERROR(VLOOKUP(E2366*1,Tabla[#All],8,0),0)</f>
        <v/>
      </c>
      <c r="T2366" s="26">
        <f>S2366*G2366</f>
        <v/>
      </c>
      <c r="U2366" s="26">
        <f>R2366-T2366</f>
        <v/>
      </c>
      <c r="V2366" s="26">
        <f>U2366-L2366</f>
        <v/>
      </c>
    </row>
    <row r="2367">
      <c r="A2367" s="11" t="n">
        <v>46227</v>
      </c>
      <c r="B2367" s="1" t="n">
        <v>20021</v>
      </c>
      <c r="C2367" s="1" t="inlineStr">
        <is>
          <t>063</t>
        </is>
      </c>
      <c r="D2367" s="1" t="inlineStr">
        <is>
          <t xml:space="preserve">3712  </t>
        </is>
      </c>
      <c r="E2367" s="1" t="inlineStr">
        <is>
          <t xml:space="preserve">31959961       </t>
        </is>
      </c>
      <c r="F2367" s="5" t="inlineStr">
        <is>
          <t>TEAMSTERZ CAMBIA DE COLOR PACK DE 3 AUTOS</t>
        </is>
      </c>
      <c r="G2367" t="n">
        <v>1</v>
      </c>
      <c r="H2367" s="7" t="n">
        <v>49.9</v>
      </c>
      <c r="I2367" s="7" t="n">
        <v>0</v>
      </c>
      <c r="J2367" s="7" t="n">
        <v>0</v>
      </c>
      <c r="K2367" s="9" t="n">
        <v>0</v>
      </c>
      <c r="L2367" s="10" t="n">
        <v>29.6</v>
      </c>
      <c r="M2367" s="10" t="n">
        <v>1.43</v>
      </c>
      <c r="N2367" t="inlineStr">
        <is>
          <t>1</t>
        </is>
      </c>
      <c r="O2367" t="inlineStr">
        <is>
          <t>16</t>
        </is>
      </c>
      <c r="P2367" t="inlineStr">
        <is>
          <t xml:space="preserve">20360   </t>
        </is>
      </c>
      <c r="Q2367" s="26" t="n">
        <v>29.6</v>
      </c>
      <c r="R2367" s="26">
        <f>Q2367*G2367</f>
        <v/>
      </c>
      <c r="S2367" s="26">
        <f>IFERROR(VLOOKUP(E2367*1,Tabla[#All],8,0),0)</f>
        <v/>
      </c>
      <c r="T2367" s="26">
        <f>S2367*G2367</f>
        <v/>
      </c>
      <c r="U2367" s="26">
        <f>R2367-T2367</f>
        <v/>
      </c>
      <c r="V2367" s="26">
        <f>U2367-L2367</f>
        <v/>
      </c>
    </row>
    <row r="2368">
      <c r="A2368" s="11" t="n">
        <v>46227</v>
      </c>
      <c r="B2368" s="1" t="n">
        <v>20021</v>
      </c>
      <c r="C2368" s="1" t="inlineStr">
        <is>
          <t>080</t>
        </is>
      </c>
      <c r="D2368" s="1" t="inlineStr">
        <is>
          <t xml:space="preserve">5538  </t>
        </is>
      </c>
      <c r="E2368" s="1" t="inlineStr">
        <is>
          <t xml:space="preserve">28194769       </t>
        </is>
      </c>
      <c r="F2368" s="5" t="inlineStr">
        <is>
          <t>AUTOS DE METAL 3 TEAMSTERZ PACK DE 2</t>
        </is>
      </c>
      <c r="G2368" t="n">
        <v>1</v>
      </c>
      <c r="H2368" s="7" t="n">
        <v>13.8</v>
      </c>
      <c r="I2368" s="7" t="n">
        <v>0</v>
      </c>
      <c r="J2368" s="7" t="n">
        <v>0</v>
      </c>
      <c r="K2368" s="9" t="n">
        <v>0</v>
      </c>
      <c r="L2368" s="10" t="n">
        <v>8.18</v>
      </c>
      <c r="M2368" s="10" t="n">
        <v>1.43</v>
      </c>
      <c r="N2368" t="inlineStr">
        <is>
          <t>1</t>
        </is>
      </c>
      <c r="O2368" t="inlineStr">
        <is>
          <t>16</t>
        </is>
      </c>
      <c r="P2368" t="inlineStr">
        <is>
          <t xml:space="preserve">251363  </t>
        </is>
      </c>
      <c r="Q2368" s="26" t="n">
        <v>8.19</v>
      </c>
      <c r="R2368" s="26">
        <f>Q2368*G2368</f>
        <v/>
      </c>
      <c r="S2368" s="26">
        <f>IFERROR(VLOOKUP(E2368*1,Tabla[#All],8,0),0)</f>
        <v/>
      </c>
      <c r="T2368" s="26">
        <f>S2368*G2368</f>
        <v/>
      </c>
      <c r="U2368" s="26">
        <f>R2368-T2368</f>
        <v/>
      </c>
      <c r="V2368" s="26">
        <f>U2368-L2368</f>
        <v/>
      </c>
    </row>
    <row r="2369">
      <c r="A2369" s="11" t="n">
        <v>46227</v>
      </c>
      <c r="B2369" s="1" t="n">
        <v>20021</v>
      </c>
      <c r="C2369" s="1" t="inlineStr">
        <is>
          <t>082</t>
        </is>
      </c>
      <c r="D2369" s="1" t="inlineStr">
        <is>
          <t>270517</t>
        </is>
      </c>
      <c r="E2369" s="1" t="inlineStr">
        <is>
          <t xml:space="preserve">28194770       </t>
        </is>
      </c>
      <c r="F2369" s="5" t="inlineStr">
        <is>
          <t>AUTOS DE METAL 3 TEAMSTERZ EN BLISTER</t>
        </is>
      </c>
      <c r="G2369" t="n">
        <v>1</v>
      </c>
      <c r="H2369" s="7" t="n">
        <v>6.9</v>
      </c>
      <c r="I2369" s="7" t="n">
        <v>0</v>
      </c>
      <c r="J2369" s="7" t="n">
        <v>0</v>
      </c>
      <c r="K2369" s="9" t="n">
        <v>0</v>
      </c>
      <c r="L2369" s="10" t="n">
        <v>4.1</v>
      </c>
      <c r="M2369" s="10" t="n">
        <v>1.43</v>
      </c>
      <c r="N2369" t="inlineStr">
        <is>
          <t>1</t>
        </is>
      </c>
      <c r="O2369" t="inlineStr">
        <is>
          <t>16</t>
        </is>
      </c>
      <c r="P2369" t="inlineStr">
        <is>
          <t xml:space="preserve">250202  </t>
        </is>
      </c>
      <c r="Q2369" s="26" t="n">
        <v>4.09</v>
      </c>
      <c r="R2369" s="26">
        <f>Q2369*G2369</f>
        <v/>
      </c>
      <c r="S2369" s="26">
        <f>IFERROR(VLOOKUP(E2369*1,Tabla[#All],8,0),0)</f>
        <v/>
      </c>
      <c r="T2369" s="26">
        <f>S2369*G2369</f>
        <v/>
      </c>
      <c r="U2369" s="26">
        <f>R2369-T2369</f>
        <v/>
      </c>
      <c r="V2369" s="26">
        <f>U2369-L2369</f>
        <v/>
      </c>
    </row>
    <row r="2370">
      <c r="A2370" s="11" t="n">
        <v>46227</v>
      </c>
      <c r="B2370" s="1" t="n">
        <v>20021</v>
      </c>
      <c r="C2370" s="1" t="inlineStr">
        <is>
          <t>082</t>
        </is>
      </c>
      <c r="D2370" s="1" t="inlineStr">
        <is>
          <t>270517</t>
        </is>
      </c>
      <c r="E2370" s="1" t="inlineStr">
        <is>
          <t xml:space="preserve">28194770       </t>
        </is>
      </c>
      <c r="F2370" s="5" t="inlineStr">
        <is>
          <t>AUTOS DE METAL 3 TEAMSTERZ EN BLISTER</t>
        </is>
      </c>
      <c r="G2370" t="n">
        <v>1</v>
      </c>
      <c r="H2370" s="7" t="n">
        <v>6.9</v>
      </c>
      <c r="I2370" s="7" t="n">
        <v>0</v>
      </c>
      <c r="J2370" s="7" t="n">
        <v>0</v>
      </c>
      <c r="K2370" s="9" t="n">
        <v>0</v>
      </c>
      <c r="L2370" s="10" t="n">
        <v>4.1</v>
      </c>
      <c r="M2370" s="10" t="n">
        <v>1.43</v>
      </c>
      <c r="N2370" t="inlineStr">
        <is>
          <t>1</t>
        </is>
      </c>
      <c r="O2370" t="inlineStr">
        <is>
          <t>16</t>
        </is>
      </c>
      <c r="P2370" t="inlineStr">
        <is>
          <t xml:space="preserve">250202  </t>
        </is>
      </c>
      <c r="Q2370" s="26" t="n">
        <v>4.09</v>
      </c>
      <c r="R2370" s="26">
        <f>Q2370*G2370</f>
        <v/>
      </c>
      <c r="S2370" s="26">
        <f>IFERROR(VLOOKUP(E2370*1,Tabla[#All],8,0),0)</f>
        <v/>
      </c>
      <c r="T2370" s="26">
        <f>S2370*G2370</f>
        <v/>
      </c>
      <c r="U2370" s="26">
        <f>R2370-T2370</f>
        <v/>
      </c>
      <c r="V2370" s="26">
        <f>U2370-L2370</f>
        <v/>
      </c>
    </row>
    <row r="2371">
      <c r="A2371" s="11" t="n">
        <v>46227</v>
      </c>
      <c r="B2371" s="1" t="n">
        <v>20021</v>
      </c>
      <c r="C2371" s="1" t="inlineStr">
        <is>
          <t>083</t>
        </is>
      </c>
      <c r="D2371" s="1" t="inlineStr">
        <is>
          <t xml:space="preserve">97623 </t>
        </is>
      </c>
      <c r="E2371" s="1" t="inlineStr">
        <is>
          <t xml:space="preserve">28194768       </t>
        </is>
      </c>
      <c r="F2371" s="5" t="inlineStr">
        <is>
          <t>AUTO COLOR CHANGE TEAMSTERZ SURTIDO</t>
        </is>
      </c>
      <c r="G2371" t="n">
        <v>-1</v>
      </c>
      <c r="H2371" s="7" t="n">
        <v>-14.9</v>
      </c>
      <c r="I2371" s="7" t="n">
        <v>0</v>
      </c>
      <c r="J2371" s="7" t="n">
        <v>0</v>
      </c>
      <c r="K2371" s="9" t="n">
        <v>0</v>
      </c>
      <c r="L2371" s="10" t="n">
        <v>-8.84</v>
      </c>
      <c r="M2371" s="10" t="n">
        <v>0</v>
      </c>
      <c r="N2371" t="inlineStr">
        <is>
          <t>3</t>
        </is>
      </c>
      <c r="O2371" t="inlineStr">
        <is>
          <t>36</t>
        </is>
      </c>
      <c r="P2371" t="inlineStr">
        <is>
          <t xml:space="preserve">250150  </t>
        </is>
      </c>
      <c r="Q2371" s="26" t="n">
        <v>8.84</v>
      </c>
      <c r="R2371" s="26">
        <f>Q2371*G2371</f>
        <v/>
      </c>
      <c r="S2371" s="26">
        <f>IFERROR(VLOOKUP(E2371*1,Tabla[#All],8,0),0)</f>
        <v/>
      </c>
      <c r="T2371" s="26">
        <f>S2371*G2371</f>
        <v/>
      </c>
      <c r="U2371" s="26">
        <f>R2371-T2371</f>
        <v/>
      </c>
      <c r="V2371" s="26">
        <f>U2371-L2371</f>
        <v/>
      </c>
    </row>
    <row r="2372">
      <c r="A2372" s="11" t="n">
        <v>46227</v>
      </c>
      <c r="B2372" s="1" t="n">
        <v>20023</v>
      </c>
      <c r="C2372" s="1" t="inlineStr">
        <is>
          <t>079</t>
        </is>
      </c>
      <c r="D2372" s="1" t="inlineStr">
        <is>
          <t>290366</t>
        </is>
      </c>
      <c r="E2372" s="1" t="inlineStr">
        <is>
          <t xml:space="preserve">29854052       </t>
        </is>
      </c>
      <c r="F2372" s="5" t="inlineStr">
        <is>
          <t>PLAYSET CAMBIA DE COLOR CROC BITE</t>
        </is>
      </c>
      <c r="G2372" t="n">
        <v>1</v>
      </c>
      <c r="H2372" s="7" t="n">
        <v>79.90000000000001</v>
      </c>
      <c r="I2372" s="7" t="n">
        <v>0</v>
      </c>
      <c r="J2372" s="7" t="n">
        <v>0</v>
      </c>
      <c r="K2372" s="9" t="n">
        <v>0</v>
      </c>
      <c r="L2372" s="10" t="n">
        <v>47.4</v>
      </c>
      <c r="M2372" s="10" t="n">
        <v>1.43</v>
      </c>
      <c r="N2372" t="inlineStr">
        <is>
          <t>1</t>
        </is>
      </c>
      <c r="O2372" t="inlineStr">
        <is>
          <t>16</t>
        </is>
      </c>
      <c r="P2372" t="inlineStr">
        <is>
          <t xml:space="preserve">32926   </t>
        </is>
      </c>
      <c r="Q2372" s="26" t="n">
        <v>47.4</v>
      </c>
      <c r="R2372" s="26">
        <f>Q2372*G2372</f>
        <v/>
      </c>
      <c r="S2372" s="26">
        <f>IFERROR(VLOOKUP(E2372*1,Tabla[#All],8,0),0)</f>
        <v/>
      </c>
      <c r="T2372" s="26">
        <f>S2372*G2372</f>
        <v/>
      </c>
      <c r="U2372" s="26">
        <f>R2372-T2372</f>
        <v/>
      </c>
      <c r="V2372" s="26">
        <f>U2372-L2372</f>
        <v/>
      </c>
    </row>
    <row r="2373">
      <c r="A2373" s="11" t="n">
        <v>46227</v>
      </c>
      <c r="B2373" s="1" t="n">
        <v>20023</v>
      </c>
      <c r="C2373" s="1" t="inlineStr">
        <is>
          <t>191</t>
        </is>
      </c>
      <c r="D2373" s="1" t="inlineStr">
        <is>
          <t xml:space="preserve">8170  </t>
        </is>
      </c>
      <c r="E2373" s="1" t="inlineStr">
        <is>
          <t xml:space="preserve">28194769       </t>
        </is>
      </c>
      <c r="F2373" s="5" t="inlineStr">
        <is>
          <t>AUTOS DE METAL 3 TEAMSTERZ PACK DE 2</t>
        </is>
      </c>
      <c r="G2373" t="n">
        <v>1</v>
      </c>
      <c r="H2373" s="7" t="n">
        <v>13.8</v>
      </c>
      <c r="I2373" s="7" t="n">
        <v>0</v>
      </c>
      <c r="J2373" s="7" t="n">
        <v>0</v>
      </c>
      <c r="K2373" s="9" t="n">
        <v>0</v>
      </c>
      <c r="L2373" s="10" t="n">
        <v>8.18</v>
      </c>
      <c r="M2373" s="10" t="n">
        <v>1.43</v>
      </c>
      <c r="N2373" t="inlineStr">
        <is>
          <t>1</t>
        </is>
      </c>
      <c r="O2373" t="inlineStr">
        <is>
          <t>16</t>
        </is>
      </c>
      <c r="P2373" t="inlineStr">
        <is>
          <t xml:space="preserve">21405   </t>
        </is>
      </c>
      <c r="Q2373" s="26" t="n">
        <v>8.19</v>
      </c>
      <c r="R2373" s="26">
        <f>Q2373*G2373</f>
        <v/>
      </c>
      <c r="S2373" s="26">
        <f>IFERROR(VLOOKUP(E2373*1,Tabla[#All],8,0),0)</f>
        <v/>
      </c>
      <c r="T2373" s="26">
        <f>S2373*G2373</f>
        <v/>
      </c>
      <c r="U2373" s="26">
        <f>R2373-T2373</f>
        <v/>
      </c>
      <c r="V2373" s="26">
        <f>U2373-L2373</f>
        <v/>
      </c>
    </row>
    <row r="2374">
      <c r="A2374" s="11" t="n">
        <v>46227</v>
      </c>
      <c r="B2374" s="1" t="n">
        <v>20024</v>
      </c>
      <c r="C2374" s="1" t="inlineStr">
        <is>
          <t>075</t>
        </is>
      </c>
      <c r="D2374" s="1" t="inlineStr">
        <is>
          <t>164370</t>
        </is>
      </c>
      <c r="E2374" s="1" t="inlineStr">
        <is>
          <t xml:space="preserve">29235701       </t>
        </is>
      </c>
      <c r="F2374" s="5" t="inlineStr">
        <is>
          <t>INFINITY NADO TROMPO DE BATALLA - METAL EN CAJA</t>
        </is>
      </c>
      <c r="G2374" t="n">
        <v>1</v>
      </c>
      <c r="H2374" s="7" t="n">
        <v>29.9</v>
      </c>
      <c r="I2374" s="7" t="n">
        <v>2.99</v>
      </c>
      <c r="J2374" s="7" t="n">
        <v>0</v>
      </c>
      <c r="K2374" s="9" t="n">
        <v>2.99</v>
      </c>
      <c r="L2374" s="10" t="n">
        <v>15.97</v>
      </c>
      <c r="M2374" s="10" t="n">
        <v>1.43</v>
      </c>
      <c r="N2374" t="inlineStr">
        <is>
          <t>1</t>
        </is>
      </c>
      <c r="O2374" t="inlineStr">
        <is>
          <t xml:space="preserve">3 </t>
        </is>
      </c>
      <c r="P2374" t="inlineStr">
        <is>
          <t xml:space="preserve">28289   </t>
        </is>
      </c>
      <c r="Q2374" s="26" t="n">
        <v>23.67</v>
      </c>
      <c r="R2374" s="26">
        <f>Q2374*G2374</f>
        <v/>
      </c>
      <c r="S2374" s="26">
        <f>IFERROR(VLOOKUP(E2374*1,Tabla[#All],8,0),0)</f>
        <v/>
      </c>
      <c r="T2374" s="26">
        <f>S2374*G2374</f>
        <v/>
      </c>
      <c r="U2374" s="26">
        <f>R2374-T2374</f>
        <v/>
      </c>
      <c r="V2374" s="26">
        <f>U2374-L2374</f>
        <v/>
      </c>
    </row>
    <row r="2375">
      <c r="A2375" s="11" t="n">
        <v>46227</v>
      </c>
      <c r="B2375" s="1" t="n">
        <v>20024</v>
      </c>
      <c r="C2375" s="1" t="inlineStr">
        <is>
          <t>075</t>
        </is>
      </c>
      <c r="D2375" s="1" t="inlineStr">
        <is>
          <t>164370</t>
        </is>
      </c>
      <c r="E2375" s="1" t="inlineStr">
        <is>
          <t xml:space="preserve">29235701       </t>
        </is>
      </c>
      <c r="F2375" s="5" t="inlineStr">
        <is>
          <t>INFINITY NADO TROMPO DE BATALLA - METAL EN CAJA</t>
        </is>
      </c>
      <c r="G2375" t="n">
        <v>1</v>
      </c>
      <c r="H2375" s="7" t="n">
        <v>29.9</v>
      </c>
      <c r="I2375" s="7" t="n">
        <v>2.99</v>
      </c>
      <c r="J2375" s="7" t="n">
        <v>0</v>
      </c>
      <c r="K2375" s="9" t="n">
        <v>2.99</v>
      </c>
      <c r="L2375" s="10" t="n">
        <v>15.97</v>
      </c>
      <c r="M2375" s="10" t="n">
        <v>1.43</v>
      </c>
      <c r="N2375" t="inlineStr">
        <is>
          <t>1</t>
        </is>
      </c>
      <c r="O2375" t="inlineStr">
        <is>
          <t xml:space="preserve">3 </t>
        </is>
      </c>
      <c r="P2375" t="inlineStr">
        <is>
          <t xml:space="preserve">28289   </t>
        </is>
      </c>
      <c r="Q2375" s="26" t="n">
        <v>23.67</v>
      </c>
      <c r="R2375" s="26">
        <f>Q2375*G2375</f>
        <v/>
      </c>
      <c r="S2375" s="26">
        <f>IFERROR(VLOOKUP(E2375*1,Tabla[#All],8,0),0)</f>
        <v/>
      </c>
      <c r="T2375" s="26">
        <f>S2375*G2375</f>
        <v/>
      </c>
      <c r="U2375" s="26">
        <f>R2375-T2375</f>
        <v/>
      </c>
      <c r="V2375" s="26">
        <f>U2375-L2375</f>
        <v/>
      </c>
    </row>
    <row r="2376">
      <c r="A2376" s="11" t="n">
        <v>46227</v>
      </c>
      <c r="B2376" s="1" t="n">
        <v>20024</v>
      </c>
      <c r="C2376" s="1" t="inlineStr">
        <is>
          <t>075</t>
        </is>
      </c>
      <c r="D2376" s="1" t="inlineStr">
        <is>
          <t>164420</t>
        </is>
      </c>
      <c r="E2376" s="1" t="inlineStr">
        <is>
          <t xml:space="preserve">28194769       </t>
        </is>
      </c>
      <c r="F2376" s="5" t="inlineStr">
        <is>
          <t>AUTOS DE METAL 3 TEAMSTERZ PACK DE 2</t>
        </is>
      </c>
      <c r="G2376" t="n">
        <v>1</v>
      </c>
      <c r="H2376" s="7" t="n">
        <v>13.8</v>
      </c>
      <c r="I2376" s="7" t="n">
        <v>0</v>
      </c>
      <c r="J2376" s="7" t="n">
        <v>0</v>
      </c>
      <c r="K2376" s="9" t="n">
        <v>0</v>
      </c>
      <c r="L2376" s="10" t="n">
        <v>8.18</v>
      </c>
      <c r="M2376" s="10" t="n">
        <v>1.43</v>
      </c>
      <c r="N2376" t="inlineStr">
        <is>
          <t>1</t>
        </is>
      </c>
      <c r="O2376" t="inlineStr">
        <is>
          <t xml:space="preserve">2 </t>
        </is>
      </c>
      <c r="P2376" t="inlineStr">
        <is>
          <t xml:space="preserve">28289   </t>
        </is>
      </c>
      <c r="Q2376" s="26" t="n">
        <v>8.19</v>
      </c>
      <c r="R2376" s="26">
        <f>Q2376*G2376</f>
        <v/>
      </c>
      <c r="S2376" s="26">
        <f>IFERROR(VLOOKUP(E2376*1,Tabla[#All],8,0),0)</f>
        <v/>
      </c>
      <c r="T2376" s="26">
        <f>S2376*G2376</f>
        <v/>
      </c>
      <c r="U2376" s="26">
        <f>R2376-T2376</f>
        <v/>
      </c>
      <c r="V2376" s="26">
        <f>U2376-L2376</f>
        <v/>
      </c>
    </row>
    <row r="2377">
      <c r="A2377" s="11" t="n">
        <v>46227</v>
      </c>
      <c r="B2377" s="1" t="n">
        <v>20024</v>
      </c>
      <c r="C2377" s="1" t="inlineStr">
        <is>
          <t>118</t>
        </is>
      </c>
      <c r="D2377" s="1" t="inlineStr">
        <is>
          <t>256306</t>
        </is>
      </c>
      <c r="E2377" s="1" t="inlineStr">
        <is>
          <t xml:space="preserve">34840558       </t>
        </is>
      </c>
      <c r="F2377" s="5" t="inlineStr">
        <is>
          <t>TMZ CAMBIA DE COLOR PLAYSET CALAVERA + 1 AUTO</t>
        </is>
      </c>
      <c r="G2377" t="n">
        <v>1</v>
      </c>
      <c r="H2377" s="7" t="n">
        <v>59.9</v>
      </c>
      <c r="I2377" s="7" t="n">
        <v>5.99</v>
      </c>
      <c r="J2377" s="7" t="n">
        <v>0</v>
      </c>
      <c r="K2377" s="9" t="n">
        <v>5.99</v>
      </c>
      <c r="L2377" s="10" t="n">
        <v>31.98</v>
      </c>
      <c r="M2377" s="10" t="n">
        <v>1.43</v>
      </c>
      <c r="N2377" t="inlineStr">
        <is>
          <t>1</t>
        </is>
      </c>
      <c r="O2377" t="inlineStr">
        <is>
          <t xml:space="preserve">3 </t>
        </is>
      </c>
      <c r="P2377" t="inlineStr">
        <is>
          <t xml:space="preserve">43118   </t>
        </is>
      </c>
      <c r="Q2377" s="26" t="n">
        <v>58.73</v>
      </c>
      <c r="R2377" s="26">
        <f>Q2377*G2377</f>
        <v/>
      </c>
      <c r="S2377" s="26">
        <f>IFERROR(VLOOKUP(E2377*1,Tabla[#All],8,0),0)</f>
        <v/>
      </c>
      <c r="T2377" s="26">
        <f>S2377*G2377</f>
        <v/>
      </c>
      <c r="U2377" s="26">
        <f>R2377-T2377</f>
        <v/>
      </c>
      <c r="V2377" s="26">
        <f>U2377-L2377</f>
        <v/>
      </c>
    </row>
    <row r="2378">
      <c r="A2378" s="11" t="n">
        <v>46227</v>
      </c>
      <c r="B2378" s="1" t="n">
        <v>20025</v>
      </c>
      <c r="C2378" s="1" t="inlineStr">
        <is>
          <t>047</t>
        </is>
      </c>
      <c r="D2378" s="1" t="inlineStr">
        <is>
          <t>351610</t>
        </is>
      </c>
      <c r="E2378" s="1" t="inlineStr">
        <is>
          <t xml:space="preserve">33483121       </t>
        </is>
      </c>
      <c r="F2378" s="5" t="inlineStr">
        <is>
          <t>HOT WHEELS ESTUCHE PARA 15 AUTOS SURTIDO</t>
        </is>
      </c>
      <c r="G2378" t="n">
        <v>1</v>
      </c>
      <c r="H2378" s="7" t="n">
        <v>34.9</v>
      </c>
      <c r="I2378" s="7" t="n">
        <v>3.49</v>
      </c>
      <c r="J2378" s="7" t="n">
        <v>0</v>
      </c>
      <c r="K2378" s="9" t="n">
        <v>3.49</v>
      </c>
      <c r="L2378" s="10" t="n">
        <v>18.63</v>
      </c>
      <c r="M2378" s="10" t="n">
        <v>1.43</v>
      </c>
      <c r="N2378" t="inlineStr">
        <is>
          <t>1</t>
        </is>
      </c>
      <c r="O2378" t="inlineStr">
        <is>
          <t xml:space="preserve">3 </t>
        </is>
      </c>
      <c r="P2378" t="inlineStr">
        <is>
          <t xml:space="preserve">22890   </t>
        </is>
      </c>
      <c r="Q2378" s="26" t="n">
        <v>20.7</v>
      </c>
      <c r="R2378" s="26">
        <f>Q2378*G2378</f>
        <v/>
      </c>
      <c r="S2378" s="26">
        <f>IFERROR(VLOOKUP(E2378*1,Tabla[#All],8,0),0)</f>
        <v/>
      </c>
      <c r="T2378" s="26">
        <f>S2378*G2378</f>
        <v/>
      </c>
      <c r="U2378" s="26">
        <f>R2378-T2378</f>
        <v/>
      </c>
      <c r="V2378" s="26">
        <f>U2378-L2378</f>
        <v/>
      </c>
    </row>
    <row r="2379">
      <c r="A2379" s="11" t="n">
        <v>46227</v>
      </c>
      <c r="B2379" s="1" t="n">
        <v>20027</v>
      </c>
      <c r="C2379" s="1" t="inlineStr">
        <is>
          <t>080</t>
        </is>
      </c>
      <c r="D2379" s="1" t="inlineStr">
        <is>
          <t xml:space="preserve">1890  </t>
        </is>
      </c>
      <c r="E2379" s="1" t="inlineStr">
        <is>
          <t xml:space="preserve">28194769       </t>
        </is>
      </c>
      <c r="F2379" s="5" t="inlineStr">
        <is>
          <t>AUTOS DE METAL 3 TEAMSTERZ PACK DE 2</t>
        </is>
      </c>
      <c r="G2379" t="n">
        <v>1</v>
      </c>
      <c r="H2379" s="7" t="n">
        <v>13.8</v>
      </c>
      <c r="I2379" s="7" t="n">
        <v>0</v>
      </c>
      <c r="J2379" s="7" t="n">
        <v>0</v>
      </c>
      <c r="K2379" s="9" t="n">
        <v>0</v>
      </c>
      <c r="L2379" s="10" t="n">
        <v>8.18</v>
      </c>
      <c r="M2379" s="10" t="n">
        <v>1.43</v>
      </c>
      <c r="N2379" t="inlineStr">
        <is>
          <t>1</t>
        </is>
      </c>
      <c r="O2379" t="inlineStr">
        <is>
          <t xml:space="preserve">2 </t>
        </is>
      </c>
      <c r="P2379" t="inlineStr">
        <is>
          <t xml:space="preserve">65829   </t>
        </is>
      </c>
      <c r="Q2379" s="26" t="n">
        <v>8.19</v>
      </c>
      <c r="R2379" s="26">
        <f>Q2379*G2379</f>
        <v/>
      </c>
      <c r="S2379" s="26">
        <f>IFERROR(VLOOKUP(E2379*1,Tabla[#All],8,0),0)</f>
        <v/>
      </c>
      <c r="T2379" s="26">
        <f>S2379*G2379</f>
        <v/>
      </c>
      <c r="U2379" s="26">
        <f>R2379-T2379</f>
        <v/>
      </c>
      <c r="V2379" s="26">
        <f>U2379-L2379</f>
        <v/>
      </c>
    </row>
    <row r="2380">
      <c r="A2380" s="11" t="n">
        <v>46227</v>
      </c>
      <c r="B2380" s="1" t="n">
        <v>20028</v>
      </c>
      <c r="C2380" s="1" t="inlineStr">
        <is>
          <t>011</t>
        </is>
      </c>
      <c r="D2380" s="1" t="inlineStr">
        <is>
          <t xml:space="preserve">34095 </t>
        </is>
      </c>
      <c r="E2380" s="1" t="inlineStr">
        <is>
          <t xml:space="preserve">30232283       </t>
        </is>
      </c>
      <c r="F2380" s="5" t="inlineStr">
        <is>
          <t>INFINITY NADO PACK DE 2 TROMPOS DE BATALLA METAL</t>
        </is>
      </c>
      <c r="G2380" t="n">
        <v>1</v>
      </c>
      <c r="H2380" s="7" t="n">
        <v>59.9</v>
      </c>
      <c r="I2380" s="7" t="n">
        <v>0</v>
      </c>
      <c r="J2380" s="7" t="n">
        <v>0</v>
      </c>
      <c r="K2380" s="9" t="n">
        <v>0</v>
      </c>
      <c r="L2380" s="10" t="n">
        <v>35.53</v>
      </c>
      <c r="M2380" s="10" t="n">
        <v>1.43</v>
      </c>
      <c r="N2380" t="inlineStr">
        <is>
          <t>1</t>
        </is>
      </c>
      <c r="O2380" t="inlineStr">
        <is>
          <t>16</t>
        </is>
      </c>
      <c r="P2380" t="inlineStr">
        <is>
          <t xml:space="preserve">35540   </t>
        </is>
      </c>
      <c r="Q2380" s="26" t="n">
        <v>47.4</v>
      </c>
      <c r="R2380" s="26">
        <f>Q2380*G2380</f>
        <v/>
      </c>
      <c r="S2380" s="26">
        <f>IFERROR(VLOOKUP(E2380*1,Tabla[#All],8,0),0)</f>
        <v/>
      </c>
      <c r="T2380" s="26">
        <f>S2380*G2380</f>
        <v/>
      </c>
      <c r="U2380" s="26">
        <f>R2380-T2380</f>
        <v/>
      </c>
      <c r="V2380" s="26">
        <f>U2380-L2380</f>
        <v/>
      </c>
    </row>
    <row r="2381">
      <c r="A2381" s="11" t="n">
        <v>46227</v>
      </c>
      <c r="B2381" s="1" t="n">
        <v>20028</v>
      </c>
      <c r="C2381" s="1" t="inlineStr">
        <is>
          <t>021</t>
        </is>
      </c>
      <c r="D2381" s="1" t="inlineStr">
        <is>
          <t>186536</t>
        </is>
      </c>
      <c r="E2381" s="1" t="inlineStr">
        <is>
          <t xml:space="preserve">28194770       </t>
        </is>
      </c>
      <c r="F2381" s="5" t="inlineStr">
        <is>
          <t>AUTOS DE METAL 3 TEAMSTERZ EN BLISTER</t>
        </is>
      </c>
      <c r="G2381" t="n">
        <v>1</v>
      </c>
      <c r="H2381" s="7" t="n">
        <v>6.9</v>
      </c>
      <c r="I2381" s="7" t="n">
        <v>0</v>
      </c>
      <c r="J2381" s="7" t="n">
        <v>0</v>
      </c>
      <c r="K2381" s="9" t="n">
        <v>0</v>
      </c>
      <c r="L2381" s="10" t="n">
        <v>4.1</v>
      </c>
      <c r="M2381" s="10" t="n">
        <v>1.43</v>
      </c>
      <c r="N2381" t="inlineStr">
        <is>
          <t>1</t>
        </is>
      </c>
      <c r="O2381" t="inlineStr">
        <is>
          <t>16</t>
        </is>
      </c>
      <c r="P2381" t="inlineStr">
        <is>
          <t xml:space="preserve">74495   </t>
        </is>
      </c>
      <c r="Q2381" s="26" t="n">
        <v>4.09</v>
      </c>
      <c r="R2381" s="26">
        <f>Q2381*G2381</f>
        <v/>
      </c>
      <c r="S2381" s="26">
        <f>IFERROR(VLOOKUP(E2381*1,Tabla[#All],8,0),0)</f>
        <v/>
      </c>
      <c r="T2381" s="26">
        <f>S2381*G2381</f>
        <v/>
      </c>
      <c r="U2381" s="26">
        <f>R2381-T2381</f>
        <v/>
      </c>
      <c r="V2381" s="26">
        <f>U2381-L2381</f>
        <v/>
      </c>
    </row>
    <row r="2382">
      <c r="A2382" s="11" t="n">
        <v>46227</v>
      </c>
      <c r="B2382" s="1" t="n">
        <v>20028</v>
      </c>
      <c r="C2382" s="1" t="inlineStr">
        <is>
          <t>021</t>
        </is>
      </c>
      <c r="D2382" s="1" t="inlineStr">
        <is>
          <t>186536</t>
        </is>
      </c>
      <c r="E2382" s="1" t="inlineStr">
        <is>
          <t xml:space="preserve">28194770       </t>
        </is>
      </c>
      <c r="F2382" s="5" t="inlineStr">
        <is>
          <t>AUTOS DE METAL 3 TEAMSTERZ EN BLISTER</t>
        </is>
      </c>
      <c r="G2382" t="n">
        <v>1</v>
      </c>
      <c r="H2382" s="7" t="n">
        <v>6.9</v>
      </c>
      <c r="I2382" s="7" t="n">
        <v>0</v>
      </c>
      <c r="J2382" s="7" t="n">
        <v>0</v>
      </c>
      <c r="K2382" s="9" t="n">
        <v>0</v>
      </c>
      <c r="L2382" s="10" t="n">
        <v>4.1</v>
      </c>
      <c r="M2382" s="10" t="n">
        <v>1.43</v>
      </c>
      <c r="N2382" t="inlineStr">
        <is>
          <t>1</t>
        </is>
      </c>
      <c r="O2382" t="inlineStr">
        <is>
          <t>16</t>
        </is>
      </c>
      <c r="P2382" t="inlineStr">
        <is>
          <t xml:space="preserve">74495   </t>
        </is>
      </c>
      <c r="Q2382" s="26" t="n">
        <v>4.09</v>
      </c>
      <c r="R2382" s="26">
        <f>Q2382*G2382</f>
        <v/>
      </c>
      <c r="S2382" s="26">
        <f>IFERROR(VLOOKUP(E2382*1,Tabla[#All],8,0),0)</f>
        <v/>
      </c>
      <c r="T2382" s="26">
        <f>S2382*G2382</f>
        <v/>
      </c>
      <c r="U2382" s="26">
        <f>R2382-T2382</f>
        <v/>
      </c>
      <c r="V2382" s="26">
        <f>U2382-L2382</f>
        <v/>
      </c>
    </row>
    <row r="2383">
      <c r="A2383" s="11" t="n">
        <v>46227</v>
      </c>
      <c r="B2383" s="1" t="n">
        <v>20028</v>
      </c>
      <c r="C2383" s="1" t="inlineStr">
        <is>
          <t>140</t>
        </is>
      </c>
      <c r="D2383" s="1" t="inlineStr">
        <is>
          <t>225512</t>
        </is>
      </c>
      <c r="E2383" s="1" t="inlineStr">
        <is>
          <t xml:space="preserve">28194770       </t>
        </is>
      </c>
      <c r="F2383" s="5" t="inlineStr">
        <is>
          <t>AUTOS DE METAL 3 TEAMSTERZ EN BLISTER</t>
        </is>
      </c>
      <c r="G2383" t="n">
        <v>1</v>
      </c>
      <c r="H2383" s="7" t="n">
        <v>6.9</v>
      </c>
      <c r="I2383" s="7" t="n">
        <v>0</v>
      </c>
      <c r="J2383" s="7" t="n">
        <v>0</v>
      </c>
      <c r="K2383" s="9" t="n">
        <v>0</v>
      </c>
      <c r="L2383" s="10" t="n">
        <v>4.1</v>
      </c>
      <c r="M2383" s="10" t="n">
        <v>1.43</v>
      </c>
      <c r="N2383" t="inlineStr">
        <is>
          <t>1</t>
        </is>
      </c>
      <c r="O2383" t="inlineStr">
        <is>
          <t>16</t>
        </is>
      </c>
      <c r="P2383" t="inlineStr">
        <is>
          <t xml:space="preserve">33914   </t>
        </is>
      </c>
      <c r="Q2383" s="26" t="n">
        <v>4.09</v>
      </c>
      <c r="R2383" s="26">
        <f>Q2383*G2383</f>
        <v/>
      </c>
      <c r="S2383" s="26">
        <f>IFERROR(VLOOKUP(E2383*1,Tabla[#All],8,0),0)</f>
        <v/>
      </c>
      <c r="T2383" s="26">
        <f>S2383*G2383</f>
        <v/>
      </c>
      <c r="U2383" s="26">
        <f>R2383-T2383</f>
        <v/>
      </c>
      <c r="V2383" s="26">
        <f>U2383-L2383</f>
        <v/>
      </c>
    </row>
    <row r="2384">
      <c r="A2384" s="11" t="n">
        <v>46227</v>
      </c>
      <c r="B2384" s="1" t="n">
        <v>20028</v>
      </c>
      <c r="C2384" s="1" t="inlineStr">
        <is>
          <t>140</t>
        </is>
      </c>
      <c r="D2384" s="1" t="inlineStr">
        <is>
          <t>225512</t>
        </is>
      </c>
      <c r="E2384" s="1" t="inlineStr">
        <is>
          <t xml:space="preserve">28194770       </t>
        </is>
      </c>
      <c r="F2384" s="5" t="inlineStr">
        <is>
          <t>AUTOS DE METAL 3 TEAMSTERZ EN BLISTER</t>
        </is>
      </c>
      <c r="G2384" t="n">
        <v>1</v>
      </c>
      <c r="H2384" s="7" t="n">
        <v>6.9</v>
      </c>
      <c r="I2384" s="7" t="n">
        <v>0</v>
      </c>
      <c r="J2384" s="7" t="n">
        <v>0</v>
      </c>
      <c r="K2384" s="9" t="n">
        <v>0</v>
      </c>
      <c r="L2384" s="10" t="n">
        <v>4.1</v>
      </c>
      <c r="M2384" s="10" t="n">
        <v>1.43</v>
      </c>
      <c r="N2384" t="inlineStr">
        <is>
          <t>1</t>
        </is>
      </c>
      <c r="O2384" t="inlineStr">
        <is>
          <t>16</t>
        </is>
      </c>
      <c r="P2384" t="inlineStr">
        <is>
          <t xml:space="preserve">33914   </t>
        </is>
      </c>
      <c r="Q2384" s="26" t="n">
        <v>4.09</v>
      </c>
      <c r="R2384" s="26">
        <f>Q2384*G2384</f>
        <v/>
      </c>
      <c r="S2384" s="26">
        <f>IFERROR(VLOOKUP(E2384*1,Tabla[#All],8,0),0)</f>
        <v/>
      </c>
      <c r="T2384" s="26">
        <f>S2384*G2384</f>
        <v/>
      </c>
      <c r="U2384" s="26">
        <f>R2384-T2384</f>
        <v/>
      </c>
      <c r="V2384" s="26">
        <f>U2384-L2384</f>
        <v/>
      </c>
    </row>
    <row r="2385">
      <c r="A2385" s="11" t="n">
        <v>46227</v>
      </c>
      <c r="B2385" s="1" t="n">
        <v>20028</v>
      </c>
      <c r="C2385" s="1" t="inlineStr">
        <is>
          <t>140</t>
        </is>
      </c>
      <c r="D2385" s="1" t="inlineStr">
        <is>
          <t>225512</t>
        </is>
      </c>
      <c r="E2385" s="1" t="inlineStr">
        <is>
          <t xml:space="preserve">28194770       </t>
        </is>
      </c>
      <c r="F2385" s="5" t="inlineStr">
        <is>
          <t>AUTOS DE METAL 3 TEAMSTERZ EN BLISTER</t>
        </is>
      </c>
      <c r="G2385" t="n">
        <v>1</v>
      </c>
      <c r="H2385" s="7" t="n">
        <v>6.9</v>
      </c>
      <c r="I2385" s="7" t="n">
        <v>0</v>
      </c>
      <c r="J2385" s="7" t="n">
        <v>0</v>
      </c>
      <c r="K2385" s="9" t="n">
        <v>0</v>
      </c>
      <c r="L2385" s="10" t="n">
        <v>4.1</v>
      </c>
      <c r="M2385" s="10" t="n">
        <v>1.43</v>
      </c>
      <c r="N2385" t="inlineStr">
        <is>
          <t>1</t>
        </is>
      </c>
      <c r="O2385" t="inlineStr">
        <is>
          <t>16</t>
        </is>
      </c>
      <c r="P2385" t="inlineStr">
        <is>
          <t xml:space="preserve">33914   </t>
        </is>
      </c>
      <c r="Q2385" s="26" t="n">
        <v>4.09</v>
      </c>
      <c r="R2385" s="26">
        <f>Q2385*G2385</f>
        <v/>
      </c>
      <c r="S2385" s="26">
        <f>IFERROR(VLOOKUP(E2385*1,Tabla[#All],8,0),0)</f>
        <v/>
      </c>
      <c r="T2385" s="26">
        <f>S2385*G2385</f>
        <v/>
      </c>
      <c r="U2385" s="26">
        <f>R2385-T2385</f>
        <v/>
      </c>
      <c r="V2385" s="26">
        <f>U2385-L2385</f>
        <v/>
      </c>
    </row>
    <row r="2386">
      <c r="A2386" s="11" t="n">
        <v>46227</v>
      </c>
      <c r="B2386" s="1" t="n">
        <v>20028</v>
      </c>
      <c r="C2386" s="1" t="inlineStr">
        <is>
          <t>140</t>
        </is>
      </c>
      <c r="D2386" s="1" t="inlineStr">
        <is>
          <t>225512</t>
        </is>
      </c>
      <c r="E2386" s="1" t="inlineStr">
        <is>
          <t xml:space="preserve">30141766       </t>
        </is>
      </c>
      <c r="F2386" s="5" t="inlineStr">
        <is>
          <t>TMZ BEAST MACHINES AUTOS DE METAL BLISTER X 1</t>
        </is>
      </c>
      <c r="G2386" t="n">
        <v>1</v>
      </c>
      <c r="H2386" s="7" t="n">
        <v>7.9</v>
      </c>
      <c r="I2386" s="7" t="n">
        <v>0</v>
      </c>
      <c r="J2386" s="7" t="n">
        <v>0</v>
      </c>
      <c r="K2386" s="9" t="n">
        <v>0</v>
      </c>
      <c r="L2386" s="10" t="n">
        <v>4.68</v>
      </c>
      <c r="M2386" s="10" t="n">
        <v>1.43</v>
      </c>
      <c r="N2386" t="inlineStr">
        <is>
          <t>1</t>
        </is>
      </c>
      <c r="O2386" t="inlineStr">
        <is>
          <t>16</t>
        </is>
      </c>
      <c r="P2386" t="inlineStr">
        <is>
          <t xml:space="preserve">33914   </t>
        </is>
      </c>
      <c r="Q2386" s="26" t="n">
        <v>4.69</v>
      </c>
      <c r="R2386" s="26">
        <f>Q2386*G2386</f>
        <v/>
      </c>
      <c r="S2386" s="26">
        <f>IFERROR(VLOOKUP(E2386*1,Tabla[#All],8,0),0)</f>
        <v/>
      </c>
      <c r="T2386" s="26">
        <f>S2386*G2386</f>
        <v/>
      </c>
      <c r="U2386" s="26">
        <f>R2386-T2386</f>
        <v/>
      </c>
      <c r="V2386" s="26">
        <f>U2386-L2386</f>
        <v/>
      </c>
    </row>
    <row r="2387">
      <c r="A2387" s="11" t="n">
        <v>46227</v>
      </c>
      <c r="B2387" s="1" t="n">
        <v>20030</v>
      </c>
      <c r="C2387" s="1" t="inlineStr">
        <is>
          <t>055</t>
        </is>
      </c>
      <c r="D2387" s="1" t="inlineStr">
        <is>
          <t>249473</t>
        </is>
      </c>
      <c r="E2387" s="1" t="inlineStr">
        <is>
          <t xml:space="preserve">34840556       </t>
        </is>
      </c>
      <c r="F2387" s="5" t="inlineStr">
        <is>
          <t>TMZ BEAST MACH. TRANSPORT DINO +ACCS</t>
        </is>
      </c>
      <c r="G2387" t="n">
        <v>1</v>
      </c>
      <c r="H2387" s="7" t="n">
        <v>59.9</v>
      </c>
      <c r="I2387" s="7" t="n">
        <v>0</v>
      </c>
      <c r="J2387" s="7" t="n">
        <v>0</v>
      </c>
      <c r="K2387" s="9" t="n">
        <v>0</v>
      </c>
      <c r="L2387" s="10" t="n">
        <v>35.53</v>
      </c>
      <c r="M2387" s="10" t="n">
        <v>1.43</v>
      </c>
      <c r="N2387" t="inlineStr">
        <is>
          <t>1</t>
        </is>
      </c>
      <c r="O2387" t="inlineStr">
        <is>
          <t xml:space="preserve">2 </t>
        </is>
      </c>
      <c r="P2387" t="inlineStr">
        <is>
          <t xml:space="preserve">23370   </t>
        </is>
      </c>
      <c r="Q2387" s="26" t="n">
        <v>47.4</v>
      </c>
      <c r="R2387" s="26">
        <f>Q2387*G2387</f>
        <v/>
      </c>
      <c r="S2387" s="26">
        <f>IFERROR(VLOOKUP(E2387*1,Tabla[#All],8,0),0)</f>
        <v/>
      </c>
      <c r="T2387" s="26">
        <f>S2387*G2387</f>
        <v/>
      </c>
      <c r="U2387" s="26">
        <f>R2387-T2387</f>
        <v/>
      </c>
      <c r="V2387" s="26">
        <f>U2387-L2387</f>
        <v/>
      </c>
    </row>
    <row r="2388">
      <c r="A2388" s="11" t="n">
        <v>46227</v>
      </c>
      <c r="B2388" s="1" t="n">
        <v>20030</v>
      </c>
      <c r="C2388" s="1" t="inlineStr">
        <is>
          <t>067</t>
        </is>
      </c>
      <c r="D2388" s="1" t="inlineStr">
        <is>
          <t>274942</t>
        </is>
      </c>
      <c r="E2388" s="1" t="inlineStr">
        <is>
          <t xml:space="preserve">31959961       </t>
        </is>
      </c>
      <c r="F2388" s="5" t="inlineStr">
        <is>
          <t>TEAMSTERZ CAMBIA DE COLOR PACK DE 3 AUTOS</t>
        </is>
      </c>
      <c r="G2388" t="n">
        <v>1</v>
      </c>
      <c r="H2388" s="7" t="n">
        <v>49.9</v>
      </c>
      <c r="I2388" s="7" t="n">
        <v>0</v>
      </c>
      <c r="J2388" s="7" t="n">
        <v>0</v>
      </c>
      <c r="K2388" s="9" t="n">
        <v>0</v>
      </c>
      <c r="L2388" s="10" t="n">
        <v>29.6</v>
      </c>
      <c r="M2388" s="10" t="n">
        <v>1.43</v>
      </c>
      <c r="N2388" t="inlineStr">
        <is>
          <t>1</t>
        </is>
      </c>
      <c r="O2388" t="inlineStr">
        <is>
          <t>16</t>
        </is>
      </c>
      <c r="P2388" t="inlineStr">
        <is>
          <t xml:space="preserve">22672   </t>
        </is>
      </c>
      <c r="Q2388" s="26" t="n">
        <v>29.6</v>
      </c>
      <c r="R2388" s="26">
        <f>Q2388*G2388</f>
        <v/>
      </c>
      <c r="S2388" s="26">
        <f>IFERROR(VLOOKUP(E2388*1,Tabla[#All],8,0),0)</f>
        <v/>
      </c>
      <c r="T2388" s="26">
        <f>S2388*G2388</f>
        <v/>
      </c>
      <c r="U2388" s="26">
        <f>R2388-T2388</f>
        <v/>
      </c>
      <c r="V2388" s="26">
        <f>U2388-L2388</f>
        <v/>
      </c>
    </row>
    <row r="2389">
      <c r="A2389" s="11" t="n">
        <v>46227</v>
      </c>
      <c r="B2389" s="1" t="n">
        <v>20040</v>
      </c>
      <c r="C2389" s="1" t="inlineStr">
        <is>
          <t>083</t>
        </is>
      </c>
      <c r="D2389" s="1" t="inlineStr">
        <is>
          <t>160651</t>
        </is>
      </c>
      <c r="E2389" s="1" t="inlineStr">
        <is>
          <t xml:space="preserve">30232284       </t>
        </is>
      </c>
      <c r="F2389" s="5" t="inlineStr">
        <is>
          <t>INFINITY NADO TROMPO DE BATALLA - METAL C/PUNTA DE</t>
        </is>
      </c>
      <c r="G2389" t="n">
        <v>1</v>
      </c>
      <c r="H2389" s="7" t="n">
        <v>34.9</v>
      </c>
      <c r="I2389" s="7" t="n">
        <v>3.49</v>
      </c>
      <c r="J2389" s="7" t="n">
        <v>0</v>
      </c>
      <c r="K2389" s="9" t="n">
        <v>3.49</v>
      </c>
      <c r="L2389" s="10" t="n">
        <v>18.63</v>
      </c>
      <c r="M2389" s="10" t="n">
        <v>1.43</v>
      </c>
      <c r="N2389" t="inlineStr">
        <is>
          <t>1</t>
        </is>
      </c>
      <c r="O2389" t="inlineStr">
        <is>
          <t xml:space="preserve">3 </t>
        </is>
      </c>
      <c r="P2389" t="inlineStr">
        <is>
          <t xml:space="preserve">248914  </t>
        </is>
      </c>
      <c r="Q2389" s="26" t="n">
        <v>29.6</v>
      </c>
      <c r="R2389" s="26">
        <f>Q2389*G2389</f>
        <v/>
      </c>
      <c r="S2389" s="26">
        <f>IFERROR(VLOOKUP(E2389*1,Tabla[#All],8,0),0)</f>
        <v/>
      </c>
      <c r="T2389" s="26">
        <f>S2389*G2389</f>
        <v/>
      </c>
      <c r="U2389" s="26">
        <f>R2389-T2389</f>
        <v/>
      </c>
      <c r="V2389" s="26">
        <f>U2389-L2389</f>
        <v/>
      </c>
    </row>
    <row r="2390">
      <c r="A2390" s="11" t="n">
        <v>46227</v>
      </c>
      <c r="B2390" s="1" t="n">
        <v>20040</v>
      </c>
      <c r="C2390" s="1" t="inlineStr">
        <is>
          <t>526</t>
        </is>
      </c>
      <c r="D2390" s="1" t="inlineStr">
        <is>
          <t xml:space="preserve">9068  </t>
        </is>
      </c>
      <c r="E2390" s="1" t="inlineStr">
        <is>
          <t xml:space="preserve">31675353       </t>
        </is>
      </c>
      <c r="F2390" s="5" t="inlineStr">
        <is>
          <t>NENUCO CON BIBERON Y SONAJERO</t>
        </is>
      </c>
      <c r="G2390" t="n">
        <v>1</v>
      </c>
      <c r="H2390" s="7" t="n">
        <v>59.9</v>
      </c>
      <c r="I2390" s="7" t="n">
        <v>5.99</v>
      </c>
      <c r="J2390" s="7" t="n">
        <v>0</v>
      </c>
      <c r="K2390" s="9" t="n">
        <v>5.99</v>
      </c>
      <c r="L2390" s="10" t="n">
        <v>31.98</v>
      </c>
      <c r="M2390" s="10" t="n">
        <v>1.43</v>
      </c>
      <c r="N2390" t="inlineStr">
        <is>
          <t>1</t>
        </is>
      </c>
      <c r="O2390" t="inlineStr">
        <is>
          <t>16</t>
        </is>
      </c>
      <c r="P2390" t="inlineStr">
        <is>
          <t xml:space="preserve">86916   </t>
        </is>
      </c>
      <c r="Q2390" s="26" t="n">
        <v>47.4</v>
      </c>
      <c r="R2390" s="26">
        <f>Q2390*G2390</f>
        <v/>
      </c>
      <c r="S2390" s="26">
        <f>IFERROR(VLOOKUP(E2390*1,Tabla[#All],8,0),0)</f>
        <v/>
      </c>
      <c r="T2390" s="26">
        <f>S2390*G2390</f>
        <v/>
      </c>
      <c r="U2390" s="26">
        <f>R2390-T2390</f>
        <v/>
      </c>
      <c r="V2390" s="26">
        <f>U2390-L2390</f>
        <v/>
      </c>
    </row>
    <row r="2391">
      <c r="A2391" s="11" t="n">
        <v>46227</v>
      </c>
      <c r="B2391" s="1" t="n">
        <v>20040</v>
      </c>
      <c r="C2391" s="1" t="inlineStr">
        <is>
          <t>800</t>
        </is>
      </c>
      <c r="D2391" s="1" t="inlineStr">
        <is>
          <t xml:space="preserve">4029  </t>
        </is>
      </c>
      <c r="E2391" s="1" t="inlineStr">
        <is>
          <t xml:space="preserve">32457099       </t>
        </is>
      </c>
      <c r="F2391" s="5" t="inlineStr">
        <is>
          <t>TMZ BEAST MACHINES MONSTER JAWS A FRICCION BLISTER</t>
        </is>
      </c>
      <c r="G2391" t="n">
        <v>1</v>
      </c>
      <c r="H2391" s="7" t="n">
        <v>17.9</v>
      </c>
      <c r="I2391" s="7" t="n">
        <v>1.79</v>
      </c>
      <c r="J2391" s="7" t="n">
        <v>0</v>
      </c>
      <c r="K2391" s="9" t="n">
        <v>1.79</v>
      </c>
      <c r="L2391" s="10" t="n">
        <v>9.56</v>
      </c>
      <c r="M2391" s="10" t="n">
        <v>1.43</v>
      </c>
      <c r="N2391" t="inlineStr">
        <is>
          <t>1</t>
        </is>
      </c>
      <c r="O2391" t="inlineStr">
        <is>
          <t>16</t>
        </is>
      </c>
      <c r="P2391" t="inlineStr">
        <is>
          <t xml:space="preserve">0       </t>
        </is>
      </c>
      <c r="Q2391" s="26" t="n">
        <v>11.81</v>
      </c>
      <c r="R2391" s="26">
        <f>Q2391*G2391</f>
        <v/>
      </c>
      <c r="S2391" s="26">
        <f>IFERROR(VLOOKUP(E2391*1,Tabla[#All],8,0),0)</f>
        <v/>
      </c>
      <c r="T2391" s="26">
        <f>S2391*G2391</f>
        <v/>
      </c>
      <c r="U2391" s="26">
        <f>R2391-T2391</f>
        <v/>
      </c>
      <c r="V2391" s="26">
        <f>U2391-L2391</f>
        <v/>
      </c>
    </row>
    <row r="2392">
      <c r="A2392" s="11" t="n">
        <v>46227</v>
      </c>
      <c r="B2392" s="1" t="n">
        <v>20041</v>
      </c>
      <c r="C2392" s="1" t="inlineStr">
        <is>
          <t>013</t>
        </is>
      </c>
      <c r="D2392" s="1" t="inlineStr">
        <is>
          <t>459958</t>
        </is>
      </c>
      <c r="E2392" s="1" t="inlineStr">
        <is>
          <t xml:space="preserve">28194770       </t>
        </is>
      </c>
      <c r="F2392" s="5" t="inlineStr">
        <is>
          <t>AUTOS DE METAL 3 TEAMSTERZ EN BLISTER</t>
        </is>
      </c>
      <c r="G2392" t="n">
        <v>1</v>
      </c>
      <c r="H2392" s="7" t="n">
        <v>6.9</v>
      </c>
      <c r="I2392" s="7" t="n">
        <v>0</v>
      </c>
      <c r="J2392" s="7" t="n">
        <v>0</v>
      </c>
      <c r="K2392" s="9" t="n">
        <v>0</v>
      </c>
      <c r="L2392" s="10" t="n">
        <v>4.1</v>
      </c>
      <c r="M2392" s="10" t="n">
        <v>1.43</v>
      </c>
      <c r="N2392" t="inlineStr">
        <is>
          <t>1</t>
        </is>
      </c>
      <c r="O2392" t="inlineStr">
        <is>
          <t xml:space="preserve">2 </t>
        </is>
      </c>
      <c r="P2392" t="inlineStr">
        <is>
          <t xml:space="preserve">36767   </t>
        </is>
      </c>
      <c r="Q2392" s="26" t="n">
        <v>4.09</v>
      </c>
      <c r="R2392" s="26">
        <f>Q2392*G2392</f>
        <v/>
      </c>
      <c r="S2392" s="26">
        <f>IFERROR(VLOOKUP(E2392*1,Tabla[#All],8,0),0)</f>
        <v/>
      </c>
      <c r="T2392" s="26">
        <f>S2392*G2392</f>
        <v/>
      </c>
      <c r="U2392" s="26">
        <f>R2392-T2392</f>
        <v/>
      </c>
      <c r="V2392" s="26">
        <f>U2392-L2392</f>
        <v/>
      </c>
    </row>
    <row r="2393">
      <c r="A2393" s="11" t="n">
        <v>46227</v>
      </c>
      <c r="B2393" s="1" t="n">
        <v>20041</v>
      </c>
      <c r="C2393" s="1" t="inlineStr">
        <is>
          <t>031</t>
        </is>
      </c>
      <c r="D2393" s="1" t="inlineStr">
        <is>
          <t>166577</t>
        </is>
      </c>
      <c r="E2393" s="1" t="inlineStr">
        <is>
          <t xml:space="preserve">29854051       </t>
        </is>
      </c>
      <c r="F2393" s="5" t="inlineStr">
        <is>
          <t>TEAMSTERZ AUTO DE METAL PACK 10 AUTOS</t>
        </is>
      </c>
      <c r="G2393" t="n">
        <v>1</v>
      </c>
      <c r="H2393" s="7" t="n">
        <v>69</v>
      </c>
      <c r="I2393" s="7" t="n">
        <v>0</v>
      </c>
      <c r="J2393" s="7" t="n">
        <v>0</v>
      </c>
      <c r="K2393" s="9" t="n">
        <v>0</v>
      </c>
      <c r="L2393" s="10" t="n">
        <v>40.93</v>
      </c>
      <c r="M2393" s="10" t="n">
        <v>1.43</v>
      </c>
      <c r="N2393" t="inlineStr">
        <is>
          <t>1</t>
        </is>
      </c>
      <c r="O2393" t="inlineStr">
        <is>
          <t>16</t>
        </is>
      </c>
      <c r="P2393" t="inlineStr">
        <is>
          <t xml:space="preserve">57146   </t>
        </is>
      </c>
      <c r="Q2393" s="26" t="n">
        <v>40.93</v>
      </c>
      <c r="R2393" s="26">
        <f>Q2393*G2393</f>
        <v/>
      </c>
      <c r="S2393" s="26">
        <f>IFERROR(VLOOKUP(E2393*1,Tabla[#All],8,0),0)</f>
        <v/>
      </c>
      <c r="T2393" s="26">
        <f>S2393*G2393</f>
        <v/>
      </c>
      <c r="U2393" s="26">
        <f>R2393-T2393</f>
        <v/>
      </c>
      <c r="V2393" s="26">
        <f>U2393-L2393</f>
        <v/>
      </c>
    </row>
    <row r="2394">
      <c r="A2394" s="11" t="n">
        <v>46227</v>
      </c>
      <c r="B2394" s="1" t="n">
        <v>20041</v>
      </c>
      <c r="C2394" s="1" t="inlineStr">
        <is>
          <t>031</t>
        </is>
      </c>
      <c r="D2394" s="1" t="inlineStr">
        <is>
          <t>166629</t>
        </is>
      </c>
      <c r="E2394" s="1" t="inlineStr">
        <is>
          <t xml:space="preserve">28194770       </t>
        </is>
      </c>
      <c r="F2394" s="5" t="inlineStr">
        <is>
          <t>AUTOS DE METAL 3 TEAMSTERZ EN BLISTER</t>
        </is>
      </c>
      <c r="G2394" t="n">
        <v>1</v>
      </c>
      <c r="H2394" s="7" t="n">
        <v>6.9</v>
      </c>
      <c r="I2394" s="7" t="n">
        <v>0</v>
      </c>
      <c r="J2394" s="7" t="n">
        <v>0</v>
      </c>
      <c r="K2394" s="9" t="n">
        <v>0</v>
      </c>
      <c r="L2394" s="10" t="n">
        <v>4.1</v>
      </c>
      <c r="M2394" s="10" t="n">
        <v>1.43</v>
      </c>
      <c r="N2394" t="inlineStr">
        <is>
          <t>1</t>
        </is>
      </c>
      <c r="O2394" t="inlineStr">
        <is>
          <t xml:space="preserve">2 </t>
        </is>
      </c>
      <c r="P2394" t="inlineStr">
        <is>
          <t xml:space="preserve">57146   </t>
        </is>
      </c>
      <c r="Q2394" s="26" t="n">
        <v>4.09</v>
      </c>
      <c r="R2394" s="26">
        <f>Q2394*G2394</f>
        <v/>
      </c>
      <c r="S2394" s="26">
        <f>IFERROR(VLOOKUP(E2394*1,Tabla[#All],8,0),0)</f>
        <v/>
      </c>
      <c r="T2394" s="26">
        <f>S2394*G2394</f>
        <v/>
      </c>
      <c r="U2394" s="26">
        <f>R2394-T2394</f>
        <v/>
      </c>
      <c r="V2394" s="26">
        <f>U2394-L2394</f>
        <v/>
      </c>
    </row>
    <row r="2395">
      <c r="A2395" s="11" t="n">
        <v>46227</v>
      </c>
      <c r="B2395" s="1" t="n">
        <v>20041</v>
      </c>
      <c r="C2395" s="1" t="inlineStr">
        <is>
          <t>037</t>
        </is>
      </c>
      <c r="D2395" s="1" t="inlineStr">
        <is>
          <t>190211</t>
        </is>
      </c>
      <c r="E2395" s="1" t="inlineStr">
        <is>
          <t xml:space="preserve">28194770       </t>
        </is>
      </c>
      <c r="F2395" s="5" t="inlineStr">
        <is>
          <t>AUTOS DE METAL 3 TEAMSTERZ EN BLISTER</t>
        </is>
      </c>
      <c r="G2395" t="n">
        <v>1</v>
      </c>
      <c r="H2395" s="7" t="n">
        <v>6.9</v>
      </c>
      <c r="I2395" s="7" t="n">
        <v>0.6899999999999999</v>
      </c>
      <c r="J2395" s="7" t="n">
        <v>0</v>
      </c>
      <c r="K2395" s="9" t="n">
        <v>0.6899999999999999</v>
      </c>
      <c r="L2395" s="10" t="n">
        <v>3.68</v>
      </c>
      <c r="M2395" s="10" t="n">
        <v>1.43</v>
      </c>
      <c r="N2395" t="inlineStr">
        <is>
          <t>1</t>
        </is>
      </c>
      <c r="O2395" t="inlineStr">
        <is>
          <t xml:space="preserve">3 </t>
        </is>
      </c>
      <c r="P2395" t="inlineStr">
        <is>
          <t xml:space="preserve">243698  </t>
        </is>
      </c>
      <c r="Q2395" s="26" t="n">
        <v>4.09</v>
      </c>
      <c r="R2395" s="26">
        <f>Q2395*G2395</f>
        <v/>
      </c>
      <c r="S2395" s="26">
        <f>IFERROR(VLOOKUP(E2395*1,Tabla[#All],8,0),0)</f>
        <v/>
      </c>
      <c r="T2395" s="26">
        <f>S2395*G2395</f>
        <v/>
      </c>
      <c r="U2395" s="26">
        <f>R2395-T2395</f>
        <v/>
      </c>
      <c r="V2395" s="26">
        <f>U2395-L2395</f>
        <v/>
      </c>
    </row>
    <row r="2396">
      <c r="A2396" s="11" t="n">
        <v>46227</v>
      </c>
      <c r="B2396" s="1" t="n">
        <v>20041</v>
      </c>
      <c r="C2396" s="1" t="inlineStr">
        <is>
          <t>037</t>
        </is>
      </c>
      <c r="D2396" s="1" t="inlineStr">
        <is>
          <t>190211</t>
        </is>
      </c>
      <c r="E2396" s="1" t="inlineStr">
        <is>
          <t xml:space="preserve">28194770       </t>
        </is>
      </c>
      <c r="F2396" s="5" t="inlineStr">
        <is>
          <t>AUTOS DE METAL 3 TEAMSTERZ EN BLISTER</t>
        </is>
      </c>
      <c r="G2396" t="n">
        <v>1</v>
      </c>
      <c r="H2396" s="7" t="n">
        <v>6.9</v>
      </c>
      <c r="I2396" s="7" t="n">
        <v>0.6899999999999999</v>
      </c>
      <c r="J2396" s="7" t="n">
        <v>0</v>
      </c>
      <c r="K2396" s="9" t="n">
        <v>0.6899999999999999</v>
      </c>
      <c r="L2396" s="10" t="n">
        <v>3.68</v>
      </c>
      <c r="M2396" s="10" t="n">
        <v>1.43</v>
      </c>
      <c r="N2396" t="inlineStr">
        <is>
          <t>1</t>
        </is>
      </c>
      <c r="O2396" t="inlineStr">
        <is>
          <t xml:space="preserve">3 </t>
        </is>
      </c>
      <c r="P2396" t="inlineStr">
        <is>
          <t xml:space="preserve">243698  </t>
        </is>
      </c>
      <c r="Q2396" s="26" t="n">
        <v>4.09</v>
      </c>
      <c r="R2396" s="26">
        <f>Q2396*G2396</f>
        <v/>
      </c>
      <c r="S2396" s="26">
        <f>IFERROR(VLOOKUP(E2396*1,Tabla[#All],8,0),0)</f>
        <v/>
      </c>
      <c r="T2396" s="26">
        <f>S2396*G2396</f>
        <v/>
      </c>
      <c r="U2396" s="26">
        <f>R2396-T2396</f>
        <v/>
      </c>
      <c r="V2396" s="26">
        <f>U2396-L2396</f>
        <v/>
      </c>
    </row>
    <row r="2397">
      <c r="A2397" s="11" t="n">
        <v>46227</v>
      </c>
      <c r="B2397" s="1" t="n">
        <v>20041</v>
      </c>
      <c r="C2397" s="1" t="inlineStr">
        <is>
          <t>525</t>
        </is>
      </c>
      <c r="D2397" s="1" t="inlineStr">
        <is>
          <t xml:space="preserve">1415  </t>
        </is>
      </c>
      <c r="E2397" s="1" t="inlineStr">
        <is>
          <t xml:space="preserve">28194770       </t>
        </is>
      </c>
      <c r="F2397" s="5" t="inlineStr">
        <is>
          <t>AUTOS DE METAL 3 TEAMSTERZ EN BLISTER</t>
        </is>
      </c>
      <c r="G2397" t="n">
        <v>1</v>
      </c>
      <c r="H2397" s="7" t="n">
        <v>6.9</v>
      </c>
      <c r="I2397" s="7" t="n">
        <v>0</v>
      </c>
      <c r="J2397" s="7" t="n">
        <v>0</v>
      </c>
      <c r="K2397" s="9" t="n">
        <v>0</v>
      </c>
      <c r="L2397" s="10" t="n">
        <v>4.1</v>
      </c>
      <c r="M2397" s="10" t="n">
        <v>1.43</v>
      </c>
      <c r="N2397" t="inlineStr">
        <is>
          <t>1</t>
        </is>
      </c>
      <c r="O2397" t="inlineStr">
        <is>
          <t>16</t>
        </is>
      </c>
      <c r="P2397" t="inlineStr">
        <is>
          <t xml:space="preserve">250418  </t>
        </is>
      </c>
      <c r="Q2397" s="26" t="n">
        <v>4.09</v>
      </c>
      <c r="R2397" s="26">
        <f>Q2397*G2397</f>
        <v/>
      </c>
      <c r="S2397" s="26">
        <f>IFERROR(VLOOKUP(E2397*1,Tabla[#All],8,0),0)</f>
        <v/>
      </c>
      <c r="T2397" s="26">
        <f>S2397*G2397</f>
        <v/>
      </c>
      <c r="U2397" s="26">
        <f>R2397-T2397</f>
        <v/>
      </c>
      <c r="V2397" s="26">
        <f>U2397-L2397</f>
        <v/>
      </c>
    </row>
    <row r="2398">
      <c r="A2398" s="11" t="n">
        <v>46227</v>
      </c>
      <c r="B2398" s="1" t="n">
        <v>20043</v>
      </c>
      <c r="C2398" s="1" t="inlineStr">
        <is>
          <t>029</t>
        </is>
      </c>
      <c r="D2398" s="1" t="inlineStr">
        <is>
          <t>169910</t>
        </is>
      </c>
      <c r="E2398" s="1" t="inlineStr">
        <is>
          <t xml:space="preserve">28194770       </t>
        </is>
      </c>
      <c r="F2398" s="5" t="inlineStr">
        <is>
          <t>AUTOS DE METAL 3 TEAMSTERZ EN BLISTER</t>
        </is>
      </c>
      <c r="G2398" t="n">
        <v>1</v>
      </c>
      <c r="H2398" s="7" t="n">
        <v>6.9</v>
      </c>
      <c r="I2398" s="7" t="n">
        <v>0</v>
      </c>
      <c r="J2398" s="7" t="n">
        <v>0</v>
      </c>
      <c r="K2398" s="9" t="n">
        <v>0</v>
      </c>
      <c r="L2398" s="10" t="n">
        <v>4.1</v>
      </c>
      <c r="M2398" s="10" t="n">
        <v>1.43</v>
      </c>
      <c r="N2398" t="inlineStr">
        <is>
          <t>1</t>
        </is>
      </c>
      <c r="O2398" t="inlineStr">
        <is>
          <t>16</t>
        </is>
      </c>
      <c r="P2398" t="inlineStr">
        <is>
          <t xml:space="preserve">244278  </t>
        </is>
      </c>
      <c r="Q2398" s="26" t="n">
        <v>4.09</v>
      </c>
      <c r="R2398" s="26">
        <f>Q2398*G2398</f>
        <v/>
      </c>
      <c r="S2398" s="26">
        <f>IFERROR(VLOOKUP(E2398*1,Tabla[#All],8,0),0)</f>
        <v/>
      </c>
      <c r="T2398" s="26">
        <f>S2398*G2398</f>
        <v/>
      </c>
      <c r="U2398" s="26">
        <f>R2398-T2398</f>
        <v/>
      </c>
      <c r="V2398" s="26">
        <f>U2398-L2398</f>
        <v/>
      </c>
    </row>
    <row r="2399">
      <c r="A2399" s="11" t="n">
        <v>46227</v>
      </c>
      <c r="B2399" s="1" t="n">
        <v>20043</v>
      </c>
      <c r="C2399" s="1" t="inlineStr">
        <is>
          <t>029</t>
        </is>
      </c>
      <c r="D2399" s="1" t="inlineStr">
        <is>
          <t>169910</t>
        </is>
      </c>
      <c r="E2399" s="1" t="inlineStr">
        <is>
          <t xml:space="preserve">28194770       </t>
        </is>
      </c>
      <c r="F2399" s="5" t="inlineStr">
        <is>
          <t>AUTOS DE METAL 3 TEAMSTERZ EN BLISTER</t>
        </is>
      </c>
      <c r="G2399" t="n">
        <v>1</v>
      </c>
      <c r="H2399" s="7" t="n">
        <v>6.9</v>
      </c>
      <c r="I2399" s="7" t="n">
        <v>0</v>
      </c>
      <c r="J2399" s="7" t="n">
        <v>0</v>
      </c>
      <c r="K2399" s="9" t="n">
        <v>0</v>
      </c>
      <c r="L2399" s="10" t="n">
        <v>4.1</v>
      </c>
      <c r="M2399" s="10" t="n">
        <v>1.43</v>
      </c>
      <c r="N2399" t="inlineStr">
        <is>
          <t>1</t>
        </is>
      </c>
      <c r="O2399" t="inlineStr">
        <is>
          <t>16</t>
        </is>
      </c>
      <c r="P2399" t="inlineStr">
        <is>
          <t xml:space="preserve">244278  </t>
        </is>
      </c>
      <c r="Q2399" s="26" t="n">
        <v>4.09</v>
      </c>
      <c r="R2399" s="26">
        <f>Q2399*G2399</f>
        <v/>
      </c>
      <c r="S2399" s="26">
        <f>IFERROR(VLOOKUP(E2399*1,Tabla[#All],8,0),0)</f>
        <v/>
      </c>
      <c r="T2399" s="26">
        <f>S2399*G2399</f>
        <v/>
      </c>
      <c r="U2399" s="26">
        <f>R2399-T2399</f>
        <v/>
      </c>
      <c r="V2399" s="26">
        <f>U2399-L2399</f>
        <v/>
      </c>
    </row>
    <row r="2400">
      <c r="A2400" s="11" t="n">
        <v>46227</v>
      </c>
      <c r="B2400" s="1" t="n">
        <v>20043</v>
      </c>
      <c r="C2400" s="1" t="inlineStr">
        <is>
          <t>029</t>
        </is>
      </c>
      <c r="D2400" s="1" t="inlineStr">
        <is>
          <t>169910</t>
        </is>
      </c>
      <c r="E2400" s="1" t="inlineStr">
        <is>
          <t xml:space="preserve">28194770       </t>
        </is>
      </c>
      <c r="F2400" s="5" t="inlineStr">
        <is>
          <t>AUTOS DE METAL 3 TEAMSTERZ EN BLISTER</t>
        </is>
      </c>
      <c r="G2400" t="n">
        <v>1</v>
      </c>
      <c r="H2400" s="7" t="n">
        <v>6.9</v>
      </c>
      <c r="I2400" s="7" t="n">
        <v>0</v>
      </c>
      <c r="J2400" s="7" t="n">
        <v>0</v>
      </c>
      <c r="K2400" s="9" t="n">
        <v>0</v>
      </c>
      <c r="L2400" s="10" t="n">
        <v>4.1</v>
      </c>
      <c r="M2400" s="10" t="n">
        <v>1.43</v>
      </c>
      <c r="N2400" t="inlineStr">
        <is>
          <t>1</t>
        </is>
      </c>
      <c r="O2400" t="inlineStr">
        <is>
          <t>16</t>
        </is>
      </c>
      <c r="P2400" t="inlineStr">
        <is>
          <t xml:space="preserve">244278  </t>
        </is>
      </c>
      <c r="Q2400" s="26" t="n">
        <v>4.09</v>
      </c>
      <c r="R2400" s="26">
        <f>Q2400*G2400</f>
        <v/>
      </c>
      <c r="S2400" s="26">
        <f>IFERROR(VLOOKUP(E2400*1,Tabla[#All],8,0),0)</f>
        <v/>
      </c>
      <c r="T2400" s="26">
        <f>S2400*G2400</f>
        <v/>
      </c>
      <c r="U2400" s="26">
        <f>R2400-T2400</f>
        <v/>
      </c>
      <c r="V2400" s="26">
        <f>U2400-L2400</f>
        <v/>
      </c>
    </row>
    <row r="2401">
      <c r="A2401" s="11" t="n">
        <v>46227</v>
      </c>
      <c r="B2401" s="1" t="n">
        <v>20043</v>
      </c>
      <c r="C2401" s="1" t="inlineStr">
        <is>
          <t>051</t>
        </is>
      </c>
      <c r="D2401" s="1" t="inlineStr">
        <is>
          <t>105679</t>
        </is>
      </c>
      <c r="E2401" s="1" t="inlineStr">
        <is>
          <t xml:space="preserve">28194770       </t>
        </is>
      </c>
      <c r="F2401" s="5" t="inlineStr">
        <is>
          <t>AUTOS DE METAL 3 TEAMSTERZ EN BLISTER</t>
        </is>
      </c>
      <c r="G2401" t="n">
        <v>1</v>
      </c>
      <c r="H2401" s="7" t="n">
        <v>6.9</v>
      </c>
      <c r="I2401" s="7" t="n">
        <v>0</v>
      </c>
      <c r="J2401" s="7" t="n">
        <v>0</v>
      </c>
      <c r="K2401" s="9" t="n">
        <v>0</v>
      </c>
      <c r="L2401" s="10" t="n">
        <v>4.1</v>
      </c>
      <c r="M2401" s="10" t="n">
        <v>1.43</v>
      </c>
      <c r="N2401" t="inlineStr">
        <is>
          <t>1</t>
        </is>
      </c>
      <c r="O2401" t="inlineStr">
        <is>
          <t>16</t>
        </is>
      </c>
      <c r="P2401" t="inlineStr">
        <is>
          <t xml:space="preserve">47299   </t>
        </is>
      </c>
      <c r="Q2401" s="26" t="n">
        <v>4.09</v>
      </c>
      <c r="R2401" s="26">
        <f>Q2401*G2401</f>
        <v/>
      </c>
      <c r="S2401" s="26">
        <f>IFERROR(VLOOKUP(E2401*1,Tabla[#All],8,0),0)</f>
        <v/>
      </c>
      <c r="T2401" s="26">
        <f>S2401*G2401</f>
        <v/>
      </c>
      <c r="U2401" s="26">
        <f>R2401-T2401</f>
        <v/>
      </c>
      <c r="V2401" s="26">
        <f>U2401-L2401</f>
        <v/>
      </c>
    </row>
    <row r="2402">
      <c r="A2402" s="11" t="n">
        <v>46227</v>
      </c>
      <c r="B2402" s="1" t="n">
        <v>20043</v>
      </c>
      <c r="C2402" s="1" t="inlineStr">
        <is>
          <t>061</t>
        </is>
      </c>
      <c r="D2402" s="1" t="inlineStr">
        <is>
          <t>155589</t>
        </is>
      </c>
      <c r="E2402" s="1" t="inlineStr">
        <is>
          <t xml:space="preserve">28194770       </t>
        </is>
      </c>
      <c r="F2402" s="5" t="inlineStr">
        <is>
          <t>AUTOS DE METAL 3 TEAMSTERZ EN BLISTER</t>
        </is>
      </c>
      <c r="G2402" t="n">
        <v>1</v>
      </c>
      <c r="H2402" s="7" t="n">
        <v>6.9</v>
      </c>
      <c r="I2402" s="7" t="n">
        <v>0</v>
      </c>
      <c r="J2402" s="7" t="n">
        <v>0</v>
      </c>
      <c r="K2402" s="9" t="n">
        <v>0</v>
      </c>
      <c r="L2402" s="10" t="n">
        <v>4.1</v>
      </c>
      <c r="M2402" s="10" t="n">
        <v>1.43</v>
      </c>
      <c r="N2402" t="inlineStr">
        <is>
          <t>1</t>
        </is>
      </c>
      <c r="O2402" t="inlineStr">
        <is>
          <t xml:space="preserve">2 </t>
        </is>
      </c>
      <c r="P2402" t="inlineStr">
        <is>
          <t xml:space="preserve">30705   </t>
        </is>
      </c>
      <c r="Q2402" s="26" t="n">
        <v>4.09</v>
      </c>
      <c r="R2402" s="26">
        <f>Q2402*G2402</f>
        <v/>
      </c>
      <c r="S2402" s="26">
        <f>IFERROR(VLOOKUP(E2402*1,Tabla[#All],8,0),0)</f>
        <v/>
      </c>
      <c r="T2402" s="26">
        <f>S2402*G2402</f>
        <v/>
      </c>
      <c r="U2402" s="26">
        <f>R2402-T2402</f>
        <v/>
      </c>
      <c r="V2402" s="26">
        <f>U2402-L2402</f>
        <v/>
      </c>
    </row>
    <row r="2403">
      <c r="A2403" s="11" t="n">
        <v>46227</v>
      </c>
      <c r="B2403" s="1" t="n">
        <v>20043</v>
      </c>
      <c r="C2403" s="1" t="inlineStr">
        <is>
          <t>063</t>
        </is>
      </c>
      <c r="D2403" s="1" t="inlineStr">
        <is>
          <t>157726</t>
        </is>
      </c>
      <c r="E2403" s="1" t="inlineStr">
        <is>
          <t xml:space="preserve">28194781       </t>
        </is>
      </c>
      <c r="F2403" s="5" t="inlineStr">
        <is>
          <t>TROMPO BATALLA INFINITY NADO SERIE V CLASICA SURTI</t>
        </is>
      </c>
      <c r="G2403" t="n">
        <v>1</v>
      </c>
      <c r="H2403" s="7" t="n">
        <v>39.9</v>
      </c>
      <c r="I2403" s="7" t="n">
        <v>0</v>
      </c>
      <c r="J2403" s="7" t="n">
        <v>0</v>
      </c>
      <c r="K2403" s="9" t="n">
        <v>0</v>
      </c>
      <c r="L2403" s="10" t="n">
        <v>23.67</v>
      </c>
      <c r="M2403" s="10" t="n">
        <v>1.43</v>
      </c>
      <c r="N2403" t="inlineStr">
        <is>
          <t>1</t>
        </is>
      </c>
      <c r="O2403" t="inlineStr">
        <is>
          <t xml:space="preserve">2 </t>
        </is>
      </c>
      <c r="P2403" t="inlineStr">
        <is>
          <t xml:space="preserve">30787   </t>
        </is>
      </c>
      <c r="Q2403" s="26" t="n">
        <v>35.53</v>
      </c>
      <c r="R2403" s="26">
        <f>Q2403*G2403</f>
        <v/>
      </c>
      <c r="S2403" s="26">
        <f>IFERROR(VLOOKUP(E2403*1,Tabla[#All],8,0),0)</f>
        <v/>
      </c>
      <c r="T2403" s="26">
        <f>S2403*G2403</f>
        <v/>
      </c>
      <c r="U2403" s="26">
        <f>R2403-T2403</f>
        <v/>
      </c>
      <c r="V2403" s="26">
        <f>U2403-L2403</f>
        <v/>
      </c>
    </row>
    <row r="2404">
      <c r="A2404" s="11" t="n">
        <v>46227</v>
      </c>
      <c r="B2404" s="1" t="n">
        <v>20043</v>
      </c>
      <c r="C2404" s="1" t="inlineStr">
        <is>
          <t>063</t>
        </is>
      </c>
      <c r="D2404" s="1" t="inlineStr">
        <is>
          <t>157752</t>
        </is>
      </c>
      <c r="E2404" s="1" t="inlineStr">
        <is>
          <t xml:space="preserve">28194770       </t>
        </is>
      </c>
      <c r="F2404" s="5" t="inlineStr">
        <is>
          <t>AUTOS DE METAL 3 TEAMSTERZ EN BLISTER</t>
        </is>
      </c>
      <c r="G2404" t="n">
        <v>1</v>
      </c>
      <c r="H2404" s="7" t="n">
        <v>6.9</v>
      </c>
      <c r="I2404" s="7" t="n">
        <v>0.6899999999999999</v>
      </c>
      <c r="J2404" s="7" t="n">
        <v>0</v>
      </c>
      <c r="K2404" s="9" t="n">
        <v>0.6899999999999999</v>
      </c>
      <c r="L2404" s="10" t="n">
        <v>3.68</v>
      </c>
      <c r="M2404" s="10" t="n">
        <v>1.43</v>
      </c>
      <c r="N2404" t="inlineStr">
        <is>
          <t>1</t>
        </is>
      </c>
      <c r="O2404" t="inlineStr">
        <is>
          <t xml:space="preserve">3 </t>
        </is>
      </c>
      <c r="P2404" t="inlineStr">
        <is>
          <t xml:space="preserve">30787   </t>
        </is>
      </c>
      <c r="Q2404" s="26" t="n">
        <v>4.09</v>
      </c>
      <c r="R2404" s="26">
        <f>Q2404*G2404</f>
        <v/>
      </c>
      <c r="S2404" s="26">
        <f>IFERROR(VLOOKUP(E2404*1,Tabla[#All],8,0),0)</f>
        <v/>
      </c>
      <c r="T2404" s="26">
        <f>S2404*G2404</f>
        <v/>
      </c>
      <c r="U2404" s="26">
        <f>R2404-T2404</f>
        <v/>
      </c>
      <c r="V2404" s="26">
        <f>U2404-L2404</f>
        <v/>
      </c>
    </row>
    <row r="2405">
      <c r="A2405" s="11" t="n">
        <v>46227</v>
      </c>
      <c r="B2405" s="1" t="n">
        <v>20048</v>
      </c>
      <c r="C2405" s="1" t="inlineStr">
        <is>
          <t>013</t>
        </is>
      </c>
      <c r="D2405" s="1" t="inlineStr">
        <is>
          <t>226524</t>
        </is>
      </c>
      <c r="E2405" s="1" t="inlineStr">
        <is>
          <t xml:space="preserve">30141766       </t>
        </is>
      </c>
      <c r="F2405" s="5" t="inlineStr">
        <is>
          <t>TMZ BEAST MACHINES AUTOS DE METAL BLISTER X 1</t>
        </is>
      </c>
      <c r="G2405" t="n">
        <v>1</v>
      </c>
      <c r="H2405" s="7" t="n">
        <v>7.9</v>
      </c>
      <c r="I2405" s="7" t="n">
        <v>0</v>
      </c>
      <c r="J2405" s="7" t="n">
        <v>0</v>
      </c>
      <c r="K2405" s="9" t="n">
        <v>0</v>
      </c>
      <c r="L2405" s="10" t="n">
        <v>4.68</v>
      </c>
      <c r="M2405" s="10" t="n">
        <v>1.43</v>
      </c>
      <c r="N2405" t="inlineStr">
        <is>
          <t>1</t>
        </is>
      </c>
      <c r="O2405" t="inlineStr">
        <is>
          <t>16</t>
        </is>
      </c>
      <c r="P2405" t="inlineStr">
        <is>
          <t xml:space="preserve">85763   </t>
        </is>
      </c>
      <c r="Q2405" s="26" t="n">
        <v>4.69</v>
      </c>
      <c r="R2405" s="26">
        <f>Q2405*G2405</f>
        <v/>
      </c>
      <c r="S2405" s="26">
        <f>IFERROR(VLOOKUP(E2405*1,Tabla[#All],8,0),0)</f>
        <v/>
      </c>
      <c r="T2405" s="26">
        <f>S2405*G2405</f>
        <v/>
      </c>
      <c r="U2405" s="26">
        <f>R2405-T2405</f>
        <v/>
      </c>
      <c r="V2405" s="26">
        <f>U2405-L2405</f>
        <v/>
      </c>
    </row>
    <row r="2406">
      <c r="A2406" s="11" t="n">
        <v>46227</v>
      </c>
      <c r="B2406" s="1" t="n">
        <v>20048</v>
      </c>
      <c r="C2406" s="1" t="inlineStr">
        <is>
          <t>013</t>
        </is>
      </c>
      <c r="D2406" s="1" t="inlineStr">
        <is>
          <t>226562</t>
        </is>
      </c>
      <c r="E2406" s="1" t="inlineStr">
        <is>
          <t xml:space="preserve">28194770       </t>
        </is>
      </c>
      <c r="F2406" s="5" t="inlineStr">
        <is>
          <t>AUTOS DE METAL 3 TEAMSTERZ EN BLISTER</t>
        </is>
      </c>
      <c r="G2406" t="n">
        <v>1</v>
      </c>
      <c r="H2406" s="7" t="n">
        <v>6.9</v>
      </c>
      <c r="I2406" s="7" t="n">
        <v>0</v>
      </c>
      <c r="J2406" s="7" t="n">
        <v>0</v>
      </c>
      <c r="K2406" s="9" t="n">
        <v>0</v>
      </c>
      <c r="L2406" s="10" t="n">
        <v>4.1</v>
      </c>
      <c r="M2406" s="10" t="n">
        <v>1.43</v>
      </c>
      <c r="N2406" t="inlineStr">
        <is>
          <t>1</t>
        </is>
      </c>
      <c r="O2406" t="inlineStr">
        <is>
          <t>16</t>
        </is>
      </c>
      <c r="P2406" t="inlineStr">
        <is>
          <t xml:space="preserve">85763   </t>
        </is>
      </c>
      <c r="Q2406" s="26" t="n">
        <v>4.09</v>
      </c>
      <c r="R2406" s="26">
        <f>Q2406*G2406</f>
        <v/>
      </c>
      <c r="S2406" s="26">
        <f>IFERROR(VLOOKUP(E2406*1,Tabla[#All],8,0),0)</f>
        <v/>
      </c>
      <c r="T2406" s="26">
        <f>S2406*G2406</f>
        <v/>
      </c>
      <c r="U2406" s="26">
        <f>R2406-T2406</f>
        <v/>
      </c>
      <c r="V2406" s="26">
        <f>U2406-L2406</f>
        <v/>
      </c>
    </row>
    <row r="2407">
      <c r="A2407" s="11" t="n">
        <v>46227</v>
      </c>
      <c r="B2407" s="1" t="n">
        <v>20048</v>
      </c>
      <c r="C2407" s="1" t="inlineStr">
        <is>
          <t>515</t>
        </is>
      </c>
      <c r="D2407" s="1" t="inlineStr">
        <is>
          <t xml:space="preserve">1621  </t>
        </is>
      </c>
      <c r="E2407" s="1" t="inlineStr">
        <is>
          <t xml:space="preserve">28194770       </t>
        </is>
      </c>
      <c r="F2407" s="5" t="inlineStr">
        <is>
          <t>AUTOS DE METAL 3 TEAMSTERZ EN BLISTER</t>
        </is>
      </c>
      <c r="G2407" t="n">
        <v>1</v>
      </c>
      <c r="H2407" s="7" t="n">
        <v>6.9</v>
      </c>
      <c r="I2407" s="7" t="n">
        <v>0.6899999999999999</v>
      </c>
      <c r="J2407" s="7" t="n">
        <v>0</v>
      </c>
      <c r="K2407" s="9" t="n">
        <v>0.6899999999999999</v>
      </c>
      <c r="L2407" s="10" t="n">
        <v>3.68</v>
      </c>
      <c r="M2407" s="10" t="n">
        <v>1.43</v>
      </c>
      <c r="N2407" t="inlineStr">
        <is>
          <t>1</t>
        </is>
      </c>
      <c r="O2407" t="inlineStr">
        <is>
          <t>16</t>
        </is>
      </c>
      <c r="P2407" t="inlineStr">
        <is>
          <t xml:space="preserve">102671  </t>
        </is>
      </c>
      <c r="Q2407" s="26" t="n">
        <v>4.09</v>
      </c>
      <c r="R2407" s="26">
        <f>Q2407*G2407</f>
        <v/>
      </c>
      <c r="S2407" s="26">
        <f>IFERROR(VLOOKUP(E2407*1,Tabla[#All],8,0),0)</f>
        <v/>
      </c>
      <c r="T2407" s="26">
        <f>S2407*G2407</f>
        <v/>
      </c>
      <c r="U2407" s="26">
        <f>R2407-T2407</f>
        <v/>
      </c>
      <c r="V2407" s="26">
        <f>U2407-L2407</f>
        <v/>
      </c>
    </row>
    <row r="2408">
      <c r="A2408" s="11" t="n">
        <v>46227</v>
      </c>
      <c r="B2408" s="1" t="n">
        <v>20048</v>
      </c>
      <c r="C2408" s="1" t="inlineStr">
        <is>
          <t>831</t>
        </is>
      </c>
      <c r="D2408" s="1" t="inlineStr">
        <is>
          <t xml:space="preserve">5720  </t>
        </is>
      </c>
      <c r="E2408" s="1" t="inlineStr">
        <is>
          <t xml:space="preserve">29235702       </t>
        </is>
      </c>
      <c r="F2408" s="5" t="inlineStr">
        <is>
          <t>INFINITY NADO TROMPO DE BATALLA - METAL C/ ANILLO</t>
        </is>
      </c>
      <c r="G2408" t="n">
        <v>1</v>
      </c>
      <c r="H2408" s="7" t="n">
        <v>49.9</v>
      </c>
      <c r="I2408" s="7" t="n">
        <v>0</v>
      </c>
      <c r="J2408" s="7" t="n">
        <v>0</v>
      </c>
      <c r="K2408" s="9" t="n">
        <v>0</v>
      </c>
      <c r="L2408" s="10" t="n">
        <v>29.6</v>
      </c>
      <c r="M2408" s="10" t="n">
        <v>1.43</v>
      </c>
      <c r="N2408" t="inlineStr">
        <is>
          <t>1</t>
        </is>
      </c>
      <c r="O2408" t="inlineStr">
        <is>
          <t>16</t>
        </is>
      </c>
      <c r="P2408" t="inlineStr">
        <is>
          <t xml:space="preserve">0       </t>
        </is>
      </c>
      <c r="Q2408" s="26" t="n">
        <v>41.47</v>
      </c>
      <c r="R2408" s="26">
        <f>Q2408*G2408</f>
        <v/>
      </c>
      <c r="S2408" s="26">
        <f>IFERROR(VLOOKUP(E2408*1,Tabla[#All],8,0),0)</f>
        <v/>
      </c>
      <c r="T2408" s="26">
        <f>S2408*G2408</f>
        <v/>
      </c>
      <c r="U2408" s="26">
        <f>R2408-T2408</f>
        <v/>
      </c>
      <c r="V2408" s="26">
        <f>U2408-L2408</f>
        <v/>
      </c>
    </row>
    <row r="2409">
      <c r="A2409" s="11" t="n">
        <v>46227</v>
      </c>
      <c r="B2409" s="1" t="n">
        <v>20049</v>
      </c>
      <c r="C2409" s="1" t="inlineStr">
        <is>
          <t>013</t>
        </is>
      </c>
      <c r="D2409" s="1" t="inlineStr">
        <is>
          <t>237295</t>
        </is>
      </c>
      <c r="E2409" s="1" t="inlineStr">
        <is>
          <t xml:space="preserve">34840551       </t>
        </is>
      </c>
      <c r="F2409" s="5" t="inlineStr">
        <is>
          <t>TMZ HELI BOMBERO CON LUCES Y SONIDOS</t>
        </is>
      </c>
      <c r="G2409" t="n">
        <v>1</v>
      </c>
      <c r="H2409" s="7" t="n">
        <v>79.90000000000001</v>
      </c>
      <c r="I2409" s="7" t="n">
        <v>0</v>
      </c>
      <c r="J2409" s="7" t="n">
        <v>0</v>
      </c>
      <c r="K2409" s="9" t="n">
        <v>0</v>
      </c>
      <c r="L2409" s="10" t="n">
        <v>47.4</v>
      </c>
      <c r="M2409" s="10" t="n">
        <v>1.43</v>
      </c>
      <c r="N2409" t="inlineStr">
        <is>
          <t>1</t>
        </is>
      </c>
      <c r="O2409" t="inlineStr">
        <is>
          <t xml:space="preserve">2 </t>
        </is>
      </c>
      <c r="P2409" t="inlineStr">
        <is>
          <t xml:space="preserve">48754   </t>
        </is>
      </c>
      <c r="Q2409" s="26" t="n">
        <v>47.4</v>
      </c>
      <c r="R2409" s="26">
        <f>Q2409*G2409</f>
        <v/>
      </c>
      <c r="S2409" s="26">
        <f>IFERROR(VLOOKUP(E2409*1,Tabla[#All],8,0),0)</f>
        <v/>
      </c>
      <c r="T2409" s="26">
        <f>S2409*G2409</f>
        <v/>
      </c>
      <c r="U2409" s="26">
        <f>R2409-T2409</f>
        <v/>
      </c>
      <c r="V2409" s="26">
        <f>U2409-L2409</f>
        <v/>
      </c>
    </row>
    <row r="2410">
      <c r="A2410" s="11" t="n">
        <v>46227</v>
      </c>
      <c r="B2410" s="1" t="n">
        <v>20049</v>
      </c>
      <c r="C2410" s="1" t="inlineStr">
        <is>
          <t>025</t>
        </is>
      </c>
      <c r="D2410" s="1" t="inlineStr">
        <is>
          <t xml:space="preserve">34707 </t>
        </is>
      </c>
      <c r="E2410" s="1" t="inlineStr">
        <is>
          <t xml:space="preserve">31754676       </t>
        </is>
      </c>
      <c r="F2410" s="5" t="inlineStr">
        <is>
          <t>INFINITY NADO SERIE 6 STD PACK LANZ ESPAD ANILLO M</t>
        </is>
      </c>
      <c r="G2410" t="n">
        <v>1</v>
      </c>
      <c r="H2410" s="7" t="n">
        <v>59.9</v>
      </c>
      <c r="I2410" s="7" t="n">
        <v>0</v>
      </c>
      <c r="J2410" s="7" t="n">
        <v>0</v>
      </c>
      <c r="K2410" s="9" t="n">
        <v>0</v>
      </c>
      <c r="L2410" s="10" t="n">
        <v>35.53</v>
      </c>
      <c r="M2410" s="10" t="n">
        <v>1.43</v>
      </c>
      <c r="N2410" t="inlineStr">
        <is>
          <t>1</t>
        </is>
      </c>
      <c r="O2410" t="inlineStr">
        <is>
          <t>16</t>
        </is>
      </c>
      <c r="P2410" t="inlineStr">
        <is>
          <t xml:space="preserve">48754   </t>
        </is>
      </c>
      <c r="Q2410" s="26" t="n">
        <v>47.4</v>
      </c>
      <c r="R2410" s="26">
        <f>Q2410*G2410</f>
        <v/>
      </c>
      <c r="S2410" s="26">
        <f>IFERROR(VLOOKUP(E2410*1,Tabla[#All],8,0),0)</f>
        <v/>
      </c>
      <c r="T2410" s="26">
        <f>S2410*G2410</f>
        <v/>
      </c>
      <c r="U2410" s="26">
        <f>R2410-T2410</f>
        <v/>
      </c>
      <c r="V2410" s="26">
        <f>U2410-L2410</f>
        <v/>
      </c>
    </row>
    <row r="2411">
      <c r="A2411" s="11" t="n">
        <v>46227</v>
      </c>
      <c r="B2411" s="1" t="n">
        <v>20049</v>
      </c>
      <c r="C2411" s="1" t="inlineStr">
        <is>
          <t>510</t>
        </is>
      </c>
      <c r="D2411" s="1" t="inlineStr">
        <is>
          <t xml:space="preserve">1301  </t>
        </is>
      </c>
      <c r="E2411" s="1" t="inlineStr">
        <is>
          <t xml:space="preserve">28194781       </t>
        </is>
      </c>
      <c r="F2411" s="5" t="inlineStr">
        <is>
          <t>TROMPO BATALLA INFINITY NADO SERIE V CLASICA SURTI</t>
        </is>
      </c>
      <c r="G2411" t="n">
        <v>1</v>
      </c>
      <c r="H2411" s="7" t="n">
        <v>39.9</v>
      </c>
      <c r="I2411" s="7" t="n">
        <v>0</v>
      </c>
      <c r="J2411" s="7" t="n">
        <v>0</v>
      </c>
      <c r="K2411" s="9" t="n">
        <v>0</v>
      </c>
      <c r="L2411" s="10" t="n">
        <v>23.67</v>
      </c>
      <c r="M2411" s="10" t="n">
        <v>1.43</v>
      </c>
      <c r="N2411" t="inlineStr">
        <is>
          <t>1</t>
        </is>
      </c>
      <c r="O2411" t="inlineStr">
        <is>
          <t>16</t>
        </is>
      </c>
      <c r="P2411" t="inlineStr">
        <is>
          <t xml:space="preserve">247092  </t>
        </is>
      </c>
      <c r="Q2411" s="26" t="n">
        <v>35.53</v>
      </c>
      <c r="R2411" s="26">
        <f>Q2411*G2411</f>
        <v/>
      </c>
      <c r="S2411" s="26">
        <f>IFERROR(VLOOKUP(E2411*1,Tabla[#All],8,0),0)</f>
        <v/>
      </c>
      <c r="T2411" s="26">
        <f>S2411*G2411</f>
        <v/>
      </c>
      <c r="U2411" s="26">
        <f>R2411-T2411</f>
        <v/>
      </c>
      <c r="V2411" s="26">
        <f>U2411-L2411</f>
        <v/>
      </c>
    </row>
    <row r="2412">
      <c r="A2412" s="11" t="n">
        <v>46227</v>
      </c>
      <c r="B2412" s="1" t="n">
        <v>20049</v>
      </c>
      <c r="C2412" s="1" t="inlineStr">
        <is>
          <t>800</t>
        </is>
      </c>
      <c r="D2412" s="1" t="inlineStr">
        <is>
          <t xml:space="preserve">6637  </t>
        </is>
      </c>
      <c r="E2412" s="1" t="inlineStr">
        <is>
          <t xml:space="preserve">30141766       </t>
        </is>
      </c>
      <c r="F2412" s="5" t="inlineStr">
        <is>
          <t>TMZ BEAST MACHINES AUTOS DE METAL BLISTER X 1</t>
        </is>
      </c>
      <c r="G2412" t="n">
        <v>1</v>
      </c>
      <c r="H2412" s="7" t="n">
        <v>7.9</v>
      </c>
      <c r="I2412" s="7" t="n">
        <v>0</v>
      </c>
      <c r="J2412" s="7" t="n">
        <v>0</v>
      </c>
      <c r="K2412" s="9" t="n">
        <v>0</v>
      </c>
      <c r="L2412" s="10" t="n">
        <v>4.68</v>
      </c>
      <c r="M2412" s="10" t="n">
        <v>1.43</v>
      </c>
      <c r="N2412" t="inlineStr">
        <is>
          <t>1</t>
        </is>
      </c>
      <c r="O2412" t="inlineStr">
        <is>
          <t>16</t>
        </is>
      </c>
      <c r="P2412" t="inlineStr">
        <is>
          <t xml:space="preserve">0       </t>
        </is>
      </c>
      <c r="Q2412" s="26" t="n">
        <v>4.69</v>
      </c>
      <c r="R2412" s="26">
        <f>Q2412*G2412</f>
        <v/>
      </c>
      <c r="S2412" s="26">
        <f>IFERROR(VLOOKUP(E2412*1,Tabla[#All],8,0),0)</f>
        <v/>
      </c>
      <c r="T2412" s="26">
        <f>S2412*G2412</f>
        <v/>
      </c>
      <c r="U2412" s="26">
        <f>R2412-T2412</f>
        <v/>
      </c>
      <c r="V2412" s="26">
        <f>U2412-L2412</f>
        <v/>
      </c>
    </row>
    <row r="2413">
      <c r="A2413" s="11" t="n">
        <v>46227</v>
      </c>
      <c r="B2413" s="1" t="n">
        <v>20056</v>
      </c>
      <c r="C2413" s="1" t="inlineStr">
        <is>
          <t>021</t>
        </is>
      </c>
      <c r="D2413" s="1" t="inlineStr">
        <is>
          <t xml:space="preserve">52868 </t>
        </is>
      </c>
      <c r="E2413" s="1" t="inlineStr">
        <is>
          <t xml:space="preserve">28194781       </t>
        </is>
      </c>
      <c r="F2413" s="5" t="inlineStr">
        <is>
          <t>TROMPO BATALLA INFINITY NADO SERIE V CLASICA SURTI</t>
        </is>
      </c>
      <c r="G2413" t="n">
        <v>1</v>
      </c>
      <c r="H2413" s="7" t="n">
        <v>39.9</v>
      </c>
      <c r="I2413" s="7" t="n">
        <v>0</v>
      </c>
      <c r="J2413" s="7" t="n">
        <v>0</v>
      </c>
      <c r="K2413" s="9" t="n">
        <v>0</v>
      </c>
      <c r="L2413" s="10" t="n">
        <v>23.67</v>
      </c>
      <c r="M2413" s="10" t="n">
        <v>1.43</v>
      </c>
      <c r="N2413" t="inlineStr">
        <is>
          <t>1</t>
        </is>
      </c>
      <c r="O2413" t="inlineStr">
        <is>
          <t>16</t>
        </is>
      </c>
      <c r="P2413" t="inlineStr">
        <is>
          <t xml:space="preserve">250152  </t>
        </is>
      </c>
      <c r="Q2413" s="26" t="n">
        <v>35.53</v>
      </c>
      <c r="R2413" s="26">
        <f>Q2413*G2413</f>
        <v/>
      </c>
      <c r="S2413" s="26">
        <f>IFERROR(VLOOKUP(E2413*1,Tabla[#All],8,0),0)</f>
        <v/>
      </c>
      <c r="T2413" s="26">
        <f>S2413*G2413</f>
        <v/>
      </c>
      <c r="U2413" s="26">
        <f>R2413-T2413</f>
        <v/>
      </c>
      <c r="V2413" s="26">
        <f>U2413-L2413</f>
        <v/>
      </c>
    </row>
    <row r="2414">
      <c r="A2414" s="11" t="n">
        <v>46227</v>
      </c>
      <c r="B2414" s="1" t="n">
        <v>20057</v>
      </c>
      <c r="C2414" s="1" t="inlineStr">
        <is>
          <t>032</t>
        </is>
      </c>
      <c r="D2414" s="1" t="inlineStr">
        <is>
          <t xml:space="preserve">75705 </t>
        </is>
      </c>
      <c r="E2414" s="1" t="inlineStr">
        <is>
          <t xml:space="preserve">28194770       </t>
        </is>
      </c>
      <c r="F2414" s="5" t="inlineStr">
        <is>
          <t>AUTOS DE METAL 3 TEAMSTERZ EN BLISTER</t>
        </is>
      </c>
      <c r="G2414" t="n">
        <v>1</v>
      </c>
      <c r="H2414" s="7" t="n">
        <v>6.9</v>
      </c>
      <c r="I2414" s="7" t="n">
        <v>0</v>
      </c>
      <c r="J2414" s="7" t="n">
        <v>0</v>
      </c>
      <c r="K2414" s="9" t="n">
        <v>0</v>
      </c>
      <c r="L2414" s="10" t="n">
        <v>4.1</v>
      </c>
      <c r="M2414" s="10" t="n">
        <v>1.43</v>
      </c>
      <c r="N2414" t="inlineStr">
        <is>
          <t>1</t>
        </is>
      </c>
      <c r="O2414" t="inlineStr">
        <is>
          <t>16</t>
        </is>
      </c>
      <c r="P2414" t="inlineStr">
        <is>
          <t xml:space="preserve">62973   </t>
        </is>
      </c>
      <c r="Q2414" s="26" t="n">
        <v>4.09</v>
      </c>
      <c r="R2414" s="26">
        <f>Q2414*G2414</f>
        <v/>
      </c>
      <c r="S2414" s="26">
        <f>IFERROR(VLOOKUP(E2414*1,Tabla[#All],8,0),0)</f>
        <v/>
      </c>
      <c r="T2414" s="26">
        <f>S2414*G2414</f>
        <v/>
      </c>
      <c r="U2414" s="26">
        <f>R2414-T2414</f>
        <v/>
      </c>
      <c r="V2414" s="26">
        <f>U2414-L2414</f>
        <v/>
      </c>
    </row>
    <row r="2415">
      <c r="A2415" s="11" t="n">
        <v>46227</v>
      </c>
      <c r="B2415" s="1" t="n">
        <v>20057</v>
      </c>
      <c r="C2415" s="1" t="inlineStr">
        <is>
          <t>032</t>
        </is>
      </c>
      <c r="D2415" s="1" t="inlineStr">
        <is>
          <t xml:space="preserve">75705 </t>
        </is>
      </c>
      <c r="E2415" s="1" t="inlineStr">
        <is>
          <t xml:space="preserve">28194770       </t>
        </is>
      </c>
      <c r="F2415" s="5" t="inlineStr">
        <is>
          <t>AUTOS DE METAL 3 TEAMSTERZ EN BLISTER</t>
        </is>
      </c>
      <c r="G2415" t="n">
        <v>1</v>
      </c>
      <c r="H2415" s="7" t="n">
        <v>6.9</v>
      </c>
      <c r="I2415" s="7" t="n">
        <v>0</v>
      </c>
      <c r="J2415" s="7" t="n">
        <v>0</v>
      </c>
      <c r="K2415" s="9" t="n">
        <v>0</v>
      </c>
      <c r="L2415" s="10" t="n">
        <v>4.1</v>
      </c>
      <c r="M2415" s="10" t="n">
        <v>1.43</v>
      </c>
      <c r="N2415" t="inlineStr">
        <is>
          <t>1</t>
        </is>
      </c>
      <c r="O2415" t="inlineStr">
        <is>
          <t>16</t>
        </is>
      </c>
      <c r="P2415" t="inlineStr">
        <is>
          <t xml:space="preserve">62973   </t>
        </is>
      </c>
      <c r="Q2415" s="26" t="n">
        <v>4.09</v>
      </c>
      <c r="R2415" s="26">
        <f>Q2415*G2415</f>
        <v/>
      </c>
      <c r="S2415" s="26">
        <f>IFERROR(VLOOKUP(E2415*1,Tabla[#All],8,0),0)</f>
        <v/>
      </c>
      <c r="T2415" s="26">
        <f>S2415*G2415</f>
        <v/>
      </c>
      <c r="U2415" s="26">
        <f>R2415-T2415</f>
        <v/>
      </c>
      <c r="V2415" s="26">
        <f>U2415-L2415</f>
        <v/>
      </c>
    </row>
    <row r="2416">
      <c r="A2416" s="11" t="n">
        <v>46227</v>
      </c>
      <c r="B2416" s="1" t="n">
        <v>20057</v>
      </c>
      <c r="C2416" s="1" t="inlineStr">
        <is>
          <t>032</t>
        </is>
      </c>
      <c r="D2416" s="1" t="inlineStr">
        <is>
          <t xml:space="preserve">75705 </t>
        </is>
      </c>
      <c r="E2416" s="1" t="inlineStr">
        <is>
          <t xml:space="preserve">28194770       </t>
        </is>
      </c>
      <c r="F2416" s="5" t="inlineStr">
        <is>
          <t>AUTOS DE METAL 3 TEAMSTERZ EN BLISTER</t>
        </is>
      </c>
      <c r="G2416" t="n">
        <v>1</v>
      </c>
      <c r="H2416" s="7" t="n">
        <v>6.9</v>
      </c>
      <c r="I2416" s="7" t="n">
        <v>0</v>
      </c>
      <c r="J2416" s="7" t="n">
        <v>0</v>
      </c>
      <c r="K2416" s="9" t="n">
        <v>0</v>
      </c>
      <c r="L2416" s="10" t="n">
        <v>4.1</v>
      </c>
      <c r="M2416" s="10" t="n">
        <v>1.43</v>
      </c>
      <c r="N2416" t="inlineStr">
        <is>
          <t>1</t>
        </is>
      </c>
      <c r="O2416" t="inlineStr">
        <is>
          <t>16</t>
        </is>
      </c>
      <c r="P2416" t="inlineStr">
        <is>
          <t xml:space="preserve">62973   </t>
        </is>
      </c>
      <c r="Q2416" s="26" t="n">
        <v>4.09</v>
      </c>
      <c r="R2416" s="26">
        <f>Q2416*G2416</f>
        <v/>
      </c>
      <c r="S2416" s="26">
        <f>IFERROR(VLOOKUP(E2416*1,Tabla[#All],8,0),0)</f>
        <v/>
      </c>
      <c r="T2416" s="26">
        <f>S2416*G2416</f>
        <v/>
      </c>
      <c r="U2416" s="26">
        <f>R2416-T2416</f>
        <v/>
      </c>
      <c r="V2416" s="26">
        <f>U2416-L2416</f>
        <v/>
      </c>
    </row>
    <row r="2417">
      <c r="A2417" s="11" t="n">
        <v>46227</v>
      </c>
      <c r="B2417" s="1" t="n">
        <v>20057</v>
      </c>
      <c r="C2417" s="1" t="inlineStr">
        <is>
          <t>032</t>
        </is>
      </c>
      <c r="D2417" s="1" t="inlineStr">
        <is>
          <t xml:space="preserve">75744 </t>
        </is>
      </c>
      <c r="E2417" s="1" t="inlineStr">
        <is>
          <t xml:space="preserve">29235701       </t>
        </is>
      </c>
      <c r="F2417" s="5" t="inlineStr">
        <is>
          <t>INFINITY NADO TROMPO DE BATALLA - METAL EN CAJA</t>
        </is>
      </c>
      <c r="G2417" t="n">
        <v>1</v>
      </c>
      <c r="H2417" s="7" t="n">
        <v>29.9</v>
      </c>
      <c r="I2417" s="7" t="n">
        <v>0</v>
      </c>
      <c r="J2417" s="7" t="n">
        <v>0</v>
      </c>
      <c r="K2417" s="9" t="n">
        <v>0</v>
      </c>
      <c r="L2417" s="10" t="n">
        <v>17.74</v>
      </c>
      <c r="M2417" s="10" t="n">
        <v>1.43</v>
      </c>
      <c r="N2417" t="inlineStr">
        <is>
          <t>1</t>
        </is>
      </c>
      <c r="O2417" t="inlineStr">
        <is>
          <t>16</t>
        </is>
      </c>
      <c r="P2417" t="inlineStr">
        <is>
          <t xml:space="preserve">62973   </t>
        </is>
      </c>
      <c r="Q2417" s="26" t="n">
        <v>23.67</v>
      </c>
      <c r="R2417" s="26">
        <f>Q2417*G2417</f>
        <v/>
      </c>
      <c r="S2417" s="26">
        <f>IFERROR(VLOOKUP(E2417*1,Tabla[#All],8,0),0)</f>
        <v/>
      </c>
      <c r="T2417" s="26">
        <f>S2417*G2417</f>
        <v/>
      </c>
      <c r="U2417" s="26">
        <f>R2417-T2417</f>
        <v/>
      </c>
      <c r="V2417" s="26">
        <f>U2417-L2417</f>
        <v/>
      </c>
    </row>
    <row r="2418">
      <c r="A2418" s="11" t="n">
        <v>46227</v>
      </c>
      <c r="B2418" s="1" t="n">
        <v>20057</v>
      </c>
      <c r="C2418" s="1" t="inlineStr">
        <is>
          <t>032</t>
        </is>
      </c>
      <c r="D2418" s="1" t="inlineStr">
        <is>
          <t xml:space="preserve">75776 </t>
        </is>
      </c>
      <c r="E2418" s="1" t="inlineStr">
        <is>
          <t xml:space="preserve">28194780       </t>
        </is>
      </c>
      <c r="F2418" s="5" t="inlineStr">
        <is>
          <t>TROMPO BATALLA INFINITY NADO PLSTICO SURTIDO</t>
        </is>
      </c>
      <c r="G2418" t="n">
        <v>1</v>
      </c>
      <c r="H2418" s="7" t="n">
        <v>19.9</v>
      </c>
      <c r="I2418" s="7" t="n">
        <v>0</v>
      </c>
      <c r="J2418" s="7" t="n">
        <v>0</v>
      </c>
      <c r="K2418" s="9" t="n">
        <v>0</v>
      </c>
      <c r="L2418" s="10" t="n">
        <v>11.8</v>
      </c>
      <c r="M2418" s="10" t="n">
        <v>1.43</v>
      </c>
      <c r="N2418" t="inlineStr">
        <is>
          <t>1</t>
        </is>
      </c>
      <c r="O2418" t="inlineStr">
        <is>
          <t>16</t>
        </is>
      </c>
      <c r="P2418" t="inlineStr">
        <is>
          <t xml:space="preserve">62973   </t>
        </is>
      </c>
      <c r="Q2418" s="26" t="n">
        <v>11.81</v>
      </c>
      <c r="R2418" s="26">
        <f>Q2418*G2418</f>
        <v/>
      </c>
      <c r="S2418" s="26">
        <f>IFERROR(VLOOKUP(E2418*1,Tabla[#All],8,0),0)</f>
        <v/>
      </c>
      <c r="T2418" s="26">
        <f>S2418*G2418</f>
        <v/>
      </c>
      <c r="U2418" s="26">
        <f>R2418-T2418</f>
        <v/>
      </c>
      <c r="V2418" s="26">
        <f>U2418-L2418</f>
        <v/>
      </c>
    </row>
    <row r="2419">
      <c r="A2419" s="11" t="n">
        <v>46227</v>
      </c>
      <c r="B2419" s="1" t="n">
        <v>20057</v>
      </c>
      <c r="C2419" s="1" t="inlineStr">
        <is>
          <t>032</t>
        </is>
      </c>
      <c r="D2419" s="1" t="inlineStr">
        <is>
          <t xml:space="preserve">75776 </t>
        </is>
      </c>
      <c r="E2419" s="1" t="inlineStr">
        <is>
          <t xml:space="preserve">29235702       </t>
        </is>
      </c>
      <c r="F2419" s="5" t="inlineStr">
        <is>
          <t>INFINITY NADO TROMPO DE BATALLA - METAL C/ ANILLO</t>
        </is>
      </c>
      <c r="G2419" t="n">
        <v>1</v>
      </c>
      <c r="H2419" s="7" t="n">
        <v>49.9</v>
      </c>
      <c r="I2419" s="7" t="n">
        <v>0</v>
      </c>
      <c r="J2419" s="7" t="n">
        <v>0</v>
      </c>
      <c r="K2419" s="9" t="n">
        <v>0</v>
      </c>
      <c r="L2419" s="10" t="n">
        <v>29.6</v>
      </c>
      <c r="M2419" s="10" t="n">
        <v>1.43</v>
      </c>
      <c r="N2419" t="inlineStr">
        <is>
          <t>1</t>
        </is>
      </c>
      <c r="O2419" t="inlineStr">
        <is>
          <t>16</t>
        </is>
      </c>
      <c r="P2419" t="inlineStr">
        <is>
          <t xml:space="preserve">62973   </t>
        </is>
      </c>
      <c r="Q2419" s="26" t="n">
        <v>41.47</v>
      </c>
      <c r="R2419" s="26">
        <f>Q2419*G2419</f>
        <v/>
      </c>
      <c r="S2419" s="26">
        <f>IFERROR(VLOOKUP(E2419*1,Tabla[#All],8,0),0)</f>
        <v/>
      </c>
      <c r="T2419" s="26">
        <f>S2419*G2419</f>
        <v/>
      </c>
      <c r="U2419" s="26">
        <f>R2419-T2419</f>
        <v/>
      </c>
      <c r="V2419" s="26">
        <f>U2419-L2419</f>
        <v/>
      </c>
    </row>
    <row r="2420">
      <c r="A2420" s="11" t="n">
        <v>46227</v>
      </c>
      <c r="B2420" s="1" t="n">
        <v>20057</v>
      </c>
      <c r="C2420" s="1" t="inlineStr">
        <is>
          <t>033</t>
        </is>
      </c>
      <c r="D2420" s="1" t="inlineStr">
        <is>
          <t xml:space="preserve">68132 </t>
        </is>
      </c>
      <c r="E2420" s="1" t="inlineStr">
        <is>
          <t xml:space="preserve">33483123       </t>
        </is>
      </c>
      <c r="F2420" s="5" t="inlineStr">
        <is>
          <t>NENUCO DISFRACES</t>
        </is>
      </c>
      <c r="G2420" t="n">
        <v>1</v>
      </c>
      <c r="H2420" s="7" t="n">
        <v>69.90000000000001</v>
      </c>
      <c r="I2420" s="7" t="n">
        <v>0</v>
      </c>
      <c r="J2420" s="7" t="n">
        <v>0</v>
      </c>
      <c r="K2420" s="9" t="n">
        <v>0</v>
      </c>
      <c r="L2420" s="10" t="n">
        <v>41.47</v>
      </c>
      <c r="M2420" s="10" t="n">
        <v>1.43</v>
      </c>
      <c r="N2420" t="inlineStr">
        <is>
          <t>1</t>
        </is>
      </c>
      <c r="O2420" t="inlineStr">
        <is>
          <t>16</t>
        </is>
      </c>
      <c r="P2420" t="inlineStr">
        <is>
          <t xml:space="preserve">105593  </t>
        </is>
      </c>
      <c r="Q2420" s="26" t="n">
        <v>53.33</v>
      </c>
      <c r="R2420" s="26">
        <f>Q2420*G2420</f>
        <v/>
      </c>
      <c r="S2420" s="26">
        <f>IFERROR(VLOOKUP(E2420*1,Tabla[#All],8,0),0)</f>
        <v/>
      </c>
      <c r="T2420" s="26">
        <f>S2420*G2420</f>
        <v/>
      </c>
      <c r="U2420" s="26">
        <f>R2420-T2420</f>
        <v/>
      </c>
      <c r="V2420" s="26">
        <f>U2420-L2420</f>
        <v/>
      </c>
    </row>
    <row r="2421">
      <c r="A2421" s="11" t="n">
        <v>46227</v>
      </c>
      <c r="B2421" s="1" t="n">
        <v>20058</v>
      </c>
      <c r="C2421" s="1" t="inlineStr">
        <is>
          <t>032</t>
        </is>
      </c>
      <c r="D2421" s="1" t="inlineStr">
        <is>
          <t>208706</t>
        </is>
      </c>
      <c r="E2421" s="1" t="inlineStr">
        <is>
          <t xml:space="preserve">32457099       </t>
        </is>
      </c>
      <c r="F2421" s="5" t="inlineStr">
        <is>
          <t>TMZ BEAST MACHINES MONSTER JAWS A FRICCION BLISTER</t>
        </is>
      </c>
      <c r="G2421" t="n">
        <v>1</v>
      </c>
      <c r="H2421" s="7" t="n">
        <v>17.9</v>
      </c>
      <c r="I2421" s="7" t="n">
        <v>0</v>
      </c>
      <c r="J2421" s="7" t="n">
        <v>0</v>
      </c>
      <c r="K2421" s="9" t="n">
        <v>0</v>
      </c>
      <c r="L2421" s="10" t="n">
        <v>10.62</v>
      </c>
      <c r="M2421" s="10" t="n">
        <v>1.43</v>
      </c>
      <c r="N2421" t="inlineStr">
        <is>
          <t>1</t>
        </is>
      </c>
      <c r="O2421" t="inlineStr">
        <is>
          <t>16</t>
        </is>
      </c>
      <c r="P2421" t="inlineStr">
        <is>
          <t xml:space="preserve">248289  </t>
        </is>
      </c>
      <c r="Q2421" s="26" t="n">
        <v>11.81</v>
      </c>
      <c r="R2421" s="26">
        <f>Q2421*G2421</f>
        <v/>
      </c>
      <c r="S2421" s="26">
        <f>IFERROR(VLOOKUP(E2421*1,Tabla[#All],8,0),0)</f>
        <v/>
      </c>
      <c r="T2421" s="26">
        <f>S2421*G2421</f>
        <v/>
      </c>
      <c r="U2421" s="26">
        <f>R2421-T2421</f>
        <v/>
      </c>
      <c r="V2421" s="26">
        <f>U2421-L2421</f>
        <v/>
      </c>
    </row>
    <row r="2422">
      <c r="A2422" s="11" t="n">
        <v>46227</v>
      </c>
      <c r="B2422" s="1" t="n">
        <v>20058</v>
      </c>
      <c r="C2422" s="1" t="inlineStr">
        <is>
          <t>032</t>
        </is>
      </c>
      <c r="D2422" s="1" t="inlineStr">
        <is>
          <t>208735</t>
        </is>
      </c>
      <c r="E2422" s="1" t="inlineStr">
        <is>
          <t xml:space="preserve">28194768       </t>
        </is>
      </c>
      <c r="F2422" s="5" t="inlineStr">
        <is>
          <t>AUTO COLOR CHANGE TEAMSTERZ SURTIDO</t>
        </is>
      </c>
      <c r="G2422" t="n">
        <v>1</v>
      </c>
      <c r="H2422" s="7" t="n">
        <v>14.9</v>
      </c>
      <c r="I2422" s="7" t="n">
        <v>1.49</v>
      </c>
      <c r="J2422" s="7" t="n">
        <v>0</v>
      </c>
      <c r="K2422" s="9" t="n">
        <v>1.49</v>
      </c>
      <c r="L2422" s="10" t="n">
        <v>7.95</v>
      </c>
      <c r="M2422" s="10" t="n">
        <v>1.43</v>
      </c>
      <c r="N2422" t="inlineStr">
        <is>
          <t>1</t>
        </is>
      </c>
      <c r="O2422" t="inlineStr">
        <is>
          <t xml:space="preserve">3 </t>
        </is>
      </c>
      <c r="P2422" t="inlineStr">
        <is>
          <t xml:space="preserve">248289  </t>
        </is>
      </c>
      <c r="Q2422" s="26" t="n">
        <v>8.84</v>
      </c>
      <c r="R2422" s="26">
        <f>Q2422*G2422</f>
        <v/>
      </c>
      <c r="S2422" s="26">
        <f>IFERROR(VLOOKUP(E2422*1,Tabla[#All],8,0),0)</f>
        <v/>
      </c>
      <c r="T2422" s="26">
        <f>S2422*G2422</f>
        <v/>
      </c>
      <c r="U2422" s="26">
        <f>R2422-T2422</f>
        <v/>
      </c>
      <c r="V2422" s="26">
        <f>U2422-L2422</f>
        <v/>
      </c>
    </row>
    <row r="2423">
      <c r="A2423" s="11" t="n">
        <v>46227</v>
      </c>
      <c r="B2423" s="1" t="n">
        <v>20058</v>
      </c>
      <c r="C2423" s="1" t="inlineStr">
        <is>
          <t>032</t>
        </is>
      </c>
      <c r="D2423" s="1" t="inlineStr">
        <is>
          <t>208735</t>
        </is>
      </c>
      <c r="E2423" s="1" t="inlineStr">
        <is>
          <t xml:space="preserve">31959961       </t>
        </is>
      </c>
      <c r="F2423" s="5" t="inlineStr">
        <is>
          <t>TEAMSTERZ CAMBIA DE COLOR PACK DE 3 AUTOS</t>
        </is>
      </c>
      <c r="G2423" t="n">
        <v>1</v>
      </c>
      <c r="H2423" s="7" t="n">
        <v>49.9</v>
      </c>
      <c r="I2423" s="7" t="n">
        <v>4.99</v>
      </c>
      <c r="J2423" s="7" t="n">
        <v>0</v>
      </c>
      <c r="K2423" s="9" t="n">
        <v>4.99</v>
      </c>
      <c r="L2423" s="10" t="n">
        <v>26.64</v>
      </c>
      <c r="M2423" s="10" t="n">
        <v>1.43</v>
      </c>
      <c r="N2423" t="inlineStr">
        <is>
          <t>1</t>
        </is>
      </c>
      <c r="O2423" t="inlineStr">
        <is>
          <t xml:space="preserve">3 </t>
        </is>
      </c>
      <c r="P2423" t="inlineStr">
        <is>
          <t xml:space="preserve">248289  </t>
        </is>
      </c>
      <c r="Q2423" s="26" t="n">
        <v>29.6</v>
      </c>
      <c r="R2423" s="26">
        <f>Q2423*G2423</f>
        <v/>
      </c>
      <c r="S2423" s="26">
        <f>IFERROR(VLOOKUP(E2423*1,Tabla[#All],8,0),0)</f>
        <v/>
      </c>
      <c r="T2423" s="26">
        <f>S2423*G2423</f>
        <v/>
      </c>
      <c r="U2423" s="26">
        <f>R2423-T2423</f>
        <v/>
      </c>
      <c r="V2423" s="26">
        <f>U2423-L2423</f>
        <v/>
      </c>
    </row>
    <row r="2424">
      <c r="A2424" s="11" t="n">
        <v>46227</v>
      </c>
      <c r="B2424" s="1" t="n">
        <v>20058</v>
      </c>
      <c r="C2424" s="1" t="inlineStr">
        <is>
          <t>038</t>
        </is>
      </c>
      <c r="D2424" s="1" t="inlineStr">
        <is>
          <t>210381</t>
        </is>
      </c>
      <c r="E2424" s="1" t="inlineStr">
        <is>
          <t xml:space="preserve">34840526       </t>
        </is>
      </c>
      <c r="F2424" s="5" t="inlineStr">
        <is>
          <t>NENUCO ABRACITOS</t>
        </is>
      </c>
      <c r="G2424" t="n">
        <v>1</v>
      </c>
      <c r="H2424" s="7" t="n">
        <v>89.90000000000001</v>
      </c>
      <c r="I2424" s="7" t="n">
        <v>0</v>
      </c>
      <c r="J2424" s="7" t="n">
        <v>0</v>
      </c>
      <c r="K2424" s="9" t="n">
        <v>0</v>
      </c>
      <c r="L2424" s="10" t="n">
        <v>53.33</v>
      </c>
      <c r="M2424" s="10" t="n">
        <v>1.43</v>
      </c>
      <c r="N2424" t="inlineStr">
        <is>
          <t>1</t>
        </is>
      </c>
      <c r="O2424" t="inlineStr">
        <is>
          <t>16</t>
        </is>
      </c>
      <c r="P2424" t="inlineStr">
        <is>
          <t xml:space="preserve">94051   </t>
        </is>
      </c>
      <c r="Q2424" s="26" t="n">
        <v>70.59</v>
      </c>
      <c r="R2424" s="26">
        <f>Q2424*G2424</f>
        <v/>
      </c>
      <c r="S2424" s="26">
        <f>IFERROR(VLOOKUP(E2424*1,Tabla[#All],8,0),0)</f>
        <v/>
      </c>
      <c r="T2424" s="26">
        <f>S2424*G2424</f>
        <v/>
      </c>
      <c r="U2424" s="26">
        <f>R2424-T2424</f>
        <v/>
      </c>
      <c r="V2424" s="26">
        <f>U2424-L2424</f>
        <v/>
      </c>
    </row>
    <row r="2425">
      <c r="A2425" s="11" t="n">
        <v>46227</v>
      </c>
      <c r="B2425" s="1" t="n">
        <v>20058</v>
      </c>
      <c r="C2425" s="1" t="inlineStr">
        <is>
          <t>039</t>
        </is>
      </c>
      <c r="D2425" s="1" t="inlineStr">
        <is>
          <t>231574</t>
        </is>
      </c>
      <c r="E2425" s="1" t="inlineStr">
        <is>
          <t xml:space="preserve">31754675       </t>
        </is>
      </c>
      <c r="F2425" s="5" t="inlineStr">
        <is>
          <t>INFINITY NADO SERIE 6 STARTER PACK - 4 MODELOS</t>
        </is>
      </c>
      <c r="G2425" t="n">
        <v>1</v>
      </c>
      <c r="H2425" s="7" t="n">
        <v>49.9</v>
      </c>
      <c r="I2425" s="7" t="n">
        <v>0</v>
      </c>
      <c r="J2425" s="7" t="n">
        <v>0</v>
      </c>
      <c r="K2425" s="9" t="n">
        <v>0</v>
      </c>
      <c r="L2425" s="10" t="n">
        <v>29.6</v>
      </c>
      <c r="M2425" s="10" t="n">
        <v>1.43</v>
      </c>
      <c r="N2425" t="inlineStr">
        <is>
          <t>1</t>
        </is>
      </c>
      <c r="O2425" t="inlineStr">
        <is>
          <t>16</t>
        </is>
      </c>
      <c r="P2425" t="inlineStr">
        <is>
          <t xml:space="preserve">246156  </t>
        </is>
      </c>
      <c r="Q2425" s="26" t="n">
        <v>41.47</v>
      </c>
      <c r="R2425" s="26">
        <f>Q2425*G2425</f>
        <v/>
      </c>
      <c r="S2425" s="26">
        <f>IFERROR(VLOOKUP(E2425*1,Tabla[#All],8,0),0)</f>
        <v/>
      </c>
      <c r="T2425" s="26">
        <f>S2425*G2425</f>
        <v/>
      </c>
      <c r="U2425" s="26">
        <f>R2425-T2425</f>
        <v/>
      </c>
      <c r="V2425" s="26">
        <f>U2425-L2425</f>
        <v/>
      </c>
    </row>
    <row r="2426">
      <c r="A2426" s="11" t="n">
        <v>46227</v>
      </c>
      <c r="B2426" s="1" t="n">
        <v>20058</v>
      </c>
      <c r="C2426" s="1" t="inlineStr">
        <is>
          <t>039</t>
        </is>
      </c>
      <c r="D2426" s="1" t="inlineStr">
        <is>
          <t>231609</t>
        </is>
      </c>
      <c r="E2426" s="1" t="inlineStr">
        <is>
          <t xml:space="preserve">34840526       </t>
        </is>
      </c>
      <c r="F2426" s="5" t="inlineStr">
        <is>
          <t>NENUCO ABRACITOS</t>
        </is>
      </c>
      <c r="G2426" t="n">
        <v>1</v>
      </c>
      <c r="H2426" s="7" t="n">
        <v>89.90000000000001</v>
      </c>
      <c r="I2426" s="7" t="n">
        <v>0</v>
      </c>
      <c r="J2426" s="7" t="n">
        <v>0</v>
      </c>
      <c r="K2426" s="9" t="n">
        <v>0</v>
      </c>
      <c r="L2426" s="10" t="n">
        <v>53.33</v>
      </c>
      <c r="M2426" s="10" t="n">
        <v>1.43</v>
      </c>
      <c r="N2426" t="inlineStr">
        <is>
          <t>1</t>
        </is>
      </c>
      <c r="O2426" t="inlineStr">
        <is>
          <t>16</t>
        </is>
      </c>
      <c r="P2426" t="inlineStr">
        <is>
          <t xml:space="preserve">92832   </t>
        </is>
      </c>
      <c r="Q2426" s="26" t="n">
        <v>70.59</v>
      </c>
      <c r="R2426" s="26">
        <f>Q2426*G2426</f>
        <v/>
      </c>
      <c r="S2426" s="26">
        <f>IFERROR(VLOOKUP(E2426*1,Tabla[#All],8,0),0)</f>
        <v/>
      </c>
      <c r="T2426" s="26">
        <f>S2426*G2426</f>
        <v/>
      </c>
      <c r="U2426" s="26">
        <f>R2426-T2426</f>
        <v/>
      </c>
      <c r="V2426" s="26">
        <f>U2426-L2426</f>
        <v/>
      </c>
    </row>
    <row r="2427">
      <c r="A2427" s="11" t="n">
        <v>46227</v>
      </c>
      <c r="B2427" s="1" t="n">
        <v>20058</v>
      </c>
      <c r="C2427" s="1" t="inlineStr">
        <is>
          <t>803</t>
        </is>
      </c>
      <c r="D2427" s="1" t="inlineStr">
        <is>
          <t xml:space="preserve">2084  </t>
        </is>
      </c>
      <c r="E2427" s="1" t="inlineStr">
        <is>
          <t xml:space="preserve">28194768       </t>
        </is>
      </c>
      <c r="F2427" s="5" t="inlineStr">
        <is>
          <t>AUTO COLOR CHANGE TEAMSTERZ SURTIDO</t>
        </is>
      </c>
      <c r="G2427" t="n">
        <v>1</v>
      </c>
      <c r="H2427" s="7" t="n">
        <v>14.9</v>
      </c>
      <c r="I2427" s="7" t="n">
        <v>0</v>
      </c>
      <c r="J2427" s="7" t="n">
        <v>0</v>
      </c>
      <c r="K2427" s="9" t="n">
        <v>0</v>
      </c>
      <c r="L2427" s="10" t="n">
        <v>8.84</v>
      </c>
      <c r="M2427" s="10" t="n">
        <v>1.43</v>
      </c>
      <c r="N2427" t="inlineStr">
        <is>
          <t>1</t>
        </is>
      </c>
      <c r="O2427" t="inlineStr">
        <is>
          <t>16</t>
        </is>
      </c>
      <c r="P2427" t="inlineStr">
        <is>
          <t xml:space="preserve">250714  </t>
        </is>
      </c>
      <c r="Q2427" s="26" t="n">
        <v>8.84</v>
      </c>
      <c r="R2427" s="26">
        <f>Q2427*G2427</f>
        <v/>
      </c>
      <c r="S2427" s="26">
        <f>IFERROR(VLOOKUP(E2427*1,Tabla[#All],8,0),0)</f>
        <v/>
      </c>
      <c r="T2427" s="26">
        <f>S2427*G2427</f>
        <v/>
      </c>
      <c r="U2427" s="26">
        <f>R2427-T2427</f>
        <v/>
      </c>
      <c r="V2427" s="26">
        <f>U2427-L2427</f>
        <v/>
      </c>
    </row>
    <row r="2428">
      <c r="A2428" s="11" t="n">
        <v>46227</v>
      </c>
      <c r="B2428" s="1" t="n">
        <v>20062</v>
      </c>
      <c r="C2428" s="1" t="inlineStr">
        <is>
          <t>014</t>
        </is>
      </c>
      <c r="D2428" s="1" t="inlineStr">
        <is>
          <t>228875</t>
        </is>
      </c>
      <c r="E2428" s="1" t="inlineStr">
        <is>
          <t xml:space="preserve">35685067       </t>
        </is>
      </c>
      <c r="F2428" s="5" t="inlineStr">
        <is>
          <t>HOT WHEELS POWER SET 3 EN 1</t>
        </is>
      </c>
      <c r="G2428" t="n">
        <v>1</v>
      </c>
      <c r="H2428" s="7" t="n">
        <v>49.9</v>
      </c>
      <c r="I2428" s="7" t="n">
        <v>0</v>
      </c>
      <c r="J2428" s="7" t="n">
        <v>0</v>
      </c>
      <c r="K2428" s="9" t="n">
        <v>0</v>
      </c>
      <c r="L2428" s="10" t="n">
        <v>29.6</v>
      </c>
      <c r="M2428" s="10" t="n">
        <v>1.43</v>
      </c>
      <c r="N2428" t="inlineStr">
        <is>
          <t>1</t>
        </is>
      </c>
      <c r="O2428" t="inlineStr">
        <is>
          <t>16</t>
        </is>
      </c>
      <c r="P2428" t="inlineStr">
        <is>
          <t xml:space="preserve">57106   </t>
        </is>
      </c>
      <c r="Q2428" s="26" t="n">
        <v>29.6</v>
      </c>
      <c r="R2428" s="26">
        <f>Q2428*G2428</f>
        <v/>
      </c>
      <c r="S2428" s="26">
        <f>IFERROR(VLOOKUP(E2428*1,Tabla[#All],8,0),0)</f>
        <v/>
      </c>
      <c r="T2428" s="26">
        <f>S2428*G2428</f>
        <v/>
      </c>
      <c r="U2428" s="26">
        <f>R2428-T2428</f>
        <v/>
      </c>
      <c r="V2428" s="26">
        <f>U2428-L2428</f>
        <v/>
      </c>
    </row>
    <row r="2429">
      <c r="A2429" s="11" t="n">
        <v>46227</v>
      </c>
      <c r="B2429" s="1" t="n">
        <v>20062</v>
      </c>
      <c r="C2429" s="1" t="inlineStr">
        <is>
          <t>053</t>
        </is>
      </c>
      <c r="D2429" s="1" t="inlineStr">
        <is>
          <t>243850</t>
        </is>
      </c>
      <c r="E2429" s="1" t="inlineStr">
        <is>
          <t xml:space="preserve">31754676       </t>
        </is>
      </c>
      <c r="F2429" s="5" t="inlineStr">
        <is>
          <t>INFINITY NADO SERIE 6 STD PACK LANZ ESPAD ANILLO M</t>
        </is>
      </c>
      <c r="G2429" t="n">
        <v>1</v>
      </c>
      <c r="H2429" s="7" t="n">
        <v>59.9</v>
      </c>
      <c r="I2429" s="7" t="n">
        <v>0</v>
      </c>
      <c r="J2429" s="7" t="n">
        <v>0</v>
      </c>
      <c r="K2429" s="9" t="n">
        <v>0</v>
      </c>
      <c r="L2429" s="10" t="n">
        <v>35.53</v>
      </c>
      <c r="M2429" s="10" t="n">
        <v>1.43</v>
      </c>
      <c r="N2429" t="inlineStr">
        <is>
          <t>1</t>
        </is>
      </c>
      <c r="O2429" t="inlineStr">
        <is>
          <t xml:space="preserve">2 </t>
        </is>
      </c>
      <c r="P2429" t="inlineStr">
        <is>
          <t xml:space="preserve">237521  </t>
        </is>
      </c>
      <c r="Q2429" s="26" t="n">
        <v>47.4</v>
      </c>
      <c r="R2429" s="26">
        <f>Q2429*G2429</f>
        <v/>
      </c>
      <c r="S2429" s="26">
        <f>IFERROR(VLOOKUP(E2429*1,Tabla[#All],8,0),0)</f>
        <v/>
      </c>
      <c r="T2429" s="26">
        <f>S2429*G2429</f>
        <v/>
      </c>
      <c r="U2429" s="26">
        <f>R2429-T2429</f>
        <v/>
      </c>
      <c r="V2429" s="26">
        <f>U2429-L2429</f>
        <v/>
      </c>
    </row>
    <row r="2430">
      <c r="A2430" s="11" t="n">
        <v>46227</v>
      </c>
      <c r="B2430" s="1" t="n">
        <v>20069</v>
      </c>
      <c r="C2430" s="1" t="inlineStr">
        <is>
          <t>024</t>
        </is>
      </c>
      <c r="D2430" s="1" t="inlineStr">
        <is>
          <t>105543</t>
        </is>
      </c>
      <c r="E2430" s="1" t="inlineStr">
        <is>
          <t xml:space="preserve">28194770       </t>
        </is>
      </c>
      <c r="F2430" s="5" t="inlineStr">
        <is>
          <t>AUTOS DE METAL 3 TEAMSTERZ EN BLISTER</t>
        </is>
      </c>
      <c r="G2430" t="n">
        <v>1</v>
      </c>
      <c r="H2430" s="7" t="n">
        <v>6.9</v>
      </c>
      <c r="I2430" s="7" t="n">
        <v>0</v>
      </c>
      <c r="J2430" s="7" t="n">
        <v>0</v>
      </c>
      <c r="K2430" s="9" t="n">
        <v>0</v>
      </c>
      <c r="L2430" s="10" t="n">
        <v>4.1</v>
      </c>
      <c r="M2430" s="10" t="n">
        <v>1.43</v>
      </c>
      <c r="N2430" t="inlineStr">
        <is>
          <t>1</t>
        </is>
      </c>
      <c r="O2430" t="inlineStr">
        <is>
          <t>16</t>
        </is>
      </c>
      <c r="P2430" t="inlineStr">
        <is>
          <t xml:space="preserve">247842  </t>
        </is>
      </c>
      <c r="Q2430" s="26" t="n">
        <v>4.09</v>
      </c>
      <c r="R2430" s="26">
        <f>Q2430*G2430</f>
        <v/>
      </c>
      <c r="S2430" s="26">
        <f>IFERROR(VLOOKUP(E2430*1,Tabla[#All],8,0),0)</f>
        <v/>
      </c>
      <c r="T2430" s="26">
        <f>S2430*G2430</f>
        <v/>
      </c>
      <c r="U2430" s="26">
        <f>R2430-T2430</f>
        <v/>
      </c>
      <c r="V2430" s="26">
        <f>U2430-L2430</f>
        <v/>
      </c>
    </row>
    <row r="2431">
      <c r="A2431" s="11" t="n">
        <v>46227</v>
      </c>
      <c r="B2431" s="1" t="n">
        <v>20069</v>
      </c>
      <c r="C2431" s="1" t="inlineStr">
        <is>
          <t>026</t>
        </is>
      </c>
      <c r="D2431" s="1" t="inlineStr">
        <is>
          <t>360146</t>
        </is>
      </c>
      <c r="E2431" s="1" t="inlineStr">
        <is>
          <t xml:space="preserve">28194769       </t>
        </is>
      </c>
      <c r="F2431" s="5" t="inlineStr">
        <is>
          <t>AUTOS DE METAL 3 TEAMSTERZ PACK DE 2</t>
        </is>
      </c>
      <c r="G2431" t="n">
        <v>1</v>
      </c>
      <c r="H2431" s="7" t="n">
        <v>13.8</v>
      </c>
      <c r="I2431" s="7" t="n">
        <v>0</v>
      </c>
      <c r="J2431" s="7" t="n">
        <v>0</v>
      </c>
      <c r="K2431" s="9" t="n">
        <v>0</v>
      </c>
      <c r="L2431" s="10" t="n">
        <v>8.18</v>
      </c>
      <c r="M2431" s="10" t="n">
        <v>1.43</v>
      </c>
      <c r="N2431" t="inlineStr">
        <is>
          <t>1</t>
        </is>
      </c>
      <c r="O2431" t="inlineStr">
        <is>
          <t xml:space="preserve">2 </t>
        </is>
      </c>
      <c r="P2431" t="inlineStr">
        <is>
          <t xml:space="preserve">249780  </t>
        </is>
      </c>
      <c r="Q2431" s="26" t="n">
        <v>8.19</v>
      </c>
      <c r="R2431" s="26">
        <f>Q2431*G2431</f>
        <v/>
      </c>
      <c r="S2431" s="26">
        <f>IFERROR(VLOOKUP(E2431*1,Tabla[#All],8,0),0)</f>
        <v/>
      </c>
      <c r="T2431" s="26">
        <f>S2431*G2431</f>
        <v/>
      </c>
      <c r="U2431" s="26">
        <f>R2431-T2431</f>
        <v/>
      </c>
      <c r="V2431" s="26">
        <f>U2431-L2431</f>
        <v/>
      </c>
    </row>
    <row r="2432">
      <c r="A2432" s="11" t="n">
        <v>46227</v>
      </c>
      <c r="B2432" s="1" t="n">
        <v>20069</v>
      </c>
      <c r="C2432" s="1" t="inlineStr">
        <is>
          <t>801</t>
        </is>
      </c>
      <c r="D2432" s="1" t="inlineStr">
        <is>
          <t xml:space="preserve">1665  </t>
        </is>
      </c>
      <c r="E2432" s="1" t="inlineStr">
        <is>
          <t xml:space="preserve">30141780       </t>
        </is>
      </c>
      <c r="F2432" s="5" t="inlineStr">
        <is>
          <t>RELOJ DIGITAL PEPPA PIG</t>
        </is>
      </c>
      <c r="G2432" t="n">
        <v>1</v>
      </c>
      <c r="H2432" s="7" t="n">
        <v>18.9</v>
      </c>
      <c r="I2432" s="7" t="n">
        <v>0</v>
      </c>
      <c r="J2432" s="7" t="n">
        <v>0</v>
      </c>
      <c r="K2432" s="9" t="n">
        <v>0</v>
      </c>
      <c r="L2432" s="10" t="n">
        <v>11.21</v>
      </c>
      <c r="M2432" s="10" t="n">
        <v>1.43</v>
      </c>
      <c r="N2432" t="inlineStr">
        <is>
          <t>1</t>
        </is>
      </c>
      <c r="O2432" t="inlineStr">
        <is>
          <t>16</t>
        </is>
      </c>
      <c r="P2432" t="inlineStr">
        <is>
          <t xml:space="preserve">0       </t>
        </is>
      </c>
      <c r="Q2432" s="26" t="n">
        <v>11.21</v>
      </c>
      <c r="R2432" s="26">
        <f>Q2432*G2432</f>
        <v/>
      </c>
      <c r="S2432" s="26">
        <f>IFERROR(VLOOKUP(E2432*1,Tabla[#All],8,0),0)</f>
        <v/>
      </c>
      <c r="T2432" s="26">
        <f>S2432*G2432</f>
        <v/>
      </c>
      <c r="U2432" s="26">
        <f>R2432-T2432</f>
        <v/>
      </c>
      <c r="V2432" s="26">
        <f>U2432-L2432</f>
        <v/>
      </c>
    </row>
    <row r="2433">
      <c r="A2433" s="11" t="n">
        <v>46227</v>
      </c>
      <c r="B2433" s="1" t="n">
        <v>20073</v>
      </c>
      <c r="C2433" s="1" t="inlineStr">
        <is>
          <t>046</t>
        </is>
      </c>
      <c r="D2433" s="1" t="inlineStr">
        <is>
          <t>207876</t>
        </is>
      </c>
      <c r="E2433" s="1" t="inlineStr">
        <is>
          <t xml:space="preserve">32457099       </t>
        </is>
      </c>
      <c r="F2433" s="5" t="inlineStr">
        <is>
          <t>TMZ BEAST MACHINES MONSTER JAWS A FRICCION BLISTER</t>
        </is>
      </c>
      <c r="G2433" t="n">
        <v>1</v>
      </c>
      <c r="H2433" s="7" t="n">
        <v>17.9</v>
      </c>
      <c r="I2433" s="7" t="n">
        <v>0</v>
      </c>
      <c r="J2433" s="7" t="n">
        <v>0</v>
      </c>
      <c r="K2433" s="9" t="n">
        <v>0</v>
      </c>
      <c r="L2433" s="10" t="n">
        <v>10.62</v>
      </c>
      <c r="M2433" s="10" t="n">
        <v>1.43</v>
      </c>
      <c r="N2433" t="inlineStr">
        <is>
          <t>1</t>
        </is>
      </c>
      <c r="O2433" t="inlineStr">
        <is>
          <t xml:space="preserve">2 </t>
        </is>
      </c>
      <c r="P2433" t="inlineStr">
        <is>
          <t xml:space="preserve">74879   </t>
        </is>
      </c>
      <c r="Q2433" s="26" t="n">
        <v>11.81</v>
      </c>
      <c r="R2433" s="26">
        <f>Q2433*G2433</f>
        <v/>
      </c>
      <c r="S2433" s="26">
        <f>IFERROR(VLOOKUP(E2433*1,Tabla[#All],8,0),0)</f>
        <v/>
      </c>
      <c r="T2433" s="26">
        <f>S2433*G2433</f>
        <v/>
      </c>
      <c r="U2433" s="26">
        <f>R2433-T2433</f>
        <v/>
      </c>
      <c r="V2433" s="26">
        <f>U2433-L2433</f>
        <v/>
      </c>
    </row>
    <row r="2434">
      <c r="A2434" s="11" t="n">
        <v>46227</v>
      </c>
      <c r="B2434" s="1" t="n">
        <v>20074</v>
      </c>
      <c r="C2434" s="1" t="inlineStr">
        <is>
          <t>048</t>
        </is>
      </c>
      <c r="D2434" s="1" t="inlineStr">
        <is>
          <t>145705</t>
        </is>
      </c>
      <c r="E2434" s="1" t="inlineStr">
        <is>
          <t xml:space="preserve">28194770       </t>
        </is>
      </c>
      <c r="F2434" s="5" t="inlineStr">
        <is>
          <t>AUTOS DE METAL 3 TEAMSTERZ EN BLISTER</t>
        </is>
      </c>
      <c r="G2434" t="n">
        <v>1</v>
      </c>
      <c r="H2434" s="7" t="n">
        <v>6.9</v>
      </c>
      <c r="I2434" s="7" t="n">
        <v>0</v>
      </c>
      <c r="J2434" s="7" t="n">
        <v>0</v>
      </c>
      <c r="K2434" s="9" t="n">
        <v>0</v>
      </c>
      <c r="L2434" s="10" t="n">
        <v>4.1</v>
      </c>
      <c r="M2434" s="10" t="n">
        <v>1.43</v>
      </c>
      <c r="N2434" t="inlineStr">
        <is>
          <t>1</t>
        </is>
      </c>
      <c r="O2434" t="inlineStr">
        <is>
          <t>16</t>
        </is>
      </c>
      <c r="P2434" t="inlineStr">
        <is>
          <t xml:space="preserve">250534  </t>
        </is>
      </c>
      <c r="Q2434" s="26" t="n">
        <v>4.09</v>
      </c>
      <c r="R2434" s="26">
        <f>Q2434*G2434</f>
        <v/>
      </c>
      <c r="S2434" s="26">
        <f>IFERROR(VLOOKUP(E2434*1,Tabla[#All],8,0),0)</f>
        <v/>
      </c>
      <c r="T2434" s="26">
        <f>S2434*G2434</f>
        <v/>
      </c>
      <c r="U2434" s="26">
        <f>R2434-T2434</f>
        <v/>
      </c>
      <c r="V2434" s="26">
        <f>U2434-L2434</f>
        <v/>
      </c>
    </row>
    <row r="2435">
      <c r="A2435" s="11" t="n">
        <v>46227</v>
      </c>
      <c r="B2435" s="1" t="n">
        <v>20077</v>
      </c>
      <c r="C2435" s="1" t="inlineStr">
        <is>
          <t>029</t>
        </is>
      </c>
      <c r="D2435" s="1" t="inlineStr">
        <is>
          <t>156807</t>
        </is>
      </c>
      <c r="E2435" s="1" t="inlineStr">
        <is>
          <t xml:space="preserve">31754676       </t>
        </is>
      </c>
      <c r="F2435" s="5" t="inlineStr">
        <is>
          <t>INFINITY NADO SERIE 6 STD PACK LANZ ESPAD ANILLO M</t>
        </is>
      </c>
      <c r="G2435" t="n">
        <v>1</v>
      </c>
      <c r="H2435" s="7" t="n">
        <v>59.9</v>
      </c>
      <c r="I2435" s="7" t="n">
        <v>0</v>
      </c>
      <c r="J2435" s="7" t="n">
        <v>0</v>
      </c>
      <c r="K2435" s="9" t="n">
        <v>0</v>
      </c>
      <c r="L2435" s="10" t="n">
        <v>35.53</v>
      </c>
      <c r="M2435" s="10" t="n">
        <v>1.43</v>
      </c>
      <c r="N2435" t="inlineStr">
        <is>
          <t>1</t>
        </is>
      </c>
      <c r="O2435" t="inlineStr">
        <is>
          <t>16</t>
        </is>
      </c>
      <c r="P2435" t="inlineStr">
        <is>
          <t xml:space="preserve">43639   </t>
        </is>
      </c>
      <c r="Q2435" s="26" t="n">
        <v>47.4</v>
      </c>
      <c r="R2435" s="26">
        <f>Q2435*G2435</f>
        <v/>
      </c>
      <c r="S2435" s="26">
        <f>IFERROR(VLOOKUP(E2435*1,Tabla[#All],8,0),0)</f>
        <v/>
      </c>
      <c r="T2435" s="26">
        <f>S2435*G2435</f>
        <v/>
      </c>
      <c r="U2435" s="26">
        <f>R2435-T2435</f>
        <v/>
      </c>
      <c r="V2435" s="26">
        <f>U2435-L2435</f>
        <v/>
      </c>
    </row>
    <row r="2436">
      <c r="A2436" s="11" t="n">
        <v>46227</v>
      </c>
      <c r="B2436" s="1" t="n">
        <v>20077</v>
      </c>
      <c r="C2436" s="1" t="inlineStr">
        <is>
          <t>031</t>
        </is>
      </c>
      <c r="D2436" s="1" t="inlineStr">
        <is>
          <t>186649</t>
        </is>
      </c>
      <c r="E2436" s="1" t="inlineStr">
        <is>
          <t xml:space="preserve">28194769       </t>
        </is>
      </c>
      <c r="F2436" s="5" t="inlineStr">
        <is>
          <t>AUTOS DE METAL 3 TEAMSTERZ PACK DE 2</t>
        </is>
      </c>
      <c r="G2436" t="n">
        <v>1</v>
      </c>
      <c r="H2436" s="7" t="n">
        <v>13.8</v>
      </c>
      <c r="I2436" s="7" t="n">
        <v>0</v>
      </c>
      <c r="J2436" s="7" t="n">
        <v>0</v>
      </c>
      <c r="K2436" s="9" t="n">
        <v>0</v>
      </c>
      <c r="L2436" s="10" t="n">
        <v>8.18</v>
      </c>
      <c r="M2436" s="10" t="n">
        <v>1.43</v>
      </c>
      <c r="N2436" t="inlineStr">
        <is>
          <t>1</t>
        </is>
      </c>
      <c r="O2436" t="inlineStr">
        <is>
          <t xml:space="preserve">2 </t>
        </is>
      </c>
      <c r="P2436" t="inlineStr">
        <is>
          <t xml:space="preserve">238746  </t>
        </is>
      </c>
      <c r="Q2436" s="26" t="n">
        <v>8.19</v>
      </c>
      <c r="R2436" s="26">
        <f>Q2436*G2436</f>
        <v/>
      </c>
      <c r="S2436" s="26">
        <f>IFERROR(VLOOKUP(E2436*1,Tabla[#All],8,0),0)</f>
        <v/>
      </c>
      <c r="T2436" s="26">
        <f>S2436*G2436</f>
        <v/>
      </c>
      <c r="U2436" s="26">
        <f>R2436-T2436</f>
        <v/>
      </c>
      <c r="V2436" s="26">
        <f>U2436-L2436</f>
        <v/>
      </c>
    </row>
    <row r="2437">
      <c r="A2437" s="11" t="n">
        <v>46227</v>
      </c>
      <c r="B2437" s="1" t="n">
        <v>20077</v>
      </c>
      <c r="C2437" s="1" t="inlineStr">
        <is>
          <t>031</t>
        </is>
      </c>
      <c r="D2437" s="1" t="inlineStr">
        <is>
          <t>186649</t>
        </is>
      </c>
      <c r="E2437" s="1" t="inlineStr">
        <is>
          <t xml:space="preserve">28194780       </t>
        </is>
      </c>
      <c r="F2437" s="5" t="inlineStr">
        <is>
          <t>TROMPO BATALLA INFINITY NADO PLSTICO SURTIDO</t>
        </is>
      </c>
      <c r="G2437" t="n">
        <v>1</v>
      </c>
      <c r="H2437" s="7" t="n">
        <v>19.9</v>
      </c>
      <c r="I2437" s="7" t="n">
        <v>0</v>
      </c>
      <c r="J2437" s="7" t="n">
        <v>0</v>
      </c>
      <c r="K2437" s="9" t="n">
        <v>0</v>
      </c>
      <c r="L2437" s="10" t="n">
        <v>11.8</v>
      </c>
      <c r="M2437" s="10" t="n">
        <v>1.43</v>
      </c>
      <c r="N2437" t="inlineStr">
        <is>
          <t>1</t>
        </is>
      </c>
      <c r="O2437" t="inlineStr">
        <is>
          <t xml:space="preserve">2 </t>
        </is>
      </c>
      <c r="P2437" t="inlineStr">
        <is>
          <t xml:space="preserve">238746  </t>
        </is>
      </c>
      <c r="Q2437" s="26" t="n">
        <v>11.81</v>
      </c>
      <c r="R2437" s="26">
        <f>Q2437*G2437</f>
        <v/>
      </c>
      <c r="S2437" s="26">
        <f>IFERROR(VLOOKUP(E2437*1,Tabla[#All],8,0),0)</f>
        <v/>
      </c>
      <c r="T2437" s="26">
        <f>S2437*G2437</f>
        <v/>
      </c>
      <c r="U2437" s="26">
        <f>R2437-T2437</f>
        <v/>
      </c>
      <c r="V2437" s="26">
        <f>U2437-L2437</f>
        <v/>
      </c>
    </row>
    <row r="2438">
      <c r="A2438" s="11" t="n">
        <v>46227</v>
      </c>
      <c r="B2438" s="1" t="n">
        <v>20077</v>
      </c>
      <c r="C2438" s="1" t="inlineStr">
        <is>
          <t>039</t>
        </is>
      </c>
      <c r="D2438" s="1" t="inlineStr">
        <is>
          <t>279972</t>
        </is>
      </c>
      <c r="E2438" s="1" t="inlineStr">
        <is>
          <t xml:space="preserve">30232284       </t>
        </is>
      </c>
      <c r="F2438" s="5" t="inlineStr">
        <is>
          <t>INFINITY NADO TROMPO DE BATALLA - METAL C/PUNTA DE</t>
        </is>
      </c>
      <c r="G2438" t="n">
        <v>1</v>
      </c>
      <c r="H2438" s="7" t="n">
        <v>34.9</v>
      </c>
      <c r="I2438" s="7" t="n">
        <v>0</v>
      </c>
      <c r="J2438" s="7" t="n">
        <v>0</v>
      </c>
      <c r="K2438" s="9" t="n">
        <v>0</v>
      </c>
      <c r="L2438" s="10" t="n">
        <v>20.71</v>
      </c>
      <c r="M2438" s="10" t="n">
        <v>1.43</v>
      </c>
      <c r="N2438" t="inlineStr">
        <is>
          <t>1</t>
        </is>
      </c>
      <c r="O2438" t="inlineStr">
        <is>
          <t>16</t>
        </is>
      </c>
      <c r="P2438" t="inlineStr">
        <is>
          <t xml:space="preserve">43863   </t>
        </is>
      </c>
      <c r="Q2438" s="26" t="n">
        <v>29.6</v>
      </c>
      <c r="R2438" s="26">
        <f>Q2438*G2438</f>
        <v/>
      </c>
      <c r="S2438" s="26">
        <f>IFERROR(VLOOKUP(E2438*1,Tabla[#All],8,0),0)</f>
        <v/>
      </c>
      <c r="T2438" s="26">
        <f>S2438*G2438</f>
        <v/>
      </c>
      <c r="U2438" s="26">
        <f>R2438-T2438</f>
        <v/>
      </c>
      <c r="V2438" s="26">
        <f>U2438-L2438</f>
        <v/>
      </c>
    </row>
    <row r="2439">
      <c r="A2439" s="11" t="n">
        <v>46227</v>
      </c>
      <c r="B2439" s="1" t="n">
        <v>20080</v>
      </c>
      <c r="C2439" s="1" t="inlineStr">
        <is>
          <t>029</t>
        </is>
      </c>
      <c r="D2439" s="1" t="inlineStr">
        <is>
          <t>226249</t>
        </is>
      </c>
      <c r="E2439" s="1" t="inlineStr">
        <is>
          <t xml:space="preserve">33483116       </t>
        </is>
      </c>
      <c r="F2439" s="5" t="inlineStr">
        <is>
          <t>MUNECA EVI LOVE GATO + COCHE + ACC.</t>
        </is>
      </c>
      <c r="G2439" t="n">
        <v>1</v>
      </c>
      <c r="H2439" s="7" t="n">
        <v>20.94</v>
      </c>
      <c r="I2439" s="7" t="n">
        <v>2.09</v>
      </c>
      <c r="J2439" s="7" t="n">
        <v>0</v>
      </c>
      <c r="K2439" s="9" t="n">
        <v>2.09</v>
      </c>
      <c r="L2439" s="10" t="n">
        <v>11.18</v>
      </c>
      <c r="M2439" s="10" t="n">
        <v>1.43</v>
      </c>
      <c r="N2439" t="inlineStr">
        <is>
          <t>1</t>
        </is>
      </c>
      <c r="O2439" t="inlineStr">
        <is>
          <t xml:space="preserve">3 </t>
        </is>
      </c>
      <c r="P2439" t="inlineStr">
        <is>
          <t xml:space="preserve">79951   </t>
        </is>
      </c>
      <c r="Q2439" s="26" t="n">
        <v>20.7</v>
      </c>
      <c r="R2439" s="26">
        <f>Q2439*G2439</f>
        <v/>
      </c>
      <c r="S2439" s="26">
        <f>IFERROR(VLOOKUP(E2439*1,Tabla[#All],8,0),0)</f>
        <v/>
      </c>
      <c r="T2439" s="26">
        <f>S2439*G2439</f>
        <v/>
      </c>
      <c r="U2439" s="26">
        <f>R2439-T2439</f>
        <v/>
      </c>
      <c r="V2439" s="26">
        <f>U2439-L2439</f>
        <v/>
      </c>
    </row>
    <row r="2440">
      <c r="A2440" s="11" t="n">
        <v>46227</v>
      </c>
      <c r="B2440" s="1" t="n">
        <v>20086</v>
      </c>
      <c r="C2440" s="1" t="inlineStr">
        <is>
          <t>014</t>
        </is>
      </c>
      <c r="D2440" s="1" t="inlineStr">
        <is>
          <t>127418</t>
        </is>
      </c>
      <c r="E2440" s="1" t="inlineStr">
        <is>
          <t xml:space="preserve">28194770       </t>
        </is>
      </c>
      <c r="F2440" s="5" t="inlineStr">
        <is>
          <t>AUTOS DE METAL 3 TEAMSTERZ EN BLISTER</t>
        </is>
      </c>
      <c r="G2440" t="n">
        <v>1</v>
      </c>
      <c r="H2440" s="7" t="n">
        <v>6.9</v>
      </c>
      <c r="I2440" s="7" t="n">
        <v>0</v>
      </c>
      <c r="J2440" s="7" t="n">
        <v>0</v>
      </c>
      <c r="K2440" s="9" t="n">
        <v>0</v>
      </c>
      <c r="L2440" s="10" t="n">
        <v>4.1</v>
      </c>
      <c r="M2440" s="10" t="n">
        <v>1.43</v>
      </c>
      <c r="N2440" t="inlineStr">
        <is>
          <t>1</t>
        </is>
      </c>
      <c r="O2440" t="inlineStr">
        <is>
          <t xml:space="preserve">2 </t>
        </is>
      </c>
      <c r="P2440" t="inlineStr">
        <is>
          <t xml:space="preserve">74697   </t>
        </is>
      </c>
      <c r="Q2440" s="26" t="n">
        <v>4.09</v>
      </c>
      <c r="R2440" s="26">
        <f>Q2440*G2440</f>
        <v/>
      </c>
      <c r="S2440" s="26">
        <f>IFERROR(VLOOKUP(E2440*1,Tabla[#All],8,0),0)</f>
        <v/>
      </c>
      <c r="T2440" s="26">
        <f>S2440*G2440</f>
        <v/>
      </c>
      <c r="U2440" s="26">
        <f>R2440-T2440</f>
        <v/>
      </c>
      <c r="V2440" s="26">
        <f>U2440-L2440</f>
        <v/>
      </c>
    </row>
    <row r="2441">
      <c r="A2441" s="11" t="n">
        <v>46227</v>
      </c>
      <c r="B2441" s="1" t="n">
        <v>20086</v>
      </c>
      <c r="C2441" s="1" t="inlineStr">
        <is>
          <t>022</t>
        </is>
      </c>
      <c r="D2441" s="1" t="inlineStr">
        <is>
          <t>113412</t>
        </is>
      </c>
      <c r="E2441" s="1" t="inlineStr">
        <is>
          <t xml:space="preserve">28194770       </t>
        </is>
      </c>
      <c r="F2441" s="5" t="inlineStr">
        <is>
          <t>AUTOS DE METAL 3 TEAMSTERZ EN BLISTER</t>
        </is>
      </c>
      <c r="G2441" t="n">
        <v>1</v>
      </c>
      <c r="H2441" s="7" t="n">
        <v>6.9</v>
      </c>
      <c r="I2441" s="7" t="n">
        <v>0</v>
      </c>
      <c r="J2441" s="7" t="n">
        <v>0</v>
      </c>
      <c r="K2441" s="9" t="n">
        <v>0</v>
      </c>
      <c r="L2441" s="10" t="n">
        <v>4.1</v>
      </c>
      <c r="M2441" s="10" t="n">
        <v>1.43</v>
      </c>
      <c r="N2441" t="inlineStr">
        <is>
          <t>1</t>
        </is>
      </c>
      <c r="O2441" t="inlineStr">
        <is>
          <t xml:space="preserve">2 </t>
        </is>
      </c>
      <c r="P2441" t="inlineStr">
        <is>
          <t xml:space="preserve">109714  </t>
        </is>
      </c>
      <c r="Q2441" s="26" t="n">
        <v>4.09</v>
      </c>
      <c r="R2441" s="26">
        <f>Q2441*G2441</f>
        <v/>
      </c>
      <c r="S2441" s="26">
        <f>IFERROR(VLOOKUP(E2441*1,Tabla[#All],8,0),0)</f>
        <v/>
      </c>
      <c r="T2441" s="26">
        <f>S2441*G2441</f>
        <v/>
      </c>
      <c r="U2441" s="26">
        <f>R2441-T2441</f>
        <v/>
      </c>
      <c r="V2441" s="26">
        <f>U2441-L2441</f>
        <v/>
      </c>
    </row>
    <row r="2442">
      <c r="A2442" s="11" t="n">
        <v>46227</v>
      </c>
      <c r="B2442" s="1" t="n">
        <v>20088</v>
      </c>
      <c r="C2442" s="1" t="inlineStr">
        <is>
          <t>021</t>
        </is>
      </c>
      <c r="D2442" s="1" t="inlineStr">
        <is>
          <t xml:space="preserve">49999 </t>
        </is>
      </c>
      <c r="E2442" s="1" t="inlineStr">
        <is>
          <t xml:space="preserve">28194769       </t>
        </is>
      </c>
      <c r="F2442" s="5" t="inlineStr">
        <is>
          <t>AUTOS DE METAL 3 TEAMSTERZ PACK DE 2</t>
        </is>
      </c>
      <c r="G2442" t="n">
        <v>1</v>
      </c>
      <c r="H2442" s="7" t="n">
        <v>13.8</v>
      </c>
      <c r="I2442" s="7" t="n">
        <v>0</v>
      </c>
      <c r="J2442" s="7" t="n">
        <v>0</v>
      </c>
      <c r="K2442" s="9" t="n">
        <v>0</v>
      </c>
      <c r="L2442" s="10" t="n">
        <v>8.18</v>
      </c>
      <c r="M2442" s="10" t="n">
        <v>1.43</v>
      </c>
      <c r="N2442" t="inlineStr">
        <is>
          <t>1</t>
        </is>
      </c>
      <c r="O2442" t="inlineStr">
        <is>
          <t>16</t>
        </is>
      </c>
      <c r="P2442" t="inlineStr">
        <is>
          <t xml:space="preserve">249601  </t>
        </is>
      </c>
      <c r="Q2442" s="26" t="n">
        <v>8.19</v>
      </c>
      <c r="R2442" s="26">
        <f>Q2442*G2442</f>
        <v/>
      </c>
      <c r="S2442" s="26">
        <f>IFERROR(VLOOKUP(E2442*1,Tabla[#All],8,0),0)</f>
        <v/>
      </c>
      <c r="T2442" s="26">
        <f>S2442*G2442</f>
        <v/>
      </c>
      <c r="U2442" s="26">
        <f>R2442-T2442</f>
        <v/>
      </c>
      <c r="V2442" s="26">
        <f>U2442-L2442</f>
        <v/>
      </c>
    </row>
    <row r="2443">
      <c r="A2443" s="11" t="n">
        <v>46227</v>
      </c>
      <c r="B2443" s="1" t="n">
        <v>20088</v>
      </c>
      <c r="C2443" s="1" t="inlineStr">
        <is>
          <t>021</t>
        </is>
      </c>
      <c r="D2443" s="1" t="inlineStr">
        <is>
          <t xml:space="preserve">49999 </t>
        </is>
      </c>
      <c r="E2443" s="1" t="inlineStr">
        <is>
          <t xml:space="preserve">29235706       </t>
        </is>
      </c>
      <c r="F2443" s="5" t="inlineStr">
        <is>
          <t>TEAMSTERZ CAMION PARA GUARDAR 12 AUTOS INCL 4 AUTO</t>
        </is>
      </c>
      <c r="G2443" t="n">
        <v>1</v>
      </c>
      <c r="H2443" s="7" t="n">
        <v>59.9</v>
      </c>
      <c r="I2443" s="7" t="n">
        <v>0</v>
      </c>
      <c r="J2443" s="7" t="n">
        <v>0</v>
      </c>
      <c r="K2443" s="9" t="n">
        <v>0</v>
      </c>
      <c r="L2443" s="10" t="n">
        <v>35.53</v>
      </c>
      <c r="M2443" s="10" t="n">
        <v>1.43</v>
      </c>
      <c r="N2443" t="inlineStr">
        <is>
          <t>1</t>
        </is>
      </c>
      <c r="O2443" t="inlineStr">
        <is>
          <t>16</t>
        </is>
      </c>
      <c r="P2443" t="inlineStr">
        <is>
          <t xml:space="preserve">249601  </t>
        </is>
      </c>
      <c r="Q2443" s="26" t="n">
        <v>35.53</v>
      </c>
      <c r="R2443" s="26">
        <f>Q2443*G2443</f>
        <v/>
      </c>
      <c r="S2443" s="26">
        <f>IFERROR(VLOOKUP(E2443*1,Tabla[#All],8,0),0)</f>
        <v/>
      </c>
      <c r="T2443" s="26">
        <f>S2443*G2443</f>
        <v/>
      </c>
      <c r="U2443" s="26">
        <f>R2443-T2443</f>
        <v/>
      </c>
      <c r="V2443" s="26">
        <f>U2443-L2443</f>
        <v/>
      </c>
    </row>
    <row r="2444">
      <c r="A2444" s="11" t="n">
        <v>46227</v>
      </c>
      <c r="B2444" s="1" t="n">
        <v>20088</v>
      </c>
      <c r="C2444" s="1" t="inlineStr">
        <is>
          <t>021</t>
        </is>
      </c>
      <c r="D2444" s="1" t="inlineStr">
        <is>
          <t xml:space="preserve">50005 </t>
        </is>
      </c>
      <c r="E2444" s="1" t="inlineStr">
        <is>
          <t xml:space="preserve">28194769       </t>
        </is>
      </c>
      <c r="F2444" s="5" t="inlineStr">
        <is>
          <t>AUTOS DE METAL 3 TEAMSTERZ PACK DE 2</t>
        </is>
      </c>
      <c r="G2444" t="n">
        <v>1</v>
      </c>
      <c r="H2444" s="7" t="n">
        <v>13.8</v>
      </c>
      <c r="I2444" s="7" t="n">
        <v>0</v>
      </c>
      <c r="J2444" s="7" t="n">
        <v>0</v>
      </c>
      <c r="K2444" s="9" t="n">
        <v>0</v>
      </c>
      <c r="L2444" s="10" t="n">
        <v>8.18</v>
      </c>
      <c r="M2444" s="10" t="n">
        <v>1.43</v>
      </c>
      <c r="N2444" t="inlineStr">
        <is>
          <t>1</t>
        </is>
      </c>
      <c r="O2444" t="inlineStr">
        <is>
          <t>16</t>
        </is>
      </c>
      <c r="P2444" t="inlineStr">
        <is>
          <t xml:space="preserve">249601  </t>
        </is>
      </c>
      <c r="Q2444" s="26" t="n">
        <v>8.19</v>
      </c>
      <c r="R2444" s="26">
        <f>Q2444*G2444</f>
        <v/>
      </c>
      <c r="S2444" s="26">
        <f>IFERROR(VLOOKUP(E2444*1,Tabla[#All],8,0),0)</f>
        <v/>
      </c>
      <c r="T2444" s="26">
        <f>S2444*G2444</f>
        <v/>
      </c>
      <c r="U2444" s="26">
        <f>R2444-T2444</f>
        <v/>
      </c>
      <c r="V2444" s="26">
        <f>U2444-L2444</f>
        <v/>
      </c>
    </row>
    <row r="2445">
      <c r="A2445" s="11" t="n">
        <v>46227</v>
      </c>
      <c r="B2445" s="1" t="n">
        <v>20088</v>
      </c>
      <c r="C2445" s="1" t="inlineStr">
        <is>
          <t>021</t>
        </is>
      </c>
      <c r="D2445" s="1" t="inlineStr">
        <is>
          <t xml:space="preserve">50005 </t>
        </is>
      </c>
      <c r="E2445" s="1" t="inlineStr">
        <is>
          <t xml:space="preserve">28194770       </t>
        </is>
      </c>
      <c r="F2445" s="5" t="inlineStr">
        <is>
          <t>AUTOS DE METAL 3 TEAMSTERZ EN BLISTER</t>
        </is>
      </c>
      <c r="G2445" t="n">
        <v>1</v>
      </c>
      <c r="H2445" s="7" t="n">
        <v>6.9</v>
      </c>
      <c r="I2445" s="7" t="n">
        <v>0</v>
      </c>
      <c r="J2445" s="7" t="n">
        <v>0</v>
      </c>
      <c r="K2445" s="9" t="n">
        <v>0</v>
      </c>
      <c r="L2445" s="10" t="n">
        <v>4.1</v>
      </c>
      <c r="M2445" s="10" t="n">
        <v>1.43</v>
      </c>
      <c r="N2445" t="inlineStr">
        <is>
          <t>1</t>
        </is>
      </c>
      <c r="O2445" t="inlineStr">
        <is>
          <t>16</t>
        </is>
      </c>
      <c r="P2445" t="inlineStr">
        <is>
          <t xml:space="preserve">249601  </t>
        </is>
      </c>
      <c r="Q2445" s="26" t="n">
        <v>4.09</v>
      </c>
      <c r="R2445" s="26">
        <f>Q2445*G2445</f>
        <v/>
      </c>
      <c r="S2445" s="26">
        <f>IFERROR(VLOOKUP(E2445*1,Tabla[#All],8,0),0)</f>
        <v/>
      </c>
      <c r="T2445" s="26">
        <f>S2445*G2445</f>
        <v/>
      </c>
      <c r="U2445" s="26">
        <f>R2445-T2445</f>
        <v/>
      </c>
      <c r="V2445" s="26">
        <f>U2445-L2445</f>
        <v/>
      </c>
    </row>
    <row r="2446">
      <c r="A2446" s="11" t="n">
        <v>46227</v>
      </c>
      <c r="B2446" s="1" t="n">
        <v>20088</v>
      </c>
      <c r="C2446" s="1" t="inlineStr">
        <is>
          <t>023</t>
        </is>
      </c>
      <c r="D2446" s="1" t="inlineStr">
        <is>
          <t>127853</t>
        </is>
      </c>
      <c r="E2446" s="1" t="inlineStr">
        <is>
          <t xml:space="preserve">32457099       </t>
        </is>
      </c>
      <c r="F2446" s="5" t="inlineStr">
        <is>
          <t>TMZ BEAST MACHINES MONSTER JAWS A FRICCION BLISTER</t>
        </is>
      </c>
      <c r="G2446" t="n">
        <v>1</v>
      </c>
      <c r="H2446" s="7" t="n">
        <v>17.9</v>
      </c>
      <c r="I2446" s="7" t="n">
        <v>0</v>
      </c>
      <c r="J2446" s="7" t="n">
        <v>0</v>
      </c>
      <c r="K2446" s="9" t="n">
        <v>0</v>
      </c>
      <c r="L2446" s="10" t="n">
        <v>10.62</v>
      </c>
      <c r="M2446" s="10" t="n">
        <v>1.43</v>
      </c>
      <c r="N2446" t="inlineStr">
        <is>
          <t>1</t>
        </is>
      </c>
      <c r="O2446" t="inlineStr">
        <is>
          <t>16</t>
        </is>
      </c>
      <c r="P2446" t="inlineStr">
        <is>
          <t xml:space="preserve">232153  </t>
        </is>
      </c>
      <c r="Q2446" s="26" t="n">
        <v>11.81</v>
      </c>
      <c r="R2446" s="26">
        <f>Q2446*G2446</f>
        <v/>
      </c>
      <c r="S2446" s="26">
        <f>IFERROR(VLOOKUP(E2446*1,Tabla[#All],8,0),0)</f>
        <v/>
      </c>
      <c r="T2446" s="26">
        <f>S2446*G2446</f>
        <v/>
      </c>
      <c r="U2446" s="26">
        <f>R2446-T2446</f>
        <v/>
      </c>
      <c r="V2446" s="26">
        <f>U2446-L2446</f>
        <v/>
      </c>
    </row>
    <row r="2447">
      <c r="A2447" s="11" t="n">
        <v>46227</v>
      </c>
      <c r="B2447" s="1" t="n">
        <v>20088</v>
      </c>
      <c r="C2447" s="1" t="inlineStr">
        <is>
          <t>034</t>
        </is>
      </c>
      <c r="D2447" s="1" t="inlineStr">
        <is>
          <t xml:space="preserve">16601 </t>
        </is>
      </c>
      <c r="E2447" s="1" t="inlineStr">
        <is>
          <t xml:space="preserve">30232284       </t>
        </is>
      </c>
      <c r="F2447" s="5" t="inlineStr">
        <is>
          <t>INFINITY NADO TROMPO DE BATALLA - METAL C/PUNTA DE</t>
        </is>
      </c>
      <c r="G2447" t="n">
        <v>1</v>
      </c>
      <c r="H2447" s="7" t="n">
        <v>34.9</v>
      </c>
      <c r="I2447" s="7" t="n">
        <v>3.49</v>
      </c>
      <c r="J2447" s="7" t="n">
        <v>0</v>
      </c>
      <c r="K2447" s="9" t="n">
        <v>3.49</v>
      </c>
      <c r="L2447" s="10" t="n">
        <v>18.63</v>
      </c>
      <c r="M2447" s="10" t="n">
        <v>1.43</v>
      </c>
      <c r="N2447" t="inlineStr">
        <is>
          <t>1</t>
        </is>
      </c>
      <c r="O2447" t="inlineStr">
        <is>
          <t xml:space="preserve">3 </t>
        </is>
      </c>
      <c r="P2447" t="inlineStr">
        <is>
          <t xml:space="preserve">90566   </t>
        </is>
      </c>
      <c r="Q2447" s="26" t="n">
        <v>29.6</v>
      </c>
      <c r="R2447" s="26">
        <f>Q2447*G2447</f>
        <v/>
      </c>
      <c r="S2447" s="26">
        <f>IFERROR(VLOOKUP(E2447*1,Tabla[#All],8,0),0)</f>
        <v/>
      </c>
      <c r="T2447" s="26">
        <f>S2447*G2447</f>
        <v/>
      </c>
      <c r="U2447" s="26">
        <f>R2447-T2447</f>
        <v/>
      </c>
      <c r="V2447" s="26">
        <f>U2447-L2447</f>
        <v/>
      </c>
    </row>
    <row r="2448">
      <c r="A2448" s="11" t="n">
        <v>46227</v>
      </c>
      <c r="B2448" s="1" t="n">
        <v>20089</v>
      </c>
      <c r="C2448" s="1" t="inlineStr">
        <is>
          <t>025</t>
        </is>
      </c>
      <c r="D2448" s="1" t="inlineStr">
        <is>
          <t>122426</t>
        </is>
      </c>
      <c r="E2448" s="1" t="inlineStr">
        <is>
          <t xml:space="preserve">28194769       </t>
        </is>
      </c>
      <c r="F2448" s="5" t="inlineStr">
        <is>
          <t>AUTOS DE METAL 3 TEAMSTERZ PACK DE 2</t>
        </is>
      </c>
      <c r="G2448" t="n">
        <v>1</v>
      </c>
      <c r="H2448" s="7" t="n">
        <v>13.8</v>
      </c>
      <c r="I2448" s="7" t="n">
        <v>0</v>
      </c>
      <c r="J2448" s="7" t="n">
        <v>0</v>
      </c>
      <c r="K2448" s="9" t="n">
        <v>0</v>
      </c>
      <c r="L2448" s="10" t="n">
        <v>8.18</v>
      </c>
      <c r="M2448" s="10" t="n">
        <v>1.43</v>
      </c>
      <c r="N2448" t="inlineStr">
        <is>
          <t>1</t>
        </is>
      </c>
      <c r="O2448" t="inlineStr">
        <is>
          <t>16</t>
        </is>
      </c>
      <c r="P2448" t="inlineStr">
        <is>
          <t xml:space="preserve">109709  </t>
        </is>
      </c>
      <c r="Q2448" s="26" t="n">
        <v>8.19</v>
      </c>
      <c r="R2448" s="26">
        <f>Q2448*G2448</f>
        <v/>
      </c>
      <c r="S2448" s="26">
        <f>IFERROR(VLOOKUP(E2448*1,Tabla[#All],8,0),0)</f>
        <v/>
      </c>
      <c r="T2448" s="26">
        <f>S2448*G2448</f>
        <v/>
      </c>
      <c r="U2448" s="26">
        <f>R2448-T2448</f>
        <v/>
      </c>
      <c r="V2448" s="26">
        <f>U2448-L2448</f>
        <v/>
      </c>
    </row>
    <row r="2449">
      <c r="A2449" s="11" t="n">
        <v>46227</v>
      </c>
      <c r="B2449" s="1" t="n">
        <v>20089</v>
      </c>
      <c r="C2449" s="1" t="inlineStr">
        <is>
          <t>025</t>
        </is>
      </c>
      <c r="D2449" s="1" t="inlineStr">
        <is>
          <t>122433</t>
        </is>
      </c>
      <c r="E2449" s="1" t="inlineStr">
        <is>
          <t xml:space="preserve">32457099       </t>
        </is>
      </c>
      <c r="F2449" s="5" t="inlineStr">
        <is>
          <t>TMZ BEAST MACHINES MONSTER JAWS A FRICCION BLISTER</t>
        </is>
      </c>
      <c r="G2449" t="n">
        <v>1</v>
      </c>
      <c r="H2449" s="7" t="n">
        <v>17.9</v>
      </c>
      <c r="I2449" s="7" t="n">
        <v>0</v>
      </c>
      <c r="J2449" s="7" t="n">
        <v>0</v>
      </c>
      <c r="K2449" s="9" t="n">
        <v>0</v>
      </c>
      <c r="L2449" s="10" t="n">
        <v>10.62</v>
      </c>
      <c r="M2449" s="10" t="n">
        <v>1.43</v>
      </c>
      <c r="N2449" t="inlineStr">
        <is>
          <t>1</t>
        </is>
      </c>
      <c r="O2449" t="inlineStr">
        <is>
          <t xml:space="preserve">2 </t>
        </is>
      </c>
      <c r="P2449" t="inlineStr">
        <is>
          <t xml:space="preserve">109709  </t>
        </is>
      </c>
      <c r="Q2449" s="26" t="n">
        <v>11.81</v>
      </c>
      <c r="R2449" s="26">
        <f>Q2449*G2449</f>
        <v/>
      </c>
      <c r="S2449" s="26">
        <f>IFERROR(VLOOKUP(E2449*1,Tabla[#All],8,0),0)</f>
        <v/>
      </c>
      <c r="T2449" s="26">
        <f>S2449*G2449</f>
        <v/>
      </c>
      <c r="U2449" s="26">
        <f>R2449-T2449</f>
        <v/>
      </c>
      <c r="V2449" s="26">
        <f>U2449-L2449</f>
        <v/>
      </c>
    </row>
    <row r="2450">
      <c r="A2450" s="11" t="n">
        <v>46227</v>
      </c>
      <c r="B2450" s="1" t="n">
        <v>20089</v>
      </c>
      <c r="C2450" s="1" t="inlineStr">
        <is>
          <t>025</t>
        </is>
      </c>
      <c r="D2450" s="1" t="inlineStr">
        <is>
          <t>122464</t>
        </is>
      </c>
      <c r="E2450" s="1" t="inlineStr">
        <is>
          <t xml:space="preserve">28194770       </t>
        </is>
      </c>
      <c r="F2450" s="5" t="inlineStr">
        <is>
          <t>AUTOS DE METAL 3 TEAMSTERZ EN BLISTER</t>
        </is>
      </c>
      <c r="G2450" t="n">
        <v>1</v>
      </c>
      <c r="H2450" s="7" t="n">
        <v>6.9</v>
      </c>
      <c r="I2450" s="7" t="n">
        <v>0</v>
      </c>
      <c r="J2450" s="7" t="n">
        <v>0</v>
      </c>
      <c r="K2450" s="9" t="n">
        <v>0</v>
      </c>
      <c r="L2450" s="10" t="n">
        <v>4.1</v>
      </c>
      <c r="M2450" s="10" t="n">
        <v>1.43</v>
      </c>
      <c r="N2450" t="inlineStr">
        <is>
          <t>1</t>
        </is>
      </c>
      <c r="O2450" t="inlineStr">
        <is>
          <t xml:space="preserve">2 </t>
        </is>
      </c>
      <c r="P2450" t="inlineStr">
        <is>
          <t xml:space="preserve">109709  </t>
        </is>
      </c>
      <c r="Q2450" s="26" t="n">
        <v>4.09</v>
      </c>
      <c r="R2450" s="26">
        <f>Q2450*G2450</f>
        <v/>
      </c>
      <c r="S2450" s="26">
        <f>IFERROR(VLOOKUP(E2450*1,Tabla[#All],8,0),0)</f>
        <v/>
      </c>
      <c r="T2450" s="26">
        <f>S2450*G2450</f>
        <v/>
      </c>
      <c r="U2450" s="26">
        <f>R2450-T2450</f>
        <v/>
      </c>
      <c r="V2450" s="26">
        <f>U2450-L2450</f>
        <v/>
      </c>
    </row>
    <row r="2451">
      <c r="A2451" s="11" t="n">
        <v>46227</v>
      </c>
      <c r="B2451" s="1" t="n">
        <v>20089</v>
      </c>
      <c r="C2451" s="1" t="inlineStr">
        <is>
          <t>025</t>
        </is>
      </c>
      <c r="D2451" s="1" t="inlineStr">
        <is>
          <t>122464</t>
        </is>
      </c>
      <c r="E2451" s="1" t="inlineStr">
        <is>
          <t xml:space="preserve">28194770       </t>
        </is>
      </c>
      <c r="F2451" s="5" t="inlineStr">
        <is>
          <t>AUTOS DE METAL 3 TEAMSTERZ EN BLISTER</t>
        </is>
      </c>
      <c r="G2451" t="n">
        <v>1</v>
      </c>
      <c r="H2451" s="7" t="n">
        <v>6.9</v>
      </c>
      <c r="I2451" s="7" t="n">
        <v>0</v>
      </c>
      <c r="J2451" s="7" t="n">
        <v>0</v>
      </c>
      <c r="K2451" s="9" t="n">
        <v>0</v>
      </c>
      <c r="L2451" s="10" t="n">
        <v>4.1</v>
      </c>
      <c r="M2451" s="10" t="n">
        <v>1.43</v>
      </c>
      <c r="N2451" t="inlineStr">
        <is>
          <t>1</t>
        </is>
      </c>
      <c r="O2451" t="inlineStr">
        <is>
          <t xml:space="preserve">2 </t>
        </is>
      </c>
      <c r="P2451" t="inlineStr">
        <is>
          <t xml:space="preserve">109709  </t>
        </is>
      </c>
      <c r="Q2451" s="26" t="n">
        <v>4.09</v>
      </c>
      <c r="R2451" s="26">
        <f>Q2451*G2451</f>
        <v/>
      </c>
      <c r="S2451" s="26">
        <f>IFERROR(VLOOKUP(E2451*1,Tabla[#All],8,0),0)</f>
        <v/>
      </c>
      <c r="T2451" s="26">
        <f>S2451*G2451</f>
        <v/>
      </c>
      <c r="U2451" s="26">
        <f>R2451-T2451</f>
        <v/>
      </c>
      <c r="V2451" s="26">
        <f>U2451-L2451</f>
        <v/>
      </c>
    </row>
    <row r="2452">
      <c r="A2452" s="11" t="n">
        <v>46227</v>
      </c>
      <c r="B2452" s="1" t="n">
        <v>20089</v>
      </c>
      <c r="C2452" s="1" t="inlineStr">
        <is>
          <t>026</t>
        </is>
      </c>
      <c r="D2452" s="1" t="inlineStr">
        <is>
          <t xml:space="preserve">88566 </t>
        </is>
      </c>
      <c r="E2452" s="1" t="inlineStr">
        <is>
          <t xml:space="preserve">28194770       </t>
        </is>
      </c>
      <c r="F2452" s="5" t="inlineStr">
        <is>
          <t>AUTOS DE METAL 3 TEAMSTERZ EN BLISTER</t>
        </is>
      </c>
      <c r="G2452" t="n">
        <v>1</v>
      </c>
      <c r="H2452" s="7" t="n">
        <v>6.9</v>
      </c>
      <c r="I2452" s="7" t="n">
        <v>0</v>
      </c>
      <c r="J2452" s="7" t="n">
        <v>0</v>
      </c>
      <c r="K2452" s="9" t="n">
        <v>0</v>
      </c>
      <c r="L2452" s="10" t="n">
        <v>4.1</v>
      </c>
      <c r="M2452" s="10" t="n">
        <v>1.43</v>
      </c>
      <c r="N2452" t="inlineStr">
        <is>
          <t>1</t>
        </is>
      </c>
      <c r="O2452" t="inlineStr">
        <is>
          <t>16</t>
        </is>
      </c>
      <c r="P2452" t="inlineStr">
        <is>
          <t xml:space="preserve">94948   </t>
        </is>
      </c>
      <c r="Q2452" s="26" t="n">
        <v>4.09</v>
      </c>
      <c r="R2452" s="26">
        <f>Q2452*G2452</f>
        <v/>
      </c>
      <c r="S2452" s="26">
        <f>IFERROR(VLOOKUP(E2452*1,Tabla[#All],8,0),0)</f>
        <v/>
      </c>
      <c r="T2452" s="26">
        <f>S2452*G2452</f>
        <v/>
      </c>
      <c r="U2452" s="26">
        <f>R2452-T2452</f>
        <v/>
      </c>
      <c r="V2452" s="26">
        <f>U2452-L2452</f>
        <v/>
      </c>
    </row>
    <row r="2453">
      <c r="A2453" s="11" t="n">
        <v>46227</v>
      </c>
      <c r="B2453" s="1" t="n">
        <v>20089</v>
      </c>
      <c r="C2453" s="1" t="inlineStr">
        <is>
          <t>026</t>
        </is>
      </c>
      <c r="D2453" s="1" t="inlineStr">
        <is>
          <t xml:space="preserve">88593 </t>
        </is>
      </c>
      <c r="E2453" s="1" t="inlineStr">
        <is>
          <t xml:space="preserve">30141766       </t>
        </is>
      </c>
      <c r="F2453" s="5" t="inlineStr">
        <is>
          <t>TMZ BEAST MACHINES AUTOS DE METAL BLISTER X 1</t>
        </is>
      </c>
      <c r="G2453" t="n">
        <v>1</v>
      </c>
      <c r="H2453" s="7" t="n">
        <v>7.9</v>
      </c>
      <c r="I2453" s="7" t="n">
        <v>0</v>
      </c>
      <c r="J2453" s="7" t="n">
        <v>0</v>
      </c>
      <c r="K2453" s="9" t="n">
        <v>0</v>
      </c>
      <c r="L2453" s="10" t="n">
        <v>4.68</v>
      </c>
      <c r="M2453" s="10" t="n">
        <v>1.43</v>
      </c>
      <c r="N2453" t="inlineStr">
        <is>
          <t>1</t>
        </is>
      </c>
      <c r="O2453" t="inlineStr">
        <is>
          <t xml:space="preserve">2 </t>
        </is>
      </c>
      <c r="P2453" t="inlineStr">
        <is>
          <t xml:space="preserve">94948   </t>
        </is>
      </c>
      <c r="Q2453" s="26" t="n">
        <v>4.69</v>
      </c>
      <c r="R2453" s="26">
        <f>Q2453*G2453</f>
        <v/>
      </c>
      <c r="S2453" s="26">
        <f>IFERROR(VLOOKUP(E2453*1,Tabla[#All],8,0),0)</f>
        <v/>
      </c>
      <c r="T2453" s="26">
        <f>S2453*G2453</f>
        <v/>
      </c>
      <c r="U2453" s="26">
        <f>R2453-T2453</f>
        <v/>
      </c>
      <c r="V2453" s="26">
        <f>U2453-L2453</f>
        <v/>
      </c>
    </row>
    <row r="2454">
      <c r="A2454" s="11" t="n">
        <v>46227</v>
      </c>
      <c r="B2454" s="1" t="n">
        <v>20089</v>
      </c>
      <c r="C2454" s="1" t="inlineStr">
        <is>
          <t>026</t>
        </is>
      </c>
      <c r="D2454" s="1" t="inlineStr">
        <is>
          <t xml:space="preserve">88634 </t>
        </is>
      </c>
      <c r="E2454" s="1" t="inlineStr">
        <is>
          <t xml:space="preserve">28194770       </t>
        </is>
      </c>
      <c r="F2454" s="5" t="inlineStr">
        <is>
          <t>AUTOS DE METAL 3 TEAMSTERZ EN BLISTER</t>
        </is>
      </c>
      <c r="G2454" t="n">
        <v>1</v>
      </c>
      <c r="H2454" s="7" t="n">
        <v>6.9</v>
      </c>
      <c r="I2454" s="7" t="n">
        <v>0.6899999999999999</v>
      </c>
      <c r="J2454" s="7" t="n">
        <v>0</v>
      </c>
      <c r="K2454" s="9" t="n">
        <v>0.6899999999999999</v>
      </c>
      <c r="L2454" s="10" t="n">
        <v>3.68</v>
      </c>
      <c r="M2454" s="10" t="n">
        <v>1.43</v>
      </c>
      <c r="N2454" t="inlineStr">
        <is>
          <t>1</t>
        </is>
      </c>
      <c r="O2454" t="inlineStr">
        <is>
          <t xml:space="preserve">3 </t>
        </is>
      </c>
      <c r="P2454" t="inlineStr">
        <is>
          <t xml:space="preserve">94948   </t>
        </is>
      </c>
      <c r="Q2454" s="26" t="n">
        <v>4.09</v>
      </c>
      <c r="R2454" s="26">
        <f>Q2454*G2454</f>
        <v/>
      </c>
      <c r="S2454" s="26">
        <f>IFERROR(VLOOKUP(E2454*1,Tabla[#All],8,0),0)</f>
        <v/>
      </c>
      <c r="T2454" s="26">
        <f>S2454*G2454</f>
        <v/>
      </c>
      <c r="U2454" s="26">
        <f>R2454-T2454</f>
        <v/>
      </c>
      <c r="V2454" s="26">
        <f>U2454-L2454</f>
        <v/>
      </c>
    </row>
    <row r="2455">
      <c r="A2455" s="11" t="n">
        <v>46227</v>
      </c>
      <c r="B2455" s="1" t="n">
        <v>20089</v>
      </c>
      <c r="C2455" s="1" t="inlineStr">
        <is>
          <t>516</t>
        </is>
      </c>
      <c r="D2455" s="1" t="inlineStr">
        <is>
          <t xml:space="preserve">3548  </t>
        </is>
      </c>
      <c r="E2455" s="1" t="inlineStr">
        <is>
          <t xml:space="preserve">30141766       </t>
        </is>
      </c>
      <c r="F2455" s="5" t="inlineStr">
        <is>
          <t>TMZ BEAST MACHINES AUTOS DE METAL BLISTER X 1</t>
        </is>
      </c>
      <c r="G2455" t="n">
        <v>1</v>
      </c>
      <c r="H2455" s="7" t="n">
        <v>7.9</v>
      </c>
      <c r="I2455" s="7" t="n">
        <v>0</v>
      </c>
      <c r="J2455" s="7" t="n">
        <v>0</v>
      </c>
      <c r="K2455" s="9" t="n">
        <v>0</v>
      </c>
      <c r="L2455" s="10" t="n">
        <v>4.68</v>
      </c>
      <c r="M2455" s="10" t="n">
        <v>1.43</v>
      </c>
      <c r="N2455" t="inlineStr">
        <is>
          <t>1</t>
        </is>
      </c>
      <c r="O2455" t="inlineStr">
        <is>
          <t>16</t>
        </is>
      </c>
      <c r="P2455" t="inlineStr">
        <is>
          <t xml:space="preserve">249890  </t>
        </is>
      </c>
      <c r="Q2455" s="26" t="n">
        <v>4.69</v>
      </c>
      <c r="R2455" s="26">
        <f>Q2455*G2455</f>
        <v/>
      </c>
      <c r="S2455" s="26">
        <f>IFERROR(VLOOKUP(E2455*1,Tabla[#All],8,0),0)</f>
        <v/>
      </c>
      <c r="T2455" s="26">
        <f>S2455*G2455</f>
        <v/>
      </c>
      <c r="U2455" s="26">
        <f>R2455-T2455</f>
        <v/>
      </c>
      <c r="V2455" s="26">
        <f>U2455-L2455</f>
        <v/>
      </c>
    </row>
    <row r="2456">
      <c r="A2456" s="11" t="n">
        <v>46227</v>
      </c>
      <c r="B2456" s="1" t="n">
        <v>20089</v>
      </c>
      <c r="C2456" s="1" t="inlineStr">
        <is>
          <t>862</t>
        </is>
      </c>
      <c r="D2456" s="1" t="inlineStr">
        <is>
          <t xml:space="preserve">8810  </t>
        </is>
      </c>
      <c r="E2456" s="1" t="inlineStr">
        <is>
          <t xml:space="preserve">32457104       </t>
        </is>
      </c>
      <c r="F2456" s="5" t="inlineStr">
        <is>
          <t>TMZ BEAST MACHINES PLAYSET DESASTRE REPTIL + 1 AUT</t>
        </is>
      </c>
      <c r="G2456" t="n">
        <v>1</v>
      </c>
      <c r="H2456" s="7" t="n">
        <v>49.9</v>
      </c>
      <c r="I2456" s="7" t="n">
        <v>0</v>
      </c>
      <c r="J2456" s="7" t="n">
        <v>0</v>
      </c>
      <c r="K2456" s="9" t="n">
        <v>0</v>
      </c>
      <c r="L2456" s="10" t="n">
        <v>29.6</v>
      </c>
      <c r="M2456" s="10" t="n">
        <v>1.43</v>
      </c>
      <c r="N2456" t="inlineStr">
        <is>
          <t>1</t>
        </is>
      </c>
      <c r="O2456" t="inlineStr">
        <is>
          <t>16</t>
        </is>
      </c>
      <c r="P2456" t="inlineStr">
        <is>
          <t xml:space="preserve">0       </t>
        </is>
      </c>
      <c r="Q2456" s="26" t="n">
        <v>41.47</v>
      </c>
      <c r="R2456" s="26">
        <f>Q2456*G2456</f>
        <v/>
      </c>
      <c r="S2456" s="26">
        <f>IFERROR(VLOOKUP(E2456*1,Tabla[#All],8,0),0)</f>
        <v/>
      </c>
      <c r="T2456" s="26">
        <f>S2456*G2456</f>
        <v/>
      </c>
      <c r="U2456" s="26">
        <f>R2456-T2456</f>
        <v/>
      </c>
      <c r="V2456" s="26">
        <f>U2456-L2456</f>
        <v/>
      </c>
    </row>
    <row r="2457">
      <c r="A2457" s="11" t="n">
        <v>46227</v>
      </c>
      <c r="B2457" s="1" t="n">
        <v>20095</v>
      </c>
      <c r="C2457" s="1" t="inlineStr">
        <is>
          <t>043</t>
        </is>
      </c>
      <c r="D2457" s="1" t="inlineStr">
        <is>
          <t>108638</t>
        </is>
      </c>
      <c r="E2457" s="1" t="inlineStr">
        <is>
          <t xml:space="preserve">28194770       </t>
        </is>
      </c>
      <c r="F2457" s="5" t="inlineStr">
        <is>
          <t>AUTOS DE METAL 3 TEAMSTERZ EN BLISTER</t>
        </is>
      </c>
      <c r="G2457" t="n">
        <v>1</v>
      </c>
      <c r="H2457" s="7" t="n">
        <v>6.9</v>
      </c>
      <c r="I2457" s="7" t="n">
        <v>0</v>
      </c>
      <c r="J2457" s="7" t="n">
        <v>0</v>
      </c>
      <c r="K2457" s="9" t="n">
        <v>0</v>
      </c>
      <c r="L2457" s="10" t="n">
        <v>4.1</v>
      </c>
      <c r="M2457" s="10" t="n">
        <v>1.43</v>
      </c>
      <c r="N2457" t="inlineStr">
        <is>
          <t>1</t>
        </is>
      </c>
      <c r="O2457" t="inlineStr">
        <is>
          <t>16</t>
        </is>
      </c>
      <c r="P2457" t="inlineStr">
        <is>
          <t xml:space="preserve">57866   </t>
        </is>
      </c>
      <c r="Q2457" s="26" t="n">
        <v>4.09</v>
      </c>
      <c r="R2457" s="26">
        <f>Q2457*G2457</f>
        <v/>
      </c>
      <c r="S2457" s="26">
        <f>IFERROR(VLOOKUP(E2457*1,Tabla[#All],8,0),0)</f>
        <v/>
      </c>
      <c r="T2457" s="26">
        <f>S2457*G2457</f>
        <v/>
      </c>
      <c r="U2457" s="26">
        <f>R2457-T2457</f>
        <v/>
      </c>
      <c r="V2457" s="26">
        <f>U2457-L2457</f>
        <v/>
      </c>
    </row>
    <row r="2458">
      <c r="A2458" s="11" t="n">
        <v>46228</v>
      </c>
      <c r="B2458" s="1" t="n">
        <v>20021</v>
      </c>
      <c r="C2458" s="1" t="inlineStr">
        <is>
          <t>013</t>
        </is>
      </c>
      <c r="D2458" s="1" t="inlineStr">
        <is>
          <t>135616</t>
        </is>
      </c>
      <c r="E2458" s="1" t="inlineStr">
        <is>
          <t xml:space="preserve">34840555       </t>
        </is>
      </c>
      <c r="F2458" s="5" t="inlineStr">
        <is>
          <t>TMZ BEAST MACH. TRANSPORT TIBURON +ACCS</t>
        </is>
      </c>
      <c r="G2458" t="n">
        <v>1</v>
      </c>
      <c r="H2458" s="7" t="n">
        <v>59.9</v>
      </c>
      <c r="I2458" s="7" t="n">
        <v>0</v>
      </c>
      <c r="J2458" s="7" t="n">
        <v>0</v>
      </c>
      <c r="K2458" s="9" t="n">
        <v>0</v>
      </c>
      <c r="L2458" s="10" t="n">
        <v>35.53</v>
      </c>
      <c r="M2458" s="10" t="n">
        <v>1.43</v>
      </c>
      <c r="N2458" t="inlineStr">
        <is>
          <t>1</t>
        </is>
      </c>
      <c r="O2458" t="inlineStr">
        <is>
          <t>16</t>
        </is>
      </c>
      <c r="P2458" t="inlineStr">
        <is>
          <t xml:space="preserve">42152   </t>
        </is>
      </c>
      <c r="Q2458" s="26" t="n">
        <v>47.4</v>
      </c>
      <c r="R2458" s="26">
        <f>Q2458*G2458</f>
        <v/>
      </c>
      <c r="S2458" s="26">
        <f>IFERROR(VLOOKUP(E2458*1,Tabla[#All],8,0),0)</f>
        <v/>
      </c>
      <c r="T2458" s="26">
        <f>S2458*G2458</f>
        <v/>
      </c>
      <c r="U2458" s="26">
        <f>R2458-T2458</f>
        <v/>
      </c>
      <c r="V2458" s="26">
        <f>U2458-L2458</f>
        <v/>
      </c>
    </row>
    <row r="2459">
      <c r="A2459" s="11" t="n">
        <v>46228</v>
      </c>
      <c r="B2459" s="1" t="n">
        <v>20021</v>
      </c>
      <c r="C2459" s="1" t="inlineStr">
        <is>
          <t>055</t>
        </is>
      </c>
      <c r="D2459" s="1" t="inlineStr">
        <is>
          <t>155794</t>
        </is>
      </c>
      <c r="E2459" s="1" t="inlineStr">
        <is>
          <t xml:space="preserve">28194770       </t>
        </is>
      </c>
      <c r="F2459" s="5" t="inlineStr">
        <is>
          <t>AUTOS DE METAL 3 TEAMSTERZ EN BLISTER</t>
        </is>
      </c>
      <c r="G2459" t="n">
        <v>1</v>
      </c>
      <c r="H2459" s="7" t="n">
        <v>6.9</v>
      </c>
      <c r="I2459" s="7" t="n">
        <v>0</v>
      </c>
      <c r="J2459" s="7" t="n">
        <v>0</v>
      </c>
      <c r="K2459" s="9" t="n">
        <v>0</v>
      </c>
      <c r="L2459" s="10" t="n">
        <v>4.1</v>
      </c>
      <c r="M2459" s="10" t="n">
        <v>1.43</v>
      </c>
      <c r="N2459" t="inlineStr">
        <is>
          <t>1</t>
        </is>
      </c>
      <c r="O2459" t="inlineStr">
        <is>
          <t xml:space="preserve">2 </t>
        </is>
      </c>
      <c r="P2459" t="inlineStr">
        <is>
          <t xml:space="preserve">61491   </t>
        </is>
      </c>
      <c r="Q2459" s="26" t="n">
        <v>4.09</v>
      </c>
      <c r="R2459" s="26">
        <f>Q2459*G2459</f>
        <v/>
      </c>
      <c r="S2459" s="26">
        <f>IFERROR(VLOOKUP(E2459*1,Tabla[#All],8,0),0)</f>
        <v/>
      </c>
      <c r="T2459" s="26">
        <f>S2459*G2459</f>
        <v/>
      </c>
      <c r="U2459" s="26">
        <f>R2459-T2459</f>
        <v/>
      </c>
      <c r="V2459" s="26">
        <f>U2459-L2459</f>
        <v/>
      </c>
    </row>
    <row r="2460">
      <c r="A2460" s="11" t="n">
        <v>46228</v>
      </c>
      <c r="B2460" s="1" t="n">
        <v>20021</v>
      </c>
      <c r="C2460" s="1" t="inlineStr">
        <is>
          <t>063</t>
        </is>
      </c>
      <c r="D2460" s="1" t="inlineStr">
        <is>
          <t>154057</t>
        </is>
      </c>
      <c r="E2460" s="1" t="inlineStr">
        <is>
          <t xml:space="preserve">32457099       </t>
        </is>
      </c>
      <c r="F2460" s="5" t="inlineStr">
        <is>
          <t>TMZ BEAST MACHINES MONSTER JAWS A FRICCION BLISTER</t>
        </is>
      </c>
      <c r="G2460" t="n">
        <v>1</v>
      </c>
      <c r="H2460" s="7" t="n">
        <v>17.9</v>
      </c>
      <c r="I2460" s="7" t="n">
        <v>0</v>
      </c>
      <c r="J2460" s="7" t="n">
        <v>0</v>
      </c>
      <c r="K2460" s="9" t="n">
        <v>0</v>
      </c>
      <c r="L2460" s="10" t="n">
        <v>10.62</v>
      </c>
      <c r="M2460" s="10" t="n">
        <v>1.43</v>
      </c>
      <c r="N2460" t="inlineStr">
        <is>
          <t>1</t>
        </is>
      </c>
      <c r="O2460" t="inlineStr">
        <is>
          <t>16</t>
        </is>
      </c>
      <c r="P2460" t="inlineStr">
        <is>
          <t xml:space="preserve">32209   </t>
        </is>
      </c>
      <c r="Q2460" s="26" t="n">
        <v>11.81</v>
      </c>
      <c r="R2460" s="26">
        <f>Q2460*G2460</f>
        <v/>
      </c>
      <c r="S2460" s="26">
        <f>IFERROR(VLOOKUP(E2460*1,Tabla[#All],8,0),0)</f>
        <v/>
      </c>
      <c r="T2460" s="26">
        <f>S2460*G2460</f>
        <v/>
      </c>
      <c r="U2460" s="26">
        <f>R2460-T2460</f>
        <v/>
      </c>
      <c r="V2460" s="26">
        <f>U2460-L2460</f>
        <v/>
      </c>
    </row>
    <row r="2461">
      <c r="A2461" s="11" t="n">
        <v>46228</v>
      </c>
      <c r="B2461" s="1" t="n">
        <v>20021</v>
      </c>
      <c r="C2461" s="1" t="inlineStr">
        <is>
          <t>082</t>
        </is>
      </c>
      <c r="D2461" s="1" t="inlineStr">
        <is>
          <t>270574</t>
        </is>
      </c>
      <c r="E2461" s="1" t="inlineStr">
        <is>
          <t xml:space="preserve">30141766       </t>
        </is>
      </c>
      <c r="F2461" s="5" t="inlineStr">
        <is>
          <t>TMZ BEAST MACHINES AUTOS DE METAL BLISTER X 1</t>
        </is>
      </c>
      <c r="G2461" t="n">
        <v>1</v>
      </c>
      <c r="H2461" s="7" t="n">
        <v>7.9</v>
      </c>
      <c r="I2461" s="7" t="n">
        <v>0</v>
      </c>
      <c r="J2461" s="7" t="n">
        <v>0</v>
      </c>
      <c r="K2461" s="9" t="n">
        <v>0</v>
      </c>
      <c r="L2461" s="10" t="n">
        <v>4.68</v>
      </c>
      <c r="M2461" s="10" t="n">
        <v>1.43</v>
      </c>
      <c r="N2461" t="inlineStr">
        <is>
          <t>1</t>
        </is>
      </c>
      <c r="O2461" t="inlineStr">
        <is>
          <t>16</t>
        </is>
      </c>
      <c r="P2461" t="inlineStr">
        <is>
          <t xml:space="preserve">109073  </t>
        </is>
      </c>
      <c r="Q2461" s="26" t="n">
        <v>4.69</v>
      </c>
      <c r="R2461" s="26">
        <f>Q2461*G2461</f>
        <v/>
      </c>
      <c r="S2461" s="26">
        <f>IFERROR(VLOOKUP(E2461*1,Tabla[#All],8,0),0)</f>
        <v/>
      </c>
      <c r="T2461" s="26">
        <f>S2461*G2461</f>
        <v/>
      </c>
      <c r="U2461" s="26">
        <f>R2461-T2461</f>
        <v/>
      </c>
      <c r="V2461" s="26">
        <f>U2461-L2461</f>
        <v/>
      </c>
    </row>
    <row r="2462">
      <c r="A2462" s="11" t="n">
        <v>46228</v>
      </c>
      <c r="B2462" s="1" t="n">
        <v>20021</v>
      </c>
      <c r="C2462" s="1" t="inlineStr">
        <is>
          <t>511</t>
        </is>
      </c>
      <c r="D2462" s="1" t="inlineStr">
        <is>
          <t xml:space="preserve">3476  </t>
        </is>
      </c>
      <c r="E2462" s="1" t="inlineStr">
        <is>
          <t xml:space="preserve">31959958       </t>
        </is>
      </c>
      <c r="F2462" s="5" t="inlineStr">
        <is>
          <t>TMZ BEAST MACHINE AUTOS DE METAL PACK 3 AUTOS</t>
        </is>
      </c>
      <c r="G2462" t="n">
        <v>1</v>
      </c>
      <c r="H2462" s="7" t="n">
        <v>23.7</v>
      </c>
      <c r="I2462" s="7" t="n">
        <v>0</v>
      </c>
      <c r="J2462" s="7" t="n">
        <v>0</v>
      </c>
      <c r="K2462" s="9" t="n">
        <v>0</v>
      </c>
      <c r="L2462" s="10" t="n">
        <v>14.06</v>
      </c>
      <c r="M2462" s="10" t="n">
        <v>1.43</v>
      </c>
      <c r="N2462" t="inlineStr">
        <is>
          <t>1</t>
        </is>
      </c>
      <c r="O2462" t="inlineStr">
        <is>
          <t>16</t>
        </is>
      </c>
      <c r="P2462" t="inlineStr">
        <is>
          <t xml:space="preserve">108348  </t>
        </is>
      </c>
      <c r="Q2462" s="26" t="n">
        <v>14.06</v>
      </c>
      <c r="R2462" s="26">
        <f>Q2462*G2462</f>
        <v/>
      </c>
      <c r="S2462" s="26">
        <f>IFERROR(VLOOKUP(E2462*1,Tabla[#All],8,0),0)</f>
        <v/>
      </c>
      <c r="T2462" s="26">
        <f>S2462*G2462</f>
        <v/>
      </c>
      <c r="U2462" s="26">
        <f>R2462-T2462</f>
        <v/>
      </c>
      <c r="V2462" s="26">
        <f>U2462-L2462</f>
        <v/>
      </c>
    </row>
    <row r="2463">
      <c r="A2463" s="11" t="n">
        <v>46228</v>
      </c>
      <c r="B2463" s="1" t="n">
        <v>20024</v>
      </c>
      <c r="C2463" s="1" t="inlineStr">
        <is>
          <t>021</t>
        </is>
      </c>
      <c r="D2463" s="1" t="inlineStr">
        <is>
          <t>215979</t>
        </is>
      </c>
      <c r="E2463" s="1" t="inlineStr">
        <is>
          <t xml:space="preserve">34840551       </t>
        </is>
      </c>
      <c r="F2463" s="5" t="inlineStr">
        <is>
          <t>TMZ HELI BOMBERO CON LUCES Y SONIDOS</t>
        </is>
      </c>
      <c r="G2463" t="n">
        <v>1</v>
      </c>
      <c r="H2463" s="7" t="n">
        <v>79.90000000000001</v>
      </c>
      <c r="I2463" s="7" t="n">
        <v>7.99</v>
      </c>
      <c r="J2463" s="7" t="n">
        <v>0</v>
      </c>
      <c r="K2463" s="9" t="n">
        <v>7.99</v>
      </c>
      <c r="L2463" s="10" t="n">
        <v>42.66</v>
      </c>
      <c r="M2463" s="10" t="n">
        <v>1.43</v>
      </c>
      <c r="N2463" t="inlineStr">
        <is>
          <t>1</t>
        </is>
      </c>
      <c r="O2463" t="inlineStr">
        <is>
          <t xml:space="preserve">3 </t>
        </is>
      </c>
      <c r="P2463" t="inlineStr">
        <is>
          <t xml:space="preserve">81108   </t>
        </is>
      </c>
      <c r="Q2463" s="26" t="n">
        <v>47.4</v>
      </c>
      <c r="R2463" s="26">
        <f>Q2463*G2463</f>
        <v/>
      </c>
      <c r="S2463" s="26">
        <f>IFERROR(VLOOKUP(E2463*1,Tabla[#All],8,0),0)</f>
        <v/>
      </c>
      <c r="T2463" s="26">
        <f>S2463*G2463</f>
        <v/>
      </c>
      <c r="U2463" s="26">
        <f>R2463-T2463</f>
        <v/>
      </c>
      <c r="V2463" s="26">
        <f>U2463-L2463</f>
        <v/>
      </c>
    </row>
    <row r="2464">
      <c r="A2464" s="11" t="n">
        <v>46228</v>
      </c>
      <c r="B2464" s="1" t="n">
        <v>20024</v>
      </c>
      <c r="C2464" s="1" t="inlineStr">
        <is>
          <t>509</t>
        </is>
      </c>
      <c r="D2464" s="1" t="inlineStr">
        <is>
          <t xml:space="preserve">9052  </t>
        </is>
      </c>
      <c r="E2464" s="1" t="inlineStr">
        <is>
          <t xml:space="preserve">30141766       </t>
        </is>
      </c>
      <c r="F2464" s="5" t="inlineStr">
        <is>
          <t>TMZ BEAST MACHINES AUTOS DE METAL BLISTER X 1</t>
        </is>
      </c>
      <c r="G2464" t="n">
        <v>1</v>
      </c>
      <c r="H2464" s="7" t="n">
        <v>7.9</v>
      </c>
      <c r="I2464" s="7" t="n">
        <v>0.79</v>
      </c>
      <c r="J2464" s="7" t="n">
        <v>0</v>
      </c>
      <c r="K2464" s="9" t="n">
        <v>0.79</v>
      </c>
      <c r="L2464" s="10" t="n">
        <v>4.22</v>
      </c>
      <c r="M2464" s="10" t="n">
        <v>1.43</v>
      </c>
      <c r="N2464" t="inlineStr">
        <is>
          <t>1</t>
        </is>
      </c>
      <c r="O2464" t="inlineStr">
        <is>
          <t>16</t>
        </is>
      </c>
      <c r="P2464" t="inlineStr">
        <is>
          <t xml:space="preserve">252187  </t>
        </is>
      </c>
      <c r="Q2464" s="26" t="n">
        <v>4.69</v>
      </c>
      <c r="R2464" s="26">
        <f>Q2464*G2464</f>
        <v/>
      </c>
      <c r="S2464" s="26">
        <f>IFERROR(VLOOKUP(E2464*1,Tabla[#All],8,0),0)</f>
        <v/>
      </c>
      <c r="T2464" s="26">
        <f>S2464*G2464</f>
        <v/>
      </c>
      <c r="U2464" s="26">
        <f>R2464-T2464</f>
        <v/>
      </c>
      <c r="V2464" s="26">
        <f>U2464-L2464</f>
        <v/>
      </c>
    </row>
    <row r="2465">
      <c r="A2465" s="11" t="n">
        <v>46228</v>
      </c>
      <c r="B2465" s="1" t="n">
        <v>20024</v>
      </c>
      <c r="C2465" s="1" t="inlineStr">
        <is>
          <t>520</t>
        </is>
      </c>
      <c r="D2465" s="1" t="inlineStr">
        <is>
          <t xml:space="preserve">703   </t>
        </is>
      </c>
      <c r="E2465" s="1" t="inlineStr">
        <is>
          <t xml:space="preserve">32457111       </t>
        </is>
      </c>
      <c r="F2465" s="5" t="inlineStr">
        <is>
          <t>TMZ BEAST MACHINES MONSTER JAWS A FRICCION PACK DE</t>
        </is>
      </c>
      <c r="G2465" t="n">
        <v>1</v>
      </c>
      <c r="H2465" s="7" t="n">
        <v>54.9</v>
      </c>
      <c r="I2465" s="7" t="n">
        <v>5.49</v>
      </c>
      <c r="J2465" s="7" t="n">
        <v>0</v>
      </c>
      <c r="K2465" s="9" t="n">
        <v>5.49</v>
      </c>
      <c r="L2465" s="10" t="n">
        <v>29.31</v>
      </c>
      <c r="M2465" s="10" t="n">
        <v>1.43</v>
      </c>
      <c r="N2465" t="inlineStr">
        <is>
          <t>1</t>
        </is>
      </c>
      <c r="O2465" t="inlineStr">
        <is>
          <t>16</t>
        </is>
      </c>
      <c r="P2465" t="inlineStr">
        <is>
          <t xml:space="preserve">250403  </t>
        </is>
      </c>
      <c r="Q2465" s="26" t="n">
        <v>44.43</v>
      </c>
      <c r="R2465" s="26">
        <f>Q2465*G2465</f>
        <v/>
      </c>
      <c r="S2465" s="26">
        <f>IFERROR(VLOOKUP(E2465*1,Tabla[#All],8,0),0)</f>
        <v/>
      </c>
      <c r="T2465" s="26">
        <f>S2465*G2465</f>
        <v/>
      </c>
      <c r="U2465" s="26">
        <f>R2465-T2465</f>
        <v/>
      </c>
      <c r="V2465" s="26">
        <f>U2465-L2465</f>
        <v/>
      </c>
    </row>
    <row r="2466">
      <c r="A2466" s="11" t="n">
        <v>46228</v>
      </c>
      <c r="B2466" s="1" t="n">
        <v>20024</v>
      </c>
      <c r="C2466" s="1" t="inlineStr">
        <is>
          <t>532</t>
        </is>
      </c>
      <c r="D2466" s="1" t="inlineStr">
        <is>
          <t xml:space="preserve">8337  </t>
        </is>
      </c>
      <c r="E2466" s="1" t="inlineStr">
        <is>
          <t xml:space="preserve">34840552       </t>
        </is>
      </c>
      <c r="F2466" s="5" t="inlineStr">
        <is>
          <t>TMZ HELI POLICIA CON LUCES Y SONIDOS</t>
        </is>
      </c>
      <c r="G2466" t="n">
        <v>1</v>
      </c>
      <c r="H2466" s="7" t="n">
        <v>79.90000000000001</v>
      </c>
      <c r="I2466" s="7" t="n">
        <v>0</v>
      </c>
      <c r="J2466" s="7" t="n">
        <v>0</v>
      </c>
      <c r="K2466" s="9" t="n">
        <v>0</v>
      </c>
      <c r="L2466" s="10" t="n">
        <v>47.4</v>
      </c>
      <c r="M2466" s="10" t="n">
        <v>1.43</v>
      </c>
      <c r="N2466" t="inlineStr">
        <is>
          <t>1</t>
        </is>
      </c>
      <c r="O2466" t="inlineStr">
        <is>
          <t>16</t>
        </is>
      </c>
      <c r="P2466" t="inlineStr">
        <is>
          <t xml:space="preserve">250067  </t>
        </is>
      </c>
      <c r="Q2466" s="26" t="n">
        <v>47.4</v>
      </c>
      <c r="R2466" s="26">
        <f>Q2466*G2466</f>
        <v/>
      </c>
      <c r="S2466" s="26">
        <f>IFERROR(VLOOKUP(E2466*1,Tabla[#All],8,0),0)</f>
        <v/>
      </c>
      <c r="T2466" s="26">
        <f>S2466*G2466</f>
        <v/>
      </c>
      <c r="U2466" s="26">
        <f>R2466-T2466</f>
        <v/>
      </c>
      <c r="V2466" s="26">
        <f>U2466-L2466</f>
        <v/>
      </c>
    </row>
    <row r="2467">
      <c r="A2467" s="11" t="n">
        <v>46228</v>
      </c>
      <c r="B2467" s="1" t="n">
        <v>20024</v>
      </c>
      <c r="C2467" s="1" t="inlineStr">
        <is>
          <t>803</t>
        </is>
      </c>
      <c r="D2467" s="1" t="inlineStr">
        <is>
          <t xml:space="preserve">7563  </t>
        </is>
      </c>
      <c r="E2467" s="1" t="inlineStr">
        <is>
          <t xml:space="preserve">29625602       </t>
        </is>
      </c>
      <c r="F2467" s="5" t="inlineStr">
        <is>
          <t>HOT WHEELS CAR CASE MULTIMODULAR POR 28 PCS</t>
        </is>
      </c>
      <c r="G2467" t="n">
        <v>1</v>
      </c>
      <c r="H2467" s="7" t="n">
        <v>94.90000000000001</v>
      </c>
      <c r="I2467" s="7" t="n">
        <v>0</v>
      </c>
      <c r="J2467" s="7" t="n">
        <v>0</v>
      </c>
      <c r="K2467" s="9" t="n">
        <v>0</v>
      </c>
      <c r="L2467" s="10" t="n">
        <v>56.29</v>
      </c>
      <c r="M2467" s="10" t="n">
        <v>1.43</v>
      </c>
      <c r="N2467" t="inlineStr">
        <is>
          <t>1</t>
        </is>
      </c>
      <c r="O2467" t="inlineStr">
        <is>
          <t>16</t>
        </is>
      </c>
      <c r="P2467" t="inlineStr">
        <is>
          <t xml:space="preserve">0       </t>
        </is>
      </c>
      <c r="Q2467" s="26" t="n">
        <v>56.3</v>
      </c>
      <c r="R2467" s="26">
        <f>Q2467*G2467</f>
        <v/>
      </c>
      <c r="S2467" s="26">
        <f>IFERROR(VLOOKUP(E2467*1,Tabla[#All],8,0),0)</f>
        <v/>
      </c>
      <c r="T2467" s="26">
        <f>S2467*G2467</f>
        <v/>
      </c>
      <c r="U2467" s="26">
        <f>R2467-T2467</f>
        <v/>
      </c>
      <c r="V2467" s="26">
        <f>U2467-L2467</f>
        <v/>
      </c>
    </row>
    <row r="2468">
      <c r="A2468" s="11" t="n">
        <v>46228</v>
      </c>
      <c r="B2468" s="1" t="n">
        <v>20024</v>
      </c>
      <c r="C2468" s="1" t="inlineStr">
        <is>
          <t>804</t>
        </is>
      </c>
      <c r="D2468" s="1" t="inlineStr">
        <is>
          <t xml:space="preserve">431   </t>
        </is>
      </c>
      <c r="E2468" s="1" t="inlineStr">
        <is>
          <t xml:space="preserve">28194784       </t>
        </is>
      </c>
      <c r="F2468" s="5" t="inlineStr">
        <is>
          <t>SET DE ACROBACIAS INFINITY NADO CON TROMPO</t>
        </is>
      </c>
      <c r="G2468" t="n">
        <v>1</v>
      </c>
      <c r="H2468" s="7" t="n">
        <v>139</v>
      </c>
      <c r="I2468" s="7" t="n">
        <v>0</v>
      </c>
      <c r="J2468" s="7" t="n">
        <v>0</v>
      </c>
      <c r="K2468" s="9" t="n">
        <v>0</v>
      </c>
      <c r="L2468" s="10" t="n">
        <v>82.45999999999999</v>
      </c>
      <c r="M2468" s="10" t="n">
        <v>1.43</v>
      </c>
      <c r="N2468" t="inlineStr">
        <is>
          <t>1</t>
        </is>
      </c>
      <c r="O2468" t="inlineStr">
        <is>
          <t>16</t>
        </is>
      </c>
      <c r="P2468" t="inlineStr">
        <is>
          <t xml:space="preserve">0       </t>
        </is>
      </c>
      <c r="Q2468" s="26" t="n">
        <v>106.19</v>
      </c>
      <c r="R2468" s="26">
        <f>Q2468*G2468</f>
        <v/>
      </c>
      <c r="S2468" s="26">
        <f>IFERROR(VLOOKUP(E2468*1,Tabla[#All],8,0),0)</f>
        <v/>
      </c>
      <c r="T2468" s="26">
        <f>S2468*G2468</f>
        <v/>
      </c>
      <c r="U2468" s="26">
        <f>R2468-T2468</f>
        <v/>
      </c>
      <c r="V2468" s="26">
        <f>U2468-L2468</f>
        <v/>
      </c>
    </row>
    <row r="2469">
      <c r="A2469" s="11" t="n">
        <v>46228</v>
      </c>
      <c r="B2469" s="1" t="n">
        <v>20025</v>
      </c>
      <c r="C2469" s="1" t="inlineStr">
        <is>
          <t>074</t>
        </is>
      </c>
      <c r="D2469" s="1" t="inlineStr">
        <is>
          <t xml:space="preserve">83621 </t>
        </is>
      </c>
      <c r="E2469" s="1" t="inlineStr">
        <is>
          <t xml:space="preserve">29235700       </t>
        </is>
      </c>
      <c r="F2469" s="5" t="inlineStr">
        <is>
          <t>HOT WHEELS CASE METALICO PARA GUARDAR 18 CARRITOS</t>
        </is>
      </c>
      <c r="G2469" t="n">
        <v>1</v>
      </c>
      <c r="H2469" s="7" t="n">
        <v>49.9</v>
      </c>
      <c r="I2469" s="7" t="n">
        <v>0</v>
      </c>
      <c r="J2469" s="7" t="n">
        <v>0</v>
      </c>
      <c r="K2469" s="9" t="n">
        <v>0</v>
      </c>
      <c r="L2469" s="10" t="n">
        <v>29.6</v>
      </c>
      <c r="M2469" s="10" t="n">
        <v>1.43</v>
      </c>
      <c r="N2469" t="inlineStr">
        <is>
          <t>1</t>
        </is>
      </c>
      <c r="O2469" t="inlineStr">
        <is>
          <t>16</t>
        </is>
      </c>
      <c r="P2469" t="inlineStr">
        <is>
          <t xml:space="preserve">19265   </t>
        </is>
      </c>
      <c r="Q2469" s="26" t="n">
        <v>29.6</v>
      </c>
      <c r="R2469" s="26">
        <f>Q2469*G2469</f>
        <v/>
      </c>
      <c r="S2469" s="26">
        <f>IFERROR(VLOOKUP(E2469*1,Tabla[#All],8,0),0)</f>
        <v/>
      </c>
      <c r="T2469" s="26">
        <f>S2469*G2469</f>
        <v/>
      </c>
      <c r="U2469" s="26">
        <f>R2469-T2469</f>
        <v/>
      </c>
      <c r="V2469" s="26">
        <f>U2469-L2469</f>
        <v/>
      </c>
    </row>
    <row r="2470">
      <c r="A2470" s="11" t="n">
        <v>46228</v>
      </c>
      <c r="B2470" s="1" t="n">
        <v>20025</v>
      </c>
      <c r="C2470" s="1" t="inlineStr">
        <is>
          <t>076</t>
        </is>
      </c>
      <c r="D2470" s="1" t="inlineStr">
        <is>
          <t>148387</t>
        </is>
      </c>
      <c r="E2470" s="1" t="inlineStr">
        <is>
          <t xml:space="preserve">29235700       </t>
        </is>
      </c>
      <c r="F2470" s="5" t="inlineStr">
        <is>
          <t>HOT WHEELS CASE METALICO PARA GUARDAR 18 CARRITOS</t>
        </is>
      </c>
      <c r="G2470" t="n">
        <v>1</v>
      </c>
      <c r="H2470" s="7" t="n">
        <v>49.9</v>
      </c>
      <c r="I2470" s="7" t="n">
        <v>0</v>
      </c>
      <c r="J2470" s="7" t="n">
        <v>0</v>
      </c>
      <c r="K2470" s="9" t="n">
        <v>0</v>
      </c>
      <c r="L2470" s="10" t="n">
        <v>29.6</v>
      </c>
      <c r="M2470" s="10" t="n">
        <v>1.43</v>
      </c>
      <c r="N2470" t="inlineStr">
        <is>
          <t>1</t>
        </is>
      </c>
      <c r="O2470" t="inlineStr">
        <is>
          <t>16</t>
        </is>
      </c>
      <c r="P2470" t="inlineStr">
        <is>
          <t xml:space="preserve">22890   </t>
        </is>
      </c>
      <c r="Q2470" s="26" t="n">
        <v>29.6</v>
      </c>
      <c r="R2470" s="26">
        <f>Q2470*G2470</f>
        <v/>
      </c>
      <c r="S2470" s="26">
        <f>IFERROR(VLOOKUP(E2470*1,Tabla[#All],8,0),0)</f>
        <v/>
      </c>
      <c r="T2470" s="26">
        <f>S2470*G2470</f>
        <v/>
      </c>
      <c r="U2470" s="26">
        <f>R2470-T2470</f>
        <v/>
      </c>
      <c r="V2470" s="26">
        <f>U2470-L2470</f>
        <v/>
      </c>
    </row>
    <row r="2471">
      <c r="A2471" s="11" t="n">
        <v>46228</v>
      </c>
      <c r="B2471" s="1" t="n">
        <v>20025</v>
      </c>
      <c r="C2471" s="1" t="inlineStr">
        <is>
          <t>076</t>
        </is>
      </c>
      <c r="D2471" s="1" t="inlineStr">
        <is>
          <t>148397</t>
        </is>
      </c>
      <c r="E2471" s="1" t="inlineStr">
        <is>
          <t xml:space="preserve">30141769       </t>
        </is>
      </c>
      <c r="F2471" s="5" t="inlineStr">
        <is>
          <t>TMZ BEAST MACHINES TRANSPORTE DINOSAURIO + 3 AUTOS</t>
        </is>
      </c>
      <c r="G2471" t="n">
        <v>1</v>
      </c>
      <c r="H2471" s="7" t="n">
        <v>59.9</v>
      </c>
      <c r="I2471" s="7" t="n">
        <v>0</v>
      </c>
      <c r="J2471" s="7" t="n">
        <v>0</v>
      </c>
      <c r="K2471" s="9" t="n">
        <v>0</v>
      </c>
      <c r="L2471" s="10" t="n">
        <v>35.53</v>
      </c>
      <c r="M2471" s="10" t="n">
        <v>1.43</v>
      </c>
      <c r="N2471" t="inlineStr">
        <is>
          <t>1</t>
        </is>
      </c>
      <c r="O2471" t="inlineStr">
        <is>
          <t>16</t>
        </is>
      </c>
      <c r="P2471" t="inlineStr">
        <is>
          <t xml:space="preserve">22890   </t>
        </is>
      </c>
      <c r="Q2471" s="26" t="n">
        <v>47.4</v>
      </c>
      <c r="R2471" s="26">
        <f>Q2471*G2471</f>
        <v/>
      </c>
      <c r="S2471" s="26">
        <f>IFERROR(VLOOKUP(E2471*1,Tabla[#All],8,0),0)</f>
        <v/>
      </c>
      <c r="T2471" s="26">
        <f>S2471*G2471</f>
        <v/>
      </c>
      <c r="U2471" s="26">
        <f>R2471-T2471</f>
        <v/>
      </c>
      <c r="V2471" s="26">
        <f>U2471-L2471</f>
        <v/>
      </c>
    </row>
    <row r="2472">
      <c r="A2472" s="11" t="n">
        <v>46228</v>
      </c>
      <c r="B2472" s="1" t="n">
        <v>20025</v>
      </c>
      <c r="C2472" s="1" t="inlineStr">
        <is>
          <t>081</t>
        </is>
      </c>
      <c r="D2472" s="1" t="inlineStr">
        <is>
          <t>267075</t>
        </is>
      </c>
      <c r="E2472" s="1" t="inlineStr">
        <is>
          <t xml:space="preserve">29235712       </t>
        </is>
      </c>
      <c r="F2472" s="5" t="inlineStr">
        <is>
          <t>TEAMSTERZ DISPARADOR DINOSAURIO INCL. 1 AUTO</t>
        </is>
      </c>
      <c r="G2472" t="n">
        <v>1</v>
      </c>
      <c r="H2472" s="7" t="n">
        <v>12.9</v>
      </c>
      <c r="I2472" s="7" t="n">
        <v>1.29</v>
      </c>
      <c r="J2472" s="7" t="n">
        <v>0</v>
      </c>
      <c r="K2472" s="9" t="n">
        <v>1.29</v>
      </c>
      <c r="L2472" s="10" t="n">
        <v>6.89</v>
      </c>
      <c r="M2472" s="10" t="n">
        <v>1.43</v>
      </c>
      <c r="N2472" t="inlineStr">
        <is>
          <t>1</t>
        </is>
      </c>
      <c r="O2472" t="inlineStr">
        <is>
          <t xml:space="preserve">3 </t>
        </is>
      </c>
      <c r="P2472" t="inlineStr">
        <is>
          <t xml:space="preserve">45039   </t>
        </is>
      </c>
      <c r="Q2472" s="26" t="n">
        <v>17.74</v>
      </c>
      <c r="R2472" s="26">
        <f>Q2472*G2472</f>
        <v/>
      </c>
      <c r="S2472" s="26">
        <f>IFERROR(VLOOKUP(E2472*1,Tabla[#All],8,0),0)</f>
        <v/>
      </c>
      <c r="T2472" s="26">
        <f>S2472*G2472</f>
        <v/>
      </c>
      <c r="U2472" s="26">
        <f>R2472-T2472</f>
        <v/>
      </c>
      <c r="V2472" s="26">
        <f>U2472-L2472</f>
        <v/>
      </c>
    </row>
    <row r="2473">
      <c r="A2473" s="11" t="n">
        <v>46228</v>
      </c>
      <c r="B2473" s="1" t="n">
        <v>20025</v>
      </c>
      <c r="C2473" s="1" t="inlineStr">
        <is>
          <t>112</t>
        </is>
      </c>
      <c r="D2473" s="1" t="inlineStr">
        <is>
          <t xml:space="preserve">11568 </t>
        </is>
      </c>
      <c r="E2473" s="1" t="inlineStr">
        <is>
          <t xml:space="preserve">28194769       </t>
        </is>
      </c>
      <c r="F2473" s="5" t="inlineStr">
        <is>
          <t>AUTOS DE METAL 3 TEAMSTERZ PACK DE 2</t>
        </is>
      </c>
      <c r="G2473" t="n">
        <v>1</v>
      </c>
      <c r="H2473" s="7" t="n">
        <v>13.8</v>
      </c>
      <c r="I2473" s="7" t="n">
        <v>0</v>
      </c>
      <c r="J2473" s="7" t="n">
        <v>0</v>
      </c>
      <c r="K2473" s="9" t="n">
        <v>0</v>
      </c>
      <c r="L2473" s="10" t="n">
        <v>8.18</v>
      </c>
      <c r="M2473" s="10" t="n">
        <v>1.43</v>
      </c>
      <c r="N2473" t="inlineStr">
        <is>
          <t>1</t>
        </is>
      </c>
      <c r="O2473" t="inlineStr">
        <is>
          <t>16</t>
        </is>
      </c>
      <c r="P2473" t="inlineStr">
        <is>
          <t xml:space="preserve">251187  </t>
        </is>
      </c>
      <c r="Q2473" s="26" t="n">
        <v>8.19</v>
      </c>
      <c r="R2473" s="26">
        <f>Q2473*G2473</f>
        <v/>
      </c>
      <c r="S2473" s="26">
        <f>IFERROR(VLOOKUP(E2473*1,Tabla[#All],8,0),0)</f>
        <v/>
      </c>
      <c r="T2473" s="26">
        <f>S2473*G2473</f>
        <v/>
      </c>
      <c r="U2473" s="26">
        <f>R2473-T2473</f>
        <v/>
      </c>
      <c r="V2473" s="26">
        <f>U2473-L2473</f>
        <v/>
      </c>
    </row>
    <row r="2474">
      <c r="A2474" s="11" t="n">
        <v>46228</v>
      </c>
      <c r="B2474" s="1" t="n">
        <v>20028</v>
      </c>
      <c r="C2474" s="1" t="inlineStr">
        <is>
          <t>011</t>
        </is>
      </c>
      <c r="D2474" s="1" t="inlineStr">
        <is>
          <t xml:space="preserve">34156 </t>
        </is>
      </c>
      <c r="E2474" s="1" t="inlineStr">
        <is>
          <t xml:space="preserve">28194769       </t>
        </is>
      </c>
      <c r="F2474" s="5" t="inlineStr">
        <is>
          <t>AUTOS DE METAL 3 TEAMSTERZ PACK DE 2</t>
        </is>
      </c>
      <c r="G2474" t="n">
        <v>1</v>
      </c>
      <c r="H2474" s="7" t="n">
        <v>13.8</v>
      </c>
      <c r="I2474" s="7" t="n">
        <v>0</v>
      </c>
      <c r="J2474" s="7" t="n">
        <v>0</v>
      </c>
      <c r="K2474" s="9" t="n">
        <v>0</v>
      </c>
      <c r="L2474" s="10" t="n">
        <v>8.18</v>
      </c>
      <c r="M2474" s="10" t="n">
        <v>1.43</v>
      </c>
      <c r="N2474" t="inlineStr">
        <is>
          <t>1</t>
        </is>
      </c>
      <c r="O2474" t="inlineStr">
        <is>
          <t xml:space="preserve">2 </t>
        </is>
      </c>
      <c r="P2474" t="inlineStr">
        <is>
          <t xml:space="preserve">31171   </t>
        </is>
      </c>
      <c r="Q2474" s="26" t="n">
        <v>8.19</v>
      </c>
      <c r="R2474" s="26">
        <f>Q2474*G2474</f>
        <v/>
      </c>
      <c r="S2474" s="26">
        <f>IFERROR(VLOOKUP(E2474*1,Tabla[#All],8,0),0)</f>
        <v/>
      </c>
      <c r="T2474" s="26">
        <f>S2474*G2474</f>
        <v/>
      </c>
      <c r="U2474" s="26">
        <f>R2474-T2474</f>
        <v/>
      </c>
      <c r="V2474" s="26">
        <f>U2474-L2474</f>
        <v/>
      </c>
    </row>
    <row r="2475">
      <c r="A2475" s="11" t="n">
        <v>46228</v>
      </c>
      <c r="B2475" s="1" t="n">
        <v>20028</v>
      </c>
      <c r="C2475" s="1" t="inlineStr">
        <is>
          <t>011</t>
        </is>
      </c>
      <c r="D2475" s="1" t="inlineStr">
        <is>
          <t xml:space="preserve">34156 </t>
        </is>
      </c>
      <c r="E2475" s="1" t="inlineStr">
        <is>
          <t xml:space="preserve">28194770       </t>
        </is>
      </c>
      <c r="F2475" s="5" t="inlineStr">
        <is>
          <t>AUTOS DE METAL 3 TEAMSTERZ EN BLISTER</t>
        </is>
      </c>
      <c r="G2475" t="n">
        <v>1</v>
      </c>
      <c r="H2475" s="7" t="n">
        <v>6.9</v>
      </c>
      <c r="I2475" s="7" t="n">
        <v>0</v>
      </c>
      <c r="J2475" s="7" t="n">
        <v>0</v>
      </c>
      <c r="K2475" s="9" t="n">
        <v>0</v>
      </c>
      <c r="L2475" s="10" t="n">
        <v>4.1</v>
      </c>
      <c r="M2475" s="10" t="n">
        <v>1.43</v>
      </c>
      <c r="N2475" t="inlineStr">
        <is>
          <t>1</t>
        </is>
      </c>
      <c r="O2475" t="inlineStr">
        <is>
          <t xml:space="preserve">2 </t>
        </is>
      </c>
      <c r="P2475" t="inlineStr">
        <is>
          <t xml:space="preserve">31171   </t>
        </is>
      </c>
      <c r="Q2475" s="26" t="n">
        <v>4.09</v>
      </c>
      <c r="R2475" s="26">
        <f>Q2475*G2475</f>
        <v/>
      </c>
      <c r="S2475" s="26">
        <f>IFERROR(VLOOKUP(E2475*1,Tabla[#All],8,0),0)</f>
        <v/>
      </c>
      <c r="T2475" s="26">
        <f>S2475*G2475</f>
        <v/>
      </c>
      <c r="U2475" s="26">
        <f>R2475-T2475</f>
        <v/>
      </c>
      <c r="V2475" s="26">
        <f>U2475-L2475</f>
        <v/>
      </c>
    </row>
    <row r="2476">
      <c r="A2476" s="11" t="n">
        <v>46228</v>
      </c>
      <c r="B2476" s="1" t="n">
        <v>20028</v>
      </c>
      <c r="C2476" s="1" t="inlineStr">
        <is>
          <t>011</t>
        </is>
      </c>
      <c r="D2476" s="1" t="inlineStr">
        <is>
          <t xml:space="preserve">34156 </t>
        </is>
      </c>
      <c r="E2476" s="1" t="inlineStr">
        <is>
          <t xml:space="preserve">28194770       </t>
        </is>
      </c>
      <c r="F2476" s="5" t="inlineStr">
        <is>
          <t>AUTOS DE METAL 3 TEAMSTERZ EN BLISTER</t>
        </is>
      </c>
      <c r="G2476" t="n">
        <v>1</v>
      </c>
      <c r="H2476" s="7" t="n">
        <v>6.9</v>
      </c>
      <c r="I2476" s="7" t="n">
        <v>0</v>
      </c>
      <c r="J2476" s="7" t="n">
        <v>0</v>
      </c>
      <c r="K2476" s="9" t="n">
        <v>0</v>
      </c>
      <c r="L2476" s="10" t="n">
        <v>4.1</v>
      </c>
      <c r="M2476" s="10" t="n">
        <v>1.43</v>
      </c>
      <c r="N2476" t="inlineStr">
        <is>
          <t>1</t>
        </is>
      </c>
      <c r="O2476" t="inlineStr">
        <is>
          <t xml:space="preserve">2 </t>
        </is>
      </c>
      <c r="P2476" t="inlineStr">
        <is>
          <t xml:space="preserve">31171   </t>
        </is>
      </c>
      <c r="Q2476" s="26" t="n">
        <v>4.09</v>
      </c>
      <c r="R2476" s="26">
        <f>Q2476*G2476</f>
        <v/>
      </c>
      <c r="S2476" s="26">
        <f>IFERROR(VLOOKUP(E2476*1,Tabla[#All],8,0),0)</f>
        <v/>
      </c>
      <c r="T2476" s="26">
        <f>S2476*G2476</f>
        <v/>
      </c>
      <c r="U2476" s="26">
        <f>R2476-T2476</f>
        <v/>
      </c>
      <c r="V2476" s="26">
        <f>U2476-L2476</f>
        <v/>
      </c>
    </row>
    <row r="2477">
      <c r="A2477" s="11" t="n">
        <v>46228</v>
      </c>
      <c r="B2477" s="1" t="n">
        <v>20028</v>
      </c>
      <c r="C2477" s="1" t="inlineStr">
        <is>
          <t>011</t>
        </is>
      </c>
      <c r="D2477" s="1" t="inlineStr">
        <is>
          <t xml:space="preserve">34156 </t>
        </is>
      </c>
      <c r="E2477" s="1" t="inlineStr">
        <is>
          <t xml:space="preserve">28194770       </t>
        </is>
      </c>
      <c r="F2477" s="5" t="inlineStr">
        <is>
          <t>AUTOS DE METAL 3 TEAMSTERZ EN BLISTER</t>
        </is>
      </c>
      <c r="G2477" t="n">
        <v>1</v>
      </c>
      <c r="H2477" s="7" t="n">
        <v>6.9</v>
      </c>
      <c r="I2477" s="7" t="n">
        <v>0</v>
      </c>
      <c r="J2477" s="7" t="n">
        <v>0</v>
      </c>
      <c r="K2477" s="9" t="n">
        <v>0</v>
      </c>
      <c r="L2477" s="10" t="n">
        <v>4.1</v>
      </c>
      <c r="M2477" s="10" t="n">
        <v>1.43</v>
      </c>
      <c r="N2477" t="inlineStr">
        <is>
          <t>1</t>
        </is>
      </c>
      <c r="O2477" t="inlineStr">
        <is>
          <t xml:space="preserve">2 </t>
        </is>
      </c>
      <c r="P2477" t="inlineStr">
        <is>
          <t xml:space="preserve">31171   </t>
        </is>
      </c>
      <c r="Q2477" s="26" t="n">
        <v>4.09</v>
      </c>
      <c r="R2477" s="26">
        <f>Q2477*G2477</f>
        <v/>
      </c>
      <c r="S2477" s="26">
        <f>IFERROR(VLOOKUP(E2477*1,Tabla[#All],8,0),0)</f>
        <v/>
      </c>
      <c r="T2477" s="26">
        <f>S2477*G2477</f>
        <v/>
      </c>
      <c r="U2477" s="26">
        <f>R2477-T2477</f>
        <v/>
      </c>
      <c r="V2477" s="26">
        <f>U2477-L2477</f>
        <v/>
      </c>
    </row>
    <row r="2478">
      <c r="A2478" s="11" t="n">
        <v>46228</v>
      </c>
      <c r="B2478" s="1" t="n">
        <v>20028</v>
      </c>
      <c r="C2478" s="1" t="inlineStr">
        <is>
          <t>011</t>
        </is>
      </c>
      <c r="D2478" s="1" t="inlineStr">
        <is>
          <t xml:space="preserve">34156 </t>
        </is>
      </c>
      <c r="E2478" s="1" t="inlineStr">
        <is>
          <t xml:space="preserve">28194770       </t>
        </is>
      </c>
      <c r="F2478" s="5" t="inlineStr">
        <is>
          <t>AUTOS DE METAL 3 TEAMSTERZ EN BLISTER</t>
        </is>
      </c>
      <c r="G2478" t="n">
        <v>1</v>
      </c>
      <c r="H2478" s="7" t="n">
        <v>6.9</v>
      </c>
      <c r="I2478" s="7" t="n">
        <v>0</v>
      </c>
      <c r="J2478" s="7" t="n">
        <v>0</v>
      </c>
      <c r="K2478" s="9" t="n">
        <v>0</v>
      </c>
      <c r="L2478" s="10" t="n">
        <v>4.1</v>
      </c>
      <c r="M2478" s="10" t="n">
        <v>1.43</v>
      </c>
      <c r="N2478" t="inlineStr">
        <is>
          <t>1</t>
        </is>
      </c>
      <c r="O2478" t="inlineStr">
        <is>
          <t xml:space="preserve">2 </t>
        </is>
      </c>
      <c r="P2478" t="inlineStr">
        <is>
          <t xml:space="preserve">31171   </t>
        </is>
      </c>
      <c r="Q2478" s="26" t="n">
        <v>4.09</v>
      </c>
      <c r="R2478" s="26">
        <f>Q2478*G2478</f>
        <v/>
      </c>
      <c r="S2478" s="26">
        <f>IFERROR(VLOOKUP(E2478*1,Tabla[#All],8,0),0)</f>
        <v/>
      </c>
      <c r="T2478" s="26">
        <f>S2478*G2478</f>
        <v/>
      </c>
      <c r="U2478" s="26">
        <f>R2478-T2478</f>
        <v/>
      </c>
      <c r="V2478" s="26">
        <f>U2478-L2478</f>
        <v/>
      </c>
    </row>
    <row r="2479">
      <c r="A2479" s="11" t="n">
        <v>46228</v>
      </c>
      <c r="B2479" s="1" t="n">
        <v>20028</v>
      </c>
      <c r="C2479" s="1" t="inlineStr">
        <is>
          <t>011</t>
        </is>
      </c>
      <c r="D2479" s="1" t="inlineStr">
        <is>
          <t xml:space="preserve">34156 </t>
        </is>
      </c>
      <c r="E2479" s="1" t="inlineStr">
        <is>
          <t xml:space="preserve">28194770       </t>
        </is>
      </c>
      <c r="F2479" s="5" t="inlineStr">
        <is>
          <t>AUTOS DE METAL 3 TEAMSTERZ EN BLISTER</t>
        </is>
      </c>
      <c r="G2479" t="n">
        <v>1</v>
      </c>
      <c r="H2479" s="7" t="n">
        <v>6.9</v>
      </c>
      <c r="I2479" s="7" t="n">
        <v>0</v>
      </c>
      <c r="J2479" s="7" t="n">
        <v>0</v>
      </c>
      <c r="K2479" s="9" t="n">
        <v>0</v>
      </c>
      <c r="L2479" s="10" t="n">
        <v>4.1</v>
      </c>
      <c r="M2479" s="10" t="n">
        <v>1.43</v>
      </c>
      <c r="N2479" t="inlineStr">
        <is>
          <t>1</t>
        </is>
      </c>
      <c r="O2479" t="inlineStr">
        <is>
          <t xml:space="preserve">2 </t>
        </is>
      </c>
      <c r="P2479" t="inlineStr">
        <is>
          <t xml:space="preserve">31171   </t>
        </is>
      </c>
      <c r="Q2479" s="26" t="n">
        <v>4.09</v>
      </c>
      <c r="R2479" s="26">
        <f>Q2479*G2479</f>
        <v/>
      </c>
      <c r="S2479" s="26">
        <f>IFERROR(VLOOKUP(E2479*1,Tabla[#All],8,0),0)</f>
        <v/>
      </c>
      <c r="T2479" s="26">
        <f>S2479*G2479</f>
        <v/>
      </c>
      <c r="U2479" s="26">
        <f>R2479-T2479</f>
        <v/>
      </c>
      <c r="V2479" s="26">
        <f>U2479-L2479</f>
        <v/>
      </c>
    </row>
    <row r="2480">
      <c r="A2480" s="11" t="n">
        <v>46228</v>
      </c>
      <c r="B2480" s="1" t="n">
        <v>20030</v>
      </c>
      <c r="C2480" s="1" t="inlineStr">
        <is>
          <t>067</t>
        </is>
      </c>
      <c r="D2480" s="1" t="inlineStr">
        <is>
          <t>275046</t>
        </is>
      </c>
      <c r="E2480" s="1" t="inlineStr">
        <is>
          <t xml:space="preserve">28194770       </t>
        </is>
      </c>
      <c r="F2480" s="5" t="inlineStr">
        <is>
          <t>AUTOS DE METAL 3 TEAMSTERZ EN BLISTER</t>
        </is>
      </c>
      <c r="G2480" t="n">
        <v>1</v>
      </c>
      <c r="H2480" s="7" t="n">
        <v>6.9</v>
      </c>
      <c r="I2480" s="7" t="n">
        <v>0.6899999999999999</v>
      </c>
      <c r="J2480" s="7" t="n">
        <v>0</v>
      </c>
      <c r="K2480" s="9" t="n">
        <v>0.6899999999999999</v>
      </c>
      <c r="L2480" s="10" t="n">
        <v>3.68</v>
      </c>
      <c r="M2480" s="10" t="n">
        <v>1.43</v>
      </c>
      <c r="N2480" t="inlineStr">
        <is>
          <t>1</t>
        </is>
      </c>
      <c r="O2480" t="inlineStr">
        <is>
          <t>16</t>
        </is>
      </c>
      <c r="P2480" t="inlineStr">
        <is>
          <t xml:space="preserve">44915   </t>
        </is>
      </c>
      <c r="Q2480" s="26" t="n">
        <v>4.09</v>
      </c>
      <c r="R2480" s="26">
        <f>Q2480*G2480</f>
        <v/>
      </c>
      <c r="S2480" s="26">
        <f>IFERROR(VLOOKUP(E2480*1,Tabla[#All],8,0),0)</f>
        <v/>
      </c>
      <c r="T2480" s="26">
        <f>S2480*G2480</f>
        <v/>
      </c>
      <c r="U2480" s="26">
        <f>R2480-T2480</f>
        <v/>
      </c>
      <c r="V2480" s="26">
        <f>U2480-L2480</f>
        <v/>
      </c>
    </row>
    <row r="2481">
      <c r="A2481" s="11" t="n">
        <v>46228</v>
      </c>
      <c r="B2481" s="1" t="n">
        <v>20030</v>
      </c>
      <c r="C2481" s="1" t="inlineStr">
        <is>
          <t>067</t>
        </is>
      </c>
      <c r="D2481" s="1" t="inlineStr">
        <is>
          <t>275046</t>
        </is>
      </c>
      <c r="E2481" s="1" t="inlineStr">
        <is>
          <t xml:space="preserve">28194770       </t>
        </is>
      </c>
      <c r="F2481" s="5" t="inlineStr">
        <is>
          <t>AUTOS DE METAL 3 TEAMSTERZ EN BLISTER</t>
        </is>
      </c>
      <c r="G2481" t="n">
        <v>1</v>
      </c>
      <c r="H2481" s="7" t="n">
        <v>6.9</v>
      </c>
      <c r="I2481" s="7" t="n">
        <v>0.6899999999999999</v>
      </c>
      <c r="J2481" s="7" t="n">
        <v>0</v>
      </c>
      <c r="K2481" s="9" t="n">
        <v>0.6899999999999999</v>
      </c>
      <c r="L2481" s="10" t="n">
        <v>3.68</v>
      </c>
      <c r="M2481" s="10" t="n">
        <v>1.43</v>
      </c>
      <c r="N2481" t="inlineStr">
        <is>
          <t>1</t>
        </is>
      </c>
      <c r="O2481" t="inlineStr">
        <is>
          <t>16</t>
        </is>
      </c>
      <c r="P2481" t="inlineStr">
        <is>
          <t xml:space="preserve">44915   </t>
        </is>
      </c>
      <c r="Q2481" s="26" t="n">
        <v>4.09</v>
      </c>
      <c r="R2481" s="26">
        <f>Q2481*G2481</f>
        <v/>
      </c>
      <c r="S2481" s="26">
        <f>IFERROR(VLOOKUP(E2481*1,Tabla[#All],8,0),0)</f>
        <v/>
      </c>
      <c r="T2481" s="26">
        <f>S2481*G2481</f>
        <v/>
      </c>
      <c r="U2481" s="26">
        <f>R2481-T2481</f>
        <v/>
      </c>
      <c r="V2481" s="26">
        <f>U2481-L2481</f>
        <v/>
      </c>
    </row>
    <row r="2482">
      <c r="A2482" s="11" t="n">
        <v>46228</v>
      </c>
      <c r="B2482" s="1" t="n">
        <v>20030</v>
      </c>
      <c r="C2482" s="1" t="inlineStr">
        <is>
          <t>067</t>
        </is>
      </c>
      <c r="D2482" s="1" t="inlineStr">
        <is>
          <t>275079</t>
        </is>
      </c>
      <c r="E2482" s="1" t="inlineStr">
        <is>
          <t xml:space="preserve">30141766       </t>
        </is>
      </c>
      <c r="F2482" s="5" t="inlineStr">
        <is>
          <t>TMZ BEAST MACHINES AUTOS DE METAL BLISTER X 1</t>
        </is>
      </c>
      <c r="G2482" t="n">
        <v>1</v>
      </c>
      <c r="H2482" s="7" t="n">
        <v>7.9</v>
      </c>
      <c r="I2482" s="7" t="n">
        <v>0</v>
      </c>
      <c r="J2482" s="7" t="n">
        <v>0</v>
      </c>
      <c r="K2482" s="9" t="n">
        <v>0</v>
      </c>
      <c r="L2482" s="10" t="n">
        <v>4.68</v>
      </c>
      <c r="M2482" s="10" t="n">
        <v>1.43</v>
      </c>
      <c r="N2482" t="inlineStr">
        <is>
          <t>1</t>
        </is>
      </c>
      <c r="O2482" t="inlineStr">
        <is>
          <t xml:space="preserve">6 </t>
        </is>
      </c>
      <c r="P2482" t="inlineStr">
        <is>
          <t xml:space="preserve">44915   </t>
        </is>
      </c>
      <c r="Q2482" s="26" t="n">
        <v>4.69</v>
      </c>
      <c r="R2482" s="26">
        <f>Q2482*G2482</f>
        <v/>
      </c>
      <c r="S2482" s="26">
        <f>IFERROR(VLOOKUP(E2482*1,Tabla[#All],8,0),0)</f>
        <v/>
      </c>
      <c r="T2482" s="26">
        <f>S2482*G2482</f>
        <v/>
      </c>
      <c r="U2482" s="26">
        <f>R2482-T2482</f>
        <v/>
      </c>
      <c r="V2482" s="26">
        <f>U2482-L2482</f>
        <v/>
      </c>
    </row>
    <row r="2483">
      <c r="A2483" s="11" t="n">
        <v>46228</v>
      </c>
      <c r="B2483" s="1" t="n">
        <v>20030</v>
      </c>
      <c r="C2483" s="1" t="inlineStr">
        <is>
          <t>077</t>
        </is>
      </c>
      <c r="D2483" s="1" t="inlineStr">
        <is>
          <t>232841</t>
        </is>
      </c>
      <c r="E2483" s="1" t="inlineStr">
        <is>
          <t xml:space="preserve">28194769       </t>
        </is>
      </c>
      <c r="F2483" s="5" t="inlineStr">
        <is>
          <t>AUTOS DE METAL 3 TEAMSTERZ PACK DE 2</t>
        </is>
      </c>
      <c r="G2483" t="n">
        <v>1</v>
      </c>
      <c r="H2483" s="7" t="n">
        <v>13.8</v>
      </c>
      <c r="I2483" s="7" t="n">
        <v>0</v>
      </c>
      <c r="J2483" s="7" t="n">
        <v>0</v>
      </c>
      <c r="K2483" s="9" t="n">
        <v>0</v>
      </c>
      <c r="L2483" s="10" t="n">
        <v>8.18</v>
      </c>
      <c r="M2483" s="10" t="n">
        <v>1.43</v>
      </c>
      <c r="N2483" t="inlineStr">
        <is>
          <t>1</t>
        </is>
      </c>
      <c r="O2483" t="inlineStr">
        <is>
          <t>16</t>
        </is>
      </c>
      <c r="P2483" t="inlineStr">
        <is>
          <t xml:space="preserve">15567   </t>
        </is>
      </c>
      <c r="Q2483" s="26" t="n">
        <v>8.19</v>
      </c>
      <c r="R2483" s="26">
        <f>Q2483*G2483</f>
        <v/>
      </c>
      <c r="S2483" s="26">
        <f>IFERROR(VLOOKUP(E2483*1,Tabla[#All],8,0),0)</f>
        <v/>
      </c>
      <c r="T2483" s="26">
        <f>S2483*G2483</f>
        <v/>
      </c>
      <c r="U2483" s="26">
        <f>R2483-T2483</f>
        <v/>
      </c>
      <c r="V2483" s="26">
        <f>U2483-L2483</f>
        <v/>
      </c>
    </row>
    <row r="2484">
      <c r="A2484" s="11" t="n">
        <v>46228</v>
      </c>
      <c r="B2484" s="1" t="n">
        <v>20030</v>
      </c>
      <c r="C2484" s="1" t="inlineStr">
        <is>
          <t>077</t>
        </is>
      </c>
      <c r="D2484" s="1" t="inlineStr">
        <is>
          <t>232846</t>
        </is>
      </c>
      <c r="E2484" s="1" t="inlineStr">
        <is>
          <t xml:space="preserve">28194769       </t>
        </is>
      </c>
      <c r="F2484" s="5" t="inlineStr">
        <is>
          <t>AUTOS DE METAL 3 TEAMSTERZ PACK DE 2</t>
        </is>
      </c>
      <c r="G2484" t="n">
        <v>1</v>
      </c>
      <c r="H2484" s="7" t="n">
        <v>13.8</v>
      </c>
      <c r="I2484" s="7" t="n">
        <v>0</v>
      </c>
      <c r="J2484" s="7" t="n">
        <v>0</v>
      </c>
      <c r="K2484" s="9" t="n">
        <v>0</v>
      </c>
      <c r="L2484" s="10" t="n">
        <v>8.18</v>
      </c>
      <c r="M2484" s="10" t="n">
        <v>1.43</v>
      </c>
      <c r="N2484" t="inlineStr">
        <is>
          <t>1</t>
        </is>
      </c>
      <c r="O2484" t="inlineStr">
        <is>
          <t>16</t>
        </is>
      </c>
      <c r="P2484" t="inlineStr">
        <is>
          <t xml:space="preserve">15567   </t>
        </is>
      </c>
      <c r="Q2484" s="26" t="n">
        <v>8.19</v>
      </c>
      <c r="R2484" s="26">
        <f>Q2484*G2484</f>
        <v/>
      </c>
      <c r="S2484" s="26">
        <f>IFERROR(VLOOKUP(E2484*1,Tabla[#All],8,0),0)</f>
        <v/>
      </c>
      <c r="T2484" s="26">
        <f>S2484*G2484</f>
        <v/>
      </c>
      <c r="U2484" s="26">
        <f>R2484-T2484</f>
        <v/>
      </c>
      <c r="V2484" s="26">
        <f>U2484-L2484</f>
        <v/>
      </c>
    </row>
    <row r="2485">
      <c r="A2485" s="11" t="n">
        <v>46228</v>
      </c>
      <c r="B2485" s="1" t="n">
        <v>20030</v>
      </c>
      <c r="C2485" s="1" t="inlineStr">
        <is>
          <t>077</t>
        </is>
      </c>
      <c r="D2485" s="1" t="inlineStr">
        <is>
          <t xml:space="preserve">8671  </t>
        </is>
      </c>
      <c r="E2485" s="1" t="inlineStr">
        <is>
          <t xml:space="preserve">28194769       </t>
        </is>
      </c>
      <c r="F2485" s="5" t="inlineStr">
        <is>
          <t>AUTOS DE METAL 3 TEAMSTERZ PACK DE 2</t>
        </is>
      </c>
      <c r="G2485" t="n">
        <v>-1</v>
      </c>
      <c r="H2485" s="7" t="n">
        <v>-13.8</v>
      </c>
      <c r="I2485" s="7" t="n">
        <v>0</v>
      </c>
      <c r="J2485" s="7" t="n">
        <v>0</v>
      </c>
      <c r="K2485" s="9" t="n">
        <v>0</v>
      </c>
      <c r="L2485" s="10" t="n">
        <v>-8.18</v>
      </c>
      <c r="M2485" s="10" t="n">
        <v>0</v>
      </c>
      <c r="N2485" t="inlineStr">
        <is>
          <t>3</t>
        </is>
      </c>
      <c r="O2485" t="inlineStr">
        <is>
          <t>36</t>
        </is>
      </c>
      <c r="P2485" t="inlineStr">
        <is>
          <t xml:space="preserve">52454   </t>
        </is>
      </c>
      <c r="Q2485" s="26" t="n">
        <v>8.19</v>
      </c>
      <c r="R2485" s="26">
        <f>Q2485*G2485</f>
        <v/>
      </c>
      <c r="S2485" s="26">
        <f>IFERROR(VLOOKUP(E2485*1,Tabla[#All],8,0),0)</f>
        <v/>
      </c>
      <c r="T2485" s="26">
        <f>S2485*G2485</f>
        <v/>
      </c>
      <c r="U2485" s="26">
        <f>R2485-T2485</f>
        <v/>
      </c>
      <c r="V2485" s="26">
        <f>U2485-L2485</f>
        <v/>
      </c>
    </row>
    <row r="2486">
      <c r="A2486" s="11" t="n">
        <v>46228</v>
      </c>
      <c r="B2486" s="1" t="n">
        <v>20030</v>
      </c>
      <c r="C2486" s="1" t="inlineStr">
        <is>
          <t>525</t>
        </is>
      </c>
      <c r="D2486" s="1" t="inlineStr">
        <is>
          <t xml:space="preserve">3659  </t>
        </is>
      </c>
      <c r="E2486" s="1" t="inlineStr">
        <is>
          <t xml:space="preserve">28194768       </t>
        </is>
      </c>
      <c r="F2486" s="5" t="inlineStr">
        <is>
          <t>AUTO COLOR CHANGE TEAMSTERZ SURTIDO</t>
        </is>
      </c>
      <c r="G2486" t="n">
        <v>1</v>
      </c>
      <c r="H2486" s="7" t="n">
        <v>14.9</v>
      </c>
      <c r="I2486" s="7" t="n">
        <v>0</v>
      </c>
      <c r="J2486" s="7" t="n">
        <v>0</v>
      </c>
      <c r="K2486" s="9" t="n">
        <v>0</v>
      </c>
      <c r="L2486" s="10" t="n">
        <v>8.84</v>
      </c>
      <c r="M2486" s="10" t="n">
        <v>1.43</v>
      </c>
      <c r="N2486" t="inlineStr">
        <is>
          <t>1</t>
        </is>
      </c>
      <c r="O2486" t="inlineStr">
        <is>
          <t>16</t>
        </is>
      </c>
      <c r="P2486" t="inlineStr">
        <is>
          <t xml:space="preserve">248502  </t>
        </is>
      </c>
      <c r="Q2486" s="26" t="n">
        <v>8.84</v>
      </c>
      <c r="R2486" s="26">
        <f>Q2486*G2486</f>
        <v/>
      </c>
      <c r="S2486" s="26">
        <f>IFERROR(VLOOKUP(E2486*1,Tabla[#All],8,0),0)</f>
        <v/>
      </c>
      <c r="T2486" s="26">
        <f>S2486*G2486</f>
        <v/>
      </c>
      <c r="U2486" s="26">
        <f>R2486-T2486</f>
        <v/>
      </c>
      <c r="V2486" s="26">
        <f>U2486-L2486</f>
        <v/>
      </c>
    </row>
    <row r="2487">
      <c r="A2487" s="11" t="n">
        <v>46228</v>
      </c>
      <c r="B2487" s="1" t="n">
        <v>20040</v>
      </c>
      <c r="C2487" s="1" t="inlineStr">
        <is>
          <t>072</t>
        </is>
      </c>
      <c r="D2487" s="1" t="inlineStr">
        <is>
          <t>252833</t>
        </is>
      </c>
      <c r="E2487" s="1" t="inlineStr">
        <is>
          <t xml:space="preserve">31754677       </t>
        </is>
      </c>
      <c r="F2487" s="5" t="inlineStr">
        <is>
          <t>INFINITY NADO SERIE 6 SET DE BATALL</t>
        </is>
      </c>
      <c r="G2487" t="n">
        <v>1</v>
      </c>
      <c r="H2487" s="7" t="n">
        <v>149</v>
      </c>
      <c r="I2487" s="7" t="n">
        <v>0</v>
      </c>
      <c r="J2487" s="7" t="n">
        <v>0</v>
      </c>
      <c r="K2487" s="9" t="n">
        <v>0</v>
      </c>
      <c r="L2487" s="10" t="n">
        <v>88.39</v>
      </c>
      <c r="M2487" s="10" t="n">
        <v>1.43</v>
      </c>
      <c r="N2487" t="inlineStr">
        <is>
          <t>1</t>
        </is>
      </c>
      <c r="O2487" t="inlineStr">
        <is>
          <t xml:space="preserve">2 </t>
        </is>
      </c>
      <c r="P2487" t="inlineStr">
        <is>
          <t xml:space="preserve">241003  </t>
        </is>
      </c>
      <c r="Q2487" s="26" t="n">
        <v>112.12</v>
      </c>
      <c r="R2487" s="26">
        <f>Q2487*G2487</f>
        <v/>
      </c>
      <c r="S2487" s="26">
        <f>IFERROR(VLOOKUP(E2487*1,Tabla[#All],8,0),0)</f>
        <v/>
      </c>
      <c r="T2487" s="26">
        <f>S2487*G2487</f>
        <v/>
      </c>
      <c r="U2487" s="26">
        <f>R2487-T2487</f>
        <v/>
      </c>
      <c r="V2487" s="26">
        <f>U2487-L2487</f>
        <v/>
      </c>
    </row>
    <row r="2488">
      <c r="A2488" s="11" t="n">
        <v>46228</v>
      </c>
      <c r="B2488" s="1" t="n">
        <v>20040</v>
      </c>
      <c r="C2488" s="1" t="inlineStr">
        <is>
          <t>072</t>
        </is>
      </c>
      <c r="D2488" s="1" t="inlineStr">
        <is>
          <t>252916</t>
        </is>
      </c>
      <c r="E2488" s="1" t="inlineStr">
        <is>
          <t xml:space="preserve">32457099       </t>
        </is>
      </c>
      <c r="F2488" s="5" t="inlineStr">
        <is>
          <t>TMZ BEAST MACHINES MONSTER JAWS A FRICCION BLISTER</t>
        </is>
      </c>
      <c r="G2488" t="n">
        <v>1</v>
      </c>
      <c r="H2488" s="7" t="n">
        <v>17.9</v>
      </c>
      <c r="I2488" s="7" t="n">
        <v>1.79</v>
      </c>
      <c r="J2488" s="7" t="n">
        <v>0</v>
      </c>
      <c r="K2488" s="9" t="n">
        <v>1.79</v>
      </c>
      <c r="L2488" s="10" t="n">
        <v>9.56</v>
      </c>
      <c r="M2488" s="10" t="n">
        <v>1.43</v>
      </c>
      <c r="N2488" t="inlineStr">
        <is>
          <t>1</t>
        </is>
      </c>
      <c r="O2488" t="inlineStr">
        <is>
          <t xml:space="preserve">3 </t>
        </is>
      </c>
      <c r="P2488" t="inlineStr">
        <is>
          <t xml:space="preserve">248914  </t>
        </is>
      </c>
      <c r="Q2488" s="26" t="n">
        <v>11.81</v>
      </c>
      <c r="R2488" s="26">
        <f>Q2488*G2488</f>
        <v/>
      </c>
      <c r="S2488" s="26">
        <f>IFERROR(VLOOKUP(E2488*1,Tabla[#All],8,0),0)</f>
        <v/>
      </c>
      <c r="T2488" s="26">
        <f>S2488*G2488</f>
        <v/>
      </c>
      <c r="U2488" s="26">
        <f>R2488-T2488</f>
        <v/>
      </c>
      <c r="V2488" s="26">
        <f>U2488-L2488</f>
        <v/>
      </c>
    </row>
    <row r="2489">
      <c r="A2489" s="11" t="n">
        <v>46228</v>
      </c>
      <c r="B2489" s="1" t="n">
        <v>20040</v>
      </c>
      <c r="C2489" s="1" t="inlineStr">
        <is>
          <t>073</t>
        </is>
      </c>
      <c r="D2489" s="1" t="inlineStr">
        <is>
          <t>255627</t>
        </is>
      </c>
      <c r="E2489" s="1" t="inlineStr">
        <is>
          <t xml:space="preserve">29235706       </t>
        </is>
      </c>
      <c r="F2489" s="5" t="inlineStr">
        <is>
          <t>TEAMSTERZ CAMION PARA GUARDAR 12 AUTOS INCL 4 AUTO</t>
        </is>
      </c>
      <c r="G2489" t="n">
        <v>1</v>
      </c>
      <c r="H2489" s="7" t="n">
        <v>59.9</v>
      </c>
      <c r="I2489" s="7" t="n">
        <v>5.99</v>
      </c>
      <c r="J2489" s="7" t="n">
        <v>0</v>
      </c>
      <c r="K2489" s="9" t="n">
        <v>5.99</v>
      </c>
      <c r="L2489" s="10" t="n">
        <v>31.98</v>
      </c>
      <c r="M2489" s="10" t="n">
        <v>1.43</v>
      </c>
      <c r="N2489" t="inlineStr">
        <is>
          <t>1</t>
        </is>
      </c>
      <c r="O2489" t="inlineStr">
        <is>
          <t xml:space="preserve">3 </t>
        </is>
      </c>
      <c r="P2489" t="inlineStr">
        <is>
          <t xml:space="preserve">247275  </t>
        </is>
      </c>
      <c r="Q2489" s="26" t="n">
        <v>35.53</v>
      </c>
      <c r="R2489" s="26">
        <f>Q2489*G2489</f>
        <v/>
      </c>
      <c r="S2489" s="26">
        <f>IFERROR(VLOOKUP(E2489*1,Tabla[#All],8,0),0)</f>
        <v/>
      </c>
      <c r="T2489" s="26">
        <f>S2489*G2489</f>
        <v/>
      </c>
      <c r="U2489" s="26">
        <f>R2489-T2489</f>
        <v/>
      </c>
      <c r="V2489" s="26">
        <f>U2489-L2489</f>
        <v/>
      </c>
    </row>
    <row r="2490">
      <c r="A2490" s="11" t="n">
        <v>46228</v>
      </c>
      <c r="B2490" s="1" t="n">
        <v>20040</v>
      </c>
      <c r="C2490" s="1" t="inlineStr">
        <is>
          <t>073</t>
        </is>
      </c>
      <c r="D2490" s="1" t="inlineStr">
        <is>
          <t>255627</t>
        </is>
      </c>
      <c r="E2490" s="1" t="inlineStr">
        <is>
          <t xml:space="preserve">29235706       </t>
        </is>
      </c>
      <c r="F2490" s="5" t="inlineStr">
        <is>
          <t>TEAMSTERZ CAMION PARA GUARDAR 12 AUTOS INCL 4 AUTO</t>
        </is>
      </c>
      <c r="G2490" t="n">
        <v>1</v>
      </c>
      <c r="H2490" s="7" t="n">
        <v>59.9</v>
      </c>
      <c r="I2490" s="7" t="n">
        <v>5.99</v>
      </c>
      <c r="J2490" s="7" t="n">
        <v>0</v>
      </c>
      <c r="K2490" s="9" t="n">
        <v>5.99</v>
      </c>
      <c r="L2490" s="10" t="n">
        <v>31.98</v>
      </c>
      <c r="M2490" s="10" t="n">
        <v>1.43</v>
      </c>
      <c r="N2490" t="inlineStr">
        <is>
          <t>1</t>
        </is>
      </c>
      <c r="O2490" t="inlineStr">
        <is>
          <t xml:space="preserve">3 </t>
        </is>
      </c>
      <c r="P2490" t="inlineStr">
        <is>
          <t xml:space="preserve">247275  </t>
        </is>
      </c>
      <c r="Q2490" s="26" t="n">
        <v>35.53</v>
      </c>
      <c r="R2490" s="26">
        <f>Q2490*G2490</f>
        <v/>
      </c>
      <c r="S2490" s="26">
        <f>IFERROR(VLOOKUP(E2490*1,Tabla[#All],8,0),0)</f>
        <v/>
      </c>
      <c r="T2490" s="26">
        <f>S2490*G2490</f>
        <v/>
      </c>
      <c r="U2490" s="26">
        <f>R2490-T2490</f>
        <v/>
      </c>
      <c r="V2490" s="26">
        <f>U2490-L2490</f>
        <v/>
      </c>
    </row>
    <row r="2491">
      <c r="A2491" s="11" t="n">
        <v>46228</v>
      </c>
      <c r="B2491" s="1" t="n">
        <v>20040</v>
      </c>
      <c r="C2491" s="1" t="inlineStr">
        <is>
          <t>083</t>
        </is>
      </c>
      <c r="D2491" s="1" t="inlineStr">
        <is>
          <t>160679</t>
        </is>
      </c>
      <c r="E2491" s="1" t="inlineStr">
        <is>
          <t xml:space="preserve">31754677       </t>
        </is>
      </c>
      <c r="F2491" s="5" t="inlineStr">
        <is>
          <t>INFINITY NADO SERIE 6 SET DE BATALL</t>
        </is>
      </c>
      <c r="G2491" t="n">
        <v>1</v>
      </c>
      <c r="H2491" s="7" t="n">
        <v>149</v>
      </c>
      <c r="I2491" s="7" t="n">
        <v>0</v>
      </c>
      <c r="J2491" s="7" t="n">
        <v>0</v>
      </c>
      <c r="K2491" s="9" t="n">
        <v>0</v>
      </c>
      <c r="L2491" s="10" t="n">
        <v>88.39</v>
      </c>
      <c r="M2491" s="10" t="n">
        <v>1.43</v>
      </c>
      <c r="N2491" t="inlineStr">
        <is>
          <t>1</t>
        </is>
      </c>
      <c r="O2491" t="inlineStr">
        <is>
          <t xml:space="preserve">2 </t>
        </is>
      </c>
      <c r="P2491" t="inlineStr">
        <is>
          <t xml:space="preserve">52786   </t>
        </is>
      </c>
      <c r="Q2491" s="26" t="n">
        <v>112.12</v>
      </c>
      <c r="R2491" s="26">
        <f>Q2491*G2491</f>
        <v/>
      </c>
      <c r="S2491" s="26">
        <f>IFERROR(VLOOKUP(E2491*1,Tabla[#All],8,0),0)</f>
        <v/>
      </c>
      <c r="T2491" s="26">
        <f>S2491*G2491</f>
        <v/>
      </c>
      <c r="U2491" s="26">
        <f>R2491-T2491</f>
        <v/>
      </c>
      <c r="V2491" s="26">
        <f>U2491-L2491</f>
        <v/>
      </c>
    </row>
    <row r="2492">
      <c r="A2492" s="11" t="n">
        <v>46228</v>
      </c>
      <c r="B2492" s="1" t="n">
        <v>20040</v>
      </c>
      <c r="C2492" s="1" t="inlineStr">
        <is>
          <t>832</t>
        </is>
      </c>
      <c r="D2492" s="1" t="inlineStr">
        <is>
          <t xml:space="preserve">3583  </t>
        </is>
      </c>
      <c r="E2492" s="1" t="inlineStr">
        <is>
          <t xml:space="preserve">28194769       </t>
        </is>
      </c>
      <c r="F2492" s="5" t="inlineStr">
        <is>
          <t>AUTOS DE METAL 3 TEAMSTERZ PACK DE 2</t>
        </is>
      </c>
      <c r="G2492" t="n">
        <v>1</v>
      </c>
      <c r="H2492" s="7" t="n">
        <v>13.8</v>
      </c>
      <c r="I2492" s="7" t="n">
        <v>0</v>
      </c>
      <c r="J2492" s="7" t="n">
        <v>0</v>
      </c>
      <c r="K2492" s="9" t="n">
        <v>0</v>
      </c>
      <c r="L2492" s="10" t="n">
        <v>8.18</v>
      </c>
      <c r="M2492" s="10" t="n">
        <v>1.43</v>
      </c>
      <c r="N2492" t="inlineStr">
        <is>
          <t>1</t>
        </is>
      </c>
      <c r="O2492" t="inlineStr">
        <is>
          <t>16</t>
        </is>
      </c>
      <c r="P2492" t="inlineStr">
        <is>
          <t xml:space="preserve">0       </t>
        </is>
      </c>
      <c r="Q2492" s="26" t="n">
        <v>8.19</v>
      </c>
      <c r="R2492" s="26">
        <f>Q2492*G2492</f>
        <v/>
      </c>
      <c r="S2492" s="26">
        <f>IFERROR(VLOOKUP(E2492*1,Tabla[#All],8,0),0)</f>
        <v/>
      </c>
      <c r="T2492" s="26">
        <f>S2492*G2492</f>
        <v/>
      </c>
      <c r="U2492" s="26">
        <f>R2492-T2492</f>
        <v/>
      </c>
      <c r="V2492" s="26">
        <f>U2492-L2492</f>
        <v/>
      </c>
    </row>
    <row r="2493">
      <c r="A2493" s="11" t="n">
        <v>46228</v>
      </c>
      <c r="B2493" s="1" t="n">
        <v>20041</v>
      </c>
      <c r="C2493" s="1" t="inlineStr">
        <is>
          <t>032</t>
        </is>
      </c>
      <c r="D2493" s="1" t="inlineStr">
        <is>
          <t xml:space="preserve">9129  </t>
        </is>
      </c>
      <c r="E2493" s="1" t="inlineStr">
        <is>
          <t xml:space="preserve">28194770       </t>
        </is>
      </c>
      <c r="F2493" s="5" t="inlineStr">
        <is>
          <t>AUTOS DE METAL 3 TEAMSTERZ EN BLISTER</t>
        </is>
      </c>
      <c r="G2493" t="n">
        <v>1</v>
      </c>
      <c r="H2493" s="7" t="n">
        <v>6.9</v>
      </c>
      <c r="I2493" s="7" t="n">
        <v>0</v>
      </c>
      <c r="J2493" s="7" t="n">
        <v>0</v>
      </c>
      <c r="K2493" s="9" t="n">
        <v>0</v>
      </c>
      <c r="L2493" s="10" t="n">
        <v>4.1</v>
      </c>
      <c r="M2493" s="10" t="n">
        <v>1.43</v>
      </c>
      <c r="N2493" t="inlineStr">
        <is>
          <t>1</t>
        </is>
      </c>
      <c r="O2493" t="inlineStr">
        <is>
          <t>16</t>
        </is>
      </c>
      <c r="P2493" t="inlineStr">
        <is>
          <t xml:space="preserve">242748  </t>
        </is>
      </c>
      <c r="Q2493" s="26" t="n">
        <v>4.09</v>
      </c>
      <c r="R2493" s="26">
        <f>Q2493*G2493</f>
        <v/>
      </c>
      <c r="S2493" s="26">
        <f>IFERROR(VLOOKUP(E2493*1,Tabla[#All],8,0),0)</f>
        <v/>
      </c>
      <c r="T2493" s="26">
        <f>S2493*G2493</f>
        <v/>
      </c>
      <c r="U2493" s="26">
        <f>R2493-T2493</f>
        <v/>
      </c>
      <c r="V2493" s="26">
        <f>U2493-L2493</f>
        <v/>
      </c>
    </row>
    <row r="2494">
      <c r="A2494" s="11" t="n">
        <v>46228</v>
      </c>
      <c r="B2494" s="1" t="n">
        <v>20041</v>
      </c>
      <c r="C2494" s="1" t="inlineStr">
        <is>
          <t>032</t>
        </is>
      </c>
      <c r="D2494" s="1" t="inlineStr">
        <is>
          <t xml:space="preserve">9129  </t>
        </is>
      </c>
      <c r="E2494" s="1" t="inlineStr">
        <is>
          <t xml:space="preserve">28194770       </t>
        </is>
      </c>
      <c r="F2494" s="5" t="inlineStr">
        <is>
          <t>AUTOS DE METAL 3 TEAMSTERZ EN BLISTER</t>
        </is>
      </c>
      <c r="G2494" t="n">
        <v>1</v>
      </c>
      <c r="H2494" s="7" t="n">
        <v>6.9</v>
      </c>
      <c r="I2494" s="7" t="n">
        <v>0</v>
      </c>
      <c r="J2494" s="7" t="n">
        <v>0</v>
      </c>
      <c r="K2494" s="9" t="n">
        <v>0</v>
      </c>
      <c r="L2494" s="10" t="n">
        <v>4.1</v>
      </c>
      <c r="M2494" s="10" t="n">
        <v>1.43</v>
      </c>
      <c r="N2494" t="inlineStr">
        <is>
          <t>1</t>
        </is>
      </c>
      <c r="O2494" t="inlineStr">
        <is>
          <t>16</t>
        </is>
      </c>
      <c r="P2494" t="inlineStr">
        <is>
          <t xml:space="preserve">242748  </t>
        </is>
      </c>
      <c r="Q2494" s="26" t="n">
        <v>4.09</v>
      </c>
      <c r="R2494" s="26">
        <f>Q2494*G2494</f>
        <v/>
      </c>
      <c r="S2494" s="26">
        <f>IFERROR(VLOOKUP(E2494*1,Tabla[#All],8,0),0)</f>
        <v/>
      </c>
      <c r="T2494" s="26">
        <f>S2494*G2494</f>
        <v/>
      </c>
      <c r="U2494" s="26">
        <f>R2494-T2494</f>
        <v/>
      </c>
      <c r="V2494" s="26">
        <f>U2494-L2494</f>
        <v/>
      </c>
    </row>
    <row r="2495">
      <c r="A2495" s="11" t="n">
        <v>46228</v>
      </c>
      <c r="B2495" s="1" t="n">
        <v>20041</v>
      </c>
      <c r="C2495" s="1" t="inlineStr">
        <is>
          <t>037</t>
        </is>
      </c>
      <c r="D2495" s="1" t="inlineStr">
        <is>
          <t>190282</t>
        </is>
      </c>
      <c r="E2495" s="1" t="inlineStr">
        <is>
          <t xml:space="preserve">28194770       </t>
        </is>
      </c>
      <c r="F2495" s="5" t="inlineStr">
        <is>
          <t>AUTOS DE METAL 3 TEAMSTERZ EN BLISTER</t>
        </is>
      </c>
      <c r="G2495" t="n">
        <v>1</v>
      </c>
      <c r="H2495" s="7" t="n">
        <v>6.9</v>
      </c>
      <c r="I2495" s="7" t="n">
        <v>0</v>
      </c>
      <c r="J2495" s="7" t="n">
        <v>0</v>
      </c>
      <c r="K2495" s="9" t="n">
        <v>0</v>
      </c>
      <c r="L2495" s="10" t="n">
        <v>4.1</v>
      </c>
      <c r="M2495" s="10" t="n">
        <v>1.43</v>
      </c>
      <c r="N2495" t="inlineStr">
        <is>
          <t>1</t>
        </is>
      </c>
      <c r="O2495" t="inlineStr">
        <is>
          <t>16</t>
        </is>
      </c>
      <c r="P2495" t="inlineStr">
        <is>
          <t xml:space="preserve">242747  </t>
        </is>
      </c>
      <c r="Q2495" s="26" t="n">
        <v>4.09</v>
      </c>
      <c r="R2495" s="26">
        <f>Q2495*G2495</f>
        <v/>
      </c>
      <c r="S2495" s="26">
        <f>IFERROR(VLOOKUP(E2495*1,Tabla[#All],8,0),0)</f>
        <v/>
      </c>
      <c r="T2495" s="26">
        <f>S2495*G2495</f>
        <v/>
      </c>
      <c r="U2495" s="26">
        <f>R2495-T2495</f>
        <v/>
      </c>
      <c r="V2495" s="26">
        <f>U2495-L2495</f>
        <v/>
      </c>
    </row>
    <row r="2496">
      <c r="A2496" s="11" t="n">
        <v>46228</v>
      </c>
      <c r="B2496" s="1" t="n">
        <v>20041</v>
      </c>
      <c r="C2496" s="1" t="inlineStr">
        <is>
          <t>037</t>
        </is>
      </c>
      <c r="D2496" s="1" t="inlineStr">
        <is>
          <t>190282</t>
        </is>
      </c>
      <c r="E2496" s="1" t="inlineStr">
        <is>
          <t xml:space="preserve">28194770       </t>
        </is>
      </c>
      <c r="F2496" s="5" t="inlineStr">
        <is>
          <t>AUTOS DE METAL 3 TEAMSTERZ EN BLISTER</t>
        </is>
      </c>
      <c r="G2496" t="n">
        <v>1</v>
      </c>
      <c r="H2496" s="7" t="n">
        <v>6.9</v>
      </c>
      <c r="I2496" s="7" t="n">
        <v>0</v>
      </c>
      <c r="J2496" s="7" t="n">
        <v>0</v>
      </c>
      <c r="K2496" s="9" t="n">
        <v>0</v>
      </c>
      <c r="L2496" s="10" t="n">
        <v>4.1</v>
      </c>
      <c r="M2496" s="10" t="n">
        <v>1.43</v>
      </c>
      <c r="N2496" t="inlineStr">
        <is>
          <t>1</t>
        </is>
      </c>
      <c r="O2496" t="inlineStr">
        <is>
          <t>16</t>
        </is>
      </c>
      <c r="P2496" t="inlineStr">
        <is>
          <t xml:space="preserve">242747  </t>
        </is>
      </c>
      <c r="Q2496" s="26" t="n">
        <v>4.09</v>
      </c>
      <c r="R2496" s="26">
        <f>Q2496*G2496</f>
        <v/>
      </c>
      <c r="S2496" s="26">
        <f>IFERROR(VLOOKUP(E2496*1,Tabla[#All],8,0),0)</f>
        <v/>
      </c>
      <c r="T2496" s="26">
        <f>S2496*G2496</f>
        <v/>
      </c>
      <c r="U2496" s="26">
        <f>R2496-T2496</f>
        <v/>
      </c>
      <c r="V2496" s="26">
        <f>U2496-L2496</f>
        <v/>
      </c>
    </row>
    <row r="2497">
      <c r="A2497" s="11" t="n">
        <v>46228</v>
      </c>
      <c r="B2497" s="1" t="n">
        <v>20041</v>
      </c>
      <c r="C2497" s="1" t="inlineStr">
        <is>
          <t>037</t>
        </is>
      </c>
      <c r="D2497" s="1" t="inlineStr">
        <is>
          <t>190283</t>
        </is>
      </c>
      <c r="E2497" s="1" t="inlineStr">
        <is>
          <t xml:space="preserve">28194770       </t>
        </is>
      </c>
      <c r="F2497" s="5" t="inlineStr">
        <is>
          <t>AUTOS DE METAL 3 TEAMSTERZ EN BLISTER</t>
        </is>
      </c>
      <c r="G2497" t="n">
        <v>1</v>
      </c>
      <c r="H2497" s="7" t="n">
        <v>6.9</v>
      </c>
      <c r="I2497" s="7" t="n">
        <v>0</v>
      </c>
      <c r="J2497" s="7" t="n">
        <v>0</v>
      </c>
      <c r="K2497" s="9" t="n">
        <v>0</v>
      </c>
      <c r="L2497" s="10" t="n">
        <v>4.1</v>
      </c>
      <c r="M2497" s="10" t="n">
        <v>1.43</v>
      </c>
      <c r="N2497" t="inlineStr">
        <is>
          <t>1</t>
        </is>
      </c>
      <c r="O2497" t="inlineStr">
        <is>
          <t>16</t>
        </is>
      </c>
      <c r="P2497" t="inlineStr">
        <is>
          <t xml:space="preserve">242747  </t>
        </is>
      </c>
      <c r="Q2497" s="26" t="n">
        <v>4.09</v>
      </c>
      <c r="R2497" s="26">
        <f>Q2497*G2497</f>
        <v/>
      </c>
      <c r="S2497" s="26">
        <f>IFERROR(VLOOKUP(E2497*1,Tabla[#All],8,0),0)</f>
        <v/>
      </c>
      <c r="T2497" s="26">
        <f>S2497*G2497</f>
        <v/>
      </c>
      <c r="U2497" s="26">
        <f>R2497-T2497</f>
        <v/>
      </c>
      <c r="V2497" s="26">
        <f>U2497-L2497</f>
        <v/>
      </c>
    </row>
    <row r="2498">
      <c r="A2498" s="11" t="n">
        <v>46228</v>
      </c>
      <c r="B2498" s="1" t="n">
        <v>20041</v>
      </c>
      <c r="C2498" s="1" t="inlineStr">
        <is>
          <t>037</t>
        </is>
      </c>
      <c r="D2498" s="1" t="inlineStr">
        <is>
          <t>190283</t>
        </is>
      </c>
      <c r="E2498" s="1" t="inlineStr">
        <is>
          <t xml:space="preserve">28194770       </t>
        </is>
      </c>
      <c r="F2498" s="5" t="inlineStr">
        <is>
          <t>AUTOS DE METAL 3 TEAMSTERZ EN BLISTER</t>
        </is>
      </c>
      <c r="G2498" t="n">
        <v>1</v>
      </c>
      <c r="H2498" s="7" t="n">
        <v>6.9</v>
      </c>
      <c r="I2498" s="7" t="n">
        <v>0</v>
      </c>
      <c r="J2498" s="7" t="n">
        <v>0</v>
      </c>
      <c r="K2498" s="9" t="n">
        <v>0</v>
      </c>
      <c r="L2498" s="10" t="n">
        <v>4.1</v>
      </c>
      <c r="M2498" s="10" t="n">
        <v>1.43</v>
      </c>
      <c r="N2498" t="inlineStr">
        <is>
          <t>1</t>
        </is>
      </c>
      <c r="O2498" t="inlineStr">
        <is>
          <t>16</t>
        </is>
      </c>
      <c r="P2498" t="inlineStr">
        <is>
          <t xml:space="preserve">242747  </t>
        </is>
      </c>
      <c r="Q2498" s="26" t="n">
        <v>4.09</v>
      </c>
      <c r="R2498" s="26">
        <f>Q2498*G2498</f>
        <v/>
      </c>
      <c r="S2498" s="26">
        <f>IFERROR(VLOOKUP(E2498*1,Tabla[#All],8,0),0)</f>
        <v/>
      </c>
      <c r="T2498" s="26">
        <f>S2498*G2498</f>
        <v/>
      </c>
      <c r="U2498" s="26">
        <f>R2498-T2498</f>
        <v/>
      </c>
      <c r="V2498" s="26">
        <f>U2498-L2498</f>
        <v/>
      </c>
    </row>
    <row r="2499">
      <c r="A2499" s="11" t="n">
        <v>46228</v>
      </c>
      <c r="B2499" s="1" t="n">
        <v>20041</v>
      </c>
      <c r="C2499" s="1" t="inlineStr">
        <is>
          <t>037</t>
        </is>
      </c>
      <c r="D2499" s="1" t="inlineStr">
        <is>
          <t>190288</t>
        </is>
      </c>
      <c r="E2499" s="1" t="inlineStr">
        <is>
          <t xml:space="preserve">34840534       </t>
        </is>
      </c>
      <c r="F2499" s="5" t="inlineStr">
        <is>
          <t>PINYPON TENEBROSA SERIE 14 CDU 24X2</t>
        </is>
      </c>
      <c r="G2499" t="n">
        <v>1</v>
      </c>
      <c r="H2499" s="7" t="n">
        <v>10.74</v>
      </c>
      <c r="I2499" s="7" t="n">
        <v>0</v>
      </c>
      <c r="J2499" s="7" t="n">
        <v>0</v>
      </c>
      <c r="K2499" s="9" t="n">
        <v>0</v>
      </c>
      <c r="L2499" s="10" t="n">
        <v>6.37</v>
      </c>
      <c r="M2499" s="10" t="n">
        <v>1.43</v>
      </c>
      <c r="N2499" t="inlineStr">
        <is>
          <t>1</t>
        </is>
      </c>
      <c r="O2499" t="inlineStr">
        <is>
          <t xml:space="preserve">2 </t>
        </is>
      </c>
      <c r="P2499" t="inlineStr">
        <is>
          <t xml:space="preserve">242747  </t>
        </is>
      </c>
      <c r="Q2499" s="26" t="n">
        <v>10.62</v>
      </c>
      <c r="R2499" s="26">
        <f>Q2499*G2499</f>
        <v/>
      </c>
      <c r="S2499" s="26">
        <f>IFERROR(VLOOKUP(E2499*1,Tabla[#All],8,0),0)</f>
        <v/>
      </c>
      <c r="T2499" s="26">
        <f>S2499*G2499</f>
        <v/>
      </c>
      <c r="U2499" s="26">
        <f>R2499-T2499</f>
        <v/>
      </c>
      <c r="V2499" s="26">
        <f>U2499-L2499</f>
        <v/>
      </c>
    </row>
    <row r="2500">
      <c r="A2500" s="11" t="n">
        <v>46228</v>
      </c>
      <c r="B2500" s="1" t="n">
        <v>20041</v>
      </c>
      <c r="C2500" s="1" t="inlineStr">
        <is>
          <t>037</t>
        </is>
      </c>
      <c r="D2500" s="1" t="inlineStr">
        <is>
          <t>190296</t>
        </is>
      </c>
      <c r="E2500" s="1" t="inlineStr">
        <is>
          <t xml:space="preserve">28194770       </t>
        </is>
      </c>
      <c r="F2500" s="5" t="inlineStr">
        <is>
          <t>AUTOS DE METAL 3 TEAMSTERZ EN BLISTER</t>
        </is>
      </c>
      <c r="G2500" t="n">
        <v>1</v>
      </c>
      <c r="H2500" s="7" t="n">
        <v>6.9</v>
      </c>
      <c r="I2500" s="7" t="n">
        <v>0</v>
      </c>
      <c r="J2500" s="7" t="n">
        <v>0</v>
      </c>
      <c r="K2500" s="9" t="n">
        <v>0</v>
      </c>
      <c r="L2500" s="10" t="n">
        <v>4.1</v>
      </c>
      <c r="M2500" s="10" t="n">
        <v>1.43</v>
      </c>
      <c r="N2500" t="inlineStr">
        <is>
          <t>1</t>
        </is>
      </c>
      <c r="O2500" t="inlineStr">
        <is>
          <t>16</t>
        </is>
      </c>
      <c r="P2500" t="inlineStr">
        <is>
          <t xml:space="preserve">242747  </t>
        </is>
      </c>
      <c r="Q2500" s="26" t="n">
        <v>4.09</v>
      </c>
      <c r="R2500" s="26">
        <f>Q2500*G2500</f>
        <v/>
      </c>
      <c r="S2500" s="26">
        <f>IFERROR(VLOOKUP(E2500*1,Tabla[#All],8,0),0)</f>
        <v/>
      </c>
      <c r="T2500" s="26">
        <f>S2500*G2500</f>
        <v/>
      </c>
      <c r="U2500" s="26">
        <f>R2500-T2500</f>
        <v/>
      </c>
      <c r="V2500" s="26">
        <f>U2500-L2500</f>
        <v/>
      </c>
    </row>
    <row r="2501">
      <c r="A2501" s="11" t="n">
        <v>46228</v>
      </c>
      <c r="B2501" s="1" t="n">
        <v>20043</v>
      </c>
      <c r="C2501" s="1" t="inlineStr">
        <is>
          <t>051</t>
        </is>
      </c>
      <c r="D2501" s="1" t="inlineStr">
        <is>
          <t>105705</t>
        </is>
      </c>
      <c r="E2501" s="1" t="inlineStr">
        <is>
          <t xml:space="preserve">28194770       </t>
        </is>
      </c>
      <c r="F2501" s="5" t="inlineStr">
        <is>
          <t>AUTOS DE METAL 3 TEAMSTERZ EN BLISTER</t>
        </is>
      </c>
      <c r="G2501" t="n">
        <v>1</v>
      </c>
      <c r="H2501" s="7" t="n">
        <v>6.9</v>
      </c>
      <c r="I2501" s="7" t="n">
        <v>0</v>
      </c>
      <c r="J2501" s="7" t="n">
        <v>0</v>
      </c>
      <c r="K2501" s="9" t="n">
        <v>0</v>
      </c>
      <c r="L2501" s="10" t="n">
        <v>4.1</v>
      </c>
      <c r="M2501" s="10" t="n">
        <v>1.43</v>
      </c>
      <c r="N2501" t="inlineStr">
        <is>
          <t>1</t>
        </is>
      </c>
      <c r="O2501" t="inlineStr">
        <is>
          <t>16</t>
        </is>
      </c>
      <c r="P2501" t="inlineStr">
        <is>
          <t xml:space="preserve">244243  </t>
        </is>
      </c>
      <c r="Q2501" s="26" t="n">
        <v>4.09</v>
      </c>
      <c r="R2501" s="26">
        <f>Q2501*G2501</f>
        <v/>
      </c>
      <c r="S2501" s="26">
        <f>IFERROR(VLOOKUP(E2501*1,Tabla[#All],8,0),0)</f>
        <v/>
      </c>
      <c r="T2501" s="26">
        <f>S2501*G2501</f>
        <v/>
      </c>
      <c r="U2501" s="26">
        <f>R2501-T2501</f>
        <v/>
      </c>
      <c r="V2501" s="26">
        <f>U2501-L2501</f>
        <v/>
      </c>
    </row>
    <row r="2502">
      <c r="A2502" s="11" t="n">
        <v>46228</v>
      </c>
      <c r="B2502" s="1" t="n">
        <v>20043</v>
      </c>
      <c r="C2502" s="1" t="inlineStr">
        <is>
          <t>051</t>
        </is>
      </c>
      <c r="D2502" s="1" t="inlineStr">
        <is>
          <t>105706</t>
        </is>
      </c>
      <c r="E2502" s="1" t="inlineStr">
        <is>
          <t xml:space="preserve">28194770       </t>
        </is>
      </c>
      <c r="F2502" s="5" t="inlineStr">
        <is>
          <t>AUTOS DE METAL 3 TEAMSTERZ EN BLISTER</t>
        </is>
      </c>
      <c r="G2502" t="n">
        <v>1</v>
      </c>
      <c r="H2502" s="7" t="n">
        <v>6.9</v>
      </c>
      <c r="I2502" s="7" t="n">
        <v>0</v>
      </c>
      <c r="J2502" s="7" t="n">
        <v>0</v>
      </c>
      <c r="K2502" s="9" t="n">
        <v>0</v>
      </c>
      <c r="L2502" s="10" t="n">
        <v>4.1</v>
      </c>
      <c r="M2502" s="10" t="n">
        <v>1.43</v>
      </c>
      <c r="N2502" t="inlineStr">
        <is>
          <t>1</t>
        </is>
      </c>
      <c r="O2502" t="inlineStr">
        <is>
          <t xml:space="preserve">2 </t>
        </is>
      </c>
      <c r="P2502" t="inlineStr">
        <is>
          <t xml:space="preserve">244243  </t>
        </is>
      </c>
      <c r="Q2502" s="26" t="n">
        <v>4.09</v>
      </c>
      <c r="R2502" s="26">
        <f>Q2502*G2502</f>
        <v/>
      </c>
      <c r="S2502" s="26">
        <f>IFERROR(VLOOKUP(E2502*1,Tabla[#All],8,0),0)</f>
        <v/>
      </c>
      <c r="T2502" s="26">
        <f>S2502*G2502</f>
        <v/>
      </c>
      <c r="U2502" s="26">
        <f>R2502-T2502</f>
        <v/>
      </c>
      <c r="V2502" s="26">
        <f>U2502-L2502</f>
        <v/>
      </c>
    </row>
    <row r="2503">
      <c r="A2503" s="11" t="n">
        <v>46228</v>
      </c>
      <c r="B2503" s="1" t="n">
        <v>20048</v>
      </c>
      <c r="C2503" s="1" t="inlineStr">
        <is>
          <t>017</t>
        </is>
      </c>
      <c r="D2503" s="1" t="inlineStr">
        <is>
          <t>167633</t>
        </is>
      </c>
      <c r="E2503" s="1" t="inlineStr">
        <is>
          <t xml:space="preserve">28194770       </t>
        </is>
      </c>
      <c r="F2503" s="5" t="inlineStr">
        <is>
          <t>AUTOS DE METAL 3 TEAMSTERZ EN BLISTER</t>
        </is>
      </c>
      <c r="G2503" t="n">
        <v>1</v>
      </c>
      <c r="H2503" s="7" t="n">
        <v>6.9</v>
      </c>
      <c r="I2503" s="7" t="n">
        <v>0</v>
      </c>
      <c r="J2503" s="7" t="n">
        <v>0</v>
      </c>
      <c r="K2503" s="9" t="n">
        <v>0</v>
      </c>
      <c r="L2503" s="10" t="n">
        <v>4.1</v>
      </c>
      <c r="M2503" s="10" t="n">
        <v>1.43</v>
      </c>
      <c r="N2503" t="inlineStr">
        <is>
          <t>1</t>
        </is>
      </c>
      <c r="O2503" t="inlineStr">
        <is>
          <t xml:space="preserve">2 </t>
        </is>
      </c>
      <c r="P2503" t="inlineStr">
        <is>
          <t xml:space="preserve">80084   </t>
        </is>
      </c>
      <c r="Q2503" s="26" t="n">
        <v>4.09</v>
      </c>
      <c r="R2503" s="26">
        <f>Q2503*G2503</f>
        <v/>
      </c>
      <c r="S2503" s="26">
        <f>IFERROR(VLOOKUP(E2503*1,Tabla[#All],8,0),0)</f>
        <v/>
      </c>
      <c r="T2503" s="26">
        <f>S2503*G2503</f>
        <v/>
      </c>
      <c r="U2503" s="26">
        <f>R2503-T2503</f>
        <v/>
      </c>
      <c r="V2503" s="26">
        <f>U2503-L2503</f>
        <v/>
      </c>
    </row>
    <row r="2504">
      <c r="A2504" s="11" t="n">
        <v>46228</v>
      </c>
      <c r="B2504" s="1" t="n">
        <v>20048</v>
      </c>
      <c r="C2504" s="1" t="inlineStr">
        <is>
          <t>018</t>
        </is>
      </c>
      <c r="D2504" s="1" t="inlineStr">
        <is>
          <t xml:space="preserve">48257 </t>
        </is>
      </c>
      <c r="E2504" s="1" t="inlineStr">
        <is>
          <t xml:space="preserve">28194770       </t>
        </is>
      </c>
      <c r="F2504" s="5" t="inlineStr">
        <is>
          <t>AUTOS DE METAL 3 TEAMSTERZ EN BLISTER</t>
        </is>
      </c>
      <c r="G2504" t="n">
        <v>1</v>
      </c>
      <c r="H2504" s="7" t="n">
        <v>6.9</v>
      </c>
      <c r="I2504" s="7" t="n">
        <v>0.6899999999999999</v>
      </c>
      <c r="J2504" s="7" t="n">
        <v>0</v>
      </c>
      <c r="K2504" s="9" t="n">
        <v>0.6899999999999999</v>
      </c>
      <c r="L2504" s="10" t="n">
        <v>3.68</v>
      </c>
      <c r="M2504" s="10" t="n">
        <v>1.43</v>
      </c>
      <c r="N2504" t="inlineStr">
        <is>
          <t>1</t>
        </is>
      </c>
      <c r="O2504" t="inlineStr">
        <is>
          <t xml:space="preserve">3 </t>
        </is>
      </c>
      <c r="P2504" t="inlineStr">
        <is>
          <t xml:space="preserve">241949  </t>
        </is>
      </c>
      <c r="Q2504" s="26" t="n">
        <v>4.09</v>
      </c>
      <c r="R2504" s="26">
        <f>Q2504*G2504</f>
        <v/>
      </c>
      <c r="S2504" s="26">
        <f>IFERROR(VLOOKUP(E2504*1,Tabla[#All],8,0),0)</f>
        <v/>
      </c>
      <c r="T2504" s="26">
        <f>S2504*G2504</f>
        <v/>
      </c>
      <c r="U2504" s="26">
        <f>R2504-T2504</f>
        <v/>
      </c>
      <c r="V2504" s="26">
        <f>U2504-L2504</f>
        <v/>
      </c>
    </row>
    <row r="2505">
      <c r="A2505" s="11" t="n">
        <v>46228</v>
      </c>
      <c r="B2505" s="1" t="n">
        <v>20048</v>
      </c>
      <c r="C2505" s="1" t="inlineStr">
        <is>
          <t>018</t>
        </is>
      </c>
      <c r="D2505" s="1" t="inlineStr">
        <is>
          <t xml:space="preserve">48257 </t>
        </is>
      </c>
      <c r="E2505" s="1" t="inlineStr">
        <is>
          <t xml:space="preserve">30141766       </t>
        </is>
      </c>
      <c r="F2505" s="5" t="inlineStr">
        <is>
          <t>TMZ BEAST MACHINES AUTOS DE METAL BLISTER X 1</t>
        </is>
      </c>
      <c r="G2505" t="n">
        <v>1</v>
      </c>
      <c r="H2505" s="7" t="n">
        <v>7.9</v>
      </c>
      <c r="I2505" s="7" t="n">
        <v>0.79</v>
      </c>
      <c r="J2505" s="7" t="n">
        <v>0</v>
      </c>
      <c r="K2505" s="9" t="n">
        <v>0.79</v>
      </c>
      <c r="L2505" s="10" t="n">
        <v>4.22</v>
      </c>
      <c r="M2505" s="10" t="n">
        <v>1.43</v>
      </c>
      <c r="N2505" t="inlineStr">
        <is>
          <t>1</t>
        </is>
      </c>
      <c r="O2505" t="inlineStr">
        <is>
          <t xml:space="preserve">3 </t>
        </is>
      </c>
      <c r="P2505" t="inlineStr">
        <is>
          <t xml:space="preserve">241949  </t>
        </is>
      </c>
      <c r="Q2505" s="26" t="n">
        <v>4.69</v>
      </c>
      <c r="R2505" s="26">
        <f>Q2505*G2505</f>
        <v/>
      </c>
      <c r="S2505" s="26">
        <f>IFERROR(VLOOKUP(E2505*1,Tabla[#All],8,0),0)</f>
        <v/>
      </c>
      <c r="T2505" s="26">
        <f>S2505*G2505</f>
        <v/>
      </c>
      <c r="U2505" s="26">
        <f>R2505-T2505</f>
        <v/>
      </c>
      <c r="V2505" s="26">
        <f>U2505-L2505</f>
        <v/>
      </c>
    </row>
    <row r="2506">
      <c r="A2506" s="11" t="n">
        <v>46228</v>
      </c>
      <c r="B2506" s="1" t="n">
        <v>20048</v>
      </c>
      <c r="C2506" s="1" t="inlineStr">
        <is>
          <t>018</t>
        </is>
      </c>
      <c r="D2506" s="1" t="inlineStr">
        <is>
          <t xml:space="preserve">48291 </t>
        </is>
      </c>
      <c r="E2506" s="1" t="inlineStr">
        <is>
          <t xml:space="preserve">28194770       </t>
        </is>
      </c>
      <c r="F2506" s="5" t="inlineStr">
        <is>
          <t>AUTOS DE METAL 3 TEAMSTERZ EN BLISTER</t>
        </is>
      </c>
      <c r="G2506" t="n">
        <v>1</v>
      </c>
      <c r="H2506" s="7" t="n">
        <v>6.9</v>
      </c>
      <c r="I2506" s="7" t="n">
        <v>0</v>
      </c>
      <c r="J2506" s="7" t="n">
        <v>0</v>
      </c>
      <c r="K2506" s="9" t="n">
        <v>0</v>
      </c>
      <c r="L2506" s="10" t="n">
        <v>4.1</v>
      </c>
      <c r="M2506" s="10" t="n">
        <v>1.43</v>
      </c>
      <c r="N2506" t="inlineStr">
        <is>
          <t>1</t>
        </is>
      </c>
      <c r="O2506" t="inlineStr">
        <is>
          <t>16</t>
        </is>
      </c>
      <c r="P2506" t="inlineStr">
        <is>
          <t xml:space="preserve">241949  </t>
        </is>
      </c>
      <c r="Q2506" s="26" t="n">
        <v>4.09</v>
      </c>
      <c r="R2506" s="26">
        <f>Q2506*G2506</f>
        <v/>
      </c>
      <c r="S2506" s="26">
        <f>IFERROR(VLOOKUP(E2506*1,Tabla[#All],8,0),0)</f>
        <v/>
      </c>
      <c r="T2506" s="26">
        <f>S2506*G2506</f>
        <v/>
      </c>
      <c r="U2506" s="26">
        <f>R2506-T2506</f>
        <v/>
      </c>
      <c r="V2506" s="26">
        <f>U2506-L2506</f>
        <v/>
      </c>
    </row>
    <row r="2507">
      <c r="A2507" s="11" t="n">
        <v>46228</v>
      </c>
      <c r="B2507" s="1" t="n">
        <v>20048</v>
      </c>
      <c r="C2507" s="1" t="inlineStr">
        <is>
          <t>018</t>
        </is>
      </c>
      <c r="D2507" s="1" t="inlineStr">
        <is>
          <t xml:space="preserve">48291 </t>
        </is>
      </c>
      <c r="E2507" s="1" t="inlineStr">
        <is>
          <t xml:space="preserve">30141766       </t>
        </is>
      </c>
      <c r="F2507" s="5" t="inlineStr">
        <is>
          <t>TMZ BEAST MACHINES AUTOS DE METAL BLISTER X 1</t>
        </is>
      </c>
      <c r="G2507" t="n">
        <v>1</v>
      </c>
      <c r="H2507" s="7" t="n">
        <v>7.9</v>
      </c>
      <c r="I2507" s="7" t="n">
        <v>0</v>
      </c>
      <c r="J2507" s="7" t="n">
        <v>0</v>
      </c>
      <c r="K2507" s="9" t="n">
        <v>0</v>
      </c>
      <c r="L2507" s="10" t="n">
        <v>4.68</v>
      </c>
      <c r="M2507" s="10" t="n">
        <v>1.43</v>
      </c>
      <c r="N2507" t="inlineStr">
        <is>
          <t>1</t>
        </is>
      </c>
      <c r="O2507" t="inlineStr">
        <is>
          <t>16</t>
        </is>
      </c>
      <c r="P2507" t="inlineStr">
        <is>
          <t xml:space="preserve">241949  </t>
        </is>
      </c>
      <c r="Q2507" s="26" t="n">
        <v>4.69</v>
      </c>
      <c r="R2507" s="26">
        <f>Q2507*G2507</f>
        <v/>
      </c>
      <c r="S2507" s="26">
        <f>IFERROR(VLOOKUP(E2507*1,Tabla[#All],8,0),0)</f>
        <v/>
      </c>
      <c r="T2507" s="26">
        <f>S2507*G2507</f>
        <v/>
      </c>
      <c r="U2507" s="26">
        <f>R2507-T2507</f>
        <v/>
      </c>
      <c r="V2507" s="26">
        <f>U2507-L2507</f>
        <v/>
      </c>
    </row>
    <row r="2508">
      <c r="A2508" s="11" t="n">
        <v>46228</v>
      </c>
      <c r="B2508" s="1" t="n">
        <v>20048</v>
      </c>
      <c r="C2508" s="1" t="inlineStr">
        <is>
          <t>018</t>
        </is>
      </c>
      <c r="D2508" s="1" t="inlineStr">
        <is>
          <t xml:space="preserve">48291 </t>
        </is>
      </c>
      <c r="E2508" s="1" t="inlineStr">
        <is>
          <t xml:space="preserve">30141766       </t>
        </is>
      </c>
      <c r="F2508" s="5" t="inlineStr">
        <is>
          <t>TMZ BEAST MACHINES AUTOS DE METAL BLISTER X 1</t>
        </is>
      </c>
      <c r="G2508" t="n">
        <v>1</v>
      </c>
      <c r="H2508" s="7" t="n">
        <v>7.9</v>
      </c>
      <c r="I2508" s="7" t="n">
        <v>0</v>
      </c>
      <c r="J2508" s="7" t="n">
        <v>0</v>
      </c>
      <c r="K2508" s="9" t="n">
        <v>0</v>
      </c>
      <c r="L2508" s="10" t="n">
        <v>4.68</v>
      </c>
      <c r="M2508" s="10" t="n">
        <v>1.43</v>
      </c>
      <c r="N2508" t="inlineStr">
        <is>
          <t>1</t>
        </is>
      </c>
      <c r="O2508" t="inlineStr">
        <is>
          <t>16</t>
        </is>
      </c>
      <c r="P2508" t="inlineStr">
        <is>
          <t xml:space="preserve">241949  </t>
        </is>
      </c>
      <c r="Q2508" s="26" t="n">
        <v>4.69</v>
      </c>
      <c r="R2508" s="26">
        <f>Q2508*G2508</f>
        <v/>
      </c>
      <c r="S2508" s="26">
        <f>IFERROR(VLOOKUP(E2508*1,Tabla[#All],8,0),0)</f>
        <v/>
      </c>
      <c r="T2508" s="26">
        <f>S2508*G2508</f>
        <v/>
      </c>
      <c r="U2508" s="26">
        <f>R2508-T2508</f>
        <v/>
      </c>
      <c r="V2508" s="26">
        <f>U2508-L2508</f>
        <v/>
      </c>
    </row>
    <row r="2509">
      <c r="A2509" s="11" t="n">
        <v>46228</v>
      </c>
      <c r="B2509" s="1" t="n">
        <v>20048</v>
      </c>
      <c r="C2509" s="1" t="inlineStr">
        <is>
          <t>018</t>
        </is>
      </c>
      <c r="D2509" s="1" t="inlineStr">
        <is>
          <t xml:space="preserve">48342 </t>
        </is>
      </c>
      <c r="E2509" s="1" t="inlineStr">
        <is>
          <t xml:space="preserve">28194770       </t>
        </is>
      </c>
      <c r="F2509" s="5" t="inlineStr">
        <is>
          <t>AUTOS DE METAL 3 TEAMSTERZ EN BLISTER</t>
        </is>
      </c>
      <c r="G2509" t="n">
        <v>1</v>
      </c>
      <c r="H2509" s="7" t="n">
        <v>6.9</v>
      </c>
      <c r="I2509" s="7" t="n">
        <v>0</v>
      </c>
      <c r="J2509" s="7" t="n">
        <v>0</v>
      </c>
      <c r="K2509" s="9" t="n">
        <v>0</v>
      </c>
      <c r="L2509" s="10" t="n">
        <v>4.1</v>
      </c>
      <c r="M2509" s="10" t="n">
        <v>1.43</v>
      </c>
      <c r="N2509" t="inlineStr">
        <is>
          <t>1</t>
        </is>
      </c>
      <c r="O2509" t="inlineStr">
        <is>
          <t xml:space="preserve">2 </t>
        </is>
      </c>
      <c r="P2509" t="inlineStr">
        <is>
          <t xml:space="preserve">241949  </t>
        </is>
      </c>
      <c r="Q2509" s="26" t="n">
        <v>4.09</v>
      </c>
      <c r="R2509" s="26">
        <f>Q2509*G2509</f>
        <v/>
      </c>
      <c r="S2509" s="26">
        <f>IFERROR(VLOOKUP(E2509*1,Tabla[#All],8,0),0)</f>
        <v/>
      </c>
      <c r="T2509" s="26">
        <f>S2509*G2509</f>
        <v/>
      </c>
      <c r="U2509" s="26">
        <f>R2509-T2509</f>
        <v/>
      </c>
      <c r="V2509" s="26">
        <f>U2509-L2509</f>
        <v/>
      </c>
    </row>
    <row r="2510">
      <c r="A2510" s="11" t="n">
        <v>46228</v>
      </c>
      <c r="B2510" s="1" t="n">
        <v>20048</v>
      </c>
      <c r="C2510" s="1" t="inlineStr">
        <is>
          <t>800</t>
        </is>
      </c>
      <c r="D2510" s="1" t="inlineStr">
        <is>
          <t xml:space="preserve">4873  </t>
        </is>
      </c>
      <c r="E2510" s="1" t="inlineStr">
        <is>
          <t xml:space="preserve">28194770       </t>
        </is>
      </c>
      <c r="F2510" s="5" t="inlineStr">
        <is>
          <t>AUTOS DE METAL 3 TEAMSTERZ EN BLISTER</t>
        </is>
      </c>
      <c r="G2510" t="n">
        <v>1</v>
      </c>
      <c r="H2510" s="7" t="n">
        <v>6.9</v>
      </c>
      <c r="I2510" s="7" t="n">
        <v>0</v>
      </c>
      <c r="J2510" s="7" t="n">
        <v>0</v>
      </c>
      <c r="K2510" s="9" t="n">
        <v>0</v>
      </c>
      <c r="L2510" s="10" t="n">
        <v>4.1</v>
      </c>
      <c r="M2510" s="10" t="n">
        <v>1.43</v>
      </c>
      <c r="N2510" t="inlineStr">
        <is>
          <t>1</t>
        </is>
      </c>
      <c r="O2510" t="inlineStr">
        <is>
          <t>16</t>
        </is>
      </c>
      <c r="P2510" t="inlineStr">
        <is>
          <t xml:space="preserve">234984  </t>
        </is>
      </c>
      <c r="Q2510" s="26" t="n">
        <v>4.09</v>
      </c>
      <c r="R2510" s="26">
        <f>Q2510*G2510</f>
        <v/>
      </c>
      <c r="S2510" s="26">
        <f>IFERROR(VLOOKUP(E2510*1,Tabla[#All],8,0),0)</f>
        <v/>
      </c>
      <c r="T2510" s="26">
        <f>S2510*G2510</f>
        <v/>
      </c>
      <c r="U2510" s="26">
        <f>R2510-T2510</f>
        <v/>
      </c>
      <c r="V2510" s="26">
        <f>U2510-L2510</f>
        <v/>
      </c>
    </row>
    <row r="2511">
      <c r="A2511" s="11" t="n">
        <v>46228</v>
      </c>
      <c r="B2511" s="1" t="n">
        <v>20049</v>
      </c>
      <c r="C2511" s="1" t="inlineStr">
        <is>
          <t>030</t>
        </is>
      </c>
      <c r="D2511" s="1" t="inlineStr">
        <is>
          <t>114518</t>
        </is>
      </c>
      <c r="E2511" s="1" t="inlineStr">
        <is>
          <t xml:space="preserve">34840556       </t>
        </is>
      </c>
      <c r="F2511" s="5" t="inlineStr">
        <is>
          <t>TMZ BEAST MACH. TRANSPORT DINO +ACCS</t>
        </is>
      </c>
      <c r="G2511" t="n">
        <v>1</v>
      </c>
      <c r="H2511" s="7" t="n">
        <v>59.9</v>
      </c>
      <c r="I2511" s="7" t="n">
        <v>5.99</v>
      </c>
      <c r="J2511" s="7" t="n">
        <v>0</v>
      </c>
      <c r="K2511" s="9" t="n">
        <v>5.99</v>
      </c>
      <c r="L2511" s="10" t="n">
        <v>31.98</v>
      </c>
      <c r="M2511" s="10" t="n">
        <v>1.43</v>
      </c>
      <c r="N2511" t="inlineStr">
        <is>
          <t>1</t>
        </is>
      </c>
      <c r="O2511" t="inlineStr">
        <is>
          <t xml:space="preserve">3 </t>
        </is>
      </c>
      <c r="P2511" t="inlineStr">
        <is>
          <t xml:space="preserve">234411  </t>
        </is>
      </c>
      <c r="Q2511" s="26" t="n">
        <v>47.4</v>
      </c>
      <c r="R2511" s="26">
        <f>Q2511*G2511</f>
        <v/>
      </c>
      <c r="S2511" s="26">
        <f>IFERROR(VLOOKUP(E2511*1,Tabla[#All],8,0),0)</f>
        <v/>
      </c>
      <c r="T2511" s="26">
        <f>S2511*G2511</f>
        <v/>
      </c>
      <c r="U2511" s="26">
        <f>R2511-T2511</f>
        <v/>
      </c>
      <c r="V2511" s="26">
        <f>U2511-L2511</f>
        <v/>
      </c>
    </row>
    <row r="2512">
      <c r="A2512" s="11" t="n">
        <v>46228</v>
      </c>
      <c r="B2512" s="1" t="n">
        <v>20049</v>
      </c>
      <c r="C2512" s="1" t="inlineStr">
        <is>
          <t>500</t>
        </is>
      </c>
      <c r="D2512" s="1" t="inlineStr">
        <is>
          <t xml:space="preserve">6887  </t>
        </is>
      </c>
      <c r="E2512" s="1" t="inlineStr">
        <is>
          <t xml:space="preserve">28194769       </t>
        </is>
      </c>
      <c r="F2512" s="5" t="inlineStr">
        <is>
          <t>AUTOS DE METAL 3 TEAMSTERZ PACK DE 2</t>
        </is>
      </c>
      <c r="G2512" t="n">
        <v>1</v>
      </c>
      <c r="H2512" s="7" t="n">
        <v>13.8</v>
      </c>
      <c r="I2512" s="7" t="n">
        <v>1.38</v>
      </c>
      <c r="J2512" s="7" t="n">
        <v>0</v>
      </c>
      <c r="K2512" s="9" t="n">
        <v>1.38</v>
      </c>
      <c r="L2512" s="10" t="n">
        <v>7.37</v>
      </c>
      <c r="M2512" s="10" t="n">
        <v>1.43</v>
      </c>
      <c r="N2512" t="inlineStr">
        <is>
          <t>1</t>
        </is>
      </c>
      <c r="O2512" t="inlineStr">
        <is>
          <t>16</t>
        </is>
      </c>
      <c r="P2512" t="inlineStr">
        <is>
          <t xml:space="preserve">247905  </t>
        </is>
      </c>
      <c r="Q2512" s="26" t="n">
        <v>8.19</v>
      </c>
      <c r="R2512" s="26">
        <f>Q2512*G2512</f>
        <v/>
      </c>
      <c r="S2512" s="26">
        <f>IFERROR(VLOOKUP(E2512*1,Tabla[#All],8,0),0)</f>
        <v/>
      </c>
      <c r="T2512" s="26">
        <f>S2512*G2512</f>
        <v/>
      </c>
      <c r="U2512" s="26">
        <f>R2512-T2512</f>
        <v/>
      </c>
      <c r="V2512" s="26">
        <f>U2512-L2512</f>
        <v/>
      </c>
    </row>
    <row r="2513">
      <c r="A2513" s="11" t="n">
        <v>46228</v>
      </c>
      <c r="B2513" s="1" t="n">
        <v>20056</v>
      </c>
      <c r="C2513" s="1" t="inlineStr">
        <is>
          <t>012</t>
        </is>
      </c>
      <c r="D2513" s="1" t="inlineStr">
        <is>
          <t xml:space="preserve">67743 </t>
        </is>
      </c>
      <c r="E2513" s="1" t="inlineStr">
        <is>
          <t xml:space="preserve">32457106       </t>
        </is>
      </c>
      <c r="F2513" s="5" t="inlineStr">
        <is>
          <t>TMZ BEAST MACHINES PLAYSET DESASTRE DRAGON + 1 AUT</t>
        </is>
      </c>
      <c r="G2513" t="n">
        <v>1</v>
      </c>
      <c r="H2513" s="7" t="n">
        <v>49.9</v>
      </c>
      <c r="I2513" s="7" t="n">
        <v>0</v>
      </c>
      <c r="J2513" s="7" t="n">
        <v>0</v>
      </c>
      <c r="K2513" s="9" t="n">
        <v>0</v>
      </c>
      <c r="L2513" s="10" t="n">
        <v>29.6</v>
      </c>
      <c r="M2513" s="10" t="n">
        <v>1.43</v>
      </c>
      <c r="N2513" t="inlineStr">
        <is>
          <t>1</t>
        </is>
      </c>
      <c r="O2513" t="inlineStr">
        <is>
          <t>16</t>
        </is>
      </c>
      <c r="P2513" t="inlineStr">
        <is>
          <t xml:space="preserve">246478  </t>
        </is>
      </c>
      <c r="Q2513" s="26" t="n">
        <v>41.47</v>
      </c>
      <c r="R2513" s="26">
        <f>Q2513*G2513</f>
        <v/>
      </c>
      <c r="S2513" s="26">
        <f>IFERROR(VLOOKUP(E2513*1,Tabla[#All],8,0),0)</f>
        <v/>
      </c>
      <c r="T2513" s="26">
        <f>S2513*G2513</f>
        <v/>
      </c>
      <c r="U2513" s="26">
        <f>R2513-T2513</f>
        <v/>
      </c>
      <c r="V2513" s="26">
        <f>U2513-L2513</f>
        <v/>
      </c>
    </row>
    <row r="2514">
      <c r="A2514" s="11" t="n">
        <v>46228</v>
      </c>
      <c r="B2514" s="1" t="n">
        <v>20056</v>
      </c>
      <c r="C2514" s="1" t="inlineStr">
        <is>
          <t>022</t>
        </is>
      </c>
      <c r="D2514" s="1" t="inlineStr">
        <is>
          <t xml:space="preserve">55433 </t>
        </is>
      </c>
      <c r="E2514" s="1" t="inlineStr">
        <is>
          <t xml:space="preserve">31675352       </t>
        </is>
      </c>
      <c r="F2514" s="5" t="inlineStr">
        <is>
          <t>MI PEQUENO NENUCO</t>
        </is>
      </c>
      <c r="G2514" t="n">
        <v>1</v>
      </c>
      <c r="H2514" s="7" t="n">
        <v>49.9</v>
      </c>
      <c r="I2514" s="7" t="n">
        <v>0</v>
      </c>
      <c r="J2514" s="7" t="n">
        <v>0</v>
      </c>
      <c r="K2514" s="9" t="n">
        <v>0</v>
      </c>
      <c r="L2514" s="10" t="n">
        <v>29.6</v>
      </c>
      <c r="M2514" s="10" t="n">
        <v>1.43</v>
      </c>
      <c r="N2514" t="inlineStr">
        <is>
          <t>1</t>
        </is>
      </c>
      <c r="O2514" t="inlineStr">
        <is>
          <t xml:space="preserve">2 </t>
        </is>
      </c>
      <c r="P2514" t="inlineStr">
        <is>
          <t xml:space="preserve">247194  </t>
        </is>
      </c>
      <c r="Q2514" s="26" t="n">
        <v>41.47</v>
      </c>
      <c r="R2514" s="26">
        <f>Q2514*G2514</f>
        <v/>
      </c>
      <c r="S2514" s="26">
        <f>IFERROR(VLOOKUP(E2514*1,Tabla[#All],8,0),0)</f>
        <v/>
      </c>
      <c r="T2514" s="26">
        <f>S2514*G2514</f>
        <v/>
      </c>
      <c r="U2514" s="26">
        <f>R2514-T2514</f>
        <v/>
      </c>
      <c r="V2514" s="26">
        <f>U2514-L2514</f>
        <v/>
      </c>
    </row>
    <row r="2515">
      <c r="A2515" s="11" t="n">
        <v>46228</v>
      </c>
      <c r="B2515" s="1" t="n">
        <v>20056</v>
      </c>
      <c r="C2515" s="1" t="inlineStr">
        <is>
          <t>024</t>
        </is>
      </c>
      <c r="D2515" s="1" t="inlineStr">
        <is>
          <t xml:space="preserve">10613 </t>
        </is>
      </c>
      <c r="E2515" s="1" t="inlineStr">
        <is>
          <t xml:space="preserve">28194767       </t>
        </is>
      </c>
      <c r="F2515" s="5" t="inlineStr">
        <is>
          <t>CAMIONES TEAMSTERZ DE EMERGENCIA</t>
        </is>
      </c>
      <c r="G2515" t="n">
        <v>1</v>
      </c>
      <c r="H2515" s="7" t="n">
        <v>17.9</v>
      </c>
      <c r="I2515" s="7" t="n">
        <v>1.79</v>
      </c>
      <c r="J2515" s="7" t="n">
        <v>0</v>
      </c>
      <c r="K2515" s="9" t="n">
        <v>1.79</v>
      </c>
      <c r="L2515" s="10" t="n">
        <v>9.56</v>
      </c>
      <c r="M2515" s="10" t="n">
        <v>1.43</v>
      </c>
      <c r="N2515" t="inlineStr">
        <is>
          <t>1</t>
        </is>
      </c>
      <c r="O2515" t="inlineStr">
        <is>
          <t>16</t>
        </is>
      </c>
      <c r="P2515" t="inlineStr">
        <is>
          <t xml:space="preserve">235023  </t>
        </is>
      </c>
      <c r="Q2515" s="26" t="n">
        <v>10.62</v>
      </c>
      <c r="R2515" s="26">
        <f>Q2515*G2515</f>
        <v/>
      </c>
      <c r="S2515" s="26">
        <f>IFERROR(VLOOKUP(E2515*1,Tabla[#All],8,0),0)</f>
        <v/>
      </c>
      <c r="T2515" s="26">
        <f>S2515*G2515</f>
        <v/>
      </c>
      <c r="U2515" s="26">
        <f>R2515-T2515</f>
        <v/>
      </c>
      <c r="V2515" s="26">
        <f>U2515-L2515</f>
        <v/>
      </c>
    </row>
    <row r="2516">
      <c r="A2516" s="11" t="n">
        <v>46228</v>
      </c>
      <c r="B2516" s="1" t="n">
        <v>20056</v>
      </c>
      <c r="C2516" s="1" t="inlineStr">
        <is>
          <t>024</t>
        </is>
      </c>
      <c r="D2516" s="1" t="inlineStr">
        <is>
          <t xml:space="preserve">10613 </t>
        </is>
      </c>
      <c r="E2516" s="1" t="inlineStr">
        <is>
          <t xml:space="preserve">28194767       </t>
        </is>
      </c>
      <c r="F2516" s="5" t="inlineStr">
        <is>
          <t>CAMIONES TEAMSTERZ DE EMERGENCIA</t>
        </is>
      </c>
      <c r="G2516" t="n">
        <v>1</v>
      </c>
      <c r="H2516" s="7" t="n">
        <v>17.9</v>
      </c>
      <c r="I2516" s="7" t="n">
        <v>1.79</v>
      </c>
      <c r="J2516" s="7" t="n">
        <v>0</v>
      </c>
      <c r="K2516" s="9" t="n">
        <v>1.79</v>
      </c>
      <c r="L2516" s="10" t="n">
        <v>9.56</v>
      </c>
      <c r="M2516" s="10" t="n">
        <v>1.43</v>
      </c>
      <c r="N2516" t="inlineStr">
        <is>
          <t>1</t>
        </is>
      </c>
      <c r="O2516" t="inlineStr">
        <is>
          <t>16</t>
        </is>
      </c>
      <c r="P2516" t="inlineStr">
        <is>
          <t xml:space="preserve">235023  </t>
        </is>
      </c>
      <c r="Q2516" s="26" t="n">
        <v>10.62</v>
      </c>
      <c r="R2516" s="26">
        <f>Q2516*G2516</f>
        <v/>
      </c>
      <c r="S2516" s="26">
        <f>IFERROR(VLOOKUP(E2516*1,Tabla[#All],8,0),0)</f>
        <v/>
      </c>
      <c r="T2516" s="26">
        <f>S2516*G2516</f>
        <v/>
      </c>
      <c r="U2516" s="26">
        <f>R2516-T2516</f>
        <v/>
      </c>
      <c r="V2516" s="26">
        <f>U2516-L2516</f>
        <v/>
      </c>
    </row>
    <row r="2517">
      <c r="A2517" s="11" t="n">
        <v>46228</v>
      </c>
      <c r="B2517" s="1" t="n">
        <v>20057</v>
      </c>
      <c r="C2517" s="1" t="inlineStr">
        <is>
          <t>032</t>
        </is>
      </c>
      <c r="D2517" s="1" t="inlineStr">
        <is>
          <t xml:space="preserve">75883 </t>
        </is>
      </c>
      <c r="E2517" s="1" t="inlineStr">
        <is>
          <t xml:space="preserve">28194770       </t>
        </is>
      </c>
      <c r="F2517" s="5" t="inlineStr">
        <is>
          <t>AUTOS DE METAL 3 TEAMSTERZ EN BLISTER</t>
        </is>
      </c>
      <c r="G2517" t="n">
        <v>1</v>
      </c>
      <c r="H2517" s="7" t="n">
        <v>6.9</v>
      </c>
      <c r="I2517" s="7" t="n">
        <v>0</v>
      </c>
      <c r="J2517" s="7" t="n">
        <v>0</v>
      </c>
      <c r="K2517" s="9" t="n">
        <v>0</v>
      </c>
      <c r="L2517" s="10" t="n">
        <v>4.1</v>
      </c>
      <c r="M2517" s="10" t="n">
        <v>1.43</v>
      </c>
      <c r="N2517" t="inlineStr">
        <is>
          <t>1</t>
        </is>
      </c>
      <c r="O2517" t="inlineStr">
        <is>
          <t>16</t>
        </is>
      </c>
      <c r="P2517" t="inlineStr">
        <is>
          <t xml:space="preserve">248132  </t>
        </is>
      </c>
      <c r="Q2517" s="26" t="n">
        <v>4.09</v>
      </c>
      <c r="R2517" s="26">
        <f>Q2517*G2517</f>
        <v/>
      </c>
      <c r="S2517" s="26">
        <f>IFERROR(VLOOKUP(E2517*1,Tabla[#All],8,0),0)</f>
        <v/>
      </c>
      <c r="T2517" s="26">
        <f>S2517*G2517</f>
        <v/>
      </c>
      <c r="U2517" s="26">
        <f>R2517-T2517</f>
        <v/>
      </c>
      <c r="V2517" s="26">
        <f>U2517-L2517</f>
        <v/>
      </c>
    </row>
    <row r="2518">
      <c r="A2518" s="11" t="n">
        <v>46228</v>
      </c>
      <c r="B2518" s="1" t="n">
        <v>20057</v>
      </c>
      <c r="C2518" s="1" t="inlineStr">
        <is>
          <t>032</t>
        </is>
      </c>
      <c r="D2518" s="1" t="inlineStr">
        <is>
          <t xml:space="preserve">75905 </t>
        </is>
      </c>
      <c r="E2518" s="1" t="inlineStr">
        <is>
          <t xml:space="preserve">28194769       </t>
        </is>
      </c>
      <c r="F2518" s="5" t="inlineStr">
        <is>
          <t>AUTOS DE METAL 3 TEAMSTERZ PACK DE 2</t>
        </is>
      </c>
      <c r="G2518" t="n">
        <v>1</v>
      </c>
      <c r="H2518" s="7" t="n">
        <v>13.8</v>
      </c>
      <c r="I2518" s="7" t="n">
        <v>0</v>
      </c>
      <c r="J2518" s="7" t="n">
        <v>0</v>
      </c>
      <c r="K2518" s="9" t="n">
        <v>0</v>
      </c>
      <c r="L2518" s="10" t="n">
        <v>8.18</v>
      </c>
      <c r="M2518" s="10" t="n">
        <v>1.43</v>
      </c>
      <c r="N2518" t="inlineStr">
        <is>
          <t>1</t>
        </is>
      </c>
      <c r="O2518" t="inlineStr">
        <is>
          <t xml:space="preserve">2 </t>
        </is>
      </c>
      <c r="P2518" t="inlineStr">
        <is>
          <t xml:space="preserve">243704  </t>
        </is>
      </c>
      <c r="Q2518" s="26" t="n">
        <v>8.19</v>
      </c>
      <c r="R2518" s="26">
        <f>Q2518*G2518</f>
        <v/>
      </c>
      <c r="S2518" s="26">
        <f>IFERROR(VLOOKUP(E2518*1,Tabla[#All],8,0),0)</f>
        <v/>
      </c>
      <c r="T2518" s="26">
        <f>S2518*G2518</f>
        <v/>
      </c>
      <c r="U2518" s="26">
        <f>R2518-T2518</f>
        <v/>
      </c>
      <c r="V2518" s="26">
        <f>U2518-L2518</f>
        <v/>
      </c>
    </row>
    <row r="2519">
      <c r="A2519" s="11" t="n">
        <v>46228</v>
      </c>
      <c r="B2519" s="1" t="n">
        <v>20057</v>
      </c>
      <c r="C2519" s="1" t="inlineStr">
        <is>
          <t>032</t>
        </is>
      </c>
      <c r="D2519" s="1" t="inlineStr">
        <is>
          <t xml:space="preserve">75905 </t>
        </is>
      </c>
      <c r="E2519" s="1" t="inlineStr">
        <is>
          <t xml:space="preserve">28194769       </t>
        </is>
      </c>
      <c r="F2519" s="5" t="inlineStr">
        <is>
          <t>AUTOS DE METAL 3 TEAMSTERZ PACK DE 2</t>
        </is>
      </c>
      <c r="G2519" t="n">
        <v>1</v>
      </c>
      <c r="H2519" s="7" t="n">
        <v>13.8</v>
      </c>
      <c r="I2519" s="7" t="n">
        <v>0</v>
      </c>
      <c r="J2519" s="7" t="n">
        <v>0</v>
      </c>
      <c r="K2519" s="9" t="n">
        <v>0</v>
      </c>
      <c r="L2519" s="10" t="n">
        <v>8.18</v>
      </c>
      <c r="M2519" s="10" t="n">
        <v>1.43</v>
      </c>
      <c r="N2519" t="inlineStr">
        <is>
          <t>1</t>
        </is>
      </c>
      <c r="O2519" t="inlineStr">
        <is>
          <t xml:space="preserve">2 </t>
        </is>
      </c>
      <c r="P2519" t="inlineStr">
        <is>
          <t xml:space="preserve">243704  </t>
        </is>
      </c>
      <c r="Q2519" s="26" t="n">
        <v>8.19</v>
      </c>
      <c r="R2519" s="26">
        <f>Q2519*G2519</f>
        <v/>
      </c>
      <c r="S2519" s="26">
        <f>IFERROR(VLOOKUP(E2519*1,Tabla[#All],8,0),0)</f>
        <v/>
      </c>
      <c r="T2519" s="26">
        <f>S2519*G2519</f>
        <v/>
      </c>
      <c r="U2519" s="26">
        <f>R2519-T2519</f>
        <v/>
      </c>
      <c r="V2519" s="26">
        <f>U2519-L2519</f>
        <v/>
      </c>
    </row>
    <row r="2520">
      <c r="A2520" s="11" t="n">
        <v>46228</v>
      </c>
      <c r="B2520" s="1" t="n">
        <v>20057</v>
      </c>
      <c r="C2520" s="1" t="inlineStr">
        <is>
          <t>033</t>
        </is>
      </c>
      <c r="D2520" s="1" t="inlineStr">
        <is>
          <t xml:space="preserve">68218 </t>
        </is>
      </c>
      <c r="E2520" s="1" t="inlineStr">
        <is>
          <t xml:space="preserve">29235706       </t>
        </is>
      </c>
      <c r="F2520" s="5" t="inlineStr">
        <is>
          <t>TEAMSTERZ CAMION PARA GUARDAR 12 AUTOS INCL 4 AUTO</t>
        </is>
      </c>
      <c r="G2520" t="n">
        <v>1</v>
      </c>
      <c r="H2520" s="7" t="n">
        <v>59.9</v>
      </c>
      <c r="I2520" s="7" t="n">
        <v>0</v>
      </c>
      <c r="J2520" s="7" t="n">
        <v>0</v>
      </c>
      <c r="K2520" s="9" t="n">
        <v>0</v>
      </c>
      <c r="L2520" s="10" t="n">
        <v>35.53</v>
      </c>
      <c r="M2520" s="10" t="n">
        <v>1.43</v>
      </c>
      <c r="N2520" t="inlineStr">
        <is>
          <t>1</t>
        </is>
      </c>
      <c r="O2520" t="inlineStr">
        <is>
          <t>16</t>
        </is>
      </c>
      <c r="P2520" t="inlineStr">
        <is>
          <t xml:space="preserve">248132  </t>
        </is>
      </c>
      <c r="Q2520" s="26" t="n">
        <v>35.53</v>
      </c>
      <c r="R2520" s="26">
        <f>Q2520*G2520</f>
        <v/>
      </c>
      <c r="S2520" s="26">
        <f>IFERROR(VLOOKUP(E2520*1,Tabla[#All],8,0),0)</f>
        <v/>
      </c>
      <c r="T2520" s="26">
        <f>S2520*G2520</f>
        <v/>
      </c>
      <c r="U2520" s="26">
        <f>R2520-T2520</f>
        <v/>
      </c>
      <c r="V2520" s="26">
        <f>U2520-L2520</f>
        <v/>
      </c>
    </row>
    <row r="2521">
      <c r="A2521" s="11" t="n">
        <v>46228</v>
      </c>
      <c r="B2521" s="1" t="n">
        <v>20057</v>
      </c>
      <c r="C2521" s="1" t="inlineStr">
        <is>
          <t>033</t>
        </is>
      </c>
      <c r="D2521" s="1" t="inlineStr">
        <is>
          <t xml:space="preserve">68223 </t>
        </is>
      </c>
      <c r="E2521" s="1" t="inlineStr">
        <is>
          <t xml:space="preserve">33661538       </t>
        </is>
      </c>
      <c r="F2521" s="5" t="inlineStr">
        <is>
          <t>HOT WHEELS CASE GARAGE RUEDA METAL EN LLAMAS X 29</t>
        </is>
      </c>
      <c r="G2521" t="n">
        <v>1</v>
      </c>
      <c r="H2521" s="7" t="n">
        <v>69.90000000000001</v>
      </c>
      <c r="I2521" s="7" t="n">
        <v>0</v>
      </c>
      <c r="J2521" s="7" t="n">
        <v>0</v>
      </c>
      <c r="K2521" s="9" t="n">
        <v>0</v>
      </c>
      <c r="L2521" s="10" t="n">
        <v>41.47</v>
      </c>
      <c r="M2521" s="10" t="n">
        <v>1.43</v>
      </c>
      <c r="N2521" t="inlineStr">
        <is>
          <t>1</t>
        </is>
      </c>
      <c r="O2521" t="inlineStr">
        <is>
          <t>16</t>
        </is>
      </c>
      <c r="P2521" t="inlineStr">
        <is>
          <t xml:space="preserve">248132  </t>
        </is>
      </c>
      <c r="Q2521" s="26" t="n">
        <v>41.47</v>
      </c>
      <c r="R2521" s="26">
        <f>Q2521*G2521</f>
        <v/>
      </c>
      <c r="S2521" s="26">
        <f>IFERROR(VLOOKUP(E2521*1,Tabla[#All],8,0),0)</f>
        <v/>
      </c>
      <c r="T2521" s="26">
        <f>S2521*G2521</f>
        <v/>
      </c>
      <c r="U2521" s="26">
        <f>R2521-T2521</f>
        <v/>
      </c>
      <c r="V2521" s="26">
        <f>U2521-L2521</f>
        <v/>
      </c>
    </row>
    <row r="2522">
      <c r="A2522" s="11" t="n">
        <v>46228</v>
      </c>
      <c r="B2522" s="1" t="n">
        <v>20057</v>
      </c>
      <c r="C2522" s="1" t="inlineStr">
        <is>
          <t>033</t>
        </is>
      </c>
      <c r="D2522" s="1" t="inlineStr">
        <is>
          <t xml:space="preserve">68224 </t>
        </is>
      </c>
      <c r="E2522" s="1" t="inlineStr">
        <is>
          <t xml:space="preserve">28194770       </t>
        </is>
      </c>
      <c r="F2522" s="5" t="inlineStr">
        <is>
          <t>AUTOS DE METAL 3 TEAMSTERZ EN BLISTER</t>
        </is>
      </c>
      <c r="G2522" t="n">
        <v>1</v>
      </c>
      <c r="H2522" s="7" t="n">
        <v>6.9</v>
      </c>
      <c r="I2522" s="7" t="n">
        <v>0</v>
      </c>
      <c r="J2522" s="7" t="n">
        <v>0</v>
      </c>
      <c r="K2522" s="9" t="n">
        <v>0</v>
      </c>
      <c r="L2522" s="10" t="n">
        <v>4.1</v>
      </c>
      <c r="M2522" s="10" t="n">
        <v>1.43</v>
      </c>
      <c r="N2522" t="inlineStr">
        <is>
          <t>1</t>
        </is>
      </c>
      <c r="O2522" t="inlineStr">
        <is>
          <t xml:space="preserve">2 </t>
        </is>
      </c>
      <c r="P2522" t="inlineStr">
        <is>
          <t xml:space="preserve">248132  </t>
        </is>
      </c>
      <c r="Q2522" s="26" t="n">
        <v>4.09</v>
      </c>
      <c r="R2522" s="26">
        <f>Q2522*G2522</f>
        <v/>
      </c>
      <c r="S2522" s="26">
        <f>IFERROR(VLOOKUP(E2522*1,Tabla[#All],8,0),0)</f>
        <v/>
      </c>
      <c r="T2522" s="26">
        <f>S2522*G2522</f>
        <v/>
      </c>
      <c r="U2522" s="26">
        <f>R2522-T2522</f>
        <v/>
      </c>
      <c r="V2522" s="26">
        <f>U2522-L2522</f>
        <v/>
      </c>
    </row>
    <row r="2523">
      <c r="A2523" s="11" t="n">
        <v>46228</v>
      </c>
      <c r="B2523" s="1" t="n">
        <v>20057</v>
      </c>
      <c r="C2523" s="1" t="inlineStr">
        <is>
          <t>037</t>
        </is>
      </c>
      <c r="D2523" s="1" t="inlineStr">
        <is>
          <t xml:space="preserve">4645  </t>
        </is>
      </c>
      <c r="E2523" s="1" t="inlineStr">
        <is>
          <t xml:space="preserve">28194770       </t>
        </is>
      </c>
      <c r="F2523" s="5" t="inlineStr">
        <is>
          <t>AUTOS DE METAL 3 TEAMSTERZ EN BLISTER</t>
        </is>
      </c>
      <c r="G2523" t="n">
        <v>1</v>
      </c>
      <c r="H2523" s="7" t="n">
        <v>6.9</v>
      </c>
      <c r="I2523" s="7" t="n">
        <v>0</v>
      </c>
      <c r="J2523" s="7" t="n">
        <v>0</v>
      </c>
      <c r="K2523" s="9" t="n">
        <v>0</v>
      </c>
      <c r="L2523" s="10" t="n">
        <v>4.1</v>
      </c>
      <c r="M2523" s="10" t="n">
        <v>1.43</v>
      </c>
      <c r="N2523" t="inlineStr">
        <is>
          <t>1</t>
        </is>
      </c>
      <c r="O2523" t="inlineStr">
        <is>
          <t xml:space="preserve">2 </t>
        </is>
      </c>
      <c r="P2523" t="inlineStr">
        <is>
          <t xml:space="preserve">241502  </t>
        </is>
      </c>
      <c r="Q2523" s="26" t="n">
        <v>4.09</v>
      </c>
      <c r="R2523" s="26">
        <f>Q2523*G2523</f>
        <v/>
      </c>
      <c r="S2523" s="26">
        <f>IFERROR(VLOOKUP(E2523*1,Tabla[#All],8,0),0)</f>
        <v/>
      </c>
      <c r="T2523" s="26">
        <f>S2523*G2523</f>
        <v/>
      </c>
      <c r="U2523" s="26">
        <f>R2523-T2523</f>
        <v/>
      </c>
      <c r="V2523" s="26">
        <f>U2523-L2523</f>
        <v/>
      </c>
    </row>
    <row r="2524">
      <c r="A2524" s="11" t="n">
        <v>46228</v>
      </c>
      <c r="B2524" s="1" t="n">
        <v>20057</v>
      </c>
      <c r="C2524" s="1" t="inlineStr">
        <is>
          <t>862</t>
        </is>
      </c>
      <c r="D2524" s="1" t="inlineStr">
        <is>
          <t xml:space="preserve">8171  </t>
        </is>
      </c>
      <c r="E2524" s="1" t="inlineStr">
        <is>
          <t xml:space="preserve">28194780       </t>
        </is>
      </c>
      <c r="F2524" s="5" t="inlineStr">
        <is>
          <t>TROMPO BATALLA INFINITY NADO PLSTICO SURTIDO</t>
        </is>
      </c>
      <c r="G2524" t="n">
        <v>1</v>
      </c>
      <c r="H2524" s="7" t="n">
        <v>19.9</v>
      </c>
      <c r="I2524" s="7" t="n">
        <v>0</v>
      </c>
      <c r="J2524" s="7" t="n">
        <v>0</v>
      </c>
      <c r="K2524" s="9" t="n">
        <v>0</v>
      </c>
      <c r="L2524" s="10" t="n">
        <v>11.8</v>
      </c>
      <c r="M2524" s="10" t="n">
        <v>1.43</v>
      </c>
      <c r="N2524" t="inlineStr">
        <is>
          <t>1</t>
        </is>
      </c>
      <c r="O2524" t="inlineStr">
        <is>
          <t>16</t>
        </is>
      </c>
      <c r="P2524" t="inlineStr">
        <is>
          <t xml:space="preserve">0       </t>
        </is>
      </c>
      <c r="Q2524" s="26" t="n">
        <v>11.81</v>
      </c>
      <c r="R2524" s="26">
        <f>Q2524*G2524</f>
        <v/>
      </c>
      <c r="S2524" s="26">
        <f>IFERROR(VLOOKUP(E2524*1,Tabla[#All],8,0),0)</f>
        <v/>
      </c>
      <c r="T2524" s="26">
        <f>S2524*G2524</f>
        <v/>
      </c>
      <c r="U2524" s="26">
        <f>R2524-T2524</f>
        <v/>
      </c>
      <c r="V2524" s="26">
        <f>U2524-L2524</f>
        <v/>
      </c>
    </row>
    <row r="2525">
      <c r="A2525" s="11" t="n">
        <v>46228</v>
      </c>
      <c r="B2525" s="1" t="n">
        <v>20057</v>
      </c>
      <c r="C2525" s="1" t="inlineStr">
        <is>
          <t>862</t>
        </is>
      </c>
      <c r="D2525" s="1" t="inlineStr">
        <is>
          <t xml:space="preserve">8171  </t>
        </is>
      </c>
      <c r="E2525" s="1" t="inlineStr">
        <is>
          <t xml:space="preserve">29235701       </t>
        </is>
      </c>
      <c r="F2525" s="5" t="inlineStr">
        <is>
          <t>INFINITY NADO TROMPO DE BATALLA - METAL EN CAJA</t>
        </is>
      </c>
      <c r="G2525" t="n">
        <v>1</v>
      </c>
      <c r="H2525" s="7" t="n">
        <v>29.9</v>
      </c>
      <c r="I2525" s="7" t="n">
        <v>0</v>
      </c>
      <c r="J2525" s="7" t="n">
        <v>0</v>
      </c>
      <c r="K2525" s="9" t="n">
        <v>0</v>
      </c>
      <c r="L2525" s="10" t="n">
        <v>17.74</v>
      </c>
      <c r="M2525" s="10" t="n">
        <v>1.43</v>
      </c>
      <c r="N2525" t="inlineStr">
        <is>
          <t>1</t>
        </is>
      </c>
      <c r="O2525" t="inlineStr">
        <is>
          <t>16</t>
        </is>
      </c>
      <c r="P2525" t="inlineStr">
        <is>
          <t xml:space="preserve">0       </t>
        </is>
      </c>
      <c r="Q2525" s="26" t="n">
        <v>23.67</v>
      </c>
      <c r="R2525" s="26">
        <f>Q2525*G2525</f>
        <v/>
      </c>
      <c r="S2525" s="26">
        <f>IFERROR(VLOOKUP(E2525*1,Tabla[#All],8,0),0)</f>
        <v/>
      </c>
      <c r="T2525" s="26">
        <f>S2525*G2525</f>
        <v/>
      </c>
      <c r="U2525" s="26">
        <f>R2525-T2525</f>
        <v/>
      </c>
      <c r="V2525" s="26">
        <f>U2525-L2525</f>
        <v/>
      </c>
    </row>
    <row r="2526">
      <c r="A2526" s="11" t="n">
        <v>46228</v>
      </c>
      <c r="B2526" s="1" t="n">
        <v>20057</v>
      </c>
      <c r="C2526" s="1" t="inlineStr">
        <is>
          <t>863</t>
        </is>
      </c>
      <c r="D2526" s="1" t="inlineStr">
        <is>
          <t xml:space="preserve">5083  </t>
        </is>
      </c>
      <c r="E2526" s="1" t="inlineStr">
        <is>
          <t xml:space="preserve">28194770       </t>
        </is>
      </c>
      <c r="F2526" s="5" t="inlineStr">
        <is>
          <t>AUTOS DE METAL 3 TEAMSTERZ EN BLISTER</t>
        </is>
      </c>
      <c r="G2526" t="n">
        <v>2</v>
      </c>
      <c r="H2526" s="7" t="n">
        <v>13.8</v>
      </c>
      <c r="I2526" s="7" t="n">
        <v>0</v>
      </c>
      <c r="J2526" s="7" t="n">
        <v>0</v>
      </c>
      <c r="K2526" s="9" t="n">
        <v>0</v>
      </c>
      <c r="L2526" s="10" t="n">
        <v>8.18</v>
      </c>
      <c r="M2526" s="10" t="n">
        <v>1.43</v>
      </c>
      <c r="N2526" t="inlineStr">
        <is>
          <t>1</t>
        </is>
      </c>
      <c r="O2526" t="inlineStr">
        <is>
          <t>16</t>
        </is>
      </c>
      <c r="P2526" t="inlineStr">
        <is>
          <t xml:space="preserve">0       </t>
        </is>
      </c>
      <c r="Q2526" s="26" t="n">
        <v>4.09</v>
      </c>
      <c r="R2526" s="26">
        <f>Q2526*G2526</f>
        <v/>
      </c>
      <c r="S2526" s="26">
        <f>IFERROR(VLOOKUP(E2526*1,Tabla[#All],8,0),0)</f>
        <v/>
      </c>
      <c r="T2526" s="26">
        <f>S2526*G2526</f>
        <v/>
      </c>
      <c r="U2526" s="26">
        <f>R2526-T2526</f>
        <v/>
      </c>
      <c r="V2526" s="26">
        <f>U2526-L2526</f>
        <v/>
      </c>
    </row>
    <row r="2527">
      <c r="A2527" s="11" t="n">
        <v>46228</v>
      </c>
      <c r="B2527" s="1" t="n">
        <v>20058</v>
      </c>
      <c r="C2527" s="1" t="inlineStr">
        <is>
          <t>011</t>
        </is>
      </c>
      <c r="D2527" s="1" t="inlineStr">
        <is>
          <t>186295</t>
        </is>
      </c>
      <c r="E2527" s="1" t="inlineStr">
        <is>
          <t xml:space="preserve">28194770       </t>
        </is>
      </c>
      <c r="F2527" s="5" t="inlineStr">
        <is>
          <t>AUTOS DE METAL 3 TEAMSTERZ EN BLISTER</t>
        </is>
      </c>
      <c r="G2527" t="n">
        <v>1</v>
      </c>
      <c r="H2527" s="7" t="n">
        <v>6.9</v>
      </c>
      <c r="I2527" s="7" t="n">
        <v>0</v>
      </c>
      <c r="J2527" s="7" t="n">
        <v>0</v>
      </c>
      <c r="K2527" s="9" t="n">
        <v>0</v>
      </c>
      <c r="L2527" s="10" t="n">
        <v>4.1</v>
      </c>
      <c r="M2527" s="10" t="n">
        <v>1.43</v>
      </c>
      <c r="N2527" t="inlineStr">
        <is>
          <t>1</t>
        </is>
      </c>
      <c r="O2527" t="inlineStr">
        <is>
          <t>16</t>
        </is>
      </c>
      <c r="P2527" t="inlineStr">
        <is>
          <t xml:space="preserve">244733  </t>
        </is>
      </c>
      <c r="Q2527" s="26" t="n">
        <v>4.09</v>
      </c>
      <c r="R2527" s="26">
        <f>Q2527*G2527</f>
        <v/>
      </c>
      <c r="S2527" s="26">
        <f>IFERROR(VLOOKUP(E2527*1,Tabla[#All],8,0),0)</f>
        <v/>
      </c>
      <c r="T2527" s="26">
        <f>S2527*G2527</f>
        <v/>
      </c>
      <c r="U2527" s="26">
        <f>R2527-T2527</f>
        <v/>
      </c>
      <c r="V2527" s="26">
        <f>U2527-L2527</f>
        <v/>
      </c>
    </row>
    <row r="2528">
      <c r="A2528" s="11" t="n">
        <v>46228</v>
      </c>
      <c r="B2528" s="1" t="n">
        <v>20058</v>
      </c>
      <c r="C2528" s="1" t="inlineStr">
        <is>
          <t>011</t>
        </is>
      </c>
      <c r="D2528" s="1" t="inlineStr">
        <is>
          <t>186295</t>
        </is>
      </c>
      <c r="E2528" s="1" t="inlineStr">
        <is>
          <t xml:space="preserve">28194770       </t>
        </is>
      </c>
      <c r="F2528" s="5" t="inlineStr">
        <is>
          <t>AUTOS DE METAL 3 TEAMSTERZ EN BLISTER</t>
        </is>
      </c>
      <c r="G2528" t="n">
        <v>1</v>
      </c>
      <c r="H2528" s="7" t="n">
        <v>6.9</v>
      </c>
      <c r="I2528" s="7" t="n">
        <v>0</v>
      </c>
      <c r="J2528" s="7" t="n">
        <v>0</v>
      </c>
      <c r="K2528" s="9" t="n">
        <v>0</v>
      </c>
      <c r="L2528" s="10" t="n">
        <v>4.1</v>
      </c>
      <c r="M2528" s="10" t="n">
        <v>1.43</v>
      </c>
      <c r="N2528" t="inlineStr">
        <is>
          <t>1</t>
        </is>
      </c>
      <c r="O2528" t="inlineStr">
        <is>
          <t>16</t>
        </is>
      </c>
      <c r="P2528" t="inlineStr">
        <is>
          <t xml:space="preserve">244733  </t>
        </is>
      </c>
      <c r="Q2528" s="26" t="n">
        <v>4.09</v>
      </c>
      <c r="R2528" s="26">
        <f>Q2528*G2528</f>
        <v/>
      </c>
      <c r="S2528" s="26">
        <f>IFERROR(VLOOKUP(E2528*1,Tabla[#All],8,0),0)</f>
        <v/>
      </c>
      <c r="T2528" s="26">
        <f>S2528*G2528</f>
        <v/>
      </c>
      <c r="U2528" s="26">
        <f>R2528-T2528</f>
        <v/>
      </c>
      <c r="V2528" s="26">
        <f>U2528-L2528</f>
        <v/>
      </c>
    </row>
    <row r="2529">
      <c r="A2529" s="11" t="n">
        <v>46228</v>
      </c>
      <c r="B2529" s="1" t="n">
        <v>20058</v>
      </c>
      <c r="C2529" s="1" t="inlineStr">
        <is>
          <t>030</t>
        </is>
      </c>
      <c r="D2529" s="1" t="inlineStr">
        <is>
          <t xml:space="preserve">48791 </t>
        </is>
      </c>
      <c r="E2529" s="1" t="inlineStr">
        <is>
          <t xml:space="preserve">29235706       </t>
        </is>
      </c>
      <c r="F2529" s="5" t="inlineStr">
        <is>
          <t>TEAMSTERZ CAMION PARA GUARDAR 12 AUTOS INCL 4 AUTO</t>
        </is>
      </c>
      <c r="G2529" t="n">
        <v>1</v>
      </c>
      <c r="H2529" s="7" t="n">
        <v>59.9</v>
      </c>
      <c r="I2529" s="7" t="n">
        <v>0</v>
      </c>
      <c r="J2529" s="7" t="n">
        <v>0</v>
      </c>
      <c r="K2529" s="9" t="n">
        <v>0</v>
      </c>
      <c r="L2529" s="10" t="n">
        <v>35.53</v>
      </c>
      <c r="M2529" s="10" t="n">
        <v>1.43</v>
      </c>
      <c r="N2529" t="inlineStr">
        <is>
          <t>1</t>
        </is>
      </c>
      <c r="O2529" t="inlineStr">
        <is>
          <t>16</t>
        </is>
      </c>
      <c r="P2529" t="inlineStr">
        <is>
          <t xml:space="preserve">239096  </t>
        </is>
      </c>
      <c r="Q2529" s="26" t="n">
        <v>35.53</v>
      </c>
      <c r="R2529" s="26">
        <f>Q2529*G2529</f>
        <v/>
      </c>
      <c r="S2529" s="26">
        <f>IFERROR(VLOOKUP(E2529*1,Tabla[#All],8,0),0)</f>
        <v/>
      </c>
      <c r="T2529" s="26">
        <f>S2529*G2529</f>
        <v/>
      </c>
      <c r="U2529" s="26">
        <f>R2529-T2529</f>
        <v/>
      </c>
      <c r="V2529" s="26">
        <f>U2529-L2529</f>
        <v/>
      </c>
    </row>
    <row r="2530">
      <c r="A2530" s="11" t="n">
        <v>46228</v>
      </c>
      <c r="B2530" s="1" t="n">
        <v>20058</v>
      </c>
      <c r="C2530" s="1" t="inlineStr">
        <is>
          <t>035</t>
        </is>
      </c>
      <c r="D2530" s="1" t="inlineStr">
        <is>
          <t xml:space="preserve">6190  </t>
        </is>
      </c>
      <c r="E2530" s="1" t="inlineStr">
        <is>
          <t xml:space="preserve">28194770       </t>
        </is>
      </c>
      <c r="F2530" s="5" t="inlineStr">
        <is>
          <t>AUTOS DE METAL 3 TEAMSTERZ EN BLISTER</t>
        </is>
      </c>
      <c r="G2530" t="n">
        <v>1</v>
      </c>
      <c r="H2530" s="7" t="n">
        <v>6.9</v>
      </c>
      <c r="I2530" s="7" t="n">
        <v>0</v>
      </c>
      <c r="J2530" s="7" t="n">
        <v>0</v>
      </c>
      <c r="K2530" s="9" t="n">
        <v>0</v>
      </c>
      <c r="L2530" s="10" t="n">
        <v>4.1</v>
      </c>
      <c r="M2530" s="10" t="n">
        <v>1.43</v>
      </c>
      <c r="N2530" t="inlineStr">
        <is>
          <t>1</t>
        </is>
      </c>
      <c r="O2530" t="inlineStr">
        <is>
          <t xml:space="preserve">2 </t>
        </is>
      </c>
      <c r="P2530" t="inlineStr">
        <is>
          <t xml:space="preserve">105239  </t>
        </is>
      </c>
      <c r="Q2530" s="26" t="n">
        <v>4.09</v>
      </c>
      <c r="R2530" s="26">
        <f>Q2530*G2530</f>
        <v/>
      </c>
      <c r="S2530" s="26">
        <f>IFERROR(VLOOKUP(E2530*1,Tabla[#All],8,0),0)</f>
        <v/>
      </c>
      <c r="T2530" s="26">
        <f>S2530*G2530</f>
        <v/>
      </c>
      <c r="U2530" s="26">
        <f>R2530-T2530</f>
        <v/>
      </c>
      <c r="V2530" s="26">
        <f>U2530-L2530</f>
        <v/>
      </c>
    </row>
    <row r="2531">
      <c r="A2531" s="11" t="n">
        <v>46228</v>
      </c>
      <c r="B2531" s="1" t="n">
        <v>20058</v>
      </c>
      <c r="C2531" s="1" t="inlineStr">
        <is>
          <t>038</t>
        </is>
      </c>
      <c r="D2531" s="1" t="inlineStr">
        <is>
          <t>210454</t>
        </is>
      </c>
      <c r="E2531" s="1" t="inlineStr">
        <is>
          <t xml:space="preserve">28194770       </t>
        </is>
      </c>
      <c r="F2531" s="5" t="inlineStr">
        <is>
          <t>AUTOS DE METAL 3 TEAMSTERZ EN BLISTER</t>
        </is>
      </c>
      <c r="G2531" t="n">
        <v>1</v>
      </c>
      <c r="H2531" s="7" t="n">
        <v>6.9</v>
      </c>
      <c r="I2531" s="7" t="n">
        <v>0.6899999999999999</v>
      </c>
      <c r="J2531" s="7" t="n">
        <v>0</v>
      </c>
      <c r="K2531" s="9" t="n">
        <v>0.6899999999999999</v>
      </c>
      <c r="L2531" s="10" t="n">
        <v>3.68</v>
      </c>
      <c r="M2531" s="10" t="n">
        <v>1.43</v>
      </c>
      <c r="N2531" t="inlineStr">
        <is>
          <t>1</t>
        </is>
      </c>
      <c r="O2531" t="inlineStr">
        <is>
          <t xml:space="preserve">3 </t>
        </is>
      </c>
      <c r="P2531" t="inlineStr">
        <is>
          <t xml:space="preserve">97366   </t>
        </is>
      </c>
      <c r="Q2531" s="26" t="n">
        <v>4.09</v>
      </c>
      <c r="R2531" s="26">
        <f>Q2531*G2531</f>
        <v/>
      </c>
      <c r="S2531" s="26">
        <f>IFERROR(VLOOKUP(E2531*1,Tabla[#All],8,0),0)</f>
        <v/>
      </c>
      <c r="T2531" s="26">
        <f>S2531*G2531</f>
        <v/>
      </c>
      <c r="U2531" s="26">
        <f>R2531-T2531</f>
        <v/>
      </c>
      <c r="V2531" s="26">
        <f>U2531-L2531</f>
        <v/>
      </c>
    </row>
    <row r="2532">
      <c r="A2532" s="11" t="n">
        <v>46228</v>
      </c>
      <c r="B2532" s="1" t="n">
        <v>20058</v>
      </c>
      <c r="C2532" s="1" t="inlineStr">
        <is>
          <t>038</t>
        </is>
      </c>
      <c r="D2532" s="1" t="inlineStr">
        <is>
          <t>210454</t>
        </is>
      </c>
      <c r="E2532" s="1" t="inlineStr">
        <is>
          <t xml:space="preserve">28194770       </t>
        </is>
      </c>
      <c r="F2532" s="5" t="inlineStr">
        <is>
          <t>AUTOS DE METAL 3 TEAMSTERZ EN BLISTER</t>
        </is>
      </c>
      <c r="G2532" t="n">
        <v>1</v>
      </c>
      <c r="H2532" s="7" t="n">
        <v>6.9</v>
      </c>
      <c r="I2532" s="7" t="n">
        <v>0.6899999999999999</v>
      </c>
      <c r="J2532" s="7" t="n">
        <v>0</v>
      </c>
      <c r="K2532" s="9" t="n">
        <v>0.6899999999999999</v>
      </c>
      <c r="L2532" s="10" t="n">
        <v>3.68</v>
      </c>
      <c r="M2532" s="10" t="n">
        <v>1.43</v>
      </c>
      <c r="N2532" t="inlineStr">
        <is>
          <t>1</t>
        </is>
      </c>
      <c r="O2532" t="inlineStr">
        <is>
          <t xml:space="preserve">3 </t>
        </is>
      </c>
      <c r="P2532" t="inlineStr">
        <is>
          <t xml:space="preserve">97366   </t>
        </is>
      </c>
      <c r="Q2532" s="26" t="n">
        <v>4.09</v>
      </c>
      <c r="R2532" s="26">
        <f>Q2532*G2532</f>
        <v/>
      </c>
      <c r="S2532" s="26">
        <f>IFERROR(VLOOKUP(E2532*1,Tabla[#All],8,0),0)</f>
        <v/>
      </c>
      <c r="T2532" s="26">
        <f>S2532*G2532</f>
        <v/>
      </c>
      <c r="U2532" s="26">
        <f>R2532-T2532</f>
        <v/>
      </c>
      <c r="V2532" s="26">
        <f>U2532-L2532</f>
        <v/>
      </c>
    </row>
    <row r="2533">
      <c r="A2533" s="11" t="n">
        <v>46228</v>
      </c>
      <c r="B2533" s="1" t="n">
        <v>20058</v>
      </c>
      <c r="C2533" s="1" t="inlineStr">
        <is>
          <t>039</t>
        </is>
      </c>
      <c r="D2533" s="1" t="inlineStr">
        <is>
          <t>231706</t>
        </is>
      </c>
      <c r="E2533" s="1" t="inlineStr">
        <is>
          <t xml:space="preserve">31754675       </t>
        </is>
      </c>
      <c r="F2533" s="5" t="inlineStr">
        <is>
          <t>INFINITY NADO SERIE 6 STARTER PACK - 4 MODELOS</t>
        </is>
      </c>
      <c r="G2533" t="n">
        <v>1</v>
      </c>
      <c r="H2533" s="7" t="n">
        <v>49.9</v>
      </c>
      <c r="I2533" s="7" t="n">
        <v>4.99</v>
      </c>
      <c r="J2533" s="7" t="n">
        <v>0</v>
      </c>
      <c r="K2533" s="9" t="n">
        <v>4.99</v>
      </c>
      <c r="L2533" s="10" t="n">
        <v>26.64</v>
      </c>
      <c r="M2533" s="10" t="n">
        <v>1.43</v>
      </c>
      <c r="N2533" t="inlineStr">
        <is>
          <t>1</t>
        </is>
      </c>
      <c r="O2533" t="inlineStr">
        <is>
          <t xml:space="preserve">3 </t>
        </is>
      </c>
      <c r="P2533" t="inlineStr">
        <is>
          <t xml:space="preserve">96954   </t>
        </is>
      </c>
      <c r="Q2533" s="26" t="n">
        <v>41.47</v>
      </c>
      <c r="R2533" s="26">
        <f>Q2533*G2533</f>
        <v/>
      </c>
      <c r="S2533" s="26">
        <f>IFERROR(VLOOKUP(E2533*1,Tabla[#All],8,0),0)</f>
        <v/>
      </c>
      <c r="T2533" s="26">
        <f>S2533*G2533</f>
        <v/>
      </c>
      <c r="U2533" s="26">
        <f>R2533-T2533</f>
        <v/>
      </c>
      <c r="V2533" s="26">
        <f>U2533-L2533</f>
        <v/>
      </c>
    </row>
    <row r="2534">
      <c r="A2534" s="11" t="n">
        <v>46228</v>
      </c>
      <c r="B2534" s="1" t="n">
        <v>20058</v>
      </c>
      <c r="C2534" s="1" t="inlineStr">
        <is>
          <t>039</t>
        </is>
      </c>
      <c r="D2534" s="1" t="inlineStr">
        <is>
          <t>231708</t>
        </is>
      </c>
      <c r="E2534" s="1" t="inlineStr">
        <is>
          <t xml:space="preserve">28194770       </t>
        </is>
      </c>
      <c r="F2534" s="5" t="inlineStr">
        <is>
          <t>AUTOS DE METAL 3 TEAMSTERZ EN BLISTER</t>
        </is>
      </c>
      <c r="G2534" t="n">
        <v>1</v>
      </c>
      <c r="H2534" s="7" t="n">
        <v>6.9</v>
      </c>
      <c r="I2534" s="7" t="n">
        <v>0</v>
      </c>
      <c r="J2534" s="7" t="n">
        <v>0</v>
      </c>
      <c r="K2534" s="9" t="n">
        <v>0</v>
      </c>
      <c r="L2534" s="10" t="n">
        <v>4.1</v>
      </c>
      <c r="M2534" s="10" t="n">
        <v>1.43</v>
      </c>
      <c r="N2534" t="inlineStr">
        <is>
          <t>1</t>
        </is>
      </c>
      <c r="O2534" t="inlineStr">
        <is>
          <t>16</t>
        </is>
      </c>
      <c r="P2534" t="inlineStr">
        <is>
          <t xml:space="preserve">96954   </t>
        </is>
      </c>
      <c r="Q2534" s="26" t="n">
        <v>4.09</v>
      </c>
      <c r="R2534" s="26">
        <f>Q2534*G2534</f>
        <v/>
      </c>
      <c r="S2534" s="26">
        <f>IFERROR(VLOOKUP(E2534*1,Tabla[#All],8,0),0)</f>
        <v/>
      </c>
      <c r="T2534" s="26">
        <f>S2534*G2534</f>
        <v/>
      </c>
      <c r="U2534" s="26">
        <f>R2534-T2534</f>
        <v/>
      </c>
      <c r="V2534" s="26">
        <f>U2534-L2534</f>
        <v/>
      </c>
    </row>
    <row r="2535">
      <c r="A2535" s="11" t="n">
        <v>46228</v>
      </c>
      <c r="B2535" s="1" t="n">
        <v>20058</v>
      </c>
      <c r="C2535" s="1" t="inlineStr">
        <is>
          <t>039</t>
        </is>
      </c>
      <c r="D2535" s="1" t="inlineStr">
        <is>
          <t>231758</t>
        </is>
      </c>
      <c r="E2535" s="1" t="inlineStr">
        <is>
          <t xml:space="preserve">35685067       </t>
        </is>
      </c>
      <c r="F2535" s="5" t="inlineStr">
        <is>
          <t>HOT WHEELS POWER SET 3 EN 1</t>
        </is>
      </c>
      <c r="G2535" t="n">
        <v>1</v>
      </c>
      <c r="H2535" s="7" t="n">
        <v>49.9</v>
      </c>
      <c r="I2535" s="7" t="n">
        <v>0</v>
      </c>
      <c r="J2535" s="7" t="n">
        <v>0</v>
      </c>
      <c r="K2535" s="9" t="n">
        <v>0</v>
      </c>
      <c r="L2535" s="10" t="n">
        <v>29.6</v>
      </c>
      <c r="M2535" s="10" t="n">
        <v>1.43</v>
      </c>
      <c r="N2535" t="inlineStr">
        <is>
          <t>1</t>
        </is>
      </c>
      <c r="O2535" t="inlineStr">
        <is>
          <t>16</t>
        </is>
      </c>
      <c r="P2535" t="inlineStr">
        <is>
          <t xml:space="preserve">96954   </t>
        </is>
      </c>
      <c r="Q2535" s="26" t="n">
        <v>29.6</v>
      </c>
      <c r="R2535" s="26">
        <f>Q2535*G2535</f>
        <v/>
      </c>
      <c r="S2535" s="26">
        <f>IFERROR(VLOOKUP(E2535*1,Tabla[#All],8,0),0)</f>
        <v/>
      </c>
      <c r="T2535" s="26">
        <f>S2535*G2535</f>
        <v/>
      </c>
      <c r="U2535" s="26">
        <f>R2535-T2535</f>
        <v/>
      </c>
      <c r="V2535" s="26">
        <f>U2535-L2535</f>
        <v/>
      </c>
    </row>
    <row r="2536">
      <c r="A2536" s="11" t="n">
        <v>46228</v>
      </c>
      <c r="B2536" s="1" t="n">
        <v>20058</v>
      </c>
      <c r="C2536" s="1" t="inlineStr">
        <is>
          <t>039</t>
        </is>
      </c>
      <c r="D2536" s="1" t="inlineStr">
        <is>
          <t>231772</t>
        </is>
      </c>
      <c r="E2536" s="1" t="inlineStr">
        <is>
          <t xml:space="preserve">28194770       </t>
        </is>
      </c>
      <c r="F2536" s="5" t="inlineStr">
        <is>
          <t>AUTOS DE METAL 3 TEAMSTERZ EN BLISTER</t>
        </is>
      </c>
      <c r="G2536" t="n">
        <v>1</v>
      </c>
      <c r="H2536" s="7" t="n">
        <v>6.9</v>
      </c>
      <c r="I2536" s="7" t="n">
        <v>0</v>
      </c>
      <c r="J2536" s="7" t="n">
        <v>0</v>
      </c>
      <c r="K2536" s="9" t="n">
        <v>0</v>
      </c>
      <c r="L2536" s="10" t="n">
        <v>4.1</v>
      </c>
      <c r="M2536" s="10" t="n">
        <v>1.43</v>
      </c>
      <c r="N2536" t="inlineStr">
        <is>
          <t>1</t>
        </is>
      </c>
      <c r="O2536" t="inlineStr">
        <is>
          <t>16</t>
        </is>
      </c>
      <c r="P2536" t="inlineStr">
        <is>
          <t xml:space="preserve">96954   </t>
        </is>
      </c>
      <c r="Q2536" s="26" t="n">
        <v>4.09</v>
      </c>
      <c r="R2536" s="26">
        <f>Q2536*G2536</f>
        <v/>
      </c>
      <c r="S2536" s="26">
        <f>IFERROR(VLOOKUP(E2536*1,Tabla[#All],8,0),0)</f>
        <v/>
      </c>
      <c r="T2536" s="26">
        <f>S2536*G2536</f>
        <v/>
      </c>
      <c r="U2536" s="26">
        <f>R2536-T2536</f>
        <v/>
      </c>
      <c r="V2536" s="26">
        <f>U2536-L2536</f>
        <v/>
      </c>
    </row>
    <row r="2537">
      <c r="A2537" s="11" t="n">
        <v>46228</v>
      </c>
      <c r="B2537" s="1" t="n">
        <v>20058</v>
      </c>
      <c r="C2537" s="1" t="inlineStr">
        <is>
          <t>039</t>
        </is>
      </c>
      <c r="D2537" s="1" t="inlineStr">
        <is>
          <t>231772</t>
        </is>
      </c>
      <c r="E2537" s="1" t="inlineStr">
        <is>
          <t xml:space="preserve">28194770       </t>
        </is>
      </c>
      <c r="F2537" s="5" t="inlineStr">
        <is>
          <t>AUTOS DE METAL 3 TEAMSTERZ EN BLISTER</t>
        </is>
      </c>
      <c r="G2537" t="n">
        <v>1</v>
      </c>
      <c r="H2537" s="7" t="n">
        <v>6.9</v>
      </c>
      <c r="I2537" s="7" t="n">
        <v>0</v>
      </c>
      <c r="J2537" s="7" t="n">
        <v>0</v>
      </c>
      <c r="K2537" s="9" t="n">
        <v>0</v>
      </c>
      <c r="L2537" s="10" t="n">
        <v>4.1</v>
      </c>
      <c r="M2537" s="10" t="n">
        <v>1.43</v>
      </c>
      <c r="N2537" t="inlineStr">
        <is>
          <t>1</t>
        </is>
      </c>
      <c r="O2537" t="inlineStr">
        <is>
          <t>16</t>
        </is>
      </c>
      <c r="P2537" t="inlineStr">
        <is>
          <t xml:space="preserve">96954   </t>
        </is>
      </c>
      <c r="Q2537" s="26" t="n">
        <v>4.09</v>
      </c>
      <c r="R2537" s="26">
        <f>Q2537*G2537</f>
        <v/>
      </c>
      <c r="S2537" s="26">
        <f>IFERROR(VLOOKUP(E2537*1,Tabla[#All],8,0),0)</f>
        <v/>
      </c>
      <c r="T2537" s="26">
        <f>S2537*G2537</f>
        <v/>
      </c>
      <c r="U2537" s="26">
        <f>R2537-T2537</f>
        <v/>
      </c>
      <c r="V2537" s="26">
        <f>U2537-L2537</f>
        <v/>
      </c>
    </row>
    <row r="2538">
      <c r="A2538" s="11" t="n">
        <v>46228</v>
      </c>
      <c r="B2538" s="1" t="n">
        <v>20058</v>
      </c>
      <c r="C2538" s="1" t="inlineStr">
        <is>
          <t>197</t>
        </is>
      </c>
      <c r="D2538" s="1" t="inlineStr">
        <is>
          <t>170773</t>
        </is>
      </c>
      <c r="E2538" s="1" t="inlineStr">
        <is>
          <t xml:space="preserve">28194784       </t>
        </is>
      </c>
      <c r="F2538" s="5" t="inlineStr">
        <is>
          <t>SET DE ACROBACIAS INFINITY NADO CON TROMPO</t>
        </is>
      </c>
      <c r="G2538" t="n">
        <v>1</v>
      </c>
      <c r="H2538" s="7" t="n">
        <v>139</v>
      </c>
      <c r="I2538" s="7" t="n">
        <v>0</v>
      </c>
      <c r="J2538" s="7" t="n">
        <v>0</v>
      </c>
      <c r="K2538" s="9" t="n">
        <v>0</v>
      </c>
      <c r="L2538" s="10" t="n">
        <v>82.45999999999999</v>
      </c>
      <c r="M2538" s="10" t="n">
        <v>1.43</v>
      </c>
      <c r="N2538" t="inlineStr">
        <is>
          <t>1</t>
        </is>
      </c>
      <c r="O2538" t="inlineStr">
        <is>
          <t>16</t>
        </is>
      </c>
      <c r="P2538" t="inlineStr">
        <is>
          <t xml:space="preserve">236703  </t>
        </is>
      </c>
      <c r="Q2538" s="26" t="n">
        <v>106.19</v>
      </c>
      <c r="R2538" s="26">
        <f>Q2538*G2538</f>
        <v/>
      </c>
      <c r="S2538" s="26">
        <f>IFERROR(VLOOKUP(E2538*1,Tabla[#All],8,0),0)</f>
        <v/>
      </c>
      <c r="T2538" s="26">
        <f>S2538*G2538</f>
        <v/>
      </c>
      <c r="U2538" s="26">
        <f>R2538-T2538</f>
        <v/>
      </c>
      <c r="V2538" s="26">
        <f>U2538-L2538</f>
        <v/>
      </c>
    </row>
    <row r="2539">
      <c r="A2539" s="11" t="n">
        <v>46228</v>
      </c>
      <c r="B2539" s="1" t="n">
        <v>20058</v>
      </c>
      <c r="C2539" s="1" t="inlineStr">
        <is>
          <t>197</t>
        </is>
      </c>
      <c r="D2539" s="1" t="inlineStr">
        <is>
          <t>170790</t>
        </is>
      </c>
      <c r="E2539" s="1" t="inlineStr">
        <is>
          <t xml:space="preserve">29235702       </t>
        </is>
      </c>
      <c r="F2539" s="5" t="inlineStr">
        <is>
          <t>INFINITY NADO TROMPO DE BATALLA - METAL C/ ANILLO</t>
        </is>
      </c>
      <c r="G2539" t="n">
        <v>1</v>
      </c>
      <c r="H2539" s="7" t="n">
        <v>49.9</v>
      </c>
      <c r="I2539" s="7" t="n">
        <v>0</v>
      </c>
      <c r="J2539" s="7" t="n">
        <v>0</v>
      </c>
      <c r="K2539" s="9" t="n">
        <v>0</v>
      </c>
      <c r="L2539" s="10" t="n">
        <v>29.6</v>
      </c>
      <c r="M2539" s="10" t="n">
        <v>1.43</v>
      </c>
      <c r="N2539" t="inlineStr">
        <is>
          <t>1</t>
        </is>
      </c>
      <c r="O2539" t="inlineStr">
        <is>
          <t>16</t>
        </is>
      </c>
      <c r="P2539" t="inlineStr">
        <is>
          <t xml:space="preserve">249637  </t>
        </is>
      </c>
      <c r="Q2539" s="26" t="n">
        <v>41.47</v>
      </c>
      <c r="R2539" s="26">
        <f>Q2539*G2539</f>
        <v/>
      </c>
      <c r="S2539" s="26">
        <f>IFERROR(VLOOKUP(E2539*1,Tabla[#All],8,0),0)</f>
        <v/>
      </c>
      <c r="T2539" s="26">
        <f>S2539*G2539</f>
        <v/>
      </c>
      <c r="U2539" s="26">
        <f>R2539-T2539</f>
        <v/>
      </c>
      <c r="V2539" s="26">
        <f>U2539-L2539</f>
        <v/>
      </c>
    </row>
    <row r="2540">
      <c r="A2540" s="11" t="n">
        <v>46228</v>
      </c>
      <c r="B2540" s="1" t="n">
        <v>20058</v>
      </c>
      <c r="C2540" s="1" t="inlineStr">
        <is>
          <t>197</t>
        </is>
      </c>
      <c r="D2540" s="1" t="inlineStr">
        <is>
          <t>170791</t>
        </is>
      </c>
      <c r="E2540" s="1" t="inlineStr">
        <is>
          <t xml:space="preserve">28194769       </t>
        </is>
      </c>
      <c r="F2540" s="5" t="inlineStr">
        <is>
          <t>AUTOS DE METAL 3 TEAMSTERZ PACK DE 2</t>
        </is>
      </c>
      <c r="G2540" t="n">
        <v>1</v>
      </c>
      <c r="H2540" s="7" t="n">
        <v>13.8</v>
      </c>
      <c r="I2540" s="7" t="n">
        <v>0</v>
      </c>
      <c r="J2540" s="7" t="n">
        <v>0</v>
      </c>
      <c r="K2540" s="9" t="n">
        <v>0</v>
      </c>
      <c r="L2540" s="10" t="n">
        <v>8.18</v>
      </c>
      <c r="M2540" s="10" t="n">
        <v>1.43</v>
      </c>
      <c r="N2540" t="inlineStr">
        <is>
          <t>1</t>
        </is>
      </c>
      <c r="O2540" t="inlineStr">
        <is>
          <t>16</t>
        </is>
      </c>
      <c r="P2540" t="inlineStr">
        <is>
          <t xml:space="preserve">249637  </t>
        </is>
      </c>
      <c r="Q2540" s="26" t="n">
        <v>8.19</v>
      </c>
      <c r="R2540" s="26">
        <f>Q2540*G2540</f>
        <v/>
      </c>
      <c r="S2540" s="26">
        <f>IFERROR(VLOOKUP(E2540*1,Tabla[#All],8,0),0)</f>
        <v/>
      </c>
      <c r="T2540" s="26">
        <f>S2540*G2540</f>
        <v/>
      </c>
      <c r="U2540" s="26">
        <f>R2540-T2540</f>
        <v/>
      </c>
      <c r="V2540" s="26">
        <f>U2540-L2540</f>
        <v/>
      </c>
    </row>
    <row r="2541">
      <c r="A2541" s="11" t="n">
        <v>46228</v>
      </c>
      <c r="B2541" s="1" t="n">
        <v>20058</v>
      </c>
      <c r="C2541" s="1" t="inlineStr">
        <is>
          <t>197</t>
        </is>
      </c>
      <c r="D2541" s="1" t="inlineStr">
        <is>
          <t>170792</t>
        </is>
      </c>
      <c r="E2541" s="1" t="inlineStr">
        <is>
          <t xml:space="preserve">28194770       </t>
        </is>
      </c>
      <c r="F2541" s="5" t="inlineStr">
        <is>
          <t>AUTOS DE METAL 3 TEAMSTERZ EN BLISTER</t>
        </is>
      </c>
      <c r="G2541" t="n">
        <v>1</v>
      </c>
      <c r="H2541" s="7" t="n">
        <v>6.9</v>
      </c>
      <c r="I2541" s="7" t="n">
        <v>0</v>
      </c>
      <c r="J2541" s="7" t="n">
        <v>0</v>
      </c>
      <c r="K2541" s="9" t="n">
        <v>0</v>
      </c>
      <c r="L2541" s="10" t="n">
        <v>4.1</v>
      </c>
      <c r="M2541" s="10" t="n">
        <v>1.43</v>
      </c>
      <c r="N2541" t="inlineStr">
        <is>
          <t>1</t>
        </is>
      </c>
      <c r="O2541" t="inlineStr">
        <is>
          <t>16</t>
        </is>
      </c>
      <c r="P2541" t="inlineStr">
        <is>
          <t xml:space="preserve">249637  </t>
        </is>
      </c>
      <c r="Q2541" s="26" t="n">
        <v>4.09</v>
      </c>
      <c r="R2541" s="26">
        <f>Q2541*G2541</f>
        <v/>
      </c>
      <c r="S2541" s="26">
        <f>IFERROR(VLOOKUP(E2541*1,Tabla[#All],8,0),0)</f>
        <v/>
      </c>
      <c r="T2541" s="26">
        <f>S2541*G2541</f>
        <v/>
      </c>
      <c r="U2541" s="26">
        <f>R2541-T2541</f>
        <v/>
      </c>
      <c r="V2541" s="26">
        <f>U2541-L2541</f>
        <v/>
      </c>
    </row>
    <row r="2542">
      <c r="A2542" s="11" t="n">
        <v>46228</v>
      </c>
      <c r="B2542" s="1" t="n">
        <v>20058</v>
      </c>
      <c r="C2542" s="1" t="inlineStr">
        <is>
          <t>197</t>
        </is>
      </c>
      <c r="D2542" s="1" t="inlineStr">
        <is>
          <t>170797</t>
        </is>
      </c>
      <c r="E2542" s="1" t="inlineStr">
        <is>
          <t xml:space="preserve">28194769       </t>
        </is>
      </c>
      <c r="F2542" s="5" t="inlineStr">
        <is>
          <t>AUTOS DE METAL 3 TEAMSTERZ PACK DE 2</t>
        </is>
      </c>
      <c r="G2542" t="n">
        <v>1</v>
      </c>
      <c r="H2542" s="7" t="n">
        <v>13.8</v>
      </c>
      <c r="I2542" s="7" t="n">
        <v>0</v>
      </c>
      <c r="J2542" s="7" t="n">
        <v>0</v>
      </c>
      <c r="K2542" s="9" t="n">
        <v>0</v>
      </c>
      <c r="L2542" s="10" t="n">
        <v>8.18</v>
      </c>
      <c r="M2542" s="10" t="n">
        <v>1.43</v>
      </c>
      <c r="N2542" t="inlineStr">
        <is>
          <t>1</t>
        </is>
      </c>
      <c r="O2542" t="inlineStr">
        <is>
          <t xml:space="preserve">2 </t>
        </is>
      </c>
      <c r="P2542" t="inlineStr">
        <is>
          <t xml:space="preserve">249637  </t>
        </is>
      </c>
      <c r="Q2542" s="26" t="n">
        <v>8.19</v>
      </c>
      <c r="R2542" s="26">
        <f>Q2542*G2542</f>
        <v/>
      </c>
      <c r="S2542" s="26">
        <f>IFERROR(VLOOKUP(E2542*1,Tabla[#All],8,0),0)</f>
        <v/>
      </c>
      <c r="T2542" s="26">
        <f>S2542*G2542</f>
        <v/>
      </c>
      <c r="U2542" s="26">
        <f>R2542-T2542</f>
        <v/>
      </c>
      <c r="V2542" s="26">
        <f>U2542-L2542</f>
        <v/>
      </c>
    </row>
    <row r="2543">
      <c r="A2543" s="11" t="n">
        <v>46228</v>
      </c>
      <c r="B2543" s="1" t="n">
        <v>20058</v>
      </c>
      <c r="C2543" s="1" t="inlineStr">
        <is>
          <t>198</t>
        </is>
      </c>
      <c r="D2543" s="1" t="inlineStr">
        <is>
          <t xml:space="preserve">19009 </t>
        </is>
      </c>
      <c r="E2543" s="1" t="inlineStr">
        <is>
          <t xml:space="preserve">28194770       </t>
        </is>
      </c>
      <c r="F2543" s="5" t="inlineStr">
        <is>
          <t>AUTOS DE METAL 3 TEAMSTERZ EN BLISTER</t>
        </is>
      </c>
      <c r="G2543" t="n">
        <v>1</v>
      </c>
      <c r="H2543" s="7" t="n">
        <v>6.9</v>
      </c>
      <c r="I2543" s="7" t="n">
        <v>0.6899999999999999</v>
      </c>
      <c r="J2543" s="7" t="n">
        <v>0</v>
      </c>
      <c r="K2543" s="9" t="n">
        <v>0.6899999999999999</v>
      </c>
      <c r="L2543" s="10" t="n">
        <v>3.68</v>
      </c>
      <c r="M2543" s="10" t="n">
        <v>1.43</v>
      </c>
      <c r="N2543" t="inlineStr">
        <is>
          <t>1</t>
        </is>
      </c>
      <c r="O2543" t="inlineStr">
        <is>
          <t xml:space="preserve">3 </t>
        </is>
      </c>
      <c r="P2543" t="inlineStr">
        <is>
          <t xml:space="preserve">231899  </t>
        </is>
      </c>
      <c r="Q2543" s="26" t="n">
        <v>4.09</v>
      </c>
      <c r="R2543" s="26">
        <f>Q2543*G2543</f>
        <v/>
      </c>
      <c r="S2543" s="26">
        <f>IFERROR(VLOOKUP(E2543*1,Tabla[#All],8,0),0)</f>
        <v/>
      </c>
      <c r="T2543" s="26">
        <f>S2543*G2543</f>
        <v/>
      </c>
      <c r="U2543" s="26">
        <f>R2543-T2543</f>
        <v/>
      </c>
      <c r="V2543" s="26">
        <f>U2543-L2543</f>
        <v/>
      </c>
    </row>
    <row r="2544">
      <c r="A2544" s="11" t="n">
        <v>46228</v>
      </c>
      <c r="B2544" s="1" t="n">
        <v>20058</v>
      </c>
      <c r="C2544" s="1" t="inlineStr">
        <is>
          <t>801</t>
        </is>
      </c>
      <c r="D2544" s="1" t="inlineStr">
        <is>
          <t xml:space="preserve">3560  </t>
        </is>
      </c>
      <c r="E2544" s="1" t="inlineStr">
        <is>
          <t xml:space="preserve">28194770       </t>
        </is>
      </c>
      <c r="F2544" s="5" t="inlineStr">
        <is>
          <t>AUTOS DE METAL 3 TEAMSTERZ EN BLISTER</t>
        </is>
      </c>
      <c r="G2544" t="n">
        <v>1</v>
      </c>
      <c r="H2544" s="7" t="n">
        <v>6.9</v>
      </c>
      <c r="I2544" s="7" t="n">
        <v>0</v>
      </c>
      <c r="J2544" s="7" t="n">
        <v>0</v>
      </c>
      <c r="K2544" s="9" t="n">
        <v>0</v>
      </c>
      <c r="L2544" s="10" t="n">
        <v>4.1</v>
      </c>
      <c r="M2544" s="10" t="n">
        <v>1.43</v>
      </c>
      <c r="N2544" t="inlineStr">
        <is>
          <t>1</t>
        </is>
      </c>
      <c r="O2544" t="inlineStr">
        <is>
          <t>16</t>
        </is>
      </c>
      <c r="P2544" t="inlineStr">
        <is>
          <t xml:space="preserve">251350  </t>
        </is>
      </c>
      <c r="Q2544" s="26" t="n">
        <v>4.09</v>
      </c>
      <c r="R2544" s="26">
        <f>Q2544*G2544</f>
        <v/>
      </c>
      <c r="S2544" s="26">
        <f>IFERROR(VLOOKUP(E2544*1,Tabla[#All],8,0),0)</f>
        <v/>
      </c>
      <c r="T2544" s="26">
        <f>S2544*G2544</f>
        <v/>
      </c>
      <c r="U2544" s="26">
        <f>R2544-T2544</f>
        <v/>
      </c>
      <c r="V2544" s="26">
        <f>U2544-L2544</f>
        <v/>
      </c>
    </row>
    <row r="2545">
      <c r="A2545" s="11" t="n">
        <v>46228</v>
      </c>
      <c r="B2545" s="1" t="n">
        <v>20062</v>
      </c>
      <c r="C2545" s="1" t="inlineStr">
        <is>
          <t>053</t>
        </is>
      </c>
      <c r="D2545" s="1" t="inlineStr">
        <is>
          <t>243990</t>
        </is>
      </c>
      <c r="E2545" s="1" t="inlineStr">
        <is>
          <t xml:space="preserve">29235712       </t>
        </is>
      </c>
      <c r="F2545" s="5" t="inlineStr">
        <is>
          <t>TEAMSTERZ DISPARADOR DINOSAURIO INCL. 1 AUTO</t>
        </is>
      </c>
      <c r="G2545" t="n">
        <v>1</v>
      </c>
      <c r="H2545" s="7" t="n">
        <v>12.9</v>
      </c>
      <c r="I2545" s="7" t="n">
        <v>0</v>
      </c>
      <c r="J2545" s="7" t="n">
        <v>0</v>
      </c>
      <c r="K2545" s="9" t="n">
        <v>0</v>
      </c>
      <c r="L2545" s="10" t="n">
        <v>7.65</v>
      </c>
      <c r="M2545" s="10" t="n">
        <v>1.43</v>
      </c>
      <c r="N2545" t="inlineStr">
        <is>
          <t>1</t>
        </is>
      </c>
      <c r="O2545" t="inlineStr">
        <is>
          <t xml:space="preserve">2 </t>
        </is>
      </c>
      <c r="P2545" t="inlineStr">
        <is>
          <t xml:space="preserve">88849   </t>
        </is>
      </c>
      <c r="Q2545" s="26" t="n">
        <v>17.74</v>
      </c>
      <c r="R2545" s="26">
        <f>Q2545*G2545</f>
        <v/>
      </c>
      <c r="S2545" s="26">
        <f>IFERROR(VLOOKUP(E2545*1,Tabla[#All],8,0),0)</f>
        <v/>
      </c>
      <c r="T2545" s="26">
        <f>S2545*G2545</f>
        <v/>
      </c>
      <c r="U2545" s="26">
        <f>R2545-T2545</f>
        <v/>
      </c>
      <c r="V2545" s="26">
        <f>U2545-L2545</f>
        <v/>
      </c>
    </row>
    <row r="2546">
      <c r="A2546" s="11" t="n">
        <v>46228</v>
      </c>
      <c r="B2546" s="1" t="n">
        <v>20062</v>
      </c>
      <c r="C2546" s="1" t="inlineStr">
        <is>
          <t>053</t>
        </is>
      </c>
      <c r="D2546" s="1" t="inlineStr">
        <is>
          <t>243990</t>
        </is>
      </c>
      <c r="E2546" s="1" t="inlineStr">
        <is>
          <t xml:space="preserve">33483119       </t>
        </is>
      </c>
      <c r="F2546" s="5" t="inlineStr">
        <is>
          <t>MUNECA EVI LOVE TRAJE TIPICO CON ALPACA</t>
        </is>
      </c>
      <c r="G2546" t="n">
        <v>1</v>
      </c>
      <c r="H2546" s="7" t="n">
        <v>17.94</v>
      </c>
      <c r="I2546" s="7" t="n">
        <v>0</v>
      </c>
      <c r="J2546" s="7" t="n">
        <v>0</v>
      </c>
      <c r="K2546" s="9" t="n">
        <v>0</v>
      </c>
      <c r="L2546" s="10" t="n">
        <v>10.64</v>
      </c>
      <c r="M2546" s="10" t="n">
        <v>1.43</v>
      </c>
      <c r="N2546" t="inlineStr">
        <is>
          <t>1</t>
        </is>
      </c>
      <c r="O2546" t="inlineStr">
        <is>
          <t xml:space="preserve">2 </t>
        </is>
      </c>
      <c r="P2546" t="inlineStr">
        <is>
          <t xml:space="preserve">88849   </t>
        </is>
      </c>
      <c r="Q2546" s="26" t="n">
        <v>17.74</v>
      </c>
      <c r="R2546" s="26">
        <f>Q2546*G2546</f>
        <v/>
      </c>
      <c r="S2546" s="26">
        <f>IFERROR(VLOOKUP(E2546*1,Tabla[#All],8,0),0)</f>
        <v/>
      </c>
      <c r="T2546" s="26">
        <f>S2546*G2546</f>
        <v/>
      </c>
      <c r="U2546" s="26">
        <f>R2546-T2546</f>
        <v/>
      </c>
      <c r="V2546" s="26">
        <f>U2546-L2546</f>
        <v/>
      </c>
    </row>
    <row r="2547">
      <c r="A2547" s="11" t="n">
        <v>46228</v>
      </c>
      <c r="B2547" s="1" t="n">
        <v>20066</v>
      </c>
      <c r="C2547" s="1" t="inlineStr">
        <is>
          <t>047</t>
        </is>
      </c>
      <c r="D2547" s="1" t="inlineStr">
        <is>
          <t xml:space="preserve">51439 </t>
        </is>
      </c>
      <c r="E2547" s="1" t="inlineStr">
        <is>
          <t xml:space="preserve">29235701       </t>
        </is>
      </c>
      <c r="F2547" s="5" t="inlineStr">
        <is>
          <t>INFINITY NADO TROMPO DE BATALLA - METAL EN CAJA</t>
        </is>
      </c>
      <c r="G2547" t="n">
        <v>1</v>
      </c>
      <c r="H2547" s="7" t="n">
        <v>29.9</v>
      </c>
      <c r="I2547" s="7" t="n">
        <v>0</v>
      </c>
      <c r="J2547" s="7" t="n">
        <v>0</v>
      </c>
      <c r="K2547" s="9" t="n">
        <v>0</v>
      </c>
      <c r="L2547" s="10" t="n">
        <v>17.74</v>
      </c>
      <c r="M2547" s="10" t="n">
        <v>1.43</v>
      </c>
      <c r="N2547" t="inlineStr">
        <is>
          <t>1</t>
        </is>
      </c>
      <c r="O2547" t="inlineStr">
        <is>
          <t>16</t>
        </is>
      </c>
      <c r="P2547" t="inlineStr">
        <is>
          <t xml:space="preserve">19353   </t>
        </is>
      </c>
      <c r="Q2547" s="26" t="n">
        <v>23.67</v>
      </c>
      <c r="R2547" s="26">
        <f>Q2547*G2547</f>
        <v/>
      </c>
      <c r="S2547" s="26">
        <f>IFERROR(VLOOKUP(E2547*1,Tabla[#All],8,0),0)</f>
        <v/>
      </c>
      <c r="T2547" s="26">
        <f>S2547*G2547</f>
        <v/>
      </c>
      <c r="U2547" s="26">
        <f>R2547-T2547</f>
        <v/>
      </c>
      <c r="V2547" s="26">
        <f>U2547-L2547</f>
        <v/>
      </c>
    </row>
    <row r="2548">
      <c r="A2548" s="11" t="n">
        <v>46228</v>
      </c>
      <c r="B2548" s="1" t="n">
        <v>20066</v>
      </c>
      <c r="C2548" s="1" t="inlineStr">
        <is>
          <t>059</t>
        </is>
      </c>
      <c r="D2548" s="1" t="inlineStr">
        <is>
          <t xml:space="preserve">20352 </t>
        </is>
      </c>
      <c r="E2548" s="1" t="inlineStr">
        <is>
          <t xml:space="preserve">28194767       </t>
        </is>
      </c>
      <c r="F2548" s="5" t="inlineStr">
        <is>
          <t>CAMIONES TEAMSTERZ DE EMERGENCIA</t>
        </is>
      </c>
      <c r="G2548" t="n">
        <v>1</v>
      </c>
      <c r="H2548" s="7" t="n">
        <v>17.9</v>
      </c>
      <c r="I2548" s="7" t="n">
        <v>0</v>
      </c>
      <c r="J2548" s="7" t="n">
        <v>0</v>
      </c>
      <c r="K2548" s="9" t="n">
        <v>0</v>
      </c>
      <c r="L2548" s="10" t="n">
        <v>10.62</v>
      </c>
      <c r="M2548" s="10" t="n">
        <v>1.43</v>
      </c>
      <c r="N2548" t="inlineStr">
        <is>
          <t>1</t>
        </is>
      </c>
      <c r="O2548" t="inlineStr">
        <is>
          <t>16</t>
        </is>
      </c>
      <c r="P2548" t="inlineStr">
        <is>
          <t xml:space="preserve">21979   </t>
        </is>
      </c>
      <c r="Q2548" s="26" t="n">
        <v>10.62</v>
      </c>
      <c r="R2548" s="26">
        <f>Q2548*G2548</f>
        <v/>
      </c>
      <c r="S2548" s="26">
        <f>IFERROR(VLOOKUP(E2548*1,Tabla[#All],8,0),0)</f>
        <v/>
      </c>
      <c r="T2548" s="26">
        <f>S2548*G2548</f>
        <v/>
      </c>
      <c r="U2548" s="26">
        <f>R2548-T2548</f>
        <v/>
      </c>
      <c r="V2548" s="26">
        <f>U2548-L2548</f>
        <v/>
      </c>
    </row>
    <row r="2549">
      <c r="A2549" s="11" t="n">
        <v>46228</v>
      </c>
      <c r="B2549" s="1" t="n">
        <v>20066</v>
      </c>
      <c r="C2549" s="1" t="inlineStr">
        <is>
          <t>805</t>
        </is>
      </c>
      <c r="D2549" s="1" t="inlineStr">
        <is>
          <t xml:space="preserve">2159  </t>
        </is>
      </c>
      <c r="E2549" s="1" t="inlineStr">
        <is>
          <t xml:space="preserve">31959961       </t>
        </is>
      </c>
      <c r="F2549" s="5" t="inlineStr">
        <is>
          <t>TEAMSTERZ CAMBIA DE COLOR PACK DE 3 AUTOS</t>
        </is>
      </c>
      <c r="G2549" t="n">
        <v>1</v>
      </c>
      <c r="H2549" s="7" t="n">
        <v>49.9</v>
      </c>
      <c r="I2549" s="7" t="n">
        <v>0</v>
      </c>
      <c r="J2549" s="7" t="n">
        <v>0</v>
      </c>
      <c r="K2549" s="9" t="n">
        <v>0</v>
      </c>
      <c r="L2549" s="10" t="n">
        <v>29.6</v>
      </c>
      <c r="M2549" s="10" t="n">
        <v>1.43</v>
      </c>
      <c r="N2549" t="inlineStr">
        <is>
          <t>1</t>
        </is>
      </c>
      <c r="O2549" t="inlineStr">
        <is>
          <t>16</t>
        </is>
      </c>
      <c r="P2549" t="inlineStr">
        <is>
          <t xml:space="preserve">0       </t>
        </is>
      </c>
      <c r="Q2549" s="26" t="n">
        <v>29.6</v>
      </c>
      <c r="R2549" s="26">
        <f>Q2549*G2549</f>
        <v/>
      </c>
      <c r="S2549" s="26">
        <f>IFERROR(VLOOKUP(E2549*1,Tabla[#All],8,0),0)</f>
        <v/>
      </c>
      <c r="T2549" s="26">
        <f>S2549*G2549</f>
        <v/>
      </c>
      <c r="U2549" s="26">
        <f>R2549-T2549</f>
        <v/>
      </c>
      <c r="V2549" s="26">
        <f>U2549-L2549</f>
        <v/>
      </c>
    </row>
    <row r="2550">
      <c r="A2550" s="11" t="n">
        <v>46228</v>
      </c>
      <c r="B2550" s="1" t="n">
        <v>20066</v>
      </c>
      <c r="C2550" s="1" t="inlineStr">
        <is>
          <t>833</t>
        </is>
      </c>
      <c r="D2550" s="1" t="inlineStr">
        <is>
          <t xml:space="preserve">4227  </t>
        </is>
      </c>
      <c r="E2550" s="1" t="inlineStr">
        <is>
          <t xml:space="preserve">28194770       </t>
        </is>
      </c>
      <c r="F2550" s="5" t="inlineStr">
        <is>
          <t>AUTOS DE METAL 3 TEAMSTERZ EN BLISTER</t>
        </is>
      </c>
      <c r="G2550" t="n">
        <v>1</v>
      </c>
      <c r="H2550" s="7" t="n">
        <v>6.9</v>
      </c>
      <c r="I2550" s="7" t="n">
        <v>0</v>
      </c>
      <c r="J2550" s="7" t="n">
        <v>0</v>
      </c>
      <c r="K2550" s="9" t="n">
        <v>0</v>
      </c>
      <c r="L2550" s="10" t="n">
        <v>4.1</v>
      </c>
      <c r="M2550" s="10" t="n">
        <v>1.43</v>
      </c>
      <c r="N2550" t="inlineStr">
        <is>
          <t>1</t>
        </is>
      </c>
      <c r="O2550" t="inlineStr">
        <is>
          <t>16</t>
        </is>
      </c>
      <c r="P2550" t="inlineStr">
        <is>
          <t xml:space="preserve">0       </t>
        </is>
      </c>
      <c r="Q2550" s="26" t="n">
        <v>4.09</v>
      </c>
      <c r="R2550" s="26">
        <f>Q2550*G2550</f>
        <v/>
      </c>
      <c r="S2550" s="26">
        <f>IFERROR(VLOOKUP(E2550*1,Tabla[#All],8,0),0)</f>
        <v/>
      </c>
      <c r="T2550" s="26">
        <f>S2550*G2550</f>
        <v/>
      </c>
      <c r="U2550" s="26">
        <f>R2550-T2550</f>
        <v/>
      </c>
      <c r="V2550" s="26">
        <f>U2550-L2550</f>
        <v/>
      </c>
    </row>
    <row r="2551">
      <c r="A2551" s="11" t="n">
        <v>46228</v>
      </c>
      <c r="B2551" s="1" t="n">
        <v>20073</v>
      </c>
      <c r="C2551" s="1" t="inlineStr">
        <is>
          <t>034</t>
        </is>
      </c>
      <c r="D2551" s="1" t="inlineStr">
        <is>
          <t>345570</t>
        </is>
      </c>
      <c r="E2551" s="1" t="inlineStr">
        <is>
          <t xml:space="preserve">30141766       </t>
        </is>
      </c>
      <c r="F2551" s="5" t="inlineStr">
        <is>
          <t>TMZ BEAST MACHINES AUTOS DE METAL BLISTER X 1</t>
        </is>
      </c>
      <c r="G2551" t="n">
        <v>1</v>
      </c>
      <c r="H2551" s="7" t="n">
        <v>7.9</v>
      </c>
      <c r="I2551" s="7" t="n">
        <v>0</v>
      </c>
      <c r="J2551" s="7" t="n">
        <v>0</v>
      </c>
      <c r="K2551" s="9" t="n">
        <v>0</v>
      </c>
      <c r="L2551" s="10" t="n">
        <v>4.68</v>
      </c>
      <c r="M2551" s="10" t="n">
        <v>1.43</v>
      </c>
      <c r="N2551" t="inlineStr">
        <is>
          <t>1</t>
        </is>
      </c>
      <c r="O2551" t="inlineStr">
        <is>
          <t>16</t>
        </is>
      </c>
      <c r="P2551" t="inlineStr">
        <is>
          <t xml:space="preserve">57916   </t>
        </is>
      </c>
      <c r="Q2551" s="26" t="n">
        <v>4.69</v>
      </c>
      <c r="R2551" s="26">
        <f>Q2551*G2551</f>
        <v/>
      </c>
      <c r="S2551" s="26">
        <f>IFERROR(VLOOKUP(E2551*1,Tabla[#All],8,0),0)</f>
        <v/>
      </c>
      <c r="T2551" s="26">
        <f>S2551*G2551</f>
        <v/>
      </c>
      <c r="U2551" s="26">
        <f>R2551-T2551</f>
        <v/>
      </c>
      <c r="V2551" s="26">
        <f>U2551-L2551</f>
        <v/>
      </c>
    </row>
    <row r="2552">
      <c r="A2552" s="11" t="n">
        <v>46228</v>
      </c>
      <c r="B2552" s="1" t="n">
        <v>20073</v>
      </c>
      <c r="C2552" s="1" t="inlineStr">
        <is>
          <t>034</t>
        </is>
      </c>
      <c r="D2552" s="1" t="inlineStr">
        <is>
          <t>345570</t>
        </is>
      </c>
      <c r="E2552" s="1" t="inlineStr">
        <is>
          <t xml:space="preserve">30141766       </t>
        </is>
      </c>
      <c r="F2552" s="5" t="inlineStr">
        <is>
          <t>TMZ BEAST MACHINES AUTOS DE METAL BLISTER X 1</t>
        </is>
      </c>
      <c r="G2552" t="n">
        <v>1</v>
      </c>
      <c r="H2552" s="7" t="n">
        <v>7.9</v>
      </c>
      <c r="I2552" s="7" t="n">
        <v>0</v>
      </c>
      <c r="J2552" s="7" t="n">
        <v>0</v>
      </c>
      <c r="K2552" s="9" t="n">
        <v>0</v>
      </c>
      <c r="L2552" s="10" t="n">
        <v>4.68</v>
      </c>
      <c r="M2552" s="10" t="n">
        <v>1.43</v>
      </c>
      <c r="N2552" t="inlineStr">
        <is>
          <t>1</t>
        </is>
      </c>
      <c r="O2552" t="inlineStr">
        <is>
          <t>16</t>
        </is>
      </c>
      <c r="P2552" t="inlineStr">
        <is>
          <t xml:space="preserve">57916   </t>
        </is>
      </c>
      <c r="Q2552" s="26" t="n">
        <v>4.69</v>
      </c>
      <c r="R2552" s="26">
        <f>Q2552*G2552</f>
        <v/>
      </c>
      <c r="S2552" s="26">
        <f>IFERROR(VLOOKUP(E2552*1,Tabla[#All],8,0),0)</f>
        <v/>
      </c>
      <c r="T2552" s="26">
        <f>S2552*G2552</f>
        <v/>
      </c>
      <c r="U2552" s="26">
        <f>R2552-T2552</f>
        <v/>
      </c>
      <c r="V2552" s="26">
        <f>U2552-L2552</f>
        <v/>
      </c>
    </row>
    <row r="2553">
      <c r="A2553" s="11" t="n">
        <v>46228</v>
      </c>
      <c r="B2553" s="1" t="n">
        <v>20073</v>
      </c>
      <c r="C2553" s="1" t="inlineStr">
        <is>
          <t>046</t>
        </is>
      </c>
      <c r="D2553" s="1" t="inlineStr">
        <is>
          <t>207879</t>
        </is>
      </c>
      <c r="E2553" s="1" t="inlineStr">
        <is>
          <t xml:space="preserve">28194770       </t>
        </is>
      </c>
      <c r="F2553" s="5" t="inlineStr">
        <is>
          <t>AUTOS DE METAL 3 TEAMSTERZ EN BLISTER</t>
        </is>
      </c>
      <c r="G2553" t="n">
        <v>1</v>
      </c>
      <c r="H2553" s="7" t="n">
        <v>6.9</v>
      </c>
      <c r="I2553" s="7" t="n">
        <v>0</v>
      </c>
      <c r="J2553" s="7" t="n">
        <v>0</v>
      </c>
      <c r="K2553" s="9" t="n">
        <v>0</v>
      </c>
      <c r="L2553" s="10" t="n">
        <v>4.1</v>
      </c>
      <c r="M2553" s="10" t="n">
        <v>1.43</v>
      </c>
      <c r="N2553" t="inlineStr">
        <is>
          <t>1</t>
        </is>
      </c>
      <c r="O2553" t="inlineStr">
        <is>
          <t xml:space="preserve">2 </t>
        </is>
      </c>
      <c r="P2553" t="inlineStr">
        <is>
          <t xml:space="preserve">102492  </t>
        </is>
      </c>
      <c r="Q2553" s="26" t="n">
        <v>4.09</v>
      </c>
      <c r="R2553" s="26">
        <f>Q2553*G2553</f>
        <v/>
      </c>
      <c r="S2553" s="26">
        <f>IFERROR(VLOOKUP(E2553*1,Tabla[#All],8,0),0)</f>
        <v/>
      </c>
      <c r="T2553" s="26">
        <f>S2553*G2553</f>
        <v/>
      </c>
      <c r="U2553" s="26">
        <f>R2553-T2553</f>
        <v/>
      </c>
      <c r="V2553" s="26">
        <f>U2553-L2553</f>
        <v/>
      </c>
    </row>
    <row r="2554">
      <c r="A2554" s="11" t="n">
        <v>46228</v>
      </c>
      <c r="B2554" s="1" t="n">
        <v>20074</v>
      </c>
      <c r="C2554" s="1" t="inlineStr">
        <is>
          <t>032</t>
        </is>
      </c>
      <c r="D2554" s="1" t="inlineStr">
        <is>
          <t>263144</t>
        </is>
      </c>
      <c r="E2554" s="1" t="inlineStr">
        <is>
          <t xml:space="preserve">29854051       </t>
        </is>
      </c>
      <c r="F2554" s="5" t="inlineStr">
        <is>
          <t>TEAMSTERZ AUTO DE METAL PACK 10 AUTOS</t>
        </is>
      </c>
      <c r="G2554" t="n">
        <v>1</v>
      </c>
      <c r="H2554" s="7" t="n">
        <v>69</v>
      </c>
      <c r="I2554" s="7" t="n">
        <v>0</v>
      </c>
      <c r="J2554" s="7" t="n">
        <v>0</v>
      </c>
      <c r="K2554" s="9" t="n">
        <v>0</v>
      </c>
      <c r="L2554" s="10" t="n">
        <v>40.93</v>
      </c>
      <c r="M2554" s="10" t="n">
        <v>1.43</v>
      </c>
      <c r="N2554" t="inlineStr">
        <is>
          <t>1</t>
        </is>
      </c>
      <c r="O2554" t="inlineStr">
        <is>
          <t>16</t>
        </is>
      </c>
      <c r="P2554" t="inlineStr">
        <is>
          <t xml:space="preserve">94055   </t>
        </is>
      </c>
      <c r="Q2554" s="26" t="n">
        <v>40.93</v>
      </c>
      <c r="R2554" s="26">
        <f>Q2554*G2554</f>
        <v/>
      </c>
      <c r="S2554" s="26">
        <f>IFERROR(VLOOKUP(E2554*1,Tabla[#All],8,0),0)</f>
        <v/>
      </c>
      <c r="T2554" s="26">
        <f>S2554*G2554</f>
        <v/>
      </c>
      <c r="U2554" s="26">
        <f>R2554-T2554</f>
        <v/>
      </c>
      <c r="V2554" s="26">
        <f>U2554-L2554</f>
        <v/>
      </c>
    </row>
    <row r="2555">
      <c r="A2555" s="11" t="n">
        <v>46228</v>
      </c>
      <c r="B2555" s="1" t="n">
        <v>20074</v>
      </c>
      <c r="C2555" s="1" t="inlineStr">
        <is>
          <t>044</t>
        </is>
      </c>
      <c r="D2555" s="1" t="inlineStr">
        <is>
          <t xml:space="preserve">31389 </t>
        </is>
      </c>
      <c r="E2555" s="1" t="inlineStr">
        <is>
          <t xml:space="preserve">29235712       </t>
        </is>
      </c>
      <c r="F2555" s="5" t="inlineStr">
        <is>
          <t>TEAMSTERZ DISPARADOR DINOSAURIO INCL. 1 AUTO</t>
        </is>
      </c>
      <c r="G2555" t="n">
        <v>1</v>
      </c>
      <c r="H2555" s="7" t="n">
        <v>12.9</v>
      </c>
      <c r="I2555" s="7" t="n">
        <v>0</v>
      </c>
      <c r="J2555" s="7" t="n">
        <v>0</v>
      </c>
      <c r="K2555" s="9" t="n">
        <v>0</v>
      </c>
      <c r="L2555" s="10" t="n">
        <v>7.65</v>
      </c>
      <c r="M2555" s="10" t="n">
        <v>1.43</v>
      </c>
      <c r="N2555" t="inlineStr">
        <is>
          <t>1</t>
        </is>
      </c>
      <c r="O2555" t="inlineStr">
        <is>
          <t xml:space="preserve">6 </t>
        </is>
      </c>
      <c r="P2555" t="inlineStr">
        <is>
          <t xml:space="preserve">248131  </t>
        </is>
      </c>
      <c r="Q2555" s="26" t="n">
        <v>17.74</v>
      </c>
      <c r="R2555" s="26">
        <f>Q2555*G2555</f>
        <v/>
      </c>
      <c r="S2555" s="26">
        <f>IFERROR(VLOOKUP(E2555*1,Tabla[#All],8,0),0)</f>
        <v/>
      </c>
      <c r="T2555" s="26">
        <f>S2555*G2555</f>
        <v/>
      </c>
      <c r="U2555" s="26">
        <f>R2555-T2555</f>
        <v/>
      </c>
      <c r="V2555" s="26">
        <f>U2555-L2555</f>
        <v/>
      </c>
    </row>
    <row r="2556">
      <c r="A2556" s="11" t="n">
        <v>46228</v>
      </c>
      <c r="B2556" s="1" t="n">
        <v>20077</v>
      </c>
      <c r="C2556" s="1" t="inlineStr">
        <is>
          <t>011</t>
        </is>
      </c>
      <c r="D2556" s="1" t="inlineStr">
        <is>
          <t xml:space="preserve">85556 </t>
        </is>
      </c>
      <c r="E2556" s="1" t="inlineStr">
        <is>
          <t xml:space="preserve">34840551       </t>
        </is>
      </c>
      <c r="F2556" s="5" t="inlineStr">
        <is>
          <t>TMZ HELI BOMBERO CON LUCES Y SONIDOS</t>
        </is>
      </c>
      <c r="G2556" t="n">
        <v>1</v>
      </c>
      <c r="H2556" s="7" t="n">
        <v>79.90000000000001</v>
      </c>
      <c r="I2556" s="7" t="n">
        <v>0</v>
      </c>
      <c r="J2556" s="7" t="n">
        <v>0</v>
      </c>
      <c r="K2556" s="9" t="n">
        <v>0</v>
      </c>
      <c r="L2556" s="10" t="n">
        <v>47.4</v>
      </c>
      <c r="M2556" s="10" t="n">
        <v>1.43</v>
      </c>
      <c r="N2556" t="inlineStr">
        <is>
          <t>1</t>
        </is>
      </c>
      <c r="O2556" t="inlineStr">
        <is>
          <t xml:space="preserve">2 </t>
        </is>
      </c>
      <c r="P2556" t="inlineStr">
        <is>
          <t xml:space="preserve">62762   </t>
        </is>
      </c>
      <c r="Q2556" s="26" t="n">
        <v>47.4</v>
      </c>
      <c r="R2556" s="26">
        <f>Q2556*G2556</f>
        <v/>
      </c>
      <c r="S2556" s="26">
        <f>IFERROR(VLOOKUP(E2556*1,Tabla[#All],8,0),0)</f>
        <v/>
      </c>
      <c r="T2556" s="26">
        <f>S2556*G2556</f>
        <v/>
      </c>
      <c r="U2556" s="26">
        <f>R2556-T2556</f>
        <v/>
      </c>
      <c r="V2556" s="26">
        <f>U2556-L2556</f>
        <v/>
      </c>
    </row>
    <row r="2557">
      <c r="A2557" s="11" t="n">
        <v>46228</v>
      </c>
      <c r="B2557" s="1" t="n">
        <v>20077</v>
      </c>
      <c r="C2557" s="1" t="inlineStr">
        <is>
          <t>016</t>
        </is>
      </c>
      <c r="D2557" s="1" t="inlineStr">
        <is>
          <t>123281</t>
        </is>
      </c>
      <c r="E2557" s="1" t="inlineStr">
        <is>
          <t xml:space="preserve">31754676       </t>
        </is>
      </c>
      <c r="F2557" s="5" t="inlineStr">
        <is>
          <t>INFINITY NADO SERIE 6 STD PACK LANZ ESPAD ANILLO M</t>
        </is>
      </c>
      <c r="G2557" t="n">
        <v>1</v>
      </c>
      <c r="H2557" s="7" t="n">
        <v>59.9</v>
      </c>
      <c r="I2557" s="7" t="n">
        <v>5.99</v>
      </c>
      <c r="J2557" s="7" t="n">
        <v>0</v>
      </c>
      <c r="K2557" s="9" t="n">
        <v>5.99</v>
      </c>
      <c r="L2557" s="10" t="n">
        <v>31.98</v>
      </c>
      <c r="M2557" s="10" t="n">
        <v>1.43</v>
      </c>
      <c r="N2557" t="inlineStr">
        <is>
          <t>1</t>
        </is>
      </c>
      <c r="O2557" t="inlineStr">
        <is>
          <t xml:space="preserve">3 </t>
        </is>
      </c>
      <c r="P2557" t="inlineStr">
        <is>
          <t xml:space="preserve">70656   </t>
        </is>
      </c>
      <c r="Q2557" s="26" t="n">
        <v>47.4</v>
      </c>
      <c r="R2557" s="26">
        <f>Q2557*G2557</f>
        <v/>
      </c>
      <c r="S2557" s="26">
        <f>IFERROR(VLOOKUP(E2557*1,Tabla[#All],8,0),0)</f>
        <v/>
      </c>
      <c r="T2557" s="26">
        <f>S2557*G2557</f>
        <v/>
      </c>
      <c r="U2557" s="26">
        <f>R2557-T2557</f>
        <v/>
      </c>
      <c r="V2557" s="26">
        <f>U2557-L2557</f>
        <v/>
      </c>
    </row>
    <row r="2558">
      <c r="A2558" s="11" t="n">
        <v>46228</v>
      </c>
      <c r="B2558" s="1" t="n">
        <v>20077</v>
      </c>
      <c r="C2558" s="1" t="inlineStr">
        <is>
          <t>016</t>
        </is>
      </c>
      <c r="D2558" s="1" t="inlineStr">
        <is>
          <t>123291</t>
        </is>
      </c>
      <c r="E2558" s="1" t="inlineStr">
        <is>
          <t xml:space="preserve">33483123       </t>
        </is>
      </c>
      <c r="F2558" s="5" t="inlineStr">
        <is>
          <t>NENUCO DISFRACES</t>
        </is>
      </c>
      <c r="G2558" t="n">
        <v>1</v>
      </c>
      <c r="H2558" s="7" t="n">
        <v>69.90000000000001</v>
      </c>
      <c r="I2558" s="7" t="n">
        <v>0</v>
      </c>
      <c r="J2558" s="7" t="n">
        <v>0</v>
      </c>
      <c r="K2558" s="9" t="n">
        <v>0</v>
      </c>
      <c r="L2558" s="10" t="n">
        <v>41.47</v>
      </c>
      <c r="M2558" s="10" t="n">
        <v>1.43</v>
      </c>
      <c r="N2558" t="inlineStr">
        <is>
          <t>1</t>
        </is>
      </c>
      <c r="O2558" t="inlineStr">
        <is>
          <t>16</t>
        </is>
      </c>
      <c r="P2558" t="inlineStr">
        <is>
          <t xml:space="preserve">70656   </t>
        </is>
      </c>
      <c r="Q2558" s="26" t="n">
        <v>53.33</v>
      </c>
      <c r="R2558" s="26">
        <f>Q2558*G2558</f>
        <v/>
      </c>
      <c r="S2558" s="26">
        <f>IFERROR(VLOOKUP(E2558*1,Tabla[#All],8,0),0)</f>
        <v/>
      </c>
      <c r="T2558" s="26">
        <f>S2558*G2558</f>
        <v/>
      </c>
      <c r="U2558" s="26">
        <f>R2558-T2558</f>
        <v/>
      </c>
      <c r="V2558" s="26">
        <f>U2558-L2558</f>
        <v/>
      </c>
    </row>
    <row r="2559">
      <c r="A2559" s="11" t="n">
        <v>46228</v>
      </c>
      <c r="B2559" s="1" t="n">
        <v>20077</v>
      </c>
      <c r="C2559" s="1" t="inlineStr">
        <is>
          <t>029</t>
        </is>
      </c>
      <c r="D2559" s="1" t="inlineStr">
        <is>
          <t>156950</t>
        </is>
      </c>
      <c r="E2559" s="1" t="inlineStr">
        <is>
          <t xml:space="preserve">28194781       </t>
        </is>
      </c>
      <c r="F2559" s="5" t="inlineStr">
        <is>
          <t>TROMPO BATALLA INFINITY NADO SERIE V CLASICA SURTI</t>
        </is>
      </c>
      <c r="G2559" t="n">
        <v>1</v>
      </c>
      <c r="H2559" s="7" t="n">
        <v>39.9</v>
      </c>
      <c r="I2559" s="7" t="n">
        <v>3.99</v>
      </c>
      <c r="J2559" s="7" t="n">
        <v>0</v>
      </c>
      <c r="K2559" s="9" t="n">
        <v>3.99</v>
      </c>
      <c r="L2559" s="10" t="n">
        <v>21.3</v>
      </c>
      <c r="M2559" s="10" t="n">
        <v>1.43</v>
      </c>
      <c r="N2559" t="inlineStr">
        <is>
          <t>1</t>
        </is>
      </c>
      <c r="O2559" t="inlineStr">
        <is>
          <t xml:space="preserve">3 </t>
        </is>
      </c>
      <c r="P2559" t="inlineStr">
        <is>
          <t xml:space="preserve">244089  </t>
        </is>
      </c>
      <c r="Q2559" s="26" t="n">
        <v>35.53</v>
      </c>
      <c r="R2559" s="26">
        <f>Q2559*G2559</f>
        <v/>
      </c>
      <c r="S2559" s="26">
        <f>IFERROR(VLOOKUP(E2559*1,Tabla[#All],8,0),0)</f>
        <v/>
      </c>
      <c r="T2559" s="26">
        <f>S2559*G2559</f>
        <v/>
      </c>
      <c r="U2559" s="26">
        <f>R2559-T2559</f>
        <v/>
      </c>
      <c r="V2559" s="26">
        <f>U2559-L2559</f>
        <v/>
      </c>
    </row>
    <row r="2560">
      <c r="A2560" s="11" t="n">
        <v>46228</v>
      </c>
      <c r="B2560" s="1" t="n">
        <v>20078</v>
      </c>
      <c r="C2560" s="1" t="inlineStr">
        <is>
          <t>516</t>
        </is>
      </c>
      <c r="D2560" s="1" t="inlineStr">
        <is>
          <t xml:space="preserve">2434  </t>
        </is>
      </c>
      <c r="E2560" s="1" t="inlineStr">
        <is>
          <t xml:space="preserve">31675353       </t>
        </is>
      </c>
      <c r="F2560" s="5" t="inlineStr">
        <is>
          <t>NENUCO CON BIBERON Y SONAJERO</t>
        </is>
      </c>
      <c r="G2560" t="n">
        <v>1</v>
      </c>
      <c r="H2560" s="7" t="n">
        <v>59.9</v>
      </c>
      <c r="I2560" s="7" t="n">
        <v>0</v>
      </c>
      <c r="J2560" s="7" t="n">
        <v>0</v>
      </c>
      <c r="K2560" s="9" t="n">
        <v>0</v>
      </c>
      <c r="L2560" s="10" t="n">
        <v>35.53</v>
      </c>
      <c r="M2560" s="10" t="n">
        <v>1.43</v>
      </c>
      <c r="N2560" t="inlineStr">
        <is>
          <t>1</t>
        </is>
      </c>
      <c r="O2560" t="inlineStr">
        <is>
          <t>16</t>
        </is>
      </c>
      <c r="P2560" t="inlineStr">
        <is>
          <t xml:space="preserve">247008  </t>
        </is>
      </c>
      <c r="Q2560" s="26" t="n">
        <v>47.4</v>
      </c>
      <c r="R2560" s="26">
        <f>Q2560*G2560</f>
        <v/>
      </c>
      <c r="S2560" s="26">
        <f>IFERROR(VLOOKUP(E2560*1,Tabla[#All],8,0),0)</f>
        <v/>
      </c>
      <c r="T2560" s="26">
        <f>S2560*G2560</f>
        <v/>
      </c>
      <c r="U2560" s="26">
        <f>R2560-T2560</f>
        <v/>
      </c>
      <c r="V2560" s="26">
        <f>U2560-L2560</f>
        <v/>
      </c>
    </row>
    <row r="2561">
      <c r="A2561" s="11" t="n">
        <v>46228</v>
      </c>
      <c r="B2561" s="1" t="n">
        <v>20079</v>
      </c>
      <c r="C2561" s="1" t="inlineStr">
        <is>
          <t>045</t>
        </is>
      </c>
      <c r="D2561" s="1" t="inlineStr">
        <is>
          <t>333428</t>
        </is>
      </c>
      <c r="E2561" s="1" t="inlineStr">
        <is>
          <t xml:space="preserve">34840550       </t>
        </is>
      </c>
      <c r="F2561" s="5" t="inlineStr">
        <is>
          <t>TEAMSTERZ M/MOVERZ TRANSPORTA GORILA</t>
        </is>
      </c>
      <c r="G2561" t="n">
        <v>1</v>
      </c>
      <c r="H2561" s="7" t="n">
        <v>129</v>
      </c>
      <c r="I2561" s="7" t="n">
        <v>0</v>
      </c>
      <c r="J2561" s="7" t="n">
        <v>0</v>
      </c>
      <c r="K2561" s="9" t="n">
        <v>0</v>
      </c>
      <c r="L2561" s="10" t="n">
        <v>76.52</v>
      </c>
      <c r="M2561" s="10" t="n">
        <v>1.43</v>
      </c>
      <c r="N2561" t="inlineStr">
        <is>
          <t>1</t>
        </is>
      </c>
      <c r="O2561" t="inlineStr">
        <is>
          <t>16</t>
        </is>
      </c>
      <c r="P2561" t="inlineStr">
        <is>
          <t xml:space="preserve">45006   </t>
        </is>
      </c>
      <c r="Q2561" s="26" t="n">
        <v>76.53</v>
      </c>
      <c r="R2561" s="26">
        <f>Q2561*G2561</f>
        <v/>
      </c>
      <c r="S2561" s="26">
        <f>IFERROR(VLOOKUP(E2561*1,Tabla[#All],8,0),0)</f>
        <v/>
      </c>
      <c r="T2561" s="26">
        <f>S2561*G2561</f>
        <v/>
      </c>
      <c r="U2561" s="26">
        <f>R2561-T2561</f>
        <v/>
      </c>
      <c r="V2561" s="26">
        <f>U2561-L2561</f>
        <v/>
      </c>
    </row>
    <row r="2562">
      <c r="A2562" s="11" t="n">
        <v>46228</v>
      </c>
      <c r="B2562" s="1" t="n">
        <v>20079</v>
      </c>
      <c r="C2562" s="1" t="inlineStr">
        <is>
          <t>051</t>
        </is>
      </c>
      <c r="D2562" s="1" t="inlineStr">
        <is>
          <t>236974</t>
        </is>
      </c>
      <c r="E2562" s="1" t="inlineStr">
        <is>
          <t xml:space="preserve">32457099       </t>
        </is>
      </c>
      <c r="F2562" s="5" t="inlineStr">
        <is>
          <t>TMZ BEAST MACHINES MONSTER JAWS A FRICCION BLISTER</t>
        </is>
      </c>
      <c r="G2562" t="n">
        <v>1</v>
      </c>
      <c r="H2562" s="7" t="n">
        <v>17.9</v>
      </c>
      <c r="I2562" s="7" t="n">
        <v>0</v>
      </c>
      <c r="J2562" s="7" t="n">
        <v>0</v>
      </c>
      <c r="K2562" s="9" t="n">
        <v>0</v>
      </c>
      <c r="L2562" s="10" t="n">
        <v>10.62</v>
      </c>
      <c r="M2562" s="10" t="n">
        <v>1.43</v>
      </c>
      <c r="N2562" t="inlineStr">
        <is>
          <t>1</t>
        </is>
      </c>
      <c r="O2562" t="inlineStr">
        <is>
          <t>16</t>
        </is>
      </c>
      <c r="P2562" t="inlineStr">
        <is>
          <t xml:space="preserve">57836   </t>
        </is>
      </c>
      <c r="Q2562" s="26" t="n">
        <v>11.81</v>
      </c>
      <c r="R2562" s="26">
        <f>Q2562*G2562</f>
        <v/>
      </c>
      <c r="S2562" s="26">
        <f>IFERROR(VLOOKUP(E2562*1,Tabla[#All],8,0),0)</f>
        <v/>
      </c>
      <c r="T2562" s="26">
        <f>S2562*G2562</f>
        <v/>
      </c>
      <c r="U2562" s="26">
        <f>R2562-T2562</f>
        <v/>
      </c>
      <c r="V2562" s="26">
        <f>U2562-L2562</f>
        <v/>
      </c>
    </row>
    <row r="2563">
      <c r="A2563" s="11" t="n">
        <v>46228</v>
      </c>
      <c r="B2563" s="1" t="n">
        <v>20079</v>
      </c>
      <c r="C2563" s="1" t="inlineStr">
        <is>
          <t>051</t>
        </is>
      </c>
      <c r="D2563" s="1" t="inlineStr">
        <is>
          <t>237002</t>
        </is>
      </c>
      <c r="E2563" s="1" t="inlineStr">
        <is>
          <t xml:space="preserve">28194784       </t>
        </is>
      </c>
      <c r="F2563" s="5" t="inlineStr">
        <is>
          <t>SET DE ACROBACIAS INFINITY NADO CON TROMPO</t>
        </is>
      </c>
      <c r="G2563" t="n">
        <v>1</v>
      </c>
      <c r="H2563" s="7" t="n">
        <v>139</v>
      </c>
      <c r="I2563" s="7" t="n">
        <v>0</v>
      </c>
      <c r="J2563" s="7" t="n">
        <v>0</v>
      </c>
      <c r="K2563" s="9" t="n">
        <v>0</v>
      </c>
      <c r="L2563" s="10" t="n">
        <v>82.45999999999999</v>
      </c>
      <c r="M2563" s="10" t="n">
        <v>1.43</v>
      </c>
      <c r="N2563" t="inlineStr">
        <is>
          <t>1</t>
        </is>
      </c>
      <c r="O2563" t="inlineStr">
        <is>
          <t>16</t>
        </is>
      </c>
      <c r="P2563" t="inlineStr">
        <is>
          <t xml:space="preserve">57836   </t>
        </is>
      </c>
      <c r="Q2563" s="26" t="n">
        <v>106.19</v>
      </c>
      <c r="R2563" s="26">
        <f>Q2563*G2563</f>
        <v/>
      </c>
      <c r="S2563" s="26">
        <f>IFERROR(VLOOKUP(E2563*1,Tabla[#All],8,0),0)</f>
        <v/>
      </c>
      <c r="T2563" s="26">
        <f>S2563*G2563</f>
        <v/>
      </c>
      <c r="U2563" s="26">
        <f>R2563-T2563</f>
        <v/>
      </c>
      <c r="V2563" s="26">
        <f>U2563-L2563</f>
        <v/>
      </c>
    </row>
    <row r="2564">
      <c r="A2564" s="11" t="n">
        <v>46228</v>
      </c>
      <c r="B2564" s="1" t="n">
        <v>20079</v>
      </c>
      <c r="C2564" s="1" t="inlineStr">
        <is>
          <t>051</t>
        </is>
      </c>
      <c r="D2564" s="1" t="inlineStr">
        <is>
          <t>237002</t>
        </is>
      </c>
      <c r="E2564" s="1" t="inlineStr">
        <is>
          <t xml:space="preserve">31754675       </t>
        </is>
      </c>
      <c r="F2564" s="5" t="inlineStr">
        <is>
          <t>INFINITY NADO SERIE 6 STARTER PACK - 4 MODELOS</t>
        </is>
      </c>
      <c r="G2564" t="n">
        <v>1</v>
      </c>
      <c r="H2564" s="7" t="n">
        <v>49.9</v>
      </c>
      <c r="I2564" s="7" t="n">
        <v>0</v>
      </c>
      <c r="J2564" s="7" t="n">
        <v>0</v>
      </c>
      <c r="K2564" s="9" t="n">
        <v>0</v>
      </c>
      <c r="L2564" s="10" t="n">
        <v>29.6</v>
      </c>
      <c r="M2564" s="10" t="n">
        <v>1.43</v>
      </c>
      <c r="N2564" t="inlineStr">
        <is>
          <t>1</t>
        </is>
      </c>
      <c r="O2564" t="inlineStr">
        <is>
          <t>16</t>
        </is>
      </c>
      <c r="P2564" t="inlineStr">
        <is>
          <t xml:space="preserve">57836   </t>
        </is>
      </c>
      <c r="Q2564" s="26" t="n">
        <v>41.47</v>
      </c>
      <c r="R2564" s="26">
        <f>Q2564*G2564</f>
        <v/>
      </c>
      <c r="S2564" s="26">
        <f>IFERROR(VLOOKUP(E2564*1,Tabla[#All],8,0),0)</f>
        <v/>
      </c>
      <c r="T2564" s="26">
        <f>S2564*G2564</f>
        <v/>
      </c>
      <c r="U2564" s="26">
        <f>R2564-T2564</f>
        <v/>
      </c>
      <c r="V2564" s="26">
        <f>U2564-L2564</f>
        <v/>
      </c>
    </row>
    <row r="2565">
      <c r="A2565" s="11" t="n">
        <v>46228</v>
      </c>
      <c r="B2565" s="1" t="n">
        <v>20079</v>
      </c>
      <c r="C2565" s="1" t="inlineStr">
        <is>
          <t>051</t>
        </is>
      </c>
      <c r="D2565" s="1" t="inlineStr">
        <is>
          <t>237089</t>
        </is>
      </c>
      <c r="E2565" s="1" t="inlineStr">
        <is>
          <t xml:space="preserve">28194769       </t>
        </is>
      </c>
      <c r="F2565" s="5" t="inlineStr">
        <is>
          <t>AUTOS DE METAL 3 TEAMSTERZ PACK DE 2</t>
        </is>
      </c>
      <c r="G2565" t="n">
        <v>1</v>
      </c>
      <c r="H2565" s="7" t="n">
        <v>13.8</v>
      </c>
      <c r="I2565" s="7" t="n">
        <v>0</v>
      </c>
      <c r="J2565" s="7" t="n">
        <v>0</v>
      </c>
      <c r="K2565" s="9" t="n">
        <v>0</v>
      </c>
      <c r="L2565" s="10" t="n">
        <v>8.18</v>
      </c>
      <c r="M2565" s="10" t="n">
        <v>1.43</v>
      </c>
      <c r="N2565" t="inlineStr">
        <is>
          <t>1</t>
        </is>
      </c>
      <c r="O2565" t="inlineStr">
        <is>
          <t xml:space="preserve">2 </t>
        </is>
      </c>
      <c r="P2565" t="inlineStr">
        <is>
          <t xml:space="preserve">57836   </t>
        </is>
      </c>
      <c r="Q2565" s="26" t="n">
        <v>8.19</v>
      </c>
      <c r="R2565" s="26">
        <f>Q2565*G2565</f>
        <v/>
      </c>
      <c r="S2565" s="26">
        <f>IFERROR(VLOOKUP(E2565*1,Tabla[#All],8,0),0)</f>
        <v/>
      </c>
      <c r="T2565" s="26">
        <f>S2565*G2565</f>
        <v/>
      </c>
      <c r="U2565" s="26">
        <f>R2565-T2565</f>
        <v/>
      </c>
      <c r="V2565" s="26">
        <f>U2565-L2565</f>
        <v/>
      </c>
    </row>
    <row r="2566">
      <c r="A2566" s="11" t="n">
        <v>46228</v>
      </c>
      <c r="B2566" s="1" t="n">
        <v>20080</v>
      </c>
      <c r="C2566" s="1" t="inlineStr">
        <is>
          <t>026</t>
        </is>
      </c>
      <c r="D2566" s="1" t="inlineStr">
        <is>
          <t>209456</t>
        </is>
      </c>
      <c r="E2566" s="1" t="inlineStr">
        <is>
          <t xml:space="preserve">32656416       </t>
        </is>
      </c>
      <c r="F2566" s="5" t="inlineStr">
        <is>
          <t>EL PISO ES LAVA</t>
        </is>
      </c>
      <c r="G2566" t="n">
        <v>1</v>
      </c>
      <c r="H2566" s="7" t="n">
        <v>34.9</v>
      </c>
      <c r="I2566" s="7" t="n">
        <v>0</v>
      </c>
      <c r="J2566" s="7" t="n">
        <v>0</v>
      </c>
      <c r="K2566" s="9" t="n">
        <v>0</v>
      </c>
      <c r="L2566" s="10" t="n">
        <v>20.71</v>
      </c>
      <c r="M2566" s="10" t="n">
        <v>1.43</v>
      </c>
      <c r="N2566" t="inlineStr">
        <is>
          <t>1</t>
        </is>
      </c>
      <c r="O2566" t="inlineStr">
        <is>
          <t>16</t>
        </is>
      </c>
      <c r="P2566" t="inlineStr">
        <is>
          <t xml:space="preserve">79951   </t>
        </is>
      </c>
      <c r="Q2566" s="26" t="n">
        <v>47.4</v>
      </c>
      <c r="R2566" s="26">
        <f>Q2566*G2566</f>
        <v/>
      </c>
      <c r="S2566" s="26">
        <f>IFERROR(VLOOKUP(E2566*1,Tabla[#All],8,0),0)</f>
        <v/>
      </c>
      <c r="T2566" s="26">
        <f>S2566*G2566</f>
        <v/>
      </c>
      <c r="U2566" s="26">
        <f>R2566-T2566</f>
        <v/>
      </c>
      <c r="V2566" s="26">
        <f>U2566-L2566</f>
        <v/>
      </c>
    </row>
    <row r="2567">
      <c r="A2567" s="11" t="n">
        <v>46228</v>
      </c>
      <c r="B2567" s="1" t="n">
        <v>20080</v>
      </c>
      <c r="C2567" s="1" t="inlineStr">
        <is>
          <t>026</t>
        </is>
      </c>
      <c r="D2567" s="1" t="inlineStr">
        <is>
          <t>209517</t>
        </is>
      </c>
      <c r="E2567" s="1" t="inlineStr">
        <is>
          <t xml:space="preserve">32656523       </t>
        </is>
      </c>
      <c r="F2567" s="5" t="inlineStr">
        <is>
          <t>TMZ BEAST MACHINES TRANSPORT. T-REX ELECTR. + ACCE</t>
        </is>
      </c>
      <c r="G2567" t="n">
        <v>1</v>
      </c>
      <c r="H2567" s="7" t="n">
        <v>179</v>
      </c>
      <c r="I2567" s="7" t="n">
        <v>0</v>
      </c>
      <c r="J2567" s="7" t="n">
        <v>0</v>
      </c>
      <c r="K2567" s="9" t="n">
        <v>0</v>
      </c>
      <c r="L2567" s="10" t="n">
        <v>106.18</v>
      </c>
      <c r="M2567" s="10" t="n">
        <v>1.43</v>
      </c>
      <c r="N2567" t="inlineStr">
        <is>
          <t>1</t>
        </is>
      </c>
      <c r="O2567" t="inlineStr">
        <is>
          <t>16</t>
        </is>
      </c>
      <c r="P2567" t="inlineStr">
        <is>
          <t xml:space="preserve">79951   </t>
        </is>
      </c>
      <c r="Q2567" s="26" t="n">
        <v>106.19</v>
      </c>
      <c r="R2567" s="26">
        <f>Q2567*G2567</f>
        <v/>
      </c>
      <c r="S2567" s="26">
        <f>IFERROR(VLOOKUP(E2567*1,Tabla[#All],8,0),0)</f>
        <v/>
      </c>
      <c r="T2567" s="26">
        <f>S2567*G2567</f>
        <v/>
      </c>
      <c r="U2567" s="26">
        <f>R2567-T2567</f>
        <v/>
      </c>
      <c r="V2567" s="26">
        <f>U2567-L2567</f>
        <v/>
      </c>
    </row>
    <row r="2568">
      <c r="A2568" s="11" t="n">
        <v>46228</v>
      </c>
      <c r="B2568" s="1" t="n">
        <v>20080</v>
      </c>
      <c r="C2568" s="1" t="inlineStr">
        <is>
          <t>029</t>
        </is>
      </c>
      <c r="D2568" s="1" t="inlineStr">
        <is>
          <t>226311</t>
        </is>
      </c>
      <c r="E2568" s="1" t="inlineStr">
        <is>
          <t xml:space="preserve">28194769       </t>
        </is>
      </c>
      <c r="F2568" s="5" t="inlineStr">
        <is>
          <t>AUTOS DE METAL 3 TEAMSTERZ PACK DE 2</t>
        </is>
      </c>
      <c r="G2568" t="n">
        <v>1</v>
      </c>
      <c r="H2568" s="7" t="n">
        <v>13.8</v>
      </c>
      <c r="I2568" s="7" t="n">
        <v>0</v>
      </c>
      <c r="J2568" s="7" t="n">
        <v>0</v>
      </c>
      <c r="K2568" s="9" t="n">
        <v>0</v>
      </c>
      <c r="L2568" s="10" t="n">
        <v>8.18</v>
      </c>
      <c r="M2568" s="10" t="n">
        <v>1.43</v>
      </c>
      <c r="N2568" t="inlineStr">
        <is>
          <t>1</t>
        </is>
      </c>
      <c r="O2568" t="inlineStr">
        <is>
          <t xml:space="preserve">2 </t>
        </is>
      </c>
      <c r="P2568" t="inlineStr">
        <is>
          <t xml:space="preserve">66621   </t>
        </is>
      </c>
      <c r="Q2568" s="26" t="n">
        <v>8.19</v>
      </c>
      <c r="R2568" s="26">
        <f>Q2568*G2568</f>
        <v/>
      </c>
      <c r="S2568" s="26">
        <f>IFERROR(VLOOKUP(E2568*1,Tabla[#All],8,0),0)</f>
        <v/>
      </c>
      <c r="T2568" s="26">
        <f>S2568*G2568</f>
        <v/>
      </c>
      <c r="U2568" s="26">
        <f>R2568-T2568</f>
        <v/>
      </c>
      <c r="V2568" s="26">
        <f>U2568-L2568</f>
        <v/>
      </c>
    </row>
    <row r="2569">
      <c r="A2569" s="11" t="n">
        <v>46228</v>
      </c>
      <c r="B2569" s="1" t="n">
        <v>20080</v>
      </c>
      <c r="C2569" s="1" t="inlineStr">
        <is>
          <t>029</t>
        </is>
      </c>
      <c r="D2569" s="1" t="inlineStr">
        <is>
          <t>226320</t>
        </is>
      </c>
      <c r="E2569" s="1" t="inlineStr">
        <is>
          <t xml:space="preserve">34840526       </t>
        </is>
      </c>
      <c r="F2569" s="5" t="inlineStr">
        <is>
          <t>NENUCO ABRACITOS</t>
        </is>
      </c>
      <c r="G2569" t="n">
        <v>1</v>
      </c>
      <c r="H2569" s="7" t="n">
        <v>89.90000000000001</v>
      </c>
      <c r="I2569" s="7" t="n">
        <v>8.99</v>
      </c>
      <c r="J2569" s="7" t="n">
        <v>0</v>
      </c>
      <c r="K2569" s="9" t="n">
        <v>8.99</v>
      </c>
      <c r="L2569" s="10" t="n">
        <v>48</v>
      </c>
      <c r="M2569" s="10" t="n">
        <v>1.43</v>
      </c>
      <c r="N2569" t="inlineStr">
        <is>
          <t>1</t>
        </is>
      </c>
      <c r="O2569" t="inlineStr">
        <is>
          <t xml:space="preserve">3 </t>
        </is>
      </c>
      <c r="P2569" t="inlineStr">
        <is>
          <t xml:space="preserve">66621   </t>
        </is>
      </c>
      <c r="Q2569" s="26" t="n">
        <v>70.59</v>
      </c>
      <c r="R2569" s="26">
        <f>Q2569*G2569</f>
        <v/>
      </c>
      <c r="S2569" s="26">
        <f>IFERROR(VLOOKUP(E2569*1,Tabla[#All],8,0),0)</f>
        <v/>
      </c>
      <c r="T2569" s="26">
        <f>S2569*G2569</f>
        <v/>
      </c>
      <c r="U2569" s="26">
        <f>R2569-T2569</f>
        <v/>
      </c>
      <c r="V2569" s="26">
        <f>U2569-L2569</f>
        <v/>
      </c>
    </row>
    <row r="2570">
      <c r="A2570" s="11" t="n">
        <v>46228</v>
      </c>
      <c r="B2570" s="1" t="n">
        <v>20080</v>
      </c>
      <c r="C2570" s="1" t="inlineStr">
        <is>
          <t>029</t>
        </is>
      </c>
      <c r="D2570" s="1" t="inlineStr">
        <is>
          <t>226332</t>
        </is>
      </c>
      <c r="E2570" s="1" t="inlineStr">
        <is>
          <t xml:space="preserve">28194769       </t>
        </is>
      </c>
      <c r="F2570" s="5" t="inlineStr">
        <is>
          <t>AUTOS DE METAL 3 TEAMSTERZ PACK DE 2</t>
        </is>
      </c>
      <c r="G2570" t="n">
        <v>1</v>
      </c>
      <c r="H2570" s="7" t="n">
        <v>13.8</v>
      </c>
      <c r="I2570" s="7" t="n">
        <v>0</v>
      </c>
      <c r="J2570" s="7" t="n">
        <v>0</v>
      </c>
      <c r="K2570" s="9" t="n">
        <v>0</v>
      </c>
      <c r="L2570" s="10" t="n">
        <v>8.18</v>
      </c>
      <c r="M2570" s="10" t="n">
        <v>1.43</v>
      </c>
      <c r="N2570" t="inlineStr">
        <is>
          <t>1</t>
        </is>
      </c>
      <c r="O2570" t="inlineStr">
        <is>
          <t xml:space="preserve">2 </t>
        </is>
      </c>
      <c r="P2570" t="inlineStr">
        <is>
          <t xml:space="preserve">66621   </t>
        </is>
      </c>
      <c r="Q2570" s="26" t="n">
        <v>8.19</v>
      </c>
      <c r="R2570" s="26">
        <f>Q2570*G2570</f>
        <v/>
      </c>
      <c r="S2570" s="26">
        <f>IFERROR(VLOOKUP(E2570*1,Tabla[#All],8,0),0)</f>
        <v/>
      </c>
      <c r="T2570" s="26">
        <f>S2570*G2570</f>
        <v/>
      </c>
      <c r="U2570" s="26">
        <f>R2570-T2570</f>
        <v/>
      </c>
      <c r="V2570" s="26">
        <f>U2570-L2570</f>
        <v/>
      </c>
    </row>
    <row r="2571">
      <c r="A2571" s="11" t="n">
        <v>46228</v>
      </c>
      <c r="B2571" s="1" t="n">
        <v>20086</v>
      </c>
      <c r="C2571" s="1" t="inlineStr">
        <is>
          <t>014</t>
        </is>
      </c>
      <c r="D2571" s="1" t="inlineStr">
        <is>
          <t>127513</t>
        </is>
      </c>
      <c r="E2571" s="1" t="inlineStr">
        <is>
          <t xml:space="preserve">28194770       </t>
        </is>
      </c>
      <c r="F2571" s="5" t="inlineStr">
        <is>
          <t>AUTOS DE METAL 3 TEAMSTERZ EN BLISTER</t>
        </is>
      </c>
      <c r="G2571" t="n">
        <v>1</v>
      </c>
      <c r="H2571" s="7" t="n">
        <v>6.9</v>
      </c>
      <c r="I2571" s="7" t="n">
        <v>0</v>
      </c>
      <c r="J2571" s="7" t="n">
        <v>0</v>
      </c>
      <c r="K2571" s="9" t="n">
        <v>0</v>
      </c>
      <c r="L2571" s="10" t="n">
        <v>4.1</v>
      </c>
      <c r="M2571" s="10" t="n">
        <v>1.43</v>
      </c>
      <c r="N2571" t="inlineStr">
        <is>
          <t>1</t>
        </is>
      </c>
      <c r="O2571" t="inlineStr">
        <is>
          <t xml:space="preserve">2 </t>
        </is>
      </c>
      <c r="P2571" t="inlineStr">
        <is>
          <t xml:space="preserve">250782  </t>
        </is>
      </c>
      <c r="Q2571" s="26" t="n">
        <v>4.09</v>
      </c>
      <c r="R2571" s="26">
        <f>Q2571*G2571</f>
        <v/>
      </c>
      <c r="S2571" s="26">
        <f>IFERROR(VLOOKUP(E2571*1,Tabla[#All],8,0),0)</f>
        <v/>
      </c>
      <c r="T2571" s="26">
        <f>S2571*G2571</f>
        <v/>
      </c>
      <c r="U2571" s="26">
        <f>R2571-T2571</f>
        <v/>
      </c>
      <c r="V2571" s="26">
        <f>U2571-L2571</f>
        <v/>
      </c>
    </row>
    <row r="2572">
      <c r="A2572" s="11" t="n">
        <v>46228</v>
      </c>
      <c r="B2572" s="1" t="n">
        <v>20086</v>
      </c>
      <c r="C2572" s="1" t="inlineStr">
        <is>
          <t>192</t>
        </is>
      </c>
      <c r="D2572" s="1" t="inlineStr">
        <is>
          <t>129282</t>
        </is>
      </c>
      <c r="E2572" s="1" t="inlineStr">
        <is>
          <t xml:space="preserve">32457120       </t>
        </is>
      </c>
      <c r="F2572" s="5" t="inlineStr">
        <is>
          <t>MUNECA STEFFI LOVE PEINADO DE PERLAS + ACCESS.</t>
        </is>
      </c>
      <c r="G2572" t="n">
        <v>1</v>
      </c>
      <c r="H2572" s="7" t="n">
        <v>41.94</v>
      </c>
      <c r="I2572" s="7" t="n">
        <v>0</v>
      </c>
      <c r="J2572" s="7" t="n">
        <v>0</v>
      </c>
      <c r="K2572" s="9" t="n">
        <v>0</v>
      </c>
      <c r="L2572" s="10" t="n">
        <v>24.88</v>
      </c>
      <c r="M2572" s="10" t="n">
        <v>1.43</v>
      </c>
      <c r="N2572" t="inlineStr">
        <is>
          <t>1</t>
        </is>
      </c>
      <c r="O2572" t="inlineStr">
        <is>
          <t>16</t>
        </is>
      </c>
      <c r="P2572" t="inlineStr">
        <is>
          <t xml:space="preserve">74697   </t>
        </is>
      </c>
      <c r="Q2572" s="26" t="n">
        <v>41.47</v>
      </c>
      <c r="R2572" s="26">
        <f>Q2572*G2572</f>
        <v/>
      </c>
      <c r="S2572" s="26">
        <f>IFERROR(VLOOKUP(E2572*1,Tabla[#All],8,0),0)</f>
        <v/>
      </c>
      <c r="T2572" s="26">
        <f>S2572*G2572</f>
        <v/>
      </c>
      <c r="U2572" s="26">
        <f>R2572-T2572</f>
        <v/>
      </c>
      <c r="V2572" s="26">
        <f>U2572-L2572</f>
        <v/>
      </c>
    </row>
    <row r="2573">
      <c r="A2573" s="11" t="n">
        <v>46228</v>
      </c>
      <c r="B2573" s="1" t="n">
        <v>20086</v>
      </c>
      <c r="C2573" s="1" t="inlineStr">
        <is>
          <t>192</t>
        </is>
      </c>
      <c r="D2573" s="1" t="inlineStr">
        <is>
          <t>129309</t>
        </is>
      </c>
      <c r="E2573" s="1" t="inlineStr">
        <is>
          <t xml:space="preserve">28194770       </t>
        </is>
      </c>
      <c r="F2573" s="5" t="inlineStr">
        <is>
          <t>AUTOS DE METAL 3 TEAMSTERZ EN BLISTER</t>
        </is>
      </c>
      <c r="G2573" t="n">
        <v>1</v>
      </c>
      <c r="H2573" s="7" t="n">
        <v>6.9</v>
      </c>
      <c r="I2573" s="7" t="n">
        <v>0.6899999999999999</v>
      </c>
      <c r="J2573" s="7" t="n">
        <v>0</v>
      </c>
      <c r="K2573" s="9" t="n">
        <v>0.6899999999999999</v>
      </c>
      <c r="L2573" s="10" t="n">
        <v>3.68</v>
      </c>
      <c r="M2573" s="10" t="n">
        <v>1.43</v>
      </c>
      <c r="N2573" t="inlineStr">
        <is>
          <t>1</t>
        </is>
      </c>
      <c r="O2573" t="inlineStr">
        <is>
          <t xml:space="preserve">3 </t>
        </is>
      </c>
      <c r="P2573" t="inlineStr">
        <is>
          <t xml:space="preserve">74697   </t>
        </is>
      </c>
      <c r="Q2573" s="26" t="n">
        <v>4.09</v>
      </c>
      <c r="R2573" s="26">
        <f>Q2573*G2573</f>
        <v/>
      </c>
      <c r="S2573" s="26">
        <f>IFERROR(VLOOKUP(E2573*1,Tabla[#All],8,0),0)</f>
        <v/>
      </c>
      <c r="T2573" s="26">
        <f>S2573*G2573</f>
        <v/>
      </c>
      <c r="U2573" s="26">
        <f>R2573-T2573</f>
        <v/>
      </c>
      <c r="V2573" s="26">
        <f>U2573-L2573</f>
        <v/>
      </c>
    </row>
    <row r="2574">
      <c r="A2574" s="11" t="n">
        <v>46228</v>
      </c>
      <c r="B2574" s="1" t="n">
        <v>20086</v>
      </c>
      <c r="C2574" s="1" t="inlineStr">
        <is>
          <t>192</t>
        </is>
      </c>
      <c r="D2574" s="1" t="inlineStr">
        <is>
          <t>129330</t>
        </is>
      </c>
      <c r="E2574" s="1" t="inlineStr">
        <is>
          <t xml:space="preserve">28194770       </t>
        </is>
      </c>
      <c r="F2574" s="5" t="inlineStr">
        <is>
          <t>AUTOS DE METAL 3 TEAMSTERZ EN BLISTER</t>
        </is>
      </c>
      <c r="G2574" t="n">
        <v>1</v>
      </c>
      <c r="H2574" s="7" t="n">
        <v>6.9</v>
      </c>
      <c r="I2574" s="7" t="n">
        <v>0</v>
      </c>
      <c r="J2574" s="7" t="n">
        <v>0</v>
      </c>
      <c r="K2574" s="9" t="n">
        <v>0</v>
      </c>
      <c r="L2574" s="10" t="n">
        <v>4.1</v>
      </c>
      <c r="M2574" s="10" t="n">
        <v>1.43</v>
      </c>
      <c r="N2574" t="inlineStr">
        <is>
          <t>1</t>
        </is>
      </c>
      <c r="O2574" t="inlineStr">
        <is>
          <t xml:space="preserve">2 </t>
        </is>
      </c>
      <c r="P2574" t="inlineStr">
        <is>
          <t xml:space="preserve">74697   </t>
        </is>
      </c>
      <c r="Q2574" s="26" t="n">
        <v>4.09</v>
      </c>
      <c r="R2574" s="26">
        <f>Q2574*G2574</f>
        <v/>
      </c>
      <c r="S2574" s="26">
        <f>IFERROR(VLOOKUP(E2574*1,Tabla[#All],8,0),0)</f>
        <v/>
      </c>
      <c r="T2574" s="26">
        <f>S2574*G2574</f>
        <v/>
      </c>
      <c r="U2574" s="26">
        <f>R2574-T2574</f>
        <v/>
      </c>
      <c r="V2574" s="26">
        <f>U2574-L2574</f>
        <v/>
      </c>
    </row>
    <row r="2575">
      <c r="A2575" s="11" t="n">
        <v>46228</v>
      </c>
      <c r="B2575" s="1" t="n">
        <v>20088</v>
      </c>
      <c r="C2575" s="1" t="inlineStr">
        <is>
          <t>022</t>
        </is>
      </c>
      <c r="D2575" s="1" t="inlineStr">
        <is>
          <t xml:space="preserve">84777 </t>
        </is>
      </c>
      <c r="E2575" s="1" t="inlineStr">
        <is>
          <t xml:space="preserve">28194769       </t>
        </is>
      </c>
      <c r="F2575" s="5" t="inlineStr">
        <is>
          <t>AUTOS DE METAL 3 TEAMSTERZ PACK DE 2</t>
        </is>
      </c>
      <c r="G2575" t="n">
        <v>1</v>
      </c>
      <c r="H2575" s="7" t="n">
        <v>13.8</v>
      </c>
      <c r="I2575" s="7" t="n">
        <v>0</v>
      </c>
      <c r="J2575" s="7" t="n">
        <v>0</v>
      </c>
      <c r="K2575" s="9" t="n">
        <v>0</v>
      </c>
      <c r="L2575" s="10" t="n">
        <v>8.18</v>
      </c>
      <c r="M2575" s="10" t="n">
        <v>1.43</v>
      </c>
      <c r="N2575" t="inlineStr">
        <is>
          <t>1</t>
        </is>
      </c>
      <c r="O2575" t="inlineStr">
        <is>
          <t>16</t>
        </is>
      </c>
      <c r="P2575" t="inlineStr">
        <is>
          <t xml:space="preserve">47248   </t>
        </is>
      </c>
      <c r="Q2575" s="26" t="n">
        <v>8.19</v>
      </c>
      <c r="R2575" s="26">
        <f>Q2575*G2575</f>
        <v/>
      </c>
      <c r="S2575" s="26">
        <f>IFERROR(VLOOKUP(E2575*1,Tabla[#All],8,0),0)</f>
        <v/>
      </c>
      <c r="T2575" s="26">
        <f>S2575*G2575</f>
        <v/>
      </c>
      <c r="U2575" s="26">
        <f>R2575-T2575</f>
        <v/>
      </c>
      <c r="V2575" s="26">
        <f>U2575-L2575</f>
        <v/>
      </c>
    </row>
    <row r="2576">
      <c r="A2576" s="11" t="n">
        <v>46228</v>
      </c>
      <c r="B2576" s="1" t="n">
        <v>20088</v>
      </c>
      <c r="C2576" s="1" t="inlineStr">
        <is>
          <t>022</t>
        </is>
      </c>
      <c r="D2576" s="1" t="inlineStr">
        <is>
          <t xml:space="preserve">84777 </t>
        </is>
      </c>
      <c r="E2576" s="1" t="inlineStr">
        <is>
          <t xml:space="preserve">28194769       </t>
        </is>
      </c>
      <c r="F2576" s="5" t="inlineStr">
        <is>
          <t>AUTOS DE METAL 3 TEAMSTERZ PACK DE 2</t>
        </is>
      </c>
      <c r="G2576" t="n">
        <v>1</v>
      </c>
      <c r="H2576" s="7" t="n">
        <v>13.8</v>
      </c>
      <c r="I2576" s="7" t="n">
        <v>0</v>
      </c>
      <c r="J2576" s="7" t="n">
        <v>0</v>
      </c>
      <c r="K2576" s="9" t="n">
        <v>0</v>
      </c>
      <c r="L2576" s="10" t="n">
        <v>8.18</v>
      </c>
      <c r="M2576" s="10" t="n">
        <v>1.43</v>
      </c>
      <c r="N2576" t="inlineStr">
        <is>
          <t>1</t>
        </is>
      </c>
      <c r="O2576" t="inlineStr">
        <is>
          <t>16</t>
        </is>
      </c>
      <c r="P2576" t="inlineStr">
        <is>
          <t xml:space="preserve">47248   </t>
        </is>
      </c>
      <c r="Q2576" s="26" t="n">
        <v>8.19</v>
      </c>
      <c r="R2576" s="26">
        <f>Q2576*G2576</f>
        <v/>
      </c>
      <c r="S2576" s="26">
        <f>IFERROR(VLOOKUP(E2576*1,Tabla[#All],8,0),0)</f>
        <v/>
      </c>
      <c r="T2576" s="26">
        <f>S2576*G2576</f>
        <v/>
      </c>
      <c r="U2576" s="26">
        <f>R2576-T2576</f>
        <v/>
      </c>
      <c r="V2576" s="26">
        <f>U2576-L2576</f>
        <v/>
      </c>
    </row>
    <row r="2577">
      <c r="A2577" s="11" t="n">
        <v>46228</v>
      </c>
      <c r="B2577" s="1" t="n">
        <v>20088</v>
      </c>
      <c r="C2577" s="1" t="inlineStr">
        <is>
          <t>022</t>
        </is>
      </c>
      <c r="D2577" s="1" t="inlineStr">
        <is>
          <t xml:space="preserve">84777 </t>
        </is>
      </c>
      <c r="E2577" s="1" t="inlineStr">
        <is>
          <t xml:space="preserve">30141766       </t>
        </is>
      </c>
      <c r="F2577" s="5" t="inlineStr">
        <is>
          <t>TMZ BEAST MACHINES AUTOS DE METAL BLISTER X 1</t>
        </is>
      </c>
      <c r="G2577" t="n">
        <v>1</v>
      </c>
      <c r="H2577" s="7" t="n">
        <v>7.9</v>
      </c>
      <c r="I2577" s="7" t="n">
        <v>0</v>
      </c>
      <c r="J2577" s="7" t="n">
        <v>0</v>
      </c>
      <c r="K2577" s="9" t="n">
        <v>0</v>
      </c>
      <c r="L2577" s="10" t="n">
        <v>4.68</v>
      </c>
      <c r="M2577" s="10" t="n">
        <v>1.43</v>
      </c>
      <c r="N2577" t="inlineStr">
        <is>
          <t>1</t>
        </is>
      </c>
      <c r="O2577" t="inlineStr">
        <is>
          <t>16</t>
        </is>
      </c>
      <c r="P2577" t="inlineStr">
        <is>
          <t xml:space="preserve">47248   </t>
        </is>
      </c>
      <c r="Q2577" s="26" t="n">
        <v>4.69</v>
      </c>
      <c r="R2577" s="26">
        <f>Q2577*G2577</f>
        <v/>
      </c>
      <c r="S2577" s="26">
        <f>IFERROR(VLOOKUP(E2577*1,Tabla[#All],8,0),0)</f>
        <v/>
      </c>
      <c r="T2577" s="26">
        <f>S2577*G2577</f>
        <v/>
      </c>
      <c r="U2577" s="26">
        <f>R2577-T2577</f>
        <v/>
      </c>
      <c r="V2577" s="26">
        <f>U2577-L2577</f>
        <v/>
      </c>
    </row>
    <row r="2578">
      <c r="A2578" s="11" t="n">
        <v>46228</v>
      </c>
      <c r="B2578" s="1" t="n">
        <v>20088</v>
      </c>
      <c r="C2578" s="1" t="inlineStr">
        <is>
          <t>022</t>
        </is>
      </c>
      <c r="D2578" s="1" t="inlineStr">
        <is>
          <t xml:space="preserve">84777 </t>
        </is>
      </c>
      <c r="E2578" s="1" t="inlineStr">
        <is>
          <t xml:space="preserve">30232284       </t>
        </is>
      </c>
      <c r="F2578" s="5" t="inlineStr">
        <is>
          <t>INFINITY NADO TROMPO DE BATALLA - METAL C/PUNTA DE</t>
        </is>
      </c>
      <c r="G2578" t="n">
        <v>1</v>
      </c>
      <c r="H2578" s="7" t="n">
        <v>34.9</v>
      </c>
      <c r="I2578" s="7" t="n">
        <v>0</v>
      </c>
      <c r="J2578" s="7" t="n">
        <v>0</v>
      </c>
      <c r="K2578" s="9" t="n">
        <v>0</v>
      </c>
      <c r="L2578" s="10" t="n">
        <v>20.71</v>
      </c>
      <c r="M2578" s="10" t="n">
        <v>1.43</v>
      </c>
      <c r="N2578" t="inlineStr">
        <is>
          <t>1</t>
        </is>
      </c>
      <c r="O2578" t="inlineStr">
        <is>
          <t>16</t>
        </is>
      </c>
      <c r="P2578" t="inlineStr">
        <is>
          <t xml:space="preserve">47248   </t>
        </is>
      </c>
      <c r="Q2578" s="26" t="n">
        <v>29.6</v>
      </c>
      <c r="R2578" s="26">
        <f>Q2578*G2578</f>
        <v/>
      </c>
      <c r="S2578" s="26">
        <f>IFERROR(VLOOKUP(E2578*1,Tabla[#All],8,0),0)</f>
        <v/>
      </c>
      <c r="T2578" s="26">
        <f>S2578*G2578</f>
        <v/>
      </c>
      <c r="U2578" s="26">
        <f>R2578-T2578</f>
        <v/>
      </c>
      <c r="V2578" s="26">
        <f>U2578-L2578</f>
        <v/>
      </c>
    </row>
    <row r="2579">
      <c r="A2579" s="11" t="n">
        <v>46228</v>
      </c>
      <c r="B2579" s="1" t="n">
        <v>20088</v>
      </c>
      <c r="C2579" s="1" t="inlineStr">
        <is>
          <t>023</t>
        </is>
      </c>
      <c r="D2579" s="1" t="inlineStr">
        <is>
          <t>127906</t>
        </is>
      </c>
      <c r="E2579" s="1" t="inlineStr">
        <is>
          <t xml:space="preserve">28194770       </t>
        </is>
      </c>
      <c r="F2579" s="5" t="inlineStr">
        <is>
          <t>AUTOS DE METAL 3 TEAMSTERZ EN BLISTER</t>
        </is>
      </c>
      <c r="G2579" t="n">
        <v>1</v>
      </c>
      <c r="H2579" s="7" t="n">
        <v>6.9</v>
      </c>
      <c r="I2579" s="7" t="n">
        <v>0</v>
      </c>
      <c r="J2579" s="7" t="n">
        <v>0</v>
      </c>
      <c r="K2579" s="9" t="n">
        <v>0</v>
      </c>
      <c r="L2579" s="10" t="n">
        <v>4.1</v>
      </c>
      <c r="M2579" s="10" t="n">
        <v>1.43</v>
      </c>
      <c r="N2579" t="inlineStr">
        <is>
          <t>1</t>
        </is>
      </c>
      <c r="O2579" t="inlineStr">
        <is>
          <t xml:space="preserve">2 </t>
        </is>
      </c>
      <c r="P2579" t="inlineStr">
        <is>
          <t xml:space="preserve">242181  </t>
        </is>
      </c>
      <c r="Q2579" s="26" t="n">
        <v>4.09</v>
      </c>
      <c r="R2579" s="26">
        <f>Q2579*G2579</f>
        <v/>
      </c>
      <c r="S2579" s="26">
        <f>IFERROR(VLOOKUP(E2579*1,Tabla[#All],8,0),0)</f>
        <v/>
      </c>
      <c r="T2579" s="26">
        <f>S2579*G2579</f>
        <v/>
      </c>
      <c r="U2579" s="26">
        <f>R2579-T2579</f>
        <v/>
      </c>
      <c r="V2579" s="26">
        <f>U2579-L2579</f>
        <v/>
      </c>
    </row>
    <row r="2580">
      <c r="A2580" s="11" t="n">
        <v>46228</v>
      </c>
      <c r="B2580" s="1" t="n">
        <v>20088</v>
      </c>
      <c r="C2580" s="1" t="inlineStr">
        <is>
          <t>023</t>
        </is>
      </c>
      <c r="D2580" s="1" t="inlineStr">
        <is>
          <t>127952</t>
        </is>
      </c>
      <c r="E2580" s="1" t="inlineStr">
        <is>
          <t xml:space="preserve">30232284       </t>
        </is>
      </c>
      <c r="F2580" s="5" t="inlineStr">
        <is>
          <t>INFINITY NADO TROMPO DE BATALLA - METAL C/PUNTA DE</t>
        </is>
      </c>
      <c r="G2580" t="n">
        <v>1</v>
      </c>
      <c r="H2580" s="7" t="n">
        <v>34.9</v>
      </c>
      <c r="I2580" s="7" t="n">
        <v>0</v>
      </c>
      <c r="J2580" s="7" t="n">
        <v>0</v>
      </c>
      <c r="K2580" s="9" t="n">
        <v>0</v>
      </c>
      <c r="L2580" s="10" t="n">
        <v>20.71</v>
      </c>
      <c r="M2580" s="10" t="n">
        <v>1.43</v>
      </c>
      <c r="N2580" t="inlineStr">
        <is>
          <t>1</t>
        </is>
      </c>
      <c r="O2580" t="inlineStr">
        <is>
          <t xml:space="preserve">2 </t>
        </is>
      </c>
      <c r="P2580" t="inlineStr">
        <is>
          <t xml:space="preserve">242181  </t>
        </is>
      </c>
      <c r="Q2580" s="26" t="n">
        <v>29.6</v>
      </c>
      <c r="R2580" s="26">
        <f>Q2580*G2580</f>
        <v/>
      </c>
      <c r="S2580" s="26">
        <f>IFERROR(VLOOKUP(E2580*1,Tabla[#All],8,0),0)</f>
        <v/>
      </c>
      <c r="T2580" s="26">
        <f>S2580*G2580</f>
        <v/>
      </c>
      <c r="U2580" s="26">
        <f>R2580-T2580</f>
        <v/>
      </c>
      <c r="V2580" s="26">
        <f>U2580-L2580</f>
        <v/>
      </c>
    </row>
    <row r="2581">
      <c r="A2581" s="11" t="n">
        <v>46228</v>
      </c>
      <c r="B2581" s="1" t="n">
        <v>20088</v>
      </c>
      <c r="C2581" s="1" t="inlineStr">
        <is>
          <t>034</t>
        </is>
      </c>
      <c r="D2581" s="1" t="inlineStr">
        <is>
          <t xml:space="preserve">16668 </t>
        </is>
      </c>
      <c r="E2581" s="1" t="inlineStr">
        <is>
          <t xml:space="preserve">28194770       </t>
        </is>
      </c>
      <c r="F2581" s="5" t="inlineStr">
        <is>
          <t>AUTOS DE METAL 3 TEAMSTERZ EN BLISTER</t>
        </is>
      </c>
      <c r="G2581" t="n">
        <v>1</v>
      </c>
      <c r="H2581" s="7" t="n">
        <v>6.9</v>
      </c>
      <c r="I2581" s="7" t="n">
        <v>0.6899999999999999</v>
      </c>
      <c r="J2581" s="7" t="n">
        <v>0</v>
      </c>
      <c r="K2581" s="9" t="n">
        <v>0.6899999999999999</v>
      </c>
      <c r="L2581" s="10" t="n">
        <v>3.68</v>
      </c>
      <c r="M2581" s="10" t="n">
        <v>1.43</v>
      </c>
      <c r="N2581" t="inlineStr">
        <is>
          <t>1</t>
        </is>
      </c>
      <c r="O2581" t="inlineStr">
        <is>
          <t xml:space="preserve">3 </t>
        </is>
      </c>
      <c r="P2581" t="inlineStr">
        <is>
          <t xml:space="preserve">241571  </t>
        </is>
      </c>
      <c r="Q2581" s="26" t="n">
        <v>4.09</v>
      </c>
      <c r="R2581" s="26">
        <f>Q2581*G2581</f>
        <v/>
      </c>
      <c r="S2581" s="26">
        <f>IFERROR(VLOOKUP(E2581*1,Tabla[#All],8,0),0)</f>
        <v/>
      </c>
      <c r="T2581" s="26">
        <f>S2581*G2581</f>
        <v/>
      </c>
      <c r="U2581" s="26">
        <f>R2581-T2581</f>
        <v/>
      </c>
      <c r="V2581" s="26">
        <f>U2581-L2581</f>
        <v/>
      </c>
    </row>
    <row r="2582">
      <c r="A2582" s="11" t="n">
        <v>46228</v>
      </c>
      <c r="B2582" s="1" t="n">
        <v>20088</v>
      </c>
      <c r="C2582" s="1" t="inlineStr">
        <is>
          <t>034</t>
        </is>
      </c>
      <c r="D2582" s="1" t="inlineStr">
        <is>
          <t xml:space="preserve">16668 </t>
        </is>
      </c>
      <c r="E2582" s="1" t="inlineStr">
        <is>
          <t xml:space="preserve">28194770       </t>
        </is>
      </c>
      <c r="F2582" s="5" t="inlineStr">
        <is>
          <t>AUTOS DE METAL 3 TEAMSTERZ EN BLISTER</t>
        </is>
      </c>
      <c r="G2582" t="n">
        <v>1</v>
      </c>
      <c r="H2582" s="7" t="n">
        <v>6.9</v>
      </c>
      <c r="I2582" s="7" t="n">
        <v>0.6899999999999999</v>
      </c>
      <c r="J2582" s="7" t="n">
        <v>0</v>
      </c>
      <c r="K2582" s="9" t="n">
        <v>0.6899999999999999</v>
      </c>
      <c r="L2582" s="10" t="n">
        <v>3.68</v>
      </c>
      <c r="M2582" s="10" t="n">
        <v>1.43</v>
      </c>
      <c r="N2582" t="inlineStr">
        <is>
          <t>1</t>
        </is>
      </c>
      <c r="O2582" t="inlineStr">
        <is>
          <t xml:space="preserve">3 </t>
        </is>
      </c>
      <c r="P2582" t="inlineStr">
        <is>
          <t xml:space="preserve">241571  </t>
        </is>
      </c>
      <c r="Q2582" s="26" t="n">
        <v>4.09</v>
      </c>
      <c r="R2582" s="26">
        <f>Q2582*G2582</f>
        <v/>
      </c>
      <c r="S2582" s="26">
        <f>IFERROR(VLOOKUP(E2582*1,Tabla[#All],8,0),0)</f>
        <v/>
      </c>
      <c r="T2582" s="26">
        <f>S2582*G2582</f>
        <v/>
      </c>
      <c r="U2582" s="26">
        <f>R2582-T2582</f>
        <v/>
      </c>
      <c r="V2582" s="26">
        <f>U2582-L2582</f>
        <v/>
      </c>
    </row>
    <row r="2583">
      <c r="A2583" s="11" t="n">
        <v>46228</v>
      </c>
      <c r="B2583" s="1" t="n">
        <v>20088</v>
      </c>
      <c r="C2583" s="1" t="inlineStr">
        <is>
          <t>034</t>
        </is>
      </c>
      <c r="D2583" s="1" t="inlineStr">
        <is>
          <t xml:space="preserve">16668 </t>
        </is>
      </c>
      <c r="E2583" s="1" t="inlineStr">
        <is>
          <t xml:space="preserve">28194770       </t>
        </is>
      </c>
      <c r="F2583" s="5" t="inlineStr">
        <is>
          <t>AUTOS DE METAL 3 TEAMSTERZ EN BLISTER</t>
        </is>
      </c>
      <c r="G2583" t="n">
        <v>1</v>
      </c>
      <c r="H2583" s="7" t="n">
        <v>6.9</v>
      </c>
      <c r="I2583" s="7" t="n">
        <v>0.6899999999999999</v>
      </c>
      <c r="J2583" s="7" t="n">
        <v>0</v>
      </c>
      <c r="K2583" s="9" t="n">
        <v>0.6899999999999999</v>
      </c>
      <c r="L2583" s="10" t="n">
        <v>3.68</v>
      </c>
      <c r="M2583" s="10" t="n">
        <v>1.43</v>
      </c>
      <c r="N2583" t="inlineStr">
        <is>
          <t>1</t>
        </is>
      </c>
      <c r="O2583" t="inlineStr">
        <is>
          <t xml:space="preserve">3 </t>
        </is>
      </c>
      <c r="P2583" t="inlineStr">
        <is>
          <t xml:space="preserve">241571  </t>
        </is>
      </c>
      <c r="Q2583" s="26" t="n">
        <v>4.09</v>
      </c>
      <c r="R2583" s="26">
        <f>Q2583*G2583</f>
        <v/>
      </c>
      <c r="S2583" s="26">
        <f>IFERROR(VLOOKUP(E2583*1,Tabla[#All],8,0),0)</f>
        <v/>
      </c>
      <c r="T2583" s="26">
        <f>S2583*G2583</f>
        <v/>
      </c>
      <c r="U2583" s="26">
        <f>R2583-T2583</f>
        <v/>
      </c>
      <c r="V2583" s="26">
        <f>U2583-L2583</f>
        <v/>
      </c>
    </row>
    <row r="2584">
      <c r="A2584" s="11" t="n">
        <v>46228</v>
      </c>
      <c r="B2584" s="1" t="n">
        <v>20088</v>
      </c>
      <c r="C2584" s="1" t="inlineStr">
        <is>
          <t>523</t>
        </is>
      </c>
      <c r="D2584" s="1" t="inlineStr">
        <is>
          <t xml:space="preserve">3733  </t>
        </is>
      </c>
      <c r="E2584" s="1" t="inlineStr">
        <is>
          <t xml:space="preserve">30141766       </t>
        </is>
      </c>
      <c r="F2584" s="5" t="inlineStr">
        <is>
          <t>TMZ BEAST MACHINES AUTOS DE METAL BLISTER X 1</t>
        </is>
      </c>
      <c r="G2584" t="n">
        <v>1</v>
      </c>
      <c r="H2584" s="7" t="n">
        <v>7.9</v>
      </c>
      <c r="I2584" s="7" t="n">
        <v>0</v>
      </c>
      <c r="J2584" s="7" t="n">
        <v>0</v>
      </c>
      <c r="K2584" s="9" t="n">
        <v>0</v>
      </c>
      <c r="L2584" s="10" t="n">
        <v>4.68</v>
      </c>
      <c r="M2584" s="10" t="n">
        <v>1.43</v>
      </c>
      <c r="N2584" t="inlineStr">
        <is>
          <t>1</t>
        </is>
      </c>
      <c r="O2584" t="inlineStr">
        <is>
          <t>16</t>
        </is>
      </c>
      <c r="P2584" t="inlineStr">
        <is>
          <t xml:space="preserve">36199   </t>
        </is>
      </c>
      <c r="Q2584" s="26" t="n">
        <v>4.69</v>
      </c>
      <c r="R2584" s="26">
        <f>Q2584*G2584</f>
        <v/>
      </c>
      <c r="S2584" s="26">
        <f>IFERROR(VLOOKUP(E2584*1,Tabla[#All],8,0),0)</f>
        <v/>
      </c>
      <c r="T2584" s="26">
        <f>S2584*G2584</f>
        <v/>
      </c>
      <c r="U2584" s="26">
        <f>R2584-T2584</f>
        <v/>
      </c>
      <c r="V2584" s="26">
        <f>U2584-L2584</f>
        <v/>
      </c>
    </row>
    <row r="2585">
      <c r="A2585" s="11" t="n">
        <v>46228</v>
      </c>
      <c r="B2585" s="1" t="n">
        <v>20089</v>
      </c>
      <c r="C2585" s="1" t="inlineStr">
        <is>
          <t>026</t>
        </is>
      </c>
      <c r="D2585" s="1" t="inlineStr">
        <is>
          <t xml:space="preserve">88686 </t>
        </is>
      </c>
      <c r="E2585" s="1" t="inlineStr">
        <is>
          <t xml:space="preserve">28194780       </t>
        </is>
      </c>
      <c r="F2585" s="5" t="inlineStr">
        <is>
          <t>TROMPO BATALLA INFINITY NADO PLSTICO SURTIDO</t>
        </is>
      </c>
      <c r="G2585" t="n">
        <v>1</v>
      </c>
      <c r="H2585" s="7" t="n">
        <v>19.9</v>
      </c>
      <c r="I2585" s="7" t="n">
        <v>0</v>
      </c>
      <c r="J2585" s="7" t="n">
        <v>0</v>
      </c>
      <c r="K2585" s="9" t="n">
        <v>0</v>
      </c>
      <c r="L2585" s="10" t="n">
        <v>11.8</v>
      </c>
      <c r="M2585" s="10" t="n">
        <v>1.43</v>
      </c>
      <c r="N2585" t="inlineStr">
        <is>
          <t>1</t>
        </is>
      </c>
      <c r="O2585" t="inlineStr">
        <is>
          <t>16</t>
        </is>
      </c>
      <c r="P2585" t="inlineStr">
        <is>
          <t xml:space="preserve">238367  </t>
        </is>
      </c>
      <c r="Q2585" s="26" t="n">
        <v>11.81</v>
      </c>
      <c r="R2585" s="26">
        <f>Q2585*G2585</f>
        <v/>
      </c>
      <c r="S2585" s="26">
        <f>IFERROR(VLOOKUP(E2585*1,Tabla[#All],8,0),0)</f>
        <v/>
      </c>
      <c r="T2585" s="26">
        <f>S2585*G2585</f>
        <v/>
      </c>
      <c r="U2585" s="26">
        <f>R2585-T2585</f>
        <v/>
      </c>
      <c r="V2585" s="26">
        <f>U2585-L2585</f>
        <v/>
      </c>
    </row>
    <row r="2586">
      <c r="A2586" s="11" t="n">
        <v>46228</v>
      </c>
      <c r="B2586" s="1" t="n">
        <v>20089</v>
      </c>
      <c r="C2586" s="1" t="inlineStr">
        <is>
          <t>026</t>
        </is>
      </c>
      <c r="D2586" s="1" t="inlineStr">
        <is>
          <t xml:space="preserve">88702 </t>
        </is>
      </c>
      <c r="E2586" s="1" t="inlineStr">
        <is>
          <t xml:space="preserve">28194770       </t>
        </is>
      </c>
      <c r="F2586" s="5" t="inlineStr">
        <is>
          <t>AUTOS DE METAL 3 TEAMSTERZ EN BLISTER</t>
        </is>
      </c>
      <c r="G2586" t="n">
        <v>1</v>
      </c>
      <c r="H2586" s="7" t="n">
        <v>6.9</v>
      </c>
      <c r="I2586" s="7" t="n">
        <v>0</v>
      </c>
      <c r="J2586" s="7" t="n">
        <v>0</v>
      </c>
      <c r="K2586" s="9" t="n">
        <v>0</v>
      </c>
      <c r="L2586" s="10" t="n">
        <v>4.1</v>
      </c>
      <c r="M2586" s="10" t="n">
        <v>1.43</v>
      </c>
      <c r="N2586" t="inlineStr">
        <is>
          <t>1</t>
        </is>
      </c>
      <c r="O2586" t="inlineStr">
        <is>
          <t xml:space="preserve">2 </t>
        </is>
      </c>
      <c r="P2586" t="inlineStr">
        <is>
          <t xml:space="preserve">238367  </t>
        </is>
      </c>
      <c r="Q2586" s="26" t="n">
        <v>4.09</v>
      </c>
      <c r="R2586" s="26">
        <f>Q2586*G2586</f>
        <v/>
      </c>
      <c r="S2586" s="26">
        <f>IFERROR(VLOOKUP(E2586*1,Tabla[#All],8,0),0)</f>
        <v/>
      </c>
      <c r="T2586" s="26">
        <f>S2586*G2586</f>
        <v/>
      </c>
      <c r="U2586" s="26">
        <f>R2586-T2586</f>
        <v/>
      </c>
      <c r="V2586" s="26">
        <f>U2586-L2586</f>
        <v/>
      </c>
    </row>
    <row r="2587">
      <c r="A2587" s="11" t="n">
        <v>46228</v>
      </c>
      <c r="B2587" s="1" t="n">
        <v>20089</v>
      </c>
      <c r="C2587" s="1" t="inlineStr">
        <is>
          <t>026</t>
        </is>
      </c>
      <c r="D2587" s="1" t="inlineStr">
        <is>
          <t xml:space="preserve">88717 </t>
        </is>
      </c>
      <c r="E2587" s="1" t="inlineStr">
        <is>
          <t xml:space="preserve">28194770       </t>
        </is>
      </c>
      <c r="F2587" s="5" t="inlineStr">
        <is>
          <t>AUTOS DE METAL 3 TEAMSTERZ EN BLISTER</t>
        </is>
      </c>
      <c r="G2587" t="n">
        <v>1</v>
      </c>
      <c r="H2587" s="7" t="n">
        <v>6.9</v>
      </c>
      <c r="I2587" s="7" t="n">
        <v>0</v>
      </c>
      <c r="J2587" s="7" t="n">
        <v>0</v>
      </c>
      <c r="K2587" s="9" t="n">
        <v>0</v>
      </c>
      <c r="L2587" s="10" t="n">
        <v>4.1</v>
      </c>
      <c r="M2587" s="10" t="n">
        <v>1.43</v>
      </c>
      <c r="N2587" t="inlineStr">
        <is>
          <t>1</t>
        </is>
      </c>
      <c r="O2587" t="inlineStr">
        <is>
          <t>16</t>
        </is>
      </c>
      <c r="P2587" t="inlineStr">
        <is>
          <t xml:space="preserve">238367  </t>
        </is>
      </c>
      <c r="Q2587" s="26" t="n">
        <v>4.09</v>
      </c>
      <c r="R2587" s="26">
        <f>Q2587*G2587</f>
        <v/>
      </c>
      <c r="S2587" s="26">
        <f>IFERROR(VLOOKUP(E2587*1,Tabla[#All],8,0),0)</f>
        <v/>
      </c>
      <c r="T2587" s="26">
        <f>S2587*G2587</f>
        <v/>
      </c>
      <c r="U2587" s="26">
        <f>R2587-T2587</f>
        <v/>
      </c>
      <c r="V2587" s="26">
        <f>U2587-L2587</f>
        <v/>
      </c>
    </row>
    <row r="2588">
      <c r="A2588" s="11" t="n">
        <v>46228</v>
      </c>
      <c r="B2588" s="1" t="n">
        <v>20089</v>
      </c>
      <c r="C2588" s="1" t="inlineStr">
        <is>
          <t>027</t>
        </is>
      </c>
      <c r="D2588" s="1" t="inlineStr">
        <is>
          <t xml:space="preserve">16296 </t>
        </is>
      </c>
      <c r="E2588" s="1" t="inlineStr">
        <is>
          <t xml:space="preserve">28194770       </t>
        </is>
      </c>
      <c r="F2588" s="5" t="inlineStr">
        <is>
          <t>AUTOS DE METAL 3 TEAMSTERZ EN BLISTER</t>
        </is>
      </c>
      <c r="G2588" t="n">
        <v>1</v>
      </c>
      <c r="H2588" s="7" t="n">
        <v>6.9</v>
      </c>
      <c r="I2588" s="7" t="n">
        <v>0</v>
      </c>
      <c r="J2588" s="7" t="n">
        <v>0</v>
      </c>
      <c r="K2588" s="9" t="n">
        <v>0</v>
      </c>
      <c r="L2588" s="10" t="n">
        <v>4.1</v>
      </c>
      <c r="M2588" s="10" t="n">
        <v>1.43</v>
      </c>
      <c r="N2588" t="inlineStr">
        <is>
          <t>1</t>
        </is>
      </c>
      <c r="O2588" t="inlineStr">
        <is>
          <t>16</t>
        </is>
      </c>
      <c r="P2588" t="inlineStr">
        <is>
          <t xml:space="preserve">82992   </t>
        </is>
      </c>
      <c r="Q2588" s="26" t="n">
        <v>4.09</v>
      </c>
      <c r="R2588" s="26">
        <f>Q2588*G2588</f>
        <v/>
      </c>
      <c r="S2588" s="26">
        <f>IFERROR(VLOOKUP(E2588*1,Tabla[#All],8,0),0)</f>
        <v/>
      </c>
      <c r="T2588" s="26">
        <f>S2588*G2588</f>
        <v/>
      </c>
      <c r="U2588" s="26">
        <f>R2588-T2588</f>
        <v/>
      </c>
      <c r="V2588" s="26">
        <f>U2588-L2588</f>
        <v/>
      </c>
    </row>
    <row r="2589">
      <c r="A2589" s="11" t="n">
        <v>46228</v>
      </c>
      <c r="B2589" s="1" t="n">
        <v>20089</v>
      </c>
      <c r="C2589" s="1" t="inlineStr">
        <is>
          <t>027</t>
        </is>
      </c>
      <c r="D2589" s="1" t="inlineStr">
        <is>
          <t xml:space="preserve">16337 </t>
        </is>
      </c>
      <c r="E2589" s="1" t="inlineStr">
        <is>
          <t xml:space="preserve">31959957       </t>
        </is>
      </c>
      <c r="F2589" s="5" t="inlineStr">
        <is>
          <t>TEAMSTERZ PLAYSET RESCATE EN EL MAR</t>
        </is>
      </c>
      <c r="G2589" t="n">
        <v>1</v>
      </c>
      <c r="H2589" s="7" t="n">
        <v>19.9</v>
      </c>
      <c r="I2589" s="7" t="n">
        <v>0</v>
      </c>
      <c r="J2589" s="7" t="n">
        <v>0</v>
      </c>
      <c r="K2589" s="9" t="n">
        <v>0</v>
      </c>
      <c r="L2589" s="10" t="n">
        <v>11.8</v>
      </c>
      <c r="M2589" s="10" t="n">
        <v>1.43</v>
      </c>
      <c r="N2589" t="inlineStr">
        <is>
          <t>1</t>
        </is>
      </c>
      <c r="O2589" t="inlineStr">
        <is>
          <t>16</t>
        </is>
      </c>
      <c r="P2589" t="inlineStr">
        <is>
          <t xml:space="preserve">82992   </t>
        </is>
      </c>
      <c r="Q2589" s="26" t="n">
        <v>11.81</v>
      </c>
      <c r="R2589" s="26">
        <f>Q2589*G2589</f>
        <v/>
      </c>
      <c r="S2589" s="26">
        <f>IFERROR(VLOOKUP(E2589*1,Tabla[#All],8,0),0)</f>
        <v/>
      </c>
      <c r="T2589" s="26">
        <f>S2589*G2589</f>
        <v/>
      </c>
      <c r="U2589" s="26">
        <f>R2589-T2589</f>
        <v/>
      </c>
      <c r="V2589" s="26">
        <f>U2589-L2589</f>
        <v/>
      </c>
    </row>
    <row r="2590">
      <c r="A2590" s="11" t="n">
        <v>46228</v>
      </c>
      <c r="B2590" s="1" t="n">
        <v>20089</v>
      </c>
      <c r="C2590" s="1" t="inlineStr">
        <is>
          <t>862</t>
        </is>
      </c>
      <c r="D2590" s="1" t="inlineStr">
        <is>
          <t xml:space="preserve">8841  </t>
        </is>
      </c>
      <c r="E2590" s="1" t="inlineStr">
        <is>
          <t xml:space="preserve">28194768       </t>
        </is>
      </c>
      <c r="F2590" s="5" t="inlineStr">
        <is>
          <t>AUTO COLOR CHANGE TEAMSTERZ SURTIDO</t>
        </is>
      </c>
      <c r="G2590" t="n">
        <v>1</v>
      </c>
      <c r="H2590" s="7" t="n">
        <v>14.9</v>
      </c>
      <c r="I2590" s="7" t="n">
        <v>0</v>
      </c>
      <c r="J2590" s="7" t="n">
        <v>0</v>
      </c>
      <c r="K2590" s="9" t="n">
        <v>0</v>
      </c>
      <c r="L2590" s="10" t="n">
        <v>8.84</v>
      </c>
      <c r="M2590" s="10" t="n">
        <v>1.43</v>
      </c>
      <c r="N2590" t="inlineStr">
        <is>
          <t>1</t>
        </is>
      </c>
      <c r="O2590" t="inlineStr">
        <is>
          <t>16</t>
        </is>
      </c>
      <c r="P2590" t="inlineStr">
        <is>
          <t xml:space="preserve">0       </t>
        </is>
      </c>
      <c r="Q2590" s="26" t="n">
        <v>8.84</v>
      </c>
      <c r="R2590" s="26">
        <f>Q2590*G2590</f>
        <v/>
      </c>
      <c r="S2590" s="26">
        <f>IFERROR(VLOOKUP(E2590*1,Tabla[#All],8,0),0)</f>
        <v/>
      </c>
      <c r="T2590" s="26">
        <f>S2590*G2590</f>
        <v/>
      </c>
      <c r="U2590" s="26">
        <f>R2590-T2590</f>
        <v/>
      </c>
      <c r="V2590" s="26">
        <f>U2590-L2590</f>
        <v/>
      </c>
    </row>
    <row r="2591">
      <c r="A2591" s="11" t="n">
        <v>46228</v>
      </c>
      <c r="B2591" s="1" t="n">
        <v>20095</v>
      </c>
      <c r="C2591" s="1" t="inlineStr">
        <is>
          <t>043</t>
        </is>
      </c>
      <c r="D2591" s="1" t="inlineStr">
        <is>
          <t>108739</t>
        </is>
      </c>
      <c r="E2591" s="1" t="inlineStr">
        <is>
          <t xml:space="preserve">28194769       </t>
        </is>
      </c>
      <c r="F2591" s="5" t="inlineStr">
        <is>
          <t>AUTOS DE METAL 3 TEAMSTERZ PACK DE 2</t>
        </is>
      </c>
      <c r="G2591" t="n">
        <v>1</v>
      </c>
      <c r="H2591" s="7" t="n">
        <v>13.8</v>
      </c>
      <c r="I2591" s="7" t="n">
        <v>0</v>
      </c>
      <c r="J2591" s="7" t="n">
        <v>0</v>
      </c>
      <c r="K2591" s="9" t="n">
        <v>0</v>
      </c>
      <c r="L2591" s="10" t="n">
        <v>8.18</v>
      </c>
      <c r="M2591" s="10" t="n">
        <v>1.43</v>
      </c>
      <c r="N2591" t="inlineStr">
        <is>
          <t>1</t>
        </is>
      </c>
      <c r="O2591" t="inlineStr">
        <is>
          <t>16</t>
        </is>
      </c>
      <c r="P2591" t="inlineStr">
        <is>
          <t xml:space="preserve">38948   </t>
        </is>
      </c>
      <c r="Q2591" s="26" t="n">
        <v>8.19</v>
      </c>
      <c r="R2591" s="26">
        <f>Q2591*G2591</f>
        <v/>
      </c>
      <c r="S2591" s="26">
        <f>IFERROR(VLOOKUP(E2591*1,Tabla[#All],8,0),0)</f>
        <v/>
      </c>
      <c r="T2591" s="26">
        <f>S2591*G2591</f>
        <v/>
      </c>
      <c r="U2591" s="26">
        <f>R2591-T2591</f>
        <v/>
      </c>
      <c r="V2591" s="26">
        <f>U2591-L2591</f>
        <v/>
      </c>
    </row>
    <row r="2592">
      <c r="A2592" s="11" t="n">
        <v>46228</v>
      </c>
      <c r="B2592" s="1" t="n">
        <v>20095</v>
      </c>
      <c r="C2592" s="1" t="inlineStr">
        <is>
          <t>043</t>
        </is>
      </c>
      <c r="D2592" s="1" t="inlineStr">
        <is>
          <t>108755</t>
        </is>
      </c>
      <c r="E2592" s="1" t="inlineStr">
        <is>
          <t xml:space="preserve">30141766       </t>
        </is>
      </c>
      <c r="F2592" s="5" t="inlineStr">
        <is>
          <t>TMZ BEAST MACHINES AUTOS DE METAL BLISTER X 1</t>
        </is>
      </c>
      <c r="G2592" t="n">
        <v>1</v>
      </c>
      <c r="H2592" s="7" t="n">
        <v>7.9</v>
      </c>
      <c r="I2592" s="7" t="n">
        <v>0</v>
      </c>
      <c r="J2592" s="7" t="n">
        <v>0</v>
      </c>
      <c r="K2592" s="9" t="n">
        <v>0</v>
      </c>
      <c r="L2592" s="10" t="n">
        <v>4.68</v>
      </c>
      <c r="M2592" s="10" t="n">
        <v>1.43</v>
      </c>
      <c r="N2592" t="inlineStr">
        <is>
          <t>1</t>
        </is>
      </c>
      <c r="O2592" t="inlineStr">
        <is>
          <t xml:space="preserve">2 </t>
        </is>
      </c>
      <c r="P2592" t="inlineStr">
        <is>
          <t xml:space="preserve">38948   </t>
        </is>
      </c>
      <c r="Q2592" s="26" t="n">
        <v>4.69</v>
      </c>
      <c r="R2592" s="26">
        <f>Q2592*G2592</f>
        <v/>
      </c>
      <c r="S2592" s="26">
        <f>IFERROR(VLOOKUP(E2592*1,Tabla[#All],8,0),0)</f>
        <v/>
      </c>
      <c r="T2592" s="26">
        <f>S2592*G2592</f>
        <v/>
      </c>
      <c r="U2592" s="26">
        <f>R2592-T2592</f>
        <v/>
      </c>
      <c r="V2592" s="26">
        <f>U2592-L2592</f>
        <v/>
      </c>
    </row>
    <row r="2593">
      <c r="A2593" s="11" t="n">
        <v>46228</v>
      </c>
      <c r="B2593" s="1" t="n">
        <v>20095</v>
      </c>
      <c r="C2593" s="1" t="inlineStr">
        <is>
          <t>044</t>
        </is>
      </c>
      <c r="D2593" s="1" t="inlineStr">
        <is>
          <t xml:space="preserve">94536 </t>
        </is>
      </c>
      <c r="E2593" s="1" t="inlineStr">
        <is>
          <t xml:space="preserve">28194781       </t>
        </is>
      </c>
      <c r="F2593" s="5" t="inlineStr">
        <is>
          <t>TROMPO BATALLA INFINITY NADO SERIE V CLASICA SURTI</t>
        </is>
      </c>
      <c r="G2593" t="n">
        <v>1</v>
      </c>
      <c r="H2593" s="7" t="n">
        <v>39.9</v>
      </c>
      <c r="I2593" s="7" t="n">
        <v>0</v>
      </c>
      <c r="J2593" s="7" t="n">
        <v>0</v>
      </c>
      <c r="K2593" s="9" t="n">
        <v>0</v>
      </c>
      <c r="L2593" s="10" t="n">
        <v>23.67</v>
      </c>
      <c r="M2593" s="10" t="n">
        <v>1.43</v>
      </c>
      <c r="N2593" t="inlineStr">
        <is>
          <t>1</t>
        </is>
      </c>
      <c r="O2593" t="inlineStr">
        <is>
          <t>16</t>
        </is>
      </c>
      <c r="P2593" t="inlineStr">
        <is>
          <t xml:space="preserve">246365  </t>
        </is>
      </c>
      <c r="Q2593" s="26" t="n">
        <v>35.53</v>
      </c>
      <c r="R2593" s="26">
        <f>Q2593*G2593</f>
        <v/>
      </c>
      <c r="S2593" s="26">
        <f>IFERROR(VLOOKUP(E2593*1,Tabla[#All],8,0),0)</f>
        <v/>
      </c>
      <c r="T2593" s="26">
        <f>S2593*G2593</f>
        <v/>
      </c>
      <c r="U2593" s="26">
        <f>R2593-T2593</f>
        <v/>
      </c>
      <c r="V2593" s="26">
        <f>U2593-L2593</f>
        <v/>
      </c>
    </row>
    <row r="2594">
      <c r="A2594" s="11" t="n">
        <v>46228</v>
      </c>
      <c r="B2594" s="1" t="n">
        <v>20095</v>
      </c>
      <c r="C2594" s="1" t="inlineStr">
        <is>
          <t>044</t>
        </is>
      </c>
      <c r="D2594" s="1" t="inlineStr">
        <is>
          <t xml:space="preserve">94559 </t>
        </is>
      </c>
      <c r="E2594" s="1" t="inlineStr">
        <is>
          <t xml:space="preserve">28194767       </t>
        </is>
      </c>
      <c r="F2594" s="5" t="inlineStr">
        <is>
          <t>CAMIONES TEAMSTERZ DE EMERGENCIA</t>
        </is>
      </c>
      <c r="G2594" t="n">
        <v>1</v>
      </c>
      <c r="H2594" s="7" t="n">
        <v>17.9</v>
      </c>
      <c r="I2594" s="7" t="n">
        <v>0</v>
      </c>
      <c r="J2594" s="7" t="n">
        <v>0</v>
      </c>
      <c r="K2594" s="9" t="n">
        <v>0</v>
      </c>
      <c r="L2594" s="10" t="n">
        <v>10.62</v>
      </c>
      <c r="M2594" s="10" t="n">
        <v>1.43</v>
      </c>
      <c r="N2594" t="inlineStr">
        <is>
          <t>1</t>
        </is>
      </c>
      <c r="O2594" t="inlineStr">
        <is>
          <t>16</t>
        </is>
      </c>
      <c r="P2594" t="inlineStr">
        <is>
          <t xml:space="preserve">243250  </t>
        </is>
      </c>
      <c r="Q2594" s="26" t="n">
        <v>10.62</v>
      </c>
      <c r="R2594" s="26">
        <f>Q2594*G2594</f>
        <v/>
      </c>
      <c r="S2594" s="26">
        <f>IFERROR(VLOOKUP(E2594*1,Tabla[#All],8,0),0)</f>
        <v/>
      </c>
      <c r="T2594" s="26">
        <f>S2594*G2594</f>
        <v/>
      </c>
      <c r="U2594" s="26">
        <f>R2594-T2594</f>
        <v/>
      </c>
      <c r="V2594" s="26">
        <f>U2594-L2594</f>
        <v/>
      </c>
    </row>
    <row r="2595">
      <c r="A2595" s="11" t="n">
        <v>46228</v>
      </c>
      <c r="B2595" s="1" t="n">
        <v>20095</v>
      </c>
      <c r="C2595" s="1" t="inlineStr">
        <is>
          <t>044</t>
        </is>
      </c>
      <c r="D2595" s="1" t="inlineStr">
        <is>
          <t xml:space="preserve">94615 </t>
        </is>
      </c>
      <c r="E2595" s="1" t="inlineStr">
        <is>
          <t xml:space="preserve">30141766       </t>
        </is>
      </c>
      <c r="F2595" s="5" t="inlineStr">
        <is>
          <t>TMZ BEAST MACHINES AUTOS DE METAL BLISTER X 1</t>
        </is>
      </c>
      <c r="G2595" t="n">
        <v>1</v>
      </c>
      <c r="H2595" s="7" t="n">
        <v>7.9</v>
      </c>
      <c r="I2595" s="7" t="n">
        <v>0.79</v>
      </c>
      <c r="J2595" s="7" t="n">
        <v>0</v>
      </c>
      <c r="K2595" s="9" t="n">
        <v>0.79</v>
      </c>
      <c r="L2595" s="10" t="n">
        <v>4.22</v>
      </c>
      <c r="M2595" s="10" t="n">
        <v>1.43</v>
      </c>
      <c r="N2595" t="inlineStr">
        <is>
          <t>1</t>
        </is>
      </c>
      <c r="O2595" t="inlineStr">
        <is>
          <t xml:space="preserve">3 </t>
        </is>
      </c>
      <c r="P2595" t="inlineStr">
        <is>
          <t xml:space="preserve">243250  </t>
        </is>
      </c>
      <c r="Q2595" s="26" t="n">
        <v>4.69</v>
      </c>
      <c r="R2595" s="26">
        <f>Q2595*G2595</f>
        <v/>
      </c>
      <c r="S2595" s="26">
        <f>IFERROR(VLOOKUP(E2595*1,Tabla[#All],8,0),0)</f>
        <v/>
      </c>
      <c r="T2595" s="26">
        <f>S2595*G2595</f>
        <v/>
      </c>
      <c r="U2595" s="26">
        <f>R2595-T2595</f>
        <v/>
      </c>
      <c r="V2595" s="26">
        <f>U2595-L2595</f>
        <v/>
      </c>
    </row>
    <row r="2596">
      <c r="A2596" s="11" t="n">
        <v>46229</v>
      </c>
      <c r="B2596" s="1" t="n">
        <v>20021</v>
      </c>
      <c r="C2596" s="1" t="inlineStr">
        <is>
          <t>064</t>
        </is>
      </c>
      <c r="D2596" s="1" t="inlineStr">
        <is>
          <t>147140</t>
        </is>
      </c>
      <c r="E2596" s="1" t="inlineStr">
        <is>
          <t xml:space="preserve">28194769       </t>
        </is>
      </c>
      <c r="F2596" s="5" t="inlineStr">
        <is>
          <t>AUTOS DE METAL 3 TEAMSTERZ PACK DE 2</t>
        </is>
      </c>
      <c r="G2596" t="n">
        <v>1</v>
      </c>
      <c r="H2596" s="7" t="n">
        <v>13.8</v>
      </c>
      <c r="I2596" s="7" t="n">
        <v>0</v>
      </c>
      <c r="J2596" s="7" t="n">
        <v>0</v>
      </c>
      <c r="K2596" s="9" t="n">
        <v>0</v>
      </c>
      <c r="L2596" s="10" t="n">
        <v>8.18</v>
      </c>
      <c r="M2596" s="10" t="n">
        <v>1.43</v>
      </c>
      <c r="N2596" t="inlineStr">
        <is>
          <t>1</t>
        </is>
      </c>
      <c r="O2596" t="inlineStr">
        <is>
          <t>16</t>
        </is>
      </c>
      <c r="P2596" t="inlineStr">
        <is>
          <t xml:space="preserve">22701   </t>
        </is>
      </c>
      <c r="Q2596" s="26" t="n">
        <v>8.19</v>
      </c>
      <c r="R2596" s="26">
        <f>Q2596*G2596</f>
        <v/>
      </c>
      <c r="S2596" s="26">
        <f>IFERROR(VLOOKUP(E2596*1,Tabla[#All],8,0),0)</f>
        <v/>
      </c>
      <c r="T2596" s="26">
        <f>S2596*G2596</f>
        <v/>
      </c>
      <c r="U2596" s="26">
        <f>R2596-T2596</f>
        <v/>
      </c>
      <c r="V2596" s="26">
        <f>U2596-L2596</f>
        <v/>
      </c>
    </row>
    <row r="2597">
      <c r="A2597" s="11" t="n">
        <v>46229</v>
      </c>
      <c r="B2597" s="1" t="n">
        <v>20021</v>
      </c>
      <c r="C2597" s="1" t="inlineStr">
        <is>
          <t>082</t>
        </is>
      </c>
      <c r="D2597" s="1" t="inlineStr">
        <is>
          <t>270611</t>
        </is>
      </c>
      <c r="E2597" s="1" t="inlineStr">
        <is>
          <t xml:space="preserve">28194770       </t>
        </is>
      </c>
      <c r="F2597" s="5" t="inlineStr">
        <is>
          <t>AUTOS DE METAL 3 TEAMSTERZ EN BLISTER</t>
        </is>
      </c>
      <c r="G2597" t="n">
        <v>1</v>
      </c>
      <c r="H2597" s="7" t="n">
        <v>6.9</v>
      </c>
      <c r="I2597" s="7" t="n">
        <v>0</v>
      </c>
      <c r="J2597" s="7" t="n">
        <v>0</v>
      </c>
      <c r="K2597" s="9" t="n">
        <v>0</v>
      </c>
      <c r="L2597" s="10" t="n">
        <v>4.1</v>
      </c>
      <c r="M2597" s="10" t="n">
        <v>1.43</v>
      </c>
      <c r="N2597" t="inlineStr">
        <is>
          <t>1</t>
        </is>
      </c>
      <c r="O2597" t="inlineStr">
        <is>
          <t xml:space="preserve">2 </t>
        </is>
      </c>
      <c r="P2597" t="inlineStr">
        <is>
          <t xml:space="preserve">12097   </t>
        </is>
      </c>
      <c r="Q2597" s="26" t="n">
        <v>4.09</v>
      </c>
      <c r="R2597" s="26">
        <f>Q2597*G2597</f>
        <v/>
      </c>
      <c r="S2597" s="26">
        <f>IFERROR(VLOOKUP(E2597*1,Tabla[#All],8,0),0)</f>
        <v/>
      </c>
      <c r="T2597" s="26">
        <f>S2597*G2597</f>
        <v/>
      </c>
      <c r="U2597" s="26">
        <f>R2597-T2597</f>
        <v/>
      </c>
      <c r="V2597" s="26">
        <f>U2597-L2597</f>
        <v/>
      </c>
    </row>
    <row r="2598">
      <c r="A2598" s="11" t="n">
        <v>46229</v>
      </c>
      <c r="B2598" s="1" t="n">
        <v>20021</v>
      </c>
      <c r="C2598" s="1" t="inlineStr">
        <is>
          <t>082</t>
        </is>
      </c>
      <c r="D2598" s="1" t="inlineStr">
        <is>
          <t>270611</t>
        </is>
      </c>
      <c r="E2598" s="1" t="inlineStr">
        <is>
          <t xml:space="preserve">28194770       </t>
        </is>
      </c>
      <c r="F2598" s="5" t="inlineStr">
        <is>
          <t>AUTOS DE METAL 3 TEAMSTERZ EN BLISTER</t>
        </is>
      </c>
      <c r="G2598" t="n">
        <v>1</v>
      </c>
      <c r="H2598" s="7" t="n">
        <v>6.9</v>
      </c>
      <c r="I2598" s="7" t="n">
        <v>0</v>
      </c>
      <c r="J2598" s="7" t="n">
        <v>0</v>
      </c>
      <c r="K2598" s="9" t="n">
        <v>0</v>
      </c>
      <c r="L2598" s="10" t="n">
        <v>4.1</v>
      </c>
      <c r="M2598" s="10" t="n">
        <v>1.43</v>
      </c>
      <c r="N2598" t="inlineStr">
        <is>
          <t>1</t>
        </is>
      </c>
      <c r="O2598" t="inlineStr">
        <is>
          <t xml:space="preserve">2 </t>
        </is>
      </c>
      <c r="P2598" t="inlineStr">
        <is>
          <t xml:space="preserve">12097   </t>
        </is>
      </c>
      <c r="Q2598" s="26" t="n">
        <v>4.09</v>
      </c>
      <c r="R2598" s="26">
        <f>Q2598*G2598</f>
        <v/>
      </c>
      <c r="S2598" s="26">
        <f>IFERROR(VLOOKUP(E2598*1,Tabla[#All],8,0),0)</f>
        <v/>
      </c>
      <c r="T2598" s="26">
        <f>S2598*G2598</f>
        <v/>
      </c>
      <c r="U2598" s="26">
        <f>R2598-T2598</f>
        <v/>
      </c>
      <c r="V2598" s="26">
        <f>U2598-L2598</f>
        <v/>
      </c>
    </row>
    <row r="2599">
      <c r="A2599" s="11" t="n">
        <v>46229</v>
      </c>
      <c r="B2599" s="1" t="n">
        <v>20021</v>
      </c>
      <c r="C2599" s="1" t="inlineStr">
        <is>
          <t>082</t>
        </is>
      </c>
      <c r="D2599" s="1" t="inlineStr">
        <is>
          <t>270664</t>
        </is>
      </c>
      <c r="E2599" s="1" t="inlineStr">
        <is>
          <t xml:space="preserve">28194770       </t>
        </is>
      </c>
      <c r="F2599" s="5" t="inlineStr">
        <is>
          <t>AUTOS DE METAL 3 TEAMSTERZ EN BLISTER</t>
        </is>
      </c>
      <c r="G2599" t="n">
        <v>1</v>
      </c>
      <c r="H2599" s="7" t="n">
        <v>6.9</v>
      </c>
      <c r="I2599" s="7" t="n">
        <v>0</v>
      </c>
      <c r="J2599" s="7" t="n">
        <v>0</v>
      </c>
      <c r="K2599" s="9" t="n">
        <v>0</v>
      </c>
      <c r="L2599" s="10" t="n">
        <v>4.1</v>
      </c>
      <c r="M2599" s="10" t="n">
        <v>1.43</v>
      </c>
      <c r="N2599" t="inlineStr">
        <is>
          <t>1</t>
        </is>
      </c>
      <c r="O2599" t="inlineStr">
        <is>
          <t>16</t>
        </is>
      </c>
      <c r="P2599" t="inlineStr">
        <is>
          <t xml:space="preserve">12097   </t>
        </is>
      </c>
      <c r="Q2599" s="26" t="n">
        <v>4.09</v>
      </c>
      <c r="R2599" s="26">
        <f>Q2599*G2599</f>
        <v/>
      </c>
      <c r="S2599" s="26">
        <f>IFERROR(VLOOKUP(E2599*1,Tabla[#All],8,0),0)</f>
        <v/>
      </c>
      <c r="T2599" s="26">
        <f>S2599*G2599</f>
        <v/>
      </c>
      <c r="U2599" s="26">
        <f>R2599-T2599</f>
        <v/>
      </c>
      <c r="V2599" s="26">
        <f>U2599-L2599</f>
        <v/>
      </c>
    </row>
    <row r="2600">
      <c r="A2600" s="11" t="n">
        <v>46229</v>
      </c>
      <c r="B2600" s="1" t="n">
        <v>20023</v>
      </c>
      <c r="C2600" s="1" t="inlineStr">
        <is>
          <t>150</t>
        </is>
      </c>
      <c r="D2600" s="1" t="inlineStr">
        <is>
          <t>179075</t>
        </is>
      </c>
      <c r="E2600" s="1" t="inlineStr">
        <is>
          <t xml:space="preserve">28194769       </t>
        </is>
      </c>
      <c r="F2600" s="5" t="inlineStr">
        <is>
          <t>AUTOS DE METAL 3 TEAMSTERZ PACK DE 2</t>
        </is>
      </c>
      <c r="G2600" t="n">
        <v>1</v>
      </c>
      <c r="H2600" s="7" t="n">
        <v>13.8</v>
      </c>
      <c r="I2600" s="7" t="n">
        <v>1.38</v>
      </c>
      <c r="J2600" s="7" t="n">
        <v>0</v>
      </c>
      <c r="K2600" s="9" t="n">
        <v>1.38</v>
      </c>
      <c r="L2600" s="10" t="n">
        <v>7.37</v>
      </c>
      <c r="M2600" s="10" t="n">
        <v>1.43</v>
      </c>
      <c r="N2600" t="inlineStr">
        <is>
          <t>1</t>
        </is>
      </c>
      <c r="O2600" t="inlineStr">
        <is>
          <t xml:space="preserve">3 </t>
        </is>
      </c>
      <c r="P2600" t="inlineStr">
        <is>
          <t xml:space="preserve">23508   </t>
        </is>
      </c>
      <c r="Q2600" s="26" t="n">
        <v>8.19</v>
      </c>
      <c r="R2600" s="26">
        <f>Q2600*G2600</f>
        <v/>
      </c>
      <c r="S2600" s="26">
        <f>IFERROR(VLOOKUP(E2600*1,Tabla[#All],8,0),0)</f>
        <v/>
      </c>
      <c r="T2600" s="26">
        <f>S2600*G2600</f>
        <v/>
      </c>
      <c r="U2600" s="26">
        <f>R2600-T2600</f>
        <v/>
      </c>
      <c r="V2600" s="26">
        <f>U2600-L2600</f>
        <v/>
      </c>
    </row>
    <row r="2601">
      <c r="A2601" s="11" t="n">
        <v>46229</v>
      </c>
      <c r="B2601" s="1" t="n">
        <v>20023</v>
      </c>
      <c r="C2601" s="1" t="inlineStr">
        <is>
          <t>150</t>
        </is>
      </c>
      <c r="D2601" s="1" t="inlineStr">
        <is>
          <t>179075</t>
        </is>
      </c>
      <c r="E2601" s="1" t="inlineStr">
        <is>
          <t xml:space="preserve">28194769       </t>
        </is>
      </c>
      <c r="F2601" s="5" t="inlineStr">
        <is>
          <t>AUTOS DE METAL 3 TEAMSTERZ PACK DE 2</t>
        </is>
      </c>
      <c r="G2601" t="n">
        <v>1</v>
      </c>
      <c r="H2601" s="7" t="n">
        <v>13.8</v>
      </c>
      <c r="I2601" s="7" t="n">
        <v>1.38</v>
      </c>
      <c r="J2601" s="7" t="n">
        <v>0</v>
      </c>
      <c r="K2601" s="9" t="n">
        <v>1.38</v>
      </c>
      <c r="L2601" s="10" t="n">
        <v>7.37</v>
      </c>
      <c r="M2601" s="10" t="n">
        <v>1.43</v>
      </c>
      <c r="N2601" t="inlineStr">
        <is>
          <t>1</t>
        </is>
      </c>
      <c r="O2601" t="inlineStr">
        <is>
          <t xml:space="preserve">3 </t>
        </is>
      </c>
      <c r="P2601" t="inlineStr">
        <is>
          <t xml:space="preserve">23508   </t>
        </is>
      </c>
      <c r="Q2601" s="26" t="n">
        <v>8.19</v>
      </c>
      <c r="R2601" s="26">
        <f>Q2601*G2601</f>
        <v/>
      </c>
      <c r="S2601" s="26">
        <f>IFERROR(VLOOKUP(E2601*1,Tabla[#All],8,0),0)</f>
        <v/>
      </c>
      <c r="T2601" s="26">
        <f>S2601*G2601</f>
        <v/>
      </c>
      <c r="U2601" s="26">
        <f>R2601-T2601</f>
        <v/>
      </c>
      <c r="V2601" s="26">
        <f>U2601-L2601</f>
        <v/>
      </c>
    </row>
    <row r="2602">
      <c r="A2602" s="11" t="n">
        <v>46229</v>
      </c>
      <c r="B2602" s="1" t="n">
        <v>20024</v>
      </c>
      <c r="C2602" s="1" t="inlineStr">
        <is>
          <t>093</t>
        </is>
      </c>
      <c r="D2602" s="1" t="inlineStr">
        <is>
          <t>426370</t>
        </is>
      </c>
      <c r="E2602" s="1" t="inlineStr">
        <is>
          <t xml:space="preserve">33483120       </t>
        </is>
      </c>
      <c r="F2602" s="5" t="inlineStr">
        <is>
          <t>HOT WHEELS 2 EN 1 AUTO DE CARRERAS + GUARDA AUTOS</t>
        </is>
      </c>
      <c r="G2602" t="n">
        <v>1</v>
      </c>
      <c r="H2602" s="7" t="n">
        <v>79.90000000000001</v>
      </c>
      <c r="I2602" s="7" t="n">
        <v>0</v>
      </c>
      <c r="J2602" s="7" t="n">
        <v>0</v>
      </c>
      <c r="K2602" s="9" t="n">
        <v>0</v>
      </c>
      <c r="L2602" s="10" t="n">
        <v>47.4</v>
      </c>
      <c r="M2602" s="10" t="n">
        <v>1.43</v>
      </c>
      <c r="N2602" t="inlineStr">
        <is>
          <t>1</t>
        </is>
      </c>
      <c r="O2602" t="inlineStr">
        <is>
          <t xml:space="preserve">2 </t>
        </is>
      </c>
      <c r="P2602" t="inlineStr">
        <is>
          <t xml:space="preserve">57844   </t>
        </is>
      </c>
      <c r="Q2602" s="26" t="n">
        <v>47.4</v>
      </c>
      <c r="R2602" s="26">
        <f>Q2602*G2602</f>
        <v/>
      </c>
      <c r="S2602" s="26">
        <f>IFERROR(VLOOKUP(E2602*1,Tabla[#All],8,0),0)</f>
        <v/>
      </c>
      <c r="T2602" s="26">
        <f>S2602*G2602</f>
        <v/>
      </c>
      <c r="U2602" s="26">
        <f>R2602-T2602</f>
        <v/>
      </c>
      <c r="V2602" s="26">
        <f>U2602-L2602</f>
        <v/>
      </c>
    </row>
    <row r="2603">
      <c r="A2603" s="11" t="n">
        <v>46229</v>
      </c>
      <c r="B2603" s="1" t="n">
        <v>20024</v>
      </c>
      <c r="C2603" s="1" t="inlineStr">
        <is>
          <t>093</t>
        </is>
      </c>
      <c r="D2603" s="1" t="inlineStr">
        <is>
          <t>426377</t>
        </is>
      </c>
      <c r="E2603" s="1" t="inlineStr">
        <is>
          <t xml:space="preserve">34840553       </t>
        </is>
      </c>
      <c r="F2603" s="5" t="inlineStr">
        <is>
          <t>TMZ AUTO LUZ Y SONIDO ESQUELET DINO T-REX</t>
        </is>
      </c>
      <c r="G2603" t="n">
        <v>1</v>
      </c>
      <c r="H2603" s="7" t="n">
        <v>79.90000000000001</v>
      </c>
      <c r="I2603" s="7" t="n">
        <v>0</v>
      </c>
      <c r="J2603" s="7" t="n">
        <v>0</v>
      </c>
      <c r="K2603" s="9" t="n">
        <v>0</v>
      </c>
      <c r="L2603" s="10" t="n">
        <v>47.4</v>
      </c>
      <c r="M2603" s="10" t="n">
        <v>1.43</v>
      </c>
      <c r="N2603" t="inlineStr">
        <is>
          <t>1</t>
        </is>
      </c>
      <c r="O2603" t="inlineStr">
        <is>
          <t xml:space="preserve">2 </t>
        </is>
      </c>
      <c r="P2603" t="inlineStr">
        <is>
          <t xml:space="preserve">57844   </t>
        </is>
      </c>
      <c r="Q2603" s="26" t="n">
        <v>47.4</v>
      </c>
      <c r="R2603" s="26">
        <f>Q2603*G2603</f>
        <v/>
      </c>
      <c r="S2603" s="26">
        <f>IFERROR(VLOOKUP(E2603*1,Tabla[#All],8,0),0)</f>
        <v/>
      </c>
      <c r="T2603" s="26">
        <f>S2603*G2603</f>
        <v/>
      </c>
      <c r="U2603" s="26">
        <f>R2603-T2603</f>
        <v/>
      </c>
      <c r="V2603" s="26">
        <f>U2603-L2603</f>
        <v/>
      </c>
    </row>
    <row r="2604">
      <c r="A2604" s="11" t="n">
        <v>46229</v>
      </c>
      <c r="B2604" s="1" t="n">
        <v>20024</v>
      </c>
      <c r="C2604" s="1" t="inlineStr">
        <is>
          <t>093</t>
        </is>
      </c>
      <c r="D2604" s="1" t="inlineStr">
        <is>
          <t>426386</t>
        </is>
      </c>
      <c r="E2604" s="1" t="inlineStr">
        <is>
          <t xml:space="preserve">30141781       </t>
        </is>
      </c>
      <c r="F2604" s="5" t="inlineStr">
        <is>
          <t>RELOJ DIGITAL POLLY POCKET</t>
        </is>
      </c>
      <c r="G2604" t="n">
        <v>1</v>
      </c>
      <c r="H2604" s="7" t="n">
        <v>18.9</v>
      </c>
      <c r="I2604" s="7" t="n">
        <v>0</v>
      </c>
      <c r="J2604" s="7" t="n">
        <v>0</v>
      </c>
      <c r="K2604" s="9" t="n">
        <v>0</v>
      </c>
      <c r="L2604" s="10" t="n">
        <v>11.21</v>
      </c>
      <c r="M2604" s="10" t="n">
        <v>1.43</v>
      </c>
      <c r="N2604" t="inlineStr">
        <is>
          <t>1</t>
        </is>
      </c>
      <c r="O2604" t="inlineStr">
        <is>
          <t xml:space="preserve">6 </t>
        </is>
      </c>
      <c r="P2604" t="inlineStr">
        <is>
          <t xml:space="preserve">57844   </t>
        </is>
      </c>
      <c r="Q2604" s="26" t="n">
        <v>11.21</v>
      </c>
      <c r="R2604" s="26">
        <f>Q2604*G2604</f>
        <v/>
      </c>
      <c r="S2604" s="26">
        <f>IFERROR(VLOOKUP(E2604*1,Tabla[#All],8,0),0)</f>
        <v/>
      </c>
      <c r="T2604" s="26">
        <f>S2604*G2604</f>
        <v/>
      </c>
      <c r="U2604" s="26">
        <f>R2604-T2604</f>
        <v/>
      </c>
      <c r="V2604" s="26">
        <f>U2604-L2604</f>
        <v/>
      </c>
    </row>
    <row r="2605">
      <c r="A2605" s="11" t="n">
        <v>46229</v>
      </c>
      <c r="B2605" s="1" t="n">
        <v>20024</v>
      </c>
      <c r="C2605" s="1" t="inlineStr">
        <is>
          <t>095</t>
        </is>
      </c>
      <c r="D2605" s="1" t="inlineStr">
        <is>
          <t>262669</t>
        </is>
      </c>
      <c r="E2605" s="1" t="inlineStr">
        <is>
          <t xml:space="preserve">28194769       </t>
        </is>
      </c>
      <c r="F2605" s="5" t="inlineStr">
        <is>
          <t>AUTOS DE METAL 3 TEAMSTERZ PACK DE 2</t>
        </is>
      </c>
      <c r="G2605" t="n">
        <v>1</v>
      </c>
      <c r="H2605" s="7" t="n">
        <v>13.8</v>
      </c>
      <c r="I2605" s="7" t="n">
        <v>0</v>
      </c>
      <c r="J2605" s="7" t="n">
        <v>0</v>
      </c>
      <c r="K2605" s="9" t="n">
        <v>0</v>
      </c>
      <c r="L2605" s="10" t="n">
        <v>8.18</v>
      </c>
      <c r="M2605" s="10" t="n">
        <v>1.43</v>
      </c>
      <c r="N2605" t="inlineStr">
        <is>
          <t>1</t>
        </is>
      </c>
      <c r="O2605" t="inlineStr">
        <is>
          <t xml:space="preserve">2 </t>
        </is>
      </c>
      <c r="P2605" t="inlineStr">
        <is>
          <t xml:space="preserve">203142  </t>
        </is>
      </c>
      <c r="Q2605" s="26" t="n">
        <v>8.19</v>
      </c>
      <c r="R2605" s="26">
        <f>Q2605*G2605</f>
        <v/>
      </c>
      <c r="S2605" s="26">
        <f>IFERROR(VLOOKUP(E2605*1,Tabla[#All],8,0),0)</f>
        <v/>
      </c>
      <c r="T2605" s="26">
        <f>S2605*G2605</f>
        <v/>
      </c>
      <c r="U2605" s="26">
        <f>R2605-T2605</f>
        <v/>
      </c>
      <c r="V2605" s="26">
        <f>U2605-L2605</f>
        <v/>
      </c>
    </row>
    <row r="2606">
      <c r="A2606" s="11" t="n">
        <v>46229</v>
      </c>
      <c r="B2606" s="1" t="n">
        <v>20024</v>
      </c>
      <c r="C2606" s="1" t="inlineStr">
        <is>
          <t>095</t>
        </is>
      </c>
      <c r="D2606" s="1" t="inlineStr">
        <is>
          <t>262669</t>
        </is>
      </c>
      <c r="E2606" s="1" t="inlineStr">
        <is>
          <t xml:space="preserve">32457099       </t>
        </is>
      </c>
      <c r="F2606" s="5" t="inlineStr">
        <is>
          <t>TMZ BEAST MACHINES MONSTER JAWS A FRICCION BLISTER</t>
        </is>
      </c>
      <c r="G2606" t="n">
        <v>1</v>
      </c>
      <c r="H2606" s="7" t="n">
        <v>17.9</v>
      </c>
      <c r="I2606" s="7" t="n">
        <v>0</v>
      </c>
      <c r="J2606" s="7" t="n">
        <v>0</v>
      </c>
      <c r="K2606" s="9" t="n">
        <v>0</v>
      </c>
      <c r="L2606" s="10" t="n">
        <v>10.62</v>
      </c>
      <c r="M2606" s="10" t="n">
        <v>1.43</v>
      </c>
      <c r="N2606" t="inlineStr">
        <is>
          <t>1</t>
        </is>
      </c>
      <c r="O2606" t="inlineStr">
        <is>
          <t xml:space="preserve">2 </t>
        </is>
      </c>
      <c r="P2606" t="inlineStr">
        <is>
          <t xml:space="preserve">203142  </t>
        </is>
      </c>
      <c r="Q2606" s="26" t="n">
        <v>11.81</v>
      </c>
      <c r="R2606" s="26">
        <f>Q2606*G2606</f>
        <v/>
      </c>
      <c r="S2606" s="26">
        <f>IFERROR(VLOOKUP(E2606*1,Tabla[#All],8,0),0)</f>
        <v/>
      </c>
      <c r="T2606" s="26">
        <f>S2606*G2606</f>
        <v/>
      </c>
      <c r="U2606" s="26">
        <f>R2606-T2606</f>
        <v/>
      </c>
      <c r="V2606" s="26">
        <f>U2606-L2606</f>
        <v/>
      </c>
    </row>
    <row r="2607">
      <c r="A2607" s="11" t="n">
        <v>46229</v>
      </c>
      <c r="B2607" s="1" t="n">
        <v>20024</v>
      </c>
      <c r="C2607" s="1" t="inlineStr">
        <is>
          <t>118</t>
        </is>
      </c>
      <c r="D2607" s="1" t="inlineStr">
        <is>
          <t>256458</t>
        </is>
      </c>
      <c r="E2607" s="1" t="inlineStr">
        <is>
          <t xml:space="preserve">28194770       </t>
        </is>
      </c>
      <c r="F2607" s="5" t="inlineStr">
        <is>
          <t>AUTOS DE METAL 3 TEAMSTERZ EN BLISTER</t>
        </is>
      </c>
      <c r="G2607" t="n">
        <v>1</v>
      </c>
      <c r="H2607" s="7" t="n">
        <v>6.9</v>
      </c>
      <c r="I2607" s="7" t="n">
        <v>0</v>
      </c>
      <c r="J2607" s="7" t="n">
        <v>0</v>
      </c>
      <c r="K2607" s="9" t="n">
        <v>0</v>
      </c>
      <c r="L2607" s="10" t="n">
        <v>4.1</v>
      </c>
      <c r="M2607" s="10" t="n">
        <v>1.43</v>
      </c>
      <c r="N2607" t="inlineStr">
        <is>
          <t>1</t>
        </is>
      </c>
      <c r="O2607" t="inlineStr">
        <is>
          <t xml:space="preserve">2 </t>
        </is>
      </c>
      <c r="P2607" t="inlineStr">
        <is>
          <t xml:space="preserve">47217   </t>
        </is>
      </c>
      <c r="Q2607" s="26" t="n">
        <v>4.09</v>
      </c>
      <c r="R2607" s="26">
        <f>Q2607*G2607</f>
        <v/>
      </c>
      <c r="S2607" s="26">
        <f>IFERROR(VLOOKUP(E2607*1,Tabla[#All],8,0),0)</f>
        <v/>
      </c>
      <c r="T2607" s="26">
        <f>S2607*G2607</f>
        <v/>
      </c>
      <c r="U2607" s="26">
        <f>R2607-T2607</f>
        <v/>
      </c>
      <c r="V2607" s="26">
        <f>U2607-L2607</f>
        <v/>
      </c>
    </row>
    <row r="2608">
      <c r="A2608" s="11" t="n">
        <v>46229</v>
      </c>
      <c r="B2608" s="1" t="n">
        <v>20024</v>
      </c>
      <c r="C2608" s="1" t="inlineStr">
        <is>
          <t>533</t>
        </is>
      </c>
      <c r="D2608" s="1" t="inlineStr">
        <is>
          <t xml:space="preserve">8166  </t>
        </is>
      </c>
      <c r="E2608" s="1" t="inlineStr">
        <is>
          <t xml:space="preserve">30141766       </t>
        </is>
      </c>
      <c r="F2608" s="5" t="inlineStr">
        <is>
          <t>TMZ BEAST MACHINES AUTOS DE METAL BLISTER X 1</t>
        </is>
      </c>
      <c r="G2608" t="n">
        <v>1</v>
      </c>
      <c r="H2608" s="7" t="n">
        <v>7.9</v>
      </c>
      <c r="I2608" s="7" t="n">
        <v>0</v>
      </c>
      <c r="J2608" s="7" t="n">
        <v>0</v>
      </c>
      <c r="K2608" s="9" t="n">
        <v>0</v>
      </c>
      <c r="L2608" s="10" t="n">
        <v>4.68</v>
      </c>
      <c r="M2608" s="10" t="n">
        <v>1.43</v>
      </c>
      <c r="N2608" t="inlineStr">
        <is>
          <t>1</t>
        </is>
      </c>
      <c r="O2608" t="inlineStr">
        <is>
          <t>16</t>
        </is>
      </c>
      <c r="P2608" t="inlineStr">
        <is>
          <t xml:space="preserve">250067  </t>
        </is>
      </c>
      <c r="Q2608" s="26" t="n">
        <v>4.69</v>
      </c>
      <c r="R2608" s="26">
        <f>Q2608*G2608</f>
        <v/>
      </c>
      <c r="S2608" s="26">
        <f>IFERROR(VLOOKUP(E2608*1,Tabla[#All],8,0),0)</f>
        <v/>
      </c>
      <c r="T2608" s="26">
        <f>S2608*G2608</f>
        <v/>
      </c>
      <c r="U2608" s="26">
        <f>R2608-T2608</f>
        <v/>
      </c>
      <c r="V2608" s="26">
        <f>U2608-L2608</f>
        <v/>
      </c>
    </row>
    <row r="2609">
      <c r="A2609" s="11" t="n">
        <v>46229</v>
      </c>
      <c r="B2609" s="1" t="n">
        <v>20024</v>
      </c>
      <c r="C2609" s="1" t="inlineStr">
        <is>
          <t>803</t>
        </is>
      </c>
      <c r="D2609" s="1" t="inlineStr">
        <is>
          <t xml:space="preserve">7597  </t>
        </is>
      </c>
      <c r="E2609" s="1" t="inlineStr">
        <is>
          <t xml:space="preserve">32457099       </t>
        </is>
      </c>
      <c r="F2609" s="5" t="inlineStr">
        <is>
          <t>TMZ BEAST MACHINES MONSTER JAWS A FRICCION BLISTER</t>
        </is>
      </c>
      <c r="G2609" t="n">
        <v>1</v>
      </c>
      <c r="H2609" s="7" t="n">
        <v>17.9</v>
      </c>
      <c r="I2609" s="7" t="n">
        <v>0</v>
      </c>
      <c r="J2609" s="7" t="n">
        <v>0</v>
      </c>
      <c r="K2609" s="9" t="n">
        <v>0</v>
      </c>
      <c r="L2609" s="10" t="n">
        <v>10.62</v>
      </c>
      <c r="M2609" s="10" t="n">
        <v>1.43</v>
      </c>
      <c r="N2609" t="inlineStr">
        <is>
          <t>1</t>
        </is>
      </c>
      <c r="O2609" t="inlineStr">
        <is>
          <t>16</t>
        </is>
      </c>
      <c r="P2609" t="inlineStr">
        <is>
          <t xml:space="preserve">0       </t>
        </is>
      </c>
      <c r="Q2609" s="26" t="n">
        <v>11.81</v>
      </c>
      <c r="R2609" s="26">
        <f>Q2609*G2609</f>
        <v/>
      </c>
      <c r="S2609" s="26">
        <f>IFERROR(VLOOKUP(E2609*1,Tabla[#All],8,0),0)</f>
        <v/>
      </c>
      <c r="T2609" s="26">
        <f>S2609*G2609</f>
        <v/>
      </c>
      <c r="U2609" s="26">
        <f>R2609-T2609</f>
        <v/>
      </c>
      <c r="V2609" s="26">
        <f>U2609-L2609</f>
        <v/>
      </c>
    </row>
    <row r="2610">
      <c r="A2610" s="11" t="n">
        <v>46229</v>
      </c>
      <c r="B2610" s="1" t="n">
        <v>20025</v>
      </c>
      <c r="C2610" s="1" t="inlineStr">
        <is>
          <t>130</t>
        </is>
      </c>
      <c r="D2610" s="1" t="inlineStr">
        <is>
          <t>100946</t>
        </is>
      </c>
      <c r="E2610" s="1" t="inlineStr">
        <is>
          <t xml:space="preserve">28194770       </t>
        </is>
      </c>
      <c r="F2610" s="5" t="inlineStr">
        <is>
          <t>AUTOS DE METAL 3 TEAMSTERZ EN BLISTER</t>
        </is>
      </c>
      <c r="G2610" t="n">
        <v>1</v>
      </c>
      <c r="H2610" s="7" t="n">
        <v>6.9</v>
      </c>
      <c r="I2610" s="7" t="n">
        <v>0</v>
      </c>
      <c r="J2610" s="7" t="n">
        <v>0</v>
      </c>
      <c r="K2610" s="9" t="n">
        <v>0</v>
      </c>
      <c r="L2610" s="10" t="n">
        <v>4.1</v>
      </c>
      <c r="M2610" s="10" t="n">
        <v>1.43</v>
      </c>
      <c r="N2610" t="inlineStr">
        <is>
          <t>1</t>
        </is>
      </c>
      <c r="O2610" t="inlineStr">
        <is>
          <t>16</t>
        </is>
      </c>
      <c r="P2610" t="inlineStr">
        <is>
          <t xml:space="preserve">39591   </t>
        </is>
      </c>
      <c r="Q2610" s="26" t="n">
        <v>4.09</v>
      </c>
      <c r="R2610" s="26">
        <f>Q2610*G2610</f>
        <v/>
      </c>
      <c r="S2610" s="26">
        <f>IFERROR(VLOOKUP(E2610*1,Tabla[#All],8,0),0)</f>
        <v/>
      </c>
      <c r="T2610" s="26">
        <f>S2610*G2610</f>
        <v/>
      </c>
      <c r="U2610" s="26">
        <f>R2610-T2610</f>
        <v/>
      </c>
      <c r="V2610" s="26">
        <f>U2610-L2610</f>
        <v/>
      </c>
    </row>
    <row r="2611">
      <c r="A2611" s="11" t="n">
        <v>46229</v>
      </c>
      <c r="B2611" s="1" t="n">
        <v>20028</v>
      </c>
      <c r="C2611" s="1" t="inlineStr">
        <is>
          <t>021</t>
        </is>
      </c>
      <c r="D2611" s="1" t="inlineStr">
        <is>
          <t>186694</t>
        </is>
      </c>
      <c r="E2611" s="1" t="inlineStr">
        <is>
          <t xml:space="preserve">28194766       </t>
        </is>
      </c>
      <c r="F2611" s="5" t="inlineStr">
        <is>
          <t>CAMIONES TEAMSTERZ DE CIUDAD</t>
        </is>
      </c>
      <c r="G2611" t="n">
        <v>1</v>
      </c>
      <c r="H2611" s="7" t="n">
        <v>17.9</v>
      </c>
      <c r="I2611" s="7" t="n">
        <v>0</v>
      </c>
      <c r="J2611" s="7" t="n">
        <v>0</v>
      </c>
      <c r="K2611" s="9" t="n">
        <v>0</v>
      </c>
      <c r="L2611" s="10" t="n">
        <v>10.62</v>
      </c>
      <c r="M2611" s="10" t="n">
        <v>1.43</v>
      </c>
      <c r="N2611" t="inlineStr">
        <is>
          <t>1</t>
        </is>
      </c>
      <c r="O2611" t="inlineStr">
        <is>
          <t>16</t>
        </is>
      </c>
      <c r="P2611" t="inlineStr">
        <is>
          <t xml:space="preserve">23741   </t>
        </is>
      </c>
      <c r="Q2611" s="26" t="n">
        <v>10.62</v>
      </c>
      <c r="R2611" s="26">
        <f>Q2611*G2611</f>
        <v/>
      </c>
      <c r="S2611" s="26">
        <f>IFERROR(VLOOKUP(E2611*1,Tabla[#All],8,0),0)</f>
        <v/>
      </c>
      <c r="T2611" s="26">
        <f>S2611*G2611</f>
        <v/>
      </c>
      <c r="U2611" s="26">
        <f>R2611-T2611</f>
        <v/>
      </c>
      <c r="V2611" s="26">
        <f>U2611-L2611</f>
        <v/>
      </c>
    </row>
    <row r="2612">
      <c r="A2612" s="11" t="n">
        <v>46229</v>
      </c>
      <c r="B2612" s="1" t="n">
        <v>20030</v>
      </c>
      <c r="C2612" s="1" t="inlineStr">
        <is>
          <t>077</t>
        </is>
      </c>
      <c r="D2612" s="1" t="inlineStr">
        <is>
          <t>232978</t>
        </is>
      </c>
      <c r="E2612" s="1" t="inlineStr">
        <is>
          <t xml:space="preserve">28194770       </t>
        </is>
      </c>
      <c r="F2612" s="5" t="inlineStr">
        <is>
          <t>AUTOS DE METAL 3 TEAMSTERZ EN BLISTER</t>
        </is>
      </c>
      <c r="G2612" t="n">
        <v>1</v>
      </c>
      <c r="H2612" s="7" t="n">
        <v>6.9</v>
      </c>
      <c r="I2612" s="7" t="n">
        <v>0.6899999999999999</v>
      </c>
      <c r="J2612" s="7" t="n">
        <v>0</v>
      </c>
      <c r="K2612" s="9" t="n">
        <v>0.6899999999999999</v>
      </c>
      <c r="L2612" s="10" t="n">
        <v>3.68</v>
      </c>
      <c r="M2612" s="10" t="n">
        <v>1.43</v>
      </c>
      <c r="N2612" t="inlineStr">
        <is>
          <t>1</t>
        </is>
      </c>
      <c r="O2612" t="inlineStr">
        <is>
          <t xml:space="preserve">3 </t>
        </is>
      </c>
      <c r="P2612" t="inlineStr">
        <is>
          <t xml:space="preserve">52224   </t>
        </is>
      </c>
      <c r="Q2612" s="26" t="n">
        <v>4.09</v>
      </c>
      <c r="R2612" s="26">
        <f>Q2612*G2612</f>
        <v/>
      </c>
      <c r="S2612" s="26">
        <f>IFERROR(VLOOKUP(E2612*1,Tabla[#All],8,0),0)</f>
        <v/>
      </c>
      <c r="T2612" s="26">
        <f>S2612*G2612</f>
        <v/>
      </c>
      <c r="U2612" s="26">
        <f>R2612-T2612</f>
        <v/>
      </c>
      <c r="V2612" s="26">
        <f>U2612-L2612</f>
        <v/>
      </c>
    </row>
    <row r="2613">
      <c r="A2613" s="11" t="n">
        <v>46229</v>
      </c>
      <c r="B2613" s="1" t="n">
        <v>20030</v>
      </c>
      <c r="C2613" s="1" t="inlineStr">
        <is>
          <t>077</t>
        </is>
      </c>
      <c r="D2613" s="1" t="inlineStr">
        <is>
          <t xml:space="preserve">6880  </t>
        </is>
      </c>
      <c r="E2613" s="1" t="inlineStr">
        <is>
          <t xml:space="preserve">28194780       </t>
        </is>
      </c>
      <c r="F2613" s="5" t="inlineStr">
        <is>
          <t>TROMPO BATALLA INFINITY NADO PLSTICO SURTIDO</t>
        </is>
      </c>
      <c r="G2613" t="n">
        <v>1</v>
      </c>
      <c r="H2613" s="7" t="n">
        <v>19.9</v>
      </c>
      <c r="I2613" s="7" t="n">
        <v>0</v>
      </c>
      <c r="J2613" s="7" t="n">
        <v>0</v>
      </c>
      <c r="K2613" s="9" t="n">
        <v>0</v>
      </c>
      <c r="L2613" s="10" t="n">
        <v>11.8</v>
      </c>
      <c r="M2613" s="10" t="n">
        <v>1.43</v>
      </c>
      <c r="N2613" t="inlineStr">
        <is>
          <t>1</t>
        </is>
      </c>
      <c r="O2613" t="inlineStr">
        <is>
          <t>16</t>
        </is>
      </c>
      <c r="P2613" t="inlineStr">
        <is>
          <t xml:space="preserve">52224   </t>
        </is>
      </c>
      <c r="Q2613" s="26" t="n">
        <v>11.81</v>
      </c>
      <c r="R2613" s="26">
        <f>Q2613*G2613</f>
        <v/>
      </c>
      <c r="S2613" s="26">
        <f>IFERROR(VLOOKUP(E2613*1,Tabla[#All],8,0),0)</f>
        <v/>
      </c>
      <c r="T2613" s="26">
        <f>S2613*G2613</f>
        <v/>
      </c>
      <c r="U2613" s="26">
        <f>R2613-T2613</f>
        <v/>
      </c>
      <c r="V2613" s="26">
        <f>U2613-L2613</f>
        <v/>
      </c>
    </row>
    <row r="2614">
      <c r="A2614" s="11" t="n">
        <v>46229</v>
      </c>
      <c r="B2614" s="1" t="n">
        <v>20030</v>
      </c>
      <c r="C2614" s="1" t="inlineStr">
        <is>
          <t>077</t>
        </is>
      </c>
      <c r="D2614" s="1" t="inlineStr">
        <is>
          <t xml:space="preserve">6880  </t>
        </is>
      </c>
      <c r="E2614" s="1" t="inlineStr">
        <is>
          <t xml:space="preserve">28194780       </t>
        </is>
      </c>
      <c r="F2614" s="5" t="inlineStr">
        <is>
          <t>TROMPO BATALLA INFINITY NADO PLSTICO SURTIDO</t>
        </is>
      </c>
      <c r="G2614" t="n">
        <v>1</v>
      </c>
      <c r="H2614" s="7" t="n">
        <v>19.9</v>
      </c>
      <c r="I2614" s="7" t="n">
        <v>0</v>
      </c>
      <c r="J2614" s="7" t="n">
        <v>0</v>
      </c>
      <c r="K2614" s="9" t="n">
        <v>0</v>
      </c>
      <c r="L2614" s="10" t="n">
        <v>11.8</v>
      </c>
      <c r="M2614" s="10" t="n">
        <v>1.43</v>
      </c>
      <c r="N2614" t="inlineStr">
        <is>
          <t>1</t>
        </is>
      </c>
      <c r="O2614" t="inlineStr">
        <is>
          <t>16</t>
        </is>
      </c>
      <c r="P2614" t="inlineStr">
        <is>
          <t xml:space="preserve">52224   </t>
        </is>
      </c>
      <c r="Q2614" s="26" t="n">
        <v>11.81</v>
      </c>
      <c r="R2614" s="26">
        <f>Q2614*G2614</f>
        <v/>
      </c>
      <c r="S2614" s="26">
        <f>IFERROR(VLOOKUP(E2614*1,Tabla[#All],8,0),0)</f>
        <v/>
      </c>
      <c r="T2614" s="26">
        <f>S2614*G2614</f>
        <v/>
      </c>
      <c r="U2614" s="26">
        <f>R2614-T2614</f>
        <v/>
      </c>
      <c r="V2614" s="26">
        <f>U2614-L2614</f>
        <v/>
      </c>
    </row>
    <row r="2615">
      <c r="A2615" s="11" t="n">
        <v>46229</v>
      </c>
      <c r="B2615" s="1" t="n">
        <v>20040</v>
      </c>
      <c r="C2615" s="1" t="inlineStr">
        <is>
          <t>036</t>
        </is>
      </c>
      <c r="D2615" s="1" t="inlineStr">
        <is>
          <t>193194</t>
        </is>
      </c>
      <c r="E2615" s="1" t="inlineStr">
        <is>
          <t xml:space="preserve">29854051       </t>
        </is>
      </c>
      <c r="F2615" s="5" t="inlineStr">
        <is>
          <t>TEAMSTERZ AUTO DE METAL PACK 10 AUTOS</t>
        </is>
      </c>
      <c r="G2615" t="n">
        <v>1</v>
      </c>
      <c r="H2615" s="7" t="n">
        <v>69</v>
      </c>
      <c r="I2615" s="7" t="n">
        <v>0</v>
      </c>
      <c r="J2615" s="7" t="n">
        <v>0</v>
      </c>
      <c r="K2615" s="9" t="n">
        <v>0</v>
      </c>
      <c r="L2615" s="10" t="n">
        <v>40.93</v>
      </c>
      <c r="M2615" s="10" t="n">
        <v>1.43</v>
      </c>
      <c r="N2615" t="inlineStr">
        <is>
          <t>1</t>
        </is>
      </c>
      <c r="O2615" t="inlineStr">
        <is>
          <t>16</t>
        </is>
      </c>
      <c r="P2615" t="inlineStr">
        <is>
          <t xml:space="preserve">248914  </t>
        </is>
      </c>
      <c r="Q2615" s="26" t="n">
        <v>40.93</v>
      </c>
      <c r="R2615" s="26">
        <f>Q2615*G2615</f>
        <v/>
      </c>
      <c r="S2615" s="26">
        <f>IFERROR(VLOOKUP(E2615*1,Tabla[#All],8,0),0)</f>
        <v/>
      </c>
      <c r="T2615" s="26">
        <f>S2615*G2615</f>
        <v/>
      </c>
      <c r="U2615" s="26">
        <f>R2615-T2615</f>
        <v/>
      </c>
      <c r="V2615" s="26">
        <f>U2615-L2615</f>
        <v/>
      </c>
    </row>
    <row r="2616">
      <c r="A2616" s="11" t="n">
        <v>46229</v>
      </c>
      <c r="B2616" s="1" t="n">
        <v>20040</v>
      </c>
      <c r="C2616" s="1" t="inlineStr">
        <is>
          <t>073</t>
        </is>
      </c>
      <c r="D2616" s="1" t="inlineStr">
        <is>
          <t>255756</t>
        </is>
      </c>
      <c r="E2616" s="1" t="inlineStr">
        <is>
          <t xml:space="preserve">34840550       </t>
        </is>
      </c>
      <c r="F2616" s="5" t="inlineStr">
        <is>
          <t>TEAMSTERZ M/MOVERZ TRANSPORTA GORILA</t>
        </is>
      </c>
      <c r="G2616" t="n">
        <v>1</v>
      </c>
      <c r="H2616" s="7" t="n">
        <v>129</v>
      </c>
      <c r="I2616" s="7" t="n">
        <v>0</v>
      </c>
      <c r="J2616" s="7" t="n">
        <v>0</v>
      </c>
      <c r="K2616" s="9" t="n">
        <v>0</v>
      </c>
      <c r="L2616" s="10" t="n">
        <v>76.52</v>
      </c>
      <c r="M2616" s="10" t="n">
        <v>1.43</v>
      </c>
      <c r="N2616" t="inlineStr">
        <is>
          <t>1</t>
        </is>
      </c>
      <c r="O2616" t="inlineStr">
        <is>
          <t xml:space="preserve">2 </t>
        </is>
      </c>
      <c r="P2616" t="inlineStr">
        <is>
          <t xml:space="preserve">250039  </t>
        </is>
      </c>
      <c r="Q2616" s="26" t="n">
        <v>76.53</v>
      </c>
      <c r="R2616" s="26">
        <f>Q2616*G2616</f>
        <v/>
      </c>
      <c r="S2616" s="26">
        <f>IFERROR(VLOOKUP(E2616*1,Tabla[#All],8,0),0)</f>
        <v/>
      </c>
      <c r="T2616" s="26">
        <f>S2616*G2616</f>
        <v/>
      </c>
      <c r="U2616" s="26">
        <f>R2616-T2616</f>
        <v/>
      </c>
      <c r="V2616" s="26">
        <f>U2616-L2616</f>
        <v/>
      </c>
    </row>
    <row r="2617">
      <c r="A2617" s="11" t="n">
        <v>46229</v>
      </c>
      <c r="B2617" s="1" t="n">
        <v>20040</v>
      </c>
      <c r="C2617" s="1" t="inlineStr">
        <is>
          <t>073</t>
        </is>
      </c>
      <c r="D2617" s="1" t="inlineStr">
        <is>
          <t>255794</t>
        </is>
      </c>
      <c r="E2617" s="1" t="inlineStr">
        <is>
          <t xml:space="preserve">30232283       </t>
        </is>
      </c>
      <c r="F2617" s="5" t="inlineStr">
        <is>
          <t>INFINITY NADO PACK DE 2 TROMPOS DE BATALLA METAL</t>
        </is>
      </c>
      <c r="G2617" t="n">
        <v>1</v>
      </c>
      <c r="H2617" s="7" t="n">
        <v>59.9</v>
      </c>
      <c r="I2617" s="7" t="n">
        <v>0</v>
      </c>
      <c r="J2617" s="7" t="n">
        <v>0</v>
      </c>
      <c r="K2617" s="9" t="n">
        <v>0</v>
      </c>
      <c r="L2617" s="10" t="n">
        <v>35.53</v>
      </c>
      <c r="M2617" s="10" t="n">
        <v>1.43</v>
      </c>
      <c r="N2617" t="inlineStr">
        <is>
          <t>1</t>
        </is>
      </c>
      <c r="O2617" t="inlineStr">
        <is>
          <t>16</t>
        </is>
      </c>
      <c r="P2617" t="inlineStr">
        <is>
          <t xml:space="preserve">250039  </t>
        </is>
      </c>
      <c r="Q2617" s="26" t="n">
        <v>47.4</v>
      </c>
      <c r="R2617" s="26">
        <f>Q2617*G2617</f>
        <v/>
      </c>
      <c r="S2617" s="26">
        <f>IFERROR(VLOOKUP(E2617*1,Tabla[#All],8,0),0)</f>
        <v/>
      </c>
      <c r="T2617" s="26">
        <f>S2617*G2617</f>
        <v/>
      </c>
      <c r="U2617" s="26">
        <f>R2617-T2617</f>
        <v/>
      </c>
      <c r="V2617" s="26">
        <f>U2617-L2617</f>
        <v/>
      </c>
    </row>
    <row r="2618">
      <c r="A2618" s="11" t="n">
        <v>46229</v>
      </c>
      <c r="B2618" s="1" t="n">
        <v>20040</v>
      </c>
      <c r="C2618" s="1" t="inlineStr">
        <is>
          <t>190</t>
        </is>
      </c>
      <c r="D2618" s="1" t="inlineStr">
        <is>
          <t>369062</t>
        </is>
      </c>
      <c r="E2618" s="1" t="inlineStr">
        <is>
          <t xml:space="preserve">30141769       </t>
        </is>
      </c>
      <c r="F2618" s="5" t="inlineStr">
        <is>
          <t>TMZ BEAST MACHINES TRANSPORTE DINOSAURIO + 3 AUTOS</t>
        </is>
      </c>
      <c r="G2618" t="n">
        <v>1</v>
      </c>
      <c r="H2618" s="7" t="n">
        <v>59.9</v>
      </c>
      <c r="I2618" s="7" t="n">
        <v>0</v>
      </c>
      <c r="J2618" s="7" t="n">
        <v>0</v>
      </c>
      <c r="K2618" s="9" t="n">
        <v>0</v>
      </c>
      <c r="L2618" s="10" t="n">
        <v>35.53</v>
      </c>
      <c r="M2618" s="10" t="n">
        <v>1.43</v>
      </c>
      <c r="N2618" t="inlineStr">
        <is>
          <t>1</t>
        </is>
      </c>
      <c r="O2618" t="inlineStr">
        <is>
          <t xml:space="preserve">2 </t>
        </is>
      </c>
      <c r="P2618" t="inlineStr">
        <is>
          <t xml:space="preserve">61602   </t>
        </is>
      </c>
      <c r="Q2618" s="26" t="n">
        <v>47.4</v>
      </c>
      <c r="R2618" s="26">
        <f>Q2618*G2618</f>
        <v/>
      </c>
      <c r="S2618" s="26">
        <f>IFERROR(VLOOKUP(E2618*1,Tabla[#All],8,0),0)</f>
        <v/>
      </c>
      <c r="T2618" s="26">
        <f>S2618*G2618</f>
        <v/>
      </c>
      <c r="U2618" s="26">
        <f>R2618-T2618</f>
        <v/>
      </c>
      <c r="V2618" s="26">
        <f>U2618-L2618</f>
        <v/>
      </c>
    </row>
    <row r="2619">
      <c r="A2619" s="11" t="n">
        <v>46229</v>
      </c>
      <c r="B2619" s="1" t="n">
        <v>20041</v>
      </c>
      <c r="C2619" s="1" t="inlineStr">
        <is>
          <t>016</t>
        </is>
      </c>
      <c r="D2619" s="1" t="inlineStr">
        <is>
          <t>216960</t>
        </is>
      </c>
      <c r="E2619" s="1" t="inlineStr">
        <is>
          <t xml:space="preserve">28194770       </t>
        </is>
      </c>
      <c r="F2619" s="5" t="inlineStr">
        <is>
          <t>AUTOS DE METAL 3 TEAMSTERZ EN BLISTER</t>
        </is>
      </c>
      <c r="G2619" t="n">
        <v>1</v>
      </c>
      <c r="H2619" s="7" t="n">
        <v>6.9</v>
      </c>
      <c r="I2619" s="7" t="n">
        <v>0</v>
      </c>
      <c r="J2619" s="7" t="n">
        <v>0</v>
      </c>
      <c r="K2619" s="9" t="n">
        <v>0</v>
      </c>
      <c r="L2619" s="10" t="n">
        <v>4.1</v>
      </c>
      <c r="M2619" s="10" t="n">
        <v>1.43</v>
      </c>
      <c r="N2619" t="inlineStr">
        <is>
          <t>1</t>
        </is>
      </c>
      <c r="O2619" t="inlineStr">
        <is>
          <t xml:space="preserve">2 </t>
        </is>
      </c>
      <c r="P2619" t="inlineStr">
        <is>
          <t xml:space="preserve">91630   </t>
        </is>
      </c>
      <c r="Q2619" s="26" t="n">
        <v>4.09</v>
      </c>
      <c r="R2619" s="26">
        <f>Q2619*G2619</f>
        <v/>
      </c>
      <c r="S2619" s="26">
        <f>IFERROR(VLOOKUP(E2619*1,Tabla[#All],8,0),0)</f>
        <v/>
      </c>
      <c r="T2619" s="26">
        <f>S2619*G2619</f>
        <v/>
      </c>
      <c r="U2619" s="26">
        <f>R2619-T2619</f>
        <v/>
      </c>
      <c r="V2619" s="26">
        <f>U2619-L2619</f>
        <v/>
      </c>
    </row>
    <row r="2620">
      <c r="A2620" s="11" t="n">
        <v>46229</v>
      </c>
      <c r="B2620" s="1" t="n">
        <v>20041</v>
      </c>
      <c r="C2620" s="1" t="inlineStr">
        <is>
          <t>016</t>
        </is>
      </c>
      <c r="D2620" s="1" t="inlineStr">
        <is>
          <t>216979</t>
        </is>
      </c>
      <c r="E2620" s="1" t="inlineStr">
        <is>
          <t xml:space="preserve">28194770       </t>
        </is>
      </c>
      <c r="F2620" s="5" t="inlineStr">
        <is>
          <t>AUTOS DE METAL 3 TEAMSTERZ EN BLISTER</t>
        </is>
      </c>
      <c r="G2620" t="n">
        <v>1</v>
      </c>
      <c r="H2620" s="7" t="n">
        <v>6.9</v>
      </c>
      <c r="I2620" s="7" t="n">
        <v>0</v>
      </c>
      <c r="J2620" s="7" t="n">
        <v>0</v>
      </c>
      <c r="K2620" s="9" t="n">
        <v>0</v>
      </c>
      <c r="L2620" s="10" t="n">
        <v>4.1</v>
      </c>
      <c r="M2620" s="10" t="n">
        <v>1.43</v>
      </c>
      <c r="N2620" t="inlineStr">
        <is>
          <t>1</t>
        </is>
      </c>
      <c r="O2620" t="inlineStr">
        <is>
          <t xml:space="preserve">2 </t>
        </is>
      </c>
      <c r="P2620" t="inlineStr">
        <is>
          <t xml:space="preserve">91630   </t>
        </is>
      </c>
      <c r="Q2620" s="26" t="n">
        <v>4.09</v>
      </c>
      <c r="R2620" s="26">
        <f>Q2620*G2620</f>
        <v/>
      </c>
      <c r="S2620" s="26">
        <f>IFERROR(VLOOKUP(E2620*1,Tabla[#All],8,0),0)</f>
        <v/>
      </c>
      <c r="T2620" s="26">
        <f>S2620*G2620</f>
        <v/>
      </c>
      <c r="U2620" s="26">
        <f>R2620-T2620</f>
        <v/>
      </c>
      <c r="V2620" s="26">
        <f>U2620-L2620</f>
        <v/>
      </c>
    </row>
    <row r="2621">
      <c r="A2621" s="11" t="n">
        <v>46229</v>
      </c>
      <c r="B2621" s="1" t="n">
        <v>20041</v>
      </c>
      <c r="C2621" s="1" t="inlineStr">
        <is>
          <t>016</t>
        </is>
      </c>
      <c r="D2621" s="1" t="inlineStr">
        <is>
          <t>216979</t>
        </is>
      </c>
      <c r="E2621" s="1" t="inlineStr">
        <is>
          <t xml:space="preserve">28194770       </t>
        </is>
      </c>
      <c r="F2621" s="5" t="inlineStr">
        <is>
          <t>AUTOS DE METAL 3 TEAMSTERZ EN BLISTER</t>
        </is>
      </c>
      <c r="G2621" t="n">
        <v>1</v>
      </c>
      <c r="H2621" s="7" t="n">
        <v>6.9</v>
      </c>
      <c r="I2621" s="7" t="n">
        <v>0</v>
      </c>
      <c r="J2621" s="7" t="n">
        <v>0</v>
      </c>
      <c r="K2621" s="9" t="n">
        <v>0</v>
      </c>
      <c r="L2621" s="10" t="n">
        <v>4.1</v>
      </c>
      <c r="M2621" s="10" t="n">
        <v>1.43</v>
      </c>
      <c r="N2621" t="inlineStr">
        <is>
          <t>1</t>
        </is>
      </c>
      <c r="O2621" t="inlineStr">
        <is>
          <t xml:space="preserve">2 </t>
        </is>
      </c>
      <c r="P2621" t="inlineStr">
        <is>
          <t xml:space="preserve">91630   </t>
        </is>
      </c>
      <c r="Q2621" s="26" t="n">
        <v>4.09</v>
      </c>
      <c r="R2621" s="26">
        <f>Q2621*G2621</f>
        <v/>
      </c>
      <c r="S2621" s="26">
        <f>IFERROR(VLOOKUP(E2621*1,Tabla[#All],8,0),0)</f>
        <v/>
      </c>
      <c r="T2621" s="26">
        <f>S2621*G2621</f>
        <v/>
      </c>
      <c r="U2621" s="26">
        <f>R2621-T2621</f>
        <v/>
      </c>
      <c r="V2621" s="26">
        <f>U2621-L2621</f>
        <v/>
      </c>
    </row>
    <row r="2622">
      <c r="A2622" s="11" t="n">
        <v>46229</v>
      </c>
      <c r="B2622" s="1" t="n">
        <v>20041</v>
      </c>
      <c r="C2622" s="1" t="inlineStr">
        <is>
          <t>036</t>
        </is>
      </c>
      <c r="D2622" s="1" t="inlineStr">
        <is>
          <t>320808</t>
        </is>
      </c>
      <c r="E2622" s="1" t="inlineStr">
        <is>
          <t xml:space="preserve">28194770       </t>
        </is>
      </c>
      <c r="F2622" s="5" t="inlineStr">
        <is>
          <t>AUTOS DE METAL 3 TEAMSTERZ EN BLISTER</t>
        </is>
      </c>
      <c r="G2622" t="n">
        <v>1</v>
      </c>
      <c r="H2622" s="7" t="n">
        <v>6.9</v>
      </c>
      <c r="I2622" s="7" t="n">
        <v>0</v>
      </c>
      <c r="J2622" s="7" t="n">
        <v>0</v>
      </c>
      <c r="K2622" s="9" t="n">
        <v>0</v>
      </c>
      <c r="L2622" s="10" t="n">
        <v>4.1</v>
      </c>
      <c r="M2622" s="10" t="n">
        <v>1.43</v>
      </c>
      <c r="N2622" t="inlineStr">
        <is>
          <t>1</t>
        </is>
      </c>
      <c r="O2622" t="inlineStr">
        <is>
          <t>16</t>
        </is>
      </c>
      <c r="P2622" t="inlineStr">
        <is>
          <t xml:space="preserve">46327   </t>
        </is>
      </c>
      <c r="Q2622" s="26" t="n">
        <v>4.09</v>
      </c>
      <c r="R2622" s="26">
        <f>Q2622*G2622</f>
        <v/>
      </c>
      <c r="S2622" s="26">
        <f>IFERROR(VLOOKUP(E2622*1,Tabla[#All],8,0),0)</f>
        <v/>
      </c>
      <c r="T2622" s="26">
        <f>S2622*G2622</f>
        <v/>
      </c>
      <c r="U2622" s="26">
        <f>R2622-T2622</f>
        <v/>
      </c>
      <c r="V2622" s="26">
        <f>U2622-L2622</f>
        <v/>
      </c>
    </row>
    <row r="2623">
      <c r="A2623" s="11" t="n">
        <v>46229</v>
      </c>
      <c r="B2623" s="1" t="n">
        <v>20041</v>
      </c>
      <c r="C2623" s="1" t="inlineStr">
        <is>
          <t>507</t>
        </is>
      </c>
      <c r="D2623" s="1" t="inlineStr">
        <is>
          <t xml:space="preserve">3451  </t>
        </is>
      </c>
      <c r="E2623" s="1" t="inlineStr">
        <is>
          <t xml:space="preserve">28194770       </t>
        </is>
      </c>
      <c r="F2623" s="5" t="inlineStr">
        <is>
          <t>AUTOS DE METAL 3 TEAMSTERZ EN BLISTER</t>
        </is>
      </c>
      <c r="G2623" t="n">
        <v>2</v>
      </c>
      <c r="H2623" s="7" t="n">
        <v>13.8</v>
      </c>
      <c r="I2623" s="7" t="n">
        <v>0</v>
      </c>
      <c r="J2623" s="7" t="n">
        <v>0</v>
      </c>
      <c r="K2623" s="9" t="n">
        <v>0</v>
      </c>
      <c r="L2623" s="10" t="n">
        <v>8.18</v>
      </c>
      <c r="M2623" s="10" t="n">
        <v>1.43</v>
      </c>
      <c r="N2623" t="inlineStr">
        <is>
          <t>1</t>
        </is>
      </c>
      <c r="O2623" t="inlineStr">
        <is>
          <t>16</t>
        </is>
      </c>
      <c r="P2623" t="inlineStr">
        <is>
          <t xml:space="preserve">46346   </t>
        </is>
      </c>
      <c r="Q2623" s="26" t="n">
        <v>4.09</v>
      </c>
      <c r="R2623" s="26">
        <f>Q2623*G2623</f>
        <v/>
      </c>
      <c r="S2623" s="26">
        <f>IFERROR(VLOOKUP(E2623*1,Tabla[#All],8,0),0)</f>
        <v/>
      </c>
      <c r="T2623" s="26">
        <f>S2623*G2623</f>
        <v/>
      </c>
      <c r="U2623" s="26">
        <f>R2623-T2623</f>
        <v/>
      </c>
      <c r="V2623" s="26">
        <f>U2623-L2623</f>
        <v/>
      </c>
    </row>
    <row r="2624">
      <c r="A2624" s="11" t="n">
        <v>46229</v>
      </c>
      <c r="B2624" s="1" t="n">
        <v>20043</v>
      </c>
      <c r="C2624" s="1" t="inlineStr">
        <is>
          <t>030</t>
        </is>
      </c>
      <c r="D2624" s="1" t="inlineStr">
        <is>
          <t>258677</t>
        </is>
      </c>
      <c r="E2624" s="1" t="inlineStr">
        <is>
          <t xml:space="preserve">28194770       </t>
        </is>
      </c>
      <c r="F2624" s="5" t="inlineStr">
        <is>
          <t>AUTOS DE METAL 3 TEAMSTERZ EN BLISTER</t>
        </is>
      </c>
      <c r="G2624" t="n">
        <v>1</v>
      </c>
      <c r="H2624" s="7" t="n">
        <v>6.9</v>
      </c>
      <c r="I2624" s="7" t="n">
        <v>0.6899999999999999</v>
      </c>
      <c r="J2624" s="7" t="n">
        <v>0</v>
      </c>
      <c r="K2624" s="9" t="n">
        <v>0.6899999999999999</v>
      </c>
      <c r="L2624" s="10" t="n">
        <v>3.68</v>
      </c>
      <c r="M2624" s="10" t="n">
        <v>1.43</v>
      </c>
      <c r="N2624" t="inlineStr">
        <is>
          <t>1</t>
        </is>
      </c>
      <c r="O2624" t="inlineStr">
        <is>
          <t>16</t>
        </is>
      </c>
      <c r="P2624" t="inlineStr">
        <is>
          <t xml:space="preserve">244243  </t>
        </is>
      </c>
      <c r="Q2624" s="26" t="n">
        <v>4.09</v>
      </c>
      <c r="R2624" s="26">
        <f>Q2624*G2624</f>
        <v/>
      </c>
      <c r="S2624" s="26">
        <f>IFERROR(VLOOKUP(E2624*1,Tabla[#All],8,0),0)</f>
        <v/>
      </c>
      <c r="T2624" s="26">
        <f>S2624*G2624</f>
        <v/>
      </c>
      <c r="U2624" s="26">
        <f>R2624-T2624</f>
        <v/>
      </c>
      <c r="V2624" s="26">
        <f>U2624-L2624</f>
        <v/>
      </c>
    </row>
    <row r="2625">
      <c r="A2625" s="11" t="n">
        <v>46229</v>
      </c>
      <c r="B2625" s="1" t="n">
        <v>20043</v>
      </c>
      <c r="C2625" s="1" t="inlineStr">
        <is>
          <t>030</t>
        </is>
      </c>
      <c r="D2625" s="1" t="inlineStr">
        <is>
          <t>258677</t>
        </is>
      </c>
      <c r="E2625" s="1" t="inlineStr">
        <is>
          <t xml:space="preserve">28194770       </t>
        </is>
      </c>
      <c r="F2625" s="5" t="inlineStr">
        <is>
          <t>AUTOS DE METAL 3 TEAMSTERZ EN BLISTER</t>
        </is>
      </c>
      <c r="G2625" t="n">
        <v>1</v>
      </c>
      <c r="H2625" s="7" t="n">
        <v>6.9</v>
      </c>
      <c r="I2625" s="7" t="n">
        <v>0.6899999999999999</v>
      </c>
      <c r="J2625" s="7" t="n">
        <v>0</v>
      </c>
      <c r="K2625" s="9" t="n">
        <v>0.6899999999999999</v>
      </c>
      <c r="L2625" s="10" t="n">
        <v>3.68</v>
      </c>
      <c r="M2625" s="10" t="n">
        <v>1.43</v>
      </c>
      <c r="N2625" t="inlineStr">
        <is>
          <t>1</t>
        </is>
      </c>
      <c r="O2625" t="inlineStr">
        <is>
          <t>16</t>
        </is>
      </c>
      <c r="P2625" t="inlineStr">
        <is>
          <t xml:space="preserve">244243  </t>
        </is>
      </c>
      <c r="Q2625" s="26" t="n">
        <v>4.09</v>
      </c>
      <c r="R2625" s="26">
        <f>Q2625*G2625</f>
        <v/>
      </c>
      <c r="S2625" s="26">
        <f>IFERROR(VLOOKUP(E2625*1,Tabla[#All],8,0),0)</f>
        <v/>
      </c>
      <c r="T2625" s="26">
        <f>S2625*G2625</f>
        <v/>
      </c>
      <c r="U2625" s="26">
        <f>R2625-T2625</f>
        <v/>
      </c>
      <c r="V2625" s="26">
        <f>U2625-L2625</f>
        <v/>
      </c>
    </row>
    <row r="2626">
      <c r="A2626" s="11" t="n">
        <v>46229</v>
      </c>
      <c r="B2626" s="1" t="n">
        <v>20043</v>
      </c>
      <c r="C2626" s="1" t="inlineStr">
        <is>
          <t>051</t>
        </is>
      </c>
      <c r="D2626" s="1" t="inlineStr">
        <is>
          <t>105841</t>
        </is>
      </c>
      <c r="E2626" s="1" t="inlineStr">
        <is>
          <t xml:space="preserve">28194770       </t>
        </is>
      </c>
      <c r="F2626" s="5" t="inlineStr">
        <is>
          <t>AUTOS DE METAL 3 TEAMSTERZ EN BLISTER</t>
        </is>
      </c>
      <c r="G2626" t="n">
        <v>1</v>
      </c>
      <c r="H2626" s="7" t="n">
        <v>6.9</v>
      </c>
      <c r="I2626" s="7" t="n">
        <v>0</v>
      </c>
      <c r="J2626" s="7" t="n">
        <v>0</v>
      </c>
      <c r="K2626" s="9" t="n">
        <v>0</v>
      </c>
      <c r="L2626" s="10" t="n">
        <v>4.1</v>
      </c>
      <c r="M2626" s="10" t="n">
        <v>1.43</v>
      </c>
      <c r="N2626" t="inlineStr">
        <is>
          <t>1</t>
        </is>
      </c>
      <c r="O2626" t="inlineStr">
        <is>
          <t>16</t>
        </is>
      </c>
      <c r="P2626" t="inlineStr">
        <is>
          <t xml:space="preserve">52184   </t>
        </is>
      </c>
      <c r="Q2626" s="26" t="n">
        <v>4.09</v>
      </c>
      <c r="R2626" s="26">
        <f>Q2626*G2626</f>
        <v/>
      </c>
      <c r="S2626" s="26">
        <f>IFERROR(VLOOKUP(E2626*1,Tabla[#All],8,0),0)</f>
        <v/>
      </c>
      <c r="T2626" s="26">
        <f>S2626*G2626</f>
        <v/>
      </c>
      <c r="U2626" s="26">
        <f>R2626-T2626</f>
        <v/>
      </c>
      <c r="V2626" s="26">
        <f>U2626-L2626</f>
        <v/>
      </c>
    </row>
    <row r="2627">
      <c r="A2627" s="11" t="n">
        <v>46229</v>
      </c>
      <c r="B2627" s="1" t="n">
        <v>20043</v>
      </c>
      <c r="C2627" s="1" t="inlineStr">
        <is>
          <t>059</t>
        </is>
      </c>
      <c r="D2627" s="1" t="inlineStr">
        <is>
          <t>151124</t>
        </is>
      </c>
      <c r="E2627" s="1" t="inlineStr">
        <is>
          <t xml:space="preserve">28194770       </t>
        </is>
      </c>
      <c r="F2627" s="5" t="inlineStr">
        <is>
          <t>AUTOS DE METAL 3 TEAMSTERZ EN BLISTER</t>
        </is>
      </c>
      <c r="G2627" t="n">
        <v>1</v>
      </c>
      <c r="H2627" s="7" t="n">
        <v>6.9</v>
      </c>
      <c r="I2627" s="7" t="n">
        <v>0</v>
      </c>
      <c r="J2627" s="7" t="n">
        <v>0</v>
      </c>
      <c r="K2627" s="9" t="n">
        <v>0</v>
      </c>
      <c r="L2627" s="10" t="n">
        <v>4.1</v>
      </c>
      <c r="M2627" s="10" t="n">
        <v>1.43</v>
      </c>
      <c r="N2627" t="inlineStr">
        <is>
          <t>1</t>
        </is>
      </c>
      <c r="O2627" t="inlineStr">
        <is>
          <t xml:space="preserve">2 </t>
        </is>
      </c>
      <c r="P2627" t="inlineStr">
        <is>
          <t xml:space="preserve">55076   </t>
        </is>
      </c>
      <c r="Q2627" s="26" t="n">
        <v>4.09</v>
      </c>
      <c r="R2627" s="26">
        <f>Q2627*G2627</f>
        <v/>
      </c>
      <c r="S2627" s="26">
        <f>IFERROR(VLOOKUP(E2627*1,Tabla[#All],8,0),0)</f>
        <v/>
      </c>
      <c r="T2627" s="26">
        <f>S2627*G2627</f>
        <v/>
      </c>
      <c r="U2627" s="26">
        <f>R2627-T2627</f>
        <v/>
      </c>
      <c r="V2627" s="26">
        <f>U2627-L2627</f>
        <v/>
      </c>
    </row>
    <row r="2628">
      <c r="A2628" s="11" t="n">
        <v>46229</v>
      </c>
      <c r="B2628" s="1" t="n">
        <v>20047</v>
      </c>
      <c r="C2628" s="1" t="inlineStr">
        <is>
          <t>012</t>
        </is>
      </c>
      <c r="D2628" s="1" t="inlineStr">
        <is>
          <t>334284</t>
        </is>
      </c>
      <c r="E2628" s="1" t="inlineStr">
        <is>
          <t xml:space="preserve">28194767       </t>
        </is>
      </c>
      <c r="F2628" s="5" t="inlineStr">
        <is>
          <t>CAMIONES TEAMSTERZ DE EMERGENCIA</t>
        </is>
      </c>
      <c r="G2628" t="n">
        <v>1</v>
      </c>
      <c r="H2628" s="7" t="n">
        <v>17.9</v>
      </c>
      <c r="I2628" s="7" t="n">
        <v>0</v>
      </c>
      <c r="J2628" s="7" t="n">
        <v>0</v>
      </c>
      <c r="K2628" s="9" t="n">
        <v>0</v>
      </c>
      <c r="L2628" s="10" t="n">
        <v>10.62</v>
      </c>
      <c r="M2628" s="10" t="n">
        <v>1.43</v>
      </c>
      <c r="N2628" t="inlineStr">
        <is>
          <t>1</t>
        </is>
      </c>
      <c r="O2628" t="inlineStr">
        <is>
          <t>16</t>
        </is>
      </c>
      <c r="P2628" t="inlineStr">
        <is>
          <t xml:space="preserve">245862  </t>
        </is>
      </c>
      <c r="Q2628" s="26" t="n">
        <v>10.62</v>
      </c>
      <c r="R2628" s="26">
        <f>Q2628*G2628</f>
        <v/>
      </c>
      <c r="S2628" s="26">
        <f>IFERROR(VLOOKUP(E2628*1,Tabla[#All],8,0),0)</f>
        <v/>
      </c>
      <c r="T2628" s="26">
        <f>S2628*G2628</f>
        <v/>
      </c>
      <c r="U2628" s="26">
        <f>R2628-T2628</f>
        <v/>
      </c>
      <c r="V2628" s="26">
        <f>U2628-L2628</f>
        <v/>
      </c>
    </row>
    <row r="2629">
      <c r="A2629" s="11" t="n">
        <v>46229</v>
      </c>
      <c r="B2629" s="1" t="n">
        <v>20047</v>
      </c>
      <c r="C2629" s="1" t="inlineStr">
        <is>
          <t>015</t>
        </is>
      </c>
      <c r="D2629" s="1" t="inlineStr">
        <is>
          <t>263254</t>
        </is>
      </c>
      <c r="E2629" s="1" t="inlineStr">
        <is>
          <t xml:space="preserve">28194770       </t>
        </is>
      </c>
      <c r="F2629" s="5" t="inlineStr">
        <is>
          <t>AUTOS DE METAL 3 TEAMSTERZ EN BLISTER</t>
        </is>
      </c>
      <c r="G2629" t="n">
        <v>1</v>
      </c>
      <c r="H2629" s="7" t="n">
        <v>6.9</v>
      </c>
      <c r="I2629" s="7" t="n">
        <v>0</v>
      </c>
      <c r="J2629" s="7" t="n">
        <v>0</v>
      </c>
      <c r="K2629" s="9" t="n">
        <v>0</v>
      </c>
      <c r="L2629" s="10" t="n">
        <v>4.1</v>
      </c>
      <c r="M2629" s="10" t="n">
        <v>1.43</v>
      </c>
      <c r="N2629" t="inlineStr">
        <is>
          <t>1</t>
        </is>
      </c>
      <c r="O2629" t="inlineStr">
        <is>
          <t>16</t>
        </is>
      </c>
      <c r="P2629" t="inlineStr">
        <is>
          <t xml:space="preserve">240556  </t>
        </is>
      </c>
      <c r="Q2629" s="26" t="n">
        <v>4.09</v>
      </c>
      <c r="R2629" s="26">
        <f>Q2629*G2629</f>
        <v/>
      </c>
      <c r="S2629" s="26">
        <f>IFERROR(VLOOKUP(E2629*1,Tabla[#All],8,0),0)</f>
        <v/>
      </c>
      <c r="T2629" s="26">
        <f>S2629*G2629</f>
        <v/>
      </c>
      <c r="U2629" s="26">
        <f>R2629-T2629</f>
        <v/>
      </c>
      <c r="V2629" s="26">
        <f>U2629-L2629</f>
        <v/>
      </c>
    </row>
    <row r="2630">
      <c r="A2630" s="11" t="n">
        <v>46229</v>
      </c>
      <c r="B2630" s="1" t="n">
        <v>20047</v>
      </c>
      <c r="C2630" s="1" t="inlineStr">
        <is>
          <t>015</t>
        </is>
      </c>
      <c r="D2630" s="1" t="inlineStr">
        <is>
          <t>263283</t>
        </is>
      </c>
      <c r="E2630" s="1" t="inlineStr">
        <is>
          <t xml:space="preserve">28194770       </t>
        </is>
      </c>
      <c r="F2630" s="5" t="inlineStr">
        <is>
          <t>AUTOS DE METAL 3 TEAMSTERZ EN BLISTER</t>
        </is>
      </c>
      <c r="G2630" t="n">
        <v>1</v>
      </c>
      <c r="H2630" s="7" t="n">
        <v>6.9</v>
      </c>
      <c r="I2630" s="7" t="n">
        <v>0</v>
      </c>
      <c r="J2630" s="7" t="n">
        <v>0</v>
      </c>
      <c r="K2630" s="9" t="n">
        <v>0</v>
      </c>
      <c r="L2630" s="10" t="n">
        <v>4.1</v>
      </c>
      <c r="M2630" s="10" t="n">
        <v>1.43</v>
      </c>
      <c r="N2630" t="inlineStr">
        <is>
          <t>1</t>
        </is>
      </c>
      <c r="O2630" t="inlineStr">
        <is>
          <t xml:space="preserve">2 </t>
        </is>
      </c>
      <c r="P2630" t="inlineStr">
        <is>
          <t xml:space="preserve">248817  </t>
        </is>
      </c>
      <c r="Q2630" s="26" t="n">
        <v>4.09</v>
      </c>
      <c r="R2630" s="26">
        <f>Q2630*G2630</f>
        <v/>
      </c>
      <c r="S2630" s="26">
        <f>IFERROR(VLOOKUP(E2630*1,Tabla[#All],8,0),0)</f>
        <v/>
      </c>
      <c r="T2630" s="26">
        <f>S2630*G2630</f>
        <v/>
      </c>
      <c r="U2630" s="26">
        <f>R2630-T2630</f>
        <v/>
      </c>
      <c r="V2630" s="26">
        <f>U2630-L2630</f>
        <v/>
      </c>
    </row>
    <row r="2631">
      <c r="A2631" s="11" t="n">
        <v>46229</v>
      </c>
      <c r="B2631" s="1" t="n">
        <v>20047</v>
      </c>
      <c r="C2631" s="1" t="inlineStr">
        <is>
          <t>191</t>
        </is>
      </c>
      <c r="D2631" s="1" t="inlineStr">
        <is>
          <t>463723</t>
        </is>
      </c>
      <c r="E2631" s="1" t="inlineStr">
        <is>
          <t xml:space="preserve">28194770       </t>
        </is>
      </c>
      <c r="F2631" s="5" t="inlineStr">
        <is>
          <t>AUTOS DE METAL 3 TEAMSTERZ EN BLISTER</t>
        </is>
      </c>
      <c r="G2631" t="n">
        <v>1</v>
      </c>
      <c r="H2631" s="7" t="n">
        <v>6.9</v>
      </c>
      <c r="I2631" s="7" t="n">
        <v>0</v>
      </c>
      <c r="J2631" s="7" t="n">
        <v>0</v>
      </c>
      <c r="K2631" s="9" t="n">
        <v>0</v>
      </c>
      <c r="L2631" s="10" t="n">
        <v>4.1</v>
      </c>
      <c r="M2631" s="10" t="n">
        <v>1.43</v>
      </c>
      <c r="N2631" t="inlineStr">
        <is>
          <t>1</t>
        </is>
      </c>
      <c r="O2631" t="inlineStr">
        <is>
          <t>16</t>
        </is>
      </c>
      <c r="P2631" t="inlineStr">
        <is>
          <t xml:space="preserve">245257  </t>
        </is>
      </c>
      <c r="Q2631" s="26" t="n">
        <v>4.09</v>
      </c>
      <c r="R2631" s="26">
        <f>Q2631*G2631</f>
        <v/>
      </c>
      <c r="S2631" s="26">
        <f>IFERROR(VLOOKUP(E2631*1,Tabla[#All],8,0),0)</f>
        <v/>
      </c>
      <c r="T2631" s="26">
        <f>S2631*G2631</f>
        <v/>
      </c>
      <c r="U2631" s="26">
        <f>R2631-T2631</f>
        <v/>
      </c>
      <c r="V2631" s="26">
        <f>U2631-L2631</f>
        <v/>
      </c>
    </row>
    <row r="2632">
      <c r="A2632" s="11" t="n">
        <v>46229</v>
      </c>
      <c r="B2632" s="1" t="n">
        <v>20048</v>
      </c>
      <c r="C2632" s="1" t="inlineStr">
        <is>
          <t>017</t>
        </is>
      </c>
      <c r="D2632" s="1" t="inlineStr">
        <is>
          <t>167699</t>
        </is>
      </c>
      <c r="E2632" s="1" t="inlineStr">
        <is>
          <t xml:space="preserve">28194769       </t>
        </is>
      </c>
      <c r="F2632" s="5" t="inlineStr">
        <is>
          <t>AUTOS DE METAL 3 TEAMSTERZ PACK DE 2</t>
        </is>
      </c>
      <c r="G2632" t="n">
        <v>1</v>
      </c>
      <c r="H2632" s="7" t="n">
        <v>13.8</v>
      </c>
      <c r="I2632" s="7" t="n">
        <v>0</v>
      </c>
      <c r="J2632" s="7" t="n">
        <v>0</v>
      </c>
      <c r="K2632" s="9" t="n">
        <v>0</v>
      </c>
      <c r="L2632" s="10" t="n">
        <v>8.18</v>
      </c>
      <c r="M2632" s="10" t="n">
        <v>1.43</v>
      </c>
      <c r="N2632" t="inlineStr">
        <is>
          <t>1</t>
        </is>
      </c>
      <c r="O2632" t="inlineStr">
        <is>
          <t>16</t>
        </is>
      </c>
      <c r="P2632" t="inlineStr">
        <is>
          <t xml:space="preserve">247622  </t>
        </is>
      </c>
      <c r="Q2632" s="26" t="n">
        <v>8.19</v>
      </c>
      <c r="R2632" s="26">
        <f>Q2632*G2632</f>
        <v/>
      </c>
      <c r="S2632" s="26">
        <f>IFERROR(VLOOKUP(E2632*1,Tabla[#All],8,0),0)</f>
        <v/>
      </c>
      <c r="T2632" s="26">
        <f>S2632*G2632</f>
        <v/>
      </c>
      <c r="U2632" s="26">
        <f>R2632-T2632</f>
        <v/>
      </c>
      <c r="V2632" s="26">
        <f>U2632-L2632</f>
        <v/>
      </c>
    </row>
    <row r="2633">
      <c r="A2633" s="11" t="n">
        <v>46229</v>
      </c>
      <c r="B2633" s="1" t="n">
        <v>20048</v>
      </c>
      <c r="C2633" s="1" t="inlineStr">
        <is>
          <t>027</t>
        </is>
      </c>
      <c r="D2633" s="1" t="inlineStr">
        <is>
          <t>324248</t>
        </is>
      </c>
      <c r="E2633" s="1" t="inlineStr">
        <is>
          <t xml:space="preserve">28194770       </t>
        </is>
      </c>
      <c r="F2633" s="5" t="inlineStr">
        <is>
          <t>AUTOS DE METAL 3 TEAMSTERZ EN BLISTER</t>
        </is>
      </c>
      <c r="G2633" t="n">
        <v>1</v>
      </c>
      <c r="H2633" s="7" t="n">
        <v>6.9</v>
      </c>
      <c r="I2633" s="7" t="n">
        <v>0</v>
      </c>
      <c r="J2633" s="7" t="n">
        <v>0</v>
      </c>
      <c r="K2633" s="9" t="n">
        <v>0</v>
      </c>
      <c r="L2633" s="10" t="n">
        <v>4.1</v>
      </c>
      <c r="M2633" s="10" t="n">
        <v>1.43</v>
      </c>
      <c r="N2633" t="inlineStr">
        <is>
          <t>1</t>
        </is>
      </c>
      <c r="O2633" t="inlineStr">
        <is>
          <t xml:space="preserve">2 </t>
        </is>
      </c>
      <c r="P2633" t="inlineStr">
        <is>
          <t xml:space="preserve">249966  </t>
        </is>
      </c>
      <c r="Q2633" s="26" t="n">
        <v>4.09</v>
      </c>
      <c r="R2633" s="26">
        <f>Q2633*G2633</f>
        <v/>
      </c>
      <c r="S2633" s="26">
        <f>IFERROR(VLOOKUP(E2633*1,Tabla[#All],8,0),0)</f>
        <v/>
      </c>
      <c r="T2633" s="26">
        <f>S2633*G2633</f>
        <v/>
      </c>
      <c r="U2633" s="26">
        <f>R2633-T2633</f>
        <v/>
      </c>
      <c r="V2633" s="26">
        <f>U2633-L2633</f>
        <v/>
      </c>
    </row>
    <row r="2634">
      <c r="A2634" s="11" t="n">
        <v>46229</v>
      </c>
      <c r="B2634" s="1" t="n">
        <v>20048</v>
      </c>
      <c r="C2634" s="1" t="inlineStr">
        <is>
          <t>027</t>
        </is>
      </c>
      <c r="D2634" s="1" t="inlineStr">
        <is>
          <t>324299</t>
        </is>
      </c>
      <c r="E2634" s="1" t="inlineStr">
        <is>
          <t xml:space="preserve">28194784       </t>
        </is>
      </c>
      <c r="F2634" s="5" t="inlineStr">
        <is>
          <t>SET DE ACROBACIAS INFINITY NADO CON TROMPO</t>
        </is>
      </c>
      <c r="G2634" t="n">
        <v>1</v>
      </c>
      <c r="H2634" s="7" t="n">
        <v>139</v>
      </c>
      <c r="I2634" s="7" t="n">
        <v>0</v>
      </c>
      <c r="J2634" s="7" t="n">
        <v>0</v>
      </c>
      <c r="K2634" s="9" t="n">
        <v>0</v>
      </c>
      <c r="L2634" s="10" t="n">
        <v>82.45999999999999</v>
      </c>
      <c r="M2634" s="10" t="n">
        <v>1.43</v>
      </c>
      <c r="N2634" t="inlineStr">
        <is>
          <t>1</t>
        </is>
      </c>
      <c r="O2634" t="inlineStr">
        <is>
          <t>16</t>
        </is>
      </c>
      <c r="P2634" t="inlineStr">
        <is>
          <t xml:space="preserve">249966  </t>
        </is>
      </c>
      <c r="Q2634" s="26" t="n">
        <v>106.19</v>
      </c>
      <c r="R2634" s="26">
        <f>Q2634*G2634</f>
        <v/>
      </c>
      <c r="S2634" s="26">
        <f>IFERROR(VLOOKUP(E2634*1,Tabla[#All],8,0),0)</f>
        <v/>
      </c>
      <c r="T2634" s="26">
        <f>S2634*G2634</f>
        <v/>
      </c>
      <c r="U2634" s="26">
        <f>R2634-T2634</f>
        <v/>
      </c>
      <c r="V2634" s="26">
        <f>U2634-L2634</f>
        <v/>
      </c>
    </row>
    <row r="2635">
      <c r="A2635" s="11" t="n">
        <v>46229</v>
      </c>
      <c r="B2635" s="1" t="n">
        <v>20048</v>
      </c>
      <c r="C2635" s="1" t="inlineStr">
        <is>
          <t>027</t>
        </is>
      </c>
      <c r="D2635" s="1" t="inlineStr">
        <is>
          <t>324299</t>
        </is>
      </c>
      <c r="E2635" s="1" t="inlineStr">
        <is>
          <t xml:space="preserve">31754675       </t>
        </is>
      </c>
      <c r="F2635" s="5" t="inlineStr">
        <is>
          <t>INFINITY NADO SERIE 6 STARTER PACK - 4 MODELOS</t>
        </is>
      </c>
      <c r="G2635" t="n">
        <v>1</v>
      </c>
      <c r="H2635" s="7" t="n">
        <v>49.9</v>
      </c>
      <c r="I2635" s="7" t="n">
        <v>0</v>
      </c>
      <c r="J2635" s="7" t="n">
        <v>0</v>
      </c>
      <c r="K2635" s="9" t="n">
        <v>0</v>
      </c>
      <c r="L2635" s="10" t="n">
        <v>29.6</v>
      </c>
      <c r="M2635" s="10" t="n">
        <v>1.43</v>
      </c>
      <c r="N2635" t="inlineStr">
        <is>
          <t>1</t>
        </is>
      </c>
      <c r="O2635" t="inlineStr">
        <is>
          <t>16</t>
        </is>
      </c>
      <c r="P2635" t="inlineStr">
        <is>
          <t xml:space="preserve">249966  </t>
        </is>
      </c>
      <c r="Q2635" s="26" t="n">
        <v>41.47</v>
      </c>
      <c r="R2635" s="26">
        <f>Q2635*G2635</f>
        <v/>
      </c>
      <c r="S2635" s="26">
        <f>IFERROR(VLOOKUP(E2635*1,Tabla[#All],8,0),0)</f>
        <v/>
      </c>
      <c r="T2635" s="26">
        <f>S2635*G2635</f>
        <v/>
      </c>
      <c r="U2635" s="26">
        <f>R2635-T2635</f>
        <v/>
      </c>
      <c r="V2635" s="26">
        <f>U2635-L2635</f>
        <v/>
      </c>
    </row>
    <row r="2636">
      <c r="A2636" s="11" t="n">
        <v>46229</v>
      </c>
      <c r="B2636" s="1" t="n">
        <v>20048</v>
      </c>
      <c r="C2636" s="1" t="inlineStr">
        <is>
          <t>194</t>
        </is>
      </c>
      <c r="D2636" s="1" t="inlineStr">
        <is>
          <t>194170</t>
        </is>
      </c>
      <c r="E2636" s="1" t="inlineStr">
        <is>
          <t xml:space="preserve">28194768       </t>
        </is>
      </c>
      <c r="F2636" s="5" t="inlineStr">
        <is>
          <t>AUTO COLOR CHANGE TEAMSTERZ SURTIDO</t>
        </is>
      </c>
      <c r="G2636" t="n">
        <v>1</v>
      </c>
      <c r="H2636" s="7" t="n">
        <v>14.9</v>
      </c>
      <c r="I2636" s="7" t="n">
        <v>1.49</v>
      </c>
      <c r="J2636" s="7" t="n">
        <v>0</v>
      </c>
      <c r="K2636" s="9" t="n">
        <v>1.49</v>
      </c>
      <c r="L2636" s="10" t="n">
        <v>7.95</v>
      </c>
      <c r="M2636" s="10" t="n">
        <v>1.43</v>
      </c>
      <c r="N2636" t="inlineStr">
        <is>
          <t>1</t>
        </is>
      </c>
      <c r="O2636" t="inlineStr">
        <is>
          <t xml:space="preserve">3 </t>
        </is>
      </c>
      <c r="P2636" t="inlineStr">
        <is>
          <t xml:space="preserve">241949  </t>
        </is>
      </c>
      <c r="Q2636" s="26" t="n">
        <v>8.84</v>
      </c>
      <c r="R2636" s="26">
        <f>Q2636*G2636</f>
        <v/>
      </c>
      <c r="S2636" s="26">
        <f>IFERROR(VLOOKUP(E2636*1,Tabla[#All],8,0),0)</f>
        <v/>
      </c>
      <c r="T2636" s="26">
        <f>S2636*G2636</f>
        <v/>
      </c>
      <c r="U2636" s="26">
        <f>R2636-T2636</f>
        <v/>
      </c>
      <c r="V2636" s="26">
        <f>U2636-L2636</f>
        <v/>
      </c>
    </row>
    <row r="2637">
      <c r="A2637" s="11" t="n">
        <v>46229</v>
      </c>
      <c r="B2637" s="1" t="n">
        <v>20048</v>
      </c>
      <c r="C2637" s="1" t="inlineStr">
        <is>
          <t>194</t>
        </is>
      </c>
      <c r="D2637" s="1" t="inlineStr">
        <is>
          <t>194170</t>
        </is>
      </c>
      <c r="E2637" s="1" t="inlineStr">
        <is>
          <t xml:space="preserve">28194768       </t>
        </is>
      </c>
      <c r="F2637" s="5" t="inlineStr">
        <is>
          <t>AUTO COLOR CHANGE TEAMSTERZ SURTIDO</t>
        </is>
      </c>
      <c r="G2637" t="n">
        <v>1</v>
      </c>
      <c r="H2637" s="7" t="n">
        <v>14.9</v>
      </c>
      <c r="I2637" s="7" t="n">
        <v>1.49</v>
      </c>
      <c r="J2637" s="7" t="n">
        <v>0</v>
      </c>
      <c r="K2637" s="9" t="n">
        <v>1.49</v>
      </c>
      <c r="L2637" s="10" t="n">
        <v>7.95</v>
      </c>
      <c r="M2637" s="10" t="n">
        <v>1.43</v>
      </c>
      <c r="N2637" t="inlineStr">
        <is>
          <t>1</t>
        </is>
      </c>
      <c r="O2637" t="inlineStr">
        <is>
          <t xml:space="preserve">3 </t>
        </is>
      </c>
      <c r="P2637" t="inlineStr">
        <is>
          <t xml:space="preserve">241949  </t>
        </is>
      </c>
      <c r="Q2637" s="26" t="n">
        <v>8.84</v>
      </c>
      <c r="R2637" s="26">
        <f>Q2637*G2637</f>
        <v/>
      </c>
      <c r="S2637" s="26">
        <f>IFERROR(VLOOKUP(E2637*1,Tabla[#All],8,0),0)</f>
        <v/>
      </c>
      <c r="T2637" s="26">
        <f>S2637*G2637</f>
        <v/>
      </c>
      <c r="U2637" s="26">
        <f>R2637-T2637</f>
        <v/>
      </c>
      <c r="V2637" s="26">
        <f>U2637-L2637</f>
        <v/>
      </c>
    </row>
    <row r="2638">
      <c r="A2638" s="11" t="n">
        <v>46229</v>
      </c>
      <c r="B2638" s="1" t="n">
        <v>20048</v>
      </c>
      <c r="C2638" s="1" t="inlineStr">
        <is>
          <t>800</t>
        </is>
      </c>
      <c r="D2638" s="1" t="inlineStr">
        <is>
          <t xml:space="preserve">4994  </t>
        </is>
      </c>
      <c r="E2638" s="1" t="inlineStr">
        <is>
          <t xml:space="preserve">28194770       </t>
        </is>
      </c>
      <c r="F2638" s="5" t="inlineStr">
        <is>
          <t>AUTOS DE METAL 3 TEAMSTERZ EN BLISTER</t>
        </is>
      </c>
      <c r="G2638" t="n">
        <v>1</v>
      </c>
      <c r="H2638" s="7" t="n">
        <v>6.9</v>
      </c>
      <c r="I2638" s="7" t="n">
        <v>0</v>
      </c>
      <c r="J2638" s="7" t="n">
        <v>0</v>
      </c>
      <c r="K2638" s="9" t="n">
        <v>0</v>
      </c>
      <c r="L2638" s="10" t="n">
        <v>4.1</v>
      </c>
      <c r="M2638" s="10" t="n">
        <v>1.43</v>
      </c>
      <c r="N2638" t="inlineStr">
        <is>
          <t>1</t>
        </is>
      </c>
      <c r="O2638" t="inlineStr">
        <is>
          <t>16</t>
        </is>
      </c>
      <c r="P2638" t="inlineStr">
        <is>
          <t xml:space="preserve">252196  </t>
        </is>
      </c>
      <c r="Q2638" s="26" t="n">
        <v>4.09</v>
      </c>
      <c r="R2638" s="26">
        <f>Q2638*G2638</f>
        <v/>
      </c>
      <c r="S2638" s="26">
        <f>IFERROR(VLOOKUP(E2638*1,Tabla[#All],8,0),0)</f>
        <v/>
      </c>
      <c r="T2638" s="26">
        <f>S2638*G2638</f>
        <v/>
      </c>
      <c r="U2638" s="26">
        <f>R2638-T2638</f>
        <v/>
      </c>
      <c r="V2638" s="26">
        <f>U2638-L2638</f>
        <v/>
      </c>
    </row>
    <row r="2639">
      <c r="A2639" s="11" t="n">
        <v>46229</v>
      </c>
      <c r="B2639" s="1" t="n">
        <v>20056</v>
      </c>
      <c r="C2639" s="1" t="inlineStr">
        <is>
          <t>021</t>
        </is>
      </c>
      <c r="D2639" s="1" t="inlineStr">
        <is>
          <t xml:space="preserve">52991 </t>
        </is>
      </c>
      <c r="E2639" s="1" t="inlineStr">
        <is>
          <t xml:space="preserve">33661542       </t>
        </is>
      </c>
      <c r="F2639" s="5" t="inlineStr">
        <is>
          <t>RELOJ DIGITAL MR. POTATO SR. CARA DE PAPA</t>
        </is>
      </c>
      <c r="G2639" t="n">
        <v>1</v>
      </c>
      <c r="H2639" s="7" t="n">
        <v>18.9</v>
      </c>
      <c r="I2639" s="7" t="n">
        <v>0</v>
      </c>
      <c r="J2639" s="7" t="n">
        <v>0</v>
      </c>
      <c r="K2639" s="9" t="n">
        <v>0</v>
      </c>
      <c r="L2639" s="10" t="n">
        <v>11.21</v>
      </c>
      <c r="M2639" s="10" t="n">
        <v>1.43</v>
      </c>
      <c r="N2639" t="inlineStr">
        <is>
          <t>1</t>
        </is>
      </c>
      <c r="O2639" t="inlineStr">
        <is>
          <t xml:space="preserve">2 </t>
        </is>
      </c>
      <c r="P2639" t="inlineStr">
        <is>
          <t xml:space="preserve">247194  </t>
        </is>
      </c>
      <c r="Q2639" s="26" t="n">
        <v>11.21</v>
      </c>
      <c r="R2639" s="26">
        <f>Q2639*G2639</f>
        <v/>
      </c>
      <c r="S2639" s="26">
        <f>IFERROR(VLOOKUP(E2639*1,Tabla[#All],8,0),0)</f>
        <v/>
      </c>
      <c r="T2639" s="26">
        <f>S2639*G2639</f>
        <v/>
      </c>
      <c r="U2639" s="26">
        <f>R2639-T2639</f>
        <v/>
      </c>
      <c r="V2639" s="26">
        <f>U2639-L2639</f>
        <v/>
      </c>
    </row>
    <row r="2640">
      <c r="A2640" s="11" t="n">
        <v>46229</v>
      </c>
      <c r="B2640" s="1" t="n">
        <v>20056</v>
      </c>
      <c r="C2640" s="1" t="inlineStr">
        <is>
          <t>516</t>
        </is>
      </c>
      <c r="D2640" s="1" t="inlineStr">
        <is>
          <t xml:space="preserve">4350  </t>
        </is>
      </c>
      <c r="E2640" s="1" t="inlineStr">
        <is>
          <t xml:space="preserve">29235700       </t>
        </is>
      </c>
      <c r="F2640" s="5" t="inlineStr">
        <is>
          <t>HOT WHEELS CASE METALICO PARA GUARDAR 18 CARRITOS</t>
        </is>
      </c>
      <c r="G2640" t="n">
        <v>1</v>
      </c>
      <c r="H2640" s="7" t="n">
        <v>49.9</v>
      </c>
      <c r="I2640" s="7" t="n">
        <v>4.99</v>
      </c>
      <c r="J2640" s="7" t="n">
        <v>0</v>
      </c>
      <c r="K2640" s="9" t="n">
        <v>4.99</v>
      </c>
      <c r="L2640" s="10" t="n">
        <v>26.64</v>
      </c>
      <c r="M2640" s="10" t="n">
        <v>1.43</v>
      </c>
      <c r="N2640" t="inlineStr">
        <is>
          <t>1</t>
        </is>
      </c>
      <c r="O2640" t="inlineStr">
        <is>
          <t>16</t>
        </is>
      </c>
      <c r="P2640" t="inlineStr">
        <is>
          <t xml:space="preserve">241220  </t>
        </is>
      </c>
      <c r="Q2640" s="26" t="n">
        <v>29.6</v>
      </c>
      <c r="R2640" s="26">
        <f>Q2640*G2640</f>
        <v/>
      </c>
      <c r="S2640" s="26">
        <f>IFERROR(VLOOKUP(E2640*1,Tabla[#All],8,0),0)</f>
        <v/>
      </c>
      <c r="T2640" s="26">
        <f>S2640*G2640</f>
        <v/>
      </c>
      <c r="U2640" s="26">
        <f>R2640-T2640</f>
        <v/>
      </c>
      <c r="V2640" s="26">
        <f>U2640-L2640</f>
        <v/>
      </c>
    </row>
    <row r="2641">
      <c r="A2641" s="11" t="n">
        <v>46229</v>
      </c>
      <c r="B2641" s="1" t="n">
        <v>20057</v>
      </c>
      <c r="C2641" s="1" t="inlineStr">
        <is>
          <t>031</t>
        </is>
      </c>
      <c r="D2641" s="1" t="inlineStr">
        <is>
          <t xml:space="preserve">40145 </t>
        </is>
      </c>
      <c r="E2641" s="1" t="inlineStr">
        <is>
          <t xml:space="preserve">28194770       </t>
        </is>
      </c>
      <c r="F2641" s="5" t="inlineStr">
        <is>
          <t>AUTOS DE METAL 3 TEAMSTERZ EN BLISTER</t>
        </is>
      </c>
      <c r="G2641" t="n">
        <v>1</v>
      </c>
      <c r="H2641" s="7" t="n">
        <v>6.9</v>
      </c>
      <c r="I2641" s="7" t="n">
        <v>0</v>
      </c>
      <c r="J2641" s="7" t="n">
        <v>0</v>
      </c>
      <c r="K2641" s="9" t="n">
        <v>0</v>
      </c>
      <c r="L2641" s="10" t="n">
        <v>4.1</v>
      </c>
      <c r="M2641" s="10" t="n">
        <v>1.43</v>
      </c>
      <c r="N2641" t="inlineStr">
        <is>
          <t>1</t>
        </is>
      </c>
      <c r="O2641" t="inlineStr">
        <is>
          <t>16</t>
        </is>
      </c>
      <c r="P2641" t="inlineStr">
        <is>
          <t xml:space="preserve">242831  </t>
        </is>
      </c>
      <c r="Q2641" s="26" t="n">
        <v>4.09</v>
      </c>
      <c r="R2641" s="26">
        <f>Q2641*G2641</f>
        <v/>
      </c>
      <c r="S2641" s="26">
        <f>IFERROR(VLOOKUP(E2641*1,Tabla[#All],8,0),0)</f>
        <v/>
      </c>
      <c r="T2641" s="26">
        <f>S2641*G2641</f>
        <v/>
      </c>
      <c r="U2641" s="26">
        <f>R2641-T2641</f>
        <v/>
      </c>
      <c r="V2641" s="26">
        <f>U2641-L2641</f>
        <v/>
      </c>
    </row>
    <row r="2642">
      <c r="A2642" s="11" t="n">
        <v>46229</v>
      </c>
      <c r="B2642" s="1" t="n">
        <v>20057</v>
      </c>
      <c r="C2642" s="1" t="inlineStr">
        <is>
          <t>032</t>
        </is>
      </c>
      <c r="D2642" s="1" t="inlineStr">
        <is>
          <t xml:space="preserve">75932 </t>
        </is>
      </c>
      <c r="E2642" s="1" t="inlineStr">
        <is>
          <t xml:space="preserve">28194770       </t>
        </is>
      </c>
      <c r="F2642" s="5" t="inlineStr">
        <is>
          <t>AUTOS DE METAL 3 TEAMSTERZ EN BLISTER</t>
        </is>
      </c>
      <c r="G2642" t="n">
        <v>1</v>
      </c>
      <c r="H2642" s="7" t="n">
        <v>6.9</v>
      </c>
      <c r="I2642" s="7" t="n">
        <v>0</v>
      </c>
      <c r="J2642" s="7" t="n">
        <v>0</v>
      </c>
      <c r="K2642" s="9" t="n">
        <v>0</v>
      </c>
      <c r="L2642" s="10" t="n">
        <v>4.1</v>
      </c>
      <c r="M2642" s="10" t="n">
        <v>1.43</v>
      </c>
      <c r="N2642" t="inlineStr">
        <is>
          <t>1</t>
        </is>
      </c>
      <c r="O2642" t="inlineStr">
        <is>
          <t>16</t>
        </is>
      </c>
      <c r="P2642" t="inlineStr">
        <is>
          <t xml:space="preserve">203426  </t>
        </is>
      </c>
      <c r="Q2642" s="26" t="n">
        <v>4.09</v>
      </c>
      <c r="R2642" s="26">
        <f>Q2642*G2642</f>
        <v/>
      </c>
      <c r="S2642" s="26">
        <f>IFERROR(VLOOKUP(E2642*1,Tabla[#All],8,0),0)</f>
        <v/>
      </c>
      <c r="T2642" s="26">
        <f>S2642*G2642</f>
        <v/>
      </c>
      <c r="U2642" s="26">
        <f>R2642-T2642</f>
        <v/>
      </c>
      <c r="V2642" s="26">
        <f>U2642-L2642</f>
        <v/>
      </c>
    </row>
    <row r="2643">
      <c r="A2643" s="11" t="n">
        <v>46229</v>
      </c>
      <c r="B2643" s="1" t="n">
        <v>20057</v>
      </c>
      <c r="C2643" s="1" t="inlineStr">
        <is>
          <t>032</t>
        </is>
      </c>
      <c r="D2643" s="1" t="inlineStr">
        <is>
          <t xml:space="preserve">75959 </t>
        </is>
      </c>
      <c r="E2643" s="1" t="inlineStr">
        <is>
          <t xml:space="preserve">31675354       </t>
        </is>
      </c>
      <c r="F2643" s="5" t="inlineStr">
        <is>
          <t>NENUCO LLORON CON ACCESORIOS</t>
        </is>
      </c>
      <c r="G2643" t="n">
        <v>1</v>
      </c>
      <c r="H2643" s="7" t="n">
        <v>69.90000000000001</v>
      </c>
      <c r="I2643" s="7" t="n">
        <v>0</v>
      </c>
      <c r="J2643" s="7" t="n">
        <v>0</v>
      </c>
      <c r="K2643" s="9" t="n">
        <v>0</v>
      </c>
      <c r="L2643" s="10" t="n">
        <v>41.47</v>
      </c>
      <c r="M2643" s="10" t="n">
        <v>1.43</v>
      </c>
      <c r="N2643" t="inlineStr">
        <is>
          <t>1</t>
        </is>
      </c>
      <c r="O2643" t="inlineStr">
        <is>
          <t>16</t>
        </is>
      </c>
      <c r="P2643" t="inlineStr">
        <is>
          <t xml:space="preserve">203426  </t>
        </is>
      </c>
      <c r="Q2643" s="26" t="n">
        <v>53.33</v>
      </c>
      <c r="R2643" s="26">
        <f>Q2643*G2643</f>
        <v/>
      </c>
      <c r="S2643" s="26">
        <f>IFERROR(VLOOKUP(E2643*1,Tabla[#All],8,0),0)</f>
        <v/>
      </c>
      <c r="T2643" s="26">
        <f>S2643*G2643</f>
        <v/>
      </c>
      <c r="U2643" s="26">
        <f>R2643-T2643</f>
        <v/>
      </c>
      <c r="V2643" s="26">
        <f>U2643-L2643</f>
        <v/>
      </c>
    </row>
    <row r="2644">
      <c r="A2644" s="11" t="n">
        <v>46229</v>
      </c>
      <c r="B2644" s="1" t="n">
        <v>20057</v>
      </c>
      <c r="C2644" s="1" t="inlineStr">
        <is>
          <t>033</t>
        </is>
      </c>
      <c r="D2644" s="1" t="inlineStr">
        <is>
          <t xml:space="preserve">68334 </t>
        </is>
      </c>
      <c r="E2644" s="1" t="inlineStr">
        <is>
          <t xml:space="preserve">28194770       </t>
        </is>
      </c>
      <c r="F2644" s="5" t="inlineStr">
        <is>
          <t>AUTOS DE METAL 3 TEAMSTERZ EN BLISTER</t>
        </is>
      </c>
      <c r="G2644" t="n">
        <v>1</v>
      </c>
      <c r="H2644" s="7" t="n">
        <v>6.9</v>
      </c>
      <c r="I2644" s="7" t="n">
        <v>0</v>
      </c>
      <c r="J2644" s="7" t="n">
        <v>0</v>
      </c>
      <c r="K2644" s="9" t="n">
        <v>0</v>
      </c>
      <c r="L2644" s="10" t="n">
        <v>4.1</v>
      </c>
      <c r="M2644" s="10" t="n">
        <v>1.43</v>
      </c>
      <c r="N2644" t="inlineStr">
        <is>
          <t>1</t>
        </is>
      </c>
      <c r="O2644" t="inlineStr">
        <is>
          <t>16</t>
        </is>
      </c>
      <c r="P2644" t="inlineStr">
        <is>
          <t xml:space="preserve">238606  </t>
        </is>
      </c>
      <c r="Q2644" s="26" t="n">
        <v>4.09</v>
      </c>
      <c r="R2644" s="26">
        <f>Q2644*G2644</f>
        <v/>
      </c>
      <c r="S2644" s="26">
        <f>IFERROR(VLOOKUP(E2644*1,Tabla[#All],8,0),0)</f>
        <v/>
      </c>
      <c r="T2644" s="26">
        <f>S2644*G2644</f>
        <v/>
      </c>
      <c r="U2644" s="26">
        <f>R2644-T2644</f>
        <v/>
      </c>
      <c r="V2644" s="26">
        <f>U2644-L2644</f>
        <v/>
      </c>
    </row>
    <row r="2645">
      <c r="A2645" s="11" t="n">
        <v>46229</v>
      </c>
      <c r="B2645" s="1" t="n">
        <v>20057</v>
      </c>
      <c r="C2645" s="1" t="inlineStr">
        <is>
          <t>033</t>
        </is>
      </c>
      <c r="D2645" s="1" t="inlineStr">
        <is>
          <t xml:space="preserve">68334 </t>
        </is>
      </c>
      <c r="E2645" s="1" t="inlineStr">
        <is>
          <t xml:space="preserve">28194770       </t>
        </is>
      </c>
      <c r="F2645" s="5" t="inlineStr">
        <is>
          <t>AUTOS DE METAL 3 TEAMSTERZ EN BLISTER</t>
        </is>
      </c>
      <c r="G2645" t="n">
        <v>1</v>
      </c>
      <c r="H2645" s="7" t="n">
        <v>6.9</v>
      </c>
      <c r="I2645" s="7" t="n">
        <v>0</v>
      </c>
      <c r="J2645" s="7" t="n">
        <v>0</v>
      </c>
      <c r="K2645" s="9" t="n">
        <v>0</v>
      </c>
      <c r="L2645" s="10" t="n">
        <v>4.1</v>
      </c>
      <c r="M2645" s="10" t="n">
        <v>1.43</v>
      </c>
      <c r="N2645" t="inlineStr">
        <is>
          <t>1</t>
        </is>
      </c>
      <c r="O2645" t="inlineStr">
        <is>
          <t>16</t>
        </is>
      </c>
      <c r="P2645" t="inlineStr">
        <is>
          <t xml:space="preserve">238606  </t>
        </is>
      </c>
      <c r="Q2645" s="26" t="n">
        <v>4.09</v>
      </c>
      <c r="R2645" s="26">
        <f>Q2645*G2645</f>
        <v/>
      </c>
      <c r="S2645" s="26">
        <f>IFERROR(VLOOKUP(E2645*1,Tabla[#All],8,0),0)</f>
        <v/>
      </c>
      <c r="T2645" s="26">
        <f>S2645*G2645</f>
        <v/>
      </c>
      <c r="U2645" s="26">
        <f>R2645-T2645</f>
        <v/>
      </c>
      <c r="V2645" s="26">
        <f>U2645-L2645</f>
        <v/>
      </c>
    </row>
    <row r="2646">
      <c r="A2646" s="11" t="n">
        <v>46229</v>
      </c>
      <c r="B2646" s="1" t="n">
        <v>20057</v>
      </c>
      <c r="C2646" s="1" t="inlineStr">
        <is>
          <t>861</t>
        </is>
      </c>
      <c r="D2646" s="1" t="inlineStr">
        <is>
          <t xml:space="preserve">1111  </t>
        </is>
      </c>
      <c r="E2646" s="1" t="inlineStr">
        <is>
          <t xml:space="preserve">30232284       </t>
        </is>
      </c>
      <c r="F2646" s="5" t="inlineStr">
        <is>
          <t>INFINITY NADO TROMPO DE BATALLA - METAL C/PUNTA DE</t>
        </is>
      </c>
      <c r="G2646" t="n">
        <v>1</v>
      </c>
      <c r="H2646" s="7" t="n">
        <v>34.9</v>
      </c>
      <c r="I2646" s="7" t="n">
        <v>0</v>
      </c>
      <c r="J2646" s="7" t="n">
        <v>0</v>
      </c>
      <c r="K2646" s="9" t="n">
        <v>0</v>
      </c>
      <c r="L2646" s="10" t="n">
        <v>20.71</v>
      </c>
      <c r="M2646" s="10" t="n">
        <v>1.43</v>
      </c>
      <c r="N2646" t="inlineStr">
        <is>
          <t>1</t>
        </is>
      </c>
      <c r="O2646" t="inlineStr">
        <is>
          <t>16</t>
        </is>
      </c>
      <c r="P2646" t="inlineStr">
        <is>
          <t xml:space="preserve">0       </t>
        </is>
      </c>
      <c r="Q2646" s="26" t="n">
        <v>29.6</v>
      </c>
      <c r="R2646" s="26">
        <f>Q2646*G2646</f>
        <v/>
      </c>
      <c r="S2646" s="26">
        <f>IFERROR(VLOOKUP(E2646*1,Tabla[#All],8,0),0)</f>
        <v/>
      </c>
      <c r="T2646" s="26">
        <f>S2646*G2646</f>
        <v/>
      </c>
      <c r="U2646" s="26">
        <f>R2646-T2646</f>
        <v/>
      </c>
      <c r="V2646" s="26">
        <f>U2646-L2646</f>
        <v/>
      </c>
    </row>
    <row r="2647">
      <c r="A2647" s="11" t="n">
        <v>46229</v>
      </c>
      <c r="B2647" s="1" t="n">
        <v>20058</v>
      </c>
      <c r="C2647" s="1" t="inlineStr">
        <is>
          <t>038</t>
        </is>
      </c>
      <c r="D2647" s="1" t="inlineStr">
        <is>
          <t>210558</t>
        </is>
      </c>
      <c r="E2647" s="1" t="inlineStr">
        <is>
          <t xml:space="preserve">28194769       </t>
        </is>
      </c>
      <c r="F2647" s="5" t="inlineStr">
        <is>
          <t>AUTOS DE METAL 3 TEAMSTERZ PACK DE 2</t>
        </is>
      </c>
      <c r="G2647" t="n">
        <v>1</v>
      </c>
      <c r="H2647" s="7" t="n">
        <v>13.8</v>
      </c>
      <c r="I2647" s="7" t="n">
        <v>0</v>
      </c>
      <c r="J2647" s="7" t="n">
        <v>0</v>
      </c>
      <c r="K2647" s="9" t="n">
        <v>0</v>
      </c>
      <c r="L2647" s="10" t="n">
        <v>8.18</v>
      </c>
      <c r="M2647" s="10" t="n">
        <v>1.43</v>
      </c>
      <c r="N2647" t="inlineStr">
        <is>
          <t>1</t>
        </is>
      </c>
      <c r="O2647" t="inlineStr">
        <is>
          <t>16</t>
        </is>
      </c>
      <c r="P2647" t="inlineStr">
        <is>
          <t xml:space="preserve">80570   </t>
        </is>
      </c>
      <c r="Q2647" s="26" t="n">
        <v>8.19</v>
      </c>
      <c r="R2647" s="26">
        <f>Q2647*G2647</f>
        <v/>
      </c>
      <c r="S2647" s="26">
        <f>IFERROR(VLOOKUP(E2647*1,Tabla[#All],8,0),0)</f>
        <v/>
      </c>
      <c r="T2647" s="26">
        <f>S2647*G2647</f>
        <v/>
      </c>
      <c r="U2647" s="26">
        <f>R2647-T2647</f>
        <v/>
      </c>
      <c r="V2647" s="26">
        <f>U2647-L2647</f>
        <v/>
      </c>
    </row>
    <row r="2648">
      <c r="A2648" s="11" t="n">
        <v>46229</v>
      </c>
      <c r="B2648" s="1" t="n">
        <v>20058</v>
      </c>
      <c r="C2648" s="1" t="inlineStr">
        <is>
          <t>038</t>
        </is>
      </c>
      <c r="D2648" s="1" t="inlineStr">
        <is>
          <t>210707</t>
        </is>
      </c>
      <c r="E2648" s="1" t="inlineStr">
        <is>
          <t xml:space="preserve">28194770       </t>
        </is>
      </c>
      <c r="F2648" s="5" t="inlineStr">
        <is>
          <t>AUTOS DE METAL 3 TEAMSTERZ EN BLISTER</t>
        </is>
      </c>
      <c r="G2648" t="n">
        <v>1</v>
      </c>
      <c r="H2648" s="7" t="n">
        <v>6.9</v>
      </c>
      <c r="I2648" s="7" t="n">
        <v>0</v>
      </c>
      <c r="J2648" s="7" t="n">
        <v>0</v>
      </c>
      <c r="K2648" s="9" t="n">
        <v>0</v>
      </c>
      <c r="L2648" s="10" t="n">
        <v>4.1</v>
      </c>
      <c r="M2648" s="10" t="n">
        <v>1.43</v>
      </c>
      <c r="N2648" t="inlineStr">
        <is>
          <t>1</t>
        </is>
      </c>
      <c r="O2648" t="inlineStr">
        <is>
          <t xml:space="preserve">2 </t>
        </is>
      </c>
      <c r="P2648" t="inlineStr">
        <is>
          <t xml:space="preserve">80570   </t>
        </is>
      </c>
      <c r="Q2648" s="26" t="n">
        <v>4.09</v>
      </c>
      <c r="R2648" s="26">
        <f>Q2648*G2648</f>
        <v/>
      </c>
      <c r="S2648" s="26">
        <f>IFERROR(VLOOKUP(E2648*1,Tabla[#All],8,0),0)</f>
        <v/>
      </c>
      <c r="T2648" s="26">
        <f>S2648*G2648</f>
        <v/>
      </c>
      <c r="U2648" s="26">
        <f>R2648-T2648</f>
        <v/>
      </c>
      <c r="V2648" s="26">
        <f>U2648-L2648</f>
        <v/>
      </c>
    </row>
    <row r="2649">
      <c r="A2649" s="11" t="n">
        <v>46229</v>
      </c>
      <c r="B2649" s="1" t="n">
        <v>20058</v>
      </c>
      <c r="C2649" s="1" t="inlineStr">
        <is>
          <t>038</t>
        </is>
      </c>
      <c r="D2649" s="1" t="inlineStr">
        <is>
          <t>210707</t>
        </is>
      </c>
      <c r="E2649" s="1" t="inlineStr">
        <is>
          <t xml:space="preserve">28194770       </t>
        </is>
      </c>
      <c r="F2649" s="5" t="inlineStr">
        <is>
          <t>AUTOS DE METAL 3 TEAMSTERZ EN BLISTER</t>
        </is>
      </c>
      <c r="G2649" t="n">
        <v>1</v>
      </c>
      <c r="H2649" s="7" t="n">
        <v>6.9</v>
      </c>
      <c r="I2649" s="7" t="n">
        <v>0</v>
      </c>
      <c r="J2649" s="7" t="n">
        <v>0</v>
      </c>
      <c r="K2649" s="9" t="n">
        <v>0</v>
      </c>
      <c r="L2649" s="10" t="n">
        <v>4.1</v>
      </c>
      <c r="M2649" s="10" t="n">
        <v>1.43</v>
      </c>
      <c r="N2649" t="inlineStr">
        <is>
          <t>1</t>
        </is>
      </c>
      <c r="O2649" t="inlineStr">
        <is>
          <t xml:space="preserve">2 </t>
        </is>
      </c>
      <c r="P2649" t="inlineStr">
        <is>
          <t xml:space="preserve">80570   </t>
        </is>
      </c>
      <c r="Q2649" s="26" t="n">
        <v>4.09</v>
      </c>
      <c r="R2649" s="26">
        <f>Q2649*G2649</f>
        <v/>
      </c>
      <c r="S2649" s="26">
        <f>IFERROR(VLOOKUP(E2649*1,Tabla[#All],8,0),0)</f>
        <v/>
      </c>
      <c r="T2649" s="26">
        <f>S2649*G2649</f>
        <v/>
      </c>
      <c r="U2649" s="26">
        <f>R2649-T2649</f>
        <v/>
      </c>
      <c r="V2649" s="26">
        <f>U2649-L2649</f>
        <v/>
      </c>
    </row>
    <row r="2650">
      <c r="A2650" s="11" t="n">
        <v>46229</v>
      </c>
      <c r="B2650" s="1" t="n">
        <v>20058</v>
      </c>
      <c r="C2650" s="1" t="inlineStr">
        <is>
          <t>039</t>
        </is>
      </c>
      <c r="D2650" s="1" t="inlineStr">
        <is>
          <t>231818</t>
        </is>
      </c>
      <c r="E2650" s="1" t="inlineStr">
        <is>
          <t xml:space="preserve">28194769       </t>
        </is>
      </c>
      <c r="F2650" s="5" t="inlineStr">
        <is>
          <t>AUTOS DE METAL 3 TEAMSTERZ PACK DE 2</t>
        </is>
      </c>
      <c r="G2650" t="n">
        <v>1</v>
      </c>
      <c r="H2650" s="7" t="n">
        <v>13.8</v>
      </c>
      <c r="I2650" s="7" t="n">
        <v>0</v>
      </c>
      <c r="J2650" s="7" t="n">
        <v>0</v>
      </c>
      <c r="K2650" s="9" t="n">
        <v>0</v>
      </c>
      <c r="L2650" s="10" t="n">
        <v>8.18</v>
      </c>
      <c r="M2650" s="10" t="n">
        <v>1.43</v>
      </c>
      <c r="N2650" t="inlineStr">
        <is>
          <t>1</t>
        </is>
      </c>
      <c r="O2650" t="inlineStr">
        <is>
          <t>16</t>
        </is>
      </c>
      <c r="P2650" t="inlineStr">
        <is>
          <t xml:space="preserve">249636  </t>
        </is>
      </c>
      <c r="Q2650" s="26" t="n">
        <v>8.19</v>
      </c>
      <c r="R2650" s="26">
        <f>Q2650*G2650</f>
        <v/>
      </c>
      <c r="S2650" s="26">
        <f>IFERROR(VLOOKUP(E2650*1,Tabla[#All],8,0),0)</f>
        <v/>
      </c>
      <c r="T2650" s="26">
        <f>S2650*G2650</f>
        <v/>
      </c>
      <c r="U2650" s="26">
        <f>R2650-T2650</f>
        <v/>
      </c>
      <c r="V2650" s="26">
        <f>U2650-L2650</f>
        <v/>
      </c>
    </row>
    <row r="2651">
      <c r="A2651" s="11" t="n">
        <v>46229</v>
      </c>
      <c r="B2651" s="1" t="n">
        <v>20058</v>
      </c>
      <c r="C2651" s="1" t="inlineStr">
        <is>
          <t>039</t>
        </is>
      </c>
      <c r="D2651" s="1" t="inlineStr">
        <is>
          <t>231838</t>
        </is>
      </c>
      <c r="E2651" s="1" t="inlineStr">
        <is>
          <t xml:space="preserve">28194765       </t>
        </is>
      </c>
      <c r="F2651" s="5" t="inlineStr">
        <is>
          <t>PLAYSET COLOR CHANGE TIBURN TEAMSTERZ  1 AUTITO</t>
        </is>
      </c>
      <c r="G2651" t="n">
        <v>1</v>
      </c>
      <c r="H2651" s="7" t="n">
        <v>79.90000000000001</v>
      </c>
      <c r="I2651" s="7" t="n">
        <v>7.99</v>
      </c>
      <c r="J2651" s="7" t="n">
        <v>0</v>
      </c>
      <c r="K2651" s="9" t="n">
        <v>7.99</v>
      </c>
      <c r="L2651" s="10" t="n">
        <v>42.66</v>
      </c>
      <c r="M2651" s="10" t="n">
        <v>1.43</v>
      </c>
      <c r="N2651" t="inlineStr">
        <is>
          <t>1</t>
        </is>
      </c>
      <c r="O2651" t="inlineStr">
        <is>
          <t xml:space="preserve">3 </t>
        </is>
      </c>
      <c r="P2651" t="inlineStr">
        <is>
          <t xml:space="preserve">249636  </t>
        </is>
      </c>
      <c r="Q2651" s="26" t="n">
        <v>47.4</v>
      </c>
      <c r="R2651" s="26">
        <f>Q2651*G2651</f>
        <v/>
      </c>
      <c r="S2651" s="26">
        <f>IFERROR(VLOOKUP(E2651*1,Tabla[#All],8,0),0)</f>
        <v/>
      </c>
      <c r="T2651" s="26">
        <f>S2651*G2651</f>
        <v/>
      </c>
      <c r="U2651" s="26">
        <f>R2651-T2651</f>
        <v/>
      </c>
      <c r="V2651" s="26">
        <f>U2651-L2651</f>
        <v/>
      </c>
    </row>
    <row r="2652">
      <c r="A2652" s="11" t="n">
        <v>46229</v>
      </c>
      <c r="B2652" s="1" t="n">
        <v>20058</v>
      </c>
      <c r="C2652" s="1" t="inlineStr">
        <is>
          <t>039</t>
        </is>
      </c>
      <c r="D2652" s="1" t="inlineStr">
        <is>
          <t>231844</t>
        </is>
      </c>
      <c r="E2652" s="1" t="inlineStr">
        <is>
          <t xml:space="preserve">28194770       </t>
        </is>
      </c>
      <c r="F2652" s="5" t="inlineStr">
        <is>
          <t>AUTOS DE METAL 3 TEAMSTERZ EN BLISTER</t>
        </is>
      </c>
      <c r="G2652" t="n">
        <v>1</v>
      </c>
      <c r="H2652" s="7" t="n">
        <v>6.9</v>
      </c>
      <c r="I2652" s="7" t="n">
        <v>0</v>
      </c>
      <c r="J2652" s="7" t="n">
        <v>0</v>
      </c>
      <c r="K2652" s="9" t="n">
        <v>0</v>
      </c>
      <c r="L2652" s="10" t="n">
        <v>4.1</v>
      </c>
      <c r="M2652" s="10" t="n">
        <v>1.43</v>
      </c>
      <c r="N2652" t="inlineStr">
        <is>
          <t>1</t>
        </is>
      </c>
      <c r="O2652" t="inlineStr">
        <is>
          <t>16</t>
        </is>
      </c>
      <c r="P2652" t="inlineStr">
        <is>
          <t xml:space="preserve">249636  </t>
        </is>
      </c>
      <c r="Q2652" s="26" t="n">
        <v>4.09</v>
      </c>
      <c r="R2652" s="26">
        <f>Q2652*G2652</f>
        <v/>
      </c>
      <c r="S2652" s="26">
        <f>IFERROR(VLOOKUP(E2652*1,Tabla[#All],8,0),0)</f>
        <v/>
      </c>
      <c r="T2652" s="26">
        <f>S2652*G2652</f>
        <v/>
      </c>
      <c r="U2652" s="26">
        <f>R2652-T2652</f>
        <v/>
      </c>
      <c r="V2652" s="26">
        <f>U2652-L2652</f>
        <v/>
      </c>
    </row>
    <row r="2653">
      <c r="A2653" s="11" t="n">
        <v>46229</v>
      </c>
      <c r="B2653" s="1" t="n">
        <v>20058</v>
      </c>
      <c r="C2653" s="1" t="inlineStr">
        <is>
          <t>039</t>
        </is>
      </c>
      <c r="D2653" s="1" t="inlineStr">
        <is>
          <t>231871</t>
        </is>
      </c>
      <c r="E2653" s="1" t="inlineStr">
        <is>
          <t xml:space="preserve">28194769       </t>
        </is>
      </c>
      <c r="F2653" s="5" t="inlineStr">
        <is>
          <t>AUTOS DE METAL 3 TEAMSTERZ PACK DE 2</t>
        </is>
      </c>
      <c r="G2653" t="n">
        <v>1</v>
      </c>
      <c r="H2653" s="7" t="n">
        <v>13.8</v>
      </c>
      <c r="I2653" s="7" t="n">
        <v>0</v>
      </c>
      <c r="J2653" s="7" t="n">
        <v>0</v>
      </c>
      <c r="K2653" s="9" t="n">
        <v>0</v>
      </c>
      <c r="L2653" s="10" t="n">
        <v>8.18</v>
      </c>
      <c r="M2653" s="10" t="n">
        <v>1.43</v>
      </c>
      <c r="N2653" t="inlineStr">
        <is>
          <t>1</t>
        </is>
      </c>
      <c r="O2653" t="inlineStr">
        <is>
          <t xml:space="preserve">2 </t>
        </is>
      </c>
      <c r="P2653" t="inlineStr">
        <is>
          <t xml:space="preserve">249636  </t>
        </is>
      </c>
      <c r="Q2653" s="26" t="n">
        <v>8.19</v>
      </c>
      <c r="R2653" s="26">
        <f>Q2653*G2653</f>
        <v/>
      </c>
      <c r="S2653" s="26">
        <f>IFERROR(VLOOKUP(E2653*1,Tabla[#All],8,0),0)</f>
        <v/>
      </c>
      <c r="T2653" s="26">
        <f>S2653*G2653</f>
        <v/>
      </c>
      <c r="U2653" s="26">
        <f>R2653-T2653</f>
        <v/>
      </c>
      <c r="V2653" s="26">
        <f>U2653-L2653</f>
        <v/>
      </c>
    </row>
    <row r="2654">
      <c r="A2654" s="11" t="n">
        <v>46229</v>
      </c>
      <c r="B2654" s="1" t="n">
        <v>20058</v>
      </c>
      <c r="C2654" s="1" t="inlineStr">
        <is>
          <t>039</t>
        </is>
      </c>
      <c r="D2654" s="1" t="inlineStr">
        <is>
          <t>231885</t>
        </is>
      </c>
      <c r="E2654" s="1" t="inlineStr">
        <is>
          <t xml:space="preserve">28194768       </t>
        </is>
      </c>
      <c r="F2654" s="5" t="inlineStr">
        <is>
          <t>AUTO COLOR CHANGE TEAMSTERZ SURTIDO</t>
        </is>
      </c>
      <c r="G2654" t="n">
        <v>1</v>
      </c>
      <c r="H2654" s="7" t="n">
        <v>14.9</v>
      </c>
      <c r="I2654" s="7" t="n">
        <v>0</v>
      </c>
      <c r="J2654" s="7" t="n">
        <v>0</v>
      </c>
      <c r="K2654" s="9" t="n">
        <v>0</v>
      </c>
      <c r="L2654" s="10" t="n">
        <v>8.84</v>
      </c>
      <c r="M2654" s="10" t="n">
        <v>1.43</v>
      </c>
      <c r="N2654" t="inlineStr">
        <is>
          <t>1</t>
        </is>
      </c>
      <c r="O2654" t="inlineStr">
        <is>
          <t>16</t>
        </is>
      </c>
      <c r="P2654" t="inlineStr">
        <is>
          <t xml:space="preserve">239096  </t>
        </is>
      </c>
      <c r="Q2654" s="26" t="n">
        <v>8.84</v>
      </c>
      <c r="R2654" s="26">
        <f>Q2654*G2654</f>
        <v/>
      </c>
      <c r="S2654" s="26">
        <f>IFERROR(VLOOKUP(E2654*1,Tabla[#All],8,0),0)</f>
        <v/>
      </c>
      <c r="T2654" s="26">
        <f>S2654*G2654</f>
        <v/>
      </c>
      <c r="U2654" s="26">
        <f>R2654-T2654</f>
        <v/>
      </c>
      <c r="V2654" s="26">
        <f>U2654-L2654</f>
        <v/>
      </c>
    </row>
    <row r="2655">
      <c r="A2655" s="11" t="n">
        <v>46229</v>
      </c>
      <c r="B2655" s="1" t="n">
        <v>20058</v>
      </c>
      <c r="C2655" s="1" t="inlineStr">
        <is>
          <t>039</t>
        </is>
      </c>
      <c r="D2655" s="1" t="inlineStr">
        <is>
          <t>231934</t>
        </is>
      </c>
      <c r="E2655" s="1" t="inlineStr">
        <is>
          <t xml:space="preserve">28194770       </t>
        </is>
      </c>
      <c r="F2655" s="5" t="inlineStr">
        <is>
          <t>AUTOS DE METAL 3 TEAMSTERZ EN BLISTER</t>
        </is>
      </c>
      <c r="G2655" t="n">
        <v>1</v>
      </c>
      <c r="H2655" s="7" t="n">
        <v>6.9</v>
      </c>
      <c r="I2655" s="7" t="n">
        <v>0</v>
      </c>
      <c r="J2655" s="7" t="n">
        <v>0</v>
      </c>
      <c r="K2655" s="9" t="n">
        <v>0</v>
      </c>
      <c r="L2655" s="10" t="n">
        <v>4.1</v>
      </c>
      <c r="M2655" s="10" t="n">
        <v>1.43</v>
      </c>
      <c r="N2655" t="inlineStr">
        <is>
          <t>1</t>
        </is>
      </c>
      <c r="O2655" t="inlineStr">
        <is>
          <t xml:space="preserve">2 </t>
        </is>
      </c>
      <c r="P2655" t="inlineStr">
        <is>
          <t xml:space="preserve">239096  </t>
        </is>
      </c>
      <c r="Q2655" s="26" t="n">
        <v>4.09</v>
      </c>
      <c r="R2655" s="26">
        <f>Q2655*G2655</f>
        <v/>
      </c>
      <c r="S2655" s="26">
        <f>IFERROR(VLOOKUP(E2655*1,Tabla[#All],8,0),0)</f>
        <v/>
      </c>
      <c r="T2655" s="26">
        <f>S2655*G2655</f>
        <v/>
      </c>
      <c r="U2655" s="26">
        <f>R2655-T2655</f>
        <v/>
      </c>
      <c r="V2655" s="26">
        <f>U2655-L2655</f>
        <v/>
      </c>
    </row>
    <row r="2656">
      <c r="A2656" s="11" t="n">
        <v>46229</v>
      </c>
      <c r="B2656" s="1" t="n">
        <v>20058</v>
      </c>
      <c r="C2656" s="1" t="inlineStr">
        <is>
          <t>039</t>
        </is>
      </c>
      <c r="D2656" s="1" t="inlineStr">
        <is>
          <t>231934</t>
        </is>
      </c>
      <c r="E2656" s="1" t="inlineStr">
        <is>
          <t xml:space="preserve">28194770       </t>
        </is>
      </c>
      <c r="F2656" s="5" t="inlineStr">
        <is>
          <t>AUTOS DE METAL 3 TEAMSTERZ EN BLISTER</t>
        </is>
      </c>
      <c r="G2656" t="n">
        <v>1</v>
      </c>
      <c r="H2656" s="7" t="n">
        <v>6.9</v>
      </c>
      <c r="I2656" s="7" t="n">
        <v>0</v>
      </c>
      <c r="J2656" s="7" t="n">
        <v>0</v>
      </c>
      <c r="K2656" s="9" t="n">
        <v>0</v>
      </c>
      <c r="L2656" s="10" t="n">
        <v>4.1</v>
      </c>
      <c r="M2656" s="10" t="n">
        <v>1.43</v>
      </c>
      <c r="N2656" t="inlineStr">
        <is>
          <t>1</t>
        </is>
      </c>
      <c r="O2656" t="inlineStr">
        <is>
          <t xml:space="preserve">2 </t>
        </is>
      </c>
      <c r="P2656" t="inlineStr">
        <is>
          <t xml:space="preserve">239096  </t>
        </is>
      </c>
      <c r="Q2656" s="26" t="n">
        <v>4.09</v>
      </c>
      <c r="R2656" s="26">
        <f>Q2656*G2656</f>
        <v/>
      </c>
      <c r="S2656" s="26">
        <f>IFERROR(VLOOKUP(E2656*1,Tabla[#All],8,0),0)</f>
        <v/>
      </c>
      <c r="T2656" s="26">
        <f>S2656*G2656</f>
        <v/>
      </c>
      <c r="U2656" s="26">
        <f>R2656-T2656</f>
        <v/>
      </c>
      <c r="V2656" s="26">
        <f>U2656-L2656</f>
        <v/>
      </c>
    </row>
    <row r="2657">
      <c r="A2657" s="11" t="n">
        <v>46229</v>
      </c>
      <c r="B2657" s="1" t="n">
        <v>20058</v>
      </c>
      <c r="C2657" s="1" t="inlineStr">
        <is>
          <t>039</t>
        </is>
      </c>
      <c r="D2657" s="1" t="inlineStr">
        <is>
          <t>231952</t>
        </is>
      </c>
      <c r="E2657" s="1" t="inlineStr">
        <is>
          <t xml:space="preserve">28194768       </t>
        </is>
      </c>
      <c r="F2657" s="5" t="inlineStr">
        <is>
          <t>AUTO COLOR CHANGE TEAMSTERZ SURTIDO</t>
        </is>
      </c>
      <c r="G2657" t="n">
        <v>1</v>
      </c>
      <c r="H2657" s="7" t="n">
        <v>14.9</v>
      </c>
      <c r="I2657" s="7" t="n">
        <v>0</v>
      </c>
      <c r="J2657" s="7" t="n">
        <v>0</v>
      </c>
      <c r="K2657" s="9" t="n">
        <v>0</v>
      </c>
      <c r="L2657" s="10" t="n">
        <v>8.84</v>
      </c>
      <c r="M2657" s="10" t="n">
        <v>1.43</v>
      </c>
      <c r="N2657" t="inlineStr">
        <is>
          <t>1</t>
        </is>
      </c>
      <c r="O2657" t="inlineStr">
        <is>
          <t>16</t>
        </is>
      </c>
      <c r="P2657" t="inlineStr">
        <is>
          <t xml:space="preserve">239096  </t>
        </is>
      </c>
      <c r="Q2657" s="26" t="n">
        <v>8.84</v>
      </c>
      <c r="R2657" s="26">
        <f>Q2657*G2657</f>
        <v/>
      </c>
      <c r="S2657" s="26">
        <f>IFERROR(VLOOKUP(E2657*1,Tabla[#All],8,0),0)</f>
        <v/>
      </c>
      <c r="T2657" s="26">
        <f>S2657*G2657</f>
        <v/>
      </c>
      <c r="U2657" s="26">
        <f>R2657-T2657</f>
        <v/>
      </c>
      <c r="V2657" s="26">
        <f>U2657-L2657</f>
        <v/>
      </c>
    </row>
    <row r="2658">
      <c r="A2658" s="11" t="n">
        <v>46229</v>
      </c>
      <c r="B2658" s="1" t="n">
        <v>20058</v>
      </c>
      <c r="C2658" s="1" t="inlineStr">
        <is>
          <t>197</t>
        </is>
      </c>
      <c r="D2658" s="1" t="inlineStr">
        <is>
          <t>170879</t>
        </is>
      </c>
      <c r="E2658" s="1" t="inlineStr">
        <is>
          <t xml:space="preserve">28194770       </t>
        </is>
      </c>
      <c r="F2658" s="5" t="inlineStr">
        <is>
          <t>AUTOS DE METAL 3 TEAMSTERZ EN BLISTER</t>
        </is>
      </c>
      <c r="G2658" t="n">
        <v>1</v>
      </c>
      <c r="H2658" s="7" t="n">
        <v>6.9</v>
      </c>
      <c r="I2658" s="7" t="n">
        <v>0</v>
      </c>
      <c r="J2658" s="7" t="n">
        <v>0</v>
      </c>
      <c r="K2658" s="9" t="n">
        <v>0</v>
      </c>
      <c r="L2658" s="10" t="n">
        <v>4.1</v>
      </c>
      <c r="M2658" s="10" t="n">
        <v>1.43</v>
      </c>
      <c r="N2658" t="inlineStr">
        <is>
          <t>1</t>
        </is>
      </c>
      <c r="O2658" t="inlineStr">
        <is>
          <t xml:space="preserve">2 </t>
        </is>
      </c>
      <c r="P2658" t="inlineStr">
        <is>
          <t xml:space="preserve">249068  </t>
        </is>
      </c>
      <c r="Q2658" s="26" t="n">
        <v>4.09</v>
      </c>
      <c r="R2658" s="26">
        <f>Q2658*G2658</f>
        <v/>
      </c>
      <c r="S2658" s="26">
        <f>IFERROR(VLOOKUP(E2658*1,Tabla[#All],8,0),0)</f>
        <v/>
      </c>
      <c r="T2658" s="26">
        <f>S2658*G2658</f>
        <v/>
      </c>
      <c r="U2658" s="26">
        <f>R2658-T2658</f>
        <v/>
      </c>
      <c r="V2658" s="26">
        <f>U2658-L2658</f>
        <v/>
      </c>
    </row>
    <row r="2659">
      <c r="A2659" s="11" t="n">
        <v>46229</v>
      </c>
      <c r="B2659" s="1" t="n">
        <v>20058</v>
      </c>
      <c r="C2659" s="1" t="inlineStr">
        <is>
          <t>519</t>
        </is>
      </c>
      <c r="D2659" s="1" t="inlineStr">
        <is>
          <t xml:space="preserve">7511  </t>
        </is>
      </c>
      <c r="E2659" s="1" t="inlineStr">
        <is>
          <t xml:space="preserve">28194768       </t>
        </is>
      </c>
      <c r="F2659" s="5" t="inlineStr">
        <is>
          <t>AUTO COLOR CHANGE TEAMSTERZ SURTIDO</t>
        </is>
      </c>
      <c r="G2659" t="n">
        <v>1</v>
      </c>
      <c r="H2659" s="7" t="n">
        <v>14.9</v>
      </c>
      <c r="I2659" s="7" t="n">
        <v>0</v>
      </c>
      <c r="J2659" s="7" t="n">
        <v>0</v>
      </c>
      <c r="K2659" s="9" t="n">
        <v>0</v>
      </c>
      <c r="L2659" s="10" t="n">
        <v>8.84</v>
      </c>
      <c r="M2659" s="10" t="n">
        <v>1.43</v>
      </c>
      <c r="N2659" t="inlineStr">
        <is>
          <t>1</t>
        </is>
      </c>
      <c r="O2659" t="inlineStr">
        <is>
          <t>16</t>
        </is>
      </c>
      <c r="P2659" t="inlineStr">
        <is>
          <t xml:space="preserve">99469   </t>
        </is>
      </c>
      <c r="Q2659" s="26" t="n">
        <v>8.84</v>
      </c>
      <c r="R2659" s="26">
        <f>Q2659*G2659</f>
        <v/>
      </c>
      <c r="S2659" s="26">
        <f>IFERROR(VLOOKUP(E2659*1,Tabla[#All],8,0),0)</f>
        <v/>
      </c>
      <c r="T2659" s="26">
        <f>S2659*G2659</f>
        <v/>
      </c>
      <c r="U2659" s="26">
        <f>R2659-T2659</f>
        <v/>
      </c>
      <c r="V2659" s="26">
        <f>U2659-L2659</f>
        <v/>
      </c>
    </row>
    <row r="2660">
      <c r="A2660" s="11" t="n">
        <v>46229</v>
      </c>
      <c r="B2660" s="1" t="n">
        <v>20062</v>
      </c>
      <c r="C2660" s="1" t="inlineStr">
        <is>
          <t>017</t>
        </is>
      </c>
      <c r="D2660" s="1" t="inlineStr">
        <is>
          <t>236364</t>
        </is>
      </c>
      <c r="E2660" s="1" t="inlineStr">
        <is>
          <t xml:space="preserve">32656523       </t>
        </is>
      </c>
      <c r="F2660" s="5" t="inlineStr">
        <is>
          <t>TMZ BEAST MACHINES TRANSPORT. T-REX ELECTR. + ACCE</t>
        </is>
      </c>
      <c r="G2660" t="n">
        <v>1</v>
      </c>
      <c r="H2660" s="7" t="n">
        <v>179</v>
      </c>
      <c r="I2660" s="7" t="n">
        <v>17.9</v>
      </c>
      <c r="J2660" s="7" t="n">
        <v>0</v>
      </c>
      <c r="K2660" s="9" t="n">
        <v>17.9</v>
      </c>
      <c r="L2660" s="10" t="n">
        <v>95.56999999999999</v>
      </c>
      <c r="M2660" s="10" t="n">
        <v>1.43</v>
      </c>
      <c r="N2660" t="inlineStr">
        <is>
          <t>1</t>
        </is>
      </c>
      <c r="O2660" t="inlineStr">
        <is>
          <t xml:space="preserve">3 </t>
        </is>
      </c>
      <c r="P2660" t="inlineStr">
        <is>
          <t xml:space="preserve">252248  </t>
        </is>
      </c>
      <c r="Q2660" s="26" t="n">
        <v>106.19</v>
      </c>
      <c r="R2660" s="26">
        <f>Q2660*G2660</f>
        <v/>
      </c>
      <c r="S2660" s="26">
        <f>IFERROR(VLOOKUP(E2660*1,Tabla[#All],8,0),0)</f>
        <v/>
      </c>
      <c r="T2660" s="26">
        <f>S2660*G2660</f>
        <v/>
      </c>
      <c r="U2660" s="26">
        <f>R2660-T2660</f>
        <v/>
      </c>
      <c r="V2660" s="26">
        <f>U2660-L2660</f>
        <v/>
      </c>
    </row>
    <row r="2661">
      <c r="A2661" s="11" t="n">
        <v>46229</v>
      </c>
      <c r="B2661" s="1" t="n">
        <v>20062</v>
      </c>
      <c r="C2661" s="1" t="inlineStr">
        <is>
          <t>017</t>
        </is>
      </c>
      <c r="D2661" s="1" t="inlineStr">
        <is>
          <t>236388</t>
        </is>
      </c>
      <c r="E2661" s="1" t="inlineStr">
        <is>
          <t xml:space="preserve">32457101       </t>
        </is>
      </c>
      <c r="F2661" s="5" t="inlineStr">
        <is>
          <t>TMZ BEAST MACHINES TRANSPORTE PESADO + 2 AUTOS SUR</t>
        </is>
      </c>
      <c r="G2661" t="n">
        <v>1</v>
      </c>
      <c r="H2661" s="7" t="n">
        <v>17.9</v>
      </c>
      <c r="I2661" s="7" t="n">
        <v>1.79</v>
      </c>
      <c r="J2661" s="7" t="n">
        <v>0</v>
      </c>
      <c r="K2661" s="9" t="n">
        <v>1.79</v>
      </c>
      <c r="L2661" s="10" t="n">
        <v>9.56</v>
      </c>
      <c r="M2661" s="10" t="n">
        <v>1.43</v>
      </c>
      <c r="N2661" t="inlineStr">
        <is>
          <t>1</t>
        </is>
      </c>
      <c r="O2661" t="inlineStr">
        <is>
          <t xml:space="preserve">3 </t>
        </is>
      </c>
      <c r="P2661" t="inlineStr">
        <is>
          <t xml:space="preserve">252248  </t>
        </is>
      </c>
      <c r="Q2661" s="26" t="n">
        <v>22.48</v>
      </c>
      <c r="R2661" s="26">
        <f>Q2661*G2661</f>
        <v/>
      </c>
      <c r="S2661" s="26">
        <f>IFERROR(VLOOKUP(E2661*1,Tabla[#All],8,0),0)</f>
        <v/>
      </c>
      <c r="T2661" s="26">
        <f>S2661*G2661</f>
        <v/>
      </c>
      <c r="U2661" s="26">
        <f>R2661-T2661</f>
        <v/>
      </c>
      <c r="V2661" s="26">
        <f>U2661-L2661</f>
        <v/>
      </c>
    </row>
    <row r="2662">
      <c r="A2662" s="11" t="n">
        <v>46229</v>
      </c>
      <c r="B2662" s="1" t="n">
        <v>20062</v>
      </c>
      <c r="C2662" s="1" t="inlineStr">
        <is>
          <t>831</t>
        </is>
      </c>
      <c r="D2662" s="1" t="inlineStr">
        <is>
          <t xml:space="preserve">1794  </t>
        </is>
      </c>
      <c r="E2662" s="1" t="inlineStr">
        <is>
          <t xml:space="preserve">33483128       </t>
        </is>
      </c>
      <c r="F2662" s="5" t="inlineStr">
        <is>
          <t>MUNECA STEFFI LOVE PASEADORA PERRITOS + ACC.</t>
        </is>
      </c>
      <c r="G2662" t="n">
        <v>1</v>
      </c>
      <c r="H2662" s="7" t="n">
        <v>35.94</v>
      </c>
      <c r="I2662" s="7" t="n">
        <v>3.59</v>
      </c>
      <c r="J2662" s="7" t="n">
        <v>0</v>
      </c>
      <c r="K2662" s="9" t="n">
        <v>3.59</v>
      </c>
      <c r="L2662" s="10" t="n">
        <v>19.19</v>
      </c>
      <c r="M2662" s="10" t="n">
        <v>1.43</v>
      </c>
      <c r="N2662" t="inlineStr">
        <is>
          <t>1</t>
        </is>
      </c>
      <c r="O2662" t="inlineStr">
        <is>
          <t>16</t>
        </is>
      </c>
      <c r="P2662" t="inlineStr">
        <is>
          <t xml:space="preserve">248412  </t>
        </is>
      </c>
      <c r="Q2662" s="26" t="n">
        <v>35.53</v>
      </c>
      <c r="R2662" s="26">
        <f>Q2662*G2662</f>
        <v/>
      </c>
      <c r="S2662" s="26">
        <f>IFERROR(VLOOKUP(E2662*1,Tabla[#All],8,0),0)</f>
        <v/>
      </c>
      <c r="T2662" s="26">
        <f>S2662*G2662</f>
        <v/>
      </c>
      <c r="U2662" s="26">
        <f>R2662-T2662</f>
        <v/>
      </c>
      <c r="V2662" s="26">
        <f>U2662-L2662</f>
        <v/>
      </c>
    </row>
    <row r="2663">
      <c r="A2663" s="11" t="n">
        <v>46229</v>
      </c>
      <c r="B2663" s="1" t="n">
        <v>20066</v>
      </c>
      <c r="C2663" s="1" t="inlineStr">
        <is>
          <t>011</t>
        </is>
      </c>
      <c r="D2663" s="1" t="inlineStr">
        <is>
          <t>112977</t>
        </is>
      </c>
      <c r="E2663" s="1" t="inlineStr">
        <is>
          <t xml:space="preserve">28194766       </t>
        </is>
      </c>
      <c r="F2663" s="5" t="inlineStr">
        <is>
          <t>CAMIONES TEAMSTERZ DE CIUDAD</t>
        </is>
      </c>
      <c r="G2663" t="n">
        <v>1</v>
      </c>
      <c r="H2663" s="7" t="n">
        <v>17.9</v>
      </c>
      <c r="I2663" s="7" t="n">
        <v>0</v>
      </c>
      <c r="J2663" s="7" t="n">
        <v>0</v>
      </c>
      <c r="K2663" s="9" t="n">
        <v>0</v>
      </c>
      <c r="L2663" s="10" t="n">
        <v>10.62</v>
      </c>
      <c r="M2663" s="10" t="n">
        <v>1.43</v>
      </c>
      <c r="N2663" t="inlineStr">
        <is>
          <t>1</t>
        </is>
      </c>
      <c r="O2663" t="inlineStr">
        <is>
          <t>16</t>
        </is>
      </c>
      <c r="P2663" t="inlineStr">
        <is>
          <t xml:space="preserve">44050   </t>
        </is>
      </c>
      <c r="Q2663" s="26" t="n">
        <v>10.62</v>
      </c>
      <c r="R2663" s="26">
        <f>Q2663*G2663</f>
        <v/>
      </c>
      <c r="S2663" s="26">
        <f>IFERROR(VLOOKUP(E2663*1,Tabla[#All],8,0),0)</f>
        <v/>
      </c>
      <c r="T2663" s="26">
        <f>S2663*G2663</f>
        <v/>
      </c>
      <c r="U2663" s="26">
        <f>R2663-T2663</f>
        <v/>
      </c>
      <c r="V2663" s="26">
        <f>U2663-L2663</f>
        <v/>
      </c>
    </row>
    <row r="2664">
      <c r="A2664" s="11" t="n">
        <v>46229</v>
      </c>
      <c r="B2664" s="1" t="n">
        <v>20066</v>
      </c>
      <c r="C2664" s="1" t="inlineStr">
        <is>
          <t>011</t>
        </is>
      </c>
      <c r="D2664" s="1" t="inlineStr">
        <is>
          <t>112977</t>
        </is>
      </c>
      <c r="E2664" s="1" t="inlineStr">
        <is>
          <t xml:space="preserve">28194767       </t>
        </is>
      </c>
      <c r="F2664" s="5" t="inlineStr">
        <is>
          <t>CAMIONES TEAMSTERZ DE EMERGENCIA</t>
        </is>
      </c>
      <c r="G2664" t="n">
        <v>1</v>
      </c>
      <c r="H2664" s="7" t="n">
        <v>17.9</v>
      </c>
      <c r="I2664" s="7" t="n">
        <v>0</v>
      </c>
      <c r="J2664" s="7" t="n">
        <v>0</v>
      </c>
      <c r="K2664" s="9" t="n">
        <v>0</v>
      </c>
      <c r="L2664" s="10" t="n">
        <v>10.62</v>
      </c>
      <c r="M2664" s="10" t="n">
        <v>1.43</v>
      </c>
      <c r="N2664" t="inlineStr">
        <is>
          <t>1</t>
        </is>
      </c>
      <c r="O2664" t="inlineStr">
        <is>
          <t>16</t>
        </is>
      </c>
      <c r="P2664" t="inlineStr">
        <is>
          <t xml:space="preserve">44050   </t>
        </is>
      </c>
      <c r="Q2664" s="26" t="n">
        <v>10.62</v>
      </c>
      <c r="R2664" s="26">
        <f>Q2664*G2664</f>
        <v/>
      </c>
      <c r="S2664" s="26">
        <f>IFERROR(VLOOKUP(E2664*1,Tabla[#All],8,0),0)</f>
        <v/>
      </c>
      <c r="T2664" s="26">
        <f>S2664*G2664</f>
        <v/>
      </c>
      <c r="U2664" s="26">
        <f>R2664-T2664</f>
        <v/>
      </c>
      <c r="V2664" s="26">
        <f>U2664-L2664</f>
        <v/>
      </c>
    </row>
    <row r="2665">
      <c r="A2665" s="11" t="n">
        <v>46229</v>
      </c>
      <c r="B2665" s="1" t="n">
        <v>20066</v>
      </c>
      <c r="C2665" s="1" t="inlineStr">
        <is>
          <t>011</t>
        </is>
      </c>
      <c r="D2665" s="1" t="inlineStr">
        <is>
          <t>112977</t>
        </is>
      </c>
      <c r="E2665" s="1" t="inlineStr">
        <is>
          <t xml:space="preserve">29235710       </t>
        </is>
      </c>
      <c r="F2665" s="5" t="inlineStr">
        <is>
          <t>TEAMSTERZ PLAYSET GRANDES CONSTRUCCIONES</t>
        </is>
      </c>
      <c r="G2665" t="n">
        <v>1</v>
      </c>
      <c r="H2665" s="7" t="n">
        <v>19.9</v>
      </c>
      <c r="I2665" s="7" t="n">
        <v>0</v>
      </c>
      <c r="J2665" s="7" t="n">
        <v>0</v>
      </c>
      <c r="K2665" s="9" t="n">
        <v>0</v>
      </c>
      <c r="L2665" s="10" t="n">
        <v>11.8</v>
      </c>
      <c r="M2665" s="10" t="n">
        <v>1.43</v>
      </c>
      <c r="N2665" t="inlineStr">
        <is>
          <t>1</t>
        </is>
      </c>
      <c r="O2665" t="inlineStr">
        <is>
          <t>16</t>
        </is>
      </c>
      <c r="P2665" t="inlineStr">
        <is>
          <t xml:space="preserve">44050   </t>
        </is>
      </c>
      <c r="Q2665" s="26" t="n">
        <v>11.81</v>
      </c>
      <c r="R2665" s="26">
        <f>Q2665*G2665</f>
        <v/>
      </c>
      <c r="S2665" s="26">
        <f>IFERROR(VLOOKUP(E2665*1,Tabla[#All],8,0),0)</f>
        <v/>
      </c>
      <c r="T2665" s="26">
        <f>S2665*G2665</f>
        <v/>
      </c>
      <c r="U2665" s="26">
        <f>R2665-T2665</f>
        <v/>
      </c>
      <c r="V2665" s="26">
        <f>U2665-L2665</f>
        <v/>
      </c>
    </row>
    <row r="2666">
      <c r="A2666" s="11" t="n">
        <v>46229</v>
      </c>
      <c r="B2666" s="1" t="n">
        <v>20066</v>
      </c>
      <c r="C2666" s="1" t="inlineStr">
        <is>
          <t>052</t>
        </is>
      </c>
      <c r="D2666" s="1" t="inlineStr">
        <is>
          <t>320928</t>
        </is>
      </c>
      <c r="E2666" s="1" t="inlineStr">
        <is>
          <t xml:space="preserve">31675354       </t>
        </is>
      </c>
      <c r="F2666" s="5" t="inlineStr">
        <is>
          <t>NENUCO LLORON CON ACCESORIOS</t>
        </is>
      </c>
      <c r="G2666" t="n">
        <v>1</v>
      </c>
      <c r="H2666" s="7" t="n">
        <v>69.90000000000001</v>
      </c>
      <c r="I2666" s="7" t="n">
        <v>0</v>
      </c>
      <c r="J2666" s="7" t="n">
        <v>0</v>
      </c>
      <c r="K2666" s="9" t="n">
        <v>0</v>
      </c>
      <c r="L2666" s="10" t="n">
        <v>41.47</v>
      </c>
      <c r="M2666" s="10" t="n">
        <v>1.43</v>
      </c>
      <c r="N2666" t="inlineStr">
        <is>
          <t>1</t>
        </is>
      </c>
      <c r="O2666" t="inlineStr">
        <is>
          <t xml:space="preserve">2 </t>
        </is>
      </c>
      <c r="P2666" t="inlineStr">
        <is>
          <t xml:space="preserve">62683   </t>
        </is>
      </c>
      <c r="Q2666" s="26" t="n">
        <v>53.33</v>
      </c>
      <c r="R2666" s="26">
        <f>Q2666*G2666</f>
        <v/>
      </c>
      <c r="S2666" s="26">
        <f>IFERROR(VLOOKUP(E2666*1,Tabla[#All],8,0),0)</f>
        <v/>
      </c>
      <c r="T2666" s="26">
        <f>S2666*G2666</f>
        <v/>
      </c>
      <c r="U2666" s="26">
        <f>R2666-T2666</f>
        <v/>
      </c>
      <c r="V2666" s="26">
        <f>U2666-L2666</f>
        <v/>
      </c>
    </row>
    <row r="2667">
      <c r="A2667" s="11" t="n">
        <v>46229</v>
      </c>
      <c r="B2667" s="1" t="n">
        <v>20066</v>
      </c>
      <c r="C2667" s="1" t="inlineStr">
        <is>
          <t>052</t>
        </is>
      </c>
      <c r="D2667" s="1" t="inlineStr">
        <is>
          <t>320974</t>
        </is>
      </c>
      <c r="E2667" s="1" t="inlineStr">
        <is>
          <t xml:space="preserve">32656420       </t>
        </is>
      </c>
      <c r="F2667" s="5" t="inlineStr">
        <is>
          <t>PINYPON ACTION EXPLORADOR + FIGURA Y ANIMAL</t>
        </is>
      </c>
      <c r="G2667" t="n">
        <v>1</v>
      </c>
      <c r="H2667" s="7" t="n">
        <v>27.9</v>
      </c>
      <c r="I2667" s="7" t="n">
        <v>0</v>
      </c>
      <c r="J2667" s="7" t="n">
        <v>0</v>
      </c>
      <c r="K2667" s="9" t="n">
        <v>0</v>
      </c>
      <c r="L2667" s="10" t="n">
        <v>16.55</v>
      </c>
      <c r="M2667" s="10" t="n">
        <v>1.43</v>
      </c>
      <c r="N2667" t="inlineStr">
        <is>
          <t>1</t>
        </is>
      </c>
      <c r="O2667" t="inlineStr">
        <is>
          <t>16</t>
        </is>
      </c>
      <c r="P2667" t="inlineStr">
        <is>
          <t xml:space="preserve">62683   </t>
        </is>
      </c>
      <c r="Q2667" s="26" t="n">
        <v>16.55</v>
      </c>
      <c r="R2667" s="26">
        <f>Q2667*G2667</f>
        <v/>
      </c>
      <c r="S2667" s="26">
        <f>IFERROR(VLOOKUP(E2667*1,Tabla[#All],8,0),0)</f>
        <v/>
      </c>
      <c r="T2667" s="26">
        <f>S2667*G2667</f>
        <v/>
      </c>
      <c r="U2667" s="26">
        <f>R2667-T2667</f>
        <v/>
      </c>
      <c r="V2667" s="26">
        <f>U2667-L2667</f>
        <v/>
      </c>
    </row>
    <row r="2668">
      <c r="A2668" s="11" t="n">
        <v>46229</v>
      </c>
      <c r="B2668" s="1" t="n">
        <v>20066</v>
      </c>
      <c r="C2668" s="1" t="inlineStr">
        <is>
          <t>052</t>
        </is>
      </c>
      <c r="D2668" s="1" t="inlineStr">
        <is>
          <t>320978</t>
        </is>
      </c>
      <c r="E2668" s="1" t="inlineStr">
        <is>
          <t xml:space="preserve">28194766       </t>
        </is>
      </c>
      <c r="F2668" s="5" t="inlineStr">
        <is>
          <t>CAMIONES TEAMSTERZ DE CIUDAD</t>
        </is>
      </c>
      <c r="G2668" t="n">
        <v>1</v>
      </c>
      <c r="H2668" s="7" t="n">
        <v>17.9</v>
      </c>
      <c r="I2668" s="7" t="n">
        <v>0</v>
      </c>
      <c r="J2668" s="7" t="n">
        <v>0</v>
      </c>
      <c r="K2668" s="9" t="n">
        <v>0</v>
      </c>
      <c r="L2668" s="10" t="n">
        <v>10.62</v>
      </c>
      <c r="M2668" s="10" t="n">
        <v>1.43</v>
      </c>
      <c r="N2668" t="inlineStr">
        <is>
          <t>1</t>
        </is>
      </c>
      <c r="O2668" t="inlineStr">
        <is>
          <t>16</t>
        </is>
      </c>
      <c r="P2668" t="inlineStr">
        <is>
          <t xml:space="preserve">62683   </t>
        </is>
      </c>
      <c r="Q2668" s="26" t="n">
        <v>10.62</v>
      </c>
      <c r="R2668" s="26">
        <f>Q2668*G2668</f>
        <v/>
      </c>
      <c r="S2668" s="26">
        <f>IFERROR(VLOOKUP(E2668*1,Tabla[#All],8,0),0)</f>
        <v/>
      </c>
      <c r="T2668" s="26">
        <f>S2668*G2668</f>
        <v/>
      </c>
      <c r="U2668" s="26">
        <f>R2668-T2668</f>
        <v/>
      </c>
      <c r="V2668" s="26">
        <f>U2668-L2668</f>
        <v/>
      </c>
    </row>
    <row r="2669">
      <c r="A2669" s="11" t="n">
        <v>46229</v>
      </c>
      <c r="B2669" s="1" t="n">
        <v>20066</v>
      </c>
      <c r="C2669" s="1" t="inlineStr">
        <is>
          <t>058</t>
        </is>
      </c>
      <c r="D2669" s="1" t="inlineStr">
        <is>
          <t xml:space="preserve">61338 </t>
        </is>
      </c>
      <c r="E2669" s="1" t="inlineStr">
        <is>
          <t xml:space="preserve">28194770       </t>
        </is>
      </c>
      <c r="F2669" s="5" t="inlineStr">
        <is>
          <t>AUTOS DE METAL 3 TEAMSTERZ EN BLISTER</t>
        </is>
      </c>
      <c r="G2669" t="n">
        <v>1</v>
      </c>
      <c r="H2669" s="7" t="n">
        <v>6.9</v>
      </c>
      <c r="I2669" s="7" t="n">
        <v>0</v>
      </c>
      <c r="J2669" s="7" t="n">
        <v>0</v>
      </c>
      <c r="K2669" s="9" t="n">
        <v>0</v>
      </c>
      <c r="L2669" s="10" t="n">
        <v>4.1</v>
      </c>
      <c r="M2669" s="10" t="n">
        <v>1.43</v>
      </c>
      <c r="N2669" t="inlineStr">
        <is>
          <t>1</t>
        </is>
      </c>
      <c r="O2669" t="inlineStr">
        <is>
          <t>16</t>
        </is>
      </c>
      <c r="P2669" t="inlineStr">
        <is>
          <t xml:space="preserve">250269  </t>
        </is>
      </c>
      <c r="Q2669" s="26" t="n">
        <v>4.09</v>
      </c>
      <c r="R2669" s="26">
        <f>Q2669*G2669</f>
        <v/>
      </c>
      <c r="S2669" s="26">
        <f>IFERROR(VLOOKUP(E2669*1,Tabla[#All],8,0),0)</f>
        <v/>
      </c>
      <c r="T2669" s="26">
        <f>S2669*G2669</f>
        <v/>
      </c>
      <c r="U2669" s="26">
        <f>R2669-T2669</f>
        <v/>
      </c>
      <c r="V2669" s="26">
        <f>U2669-L2669</f>
        <v/>
      </c>
    </row>
    <row r="2670">
      <c r="A2670" s="11" t="n">
        <v>46229</v>
      </c>
      <c r="B2670" s="1" t="n">
        <v>20066</v>
      </c>
      <c r="C2670" s="1" t="inlineStr">
        <is>
          <t>058</t>
        </is>
      </c>
      <c r="D2670" s="1" t="inlineStr">
        <is>
          <t xml:space="preserve">61338 </t>
        </is>
      </c>
      <c r="E2670" s="1" t="inlineStr">
        <is>
          <t xml:space="preserve">28194770       </t>
        </is>
      </c>
      <c r="F2670" s="5" t="inlineStr">
        <is>
          <t>AUTOS DE METAL 3 TEAMSTERZ EN BLISTER</t>
        </is>
      </c>
      <c r="G2670" t="n">
        <v>1</v>
      </c>
      <c r="H2670" s="7" t="n">
        <v>6.9</v>
      </c>
      <c r="I2670" s="7" t="n">
        <v>0</v>
      </c>
      <c r="J2670" s="7" t="n">
        <v>0</v>
      </c>
      <c r="K2670" s="9" t="n">
        <v>0</v>
      </c>
      <c r="L2670" s="10" t="n">
        <v>4.1</v>
      </c>
      <c r="M2670" s="10" t="n">
        <v>1.43</v>
      </c>
      <c r="N2670" t="inlineStr">
        <is>
          <t>1</t>
        </is>
      </c>
      <c r="O2670" t="inlineStr">
        <is>
          <t>16</t>
        </is>
      </c>
      <c r="P2670" t="inlineStr">
        <is>
          <t xml:space="preserve">250269  </t>
        </is>
      </c>
      <c r="Q2670" s="26" t="n">
        <v>4.09</v>
      </c>
      <c r="R2670" s="26">
        <f>Q2670*G2670</f>
        <v/>
      </c>
      <c r="S2670" s="26">
        <f>IFERROR(VLOOKUP(E2670*1,Tabla[#All],8,0),0)</f>
        <v/>
      </c>
      <c r="T2670" s="26">
        <f>S2670*G2670</f>
        <v/>
      </c>
      <c r="U2670" s="26">
        <f>R2670-T2670</f>
        <v/>
      </c>
      <c r="V2670" s="26">
        <f>U2670-L2670</f>
        <v/>
      </c>
    </row>
    <row r="2671">
      <c r="A2671" s="11" t="n">
        <v>46229</v>
      </c>
      <c r="B2671" s="1" t="n">
        <v>20066</v>
      </c>
      <c r="C2671" s="1" t="inlineStr">
        <is>
          <t>058</t>
        </is>
      </c>
      <c r="D2671" s="1" t="inlineStr">
        <is>
          <t xml:space="preserve">61338 </t>
        </is>
      </c>
      <c r="E2671" s="1" t="inlineStr">
        <is>
          <t xml:space="preserve">28194770       </t>
        </is>
      </c>
      <c r="F2671" s="5" t="inlineStr">
        <is>
          <t>AUTOS DE METAL 3 TEAMSTERZ EN BLISTER</t>
        </is>
      </c>
      <c r="G2671" t="n">
        <v>1</v>
      </c>
      <c r="H2671" s="7" t="n">
        <v>6.9</v>
      </c>
      <c r="I2671" s="7" t="n">
        <v>0</v>
      </c>
      <c r="J2671" s="7" t="n">
        <v>0</v>
      </c>
      <c r="K2671" s="9" t="n">
        <v>0</v>
      </c>
      <c r="L2671" s="10" t="n">
        <v>4.1</v>
      </c>
      <c r="M2671" s="10" t="n">
        <v>1.43</v>
      </c>
      <c r="N2671" t="inlineStr">
        <is>
          <t>1</t>
        </is>
      </c>
      <c r="O2671" t="inlineStr">
        <is>
          <t>16</t>
        </is>
      </c>
      <c r="P2671" t="inlineStr">
        <is>
          <t xml:space="preserve">250269  </t>
        </is>
      </c>
      <c r="Q2671" s="26" t="n">
        <v>4.09</v>
      </c>
      <c r="R2671" s="26">
        <f>Q2671*G2671</f>
        <v/>
      </c>
      <c r="S2671" s="26">
        <f>IFERROR(VLOOKUP(E2671*1,Tabla[#All],8,0),0)</f>
        <v/>
      </c>
      <c r="T2671" s="26">
        <f>S2671*G2671</f>
        <v/>
      </c>
      <c r="U2671" s="26">
        <f>R2671-T2671</f>
        <v/>
      </c>
      <c r="V2671" s="26">
        <f>U2671-L2671</f>
        <v/>
      </c>
    </row>
    <row r="2672">
      <c r="A2672" s="11" t="n">
        <v>46229</v>
      </c>
      <c r="B2672" s="1" t="n">
        <v>20066</v>
      </c>
      <c r="C2672" s="1" t="inlineStr">
        <is>
          <t>058</t>
        </is>
      </c>
      <c r="D2672" s="1" t="inlineStr">
        <is>
          <t xml:space="preserve">61338 </t>
        </is>
      </c>
      <c r="E2672" s="1" t="inlineStr">
        <is>
          <t xml:space="preserve">31754675       </t>
        </is>
      </c>
      <c r="F2672" s="5" t="inlineStr">
        <is>
          <t>INFINITY NADO SERIE 6 STARTER PACK - 4 MODELOS</t>
        </is>
      </c>
      <c r="G2672" t="n">
        <v>1</v>
      </c>
      <c r="H2672" s="7" t="n">
        <v>49.9</v>
      </c>
      <c r="I2672" s="7" t="n">
        <v>0</v>
      </c>
      <c r="J2672" s="7" t="n">
        <v>0</v>
      </c>
      <c r="K2672" s="9" t="n">
        <v>0</v>
      </c>
      <c r="L2672" s="10" t="n">
        <v>29.6</v>
      </c>
      <c r="M2672" s="10" t="n">
        <v>1.43</v>
      </c>
      <c r="N2672" t="inlineStr">
        <is>
          <t>1</t>
        </is>
      </c>
      <c r="O2672" t="inlineStr">
        <is>
          <t>16</t>
        </is>
      </c>
      <c r="P2672" t="inlineStr">
        <is>
          <t xml:space="preserve">250269  </t>
        </is>
      </c>
      <c r="Q2672" s="26" t="n">
        <v>41.47</v>
      </c>
      <c r="R2672" s="26">
        <f>Q2672*G2672</f>
        <v/>
      </c>
      <c r="S2672" s="26">
        <f>IFERROR(VLOOKUP(E2672*1,Tabla[#All],8,0),0)</f>
        <v/>
      </c>
      <c r="T2672" s="26">
        <f>S2672*G2672</f>
        <v/>
      </c>
      <c r="U2672" s="26">
        <f>R2672-T2672</f>
        <v/>
      </c>
      <c r="V2672" s="26">
        <f>U2672-L2672</f>
        <v/>
      </c>
    </row>
    <row r="2673">
      <c r="A2673" s="11" t="n">
        <v>46229</v>
      </c>
      <c r="B2673" s="1" t="n">
        <v>20066</v>
      </c>
      <c r="C2673" s="1" t="inlineStr">
        <is>
          <t>059</t>
        </is>
      </c>
      <c r="D2673" s="1" t="inlineStr">
        <is>
          <t xml:space="preserve">20471 </t>
        </is>
      </c>
      <c r="E2673" s="1" t="inlineStr">
        <is>
          <t xml:space="preserve">28194770       </t>
        </is>
      </c>
      <c r="F2673" s="5" t="inlineStr">
        <is>
          <t>AUTOS DE METAL 3 TEAMSTERZ EN BLISTER</t>
        </is>
      </c>
      <c r="G2673" t="n">
        <v>1</v>
      </c>
      <c r="H2673" s="7" t="n">
        <v>6.9</v>
      </c>
      <c r="I2673" s="7" t="n">
        <v>0</v>
      </c>
      <c r="J2673" s="7" t="n">
        <v>0</v>
      </c>
      <c r="K2673" s="9" t="n">
        <v>0</v>
      </c>
      <c r="L2673" s="10" t="n">
        <v>4.1</v>
      </c>
      <c r="M2673" s="10" t="n">
        <v>1.43</v>
      </c>
      <c r="N2673" t="inlineStr">
        <is>
          <t>1</t>
        </is>
      </c>
      <c r="O2673" t="inlineStr">
        <is>
          <t>16</t>
        </is>
      </c>
      <c r="P2673" t="inlineStr">
        <is>
          <t xml:space="preserve">12745   </t>
        </is>
      </c>
      <c r="Q2673" s="26" t="n">
        <v>4.09</v>
      </c>
      <c r="R2673" s="26">
        <f>Q2673*G2673</f>
        <v/>
      </c>
      <c r="S2673" s="26">
        <f>IFERROR(VLOOKUP(E2673*1,Tabla[#All],8,0),0)</f>
        <v/>
      </c>
      <c r="T2673" s="26">
        <f>S2673*G2673</f>
        <v/>
      </c>
      <c r="U2673" s="26">
        <f>R2673-T2673</f>
        <v/>
      </c>
      <c r="V2673" s="26">
        <f>U2673-L2673</f>
        <v/>
      </c>
    </row>
    <row r="2674">
      <c r="A2674" s="11" t="n">
        <v>46229</v>
      </c>
      <c r="B2674" s="1" t="n">
        <v>20066</v>
      </c>
      <c r="C2674" s="1" t="inlineStr">
        <is>
          <t>059</t>
        </is>
      </c>
      <c r="D2674" s="1" t="inlineStr">
        <is>
          <t xml:space="preserve">20517 </t>
        </is>
      </c>
      <c r="E2674" s="1" t="inlineStr">
        <is>
          <t xml:space="preserve">28194770       </t>
        </is>
      </c>
      <c r="F2674" s="5" t="inlineStr">
        <is>
          <t>AUTOS DE METAL 3 TEAMSTERZ EN BLISTER</t>
        </is>
      </c>
      <c r="G2674" t="n">
        <v>1</v>
      </c>
      <c r="H2674" s="7" t="n">
        <v>6.9</v>
      </c>
      <c r="I2674" s="7" t="n">
        <v>0</v>
      </c>
      <c r="J2674" s="7" t="n">
        <v>0</v>
      </c>
      <c r="K2674" s="9" t="n">
        <v>0</v>
      </c>
      <c r="L2674" s="10" t="n">
        <v>4.1</v>
      </c>
      <c r="M2674" s="10" t="n">
        <v>1.43</v>
      </c>
      <c r="N2674" t="inlineStr">
        <is>
          <t>1</t>
        </is>
      </c>
      <c r="O2674" t="inlineStr">
        <is>
          <t>16</t>
        </is>
      </c>
      <c r="P2674" t="inlineStr">
        <is>
          <t xml:space="preserve">12745   </t>
        </is>
      </c>
      <c r="Q2674" s="26" t="n">
        <v>4.09</v>
      </c>
      <c r="R2674" s="26">
        <f>Q2674*G2674</f>
        <v/>
      </c>
      <c r="S2674" s="26">
        <f>IFERROR(VLOOKUP(E2674*1,Tabla[#All],8,0),0)</f>
        <v/>
      </c>
      <c r="T2674" s="26">
        <f>S2674*G2674</f>
        <v/>
      </c>
      <c r="U2674" s="26">
        <f>R2674-T2674</f>
        <v/>
      </c>
      <c r="V2674" s="26">
        <f>U2674-L2674</f>
        <v/>
      </c>
    </row>
    <row r="2675">
      <c r="A2675" s="11" t="n">
        <v>46229</v>
      </c>
      <c r="B2675" s="1" t="n">
        <v>20066</v>
      </c>
      <c r="C2675" s="1" t="inlineStr">
        <is>
          <t>061</t>
        </is>
      </c>
      <c r="D2675" s="1" t="inlineStr">
        <is>
          <t xml:space="preserve">36351 </t>
        </is>
      </c>
      <c r="E2675" s="1" t="inlineStr">
        <is>
          <t xml:space="preserve">28194770       </t>
        </is>
      </c>
      <c r="F2675" s="5" t="inlineStr">
        <is>
          <t>AUTOS DE METAL 3 TEAMSTERZ EN BLISTER</t>
        </is>
      </c>
      <c r="G2675" t="n">
        <v>1</v>
      </c>
      <c r="H2675" s="7" t="n">
        <v>6.9</v>
      </c>
      <c r="I2675" s="7" t="n">
        <v>0</v>
      </c>
      <c r="J2675" s="7" t="n">
        <v>0</v>
      </c>
      <c r="K2675" s="9" t="n">
        <v>0</v>
      </c>
      <c r="L2675" s="10" t="n">
        <v>4.1</v>
      </c>
      <c r="M2675" s="10" t="n">
        <v>1.43</v>
      </c>
      <c r="N2675" t="inlineStr">
        <is>
          <t>1</t>
        </is>
      </c>
      <c r="O2675" t="inlineStr">
        <is>
          <t xml:space="preserve">2 </t>
        </is>
      </c>
      <c r="P2675" t="inlineStr">
        <is>
          <t xml:space="preserve">43713   </t>
        </is>
      </c>
      <c r="Q2675" s="26" t="n">
        <v>4.09</v>
      </c>
      <c r="R2675" s="26">
        <f>Q2675*G2675</f>
        <v/>
      </c>
      <c r="S2675" s="26">
        <f>IFERROR(VLOOKUP(E2675*1,Tabla[#All],8,0),0)</f>
        <v/>
      </c>
      <c r="T2675" s="26">
        <f>S2675*G2675</f>
        <v/>
      </c>
      <c r="U2675" s="26">
        <f>R2675-T2675</f>
        <v/>
      </c>
      <c r="V2675" s="26">
        <f>U2675-L2675</f>
        <v/>
      </c>
    </row>
    <row r="2676">
      <c r="A2676" s="11" t="n">
        <v>46229</v>
      </c>
      <c r="B2676" s="1" t="n">
        <v>20069</v>
      </c>
      <c r="C2676" s="1" t="inlineStr">
        <is>
          <t>801</t>
        </is>
      </c>
      <c r="D2676" s="1" t="inlineStr">
        <is>
          <t xml:space="preserve">1820  </t>
        </is>
      </c>
      <c r="E2676" s="1" t="inlineStr">
        <is>
          <t xml:space="preserve">29235708       </t>
        </is>
      </c>
      <c r="F2676" s="5" t="inlineStr">
        <is>
          <t>TEAMSTERZ RESCATE POR AIRE Y MAR</t>
        </is>
      </c>
      <c r="G2676" t="n">
        <v>1</v>
      </c>
      <c r="H2676" s="7" t="n">
        <v>39.9</v>
      </c>
      <c r="I2676" s="7" t="n">
        <v>0</v>
      </c>
      <c r="J2676" s="7" t="n">
        <v>0</v>
      </c>
      <c r="K2676" s="9" t="n">
        <v>0</v>
      </c>
      <c r="L2676" s="10" t="n">
        <v>23.67</v>
      </c>
      <c r="M2676" s="10" t="n">
        <v>1.43</v>
      </c>
      <c r="N2676" t="inlineStr">
        <is>
          <t>1</t>
        </is>
      </c>
      <c r="O2676" t="inlineStr">
        <is>
          <t>16</t>
        </is>
      </c>
      <c r="P2676" t="inlineStr">
        <is>
          <t xml:space="preserve">0       </t>
        </is>
      </c>
      <c r="Q2676" s="26" t="n">
        <v>23.67</v>
      </c>
      <c r="R2676" s="26">
        <f>Q2676*G2676</f>
        <v/>
      </c>
      <c r="S2676" s="26">
        <f>IFERROR(VLOOKUP(E2676*1,Tabla[#All],8,0),0)</f>
        <v/>
      </c>
      <c r="T2676" s="26">
        <f>S2676*G2676</f>
        <v/>
      </c>
      <c r="U2676" s="26">
        <f>R2676-T2676</f>
        <v/>
      </c>
      <c r="V2676" s="26">
        <f>U2676-L2676</f>
        <v/>
      </c>
    </row>
    <row r="2677">
      <c r="A2677" s="11" t="n">
        <v>46229</v>
      </c>
      <c r="B2677" s="1" t="n">
        <v>20072</v>
      </c>
      <c r="C2677" s="1" t="inlineStr">
        <is>
          <t>033</t>
        </is>
      </c>
      <c r="D2677" s="1" t="inlineStr">
        <is>
          <t>285657</t>
        </is>
      </c>
      <c r="E2677" s="1" t="inlineStr">
        <is>
          <t xml:space="preserve">28194767       </t>
        </is>
      </c>
      <c r="F2677" s="5" t="inlineStr">
        <is>
          <t>CAMIONES TEAMSTERZ DE EMERGENCIA</t>
        </is>
      </c>
      <c r="G2677" t="n">
        <v>1</v>
      </c>
      <c r="H2677" s="7" t="n">
        <v>17.9</v>
      </c>
      <c r="I2677" s="7" t="n">
        <v>0</v>
      </c>
      <c r="J2677" s="7" t="n">
        <v>0</v>
      </c>
      <c r="K2677" s="9" t="n">
        <v>0</v>
      </c>
      <c r="L2677" s="10" t="n">
        <v>10.62</v>
      </c>
      <c r="M2677" s="10" t="n">
        <v>1.43</v>
      </c>
      <c r="N2677" t="inlineStr">
        <is>
          <t>1</t>
        </is>
      </c>
      <c r="O2677" t="inlineStr">
        <is>
          <t>16</t>
        </is>
      </c>
      <c r="P2677" t="inlineStr">
        <is>
          <t xml:space="preserve">91479   </t>
        </is>
      </c>
      <c r="Q2677" s="26" t="n">
        <v>10.62</v>
      </c>
      <c r="R2677" s="26">
        <f>Q2677*G2677</f>
        <v/>
      </c>
      <c r="S2677" s="26">
        <f>IFERROR(VLOOKUP(E2677*1,Tabla[#All],8,0),0)</f>
        <v/>
      </c>
      <c r="T2677" s="26">
        <f>S2677*G2677</f>
        <v/>
      </c>
      <c r="U2677" s="26">
        <f>R2677-T2677</f>
        <v/>
      </c>
      <c r="V2677" s="26">
        <f>U2677-L2677</f>
        <v/>
      </c>
    </row>
    <row r="2678">
      <c r="A2678" s="11" t="n">
        <v>46229</v>
      </c>
      <c r="B2678" s="1" t="n">
        <v>20072</v>
      </c>
      <c r="C2678" s="1" t="inlineStr">
        <is>
          <t>036</t>
        </is>
      </c>
      <c r="D2678" s="1" t="inlineStr">
        <is>
          <t>180508</t>
        </is>
      </c>
      <c r="E2678" s="1" t="inlineStr">
        <is>
          <t xml:space="preserve">28194780       </t>
        </is>
      </c>
      <c r="F2678" s="5" t="inlineStr">
        <is>
          <t>TROMPO BATALLA INFINITY NADO PLSTICO SURTIDO</t>
        </is>
      </c>
      <c r="G2678" t="n">
        <v>1</v>
      </c>
      <c r="H2678" s="7" t="n">
        <v>19.9</v>
      </c>
      <c r="I2678" s="7" t="n">
        <v>0</v>
      </c>
      <c r="J2678" s="7" t="n">
        <v>0</v>
      </c>
      <c r="K2678" s="9" t="n">
        <v>0</v>
      </c>
      <c r="L2678" s="10" t="n">
        <v>11.8</v>
      </c>
      <c r="M2678" s="10" t="n">
        <v>1.43</v>
      </c>
      <c r="N2678" t="inlineStr">
        <is>
          <t>1</t>
        </is>
      </c>
      <c r="O2678" t="inlineStr">
        <is>
          <t>16</t>
        </is>
      </c>
      <c r="P2678" t="inlineStr">
        <is>
          <t xml:space="preserve">71221   </t>
        </is>
      </c>
      <c r="Q2678" s="26" t="n">
        <v>11.81</v>
      </c>
      <c r="R2678" s="26">
        <f>Q2678*G2678</f>
        <v/>
      </c>
      <c r="S2678" s="26">
        <f>IFERROR(VLOOKUP(E2678*1,Tabla[#All],8,0),0)</f>
        <v/>
      </c>
      <c r="T2678" s="26">
        <f>S2678*G2678</f>
        <v/>
      </c>
      <c r="U2678" s="26">
        <f>R2678-T2678</f>
        <v/>
      </c>
      <c r="V2678" s="26">
        <f>U2678-L2678</f>
        <v/>
      </c>
    </row>
    <row r="2679">
      <c r="A2679" s="11" t="n">
        <v>46229</v>
      </c>
      <c r="B2679" s="1" t="n">
        <v>20072</v>
      </c>
      <c r="C2679" s="1" t="inlineStr">
        <is>
          <t>036</t>
        </is>
      </c>
      <c r="D2679" s="1" t="inlineStr">
        <is>
          <t>180508</t>
        </is>
      </c>
      <c r="E2679" s="1" t="inlineStr">
        <is>
          <t xml:space="preserve">28194782       </t>
        </is>
      </c>
      <c r="F2679" s="5" t="inlineStr">
        <is>
          <t>TROMPO BATALLA INFINITY NADO SERIE V ORIGINAL SURT</t>
        </is>
      </c>
      <c r="G2679" t="n">
        <v>1</v>
      </c>
      <c r="H2679" s="7" t="n">
        <v>49.9</v>
      </c>
      <c r="I2679" s="7" t="n">
        <v>0</v>
      </c>
      <c r="J2679" s="7" t="n">
        <v>0</v>
      </c>
      <c r="K2679" s="9" t="n">
        <v>0</v>
      </c>
      <c r="L2679" s="10" t="n">
        <v>29.6</v>
      </c>
      <c r="M2679" s="10" t="n">
        <v>1.43</v>
      </c>
      <c r="N2679" t="inlineStr">
        <is>
          <t>1</t>
        </is>
      </c>
      <c r="O2679" t="inlineStr">
        <is>
          <t>16</t>
        </is>
      </c>
      <c r="P2679" t="inlineStr">
        <is>
          <t xml:space="preserve">71221   </t>
        </is>
      </c>
      <c r="Q2679" s="26" t="n">
        <v>41.47</v>
      </c>
      <c r="R2679" s="26">
        <f>Q2679*G2679</f>
        <v/>
      </c>
      <c r="S2679" s="26">
        <f>IFERROR(VLOOKUP(E2679*1,Tabla[#All],8,0),0)</f>
        <v/>
      </c>
      <c r="T2679" s="26">
        <f>S2679*G2679</f>
        <v/>
      </c>
      <c r="U2679" s="26">
        <f>R2679-T2679</f>
        <v/>
      </c>
      <c r="V2679" s="26">
        <f>U2679-L2679</f>
        <v/>
      </c>
    </row>
    <row r="2680">
      <c r="A2680" s="11" t="n">
        <v>46229</v>
      </c>
      <c r="B2680" s="1" t="n">
        <v>20073</v>
      </c>
      <c r="C2680" s="1" t="inlineStr">
        <is>
          <t>016</t>
        </is>
      </c>
      <c r="D2680" s="1" t="inlineStr">
        <is>
          <t xml:space="preserve">14958 </t>
        </is>
      </c>
      <c r="E2680" s="1" t="inlineStr">
        <is>
          <t xml:space="preserve">28194770       </t>
        </is>
      </c>
      <c r="F2680" s="5" t="inlineStr">
        <is>
          <t>AUTOS DE METAL 3 TEAMSTERZ EN BLISTER</t>
        </is>
      </c>
      <c r="G2680" t="n">
        <v>1</v>
      </c>
      <c r="H2680" s="7" t="n">
        <v>6.9</v>
      </c>
      <c r="I2680" s="7" t="n">
        <v>0</v>
      </c>
      <c r="J2680" s="7" t="n">
        <v>0</v>
      </c>
      <c r="K2680" s="9" t="n">
        <v>0</v>
      </c>
      <c r="L2680" s="10" t="n">
        <v>4.1</v>
      </c>
      <c r="M2680" s="10" t="n">
        <v>1.43</v>
      </c>
      <c r="N2680" t="inlineStr">
        <is>
          <t>1</t>
        </is>
      </c>
      <c r="O2680" t="inlineStr">
        <is>
          <t>16</t>
        </is>
      </c>
      <c r="P2680" t="inlineStr">
        <is>
          <t xml:space="preserve">101947  </t>
        </is>
      </c>
      <c r="Q2680" s="26" t="n">
        <v>4.09</v>
      </c>
      <c r="R2680" s="26">
        <f>Q2680*G2680</f>
        <v/>
      </c>
      <c r="S2680" s="26">
        <f>IFERROR(VLOOKUP(E2680*1,Tabla[#All],8,0),0)</f>
        <v/>
      </c>
      <c r="T2680" s="26">
        <f>S2680*G2680</f>
        <v/>
      </c>
      <c r="U2680" s="26">
        <f>R2680-T2680</f>
        <v/>
      </c>
      <c r="V2680" s="26">
        <f>U2680-L2680</f>
        <v/>
      </c>
    </row>
    <row r="2681">
      <c r="A2681" s="11" t="n">
        <v>46229</v>
      </c>
      <c r="B2681" s="1" t="n">
        <v>20073</v>
      </c>
      <c r="C2681" s="1" t="inlineStr">
        <is>
          <t>016</t>
        </is>
      </c>
      <c r="D2681" s="1" t="inlineStr">
        <is>
          <t xml:space="preserve">14958 </t>
        </is>
      </c>
      <c r="E2681" s="1" t="inlineStr">
        <is>
          <t xml:space="preserve">28194770       </t>
        </is>
      </c>
      <c r="F2681" s="5" t="inlineStr">
        <is>
          <t>AUTOS DE METAL 3 TEAMSTERZ EN BLISTER</t>
        </is>
      </c>
      <c r="G2681" t="n">
        <v>1</v>
      </c>
      <c r="H2681" s="7" t="n">
        <v>6.9</v>
      </c>
      <c r="I2681" s="7" t="n">
        <v>0</v>
      </c>
      <c r="J2681" s="7" t="n">
        <v>0</v>
      </c>
      <c r="K2681" s="9" t="n">
        <v>0</v>
      </c>
      <c r="L2681" s="10" t="n">
        <v>4.1</v>
      </c>
      <c r="M2681" s="10" t="n">
        <v>1.43</v>
      </c>
      <c r="N2681" t="inlineStr">
        <is>
          <t>1</t>
        </is>
      </c>
      <c r="O2681" t="inlineStr">
        <is>
          <t>16</t>
        </is>
      </c>
      <c r="P2681" t="inlineStr">
        <is>
          <t xml:space="preserve">101947  </t>
        </is>
      </c>
      <c r="Q2681" s="26" t="n">
        <v>4.09</v>
      </c>
      <c r="R2681" s="26">
        <f>Q2681*G2681</f>
        <v/>
      </c>
      <c r="S2681" s="26">
        <f>IFERROR(VLOOKUP(E2681*1,Tabla[#All],8,0),0)</f>
        <v/>
      </c>
      <c r="T2681" s="26">
        <f>S2681*G2681</f>
        <v/>
      </c>
      <c r="U2681" s="26">
        <f>R2681-T2681</f>
        <v/>
      </c>
      <c r="V2681" s="26">
        <f>U2681-L2681</f>
        <v/>
      </c>
    </row>
    <row r="2682">
      <c r="A2682" s="11" t="n">
        <v>46229</v>
      </c>
      <c r="B2682" s="1" t="n">
        <v>20073</v>
      </c>
      <c r="C2682" s="1" t="inlineStr">
        <is>
          <t>016</t>
        </is>
      </c>
      <c r="D2682" s="1" t="inlineStr">
        <is>
          <t xml:space="preserve">14958 </t>
        </is>
      </c>
      <c r="E2682" s="1" t="inlineStr">
        <is>
          <t xml:space="preserve">28194770       </t>
        </is>
      </c>
      <c r="F2682" s="5" t="inlineStr">
        <is>
          <t>AUTOS DE METAL 3 TEAMSTERZ EN BLISTER</t>
        </is>
      </c>
      <c r="G2682" t="n">
        <v>1</v>
      </c>
      <c r="H2682" s="7" t="n">
        <v>6.9</v>
      </c>
      <c r="I2682" s="7" t="n">
        <v>0</v>
      </c>
      <c r="J2682" s="7" t="n">
        <v>0</v>
      </c>
      <c r="K2682" s="9" t="n">
        <v>0</v>
      </c>
      <c r="L2682" s="10" t="n">
        <v>4.1</v>
      </c>
      <c r="M2682" s="10" t="n">
        <v>1.43</v>
      </c>
      <c r="N2682" t="inlineStr">
        <is>
          <t>1</t>
        </is>
      </c>
      <c r="O2682" t="inlineStr">
        <is>
          <t>16</t>
        </is>
      </c>
      <c r="P2682" t="inlineStr">
        <is>
          <t xml:space="preserve">101947  </t>
        </is>
      </c>
      <c r="Q2682" s="26" t="n">
        <v>4.09</v>
      </c>
      <c r="R2682" s="26">
        <f>Q2682*G2682</f>
        <v/>
      </c>
      <c r="S2682" s="26">
        <f>IFERROR(VLOOKUP(E2682*1,Tabla[#All],8,0),0)</f>
        <v/>
      </c>
      <c r="T2682" s="26">
        <f>S2682*G2682</f>
        <v/>
      </c>
      <c r="U2682" s="26">
        <f>R2682-T2682</f>
        <v/>
      </c>
      <c r="V2682" s="26">
        <f>U2682-L2682</f>
        <v/>
      </c>
    </row>
    <row r="2683">
      <c r="A2683" s="11" t="n">
        <v>46229</v>
      </c>
      <c r="B2683" s="1" t="n">
        <v>20073</v>
      </c>
      <c r="C2683" s="1" t="inlineStr">
        <is>
          <t>016</t>
        </is>
      </c>
      <c r="D2683" s="1" t="inlineStr">
        <is>
          <t xml:space="preserve">14979 </t>
        </is>
      </c>
      <c r="E2683" s="1" t="inlineStr">
        <is>
          <t xml:space="preserve">28194770       </t>
        </is>
      </c>
      <c r="F2683" s="5" t="inlineStr">
        <is>
          <t>AUTOS DE METAL 3 TEAMSTERZ EN BLISTER</t>
        </is>
      </c>
      <c r="G2683" t="n">
        <v>1</v>
      </c>
      <c r="H2683" s="7" t="n">
        <v>6.9</v>
      </c>
      <c r="I2683" s="7" t="n">
        <v>0</v>
      </c>
      <c r="J2683" s="7" t="n">
        <v>0</v>
      </c>
      <c r="K2683" s="9" t="n">
        <v>0</v>
      </c>
      <c r="L2683" s="10" t="n">
        <v>4.1</v>
      </c>
      <c r="M2683" s="10" t="n">
        <v>1.43</v>
      </c>
      <c r="N2683" t="inlineStr">
        <is>
          <t>1</t>
        </is>
      </c>
      <c r="O2683" t="inlineStr">
        <is>
          <t xml:space="preserve">2 </t>
        </is>
      </c>
      <c r="P2683" t="inlineStr">
        <is>
          <t xml:space="preserve">101947  </t>
        </is>
      </c>
      <c r="Q2683" s="26" t="n">
        <v>4.09</v>
      </c>
      <c r="R2683" s="26">
        <f>Q2683*G2683</f>
        <v/>
      </c>
      <c r="S2683" s="26">
        <f>IFERROR(VLOOKUP(E2683*1,Tabla[#All],8,0),0)</f>
        <v/>
      </c>
      <c r="T2683" s="26">
        <f>S2683*G2683</f>
        <v/>
      </c>
      <c r="U2683" s="26">
        <f>R2683-T2683</f>
        <v/>
      </c>
      <c r="V2683" s="26">
        <f>U2683-L2683</f>
        <v/>
      </c>
    </row>
    <row r="2684">
      <c r="A2684" s="11" t="n">
        <v>46229</v>
      </c>
      <c r="B2684" s="1" t="n">
        <v>20073</v>
      </c>
      <c r="C2684" s="1" t="inlineStr">
        <is>
          <t>016</t>
        </is>
      </c>
      <c r="D2684" s="1" t="inlineStr">
        <is>
          <t xml:space="preserve">14979 </t>
        </is>
      </c>
      <c r="E2684" s="1" t="inlineStr">
        <is>
          <t xml:space="preserve">30141766       </t>
        </is>
      </c>
      <c r="F2684" s="5" t="inlineStr">
        <is>
          <t>TMZ BEAST MACHINES AUTOS DE METAL BLISTER X 1</t>
        </is>
      </c>
      <c r="G2684" t="n">
        <v>1</v>
      </c>
      <c r="H2684" s="7" t="n">
        <v>7.9</v>
      </c>
      <c r="I2684" s="7" t="n">
        <v>0</v>
      </c>
      <c r="J2684" s="7" t="n">
        <v>0</v>
      </c>
      <c r="K2684" s="9" t="n">
        <v>0</v>
      </c>
      <c r="L2684" s="10" t="n">
        <v>4.68</v>
      </c>
      <c r="M2684" s="10" t="n">
        <v>1.43</v>
      </c>
      <c r="N2684" t="inlineStr">
        <is>
          <t>1</t>
        </is>
      </c>
      <c r="O2684" t="inlineStr">
        <is>
          <t xml:space="preserve">2 </t>
        </is>
      </c>
      <c r="P2684" t="inlineStr">
        <is>
          <t xml:space="preserve">101947  </t>
        </is>
      </c>
      <c r="Q2684" s="26" t="n">
        <v>4.69</v>
      </c>
      <c r="R2684" s="26">
        <f>Q2684*G2684</f>
        <v/>
      </c>
      <c r="S2684" s="26">
        <f>IFERROR(VLOOKUP(E2684*1,Tabla[#All],8,0),0)</f>
        <v/>
      </c>
      <c r="T2684" s="26">
        <f>S2684*G2684</f>
        <v/>
      </c>
      <c r="U2684" s="26">
        <f>R2684-T2684</f>
        <v/>
      </c>
      <c r="V2684" s="26">
        <f>U2684-L2684</f>
        <v/>
      </c>
    </row>
    <row r="2685">
      <c r="A2685" s="11" t="n">
        <v>46229</v>
      </c>
      <c r="B2685" s="1" t="n">
        <v>20073</v>
      </c>
      <c r="C2685" s="1" t="inlineStr">
        <is>
          <t>034</t>
        </is>
      </c>
      <c r="D2685" s="1" t="inlineStr">
        <is>
          <t>345637</t>
        </is>
      </c>
      <c r="E2685" s="1" t="inlineStr">
        <is>
          <t xml:space="preserve">32457099       </t>
        </is>
      </c>
      <c r="F2685" s="5" t="inlineStr">
        <is>
          <t>TMZ BEAST MACHINES MONSTER JAWS A FRICCION BLISTER</t>
        </is>
      </c>
      <c r="G2685" t="n">
        <v>1</v>
      </c>
      <c r="H2685" s="7" t="n">
        <v>17.9</v>
      </c>
      <c r="I2685" s="7" t="n">
        <v>0</v>
      </c>
      <c r="J2685" s="7" t="n">
        <v>0</v>
      </c>
      <c r="K2685" s="9" t="n">
        <v>0</v>
      </c>
      <c r="L2685" s="10" t="n">
        <v>10.62</v>
      </c>
      <c r="M2685" s="10" t="n">
        <v>1.43</v>
      </c>
      <c r="N2685" t="inlineStr">
        <is>
          <t>1</t>
        </is>
      </c>
      <c r="O2685" t="inlineStr">
        <is>
          <t>16</t>
        </is>
      </c>
      <c r="P2685" t="inlineStr">
        <is>
          <t xml:space="preserve">250460  </t>
        </is>
      </c>
      <c r="Q2685" s="26" t="n">
        <v>11.81</v>
      </c>
      <c r="R2685" s="26">
        <f>Q2685*G2685</f>
        <v/>
      </c>
      <c r="S2685" s="26">
        <f>IFERROR(VLOOKUP(E2685*1,Tabla[#All],8,0),0)</f>
        <v/>
      </c>
      <c r="T2685" s="26">
        <f>S2685*G2685</f>
        <v/>
      </c>
      <c r="U2685" s="26">
        <f>R2685-T2685</f>
        <v/>
      </c>
      <c r="V2685" s="26">
        <f>U2685-L2685</f>
        <v/>
      </c>
    </row>
    <row r="2686">
      <c r="A2686" s="11" t="n">
        <v>46229</v>
      </c>
      <c r="B2686" s="1" t="n">
        <v>20073</v>
      </c>
      <c r="C2686" s="1" t="inlineStr">
        <is>
          <t>045</t>
        </is>
      </c>
      <c r="D2686" s="1" t="inlineStr">
        <is>
          <t>149915</t>
        </is>
      </c>
      <c r="E2686" s="1" t="inlineStr">
        <is>
          <t xml:space="preserve">30141766       </t>
        </is>
      </c>
      <c r="F2686" s="5" t="inlineStr">
        <is>
          <t>TMZ BEAST MACHINES AUTOS DE METAL BLISTER X 1</t>
        </is>
      </c>
      <c r="G2686" t="n">
        <v>1</v>
      </c>
      <c r="H2686" s="7" t="n">
        <v>7.9</v>
      </c>
      <c r="I2686" s="7" t="n">
        <v>0</v>
      </c>
      <c r="J2686" s="7" t="n">
        <v>0</v>
      </c>
      <c r="K2686" s="9" t="n">
        <v>0</v>
      </c>
      <c r="L2686" s="10" t="n">
        <v>4.68</v>
      </c>
      <c r="M2686" s="10" t="n">
        <v>1.43</v>
      </c>
      <c r="N2686" t="inlineStr">
        <is>
          <t>1</t>
        </is>
      </c>
      <c r="O2686" t="inlineStr">
        <is>
          <t>16</t>
        </is>
      </c>
      <c r="P2686" t="inlineStr">
        <is>
          <t xml:space="preserve">73225   </t>
        </is>
      </c>
      <c r="Q2686" s="26" t="n">
        <v>4.69</v>
      </c>
      <c r="R2686" s="26">
        <f>Q2686*G2686</f>
        <v/>
      </c>
      <c r="S2686" s="26">
        <f>IFERROR(VLOOKUP(E2686*1,Tabla[#All],8,0),0)</f>
        <v/>
      </c>
      <c r="T2686" s="26">
        <f>S2686*G2686</f>
        <v/>
      </c>
      <c r="U2686" s="26">
        <f>R2686-T2686</f>
        <v/>
      </c>
      <c r="V2686" s="26">
        <f>U2686-L2686</f>
        <v/>
      </c>
    </row>
    <row r="2687">
      <c r="A2687" s="11" t="n">
        <v>46229</v>
      </c>
      <c r="B2687" s="1" t="n">
        <v>20073</v>
      </c>
      <c r="C2687" s="1" t="inlineStr">
        <is>
          <t>045</t>
        </is>
      </c>
      <c r="D2687" s="1" t="inlineStr">
        <is>
          <t>149915</t>
        </is>
      </c>
      <c r="E2687" s="1" t="inlineStr">
        <is>
          <t xml:space="preserve">30141766       </t>
        </is>
      </c>
      <c r="F2687" s="5" t="inlineStr">
        <is>
          <t>TMZ BEAST MACHINES AUTOS DE METAL BLISTER X 1</t>
        </is>
      </c>
      <c r="G2687" t="n">
        <v>1</v>
      </c>
      <c r="H2687" s="7" t="n">
        <v>7.9</v>
      </c>
      <c r="I2687" s="7" t="n">
        <v>0</v>
      </c>
      <c r="J2687" s="7" t="n">
        <v>0</v>
      </c>
      <c r="K2687" s="9" t="n">
        <v>0</v>
      </c>
      <c r="L2687" s="10" t="n">
        <v>4.68</v>
      </c>
      <c r="M2687" s="10" t="n">
        <v>1.43</v>
      </c>
      <c r="N2687" t="inlineStr">
        <is>
          <t>1</t>
        </is>
      </c>
      <c r="O2687" t="inlineStr">
        <is>
          <t>16</t>
        </is>
      </c>
      <c r="P2687" t="inlineStr">
        <is>
          <t xml:space="preserve">73225   </t>
        </is>
      </c>
      <c r="Q2687" s="26" t="n">
        <v>4.69</v>
      </c>
      <c r="R2687" s="26">
        <f>Q2687*G2687</f>
        <v/>
      </c>
      <c r="S2687" s="26">
        <f>IFERROR(VLOOKUP(E2687*1,Tabla[#All],8,0),0)</f>
        <v/>
      </c>
      <c r="T2687" s="26">
        <f>S2687*G2687</f>
        <v/>
      </c>
      <c r="U2687" s="26">
        <f>R2687-T2687</f>
        <v/>
      </c>
      <c r="V2687" s="26">
        <f>U2687-L2687</f>
        <v/>
      </c>
    </row>
    <row r="2688">
      <c r="A2688" s="11" t="n">
        <v>46229</v>
      </c>
      <c r="B2688" s="1" t="n">
        <v>20073</v>
      </c>
      <c r="C2688" s="1" t="inlineStr">
        <is>
          <t>045</t>
        </is>
      </c>
      <c r="D2688" s="1" t="inlineStr">
        <is>
          <t>149919</t>
        </is>
      </c>
      <c r="E2688" s="1" t="inlineStr">
        <is>
          <t xml:space="preserve">31959959       </t>
        </is>
      </c>
      <c r="F2688" s="5" t="inlineStr">
        <is>
          <t>TMZ CAMBIA DE COLOR LANZADOR SPIN SPLASH + 1 AUTO</t>
        </is>
      </c>
      <c r="G2688" t="n">
        <v>1</v>
      </c>
      <c r="H2688" s="7" t="n">
        <v>14.9</v>
      </c>
      <c r="I2688" s="7" t="n">
        <v>0</v>
      </c>
      <c r="J2688" s="7" t="n">
        <v>0</v>
      </c>
      <c r="K2688" s="9" t="n">
        <v>0</v>
      </c>
      <c r="L2688" s="10" t="n">
        <v>8.84</v>
      </c>
      <c r="M2688" s="10" t="n">
        <v>1.43</v>
      </c>
      <c r="N2688" t="inlineStr">
        <is>
          <t>1</t>
        </is>
      </c>
      <c r="O2688" t="inlineStr">
        <is>
          <t xml:space="preserve">2 </t>
        </is>
      </c>
      <c r="P2688" t="inlineStr">
        <is>
          <t xml:space="preserve">73225   </t>
        </is>
      </c>
      <c r="Q2688" s="26" t="n">
        <v>23.67</v>
      </c>
      <c r="R2688" s="26">
        <f>Q2688*G2688</f>
        <v/>
      </c>
      <c r="S2688" s="26">
        <f>IFERROR(VLOOKUP(E2688*1,Tabla[#All],8,0),0)</f>
        <v/>
      </c>
      <c r="T2688" s="26">
        <f>S2688*G2688</f>
        <v/>
      </c>
      <c r="U2688" s="26">
        <f>R2688-T2688</f>
        <v/>
      </c>
      <c r="V2688" s="26">
        <f>U2688-L2688</f>
        <v/>
      </c>
    </row>
    <row r="2689">
      <c r="A2689" s="11" t="n">
        <v>46229</v>
      </c>
      <c r="B2689" s="1" t="n">
        <v>20073</v>
      </c>
      <c r="C2689" s="1" t="inlineStr">
        <is>
          <t>510</t>
        </is>
      </c>
      <c r="D2689" s="1" t="inlineStr">
        <is>
          <t xml:space="preserve">7460  </t>
        </is>
      </c>
      <c r="E2689" s="1" t="inlineStr">
        <is>
          <t xml:space="preserve">28194770       </t>
        </is>
      </c>
      <c r="F2689" s="5" t="inlineStr">
        <is>
          <t>AUTOS DE METAL 3 TEAMSTERZ EN BLISTER</t>
        </is>
      </c>
      <c r="G2689" t="n">
        <v>1</v>
      </c>
      <c r="H2689" s="7" t="n">
        <v>6.9</v>
      </c>
      <c r="I2689" s="7" t="n">
        <v>0</v>
      </c>
      <c r="J2689" s="7" t="n">
        <v>0</v>
      </c>
      <c r="K2689" s="9" t="n">
        <v>0</v>
      </c>
      <c r="L2689" s="10" t="n">
        <v>4.1</v>
      </c>
      <c r="M2689" s="10" t="n">
        <v>1.43</v>
      </c>
      <c r="N2689" t="inlineStr">
        <is>
          <t>1</t>
        </is>
      </c>
      <c r="O2689" t="inlineStr">
        <is>
          <t>16</t>
        </is>
      </c>
      <c r="P2689" t="inlineStr">
        <is>
          <t xml:space="preserve">101947  </t>
        </is>
      </c>
      <c r="Q2689" s="26" t="n">
        <v>4.09</v>
      </c>
      <c r="R2689" s="26">
        <f>Q2689*G2689</f>
        <v/>
      </c>
      <c r="S2689" s="26">
        <f>IFERROR(VLOOKUP(E2689*1,Tabla[#All],8,0),0)</f>
        <v/>
      </c>
      <c r="T2689" s="26">
        <f>S2689*G2689</f>
        <v/>
      </c>
      <c r="U2689" s="26">
        <f>R2689-T2689</f>
        <v/>
      </c>
      <c r="V2689" s="26">
        <f>U2689-L2689</f>
        <v/>
      </c>
    </row>
    <row r="2690">
      <c r="A2690" s="11" t="n">
        <v>46229</v>
      </c>
      <c r="B2690" s="1" t="n">
        <v>20074</v>
      </c>
      <c r="C2690" s="1" t="inlineStr">
        <is>
          <t>024</t>
        </is>
      </c>
      <c r="D2690" s="1" t="inlineStr">
        <is>
          <t>365955</t>
        </is>
      </c>
      <c r="E2690" s="1" t="inlineStr">
        <is>
          <t xml:space="preserve">28194770       </t>
        </is>
      </c>
      <c r="F2690" s="5" t="inlineStr">
        <is>
          <t>AUTOS DE METAL 3 TEAMSTERZ EN BLISTER</t>
        </is>
      </c>
      <c r="G2690" t="n">
        <v>1</v>
      </c>
      <c r="H2690" s="7" t="n">
        <v>6.9</v>
      </c>
      <c r="I2690" s="7" t="n">
        <v>0</v>
      </c>
      <c r="J2690" s="7" t="n">
        <v>0</v>
      </c>
      <c r="K2690" s="9" t="n">
        <v>0</v>
      </c>
      <c r="L2690" s="10" t="n">
        <v>4.1</v>
      </c>
      <c r="M2690" s="10" t="n">
        <v>1.43</v>
      </c>
      <c r="N2690" t="inlineStr">
        <is>
          <t>1</t>
        </is>
      </c>
      <c r="O2690" t="inlineStr">
        <is>
          <t>16</t>
        </is>
      </c>
      <c r="P2690" t="inlineStr">
        <is>
          <t xml:space="preserve">251008  </t>
        </is>
      </c>
      <c r="Q2690" s="26" t="n">
        <v>4.09</v>
      </c>
      <c r="R2690" s="26">
        <f>Q2690*G2690</f>
        <v/>
      </c>
      <c r="S2690" s="26">
        <f>IFERROR(VLOOKUP(E2690*1,Tabla[#All],8,0),0)</f>
        <v/>
      </c>
      <c r="T2690" s="26">
        <f>S2690*G2690</f>
        <v/>
      </c>
      <c r="U2690" s="26">
        <f>R2690-T2690</f>
        <v/>
      </c>
      <c r="V2690" s="26">
        <f>U2690-L2690</f>
        <v/>
      </c>
    </row>
    <row r="2691">
      <c r="A2691" s="11" t="n">
        <v>46229</v>
      </c>
      <c r="B2691" s="1" t="n">
        <v>20074</v>
      </c>
      <c r="C2691" s="1" t="inlineStr">
        <is>
          <t>028</t>
        </is>
      </c>
      <c r="D2691" s="1" t="inlineStr">
        <is>
          <t>184899</t>
        </is>
      </c>
      <c r="E2691" s="1" t="inlineStr">
        <is>
          <t xml:space="preserve">33483121       </t>
        </is>
      </c>
      <c r="F2691" s="5" t="inlineStr">
        <is>
          <t>HOT WHEELS ESTUCHE PARA 15 AUTOS SURTIDO</t>
        </is>
      </c>
      <c r="G2691" t="n">
        <v>1</v>
      </c>
      <c r="H2691" s="7" t="n">
        <v>34.9</v>
      </c>
      <c r="I2691" s="7" t="n">
        <v>0</v>
      </c>
      <c r="J2691" s="7" t="n">
        <v>0</v>
      </c>
      <c r="K2691" s="9" t="n">
        <v>0</v>
      </c>
      <c r="L2691" s="10" t="n">
        <v>20.71</v>
      </c>
      <c r="M2691" s="10" t="n">
        <v>1.43</v>
      </c>
      <c r="N2691" t="inlineStr">
        <is>
          <t>1</t>
        </is>
      </c>
      <c r="O2691" t="inlineStr">
        <is>
          <t>16</t>
        </is>
      </c>
      <c r="P2691" t="inlineStr">
        <is>
          <t xml:space="preserve">12059   </t>
        </is>
      </c>
      <c r="Q2691" s="26" t="n">
        <v>20.7</v>
      </c>
      <c r="R2691" s="26">
        <f>Q2691*G2691</f>
        <v/>
      </c>
      <c r="S2691" s="26">
        <f>IFERROR(VLOOKUP(E2691*1,Tabla[#All],8,0),0)</f>
        <v/>
      </c>
      <c r="T2691" s="26">
        <f>S2691*G2691</f>
        <v/>
      </c>
      <c r="U2691" s="26">
        <f>R2691-T2691</f>
        <v/>
      </c>
      <c r="V2691" s="26">
        <f>U2691-L2691</f>
        <v/>
      </c>
    </row>
    <row r="2692">
      <c r="A2692" s="11" t="n">
        <v>46229</v>
      </c>
      <c r="B2692" s="1" t="n">
        <v>20074</v>
      </c>
      <c r="C2692" s="1" t="inlineStr">
        <is>
          <t>028</t>
        </is>
      </c>
      <c r="D2692" s="1" t="inlineStr">
        <is>
          <t>185015</t>
        </is>
      </c>
      <c r="E2692" s="1" t="inlineStr">
        <is>
          <t xml:space="preserve">34840551       </t>
        </is>
      </c>
      <c r="F2692" s="5" t="inlineStr">
        <is>
          <t>TMZ HELI BOMBERO CON LUCES Y SONIDOS</t>
        </is>
      </c>
      <c r="G2692" t="n">
        <v>1</v>
      </c>
      <c r="H2692" s="7" t="n">
        <v>79.90000000000001</v>
      </c>
      <c r="I2692" s="7" t="n">
        <v>7.99</v>
      </c>
      <c r="J2692" s="7" t="n">
        <v>0</v>
      </c>
      <c r="K2692" s="9" t="n">
        <v>7.99</v>
      </c>
      <c r="L2692" s="10" t="n">
        <v>42.66</v>
      </c>
      <c r="M2692" s="10" t="n">
        <v>1.43</v>
      </c>
      <c r="N2692" t="inlineStr">
        <is>
          <t>1</t>
        </is>
      </c>
      <c r="O2692" t="inlineStr">
        <is>
          <t xml:space="preserve">3 </t>
        </is>
      </c>
      <c r="P2692" t="inlineStr">
        <is>
          <t xml:space="preserve">12059   </t>
        </is>
      </c>
      <c r="Q2692" s="26" t="n">
        <v>47.4</v>
      </c>
      <c r="R2692" s="26">
        <f>Q2692*G2692</f>
        <v/>
      </c>
      <c r="S2692" s="26">
        <f>IFERROR(VLOOKUP(E2692*1,Tabla[#All],8,0),0)</f>
        <v/>
      </c>
      <c r="T2692" s="26">
        <f>S2692*G2692</f>
        <v/>
      </c>
      <c r="U2692" s="26">
        <f>R2692-T2692</f>
        <v/>
      </c>
      <c r="V2692" s="26">
        <f>U2692-L2692</f>
        <v/>
      </c>
    </row>
    <row r="2693">
      <c r="A2693" s="11" t="n">
        <v>46229</v>
      </c>
      <c r="B2693" s="1" t="n">
        <v>20077</v>
      </c>
      <c r="C2693" s="1" t="inlineStr">
        <is>
          <t>801</t>
        </is>
      </c>
      <c r="D2693" s="1" t="inlineStr">
        <is>
          <t xml:space="preserve">2319  </t>
        </is>
      </c>
      <c r="E2693" s="1" t="inlineStr">
        <is>
          <t xml:space="preserve">32457099       </t>
        </is>
      </c>
      <c r="F2693" s="5" t="inlineStr">
        <is>
          <t>TMZ BEAST MACHINES MONSTER JAWS A FRICCION BLISTER</t>
        </is>
      </c>
      <c r="G2693" t="n">
        <v>1</v>
      </c>
      <c r="H2693" s="7" t="n">
        <v>17.9</v>
      </c>
      <c r="I2693" s="7" t="n">
        <v>1.79</v>
      </c>
      <c r="J2693" s="7" t="n">
        <v>0</v>
      </c>
      <c r="K2693" s="9" t="n">
        <v>1.79</v>
      </c>
      <c r="L2693" s="10" t="n">
        <v>9.56</v>
      </c>
      <c r="M2693" s="10" t="n">
        <v>1.43</v>
      </c>
      <c r="N2693" t="inlineStr">
        <is>
          <t>1</t>
        </is>
      </c>
      <c r="O2693" t="inlineStr">
        <is>
          <t>16</t>
        </is>
      </c>
      <c r="P2693" t="inlineStr">
        <is>
          <t xml:space="preserve">55315   </t>
        </is>
      </c>
      <c r="Q2693" s="26" t="n">
        <v>11.81</v>
      </c>
      <c r="R2693" s="26">
        <f>Q2693*G2693</f>
        <v/>
      </c>
      <c r="S2693" s="26">
        <f>IFERROR(VLOOKUP(E2693*1,Tabla[#All],8,0),0)</f>
        <v/>
      </c>
      <c r="T2693" s="26">
        <f>S2693*G2693</f>
        <v/>
      </c>
      <c r="U2693" s="26">
        <f>R2693-T2693</f>
        <v/>
      </c>
      <c r="V2693" s="26">
        <f>U2693-L2693</f>
        <v/>
      </c>
    </row>
    <row r="2694">
      <c r="A2694" s="11" t="n">
        <v>46229</v>
      </c>
      <c r="B2694" s="1" t="n">
        <v>20079</v>
      </c>
      <c r="C2694" s="1" t="inlineStr">
        <is>
          <t>045</t>
        </is>
      </c>
      <c r="D2694" s="1" t="inlineStr">
        <is>
          <t>333469</t>
        </is>
      </c>
      <c r="E2694" s="1" t="inlineStr">
        <is>
          <t xml:space="preserve">28194783       </t>
        </is>
      </c>
      <c r="F2694" s="5" t="inlineStr">
        <is>
          <t>SET DE BATALLA INFINITY NADO CON 2 TROMPOS</t>
        </is>
      </c>
      <c r="G2694" t="n">
        <v>1</v>
      </c>
      <c r="H2694" s="7" t="n">
        <v>159</v>
      </c>
      <c r="I2694" s="7" t="n">
        <v>30</v>
      </c>
      <c r="J2694" s="7" t="n">
        <v>0</v>
      </c>
      <c r="K2694" s="9" t="n">
        <v>30</v>
      </c>
      <c r="L2694" s="10" t="n">
        <v>76.52</v>
      </c>
      <c r="M2694" s="10" t="n">
        <v>1.43</v>
      </c>
      <c r="N2694" t="inlineStr">
        <is>
          <t>1</t>
        </is>
      </c>
      <c r="O2694" t="inlineStr">
        <is>
          <t xml:space="preserve">2 </t>
        </is>
      </c>
      <c r="P2694" t="inlineStr">
        <is>
          <t xml:space="preserve">38146   </t>
        </is>
      </c>
      <c r="Q2694" s="26" t="n">
        <v>94.31999999999999</v>
      </c>
      <c r="R2694" s="26">
        <f>Q2694*G2694</f>
        <v/>
      </c>
      <c r="S2694" s="26">
        <f>IFERROR(VLOOKUP(E2694*1,Tabla[#All],8,0),0)</f>
        <v/>
      </c>
      <c r="T2694" s="26">
        <f>S2694*G2694</f>
        <v/>
      </c>
      <c r="U2694" s="26">
        <f>R2694-T2694</f>
        <v/>
      </c>
      <c r="V2694" s="26">
        <f>U2694-L2694</f>
        <v/>
      </c>
    </row>
    <row r="2695">
      <c r="A2695" s="11" t="n">
        <v>46229</v>
      </c>
      <c r="B2695" s="1" t="n">
        <v>20079</v>
      </c>
      <c r="C2695" s="1" t="inlineStr">
        <is>
          <t>045</t>
        </is>
      </c>
      <c r="D2695" s="1" t="inlineStr">
        <is>
          <t>333488</t>
        </is>
      </c>
      <c r="E2695" s="1" t="inlineStr">
        <is>
          <t xml:space="preserve">30141780       </t>
        </is>
      </c>
      <c r="F2695" s="5" t="inlineStr">
        <is>
          <t>RELOJ DIGITAL PEPPA PIG</t>
        </is>
      </c>
      <c r="G2695" t="n">
        <v>1</v>
      </c>
      <c r="H2695" s="7" t="n">
        <v>18.9</v>
      </c>
      <c r="I2695" s="7" t="n">
        <v>0</v>
      </c>
      <c r="J2695" s="7" t="n">
        <v>0</v>
      </c>
      <c r="K2695" s="9" t="n">
        <v>0</v>
      </c>
      <c r="L2695" s="10" t="n">
        <v>11.21</v>
      </c>
      <c r="M2695" s="10" t="n">
        <v>1.43</v>
      </c>
      <c r="N2695" t="inlineStr">
        <is>
          <t>1</t>
        </is>
      </c>
      <c r="O2695" t="inlineStr">
        <is>
          <t>16</t>
        </is>
      </c>
      <c r="P2695" t="inlineStr">
        <is>
          <t xml:space="preserve">38146   </t>
        </is>
      </c>
      <c r="Q2695" s="26" t="n">
        <v>11.21</v>
      </c>
      <c r="R2695" s="26">
        <f>Q2695*G2695</f>
        <v/>
      </c>
      <c r="S2695" s="26">
        <f>IFERROR(VLOOKUP(E2695*1,Tabla[#All],8,0),0)</f>
        <v/>
      </c>
      <c r="T2695" s="26">
        <f>S2695*G2695</f>
        <v/>
      </c>
      <c r="U2695" s="26">
        <f>R2695-T2695</f>
        <v/>
      </c>
      <c r="V2695" s="26">
        <f>U2695-L2695</f>
        <v/>
      </c>
    </row>
    <row r="2696">
      <c r="A2696" s="11" t="n">
        <v>46229</v>
      </c>
      <c r="B2696" s="1" t="n">
        <v>20079</v>
      </c>
      <c r="C2696" s="1" t="inlineStr">
        <is>
          <t>051</t>
        </is>
      </c>
      <c r="D2696" s="1" t="inlineStr">
        <is>
          <t>237204</t>
        </is>
      </c>
      <c r="E2696" s="1" t="inlineStr">
        <is>
          <t xml:space="preserve">28194769       </t>
        </is>
      </c>
      <c r="F2696" s="5" t="inlineStr">
        <is>
          <t>AUTOS DE METAL 3 TEAMSTERZ PACK DE 2</t>
        </is>
      </c>
      <c r="G2696" t="n">
        <v>1</v>
      </c>
      <c r="H2696" s="7" t="n">
        <v>13.8</v>
      </c>
      <c r="I2696" s="7" t="n">
        <v>0</v>
      </c>
      <c r="J2696" s="7" t="n">
        <v>0</v>
      </c>
      <c r="K2696" s="9" t="n">
        <v>0</v>
      </c>
      <c r="L2696" s="10" t="n">
        <v>8.18</v>
      </c>
      <c r="M2696" s="10" t="n">
        <v>1.43</v>
      </c>
      <c r="N2696" t="inlineStr">
        <is>
          <t>1</t>
        </is>
      </c>
      <c r="O2696" t="inlineStr">
        <is>
          <t>16</t>
        </is>
      </c>
      <c r="P2696" t="inlineStr">
        <is>
          <t xml:space="preserve">61558   </t>
        </is>
      </c>
      <c r="Q2696" s="26" t="n">
        <v>8.19</v>
      </c>
      <c r="R2696" s="26">
        <f>Q2696*G2696</f>
        <v/>
      </c>
      <c r="S2696" s="26">
        <f>IFERROR(VLOOKUP(E2696*1,Tabla[#All],8,0),0)</f>
        <v/>
      </c>
      <c r="T2696" s="26">
        <f>S2696*G2696</f>
        <v/>
      </c>
      <c r="U2696" s="26">
        <f>R2696-T2696</f>
        <v/>
      </c>
      <c r="V2696" s="26">
        <f>U2696-L2696</f>
        <v/>
      </c>
    </row>
    <row r="2697">
      <c r="A2697" s="11" t="n">
        <v>46229</v>
      </c>
      <c r="B2697" s="1" t="n">
        <v>20080</v>
      </c>
      <c r="C2697" s="1" t="inlineStr">
        <is>
          <t>012</t>
        </is>
      </c>
      <c r="D2697" s="1" t="inlineStr">
        <is>
          <t xml:space="preserve">60277 </t>
        </is>
      </c>
      <c r="E2697" s="1" t="inlineStr">
        <is>
          <t xml:space="preserve">33483116       </t>
        </is>
      </c>
      <c r="F2697" s="5" t="inlineStr">
        <is>
          <t>MUNECA EVI LOVE GATO + COCHE + ACC.</t>
        </is>
      </c>
      <c r="G2697" t="n">
        <v>1</v>
      </c>
      <c r="H2697" s="7" t="n">
        <v>20.94</v>
      </c>
      <c r="I2697" s="7" t="n">
        <v>0</v>
      </c>
      <c r="J2697" s="7" t="n">
        <v>0</v>
      </c>
      <c r="K2697" s="9" t="n">
        <v>0</v>
      </c>
      <c r="L2697" s="10" t="n">
        <v>12.43</v>
      </c>
      <c r="M2697" s="10" t="n">
        <v>1.43</v>
      </c>
      <c r="N2697" t="inlineStr">
        <is>
          <t>1</t>
        </is>
      </c>
      <c r="O2697" t="inlineStr">
        <is>
          <t>16</t>
        </is>
      </c>
      <c r="P2697" t="inlineStr">
        <is>
          <t xml:space="preserve">81033   </t>
        </is>
      </c>
      <c r="Q2697" s="26" t="n">
        <v>20.7</v>
      </c>
      <c r="R2697" s="26">
        <f>Q2697*G2697</f>
        <v/>
      </c>
      <c r="S2697" s="26">
        <f>IFERROR(VLOOKUP(E2697*1,Tabla[#All],8,0),0)</f>
        <v/>
      </c>
      <c r="T2697" s="26">
        <f>S2697*G2697</f>
        <v/>
      </c>
      <c r="U2697" s="26">
        <f>R2697-T2697</f>
        <v/>
      </c>
      <c r="V2697" s="26">
        <f>U2697-L2697</f>
        <v/>
      </c>
    </row>
    <row r="2698">
      <c r="A2698" s="11" t="n">
        <v>46229</v>
      </c>
      <c r="B2698" s="1" t="n">
        <v>20080</v>
      </c>
      <c r="C2698" s="1" t="inlineStr">
        <is>
          <t>026</t>
        </is>
      </c>
      <c r="D2698" s="1" t="inlineStr">
        <is>
          <t>209662</t>
        </is>
      </c>
      <c r="E2698" s="1" t="inlineStr">
        <is>
          <t xml:space="preserve">28194768       </t>
        </is>
      </c>
      <c r="F2698" s="5" t="inlineStr">
        <is>
          <t>AUTO COLOR CHANGE TEAMSTERZ SURTIDO</t>
        </is>
      </c>
      <c r="G2698" t="n">
        <v>1</v>
      </c>
      <c r="H2698" s="7" t="n">
        <v>14.9</v>
      </c>
      <c r="I2698" s="7" t="n">
        <v>0</v>
      </c>
      <c r="J2698" s="7" t="n">
        <v>0</v>
      </c>
      <c r="K2698" s="9" t="n">
        <v>0</v>
      </c>
      <c r="L2698" s="10" t="n">
        <v>8.84</v>
      </c>
      <c r="M2698" s="10" t="n">
        <v>1.43</v>
      </c>
      <c r="N2698" t="inlineStr">
        <is>
          <t>1</t>
        </is>
      </c>
      <c r="O2698" t="inlineStr">
        <is>
          <t>16</t>
        </is>
      </c>
      <c r="P2698" t="inlineStr">
        <is>
          <t xml:space="preserve">66628   </t>
        </is>
      </c>
      <c r="Q2698" s="26" t="n">
        <v>8.84</v>
      </c>
      <c r="R2698" s="26">
        <f>Q2698*G2698</f>
        <v/>
      </c>
      <c r="S2698" s="26">
        <f>IFERROR(VLOOKUP(E2698*1,Tabla[#All],8,0),0)</f>
        <v/>
      </c>
      <c r="T2698" s="26">
        <f>S2698*G2698</f>
        <v/>
      </c>
      <c r="U2698" s="26">
        <f>R2698-T2698</f>
        <v/>
      </c>
      <c r="V2698" s="26">
        <f>U2698-L2698</f>
        <v/>
      </c>
    </row>
    <row r="2699">
      <c r="A2699" s="11" t="n">
        <v>46229</v>
      </c>
      <c r="B2699" s="1" t="n">
        <v>20086</v>
      </c>
      <c r="C2699" s="1" t="inlineStr">
        <is>
          <t>023</t>
        </is>
      </c>
      <c r="D2699" s="1" t="inlineStr">
        <is>
          <t xml:space="preserve">47701 </t>
        </is>
      </c>
      <c r="E2699" s="1" t="inlineStr">
        <is>
          <t xml:space="preserve">28194770       </t>
        </is>
      </c>
      <c r="F2699" s="5" t="inlineStr">
        <is>
          <t>AUTOS DE METAL 3 TEAMSTERZ EN BLISTER</t>
        </is>
      </c>
      <c r="G2699" t="n">
        <v>1</v>
      </c>
      <c r="H2699" s="7" t="n">
        <v>6.9</v>
      </c>
      <c r="I2699" s="7" t="n">
        <v>0</v>
      </c>
      <c r="J2699" s="7" t="n">
        <v>0</v>
      </c>
      <c r="K2699" s="9" t="n">
        <v>0</v>
      </c>
      <c r="L2699" s="10" t="n">
        <v>4.1</v>
      </c>
      <c r="M2699" s="10" t="n">
        <v>1.43</v>
      </c>
      <c r="N2699" t="inlineStr">
        <is>
          <t>1</t>
        </is>
      </c>
      <c r="O2699" t="inlineStr">
        <is>
          <t>16</t>
        </is>
      </c>
      <c r="P2699" t="inlineStr">
        <is>
          <t xml:space="preserve">250782  </t>
        </is>
      </c>
      <c r="Q2699" s="26" t="n">
        <v>4.09</v>
      </c>
      <c r="R2699" s="26">
        <f>Q2699*G2699</f>
        <v/>
      </c>
      <c r="S2699" s="26">
        <f>IFERROR(VLOOKUP(E2699*1,Tabla[#All],8,0),0)</f>
        <v/>
      </c>
      <c r="T2699" s="26">
        <f>S2699*G2699</f>
        <v/>
      </c>
      <c r="U2699" s="26">
        <f>R2699-T2699</f>
        <v/>
      </c>
      <c r="V2699" s="26">
        <f>U2699-L2699</f>
        <v/>
      </c>
    </row>
    <row r="2700">
      <c r="A2700" s="11" t="n">
        <v>46229</v>
      </c>
      <c r="B2700" s="1" t="n">
        <v>20086</v>
      </c>
      <c r="C2700" s="1" t="inlineStr">
        <is>
          <t>023</t>
        </is>
      </c>
      <c r="D2700" s="1" t="inlineStr">
        <is>
          <t xml:space="preserve">47709 </t>
        </is>
      </c>
      <c r="E2700" s="1" t="inlineStr">
        <is>
          <t xml:space="preserve">28194770       </t>
        </is>
      </c>
      <c r="F2700" s="5" t="inlineStr">
        <is>
          <t>AUTOS DE METAL 3 TEAMSTERZ EN BLISTER</t>
        </is>
      </c>
      <c r="G2700" t="n">
        <v>1</v>
      </c>
      <c r="H2700" s="7" t="n">
        <v>6.9</v>
      </c>
      <c r="I2700" s="7" t="n">
        <v>0</v>
      </c>
      <c r="J2700" s="7" t="n">
        <v>0</v>
      </c>
      <c r="K2700" s="9" t="n">
        <v>0</v>
      </c>
      <c r="L2700" s="10" t="n">
        <v>4.1</v>
      </c>
      <c r="M2700" s="10" t="n">
        <v>1.43</v>
      </c>
      <c r="N2700" t="inlineStr">
        <is>
          <t>1</t>
        </is>
      </c>
      <c r="O2700" t="inlineStr">
        <is>
          <t xml:space="preserve">2 </t>
        </is>
      </c>
      <c r="P2700" t="inlineStr">
        <is>
          <t xml:space="preserve">250782  </t>
        </is>
      </c>
      <c r="Q2700" s="26" t="n">
        <v>4.09</v>
      </c>
      <c r="R2700" s="26">
        <f>Q2700*G2700</f>
        <v/>
      </c>
      <c r="S2700" s="26">
        <f>IFERROR(VLOOKUP(E2700*1,Tabla[#All],8,0),0)</f>
        <v/>
      </c>
      <c r="T2700" s="26">
        <f>S2700*G2700</f>
        <v/>
      </c>
      <c r="U2700" s="26">
        <f>R2700-T2700</f>
        <v/>
      </c>
      <c r="V2700" s="26">
        <f>U2700-L2700</f>
        <v/>
      </c>
    </row>
    <row r="2701">
      <c r="A2701" s="11" t="n">
        <v>46229</v>
      </c>
      <c r="B2701" s="1" t="n">
        <v>20086</v>
      </c>
      <c r="C2701" s="1" t="inlineStr">
        <is>
          <t>191</t>
        </is>
      </c>
      <c r="D2701" s="1" t="inlineStr">
        <is>
          <t>292775</t>
        </is>
      </c>
      <c r="E2701" s="1" t="inlineStr">
        <is>
          <t xml:space="preserve">28194769       </t>
        </is>
      </c>
      <c r="F2701" s="5" t="inlineStr">
        <is>
          <t>AUTOS DE METAL 3 TEAMSTERZ PACK DE 2</t>
        </is>
      </c>
      <c r="G2701" t="n">
        <v>1</v>
      </c>
      <c r="H2701" s="7" t="n">
        <v>13.8</v>
      </c>
      <c r="I2701" s="7" t="n">
        <v>0</v>
      </c>
      <c r="J2701" s="7" t="n">
        <v>0</v>
      </c>
      <c r="K2701" s="9" t="n">
        <v>0</v>
      </c>
      <c r="L2701" s="10" t="n">
        <v>8.18</v>
      </c>
      <c r="M2701" s="10" t="n">
        <v>1.43</v>
      </c>
      <c r="N2701" t="inlineStr">
        <is>
          <t>1</t>
        </is>
      </c>
      <c r="O2701" t="inlineStr">
        <is>
          <t>16</t>
        </is>
      </c>
      <c r="P2701" t="inlineStr">
        <is>
          <t xml:space="preserve">241305  </t>
        </is>
      </c>
      <c r="Q2701" s="26" t="n">
        <v>8.19</v>
      </c>
      <c r="R2701" s="26">
        <f>Q2701*G2701</f>
        <v/>
      </c>
      <c r="S2701" s="26">
        <f>IFERROR(VLOOKUP(E2701*1,Tabla[#All],8,0),0)</f>
        <v/>
      </c>
      <c r="T2701" s="26">
        <f>S2701*G2701</f>
        <v/>
      </c>
      <c r="U2701" s="26">
        <f>R2701-T2701</f>
        <v/>
      </c>
      <c r="V2701" s="26">
        <f>U2701-L2701</f>
        <v/>
      </c>
    </row>
    <row r="2702">
      <c r="A2702" s="11" t="n">
        <v>46229</v>
      </c>
      <c r="B2702" s="1" t="n">
        <v>20086</v>
      </c>
      <c r="C2702" s="1" t="inlineStr">
        <is>
          <t>191</t>
        </is>
      </c>
      <c r="D2702" s="1" t="inlineStr">
        <is>
          <t>292827</t>
        </is>
      </c>
      <c r="E2702" s="1" t="inlineStr">
        <is>
          <t xml:space="preserve">28194770       </t>
        </is>
      </c>
      <c r="F2702" s="5" t="inlineStr">
        <is>
          <t>AUTOS DE METAL 3 TEAMSTERZ EN BLISTER</t>
        </is>
      </c>
      <c r="G2702" t="n">
        <v>1</v>
      </c>
      <c r="H2702" s="7" t="n">
        <v>6.9</v>
      </c>
      <c r="I2702" s="7" t="n">
        <v>0</v>
      </c>
      <c r="J2702" s="7" t="n">
        <v>0</v>
      </c>
      <c r="K2702" s="9" t="n">
        <v>0</v>
      </c>
      <c r="L2702" s="10" t="n">
        <v>4.1</v>
      </c>
      <c r="M2702" s="10" t="n">
        <v>1.43</v>
      </c>
      <c r="N2702" t="inlineStr">
        <is>
          <t>1</t>
        </is>
      </c>
      <c r="O2702" t="inlineStr">
        <is>
          <t>16</t>
        </is>
      </c>
      <c r="P2702" t="inlineStr">
        <is>
          <t xml:space="preserve">248985  </t>
        </is>
      </c>
      <c r="Q2702" s="26" t="n">
        <v>4.09</v>
      </c>
      <c r="R2702" s="26">
        <f>Q2702*G2702</f>
        <v/>
      </c>
      <c r="S2702" s="26">
        <f>IFERROR(VLOOKUP(E2702*1,Tabla[#All],8,0),0)</f>
        <v/>
      </c>
      <c r="T2702" s="26">
        <f>S2702*G2702</f>
        <v/>
      </c>
      <c r="U2702" s="26">
        <f>R2702-T2702</f>
        <v/>
      </c>
      <c r="V2702" s="26">
        <f>U2702-L2702</f>
        <v/>
      </c>
    </row>
    <row r="2703">
      <c r="A2703" s="11" t="n">
        <v>46229</v>
      </c>
      <c r="B2703" s="1" t="n">
        <v>20088</v>
      </c>
      <c r="C2703" s="1" t="inlineStr">
        <is>
          <t>013</t>
        </is>
      </c>
      <c r="D2703" s="1" t="inlineStr">
        <is>
          <t xml:space="preserve">43415 </t>
        </is>
      </c>
      <c r="E2703" s="1" t="inlineStr">
        <is>
          <t xml:space="preserve">28194768       </t>
        </is>
      </c>
      <c r="F2703" s="5" t="inlineStr">
        <is>
          <t>AUTO COLOR CHANGE TEAMSTERZ SURTIDO</t>
        </is>
      </c>
      <c r="G2703" t="n">
        <v>1</v>
      </c>
      <c r="H2703" s="7" t="n">
        <v>14.9</v>
      </c>
      <c r="I2703" s="7" t="n">
        <v>0</v>
      </c>
      <c r="J2703" s="7" t="n">
        <v>0</v>
      </c>
      <c r="K2703" s="9" t="n">
        <v>0</v>
      </c>
      <c r="L2703" s="10" t="n">
        <v>8.84</v>
      </c>
      <c r="M2703" s="10" t="n">
        <v>1.43</v>
      </c>
      <c r="N2703" t="inlineStr">
        <is>
          <t>1</t>
        </is>
      </c>
      <c r="O2703" t="inlineStr">
        <is>
          <t>16</t>
        </is>
      </c>
      <c r="P2703" t="inlineStr">
        <is>
          <t xml:space="preserve">235264  </t>
        </is>
      </c>
      <c r="Q2703" s="26" t="n">
        <v>8.84</v>
      </c>
      <c r="R2703" s="26">
        <f>Q2703*G2703</f>
        <v/>
      </c>
      <c r="S2703" s="26">
        <f>IFERROR(VLOOKUP(E2703*1,Tabla[#All],8,0),0)</f>
        <v/>
      </c>
      <c r="T2703" s="26">
        <f>S2703*G2703</f>
        <v/>
      </c>
      <c r="U2703" s="26">
        <f>R2703-T2703</f>
        <v/>
      </c>
      <c r="V2703" s="26">
        <f>U2703-L2703</f>
        <v/>
      </c>
    </row>
    <row r="2704">
      <c r="A2704" s="11" t="n">
        <v>46229</v>
      </c>
      <c r="B2704" s="1" t="n">
        <v>20088</v>
      </c>
      <c r="C2704" s="1" t="inlineStr">
        <is>
          <t>013</t>
        </is>
      </c>
      <c r="D2704" s="1" t="inlineStr">
        <is>
          <t xml:space="preserve">43428 </t>
        </is>
      </c>
      <c r="E2704" s="1" t="inlineStr">
        <is>
          <t xml:space="preserve">32457099       </t>
        </is>
      </c>
      <c r="F2704" s="5" t="inlineStr">
        <is>
          <t>TMZ BEAST MACHINES MONSTER JAWS A FRICCION BLISTER</t>
        </is>
      </c>
      <c r="G2704" t="n">
        <v>1</v>
      </c>
      <c r="H2704" s="7" t="n">
        <v>17.9</v>
      </c>
      <c r="I2704" s="7" t="n">
        <v>0</v>
      </c>
      <c r="J2704" s="7" t="n">
        <v>0</v>
      </c>
      <c r="K2704" s="9" t="n">
        <v>0</v>
      </c>
      <c r="L2704" s="10" t="n">
        <v>10.62</v>
      </c>
      <c r="M2704" s="10" t="n">
        <v>1.43</v>
      </c>
      <c r="N2704" t="inlineStr">
        <is>
          <t>1</t>
        </is>
      </c>
      <c r="O2704" t="inlineStr">
        <is>
          <t>16</t>
        </is>
      </c>
      <c r="P2704" t="inlineStr">
        <is>
          <t xml:space="preserve">235264  </t>
        </is>
      </c>
      <c r="Q2704" s="26" t="n">
        <v>11.81</v>
      </c>
      <c r="R2704" s="26">
        <f>Q2704*G2704</f>
        <v/>
      </c>
      <c r="S2704" s="26">
        <f>IFERROR(VLOOKUP(E2704*1,Tabla[#All],8,0),0)</f>
        <v/>
      </c>
      <c r="T2704" s="26">
        <f>S2704*G2704</f>
        <v/>
      </c>
      <c r="U2704" s="26">
        <f>R2704-T2704</f>
        <v/>
      </c>
      <c r="V2704" s="26">
        <f>U2704-L2704</f>
        <v/>
      </c>
    </row>
    <row r="2705">
      <c r="A2705" s="11" t="n">
        <v>46229</v>
      </c>
      <c r="B2705" s="1" t="n">
        <v>20088</v>
      </c>
      <c r="C2705" s="1" t="inlineStr">
        <is>
          <t>021</t>
        </is>
      </c>
      <c r="D2705" s="1" t="inlineStr">
        <is>
          <t xml:space="preserve">50170 </t>
        </is>
      </c>
      <c r="E2705" s="1" t="inlineStr">
        <is>
          <t xml:space="preserve">31754675       </t>
        </is>
      </c>
      <c r="F2705" s="5" t="inlineStr">
        <is>
          <t>INFINITY NADO SERIE 6 STARTER PACK - 4 MODELOS</t>
        </is>
      </c>
      <c r="G2705" t="n">
        <v>1</v>
      </c>
      <c r="H2705" s="7" t="n">
        <v>49.9</v>
      </c>
      <c r="I2705" s="7" t="n">
        <v>0</v>
      </c>
      <c r="J2705" s="7" t="n">
        <v>0</v>
      </c>
      <c r="K2705" s="9" t="n">
        <v>0</v>
      </c>
      <c r="L2705" s="10" t="n">
        <v>29.6</v>
      </c>
      <c r="M2705" s="10" t="n">
        <v>1.43</v>
      </c>
      <c r="N2705" t="inlineStr">
        <is>
          <t>1</t>
        </is>
      </c>
      <c r="O2705" t="inlineStr">
        <is>
          <t>16</t>
        </is>
      </c>
      <c r="P2705" t="inlineStr">
        <is>
          <t xml:space="preserve">242181  </t>
        </is>
      </c>
      <c r="Q2705" s="26" t="n">
        <v>41.47</v>
      </c>
      <c r="R2705" s="26">
        <f>Q2705*G2705</f>
        <v/>
      </c>
      <c r="S2705" s="26">
        <f>IFERROR(VLOOKUP(E2705*1,Tabla[#All],8,0),0)</f>
        <v/>
      </c>
      <c r="T2705" s="26">
        <f>S2705*G2705</f>
        <v/>
      </c>
      <c r="U2705" s="26">
        <f>R2705-T2705</f>
        <v/>
      </c>
      <c r="V2705" s="26">
        <f>U2705-L2705</f>
        <v/>
      </c>
    </row>
    <row r="2706">
      <c r="A2706" s="11" t="n">
        <v>46229</v>
      </c>
      <c r="B2706" s="1" t="n">
        <v>20088</v>
      </c>
      <c r="C2706" s="1" t="inlineStr">
        <is>
          <t>021</t>
        </is>
      </c>
      <c r="D2706" s="1" t="inlineStr">
        <is>
          <t xml:space="preserve">50195 </t>
        </is>
      </c>
      <c r="E2706" s="1" t="inlineStr">
        <is>
          <t xml:space="preserve">28194770       </t>
        </is>
      </c>
      <c r="F2706" s="5" t="inlineStr">
        <is>
          <t>AUTOS DE METAL 3 TEAMSTERZ EN BLISTER</t>
        </is>
      </c>
      <c r="G2706" t="n">
        <v>1</v>
      </c>
      <c r="H2706" s="7" t="n">
        <v>6.9</v>
      </c>
      <c r="I2706" s="7" t="n">
        <v>0</v>
      </c>
      <c r="J2706" s="7" t="n">
        <v>0</v>
      </c>
      <c r="K2706" s="9" t="n">
        <v>0</v>
      </c>
      <c r="L2706" s="10" t="n">
        <v>4.1</v>
      </c>
      <c r="M2706" s="10" t="n">
        <v>1.43</v>
      </c>
      <c r="N2706" t="inlineStr">
        <is>
          <t>1</t>
        </is>
      </c>
      <c r="O2706" t="inlineStr">
        <is>
          <t>16</t>
        </is>
      </c>
      <c r="P2706" t="inlineStr">
        <is>
          <t xml:space="preserve">242181  </t>
        </is>
      </c>
      <c r="Q2706" s="26" t="n">
        <v>4.09</v>
      </c>
      <c r="R2706" s="26">
        <f>Q2706*G2706</f>
        <v/>
      </c>
      <c r="S2706" s="26">
        <f>IFERROR(VLOOKUP(E2706*1,Tabla[#All],8,0),0)</f>
        <v/>
      </c>
      <c r="T2706" s="26">
        <f>S2706*G2706</f>
        <v/>
      </c>
      <c r="U2706" s="26">
        <f>R2706-T2706</f>
        <v/>
      </c>
      <c r="V2706" s="26">
        <f>U2706-L2706</f>
        <v/>
      </c>
    </row>
    <row r="2707">
      <c r="A2707" s="11" t="n">
        <v>46229</v>
      </c>
      <c r="B2707" s="1" t="n">
        <v>20088</v>
      </c>
      <c r="C2707" s="1" t="inlineStr">
        <is>
          <t>021</t>
        </is>
      </c>
      <c r="D2707" s="1" t="inlineStr">
        <is>
          <t xml:space="preserve">50286 </t>
        </is>
      </c>
      <c r="E2707" s="1" t="inlineStr">
        <is>
          <t xml:space="preserve">34840556       </t>
        </is>
      </c>
      <c r="F2707" s="5" t="inlineStr">
        <is>
          <t>TMZ BEAST MACH. TRANSPORT DINO +ACCS</t>
        </is>
      </c>
      <c r="G2707" t="n">
        <v>1</v>
      </c>
      <c r="H2707" s="7" t="n">
        <v>59.9</v>
      </c>
      <c r="I2707" s="7" t="n">
        <v>0</v>
      </c>
      <c r="J2707" s="7" t="n">
        <v>0</v>
      </c>
      <c r="K2707" s="9" t="n">
        <v>0</v>
      </c>
      <c r="L2707" s="10" t="n">
        <v>35.53</v>
      </c>
      <c r="M2707" s="10" t="n">
        <v>1.43</v>
      </c>
      <c r="N2707" t="inlineStr">
        <is>
          <t>1</t>
        </is>
      </c>
      <c r="O2707" t="inlineStr">
        <is>
          <t>16</t>
        </is>
      </c>
      <c r="P2707" t="inlineStr">
        <is>
          <t xml:space="preserve">242181  </t>
        </is>
      </c>
      <c r="Q2707" s="26" t="n">
        <v>47.4</v>
      </c>
      <c r="R2707" s="26">
        <f>Q2707*G2707</f>
        <v/>
      </c>
      <c r="S2707" s="26">
        <f>IFERROR(VLOOKUP(E2707*1,Tabla[#All],8,0),0)</f>
        <v/>
      </c>
      <c r="T2707" s="26">
        <f>S2707*G2707</f>
        <v/>
      </c>
      <c r="U2707" s="26">
        <f>R2707-T2707</f>
        <v/>
      </c>
      <c r="V2707" s="26">
        <f>U2707-L2707</f>
        <v/>
      </c>
    </row>
    <row r="2708">
      <c r="A2708" s="11" t="n">
        <v>46229</v>
      </c>
      <c r="B2708" s="1" t="n">
        <v>20088</v>
      </c>
      <c r="C2708" s="1" t="inlineStr">
        <is>
          <t>023</t>
        </is>
      </c>
      <c r="D2708" s="1" t="inlineStr">
        <is>
          <t>127984</t>
        </is>
      </c>
      <c r="E2708" s="1" t="inlineStr">
        <is>
          <t xml:space="preserve">30141766       </t>
        </is>
      </c>
      <c r="F2708" s="5" t="inlineStr">
        <is>
          <t>TMZ BEAST MACHINES AUTOS DE METAL BLISTER X 1</t>
        </is>
      </c>
      <c r="G2708" t="n">
        <v>1</v>
      </c>
      <c r="H2708" s="7" t="n">
        <v>7.9</v>
      </c>
      <c r="I2708" s="7" t="n">
        <v>0</v>
      </c>
      <c r="J2708" s="7" t="n">
        <v>0</v>
      </c>
      <c r="K2708" s="9" t="n">
        <v>0</v>
      </c>
      <c r="L2708" s="10" t="n">
        <v>4.68</v>
      </c>
      <c r="M2708" s="10" t="n">
        <v>1.43</v>
      </c>
      <c r="N2708" t="inlineStr">
        <is>
          <t>1</t>
        </is>
      </c>
      <c r="O2708" t="inlineStr">
        <is>
          <t>16</t>
        </is>
      </c>
      <c r="P2708" t="inlineStr">
        <is>
          <t xml:space="preserve">232153  </t>
        </is>
      </c>
      <c r="Q2708" s="26" t="n">
        <v>4.69</v>
      </c>
      <c r="R2708" s="26">
        <f>Q2708*G2708</f>
        <v/>
      </c>
      <c r="S2708" s="26">
        <f>IFERROR(VLOOKUP(E2708*1,Tabla[#All],8,0),0)</f>
        <v/>
      </c>
      <c r="T2708" s="26">
        <f>S2708*G2708</f>
        <v/>
      </c>
      <c r="U2708" s="26">
        <f>R2708-T2708</f>
        <v/>
      </c>
      <c r="V2708" s="26">
        <f>U2708-L2708</f>
        <v/>
      </c>
    </row>
    <row r="2709">
      <c r="A2709" s="11" t="n">
        <v>46229</v>
      </c>
      <c r="B2709" s="1" t="n">
        <v>20088</v>
      </c>
      <c r="C2709" s="1" t="inlineStr">
        <is>
          <t>023</t>
        </is>
      </c>
      <c r="D2709" s="1" t="inlineStr">
        <is>
          <t>128108</t>
        </is>
      </c>
      <c r="E2709" s="1" t="inlineStr">
        <is>
          <t xml:space="preserve">28194769       </t>
        </is>
      </c>
      <c r="F2709" s="5" t="inlineStr">
        <is>
          <t>AUTOS DE METAL 3 TEAMSTERZ PACK DE 2</t>
        </is>
      </c>
      <c r="G2709" t="n">
        <v>1</v>
      </c>
      <c r="H2709" s="7" t="n">
        <v>13.8</v>
      </c>
      <c r="I2709" s="7" t="n">
        <v>0</v>
      </c>
      <c r="J2709" s="7" t="n">
        <v>0</v>
      </c>
      <c r="K2709" s="9" t="n">
        <v>0</v>
      </c>
      <c r="L2709" s="10" t="n">
        <v>8.18</v>
      </c>
      <c r="M2709" s="10" t="n">
        <v>1.43</v>
      </c>
      <c r="N2709" t="inlineStr">
        <is>
          <t>1</t>
        </is>
      </c>
      <c r="O2709" t="inlineStr">
        <is>
          <t>16</t>
        </is>
      </c>
      <c r="P2709" t="inlineStr">
        <is>
          <t xml:space="preserve">232153  </t>
        </is>
      </c>
      <c r="Q2709" s="26" t="n">
        <v>8.19</v>
      </c>
      <c r="R2709" s="26">
        <f>Q2709*G2709</f>
        <v/>
      </c>
      <c r="S2709" s="26">
        <f>IFERROR(VLOOKUP(E2709*1,Tabla[#All],8,0),0)</f>
        <v/>
      </c>
      <c r="T2709" s="26">
        <f>S2709*G2709</f>
        <v/>
      </c>
      <c r="U2709" s="26">
        <f>R2709-T2709</f>
        <v/>
      </c>
      <c r="V2709" s="26">
        <f>U2709-L2709</f>
        <v/>
      </c>
    </row>
    <row r="2710">
      <c r="A2710" s="11" t="n">
        <v>46229</v>
      </c>
      <c r="B2710" s="1" t="n">
        <v>20089</v>
      </c>
      <c r="C2710" s="1" t="inlineStr">
        <is>
          <t>025</t>
        </is>
      </c>
      <c r="D2710" s="1" t="inlineStr">
        <is>
          <t>122546</t>
        </is>
      </c>
      <c r="E2710" s="1" t="inlineStr">
        <is>
          <t xml:space="preserve">28194770       </t>
        </is>
      </c>
      <c r="F2710" s="5" t="inlineStr">
        <is>
          <t>AUTOS DE METAL 3 TEAMSTERZ EN BLISTER</t>
        </is>
      </c>
      <c r="G2710" t="n">
        <v>1</v>
      </c>
      <c r="H2710" s="7" t="n">
        <v>6.9</v>
      </c>
      <c r="I2710" s="7" t="n">
        <v>0</v>
      </c>
      <c r="J2710" s="7" t="n">
        <v>0</v>
      </c>
      <c r="K2710" s="9" t="n">
        <v>0</v>
      </c>
      <c r="L2710" s="10" t="n">
        <v>4.1</v>
      </c>
      <c r="M2710" s="10" t="n">
        <v>1.43</v>
      </c>
      <c r="N2710" t="inlineStr">
        <is>
          <t>1</t>
        </is>
      </c>
      <c r="O2710" t="inlineStr">
        <is>
          <t>16</t>
        </is>
      </c>
      <c r="P2710" t="inlineStr">
        <is>
          <t xml:space="preserve">82992   </t>
        </is>
      </c>
      <c r="Q2710" s="26" t="n">
        <v>4.09</v>
      </c>
      <c r="R2710" s="26">
        <f>Q2710*G2710</f>
        <v/>
      </c>
      <c r="S2710" s="26">
        <f>IFERROR(VLOOKUP(E2710*1,Tabla[#All],8,0),0)</f>
        <v/>
      </c>
      <c r="T2710" s="26">
        <f>S2710*G2710</f>
        <v/>
      </c>
      <c r="U2710" s="26">
        <f>R2710-T2710</f>
        <v/>
      </c>
      <c r="V2710" s="26">
        <f>U2710-L2710</f>
        <v/>
      </c>
    </row>
    <row r="2711">
      <c r="A2711" s="11" t="n">
        <v>46229</v>
      </c>
      <c r="B2711" s="1" t="n">
        <v>20089</v>
      </c>
      <c r="C2711" s="1" t="inlineStr">
        <is>
          <t>025</t>
        </is>
      </c>
      <c r="D2711" s="1" t="inlineStr">
        <is>
          <t>122599</t>
        </is>
      </c>
      <c r="E2711" s="1" t="inlineStr">
        <is>
          <t xml:space="preserve">28194768       </t>
        </is>
      </c>
      <c r="F2711" s="5" t="inlineStr">
        <is>
          <t>AUTO COLOR CHANGE TEAMSTERZ SURTIDO</t>
        </is>
      </c>
      <c r="G2711" t="n">
        <v>1</v>
      </c>
      <c r="H2711" s="7" t="n">
        <v>14.9</v>
      </c>
      <c r="I2711" s="7" t="n">
        <v>0</v>
      </c>
      <c r="J2711" s="7" t="n">
        <v>0</v>
      </c>
      <c r="K2711" s="9" t="n">
        <v>0</v>
      </c>
      <c r="L2711" s="10" t="n">
        <v>8.84</v>
      </c>
      <c r="M2711" s="10" t="n">
        <v>1.43</v>
      </c>
      <c r="N2711" t="inlineStr">
        <is>
          <t>1</t>
        </is>
      </c>
      <c r="O2711" t="inlineStr">
        <is>
          <t>16</t>
        </is>
      </c>
      <c r="P2711" t="inlineStr">
        <is>
          <t xml:space="preserve">82992   </t>
        </is>
      </c>
      <c r="Q2711" s="26" t="n">
        <v>8.84</v>
      </c>
      <c r="R2711" s="26">
        <f>Q2711*G2711</f>
        <v/>
      </c>
      <c r="S2711" s="26">
        <f>IFERROR(VLOOKUP(E2711*1,Tabla[#All],8,0),0)</f>
        <v/>
      </c>
      <c r="T2711" s="26">
        <f>S2711*G2711</f>
        <v/>
      </c>
      <c r="U2711" s="26">
        <f>R2711-T2711</f>
        <v/>
      </c>
      <c r="V2711" s="26">
        <f>U2711-L2711</f>
        <v/>
      </c>
    </row>
    <row r="2712">
      <c r="A2712" s="11" t="n">
        <v>46229</v>
      </c>
      <c r="B2712" s="1" t="n">
        <v>20089</v>
      </c>
      <c r="C2712" s="1" t="inlineStr">
        <is>
          <t>025</t>
        </is>
      </c>
      <c r="D2712" s="1" t="inlineStr">
        <is>
          <t>122604</t>
        </is>
      </c>
      <c r="E2712" s="1" t="inlineStr">
        <is>
          <t xml:space="preserve">30141766       </t>
        </is>
      </c>
      <c r="F2712" s="5" t="inlineStr">
        <is>
          <t>TMZ BEAST MACHINES AUTOS DE METAL BLISTER X 1</t>
        </is>
      </c>
      <c r="G2712" t="n">
        <v>1</v>
      </c>
      <c r="H2712" s="7" t="n">
        <v>7.9</v>
      </c>
      <c r="I2712" s="7" t="n">
        <v>0</v>
      </c>
      <c r="J2712" s="7" t="n">
        <v>0</v>
      </c>
      <c r="K2712" s="9" t="n">
        <v>0</v>
      </c>
      <c r="L2712" s="10" t="n">
        <v>4.68</v>
      </c>
      <c r="M2712" s="10" t="n">
        <v>1.43</v>
      </c>
      <c r="N2712" t="inlineStr">
        <is>
          <t>1</t>
        </is>
      </c>
      <c r="O2712" t="inlineStr">
        <is>
          <t>16</t>
        </is>
      </c>
      <c r="P2712" t="inlineStr">
        <is>
          <t xml:space="preserve">82992   </t>
        </is>
      </c>
      <c r="Q2712" s="26" t="n">
        <v>4.69</v>
      </c>
      <c r="R2712" s="26">
        <f>Q2712*G2712</f>
        <v/>
      </c>
      <c r="S2712" s="26">
        <f>IFERROR(VLOOKUP(E2712*1,Tabla[#All],8,0),0)</f>
        <v/>
      </c>
      <c r="T2712" s="26">
        <f>S2712*G2712</f>
        <v/>
      </c>
      <c r="U2712" s="26">
        <f>R2712-T2712</f>
        <v/>
      </c>
      <c r="V2712" s="26">
        <f>U2712-L2712</f>
        <v/>
      </c>
    </row>
    <row r="2713">
      <c r="A2713" s="11" t="n">
        <v>46229</v>
      </c>
      <c r="B2713" s="1" t="n">
        <v>20089</v>
      </c>
      <c r="C2713" s="1" t="inlineStr">
        <is>
          <t>025</t>
        </is>
      </c>
      <c r="D2713" s="1" t="inlineStr">
        <is>
          <t>122604</t>
        </is>
      </c>
      <c r="E2713" s="1" t="inlineStr">
        <is>
          <t xml:space="preserve">32457103       </t>
        </is>
      </c>
      <c r="F2713" s="5" t="inlineStr">
        <is>
          <t>TMZ BEAST MACHINES MONSTER JAWS A FRICCION PACK DE</t>
        </is>
      </c>
      <c r="G2713" t="n">
        <v>1</v>
      </c>
      <c r="H2713" s="7" t="n">
        <v>32.9</v>
      </c>
      <c r="I2713" s="7" t="n">
        <v>0</v>
      </c>
      <c r="J2713" s="7" t="n">
        <v>0</v>
      </c>
      <c r="K2713" s="9" t="n">
        <v>0</v>
      </c>
      <c r="L2713" s="10" t="n">
        <v>19.52</v>
      </c>
      <c r="M2713" s="10" t="n">
        <v>1.43</v>
      </c>
      <c r="N2713" t="inlineStr">
        <is>
          <t>1</t>
        </is>
      </c>
      <c r="O2713" t="inlineStr">
        <is>
          <t>16</t>
        </is>
      </c>
      <c r="P2713" t="inlineStr">
        <is>
          <t xml:space="preserve">82992   </t>
        </is>
      </c>
      <c r="Q2713" s="26" t="n">
        <v>22.48</v>
      </c>
      <c r="R2713" s="26">
        <f>Q2713*G2713</f>
        <v/>
      </c>
      <c r="S2713" s="26">
        <f>IFERROR(VLOOKUP(E2713*1,Tabla[#All],8,0),0)</f>
        <v/>
      </c>
      <c r="T2713" s="26">
        <f>S2713*G2713</f>
        <v/>
      </c>
      <c r="U2713" s="26">
        <f>R2713-T2713</f>
        <v/>
      </c>
      <c r="V2713" s="26">
        <f>U2713-L2713</f>
        <v/>
      </c>
    </row>
    <row r="2714">
      <c r="A2714" s="11" t="n">
        <v>46229</v>
      </c>
      <c r="B2714" s="1" t="n">
        <v>20089</v>
      </c>
      <c r="C2714" s="1" t="inlineStr">
        <is>
          <t>026</t>
        </is>
      </c>
      <c r="D2714" s="1" t="inlineStr">
        <is>
          <t xml:space="preserve">88755 </t>
        </is>
      </c>
      <c r="E2714" s="1" t="inlineStr">
        <is>
          <t xml:space="preserve">32457099       </t>
        </is>
      </c>
      <c r="F2714" s="5" t="inlineStr">
        <is>
          <t>TMZ BEAST MACHINES MONSTER JAWS A FRICCION BLISTER</t>
        </is>
      </c>
      <c r="G2714" t="n">
        <v>1</v>
      </c>
      <c r="H2714" s="7" t="n">
        <v>17.9</v>
      </c>
      <c r="I2714" s="7" t="n">
        <v>0</v>
      </c>
      <c r="J2714" s="7" t="n">
        <v>0</v>
      </c>
      <c r="K2714" s="9" t="n">
        <v>0</v>
      </c>
      <c r="L2714" s="10" t="n">
        <v>10.62</v>
      </c>
      <c r="M2714" s="10" t="n">
        <v>1.43</v>
      </c>
      <c r="N2714" t="inlineStr">
        <is>
          <t>1</t>
        </is>
      </c>
      <c r="O2714" t="inlineStr">
        <is>
          <t xml:space="preserve">2 </t>
        </is>
      </c>
      <c r="P2714" t="inlineStr">
        <is>
          <t xml:space="preserve">69718   </t>
        </is>
      </c>
      <c r="Q2714" s="26" t="n">
        <v>11.81</v>
      </c>
      <c r="R2714" s="26">
        <f>Q2714*G2714</f>
        <v/>
      </c>
      <c r="S2714" s="26">
        <f>IFERROR(VLOOKUP(E2714*1,Tabla[#All],8,0),0)</f>
        <v/>
      </c>
      <c r="T2714" s="26">
        <f>S2714*G2714</f>
        <v/>
      </c>
      <c r="U2714" s="26">
        <f>R2714-T2714</f>
        <v/>
      </c>
      <c r="V2714" s="26">
        <f>U2714-L2714</f>
        <v/>
      </c>
    </row>
    <row r="2715">
      <c r="A2715" s="11" t="n">
        <v>46229</v>
      </c>
      <c r="B2715" s="1" t="n">
        <v>20089</v>
      </c>
      <c r="C2715" s="1" t="inlineStr">
        <is>
          <t>026</t>
        </is>
      </c>
      <c r="D2715" s="1" t="inlineStr">
        <is>
          <t xml:space="preserve">88774 </t>
        </is>
      </c>
      <c r="E2715" s="1" t="inlineStr">
        <is>
          <t xml:space="preserve">32457099       </t>
        </is>
      </c>
      <c r="F2715" s="5" t="inlineStr">
        <is>
          <t>TMZ BEAST MACHINES MONSTER JAWS A FRICCION BLISTER</t>
        </is>
      </c>
      <c r="G2715" t="n">
        <v>1</v>
      </c>
      <c r="H2715" s="7" t="n">
        <v>17.9</v>
      </c>
      <c r="I2715" s="7" t="n">
        <v>0</v>
      </c>
      <c r="J2715" s="7" t="n">
        <v>0</v>
      </c>
      <c r="K2715" s="9" t="n">
        <v>0</v>
      </c>
      <c r="L2715" s="10" t="n">
        <v>10.62</v>
      </c>
      <c r="M2715" s="10" t="n">
        <v>1.43</v>
      </c>
      <c r="N2715" t="inlineStr">
        <is>
          <t>1</t>
        </is>
      </c>
      <c r="O2715" t="inlineStr">
        <is>
          <t>16</t>
        </is>
      </c>
      <c r="P2715" t="inlineStr">
        <is>
          <t xml:space="preserve">82992   </t>
        </is>
      </c>
      <c r="Q2715" s="26" t="n">
        <v>11.81</v>
      </c>
      <c r="R2715" s="26">
        <f>Q2715*G2715</f>
        <v/>
      </c>
      <c r="S2715" s="26">
        <f>IFERROR(VLOOKUP(E2715*1,Tabla[#All],8,0),0)</f>
        <v/>
      </c>
      <c r="T2715" s="26">
        <f>S2715*G2715</f>
        <v/>
      </c>
      <c r="U2715" s="26">
        <f>R2715-T2715</f>
        <v/>
      </c>
      <c r="V2715" s="26">
        <f>U2715-L2715</f>
        <v/>
      </c>
    </row>
    <row r="2716">
      <c r="A2716" s="11" t="n">
        <v>46229</v>
      </c>
      <c r="B2716" s="1" t="n">
        <v>20089</v>
      </c>
      <c r="C2716" s="1" t="inlineStr">
        <is>
          <t>026</t>
        </is>
      </c>
      <c r="D2716" s="1" t="inlineStr">
        <is>
          <t xml:space="preserve">88774 </t>
        </is>
      </c>
      <c r="E2716" s="1" t="inlineStr">
        <is>
          <t xml:space="preserve">32457099       </t>
        </is>
      </c>
      <c r="F2716" s="5" t="inlineStr">
        <is>
          <t>TMZ BEAST MACHINES MONSTER JAWS A FRICCION BLISTER</t>
        </is>
      </c>
      <c r="G2716" t="n">
        <v>1</v>
      </c>
      <c r="H2716" s="7" t="n">
        <v>17.9</v>
      </c>
      <c r="I2716" s="7" t="n">
        <v>0</v>
      </c>
      <c r="J2716" s="7" t="n">
        <v>0</v>
      </c>
      <c r="K2716" s="9" t="n">
        <v>0</v>
      </c>
      <c r="L2716" s="10" t="n">
        <v>10.62</v>
      </c>
      <c r="M2716" s="10" t="n">
        <v>1.43</v>
      </c>
      <c r="N2716" t="inlineStr">
        <is>
          <t>1</t>
        </is>
      </c>
      <c r="O2716" t="inlineStr">
        <is>
          <t>16</t>
        </is>
      </c>
      <c r="P2716" t="inlineStr">
        <is>
          <t xml:space="preserve">82992   </t>
        </is>
      </c>
      <c r="Q2716" s="26" t="n">
        <v>11.81</v>
      </c>
      <c r="R2716" s="26">
        <f>Q2716*G2716</f>
        <v/>
      </c>
      <c r="S2716" s="26">
        <f>IFERROR(VLOOKUP(E2716*1,Tabla[#All],8,0),0)</f>
        <v/>
      </c>
      <c r="T2716" s="26">
        <f>S2716*G2716</f>
        <v/>
      </c>
      <c r="U2716" s="26">
        <f>R2716-T2716</f>
        <v/>
      </c>
      <c r="V2716" s="26">
        <f>U2716-L2716</f>
        <v/>
      </c>
    </row>
    <row r="2717">
      <c r="A2717" s="11" t="n">
        <v>46229</v>
      </c>
      <c r="B2717" s="1" t="n">
        <v>20089</v>
      </c>
      <c r="C2717" s="1" t="inlineStr">
        <is>
          <t>026</t>
        </is>
      </c>
      <c r="D2717" s="1" t="inlineStr">
        <is>
          <t xml:space="preserve">88787 </t>
        </is>
      </c>
      <c r="E2717" s="1" t="inlineStr">
        <is>
          <t xml:space="preserve">32457099       </t>
        </is>
      </c>
      <c r="F2717" s="5" t="inlineStr">
        <is>
          <t>TMZ BEAST MACHINES MONSTER JAWS A FRICCION BLISTER</t>
        </is>
      </c>
      <c r="G2717" t="n">
        <v>1</v>
      </c>
      <c r="H2717" s="7" t="n">
        <v>17.9</v>
      </c>
      <c r="I2717" s="7" t="n">
        <v>0</v>
      </c>
      <c r="J2717" s="7" t="n">
        <v>0</v>
      </c>
      <c r="K2717" s="9" t="n">
        <v>0</v>
      </c>
      <c r="L2717" s="10" t="n">
        <v>10.62</v>
      </c>
      <c r="M2717" s="10" t="n">
        <v>1.43</v>
      </c>
      <c r="N2717" t="inlineStr">
        <is>
          <t>1</t>
        </is>
      </c>
      <c r="O2717" t="inlineStr">
        <is>
          <t xml:space="preserve">2 </t>
        </is>
      </c>
      <c r="P2717" t="inlineStr">
        <is>
          <t xml:space="preserve">69718   </t>
        </is>
      </c>
      <c r="Q2717" s="26" t="n">
        <v>11.81</v>
      </c>
      <c r="R2717" s="26">
        <f>Q2717*G2717</f>
        <v/>
      </c>
      <c r="S2717" s="26">
        <f>IFERROR(VLOOKUP(E2717*1,Tabla[#All],8,0),0)</f>
        <v/>
      </c>
      <c r="T2717" s="26">
        <f>S2717*G2717</f>
        <v/>
      </c>
      <c r="U2717" s="26">
        <f>R2717-T2717</f>
        <v/>
      </c>
      <c r="V2717" s="26">
        <f>U2717-L2717</f>
        <v/>
      </c>
    </row>
    <row r="2718">
      <c r="A2718" s="11" t="n">
        <v>46229</v>
      </c>
      <c r="B2718" s="1" t="n">
        <v>20089</v>
      </c>
      <c r="C2718" s="1" t="inlineStr">
        <is>
          <t>026</t>
        </is>
      </c>
      <c r="D2718" s="1" t="inlineStr">
        <is>
          <t xml:space="preserve">88787 </t>
        </is>
      </c>
      <c r="E2718" s="1" t="inlineStr">
        <is>
          <t xml:space="preserve">32457099       </t>
        </is>
      </c>
      <c r="F2718" s="5" t="inlineStr">
        <is>
          <t>TMZ BEAST MACHINES MONSTER JAWS A FRICCION BLISTER</t>
        </is>
      </c>
      <c r="G2718" t="n">
        <v>1</v>
      </c>
      <c r="H2718" s="7" t="n">
        <v>17.9</v>
      </c>
      <c r="I2718" s="7" t="n">
        <v>0</v>
      </c>
      <c r="J2718" s="7" t="n">
        <v>0</v>
      </c>
      <c r="K2718" s="9" t="n">
        <v>0</v>
      </c>
      <c r="L2718" s="10" t="n">
        <v>10.62</v>
      </c>
      <c r="M2718" s="10" t="n">
        <v>1.43</v>
      </c>
      <c r="N2718" t="inlineStr">
        <is>
          <t>1</t>
        </is>
      </c>
      <c r="O2718" t="inlineStr">
        <is>
          <t xml:space="preserve">2 </t>
        </is>
      </c>
      <c r="P2718" t="inlineStr">
        <is>
          <t xml:space="preserve">69718   </t>
        </is>
      </c>
      <c r="Q2718" s="26" t="n">
        <v>11.81</v>
      </c>
      <c r="R2718" s="26">
        <f>Q2718*G2718</f>
        <v/>
      </c>
      <c r="S2718" s="26">
        <f>IFERROR(VLOOKUP(E2718*1,Tabla[#All],8,0),0)</f>
        <v/>
      </c>
      <c r="T2718" s="26">
        <f>S2718*G2718</f>
        <v/>
      </c>
      <c r="U2718" s="26">
        <f>R2718-T2718</f>
        <v/>
      </c>
      <c r="V2718" s="26">
        <f>U2718-L2718</f>
        <v/>
      </c>
    </row>
    <row r="2719">
      <c r="A2719" s="11" t="n">
        <v>46229</v>
      </c>
      <c r="B2719" s="1" t="n">
        <v>20089</v>
      </c>
      <c r="C2719" s="1" t="inlineStr">
        <is>
          <t>537</t>
        </is>
      </c>
      <c r="D2719" s="1" t="inlineStr">
        <is>
          <t xml:space="preserve">1898  </t>
        </is>
      </c>
      <c r="E2719" s="1" t="inlineStr">
        <is>
          <t xml:space="preserve">28194769       </t>
        </is>
      </c>
      <c r="F2719" s="5" t="inlineStr">
        <is>
          <t>AUTOS DE METAL 3 TEAMSTERZ PACK DE 2</t>
        </is>
      </c>
      <c r="G2719" t="n">
        <v>1</v>
      </c>
      <c r="H2719" s="7" t="n">
        <v>13.8</v>
      </c>
      <c r="I2719" s="7" t="n">
        <v>1.38</v>
      </c>
      <c r="J2719" s="7" t="n">
        <v>0</v>
      </c>
      <c r="K2719" s="9" t="n">
        <v>1.38</v>
      </c>
      <c r="L2719" s="10" t="n">
        <v>7.37</v>
      </c>
      <c r="M2719" s="10" t="n">
        <v>1.43</v>
      </c>
      <c r="N2719" t="inlineStr">
        <is>
          <t>1</t>
        </is>
      </c>
      <c r="O2719" t="inlineStr">
        <is>
          <t>16</t>
        </is>
      </c>
      <c r="P2719" t="inlineStr">
        <is>
          <t xml:space="preserve">250455  </t>
        </is>
      </c>
      <c r="Q2719" s="26" t="n">
        <v>8.19</v>
      </c>
      <c r="R2719" s="26">
        <f>Q2719*G2719</f>
        <v/>
      </c>
      <c r="S2719" s="26">
        <f>IFERROR(VLOOKUP(E2719*1,Tabla[#All],8,0),0)</f>
        <v/>
      </c>
      <c r="T2719" s="26">
        <f>S2719*G2719</f>
        <v/>
      </c>
      <c r="U2719" s="26">
        <f>R2719-T2719</f>
        <v/>
      </c>
      <c r="V2719" s="26">
        <f>U2719-L2719</f>
        <v/>
      </c>
    </row>
    <row r="2720">
      <c r="A2720" s="11" t="n">
        <v>46229</v>
      </c>
      <c r="B2720" s="1" t="n">
        <v>20089</v>
      </c>
      <c r="C2720" s="1" t="inlineStr">
        <is>
          <t>800</t>
        </is>
      </c>
      <c r="D2720" s="1" t="inlineStr">
        <is>
          <t xml:space="preserve">4342  </t>
        </is>
      </c>
      <c r="E2720" s="1" t="inlineStr">
        <is>
          <t xml:space="preserve">28194766       </t>
        </is>
      </c>
      <c r="F2720" s="5" t="inlineStr">
        <is>
          <t>CAMIONES TEAMSTERZ DE CIUDAD</t>
        </is>
      </c>
      <c r="G2720" t="n">
        <v>1</v>
      </c>
      <c r="H2720" s="7" t="n">
        <v>17.9</v>
      </c>
      <c r="I2720" s="7" t="n">
        <v>1.79</v>
      </c>
      <c r="J2720" s="7" t="n">
        <v>0</v>
      </c>
      <c r="K2720" s="9" t="n">
        <v>1.79</v>
      </c>
      <c r="L2720" s="10" t="n">
        <v>9.56</v>
      </c>
      <c r="M2720" s="10" t="n">
        <v>1.43</v>
      </c>
      <c r="N2720" t="inlineStr">
        <is>
          <t>1</t>
        </is>
      </c>
      <c r="O2720" t="inlineStr">
        <is>
          <t>16</t>
        </is>
      </c>
      <c r="P2720" t="inlineStr">
        <is>
          <t xml:space="preserve">0       </t>
        </is>
      </c>
      <c r="Q2720" s="26" t="n">
        <v>10.62</v>
      </c>
      <c r="R2720" s="26">
        <f>Q2720*G2720</f>
        <v/>
      </c>
      <c r="S2720" s="26">
        <f>IFERROR(VLOOKUP(E2720*1,Tabla[#All],8,0),0)</f>
        <v/>
      </c>
      <c r="T2720" s="26">
        <f>S2720*G2720</f>
        <v/>
      </c>
      <c r="U2720" s="26">
        <f>R2720-T2720</f>
        <v/>
      </c>
      <c r="V2720" s="26">
        <f>U2720-L2720</f>
        <v/>
      </c>
    </row>
    <row r="2721">
      <c r="A2721" s="11" t="n">
        <v>46229</v>
      </c>
      <c r="B2721" s="1" t="n">
        <v>20089</v>
      </c>
      <c r="C2721" s="1" t="inlineStr">
        <is>
          <t>801</t>
        </is>
      </c>
      <c r="D2721" s="1" t="inlineStr">
        <is>
          <t xml:space="preserve">9198  </t>
        </is>
      </c>
      <c r="E2721" s="1" t="inlineStr">
        <is>
          <t xml:space="preserve">28194770       </t>
        </is>
      </c>
      <c r="F2721" s="5" t="inlineStr">
        <is>
          <t>AUTOS DE METAL 3 TEAMSTERZ EN BLISTER</t>
        </is>
      </c>
      <c r="G2721" t="n">
        <v>1</v>
      </c>
      <c r="H2721" s="7" t="n">
        <v>6.9</v>
      </c>
      <c r="I2721" s="7" t="n">
        <v>0</v>
      </c>
      <c r="J2721" s="7" t="n">
        <v>0</v>
      </c>
      <c r="K2721" s="9" t="n">
        <v>0</v>
      </c>
      <c r="L2721" s="10" t="n">
        <v>4.1</v>
      </c>
      <c r="M2721" s="10" t="n">
        <v>1.43</v>
      </c>
      <c r="N2721" t="inlineStr">
        <is>
          <t>1</t>
        </is>
      </c>
      <c r="O2721" t="inlineStr">
        <is>
          <t>16</t>
        </is>
      </c>
      <c r="P2721" t="inlineStr">
        <is>
          <t xml:space="preserve">0       </t>
        </is>
      </c>
      <c r="Q2721" s="26" t="n">
        <v>4.09</v>
      </c>
      <c r="R2721" s="26">
        <f>Q2721*G2721</f>
        <v/>
      </c>
      <c r="S2721" s="26">
        <f>IFERROR(VLOOKUP(E2721*1,Tabla[#All],8,0),0)</f>
        <v/>
      </c>
      <c r="T2721" s="26">
        <f>S2721*G2721</f>
        <v/>
      </c>
      <c r="U2721" s="26">
        <f>R2721-T2721</f>
        <v/>
      </c>
      <c r="V2721" s="26">
        <f>U2721-L2721</f>
        <v/>
      </c>
    </row>
    <row r="2722">
      <c r="A2722" s="11" t="n">
        <v>46229</v>
      </c>
      <c r="B2722" s="1" t="n">
        <v>20089</v>
      </c>
      <c r="C2722" s="1" t="inlineStr">
        <is>
          <t>860</t>
        </is>
      </c>
      <c r="D2722" s="1" t="inlineStr">
        <is>
          <t xml:space="preserve">9936  </t>
        </is>
      </c>
      <c r="E2722" s="1" t="inlineStr">
        <is>
          <t xml:space="preserve">28194770       </t>
        </is>
      </c>
      <c r="F2722" s="5" t="inlineStr">
        <is>
          <t>AUTOS DE METAL 3 TEAMSTERZ EN BLISTER</t>
        </is>
      </c>
      <c r="G2722" t="n">
        <v>1</v>
      </c>
      <c r="H2722" s="7" t="n">
        <v>6.9</v>
      </c>
      <c r="I2722" s="7" t="n">
        <v>0</v>
      </c>
      <c r="J2722" s="7" t="n">
        <v>0</v>
      </c>
      <c r="K2722" s="9" t="n">
        <v>0</v>
      </c>
      <c r="L2722" s="10" t="n">
        <v>4.1</v>
      </c>
      <c r="M2722" s="10" t="n">
        <v>1.43</v>
      </c>
      <c r="N2722" t="inlineStr">
        <is>
          <t>1</t>
        </is>
      </c>
      <c r="O2722" t="inlineStr">
        <is>
          <t>16</t>
        </is>
      </c>
      <c r="P2722" t="inlineStr">
        <is>
          <t xml:space="preserve">0       </t>
        </is>
      </c>
      <c r="Q2722" s="26" t="n">
        <v>4.09</v>
      </c>
      <c r="R2722" s="26">
        <f>Q2722*G2722</f>
        <v/>
      </c>
      <c r="S2722" s="26">
        <f>IFERROR(VLOOKUP(E2722*1,Tabla[#All],8,0),0)</f>
        <v/>
      </c>
      <c r="T2722" s="26">
        <f>S2722*G2722</f>
        <v/>
      </c>
      <c r="U2722" s="26">
        <f>R2722-T2722</f>
        <v/>
      </c>
      <c r="V2722" s="26">
        <f>U2722-L2722</f>
        <v/>
      </c>
    </row>
    <row r="2723">
      <c r="A2723" s="11" t="n">
        <v>46229</v>
      </c>
      <c r="B2723" s="1" t="n">
        <v>20095</v>
      </c>
      <c r="C2723" s="1" t="inlineStr">
        <is>
          <t>028</t>
        </is>
      </c>
      <c r="D2723" s="1" t="inlineStr">
        <is>
          <t xml:space="preserve">42096 </t>
        </is>
      </c>
      <c r="E2723" s="1" t="inlineStr">
        <is>
          <t xml:space="preserve">32457111       </t>
        </is>
      </c>
      <c r="F2723" s="5" t="inlineStr">
        <is>
          <t>TMZ BEAST MACHINES MONSTER JAWS A FRICCION PACK DE</t>
        </is>
      </c>
      <c r="G2723" t="n">
        <v>1</v>
      </c>
      <c r="H2723" s="7" t="n">
        <v>54.9</v>
      </c>
      <c r="I2723" s="7" t="n">
        <v>5.49</v>
      </c>
      <c r="J2723" s="7" t="n">
        <v>0</v>
      </c>
      <c r="K2723" s="9" t="n">
        <v>5.49</v>
      </c>
      <c r="L2723" s="10" t="n">
        <v>29.31</v>
      </c>
      <c r="M2723" s="10" t="n">
        <v>1.43</v>
      </c>
      <c r="N2723" t="inlineStr">
        <is>
          <t>1</t>
        </is>
      </c>
      <c r="O2723" t="inlineStr">
        <is>
          <t xml:space="preserve">3 </t>
        </is>
      </c>
      <c r="P2723" t="inlineStr">
        <is>
          <t xml:space="preserve">20304   </t>
        </is>
      </c>
      <c r="Q2723" s="26" t="n">
        <v>44.43</v>
      </c>
      <c r="R2723" s="26">
        <f>Q2723*G2723</f>
        <v/>
      </c>
      <c r="S2723" s="26">
        <f>IFERROR(VLOOKUP(E2723*1,Tabla[#All],8,0),0)</f>
        <v/>
      </c>
      <c r="T2723" s="26">
        <f>S2723*G2723</f>
        <v/>
      </c>
      <c r="U2723" s="26">
        <f>R2723-T2723</f>
        <v/>
      </c>
      <c r="V2723" s="26">
        <f>U2723-L2723</f>
        <v/>
      </c>
    </row>
    <row r="2724">
      <c r="A2724" s="11" t="n">
        <v>46229</v>
      </c>
      <c r="B2724" s="1" t="n">
        <v>20095</v>
      </c>
      <c r="C2724" s="1" t="inlineStr">
        <is>
          <t>043</t>
        </is>
      </c>
      <c r="D2724" s="1" t="inlineStr">
        <is>
          <t>108858</t>
        </is>
      </c>
      <c r="E2724" s="1" t="inlineStr">
        <is>
          <t xml:space="preserve">32656523       </t>
        </is>
      </c>
      <c r="F2724" s="5" t="inlineStr">
        <is>
          <t>TMZ BEAST MACHINES TRANSPORT. T-REX ELECTR. + ACCE</t>
        </is>
      </c>
      <c r="G2724" t="n">
        <v>1</v>
      </c>
      <c r="H2724" s="7" t="n">
        <v>179</v>
      </c>
      <c r="I2724" s="7" t="n">
        <v>0</v>
      </c>
      <c r="J2724" s="7" t="n">
        <v>0</v>
      </c>
      <c r="K2724" s="9" t="n">
        <v>0</v>
      </c>
      <c r="L2724" s="10" t="n">
        <v>106.18</v>
      </c>
      <c r="M2724" s="10" t="n">
        <v>1.43</v>
      </c>
      <c r="N2724" t="inlineStr">
        <is>
          <t>1</t>
        </is>
      </c>
      <c r="O2724" t="inlineStr">
        <is>
          <t>16</t>
        </is>
      </c>
      <c r="P2724" t="inlineStr">
        <is>
          <t xml:space="preserve">248232  </t>
        </is>
      </c>
      <c r="Q2724" s="26" t="n">
        <v>106.19</v>
      </c>
      <c r="R2724" s="26">
        <f>Q2724*G2724</f>
        <v/>
      </c>
      <c r="S2724" s="26">
        <f>IFERROR(VLOOKUP(E2724*1,Tabla[#All],8,0),0)</f>
        <v/>
      </c>
      <c r="T2724" s="26">
        <f>S2724*G2724</f>
        <v/>
      </c>
      <c r="U2724" s="26">
        <f>R2724-T2724</f>
        <v/>
      </c>
      <c r="V2724" s="26">
        <f>U2724-L2724</f>
        <v/>
      </c>
    </row>
    <row r="2725">
      <c r="A2725" s="11" t="n">
        <v>46229</v>
      </c>
      <c r="B2725" s="1" t="n">
        <v>20095</v>
      </c>
      <c r="C2725" s="1" t="inlineStr">
        <is>
          <t>043</t>
        </is>
      </c>
      <c r="D2725" s="1" t="inlineStr">
        <is>
          <t>108886</t>
        </is>
      </c>
      <c r="E2725" s="1" t="inlineStr">
        <is>
          <t xml:space="preserve">30141766       </t>
        </is>
      </c>
      <c r="F2725" s="5" t="inlineStr">
        <is>
          <t>TMZ BEAST MACHINES AUTOS DE METAL BLISTER X 1</t>
        </is>
      </c>
      <c r="G2725" t="n">
        <v>1</v>
      </c>
      <c r="H2725" s="7" t="n">
        <v>7.9</v>
      </c>
      <c r="I2725" s="7" t="n">
        <v>0</v>
      </c>
      <c r="J2725" s="7" t="n">
        <v>0</v>
      </c>
      <c r="K2725" s="9" t="n">
        <v>0</v>
      </c>
      <c r="L2725" s="10" t="n">
        <v>4.68</v>
      </c>
      <c r="M2725" s="10" t="n">
        <v>1.43</v>
      </c>
      <c r="N2725" t="inlineStr">
        <is>
          <t>1</t>
        </is>
      </c>
      <c r="O2725" t="inlineStr">
        <is>
          <t>16</t>
        </is>
      </c>
      <c r="P2725" t="inlineStr">
        <is>
          <t xml:space="preserve">248232  </t>
        </is>
      </c>
      <c r="Q2725" s="26" t="n">
        <v>4.69</v>
      </c>
      <c r="R2725" s="26">
        <f>Q2725*G2725</f>
        <v/>
      </c>
      <c r="S2725" s="26">
        <f>IFERROR(VLOOKUP(E2725*1,Tabla[#All],8,0),0)</f>
        <v/>
      </c>
      <c r="T2725" s="26">
        <f>S2725*G2725</f>
        <v/>
      </c>
      <c r="U2725" s="26">
        <f>R2725-T2725</f>
        <v/>
      </c>
      <c r="V2725" s="26">
        <f>U2725-L2725</f>
        <v/>
      </c>
    </row>
    <row r="2726">
      <c r="A2726" s="11" t="n">
        <v>46229</v>
      </c>
      <c r="B2726" s="1" t="n">
        <v>20095</v>
      </c>
      <c r="C2726" s="1" t="inlineStr">
        <is>
          <t>044</t>
        </is>
      </c>
      <c r="D2726" s="1" t="inlineStr">
        <is>
          <t xml:space="preserve">94744 </t>
        </is>
      </c>
      <c r="E2726" s="1" t="inlineStr">
        <is>
          <t xml:space="preserve">29235707       </t>
        </is>
      </c>
      <c r="F2726" s="5" t="inlineStr">
        <is>
          <t>TEAMSTERZ AUTO DE METAL 3  PACK DE 5</t>
        </is>
      </c>
      <c r="G2726" t="n">
        <v>1</v>
      </c>
      <c r="H2726" s="7" t="n">
        <v>34.5</v>
      </c>
      <c r="I2726" s="7" t="n">
        <v>0</v>
      </c>
      <c r="J2726" s="7" t="n">
        <v>0</v>
      </c>
      <c r="K2726" s="9" t="n">
        <v>0</v>
      </c>
      <c r="L2726" s="10" t="n">
        <v>20.47</v>
      </c>
      <c r="M2726" s="10" t="n">
        <v>1.43</v>
      </c>
      <c r="N2726" t="inlineStr">
        <is>
          <t>1</t>
        </is>
      </c>
      <c r="O2726" t="inlineStr">
        <is>
          <t xml:space="preserve">2 </t>
        </is>
      </c>
      <c r="P2726" t="inlineStr">
        <is>
          <t xml:space="preserve">57461   </t>
        </is>
      </c>
      <c r="Q2726" s="26" t="n">
        <v>20.47</v>
      </c>
      <c r="R2726" s="26">
        <f>Q2726*G2726</f>
        <v/>
      </c>
      <c r="S2726" s="26">
        <f>IFERROR(VLOOKUP(E2726*1,Tabla[#All],8,0),0)</f>
        <v/>
      </c>
      <c r="T2726" s="26">
        <f>S2726*G2726</f>
        <v/>
      </c>
      <c r="U2726" s="26">
        <f>R2726-T2726</f>
        <v/>
      </c>
      <c r="V2726" s="26">
        <f>U2726-L2726</f>
        <v/>
      </c>
    </row>
    <row r="2727">
      <c r="A2727" s="11" t="n">
        <v>46230</v>
      </c>
      <c r="B2727" s="1" t="n">
        <v>20021</v>
      </c>
      <c r="C2727" s="1" t="inlineStr">
        <is>
          <t>055</t>
        </is>
      </c>
      <c r="D2727" s="1" t="inlineStr">
        <is>
          <t>156061</t>
        </is>
      </c>
      <c r="E2727" s="1" t="inlineStr">
        <is>
          <t xml:space="preserve">34840552       </t>
        </is>
      </c>
      <c r="F2727" s="5" t="inlineStr">
        <is>
          <t>TMZ HELI POLICIA CON LUCES Y SONIDOS</t>
        </is>
      </c>
      <c r="G2727" t="n">
        <v>1</v>
      </c>
      <c r="H2727" s="7" t="n">
        <v>79.90000000000001</v>
      </c>
      <c r="I2727" s="7" t="n">
        <v>7.99</v>
      </c>
      <c r="J2727" s="7" t="n">
        <v>0</v>
      </c>
      <c r="K2727" s="9" t="n">
        <v>7.99</v>
      </c>
      <c r="L2727" s="10" t="n">
        <v>42.66</v>
      </c>
      <c r="M2727" s="10" t="n">
        <v>1.43</v>
      </c>
      <c r="N2727" t="inlineStr">
        <is>
          <t>1</t>
        </is>
      </c>
      <c r="O2727" t="inlineStr">
        <is>
          <t>16</t>
        </is>
      </c>
      <c r="P2727" t="inlineStr">
        <is>
          <t xml:space="preserve">42929   </t>
        </is>
      </c>
      <c r="Q2727" s="26" t="n">
        <v>47.4</v>
      </c>
      <c r="R2727" s="26">
        <f>Q2727*G2727</f>
        <v/>
      </c>
      <c r="S2727" s="26">
        <f>IFERROR(VLOOKUP(E2727*1,Tabla[#All],8,0),0)</f>
        <v/>
      </c>
      <c r="T2727" s="26">
        <f>S2727*G2727</f>
        <v/>
      </c>
      <c r="U2727" s="26">
        <f>R2727-T2727</f>
        <v/>
      </c>
      <c r="V2727" s="26">
        <f>U2727-L2727</f>
        <v/>
      </c>
    </row>
    <row r="2728">
      <c r="A2728" s="11" t="n">
        <v>46230</v>
      </c>
      <c r="B2728" s="1" t="n">
        <v>20021</v>
      </c>
      <c r="C2728" s="1" t="inlineStr">
        <is>
          <t>082</t>
        </is>
      </c>
      <c r="D2728" s="1" t="inlineStr">
        <is>
          <t>270689</t>
        </is>
      </c>
      <c r="E2728" s="1" t="inlineStr">
        <is>
          <t xml:space="preserve">28194768       </t>
        </is>
      </c>
      <c r="F2728" s="5" t="inlineStr">
        <is>
          <t>AUTO COLOR CHANGE TEAMSTERZ SURTIDO</t>
        </is>
      </c>
      <c r="G2728" t="n">
        <v>1</v>
      </c>
      <c r="H2728" s="7" t="n">
        <v>14.9</v>
      </c>
      <c r="I2728" s="7" t="n">
        <v>0</v>
      </c>
      <c r="J2728" s="7" t="n">
        <v>0</v>
      </c>
      <c r="K2728" s="9" t="n">
        <v>0</v>
      </c>
      <c r="L2728" s="10" t="n">
        <v>8.84</v>
      </c>
      <c r="M2728" s="10" t="n">
        <v>1.43</v>
      </c>
      <c r="N2728" t="inlineStr">
        <is>
          <t>1</t>
        </is>
      </c>
      <c r="O2728" t="inlineStr">
        <is>
          <t>16</t>
        </is>
      </c>
      <c r="P2728" t="inlineStr">
        <is>
          <t xml:space="preserve">243383  </t>
        </is>
      </c>
      <c r="Q2728" s="26" t="n">
        <v>8.84</v>
      </c>
      <c r="R2728" s="26">
        <f>Q2728*G2728</f>
        <v/>
      </c>
      <c r="S2728" s="26">
        <f>IFERROR(VLOOKUP(E2728*1,Tabla[#All],8,0),0)</f>
        <v/>
      </c>
      <c r="T2728" s="26">
        <f>S2728*G2728</f>
        <v/>
      </c>
      <c r="U2728" s="26">
        <f>R2728-T2728</f>
        <v/>
      </c>
      <c r="V2728" s="26">
        <f>U2728-L2728</f>
        <v/>
      </c>
    </row>
    <row r="2729">
      <c r="A2729" s="11" t="n">
        <v>46230</v>
      </c>
      <c r="B2729" s="1" t="n">
        <v>20021</v>
      </c>
      <c r="C2729" s="1" t="inlineStr">
        <is>
          <t>082</t>
        </is>
      </c>
      <c r="D2729" s="1" t="inlineStr">
        <is>
          <t>270722</t>
        </is>
      </c>
      <c r="E2729" s="1" t="inlineStr">
        <is>
          <t xml:space="preserve">28194770       </t>
        </is>
      </c>
      <c r="F2729" s="5" t="inlineStr">
        <is>
          <t>AUTOS DE METAL 3 TEAMSTERZ EN BLISTER</t>
        </is>
      </c>
      <c r="G2729" t="n">
        <v>1</v>
      </c>
      <c r="H2729" s="7" t="n">
        <v>6.9</v>
      </c>
      <c r="I2729" s="7" t="n">
        <v>0</v>
      </c>
      <c r="J2729" s="7" t="n">
        <v>0</v>
      </c>
      <c r="K2729" s="9" t="n">
        <v>0</v>
      </c>
      <c r="L2729" s="10" t="n">
        <v>4.1</v>
      </c>
      <c r="M2729" s="10" t="n">
        <v>1.43</v>
      </c>
      <c r="N2729" t="inlineStr">
        <is>
          <t>1</t>
        </is>
      </c>
      <c r="O2729" t="inlineStr">
        <is>
          <t xml:space="preserve">6 </t>
        </is>
      </c>
      <c r="P2729" t="inlineStr">
        <is>
          <t xml:space="preserve">250202  </t>
        </is>
      </c>
      <c r="Q2729" s="26" t="n">
        <v>4.09</v>
      </c>
      <c r="R2729" s="26">
        <f>Q2729*G2729</f>
        <v/>
      </c>
      <c r="S2729" s="26">
        <f>IFERROR(VLOOKUP(E2729*1,Tabla[#All],8,0),0)</f>
        <v/>
      </c>
      <c r="T2729" s="26">
        <f>S2729*G2729</f>
        <v/>
      </c>
      <c r="U2729" s="26">
        <f>R2729-T2729</f>
        <v/>
      </c>
      <c r="V2729" s="26">
        <f>U2729-L2729</f>
        <v/>
      </c>
    </row>
    <row r="2730">
      <c r="A2730" s="11" t="n">
        <v>46230</v>
      </c>
      <c r="B2730" s="1" t="n">
        <v>20023</v>
      </c>
      <c r="C2730" s="1" t="inlineStr">
        <is>
          <t>025</t>
        </is>
      </c>
      <c r="D2730" s="1" t="inlineStr">
        <is>
          <t>177960</t>
        </is>
      </c>
      <c r="E2730" s="1" t="inlineStr">
        <is>
          <t xml:space="preserve">28194768       </t>
        </is>
      </c>
      <c r="F2730" s="5" t="inlineStr">
        <is>
          <t>AUTO COLOR CHANGE TEAMSTERZ SURTIDO</t>
        </is>
      </c>
      <c r="G2730" t="n">
        <v>1</v>
      </c>
      <c r="H2730" s="7" t="n">
        <v>14.9</v>
      </c>
      <c r="I2730" s="7" t="n">
        <v>0</v>
      </c>
      <c r="J2730" s="7" t="n">
        <v>0</v>
      </c>
      <c r="K2730" s="9" t="n">
        <v>0</v>
      </c>
      <c r="L2730" s="10" t="n">
        <v>8.84</v>
      </c>
      <c r="M2730" s="10" t="n">
        <v>1.43</v>
      </c>
      <c r="N2730" t="inlineStr">
        <is>
          <t>1</t>
        </is>
      </c>
      <c r="O2730" t="inlineStr">
        <is>
          <t>16</t>
        </is>
      </c>
      <c r="P2730" t="inlineStr">
        <is>
          <t xml:space="preserve">32921   </t>
        </is>
      </c>
      <c r="Q2730" s="26" t="n">
        <v>8.84</v>
      </c>
      <c r="R2730" s="26">
        <f>Q2730*G2730</f>
        <v/>
      </c>
      <c r="S2730" s="26">
        <f>IFERROR(VLOOKUP(E2730*1,Tabla[#All],8,0),0)</f>
        <v/>
      </c>
      <c r="T2730" s="26">
        <f>S2730*G2730</f>
        <v/>
      </c>
      <c r="U2730" s="26">
        <f>R2730-T2730</f>
        <v/>
      </c>
      <c r="V2730" s="26">
        <f>U2730-L2730</f>
        <v/>
      </c>
    </row>
    <row r="2731">
      <c r="A2731" s="11" t="n">
        <v>46230</v>
      </c>
      <c r="B2731" s="1" t="n">
        <v>20023</v>
      </c>
      <c r="C2731" s="1" t="inlineStr">
        <is>
          <t>025</t>
        </is>
      </c>
      <c r="D2731" s="1" t="inlineStr">
        <is>
          <t>177960</t>
        </is>
      </c>
      <c r="E2731" s="1" t="inlineStr">
        <is>
          <t xml:space="preserve">28194768       </t>
        </is>
      </c>
      <c r="F2731" s="5" t="inlineStr">
        <is>
          <t>AUTO COLOR CHANGE TEAMSTERZ SURTIDO</t>
        </is>
      </c>
      <c r="G2731" t="n">
        <v>1</v>
      </c>
      <c r="H2731" s="7" t="n">
        <v>14.9</v>
      </c>
      <c r="I2731" s="7" t="n">
        <v>0</v>
      </c>
      <c r="J2731" s="7" t="n">
        <v>0</v>
      </c>
      <c r="K2731" s="9" t="n">
        <v>0</v>
      </c>
      <c r="L2731" s="10" t="n">
        <v>8.84</v>
      </c>
      <c r="M2731" s="10" t="n">
        <v>1.43</v>
      </c>
      <c r="N2731" t="inlineStr">
        <is>
          <t>1</t>
        </is>
      </c>
      <c r="O2731" t="inlineStr">
        <is>
          <t>16</t>
        </is>
      </c>
      <c r="P2731" t="inlineStr">
        <is>
          <t xml:space="preserve">32921   </t>
        </is>
      </c>
      <c r="Q2731" s="26" t="n">
        <v>8.84</v>
      </c>
      <c r="R2731" s="26">
        <f>Q2731*G2731</f>
        <v/>
      </c>
      <c r="S2731" s="26">
        <f>IFERROR(VLOOKUP(E2731*1,Tabla[#All],8,0),0)</f>
        <v/>
      </c>
      <c r="T2731" s="26">
        <f>S2731*G2731</f>
        <v/>
      </c>
      <c r="U2731" s="26">
        <f>R2731-T2731</f>
        <v/>
      </c>
      <c r="V2731" s="26">
        <f>U2731-L2731</f>
        <v/>
      </c>
    </row>
    <row r="2732">
      <c r="A2732" s="11" t="n">
        <v>46230</v>
      </c>
      <c r="B2732" s="1" t="n">
        <v>20023</v>
      </c>
      <c r="C2732" s="1" t="inlineStr">
        <is>
          <t>079</t>
        </is>
      </c>
      <c r="D2732" s="1" t="inlineStr">
        <is>
          <t>290821</t>
        </is>
      </c>
      <c r="E2732" s="1" t="inlineStr">
        <is>
          <t xml:space="preserve">29235702       </t>
        </is>
      </c>
      <c r="F2732" s="5" t="inlineStr">
        <is>
          <t>INFINITY NADO TROMPO DE BATALLA - METAL C/ ANILLO</t>
        </is>
      </c>
      <c r="G2732" t="n">
        <v>1</v>
      </c>
      <c r="H2732" s="7" t="n">
        <v>49.9</v>
      </c>
      <c r="I2732" s="7" t="n">
        <v>0</v>
      </c>
      <c r="J2732" s="7" t="n">
        <v>0</v>
      </c>
      <c r="K2732" s="9" t="n">
        <v>0</v>
      </c>
      <c r="L2732" s="10" t="n">
        <v>29.6</v>
      </c>
      <c r="M2732" s="10" t="n">
        <v>1.43</v>
      </c>
      <c r="N2732" t="inlineStr">
        <is>
          <t>1</t>
        </is>
      </c>
      <c r="O2732" t="inlineStr">
        <is>
          <t>16</t>
        </is>
      </c>
      <c r="P2732" t="inlineStr">
        <is>
          <t xml:space="preserve">236216  </t>
        </is>
      </c>
      <c r="Q2732" s="26" t="n">
        <v>41.47</v>
      </c>
      <c r="R2732" s="26">
        <f>Q2732*G2732</f>
        <v/>
      </c>
      <c r="S2732" s="26">
        <f>IFERROR(VLOOKUP(E2732*1,Tabla[#All],8,0),0)</f>
        <v/>
      </c>
      <c r="T2732" s="26">
        <f>S2732*G2732</f>
        <v/>
      </c>
      <c r="U2732" s="26">
        <f>R2732-T2732</f>
        <v/>
      </c>
      <c r="V2732" s="26">
        <f>U2732-L2732</f>
        <v/>
      </c>
    </row>
    <row r="2733">
      <c r="A2733" s="11" t="n">
        <v>46230</v>
      </c>
      <c r="B2733" s="1" t="n">
        <v>20023</v>
      </c>
      <c r="C2733" s="1" t="inlineStr">
        <is>
          <t>088</t>
        </is>
      </c>
      <c r="D2733" s="1" t="inlineStr">
        <is>
          <t>131067</t>
        </is>
      </c>
      <c r="E2733" s="1" t="inlineStr">
        <is>
          <t xml:space="preserve">28194768       </t>
        </is>
      </c>
      <c r="F2733" s="5" t="inlineStr">
        <is>
          <t>AUTO COLOR CHANGE TEAMSTERZ SURTIDO</t>
        </is>
      </c>
      <c r="G2733" t="n">
        <v>1</v>
      </c>
      <c r="H2733" s="7" t="n">
        <v>14.9</v>
      </c>
      <c r="I2733" s="7" t="n">
        <v>0</v>
      </c>
      <c r="J2733" s="7" t="n">
        <v>0</v>
      </c>
      <c r="K2733" s="9" t="n">
        <v>0</v>
      </c>
      <c r="L2733" s="10" t="n">
        <v>8.84</v>
      </c>
      <c r="M2733" s="10" t="n">
        <v>1.43</v>
      </c>
      <c r="N2733" t="inlineStr">
        <is>
          <t>1</t>
        </is>
      </c>
      <c r="O2733" t="inlineStr">
        <is>
          <t xml:space="preserve">2 </t>
        </is>
      </c>
      <c r="P2733" t="inlineStr">
        <is>
          <t xml:space="preserve">83903   </t>
        </is>
      </c>
      <c r="Q2733" s="26" t="n">
        <v>8.84</v>
      </c>
      <c r="R2733" s="26">
        <f>Q2733*G2733</f>
        <v/>
      </c>
      <c r="S2733" s="26">
        <f>IFERROR(VLOOKUP(E2733*1,Tabla[#All],8,0),0)</f>
        <v/>
      </c>
      <c r="T2733" s="26">
        <f>S2733*G2733</f>
        <v/>
      </c>
      <c r="U2733" s="26">
        <f>R2733-T2733</f>
        <v/>
      </c>
      <c r="V2733" s="26">
        <f>U2733-L2733</f>
        <v/>
      </c>
    </row>
    <row r="2734">
      <c r="A2734" s="11" t="n">
        <v>46230</v>
      </c>
      <c r="B2734" s="1" t="n">
        <v>20024</v>
      </c>
      <c r="C2734" s="1" t="inlineStr">
        <is>
          <t>805</t>
        </is>
      </c>
      <c r="D2734" s="1" t="inlineStr">
        <is>
          <t xml:space="preserve">3166  </t>
        </is>
      </c>
      <c r="E2734" s="1" t="inlineStr">
        <is>
          <t xml:space="preserve">28194770       </t>
        </is>
      </c>
      <c r="F2734" s="5" t="inlineStr">
        <is>
          <t>AUTOS DE METAL 3 TEAMSTERZ EN BLISTER</t>
        </is>
      </c>
      <c r="G2734" t="n">
        <v>1</v>
      </c>
      <c r="H2734" s="7" t="n">
        <v>6.9</v>
      </c>
      <c r="I2734" s="7" t="n">
        <v>0</v>
      </c>
      <c r="J2734" s="7" t="n">
        <v>0</v>
      </c>
      <c r="K2734" s="9" t="n">
        <v>0</v>
      </c>
      <c r="L2734" s="10" t="n">
        <v>4.1</v>
      </c>
      <c r="M2734" s="10" t="n">
        <v>1.43</v>
      </c>
      <c r="N2734" t="inlineStr">
        <is>
          <t>1</t>
        </is>
      </c>
      <c r="O2734" t="inlineStr">
        <is>
          <t>16</t>
        </is>
      </c>
      <c r="P2734" t="inlineStr">
        <is>
          <t xml:space="preserve">0       </t>
        </is>
      </c>
      <c r="Q2734" s="26" t="n">
        <v>4.09</v>
      </c>
      <c r="R2734" s="26">
        <f>Q2734*G2734</f>
        <v/>
      </c>
      <c r="S2734" s="26">
        <f>IFERROR(VLOOKUP(E2734*1,Tabla[#All],8,0),0)</f>
        <v/>
      </c>
      <c r="T2734" s="26">
        <f>S2734*G2734</f>
        <v/>
      </c>
      <c r="U2734" s="26">
        <f>R2734-T2734</f>
        <v/>
      </c>
      <c r="V2734" s="26">
        <f>U2734-L2734</f>
        <v/>
      </c>
    </row>
    <row r="2735">
      <c r="A2735" s="11" t="n">
        <v>46230</v>
      </c>
      <c r="B2735" s="1" t="n">
        <v>20028</v>
      </c>
      <c r="C2735" s="1" t="inlineStr">
        <is>
          <t>021</t>
        </is>
      </c>
      <c r="D2735" s="1" t="inlineStr">
        <is>
          <t>186709</t>
        </is>
      </c>
      <c r="E2735" s="1" t="inlineStr">
        <is>
          <t xml:space="preserve">32457103       </t>
        </is>
      </c>
      <c r="F2735" s="5" t="inlineStr">
        <is>
          <t>TMZ BEAST MACHINES MONSTER JAWS A FRICCION PACK DE</t>
        </is>
      </c>
      <c r="G2735" t="n">
        <v>1</v>
      </c>
      <c r="H2735" s="7" t="n">
        <v>32.9</v>
      </c>
      <c r="I2735" s="7" t="n">
        <v>0</v>
      </c>
      <c r="J2735" s="7" t="n">
        <v>0</v>
      </c>
      <c r="K2735" s="9" t="n">
        <v>0</v>
      </c>
      <c r="L2735" s="10" t="n">
        <v>19.52</v>
      </c>
      <c r="M2735" s="10" t="n">
        <v>1.43</v>
      </c>
      <c r="N2735" t="inlineStr">
        <is>
          <t>1</t>
        </is>
      </c>
      <c r="O2735" t="inlineStr">
        <is>
          <t>16</t>
        </is>
      </c>
      <c r="P2735" t="inlineStr">
        <is>
          <t xml:space="preserve">31171   </t>
        </is>
      </c>
      <c r="Q2735" s="26" t="n">
        <v>22.48</v>
      </c>
      <c r="R2735" s="26">
        <f>Q2735*G2735</f>
        <v/>
      </c>
      <c r="S2735" s="26">
        <f>IFERROR(VLOOKUP(E2735*1,Tabla[#All],8,0),0)</f>
        <v/>
      </c>
      <c r="T2735" s="26">
        <f>S2735*G2735</f>
        <v/>
      </c>
      <c r="U2735" s="26">
        <f>R2735-T2735</f>
        <v/>
      </c>
      <c r="V2735" s="26">
        <f>U2735-L2735</f>
        <v/>
      </c>
    </row>
    <row r="2736">
      <c r="A2736" s="11" t="n">
        <v>46230</v>
      </c>
      <c r="B2736" s="1" t="n">
        <v>20030</v>
      </c>
      <c r="C2736" s="1" t="inlineStr">
        <is>
          <t>030</t>
        </is>
      </c>
      <c r="D2736" s="1" t="inlineStr">
        <is>
          <t>360648</t>
        </is>
      </c>
      <c r="E2736" s="1" t="inlineStr">
        <is>
          <t xml:space="preserve">28194769       </t>
        </is>
      </c>
      <c r="F2736" s="5" t="inlineStr">
        <is>
          <t>AUTOS DE METAL 3 TEAMSTERZ PACK DE 2</t>
        </is>
      </c>
      <c r="G2736" t="n">
        <v>1</v>
      </c>
      <c r="H2736" s="7" t="n">
        <v>13.8</v>
      </c>
      <c r="I2736" s="7" t="n">
        <v>0</v>
      </c>
      <c r="J2736" s="7" t="n">
        <v>0</v>
      </c>
      <c r="K2736" s="9" t="n">
        <v>0</v>
      </c>
      <c r="L2736" s="10" t="n">
        <v>8.18</v>
      </c>
      <c r="M2736" s="10" t="n">
        <v>1.43</v>
      </c>
      <c r="N2736" t="inlineStr">
        <is>
          <t>1</t>
        </is>
      </c>
      <c r="O2736" t="inlineStr">
        <is>
          <t>16</t>
        </is>
      </c>
      <c r="P2736" t="inlineStr">
        <is>
          <t xml:space="preserve">22672   </t>
        </is>
      </c>
      <c r="Q2736" s="26" t="n">
        <v>8.19</v>
      </c>
      <c r="R2736" s="26">
        <f>Q2736*G2736</f>
        <v/>
      </c>
      <c r="S2736" s="26">
        <f>IFERROR(VLOOKUP(E2736*1,Tabla[#All],8,0),0)</f>
        <v/>
      </c>
      <c r="T2736" s="26">
        <f>S2736*G2736</f>
        <v/>
      </c>
      <c r="U2736" s="26">
        <f>R2736-T2736</f>
        <v/>
      </c>
      <c r="V2736" s="26">
        <f>U2736-L2736</f>
        <v/>
      </c>
    </row>
    <row r="2737">
      <c r="A2737" s="11" t="n">
        <v>46230</v>
      </c>
      <c r="B2737" s="1" t="n">
        <v>20030</v>
      </c>
      <c r="C2737" s="1" t="inlineStr">
        <is>
          <t>030</t>
        </is>
      </c>
      <c r="D2737" s="1" t="inlineStr">
        <is>
          <t>360648</t>
        </is>
      </c>
      <c r="E2737" s="1" t="inlineStr">
        <is>
          <t xml:space="preserve">28194770       </t>
        </is>
      </c>
      <c r="F2737" s="5" t="inlineStr">
        <is>
          <t>AUTOS DE METAL 3 TEAMSTERZ EN BLISTER</t>
        </is>
      </c>
      <c r="G2737" t="n">
        <v>1</v>
      </c>
      <c r="H2737" s="7" t="n">
        <v>6.9</v>
      </c>
      <c r="I2737" s="7" t="n">
        <v>0</v>
      </c>
      <c r="J2737" s="7" t="n">
        <v>0</v>
      </c>
      <c r="K2737" s="9" t="n">
        <v>0</v>
      </c>
      <c r="L2737" s="10" t="n">
        <v>4.1</v>
      </c>
      <c r="M2737" s="10" t="n">
        <v>1.43</v>
      </c>
      <c r="N2737" t="inlineStr">
        <is>
          <t>1</t>
        </is>
      </c>
      <c r="O2737" t="inlineStr">
        <is>
          <t>16</t>
        </is>
      </c>
      <c r="P2737" t="inlineStr">
        <is>
          <t xml:space="preserve">22672   </t>
        </is>
      </c>
      <c r="Q2737" s="26" t="n">
        <v>4.09</v>
      </c>
      <c r="R2737" s="26">
        <f>Q2737*G2737</f>
        <v/>
      </c>
      <c r="S2737" s="26">
        <f>IFERROR(VLOOKUP(E2737*1,Tabla[#All],8,0),0)</f>
        <v/>
      </c>
      <c r="T2737" s="26">
        <f>S2737*G2737</f>
        <v/>
      </c>
      <c r="U2737" s="26">
        <f>R2737-T2737</f>
        <v/>
      </c>
      <c r="V2737" s="26">
        <f>U2737-L2737</f>
        <v/>
      </c>
    </row>
    <row r="2738">
      <c r="A2738" s="11" t="n">
        <v>46230</v>
      </c>
      <c r="B2738" s="1" t="n">
        <v>20030</v>
      </c>
      <c r="C2738" s="1" t="inlineStr">
        <is>
          <t>067</t>
        </is>
      </c>
      <c r="D2738" s="1" t="inlineStr">
        <is>
          <t>275182</t>
        </is>
      </c>
      <c r="E2738" s="1" t="inlineStr">
        <is>
          <t xml:space="preserve">28194770       </t>
        </is>
      </c>
      <c r="F2738" s="5" t="inlineStr">
        <is>
          <t>AUTOS DE METAL 3 TEAMSTERZ EN BLISTER</t>
        </is>
      </c>
      <c r="G2738" t="n">
        <v>1</v>
      </c>
      <c r="H2738" s="7" t="n">
        <v>6.9</v>
      </c>
      <c r="I2738" s="7" t="n">
        <v>0</v>
      </c>
      <c r="J2738" s="7" t="n">
        <v>0</v>
      </c>
      <c r="K2738" s="9" t="n">
        <v>0</v>
      </c>
      <c r="L2738" s="10" t="n">
        <v>4.1</v>
      </c>
      <c r="M2738" s="10" t="n">
        <v>1.43</v>
      </c>
      <c r="N2738" t="inlineStr">
        <is>
          <t>1</t>
        </is>
      </c>
      <c r="O2738" t="inlineStr">
        <is>
          <t>16</t>
        </is>
      </c>
      <c r="P2738" t="inlineStr">
        <is>
          <t xml:space="preserve">39099   </t>
        </is>
      </c>
      <c r="Q2738" s="26" t="n">
        <v>4.09</v>
      </c>
      <c r="R2738" s="26">
        <f>Q2738*G2738</f>
        <v/>
      </c>
      <c r="S2738" s="26">
        <f>IFERROR(VLOOKUP(E2738*1,Tabla[#All],8,0),0)</f>
        <v/>
      </c>
      <c r="T2738" s="26">
        <f>S2738*G2738</f>
        <v/>
      </c>
      <c r="U2738" s="26">
        <f>R2738-T2738</f>
        <v/>
      </c>
      <c r="V2738" s="26">
        <f>U2738-L2738</f>
        <v/>
      </c>
    </row>
    <row r="2739">
      <c r="A2739" s="11" t="n">
        <v>46230</v>
      </c>
      <c r="B2739" s="1" t="n">
        <v>20030</v>
      </c>
      <c r="C2739" s="1" t="inlineStr">
        <is>
          <t>077</t>
        </is>
      </c>
      <c r="D2739" s="1" t="inlineStr">
        <is>
          <t>233019</t>
        </is>
      </c>
      <c r="E2739" s="1" t="inlineStr">
        <is>
          <t xml:space="preserve">28194770       </t>
        </is>
      </c>
      <c r="F2739" s="5" t="inlineStr">
        <is>
          <t>AUTOS DE METAL 3 TEAMSTERZ EN BLISTER</t>
        </is>
      </c>
      <c r="G2739" t="n">
        <v>1</v>
      </c>
      <c r="H2739" s="7" t="n">
        <v>6.9</v>
      </c>
      <c r="I2739" s="7" t="n">
        <v>0.6899999999999999</v>
      </c>
      <c r="J2739" s="7" t="n">
        <v>0</v>
      </c>
      <c r="K2739" s="9" t="n">
        <v>0.6899999999999999</v>
      </c>
      <c r="L2739" s="10" t="n">
        <v>3.68</v>
      </c>
      <c r="M2739" s="10" t="n">
        <v>1.43</v>
      </c>
      <c r="N2739" t="inlineStr">
        <is>
          <t>1</t>
        </is>
      </c>
      <c r="O2739" t="inlineStr">
        <is>
          <t xml:space="preserve">3 </t>
        </is>
      </c>
      <c r="P2739" t="inlineStr">
        <is>
          <t xml:space="preserve">58683   </t>
        </is>
      </c>
      <c r="Q2739" s="26" t="n">
        <v>4.09</v>
      </c>
      <c r="R2739" s="26">
        <f>Q2739*G2739</f>
        <v/>
      </c>
      <c r="S2739" s="26">
        <f>IFERROR(VLOOKUP(E2739*1,Tabla[#All],8,0),0)</f>
        <v/>
      </c>
      <c r="T2739" s="26">
        <f>S2739*G2739</f>
        <v/>
      </c>
      <c r="U2739" s="26">
        <f>R2739-T2739</f>
        <v/>
      </c>
      <c r="V2739" s="26">
        <f>U2739-L2739</f>
        <v/>
      </c>
    </row>
    <row r="2740">
      <c r="A2740" s="11" t="n">
        <v>46230</v>
      </c>
      <c r="B2740" s="1" t="n">
        <v>20040</v>
      </c>
      <c r="C2740" s="1" t="inlineStr">
        <is>
          <t>072</t>
        </is>
      </c>
      <c r="D2740" s="1" t="inlineStr">
        <is>
          <t>253060</t>
        </is>
      </c>
      <c r="E2740" s="1" t="inlineStr">
        <is>
          <t xml:space="preserve">34840550       </t>
        </is>
      </c>
      <c r="F2740" s="5" t="inlineStr">
        <is>
          <t>TEAMSTERZ M/MOVERZ TRANSPORTA GORILA</t>
        </is>
      </c>
      <c r="G2740" t="n">
        <v>1</v>
      </c>
      <c r="H2740" s="7" t="n">
        <v>129</v>
      </c>
      <c r="I2740" s="7" t="n">
        <v>12.9</v>
      </c>
      <c r="J2740" s="7" t="n">
        <v>0</v>
      </c>
      <c r="K2740" s="9" t="n">
        <v>12.9</v>
      </c>
      <c r="L2740" s="10" t="n">
        <v>68.87</v>
      </c>
      <c r="M2740" s="10" t="n">
        <v>1.43</v>
      </c>
      <c r="N2740" t="inlineStr">
        <is>
          <t>1</t>
        </is>
      </c>
      <c r="O2740" t="inlineStr">
        <is>
          <t xml:space="preserve">3 </t>
        </is>
      </c>
      <c r="P2740" t="inlineStr">
        <is>
          <t xml:space="preserve">61602   </t>
        </is>
      </c>
      <c r="Q2740" s="26" t="n">
        <v>76.53</v>
      </c>
      <c r="R2740" s="26">
        <f>Q2740*G2740</f>
        <v/>
      </c>
      <c r="S2740" s="26">
        <f>IFERROR(VLOOKUP(E2740*1,Tabla[#All],8,0),0)</f>
        <v/>
      </c>
      <c r="T2740" s="26">
        <f>S2740*G2740</f>
        <v/>
      </c>
      <c r="U2740" s="26">
        <f>R2740-T2740</f>
        <v/>
      </c>
      <c r="V2740" s="26">
        <f>U2740-L2740</f>
        <v/>
      </c>
    </row>
    <row r="2741">
      <c r="A2741" s="11" t="n">
        <v>46230</v>
      </c>
      <c r="B2741" s="1" t="n">
        <v>20040</v>
      </c>
      <c r="C2741" s="1" t="inlineStr">
        <is>
          <t>072</t>
        </is>
      </c>
      <c r="D2741" s="1" t="inlineStr">
        <is>
          <t>253177</t>
        </is>
      </c>
      <c r="E2741" s="1" t="inlineStr">
        <is>
          <t xml:space="preserve">34840552       </t>
        </is>
      </c>
      <c r="F2741" s="5" t="inlineStr">
        <is>
          <t>TMZ HELI POLICIA CON LUCES Y SONIDOS</t>
        </is>
      </c>
      <c r="G2741" t="n">
        <v>1</v>
      </c>
      <c r="H2741" s="7" t="n">
        <v>79.90000000000001</v>
      </c>
      <c r="I2741" s="7" t="n">
        <v>0</v>
      </c>
      <c r="J2741" s="7" t="n">
        <v>0</v>
      </c>
      <c r="K2741" s="9" t="n">
        <v>0</v>
      </c>
      <c r="L2741" s="10" t="n">
        <v>47.4</v>
      </c>
      <c r="M2741" s="10" t="n">
        <v>1.43</v>
      </c>
      <c r="N2741" t="inlineStr">
        <is>
          <t>1</t>
        </is>
      </c>
      <c r="O2741" t="inlineStr">
        <is>
          <t xml:space="preserve">2 </t>
        </is>
      </c>
      <c r="P2741" t="inlineStr">
        <is>
          <t xml:space="preserve">61602   </t>
        </is>
      </c>
      <c r="Q2741" s="26" t="n">
        <v>47.4</v>
      </c>
      <c r="R2741" s="26">
        <f>Q2741*G2741</f>
        <v/>
      </c>
      <c r="S2741" s="26">
        <f>IFERROR(VLOOKUP(E2741*1,Tabla[#All],8,0),0)</f>
        <v/>
      </c>
      <c r="T2741" s="26">
        <f>S2741*G2741</f>
        <v/>
      </c>
      <c r="U2741" s="26">
        <f>R2741-T2741</f>
        <v/>
      </c>
      <c r="V2741" s="26">
        <f>U2741-L2741</f>
        <v/>
      </c>
    </row>
    <row r="2742">
      <c r="A2742" s="11" t="n">
        <v>46230</v>
      </c>
      <c r="B2742" s="1" t="n">
        <v>20040</v>
      </c>
      <c r="C2742" s="1" t="inlineStr">
        <is>
          <t>073</t>
        </is>
      </c>
      <c r="D2742" s="1" t="inlineStr">
        <is>
          <t>255850</t>
        </is>
      </c>
      <c r="E2742" s="1" t="inlineStr">
        <is>
          <t xml:space="preserve">30141769       </t>
        </is>
      </c>
      <c r="F2742" s="5" t="inlineStr">
        <is>
          <t>TMZ BEAST MACHINES TRANSPORTE DINOSAURIO + 3 AUTOS</t>
        </is>
      </c>
      <c r="G2742" t="n">
        <v>1</v>
      </c>
      <c r="H2742" s="7" t="n">
        <v>59.9</v>
      </c>
      <c r="I2742" s="7" t="n">
        <v>5.99</v>
      </c>
      <c r="J2742" s="7" t="n">
        <v>0</v>
      </c>
      <c r="K2742" s="9" t="n">
        <v>5.99</v>
      </c>
      <c r="L2742" s="10" t="n">
        <v>31.98</v>
      </c>
      <c r="M2742" s="10" t="n">
        <v>1.43</v>
      </c>
      <c r="N2742" t="inlineStr">
        <is>
          <t>1</t>
        </is>
      </c>
      <c r="O2742" t="inlineStr">
        <is>
          <t xml:space="preserve">3 </t>
        </is>
      </c>
      <c r="P2742" t="inlineStr">
        <is>
          <t xml:space="preserve">52786   </t>
        </is>
      </c>
      <c r="Q2742" s="26" t="n">
        <v>47.4</v>
      </c>
      <c r="R2742" s="26">
        <f>Q2742*G2742</f>
        <v/>
      </c>
      <c r="S2742" s="26">
        <f>IFERROR(VLOOKUP(E2742*1,Tabla[#All],8,0),0)</f>
        <v/>
      </c>
      <c r="T2742" s="26">
        <f>S2742*G2742</f>
        <v/>
      </c>
      <c r="U2742" s="26">
        <f>R2742-T2742</f>
        <v/>
      </c>
      <c r="V2742" s="26">
        <f>U2742-L2742</f>
        <v/>
      </c>
    </row>
    <row r="2743">
      <c r="A2743" s="11" t="n">
        <v>46230</v>
      </c>
      <c r="B2743" s="1" t="n">
        <v>20040</v>
      </c>
      <c r="C2743" s="1" t="inlineStr">
        <is>
          <t>190</t>
        </is>
      </c>
      <c r="D2743" s="1" t="inlineStr">
        <is>
          <t>369200</t>
        </is>
      </c>
      <c r="E2743" s="1" t="inlineStr">
        <is>
          <t xml:space="preserve">30232283       </t>
        </is>
      </c>
      <c r="F2743" s="5" t="inlineStr">
        <is>
          <t>INFINITY NADO PACK DE 2 TROMPOS DE BATALLA METAL</t>
        </is>
      </c>
      <c r="G2743" t="n">
        <v>1</v>
      </c>
      <c r="H2743" s="7" t="n">
        <v>59.9</v>
      </c>
      <c r="I2743" s="7" t="n">
        <v>0</v>
      </c>
      <c r="J2743" s="7" t="n">
        <v>0</v>
      </c>
      <c r="K2743" s="9" t="n">
        <v>0</v>
      </c>
      <c r="L2743" s="10" t="n">
        <v>35.53</v>
      </c>
      <c r="M2743" s="10" t="n">
        <v>1.43</v>
      </c>
      <c r="N2743" t="inlineStr">
        <is>
          <t>1</t>
        </is>
      </c>
      <c r="O2743" t="inlineStr">
        <is>
          <t>16</t>
        </is>
      </c>
      <c r="P2743" t="inlineStr">
        <is>
          <t xml:space="preserve">250040  </t>
        </is>
      </c>
      <c r="Q2743" s="26" t="n">
        <v>47.4</v>
      </c>
      <c r="R2743" s="26">
        <f>Q2743*G2743</f>
        <v/>
      </c>
      <c r="S2743" s="26">
        <f>IFERROR(VLOOKUP(E2743*1,Tabla[#All],8,0),0)</f>
        <v/>
      </c>
      <c r="T2743" s="26">
        <f>S2743*G2743</f>
        <v/>
      </c>
      <c r="U2743" s="26">
        <f>R2743-T2743</f>
        <v/>
      </c>
      <c r="V2743" s="26">
        <f>U2743-L2743</f>
        <v/>
      </c>
    </row>
    <row r="2744">
      <c r="A2744" s="11" t="n">
        <v>46230</v>
      </c>
      <c r="B2744" s="1" t="n">
        <v>20040</v>
      </c>
      <c r="C2744" s="1" t="inlineStr">
        <is>
          <t>190</t>
        </is>
      </c>
      <c r="D2744" s="1" t="inlineStr">
        <is>
          <t>369200</t>
        </is>
      </c>
      <c r="E2744" s="1" t="inlineStr">
        <is>
          <t xml:space="preserve">31754676       </t>
        </is>
      </c>
      <c r="F2744" s="5" t="inlineStr">
        <is>
          <t>INFINITY NADO SERIE 6 STD PACK LANZ ESPAD ANILLO M</t>
        </is>
      </c>
      <c r="G2744" t="n">
        <v>1</v>
      </c>
      <c r="H2744" s="7" t="n">
        <v>59.9</v>
      </c>
      <c r="I2744" s="7" t="n">
        <v>0</v>
      </c>
      <c r="J2744" s="7" t="n">
        <v>0</v>
      </c>
      <c r="K2744" s="9" t="n">
        <v>0</v>
      </c>
      <c r="L2744" s="10" t="n">
        <v>35.53</v>
      </c>
      <c r="M2744" s="10" t="n">
        <v>1.43</v>
      </c>
      <c r="N2744" t="inlineStr">
        <is>
          <t>1</t>
        </is>
      </c>
      <c r="O2744" t="inlineStr">
        <is>
          <t>16</t>
        </is>
      </c>
      <c r="P2744" t="inlineStr">
        <is>
          <t xml:space="preserve">250040  </t>
        </is>
      </c>
      <c r="Q2744" s="26" t="n">
        <v>47.4</v>
      </c>
      <c r="R2744" s="26">
        <f>Q2744*G2744</f>
        <v/>
      </c>
      <c r="S2744" s="26">
        <f>IFERROR(VLOOKUP(E2744*1,Tabla[#All],8,0),0)</f>
        <v/>
      </c>
      <c r="T2744" s="26">
        <f>S2744*G2744</f>
        <v/>
      </c>
      <c r="U2744" s="26">
        <f>R2744-T2744</f>
        <v/>
      </c>
      <c r="V2744" s="26">
        <f>U2744-L2744</f>
        <v/>
      </c>
    </row>
    <row r="2745">
      <c r="A2745" s="11" t="n">
        <v>46230</v>
      </c>
      <c r="B2745" s="1" t="n">
        <v>20040</v>
      </c>
      <c r="C2745" s="1" t="inlineStr">
        <is>
          <t>190</t>
        </is>
      </c>
      <c r="D2745" s="1" t="inlineStr">
        <is>
          <t>369221</t>
        </is>
      </c>
      <c r="E2745" s="1" t="inlineStr">
        <is>
          <t xml:space="preserve">33483121       </t>
        </is>
      </c>
      <c r="F2745" s="5" t="inlineStr">
        <is>
          <t>HOT WHEELS ESTUCHE PARA 15 AUTOS SURTIDO</t>
        </is>
      </c>
      <c r="G2745" t="n">
        <v>1</v>
      </c>
      <c r="H2745" s="7" t="n">
        <v>34.9</v>
      </c>
      <c r="I2745" s="7" t="n">
        <v>0</v>
      </c>
      <c r="J2745" s="7" t="n">
        <v>0</v>
      </c>
      <c r="K2745" s="9" t="n">
        <v>0</v>
      </c>
      <c r="L2745" s="10" t="n">
        <v>20.71</v>
      </c>
      <c r="M2745" s="10" t="n">
        <v>1.43</v>
      </c>
      <c r="N2745" t="inlineStr">
        <is>
          <t>1</t>
        </is>
      </c>
      <c r="O2745" t="inlineStr">
        <is>
          <t>16</t>
        </is>
      </c>
      <c r="P2745" t="inlineStr">
        <is>
          <t xml:space="preserve">250040  </t>
        </is>
      </c>
      <c r="Q2745" s="26" t="n">
        <v>20.7</v>
      </c>
      <c r="R2745" s="26">
        <f>Q2745*G2745</f>
        <v/>
      </c>
      <c r="S2745" s="26">
        <f>IFERROR(VLOOKUP(E2745*1,Tabla[#All],8,0),0)</f>
        <v/>
      </c>
      <c r="T2745" s="26">
        <f>S2745*G2745</f>
        <v/>
      </c>
      <c r="U2745" s="26">
        <f>R2745-T2745</f>
        <v/>
      </c>
      <c r="V2745" s="26">
        <f>U2745-L2745</f>
        <v/>
      </c>
    </row>
    <row r="2746">
      <c r="A2746" s="11" t="n">
        <v>46230</v>
      </c>
      <c r="B2746" s="1" t="n">
        <v>20041</v>
      </c>
      <c r="C2746" s="1" t="inlineStr">
        <is>
          <t>012</t>
        </is>
      </c>
      <c r="D2746" s="1" t="inlineStr">
        <is>
          <t>323900</t>
        </is>
      </c>
      <c r="E2746" s="1" t="inlineStr">
        <is>
          <t xml:space="preserve">34840515       </t>
        </is>
      </c>
      <c r="F2746" s="5" t="inlineStr">
        <is>
          <t>MUNECA EVI LOVE PRINCESA + UNICORNIO</t>
        </is>
      </c>
      <c r="G2746" t="n">
        <v>1</v>
      </c>
      <c r="H2746" s="7" t="n">
        <v>19.74</v>
      </c>
      <c r="I2746" s="7" t="n">
        <v>1.97</v>
      </c>
      <c r="J2746" s="7" t="n">
        <v>0</v>
      </c>
      <c r="K2746" s="9" t="n">
        <v>1.97</v>
      </c>
      <c r="L2746" s="10" t="n">
        <v>10.54</v>
      </c>
      <c r="M2746" s="10" t="n">
        <v>1.43</v>
      </c>
      <c r="N2746" t="inlineStr">
        <is>
          <t>1</t>
        </is>
      </c>
      <c r="O2746" t="inlineStr">
        <is>
          <t xml:space="preserve">3 </t>
        </is>
      </c>
      <c r="P2746" t="inlineStr">
        <is>
          <t xml:space="preserve">36128   </t>
        </is>
      </c>
      <c r="Q2746" s="26" t="n">
        <v>19.52</v>
      </c>
      <c r="R2746" s="26">
        <f>Q2746*G2746</f>
        <v/>
      </c>
      <c r="S2746" s="26">
        <f>IFERROR(VLOOKUP(E2746*1,Tabla[#All],8,0),0)</f>
        <v/>
      </c>
      <c r="T2746" s="26">
        <f>S2746*G2746</f>
        <v/>
      </c>
      <c r="U2746" s="26">
        <f>R2746-T2746</f>
        <v/>
      </c>
      <c r="V2746" s="26">
        <f>U2746-L2746</f>
        <v/>
      </c>
    </row>
    <row r="2747">
      <c r="A2747" s="11" t="n">
        <v>46230</v>
      </c>
      <c r="B2747" s="1" t="n">
        <v>20041</v>
      </c>
      <c r="C2747" s="1" t="inlineStr">
        <is>
          <t>031</t>
        </is>
      </c>
      <c r="D2747" s="1" t="inlineStr">
        <is>
          <t>166985</t>
        </is>
      </c>
      <c r="E2747" s="1" t="inlineStr">
        <is>
          <t xml:space="preserve">29854051       </t>
        </is>
      </c>
      <c r="F2747" s="5" t="inlineStr">
        <is>
          <t>TEAMSTERZ AUTO DE METAL PACK 10 AUTOS</t>
        </is>
      </c>
      <c r="G2747" t="n">
        <v>1</v>
      </c>
      <c r="H2747" s="7" t="n">
        <v>69</v>
      </c>
      <c r="I2747" s="7" t="n">
        <v>0</v>
      </c>
      <c r="J2747" s="7" t="n">
        <v>0</v>
      </c>
      <c r="K2747" s="9" t="n">
        <v>0</v>
      </c>
      <c r="L2747" s="10" t="n">
        <v>40.93</v>
      </c>
      <c r="M2747" s="10" t="n">
        <v>1.43</v>
      </c>
      <c r="N2747" t="inlineStr">
        <is>
          <t>1</t>
        </is>
      </c>
      <c r="O2747" t="inlineStr">
        <is>
          <t>16</t>
        </is>
      </c>
      <c r="P2747" t="inlineStr">
        <is>
          <t xml:space="preserve">240974  </t>
        </is>
      </c>
      <c r="Q2747" s="26" t="n">
        <v>40.93</v>
      </c>
      <c r="R2747" s="26">
        <f>Q2747*G2747</f>
        <v/>
      </c>
      <c r="S2747" s="26">
        <f>IFERROR(VLOOKUP(E2747*1,Tabla[#All],8,0),0)</f>
        <v/>
      </c>
      <c r="T2747" s="26">
        <f>S2747*G2747</f>
        <v/>
      </c>
      <c r="U2747" s="26">
        <f>R2747-T2747</f>
        <v/>
      </c>
      <c r="V2747" s="26">
        <f>U2747-L2747</f>
        <v/>
      </c>
    </row>
    <row r="2748">
      <c r="A2748" s="11" t="n">
        <v>46230</v>
      </c>
      <c r="B2748" s="1" t="n">
        <v>20041</v>
      </c>
      <c r="C2748" s="1" t="inlineStr">
        <is>
          <t>037</t>
        </is>
      </c>
      <c r="D2748" s="1" t="inlineStr">
        <is>
          <t>190354</t>
        </is>
      </c>
      <c r="E2748" s="1" t="inlineStr">
        <is>
          <t xml:space="preserve">28194770       </t>
        </is>
      </c>
      <c r="F2748" s="5" t="inlineStr">
        <is>
          <t>AUTOS DE METAL 3 TEAMSTERZ EN BLISTER</t>
        </is>
      </c>
      <c r="G2748" t="n">
        <v>1</v>
      </c>
      <c r="H2748" s="7" t="n">
        <v>6.9</v>
      </c>
      <c r="I2748" s="7" t="n">
        <v>0</v>
      </c>
      <c r="J2748" s="7" t="n">
        <v>0</v>
      </c>
      <c r="K2748" s="9" t="n">
        <v>0</v>
      </c>
      <c r="L2748" s="10" t="n">
        <v>4.1</v>
      </c>
      <c r="M2748" s="10" t="n">
        <v>1.43</v>
      </c>
      <c r="N2748" t="inlineStr">
        <is>
          <t>1</t>
        </is>
      </c>
      <c r="O2748" t="inlineStr">
        <is>
          <t>16</t>
        </is>
      </c>
      <c r="P2748" t="inlineStr">
        <is>
          <t xml:space="preserve">244965  </t>
        </is>
      </c>
      <c r="Q2748" s="26" t="n">
        <v>4.09</v>
      </c>
      <c r="R2748" s="26">
        <f>Q2748*G2748</f>
        <v/>
      </c>
      <c r="S2748" s="26">
        <f>IFERROR(VLOOKUP(E2748*1,Tabla[#All],8,0),0)</f>
        <v/>
      </c>
      <c r="T2748" s="26">
        <f>S2748*G2748</f>
        <v/>
      </c>
      <c r="U2748" s="26">
        <f>R2748-T2748</f>
        <v/>
      </c>
      <c r="V2748" s="26">
        <f>U2748-L2748</f>
        <v/>
      </c>
    </row>
    <row r="2749">
      <c r="A2749" s="11" t="n">
        <v>46230</v>
      </c>
      <c r="B2749" s="1" t="n">
        <v>20041</v>
      </c>
      <c r="C2749" s="1" t="inlineStr">
        <is>
          <t>037</t>
        </is>
      </c>
      <c r="D2749" s="1" t="inlineStr">
        <is>
          <t>190394</t>
        </is>
      </c>
      <c r="E2749" s="1" t="inlineStr">
        <is>
          <t xml:space="preserve">28194770       </t>
        </is>
      </c>
      <c r="F2749" s="5" t="inlineStr">
        <is>
          <t>AUTOS DE METAL 3 TEAMSTERZ EN BLISTER</t>
        </is>
      </c>
      <c r="G2749" t="n">
        <v>1</v>
      </c>
      <c r="H2749" s="7" t="n">
        <v>6.9</v>
      </c>
      <c r="I2749" s="7" t="n">
        <v>0</v>
      </c>
      <c r="J2749" s="7" t="n">
        <v>0</v>
      </c>
      <c r="K2749" s="9" t="n">
        <v>0</v>
      </c>
      <c r="L2749" s="10" t="n">
        <v>4.1</v>
      </c>
      <c r="M2749" s="10" t="n">
        <v>1.43</v>
      </c>
      <c r="N2749" t="inlineStr">
        <is>
          <t>1</t>
        </is>
      </c>
      <c r="O2749" t="inlineStr">
        <is>
          <t xml:space="preserve">2 </t>
        </is>
      </c>
      <c r="P2749" t="inlineStr">
        <is>
          <t xml:space="preserve">244965  </t>
        </is>
      </c>
      <c r="Q2749" s="26" t="n">
        <v>4.09</v>
      </c>
      <c r="R2749" s="26">
        <f>Q2749*G2749</f>
        <v/>
      </c>
      <c r="S2749" s="26">
        <f>IFERROR(VLOOKUP(E2749*1,Tabla[#All],8,0),0)</f>
        <v/>
      </c>
      <c r="T2749" s="26">
        <f>S2749*G2749</f>
        <v/>
      </c>
      <c r="U2749" s="26">
        <f>R2749-T2749</f>
        <v/>
      </c>
      <c r="V2749" s="26">
        <f>U2749-L2749</f>
        <v/>
      </c>
    </row>
    <row r="2750">
      <c r="A2750" s="11" t="n">
        <v>46230</v>
      </c>
      <c r="B2750" s="1" t="n">
        <v>20041</v>
      </c>
      <c r="C2750" s="1" t="inlineStr">
        <is>
          <t>190</t>
        </is>
      </c>
      <c r="D2750" s="1" t="inlineStr">
        <is>
          <t xml:space="preserve">4025  </t>
        </is>
      </c>
      <c r="E2750" s="1" t="inlineStr">
        <is>
          <t xml:space="preserve">28194770       </t>
        </is>
      </c>
      <c r="F2750" s="5" t="inlineStr">
        <is>
          <t>AUTOS DE METAL 3 TEAMSTERZ EN BLISTER</t>
        </is>
      </c>
      <c r="G2750" t="n">
        <v>1</v>
      </c>
      <c r="H2750" s="7" t="n">
        <v>6.9</v>
      </c>
      <c r="I2750" s="7" t="n">
        <v>0</v>
      </c>
      <c r="J2750" s="7" t="n">
        <v>0</v>
      </c>
      <c r="K2750" s="9" t="n">
        <v>0</v>
      </c>
      <c r="L2750" s="10" t="n">
        <v>4.1</v>
      </c>
      <c r="M2750" s="10" t="n">
        <v>1.43</v>
      </c>
      <c r="N2750" t="inlineStr">
        <is>
          <t>1</t>
        </is>
      </c>
      <c r="O2750" t="inlineStr">
        <is>
          <t>16</t>
        </is>
      </c>
      <c r="P2750" t="inlineStr">
        <is>
          <t xml:space="preserve">240974  </t>
        </is>
      </c>
      <c r="Q2750" s="26" t="n">
        <v>4.09</v>
      </c>
      <c r="R2750" s="26">
        <f>Q2750*G2750</f>
        <v/>
      </c>
      <c r="S2750" s="26">
        <f>IFERROR(VLOOKUP(E2750*1,Tabla[#All],8,0),0)</f>
        <v/>
      </c>
      <c r="T2750" s="26">
        <f>S2750*G2750</f>
        <v/>
      </c>
      <c r="U2750" s="26">
        <f>R2750-T2750</f>
        <v/>
      </c>
      <c r="V2750" s="26">
        <f>U2750-L2750</f>
        <v/>
      </c>
    </row>
    <row r="2751">
      <c r="A2751" s="11" t="n">
        <v>46230</v>
      </c>
      <c r="B2751" s="1" t="n">
        <v>20043</v>
      </c>
      <c r="C2751" s="1" t="inlineStr">
        <is>
          <t>051</t>
        </is>
      </c>
      <c r="D2751" s="1" t="inlineStr">
        <is>
          <t>105887</t>
        </is>
      </c>
      <c r="E2751" s="1" t="inlineStr">
        <is>
          <t xml:space="preserve">30232284       </t>
        </is>
      </c>
      <c r="F2751" s="5" t="inlineStr">
        <is>
          <t>INFINITY NADO TROMPO DE BATALLA - METAL C/PUNTA DE</t>
        </is>
      </c>
      <c r="G2751" t="n">
        <v>1</v>
      </c>
      <c r="H2751" s="7" t="n">
        <v>34.9</v>
      </c>
      <c r="I2751" s="7" t="n">
        <v>0</v>
      </c>
      <c r="J2751" s="7" t="n">
        <v>0</v>
      </c>
      <c r="K2751" s="9" t="n">
        <v>0</v>
      </c>
      <c r="L2751" s="10" t="n">
        <v>20.71</v>
      </c>
      <c r="M2751" s="10" t="n">
        <v>1.43</v>
      </c>
      <c r="N2751" t="inlineStr">
        <is>
          <t>1</t>
        </is>
      </c>
      <c r="O2751" t="inlineStr">
        <is>
          <t xml:space="preserve">2 </t>
        </is>
      </c>
      <c r="P2751" t="inlineStr">
        <is>
          <t xml:space="preserve">30705   </t>
        </is>
      </c>
      <c r="Q2751" s="26" t="n">
        <v>29.6</v>
      </c>
      <c r="R2751" s="26">
        <f>Q2751*G2751</f>
        <v/>
      </c>
      <c r="S2751" s="26">
        <f>IFERROR(VLOOKUP(E2751*1,Tabla[#All],8,0),0)</f>
        <v/>
      </c>
      <c r="T2751" s="26">
        <f>S2751*G2751</f>
        <v/>
      </c>
      <c r="U2751" s="26">
        <f>R2751-T2751</f>
        <v/>
      </c>
      <c r="V2751" s="26">
        <f>U2751-L2751</f>
        <v/>
      </c>
    </row>
    <row r="2752">
      <c r="A2752" s="11" t="n">
        <v>46230</v>
      </c>
      <c r="B2752" s="1" t="n">
        <v>20043</v>
      </c>
      <c r="C2752" s="1" t="inlineStr">
        <is>
          <t>051</t>
        </is>
      </c>
      <c r="D2752" s="1" t="inlineStr">
        <is>
          <t>105887</t>
        </is>
      </c>
      <c r="E2752" s="1" t="inlineStr">
        <is>
          <t xml:space="preserve">30232284       </t>
        </is>
      </c>
      <c r="F2752" s="5" t="inlineStr">
        <is>
          <t>INFINITY NADO TROMPO DE BATALLA - METAL C/PUNTA DE</t>
        </is>
      </c>
      <c r="G2752" t="n">
        <v>1</v>
      </c>
      <c r="H2752" s="7" t="n">
        <v>34.9</v>
      </c>
      <c r="I2752" s="7" t="n">
        <v>0</v>
      </c>
      <c r="J2752" s="7" t="n">
        <v>0</v>
      </c>
      <c r="K2752" s="9" t="n">
        <v>0</v>
      </c>
      <c r="L2752" s="10" t="n">
        <v>20.71</v>
      </c>
      <c r="M2752" s="10" t="n">
        <v>1.43</v>
      </c>
      <c r="N2752" t="inlineStr">
        <is>
          <t>1</t>
        </is>
      </c>
      <c r="O2752" t="inlineStr">
        <is>
          <t xml:space="preserve">2 </t>
        </is>
      </c>
      <c r="P2752" t="inlineStr">
        <is>
          <t xml:space="preserve">30705   </t>
        </is>
      </c>
      <c r="Q2752" s="26" t="n">
        <v>29.6</v>
      </c>
      <c r="R2752" s="26">
        <f>Q2752*G2752</f>
        <v/>
      </c>
      <c r="S2752" s="26">
        <f>IFERROR(VLOOKUP(E2752*1,Tabla[#All],8,0),0)</f>
        <v/>
      </c>
      <c r="T2752" s="26">
        <f>S2752*G2752</f>
        <v/>
      </c>
      <c r="U2752" s="26">
        <f>R2752-T2752</f>
        <v/>
      </c>
      <c r="V2752" s="26">
        <f>U2752-L2752</f>
        <v/>
      </c>
    </row>
    <row r="2753">
      <c r="A2753" s="11" t="n">
        <v>46230</v>
      </c>
      <c r="B2753" s="1" t="n">
        <v>20047</v>
      </c>
      <c r="C2753" s="1" t="inlineStr">
        <is>
          <t>012</t>
        </is>
      </c>
      <c r="D2753" s="1" t="inlineStr">
        <is>
          <t>334339</t>
        </is>
      </c>
      <c r="E2753" s="1" t="inlineStr">
        <is>
          <t xml:space="preserve">28194770       </t>
        </is>
      </c>
      <c r="F2753" s="5" t="inlineStr">
        <is>
          <t>AUTOS DE METAL 3 TEAMSTERZ EN BLISTER</t>
        </is>
      </c>
      <c r="G2753" t="n">
        <v>1</v>
      </c>
      <c r="H2753" s="7" t="n">
        <v>6.9</v>
      </c>
      <c r="I2753" s="7" t="n">
        <v>0.6899999999999999</v>
      </c>
      <c r="J2753" s="7" t="n">
        <v>0</v>
      </c>
      <c r="K2753" s="9" t="n">
        <v>0.6899999999999999</v>
      </c>
      <c r="L2753" s="10" t="n">
        <v>3.68</v>
      </c>
      <c r="M2753" s="10" t="n">
        <v>1.43</v>
      </c>
      <c r="N2753" t="inlineStr">
        <is>
          <t>1</t>
        </is>
      </c>
      <c r="O2753" t="inlineStr">
        <is>
          <t xml:space="preserve">3 </t>
        </is>
      </c>
      <c r="P2753" t="inlineStr">
        <is>
          <t xml:space="preserve">245862  </t>
        </is>
      </c>
      <c r="Q2753" s="26" t="n">
        <v>4.09</v>
      </c>
      <c r="R2753" s="26">
        <f>Q2753*G2753</f>
        <v/>
      </c>
      <c r="S2753" s="26">
        <f>IFERROR(VLOOKUP(E2753*1,Tabla[#All],8,0),0)</f>
        <v/>
      </c>
      <c r="T2753" s="26">
        <f>S2753*G2753</f>
        <v/>
      </c>
      <c r="U2753" s="26">
        <f>R2753-T2753</f>
        <v/>
      </c>
      <c r="V2753" s="26">
        <f>U2753-L2753</f>
        <v/>
      </c>
    </row>
    <row r="2754">
      <c r="A2754" s="11" t="n">
        <v>46230</v>
      </c>
      <c r="B2754" s="1" t="n">
        <v>20047</v>
      </c>
      <c r="C2754" s="1" t="inlineStr">
        <is>
          <t>012</t>
        </is>
      </c>
      <c r="D2754" s="1" t="inlineStr">
        <is>
          <t>334401</t>
        </is>
      </c>
      <c r="E2754" s="1" t="inlineStr">
        <is>
          <t xml:space="preserve">28194770       </t>
        </is>
      </c>
      <c r="F2754" s="5" t="inlineStr">
        <is>
          <t>AUTOS DE METAL 3 TEAMSTERZ EN BLISTER</t>
        </is>
      </c>
      <c r="G2754" t="n">
        <v>1</v>
      </c>
      <c r="H2754" s="7" t="n">
        <v>6.9</v>
      </c>
      <c r="I2754" s="7" t="n">
        <v>0</v>
      </c>
      <c r="J2754" s="7" t="n">
        <v>0</v>
      </c>
      <c r="K2754" s="9" t="n">
        <v>0</v>
      </c>
      <c r="L2754" s="10" t="n">
        <v>4.1</v>
      </c>
      <c r="M2754" s="10" t="n">
        <v>1.43</v>
      </c>
      <c r="N2754" t="inlineStr">
        <is>
          <t>1</t>
        </is>
      </c>
      <c r="O2754" t="inlineStr">
        <is>
          <t>16</t>
        </is>
      </c>
      <c r="P2754" t="inlineStr">
        <is>
          <t xml:space="preserve">248438  </t>
        </is>
      </c>
      <c r="Q2754" s="26" t="n">
        <v>4.09</v>
      </c>
      <c r="R2754" s="26">
        <f>Q2754*G2754</f>
        <v/>
      </c>
      <c r="S2754" s="26">
        <f>IFERROR(VLOOKUP(E2754*1,Tabla[#All],8,0),0)</f>
        <v/>
      </c>
      <c r="T2754" s="26">
        <f>S2754*G2754</f>
        <v/>
      </c>
      <c r="U2754" s="26">
        <f>R2754-T2754</f>
        <v/>
      </c>
      <c r="V2754" s="26">
        <f>U2754-L2754</f>
        <v/>
      </c>
    </row>
    <row r="2755">
      <c r="A2755" s="11" t="n">
        <v>46230</v>
      </c>
      <c r="B2755" s="1" t="n">
        <v>20047</v>
      </c>
      <c r="C2755" s="1" t="inlineStr">
        <is>
          <t>191</t>
        </is>
      </c>
      <c r="D2755" s="1" t="inlineStr">
        <is>
          <t>463791</t>
        </is>
      </c>
      <c r="E2755" s="1" t="inlineStr">
        <is>
          <t xml:space="preserve">28194770       </t>
        </is>
      </c>
      <c r="F2755" s="5" t="inlineStr">
        <is>
          <t>AUTOS DE METAL 3 TEAMSTERZ EN BLISTER</t>
        </is>
      </c>
      <c r="G2755" t="n">
        <v>1</v>
      </c>
      <c r="H2755" s="7" t="n">
        <v>6.9</v>
      </c>
      <c r="I2755" s="7" t="n">
        <v>0</v>
      </c>
      <c r="J2755" s="7" t="n">
        <v>0</v>
      </c>
      <c r="K2755" s="9" t="n">
        <v>0</v>
      </c>
      <c r="L2755" s="10" t="n">
        <v>4.1</v>
      </c>
      <c r="M2755" s="10" t="n">
        <v>1.43</v>
      </c>
      <c r="N2755" t="inlineStr">
        <is>
          <t>1</t>
        </is>
      </c>
      <c r="O2755" t="inlineStr">
        <is>
          <t xml:space="preserve">2 </t>
        </is>
      </c>
      <c r="P2755" t="inlineStr">
        <is>
          <t xml:space="preserve">245750  </t>
        </is>
      </c>
      <c r="Q2755" s="26" t="n">
        <v>4.09</v>
      </c>
      <c r="R2755" s="26">
        <f>Q2755*G2755</f>
        <v/>
      </c>
      <c r="S2755" s="26">
        <f>IFERROR(VLOOKUP(E2755*1,Tabla[#All],8,0),0)</f>
        <v/>
      </c>
      <c r="T2755" s="26">
        <f>S2755*G2755</f>
        <v/>
      </c>
      <c r="U2755" s="26">
        <f>R2755-T2755</f>
        <v/>
      </c>
      <c r="V2755" s="26">
        <f>U2755-L2755</f>
        <v/>
      </c>
    </row>
    <row r="2756">
      <c r="A2756" s="11" t="n">
        <v>46230</v>
      </c>
      <c r="B2756" s="1" t="n">
        <v>20047</v>
      </c>
      <c r="C2756" s="1" t="inlineStr">
        <is>
          <t>191</t>
        </is>
      </c>
      <c r="D2756" s="1" t="inlineStr">
        <is>
          <t>463791</t>
        </is>
      </c>
      <c r="E2756" s="1" t="inlineStr">
        <is>
          <t xml:space="preserve">28194770       </t>
        </is>
      </c>
      <c r="F2756" s="5" t="inlineStr">
        <is>
          <t>AUTOS DE METAL 3 TEAMSTERZ EN BLISTER</t>
        </is>
      </c>
      <c r="G2756" t="n">
        <v>1</v>
      </c>
      <c r="H2756" s="7" t="n">
        <v>6.9</v>
      </c>
      <c r="I2756" s="7" t="n">
        <v>0</v>
      </c>
      <c r="J2756" s="7" t="n">
        <v>0</v>
      </c>
      <c r="K2756" s="9" t="n">
        <v>0</v>
      </c>
      <c r="L2756" s="10" t="n">
        <v>4.1</v>
      </c>
      <c r="M2756" s="10" t="n">
        <v>1.43</v>
      </c>
      <c r="N2756" t="inlineStr">
        <is>
          <t>1</t>
        </is>
      </c>
      <c r="O2756" t="inlineStr">
        <is>
          <t xml:space="preserve">2 </t>
        </is>
      </c>
      <c r="P2756" t="inlineStr">
        <is>
          <t xml:space="preserve">245750  </t>
        </is>
      </c>
      <c r="Q2756" s="26" t="n">
        <v>4.09</v>
      </c>
      <c r="R2756" s="26">
        <f>Q2756*G2756</f>
        <v/>
      </c>
      <c r="S2756" s="26">
        <f>IFERROR(VLOOKUP(E2756*1,Tabla[#All],8,0),0)</f>
        <v/>
      </c>
      <c r="T2756" s="26">
        <f>S2756*G2756</f>
        <v/>
      </c>
      <c r="U2756" s="26">
        <f>R2756-T2756</f>
        <v/>
      </c>
      <c r="V2756" s="26">
        <f>U2756-L2756</f>
        <v/>
      </c>
    </row>
    <row r="2757">
      <c r="A2757" s="11" t="n">
        <v>46230</v>
      </c>
      <c r="B2757" s="1" t="n">
        <v>20048</v>
      </c>
      <c r="C2757" s="1" t="inlineStr">
        <is>
          <t>017</t>
        </is>
      </c>
      <c r="D2757" s="1" t="inlineStr">
        <is>
          <t>167817</t>
        </is>
      </c>
      <c r="E2757" s="1" t="inlineStr">
        <is>
          <t xml:space="preserve">28194768       </t>
        </is>
      </c>
      <c r="F2757" s="5" t="inlineStr">
        <is>
          <t>AUTO COLOR CHANGE TEAMSTERZ SURTIDO</t>
        </is>
      </c>
      <c r="G2757" t="n">
        <v>1</v>
      </c>
      <c r="H2757" s="7" t="n">
        <v>14.9</v>
      </c>
      <c r="I2757" s="7" t="n">
        <v>0</v>
      </c>
      <c r="J2757" s="7" t="n">
        <v>0</v>
      </c>
      <c r="K2757" s="9" t="n">
        <v>0</v>
      </c>
      <c r="L2757" s="10" t="n">
        <v>8.84</v>
      </c>
      <c r="M2757" s="10" t="n">
        <v>1.43</v>
      </c>
      <c r="N2757" t="inlineStr">
        <is>
          <t>1</t>
        </is>
      </c>
      <c r="O2757" t="inlineStr">
        <is>
          <t>16</t>
        </is>
      </c>
      <c r="P2757" t="inlineStr">
        <is>
          <t xml:space="preserve">252196  </t>
        </is>
      </c>
      <c r="Q2757" s="26" t="n">
        <v>8.84</v>
      </c>
      <c r="R2757" s="26">
        <f>Q2757*G2757</f>
        <v/>
      </c>
      <c r="S2757" s="26">
        <f>IFERROR(VLOOKUP(E2757*1,Tabla[#All],8,0),0)</f>
        <v/>
      </c>
      <c r="T2757" s="26">
        <f>S2757*G2757</f>
        <v/>
      </c>
      <c r="U2757" s="26">
        <f>R2757-T2757</f>
        <v/>
      </c>
      <c r="V2757" s="26">
        <f>U2757-L2757</f>
        <v/>
      </c>
    </row>
    <row r="2758">
      <c r="A2758" s="11" t="n">
        <v>46230</v>
      </c>
      <c r="B2758" s="1" t="n">
        <v>20048</v>
      </c>
      <c r="C2758" s="1" t="inlineStr">
        <is>
          <t>017</t>
        </is>
      </c>
      <c r="D2758" s="1" t="inlineStr">
        <is>
          <t>167870</t>
        </is>
      </c>
      <c r="E2758" s="1" t="inlineStr">
        <is>
          <t xml:space="preserve">28194770       </t>
        </is>
      </c>
      <c r="F2758" s="5" t="inlineStr">
        <is>
          <t>AUTOS DE METAL 3 TEAMSTERZ EN BLISTER</t>
        </is>
      </c>
      <c r="G2758" t="n">
        <v>1</v>
      </c>
      <c r="H2758" s="7" t="n">
        <v>6.9</v>
      </c>
      <c r="I2758" s="7" t="n">
        <v>0</v>
      </c>
      <c r="J2758" s="7" t="n">
        <v>0</v>
      </c>
      <c r="K2758" s="9" t="n">
        <v>0</v>
      </c>
      <c r="L2758" s="10" t="n">
        <v>4.1</v>
      </c>
      <c r="M2758" s="10" t="n">
        <v>1.43</v>
      </c>
      <c r="N2758" t="inlineStr">
        <is>
          <t>1</t>
        </is>
      </c>
      <c r="O2758" t="inlineStr">
        <is>
          <t>16</t>
        </is>
      </c>
      <c r="P2758" t="inlineStr">
        <is>
          <t xml:space="preserve">248416  </t>
        </is>
      </c>
      <c r="Q2758" s="26" t="n">
        <v>4.09</v>
      </c>
      <c r="R2758" s="26">
        <f>Q2758*G2758</f>
        <v/>
      </c>
      <c r="S2758" s="26">
        <f>IFERROR(VLOOKUP(E2758*1,Tabla[#All],8,0),0)</f>
        <v/>
      </c>
      <c r="T2758" s="26">
        <f>S2758*G2758</f>
        <v/>
      </c>
      <c r="U2758" s="26">
        <f>R2758-T2758</f>
        <v/>
      </c>
      <c r="V2758" s="26">
        <f>U2758-L2758</f>
        <v/>
      </c>
    </row>
    <row r="2759">
      <c r="A2759" s="11" t="n">
        <v>46230</v>
      </c>
      <c r="B2759" s="1" t="n">
        <v>20048</v>
      </c>
      <c r="C2759" s="1" t="inlineStr">
        <is>
          <t>017</t>
        </is>
      </c>
      <c r="D2759" s="1" t="inlineStr">
        <is>
          <t>167870</t>
        </is>
      </c>
      <c r="E2759" s="1" t="inlineStr">
        <is>
          <t xml:space="preserve">28194770       </t>
        </is>
      </c>
      <c r="F2759" s="5" t="inlineStr">
        <is>
          <t>AUTOS DE METAL 3 TEAMSTERZ EN BLISTER</t>
        </is>
      </c>
      <c r="G2759" t="n">
        <v>1</v>
      </c>
      <c r="H2759" s="7" t="n">
        <v>6.9</v>
      </c>
      <c r="I2759" s="7" t="n">
        <v>0</v>
      </c>
      <c r="J2759" s="7" t="n">
        <v>0</v>
      </c>
      <c r="K2759" s="9" t="n">
        <v>0</v>
      </c>
      <c r="L2759" s="10" t="n">
        <v>4.1</v>
      </c>
      <c r="M2759" s="10" t="n">
        <v>1.43</v>
      </c>
      <c r="N2759" t="inlineStr">
        <is>
          <t>1</t>
        </is>
      </c>
      <c r="O2759" t="inlineStr">
        <is>
          <t>16</t>
        </is>
      </c>
      <c r="P2759" t="inlineStr">
        <is>
          <t xml:space="preserve">248416  </t>
        </is>
      </c>
      <c r="Q2759" s="26" t="n">
        <v>4.09</v>
      </c>
      <c r="R2759" s="26">
        <f>Q2759*G2759</f>
        <v/>
      </c>
      <c r="S2759" s="26">
        <f>IFERROR(VLOOKUP(E2759*1,Tabla[#All],8,0),0)</f>
        <v/>
      </c>
      <c r="T2759" s="26">
        <f>S2759*G2759</f>
        <v/>
      </c>
      <c r="U2759" s="26">
        <f>R2759-T2759</f>
        <v/>
      </c>
      <c r="V2759" s="26">
        <f>U2759-L2759</f>
        <v/>
      </c>
    </row>
    <row r="2760">
      <c r="A2760" s="11" t="n">
        <v>46230</v>
      </c>
      <c r="B2760" s="1" t="n">
        <v>20048</v>
      </c>
      <c r="C2760" s="1" t="inlineStr">
        <is>
          <t>801</t>
        </is>
      </c>
      <c r="D2760" s="1" t="inlineStr">
        <is>
          <t xml:space="preserve">7096  </t>
        </is>
      </c>
      <c r="E2760" s="1" t="inlineStr">
        <is>
          <t xml:space="preserve">30141767       </t>
        </is>
      </c>
      <c r="F2760" s="5" t="inlineStr">
        <is>
          <t>TMZ BEAST MACHINES AUTOS DE METAL PACK 5 AUTOS</t>
        </is>
      </c>
      <c r="G2760" t="n">
        <v>1</v>
      </c>
      <c r="H2760" s="7" t="n">
        <v>29.9</v>
      </c>
      <c r="I2760" s="7" t="n">
        <v>0</v>
      </c>
      <c r="J2760" s="7" t="n">
        <v>0</v>
      </c>
      <c r="K2760" s="9" t="n">
        <v>0</v>
      </c>
      <c r="L2760" s="10" t="n">
        <v>17.74</v>
      </c>
      <c r="M2760" s="10" t="n">
        <v>1.43</v>
      </c>
      <c r="N2760" t="inlineStr">
        <is>
          <t>1</t>
        </is>
      </c>
      <c r="O2760" t="inlineStr">
        <is>
          <t>16</t>
        </is>
      </c>
      <c r="P2760" t="inlineStr">
        <is>
          <t xml:space="preserve">252196  </t>
        </is>
      </c>
      <c r="Q2760" s="26" t="n">
        <v>23.43</v>
      </c>
      <c r="R2760" s="26">
        <f>Q2760*G2760</f>
        <v/>
      </c>
      <c r="S2760" s="26">
        <f>IFERROR(VLOOKUP(E2760*1,Tabla[#All],8,0),0)</f>
        <v/>
      </c>
      <c r="T2760" s="26">
        <f>S2760*G2760</f>
        <v/>
      </c>
      <c r="U2760" s="26">
        <f>R2760-T2760</f>
        <v/>
      </c>
      <c r="V2760" s="26">
        <f>U2760-L2760</f>
        <v/>
      </c>
    </row>
    <row r="2761">
      <c r="A2761" s="11" t="n">
        <v>46230</v>
      </c>
      <c r="B2761" s="1" t="n">
        <v>20049</v>
      </c>
      <c r="C2761" s="1" t="inlineStr">
        <is>
          <t>031</t>
        </is>
      </c>
      <c r="D2761" s="1" t="inlineStr">
        <is>
          <t>121482</t>
        </is>
      </c>
      <c r="E2761" s="1" t="inlineStr">
        <is>
          <t xml:space="preserve">34840525       </t>
        </is>
      </c>
      <c r="F2761" s="5" t="inlineStr">
        <is>
          <t>NENUCO VAMOS DE PASEO</t>
        </is>
      </c>
      <c r="G2761" t="n">
        <v>1</v>
      </c>
      <c r="H2761" s="7" t="n">
        <v>79.90000000000001</v>
      </c>
      <c r="I2761" s="7" t="n">
        <v>0</v>
      </c>
      <c r="J2761" s="7" t="n">
        <v>0</v>
      </c>
      <c r="K2761" s="9" t="n">
        <v>0</v>
      </c>
      <c r="L2761" s="10" t="n">
        <v>47.4</v>
      </c>
      <c r="M2761" s="10" t="n">
        <v>1.43</v>
      </c>
      <c r="N2761" t="inlineStr">
        <is>
          <t>1</t>
        </is>
      </c>
      <c r="O2761" t="inlineStr">
        <is>
          <t xml:space="preserve">2 </t>
        </is>
      </c>
      <c r="P2761" t="inlineStr">
        <is>
          <t xml:space="preserve">245485  </t>
        </is>
      </c>
      <c r="Q2761" s="26" t="n">
        <v>58.73</v>
      </c>
      <c r="R2761" s="26">
        <f>Q2761*G2761</f>
        <v/>
      </c>
      <c r="S2761" s="26">
        <f>IFERROR(VLOOKUP(E2761*1,Tabla[#All],8,0),0)</f>
        <v/>
      </c>
      <c r="T2761" s="26">
        <f>S2761*G2761</f>
        <v/>
      </c>
      <c r="U2761" s="26">
        <f>R2761-T2761</f>
        <v/>
      </c>
      <c r="V2761" s="26">
        <f>U2761-L2761</f>
        <v/>
      </c>
    </row>
    <row r="2762">
      <c r="A2762" s="11" t="n">
        <v>46230</v>
      </c>
      <c r="B2762" s="1" t="n">
        <v>20049</v>
      </c>
      <c r="C2762" s="1" t="inlineStr">
        <is>
          <t>031</t>
        </is>
      </c>
      <c r="D2762" s="1" t="inlineStr">
        <is>
          <t>121486</t>
        </is>
      </c>
      <c r="E2762" s="1" t="inlineStr">
        <is>
          <t xml:space="preserve">28194783       </t>
        </is>
      </c>
      <c r="F2762" s="5" t="inlineStr">
        <is>
          <t>SET DE BATALLA INFINITY NADO CON 2 TROMPOS</t>
        </is>
      </c>
      <c r="G2762" t="n">
        <v>1</v>
      </c>
      <c r="H2762" s="7" t="n">
        <v>159</v>
      </c>
      <c r="I2762" s="7" t="n">
        <v>0</v>
      </c>
      <c r="J2762" s="7" t="n">
        <v>0</v>
      </c>
      <c r="K2762" s="9" t="n">
        <v>0</v>
      </c>
      <c r="L2762" s="10" t="n">
        <v>94.33</v>
      </c>
      <c r="M2762" s="10" t="n">
        <v>1.43</v>
      </c>
      <c r="N2762" t="inlineStr">
        <is>
          <t>1</t>
        </is>
      </c>
      <c r="O2762" t="inlineStr">
        <is>
          <t xml:space="preserve">2 </t>
        </is>
      </c>
      <c r="P2762" t="inlineStr">
        <is>
          <t xml:space="preserve">245485  </t>
        </is>
      </c>
      <c r="Q2762" s="26" t="n">
        <v>94.31999999999999</v>
      </c>
      <c r="R2762" s="26">
        <f>Q2762*G2762</f>
        <v/>
      </c>
      <c r="S2762" s="26">
        <f>IFERROR(VLOOKUP(E2762*1,Tabla[#All],8,0),0)</f>
        <v/>
      </c>
      <c r="T2762" s="26">
        <f>S2762*G2762</f>
        <v/>
      </c>
      <c r="U2762" s="26">
        <f>R2762-T2762</f>
        <v/>
      </c>
      <c r="V2762" s="26">
        <f>U2762-L2762</f>
        <v/>
      </c>
    </row>
    <row r="2763">
      <c r="A2763" s="11" t="n">
        <v>46230</v>
      </c>
      <c r="B2763" s="1" t="n">
        <v>20056</v>
      </c>
      <c r="C2763" s="1" t="inlineStr">
        <is>
          <t>022</t>
        </is>
      </c>
      <c r="D2763" s="1" t="inlineStr">
        <is>
          <t xml:space="preserve">55464 </t>
        </is>
      </c>
      <c r="E2763" s="1" t="inlineStr">
        <is>
          <t xml:space="preserve">28194769       </t>
        </is>
      </c>
      <c r="F2763" s="5" t="inlineStr">
        <is>
          <t>AUTOS DE METAL 3 TEAMSTERZ PACK DE 2</t>
        </is>
      </c>
      <c r="G2763" t="n">
        <v>1</v>
      </c>
      <c r="H2763" s="7" t="n">
        <v>13.8</v>
      </c>
      <c r="I2763" s="7" t="n">
        <v>0</v>
      </c>
      <c r="J2763" s="7" t="n">
        <v>0</v>
      </c>
      <c r="K2763" s="9" t="n">
        <v>0</v>
      </c>
      <c r="L2763" s="10" t="n">
        <v>8.18</v>
      </c>
      <c r="M2763" s="10" t="n">
        <v>1.43</v>
      </c>
      <c r="N2763" t="inlineStr">
        <is>
          <t>1</t>
        </is>
      </c>
      <c r="O2763" t="inlineStr">
        <is>
          <t>16</t>
        </is>
      </c>
      <c r="P2763" t="inlineStr">
        <is>
          <t xml:space="preserve">246533  </t>
        </is>
      </c>
      <c r="Q2763" s="26" t="n">
        <v>8.19</v>
      </c>
      <c r="R2763" s="26">
        <f>Q2763*G2763</f>
        <v/>
      </c>
      <c r="S2763" s="26">
        <f>IFERROR(VLOOKUP(E2763*1,Tabla[#All],8,0),0)</f>
        <v/>
      </c>
      <c r="T2763" s="26">
        <f>S2763*G2763</f>
        <v/>
      </c>
      <c r="U2763" s="26">
        <f>R2763-T2763</f>
        <v/>
      </c>
      <c r="V2763" s="26">
        <f>U2763-L2763</f>
        <v/>
      </c>
    </row>
    <row r="2764">
      <c r="A2764" s="11" t="n">
        <v>46230</v>
      </c>
      <c r="B2764" s="1" t="n">
        <v>20058</v>
      </c>
      <c r="C2764" s="1" t="inlineStr">
        <is>
          <t>038</t>
        </is>
      </c>
      <c r="D2764" s="1" t="inlineStr">
        <is>
          <t>210759</t>
        </is>
      </c>
      <c r="E2764" s="1" t="inlineStr">
        <is>
          <t xml:space="preserve">28194770       </t>
        </is>
      </c>
      <c r="F2764" s="5" t="inlineStr">
        <is>
          <t>AUTOS DE METAL 3 TEAMSTERZ EN BLISTER</t>
        </is>
      </c>
      <c r="G2764" t="n">
        <v>1</v>
      </c>
      <c r="H2764" s="7" t="n">
        <v>6.9</v>
      </c>
      <c r="I2764" s="7" t="n">
        <v>0</v>
      </c>
      <c r="J2764" s="7" t="n">
        <v>0</v>
      </c>
      <c r="K2764" s="9" t="n">
        <v>0</v>
      </c>
      <c r="L2764" s="10" t="n">
        <v>4.1</v>
      </c>
      <c r="M2764" s="10" t="n">
        <v>1.43</v>
      </c>
      <c r="N2764" t="inlineStr">
        <is>
          <t>1</t>
        </is>
      </c>
      <c r="O2764" t="inlineStr">
        <is>
          <t xml:space="preserve">2 </t>
        </is>
      </c>
      <c r="P2764" t="inlineStr">
        <is>
          <t xml:space="preserve">90737   </t>
        </is>
      </c>
      <c r="Q2764" s="26" t="n">
        <v>4.09</v>
      </c>
      <c r="R2764" s="26">
        <f>Q2764*G2764</f>
        <v/>
      </c>
      <c r="S2764" s="26">
        <f>IFERROR(VLOOKUP(E2764*1,Tabla[#All],8,0),0)</f>
        <v/>
      </c>
      <c r="T2764" s="26">
        <f>S2764*G2764</f>
        <v/>
      </c>
      <c r="U2764" s="26">
        <f>R2764-T2764</f>
        <v/>
      </c>
      <c r="V2764" s="26">
        <f>U2764-L2764</f>
        <v/>
      </c>
    </row>
    <row r="2765">
      <c r="A2765" s="11" t="n">
        <v>46230</v>
      </c>
      <c r="B2765" s="1" t="n">
        <v>20058</v>
      </c>
      <c r="C2765" s="1" t="inlineStr">
        <is>
          <t>038</t>
        </is>
      </c>
      <c r="D2765" s="1" t="inlineStr">
        <is>
          <t>210759</t>
        </is>
      </c>
      <c r="E2765" s="1" t="inlineStr">
        <is>
          <t xml:space="preserve">28194770       </t>
        </is>
      </c>
      <c r="F2765" s="5" t="inlineStr">
        <is>
          <t>AUTOS DE METAL 3 TEAMSTERZ EN BLISTER</t>
        </is>
      </c>
      <c r="G2765" t="n">
        <v>1</v>
      </c>
      <c r="H2765" s="7" t="n">
        <v>6.9</v>
      </c>
      <c r="I2765" s="7" t="n">
        <v>0</v>
      </c>
      <c r="J2765" s="7" t="n">
        <v>0</v>
      </c>
      <c r="K2765" s="9" t="n">
        <v>0</v>
      </c>
      <c r="L2765" s="10" t="n">
        <v>4.1</v>
      </c>
      <c r="M2765" s="10" t="n">
        <v>1.43</v>
      </c>
      <c r="N2765" t="inlineStr">
        <is>
          <t>1</t>
        </is>
      </c>
      <c r="O2765" t="inlineStr">
        <is>
          <t xml:space="preserve">2 </t>
        </is>
      </c>
      <c r="P2765" t="inlineStr">
        <is>
          <t xml:space="preserve">90737   </t>
        </is>
      </c>
      <c r="Q2765" s="26" t="n">
        <v>4.09</v>
      </c>
      <c r="R2765" s="26">
        <f>Q2765*G2765</f>
        <v/>
      </c>
      <c r="S2765" s="26">
        <f>IFERROR(VLOOKUP(E2765*1,Tabla[#All],8,0),0)</f>
        <v/>
      </c>
      <c r="T2765" s="26">
        <f>S2765*G2765</f>
        <v/>
      </c>
      <c r="U2765" s="26">
        <f>R2765-T2765</f>
        <v/>
      </c>
      <c r="V2765" s="26">
        <f>U2765-L2765</f>
        <v/>
      </c>
    </row>
    <row r="2766">
      <c r="A2766" s="11" t="n">
        <v>46230</v>
      </c>
      <c r="B2766" s="1" t="n">
        <v>20058</v>
      </c>
      <c r="C2766" s="1" t="inlineStr">
        <is>
          <t>039</t>
        </is>
      </c>
      <c r="D2766" s="1" t="inlineStr">
        <is>
          <t>232048</t>
        </is>
      </c>
      <c r="E2766" s="1" t="inlineStr">
        <is>
          <t xml:space="preserve">29235702       </t>
        </is>
      </c>
      <c r="F2766" s="5" t="inlineStr">
        <is>
          <t>INFINITY NADO TROMPO DE BATALLA - METAL C/ ANILLO</t>
        </is>
      </c>
      <c r="G2766" t="n">
        <v>1</v>
      </c>
      <c r="H2766" s="7" t="n">
        <v>49.9</v>
      </c>
      <c r="I2766" s="7" t="n">
        <v>0</v>
      </c>
      <c r="J2766" s="7" t="n">
        <v>0</v>
      </c>
      <c r="K2766" s="9" t="n">
        <v>0</v>
      </c>
      <c r="L2766" s="10" t="n">
        <v>29.6</v>
      </c>
      <c r="M2766" s="10" t="n">
        <v>1.43</v>
      </c>
      <c r="N2766" t="inlineStr">
        <is>
          <t>1</t>
        </is>
      </c>
      <c r="O2766" t="inlineStr">
        <is>
          <t>16</t>
        </is>
      </c>
      <c r="P2766" t="inlineStr">
        <is>
          <t xml:space="preserve">92832   </t>
        </is>
      </c>
      <c r="Q2766" s="26" t="n">
        <v>41.47</v>
      </c>
      <c r="R2766" s="26">
        <f>Q2766*G2766</f>
        <v/>
      </c>
      <c r="S2766" s="26">
        <f>IFERROR(VLOOKUP(E2766*1,Tabla[#All],8,0),0)</f>
        <v/>
      </c>
      <c r="T2766" s="26">
        <f>S2766*G2766</f>
        <v/>
      </c>
      <c r="U2766" s="26">
        <f>R2766-T2766</f>
        <v/>
      </c>
      <c r="V2766" s="26">
        <f>U2766-L2766</f>
        <v/>
      </c>
    </row>
    <row r="2767">
      <c r="A2767" s="11" t="n">
        <v>46230</v>
      </c>
      <c r="B2767" s="1" t="n">
        <v>20058</v>
      </c>
      <c r="C2767" s="1" t="inlineStr">
        <is>
          <t>197</t>
        </is>
      </c>
      <c r="D2767" s="1" t="inlineStr">
        <is>
          <t>170955</t>
        </is>
      </c>
      <c r="E2767" s="1" t="inlineStr">
        <is>
          <t xml:space="preserve">28194769       </t>
        </is>
      </c>
      <c r="F2767" s="5" t="inlineStr">
        <is>
          <t>AUTOS DE METAL 3 TEAMSTERZ PACK DE 2</t>
        </is>
      </c>
      <c r="G2767" t="n">
        <v>1</v>
      </c>
      <c r="H2767" s="7" t="n">
        <v>13.8</v>
      </c>
      <c r="I2767" s="7" t="n">
        <v>0</v>
      </c>
      <c r="J2767" s="7" t="n">
        <v>0</v>
      </c>
      <c r="K2767" s="9" t="n">
        <v>0</v>
      </c>
      <c r="L2767" s="10" t="n">
        <v>8.18</v>
      </c>
      <c r="M2767" s="10" t="n">
        <v>1.43</v>
      </c>
      <c r="N2767" t="inlineStr">
        <is>
          <t>1</t>
        </is>
      </c>
      <c r="O2767" t="inlineStr">
        <is>
          <t>16</t>
        </is>
      </c>
      <c r="P2767" t="inlineStr">
        <is>
          <t xml:space="preserve">250714  </t>
        </is>
      </c>
      <c r="Q2767" s="26" t="n">
        <v>8.19</v>
      </c>
      <c r="R2767" s="26">
        <f>Q2767*G2767</f>
        <v/>
      </c>
      <c r="S2767" s="26">
        <f>IFERROR(VLOOKUP(E2767*1,Tabla[#All],8,0),0)</f>
        <v/>
      </c>
      <c r="T2767" s="26">
        <f>S2767*G2767</f>
        <v/>
      </c>
      <c r="U2767" s="26">
        <f>R2767-T2767</f>
        <v/>
      </c>
      <c r="V2767" s="26">
        <f>U2767-L2767</f>
        <v/>
      </c>
    </row>
    <row r="2768">
      <c r="A2768" s="11" t="n">
        <v>46230</v>
      </c>
      <c r="B2768" s="1" t="n">
        <v>20058</v>
      </c>
      <c r="C2768" s="1" t="inlineStr">
        <is>
          <t>197</t>
        </is>
      </c>
      <c r="D2768" s="1" t="inlineStr">
        <is>
          <t>170955</t>
        </is>
      </c>
      <c r="E2768" s="1" t="inlineStr">
        <is>
          <t xml:space="preserve">28194769       </t>
        </is>
      </c>
      <c r="F2768" s="5" t="inlineStr">
        <is>
          <t>AUTOS DE METAL 3 TEAMSTERZ PACK DE 2</t>
        </is>
      </c>
      <c r="G2768" t="n">
        <v>1</v>
      </c>
      <c r="H2768" s="7" t="n">
        <v>13.8</v>
      </c>
      <c r="I2768" s="7" t="n">
        <v>0</v>
      </c>
      <c r="J2768" s="7" t="n">
        <v>0</v>
      </c>
      <c r="K2768" s="9" t="n">
        <v>0</v>
      </c>
      <c r="L2768" s="10" t="n">
        <v>8.18</v>
      </c>
      <c r="M2768" s="10" t="n">
        <v>1.43</v>
      </c>
      <c r="N2768" t="inlineStr">
        <is>
          <t>1</t>
        </is>
      </c>
      <c r="O2768" t="inlineStr">
        <is>
          <t>16</t>
        </is>
      </c>
      <c r="P2768" t="inlineStr">
        <is>
          <t xml:space="preserve">250714  </t>
        </is>
      </c>
      <c r="Q2768" s="26" t="n">
        <v>8.19</v>
      </c>
      <c r="R2768" s="26">
        <f>Q2768*G2768</f>
        <v/>
      </c>
      <c r="S2768" s="26">
        <f>IFERROR(VLOOKUP(E2768*1,Tabla[#All],8,0),0)</f>
        <v/>
      </c>
      <c r="T2768" s="26">
        <f>S2768*G2768</f>
        <v/>
      </c>
      <c r="U2768" s="26">
        <f>R2768-T2768</f>
        <v/>
      </c>
      <c r="V2768" s="26">
        <f>U2768-L2768</f>
        <v/>
      </c>
    </row>
    <row r="2769">
      <c r="A2769" s="11" t="n">
        <v>46230</v>
      </c>
      <c r="B2769" s="1" t="n">
        <v>20058</v>
      </c>
      <c r="C2769" s="1" t="inlineStr">
        <is>
          <t>197</t>
        </is>
      </c>
      <c r="D2769" s="1" t="inlineStr">
        <is>
          <t>170955</t>
        </is>
      </c>
      <c r="E2769" s="1" t="inlineStr">
        <is>
          <t xml:space="preserve">28194770       </t>
        </is>
      </c>
      <c r="F2769" s="5" t="inlineStr">
        <is>
          <t>AUTOS DE METAL 3 TEAMSTERZ EN BLISTER</t>
        </is>
      </c>
      <c r="G2769" t="n">
        <v>1</v>
      </c>
      <c r="H2769" s="7" t="n">
        <v>6.9</v>
      </c>
      <c r="I2769" s="7" t="n">
        <v>0</v>
      </c>
      <c r="J2769" s="7" t="n">
        <v>0</v>
      </c>
      <c r="K2769" s="9" t="n">
        <v>0</v>
      </c>
      <c r="L2769" s="10" t="n">
        <v>4.1</v>
      </c>
      <c r="M2769" s="10" t="n">
        <v>1.43</v>
      </c>
      <c r="N2769" t="inlineStr">
        <is>
          <t>1</t>
        </is>
      </c>
      <c r="O2769" t="inlineStr">
        <is>
          <t>16</t>
        </is>
      </c>
      <c r="P2769" t="inlineStr">
        <is>
          <t xml:space="preserve">250714  </t>
        </is>
      </c>
      <c r="Q2769" s="26" t="n">
        <v>4.09</v>
      </c>
      <c r="R2769" s="26">
        <f>Q2769*G2769</f>
        <v/>
      </c>
      <c r="S2769" s="26">
        <f>IFERROR(VLOOKUP(E2769*1,Tabla[#All],8,0),0)</f>
        <v/>
      </c>
      <c r="T2769" s="26">
        <f>S2769*G2769</f>
        <v/>
      </c>
      <c r="U2769" s="26">
        <f>R2769-T2769</f>
        <v/>
      </c>
      <c r="V2769" s="26">
        <f>U2769-L2769</f>
        <v/>
      </c>
    </row>
    <row r="2770">
      <c r="A2770" s="11" t="n">
        <v>46230</v>
      </c>
      <c r="B2770" s="1" t="n">
        <v>20058</v>
      </c>
      <c r="C2770" s="1" t="inlineStr">
        <is>
          <t>197</t>
        </is>
      </c>
      <c r="D2770" s="1" t="inlineStr">
        <is>
          <t>170955</t>
        </is>
      </c>
      <c r="E2770" s="1" t="inlineStr">
        <is>
          <t xml:space="preserve">28194770       </t>
        </is>
      </c>
      <c r="F2770" s="5" t="inlineStr">
        <is>
          <t>AUTOS DE METAL 3 TEAMSTERZ EN BLISTER</t>
        </is>
      </c>
      <c r="G2770" t="n">
        <v>1</v>
      </c>
      <c r="H2770" s="7" t="n">
        <v>6.9</v>
      </c>
      <c r="I2770" s="7" t="n">
        <v>0</v>
      </c>
      <c r="J2770" s="7" t="n">
        <v>0</v>
      </c>
      <c r="K2770" s="9" t="n">
        <v>0</v>
      </c>
      <c r="L2770" s="10" t="n">
        <v>4.1</v>
      </c>
      <c r="M2770" s="10" t="n">
        <v>1.43</v>
      </c>
      <c r="N2770" t="inlineStr">
        <is>
          <t>1</t>
        </is>
      </c>
      <c r="O2770" t="inlineStr">
        <is>
          <t>16</t>
        </is>
      </c>
      <c r="P2770" t="inlineStr">
        <is>
          <t xml:space="preserve">250714  </t>
        </is>
      </c>
      <c r="Q2770" s="26" t="n">
        <v>4.09</v>
      </c>
      <c r="R2770" s="26">
        <f>Q2770*G2770</f>
        <v/>
      </c>
      <c r="S2770" s="26">
        <f>IFERROR(VLOOKUP(E2770*1,Tabla[#All],8,0),0)</f>
        <v/>
      </c>
      <c r="T2770" s="26">
        <f>S2770*G2770</f>
        <v/>
      </c>
      <c r="U2770" s="26">
        <f>R2770-T2770</f>
        <v/>
      </c>
      <c r="V2770" s="26">
        <f>U2770-L2770</f>
        <v/>
      </c>
    </row>
    <row r="2771">
      <c r="A2771" s="11" t="n">
        <v>46230</v>
      </c>
      <c r="B2771" s="1" t="n">
        <v>20058</v>
      </c>
      <c r="C2771" s="1" t="inlineStr">
        <is>
          <t>197</t>
        </is>
      </c>
      <c r="D2771" s="1" t="inlineStr">
        <is>
          <t>170955</t>
        </is>
      </c>
      <c r="E2771" s="1" t="inlineStr">
        <is>
          <t xml:space="preserve">28194770       </t>
        </is>
      </c>
      <c r="F2771" s="5" t="inlineStr">
        <is>
          <t>AUTOS DE METAL 3 TEAMSTERZ EN BLISTER</t>
        </is>
      </c>
      <c r="G2771" t="n">
        <v>1</v>
      </c>
      <c r="H2771" s="7" t="n">
        <v>6.9</v>
      </c>
      <c r="I2771" s="7" t="n">
        <v>0</v>
      </c>
      <c r="J2771" s="7" t="n">
        <v>0</v>
      </c>
      <c r="K2771" s="9" t="n">
        <v>0</v>
      </c>
      <c r="L2771" s="10" t="n">
        <v>4.1</v>
      </c>
      <c r="M2771" s="10" t="n">
        <v>1.43</v>
      </c>
      <c r="N2771" t="inlineStr">
        <is>
          <t>1</t>
        </is>
      </c>
      <c r="O2771" t="inlineStr">
        <is>
          <t>16</t>
        </is>
      </c>
      <c r="P2771" t="inlineStr">
        <is>
          <t xml:space="preserve">250714  </t>
        </is>
      </c>
      <c r="Q2771" s="26" t="n">
        <v>4.09</v>
      </c>
      <c r="R2771" s="26">
        <f>Q2771*G2771</f>
        <v/>
      </c>
      <c r="S2771" s="26">
        <f>IFERROR(VLOOKUP(E2771*1,Tabla[#All],8,0),0)</f>
        <v/>
      </c>
      <c r="T2771" s="26">
        <f>S2771*G2771</f>
        <v/>
      </c>
      <c r="U2771" s="26">
        <f>R2771-T2771</f>
        <v/>
      </c>
      <c r="V2771" s="26">
        <f>U2771-L2771</f>
        <v/>
      </c>
    </row>
    <row r="2772">
      <c r="A2772" s="11" t="n">
        <v>46230</v>
      </c>
      <c r="B2772" s="1" t="n">
        <v>20058</v>
      </c>
      <c r="C2772" s="1" t="inlineStr">
        <is>
          <t>197</t>
        </is>
      </c>
      <c r="D2772" s="1" t="inlineStr">
        <is>
          <t>170955</t>
        </is>
      </c>
      <c r="E2772" s="1" t="inlineStr">
        <is>
          <t xml:space="preserve">28194770       </t>
        </is>
      </c>
      <c r="F2772" s="5" t="inlineStr">
        <is>
          <t>AUTOS DE METAL 3 TEAMSTERZ EN BLISTER</t>
        </is>
      </c>
      <c r="G2772" t="n">
        <v>1</v>
      </c>
      <c r="H2772" s="7" t="n">
        <v>6.9</v>
      </c>
      <c r="I2772" s="7" t="n">
        <v>0</v>
      </c>
      <c r="J2772" s="7" t="n">
        <v>0</v>
      </c>
      <c r="K2772" s="9" t="n">
        <v>0</v>
      </c>
      <c r="L2772" s="10" t="n">
        <v>4.1</v>
      </c>
      <c r="M2772" s="10" t="n">
        <v>1.43</v>
      </c>
      <c r="N2772" t="inlineStr">
        <is>
          <t>1</t>
        </is>
      </c>
      <c r="O2772" t="inlineStr">
        <is>
          <t>16</t>
        </is>
      </c>
      <c r="P2772" t="inlineStr">
        <is>
          <t xml:space="preserve">250714  </t>
        </is>
      </c>
      <c r="Q2772" s="26" t="n">
        <v>4.09</v>
      </c>
      <c r="R2772" s="26">
        <f>Q2772*G2772</f>
        <v/>
      </c>
      <c r="S2772" s="26">
        <f>IFERROR(VLOOKUP(E2772*1,Tabla[#All],8,0),0)</f>
        <v/>
      </c>
      <c r="T2772" s="26">
        <f>S2772*G2772</f>
        <v/>
      </c>
      <c r="U2772" s="26">
        <f>R2772-T2772</f>
        <v/>
      </c>
      <c r="V2772" s="26">
        <f>U2772-L2772</f>
        <v/>
      </c>
    </row>
    <row r="2773">
      <c r="A2773" s="11" t="n">
        <v>46230</v>
      </c>
      <c r="B2773" s="1" t="n">
        <v>20058</v>
      </c>
      <c r="C2773" s="1" t="inlineStr">
        <is>
          <t>197</t>
        </is>
      </c>
      <c r="D2773" s="1" t="inlineStr">
        <is>
          <t>170955</t>
        </is>
      </c>
      <c r="E2773" s="1" t="inlineStr">
        <is>
          <t xml:space="preserve">28194770       </t>
        </is>
      </c>
      <c r="F2773" s="5" t="inlineStr">
        <is>
          <t>AUTOS DE METAL 3 TEAMSTERZ EN BLISTER</t>
        </is>
      </c>
      <c r="G2773" t="n">
        <v>1</v>
      </c>
      <c r="H2773" s="7" t="n">
        <v>6.9</v>
      </c>
      <c r="I2773" s="7" t="n">
        <v>0</v>
      </c>
      <c r="J2773" s="7" t="n">
        <v>0</v>
      </c>
      <c r="K2773" s="9" t="n">
        <v>0</v>
      </c>
      <c r="L2773" s="10" t="n">
        <v>4.1</v>
      </c>
      <c r="M2773" s="10" t="n">
        <v>1.43</v>
      </c>
      <c r="N2773" t="inlineStr">
        <is>
          <t>1</t>
        </is>
      </c>
      <c r="O2773" t="inlineStr">
        <is>
          <t>16</t>
        </is>
      </c>
      <c r="P2773" t="inlineStr">
        <is>
          <t xml:space="preserve">250714  </t>
        </is>
      </c>
      <c r="Q2773" s="26" t="n">
        <v>4.09</v>
      </c>
      <c r="R2773" s="26">
        <f>Q2773*G2773</f>
        <v/>
      </c>
      <c r="S2773" s="26">
        <f>IFERROR(VLOOKUP(E2773*1,Tabla[#All],8,0),0)</f>
        <v/>
      </c>
      <c r="T2773" s="26">
        <f>S2773*G2773</f>
        <v/>
      </c>
      <c r="U2773" s="26">
        <f>R2773-T2773</f>
        <v/>
      </c>
      <c r="V2773" s="26">
        <f>U2773-L2773</f>
        <v/>
      </c>
    </row>
    <row r="2774">
      <c r="A2774" s="11" t="n">
        <v>46230</v>
      </c>
      <c r="B2774" s="1" t="n">
        <v>20058</v>
      </c>
      <c r="C2774" s="1" t="inlineStr">
        <is>
          <t>513</t>
        </is>
      </c>
      <c r="D2774" s="1" t="inlineStr">
        <is>
          <t xml:space="preserve">4748  </t>
        </is>
      </c>
      <c r="E2774" s="1" t="inlineStr">
        <is>
          <t xml:space="preserve">28194770       </t>
        </is>
      </c>
      <c r="F2774" s="5" t="inlineStr">
        <is>
          <t>AUTOS DE METAL 3 TEAMSTERZ EN BLISTER</t>
        </is>
      </c>
      <c r="G2774" t="n">
        <v>1</v>
      </c>
      <c r="H2774" s="7" t="n">
        <v>6.9</v>
      </c>
      <c r="I2774" s="7" t="n">
        <v>0.6899999999999999</v>
      </c>
      <c r="J2774" s="7" t="n">
        <v>0</v>
      </c>
      <c r="K2774" s="9" t="n">
        <v>0.6899999999999999</v>
      </c>
      <c r="L2774" s="10" t="n">
        <v>3.68</v>
      </c>
      <c r="M2774" s="10" t="n">
        <v>1.43</v>
      </c>
      <c r="N2774" t="inlineStr">
        <is>
          <t>1</t>
        </is>
      </c>
      <c r="O2774" t="inlineStr">
        <is>
          <t>16</t>
        </is>
      </c>
      <c r="P2774" t="inlineStr">
        <is>
          <t xml:space="preserve">248978  </t>
        </is>
      </c>
      <c r="Q2774" s="26" t="n">
        <v>4.09</v>
      </c>
      <c r="R2774" s="26">
        <f>Q2774*G2774</f>
        <v/>
      </c>
      <c r="S2774" s="26">
        <f>IFERROR(VLOOKUP(E2774*1,Tabla[#All],8,0),0)</f>
        <v/>
      </c>
      <c r="T2774" s="26">
        <f>S2774*G2774</f>
        <v/>
      </c>
      <c r="U2774" s="26">
        <f>R2774-T2774</f>
        <v/>
      </c>
      <c r="V2774" s="26">
        <f>U2774-L2774</f>
        <v/>
      </c>
    </row>
    <row r="2775">
      <c r="A2775" s="11" t="n">
        <v>46230</v>
      </c>
      <c r="B2775" s="1" t="n">
        <v>20060</v>
      </c>
      <c r="C2775" s="1" t="inlineStr">
        <is>
          <t>300</t>
        </is>
      </c>
      <c r="D2775" s="1" t="inlineStr">
        <is>
          <t xml:space="preserve">3386  </t>
        </is>
      </c>
      <c r="E2775" s="1" t="inlineStr">
        <is>
          <t xml:space="preserve">31754676       </t>
        </is>
      </c>
      <c r="F2775" s="5" t="inlineStr">
        <is>
          <t>INFINITY NADO SERIE 6 STD PACK LANZ ESPAD ANILLO M</t>
        </is>
      </c>
      <c r="G2775" t="n">
        <v>1</v>
      </c>
      <c r="H2775" s="7" t="n">
        <v>79.90000000000001</v>
      </c>
      <c r="I2775" s="7" t="n">
        <v>0</v>
      </c>
      <c r="J2775" s="7" t="n">
        <v>0</v>
      </c>
      <c r="K2775" s="9" t="n">
        <v>0</v>
      </c>
      <c r="L2775" s="10" t="n">
        <v>47.4</v>
      </c>
      <c r="M2775" s="10" t="n">
        <v>1.43</v>
      </c>
      <c r="N2775" t="inlineStr">
        <is>
          <t>1</t>
        </is>
      </c>
      <c r="O2775" t="inlineStr">
        <is>
          <t>16</t>
        </is>
      </c>
      <c r="P2775" t="inlineStr">
        <is>
          <t>82807346</t>
        </is>
      </c>
      <c r="Q2775" s="26" t="n">
        <v>47.4</v>
      </c>
      <c r="R2775" s="26">
        <f>Q2775*G2775</f>
        <v/>
      </c>
      <c r="S2775" s="26">
        <f>IFERROR(VLOOKUP(E2775*1,Tabla[#All],8,0),0)</f>
        <v/>
      </c>
      <c r="T2775" s="26">
        <f>S2775*G2775</f>
        <v/>
      </c>
      <c r="U2775" s="26">
        <f>R2775-T2775</f>
        <v/>
      </c>
      <c r="V2775" s="26">
        <f>U2775-L2775</f>
        <v/>
      </c>
    </row>
    <row r="2776">
      <c r="A2776" s="11" t="n">
        <v>46230</v>
      </c>
      <c r="B2776" s="1" t="n">
        <v>20062</v>
      </c>
      <c r="C2776" s="1" t="inlineStr">
        <is>
          <t>017</t>
        </is>
      </c>
      <c r="D2776" s="1" t="inlineStr">
        <is>
          <t>236483</t>
        </is>
      </c>
      <c r="E2776" s="1" t="inlineStr">
        <is>
          <t xml:space="preserve">28194780       </t>
        </is>
      </c>
      <c r="F2776" s="5" t="inlineStr">
        <is>
          <t>TROMPO BATALLA INFINITY NADO PLSTICO SURTIDO</t>
        </is>
      </c>
      <c r="G2776" t="n">
        <v>1</v>
      </c>
      <c r="H2776" s="7" t="n">
        <v>19.9</v>
      </c>
      <c r="I2776" s="7" t="n">
        <v>0</v>
      </c>
      <c r="J2776" s="7" t="n">
        <v>0</v>
      </c>
      <c r="K2776" s="9" t="n">
        <v>0</v>
      </c>
      <c r="L2776" s="10" t="n">
        <v>11.8</v>
      </c>
      <c r="M2776" s="10" t="n">
        <v>1.43</v>
      </c>
      <c r="N2776" t="inlineStr">
        <is>
          <t>1</t>
        </is>
      </c>
      <c r="O2776" t="inlineStr">
        <is>
          <t>16</t>
        </is>
      </c>
      <c r="P2776" t="inlineStr">
        <is>
          <t xml:space="preserve">88849   </t>
        </is>
      </c>
      <c r="Q2776" s="26" t="n">
        <v>11.81</v>
      </c>
      <c r="R2776" s="26">
        <f>Q2776*G2776</f>
        <v/>
      </c>
      <c r="S2776" s="26">
        <f>IFERROR(VLOOKUP(E2776*1,Tabla[#All],8,0),0)</f>
        <v/>
      </c>
      <c r="T2776" s="26">
        <f>S2776*G2776</f>
        <v/>
      </c>
      <c r="U2776" s="26">
        <f>R2776-T2776</f>
        <v/>
      </c>
      <c r="V2776" s="26">
        <f>U2776-L2776</f>
        <v/>
      </c>
    </row>
    <row r="2777">
      <c r="A2777" s="11" t="n">
        <v>46230</v>
      </c>
      <c r="B2777" s="1" t="n">
        <v>20062</v>
      </c>
      <c r="C2777" s="1" t="inlineStr">
        <is>
          <t>017</t>
        </is>
      </c>
      <c r="D2777" s="1" t="inlineStr">
        <is>
          <t>236483</t>
        </is>
      </c>
      <c r="E2777" s="1" t="inlineStr">
        <is>
          <t xml:space="preserve">30232284       </t>
        </is>
      </c>
      <c r="F2777" s="5" t="inlineStr">
        <is>
          <t>INFINITY NADO TROMPO DE BATALLA - METAL C/PUNTA DE</t>
        </is>
      </c>
      <c r="G2777" t="n">
        <v>1</v>
      </c>
      <c r="H2777" s="7" t="n">
        <v>34.9</v>
      </c>
      <c r="I2777" s="7" t="n">
        <v>0</v>
      </c>
      <c r="J2777" s="7" t="n">
        <v>0</v>
      </c>
      <c r="K2777" s="9" t="n">
        <v>0</v>
      </c>
      <c r="L2777" s="10" t="n">
        <v>20.71</v>
      </c>
      <c r="M2777" s="10" t="n">
        <v>1.43</v>
      </c>
      <c r="N2777" t="inlineStr">
        <is>
          <t>1</t>
        </is>
      </c>
      <c r="O2777" t="inlineStr">
        <is>
          <t>16</t>
        </is>
      </c>
      <c r="P2777" t="inlineStr">
        <is>
          <t xml:space="preserve">88849   </t>
        </is>
      </c>
      <c r="Q2777" s="26" t="n">
        <v>29.6</v>
      </c>
      <c r="R2777" s="26">
        <f>Q2777*G2777</f>
        <v/>
      </c>
      <c r="S2777" s="26">
        <f>IFERROR(VLOOKUP(E2777*1,Tabla[#All],8,0),0)</f>
        <v/>
      </c>
      <c r="T2777" s="26">
        <f>S2777*G2777</f>
        <v/>
      </c>
      <c r="U2777" s="26">
        <f>R2777-T2777</f>
        <v/>
      </c>
      <c r="V2777" s="26">
        <f>U2777-L2777</f>
        <v/>
      </c>
    </row>
    <row r="2778">
      <c r="A2778" s="11" t="n">
        <v>46230</v>
      </c>
      <c r="B2778" s="1" t="n">
        <v>20062</v>
      </c>
      <c r="C2778" s="1" t="inlineStr">
        <is>
          <t>038</t>
        </is>
      </c>
      <c r="D2778" s="1" t="inlineStr">
        <is>
          <t>174477</t>
        </is>
      </c>
      <c r="E2778" s="1" t="inlineStr">
        <is>
          <t xml:space="preserve">30141767       </t>
        </is>
      </c>
      <c r="F2778" s="5" t="inlineStr">
        <is>
          <t>TMZ BEAST MACHINES AUTOS DE METAL PACK 5 AUTOS</t>
        </is>
      </c>
      <c r="G2778" t="n">
        <v>1</v>
      </c>
      <c r="H2778" s="7" t="n">
        <v>29.9</v>
      </c>
      <c r="I2778" s="7" t="n">
        <v>0</v>
      </c>
      <c r="J2778" s="7" t="n">
        <v>0</v>
      </c>
      <c r="K2778" s="9" t="n">
        <v>0</v>
      </c>
      <c r="L2778" s="10" t="n">
        <v>17.74</v>
      </c>
      <c r="M2778" s="10" t="n">
        <v>1.43</v>
      </c>
      <c r="N2778" t="inlineStr">
        <is>
          <t>1</t>
        </is>
      </c>
      <c r="O2778" t="inlineStr">
        <is>
          <t>16</t>
        </is>
      </c>
      <c r="P2778" t="inlineStr">
        <is>
          <t xml:space="preserve">251762  </t>
        </is>
      </c>
      <c r="Q2778" s="26" t="n">
        <v>23.43</v>
      </c>
      <c r="R2778" s="26">
        <f>Q2778*G2778</f>
        <v/>
      </c>
      <c r="S2778" s="26">
        <f>IFERROR(VLOOKUP(E2778*1,Tabla[#All],8,0),0)</f>
        <v/>
      </c>
      <c r="T2778" s="26">
        <f>S2778*G2778</f>
        <v/>
      </c>
      <c r="U2778" s="26">
        <f>R2778-T2778</f>
        <v/>
      </c>
      <c r="V2778" s="26">
        <f>U2778-L2778</f>
        <v/>
      </c>
    </row>
    <row r="2779">
      <c r="A2779" s="11" t="n">
        <v>46230</v>
      </c>
      <c r="B2779" s="1" t="n">
        <v>20062</v>
      </c>
      <c r="C2779" s="1" t="inlineStr">
        <is>
          <t>053</t>
        </is>
      </c>
      <c r="D2779" s="1" t="inlineStr">
        <is>
          <t>244199</t>
        </is>
      </c>
      <c r="E2779" s="1" t="inlineStr">
        <is>
          <t xml:space="preserve">28194770       </t>
        </is>
      </c>
      <c r="F2779" s="5" t="inlineStr">
        <is>
          <t>AUTOS DE METAL 3 TEAMSTERZ EN BLISTER</t>
        </is>
      </c>
      <c r="G2779" t="n">
        <v>1</v>
      </c>
      <c r="H2779" s="7" t="n">
        <v>6.9</v>
      </c>
      <c r="I2779" s="7" t="n">
        <v>0</v>
      </c>
      <c r="J2779" s="7" t="n">
        <v>0</v>
      </c>
      <c r="K2779" s="9" t="n">
        <v>0</v>
      </c>
      <c r="L2779" s="10" t="n">
        <v>4.1</v>
      </c>
      <c r="M2779" s="10" t="n">
        <v>1.43</v>
      </c>
      <c r="N2779" t="inlineStr">
        <is>
          <t>1</t>
        </is>
      </c>
      <c r="O2779" t="inlineStr">
        <is>
          <t>16</t>
        </is>
      </c>
      <c r="P2779" t="inlineStr">
        <is>
          <t xml:space="preserve">250430  </t>
        </is>
      </c>
      <c r="Q2779" s="26" t="n">
        <v>4.09</v>
      </c>
      <c r="R2779" s="26">
        <f>Q2779*G2779</f>
        <v/>
      </c>
      <c r="S2779" s="26">
        <f>IFERROR(VLOOKUP(E2779*1,Tabla[#All],8,0),0)</f>
        <v/>
      </c>
      <c r="T2779" s="26">
        <f>S2779*G2779</f>
        <v/>
      </c>
      <c r="U2779" s="26">
        <f>R2779-T2779</f>
        <v/>
      </c>
      <c r="V2779" s="26">
        <f>U2779-L2779</f>
        <v/>
      </c>
    </row>
    <row r="2780">
      <c r="A2780" s="11" t="n">
        <v>46230</v>
      </c>
      <c r="B2780" s="1" t="n">
        <v>20062</v>
      </c>
      <c r="C2780" s="1" t="inlineStr">
        <is>
          <t>831</t>
        </is>
      </c>
      <c r="D2780" s="1" t="inlineStr">
        <is>
          <t xml:space="preserve">1833  </t>
        </is>
      </c>
      <c r="E2780" s="1" t="inlineStr">
        <is>
          <t xml:space="preserve">29235711       </t>
        </is>
      </c>
      <c r="F2780" s="5" t="inlineStr">
        <is>
          <t>TEAMSTERZ DISPARADORES TIBURON INCL. 1 AUTO</t>
        </is>
      </c>
      <c r="G2780" t="n">
        <v>1</v>
      </c>
      <c r="H2780" s="7" t="n">
        <v>29.9</v>
      </c>
      <c r="I2780" s="7" t="n">
        <v>0</v>
      </c>
      <c r="J2780" s="7" t="n">
        <v>0</v>
      </c>
      <c r="K2780" s="9" t="n">
        <v>0</v>
      </c>
      <c r="L2780" s="10" t="n">
        <v>17.74</v>
      </c>
      <c r="M2780" s="10" t="n">
        <v>1.43</v>
      </c>
      <c r="N2780" t="inlineStr">
        <is>
          <t>1</t>
        </is>
      </c>
      <c r="O2780" t="inlineStr">
        <is>
          <t>16</t>
        </is>
      </c>
      <c r="P2780" t="inlineStr">
        <is>
          <t xml:space="preserve">250430  </t>
        </is>
      </c>
      <c r="Q2780" s="26" t="n">
        <v>17.74</v>
      </c>
      <c r="R2780" s="26">
        <f>Q2780*G2780</f>
        <v/>
      </c>
      <c r="S2780" s="26">
        <f>IFERROR(VLOOKUP(E2780*1,Tabla[#All],8,0),0)</f>
        <v/>
      </c>
      <c r="T2780" s="26">
        <f>S2780*G2780</f>
        <v/>
      </c>
      <c r="U2780" s="26">
        <f>R2780-T2780</f>
        <v/>
      </c>
      <c r="V2780" s="26">
        <f>U2780-L2780</f>
        <v/>
      </c>
    </row>
    <row r="2781">
      <c r="A2781" s="11" t="n">
        <v>46230</v>
      </c>
      <c r="B2781" s="1" t="n">
        <v>20066</v>
      </c>
      <c r="C2781" s="1" t="inlineStr">
        <is>
          <t>052</t>
        </is>
      </c>
      <c r="D2781" s="1" t="inlineStr">
        <is>
          <t>321080</t>
        </is>
      </c>
      <c r="E2781" s="1" t="inlineStr">
        <is>
          <t xml:space="preserve">28194770       </t>
        </is>
      </c>
      <c r="F2781" s="5" t="inlineStr">
        <is>
          <t>AUTOS DE METAL 3 TEAMSTERZ EN BLISTER</t>
        </is>
      </c>
      <c r="G2781" t="n">
        <v>1</v>
      </c>
      <c r="H2781" s="7" t="n">
        <v>6.9</v>
      </c>
      <c r="I2781" s="7" t="n">
        <v>0</v>
      </c>
      <c r="J2781" s="7" t="n">
        <v>0</v>
      </c>
      <c r="K2781" s="9" t="n">
        <v>0</v>
      </c>
      <c r="L2781" s="10" t="n">
        <v>4.1</v>
      </c>
      <c r="M2781" s="10" t="n">
        <v>1.43</v>
      </c>
      <c r="N2781" t="inlineStr">
        <is>
          <t>1</t>
        </is>
      </c>
      <c r="O2781" t="inlineStr">
        <is>
          <t xml:space="preserve">2 </t>
        </is>
      </c>
      <c r="P2781" t="inlineStr">
        <is>
          <t xml:space="preserve">231271  </t>
        </is>
      </c>
      <c r="Q2781" s="26" t="n">
        <v>4.09</v>
      </c>
      <c r="R2781" s="26">
        <f>Q2781*G2781</f>
        <v/>
      </c>
      <c r="S2781" s="26">
        <f>IFERROR(VLOOKUP(E2781*1,Tabla[#All],8,0),0)</f>
        <v/>
      </c>
      <c r="T2781" s="26">
        <f>S2781*G2781</f>
        <v/>
      </c>
      <c r="U2781" s="26">
        <f>R2781-T2781</f>
        <v/>
      </c>
      <c r="V2781" s="26">
        <f>U2781-L2781</f>
        <v/>
      </c>
    </row>
    <row r="2782">
      <c r="A2782" s="11" t="n">
        <v>46230</v>
      </c>
      <c r="B2782" s="1" t="n">
        <v>20066</v>
      </c>
      <c r="C2782" s="1" t="inlineStr">
        <is>
          <t>061</t>
        </is>
      </c>
      <c r="D2782" s="1" t="inlineStr">
        <is>
          <t xml:space="preserve">36458 </t>
        </is>
      </c>
      <c r="E2782" s="1" t="inlineStr">
        <is>
          <t xml:space="preserve">28194770       </t>
        </is>
      </c>
      <c r="F2782" s="5" t="inlineStr">
        <is>
          <t>AUTOS DE METAL 3 TEAMSTERZ EN BLISTER</t>
        </is>
      </c>
      <c r="G2782" t="n">
        <v>1</v>
      </c>
      <c r="H2782" s="7" t="n">
        <v>6.9</v>
      </c>
      <c r="I2782" s="7" t="n">
        <v>0</v>
      </c>
      <c r="J2782" s="7" t="n">
        <v>0</v>
      </c>
      <c r="K2782" s="9" t="n">
        <v>0</v>
      </c>
      <c r="L2782" s="10" t="n">
        <v>4.1</v>
      </c>
      <c r="M2782" s="10" t="n">
        <v>1.43</v>
      </c>
      <c r="N2782" t="inlineStr">
        <is>
          <t>1</t>
        </is>
      </c>
      <c r="O2782" t="inlineStr">
        <is>
          <t xml:space="preserve">2 </t>
        </is>
      </c>
      <c r="P2782" t="inlineStr">
        <is>
          <t xml:space="preserve">49848   </t>
        </is>
      </c>
      <c r="Q2782" s="26" t="n">
        <v>4.09</v>
      </c>
      <c r="R2782" s="26">
        <f>Q2782*G2782</f>
        <v/>
      </c>
      <c r="S2782" s="26">
        <f>IFERROR(VLOOKUP(E2782*1,Tabla[#All],8,0),0)</f>
        <v/>
      </c>
      <c r="T2782" s="26">
        <f>S2782*G2782</f>
        <v/>
      </c>
      <c r="U2782" s="26">
        <f>R2782-T2782</f>
        <v/>
      </c>
      <c r="V2782" s="26">
        <f>U2782-L2782</f>
        <v/>
      </c>
    </row>
    <row r="2783">
      <c r="A2783" s="11" t="n">
        <v>46230</v>
      </c>
      <c r="B2783" s="1" t="n">
        <v>20066</v>
      </c>
      <c r="C2783" s="1" t="inlineStr">
        <is>
          <t>831</t>
        </is>
      </c>
      <c r="D2783" s="1" t="inlineStr">
        <is>
          <t xml:space="preserve">7374  </t>
        </is>
      </c>
      <c r="E2783" s="1" t="inlineStr">
        <is>
          <t xml:space="preserve">28194770       </t>
        </is>
      </c>
      <c r="F2783" s="5" t="inlineStr">
        <is>
          <t>AUTOS DE METAL 3 TEAMSTERZ EN BLISTER</t>
        </is>
      </c>
      <c r="G2783" t="n">
        <v>1</v>
      </c>
      <c r="H2783" s="7" t="n">
        <v>6.9</v>
      </c>
      <c r="I2783" s="7" t="n">
        <v>0</v>
      </c>
      <c r="J2783" s="7" t="n">
        <v>0</v>
      </c>
      <c r="K2783" s="9" t="n">
        <v>0</v>
      </c>
      <c r="L2783" s="10" t="n">
        <v>4.1</v>
      </c>
      <c r="M2783" s="10" t="n">
        <v>1.43</v>
      </c>
      <c r="N2783" t="inlineStr">
        <is>
          <t>1</t>
        </is>
      </c>
      <c r="O2783" t="inlineStr">
        <is>
          <t>16</t>
        </is>
      </c>
      <c r="P2783" t="inlineStr">
        <is>
          <t xml:space="preserve">91152   </t>
        </is>
      </c>
      <c r="Q2783" s="26" t="n">
        <v>4.09</v>
      </c>
      <c r="R2783" s="26">
        <f>Q2783*G2783</f>
        <v/>
      </c>
      <c r="S2783" s="26">
        <f>IFERROR(VLOOKUP(E2783*1,Tabla[#All],8,0),0)</f>
        <v/>
      </c>
      <c r="T2783" s="26">
        <f>S2783*G2783</f>
        <v/>
      </c>
      <c r="U2783" s="26">
        <f>R2783-T2783</f>
        <v/>
      </c>
      <c r="V2783" s="26">
        <f>U2783-L2783</f>
        <v/>
      </c>
    </row>
    <row r="2784">
      <c r="A2784" s="11" t="n">
        <v>46230</v>
      </c>
      <c r="B2784" s="1" t="n">
        <v>20069</v>
      </c>
      <c r="C2784" s="1" t="inlineStr">
        <is>
          <t>026</t>
        </is>
      </c>
      <c r="D2784" s="1" t="inlineStr">
        <is>
          <t>360419</t>
        </is>
      </c>
      <c r="E2784" s="1" t="inlineStr">
        <is>
          <t xml:space="preserve">28194770       </t>
        </is>
      </c>
      <c r="F2784" s="5" t="inlineStr">
        <is>
          <t>AUTOS DE METAL 3 TEAMSTERZ EN BLISTER</t>
        </is>
      </c>
      <c r="G2784" t="n">
        <v>1</v>
      </c>
      <c r="H2784" s="7" t="n">
        <v>6.9</v>
      </c>
      <c r="I2784" s="7" t="n">
        <v>0</v>
      </c>
      <c r="J2784" s="7" t="n">
        <v>0</v>
      </c>
      <c r="K2784" s="9" t="n">
        <v>0</v>
      </c>
      <c r="L2784" s="10" t="n">
        <v>4.1</v>
      </c>
      <c r="M2784" s="10" t="n">
        <v>1.43</v>
      </c>
      <c r="N2784" t="inlineStr">
        <is>
          <t>1</t>
        </is>
      </c>
      <c r="O2784" t="inlineStr">
        <is>
          <t xml:space="preserve">2 </t>
        </is>
      </c>
      <c r="P2784" t="inlineStr">
        <is>
          <t xml:space="preserve">249236  </t>
        </is>
      </c>
      <c r="Q2784" s="26" t="n">
        <v>4.09</v>
      </c>
      <c r="R2784" s="26">
        <f>Q2784*G2784</f>
        <v/>
      </c>
      <c r="S2784" s="26">
        <f>IFERROR(VLOOKUP(E2784*1,Tabla[#All],8,0),0)</f>
        <v/>
      </c>
      <c r="T2784" s="26">
        <f>S2784*G2784</f>
        <v/>
      </c>
      <c r="U2784" s="26">
        <f>R2784-T2784</f>
        <v/>
      </c>
      <c r="V2784" s="26">
        <f>U2784-L2784</f>
        <v/>
      </c>
    </row>
    <row r="2785">
      <c r="A2785" s="11" t="n">
        <v>46230</v>
      </c>
      <c r="B2785" s="1" t="n">
        <v>20072</v>
      </c>
      <c r="C2785" s="1" t="inlineStr">
        <is>
          <t>032</t>
        </is>
      </c>
      <c r="D2785" s="1" t="inlineStr">
        <is>
          <t>309316</t>
        </is>
      </c>
      <c r="E2785" s="1" t="inlineStr">
        <is>
          <t xml:space="preserve">28194780       </t>
        </is>
      </c>
      <c r="F2785" s="5" t="inlineStr">
        <is>
          <t>TROMPO BATALLA INFINITY NADO PLSTICO SURTIDO</t>
        </is>
      </c>
      <c r="G2785" t="n">
        <v>1</v>
      </c>
      <c r="H2785" s="7" t="n">
        <v>19.9</v>
      </c>
      <c r="I2785" s="7" t="n">
        <v>0</v>
      </c>
      <c r="J2785" s="7" t="n">
        <v>0</v>
      </c>
      <c r="K2785" s="9" t="n">
        <v>0</v>
      </c>
      <c r="L2785" s="10" t="n">
        <v>11.8</v>
      </c>
      <c r="M2785" s="10" t="n">
        <v>1.43</v>
      </c>
      <c r="N2785" t="inlineStr">
        <is>
          <t>1</t>
        </is>
      </c>
      <c r="O2785" t="inlineStr">
        <is>
          <t xml:space="preserve">2 </t>
        </is>
      </c>
      <c r="P2785" t="inlineStr">
        <is>
          <t xml:space="preserve">92485   </t>
        </is>
      </c>
      <c r="Q2785" s="26" t="n">
        <v>11.81</v>
      </c>
      <c r="R2785" s="26">
        <f>Q2785*G2785</f>
        <v/>
      </c>
      <c r="S2785" s="26">
        <f>IFERROR(VLOOKUP(E2785*1,Tabla[#All],8,0),0)</f>
        <v/>
      </c>
      <c r="T2785" s="26">
        <f>S2785*G2785</f>
        <v/>
      </c>
      <c r="U2785" s="26">
        <f>R2785-T2785</f>
        <v/>
      </c>
      <c r="V2785" s="26">
        <f>U2785-L2785</f>
        <v/>
      </c>
    </row>
    <row r="2786">
      <c r="A2786" s="11" t="n">
        <v>46230</v>
      </c>
      <c r="B2786" s="1" t="n">
        <v>20072</v>
      </c>
      <c r="C2786" s="1" t="inlineStr">
        <is>
          <t>033</t>
        </is>
      </c>
      <c r="D2786" s="1" t="inlineStr">
        <is>
          <t>285751</t>
        </is>
      </c>
      <c r="E2786" s="1" t="inlineStr">
        <is>
          <t xml:space="preserve">33483123       </t>
        </is>
      </c>
      <c r="F2786" s="5" t="inlineStr">
        <is>
          <t>NENUCO DISFRACES</t>
        </is>
      </c>
      <c r="G2786" t="n">
        <v>1</v>
      </c>
      <c r="H2786" s="7" t="n">
        <v>69.90000000000001</v>
      </c>
      <c r="I2786" s="7" t="n">
        <v>0</v>
      </c>
      <c r="J2786" s="7" t="n">
        <v>0</v>
      </c>
      <c r="K2786" s="9" t="n">
        <v>0</v>
      </c>
      <c r="L2786" s="10" t="n">
        <v>41.47</v>
      </c>
      <c r="M2786" s="10" t="n">
        <v>1.43</v>
      </c>
      <c r="N2786" t="inlineStr">
        <is>
          <t>1</t>
        </is>
      </c>
      <c r="O2786" t="inlineStr">
        <is>
          <t>16</t>
        </is>
      </c>
      <c r="P2786" t="inlineStr">
        <is>
          <t xml:space="preserve">59850   </t>
        </is>
      </c>
      <c r="Q2786" s="26" t="n">
        <v>53.33</v>
      </c>
      <c r="R2786" s="26">
        <f>Q2786*G2786</f>
        <v/>
      </c>
      <c r="S2786" s="26">
        <f>IFERROR(VLOOKUP(E2786*1,Tabla[#All],8,0),0)</f>
        <v/>
      </c>
      <c r="T2786" s="26">
        <f>S2786*G2786</f>
        <v/>
      </c>
      <c r="U2786" s="26">
        <f>R2786-T2786</f>
        <v/>
      </c>
      <c r="V2786" s="26">
        <f>U2786-L2786</f>
        <v/>
      </c>
    </row>
    <row r="2787">
      <c r="A2787" s="11" t="n">
        <v>46230</v>
      </c>
      <c r="B2787" s="1" t="n">
        <v>20072</v>
      </c>
      <c r="C2787" s="1" t="inlineStr">
        <is>
          <t>033</t>
        </is>
      </c>
      <c r="D2787" s="1" t="inlineStr">
        <is>
          <t>285809</t>
        </is>
      </c>
      <c r="E2787" s="1" t="inlineStr">
        <is>
          <t xml:space="preserve">29235708       </t>
        </is>
      </c>
      <c r="F2787" s="5" t="inlineStr">
        <is>
          <t>TEAMSTERZ RESCATE POR AIRE Y MAR</t>
        </is>
      </c>
      <c r="G2787" t="n">
        <v>1</v>
      </c>
      <c r="H2787" s="7" t="n">
        <v>39.9</v>
      </c>
      <c r="I2787" s="7" t="n">
        <v>0</v>
      </c>
      <c r="J2787" s="7" t="n">
        <v>0</v>
      </c>
      <c r="K2787" s="9" t="n">
        <v>0</v>
      </c>
      <c r="L2787" s="10" t="n">
        <v>23.67</v>
      </c>
      <c r="M2787" s="10" t="n">
        <v>1.43</v>
      </c>
      <c r="N2787" t="inlineStr">
        <is>
          <t>1</t>
        </is>
      </c>
      <c r="O2787" t="inlineStr">
        <is>
          <t>16</t>
        </is>
      </c>
      <c r="P2787" t="inlineStr">
        <is>
          <t xml:space="preserve">59850   </t>
        </is>
      </c>
      <c r="Q2787" s="26" t="n">
        <v>23.67</v>
      </c>
      <c r="R2787" s="26">
        <f>Q2787*G2787</f>
        <v/>
      </c>
      <c r="S2787" s="26">
        <f>IFERROR(VLOOKUP(E2787*1,Tabla[#All],8,0),0)</f>
        <v/>
      </c>
      <c r="T2787" s="26">
        <f>S2787*G2787</f>
        <v/>
      </c>
      <c r="U2787" s="26">
        <f>R2787-T2787</f>
        <v/>
      </c>
      <c r="V2787" s="26">
        <f>U2787-L2787</f>
        <v/>
      </c>
    </row>
    <row r="2788">
      <c r="A2788" s="11" t="n">
        <v>46230</v>
      </c>
      <c r="B2788" s="1" t="n">
        <v>20073</v>
      </c>
      <c r="C2788" s="1" t="inlineStr">
        <is>
          <t>023</t>
        </is>
      </c>
      <c r="D2788" s="1" t="inlineStr">
        <is>
          <t xml:space="preserve">96929 </t>
        </is>
      </c>
      <c r="E2788" s="1" t="inlineStr">
        <is>
          <t xml:space="preserve">28194770       </t>
        </is>
      </c>
      <c r="F2788" s="5" t="inlineStr">
        <is>
          <t>AUTOS DE METAL 3 TEAMSTERZ EN BLISTER</t>
        </is>
      </c>
      <c r="G2788" t="n">
        <v>1</v>
      </c>
      <c r="H2788" s="7" t="n">
        <v>6.9</v>
      </c>
      <c r="I2788" s="7" t="n">
        <v>0</v>
      </c>
      <c r="J2788" s="7" t="n">
        <v>0</v>
      </c>
      <c r="K2788" s="9" t="n">
        <v>0</v>
      </c>
      <c r="L2788" s="10" t="n">
        <v>4.1</v>
      </c>
      <c r="M2788" s="10" t="n">
        <v>1.43</v>
      </c>
      <c r="N2788" t="inlineStr">
        <is>
          <t>1</t>
        </is>
      </c>
      <c r="O2788" t="inlineStr">
        <is>
          <t xml:space="preserve">2 </t>
        </is>
      </c>
      <c r="P2788" t="inlineStr">
        <is>
          <t xml:space="preserve">64168   </t>
        </is>
      </c>
      <c r="Q2788" s="26" t="n">
        <v>4.09</v>
      </c>
      <c r="R2788" s="26">
        <f>Q2788*G2788</f>
        <v/>
      </c>
      <c r="S2788" s="26">
        <f>IFERROR(VLOOKUP(E2788*1,Tabla[#All],8,0),0)</f>
        <v/>
      </c>
      <c r="T2788" s="26">
        <f>S2788*G2788</f>
        <v/>
      </c>
      <c r="U2788" s="26">
        <f>R2788-T2788</f>
        <v/>
      </c>
      <c r="V2788" s="26">
        <f>U2788-L2788</f>
        <v/>
      </c>
    </row>
    <row r="2789">
      <c r="A2789" s="11" t="n">
        <v>46230</v>
      </c>
      <c r="B2789" s="1" t="n">
        <v>20073</v>
      </c>
      <c r="C2789" s="1" t="inlineStr">
        <is>
          <t>801</t>
        </is>
      </c>
      <c r="D2789" s="1" t="inlineStr">
        <is>
          <t xml:space="preserve">6440  </t>
        </is>
      </c>
      <c r="E2789" s="1" t="inlineStr">
        <is>
          <t xml:space="preserve">28194768       </t>
        </is>
      </c>
      <c r="F2789" s="5" t="inlineStr">
        <is>
          <t>AUTO COLOR CHANGE TEAMSTERZ SURTIDO</t>
        </is>
      </c>
      <c r="G2789" t="n">
        <v>1</v>
      </c>
      <c r="H2789" s="7" t="n">
        <v>14.9</v>
      </c>
      <c r="I2789" s="7" t="n">
        <v>0</v>
      </c>
      <c r="J2789" s="7" t="n">
        <v>0</v>
      </c>
      <c r="K2789" s="9" t="n">
        <v>0</v>
      </c>
      <c r="L2789" s="10" t="n">
        <v>8.84</v>
      </c>
      <c r="M2789" s="10" t="n">
        <v>1.43</v>
      </c>
      <c r="N2789" t="inlineStr">
        <is>
          <t>1</t>
        </is>
      </c>
      <c r="O2789" t="inlineStr">
        <is>
          <t>16</t>
        </is>
      </c>
      <c r="P2789" t="inlineStr">
        <is>
          <t xml:space="preserve">0       </t>
        </is>
      </c>
      <c r="Q2789" s="26" t="n">
        <v>8.84</v>
      </c>
      <c r="R2789" s="26">
        <f>Q2789*G2789</f>
        <v/>
      </c>
      <c r="S2789" s="26">
        <f>IFERROR(VLOOKUP(E2789*1,Tabla[#All],8,0),0)</f>
        <v/>
      </c>
      <c r="T2789" s="26">
        <f>S2789*G2789</f>
        <v/>
      </c>
      <c r="U2789" s="26">
        <f>R2789-T2789</f>
        <v/>
      </c>
      <c r="V2789" s="26">
        <f>U2789-L2789</f>
        <v/>
      </c>
    </row>
    <row r="2790">
      <c r="A2790" s="11" t="n">
        <v>46230</v>
      </c>
      <c r="B2790" s="1" t="n">
        <v>20074</v>
      </c>
      <c r="C2790" s="1" t="inlineStr">
        <is>
          <t>048</t>
        </is>
      </c>
      <c r="D2790" s="1" t="inlineStr">
        <is>
          <t xml:space="preserve">6311  </t>
        </is>
      </c>
      <c r="E2790" s="1" t="inlineStr">
        <is>
          <t xml:space="preserve">28194770       </t>
        </is>
      </c>
      <c r="F2790" s="5" t="inlineStr">
        <is>
          <t>AUTOS DE METAL 3 TEAMSTERZ EN BLISTER</t>
        </is>
      </c>
      <c r="G2790" t="n">
        <v>1</v>
      </c>
      <c r="H2790" s="7" t="n">
        <v>6.9</v>
      </c>
      <c r="I2790" s="7" t="n">
        <v>0</v>
      </c>
      <c r="J2790" s="7" t="n">
        <v>0</v>
      </c>
      <c r="K2790" s="9" t="n">
        <v>0</v>
      </c>
      <c r="L2790" s="10" t="n">
        <v>4.1</v>
      </c>
      <c r="M2790" s="10" t="n">
        <v>1.43</v>
      </c>
      <c r="N2790" t="inlineStr">
        <is>
          <t>1</t>
        </is>
      </c>
      <c r="O2790" t="inlineStr">
        <is>
          <t xml:space="preserve">2 </t>
        </is>
      </c>
      <c r="P2790" t="inlineStr">
        <is>
          <t xml:space="preserve">248567  </t>
        </is>
      </c>
      <c r="Q2790" s="26" t="n">
        <v>4.09</v>
      </c>
      <c r="R2790" s="26">
        <f>Q2790*G2790</f>
        <v/>
      </c>
      <c r="S2790" s="26">
        <f>IFERROR(VLOOKUP(E2790*1,Tabla[#All],8,0),0)</f>
        <v/>
      </c>
      <c r="T2790" s="26">
        <f>S2790*G2790</f>
        <v/>
      </c>
      <c r="U2790" s="26">
        <f>R2790-T2790</f>
        <v/>
      </c>
      <c r="V2790" s="26">
        <f>U2790-L2790</f>
        <v/>
      </c>
    </row>
    <row r="2791">
      <c r="A2791" s="11" t="n">
        <v>46230</v>
      </c>
      <c r="B2791" s="1" t="n">
        <v>20074</v>
      </c>
      <c r="C2791" s="1" t="inlineStr">
        <is>
          <t>048</t>
        </is>
      </c>
      <c r="D2791" s="1" t="inlineStr">
        <is>
          <t xml:space="preserve">6311  </t>
        </is>
      </c>
      <c r="E2791" s="1" t="inlineStr">
        <is>
          <t xml:space="preserve">28194770       </t>
        </is>
      </c>
      <c r="F2791" s="5" t="inlineStr">
        <is>
          <t>AUTOS DE METAL 3 TEAMSTERZ EN BLISTER</t>
        </is>
      </c>
      <c r="G2791" t="n">
        <v>1</v>
      </c>
      <c r="H2791" s="7" t="n">
        <v>6.9</v>
      </c>
      <c r="I2791" s="7" t="n">
        <v>0</v>
      </c>
      <c r="J2791" s="7" t="n">
        <v>0</v>
      </c>
      <c r="K2791" s="9" t="n">
        <v>0</v>
      </c>
      <c r="L2791" s="10" t="n">
        <v>4.1</v>
      </c>
      <c r="M2791" s="10" t="n">
        <v>1.43</v>
      </c>
      <c r="N2791" t="inlineStr">
        <is>
          <t>1</t>
        </is>
      </c>
      <c r="O2791" t="inlineStr">
        <is>
          <t xml:space="preserve">2 </t>
        </is>
      </c>
      <c r="P2791" t="inlineStr">
        <is>
          <t xml:space="preserve">248567  </t>
        </is>
      </c>
      <c r="Q2791" s="26" t="n">
        <v>4.09</v>
      </c>
      <c r="R2791" s="26">
        <f>Q2791*G2791</f>
        <v/>
      </c>
      <c r="S2791" s="26">
        <f>IFERROR(VLOOKUP(E2791*1,Tabla[#All],8,0),0)</f>
        <v/>
      </c>
      <c r="T2791" s="26">
        <f>S2791*G2791</f>
        <v/>
      </c>
      <c r="U2791" s="26">
        <f>R2791-T2791</f>
        <v/>
      </c>
      <c r="V2791" s="26">
        <f>U2791-L2791</f>
        <v/>
      </c>
    </row>
    <row r="2792">
      <c r="A2792" s="11" t="n">
        <v>46230</v>
      </c>
      <c r="B2792" s="1" t="n">
        <v>20077</v>
      </c>
      <c r="C2792" s="1" t="inlineStr">
        <is>
          <t>029</t>
        </is>
      </c>
      <c r="D2792" s="1" t="inlineStr">
        <is>
          <t>157210</t>
        </is>
      </c>
      <c r="E2792" s="1" t="inlineStr">
        <is>
          <t xml:space="preserve">30141768       </t>
        </is>
      </c>
      <c r="F2792" s="5" t="inlineStr">
        <is>
          <t>TMZ BEAST MACHINES AUTOS DE METAL PACK 10 AUTOS</t>
        </is>
      </c>
      <c r="G2792" t="n">
        <v>1</v>
      </c>
      <c r="H2792" s="7" t="n">
        <v>69</v>
      </c>
      <c r="I2792" s="7" t="n">
        <v>0</v>
      </c>
      <c r="J2792" s="7" t="n">
        <v>0</v>
      </c>
      <c r="K2792" s="9" t="n">
        <v>0</v>
      </c>
      <c r="L2792" s="10" t="n">
        <v>40.93</v>
      </c>
      <c r="M2792" s="10" t="n">
        <v>1.43</v>
      </c>
      <c r="N2792" t="inlineStr">
        <is>
          <t>1</t>
        </is>
      </c>
      <c r="O2792" t="inlineStr">
        <is>
          <t>16</t>
        </is>
      </c>
      <c r="P2792" t="inlineStr">
        <is>
          <t xml:space="preserve">43639   </t>
        </is>
      </c>
      <c r="Q2792" s="26" t="n">
        <v>46.86</v>
      </c>
      <c r="R2792" s="26">
        <f>Q2792*G2792</f>
        <v/>
      </c>
      <c r="S2792" s="26">
        <f>IFERROR(VLOOKUP(E2792*1,Tabla[#All],8,0),0)</f>
        <v/>
      </c>
      <c r="T2792" s="26">
        <f>S2792*G2792</f>
        <v/>
      </c>
      <c r="U2792" s="26">
        <f>R2792-T2792</f>
        <v/>
      </c>
      <c r="V2792" s="26">
        <f>U2792-L2792</f>
        <v/>
      </c>
    </row>
    <row r="2793">
      <c r="A2793" s="11" t="n">
        <v>46230</v>
      </c>
      <c r="B2793" s="1" t="n">
        <v>20077</v>
      </c>
      <c r="C2793" s="1" t="inlineStr">
        <is>
          <t>030</t>
        </is>
      </c>
      <c r="D2793" s="1" t="inlineStr">
        <is>
          <t xml:space="preserve">41413 </t>
        </is>
      </c>
      <c r="E2793" s="1" t="inlineStr">
        <is>
          <t xml:space="preserve">33483121       </t>
        </is>
      </c>
      <c r="F2793" s="5" t="inlineStr">
        <is>
          <t>HOT WHEELS ESTUCHE PARA 15 AUTOS SURTIDO</t>
        </is>
      </c>
      <c r="G2793" t="n">
        <v>1</v>
      </c>
      <c r="H2793" s="7" t="n">
        <v>34.9</v>
      </c>
      <c r="I2793" s="7" t="n">
        <v>0</v>
      </c>
      <c r="J2793" s="7" t="n">
        <v>0</v>
      </c>
      <c r="K2793" s="9" t="n">
        <v>0</v>
      </c>
      <c r="L2793" s="10" t="n">
        <v>20.71</v>
      </c>
      <c r="M2793" s="10" t="n">
        <v>1.43</v>
      </c>
      <c r="N2793" t="inlineStr">
        <is>
          <t>1</t>
        </is>
      </c>
      <c r="O2793" t="inlineStr">
        <is>
          <t xml:space="preserve">2 </t>
        </is>
      </c>
      <c r="P2793" t="inlineStr">
        <is>
          <t xml:space="preserve">246990  </t>
        </is>
      </c>
      <c r="Q2793" s="26" t="n">
        <v>20.7</v>
      </c>
      <c r="R2793" s="26">
        <f>Q2793*G2793</f>
        <v/>
      </c>
      <c r="S2793" s="26">
        <f>IFERROR(VLOOKUP(E2793*1,Tabla[#All],8,0),0)</f>
        <v/>
      </c>
      <c r="T2793" s="26">
        <f>S2793*G2793</f>
        <v/>
      </c>
      <c r="U2793" s="26">
        <f>R2793-T2793</f>
        <v/>
      </c>
      <c r="V2793" s="26">
        <f>U2793-L2793</f>
        <v/>
      </c>
    </row>
    <row r="2794">
      <c r="A2794" s="11" t="n">
        <v>46230</v>
      </c>
      <c r="B2794" s="1" t="n">
        <v>20078</v>
      </c>
      <c r="C2794" s="1" t="inlineStr">
        <is>
          <t>025</t>
        </is>
      </c>
      <c r="D2794" s="1" t="inlineStr">
        <is>
          <t>244242</t>
        </is>
      </c>
      <c r="E2794" s="1" t="inlineStr">
        <is>
          <t xml:space="preserve">28194767       </t>
        </is>
      </c>
      <c r="F2794" s="5" t="inlineStr">
        <is>
          <t>CAMIONES TEAMSTERZ DE EMERGENCIA</t>
        </is>
      </c>
      <c r="G2794" t="n">
        <v>1</v>
      </c>
      <c r="H2794" s="7" t="n">
        <v>17.9</v>
      </c>
      <c r="I2794" s="7" t="n">
        <v>0</v>
      </c>
      <c r="J2794" s="7" t="n">
        <v>0</v>
      </c>
      <c r="K2794" s="9" t="n">
        <v>0</v>
      </c>
      <c r="L2794" s="10" t="n">
        <v>10.62</v>
      </c>
      <c r="M2794" s="10" t="n">
        <v>1.43</v>
      </c>
      <c r="N2794" t="inlineStr">
        <is>
          <t>1</t>
        </is>
      </c>
      <c r="O2794" t="inlineStr">
        <is>
          <t>16</t>
        </is>
      </c>
      <c r="P2794" t="inlineStr">
        <is>
          <t xml:space="preserve">237331  </t>
        </is>
      </c>
      <c r="Q2794" s="26" t="n">
        <v>10.62</v>
      </c>
      <c r="R2794" s="26">
        <f>Q2794*G2794</f>
        <v/>
      </c>
      <c r="S2794" s="26">
        <f>IFERROR(VLOOKUP(E2794*1,Tabla[#All],8,0),0)</f>
        <v/>
      </c>
      <c r="T2794" s="26">
        <f>S2794*G2794</f>
        <v/>
      </c>
      <c r="U2794" s="26">
        <f>R2794-T2794</f>
        <v/>
      </c>
      <c r="V2794" s="26">
        <f>U2794-L2794</f>
        <v/>
      </c>
    </row>
    <row r="2795">
      <c r="A2795" s="11" t="n">
        <v>46230</v>
      </c>
      <c r="B2795" s="1" t="n">
        <v>20080</v>
      </c>
      <c r="C2795" s="1" t="inlineStr">
        <is>
          <t>026</t>
        </is>
      </c>
      <c r="D2795" s="1" t="inlineStr">
        <is>
          <t>209726</t>
        </is>
      </c>
      <c r="E2795" s="1" t="inlineStr">
        <is>
          <t xml:space="preserve">31675354       </t>
        </is>
      </c>
      <c r="F2795" s="5" t="inlineStr">
        <is>
          <t>NENUCO LLORON CON ACCESORIOS</t>
        </is>
      </c>
      <c r="G2795" t="n">
        <v>1</v>
      </c>
      <c r="H2795" s="7" t="n">
        <v>69.90000000000001</v>
      </c>
      <c r="I2795" s="7" t="n">
        <v>0</v>
      </c>
      <c r="J2795" s="7" t="n">
        <v>0</v>
      </c>
      <c r="K2795" s="9" t="n">
        <v>0</v>
      </c>
      <c r="L2795" s="10" t="n">
        <v>41.47</v>
      </c>
      <c r="M2795" s="10" t="n">
        <v>1.43</v>
      </c>
      <c r="N2795" t="inlineStr">
        <is>
          <t>1</t>
        </is>
      </c>
      <c r="O2795" t="inlineStr">
        <is>
          <t>16</t>
        </is>
      </c>
      <c r="P2795" t="inlineStr">
        <is>
          <t xml:space="preserve">251454  </t>
        </is>
      </c>
      <c r="Q2795" s="26" t="n">
        <v>53.33</v>
      </c>
      <c r="R2795" s="26">
        <f>Q2795*G2795</f>
        <v/>
      </c>
      <c r="S2795" s="26">
        <f>IFERROR(VLOOKUP(E2795*1,Tabla[#All],8,0),0)</f>
        <v/>
      </c>
      <c r="T2795" s="26">
        <f>S2795*G2795</f>
        <v/>
      </c>
      <c r="U2795" s="26">
        <f>R2795-T2795</f>
        <v/>
      </c>
      <c r="V2795" s="26">
        <f>U2795-L2795</f>
        <v/>
      </c>
    </row>
    <row r="2796">
      <c r="A2796" s="11" t="n">
        <v>46230</v>
      </c>
      <c r="B2796" s="1" t="n">
        <v>20080</v>
      </c>
      <c r="C2796" s="1" t="inlineStr">
        <is>
          <t>029</t>
        </is>
      </c>
      <c r="D2796" s="1" t="inlineStr">
        <is>
          <t>226498</t>
        </is>
      </c>
      <c r="E2796" s="1" t="inlineStr">
        <is>
          <t xml:space="preserve">28194784       </t>
        </is>
      </c>
      <c r="F2796" s="5" t="inlineStr">
        <is>
          <t>SET DE ACROBACIAS INFINITY NADO CON TROMPO</t>
        </is>
      </c>
      <c r="G2796" t="n">
        <v>1</v>
      </c>
      <c r="H2796" s="7" t="n">
        <v>139</v>
      </c>
      <c r="I2796" s="7" t="n">
        <v>0</v>
      </c>
      <c r="J2796" s="7" t="n">
        <v>0</v>
      </c>
      <c r="K2796" s="9" t="n">
        <v>0</v>
      </c>
      <c r="L2796" s="10" t="n">
        <v>82.45999999999999</v>
      </c>
      <c r="M2796" s="10" t="n">
        <v>1.43</v>
      </c>
      <c r="N2796" t="inlineStr">
        <is>
          <t>1</t>
        </is>
      </c>
      <c r="O2796" t="inlineStr">
        <is>
          <t>16</t>
        </is>
      </c>
      <c r="P2796" t="inlineStr">
        <is>
          <t xml:space="preserve">66621   </t>
        </is>
      </c>
      <c r="Q2796" s="26" t="n">
        <v>106.19</v>
      </c>
      <c r="R2796" s="26">
        <f>Q2796*G2796</f>
        <v/>
      </c>
      <c r="S2796" s="26">
        <f>IFERROR(VLOOKUP(E2796*1,Tabla[#All],8,0),0)</f>
        <v/>
      </c>
      <c r="T2796" s="26">
        <f>S2796*G2796</f>
        <v/>
      </c>
      <c r="U2796" s="26">
        <f>R2796-T2796</f>
        <v/>
      </c>
      <c r="V2796" s="26">
        <f>U2796-L2796</f>
        <v/>
      </c>
    </row>
    <row r="2797">
      <c r="A2797" s="11" t="n">
        <v>46230</v>
      </c>
      <c r="B2797" s="1" t="n">
        <v>20080</v>
      </c>
      <c r="C2797" s="1" t="inlineStr">
        <is>
          <t>029</t>
        </is>
      </c>
      <c r="D2797" s="1" t="inlineStr">
        <is>
          <t>226521</t>
        </is>
      </c>
      <c r="E2797" s="1" t="inlineStr">
        <is>
          <t xml:space="preserve">28194768       </t>
        </is>
      </c>
      <c r="F2797" s="5" t="inlineStr">
        <is>
          <t>AUTO COLOR CHANGE TEAMSTERZ SURTIDO</t>
        </is>
      </c>
      <c r="G2797" t="n">
        <v>1</v>
      </c>
      <c r="H2797" s="7" t="n">
        <v>14.9</v>
      </c>
      <c r="I2797" s="7" t="n">
        <v>0</v>
      </c>
      <c r="J2797" s="7" t="n">
        <v>0</v>
      </c>
      <c r="K2797" s="9" t="n">
        <v>0</v>
      </c>
      <c r="L2797" s="10" t="n">
        <v>8.84</v>
      </c>
      <c r="M2797" s="10" t="n">
        <v>1.43</v>
      </c>
      <c r="N2797" t="inlineStr">
        <is>
          <t>1</t>
        </is>
      </c>
      <c r="O2797" t="inlineStr">
        <is>
          <t>16</t>
        </is>
      </c>
      <c r="P2797" t="inlineStr">
        <is>
          <t xml:space="preserve">66621   </t>
        </is>
      </c>
      <c r="Q2797" s="26" t="n">
        <v>8.84</v>
      </c>
      <c r="R2797" s="26">
        <f>Q2797*G2797</f>
        <v/>
      </c>
      <c r="S2797" s="26">
        <f>IFERROR(VLOOKUP(E2797*1,Tabla[#All],8,0),0)</f>
        <v/>
      </c>
      <c r="T2797" s="26">
        <f>S2797*G2797</f>
        <v/>
      </c>
      <c r="U2797" s="26">
        <f>R2797-T2797</f>
        <v/>
      </c>
      <c r="V2797" s="26">
        <f>U2797-L2797</f>
        <v/>
      </c>
    </row>
    <row r="2798">
      <c r="A2798" s="11" t="n">
        <v>46230</v>
      </c>
      <c r="B2798" s="1" t="n">
        <v>20086</v>
      </c>
      <c r="C2798" s="1" t="inlineStr">
        <is>
          <t>015</t>
        </is>
      </c>
      <c r="D2798" s="1" t="inlineStr">
        <is>
          <t xml:space="preserve">4925  </t>
        </is>
      </c>
      <c r="E2798" s="1" t="inlineStr">
        <is>
          <t xml:space="preserve">28194769       </t>
        </is>
      </c>
      <c r="F2798" s="5" t="inlineStr">
        <is>
          <t>AUTOS DE METAL 3 TEAMSTERZ PACK DE 2</t>
        </is>
      </c>
      <c r="G2798" t="n">
        <v>1</v>
      </c>
      <c r="H2798" s="7" t="n">
        <v>13.8</v>
      </c>
      <c r="I2798" s="7" t="n">
        <v>0</v>
      </c>
      <c r="J2798" s="7" t="n">
        <v>0</v>
      </c>
      <c r="K2798" s="9" t="n">
        <v>0</v>
      </c>
      <c r="L2798" s="10" t="n">
        <v>8.18</v>
      </c>
      <c r="M2798" s="10" t="n">
        <v>1.43</v>
      </c>
      <c r="N2798" t="inlineStr">
        <is>
          <t>1</t>
        </is>
      </c>
      <c r="O2798" t="inlineStr">
        <is>
          <t>16</t>
        </is>
      </c>
      <c r="P2798" t="inlineStr">
        <is>
          <t xml:space="preserve">250783  </t>
        </is>
      </c>
      <c r="Q2798" s="26" t="n">
        <v>8.19</v>
      </c>
      <c r="R2798" s="26">
        <f>Q2798*G2798</f>
        <v/>
      </c>
      <c r="S2798" s="26">
        <f>IFERROR(VLOOKUP(E2798*1,Tabla[#All],8,0),0)</f>
        <v/>
      </c>
      <c r="T2798" s="26">
        <f>S2798*G2798</f>
        <v/>
      </c>
      <c r="U2798" s="26">
        <f>R2798-T2798</f>
        <v/>
      </c>
      <c r="V2798" s="26">
        <f>U2798-L2798</f>
        <v/>
      </c>
    </row>
    <row r="2799">
      <c r="A2799" s="11" t="n">
        <v>46230</v>
      </c>
      <c r="B2799" s="1" t="n">
        <v>20088</v>
      </c>
      <c r="C2799" s="1" t="inlineStr">
        <is>
          <t>021</t>
        </is>
      </c>
      <c r="D2799" s="1" t="inlineStr">
        <is>
          <t xml:space="preserve">50400 </t>
        </is>
      </c>
      <c r="E2799" s="1" t="inlineStr">
        <is>
          <t xml:space="preserve">31754676       </t>
        </is>
      </c>
      <c r="F2799" s="5" t="inlineStr">
        <is>
          <t>INFINITY NADO SERIE 6 STD PACK LANZ ESPAD ANILLO M</t>
        </is>
      </c>
      <c r="G2799" t="n">
        <v>1</v>
      </c>
      <c r="H2799" s="7" t="n">
        <v>59.9</v>
      </c>
      <c r="I2799" s="7" t="n">
        <v>0</v>
      </c>
      <c r="J2799" s="7" t="n">
        <v>0</v>
      </c>
      <c r="K2799" s="9" t="n">
        <v>0</v>
      </c>
      <c r="L2799" s="10" t="n">
        <v>35.53</v>
      </c>
      <c r="M2799" s="10" t="n">
        <v>1.43</v>
      </c>
      <c r="N2799" t="inlineStr">
        <is>
          <t>1</t>
        </is>
      </c>
      <c r="O2799" t="inlineStr">
        <is>
          <t>16</t>
        </is>
      </c>
      <c r="P2799" t="inlineStr">
        <is>
          <t xml:space="preserve">235264  </t>
        </is>
      </c>
      <c r="Q2799" s="26" t="n">
        <v>47.4</v>
      </c>
      <c r="R2799" s="26">
        <f>Q2799*G2799</f>
        <v/>
      </c>
      <c r="S2799" s="26">
        <f>IFERROR(VLOOKUP(E2799*1,Tabla[#All],8,0),0)</f>
        <v/>
      </c>
      <c r="T2799" s="26">
        <f>S2799*G2799</f>
        <v/>
      </c>
      <c r="U2799" s="26">
        <f>R2799-T2799</f>
        <v/>
      </c>
      <c r="V2799" s="26">
        <f>U2799-L2799</f>
        <v/>
      </c>
    </row>
    <row r="2800">
      <c r="A2800" s="11" t="n">
        <v>46230</v>
      </c>
      <c r="B2800" s="1" t="n">
        <v>20088</v>
      </c>
      <c r="C2800" s="1" t="inlineStr">
        <is>
          <t>021</t>
        </is>
      </c>
      <c r="D2800" s="1" t="inlineStr">
        <is>
          <t xml:space="preserve">50400 </t>
        </is>
      </c>
      <c r="E2800" s="1" t="inlineStr">
        <is>
          <t xml:space="preserve">31754676       </t>
        </is>
      </c>
      <c r="F2800" s="5" t="inlineStr">
        <is>
          <t>INFINITY NADO SERIE 6 STD PACK LANZ ESPAD ANILLO M</t>
        </is>
      </c>
      <c r="G2800" t="n">
        <v>1</v>
      </c>
      <c r="H2800" s="7" t="n">
        <v>59.9</v>
      </c>
      <c r="I2800" s="7" t="n">
        <v>0</v>
      </c>
      <c r="J2800" s="7" t="n">
        <v>0</v>
      </c>
      <c r="K2800" s="9" t="n">
        <v>0</v>
      </c>
      <c r="L2800" s="10" t="n">
        <v>35.53</v>
      </c>
      <c r="M2800" s="10" t="n">
        <v>1.43</v>
      </c>
      <c r="N2800" t="inlineStr">
        <is>
          <t>1</t>
        </is>
      </c>
      <c r="O2800" t="inlineStr">
        <is>
          <t>16</t>
        </is>
      </c>
      <c r="P2800" t="inlineStr">
        <is>
          <t xml:space="preserve">235264  </t>
        </is>
      </c>
      <c r="Q2800" s="26" t="n">
        <v>47.4</v>
      </c>
      <c r="R2800" s="26">
        <f>Q2800*G2800</f>
        <v/>
      </c>
      <c r="S2800" s="26">
        <f>IFERROR(VLOOKUP(E2800*1,Tabla[#All],8,0),0)</f>
        <v/>
      </c>
      <c r="T2800" s="26">
        <f>S2800*G2800</f>
        <v/>
      </c>
      <c r="U2800" s="26">
        <f>R2800-T2800</f>
        <v/>
      </c>
      <c r="V2800" s="26">
        <f>U2800-L2800</f>
        <v/>
      </c>
    </row>
    <row r="2801">
      <c r="A2801" s="11" t="n">
        <v>46230</v>
      </c>
      <c r="B2801" s="1" t="n">
        <v>20088</v>
      </c>
      <c r="C2801" s="1" t="inlineStr">
        <is>
          <t>021</t>
        </is>
      </c>
      <c r="D2801" s="1" t="inlineStr">
        <is>
          <t xml:space="preserve">50400 </t>
        </is>
      </c>
      <c r="E2801" s="1" t="inlineStr">
        <is>
          <t xml:space="preserve">31754676       </t>
        </is>
      </c>
      <c r="F2801" s="5" t="inlineStr">
        <is>
          <t>INFINITY NADO SERIE 6 STD PACK LANZ ESPAD ANILLO M</t>
        </is>
      </c>
      <c r="G2801" t="n">
        <v>1</v>
      </c>
      <c r="H2801" s="7" t="n">
        <v>59.9</v>
      </c>
      <c r="I2801" s="7" t="n">
        <v>0</v>
      </c>
      <c r="J2801" s="7" t="n">
        <v>0</v>
      </c>
      <c r="K2801" s="9" t="n">
        <v>0</v>
      </c>
      <c r="L2801" s="10" t="n">
        <v>35.53</v>
      </c>
      <c r="M2801" s="10" t="n">
        <v>1.43</v>
      </c>
      <c r="N2801" t="inlineStr">
        <is>
          <t>1</t>
        </is>
      </c>
      <c r="O2801" t="inlineStr">
        <is>
          <t>16</t>
        </is>
      </c>
      <c r="P2801" t="inlineStr">
        <is>
          <t xml:space="preserve">235264  </t>
        </is>
      </c>
      <c r="Q2801" s="26" t="n">
        <v>47.4</v>
      </c>
      <c r="R2801" s="26">
        <f>Q2801*G2801</f>
        <v/>
      </c>
      <c r="S2801" s="26">
        <f>IFERROR(VLOOKUP(E2801*1,Tabla[#All],8,0),0)</f>
        <v/>
      </c>
      <c r="T2801" s="26">
        <f>S2801*G2801</f>
        <v/>
      </c>
      <c r="U2801" s="26">
        <f>R2801-T2801</f>
        <v/>
      </c>
      <c r="V2801" s="26">
        <f>U2801-L2801</f>
        <v/>
      </c>
    </row>
    <row r="2802">
      <c r="A2802" s="11" t="n">
        <v>46230</v>
      </c>
      <c r="B2802" s="1" t="n">
        <v>20088</v>
      </c>
      <c r="C2802" s="1" t="inlineStr">
        <is>
          <t>023</t>
        </is>
      </c>
      <c r="D2802" s="1" t="inlineStr">
        <is>
          <t>128240</t>
        </is>
      </c>
      <c r="E2802" s="1" t="inlineStr">
        <is>
          <t xml:space="preserve">28194769       </t>
        </is>
      </c>
      <c r="F2802" s="5" t="inlineStr">
        <is>
          <t>AUTOS DE METAL 3 TEAMSTERZ PACK DE 2</t>
        </is>
      </c>
      <c r="G2802" t="n">
        <v>1</v>
      </c>
      <c r="H2802" s="7" t="n">
        <v>13.8</v>
      </c>
      <c r="I2802" s="7" t="n">
        <v>0</v>
      </c>
      <c r="J2802" s="7" t="n">
        <v>0</v>
      </c>
      <c r="K2802" s="9" t="n">
        <v>0</v>
      </c>
      <c r="L2802" s="10" t="n">
        <v>8.18</v>
      </c>
      <c r="M2802" s="10" t="n">
        <v>1.43</v>
      </c>
      <c r="N2802" t="inlineStr">
        <is>
          <t>1</t>
        </is>
      </c>
      <c r="O2802" t="inlineStr">
        <is>
          <t xml:space="preserve">2 </t>
        </is>
      </c>
      <c r="P2802" t="inlineStr">
        <is>
          <t xml:space="preserve">234665  </t>
        </is>
      </c>
      <c r="Q2802" s="26" t="n">
        <v>8.19</v>
      </c>
      <c r="R2802" s="26">
        <f>Q2802*G2802</f>
        <v/>
      </c>
      <c r="S2802" s="26">
        <f>IFERROR(VLOOKUP(E2802*1,Tabla[#All],8,0),0)</f>
        <v/>
      </c>
      <c r="T2802" s="26">
        <f>S2802*G2802</f>
        <v/>
      </c>
      <c r="U2802" s="26">
        <f>R2802-T2802</f>
        <v/>
      </c>
      <c r="V2802" s="26">
        <f>U2802-L2802</f>
        <v/>
      </c>
    </row>
    <row r="2803">
      <c r="A2803" s="11" t="n">
        <v>46230</v>
      </c>
      <c r="B2803" s="1" t="n">
        <v>20088</v>
      </c>
      <c r="C2803" s="1" t="inlineStr">
        <is>
          <t>023</t>
        </is>
      </c>
      <c r="D2803" s="1" t="inlineStr">
        <is>
          <t>128241</t>
        </is>
      </c>
      <c r="E2803" s="1" t="inlineStr">
        <is>
          <t xml:space="preserve">28194768       </t>
        </is>
      </c>
      <c r="F2803" s="5" t="inlineStr">
        <is>
          <t>AUTO COLOR CHANGE TEAMSTERZ SURTIDO</t>
        </is>
      </c>
      <c r="G2803" t="n">
        <v>1</v>
      </c>
      <c r="H2803" s="7" t="n">
        <v>14.9</v>
      </c>
      <c r="I2803" s="7" t="n">
        <v>0</v>
      </c>
      <c r="J2803" s="7" t="n">
        <v>0</v>
      </c>
      <c r="K2803" s="9" t="n">
        <v>0</v>
      </c>
      <c r="L2803" s="10" t="n">
        <v>8.84</v>
      </c>
      <c r="M2803" s="10" t="n">
        <v>1.43</v>
      </c>
      <c r="N2803" t="inlineStr">
        <is>
          <t>1</t>
        </is>
      </c>
      <c r="O2803" t="inlineStr">
        <is>
          <t>16</t>
        </is>
      </c>
      <c r="P2803" t="inlineStr">
        <is>
          <t xml:space="preserve">234665  </t>
        </is>
      </c>
      <c r="Q2803" s="26" t="n">
        <v>8.84</v>
      </c>
      <c r="R2803" s="26">
        <f>Q2803*G2803</f>
        <v/>
      </c>
      <c r="S2803" s="26">
        <f>IFERROR(VLOOKUP(E2803*1,Tabla[#All],8,0),0)</f>
        <v/>
      </c>
      <c r="T2803" s="26">
        <f>S2803*G2803</f>
        <v/>
      </c>
      <c r="U2803" s="26">
        <f>R2803-T2803</f>
        <v/>
      </c>
      <c r="V2803" s="26">
        <f>U2803-L2803</f>
        <v/>
      </c>
    </row>
    <row r="2804">
      <c r="A2804" s="11" t="n">
        <v>46230</v>
      </c>
      <c r="B2804" s="1" t="n">
        <v>20088</v>
      </c>
      <c r="C2804" s="1" t="inlineStr">
        <is>
          <t>801</t>
        </is>
      </c>
      <c r="D2804" s="1" t="inlineStr">
        <is>
          <t xml:space="preserve">7200  </t>
        </is>
      </c>
      <c r="E2804" s="1" t="inlineStr">
        <is>
          <t xml:space="preserve">31754675       </t>
        </is>
      </c>
      <c r="F2804" s="5" t="inlineStr">
        <is>
          <t>INFINITY NADO SERIE 6 STARTER PACK - 4 MODELOS</t>
        </is>
      </c>
      <c r="G2804" t="n">
        <v>1</v>
      </c>
      <c r="H2804" s="7" t="n">
        <v>49.9</v>
      </c>
      <c r="I2804" s="7" t="n">
        <v>0</v>
      </c>
      <c r="J2804" s="7" t="n">
        <v>0</v>
      </c>
      <c r="K2804" s="9" t="n">
        <v>0</v>
      </c>
      <c r="L2804" s="10" t="n">
        <v>29.6</v>
      </c>
      <c r="M2804" s="10" t="n">
        <v>1.43</v>
      </c>
      <c r="N2804" t="inlineStr">
        <is>
          <t>1</t>
        </is>
      </c>
      <c r="O2804" t="inlineStr">
        <is>
          <t>16</t>
        </is>
      </c>
      <c r="P2804" t="inlineStr">
        <is>
          <t xml:space="preserve">0       </t>
        </is>
      </c>
      <c r="Q2804" s="26" t="n">
        <v>41.47</v>
      </c>
      <c r="R2804" s="26">
        <f>Q2804*G2804</f>
        <v/>
      </c>
      <c r="S2804" s="26">
        <f>IFERROR(VLOOKUP(E2804*1,Tabla[#All],8,0),0)</f>
        <v/>
      </c>
      <c r="T2804" s="26">
        <f>S2804*G2804</f>
        <v/>
      </c>
      <c r="U2804" s="26">
        <f>R2804-T2804</f>
        <v/>
      </c>
      <c r="V2804" s="26">
        <f>U2804-L2804</f>
        <v/>
      </c>
    </row>
    <row r="2805">
      <c r="A2805" s="11" t="n">
        <v>46230</v>
      </c>
      <c r="B2805" s="1" t="n">
        <v>20089</v>
      </c>
      <c r="C2805" s="1" t="inlineStr">
        <is>
          <t>025</t>
        </is>
      </c>
      <c r="D2805" s="1" t="inlineStr">
        <is>
          <t>122685</t>
        </is>
      </c>
      <c r="E2805" s="1" t="inlineStr">
        <is>
          <t xml:space="preserve">30141766       </t>
        </is>
      </c>
      <c r="F2805" s="5" t="inlineStr">
        <is>
          <t>TMZ BEAST MACHINES AUTOS DE METAL BLISTER X 1</t>
        </is>
      </c>
      <c r="G2805" t="n">
        <v>1</v>
      </c>
      <c r="H2805" s="7" t="n">
        <v>7.9</v>
      </c>
      <c r="I2805" s="7" t="n">
        <v>0.79</v>
      </c>
      <c r="J2805" s="7" t="n">
        <v>0</v>
      </c>
      <c r="K2805" s="9" t="n">
        <v>0.79</v>
      </c>
      <c r="L2805" s="10" t="n">
        <v>4.22</v>
      </c>
      <c r="M2805" s="10" t="n">
        <v>1.43</v>
      </c>
      <c r="N2805" t="inlineStr">
        <is>
          <t>1</t>
        </is>
      </c>
      <c r="O2805" t="inlineStr">
        <is>
          <t>16</t>
        </is>
      </c>
      <c r="P2805" t="inlineStr">
        <is>
          <t xml:space="preserve">238367  </t>
        </is>
      </c>
      <c r="Q2805" s="26" t="n">
        <v>4.69</v>
      </c>
      <c r="R2805" s="26">
        <f>Q2805*G2805</f>
        <v/>
      </c>
      <c r="S2805" s="26">
        <f>IFERROR(VLOOKUP(E2805*1,Tabla[#All],8,0),0)</f>
        <v/>
      </c>
      <c r="T2805" s="26">
        <f>S2805*G2805</f>
        <v/>
      </c>
      <c r="U2805" s="26">
        <f>R2805-T2805</f>
        <v/>
      </c>
      <c r="V2805" s="26">
        <f>U2805-L2805</f>
        <v/>
      </c>
    </row>
    <row r="2806">
      <c r="A2806" s="11" t="n">
        <v>46230</v>
      </c>
      <c r="B2806" s="1" t="n">
        <v>20089</v>
      </c>
      <c r="C2806" s="1" t="inlineStr">
        <is>
          <t>026</t>
        </is>
      </c>
      <c r="D2806" s="1" t="inlineStr">
        <is>
          <t xml:space="preserve">88863 </t>
        </is>
      </c>
      <c r="E2806" s="1" t="inlineStr">
        <is>
          <t xml:space="preserve">28194770       </t>
        </is>
      </c>
      <c r="F2806" s="5" t="inlineStr">
        <is>
          <t>AUTOS DE METAL 3 TEAMSTERZ EN BLISTER</t>
        </is>
      </c>
      <c r="G2806" t="n">
        <v>1</v>
      </c>
      <c r="H2806" s="7" t="n">
        <v>6.9</v>
      </c>
      <c r="I2806" s="7" t="n">
        <v>0</v>
      </c>
      <c r="J2806" s="7" t="n">
        <v>0</v>
      </c>
      <c r="K2806" s="9" t="n">
        <v>0</v>
      </c>
      <c r="L2806" s="10" t="n">
        <v>4.1</v>
      </c>
      <c r="M2806" s="10" t="n">
        <v>1.43</v>
      </c>
      <c r="N2806" t="inlineStr">
        <is>
          <t>1</t>
        </is>
      </c>
      <c r="O2806" t="inlineStr">
        <is>
          <t xml:space="preserve">2 </t>
        </is>
      </c>
      <c r="P2806" t="inlineStr">
        <is>
          <t xml:space="preserve">232968  </t>
        </is>
      </c>
      <c r="Q2806" s="26" t="n">
        <v>4.09</v>
      </c>
      <c r="R2806" s="26">
        <f>Q2806*G2806</f>
        <v/>
      </c>
      <c r="S2806" s="26">
        <f>IFERROR(VLOOKUP(E2806*1,Tabla[#All],8,0),0)</f>
        <v/>
      </c>
      <c r="T2806" s="26">
        <f>S2806*G2806</f>
        <v/>
      </c>
      <c r="U2806" s="26">
        <f>R2806-T2806</f>
        <v/>
      </c>
      <c r="V2806" s="26">
        <f>U2806-L2806</f>
        <v/>
      </c>
    </row>
    <row r="2807">
      <c r="A2807" s="11" t="n">
        <v>46230</v>
      </c>
      <c r="B2807" s="1" t="n">
        <v>20089</v>
      </c>
      <c r="C2807" s="1" t="inlineStr">
        <is>
          <t>026</t>
        </is>
      </c>
      <c r="D2807" s="1" t="inlineStr">
        <is>
          <t xml:space="preserve">88863 </t>
        </is>
      </c>
      <c r="E2807" s="1" t="inlineStr">
        <is>
          <t xml:space="preserve">28194770       </t>
        </is>
      </c>
      <c r="F2807" s="5" t="inlineStr">
        <is>
          <t>AUTOS DE METAL 3 TEAMSTERZ EN BLISTER</t>
        </is>
      </c>
      <c r="G2807" t="n">
        <v>1</v>
      </c>
      <c r="H2807" s="7" t="n">
        <v>6.9</v>
      </c>
      <c r="I2807" s="7" t="n">
        <v>0</v>
      </c>
      <c r="J2807" s="7" t="n">
        <v>0</v>
      </c>
      <c r="K2807" s="9" t="n">
        <v>0</v>
      </c>
      <c r="L2807" s="10" t="n">
        <v>4.1</v>
      </c>
      <c r="M2807" s="10" t="n">
        <v>1.43</v>
      </c>
      <c r="N2807" t="inlineStr">
        <is>
          <t>1</t>
        </is>
      </c>
      <c r="O2807" t="inlineStr">
        <is>
          <t xml:space="preserve">2 </t>
        </is>
      </c>
      <c r="P2807" t="inlineStr">
        <is>
          <t xml:space="preserve">232968  </t>
        </is>
      </c>
      <c r="Q2807" s="26" t="n">
        <v>4.09</v>
      </c>
      <c r="R2807" s="26">
        <f>Q2807*G2807</f>
        <v/>
      </c>
      <c r="S2807" s="26">
        <f>IFERROR(VLOOKUP(E2807*1,Tabla[#All],8,0),0)</f>
        <v/>
      </c>
      <c r="T2807" s="26">
        <f>S2807*G2807</f>
        <v/>
      </c>
      <c r="U2807" s="26">
        <f>R2807-T2807</f>
        <v/>
      </c>
      <c r="V2807" s="26">
        <f>U2807-L2807</f>
        <v/>
      </c>
    </row>
    <row r="2808">
      <c r="A2808" s="11" t="n">
        <v>46230</v>
      </c>
      <c r="B2808" s="1" t="n">
        <v>20089</v>
      </c>
      <c r="C2808" s="1" t="inlineStr">
        <is>
          <t>026</t>
        </is>
      </c>
      <c r="D2808" s="1" t="inlineStr">
        <is>
          <t xml:space="preserve">88863 </t>
        </is>
      </c>
      <c r="E2808" s="1" t="inlineStr">
        <is>
          <t xml:space="preserve">30141766       </t>
        </is>
      </c>
      <c r="F2808" s="5" t="inlineStr">
        <is>
          <t>TMZ BEAST MACHINES AUTOS DE METAL BLISTER X 1</t>
        </is>
      </c>
      <c r="G2808" t="n">
        <v>1</v>
      </c>
      <c r="H2808" s="7" t="n">
        <v>7.9</v>
      </c>
      <c r="I2808" s="7" t="n">
        <v>0</v>
      </c>
      <c r="J2808" s="7" t="n">
        <v>0</v>
      </c>
      <c r="K2808" s="9" t="n">
        <v>0</v>
      </c>
      <c r="L2808" s="10" t="n">
        <v>4.68</v>
      </c>
      <c r="M2808" s="10" t="n">
        <v>1.43</v>
      </c>
      <c r="N2808" t="inlineStr">
        <is>
          <t>1</t>
        </is>
      </c>
      <c r="O2808" t="inlineStr">
        <is>
          <t xml:space="preserve">2 </t>
        </is>
      </c>
      <c r="P2808" t="inlineStr">
        <is>
          <t xml:space="preserve">232968  </t>
        </is>
      </c>
      <c r="Q2808" s="26" t="n">
        <v>4.69</v>
      </c>
      <c r="R2808" s="26">
        <f>Q2808*G2808</f>
        <v/>
      </c>
      <c r="S2808" s="26">
        <f>IFERROR(VLOOKUP(E2808*1,Tabla[#All],8,0),0)</f>
        <v/>
      </c>
      <c r="T2808" s="26">
        <f>S2808*G2808</f>
        <v/>
      </c>
      <c r="U2808" s="26">
        <f>R2808-T2808</f>
        <v/>
      </c>
      <c r="V2808" s="26">
        <f>U2808-L2808</f>
        <v/>
      </c>
    </row>
    <row r="2809">
      <c r="A2809" s="11" t="n">
        <v>46230</v>
      </c>
      <c r="B2809" s="1" t="n">
        <v>20089</v>
      </c>
      <c r="C2809" s="1" t="inlineStr">
        <is>
          <t>026</t>
        </is>
      </c>
      <c r="D2809" s="1" t="inlineStr">
        <is>
          <t xml:space="preserve">88863 </t>
        </is>
      </c>
      <c r="E2809" s="1" t="inlineStr">
        <is>
          <t xml:space="preserve">30141766       </t>
        </is>
      </c>
      <c r="F2809" s="5" t="inlineStr">
        <is>
          <t>TMZ BEAST MACHINES AUTOS DE METAL BLISTER X 1</t>
        </is>
      </c>
      <c r="G2809" t="n">
        <v>1</v>
      </c>
      <c r="H2809" s="7" t="n">
        <v>7.9</v>
      </c>
      <c r="I2809" s="7" t="n">
        <v>0</v>
      </c>
      <c r="J2809" s="7" t="n">
        <v>0</v>
      </c>
      <c r="K2809" s="9" t="n">
        <v>0</v>
      </c>
      <c r="L2809" s="10" t="n">
        <v>4.68</v>
      </c>
      <c r="M2809" s="10" t="n">
        <v>1.43</v>
      </c>
      <c r="N2809" t="inlineStr">
        <is>
          <t>1</t>
        </is>
      </c>
      <c r="O2809" t="inlineStr">
        <is>
          <t xml:space="preserve">2 </t>
        </is>
      </c>
      <c r="P2809" t="inlineStr">
        <is>
          <t xml:space="preserve">232968  </t>
        </is>
      </c>
      <c r="Q2809" s="26" t="n">
        <v>4.69</v>
      </c>
      <c r="R2809" s="26">
        <f>Q2809*G2809</f>
        <v/>
      </c>
      <c r="S2809" s="26">
        <f>IFERROR(VLOOKUP(E2809*1,Tabla[#All],8,0),0)</f>
        <v/>
      </c>
      <c r="T2809" s="26">
        <f>S2809*G2809</f>
        <v/>
      </c>
      <c r="U2809" s="26">
        <f>R2809-T2809</f>
        <v/>
      </c>
      <c r="V2809" s="26">
        <f>U2809-L2809</f>
        <v/>
      </c>
    </row>
    <row r="2810">
      <c r="A2810" s="11" t="n">
        <v>46230</v>
      </c>
      <c r="B2810" s="1" t="n">
        <v>20089</v>
      </c>
      <c r="C2810" s="1" t="inlineStr">
        <is>
          <t>026</t>
        </is>
      </c>
      <c r="D2810" s="1" t="inlineStr">
        <is>
          <t xml:space="preserve">88863 </t>
        </is>
      </c>
      <c r="E2810" s="1" t="inlineStr">
        <is>
          <t xml:space="preserve">30141766       </t>
        </is>
      </c>
      <c r="F2810" s="5" t="inlineStr">
        <is>
          <t>TMZ BEAST MACHINES AUTOS DE METAL BLISTER X 1</t>
        </is>
      </c>
      <c r="G2810" t="n">
        <v>1</v>
      </c>
      <c r="H2810" s="7" t="n">
        <v>7.9</v>
      </c>
      <c r="I2810" s="7" t="n">
        <v>0</v>
      </c>
      <c r="J2810" s="7" t="n">
        <v>0</v>
      </c>
      <c r="K2810" s="9" t="n">
        <v>0</v>
      </c>
      <c r="L2810" s="10" t="n">
        <v>4.68</v>
      </c>
      <c r="M2810" s="10" t="n">
        <v>1.43</v>
      </c>
      <c r="N2810" t="inlineStr">
        <is>
          <t>1</t>
        </is>
      </c>
      <c r="O2810" t="inlineStr">
        <is>
          <t xml:space="preserve">2 </t>
        </is>
      </c>
      <c r="P2810" t="inlineStr">
        <is>
          <t xml:space="preserve">232968  </t>
        </is>
      </c>
      <c r="Q2810" s="26" t="n">
        <v>4.69</v>
      </c>
      <c r="R2810" s="26">
        <f>Q2810*G2810</f>
        <v/>
      </c>
      <c r="S2810" s="26">
        <f>IFERROR(VLOOKUP(E2810*1,Tabla[#All],8,0),0)</f>
        <v/>
      </c>
      <c r="T2810" s="26">
        <f>S2810*G2810</f>
        <v/>
      </c>
      <c r="U2810" s="26">
        <f>R2810-T2810</f>
        <v/>
      </c>
      <c r="V2810" s="26">
        <f>U2810-L2810</f>
        <v/>
      </c>
    </row>
    <row r="2811">
      <c r="A2811" s="11" t="n">
        <v>46230</v>
      </c>
      <c r="B2811" s="1" t="n">
        <v>20089</v>
      </c>
      <c r="C2811" s="1" t="inlineStr">
        <is>
          <t>026</t>
        </is>
      </c>
      <c r="D2811" s="1" t="inlineStr">
        <is>
          <t xml:space="preserve">88863 </t>
        </is>
      </c>
      <c r="E2811" s="1" t="inlineStr">
        <is>
          <t xml:space="preserve">30141766       </t>
        </is>
      </c>
      <c r="F2811" s="5" t="inlineStr">
        <is>
          <t>TMZ BEAST MACHINES AUTOS DE METAL BLISTER X 1</t>
        </is>
      </c>
      <c r="G2811" t="n">
        <v>1</v>
      </c>
      <c r="H2811" s="7" t="n">
        <v>7.9</v>
      </c>
      <c r="I2811" s="7" t="n">
        <v>0</v>
      </c>
      <c r="J2811" s="7" t="n">
        <v>0</v>
      </c>
      <c r="K2811" s="9" t="n">
        <v>0</v>
      </c>
      <c r="L2811" s="10" t="n">
        <v>4.68</v>
      </c>
      <c r="M2811" s="10" t="n">
        <v>1.43</v>
      </c>
      <c r="N2811" t="inlineStr">
        <is>
          <t>1</t>
        </is>
      </c>
      <c r="O2811" t="inlineStr">
        <is>
          <t xml:space="preserve">2 </t>
        </is>
      </c>
      <c r="P2811" t="inlineStr">
        <is>
          <t xml:space="preserve">232968  </t>
        </is>
      </c>
      <c r="Q2811" s="26" t="n">
        <v>4.69</v>
      </c>
      <c r="R2811" s="26">
        <f>Q2811*G2811</f>
        <v/>
      </c>
      <c r="S2811" s="26">
        <f>IFERROR(VLOOKUP(E2811*1,Tabla[#All],8,0),0)</f>
        <v/>
      </c>
      <c r="T2811" s="26">
        <f>S2811*G2811</f>
        <v/>
      </c>
      <c r="U2811" s="26">
        <f>R2811-T2811</f>
        <v/>
      </c>
      <c r="V2811" s="26">
        <f>U2811-L2811</f>
        <v/>
      </c>
    </row>
    <row r="2812">
      <c r="A2812" s="11" t="n">
        <v>46230</v>
      </c>
      <c r="B2812" s="1" t="n">
        <v>20089</v>
      </c>
      <c r="C2812" s="1" t="inlineStr">
        <is>
          <t>029</t>
        </is>
      </c>
      <c r="D2812" s="1" t="inlineStr">
        <is>
          <t xml:space="preserve">3065  </t>
        </is>
      </c>
      <c r="E2812" s="1" t="inlineStr">
        <is>
          <t xml:space="preserve">30141766       </t>
        </is>
      </c>
      <c r="F2812" s="5" t="inlineStr">
        <is>
          <t>TMZ BEAST MACHINES AUTOS DE METAL BLISTER X 1</t>
        </is>
      </c>
      <c r="G2812" t="n">
        <v>1</v>
      </c>
      <c r="H2812" s="7" t="n">
        <v>7.9</v>
      </c>
      <c r="I2812" s="7" t="n">
        <v>0</v>
      </c>
      <c r="J2812" s="7" t="n">
        <v>0</v>
      </c>
      <c r="K2812" s="9" t="n">
        <v>0</v>
      </c>
      <c r="L2812" s="10" t="n">
        <v>4.68</v>
      </c>
      <c r="M2812" s="10" t="n">
        <v>1.43</v>
      </c>
      <c r="N2812" t="inlineStr">
        <is>
          <t>1</t>
        </is>
      </c>
      <c r="O2812" t="inlineStr">
        <is>
          <t xml:space="preserve">2 </t>
        </is>
      </c>
      <c r="P2812" t="inlineStr">
        <is>
          <t xml:space="preserve">250455  </t>
        </is>
      </c>
      <c r="Q2812" s="26" t="n">
        <v>4.69</v>
      </c>
      <c r="R2812" s="26">
        <f>Q2812*G2812</f>
        <v/>
      </c>
      <c r="S2812" s="26">
        <f>IFERROR(VLOOKUP(E2812*1,Tabla[#All],8,0),0)</f>
        <v/>
      </c>
      <c r="T2812" s="26">
        <f>S2812*G2812</f>
        <v/>
      </c>
      <c r="U2812" s="26">
        <f>R2812-T2812</f>
        <v/>
      </c>
      <c r="V2812" s="26">
        <f>U2812-L2812</f>
        <v/>
      </c>
    </row>
    <row r="2813">
      <c r="A2813" s="11" t="n">
        <v>46230</v>
      </c>
      <c r="B2813" s="1" t="n">
        <v>20089</v>
      </c>
      <c r="C2813" s="1" t="inlineStr">
        <is>
          <t>860</t>
        </is>
      </c>
      <c r="D2813" s="1" t="inlineStr">
        <is>
          <t xml:space="preserve">9970  </t>
        </is>
      </c>
      <c r="E2813" s="1" t="inlineStr">
        <is>
          <t xml:space="preserve">28194770       </t>
        </is>
      </c>
      <c r="F2813" s="5" t="inlineStr">
        <is>
          <t>AUTOS DE METAL 3 TEAMSTERZ EN BLISTER</t>
        </is>
      </c>
      <c r="G2813" t="n">
        <v>2</v>
      </c>
      <c r="H2813" s="7" t="n">
        <v>13.8</v>
      </c>
      <c r="I2813" s="7" t="n">
        <v>0</v>
      </c>
      <c r="J2813" s="7" t="n">
        <v>0</v>
      </c>
      <c r="K2813" s="9" t="n">
        <v>0</v>
      </c>
      <c r="L2813" s="10" t="n">
        <v>8.18</v>
      </c>
      <c r="M2813" s="10" t="n">
        <v>1.43</v>
      </c>
      <c r="N2813" t="inlineStr">
        <is>
          <t>1</t>
        </is>
      </c>
      <c r="O2813" t="inlineStr">
        <is>
          <t>16</t>
        </is>
      </c>
      <c r="P2813" t="inlineStr">
        <is>
          <t xml:space="preserve">0       </t>
        </is>
      </c>
      <c r="Q2813" s="26" t="n">
        <v>4.09</v>
      </c>
      <c r="R2813" s="26">
        <f>Q2813*G2813</f>
        <v/>
      </c>
      <c r="S2813" s="26">
        <f>IFERROR(VLOOKUP(E2813*1,Tabla[#All],8,0),0)</f>
        <v/>
      </c>
      <c r="T2813" s="26">
        <f>S2813*G2813</f>
        <v/>
      </c>
      <c r="U2813" s="26">
        <f>R2813-T2813</f>
        <v/>
      </c>
      <c r="V2813" s="26">
        <f>U2813-L2813</f>
        <v/>
      </c>
    </row>
    <row r="2814">
      <c r="A2814" s="11" t="n">
        <v>46230</v>
      </c>
      <c r="B2814" s="1" t="n">
        <v>20089</v>
      </c>
      <c r="C2814" s="1" t="inlineStr">
        <is>
          <t>862</t>
        </is>
      </c>
      <c r="D2814" s="1" t="inlineStr">
        <is>
          <t xml:space="preserve">8938  </t>
        </is>
      </c>
      <c r="E2814" s="1" t="inlineStr">
        <is>
          <t xml:space="preserve">30141766       </t>
        </is>
      </c>
      <c r="F2814" s="5" t="inlineStr">
        <is>
          <t>TMZ BEAST MACHINES AUTOS DE METAL BLISTER X 1</t>
        </is>
      </c>
      <c r="G2814" t="n">
        <v>1</v>
      </c>
      <c r="H2814" s="7" t="n">
        <v>7.9</v>
      </c>
      <c r="I2814" s="7" t="n">
        <v>0.79</v>
      </c>
      <c r="J2814" s="7" t="n">
        <v>0</v>
      </c>
      <c r="K2814" s="9" t="n">
        <v>0.79</v>
      </c>
      <c r="L2814" s="10" t="n">
        <v>4.22</v>
      </c>
      <c r="M2814" s="10" t="n">
        <v>1.43</v>
      </c>
      <c r="N2814" t="inlineStr">
        <is>
          <t>1</t>
        </is>
      </c>
      <c r="O2814" t="inlineStr">
        <is>
          <t>16</t>
        </is>
      </c>
      <c r="P2814" t="inlineStr">
        <is>
          <t xml:space="preserve">0       </t>
        </is>
      </c>
      <c r="Q2814" s="26" t="n">
        <v>4.69</v>
      </c>
      <c r="R2814" s="26">
        <f>Q2814*G2814</f>
        <v/>
      </c>
      <c r="S2814" s="26">
        <f>IFERROR(VLOOKUP(E2814*1,Tabla[#All],8,0),0)</f>
        <v/>
      </c>
      <c r="T2814" s="26">
        <f>S2814*G2814</f>
        <v/>
      </c>
      <c r="U2814" s="26">
        <f>R2814-T2814</f>
        <v/>
      </c>
      <c r="V2814" s="26">
        <f>U2814-L2814</f>
        <v/>
      </c>
    </row>
    <row r="2815">
      <c r="A2815" s="11" t="n">
        <v>46230</v>
      </c>
      <c r="B2815" s="1" t="n">
        <v>20095</v>
      </c>
      <c r="C2815" s="1" t="inlineStr">
        <is>
          <t>043</t>
        </is>
      </c>
      <c r="D2815" s="1" t="inlineStr">
        <is>
          <t>108920</t>
        </is>
      </c>
      <c r="E2815" s="1" t="inlineStr">
        <is>
          <t xml:space="preserve">29235702       </t>
        </is>
      </c>
      <c r="F2815" s="5" t="inlineStr">
        <is>
          <t>INFINITY NADO TROMPO DE BATALLA - METAL C/ ANILLO</t>
        </is>
      </c>
      <c r="G2815" t="n">
        <v>1</v>
      </c>
      <c r="H2815" s="7" t="n">
        <v>49.9</v>
      </c>
      <c r="I2815" s="7" t="n">
        <v>0</v>
      </c>
      <c r="J2815" s="7" t="n">
        <v>0</v>
      </c>
      <c r="K2815" s="9" t="n">
        <v>0</v>
      </c>
      <c r="L2815" s="10" t="n">
        <v>29.6</v>
      </c>
      <c r="M2815" s="10" t="n">
        <v>1.43</v>
      </c>
      <c r="N2815" t="inlineStr">
        <is>
          <t>1</t>
        </is>
      </c>
      <c r="O2815" t="inlineStr">
        <is>
          <t>16</t>
        </is>
      </c>
      <c r="P2815" t="inlineStr">
        <is>
          <t xml:space="preserve">38948   </t>
        </is>
      </c>
      <c r="Q2815" s="26" t="n">
        <v>41.47</v>
      </c>
      <c r="R2815" s="26">
        <f>Q2815*G2815</f>
        <v/>
      </c>
      <c r="S2815" s="26">
        <f>IFERROR(VLOOKUP(E2815*1,Tabla[#All],8,0),0)</f>
        <v/>
      </c>
      <c r="T2815" s="26">
        <f>S2815*G2815</f>
        <v/>
      </c>
      <c r="U2815" s="26">
        <f>R2815-T2815</f>
        <v/>
      </c>
      <c r="V2815" s="26">
        <f>U2815-L2815</f>
        <v/>
      </c>
    </row>
    <row r="2816">
      <c r="A2816" s="11" t="n">
        <v>46230</v>
      </c>
      <c r="B2816" s="1" t="n">
        <v>20095</v>
      </c>
      <c r="C2816" s="1" t="inlineStr">
        <is>
          <t>043</t>
        </is>
      </c>
      <c r="D2816" s="1" t="inlineStr">
        <is>
          <t>108957</t>
        </is>
      </c>
      <c r="E2816" s="1" t="inlineStr">
        <is>
          <t xml:space="preserve">28194770       </t>
        </is>
      </c>
      <c r="F2816" s="5" t="inlineStr">
        <is>
          <t>AUTOS DE METAL 3 TEAMSTERZ EN BLISTER</t>
        </is>
      </c>
      <c r="G2816" t="n">
        <v>1</v>
      </c>
      <c r="H2816" s="7" t="n">
        <v>6.9</v>
      </c>
      <c r="I2816" s="7" t="n">
        <v>0</v>
      </c>
      <c r="J2816" s="7" t="n">
        <v>0</v>
      </c>
      <c r="K2816" s="9" t="n">
        <v>0</v>
      </c>
      <c r="L2816" s="10" t="n">
        <v>4.1</v>
      </c>
      <c r="M2816" s="10" t="n">
        <v>1.43</v>
      </c>
      <c r="N2816" t="inlineStr">
        <is>
          <t>1</t>
        </is>
      </c>
      <c r="O2816" t="inlineStr">
        <is>
          <t xml:space="preserve">2 </t>
        </is>
      </c>
      <c r="P2816" t="inlineStr">
        <is>
          <t xml:space="preserve">38948   </t>
        </is>
      </c>
      <c r="Q2816" s="26" t="n">
        <v>4.09</v>
      </c>
      <c r="R2816" s="26">
        <f>Q2816*G2816</f>
        <v/>
      </c>
      <c r="S2816" s="26">
        <f>IFERROR(VLOOKUP(E2816*1,Tabla[#All],8,0),0)</f>
        <v/>
      </c>
      <c r="T2816" s="26">
        <f>S2816*G2816</f>
        <v/>
      </c>
      <c r="U2816" s="26">
        <f>R2816-T2816</f>
        <v/>
      </c>
      <c r="V2816" s="26">
        <f>U2816-L2816</f>
        <v/>
      </c>
    </row>
    <row r="2817">
      <c r="A2817" s="11" t="n">
        <v>46230</v>
      </c>
      <c r="B2817" s="1" t="n">
        <v>20095</v>
      </c>
      <c r="C2817" s="1" t="inlineStr">
        <is>
          <t>043</t>
        </is>
      </c>
      <c r="D2817" s="1" t="inlineStr">
        <is>
          <t>108963</t>
        </is>
      </c>
      <c r="E2817" s="1" t="inlineStr">
        <is>
          <t xml:space="preserve">31675354       </t>
        </is>
      </c>
      <c r="F2817" s="5" t="inlineStr">
        <is>
          <t>NENUCO LLORON CON ACCESORIOS</t>
        </is>
      </c>
      <c r="G2817" t="n">
        <v>1</v>
      </c>
      <c r="H2817" s="7" t="n">
        <v>69.90000000000001</v>
      </c>
      <c r="I2817" s="7" t="n">
        <v>0</v>
      </c>
      <c r="J2817" s="7" t="n">
        <v>0</v>
      </c>
      <c r="K2817" s="9" t="n">
        <v>0</v>
      </c>
      <c r="L2817" s="10" t="n">
        <v>41.47</v>
      </c>
      <c r="M2817" s="10" t="n">
        <v>1.43</v>
      </c>
      <c r="N2817" t="inlineStr">
        <is>
          <t>1</t>
        </is>
      </c>
      <c r="O2817" t="inlineStr">
        <is>
          <t>16</t>
        </is>
      </c>
      <c r="P2817" t="inlineStr">
        <is>
          <t xml:space="preserve">38948   </t>
        </is>
      </c>
      <c r="Q2817" s="26" t="n">
        <v>53.33</v>
      </c>
      <c r="R2817" s="26">
        <f>Q2817*G2817</f>
        <v/>
      </c>
      <c r="S2817" s="26">
        <f>IFERROR(VLOOKUP(E2817*1,Tabla[#All],8,0),0)</f>
        <v/>
      </c>
      <c r="T2817" s="26">
        <f>S2817*G2817</f>
        <v/>
      </c>
      <c r="U2817" s="26">
        <f>R2817-T2817</f>
        <v/>
      </c>
      <c r="V2817" s="26">
        <f>U2817-L2817</f>
        <v/>
      </c>
    </row>
    <row r="2818">
      <c r="A2818" s="11" t="n">
        <v>46230</v>
      </c>
      <c r="B2818" s="1" t="n">
        <v>20095</v>
      </c>
      <c r="C2818" s="1" t="inlineStr">
        <is>
          <t>044</t>
        </is>
      </c>
      <c r="D2818" s="1" t="inlineStr">
        <is>
          <t xml:space="preserve">94838 </t>
        </is>
      </c>
      <c r="E2818" s="1" t="inlineStr">
        <is>
          <t xml:space="preserve">30141769       </t>
        </is>
      </c>
      <c r="F2818" s="5" t="inlineStr">
        <is>
          <t>TMZ BEAST MACHINES TRANSPORTE DINOSAURIO + 3 AUTOS</t>
        </is>
      </c>
      <c r="G2818" t="n">
        <v>1</v>
      </c>
      <c r="H2818" s="7" t="n">
        <v>59.9</v>
      </c>
      <c r="I2818" s="7" t="n">
        <v>0</v>
      </c>
      <c r="J2818" s="7" t="n">
        <v>0</v>
      </c>
      <c r="K2818" s="9" t="n">
        <v>0</v>
      </c>
      <c r="L2818" s="10" t="n">
        <v>35.53</v>
      </c>
      <c r="M2818" s="10" t="n">
        <v>1.43</v>
      </c>
      <c r="N2818" t="inlineStr">
        <is>
          <t>1</t>
        </is>
      </c>
      <c r="O2818" t="inlineStr">
        <is>
          <t>16</t>
        </is>
      </c>
      <c r="P2818" t="inlineStr">
        <is>
          <t xml:space="preserve">248294  </t>
        </is>
      </c>
      <c r="Q2818" s="26" t="n">
        <v>47.4</v>
      </c>
      <c r="R2818" s="26">
        <f>Q2818*G2818</f>
        <v/>
      </c>
      <c r="S2818" s="26">
        <f>IFERROR(VLOOKUP(E2818*1,Tabla[#All],8,0),0)</f>
        <v/>
      </c>
      <c r="T2818" s="26">
        <f>S2818*G2818</f>
        <v/>
      </c>
      <c r="U2818" s="26">
        <f>R2818-T2818</f>
        <v/>
      </c>
      <c r="V2818" s="26">
        <f>U2818-L2818</f>
        <v/>
      </c>
    </row>
    <row r="2819">
      <c r="A2819" s="11" t="n">
        <v>46231</v>
      </c>
      <c r="B2819" s="1" t="n">
        <v>20021</v>
      </c>
      <c r="C2819" s="1" t="inlineStr">
        <is>
          <t>064</t>
        </is>
      </c>
      <c r="D2819" s="1" t="inlineStr">
        <is>
          <t>147281</t>
        </is>
      </c>
      <c r="E2819" s="1" t="inlineStr">
        <is>
          <t xml:space="preserve">28194770       </t>
        </is>
      </c>
      <c r="F2819" s="5" t="inlineStr">
        <is>
          <t>AUTOS DE METAL 3 TEAMSTERZ EN BLISTER</t>
        </is>
      </c>
      <c r="G2819" t="n">
        <v>1</v>
      </c>
      <c r="H2819" s="7" t="n">
        <v>6.9</v>
      </c>
      <c r="I2819" s="7" t="n">
        <v>0</v>
      </c>
      <c r="J2819" s="7" t="n">
        <v>0</v>
      </c>
      <c r="K2819" s="9" t="n">
        <v>0</v>
      </c>
      <c r="L2819" s="10" t="n">
        <v>4.1</v>
      </c>
      <c r="M2819" s="10" t="n">
        <v>1.43</v>
      </c>
      <c r="N2819" t="inlineStr">
        <is>
          <t>1</t>
        </is>
      </c>
      <c r="O2819" t="inlineStr">
        <is>
          <t xml:space="preserve">2 </t>
        </is>
      </c>
      <c r="P2819" t="inlineStr">
        <is>
          <t xml:space="preserve">32209   </t>
        </is>
      </c>
      <c r="Q2819" s="26" t="n">
        <v>4.09</v>
      </c>
      <c r="R2819" s="26">
        <f>Q2819*G2819</f>
        <v/>
      </c>
      <c r="S2819" s="26">
        <f>IFERROR(VLOOKUP(E2819*1,Tabla[#All],8,0),0)</f>
        <v/>
      </c>
      <c r="T2819" s="26">
        <f>S2819*G2819</f>
        <v/>
      </c>
      <c r="U2819" s="26">
        <f>R2819-T2819</f>
        <v/>
      </c>
      <c r="V2819" s="26">
        <f>U2819-L2819</f>
        <v/>
      </c>
    </row>
    <row r="2820">
      <c r="A2820" s="11" t="n">
        <v>46231</v>
      </c>
      <c r="B2820" s="1" t="n">
        <v>20021</v>
      </c>
      <c r="C2820" s="1" t="inlineStr">
        <is>
          <t>065</t>
        </is>
      </c>
      <c r="D2820" s="1" t="inlineStr">
        <is>
          <t>174667</t>
        </is>
      </c>
      <c r="E2820" s="1" t="inlineStr">
        <is>
          <t xml:space="preserve">28194770       </t>
        </is>
      </c>
      <c r="F2820" s="5" t="inlineStr">
        <is>
          <t>AUTOS DE METAL 3 TEAMSTERZ EN BLISTER</t>
        </is>
      </c>
      <c r="G2820" t="n">
        <v>1</v>
      </c>
      <c r="H2820" s="7" t="n">
        <v>6.9</v>
      </c>
      <c r="I2820" s="7" t="n">
        <v>0</v>
      </c>
      <c r="J2820" s="7" t="n">
        <v>0</v>
      </c>
      <c r="K2820" s="9" t="n">
        <v>0</v>
      </c>
      <c r="L2820" s="10" t="n">
        <v>4.1</v>
      </c>
      <c r="M2820" s="10" t="n">
        <v>1.43</v>
      </c>
      <c r="N2820" t="inlineStr">
        <is>
          <t>1</t>
        </is>
      </c>
      <c r="O2820" t="inlineStr">
        <is>
          <t xml:space="preserve">2 </t>
        </is>
      </c>
      <c r="P2820" t="inlineStr">
        <is>
          <t xml:space="preserve">81066   </t>
        </is>
      </c>
      <c r="Q2820" s="26" t="n">
        <v>4.09</v>
      </c>
      <c r="R2820" s="26">
        <f>Q2820*G2820</f>
        <v/>
      </c>
      <c r="S2820" s="26">
        <f>IFERROR(VLOOKUP(E2820*1,Tabla[#All],8,0),0)</f>
        <v/>
      </c>
      <c r="T2820" s="26">
        <f>S2820*G2820</f>
        <v/>
      </c>
      <c r="U2820" s="26">
        <f>R2820-T2820</f>
        <v/>
      </c>
      <c r="V2820" s="26">
        <f>U2820-L2820</f>
        <v/>
      </c>
    </row>
    <row r="2821">
      <c r="A2821" s="11" t="n">
        <v>46231</v>
      </c>
      <c r="B2821" s="1" t="n">
        <v>20021</v>
      </c>
      <c r="C2821" s="1" t="inlineStr">
        <is>
          <t>065</t>
        </is>
      </c>
      <c r="D2821" s="1" t="inlineStr">
        <is>
          <t>174667</t>
        </is>
      </c>
      <c r="E2821" s="1" t="inlineStr">
        <is>
          <t xml:space="preserve">28194770       </t>
        </is>
      </c>
      <c r="F2821" s="5" t="inlineStr">
        <is>
          <t>AUTOS DE METAL 3 TEAMSTERZ EN BLISTER</t>
        </is>
      </c>
      <c r="G2821" t="n">
        <v>1</v>
      </c>
      <c r="H2821" s="7" t="n">
        <v>6.9</v>
      </c>
      <c r="I2821" s="7" t="n">
        <v>0</v>
      </c>
      <c r="J2821" s="7" t="n">
        <v>0</v>
      </c>
      <c r="K2821" s="9" t="n">
        <v>0</v>
      </c>
      <c r="L2821" s="10" t="n">
        <v>4.1</v>
      </c>
      <c r="M2821" s="10" t="n">
        <v>1.43</v>
      </c>
      <c r="N2821" t="inlineStr">
        <is>
          <t>1</t>
        </is>
      </c>
      <c r="O2821" t="inlineStr">
        <is>
          <t xml:space="preserve">2 </t>
        </is>
      </c>
      <c r="P2821" t="inlineStr">
        <is>
          <t xml:space="preserve">81066   </t>
        </is>
      </c>
      <c r="Q2821" s="26" t="n">
        <v>4.09</v>
      </c>
      <c r="R2821" s="26">
        <f>Q2821*G2821</f>
        <v/>
      </c>
      <c r="S2821" s="26">
        <f>IFERROR(VLOOKUP(E2821*1,Tabla[#All],8,0),0)</f>
        <v/>
      </c>
      <c r="T2821" s="26">
        <f>S2821*G2821</f>
        <v/>
      </c>
      <c r="U2821" s="26">
        <f>R2821-T2821</f>
        <v/>
      </c>
      <c r="V2821" s="26">
        <f>U2821-L2821</f>
        <v/>
      </c>
    </row>
    <row r="2822">
      <c r="A2822" s="11" t="n">
        <v>46231</v>
      </c>
      <c r="B2822" s="1" t="n">
        <v>20021</v>
      </c>
      <c r="C2822" s="1" t="inlineStr">
        <is>
          <t>065</t>
        </is>
      </c>
      <c r="D2822" s="1" t="inlineStr">
        <is>
          <t>174667</t>
        </is>
      </c>
      <c r="E2822" s="1" t="inlineStr">
        <is>
          <t xml:space="preserve">28194770       </t>
        </is>
      </c>
      <c r="F2822" s="5" t="inlineStr">
        <is>
          <t>AUTOS DE METAL 3 TEAMSTERZ EN BLISTER</t>
        </is>
      </c>
      <c r="G2822" t="n">
        <v>1</v>
      </c>
      <c r="H2822" s="7" t="n">
        <v>6.9</v>
      </c>
      <c r="I2822" s="7" t="n">
        <v>0</v>
      </c>
      <c r="J2822" s="7" t="n">
        <v>0</v>
      </c>
      <c r="K2822" s="9" t="n">
        <v>0</v>
      </c>
      <c r="L2822" s="10" t="n">
        <v>4.1</v>
      </c>
      <c r="M2822" s="10" t="n">
        <v>1.43</v>
      </c>
      <c r="N2822" t="inlineStr">
        <is>
          <t>1</t>
        </is>
      </c>
      <c r="O2822" t="inlineStr">
        <is>
          <t xml:space="preserve">2 </t>
        </is>
      </c>
      <c r="P2822" t="inlineStr">
        <is>
          <t xml:space="preserve">81066   </t>
        </is>
      </c>
      <c r="Q2822" s="26" t="n">
        <v>4.09</v>
      </c>
      <c r="R2822" s="26">
        <f>Q2822*G2822</f>
        <v/>
      </c>
      <c r="S2822" s="26">
        <f>IFERROR(VLOOKUP(E2822*1,Tabla[#All],8,0),0)</f>
        <v/>
      </c>
      <c r="T2822" s="26">
        <f>S2822*G2822</f>
        <v/>
      </c>
      <c r="U2822" s="26">
        <f>R2822-T2822</f>
        <v/>
      </c>
      <c r="V2822" s="26">
        <f>U2822-L2822</f>
        <v/>
      </c>
    </row>
    <row r="2823">
      <c r="A2823" s="11" t="n">
        <v>46231</v>
      </c>
      <c r="B2823" s="1" t="n">
        <v>20021</v>
      </c>
      <c r="C2823" s="1" t="inlineStr">
        <is>
          <t>065</t>
        </is>
      </c>
      <c r="D2823" s="1" t="inlineStr">
        <is>
          <t>174668</t>
        </is>
      </c>
      <c r="E2823" s="1" t="inlineStr">
        <is>
          <t xml:space="preserve">32457111       </t>
        </is>
      </c>
      <c r="F2823" s="5" t="inlineStr">
        <is>
          <t>TMZ BEAST MACHINES MONSTER JAWS A FRICCION PACK DE</t>
        </is>
      </c>
      <c r="G2823" t="n">
        <v>1</v>
      </c>
      <c r="H2823" s="7" t="n">
        <v>54.9</v>
      </c>
      <c r="I2823" s="7" t="n">
        <v>0</v>
      </c>
      <c r="J2823" s="7" t="n">
        <v>0</v>
      </c>
      <c r="K2823" s="9" t="n">
        <v>0</v>
      </c>
      <c r="L2823" s="10" t="n">
        <v>32.57</v>
      </c>
      <c r="M2823" s="10" t="n">
        <v>1.43</v>
      </c>
      <c r="N2823" t="inlineStr">
        <is>
          <t>1</t>
        </is>
      </c>
      <c r="O2823" t="inlineStr">
        <is>
          <t>16</t>
        </is>
      </c>
      <c r="P2823" t="inlineStr">
        <is>
          <t xml:space="preserve">81066   </t>
        </is>
      </c>
      <c r="Q2823" s="26" t="n">
        <v>44.43</v>
      </c>
      <c r="R2823" s="26">
        <f>Q2823*G2823</f>
        <v/>
      </c>
      <c r="S2823" s="26">
        <f>IFERROR(VLOOKUP(E2823*1,Tabla[#All],8,0),0)</f>
        <v/>
      </c>
      <c r="T2823" s="26">
        <f>S2823*G2823</f>
        <v/>
      </c>
      <c r="U2823" s="26">
        <f>R2823-T2823</f>
        <v/>
      </c>
      <c r="V2823" s="26">
        <f>U2823-L2823</f>
        <v/>
      </c>
    </row>
    <row r="2824">
      <c r="A2824" s="11" t="n">
        <v>46231</v>
      </c>
      <c r="B2824" s="1" t="n">
        <v>20021</v>
      </c>
      <c r="C2824" s="1" t="inlineStr">
        <is>
          <t>078</t>
        </is>
      </c>
      <c r="D2824" s="1" t="inlineStr">
        <is>
          <t>102040</t>
        </is>
      </c>
      <c r="E2824" s="1" t="inlineStr">
        <is>
          <t xml:space="preserve">28194770       </t>
        </is>
      </c>
      <c r="F2824" s="5" t="inlineStr">
        <is>
          <t>AUTOS DE METAL 3 TEAMSTERZ EN BLISTER</t>
        </is>
      </c>
      <c r="G2824" t="n">
        <v>1</v>
      </c>
      <c r="H2824" s="7" t="n">
        <v>6.9</v>
      </c>
      <c r="I2824" s="7" t="n">
        <v>0</v>
      </c>
      <c r="J2824" s="7" t="n">
        <v>0</v>
      </c>
      <c r="K2824" s="9" t="n">
        <v>0</v>
      </c>
      <c r="L2824" s="10" t="n">
        <v>4.1</v>
      </c>
      <c r="M2824" s="10" t="n">
        <v>1.43</v>
      </c>
      <c r="N2824" t="inlineStr">
        <is>
          <t>1</t>
        </is>
      </c>
      <c r="O2824" t="inlineStr">
        <is>
          <t xml:space="preserve">2 </t>
        </is>
      </c>
      <c r="P2824" t="inlineStr">
        <is>
          <t xml:space="preserve">109073  </t>
        </is>
      </c>
      <c r="Q2824" s="26" t="n">
        <v>4.09</v>
      </c>
      <c r="R2824" s="26">
        <f>Q2824*G2824</f>
        <v/>
      </c>
      <c r="S2824" s="26">
        <f>IFERROR(VLOOKUP(E2824*1,Tabla[#All],8,0),0)</f>
        <v/>
      </c>
      <c r="T2824" s="26">
        <f>S2824*G2824</f>
        <v/>
      </c>
      <c r="U2824" s="26">
        <f>R2824-T2824</f>
        <v/>
      </c>
      <c r="V2824" s="26">
        <f>U2824-L2824</f>
        <v/>
      </c>
    </row>
    <row r="2825">
      <c r="A2825" s="11" t="n">
        <v>46231</v>
      </c>
      <c r="B2825" s="1" t="n">
        <v>20021</v>
      </c>
      <c r="C2825" s="1" t="inlineStr">
        <is>
          <t>082</t>
        </is>
      </c>
      <c r="D2825" s="1" t="inlineStr">
        <is>
          <t>270746</t>
        </is>
      </c>
      <c r="E2825" s="1" t="inlineStr">
        <is>
          <t xml:space="preserve">30141766       </t>
        </is>
      </c>
      <c r="F2825" s="5" t="inlineStr">
        <is>
          <t>TMZ BEAST MACHINES AUTOS DE METAL BLISTER X 1</t>
        </is>
      </c>
      <c r="G2825" t="n">
        <v>1</v>
      </c>
      <c r="H2825" s="7" t="n">
        <v>7.9</v>
      </c>
      <c r="I2825" s="7" t="n">
        <v>0</v>
      </c>
      <c r="J2825" s="7" t="n">
        <v>0</v>
      </c>
      <c r="K2825" s="9" t="n">
        <v>0</v>
      </c>
      <c r="L2825" s="10" t="n">
        <v>4.68</v>
      </c>
      <c r="M2825" s="10" t="n">
        <v>1.43</v>
      </c>
      <c r="N2825" t="inlineStr">
        <is>
          <t>1</t>
        </is>
      </c>
      <c r="O2825" t="inlineStr">
        <is>
          <t>16</t>
        </is>
      </c>
      <c r="P2825" t="inlineStr">
        <is>
          <t xml:space="preserve">243383  </t>
        </is>
      </c>
      <c r="Q2825" s="26" t="n">
        <v>4.69</v>
      </c>
      <c r="R2825" s="26">
        <f>Q2825*G2825</f>
        <v/>
      </c>
      <c r="S2825" s="26">
        <f>IFERROR(VLOOKUP(E2825*1,Tabla[#All],8,0),0)</f>
        <v/>
      </c>
      <c r="T2825" s="26">
        <f>S2825*G2825</f>
        <v/>
      </c>
      <c r="U2825" s="26">
        <f>R2825-T2825</f>
        <v/>
      </c>
      <c r="V2825" s="26">
        <f>U2825-L2825</f>
        <v/>
      </c>
    </row>
    <row r="2826">
      <c r="A2826" s="11" t="n">
        <v>46231</v>
      </c>
      <c r="B2826" s="1" t="n">
        <v>20021</v>
      </c>
      <c r="C2826" s="1" t="inlineStr">
        <is>
          <t>082</t>
        </is>
      </c>
      <c r="D2826" s="1" t="inlineStr">
        <is>
          <t>270746</t>
        </is>
      </c>
      <c r="E2826" s="1" t="inlineStr">
        <is>
          <t xml:space="preserve">33483121       </t>
        </is>
      </c>
      <c r="F2826" s="5" t="inlineStr">
        <is>
          <t>HOT WHEELS ESTUCHE PARA 15 AUTOS SURTIDO</t>
        </is>
      </c>
      <c r="G2826" t="n">
        <v>1</v>
      </c>
      <c r="H2826" s="7" t="n">
        <v>34.9</v>
      </c>
      <c r="I2826" s="7" t="n">
        <v>0</v>
      </c>
      <c r="J2826" s="7" t="n">
        <v>0</v>
      </c>
      <c r="K2826" s="9" t="n">
        <v>0</v>
      </c>
      <c r="L2826" s="10" t="n">
        <v>20.71</v>
      </c>
      <c r="M2826" s="10" t="n">
        <v>1.43</v>
      </c>
      <c r="N2826" t="inlineStr">
        <is>
          <t>1</t>
        </is>
      </c>
      <c r="O2826" t="inlineStr">
        <is>
          <t>16</t>
        </is>
      </c>
      <c r="P2826" t="inlineStr">
        <is>
          <t xml:space="preserve">243383  </t>
        </is>
      </c>
      <c r="Q2826" s="26" t="n">
        <v>20.7</v>
      </c>
      <c r="R2826" s="26">
        <f>Q2826*G2826</f>
        <v/>
      </c>
      <c r="S2826" s="26">
        <f>IFERROR(VLOOKUP(E2826*1,Tabla[#All],8,0),0)</f>
        <v/>
      </c>
      <c r="T2826" s="26">
        <f>S2826*G2826</f>
        <v/>
      </c>
      <c r="U2826" s="26">
        <f>R2826-T2826</f>
        <v/>
      </c>
      <c r="V2826" s="26">
        <f>U2826-L2826</f>
        <v/>
      </c>
    </row>
    <row r="2827">
      <c r="A2827" s="11" t="n">
        <v>46231</v>
      </c>
      <c r="B2827" s="1" t="n">
        <v>20021</v>
      </c>
      <c r="C2827" s="1" t="inlineStr">
        <is>
          <t>516</t>
        </is>
      </c>
      <c r="D2827" s="1" t="inlineStr">
        <is>
          <t xml:space="preserve">5494  </t>
        </is>
      </c>
      <c r="E2827" s="1" t="inlineStr">
        <is>
          <t xml:space="preserve">28194765       </t>
        </is>
      </c>
      <c r="F2827" s="5" t="inlineStr">
        <is>
          <t>PLAYSET COLOR CHANGE TIBURN TEAMSTERZ  1 AUTITO</t>
        </is>
      </c>
      <c r="G2827" t="n">
        <v>1</v>
      </c>
      <c r="H2827" s="7" t="n">
        <v>79.90000000000001</v>
      </c>
      <c r="I2827" s="7" t="n">
        <v>0</v>
      </c>
      <c r="J2827" s="7" t="n">
        <v>0</v>
      </c>
      <c r="K2827" s="9" t="n">
        <v>0</v>
      </c>
      <c r="L2827" s="10" t="n">
        <v>47.4</v>
      </c>
      <c r="M2827" s="10" t="n">
        <v>1.43</v>
      </c>
      <c r="N2827" t="inlineStr">
        <is>
          <t>1</t>
        </is>
      </c>
      <c r="O2827" t="inlineStr">
        <is>
          <t>16</t>
        </is>
      </c>
      <c r="P2827" t="inlineStr">
        <is>
          <t xml:space="preserve">250325  </t>
        </is>
      </c>
      <c r="Q2827" s="26" t="n">
        <v>47.4</v>
      </c>
      <c r="R2827" s="26">
        <f>Q2827*G2827</f>
        <v/>
      </c>
      <c r="S2827" s="26">
        <f>IFERROR(VLOOKUP(E2827*1,Tabla[#All],8,0),0)</f>
        <v/>
      </c>
      <c r="T2827" s="26">
        <f>S2827*G2827</f>
        <v/>
      </c>
      <c r="U2827" s="26">
        <f>R2827-T2827</f>
        <v/>
      </c>
      <c r="V2827" s="26">
        <f>U2827-L2827</f>
        <v/>
      </c>
    </row>
    <row r="2828">
      <c r="A2828" s="11" t="n">
        <v>46231</v>
      </c>
      <c r="B2828" s="1" t="n">
        <v>20023</v>
      </c>
      <c r="C2828" s="1" t="inlineStr">
        <is>
          <t>079</t>
        </is>
      </c>
      <c r="D2828" s="1" t="inlineStr">
        <is>
          <t>290930</t>
        </is>
      </c>
      <c r="E2828" s="1" t="inlineStr">
        <is>
          <t xml:space="preserve">30141766       </t>
        </is>
      </c>
      <c r="F2828" s="5" t="inlineStr">
        <is>
          <t>TMZ BEAST MACHINES AUTOS DE METAL BLISTER X 1</t>
        </is>
      </c>
      <c r="G2828" t="n">
        <v>1</v>
      </c>
      <c r="H2828" s="7" t="n">
        <v>7.9</v>
      </c>
      <c r="I2828" s="7" t="n">
        <v>0</v>
      </c>
      <c r="J2828" s="7" t="n">
        <v>0</v>
      </c>
      <c r="K2828" s="9" t="n">
        <v>0</v>
      </c>
      <c r="L2828" s="10" t="n">
        <v>4.68</v>
      </c>
      <c r="M2828" s="10" t="n">
        <v>1.43</v>
      </c>
      <c r="N2828" t="inlineStr">
        <is>
          <t>1</t>
        </is>
      </c>
      <c r="O2828" t="inlineStr">
        <is>
          <t xml:space="preserve">2 </t>
        </is>
      </c>
      <c r="P2828" t="inlineStr">
        <is>
          <t xml:space="preserve">32921   </t>
        </is>
      </c>
      <c r="Q2828" s="26" t="n">
        <v>4.69</v>
      </c>
      <c r="R2828" s="26">
        <f>Q2828*G2828</f>
        <v/>
      </c>
      <c r="S2828" s="26">
        <f>IFERROR(VLOOKUP(E2828*1,Tabla[#All],8,0),0)</f>
        <v/>
      </c>
      <c r="T2828" s="26">
        <f>S2828*G2828</f>
        <v/>
      </c>
      <c r="U2828" s="26">
        <f>R2828-T2828</f>
        <v/>
      </c>
      <c r="V2828" s="26">
        <f>U2828-L2828</f>
        <v/>
      </c>
    </row>
    <row r="2829">
      <c r="A2829" s="11" t="n">
        <v>46231</v>
      </c>
      <c r="B2829" s="1" t="n">
        <v>20024</v>
      </c>
      <c r="C2829" s="1" t="inlineStr">
        <is>
          <t>015</t>
        </is>
      </c>
      <c r="D2829" s="1" t="inlineStr">
        <is>
          <t xml:space="preserve">19494 </t>
        </is>
      </c>
      <c r="E2829" s="1" t="inlineStr">
        <is>
          <t xml:space="preserve">34840553       </t>
        </is>
      </c>
      <c r="F2829" s="5" t="inlineStr">
        <is>
          <t>TMZ AUTO LUZ Y SONIDO ESQUELET DINO T-REX</t>
        </is>
      </c>
      <c r="G2829" t="n">
        <v>1</v>
      </c>
      <c r="H2829" s="7" t="n">
        <v>79.90000000000001</v>
      </c>
      <c r="I2829" s="7" t="n">
        <v>0</v>
      </c>
      <c r="J2829" s="7" t="n">
        <v>0</v>
      </c>
      <c r="K2829" s="9" t="n">
        <v>0</v>
      </c>
      <c r="L2829" s="10" t="n">
        <v>47.4</v>
      </c>
      <c r="M2829" s="10" t="n">
        <v>1.43</v>
      </c>
      <c r="N2829" t="inlineStr">
        <is>
          <t>1</t>
        </is>
      </c>
      <c r="O2829" t="inlineStr">
        <is>
          <t>16</t>
        </is>
      </c>
      <c r="P2829" t="inlineStr">
        <is>
          <t xml:space="preserve">47217   </t>
        </is>
      </c>
      <c r="Q2829" s="26" t="n">
        <v>47.4</v>
      </c>
      <c r="R2829" s="26">
        <f>Q2829*G2829</f>
        <v/>
      </c>
      <c r="S2829" s="26">
        <f>IFERROR(VLOOKUP(E2829*1,Tabla[#All],8,0),0)</f>
        <v/>
      </c>
      <c r="T2829" s="26">
        <f>S2829*G2829</f>
        <v/>
      </c>
      <c r="U2829" s="26">
        <f>R2829-T2829</f>
        <v/>
      </c>
      <c r="V2829" s="26">
        <f>U2829-L2829</f>
        <v/>
      </c>
    </row>
    <row r="2830">
      <c r="A2830" s="11" t="n">
        <v>46231</v>
      </c>
      <c r="B2830" s="1" t="n">
        <v>20024</v>
      </c>
      <c r="C2830" s="1" t="inlineStr">
        <is>
          <t>032</t>
        </is>
      </c>
      <c r="D2830" s="1" t="inlineStr">
        <is>
          <t>366271</t>
        </is>
      </c>
      <c r="E2830" s="1" t="inlineStr">
        <is>
          <t xml:space="preserve">31754676       </t>
        </is>
      </c>
      <c r="F2830" s="5" t="inlineStr">
        <is>
          <t>INFINITY NADO SERIE 6 STD PACK LANZ ESPAD ANILLO M</t>
        </is>
      </c>
      <c r="G2830" t="n">
        <v>1</v>
      </c>
      <c r="H2830" s="7" t="n">
        <v>59.9</v>
      </c>
      <c r="I2830" s="7" t="n">
        <v>0</v>
      </c>
      <c r="J2830" s="7" t="n">
        <v>0</v>
      </c>
      <c r="K2830" s="9" t="n">
        <v>0</v>
      </c>
      <c r="L2830" s="10" t="n">
        <v>35.53</v>
      </c>
      <c r="M2830" s="10" t="n">
        <v>1.43</v>
      </c>
      <c r="N2830" t="inlineStr">
        <is>
          <t>1</t>
        </is>
      </c>
      <c r="O2830" t="inlineStr">
        <is>
          <t>16</t>
        </is>
      </c>
      <c r="P2830" t="inlineStr">
        <is>
          <t xml:space="preserve">23463   </t>
        </is>
      </c>
      <c r="Q2830" s="26" t="n">
        <v>47.4</v>
      </c>
      <c r="R2830" s="26">
        <f>Q2830*G2830</f>
        <v/>
      </c>
      <c r="S2830" s="26">
        <f>IFERROR(VLOOKUP(E2830*1,Tabla[#All],8,0),0)</f>
        <v/>
      </c>
      <c r="T2830" s="26">
        <f>S2830*G2830</f>
        <v/>
      </c>
      <c r="U2830" s="26">
        <f>R2830-T2830</f>
        <v/>
      </c>
      <c r="V2830" s="26">
        <f>U2830-L2830</f>
        <v/>
      </c>
    </row>
    <row r="2831">
      <c r="A2831" s="11" t="n">
        <v>46231</v>
      </c>
      <c r="B2831" s="1" t="n">
        <v>20024</v>
      </c>
      <c r="C2831" s="1" t="inlineStr">
        <is>
          <t>032</t>
        </is>
      </c>
      <c r="D2831" s="1" t="inlineStr">
        <is>
          <t>366339</t>
        </is>
      </c>
      <c r="E2831" s="1" t="inlineStr">
        <is>
          <t xml:space="preserve">28194781       </t>
        </is>
      </c>
      <c r="F2831" s="5" t="inlineStr">
        <is>
          <t>TROMPO BATALLA INFINITY NADO SERIE V CLASICA SURTI</t>
        </is>
      </c>
      <c r="G2831" t="n">
        <v>1</v>
      </c>
      <c r="H2831" s="7" t="n">
        <v>39.9</v>
      </c>
      <c r="I2831" s="7" t="n">
        <v>0</v>
      </c>
      <c r="J2831" s="7" t="n">
        <v>0</v>
      </c>
      <c r="K2831" s="9" t="n">
        <v>0</v>
      </c>
      <c r="L2831" s="10" t="n">
        <v>23.67</v>
      </c>
      <c r="M2831" s="10" t="n">
        <v>1.43</v>
      </c>
      <c r="N2831" t="inlineStr">
        <is>
          <t>1</t>
        </is>
      </c>
      <c r="O2831" t="inlineStr">
        <is>
          <t>16</t>
        </is>
      </c>
      <c r="P2831" t="inlineStr">
        <is>
          <t xml:space="preserve">81108   </t>
        </is>
      </c>
      <c r="Q2831" s="26" t="n">
        <v>35.53</v>
      </c>
      <c r="R2831" s="26">
        <f>Q2831*G2831</f>
        <v/>
      </c>
      <c r="S2831" s="26">
        <f>IFERROR(VLOOKUP(E2831*1,Tabla[#All],8,0),0)</f>
        <v/>
      </c>
      <c r="T2831" s="26">
        <f>S2831*G2831</f>
        <v/>
      </c>
      <c r="U2831" s="26">
        <f>R2831-T2831</f>
        <v/>
      </c>
      <c r="V2831" s="26">
        <f>U2831-L2831</f>
        <v/>
      </c>
    </row>
    <row r="2832">
      <c r="A2832" s="11" t="n">
        <v>46231</v>
      </c>
      <c r="B2832" s="1" t="n">
        <v>20024</v>
      </c>
      <c r="C2832" s="1" t="inlineStr">
        <is>
          <t>032</t>
        </is>
      </c>
      <c r="D2832" s="1" t="inlineStr">
        <is>
          <t>366339</t>
        </is>
      </c>
      <c r="E2832" s="1" t="inlineStr">
        <is>
          <t xml:space="preserve">28194781       </t>
        </is>
      </c>
      <c r="F2832" s="5" t="inlineStr">
        <is>
          <t>TROMPO BATALLA INFINITY NADO SERIE V CLASICA SURTI</t>
        </is>
      </c>
      <c r="G2832" t="n">
        <v>1</v>
      </c>
      <c r="H2832" s="7" t="n">
        <v>39.9</v>
      </c>
      <c r="I2832" s="7" t="n">
        <v>0</v>
      </c>
      <c r="J2832" s="7" t="n">
        <v>0</v>
      </c>
      <c r="K2832" s="9" t="n">
        <v>0</v>
      </c>
      <c r="L2832" s="10" t="n">
        <v>23.67</v>
      </c>
      <c r="M2832" s="10" t="n">
        <v>1.43</v>
      </c>
      <c r="N2832" t="inlineStr">
        <is>
          <t>1</t>
        </is>
      </c>
      <c r="O2832" t="inlineStr">
        <is>
          <t>16</t>
        </is>
      </c>
      <c r="P2832" t="inlineStr">
        <is>
          <t xml:space="preserve">81108   </t>
        </is>
      </c>
      <c r="Q2832" s="26" t="n">
        <v>35.53</v>
      </c>
      <c r="R2832" s="26">
        <f>Q2832*G2832</f>
        <v/>
      </c>
      <c r="S2832" s="26">
        <f>IFERROR(VLOOKUP(E2832*1,Tabla[#All],8,0),0)</f>
        <v/>
      </c>
      <c r="T2832" s="26">
        <f>S2832*G2832</f>
        <v/>
      </c>
      <c r="U2832" s="26">
        <f>R2832-T2832</f>
        <v/>
      </c>
      <c r="V2832" s="26">
        <f>U2832-L2832</f>
        <v/>
      </c>
    </row>
    <row r="2833">
      <c r="A2833" s="11" t="n">
        <v>46231</v>
      </c>
      <c r="B2833" s="1" t="n">
        <v>20024</v>
      </c>
      <c r="C2833" s="1" t="inlineStr">
        <is>
          <t>032</t>
        </is>
      </c>
      <c r="D2833" s="1" t="inlineStr">
        <is>
          <t>366351</t>
        </is>
      </c>
      <c r="E2833" s="1" t="inlineStr">
        <is>
          <t xml:space="preserve">28194766       </t>
        </is>
      </c>
      <c r="F2833" s="5" t="inlineStr">
        <is>
          <t>CAMIONES TEAMSTERZ DE CIUDAD</t>
        </is>
      </c>
      <c r="G2833" t="n">
        <v>1</v>
      </c>
      <c r="H2833" s="7" t="n">
        <v>17.9</v>
      </c>
      <c r="I2833" s="7" t="n">
        <v>0</v>
      </c>
      <c r="J2833" s="7" t="n">
        <v>0</v>
      </c>
      <c r="K2833" s="9" t="n">
        <v>0</v>
      </c>
      <c r="L2833" s="10" t="n">
        <v>10.62</v>
      </c>
      <c r="M2833" s="10" t="n">
        <v>1.43</v>
      </c>
      <c r="N2833" t="inlineStr">
        <is>
          <t>1</t>
        </is>
      </c>
      <c r="O2833" t="inlineStr">
        <is>
          <t xml:space="preserve">2 </t>
        </is>
      </c>
      <c r="P2833" t="inlineStr">
        <is>
          <t xml:space="preserve">23463   </t>
        </is>
      </c>
      <c r="Q2833" s="26" t="n">
        <v>10.62</v>
      </c>
      <c r="R2833" s="26">
        <f>Q2833*G2833</f>
        <v/>
      </c>
      <c r="S2833" s="26">
        <f>IFERROR(VLOOKUP(E2833*1,Tabla[#All],8,0),0)</f>
        <v/>
      </c>
      <c r="T2833" s="26">
        <f>S2833*G2833</f>
        <v/>
      </c>
      <c r="U2833" s="26">
        <f>R2833-T2833</f>
        <v/>
      </c>
      <c r="V2833" s="26">
        <f>U2833-L2833</f>
        <v/>
      </c>
    </row>
    <row r="2834">
      <c r="A2834" s="11" t="n">
        <v>46231</v>
      </c>
      <c r="B2834" s="1" t="n">
        <v>20024</v>
      </c>
      <c r="C2834" s="1" t="inlineStr">
        <is>
          <t>032</t>
        </is>
      </c>
      <c r="D2834" s="1" t="inlineStr">
        <is>
          <t>366351</t>
        </is>
      </c>
      <c r="E2834" s="1" t="inlineStr">
        <is>
          <t xml:space="preserve">28194767       </t>
        </is>
      </c>
      <c r="F2834" s="5" t="inlineStr">
        <is>
          <t>CAMIONES TEAMSTERZ DE EMERGENCIA</t>
        </is>
      </c>
      <c r="G2834" t="n">
        <v>1</v>
      </c>
      <c r="H2834" s="7" t="n">
        <v>17.9</v>
      </c>
      <c r="I2834" s="7" t="n">
        <v>0</v>
      </c>
      <c r="J2834" s="7" t="n">
        <v>0</v>
      </c>
      <c r="K2834" s="9" t="n">
        <v>0</v>
      </c>
      <c r="L2834" s="10" t="n">
        <v>10.62</v>
      </c>
      <c r="M2834" s="10" t="n">
        <v>1.43</v>
      </c>
      <c r="N2834" t="inlineStr">
        <is>
          <t>1</t>
        </is>
      </c>
      <c r="O2834" t="inlineStr">
        <is>
          <t xml:space="preserve">2 </t>
        </is>
      </c>
      <c r="P2834" t="inlineStr">
        <is>
          <t xml:space="preserve">23463   </t>
        </is>
      </c>
      <c r="Q2834" s="26" t="n">
        <v>10.62</v>
      </c>
      <c r="R2834" s="26">
        <f>Q2834*G2834</f>
        <v/>
      </c>
      <c r="S2834" s="26">
        <f>IFERROR(VLOOKUP(E2834*1,Tabla[#All],8,0),0)</f>
        <v/>
      </c>
      <c r="T2834" s="26">
        <f>S2834*G2834</f>
        <v/>
      </c>
      <c r="U2834" s="26">
        <f>R2834-T2834</f>
        <v/>
      </c>
      <c r="V2834" s="26">
        <f>U2834-L2834</f>
        <v/>
      </c>
    </row>
    <row r="2835">
      <c r="A2835" s="11" t="n">
        <v>46231</v>
      </c>
      <c r="B2835" s="1" t="n">
        <v>20024</v>
      </c>
      <c r="C2835" s="1" t="inlineStr">
        <is>
          <t>032</t>
        </is>
      </c>
      <c r="D2835" s="1" t="inlineStr">
        <is>
          <t>366351</t>
        </is>
      </c>
      <c r="E2835" s="1" t="inlineStr">
        <is>
          <t xml:space="preserve">28194767       </t>
        </is>
      </c>
      <c r="F2835" s="5" t="inlineStr">
        <is>
          <t>CAMIONES TEAMSTERZ DE EMERGENCIA</t>
        </is>
      </c>
      <c r="G2835" t="n">
        <v>1</v>
      </c>
      <c r="H2835" s="7" t="n">
        <v>17.9</v>
      </c>
      <c r="I2835" s="7" t="n">
        <v>0</v>
      </c>
      <c r="J2835" s="7" t="n">
        <v>0</v>
      </c>
      <c r="K2835" s="9" t="n">
        <v>0</v>
      </c>
      <c r="L2835" s="10" t="n">
        <v>10.62</v>
      </c>
      <c r="M2835" s="10" t="n">
        <v>1.43</v>
      </c>
      <c r="N2835" t="inlineStr">
        <is>
          <t>1</t>
        </is>
      </c>
      <c r="O2835" t="inlineStr">
        <is>
          <t xml:space="preserve">2 </t>
        </is>
      </c>
      <c r="P2835" t="inlineStr">
        <is>
          <t xml:space="preserve">23463   </t>
        </is>
      </c>
      <c r="Q2835" s="26" t="n">
        <v>10.62</v>
      </c>
      <c r="R2835" s="26">
        <f>Q2835*G2835</f>
        <v/>
      </c>
      <c r="S2835" s="26">
        <f>IFERROR(VLOOKUP(E2835*1,Tabla[#All],8,0),0)</f>
        <v/>
      </c>
      <c r="T2835" s="26">
        <f>S2835*G2835</f>
        <v/>
      </c>
      <c r="U2835" s="26">
        <f>R2835-T2835</f>
        <v/>
      </c>
      <c r="V2835" s="26">
        <f>U2835-L2835</f>
        <v/>
      </c>
    </row>
    <row r="2836">
      <c r="A2836" s="11" t="n">
        <v>46231</v>
      </c>
      <c r="B2836" s="1" t="n">
        <v>20024</v>
      </c>
      <c r="C2836" s="1" t="inlineStr">
        <is>
          <t>032</t>
        </is>
      </c>
      <c r="D2836" s="1" t="inlineStr">
        <is>
          <t>366351</t>
        </is>
      </c>
      <c r="E2836" s="1" t="inlineStr">
        <is>
          <t xml:space="preserve">28194767       </t>
        </is>
      </c>
      <c r="F2836" s="5" t="inlineStr">
        <is>
          <t>CAMIONES TEAMSTERZ DE EMERGENCIA</t>
        </is>
      </c>
      <c r="G2836" t="n">
        <v>1</v>
      </c>
      <c r="H2836" s="7" t="n">
        <v>17.9</v>
      </c>
      <c r="I2836" s="7" t="n">
        <v>0</v>
      </c>
      <c r="J2836" s="7" t="n">
        <v>0</v>
      </c>
      <c r="K2836" s="9" t="n">
        <v>0</v>
      </c>
      <c r="L2836" s="10" t="n">
        <v>10.62</v>
      </c>
      <c r="M2836" s="10" t="n">
        <v>1.43</v>
      </c>
      <c r="N2836" t="inlineStr">
        <is>
          <t>1</t>
        </is>
      </c>
      <c r="O2836" t="inlineStr">
        <is>
          <t xml:space="preserve">2 </t>
        </is>
      </c>
      <c r="P2836" t="inlineStr">
        <is>
          <t xml:space="preserve">23463   </t>
        </is>
      </c>
      <c r="Q2836" s="26" t="n">
        <v>10.62</v>
      </c>
      <c r="R2836" s="26">
        <f>Q2836*G2836</f>
        <v/>
      </c>
      <c r="S2836" s="26">
        <f>IFERROR(VLOOKUP(E2836*1,Tabla[#All],8,0),0)</f>
        <v/>
      </c>
      <c r="T2836" s="26">
        <f>S2836*G2836</f>
        <v/>
      </c>
      <c r="U2836" s="26">
        <f>R2836-T2836</f>
        <v/>
      </c>
      <c r="V2836" s="26">
        <f>U2836-L2836</f>
        <v/>
      </c>
    </row>
    <row r="2837">
      <c r="A2837" s="11" t="n">
        <v>46231</v>
      </c>
      <c r="B2837" s="1" t="n">
        <v>20024</v>
      </c>
      <c r="C2837" s="1" t="inlineStr">
        <is>
          <t>806</t>
        </is>
      </c>
      <c r="D2837" s="1" t="inlineStr">
        <is>
          <t xml:space="preserve">9502  </t>
        </is>
      </c>
      <c r="E2837" s="1" t="inlineStr">
        <is>
          <t xml:space="preserve">32656417       </t>
        </is>
      </c>
      <c r="F2837" s="5" t="inlineStr">
        <is>
          <t>NO DESPIERTES A PAPA</t>
        </is>
      </c>
      <c r="G2837" t="n">
        <v>1</v>
      </c>
      <c r="H2837" s="7" t="n">
        <v>39.9</v>
      </c>
      <c r="I2837" s="7" t="n">
        <v>0</v>
      </c>
      <c r="J2837" s="7" t="n">
        <v>0</v>
      </c>
      <c r="K2837" s="9" t="n">
        <v>0</v>
      </c>
      <c r="L2837" s="10" t="n">
        <v>23.67</v>
      </c>
      <c r="M2837" s="10" t="n">
        <v>1.43</v>
      </c>
      <c r="N2837" t="inlineStr">
        <is>
          <t>1</t>
        </is>
      </c>
      <c r="O2837" t="inlineStr">
        <is>
          <t>16</t>
        </is>
      </c>
      <c r="P2837" t="inlineStr">
        <is>
          <t xml:space="preserve">0       </t>
        </is>
      </c>
      <c r="Q2837" s="26" t="n">
        <v>53.33</v>
      </c>
      <c r="R2837" s="26">
        <f>Q2837*G2837</f>
        <v/>
      </c>
      <c r="S2837" s="26">
        <f>IFERROR(VLOOKUP(E2837*1,Tabla[#All],8,0),0)</f>
        <v/>
      </c>
      <c r="T2837" s="26">
        <f>S2837*G2837</f>
        <v/>
      </c>
      <c r="U2837" s="26">
        <f>R2837-T2837</f>
        <v/>
      </c>
      <c r="V2837" s="26">
        <f>U2837-L2837</f>
        <v/>
      </c>
    </row>
    <row r="2838">
      <c r="A2838" s="11" t="n">
        <v>46231</v>
      </c>
      <c r="B2838" s="1" t="n">
        <v>20025</v>
      </c>
      <c r="C2838" s="1" t="inlineStr">
        <is>
          <t>074</t>
        </is>
      </c>
      <c r="D2838" s="1" t="inlineStr">
        <is>
          <t xml:space="preserve">83775 </t>
        </is>
      </c>
      <c r="E2838" s="1" t="inlineStr">
        <is>
          <t xml:space="preserve">31959961       </t>
        </is>
      </c>
      <c r="F2838" s="5" t="inlineStr">
        <is>
          <t>TEAMSTERZ CAMBIA DE COLOR PACK DE 3 AUTOS</t>
        </is>
      </c>
      <c r="G2838" t="n">
        <v>1</v>
      </c>
      <c r="H2838" s="7" t="n">
        <v>49.9</v>
      </c>
      <c r="I2838" s="7" t="n">
        <v>4.99</v>
      </c>
      <c r="J2838" s="7" t="n">
        <v>0</v>
      </c>
      <c r="K2838" s="9" t="n">
        <v>4.99</v>
      </c>
      <c r="L2838" s="10" t="n">
        <v>26.64</v>
      </c>
      <c r="M2838" s="10" t="n">
        <v>1.43</v>
      </c>
      <c r="N2838" t="inlineStr">
        <is>
          <t>1</t>
        </is>
      </c>
      <c r="O2838" t="inlineStr">
        <is>
          <t xml:space="preserve">3 </t>
        </is>
      </c>
      <c r="P2838" t="inlineStr">
        <is>
          <t xml:space="preserve">250254  </t>
        </is>
      </c>
      <c r="Q2838" s="26" t="n">
        <v>29.6</v>
      </c>
      <c r="R2838" s="26">
        <f>Q2838*G2838</f>
        <v/>
      </c>
      <c r="S2838" s="26">
        <f>IFERROR(VLOOKUP(E2838*1,Tabla[#All],8,0),0)</f>
        <v/>
      </c>
      <c r="T2838" s="26">
        <f>S2838*G2838</f>
        <v/>
      </c>
      <c r="U2838" s="26">
        <f>R2838-T2838</f>
        <v/>
      </c>
      <c r="V2838" s="26">
        <f>U2838-L2838</f>
        <v/>
      </c>
    </row>
    <row r="2839">
      <c r="A2839" s="11" t="n">
        <v>46231</v>
      </c>
      <c r="B2839" s="1" t="n">
        <v>20025</v>
      </c>
      <c r="C2839" s="1" t="inlineStr">
        <is>
          <t>074</t>
        </is>
      </c>
      <c r="D2839" s="1" t="inlineStr">
        <is>
          <t xml:space="preserve">83789 </t>
        </is>
      </c>
      <c r="E2839" s="1" t="inlineStr">
        <is>
          <t xml:space="preserve">31959958       </t>
        </is>
      </c>
      <c r="F2839" s="5" t="inlineStr">
        <is>
          <t>TMZ BEAST MACHINE AUTOS DE METAL PACK 3 AUTOS</t>
        </is>
      </c>
      <c r="G2839" t="n">
        <v>1</v>
      </c>
      <c r="H2839" s="7" t="n">
        <v>23.7</v>
      </c>
      <c r="I2839" s="7" t="n">
        <v>0</v>
      </c>
      <c r="J2839" s="7" t="n">
        <v>0</v>
      </c>
      <c r="K2839" s="9" t="n">
        <v>0</v>
      </c>
      <c r="L2839" s="10" t="n">
        <v>14.06</v>
      </c>
      <c r="M2839" s="10" t="n">
        <v>1.43</v>
      </c>
      <c r="N2839" t="inlineStr">
        <is>
          <t>1</t>
        </is>
      </c>
      <c r="O2839" t="inlineStr">
        <is>
          <t>16</t>
        </is>
      </c>
      <c r="P2839" t="inlineStr">
        <is>
          <t xml:space="preserve">250254  </t>
        </is>
      </c>
      <c r="Q2839" s="26" t="n">
        <v>14.06</v>
      </c>
      <c r="R2839" s="26">
        <f>Q2839*G2839</f>
        <v/>
      </c>
      <c r="S2839" s="26">
        <f>IFERROR(VLOOKUP(E2839*1,Tabla[#All],8,0),0)</f>
        <v/>
      </c>
      <c r="T2839" s="26">
        <f>S2839*G2839</f>
        <v/>
      </c>
      <c r="U2839" s="26">
        <f>R2839-T2839</f>
        <v/>
      </c>
      <c r="V2839" s="26">
        <f>U2839-L2839</f>
        <v/>
      </c>
    </row>
    <row r="2840">
      <c r="A2840" s="11" t="n">
        <v>46231</v>
      </c>
      <c r="B2840" s="1" t="n">
        <v>20028</v>
      </c>
      <c r="C2840" s="1" t="inlineStr">
        <is>
          <t>019</t>
        </is>
      </c>
      <c r="D2840" s="1" t="inlineStr">
        <is>
          <t>115024</t>
        </is>
      </c>
      <c r="E2840" s="1" t="inlineStr">
        <is>
          <t xml:space="preserve">28194780       </t>
        </is>
      </c>
      <c r="F2840" s="5" t="inlineStr">
        <is>
          <t>TROMPO BATALLA INFINITY NADO PLSTICO SURTIDO</t>
        </is>
      </c>
      <c r="G2840" t="n">
        <v>1</v>
      </c>
      <c r="H2840" s="7" t="n">
        <v>19.9</v>
      </c>
      <c r="I2840" s="7" t="n">
        <v>1.99</v>
      </c>
      <c r="J2840" s="7" t="n">
        <v>0</v>
      </c>
      <c r="K2840" s="9" t="n">
        <v>1.99</v>
      </c>
      <c r="L2840" s="10" t="n">
        <v>10.63</v>
      </c>
      <c r="M2840" s="10" t="n">
        <v>1.43</v>
      </c>
      <c r="N2840" t="inlineStr">
        <is>
          <t>1</t>
        </is>
      </c>
      <c r="O2840" t="inlineStr">
        <is>
          <t xml:space="preserve">3 </t>
        </is>
      </c>
      <c r="P2840" t="inlineStr">
        <is>
          <t xml:space="preserve">35540   </t>
        </is>
      </c>
      <c r="Q2840" s="26" t="n">
        <v>11.81</v>
      </c>
      <c r="R2840" s="26">
        <f>Q2840*G2840</f>
        <v/>
      </c>
      <c r="S2840" s="26">
        <f>IFERROR(VLOOKUP(E2840*1,Tabla[#All],8,0),0)</f>
        <v/>
      </c>
      <c r="T2840" s="26">
        <f>S2840*G2840</f>
        <v/>
      </c>
      <c r="U2840" s="26">
        <f>R2840-T2840</f>
        <v/>
      </c>
      <c r="V2840" s="26">
        <f>U2840-L2840</f>
        <v/>
      </c>
    </row>
    <row r="2841">
      <c r="A2841" s="11" t="n">
        <v>46231</v>
      </c>
      <c r="B2841" s="1" t="n">
        <v>20028</v>
      </c>
      <c r="C2841" s="1" t="inlineStr">
        <is>
          <t>019</t>
        </is>
      </c>
      <c r="D2841" s="1" t="inlineStr">
        <is>
          <t>115024</t>
        </is>
      </c>
      <c r="E2841" s="1" t="inlineStr">
        <is>
          <t xml:space="preserve">28194780       </t>
        </is>
      </c>
      <c r="F2841" s="5" t="inlineStr">
        <is>
          <t>TROMPO BATALLA INFINITY NADO PLSTICO SURTIDO</t>
        </is>
      </c>
      <c r="G2841" t="n">
        <v>1</v>
      </c>
      <c r="H2841" s="7" t="n">
        <v>19.9</v>
      </c>
      <c r="I2841" s="7" t="n">
        <v>1.99</v>
      </c>
      <c r="J2841" s="7" t="n">
        <v>0</v>
      </c>
      <c r="K2841" s="9" t="n">
        <v>1.99</v>
      </c>
      <c r="L2841" s="10" t="n">
        <v>10.63</v>
      </c>
      <c r="M2841" s="10" t="n">
        <v>1.43</v>
      </c>
      <c r="N2841" t="inlineStr">
        <is>
          <t>1</t>
        </is>
      </c>
      <c r="O2841" t="inlineStr">
        <is>
          <t xml:space="preserve">3 </t>
        </is>
      </c>
      <c r="P2841" t="inlineStr">
        <is>
          <t xml:space="preserve">35540   </t>
        </is>
      </c>
      <c r="Q2841" s="26" t="n">
        <v>11.81</v>
      </c>
      <c r="R2841" s="26">
        <f>Q2841*G2841</f>
        <v/>
      </c>
      <c r="S2841" s="26">
        <f>IFERROR(VLOOKUP(E2841*1,Tabla[#All],8,0),0)</f>
        <v/>
      </c>
      <c r="T2841" s="26">
        <f>S2841*G2841</f>
        <v/>
      </c>
      <c r="U2841" s="26">
        <f>R2841-T2841</f>
        <v/>
      </c>
      <c r="V2841" s="26">
        <f>U2841-L2841</f>
        <v/>
      </c>
    </row>
    <row r="2842">
      <c r="A2842" s="11" t="n">
        <v>46231</v>
      </c>
      <c r="B2842" s="1" t="n">
        <v>20028</v>
      </c>
      <c r="C2842" s="1" t="inlineStr">
        <is>
          <t>019</t>
        </is>
      </c>
      <c r="D2842" s="1" t="inlineStr">
        <is>
          <t>115024</t>
        </is>
      </c>
      <c r="E2842" s="1" t="inlineStr">
        <is>
          <t xml:space="preserve">28194780       </t>
        </is>
      </c>
      <c r="F2842" s="5" t="inlineStr">
        <is>
          <t>TROMPO BATALLA INFINITY NADO PLSTICO SURTIDO</t>
        </is>
      </c>
      <c r="G2842" t="n">
        <v>1</v>
      </c>
      <c r="H2842" s="7" t="n">
        <v>19.9</v>
      </c>
      <c r="I2842" s="7" t="n">
        <v>1.99</v>
      </c>
      <c r="J2842" s="7" t="n">
        <v>0</v>
      </c>
      <c r="K2842" s="9" t="n">
        <v>1.99</v>
      </c>
      <c r="L2842" s="10" t="n">
        <v>10.63</v>
      </c>
      <c r="M2842" s="10" t="n">
        <v>1.43</v>
      </c>
      <c r="N2842" t="inlineStr">
        <is>
          <t>1</t>
        </is>
      </c>
      <c r="O2842" t="inlineStr">
        <is>
          <t xml:space="preserve">3 </t>
        </is>
      </c>
      <c r="P2842" t="inlineStr">
        <is>
          <t xml:space="preserve">35540   </t>
        </is>
      </c>
      <c r="Q2842" s="26" t="n">
        <v>11.81</v>
      </c>
      <c r="R2842" s="26">
        <f>Q2842*G2842</f>
        <v/>
      </c>
      <c r="S2842" s="26">
        <f>IFERROR(VLOOKUP(E2842*1,Tabla[#All],8,0),0)</f>
        <v/>
      </c>
      <c r="T2842" s="26">
        <f>S2842*G2842</f>
        <v/>
      </c>
      <c r="U2842" s="26">
        <f>R2842-T2842</f>
        <v/>
      </c>
      <c r="V2842" s="26">
        <f>U2842-L2842</f>
        <v/>
      </c>
    </row>
    <row r="2843">
      <c r="A2843" s="11" t="n">
        <v>46231</v>
      </c>
      <c r="B2843" s="1" t="n">
        <v>20028</v>
      </c>
      <c r="C2843" s="1" t="inlineStr">
        <is>
          <t>019</t>
        </is>
      </c>
      <c r="D2843" s="1" t="inlineStr">
        <is>
          <t>115024</t>
        </is>
      </c>
      <c r="E2843" s="1" t="inlineStr">
        <is>
          <t xml:space="preserve">28194780       </t>
        </is>
      </c>
      <c r="F2843" s="5" t="inlineStr">
        <is>
          <t>TROMPO BATALLA INFINITY NADO PLSTICO SURTIDO</t>
        </is>
      </c>
      <c r="G2843" t="n">
        <v>1</v>
      </c>
      <c r="H2843" s="7" t="n">
        <v>19.9</v>
      </c>
      <c r="I2843" s="7" t="n">
        <v>1.99</v>
      </c>
      <c r="J2843" s="7" t="n">
        <v>0</v>
      </c>
      <c r="K2843" s="9" t="n">
        <v>1.99</v>
      </c>
      <c r="L2843" s="10" t="n">
        <v>10.63</v>
      </c>
      <c r="M2843" s="10" t="n">
        <v>1.43</v>
      </c>
      <c r="N2843" t="inlineStr">
        <is>
          <t>1</t>
        </is>
      </c>
      <c r="O2843" t="inlineStr">
        <is>
          <t xml:space="preserve">3 </t>
        </is>
      </c>
      <c r="P2843" t="inlineStr">
        <is>
          <t xml:space="preserve">35540   </t>
        </is>
      </c>
      <c r="Q2843" s="26" t="n">
        <v>11.81</v>
      </c>
      <c r="R2843" s="26">
        <f>Q2843*G2843</f>
        <v/>
      </c>
      <c r="S2843" s="26">
        <f>IFERROR(VLOOKUP(E2843*1,Tabla[#All],8,0),0)</f>
        <v/>
      </c>
      <c r="T2843" s="26">
        <f>S2843*G2843</f>
        <v/>
      </c>
      <c r="U2843" s="26">
        <f>R2843-T2843</f>
        <v/>
      </c>
      <c r="V2843" s="26">
        <f>U2843-L2843</f>
        <v/>
      </c>
    </row>
    <row r="2844">
      <c r="A2844" s="11" t="n">
        <v>46231</v>
      </c>
      <c r="B2844" s="1" t="n">
        <v>20028</v>
      </c>
      <c r="C2844" s="1" t="inlineStr">
        <is>
          <t>019</t>
        </is>
      </c>
      <c r="D2844" s="1" t="inlineStr">
        <is>
          <t>115024</t>
        </is>
      </c>
      <c r="E2844" s="1" t="inlineStr">
        <is>
          <t xml:space="preserve">28194780       </t>
        </is>
      </c>
      <c r="F2844" s="5" t="inlineStr">
        <is>
          <t>TROMPO BATALLA INFINITY NADO PLSTICO SURTIDO</t>
        </is>
      </c>
      <c r="G2844" t="n">
        <v>1</v>
      </c>
      <c r="H2844" s="7" t="n">
        <v>19.9</v>
      </c>
      <c r="I2844" s="7" t="n">
        <v>1.99</v>
      </c>
      <c r="J2844" s="7" t="n">
        <v>0</v>
      </c>
      <c r="K2844" s="9" t="n">
        <v>1.99</v>
      </c>
      <c r="L2844" s="10" t="n">
        <v>10.63</v>
      </c>
      <c r="M2844" s="10" t="n">
        <v>1.43</v>
      </c>
      <c r="N2844" t="inlineStr">
        <is>
          <t>1</t>
        </is>
      </c>
      <c r="O2844" t="inlineStr">
        <is>
          <t xml:space="preserve">3 </t>
        </is>
      </c>
      <c r="P2844" t="inlineStr">
        <is>
          <t xml:space="preserve">35540   </t>
        </is>
      </c>
      <c r="Q2844" s="26" t="n">
        <v>11.81</v>
      </c>
      <c r="R2844" s="26">
        <f>Q2844*G2844</f>
        <v/>
      </c>
      <c r="S2844" s="26">
        <f>IFERROR(VLOOKUP(E2844*1,Tabla[#All],8,0),0)</f>
        <v/>
      </c>
      <c r="T2844" s="26">
        <f>S2844*G2844</f>
        <v/>
      </c>
      <c r="U2844" s="26">
        <f>R2844-T2844</f>
        <v/>
      </c>
      <c r="V2844" s="26">
        <f>U2844-L2844</f>
        <v/>
      </c>
    </row>
    <row r="2845">
      <c r="A2845" s="11" t="n">
        <v>46231</v>
      </c>
      <c r="B2845" s="1" t="n">
        <v>20028</v>
      </c>
      <c r="C2845" s="1" t="inlineStr">
        <is>
          <t>068</t>
        </is>
      </c>
      <c r="D2845" s="1" t="inlineStr">
        <is>
          <t>166296</t>
        </is>
      </c>
      <c r="E2845" s="1" t="inlineStr">
        <is>
          <t xml:space="preserve">28194780       </t>
        </is>
      </c>
      <c r="F2845" s="5" t="inlineStr">
        <is>
          <t>TROMPO BATALLA INFINITY NADO PLSTICO SURTIDO</t>
        </is>
      </c>
      <c r="G2845" t="n">
        <v>1</v>
      </c>
      <c r="H2845" s="7" t="n">
        <v>19.9</v>
      </c>
      <c r="I2845" s="7" t="n">
        <v>3.98</v>
      </c>
      <c r="J2845" s="7" t="n">
        <v>0</v>
      </c>
      <c r="K2845" s="9" t="n">
        <v>3.98</v>
      </c>
      <c r="L2845" s="10" t="n">
        <v>9.44</v>
      </c>
      <c r="M2845" s="10" t="n">
        <v>1.43</v>
      </c>
      <c r="N2845" t="inlineStr">
        <is>
          <t>1</t>
        </is>
      </c>
      <c r="O2845" t="inlineStr">
        <is>
          <t xml:space="preserve">6 </t>
        </is>
      </c>
      <c r="P2845" t="inlineStr">
        <is>
          <t xml:space="preserve">234051  </t>
        </is>
      </c>
      <c r="Q2845" s="26" t="n">
        <v>11.81</v>
      </c>
      <c r="R2845" s="26">
        <f>Q2845*G2845</f>
        <v/>
      </c>
      <c r="S2845" s="26">
        <f>IFERROR(VLOOKUP(E2845*1,Tabla[#All],8,0),0)</f>
        <v/>
      </c>
      <c r="T2845" s="26">
        <f>S2845*G2845</f>
        <v/>
      </c>
      <c r="U2845" s="26">
        <f>R2845-T2845</f>
        <v/>
      </c>
      <c r="V2845" s="26">
        <f>U2845-L2845</f>
        <v/>
      </c>
    </row>
    <row r="2846">
      <c r="A2846" s="11" t="n">
        <v>46231</v>
      </c>
      <c r="B2846" s="1" t="n">
        <v>20028</v>
      </c>
      <c r="C2846" s="1" t="inlineStr">
        <is>
          <t>068</t>
        </is>
      </c>
      <c r="D2846" s="1" t="inlineStr">
        <is>
          <t>166296</t>
        </is>
      </c>
      <c r="E2846" s="1" t="inlineStr">
        <is>
          <t xml:space="preserve">28194780       </t>
        </is>
      </c>
      <c r="F2846" s="5" t="inlineStr">
        <is>
          <t>TROMPO BATALLA INFINITY NADO PLSTICO SURTIDO</t>
        </is>
      </c>
      <c r="G2846" t="n">
        <v>1</v>
      </c>
      <c r="H2846" s="7" t="n">
        <v>19.9</v>
      </c>
      <c r="I2846" s="7" t="n">
        <v>3.98</v>
      </c>
      <c r="J2846" s="7" t="n">
        <v>0</v>
      </c>
      <c r="K2846" s="9" t="n">
        <v>3.98</v>
      </c>
      <c r="L2846" s="10" t="n">
        <v>9.44</v>
      </c>
      <c r="M2846" s="10" t="n">
        <v>1.43</v>
      </c>
      <c r="N2846" t="inlineStr">
        <is>
          <t>1</t>
        </is>
      </c>
      <c r="O2846" t="inlineStr">
        <is>
          <t xml:space="preserve">6 </t>
        </is>
      </c>
      <c r="P2846" t="inlineStr">
        <is>
          <t xml:space="preserve">234051  </t>
        </is>
      </c>
      <c r="Q2846" s="26" t="n">
        <v>11.81</v>
      </c>
      <c r="R2846" s="26">
        <f>Q2846*G2846</f>
        <v/>
      </c>
      <c r="S2846" s="26">
        <f>IFERROR(VLOOKUP(E2846*1,Tabla[#All],8,0),0)</f>
        <v/>
      </c>
      <c r="T2846" s="26">
        <f>S2846*G2846</f>
        <v/>
      </c>
      <c r="U2846" s="26">
        <f>R2846-T2846</f>
        <v/>
      </c>
      <c r="V2846" s="26">
        <f>U2846-L2846</f>
        <v/>
      </c>
    </row>
    <row r="2847">
      <c r="A2847" s="11" t="n">
        <v>46231</v>
      </c>
      <c r="B2847" s="1" t="n">
        <v>20028</v>
      </c>
      <c r="C2847" s="1" t="inlineStr">
        <is>
          <t>802</t>
        </is>
      </c>
      <c r="D2847" s="1" t="inlineStr">
        <is>
          <t xml:space="preserve">9322  </t>
        </is>
      </c>
      <c r="E2847" s="1" t="inlineStr">
        <is>
          <t xml:space="preserve">31754675       </t>
        </is>
      </c>
      <c r="F2847" s="5" t="inlineStr">
        <is>
          <t>INFINITY NADO SERIE 6 STARTER PACK - 4 MODELOS</t>
        </is>
      </c>
      <c r="G2847" t="n">
        <v>1</v>
      </c>
      <c r="H2847" s="7" t="n">
        <v>49.9</v>
      </c>
      <c r="I2847" s="7" t="n">
        <v>4.99</v>
      </c>
      <c r="J2847" s="7" t="n">
        <v>0</v>
      </c>
      <c r="K2847" s="9" t="n">
        <v>4.99</v>
      </c>
      <c r="L2847" s="10" t="n">
        <v>26.64</v>
      </c>
      <c r="M2847" s="10" t="n">
        <v>1.43</v>
      </c>
      <c r="N2847" t="inlineStr">
        <is>
          <t>1</t>
        </is>
      </c>
      <c r="O2847" t="inlineStr">
        <is>
          <t>16</t>
        </is>
      </c>
      <c r="P2847" t="inlineStr">
        <is>
          <t xml:space="preserve">0       </t>
        </is>
      </c>
      <c r="Q2847" s="26" t="n">
        <v>41.47</v>
      </c>
      <c r="R2847" s="26">
        <f>Q2847*G2847</f>
        <v/>
      </c>
      <c r="S2847" s="26">
        <f>IFERROR(VLOOKUP(E2847*1,Tabla[#All],8,0),0)</f>
        <v/>
      </c>
      <c r="T2847" s="26">
        <f>S2847*G2847</f>
        <v/>
      </c>
      <c r="U2847" s="26">
        <f>R2847-T2847</f>
        <v/>
      </c>
      <c r="V2847" s="26">
        <f>U2847-L2847</f>
        <v/>
      </c>
    </row>
    <row r="2848">
      <c r="A2848" s="11" t="n">
        <v>46231</v>
      </c>
      <c r="B2848" s="1" t="n">
        <v>20030</v>
      </c>
      <c r="C2848" s="1" t="inlineStr">
        <is>
          <t>067</t>
        </is>
      </c>
      <c r="D2848" s="1" t="inlineStr">
        <is>
          <t>275289</t>
        </is>
      </c>
      <c r="E2848" s="1" t="inlineStr">
        <is>
          <t xml:space="preserve">28194770       </t>
        </is>
      </c>
      <c r="F2848" s="5" t="inlineStr">
        <is>
          <t>AUTOS DE METAL 3 TEAMSTERZ EN BLISTER</t>
        </is>
      </c>
      <c r="G2848" t="n">
        <v>1</v>
      </c>
      <c r="H2848" s="7" t="n">
        <v>6.9</v>
      </c>
      <c r="I2848" s="7" t="n">
        <v>0</v>
      </c>
      <c r="J2848" s="7" t="n">
        <v>0</v>
      </c>
      <c r="K2848" s="9" t="n">
        <v>0</v>
      </c>
      <c r="L2848" s="10" t="n">
        <v>4.1</v>
      </c>
      <c r="M2848" s="10" t="n">
        <v>1.43</v>
      </c>
      <c r="N2848" t="inlineStr">
        <is>
          <t>1</t>
        </is>
      </c>
      <c r="O2848" t="inlineStr">
        <is>
          <t>16</t>
        </is>
      </c>
      <c r="P2848" t="inlineStr">
        <is>
          <t xml:space="preserve">27455   </t>
        </is>
      </c>
      <c r="Q2848" s="26" t="n">
        <v>4.09</v>
      </c>
      <c r="R2848" s="26">
        <f>Q2848*G2848</f>
        <v/>
      </c>
      <c r="S2848" s="26">
        <f>IFERROR(VLOOKUP(E2848*1,Tabla[#All],8,0),0)</f>
        <v/>
      </c>
      <c r="T2848" s="26">
        <f>S2848*G2848</f>
        <v/>
      </c>
      <c r="U2848" s="26">
        <f>R2848-T2848</f>
        <v/>
      </c>
      <c r="V2848" s="26">
        <f>U2848-L2848</f>
        <v/>
      </c>
    </row>
    <row r="2849">
      <c r="A2849" s="11" t="n">
        <v>46231</v>
      </c>
      <c r="B2849" s="1" t="n">
        <v>20030</v>
      </c>
      <c r="C2849" s="1" t="inlineStr">
        <is>
          <t>067</t>
        </is>
      </c>
      <c r="D2849" s="1" t="inlineStr">
        <is>
          <t>275289</t>
        </is>
      </c>
      <c r="E2849" s="1" t="inlineStr">
        <is>
          <t xml:space="preserve">28194770       </t>
        </is>
      </c>
      <c r="F2849" s="5" t="inlineStr">
        <is>
          <t>AUTOS DE METAL 3 TEAMSTERZ EN BLISTER</t>
        </is>
      </c>
      <c r="G2849" t="n">
        <v>1</v>
      </c>
      <c r="H2849" s="7" t="n">
        <v>6.9</v>
      </c>
      <c r="I2849" s="7" t="n">
        <v>0</v>
      </c>
      <c r="J2849" s="7" t="n">
        <v>0</v>
      </c>
      <c r="K2849" s="9" t="n">
        <v>0</v>
      </c>
      <c r="L2849" s="10" t="n">
        <v>4.1</v>
      </c>
      <c r="M2849" s="10" t="n">
        <v>1.43</v>
      </c>
      <c r="N2849" t="inlineStr">
        <is>
          <t>1</t>
        </is>
      </c>
      <c r="O2849" t="inlineStr">
        <is>
          <t>16</t>
        </is>
      </c>
      <c r="P2849" t="inlineStr">
        <is>
          <t xml:space="preserve">27455   </t>
        </is>
      </c>
      <c r="Q2849" s="26" t="n">
        <v>4.09</v>
      </c>
      <c r="R2849" s="26">
        <f>Q2849*G2849</f>
        <v/>
      </c>
      <c r="S2849" s="26">
        <f>IFERROR(VLOOKUP(E2849*1,Tabla[#All],8,0),0)</f>
        <v/>
      </c>
      <c r="T2849" s="26">
        <f>S2849*G2849</f>
        <v/>
      </c>
      <c r="U2849" s="26">
        <f>R2849-T2849</f>
        <v/>
      </c>
      <c r="V2849" s="26">
        <f>U2849-L2849</f>
        <v/>
      </c>
    </row>
    <row r="2850">
      <c r="A2850" s="11" t="n">
        <v>46231</v>
      </c>
      <c r="B2850" s="1" t="n">
        <v>20040</v>
      </c>
      <c r="C2850" s="1" t="inlineStr">
        <is>
          <t>083</t>
        </is>
      </c>
      <c r="D2850" s="1" t="inlineStr">
        <is>
          <t>160970</t>
        </is>
      </c>
      <c r="E2850" s="1" t="inlineStr">
        <is>
          <t xml:space="preserve">31675352       </t>
        </is>
      </c>
      <c r="F2850" s="5" t="inlineStr">
        <is>
          <t>MI PEQUENO NENUCO</t>
        </is>
      </c>
      <c r="G2850" t="n">
        <v>1</v>
      </c>
      <c r="H2850" s="7" t="n">
        <v>49.9</v>
      </c>
      <c r="I2850" s="7" t="n">
        <v>0</v>
      </c>
      <c r="J2850" s="7" t="n">
        <v>0</v>
      </c>
      <c r="K2850" s="9" t="n">
        <v>0</v>
      </c>
      <c r="L2850" s="10" t="n">
        <v>29.6</v>
      </c>
      <c r="M2850" s="10" t="n">
        <v>1.43</v>
      </c>
      <c r="N2850" t="inlineStr">
        <is>
          <t>1</t>
        </is>
      </c>
      <c r="O2850" t="inlineStr">
        <is>
          <t xml:space="preserve">2 </t>
        </is>
      </c>
      <c r="P2850" t="inlineStr">
        <is>
          <t xml:space="preserve">242786  </t>
        </is>
      </c>
      <c r="Q2850" s="26" t="n">
        <v>41.47</v>
      </c>
      <c r="R2850" s="26">
        <f>Q2850*G2850</f>
        <v/>
      </c>
      <c r="S2850" s="26">
        <f>IFERROR(VLOOKUP(E2850*1,Tabla[#All],8,0),0)</f>
        <v/>
      </c>
      <c r="T2850" s="26">
        <f>S2850*G2850</f>
        <v/>
      </c>
      <c r="U2850" s="26">
        <f>R2850-T2850</f>
        <v/>
      </c>
      <c r="V2850" s="26">
        <f>U2850-L2850</f>
        <v/>
      </c>
    </row>
    <row r="2851">
      <c r="A2851" s="11" t="n">
        <v>46231</v>
      </c>
      <c r="B2851" s="1" t="n">
        <v>20040</v>
      </c>
      <c r="C2851" s="1" t="inlineStr">
        <is>
          <t>190</t>
        </is>
      </c>
      <c r="D2851" s="1" t="inlineStr">
        <is>
          <t>369322</t>
        </is>
      </c>
      <c r="E2851" s="1" t="inlineStr">
        <is>
          <t xml:space="preserve">30232283       </t>
        </is>
      </c>
      <c r="F2851" s="5" t="inlineStr">
        <is>
          <t>INFINITY NADO PACK DE 2 TROMPOS DE BATALLA METAL</t>
        </is>
      </c>
      <c r="G2851" t="n">
        <v>1</v>
      </c>
      <c r="H2851" s="7" t="n">
        <v>59.9</v>
      </c>
      <c r="I2851" s="7" t="n">
        <v>0</v>
      </c>
      <c r="J2851" s="7" t="n">
        <v>0</v>
      </c>
      <c r="K2851" s="9" t="n">
        <v>0</v>
      </c>
      <c r="L2851" s="10" t="n">
        <v>35.53</v>
      </c>
      <c r="M2851" s="10" t="n">
        <v>1.43</v>
      </c>
      <c r="N2851" t="inlineStr">
        <is>
          <t>1</t>
        </is>
      </c>
      <c r="O2851" t="inlineStr">
        <is>
          <t xml:space="preserve">2 </t>
        </is>
      </c>
      <c r="P2851" t="inlineStr">
        <is>
          <t xml:space="preserve">247275  </t>
        </is>
      </c>
      <c r="Q2851" s="26" t="n">
        <v>47.4</v>
      </c>
      <c r="R2851" s="26">
        <f>Q2851*G2851</f>
        <v/>
      </c>
      <c r="S2851" s="26">
        <f>IFERROR(VLOOKUP(E2851*1,Tabla[#All],8,0),0)</f>
        <v/>
      </c>
      <c r="T2851" s="26">
        <f>S2851*G2851</f>
        <v/>
      </c>
      <c r="U2851" s="26">
        <f>R2851-T2851</f>
        <v/>
      </c>
      <c r="V2851" s="26">
        <f>U2851-L2851</f>
        <v/>
      </c>
    </row>
    <row r="2852">
      <c r="A2852" s="11" t="n">
        <v>46231</v>
      </c>
      <c r="B2852" s="1" t="n">
        <v>20040</v>
      </c>
      <c r="C2852" s="1" t="inlineStr">
        <is>
          <t>832</t>
        </is>
      </c>
      <c r="D2852" s="1" t="inlineStr">
        <is>
          <t xml:space="preserve">3748  </t>
        </is>
      </c>
      <c r="E2852" s="1" t="inlineStr">
        <is>
          <t xml:space="preserve">31754676       </t>
        </is>
      </c>
      <c r="F2852" s="5" t="inlineStr">
        <is>
          <t>INFINITY NADO SERIE 6 STD PACK LANZ ESPAD ANILLO M</t>
        </is>
      </c>
      <c r="G2852" t="n">
        <v>1</v>
      </c>
      <c r="H2852" s="7" t="n">
        <v>59.9</v>
      </c>
      <c r="I2852" s="7" t="n">
        <v>0</v>
      </c>
      <c r="J2852" s="7" t="n">
        <v>0</v>
      </c>
      <c r="K2852" s="9" t="n">
        <v>0</v>
      </c>
      <c r="L2852" s="10" t="n">
        <v>35.53</v>
      </c>
      <c r="M2852" s="10" t="n">
        <v>1.43</v>
      </c>
      <c r="N2852" t="inlineStr">
        <is>
          <t>1</t>
        </is>
      </c>
      <c r="O2852" t="inlineStr">
        <is>
          <t>16</t>
        </is>
      </c>
      <c r="P2852" t="inlineStr">
        <is>
          <t xml:space="preserve">0       </t>
        </is>
      </c>
      <c r="Q2852" s="26" t="n">
        <v>47.4</v>
      </c>
      <c r="R2852" s="26">
        <f>Q2852*G2852</f>
        <v/>
      </c>
      <c r="S2852" s="26">
        <f>IFERROR(VLOOKUP(E2852*1,Tabla[#All],8,0),0)</f>
        <v/>
      </c>
      <c r="T2852" s="26">
        <f>S2852*G2852</f>
        <v/>
      </c>
      <c r="U2852" s="26">
        <f>R2852-T2852</f>
        <v/>
      </c>
      <c r="V2852" s="26">
        <f>U2852-L2852</f>
        <v/>
      </c>
    </row>
    <row r="2853">
      <c r="A2853" s="11" t="n">
        <v>46231</v>
      </c>
      <c r="B2853" s="1" t="n">
        <v>20041</v>
      </c>
      <c r="C2853" s="1" t="inlineStr">
        <is>
          <t>016</t>
        </is>
      </c>
      <c r="D2853" s="1" t="inlineStr">
        <is>
          <t>217128</t>
        </is>
      </c>
      <c r="E2853" s="1" t="inlineStr">
        <is>
          <t xml:space="preserve">28194770       </t>
        </is>
      </c>
      <c r="F2853" s="5" t="inlineStr">
        <is>
          <t>AUTOS DE METAL 3 TEAMSTERZ EN BLISTER</t>
        </is>
      </c>
      <c r="G2853" t="n">
        <v>1</v>
      </c>
      <c r="H2853" s="7" t="n">
        <v>6.9</v>
      </c>
      <c r="I2853" s="7" t="n">
        <v>0</v>
      </c>
      <c r="J2853" s="7" t="n">
        <v>0</v>
      </c>
      <c r="K2853" s="9" t="n">
        <v>0</v>
      </c>
      <c r="L2853" s="10" t="n">
        <v>4.1</v>
      </c>
      <c r="M2853" s="10" t="n">
        <v>1.43</v>
      </c>
      <c r="N2853" t="inlineStr">
        <is>
          <t>1</t>
        </is>
      </c>
      <c r="O2853" t="inlineStr">
        <is>
          <t>16</t>
        </is>
      </c>
      <c r="P2853" t="inlineStr">
        <is>
          <t xml:space="preserve">242748  </t>
        </is>
      </c>
      <c r="Q2853" s="26" t="n">
        <v>4.09</v>
      </c>
      <c r="R2853" s="26">
        <f>Q2853*G2853</f>
        <v/>
      </c>
      <c r="S2853" s="26">
        <f>IFERROR(VLOOKUP(E2853*1,Tabla[#All],8,0),0)</f>
        <v/>
      </c>
      <c r="T2853" s="26">
        <f>S2853*G2853</f>
        <v/>
      </c>
      <c r="U2853" s="26">
        <f>R2853-T2853</f>
        <v/>
      </c>
      <c r="V2853" s="26">
        <f>U2853-L2853</f>
        <v/>
      </c>
    </row>
    <row r="2854">
      <c r="A2854" s="11" t="n">
        <v>46231</v>
      </c>
      <c r="B2854" s="1" t="n">
        <v>20041</v>
      </c>
      <c r="C2854" s="1" t="inlineStr">
        <is>
          <t>018</t>
        </is>
      </c>
      <c r="D2854" s="1" t="inlineStr">
        <is>
          <t xml:space="preserve">57306 </t>
        </is>
      </c>
      <c r="E2854" s="1" t="inlineStr">
        <is>
          <t xml:space="preserve">28194766       </t>
        </is>
      </c>
      <c r="F2854" s="5" t="inlineStr">
        <is>
          <t>CAMIONES TEAMSTERZ DE CIUDAD</t>
        </is>
      </c>
      <c r="G2854" t="n">
        <v>1</v>
      </c>
      <c r="H2854" s="7" t="n">
        <v>17.9</v>
      </c>
      <c r="I2854" s="7" t="n">
        <v>0</v>
      </c>
      <c r="J2854" s="7" t="n">
        <v>0</v>
      </c>
      <c r="K2854" s="9" t="n">
        <v>0</v>
      </c>
      <c r="L2854" s="10" t="n">
        <v>10.62</v>
      </c>
      <c r="M2854" s="10" t="n">
        <v>1.43</v>
      </c>
      <c r="N2854" t="inlineStr">
        <is>
          <t>1</t>
        </is>
      </c>
      <c r="O2854" t="inlineStr">
        <is>
          <t xml:space="preserve">2 </t>
        </is>
      </c>
      <c r="P2854" t="inlineStr">
        <is>
          <t xml:space="preserve">242746  </t>
        </is>
      </c>
      <c r="Q2854" s="26" t="n">
        <v>10.62</v>
      </c>
      <c r="R2854" s="26">
        <f>Q2854*G2854</f>
        <v/>
      </c>
      <c r="S2854" s="26">
        <f>IFERROR(VLOOKUP(E2854*1,Tabla[#All],8,0),0)</f>
        <v/>
      </c>
      <c r="T2854" s="26">
        <f>S2854*G2854</f>
        <v/>
      </c>
      <c r="U2854" s="26">
        <f>R2854-T2854</f>
        <v/>
      </c>
      <c r="V2854" s="26">
        <f>U2854-L2854</f>
        <v/>
      </c>
    </row>
    <row r="2855">
      <c r="A2855" s="11" t="n">
        <v>46231</v>
      </c>
      <c r="B2855" s="1" t="n">
        <v>20041</v>
      </c>
      <c r="C2855" s="1" t="inlineStr">
        <is>
          <t>020</t>
        </is>
      </c>
      <c r="D2855" s="1" t="inlineStr">
        <is>
          <t>367804</t>
        </is>
      </c>
      <c r="E2855" s="1" t="inlineStr">
        <is>
          <t xml:space="preserve">28194770       </t>
        </is>
      </c>
      <c r="F2855" s="5" t="inlineStr">
        <is>
          <t>AUTOS DE METAL 3 TEAMSTERZ EN BLISTER</t>
        </is>
      </c>
      <c r="G2855" t="n">
        <v>1</v>
      </c>
      <c r="H2855" s="7" t="n">
        <v>6.9</v>
      </c>
      <c r="I2855" s="7" t="n">
        <v>0</v>
      </c>
      <c r="J2855" s="7" t="n">
        <v>0</v>
      </c>
      <c r="K2855" s="9" t="n">
        <v>0</v>
      </c>
      <c r="L2855" s="10" t="n">
        <v>4.1</v>
      </c>
      <c r="M2855" s="10" t="n">
        <v>1.43</v>
      </c>
      <c r="N2855" t="inlineStr">
        <is>
          <t>1</t>
        </is>
      </c>
      <c r="O2855" t="inlineStr">
        <is>
          <t xml:space="preserve">2 </t>
        </is>
      </c>
      <c r="P2855" t="inlineStr">
        <is>
          <t xml:space="preserve">242747  </t>
        </is>
      </c>
      <c r="Q2855" s="26" t="n">
        <v>4.09</v>
      </c>
      <c r="R2855" s="26">
        <f>Q2855*G2855</f>
        <v/>
      </c>
      <c r="S2855" s="26">
        <f>IFERROR(VLOOKUP(E2855*1,Tabla[#All],8,0),0)</f>
        <v/>
      </c>
      <c r="T2855" s="26">
        <f>S2855*G2855</f>
        <v/>
      </c>
      <c r="U2855" s="26">
        <f>R2855-T2855</f>
        <v/>
      </c>
      <c r="V2855" s="26">
        <f>U2855-L2855</f>
        <v/>
      </c>
    </row>
    <row r="2856">
      <c r="A2856" s="11" t="n">
        <v>46231</v>
      </c>
      <c r="B2856" s="1" t="n">
        <v>20041</v>
      </c>
      <c r="C2856" s="1" t="inlineStr">
        <is>
          <t>031</t>
        </is>
      </c>
      <c r="D2856" s="1" t="inlineStr">
        <is>
          <t>167103</t>
        </is>
      </c>
      <c r="E2856" s="1" t="inlineStr">
        <is>
          <t xml:space="preserve">28194770       </t>
        </is>
      </c>
      <c r="F2856" s="5" t="inlineStr">
        <is>
          <t>AUTOS DE METAL 3 TEAMSTERZ EN BLISTER</t>
        </is>
      </c>
      <c r="G2856" t="n">
        <v>1</v>
      </c>
      <c r="H2856" s="7" t="n">
        <v>6.9</v>
      </c>
      <c r="I2856" s="7" t="n">
        <v>0</v>
      </c>
      <c r="J2856" s="7" t="n">
        <v>0</v>
      </c>
      <c r="K2856" s="9" t="n">
        <v>0</v>
      </c>
      <c r="L2856" s="10" t="n">
        <v>4.1</v>
      </c>
      <c r="M2856" s="10" t="n">
        <v>1.43</v>
      </c>
      <c r="N2856" t="inlineStr">
        <is>
          <t>1</t>
        </is>
      </c>
      <c r="O2856" t="inlineStr">
        <is>
          <t xml:space="preserve">2 </t>
        </is>
      </c>
      <c r="P2856" t="inlineStr">
        <is>
          <t xml:space="preserve">245842  </t>
        </is>
      </c>
      <c r="Q2856" s="26" t="n">
        <v>4.09</v>
      </c>
      <c r="R2856" s="26">
        <f>Q2856*G2856</f>
        <v/>
      </c>
      <c r="S2856" s="26">
        <f>IFERROR(VLOOKUP(E2856*1,Tabla[#All],8,0),0)</f>
        <v/>
      </c>
      <c r="T2856" s="26">
        <f>S2856*G2856</f>
        <v/>
      </c>
      <c r="U2856" s="26">
        <f>R2856-T2856</f>
        <v/>
      </c>
      <c r="V2856" s="26">
        <f>U2856-L2856</f>
        <v/>
      </c>
    </row>
    <row r="2857">
      <c r="A2857" s="11" t="n">
        <v>46231</v>
      </c>
      <c r="B2857" s="1" t="n">
        <v>20041</v>
      </c>
      <c r="C2857" s="1" t="inlineStr">
        <is>
          <t>031</t>
        </is>
      </c>
      <c r="D2857" s="1" t="inlineStr">
        <is>
          <t>167178</t>
        </is>
      </c>
      <c r="E2857" s="1" t="inlineStr">
        <is>
          <t xml:space="preserve">28194770       </t>
        </is>
      </c>
      <c r="F2857" s="5" t="inlineStr">
        <is>
          <t>AUTOS DE METAL 3 TEAMSTERZ EN BLISTER</t>
        </is>
      </c>
      <c r="G2857" t="n">
        <v>1</v>
      </c>
      <c r="H2857" s="7" t="n">
        <v>6.9</v>
      </c>
      <c r="I2857" s="7" t="n">
        <v>0</v>
      </c>
      <c r="J2857" s="7" t="n">
        <v>0</v>
      </c>
      <c r="K2857" s="9" t="n">
        <v>0</v>
      </c>
      <c r="L2857" s="10" t="n">
        <v>4.1</v>
      </c>
      <c r="M2857" s="10" t="n">
        <v>1.43</v>
      </c>
      <c r="N2857" t="inlineStr">
        <is>
          <t>1</t>
        </is>
      </c>
      <c r="O2857" t="inlineStr">
        <is>
          <t>16</t>
        </is>
      </c>
      <c r="P2857" t="inlineStr">
        <is>
          <t xml:space="preserve">245841  </t>
        </is>
      </c>
      <c r="Q2857" s="26" t="n">
        <v>4.09</v>
      </c>
      <c r="R2857" s="26">
        <f>Q2857*G2857</f>
        <v/>
      </c>
      <c r="S2857" s="26">
        <f>IFERROR(VLOOKUP(E2857*1,Tabla[#All],8,0),0)</f>
        <v/>
      </c>
      <c r="T2857" s="26">
        <f>S2857*G2857</f>
        <v/>
      </c>
      <c r="U2857" s="26">
        <f>R2857-T2857</f>
        <v/>
      </c>
      <c r="V2857" s="26">
        <f>U2857-L2857</f>
        <v/>
      </c>
    </row>
    <row r="2858">
      <c r="A2858" s="11" t="n">
        <v>46231</v>
      </c>
      <c r="B2858" s="1" t="n">
        <v>20041</v>
      </c>
      <c r="C2858" s="1" t="inlineStr">
        <is>
          <t>031</t>
        </is>
      </c>
      <c r="D2858" s="1" t="inlineStr">
        <is>
          <t>167178</t>
        </is>
      </c>
      <c r="E2858" s="1" t="inlineStr">
        <is>
          <t xml:space="preserve">28194770       </t>
        </is>
      </c>
      <c r="F2858" s="5" t="inlineStr">
        <is>
          <t>AUTOS DE METAL 3 TEAMSTERZ EN BLISTER</t>
        </is>
      </c>
      <c r="G2858" t="n">
        <v>1</v>
      </c>
      <c r="H2858" s="7" t="n">
        <v>6.9</v>
      </c>
      <c r="I2858" s="7" t="n">
        <v>0</v>
      </c>
      <c r="J2858" s="7" t="n">
        <v>0</v>
      </c>
      <c r="K2858" s="9" t="n">
        <v>0</v>
      </c>
      <c r="L2858" s="10" t="n">
        <v>4.1</v>
      </c>
      <c r="M2858" s="10" t="n">
        <v>1.43</v>
      </c>
      <c r="N2858" t="inlineStr">
        <is>
          <t>1</t>
        </is>
      </c>
      <c r="O2858" t="inlineStr">
        <is>
          <t>16</t>
        </is>
      </c>
      <c r="P2858" t="inlineStr">
        <is>
          <t xml:space="preserve">245841  </t>
        </is>
      </c>
      <c r="Q2858" s="26" t="n">
        <v>4.09</v>
      </c>
      <c r="R2858" s="26">
        <f>Q2858*G2858</f>
        <v/>
      </c>
      <c r="S2858" s="26">
        <f>IFERROR(VLOOKUP(E2858*1,Tabla[#All],8,0),0)</f>
        <v/>
      </c>
      <c r="T2858" s="26">
        <f>S2858*G2858</f>
        <v/>
      </c>
      <c r="U2858" s="26">
        <f>R2858-T2858</f>
        <v/>
      </c>
      <c r="V2858" s="26">
        <f>U2858-L2858</f>
        <v/>
      </c>
    </row>
    <row r="2859">
      <c r="A2859" s="11" t="n">
        <v>46231</v>
      </c>
      <c r="B2859" s="1" t="n">
        <v>20041</v>
      </c>
      <c r="C2859" s="1" t="inlineStr">
        <is>
          <t>031</t>
        </is>
      </c>
      <c r="D2859" s="1" t="inlineStr">
        <is>
          <t>167178</t>
        </is>
      </c>
      <c r="E2859" s="1" t="inlineStr">
        <is>
          <t xml:space="preserve">28194770       </t>
        </is>
      </c>
      <c r="F2859" s="5" t="inlineStr">
        <is>
          <t>AUTOS DE METAL 3 TEAMSTERZ EN BLISTER</t>
        </is>
      </c>
      <c r="G2859" t="n">
        <v>1</v>
      </c>
      <c r="H2859" s="7" t="n">
        <v>6.9</v>
      </c>
      <c r="I2859" s="7" t="n">
        <v>0</v>
      </c>
      <c r="J2859" s="7" t="n">
        <v>0</v>
      </c>
      <c r="K2859" s="9" t="n">
        <v>0</v>
      </c>
      <c r="L2859" s="10" t="n">
        <v>4.1</v>
      </c>
      <c r="M2859" s="10" t="n">
        <v>1.43</v>
      </c>
      <c r="N2859" t="inlineStr">
        <is>
          <t>1</t>
        </is>
      </c>
      <c r="O2859" t="inlineStr">
        <is>
          <t>16</t>
        </is>
      </c>
      <c r="P2859" t="inlineStr">
        <is>
          <t xml:space="preserve">245841  </t>
        </is>
      </c>
      <c r="Q2859" s="26" t="n">
        <v>4.09</v>
      </c>
      <c r="R2859" s="26">
        <f>Q2859*G2859</f>
        <v/>
      </c>
      <c r="S2859" s="26">
        <f>IFERROR(VLOOKUP(E2859*1,Tabla[#All],8,0),0)</f>
        <v/>
      </c>
      <c r="T2859" s="26">
        <f>S2859*G2859</f>
        <v/>
      </c>
      <c r="U2859" s="26">
        <f>R2859-T2859</f>
        <v/>
      </c>
      <c r="V2859" s="26">
        <f>U2859-L2859</f>
        <v/>
      </c>
    </row>
    <row r="2860">
      <c r="A2860" s="11" t="n">
        <v>46231</v>
      </c>
      <c r="B2860" s="1" t="n">
        <v>20041</v>
      </c>
      <c r="C2860" s="1" t="inlineStr">
        <is>
          <t>031</t>
        </is>
      </c>
      <c r="D2860" s="1" t="inlineStr">
        <is>
          <t>167184</t>
        </is>
      </c>
      <c r="E2860" s="1" t="inlineStr">
        <is>
          <t xml:space="preserve">28194770       </t>
        </is>
      </c>
      <c r="F2860" s="5" t="inlineStr">
        <is>
          <t>AUTOS DE METAL 3 TEAMSTERZ EN BLISTER</t>
        </is>
      </c>
      <c r="G2860" t="n">
        <v>1</v>
      </c>
      <c r="H2860" s="7" t="n">
        <v>6.9</v>
      </c>
      <c r="I2860" s="7" t="n">
        <v>0</v>
      </c>
      <c r="J2860" s="7" t="n">
        <v>0</v>
      </c>
      <c r="K2860" s="9" t="n">
        <v>0</v>
      </c>
      <c r="L2860" s="10" t="n">
        <v>4.1</v>
      </c>
      <c r="M2860" s="10" t="n">
        <v>1.43</v>
      </c>
      <c r="N2860" t="inlineStr">
        <is>
          <t>1</t>
        </is>
      </c>
      <c r="O2860" t="inlineStr">
        <is>
          <t>16</t>
        </is>
      </c>
      <c r="P2860" t="inlineStr">
        <is>
          <t xml:space="preserve">245841  </t>
        </is>
      </c>
      <c r="Q2860" s="26" t="n">
        <v>4.09</v>
      </c>
      <c r="R2860" s="26">
        <f>Q2860*G2860</f>
        <v/>
      </c>
      <c r="S2860" s="26">
        <f>IFERROR(VLOOKUP(E2860*1,Tabla[#All],8,0),0)</f>
        <v/>
      </c>
      <c r="T2860" s="26">
        <f>S2860*G2860</f>
        <v/>
      </c>
      <c r="U2860" s="26">
        <f>R2860-T2860</f>
        <v/>
      </c>
      <c r="V2860" s="26">
        <f>U2860-L2860</f>
        <v/>
      </c>
    </row>
    <row r="2861">
      <c r="A2861" s="11" t="n">
        <v>46231</v>
      </c>
      <c r="B2861" s="1" t="n">
        <v>20041</v>
      </c>
      <c r="C2861" s="1" t="inlineStr">
        <is>
          <t>032</t>
        </is>
      </c>
      <c r="D2861" s="1" t="inlineStr">
        <is>
          <t xml:space="preserve">9323  </t>
        </is>
      </c>
      <c r="E2861" s="1" t="inlineStr">
        <is>
          <t xml:space="preserve">28194770       </t>
        </is>
      </c>
      <c r="F2861" s="5" t="inlineStr">
        <is>
          <t>AUTOS DE METAL 3 TEAMSTERZ EN BLISTER</t>
        </is>
      </c>
      <c r="G2861" t="n">
        <v>1</v>
      </c>
      <c r="H2861" s="7" t="n">
        <v>6.9</v>
      </c>
      <c r="I2861" s="7" t="n">
        <v>0</v>
      </c>
      <c r="J2861" s="7" t="n">
        <v>0</v>
      </c>
      <c r="K2861" s="9" t="n">
        <v>0</v>
      </c>
      <c r="L2861" s="10" t="n">
        <v>4.1</v>
      </c>
      <c r="M2861" s="10" t="n">
        <v>1.43</v>
      </c>
      <c r="N2861" t="inlineStr">
        <is>
          <t>1</t>
        </is>
      </c>
      <c r="O2861" t="inlineStr">
        <is>
          <t xml:space="preserve">2 </t>
        </is>
      </c>
      <c r="P2861" t="inlineStr">
        <is>
          <t xml:space="preserve">35918   </t>
        </is>
      </c>
      <c r="Q2861" s="26" t="n">
        <v>4.09</v>
      </c>
      <c r="R2861" s="26">
        <f>Q2861*G2861</f>
        <v/>
      </c>
      <c r="S2861" s="26">
        <f>IFERROR(VLOOKUP(E2861*1,Tabla[#All],8,0),0)</f>
        <v/>
      </c>
      <c r="T2861" s="26">
        <f>S2861*G2861</f>
        <v/>
      </c>
      <c r="U2861" s="26">
        <f>R2861-T2861</f>
        <v/>
      </c>
      <c r="V2861" s="26">
        <f>U2861-L2861</f>
        <v/>
      </c>
    </row>
    <row r="2862">
      <c r="A2862" s="11" t="n">
        <v>46231</v>
      </c>
      <c r="B2862" s="1" t="n">
        <v>20043</v>
      </c>
      <c r="C2862" s="1" t="inlineStr">
        <is>
          <t>051</t>
        </is>
      </c>
      <c r="D2862" s="1" t="inlineStr">
        <is>
          <t>105946</t>
        </is>
      </c>
      <c r="E2862" s="1" t="inlineStr">
        <is>
          <t xml:space="preserve">28194770       </t>
        </is>
      </c>
      <c r="F2862" s="5" t="inlineStr">
        <is>
          <t>AUTOS DE METAL 3 TEAMSTERZ EN BLISTER</t>
        </is>
      </c>
      <c r="G2862" t="n">
        <v>1</v>
      </c>
      <c r="H2862" s="7" t="n">
        <v>6.9</v>
      </c>
      <c r="I2862" s="7" t="n">
        <v>0</v>
      </c>
      <c r="J2862" s="7" t="n">
        <v>0</v>
      </c>
      <c r="K2862" s="9" t="n">
        <v>0</v>
      </c>
      <c r="L2862" s="10" t="n">
        <v>4.1</v>
      </c>
      <c r="M2862" s="10" t="n">
        <v>1.43</v>
      </c>
      <c r="N2862" t="inlineStr">
        <is>
          <t>1</t>
        </is>
      </c>
      <c r="O2862" t="inlineStr">
        <is>
          <t>16</t>
        </is>
      </c>
      <c r="P2862" t="inlineStr">
        <is>
          <t xml:space="preserve">244243  </t>
        </is>
      </c>
      <c r="Q2862" s="26" t="n">
        <v>4.09</v>
      </c>
      <c r="R2862" s="26">
        <f>Q2862*G2862</f>
        <v/>
      </c>
      <c r="S2862" s="26">
        <f>IFERROR(VLOOKUP(E2862*1,Tabla[#All],8,0),0)</f>
        <v/>
      </c>
      <c r="T2862" s="26">
        <f>S2862*G2862</f>
        <v/>
      </c>
      <c r="U2862" s="26">
        <f>R2862-T2862</f>
        <v/>
      </c>
      <c r="V2862" s="26">
        <f>U2862-L2862</f>
        <v/>
      </c>
    </row>
    <row r="2863">
      <c r="A2863" s="11" t="n">
        <v>46231</v>
      </c>
      <c r="B2863" s="1" t="n">
        <v>20043</v>
      </c>
      <c r="C2863" s="1" t="inlineStr">
        <is>
          <t>051</t>
        </is>
      </c>
      <c r="D2863" s="1" t="inlineStr">
        <is>
          <t>105946</t>
        </is>
      </c>
      <c r="E2863" s="1" t="inlineStr">
        <is>
          <t xml:space="preserve">28194770       </t>
        </is>
      </c>
      <c r="F2863" s="5" t="inlineStr">
        <is>
          <t>AUTOS DE METAL 3 TEAMSTERZ EN BLISTER</t>
        </is>
      </c>
      <c r="G2863" t="n">
        <v>1</v>
      </c>
      <c r="H2863" s="7" t="n">
        <v>6.9</v>
      </c>
      <c r="I2863" s="7" t="n">
        <v>0</v>
      </c>
      <c r="J2863" s="7" t="n">
        <v>0</v>
      </c>
      <c r="K2863" s="9" t="n">
        <v>0</v>
      </c>
      <c r="L2863" s="10" t="n">
        <v>4.1</v>
      </c>
      <c r="M2863" s="10" t="n">
        <v>1.43</v>
      </c>
      <c r="N2863" t="inlineStr">
        <is>
          <t>1</t>
        </is>
      </c>
      <c r="O2863" t="inlineStr">
        <is>
          <t>16</t>
        </is>
      </c>
      <c r="P2863" t="inlineStr">
        <is>
          <t xml:space="preserve">244243  </t>
        </is>
      </c>
      <c r="Q2863" s="26" t="n">
        <v>4.09</v>
      </c>
      <c r="R2863" s="26">
        <f>Q2863*G2863</f>
        <v/>
      </c>
      <c r="S2863" s="26">
        <f>IFERROR(VLOOKUP(E2863*1,Tabla[#All],8,0),0)</f>
        <v/>
      </c>
      <c r="T2863" s="26">
        <f>S2863*G2863</f>
        <v/>
      </c>
      <c r="U2863" s="26">
        <f>R2863-T2863</f>
        <v/>
      </c>
      <c r="V2863" s="26">
        <f>U2863-L2863</f>
        <v/>
      </c>
    </row>
    <row r="2864">
      <c r="A2864" s="11" t="n">
        <v>46231</v>
      </c>
      <c r="B2864" s="1" t="n">
        <v>20043</v>
      </c>
      <c r="C2864" s="1" t="inlineStr">
        <is>
          <t>051</t>
        </is>
      </c>
      <c r="D2864" s="1" t="inlineStr">
        <is>
          <t>105950</t>
        </is>
      </c>
      <c r="E2864" s="1" t="inlineStr">
        <is>
          <t xml:space="preserve">34840551       </t>
        </is>
      </c>
      <c r="F2864" s="5" t="inlineStr">
        <is>
          <t>TMZ HELI BOMBERO CON LUCES Y SONIDOS</t>
        </is>
      </c>
      <c r="G2864" t="n">
        <v>1</v>
      </c>
      <c r="H2864" s="7" t="n">
        <v>79.90000000000001</v>
      </c>
      <c r="I2864" s="7" t="n">
        <v>0</v>
      </c>
      <c r="J2864" s="7" t="n">
        <v>0</v>
      </c>
      <c r="K2864" s="9" t="n">
        <v>0</v>
      </c>
      <c r="L2864" s="10" t="n">
        <v>47.4</v>
      </c>
      <c r="M2864" s="10" t="n">
        <v>1.43</v>
      </c>
      <c r="N2864" t="inlineStr">
        <is>
          <t>1</t>
        </is>
      </c>
      <c r="O2864" t="inlineStr">
        <is>
          <t>16</t>
        </is>
      </c>
      <c r="P2864" t="inlineStr">
        <is>
          <t xml:space="preserve">244243  </t>
        </is>
      </c>
      <c r="Q2864" s="26" t="n">
        <v>47.4</v>
      </c>
      <c r="R2864" s="26">
        <f>Q2864*G2864</f>
        <v/>
      </c>
      <c r="S2864" s="26">
        <f>IFERROR(VLOOKUP(E2864*1,Tabla[#All],8,0),0)</f>
        <v/>
      </c>
      <c r="T2864" s="26">
        <f>S2864*G2864</f>
        <v/>
      </c>
      <c r="U2864" s="26">
        <f>R2864-T2864</f>
        <v/>
      </c>
      <c r="V2864" s="26">
        <f>U2864-L2864</f>
        <v/>
      </c>
    </row>
    <row r="2865">
      <c r="A2865" s="11" t="n">
        <v>46231</v>
      </c>
      <c r="B2865" s="1" t="n">
        <v>20043</v>
      </c>
      <c r="C2865" s="1" t="inlineStr">
        <is>
          <t>051</t>
        </is>
      </c>
      <c r="D2865" s="1" t="inlineStr">
        <is>
          <t>105963</t>
        </is>
      </c>
      <c r="E2865" s="1" t="inlineStr">
        <is>
          <t xml:space="preserve">28194770       </t>
        </is>
      </c>
      <c r="F2865" s="5" t="inlineStr">
        <is>
          <t>AUTOS DE METAL 3 TEAMSTERZ EN BLISTER</t>
        </is>
      </c>
      <c r="G2865" t="n">
        <v>1</v>
      </c>
      <c r="H2865" s="7" t="n">
        <v>6.9</v>
      </c>
      <c r="I2865" s="7" t="n">
        <v>0</v>
      </c>
      <c r="J2865" s="7" t="n">
        <v>0</v>
      </c>
      <c r="K2865" s="9" t="n">
        <v>0</v>
      </c>
      <c r="L2865" s="10" t="n">
        <v>4.1</v>
      </c>
      <c r="M2865" s="10" t="n">
        <v>1.43</v>
      </c>
      <c r="N2865" t="inlineStr">
        <is>
          <t>1</t>
        </is>
      </c>
      <c r="O2865" t="inlineStr">
        <is>
          <t>16</t>
        </is>
      </c>
      <c r="P2865" t="inlineStr">
        <is>
          <t xml:space="preserve">244243  </t>
        </is>
      </c>
      <c r="Q2865" s="26" t="n">
        <v>4.09</v>
      </c>
      <c r="R2865" s="26">
        <f>Q2865*G2865</f>
        <v/>
      </c>
      <c r="S2865" s="26">
        <f>IFERROR(VLOOKUP(E2865*1,Tabla[#All],8,0),0)</f>
        <v/>
      </c>
      <c r="T2865" s="26">
        <f>S2865*G2865</f>
        <v/>
      </c>
      <c r="U2865" s="26">
        <f>R2865-T2865</f>
        <v/>
      </c>
      <c r="V2865" s="26">
        <f>U2865-L2865</f>
        <v/>
      </c>
    </row>
    <row r="2866">
      <c r="A2866" s="11" t="n">
        <v>46231</v>
      </c>
      <c r="B2866" s="1" t="n">
        <v>20047</v>
      </c>
      <c r="C2866" s="1" t="inlineStr">
        <is>
          <t>191</t>
        </is>
      </c>
      <c r="D2866" s="1" t="inlineStr">
        <is>
          <t>463988</t>
        </is>
      </c>
      <c r="E2866" s="1" t="inlineStr">
        <is>
          <t xml:space="preserve">28194770       </t>
        </is>
      </c>
      <c r="F2866" s="5" t="inlineStr">
        <is>
          <t>AUTOS DE METAL 3 TEAMSTERZ EN BLISTER</t>
        </is>
      </c>
      <c r="G2866" t="n">
        <v>1</v>
      </c>
      <c r="H2866" s="7" t="n">
        <v>6.9</v>
      </c>
      <c r="I2866" s="7" t="n">
        <v>0.6899999999999999</v>
      </c>
      <c r="J2866" s="7" t="n">
        <v>0</v>
      </c>
      <c r="K2866" s="9" t="n">
        <v>0.6899999999999999</v>
      </c>
      <c r="L2866" s="10" t="n">
        <v>3.68</v>
      </c>
      <c r="M2866" s="10" t="n">
        <v>1.43</v>
      </c>
      <c r="N2866" t="inlineStr">
        <is>
          <t>1</t>
        </is>
      </c>
      <c r="O2866" t="inlineStr">
        <is>
          <t xml:space="preserve">3 </t>
        </is>
      </c>
      <c r="P2866" t="inlineStr">
        <is>
          <t xml:space="preserve">245750  </t>
        </is>
      </c>
      <c r="Q2866" s="26" t="n">
        <v>4.09</v>
      </c>
      <c r="R2866" s="26">
        <f>Q2866*G2866</f>
        <v/>
      </c>
      <c r="S2866" s="26">
        <f>IFERROR(VLOOKUP(E2866*1,Tabla[#All],8,0),0)</f>
        <v/>
      </c>
      <c r="T2866" s="26">
        <f>S2866*G2866</f>
        <v/>
      </c>
      <c r="U2866" s="26">
        <f>R2866-T2866</f>
        <v/>
      </c>
      <c r="V2866" s="26">
        <f>U2866-L2866</f>
        <v/>
      </c>
    </row>
    <row r="2867">
      <c r="A2867" s="11" t="n">
        <v>46231</v>
      </c>
      <c r="B2867" s="1" t="n">
        <v>20047</v>
      </c>
      <c r="C2867" s="1" t="inlineStr">
        <is>
          <t>191</t>
        </is>
      </c>
      <c r="D2867" s="1" t="inlineStr">
        <is>
          <t>464003</t>
        </is>
      </c>
      <c r="E2867" s="1" t="inlineStr">
        <is>
          <t xml:space="preserve">28194770       </t>
        </is>
      </c>
      <c r="F2867" s="5" t="inlineStr">
        <is>
          <t>AUTOS DE METAL 3 TEAMSTERZ EN BLISTER</t>
        </is>
      </c>
      <c r="G2867" t="n">
        <v>1</v>
      </c>
      <c r="H2867" s="7" t="n">
        <v>6.9</v>
      </c>
      <c r="I2867" s="7" t="n">
        <v>0</v>
      </c>
      <c r="J2867" s="7" t="n">
        <v>0</v>
      </c>
      <c r="K2867" s="9" t="n">
        <v>0</v>
      </c>
      <c r="L2867" s="10" t="n">
        <v>4.1</v>
      </c>
      <c r="M2867" s="10" t="n">
        <v>1.43</v>
      </c>
      <c r="N2867" t="inlineStr">
        <is>
          <t>1</t>
        </is>
      </c>
      <c r="O2867" t="inlineStr">
        <is>
          <t xml:space="preserve">2 </t>
        </is>
      </c>
      <c r="P2867" t="inlineStr">
        <is>
          <t xml:space="preserve">245750  </t>
        </is>
      </c>
      <c r="Q2867" s="26" t="n">
        <v>4.09</v>
      </c>
      <c r="R2867" s="26">
        <f>Q2867*G2867</f>
        <v/>
      </c>
      <c r="S2867" s="26">
        <f>IFERROR(VLOOKUP(E2867*1,Tabla[#All],8,0),0)</f>
        <v/>
      </c>
      <c r="T2867" s="26">
        <f>S2867*G2867</f>
        <v/>
      </c>
      <c r="U2867" s="26">
        <f>R2867-T2867</f>
        <v/>
      </c>
      <c r="V2867" s="26">
        <f>U2867-L2867</f>
        <v/>
      </c>
    </row>
    <row r="2868">
      <c r="A2868" s="11" t="n">
        <v>46231</v>
      </c>
      <c r="B2868" s="1" t="n">
        <v>20047</v>
      </c>
      <c r="C2868" s="1" t="inlineStr">
        <is>
          <t>191</t>
        </is>
      </c>
      <c r="D2868" s="1" t="inlineStr">
        <is>
          <t>464010</t>
        </is>
      </c>
      <c r="E2868" s="1" t="inlineStr">
        <is>
          <t xml:space="preserve">28194770       </t>
        </is>
      </c>
      <c r="F2868" s="5" t="inlineStr">
        <is>
          <t>AUTOS DE METAL 3 TEAMSTERZ EN BLISTER</t>
        </is>
      </c>
      <c r="G2868" t="n">
        <v>1</v>
      </c>
      <c r="H2868" s="7" t="n">
        <v>6.9</v>
      </c>
      <c r="I2868" s="7" t="n">
        <v>0</v>
      </c>
      <c r="J2868" s="7" t="n">
        <v>0</v>
      </c>
      <c r="K2868" s="9" t="n">
        <v>0</v>
      </c>
      <c r="L2868" s="10" t="n">
        <v>4.1</v>
      </c>
      <c r="M2868" s="10" t="n">
        <v>1.43</v>
      </c>
      <c r="N2868" t="inlineStr">
        <is>
          <t>1</t>
        </is>
      </c>
      <c r="O2868" t="inlineStr">
        <is>
          <t xml:space="preserve">2 </t>
        </is>
      </c>
      <c r="P2868" t="inlineStr">
        <is>
          <t xml:space="preserve">245750  </t>
        </is>
      </c>
      <c r="Q2868" s="26" t="n">
        <v>4.09</v>
      </c>
      <c r="R2868" s="26">
        <f>Q2868*G2868</f>
        <v/>
      </c>
      <c r="S2868" s="26">
        <f>IFERROR(VLOOKUP(E2868*1,Tabla[#All],8,0),0)</f>
        <v/>
      </c>
      <c r="T2868" s="26">
        <f>S2868*G2868</f>
        <v/>
      </c>
      <c r="U2868" s="26">
        <f>R2868-T2868</f>
        <v/>
      </c>
      <c r="V2868" s="26">
        <f>U2868-L2868</f>
        <v/>
      </c>
    </row>
    <row r="2869">
      <c r="A2869" s="11" t="n">
        <v>46231</v>
      </c>
      <c r="B2869" s="1" t="n">
        <v>20047</v>
      </c>
      <c r="C2869" s="1" t="inlineStr">
        <is>
          <t>191</t>
        </is>
      </c>
      <c r="D2869" s="1" t="inlineStr">
        <is>
          <t>464044</t>
        </is>
      </c>
      <c r="E2869" s="1" t="inlineStr">
        <is>
          <t xml:space="preserve">28194770       </t>
        </is>
      </c>
      <c r="F2869" s="5" t="inlineStr">
        <is>
          <t>AUTOS DE METAL 3 TEAMSTERZ EN BLISTER</t>
        </is>
      </c>
      <c r="G2869" t="n">
        <v>1</v>
      </c>
      <c r="H2869" s="7" t="n">
        <v>6.9</v>
      </c>
      <c r="I2869" s="7" t="n">
        <v>0</v>
      </c>
      <c r="J2869" s="7" t="n">
        <v>0</v>
      </c>
      <c r="K2869" s="9" t="n">
        <v>0</v>
      </c>
      <c r="L2869" s="10" t="n">
        <v>4.1</v>
      </c>
      <c r="M2869" s="10" t="n">
        <v>1.43</v>
      </c>
      <c r="N2869" t="inlineStr">
        <is>
          <t>1</t>
        </is>
      </c>
      <c r="O2869" t="inlineStr">
        <is>
          <t xml:space="preserve">2 </t>
        </is>
      </c>
      <c r="P2869" t="inlineStr">
        <is>
          <t xml:space="preserve">245862  </t>
        </is>
      </c>
      <c r="Q2869" s="26" t="n">
        <v>4.09</v>
      </c>
      <c r="R2869" s="26">
        <f>Q2869*G2869</f>
        <v/>
      </c>
      <c r="S2869" s="26">
        <f>IFERROR(VLOOKUP(E2869*1,Tabla[#All],8,0),0)</f>
        <v/>
      </c>
      <c r="T2869" s="26">
        <f>S2869*G2869</f>
        <v/>
      </c>
      <c r="U2869" s="26">
        <f>R2869-T2869</f>
        <v/>
      </c>
      <c r="V2869" s="26">
        <f>U2869-L2869</f>
        <v/>
      </c>
    </row>
    <row r="2870">
      <c r="A2870" s="11" t="n">
        <v>46231</v>
      </c>
      <c r="B2870" s="1" t="n">
        <v>20048</v>
      </c>
      <c r="C2870" s="1" t="inlineStr">
        <is>
          <t>013</t>
        </is>
      </c>
      <c r="D2870" s="1" t="inlineStr">
        <is>
          <t>226980</t>
        </is>
      </c>
      <c r="E2870" s="1" t="inlineStr">
        <is>
          <t xml:space="preserve">34840556       </t>
        </is>
      </c>
      <c r="F2870" s="5" t="inlineStr">
        <is>
          <t>TMZ BEAST MACH. TRANSPORT DINO +ACCS</t>
        </is>
      </c>
      <c r="G2870" t="n">
        <v>1</v>
      </c>
      <c r="H2870" s="7" t="n">
        <v>59.9</v>
      </c>
      <c r="I2870" s="7" t="n">
        <v>0</v>
      </c>
      <c r="J2870" s="7" t="n">
        <v>0</v>
      </c>
      <c r="K2870" s="9" t="n">
        <v>0</v>
      </c>
      <c r="L2870" s="10" t="n">
        <v>35.53</v>
      </c>
      <c r="M2870" s="10" t="n">
        <v>1.43</v>
      </c>
      <c r="N2870" t="inlineStr">
        <is>
          <t>1</t>
        </is>
      </c>
      <c r="O2870" t="inlineStr">
        <is>
          <t>16</t>
        </is>
      </c>
      <c r="P2870" t="inlineStr">
        <is>
          <t xml:space="preserve">243717  </t>
        </is>
      </c>
      <c r="Q2870" s="26" t="n">
        <v>47.4</v>
      </c>
      <c r="R2870" s="26">
        <f>Q2870*G2870</f>
        <v/>
      </c>
      <c r="S2870" s="26">
        <f>IFERROR(VLOOKUP(E2870*1,Tabla[#All],8,0),0)</f>
        <v/>
      </c>
      <c r="T2870" s="26">
        <f>S2870*G2870</f>
        <v/>
      </c>
      <c r="U2870" s="26">
        <f>R2870-T2870</f>
        <v/>
      </c>
      <c r="V2870" s="26">
        <f>U2870-L2870</f>
        <v/>
      </c>
    </row>
    <row r="2871">
      <c r="A2871" s="11" t="n">
        <v>46231</v>
      </c>
      <c r="B2871" s="1" t="n">
        <v>20048</v>
      </c>
      <c r="C2871" s="1" t="inlineStr">
        <is>
          <t>018</t>
        </is>
      </c>
      <c r="D2871" s="1" t="inlineStr">
        <is>
          <t xml:space="preserve">48705 </t>
        </is>
      </c>
      <c r="E2871" s="1" t="inlineStr">
        <is>
          <t xml:space="preserve">28194770       </t>
        </is>
      </c>
      <c r="F2871" s="5" t="inlineStr">
        <is>
          <t>AUTOS DE METAL 3 TEAMSTERZ EN BLISTER</t>
        </is>
      </c>
      <c r="G2871" t="n">
        <v>1</v>
      </c>
      <c r="H2871" s="7" t="n">
        <v>6.9</v>
      </c>
      <c r="I2871" s="7" t="n">
        <v>0.6899999999999999</v>
      </c>
      <c r="J2871" s="7" t="n">
        <v>0</v>
      </c>
      <c r="K2871" s="9" t="n">
        <v>0.6899999999999999</v>
      </c>
      <c r="L2871" s="10" t="n">
        <v>3.68</v>
      </c>
      <c r="M2871" s="10" t="n">
        <v>1.43</v>
      </c>
      <c r="N2871" t="inlineStr">
        <is>
          <t>1</t>
        </is>
      </c>
      <c r="O2871" t="inlineStr">
        <is>
          <t xml:space="preserve">3 </t>
        </is>
      </c>
      <c r="P2871" t="inlineStr">
        <is>
          <t xml:space="preserve">250433  </t>
        </is>
      </c>
      <c r="Q2871" s="26" t="n">
        <v>4.09</v>
      </c>
      <c r="R2871" s="26">
        <f>Q2871*G2871</f>
        <v/>
      </c>
      <c r="S2871" s="26">
        <f>IFERROR(VLOOKUP(E2871*1,Tabla[#All],8,0),0)</f>
        <v/>
      </c>
      <c r="T2871" s="26">
        <f>S2871*G2871</f>
        <v/>
      </c>
      <c r="U2871" s="26">
        <f>R2871-T2871</f>
        <v/>
      </c>
      <c r="V2871" s="26">
        <f>U2871-L2871</f>
        <v/>
      </c>
    </row>
    <row r="2872">
      <c r="A2872" s="11" t="n">
        <v>46231</v>
      </c>
      <c r="B2872" s="1" t="n">
        <v>20048</v>
      </c>
      <c r="C2872" s="1" t="inlineStr">
        <is>
          <t>018</t>
        </is>
      </c>
      <c r="D2872" s="1" t="inlineStr">
        <is>
          <t xml:space="preserve">48705 </t>
        </is>
      </c>
      <c r="E2872" s="1" t="inlineStr">
        <is>
          <t xml:space="preserve">28194770       </t>
        </is>
      </c>
      <c r="F2872" s="5" t="inlineStr">
        <is>
          <t>AUTOS DE METAL 3 TEAMSTERZ EN BLISTER</t>
        </is>
      </c>
      <c r="G2872" t="n">
        <v>1</v>
      </c>
      <c r="H2872" s="7" t="n">
        <v>6.9</v>
      </c>
      <c r="I2872" s="7" t="n">
        <v>0.6899999999999999</v>
      </c>
      <c r="J2872" s="7" t="n">
        <v>0</v>
      </c>
      <c r="K2872" s="9" t="n">
        <v>0.6899999999999999</v>
      </c>
      <c r="L2872" s="10" t="n">
        <v>3.68</v>
      </c>
      <c r="M2872" s="10" t="n">
        <v>1.43</v>
      </c>
      <c r="N2872" t="inlineStr">
        <is>
          <t>1</t>
        </is>
      </c>
      <c r="O2872" t="inlineStr">
        <is>
          <t xml:space="preserve">3 </t>
        </is>
      </c>
      <c r="P2872" t="inlineStr">
        <is>
          <t xml:space="preserve">250433  </t>
        </is>
      </c>
      <c r="Q2872" s="26" t="n">
        <v>4.09</v>
      </c>
      <c r="R2872" s="26">
        <f>Q2872*G2872</f>
        <v/>
      </c>
      <c r="S2872" s="26">
        <f>IFERROR(VLOOKUP(E2872*1,Tabla[#All],8,0),0)</f>
        <v/>
      </c>
      <c r="T2872" s="26">
        <f>S2872*G2872</f>
        <v/>
      </c>
      <c r="U2872" s="26">
        <f>R2872-T2872</f>
        <v/>
      </c>
      <c r="V2872" s="26">
        <f>U2872-L2872</f>
        <v/>
      </c>
    </row>
    <row r="2873">
      <c r="A2873" s="11" t="n">
        <v>46231</v>
      </c>
      <c r="B2873" s="1" t="n">
        <v>20048</v>
      </c>
      <c r="C2873" s="1" t="inlineStr">
        <is>
          <t>018</t>
        </is>
      </c>
      <c r="D2873" s="1" t="inlineStr">
        <is>
          <t xml:space="preserve">48705 </t>
        </is>
      </c>
      <c r="E2873" s="1" t="inlineStr">
        <is>
          <t xml:space="preserve">28194770       </t>
        </is>
      </c>
      <c r="F2873" s="5" t="inlineStr">
        <is>
          <t>AUTOS DE METAL 3 TEAMSTERZ EN BLISTER</t>
        </is>
      </c>
      <c r="G2873" t="n">
        <v>1</v>
      </c>
      <c r="H2873" s="7" t="n">
        <v>6.9</v>
      </c>
      <c r="I2873" s="7" t="n">
        <v>0.6899999999999999</v>
      </c>
      <c r="J2873" s="7" t="n">
        <v>0</v>
      </c>
      <c r="K2873" s="9" t="n">
        <v>0.6899999999999999</v>
      </c>
      <c r="L2873" s="10" t="n">
        <v>3.68</v>
      </c>
      <c r="M2873" s="10" t="n">
        <v>1.43</v>
      </c>
      <c r="N2873" t="inlineStr">
        <is>
          <t>1</t>
        </is>
      </c>
      <c r="O2873" t="inlineStr">
        <is>
          <t xml:space="preserve">3 </t>
        </is>
      </c>
      <c r="P2873" t="inlineStr">
        <is>
          <t xml:space="preserve">250433  </t>
        </is>
      </c>
      <c r="Q2873" s="26" t="n">
        <v>4.09</v>
      </c>
      <c r="R2873" s="26">
        <f>Q2873*G2873</f>
        <v/>
      </c>
      <c r="S2873" s="26">
        <f>IFERROR(VLOOKUP(E2873*1,Tabla[#All],8,0),0)</f>
        <v/>
      </c>
      <c r="T2873" s="26">
        <f>S2873*G2873</f>
        <v/>
      </c>
      <c r="U2873" s="26">
        <f>R2873-T2873</f>
        <v/>
      </c>
      <c r="V2873" s="26">
        <f>U2873-L2873</f>
        <v/>
      </c>
    </row>
    <row r="2874">
      <c r="A2874" s="11" t="n">
        <v>46231</v>
      </c>
      <c r="B2874" s="1" t="n">
        <v>20048</v>
      </c>
      <c r="C2874" s="1" t="inlineStr">
        <is>
          <t>018</t>
        </is>
      </c>
      <c r="D2874" s="1" t="inlineStr">
        <is>
          <t xml:space="preserve">48764 </t>
        </is>
      </c>
      <c r="E2874" s="1" t="inlineStr">
        <is>
          <t xml:space="preserve">28194770       </t>
        </is>
      </c>
      <c r="F2874" s="5" t="inlineStr">
        <is>
          <t>AUTOS DE METAL 3 TEAMSTERZ EN BLISTER</t>
        </is>
      </c>
      <c r="G2874" t="n">
        <v>1</v>
      </c>
      <c r="H2874" s="7" t="n">
        <v>6.9</v>
      </c>
      <c r="I2874" s="7" t="n">
        <v>0</v>
      </c>
      <c r="J2874" s="7" t="n">
        <v>0</v>
      </c>
      <c r="K2874" s="9" t="n">
        <v>0</v>
      </c>
      <c r="L2874" s="10" t="n">
        <v>4.1</v>
      </c>
      <c r="M2874" s="10" t="n">
        <v>1.43</v>
      </c>
      <c r="N2874" t="inlineStr">
        <is>
          <t>1</t>
        </is>
      </c>
      <c r="O2874" t="inlineStr">
        <is>
          <t>16</t>
        </is>
      </c>
      <c r="P2874" t="inlineStr">
        <is>
          <t xml:space="preserve">249916  </t>
        </is>
      </c>
      <c r="Q2874" s="26" t="n">
        <v>4.09</v>
      </c>
      <c r="R2874" s="26">
        <f>Q2874*G2874</f>
        <v/>
      </c>
      <c r="S2874" s="26">
        <f>IFERROR(VLOOKUP(E2874*1,Tabla[#All],8,0),0)</f>
        <v/>
      </c>
      <c r="T2874" s="26">
        <f>S2874*G2874</f>
        <v/>
      </c>
      <c r="U2874" s="26">
        <f>R2874-T2874</f>
        <v/>
      </c>
      <c r="V2874" s="26">
        <f>U2874-L2874</f>
        <v/>
      </c>
    </row>
    <row r="2875">
      <c r="A2875" s="11" t="n">
        <v>46231</v>
      </c>
      <c r="B2875" s="1" t="n">
        <v>20048</v>
      </c>
      <c r="C2875" s="1" t="inlineStr">
        <is>
          <t>801</t>
        </is>
      </c>
      <c r="D2875" s="1" t="inlineStr">
        <is>
          <t xml:space="preserve">7139  </t>
        </is>
      </c>
      <c r="E2875" s="1" t="inlineStr">
        <is>
          <t xml:space="preserve">29235701       </t>
        </is>
      </c>
      <c r="F2875" s="5" t="inlineStr">
        <is>
          <t>INFINITY NADO TROMPO DE BATALLA - METAL EN CAJA</t>
        </is>
      </c>
      <c r="G2875" t="n">
        <v>1</v>
      </c>
      <c r="H2875" s="7" t="n">
        <v>29.9</v>
      </c>
      <c r="I2875" s="7" t="n">
        <v>0</v>
      </c>
      <c r="J2875" s="7" t="n">
        <v>0</v>
      </c>
      <c r="K2875" s="9" t="n">
        <v>0</v>
      </c>
      <c r="L2875" s="10" t="n">
        <v>17.74</v>
      </c>
      <c r="M2875" s="10" t="n">
        <v>1.43</v>
      </c>
      <c r="N2875" t="inlineStr">
        <is>
          <t>1</t>
        </is>
      </c>
      <c r="O2875" t="inlineStr">
        <is>
          <t>16</t>
        </is>
      </c>
      <c r="P2875" t="inlineStr">
        <is>
          <t xml:space="preserve">234984  </t>
        </is>
      </c>
      <c r="Q2875" s="26" t="n">
        <v>23.67</v>
      </c>
      <c r="R2875" s="26">
        <f>Q2875*G2875</f>
        <v/>
      </c>
      <c r="S2875" s="26">
        <f>IFERROR(VLOOKUP(E2875*1,Tabla[#All],8,0),0)</f>
        <v/>
      </c>
      <c r="T2875" s="26">
        <f>S2875*G2875</f>
        <v/>
      </c>
      <c r="U2875" s="26">
        <f>R2875-T2875</f>
        <v/>
      </c>
      <c r="V2875" s="26">
        <f>U2875-L2875</f>
        <v/>
      </c>
    </row>
    <row r="2876">
      <c r="A2876" s="11" t="n">
        <v>46231</v>
      </c>
      <c r="B2876" s="1" t="n">
        <v>20048</v>
      </c>
      <c r="C2876" s="1" t="inlineStr">
        <is>
          <t>801</t>
        </is>
      </c>
      <c r="D2876" s="1" t="inlineStr">
        <is>
          <t xml:space="preserve">7140  </t>
        </is>
      </c>
      <c r="E2876" s="1" t="inlineStr">
        <is>
          <t xml:space="preserve">28194770       </t>
        </is>
      </c>
      <c r="F2876" s="5" t="inlineStr">
        <is>
          <t>AUTOS DE METAL 3 TEAMSTERZ EN BLISTER</t>
        </is>
      </c>
      <c r="G2876" t="n">
        <v>1</v>
      </c>
      <c r="H2876" s="7" t="n">
        <v>6.9</v>
      </c>
      <c r="I2876" s="7" t="n">
        <v>0</v>
      </c>
      <c r="J2876" s="7" t="n">
        <v>0</v>
      </c>
      <c r="K2876" s="9" t="n">
        <v>0</v>
      </c>
      <c r="L2876" s="10" t="n">
        <v>4.1</v>
      </c>
      <c r="M2876" s="10" t="n">
        <v>1.43</v>
      </c>
      <c r="N2876" t="inlineStr">
        <is>
          <t>1</t>
        </is>
      </c>
      <c r="O2876" t="inlineStr">
        <is>
          <t>16</t>
        </is>
      </c>
      <c r="P2876" t="inlineStr">
        <is>
          <t xml:space="preserve">234984  </t>
        </is>
      </c>
      <c r="Q2876" s="26" t="n">
        <v>4.09</v>
      </c>
      <c r="R2876" s="26">
        <f>Q2876*G2876</f>
        <v/>
      </c>
      <c r="S2876" s="26">
        <f>IFERROR(VLOOKUP(E2876*1,Tabla[#All],8,0),0)</f>
        <v/>
      </c>
      <c r="T2876" s="26">
        <f>S2876*G2876</f>
        <v/>
      </c>
      <c r="U2876" s="26">
        <f>R2876-T2876</f>
        <v/>
      </c>
      <c r="V2876" s="26">
        <f>U2876-L2876</f>
        <v/>
      </c>
    </row>
    <row r="2877">
      <c r="A2877" s="11" t="n">
        <v>46231</v>
      </c>
      <c r="B2877" s="1" t="n">
        <v>20049</v>
      </c>
      <c r="C2877" s="1" t="inlineStr">
        <is>
          <t>013</t>
        </is>
      </c>
      <c r="D2877" s="1" t="inlineStr">
        <is>
          <t>237780</t>
        </is>
      </c>
      <c r="E2877" s="1" t="inlineStr">
        <is>
          <t xml:space="preserve">31959961       </t>
        </is>
      </c>
      <c r="F2877" s="5" t="inlineStr">
        <is>
          <t>TEAMSTERZ CAMBIA DE COLOR PACK DE 3 AUTOS</t>
        </is>
      </c>
      <c r="G2877" t="n">
        <v>1</v>
      </c>
      <c r="H2877" s="7" t="n">
        <v>49.9</v>
      </c>
      <c r="I2877" s="7" t="n">
        <v>0</v>
      </c>
      <c r="J2877" s="7" t="n">
        <v>0</v>
      </c>
      <c r="K2877" s="9" t="n">
        <v>0</v>
      </c>
      <c r="L2877" s="10" t="n">
        <v>29.6</v>
      </c>
      <c r="M2877" s="10" t="n">
        <v>1.43</v>
      </c>
      <c r="N2877" t="inlineStr">
        <is>
          <t>1</t>
        </is>
      </c>
      <c r="O2877" t="inlineStr">
        <is>
          <t>16</t>
        </is>
      </c>
      <c r="P2877" t="inlineStr">
        <is>
          <t xml:space="preserve">250173  </t>
        </is>
      </c>
      <c r="Q2877" s="26" t="n">
        <v>29.6</v>
      </c>
      <c r="R2877" s="26">
        <f>Q2877*G2877</f>
        <v/>
      </c>
      <c r="S2877" s="26">
        <f>IFERROR(VLOOKUP(E2877*1,Tabla[#All],8,0),0)</f>
        <v/>
      </c>
      <c r="T2877" s="26">
        <f>S2877*G2877</f>
        <v/>
      </c>
      <c r="U2877" s="26">
        <f>R2877-T2877</f>
        <v/>
      </c>
      <c r="V2877" s="26">
        <f>U2877-L2877</f>
        <v/>
      </c>
    </row>
    <row r="2878">
      <c r="A2878" s="11" t="n">
        <v>46231</v>
      </c>
      <c r="B2878" s="1" t="n">
        <v>20049</v>
      </c>
      <c r="C2878" s="1" t="inlineStr">
        <is>
          <t>013</t>
        </is>
      </c>
      <c r="D2878" s="1" t="inlineStr">
        <is>
          <t>237893</t>
        </is>
      </c>
      <c r="E2878" s="1" t="inlineStr">
        <is>
          <t xml:space="preserve">29854051       </t>
        </is>
      </c>
      <c r="F2878" s="5" t="inlineStr">
        <is>
          <t>TEAMSTERZ AUTO DE METAL PACK 10 AUTOS</t>
        </is>
      </c>
      <c r="G2878" t="n">
        <v>1</v>
      </c>
      <c r="H2878" s="7" t="n">
        <v>69</v>
      </c>
      <c r="I2878" s="7" t="n">
        <v>0</v>
      </c>
      <c r="J2878" s="7" t="n">
        <v>0</v>
      </c>
      <c r="K2878" s="9" t="n">
        <v>0</v>
      </c>
      <c r="L2878" s="10" t="n">
        <v>40.93</v>
      </c>
      <c r="M2878" s="10" t="n">
        <v>1.43</v>
      </c>
      <c r="N2878" t="inlineStr">
        <is>
          <t>1</t>
        </is>
      </c>
      <c r="O2878" t="inlineStr">
        <is>
          <t>16</t>
        </is>
      </c>
      <c r="P2878" t="inlineStr">
        <is>
          <t xml:space="preserve">244681  </t>
        </is>
      </c>
      <c r="Q2878" s="26" t="n">
        <v>40.93</v>
      </c>
      <c r="R2878" s="26">
        <f>Q2878*G2878</f>
        <v/>
      </c>
      <c r="S2878" s="26">
        <f>IFERROR(VLOOKUP(E2878*1,Tabla[#All],8,0),0)</f>
        <v/>
      </c>
      <c r="T2878" s="26">
        <f>S2878*G2878</f>
        <v/>
      </c>
      <c r="U2878" s="26">
        <f>R2878-T2878</f>
        <v/>
      </c>
      <c r="V2878" s="26">
        <f>U2878-L2878</f>
        <v/>
      </c>
    </row>
    <row r="2879">
      <c r="A2879" s="11" t="n">
        <v>46231</v>
      </c>
      <c r="B2879" s="1" t="n">
        <v>20049</v>
      </c>
      <c r="C2879" s="1" t="inlineStr">
        <is>
          <t>025</t>
        </is>
      </c>
      <c r="D2879" s="1" t="inlineStr">
        <is>
          <t xml:space="preserve">35165 </t>
        </is>
      </c>
      <c r="E2879" s="1" t="inlineStr">
        <is>
          <t xml:space="preserve">31959961       </t>
        </is>
      </c>
      <c r="F2879" s="5" t="inlineStr">
        <is>
          <t>TEAMSTERZ CAMBIA DE COLOR PACK DE 3 AUTOS</t>
        </is>
      </c>
      <c r="G2879" t="n">
        <v>1</v>
      </c>
      <c r="H2879" s="7" t="n">
        <v>49.9</v>
      </c>
      <c r="I2879" s="7" t="n">
        <v>4.99</v>
      </c>
      <c r="J2879" s="7" t="n">
        <v>0</v>
      </c>
      <c r="K2879" s="9" t="n">
        <v>4.99</v>
      </c>
      <c r="L2879" s="10" t="n">
        <v>26.64</v>
      </c>
      <c r="M2879" s="10" t="n">
        <v>1.43</v>
      </c>
      <c r="N2879" t="inlineStr">
        <is>
          <t>1</t>
        </is>
      </c>
      <c r="O2879" t="inlineStr">
        <is>
          <t xml:space="preserve">3 </t>
        </is>
      </c>
      <c r="P2879" t="inlineStr">
        <is>
          <t xml:space="preserve">108879  </t>
        </is>
      </c>
      <c r="Q2879" s="26" t="n">
        <v>29.6</v>
      </c>
      <c r="R2879" s="26">
        <f>Q2879*G2879</f>
        <v/>
      </c>
      <c r="S2879" s="26">
        <f>IFERROR(VLOOKUP(E2879*1,Tabla[#All],8,0),0)</f>
        <v/>
      </c>
      <c r="T2879" s="26">
        <f>S2879*G2879</f>
        <v/>
      </c>
      <c r="U2879" s="26">
        <f>R2879-T2879</f>
        <v/>
      </c>
      <c r="V2879" s="26">
        <f>U2879-L2879</f>
        <v/>
      </c>
    </row>
    <row r="2880">
      <c r="A2880" s="11" t="n">
        <v>46231</v>
      </c>
      <c r="B2880" s="1" t="n">
        <v>20049</v>
      </c>
      <c r="C2880" s="1" t="inlineStr">
        <is>
          <t>025</t>
        </is>
      </c>
      <c r="D2880" s="1" t="inlineStr">
        <is>
          <t xml:space="preserve">35187 </t>
        </is>
      </c>
      <c r="E2880" s="1" t="inlineStr">
        <is>
          <t xml:space="preserve">32457103       </t>
        </is>
      </c>
      <c r="F2880" s="5" t="inlineStr">
        <is>
          <t>TMZ BEAST MACHINES MONSTER JAWS A FRICCION PACK DE</t>
        </is>
      </c>
      <c r="G2880" t="n">
        <v>1</v>
      </c>
      <c r="H2880" s="7" t="n">
        <v>32.9</v>
      </c>
      <c r="I2880" s="7" t="n">
        <v>0</v>
      </c>
      <c r="J2880" s="7" t="n">
        <v>0</v>
      </c>
      <c r="K2880" s="9" t="n">
        <v>0</v>
      </c>
      <c r="L2880" s="10" t="n">
        <v>19.52</v>
      </c>
      <c r="M2880" s="10" t="n">
        <v>1.43</v>
      </c>
      <c r="N2880" t="inlineStr">
        <is>
          <t>1</t>
        </is>
      </c>
      <c r="O2880" t="inlineStr">
        <is>
          <t xml:space="preserve">2 </t>
        </is>
      </c>
      <c r="P2880" t="inlineStr">
        <is>
          <t xml:space="preserve">108879  </t>
        </is>
      </c>
      <c r="Q2880" s="26" t="n">
        <v>22.48</v>
      </c>
      <c r="R2880" s="26">
        <f>Q2880*G2880</f>
        <v/>
      </c>
      <c r="S2880" s="26">
        <f>IFERROR(VLOOKUP(E2880*1,Tabla[#All],8,0),0)</f>
        <v/>
      </c>
      <c r="T2880" s="26">
        <f>S2880*G2880</f>
        <v/>
      </c>
      <c r="U2880" s="26">
        <f>R2880-T2880</f>
        <v/>
      </c>
      <c r="V2880" s="26">
        <f>U2880-L2880</f>
        <v/>
      </c>
    </row>
    <row r="2881">
      <c r="A2881" s="11" t="n">
        <v>46231</v>
      </c>
      <c r="B2881" s="1" t="n">
        <v>20049</v>
      </c>
      <c r="C2881" s="1" t="inlineStr">
        <is>
          <t>025</t>
        </is>
      </c>
      <c r="D2881" s="1" t="inlineStr">
        <is>
          <t xml:space="preserve">35204 </t>
        </is>
      </c>
      <c r="E2881" s="1" t="inlineStr">
        <is>
          <t xml:space="preserve">32457099       </t>
        </is>
      </c>
      <c r="F2881" s="5" t="inlineStr">
        <is>
          <t>TMZ BEAST MACHINES MONSTER JAWS A FRICCION BLISTER</t>
        </is>
      </c>
      <c r="G2881" t="n">
        <v>1</v>
      </c>
      <c r="H2881" s="7" t="n">
        <v>17.9</v>
      </c>
      <c r="I2881" s="7" t="n">
        <v>0</v>
      </c>
      <c r="J2881" s="7" t="n">
        <v>0</v>
      </c>
      <c r="K2881" s="9" t="n">
        <v>0</v>
      </c>
      <c r="L2881" s="10" t="n">
        <v>10.62</v>
      </c>
      <c r="M2881" s="10" t="n">
        <v>1.43</v>
      </c>
      <c r="N2881" t="inlineStr">
        <is>
          <t>1</t>
        </is>
      </c>
      <c r="O2881" t="inlineStr">
        <is>
          <t>16</t>
        </is>
      </c>
      <c r="P2881" t="inlineStr">
        <is>
          <t xml:space="preserve">108879  </t>
        </is>
      </c>
      <c r="Q2881" s="26" t="n">
        <v>11.81</v>
      </c>
      <c r="R2881" s="26">
        <f>Q2881*G2881</f>
        <v/>
      </c>
      <c r="S2881" s="26">
        <f>IFERROR(VLOOKUP(E2881*1,Tabla[#All],8,0),0)</f>
        <v/>
      </c>
      <c r="T2881" s="26">
        <f>S2881*G2881</f>
        <v/>
      </c>
      <c r="U2881" s="26">
        <f>R2881-T2881</f>
        <v/>
      </c>
      <c r="V2881" s="26">
        <f>U2881-L2881</f>
        <v/>
      </c>
    </row>
    <row r="2882">
      <c r="A2882" s="11" t="n">
        <v>46231</v>
      </c>
      <c r="B2882" s="1" t="n">
        <v>20049</v>
      </c>
      <c r="C2882" s="1" t="inlineStr">
        <is>
          <t>515</t>
        </is>
      </c>
      <c r="D2882" s="1" t="inlineStr">
        <is>
          <t xml:space="preserve">741   </t>
        </is>
      </c>
      <c r="E2882" s="1" t="inlineStr">
        <is>
          <t xml:space="preserve">34840556       </t>
        </is>
      </c>
      <c r="F2882" s="5" t="inlineStr">
        <is>
          <t>TMZ BEAST MACH. TRANSPORT DINO +ACCS</t>
        </is>
      </c>
      <c r="G2882" t="n">
        <v>1</v>
      </c>
      <c r="H2882" s="7" t="n">
        <v>59.9</v>
      </c>
      <c r="I2882" s="7" t="n">
        <v>5.99</v>
      </c>
      <c r="J2882" s="7" t="n">
        <v>0</v>
      </c>
      <c r="K2882" s="9" t="n">
        <v>5.99</v>
      </c>
      <c r="L2882" s="10" t="n">
        <v>31.98</v>
      </c>
      <c r="M2882" s="10" t="n">
        <v>1.43</v>
      </c>
      <c r="N2882" t="inlineStr">
        <is>
          <t>1</t>
        </is>
      </c>
      <c r="O2882" t="inlineStr">
        <is>
          <t>16</t>
        </is>
      </c>
      <c r="P2882" t="inlineStr">
        <is>
          <t xml:space="preserve">249209  </t>
        </is>
      </c>
      <c r="Q2882" s="26" t="n">
        <v>47.4</v>
      </c>
      <c r="R2882" s="26">
        <f>Q2882*G2882</f>
        <v/>
      </c>
      <c r="S2882" s="26">
        <f>IFERROR(VLOOKUP(E2882*1,Tabla[#All],8,0),0)</f>
        <v/>
      </c>
      <c r="T2882" s="26">
        <f>S2882*G2882</f>
        <v/>
      </c>
      <c r="U2882" s="26">
        <f>R2882-T2882</f>
        <v/>
      </c>
      <c r="V2882" s="26">
        <f>U2882-L2882</f>
        <v/>
      </c>
    </row>
    <row r="2883">
      <c r="A2883" s="11" t="n">
        <v>46231</v>
      </c>
      <c r="B2883" s="1" t="n">
        <v>20049</v>
      </c>
      <c r="C2883" s="1" t="inlineStr">
        <is>
          <t>803</t>
        </is>
      </c>
      <c r="D2883" s="1" t="inlineStr">
        <is>
          <t xml:space="preserve">5929  </t>
        </is>
      </c>
      <c r="E2883" s="1" t="inlineStr">
        <is>
          <t xml:space="preserve">33483121       </t>
        </is>
      </c>
      <c r="F2883" s="5" t="inlineStr">
        <is>
          <t>HOT WHEELS ESTUCHE PARA 15 AUTOS SURTIDO</t>
        </is>
      </c>
      <c r="G2883" t="n">
        <v>1</v>
      </c>
      <c r="H2883" s="7" t="n">
        <v>34.9</v>
      </c>
      <c r="I2883" s="7" t="n">
        <v>3.49</v>
      </c>
      <c r="J2883" s="7" t="n">
        <v>0</v>
      </c>
      <c r="K2883" s="9" t="n">
        <v>3.49</v>
      </c>
      <c r="L2883" s="10" t="n">
        <v>18.63</v>
      </c>
      <c r="M2883" s="10" t="n">
        <v>1.43</v>
      </c>
      <c r="N2883" t="inlineStr">
        <is>
          <t>1</t>
        </is>
      </c>
      <c r="O2883" t="inlineStr">
        <is>
          <t>16</t>
        </is>
      </c>
      <c r="P2883" t="inlineStr">
        <is>
          <t xml:space="preserve">0       </t>
        </is>
      </c>
      <c r="Q2883" s="26" t="n">
        <v>20.7</v>
      </c>
      <c r="R2883" s="26">
        <f>Q2883*G2883</f>
        <v/>
      </c>
      <c r="S2883" s="26">
        <f>IFERROR(VLOOKUP(E2883*1,Tabla[#All],8,0),0)</f>
        <v/>
      </c>
      <c r="T2883" s="26">
        <f>S2883*G2883</f>
        <v/>
      </c>
      <c r="U2883" s="26">
        <f>R2883-T2883</f>
        <v/>
      </c>
      <c r="V2883" s="26">
        <f>U2883-L2883</f>
        <v/>
      </c>
    </row>
    <row r="2884">
      <c r="A2884" s="11" t="n">
        <v>46231</v>
      </c>
      <c r="B2884" s="1" t="n">
        <v>20049</v>
      </c>
      <c r="C2884" s="1" t="inlineStr">
        <is>
          <t>803</t>
        </is>
      </c>
      <c r="D2884" s="1" t="inlineStr">
        <is>
          <t xml:space="preserve">5946  </t>
        </is>
      </c>
      <c r="E2884" s="1" t="inlineStr">
        <is>
          <t xml:space="preserve">31959961       </t>
        </is>
      </c>
      <c r="F2884" s="5" t="inlineStr">
        <is>
          <t>TEAMSTERZ CAMBIA DE COLOR PACK DE 3 AUTOS</t>
        </is>
      </c>
      <c r="G2884" t="n">
        <v>1</v>
      </c>
      <c r="H2884" s="7" t="n">
        <v>49.9</v>
      </c>
      <c r="I2884" s="7" t="n">
        <v>4.99</v>
      </c>
      <c r="J2884" s="7" t="n">
        <v>0</v>
      </c>
      <c r="K2884" s="9" t="n">
        <v>4.99</v>
      </c>
      <c r="L2884" s="10" t="n">
        <v>26.64</v>
      </c>
      <c r="M2884" s="10" t="n">
        <v>1.43</v>
      </c>
      <c r="N2884" t="inlineStr">
        <is>
          <t>1</t>
        </is>
      </c>
      <c r="O2884" t="inlineStr">
        <is>
          <t>16</t>
        </is>
      </c>
      <c r="P2884" t="inlineStr">
        <is>
          <t xml:space="preserve">0       </t>
        </is>
      </c>
      <c r="Q2884" s="26" t="n">
        <v>29.6</v>
      </c>
      <c r="R2884" s="26">
        <f>Q2884*G2884</f>
        <v/>
      </c>
      <c r="S2884" s="26">
        <f>IFERROR(VLOOKUP(E2884*1,Tabla[#All],8,0),0)</f>
        <v/>
      </c>
      <c r="T2884" s="26">
        <f>S2884*G2884</f>
        <v/>
      </c>
      <c r="U2884" s="26">
        <f>R2884-T2884</f>
        <v/>
      </c>
      <c r="V2884" s="26">
        <f>U2884-L2884</f>
        <v/>
      </c>
    </row>
    <row r="2885">
      <c r="A2885" s="11" t="n">
        <v>46231</v>
      </c>
      <c r="B2885" s="1" t="n">
        <v>20057</v>
      </c>
      <c r="C2885" s="1" t="inlineStr">
        <is>
          <t>032</t>
        </is>
      </c>
      <c r="D2885" s="1" t="inlineStr">
        <is>
          <t xml:space="preserve">76201 </t>
        </is>
      </c>
      <c r="E2885" s="1" t="inlineStr">
        <is>
          <t xml:space="preserve">34840553       </t>
        </is>
      </c>
      <c r="F2885" s="5" t="inlineStr">
        <is>
          <t>TMZ AUTO LUZ Y SONIDO ESQUELET DINO T-REX</t>
        </is>
      </c>
      <c r="G2885" t="n">
        <v>1</v>
      </c>
      <c r="H2885" s="7" t="n">
        <v>79.90000000000001</v>
      </c>
      <c r="I2885" s="7" t="n">
        <v>0</v>
      </c>
      <c r="J2885" s="7" t="n">
        <v>0</v>
      </c>
      <c r="K2885" s="9" t="n">
        <v>0</v>
      </c>
      <c r="L2885" s="10" t="n">
        <v>47.4</v>
      </c>
      <c r="M2885" s="10" t="n">
        <v>1.43</v>
      </c>
      <c r="N2885" t="inlineStr">
        <is>
          <t>1</t>
        </is>
      </c>
      <c r="O2885" t="inlineStr">
        <is>
          <t>16</t>
        </is>
      </c>
      <c r="P2885" t="inlineStr">
        <is>
          <t xml:space="preserve">105593  </t>
        </is>
      </c>
      <c r="Q2885" s="26" t="n">
        <v>47.4</v>
      </c>
      <c r="R2885" s="26">
        <f>Q2885*G2885</f>
        <v/>
      </c>
      <c r="S2885" s="26">
        <f>IFERROR(VLOOKUP(E2885*1,Tabla[#All],8,0),0)</f>
        <v/>
      </c>
      <c r="T2885" s="26">
        <f>S2885*G2885</f>
        <v/>
      </c>
      <c r="U2885" s="26">
        <f>R2885-T2885</f>
        <v/>
      </c>
      <c r="V2885" s="26">
        <f>U2885-L2885</f>
        <v/>
      </c>
    </row>
    <row r="2886">
      <c r="A2886" s="11" t="n">
        <v>46231</v>
      </c>
      <c r="B2886" s="1" t="n">
        <v>20057</v>
      </c>
      <c r="C2886" s="1" t="inlineStr">
        <is>
          <t>033</t>
        </is>
      </c>
      <c r="D2886" s="1" t="inlineStr">
        <is>
          <t xml:space="preserve">68522 </t>
        </is>
      </c>
      <c r="E2886" s="1" t="inlineStr">
        <is>
          <t xml:space="preserve">28194770       </t>
        </is>
      </c>
      <c r="F2886" s="5" t="inlineStr">
        <is>
          <t>AUTOS DE METAL 3 TEAMSTERZ EN BLISTER</t>
        </is>
      </c>
      <c r="G2886" t="n">
        <v>1</v>
      </c>
      <c r="H2886" s="7" t="n">
        <v>6.9</v>
      </c>
      <c r="I2886" s="7" t="n">
        <v>0</v>
      </c>
      <c r="J2886" s="7" t="n">
        <v>0</v>
      </c>
      <c r="K2886" s="9" t="n">
        <v>0</v>
      </c>
      <c r="L2886" s="10" t="n">
        <v>4.1</v>
      </c>
      <c r="M2886" s="10" t="n">
        <v>1.43</v>
      </c>
      <c r="N2886" t="inlineStr">
        <is>
          <t>1</t>
        </is>
      </c>
      <c r="O2886" t="inlineStr">
        <is>
          <t>16</t>
        </is>
      </c>
      <c r="P2886" t="inlineStr">
        <is>
          <t xml:space="preserve">250522  </t>
        </is>
      </c>
      <c r="Q2886" s="26" t="n">
        <v>4.09</v>
      </c>
      <c r="R2886" s="26">
        <f>Q2886*G2886</f>
        <v/>
      </c>
      <c r="S2886" s="26">
        <f>IFERROR(VLOOKUP(E2886*1,Tabla[#All],8,0),0)</f>
        <v/>
      </c>
      <c r="T2886" s="26">
        <f>S2886*G2886</f>
        <v/>
      </c>
      <c r="U2886" s="26">
        <f>R2886-T2886</f>
        <v/>
      </c>
      <c r="V2886" s="26">
        <f>U2886-L2886</f>
        <v/>
      </c>
    </row>
    <row r="2887">
      <c r="A2887" s="11" t="n">
        <v>46231</v>
      </c>
      <c r="B2887" s="1" t="n">
        <v>20057</v>
      </c>
      <c r="C2887" s="1" t="inlineStr">
        <is>
          <t>033</t>
        </is>
      </c>
      <c r="D2887" s="1" t="inlineStr">
        <is>
          <t xml:space="preserve">68522 </t>
        </is>
      </c>
      <c r="E2887" s="1" t="inlineStr">
        <is>
          <t xml:space="preserve">28194770       </t>
        </is>
      </c>
      <c r="F2887" s="5" t="inlineStr">
        <is>
          <t>AUTOS DE METAL 3 TEAMSTERZ EN BLISTER</t>
        </is>
      </c>
      <c r="G2887" t="n">
        <v>1</v>
      </c>
      <c r="H2887" s="7" t="n">
        <v>6.9</v>
      </c>
      <c r="I2887" s="7" t="n">
        <v>0</v>
      </c>
      <c r="J2887" s="7" t="n">
        <v>0</v>
      </c>
      <c r="K2887" s="9" t="n">
        <v>0</v>
      </c>
      <c r="L2887" s="10" t="n">
        <v>4.1</v>
      </c>
      <c r="M2887" s="10" t="n">
        <v>1.43</v>
      </c>
      <c r="N2887" t="inlineStr">
        <is>
          <t>1</t>
        </is>
      </c>
      <c r="O2887" t="inlineStr">
        <is>
          <t>16</t>
        </is>
      </c>
      <c r="P2887" t="inlineStr">
        <is>
          <t xml:space="preserve">250522  </t>
        </is>
      </c>
      <c r="Q2887" s="26" t="n">
        <v>4.09</v>
      </c>
      <c r="R2887" s="26">
        <f>Q2887*G2887</f>
        <v/>
      </c>
      <c r="S2887" s="26">
        <f>IFERROR(VLOOKUP(E2887*1,Tabla[#All],8,0),0)</f>
        <v/>
      </c>
      <c r="T2887" s="26">
        <f>S2887*G2887</f>
        <v/>
      </c>
      <c r="U2887" s="26">
        <f>R2887-T2887</f>
        <v/>
      </c>
      <c r="V2887" s="26">
        <f>U2887-L2887</f>
        <v/>
      </c>
    </row>
    <row r="2888">
      <c r="A2888" s="11" t="n">
        <v>46231</v>
      </c>
      <c r="B2888" s="1" t="n">
        <v>20057</v>
      </c>
      <c r="C2888" s="1" t="inlineStr">
        <is>
          <t>033</t>
        </is>
      </c>
      <c r="D2888" s="1" t="inlineStr">
        <is>
          <t xml:space="preserve">68522 </t>
        </is>
      </c>
      <c r="E2888" s="1" t="inlineStr">
        <is>
          <t xml:space="preserve">28194770       </t>
        </is>
      </c>
      <c r="F2888" s="5" t="inlineStr">
        <is>
          <t>AUTOS DE METAL 3 TEAMSTERZ EN BLISTER</t>
        </is>
      </c>
      <c r="G2888" t="n">
        <v>1</v>
      </c>
      <c r="H2888" s="7" t="n">
        <v>6.9</v>
      </c>
      <c r="I2888" s="7" t="n">
        <v>0</v>
      </c>
      <c r="J2888" s="7" t="n">
        <v>0</v>
      </c>
      <c r="K2888" s="9" t="n">
        <v>0</v>
      </c>
      <c r="L2888" s="10" t="n">
        <v>4.1</v>
      </c>
      <c r="M2888" s="10" t="n">
        <v>1.43</v>
      </c>
      <c r="N2888" t="inlineStr">
        <is>
          <t>1</t>
        </is>
      </c>
      <c r="O2888" t="inlineStr">
        <is>
          <t>16</t>
        </is>
      </c>
      <c r="P2888" t="inlineStr">
        <is>
          <t xml:space="preserve">250522  </t>
        </is>
      </c>
      <c r="Q2888" s="26" t="n">
        <v>4.09</v>
      </c>
      <c r="R2888" s="26">
        <f>Q2888*G2888</f>
        <v/>
      </c>
      <c r="S2888" s="26">
        <f>IFERROR(VLOOKUP(E2888*1,Tabla[#All],8,0),0)</f>
        <v/>
      </c>
      <c r="T2888" s="26">
        <f>S2888*G2888</f>
        <v/>
      </c>
      <c r="U2888" s="26">
        <f>R2888-T2888</f>
        <v/>
      </c>
      <c r="V2888" s="26">
        <f>U2888-L2888</f>
        <v/>
      </c>
    </row>
    <row r="2889">
      <c r="A2889" s="11" t="n">
        <v>46231</v>
      </c>
      <c r="B2889" s="1" t="n">
        <v>20058</v>
      </c>
      <c r="C2889" s="1" t="inlineStr">
        <is>
          <t>039</t>
        </is>
      </c>
      <c r="D2889" s="1" t="inlineStr">
        <is>
          <t>232134</t>
        </is>
      </c>
      <c r="E2889" s="1" t="inlineStr">
        <is>
          <t xml:space="preserve">32457099       </t>
        </is>
      </c>
      <c r="F2889" s="5" t="inlineStr">
        <is>
          <t>TMZ BEAST MACHINES MONSTER JAWS A FRICCION BLISTER</t>
        </is>
      </c>
      <c r="G2889" t="n">
        <v>1</v>
      </c>
      <c r="H2889" s="7" t="n">
        <v>17.9</v>
      </c>
      <c r="I2889" s="7" t="n">
        <v>0</v>
      </c>
      <c r="J2889" s="7" t="n">
        <v>0</v>
      </c>
      <c r="K2889" s="9" t="n">
        <v>0</v>
      </c>
      <c r="L2889" s="10" t="n">
        <v>10.62</v>
      </c>
      <c r="M2889" s="10" t="n">
        <v>1.43</v>
      </c>
      <c r="N2889" t="inlineStr">
        <is>
          <t>1</t>
        </is>
      </c>
      <c r="O2889" t="inlineStr">
        <is>
          <t>16</t>
        </is>
      </c>
      <c r="P2889" t="inlineStr">
        <is>
          <t xml:space="preserve">90759   </t>
        </is>
      </c>
      <c r="Q2889" s="26" t="n">
        <v>11.81</v>
      </c>
      <c r="R2889" s="26">
        <f>Q2889*G2889</f>
        <v/>
      </c>
      <c r="S2889" s="26">
        <f>IFERROR(VLOOKUP(E2889*1,Tabla[#All],8,0),0)</f>
        <v/>
      </c>
      <c r="T2889" s="26">
        <f>S2889*G2889</f>
        <v/>
      </c>
      <c r="U2889" s="26">
        <f>R2889-T2889</f>
        <v/>
      </c>
      <c r="V2889" s="26">
        <f>U2889-L2889</f>
        <v/>
      </c>
    </row>
    <row r="2890">
      <c r="A2890" s="11" t="n">
        <v>46231</v>
      </c>
      <c r="B2890" s="1" t="n">
        <v>20058</v>
      </c>
      <c r="C2890" s="1" t="inlineStr">
        <is>
          <t>039</t>
        </is>
      </c>
      <c r="D2890" s="1" t="inlineStr">
        <is>
          <t>232144</t>
        </is>
      </c>
      <c r="E2890" s="1" t="inlineStr">
        <is>
          <t xml:space="preserve">35685067       </t>
        </is>
      </c>
      <c r="F2890" s="5" t="inlineStr">
        <is>
          <t>HOT WHEELS POWER SET 3 EN 1</t>
        </is>
      </c>
      <c r="G2890" t="n">
        <v>1</v>
      </c>
      <c r="H2890" s="7" t="n">
        <v>49.9</v>
      </c>
      <c r="I2890" s="7" t="n">
        <v>4.99</v>
      </c>
      <c r="J2890" s="7" t="n">
        <v>0</v>
      </c>
      <c r="K2890" s="9" t="n">
        <v>4.99</v>
      </c>
      <c r="L2890" s="10" t="n">
        <v>26.64</v>
      </c>
      <c r="M2890" s="10" t="n">
        <v>1.43</v>
      </c>
      <c r="N2890" t="inlineStr">
        <is>
          <t>1</t>
        </is>
      </c>
      <c r="O2890" t="inlineStr">
        <is>
          <t xml:space="preserve">3 </t>
        </is>
      </c>
      <c r="P2890" t="inlineStr">
        <is>
          <t xml:space="preserve">90759   </t>
        </is>
      </c>
      <c r="Q2890" s="26" t="n">
        <v>29.6</v>
      </c>
      <c r="R2890" s="26">
        <f>Q2890*G2890</f>
        <v/>
      </c>
      <c r="S2890" s="26">
        <f>IFERROR(VLOOKUP(E2890*1,Tabla[#All],8,0),0)</f>
        <v/>
      </c>
      <c r="T2890" s="26">
        <f>S2890*G2890</f>
        <v/>
      </c>
      <c r="U2890" s="26">
        <f>R2890-T2890</f>
        <v/>
      </c>
      <c r="V2890" s="26">
        <f>U2890-L2890</f>
        <v/>
      </c>
    </row>
    <row r="2891">
      <c r="A2891" s="11" t="n">
        <v>46231</v>
      </c>
      <c r="B2891" s="1" t="n">
        <v>20058</v>
      </c>
      <c r="C2891" s="1" t="inlineStr">
        <is>
          <t>039</t>
        </is>
      </c>
      <c r="D2891" s="1" t="inlineStr">
        <is>
          <t>232151</t>
        </is>
      </c>
      <c r="E2891" s="1" t="inlineStr">
        <is>
          <t xml:space="preserve">28194769       </t>
        </is>
      </c>
      <c r="F2891" s="5" t="inlineStr">
        <is>
          <t>AUTOS DE METAL 3 TEAMSTERZ PACK DE 2</t>
        </is>
      </c>
      <c r="G2891" t="n">
        <v>1</v>
      </c>
      <c r="H2891" s="7" t="n">
        <v>13.8</v>
      </c>
      <c r="I2891" s="7" t="n">
        <v>0</v>
      </c>
      <c r="J2891" s="7" t="n">
        <v>0</v>
      </c>
      <c r="K2891" s="9" t="n">
        <v>0</v>
      </c>
      <c r="L2891" s="10" t="n">
        <v>8.18</v>
      </c>
      <c r="M2891" s="10" t="n">
        <v>1.43</v>
      </c>
      <c r="N2891" t="inlineStr">
        <is>
          <t>1</t>
        </is>
      </c>
      <c r="O2891" t="inlineStr">
        <is>
          <t xml:space="preserve">2 </t>
        </is>
      </c>
      <c r="P2891" t="inlineStr">
        <is>
          <t xml:space="preserve">90759   </t>
        </is>
      </c>
      <c r="Q2891" s="26" t="n">
        <v>8.19</v>
      </c>
      <c r="R2891" s="26">
        <f>Q2891*G2891</f>
        <v/>
      </c>
      <c r="S2891" s="26">
        <f>IFERROR(VLOOKUP(E2891*1,Tabla[#All],8,0),0)</f>
        <v/>
      </c>
      <c r="T2891" s="26">
        <f>S2891*G2891</f>
        <v/>
      </c>
      <c r="U2891" s="26">
        <f>R2891-T2891</f>
        <v/>
      </c>
      <c r="V2891" s="26">
        <f>U2891-L2891</f>
        <v/>
      </c>
    </row>
    <row r="2892">
      <c r="A2892" s="11" t="n">
        <v>46231</v>
      </c>
      <c r="B2892" s="1" t="n">
        <v>20058</v>
      </c>
      <c r="C2892" s="1" t="inlineStr">
        <is>
          <t>039</t>
        </is>
      </c>
      <c r="D2892" s="1" t="inlineStr">
        <is>
          <t>232151</t>
        </is>
      </c>
      <c r="E2892" s="1" t="inlineStr">
        <is>
          <t xml:space="preserve">28194769       </t>
        </is>
      </c>
      <c r="F2892" s="5" t="inlineStr">
        <is>
          <t>AUTOS DE METAL 3 TEAMSTERZ PACK DE 2</t>
        </is>
      </c>
      <c r="G2892" t="n">
        <v>1</v>
      </c>
      <c r="H2892" s="7" t="n">
        <v>13.8</v>
      </c>
      <c r="I2892" s="7" t="n">
        <v>0</v>
      </c>
      <c r="J2892" s="7" t="n">
        <v>0</v>
      </c>
      <c r="K2892" s="9" t="n">
        <v>0</v>
      </c>
      <c r="L2892" s="10" t="n">
        <v>8.18</v>
      </c>
      <c r="M2892" s="10" t="n">
        <v>1.43</v>
      </c>
      <c r="N2892" t="inlineStr">
        <is>
          <t>1</t>
        </is>
      </c>
      <c r="O2892" t="inlineStr">
        <is>
          <t xml:space="preserve">2 </t>
        </is>
      </c>
      <c r="P2892" t="inlineStr">
        <is>
          <t xml:space="preserve">90759   </t>
        </is>
      </c>
      <c r="Q2892" s="26" t="n">
        <v>8.19</v>
      </c>
      <c r="R2892" s="26">
        <f>Q2892*G2892</f>
        <v/>
      </c>
      <c r="S2892" s="26">
        <f>IFERROR(VLOOKUP(E2892*1,Tabla[#All],8,0),0)</f>
        <v/>
      </c>
      <c r="T2892" s="26">
        <f>S2892*G2892</f>
        <v/>
      </c>
      <c r="U2892" s="26">
        <f>R2892-T2892</f>
        <v/>
      </c>
      <c r="V2892" s="26">
        <f>U2892-L2892</f>
        <v/>
      </c>
    </row>
    <row r="2893">
      <c r="A2893" s="11" t="n">
        <v>46231</v>
      </c>
      <c r="B2893" s="1" t="n">
        <v>20058</v>
      </c>
      <c r="C2893" s="1" t="inlineStr">
        <is>
          <t>039</t>
        </is>
      </c>
      <c r="D2893" s="1" t="inlineStr">
        <is>
          <t>232151</t>
        </is>
      </c>
      <c r="E2893" s="1" t="inlineStr">
        <is>
          <t xml:space="preserve">28194770       </t>
        </is>
      </c>
      <c r="F2893" s="5" t="inlineStr">
        <is>
          <t>AUTOS DE METAL 3 TEAMSTERZ EN BLISTER</t>
        </is>
      </c>
      <c r="G2893" t="n">
        <v>1</v>
      </c>
      <c r="H2893" s="7" t="n">
        <v>6.9</v>
      </c>
      <c r="I2893" s="7" t="n">
        <v>0</v>
      </c>
      <c r="J2893" s="7" t="n">
        <v>0</v>
      </c>
      <c r="K2893" s="9" t="n">
        <v>0</v>
      </c>
      <c r="L2893" s="10" t="n">
        <v>4.1</v>
      </c>
      <c r="M2893" s="10" t="n">
        <v>1.43</v>
      </c>
      <c r="N2893" t="inlineStr">
        <is>
          <t>1</t>
        </is>
      </c>
      <c r="O2893" t="inlineStr">
        <is>
          <t xml:space="preserve">2 </t>
        </is>
      </c>
      <c r="P2893" t="inlineStr">
        <is>
          <t xml:space="preserve">90759   </t>
        </is>
      </c>
      <c r="Q2893" s="26" t="n">
        <v>4.09</v>
      </c>
      <c r="R2893" s="26">
        <f>Q2893*G2893</f>
        <v/>
      </c>
      <c r="S2893" s="26">
        <f>IFERROR(VLOOKUP(E2893*1,Tabla[#All],8,0),0)</f>
        <v/>
      </c>
      <c r="T2893" s="26">
        <f>S2893*G2893</f>
        <v/>
      </c>
      <c r="U2893" s="26">
        <f>R2893-T2893</f>
        <v/>
      </c>
      <c r="V2893" s="26">
        <f>U2893-L2893</f>
        <v/>
      </c>
    </row>
    <row r="2894">
      <c r="A2894" s="11" t="n">
        <v>46231</v>
      </c>
      <c r="B2894" s="1" t="n">
        <v>20058</v>
      </c>
      <c r="C2894" s="1" t="inlineStr">
        <is>
          <t>039</t>
        </is>
      </c>
      <c r="D2894" s="1" t="inlineStr">
        <is>
          <t>232151</t>
        </is>
      </c>
      <c r="E2894" s="1" t="inlineStr">
        <is>
          <t xml:space="preserve">30141766       </t>
        </is>
      </c>
      <c r="F2894" s="5" t="inlineStr">
        <is>
          <t>TMZ BEAST MACHINES AUTOS DE METAL BLISTER X 1</t>
        </is>
      </c>
      <c r="G2894" t="n">
        <v>1</v>
      </c>
      <c r="H2894" s="7" t="n">
        <v>7.9</v>
      </c>
      <c r="I2894" s="7" t="n">
        <v>0</v>
      </c>
      <c r="J2894" s="7" t="n">
        <v>0</v>
      </c>
      <c r="K2894" s="9" t="n">
        <v>0</v>
      </c>
      <c r="L2894" s="10" t="n">
        <v>4.68</v>
      </c>
      <c r="M2894" s="10" t="n">
        <v>1.43</v>
      </c>
      <c r="N2894" t="inlineStr">
        <is>
          <t>1</t>
        </is>
      </c>
      <c r="O2894" t="inlineStr">
        <is>
          <t xml:space="preserve">2 </t>
        </is>
      </c>
      <c r="P2894" t="inlineStr">
        <is>
          <t xml:space="preserve">90759   </t>
        </is>
      </c>
      <c r="Q2894" s="26" t="n">
        <v>4.69</v>
      </c>
      <c r="R2894" s="26">
        <f>Q2894*G2894</f>
        <v/>
      </c>
      <c r="S2894" s="26">
        <f>IFERROR(VLOOKUP(E2894*1,Tabla[#All],8,0),0)</f>
        <v/>
      </c>
      <c r="T2894" s="26">
        <f>S2894*G2894</f>
        <v/>
      </c>
      <c r="U2894" s="26">
        <f>R2894-T2894</f>
        <v/>
      </c>
      <c r="V2894" s="26">
        <f>U2894-L2894</f>
        <v/>
      </c>
    </row>
    <row r="2895">
      <c r="A2895" s="11" t="n">
        <v>46231</v>
      </c>
      <c r="B2895" s="1" t="n">
        <v>20058</v>
      </c>
      <c r="C2895" s="1" t="inlineStr">
        <is>
          <t>039</t>
        </is>
      </c>
      <c r="D2895" s="1" t="inlineStr">
        <is>
          <t>232156</t>
        </is>
      </c>
      <c r="E2895" s="1" t="inlineStr">
        <is>
          <t xml:space="preserve">30141766       </t>
        </is>
      </c>
      <c r="F2895" s="5" t="inlineStr">
        <is>
          <t>TMZ BEAST MACHINES AUTOS DE METAL BLISTER X 1</t>
        </is>
      </c>
      <c r="G2895" t="n">
        <v>1</v>
      </c>
      <c r="H2895" s="7" t="n">
        <v>7.9</v>
      </c>
      <c r="I2895" s="7" t="n">
        <v>0</v>
      </c>
      <c r="J2895" s="7" t="n">
        <v>0</v>
      </c>
      <c r="K2895" s="9" t="n">
        <v>0</v>
      </c>
      <c r="L2895" s="10" t="n">
        <v>4.68</v>
      </c>
      <c r="M2895" s="10" t="n">
        <v>1.43</v>
      </c>
      <c r="N2895" t="inlineStr">
        <is>
          <t>1</t>
        </is>
      </c>
      <c r="O2895" t="inlineStr">
        <is>
          <t>16</t>
        </is>
      </c>
      <c r="P2895" t="inlineStr">
        <is>
          <t xml:space="preserve">90759   </t>
        </is>
      </c>
      <c r="Q2895" s="26" t="n">
        <v>4.69</v>
      </c>
      <c r="R2895" s="26">
        <f>Q2895*G2895</f>
        <v/>
      </c>
      <c r="S2895" s="26">
        <f>IFERROR(VLOOKUP(E2895*1,Tabla[#All],8,0),0)</f>
        <v/>
      </c>
      <c r="T2895" s="26">
        <f>S2895*G2895</f>
        <v/>
      </c>
      <c r="U2895" s="26">
        <f>R2895-T2895</f>
        <v/>
      </c>
      <c r="V2895" s="26">
        <f>U2895-L2895</f>
        <v/>
      </c>
    </row>
    <row r="2896">
      <c r="A2896" s="11" t="n">
        <v>46231</v>
      </c>
      <c r="B2896" s="1" t="n">
        <v>20058</v>
      </c>
      <c r="C2896" s="1" t="inlineStr">
        <is>
          <t>191</t>
        </is>
      </c>
      <c r="D2896" s="1" t="inlineStr">
        <is>
          <t xml:space="preserve">7677  </t>
        </is>
      </c>
      <c r="E2896" s="1" t="inlineStr">
        <is>
          <t xml:space="preserve">28194770       </t>
        </is>
      </c>
      <c r="F2896" s="5" t="inlineStr">
        <is>
          <t>AUTOS DE METAL 3 TEAMSTERZ EN BLISTER</t>
        </is>
      </c>
      <c r="G2896" t="n">
        <v>1</v>
      </c>
      <c r="H2896" s="7" t="n">
        <v>6.9</v>
      </c>
      <c r="I2896" s="7" t="n">
        <v>0</v>
      </c>
      <c r="J2896" s="7" t="n">
        <v>0</v>
      </c>
      <c r="K2896" s="9" t="n">
        <v>0</v>
      </c>
      <c r="L2896" s="10" t="n">
        <v>4.1</v>
      </c>
      <c r="M2896" s="10" t="n">
        <v>1.43</v>
      </c>
      <c r="N2896" t="inlineStr">
        <is>
          <t>1</t>
        </is>
      </c>
      <c r="O2896" t="inlineStr">
        <is>
          <t>16</t>
        </is>
      </c>
      <c r="P2896" t="inlineStr">
        <is>
          <t xml:space="preserve">244952  </t>
        </is>
      </c>
      <c r="Q2896" s="26" t="n">
        <v>4.09</v>
      </c>
      <c r="R2896" s="26">
        <f>Q2896*G2896</f>
        <v/>
      </c>
      <c r="S2896" s="26">
        <f>IFERROR(VLOOKUP(E2896*1,Tabla[#All],8,0),0)</f>
        <v/>
      </c>
      <c r="T2896" s="26">
        <f>S2896*G2896</f>
        <v/>
      </c>
      <c r="U2896" s="26">
        <f>R2896-T2896</f>
        <v/>
      </c>
      <c r="V2896" s="26">
        <f>U2896-L2896</f>
        <v/>
      </c>
    </row>
    <row r="2897">
      <c r="A2897" s="11" t="n">
        <v>46231</v>
      </c>
      <c r="B2897" s="1" t="n">
        <v>20058</v>
      </c>
      <c r="C2897" s="1" t="inlineStr">
        <is>
          <t>191</t>
        </is>
      </c>
      <c r="D2897" s="1" t="inlineStr">
        <is>
          <t xml:space="preserve">7677  </t>
        </is>
      </c>
      <c r="E2897" s="1" t="inlineStr">
        <is>
          <t xml:space="preserve">28194770       </t>
        </is>
      </c>
      <c r="F2897" s="5" t="inlineStr">
        <is>
          <t>AUTOS DE METAL 3 TEAMSTERZ EN BLISTER</t>
        </is>
      </c>
      <c r="G2897" t="n">
        <v>1</v>
      </c>
      <c r="H2897" s="7" t="n">
        <v>6.9</v>
      </c>
      <c r="I2897" s="7" t="n">
        <v>0</v>
      </c>
      <c r="J2897" s="7" t="n">
        <v>0</v>
      </c>
      <c r="K2897" s="9" t="n">
        <v>0</v>
      </c>
      <c r="L2897" s="10" t="n">
        <v>4.1</v>
      </c>
      <c r="M2897" s="10" t="n">
        <v>1.43</v>
      </c>
      <c r="N2897" t="inlineStr">
        <is>
          <t>1</t>
        </is>
      </c>
      <c r="O2897" t="inlineStr">
        <is>
          <t>16</t>
        </is>
      </c>
      <c r="P2897" t="inlineStr">
        <is>
          <t xml:space="preserve">244952  </t>
        </is>
      </c>
      <c r="Q2897" s="26" t="n">
        <v>4.09</v>
      </c>
      <c r="R2897" s="26">
        <f>Q2897*G2897</f>
        <v/>
      </c>
      <c r="S2897" s="26">
        <f>IFERROR(VLOOKUP(E2897*1,Tabla[#All],8,0),0)</f>
        <v/>
      </c>
      <c r="T2897" s="26">
        <f>S2897*G2897</f>
        <v/>
      </c>
      <c r="U2897" s="26">
        <f>R2897-T2897</f>
        <v/>
      </c>
      <c r="V2897" s="26">
        <f>U2897-L2897</f>
        <v/>
      </c>
    </row>
    <row r="2898">
      <c r="A2898" s="11" t="n">
        <v>46231</v>
      </c>
      <c r="B2898" s="1" t="n">
        <v>20058</v>
      </c>
      <c r="C2898" s="1" t="inlineStr">
        <is>
          <t>191</t>
        </is>
      </c>
      <c r="D2898" s="1" t="inlineStr">
        <is>
          <t xml:space="preserve">7677  </t>
        </is>
      </c>
      <c r="E2898" s="1" t="inlineStr">
        <is>
          <t xml:space="preserve">28194770       </t>
        </is>
      </c>
      <c r="F2898" s="5" t="inlineStr">
        <is>
          <t>AUTOS DE METAL 3 TEAMSTERZ EN BLISTER</t>
        </is>
      </c>
      <c r="G2898" t="n">
        <v>1</v>
      </c>
      <c r="H2898" s="7" t="n">
        <v>6.9</v>
      </c>
      <c r="I2898" s="7" t="n">
        <v>0</v>
      </c>
      <c r="J2898" s="7" t="n">
        <v>0</v>
      </c>
      <c r="K2898" s="9" t="n">
        <v>0</v>
      </c>
      <c r="L2898" s="10" t="n">
        <v>4.1</v>
      </c>
      <c r="M2898" s="10" t="n">
        <v>1.43</v>
      </c>
      <c r="N2898" t="inlineStr">
        <is>
          <t>1</t>
        </is>
      </c>
      <c r="O2898" t="inlineStr">
        <is>
          <t>16</t>
        </is>
      </c>
      <c r="P2898" t="inlineStr">
        <is>
          <t xml:space="preserve">244952  </t>
        </is>
      </c>
      <c r="Q2898" s="26" t="n">
        <v>4.09</v>
      </c>
      <c r="R2898" s="26">
        <f>Q2898*G2898</f>
        <v/>
      </c>
      <c r="S2898" s="26">
        <f>IFERROR(VLOOKUP(E2898*1,Tabla[#All],8,0),0)</f>
        <v/>
      </c>
      <c r="T2898" s="26">
        <f>S2898*G2898</f>
        <v/>
      </c>
      <c r="U2898" s="26">
        <f>R2898-T2898</f>
        <v/>
      </c>
      <c r="V2898" s="26">
        <f>U2898-L2898</f>
        <v/>
      </c>
    </row>
    <row r="2899">
      <c r="A2899" s="11" t="n">
        <v>46231</v>
      </c>
      <c r="B2899" s="1" t="n">
        <v>20058</v>
      </c>
      <c r="C2899" s="1" t="inlineStr">
        <is>
          <t>197</t>
        </is>
      </c>
      <c r="D2899" s="1" t="inlineStr">
        <is>
          <t>171033</t>
        </is>
      </c>
      <c r="E2899" s="1" t="inlineStr">
        <is>
          <t xml:space="preserve">28194770       </t>
        </is>
      </c>
      <c r="F2899" s="5" t="inlineStr">
        <is>
          <t>AUTOS DE METAL 3 TEAMSTERZ EN BLISTER</t>
        </is>
      </c>
      <c r="G2899" t="n">
        <v>1</v>
      </c>
      <c r="H2899" s="7" t="n">
        <v>6.9</v>
      </c>
      <c r="I2899" s="7" t="n">
        <v>0</v>
      </c>
      <c r="J2899" s="7" t="n">
        <v>0</v>
      </c>
      <c r="K2899" s="9" t="n">
        <v>0</v>
      </c>
      <c r="L2899" s="10" t="n">
        <v>4.1</v>
      </c>
      <c r="M2899" s="10" t="n">
        <v>1.43</v>
      </c>
      <c r="N2899" t="inlineStr">
        <is>
          <t>1</t>
        </is>
      </c>
      <c r="O2899" t="inlineStr">
        <is>
          <t>16</t>
        </is>
      </c>
      <c r="P2899" t="inlineStr">
        <is>
          <t xml:space="preserve">250260  </t>
        </is>
      </c>
      <c r="Q2899" s="26" t="n">
        <v>4.09</v>
      </c>
      <c r="R2899" s="26">
        <f>Q2899*G2899</f>
        <v/>
      </c>
      <c r="S2899" s="26">
        <f>IFERROR(VLOOKUP(E2899*1,Tabla[#All],8,0),0)</f>
        <v/>
      </c>
      <c r="T2899" s="26">
        <f>S2899*G2899</f>
        <v/>
      </c>
      <c r="U2899" s="26">
        <f>R2899-T2899</f>
        <v/>
      </c>
      <c r="V2899" s="26">
        <f>U2899-L2899</f>
        <v/>
      </c>
    </row>
    <row r="2900">
      <c r="A2900" s="11" t="n">
        <v>46231</v>
      </c>
      <c r="B2900" s="1" t="n">
        <v>20062</v>
      </c>
      <c r="C2900" s="1" t="inlineStr">
        <is>
          <t>014</t>
        </is>
      </c>
      <c r="D2900" s="1" t="inlineStr">
        <is>
          <t>229107</t>
        </is>
      </c>
      <c r="E2900" s="1" t="inlineStr">
        <is>
          <t xml:space="preserve">31754675       </t>
        </is>
      </c>
      <c r="F2900" s="5" t="inlineStr">
        <is>
          <t>INFINITY NADO SERIE 6 STARTER PACK - 4 MODELOS</t>
        </is>
      </c>
      <c r="G2900" t="n">
        <v>1</v>
      </c>
      <c r="H2900" s="7" t="n">
        <v>49.9</v>
      </c>
      <c r="I2900" s="7" t="n">
        <v>0</v>
      </c>
      <c r="J2900" s="7" t="n">
        <v>0</v>
      </c>
      <c r="K2900" s="9" t="n">
        <v>0</v>
      </c>
      <c r="L2900" s="10" t="n">
        <v>29.6</v>
      </c>
      <c r="M2900" s="10" t="n">
        <v>1.43</v>
      </c>
      <c r="N2900" t="inlineStr">
        <is>
          <t>1</t>
        </is>
      </c>
      <c r="O2900" t="inlineStr">
        <is>
          <t>16</t>
        </is>
      </c>
      <c r="P2900" t="inlineStr">
        <is>
          <t xml:space="preserve">252248  </t>
        </is>
      </c>
      <c r="Q2900" s="26" t="n">
        <v>41.47</v>
      </c>
      <c r="R2900" s="26">
        <f>Q2900*G2900</f>
        <v/>
      </c>
      <c r="S2900" s="26">
        <f>IFERROR(VLOOKUP(E2900*1,Tabla[#All],8,0),0)</f>
        <v/>
      </c>
      <c r="T2900" s="26">
        <f>S2900*G2900</f>
        <v/>
      </c>
      <c r="U2900" s="26">
        <f>R2900-T2900</f>
        <v/>
      </c>
      <c r="V2900" s="26">
        <f>U2900-L2900</f>
        <v/>
      </c>
    </row>
    <row r="2901">
      <c r="A2901" s="11" t="n">
        <v>46231</v>
      </c>
      <c r="B2901" s="1" t="n">
        <v>20062</v>
      </c>
      <c r="C2901" s="1" t="inlineStr">
        <is>
          <t>831</t>
        </is>
      </c>
      <c r="D2901" s="1" t="inlineStr">
        <is>
          <t xml:space="preserve">1867  </t>
        </is>
      </c>
      <c r="E2901" s="1" t="inlineStr">
        <is>
          <t xml:space="preserve">28194789       </t>
        </is>
      </c>
      <c r="F2901" s="5" t="inlineStr">
        <is>
          <t>FIGURAS TRANSFORMABLES SUPER WINGS CON LUCES Y SON</t>
        </is>
      </c>
      <c r="G2901" t="n">
        <v>1</v>
      </c>
      <c r="H2901" s="7" t="n">
        <v>48.93</v>
      </c>
      <c r="I2901" s="7" t="n">
        <v>4.89</v>
      </c>
      <c r="J2901" s="7" t="n">
        <v>0</v>
      </c>
      <c r="K2901" s="9" t="n">
        <v>4.89</v>
      </c>
      <c r="L2901" s="10" t="n">
        <v>26.12</v>
      </c>
      <c r="M2901" s="10" t="n">
        <v>1.43</v>
      </c>
      <c r="N2901" t="inlineStr">
        <is>
          <t>1</t>
        </is>
      </c>
      <c r="O2901" t="inlineStr">
        <is>
          <t>16</t>
        </is>
      </c>
      <c r="P2901" t="inlineStr">
        <is>
          <t xml:space="preserve">248412  </t>
        </is>
      </c>
      <c r="Q2901" s="26" t="n">
        <v>41.47</v>
      </c>
      <c r="R2901" s="26">
        <f>Q2901*G2901</f>
        <v/>
      </c>
      <c r="S2901" s="26">
        <f>IFERROR(VLOOKUP(E2901*1,Tabla[#All],8,0),0)</f>
        <v/>
      </c>
      <c r="T2901" s="26">
        <f>S2901*G2901</f>
        <v/>
      </c>
      <c r="U2901" s="26">
        <f>R2901-T2901</f>
        <v/>
      </c>
      <c r="V2901" s="26">
        <f>U2901-L2901</f>
        <v/>
      </c>
    </row>
    <row r="2902">
      <c r="A2902" s="11" t="n">
        <v>46231</v>
      </c>
      <c r="B2902" s="1" t="n">
        <v>20066</v>
      </c>
      <c r="C2902" s="1" t="inlineStr">
        <is>
          <t>047</t>
        </is>
      </c>
      <c r="D2902" s="1" t="inlineStr">
        <is>
          <t xml:space="preserve">51889 </t>
        </is>
      </c>
      <c r="E2902" s="1" t="inlineStr">
        <is>
          <t xml:space="preserve">28194770       </t>
        </is>
      </c>
      <c r="F2902" s="5" t="inlineStr">
        <is>
          <t>AUTOS DE METAL 3 TEAMSTERZ EN BLISTER</t>
        </is>
      </c>
      <c r="G2902" t="n">
        <v>1</v>
      </c>
      <c r="H2902" s="7" t="n">
        <v>6.9</v>
      </c>
      <c r="I2902" s="7" t="n">
        <v>0</v>
      </c>
      <c r="J2902" s="7" t="n">
        <v>0</v>
      </c>
      <c r="K2902" s="9" t="n">
        <v>0</v>
      </c>
      <c r="L2902" s="10" t="n">
        <v>4.1</v>
      </c>
      <c r="M2902" s="10" t="n">
        <v>1.43</v>
      </c>
      <c r="N2902" t="inlineStr">
        <is>
          <t>1</t>
        </is>
      </c>
      <c r="O2902" t="inlineStr">
        <is>
          <t>16</t>
        </is>
      </c>
      <c r="P2902" t="inlineStr">
        <is>
          <t xml:space="preserve">12646   </t>
        </is>
      </c>
      <c r="Q2902" s="26" t="n">
        <v>4.09</v>
      </c>
      <c r="R2902" s="26">
        <f>Q2902*G2902</f>
        <v/>
      </c>
      <c r="S2902" s="26">
        <f>IFERROR(VLOOKUP(E2902*1,Tabla[#All],8,0),0)</f>
        <v/>
      </c>
      <c r="T2902" s="26">
        <f>S2902*G2902</f>
        <v/>
      </c>
      <c r="U2902" s="26">
        <f>R2902-T2902</f>
        <v/>
      </c>
      <c r="V2902" s="26">
        <f>U2902-L2902</f>
        <v/>
      </c>
    </row>
    <row r="2903">
      <c r="A2903" s="11" t="n">
        <v>46231</v>
      </c>
      <c r="B2903" s="1" t="n">
        <v>20066</v>
      </c>
      <c r="C2903" s="1" t="inlineStr">
        <is>
          <t>052</t>
        </is>
      </c>
      <c r="D2903" s="1" t="inlineStr">
        <is>
          <t>321152</t>
        </is>
      </c>
      <c r="E2903" s="1" t="inlineStr">
        <is>
          <t xml:space="preserve">31675352       </t>
        </is>
      </c>
      <c r="F2903" s="5" t="inlineStr">
        <is>
          <t>MI PEQUENO NENUCO</t>
        </is>
      </c>
      <c r="G2903" t="n">
        <v>1</v>
      </c>
      <c r="H2903" s="7" t="n">
        <v>49.9</v>
      </c>
      <c r="I2903" s="7" t="n">
        <v>0</v>
      </c>
      <c r="J2903" s="7" t="n">
        <v>0</v>
      </c>
      <c r="K2903" s="9" t="n">
        <v>0</v>
      </c>
      <c r="L2903" s="10" t="n">
        <v>29.6</v>
      </c>
      <c r="M2903" s="10" t="n">
        <v>1.43</v>
      </c>
      <c r="N2903" t="inlineStr">
        <is>
          <t>1</t>
        </is>
      </c>
      <c r="O2903" t="inlineStr">
        <is>
          <t>16</t>
        </is>
      </c>
      <c r="P2903" t="inlineStr">
        <is>
          <t xml:space="preserve">62683   </t>
        </is>
      </c>
      <c r="Q2903" s="26" t="n">
        <v>41.47</v>
      </c>
      <c r="R2903" s="26">
        <f>Q2903*G2903</f>
        <v/>
      </c>
      <c r="S2903" s="26">
        <f>IFERROR(VLOOKUP(E2903*1,Tabla[#All],8,0),0)</f>
        <v/>
      </c>
      <c r="T2903" s="26">
        <f>S2903*G2903</f>
        <v/>
      </c>
      <c r="U2903" s="26">
        <f>R2903-T2903</f>
        <v/>
      </c>
      <c r="V2903" s="26">
        <f>U2903-L2903</f>
        <v/>
      </c>
    </row>
    <row r="2904">
      <c r="A2904" s="11" t="n">
        <v>46231</v>
      </c>
      <c r="B2904" s="1" t="n">
        <v>20066</v>
      </c>
      <c r="C2904" s="1" t="inlineStr">
        <is>
          <t>057</t>
        </is>
      </c>
      <c r="D2904" s="1" t="inlineStr">
        <is>
          <t>494838</t>
        </is>
      </c>
      <c r="E2904" s="1" t="inlineStr">
        <is>
          <t xml:space="preserve">28194770       </t>
        </is>
      </c>
      <c r="F2904" s="5" t="inlineStr">
        <is>
          <t>AUTOS DE METAL 3 TEAMSTERZ EN BLISTER</t>
        </is>
      </c>
      <c r="G2904" t="n">
        <v>1</v>
      </c>
      <c r="H2904" s="7" t="n">
        <v>6.9</v>
      </c>
      <c r="I2904" s="7" t="n">
        <v>0</v>
      </c>
      <c r="J2904" s="7" t="n">
        <v>0</v>
      </c>
      <c r="K2904" s="9" t="n">
        <v>0</v>
      </c>
      <c r="L2904" s="10" t="n">
        <v>4.1</v>
      </c>
      <c r="M2904" s="10" t="n">
        <v>1.43</v>
      </c>
      <c r="N2904" t="inlineStr">
        <is>
          <t>1</t>
        </is>
      </c>
      <c r="O2904" t="inlineStr">
        <is>
          <t>16</t>
        </is>
      </c>
      <c r="P2904" t="inlineStr">
        <is>
          <t xml:space="preserve">43713   </t>
        </is>
      </c>
      <c r="Q2904" s="26" t="n">
        <v>4.09</v>
      </c>
      <c r="R2904" s="26">
        <f>Q2904*G2904</f>
        <v/>
      </c>
      <c r="S2904" s="26">
        <f>IFERROR(VLOOKUP(E2904*1,Tabla[#All],8,0),0)</f>
        <v/>
      </c>
      <c r="T2904" s="26">
        <f>S2904*G2904</f>
        <v/>
      </c>
      <c r="U2904" s="26">
        <f>R2904-T2904</f>
        <v/>
      </c>
      <c r="V2904" s="26">
        <f>U2904-L2904</f>
        <v/>
      </c>
    </row>
    <row r="2905">
      <c r="A2905" s="11" t="n">
        <v>46231</v>
      </c>
      <c r="B2905" s="1" t="n">
        <v>20066</v>
      </c>
      <c r="C2905" s="1" t="inlineStr">
        <is>
          <t>057</t>
        </is>
      </c>
      <c r="D2905" s="1" t="inlineStr">
        <is>
          <t>494838</t>
        </is>
      </c>
      <c r="E2905" s="1" t="inlineStr">
        <is>
          <t xml:space="preserve">28194770       </t>
        </is>
      </c>
      <c r="F2905" s="5" t="inlineStr">
        <is>
          <t>AUTOS DE METAL 3 TEAMSTERZ EN BLISTER</t>
        </is>
      </c>
      <c r="G2905" t="n">
        <v>1</v>
      </c>
      <c r="H2905" s="7" t="n">
        <v>6.9</v>
      </c>
      <c r="I2905" s="7" t="n">
        <v>0</v>
      </c>
      <c r="J2905" s="7" t="n">
        <v>0</v>
      </c>
      <c r="K2905" s="9" t="n">
        <v>0</v>
      </c>
      <c r="L2905" s="10" t="n">
        <v>4.1</v>
      </c>
      <c r="M2905" s="10" t="n">
        <v>1.43</v>
      </c>
      <c r="N2905" t="inlineStr">
        <is>
          <t>1</t>
        </is>
      </c>
      <c r="O2905" t="inlineStr">
        <is>
          <t>16</t>
        </is>
      </c>
      <c r="P2905" t="inlineStr">
        <is>
          <t xml:space="preserve">43713   </t>
        </is>
      </c>
      <c r="Q2905" s="26" t="n">
        <v>4.09</v>
      </c>
      <c r="R2905" s="26">
        <f>Q2905*G2905</f>
        <v/>
      </c>
      <c r="S2905" s="26">
        <f>IFERROR(VLOOKUP(E2905*1,Tabla[#All],8,0),0)</f>
        <v/>
      </c>
      <c r="T2905" s="26">
        <f>S2905*G2905</f>
        <v/>
      </c>
      <c r="U2905" s="26">
        <f>R2905-T2905</f>
        <v/>
      </c>
      <c r="V2905" s="26">
        <f>U2905-L2905</f>
        <v/>
      </c>
    </row>
    <row r="2906">
      <c r="A2906" s="11" t="n">
        <v>46231</v>
      </c>
      <c r="B2906" s="1" t="n">
        <v>20066</v>
      </c>
      <c r="C2906" s="1" t="inlineStr">
        <is>
          <t>061</t>
        </is>
      </c>
      <c r="D2906" s="1" t="inlineStr">
        <is>
          <t xml:space="preserve">36599 </t>
        </is>
      </c>
      <c r="E2906" s="1" t="inlineStr">
        <is>
          <t xml:space="preserve">30232282       </t>
        </is>
      </c>
      <c r="F2906" s="5" t="inlineStr">
        <is>
          <t>MANDIBULAS JUEGO DE PESCA</t>
        </is>
      </c>
      <c r="G2906" t="n">
        <v>1</v>
      </c>
      <c r="H2906" s="7" t="n">
        <v>119</v>
      </c>
      <c r="I2906" s="7" t="n">
        <v>0</v>
      </c>
      <c r="J2906" s="7" t="n">
        <v>0</v>
      </c>
      <c r="K2906" s="9" t="n">
        <v>0</v>
      </c>
      <c r="L2906" s="10" t="n">
        <v>70.59999999999999</v>
      </c>
      <c r="M2906" s="10" t="n">
        <v>1.43</v>
      </c>
      <c r="N2906" t="inlineStr">
        <is>
          <t>1</t>
        </is>
      </c>
      <c r="O2906" t="inlineStr">
        <is>
          <t>16</t>
        </is>
      </c>
      <c r="P2906" t="inlineStr">
        <is>
          <t xml:space="preserve">240114  </t>
        </is>
      </c>
      <c r="Q2906" s="26" t="n">
        <v>70.59</v>
      </c>
      <c r="R2906" s="26">
        <f>Q2906*G2906</f>
        <v/>
      </c>
      <c r="S2906" s="26">
        <f>IFERROR(VLOOKUP(E2906*1,Tabla[#All],8,0),0)</f>
        <v/>
      </c>
      <c r="T2906" s="26">
        <f>S2906*G2906</f>
        <v/>
      </c>
      <c r="U2906" s="26">
        <f>R2906-T2906</f>
        <v/>
      </c>
      <c r="V2906" s="26">
        <f>U2906-L2906</f>
        <v/>
      </c>
    </row>
    <row r="2907">
      <c r="A2907" s="11" t="n">
        <v>46231</v>
      </c>
      <c r="B2907" s="1" t="n">
        <v>20069</v>
      </c>
      <c r="C2907" s="1" t="inlineStr">
        <is>
          <t>013</t>
        </is>
      </c>
      <c r="D2907" s="1" t="inlineStr">
        <is>
          <t>248552</t>
        </is>
      </c>
      <c r="E2907" s="1" t="inlineStr">
        <is>
          <t xml:space="preserve">28194769       </t>
        </is>
      </c>
      <c r="F2907" s="5" t="inlineStr">
        <is>
          <t>AUTOS DE METAL 3 TEAMSTERZ PACK DE 2</t>
        </is>
      </c>
      <c r="G2907" t="n">
        <v>1</v>
      </c>
      <c r="H2907" s="7" t="n">
        <v>13.8</v>
      </c>
      <c r="I2907" s="7" t="n">
        <v>0</v>
      </c>
      <c r="J2907" s="7" t="n">
        <v>0</v>
      </c>
      <c r="K2907" s="9" t="n">
        <v>0</v>
      </c>
      <c r="L2907" s="10" t="n">
        <v>8.18</v>
      </c>
      <c r="M2907" s="10" t="n">
        <v>1.43</v>
      </c>
      <c r="N2907" t="inlineStr">
        <is>
          <t>1</t>
        </is>
      </c>
      <c r="O2907" t="inlineStr">
        <is>
          <t xml:space="preserve">2 </t>
        </is>
      </c>
      <c r="P2907" t="inlineStr">
        <is>
          <t xml:space="preserve">249236  </t>
        </is>
      </c>
      <c r="Q2907" s="26" t="n">
        <v>8.19</v>
      </c>
      <c r="R2907" s="26">
        <f>Q2907*G2907</f>
        <v/>
      </c>
      <c r="S2907" s="26">
        <f>IFERROR(VLOOKUP(E2907*1,Tabla[#All],8,0),0)</f>
        <v/>
      </c>
      <c r="T2907" s="26">
        <f>S2907*G2907</f>
        <v/>
      </c>
      <c r="U2907" s="26">
        <f>R2907-T2907</f>
        <v/>
      </c>
      <c r="V2907" s="26">
        <f>U2907-L2907</f>
        <v/>
      </c>
    </row>
    <row r="2908">
      <c r="A2908" s="11" t="n">
        <v>46231</v>
      </c>
      <c r="B2908" s="1" t="n">
        <v>20069</v>
      </c>
      <c r="C2908" s="1" t="inlineStr">
        <is>
          <t>013</t>
        </is>
      </c>
      <c r="D2908" s="1" t="inlineStr">
        <is>
          <t>248552</t>
        </is>
      </c>
      <c r="E2908" s="1" t="inlineStr">
        <is>
          <t xml:space="preserve">28194769       </t>
        </is>
      </c>
      <c r="F2908" s="5" t="inlineStr">
        <is>
          <t>AUTOS DE METAL 3 TEAMSTERZ PACK DE 2</t>
        </is>
      </c>
      <c r="G2908" t="n">
        <v>1</v>
      </c>
      <c r="H2908" s="7" t="n">
        <v>13.8</v>
      </c>
      <c r="I2908" s="7" t="n">
        <v>0</v>
      </c>
      <c r="J2908" s="7" t="n">
        <v>0</v>
      </c>
      <c r="K2908" s="9" t="n">
        <v>0</v>
      </c>
      <c r="L2908" s="10" t="n">
        <v>8.18</v>
      </c>
      <c r="M2908" s="10" t="n">
        <v>1.43</v>
      </c>
      <c r="N2908" t="inlineStr">
        <is>
          <t>1</t>
        </is>
      </c>
      <c r="O2908" t="inlineStr">
        <is>
          <t xml:space="preserve">2 </t>
        </is>
      </c>
      <c r="P2908" t="inlineStr">
        <is>
          <t xml:space="preserve">249236  </t>
        </is>
      </c>
      <c r="Q2908" s="26" t="n">
        <v>8.19</v>
      </c>
      <c r="R2908" s="26">
        <f>Q2908*G2908</f>
        <v/>
      </c>
      <c r="S2908" s="26">
        <f>IFERROR(VLOOKUP(E2908*1,Tabla[#All],8,0),0)</f>
        <v/>
      </c>
      <c r="T2908" s="26">
        <f>S2908*G2908</f>
        <v/>
      </c>
      <c r="U2908" s="26">
        <f>R2908-T2908</f>
        <v/>
      </c>
      <c r="V2908" s="26">
        <f>U2908-L2908</f>
        <v/>
      </c>
    </row>
    <row r="2909">
      <c r="A2909" s="11" t="n">
        <v>46231</v>
      </c>
      <c r="B2909" s="1" t="n">
        <v>20072</v>
      </c>
      <c r="C2909" s="1" t="inlineStr">
        <is>
          <t>032</t>
        </is>
      </c>
      <c r="D2909" s="1" t="inlineStr">
        <is>
          <t>309511</t>
        </is>
      </c>
      <c r="E2909" s="1" t="inlineStr">
        <is>
          <t xml:space="preserve">32457111       </t>
        </is>
      </c>
      <c r="F2909" s="5" t="inlineStr">
        <is>
          <t>TMZ BEAST MACHINES MONSTER JAWS A FRICCION PACK DE</t>
        </is>
      </c>
      <c r="G2909" t="n">
        <v>1</v>
      </c>
      <c r="H2909" s="7" t="n">
        <v>54.9</v>
      </c>
      <c r="I2909" s="7" t="n">
        <v>0</v>
      </c>
      <c r="J2909" s="7" t="n">
        <v>0</v>
      </c>
      <c r="K2909" s="9" t="n">
        <v>0</v>
      </c>
      <c r="L2909" s="10" t="n">
        <v>32.57</v>
      </c>
      <c r="M2909" s="10" t="n">
        <v>1.43</v>
      </c>
      <c r="N2909" t="inlineStr">
        <is>
          <t>1</t>
        </is>
      </c>
      <c r="O2909" t="inlineStr">
        <is>
          <t>16</t>
        </is>
      </c>
      <c r="P2909" t="inlineStr">
        <is>
          <t xml:space="preserve">238963  </t>
        </is>
      </c>
      <c r="Q2909" s="26" t="n">
        <v>44.43</v>
      </c>
      <c r="R2909" s="26">
        <f>Q2909*G2909</f>
        <v/>
      </c>
      <c r="S2909" s="26">
        <f>IFERROR(VLOOKUP(E2909*1,Tabla[#All],8,0),0)</f>
        <v/>
      </c>
      <c r="T2909" s="26">
        <f>S2909*G2909</f>
        <v/>
      </c>
      <c r="U2909" s="26">
        <f>R2909-T2909</f>
        <v/>
      </c>
      <c r="V2909" s="26">
        <f>U2909-L2909</f>
        <v/>
      </c>
    </row>
    <row r="2910">
      <c r="A2910" s="11" t="n">
        <v>46231</v>
      </c>
      <c r="B2910" s="1" t="n">
        <v>20073</v>
      </c>
      <c r="C2910" s="1" t="inlineStr">
        <is>
          <t>023</t>
        </is>
      </c>
      <c r="D2910" s="1" t="inlineStr">
        <is>
          <t xml:space="preserve">96987 </t>
        </is>
      </c>
      <c r="E2910" s="1" t="inlineStr">
        <is>
          <t xml:space="preserve">28194770       </t>
        </is>
      </c>
      <c r="F2910" s="5" t="inlineStr">
        <is>
          <t>AUTOS DE METAL 3 TEAMSTERZ EN BLISTER</t>
        </is>
      </c>
      <c r="G2910" t="n">
        <v>1</v>
      </c>
      <c r="H2910" s="7" t="n">
        <v>6.9</v>
      </c>
      <c r="I2910" s="7" t="n">
        <v>0</v>
      </c>
      <c r="J2910" s="7" t="n">
        <v>0</v>
      </c>
      <c r="K2910" s="9" t="n">
        <v>0</v>
      </c>
      <c r="L2910" s="10" t="n">
        <v>4.1</v>
      </c>
      <c r="M2910" s="10" t="n">
        <v>1.43</v>
      </c>
      <c r="N2910" t="inlineStr">
        <is>
          <t>1</t>
        </is>
      </c>
      <c r="O2910" t="inlineStr">
        <is>
          <t>16</t>
        </is>
      </c>
      <c r="P2910" t="inlineStr">
        <is>
          <t xml:space="preserve">67629   </t>
        </is>
      </c>
      <c r="Q2910" s="26" t="n">
        <v>4.09</v>
      </c>
      <c r="R2910" s="26">
        <f>Q2910*G2910</f>
        <v/>
      </c>
      <c r="S2910" s="26">
        <f>IFERROR(VLOOKUP(E2910*1,Tabla[#All],8,0),0)</f>
        <v/>
      </c>
      <c r="T2910" s="26">
        <f>S2910*G2910</f>
        <v/>
      </c>
      <c r="U2910" s="26">
        <f>R2910-T2910</f>
        <v/>
      </c>
      <c r="V2910" s="26">
        <f>U2910-L2910</f>
        <v/>
      </c>
    </row>
    <row r="2911">
      <c r="A2911" s="11" t="n">
        <v>46231</v>
      </c>
      <c r="B2911" s="1" t="n">
        <v>20073</v>
      </c>
      <c r="C2911" s="1" t="inlineStr">
        <is>
          <t>023</t>
        </is>
      </c>
      <c r="D2911" s="1" t="inlineStr">
        <is>
          <t xml:space="preserve">97012 </t>
        </is>
      </c>
      <c r="E2911" s="1" t="inlineStr">
        <is>
          <t xml:space="preserve">28194770       </t>
        </is>
      </c>
      <c r="F2911" s="5" t="inlineStr">
        <is>
          <t>AUTOS DE METAL 3 TEAMSTERZ EN BLISTER</t>
        </is>
      </c>
      <c r="G2911" t="n">
        <v>1</v>
      </c>
      <c r="H2911" s="7" t="n">
        <v>6.9</v>
      </c>
      <c r="I2911" s="7" t="n">
        <v>0</v>
      </c>
      <c r="J2911" s="7" t="n">
        <v>0</v>
      </c>
      <c r="K2911" s="9" t="n">
        <v>0</v>
      </c>
      <c r="L2911" s="10" t="n">
        <v>4.1</v>
      </c>
      <c r="M2911" s="10" t="n">
        <v>1.43</v>
      </c>
      <c r="N2911" t="inlineStr">
        <is>
          <t>1</t>
        </is>
      </c>
      <c r="O2911" t="inlineStr">
        <is>
          <t xml:space="preserve">2 </t>
        </is>
      </c>
      <c r="P2911" t="inlineStr">
        <is>
          <t xml:space="preserve">67629   </t>
        </is>
      </c>
      <c r="Q2911" s="26" t="n">
        <v>4.09</v>
      </c>
      <c r="R2911" s="26">
        <f>Q2911*G2911</f>
        <v/>
      </c>
      <c r="S2911" s="26">
        <f>IFERROR(VLOOKUP(E2911*1,Tabla[#All],8,0),0)</f>
        <v/>
      </c>
      <c r="T2911" s="26">
        <f>S2911*G2911</f>
        <v/>
      </c>
      <c r="U2911" s="26">
        <f>R2911-T2911</f>
        <v/>
      </c>
      <c r="V2911" s="26">
        <f>U2911-L2911</f>
        <v/>
      </c>
    </row>
    <row r="2912">
      <c r="A2912" s="11" t="n">
        <v>46231</v>
      </c>
      <c r="B2912" s="1" t="n">
        <v>20073</v>
      </c>
      <c r="C2912" s="1" t="inlineStr">
        <is>
          <t>032</t>
        </is>
      </c>
      <c r="D2912" s="1" t="inlineStr">
        <is>
          <t>381559</t>
        </is>
      </c>
      <c r="E2912" s="1" t="inlineStr">
        <is>
          <t xml:space="preserve">33483121       </t>
        </is>
      </c>
      <c r="F2912" s="5" t="inlineStr">
        <is>
          <t>HOT WHEELS ESTUCHE PARA 15 AUTOS SURTIDO</t>
        </is>
      </c>
      <c r="G2912" t="n">
        <v>1</v>
      </c>
      <c r="H2912" s="7" t="n">
        <v>34.9</v>
      </c>
      <c r="I2912" s="7" t="n">
        <v>0</v>
      </c>
      <c r="J2912" s="7" t="n">
        <v>0</v>
      </c>
      <c r="K2912" s="9" t="n">
        <v>0</v>
      </c>
      <c r="L2912" s="10" t="n">
        <v>20.71</v>
      </c>
      <c r="M2912" s="10" t="n">
        <v>1.43</v>
      </c>
      <c r="N2912" t="inlineStr">
        <is>
          <t>1</t>
        </is>
      </c>
      <c r="O2912" t="inlineStr">
        <is>
          <t xml:space="preserve">2 </t>
        </is>
      </c>
      <c r="P2912" t="inlineStr">
        <is>
          <t xml:space="preserve">57881   </t>
        </is>
      </c>
      <c r="Q2912" s="26" t="n">
        <v>20.7</v>
      </c>
      <c r="R2912" s="26">
        <f>Q2912*G2912</f>
        <v/>
      </c>
      <c r="S2912" s="26">
        <f>IFERROR(VLOOKUP(E2912*1,Tabla[#All],8,0),0)</f>
        <v/>
      </c>
      <c r="T2912" s="26">
        <f>S2912*G2912</f>
        <v/>
      </c>
      <c r="U2912" s="26">
        <f>R2912-T2912</f>
        <v/>
      </c>
      <c r="V2912" s="26">
        <f>U2912-L2912</f>
        <v/>
      </c>
    </row>
    <row r="2913">
      <c r="A2913" s="11" t="n">
        <v>46231</v>
      </c>
      <c r="B2913" s="1" t="n">
        <v>20073</v>
      </c>
      <c r="C2913" s="1" t="inlineStr">
        <is>
          <t>046</t>
        </is>
      </c>
      <c r="D2913" s="1" t="inlineStr">
        <is>
          <t>207960</t>
        </is>
      </c>
      <c r="E2913" s="1" t="inlineStr">
        <is>
          <t xml:space="preserve">28194770       </t>
        </is>
      </c>
      <c r="F2913" s="5" t="inlineStr">
        <is>
          <t>AUTOS DE METAL 3 TEAMSTERZ EN BLISTER</t>
        </is>
      </c>
      <c r="G2913" t="n">
        <v>1</v>
      </c>
      <c r="H2913" s="7" t="n">
        <v>6.9</v>
      </c>
      <c r="I2913" s="7" t="n">
        <v>0</v>
      </c>
      <c r="J2913" s="7" t="n">
        <v>0</v>
      </c>
      <c r="K2913" s="9" t="n">
        <v>0</v>
      </c>
      <c r="L2913" s="10" t="n">
        <v>4.1</v>
      </c>
      <c r="M2913" s="10" t="n">
        <v>1.43</v>
      </c>
      <c r="N2913" t="inlineStr">
        <is>
          <t>1</t>
        </is>
      </c>
      <c r="O2913" t="inlineStr">
        <is>
          <t xml:space="preserve">2 </t>
        </is>
      </c>
      <c r="P2913" t="inlineStr">
        <is>
          <t xml:space="preserve">74879   </t>
        </is>
      </c>
      <c r="Q2913" s="26" t="n">
        <v>4.09</v>
      </c>
      <c r="R2913" s="26">
        <f>Q2913*G2913</f>
        <v/>
      </c>
      <c r="S2913" s="26">
        <f>IFERROR(VLOOKUP(E2913*1,Tabla[#All],8,0),0)</f>
        <v/>
      </c>
      <c r="T2913" s="26">
        <f>S2913*G2913</f>
        <v/>
      </c>
      <c r="U2913" s="26">
        <f>R2913-T2913</f>
        <v/>
      </c>
      <c r="V2913" s="26">
        <f>U2913-L2913</f>
        <v/>
      </c>
    </row>
    <row r="2914">
      <c r="A2914" s="11" t="n">
        <v>46231</v>
      </c>
      <c r="B2914" s="1" t="n">
        <v>20073</v>
      </c>
      <c r="C2914" s="1" t="inlineStr">
        <is>
          <t>046</t>
        </is>
      </c>
      <c r="D2914" s="1" t="inlineStr">
        <is>
          <t>207960</t>
        </is>
      </c>
      <c r="E2914" s="1" t="inlineStr">
        <is>
          <t xml:space="preserve">28194770       </t>
        </is>
      </c>
      <c r="F2914" s="5" t="inlineStr">
        <is>
          <t>AUTOS DE METAL 3 TEAMSTERZ EN BLISTER</t>
        </is>
      </c>
      <c r="G2914" t="n">
        <v>1</v>
      </c>
      <c r="H2914" s="7" t="n">
        <v>6.9</v>
      </c>
      <c r="I2914" s="7" t="n">
        <v>0</v>
      </c>
      <c r="J2914" s="7" t="n">
        <v>0</v>
      </c>
      <c r="K2914" s="9" t="n">
        <v>0</v>
      </c>
      <c r="L2914" s="10" t="n">
        <v>4.1</v>
      </c>
      <c r="M2914" s="10" t="n">
        <v>1.43</v>
      </c>
      <c r="N2914" t="inlineStr">
        <is>
          <t>1</t>
        </is>
      </c>
      <c r="O2914" t="inlineStr">
        <is>
          <t xml:space="preserve">2 </t>
        </is>
      </c>
      <c r="P2914" t="inlineStr">
        <is>
          <t xml:space="preserve">74879   </t>
        </is>
      </c>
      <c r="Q2914" s="26" t="n">
        <v>4.09</v>
      </c>
      <c r="R2914" s="26">
        <f>Q2914*G2914</f>
        <v/>
      </c>
      <c r="S2914" s="26">
        <f>IFERROR(VLOOKUP(E2914*1,Tabla[#All],8,0),0)</f>
        <v/>
      </c>
      <c r="T2914" s="26">
        <f>S2914*G2914</f>
        <v/>
      </c>
      <c r="U2914" s="26">
        <f>R2914-T2914</f>
        <v/>
      </c>
      <c r="V2914" s="26">
        <f>U2914-L2914</f>
        <v/>
      </c>
    </row>
    <row r="2915">
      <c r="A2915" s="11" t="n">
        <v>46231</v>
      </c>
      <c r="B2915" s="1" t="n">
        <v>20074</v>
      </c>
      <c r="C2915" s="1" t="inlineStr">
        <is>
          <t>011</t>
        </is>
      </c>
      <c r="D2915" s="1" t="inlineStr">
        <is>
          <t>235160</t>
        </is>
      </c>
      <c r="E2915" s="1" t="inlineStr">
        <is>
          <t xml:space="preserve">28194770       </t>
        </is>
      </c>
      <c r="F2915" s="5" t="inlineStr">
        <is>
          <t>AUTOS DE METAL 3 TEAMSTERZ EN BLISTER</t>
        </is>
      </c>
      <c r="G2915" t="n">
        <v>1</v>
      </c>
      <c r="H2915" s="7" t="n">
        <v>6.9</v>
      </c>
      <c r="I2915" s="7" t="n">
        <v>0.6899999999999999</v>
      </c>
      <c r="J2915" s="7" t="n">
        <v>0</v>
      </c>
      <c r="K2915" s="9" t="n">
        <v>0.6899999999999999</v>
      </c>
      <c r="L2915" s="10" t="n">
        <v>3.68</v>
      </c>
      <c r="M2915" s="10" t="n">
        <v>1.43</v>
      </c>
      <c r="N2915" t="inlineStr">
        <is>
          <t>1</t>
        </is>
      </c>
      <c r="O2915" t="inlineStr">
        <is>
          <t xml:space="preserve">3 </t>
        </is>
      </c>
      <c r="P2915" t="inlineStr">
        <is>
          <t xml:space="preserve">248131  </t>
        </is>
      </c>
      <c r="Q2915" s="26" t="n">
        <v>4.09</v>
      </c>
      <c r="R2915" s="26">
        <f>Q2915*G2915</f>
        <v/>
      </c>
      <c r="S2915" s="26">
        <f>IFERROR(VLOOKUP(E2915*1,Tabla[#All],8,0),0)</f>
        <v/>
      </c>
      <c r="T2915" s="26">
        <f>S2915*G2915</f>
        <v/>
      </c>
      <c r="U2915" s="26">
        <f>R2915-T2915</f>
        <v/>
      </c>
      <c r="V2915" s="26">
        <f>U2915-L2915</f>
        <v/>
      </c>
    </row>
    <row r="2916">
      <c r="A2916" s="11" t="n">
        <v>46231</v>
      </c>
      <c r="B2916" s="1" t="n">
        <v>20074</v>
      </c>
      <c r="C2916" s="1" t="inlineStr">
        <is>
          <t>025</t>
        </is>
      </c>
      <c r="D2916" s="1" t="inlineStr">
        <is>
          <t xml:space="preserve">29174 </t>
        </is>
      </c>
      <c r="E2916" s="1" t="inlineStr">
        <is>
          <t xml:space="preserve">28194780       </t>
        </is>
      </c>
      <c r="F2916" s="5" t="inlineStr">
        <is>
          <t>TROMPO BATALLA INFINITY NADO PLSTICO SURTIDO</t>
        </is>
      </c>
      <c r="G2916" t="n">
        <v>1</v>
      </c>
      <c r="H2916" s="7" t="n">
        <v>19.9</v>
      </c>
      <c r="I2916" s="7" t="n">
        <v>0</v>
      </c>
      <c r="J2916" s="7" t="n">
        <v>0</v>
      </c>
      <c r="K2916" s="9" t="n">
        <v>0</v>
      </c>
      <c r="L2916" s="10" t="n">
        <v>11.8</v>
      </c>
      <c r="M2916" s="10" t="n">
        <v>1.43</v>
      </c>
      <c r="N2916" t="inlineStr">
        <is>
          <t>1</t>
        </is>
      </c>
      <c r="O2916" t="inlineStr">
        <is>
          <t>16</t>
        </is>
      </c>
      <c r="P2916" t="inlineStr">
        <is>
          <t xml:space="preserve">102135  </t>
        </is>
      </c>
      <c r="Q2916" s="26" t="n">
        <v>11.81</v>
      </c>
      <c r="R2916" s="26">
        <f>Q2916*G2916</f>
        <v/>
      </c>
      <c r="S2916" s="26">
        <f>IFERROR(VLOOKUP(E2916*1,Tabla[#All],8,0),0)</f>
        <v/>
      </c>
      <c r="T2916" s="26">
        <f>S2916*G2916</f>
        <v/>
      </c>
      <c r="U2916" s="26">
        <f>R2916-T2916</f>
        <v/>
      </c>
      <c r="V2916" s="26">
        <f>U2916-L2916</f>
        <v/>
      </c>
    </row>
    <row r="2917">
      <c r="A2917" s="11" t="n">
        <v>46231</v>
      </c>
      <c r="B2917" s="1" t="n">
        <v>20074</v>
      </c>
      <c r="C2917" s="1" t="inlineStr">
        <is>
          <t>048</t>
        </is>
      </c>
      <c r="D2917" s="1" t="inlineStr">
        <is>
          <t>146037</t>
        </is>
      </c>
      <c r="E2917" s="1" t="inlineStr">
        <is>
          <t xml:space="preserve">31959957       </t>
        </is>
      </c>
      <c r="F2917" s="5" t="inlineStr">
        <is>
          <t>TEAMSTERZ PLAYSET RESCATE EN EL MAR</t>
        </is>
      </c>
      <c r="G2917" t="n">
        <v>1</v>
      </c>
      <c r="H2917" s="7" t="n">
        <v>19.9</v>
      </c>
      <c r="I2917" s="7" t="n">
        <v>1.99</v>
      </c>
      <c r="J2917" s="7" t="n">
        <v>0</v>
      </c>
      <c r="K2917" s="9" t="n">
        <v>1.99</v>
      </c>
      <c r="L2917" s="10" t="n">
        <v>10.63</v>
      </c>
      <c r="M2917" s="10" t="n">
        <v>1.43</v>
      </c>
      <c r="N2917" t="inlineStr">
        <is>
          <t>1</t>
        </is>
      </c>
      <c r="O2917" t="inlineStr">
        <is>
          <t xml:space="preserve">3 </t>
        </is>
      </c>
      <c r="P2917" t="inlineStr">
        <is>
          <t xml:space="preserve">250534  </t>
        </is>
      </c>
      <c r="Q2917" s="26" t="n">
        <v>11.81</v>
      </c>
      <c r="R2917" s="26">
        <f>Q2917*G2917</f>
        <v/>
      </c>
      <c r="S2917" s="26">
        <f>IFERROR(VLOOKUP(E2917*1,Tabla[#All],8,0),0)</f>
        <v/>
      </c>
      <c r="T2917" s="26">
        <f>S2917*G2917</f>
        <v/>
      </c>
      <c r="U2917" s="26">
        <f>R2917-T2917</f>
        <v/>
      </c>
      <c r="V2917" s="26">
        <f>U2917-L2917</f>
        <v/>
      </c>
    </row>
    <row r="2918">
      <c r="A2918" s="11" t="n">
        <v>46231</v>
      </c>
      <c r="B2918" s="1" t="n">
        <v>20077</v>
      </c>
      <c r="C2918" s="1" t="inlineStr">
        <is>
          <t>029</t>
        </is>
      </c>
      <c r="D2918" s="1" t="inlineStr">
        <is>
          <t>157291</t>
        </is>
      </c>
      <c r="E2918" s="1" t="inlineStr">
        <is>
          <t xml:space="preserve">28194780       </t>
        </is>
      </c>
      <c r="F2918" s="5" t="inlineStr">
        <is>
          <t>TROMPO BATALLA INFINITY NADO PLSTICO SURTIDO</t>
        </is>
      </c>
      <c r="G2918" t="n">
        <v>1</v>
      </c>
      <c r="H2918" s="7" t="n">
        <v>19.9</v>
      </c>
      <c r="I2918" s="7" t="n">
        <v>1.99</v>
      </c>
      <c r="J2918" s="7" t="n">
        <v>0</v>
      </c>
      <c r="K2918" s="9" t="n">
        <v>1.99</v>
      </c>
      <c r="L2918" s="10" t="n">
        <v>10.63</v>
      </c>
      <c r="M2918" s="10" t="n">
        <v>1.43</v>
      </c>
      <c r="N2918" t="inlineStr">
        <is>
          <t>1</t>
        </is>
      </c>
      <c r="O2918" t="inlineStr">
        <is>
          <t xml:space="preserve">3 </t>
        </is>
      </c>
      <c r="P2918" t="inlineStr">
        <is>
          <t xml:space="preserve">244089  </t>
        </is>
      </c>
      <c r="Q2918" s="26" t="n">
        <v>11.81</v>
      </c>
      <c r="R2918" s="26">
        <f>Q2918*G2918</f>
        <v/>
      </c>
      <c r="S2918" s="26">
        <f>IFERROR(VLOOKUP(E2918*1,Tabla[#All],8,0),0)</f>
        <v/>
      </c>
      <c r="T2918" s="26">
        <f>S2918*G2918</f>
        <v/>
      </c>
      <c r="U2918" s="26">
        <f>R2918-T2918</f>
        <v/>
      </c>
      <c r="V2918" s="26">
        <f>U2918-L2918</f>
        <v/>
      </c>
    </row>
    <row r="2919">
      <c r="A2919" s="11" t="n">
        <v>46231</v>
      </c>
      <c r="B2919" s="1" t="n">
        <v>20077</v>
      </c>
      <c r="C2919" s="1" t="inlineStr">
        <is>
          <t>037</t>
        </is>
      </c>
      <c r="D2919" s="1" t="inlineStr">
        <is>
          <t xml:space="preserve">62730 </t>
        </is>
      </c>
      <c r="E2919" s="1" t="inlineStr">
        <is>
          <t xml:space="preserve">31675353       </t>
        </is>
      </c>
      <c r="F2919" s="5" t="inlineStr">
        <is>
          <t>NENUCO CON BIBERON Y SONAJERO</t>
        </is>
      </c>
      <c r="G2919" t="n">
        <v>1</v>
      </c>
      <c r="H2919" s="7" t="n">
        <v>59.9</v>
      </c>
      <c r="I2919" s="7" t="n">
        <v>0</v>
      </c>
      <c r="J2919" s="7" t="n">
        <v>0</v>
      </c>
      <c r="K2919" s="9" t="n">
        <v>0</v>
      </c>
      <c r="L2919" s="10" t="n">
        <v>35.53</v>
      </c>
      <c r="M2919" s="10" t="n">
        <v>1.43</v>
      </c>
      <c r="N2919" t="inlineStr">
        <is>
          <t>1</t>
        </is>
      </c>
      <c r="O2919" t="inlineStr">
        <is>
          <t xml:space="preserve">2 </t>
        </is>
      </c>
      <c r="P2919" t="inlineStr">
        <is>
          <t xml:space="preserve">238517  </t>
        </is>
      </c>
      <c r="Q2919" s="26" t="n">
        <v>47.4</v>
      </c>
      <c r="R2919" s="26">
        <f>Q2919*G2919</f>
        <v/>
      </c>
      <c r="S2919" s="26">
        <f>IFERROR(VLOOKUP(E2919*1,Tabla[#All],8,0),0)</f>
        <v/>
      </c>
      <c r="T2919" s="26">
        <f>S2919*G2919</f>
        <v/>
      </c>
      <c r="U2919" s="26">
        <f>R2919-T2919</f>
        <v/>
      </c>
      <c r="V2919" s="26">
        <f>U2919-L2919</f>
        <v/>
      </c>
    </row>
    <row r="2920">
      <c r="A2920" s="11" t="n">
        <v>46231</v>
      </c>
      <c r="B2920" s="1" t="n">
        <v>20078</v>
      </c>
      <c r="C2920" s="1" t="inlineStr">
        <is>
          <t>519</t>
        </is>
      </c>
      <c r="D2920" s="1" t="inlineStr">
        <is>
          <t xml:space="preserve">6027  </t>
        </is>
      </c>
      <c r="E2920" s="1" t="inlineStr">
        <is>
          <t xml:space="preserve">31675353       </t>
        </is>
      </c>
      <c r="F2920" s="5" t="inlineStr">
        <is>
          <t>NENUCO CON BIBERON Y SONAJERO</t>
        </is>
      </c>
      <c r="G2920" t="n">
        <v>1</v>
      </c>
      <c r="H2920" s="7" t="n">
        <v>59.9</v>
      </c>
      <c r="I2920" s="7" t="n">
        <v>0</v>
      </c>
      <c r="J2920" s="7" t="n">
        <v>0</v>
      </c>
      <c r="K2920" s="9" t="n">
        <v>0</v>
      </c>
      <c r="L2920" s="10" t="n">
        <v>35.53</v>
      </c>
      <c r="M2920" s="10" t="n">
        <v>1.43</v>
      </c>
      <c r="N2920" t="inlineStr">
        <is>
          <t>1</t>
        </is>
      </c>
      <c r="O2920" t="inlineStr">
        <is>
          <t>16</t>
        </is>
      </c>
      <c r="P2920" t="inlineStr">
        <is>
          <t xml:space="preserve">250295  </t>
        </is>
      </c>
      <c r="Q2920" s="26" t="n">
        <v>47.4</v>
      </c>
      <c r="R2920" s="26">
        <f>Q2920*G2920</f>
        <v/>
      </c>
      <c r="S2920" s="26">
        <f>IFERROR(VLOOKUP(E2920*1,Tabla[#All],8,0),0)</f>
        <v/>
      </c>
      <c r="T2920" s="26">
        <f>S2920*G2920</f>
        <v/>
      </c>
      <c r="U2920" s="26">
        <f>R2920-T2920</f>
        <v/>
      </c>
      <c r="V2920" s="26">
        <f>U2920-L2920</f>
        <v/>
      </c>
    </row>
    <row r="2921">
      <c r="A2921" s="11" t="n">
        <v>46231</v>
      </c>
      <c r="B2921" s="1" t="n">
        <v>20079</v>
      </c>
      <c r="C2921" s="1" t="inlineStr">
        <is>
          <t>051</t>
        </is>
      </c>
      <c r="D2921" s="1" t="inlineStr">
        <is>
          <t>237425</t>
        </is>
      </c>
      <c r="E2921" s="1" t="inlineStr">
        <is>
          <t xml:space="preserve">28194781       </t>
        </is>
      </c>
      <c r="F2921" s="5" t="inlineStr">
        <is>
          <t>TROMPO BATALLA INFINITY NADO SERIE V CLASICA SURTI</t>
        </is>
      </c>
      <c r="G2921" t="n">
        <v>1</v>
      </c>
      <c r="H2921" s="7" t="n">
        <v>39.9</v>
      </c>
      <c r="I2921" s="7" t="n">
        <v>0</v>
      </c>
      <c r="J2921" s="7" t="n">
        <v>0</v>
      </c>
      <c r="K2921" s="9" t="n">
        <v>0</v>
      </c>
      <c r="L2921" s="10" t="n">
        <v>23.67</v>
      </c>
      <c r="M2921" s="10" t="n">
        <v>1.43</v>
      </c>
      <c r="N2921" t="inlineStr">
        <is>
          <t>1</t>
        </is>
      </c>
      <c r="O2921" t="inlineStr">
        <is>
          <t>16</t>
        </is>
      </c>
      <c r="P2921" t="inlineStr">
        <is>
          <t xml:space="preserve">70970   </t>
        </is>
      </c>
      <c r="Q2921" s="26" t="n">
        <v>35.53</v>
      </c>
      <c r="R2921" s="26">
        <f>Q2921*G2921</f>
        <v/>
      </c>
      <c r="S2921" s="26">
        <f>IFERROR(VLOOKUP(E2921*1,Tabla[#All],8,0),0)</f>
        <v/>
      </c>
      <c r="T2921" s="26">
        <f>S2921*G2921</f>
        <v/>
      </c>
      <c r="U2921" s="26">
        <f>R2921-T2921</f>
        <v/>
      </c>
      <c r="V2921" s="26">
        <f>U2921-L2921</f>
        <v/>
      </c>
    </row>
    <row r="2922">
      <c r="A2922" s="11" t="n">
        <v>46231</v>
      </c>
      <c r="B2922" s="1" t="n">
        <v>20079</v>
      </c>
      <c r="C2922" s="1" t="inlineStr">
        <is>
          <t>051</t>
        </is>
      </c>
      <c r="D2922" s="1" t="inlineStr">
        <is>
          <t>237430</t>
        </is>
      </c>
      <c r="E2922" s="1" t="inlineStr">
        <is>
          <t xml:space="preserve">28194780       </t>
        </is>
      </c>
      <c r="F2922" s="5" t="inlineStr">
        <is>
          <t>TROMPO BATALLA INFINITY NADO PLSTICO SURTIDO</t>
        </is>
      </c>
      <c r="G2922" t="n">
        <v>1</v>
      </c>
      <c r="H2922" s="7" t="n">
        <v>19.9</v>
      </c>
      <c r="I2922" s="7" t="n">
        <v>0</v>
      </c>
      <c r="J2922" s="7" t="n">
        <v>0</v>
      </c>
      <c r="K2922" s="9" t="n">
        <v>0</v>
      </c>
      <c r="L2922" s="10" t="n">
        <v>11.8</v>
      </c>
      <c r="M2922" s="10" t="n">
        <v>1.43</v>
      </c>
      <c r="N2922" t="inlineStr">
        <is>
          <t>1</t>
        </is>
      </c>
      <c r="O2922" t="inlineStr">
        <is>
          <t>16</t>
        </is>
      </c>
      <c r="P2922" t="inlineStr">
        <is>
          <t xml:space="preserve">70970   </t>
        </is>
      </c>
      <c r="Q2922" s="26" t="n">
        <v>11.81</v>
      </c>
      <c r="R2922" s="26">
        <f>Q2922*G2922</f>
        <v/>
      </c>
      <c r="S2922" s="26">
        <f>IFERROR(VLOOKUP(E2922*1,Tabla[#All],8,0),0)</f>
        <v/>
      </c>
      <c r="T2922" s="26">
        <f>S2922*G2922</f>
        <v/>
      </c>
      <c r="U2922" s="26">
        <f>R2922-T2922</f>
        <v/>
      </c>
      <c r="V2922" s="26">
        <f>U2922-L2922</f>
        <v/>
      </c>
    </row>
    <row r="2923">
      <c r="A2923" s="11" t="n">
        <v>46231</v>
      </c>
      <c r="B2923" s="1" t="n">
        <v>20079</v>
      </c>
      <c r="C2923" s="1" t="inlineStr">
        <is>
          <t>051</t>
        </is>
      </c>
      <c r="D2923" s="1" t="inlineStr">
        <is>
          <t>237430</t>
        </is>
      </c>
      <c r="E2923" s="1" t="inlineStr">
        <is>
          <t xml:space="preserve">28194780       </t>
        </is>
      </c>
      <c r="F2923" s="5" t="inlineStr">
        <is>
          <t>TROMPO BATALLA INFINITY NADO PLSTICO SURTIDO</t>
        </is>
      </c>
      <c r="G2923" t="n">
        <v>1</v>
      </c>
      <c r="H2923" s="7" t="n">
        <v>19.9</v>
      </c>
      <c r="I2923" s="7" t="n">
        <v>0</v>
      </c>
      <c r="J2923" s="7" t="n">
        <v>0</v>
      </c>
      <c r="K2923" s="9" t="n">
        <v>0</v>
      </c>
      <c r="L2923" s="10" t="n">
        <v>11.8</v>
      </c>
      <c r="M2923" s="10" t="n">
        <v>1.43</v>
      </c>
      <c r="N2923" t="inlineStr">
        <is>
          <t>1</t>
        </is>
      </c>
      <c r="O2923" t="inlineStr">
        <is>
          <t>16</t>
        </is>
      </c>
      <c r="P2923" t="inlineStr">
        <is>
          <t xml:space="preserve">70970   </t>
        </is>
      </c>
      <c r="Q2923" s="26" t="n">
        <v>11.81</v>
      </c>
      <c r="R2923" s="26">
        <f>Q2923*G2923</f>
        <v/>
      </c>
      <c r="S2923" s="26">
        <f>IFERROR(VLOOKUP(E2923*1,Tabla[#All],8,0),0)</f>
        <v/>
      </c>
      <c r="T2923" s="26">
        <f>S2923*G2923</f>
        <v/>
      </c>
      <c r="U2923" s="26">
        <f>R2923-T2923</f>
        <v/>
      </c>
      <c r="V2923" s="26">
        <f>U2923-L2923</f>
        <v/>
      </c>
    </row>
    <row r="2924">
      <c r="A2924" s="11" t="n">
        <v>46231</v>
      </c>
      <c r="B2924" s="1" t="n">
        <v>20079</v>
      </c>
      <c r="C2924" s="1" t="inlineStr">
        <is>
          <t>051</t>
        </is>
      </c>
      <c r="D2924" s="1" t="inlineStr">
        <is>
          <t>237433</t>
        </is>
      </c>
      <c r="E2924" s="1" t="inlineStr">
        <is>
          <t xml:space="preserve">32457099       </t>
        </is>
      </c>
      <c r="F2924" s="5" t="inlineStr">
        <is>
          <t>TMZ BEAST MACHINES MONSTER JAWS A FRICCION BLISTER</t>
        </is>
      </c>
      <c r="G2924" t="n">
        <v>1</v>
      </c>
      <c r="H2924" s="7" t="n">
        <v>17.9</v>
      </c>
      <c r="I2924" s="7" t="n">
        <v>0</v>
      </c>
      <c r="J2924" s="7" t="n">
        <v>0</v>
      </c>
      <c r="K2924" s="9" t="n">
        <v>0</v>
      </c>
      <c r="L2924" s="10" t="n">
        <v>10.62</v>
      </c>
      <c r="M2924" s="10" t="n">
        <v>1.43</v>
      </c>
      <c r="N2924" t="inlineStr">
        <is>
          <t>1</t>
        </is>
      </c>
      <c r="O2924" t="inlineStr">
        <is>
          <t>16</t>
        </is>
      </c>
      <c r="P2924" t="inlineStr">
        <is>
          <t xml:space="preserve">70970   </t>
        </is>
      </c>
      <c r="Q2924" s="26" t="n">
        <v>11.81</v>
      </c>
      <c r="R2924" s="26">
        <f>Q2924*G2924</f>
        <v/>
      </c>
      <c r="S2924" s="26">
        <f>IFERROR(VLOOKUP(E2924*1,Tabla[#All],8,0),0)</f>
        <v/>
      </c>
      <c r="T2924" s="26">
        <f>S2924*G2924</f>
        <v/>
      </c>
      <c r="U2924" s="26">
        <f>R2924-T2924</f>
        <v/>
      </c>
      <c r="V2924" s="26">
        <f>U2924-L2924</f>
        <v/>
      </c>
    </row>
    <row r="2925">
      <c r="A2925" s="11" t="n">
        <v>46231</v>
      </c>
      <c r="B2925" s="1" t="n">
        <v>20080</v>
      </c>
      <c r="C2925" s="1" t="inlineStr">
        <is>
          <t>026</t>
        </is>
      </c>
      <c r="D2925" s="1" t="inlineStr">
        <is>
          <t>209821</t>
        </is>
      </c>
      <c r="E2925" s="1" t="inlineStr">
        <is>
          <t xml:space="preserve">32457118       </t>
        </is>
      </c>
      <c r="F2925" s="5" t="inlineStr">
        <is>
          <t>MUNECA EVI LOVE CAMAROTE + 2 MUNECAS</t>
        </is>
      </c>
      <c r="G2925" t="n">
        <v>1</v>
      </c>
      <c r="H2925" s="7" t="n">
        <v>29.94</v>
      </c>
      <c r="I2925" s="7" t="n">
        <v>0</v>
      </c>
      <c r="J2925" s="7" t="n">
        <v>0</v>
      </c>
      <c r="K2925" s="9" t="n">
        <v>0</v>
      </c>
      <c r="L2925" s="10" t="n">
        <v>17.76</v>
      </c>
      <c r="M2925" s="10" t="n">
        <v>1.43</v>
      </c>
      <c r="N2925" t="inlineStr">
        <is>
          <t>1</t>
        </is>
      </c>
      <c r="O2925" t="inlineStr">
        <is>
          <t>16</t>
        </is>
      </c>
      <c r="P2925" t="inlineStr">
        <is>
          <t xml:space="preserve">66621   </t>
        </is>
      </c>
      <c r="Q2925" s="26" t="n">
        <v>29.6</v>
      </c>
      <c r="R2925" s="26">
        <f>Q2925*G2925</f>
        <v/>
      </c>
      <c r="S2925" s="26">
        <f>IFERROR(VLOOKUP(E2925*1,Tabla[#All],8,0),0)</f>
        <v/>
      </c>
      <c r="T2925" s="26">
        <f>S2925*G2925</f>
        <v/>
      </c>
      <c r="U2925" s="26">
        <f>R2925-T2925</f>
        <v/>
      </c>
      <c r="V2925" s="26">
        <f>U2925-L2925</f>
        <v/>
      </c>
    </row>
    <row r="2926">
      <c r="A2926" s="11" t="n">
        <v>46231</v>
      </c>
      <c r="B2926" s="1" t="n">
        <v>20080</v>
      </c>
      <c r="C2926" s="1" t="inlineStr">
        <is>
          <t>026</t>
        </is>
      </c>
      <c r="D2926" s="1" t="inlineStr">
        <is>
          <t>209869</t>
        </is>
      </c>
      <c r="E2926" s="1" t="inlineStr">
        <is>
          <t xml:space="preserve">28194769       </t>
        </is>
      </c>
      <c r="F2926" s="5" t="inlineStr">
        <is>
          <t>AUTOS DE METAL 3 TEAMSTERZ PACK DE 2</t>
        </is>
      </c>
      <c r="G2926" t="n">
        <v>1</v>
      </c>
      <c r="H2926" s="7" t="n">
        <v>13.8</v>
      </c>
      <c r="I2926" s="7" t="n">
        <v>0</v>
      </c>
      <c r="J2926" s="7" t="n">
        <v>0</v>
      </c>
      <c r="K2926" s="9" t="n">
        <v>0</v>
      </c>
      <c r="L2926" s="10" t="n">
        <v>8.18</v>
      </c>
      <c r="M2926" s="10" t="n">
        <v>1.43</v>
      </c>
      <c r="N2926" t="inlineStr">
        <is>
          <t>1</t>
        </is>
      </c>
      <c r="O2926" t="inlineStr">
        <is>
          <t xml:space="preserve">2 </t>
        </is>
      </c>
      <c r="P2926" t="inlineStr">
        <is>
          <t xml:space="preserve">66621   </t>
        </is>
      </c>
      <c r="Q2926" s="26" t="n">
        <v>8.19</v>
      </c>
      <c r="R2926" s="26">
        <f>Q2926*G2926</f>
        <v/>
      </c>
      <c r="S2926" s="26">
        <f>IFERROR(VLOOKUP(E2926*1,Tabla[#All],8,0),0)</f>
        <v/>
      </c>
      <c r="T2926" s="26">
        <f>S2926*G2926</f>
        <v/>
      </c>
      <c r="U2926" s="26">
        <f>R2926-T2926</f>
        <v/>
      </c>
      <c r="V2926" s="26">
        <f>U2926-L2926</f>
        <v/>
      </c>
    </row>
    <row r="2927">
      <c r="A2927" s="11" t="n">
        <v>46231</v>
      </c>
      <c r="B2927" s="1" t="n">
        <v>20080</v>
      </c>
      <c r="C2927" s="1" t="inlineStr">
        <is>
          <t>026</t>
        </is>
      </c>
      <c r="D2927" s="1" t="inlineStr">
        <is>
          <t>209869</t>
        </is>
      </c>
      <c r="E2927" s="1" t="inlineStr">
        <is>
          <t xml:space="preserve">28194769       </t>
        </is>
      </c>
      <c r="F2927" s="5" t="inlineStr">
        <is>
          <t>AUTOS DE METAL 3 TEAMSTERZ PACK DE 2</t>
        </is>
      </c>
      <c r="G2927" t="n">
        <v>1</v>
      </c>
      <c r="H2927" s="7" t="n">
        <v>13.8</v>
      </c>
      <c r="I2927" s="7" t="n">
        <v>0</v>
      </c>
      <c r="J2927" s="7" t="n">
        <v>0</v>
      </c>
      <c r="K2927" s="9" t="n">
        <v>0</v>
      </c>
      <c r="L2927" s="10" t="n">
        <v>8.18</v>
      </c>
      <c r="M2927" s="10" t="n">
        <v>1.43</v>
      </c>
      <c r="N2927" t="inlineStr">
        <is>
          <t>1</t>
        </is>
      </c>
      <c r="O2927" t="inlineStr">
        <is>
          <t xml:space="preserve">2 </t>
        </is>
      </c>
      <c r="P2927" t="inlineStr">
        <is>
          <t xml:space="preserve">66621   </t>
        </is>
      </c>
      <c r="Q2927" s="26" t="n">
        <v>8.19</v>
      </c>
      <c r="R2927" s="26">
        <f>Q2927*G2927</f>
        <v/>
      </c>
      <c r="S2927" s="26">
        <f>IFERROR(VLOOKUP(E2927*1,Tabla[#All],8,0),0)</f>
        <v/>
      </c>
      <c r="T2927" s="26">
        <f>S2927*G2927</f>
        <v/>
      </c>
      <c r="U2927" s="26">
        <f>R2927-T2927</f>
        <v/>
      </c>
      <c r="V2927" s="26">
        <f>U2927-L2927</f>
        <v/>
      </c>
    </row>
    <row r="2928">
      <c r="A2928" s="11" t="n">
        <v>46231</v>
      </c>
      <c r="B2928" s="1" t="n">
        <v>20080</v>
      </c>
      <c r="C2928" s="1" t="inlineStr">
        <is>
          <t>801</t>
        </is>
      </c>
      <c r="D2928" s="1" t="inlineStr">
        <is>
          <t xml:space="preserve">1537  </t>
        </is>
      </c>
      <c r="E2928" s="1" t="inlineStr">
        <is>
          <t xml:space="preserve">28194770       </t>
        </is>
      </c>
      <c r="F2928" s="5" t="inlineStr">
        <is>
          <t>AUTOS DE METAL 3 TEAMSTERZ EN BLISTER</t>
        </is>
      </c>
      <c r="G2928" t="n">
        <v>1</v>
      </c>
      <c r="H2928" s="7" t="n">
        <v>6.9</v>
      </c>
      <c r="I2928" s="7" t="n">
        <v>0.6899999999999999</v>
      </c>
      <c r="J2928" s="7" t="n">
        <v>0</v>
      </c>
      <c r="K2928" s="9" t="n">
        <v>0.6899999999999999</v>
      </c>
      <c r="L2928" s="10" t="n">
        <v>3.68</v>
      </c>
      <c r="M2928" s="10" t="n">
        <v>1.43</v>
      </c>
      <c r="N2928" t="inlineStr">
        <is>
          <t>1</t>
        </is>
      </c>
      <c r="O2928" t="inlineStr">
        <is>
          <t>16</t>
        </is>
      </c>
      <c r="P2928" t="inlineStr">
        <is>
          <t xml:space="preserve">0       </t>
        </is>
      </c>
      <c r="Q2928" s="26" t="n">
        <v>4.09</v>
      </c>
      <c r="R2928" s="26">
        <f>Q2928*G2928</f>
        <v/>
      </c>
      <c r="S2928" s="26">
        <f>IFERROR(VLOOKUP(E2928*1,Tabla[#All],8,0),0)</f>
        <v/>
      </c>
      <c r="T2928" s="26">
        <f>S2928*G2928</f>
        <v/>
      </c>
      <c r="U2928" s="26">
        <f>R2928-T2928</f>
        <v/>
      </c>
      <c r="V2928" s="26">
        <f>U2928-L2928</f>
        <v/>
      </c>
    </row>
    <row r="2929">
      <c r="A2929" s="11" t="n">
        <v>46231</v>
      </c>
      <c r="B2929" s="1" t="n">
        <v>20088</v>
      </c>
      <c r="C2929" s="1" t="inlineStr">
        <is>
          <t>021</t>
        </is>
      </c>
      <c r="D2929" s="1" t="inlineStr">
        <is>
          <t xml:space="preserve">50507 </t>
        </is>
      </c>
      <c r="E2929" s="1" t="inlineStr">
        <is>
          <t xml:space="preserve">31675354       </t>
        </is>
      </c>
      <c r="F2929" s="5" t="inlineStr">
        <is>
          <t>NENUCO LLORON CON ACCESORIOS</t>
        </is>
      </c>
      <c r="G2929" t="n">
        <v>1</v>
      </c>
      <c r="H2929" s="7" t="n">
        <v>69.90000000000001</v>
      </c>
      <c r="I2929" s="7" t="n">
        <v>0</v>
      </c>
      <c r="J2929" s="7" t="n">
        <v>0</v>
      </c>
      <c r="K2929" s="9" t="n">
        <v>0</v>
      </c>
      <c r="L2929" s="10" t="n">
        <v>41.47</v>
      </c>
      <c r="M2929" s="10" t="n">
        <v>1.43</v>
      </c>
      <c r="N2929" t="inlineStr">
        <is>
          <t>1</t>
        </is>
      </c>
      <c r="O2929" t="inlineStr">
        <is>
          <t xml:space="preserve">2 </t>
        </is>
      </c>
      <c r="P2929" t="inlineStr">
        <is>
          <t xml:space="preserve">47248   </t>
        </is>
      </c>
      <c r="Q2929" s="26" t="n">
        <v>53.33</v>
      </c>
      <c r="R2929" s="26">
        <f>Q2929*G2929</f>
        <v/>
      </c>
      <c r="S2929" s="26">
        <f>IFERROR(VLOOKUP(E2929*1,Tabla[#All],8,0),0)</f>
        <v/>
      </c>
      <c r="T2929" s="26">
        <f>S2929*G2929</f>
        <v/>
      </c>
      <c r="U2929" s="26">
        <f>R2929-T2929</f>
        <v/>
      </c>
      <c r="V2929" s="26">
        <f>U2929-L2929</f>
        <v/>
      </c>
    </row>
    <row r="2930">
      <c r="A2930" s="11" t="n">
        <v>46231</v>
      </c>
      <c r="B2930" s="1" t="n">
        <v>20088</v>
      </c>
      <c r="C2930" s="1" t="inlineStr">
        <is>
          <t>021</t>
        </is>
      </c>
      <c r="D2930" s="1" t="inlineStr">
        <is>
          <t xml:space="preserve">50548 </t>
        </is>
      </c>
      <c r="E2930" s="1" t="inlineStr">
        <is>
          <t xml:space="preserve">29235706       </t>
        </is>
      </c>
      <c r="F2930" s="5" t="inlineStr">
        <is>
          <t>TEAMSTERZ CAMION PARA GUARDAR 12 AUTOS INCL 4 AUTO</t>
        </is>
      </c>
      <c r="G2930" t="n">
        <v>1</v>
      </c>
      <c r="H2930" s="7" t="n">
        <v>59.9</v>
      </c>
      <c r="I2930" s="7" t="n">
        <v>0</v>
      </c>
      <c r="J2930" s="7" t="n">
        <v>0</v>
      </c>
      <c r="K2930" s="9" t="n">
        <v>0</v>
      </c>
      <c r="L2930" s="10" t="n">
        <v>35.53</v>
      </c>
      <c r="M2930" s="10" t="n">
        <v>1.43</v>
      </c>
      <c r="N2930" t="inlineStr">
        <is>
          <t>1</t>
        </is>
      </c>
      <c r="O2930" t="inlineStr">
        <is>
          <t xml:space="preserve">2 </t>
        </is>
      </c>
      <c r="P2930" t="inlineStr">
        <is>
          <t xml:space="preserve">47248   </t>
        </is>
      </c>
      <c r="Q2930" s="26" t="n">
        <v>35.53</v>
      </c>
      <c r="R2930" s="26">
        <f>Q2930*G2930</f>
        <v/>
      </c>
      <c r="S2930" s="26">
        <f>IFERROR(VLOOKUP(E2930*1,Tabla[#All],8,0),0)</f>
        <v/>
      </c>
      <c r="T2930" s="26">
        <f>S2930*G2930</f>
        <v/>
      </c>
      <c r="U2930" s="26">
        <f>R2930-T2930</f>
        <v/>
      </c>
      <c r="V2930" s="26">
        <f>U2930-L2930</f>
        <v/>
      </c>
    </row>
    <row r="2931">
      <c r="A2931" s="11" t="n">
        <v>46231</v>
      </c>
      <c r="B2931" s="1" t="n">
        <v>20088</v>
      </c>
      <c r="C2931" s="1" t="inlineStr">
        <is>
          <t>023</t>
        </is>
      </c>
      <c r="D2931" s="1" t="inlineStr">
        <is>
          <t>128283</t>
        </is>
      </c>
      <c r="E2931" s="1" t="inlineStr">
        <is>
          <t xml:space="preserve">32457099       </t>
        </is>
      </c>
      <c r="F2931" s="5" t="inlineStr">
        <is>
          <t>TMZ BEAST MACHINES MONSTER JAWS A FRICCION BLISTER</t>
        </is>
      </c>
      <c r="G2931" t="n">
        <v>1</v>
      </c>
      <c r="H2931" s="7" t="n">
        <v>17.9</v>
      </c>
      <c r="I2931" s="7" t="n">
        <v>0</v>
      </c>
      <c r="J2931" s="7" t="n">
        <v>0</v>
      </c>
      <c r="K2931" s="9" t="n">
        <v>0</v>
      </c>
      <c r="L2931" s="10" t="n">
        <v>10.62</v>
      </c>
      <c r="M2931" s="10" t="n">
        <v>1.43</v>
      </c>
      <c r="N2931" t="inlineStr">
        <is>
          <t>1</t>
        </is>
      </c>
      <c r="O2931" t="inlineStr">
        <is>
          <t>16</t>
        </is>
      </c>
      <c r="P2931" t="inlineStr">
        <is>
          <t xml:space="preserve">249601  </t>
        </is>
      </c>
      <c r="Q2931" s="26" t="n">
        <v>11.81</v>
      </c>
      <c r="R2931" s="26">
        <f>Q2931*G2931</f>
        <v/>
      </c>
      <c r="S2931" s="26">
        <f>IFERROR(VLOOKUP(E2931*1,Tabla[#All],8,0),0)</f>
        <v/>
      </c>
      <c r="T2931" s="26">
        <f>S2931*G2931</f>
        <v/>
      </c>
      <c r="U2931" s="26">
        <f>R2931-T2931</f>
        <v/>
      </c>
      <c r="V2931" s="26">
        <f>U2931-L2931</f>
        <v/>
      </c>
    </row>
    <row r="2932">
      <c r="A2932" s="11" t="n">
        <v>46231</v>
      </c>
      <c r="B2932" s="1" t="n">
        <v>20088</v>
      </c>
      <c r="C2932" s="1" t="inlineStr">
        <is>
          <t>527</t>
        </is>
      </c>
      <c r="D2932" s="1" t="inlineStr">
        <is>
          <t xml:space="preserve">2434  </t>
        </is>
      </c>
      <c r="E2932" s="1" t="inlineStr">
        <is>
          <t xml:space="preserve">32457099       </t>
        </is>
      </c>
      <c r="F2932" s="5" t="inlineStr">
        <is>
          <t>TMZ BEAST MACHINES MONSTER JAWS A FRICCION BLISTER</t>
        </is>
      </c>
      <c r="G2932" t="n">
        <v>1</v>
      </c>
      <c r="H2932" s="7" t="n">
        <v>17.9</v>
      </c>
      <c r="I2932" s="7" t="n">
        <v>0</v>
      </c>
      <c r="J2932" s="7" t="n">
        <v>0</v>
      </c>
      <c r="K2932" s="9" t="n">
        <v>0</v>
      </c>
      <c r="L2932" s="10" t="n">
        <v>10.62</v>
      </c>
      <c r="M2932" s="10" t="n">
        <v>1.43</v>
      </c>
      <c r="N2932" t="inlineStr">
        <is>
          <t>1</t>
        </is>
      </c>
      <c r="O2932" t="inlineStr">
        <is>
          <t>16</t>
        </is>
      </c>
      <c r="P2932" t="inlineStr">
        <is>
          <t xml:space="preserve">200475  </t>
        </is>
      </c>
      <c r="Q2932" s="26" t="n">
        <v>11.81</v>
      </c>
      <c r="R2932" s="26">
        <f>Q2932*G2932</f>
        <v/>
      </c>
      <c r="S2932" s="26">
        <f>IFERROR(VLOOKUP(E2932*1,Tabla[#All],8,0),0)</f>
        <v/>
      </c>
      <c r="T2932" s="26">
        <f>S2932*G2932</f>
        <v/>
      </c>
      <c r="U2932" s="26">
        <f>R2932-T2932</f>
        <v/>
      </c>
      <c r="V2932" s="26">
        <f>U2932-L2932</f>
        <v/>
      </c>
    </row>
    <row r="2933">
      <c r="A2933" s="11" t="n">
        <v>46231</v>
      </c>
      <c r="B2933" s="1" t="n">
        <v>20089</v>
      </c>
      <c r="C2933" s="1" t="inlineStr">
        <is>
          <t>010</t>
        </is>
      </c>
      <c r="D2933" s="1" t="inlineStr">
        <is>
          <t xml:space="preserve">75228 </t>
        </is>
      </c>
      <c r="E2933" s="1" t="inlineStr">
        <is>
          <t xml:space="preserve">28194770       </t>
        </is>
      </c>
      <c r="F2933" s="5" t="inlineStr">
        <is>
          <t>AUTOS DE METAL 3 TEAMSTERZ EN BLISTER</t>
        </is>
      </c>
      <c r="G2933" t="n">
        <v>1</v>
      </c>
      <c r="H2933" s="7" t="n">
        <v>6.9</v>
      </c>
      <c r="I2933" s="7" t="n">
        <v>1.84</v>
      </c>
      <c r="J2933" s="7" t="n">
        <v>0</v>
      </c>
      <c r="K2933" s="9" t="n">
        <v>1.84</v>
      </c>
      <c r="L2933" s="10" t="n">
        <v>3</v>
      </c>
      <c r="M2933" s="10" t="n">
        <v>1.43</v>
      </c>
      <c r="N2933" t="inlineStr">
        <is>
          <t>1</t>
        </is>
      </c>
      <c r="O2933" t="inlineStr">
        <is>
          <t xml:space="preserve">3 </t>
        </is>
      </c>
      <c r="P2933" t="inlineStr">
        <is>
          <t xml:space="preserve">82010   </t>
        </is>
      </c>
      <c r="Q2933" s="26" t="n">
        <v>4.09</v>
      </c>
      <c r="R2933" s="26">
        <f>Q2933*G2933</f>
        <v/>
      </c>
      <c r="S2933" s="26">
        <f>IFERROR(VLOOKUP(E2933*1,Tabla[#All],8,0),0)</f>
        <v/>
      </c>
      <c r="T2933" s="26">
        <f>S2933*G2933</f>
        <v/>
      </c>
      <c r="U2933" s="26">
        <f>R2933-T2933</f>
        <v/>
      </c>
      <c r="V2933" s="26">
        <f>U2933-L2933</f>
        <v/>
      </c>
    </row>
    <row r="2934">
      <c r="A2934" s="11" t="n">
        <v>46231</v>
      </c>
      <c r="B2934" s="1" t="n">
        <v>20089</v>
      </c>
      <c r="C2934" s="1" t="inlineStr">
        <is>
          <t>010</t>
        </is>
      </c>
      <c r="D2934" s="1" t="inlineStr">
        <is>
          <t xml:space="preserve">75228 </t>
        </is>
      </c>
      <c r="E2934" s="1" t="inlineStr">
        <is>
          <t xml:space="preserve">28194770       </t>
        </is>
      </c>
      <c r="F2934" s="5" t="inlineStr">
        <is>
          <t>AUTOS DE METAL 3 TEAMSTERZ EN BLISTER</t>
        </is>
      </c>
      <c r="G2934" t="n">
        <v>1</v>
      </c>
      <c r="H2934" s="7" t="n">
        <v>6.9</v>
      </c>
      <c r="I2934" s="7" t="n">
        <v>1.83</v>
      </c>
      <c r="J2934" s="7" t="n">
        <v>0</v>
      </c>
      <c r="K2934" s="9" t="n">
        <v>1.83</v>
      </c>
      <c r="L2934" s="10" t="n">
        <v>3.01</v>
      </c>
      <c r="M2934" s="10" t="n">
        <v>1.43</v>
      </c>
      <c r="N2934" t="inlineStr">
        <is>
          <t>1</t>
        </is>
      </c>
      <c r="O2934" t="inlineStr">
        <is>
          <t xml:space="preserve">3 </t>
        </is>
      </c>
      <c r="P2934" t="inlineStr">
        <is>
          <t xml:space="preserve">82010   </t>
        </is>
      </c>
      <c r="Q2934" s="26" t="n">
        <v>4.09</v>
      </c>
      <c r="R2934" s="26">
        <f>Q2934*G2934</f>
        <v/>
      </c>
      <c r="S2934" s="26">
        <f>IFERROR(VLOOKUP(E2934*1,Tabla[#All],8,0),0)</f>
        <v/>
      </c>
      <c r="T2934" s="26">
        <f>S2934*G2934</f>
        <v/>
      </c>
      <c r="U2934" s="26">
        <f>R2934-T2934</f>
        <v/>
      </c>
      <c r="V2934" s="26">
        <f>U2934-L2934</f>
        <v/>
      </c>
    </row>
    <row r="2935">
      <c r="A2935" s="11" t="n">
        <v>46231</v>
      </c>
      <c r="B2935" s="1" t="n">
        <v>20089</v>
      </c>
      <c r="C2935" s="1" t="inlineStr">
        <is>
          <t>027</t>
        </is>
      </c>
      <c r="D2935" s="1" t="inlineStr">
        <is>
          <t xml:space="preserve">16481 </t>
        </is>
      </c>
      <c r="E2935" s="1" t="inlineStr">
        <is>
          <t xml:space="preserve">29235712       </t>
        </is>
      </c>
      <c r="F2935" s="5" t="inlineStr">
        <is>
          <t>TEAMSTERZ DISPARADOR DINOSAURIO INCL. 1 AUTO</t>
        </is>
      </c>
      <c r="G2935" t="n">
        <v>1</v>
      </c>
      <c r="H2935" s="7" t="n">
        <v>12.9</v>
      </c>
      <c r="I2935" s="7" t="n">
        <v>0</v>
      </c>
      <c r="J2935" s="7" t="n">
        <v>0</v>
      </c>
      <c r="K2935" s="9" t="n">
        <v>0</v>
      </c>
      <c r="L2935" s="10" t="n">
        <v>7.65</v>
      </c>
      <c r="M2935" s="10" t="n">
        <v>1.43</v>
      </c>
      <c r="N2935" t="inlineStr">
        <is>
          <t>1</t>
        </is>
      </c>
      <c r="O2935" t="inlineStr">
        <is>
          <t>16</t>
        </is>
      </c>
      <c r="P2935" t="inlineStr">
        <is>
          <t xml:space="preserve">246416  </t>
        </is>
      </c>
      <c r="Q2935" s="26" t="n">
        <v>17.74</v>
      </c>
      <c r="R2935" s="26">
        <f>Q2935*G2935</f>
        <v/>
      </c>
      <c r="S2935" s="26">
        <f>IFERROR(VLOOKUP(E2935*1,Tabla[#All],8,0),0)</f>
        <v/>
      </c>
      <c r="T2935" s="26">
        <f>S2935*G2935</f>
        <v/>
      </c>
      <c r="U2935" s="26">
        <f>R2935-T2935</f>
        <v/>
      </c>
      <c r="V2935" s="26">
        <f>U2935-L2935</f>
        <v/>
      </c>
    </row>
    <row r="2936">
      <c r="A2936" s="11" t="n">
        <v>46231</v>
      </c>
      <c r="B2936" s="1" t="n">
        <v>20089</v>
      </c>
      <c r="C2936" s="1" t="inlineStr">
        <is>
          <t>027</t>
        </is>
      </c>
      <c r="D2936" s="1" t="inlineStr">
        <is>
          <t xml:space="preserve">16491 </t>
        </is>
      </c>
      <c r="E2936" s="1" t="inlineStr">
        <is>
          <t xml:space="preserve">28194781       </t>
        </is>
      </c>
      <c r="F2936" s="5" t="inlineStr">
        <is>
          <t>TROMPO BATALLA INFINITY NADO SERIE V CLASICA SURTI</t>
        </is>
      </c>
      <c r="G2936" t="n">
        <v>1</v>
      </c>
      <c r="H2936" s="7" t="n">
        <v>39.9</v>
      </c>
      <c r="I2936" s="7" t="n">
        <v>0</v>
      </c>
      <c r="J2936" s="7" t="n">
        <v>0</v>
      </c>
      <c r="K2936" s="9" t="n">
        <v>0</v>
      </c>
      <c r="L2936" s="10" t="n">
        <v>23.67</v>
      </c>
      <c r="M2936" s="10" t="n">
        <v>1.43</v>
      </c>
      <c r="N2936" t="inlineStr">
        <is>
          <t>1</t>
        </is>
      </c>
      <c r="O2936" t="inlineStr">
        <is>
          <t>16</t>
        </is>
      </c>
      <c r="P2936" t="inlineStr">
        <is>
          <t xml:space="preserve">246416  </t>
        </is>
      </c>
      <c r="Q2936" s="26" t="n">
        <v>35.53</v>
      </c>
      <c r="R2936" s="26">
        <f>Q2936*G2936</f>
        <v/>
      </c>
      <c r="S2936" s="26">
        <f>IFERROR(VLOOKUP(E2936*1,Tabla[#All],8,0),0)</f>
        <v/>
      </c>
      <c r="T2936" s="26">
        <f>S2936*G2936</f>
        <v/>
      </c>
      <c r="U2936" s="26">
        <f>R2936-T2936</f>
        <v/>
      </c>
      <c r="V2936" s="26">
        <f>U2936-L2936</f>
        <v/>
      </c>
    </row>
    <row r="2937">
      <c r="A2937" s="11" t="n">
        <v>46231</v>
      </c>
      <c r="B2937" s="1" t="n">
        <v>20095</v>
      </c>
      <c r="C2937" s="1" t="inlineStr">
        <is>
          <t>011</t>
        </is>
      </c>
      <c r="D2937" s="1" t="inlineStr">
        <is>
          <t>148967</t>
        </is>
      </c>
      <c r="E2937" s="1" t="inlineStr">
        <is>
          <t xml:space="preserve">30141766       </t>
        </is>
      </c>
      <c r="F2937" s="5" t="inlineStr">
        <is>
          <t>TMZ BEAST MACHINES AUTOS DE METAL BLISTER X 1</t>
        </is>
      </c>
      <c r="G2937" t="n">
        <v>1</v>
      </c>
      <c r="H2937" s="7" t="n">
        <v>7.9</v>
      </c>
      <c r="I2937" s="7" t="n">
        <v>0</v>
      </c>
      <c r="J2937" s="7" t="n">
        <v>0</v>
      </c>
      <c r="K2937" s="9" t="n">
        <v>0</v>
      </c>
      <c r="L2937" s="10" t="n">
        <v>4.68</v>
      </c>
      <c r="M2937" s="10" t="n">
        <v>1.43</v>
      </c>
      <c r="N2937" t="inlineStr">
        <is>
          <t>1</t>
        </is>
      </c>
      <c r="O2937" t="inlineStr">
        <is>
          <t>16</t>
        </is>
      </c>
      <c r="P2937" t="inlineStr">
        <is>
          <t xml:space="preserve">248294  </t>
        </is>
      </c>
      <c r="Q2937" s="26" t="n">
        <v>4.69</v>
      </c>
      <c r="R2937" s="26">
        <f>Q2937*G2937</f>
        <v/>
      </c>
      <c r="S2937" s="26">
        <f>IFERROR(VLOOKUP(E2937*1,Tabla[#All],8,0),0)</f>
        <v/>
      </c>
      <c r="T2937" s="26">
        <f>S2937*G2937</f>
        <v/>
      </c>
      <c r="U2937" s="26">
        <f>R2937-T2937</f>
        <v/>
      </c>
      <c r="V2937" s="26">
        <f>U2937-L2937</f>
        <v/>
      </c>
    </row>
    <row r="2938">
      <c r="A2938" s="11" t="n">
        <v>46231</v>
      </c>
      <c r="B2938" s="1" t="n">
        <v>20095</v>
      </c>
      <c r="C2938" s="1" t="inlineStr">
        <is>
          <t>028</t>
        </is>
      </c>
      <c r="D2938" s="1" t="inlineStr">
        <is>
          <t xml:space="preserve">42240 </t>
        </is>
      </c>
      <c r="E2938" s="1" t="inlineStr">
        <is>
          <t xml:space="preserve">34840552       </t>
        </is>
      </c>
      <c r="F2938" s="5" t="inlineStr">
        <is>
          <t>TMZ HELI POLICIA CON LUCES Y SONIDOS</t>
        </is>
      </c>
      <c r="G2938" t="n">
        <v>1</v>
      </c>
      <c r="H2938" s="7" t="n">
        <v>79.90000000000001</v>
      </c>
      <c r="I2938" s="7" t="n">
        <v>0</v>
      </c>
      <c r="J2938" s="7" t="n">
        <v>0</v>
      </c>
      <c r="K2938" s="9" t="n">
        <v>0</v>
      </c>
      <c r="L2938" s="10" t="n">
        <v>47.4</v>
      </c>
      <c r="M2938" s="10" t="n">
        <v>1.43</v>
      </c>
      <c r="N2938" t="inlineStr">
        <is>
          <t>1</t>
        </is>
      </c>
      <c r="O2938" t="inlineStr">
        <is>
          <t>16</t>
        </is>
      </c>
      <c r="P2938" t="inlineStr">
        <is>
          <t xml:space="preserve">248388  </t>
        </is>
      </c>
      <c r="Q2938" s="26" t="n">
        <v>47.4</v>
      </c>
      <c r="R2938" s="26">
        <f>Q2938*G2938</f>
        <v/>
      </c>
      <c r="S2938" s="26">
        <f>IFERROR(VLOOKUP(E2938*1,Tabla[#All],8,0),0)</f>
        <v/>
      </c>
      <c r="T2938" s="26">
        <f>S2938*G2938</f>
        <v/>
      </c>
      <c r="U2938" s="26">
        <f>R2938-T2938</f>
        <v/>
      </c>
      <c r="V2938" s="26">
        <f>U2938-L2938</f>
        <v/>
      </c>
    </row>
    <row r="2939">
      <c r="A2939" s="11" t="n">
        <v>46232</v>
      </c>
      <c r="B2939" s="1" t="n">
        <v>20021</v>
      </c>
      <c r="C2939" s="1" t="inlineStr">
        <is>
          <t>078</t>
        </is>
      </c>
      <c r="D2939" s="1" t="inlineStr">
        <is>
          <t>102116</t>
        </is>
      </c>
      <c r="E2939" s="1" t="inlineStr">
        <is>
          <t xml:space="preserve">28194770       </t>
        </is>
      </c>
      <c r="F2939" s="5" t="inlineStr">
        <is>
          <t>AUTOS DE METAL 3 TEAMSTERZ EN BLISTER</t>
        </is>
      </c>
      <c r="G2939" t="n">
        <v>1</v>
      </c>
      <c r="H2939" s="7" t="n">
        <v>6.9</v>
      </c>
      <c r="I2939" s="7" t="n">
        <v>0</v>
      </c>
      <c r="J2939" s="7" t="n">
        <v>0</v>
      </c>
      <c r="K2939" s="9" t="n">
        <v>0</v>
      </c>
      <c r="L2939" s="10" t="n">
        <v>4.1</v>
      </c>
      <c r="M2939" s="10" t="n">
        <v>1.43</v>
      </c>
      <c r="N2939" t="inlineStr">
        <is>
          <t>1</t>
        </is>
      </c>
      <c r="O2939" t="inlineStr">
        <is>
          <t>16</t>
        </is>
      </c>
      <c r="P2939" t="inlineStr">
        <is>
          <t xml:space="preserve">249982  </t>
        </is>
      </c>
      <c r="Q2939" s="26" t="n">
        <v>4.09</v>
      </c>
      <c r="R2939" s="26">
        <f>Q2939*G2939</f>
        <v/>
      </c>
      <c r="S2939" s="26">
        <f>IFERROR(VLOOKUP(E2939*1,Tabla[#All],8,0),0)</f>
        <v/>
      </c>
      <c r="T2939" s="26">
        <f>S2939*G2939</f>
        <v/>
      </c>
      <c r="U2939" s="26">
        <f>R2939-T2939</f>
        <v/>
      </c>
      <c r="V2939" s="26">
        <f>U2939-L2939</f>
        <v/>
      </c>
    </row>
    <row r="2940">
      <c r="A2940" s="11" t="n">
        <v>46232</v>
      </c>
      <c r="B2940" s="1" t="n">
        <v>20021</v>
      </c>
      <c r="C2940" s="1" t="inlineStr">
        <is>
          <t>079</t>
        </is>
      </c>
      <c r="D2940" s="1" t="inlineStr">
        <is>
          <t>133895</t>
        </is>
      </c>
      <c r="E2940" s="1" t="inlineStr">
        <is>
          <t xml:space="preserve">34031339       </t>
        </is>
      </c>
      <c r="F2940" s="5" t="inlineStr">
        <is>
          <t>TMZ BEAST MACHINES TRANSPORT. ROBO-TIBURON ELECTR</t>
        </is>
      </c>
      <c r="G2940" t="n">
        <v>1</v>
      </c>
      <c r="H2940" s="7" t="n">
        <v>169</v>
      </c>
      <c r="I2940" s="7" t="n">
        <v>16.9</v>
      </c>
      <c r="J2940" s="7" t="n">
        <v>0</v>
      </c>
      <c r="K2940" s="9" t="n">
        <v>16.9</v>
      </c>
      <c r="L2940" s="10" t="n">
        <v>90.23</v>
      </c>
      <c r="M2940" s="10" t="n">
        <v>1.43</v>
      </c>
      <c r="N2940" t="inlineStr">
        <is>
          <t>1</t>
        </is>
      </c>
      <c r="O2940" t="inlineStr">
        <is>
          <t xml:space="preserve">3 </t>
        </is>
      </c>
      <c r="P2940" t="inlineStr">
        <is>
          <t xml:space="preserve">237957  </t>
        </is>
      </c>
      <c r="Q2940" s="26" t="n">
        <v>100.25</v>
      </c>
      <c r="R2940" s="26">
        <f>Q2940*G2940</f>
        <v/>
      </c>
      <c r="S2940" s="26">
        <f>IFERROR(VLOOKUP(E2940*1,Tabla[#All],8,0),0)</f>
        <v/>
      </c>
      <c r="T2940" s="26">
        <f>S2940*G2940</f>
        <v/>
      </c>
      <c r="U2940" s="26">
        <f>R2940-T2940</f>
        <v/>
      </c>
      <c r="V2940" s="26">
        <f>U2940-L2940</f>
        <v/>
      </c>
    </row>
    <row r="2941">
      <c r="A2941" s="11" t="n">
        <v>46232</v>
      </c>
      <c r="B2941" s="1" t="n">
        <v>20021</v>
      </c>
      <c r="C2941" s="1" t="inlineStr">
        <is>
          <t>502</t>
        </is>
      </c>
      <c r="D2941" s="1" t="inlineStr">
        <is>
          <t xml:space="preserve">5718  </t>
        </is>
      </c>
      <c r="E2941" s="1" t="inlineStr">
        <is>
          <t xml:space="preserve">32457099       </t>
        </is>
      </c>
      <c r="F2941" s="5" t="inlineStr">
        <is>
          <t>TMZ BEAST MACHINES MONSTER JAWS A FRICCION BLISTER</t>
        </is>
      </c>
      <c r="G2941" t="n">
        <v>1</v>
      </c>
      <c r="H2941" s="7" t="n">
        <v>17.9</v>
      </c>
      <c r="I2941" s="7" t="n">
        <v>1.79</v>
      </c>
      <c r="J2941" s="7" t="n">
        <v>0</v>
      </c>
      <c r="K2941" s="9" t="n">
        <v>1.79</v>
      </c>
      <c r="L2941" s="10" t="n">
        <v>9.56</v>
      </c>
      <c r="M2941" s="10" t="n">
        <v>1.43</v>
      </c>
      <c r="N2941" t="inlineStr">
        <is>
          <t>1</t>
        </is>
      </c>
      <c r="O2941" t="inlineStr">
        <is>
          <t>16</t>
        </is>
      </c>
      <c r="P2941" t="inlineStr">
        <is>
          <t xml:space="preserve">235838  </t>
        </is>
      </c>
      <c r="Q2941" s="26" t="n">
        <v>11.81</v>
      </c>
      <c r="R2941" s="26">
        <f>Q2941*G2941</f>
        <v/>
      </c>
      <c r="S2941" s="26">
        <f>IFERROR(VLOOKUP(E2941*1,Tabla[#All],8,0),0)</f>
        <v/>
      </c>
      <c r="T2941" s="26">
        <f>S2941*G2941</f>
        <v/>
      </c>
      <c r="U2941" s="26">
        <f>R2941-T2941</f>
        <v/>
      </c>
      <c r="V2941" s="26">
        <f>U2941-L2941</f>
        <v/>
      </c>
    </row>
    <row r="2942">
      <c r="A2942" s="11" t="n">
        <v>46232</v>
      </c>
      <c r="B2942" s="1" t="n">
        <v>20023</v>
      </c>
      <c r="C2942" s="1" t="inlineStr">
        <is>
          <t>079</t>
        </is>
      </c>
      <c r="D2942" s="1" t="inlineStr">
        <is>
          <t>291104</t>
        </is>
      </c>
      <c r="E2942" s="1" t="inlineStr">
        <is>
          <t xml:space="preserve">30141766       </t>
        </is>
      </c>
      <c r="F2942" s="5" t="inlineStr">
        <is>
          <t>TMZ BEAST MACHINES AUTOS DE METAL BLISTER X 1</t>
        </is>
      </c>
      <c r="G2942" t="n">
        <v>1</v>
      </c>
      <c r="H2942" s="7" t="n">
        <v>7.9</v>
      </c>
      <c r="I2942" s="7" t="n">
        <v>0</v>
      </c>
      <c r="J2942" s="7" t="n">
        <v>0</v>
      </c>
      <c r="K2942" s="9" t="n">
        <v>0</v>
      </c>
      <c r="L2942" s="10" t="n">
        <v>4.68</v>
      </c>
      <c r="M2942" s="10" t="n">
        <v>1.43</v>
      </c>
      <c r="N2942" t="inlineStr">
        <is>
          <t>1</t>
        </is>
      </c>
      <c r="O2942" t="inlineStr">
        <is>
          <t>16</t>
        </is>
      </c>
      <c r="P2942" t="inlineStr">
        <is>
          <t xml:space="preserve">70445   </t>
        </is>
      </c>
      <c r="Q2942" s="26" t="n">
        <v>4.69</v>
      </c>
      <c r="R2942" s="26">
        <f>Q2942*G2942</f>
        <v/>
      </c>
      <c r="S2942" s="26">
        <f>IFERROR(VLOOKUP(E2942*1,Tabla[#All],8,0),0)</f>
        <v/>
      </c>
      <c r="T2942" s="26">
        <f>S2942*G2942</f>
        <v/>
      </c>
      <c r="U2942" s="26">
        <f>R2942-T2942</f>
        <v/>
      </c>
      <c r="V2942" s="26">
        <f>U2942-L2942</f>
        <v/>
      </c>
    </row>
    <row r="2943">
      <c r="A2943" s="11" t="n">
        <v>46232</v>
      </c>
      <c r="B2943" s="1" t="n">
        <v>20024</v>
      </c>
      <c r="C2943" s="1" t="inlineStr">
        <is>
          <t>017</t>
        </is>
      </c>
      <c r="D2943" s="1" t="inlineStr">
        <is>
          <t>265576</t>
        </is>
      </c>
      <c r="E2943" s="1" t="inlineStr">
        <is>
          <t xml:space="preserve">28194768       </t>
        </is>
      </c>
      <c r="F2943" s="5" t="inlineStr">
        <is>
          <t>AUTO COLOR CHANGE TEAMSTERZ SURTIDO</t>
        </is>
      </c>
      <c r="G2943" t="n">
        <v>1</v>
      </c>
      <c r="H2943" s="7" t="n">
        <v>14.9</v>
      </c>
      <c r="I2943" s="7" t="n">
        <v>0</v>
      </c>
      <c r="J2943" s="7" t="n">
        <v>0</v>
      </c>
      <c r="K2943" s="9" t="n">
        <v>0</v>
      </c>
      <c r="L2943" s="10" t="n">
        <v>8.84</v>
      </c>
      <c r="M2943" s="10" t="n">
        <v>1.43</v>
      </c>
      <c r="N2943" t="inlineStr">
        <is>
          <t>1</t>
        </is>
      </c>
      <c r="O2943" t="inlineStr">
        <is>
          <t>16</t>
        </is>
      </c>
      <c r="P2943" t="inlineStr">
        <is>
          <t xml:space="preserve">251741  </t>
        </is>
      </c>
      <c r="Q2943" s="26" t="n">
        <v>8.84</v>
      </c>
      <c r="R2943" s="26">
        <f>Q2943*G2943</f>
        <v/>
      </c>
      <c r="S2943" s="26">
        <f>IFERROR(VLOOKUP(E2943*1,Tabla[#All],8,0),0)</f>
        <v/>
      </c>
      <c r="T2943" s="26">
        <f>S2943*G2943</f>
        <v/>
      </c>
      <c r="U2943" s="26">
        <f>R2943-T2943</f>
        <v/>
      </c>
      <c r="V2943" s="26">
        <f>U2943-L2943</f>
        <v/>
      </c>
    </row>
    <row r="2944">
      <c r="A2944" s="11" t="n">
        <v>46232</v>
      </c>
      <c r="B2944" s="1" t="n">
        <v>20024</v>
      </c>
      <c r="C2944" s="1" t="inlineStr">
        <is>
          <t>032</t>
        </is>
      </c>
      <c r="D2944" s="1" t="inlineStr">
        <is>
          <t>366473</t>
        </is>
      </c>
      <c r="E2944" s="1" t="inlineStr">
        <is>
          <t xml:space="preserve">28194769       </t>
        </is>
      </c>
      <c r="F2944" s="5" t="inlineStr">
        <is>
          <t>AUTOS DE METAL 3 TEAMSTERZ PACK DE 2</t>
        </is>
      </c>
      <c r="G2944" t="n">
        <v>1</v>
      </c>
      <c r="H2944" s="7" t="n">
        <v>13.8</v>
      </c>
      <c r="I2944" s="7" t="n">
        <v>0</v>
      </c>
      <c r="J2944" s="7" t="n">
        <v>0</v>
      </c>
      <c r="K2944" s="9" t="n">
        <v>0</v>
      </c>
      <c r="L2944" s="10" t="n">
        <v>8.18</v>
      </c>
      <c r="M2944" s="10" t="n">
        <v>1.43</v>
      </c>
      <c r="N2944" t="inlineStr">
        <is>
          <t>1</t>
        </is>
      </c>
      <c r="O2944" t="inlineStr">
        <is>
          <t xml:space="preserve">2 </t>
        </is>
      </c>
      <c r="P2944" t="inlineStr">
        <is>
          <t xml:space="preserve">240224  </t>
        </is>
      </c>
      <c r="Q2944" s="26" t="n">
        <v>8.19</v>
      </c>
      <c r="R2944" s="26">
        <f>Q2944*G2944</f>
        <v/>
      </c>
      <c r="S2944" s="26">
        <f>IFERROR(VLOOKUP(E2944*1,Tabla[#All],8,0),0)</f>
        <v/>
      </c>
      <c r="T2944" s="26">
        <f>S2944*G2944</f>
        <v/>
      </c>
      <c r="U2944" s="26">
        <f>R2944-T2944</f>
        <v/>
      </c>
      <c r="V2944" s="26">
        <f>U2944-L2944</f>
        <v/>
      </c>
    </row>
    <row r="2945">
      <c r="A2945" s="11" t="n">
        <v>46232</v>
      </c>
      <c r="B2945" s="1" t="n">
        <v>20024</v>
      </c>
      <c r="C2945" s="1" t="inlineStr">
        <is>
          <t>060</t>
        </is>
      </c>
      <c r="D2945" s="1" t="inlineStr">
        <is>
          <t xml:space="preserve">98174 </t>
        </is>
      </c>
      <c r="E2945" s="1" t="inlineStr">
        <is>
          <t xml:space="preserve">30141769       </t>
        </is>
      </c>
      <c r="F2945" s="5" t="inlineStr">
        <is>
          <t>TMZ BEAST MACHINES TRANSPORTE DINOSAURIO + 3 AUTOS</t>
        </is>
      </c>
      <c r="G2945" t="n">
        <v>1</v>
      </c>
      <c r="H2945" s="7" t="n">
        <v>59.9</v>
      </c>
      <c r="I2945" s="7" t="n">
        <v>5.99</v>
      </c>
      <c r="J2945" s="7" t="n">
        <v>0</v>
      </c>
      <c r="K2945" s="9" t="n">
        <v>5.99</v>
      </c>
      <c r="L2945" s="10" t="n">
        <v>31.98</v>
      </c>
      <c r="M2945" s="10" t="n">
        <v>1.43</v>
      </c>
      <c r="N2945" t="inlineStr">
        <is>
          <t>1</t>
        </is>
      </c>
      <c r="O2945" t="inlineStr">
        <is>
          <t xml:space="preserve">3 </t>
        </is>
      </c>
      <c r="P2945" t="inlineStr">
        <is>
          <t xml:space="preserve">246109  </t>
        </is>
      </c>
      <c r="Q2945" s="26" t="n">
        <v>47.4</v>
      </c>
      <c r="R2945" s="26">
        <f>Q2945*G2945</f>
        <v/>
      </c>
      <c r="S2945" s="26">
        <f>IFERROR(VLOOKUP(E2945*1,Tabla[#All],8,0),0)</f>
        <v/>
      </c>
      <c r="T2945" s="26">
        <f>S2945*G2945</f>
        <v/>
      </c>
      <c r="U2945" s="26">
        <f>R2945-T2945</f>
        <v/>
      </c>
      <c r="V2945" s="26">
        <f>U2945-L2945</f>
        <v/>
      </c>
    </row>
    <row r="2946">
      <c r="A2946" s="11" t="n">
        <v>46232</v>
      </c>
      <c r="B2946" s="1" t="n">
        <v>20024</v>
      </c>
      <c r="C2946" s="1" t="inlineStr">
        <is>
          <t>807</t>
        </is>
      </c>
      <c r="D2946" s="1" t="inlineStr">
        <is>
          <t xml:space="preserve">5490  </t>
        </is>
      </c>
      <c r="E2946" s="1" t="inlineStr">
        <is>
          <t xml:space="preserve">28194770       </t>
        </is>
      </c>
      <c r="F2946" s="5" t="inlineStr">
        <is>
          <t>AUTOS DE METAL 3 TEAMSTERZ EN BLISTER</t>
        </is>
      </c>
      <c r="G2946" t="n">
        <v>1</v>
      </c>
      <c r="H2946" s="7" t="n">
        <v>6.9</v>
      </c>
      <c r="I2946" s="7" t="n">
        <v>0</v>
      </c>
      <c r="J2946" s="7" t="n">
        <v>0</v>
      </c>
      <c r="K2946" s="9" t="n">
        <v>0</v>
      </c>
      <c r="L2946" s="10" t="n">
        <v>4.1</v>
      </c>
      <c r="M2946" s="10" t="n">
        <v>1.43</v>
      </c>
      <c r="N2946" t="inlineStr">
        <is>
          <t>1</t>
        </is>
      </c>
      <c r="O2946" t="inlineStr">
        <is>
          <t>16</t>
        </is>
      </c>
      <c r="P2946" t="inlineStr">
        <is>
          <t xml:space="preserve">0       </t>
        </is>
      </c>
      <c r="Q2946" s="26" t="n">
        <v>4.09</v>
      </c>
      <c r="R2946" s="26">
        <f>Q2946*G2946</f>
        <v/>
      </c>
      <c r="S2946" s="26">
        <f>IFERROR(VLOOKUP(E2946*1,Tabla[#All],8,0),0)</f>
        <v/>
      </c>
      <c r="T2946" s="26">
        <f>S2946*G2946</f>
        <v/>
      </c>
      <c r="U2946" s="26">
        <f>R2946-T2946</f>
        <v/>
      </c>
      <c r="V2946" s="26">
        <f>U2946-L2946</f>
        <v/>
      </c>
    </row>
    <row r="2947">
      <c r="A2947" s="11" t="n">
        <v>46232</v>
      </c>
      <c r="B2947" s="1" t="n">
        <v>20025</v>
      </c>
      <c r="C2947" s="1" t="inlineStr">
        <is>
          <t>043</t>
        </is>
      </c>
      <c r="D2947" s="1" t="inlineStr">
        <is>
          <t xml:space="preserve">87954 </t>
        </is>
      </c>
      <c r="E2947" s="1" t="inlineStr">
        <is>
          <t xml:space="preserve">33483121       </t>
        </is>
      </c>
      <c r="F2947" s="5" t="inlineStr">
        <is>
          <t>HOT WHEELS ESTUCHE PARA 15 AUTOS SURTIDO</t>
        </is>
      </c>
      <c r="G2947" t="n">
        <v>1</v>
      </c>
      <c r="H2947" s="7" t="n">
        <v>34.9</v>
      </c>
      <c r="I2947" s="7" t="n">
        <v>0</v>
      </c>
      <c r="J2947" s="7" t="n">
        <v>0</v>
      </c>
      <c r="K2947" s="9" t="n">
        <v>0</v>
      </c>
      <c r="L2947" s="10" t="n">
        <v>20.71</v>
      </c>
      <c r="M2947" s="10" t="n">
        <v>1.43</v>
      </c>
      <c r="N2947" t="inlineStr">
        <is>
          <t>1</t>
        </is>
      </c>
      <c r="O2947" t="inlineStr">
        <is>
          <t xml:space="preserve">2 </t>
        </is>
      </c>
      <c r="P2947" t="inlineStr">
        <is>
          <t xml:space="preserve">57293   </t>
        </is>
      </c>
      <c r="Q2947" s="26" t="n">
        <v>20.7</v>
      </c>
      <c r="R2947" s="26">
        <f>Q2947*G2947</f>
        <v/>
      </c>
      <c r="S2947" s="26">
        <f>IFERROR(VLOOKUP(E2947*1,Tabla[#All],8,0),0)</f>
        <v/>
      </c>
      <c r="T2947" s="26">
        <f>S2947*G2947</f>
        <v/>
      </c>
      <c r="U2947" s="26">
        <f>R2947-T2947</f>
        <v/>
      </c>
      <c r="V2947" s="26">
        <f>U2947-L2947</f>
        <v/>
      </c>
    </row>
    <row r="2948">
      <c r="A2948" s="11" t="n">
        <v>46232</v>
      </c>
      <c r="B2948" s="1" t="n">
        <v>20025</v>
      </c>
      <c r="C2948" s="1" t="inlineStr">
        <is>
          <t>114</t>
        </is>
      </c>
      <c r="D2948" s="1" t="inlineStr">
        <is>
          <t>118922</t>
        </is>
      </c>
      <c r="E2948" s="1" t="inlineStr">
        <is>
          <t xml:space="preserve">34840551       </t>
        </is>
      </c>
      <c r="F2948" s="5" t="inlineStr">
        <is>
          <t>TMZ HELI BOMBERO CON LUCES Y SONIDOS</t>
        </is>
      </c>
      <c r="G2948" t="n">
        <v>1</v>
      </c>
      <c r="H2948" s="7" t="n">
        <v>79.90000000000001</v>
      </c>
      <c r="I2948" s="7" t="n">
        <v>0</v>
      </c>
      <c r="J2948" s="7" t="n">
        <v>0</v>
      </c>
      <c r="K2948" s="9" t="n">
        <v>0</v>
      </c>
      <c r="L2948" s="10" t="n">
        <v>47.4</v>
      </c>
      <c r="M2948" s="10" t="n">
        <v>1.43</v>
      </c>
      <c r="N2948" t="inlineStr">
        <is>
          <t>1</t>
        </is>
      </c>
      <c r="O2948" t="inlineStr">
        <is>
          <t>16</t>
        </is>
      </c>
      <c r="P2948" t="inlineStr">
        <is>
          <t xml:space="preserve">251044  </t>
        </is>
      </c>
      <c r="Q2948" s="26" t="n">
        <v>47.4</v>
      </c>
      <c r="R2948" s="26">
        <f>Q2948*G2948</f>
        <v/>
      </c>
      <c r="S2948" s="26">
        <f>IFERROR(VLOOKUP(E2948*1,Tabla[#All],8,0),0)</f>
        <v/>
      </c>
      <c r="T2948" s="26">
        <f>S2948*G2948</f>
        <v/>
      </c>
      <c r="U2948" s="26">
        <f>R2948-T2948</f>
        <v/>
      </c>
      <c r="V2948" s="26">
        <f>U2948-L2948</f>
        <v/>
      </c>
    </row>
    <row r="2949">
      <c r="A2949" s="11" t="n">
        <v>46232</v>
      </c>
      <c r="B2949" s="1" t="n">
        <v>20025</v>
      </c>
      <c r="C2949" s="1" t="inlineStr">
        <is>
          <t>114</t>
        </is>
      </c>
      <c r="D2949" s="1" t="inlineStr">
        <is>
          <t>118984</t>
        </is>
      </c>
      <c r="E2949" s="1" t="inlineStr">
        <is>
          <t xml:space="preserve">32457099       </t>
        </is>
      </c>
      <c r="F2949" s="5" t="inlineStr">
        <is>
          <t>TMZ BEAST MACHINES MONSTER JAWS A FRICCION BLISTER</t>
        </is>
      </c>
      <c r="G2949" t="n">
        <v>1</v>
      </c>
      <c r="H2949" s="7" t="n">
        <v>17.9</v>
      </c>
      <c r="I2949" s="7" t="n">
        <v>1.79</v>
      </c>
      <c r="J2949" s="7" t="n">
        <v>0</v>
      </c>
      <c r="K2949" s="9" t="n">
        <v>1.79</v>
      </c>
      <c r="L2949" s="10" t="n">
        <v>9.56</v>
      </c>
      <c r="M2949" s="10" t="n">
        <v>1.43</v>
      </c>
      <c r="N2949" t="inlineStr">
        <is>
          <t>1</t>
        </is>
      </c>
      <c r="O2949" t="inlineStr">
        <is>
          <t xml:space="preserve">3 </t>
        </is>
      </c>
      <c r="P2949" t="inlineStr">
        <is>
          <t xml:space="preserve">250254  </t>
        </is>
      </c>
      <c r="Q2949" s="26" t="n">
        <v>11.81</v>
      </c>
      <c r="R2949" s="26">
        <f>Q2949*G2949</f>
        <v/>
      </c>
      <c r="S2949" s="26">
        <f>IFERROR(VLOOKUP(E2949*1,Tabla[#All],8,0),0)</f>
        <v/>
      </c>
      <c r="T2949" s="26">
        <f>S2949*G2949</f>
        <v/>
      </c>
      <c r="U2949" s="26">
        <f>R2949-T2949</f>
        <v/>
      </c>
      <c r="V2949" s="26">
        <f>U2949-L2949</f>
        <v/>
      </c>
    </row>
    <row r="2950">
      <c r="A2950" s="11" t="n">
        <v>46232</v>
      </c>
      <c r="B2950" s="1" t="n">
        <v>20025</v>
      </c>
      <c r="C2950" s="1" t="inlineStr">
        <is>
          <t>114</t>
        </is>
      </c>
      <c r="D2950" s="1" t="inlineStr">
        <is>
          <t>119003</t>
        </is>
      </c>
      <c r="E2950" s="1" t="inlineStr">
        <is>
          <t xml:space="preserve">34840557       </t>
        </is>
      </c>
      <c r="F2950" s="5" t="inlineStr">
        <is>
          <t>TMZ BEAST MACH. PLAYSET GARAGE DE SERPIENTE + 2 AU</t>
        </is>
      </c>
      <c r="G2950" t="n">
        <v>1</v>
      </c>
      <c r="H2950" s="7" t="n">
        <v>49.9</v>
      </c>
      <c r="I2950" s="7" t="n">
        <v>0</v>
      </c>
      <c r="J2950" s="7" t="n">
        <v>0</v>
      </c>
      <c r="K2950" s="9" t="n">
        <v>0</v>
      </c>
      <c r="L2950" s="10" t="n">
        <v>29.6</v>
      </c>
      <c r="M2950" s="10" t="n">
        <v>1.43</v>
      </c>
      <c r="N2950" t="inlineStr">
        <is>
          <t>1</t>
        </is>
      </c>
      <c r="O2950" t="inlineStr">
        <is>
          <t>16</t>
        </is>
      </c>
      <c r="P2950" t="inlineStr">
        <is>
          <t xml:space="preserve">251044  </t>
        </is>
      </c>
      <c r="Q2950" s="26" t="n">
        <v>47.4</v>
      </c>
      <c r="R2950" s="26">
        <f>Q2950*G2950</f>
        <v/>
      </c>
      <c r="S2950" s="26">
        <f>IFERROR(VLOOKUP(E2950*1,Tabla[#All],8,0),0)</f>
        <v/>
      </c>
      <c r="T2950" s="26">
        <f>S2950*G2950</f>
        <v/>
      </c>
      <c r="U2950" s="26">
        <f>R2950-T2950</f>
        <v/>
      </c>
      <c r="V2950" s="26">
        <f>U2950-L2950</f>
        <v/>
      </c>
    </row>
    <row r="2951">
      <c r="A2951" s="11" t="n">
        <v>46232</v>
      </c>
      <c r="B2951" s="1" t="n">
        <v>20028</v>
      </c>
      <c r="C2951" s="1" t="inlineStr">
        <is>
          <t>040</t>
        </is>
      </c>
      <c r="D2951" s="1" t="inlineStr">
        <is>
          <t xml:space="preserve">5801  </t>
        </is>
      </c>
      <c r="E2951" s="1" t="inlineStr">
        <is>
          <t xml:space="preserve">31800857       </t>
        </is>
      </c>
      <c r="F2951" s="5" t="inlineStr">
        <is>
          <t>DART ZONE BLITZFIRE TIRO RAPIDO BLASTER X1</t>
        </is>
      </c>
      <c r="G2951" t="n">
        <v>1</v>
      </c>
      <c r="H2951" s="7" t="n">
        <v>14.95</v>
      </c>
      <c r="I2951" s="7" t="n">
        <v>1.5</v>
      </c>
      <c r="J2951" s="7" t="n">
        <v>0</v>
      </c>
      <c r="K2951" s="9" t="n">
        <v>1.5</v>
      </c>
      <c r="L2951" s="10" t="n">
        <v>7.98</v>
      </c>
      <c r="M2951" s="10" t="n">
        <v>1.43</v>
      </c>
      <c r="N2951" t="inlineStr">
        <is>
          <t>1</t>
        </is>
      </c>
      <c r="O2951" t="inlineStr">
        <is>
          <t xml:space="preserve">3 </t>
        </is>
      </c>
      <c r="P2951" t="inlineStr">
        <is>
          <t xml:space="preserve">69765   </t>
        </is>
      </c>
      <c r="Q2951" s="26" t="n">
        <v>17.74</v>
      </c>
      <c r="R2951" s="26">
        <f>Q2951*G2951</f>
        <v/>
      </c>
      <c r="S2951" s="26">
        <f>IFERROR(VLOOKUP(E2951*1,Tabla[#All],8,0),0)</f>
        <v/>
      </c>
      <c r="T2951" s="26">
        <f>S2951*G2951</f>
        <v/>
      </c>
      <c r="U2951" s="26">
        <f>R2951-T2951</f>
        <v/>
      </c>
      <c r="V2951" s="26">
        <f>U2951-L2951</f>
        <v/>
      </c>
    </row>
    <row r="2952">
      <c r="A2952" s="11" t="n">
        <v>46232</v>
      </c>
      <c r="B2952" s="1" t="n">
        <v>20028</v>
      </c>
      <c r="C2952" s="1" t="inlineStr">
        <is>
          <t>551</t>
        </is>
      </c>
      <c r="D2952" s="1" t="inlineStr">
        <is>
          <t xml:space="preserve">969   </t>
        </is>
      </c>
      <c r="E2952" s="1" t="inlineStr">
        <is>
          <t xml:space="preserve">28194765       </t>
        </is>
      </c>
      <c r="F2952" s="5" t="inlineStr">
        <is>
          <t>PLAYSET COLOR CHANGE TIBURN TEAMSTERZ  1 AUTITO</t>
        </is>
      </c>
      <c r="G2952" t="n">
        <v>1</v>
      </c>
      <c r="H2952" s="7" t="n">
        <v>79.90000000000001</v>
      </c>
      <c r="I2952" s="7" t="n">
        <v>0</v>
      </c>
      <c r="J2952" s="7" t="n">
        <v>0</v>
      </c>
      <c r="K2952" s="9" t="n">
        <v>0</v>
      </c>
      <c r="L2952" s="10" t="n">
        <v>47.4</v>
      </c>
      <c r="M2952" s="10" t="n">
        <v>1.43</v>
      </c>
      <c r="N2952" t="inlineStr">
        <is>
          <t>1</t>
        </is>
      </c>
      <c r="O2952" t="inlineStr">
        <is>
          <t>16</t>
        </is>
      </c>
      <c r="P2952" t="inlineStr">
        <is>
          <t xml:space="preserve">201777  </t>
        </is>
      </c>
      <c r="Q2952" s="26" t="n">
        <v>47.4</v>
      </c>
      <c r="R2952" s="26">
        <f>Q2952*G2952</f>
        <v/>
      </c>
      <c r="S2952" s="26">
        <f>IFERROR(VLOOKUP(E2952*1,Tabla[#All],8,0),0)</f>
        <v/>
      </c>
      <c r="T2952" s="26">
        <f>S2952*G2952</f>
        <v/>
      </c>
      <c r="U2952" s="26">
        <f>R2952-T2952</f>
        <v/>
      </c>
      <c r="V2952" s="26">
        <f>U2952-L2952</f>
        <v/>
      </c>
    </row>
    <row r="2953">
      <c r="A2953" s="11" t="n">
        <v>46232</v>
      </c>
      <c r="B2953" s="1" t="n">
        <v>20028</v>
      </c>
      <c r="C2953" s="1" t="inlineStr">
        <is>
          <t>860</t>
        </is>
      </c>
      <c r="D2953" s="1" t="inlineStr">
        <is>
          <t xml:space="preserve">4265  </t>
        </is>
      </c>
      <c r="E2953" s="1" t="inlineStr">
        <is>
          <t xml:space="preserve">33661542       </t>
        </is>
      </c>
      <c r="F2953" s="5" t="inlineStr">
        <is>
          <t>RELOJ DIGITAL MR. POTATO SR. CARA DE PAPA</t>
        </is>
      </c>
      <c r="G2953" t="n">
        <v>1</v>
      </c>
      <c r="H2953" s="7" t="n">
        <v>18.9</v>
      </c>
      <c r="I2953" s="7" t="n">
        <v>0</v>
      </c>
      <c r="J2953" s="7" t="n">
        <v>0</v>
      </c>
      <c r="K2953" s="9" t="n">
        <v>0</v>
      </c>
      <c r="L2953" s="10" t="n">
        <v>11.21</v>
      </c>
      <c r="M2953" s="10" t="n">
        <v>1.43</v>
      </c>
      <c r="N2953" t="inlineStr">
        <is>
          <t>1</t>
        </is>
      </c>
      <c r="O2953" t="inlineStr">
        <is>
          <t>16</t>
        </is>
      </c>
      <c r="P2953" t="inlineStr">
        <is>
          <t xml:space="preserve">0       </t>
        </is>
      </c>
      <c r="Q2953" s="26" t="n">
        <v>11.21</v>
      </c>
      <c r="R2953" s="26">
        <f>Q2953*G2953</f>
        <v/>
      </c>
      <c r="S2953" s="26">
        <f>IFERROR(VLOOKUP(E2953*1,Tabla[#All],8,0),0)</f>
        <v/>
      </c>
      <c r="T2953" s="26">
        <f>S2953*G2953</f>
        <v/>
      </c>
      <c r="U2953" s="26">
        <f>R2953-T2953</f>
        <v/>
      </c>
      <c r="V2953" s="26">
        <f>U2953-L2953</f>
        <v/>
      </c>
    </row>
    <row r="2954">
      <c r="A2954" s="11" t="n">
        <v>46232</v>
      </c>
      <c r="B2954" s="1" t="n">
        <v>20030</v>
      </c>
      <c r="C2954" s="1" t="inlineStr">
        <is>
          <t>067</t>
        </is>
      </c>
      <c r="D2954" s="1" t="inlineStr">
        <is>
          <t>275350</t>
        </is>
      </c>
      <c r="E2954" s="1" t="inlineStr">
        <is>
          <t xml:space="preserve">33661538       </t>
        </is>
      </c>
      <c r="F2954" s="5" t="inlineStr">
        <is>
          <t>HOT WHEELS CASE GARAGE RUEDA METAL EN LLAMAS X 29</t>
        </is>
      </c>
      <c r="G2954" t="n">
        <v>1</v>
      </c>
      <c r="H2954" s="7" t="n">
        <v>69.90000000000001</v>
      </c>
      <c r="I2954" s="7" t="n">
        <v>6.99</v>
      </c>
      <c r="J2954" s="7" t="n">
        <v>0</v>
      </c>
      <c r="K2954" s="9" t="n">
        <v>6.99</v>
      </c>
      <c r="L2954" s="10" t="n">
        <v>37.32</v>
      </c>
      <c r="M2954" s="10" t="n">
        <v>1.43</v>
      </c>
      <c r="N2954" t="inlineStr">
        <is>
          <t>1</t>
        </is>
      </c>
      <c r="O2954" t="inlineStr">
        <is>
          <t xml:space="preserve">3 </t>
        </is>
      </c>
      <c r="P2954" t="inlineStr">
        <is>
          <t xml:space="preserve">47352   </t>
        </is>
      </c>
      <c r="Q2954" s="26" t="n">
        <v>41.47</v>
      </c>
      <c r="R2954" s="26">
        <f>Q2954*G2954</f>
        <v/>
      </c>
      <c r="S2954" s="26">
        <f>IFERROR(VLOOKUP(E2954*1,Tabla[#All],8,0),0)</f>
        <v/>
      </c>
      <c r="T2954" s="26">
        <f>S2954*G2954</f>
        <v/>
      </c>
      <c r="U2954" s="26">
        <f>R2954-T2954</f>
        <v/>
      </c>
      <c r="V2954" s="26">
        <f>U2954-L2954</f>
        <v/>
      </c>
    </row>
    <row r="2955">
      <c r="A2955" s="11" t="n">
        <v>46232</v>
      </c>
      <c r="B2955" s="1" t="n">
        <v>20040</v>
      </c>
      <c r="C2955" s="1" t="inlineStr">
        <is>
          <t>033</t>
        </is>
      </c>
      <c r="D2955" s="1" t="inlineStr">
        <is>
          <t xml:space="preserve">86990 </t>
        </is>
      </c>
      <c r="E2955" s="1" t="inlineStr">
        <is>
          <t xml:space="preserve">28194768       </t>
        </is>
      </c>
      <c r="F2955" s="5" t="inlineStr">
        <is>
          <t>AUTO COLOR CHANGE TEAMSTERZ SURTIDO</t>
        </is>
      </c>
      <c r="G2955" t="n">
        <v>1</v>
      </c>
      <c r="H2955" s="7" t="n">
        <v>14.9</v>
      </c>
      <c r="I2955" s="7" t="n">
        <v>0</v>
      </c>
      <c r="J2955" s="7" t="n">
        <v>0</v>
      </c>
      <c r="K2955" s="9" t="n">
        <v>0</v>
      </c>
      <c r="L2955" s="10" t="n">
        <v>8.84</v>
      </c>
      <c r="M2955" s="10" t="n">
        <v>1.43</v>
      </c>
      <c r="N2955" t="inlineStr">
        <is>
          <t>1</t>
        </is>
      </c>
      <c r="O2955" t="inlineStr">
        <is>
          <t xml:space="preserve">2 </t>
        </is>
      </c>
      <c r="P2955" t="inlineStr">
        <is>
          <t xml:space="preserve">247177  </t>
        </is>
      </c>
      <c r="Q2955" s="26" t="n">
        <v>8.84</v>
      </c>
      <c r="R2955" s="26">
        <f>Q2955*G2955</f>
        <v/>
      </c>
      <c r="S2955" s="26">
        <f>IFERROR(VLOOKUP(E2955*1,Tabla[#All],8,0),0)</f>
        <v/>
      </c>
      <c r="T2955" s="26">
        <f>S2955*G2955</f>
        <v/>
      </c>
      <c r="U2955" s="26">
        <f>R2955-T2955</f>
        <v/>
      </c>
      <c r="V2955" s="26">
        <f>U2955-L2955</f>
        <v/>
      </c>
    </row>
    <row r="2956">
      <c r="A2956" s="11" t="n">
        <v>46232</v>
      </c>
      <c r="B2956" s="1" t="n">
        <v>20040</v>
      </c>
      <c r="C2956" s="1" t="inlineStr">
        <is>
          <t>072</t>
        </is>
      </c>
      <c r="D2956" s="1" t="inlineStr">
        <is>
          <t>253400</t>
        </is>
      </c>
      <c r="E2956" s="1" t="inlineStr">
        <is>
          <t xml:space="preserve">29235702       </t>
        </is>
      </c>
      <c r="F2956" s="5" t="inlineStr">
        <is>
          <t>INFINITY NADO TROMPO DE BATALLA - METAL C/ ANILLO</t>
        </is>
      </c>
      <c r="G2956" t="n">
        <v>1</v>
      </c>
      <c r="H2956" s="7" t="n">
        <v>49.9</v>
      </c>
      <c r="I2956" s="7" t="n">
        <v>0</v>
      </c>
      <c r="J2956" s="7" t="n">
        <v>0</v>
      </c>
      <c r="K2956" s="9" t="n">
        <v>0</v>
      </c>
      <c r="L2956" s="10" t="n">
        <v>29.6</v>
      </c>
      <c r="M2956" s="10" t="n">
        <v>1.43</v>
      </c>
      <c r="N2956" t="inlineStr">
        <is>
          <t>1</t>
        </is>
      </c>
      <c r="O2956" t="inlineStr">
        <is>
          <t>16</t>
        </is>
      </c>
      <c r="P2956" t="inlineStr">
        <is>
          <t xml:space="preserve">243237  </t>
        </is>
      </c>
      <c r="Q2956" s="26" t="n">
        <v>41.47</v>
      </c>
      <c r="R2956" s="26">
        <f>Q2956*G2956</f>
        <v/>
      </c>
      <c r="S2956" s="26">
        <f>IFERROR(VLOOKUP(E2956*1,Tabla[#All],8,0),0)</f>
        <v/>
      </c>
      <c r="T2956" s="26">
        <f>S2956*G2956</f>
        <v/>
      </c>
      <c r="U2956" s="26">
        <f>R2956-T2956</f>
        <v/>
      </c>
      <c r="V2956" s="26">
        <f>U2956-L2956</f>
        <v/>
      </c>
    </row>
    <row r="2957">
      <c r="A2957" s="11" t="n">
        <v>46232</v>
      </c>
      <c r="B2957" s="1" t="n">
        <v>20040</v>
      </c>
      <c r="C2957" s="1" t="inlineStr">
        <is>
          <t>190</t>
        </is>
      </c>
      <c r="D2957" s="1" t="inlineStr">
        <is>
          <t>369383</t>
        </is>
      </c>
      <c r="E2957" s="1" t="inlineStr">
        <is>
          <t xml:space="preserve">28194784       </t>
        </is>
      </c>
      <c r="F2957" s="5" t="inlineStr">
        <is>
          <t>SET DE ACROBACIAS INFINITY NADO CON TROMPO</t>
        </is>
      </c>
      <c r="G2957" t="n">
        <v>1</v>
      </c>
      <c r="H2957" s="7" t="n">
        <v>139</v>
      </c>
      <c r="I2957" s="7" t="n">
        <v>0</v>
      </c>
      <c r="J2957" s="7" t="n">
        <v>0</v>
      </c>
      <c r="K2957" s="9" t="n">
        <v>0</v>
      </c>
      <c r="L2957" s="10" t="n">
        <v>82.45999999999999</v>
      </c>
      <c r="M2957" s="10" t="n">
        <v>1.43</v>
      </c>
      <c r="N2957" t="inlineStr">
        <is>
          <t>1</t>
        </is>
      </c>
      <c r="O2957" t="inlineStr">
        <is>
          <t>16</t>
        </is>
      </c>
      <c r="P2957" t="inlineStr">
        <is>
          <t xml:space="preserve">242657  </t>
        </is>
      </c>
      <c r="Q2957" s="26" t="n">
        <v>106.19</v>
      </c>
      <c r="R2957" s="26">
        <f>Q2957*G2957</f>
        <v/>
      </c>
      <c r="S2957" s="26">
        <f>IFERROR(VLOOKUP(E2957*1,Tabla[#All],8,0),0)</f>
        <v/>
      </c>
      <c r="T2957" s="26">
        <f>S2957*G2957</f>
        <v/>
      </c>
      <c r="U2957" s="26">
        <f>R2957-T2957</f>
        <v/>
      </c>
      <c r="V2957" s="26">
        <f>U2957-L2957</f>
        <v/>
      </c>
    </row>
    <row r="2958">
      <c r="A2958" s="11" t="n">
        <v>46232</v>
      </c>
      <c r="B2958" s="1" t="n">
        <v>20040</v>
      </c>
      <c r="C2958" s="1" t="inlineStr">
        <is>
          <t>190</t>
        </is>
      </c>
      <c r="D2958" s="1" t="inlineStr">
        <is>
          <t>369394</t>
        </is>
      </c>
      <c r="E2958" s="1" t="inlineStr">
        <is>
          <t xml:space="preserve">30232284       </t>
        </is>
      </c>
      <c r="F2958" s="5" t="inlineStr">
        <is>
          <t>INFINITY NADO TROMPO DE BATALLA - METAL C/PUNTA DE</t>
        </is>
      </c>
      <c r="G2958" t="n">
        <v>1</v>
      </c>
      <c r="H2958" s="7" t="n">
        <v>34.9</v>
      </c>
      <c r="I2958" s="7" t="n">
        <v>0</v>
      </c>
      <c r="J2958" s="7" t="n">
        <v>0</v>
      </c>
      <c r="K2958" s="9" t="n">
        <v>0</v>
      </c>
      <c r="L2958" s="10" t="n">
        <v>20.71</v>
      </c>
      <c r="M2958" s="10" t="n">
        <v>1.43</v>
      </c>
      <c r="N2958" t="inlineStr">
        <is>
          <t>1</t>
        </is>
      </c>
      <c r="O2958" t="inlineStr">
        <is>
          <t>16</t>
        </is>
      </c>
      <c r="P2958" t="inlineStr">
        <is>
          <t xml:space="preserve">242657  </t>
        </is>
      </c>
      <c r="Q2958" s="26" t="n">
        <v>29.6</v>
      </c>
      <c r="R2958" s="26">
        <f>Q2958*G2958</f>
        <v/>
      </c>
      <c r="S2958" s="26">
        <f>IFERROR(VLOOKUP(E2958*1,Tabla[#All],8,0),0)</f>
        <v/>
      </c>
      <c r="T2958" s="26">
        <f>S2958*G2958</f>
        <v/>
      </c>
      <c r="U2958" s="26">
        <f>R2958-T2958</f>
        <v/>
      </c>
      <c r="V2958" s="26">
        <f>U2958-L2958</f>
        <v/>
      </c>
    </row>
    <row r="2959">
      <c r="A2959" s="11" t="n">
        <v>46232</v>
      </c>
      <c r="B2959" s="1" t="n">
        <v>20041</v>
      </c>
      <c r="C2959" s="1" t="inlineStr">
        <is>
          <t>013</t>
        </is>
      </c>
      <c r="D2959" s="1" t="inlineStr">
        <is>
          <t>460663</t>
        </is>
      </c>
      <c r="E2959" s="1" t="inlineStr">
        <is>
          <t xml:space="preserve">28194770       </t>
        </is>
      </c>
      <c r="F2959" s="5" t="inlineStr">
        <is>
          <t>AUTOS DE METAL 3 TEAMSTERZ EN BLISTER</t>
        </is>
      </c>
      <c r="G2959" t="n">
        <v>1</v>
      </c>
      <c r="H2959" s="7" t="n">
        <v>6.9</v>
      </c>
      <c r="I2959" s="7" t="n">
        <v>0</v>
      </c>
      <c r="J2959" s="7" t="n">
        <v>0</v>
      </c>
      <c r="K2959" s="9" t="n">
        <v>0</v>
      </c>
      <c r="L2959" s="10" t="n">
        <v>4.1</v>
      </c>
      <c r="M2959" s="10" t="n">
        <v>1.43</v>
      </c>
      <c r="N2959" t="inlineStr">
        <is>
          <t>1</t>
        </is>
      </c>
      <c r="O2959" t="inlineStr">
        <is>
          <t xml:space="preserve">2 </t>
        </is>
      </c>
      <c r="P2959" t="inlineStr">
        <is>
          <t xml:space="preserve">91630   </t>
        </is>
      </c>
      <c r="Q2959" s="26" t="n">
        <v>4.09</v>
      </c>
      <c r="R2959" s="26">
        <f>Q2959*G2959</f>
        <v/>
      </c>
      <c r="S2959" s="26">
        <f>IFERROR(VLOOKUP(E2959*1,Tabla[#All],8,0),0)</f>
        <v/>
      </c>
      <c r="T2959" s="26">
        <f>S2959*G2959</f>
        <v/>
      </c>
      <c r="U2959" s="26">
        <f>R2959-T2959</f>
        <v/>
      </c>
      <c r="V2959" s="26">
        <f>U2959-L2959</f>
        <v/>
      </c>
    </row>
    <row r="2960">
      <c r="A2960" s="11" t="n">
        <v>46232</v>
      </c>
      <c r="B2960" s="1" t="n">
        <v>20041</v>
      </c>
      <c r="C2960" s="1" t="inlineStr">
        <is>
          <t>016</t>
        </is>
      </c>
      <c r="D2960" s="1" t="inlineStr">
        <is>
          <t>217373</t>
        </is>
      </c>
      <c r="E2960" s="1" t="inlineStr">
        <is>
          <t xml:space="preserve">30141767       </t>
        </is>
      </c>
      <c r="F2960" s="5" t="inlineStr">
        <is>
          <t>TMZ BEAST MACHINES AUTOS DE METAL PACK 5 AUTOS</t>
        </is>
      </c>
      <c r="G2960" t="n">
        <v>1</v>
      </c>
      <c r="H2960" s="7" t="n">
        <v>29.9</v>
      </c>
      <c r="I2960" s="7" t="n">
        <v>0</v>
      </c>
      <c r="J2960" s="7" t="n">
        <v>0</v>
      </c>
      <c r="K2960" s="9" t="n">
        <v>0</v>
      </c>
      <c r="L2960" s="10" t="n">
        <v>17.74</v>
      </c>
      <c r="M2960" s="10" t="n">
        <v>1.43</v>
      </c>
      <c r="N2960" t="inlineStr">
        <is>
          <t>1</t>
        </is>
      </c>
      <c r="O2960" t="inlineStr">
        <is>
          <t>16</t>
        </is>
      </c>
      <c r="P2960" t="inlineStr">
        <is>
          <t xml:space="preserve">243698  </t>
        </is>
      </c>
      <c r="Q2960" s="26" t="n">
        <v>23.43</v>
      </c>
      <c r="R2960" s="26">
        <f>Q2960*G2960</f>
        <v/>
      </c>
      <c r="S2960" s="26">
        <f>IFERROR(VLOOKUP(E2960*1,Tabla[#All],8,0),0)</f>
        <v/>
      </c>
      <c r="T2960" s="26">
        <f>S2960*G2960</f>
        <v/>
      </c>
      <c r="U2960" s="26">
        <f>R2960-T2960</f>
        <v/>
      </c>
      <c r="V2960" s="26">
        <f>U2960-L2960</f>
        <v/>
      </c>
    </row>
    <row r="2961">
      <c r="A2961" s="11" t="n">
        <v>46232</v>
      </c>
      <c r="B2961" s="1" t="n">
        <v>20041</v>
      </c>
      <c r="C2961" s="1" t="inlineStr">
        <is>
          <t>020</t>
        </is>
      </c>
      <c r="D2961" s="1" t="inlineStr">
        <is>
          <t>367854</t>
        </is>
      </c>
      <c r="E2961" s="1" t="inlineStr">
        <is>
          <t xml:space="preserve">28194770       </t>
        </is>
      </c>
      <c r="F2961" s="5" t="inlineStr">
        <is>
          <t>AUTOS DE METAL 3 TEAMSTERZ EN BLISTER</t>
        </is>
      </c>
      <c r="G2961" t="n">
        <v>1</v>
      </c>
      <c r="H2961" s="7" t="n">
        <v>6.9</v>
      </c>
      <c r="I2961" s="7" t="n">
        <v>0.6899999999999999</v>
      </c>
      <c r="J2961" s="7" t="n">
        <v>0</v>
      </c>
      <c r="K2961" s="9" t="n">
        <v>0.6899999999999999</v>
      </c>
      <c r="L2961" s="10" t="n">
        <v>3.68</v>
      </c>
      <c r="M2961" s="10" t="n">
        <v>1.43</v>
      </c>
      <c r="N2961" t="inlineStr">
        <is>
          <t>1</t>
        </is>
      </c>
      <c r="O2961" t="inlineStr">
        <is>
          <t xml:space="preserve">3 </t>
        </is>
      </c>
      <c r="P2961" t="inlineStr">
        <is>
          <t xml:space="preserve">244965  </t>
        </is>
      </c>
      <c r="Q2961" s="26" t="n">
        <v>4.09</v>
      </c>
      <c r="R2961" s="26">
        <f>Q2961*G2961</f>
        <v/>
      </c>
      <c r="S2961" s="26">
        <f>IFERROR(VLOOKUP(E2961*1,Tabla[#All],8,0),0)</f>
        <v/>
      </c>
      <c r="T2961" s="26">
        <f>S2961*G2961</f>
        <v/>
      </c>
      <c r="U2961" s="26">
        <f>R2961-T2961</f>
        <v/>
      </c>
      <c r="V2961" s="26">
        <f>U2961-L2961</f>
        <v/>
      </c>
    </row>
    <row r="2962">
      <c r="A2962" s="11" t="n">
        <v>46232</v>
      </c>
      <c r="B2962" s="1" t="n">
        <v>20041</v>
      </c>
      <c r="C2962" s="1" t="inlineStr">
        <is>
          <t>020</t>
        </is>
      </c>
      <c r="D2962" s="1" t="inlineStr">
        <is>
          <t>367854</t>
        </is>
      </c>
      <c r="E2962" s="1" t="inlineStr">
        <is>
          <t xml:space="preserve">28194770       </t>
        </is>
      </c>
      <c r="F2962" s="5" t="inlineStr">
        <is>
          <t>AUTOS DE METAL 3 TEAMSTERZ EN BLISTER</t>
        </is>
      </c>
      <c r="G2962" t="n">
        <v>1</v>
      </c>
      <c r="H2962" s="7" t="n">
        <v>6.9</v>
      </c>
      <c r="I2962" s="7" t="n">
        <v>0.6899999999999999</v>
      </c>
      <c r="J2962" s="7" t="n">
        <v>0</v>
      </c>
      <c r="K2962" s="9" t="n">
        <v>0.6899999999999999</v>
      </c>
      <c r="L2962" s="10" t="n">
        <v>3.68</v>
      </c>
      <c r="M2962" s="10" t="n">
        <v>1.43</v>
      </c>
      <c r="N2962" t="inlineStr">
        <is>
          <t>1</t>
        </is>
      </c>
      <c r="O2962" t="inlineStr">
        <is>
          <t xml:space="preserve">3 </t>
        </is>
      </c>
      <c r="P2962" t="inlineStr">
        <is>
          <t xml:space="preserve">244965  </t>
        </is>
      </c>
      <c r="Q2962" s="26" t="n">
        <v>4.09</v>
      </c>
      <c r="R2962" s="26">
        <f>Q2962*G2962</f>
        <v/>
      </c>
      <c r="S2962" s="26">
        <f>IFERROR(VLOOKUP(E2962*1,Tabla[#All],8,0),0)</f>
        <v/>
      </c>
      <c r="T2962" s="26">
        <f>S2962*G2962</f>
        <v/>
      </c>
      <c r="U2962" s="26">
        <f>R2962-T2962</f>
        <v/>
      </c>
      <c r="V2962" s="26">
        <f>U2962-L2962</f>
        <v/>
      </c>
    </row>
    <row r="2963">
      <c r="A2963" s="11" t="n">
        <v>46232</v>
      </c>
      <c r="B2963" s="1" t="n">
        <v>20041</v>
      </c>
      <c r="C2963" s="1" t="inlineStr">
        <is>
          <t>036</t>
        </is>
      </c>
      <c r="D2963" s="1" t="inlineStr">
        <is>
          <t>321291</t>
        </is>
      </c>
      <c r="E2963" s="1" t="inlineStr">
        <is>
          <t xml:space="preserve">28194770       </t>
        </is>
      </c>
      <c r="F2963" s="5" t="inlineStr">
        <is>
          <t>AUTOS DE METAL 3 TEAMSTERZ EN BLISTER</t>
        </is>
      </c>
      <c r="G2963" t="n">
        <v>1</v>
      </c>
      <c r="H2963" s="7" t="n">
        <v>6.9</v>
      </c>
      <c r="I2963" s="7" t="n">
        <v>0</v>
      </c>
      <c r="J2963" s="7" t="n">
        <v>0</v>
      </c>
      <c r="K2963" s="9" t="n">
        <v>0</v>
      </c>
      <c r="L2963" s="10" t="n">
        <v>4.1</v>
      </c>
      <c r="M2963" s="10" t="n">
        <v>1.43</v>
      </c>
      <c r="N2963" t="inlineStr">
        <is>
          <t>1</t>
        </is>
      </c>
      <c r="O2963" t="inlineStr">
        <is>
          <t>16</t>
        </is>
      </c>
      <c r="P2963" t="inlineStr">
        <is>
          <t xml:space="preserve">242748  </t>
        </is>
      </c>
      <c r="Q2963" s="26" t="n">
        <v>4.09</v>
      </c>
      <c r="R2963" s="26">
        <f>Q2963*G2963</f>
        <v/>
      </c>
      <c r="S2963" s="26">
        <f>IFERROR(VLOOKUP(E2963*1,Tabla[#All],8,0),0)</f>
        <v/>
      </c>
      <c r="T2963" s="26">
        <f>S2963*G2963</f>
        <v/>
      </c>
      <c r="U2963" s="26">
        <f>R2963-T2963</f>
        <v/>
      </c>
      <c r="V2963" s="26">
        <f>U2963-L2963</f>
        <v/>
      </c>
    </row>
    <row r="2964">
      <c r="A2964" s="11" t="n">
        <v>46232</v>
      </c>
      <c r="B2964" s="1" t="n">
        <v>20041</v>
      </c>
      <c r="C2964" s="1" t="inlineStr">
        <is>
          <t>043</t>
        </is>
      </c>
      <c r="D2964" s="1" t="inlineStr">
        <is>
          <t xml:space="preserve">217   </t>
        </is>
      </c>
      <c r="E2964" s="1" t="inlineStr">
        <is>
          <t xml:space="preserve">28194770       </t>
        </is>
      </c>
      <c r="F2964" s="5" t="inlineStr">
        <is>
          <t>AUTOS DE METAL 3 TEAMSTERZ EN BLISTER</t>
        </is>
      </c>
      <c r="G2964" t="n">
        <v>1</v>
      </c>
      <c r="H2964" s="7" t="n">
        <v>6.9</v>
      </c>
      <c r="I2964" s="7" t="n">
        <v>0</v>
      </c>
      <c r="J2964" s="7" t="n">
        <v>0</v>
      </c>
      <c r="K2964" s="9" t="n">
        <v>0</v>
      </c>
      <c r="L2964" s="10" t="n">
        <v>4.1</v>
      </c>
      <c r="M2964" s="10" t="n">
        <v>1.43</v>
      </c>
      <c r="N2964" t="inlineStr">
        <is>
          <t>1</t>
        </is>
      </c>
      <c r="O2964" t="inlineStr">
        <is>
          <t>16</t>
        </is>
      </c>
      <c r="P2964" t="inlineStr">
        <is>
          <t xml:space="preserve">241916  </t>
        </is>
      </c>
      <c r="Q2964" s="26" t="n">
        <v>4.09</v>
      </c>
      <c r="R2964" s="26">
        <f>Q2964*G2964</f>
        <v/>
      </c>
      <c r="S2964" s="26">
        <f>IFERROR(VLOOKUP(E2964*1,Tabla[#All],8,0),0)</f>
        <v/>
      </c>
      <c r="T2964" s="26">
        <f>S2964*G2964</f>
        <v/>
      </c>
      <c r="U2964" s="26">
        <f>R2964-T2964</f>
        <v/>
      </c>
      <c r="V2964" s="26">
        <f>U2964-L2964</f>
        <v/>
      </c>
    </row>
    <row r="2965">
      <c r="A2965" s="11" t="n">
        <v>46232</v>
      </c>
      <c r="B2965" s="1" t="n">
        <v>20041</v>
      </c>
      <c r="C2965" s="1" t="inlineStr">
        <is>
          <t>043</t>
        </is>
      </c>
      <c r="D2965" s="1" t="inlineStr">
        <is>
          <t xml:space="preserve">246   </t>
        </is>
      </c>
      <c r="E2965" s="1" t="inlineStr">
        <is>
          <t xml:space="preserve">28194770       </t>
        </is>
      </c>
      <c r="F2965" s="5" t="inlineStr">
        <is>
          <t>AUTOS DE METAL 3 TEAMSTERZ EN BLISTER</t>
        </is>
      </c>
      <c r="G2965" t="n">
        <v>1</v>
      </c>
      <c r="H2965" s="7" t="n">
        <v>6.9</v>
      </c>
      <c r="I2965" s="7" t="n">
        <v>0</v>
      </c>
      <c r="J2965" s="7" t="n">
        <v>0</v>
      </c>
      <c r="K2965" s="9" t="n">
        <v>0</v>
      </c>
      <c r="L2965" s="10" t="n">
        <v>4.1</v>
      </c>
      <c r="M2965" s="10" t="n">
        <v>1.43</v>
      </c>
      <c r="N2965" t="inlineStr">
        <is>
          <t>1</t>
        </is>
      </c>
      <c r="O2965" t="inlineStr">
        <is>
          <t>16</t>
        </is>
      </c>
      <c r="P2965" t="inlineStr">
        <is>
          <t xml:space="preserve">241916  </t>
        </is>
      </c>
      <c r="Q2965" s="26" t="n">
        <v>4.09</v>
      </c>
      <c r="R2965" s="26">
        <f>Q2965*G2965</f>
        <v/>
      </c>
      <c r="S2965" s="26">
        <f>IFERROR(VLOOKUP(E2965*1,Tabla[#All],8,0),0)</f>
        <v/>
      </c>
      <c r="T2965" s="26">
        <f>S2965*G2965</f>
        <v/>
      </c>
      <c r="U2965" s="26">
        <f>R2965-T2965</f>
        <v/>
      </c>
      <c r="V2965" s="26">
        <f>U2965-L2965</f>
        <v/>
      </c>
    </row>
    <row r="2966">
      <c r="A2966" s="11" t="n">
        <v>46232</v>
      </c>
      <c r="B2966" s="1" t="n">
        <v>20041</v>
      </c>
      <c r="C2966" s="1" t="inlineStr">
        <is>
          <t>043</t>
        </is>
      </c>
      <c r="D2966" s="1" t="inlineStr">
        <is>
          <t xml:space="preserve">246   </t>
        </is>
      </c>
      <c r="E2966" s="1" t="inlineStr">
        <is>
          <t xml:space="preserve">28194770       </t>
        </is>
      </c>
      <c r="F2966" s="5" t="inlineStr">
        <is>
          <t>AUTOS DE METAL 3 TEAMSTERZ EN BLISTER</t>
        </is>
      </c>
      <c r="G2966" t="n">
        <v>1</v>
      </c>
      <c r="H2966" s="7" t="n">
        <v>6.9</v>
      </c>
      <c r="I2966" s="7" t="n">
        <v>0</v>
      </c>
      <c r="J2966" s="7" t="n">
        <v>0</v>
      </c>
      <c r="K2966" s="9" t="n">
        <v>0</v>
      </c>
      <c r="L2966" s="10" t="n">
        <v>4.1</v>
      </c>
      <c r="M2966" s="10" t="n">
        <v>1.43</v>
      </c>
      <c r="N2966" t="inlineStr">
        <is>
          <t>1</t>
        </is>
      </c>
      <c r="O2966" t="inlineStr">
        <is>
          <t>16</t>
        </is>
      </c>
      <c r="P2966" t="inlineStr">
        <is>
          <t xml:space="preserve">241916  </t>
        </is>
      </c>
      <c r="Q2966" s="26" t="n">
        <v>4.09</v>
      </c>
      <c r="R2966" s="26">
        <f>Q2966*G2966</f>
        <v/>
      </c>
      <c r="S2966" s="26">
        <f>IFERROR(VLOOKUP(E2966*1,Tabla[#All],8,0),0)</f>
        <v/>
      </c>
      <c r="T2966" s="26">
        <f>S2966*G2966</f>
        <v/>
      </c>
      <c r="U2966" s="26">
        <f>R2966-T2966</f>
        <v/>
      </c>
      <c r="V2966" s="26">
        <f>U2966-L2966</f>
        <v/>
      </c>
    </row>
    <row r="2967">
      <c r="A2967" s="11" t="n">
        <v>46232</v>
      </c>
      <c r="B2967" s="1" t="n">
        <v>20043</v>
      </c>
      <c r="C2967" s="1" t="inlineStr">
        <is>
          <t>014</t>
        </is>
      </c>
      <c r="D2967" s="1" t="inlineStr">
        <is>
          <t>138407</t>
        </is>
      </c>
      <c r="E2967" s="1" t="inlineStr">
        <is>
          <t xml:space="preserve">28194770       </t>
        </is>
      </c>
      <c r="F2967" s="5" t="inlineStr">
        <is>
          <t>AUTOS DE METAL 3 TEAMSTERZ EN BLISTER</t>
        </is>
      </c>
      <c r="G2967" t="n">
        <v>1</v>
      </c>
      <c r="H2967" s="7" t="n">
        <v>6.9</v>
      </c>
      <c r="I2967" s="7" t="n">
        <v>0</v>
      </c>
      <c r="J2967" s="7" t="n">
        <v>0</v>
      </c>
      <c r="K2967" s="9" t="n">
        <v>0</v>
      </c>
      <c r="L2967" s="10" t="n">
        <v>4.1</v>
      </c>
      <c r="M2967" s="10" t="n">
        <v>1.43</v>
      </c>
      <c r="N2967" t="inlineStr">
        <is>
          <t>1</t>
        </is>
      </c>
      <c r="O2967" t="inlineStr">
        <is>
          <t>16</t>
        </is>
      </c>
      <c r="P2967" t="inlineStr">
        <is>
          <t xml:space="preserve">16988   </t>
        </is>
      </c>
      <c r="Q2967" s="26" t="n">
        <v>4.09</v>
      </c>
      <c r="R2967" s="26">
        <f>Q2967*G2967</f>
        <v/>
      </c>
      <c r="S2967" s="26">
        <f>IFERROR(VLOOKUP(E2967*1,Tabla[#All],8,0),0)</f>
        <v/>
      </c>
      <c r="T2967" s="26">
        <f>S2967*G2967</f>
        <v/>
      </c>
      <c r="U2967" s="26">
        <f>R2967-T2967</f>
        <v/>
      </c>
      <c r="V2967" s="26">
        <f>U2967-L2967</f>
        <v/>
      </c>
    </row>
    <row r="2968">
      <c r="A2968" s="11" t="n">
        <v>46232</v>
      </c>
      <c r="B2968" s="1" t="n">
        <v>20043</v>
      </c>
      <c r="C2968" s="1" t="inlineStr">
        <is>
          <t>014</t>
        </is>
      </c>
      <c r="D2968" s="1" t="inlineStr">
        <is>
          <t>138407</t>
        </is>
      </c>
      <c r="E2968" s="1" t="inlineStr">
        <is>
          <t xml:space="preserve">30141766       </t>
        </is>
      </c>
      <c r="F2968" s="5" t="inlineStr">
        <is>
          <t>TMZ BEAST MACHINES AUTOS DE METAL BLISTER X 1</t>
        </is>
      </c>
      <c r="G2968" t="n">
        <v>1</v>
      </c>
      <c r="H2968" s="7" t="n">
        <v>7.9</v>
      </c>
      <c r="I2968" s="7" t="n">
        <v>0</v>
      </c>
      <c r="J2968" s="7" t="n">
        <v>0</v>
      </c>
      <c r="K2968" s="9" t="n">
        <v>0</v>
      </c>
      <c r="L2968" s="10" t="n">
        <v>4.68</v>
      </c>
      <c r="M2968" s="10" t="n">
        <v>1.43</v>
      </c>
      <c r="N2968" t="inlineStr">
        <is>
          <t>1</t>
        </is>
      </c>
      <c r="O2968" t="inlineStr">
        <is>
          <t>16</t>
        </is>
      </c>
      <c r="P2968" t="inlineStr">
        <is>
          <t xml:space="preserve">16988   </t>
        </is>
      </c>
      <c r="Q2968" s="26" t="n">
        <v>4.69</v>
      </c>
      <c r="R2968" s="26">
        <f>Q2968*G2968</f>
        <v/>
      </c>
      <c r="S2968" s="26">
        <f>IFERROR(VLOOKUP(E2968*1,Tabla[#All],8,0),0)</f>
        <v/>
      </c>
      <c r="T2968" s="26">
        <f>S2968*G2968</f>
        <v/>
      </c>
      <c r="U2968" s="26">
        <f>R2968-T2968</f>
        <v/>
      </c>
      <c r="V2968" s="26">
        <f>U2968-L2968</f>
        <v/>
      </c>
    </row>
    <row r="2969">
      <c r="A2969" s="11" t="n">
        <v>46232</v>
      </c>
      <c r="B2969" s="1" t="n">
        <v>20043</v>
      </c>
      <c r="C2969" s="1" t="inlineStr">
        <is>
          <t>015</t>
        </is>
      </c>
      <c r="D2969" s="1" t="inlineStr">
        <is>
          <t>278568</t>
        </is>
      </c>
      <c r="E2969" s="1" t="inlineStr">
        <is>
          <t xml:space="preserve">32457099       </t>
        </is>
      </c>
      <c r="F2969" s="5" t="inlineStr">
        <is>
          <t>TMZ BEAST MACHINES MONSTER JAWS A FRICCION BLISTER</t>
        </is>
      </c>
      <c r="G2969" t="n">
        <v>1</v>
      </c>
      <c r="H2969" s="7" t="n">
        <v>17.9</v>
      </c>
      <c r="I2969" s="7" t="n">
        <v>1.79</v>
      </c>
      <c r="J2969" s="7" t="n">
        <v>0</v>
      </c>
      <c r="K2969" s="9" t="n">
        <v>1.79</v>
      </c>
      <c r="L2969" s="10" t="n">
        <v>9.56</v>
      </c>
      <c r="M2969" s="10" t="n">
        <v>1.43</v>
      </c>
      <c r="N2969" t="inlineStr">
        <is>
          <t>1</t>
        </is>
      </c>
      <c r="O2969" t="inlineStr">
        <is>
          <t xml:space="preserve">3 </t>
        </is>
      </c>
      <c r="P2969" t="inlineStr">
        <is>
          <t xml:space="preserve">30705   </t>
        </is>
      </c>
      <c r="Q2969" s="26" t="n">
        <v>11.81</v>
      </c>
      <c r="R2969" s="26">
        <f>Q2969*G2969</f>
        <v/>
      </c>
      <c r="S2969" s="26">
        <f>IFERROR(VLOOKUP(E2969*1,Tabla[#All],8,0),0)</f>
        <v/>
      </c>
      <c r="T2969" s="26">
        <f>S2969*G2969</f>
        <v/>
      </c>
      <c r="U2969" s="26">
        <f>R2969-T2969</f>
        <v/>
      </c>
      <c r="V2969" s="26">
        <f>U2969-L2969</f>
        <v/>
      </c>
    </row>
    <row r="2970">
      <c r="A2970" s="11" t="n">
        <v>46232</v>
      </c>
      <c r="B2970" s="1" t="n">
        <v>20047</v>
      </c>
      <c r="C2970" s="1" t="inlineStr">
        <is>
          <t>012</t>
        </is>
      </c>
      <c r="D2970" s="1" t="inlineStr">
        <is>
          <t>334679</t>
        </is>
      </c>
      <c r="E2970" s="1" t="inlineStr">
        <is>
          <t xml:space="preserve">28194770       </t>
        </is>
      </c>
      <c r="F2970" s="5" t="inlineStr">
        <is>
          <t>AUTOS DE METAL 3 TEAMSTERZ EN BLISTER</t>
        </is>
      </c>
      <c r="G2970" t="n">
        <v>1</v>
      </c>
      <c r="H2970" s="7" t="n">
        <v>6.9</v>
      </c>
      <c r="I2970" s="7" t="n">
        <v>0</v>
      </c>
      <c r="J2970" s="7" t="n">
        <v>0</v>
      </c>
      <c r="K2970" s="9" t="n">
        <v>0</v>
      </c>
      <c r="L2970" s="10" t="n">
        <v>4.1</v>
      </c>
      <c r="M2970" s="10" t="n">
        <v>1.43</v>
      </c>
      <c r="N2970" t="inlineStr">
        <is>
          <t>1</t>
        </is>
      </c>
      <c r="O2970" t="inlineStr">
        <is>
          <t xml:space="preserve">2 </t>
        </is>
      </c>
      <c r="P2970" t="inlineStr">
        <is>
          <t xml:space="preserve">78210   </t>
        </is>
      </c>
      <c r="Q2970" s="26" t="n">
        <v>4.09</v>
      </c>
      <c r="R2970" s="26">
        <f>Q2970*G2970</f>
        <v/>
      </c>
      <c r="S2970" s="26">
        <f>IFERROR(VLOOKUP(E2970*1,Tabla[#All],8,0),0)</f>
        <v/>
      </c>
      <c r="T2970" s="26">
        <f>S2970*G2970</f>
        <v/>
      </c>
      <c r="U2970" s="26">
        <f>R2970-T2970</f>
        <v/>
      </c>
      <c r="V2970" s="26">
        <f>U2970-L2970</f>
        <v/>
      </c>
    </row>
    <row r="2971">
      <c r="A2971" s="11" t="n">
        <v>46232</v>
      </c>
      <c r="B2971" s="1" t="n">
        <v>20047</v>
      </c>
      <c r="C2971" s="1" t="inlineStr">
        <is>
          <t>191</t>
        </is>
      </c>
      <c r="D2971" s="1" t="inlineStr">
        <is>
          <t>464236</t>
        </is>
      </c>
      <c r="E2971" s="1" t="inlineStr">
        <is>
          <t xml:space="preserve">28194770       </t>
        </is>
      </c>
      <c r="F2971" s="5" t="inlineStr">
        <is>
          <t>AUTOS DE METAL 3 TEAMSTERZ EN BLISTER</t>
        </is>
      </c>
      <c r="G2971" t="n">
        <v>1</v>
      </c>
      <c r="H2971" s="7" t="n">
        <v>6.9</v>
      </c>
      <c r="I2971" s="7" t="n">
        <v>0</v>
      </c>
      <c r="J2971" s="7" t="n">
        <v>0</v>
      </c>
      <c r="K2971" s="9" t="n">
        <v>0</v>
      </c>
      <c r="L2971" s="10" t="n">
        <v>4.1</v>
      </c>
      <c r="M2971" s="10" t="n">
        <v>1.43</v>
      </c>
      <c r="N2971" t="inlineStr">
        <is>
          <t>1</t>
        </is>
      </c>
      <c r="O2971" t="inlineStr">
        <is>
          <t xml:space="preserve">2 </t>
        </is>
      </c>
      <c r="P2971" t="inlineStr">
        <is>
          <t xml:space="preserve">78210   </t>
        </is>
      </c>
      <c r="Q2971" s="26" t="n">
        <v>4.09</v>
      </c>
      <c r="R2971" s="26">
        <f>Q2971*G2971</f>
        <v/>
      </c>
      <c r="S2971" s="26">
        <f>IFERROR(VLOOKUP(E2971*1,Tabla[#All],8,0),0)</f>
        <v/>
      </c>
      <c r="T2971" s="26">
        <f>S2971*G2971</f>
        <v/>
      </c>
      <c r="U2971" s="26">
        <f>R2971-T2971</f>
        <v/>
      </c>
      <c r="V2971" s="26">
        <f>U2971-L2971</f>
        <v/>
      </c>
    </row>
    <row r="2972">
      <c r="A2972" s="11" t="n">
        <v>46232</v>
      </c>
      <c r="B2972" s="1" t="n">
        <v>20048</v>
      </c>
      <c r="C2972" s="1" t="inlineStr">
        <is>
          <t>017</t>
        </is>
      </c>
      <c r="D2972" s="1" t="inlineStr">
        <is>
          <t>168051</t>
        </is>
      </c>
      <c r="E2972" s="1" t="inlineStr">
        <is>
          <t xml:space="preserve">30141766       </t>
        </is>
      </c>
      <c r="F2972" s="5" t="inlineStr">
        <is>
          <t>TMZ BEAST MACHINES AUTOS DE METAL BLISTER X 1</t>
        </is>
      </c>
      <c r="G2972" t="n">
        <v>1</v>
      </c>
      <c r="H2972" s="7" t="n">
        <v>7.9</v>
      </c>
      <c r="I2972" s="7" t="n">
        <v>0</v>
      </c>
      <c r="J2972" s="7" t="n">
        <v>0</v>
      </c>
      <c r="K2972" s="9" t="n">
        <v>0</v>
      </c>
      <c r="L2972" s="10" t="n">
        <v>4.68</v>
      </c>
      <c r="M2972" s="10" t="n">
        <v>1.43</v>
      </c>
      <c r="N2972" t="inlineStr">
        <is>
          <t>1</t>
        </is>
      </c>
      <c r="O2972" t="inlineStr">
        <is>
          <t>16</t>
        </is>
      </c>
      <c r="P2972" t="inlineStr">
        <is>
          <t xml:space="preserve">250434  </t>
        </is>
      </c>
      <c r="Q2972" s="26" t="n">
        <v>4.69</v>
      </c>
      <c r="R2972" s="26">
        <f>Q2972*G2972</f>
        <v/>
      </c>
      <c r="S2972" s="26">
        <f>IFERROR(VLOOKUP(E2972*1,Tabla[#All],8,0),0)</f>
        <v/>
      </c>
      <c r="T2972" s="26">
        <f>S2972*G2972</f>
        <v/>
      </c>
      <c r="U2972" s="26">
        <f>R2972-T2972</f>
        <v/>
      </c>
      <c r="V2972" s="26">
        <f>U2972-L2972</f>
        <v/>
      </c>
    </row>
    <row r="2973">
      <c r="A2973" s="11" t="n">
        <v>46232</v>
      </c>
      <c r="B2973" s="1" t="n">
        <v>20048</v>
      </c>
      <c r="C2973" s="1" t="inlineStr">
        <is>
          <t>018</t>
        </is>
      </c>
      <c r="D2973" s="1" t="inlineStr">
        <is>
          <t xml:space="preserve">48792 </t>
        </is>
      </c>
      <c r="E2973" s="1" t="inlineStr">
        <is>
          <t xml:space="preserve">28194770       </t>
        </is>
      </c>
      <c r="F2973" s="5" t="inlineStr">
        <is>
          <t>AUTOS DE METAL 3 TEAMSTERZ EN BLISTER</t>
        </is>
      </c>
      <c r="G2973" t="n">
        <v>1</v>
      </c>
      <c r="H2973" s="7" t="n">
        <v>6.9</v>
      </c>
      <c r="I2973" s="7" t="n">
        <v>0</v>
      </c>
      <c r="J2973" s="7" t="n">
        <v>0</v>
      </c>
      <c r="K2973" s="9" t="n">
        <v>0</v>
      </c>
      <c r="L2973" s="10" t="n">
        <v>4.1</v>
      </c>
      <c r="M2973" s="10" t="n">
        <v>1.43</v>
      </c>
      <c r="N2973" t="inlineStr">
        <is>
          <t>1</t>
        </is>
      </c>
      <c r="O2973" t="inlineStr">
        <is>
          <t>16</t>
        </is>
      </c>
      <c r="P2973" t="inlineStr">
        <is>
          <t xml:space="preserve">252197  </t>
        </is>
      </c>
      <c r="Q2973" s="26" t="n">
        <v>4.09</v>
      </c>
      <c r="R2973" s="26">
        <f>Q2973*G2973</f>
        <v/>
      </c>
      <c r="S2973" s="26">
        <f>IFERROR(VLOOKUP(E2973*1,Tabla[#All],8,0),0)</f>
        <v/>
      </c>
      <c r="T2973" s="26">
        <f>S2973*G2973</f>
        <v/>
      </c>
      <c r="U2973" s="26">
        <f>R2973-T2973</f>
        <v/>
      </c>
      <c r="V2973" s="26">
        <f>U2973-L2973</f>
        <v/>
      </c>
    </row>
    <row r="2974">
      <c r="A2974" s="11" t="n">
        <v>46232</v>
      </c>
      <c r="B2974" s="1" t="n">
        <v>20048</v>
      </c>
      <c r="C2974" s="1" t="inlineStr">
        <is>
          <t>018</t>
        </is>
      </c>
      <c r="D2974" s="1" t="inlineStr">
        <is>
          <t xml:space="preserve">48839 </t>
        </is>
      </c>
      <c r="E2974" s="1" t="inlineStr">
        <is>
          <t xml:space="preserve">28194768       </t>
        </is>
      </c>
      <c r="F2974" s="5" t="inlineStr">
        <is>
          <t>AUTO COLOR CHANGE TEAMSTERZ SURTIDO</t>
        </is>
      </c>
      <c r="G2974" t="n">
        <v>1</v>
      </c>
      <c r="H2974" s="7" t="n">
        <v>14.9</v>
      </c>
      <c r="I2974" s="7" t="n">
        <v>0</v>
      </c>
      <c r="J2974" s="7" t="n">
        <v>0</v>
      </c>
      <c r="K2974" s="9" t="n">
        <v>0</v>
      </c>
      <c r="L2974" s="10" t="n">
        <v>8.84</v>
      </c>
      <c r="M2974" s="10" t="n">
        <v>1.43</v>
      </c>
      <c r="N2974" t="inlineStr">
        <is>
          <t>1</t>
        </is>
      </c>
      <c r="O2974" t="inlineStr">
        <is>
          <t>16</t>
        </is>
      </c>
      <c r="P2974" t="inlineStr">
        <is>
          <t xml:space="preserve">252197  </t>
        </is>
      </c>
      <c r="Q2974" s="26" t="n">
        <v>8.84</v>
      </c>
      <c r="R2974" s="26">
        <f>Q2974*G2974</f>
        <v/>
      </c>
      <c r="S2974" s="26">
        <f>IFERROR(VLOOKUP(E2974*1,Tabla[#All],8,0),0)</f>
        <v/>
      </c>
      <c r="T2974" s="26">
        <f>S2974*G2974</f>
        <v/>
      </c>
      <c r="U2974" s="26">
        <f>R2974-T2974</f>
        <v/>
      </c>
      <c r="V2974" s="26">
        <f>U2974-L2974</f>
        <v/>
      </c>
    </row>
    <row r="2975">
      <c r="A2975" s="11" t="n">
        <v>46232</v>
      </c>
      <c r="B2975" s="1" t="n">
        <v>20048</v>
      </c>
      <c r="C2975" s="1" t="inlineStr">
        <is>
          <t>018</t>
        </is>
      </c>
      <c r="D2975" s="1" t="inlineStr">
        <is>
          <t xml:space="preserve">48867 </t>
        </is>
      </c>
      <c r="E2975" s="1" t="inlineStr">
        <is>
          <t xml:space="preserve">28194770       </t>
        </is>
      </c>
      <c r="F2975" s="5" t="inlineStr">
        <is>
          <t>AUTOS DE METAL 3 TEAMSTERZ EN BLISTER</t>
        </is>
      </c>
      <c r="G2975" t="n">
        <v>1</v>
      </c>
      <c r="H2975" s="7" t="n">
        <v>6.9</v>
      </c>
      <c r="I2975" s="7" t="n">
        <v>0.6899999999999999</v>
      </c>
      <c r="J2975" s="7" t="n">
        <v>0</v>
      </c>
      <c r="K2975" s="9" t="n">
        <v>0.6899999999999999</v>
      </c>
      <c r="L2975" s="10" t="n">
        <v>3.68</v>
      </c>
      <c r="M2975" s="10" t="n">
        <v>1.43</v>
      </c>
      <c r="N2975" t="inlineStr">
        <is>
          <t>1</t>
        </is>
      </c>
      <c r="O2975" t="inlineStr">
        <is>
          <t xml:space="preserve">3 </t>
        </is>
      </c>
      <c r="P2975" t="inlineStr">
        <is>
          <t xml:space="preserve">248226  </t>
        </is>
      </c>
      <c r="Q2975" s="26" t="n">
        <v>4.09</v>
      </c>
      <c r="R2975" s="26">
        <f>Q2975*G2975</f>
        <v/>
      </c>
      <c r="S2975" s="26">
        <f>IFERROR(VLOOKUP(E2975*1,Tabla[#All],8,0),0)</f>
        <v/>
      </c>
      <c r="T2975" s="26">
        <f>S2975*G2975</f>
        <v/>
      </c>
      <c r="U2975" s="26">
        <f>R2975-T2975</f>
        <v/>
      </c>
      <c r="V2975" s="26">
        <f>U2975-L2975</f>
        <v/>
      </c>
    </row>
    <row r="2976">
      <c r="A2976" s="11" t="n">
        <v>46232</v>
      </c>
      <c r="B2976" s="1" t="n">
        <v>20048</v>
      </c>
      <c r="C2976" s="1" t="inlineStr">
        <is>
          <t>027</t>
        </is>
      </c>
      <c r="D2976" s="1" t="inlineStr">
        <is>
          <t>324586</t>
        </is>
      </c>
      <c r="E2976" s="1" t="inlineStr">
        <is>
          <t xml:space="preserve">28194770       </t>
        </is>
      </c>
      <c r="F2976" s="5" t="inlineStr">
        <is>
          <t>AUTOS DE METAL 3 TEAMSTERZ EN BLISTER</t>
        </is>
      </c>
      <c r="G2976" t="n">
        <v>1</v>
      </c>
      <c r="H2976" s="7" t="n">
        <v>6.9</v>
      </c>
      <c r="I2976" s="7" t="n">
        <v>0</v>
      </c>
      <c r="J2976" s="7" t="n">
        <v>0</v>
      </c>
      <c r="K2976" s="9" t="n">
        <v>0</v>
      </c>
      <c r="L2976" s="10" t="n">
        <v>4.1</v>
      </c>
      <c r="M2976" s="10" t="n">
        <v>1.43</v>
      </c>
      <c r="N2976" t="inlineStr">
        <is>
          <t>1</t>
        </is>
      </c>
      <c r="O2976" t="inlineStr">
        <is>
          <t xml:space="preserve">2 </t>
        </is>
      </c>
      <c r="P2976" t="inlineStr">
        <is>
          <t xml:space="preserve">247622  </t>
        </is>
      </c>
      <c r="Q2976" s="26" t="n">
        <v>4.09</v>
      </c>
      <c r="R2976" s="26">
        <f>Q2976*G2976</f>
        <v/>
      </c>
      <c r="S2976" s="26">
        <f>IFERROR(VLOOKUP(E2976*1,Tabla[#All],8,0),0)</f>
        <v/>
      </c>
      <c r="T2976" s="26">
        <f>S2976*G2976</f>
        <v/>
      </c>
      <c r="U2976" s="26">
        <f>R2976-T2976</f>
        <v/>
      </c>
      <c r="V2976" s="26">
        <f>U2976-L2976</f>
        <v/>
      </c>
    </row>
    <row r="2977">
      <c r="A2977" s="11" t="n">
        <v>46232</v>
      </c>
      <c r="B2977" s="1" t="n">
        <v>20048</v>
      </c>
      <c r="C2977" s="1" t="inlineStr">
        <is>
          <t>027</t>
        </is>
      </c>
      <c r="D2977" s="1" t="inlineStr">
        <is>
          <t>324586</t>
        </is>
      </c>
      <c r="E2977" s="1" t="inlineStr">
        <is>
          <t xml:space="preserve">28194770       </t>
        </is>
      </c>
      <c r="F2977" s="5" t="inlineStr">
        <is>
          <t>AUTOS DE METAL 3 TEAMSTERZ EN BLISTER</t>
        </is>
      </c>
      <c r="G2977" t="n">
        <v>1</v>
      </c>
      <c r="H2977" s="7" t="n">
        <v>6.9</v>
      </c>
      <c r="I2977" s="7" t="n">
        <v>0</v>
      </c>
      <c r="J2977" s="7" t="n">
        <v>0</v>
      </c>
      <c r="K2977" s="9" t="n">
        <v>0</v>
      </c>
      <c r="L2977" s="10" t="n">
        <v>4.1</v>
      </c>
      <c r="M2977" s="10" t="n">
        <v>1.43</v>
      </c>
      <c r="N2977" t="inlineStr">
        <is>
          <t>1</t>
        </is>
      </c>
      <c r="O2977" t="inlineStr">
        <is>
          <t xml:space="preserve">2 </t>
        </is>
      </c>
      <c r="P2977" t="inlineStr">
        <is>
          <t xml:space="preserve">247622  </t>
        </is>
      </c>
      <c r="Q2977" s="26" t="n">
        <v>4.09</v>
      </c>
      <c r="R2977" s="26">
        <f>Q2977*G2977</f>
        <v/>
      </c>
      <c r="S2977" s="26">
        <f>IFERROR(VLOOKUP(E2977*1,Tabla[#All],8,0),0)</f>
        <v/>
      </c>
      <c r="T2977" s="26">
        <f>S2977*G2977</f>
        <v/>
      </c>
      <c r="U2977" s="26">
        <f>R2977-T2977</f>
        <v/>
      </c>
      <c r="V2977" s="26">
        <f>U2977-L2977</f>
        <v/>
      </c>
    </row>
    <row r="2978">
      <c r="A2978" s="11" t="n">
        <v>46232</v>
      </c>
      <c r="B2978" s="1" t="n">
        <v>20048</v>
      </c>
      <c r="C2978" s="1" t="inlineStr">
        <is>
          <t>027</t>
        </is>
      </c>
      <c r="D2978" s="1" t="inlineStr">
        <is>
          <t>324586</t>
        </is>
      </c>
      <c r="E2978" s="1" t="inlineStr">
        <is>
          <t xml:space="preserve">28194770       </t>
        </is>
      </c>
      <c r="F2978" s="5" t="inlineStr">
        <is>
          <t>AUTOS DE METAL 3 TEAMSTERZ EN BLISTER</t>
        </is>
      </c>
      <c r="G2978" t="n">
        <v>1</v>
      </c>
      <c r="H2978" s="7" t="n">
        <v>6.9</v>
      </c>
      <c r="I2978" s="7" t="n">
        <v>0</v>
      </c>
      <c r="J2978" s="7" t="n">
        <v>0</v>
      </c>
      <c r="K2978" s="9" t="n">
        <v>0</v>
      </c>
      <c r="L2978" s="10" t="n">
        <v>4.1</v>
      </c>
      <c r="M2978" s="10" t="n">
        <v>1.43</v>
      </c>
      <c r="N2978" t="inlineStr">
        <is>
          <t>1</t>
        </is>
      </c>
      <c r="O2978" t="inlineStr">
        <is>
          <t xml:space="preserve">2 </t>
        </is>
      </c>
      <c r="P2978" t="inlineStr">
        <is>
          <t xml:space="preserve">247622  </t>
        </is>
      </c>
      <c r="Q2978" s="26" t="n">
        <v>4.09</v>
      </c>
      <c r="R2978" s="26">
        <f>Q2978*G2978</f>
        <v/>
      </c>
      <c r="S2978" s="26">
        <f>IFERROR(VLOOKUP(E2978*1,Tabla[#All],8,0),0)</f>
        <v/>
      </c>
      <c r="T2978" s="26">
        <f>S2978*G2978</f>
        <v/>
      </c>
      <c r="U2978" s="26">
        <f>R2978-T2978</f>
        <v/>
      </c>
      <c r="V2978" s="26">
        <f>U2978-L2978</f>
        <v/>
      </c>
    </row>
    <row r="2979">
      <c r="A2979" s="11" t="n">
        <v>46232</v>
      </c>
      <c r="B2979" s="1" t="n">
        <v>20048</v>
      </c>
      <c r="C2979" s="1" t="inlineStr">
        <is>
          <t>800</t>
        </is>
      </c>
      <c r="D2979" s="1" t="inlineStr">
        <is>
          <t xml:space="preserve">5151  </t>
        </is>
      </c>
      <c r="E2979" s="1" t="inlineStr">
        <is>
          <t xml:space="preserve">31754675       </t>
        </is>
      </c>
      <c r="F2979" s="5" t="inlineStr">
        <is>
          <t>INFINITY NADO SERIE 6 STARTER PACK - 4 MODELOS</t>
        </is>
      </c>
      <c r="G2979" t="n">
        <v>1</v>
      </c>
      <c r="H2979" s="7" t="n">
        <v>49.9</v>
      </c>
      <c r="I2979" s="7" t="n">
        <v>0</v>
      </c>
      <c r="J2979" s="7" t="n">
        <v>0</v>
      </c>
      <c r="K2979" s="9" t="n">
        <v>0</v>
      </c>
      <c r="L2979" s="10" t="n">
        <v>29.6</v>
      </c>
      <c r="M2979" s="10" t="n">
        <v>1.43</v>
      </c>
      <c r="N2979" t="inlineStr">
        <is>
          <t>1</t>
        </is>
      </c>
      <c r="O2979" t="inlineStr">
        <is>
          <t>16</t>
        </is>
      </c>
      <c r="P2979" t="inlineStr">
        <is>
          <t xml:space="preserve">234984  </t>
        </is>
      </c>
      <c r="Q2979" s="26" t="n">
        <v>41.47</v>
      </c>
      <c r="R2979" s="26">
        <f>Q2979*G2979</f>
        <v/>
      </c>
      <c r="S2979" s="26">
        <f>IFERROR(VLOOKUP(E2979*1,Tabla[#All],8,0),0)</f>
        <v/>
      </c>
      <c r="T2979" s="26">
        <f>S2979*G2979</f>
        <v/>
      </c>
      <c r="U2979" s="26">
        <f>R2979-T2979</f>
        <v/>
      </c>
      <c r="V2979" s="26">
        <f>U2979-L2979</f>
        <v/>
      </c>
    </row>
    <row r="2980">
      <c r="A2980" s="11" t="n">
        <v>46232</v>
      </c>
      <c r="B2980" s="1" t="n">
        <v>20048</v>
      </c>
      <c r="C2980" s="1" t="inlineStr">
        <is>
          <t>801</t>
        </is>
      </c>
      <c r="D2980" s="1" t="inlineStr">
        <is>
          <t xml:space="preserve">7198  </t>
        </is>
      </c>
      <c r="E2980" s="1" t="inlineStr">
        <is>
          <t xml:space="preserve">28194781       </t>
        </is>
      </c>
      <c r="F2980" s="5" t="inlineStr">
        <is>
          <t>TROMPO BATALLA INFINITY NADO SERIE V CLASICA SURTI</t>
        </is>
      </c>
      <c r="G2980" t="n">
        <v>1</v>
      </c>
      <c r="H2980" s="7" t="n">
        <v>39.9</v>
      </c>
      <c r="I2980" s="7" t="n">
        <v>0</v>
      </c>
      <c r="J2980" s="7" t="n">
        <v>0</v>
      </c>
      <c r="K2980" s="9" t="n">
        <v>0</v>
      </c>
      <c r="L2980" s="10" t="n">
        <v>23.67</v>
      </c>
      <c r="M2980" s="10" t="n">
        <v>1.43</v>
      </c>
      <c r="N2980" t="inlineStr">
        <is>
          <t>1</t>
        </is>
      </c>
      <c r="O2980" t="inlineStr">
        <is>
          <t>16</t>
        </is>
      </c>
      <c r="P2980" t="inlineStr">
        <is>
          <t xml:space="preserve">248226  </t>
        </is>
      </c>
      <c r="Q2980" s="26" t="n">
        <v>35.53</v>
      </c>
      <c r="R2980" s="26">
        <f>Q2980*G2980</f>
        <v/>
      </c>
      <c r="S2980" s="26">
        <f>IFERROR(VLOOKUP(E2980*1,Tabla[#All],8,0),0)</f>
        <v/>
      </c>
      <c r="T2980" s="26">
        <f>S2980*G2980</f>
        <v/>
      </c>
      <c r="U2980" s="26">
        <f>R2980-T2980</f>
        <v/>
      </c>
      <c r="V2980" s="26">
        <f>U2980-L2980</f>
        <v/>
      </c>
    </row>
    <row r="2981">
      <c r="A2981" s="11" t="n">
        <v>46232</v>
      </c>
      <c r="B2981" s="1" t="n">
        <v>20049</v>
      </c>
      <c r="C2981" s="1" t="inlineStr">
        <is>
          <t>017</t>
        </is>
      </c>
      <c r="D2981" s="1" t="inlineStr">
        <is>
          <t>240587</t>
        </is>
      </c>
      <c r="E2981" s="1" t="inlineStr">
        <is>
          <t xml:space="preserve">28194770       </t>
        </is>
      </c>
      <c r="F2981" s="5" t="inlineStr">
        <is>
          <t>AUTOS DE METAL 3 TEAMSTERZ EN BLISTER</t>
        </is>
      </c>
      <c r="G2981" t="n">
        <v>1</v>
      </c>
      <c r="H2981" s="7" t="n">
        <v>6.9</v>
      </c>
      <c r="I2981" s="7" t="n">
        <v>0.6899999999999999</v>
      </c>
      <c r="J2981" s="7" t="n">
        <v>0</v>
      </c>
      <c r="K2981" s="9" t="n">
        <v>0.6899999999999999</v>
      </c>
      <c r="L2981" s="10" t="n">
        <v>3.68</v>
      </c>
      <c r="M2981" s="10" t="n">
        <v>1.43</v>
      </c>
      <c r="N2981" t="inlineStr">
        <is>
          <t>1</t>
        </is>
      </c>
      <c r="O2981" t="inlineStr">
        <is>
          <t xml:space="preserve">3 </t>
        </is>
      </c>
      <c r="P2981" t="inlineStr">
        <is>
          <t xml:space="preserve">251234  </t>
        </is>
      </c>
      <c r="Q2981" s="26" t="n">
        <v>4.09</v>
      </c>
      <c r="R2981" s="26">
        <f>Q2981*G2981</f>
        <v/>
      </c>
      <c r="S2981" s="26">
        <f>IFERROR(VLOOKUP(E2981*1,Tabla[#All],8,0),0)</f>
        <v/>
      </c>
      <c r="T2981" s="26">
        <f>S2981*G2981</f>
        <v/>
      </c>
      <c r="U2981" s="26">
        <f>R2981-T2981</f>
        <v/>
      </c>
      <c r="V2981" s="26">
        <f>U2981-L2981</f>
        <v/>
      </c>
    </row>
    <row r="2982">
      <c r="A2982" s="11" t="n">
        <v>46232</v>
      </c>
      <c r="B2982" s="1" t="n">
        <v>20049</v>
      </c>
      <c r="C2982" s="1" t="inlineStr">
        <is>
          <t>802</t>
        </is>
      </c>
      <c r="D2982" s="1" t="inlineStr">
        <is>
          <t xml:space="preserve">2356  </t>
        </is>
      </c>
      <c r="E2982" s="1" t="inlineStr">
        <is>
          <t xml:space="preserve">32457101       </t>
        </is>
      </c>
      <c r="F2982" s="5" t="inlineStr">
        <is>
          <t>TMZ BEAST MACHINES TRANSPORTE PESADO + 2 AUTOS SUR</t>
        </is>
      </c>
      <c r="G2982" t="n">
        <v>1</v>
      </c>
      <c r="H2982" s="7" t="n">
        <v>17.9</v>
      </c>
      <c r="I2982" s="7" t="n">
        <v>0</v>
      </c>
      <c r="J2982" s="7" t="n">
        <v>0</v>
      </c>
      <c r="K2982" s="9" t="n">
        <v>0</v>
      </c>
      <c r="L2982" s="10" t="n">
        <v>10.62</v>
      </c>
      <c r="M2982" s="10" t="n">
        <v>1.43</v>
      </c>
      <c r="N2982" t="inlineStr">
        <is>
          <t>1</t>
        </is>
      </c>
      <c r="O2982" t="inlineStr">
        <is>
          <t>16</t>
        </is>
      </c>
      <c r="P2982" t="inlineStr">
        <is>
          <t xml:space="preserve">0       </t>
        </is>
      </c>
      <c r="Q2982" s="26" t="n">
        <v>22.48</v>
      </c>
      <c r="R2982" s="26">
        <f>Q2982*G2982</f>
        <v/>
      </c>
      <c r="S2982" s="26">
        <f>IFERROR(VLOOKUP(E2982*1,Tabla[#All],8,0),0)</f>
        <v/>
      </c>
      <c r="T2982" s="26">
        <f>S2982*G2982</f>
        <v/>
      </c>
      <c r="U2982" s="26">
        <f>R2982-T2982</f>
        <v/>
      </c>
      <c r="V2982" s="26">
        <f>U2982-L2982</f>
        <v/>
      </c>
    </row>
    <row r="2983">
      <c r="A2983" s="11" t="n">
        <v>46232</v>
      </c>
      <c r="B2983" s="1" t="n">
        <v>20056</v>
      </c>
      <c r="C2983" s="1" t="inlineStr">
        <is>
          <t>022</t>
        </is>
      </c>
      <c r="D2983" s="1" t="inlineStr">
        <is>
          <t xml:space="preserve">55571 </t>
        </is>
      </c>
      <c r="E2983" s="1" t="inlineStr">
        <is>
          <t xml:space="preserve">31959959       </t>
        </is>
      </c>
      <c r="F2983" s="5" t="inlineStr">
        <is>
          <t>TMZ CAMBIA DE COLOR LANZADOR SPIN SPLASH + 1 AUTO</t>
        </is>
      </c>
      <c r="G2983" t="n">
        <v>1</v>
      </c>
      <c r="H2983" s="7" t="n">
        <v>14.9</v>
      </c>
      <c r="I2983" s="7" t="n">
        <v>0</v>
      </c>
      <c r="J2983" s="7" t="n">
        <v>0</v>
      </c>
      <c r="K2983" s="9" t="n">
        <v>0</v>
      </c>
      <c r="L2983" s="10" t="n">
        <v>8.84</v>
      </c>
      <c r="M2983" s="10" t="n">
        <v>1.43</v>
      </c>
      <c r="N2983" t="inlineStr">
        <is>
          <t>1</t>
        </is>
      </c>
      <c r="O2983" t="inlineStr">
        <is>
          <t xml:space="preserve">2 </t>
        </is>
      </c>
      <c r="P2983" t="inlineStr">
        <is>
          <t xml:space="preserve">246478  </t>
        </is>
      </c>
      <c r="Q2983" s="26" t="n">
        <v>23.67</v>
      </c>
      <c r="R2983" s="26">
        <f>Q2983*G2983</f>
        <v/>
      </c>
      <c r="S2983" s="26">
        <f>IFERROR(VLOOKUP(E2983*1,Tabla[#All],8,0),0)</f>
        <v/>
      </c>
      <c r="T2983" s="26">
        <f>S2983*G2983</f>
        <v/>
      </c>
      <c r="U2983" s="26">
        <f>R2983-T2983</f>
        <v/>
      </c>
      <c r="V2983" s="26">
        <f>U2983-L2983</f>
        <v/>
      </c>
    </row>
    <row r="2984">
      <c r="A2984" s="11" t="n">
        <v>46232</v>
      </c>
      <c r="B2984" s="1" t="n">
        <v>20056</v>
      </c>
      <c r="C2984" s="1" t="inlineStr">
        <is>
          <t>022</t>
        </is>
      </c>
      <c r="D2984" s="1" t="inlineStr">
        <is>
          <t xml:space="preserve">55571 </t>
        </is>
      </c>
      <c r="E2984" s="1" t="inlineStr">
        <is>
          <t xml:space="preserve">32457100       </t>
        </is>
      </c>
      <c r="F2984" s="5" t="inlineStr">
        <is>
          <t>TMZ BEAST MACHINES LANZADOR ESCORPION + 2 AUTOS</t>
        </is>
      </c>
      <c r="G2984" t="n">
        <v>1</v>
      </c>
      <c r="H2984" s="7" t="n">
        <v>12.9</v>
      </c>
      <c r="I2984" s="7" t="n">
        <v>0</v>
      </c>
      <c r="J2984" s="7" t="n">
        <v>0</v>
      </c>
      <c r="K2984" s="9" t="n">
        <v>0</v>
      </c>
      <c r="L2984" s="10" t="n">
        <v>7.65</v>
      </c>
      <c r="M2984" s="10" t="n">
        <v>1.43</v>
      </c>
      <c r="N2984" t="inlineStr">
        <is>
          <t>1</t>
        </is>
      </c>
      <c r="O2984" t="inlineStr">
        <is>
          <t xml:space="preserve">2 </t>
        </is>
      </c>
      <c r="P2984" t="inlineStr">
        <is>
          <t xml:space="preserve">246478  </t>
        </is>
      </c>
      <c r="Q2984" s="26" t="n">
        <v>20.7</v>
      </c>
      <c r="R2984" s="26">
        <f>Q2984*G2984</f>
        <v/>
      </c>
      <c r="S2984" s="26">
        <f>IFERROR(VLOOKUP(E2984*1,Tabla[#All],8,0),0)</f>
        <v/>
      </c>
      <c r="T2984" s="26">
        <f>S2984*G2984</f>
        <v/>
      </c>
      <c r="U2984" s="26">
        <f>R2984-T2984</f>
        <v/>
      </c>
      <c r="V2984" s="26">
        <f>U2984-L2984</f>
        <v/>
      </c>
    </row>
    <row r="2985">
      <c r="A2985" s="11" t="n">
        <v>46232</v>
      </c>
      <c r="B2985" s="1" t="n">
        <v>20056</v>
      </c>
      <c r="C2985" s="1" t="inlineStr">
        <is>
          <t>022</t>
        </is>
      </c>
      <c r="D2985" s="1" t="inlineStr">
        <is>
          <t xml:space="preserve">55603 </t>
        </is>
      </c>
      <c r="E2985" s="1" t="inlineStr">
        <is>
          <t xml:space="preserve">28194769       </t>
        </is>
      </c>
      <c r="F2985" s="5" t="inlineStr">
        <is>
          <t>AUTOS DE METAL 3 TEAMSTERZ PACK DE 2</t>
        </is>
      </c>
      <c r="G2985" t="n">
        <v>1</v>
      </c>
      <c r="H2985" s="7" t="n">
        <v>13.8</v>
      </c>
      <c r="I2985" s="7" t="n">
        <v>0</v>
      </c>
      <c r="J2985" s="7" t="n">
        <v>0</v>
      </c>
      <c r="K2985" s="9" t="n">
        <v>0</v>
      </c>
      <c r="L2985" s="10" t="n">
        <v>8.18</v>
      </c>
      <c r="M2985" s="10" t="n">
        <v>1.43</v>
      </c>
      <c r="N2985" t="inlineStr">
        <is>
          <t>1</t>
        </is>
      </c>
      <c r="O2985" t="inlineStr">
        <is>
          <t xml:space="preserve">2 </t>
        </is>
      </c>
      <c r="P2985" t="inlineStr">
        <is>
          <t xml:space="preserve">248464  </t>
        </is>
      </c>
      <c r="Q2985" s="26" t="n">
        <v>8.19</v>
      </c>
      <c r="R2985" s="26">
        <f>Q2985*G2985</f>
        <v/>
      </c>
      <c r="S2985" s="26">
        <f>IFERROR(VLOOKUP(E2985*1,Tabla[#All],8,0),0)</f>
        <v/>
      </c>
      <c r="T2985" s="26">
        <f>S2985*G2985</f>
        <v/>
      </c>
      <c r="U2985" s="26">
        <f>R2985-T2985</f>
        <v/>
      </c>
      <c r="V2985" s="26">
        <f>U2985-L2985</f>
        <v/>
      </c>
    </row>
    <row r="2986">
      <c r="A2986" s="11" t="n">
        <v>46232</v>
      </c>
      <c r="B2986" s="1" t="n">
        <v>20056</v>
      </c>
      <c r="C2986" s="1" t="inlineStr">
        <is>
          <t>022</t>
        </is>
      </c>
      <c r="D2986" s="1" t="inlineStr">
        <is>
          <t xml:space="preserve">55603 </t>
        </is>
      </c>
      <c r="E2986" s="1" t="inlineStr">
        <is>
          <t xml:space="preserve">30141766       </t>
        </is>
      </c>
      <c r="F2986" s="5" t="inlineStr">
        <is>
          <t>TMZ BEAST MACHINES AUTOS DE METAL BLISTER X 1</t>
        </is>
      </c>
      <c r="G2986" t="n">
        <v>1</v>
      </c>
      <c r="H2986" s="7" t="n">
        <v>7.9</v>
      </c>
      <c r="I2986" s="7" t="n">
        <v>0</v>
      </c>
      <c r="J2986" s="7" t="n">
        <v>0</v>
      </c>
      <c r="K2986" s="9" t="n">
        <v>0</v>
      </c>
      <c r="L2986" s="10" t="n">
        <v>4.68</v>
      </c>
      <c r="M2986" s="10" t="n">
        <v>1.43</v>
      </c>
      <c r="N2986" t="inlineStr">
        <is>
          <t>1</t>
        </is>
      </c>
      <c r="O2986" t="inlineStr">
        <is>
          <t xml:space="preserve">2 </t>
        </is>
      </c>
      <c r="P2986" t="inlineStr">
        <is>
          <t xml:space="preserve">248464  </t>
        </is>
      </c>
      <c r="Q2986" s="26" t="n">
        <v>4.69</v>
      </c>
      <c r="R2986" s="26">
        <f>Q2986*G2986</f>
        <v/>
      </c>
      <c r="S2986" s="26">
        <f>IFERROR(VLOOKUP(E2986*1,Tabla[#All],8,0),0)</f>
        <v/>
      </c>
      <c r="T2986" s="26">
        <f>S2986*G2986</f>
        <v/>
      </c>
      <c r="U2986" s="26">
        <f>R2986-T2986</f>
        <v/>
      </c>
      <c r="V2986" s="26">
        <f>U2986-L2986</f>
        <v/>
      </c>
    </row>
    <row r="2987">
      <c r="A2987" s="11" t="n">
        <v>46232</v>
      </c>
      <c r="B2987" s="1" t="n">
        <v>20057</v>
      </c>
      <c r="C2987" s="1" t="inlineStr">
        <is>
          <t>033</t>
        </is>
      </c>
      <c r="D2987" s="1" t="inlineStr">
        <is>
          <t xml:space="preserve">68573 </t>
        </is>
      </c>
      <c r="E2987" s="1" t="inlineStr">
        <is>
          <t xml:space="preserve">31754676       </t>
        </is>
      </c>
      <c r="F2987" s="5" t="inlineStr">
        <is>
          <t>INFINITY NADO SERIE 6 STD PACK LANZ ESPAD ANILLO M</t>
        </is>
      </c>
      <c r="G2987" t="n">
        <v>1</v>
      </c>
      <c r="H2987" s="7" t="n">
        <v>59.9</v>
      </c>
      <c r="I2987" s="7" t="n">
        <v>0</v>
      </c>
      <c r="J2987" s="7" t="n">
        <v>0</v>
      </c>
      <c r="K2987" s="9" t="n">
        <v>0</v>
      </c>
      <c r="L2987" s="10" t="n">
        <v>35.53</v>
      </c>
      <c r="M2987" s="10" t="n">
        <v>1.43</v>
      </c>
      <c r="N2987" t="inlineStr">
        <is>
          <t>1</t>
        </is>
      </c>
      <c r="O2987" t="inlineStr">
        <is>
          <t>16</t>
        </is>
      </c>
      <c r="P2987" t="inlineStr">
        <is>
          <t xml:space="preserve">248572  </t>
        </is>
      </c>
      <c r="Q2987" s="26" t="n">
        <v>47.4</v>
      </c>
      <c r="R2987" s="26">
        <f>Q2987*G2987</f>
        <v/>
      </c>
      <c r="S2987" s="26">
        <f>IFERROR(VLOOKUP(E2987*1,Tabla[#All],8,0),0)</f>
        <v/>
      </c>
      <c r="T2987" s="26">
        <f>S2987*G2987</f>
        <v/>
      </c>
      <c r="U2987" s="26">
        <f>R2987-T2987</f>
        <v/>
      </c>
      <c r="V2987" s="26">
        <f>U2987-L2987</f>
        <v/>
      </c>
    </row>
    <row r="2988">
      <c r="A2988" s="11" t="n">
        <v>46232</v>
      </c>
      <c r="B2988" s="1" t="n">
        <v>20057</v>
      </c>
      <c r="C2988" s="1" t="inlineStr">
        <is>
          <t>033</t>
        </is>
      </c>
      <c r="D2988" s="1" t="inlineStr">
        <is>
          <t xml:space="preserve">68608 </t>
        </is>
      </c>
      <c r="E2988" s="1" t="inlineStr">
        <is>
          <t xml:space="preserve">32457099       </t>
        </is>
      </c>
      <c r="F2988" s="5" t="inlineStr">
        <is>
          <t>TMZ BEAST MACHINES MONSTER JAWS A FRICCION BLISTER</t>
        </is>
      </c>
      <c r="G2988" t="n">
        <v>1</v>
      </c>
      <c r="H2988" s="7" t="n">
        <v>17.9</v>
      </c>
      <c r="I2988" s="7" t="n">
        <v>0</v>
      </c>
      <c r="J2988" s="7" t="n">
        <v>0</v>
      </c>
      <c r="K2988" s="9" t="n">
        <v>0</v>
      </c>
      <c r="L2988" s="10" t="n">
        <v>10.62</v>
      </c>
      <c r="M2988" s="10" t="n">
        <v>1.43</v>
      </c>
      <c r="N2988" t="inlineStr">
        <is>
          <t>1</t>
        </is>
      </c>
      <c r="O2988" t="inlineStr">
        <is>
          <t>16</t>
        </is>
      </c>
      <c r="P2988" t="inlineStr">
        <is>
          <t xml:space="preserve">248572  </t>
        </is>
      </c>
      <c r="Q2988" s="26" t="n">
        <v>11.81</v>
      </c>
      <c r="R2988" s="26">
        <f>Q2988*G2988</f>
        <v/>
      </c>
      <c r="S2988" s="26">
        <f>IFERROR(VLOOKUP(E2988*1,Tabla[#All],8,0),0)</f>
        <v/>
      </c>
      <c r="T2988" s="26">
        <f>S2988*G2988</f>
        <v/>
      </c>
      <c r="U2988" s="26">
        <f>R2988-T2988</f>
        <v/>
      </c>
      <c r="V2988" s="26">
        <f>U2988-L2988</f>
        <v/>
      </c>
    </row>
    <row r="2989">
      <c r="A2989" s="11" t="n">
        <v>46232</v>
      </c>
      <c r="B2989" s="1" t="n">
        <v>20057</v>
      </c>
      <c r="C2989" s="1" t="inlineStr">
        <is>
          <t>033</t>
        </is>
      </c>
      <c r="D2989" s="1" t="inlineStr">
        <is>
          <t xml:space="preserve">68638 </t>
        </is>
      </c>
      <c r="E2989" s="1" t="inlineStr">
        <is>
          <t xml:space="preserve">29235701       </t>
        </is>
      </c>
      <c r="F2989" s="5" t="inlineStr">
        <is>
          <t>INFINITY NADO TROMPO DE BATALLA - METAL EN CAJA</t>
        </is>
      </c>
      <c r="G2989" t="n">
        <v>1</v>
      </c>
      <c r="H2989" s="7" t="n">
        <v>29.9</v>
      </c>
      <c r="I2989" s="7" t="n">
        <v>0</v>
      </c>
      <c r="J2989" s="7" t="n">
        <v>0</v>
      </c>
      <c r="K2989" s="9" t="n">
        <v>0</v>
      </c>
      <c r="L2989" s="10" t="n">
        <v>17.74</v>
      </c>
      <c r="M2989" s="10" t="n">
        <v>1.43</v>
      </c>
      <c r="N2989" t="inlineStr">
        <is>
          <t>1</t>
        </is>
      </c>
      <c r="O2989" t="inlineStr">
        <is>
          <t xml:space="preserve">2 </t>
        </is>
      </c>
      <c r="P2989" t="inlineStr">
        <is>
          <t xml:space="preserve">248572  </t>
        </is>
      </c>
      <c r="Q2989" s="26" t="n">
        <v>23.67</v>
      </c>
      <c r="R2989" s="26">
        <f>Q2989*G2989</f>
        <v/>
      </c>
      <c r="S2989" s="26">
        <f>IFERROR(VLOOKUP(E2989*1,Tabla[#All],8,0),0)</f>
        <v/>
      </c>
      <c r="T2989" s="26">
        <f>S2989*G2989</f>
        <v/>
      </c>
      <c r="U2989" s="26">
        <f>R2989-T2989</f>
        <v/>
      </c>
      <c r="V2989" s="26">
        <f>U2989-L2989</f>
        <v/>
      </c>
    </row>
    <row r="2990">
      <c r="A2990" s="11" t="n">
        <v>46232</v>
      </c>
      <c r="B2990" s="1" t="n">
        <v>20057</v>
      </c>
      <c r="C2990" s="1" t="inlineStr">
        <is>
          <t>033</t>
        </is>
      </c>
      <c r="D2990" s="1" t="inlineStr">
        <is>
          <t xml:space="preserve">68638 </t>
        </is>
      </c>
      <c r="E2990" s="1" t="inlineStr">
        <is>
          <t xml:space="preserve">30232284       </t>
        </is>
      </c>
      <c r="F2990" s="5" t="inlineStr">
        <is>
          <t>INFINITY NADO TROMPO DE BATALLA - METAL C/PUNTA DE</t>
        </is>
      </c>
      <c r="G2990" t="n">
        <v>1</v>
      </c>
      <c r="H2990" s="7" t="n">
        <v>34.9</v>
      </c>
      <c r="I2990" s="7" t="n">
        <v>0</v>
      </c>
      <c r="J2990" s="7" t="n">
        <v>0</v>
      </c>
      <c r="K2990" s="9" t="n">
        <v>0</v>
      </c>
      <c r="L2990" s="10" t="n">
        <v>20.71</v>
      </c>
      <c r="M2990" s="10" t="n">
        <v>1.43</v>
      </c>
      <c r="N2990" t="inlineStr">
        <is>
          <t>1</t>
        </is>
      </c>
      <c r="O2990" t="inlineStr">
        <is>
          <t xml:space="preserve">2 </t>
        </is>
      </c>
      <c r="P2990" t="inlineStr">
        <is>
          <t xml:space="preserve">248572  </t>
        </is>
      </c>
      <c r="Q2990" s="26" t="n">
        <v>29.6</v>
      </c>
      <c r="R2990" s="26">
        <f>Q2990*G2990</f>
        <v/>
      </c>
      <c r="S2990" s="26">
        <f>IFERROR(VLOOKUP(E2990*1,Tabla[#All],8,0),0)</f>
        <v/>
      </c>
      <c r="T2990" s="26">
        <f>S2990*G2990</f>
        <v/>
      </c>
      <c r="U2990" s="26">
        <f>R2990-T2990</f>
        <v/>
      </c>
      <c r="V2990" s="26">
        <f>U2990-L2990</f>
        <v/>
      </c>
    </row>
    <row r="2991">
      <c r="A2991" s="11" t="n">
        <v>46232</v>
      </c>
      <c r="B2991" s="1" t="n">
        <v>20057</v>
      </c>
      <c r="C2991" s="1" t="inlineStr">
        <is>
          <t>033</t>
        </is>
      </c>
      <c r="D2991" s="1" t="inlineStr">
        <is>
          <t xml:space="preserve">68691 </t>
        </is>
      </c>
      <c r="E2991" s="1" t="inlineStr">
        <is>
          <t xml:space="preserve">28194770       </t>
        </is>
      </c>
      <c r="F2991" s="5" t="inlineStr">
        <is>
          <t>AUTOS DE METAL 3 TEAMSTERZ EN BLISTER</t>
        </is>
      </c>
      <c r="G2991" t="n">
        <v>1</v>
      </c>
      <c r="H2991" s="7" t="n">
        <v>6.9</v>
      </c>
      <c r="I2991" s="7" t="n">
        <v>0</v>
      </c>
      <c r="J2991" s="7" t="n">
        <v>0</v>
      </c>
      <c r="K2991" s="9" t="n">
        <v>0</v>
      </c>
      <c r="L2991" s="10" t="n">
        <v>4.1</v>
      </c>
      <c r="M2991" s="10" t="n">
        <v>1.43</v>
      </c>
      <c r="N2991" t="inlineStr">
        <is>
          <t>1</t>
        </is>
      </c>
      <c r="O2991" t="inlineStr">
        <is>
          <t>16</t>
        </is>
      </c>
      <c r="P2991" t="inlineStr">
        <is>
          <t xml:space="preserve">248572  </t>
        </is>
      </c>
      <c r="Q2991" s="26" t="n">
        <v>4.09</v>
      </c>
      <c r="R2991" s="26">
        <f>Q2991*G2991</f>
        <v/>
      </c>
      <c r="S2991" s="26">
        <f>IFERROR(VLOOKUP(E2991*1,Tabla[#All],8,0),0)</f>
        <v/>
      </c>
      <c r="T2991" s="26">
        <f>S2991*G2991</f>
        <v/>
      </c>
      <c r="U2991" s="26">
        <f>R2991-T2991</f>
        <v/>
      </c>
      <c r="V2991" s="26">
        <f>U2991-L2991</f>
        <v/>
      </c>
    </row>
    <row r="2992">
      <c r="A2992" s="11" t="n">
        <v>46232</v>
      </c>
      <c r="B2992" s="1" t="n">
        <v>20057</v>
      </c>
      <c r="C2992" s="1" t="inlineStr">
        <is>
          <t>832</t>
        </is>
      </c>
      <c r="D2992" s="1" t="inlineStr">
        <is>
          <t xml:space="preserve">7676  </t>
        </is>
      </c>
      <c r="E2992" s="1" t="inlineStr">
        <is>
          <t xml:space="preserve">32457103       </t>
        </is>
      </c>
      <c r="F2992" s="5" t="inlineStr">
        <is>
          <t>TMZ BEAST MACHINES MONSTER JAWS A FRICCION PACK DE</t>
        </is>
      </c>
      <c r="G2992" t="n">
        <v>1</v>
      </c>
      <c r="H2992" s="7" t="n">
        <v>32.9</v>
      </c>
      <c r="I2992" s="7" t="n">
        <v>3.29</v>
      </c>
      <c r="J2992" s="7" t="n">
        <v>0</v>
      </c>
      <c r="K2992" s="9" t="n">
        <v>3.29</v>
      </c>
      <c r="L2992" s="10" t="n">
        <v>17.56</v>
      </c>
      <c r="M2992" s="10" t="n">
        <v>1.43</v>
      </c>
      <c r="N2992" t="inlineStr">
        <is>
          <t>1</t>
        </is>
      </c>
      <c r="O2992" t="inlineStr">
        <is>
          <t>16</t>
        </is>
      </c>
      <c r="P2992" t="inlineStr">
        <is>
          <t xml:space="preserve">0       </t>
        </is>
      </c>
      <c r="Q2992" s="26" t="n">
        <v>22.48</v>
      </c>
      <c r="R2992" s="26">
        <f>Q2992*G2992</f>
        <v/>
      </c>
      <c r="S2992" s="26">
        <f>IFERROR(VLOOKUP(E2992*1,Tabla[#All],8,0),0)</f>
        <v/>
      </c>
      <c r="T2992" s="26">
        <f>S2992*G2992</f>
        <v/>
      </c>
      <c r="U2992" s="26">
        <f>R2992-T2992</f>
        <v/>
      </c>
      <c r="V2992" s="26">
        <f>U2992-L2992</f>
        <v/>
      </c>
    </row>
    <row r="2993">
      <c r="A2993" s="11" t="n">
        <v>46232</v>
      </c>
      <c r="B2993" s="1" t="n">
        <v>20057</v>
      </c>
      <c r="C2993" s="1" t="inlineStr">
        <is>
          <t>862</t>
        </is>
      </c>
      <c r="D2993" s="1" t="inlineStr">
        <is>
          <t xml:space="preserve">8313  </t>
        </is>
      </c>
      <c r="E2993" s="1" t="inlineStr">
        <is>
          <t xml:space="preserve">32457100       </t>
        </is>
      </c>
      <c r="F2993" s="5" t="inlineStr">
        <is>
          <t>TMZ BEAST MACHINES LANZADOR ESCORPION + 2 AUTOS</t>
        </is>
      </c>
      <c r="G2993" t="n">
        <v>1</v>
      </c>
      <c r="H2993" s="7" t="n">
        <v>12.9</v>
      </c>
      <c r="I2993" s="7" t="n">
        <v>0</v>
      </c>
      <c r="J2993" s="7" t="n">
        <v>0</v>
      </c>
      <c r="K2993" s="9" t="n">
        <v>0</v>
      </c>
      <c r="L2993" s="10" t="n">
        <v>7.65</v>
      </c>
      <c r="M2993" s="10" t="n">
        <v>1.43</v>
      </c>
      <c r="N2993" t="inlineStr">
        <is>
          <t>1</t>
        </is>
      </c>
      <c r="O2993" t="inlineStr">
        <is>
          <t>16</t>
        </is>
      </c>
      <c r="P2993" t="inlineStr">
        <is>
          <t xml:space="preserve">0       </t>
        </is>
      </c>
      <c r="Q2993" s="26" t="n">
        <v>20.7</v>
      </c>
      <c r="R2993" s="26">
        <f>Q2993*G2993</f>
        <v/>
      </c>
      <c r="S2993" s="26">
        <f>IFERROR(VLOOKUP(E2993*1,Tabla[#All],8,0),0)</f>
        <v/>
      </c>
      <c r="T2993" s="26">
        <f>S2993*G2993</f>
        <v/>
      </c>
      <c r="U2993" s="26">
        <f>R2993-T2993</f>
        <v/>
      </c>
      <c r="V2993" s="26">
        <f>U2993-L2993</f>
        <v/>
      </c>
    </row>
    <row r="2994">
      <c r="A2994" s="11" t="n">
        <v>46232</v>
      </c>
      <c r="B2994" s="1" t="n">
        <v>20058</v>
      </c>
      <c r="C2994" s="1" t="inlineStr">
        <is>
          <t>038</t>
        </is>
      </c>
      <c r="D2994" s="1" t="inlineStr">
        <is>
          <t>210973</t>
        </is>
      </c>
      <c r="E2994" s="1" t="inlineStr">
        <is>
          <t xml:space="preserve">28194770       </t>
        </is>
      </c>
      <c r="F2994" s="5" t="inlineStr">
        <is>
          <t>AUTOS DE METAL 3 TEAMSTERZ EN BLISTER</t>
        </is>
      </c>
      <c r="G2994" t="n">
        <v>1</v>
      </c>
      <c r="H2994" s="7" t="n">
        <v>6.9</v>
      </c>
      <c r="I2994" s="7" t="n">
        <v>0</v>
      </c>
      <c r="J2994" s="7" t="n">
        <v>0</v>
      </c>
      <c r="K2994" s="9" t="n">
        <v>0</v>
      </c>
      <c r="L2994" s="10" t="n">
        <v>4.1</v>
      </c>
      <c r="M2994" s="10" t="n">
        <v>1.43</v>
      </c>
      <c r="N2994" t="inlineStr">
        <is>
          <t>1</t>
        </is>
      </c>
      <c r="O2994" t="inlineStr">
        <is>
          <t>16</t>
        </is>
      </c>
      <c r="P2994" t="inlineStr">
        <is>
          <t xml:space="preserve">252211  </t>
        </is>
      </c>
      <c r="Q2994" s="26" t="n">
        <v>4.09</v>
      </c>
      <c r="R2994" s="26">
        <f>Q2994*G2994</f>
        <v/>
      </c>
      <c r="S2994" s="26">
        <f>IFERROR(VLOOKUP(E2994*1,Tabla[#All],8,0),0)</f>
        <v/>
      </c>
      <c r="T2994" s="26">
        <f>S2994*G2994</f>
        <v/>
      </c>
      <c r="U2994" s="26">
        <f>R2994-T2994</f>
        <v/>
      </c>
      <c r="V2994" s="26">
        <f>U2994-L2994</f>
        <v/>
      </c>
    </row>
    <row r="2995">
      <c r="A2995" s="11" t="n">
        <v>46232</v>
      </c>
      <c r="B2995" s="1" t="n">
        <v>20058</v>
      </c>
      <c r="C2995" s="1" t="inlineStr">
        <is>
          <t>038</t>
        </is>
      </c>
      <c r="D2995" s="1" t="inlineStr">
        <is>
          <t>211010</t>
        </is>
      </c>
      <c r="E2995" s="1" t="inlineStr">
        <is>
          <t xml:space="preserve">30141766       </t>
        </is>
      </c>
      <c r="F2995" s="5" t="inlineStr">
        <is>
          <t>TMZ BEAST MACHINES AUTOS DE METAL BLISTER X 1</t>
        </is>
      </c>
      <c r="G2995" t="n">
        <v>1</v>
      </c>
      <c r="H2995" s="7" t="n">
        <v>7.9</v>
      </c>
      <c r="I2995" s="7" t="n">
        <v>0</v>
      </c>
      <c r="J2995" s="7" t="n">
        <v>0</v>
      </c>
      <c r="K2995" s="9" t="n">
        <v>0</v>
      </c>
      <c r="L2995" s="10" t="n">
        <v>4.68</v>
      </c>
      <c r="M2995" s="10" t="n">
        <v>1.43</v>
      </c>
      <c r="N2995" t="inlineStr">
        <is>
          <t>1</t>
        </is>
      </c>
      <c r="O2995" t="inlineStr">
        <is>
          <t>16</t>
        </is>
      </c>
      <c r="P2995" t="inlineStr">
        <is>
          <t xml:space="preserve">250305  </t>
        </is>
      </c>
      <c r="Q2995" s="26" t="n">
        <v>4.69</v>
      </c>
      <c r="R2995" s="26">
        <f>Q2995*G2995</f>
        <v/>
      </c>
      <c r="S2995" s="26">
        <f>IFERROR(VLOOKUP(E2995*1,Tabla[#All],8,0),0)</f>
        <v/>
      </c>
      <c r="T2995" s="26">
        <f>S2995*G2995</f>
        <v/>
      </c>
      <c r="U2995" s="26">
        <f>R2995-T2995</f>
        <v/>
      </c>
      <c r="V2995" s="26">
        <f>U2995-L2995</f>
        <v/>
      </c>
    </row>
    <row r="2996">
      <c r="A2996" s="11" t="n">
        <v>46232</v>
      </c>
      <c r="B2996" s="1" t="n">
        <v>20058</v>
      </c>
      <c r="C2996" s="1" t="inlineStr">
        <is>
          <t>038</t>
        </is>
      </c>
      <c r="D2996" s="1" t="inlineStr">
        <is>
          <t>211038</t>
        </is>
      </c>
      <c r="E2996" s="1" t="inlineStr">
        <is>
          <t xml:space="preserve">28194770       </t>
        </is>
      </c>
      <c r="F2996" s="5" t="inlineStr">
        <is>
          <t>AUTOS DE METAL 3 TEAMSTERZ EN BLISTER</t>
        </is>
      </c>
      <c r="G2996" t="n">
        <v>1</v>
      </c>
      <c r="H2996" s="7" t="n">
        <v>6.9</v>
      </c>
      <c r="I2996" s="7" t="n">
        <v>0</v>
      </c>
      <c r="J2996" s="7" t="n">
        <v>0</v>
      </c>
      <c r="K2996" s="9" t="n">
        <v>0</v>
      </c>
      <c r="L2996" s="10" t="n">
        <v>4.1</v>
      </c>
      <c r="M2996" s="10" t="n">
        <v>1.43</v>
      </c>
      <c r="N2996" t="inlineStr">
        <is>
          <t>1</t>
        </is>
      </c>
      <c r="O2996" t="inlineStr">
        <is>
          <t>16</t>
        </is>
      </c>
      <c r="P2996" t="inlineStr">
        <is>
          <t xml:space="preserve">250305  </t>
        </is>
      </c>
      <c r="Q2996" s="26" t="n">
        <v>4.09</v>
      </c>
      <c r="R2996" s="26">
        <f>Q2996*G2996</f>
        <v/>
      </c>
      <c r="S2996" s="26">
        <f>IFERROR(VLOOKUP(E2996*1,Tabla[#All],8,0),0)</f>
        <v/>
      </c>
      <c r="T2996" s="26">
        <f>S2996*G2996</f>
        <v/>
      </c>
      <c r="U2996" s="26">
        <f>R2996-T2996</f>
        <v/>
      </c>
      <c r="V2996" s="26">
        <f>U2996-L2996</f>
        <v/>
      </c>
    </row>
    <row r="2997">
      <c r="A2997" s="11" t="n">
        <v>46232</v>
      </c>
      <c r="B2997" s="1" t="n">
        <v>20058</v>
      </c>
      <c r="C2997" s="1" t="inlineStr">
        <is>
          <t>039</t>
        </is>
      </c>
      <c r="D2997" s="1" t="inlineStr">
        <is>
          <t>232193</t>
        </is>
      </c>
      <c r="E2997" s="1" t="inlineStr">
        <is>
          <t xml:space="preserve">28194770       </t>
        </is>
      </c>
      <c r="F2997" s="5" t="inlineStr">
        <is>
          <t>AUTOS DE METAL 3 TEAMSTERZ EN BLISTER</t>
        </is>
      </c>
      <c r="G2997" t="n">
        <v>1</v>
      </c>
      <c r="H2997" s="7" t="n">
        <v>6.9</v>
      </c>
      <c r="I2997" s="7" t="n">
        <v>0</v>
      </c>
      <c r="J2997" s="7" t="n">
        <v>0</v>
      </c>
      <c r="K2997" s="9" t="n">
        <v>0</v>
      </c>
      <c r="L2997" s="10" t="n">
        <v>4.1</v>
      </c>
      <c r="M2997" s="10" t="n">
        <v>1.43</v>
      </c>
      <c r="N2997" t="inlineStr">
        <is>
          <t>1</t>
        </is>
      </c>
      <c r="O2997" t="inlineStr">
        <is>
          <t xml:space="preserve">2 </t>
        </is>
      </c>
      <c r="P2997" t="inlineStr">
        <is>
          <t xml:space="preserve">236703  </t>
        </is>
      </c>
      <c r="Q2997" s="26" t="n">
        <v>4.09</v>
      </c>
      <c r="R2997" s="26">
        <f>Q2997*G2997</f>
        <v/>
      </c>
      <c r="S2997" s="26">
        <f>IFERROR(VLOOKUP(E2997*1,Tabla[#All],8,0),0)</f>
        <v/>
      </c>
      <c r="T2997" s="26">
        <f>S2997*G2997</f>
        <v/>
      </c>
      <c r="U2997" s="26">
        <f>R2997-T2997</f>
        <v/>
      </c>
      <c r="V2997" s="26">
        <f>U2997-L2997</f>
        <v/>
      </c>
    </row>
    <row r="2998">
      <c r="A2998" s="11" t="n">
        <v>46232</v>
      </c>
      <c r="B2998" s="1" t="n">
        <v>20058</v>
      </c>
      <c r="C2998" s="1" t="inlineStr">
        <is>
          <t>039</t>
        </is>
      </c>
      <c r="D2998" s="1" t="inlineStr">
        <is>
          <t>232193</t>
        </is>
      </c>
      <c r="E2998" s="1" t="inlineStr">
        <is>
          <t xml:space="preserve">28194770       </t>
        </is>
      </c>
      <c r="F2998" s="5" t="inlineStr">
        <is>
          <t>AUTOS DE METAL 3 TEAMSTERZ EN BLISTER</t>
        </is>
      </c>
      <c r="G2998" t="n">
        <v>1</v>
      </c>
      <c r="H2998" s="7" t="n">
        <v>6.9</v>
      </c>
      <c r="I2998" s="7" t="n">
        <v>0</v>
      </c>
      <c r="J2998" s="7" t="n">
        <v>0</v>
      </c>
      <c r="K2998" s="9" t="n">
        <v>0</v>
      </c>
      <c r="L2998" s="10" t="n">
        <v>4.1</v>
      </c>
      <c r="M2998" s="10" t="n">
        <v>1.43</v>
      </c>
      <c r="N2998" t="inlineStr">
        <is>
          <t>1</t>
        </is>
      </c>
      <c r="O2998" t="inlineStr">
        <is>
          <t xml:space="preserve">2 </t>
        </is>
      </c>
      <c r="P2998" t="inlineStr">
        <is>
          <t xml:space="preserve">236703  </t>
        </is>
      </c>
      <c r="Q2998" s="26" t="n">
        <v>4.09</v>
      </c>
      <c r="R2998" s="26">
        <f>Q2998*G2998</f>
        <v/>
      </c>
      <c r="S2998" s="26">
        <f>IFERROR(VLOOKUP(E2998*1,Tabla[#All],8,0),0)</f>
        <v/>
      </c>
      <c r="T2998" s="26">
        <f>S2998*G2998</f>
        <v/>
      </c>
      <c r="U2998" s="26">
        <f>R2998-T2998</f>
        <v/>
      </c>
      <c r="V2998" s="26">
        <f>U2998-L2998</f>
        <v/>
      </c>
    </row>
    <row r="2999">
      <c r="A2999" s="11" t="n">
        <v>46232</v>
      </c>
      <c r="B2999" s="1" t="n">
        <v>20058</v>
      </c>
      <c r="C2999" s="1" t="inlineStr">
        <is>
          <t>039</t>
        </is>
      </c>
      <c r="D2999" s="1" t="inlineStr">
        <is>
          <t>232193</t>
        </is>
      </c>
      <c r="E2999" s="1" t="inlineStr">
        <is>
          <t xml:space="preserve">30141766       </t>
        </is>
      </c>
      <c r="F2999" s="5" t="inlineStr">
        <is>
          <t>TMZ BEAST MACHINES AUTOS DE METAL BLISTER X 1</t>
        </is>
      </c>
      <c r="G2999" t="n">
        <v>1</v>
      </c>
      <c r="H2999" s="7" t="n">
        <v>7.9</v>
      </c>
      <c r="I2999" s="7" t="n">
        <v>0</v>
      </c>
      <c r="J2999" s="7" t="n">
        <v>0</v>
      </c>
      <c r="K2999" s="9" t="n">
        <v>0</v>
      </c>
      <c r="L2999" s="10" t="n">
        <v>4.68</v>
      </c>
      <c r="M2999" s="10" t="n">
        <v>1.43</v>
      </c>
      <c r="N2999" t="inlineStr">
        <is>
          <t>1</t>
        </is>
      </c>
      <c r="O2999" t="inlineStr">
        <is>
          <t xml:space="preserve">2 </t>
        </is>
      </c>
      <c r="P2999" t="inlineStr">
        <is>
          <t xml:space="preserve">236703  </t>
        </is>
      </c>
      <c r="Q2999" s="26" t="n">
        <v>4.69</v>
      </c>
      <c r="R2999" s="26">
        <f>Q2999*G2999</f>
        <v/>
      </c>
      <c r="S2999" s="26">
        <f>IFERROR(VLOOKUP(E2999*1,Tabla[#All],8,0),0)</f>
        <v/>
      </c>
      <c r="T2999" s="26">
        <f>S2999*G2999</f>
        <v/>
      </c>
      <c r="U2999" s="26">
        <f>R2999-T2999</f>
        <v/>
      </c>
      <c r="V2999" s="26">
        <f>U2999-L2999</f>
        <v/>
      </c>
    </row>
    <row r="3000">
      <c r="A3000" s="11" t="n">
        <v>46232</v>
      </c>
      <c r="B3000" s="1" t="n">
        <v>20058</v>
      </c>
      <c r="C3000" s="1" t="inlineStr">
        <is>
          <t>039</t>
        </is>
      </c>
      <c r="D3000" s="1" t="inlineStr">
        <is>
          <t>232236</t>
        </is>
      </c>
      <c r="E3000" s="1" t="inlineStr">
        <is>
          <t xml:space="preserve">28194769       </t>
        </is>
      </c>
      <c r="F3000" s="5" t="inlineStr">
        <is>
          <t>AUTOS DE METAL 3 TEAMSTERZ PACK DE 2</t>
        </is>
      </c>
      <c r="G3000" t="n">
        <v>1</v>
      </c>
      <c r="H3000" s="7" t="n">
        <v>13.8</v>
      </c>
      <c r="I3000" s="7" t="n">
        <v>0</v>
      </c>
      <c r="J3000" s="7" t="n">
        <v>0</v>
      </c>
      <c r="K3000" s="9" t="n">
        <v>0</v>
      </c>
      <c r="L3000" s="10" t="n">
        <v>8.18</v>
      </c>
      <c r="M3000" s="10" t="n">
        <v>1.43</v>
      </c>
      <c r="N3000" t="inlineStr">
        <is>
          <t>1</t>
        </is>
      </c>
      <c r="O3000" t="inlineStr">
        <is>
          <t>16</t>
        </is>
      </c>
      <c r="P3000" t="inlineStr">
        <is>
          <t xml:space="preserve">246156  </t>
        </is>
      </c>
      <c r="Q3000" s="26" t="n">
        <v>8.19</v>
      </c>
      <c r="R3000" s="26">
        <f>Q3000*G3000</f>
        <v/>
      </c>
      <c r="S3000" s="26">
        <f>IFERROR(VLOOKUP(E3000*1,Tabla[#All],8,0),0)</f>
        <v/>
      </c>
      <c r="T3000" s="26">
        <f>S3000*G3000</f>
        <v/>
      </c>
      <c r="U3000" s="26">
        <f>R3000-T3000</f>
        <v/>
      </c>
      <c r="V3000" s="26">
        <f>U3000-L3000</f>
        <v/>
      </c>
    </row>
    <row r="3001">
      <c r="A3001" s="11" t="n">
        <v>46232</v>
      </c>
      <c r="B3001" s="1" t="n">
        <v>20058</v>
      </c>
      <c r="C3001" s="1" t="inlineStr">
        <is>
          <t>197</t>
        </is>
      </c>
      <c r="D3001" s="1" t="inlineStr">
        <is>
          <t>171077</t>
        </is>
      </c>
      <c r="E3001" s="1" t="inlineStr">
        <is>
          <t xml:space="preserve">28194768       </t>
        </is>
      </c>
      <c r="F3001" s="5" t="inlineStr">
        <is>
          <t>AUTO COLOR CHANGE TEAMSTERZ SURTIDO</t>
        </is>
      </c>
      <c r="G3001" t="n">
        <v>1</v>
      </c>
      <c r="H3001" s="7" t="n">
        <v>14.9</v>
      </c>
      <c r="I3001" s="7" t="n">
        <v>0</v>
      </c>
      <c r="J3001" s="7" t="n">
        <v>0</v>
      </c>
      <c r="K3001" s="9" t="n">
        <v>0</v>
      </c>
      <c r="L3001" s="10" t="n">
        <v>8.84</v>
      </c>
      <c r="M3001" s="10" t="n">
        <v>1.43</v>
      </c>
      <c r="N3001" t="inlineStr">
        <is>
          <t>1</t>
        </is>
      </c>
      <c r="O3001" t="inlineStr">
        <is>
          <t xml:space="preserve">2 </t>
        </is>
      </c>
      <c r="P3001" t="inlineStr">
        <is>
          <t xml:space="preserve">246156  </t>
        </is>
      </c>
      <c r="Q3001" s="26" t="n">
        <v>8.84</v>
      </c>
      <c r="R3001" s="26">
        <f>Q3001*G3001</f>
        <v/>
      </c>
      <c r="S3001" s="26">
        <f>IFERROR(VLOOKUP(E3001*1,Tabla[#All],8,0),0)</f>
        <v/>
      </c>
      <c r="T3001" s="26">
        <f>S3001*G3001</f>
        <v/>
      </c>
      <c r="U3001" s="26">
        <f>R3001-T3001</f>
        <v/>
      </c>
      <c r="V3001" s="26">
        <f>U3001-L3001</f>
        <v/>
      </c>
    </row>
    <row r="3002">
      <c r="A3002" s="11" t="n">
        <v>46232</v>
      </c>
      <c r="B3002" s="1" t="n">
        <v>20058</v>
      </c>
      <c r="C3002" s="1" t="inlineStr">
        <is>
          <t>197</t>
        </is>
      </c>
      <c r="D3002" s="1" t="inlineStr">
        <is>
          <t>171137</t>
        </is>
      </c>
      <c r="E3002" s="1" t="inlineStr">
        <is>
          <t xml:space="preserve">28194769       </t>
        </is>
      </c>
      <c r="F3002" s="5" t="inlineStr">
        <is>
          <t>AUTOS DE METAL 3 TEAMSTERZ PACK DE 2</t>
        </is>
      </c>
      <c r="G3002" t="n">
        <v>1</v>
      </c>
      <c r="H3002" s="7" t="n">
        <v>13.8</v>
      </c>
      <c r="I3002" s="7" t="n">
        <v>0</v>
      </c>
      <c r="J3002" s="7" t="n">
        <v>0</v>
      </c>
      <c r="K3002" s="9" t="n">
        <v>0</v>
      </c>
      <c r="L3002" s="10" t="n">
        <v>8.18</v>
      </c>
      <c r="M3002" s="10" t="n">
        <v>1.43</v>
      </c>
      <c r="N3002" t="inlineStr">
        <is>
          <t>1</t>
        </is>
      </c>
      <c r="O3002" t="inlineStr">
        <is>
          <t>16</t>
        </is>
      </c>
      <c r="P3002" t="inlineStr">
        <is>
          <t xml:space="preserve">249068  </t>
        </is>
      </c>
      <c r="Q3002" s="26" t="n">
        <v>8.19</v>
      </c>
      <c r="R3002" s="26">
        <f>Q3002*G3002</f>
        <v/>
      </c>
      <c r="S3002" s="26">
        <f>IFERROR(VLOOKUP(E3002*1,Tabla[#All],8,0),0)</f>
        <v/>
      </c>
      <c r="T3002" s="26">
        <f>S3002*G3002</f>
        <v/>
      </c>
      <c r="U3002" s="26">
        <f>R3002-T3002</f>
        <v/>
      </c>
      <c r="V3002" s="26">
        <f>U3002-L3002</f>
        <v/>
      </c>
    </row>
    <row r="3003">
      <c r="A3003" s="11" t="n">
        <v>46232</v>
      </c>
      <c r="B3003" s="1" t="n">
        <v>20058</v>
      </c>
      <c r="C3003" s="1" t="inlineStr">
        <is>
          <t>197</t>
        </is>
      </c>
      <c r="D3003" s="1" t="inlineStr">
        <is>
          <t>171137</t>
        </is>
      </c>
      <c r="E3003" s="1" t="inlineStr">
        <is>
          <t xml:space="preserve">28194769       </t>
        </is>
      </c>
      <c r="F3003" s="5" t="inlineStr">
        <is>
          <t>AUTOS DE METAL 3 TEAMSTERZ PACK DE 2</t>
        </is>
      </c>
      <c r="G3003" t="n">
        <v>1</v>
      </c>
      <c r="H3003" s="7" t="n">
        <v>13.8</v>
      </c>
      <c r="I3003" s="7" t="n">
        <v>0</v>
      </c>
      <c r="J3003" s="7" t="n">
        <v>0</v>
      </c>
      <c r="K3003" s="9" t="n">
        <v>0</v>
      </c>
      <c r="L3003" s="10" t="n">
        <v>8.18</v>
      </c>
      <c r="M3003" s="10" t="n">
        <v>1.43</v>
      </c>
      <c r="N3003" t="inlineStr">
        <is>
          <t>1</t>
        </is>
      </c>
      <c r="O3003" t="inlineStr">
        <is>
          <t>16</t>
        </is>
      </c>
      <c r="P3003" t="inlineStr">
        <is>
          <t xml:space="preserve">249068  </t>
        </is>
      </c>
      <c r="Q3003" s="26" t="n">
        <v>8.19</v>
      </c>
      <c r="R3003" s="26">
        <f>Q3003*G3003</f>
        <v/>
      </c>
      <c r="S3003" s="26">
        <f>IFERROR(VLOOKUP(E3003*1,Tabla[#All],8,0),0)</f>
        <v/>
      </c>
      <c r="T3003" s="26">
        <f>S3003*G3003</f>
        <v/>
      </c>
      <c r="U3003" s="26">
        <f>R3003-T3003</f>
        <v/>
      </c>
      <c r="V3003" s="26">
        <f>U3003-L3003</f>
        <v/>
      </c>
    </row>
    <row r="3004">
      <c r="A3004" s="11" t="n">
        <v>46232</v>
      </c>
      <c r="B3004" s="1" t="n">
        <v>20058</v>
      </c>
      <c r="C3004" s="1" t="inlineStr">
        <is>
          <t>507</t>
        </is>
      </c>
      <c r="D3004" s="1" t="inlineStr">
        <is>
          <t xml:space="preserve">9580  </t>
        </is>
      </c>
      <c r="E3004" s="1" t="inlineStr">
        <is>
          <t xml:space="preserve">28194781       </t>
        </is>
      </c>
      <c r="F3004" s="5" t="inlineStr">
        <is>
          <t>TROMPO BATALLA INFINITY NADO SERIE V CLASICA SURTI</t>
        </is>
      </c>
      <c r="G3004" t="n">
        <v>1</v>
      </c>
      <c r="H3004" s="7" t="n">
        <v>39.9</v>
      </c>
      <c r="I3004" s="7" t="n">
        <v>3.99</v>
      </c>
      <c r="J3004" s="7" t="n">
        <v>0</v>
      </c>
      <c r="K3004" s="9" t="n">
        <v>3.99</v>
      </c>
      <c r="L3004" s="10" t="n">
        <v>21.3</v>
      </c>
      <c r="M3004" s="10" t="n">
        <v>1.43</v>
      </c>
      <c r="N3004" t="inlineStr">
        <is>
          <t>1</t>
        </is>
      </c>
      <c r="O3004" t="inlineStr">
        <is>
          <t>16</t>
        </is>
      </c>
      <c r="P3004" t="inlineStr">
        <is>
          <t xml:space="preserve">99659   </t>
        </is>
      </c>
      <c r="Q3004" s="26" t="n">
        <v>35.53</v>
      </c>
      <c r="R3004" s="26">
        <f>Q3004*G3004</f>
        <v/>
      </c>
      <c r="S3004" s="26">
        <f>IFERROR(VLOOKUP(E3004*1,Tabla[#All],8,0),0)</f>
        <v/>
      </c>
      <c r="T3004" s="26">
        <f>S3004*G3004</f>
        <v/>
      </c>
      <c r="U3004" s="26">
        <f>R3004-T3004</f>
        <v/>
      </c>
      <c r="V3004" s="26">
        <f>U3004-L3004</f>
        <v/>
      </c>
    </row>
    <row r="3005">
      <c r="A3005" s="11" t="n">
        <v>46232</v>
      </c>
      <c r="B3005" s="1" t="n">
        <v>20062</v>
      </c>
      <c r="C3005" s="1" t="inlineStr">
        <is>
          <t>014</t>
        </is>
      </c>
      <c r="D3005" s="1" t="inlineStr">
        <is>
          <t>229223</t>
        </is>
      </c>
      <c r="E3005" s="1" t="inlineStr">
        <is>
          <t xml:space="preserve">34840556       </t>
        </is>
      </c>
      <c r="F3005" s="5" t="inlineStr">
        <is>
          <t>TMZ BEAST MACH. TRANSPORT DINO +ACCS</t>
        </is>
      </c>
      <c r="G3005" t="n">
        <v>1</v>
      </c>
      <c r="H3005" s="7" t="n">
        <v>59.9</v>
      </c>
      <c r="I3005" s="7" t="n">
        <v>0</v>
      </c>
      <c r="J3005" s="7" t="n">
        <v>0</v>
      </c>
      <c r="K3005" s="9" t="n">
        <v>0</v>
      </c>
      <c r="L3005" s="10" t="n">
        <v>35.53</v>
      </c>
      <c r="M3005" s="10" t="n">
        <v>1.43</v>
      </c>
      <c r="N3005" t="inlineStr">
        <is>
          <t>1</t>
        </is>
      </c>
      <c r="O3005" t="inlineStr">
        <is>
          <t>16</t>
        </is>
      </c>
      <c r="P3005" t="inlineStr">
        <is>
          <t xml:space="preserve">247900  </t>
        </is>
      </c>
      <c r="Q3005" s="26" t="n">
        <v>47.4</v>
      </c>
      <c r="R3005" s="26">
        <f>Q3005*G3005</f>
        <v/>
      </c>
      <c r="S3005" s="26">
        <f>IFERROR(VLOOKUP(E3005*1,Tabla[#All],8,0),0)</f>
        <v/>
      </c>
      <c r="T3005" s="26">
        <f>S3005*G3005</f>
        <v/>
      </c>
      <c r="U3005" s="26">
        <f>R3005-T3005</f>
        <v/>
      </c>
      <c r="V3005" s="26">
        <f>U3005-L3005</f>
        <v/>
      </c>
    </row>
    <row r="3006">
      <c r="A3006" s="11" t="n">
        <v>46232</v>
      </c>
      <c r="B3006" s="1" t="n">
        <v>20062</v>
      </c>
      <c r="C3006" s="1" t="inlineStr">
        <is>
          <t>038</t>
        </is>
      </c>
      <c r="D3006" s="1" t="inlineStr">
        <is>
          <t>174576</t>
        </is>
      </c>
      <c r="E3006" s="1" t="inlineStr">
        <is>
          <t xml:space="preserve">31754676       </t>
        </is>
      </c>
      <c r="F3006" s="5" t="inlineStr">
        <is>
          <t>INFINITY NADO SERIE 6 STD PACK LANZ ESPAD ANILLO M</t>
        </is>
      </c>
      <c r="G3006" t="n">
        <v>1</v>
      </c>
      <c r="H3006" s="7" t="n">
        <v>59.9</v>
      </c>
      <c r="I3006" s="7" t="n">
        <v>5.99</v>
      </c>
      <c r="J3006" s="7" t="n">
        <v>0</v>
      </c>
      <c r="K3006" s="9" t="n">
        <v>5.99</v>
      </c>
      <c r="L3006" s="10" t="n">
        <v>31.98</v>
      </c>
      <c r="M3006" s="10" t="n">
        <v>1.43</v>
      </c>
      <c r="N3006" t="inlineStr">
        <is>
          <t>1</t>
        </is>
      </c>
      <c r="O3006" t="inlineStr">
        <is>
          <t xml:space="preserve">3 </t>
        </is>
      </c>
      <c r="P3006" t="inlineStr">
        <is>
          <t xml:space="preserve">243976  </t>
        </is>
      </c>
      <c r="Q3006" s="26" t="n">
        <v>47.4</v>
      </c>
      <c r="R3006" s="26">
        <f>Q3006*G3006</f>
        <v/>
      </c>
      <c r="S3006" s="26">
        <f>IFERROR(VLOOKUP(E3006*1,Tabla[#All],8,0),0)</f>
        <v/>
      </c>
      <c r="T3006" s="26">
        <f>S3006*G3006</f>
        <v/>
      </c>
      <c r="U3006" s="26">
        <f>R3006-T3006</f>
        <v/>
      </c>
      <c r="V3006" s="26">
        <f>U3006-L3006</f>
        <v/>
      </c>
    </row>
    <row r="3007">
      <c r="A3007" s="11" t="n">
        <v>46232</v>
      </c>
      <c r="B3007" s="1" t="n">
        <v>20066</v>
      </c>
      <c r="C3007" s="1" t="inlineStr">
        <is>
          <t>057</t>
        </is>
      </c>
      <c r="D3007" s="1" t="inlineStr">
        <is>
          <t>494977</t>
        </is>
      </c>
      <c r="E3007" s="1" t="inlineStr">
        <is>
          <t xml:space="preserve">28194770       </t>
        </is>
      </c>
      <c r="F3007" s="5" t="inlineStr">
        <is>
          <t>AUTOS DE METAL 3 TEAMSTERZ EN BLISTER</t>
        </is>
      </c>
      <c r="G3007" t="n">
        <v>1</v>
      </c>
      <c r="H3007" s="7" t="n">
        <v>6.9</v>
      </c>
      <c r="I3007" s="7" t="n">
        <v>0</v>
      </c>
      <c r="J3007" s="7" t="n">
        <v>0</v>
      </c>
      <c r="K3007" s="9" t="n">
        <v>0</v>
      </c>
      <c r="L3007" s="10" t="n">
        <v>4.1</v>
      </c>
      <c r="M3007" s="10" t="n">
        <v>1.43</v>
      </c>
      <c r="N3007" t="inlineStr">
        <is>
          <t>1</t>
        </is>
      </c>
      <c r="O3007" t="inlineStr">
        <is>
          <t xml:space="preserve">2 </t>
        </is>
      </c>
      <c r="P3007" t="inlineStr">
        <is>
          <t xml:space="preserve">247448  </t>
        </is>
      </c>
      <c r="Q3007" s="26" t="n">
        <v>4.09</v>
      </c>
      <c r="R3007" s="26">
        <f>Q3007*G3007</f>
        <v/>
      </c>
      <c r="S3007" s="26">
        <f>IFERROR(VLOOKUP(E3007*1,Tabla[#All],8,0),0)</f>
        <v/>
      </c>
      <c r="T3007" s="26">
        <f>S3007*G3007</f>
        <v/>
      </c>
      <c r="U3007" s="26">
        <f>R3007-T3007</f>
        <v/>
      </c>
      <c r="V3007" s="26">
        <f>U3007-L3007</f>
        <v/>
      </c>
    </row>
    <row r="3008">
      <c r="A3008" s="11" t="n">
        <v>46232</v>
      </c>
      <c r="B3008" s="1" t="n">
        <v>20066</v>
      </c>
      <c r="C3008" s="1" t="inlineStr">
        <is>
          <t>057</t>
        </is>
      </c>
      <c r="D3008" s="1" t="inlineStr">
        <is>
          <t>494977</t>
        </is>
      </c>
      <c r="E3008" s="1" t="inlineStr">
        <is>
          <t xml:space="preserve">28194770       </t>
        </is>
      </c>
      <c r="F3008" s="5" t="inlineStr">
        <is>
          <t>AUTOS DE METAL 3 TEAMSTERZ EN BLISTER</t>
        </is>
      </c>
      <c r="G3008" t="n">
        <v>1</v>
      </c>
      <c r="H3008" s="7" t="n">
        <v>6.9</v>
      </c>
      <c r="I3008" s="7" t="n">
        <v>0</v>
      </c>
      <c r="J3008" s="7" t="n">
        <v>0</v>
      </c>
      <c r="K3008" s="9" t="n">
        <v>0</v>
      </c>
      <c r="L3008" s="10" t="n">
        <v>4.1</v>
      </c>
      <c r="M3008" s="10" t="n">
        <v>1.43</v>
      </c>
      <c r="N3008" t="inlineStr">
        <is>
          <t>1</t>
        </is>
      </c>
      <c r="O3008" t="inlineStr">
        <is>
          <t xml:space="preserve">2 </t>
        </is>
      </c>
      <c r="P3008" t="inlineStr">
        <is>
          <t xml:space="preserve">247448  </t>
        </is>
      </c>
      <c r="Q3008" s="26" t="n">
        <v>4.09</v>
      </c>
      <c r="R3008" s="26">
        <f>Q3008*G3008</f>
        <v/>
      </c>
      <c r="S3008" s="26">
        <f>IFERROR(VLOOKUP(E3008*1,Tabla[#All],8,0),0)</f>
        <v/>
      </c>
      <c r="T3008" s="26">
        <f>S3008*G3008</f>
        <v/>
      </c>
      <c r="U3008" s="26">
        <f>R3008-T3008</f>
        <v/>
      </c>
      <c r="V3008" s="26">
        <f>U3008-L3008</f>
        <v/>
      </c>
    </row>
    <row r="3009">
      <c r="A3009" s="11" t="n">
        <v>46232</v>
      </c>
      <c r="B3009" s="1" t="n">
        <v>20066</v>
      </c>
      <c r="C3009" s="1" t="inlineStr">
        <is>
          <t>058</t>
        </is>
      </c>
      <c r="D3009" s="1" t="inlineStr">
        <is>
          <t xml:space="preserve">61390 </t>
        </is>
      </c>
      <c r="E3009" s="1" t="inlineStr">
        <is>
          <t xml:space="preserve">28194770       </t>
        </is>
      </c>
      <c r="F3009" s="5" t="inlineStr">
        <is>
          <t>AUTOS DE METAL 3 TEAMSTERZ EN BLISTER</t>
        </is>
      </c>
      <c r="G3009" t="n">
        <v>1</v>
      </c>
      <c r="H3009" s="7" t="n">
        <v>6.9</v>
      </c>
      <c r="I3009" s="7" t="n">
        <v>0</v>
      </c>
      <c r="J3009" s="7" t="n">
        <v>0</v>
      </c>
      <c r="K3009" s="9" t="n">
        <v>0</v>
      </c>
      <c r="L3009" s="10" t="n">
        <v>4.1</v>
      </c>
      <c r="M3009" s="10" t="n">
        <v>1.43</v>
      </c>
      <c r="N3009" t="inlineStr">
        <is>
          <t>1</t>
        </is>
      </c>
      <c r="O3009" t="inlineStr">
        <is>
          <t xml:space="preserve">2 </t>
        </is>
      </c>
      <c r="P3009" t="inlineStr">
        <is>
          <t xml:space="preserve">44050   </t>
        </is>
      </c>
      <c r="Q3009" s="26" t="n">
        <v>4.09</v>
      </c>
      <c r="R3009" s="26">
        <f>Q3009*G3009</f>
        <v/>
      </c>
      <c r="S3009" s="26">
        <f>IFERROR(VLOOKUP(E3009*1,Tabla[#All],8,0),0)</f>
        <v/>
      </c>
      <c r="T3009" s="26">
        <f>S3009*G3009</f>
        <v/>
      </c>
      <c r="U3009" s="26">
        <f>R3009-T3009</f>
        <v/>
      </c>
      <c r="V3009" s="26">
        <f>U3009-L3009</f>
        <v/>
      </c>
    </row>
    <row r="3010">
      <c r="A3010" s="11" t="n">
        <v>46232</v>
      </c>
      <c r="B3010" s="1" t="n">
        <v>20066</v>
      </c>
      <c r="C3010" s="1" t="inlineStr">
        <is>
          <t>058</t>
        </is>
      </c>
      <c r="D3010" s="1" t="inlineStr">
        <is>
          <t xml:space="preserve">61426 </t>
        </is>
      </c>
      <c r="E3010" s="1" t="inlineStr">
        <is>
          <t xml:space="preserve">28194770       </t>
        </is>
      </c>
      <c r="F3010" s="5" t="inlineStr">
        <is>
          <t>AUTOS DE METAL 3 TEAMSTERZ EN BLISTER</t>
        </is>
      </c>
      <c r="G3010" t="n">
        <v>1</v>
      </c>
      <c r="H3010" s="7" t="n">
        <v>6.9</v>
      </c>
      <c r="I3010" s="7" t="n">
        <v>0</v>
      </c>
      <c r="J3010" s="7" t="n">
        <v>0</v>
      </c>
      <c r="K3010" s="9" t="n">
        <v>0</v>
      </c>
      <c r="L3010" s="10" t="n">
        <v>4.1</v>
      </c>
      <c r="M3010" s="10" t="n">
        <v>1.43</v>
      </c>
      <c r="N3010" t="inlineStr">
        <is>
          <t>1</t>
        </is>
      </c>
      <c r="O3010" t="inlineStr">
        <is>
          <t xml:space="preserve">2 </t>
        </is>
      </c>
      <c r="P3010" t="inlineStr">
        <is>
          <t xml:space="preserve">44050   </t>
        </is>
      </c>
      <c r="Q3010" s="26" t="n">
        <v>4.09</v>
      </c>
      <c r="R3010" s="26">
        <f>Q3010*G3010</f>
        <v/>
      </c>
      <c r="S3010" s="26">
        <f>IFERROR(VLOOKUP(E3010*1,Tabla[#All],8,0),0)</f>
        <v/>
      </c>
      <c r="T3010" s="26">
        <f>S3010*G3010</f>
        <v/>
      </c>
      <c r="U3010" s="26">
        <f>R3010-T3010</f>
        <v/>
      </c>
      <c r="V3010" s="26">
        <f>U3010-L3010</f>
        <v/>
      </c>
    </row>
    <row r="3011">
      <c r="A3011" s="11" t="n">
        <v>46232</v>
      </c>
      <c r="B3011" s="1" t="n">
        <v>20066</v>
      </c>
      <c r="C3011" s="1" t="inlineStr">
        <is>
          <t>058</t>
        </is>
      </c>
      <c r="D3011" s="1" t="inlineStr">
        <is>
          <t xml:space="preserve">61439 </t>
        </is>
      </c>
      <c r="E3011" s="1" t="inlineStr">
        <is>
          <t xml:space="preserve">28194770       </t>
        </is>
      </c>
      <c r="F3011" s="5" t="inlineStr">
        <is>
          <t>AUTOS DE METAL 3 TEAMSTERZ EN BLISTER</t>
        </is>
      </c>
      <c r="G3011" t="n">
        <v>1</v>
      </c>
      <c r="H3011" s="7" t="n">
        <v>6.9</v>
      </c>
      <c r="I3011" s="7" t="n">
        <v>0</v>
      </c>
      <c r="J3011" s="7" t="n">
        <v>0</v>
      </c>
      <c r="K3011" s="9" t="n">
        <v>0</v>
      </c>
      <c r="L3011" s="10" t="n">
        <v>4.1</v>
      </c>
      <c r="M3011" s="10" t="n">
        <v>1.43</v>
      </c>
      <c r="N3011" t="inlineStr">
        <is>
          <t>1</t>
        </is>
      </c>
      <c r="O3011" t="inlineStr">
        <is>
          <t>16</t>
        </is>
      </c>
      <c r="P3011" t="inlineStr">
        <is>
          <t xml:space="preserve">44050   </t>
        </is>
      </c>
      <c r="Q3011" s="26" t="n">
        <v>4.09</v>
      </c>
      <c r="R3011" s="26">
        <f>Q3011*G3011</f>
        <v/>
      </c>
      <c r="S3011" s="26">
        <f>IFERROR(VLOOKUP(E3011*1,Tabla[#All],8,0),0)</f>
        <v/>
      </c>
      <c r="T3011" s="26">
        <f>S3011*G3011</f>
        <v/>
      </c>
      <c r="U3011" s="26">
        <f>R3011-T3011</f>
        <v/>
      </c>
      <c r="V3011" s="26">
        <f>U3011-L3011</f>
        <v/>
      </c>
    </row>
    <row r="3012">
      <c r="A3012" s="11" t="n">
        <v>46232</v>
      </c>
      <c r="B3012" s="1" t="n">
        <v>20066</v>
      </c>
      <c r="C3012" s="1" t="inlineStr">
        <is>
          <t>059</t>
        </is>
      </c>
      <c r="D3012" s="1" t="inlineStr">
        <is>
          <t xml:space="preserve">21073 </t>
        </is>
      </c>
      <c r="E3012" s="1" t="inlineStr">
        <is>
          <t xml:space="preserve">28194770       </t>
        </is>
      </c>
      <c r="F3012" s="5" t="inlineStr">
        <is>
          <t>AUTOS DE METAL 3 TEAMSTERZ EN BLISTER</t>
        </is>
      </c>
      <c r="G3012" t="n">
        <v>1</v>
      </c>
      <c r="H3012" s="7" t="n">
        <v>6.9</v>
      </c>
      <c r="I3012" s="7" t="n">
        <v>0</v>
      </c>
      <c r="J3012" s="7" t="n">
        <v>0</v>
      </c>
      <c r="K3012" s="9" t="n">
        <v>0</v>
      </c>
      <c r="L3012" s="10" t="n">
        <v>4.1</v>
      </c>
      <c r="M3012" s="10" t="n">
        <v>1.43</v>
      </c>
      <c r="N3012" t="inlineStr">
        <is>
          <t>1</t>
        </is>
      </c>
      <c r="O3012" t="inlineStr">
        <is>
          <t>16</t>
        </is>
      </c>
      <c r="P3012" t="inlineStr">
        <is>
          <t xml:space="preserve">12745   </t>
        </is>
      </c>
      <c r="Q3012" s="26" t="n">
        <v>4.09</v>
      </c>
      <c r="R3012" s="26">
        <f>Q3012*G3012</f>
        <v/>
      </c>
      <c r="S3012" s="26">
        <f>IFERROR(VLOOKUP(E3012*1,Tabla[#All],8,0),0)</f>
        <v/>
      </c>
      <c r="T3012" s="26">
        <f>S3012*G3012</f>
        <v/>
      </c>
      <c r="U3012" s="26">
        <f>R3012-T3012</f>
        <v/>
      </c>
      <c r="V3012" s="26">
        <f>U3012-L3012</f>
        <v/>
      </c>
    </row>
    <row r="3013">
      <c r="A3013" s="11" t="n">
        <v>46232</v>
      </c>
      <c r="B3013" s="1" t="n">
        <v>20066</v>
      </c>
      <c r="C3013" s="1" t="inlineStr">
        <is>
          <t>061</t>
        </is>
      </c>
      <c r="D3013" s="1" t="inlineStr">
        <is>
          <t xml:space="preserve">36718 </t>
        </is>
      </c>
      <c r="E3013" s="1" t="inlineStr">
        <is>
          <t xml:space="preserve">28194767       </t>
        </is>
      </c>
      <c r="F3013" s="5" t="inlineStr">
        <is>
          <t>CAMIONES TEAMSTERZ DE EMERGENCIA</t>
        </is>
      </c>
      <c r="G3013" t="n">
        <v>1</v>
      </c>
      <c r="H3013" s="7" t="n">
        <v>17.9</v>
      </c>
      <c r="I3013" s="7" t="n">
        <v>0</v>
      </c>
      <c r="J3013" s="7" t="n">
        <v>0</v>
      </c>
      <c r="K3013" s="9" t="n">
        <v>0</v>
      </c>
      <c r="L3013" s="10" t="n">
        <v>10.62</v>
      </c>
      <c r="M3013" s="10" t="n">
        <v>1.43</v>
      </c>
      <c r="N3013" t="inlineStr">
        <is>
          <t>1</t>
        </is>
      </c>
      <c r="O3013" t="inlineStr">
        <is>
          <t>16</t>
        </is>
      </c>
      <c r="P3013" t="inlineStr">
        <is>
          <t xml:space="preserve">43276   </t>
        </is>
      </c>
      <c r="Q3013" s="26" t="n">
        <v>10.62</v>
      </c>
      <c r="R3013" s="26">
        <f>Q3013*G3013</f>
        <v/>
      </c>
      <c r="S3013" s="26">
        <f>IFERROR(VLOOKUP(E3013*1,Tabla[#All],8,0),0)</f>
        <v/>
      </c>
      <c r="T3013" s="26">
        <f>S3013*G3013</f>
        <v/>
      </c>
      <c r="U3013" s="26">
        <f>R3013-T3013</f>
        <v/>
      </c>
      <c r="V3013" s="26">
        <f>U3013-L3013</f>
        <v/>
      </c>
    </row>
    <row r="3014">
      <c r="A3014" s="11" t="n">
        <v>46232</v>
      </c>
      <c r="B3014" s="1" t="n">
        <v>20066</v>
      </c>
      <c r="C3014" s="1" t="inlineStr">
        <is>
          <t>061</t>
        </is>
      </c>
      <c r="D3014" s="1" t="inlineStr">
        <is>
          <t xml:space="preserve">36718 </t>
        </is>
      </c>
      <c r="E3014" s="1" t="inlineStr">
        <is>
          <t xml:space="preserve">28194770       </t>
        </is>
      </c>
      <c r="F3014" s="5" t="inlineStr">
        <is>
          <t>AUTOS DE METAL 3 TEAMSTERZ EN BLISTER</t>
        </is>
      </c>
      <c r="G3014" t="n">
        <v>1</v>
      </c>
      <c r="H3014" s="7" t="n">
        <v>6.9</v>
      </c>
      <c r="I3014" s="7" t="n">
        <v>0</v>
      </c>
      <c r="J3014" s="7" t="n">
        <v>0</v>
      </c>
      <c r="K3014" s="9" t="n">
        <v>0</v>
      </c>
      <c r="L3014" s="10" t="n">
        <v>4.1</v>
      </c>
      <c r="M3014" s="10" t="n">
        <v>1.43</v>
      </c>
      <c r="N3014" t="inlineStr">
        <is>
          <t>1</t>
        </is>
      </c>
      <c r="O3014" t="inlineStr">
        <is>
          <t>16</t>
        </is>
      </c>
      <c r="P3014" t="inlineStr">
        <is>
          <t xml:space="preserve">43276   </t>
        </is>
      </c>
      <c r="Q3014" s="26" t="n">
        <v>4.09</v>
      </c>
      <c r="R3014" s="26">
        <f>Q3014*G3014</f>
        <v/>
      </c>
      <c r="S3014" s="26">
        <f>IFERROR(VLOOKUP(E3014*1,Tabla[#All],8,0),0)</f>
        <v/>
      </c>
      <c r="T3014" s="26">
        <f>S3014*G3014</f>
        <v/>
      </c>
      <c r="U3014" s="26">
        <f>R3014-T3014</f>
        <v/>
      </c>
      <c r="V3014" s="26">
        <f>U3014-L3014</f>
        <v/>
      </c>
    </row>
    <row r="3015">
      <c r="A3015" s="11" t="n">
        <v>46232</v>
      </c>
      <c r="B3015" s="1" t="n">
        <v>20066</v>
      </c>
      <c r="C3015" s="1" t="inlineStr">
        <is>
          <t>061</t>
        </is>
      </c>
      <c r="D3015" s="1" t="inlineStr">
        <is>
          <t xml:space="preserve">36718 </t>
        </is>
      </c>
      <c r="E3015" s="1" t="inlineStr">
        <is>
          <t xml:space="preserve">28194770       </t>
        </is>
      </c>
      <c r="F3015" s="5" t="inlineStr">
        <is>
          <t>AUTOS DE METAL 3 TEAMSTERZ EN BLISTER</t>
        </is>
      </c>
      <c r="G3015" t="n">
        <v>1</v>
      </c>
      <c r="H3015" s="7" t="n">
        <v>6.9</v>
      </c>
      <c r="I3015" s="7" t="n">
        <v>0</v>
      </c>
      <c r="J3015" s="7" t="n">
        <v>0</v>
      </c>
      <c r="K3015" s="9" t="n">
        <v>0</v>
      </c>
      <c r="L3015" s="10" t="n">
        <v>4.1</v>
      </c>
      <c r="M3015" s="10" t="n">
        <v>1.43</v>
      </c>
      <c r="N3015" t="inlineStr">
        <is>
          <t>1</t>
        </is>
      </c>
      <c r="O3015" t="inlineStr">
        <is>
          <t>16</t>
        </is>
      </c>
      <c r="P3015" t="inlineStr">
        <is>
          <t xml:space="preserve">43276   </t>
        </is>
      </c>
      <c r="Q3015" s="26" t="n">
        <v>4.09</v>
      </c>
      <c r="R3015" s="26">
        <f>Q3015*G3015</f>
        <v/>
      </c>
      <c r="S3015" s="26">
        <f>IFERROR(VLOOKUP(E3015*1,Tabla[#All],8,0),0)</f>
        <v/>
      </c>
      <c r="T3015" s="26">
        <f>S3015*G3015</f>
        <v/>
      </c>
      <c r="U3015" s="26">
        <f>R3015-T3015</f>
        <v/>
      </c>
      <c r="V3015" s="26">
        <f>U3015-L3015</f>
        <v/>
      </c>
    </row>
    <row r="3016">
      <c r="A3016" s="11" t="n">
        <v>46232</v>
      </c>
      <c r="B3016" s="1" t="n">
        <v>20066</v>
      </c>
      <c r="C3016" s="1" t="inlineStr">
        <is>
          <t>831</t>
        </is>
      </c>
      <c r="D3016" s="1" t="inlineStr">
        <is>
          <t xml:space="preserve">7441  </t>
        </is>
      </c>
      <c r="E3016" s="1" t="inlineStr">
        <is>
          <t xml:space="preserve">28194770       </t>
        </is>
      </c>
      <c r="F3016" s="5" t="inlineStr">
        <is>
          <t>AUTOS DE METAL 3 TEAMSTERZ EN BLISTER</t>
        </is>
      </c>
      <c r="G3016" t="n">
        <v>1</v>
      </c>
      <c r="H3016" s="7" t="n">
        <v>6.9</v>
      </c>
      <c r="I3016" s="7" t="n">
        <v>0</v>
      </c>
      <c r="J3016" s="7" t="n">
        <v>0</v>
      </c>
      <c r="K3016" s="9" t="n">
        <v>0</v>
      </c>
      <c r="L3016" s="10" t="n">
        <v>4.1</v>
      </c>
      <c r="M3016" s="10" t="n">
        <v>1.43</v>
      </c>
      <c r="N3016" t="inlineStr">
        <is>
          <t>1</t>
        </is>
      </c>
      <c r="O3016" t="inlineStr">
        <is>
          <t>16</t>
        </is>
      </c>
      <c r="P3016" t="inlineStr">
        <is>
          <t xml:space="preserve">0       </t>
        </is>
      </c>
      <c r="Q3016" s="26" t="n">
        <v>4.09</v>
      </c>
      <c r="R3016" s="26">
        <f>Q3016*G3016</f>
        <v/>
      </c>
      <c r="S3016" s="26">
        <f>IFERROR(VLOOKUP(E3016*1,Tabla[#All],8,0),0)</f>
        <v/>
      </c>
      <c r="T3016" s="26">
        <f>S3016*G3016</f>
        <v/>
      </c>
      <c r="U3016" s="26">
        <f>R3016-T3016</f>
        <v/>
      </c>
      <c r="V3016" s="26">
        <f>U3016-L3016</f>
        <v/>
      </c>
    </row>
    <row r="3017">
      <c r="A3017" s="11" t="n">
        <v>46232</v>
      </c>
      <c r="B3017" s="1" t="n">
        <v>20066</v>
      </c>
      <c r="C3017" s="1" t="inlineStr">
        <is>
          <t>831</t>
        </is>
      </c>
      <c r="D3017" s="1" t="inlineStr">
        <is>
          <t xml:space="preserve">7449  </t>
        </is>
      </c>
      <c r="E3017" s="1" t="inlineStr">
        <is>
          <t xml:space="preserve">28194767       </t>
        </is>
      </c>
      <c r="F3017" s="5" t="inlineStr">
        <is>
          <t>CAMIONES TEAMSTERZ DE EMERGENCIA</t>
        </is>
      </c>
      <c r="G3017" t="n">
        <v>1</v>
      </c>
      <c r="H3017" s="7" t="n">
        <v>17.9</v>
      </c>
      <c r="I3017" s="7" t="n">
        <v>0</v>
      </c>
      <c r="J3017" s="7" t="n">
        <v>0</v>
      </c>
      <c r="K3017" s="9" t="n">
        <v>0</v>
      </c>
      <c r="L3017" s="10" t="n">
        <v>10.62</v>
      </c>
      <c r="M3017" s="10" t="n">
        <v>1.43</v>
      </c>
      <c r="N3017" t="inlineStr">
        <is>
          <t>1</t>
        </is>
      </c>
      <c r="O3017" t="inlineStr">
        <is>
          <t>16</t>
        </is>
      </c>
      <c r="P3017" t="inlineStr">
        <is>
          <t xml:space="preserve">247448  </t>
        </is>
      </c>
      <c r="Q3017" s="26" t="n">
        <v>10.62</v>
      </c>
      <c r="R3017" s="26">
        <f>Q3017*G3017</f>
        <v/>
      </c>
      <c r="S3017" s="26">
        <f>IFERROR(VLOOKUP(E3017*1,Tabla[#All],8,0),0)</f>
        <v/>
      </c>
      <c r="T3017" s="26">
        <f>S3017*G3017</f>
        <v/>
      </c>
      <c r="U3017" s="26">
        <f>R3017-T3017</f>
        <v/>
      </c>
      <c r="V3017" s="26">
        <f>U3017-L3017</f>
        <v/>
      </c>
    </row>
    <row r="3018">
      <c r="A3018" s="11" t="n">
        <v>46232</v>
      </c>
      <c r="B3018" s="1" t="n">
        <v>20066</v>
      </c>
      <c r="C3018" s="1" t="inlineStr">
        <is>
          <t>832</t>
        </is>
      </c>
      <c r="D3018" s="1" t="inlineStr">
        <is>
          <t xml:space="preserve">3608  </t>
        </is>
      </c>
      <c r="E3018" s="1" t="inlineStr">
        <is>
          <t xml:space="preserve">28194769       </t>
        </is>
      </c>
      <c r="F3018" s="5" t="inlineStr">
        <is>
          <t>AUTOS DE METAL 3 TEAMSTERZ PACK DE 2</t>
        </is>
      </c>
      <c r="G3018" t="n">
        <v>1</v>
      </c>
      <c r="H3018" s="7" t="n">
        <v>13.8</v>
      </c>
      <c r="I3018" s="7" t="n">
        <v>0</v>
      </c>
      <c r="J3018" s="7" t="n">
        <v>0</v>
      </c>
      <c r="K3018" s="9" t="n">
        <v>0</v>
      </c>
      <c r="L3018" s="10" t="n">
        <v>8.18</v>
      </c>
      <c r="M3018" s="10" t="n">
        <v>1.43</v>
      </c>
      <c r="N3018" t="inlineStr">
        <is>
          <t>1</t>
        </is>
      </c>
      <c r="O3018" t="inlineStr">
        <is>
          <t>16</t>
        </is>
      </c>
      <c r="P3018" t="inlineStr">
        <is>
          <t xml:space="preserve">247447  </t>
        </is>
      </c>
      <c r="Q3018" s="26" t="n">
        <v>8.19</v>
      </c>
      <c r="R3018" s="26">
        <f>Q3018*G3018</f>
        <v/>
      </c>
      <c r="S3018" s="26">
        <f>IFERROR(VLOOKUP(E3018*1,Tabla[#All],8,0),0)</f>
        <v/>
      </c>
      <c r="T3018" s="26">
        <f>S3018*G3018</f>
        <v/>
      </c>
      <c r="U3018" s="26">
        <f>R3018-T3018</f>
        <v/>
      </c>
      <c r="V3018" s="26">
        <f>U3018-L3018</f>
        <v/>
      </c>
    </row>
    <row r="3019">
      <c r="A3019" s="11" t="n">
        <v>46232</v>
      </c>
      <c r="B3019" s="1" t="n">
        <v>20069</v>
      </c>
      <c r="C3019" s="1" t="inlineStr">
        <is>
          <t>011</t>
        </is>
      </c>
      <c r="D3019" s="1" t="inlineStr">
        <is>
          <t>196625</t>
        </is>
      </c>
      <c r="E3019" s="1" t="inlineStr">
        <is>
          <t xml:space="preserve">28194770       </t>
        </is>
      </c>
      <c r="F3019" s="5" t="inlineStr">
        <is>
          <t>AUTOS DE METAL 3 TEAMSTERZ EN BLISTER</t>
        </is>
      </c>
      <c r="G3019" t="n">
        <v>1</v>
      </c>
      <c r="H3019" s="7" t="n">
        <v>6.9</v>
      </c>
      <c r="I3019" s="7" t="n">
        <v>0</v>
      </c>
      <c r="J3019" s="7" t="n">
        <v>0</v>
      </c>
      <c r="K3019" s="9" t="n">
        <v>0</v>
      </c>
      <c r="L3019" s="10" t="n">
        <v>4.1</v>
      </c>
      <c r="M3019" s="10" t="n">
        <v>1.43</v>
      </c>
      <c r="N3019" t="inlineStr">
        <is>
          <t>1</t>
        </is>
      </c>
      <c r="O3019" t="inlineStr">
        <is>
          <t>16</t>
        </is>
      </c>
      <c r="P3019" t="inlineStr">
        <is>
          <t xml:space="preserve">248540  </t>
        </is>
      </c>
      <c r="Q3019" s="26" t="n">
        <v>4.09</v>
      </c>
      <c r="R3019" s="26">
        <f>Q3019*G3019</f>
        <v/>
      </c>
      <c r="S3019" s="26">
        <f>IFERROR(VLOOKUP(E3019*1,Tabla[#All],8,0),0)</f>
        <v/>
      </c>
      <c r="T3019" s="26">
        <f>S3019*G3019</f>
        <v/>
      </c>
      <c r="U3019" s="26">
        <f>R3019-T3019</f>
        <v/>
      </c>
      <c r="V3019" s="26">
        <f>U3019-L3019</f>
        <v/>
      </c>
    </row>
    <row r="3020">
      <c r="A3020" s="11" t="n">
        <v>46232</v>
      </c>
      <c r="B3020" s="1" t="n">
        <v>20069</v>
      </c>
      <c r="C3020" s="1" t="inlineStr">
        <is>
          <t>011</t>
        </is>
      </c>
      <c r="D3020" s="1" t="inlineStr">
        <is>
          <t>196625</t>
        </is>
      </c>
      <c r="E3020" s="1" t="inlineStr">
        <is>
          <t xml:space="preserve">28194770       </t>
        </is>
      </c>
      <c r="F3020" s="5" t="inlineStr">
        <is>
          <t>AUTOS DE METAL 3 TEAMSTERZ EN BLISTER</t>
        </is>
      </c>
      <c r="G3020" t="n">
        <v>1</v>
      </c>
      <c r="H3020" s="7" t="n">
        <v>6.9</v>
      </c>
      <c r="I3020" s="7" t="n">
        <v>0</v>
      </c>
      <c r="J3020" s="7" t="n">
        <v>0</v>
      </c>
      <c r="K3020" s="9" t="n">
        <v>0</v>
      </c>
      <c r="L3020" s="10" t="n">
        <v>4.1</v>
      </c>
      <c r="M3020" s="10" t="n">
        <v>1.43</v>
      </c>
      <c r="N3020" t="inlineStr">
        <is>
          <t>1</t>
        </is>
      </c>
      <c r="O3020" t="inlineStr">
        <is>
          <t>16</t>
        </is>
      </c>
      <c r="P3020" t="inlineStr">
        <is>
          <t xml:space="preserve">248540  </t>
        </is>
      </c>
      <c r="Q3020" s="26" t="n">
        <v>4.09</v>
      </c>
      <c r="R3020" s="26">
        <f>Q3020*G3020</f>
        <v/>
      </c>
      <c r="S3020" s="26">
        <f>IFERROR(VLOOKUP(E3020*1,Tabla[#All],8,0),0)</f>
        <v/>
      </c>
      <c r="T3020" s="26">
        <f>S3020*G3020</f>
        <v/>
      </c>
      <c r="U3020" s="26">
        <f>R3020-T3020</f>
        <v/>
      </c>
      <c r="V3020" s="26">
        <f>U3020-L3020</f>
        <v/>
      </c>
    </row>
    <row r="3021">
      <c r="A3021" s="11" t="n">
        <v>46232</v>
      </c>
      <c r="B3021" s="1" t="n">
        <v>20069</v>
      </c>
      <c r="C3021" s="1" t="inlineStr">
        <is>
          <t>011</t>
        </is>
      </c>
      <c r="D3021" s="1" t="inlineStr">
        <is>
          <t>196625</t>
        </is>
      </c>
      <c r="E3021" s="1" t="inlineStr">
        <is>
          <t xml:space="preserve">28194770       </t>
        </is>
      </c>
      <c r="F3021" s="5" t="inlineStr">
        <is>
          <t>AUTOS DE METAL 3 TEAMSTERZ EN BLISTER</t>
        </is>
      </c>
      <c r="G3021" t="n">
        <v>1</v>
      </c>
      <c r="H3021" s="7" t="n">
        <v>6.9</v>
      </c>
      <c r="I3021" s="7" t="n">
        <v>0</v>
      </c>
      <c r="J3021" s="7" t="n">
        <v>0</v>
      </c>
      <c r="K3021" s="9" t="n">
        <v>0</v>
      </c>
      <c r="L3021" s="10" t="n">
        <v>4.1</v>
      </c>
      <c r="M3021" s="10" t="n">
        <v>1.43</v>
      </c>
      <c r="N3021" t="inlineStr">
        <is>
          <t>1</t>
        </is>
      </c>
      <c r="O3021" t="inlineStr">
        <is>
          <t>16</t>
        </is>
      </c>
      <c r="P3021" t="inlineStr">
        <is>
          <t xml:space="preserve">248540  </t>
        </is>
      </c>
      <c r="Q3021" s="26" t="n">
        <v>4.09</v>
      </c>
      <c r="R3021" s="26">
        <f>Q3021*G3021</f>
        <v/>
      </c>
      <c r="S3021" s="26">
        <f>IFERROR(VLOOKUP(E3021*1,Tabla[#All],8,0),0)</f>
        <v/>
      </c>
      <c r="T3021" s="26">
        <f>S3021*G3021</f>
        <v/>
      </c>
      <c r="U3021" s="26">
        <f>R3021-T3021</f>
        <v/>
      </c>
      <c r="V3021" s="26">
        <f>U3021-L3021</f>
        <v/>
      </c>
    </row>
    <row r="3022">
      <c r="A3022" s="11" t="n">
        <v>46232</v>
      </c>
      <c r="B3022" s="1" t="n">
        <v>20069</v>
      </c>
      <c r="C3022" s="1" t="inlineStr">
        <is>
          <t>024</t>
        </is>
      </c>
      <c r="D3022" s="1" t="inlineStr">
        <is>
          <t>106112</t>
        </is>
      </c>
      <c r="E3022" s="1" t="inlineStr">
        <is>
          <t xml:space="preserve">31754679       </t>
        </is>
      </c>
      <c r="F3022" s="5" t="inlineStr">
        <is>
          <t>RELOJ DIGITAL CRY BABIES</t>
        </is>
      </c>
      <c r="G3022" t="n">
        <v>1</v>
      </c>
      <c r="H3022" s="7" t="n">
        <v>18.9</v>
      </c>
      <c r="I3022" s="7" t="n">
        <v>0</v>
      </c>
      <c r="J3022" s="7" t="n">
        <v>0</v>
      </c>
      <c r="K3022" s="9" t="n">
        <v>0</v>
      </c>
      <c r="L3022" s="10" t="n">
        <v>11.21</v>
      </c>
      <c r="M3022" s="10" t="n">
        <v>1.43</v>
      </c>
      <c r="N3022" t="inlineStr">
        <is>
          <t>1</t>
        </is>
      </c>
      <c r="O3022" t="inlineStr">
        <is>
          <t>16</t>
        </is>
      </c>
      <c r="P3022" t="inlineStr">
        <is>
          <t xml:space="preserve">247845  </t>
        </is>
      </c>
      <c r="Q3022" s="26" t="n">
        <v>11.21</v>
      </c>
      <c r="R3022" s="26">
        <f>Q3022*G3022</f>
        <v/>
      </c>
      <c r="S3022" s="26">
        <f>IFERROR(VLOOKUP(E3022*1,Tabla[#All],8,0),0)</f>
        <v/>
      </c>
      <c r="T3022" s="26">
        <f>S3022*G3022</f>
        <v/>
      </c>
      <c r="U3022" s="26">
        <f>R3022-T3022</f>
        <v/>
      </c>
      <c r="V3022" s="26">
        <f>U3022-L3022</f>
        <v/>
      </c>
    </row>
    <row r="3023">
      <c r="A3023" s="11" t="n">
        <v>46232</v>
      </c>
      <c r="B3023" s="1" t="n">
        <v>20069</v>
      </c>
      <c r="C3023" s="1" t="inlineStr">
        <is>
          <t>026</t>
        </is>
      </c>
      <c r="D3023" s="1" t="inlineStr">
        <is>
          <t>360501</t>
        </is>
      </c>
      <c r="E3023" s="1" t="inlineStr">
        <is>
          <t xml:space="preserve">31959968       </t>
        </is>
      </c>
      <c r="F3023" s="5" t="inlineStr">
        <is>
          <t>PINYPON FIGURAS BASICAS SERIE 13 DISP. 56</t>
        </is>
      </c>
      <c r="G3023" t="n">
        <v>1</v>
      </c>
      <c r="H3023" s="7" t="n">
        <v>10.74</v>
      </c>
      <c r="I3023" s="7" t="n">
        <v>0</v>
      </c>
      <c r="J3023" s="7" t="n">
        <v>0</v>
      </c>
      <c r="K3023" s="9" t="n">
        <v>0</v>
      </c>
      <c r="L3023" s="10" t="n">
        <v>6.37</v>
      </c>
      <c r="M3023" s="10" t="n">
        <v>1.43</v>
      </c>
      <c r="N3023" t="inlineStr">
        <is>
          <t>1</t>
        </is>
      </c>
      <c r="O3023" t="inlineStr">
        <is>
          <t xml:space="preserve">2 </t>
        </is>
      </c>
      <c r="P3023" t="inlineStr">
        <is>
          <t xml:space="preserve">249779  </t>
        </is>
      </c>
      <c r="Q3023" s="26" t="n">
        <v>10.62</v>
      </c>
      <c r="R3023" s="26">
        <f>Q3023*G3023</f>
        <v/>
      </c>
      <c r="S3023" s="26">
        <f>IFERROR(VLOOKUP(E3023*1,Tabla[#All],8,0),0)</f>
        <v/>
      </c>
      <c r="T3023" s="26">
        <f>S3023*G3023</f>
        <v/>
      </c>
      <c r="U3023" s="26">
        <f>R3023-T3023</f>
        <v/>
      </c>
      <c r="V3023" s="26">
        <f>U3023-L3023</f>
        <v/>
      </c>
    </row>
    <row r="3024">
      <c r="A3024" s="11" t="n">
        <v>46232</v>
      </c>
      <c r="B3024" s="1" t="n">
        <v>20069</v>
      </c>
      <c r="C3024" s="1" t="inlineStr">
        <is>
          <t>190</t>
        </is>
      </c>
      <c r="D3024" s="1" t="inlineStr">
        <is>
          <t>300893</t>
        </is>
      </c>
      <c r="E3024" s="1" t="inlineStr">
        <is>
          <t xml:space="preserve">28194769       </t>
        </is>
      </c>
      <c r="F3024" s="5" t="inlineStr">
        <is>
          <t>AUTOS DE METAL 3 TEAMSTERZ PACK DE 2</t>
        </is>
      </c>
      <c r="G3024" t="n">
        <v>1</v>
      </c>
      <c r="H3024" s="7" t="n">
        <v>13.8</v>
      </c>
      <c r="I3024" s="7" t="n">
        <v>0</v>
      </c>
      <c r="J3024" s="7" t="n">
        <v>0</v>
      </c>
      <c r="K3024" s="9" t="n">
        <v>0</v>
      </c>
      <c r="L3024" s="10" t="n">
        <v>8.18</v>
      </c>
      <c r="M3024" s="10" t="n">
        <v>1.43</v>
      </c>
      <c r="N3024" t="inlineStr">
        <is>
          <t>1</t>
        </is>
      </c>
      <c r="O3024" t="inlineStr">
        <is>
          <t>16</t>
        </is>
      </c>
      <c r="P3024" t="inlineStr">
        <is>
          <t xml:space="preserve">247842  </t>
        </is>
      </c>
      <c r="Q3024" s="26" t="n">
        <v>8.19</v>
      </c>
      <c r="R3024" s="26">
        <f>Q3024*G3024</f>
        <v/>
      </c>
      <c r="S3024" s="26">
        <f>IFERROR(VLOOKUP(E3024*1,Tabla[#All],8,0),0)</f>
        <v/>
      </c>
      <c r="T3024" s="26">
        <f>S3024*G3024</f>
        <v/>
      </c>
      <c r="U3024" s="26">
        <f>R3024-T3024</f>
        <v/>
      </c>
      <c r="V3024" s="26">
        <f>U3024-L3024</f>
        <v/>
      </c>
    </row>
    <row r="3025">
      <c r="A3025" s="11" t="n">
        <v>46232</v>
      </c>
      <c r="B3025" s="1" t="n">
        <v>20069</v>
      </c>
      <c r="C3025" s="1" t="inlineStr">
        <is>
          <t>190</t>
        </is>
      </c>
      <c r="D3025" s="1" t="inlineStr">
        <is>
          <t>300893</t>
        </is>
      </c>
      <c r="E3025" s="1" t="inlineStr">
        <is>
          <t xml:space="preserve">28194769       </t>
        </is>
      </c>
      <c r="F3025" s="5" t="inlineStr">
        <is>
          <t>AUTOS DE METAL 3 TEAMSTERZ PACK DE 2</t>
        </is>
      </c>
      <c r="G3025" t="n">
        <v>1</v>
      </c>
      <c r="H3025" s="7" t="n">
        <v>13.8</v>
      </c>
      <c r="I3025" s="7" t="n">
        <v>0</v>
      </c>
      <c r="J3025" s="7" t="n">
        <v>0</v>
      </c>
      <c r="K3025" s="9" t="n">
        <v>0</v>
      </c>
      <c r="L3025" s="10" t="n">
        <v>8.18</v>
      </c>
      <c r="M3025" s="10" t="n">
        <v>1.43</v>
      </c>
      <c r="N3025" t="inlineStr">
        <is>
          <t>1</t>
        </is>
      </c>
      <c r="O3025" t="inlineStr">
        <is>
          <t>16</t>
        </is>
      </c>
      <c r="P3025" t="inlineStr">
        <is>
          <t xml:space="preserve">247842  </t>
        </is>
      </c>
      <c r="Q3025" s="26" t="n">
        <v>8.19</v>
      </c>
      <c r="R3025" s="26">
        <f>Q3025*G3025</f>
        <v/>
      </c>
      <c r="S3025" s="26">
        <f>IFERROR(VLOOKUP(E3025*1,Tabla[#All],8,0),0)</f>
        <v/>
      </c>
      <c r="T3025" s="26">
        <f>S3025*G3025</f>
        <v/>
      </c>
      <c r="U3025" s="26">
        <f>R3025-T3025</f>
        <v/>
      </c>
      <c r="V3025" s="26">
        <f>U3025-L3025</f>
        <v/>
      </c>
    </row>
    <row r="3026">
      <c r="A3026" s="11" t="n">
        <v>46232</v>
      </c>
      <c r="B3026" s="1" t="n">
        <v>20073</v>
      </c>
      <c r="C3026" s="1" t="inlineStr">
        <is>
          <t>015</t>
        </is>
      </c>
      <c r="D3026" s="1" t="inlineStr">
        <is>
          <t xml:space="preserve">88323 </t>
        </is>
      </c>
      <c r="E3026" s="1" t="inlineStr">
        <is>
          <t xml:space="preserve">28194769       </t>
        </is>
      </c>
      <c r="F3026" s="5" t="inlineStr">
        <is>
          <t>AUTOS DE METAL 3 TEAMSTERZ PACK DE 2</t>
        </is>
      </c>
      <c r="G3026" t="n">
        <v>1</v>
      </c>
      <c r="H3026" s="7" t="n">
        <v>13.8</v>
      </c>
      <c r="I3026" s="7" t="n">
        <v>0</v>
      </c>
      <c r="J3026" s="7" t="n">
        <v>0</v>
      </c>
      <c r="K3026" s="9" t="n">
        <v>0</v>
      </c>
      <c r="L3026" s="10" t="n">
        <v>8.18</v>
      </c>
      <c r="M3026" s="10" t="n">
        <v>1.43</v>
      </c>
      <c r="N3026" t="inlineStr">
        <is>
          <t>1</t>
        </is>
      </c>
      <c r="O3026" t="inlineStr">
        <is>
          <t>16</t>
        </is>
      </c>
      <c r="P3026" t="inlineStr">
        <is>
          <t xml:space="preserve">99857   </t>
        </is>
      </c>
      <c r="Q3026" s="26" t="n">
        <v>8.19</v>
      </c>
      <c r="R3026" s="26">
        <f>Q3026*G3026</f>
        <v/>
      </c>
      <c r="S3026" s="26">
        <f>IFERROR(VLOOKUP(E3026*1,Tabla[#All],8,0),0)</f>
        <v/>
      </c>
      <c r="T3026" s="26">
        <f>S3026*G3026</f>
        <v/>
      </c>
      <c r="U3026" s="26">
        <f>R3026-T3026</f>
        <v/>
      </c>
      <c r="V3026" s="26">
        <f>U3026-L3026</f>
        <v/>
      </c>
    </row>
    <row r="3027">
      <c r="A3027" s="11" t="n">
        <v>46232</v>
      </c>
      <c r="B3027" s="1" t="n">
        <v>20073</v>
      </c>
      <c r="C3027" s="1" t="inlineStr">
        <is>
          <t>037</t>
        </is>
      </c>
      <c r="D3027" s="1" t="inlineStr">
        <is>
          <t>296796</t>
        </is>
      </c>
      <c r="E3027" s="1" t="inlineStr">
        <is>
          <t xml:space="preserve">28194770       </t>
        </is>
      </c>
      <c r="F3027" s="5" t="inlineStr">
        <is>
          <t>AUTOS DE METAL 3 TEAMSTERZ EN BLISTER</t>
        </is>
      </c>
      <c r="G3027" t="n">
        <v>1</v>
      </c>
      <c r="H3027" s="7" t="n">
        <v>6.9</v>
      </c>
      <c r="I3027" s="7" t="n">
        <v>0</v>
      </c>
      <c r="J3027" s="7" t="n">
        <v>0</v>
      </c>
      <c r="K3027" s="9" t="n">
        <v>0</v>
      </c>
      <c r="L3027" s="10" t="n">
        <v>4.1</v>
      </c>
      <c r="M3027" s="10" t="n">
        <v>1.43</v>
      </c>
      <c r="N3027" t="inlineStr">
        <is>
          <t>1</t>
        </is>
      </c>
      <c r="O3027" t="inlineStr">
        <is>
          <t>16</t>
        </is>
      </c>
      <c r="P3027" t="inlineStr">
        <is>
          <t xml:space="preserve">13762   </t>
        </is>
      </c>
      <c r="Q3027" s="26" t="n">
        <v>4.09</v>
      </c>
      <c r="R3027" s="26">
        <f>Q3027*G3027</f>
        <v/>
      </c>
      <c r="S3027" s="26">
        <f>IFERROR(VLOOKUP(E3027*1,Tabla[#All],8,0),0)</f>
        <v/>
      </c>
      <c r="T3027" s="26">
        <f>S3027*G3027</f>
        <v/>
      </c>
      <c r="U3027" s="26">
        <f>R3027-T3027</f>
        <v/>
      </c>
      <c r="V3027" s="26">
        <f>U3027-L3027</f>
        <v/>
      </c>
    </row>
    <row r="3028">
      <c r="A3028" s="11" t="n">
        <v>46232</v>
      </c>
      <c r="B3028" s="1" t="n">
        <v>20073</v>
      </c>
      <c r="C3028" s="1" t="inlineStr">
        <is>
          <t>045</t>
        </is>
      </c>
      <c r="D3028" s="1" t="inlineStr">
        <is>
          <t>150005</t>
        </is>
      </c>
      <c r="E3028" s="1" t="inlineStr">
        <is>
          <t xml:space="preserve">28194770       </t>
        </is>
      </c>
      <c r="F3028" s="5" t="inlineStr">
        <is>
          <t>AUTOS DE METAL 3 TEAMSTERZ EN BLISTER</t>
        </is>
      </c>
      <c r="G3028" t="n">
        <v>1</v>
      </c>
      <c r="H3028" s="7" t="n">
        <v>6.9</v>
      </c>
      <c r="I3028" s="7" t="n">
        <v>0</v>
      </c>
      <c r="J3028" s="7" t="n">
        <v>0</v>
      </c>
      <c r="K3028" s="9" t="n">
        <v>0</v>
      </c>
      <c r="L3028" s="10" t="n">
        <v>4.1</v>
      </c>
      <c r="M3028" s="10" t="n">
        <v>1.43</v>
      </c>
      <c r="N3028" t="inlineStr">
        <is>
          <t>1</t>
        </is>
      </c>
      <c r="O3028" t="inlineStr">
        <is>
          <t xml:space="preserve">2 </t>
        </is>
      </c>
      <c r="P3028" t="inlineStr">
        <is>
          <t xml:space="preserve">73225   </t>
        </is>
      </c>
      <c r="Q3028" s="26" t="n">
        <v>4.09</v>
      </c>
      <c r="R3028" s="26">
        <f>Q3028*G3028</f>
        <v/>
      </c>
      <c r="S3028" s="26">
        <f>IFERROR(VLOOKUP(E3028*1,Tabla[#All],8,0),0)</f>
        <v/>
      </c>
      <c r="T3028" s="26">
        <f>S3028*G3028</f>
        <v/>
      </c>
      <c r="U3028" s="26">
        <f>R3028-T3028</f>
        <v/>
      </c>
      <c r="V3028" s="26">
        <f>U3028-L3028</f>
        <v/>
      </c>
    </row>
    <row r="3029">
      <c r="A3029" s="11" t="n">
        <v>46232</v>
      </c>
      <c r="B3029" s="1" t="n">
        <v>20077</v>
      </c>
      <c r="C3029" s="1" t="inlineStr">
        <is>
          <t>029</t>
        </is>
      </c>
      <c r="D3029" s="1" t="inlineStr">
        <is>
          <t>157315</t>
        </is>
      </c>
      <c r="E3029" s="1" t="inlineStr">
        <is>
          <t xml:space="preserve">34840552       </t>
        </is>
      </c>
      <c r="F3029" s="5" t="inlineStr">
        <is>
          <t>TMZ HELI POLICIA CON LUCES Y SONIDOS</t>
        </is>
      </c>
      <c r="G3029" t="n">
        <v>1</v>
      </c>
      <c r="H3029" s="7" t="n">
        <v>79.90000000000001</v>
      </c>
      <c r="I3029" s="7" t="n">
        <v>0</v>
      </c>
      <c r="J3029" s="7" t="n">
        <v>0</v>
      </c>
      <c r="K3029" s="9" t="n">
        <v>0</v>
      </c>
      <c r="L3029" s="10" t="n">
        <v>47.4</v>
      </c>
      <c r="M3029" s="10" t="n">
        <v>1.43</v>
      </c>
      <c r="N3029" t="inlineStr">
        <is>
          <t>1</t>
        </is>
      </c>
      <c r="O3029" t="inlineStr">
        <is>
          <t>16</t>
        </is>
      </c>
      <c r="P3029" t="inlineStr">
        <is>
          <t xml:space="preserve">61615   </t>
        </is>
      </c>
      <c r="Q3029" s="26" t="n">
        <v>47.4</v>
      </c>
      <c r="R3029" s="26">
        <f>Q3029*G3029</f>
        <v/>
      </c>
      <c r="S3029" s="26">
        <f>IFERROR(VLOOKUP(E3029*1,Tabla[#All],8,0),0)</f>
        <v/>
      </c>
      <c r="T3029" s="26">
        <f>S3029*G3029</f>
        <v/>
      </c>
      <c r="U3029" s="26">
        <f>R3029-T3029</f>
        <v/>
      </c>
      <c r="V3029" s="26">
        <f>U3029-L3029</f>
        <v/>
      </c>
    </row>
    <row r="3030">
      <c r="A3030" s="11" t="n">
        <v>46232</v>
      </c>
      <c r="B3030" s="1" t="n">
        <v>20077</v>
      </c>
      <c r="C3030" s="1" t="inlineStr">
        <is>
          <t>029</t>
        </is>
      </c>
      <c r="D3030" s="1" t="inlineStr">
        <is>
          <t>157353</t>
        </is>
      </c>
      <c r="E3030" s="1" t="inlineStr">
        <is>
          <t xml:space="preserve">34840550       </t>
        </is>
      </c>
      <c r="F3030" s="5" t="inlineStr">
        <is>
          <t>TEAMSTERZ M/MOVERZ TRANSPORTA GORILA</t>
        </is>
      </c>
      <c r="G3030" t="n">
        <v>1</v>
      </c>
      <c r="H3030" s="7" t="n">
        <v>129</v>
      </c>
      <c r="I3030" s="7" t="n">
        <v>0</v>
      </c>
      <c r="J3030" s="7" t="n">
        <v>0</v>
      </c>
      <c r="K3030" s="9" t="n">
        <v>0</v>
      </c>
      <c r="L3030" s="10" t="n">
        <v>76.52</v>
      </c>
      <c r="M3030" s="10" t="n">
        <v>1.43</v>
      </c>
      <c r="N3030" t="inlineStr">
        <is>
          <t>1</t>
        </is>
      </c>
      <c r="O3030" t="inlineStr">
        <is>
          <t>16</t>
        </is>
      </c>
      <c r="P3030" t="inlineStr">
        <is>
          <t xml:space="preserve">61615   </t>
        </is>
      </c>
      <c r="Q3030" s="26" t="n">
        <v>76.53</v>
      </c>
      <c r="R3030" s="26">
        <f>Q3030*G3030</f>
        <v/>
      </c>
      <c r="S3030" s="26">
        <f>IFERROR(VLOOKUP(E3030*1,Tabla[#All],8,0),0)</f>
        <v/>
      </c>
      <c r="T3030" s="26">
        <f>S3030*G3030</f>
        <v/>
      </c>
      <c r="U3030" s="26">
        <f>R3030-T3030</f>
        <v/>
      </c>
      <c r="V3030" s="26">
        <f>U3030-L3030</f>
        <v/>
      </c>
    </row>
    <row r="3031">
      <c r="A3031" s="11" t="n">
        <v>46232</v>
      </c>
      <c r="B3031" s="1" t="n">
        <v>20077</v>
      </c>
      <c r="C3031" s="1" t="inlineStr">
        <is>
          <t>029</t>
        </is>
      </c>
      <c r="D3031" s="1" t="inlineStr">
        <is>
          <t>157366</t>
        </is>
      </c>
      <c r="E3031" s="1" t="inlineStr">
        <is>
          <t xml:space="preserve">28194780       </t>
        </is>
      </c>
      <c r="F3031" s="5" t="inlineStr">
        <is>
          <t>TROMPO BATALLA INFINITY NADO PLSTICO SURTIDO</t>
        </is>
      </c>
      <c r="G3031" t="n">
        <v>1</v>
      </c>
      <c r="H3031" s="7" t="n">
        <v>19.9</v>
      </c>
      <c r="I3031" s="7" t="n">
        <v>0</v>
      </c>
      <c r="J3031" s="7" t="n">
        <v>0</v>
      </c>
      <c r="K3031" s="9" t="n">
        <v>0</v>
      </c>
      <c r="L3031" s="10" t="n">
        <v>11.8</v>
      </c>
      <c r="M3031" s="10" t="n">
        <v>1.43</v>
      </c>
      <c r="N3031" t="inlineStr">
        <is>
          <t>1</t>
        </is>
      </c>
      <c r="O3031" t="inlineStr">
        <is>
          <t xml:space="preserve">2 </t>
        </is>
      </c>
      <c r="P3031" t="inlineStr">
        <is>
          <t xml:space="preserve">61615   </t>
        </is>
      </c>
      <c r="Q3031" s="26" t="n">
        <v>11.81</v>
      </c>
      <c r="R3031" s="26">
        <f>Q3031*G3031</f>
        <v/>
      </c>
      <c r="S3031" s="26">
        <f>IFERROR(VLOOKUP(E3031*1,Tabla[#All],8,0),0)</f>
        <v/>
      </c>
      <c r="T3031" s="26">
        <f>S3031*G3031</f>
        <v/>
      </c>
      <c r="U3031" s="26">
        <f>R3031-T3031</f>
        <v/>
      </c>
      <c r="V3031" s="26">
        <f>U3031-L3031</f>
        <v/>
      </c>
    </row>
    <row r="3032">
      <c r="A3032" s="11" t="n">
        <v>46232</v>
      </c>
      <c r="B3032" s="1" t="n">
        <v>20079</v>
      </c>
      <c r="C3032" s="1" t="inlineStr">
        <is>
          <t>051</t>
        </is>
      </c>
      <c r="D3032" s="1" t="inlineStr">
        <is>
          <t>237563</t>
        </is>
      </c>
      <c r="E3032" s="1" t="inlineStr">
        <is>
          <t xml:space="preserve">31754677       </t>
        </is>
      </c>
      <c r="F3032" s="5" t="inlineStr">
        <is>
          <t>INFINITY NADO SERIE 6 SET DE BATALL</t>
        </is>
      </c>
      <c r="G3032" t="n">
        <v>1</v>
      </c>
      <c r="H3032" s="7" t="n">
        <v>149</v>
      </c>
      <c r="I3032" s="7" t="n">
        <v>0</v>
      </c>
      <c r="J3032" s="7" t="n">
        <v>0</v>
      </c>
      <c r="K3032" s="9" t="n">
        <v>0</v>
      </c>
      <c r="L3032" s="10" t="n">
        <v>88.39</v>
      </c>
      <c r="M3032" s="10" t="n">
        <v>1.43</v>
      </c>
      <c r="N3032" t="inlineStr">
        <is>
          <t>1</t>
        </is>
      </c>
      <c r="O3032" t="inlineStr">
        <is>
          <t>16</t>
        </is>
      </c>
      <c r="P3032" t="inlineStr">
        <is>
          <t xml:space="preserve">55412   </t>
        </is>
      </c>
      <c r="Q3032" s="26" t="n">
        <v>112.12</v>
      </c>
      <c r="R3032" s="26">
        <f>Q3032*G3032</f>
        <v/>
      </c>
      <c r="S3032" s="26">
        <f>IFERROR(VLOOKUP(E3032*1,Tabla[#All],8,0),0)</f>
        <v/>
      </c>
      <c r="T3032" s="26">
        <f>S3032*G3032</f>
        <v/>
      </c>
      <c r="U3032" s="26">
        <f>R3032-T3032</f>
        <v/>
      </c>
      <c r="V3032" s="26">
        <f>U3032-L3032</f>
        <v/>
      </c>
    </row>
    <row r="3033">
      <c r="A3033" s="11" t="n">
        <v>46232</v>
      </c>
      <c r="B3033" s="1" t="n">
        <v>20080</v>
      </c>
      <c r="C3033" s="1" t="inlineStr">
        <is>
          <t>026</t>
        </is>
      </c>
      <c r="D3033" s="1" t="inlineStr">
        <is>
          <t>209931</t>
        </is>
      </c>
      <c r="E3033" s="1" t="inlineStr">
        <is>
          <t xml:space="preserve">28194780       </t>
        </is>
      </c>
      <c r="F3033" s="5" t="inlineStr">
        <is>
          <t>TROMPO BATALLA INFINITY NADO PLSTICO SURTIDO</t>
        </is>
      </c>
      <c r="G3033" t="n">
        <v>1</v>
      </c>
      <c r="H3033" s="7" t="n">
        <v>19.9</v>
      </c>
      <c r="I3033" s="7" t="n">
        <v>0</v>
      </c>
      <c r="J3033" s="7" t="n">
        <v>0</v>
      </c>
      <c r="K3033" s="9" t="n">
        <v>0</v>
      </c>
      <c r="L3033" s="10" t="n">
        <v>11.8</v>
      </c>
      <c r="M3033" s="10" t="n">
        <v>1.43</v>
      </c>
      <c r="N3033" t="inlineStr">
        <is>
          <t>1</t>
        </is>
      </c>
      <c r="O3033" t="inlineStr">
        <is>
          <t>16</t>
        </is>
      </c>
      <c r="P3033" t="inlineStr">
        <is>
          <t xml:space="preserve">251454  </t>
        </is>
      </c>
      <c r="Q3033" s="26" t="n">
        <v>11.81</v>
      </c>
      <c r="R3033" s="26">
        <f>Q3033*G3033</f>
        <v/>
      </c>
      <c r="S3033" s="26">
        <f>IFERROR(VLOOKUP(E3033*1,Tabla[#All],8,0),0)</f>
        <v/>
      </c>
      <c r="T3033" s="26">
        <f>S3033*G3033</f>
        <v/>
      </c>
      <c r="U3033" s="26">
        <f>R3033-T3033</f>
        <v/>
      </c>
      <c r="V3033" s="26">
        <f>U3033-L3033</f>
        <v/>
      </c>
    </row>
    <row r="3034">
      <c r="A3034" s="11" t="n">
        <v>46232</v>
      </c>
      <c r="B3034" s="1" t="n">
        <v>20080</v>
      </c>
      <c r="C3034" s="1" t="inlineStr">
        <is>
          <t>026</t>
        </is>
      </c>
      <c r="D3034" s="1" t="inlineStr">
        <is>
          <t>209931</t>
        </is>
      </c>
      <c r="E3034" s="1" t="inlineStr">
        <is>
          <t xml:space="preserve">28194780       </t>
        </is>
      </c>
      <c r="F3034" s="5" t="inlineStr">
        <is>
          <t>TROMPO BATALLA INFINITY NADO PLSTICO SURTIDO</t>
        </is>
      </c>
      <c r="G3034" t="n">
        <v>1</v>
      </c>
      <c r="H3034" s="7" t="n">
        <v>19.9</v>
      </c>
      <c r="I3034" s="7" t="n">
        <v>0</v>
      </c>
      <c r="J3034" s="7" t="n">
        <v>0</v>
      </c>
      <c r="K3034" s="9" t="n">
        <v>0</v>
      </c>
      <c r="L3034" s="10" t="n">
        <v>11.8</v>
      </c>
      <c r="M3034" s="10" t="n">
        <v>1.43</v>
      </c>
      <c r="N3034" t="inlineStr">
        <is>
          <t>1</t>
        </is>
      </c>
      <c r="O3034" t="inlineStr">
        <is>
          <t>16</t>
        </is>
      </c>
      <c r="P3034" t="inlineStr">
        <is>
          <t xml:space="preserve">251454  </t>
        </is>
      </c>
      <c r="Q3034" s="26" t="n">
        <v>11.81</v>
      </c>
      <c r="R3034" s="26">
        <f>Q3034*G3034</f>
        <v/>
      </c>
      <c r="S3034" s="26">
        <f>IFERROR(VLOOKUP(E3034*1,Tabla[#All],8,0),0)</f>
        <v/>
      </c>
      <c r="T3034" s="26">
        <f>S3034*G3034</f>
        <v/>
      </c>
      <c r="U3034" s="26">
        <f>R3034-T3034</f>
        <v/>
      </c>
      <c r="V3034" s="26">
        <f>U3034-L3034</f>
        <v/>
      </c>
    </row>
    <row r="3035">
      <c r="A3035" s="11" t="n">
        <v>46232</v>
      </c>
      <c r="B3035" s="1" t="n">
        <v>20080</v>
      </c>
      <c r="C3035" s="1" t="inlineStr">
        <is>
          <t>029</t>
        </is>
      </c>
      <c r="D3035" s="1" t="inlineStr">
        <is>
          <t>226603</t>
        </is>
      </c>
      <c r="E3035" s="1" t="inlineStr">
        <is>
          <t xml:space="preserve">33483116       </t>
        </is>
      </c>
      <c r="F3035" s="5" t="inlineStr">
        <is>
          <t>MUNECA EVI LOVE GATO + COCHE + ACC.</t>
        </is>
      </c>
      <c r="G3035" t="n">
        <v>1</v>
      </c>
      <c r="H3035" s="7" t="n">
        <v>20.94</v>
      </c>
      <c r="I3035" s="7" t="n">
        <v>0</v>
      </c>
      <c r="J3035" s="7" t="n">
        <v>0</v>
      </c>
      <c r="K3035" s="9" t="n">
        <v>0</v>
      </c>
      <c r="L3035" s="10" t="n">
        <v>12.43</v>
      </c>
      <c r="M3035" s="10" t="n">
        <v>1.43</v>
      </c>
      <c r="N3035" t="inlineStr">
        <is>
          <t>1</t>
        </is>
      </c>
      <c r="O3035" t="inlineStr">
        <is>
          <t>16</t>
        </is>
      </c>
      <c r="P3035" t="inlineStr">
        <is>
          <t xml:space="preserve">89863   </t>
        </is>
      </c>
      <c r="Q3035" s="26" t="n">
        <v>20.7</v>
      </c>
      <c r="R3035" s="26">
        <f>Q3035*G3035</f>
        <v/>
      </c>
      <c r="S3035" s="26">
        <f>IFERROR(VLOOKUP(E3035*1,Tabla[#All],8,0),0)</f>
        <v/>
      </c>
      <c r="T3035" s="26">
        <f>S3035*G3035</f>
        <v/>
      </c>
      <c r="U3035" s="26">
        <f>R3035-T3035</f>
        <v/>
      </c>
      <c r="V3035" s="26">
        <f>U3035-L3035</f>
        <v/>
      </c>
    </row>
    <row r="3036">
      <c r="A3036" s="11" t="n">
        <v>46232</v>
      </c>
      <c r="B3036" s="1" t="n">
        <v>20080</v>
      </c>
      <c r="C3036" s="1" t="inlineStr">
        <is>
          <t>029</t>
        </is>
      </c>
      <c r="D3036" s="1" t="inlineStr">
        <is>
          <t>226612</t>
        </is>
      </c>
      <c r="E3036" s="1" t="inlineStr">
        <is>
          <t xml:space="preserve">35685067       </t>
        </is>
      </c>
      <c r="F3036" s="5" t="inlineStr">
        <is>
          <t>HOT WHEELS POWER SET 3 EN 1</t>
        </is>
      </c>
      <c r="G3036" t="n">
        <v>1</v>
      </c>
      <c r="H3036" s="7" t="n">
        <v>49.9</v>
      </c>
      <c r="I3036" s="7" t="n">
        <v>0</v>
      </c>
      <c r="J3036" s="7" t="n">
        <v>0</v>
      </c>
      <c r="K3036" s="9" t="n">
        <v>0</v>
      </c>
      <c r="L3036" s="10" t="n">
        <v>29.6</v>
      </c>
      <c r="M3036" s="10" t="n">
        <v>1.43</v>
      </c>
      <c r="N3036" t="inlineStr">
        <is>
          <t>1</t>
        </is>
      </c>
      <c r="O3036" t="inlineStr">
        <is>
          <t>16</t>
        </is>
      </c>
      <c r="P3036" t="inlineStr">
        <is>
          <t xml:space="preserve">89863   </t>
        </is>
      </c>
      <c r="Q3036" s="26" t="n">
        <v>29.6</v>
      </c>
      <c r="R3036" s="26">
        <f>Q3036*G3036</f>
        <v/>
      </c>
      <c r="S3036" s="26">
        <f>IFERROR(VLOOKUP(E3036*1,Tabla[#All],8,0),0)</f>
        <v/>
      </c>
      <c r="T3036" s="26">
        <f>S3036*G3036</f>
        <v/>
      </c>
      <c r="U3036" s="26">
        <f>R3036-T3036</f>
        <v/>
      </c>
      <c r="V3036" s="26">
        <f>U3036-L3036</f>
        <v/>
      </c>
    </row>
    <row r="3037">
      <c r="A3037" s="11" t="n">
        <v>46232</v>
      </c>
      <c r="B3037" s="1" t="n">
        <v>20086</v>
      </c>
      <c r="C3037" s="1" t="inlineStr">
        <is>
          <t>022</t>
        </is>
      </c>
      <c r="D3037" s="1" t="inlineStr">
        <is>
          <t>113682</t>
        </is>
      </c>
      <c r="E3037" s="1" t="inlineStr">
        <is>
          <t xml:space="preserve">28194770       </t>
        </is>
      </c>
      <c r="F3037" s="5" t="inlineStr">
        <is>
          <t>AUTOS DE METAL 3 TEAMSTERZ EN BLISTER</t>
        </is>
      </c>
      <c r="G3037" t="n">
        <v>1</v>
      </c>
      <c r="H3037" s="7" t="n">
        <v>6.9</v>
      </c>
      <c r="I3037" s="7" t="n">
        <v>0</v>
      </c>
      <c r="J3037" s="7" t="n">
        <v>0</v>
      </c>
      <c r="K3037" s="9" t="n">
        <v>0</v>
      </c>
      <c r="L3037" s="10" t="n">
        <v>4.1</v>
      </c>
      <c r="M3037" s="10" t="n">
        <v>1.43</v>
      </c>
      <c r="N3037" t="inlineStr">
        <is>
          <t>1</t>
        </is>
      </c>
      <c r="O3037" t="inlineStr">
        <is>
          <t xml:space="preserve">2 </t>
        </is>
      </c>
      <c r="P3037" t="inlineStr">
        <is>
          <t xml:space="preserve">231840  </t>
        </is>
      </c>
      <c r="Q3037" s="26" t="n">
        <v>4.09</v>
      </c>
      <c r="R3037" s="26">
        <f>Q3037*G3037</f>
        <v/>
      </c>
      <c r="S3037" s="26">
        <f>IFERROR(VLOOKUP(E3037*1,Tabla[#All],8,0),0)</f>
        <v/>
      </c>
      <c r="T3037" s="26">
        <f>S3037*G3037</f>
        <v/>
      </c>
      <c r="U3037" s="26">
        <f>R3037-T3037</f>
        <v/>
      </c>
      <c r="V3037" s="26">
        <f>U3037-L3037</f>
        <v/>
      </c>
    </row>
    <row r="3038">
      <c r="A3038" s="11" t="n">
        <v>46232</v>
      </c>
      <c r="B3038" s="1" t="n">
        <v>20088</v>
      </c>
      <c r="C3038" s="1" t="inlineStr">
        <is>
          <t>023</t>
        </is>
      </c>
      <c r="D3038" s="1" t="inlineStr">
        <is>
          <t>128421</t>
        </is>
      </c>
      <c r="E3038" s="1" t="inlineStr">
        <is>
          <t xml:space="preserve">30232284       </t>
        </is>
      </c>
      <c r="F3038" s="5" t="inlineStr">
        <is>
          <t>INFINITY NADO TROMPO DE BATALLA - METAL C/PUNTA DE</t>
        </is>
      </c>
      <c r="G3038" t="n">
        <v>1</v>
      </c>
      <c r="H3038" s="7" t="n">
        <v>34.9</v>
      </c>
      <c r="I3038" s="7" t="n">
        <v>3.49</v>
      </c>
      <c r="J3038" s="7" t="n">
        <v>0</v>
      </c>
      <c r="K3038" s="9" t="n">
        <v>3.49</v>
      </c>
      <c r="L3038" s="10" t="n">
        <v>18.63</v>
      </c>
      <c r="M3038" s="10" t="n">
        <v>1.43</v>
      </c>
      <c r="N3038" t="inlineStr">
        <is>
          <t>1</t>
        </is>
      </c>
      <c r="O3038" t="inlineStr">
        <is>
          <t xml:space="preserve">3 </t>
        </is>
      </c>
      <c r="P3038" t="inlineStr">
        <is>
          <t xml:space="preserve">248960  </t>
        </is>
      </c>
      <c r="Q3038" s="26" t="n">
        <v>29.6</v>
      </c>
      <c r="R3038" s="26">
        <f>Q3038*G3038</f>
        <v/>
      </c>
      <c r="S3038" s="26">
        <f>IFERROR(VLOOKUP(E3038*1,Tabla[#All],8,0),0)</f>
        <v/>
      </c>
      <c r="T3038" s="26">
        <f>S3038*G3038</f>
        <v/>
      </c>
      <c r="U3038" s="26">
        <f>R3038-T3038</f>
        <v/>
      </c>
      <c r="V3038" s="26">
        <f>U3038-L3038</f>
        <v/>
      </c>
    </row>
    <row r="3039">
      <c r="A3039" s="11" t="n">
        <v>46232</v>
      </c>
      <c r="B3039" s="1" t="n">
        <v>20088</v>
      </c>
      <c r="C3039" s="1" t="inlineStr">
        <is>
          <t>023</t>
        </is>
      </c>
      <c r="D3039" s="1" t="inlineStr">
        <is>
          <t>128472</t>
        </is>
      </c>
      <c r="E3039" s="1" t="inlineStr">
        <is>
          <t xml:space="preserve">30141766       </t>
        </is>
      </c>
      <c r="F3039" s="5" t="inlineStr">
        <is>
          <t>TMZ BEAST MACHINES AUTOS DE METAL BLISTER X 1</t>
        </is>
      </c>
      <c r="G3039" t="n">
        <v>1</v>
      </c>
      <c r="H3039" s="7" t="n">
        <v>7.9</v>
      </c>
      <c r="I3039" s="7" t="n">
        <v>0</v>
      </c>
      <c r="J3039" s="7" t="n">
        <v>0</v>
      </c>
      <c r="K3039" s="9" t="n">
        <v>0</v>
      </c>
      <c r="L3039" s="10" t="n">
        <v>4.68</v>
      </c>
      <c r="M3039" s="10" t="n">
        <v>1.43</v>
      </c>
      <c r="N3039" t="inlineStr">
        <is>
          <t>1</t>
        </is>
      </c>
      <c r="O3039" t="inlineStr">
        <is>
          <t xml:space="preserve">2 </t>
        </is>
      </c>
      <c r="P3039" t="inlineStr">
        <is>
          <t xml:space="preserve">248960  </t>
        </is>
      </c>
      <c r="Q3039" s="26" t="n">
        <v>4.69</v>
      </c>
      <c r="R3039" s="26">
        <f>Q3039*G3039</f>
        <v/>
      </c>
      <c r="S3039" s="26">
        <f>IFERROR(VLOOKUP(E3039*1,Tabla[#All],8,0),0)</f>
        <v/>
      </c>
      <c r="T3039" s="26">
        <f>S3039*G3039</f>
        <v/>
      </c>
      <c r="U3039" s="26">
        <f>R3039-T3039</f>
        <v/>
      </c>
      <c r="V3039" s="26">
        <f>U3039-L3039</f>
        <v/>
      </c>
    </row>
    <row r="3040">
      <c r="A3040" s="11" t="n">
        <v>46232</v>
      </c>
      <c r="B3040" s="1" t="n">
        <v>20088</v>
      </c>
      <c r="C3040" s="1" t="inlineStr">
        <is>
          <t>034</t>
        </is>
      </c>
      <c r="D3040" s="1" t="inlineStr">
        <is>
          <t xml:space="preserve">16950 </t>
        </is>
      </c>
      <c r="E3040" s="1" t="inlineStr">
        <is>
          <t xml:space="preserve">28194781       </t>
        </is>
      </c>
      <c r="F3040" s="5" t="inlineStr">
        <is>
          <t>TROMPO BATALLA INFINITY NADO SERIE V CLASICA SURTI</t>
        </is>
      </c>
      <c r="G3040" t="n">
        <v>1</v>
      </c>
      <c r="H3040" s="7" t="n">
        <v>39.9</v>
      </c>
      <c r="I3040" s="7" t="n">
        <v>0</v>
      </c>
      <c r="J3040" s="7" t="n">
        <v>0</v>
      </c>
      <c r="K3040" s="9" t="n">
        <v>0</v>
      </c>
      <c r="L3040" s="10" t="n">
        <v>23.67</v>
      </c>
      <c r="M3040" s="10" t="n">
        <v>1.43</v>
      </c>
      <c r="N3040" t="inlineStr">
        <is>
          <t>1</t>
        </is>
      </c>
      <c r="O3040" t="inlineStr">
        <is>
          <t>16</t>
        </is>
      </c>
      <c r="P3040" t="inlineStr">
        <is>
          <t xml:space="preserve">241571  </t>
        </is>
      </c>
      <c r="Q3040" s="26" t="n">
        <v>35.53</v>
      </c>
      <c r="R3040" s="26">
        <f>Q3040*G3040</f>
        <v/>
      </c>
      <c r="S3040" s="26">
        <f>IFERROR(VLOOKUP(E3040*1,Tabla[#All],8,0),0)</f>
        <v/>
      </c>
      <c r="T3040" s="26">
        <f>S3040*G3040</f>
        <v/>
      </c>
      <c r="U3040" s="26">
        <f>R3040-T3040</f>
        <v/>
      </c>
      <c r="V3040" s="26">
        <f>U3040-L3040</f>
        <v/>
      </c>
    </row>
    <row r="3041">
      <c r="A3041" s="11" t="n">
        <v>46232</v>
      </c>
      <c r="B3041" s="1" t="n">
        <v>20088</v>
      </c>
      <c r="C3041" s="1" t="inlineStr">
        <is>
          <t>034</t>
        </is>
      </c>
      <c r="D3041" s="1" t="inlineStr">
        <is>
          <t xml:space="preserve">16962 </t>
        </is>
      </c>
      <c r="E3041" s="1" t="inlineStr">
        <is>
          <t xml:space="preserve">28194770       </t>
        </is>
      </c>
      <c r="F3041" s="5" t="inlineStr">
        <is>
          <t>AUTOS DE METAL 3 TEAMSTERZ EN BLISTER</t>
        </is>
      </c>
      <c r="G3041" t="n">
        <v>1</v>
      </c>
      <c r="H3041" s="7" t="n">
        <v>6.9</v>
      </c>
      <c r="I3041" s="7" t="n">
        <v>0</v>
      </c>
      <c r="J3041" s="7" t="n">
        <v>0</v>
      </c>
      <c r="K3041" s="9" t="n">
        <v>0</v>
      </c>
      <c r="L3041" s="10" t="n">
        <v>4.1</v>
      </c>
      <c r="M3041" s="10" t="n">
        <v>1.43</v>
      </c>
      <c r="N3041" t="inlineStr">
        <is>
          <t>1</t>
        </is>
      </c>
      <c r="O3041" t="inlineStr">
        <is>
          <t>16</t>
        </is>
      </c>
      <c r="P3041" t="inlineStr">
        <is>
          <t xml:space="preserve">90566   </t>
        </is>
      </c>
      <c r="Q3041" s="26" t="n">
        <v>4.09</v>
      </c>
      <c r="R3041" s="26">
        <f>Q3041*G3041</f>
        <v/>
      </c>
      <c r="S3041" s="26">
        <f>IFERROR(VLOOKUP(E3041*1,Tabla[#All],8,0),0)</f>
        <v/>
      </c>
      <c r="T3041" s="26">
        <f>S3041*G3041</f>
        <v/>
      </c>
      <c r="U3041" s="26">
        <f>R3041-T3041</f>
        <v/>
      </c>
      <c r="V3041" s="26">
        <f>U3041-L3041</f>
        <v/>
      </c>
    </row>
    <row r="3042">
      <c r="A3042" s="11" t="n">
        <v>46232</v>
      </c>
      <c r="B3042" s="1" t="n">
        <v>20088</v>
      </c>
      <c r="C3042" s="1" t="inlineStr">
        <is>
          <t>800</t>
        </is>
      </c>
      <c r="D3042" s="1" t="inlineStr">
        <is>
          <t xml:space="preserve">4268  </t>
        </is>
      </c>
      <c r="E3042" s="1" t="inlineStr">
        <is>
          <t xml:space="preserve">28194780       </t>
        </is>
      </c>
      <c r="F3042" s="5" t="inlineStr">
        <is>
          <t>TROMPO BATALLA INFINITY NADO PLSTICO SURTIDO</t>
        </is>
      </c>
      <c r="G3042" t="n">
        <v>1</v>
      </c>
      <c r="H3042" s="7" t="n">
        <v>19.9</v>
      </c>
      <c r="I3042" s="7" t="n">
        <v>1.99</v>
      </c>
      <c r="J3042" s="7" t="n">
        <v>0</v>
      </c>
      <c r="K3042" s="9" t="n">
        <v>1.99</v>
      </c>
      <c r="L3042" s="10" t="n">
        <v>10.63</v>
      </c>
      <c r="M3042" s="10" t="n">
        <v>1.43</v>
      </c>
      <c r="N3042" t="inlineStr">
        <is>
          <t>1</t>
        </is>
      </c>
      <c r="O3042" t="inlineStr">
        <is>
          <t>16</t>
        </is>
      </c>
      <c r="P3042" t="inlineStr">
        <is>
          <t xml:space="preserve">0       </t>
        </is>
      </c>
      <c r="Q3042" s="26" t="n">
        <v>11.81</v>
      </c>
      <c r="R3042" s="26">
        <f>Q3042*G3042</f>
        <v/>
      </c>
      <c r="S3042" s="26">
        <f>IFERROR(VLOOKUP(E3042*1,Tabla[#All],8,0),0)</f>
        <v/>
      </c>
      <c r="T3042" s="26">
        <f>S3042*G3042</f>
        <v/>
      </c>
      <c r="U3042" s="26">
        <f>R3042-T3042</f>
        <v/>
      </c>
      <c r="V3042" s="26">
        <f>U3042-L3042</f>
        <v/>
      </c>
    </row>
    <row r="3043">
      <c r="A3043" s="11" t="n">
        <v>46232</v>
      </c>
      <c r="B3043" s="1" t="n">
        <v>20089</v>
      </c>
      <c r="C3043" s="1" t="inlineStr">
        <is>
          <t>012</t>
        </is>
      </c>
      <c r="D3043" s="1" t="inlineStr">
        <is>
          <t xml:space="preserve">98423 </t>
        </is>
      </c>
      <c r="E3043" s="1" t="inlineStr">
        <is>
          <t xml:space="preserve">28194767       </t>
        </is>
      </c>
      <c r="F3043" s="5" t="inlineStr">
        <is>
          <t>CAMIONES TEAMSTERZ DE EMERGENCIA</t>
        </is>
      </c>
      <c r="G3043" t="n">
        <v>1</v>
      </c>
      <c r="H3043" s="7" t="n">
        <v>17.9</v>
      </c>
      <c r="I3043" s="7" t="n">
        <v>0</v>
      </c>
      <c r="J3043" s="7" t="n">
        <v>0</v>
      </c>
      <c r="K3043" s="9" t="n">
        <v>0</v>
      </c>
      <c r="L3043" s="10" t="n">
        <v>10.62</v>
      </c>
      <c r="M3043" s="10" t="n">
        <v>1.43</v>
      </c>
      <c r="N3043" t="inlineStr">
        <is>
          <t>1</t>
        </is>
      </c>
      <c r="O3043" t="inlineStr">
        <is>
          <t xml:space="preserve">2 </t>
        </is>
      </c>
      <c r="P3043" t="inlineStr">
        <is>
          <t xml:space="preserve">66808   </t>
        </is>
      </c>
      <c r="Q3043" s="26" t="n">
        <v>10.62</v>
      </c>
      <c r="R3043" s="26">
        <f>Q3043*G3043</f>
        <v/>
      </c>
      <c r="S3043" s="26">
        <f>IFERROR(VLOOKUP(E3043*1,Tabla[#All],8,0),0)</f>
        <v/>
      </c>
      <c r="T3043" s="26">
        <f>S3043*G3043</f>
        <v/>
      </c>
      <c r="U3043" s="26">
        <f>R3043-T3043</f>
        <v/>
      </c>
      <c r="V3043" s="26">
        <f>U3043-L3043</f>
        <v/>
      </c>
    </row>
    <row r="3044">
      <c r="A3044" s="11" t="n">
        <v>46232</v>
      </c>
      <c r="B3044" s="1" t="n">
        <v>20089</v>
      </c>
      <c r="C3044" s="1" t="inlineStr">
        <is>
          <t>026</t>
        </is>
      </c>
      <c r="D3044" s="1" t="inlineStr">
        <is>
          <t xml:space="preserve">88950 </t>
        </is>
      </c>
      <c r="E3044" s="1" t="inlineStr">
        <is>
          <t xml:space="preserve">28194782       </t>
        </is>
      </c>
      <c r="F3044" s="5" t="inlineStr">
        <is>
          <t>TROMPO BATALLA INFINITY NADO SERIE V ORIGINAL SURT</t>
        </is>
      </c>
      <c r="G3044" t="n">
        <v>1</v>
      </c>
      <c r="H3044" s="7" t="n">
        <v>49.9</v>
      </c>
      <c r="I3044" s="7" t="n">
        <v>0</v>
      </c>
      <c r="J3044" s="7" t="n">
        <v>0</v>
      </c>
      <c r="K3044" s="9" t="n">
        <v>0</v>
      </c>
      <c r="L3044" s="10" t="n">
        <v>29.6</v>
      </c>
      <c r="M3044" s="10" t="n">
        <v>1.43</v>
      </c>
      <c r="N3044" t="inlineStr">
        <is>
          <t>1</t>
        </is>
      </c>
      <c r="O3044" t="inlineStr">
        <is>
          <t xml:space="preserve">2 </t>
        </is>
      </c>
      <c r="P3044" t="inlineStr">
        <is>
          <t xml:space="preserve">233031  </t>
        </is>
      </c>
      <c r="Q3044" s="26" t="n">
        <v>41.47</v>
      </c>
      <c r="R3044" s="26">
        <f>Q3044*G3044</f>
        <v/>
      </c>
      <c r="S3044" s="26">
        <f>IFERROR(VLOOKUP(E3044*1,Tabla[#All],8,0),0)</f>
        <v/>
      </c>
      <c r="T3044" s="26">
        <f>S3044*G3044</f>
        <v/>
      </c>
      <c r="U3044" s="26">
        <f>R3044-T3044</f>
        <v/>
      </c>
      <c r="V3044" s="26">
        <f>U3044-L3044</f>
        <v/>
      </c>
    </row>
    <row r="3045">
      <c r="A3045" s="11" t="n">
        <v>46232</v>
      </c>
      <c r="B3045" s="1" t="n">
        <v>20089</v>
      </c>
      <c r="C3045" s="1" t="inlineStr">
        <is>
          <t>026</t>
        </is>
      </c>
      <c r="D3045" s="1" t="inlineStr">
        <is>
          <t xml:space="preserve">88957 </t>
        </is>
      </c>
      <c r="E3045" s="1" t="inlineStr">
        <is>
          <t xml:space="preserve">30141766       </t>
        </is>
      </c>
      <c r="F3045" s="5" t="inlineStr">
        <is>
          <t>TMZ BEAST MACHINES AUTOS DE METAL BLISTER X 1</t>
        </is>
      </c>
      <c r="G3045" t="n">
        <v>1</v>
      </c>
      <c r="H3045" s="7" t="n">
        <v>7.9</v>
      </c>
      <c r="I3045" s="7" t="n">
        <v>0</v>
      </c>
      <c r="J3045" s="7" t="n">
        <v>0</v>
      </c>
      <c r="K3045" s="9" t="n">
        <v>0</v>
      </c>
      <c r="L3045" s="10" t="n">
        <v>4.68</v>
      </c>
      <c r="M3045" s="10" t="n">
        <v>1.43</v>
      </c>
      <c r="N3045" t="inlineStr">
        <is>
          <t>1</t>
        </is>
      </c>
      <c r="O3045" t="inlineStr">
        <is>
          <t xml:space="preserve">2 </t>
        </is>
      </c>
      <c r="P3045" t="inlineStr">
        <is>
          <t xml:space="preserve">233031  </t>
        </is>
      </c>
      <c r="Q3045" s="26" t="n">
        <v>4.69</v>
      </c>
      <c r="R3045" s="26">
        <f>Q3045*G3045</f>
        <v/>
      </c>
      <c r="S3045" s="26">
        <f>IFERROR(VLOOKUP(E3045*1,Tabla[#All],8,0),0)</f>
        <v/>
      </c>
      <c r="T3045" s="26">
        <f>S3045*G3045</f>
        <v/>
      </c>
      <c r="U3045" s="26">
        <f>R3045-T3045</f>
        <v/>
      </c>
      <c r="V3045" s="26">
        <f>U3045-L3045</f>
        <v/>
      </c>
    </row>
    <row r="3046">
      <c r="A3046" s="11" t="n">
        <v>46232</v>
      </c>
      <c r="B3046" s="1" t="n">
        <v>20089</v>
      </c>
      <c r="C3046" s="1" t="inlineStr">
        <is>
          <t>026</t>
        </is>
      </c>
      <c r="D3046" s="1" t="inlineStr">
        <is>
          <t xml:space="preserve">88957 </t>
        </is>
      </c>
      <c r="E3046" s="1" t="inlineStr">
        <is>
          <t xml:space="preserve">30141766       </t>
        </is>
      </c>
      <c r="F3046" s="5" t="inlineStr">
        <is>
          <t>TMZ BEAST MACHINES AUTOS DE METAL BLISTER X 1</t>
        </is>
      </c>
      <c r="G3046" t="n">
        <v>1</v>
      </c>
      <c r="H3046" s="7" t="n">
        <v>7.9</v>
      </c>
      <c r="I3046" s="7" t="n">
        <v>0</v>
      </c>
      <c r="J3046" s="7" t="n">
        <v>0</v>
      </c>
      <c r="K3046" s="9" t="n">
        <v>0</v>
      </c>
      <c r="L3046" s="10" t="n">
        <v>4.68</v>
      </c>
      <c r="M3046" s="10" t="n">
        <v>1.43</v>
      </c>
      <c r="N3046" t="inlineStr">
        <is>
          <t>1</t>
        </is>
      </c>
      <c r="O3046" t="inlineStr">
        <is>
          <t xml:space="preserve">2 </t>
        </is>
      </c>
      <c r="P3046" t="inlineStr">
        <is>
          <t xml:space="preserve">233031  </t>
        </is>
      </c>
      <c r="Q3046" s="26" t="n">
        <v>4.69</v>
      </c>
      <c r="R3046" s="26">
        <f>Q3046*G3046</f>
        <v/>
      </c>
      <c r="S3046" s="26">
        <f>IFERROR(VLOOKUP(E3046*1,Tabla[#All],8,0),0)</f>
        <v/>
      </c>
      <c r="T3046" s="26">
        <f>S3046*G3046</f>
        <v/>
      </c>
      <c r="U3046" s="26">
        <f>R3046-T3046</f>
        <v/>
      </c>
      <c r="V3046" s="26">
        <f>U3046-L3046</f>
        <v/>
      </c>
    </row>
    <row r="3047">
      <c r="A3047" s="11" t="n">
        <v>46232</v>
      </c>
      <c r="B3047" s="1" t="n">
        <v>20089</v>
      </c>
      <c r="C3047" s="1" t="inlineStr">
        <is>
          <t>026</t>
        </is>
      </c>
      <c r="D3047" s="1" t="inlineStr">
        <is>
          <t xml:space="preserve">89004 </t>
        </is>
      </c>
      <c r="E3047" s="1" t="inlineStr">
        <is>
          <t xml:space="preserve">30141766       </t>
        </is>
      </c>
      <c r="F3047" s="5" t="inlineStr">
        <is>
          <t>TMZ BEAST MACHINES AUTOS DE METAL BLISTER X 1</t>
        </is>
      </c>
      <c r="G3047" t="n">
        <v>1</v>
      </c>
      <c r="H3047" s="7" t="n">
        <v>7.9</v>
      </c>
      <c r="I3047" s="7" t="n">
        <v>0</v>
      </c>
      <c r="J3047" s="7" t="n">
        <v>0</v>
      </c>
      <c r="K3047" s="9" t="n">
        <v>0</v>
      </c>
      <c r="L3047" s="10" t="n">
        <v>4.68</v>
      </c>
      <c r="M3047" s="10" t="n">
        <v>1.43</v>
      </c>
      <c r="N3047" t="inlineStr">
        <is>
          <t>1</t>
        </is>
      </c>
      <c r="O3047" t="inlineStr">
        <is>
          <t>16</t>
        </is>
      </c>
      <c r="P3047" t="inlineStr">
        <is>
          <t xml:space="preserve">233031  </t>
        </is>
      </c>
      <c r="Q3047" s="26" t="n">
        <v>4.69</v>
      </c>
      <c r="R3047" s="26">
        <f>Q3047*G3047</f>
        <v/>
      </c>
      <c r="S3047" s="26">
        <f>IFERROR(VLOOKUP(E3047*1,Tabla[#All],8,0),0)</f>
        <v/>
      </c>
      <c r="T3047" s="26">
        <f>S3047*G3047</f>
        <v/>
      </c>
      <c r="U3047" s="26">
        <f>R3047-T3047</f>
        <v/>
      </c>
      <c r="V3047" s="26">
        <f>U3047-L3047</f>
        <v/>
      </c>
    </row>
    <row r="3048">
      <c r="A3048" s="11" t="n">
        <v>46232</v>
      </c>
      <c r="B3048" s="1" t="n">
        <v>20089</v>
      </c>
      <c r="C3048" s="1" t="inlineStr">
        <is>
          <t>026</t>
        </is>
      </c>
      <c r="D3048" s="1" t="inlineStr">
        <is>
          <t xml:space="preserve">89011 </t>
        </is>
      </c>
      <c r="E3048" s="1" t="inlineStr">
        <is>
          <t xml:space="preserve">28194770       </t>
        </is>
      </c>
      <c r="F3048" s="5" t="inlineStr">
        <is>
          <t>AUTOS DE METAL 3 TEAMSTERZ EN BLISTER</t>
        </is>
      </c>
      <c r="G3048" t="n">
        <v>1</v>
      </c>
      <c r="H3048" s="7" t="n">
        <v>6.9</v>
      </c>
      <c r="I3048" s="7" t="n">
        <v>0</v>
      </c>
      <c r="J3048" s="7" t="n">
        <v>0</v>
      </c>
      <c r="K3048" s="9" t="n">
        <v>0</v>
      </c>
      <c r="L3048" s="10" t="n">
        <v>4.1</v>
      </c>
      <c r="M3048" s="10" t="n">
        <v>1.43</v>
      </c>
      <c r="N3048" t="inlineStr">
        <is>
          <t>1</t>
        </is>
      </c>
      <c r="O3048" t="inlineStr">
        <is>
          <t xml:space="preserve">2 </t>
        </is>
      </c>
      <c r="P3048" t="inlineStr">
        <is>
          <t xml:space="preserve">233031  </t>
        </is>
      </c>
      <c r="Q3048" s="26" t="n">
        <v>4.09</v>
      </c>
      <c r="R3048" s="26">
        <f>Q3048*G3048</f>
        <v/>
      </c>
      <c r="S3048" s="26">
        <f>IFERROR(VLOOKUP(E3048*1,Tabla[#All],8,0),0)</f>
        <v/>
      </c>
      <c r="T3048" s="26">
        <f>S3048*G3048</f>
        <v/>
      </c>
      <c r="U3048" s="26">
        <f>R3048-T3048</f>
        <v/>
      </c>
      <c r="V3048" s="26">
        <f>U3048-L3048</f>
        <v/>
      </c>
    </row>
    <row r="3049">
      <c r="A3049" s="11" t="n">
        <v>46232</v>
      </c>
      <c r="B3049" s="1" t="n">
        <v>20089</v>
      </c>
      <c r="C3049" s="1" t="inlineStr">
        <is>
          <t>860</t>
        </is>
      </c>
      <c r="D3049" s="1" t="inlineStr">
        <is>
          <t xml:space="preserve">21    </t>
        </is>
      </c>
      <c r="E3049" s="1" t="inlineStr">
        <is>
          <t xml:space="preserve">28194770       </t>
        </is>
      </c>
      <c r="F3049" s="5" t="inlineStr">
        <is>
          <t>AUTOS DE METAL 3 TEAMSTERZ EN BLISTER</t>
        </is>
      </c>
      <c r="G3049" t="n">
        <v>1</v>
      </c>
      <c r="H3049" s="7" t="n">
        <v>6.9</v>
      </c>
      <c r="I3049" s="7" t="n">
        <v>0</v>
      </c>
      <c r="J3049" s="7" t="n">
        <v>0</v>
      </c>
      <c r="K3049" s="9" t="n">
        <v>0</v>
      </c>
      <c r="L3049" s="10" t="n">
        <v>4.1</v>
      </c>
      <c r="M3049" s="10" t="n">
        <v>1.43</v>
      </c>
      <c r="N3049" t="inlineStr">
        <is>
          <t>1</t>
        </is>
      </c>
      <c r="O3049" t="inlineStr">
        <is>
          <t>16</t>
        </is>
      </c>
      <c r="P3049" t="inlineStr">
        <is>
          <t xml:space="preserve">0       </t>
        </is>
      </c>
      <c r="Q3049" s="26" t="n">
        <v>4.09</v>
      </c>
      <c r="R3049" s="26">
        <f>Q3049*G3049</f>
        <v/>
      </c>
      <c r="S3049" s="26">
        <f>IFERROR(VLOOKUP(E3049*1,Tabla[#All],8,0),0)</f>
        <v/>
      </c>
      <c r="T3049" s="26">
        <f>S3049*G3049</f>
        <v/>
      </c>
      <c r="U3049" s="26">
        <f>R3049-T3049</f>
        <v/>
      </c>
      <c r="V3049" s="26">
        <f>U3049-L3049</f>
        <v/>
      </c>
    </row>
    <row r="3050">
      <c r="A3050" s="11" t="n">
        <v>46232</v>
      </c>
      <c r="B3050" s="1" t="n">
        <v>20089</v>
      </c>
      <c r="C3050" s="1" t="inlineStr">
        <is>
          <t>860</t>
        </is>
      </c>
      <c r="D3050" s="1" t="inlineStr">
        <is>
          <t xml:space="preserve">56    </t>
        </is>
      </c>
      <c r="E3050" s="1" t="inlineStr">
        <is>
          <t xml:space="preserve">28194768       </t>
        </is>
      </c>
      <c r="F3050" s="5" t="inlineStr">
        <is>
          <t>AUTO COLOR CHANGE TEAMSTERZ SURTIDO</t>
        </is>
      </c>
      <c r="G3050" t="n">
        <v>3</v>
      </c>
      <c r="H3050" s="7" t="n">
        <v>44.7</v>
      </c>
      <c r="I3050" s="7" t="n">
        <v>4.47</v>
      </c>
      <c r="J3050" s="7" t="n">
        <v>0</v>
      </c>
      <c r="K3050" s="9" t="n">
        <v>4.47</v>
      </c>
      <c r="L3050" s="10" t="n">
        <v>23.85</v>
      </c>
      <c r="M3050" s="10" t="n">
        <v>1.43</v>
      </c>
      <c r="N3050" t="inlineStr">
        <is>
          <t>1</t>
        </is>
      </c>
      <c r="O3050" t="inlineStr">
        <is>
          <t>16</t>
        </is>
      </c>
      <c r="P3050" t="inlineStr">
        <is>
          <t xml:space="preserve">0       </t>
        </is>
      </c>
      <c r="Q3050" s="26" t="n">
        <v>8.84</v>
      </c>
      <c r="R3050" s="26">
        <f>Q3050*G3050</f>
        <v/>
      </c>
      <c r="S3050" s="26">
        <f>IFERROR(VLOOKUP(E3050*1,Tabla[#All],8,0),0)</f>
        <v/>
      </c>
      <c r="T3050" s="26">
        <f>S3050*G3050</f>
        <v/>
      </c>
      <c r="U3050" s="26">
        <f>R3050-T3050</f>
        <v/>
      </c>
      <c r="V3050" s="26">
        <f>U3050-L3050</f>
        <v/>
      </c>
    </row>
    <row r="3051">
      <c r="A3051" s="11" t="n">
        <v>46232</v>
      </c>
      <c r="B3051" s="1" t="n">
        <v>20095</v>
      </c>
      <c r="C3051" s="1" t="inlineStr">
        <is>
          <t>026</t>
        </is>
      </c>
      <c r="D3051" s="1" t="inlineStr">
        <is>
          <t xml:space="preserve">56612 </t>
        </is>
      </c>
      <c r="E3051" s="1" t="inlineStr">
        <is>
          <t xml:space="preserve">32457099       </t>
        </is>
      </c>
      <c r="F3051" s="5" t="inlineStr">
        <is>
          <t>TMZ BEAST MACHINES MONSTER JAWS A FRICCION BLISTER</t>
        </is>
      </c>
      <c r="G3051" t="n">
        <v>1</v>
      </c>
      <c r="H3051" s="7" t="n">
        <v>17.9</v>
      </c>
      <c r="I3051" s="7" t="n">
        <v>0</v>
      </c>
      <c r="J3051" s="7" t="n">
        <v>0</v>
      </c>
      <c r="K3051" s="9" t="n">
        <v>0</v>
      </c>
      <c r="L3051" s="10" t="n">
        <v>10.62</v>
      </c>
      <c r="M3051" s="10" t="n">
        <v>1.43</v>
      </c>
      <c r="N3051" t="inlineStr">
        <is>
          <t>1</t>
        </is>
      </c>
      <c r="O3051" t="inlineStr">
        <is>
          <t>16</t>
        </is>
      </c>
      <c r="P3051" t="inlineStr">
        <is>
          <t xml:space="preserve">250275  </t>
        </is>
      </c>
      <c r="Q3051" s="26" t="n">
        <v>11.81</v>
      </c>
      <c r="R3051" s="26">
        <f>Q3051*G3051</f>
        <v/>
      </c>
      <c r="S3051" s="26">
        <f>IFERROR(VLOOKUP(E3051*1,Tabla[#All],8,0),0)</f>
        <v/>
      </c>
      <c r="T3051" s="26">
        <f>S3051*G3051</f>
        <v/>
      </c>
      <c r="U3051" s="26">
        <f>R3051-T3051</f>
        <v/>
      </c>
      <c r="V3051" s="26">
        <f>U3051-L3051</f>
        <v/>
      </c>
    </row>
    <row r="3052">
      <c r="A3052" s="11" t="n">
        <v>46232</v>
      </c>
      <c r="B3052" s="1" t="n">
        <v>20095</v>
      </c>
      <c r="C3052" s="1" t="inlineStr">
        <is>
          <t>026</t>
        </is>
      </c>
      <c r="D3052" s="1" t="inlineStr">
        <is>
          <t xml:space="preserve">56612 </t>
        </is>
      </c>
      <c r="E3052" s="1" t="inlineStr">
        <is>
          <t xml:space="preserve">32457099       </t>
        </is>
      </c>
      <c r="F3052" s="5" t="inlineStr">
        <is>
          <t>TMZ BEAST MACHINES MONSTER JAWS A FRICCION BLISTER</t>
        </is>
      </c>
      <c r="G3052" t="n">
        <v>1</v>
      </c>
      <c r="H3052" s="7" t="n">
        <v>17.9</v>
      </c>
      <c r="I3052" s="7" t="n">
        <v>0</v>
      </c>
      <c r="J3052" s="7" t="n">
        <v>0</v>
      </c>
      <c r="K3052" s="9" t="n">
        <v>0</v>
      </c>
      <c r="L3052" s="10" t="n">
        <v>10.62</v>
      </c>
      <c r="M3052" s="10" t="n">
        <v>1.43</v>
      </c>
      <c r="N3052" t="inlineStr">
        <is>
          <t>1</t>
        </is>
      </c>
      <c r="O3052" t="inlineStr">
        <is>
          <t>16</t>
        </is>
      </c>
      <c r="P3052" t="inlineStr">
        <is>
          <t xml:space="preserve">250275  </t>
        </is>
      </c>
      <c r="Q3052" s="26" t="n">
        <v>11.81</v>
      </c>
      <c r="R3052" s="26">
        <f>Q3052*G3052</f>
        <v/>
      </c>
      <c r="S3052" s="26">
        <f>IFERROR(VLOOKUP(E3052*1,Tabla[#All],8,0),0)</f>
        <v/>
      </c>
      <c r="T3052" s="26">
        <f>S3052*G3052</f>
        <v/>
      </c>
      <c r="U3052" s="26">
        <f>R3052-T3052</f>
        <v/>
      </c>
      <c r="V3052" s="26">
        <f>U3052-L3052</f>
        <v/>
      </c>
    </row>
    <row r="3053">
      <c r="A3053" s="11" t="n">
        <v>46232</v>
      </c>
      <c r="B3053" s="1" t="n">
        <v>20095</v>
      </c>
      <c r="C3053" s="1" t="inlineStr">
        <is>
          <t>026</t>
        </is>
      </c>
      <c r="D3053" s="1" t="inlineStr">
        <is>
          <t xml:space="preserve">56612 </t>
        </is>
      </c>
      <c r="E3053" s="1" t="inlineStr">
        <is>
          <t xml:space="preserve">32457103       </t>
        </is>
      </c>
      <c r="F3053" s="5" t="inlineStr">
        <is>
          <t>TMZ BEAST MACHINES MONSTER JAWS A FRICCION PACK DE</t>
        </is>
      </c>
      <c r="G3053" t="n">
        <v>1</v>
      </c>
      <c r="H3053" s="7" t="n">
        <v>32.9</v>
      </c>
      <c r="I3053" s="7" t="n">
        <v>0</v>
      </c>
      <c r="J3053" s="7" t="n">
        <v>0</v>
      </c>
      <c r="K3053" s="9" t="n">
        <v>0</v>
      </c>
      <c r="L3053" s="10" t="n">
        <v>19.52</v>
      </c>
      <c r="M3053" s="10" t="n">
        <v>1.43</v>
      </c>
      <c r="N3053" t="inlineStr">
        <is>
          <t>1</t>
        </is>
      </c>
      <c r="O3053" t="inlineStr">
        <is>
          <t>16</t>
        </is>
      </c>
      <c r="P3053" t="inlineStr">
        <is>
          <t xml:space="preserve">250275  </t>
        </is>
      </c>
      <c r="Q3053" s="26" t="n">
        <v>22.48</v>
      </c>
      <c r="R3053" s="26">
        <f>Q3053*G3053</f>
        <v/>
      </c>
      <c r="S3053" s="26">
        <f>IFERROR(VLOOKUP(E3053*1,Tabla[#All],8,0),0)</f>
        <v/>
      </c>
      <c r="T3053" s="26">
        <f>S3053*G3053</f>
        <v/>
      </c>
      <c r="U3053" s="26">
        <f>R3053-T3053</f>
        <v/>
      </c>
      <c r="V3053" s="26">
        <f>U3053-L3053</f>
        <v/>
      </c>
    </row>
    <row r="3054">
      <c r="A3054" s="11" t="n">
        <v>46232</v>
      </c>
      <c r="B3054" s="1" t="n">
        <v>20095</v>
      </c>
      <c r="C3054" s="1" t="inlineStr">
        <is>
          <t>043</t>
        </is>
      </c>
      <c r="D3054" s="1" t="inlineStr">
        <is>
          <t>109056</t>
        </is>
      </c>
      <c r="E3054" s="1" t="inlineStr">
        <is>
          <t xml:space="preserve">28194769       </t>
        </is>
      </c>
      <c r="F3054" s="5" t="inlineStr">
        <is>
          <t>AUTOS DE METAL 3 TEAMSTERZ PACK DE 2</t>
        </is>
      </c>
      <c r="G3054" t="n">
        <v>1</v>
      </c>
      <c r="H3054" s="7" t="n">
        <v>13.8</v>
      </c>
      <c r="I3054" s="7" t="n">
        <v>0</v>
      </c>
      <c r="J3054" s="7" t="n">
        <v>0</v>
      </c>
      <c r="K3054" s="9" t="n">
        <v>0</v>
      </c>
      <c r="L3054" s="10" t="n">
        <v>8.18</v>
      </c>
      <c r="M3054" s="10" t="n">
        <v>1.43</v>
      </c>
      <c r="N3054" t="inlineStr">
        <is>
          <t>1</t>
        </is>
      </c>
      <c r="O3054" t="inlineStr">
        <is>
          <t>16</t>
        </is>
      </c>
      <c r="P3054" t="inlineStr">
        <is>
          <t xml:space="preserve">248294  </t>
        </is>
      </c>
      <c r="Q3054" s="26" t="n">
        <v>8.19</v>
      </c>
      <c r="R3054" s="26">
        <f>Q3054*G3054</f>
        <v/>
      </c>
      <c r="S3054" s="26">
        <f>IFERROR(VLOOKUP(E3054*1,Tabla[#All],8,0),0)</f>
        <v/>
      </c>
      <c r="T3054" s="26">
        <f>S3054*G3054</f>
        <v/>
      </c>
      <c r="U3054" s="26">
        <f>R3054-T3054</f>
        <v/>
      </c>
      <c r="V3054" s="26">
        <f>U3054-L3054</f>
        <v/>
      </c>
    </row>
    <row r="3055">
      <c r="A3055" s="11" t="n">
        <v>46232</v>
      </c>
      <c r="B3055" s="1" t="n">
        <v>20095</v>
      </c>
      <c r="C3055" s="1" t="inlineStr">
        <is>
          <t>043</t>
        </is>
      </c>
      <c r="D3055" s="1" t="inlineStr">
        <is>
          <t>109056</t>
        </is>
      </c>
      <c r="E3055" s="1" t="inlineStr">
        <is>
          <t xml:space="preserve">29235712       </t>
        </is>
      </c>
      <c r="F3055" s="5" t="inlineStr">
        <is>
          <t>TEAMSTERZ DISPARADOR DINOSAURIO INCL. 1 AUTO</t>
        </is>
      </c>
      <c r="G3055" t="n">
        <v>1</v>
      </c>
      <c r="H3055" s="7" t="n">
        <v>12.9</v>
      </c>
      <c r="I3055" s="7" t="n">
        <v>0</v>
      </c>
      <c r="J3055" s="7" t="n">
        <v>0</v>
      </c>
      <c r="K3055" s="9" t="n">
        <v>0</v>
      </c>
      <c r="L3055" s="10" t="n">
        <v>7.65</v>
      </c>
      <c r="M3055" s="10" t="n">
        <v>1.43</v>
      </c>
      <c r="N3055" t="inlineStr">
        <is>
          <t>1</t>
        </is>
      </c>
      <c r="O3055" t="inlineStr">
        <is>
          <t>16</t>
        </is>
      </c>
      <c r="P3055" t="inlineStr">
        <is>
          <t xml:space="preserve">248294  </t>
        </is>
      </c>
      <c r="Q3055" s="26" t="n">
        <v>17.74</v>
      </c>
      <c r="R3055" s="26">
        <f>Q3055*G3055</f>
        <v/>
      </c>
      <c r="S3055" s="26">
        <f>IFERROR(VLOOKUP(E3055*1,Tabla[#All],8,0),0)</f>
        <v/>
      </c>
      <c r="T3055" s="26">
        <f>S3055*G3055</f>
        <v/>
      </c>
      <c r="U3055" s="26">
        <f>R3055-T3055</f>
        <v/>
      </c>
      <c r="V3055" s="26">
        <f>U3055-L3055</f>
        <v/>
      </c>
    </row>
    <row r="3056">
      <c r="A3056" s="11" t="n">
        <v>46233</v>
      </c>
      <c r="B3056" s="1" t="n">
        <v>20021</v>
      </c>
      <c r="C3056" s="1" t="inlineStr">
        <is>
          <t>022</t>
        </is>
      </c>
      <c r="D3056" s="1" t="inlineStr">
        <is>
          <t>137470</t>
        </is>
      </c>
      <c r="E3056" s="1" t="inlineStr">
        <is>
          <t xml:space="preserve">29235710       </t>
        </is>
      </c>
      <c r="F3056" s="5" t="inlineStr">
        <is>
          <t>TEAMSTERZ PLAYSET GRANDES CONSTRUCCIONES</t>
        </is>
      </c>
      <c r="G3056" t="n">
        <v>1</v>
      </c>
      <c r="H3056" s="7" t="n">
        <v>19.9</v>
      </c>
      <c r="I3056" s="7" t="n">
        <v>0</v>
      </c>
      <c r="J3056" s="7" t="n">
        <v>0</v>
      </c>
      <c r="K3056" s="9" t="n">
        <v>0</v>
      </c>
      <c r="L3056" s="10" t="n">
        <v>11.8</v>
      </c>
      <c r="M3056" s="10" t="n">
        <v>1.43</v>
      </c>
      <c r="N3056" t="inlineStr">
        <is>
          <t>1</t>
        </is>
      </c>
      <c r="O3056" t="inlineStr">
        <is>
          <t>16</t>
        </is>
      </c>
      <c r="P3056" t="inlineStr">
        <is>
          <t xml:space="preserve">61491   </t>
        </is>
      </c>
      <c r="Q3056" s="26" t="n">
        <v>11.81</v>
      </c>
      <c r="R3056" s="26">
        <f>Q3056*G3056</f>
        <v/>
      </c>
      <c r="S3056" s="26">
        <f>IFERROR(VLOOKUP(E3056*1,Tabla[#All],8,0),0)</f>
        <v/>
      </c>
      <c r="T3056" s="26">
        <f>S3056*G3056</f>
        <v/>
      </c>
      <c r="U3056" s="26">
        <f>R3056-T3056</f>
        <v/>
      </c>
      <c r="V3056" s="26">
        <f>U3056-L3056</f>
        <v/>
      </c>
    </row>
    <row r="3057">
      <c r="A3057" s="11" t="n">
        <v>46233</v>
      </c>
      <c r="B3057" s="1" t="n">
        <v>20021</v>
      </c>
      <c r="C3057" s="1" t="inlineStr">
        <is>
          <t>022</t>
        </is>
      </c>
      <c r="D3057" s="1" t="inlineStr">
        <is>
          <t>137470</t>
        </is>
      </c>
      <c r="E3057" s="1" t="inlineStr">
        <is>
          <t xml:space="preserve">31959957       </t>
        </is>
      </c>
      <c r="F3057" s="5" t="inlineStr">
        <is>
          <t>TEAMSTERZ PLAYSET RESCATE EN EL MAR</t>
        </is>
      </c>
      <c r="G3057" t="n">
        <v>1</v>
      </c>
      <c r="H3057" s="7" t="n">
        <v>19.9</v>
      </c>
      <c r="I3057" s="7" t="n">
        <v>0</v>
      </c>
      <c r="J3057" s="7" t="n">
        <v>0</v>
      </c>
      <c r="K3057" s="9" t="n">
        <v>0</v>
      </c>
      <c r="L3057" s="10" t="n">
        <v>11.8</v>
      </c>
      <c r="M3057" s="10" t="n">
        <v>1.43</v>
      </c>
      <c r="N3057" t="inlineStr">
        <is>
          <t>1</t>
        </is>
      </c>
      <c r="O3057" t="inlineStr">
        <is>
          <t>16</t>
        </is>
      </c>
      <c r="P3057" t="inlineStr">
        <is>
          <t xml:space="preserve">61491   </t>
        </is>
      </c>
      <c r="Q3057" s="26" t="n">
        <v>11.81</v>
      </c>
      <c r="R3057" s="26">
        <f>Q3057*G3057</f>
        <v/>
      </c>
      <c r="S3057" s="26">
        <f>IFERROR(VLOOKUP(E3057*1,Tabla[#All],8,0),0)</f>
        <v/>
      </c>
      <c r="T3057" s="26">
        <f>S3057*G3057</f>
        <v/>
      </c>
      <c r="U3057" s="26">
        <f>R3057-T3057</f>
        <v/>
      </c>
      <c r="V3057" s="26">
        <f>U3057-L3057</f>
        <v/>
      </c>
    </row>
    <row r="3058">
      <c r="A3058" s="11" t="n">
        <v>46233</v>
      </c>
      <c r="B3058" s="1" t="n">
        <v>20021</v>
      </c>
      <c r="C3058" s="1" t="inlineStr">
        <is>
          <t>051</t>
        </is>
      </c>
      <c r="D3058" s="1" t="inlineStr">
        <is>
          <t xml:space="preserve">7467  </t>
        </is>
      </c>
      <c r="E3058" s="1" t="inlineStr">
        <is>
          <t xml:space="preserve">34840552       </t>
        </is>
      </c>
      <c r="F3058" s="5" t="inlineStr">
        <is>
          <t>TMZ HELI POLICIA CON LUCES Y SONIDOS</t>
        </is>
      </c>
      <c r="G3058" t="n">
        <v>1</v>
      </c>
      <c r="H3058" s="7" t="n">
        <v>79.90000000000001</v>
      </c>
      <c r="I3058" s="7" t="n">
        <v>0</v>
      </c>
      <c r="J3058" s="7" t="n">
        <v>0</v>
      </c>
      <c r="K3058" s="9" t="n">
        <v>0</v>
      </c>
      <c r="L3058" s="10" t="n">
        <v>47.4</v>
      </c>
      <c r="M3058" s="10" t="n">
        <v>1.43</v>
      </c>
      <c r="N3058" t="inlineStr">
        <is>
          <t>1</t>
        </is>
      </c>
      <c r="O3058" t="inlineStr">
        <is>
          <t>16</t>
        </is>
      </c>
      <c r="P3058" t="inlineStr">
        <is>
          <t xml:space="preserve">81066   </t>
        </is>
      </c>
      <c r="Q3058" s="26" t="n">
        <v>47.4</v>
      </c>
      <c r="R3058" s="26">
        <f>Q3058*G3058</f>
        <v/>
      </c>
      <c r="S3058" s="26">
        <f>IFERROR(VLOOKUP(E3058*1,Tabla[#All],8,0),0)</f>
        <v/>
      </c>
      <c r="T3058" s="26">
        <f>S3058*G3058</f>
        <v/>
      </c>
      <c r="U3058" s="26">
        <f>R3058-T3058</f>
        <v/>
      </c>
      <c r="V3058" s="26">
        <f>U3058-L3058</f>
        <v/>
      </c>
    </row>
    <row r="3059">
      <c r="A3059" s="11" t="n">
        <v>46233</v>
      </c>
      <c r="B3059" s="1" t="n">
        <v>20021</v>
      </c>
      <c r="C3059" s="1" t="inlineStr">
        <is>
          <t>055</t>
        </is>
      </c>
      <c r="D3059" s="1" t="inlineStr">
        <is>
          <t>156213</t>
        </is>
      </c>
      <c r="E3059" s="1" t="inlineStr">
        <is>
          <t xml:space="preserve">28194770       </t>
        </is>
      </c>
      <c r="F3059" s="5" t="inlineStr">
        <is>
          <t>AUTOS DE METAL 3 TEAMSTERZ EN BLISTER</t>
        </is>
      </c>
      <c r="G3059" t="n">
        <v>1</v>
      </c>
      <c r="H3059" s="7" t="n">
        <v>6.9</v>
      </c>
      <c r="I3059" s="7" t="n">
        <v>0</v>
      </c>
      <c r="J3059" s="7" t="n">
        <v>0</v>
      </c>
      <c r="K3059" s="9" t="n">
        <v>0</v>
      </c>
      <c r="L3059" s="10" t="n">
        <v>4.1</v>
      </c>
      <c r="M3059" s="10" t="n">
        <v>1.43</v>
      </c>
      <c r="N3059" t="inlineStr">
        <is>
          <t>1</t>
        </is>
      </c>
      <c r="O3059" t="inlineStr">
        <is>
          <t xml:space="preserve">3 </t>
        </is>
      </c>
      <c r="P3059" t="inlineStr">
        <is>
          <t xml:space="preserve">42929   </t>
        </is>
      </c>
      <c r="Q3059" s="26" t="n">
        <v>4.09</v>
      </c>
      <c r="R3059" s="26">
        <f>Q3059*G3059</f>
        <v/>
      </c>
      <c r="S3059" s="26">
        <f>IFERROR(VLOOKUP(E3059*1,Tabla[#All],8,0),0)</f>
        <v/>
      </c>
      <c r="T3059" s="26">
        <f>S3059*G3059</f>
        <v/>
      </c>
      <c r="U3059" s="26">
        <f>R3059-T3059</f>
        <v/>
      </c>
      <c r="V3059" s="26">
        <f>U3059-L3059</f>
        <v/>
      </c>
    </row>
    <row r="3060">
      <c r="A3060" s="11" t="n">
        <v>46233</v>
      </c>
      <c r="B3060" s="1" t="n">
        <v>20021</v>
      </c>
      <c r="C3060" s="1" t="inlineStr">
        <is>
          <t>055</t>
        </is>
      </c>
      <c r="D3060" s="1" t="inlineStr">
        <is>
          <t>156223</t>
        </is>
      </c>
      <c r="E3060" s="1" t="inlineStr">
        <is>
          <t xml:space="preserve">28194770       </t>
        </is>
      </c>
      <c r="F3060" s="5" t="inlineStr">
        <is>
          <t>AUTOS DE METAL 3 TEAMSTERZ EN BLISTER</t>
        </is>
      </c>
      <c r="G3060" t="n">
        <v>1</v>
      </c>
      <c r="H3060" s="7" t="n">
        <v>6.9</v>
      </c>
      <c r="I3060" s="7" t="n">
        <v>0</v>
      </c>
      <c r="J3060" s="7" t="n">
        <v>0</v>
      </c>
      <c r="K3060" s="9" t="n">
        <v>0</v>
      </c>
      <c r="L3060" s="10" t="n">
        <v>4.1</v>
      </c>
      <c r="M3060" s="10" t="n">
        <v>1.43</v>
      </c>
      <c r="N3060" t="inlineStr">
        <is>
          <t>1</t>
        </is>
      </c>
      <c r="O3060" t="inlineStr">
        <is>
          <t>16</t>
        </is>
      </c>
      <c r="P3060" t="inlineStr">
        <is>
          <t xml:space="preserve">42929   </t>
        </is>
      </c>
      <c r="Q3060" s="26" t="n">
        <v>4.09</v>
      </c>
      <c r="R3060" s="26">
        <f>Q3060*G3060</f>
        <v/>
      </c>
      <c r="S3060" s="26">
        <f>IFERROR(VLOOKUP(E3060*1,Tabla[#All],8,0),0)</f>
        <v/>
      </c>
      <c r="T3060" s="26">
        <f>S3060*G3060</f>
        <v/>
      </c>
      <c r="U3060" s="26">
        <f>R3060-T3060</f>
        <v/>
      </c>
      <c r="V3060" s="26">
        <f>U3060-L3060</f>
        <v/>
      </c>
    </row>
    <row r="3061">
      <c r="A3061" s="11" t="n">
        <v>46233</v>
      </c>
      <c r="B3061" s="1" t="n">
        <v>20021</v>
      </c>
      <c r="C3061" s="1" t="inlineStr">
        <is>
          <t>078</t>
        </is>
      </c>
      <c r="D3061" s="1" t="inlineStr">
        <is>
          <t>102035</t>
        </is>
      </c>
      <c r="E3061" s="1" t="inlineStr">
        <is>
          <t xml:space="preserve">28194770       </t>
        </is>
      </c>
      <c r="F3061" s="5" t="inlineStr">
        <is>
          <t>AUTOS DE METAL 3 TEAMSTERZ EN BLISTER</t>
        </is>
      </c>
      <c r="G3061" t="n">
        <v>1</v>
      </c>
      <c r="H3061" s="7" t="n">
        <v>6.9</v>
      </c>
      <c r="I3061" s="7" t="n">
        <v>0.68</v>
      </c>
      <c r="J3061" s="7" t="n">
        <v>0</v>
      </c>
      <c r="K3061" s="9" t="n">
        <v>0.68</v>
      </c>
      <c r="L3061" s="10" t="n">
        <v>3.69</v>
      </c>
      <c r="M3061" s="10" t="n">
        <v>1.43</v>
      </c>
      <c r="N3061" t="inlineStr">
        <is>
          <t>1</t>
        </is>
      </c>
      <c r="O3061" t="inlineStr">
        <is>
          <t xml:space="preserve">3 </t>
        </is>
      </c>
      <c r="P3061" t="inlineStr">
        <is>
          <t xml:space="preserve">109073  </t>
        </is>
      </c>
      <c r="Q3061" s="26" t="n">
        <v>4.09</v>
      </c>
      <c r="R3061" s="26">
        <f>Q3061*G3061</f>
        <v/>
      </c>
      <c r="S3061" s="26">
        <f>IFERROR(VLOOKUP(E3061*1,Tabla[#All],8,0),0)</f>
        <v/>
      </c>
      <c r="T3061" s="26">
        <f>S3061*G3061</f>
        <v/>
      </c>
      <c r="U3061" s="26">
        <f>R3061-T3061</f>
        <v/>
      </c>
      <c r="V3061" s="26">
        <f>U3061-L3061</f>
        <v/>
      </c>
    </row>
    <row r="3062">
      <c r="A3062" s="11" t="n">
        <v>46233</v>
      </c>
      <c r="B3062" s="1" t="n">
        <v>20021</v>
      </c>
      <c r="C3062" s="1" t="inlineStr">
        <is>
          <t>082</t>
        </is>
      </c>
      <c r="D3062" s="1" t="inlineStr">
        <is>
          <t>270829</t>
        </is>
      </c>
      <c r="E3062" s="1" t="inlineStr">
        <is>
          <t xml:space="preserve">28194769       </t>
        </is>
      </c>
      <c r="F3062" s="5" t="inlineStr">
        <is>
          <t>AUTOS DE METAL 3 TEAMSTERZ PACK DE 2</t>
        </is>
      </c>
      <c r="G3062" t="n">
        <v>1</v>
      </c>
      <c r="H3062" s="7" t="n">
        <v>13.8</v>
      </c>
      <c r="I3062" s="7" t="n">
        <v>0</v>
      </c>
      <c r="J3062" s="7" t="n">
        <v>0</v>
      </c>
      <c r="K3062" s="9" t="n">
        <v>0</v>
      </c>
      <c r="L3062" s="10" t="n">
        <v>8.18</v>
      </c>
      <c r="M3062" s="10" t="n">
        <v>1.43</v>
      </c>
      <c r="N3062" t="inlineStr">
        <is>
          <t>1</t>
        </is>
      </c>
      <c r="O3062" t="inlineStr">
        <is>
          <t xml:space="preserve">3 </t>
        </is>
      </c>
      <c r="P3062" t="inlineStr">
        <is>
          <t xml:space="preserve">249983  </t>
        </is>
      </c>
      <c r="Q3062" s="26" t="n">
        <v>8.19</v>
      </c>
      <c r="R3062" s="26">
        <f>Q3062*G3062</f>
        <v/>
      </c>
      <c r="S3062" s="26">
        <f>IFERROR(VLOOKUP(E3062*1,Tabla[#All],8,0),0)</f>
        <v/>
      </c>
      <c r="T3062" s="26">
        <f>S3062*G3062</f>
        <v/>
      </c>
      <c r="U3062" s="26">
        <f>R3062-T3062</f>
        <v/>
      </c>
      <c r="V3062" s="26">
        <f>U3062-L3062</f>
        <v/>
      </c>
    </row>
    <row r="3063">
      <c r="A3063" s="11" t="n">
        <v>46233</v>
      </c>
      <c r="B3063" s="1" t="n">
        <v>20024</v>
      </c>
      <c r="C3063" s="1" t="inlineStr">
        <is>
          <t>015</t>
        </is>
      </c>
      <c r="D3063" s="1" t="inlineStr">
        <is>
          <t xml:space="preserve">19646 </t>
        </is>
      </c>
      <c r="E3063" s="1" t="inlineStr">
        <is>
          <t xml:space="preserve">28194770       </t>
        </is>
      </c>
      <c r="F3063" s="5" t="inlineStr">
        <is>
          <t>AUTOS DE METAL 3 TEAMSTERZ EN BLISTER</t>
        </is>
      </c>
      <c r="G3063" t="n">
        <v>1</v>
      </c>
      <c r="H3063" s="7" t="n">
        <v>6.9</v>
      </c>
      <c r="I3063" s="7" t="n">
        <v>0</v>
      </c>
      <c r="J3063" s="7" t="n">
        <v>0</v>
      </c>
      <c r="K3063" s="9" t="n">
        <v>0</v>
      </c>
      <c r="L3063" s="10" t="n">
        <v>4.1</v>
      </c>
      <c r="M3063" s="10" t="n">
        <v>1.43</v>
      </c>
      <c r="N3063" t="inlineStr">
        <is>
          <t>1</t>
        </is>
      </c>
      <c r="O3063" t="inlineStr">
        <is>
          <t>16</t>
        </is>
      </c>
      <c r="P3063" t="inlineStr">
        <is>
          <t xml:space="preserve">81108   </t>
        </is>
      </c>
      <c r="Q3063" s="26" t="n">
        <v>4.09</v>
      </c>
      <c r="R3063" s="26">
        <f>Q3063*G3063</f>
        <v/>
      </c>
      <c r="S3063" s="26">
        <f>IFERROR(VLOOKUP(E3063*1,Tabla[#All],8,0),0)</f>
        <v/>
      </c>
      <c r="T3063" s="26">
        <f>S3063*G3063</f>
        <v/>
      </c>
      <c r="U3063" s="26">
        <f>R3063-T3063</f>
        <v/>
      </c>
      <c r="V3063" s="26">
        <f>U3063-L3063</f>
        <v/>
      </c>
    </row>
    <row r="3064">
      <c r="A3064" s="11" t="n">
        <v>46233</v>
      </c>
      <c r="B3064" s="1" t="n">
        <v>20024</v>
      </c>
      <c r="C3064" s="1" t="inlineStr">
        <is>
          <t>015</t>
        </is>
      </c>
      <c r="D3064" s="1" t="inlineStr">
        <is>
          <t xml:space="preserve">19646 </t>
        </is>
      </c>
      <c r="E3064" s="1" t="inlineStr">
        <is>
          <t xml:space="preserve">28194770       </t>
        </is>
      </c>
      <c r="F3064" s="5" t="inlineStr">
        <is>
          <t>AUTOS DE METAL 3 TEAMSTERZ EN BLISTER</t>
        </is>
      </c>
      <c r="G3064" t="n">
        <v>1</v>
      </c>
      <c r="H3064" s="7" t="n">
        <v>6.9</v>
      </c>
      <c r="I3064" s="7" t="n">
        <v>0</v>
      </c>
      <c r="J3064" s="7" t="n">
        <v>0</v>
      </c>
      <c r="K3064" s="9" t="n">
        <v>0</v>
      </c>
      <c r="L3064" s="10" t="n">
        <v>4.1</v>
      </c>
      <c r="M3064" s="10" t="n">
        <v>1.43</v>
      </c>
      <c r="N3064" t="inlineStr">
        <is>
          <t>1</t>
        </is>
      </c>
      <c r="O3064" t="inlineStr">
        <is>
          <t>16</t>
        </is>
      </c>
      <c r="P3064" t="inlineStr">
        <is>
          <t xml:space="preserve">81108   </t>
        </is>
      </c>
      <c r="Q3064" s="26" t="n">
        <v>4.09</v>
      </c>
      <c r="R3064" s="26">
        <f>Q3064*G3064</f>
        <v/>
      </c>
      <c r="S3064" s="26">
        <f>IFERROR(VLOOKUP(E3064*1,Tabla[#All],8,0),0)</f>
        <v/>
      </c>
      <c r="T3064" s="26">
        <f>S3064*G3064</f>
        <v/>
      </c>
      <c r="U3064" s="26">
        <f>R3064-T3064</f>
        <v/>
      </c>
      <c r="V3064" s="26">
        <f>U3064-L3064</f>
        <v/>
      </c>
    </row>
    <row r="3065">
      <c r="A3065" s="11" t="n">
        <v>46233</v>
      </c>
      <c r="B3065" s="1" t="n">
        <v>20024</v>
      </c>
      <c r="C3065" s="1" t="inlineStr">
        <is>
          <t>020</t>
        </is>
      </c>
      <c r="D3065" s="1" t="inlineStr">
        <is>
          <t>255199</t>
        </is>
      </c>
      <c r="E3065" s="1" t="inlineStr">
        <is>
          <t xml:space="preserve">34840524       </t>
        </is>
      </c>
      <c r="F3065" s="5" t="inlineStr">
        <is>
          <t>NENUCO 5 FUNCIONES INTERACTIVAS</t>
        </is>
      </c>
      <c r="G3065" t="n">
        <v>1</v>
      </c>
      <c r="H3065" s="7" t="n">
        <v>69.90000000000001</v>
      </c>
      <c r="I3065" s="7" t="n">
        <v>0</v>
      </c>
      <c r="J3065" s="7" t="n">
        <v>0</v>
      </c>
      <c r="K3065" s="9" t="n">
        <v>0</v>
      </c>
      <c r="L3065" s="10" t="n">
        <v>41.47</v>
      </c>
      <c r="M3065" s="10" t="n">
        <v>1.43</v>
      </c>
      <c r="N3065" t="inlineStr">
        <is>
          <t>1</t>
        </is>
      </c>
      <c r="O3065" t="inlineStr">
        <is>
          <t>16</t>
        </is>
      </c>
      <c r="P3065" t="inlineStr">
        <is>
          <t xml:space="preserve">53109   </t>
        </is>
      </c>
      <c r="Q3065" s="26" t="n">
        <v>53.33</v>
      </c>
      <c r="R3065" s="26">
        <f>Q3065*G3065</f>
        <v/>
      </c>
      <c r="S3065" s="26">
        <f>IFERROR(VLOOKUP(E3065*1,Tabla[#All],8,0),0)</f>
        <v/>
      </c>
      <c r="T3065" s="26">
        <f>S3065*G3065</f>
        <v/>
      </c>
      <c r="U3065" s="26">
        <f>R3065-T3065</f>
        <v/>
      </c>
      <c r="V3065" s="26">
        <f>U3065-L3065</f>
        <v/>
      </c>
    </row>
    <row r="3066">
      <c r="A3066" s="11" t="n">
        <v>46233</v>
      </c>
      <c r="B3066" s="1" t="n">
        <v>20024</v>
      </c>
      <c r="C3066" s="1" t="inlineStr">
        <is>
          <t>032</t>
        </is>
      </c>
      <c r="D3066" s="1" t="inlineStr">
        <is>
          <t>366518</t>
        </is>
      </c>
      <c r="E3066" s="1" t="inlineStr">
        <is>
          <t xml:space="preserve">34840526       </t>
        </is>
      </c>
      <c r="F3066" s="5" t="inlineStr">
        <is>
          <t>NENUCO ABRACITOS</t>
        </is>
      </c>
      <c r="G3066" t="n">
        <v>1</v>
      </c>
      <c r="H3066" s="7" t="n">
        <v>89.90000000000001</v>
      </c>
      <c r="I3066" s="7" t="n">
        <v>0</v>
      </c>
      <c r="J3066" s="7" t="n">
        <v>0</v>
      </c>
      <c r="K3066" s="9" t="n">
        <v>0</v>
      </c>
      <c r="L3066" s="10" t="n">
        <v>53.33</v>
      </c>
      <c r="M3066" s="10" t="n">
        <v>1.43</v>
      </c>
      <c r="N3066" t="inlineStr">
        <is>
          <t>1</t>
        </is>
      </c>
      <c r="O3066" t="inlineStr">
        <is>
          <t>16</t>
        </is>
      </c>
      <c r="P3066" t="inlineStr">
        <is>
          <t xml:space="preserve">71372   </t>
        </is>
      </c>
      <c r="Q3066" s="26" t="n">
        <v>70.59</v>
      </c>
      <c r="R3066" s="26">
        <f>Q3066*G3066</f>
        <v/>
      </c>
      <c r="S3066" s="26">
        <f>IFERROR(VLOOKUP(E3066*1,Tabla[#All],8,0),0)</f>
        <v/>
      </c>
      <c r="T3066" s="26">
        <f>S3066*G3066</f>
        <v/>
      </c>
      <c r="U3066" s="26">
        <f>R3066-T3066</f>
        <v/>
      </c>
      <c r="V3066" s="26">
        <f>U3066-L3066</f>
        <v/>
      </c>
    </row>
    <row r="3067">
      <c r="A3067" s="11" t="n">
        <v>46233</v>
      </c>
      <c r="B3067" s="1" t="n">
        <v>20024</v>
      </c>
      <c r="C3067" s="1" t="inlineStr">
        <is>
          <t>109</t>
        </is>
      </c>
      <c r="D3067" s="1" t="inlineStr">
        <is>
          <t>235985</t>
        </is>
      </c>
      <c r="E3067" s="1" t="inlineStr">
        <is>
          <t xml:space="preserve">34840550       </t>
        </is>
      </c>
      <c r="F3067" s="5" t="inlineStr">
        <is>
          <t>TEAMSTERZ M/MOVERZ TRANSPORTA GORILA</t>
        </is>
      </c>
      <c r="G3067" t="n">
        <v>1</v>
      </c>
      <c r="H3067" s="7" t="n">
        <v>129</v>
      </c>
      <c r="I3067" s="7" t="n">
        <v>0</v>
      </c>
      <c r="J3067" s="7" t="n">
        <v>0</v>
      </c>
      <c r="K3067" s="9" t="n">
        <v>0</v>
      </c>
      <c r="L3067" s="10" t="n">
        <v>76.52</v>
      </c>
      <c r="M3067" s="10" t="n">
        <v>1.43</v>
      </c>
      <c r="N3067" t="inlineStr">
        <is>
          <t>1</t>
        </is>
      </c>
      <c r="O3067" t="inlineStr">
        <is>
          <t>16</t>
        </is>
      </c>
      <c r="P3067" t="inlineStr">
        <is>
          <t xml:space="preserve">240355  </t>
        </is>
      </c>
      <c r="Q3067" s="26" t="n">
        <v>76.53</v>
      </c>
      <c r="R3067" s="26">
        <f>Q3067*G3067</f>
        <v/>
      </c>
      <c r="S3067" s="26">
        <f>IFERROR(VLOOKUP(E3067*1,Tabla[#All],8,0),0)</f>
        <v/>
      </c>
      <c r="T3067" s="26">
        <f>S3067*G3067</f>
        <v/>
      </c>
      <c r="U3067" s="26">
        <f>R3067-T3067</f>
        <v/>
      </c>
      <c r="V3067" s="26">
        <f>U3067-L3067</f>
        <v/>
      </c>
    </row>
    <row r="3068">
      <c r="A3068" s="11" t="n">
        <v>46233</v>
      </c>
      <c r="B3068" s="1" t="n">
        <v>20024</v>
      </c>
      <c r="C3068" s="1" t="inlineStr">
        <is>
          <t>802</t>
        </is>
      </c>
      <c r="D3068" s="1" t="inlineStr">
        <is>
          <t xml:space="preserve">550   </t>
        </is>
      </c>
      <c r="E3068" s="1" t="inlineStr">
        <is>
          <t xml:space="preserve">34840550       </t>
        </is>
      </c>
      <c r="F3068" s="5" t="inlineStr">
        <is>
          <t>TEAMSTERZ M/MOVERZ TRANSPORTA GORILA</t>
        </is>
      </c>
      <c r="G3068" t="n">
        <v>1</v>
      </c>
      <c r="H3068" s="7" t="n">
        <v>129</v>
      </c>
      <c r="I3068" s="7" t="n">
        <v>0</v>
      </c>
      <c r="J3068" s="7" t="n">
        <v>0</v>
      </c>
      <c r="K3068" s="9" t="n">
        <v>0</v>
      </c>
      <c r="L3068" s="10" t="n">
        <v>76.52</v>
      </c>
      <c r="M3068" s="10" t="n">
        <v>1.43</v>
      </c>
      <c r="N3068" t="inlineStr">
        <is>
          <t>1</t>
        </is>
      </c>
      <c r="O3068" t="inlineStr">
        <is>
          <t>16</t>
        </is>
      </c>
      <c r="P3068" t="inlineStr">
        <is>
          <t xml:space="preserve">0       </t>
        </is>
      </c>
      <c r="Q3068" s="26" t="n">
        <v>76.53</v>
      </c>
      <c r="R3068" s="26">
        <f>Q3068*G3068</f>
        <v/>
      </c>
      <c r="S3068" s="26">
        <f>IFERROR(VLOOKUP(E3068*1,Tabla[#All],8,0),0)</f>
        <v/>
      </c>
      <c r="T3068" s="26">
        <f>S3068*G3068</f>
        <v/>
      </c>
      <c r="U3068" s="26">
        <f>R3068-T3068</f>
        <v/>
      </c>
      <c r="V3068" s="26">
        <f>U3068-L3068</f>
        <v/>
      </c>
    </row>
    <row r="3069">
      <c r="A3069" s="11" t="n">
        <v>46233</v>
      </c>
      <c r="B3069" s="1" t="n">
        <v>20024</v>
      </c>
      <c r="C3069" s="1" t="inlineStr">
        <is>
          <t>806</t>
        </is>
      </c>
      <c r="D3069" s="1" t="inlineStr">
        <is>
          <t xml:space="preserve">9640  </t>
        </is>
      </c>
      <c r="E3069" s="1" t="inlineStr">
        <is>
          <t xml:space="preserve">31800857       </t>
        </is>
      </c>
      <c r="F3069" s="5" t="inlineStr">
        <is>
          <t>DART ZONE BLITZFIRE TIRO RAPIDO BLASTER X1</t>
        </is>
      </c>
      <c r="G3069" t="n">
        <v>1</v>
      </c>
      <c r="H3069" s="7" t="n">
        <v>14.95</v>
      </c>
      <c r="I3069" s="7" t="n">
        <v>0</v>
      </c>
      <c r="J3069" s="7" t="n">
        <v>0</v>
      </c>
      <c r="K3069" s="9" t="n">
        <v>0</v>
      </c>
      <c r="L3069" s="10" t="n">
        <v>8.869999999999999</v>
      </c>
      <c r="M3069" s="10" t="n">
        <v>1.43</v>
      </c>
      <c r="N3069" t="inlineStr">
        <is>
          <t>1</t>
        </is>
      </c>
      <c r="O3069" t="inlineStr">
        <is>
          <t>16</t>
        </is>
      </c>
      <c r="P3069" t="inlineStr">
        <is>
          <t xml:space="preserve">0       </t>
        </is>
      </c>
      <c r="Q3069" s="26" t="n">
        <v>17.74</v>
      </c>
      <c r="R3069" s="26">
        <f>Q3069*G3069</f>
        <v/>
      </c>
      <c r="S3069" s="26">
        <f>IFERROR(VLOOKUP(E3069*1,Tabla[#All],8,0),0)</f>
        <v/>
      </c>
      <c r="T3069" s="26">
        <f>S3069*G3069</f>
        <v/>
      </c>
      <c r="U3069" s="26">
        <f>R3069-T3069</f>
        <v/>
      </c>
      <c r="V3069" s="26">
        <f>U3069-L3069</f>
        <v/>
      </c>
    </row>
    <row r="3070">
      <c r="A3070" s="11" t="n">
        <v>46233</v>
      </c>
      <c r="B3070" s="1" t="n">
        <v>20025</v>
      </c>
      <c r="C3070" s="1" t="inlineStr">
        <is>
          <t>076</t>
        </is>
      </c>
      <c r="D3070" s="1" t="inlineStr">
        <is>
          <t>148745</t>
        </is>
      </c>
      <c r="E3070" s="1" t="inlineStr">
        <is>
          <t xml:space="preserve">31959961       </t>
        </is>
      </c>
      <c r="F3070" s="5" t="inlineStr">
        <is>
          <t>TEAMSTERZ CAMBIA DE COLOR PACK DE 3 AUTOS</t>
        </is>
      </c>
      <c r="G3070" t="n">
        <v>1</v>
      </c>
      <c r="H3070" s="7" t="n">
        <v>49.9</v>
      </c>
      <c r="I3070" s="7" t="n">
        <v>0</v>
      </c>
      <c r="J3070" s="7" t="n">
        <v>0</v>
      </c>
      <c r="K3070" s="9" t="n">
        <v>0</v>
      </c>
      <c r="L3070" s="10" t="n">
        <v>29.6</v>
      </c>
      <c r="M3070" s="10" t="n">
        <v>1.43</v>
      </c>
      <c r="N3070" t="inlineStr">
        <is>
          <t>1</t>
        </is>
      </c>
      <c r="O3070" t="inlineStr">
        <is>
          <t>16</t>
        </is>
      </c>
      <c r="P3070" t="inlineStr">
        <is>
          <t xml:space="preserve">22848   </t>
        </is>
      </c>
      <c r="Q3070" s="26" t="n">
        <v>29.6</v>
      </c>
      <c r="R3070" s="26">
        <f>Q3070*G3070</f>
        <v/>
      </c>
      <c r="S3070" s="26">
        <f>IFERROR(VLOOKUP(E3070*1,Tabla[#All],8,0),0)</f>
        <v/>
      </c>
      <c r="T3070" s="26">
        <f>S3070*G3070</f>
        <v/>
      </c>
      <c r="U3070" s="26">
        <f>R3070-T3070</f>
        <v/>
      </c>
      <c r="V3070" s="26">
        <f>U3070-L3070</f>
        <v/>
      </c>
    </row>
    <row r="3071">
      <c r="A3071" s="11" t="n">
        <v>46233</v>
      </c>
      <c r="B3071" s="1" t="n">
        <v>20025</v>
      </c>
      <c r="C3071" s="1" t="inlineStr">
        <is>
          <t>076</t>
        </is>
      </c>
      <c r="D3071" s="1" t="inlineStr">
        <is>
          <t>148746</t>
        </is>
      </c>
      <c r="E3071" s="1" t="inlineStr">
        <is>
          <t xml:space="preserve">32457103       </t>
        </is>
      </c>
      <c r="F3071" s="5" t="inlineStr">
        <is>
          <t>TMZ BEAST MACHINES MONSTER JAWS A FRICCION PACK DE</t>
        </is>
      </c>
      <c r="G3071" t="n">
        <v>1</v>
      </c>
      <c r="H3071" s="7" t="n">
        <v>32.9</v>
      </c>
      <c r="I3071" s="7" t="n">
        <v>0</v>
      </c>
      <c r="J3071" s="7" t="n">
        <v>0</v>
      </c>
      <c r="K3071" s="9" t="n">
        <v>0</v>
      </c>
      <c r="L3071" s="10" t="n">
        <v>19.52</v>
      </c>
      <c r="M3071" s="10" t="n">
        <v>1.43</v>
      </c>
      <c r="N3071" t="inlineStr">
        <is>
          <t>1</t>
        </is>
      </c>
      <c r="O3071" t="inlineStr">
        <is>
          <t xml:space="preserve">2 </t>
        </is>
      </c>
      <c r="P3071" t="inlineStr">
        <is>
          <t xml:space="preserve">22848   </t>
        </is>
      </c>
      <c r="Q3071" s="26" t="n">
        <v>22.48</v>
      </c>
      <c r="R3071" s="26">
        <f>Q3071*G3071</f>
        <v/>
      </c>
      <c r="S3071" s="26">
        <f>IFERROR(VLOOKUP(E3071*1,Tabla[#All],8,0),0)</f>
        <v/>
      </c>
      <c r="T3071" s="26">
        <f>S3071*G3071</f>
        <v/>
      </c>
      <c r="U3071" s="26">
        <f>R3071-T3071</f>
        <v/>
      </c>
      <c r="V3071" s="26">
        <f>U3071-L3071</f>
        <v/>
      </c>
    </row>
    <row r="3072">
      <c r="A3072" s="11" t="n">
        <v>46233</v>
      </c>
      <c r="B3072" s="1" t="n">
        <v>20028</v>
      </c>
      <c r="C3072" s="1" t="inlineStr">
        <is>
          <t>021</t>
        </is>
      </c>
      <c r="D3072" s="1" t="inlineStr">
        <is>
          <t>186764</t>
        </is>
      </c>
      <c r="E3072" s="1" t="inlineStr">
        <is>
          <t xml:space="preserve">31959958       </t>
        </is>
      </c>
      <c r="F3072" s="5" t="inlineStr">
        <is>
          <t>TMZ BEAST MACHINE AUTOS DE METAL PACK 3 AUTOS</t>
        </is>
      </c>
      <c r="G3072" t="n">
        <v>1</v>
      </c>
      <c r="H3072" s="7" t="n">
        <v>23.7</v>
      </c>
      <c r="I3072" s="7" t="n">
        <v>0</v>
      </c>
      <c r="J3072" s="7" t="n">
        <v>0</v>
      </c>
      <c r="K3072" s="9" t="n">
        <v>0</v>
      </c>
      <c r="L3072" s="10" t="n">
        <v>14.06</v>
      </c>
      <c r="M3072" s="10" t="n">
        <v>1.43</v>
      </c>
      <c r="N3072" t="inlineStr">
        <is>
          <t>1</t>
        </is>
      </c>
      <c r="O3072" t="inlineStr">
        <is>
          <t>16</t>
        </is>
      </c>
      <c r="P3072" t="inlineStr">
        <is>
          <t xml:space="preserve">23685   </t>
        </is>
      </c>
      <c r="Q3072" s="26" t="n">
        <v>14.06</v>
      </c>
      <c r="R3072" s="26">
        <f>Q3072*G3072</f>
        <v/>
      </c>
      <c r="S3072" s="26">
        <f>IFERROR(VLOOKUP(E3072*1,Tabla[#All],8,0),0)</f>
        <v/>
      </c>
      <c r="T3072" s="26">
        <f>S3072*G3072</f>
        <v/>
      </c>
      <c r="U3072" s="26">
        <f>R3072-T3072</f>
        <v/>
      </c>
      <c r="V3072" s="26">
        <f>U3072-L3072</f>
        <v/>
      </c>
    </row>
    <row r="3073">
      <c r="A3073" s="11" t="n">
        <v>46233</v>
      </c>
      <c r="B3073" s="1" t="n">
        <v>20028</v>
      </c>
      <c r="C3073" s="1" t="inlineStr">
        <is>
          <t>140</t>
        </is>
      </c>
      <c r="D3073" s="1" t="inlineStr">
        <is>
          <t>225683</t>
        </is>
      </c>
      <c r="E3073" s="1" t="inlineStr">
        <is>
          <t xml:space="preserve">28194782       </t>
        </is>
      </c>
      <c r="F3073" s="5" t="inlineStr">
        <is>
          <t>TROMPO BATALLA INFINITY NADO SERIE V ORIGINAL SURT</t>
        </is>
      </c>
      <c r="G3073" t="n">
        <v>1</v>
      </c>
      <c r="H3073" s="7" t="n">
        <v>49.9</v>
      </c>
      <c r="I3073" s="7" t="n">
        <v>0</v>
      </c>
      <c r="J3073" s="7" t="n">
        <v>0</v>
      </c>
      <c r="K3073" s="9" t="n">
        <v>0</v>
      </c>
      <c r="L3073" s="10" t="n">
        <v>29.6</v>
      </c>
      <c r="M3073" s="10" t="n">
        <v>1.43</v>
      </c>
      <c r="N3073" t="inlineStr">
        <is>
          <t>1</t>
        </is>
      </c>
      <c r="O3073" t="inlineStr">
        <is>
          <t>16</t>
        </is>
      </c>
      <c r="P3073" t="inlineStr">
        <is>
          <t xml:space="preserve">74495   </t>
        </is>
      </c>
      <c r="Q3073" s="26" t="n">
        <v>41.47</v>
      </c>
      <c r="R3073" s="26">
        <f>Q3073*G3073</f>
        <v/>
      </c>
      <c r="S3073" s="26">
        <f>IFERROR(VLOOKUP(E3073*1,Tabla[#All],8,0),0)</f>
        <v/>
      </c>
      <c r="T3073" s="26">
        <f>S3073*G3073</f>
        <v/>
      </c>
      <c r="U3073" s="26">
        <f>R3073-T3073</f>
        <v/>
      </c>
      <c r="V3073" s="26">
        <f>U3073-L3073</f>
        <v/>
      </c>
    </row>
    <row r="3074">
      <c r="A3074" s="11" t="n">
        <v>46233</v>
      </c>
      <c r="B3074" s="1" t="n">
        <v>20030</v>
      </c>
      <c r="C3074" s="1" t="inlineStr">
        <is>
          <t>067</t>
        </is>
      </c>
      <c r="D3074" s="1" t="inlineStr">
        <is>
          <t>275510</t>
        </is>
      </c>
      <c r="E3074" s="1" t="inlineStr">
        <is>
          <t xml:space="preserve">28194770       </t>
        </is>
      </c>
      <c r="F3074" s="5" t="inlineStr">
        <is>
          <t>AUTOS DE METAL 3 TEAMSTERZ EN BLISTER</t>
        </is>
      </c>
      <c r="G3074" t="n">
        <v>1</v>
      </c>
      <c r="H3074" s="7" t="n">
        <v>6.9</v>
      </c>
      <c r="I3074" s="7" t="n">
        <v>0</v>
      </c>
      <c r="J3074" s="7" t="n">
        <v>0</v>
      </c>
      <c r="K3074" s="9" t="n">
        <v>0</v>
      </c>
      <c r="L3074" s="10" t="n">
        <v>4.1</v>
      </c>
      <c r="M3074" s="10" t="n">
        <v>1.43</v>
      </c>
      <c r="N3074" t="inlineStr">
        <is>
          <t>1</t>
        </is>
      </c>
      <c r="O3074" t="inlineStr">
        <is>
          <t xml:space="preserve">3 </t>
        </is>
      </c>
      <c r="P3074" t="inlineStr">
        <is>
          <t xml:space="preserve">50377   </t>
        </is>
      </c>
      <c r="Q3074" s="26" t="n">
        <v>4.09</v>
      </c>
      <c r="R3074" s="26">
        <f>Q3074*G3074</f>
        <v/>
      </c>
      <c r="S3074" s="26">
        <f>IFERROR(VLOOKUP(E3074*1,Tabla[#All],8,0),0)</f>
        <v/>
      </c>
      <c r="T3074" s="26">
        <f>S3074*G3074</f>
        <v/>
      </c>
      <c r="U3074" s="26">
        <f>R3074-T3074</f>
        <v/>
      </c>
      <c r="V3074" s="26">
        <f>U3074-L3074</f>
        <v/>
      </c>
    </row>
    <row r="3075">
      <c r="A3075" s="11" t="n">
        <v>46233</v>
      </c>
      <c r="B3075" s="1" t="n">
        <v>20030</v>
      </c>
      <c r="C3075" s="1" t="inlineStr">
        <is>
          <t>067</t>
        </is>
      </c>
      <c r="D3075" s="1" t="inlineStr">
        <is>
          <t>275510</t>
        </is>
      </c>
      <c r="E3075" s="1" t="inlineStr">
        <is>
          <t xml:space="preserve">30141766       </t>
        </is>
      </c>
      <c r="F3075" s="5" t="inlineStr">
        <is>
          <t>TMZ BEAST MACHINES AUTOS DE METAL BLISTER X 1</t>
        </is>
      </c>
      <c r="G3075" t="n">
        <v>1</v>
      </c>
      <c r="H3075" s="7" t="n">
        <v>7.9</v>
      </c>
      <c r="I3075" s="7" t="n">
        <v>0</v>
      </c>
      <c r="J3075" s="7" t="n">
        <v>0</v>
      </c>
      <c r="K3075" s="9" t="n">
        <v>0</v>
      </c>
      <c r="L3075" s="10" t="n">
        <v>4.68</v>
      </c>
      <c r="M3075" s="10" t="n">
        <v>1.43</v>
      </c>
      <c r="N3075" t="inlineStr">
        <is>
          <t>1</t>
        </is>
      </c>
      <c r="O3075" t="inlineStr">
        <is>
          <t xml:space="preserve">3 </t>
        </is>
      </c>
      <c r="P3075" t="inlineStr">
        <is>
          <t xml:space="preserve">50377   </t>
        </is>
      </c>
      <c r="Q3075" s="26" t="n">
        <v>4.69</v>
      </c>
      <c r="R3075" s="26">
        <f>Q3075*G3075</f>
        <v/>
      </c>
      <c r="S3075" s="26">
        <f>IFERROR(VLOOKUP(E3075*1,Tabla[#All],8,0),0)</f>
        <v/>
      </c>
      <c r="T3075" s="26">
        <f>S3075*G3075</f>
        <v/>
      </c>
      <c r="U3075" s="26">
        <f>R3075-T3075</f>
        <v/>
      </c>
      <c r="V3075" s="26">
        <f>U3075-L3075</f>
        <v/>
      </c>
    </row>
    <row r="3076">
      <c r="A3076" s="11" t="n">
        <v>46233</v>
      </c>
      <c r="B3076" s="1" t="n">
        <v>20040</v>
      </c>
      <c r="C3076" s="1" t="inlineStr">
        <is>
          <t>072</t>
        </is>
      </c>
      <c r="D3076" s="1" t="inlineStr">
        <is>
          <t>253459</t>
        </is>
      </c>
      <c r="E3076" s="1" t="inlineStr">
        <is>
          <t xml:space="preserve">28194770       </t>
        </is>
      </c>
      <c r="F3076" s="5" t="inlineStr">
        <is>
          <t>AUTOS DE METAL 3 TEAMSTERZ EN BLISTER</t>
        </is>
      </c>
      <c r="G3076" t="n">
        <v>1</v>
      </c>
      <c r="H3076" s="7" t="n">
        <v>6.9</v>
      </c>
      <c r="I3076" s="7" t="n">
        <v>0</v>
      </c>
      <c r="J3076" s="7" t="n">
        <v>0</v>
      </c>
      <c r="K3076" s="9" t="n">
        <v>0</v>
      </c>
      <c r="L3076" s="10" t="n">
        <v>4.1</v>
      </c>
      <c r="M3076" s="10" t="n">
        <v>1.43</v>
      </c>
      <c r="N3076" t="inlineStr">
        <is>
          <t>1</t>
        </is>
      </c>
      <c r="O3076" t="inlineStr">
        <is>
          <t>16</t>
        </is>
      </c>
      <c r="P3076" t="inlineStr">
        <is>
          <t xml:space="preserve">61602   </t>
        </is>
      </c>
      <c r="Q3076" s="26" t="n">
        <v>4.09</v>
      </c>
      <c r="R3076" s="26">
        <f>Q3076*G3076</f>
        <v/>
      </c>
      <c r="S3076" s="26">
        <f>IFERROR(VLOOKUP(E3076*1,Tabla[#All],8,0),0)</f>
        <v/>
      </c>
      <c r="T3076" s="26">
        <f>S3076*G3076</f>
        <v/>
      </c>
      <c r="U3076" s="26">
        <f>R3076-T3076</f>
        <v/>
      </c>
      <c r="V3076" s="26">
        <f>U3076-L3076</f>
        <v/>
      </c>
    </row>
    <row r="3077">
      <c r="A3077" s="11" t="n">
        <v>46233</v>
      </c>
      <c r="B3077" s="1" t="n">
        <v>20040</v>
      </c>
      <c r="C3077" s="1" t="inlineStr">
        <is>
          <t>801</t>
        </is>
      </c>
      <c r="D3077" s="1" t="inlineStr">
        <is>
          <t xml:space="preserve">1314  </t>
        </is>
      </c>
      <c r="E3077" s="1" t="inlineStr">
        <is>
          <t xml:space="preserve">31754676       </t>
        </is>
      </c>
      <c r="F3077" s="5" t="inlineStr">
        <is>
          <t>INFINITY NADO SERIE 6 STD PACK LANZ ESPAD ANILLO M</t>
        </is>
      </c>
      <c r="G3077" t="n">
        <v>1</v>
      </c>
      <c r="H3077" s="7" t="n">
        <v>59.9</v>
      </c>
      <c r="I3077" s="7" t="n">
        <v>0</v>
      </c>
      <c r="J3077" s="7" t="n">
        <v>0</v>
      </c>
      <c r="K3077" s="9" t="n">
        <v>0</v>
      </c>
      <c r="L3077" s="10" t="n">
        <v>35.53</v>
      </c>
      <c r="M3077" s="10" t="n">
        <v>1.43</v>
      </c>
      <c r="N3077" t="inlineStr">
        <is>
          <t>1</t>
        </is>
      </c>
      <c r="O3077" t="inlineStr">
        <is>
          <t>16</t>
        </is>
      </c>
      <c r="P3077" t="inlineStr">
        <is>
          <t xml:space="preserve">0       </t>
        </is>
      </c>
      <c r="Q3077" s="26" t="n">
        <v>47.4</v>
      </c>
      <c r="R3077" s="26">
        <f>Q3077*G3077</f>
        <v/>
      </c>
      <c r="S3077" s="26">
        <f>IFERROR(VLOOKUP(E3077*1,Tabla[#All],8,0),0)</f>
        <v/>
      </c>
      <c r="T3077" s="26">
        <f>S3077*G3077</f>
        <v/>
      </c>
      <c r="U3077" s="26">
        <f>R3077-T3077</f>
        <v/>
      </c>
      <c r="V3077" s="26">
        <f>U3077-L3077</f>
        <v/>
      </c>
    </row>
    <row r="3078">
      <c r="A3078" s="11" t="n">
        <v>46233</v>
      </c>
      <c r="B3078" s="1" t="n">
        <v>20041</v>
      </c>
      <c r="C3078" s="1" t="inlineStr">
        <is>
          <t>011</t>
        </is>
      </c>
      <c r="D3078" s="1" t="inlineStr">
        <is>
          <t xml:space="preserve">2431  </t>
        </is>
      </c>
      <c r="E3078" s="1" t="inlineStr">
        <is>
          <t xml:space="preserve">28194770       </t>
        </is>
      </c>
      <c r="F3078" s="5" t="inlineStr">
        <is>
          <t>AUTOS DE METAL 3 TEAMSTERZ EN BLISTER</t>
        </is>
      </c>
      <c r="G3078" t="n">
        <v>1</v>
      </c>
      <c r="H3078" s="7" t="n">
        <v>6.9</v>
      </c>
      <c r="I3078" s="7" t="n">
        <v>0</v>
      </c>
      <c r="J3078" s="7" t="n">
        <v>0</v>
      </c>
      <c r="K3078" s="9" t="n">
        <v>0</v>
      </c>
      <c r="L3078" s="10" t="n">
        <v>4.1</v>
      </c>
      <c r="M3078" s="10" t="n">
        <v>1.43</v>
      </c>
      <c r="N3078" t="inlineStr">
        <is>
          <t>1</t>
        </is>
      </c>
      <c r="O3078" t="inlineStr">
        <is>
          <t xml:space="preserve">2 </t>
        </is>
      </c>
      <c r="P3078" t="inlineStr">
        <is>
          <t xml:space="preserve">49695   </t>
        </is>
      </c>
      <c r="Q3078" s="26" t="n">
        <v>4.09</v>
      </c>
      <c r="R3078" s="26">
        <f>Q3078*G3078</f>
        <v/>
      </c>
      <c r="S3078" s="26">
        <f>IFERROR(VLOOKUP(E3078*1,Tabla[#All],8,0),0)</f>
        <v/>
      </c>
      <c r="T3078" s="26">
        <f>S3078*G3078</f>
        <v/>
      </c>
      <c r="U3078" s="26">
        <f>R3078-T3078</f>
        <v/>
      </c>
      <c r="V3078" s="26">
        <f>U3078-L3078</f>
        <v/>
      </c>
    </row>
    <row r="3079">
      <c r="A3079" s="11" t="n">
        <v>46233</v>
      </c>
      <c r="B3079" s="1" t="n">
        <v>20041</v>
      </c>
      <c r="C3079" s="1" t="inlineStr">
        <is>
          <t>013</t>
        </is>
      </c>
      <c r="D3079" s="1" t="inlineStr">
        <is>
          <t>460764</t>
        </is>
      </c>
      <c r="E3079" s="1" t="inlineStr">
        <is>
          <t xml:space="preserve">28194770       </t>
        </is>
      </c>
      <c r="F3079" s="5" t="inlineStr">
        <is>
          <t>AUTOS DE METAL 3 TEAMSTERZ EN BLISTER</t>
        </is>
      </c>
      <c r="G3079" t="n">
        <v>1</v>
      </c>
      <c r="H3079" s="7" t="n">
        <v>6.9</v>
      </c>
      <c r="I3079" s="7" t="n">
        <v>0</v>
      </c>
      <c r="J3079" s="7" t="n">
        <v>0</v>
      </c>
      <c r="K3079" s="9" t="n">
        <v>0</v>
      </c>
      <c r="L3079" s="10" t="n">
        <v>4.1</v>
      </c>
      <c r="M3079" s="10" t="n">
        <v>1.43</v>
      </c>
      <c r="N3079" t="inlineStr">
        <is>
          <t>1</t>
        </is>
      </c>
      <c r="O3079" t="inlineStr">
        <is>
          <t xml:space="preserve">2 </t>
        </is>
      </c>
      <c r="P3079" t="inlineStr">
        <is>
          <t xml:space="preserve">91630   </t>
        </is>
      </c>
      <c r="Q3079" s="26" t="n">
        <v>4.09</v>
      </c>
      <c r="R3079" s="26">
        <f>Q3079*G3079</f>
        <v/>
      </c>
      <c r="S3079" s="26">
        <f>IFERROR(VLOOKUP(E3079*1,Tabla[#All],8,0),0)</f>
        <v/>
      </c>
      <c r="T3079" s="26">
        <f>S3079*G3079</f>
        <v/>
      </c>
      <c r="U3079" s="26">
        <f>R3079-T3079</f>
        <v/>
      </c>
      <c r="V3079" s="26">
        <f>U3079-L3079</f>
        <v/>
      </c>
    </row>
    <row r="3080">
      <c r="A3080" s="11" t="n">
        <v>46233</v>
      </c>
      <c r="B3080" s="1" t="n">
        <v>20041</v>
      </c>
      <c r="C3080" s="1" t="inlineStr">
        <is>
          <t>016</t>
        </is>
      </c>
      <c r="D3080" s="1" t="inlineStr">
        <is>
          <t>217492</t>
        </is>
      </c>
      <c r="E3080" s="1" t="inlineStr">
        <is>
          <t xml:space="preserve">28194770       </t>
        </is>
      </c>
      <c r="F3080" s="5" t="inlineStr">
        <is>
          <t>AUTOS DE METAL 3 TEAMSTERZ EN BLISTER</t>
        </is>
      </c>
      <c r="G3080" t="n">
        <v>1</v>
      </c>
      <c r="H3080" s="7" t="n">
        <v>6.9</v>
      </c>
      <c r="I3080" s="7" t="n">
        <v>0</v>
      </c>
      <c r="J3080" s="7" t="n">
        <v>0</v>
      </c>
      <c r="K3080" s="9" t="n">
        <v>0</v>
      </c>
      <c r="L3080" s="10" t="n">
        <v>4.1</v>
      </c>
      <c r="M3080" s="10" t="n">
        <v>1.43</v>
      </c>
      <c r="N3080" t="inlineStr">
        <is>
          <t>1</t>
        </is>
      </c>
      <c r="O3080" t="inlineStr">
        <is>
          <t>16</t>
        </is>
      </c>
      <c r="P3080" t="inlineStr">
        <is>
          <t xml:space="preserve">53218   </t>
        </is>
      </c>
      <c r="Q3080" s="26" t="n">
        <v>4.09</v>
      </c>
      <c r="R3080" s="26">
        <f>Q3080*G3080</f>
        <v/>
      </c>
      <c r="S3080" s="26">
        <f>IFERROR(VLOOKUP(E3080*1,Tabla[#All],8,0),0)</f>
        <v/>
      </c>
      <c r="T3080" s="26">
        <f>S3080*G3080</f>
        <v/>
      </c>
      <c r="U3080" s="26">
        <f>R3080-T3080</f>
        <v/>
      </c>
      <c r="V3080" s="26">
        <f>U3080-L3080</f>
        <v/>
      </c>
    </row>
    <row r="3081">
      <c r="A3081" s="11" t="n">
        <v>46233</v>
      </c>
      <c r="B3081" s="1" t="n">
        <v>20041</v>
      </c>
      <c r="C3081" s="1" t="inlineStr">
        <is>
          <t>031</t>
        </is>
      </c>
      <c r="D3081" s="1" t="inlineStr">
        <is>
          <t>167320</t>
        </is>
      </c>
      <c r="E3081" s="1" t="inlineStr">
        <is>
          <t xml:space="preserve">28194770       </t>
        </is>
      </c>
      <c r="F3081" s="5" t="inlineStr">
        <is>
          <t>AUTOS DE METAL 3 TEAMSTERZ EN BLISTER</t>
        </is>
      </c>
      <c r="G3081" t="n">
        <v>1</v>
      </c>
      <c r="H3081" s="7" t="n">
        <v>6.9</v>
      </c>
      <c r="I3081" s="7" t="n">
        <v>0</v>
      </c>
      <c r="J3081" s="7" t="n">
        <v>0</v>
      </c>
      <c r="K3081" s="9" t="n">
        <v>0</v>
      </c>
      <c r="L3081" s="10" t="n">
        <v>4.1</v>
      </c>
      <c r="M3081" s="10" t="n">
        <v>1.43</v>
      </c>
      <c r="N3081" t="inlineStr">
        <is>
          <t>1</t>
        </is>
      </c>
      <c r="O3081" t="inlineStr">
        <is>
          <t>16</t>
        </is>
      </c>
      <c r="P3081" t="inlineStr">
        <is>
          <t xml:space="preserve">46327   </t>
        </is>
      </c>
      <c r="Q3081" s="26" t="n">
        <v>4.09</v>
      </c>
      <c r="R3081" s="26">
        <f>Q3081*G3081</f>
        <v/>
      </c>
      <c r="S3081" s="26">
        <f>IFERROR(VLOOKUP(E3081*1,Tabla[#All],8,0),0)</f>
        <v/>
      </c>
      <c r="T3081" s="26">
        <f>S3081*G3081</f>
        <v/>
      </c>
      <c r="U3081" s="26">
        <f>R3081-T3081</f>
        <v/>
      </c>
      <c r="V3081" s="26">
        <f>U3081-L3081</f>
        <v/>
      </c>
    </row>
    <row r="3082">
      <c r="A3082" s="11" t="n">
        <v>46233</v>
      </c>
      <c r="B3082" s="1" t="n">
        <v>20043</v>
      </c>
      <c r="C3082" s="1" t="inlineStr">
        <is>
          <t>059</t>
        </is>
      </c>
      <c r="D3082" s="1" t="inlineStr">
        <is>
          <t>151213</t>
        </is>
      </c>
      <c r="E3082" s="1" t="inlineStr">
        <is>
          <t xml:space="preserve">32457099       </t>
        </is>
      </c>
      <c r="F3082" s="5" t="inlineStr">
        <is>
          <t>TMZ BEAST MACHINES MONSTER JAWS A FRICCION BLISTER</t>
        </is>
      </c>
      <c r="G3082" t="n">
        <v>1</v>
      </c>
      <c r="H3082" s="7" t="n">
        <v>17.9</v>
      </c>
      <c r="I3082" s="7" t="n">
        <v>0</v>
      </c>
      <c r="J3082" s="7" t="n">
        <v>0</v>
      </c>
      <c r="K3082" s="9" t="n">
        <v>0</v>
      </c>
      <c r="L3082" s="10" t="n">
        <v>10.62</v>
      </c>
      <c r="M3082" s="10" t="n">
        <v>1.43</v>
      </c>
      <c r="N3082" t="inlineStr">
        <is>
          <t>1</t>
        </is>
      </c>
      <c r="O3082" t="inlineStr">
        <is>
          <t>16</t>
        </is>
      </c>
      <c r="P3082" t="inlineStr">
        <is>
          <t xml:space="preserve">47299   </t>
        </is>
      </c>
      <c r="Q3082" s="26" t="n">
        <v>11.81</v>
      </c>
      <c r="R3082" s="26">
        <f>Q3082*G3082</f>
        <v/>
      </c>
      <c r="S3082" s="26">
        <f>IFERROR(VLOOKUP(E3082*1,Tabla[#All],8,0),0)</f>
        <v/>
      </c>
      <c r="T3082" s="26">
        <f>S3082*G3082</f>
        <v/>
      </c>
      <c r="U3082" s="26">
        <f>R3082-T3082</f>
        <v/>
      </c>
      <c r="V3082" s="26">
        <f>U3082-L3082</f>
        <v/>
      </c>
    </row>
    <row r="3083">
      <c r="A3083" s="11" t="n">
        <v>46233</v>
      </c>
      <c r="B3083" s="1" t="n">
        <v>20047</v>
      </c>
      <c r="C3083" s="1" t="inlineStr">
        <is>
          <t>012</t>
        </is>
      </c>
      <c r="D3083" s="1" t="inlineStr">
        <is>
          <t>334848</t>
        </is>
      </c>
      <c r="E3083" s="1" t="inlineStr">
        <is>
          <t xml:space="preserve">28194770       </t>
        </is>
      </c>
      <c r="F3083" s="5" t="inlineStr">
        <is>
          <t>AUTOS DE METAL 3 TEAMSTERZ EN BLISTER</t>
        </is>
      </c>
      <c r="G3083" t="n">
        <v>1</v>
      </c>
      <c r="H3083" s="7" t="n">
        <v>6.9</v>
      </c>
      <c r="I3083" s="7" t="n">
        <v>0</v>
      </c>
      <c r="J3083" s="7" t="n">
        <v>0</v>
      </c>
      <c r="K3083" s="9" t="n">
        <v>0</v>
      </c>
      <c r="L3083" s="10" t="n">
        <v>4.1</v>
      </c>
      <c r="M3083" s="10" t="n">
        <v>1.43</v>
      </c>
      <c r="N3083" t="inlineStr">
        <is>
          <t>1</t>
        </is>
      </c>
      <c r="O3083" t="inlineStr">
        <is>
          <t xml:space="preserve">2 </t>
        </is>
      </c>
      <c r="P3083" t="inlineStr">
        <is>
          <t xml:space="preserve">240556  </t>
        </is>
      </c>
      <c r="Q3083" s="26" t="n">
        <v>4.09</v>
      </c>
      <c r="R3083" s="26">
        <f>Q3083*G3083</f>
        <v/>
      </c>
      <c r="S3083" s="26">
        <f>IFERROR(VLOOKUP(E3083*1,Tabla[#All],8,0),0)</f>
        <v/>
      </c>
      <c r="T3083" s="26">
        <f>S3083*G3083</f>
        <v/>
      </c>
      <c r="U3083" s="26">
        <f>R3083-T3083</f>
        <v/>
      </c>
      <c r="V3083" s="26">
        <f>U3083-L3083</f>
        <v/>
      </c>
    </row>
    <row r="3084">
      <c r="A3084" s="11" t="n">
        <v>46233</v>
      </c>
      <c r="B3084" s="1" t="n">
        <v>20047</v>
      </c>
      <c r="C3084" s="1" t="inlineStr">
        <is>
          <t>012</t>
        </is>
      </c>
      <c r="D3084" s="1" t="inlineStr">
        <is>
          <t>334848</t>
        </is>
      </c>
      <c r="E3084" s="1" t="inlineStr">
        <is>
          <t xml:space="preserve">28194770       </t>
        </is>
      </c>
      <c r="F3084" s="5" t="inlineStr">
        <is>
          <t>AUTOS DE METAL 3 TEAMSTERZ EN BLISTER</t>
        </is>
      </c>
      <c r="G3084" t="n">
        <v>1</v>
      </c>
      <c r="H3084" s="7" t="n">
        <v>6.9</v>
      </c>
      <c r="I3084" s="7" t="n">
        <v>0</v>
      </c>
      <c r="J3084" s="7" t="n">
        <v>0</v>
      </c>
      <c r="K3084" s="9" t="n">
        <v>0</v>
      </c>
      <c r="L3084" s="10" t="n">
        <v>4.1</v>
      </c>
      <c r="M3084" s="10" t="n">
        <v>1.43</v>
      </c>
      <c r="N3084" t="inlineStr">
        <is>
          <t>1</t>
        </is>
      </c>
      <c r="O3084" t="inlineStr">
        <is>
          <t xml:space="preserve">2 </t>
        </is>
      </c>
      <c r="P3084" t="inlineStr">
        <is>
          <t xml:space="preserve">240556  </t>
        </is>
      </c>
      <c r="Q3084" s="26" t="n">
        <v>4.09</v>
      </c>
      <c r="R3084" s="26">
        <f>Q3084*G3084</f>
        <v/>
      </c>
      <c r="S3084" s="26">
        <f>IFERROR(VLOOKUP(E3084*1,Tabla[#All],8,0),0)</f>
        <v/>
      </c>
      <c r="T3084" s="26">
        <f>S3084*G3084</f>
        <v/>
      </c>
      <c r="U3084" s="26">
        <f>R3084-T3084</f>
        <v/>
      </c>
      <c r="V3084" s="26">
        <f>U3084-L3084</f>
        <v/>
      </c>
    </row>
    <row r="3085">
      <c r="A3085" s="11" t="n">
        <v>46233</v>
      </c>
      <c r="B3085" s="1" t="n">
        <v>20047</v>
      </c>
      <c r="C3085" s="1" t="inlineStr">
        <is>
          <t>012</t>
        </is>
      </c>
      <c r="D3085" s="1" t="inlineStr">
        <is>
          <t>334862</t>
        </is>
      </c>
      <c r="E3085" s="1" t="inlineStr">
        <is>
          <t xml:space="preserve">28194770       </t>
        </is>
      </c>
      <c r="F3085" s="5" t="inlineStr">
        <is>
          <t>AUTOS DE METAL 3 TEAMSTERZ EN BLISTER</t>
        </is>
      </c>
      <c r="G3085" t="n">
        <v>1</v>
      </c>
      <c r="H3085" s="7" t="n">
        <v>6.9</v>
      </c>
      <c r="I3085" s="7" t="n">
        <v>0</v>
      </c>
      <c r="J3085" s="7" t="n">
        <v>0</v>
      </c>
      <c r="K3085" s="9" t="n">
        <v>0</v>
      </c>
      <c r="L3085" s="10" t="n">
        <v>4.1</v>
      </c>
      <c r="M3085" s="10" t="n">
        <v>1.43</v>
      </c>
      <c r="N3085" t="inlineStr">
        <is>
          <t>1</t>
        </is>
      </c>
      <c r="O3085" t="inlineStr">
        <is>
          <t xml:space="preserve">2 </t>
        </is>
      </c>
      <c r="P3085" t="inlineStr">
        <is>
          <t xml:space="preserve">240556  </t>
        </is>
      </c>
      <c r="Q3085" s="26" t="n">
        <v>4.09</v>
      </c>
      <c r="R3085" s="26">
        <f>Q3085*G3085</f>
        <v/>
      </c>
      <c r="S3085" s="26">
        <f>IFERROR(VLOOKUP(E3085*1,Tabla[#All],8,0),0)</f>
        <v/>
      </c>
      <c r="T3085" s="26">
        <f>S3085*G3085</f>
        <v/>
      </c>
      <c r="U3085" s="26">
        <f>R3085-T3085</f>
        <v/>
      </c>
      <c r="V3085" s="26">
        <f>U3085-L3085</f>
        <v/>
      </c>
    </row>
    <row r="3086">
      <c r="A3086" s="11" t="n">
        <v>46233</v>
      </c>
      <c r="B3086" s="1" t="n">
        <v>20047</v>
      </c>
      <c r="C3086" s="1" t="inlineStr">
        <is>
          <t>191</t>
        </is>
      </c>
      <c r="D3086" s="1" t="inlineStr">
        <is>
          <t>464355</t>
        </is>
      </c>
      <c r="E3086" s="1" t="inlineStr">
        <is>
          <t xml:space="preserve">28194770       </t>
        </is>
      </c>
      <c r="F3086" s="5" t="inlineStr">
        <is>
          <t>AUTOS DE METAL 3 TEAMSTERZ EN BLISTER</t>
        </is>
      </c>
      <c r="G3086" t="n">
        <v>1</v>
      </c>
      <c r="H3086" s="7" t="n">
        <v>6.9</v>
      </c>
      <c r="I3086" s="7" t="n">
        <v>0</v>
      </c>
      <c r="J3086" s="7" t="n">
        <v>0</v>
      </c>
      <c r="K3086" s="9" t="n">
        <v>0</v>
      </c>
      <c r="L3086" s="10" t="n">
        <v>4.1</v>
      </c>
      <c r="M3086" s="10" t="n">
        <v>1.43</v>
      </c>
      <c r="N3086" t="inlineStr">
        <is>
          <t>1</t>
        </is>
      </c>
      <c r="O3086" t="inlineStr">
        <is>
          <t xml:space="preserve">2 </t>
        </is>
      </c>
      <c r="P3086" t="inlineStr">
        <is>
          <t xml:space="preserve">245750  </t>
        </is>
      </c>
      <c r="Q3086" s="26" t="n">
        <v>4.09</v>
      </c>
      <c r="R3086" s="26">
        <f>Q3086*G3086</f>
        <v/>
      </c>
      <c r="S3086" s="26">
        <f>IFERROR(VLOOKUP(E3086*1,Tabla[#All],8,0),0)</f>
        <v/>
      </c>
      <c r="T3086" s="26">
        <f>S3086*G3086</f>
        <v/>
      </c>
      <c r="U3086" s="26">
        <f>R3086-T3086</f>
        <v/>
      </c>
      <c r="V3086" s="26">
        <f>U3086-L3086</f>
        <v/>
      </c>
    </row>
    <row r="3087">
      <c r="A3087" s="11" t="n">
        <v>46233</v>
      </c>
      <c r="B3087" s="1" t="n">
        <v>20047</v>
      </c>
      <c r="C3087" s="1" t="inlineStr">
        <is>
          <t>191</t>
        </is>
      </c>
      <c r="D3087" s="1" t="inlineStr">
        <is>
          <t>464355</t>
        </is>
      </c>
      <c r="E3087" s="1" t="inlineStr">
        <is>
          <t xml:space="preserve">28194770       </t>
        </is>
      </c>
      <c r="F3087" s="5" t="inlineStr">
        <is>
          <t>AUTOS DE METAL 3 TEAMSTERZ EN BLISTER</t>
        </is>
      </c>
      <c r="G3087" t="n">
        <v>1</v>
      </c>
      <c r="H3087" s="7" t="n">
        <v>6.9</v>
      </c>
      <c r="I3087" s="7" t="n">
        <v>0</v>
      </c>
      <c r="J3087" s="7" t="n">
        <v>0</v>
      </c>
      <c r="K3087" s="9" t="n">
        <v>0</v>
      </c>
      <c r="L3087" s="10" t="n">
        <v>4.1</v>
      </c>
      <c r="M3087" s="10" t="n">
        <v>1.43</v>
      </c>
      <c r="N3087" t="inlineStr">
        <is>
          <t>1</t>
        </is>
      </c>
      <c r="O3087" t="inlineStr">
        <is>
          <t xml:space="preserve">2 </t>
        </is>
      </c>
      <c r="P3087" t="inlineStr">
        <is>
          <t xml:space="preserve">245750  </t>
        </is>
      </c>
      <c r="Q3087" s="26" t="n">
        <v>4.09</v>
      </c>
      <c r="R3087" s="26">
        <f>Q3087*G3087</f>
        <v/>
      </c>
      <c r="S3087" s="26">
        <f>IFERROR(VLOOKUP(E3087*1,Tabla[#All],8,0),0)</f>
        <v/>
      </c>
      <c r="T3087" s="26">
        <f>S3087*G3087</f>
        <v/>
      </c>
      <c r="U3087" s="26">
        <f>R3087-T3087</f>
        <v/>
      </c>
      <c r="V3087" s="26">
        <f>U3087-L3087</f>
        <v/>
      </c>
    </row>
    <row r="3088">
      <c r="A3088" s="11" t="n">
        <v>46233</v>
      </c>
      <c r="B3088" s="1" t="n">
        <v>20048</v>
      </c>
      <c r="C3088" s="1" t="inlineStr">
        <is>
          <t>017</t>
        </is>
      </c>
      <c r="D3088" s="1" t="inlineStr">
        <is>
          <t>168132</t>
        </is>
      </c>
      <c r="E3088" s="1" t="inlineStr">
        <is>
          <t xml:space="preserve">28194770       </t>
        </is>
      </c>
      <c r="F3088" s="5" t="inlineStr">
        <is>
          <t>AUTOS DE METAL 3 TEAMSTERZ EN BLISTER</t>
        </is>
      </c>
      <c r="G3088" t="n">
        <v>1</v>
      </c>
      <c r="H3088" s="7" t="n">
        <v>6.9</v>
      </c>
      <c r="I3088" s="7" t="n">
        <v>0</v>
      </c>
      <c r="J3088" s="7" t="n">
        <v>0</v>
      </c>
      <c r="K3088" s="9" t="n">
        <v>0</v>
      </c>
      <c r="L3088" s="10" t="n">
        <v>4.1</v>
      </c>
      <c r="M3088" s="10" t="n">
        <v>1.43</v>
      </c>
      <c r="N3088" t="inlineStr">
        <is>
          <t>1</t>
        </is>
      </c>
      <c r="O3088" t="inlineStr">
        <is>
          <t xml:space="preserve">2 </t>
        </is>
      </c>
      <c r="P3088" t="inlineStr">
        <is>
          <t xml:space="preserve">85763   </t>
        </is>
      </c>
      <c r="Q3088" s="26" t="n">
        <v>4.09</v>
      </c>
      <c r="R3088" s="26">
        <f>Q3088*G3088</f>
        <v/>
      </c>
      <c r="S3088" s="26">
        <f>IFERROR(VLOOKUP(E3088*1,Tabla[#All],8,0),0)</f>
        <v/>
      </c>
      <c r="T3088" s="26">
        <f>S3088*G3088</f>
        <v/>
      </c>
      <c r="U3088" s="26">
        <f>R3088-T3088</f>
        <v/>
      </c>
      <c r="V3088" s="26">
        <f>U3088-L3088</f>
        <v/>
      </c>
    </row>
    <row r="3089">
      <c r="A3089" s="11" t="n">
        <v>46233</v>
      </c>
      <c r="B3089" s="1" t="n">
        <v>20049</v>
      </c>
      <c r="C3089" s="1" t="inlineStr">
        <is>
          <t>013</t>
        </is>
      </c>
      <c r="D3089" s="1" t="inlineStr">
        <is>
          <t>238028</t>
        </is>
      </c>
      <c r="E3089" s="1" t="inlineStr">
        <is>
          <t xml:space="preserve">31754675       </t>
        </is>
      </c>
      <c r="F3089" s="5" t="inlineStr">
        <is>
          <t>INFINITY NADO SERIE 6 STARTER PACK - 4 MODELOS</t>
        </is>
      </c>
      <c r="G3089" t="n">
        <v>1</v>
      </c>
      <c r="H3089" s="7" t="n">
        <v>49.9</v>
      </c>
      <c r="I3089" s="7" t="n">
        <v>0</v>
      </c>
      <c r="J3089" s="7" t="n">
        <v>0</v>
      </c>
      <c r="K3089" s="9" t="n">
        <v>0</v>
      </c>
      <c r="L3089" s="10" t="n">
        <v>29.6</v>
      </c>
      <c r="M3089" s="10" t="n">
        <v>1.43</v>
      </c>
      <c r="N3089" t="inlineStr">
        <is>
          <t>1</t>
        </is>
      </c>
      <c r="O3089" t="inlineStr">
        <is>
          <t xml:space="preserve">3 </t>
        </is>
      </c>
      <c r="P3089" t="inlineStr">
        <is>
          <t xml:space="preserve">243621  </t>
        </is>
      </c>
      <c r="Q3089" s="26" t="n">
        <v>41.47</v>
      </c>
      <c r="R3089" s="26">
        <f>Q3089*G3089</f>
        <v/>
      </c>
      <c r="S3089" s="26">
        <f>IFERROR(VLOOKUP(E3089*1,Tabla[#All],8,0),0)</f>
        <v/>
      </c>
      <c r="T3089" s="26">
        <f>S3089*G3089</f>
        <v/>
      </c>
      <c r="U3089" s="26">
        <f>R3089-T3089</f>
        <v/>
      </c>
      <c r="V3089" s="26">
        <f>U3089-L3089</f>
        <v/>
      </c>
    </row>
    <row r="3090">
      <c r="A3090" s="11" t="n">
        <v>46233</v>
      </c>
      <c r="B3090" s="1" t="n">
        <v>20049</v>
      </c>
      <c r="C3090" s="1" t="inlineStr">
        <is>
          <t>013</t>
        </is>
      </c>
      <c r="D3090" s="1" t="inlineStr">
        <is>
          <t>238075</t>
        </is>
      </c>
      <c r="E3090" s="1" t="inlineStr">
        <is>
          <t xml:space="preserve">32457099       </t>
        </is>
      </c>
      <c r="F3090" s="5" t="inlineStr">
        <is>
          <t>TMZ BEAST MACHINES MONSTER JAWS A FRICCION BLISTER</t>
        </is>
      </c>
      <c r="G3090" t="n">
        <v>1</v>
      </c>
      <c r="H3090" s="7" t="n">
        <v>17.9</v>
      </c>
      <c r="I3090" s="7" t="n">
        <v>0</v>
      </c>
      <c r="J3090" s="7" t="n">
        <v>0</v>
      </c>
      <c r="K3090" s="9" t="n">
        <v>0</v>
      </c>
      <c r="L3090" s="10" t="n">
        <v>10.62</v>
      </c>
      <c r="M3090" s="10" t="n">
        <v>1.43</v>
      </c>
      <c r="N3090" t="inlineStr">
        <is>
          <t>1</t>
        </is>
      </c>
      <c r="O3090" t="inlineStr">
        <is>
          <t>16</t>
        </is>
      </c>
      <c r="P3090" t="inlineStr">
        <is>
          <t xml:space="preserve">243621  </t>
        </is>
      </c>
      <c r="Q3090" s="26" t="n">
        <v>11.81</v>
      </c>
      <c r="R3090" s="26">
        <f>Q3090*G3090</f>
        <v/>
      </c>
      <c r="S3090" s="26">
        <f>IFERROR(VLOOKUP(E3090*1,Tabla[#All],8,0),0)</f>
        <v/>
      </c>
      <c r="T3090" s="26">
        <f>S3090*G3090</f>
        <v/>
      </c>
      <c r="U3090" s="26">
        <f>R3090-T3090</f>
        <v/>
      </c>
      <c r="V3090" s="26">
        <f>U3090-L3090</f>
        <v/>
      </c>
    </row>
    <row r="3091">
      <c r="A3091" s="11" t="n">
        <v>46233</v>
      </c>
      <c r="B3091" s="1" t="n">
        <v>20049</v>
      </c>
      <c r="C3091" s="1" t="inlineStr">
        <is>
          <t>013</t>
        </is>
      </c>
      <c r="D3091" s="1" t="inlineStr">
        <is>
          <t>238139</t>
        </is>
      </c>
      <c r="E3091" s="1" t="inlineStr">
        <is>
          <t xml:space="preserve">31754676       </t>
        </is>
      </c>
      <c r="F3091" s="5" t="inlineStr">
        <is>
          <t>INFINITY NADO SERIE 6 STD PACK LANZ ESPAD ANILLO M</t>
        </is>
      </c>
      <c r="G3091" t="n">
        <v>1</v>
      </c>
      <c r="H3091" s="7" t="n">
        <v>59.9</v>
      </c>
      <c r="I3091" s="7" t="n">
        <v>0</v>
      </c>
      <c r="J3091" s="7" t="n">
        <v>0</v>
      </c>
      <c r="K3091" s="9" t="n">
        <v>0</v>
      </c>
      <c r="L3091" s="10" t="n">
        <v>35.53</v>
      </c>
      <c r="M3091" s="10" t="n">
        <v>1.43</v>
      </c>
      <c r="N3091" t="inlineStr">
        <is>
          <t>1</t>
        </is>
      </c>
      <c r="O3091" t="inlineStr">
        <is>
          <t>16</t>
        </is>
      </c>
      <c r="P3091" t="inlineStr">
        <is>
          <t xml:space="preserve">245942  </t>
        </is>
      </c>
      <c r="Q3091" s="26" t="n">
        <v>47.4</v>
      </c>
      <c r="R3091" s="26">
        <f>Q3091*G3091</f>
        <v/>
      </c>
      <c r="S3091" s="26">
        <f>IFERROR(VLOOKUP(E3091*1,Tabla[#All],8,0),0)</f>
        <v/>
      </c>
      <c r="T3091" s="26">
        <f>S3091*G3091</f>
        <v/>
      </c>
      <c r="U3091" s="26">
        <f>R3091-T3091</f>
        <v/>
      </c>
      <c r="V3091" s="26">
        <f>U3091-L3091</f>
        <v/>
      </c>
    </row>
    <row r="3092">
      <c r="A3092" s="11" t="n">
        <v>46233</v>
      </c>
      <c r="B3092" s="1" t="n">
        <v>20049</v>
      </c>
      <c r="C3092" s="1" t="inlineStr">
        <is>
          <t>017</t>
        </is>
      </c>
      <c r="D3092" s="1" t="inlineStr">
        <is>
          <t>240710</t>
        </is>
      </c>
      <c r="E3092" s="1" t="inlineStr">
        <is>
          <t xml:space="preserve">32457099       </t>
        </is>
      </c>
      <c r="F3092" s="5" t="inlineStr">
        <is>
          <t>TMZ BEAST MACHINES MONSTER JAWS A FRICCION BLISTER</t>
        </is>
      </c>
      <c r="G3092" t="n">
        <v>1</v>
      </c>
      <c r="H3092" s="7" t="n">
        <v>17.9</v>
      </c>
      <c r="I3092" s="7" t="n">
        <v>0</v>
      </c>
      <c r="J3092" s="7" t="n">
        <v>0</v>
      </c>
      <c r="K3092" s="9" t="n">
        <v>0</v>
      </c>
      <c r="L3092" s="10" t="n">
        <v>10.62</v>
      </c>
      <c r="M3092" s="10" t="n">
        <v>1.43</v>
      </c>
      <c r="N3092" t="inlineStr">
        <is>
          <t>1</t>
        </is>
      </c>
      <c r="O3092" t="inlineStr">
        <is>
          <t xml:space="preserve">2 </t>
        </is>
      </c>
      <c r="P3092" t="inlineStr">
        <is>
          <t xml:space="preserve">109185  </t>
        </is>
      </c>
      <c r="Q3092" s="26" t="n">
        <v>11.81</v>
      </c>
      <c r="R3092" s="26">
        <f>Q3092*G3092</f>
        <v/>
      </c>
      <c r="S3092" s="26">
        <f>IFERROR(VLOOKUP(E3092*1,Tabla[#All],8,0),0)</f>
        <v/>
      </c>
      <c r="T3092" s="26">
        <f>S3092*G3092</f>
        <v/>
      </c>
      <c r="U3092" s="26">
        <f>R3092-T3092</f>
        <v/>
      </c>
      <c r="V3092" s="26">
        <f>U3092-L3092</f>
        <v/>
      </c>
    </row>
    <row r="3093">
      <c r="A3093" s="11" t="n">
        <v>46233</v>
      </c>
      <c r="B3093" s="1" t="n">
        <v>20049</v>
      </c>
      <c r="C3093" s="1" t="inlineStr">
        <is>
          <t>017</t>
        </is>
      </c>
      <c r="D3093" s="1" t="inlineStr">
        <is>
          <t>240770</t>
        </is>
      </c>
      <c r="E3093" s="1" t="inlineStr">
        <is>
          <t xml:space="preserve">28194769       </t>
        </is>
      </c>
      <c r="F3093" s="5" t="inlineStr">
        <is>
          <t>AUTOS DE METAL 3 TEAMSTERZ PACK DE 2</t>
        </is>
      </c>
      <c r="G3093" t="n">
        <v>1</v>
      </c>
      <c r="H3093" s="7" t="n">
        <v>13.8</v>
      </c>
      <c r="I3093" s="7" t="n">
        <v>0</v>
      </c>
      <c r="J3093" s="7" t="n">
        <v>0</v>
      </c>
      <c r="K3093" s="9" t="n">
        <v>0</v>
      </c>
      <c r="L3093" s="10" t="n">
        <v>8.18</v>
      </c>
      <c r="M3093" s="10" t="n">
        <v>1.43</v>
      </c>
      <c r="N3093" t="inlineStr">
        <is>
          <t>1</t>
        </is>
      </c>
      <c r="O3093" t="inlineStr">
        <is>
          <t xml:space="preserve">2 </t>
        </is>
      </c>
      <c r="P3093" t="inlineStr">
        <is>
          <t xml:space="preserve">109185  </t>
        </is>
      </c>
      <c r="Q3093" s="26" t="n">
        <v>8.19</v>
      </c>
      <c r="R3093" s="26">
        <f>Q3093*G3093</f>
        <v/>
      </c>
      <c r="S3093" s="26">
        <f>IFERROR(VLOOKUP(E3093*1,Tabla[#All],8,0),0)</f>
        <v/>
      </c>
      <c r="T3093" s="26">
        <f>S3093*G3093</f>
        <v/>
      </c>
      <c r="U3093" s="26">
        <f>R3093-T3093</f>
        <v/>
      </c>
      <c r="V3093" s="26">
        <f>U3093-L3093</f>
        <v/>
      </c>
    </row>
    <row r="3094">
      <c r="A3094" s="11" t="n">
        <v>46233</v>
      </c>
      <c r="B3094" s="1" t="n">
        <v>20049</v>
      </c>
      <c r="C3094" s="1" t="inlineStr">
        <is>
          <t>017</t>
        </is>
      </c>
      <c r="D3094" s="1" t="inlineStr">
        <is>
          <t>240789</t>
        </is>
      </c>
      <c r="E3094" s="1" t="inlineStr">
        <is>
          <t xml:space="preserve">28194769       </t>
        </is>
      </c>
      <c r="F3094" s="5" t="inlineStr">
        <is>
          <t>AUTOS DE METAL 3 TEAMSTERZ PACK DE 2</t>
        </is>
      </c>
      <c r="G3094" t="n">
        <v>1</v>
      </c>
      <c r="H3094" s="7" t="n">
        <v>13.8</v>
      </c>
      <c r="I3094" s="7" t="n">
        <v>0</v>
      </c>
      <c r="J3094" s="7" t="n">
        <v>0</v>
      </c>
      <c r="K3094" s="9" t="n">
        <v>0</v>
      </c>
      <c r="L3094" s="10" t="n">
        <v>8.18</v>
      </c>
      <c r="M3094" s="10" t="n">
        <v>1.43</v>
      </c>
      <c r="N3094" t="inlineStr">
        <is>
          <t>1</t>
        </is>
      </c>
      <c r="O3094" t="inlineStr">
        <is>
          <t>16</t>
        </is>
      </c>
      <c r="P3094" t="inlineStr">
        <is>
          <t xml:space="preserve">109185  </t>
        </is>
      </c>
      <c r="Q3094" s="26" t="n">
        <v>8.19</v>
      </c>
      <c r="R3094" s="26">
        <f>Q3094*G3094</f>
        <v/>
      </c>
      <c r="S3094" s="26">
        <f>IFERROR(VLOOKUP(E3094*1,Tabla[#All],8,0),0)</f>
        <v/>
      </c>
      <c r="T3094" s="26">
        <f>S3094*G3094</f>
        <v/>
      </c>
      <c r="U3094" s="26">
        <f>R3094-T3094</f>
        <v/>
      </c>
      <c r="V3094" s="26">
        <f>U3094-L3094</f>
        <v/>
      </c>
    </row>
    <row r="3095">
      <c r="A3095" s="11" t="n">
        <v>46233</v>
      </c>
      <c r="B3095" s="1" t="n">
        <v>20056</v>
      </c>
      <c r="C3095" s="1" t="inlineStr">
        <is>
          <t>023</t>
        </is>
      </c>
      <c r="D3095" s="1" t="inlineStr">
        <is>
          <t xml:space="preserve">31599 </t>
        </is>
      </c>
      <c r="E3095" s="1" t="inlineStr">
        <is>
          <t xml:space="preserve">31959960       </t>
        </is>
      </c>
      <c r="F3095" s="5" t="inlineStr">
        <is>
          <t>TEAMSTERZ PLAYSET DE CONSTRUCCION VEHICULOS + ACCE</t>
        </is>
      </c>
      <c r="G3095" t="n">
        <v>1</v>
      </c>
      <c r="H3095" s="7" t="n">
        <v>39.9</v>
      </c>
      <c r="I3095" s="7" t="n">
        <v>0</v>
      </c>
      <c r="J3095" s="7" t="n">
        <v>0</v>
      </c>
      <c r="K3095" s="9" t="n">
        <v>0</v>
      </c>
      <c r="L3095" s="10" t="n">
        <v>23.67</v>
      </c>
      <c r="M3095" s="10" t="n">
        <v>1.43</v>
      </c>
      <c r="N3095" t="inlineStr">
        <is>
          <t>1</t>
        </is>
      </c>
      <c r="O3095" t="inlineStr">
        <is>
          <t>16</t>
        </is>
      </c>
      <c r="P3095" t="inlineStr">
        <is>
          <t xml:space="preserve">241220  </t>
        </is>
      </c>
      <c r="Q3095" s="26" t="n">
        <v>23.67</v>
      </c>
      <c r="R3095" s="26">
        <f>Q3095*G3095</f>
        <v/>
      </c>
      <c r="S3095" s="26">
        <f>IFERROR(VLOOKUP(E3095*1,Tabla[#All],8,0),0)</f>
        <v/>
      </c>
      <c r="T3095" s="26">
        <f>S3095*G3095</f>
        <v/>
      </c>
      <c r="U3095" s="26">
        <f>R3095-T3095</f>
        <v/>
      </c>
      <c r="V3095" s="26">
        <f>U3095-L3095</f>
        <v/>
      </c>
    </row>
    <row r="3096">
      <c r="A3096" s="11" t="n">
        <v>46233</v>
      </c>
      <c r="B3096" s="1" t="n">
        <v>20057</v>
      </c>
      <c r="C3096" s="1" t="inlineStr">
        <is>
          <t>032</t>
        </is>
      </c>
      <c r="D3096" s="1" t="inlineStr">
        <is>
          <t xml:space="preserve">76567 </t>
        </is>
      </c>
      <c r="E3096" s="1" t="inlineStr">
        <is>
          <t xml:space="preserve">32457105       </t>
        </is>
      </c>
      <c r="F3096" s="5" t="inlineStr">
        <is>
          <t>TMZ BEAST MACHINES MONSTER JAWS ATAQUE ESCORPION +</t>
        </is>
      </c>
      <c r="G3096" t="n">
        <v>1</v>
      </c>
      <c r="H3096" s="7" t="n">
        <v>49.9</v>
      </c>
      <c r="I3096" s="7" t="n">
        <v>0</v>
      </c>
      <c r="J3096" s="7" t="n">
        <v>0</v>
      </c>
      <c r="K3096" s="9" t="n">
        <v>0</v>
      </c>
      <c r="L3096" s="10" t="n">
        <v>29.6</v>
      </c>
      <c r="M3096" s="10" t="n">
        <v>1.43</v>
      </c>
      <c r="N3096" t="inlineStr">
        <is>
          <t>1</t>
        </is>
      </c>
      <c r="O3096" t="inlineStr">
        <is>
          <t>16</t>
        </is>
      </c>
      <c r="P3096" t="inlineStr">
        <is>
          <t xml:space="preserve">235719  </t>
        </is>
      </c>
      <c r="Q3096" s="26" t="n">
        <v>41.47</v>
      </c>
      <c r="R3096" s="26">
        <f>Q3096*G3096</f>
        <v/>
      </c>
      <c r="S3096" s="26">
        <f>IFERROR(VLOOKUP(E3096*1,Tabla[#All],8,0),0)</f>
        <v/>
      </c>
      <c r="T3096" s="26">
        <f>S3096*G3096</f>
        <v/>
      </c>
      <c r="U3096" s="26">
        <f>R3096-T3096</f>
        <v/>
      </c>
      <c r="V3096" s="26">
        <f>U3096-L3096</f>
        <v/>
      </c>
    </row>
    <row r="3097">
      <c r="A3097" s="11" t="n">
        <v>46233</v>
      </c>
      <c r="B3097" s="1" t="n">
        <v>20058</v>
      </c>
      <c r="C3097" s="1" t="inlineStr">
        <is>
          <t>038</t>
        </is>
      </c>
      <c r="D3097" s="1" t="inlineStr">
        <is>
          <t>211108</t>
        </is>
      </c>
      <c r="E3097" s="1" t="inlineStr">
        <is>
          <t xml:space="preserve">28194770       </t>
        </is>
      </c>
      <c r="F3097" s="5" t="inlineStr">
        <is>
          <t>AUTOS DE METAL 3 TEAMSTERZ EN BLISTER</t>
        </is>
      </c>
      <c r="G3097" t="n">
        <v>1</v>
      </c>
      <c r="H3097" s="7" t="n">
        <v>6.9</v>
      </c>
      <c r="I3097" s="7" t="n">
        <v>0</v>
      </c>
      <c r="J3097" s="7" t="n">
        <v>0</v>
      </c>
      <c r="K3097" s="9" t="n">
        <v>0</v>
      </c>
      <c r="L3097" s="10" t="n">
        <v>4.1</v>
      </c>
      <c r="M3097" s="10" t="n">
        <v>1.43</v>
      </c>
      <c r="N3097" t="inlineStr">
        <is>
          <t>1</t>
        </is>
      </c>
      <c r="O3097" t="inlineStr">
        <is>
          <t xml:space="preserve">2 </t>
        </is>
      </c>
      <c r="P3097" t="inlineStr">
        <is>
          <t xml:space="preserve">94557   </t>
        </is>
      </c>
      <c r="Q3097" s="26" t="n">
        <v>4.09</v>
      </c>
      <c r="R3097" s="26">
        <f>Q3097*G3097</f>
        <v/>
      </c>
      <c r="S3097" s="26">
        <f>IFERROR(VLOOKUP(E3097*1,Tabla[#All],8,0),0)</f>
        <v/>
      </c>
      <c r="T3097" s="26">
        <f>S3097*G3097</f>
        <v/>
      </c>
      <c r="U3097" s="26">
        <f>R3097-T3097</f>
        <v/>
      </c>
      <c r="V3097" s="26">
        <f>U3097-L3097</f>
        <v/>
      </c>
    </row>
    <row r="3098">
      <c r="A3098" s="11" t="n">
        <v>46233</v>
      </c>
      <c r="B3098" s="1" t="n">
        <v>20058</v>
      </c>
      <c r="C3098" s="1" t="inlineStr">
        <is>
          <t>038</t>
        </is>
      </c>
      <c r="D3098" s="1" t="inlineStr">
        <is>
          <t>211117</t>
        </is>
      </c>
      <c r="E3098" s="1" t="inlineStr">
        <is>
          <t xml:space="preserve">28194770       </t>
        </is>
      </c>
      <c r="F3098" s="5" t="inlineStr">
        <is>
          <t>AUTOS DE METAL 3 TEAMSTERZ EN BLISTER</t>
        </is>
      </c>
      <c r="G3098" t="n">
        <v>1</v>
      </c>
      <c r="H3098" s="7" t="n">
        <v>6.9</v>
      </c>
      <c r="I3098" s="7" t="n">
        <v>0</v>
      </c>
      <c r="J3098" s="7" t="n">
        <v>0</v>
      </c>
      <c r="K3098" s="9" t="n">
        <v>0</v>
      </c>
      <c r="L3098" s="10" t="n">
        <v>4.1</v>
      </c>
      <c r="M3098" s="10" t="n">
        <v>1.43</v>
      </c>
      <c r="N3098" t="inlineStr">
        <is>
          <t>1</t>
        </is>
      </c>
      <c r="O3098" t="inlineStr">
        <is>
          <t>16</t>
        </is>
      </c>
      <c r="P3098" t="inlineStr">
        <is>
          <t xml:space="preserve">94557   </t>
        </is>
      </c>
      <c r="Q3098" s="26" t="n">
        <v>4.09</v>
      </c>
      <c r="R3098" s="26">
        <f>Q3098*G3098</f>
        <v/>
      </c>
      <c r="S3098" s="26">
        <f>IFERROR(VLOOKUP(E3098*1,Tabla[#All],8,0),0)</f>
        <v/>
      </c>
      <c r="T3098" s="26">
        <f>S3098*G3098</f>
        <v/>
      </c>
      <c r="U3098" s="26">
        <f>R3098-T3098</f>
        <v/>
      </c>
      <c r="V3098" s="26">
        <f>U3098-L3098</f>
        <v/>
      </c>
    </row>
    <row r="3099">
      <c r="A3099" s="11" t="n">
        <v>46233</v>
      </c>
      <c r="B3099" s="1" t="n">
        <v>20058</v>
      </c>
      <c r="C3099" s="1" t="inlineStr">
        <is>
          <t>039</t>
        </is>
      </c>
      <c r="D3099" s="1" t="inlineStr">
        <is>
          <t>232393</t>
        </is>
      </c>
      <c r="E3099" s="1" t="inlineStr">
        <is>
          <t xml:space="preserve">28194770       </t>
        </is>
      </c>
      <c r="F3099" s="5" t="inlineStr">
        <is>
          <t>AUTOS DE METAL 3 TEAMSTERZ EN BLISTER</t>
        </is>
      </c>
      <c r="G3099" t="n">
        <v>1</v>
      </c>
      <c r="H3099" s="7" t="n">
        <v>6.9</v>
      </c>
      <c r="I3099" s="7" t="n">
        <v>0</v>
      </c>
      <c r="J3099" s="7" t="n">
        <v>0</v>
      </c>
      <c r="K3099" s="9" t="n">
        <v>0</v>
      </c>
      <c r="L3099" s="10" t="n">
        <v>4.1</v>
      </c>
      <c r="M3099" s="10" t="n">
        <v>1.43</v>
      </c>
      <c r="N3099" t="inlineStr">
        <is>
          <t>1</t>
        </is>
      </c>
      <c r="O3099" t="inlineStr">
        <is>
          <t>16</t>
        </is>
      </c>
      <c r="P3099" t="inlineStr">
        <is>
          <t xml:space="preserve">252212  </t>
        </is>
      </c>
      <c r="Q3099" s="26" t="n">
        <v>4.09</v>
      </c>
      <c r="R3099" s="26">
        <f>Q3099*G3099</f>
        <v/>
      </c>
      <c r="S3099" s="26">
        <f>IFERROR(VLOOKUP(E3099*1,Tabla[#All],8,0),0)</f>
        <v/>
      </c>
      <c r="T3099" s="26">
        <f>S3099*G3099</f>
        <v/>
      </c>
      <c r="U3099" s="26">
        <f>R3099-T3099</f>
        <v/>
      </c>
      <c r="V3099" s="26">
        <f>U3099-L3099</f>
        <v/>
      </c>
    </row>
    <row r="3100">
      <c r="A3100" s="11" t="n">
        <v>46233</v>
      </c>
      <c r="B3100" s="1" t="n">
        <v>20058</v>
      </c>
      <c r="C3100" s="1" t="inlineStr">
        <is>
          <t>039</t>
        </is>
      </c>
      <c r="D3100" s="1" t="inlineStr">
        <is>
          <t>232393</t>
        </is>
      </c>
      <c r="E3100" s="1" t="inlineStr">
        <is>
          <t xml:space="preserve">28194770       </t>
        </is>
      </c>
      <c r="F3100" s="5" t="inlineStr">
        <is>
          <t>AUTOS DE METAL 3 TEAMSTERZ EN BLISTER</t>
        </is>
      </c>
      <c r="G3100" t="n">
        <v>1</v>
      </c>
      <c r="H3100" s="7" t="n">
        <v>6.9</v>
      </c>
      <c r="I3100" s="7" t="n">
        <v>0</v>
      </c>
      <c r="J3100" s="7" t="n">
        <v>0</v>
      </c>
      <c r="K3100" s="9" t="n">
        <v>0</v>
      </c>
      <c r="L3100" s="10" t="n">
        <v>4.1</v>
      </c>
      <c r="M3100" s="10" t="n">
        <v>1.43</v>
      </c>
      <c r="N3100" t="inlineStr">
        <is>
          <t>1</t>
        </is>
      </c>
      <c r="O3100" t="inlineStr">
        <is>
          <t>16</t>
        </is>
      </c>
      <c r="P3100" t="inlineStr">
        <is>
          <t xml:space="preserve">252212  </t>
        </is>
      </c>
      <c r="Q3100" s="26" t="n">
        <v>4.09</v>
      </c>
      <c r="R3100" s="26">
        <f>Q3100*G3100</f>
        <v/>
      </c>
      <c r="S3100" s="26">
        <f>IFERROR(VLOOKUP(E3100*1,Tabla[#All],8,0),0)</f>
        <v/>
      </c>
      <c r="T3100" s="26">
        <f>S3100*G3100</f>
        <v/>
      </c>
      <c r="U3100" s="26">
        <f>R3100-T3100</f>
        <v/>
      </c>
      <c r="V3100" s="26">
        <f>U3100-L3100</f>
        <v/>
      </c>
    </row>
    <row r="3101">
      <c r="A3101" s="11" t="n">
        <v>46233</v>
      </c>
      <c r="B3101" s="1" t="n">
        <v>20058</v>
      </c>
      <c r="C3101" s="1" t="inlineStr">
        <is>
          <t>039</t>
        </is>
      </c>
      <c r="D3101" s="1" t="inlineStr">
        <is>
          <t>232428</t>
        </is>
      </c>
      <c r="E3101" s="1" t="inlineStr">
        <is>
          <t xml:space="preserve">33483121       </t>
        </is>
      </c>
      <c r="F3101" s="5" t="inlineStr">
        <is>
          <t>HOT WHEELS ESTUCHE PARA 15 AUTOS SURTIDO</t>
        </is>
      </c>
      <c r="G3101" t="n">
        <v>1</v>
      </c>
      <c r="H3101" s="7" t="n">
        <v>34.9</v>
      </c>
      <c r="I3101" s="7" t="n">
        <v>0</v>
      </c>
      <c r="J3101" s="7" t="n">
        <v>0</v>
      </c>
      <c r="K3101" s="9" t="n">
        <v>0</v>
      </c>
      <c r="L3101" s="10" t="n">
        <v>20.71</v>
      </c>
      <c r="M3101" s="10" t="n">
        <v>1.43</v>
      </c>
      <c r="N3101" t="inlineStr">
        <is>
          <t>1</t>
        </is>
      </c>
      <c r="O3101" t="inlineStr">
        <is>
          <t xml:space="preserve">3 </t>
        </is>
      </c>
      <c r="P3101" t="inlineStr">
        <is>
          <t xml:space="preserve">239096  </t>
        </is>
      </c>
      <c r="Q3101" s="26" t="n">
        <v>20.7</v>
      </c>
      <c r="R3101" s="26">
        <f>Q3101*G3101</f>
        <v/>
      </c>
      <c r="S3101" s="26">
        <f>IFERROR(VLOOKUP(E3101*1,Tabla[#All],8,0),0)</f>
        <v/>
      </c>
      <c r="T3101" s="26">
        <f>S3101*G3101</f>
        <v/>
      </c>
      <c r="U3101" s="26">
        <f>R3101-T3101</f>
        <v/>
      </c>
      <c r="V3101" s="26">
        <f>U3101-L3101</f>
        <v/>
      </c>
    </row>
    <row r="3102">
      <c r="A3102" s="11" t="n">
        <v>46233</v>
      </c>
      <c r="B3102" s="1" t="n">
        <v>20058</v>
      </c>
      <c r="C3102" s="1" t="inlineStr">
        <is>
          <t>039</t>
        </is>
      </c>
      <c r="D3102" s="1" t="inlineStr">
        <is>
          <t>232457</t>
        </is>
      </c>
      <c r="E3102" s="1" t="inlineStr">
        <is>
          <t xml:space="preserve">30141766       </t>
        </is>
      </c>
      <c r="F3102" s="5" t="inlineStr">
        <is>
          <t>TMZ BEAST MACHINES AUTOS DE METAL BLISTER X 1</t>
        </is>
      </c>
      <c r="G3102" t="n">
        <v>1</v>
      </c>
      <c r="H3102" s="7" t="n">
        <v>7.9</v>
      </c>
      <c r="I3102" s="7" t="n">
        <v>0</v>
      </c>
      <c r="J3102" s="7" t="n">
        <v>0</v>
      </c>
      <c r="K3102" s="9" t="n">
        <v>0</v>
      </c>
      <c r="L3102" s="10" t="n">
        <v>4.68</v>
      </c>
      <c r="M3102" s="10" t="n">
        <v>1.43</v>
      </c>
      <c r="N3102" t="inlineStr">
        <is>
          <t>1</t>
        </is>
      </c>
      <c r="O3102" t="inlineStr">
        <is>
          <t xml:space="preserve">2 </t>
        </is>
      </c>
      <c r="P3102" t="inlineStr">
        <is>
          <t xml:space="preserve">239096  </t>
        </is>
      </c>
      <c r="Q3102" s="26" t="n">
        <v>4.69</v>
      </c>
      <c r="R3102" s="26">
        <f>Q3102*G3102</f>
        <v/>
      </c>
      <c r="S3102" s="26">
        <f>IFERROR(VLOOKUP(E3102*1,Tabla[#All],8,0),0)</f>
        <v/>
      </c>
      <c r="T3102" s="26">
        <f>S3102*G3102</f>
        <v/>
      </c>
      <c r="U3102" s="26">
        <f>R3102-T3102</f>
        <v/>
      </c>
      <c r="V3102" s="26">
        <f>U3102-L3102</f>
        <v/>
      </c>
    </row>
    <row r="3103">
      <c r="A3103" s="11" t="n">
        <v>46233</v>
      </c>
      <c r="B3103" s="1" t="n">
        <v>20058</v>
      </c>
      <c r="C3103" s="1" t="inlineStr">
        <is>
          <t>039</t>
        </is>
      </c>
      <c r="D3103" s="1" t="inlineStr">
        <is>
          <t>232457</t>
        </is>
      </c>
      <c r="E3103" s="1" t="inlineStr">
        <is>
          <t xml:space="preserve">30141766       </t>
        </is>
      </c>
      <c r="F3103" s="5" t="inlineStr">
        <is>
          <t>TMZ BEAST MACHINES AUTOS DE METAL BLISTER X 1</t>
        </is>
      </c>
      <c r="G3103" t="n">
        <v>1</v>
      </c>
      <c r="H3103" s="7" t="n">
        <v>7.9</v>
      </c>
      <c r="I3103" s="7" t="n">
        <v>0</v>
      </c>
      <c r="J3103" s="7" t="n">
        <v>0</v>
      </c>
      <c r="K3103" s="9" t="n">
        <v>0</v>
      </c>
      <c r="L3103" s="10" t="n">
        <v>4.68</v>
      </c>
      <c r="M3103" s="10" t="n">
        <v>1.43</v>
      </c>
      <c r="N3103" t="inlineStr">
        <is>
          <t>1</t>
        </is>
      </c>
      <c r="O3103" t="inlineStr">
        <is>
          <t xml:space="preserve">2 </t>
        </is>
      </c>
      <c r="P3103" t="inlineStr">
        <is>
          <t xml:space="preserve">239096  </t>
        </is>
      </c>
      <c r="Q3103" s="26" t="n">
        <v>4.69</v>
      </c>
      <c r="R3103" s="26">
        <f>Q3103*G3103</f>
        <v/>
      </c>
      <c r="S3103" s="26">
        <f>IFERROR(VLOOKUP(E3103*1,Tabla[#All],8,0),0)</f>
        <v/>
      </c>
      <c r="T3103" s="26">
        <f>S3103*G3103</f>
        <v/>
      </c>
      <c r="U3103" s="26">
        <f>R3103-T3103</f>
        <v/>
      </c>
      <c r="V3103" s="26">
        <f>U3103-L3103</f>
        <v/>
      </c>
    </row>
    <row r="3104">
      <c r="A3104" s="11" t="n">
        <v>46233</v>
      </c>
      <c r="B3104" s="1" t="n">
        <v>20058</v>
      </c>
      <c r="C3104" s="1" t="inlineStr">
        <is>
          <t>197</t>
        </is>
      </c>
      <c r="D3104" s="1" t="inlineStr">
        <is>
          <t>171164</t>
        </is>
      </c>
      <c r="E3104" s="1" t="inlineStr">
        <is>
          <t xml:space="preserve">30232282       </t>
        </is>
      </c>
      <c r="F3104" s="5" t="inlineStr">
        <is>
          <t>MANDIBULAS JUEGO DE PESCA</t>
        </is>
      </c>
      <c r="G3104" t="n">
        <v>1</v>
      </c>
      <c r="H3104" s="7" t="n">
        <v>119</v>
      </c>
      <c r="I3104" s="7" t="n">
        <v>0</v>
      </c>
      <c r="J3104" s="7" t="n">
        <v>0</v>
      </c>
      <c r="K3104" s="9" t="n">
        <v>0</v>
      </c>
      <c r="L3104" s="10" t="n">
        <v>70.59999999999999</v>
      </c>
      <c r="M3104" s="10" t="n">
        <v>1.43</v>
      </c>
      <c r="N3104" t="inlineStr">
        <is>
          <t>1</t>
        </is>
      </c>
      <c r="O3104" t="inlineStr">
        <is>
          <t>16</t>
        </is>
      </c>
      <c r="P3104" t="inlineStr">
        <is>
          <t xml:space="preserve">252213  </t>
        </is>
      </c>
      <c r="Q3104" s="26" t="n">
        <v>70.59</v>
      </c>
      <c r="R3104" s="26">
        <f>Q3104*G3104</f>
        <v/>
      </c>
      <c r="S3104" s="26">
        <f>IFERROR(VLOOKUP(E3104*1,Tabla[#All],8,0),0)</f>
        <v/>
      </c>
      <c r="T3104" s="26">
        <f>S3104*G3104</f>
        <v/>
      </c>
      <c r="U3104" s="26">
        <f>R3104-T3104</f>
        <v/>
      </c>
      <c r="V3104" s="26">
        <f>U3104-L3104</f>
        <v/>
      </c>
    </row>
    <row r="3105">
      <c r="A3105" s="11" t="n">
        <v>46233</v>
      </c>
      <c r="B3105" s="1" t="n">
        <v>20058</v>
      </c>
      <c r="C3105" s="1" t="inlineStr">
        <is>
          <t>197</t>
        </is>
      </c>
      <c r="D3105" s="1" t="inlineStr">
        <is>
          <t>171167</t>
        </is>
      </c>
      <c r="E3105" s="1" t="inlineStr">
        <is>
          <t xml:space="preserve">28194781       </t>
        </is>
      </c>
      <c r="F3105" s="5" t="inlineStr">
        <is>
          <t>TROMPO BATALLA INFINITY NADO SERIE V CLASICA SURTI</t>
        </is>
      </c>
      <c r="G3105" t="n">
        <v>1</v>
      </c>
      <c r="H3105" s="7" t="n">
        <v>39.9</v>
      </c>
      <c r="I3105" s="7" t="n">
        <v>0</v>
      </c>
      <c r="J3105" s="7" t="n">
        <v>0</v>
      </c>
      <c r="K3105" s="9" t="n">
        <v>0</v>
      </c>
      <c r="L3105" s="10" t="n">
        <v>23.67</v>
      </c>
      <c r="M3105" s="10" t="n">
        <v>1.43</v>
      </c>
      <c r="N3105" t="inlineStr">
        <is>
          <t>1</t>
        </is>
      </c>
      <c r="O3105" t="inlineStr">
        <is>
          <t xml:space="preserve">6 </t>
        </is>
      </c>
      <c r="P3105" t="inlineStr">
        <is>
          <t xml:space="preserve">252213  </t>
        </is>
      </c>
      <c r="Q3105" s="26" t="n">
        <v>35.53</v>
      </c>
      <c r="R3105" s="26">
        <f>Q3105*G3105</f>
        <v/>
      </c>
      <c r="S3105" s="26">
        <f>IFERROR(VLOOKUP(E3105*1,Tabla[#All],8,0),0)</f>
        <v/>
      </c>
      <c r="T3105" s="26">
        <f>S3105*G3105</f>
        <v/>
      </c>
      <c r="U3105" s="26">
        <f>R3105-T3105</f>
        <v/>
      </c>
      <c r="V3105" s="26">
        <f>U3105-L3105</f>
        <v/>
      </c>
    </row>
    <row r="3106">
      <c r="A3106" s="11" t="n">
        <v>46233</v>
      </c>
      <c r="B3106" s="1" t="n">
        <v>20062</v>
      </c>
      <c r="C3106" s="1" t="inlineStr">
        <is>
          <t>017</t>
        </is>
      </c>
      <c r="D3106" s="1" t="inlineStr">
        <is>
          <t>236745</t>
        </is>
      </c>
      <c r="E3106" s="1" t="inlineStr">
        <is>
          <t xml:space="preserve">34840567       </t>
        </is>
      </c>
      <c r="F3106" s="5" t="inlineStr">
        <is>
          <t>VIP PETS S7 ESCUELA DE PEINADOS SURTIDO</t>
        </is>
      </c>
      <c r="G3106" t="n">
        <v>1</v>
      </c>
      <c r="H3106" s="7" t="n">
        <v>47.94</v>
      </c>
      <c r="I3106" s="7" t="n">
        <v>0</v>
      </c>
      <c r="J3106" s="7" t="n">
        <v>0</v>
      </c>
      <c r="K3106" s="9" t="n">
        <v>0</v>
      </c>
      <c r="L3106" s="10" t="n">
        <v>28.44</v>
      </c>
      <c r="M3106" s="10" t="n">
        <v>1.43</v>
      </c>
      <c r="N3106" t="inlineStr">
        <is>
          <t>1</t>
        </is>
      </c>
      <c r="O3106" t="inlineStr">
        <is>
          <t xml:space="preserve">3 </t>
        </is>
      </c>
      <c r="P3106" t="inlineStr">
        <is>
          <t xml:space="preserve">244467  </t>
        </is>
      </c>
      <c r="Q3106" s="26" t="n">
        <v>47.4</v>
      </c>
      <c r="R3106" s="26">
        <f>Q3106*G3106</f>
        <v/>
      </c>
      <c r="S3106" s="26">
        <f>IFERROR(VLOOKUP(E3106*1,Tabla[#All],8,0),0)</f>
        <v/>
      </c>
      <c r="T3106" s="26">
        <f>S3106*G3106</f>
        <v/>
      </c>
      <c r="U3106" s="26">
        <f>R3106-T3106</f>
        <v/>
      </c>
      <c r="V3106" s="26">
        <f>U3106-L3106</f>
        <v/>
      </c>
    </row>
    <row r="3107">
      <c r="A3107" s="11" t="n">
        <v>46233</v>
      </c>
      <c r="B3107" s="1" t="n">
        <v>20062</v>
      </c>
      <c r="C3107" s="1" t="inlineStr">
        <is>
          <t>017</t>
        </is>
      </c>
      <c r="D3107" s="1" t="inlineStr">
        <is>
          <t>236759</t>
        </is>
      </c>
      <c r="E3107" s="1" t="inlineStr">
        <is>
          <t xml:space="preserve">28194781       </t>
        </is>
      </c>
      <c r="F3107" s="5" t="inlineStr">
        <is>
          <t>TROMPO BATALLA INFINITY NADO SERIE V CLASICA SURTI</t>
        </is>
      </c>
      <c r="G3107" t="n">
        <v>1</v>
      </c>
      <c r="H3107" s="7" t="n">
        <v>39.9</v>
      </c>
      <c r="I3107" s="7" t="n">
        <v>0</v>
      </c>
      <c r="J3107" s="7" t="n">
        <v>0</v>
      </c>
      <c r="K3107" s="9" t="n">
        <v>0</v>
      </c>
      <c r="L3107" s="10" t="n">
        <v>23.67</v>
      </c>
      <c r="M3107" s="10" t="n">
        <v>1.43</v>
      </c>
      <c r="N3107" t="inlineStr">
        <is>
          <t>1</t>
        </is>
      </c>
      <c r="O3107" t="inlineStr">
        <is>
          <t>16</t>
        </is>
      </c>
      <c r="P3107" t="inlineStr">
        <is>
          <t xml:space="preserve">244467  </t>
        </is>
      </c>
      <c r="Q3107" s="26" t="n">
        <v>35.53</v>
      </c>
      <c r="R3107" s="26">
        <f>Q3107*G3107</f>
        <v/>
      </c>
      <c r="S3107" s="26">
        <f>IFERROR(VLOOKUP(E3107*1,Tabla[#All],8,0),0)</f>
        <v/>
      </c>
      <c r="T3107" s="26">
        <f>S3107*G3107</f>
        <v/>
      </c>
      <c r="U3107" s="26">
        <f>R3107-T3107</f>
        <v/>
      </c>
      <c r="V3107" s="26">
        <f>U3107-L3107</f>
        <v/>
      </c>
    </row>
    <row r="3108">
      <c r="A3108" s="11" t="n">
        <v>46233</v>
      </c>
      <c r="B3108" s="1" t="n">
        <v>20062</v>
      </c>
      <c r="C3108" s="1" t="inlineStr">
        <is>
          <t>017</t>
        </is>
      </c>
      <c r="D3108" s="1" t="inlineStr">
        <is>
          <t>236759</t>
        </is>
      </c>
      <c r="E3108" s="1" t="inlineStr">
        <is>
          <t xml:space="preserve">28194781       </t>
        </is>
      </c>
      <c r="F3108" s="5" t="inlineStr">
        <is>
          <t>TROMPO BATALLA INFINITY NADO SERIE V CLASICA SURTI</t>
        </is>
      </c>
      <c r="G3108" t="n">
        <v>1</v>
      </c>
      <c r="H3108" s="7" t="n">
        <v>39.9</v>
      </c>
      <c r="I3108" s="7" t="n">
        <v>0</v>
      </c>
      <c r="J3108" s="7" t="n">
        <v>0</v>
      </c>
      <c r="K3108" s="9" t="n">
        <v>0</v>
      </c>
      <c r="L3108" s="10" t="n">
        <v>23.67</v>
      </c>
      <c r="M3108" s="10" t="n">
        <v>1.43</v>
      </c>
      <c r="N3108" t="inlineStr">
        <is>
          <t>1</t>
        </is>
      </c>
      <c r="O3108" t="inlineStr">
        <is>
          <t>16</t>
        </is>
      </c>
      <c r="P3108" t="inlineStr">
        <is>
          <t xml:space="preserve">244467  </t>
        </is>
      </c>
      <c r="Q3108" s="26" t="n">
        <v>35.53</v>
      </c>
      <c r="R3108" s="26">
        <f>Q3108*G3108</f>
        <v/>
      </c>
      <c r="S3108" s="26">
        <f>IFERROR(VLOOKUP(E3108*1,Tabla[#All],8,0),0)</f>
        <v/>
      </c>
      <c r="T3108" s="26">
        <f>S3108*G3108</f>
        <v/>
      </c>
      <c r="U3108" s="26">
        <f>R3108-T3108</f>
        <v/>
      </c>
      <c r="V3108" s="26">
        <f>U3108-L3108</f>
        <v/>
      </c>
    </row>
    <row r="3109">
      <c r="A3109" s="11" t="n">
        <v>46233</v>
      </c>
      <c r="B3109" s="1" t="n">
        <v>20062</v>
      </c>
      <c r="C3109" s="1" t="inlineStr">
        <is>
          <t>053</t>
        </is>
      </c>
      <c r="D3109" s="1" t="inlineStr">
        <is>
          <t>244536</t>
        </is>
      </c>
      <c r="E3109" s="1" t="inlineStr">
        <is>
          <t xml:space="preserve">29235700       </t>
        </is>
      </c>
      <c r="F3109" s="5" t="inlineStr">
        <is>
          <t>HOT WHEELS CASE METALICO PARA GUARDAR 18 CARRITOS</t>
        </is>
      </c>
      <c r="G3109" t="n">
        <v>1</v>
      </c>
      <c r="H3109" s="7" t="n">
        <v>49.9</v>
      </c>
      <c r="I3109" s="7" t="n">
        <v>0</v>
      </c>
      <c r="J3109" s="7" t="n">
        <v>0</v>
      </c>
      <c r="K3109" s="9" t="n">
        <v>0</v>
      </c>
      <c r="L3109" s="10" t="n">
        <v>29.6</v>
      </c>
      <c r="M3109" s="10" t="n">
        <v>1.43</v>
      </c>
      <c r="N3109" t="inlineStr">
        <is>
          <t>1</t>
        </is>
      </c>
      <c r="O3109" t="inlineStr">
        <is>
          <t>16</t>
        </is>
      </c>
      <c r="P3109" t="inlineStr">
        <is>
          <t xml:space="preserve">244379  </t>
        </is>
      </c>
      <c r="Q3109" s="26" t="n">
        <v>29.6</v>
      </c>
      <c r="R3109" s="26">
        <f>Q3109*G3109</f>
        <v/>
      </c>
      <c r="S3109" s="26">
        <f>IFERROR(VLOOKUP(E3109*1,Tabla[#All],8,0),0)</f>
        <v/>
      </c>
      <c r="T3109" s="26">
        <f>S3109*G3109</f>
        <v/>
      </c>
      <c r="U3109" s="26">
        <f>R3109-T3109</f>
        <v/>
      </c>
      <c r="V3109" s="26">
        <f>U3109-L3109</f>
        <v/>
      </c>
    </row>
    <row r="3110">
      <c r="A3110" s="11" t="n">
        <v>46233</v>
      </c>
      <c r="B3110" s="1" t="n">
        <v>20062</v>
      </c>
      <c r="C3110" s="1" t="inlineStr">
        <is>
          <t>830</t>
        </is>
      </c>
      <c r="D3110" s="1" t="inlineStr">
        <is>
          <t xml:space="preserve">5795  </t>
        </is>
      </c>
      <c r="E3110" s="1" t="inlineStr">
        <is>
          <t xml:space="preserve">30141769       </t>
        </is>
      </c>
      <c r="F3110" s="5" t="inlineStr">
        <is>
          <t>TMZ BEAST MACHINES TRANSPORTE DINOSAURIO + 3 AUTOS</t>
        </is>
      </c>
      <c r="G3110" t="n">
        <v>1</v>
      </c>
      <c r="H3110" s="7" t="n">
        <v>59.9</v>
      </c>
      <c r="I3110" s="7" t="n">
        <v>0</v>
      </c>
      <c r="J3110" s="7" t="n">
        <v>0</v>
      </c>
      <c r="K3110" s="9" t="n">
        <v>0</v>
      </c>
      <c r="L3110" s="10" t="n">
        <v>35.53</v>
      </c>
      <c r="M3110" s="10" t="n">
        <v>1.43</v>
      </c>
      <c r="N3110" t="inlineStr">
        <is>
          <t>1</t>
        </is>
      </c>
      <c r="O3110" t="inlineStr">
        <is>
          <t>16</t>
        </is>
      </c>
      <c r="P3110" t="inlineStr">
        <is>
          <t xml:space="preserve">0       </t>
        </is>
      </c>
      <c r="Q3110" s="26" t="n">
        <v>47.4</v>
      </c>
      <c r="R3110" s="26">
        <f>Q3110*G3110</f>
        <v/>
      </c>
      <c r="S3110" s="26">
        <f>IFERROR(VLOOKUP(E3110*1,Tabla[#All],8,0),0)</f>
        <v/>
      </c>
      <c r="T3110" s="26">
        <f>S3110*G3110</f>
        <v/>
      </c>
      <c r="U3110" s="26">
        <f>R3110-T3110</f>
        <v/>
      </c>
      <c r="V3110" s="26">
        <f>U3110-L3110</f>
        <v/>
      </c>
    </row>
    <row r="3111">
      <c r="A3111" s="11" t="n">
        <v>46233</v>
      </c>
      <c r="B3111" s="1" t="n">
        <v>20066</v>
      </c>
      <c r="C3111" s="1" t="inlineStr">
        <is>
          <t>047</t>
        </is>
      </c>
      <c r="D3111" s="1" t="inlineStr">
        <is>
          <t xml:space="preserve">52186 </t>
        </is>
      </c>
      <c r="E3111" s="1" t="inlineStr">
        <is>
          <t xml:space="preserve">28194770       </t>
        </is>
      </c>
      <c r="F3111" s="5" t="inlineStr">
        <is>
          <t>AUTOS DE METAL 3 TEAMSTERZ EN BLISTER</t>
        </is>
      </c>
      <c r="G3111" t="n">
        <v>1</v>
      </c>
      <c r="H3111" s="7" t="n">
        <v>6.9</v>
      </c>
      <c r="I3111" s="7" t="n">
        <v>0</v>
      </c>
      <c r="J3111" s="7" t="n">
        <v>0</v>
      </c>
      <c r="K3111" s="9" t="n">
        <v>0</v>
      </c>
      <c r="L3111" s="10" t="n">
        <v>4.1</v>
      </c>
      <c r="M3111" s="10" t="n">
        <v>1.43</v>
      </c>
      <c r="N3111" t="inlineStr">
        <is>
          <t>1</t>
        </is>
      </c>
      <c r="O3111" t="inlineStr">
        <is>
          <t xml:space="preserve">2 </t>
        </is>
      </c>
      <c r="P3111" t="inlineStr">
        <is>
          <t xml:space="preserve">12646   </t>
        </is>
      </c>
      <c r="Q3111" s="26" t="n">
        <v>4.09</v>
      </c>
      <c r="R3111" s="26">
        <f>Q3111*G3111</f>
        <v/>
      </c>
      <c r="S3111" s="26">
        <f>IFERROR(VLOOKUP(E3111*1,Tabla[#All],8,0),0)</f>
        <v/>
      </c>
      <c r="T3111" s="26">
        <f>S3111*G3111</f>
        <v/>
      </c>
      <c r="U3111" s="26">
        <f>R3111-T3111</f>
        <v/>
      </c>
      <c r="V3111" s="26">
        <f>U3111-L3111</f>
        <v/>
      </c>
    </row>
    <row r="3112">
      <c r="A3112" s="11" t="n">
        <v>46233</v>
      </c>
      <c r="B3112" s="1" t="n">
        <v>20066</v>
      </c>
      <c r="C3112" s="1" t="inlineStr">
        <is>
          <t>057</t>
        </is>
      </c>
      <c r="D3112" s="1" t="inlineStr">
        <is>
          <t>494986</t>
        </is>
      </c>
      <c r="E3112" s="1" t="inlineStr">
        <is>
          <t xml:space="preserve">28194770       </t>
        </is>
      </c>
      <c r="F3112" s="5" t="inlineStr">
        <is>
          <t>AUTOS DE METAL 3 TEAMSTERZ EN BLISTER</t>
        </is>
      </c>
      <c r="G3112" t="n">
        <v>1</v>
      </c>
      <c r="H3112" s="7" t="n">
        <v>6.9</v>
      </c>
      <c r="I3112" s="7" t="n">
        <v>0</v>
      </c>
      <c r="J3112" s="7" t="n">
        <v>0</v>
      </c>
      <c r="K3112" s="9" t="n">
        <v>0</v>
      </c>
      <c r="L3112" s="10" t="n">
        <v>4.1</v>
      </c>
      <c r="M3112" s="10" t="n">
        <v>1.43</v>
      </c>
      <c r="N3112" t="inlineStr">
        <is>
          <t>1</t>
        </is>
      </c>
      <c r="O3112" t="inlineStr">
        <is>
          <t>16</t>
        </is>
      </c>
      <c r="P3112" t="inlineStr">
        <is>
          <t xml:space="preserve">49848   </t>
        </is>
      </c>
      <c r="Q3112" s="26" t="n">
        <v>4.09</v>
      </c>
      <c r="R3112" s="26">
        <f>Q3112*G3112</f>
        <v/>
      </c>
      <c r="S3112" s="26">
        <f>IFERROR(VLOOKUP(E3112*1,Tabla[#All],8,0),0)</f>
        <v/>
      </c>
      <c r="T3112" s="26">
        <f>S3112*G3112</f>
        <v/>
      </c>
      <c r="U3112" s="26">
        <f>R3112-T3112</f>
        <v/>
      </c>
      <c r="V3112" s="26">
        <f>U3112-L3112</f>
        <v/>
      </c>
    </row>
    <row r="3113">
      <c r="A3113" s="11" t="n">
        <v>46233</v>
      </c>
      <c r="B3113" s="1" t="n">
        <v>20066</v>
      </c>
      <c r="C3113" s="1" t="inlineStr">
        <is>
          <t>057</t>
        </is>
      </c>
      <c r="D3113" s="1" t="inlineStr">
        <is>
          <t>495009</t>
        </is>
      </c>
      <c r="E3113" s="1" t="inlineStr">
        <is>
          <t xml:space="preserve">28194770       </t>
        </is>
      </c>
      <c r="F3113" s="5" t="inlineStr">
        <is>
          <t>AUTOS DE METAL 3 TEAMSTERZ EN BLISTER</t>
        </is>
      </c>
      <c r="G3113" t="n">
        <v>1</v>
      </c>
      <c r="H3113" s="7" t="n">
        <v>6.9</v>
      </c>
      <c r="I3113" s="7" t="n">
        <v>0</v>
      </c>
      <c r="J3113" s="7" t="n">
        <v>0</v>
      </c>
      <c r="K3113" s="9" t="n">
        <v>0</v>
      </c>
      <c r="L3113" s="10" t="n">
        <v>4.1</v>
      </c>
      <c r="M3113" s="10" t="n">
        <v>1.43</v>
      </c>
      <c r="N3113" t="inlineStr">
        <is>
          <t>1</t>
        </is>
      </c>
      <c r="O3113" t="inlineStr">
        <is>
          <t>16</t>
        </is>
      </c>
      <c r="P3113" t="inlineStr">
        <is>
          <t xml:space="preserve">43713   </t>
        </is>
      </c>
      <c r="Q3113" s="26" t="n">
        <v>4.09</v>
      </c>
      <c r="R3113" s="26">
        <f>Q3113*G3113</f>
        <v/>
      </c>
      <c r="S3113" s="26">
        <f>IFERROR(VLOOKUP(E3113*1,Tabla[#All],8,0),0)</f>
        <v/>
      </c>
      <c r="T3113" s="26">
        <f>S3113*G3113</f>
        <v/>
      </c>
      <c r="U3113" s="26">
        <f>R3113-T3113</f>
        <v/>
      </c>
      <c r="V3113" s="26">
        <f>U3113-L3113</f>
        <v/>
      </c>
    </row>
    <row r="3114">
      <c r="A3114" s="11" t="n">
        <v>46233</v>
      </c>
      <c r="B3114" s="1" t="n">
        <v>20066</v>
      </c>
      <c r="C3114" s="1" t="inlineStr">
        <is>
          <t>065</t>
        </is>
      </c>
      <c r="D3114" s="1" t="inlineStr">
        <is>
          <t xml:space="preserve">21126 </t>
        </is>
      </c>
      <c r="E3114" s="1" t="inlineStr">
        <is>
          <t xml:space="preserve">28194770       </t>
        </is>
      </c>
      <c r="F3114" s="5" t="inlineStr">
        <is>
          <t>AUTOS DE METAL 3 TEAMSTERZ EN BLISTER</t>
        </is>
      </c>
      <c r="G3114" t="n">
        <v>1</v>
      </c>
      <c r="H3114" s="7" t="n">
        <v>6.9</v>
      </c>
      <c r="I3114" s="7" t="n">
        <v>0</v>
      </c>
      <c r="J3114" s="7" t="n">
        <v>0</v>
      </c>
      <c r="K3114" s="9" t="n">
        <v>0</v>
      </c>
      <c r="L3114" s="10" t="n">
        <v>4.1</v>
      </c>
      <c r="M3114" s="10" t="n">
        <v>1.43</v>
      </c>
      <c r="N3114" t="inlineStr">
        <is>
          <t>1</t>
        </is>
      </c>
      <c r="O3114" t="inlineStr">
        <is>
          <t xml:space="preserve">2 </t>
        </is>
      </c>
      <c r="P3114" t="inlineStr">
        <is>
          <t xml:space="preserve">44050   </t>
        </is>
      </c>
      <c r="Q3114" s="26" t="n">
        <v>4.09</v>
      </c>
      <c r="R3114" s="26">
        <f>Q3114*G3114</f>
        <v/>
      </c>
      <c r="S3114" s="26">
        <f>IFERROR(VLOOKUP(E3114*1,Tabla[#All],8,0),0)</f>
        <v/>
      </c>
      <c r="T3114" s="26">
        <f>S3114*G3114</f>
        <v/>
      </c>
      <c r="U3114" s="26">
        <f>R3114-T3114</f>
        <v/>
      </c>
      <c r="V3114" s="26">
        <f>U3114-L3114</f>
        <v/>
      </c>
    </row>
    <row r="3115">
      <c r="A3115" s="11" t="n">
        <v>46233</v>
      </c>
      <c r="B3115" s="1" t="n">
        <v>20066</v>
      </c>
      <c r="C3115" s="1" t="inlineStr">
        <is>
          <t>065</t>
        </is>
      </c>
      <c r="D3115" s="1" t="inlineStr">
        <is>
          <t xml:space="preserve">21126 </t>
        </is>
      </c>
      <c r="E3115" s="1" t="inlineStr">
        <is>
          <t xml:space="preserve">28194770       </t>
        </is>
      </c>
      <c r="F3115" s="5" t="inlineStr">
        <is>
          <t>AUTOS DE METAL 3 TEAMSTERZ EN BLISTER</t>
        </is>
      </c>
      <c r="G3115" t="n">
        <v>1</v>
      </c>
      <c r="H3115" s="7" t="n">
        <v>6.9</v>
      </c>
      <c r="I3115" s="7" t="n">
        <v>0</v>
      </c>
      <c r="J3115" s="7" t="n">
        <v>0</v>
      </c>
      <c r="K3115" s="9" t="n">
        <v>0</v>
      </c>
      <c r="L3115" s="10" t="n">
        <v>4.1</v>
      </c>
      <c r="M3115" s="10" t="n">
        <v>1.43</v>
      </c>
      <c r="N3115" t="inlineStr">
        <is>
          <t>1</t>
        </is>
      </c>
      <c r="O3115" t="inlineStr">
        <is>
          <t xml:space="preserve">2 </t>
        </is>
      </c>
      <c r="P3115" t="inlineStr">
        <is>
          <t xml:space="preserve">44050   </t>
        </is>
      </c>
      <c r="Q3115" s="26" t="n">
        <v>4.09</v>
      </c>
      <c r="R3115" s="26">
        <f>Q3115*G3115</f>
        <v/>
      </c>
      <c r="S3115" s="26">
        <f>IFERROR(VLOOKUP(E3115*1,Tabla[#All],8,0),0)</f>
        <v/>
      </c>
      <c r="T3115" s="26">
        <f>S3115*G3115</f>
        <v/>
      </c>
      <c r="U3115" s="26">
        <f>R3115-T3115</f>
        <v/>
      </c>
      <c r="V3115" s="26">
        <f>U3115-L3115</f>
        <v/>
      </c>
    </row>
    <row r="3116">
      <c r="A3116" s="11" t="n">
        <v>46233</v>
      </c>
      <c r="B3116" s="1" t="n">
        <v>20066</v>
      </c>
      <c r="C3116" s="1" t="inlineStr">
        <is>
          <t>833</t>
        </is>
      </c>
      <c r="D3116" s="1" t="inlineStr">
        <is>
          <t xml:space="preserve">4488  </t>
        </is>
      </c>
      <c r="E3116" s="1" t="inlineStr">
        <is>
          <t xml:space="preserve">28194770       </t>
        </is>
      </c>
      <c r="F3116" s="5" t="inlineStr">
        <is>
          <t>AUTOS DE METAL 3 TEAMSTERZ EN BLISTER</t>
        </is>
      </c>
      <c r="G3116" t="n">
        <v>1</v>
      </c>
      <c r="H3116" s="7" t="n">
        <v>6.9</v>
      </c>
      <c r="I3116" s="7" t="n">
        <v>0</v>
      </c>
      <c r="J3116" s="7" t="n">
        <v>0</v>
      </c>
      <c r="K3116" s="9" t="n">
        <v>0</v>
      </c>
      <c r="L3116" s="10" t="n">
        <v>4.1</v>
      </c>
      <c r="M3116" s="10" t="n">
        <v>1.43</v>
      </c>
      <c r="N3116" t="inlineStr">
        <is>
          <t>1</t>
        </is>
      </c>
      <c r="O3116" t="inlineStr">
        <is>
          <t>16</t>
        </is>
      </c>
      <c r="P3116" t="inlineStr">
        <is>
          <t xml:space="preserve">249552  </t>
        </is>
      </c>
      <c r="Q3116" s="26" t="n">
        <v>4.09</v>
      </c>
      <c r="R3116" s="26">
        <f>Q3116*G3116</f>
        <v/>
      </c>
      <c r="S3116" s="26">
        <f>IFERROR(VLOOKUP(E3116*1,Tabla[#All],8,0),0)</f>
        <v/>
      </c>
      <c r="T3116" s="26">
        <f>S3116*G3116</f>
        <v/>
      </c>
      <c r="U3116" s="26">
        <f>R3116-T3116</f>
        <v/>
      </c>
      <c r="V3116" s="26">
        <f>U3116-L3116</f>
        <v/>
      </c>
    </row>
    <row r="3117">
      <c r="A3117" s="11" t="n">
        <v>46233</v>
      </c>
      <c r="B3117" s="1" t="n">
        <v>20069</v>
      </c>
      <c r="C3117" s="1" t="inlineStr">
        <is>
          <t>026</t>
        </is>
      </c>
      <c r="D3117" s="1" t="inlineStr">
        <is>
          <t>360613</t>
        </is>
      </c>
      <c r="E3117" s="1" t="inlineStr">
        <is>
          <t xml:space="preserve">28194769       </t>
        </is>
      </c>
      <c r="F3117" s="5" t="inlineStr">
        <is>
          <t>AUTOS DE METAL 3 TEAMSTERZ PACK DE 2</t>
        </is>
      </c>
      <c r="G3117" t="n">
        <v>1</v>
      </c>
      <c r="H3117" s="7" t="n">
        <v>13.8</v>
      </c>
      <c r="I3117" s="7" t="n">
        <v>0</v>
      </c>
      <c r="J3117" s="7" t="n">
        <v>0</v>
      </c>
      <c r="K3117" s="9" t="n">
        <v>0</v>
      </c>
      <c r="L3117" s="10" t="n">
        <v>8.18</v>
      </c>
      <c r="M3117" s="10" t="n">
        <v>1.43</v>
      </c>
      <c r="N3117" t="inlineStr">
        <is>
          <t>1</t>
        </is>
      </c>
      <c r="O3117" t="inlineStr">
        <is>
          <t>16</t>
        </is>
      </c>
      <c r="P3117" t="inlineStr">
        <is>
          <t xml:space="preserve">249236  </t>
        </is>
      </c>
      <c r="Q3117" s="26" t="n">
        <v>8.19</v>
      </c>
      <c r="R3117" s="26">
        <f>Q3117*G3117</f>
        <v/>
      </c>
      <c r="S3117" s="26">
        <f>IFERROR(VLOOKUP(E3117*1,Tabla[#All],8,0),0)</f>
        <v/>
      </c>
      <c r="T3117" s="26">
        <f>S3117*G3117</f>
        <v/>
      </c>
      <c r="U3117" s="26">
        <f>R3117-T3117</f>
        <v/>
      </c>
      <c r="V3117" s="26">
        <f>U3117-L3117</f>
        <v/>
      </c>
    </row>
    <row r="3118">
      <c r="A3118" s="11" t="n">
        <v>46233</v>
      </c>
      <c r="B3118" s="1" t="n">
        <v>20072</v>
      </c>
      <c r="C3118" s="1" t="inlineStr">
        <is>
          <t>014</t>
        </is>
      </c>
      <c r="D3118" s="1" t="inlineStr">
        <is>
          <t xml:space="preserve">3688  </t>
        </is>
      </c>
      <c r="E3118" s="1" t="inlineStr">
        <is>
          <t xml:space="preserve">29235708       </t>
        </is>
      </c>
      <c r="F3118" s="5" t="inlineStr">
        <is>
          <t>TEAMSTERZ RESCATE POR AIRE Y MAR</t>
        </is>
      </c>
      <c r="G3118" t="n">
        <v>1</v>
      </c>
      <c r="H3118" s="7" t="n">
        <v>39.9</v>
      </c>
      <c r="I3118" s="7" t="n">
        <v>0</v>
      </c>
      <c r="J3118" s="7" t="n">
        <v>0</v>
      </c>
      <c r="K3118" s="9" t="n">
        <v>0</v>
      </c>
      <c r="L3118" s="10" t="n">
        <v>23.67</v>
      </c>
      <c r="M3118" s="10" t="n">
        <v>1.43</v>
      </c>
      <c r="N3118" t="inlineStr">
        <is>
          <t>1</t>
        </is>
      </c>
      <c r="O3118" t="inlineStr">
        <is>
          <t xml:space="preserve">2 </t>
        </is>
      </c>
      <c r="P3118" t="inlineStr">
        <is>
          <t xml:space="preserve">71221   </t>
        </is>
      </c>
      <c r="Q3118" s="26" t="n">
        <v>23.67</v>
      </c>
      <c r="R3118" s="26">
        <f>Q3118*G3118</f>
        <v/>
      </c>
      <c r="S3118" s="26">
        <f>IFERROR(VLOOKUP(E3118*1,Tabla[#All],8,0),0)</f>
        <v/>
      </c>
      <c r="T3118" s="26">
        <f>S3118*G3118</f>
        <v/>
      </c>
      <c r="U3118" s="26">
        <f>R3118-T3118</f>
        <v/>
      </c>
      <c r="V3118" s="26">
        <f>U3118-L3118</f>
        <v/>
      </c>
    </row>
    <row r="3119">
      <c r="A3119" s="11" t="n">
        <v>46233</v>
      </c>
      <c r="B3119" s="1" t="n">
        <v>20072</v>
      </c>
      <c r="C3119" s="1" t="inlineStr">
        <is>
          <t>023</t>
        </is>
      </c>
      <c r="D3119" s="1" t="inlineStr">
        <is>
          <t>318266</t>
        </is>
      </c>
      <c r="E3119" s="1" t="inlineStr">
        <is>
          <t xml:space="preserve">28194781       </t>
        </is>
      </c>
      <c r="F3119" s="5" t="inlineStr">
        <is>
          <t>TROMPO BATALLA INFINITY NADO SERIE V CLASICA SURTI</t>
        </is>
      </c>
      <c r="G3119" t="n">
        <v>1</v>
      </c>
      <c r="H3119" s="7" t="n">
        <v>39.9</v>
      </c>
      <c r="I3119" s="7" t="n">
        <v>0</v>
      </c>
      <c r="J3119" s="7" t="n">
        <v>0</v>
      </c>
      <c r="K3119" s="9" t="n">
        <v>0</v>
      </c>
      <c r="L3119" s="10" t="n">
        <v>23.67</v>
      </c>
      <c r="M3119" s="10" t="n">
        <v>1.43</v>
      </c>
      <c r="N3119" t="inlineStr">
        <is>
          <t>1</t>
        </is>
      </c>
      <c r="O3119" t="inlineStr">
        <is>
          <t xml:space="preserve">3 </t>
        </is>
      </c>
      <c r="P3119" t="inlineStr">
        <is>
          <t xml:space="preserve">238588  </t>
        </is>
      </c>
      <c r="Q3119" s="26" t="n">
        <v>35.53</v>
      </c>
      <c r="R3119" s="26">
        <f>Q3119*G3119</f>
        <v/>
      </c>
      <c r="S3119" s="26">
        <f>IFERROR(VLOOKUP(E3119*1,Tabla[#All],8,0),0)</f>
        <v/>
      </c>
      <c r="T3119" s="26">
        <f>S3119*G3119</f>
        <v/>
      </c>
      <c r="U3119" s="26">
        <f>R3119-T3119</f>
        <v/>
      </c>
      <c r="V3119" s="26">
        <f>U3119-L3119</f>
        <v/>
      </c>
    </row>
    <row r="3120">
      <c r="A3120" s="11" t="n">
        <v>46233</v>
      </c>
      <c r="B3120" s="1" t="n">
        <v>20072</v>
      </c>
      <c r="C3120" s="1" t="inlineStr">
        <is>
          <t>032</t>
        </is>
      </c>
      <c r="D3120" s="1" t="inlineStr">
        <is>
          <t>309686</t>
        </is>
      </c>
      <c r="E3120" s="1" t="inlineStr">
        <is>
          <t xml:space="preserve">28194781       </t>
        </is>
      </c>
      <c r="F3120" s="5" t="inlineStr">
        <is>
          <t>TROMPO BATALLA INFINITY NADO SERIE V CLASICA SURTI</t>
        </is>
      </c>
      <c r="G3120" t="n">
        <v>1</v>
      </c>
      <c r="H3120" s="7" t="n">
        <v>39.9</v>
      </c>
      <c r="I3120" s="7" t="n">
        <v>0</v>
      </c>
      <c r="J3120" s="7" t="n">
        <v>0</v>
      </c>
      <c r="K3120" s="9" t="n">
        <v>0</v>
      </c>
      <c r="L3120" s="10" t="n">
        <v>23.67</v>
      </c>
      <c r="M3120" s="10" t="n">
        <v>1.43</v>
      </c>
      <c r="N3120" t="inlineStr">
        <is>
          <t>1</t>
        </is>
      </c>
      <c r="O3120" t="inlineStr">
        <is>
          <t xml:space="preserve">2 </t>
        </is>
      </c>
      <c r="P3120" t="inlineStr">
        <is>
          <t xml:space="preserve">92485   </t>
        </is>
      </c>
      <c r="Q3120" s="26" t="n">
        <v>35.53</v>
      </c>
      <c r="R3120" s="26">
        <f>Q3120*G3120</f>
        <v/>
      </c>
      <c r="S3120" s="26">
        <f>IFERROR(VLOOKUP(E3120*1,Tabla[#All],8,0),0)</f>
        <v/>
      </c>
      <c r="T3120" s="26">
        <f>S3120*G3120</f>
        <v/>
      </c>
      <c r="U3120" s="26">
        <f>R3120-T3120</f>
        <v/>
      </c>
      <c r="V3120" s="26">
        <f>U3120-L3120</f>
        <v/>
      </c>
    </row>
    <row r="3121">
      <c r="A3121" s="11" t="n">
        <v>46233</v>
      </c>
      <c r="B3121" s="1" t="n">
        <v>20073</v>
      </c>
      <c r="C3121" s="1" t="inlineStr">
        <is>
          <t>023</t>
        </is>
      </c>
      <c r="D3121" s="1" t="inlineStr">
        <is>
          <t xml:space="preserve">97096 </t>
        </is>
      </c>
      <c r="E3121" s="1" t="inlineStr">
        <is>
          <t xml:space="preserve">31959959       </t>
        </is>
      </c>
      <c r="F3121" s="5" t="inlineStr">
        <is>
          <t>TMZ CAMBIA DE COLOR LANZADOR SPIN SPLASH + 1 AUTO</t>
        </is>
      </c>
      <c r="G3121" t="n">
        <v>1</v>
      </c>
      <c r="H3121" s="7" t="n">
        <v>14.9</v>
      </c>
      <c r="I3121" s="7" t="n">
        <v>0</v>
      </c>
      <c r="J3121" s="7" t="n">
        <v>0</v>
      </c>
      <c r="K3121" s="9" t="n">
        <v>0</v>
      </c>
      <c r="L3121" s="10" t="n">
        <v>8.84</v>
      </c>
      <c r="M3121" s="10" t="n">
        <v>1.43</v>
      </c>
      <c r="N3121" t="inlineStr">
        <is>
          <t>1</t>
        </is>
      </c>
      <c r="O3121" t="inlineStr">
        <is>
          <t>16</t>
        </is>
      </c>
      <c r="P3121" t="inlineStr">
        <is>
          <t xml:space="preserve">64168   </t>
        </is>
      </c>
      <c r="Q3121" s="26" t="n">
        <v>23.67</v>
      </c>
      <c r="R3121" s="26">
        <f>Q3121*G3121</f>
        <v/>
      </c>
      <c r="S3121" s="26">
        <f>IFERROR(VLOOKUP(E3121*1,Tabla[#All],8,0),0)</f>
        <v/>
      </c>
      <c r="T3121" s="26">
        <f>S3121*G3121</f>
        <v/>
      </c>
      <c r="U3121" s="26">
        <f>R3121-T3121</f>
        <v/>
      </c>
      <c r="V3121" s="26">
        <f>U3121-L3121</f>
        <v/>
      </c>
    </row>
    <row r="3122">
      <c r="A3122" s="11" t="n">
        <v>46233</v>
      </c>
      <c r="B3122" s="1" t="n">
        <v>20073</v>
      </c>
      <c r="C3122" s="1" t="inlineStr">
        <is>
          <t>028</t>
        </is>
      </c>
      <c r="D3122" s="1" t="inlineStr">
        <is>
          <t xml:space="preserve">85307 </t>
        </is>
      </c>
      <c r="E3122" s="1" t="inlineStr">
        <is>
          <t xml:space="preserve">28194768       </t>
        </is>
      </c>
      <c r="F3122" s="5" t="inlineStr">
        <is>
          <t>AUTO COLOR CHANGE TEAMSTERZ SURTIDO</t>
        </is>
      </c>
      <c r="G3122" t="n">
        <v>1</v>
      </c>
      <c r="H3122" s="7" t="n">
        <v>14.9</v>
      </c>
      <c r="I3122" s="7" t="n">
        <v>0</v>
      </c>
      <c r="J3122" s="7" t="n">
        <v>0</v>
      </c>
      <c r="K3122" s="9" t="n">
        <v>0</v>
      </c>
      <c r="L3122" s="10" t="n">
        <v>8.84</v>
      </c>
      <c r="M3122" s="10" t="n">
        <v>1.43</v>
      </c>
      <c r="N3122" t="inlineStr">
        <is>
          <t>1</t>
        </is>
      </c>
      <c r="O3122" t="inlineStr">
        <is>
          <t>16</t>
        </is>
      </c>
      <c r="P3122" t="inlineStr">
        <is>
          <t xml:space="preserve">22321   </t>
        </is>
      </c>
      <c r="Q3122" s="26" t="n">
        <v>8.84</v>
      </c>
      <c r="R3122" s="26">
        <f>Q3122*G3122</f>
        <v/>
      </c>
      <c r="S3122" s="26">
        <f>IFERROR(VLOOKUP(E3122*1,Tabla[#All],8,0),0)</f>
        <v/>
      </c>
      <c r="T3122" s="26">
        <f>S3122*G3122</f>
        <v/>
      </c>
      <c r="U3122" s="26">
        <f>R3122-T3122</f>
        <v/>
      </c>
      <c r="V3122" s="26">
        <f>U3122-L3122</f>
        <v/>
      </c>
    </row>
    <row r="3123">
      <c r="A3123" s="11" t="n">
        <v>46233</v>
      </c>
      <c r="B3123" s="1" t="n">
        <v>20073</v>
      </c>
      <c r="C3123" s="1" t="inlineStr">
        <is>
          <t>046</t>
        </is>
      </c>
      <c r="D3123" s="1" t="inlineStr">
        <is>
          <t>207994</t>
        </is>
      </c>
      <c r="E3123" s="1" t="inlineStr">
        <is>
          <t xml:space="preserve">32457111       </t>
        </is>
      </c>
      <c r="F3123" s="5" t="inlineStr">
        <is>
          <t>TMZ BEAST MACHINES MONSTER JAWS A FRICCION PACK DE</t>
        </is>
      </c>
      <c r="G3123" t="n">
        <v>1</v>
      </c>
      <c r="H3123" s="7" t="n">
        <v>54.9</v>
      </c>
      <c r="I3123" s="7" t="n">
        <v>0</v>
      </c>
      <c r="J3123" s="7" t="n">
        <v>0</v>
      </c>
      <c r="K3123" s="9" t="n">
        <v>0</v>
      </c>
      <c r="L3123" s="10" t="n">
        <v>32.57</v>
      </c>
      <c r="M3123" s="10" t="n">
        <v>1.43</v>
      </c>
      <c r="N3123" t="inlineStr">
        <is>
          <t>1</t>
        </is>
      </c>
      <c r="O3123" t="inlineStr">
        <is>
          <t>16</t>
        </is>
      </c>
      <c r="P3123" t="inlineStr">
        <is>
          <t xml:space="preserve">57881   </t>
        </is>
      </c>
      <c r="Q3123" s="26" t="n">
        <v>44.43</v>
      </c>
      <c r="R3123" s="26">
        <f>Q3123*G3123</f>
        <v/>
      </c>
      <c r="S3123" s="26">
        <f>IFERROR(VLOOKUP(E3123*1,Tabla[#All],8,0),0)</f>
        <v/>
      </c>
      <c r="T3123" s="26">
        <f>S3123*G3123</f>
        <v/>
      </c>
      <c r="U3123" s="26">
        <f>R3123-T3123</f>
        <v/>
      </c>
      <c r="V3123" s="26">
        <f>U3123-L3123</f>
        <v/>
      </c>
    </row>
    <row r="3124">
      <c r="A3124" s="11" t="n">
        <v>46233</v>
      </c>
      <c r="B3124" s="1" t="n">
        <v>20074</v>
      </c>
      <c r="C3124" s="1" t="inlineStr">
        <is>
          <t>015</t>
        </is>
      </c>
      <c r="D3124" s="1" t="inlineStr">
        <is>
          <t>229067</t>
        </is>
      </c>
      <c r="E3124" s="1" t="inlineStr">
        <is>
          <t xml:space="preserve">28194783       </t>
        </is>
      </c>
      <c r="F3124" s="5" t="inlineStr">
        <is>
          <t>SET DE BATALLA INFINITY NADO CON 2 TROMPOS</t>
        </is>
      </c>
      <c r="G3124" t="n">
        <v>1</v>
      </c>
      <c r="H3124" s="7" t="n">
        <v>159</v>
      </c>
      <c r="I3124" s="7" t="n">
        <v>0</v>
      </c>
      <c r="J3124" s="7" t="n">
        <v>0</v>
      </c>
      <c r="K3124" s="9" t="n">
        <v>0</v>
      </c>
      <c r="L3124" s="10" t="n">
        <v>94.33</v>
      </c>
      <c r="M3124" s="10" t="n">
        <v>1.43</v>
      </c>
      <c r="N3124" t="inlineStr">
        <is>
          <t>1</t>
        </is>
      </c>
      <c r="O3124" t="inlineStr">
        <is>
          <t>16</t>
        </is>
      </c>
      <c r="P3124" t="inlineStr">
        <is>
          <t xml:space="preserve">249571  </t>
        </is>
      </c>
      <c r="Q3124" s="26" t="n">
        <v>94.31999999999999</v>
      </c>
      <c r="R3124" s="26">
        <f>Q3124*G3124</f>
        <v/>
      </c>
      <c r="S3124" s="26">
        <f>IFERROR(VLOOKUP(E3124*1,Tabla[#All],8,0),0)</f>
        <v/>
      </c>
      <c r="T3124" s="26">
        <f>S3124*G3124</f>
        <v/>
      </c>
      <c r="U3124" s="26">
        <f>R3124-T3124</f>
        <v/>
      </c>
      <c r="V3124" s="26">
        <f>U3124-L3124</f>
        <v/>
      </c>
    </row>
    <row r="3125">
      <c r="A3125" s="11" t="n">
        <v>46233</v>
      </c>
      <c r="B3125" s="1" t="n">
        <v>20074</v>
      </c>
      <c r="C3125" s="1" t="inlineStr">
        <is>
          <t>028</t>
        </is>
      </c>
      <c r="D3125" s="1" t="inlineStr">
        <is>
          <t>185491</t>
        </is>
      </c>
      <c r="E3125" s="1" t="inlineStr">
        <is>
          <t xml:space="preserve">30141768       </t>
        </is>
      </c>
      <c r="F3125" s="5" t="inlineStr">
        <is>
          <t>TMZ BEAST MACHINES AUTOS DE METAL PACK 10 AUTOS</t>
        </is>
      </c>
      <c r="G3125" t="n">
        <v>1</v>
      </c>
      <c r="H3125" s="7" t="n">
        <v>69</v>
      </c>
      <c r="I3125" s="7" t="n">
        <v>0</v>
      </c>
      <c r="J3125" s="7" t="n">
        <v>0</v>
      </c>
      <c r="K3125" s="9" t="n">
        <v>0</v>
      </c>
      <c r="L3125" s="10" t="n">
        <v>40.93</v>
      </c>
      <c r="M3125" s="10" t="n">
        <v>1.43</v>
      </c>
      <c r="N3125" t="inlineStr">
        <is>
          <t>1</t>
        </is>
      </c>
      <c r="O3125" t="inlineStr">
        <is>
          <t>16</t>
        </is>
      </c>
      <c r="P3125" t="inlineStr">
        <is>
          <t xml:space="preserve">12059   </t>
        </is>
      </c>
      <c r="Q3125" s="26" t="n">
        <v>46.86</v>
      </c>
      <c r="R3125" s="26">
        <f>Q3125*G3125</f>
        <v/>
      </c>
      <c r="S3125" s="26">
        <f>IFERROR(VLOOKUP(E3125*1,Tabla[#All],8,0),0)</f>
        <v/>
      </c>
      <c r="T3125" s="26">
        <f>S3125*G3125</f>
        <v/>
      </c>
      <c r="U3125" s="26">
        <f>R3125-T3125</f>
        <v/>
      </c>
      <c r="V3125" s="26">
        <f>U3125-L3125</f>
        <v/>
      </c>
    </row>
    <row r="3126">
      <c r="A3126" s="11" t="n">
        <v>46233</v>
      </c>
      <c r="B3126" s="1" t="n">
        <v>20074</v>
      </c>
      <c r="C3126" s="1" t="inlineStr">
        <is>
          <t>028</t>
        </is>
      </c>
      <c r="D3126" s="1" t="inlineStr">
        <is>
          <t>185491</t>
        </is>
      </c>
      <c r="E3126" s="1" t="inlineStr">
        <is>
          <t xml:space="preserve">34840557       </t>
        </is>
      </c>
      <c r="F3126" s="5" t="inlineStr">
        <is>
          <t>TMZ BEAST MACH. PLAYSET GARAGE DE SERPIENTE + 2 AU</t>
        </is>
      </c>
      <c r="G3126" t="n">
        <v>1</v>
      </c>
      <c r="H3126" s="7" t="n">
        <v>49.9</v>
      </c>
      <c r="I3126" s="7" t="n">
        <v>0</v>
      </c>
      <c r="J3126" s="7" t="n">
        <v>0</v>
      </c>
      <c r="K3126" s="9" t="n">
        <v>0</v>
      </c>
      <c r="L3126" s="10" t="n">
        <v>29.6</v>
      </c>
      <c r="M3126" s="10" t="n">
        <v>1.43</v>
      </c>
      <c r="N3126" t="inlineStr">
        <is>
          <t>1</t>
        </is>
      </c>
      <c r="O3126" t="inlineStr">
        <is>
          <t>16</t>
        </is>
      </c>
      <c r="P3126" t="inlineStr">
        <is>
          <t xml:space="preserve">12059   </t>
        </is>
      </c>
      <c r="Q3126" s="26" t="n">
        <v>47.4</v>
      </c>
      <c r="R3126" s="26">
        <f>Q3126*G3126</f>
        <v/>
      </c>
      <c r="S3126" s="26">
        <f>IFERROR(VLOOKUP(E3126*1,Tabla[#All],8,0),0)</f>
        <v/>
      </c>
      <c r="T3126" s="26">
        <f>S3126*G3126</f>
        <v/>
      </c>
      <c r="U3126" s="26">
        <f>R3126-T3126</f>
        <v/>
      </c>
      <c r="V3126" s="26">
        <f>U3126-L3126</f>
        <v/>
      </c>
    </row>
    <row r="3127">
      <c r="A3127" s="11" t="n">
        <v>46233</v>
      </c>
      <c r="B3127" s="1" t="n">
        <v>20074</v>
      </c>
      <c r="C3127" s="1" t="inlineStr">
        <is>
          <t>048</t>
        </is>
      </c>
      <c r="D3127" s="1" t="inlineStr">
        <is>
          <t>146223</t>
        </is>
      </c>
      <c r="E3127" s="1" t="inlineStr">
        <is>
          <t xml:space="preserve">32457103       </t>
        </is>
      </c>
      <c r="F3127" s="5" t="inlineStr">
        <is>
          <t>TMZ BEAST MACHINES MONSTER JAWS A FRICCION PACK DE</t>
        </is>
      </c>
      <c r="G3127" t="n">
        <v>1</v>
      </c>
      <c r="H3127" s="7" t="n">
        <v>32.9</v>
      </c>
      <c r="I3127" s="7" t="n">
        <v>0</v>
      </c>
      <c r="J3127" s="7" t="n">
        <v>0</v>
      </c>
      <c r="K3127" s="9" t="n">
        <v>0</v>
      </c>
      <c r="L3127" s="10" t="n">
        <v>19.52</v>
      </c>
      <c r="M3127" s="10" t="n">
        <v>1.43</v>
      </c>
      <c r="N3127" t="inlineStr">
        <is>
          <t>1</t>
        </is>
      </c>
      <c r="O3127" t="inlineStr">
        <is>
          <t xml:space="preserve">2 </t>
        </is>
      </c>
      <c r="P3127" t="inlineStr">
        <is>
          <t xml:space="preserve">251791  </t>
        </is>
      </c>
      <c r="Q3127" s="26" t="n">
        <v>22.48</v>
      </c>
      <c r="R3127" s="26">
        <f>Q3127*G3127</f>
        <v/>
      </c>
      <c r="S3127" s="26">
        <f>IFERROR(VLOOKUP(E3127*1,Tabla[#All],8,0),0)</f>
        <v/>
      </c>
      <c r="T3127" s="26">
        <f>S3127*G3127</f>
        <v/>
      </c>
      <c r="U3127" s="26">
        <f>R3127-T3127</f>
        <v/>
      </c>
      <c r="V3127" s="26">
        <f>U3127-L3127</f>
        <v/>
      </c>
    </row>
    <row r="3128">
      <c r="A3128" s="11" t="n">
        <v>46233</v>
      </c>
      <c r="B3128" s="1" t="n">
        <v>20077</v>
      </c>
      <c r="C3128" s="1" t="inlineStr">
        <is>
          <t>016</t>
        </is>
      </c>
      <c r="D3128" s="1" t="inlineStr">
        <is>
          <t>124017</t>
        </is>
      </c>
      <c r="E3128" s="1" t="inlineStr">
        <is>
          <t xml:space="preserve">28194782       </t>
        </is>
      </c>
      <c r="F3128" s="5" t="inlineStr">
        <is>
          <t>TROMPO BATALLA INFINITY NADO SERIE V ORIGINAL SURT</t>
        </is>
      </c>
      <c r="G3128" t="n">
        <v>1</v>
      </c>
      <c r="H3128" s="7" t="n">
        <v>49.9</v>
      </c>
      <c r="I3128" s="7" t="n">
        <v>0</v>
      </c>
      <c r="J3128" s="7" t="n">
        <v>0</v>
      </c>
      <c r="K3128" s="9" t="n">
        <v>0</v>
      </c>
      <c r="L3128" s="10" t="n">
        <v>29.6</v>
      </c>
      <c r="M3128" s="10" t="n">
        <v>1.43</v>
      </c>
      <c r="N3128" t="inlineStr">
        <is>
          <t>1</t>
        </is>
      </c>
      <c r="O3128" t="inlineStr">
        <is>
          <t xml:space="preserve">2 </t>
        </is>
      </c>
      <c r="P3128" t="inlineStr">
        <is>
          <t xml:space="preserve">70656   </t>
        </is>
      </c>
      <c r="Q3128" s="26" t="n">
        <v>41.47</v>
      </c>
      <c r="R3128" s="26">
        <f>Q3128*G3128</f>
        <v/>
      </c>
      <c r="S3128" s="26">
        <f>IFERROR(VLOOKUP(E3128*1,Tabla[#All],8,0),0)</f>
        <v/>
      </c>
      <c r="T3128" s="26">
        <f>S3128*G3128</f>
        <v/>
      </c>
      <c r="U3128" s="26">
        <f>R3128-T3128</f>
        <v/>
      </c>
      <c r="V3128" s="26">
        <f>U3128-L3128</f>
        <v/>
      </c>
    </row>
    <row r="3129">
      <c r="A3129" s="11" t="n">
        <v>46233</v>
      </c>
      <c r="B3129" s="1" t="n">
        <v>20077</v>
      </c>
      <c r="C3129" s="1" t="inlineStr">
        <is>
          <t>026</t>
        </is>
      </c>
      <c r="D3129" s="1" t="inlineStr">
        <is>
          <t xml:space="preserve">2805  </t>
        </is>
      </c>
      <c r="E3129" s="1" t="inlineStr">
        <is>
          <t xml:space="preserve">28194780       </t>
        </is>
      </c>
      <c r="F3129" s="5" t="inlineStr">
        <is>
          <t>TROMPO BATALLA INFINITY NADO PLSTICO SURTIDO</t>
        </is>
      </c>
      <c r="G3129" t="n">
        <v>1</v>
      </c>
      <c r="H3129" s="7" t="n">
        <v>19.9</v>
      </c>
      <c r="I3129" s="7" t="n">
        <v>0</v>
      </c>
      <c r="J3129" s="7" t="n">
        <v>0</v>
      </c>
      <c r="K3129" s="9" t="n">
        <v>0</v>
      </c>
      <c r="L3129" s="10" t="n">
        <v>11.8</v>
      </c>
      <c r="M3129" s="10" t="n">
        <v>1.43</v>
      </c>
      <c r="N3129" t="inlineStr">
        <is>
          <t>1</t>
        </is>
      </c>
      <c r="O3129" t="inlineStr">
        <is>
          <t>16</t>
        </is>
      </c>
      <c r="P3129" t="inlineStr">
        <is>
          <t xml:space="preserve">62762   </t>
        </is>
      </c>
      <c r="Q3129" s="26" t="n">
        <v>11.81</v>
      </c>
      <c r="R3129" s="26">
        <f>Q3129*G3129</f>
        <v/>
      </c>
      <c r="S3129" s="26">
        <f>IFERROR(VLOOKUP(E3129*1,Tabla[#All],8,0),0)</f>
        <v/>
      </c>
      <c r="T3129" s="26">
        <f>S3129*G3129</f>
        <v/>
      </c>
      <c r="U3129" s="26">
        <f>R3129-T3129</f>
        <v/>
      </c>
      <c r="V3129" s="26">
        <f>U3129-L3129</f>
        <v/>
      </c>
    </row>
    <row r="3130">
      <c r="A3130" s="11" t="n">
        <v>46233</v>
      </c>
      <c r="B3130" s="1" t="n">
        <v>20077</v>
      </c>
      <c r="C3130" s="1" t="inlineStr">
        <is>
          <t>030</t>
        </is>
      </c>
      <c r="D3130" s="1" t="inlineStr">
        <is>
          <t xml:space="preserve">41484 </t>
        </is>
      </c>
      <c r="E3130" s="1" t="inlineStr">
        <is>
          <t xml:space="preserve">32457099       </t>
        </is>
      </c>
      <c r="F3130" s="5" t="inlineStr">
        <is>
          <t>TMZ BEAST MACHINES MONSTER JAWS A FRICCION BLISTER</t>
        </is>
      </c>
      <c r="G3130" t="n">
        <v>1</v>
      </c>
      <c r="H3130" s="7" t="n">
        <v>17.9</v>
      </c>
      <c r="I3130" s="7" t="n">
        <v>0</v>
      </c>
      <c r="J3130" s="7" t="n">
        <v>0</v>
      </c>
      <c r="K3130" s="9" t="n">
        <v>0</v>
      </c>
      <c r="L3130" s="10" t="n">
        <v>10.62</v>
      </c>
      <c r="M3130" s="10" t="n">
        <v>1.43</v>
      </c>
      <c r="N3130" t="inlineStr">
        <is>
          <t>1</t>
        </is>
      </c>
      <c r="O3130" t="inlineStr">
        <is>
          <t xml:space="preserve">3 </t>
        </is>
      </c>
      <c r="P3130" t="inlineStr">
        <is>
          <t xml:space="preserve">44367   </t>
        </is>
      </c>
      <c r="Q3130" s="26" t="n">
        <v>11.81</v>
      </c>
      <c r="R3130" s="26">
        <f>Q3130*G3130</f>
        <v/>
      </c>
      <c r="S3130" s="26">
        <f>IFERROR(VLOOKUP(E3130*1,Tabla[#All],8,0),0)</f>
        <v/>
      </c>
      <c r="T3130" s="26">
        <f>S3130*G3130</f>
        <v/>
      </c>
      <c r="U3130" s="26">
        <f>R3130-T3130</f>
        <v/>
      </c>
      <c r="V3130" s="26">
        <f>U3130-L3130</f>
        <v/>
      </c>
    </row>
    <row r="3131">
      <c r="A3131" s="11" t="n">
        <v>46233</v>
      </c>
      <c r="B3131" s="1" t="n">
        <v>20077</v>
      </c>
      <c r="C3131" s="1" t="inlineStr">
        <is>
          <t>524</t>
        </is>
      </c>
      <c r="D3131" s="1" t="inlineStr">
        <is>
          <t xml:space="preserve">1854  </t>
        </is>
      </c>
      <c r="E3131" s="1" t="inlineStr">
        <is>
          <t xml:space="preserve">31675352       </t>
        </is>
      </c>
      <c r="F3131" s="5" t="inlineStr">
        <is>
          <t>MI PEQUENO NENUCO</t>
        </is>
      </c>
      <c r="G3131" t="n">
        <v>1</v>
      </c>
      <c r="H3131" s="7" t="n">
        <v>49.9</v>
      </c>
      <c r="I3131" s="7" t="n">
        <v>0</v>
      </c>
      <c r="J3131" s="7" t="n">
        <v>0</v>
      </c>
      <c r="K3131" s="9" t="n">
        <v>0</v>
      </c>
      <c r="L3131" s="10" t="n">
        <v>29.6</v>
      </c>
      <c r="M3131" s="10" t="n">
        <v>1.43</v>
      </c>
      <c r="N3131" t="inlineStr">
        <is>
          <t>1</t>
        </is>
      </c>
      <c r="O3131" t="inlineStr">
        <is>
          <t>16</t>
        </is>
      </c>
      <c r="P3131" t="inlineStr">
        <is>
          <t xml:space="preserve">62670   </t>
        </is>
      </c>
      <c r="Q3131" s="26" t="n">
        <v>41.47</v>
      </c>
      <c r="R3131" s="26">
        <f>Q3131*G3131</f>
        <v/>
      </c>
      <c r="S3131" s="26">
        <f>IFERROR(VLOOKUP(E3131*1,Tabla[#All],8,0),0)</f>
        <v/>
      </c>
      <c r="T3131" s="26">
        <f>S3131*G3131</f>
        <v/>
      </c>
      <c r="U3131" s="26">
        <f>R3131-T3131</f>
        <v/>
      </c>
      <c r="V3131" s="26">
        <f>U3131-L3131</f>
        <v/>
      </c>
    </row>
    <row r="3132">
      <c r="A3132" s="11" t="n">
        <v>46233</v>
      </c>
      <c r="B3132" s="1" t="n">
        <v>20078</v>
      </c>
      <c r="C3132" s="1" t="inlineStr">
        <is>
          <t>514</t>
        </is>
      </c>
      <c r="D3132" s="1" t="inlineStr">
        <is>
          <t xml:space="preserve">5310  </t>
        </is>
      </c>
      <c r="E3132" s="1" t="inlineStr">
        <is>
          <t xml:space="preserve">34840537       </t>
        </is>
      </c>
      <c r="F3132" s="5" t="inlineStr">
        <is>
          <t>PINYPON MANSION TENEBROSA</t>
        </is>
      </c>
      <c r="G3132" t="n">
        <v>1</v>
      </c>
      <c r="H3132" s="7" t="n">
        <v>83.40000000000001</v>
      </c>
      <c r="I3132" s="7" t="n">
        <v>0</v>
      </c>
      <c r="J3132" s="7" t="n">
        <v>0</v>
      </c>
      <c r="K3132" s="9" t="n">
        <v>0</v>
      </c>
      <c r="L3132" s="10" t="n">
        <v>49.48</v>
      </c>
      <c r="M3132" s="10" t="n">
        <v>1.43</v>
      </c>
      <c r="N3132" t="inlineStr">
        <is>
          <t>1</t>
        </is>
      </c>
      <c r="O3132" t="inlineStr">
        <is>
          <t>16</t>
        </is>
      </c>
      <c r="P3132" t="inlineStr">
        <is>
          <t xml:space="preserve">247008  </t>
        </is>
      </c>
      <c r="Q3132" s="26" t="n">
        <v>82.45999999999999</v>
      </c>
      <c r="R3132" s="26">
        <f>Q3132*G3132</f>
        <v/>
      </c>
      <c r="S3132" s="26">
        <f>IFERROR(VLOOKUP(E3132*1,Tabla[#All],8,0),0)</f>
        <v/>
      </c>
      <c r="T3132" s="26">
        <f>S3132*G3132</f>
        <v/>
      </c>
      <c r="U3132" s="26">
        <f>R3132-T3132</f>
        <v/>
      </c>
      <c r="V3132" s="26">
        <f>U3132-L3132</f>
        <v/>
      </c>
    </row>
    <row r="3133">
      <c r="A3133" s="11" t="n">
        <v>46233</v>
      </c>
      <c r="B3133" s="1" t="n">
        <v>20079</v>
      </c>
      <c r="C3133" s="1" t="inlineStr">
        <is>
          <t>051</t>
        </is>
      </c>
      <c r="D3133" s="1" t="inlineStr">
        <is>
          <t>237645</t>
        </is>
      </c>
      <c r="E3133" s="1" t="inlineStr">
        <is>
          <t xml:space="preserve">35685068       </t>
        </is>
      </c>
      <c r="F3133" s="5" t="inlineStr">
        <is>
          <t>BARBIE FASHION SET 3 EN 1</t>
        </is>
      </c>
      <c r="G3133" t="n">
        <v>1</v>
      </c>
      <c r="H3133" s="7" t="n">
        <v>49.9</v>
      </c>
      <c r="I3133" s="7" t="n">
        <v>0</v>
      </c>
      <c r="J3133" s="7" t="n">
        <v>0</v>
      </c>
      <c r="K3133" s="9" t="n">
        <v>0</v>
      </c>
      <c r="L3133" s="10" t="n">
        <v>29.6</v>
      </c>
      <c r="M3133" s="10" t="n">
        <v>1.43</v>
      </c>
      <c r="N3133" t="inlineStr">
        <is>
          <t>1</t>
        </is>
      </c>
      <c r="O3133" t="inlineStr">
        <is>
          <t>16</t>
        </is>
      </c>
      <c r="P3133" t="inlineStr">
        <is>
          <t xml:space="preserve">61558   </t>
        </is>
      </c>
      <c r="Q3133" s="26" t="n">
        <v>29.6</v>
      </c>
      <c r="R3133" s="26">
        <f>Q3133*G3133</f>
        <v/>
      </c>
      <c r="S3133" s="26">
        <f>IFERROR(VLOOKUP(E3133*1,Tabla[#All],8,0),0)</f>
        <v/>
      </c>
      <c r="T3133" s="26">
        <f>S3133*G3133</f>
        <v/>
      </c>
      <c r="U3133" s="26">
        <f>R3133-T3133</f>
        <v/>
      </c>
      <c r="V3133" s="26">
        <f>U3133-L3133</f>
        <v/>
      </c>
    </row>
    <row r="3134">
      <c r="A3134" s="11" t="n">
        <v>46233</v>
      </c>
      <c r="B3134" s="1" t="n">
        <v>20086</v>
      </c>
      <c r="C3134" s="1" t="inlineStr">
        <is>
          <t>192</t>
        </is>
      </c>
      <c r="D3134" s="1" t="inlineStr">
        <is>
          <t>129433</t>
        </is>
      </c>
      <c r="E3134" s="1" t="inlineStr">
        <is>
          <t xml:space="preserve">28194770       </t>
        </is>
      </c>
      <c r="F3134" s="5" t="inlineStr">
        <is>
          <t>AUTOS DE METAL 3 TEAMSTERZ EN BLISTER</t>
        </is>
      </c>
      <c r="G3134" t="n">
        <v>1</v>
      </c>
      <c r="H3134" s="7" t="n">
        <v>6.9</v>
      </c>
      <c r="I3134" s="7" t="n">
        <v>0</v>
      </c>
      <c r="J3134" s="7" t="n">
        <v>0</v>
      </c>
      <c r="K3134" s="9" t="n">
        <v>0</v>
      </c>
      <c r="L3134" s="10" t="n">
        <v>4.1</v>
      </c>
      <c r="M3134" s="10" t="n">
        <v>1.43</v>
      </c>
      <c r="N3134" t="inlineStr">
        <is>
          <t>1</t>
        </is>
      </c>
      <c r="O3134" t="inlineStr">
        <is>
          <t xml:space="preserve">2 </t>
        </is>
      </c>
      <c r="P3134" t="inlineStr">
        <is>
          <t xml:space="preserve">74619   </t>
        </is>
      </c>
      <c r="Q3134" s="26" t="n">
        <v>4.09</v>
      </c>
      <c r="R3134" s="26">
        <f>Q3134*G3134</f>
        <v/>
      </c>
      <c r="S3134" s="26">
        <f>IFERROR(VLOOKUP(E3134*1,Tabla[#All],8,0),0)</f>
        <v/>
      </c>
      <c r="T3134" s="26">
        <f>S3134*G3134</f>
        <v/>
      </c>
      <c r="U3134" s="26">
        <f>R3134-T3134</f>
        <v/>
      </c>
      <c r="V3134" s="26">
        <f>U3134-L3134</f>
        <v/>
      </c>
    </row>
    <row r="3135">
      <c r="A3135" s="11" t="n">
        <v>46233</v>
      </c>
      <c r="B3135" s="1" t="n">
        <v>20088</v>
      </c>
      <c r="C3135" s="1" t="inlineStr">
        <is>
          <t>018</t>
        </is>
      </c>
      <c r="D3135" s="1" t="inlineStr">
        <is>
          <t>168536</t>
        </is>
      </c>
      <c r="E3135" s="1" t="inlineStr">
        <is>
          <t xml:space="preserve">28194770       </t>
        </is>
      </c>
      <c r="F3135" s="5" t="inlineStr">
        <is>
          <t>AUTOS DE METAL 3 TEAMSTERZ EN BLISTER</t>
        </is>
      </c>
      <c r="G3135" t="n">
        <v>1</v>
      </c>
      <c r="H3135" s="7" t="n">
        <v>6.9</v>
      </c>
      <c r="I3135" s="7" t="n">
        <v>0</v>
      </c>
      <c r="J3135" s="7" t="n">
        <v>0</v>
      </c>
      <c r="K3135" s="9" t="n">
        <v>0</v>
      </c>
      <c r="L3135" s="10" t="n">
        <v>4.1</v>
      </c>
      <c r="M3135" s="10" t="n">
        <v>1.43</v>
      </c>
      <c r="N3135" t="inlineStr">
        <is>
          <t>1</t>
        </is>
      </c>
      <c r="O3135" t="inlineStr">
        <is>
          <t>16</t>
        </is>
      </c>
      <c r="P3135" t="inlineStr">
        <is>
          <t xml:space="preserve">232153  </t>
        </is>
      </c>
      <c r="Q3135" s="26" t="n">
        <v>4.09</v>
      </c>
      <c r="R3135" s="26">
        <f>Q3135*G3135</f>
        <v/>
      </c>
      <c r="S3135" s="26">
        <f>IFERROR(VLOOKUP(E3135*1,Tabla[#All],8,0),0)</f>
        <v/>
      </c>
      <c r="T3135" s="26">
        <f>S3135*G3135</f>
        <v/>
      </c>
      <c r="U3135" s="26">
        <f>R3135-T3135</f>
        <v/>
      </c>
      <c r="V3135" s="26">
        <f>U3135-L3135</f>
        <v/>
      </c>
    </row>
    <row r="3136">
      <c r="A3136" s="11" t="n">
        <v>46233</v>
      </c>
      <c r="B3136" s="1" t="n">
        <v>20088</v>
      </c>
      <c r="C3136" s="1" t="inlineStr">
        <is>
          <t>018</t>
        </is>
      </c>
      <c r="D3136" s="1" t="inlineStr">
        <is>
          <t>168536</t>
        </is>
      </c>
      <c r="E3136" s="1" t="inlineStr">
        <is>
          <t xml:space="preserve">28194770       </t>
        </is>
      </c>
      <c r="F3136" s="5" t="inlineStr">
        <is>
          <t>AUTOS DE METAL 3 TEAMSTERZ EN BLISTER</t>
        </is>
      </c>
      <c r="G3136" t="n">
        <v>1</v>
      </c>
      <c r="H3136" s="7" t="n">
        <v>6.9</v>
      </c>
      <c r="I3136" s="7" t="n">
        <v>0</v>
      </c>
      <c r="J3136" s="7" t="n">
        <v>0</v>
      </c>
      <c r="K3136" s="9" t="n">
        <v>0</v>
      </c>
      <c r="L3136" s="10" t="n">
        <v>4.1</v>
      </c>
      <c r="M3136" s="10" t="n">
        <v>1.43</v>
      </c>
      <c r="N3136" t="inlineStr">
        <is>
          <t>1</t>
        </is>
      </c>
      <c r="O3136" t="inlineStr">
        <is>
          <t>16</t>
        </is>
      </c>
      <c r="P3136" t="inlineStr">
        <is>
          <t xml:space="preserve">232153  </t>
        </is>
      </c>
      <c r="Q3136" s="26" t="n">
        <v>4.09</v>
      </c>
      <c r="R3136" s="26">
        <f>Q3136*G3136</f>
        <v/>
      </c>
      <c r="S3136" s="26">
        <f>IFERROR(VLOOKUP(E3136*1,Tabla[#All],8,0),0)</f>
        <v/>
      </c>
      <c r="T3136" s="26">
        <f>S3136*G3136</f>
        <v/>
      </c>
      <c r="U3136" s="26">
        <f>R3136-T3136</f>
        <v/>
      </c>
      <c r="V3136" s="26">
        <f>U3136-L3136</f>
        <v/>
      </c>
    </row>
    <row r="3137">
      <c r="A3137" s="11" t="n">
        <v>46233</v>
      </c>
      <c r="B3137" s="1" t="n">
        <v>20088</v>
      </c>
      <c r="C3137" s="1" t="inlineStr">
        <is>
          <t>021</t>
        </is>
      </c>
      <c r="D3137" s="1" t="inlineStr">
        <is>
          <t xml:space="preserve">50612 </t>
        </is>
      </c>
      <c r="E3137" s="1" t="inlineStr">
        <is>
          <t xml:space="preserve">31675353       </t>
        </is>
      </c>
      <c r="F3137" s="5" t="inlineStr">
        <is>
          <t>NENUCO CON BIBERON Y SONAJERO</t>
        </is>
      </c>
      <c r="G3137" t="n">
        <v>1</v>
      </c>
      <c r="H3137" s="7" t="n">
        <v>59.9</v>
      </c>
      <c r="I3137" s="7" t="n">
        <v>0</v>
      </c>
      <c r="J3137" s="7" t="n">
        <v>0</v>
      </c>
      <c r="K3137" s="9" t="n">
        <v>0</v>
      </c>
      <c r="L3137" s="10" t="n">
        <v>35.53</v>
      </c>
      <c r="M3137" s="10" t="n">
        <v>1.43</v>
      </c>
      <c r="N3137" t="inlineStr">
        <is>
          <t>1</t>
        </is>
      </c>
      <c r="O3137" t="inlineStr">
        <is>
          <t>16</t>
        </is>
      </c>
      <c r="P3137" t="inlineStr">
        <is>
          <t xml:space="preserve">234665  </t>
        </is>
      </c>
      <c r="Q3137" s="26" t="n">
        <v>47.4</v>
      </c>
      <c r="R3137" s="26">
        <f>Q3137*G3137</f>
        <v/>
      </c>
      <c r="S3137" s="26">
        <f>IFERROR(VLOOKUP(E3137*1,Tabla[#All],8,0),0)</f>
        <v/>
      </c>
      <c r="T3137" s="26">
        <f>S3137*G3137</f>
        <v/>
      </c>
      <c r="U3137" s="26">
        <f>R3137-T3137</f>
        <v/>
      </c>
      <c r="V3137" s="26">
        <f>U3137-L3137</f>
        <v/>
      </c>
    </row>
    <row r="3138">
      <c r="A3138" s="11" t="n">
        <v>46233</v>
      </c>
      <c r="B3138" s="1" t="n">
        <v>20088</v>
      </c>
      <c r="C3138" s="1" t="inlineStr">
        <is>
          <t>021</t>
        </is>
      </c>
      <c r="D3138" s="1" t="inlineStr">
        <is>
          <t xml:space="preserve">50626 </t>
        </is>
      </c>
      <c r="E3138" s="1" t="inlineStr">
        <is>
          <t xml:space="preserve">28194769       </t>
        </is>
      </c>
      <c r="F3138" s="5" t="inlineStr">
        <is>
          <t>AUTOS DE METAL 3 TEAMSTERZ PACK DE 2</t>
        </is>
      </c>
      <c r="G3138" t="n">
        <v>1</v>
      </c>
      <c r="H3138" s="7" t="n">
        <v>13.8</v>
      </c>
      <c r="I3138" s="7" t="n">
        <v>0</v>
      </c>
      <c r="J3138" s="7" t="n">
        <v>0</v>
      </c>
      <c r="K3138" s="9" t="n">
        <v>0</v>
      </c>
      <c r="L3138" s="10" t="n">
        <v>8.18</v>
      </c>
      <c r="M3138" s="10" t="n">
        <v>1.43</v>
      </c>
      <c r="N3138" t="inlineStr">
        <is>
          <t>1</t>
        </is>
      </c>
      <c r="O3138" t="inlineStr">
        <is>
          <t xml:space="preserve">3 </t>
        </is>
      </c>
      <c r="P3138" t="inlineStr">
        <is>
          <t xml:space="preserve">234665  </t>
        </is>
      </c>
      <c r="Q3138" s="26" t="n">
        <v>8.19</v>
      </c>
      <c r="R3138" s="26">
        <f>Q3138*G3138</f>
        <v/>
      </c>
      <c r="S3138" s="26">
        <f>IFERROR(VLOOKUP(E3138*1,Tabla[#All],8,0),0)</f>
        <v/>
      </c>
      <c r="T3138" s="26">
        <f>S3138*G3138</f>
        <v/>
      </c>
      <c r="U3138" s="26">
        <f>R3138-T3138</f>
        <v/>
      </c>
      <c r="V3138" s="26">
        <f>U3138-L3138</f>
        <v/>
      </c>
    </row>
    <row r="3139">
      <c r="A3139" s="11" t="n">
        <v>46233</v>
      </c>
      <c r="B3139" s="1" t="n">
        <v>20089</v>
      </c>
      <c r="C3139" s="1" t="inlineStr">
        <is>
          <t>025</t>
        </is>
      </c>
      <c r="D3139" s="1" t="inlineStr">
        <is>
          <t>122840</t>
        </is>
      </c>
      <c r="E3139" s="1" t="inlineStr">
        <is>
          <t xml:space="preserve">30141766       </t>
        </is>
      </c>
      <c r="F3139" s="5" t="inlineStr">
        <is>
          <t>TMZ BEAST MACHINES AUTOS DE METAL BLISTER X 1</t>
        </is>
      </c>
      <c r="G3139" t="n">
        <v>1</v>
      </c>
      <c r="H3139" s="7" t="n">
        <v>7.9</v>
      </c>
      <c r="I3139" s="7" t="n">
        <v>0</v>
      </c>
      <c r="J3139" s="7" t="n">
        <v>0</v>
      </c>
      <c r="K3139" s="9" t="n">
        <v>0</v>
      </c>
      <c r="L3139" s="10" t="n">
        <v>4.68</v>
      </c>
      <c r="M3139" s="10" t="n">
        <v>1.43</v>
      </c>
      <c r="N3139" t="inlineStr">
        <is>
          <t>1</t>
        </is>
      </c>
      <c r="O3139" t="inlineStr">
        <is>
          <t xml:space="preserve">2 </t>
        </is>
      </c>
      <c r="P3139" t="inlineStr">
        <is>
          <t xml:space="preserve">82992   </t>
        </is>
      </c>
      <c r="Q3139" s="26" t="n">
        <v>4.69</v>
      </c>
      <c r="R3139" s="26">
        <f>Q3139*G3139</f>
        <v/>
      </c>
      <c r="S3139" s="26">
        <f>IFERROR(VLOOKUP(E3139*1,Tabla[#All],8,0),0)</f>
        <v/>
      </c>
      <c r="T3139" s="26">
        <f>S3139*G3139</f>
        <v/>
      </c>
      <c r="U3139" s="26">
        <f>R3139-T3139</f>
        <v/>
      </c>
      <c r="V3139" s="26">
        <f>U3139-L3139</f>
        <v/>
      </c>
    </row>
    <row r="3140">
      <c r="A3140" s="11" t="n">
        <v>46233</v>
      </c>
      <c r="B3140" s="1" t="n">
        <v>20089</v>
      </c>
      <c r="C3140" s="1" t="inlineStr">
        <is>
          <t>025</t>
        </is>
      </c>
      <c r="D3140" s="1" t="inlineStr">
        <is>
          <t>122840</t>
        </is>
      </c>
      <c r="E3140" s="1" t="inlineStr">
        <is>
          <t xml:space="preserve">30141766       </t>
        </is>
      </c>
      <c r="F3140" s="5" t="inlineStr">
        <is>
          <t>TMZ BEAST MACHINES AUTOS DE METAL BLISTER X 1</t>
        </is>
      </c>
      <c r="G3140" t="n">
        <v>1</v>
      </c>
      <c r="H3140" s="7" t="n">
        <v>7.9</v>
      </c>
      <c r="I3140" s="7" t="n">
        <v>0</v>
      </c>
      <c r="J3140" s="7" t="n">
        <v>0</v>
      </c>
      <c r="K3140" s="9" t="n">
        <v>0</v>
      </c>
      <c r="L3140" s="10" t="n">
        <v>4.68</v>
      </c>
      <c r="M3140" s="10" t="n">
        <v>1.43</v>
      </c>
      <c r="N3140" t="inlineStr">
        <is>
          <t>1</t>
        </is>
      </c>
      <c r="O3140" t="inlineStr">
        <is>
          <t xml:space="preserve">2 </t>
        </is>
      </c>
      <c r="P3140" t="inlineStr">
        <is>
          <t xml:space="preserve">82992   </t>
        </is>
      </c>
      <c r="Q3140" s="26" t="n">
        <v>4.69</v>
      </c>
      <c r="R3140" s="26">
        <f>Q3140*G3140</f>
        <v/>
      </c>
      <c r="S3140" s="26">
        <f>IFERROR(VLOOKUP(E3140*1,Tabla[#All],8,0),0)</f>
        <v/>
      </c>
      <c r="T3140" s="26">
        <f>S3140*G3140</f>
        <v/>
      </c>
      <c r="U3140" s="26">
        <f>R3140-T3140</f>
        <v/>
      </c>
      <c r="V3140" s="26">
        <f>U3140-L3140</f>
        <v/>
      </c>
    </row>
    <row r="3141">
      <c r="A3141" s="11" t="n">
        <v>46233</v>
      </c>
      <c r="B3141" s="1" t="n">
        <v>20089</v>
      </c>
      <c r="C3141" s="1" t="inlineStr">
        <is>
          <t>025</t>
        </is>
      </c>
      <c r="D3141" s="1" t="inlineStr">
        <is>
          <t>122840</t>
        </is>
      </c>
      <c r="E3141" s="1" t="inlineStr">
        <is>
          <t xml:space="preserve">30141766       </t>
        </is>
      </c>
      <c r="F3141" s="5" t="inlineStr">
        <is>
          <t>TMZ BEAST MACHINES AUTOS DE METAL BLISTER X 1</t>
        </is>
      </c>
      <c r="G3141" t="n">
        <v>1</v>
      </c>
      <c r="H3141" s="7" t="n">
        <v>7.9</v>
      </c>
      <c r="I3141" s="7" t="n">
        <v>0</v>
      </c>
      <c r="J3141" s="7" t="n">
        <v>0</v>
      </c>
      <c r="K3141" s="9" t="n">
        <v>0</v>
      </c>
      <c r="L3141" s="10" t="n">
        <v>4.68</v>
      </c>
      <c r="M3141" s="10" t="n">
        <v>1.43</v>
      </c>
      <c r="N3141" t="inlineStr">
        <is>
          <t>1</t>
        </is>
      </c>
      <c r="O3141" t="inlineStr">
        <is>
          <t xml:space="preserve">2 </t>
        </is>
      </c>
      <c r="P3141" t="inlineStr">
        <is>
          <t xml:space="preserve">82992   </t>
        </is>
      </c>
      <c r="Q3141" s="26" t="n">
        <v>4.69</v>
      </c>
      <c r="R3141" s="26">
        <f>Q3141*G3141</f>
        <v/>
      </c>
      <c r="S3141" s="26">
        <f>IFERROR(VLOOKUP(E3141*1,Tabla[#All],8,0),0)</f>
        <v/>
      </c>
      <c r="T3141" s="26">
        <f>S3141*G3141</f>
        <v/>
      </c>
      <c r="U3141" s="26">
        <f>R3141-T3141</f>
        <v/>
      </c>
      <c r="V3141" s="26">
        <f>U3141-L3141</f>
        <v/>
      </c>
    </row>
    <row r="3142">
      <c r="A3142" s="11" t="n">
        <v>46233</v>
      </c>
      <c r="B3142" s="1" t="n">
        <v>20089</v>
      </c>
      <c r="C3142" s="1" t="inlineStr">
        <is>
          <t>025</t>
        </is>
      </c>
      <c r="D3142" s="1" t="inlineStr">
        <is>
          <t>122866</t>
        </is>
      </c>
      <c r="E3142" s="1" t="inlineStr">
        <is>
          <t xml:space="preserve">30141766       </t>
        </is>
      </c>
      <c r="F3142" s="5" t="inlineStr">
        <is>
          <t>TMZ BEAST MACHINES AUTOS DE METAL BLISTER X 1</t>
        </is>
      </c>
      <c r="G3142" t="n">
        <v>1</v>
      </c>
      <c r="H3142" s="7" t="n">
        <v>7.9</v>
      </c>
      <c r="I3142" s="7" t="n">
        <v>0</v>
      </c>
      <c r="J3142" s="7" t="n">
        <v>0</v>
      </c>
      <c r="K3142" s="9" t="n">
        <v>0</v>
      </c>
      <c r="L3142" s="10" t="n">
        <v>4.68</v>
      </c>
      <c r="M3142" s="10" t="n">
        <v>1.43</v>
      </c>
      <c r="N3142" t="inlineStr">
        <is>
          <t>1</t>
        </is>
      </c>
      <c r="O3142" t="inlineStr">
        <is>
          <t>16</t>
        </is>
      </c>
      <c r="P3142" t="inlineStr">
        <is>
          <t xml:space="preserve">82992   </t>
        </is>
      </c>
      <c r="Q3142" s="26" t="n">
        <v>4.69</v>
      </c>
      <c r="R3142" s="26">
        <f>Q3142*G3142</f>
        <v/>
      </c>
      <c r="S3142" s="26">
        <f>IFERROR(VLOOKUP(E3142*1,Tabla[#All],8,0),0)</f>
        <v/>
      </c>
      <c r="T3142" s="26">
        <f>S3142*G3142</f>
        <v/>
      </c>
      <c r="U3142" s="26">
        <f>R3142-T3142</f>
        <v/>
      </c>
      <c r="V3142" s="26">
        <f>U3142-L3142</f>
        <v/>
      </c>
    </row>
    <row r="3143">
      <c r="A3143" s="11" t="n">
        <v>46233</v>
      </c>
      <c r="B3143" s="1" t="n">
        <v>20089</v>
      </c>
      <c r="C3143" s="1" t="inlineStr">
        <is>
          <t>027</t>
        </is>
      </c>
      <c r="D3143" s="1" t="inlineStr">
        <is>
          <t xml:space="preserve">16543 </t>
        </is>
      </c>
      <c r="E3143" s="1" t="inlineStr">
        <is>
          <t xml:space="preserve">28194770       </t>
        </is>
      </c>
      <c r="F3143" s="5" t="inlineStr">
        <is>
          <t>AUTOS DE METAL 3 TEAMSTERZ EN BLISTER</t>
        </is>
      </c>
      <c r="G3143" t="n">
        <v>1</v>
      </c>
      <c r="H3143" s="7" t="n">
        <v>6.9</v>
      </c>
      <c r="I3143" s="7" t="n">
        <v>0</v>
      </c>
      <c r="J3143" s="7" t="n">
        <v>0</v>
      </c>
      <c r="K3143" s="9" t="n">
        <v>0</v>
      </c>
      <c r="L3143" s="10" t="n">
        <v>4.1</v>
      </c>
      <c r="M3143" s="10" t="n">
        <v>1.43</v>
      </c>
      <c r="N3143" t="inlineStr">
        <is>
          <t>1</t>
        </is>
      </c>
      <c r="O3143" t="inlineStr">
        <is>
          <t>16</t>
        </is>
      </c>
      <c r="P3143" t="inlineStr">
        <is>
          <t xml:space="preserve">249671  </t>
        </is>
      </c>
      <c r="Q3143" s="26" t="n">
        <v>4.09</v>
      </c>
      <c r="R3143" s="26">
        <f>Q3143*G3143</f>
        <v/>
      </c>
      <c r="S3143" s="26">
        <f>IFERROR(VLOOKUP(E3143*1,Tabla[#All],8,0),0)</f>
        <v/>
      </c>
      <c r="T3143" s="26">
        <f>S3143*G3143</f>
        <v/>
      </c>
      <c r="U3143" s="26">
        <f>R3143-T3143</f>
        <v/>
      </c>
      <c r="V3143" s="26">
        <f>U3143-L3143</f>
        <v/>
      </c>
    </row>
    <row r="3144">
      <c r="A3144" s="11" t="n">
        <v>46233</v>
      </c>
      <c r="B3144" s="1" t="n">
        <v>20095</v>
      </c>
      <c r="C3144" s="1" t="inlineStr">
        <is>
          <t>043</t>
        </is>
      </c>
      <c r="D3144" s="1" t="inlineStr">
        <is>
          <t>109199</t>
        </is>
      </c>
      <c r="E3144" s="1" t="inlineStr">
        <is>
          <t xml:space="preserve">30141766       </t>
        </is>
      </c>
      <c r="F3144" s="5" t="inlineStr">
        <is>
          <t>TMZ BEAST MACHINES AUTOS DE METAL BLISTER X 1</t>
        </is>
      </c>
      <c r="G3144" t="n">
        <v>1</v>
      </c>
      <c r="H3144" s="7" t="n">
        <v>7.9</v>
      </c>
      <c r="I3144" s="7" t="n">
        <v>0</v>
      </c>
      <c r="J3144" s="7" t="n">
        <v>0</v>
      </c>
      <c r="K3144" s="9" t="n">
        <v>0</v>
      </c>
      <c r="L3144" s="10" t="n">
        <v>4.68</v>
      </c>
      <c r="M3144" s="10" t="n">
        <v>1.43</v>
      </c>
      <c r="N3144" t="inlineStr">
        <is>
          <t>1</t>
        </is>
      </c>
      <c r="O3144" t="inlineStr">
        <is>
          <t xml:space="preserve">3 </t>
        </is>
      </c>
      <c r="P3144" t="inlineStr">
        <is>
          <t xml:space="preserve">57866   </t>
        </is>
      </c>
      <c r="Q3144" s="26" t="n">
        <v>4.69</v>
      </c>
      <c r="R3144" s="26">
        <f>Q3144*G3144</f>
        <v/>
      </c>
      <c r="S3144" s="26">
        <f>IFERROR(VLOOKUP(E3144*1,Tabla[#All],8,0),0)</f>
        <v/>
      </c>
      <c r="T3144" s="26">
        <f>S3144*G3144</f>
        <v/>
      </c>
      <c r="U3144" s="26">
        <f>R3144-T3144</f>
        <v/>
      </c>
      <c r="V3144" s="26">
        <f>U3144-L3144</f>
        <v/>
      </c>
    </row>
    <row r="3145">
      <c r="A3145" s="11" t="n">
        <v>46233</v>
      </c>
      <c r="B3145" s="1" t="n">
        <v>20095</v>
      </c>
      <c r="C3145" s="1" t="inlineStr">
        <is>
          <t>043</t>
        </is>
      </c>
      <c r="D3145" s="1" t="inlineStr">
        <is>
          <t>109203</t>
        </is>
      </c>
      <c r="E3145" s="1" t="inlineStr">
        <is>
          <t xml:space="preserve">30141766       </t>
        </is>
      </c>
      <c r="F3145" s="5" t="inlineStr">
        <is>
          <t>TMZ BEAST MACHINES AUTOS DE METAL BLISTER X 1</t>
        </is>
      </c>
      <c r="G3145" t="n">
        <v>1</v>
      </c>
      <c r="H3145" s="7" t="n">
        <v>7.9</v>
      </c>
      <c r="I3145" s="7" t="n">
        <v>0</v>
      </c>
      <c r="J3145" s="7" t="n">
        <v>0</v>
      </c>
      <c r="K3145" s="9" t="n">
        <v>0</v>
      </c>
      <c r="L3145" s="10" t="n">
        <v>4.68</v>
      </c>
      <c r="M3145" s="10" t="n">
        <v>1.43</v>
      </c>
      <c r="N3145" t="inlineStr">
        <is>
          <t>1</t>
        </is>
      </c>
      <c r="O3145" t="inlineStr">
        <is>
          <t xml:space="preserve">2 </t>
        </is>
      </c>
      <c r="P3145" t="inlineStr">
        <is>
          <t xml:space="preserve">57866   </t>
        </is>
      </c>
      <c r="Q3145" s="26" t="n">
        <v>4.69</v>
      </c>
      <c r="R3145" s="26">
        <f>Q3145*G3145</f>
        <v/>
      </c>
      <c r="S3145" s="26">
        <f>IFERROR(VLOOKUP(E3145*1,Tabla[#All],8,0),0)</f>
        <v/>
      </c>
      <c r="T3145" s="26">
        <f>S3145*G3145</f>
        <v/>
      </c>
      <c r="U3145" s="26">
        <f>R3145-T3145</f>
        <v/>
      </c>
      <c r="V3145" s="26">
        <f>U3145-L3145</f>
        <v/>
      </c>
    </row>
    <row r="3146">
      <c r="A3146" s="11" t="n">
        <v>46234</v>
      </c>
      <c r="B3146" s="1" t="n">
        <v>20021</v>
      </c>
      <c r="C3146" s="1" t="inlineStr">
        <is>
          <t>055</t>
        </is>
      </c>
      <c r="D3146" s="1" t="inlineStr">
        <is>
          <t>156339</t>
        </is>
      </c>
      <c r="E3146" s="1" t="inlineStr">
        <is>
          <t xml:space="preserve">34840551       </t>
        </is>
      </c>
      <c r="F3146" s="5" t="inlineStr">
        <is>
          <t>TMZ HELI BOMBERO CON LUCES Y SONIDOS</t>
        </is>
      </c>
      <c r="G3146" t="n">
        <v>1</v>
      </c>
      <c r="H3146" s="7" t="n">
        <v>79.90000000000001</v>
      </c>
      <c r="I3146" s="7" t="n">
        <v>0</v>
      </c>
      <c r="J3146" s="7" t="n">
        <v>0</v>
      </c>
      <c r="K3146" s="9" t="n">
        <v>0</v>
      </c>
      <c r="L3146" s="10" t="n">
        <v>47.4</v>
      </c>
      <c r="M3146" s="10" t="n">
        <v>1.43</v>
      </c>
      <c r="N3146" t="inlineStr">
        <is>
          <t>1</t>
        </is>
      </c>
      <c r="O3146" t="inlineStr">
        <is>
          <t xml:space="preserve">6 </t>
        </is>
      </c>
      <c r="P3146" t="inlineStr">
        <is>
          <t xml:space="preserve">12097   </t>
        </is>
      </c>
      <c r="Q3146" s="26" t="n">
        <v>47.4</v>
      </c>
      <c r="R3146" s="26">
        <f>Q3146*G3146</f>
        <v/>
      </c>
      <c r="S3146" s="26">
        <f>IFERROR(VLOOKUP(E3146*1,Tabla[#All],8,0),0)</f>
        <v/>
      </c>
      <c r="T3146" s="26">
        <f>S3146*G3146</f>
        <v/>
      </c>
      <c r="U3146" s="26">
        <f>R3146-T3146</f>
        <v/>
      </c>
      <c r="V3146" s="26">
        <f>U3146-L3146</f>
        <v/>
      </c>
    </row>
    <row r="3147">
      <c r="A3147" s="11" t="n">
        <v>46234</v>
      </c>
      <c r="B3147" s="1" t="n">
        <v>20021</v>
      </c>
      <c r="C3147" s="1" t="inlineStr">
        <is>
          <t>065</t>
        </is>
      </c>
      <c r="D3147" s="1" t="inlineStr">
        <is>
          <t>174836</t>
        </is>
      </c>
      <c r="E3147" s="1" t="inlineStr">
        <is>
          <t xml:space="preserve">28194770       </t>
        </is>
      </c>
      <c r="F3147" s="5" t="inlineStr">
        <is>
          <t>AUTOS DE METAL 3 TEAMSTERZ EN BLISTER</t>
        </is>
      </c>
      <c r="G3147" t="n">
        <v>1</v>
      </c>
      <c r="H3147" s="7" t="n">
        <v>6.9</v>
      </c>
      <c r="I3147" s="7" t="n">
        <v>0</v>
      </c>
      <c r="J3147" s="7" t="n">
        <v>0</v>
      </c>
      <c r="K3147" s="9" t="n">
        <v>0</v>
      </c>
      <c r="L3147" s="10" t="n">
        <v>4.1</v>
      </c>
      <c r="M3147" s="10" t="n">
        <v>1.43</v>
      </c>
      <c r="N3147" t="inlineStr">
        <is>
          <t>1</t>
        </is>
      </c>
      <c r="O3147" t="inlineStr">
        <is>
          <t xml:space="preserve">2 </t>
        </is>
      </c>
      <c r="P3147" t="inlineStr">
        <is>
          <t xml:space="preserve">243175  </t>
        </is>
      </c>
      <c r="Q3147" s="26" t="n">
        <v>4.09</v>
      </c>
      <c r="R3147" s="26">
        <f>Q3147*G3147</f>
        <v/>
      </c>
      <c r="S3147" s="26">
        <f>IFERROR(VLOOKUP(E3147*1,Tabla[#All],8,0),0)</f>
        <v/>
      </c>
      <c r="T3147" s="26">
        <f>S3147*G3147</f>
        <v/>
      </c>
      <c r="U3147" s="26">
        <f>R3147-T3147</f>
        <v/>
      </c>
      <c r="V3147" s="26">
        <f>U3147-L3147</f>
        <v/>
      </c>
    </row>
    <row r="3148">
      <c r="A3148" s="11" t="n">
        <v>46234</v>
      </c>
      <c r="B3148" s="1" t="n">
        <v>20021</v>
      </c>
      <c r="C3148" s="1" t="inlineStr">
        <is>
          <t>078</t>
        </is>
      </c>
      <c r="D3148" s="1" t="inlineStr">
        <is>
          <t>102266</t>
        </is>
      </c>
      <c r="E3148" s="1" t="inlineStr">
        <is>
          <t xml:space="preserve">33661538       </t>
        </is>
      </c>
      <c r="F3148" s="5" t="inlineStr">
        <is>
          <t>HOT WHEELS CASE GARAGE RUEDA METAL EN LLAMAS X 29</t>
        </is>
      </c>
      <c r="G3148" t="n">
        <v>1</v>
      </c>
      <c r="H3148" s="7" t="n">
        <v>69.90000000000001</v>
      </c>
      <c r="I3148" s="7" t="n">
        <v>0</v>
      </c>
      <c r="J3148" s="7" t="n">
        <v>0</v>
      </c>
      <c r="K3148" s="9" t="n">
        <v>0</v>
      </c>
      <c r="L3148" s="10" t="n">
        <v>41.47</v>
      </c>
      <c r="M3148" s="10" t="n">
        <v>1.43</v>
      </c>
      <c r="N3148" t="inlineStr">
        <is>
          <t>1</t>
        </is>
      </c>
      <c r="O3148" t="inlineStr">
        <is>
          <t>16</t>
        </is>
      </c>
      <c r="P3148" t="inlineStr">
        <is>
          <t xml:space="preserve">42152   </t>
        </is>
      </c>
      <c r="Q3148" s="26" t="n">
        <v>41.47</v>
      </c>
      <c r="R3148" s="26">
        <f>Q3148*G3148</f>
        <v/>
      </c>
      <c r="S3148" s="26">
        <f>IFERROR(VLOOKUP(E3148*1,Tabla[#All],8,0),0)</f>
        <v/>
      </c>
      <c r="T3148" s="26">
        <f>S3148*G3148</f>
        <v/>
      </c>
      <c r="U3148" s="26">
        <f>R3148-T3148</f>
        <v/>
      </c>
      <c r="V3148" s="26">
        <f>U3148-L3148</f>
        <v/>
      </c>
    </row>
    <row r="3149">
      <c r="A3149" s="11" t="n">
        <v>46234</v>
      </c>
      <c r="B3149" s="1" t="n">
        <v>20024</v>
      </c>
      <c r="C3149" s="1" t="inlineStr">
        <is>
          <t>060</t>
        </is>
      </c>
      <c r="D3149" s="1" t="inlineStr">
        <is>
          <t xml:space="preserve">98378 </t>
        </is>
      </c>
      <c r="E3149" s="1" t="inlineStr">
        <is>
          <t xml:space="preserve">32457111       </t>
        </is>
      </c>
      <c r="F3149" s="5" t="inlineStr">
        <is>
          <t>TMZ BEAST MACHINES MONSTER JAWS A FRICCION PACK DE</t>
        </is>
      </c>
      <c r="G3149" t="n">
        <v>1</v>
      </c>
      <c r="H3149" s="7" t="n">
        <v>54.9</v>
      </c>
      <c r="I3149" s="7" t="n">
        <v>0</v>
      </c>
      <c r="J3149" s="7" t="n">
        <v>0</v>
      </c>
      <c r="K3149" s="9" t="n">
        <v>0</v>
      </c>
      <c r="L3149" s="10" t="n">
        <v>32.57</v>
      </c>
      <c r="M3149" s="10" t="n">
        <v>1.43</v>
      </c>
      <c r="N3149" t="inlineStr">
        <is>
          <t>1</t>
        </is>
      </c>
      <c r="O3149" t="inlineStr">
        <is>
          <t xml:space="preserve">2 </t>
        </is>
      </c>
      <c r="P3149" t="inlineStr">
        <is>
          <t xml:space="preserve">47217   </t>
        </is>
      </c>
      <c r="Q3149" s="26" t="n">
        <v>44.43</v>
      </c>
      <c r="R3149" s="26">
        <f>Q3149*G3149</f>
        <v/>
      </c>
      <c r="S3149" s="26">
        <f>IFERROR(VLOOKUP(E3149*1,Tabla[#All],8,0),0)</f>
        <v/>
      </c>
      <c r="T3149" s="26">
        <f>S3149*G3149</f>
        <v/>
      </c>
      <c r="U3149" s="26">
        <f>R3149-T3149</f>
        <v/>
      </c>
      <c r="V3149" s="26">
        <f>U3149-L3149</f>
        <v/>
      </c>
    </row>
    <row r="3150">
      <c r="A3150" s="11" t="n">
        <v>46234</v>
      </c>
      <c r="B3150" s="1" t="n">
        <v>20024</v>
      </c>
      <c r="C3150" s="1" t="inlineStr">
        <is>
          <t>088</t>
        </is>
      </c>
      <c r="D3150" s="1" t="inlineStr">
        <is>
          <t xml:space="preserve">22785 </t>
        </is>
      </c>
      <c r="E3150" s="1" t="inlineStr">
        <is>
          <t xml:space="preserve">34840554       </t>
        </is>
      </c>
      <c r="F3150" s="5" t="inlineStr">
        <is>
          <t>TMZ AUTO LUZ Y SONIDO ESQUELET DINO TRICE</t>
        </is>
      </c>
      <c r="G3150" t="n">
        <v>1</v>
      </c>
      <c r="H3150" s="7" t="n">
        <v>79.90000000000001</v>
      </c>
      <c r="I3150" s="7" t="n">
        <v>0</v>
      </c>
      <c r="J3150" s="7" t="n">
        <v>0</v>
      </c>
      <c r="K3150" s="9" t="n">
        <v>0</v>
      </c>
      <c r="L3150" s="10" t="n">
        <v>47.4</v>
      </c>
      <c r="M3150" s="10" t="n">
        <v>1.43</v>
      </c>
      <c r="N3150" t="inlineStr">
        <is>
          <t>1</t>
        </is>
      </c>
      <c r="O3150" t="inlineStr">
        <is>
          <t>16</t>
        </is>
      </c>
      <c r="P3150" t="inlineStr">
        <is>
          <t xml:space="preserve">23463   </t>
        </is>
      </c>
      <c r="Q3150" s="26" t="n">
        <v>47.4</v>
      </c>
      <c r="R3150" s="26">
        <f>Q3150*G3150</f>
        <v/>
      </c>
      <c r="S3150" s="26">
        <f>IFERROR(VLOOKUP(E3150*1,Tabla[#All],8,0),0)</f>
        <v/>
      </c>
      <c r="T3150" s="26">
        <f>S3150*G3150</f>
        <v/>
      </c>
      <c r="U3150" s="26">
        <f>R3150-T3150</f>
        <v/>
      </c>
      <c r="V3150" s="26">
        <f>U3150-L3150</f>
        <v/>
      </c>
    </row>
    <row r="3151">
      <c r="A3151" s="11" t="n">
        <v>46234</v>
      </c>
      <c r="B3151" s="1" t="n">
        <v>20024</v>
      </c>
      <c r="C3151" s="1" t="inlineStr">
        <is>
          <t>088</t>
        </is>
      </c>
      <c r="D3151" s="1" t="inlineStr">
        <is>
          <t xml:space="preserve">22785 </t>
        </is>
      </c>
      <c r="E3151" s="1" t="inlineStr">
        <is>
          <t xml:space="preserve">34840556       </t>
        </is>
      </c>
      <c r="F3151" s="5" t="inlineStr">
        <is>
          <t>TMZ BEAST MACH. TRANSPORT DINO +ACCS</t>
        </is>
      </c>
      <c r="G3151" t="n">
        <v>1</v>
      </c>
      <c r="H3151" s="7" t="n">
        <v>59.9</v>
      </c>
      <c r="I3151" s="7" t="n">
        <v>0</v>
      </c>
      <c r="J3151" s="7" t="n">
        <v>0</v>
      </c>
      <c r="K3151" s="9" t="n">
        <v>0</v>
      </c>
      <c r="L3151" s="10" t="n">
        <v>35.53</v>
      </c>
      <c r="M3151" s="10" t="n">
        <v>1.43</v>
      </c>
      <c r="N3151" t="inlineStr">
        <is>
          <t>1</t>
        </is>
      </c>
      <c r="O3151" t="inlineStr">
        <is>
          <t>16</t>
        </is>
      </c>
      <c r="P3151" t="inlineStr">
        <is>
          <t xml:space="preserve">23463   </t>
        </is>
      </c>
      <c r="Q3151" s="26" t="n">
        <v>47.4</v>
      </c>
      <c r="R3151" s="26">
        <f>Q3151*G3151</f>
        <v/>
      </c>
      <c r="S3151" s="26">
        <f>IFERROR(VLOOKUP(E3151*1,Tabla[#All],8,0),0)</f>
        <v/>
      </c>
      <c r="T3151" s="26">
        <f>S3151*G3151</f>
        <v/>
      </c>
      <c r="U3151" s="26">
        <f>R3151-T3151</f>
        <v/>
      </c>
      <c r="V3151" s="26">
        <f>U3151-L3151</f>
        <v/>
      </c>
    </row>
    <row r="3152">
      <c r="A3152" s="11" t="n">
        <v>46234</v>
      </c>
      <c r="B3152" s="1" t="n">
        <v>20024</v>
      </c>
      <c r="C3152" s="1" t="inlineStr">
        <is>
          <t>088</t>
        </is>
      </c>
      <c r="D3152" s="1" t="inlineStr">
        <is>
          <t xml:space="preserve">22796 </t>
        </is>
      </c>
      <c r="E3152" s="1" t="inlineStr">
        <is>
          <t xml:space="preserve">28194769       </t>
        </is>
      </c>
      <c r="F3152" s="5" t="inlineStr">
        <is>
          <t>AUTOS DE METAL 3 TEAMSTERZ PACK DE 2</t>
        </is>
      </c>
      <c r="G3152" t="n">
        <v>1</v>
      </c>
      <c r="H3152" s="7" t="n">
        <v>13.8</v>
      </c>
      <c r="I3152" s="7" t="n">
        <v>0</v>
      </c>
      <c r="J3152" s="7" t="n">
        <v>0</v>
      </c>
      <c r="K3152" s="9" t="n">
        <v>0</v>
      </c>
      <c r="L3152" s="10" t="n">
        <v>8.18</v>
      </c>
      <c r="M3152" s="10" t="n">
        <v>1.43</v>
      </c>
      <c r="N3152" t="inlineStr">
        <is>
          <t>1</t>
        </is>
      </c>
      <c r="O3152" t="inlineStr">
        <is>
          <t xml:space="preserve">2 </t>
        </is>
      </c>
      <c r="P3152" t="inlineStr">
        <is>
          <t xml:space="preserve">23463   </t>
        </is>
      </c>
      <c r="Q3152" s="26" t="n">
        <v>8.19</v>
      </c>
      <c r="R3152" s="26">
        <f>Q3152*G3152</f>
        <v/>
      </c>
      <c r="S3152" s="26">
        <f>IFERROR(VLOOKUP(E3152*1,Tabla[#All],8,0),0)</f>
        <v/>
      </c>
      <c r="T3152" s="26">
        <f>S3152*G3152</f>
        <v/>
      </c>
      <c r="U3152" s="26">
        <f>R3152-T3152</f>
        <v/>
      </c>
      <c r="V3152" s="26">
        <f>U3152-L3152</f>
        <v/>
      </c>
    </row>
    <row r="3153">
      <c r="A3153" s="11" t="n">
        <v>46234</v>
      </c>
      <c r="B3153" s="1" t="n">
        <v>20024</v>
      </c>
      <c r="C3153" s="1" t="inlineStr">
        <is>
          <t>802</t>
        </is>
      </c>
      <c r="D3153" s="1" t="inlineStr">
        <is>
          <t xml:space="preserve">650   </t>
        </is>
      </c>
      <c r="E3153" s="1" t="inlineStr">
        <is>
          <t xml:space="preserve">34840526       </t>
        </is>
      </c>
      <c r="F3153" s="5" t="inlineStr">
        <is>
          <t>NENUCO ABRACITOS</t>
        </is>
      </c>
      <c r="G3153" t="n">
        <v>1</v>
      </c>
      <c r="H3153" s="7" t="n">
        <v>89.90000000000001</v>
      </c>
      <c r="I3153" s="7" t="n">
        <v>0</v>
      </c>
      <c r="J3153" s="7" t="n">
        <v>0</v>
      </c>
      <c r="K3153" s="9" t="n">
        <v>0</v>
      </c>
      <c r="L3153" s="10" t="n">
        <v>53.33</v>
      </c>
      <c r="M3153" s="10" t="n">
        <v>1.43</v>
      </c>
      <c r="N3153" t="inlineStr">
        <is>
          <t>1</t>
        </is>
      </c>
      <c r="O3153" t="inlineStr">
        <is>
          <t>16</t>
        </is>
      </c>
      <c r="P3153" t="inlineStr">
        <is>
          <t xml:space="preserve">0       </t>
        </is>
      </c>
      <c r="Q3153" s="26" t="n">
        <v>70.59</v>
      </c>
      <c r="R3153" s="26">
        <f>Q3153*G3153</f>
        <v/>
      </c>
      <c r="S3153" s="26">
        <f>IFERROR(VLOOKUP(E3153*1,Tabla[#All],8,0),0)</f>
        <v/>
      </c>
      <c r="T3153" s="26">
        <f>S3153*G3153</f>
        <v/>
      </c>
      <c r="U3153" s="26">
        <f>R3153-T3153</f>
        <v/>
      </c>
      <c r="V3153" s="26">
        <f>U3153-L3153</f>
        <v/>
      </c>
    </row>
    <row r="3154">
      <c r="A3154" s="11" t="n">
        <v>46234</v>
      </c>
      <c r="B3154" s="1" t="n">
        <v>20025</v>
      </c>
      <c r="C3154" s="1" t="inlineStr">
        <is>
          <t>048</t>
        </is>
      </c>
      <c r="D3154" s="1" t="inlineStr">
        <is>
          <t>189889</t>
        </is>
      </c>
      <c r="E3154" s="1" t="inlineStr">
        <is>
          <t xml:space="preserve">28194770       </t>
        </is>
      </c>
      <c r="F3154" s="5" t="inlineStr">
        <is>
          <t>AUTOS DE METAL 3 TEAMSTERZ EN BLISTER</t>
        </is>
      </c>
      <c r="G3154" t="n">
        <v>1</v>
      </c>
      <c r="H3154" s="7" t="n">
        <v>6.9</v>
      </c>
      <c r="I3154" s="7" t="n">
        <v>0</v>
      </c>
      <c r="J3154" s="7" t="n">
        <v>0</v>
      </c>
      <c r="K3154" s="9" t="n">
        <v>0</v>
      </c>
      <c r="L3154" s="10" t="n">
        <v>4.1</v>
      </c>
      <c r="M3154" s="10" t="n">
        <v>1.43</v>
      </c>
      <c r="N3154" t="inlineStr">
        <is>
          <t>1</t>
        </is>
      </c>
      <c r="O3154" t="inlineStr">
        <is>
          <t>16</t>
        </is>
      </c>
      <c r="P3154" t="inlineStr">
        <is>
          <t xml:space="preserve">57293   </t>
        </is>
      </c>
      <c r="Q3154" s="26" t="n">
        <v>4.09</v>
      </c>
      <c r="R3154" s="26">
        <f>Q3154*G3154</f>
        <v/>
      </c>
      <c r="S3154" s="26">
        <f>IFERROR(VLOOKUP(E3154*1,Tabla[#All],8,0),0)</f>
        <v/>
      </c>
      <c r="T3154" s="26">
        <f>S3154*G3154</f>
        <v/>
      </c>
      <c r="U3154" s="26">
        <f>R3154-T3154</f>
        <v/>
      </c>
      <c r="V3154" s="26">
        <f>U3154-L3154</f>
        <v/>
      </c>
    </row>
    <row r="3155">
      <c r="A3155" s="11" t="n">
        <v>46234</v>
      </c>
      <c r="B3155" s="1" t="n">
        <v>20025</v>
      </c>
      <c r="C3155" s="1" t="inlineStr">
        <is>
          <t>073</t>
        </is>
      </c>
      <c r="D3155" s="1" t="inlineStr">
        <is>
          <t xml:space="preserve">23870 </t>
        </is>
      </c>
      <c r="E3155" s="1" t="inlineStr">
        <is>
          <t xml:space="preserve">34840550       </t>
        </is>
      </c>
      <c r="F3155" s="5" t="inlineStr">
        <is>
          <t>TEAMSTERZ M/MOVERZ TRANSPORTA GORILA</t>
        </is>
      </c>
      <c r="G3155" t="n">
        <v>1</v>
      </c>
      <c r="H3155" s="7" t="n">
        <v>129</v>
      </c>
      <c r="I3155" s="7" t="n">
        <v>0</v>
      </c>
      <c r="J3155" s="7" t="n">
        <v>0</v>
      </c>
      <c r="K3155" s="9" t="n">
        <v>0</v>
      </c>
      <c r="L3155" s="10" t="n">
        <v>76.52</v>
      </c>
      <c r="M3155" s="10" t="n">
        <v>1.43</v>
      </c>
      <c r="N3155" t="inlineStr">
        <is>
          <t>1</t>
        </is>
      </c>
      <c r="O3155" t="inlineStr">
        <is>
          <t>16</t>
        </is>
      </c>
      <c r="P3155" t="inlineStr">
        <is>
          <t xml:space="preserve">70760   </t>
        </is>
      </c>
      <c r="Q3155" s="26" t="n">
        <v>76.53</v>
      </c>
      <c r="R3155" s="26">
        <f>Q3155*G3155</f>
        <v/>
      </c>
      <c r="S3155" s="26">
        <f>IFERROR(VLOOKUP(E3155*1,Tabla[#All],8,0),0)</f>
        <v/>
      </c>
      <c r="T3155" s="26">
        <f>S3155*G3155</f>
        <v/>
      </c>
      <c r="U3155" s="26">
        <f>R3155-T3155</f>
        <v/>
      </c>
      <c r="V3155" s="26">
        <f>U3155-L3155</f>
        <v/>
      </c>
    </row>
    <row r="3156">
      <c r="A3156" s="11" t="n">
        <v>46234</v>
      </c>
      <c r="B3156" s="1" t="n">
        <v>20025</v>
      </c>
      <c r="C3156" s="1" t="inlineStr">
        <is>
          <t>076</t>
        </is>
      </c>
      <c r="D3156" s="1" t="inlineStr">
        <is>
          <t>148828</t>
        </is>
      </c>
      <c r="E3156" s="1" t="inlineStr">
        <is>
          <t xml:space="preserve">32457103       </t>
        </is>
      </c>
      <c r="F3156" s="5" t="inlineStr">
        <is>
          <t>TMZ BEAST MACHINES MONSTER JAWS A FRICCION PACK DE</t>
        </is>
      </c>
      <c r="G3156" t="n">
        <v>1</v>
      </c>
      <c r="H3156" s="7" t="n">
        <v>32.9</v>
      </c>
      <c r="I3156" s="7" t="n">
        <v>0</v>
      </c>
      <c r="J3156" s="7" t="n">
        <v>0</v>
      </c>
      <c r="K3156" s="9" t="n">
        <v>0</v>
      </c>
      <c r="L3156" s="10" t="n">
        <v>19.52</v>
      </c>
      <c r="M3156" s="10" t="n">
        <v>1.43</v>
      </c>
      <c r="N3156" t="inlineStr">
        <is>
          <t>1</t>
        </is>
      </c>
      <c r="O3156" t="inlineStr">
        <is>
          <t xml:space="preserve">6 </t>
        </is>
      </c>
      <c r="P3156" t="inlineStr">
        <is>
          <t xml:space="preserve">248971  </t>
        </is>
      </c>
      <c r="Q3156" s="26" t="n">
        <v>22.48</v>
      </c>
      <c r="R3156" s="26">
        <f>Q3156*G3156</f>
        <v/>
      </c>
      <c r="S3156" s="26">
        <f>IFERROR(VLOOKUP(E3156*1,Tabla[#All],8,0),0)</f>
        <v/>
      </c>
      <c r="T3156" s="26">
        <f>S3156*G3156</f>
        <v/>
      </c>
      <c r="U3156" s="26">
        <f>R3156-T3156</f>
        <v/>
      </c>
      <c r="V3156" s="26">
        <f>U3156-L3156</f>
        <v/>
      </c>
    </row>
    <row r="3157">
      <c r="A3157" s="11" t="n">
        <v>46234</v>
      </c>
      <c r="B3157" s="1" t="n">
        <v>20028</v>
      </c>
      <c r="C3157" s="1" t="inlineStr">
        <is>
          <t>011</t>
        </is>
      </c>
      <c r="D3157" s="1" t="inlineStr">
        <is>
          <t xml:space="preserve">1574  </t>
        </is>
      </c>
      <c r="E3157" s="1" t="inlineStr">
        <is>
          <t xml:space="preserve">28194770       </t>
        </is>
      </c>
      <c r="F3157" s="5" t="inlineStr">
        <is>
          <t>AUTOS DE METAL 3 TEAMSTERZ EN BLISTER</t>
        </is>
      </c>
      <c r="G3157" t="n">
        <v>-1</v>
      </c>
      <c r="H3157" s="7" t="n">
        <v>-6.9</v>
      </c>
      <c r="I3157" s="7" t="n">
        <v>0</v>
      </c>
      <c r="J3157" s="7" t="n">
        <v>0</v>
      </c>
      <c r="K3157" s="9" t="n">
        <v>0</v>
      </c>
      <c r="L3157" s="10" t="n">
        <v>-4.1</v>
      </c>
      <c r="M3157" s="10" t="n">
        <v>0</v>
      </c>
      <c r="N3157" t="inlineStr">
        <is>
          <t>3</t>
        </is>
      </c>
      <c r="O3157" t="inlineStr">
        <is>
          <t>23</t>
        </is>
      </c>
      <c r="P3157" t="inlineStr">
        <is>
          <t xml:space="preserve">79754   </t>
        </is>
      </c>
      <c r="Q3157" s="26" t="n">
        <v>4.09</v>
      </c>
      <c r="R3157" s="26">
        <f>Q3157*G3157</f>
        <v/>
      </c>
      <c r="S3157" s="26">
        <f>IFERROR(VLOOKUP(E3157*1,Tabla[#All],8,0),0)</f>
        <v/>
      </c>
      <c r="T3157" s="26">
        <f>S3157*G3157</f>
        <v/>
      </c>
      <c r="U3157" s="26">
        <f>R3157-T3157</f>
        <v/>
      </c>
      <c r="V3157" s="26">
        <f>U3157-L3157</f>
        <v/>
      </c>
    </row>
    <row r="3158">
      <c r="A3158" s="11" t="n">
        <v>46234</v>
      </c>
      <c r="B3158" s="1" t="n">
        <v>20028</v>
      </c>
      <c r="C3158" s="1" t="inlineStr">
        <is>
          <t>011</t>
        </is>
      </c>
      <c r="D3158" s="1" t="inlineStr">
        <is>
          <t xml:space="preserve">1574  </t>
        </is>
      </c>
      <c r="E3158" s="1" t="inlineStr">
        <is>
          <t xml:space="preserve">28194770       </t>
        </is>
      </c>
      <c r="F3158" s="5" t="inlineStr">
        <is>
          <t>AUTOS DE METAL 3 TEAMSTERZ EN BLISTER</t>
        </is>
      </c>
      <c r="G3158" t="n">
        <v>-1</v>
      </c>
      <c r="H3158" s="7" t="n">
        <v>-6.9</v>
      </c>
      <c r="I3158" s="7" t="n">
        <v>0</v>
      </c>
      <c r="J3158" s="7" t="n">
        <v>0</v>
      </c>
      <c r="K3158" s="9" t="n">
        <v>0</v>
      </c>
      <c r="L3158" s="10" t="n">
        <v>-4.1</v>
      </c>
      <c r="M3158" s="10" t="n">
        <v>0</v>
      </c>
      <c r="N3158" t="inlineStr">
        <is>
          <t>3</t>
        </is>
      </c>
      <c r="O3158" t="inlineStr">
        <is>
          <t>23</t>
        </is>
      </c>
      <c r="P3158" t="inlineStr">
        <is>
          <t xml:space="preserve">79754   </t>
        </is>
      </c>
      <c r="Q3158" s="26" t="n">
        <v>4.09</v>
      </c>
      <c r="R3158" s="26">
        <f>Q3158*G3158</f>
        <v/>
      </c>
      <c r="S3158" s="26">
        <f>IFERROR(VLOOKUP(E3158*1,Tabla[#All],8,0),0)</f>
        <v/>
      </c>
      <c r="T3158" s="26">
        <f>S3158*G3158</f>
        <v/>
      </c>
      <c r="U3158" s="26">
        <f>R3158-T3158</f>
        <v/>
      </c>
      <c r="V3158" s="26">
        <f>U3158-L3158</f>
        <v/>
      </c>
    </row>
    <row r="3159">
      <c r="A3159" s="11" t="n">
        <v>46234</v>
      </c>
      <c r="B3159" s="1" t="n">
        <v>20028</v>
      </c>
      <c r="C3159" s="1" t="inlineStr">
        <is>
          <t>011</t>
        </is>
      </c>
      <c r="D3159" s="1" t="inlineStr">
        <is>
          <t xml:space="preserve">1574  </t>
        </is>
      </c>
      <c r="E3159" s="1" t="inlineStr">
        <is>
          <t xml:space="preserve">28194770       </t>
        </is>
      </c>
      <c r="F3159" s="5" t="inlineStr">
        <is>
          <t>AUTOS DE METAL 3 TEAMSTERZ EN BLISTER</t>
        </is>
      </c>
      <c r="G3159" t="n">
        <v>-1</v>
      </c>
      <c r="H3159" s="7" t="n">
        <v>-6.9</v>
      </c>
      <c r="I3159" s="7" t="n">
        <v>0</v>
      </c>
      <c r="J3159" s="7" t="n">
        <v>0</v>
      </c>
      <c r="K3159" s="9" t="n">
        <v>0</v>
      </c>
      <c r="L3159" s="10" t="n">
        <v>-4.1</v>
      </c>
      <c r="M3159" s="10" t="n">
        <v>0</v>
      </c>
      <c r="N3159" t="inlineStr">
        <is>
          <t>3</t>
        </is>
      </c>
      <c r="O3159" t="inlineStr">
        <is>
          <t>23</t>
        </is>
      </c>
      <c r="P3159" t="inlineStr">
        <is>
          <t xml:space="preserve">79754   </t>
        </is>
      </c>
      <c r="Q3159" s="26" t="n">
        <v>4.09</v>
      </c>
      <c r="R3159" s="26">
        <f>Q3159*G3159</f>
        <v/>
      </c>
      <c r="S3159" s="26">
        <f>IFERROR(VLOOKUP(E3159*1,Tabla[#All],8,0),0)</f>
        <v/>
      </c>
      <c r="T3159" s="26">
        <f>S3159*G3159</f>
        <v/>
      </c>
      <c r="U3159" s="26">
        <f>R3159-T3159</f>
        <v/>
      </c>
      <c r="V3159" s="26">
        <f>U3159-L3159</f>
        <v/>
      </c>
    </row>
    <row r="3160">
      <c r="A3160" s="11" t="n">
        <v>46234</v>
      </c>
      <c r="B3160" s="1" t="n">
        <v>20028</v>
      </c>
      <c r="C3160" s="1" t="inlineStr">
        <is>
          <t>011</t>
        </is>
      </c>
      <c r="D3160" s="1" t="inlineStr">
        <is>
          <t xml:space="preserve">1574  </t>
        </is>
      </c>
      <c r="E3160" s="1" t="inlineStr">
        <is>
          <t xml:space="preserve">30141766       </t>
        </is>
      </c>
      <c r="F3160" s="5" t="inlineStr">
        <is>
          <t>TMZ BEAST MACHINES AUTOS DE METAL BLISTER X 1</t>
        </is>
      </c>
      <c r="G3160" t="n">
        <v>-1</v>
      </c>
      <c r="H3160" s="7" t="n">
        <v>-7.9</v>
      </c>
      <c r="I3160" s="7" t="n">
        <v>0</v>
      </c>
      <c r="J3160" s="7" t="n">
        <v>0</v>
      </c>
      <c r="K3160" s="9" t="n">
        <v>0</v>
      </c>
      <c r="L3160" s="10" t="n">
        <v>-4.68</v>
      </c>
      <c r="M3160" s="10" t="n">
        <v>0</v>
      </c>
      <c r="N3160" t="inlineStr">
        <is>
          <t>3</t>
        </is>
      </c>
      <c r="O3160" t="inlineStr">
        <is>
          <t>23</t>
        </is>
      </c>
      <c r="P3160" t="inlineStr">
        <is>
          <t xml:space="preserve">79754   </t>
        </is>
      </c>
      <c r="Q3160" s="26" t="n">
        <v>4.69</v>
      </c>
      <c r="R3160" s="26">
        <f>Q3160*G3160</f>
        <v/>
      </c>
      <c r="S3160" s="26">
        <f>IFERROR(VLOOKUP(E3160*1,Tabla[#All],8,0),0)</f>
        <v/>
      </c>
      <c r="T3160" s="26">
        <f>S3160*G3160</f>
        <v/>
      </c>
      <c r="U3160" s="26">
        <f>R3160-T3160</f>
        <v/>
      </c>
      <c r="V3160" s="26">
        <f>U3160-L3160</f>
        <v/>
      </c>
    </row>
    <row r="3161">
      <c r="A3161" s="11" t="n">
        <v>46234</v>
      </c>
      <c r="B3161" s="1" t="n">
        <v>20028</v>
      </c>
      <c r="C3161" s="1" t="inlineStr">
        <is>
          <t>011</t>
        </is>
      </c>
      <c r="D3161" s="1" t="inlineStr">
        <is>
          <t xml:space="preserve">34311 </t>
        </is>
      </c>
      <c r="E3161" s="1" t="inlineStr">
        <is>
          <t xml:space="preserve">28194770       </t>
        </is>
      </c>
      <c r="F3161" s="5" t="inlineStr">
        <is>
          <t>AUTOS DE METAL 3 TEAMSTERZ EN BLISTER</t>
        </is>
      </c>
      <c r="G3161" t="n">
        <v>1</v>
      </c>
      <c r="H3161" s="7" t="n">
        <v>6.9</v>
      </c>
      <c r="I3161" s="7" t="n">
        <v>0</v>
      </c>
      <c r="J3161" s="7" t="n">
        <v>0</v>
      </c>
      <c r="K3161" s="9" t="n">
        <v>0</v>
      </c>
      <c r="L3161" s="10" t="n">
        <v>4.1</v>
      </c>
      <c r="M3161" s="10" t="n">
        <v>1.43</v>
      </c>
      <c r="N3161" t="inlineStr">
        <is>
          <t>1</t>
        </is>
      </c>
      <c r="O3161" t="inlineStr">
        <is>
          <t xml:space="preserve">3 </t>
        </is>
      </c>
      <c r="P3161" t="inlineStr">
        <is>
          <t xml:space="preserve">31171   </t>
        </is>
      </c>
      <c r="Q3161" s="26" t="n">
        <v>4.09</v>
      </c>
      <c r="R3161" s="26">
        <f>Q3161*G3161</f>
        <v/>
      </c>
      <c r="S3161" s="26">
        <f>IFERROR(VLOOKUP(E3161*1,Tabla[#All],8,0),0)</f>
        <v/>
      </c>
      <c r="T3161" s="26">
        <f>S3161*G3161</f>
        <v/>
      </c>
      <c r="U3161" s="26">
        <f>R3161-T3161</f>
        <v/>
      </c>
      <c r="V3161" s="26">
        <f>U3161-L3161</f>
        <v/>
      </c>
    </row>
    <row r="3162">
      <c r="A3162" s="11" t="n">
        <v>46234</v>
      </c>
      <c r="B3162" s="1" t="n">
        <v>20028</v>
      </c>
      <c r="C3162" s="1" t="inlineStr">
        <is>
          <t>011</t>
        </is>
      </c>
      <c r="D3162" s="1" t="inlineStr">
        <is>
          <t xml:space="preserve">34311 </t>
        </is>
      </c>
      <c r="E3162" s="1" t="inlineStr">
        <is>
          <t xml:space="preserve">28194770       </t>
        </is>
      </c>
      <c r="F3162" s="5" t="inlineStr">
        <is>
          <t>AUTOS DE METAL 3 TEAMSTERZ EN BLISTER</t>
        </is>
      </c>
      <c r="G3162" t="n">
        <v>1</v>
      </c>
      <c r="H3162" s="7" t="n">
        <v>6.9</v>
      </c>
      <c r="I3162" s="7" t="n">
        <v>0</v>
      </c>
      <c r="J3162" s="7" t="n">
        <v>0</v>
      </c>
      <c r="K3162" s="9" t="n">
        <v>0</v>
      </c>
      <c r="L3162" s="10" t="n">
        <v>4.1</v>
      </c>
      <c r="M3162" s="10" t="n">
        <v>1.43</v>
      </c>
      <c r="N3162" t="inlineStr">
        <is>
          <t>1</t>
        </is>
      </c>
      <c r="O3162" t="inlineStr">
        <is>
          <t xml:space="preserve">3 </t>
        </is>
      </c>
      <c r="P3162" t="inlineStr">
        <is>
          <t xml:space="preserve">31171   </t>
        </is>
      </c>
      <c r="Q3162" s="26" t="n">
        <v>4.09</v>
      </c>
      <c r="R3162" s="26">
        <f>Q3162*G3162</f>
        <v/>
      </c>
      <c r="S3162" s="26">
        <f>IFERROR(VLOOKUP(E3162*1,Tabla[#All],8,0),0)</f>
        <v/>
      </c>
      <c r="T3162" s="26">
        <f>S3162*G3162</f>
        <v/>
      </c>
      <c r="U3162" s="26">
        <f>R3162-T3162</f>
        <v/>
      </c>
      <c r="V3162" s="26">
        <f>U3162-L3162</f>
        <v/>
      </c>
    </row>
    <row r="3163">
      <c r="A3163" s="11" t="n">
        <v>46234</v>
      </c>
      <c r="B3163" s="1" t="n">
        <v>20028</v>
      </c>
      <c r="C3163" s="1" t="inlineStr">
        <is>
          <t>011</t>
        </is>
      </c>
      <c r="D3163" s="1" t="inlineStr">
        <is>
          <t xml:space="preserve">34311 </t>
        </is>
      </c>
      <c r="E3163" s="1" t="inlineStr">
        <is>
          <t xml:space="preserve">28194770       </t>
        </is>
      </c>
      <c r="F3163" s="5" t="inlineStr">
        <is>
          <t>AUTOS DE METAL 3 TEAMSTERZ EN BLISTER</t>
        </is>
      </c>
      <c r="G3163" t="n">
        <v>1</v>
      </c>
      <c r="H3163" s="7" t="n">
        <v>6.9</v>
      </c>
      <c r="I3163" s="7" t="n">
        <v>0</v>
      </c>
      <c r="J3163" s="7" t="n">
        <v>0</v>
      </c>
      <c r="K3163" s="9" t="n">
        <v>0</v>
      </c>
      <c r="L3163" s="10" t="n">
        <v>4.1</v>
      </c>
      <c r="M3163" s="10" t="n">
        <v>1.43</v>
      </c>
      <c r="N3163" t="inlineStr">
        <is>
          <t>1</t>
        </is>
      </c>
      <c r="O3163" t="inlineStr">
        <is>
          <t xml:space="preserve">3 </t>
        </is>
      </c>
      <c r="P3163" t="inlineStr">
        <is>
          <t xml:space="preserve">31171   </t>
        </is>
      </c>
      <c r="Q3163" s="26" t="n">
        <v>4.09</v>
      </c>
      <c r="R3163" s="26">
        <f>Q3163*G3163</f>
        <v/>
      </c>
      <c r="S3163" s="26">
        <f>IFERROR(VLOOKUP(E3163*1,Tabla[#All],8,0),0)</f>
        <v/>
      </c>
      <c r="T3163" s="26">
        <f>S3163*G3163</f>
        <v/>
      </c>
      <c r="U3163" s="26">
        <f>R3163-T3163</f>
        <v/>
      </c>
      <c r="V3163" s="26">
        <f>U3163-L3163</f>
        <v/>
      </c>
    </row>
    <row r="3164">
      <c r="A3164" s="11" t="n">
        <v>46234</v>
      </c>
      <c r="B3164" s="1" t="n">
        <v>20028</v>
      </c>
      <c r="C3164" s="1" t="inlineStr">
        <is>
          <t>011</t>
        </is>
      </c>
      <c r="D3164" s="1" t="inlineStr">
        <is>
          <t xml:space="preserve">34311 </t>
        </is>
      </c>
      <c r="E3164" s="1" t="inlineStr">
        <is>
          <t xml:space="preserve">30141766       </t>
        </is>
      </c>
      <c r="F3164" s="5" t="inlineStr">
        <is>
          <t>TMZ BEAST MACHINES AUTOS DE METAL BLISTER X 1</t>
        </is>
      </c>
      <c r="G3164" t="n">
        <v>1</v>
      </c>
      <c r="H3164" s="7" t="n">
        <v>7.9</v>
      </c>
      <c r="I3164" s="7" t="n">
        <v>0</v>
      </c>
      <c r="J3164" s="7" t="n">
        <v>0</v>
      </c>
      <c r="K3164" s="9" t="n">
        <v>0</v>
      </c>
      <c r="L3164" s="10" t="n">
        <v>4.68</v>
      </c>
      <c r="M3164" s="10" t="n">
        <v>1.43</v>
      </c>
      <c r="N3164" t="inlineStr">
        <is>
          <t>1</t>
        </is>
      </c>
      <c r="O3164" t="inlineStr">
        <is>
          <t xml:space="preserve">3 </t>
        </is>
      </c>
      <c r="P3164" t="inlineStr">
        <is>
          <t xml:space="preserve">31171   </t>
        </is>
      </c>
      <c r="Q3164" s="26" t="n">
        <v>4.69</v>
      </c>
      <c r="R3164" s="26">
        <f>Q3164*G3164</f>
        <v/>
      </c>
      <c r="S3164" s="26">
        <f>IFERROR(VLOOKUP(E3164*1,Tabla[#All],8,0),0)</f>
        <v/>
      </c>
      <c r="T3164" s="26">
        <f>S3164*G3164</f>
        <v/>
      </c>
      <c r="U3164" s="26">
        <f>R3164-T3164</f>
        <v/>
      </c>
      <c r="V3164" s="26">
        <f>U3164-L3164</f>
        <v/>
      </c>
    </row>
    <row r="3165">
      <c r="A3165" s="11" t="n">
        <v>46234</v>
      </c>
      <c r="B3165" s="1" t="n">
        <v>20028</v>
      </c>
      <c r="C3165" s="1" t="inlineStr">
        <is>
          <t>011</t>
        </is>
      </c>
      <c r="D3165" s="1" t="inlineStr">
        <is>
          <t xml:space="preserve">34314 </t>
        </is>
      </c>
      <c r="E3165" s="1" t="inlineStr">
        <is>
          <t xml:space="preserve">28194770       </t>
        </is>
      </c>
      <c r="F3165" s="5" t="inlineStr">
        <is>
          <t>AUTOS DE METAL 3 TEAMSTERZ EN BLISTER</t>
        </is>
      </c>
      <c r="G3165" t="n">
        <v>1</v>
      </c>
      <c r="H3165" s="7" t="n">
        <v>6.9</v>
      </c>
      <c r="I3165" s="7" t="n">
        <v>0</v>
      </c>
      <c r="J3165" s="7" t="n">
        <v>0</v>
      </c>
      <c r="K3165" s="9" t="n">
        <v>0</v>
      </c>
      <c r="L3165" s="10" t="n">
        <v>4.1</v>
      </c>
      <c r="M3165" s="10" t="n">
        <v>1.43</v>
      </c>
      <c r="N3165" t="inlineStr">
        <is>
          <t>1</t>
        </is>
      </c>
      <c r="O3165" t="inlineStr">
        <is>
          <t xml:space="preserve">3 </t>
        </is>
      </c>
      <c r="P3165" t="inlineStr">
        <is>
          <t xml:space="preserve">31171   </t>
        </is>
      </c>
      <c r="Q3165" s="26" t="n">
        <v>4.09</v>
      </c>
      <c r="R3165" s="26">
        <f>Q3165*G3165</f>
        <v/>
      </c>
      <c r="S3165" s="26">
        <f>IFERROR(VLOOKUP(E3165*1,Tabla[#All],8,0),0)</f>
        <v/>
      </c>
      <c r="T3165" s="26">
        <f>S3165*G3165</f>
        <v/>
      </c>
      <c r="U3165" s="26">
        <f>R3165-T3165</f>
        <v/>
      </c>
      <c r="V3165" s="26">
        <f>U3165-L3165</f>
        <v/>
      </c>
    </row>
    <row r="3166">
      <c r="A3166" s="11" t="n">
        <v>46234</v>
      </c>
      <c r="B3166" s="1" t="n">
        <v>20028</v>
      </c>
      <c r="C3166" s="1" t="inlineStr">
        <is>
          <t>011</t>
        </is>
      </c>
      <c r="D3166" s="1" t="inlineStr">
        <is>
          <t xml:space="preserve">34314 </t>
        </is>
      </c>
      <c r="E3166" s="1" t="inlineStr">
        <is>
          <t xml:space="preserve">28194770       </t>
        </is>
      </c>
      <c r="F3166" s="5" t="inlineStr">
        <is>
          <t>AUTOS DE METAL 3 TEAMSTERZ EN BLISTER</t>
        </is>
      </c>
      <c r="G3166" t="n">
        <v>1</v>
      </c>
      <c r="H3166" s="7" t="n">
        <v>6.9</v>
      </c>
      <c r="I3166" s="7" t="n">
        <v>0</v>
      </c>
      <c r="J3166" s="7" t="n">
        <v>0</v>
      </c>
      <c r="K3166" s="9" t="n">
        <v>0</v>
      </c>
      <c r="L3166" s="10" t="n">
        <v>4.1</v>
      </c>
      <c r="M3166" s="10" t="n">
        <v>1.43</v>
      </c>
      <c r="N3166" t="inlineStr">
        <is>
          <t>1</t>
        </is>
      </c>
      <c r="O3166" t="inlineStr">
        <is>
          <t xml:space="preserve">3 </t>
        </is>
      </c>
      <c r="P3166" t="inlineStr">
        <is>
          <t xml:space="preserve">31171   </t>
        </is>
      </c>
      <c r="Q3166" s="26" t="n">
        <v>4.09</v>
      </c>
      <c r="R3166" s="26">
        <f>Q3166*G3166</f>
        <v/>
      </c>
      <c r="S3166" s="26">
        <f>IFERROR(VLOOKUP(E3166*1,Tabla[#All],8,0),0)</f>
        <v/>
      </c>
      <c r="T3166" s="26">
        <f>S3166*G3166</f>
        <v/>
      </c>
      <c r="U3166" s="26">
        <f>R3166-T3166</f>
        <v/>
      </c>
      <c r="V3166" s="26">
        <f>U3166-L3166</f>
        <v/>
      </c>
    </row>
    <row r="3167">
      <c r="A3167" s="11" t="n">
        <v>46234</v>
      </c>
      <c r="B3167" s="1" t="n">
        <v>20028</v>
      </c>
      <c r="C3167" s="1" t="inlineStr">
        <is>
          <t>011</t>
        </is>
      </c>
      <c r="D3167" s="1" t="inlineStr">
        <is>
          <t xml:space="preserve">34314 </t>
        </is>
      </c>
      <c r="E3167" s="1" t="inlineStr">
        <is>
          <t xml:space="preserve">28194770       </t>
        </is>
      </c>
      <c r="F3167" s="5" t="inlineStr">
        <is>
          <t>AUTOS DE METAL 3 TEAMSTERZ EN BLISTER</t>
        </is>
      </c>
      <c r="G3167" t="n">
        <v>1</v>
      </c>
      <c r="H3167" s="7" t="n">
        <v>6.9</v>
      </c>
      <c r="I3167" s="7" t="n">
        <v>0</v>
      </c>
      <c r="J3167" s="7" t="n">
        <v>0</v>
      </c>
      <c r="K3167" s="9" t="n">
        <v>0</v>
      </c>
      <c r="L3167" s="10" t="n">
        <v>4.1</v>
      </c>
      <c r="M3167" s="10" t="n">
        <v>1.43</v>
      </c>
      <c r="N3167" t="inlineStr">
        <is>
          <t>1</t>
        </is>
      </c>
      <c r="O3167" t="inlineStr">
        <is>
          <t xml:space="preserve">3 </t>
        </is>
      </c>
      <c r="P3167" t="inlineStr">
        <is>
          <t xml:space="preserve">31171   </t>
        </is>
      </c>
      <c r="Q3167" s="26" t="n">
        <v>4.09</v>
      </c>
      <c r="R3167" s="26">
        <f>Q3167*G3167</f>
        <v/>
      </c>
      <c r="S3167" s="26">
        <f>IFERROR(VLOOKUP(E3167*1,Tabla[#All],8,0),0)</f>
        <v/>
      </c>
      <c r="T3167" s="26">
        <f>S3167*G3167</f>
        <v/>
      </c>
      <c r="U3167" s="26">
        <f>R3167-T3167</f>
        <v/>
      </c>
      <c r="V3167" s="26">
        <f>U3167-L3167</f>
        <v/>
      </c>
    </row>
    <row r="3168">
      <c r="A3168" s="11" t="n">
        <v>46234</v>
      </c>
      <c r="B3168" s="1" t="n">
        <v>20028</v>
      </c>
      <c r="C3168" s="1" t="inlineStr">
        <is>
          <t>011</t>
        </is>
      </c>
      <c r="D3168" s="1" t="inlineStr">
        <is>
          <t xml:space="preserve">34314 </t>
        </is>
      </c>
      <c r="E3168" s="1" t="inlineStr">
        <is>
          <t xml:space="preserve">30141766       </t>
        </is>
      </c>
      <c r="F3168" s="5" t="inlineStr">
        <is>
          <t>TMZ BEAST MACHINES AUTOS DE METAL BLISTER X 1</t>
        </is>
      </c>
      <c r="G3168" t="n">
        <v>1</v>
      </c>
      <c r="H3168" s="7" t="n">
        <v>7.9</v>
      </c>
      <c r="I3168" s="7" t="n">
        <v>0</v>
      </c>
      <c r="J3168" s="7" t="n">
        <v>0</v>
      </c>
      <c r="K3168" s="9" t="n">
        <v>0</v>
      </c>
      <c r="L3168" s="10" t="n">
        <v>4.68</v>
      </c>
      <c r="M3168" s="10" t="n">
        <v>1.43</v>
      </c>
      <c r="N3168" t="inlineStr">
        <is>
          <t>1</t>
        </is>
      </c>
      <c r="O3168" t="inlineStr">
        <is>
          <t xml:space="preserve">3 </t>
        </is>
      </c>
      <c r="P3168" t="inlineStr">
        <is>
          <t xml:space="preserve">31171   </t>
        </is>
      </c>
      <c r="Q3168" s="26" t="n">
        <v>4.69</v>
      </c>
      <c r="R3168" s="26">
        <f>Q3168*G3168</f>
        <v/>
      </c>
      <c r="S3168" s="26">
        <f>IFERROR(VLOOKUP(E3168*1,Tabla[#All],8,0),0)</f>
        <v/>
      </c>
      <c r="T3168" s="26">
        <f>S3168*G3168</f>
        <v/>
      </c>
      <c r="U3168" s="26">
        <f>R3168-T3168</f>
        <v/>
      </c>
      <c r="V3168" s="26">
        <f>U3168-L3168</f>
        <v/>
      </c>
    </row>
    <row r="3169">
      <c r="A3169" s="11" t="n">
        <v>46234</v>
      </c>
      <c r="B3169" s="1" t="n">
        <v>20028</v>
      </c>
      <c r="C3169" s="1" t="inlineStr">
        <is>
          <t>860</t>
        </is>
      </c>
      <c r="D3169" s="1" t="inlineStr">
        <is>
          <t xml:space="preserve">4312  </t>
        </is>
      </c>
      <c r="E3169" s="1" t="inlineStr">
        <is>
          <t xml:space="preserve">28194780       </t>
        </is>
      </c>
      <c r="F3169" s="5" t="inlineStr">
        <is>
          <t>TROMPO BATALLA INFINITY NADO PLSTICO SURTIDO</t>
        </is>
      </c>
      <c r="G3169" t="n">
        <v>1</v>
      </c>
      <c r="H3169" s="7" t="n">
        <v>19.9</v>
      </c>
      <c r="I3169" s="7" t="n">
        <v>0</v>
      </c>
      <c r="J3169" s="7" t="n">
        <v>0</v>
      </c>
      <c r="K3169" s="9" t="n">
        <v>0</v>
      </c>
      <c r="L3169" s="10" t="n">
        <v>11.8</v>
      </c>
      <c r="M3169" s="10" t="n">
        <v>1.43</v>
      </c>
      <c r="N3169" t="inlineStr">
        <is>
          <t>1</t>
        </is>
      </c>
      <c r="O3169" t="inlineStr">
        <is>
          <t>16</t>
        </is>
      </c>
      <c r="P3169" t="inlineStr">
        <is>
          <t xml:space="preserve">248218  </t>
        </is>
      </c>
      <c r="Q3169" s="26" t="n">
        <v>11.81</v>
      </c>
      <c r="R3169" s="26">
        <f>Q3169*G3169</f>
        <v/>
      </c>
      <c r="S3169" s="26">
        <f>IFERROR(VLOOKUP(E3169*1,Tabla[#All],8,0),0)</f>
        <v/>
      </c>
      <c r="T3169" s="26">
        <f>S3169*G3169</f>
        <v/>
      </c>
      <c r="U3169" s="26">
        <f>R3169-T3169</f>
        <v/>
      </c>
      <c r="V3169" s="26">
        <f>U3169-L3169</f>
        <v/>
      </c>
    </row>
    <row r="3170">
      <c r="A3170" s="11" t="n">
        <v>46234</v>
      </c>
      <c r="B3170" s="1" t="n">
        <v>20030</v>
      </c>
      <c r="C3170" s="1" t="inlineStr">
        <is>
          <t>022</t>
        </is>
      </c>
      <c r="D3170" s="1" t="inlineStr">
        <is>
          <t>318340</t>
        </is>
      </c>
      <c r="E3170" s="1" t="inlineStr">
        <is>
          <t xml:space="preserve">30141769       </t>
        </is>
      </c>
      <c r="F3170" s="5" t="inlineStr">
        <is>
          <t>TMZ BEAST MACHINES TRANSPORTE DINOSAURIO + 3 AUTOS</t>
        </is>
      </c>
      <c r="G3170" t="n">
        <v>1</v>
      </c>
      <c r="H3170" s="7" t="n">
        <v>59.9</v>
      </c>
      <c r="I3170" s="7" t="n">
        <v>0</v>
      </c>
      <c r="J3170" s="7" t="n">
        <v>0</v>
      </c>
      <c r="K3170" s="9" t="n">
        <v>0</v>
      </c>
      <c r="L3170" s="10" t="n">
        <v>35.53</v>
      </c>
      <c r="M3170" s="10" t="n">
        <v>1.43</v>
      </c>
      <c r="N3170" t="inlineStr">
        <is>
          <t>1</t>
        </is>
      </c>
      <c r="O3170" t="inlineStr">
        <is>
          <t>16</t>
        </is>
      </c>
      <c r="P3170" t="inlineStr">
        <is>
          <t xml:space="preserve">65971   </t>
        </is>
      </c>
      <c r="Q3170" s="26" t="n">
        <v>47.4</v>
      </c>
      <c r="R3170" s="26">
        <f>Q3170*G3170</f>
        <v/>
      </c>
      <c r="S3170" s="26">
        <f>IFERROR(VLOOKUP(E3170*1,Tabla[#All],8,0),0)</f>
        <v/>
      </c>
      <c r="T3170" s="26">
        <f>S3170*G3170</f>
        <v/>
      </c>
      <c r="U3170" s="26">
        <f>R3170-T3170</f>
        <v/>
      </c>
      <c r="V3170" s="26">
        <f>U3170-L3170</f>
        <v/>
      </c>
    </row>
    <row r="3171">
      <c r="A3171" s="11" t="n">
        <v>46234</v>
      </c>
      <c r="B3171" s="1" t="n">
        <v>20030</v>
      </c>
      <c r="C3171" s="1" t="inlineStr">
        <is>
          <t>022</t>
        </is>
      </c>
      <c r="D3171" s="1" t="inlineStr">
        <is>
          <t>318388</t>
        </is>
      </c>
      <c r="E3171" s="1" t="inlineStr">
        <is>
          <t xml:space="preserve">31959958       </t>
        </is>
      </c>
      <c r="F3171" s="5" t="inlineStr">
        <is>
          <t>TMZ BEAST MACHINE AUTOS DE METAL PACK 3 AUTOS</t>
        </is>
      </c>
      <c r="G3171" t="n">
        <v>1</v>
      </c>
      <c r="H3171" s="7" t="n">
        <v>23.7</v>
      </c>
      <c r="I3171" s="7" t="n">
        <v>0</v>
      </c>
      <c r="J3171" s="7" t="n">
        <v>0</v>
      </c>
      <c r="K3171" s="9" t="n">
        <v>0</v>
      </c>
      <c r="L3171" s="10" t="n">
        <v>14.06</v>
      </c>
      <c r="M3171" s="10" t="n">
        <v>1.43</v>
      </c>
      <c r="N3171" t="inlineStr">
        <is>
          <t>1</t>
        </is>
      </c>
      <c r="O3171" t="inlineStr">
        <is>
          <t xml:space="preserve">2 </t>
        </is>
      </c>
      <c r="P3171" t="inlineStr">
        <is>
          <t xml:space="preserve">65971   </t>
        </is>
      </c>
      <c r="Q3171" s="26" t="n">
        <v>14.06</v>
      </c>
      <c r="R3171" s="26">
        <f>Q3171*G3171</f>
        <v/>
      </c>
      <c r="S3171" s="26">
        <f>IFERROR(VLOOKUP(E3171*1,Tabla[#All],8,0),0)</f>
        <v/>
      </c>
      <c r="T3171" s="26">
        <f>S3171*G3171</f>
        <v/>
      </c>
      <c r="U3171" s="26">
        <f>R3171-T3171</f>
        <v/>
      </c>
      <c r="V3171" s="26">
        <f>U3171-L3171</f>
        <v/>
      </c>
    </row>
    <row r="3172">
      <c r="A3172" s="11" t="n">
        <v>46234</v>
      </c>
      <c r="B3172" s="1" t="n">
        <v>20030</v>
      </c>
      <c r="C3172" s="1" t="inlineStr">
        <is>
          <t>067</t>
        </is>
      </c>
      <c r="D3172" s="1" t="inlineStr">
        <is>
          <t>275649</t>
        </is>
      </c>
      <c r="E3172" s="1" t="inlineStr">
        <is>
          <t xml:space="preserve">28194770       </t>
        </is>
      </c>
      <c r="F3172" s="5" t="inlineStr">
        <is>
          <t>AUTOS DE METAL 3 TEAMSTERZ EN BLISTER</t>
        </is>
      </c>
      <c r="G3172" t="n">
        <v>1</v>
      </c>
      <c r="H3172" s="7" t="n">
        <v>6.9</v>
      </c>
      <c r="I3172" s="7" t="n">
        <v>0</v>
      </c>
      <c r="J3172" s="7" t="n">
        <v>0</v>
      </c>
      <c r="K3172" s="9" t="n">
        <v>0</v>
      </c>
      <c r="L3172" s="10" t="n">
        <v>4.1</v>
      </c>
      <c r="M3172" s="10" t="n">
        <v>1.43</v>
      </c>
      <c r="N3172" t="inlineStr">
        <is>
          <t>1</t>
        </is>
      </c>
      <c r="O3172" t="inlineStr">
        <is>
          <t>16</t>
        </is>
      </c>
      <c r="P3172" t="inlineStr">
        <is>
          <t xml:space="preserve">52224   </t>
        </is>
      </c>
      <c r="Q3172" s="26" t="n">
        <v>4.09</v>
      </c>
      <c r="R3172" s="26">
        <f>Q3172*G3172</f>
        <v/>
      </c>
      <c r="S3172" s="26">
        <f>IFERROR(VLOOKUP(E3172*1,Tabla[#All],8,0),0)</f>
        <v/>
      </c>
      <c r="T3172" s="26">
        <f>S3172*G3172</f>
        <v/>
      </c>
      <c r="U3172" s="26">
        <f>R3172-T3172</f>
        <v/>
      </c>
      <c r="V3172" s="26">
        <f>U3172-L3172</f>
        <v/>
      </c>
    </row>
    <row r="3173">
      <c r="A3173" s="11" t="n">
        <v>46234</v>
      </c>
      <c r="B3173" s="1" t="n">
        <v>20030</v>
      </c>
      <c r="C3173" s="1" t="inlineStr">
        <is>
          <t>067</t>
        </is>
      </c>
      <c r="D3173" s="1" t="inlineStr">
        <is>
          <t>275649</t>
        </is>
      </c>
      <c r="E3173" s="1" t="inlineStr">
        <is>
          <t xml:space="preserve">28194770       </t>
        </is>
      </c>
      <c r="F3173" s="5" t="inlineStr">
        <is>
          <t>AUTOS DE METAL 3 TEAMSTERZ EN BLISTER</t>
        </is>
      </c>
      <c r="G3173" t="n">
        <v>1</v>
      </c>
      <c r="H3173" s="7" t="n">
        <v>6.9</v>
      </c>
      <c r="I3173" s="7" t="n">
        <v>0</v>
      </c>
      <c r="J3173" s="7" t="n">
        <v>0</v>
      </c>
      <c r="K3173" s="9" t="n">
        <v>0</v>
      </c>
      <c r="L3173" s="10" t="n">
        <v>4.1</v>
      </c>
      <c r="M3173" s="10" t="n">
        <v>1.43</v>
      </c>
      <c r="N3173" t="inlineStr">
        <is>
          <t>1</t>
        </is>
      </c>
      <c r="O3173" t="inlineStr">
        <is>
          <t>16</t>
        </is>
      </c>
      <c r="P3173" t="inlineStr">
        <is>
          <t xml:space="preserve">52224   </t>
        </is>
      </c>
      <c r="Q3173" s="26" t="n">
        <v>4.09</v>
      </c>
      <c r="R3173" s="26">
        <f>Q3173*G3173</f>
        <v/>
      </c>
      <c r="S3173" s="26">
        <f>IFERROR(VLOOKUP(E3173*1,Tabla[#All],8,0),0)</f>
        <v/>
      </c>
      <c r="T3173" s="26">
        <f>S3173*G3173</f>
        <v/>
      </c>
      <c r="U3173" s="26">
        <f>R3173-T3173</f>
        <v/>
      </c>
      <c r="V3173" s="26">
        <f>U3173-L3173</f>
        <v/>
      </c>
    </row>
    <row r="3174">
      <c r="A3174" s="11" t="n">
        <v>46234</v>
      </c>
      <c r="B3174" s="1" t="n">
        <v>20030</v>
      </c>
      <c r="C3174" s="1" t="inlineStr">
        <is>
          <t>077</t>
        </is>
      </c>
      <c r="D3174" s="1" t="inlineStr">
        <is>
          <t>233156</t>
        </is>
      </c>
      <c r="E3174" s="1" t="inlineStr">
        <is>
          <t xml:space="preserve">28194770       </t>
        </is>
      </c>
      <c r="F3174" s="5" t="inlineStr">
        <is>
          <t>AUTOS DE METAL 3 TEAMSTERZ EN BLISTER</t>
        </is>
      </c>
      <c r="G3174" t="n">
        <v>1</v>
      </c>
      <c r="H3174" s="7" t="n">
        <v>6.9</v>
      </c>
      <c r="I3174" s="7" t="n">
        <v>0</v>
      </c>
      <c r="J3174" s="7" t="n">
        <v>0</v>
      </c>
      <c r="K3174" s="9" t="n">
        <v>0</v>
      </c>
      <c r="L3174" s="10" t="n">
        <v>4.1</v>
      </c>
      <c r="M3174" s="10" t="n">
        <v>1.43</v>
      </c>
      <c r="N3174" t="inlineStr">
        <is>
          <t>1</t>
        </is>
      </c>
      <c r="O3174" t="inlineStr">
        <is>
          <t>16</t>
        </is>
      </c>
      <c r="P3174" t="inlineStr">
        <is>
          <t xml:space="preserve">15567   </t>
        </is>
      </c>
      <c r="Q3174" s="26" t="n">
        <v>4.09</v>
      </c>
      <c r="R3174" s="26">
        <f>Q3174*G3174</f>
        <v/>
      </c>
      <c r="S3174" s="26">
        <f>IFERROR(VLOOKUP(E3174*1,Tabla[#All],8,0),0)</f>
        <v/>
      </c>
      <c r="T3174" s="26">
        <f>S3174*G3174</f>
        <v/>
      </c>
      <c r="U3174" s="26">
        <f>R3174-T3174</f>
        <v/>
      </c>
      <c r="V3174" s="26">
        <f>U3174-L3174</f>
        <v/>
      </c>
    </row>
    <row r="3175">
      <c r="A3175" s="11" t="n">
        <v>46234</v>
      </c>
      <c r="B3175" s="1" t="n">
        <v>20030</v>
      </c>
      <c r="C3175" s="1" t="inlineStr">
        <is>
          <t>077</t>
        </is>
      </c>
      <c r="D3175" s="1" t="inlineStr">
        <is>
          <t>233156</t>
        </is>
      </c>
      <c r="E3175" s="1" t="inlineStr">
        <is>
          <t xml:space="preserve">28194770       </t>
        </is>
      </c>
      <c r="F3175" s="5" t="inlineStr">
        <is>
          <t>AUTOS DE METAL 3 TEAMSTERZ EN BLISTER</t>
        </is>
      </c>
      <c r="G3175" t="n">
        <v>1</v>
      </c>
      <c r="H3175" s="7" t="n">
        <v>6.9</v>
      </c>
      <c r="I3175" s="7" t="n">
        <v>0</v>
      </c>
      <c r="J3175" s="7" t="n">
        <v>0</v>
      </c>
      <c r="K3175" s="9" t="n">
        <v>0</v>
      </c>
      <c r="L3175" s="10" t="n">
        <v>4.1</v>
      </c>
      <c r="M3175" s="10" t="n">
        <v>1.43</v>
      </c>
      <c r="N3175" t="inlineStr">
        <is>
          <t>1</t>
        </is>
      </c>
      <c r="O3175" t="inlineStr">
        <is>
          <t>16</t>
        </is>
      </c>
      <c r="P3175" t="inlineStr">
        <is>
          <t xml:space="preserve">15567   </t>
        </is>
      </c>
      <c r="Q3175" s="26" t="n">
        <v>4.09</v>
      </c>
      <c r="R3175" s="26">
        <f>Q3175*G3175</f>
        <v/>
      </c>
      <c r="S3175" s="26">
        <f>IFERROR(VLOOKUP(E3175*1,Tabla[#All],8,0),0)</f>
        <v/>
      </c>
      <c r="T3175" s="26">
        <f>S3175*G3175</f>
        <v/>
      </c>
      <c r="U3175" s="26">
        <f>R3175-T3175</f>
        <v/>
      </c>
      <c r="V3175" s="26">
        <f>U3175-L3175</f>
        <v/>
      </c>
    </row>
    <row r="3176">
      <c r="A3176" s="11" t="n">
        <v>46234</v>
      </c>
      <c r="B3176" s="1" t="n">
        <v>20030</v>
      </c>
      <c r="C3176" s="1" t="inlineStr">
        <is>
          <t>077</t>
        </is>
      </c>
      <c r="D3176" s="1" t="inlineStr">
        <is>
          <t>233156</t>
        </is>
      </c>
      <c r="E3176" s="1" t="inlineStr">
        <is>
          <t xml:space="preserve">28194770       </t>
        </is>
      </c>
      <c r="F3176" s="5" t="inlineStr">
        <is>
          <t>AUTOS DE METAL 3 TEAMSTERZ EN BLISTER</t>
        </is>
      </c>
      <c r="G3176" t="n">
        <v>1</v>
      </c>
      <c r="H3176" s="7" t="n">
        <v>6.9</v>
      </c>
      <c r="I3176" s="7" t="n">
        <v>0</v>
      </c>
      <c r="J3176" s="7" t="n">
        <v>0</v>
      </c>
      <c r="K3176" s="9" t="n">
        <v>0</v>
      </c>
      <c r="L3176" s="10" t="n">
        <v>4.1</v>
      </c>
      <c r="M3176" s="10" t="n">
        <v>1.43</v>
      </c>
      <c r="N3176" t="inlineStr">
        <is>
          <t>1</t>
        </is>
      </c>
      <c r="O3176" t="inlineStr">
        <is>
          <t>16</t>
        </is>
      </c>
      <c r="P3176" t="inlineStr">
        <is>
          <t xml:space="preserve">15567   </t>
        </is>
      </c>
      <c r="Q3176" s="26" t="n">
        <v>4.09</v>
      </c>
      <c r="R3176" s="26">
        <f>Q3176*G3176</f>
        <v/>
      </c>
      <c r="S3176" s="26">
        <f>IFERROR(VLOOKUP(E3176*1,Tabla[#All],8,0),0)</f>
        <v/>
      </c>
      <c r="T3176" s="26">
        <f>S3176*G3176</f>
        <v/>
      </c>
      <c r="U3176" s="26">
        <f>R3176-T3176</f>
        <v/>
      </c>
      <c r="V3176" s="26">
        <f>U3176-L3176</f>
        <v/>
      </c>
    </row>
    <row r="3177">
      <c r="A3177" s="11" t="n">
        <v>46234</v>
      </c>
      <c r="B3177" s="1" t="n">
        <v>20041</v>
      </c>
      <c r="C3177" s="1" t="inlineStr">
        <is>
          <t>037</t>
        </is>
      </c>
      <c r="D3177" s="1" t="inlineStr">
        <is>
          <t>190418</t>
        </is>
      </c>
      <c r="E3177" s="1" t="inlineStr">
        <is>
          <t xml:space="preserve">28194770       </t>
        </is>
      </c>
      <c r="F3177" s="5" t="inlineStr">
        <is>
          <t>AUTOS DE METAL 3 TEAMSTERZ EN BLISTER</t>
        </is>
      </c>
      <c r="G3177" t="n">
        <v>1</v>
      </c>
      <c r="H3177" s="7" t="n">
        <v>6.9</v>
      </c>
      <c r="I3177" s="7" t="n">
        <v>0</v>
      </c>
      <c r="J3177" s="7" t="n">
        <v>0</v>
      </c>
      <c r="K3177" s="9" t="n">
        <v>0</v>
      </c>
      <c r="L3177" s="10" t="n">
        <v>4.1</v>
      </c>
      <c r="M3177" s="10" t="n">
        <v>1.43</v>
      </c>
      <c r="N3177" t="inlineStr">
        <is>
          <t>1</t>
        </is>
      </c>
      <c r="O3177" t="inlineStr">
        <is>
          <t>16</t>
        </is>
      </c>
      <c r="P3177" t="inlineStr">
        <is>
          <t xml:space="preserve">242746  </t>
        </is>
      </c>
      <c r="Q3177" s="26" t="n">
        <v>4.09</v>
      </c>
      <c r="R3177" s="26">
        <f>Q3177*G3177</f>
        <v/>
      </c>
      <c r="S3177" s="26">
        <f>IFERROR(VLOOKUP(E3177*1,Tabla[#All],8,0),0)</f>
        <v/>
      </c>
      <c r="T3177" s="26">
        <f>S3177*G3177</f>
        <v/>
      </c>
      <c r="U3177" s="26">
        <f>R3177-T3177</f>
        <v/>
      </c>
      <c r="V3177" s="26">
        <f>U3177-L3177</f>
        <v/>
      </c>
    </row>
    <row r="3178">
      <c r="A3178" s="11" t="n">
        <v>46234</v>
      </c>
      <c r="B3178" s="1" t="n">
        <v>20041</v>
      </c>
      <c r="C3178" s="1" t="inlineStr">
        <is>
          <t>037</t>
        </is>
      </c>
      <c r="D3178" s="1" t="inlineStr">
        <is>
          <t>190513</t>
        </is>
      </c>
      <c r="E3178" s="1" t="inlineStr">
        <is>
          <t xml:space="preserve">31959968       </t>
        </is>
      </c>
      <c r="F3178" s="5" t="inlineStr">
        <is>
          <t>PINYPON FIGURAS BASICAS SERIE 13 DISP. 56</t>
        </is>
      </c>
      <c r="G3178" t="n">
        <v>1</v>
      </c>
      <c r="H3178" s="7" t="n">
        <v>10.74</v>
      </c>
      <c r="I3178" s="7" t="n">
        <v>0</v>
      </c>
      <c r="J3178" s="7" t="n">
        <v>0</v>
      </c>
      <c r="K3178" s="9" t="n">
        <v>0</v>
      </c>
      <c r="L3178" s="10" t="n">
        <v>6.37</v>
      </c>
      <c r="M3178" s="10" t="n">
        <v>1.43</v>
      </c>
      <c r="N3178" t="inlineStr">
        <is>
          <t>1</t>
        </is>
      </c>
      <c r="O3178" t="inlineStr">
        <is>
          <t>16</t>
        </is>
      </c>
      <c r="P3178" t="inlineStr">
        <is>
          <t xml:space="preserve">243970  </t>
        </is>
      </c>
      <c r="Q3178" s="26" t="n">
        <v>10.62</v>
      </c>
      <c r="R3178" s="26">
        <f>Q3178*G3178</f>
        <v/>
      </c>
      <c r="S3178" s="26">
        <f>IFERROR(VLOOKUP(E3178*1,Tabla[#All],8,0),0)</f>
        <v/>
      </c>
      <c r="T3178" s="26">
        <f>S3178*G3178</f>
        <v/>
      </c>
      <c r="U3178" s="26">
        <f>R3178-T3178</f>
        <v/>
      </c>
      <c r="V3178" s="26">
        <f>U3178-L3178</f>
        <v/>
      </c>
    </row>
    <row r="3179">
      <c r="A3179" s="11" t="n">
        <v>46234</v>
      </c>
      <c r="B3179" s="1" t="n">
        <v>20041</v>
      </c>
      <c r="C3179" s="1" t="inlineStr">
        <is>
          <t>037</t>
        </is>
      </c>
      <c r="D3179" s="1" t="inlineStr">
        <is>
          <t>190513</t>
        </is>
      </c>
      <c r="E3179" s="1" t="inlineStr">
        <is>
          <t xml:space="preserve">34840534       </t>
        </is>
      </c>
      <c r="F3179" s="5" t="inlineStr">
        <is>
          <t>PINYPON TENEBROSA SERIE 14 CDU 24X2</t>
        </is>
      </c>
      <c r="G3179" t="n">
        <v>1</v>
      </c>
      <c r="H3179" s="7" t="n">
        <v>10.74</v>
      </c>
      <c r="I3179" s="7" t="n">
        <v>0</v>
      </c>
      <c r="J3179" s="7" t="n">
        <v>0</v>
      </c>
      <c r="K3179" s="9" t="n">
        <v>0</v>
      </c>
      <c r="L3179" s="10" t="n">
        <v>6.37</v>
      </c>
      <c r="M3179" s="10" t="n">
        <v>1.43</v>
      </c>
      <c r="N3179" t="inlineStr">
        <is>
          <t>1</t>
        </is>
      </c>
      <c r="O3179" t="inlineStr">
        <is>
          <t>16</t>
        </is>
      </c>
      <c r="P3179" t="inlineStr">
        <is>
          <t xml:space="preserve">243970  </t>
        </is>
      </c>
      <c r="Q3179" s="26" t="n">
        <v>10.62</v>
      </c>
      <c r="R3179" s="26">
        <f>Q3179*G3179</f>
        <v/>
      </c>
      <c r="S3179" s="26">
        <f>IFERROR(VLOOKUP(E3179*1,Tabla[#All],8,0),0)</f>
        <v/>
      </c>
      <c r="T3179" s="26">
        <f>S3179*G3179</f>
        <v/>
      </c>
      <c r="U3179" s="26">
        <f>R3179-T3179</f>
        <v/>
      </c>
      <c r="V3179" s="26">
        <f>U3179-L3179</f>
        <v/>
      </c>
    </row>
    <row r="3180">
      <c r="A3180" s="11" t="n">
        <v>46234</v>
      </c>
      <c r="B3180" s="1" t="n">
        <v>20047</v>
      </c>
      <c r="C3180" s="1" t="inlineStr">
        <is>
          <t>012</t>
        </is>
      </c>
      <c r="D3180" s="1" t="inlineStr">
        <is>
          <t>335105</t>
        </is>
      </c>
      <c r="E3180" s="1" t="inlineStr">
        <is>
          <t xml:space="preserve">28194770       </t>
        </is>
      </c>
      <c r="F3180" s="5" t="inlineStr">
        <is>
          <t>AUTOS DE METAL 3 TEAMSTERZ EN BLISTER</t>
        </is>
      </c>
      <c r="G3180" t="n">
        <v>1</v>
      </c>
      <c r="H3180" s="7" t="n">
        <v>6.9</v>
      </c>
      <c r="I3180" s="7" t="n">
        <v>0</v>
      </c>
      <c r="J3180" s="7" t="n">
        <v>0</v>
      </c>
      <c r="K3180" s="9" t="n">
        <v>0</v>
      </c>
      <c r="L3180" s="10" t="n">
        <v>4.1</v>
      </c>
      <c r="M3180" s="10" t="n">
        <v>1.43</v>
      </c>
      <c r="N3180" t="inlineStr">
        <is>
          <t>1</t>
        </is>
      </c>
      <c r="O3180" t="inlineStr">
        <is>
          <t xml:space="preserve">2 </t>
        </is>
      </c>
      <c r="P3180" t="inlineStr">
        <is>
          <t xml:space="preserve">245862  </t>
        </is>
      </c>
      <c r="Q3180" s="26" t="n">
        <v>4.09</v>
      </c>
      <c r="R3180" s="26">
        <f>Q3180*G3180</f>
        <v/>
      </c>
      <c r="S3180" s="26">
        <f>IFERROR(VLOOKUP(E3180*1,Tabla[#All],8,0),0)</f>
        <v/>
      </c>
      <c r="T3180" s="26">
        <f>S3180*G3180</f>
        <v/>
      </c>
      <c r="U3180" s="26">
        <f>R3180-T3180</f>
        <v/>
      </c>
      <c r="V3180" s="26">
        <f>U3180-L3180</f>
        <v/>
      </c>
    </row>
    <row r="3181">
      <c r="A3181" s="11" t="n">
        <v>46234</v>
      </c>
      <c r="B3181" s="1" t="n">
        <v>20047</v>
      </c>
      <c r="C3181" s="1" t="inlineStr">
        <is>
          <t>012</t>
        </is>
      </c>
      <c r="D3181" s="1" t="inlineStr">
        <is>
          <t>335105</t>
        </is>
      </c>
      <c r="E3181" s="1" t="inlineStr">
        <is>
          <t xml:space="preserve">28194770       </t>
        </is>
      </c>
      <c r="F3181" s="5" t="inlineStr">
        <is>
          <t>AUTOS DE METAL 3 TEAMSTERZ EN BLISTER</t>
        </is>
      </c>
      <c r="G3181" t="n">
        <v>1</v>
      </c>
      <c r="H3181" s="7" t="n">
        <v>6.9</v>
      </c>
      <c r="I3181" s="7" t="n">
        <v>0</v>
      </c>
      <c r="J3181" s="7" t="n">
        <v>0</v>
      </c>
      <c r="K3181" s="9" t="n">
        <v>0</v>
      </c>
      <c r="L3181" s="10" t="n">
        <v>4.1</v>
      </c>
      <c r="M3181" s="10" t="n">
        <v>1.43</v>
      </c>
      <c r="N3181" t="inlineStr">
        <is>
          <t>1</t>
        </is>
      </c>
      <c r="O3181" t="inlineStr">
        <is>
          <t xml:space="preserve">2 </t>
        </is>
      </c>
      <c r="P3181" t="inlineStr">
        <is>
          <t xml:space="preserve">245862  </t>
        </is>
      </c>
      <c r="Q3181" s="26" t="n">
        <v>4.09</v>
      </c>
      <c r="R3181" s="26">
        <f>Q3181*G3181</f>
        <v/>
      </c>
      <c r="S3181" s="26">
        <f>IFERROR(VLOOKUP(E3181*1,Tabla[#All],8,0),0)</f>
        <v/>
      </c>
      <c r="T3181" s="26">
        <f>S3181*G3181</f>
        <v/>
      </c>
      <c r="U3181" s="26">
        <f>R3181-T3181</f>
        <v/>
      </c>
      <c r="V3181" s="26">
        <f>U3181-L3181</f>
        <v/>
      </c>
    </row>
    <row r="3182">
      <c r="A3182" s="11" t="n">
        <v>46234</v>
      </c>
      <c r="B3182" s="1" t="n">
        <v>20047</v>
      </c>
      <c r="C3182" s="1" t="inlineStr">
        <is>
          <t>012</t>
        </is>
      </c>
      <c r="D3182" s="1" t="inlineStr">
        <is>
          <t>335105</t>
        </is>
      </c>
      <c r="E3182" s="1" t="inlineStr">
        <is>
          <t xml:space="preserve">28194770       </t>
        </is>
      </c>
      <c r="F3182" s="5" t="inlineStr">
        <is>
          <t>AUTOS DE METAL 3 TEAMSTERZ EN BLISTER</t>
        </is>
      </c>
      <c r="G3182" t="n">
        <v>1</v>
      </c>
      <c r="H3182" s="7" t="n">
        <v>6.9</v>
      </c>
      <c r="I3182" s="7" t="n">
        <v>0</v>
      </c>
      <c r="J3182" s="7" t="n">
        <v>0</v>
      </c>
      <c r="K3182" s="9" t="n">
        <v>0</v>
      </c>
      <c r="L3182" s="10" t="n">
        <v>4.1</v>
      </c>
      <c r="M3182" s="10" t="n">
        <v>1.43</v>
      </c>
      <c r="N3182" t="inlineStr">
        <is>
          <t>1</t>
        </is>
      </c>
      <c r="O3182" t="inlineStr">
        <is>
          <t xml:space="preserve">2 </t>
        </is>
      </c>
      <c r="P3182" t="inlineStr">
        <is>
          <t xml:space="preserve">245862  </t>
        </is>
      </c>
      <c r="Q3182" s="26" t="n">
        <v>4.09</v>
      </c>
      <c r="R3182" s="26">
        <f>Q3182*G3182</f>
        <v/>
      </c>
      <c r="S3182" s="26">
        <f>IFERROR(VLOOKUP(E3182*1,Tabla[#All],8,0),0)</f>
        <v/>
      </c>
      <c r="T3182" s="26">
        <f>S3182*G3182</f>
        <v/>
      </c>
      <c r="U3182" s="26">
        <f>R3182-T3182</f>
        <v/>
      </c>
      <c r="V3182" s="26">
        <f>U3182-L3182</f>
        <v/>
      </c>
    </row>
    <row r="3183">
      <c r="A3183" s="11" t="n">
        <v>46234</v>
      </c>
      <c r="B3183" s="1" t="n">
        <v>20047</v>
      </c>
      <c r="C3183" s="1" t="inlineStr">
        <is>
          <t>504</t>
        </is>
      </c>
      <c r="D3183" s="1" t="inlineStr">
        <is>
          <t xml:space="preserve">3191  </t>
        </is>
      </c>
      <c r="E3183" s="1" t="inlineStr">
        <is>
          <t xml:space="preserve">34840553       </t>
        </is>
      </c>
      <c r="F3183" s="5" t="inlineStr">
        <is>
          <t>TMZ AUTO LUZ Y SONIDO ESQUELET DINO T-REX</t>
        </is>
      </c>
      <c r="G3183" t="n">
        <v>1</v>
      </c>
      <c r="H3183" s="7" t="n">
        <v>79.90000000000001</v>
      </c>
      <c r="I3183" s="7" t="n">
        <v>0</v>
      </c>
      <c r="J3183" s="7" t="n">
        <v>0</v>
      </c>
      <c r="K3183" s="9" t="n">
        <v>0</v>
      </c>
      <c r="L3183" s="10" t="n">
        <v>47.4</v>
      </c>
      <c r="M3183" s="10" t="n">
        <v>1.43</v>
      </c>
      <c r="N3183" t="inlineStr">
        <is>
          <t>1</t>
        </is>
      </c>
      <c r="O3183" t="inlineStr">
        <is>
          <t>16</t>
        </is>
      </c>
      <c r="P3183" t="inlineStr">
        <is>
          <t xml:space="preserve">251614  </t>
        </is>
      </c>
      <c r="Q3183" s="26" t="n">
        <v>47.4</v>
      </c>
      <c r="R3183" s="26">
        <f>Q3183*G3183</f>
        <v/>
      </c>
      <c r="S3183" s="26">
        <f>IFERROR(VLOOKUP(E3183*1,Tabla[#All],8,0),0)</f>
        <v/>
      </c>
      <c r="T3183" s="26">
        <f>S3183*G3183</f>
        <v/>
      </c>
      <c r="U3183" s="26">
        <f>R3183-T3183</f>
        <v/>
      </c>
      <c r="V3183" s="26">
        <f>U3183-L3183</f>
        <v/>
      </c>
    </row>
    <row r="3184">
      <c r="A3184" s="11" t="n">
        <v>46234</v>
      </c>
      <c r="B3184" s="1" t="n">
        <v>20047</v>
      </c>
      <c r="C3184" s="1" t="inlineStr">
        <is>
          <t>601</t>
        </is>
      </c>
      <c r="D3184" s="1" t="inlineStr">
        <is>
          <t xml:space="preserve">1493  </t>
        </is>
      </c>
      <c r="E3184" s="1" t="inlineStr">
        <is>
          <t xml:space="preserve">28194770       </t>
        </is>
      </c>
      <c r="F3184" s="5" t="inlineStr">
        <is>
          <t>AUTOS DE METAL 3 TEAMSTERZ EN BLISTER</t>
        </is>
      </c>
      <c r="G3184" t="n">
        <v>1</v>
      </c>
      <c r="H3184" s="7" t="n">
        <v>6.9</v>
      </c>
      <c r="I3184" s="7" t="n">
        <v>0</v>
      </c>
      <c r="J3184" s="7" t="n">
        <v>0</v>
      </c>
      <c r="K3184" s="9" t="n">
        <v>0</v>
      </c>
      <c r="L3184" s="10" t="n">
        <v>4.1</v>
      </c>
      <c r="M3184" s="10" t="n">
        <v>1.43</v>
      </c>
      <c r="N3184" t="inlineStr">
        <is>
          <t>1</t>
        </is>
      </c>
      <c r="O3184" t="inlineStr">
        <is>
          <t>16</t>
        </is>
      </c>
      <c r="P3184" t="inlineStr">
        <is>
          <t xml:space="preserve">249995  </t>
        </is>
      </c>
      <c r="Q3184" s="26" t="n">
        <v>4.09</v>
      </c>
      <c r="R3184" s="26">
        <f>Q3184*G3184</f>
        <v/>
      </c>
      <c r="S3184" s="26">
        <f>IFERROR(VLOOKUP(E3184*1,Tabla[#All],8,0),0)</f>
        <v/>
      </c>
      <c r="T3184" s="26">
        <f>S3184*G3184</f>
        <v/>
      </c>
      <c r="U3184" s="26">
        <f>R3184-T3184</f>
        <v/>
      </c>
      <c r="V3184" s="26">
        <f>U3184-L3184</f>
        <v/>
      </c>
    </row>
    <row r="3185">
      <c r="A3185" s="11" t="n">
        <v>46234</v>
      </c>
      <c r="B3185" s="1" t="n">
        <v>20048</v>
      </c>
      <c r="C3185" s="1" t="inlineStr">
        <is>
          <t>013</t>
        </is>
      </c>
      <c r="D3185" s="1" t="inlineStr">
        <is>
          <t>227451</t>
        </is>
      </c>
      <c r="E3185" s="1" t="inlineStr">
        <is>
          <t xml:space="preserve">31754677       </t>
        </is>
      </c>
      <c r="F3185" s="5" t="inlineStr">
        <is>
          <t>INFINITY NADO SERIE 6 SET DE BATALL</t>
        </is>
      </c>
      <c r="G3185" t="n">
        <v>1</v>
      </c>
      <c r="H3185" s="7" t="n">
        <v>149</v>
      </c>
      <c r="I3185" s="7" t="n">
        <v>0</v>
      </c>
      <c r="J3185" s="7" t="n">
        <v>0</v>
      </c>
      <c r="K3185" s="9" t="n">
        <v>0</v>
      </c>
      <c r="L3185" s="10" t="n">
        <v>88.39</v>
      </c>
      <c r="M3185" s="10" t="n">
        <v>1.43</v>
      </c>
      <c r="N3185" t="inlineStr">
        <is>
          <t>1</t>
        </is>
      </c>
      <c r="O3185" t="inlineStr">
        <is>
          <t xml:space="preserve">3 </t>
        </is>
      </c>
      <c r="P3185" t="inlineStr">
        <is>
          <t xml:space="preserve">241949  </t>
        </is>
      </c>
      <c r="Q3185" s="26" t="n">
        <v>112.12</v>
      </c>
      <c r="R3185" s="26">
        <f>Q3185*G3185</f>
        <v/>
      </c>
      <c r="S3185" s="26">
        <f>IFERROR(VLOOKUP(E3185*1,Tabla[#All],8,0),0)</f>
        <v/>
      </c>
      <c r="T3185" s="26">
        <f>S3185*G3185</f>
        <v/>
      </c>
      <c r="U3185" s="26">
        <f>R3185-T3185</f>
        <v/>
      </c>
      <c r="V3185" s="26">
        <f>U3185-L3185</f>
        <v/>
      </c>
    </row>
    <row r="3186">
      <c r="A3186" s="11" t="n">
        <v>46234</v>
      </c>
      <c r="B3186" s="1" t="n">
        <v>20048</v>
      </c>
      <c r="C3186" s="1" t="inlineStr">
        <is>
          <t>017</t>
        </is>
      </c>
      <c r="D3186" s="1" t="inlineStr">
        <is>
          <t>168196</t>
        </is>
      </c>
      <c r="E3186" s="1" t="inlineStr">
        <is>
          <t xml:space="preserve">28194770       </t>
        </is>
      </c>
      <c r="F3186" s="5" t="inlineStr">
        <is>
          <t>AUTOS DE METAL 3 TEAMSTERZ EN BLISTER</t>
        </is>
      </c>
      <c r="G3186" t="n">
        <v>1</v>
      </c>
      <c r="H3186" s="7" t="n">
        <v>6.9</v>
      </c>
      <c r="I3186" s="7" t="n">
        <v>0</v>
      </c>
      <c r="J3186" s="7" t="n">
        <v>0</v>
      </c>
      <c r="K3186" s="9" t="n">
        <v>0</v>
      </c>
      <c r="L3186" s="10" t="n">
        <v>4.1</v>
      </c>
      <c r="M3186" s="10" t="n">
        <v>1.43</v>
      </c>
      <c r="N3186" t="inlineStr">
        <is>
          <t>1</t>
        </is>
      </c>
      <c r="O3186" t="inlineStr">
        <is>
          <t>16</t>
        </is>
      </c>
      <c r="P3186" t="inlineStr">
        <is>
          <t xml:space="preserve">250434  </t>
        </is>
      </c>
      <c r="Q3186" s="26" t="n">
        <v>4.09</v>
      </c>
      <c r="R3186" s="26">
        <f>Q3186*G3186</f>
        <v/>
      </c>
      <c r="S3186" s="26">
        <f>IFERROR(VLOOKUP(E3186*1,Tabla[#All],8,0),0)</f>
        <v/>
      </c>
      <c r="T3186" s="26">
        <f>S3186*G3186</f>
        <v/>
      </c>
      <c r="U3186" s="26">
        <f>R3186-T3186</f>
        <v/>
      </c>
      <c r="V3186" s="26">
        <f>U3186-L3186</f>
        <v/>
      </c>
    </row>
    <row r="3187">
      <c r="A3187" s="11" t="n">
        <v>46234</v>
      </c>
      <c r="B3187" s="1" t="n">
        <v>20048</v>
      </c>
      <c r="C3187" s="1" t="inlineStr">
        <is>
          <t>191</t>
        </is>
      </c>
      <c r="D3187" s="1" t="inlineStr">
        <is>
          <t>167251</t>
        </is>
      </c>
      <c r="E3187" s="1" t="inlineStr">
        <is>
          <t xml:space="preserve">28194769       </t>
        </is>
      </c>
      <c r="F3187" s="5" t="inlineStr">
        <is>
          <t>AUTOS DE METAL 3 TEAMSTERZ PACK DE 2</t>
        </is>
      </c>
      <c r="G3187" t="n">
        <v>1</v>
      </c>
      <c r="H3187" s="7" t="n">
        <v>13.8</v>
      </c>
      <c r="I3187" s="7" t="n">
        <v>0</v>
      </c>
      <c r="J3187" s="7" t="n">
        <v>0</v>
      </c>
      <c r="K3187" s="9" t="n">
        <v>0</v>
      </c>
      <c r="L3187" s="10" t="n">
        <v>8.18</v>
      </c>
      <c r="M3187" s="10" t="n">
        <v>1.43</v>
      </c>
      <c r="N3187" t="inlineStr">
        <is>
          <t>1</t>
        </is>
      </c>
      <c r="O3187" t="inlineStr">
        <is>
          <t xml:space="preserve">6 </t>
        </is>
      </c>
      <c r="P3187" t="inlineStr">
        <is>
          <t xml:space="preserve">95077   </t>
        </is>
      </c>
      <c r="Q3187" s="26" t="n">
        <v>8.19</v>
      </c>
      <c r="R3187" s="26">
        <f>Q3187*G3187</f>
        <v/>
      </c>
      <c r="S3187" s="26">
        <f>IFERROR(VLOOKUP(E3187*1,Tabla[#All],8,0),0)</f>
        <v/>
      </c>
      <c r="T3187" s="26">
        <f>S3187*G3187</f>
        <v/>
      </c>
      <c r="U3187" s="26">
        <f>R3187-T3187</f>
        <v/>
      </c>
      <c r="V3187" s="26">
        <f>U3187-L3187</f>
        <v/>
      </c>
    </row>
    <row r="3188">
      <c r="A3188" s="11" t="n">
        <v>46234</v>
      </c>
      <c r="B3188" s="1" t="n">
        <v>20049</v>
      </c>
      <c r="C3188" s="1" t="inlineStr">
        <is>
          <t>013</t>
        </is>
      </c>
      <c r="D3188" s="1" t="inlineStr">
        <is>
          <t>238306</t>
        </is>
      </c>
      <c r="E3188" s="1" t="inlineStr">
        <is>
          <t xml:space="preserve">28194769       </t>
        </is>
      </c>
      <c r="F3188" s="5" t="inlineStr">
        <is>
          <t>AUTOS DE METAL 3 TEAMSTERZ PACK DE 2</t>
        </is>
      </c>
      <c r="G3188" t="n">
        <v>1</v>
      </c>
      <c r="H3188" s="7" t="n">
        <v>13.8</v>
      </c>
      <c r="I3188" s="7" t="n">
        <v>0</v>
      </c>
      <c r="J3188" s="7" t="n">
        <v>0</v>
      </c>
      <c r="K3188" s="9" t="n">
        <v>0</v>
      </c>
      <c r="L3188" s="10" t="n">
        <v>8.18</v>
      </c>
      <c r="M3188" s="10" t="n">
        <v>1.43</v>
      </c>
      <c r="N3188" t="inlineStr">
        <is>
          <t>1</t>
        </is>
      </c>
      <c r="O3188" t="inlineStr">
        <is>
          <t xml:space="preserve">3 </t>
        </is>
      </c>
      <c r="P3188" t="inlineStr">
        <is>
          <t xml:space="preserve">248535  </t>
        </is>
      </c>
      <c r="Q3188" s="26" t="n">
        <v>8.19</v>
      </c>
      <c r="R3188" s="26">
        <f>Q3188*G3188</f>
        <v/>
      </c>
      <c r="S3188" s="26">
        <f>IFERROR(VLOOKUP(E3188*1,Tabla[#All],8,0),0)</f>
        <v/>
      </c>
      <c r="T3188" s="26">
        <f>S3188*G3188</f>
        <v/>
      </c>
      <c r="U3188" s="26">
        <f>R3188-T3188</f>
        <v/>
      </c>
      <c r="V3188" s="26">
        <f>U3188-L3188</f>
        <v/>
      </c>
    </row>
    <row r="3189">
      <c r="A3189" s="11" t="n">
        <v>46234</v>
      </c>
      <c r="B3189" s="1" t="n">
        <v>20049</v>
      </c>
      <c r="C3189" s="1" t="inlineStr">
        <is>
          <t>013</t>
        </is>
      </c>
      <c r="D3189" s="1" t="inlineStr">
        <is>
          <t>238306</t>
        </is>
      </c>
      <c r="E3189" s="1" t="inlineStr">
        <is>
          <t xml:space="preserve">29235700       </t>
        </is>
      </c>
      <c r="F3189" s="5" t="inlineStr">
        <is>
          <t>HOT WHEELS CASE METALICO PARA GUARDAR 18 CARRITOS</t>
        </is>
      </c>
      <c r="G3189" t="n">
        <v>1</v>
      </c>
      <c r="H3189" s="7" t="n">
        <v>49.9</v>
      </c>
      <c r="I3189" s="7" t="n">
        <v>0</v>
      </c>
      <c r="J3189" s="7" t="n">
        <v>0</v>
      </c>
      <c r="K3189" s="9" t="n">
        <v>0</v>
      </c>
      <c r="L3189" s="10" t="n">
        <v>29.6</v>
      </c>
      <c r="M3189" s="10" t="n">
        <v>1.43</v>
      </c>
      <c r="N3189" t="inlineStr">
        <is>
          <t>1</t>
        </is>
      </c>
      <c r="O3189" t="inlineStr">
        <is>
          <t xml:space="preserve">3 </t>
        </is>
      </c>
      <c r="P3189" t="inlineStr">
        <is>
          <t xml:space="preserve">248535  </t>
        </is>
      </c>
      <c r="Q3189" s="26" t="n">
        <v>29.6</v>
      </c>
      <c r="R3189" s="26">
        <f>Q3189*G3189</f>
        <v/>
      </c>
      <c r="S3189" s="26">
        <f>IFERROR(VLOOKUP(E3189*1,Tabla[#All],8,0),0)</f>
        <v/>
      </c>
      <c r="T3189" s="26">
        <f>S3189*G3189</f>
        <v/>
      </c>
      <c r="U3189" s="26">
        <f>R3189-T3189</f>
        <v/>
      </c>
      <c r="V3189" s="26">
        <f>U3189-L3189</f>
        <v/>
      </c>
    </row>
    <row r="3190">
      <c r="A3190" s="11" t="n">
        <v>46234</v>
      </c>
      <c r="B3190" s="1" t="n">
        <v>20049</v>
      </c>
      <c r="C3190" s="1" t="inlineStr">
        <is>
          <t>025</t>
        </is>
      </c>
      <c r="D3190" s="1" t="inlineStr">
        <is>
          <t xml:space="preserve">567   </t>
        </is>
      </c>
      <c r="E3190" s="1" t="inlineStr">
        <is>
          <t xml:space="preserve">29235712       </t>
        </is>
      </c>
      <c r="F3190" s="5" t="inlineStr">
        <is>
          <t>TEAMSTERZ DISPARADOR DINOSAURIO INCL. 1 AUTO</t>
        </is>
      </c>
      <c r="G3190" t="n">
        <v>1</v>
      </c>
      <c r="H3190" s="7" t="n">
        <v>12.9</v>
      </c>
      <c r="I3190" s="7" t="n">
        <v>0</v>
      </c>
      <c r="J3190" s="7" t="n">
        <v>0</v>
      </c>
      <c r="K3190" s="9" t="n">
        <v>0</v>
      </c>
      <c r="L3190" s="10" t="n">
        <v>7.65</v>
      </c>
      <c r="M3190" s="10" t="n">
        <v>1.43</v>
      </c>
      <c r="N3190" t="inlineStr">
        <is>
          <t>1</t>
        </is>
      </c>
      <c r="O3190" t="inlineStr">
        <is>
          <t xml:space="preserve">3 </t>
        </is>
      </c>
      <c r="P3190" t="inlineStr">
        <is>
          <t xml:space="preserve">48754   </t>
        </is>
      </c>
      <c r="Q3190" s="26" t="n">
        <v>17.74</v>
      </c>
      <c r="R3190" s="26">
        <f>Q3190*G3190</f>
        <v/>
      </c>
      <c r="S3190" s="26">
        <f>IFERROR(VLOOKUP(E3190*1,Tabla[#All],8,0),0)</f>
        <v/>
      </c>
      <c r="T3190" s="26">
        <f>S3190*G3190</f>
        <v/>
      </c>
      <c r="U3190" s="26">
        <f>R3190-T3190</f>
        <v/>
      </c>
      <c r="V3190" s="26">
        <f>U3190-L3190</f>
        <v/>
      </c>
    </row>
    <row r="3191">
      <c r="A3191" s="11" t="n">
        <v>46234</v>
      </c>
      <c r="B3191" s="1" t="n">
        <v>20049</v>
      </c>
      <c r="C3191" s="1" t="inlineStr">
        <is>
          <t>512</t>
        </is>
      </c>
      <c r="D3191" s="1" t="inlineStr">
        <is>
          <t xml:space="preserve">3189  </t>
        </is>
      </c>
      <c r="E3191" s="1" t="inlineStr">
        <is>
          <t xml:space="preserve">28194780       </t>
        </is>
      </c>
      <c r="F3191" s="5" t="inlineStr">
        <is>
          <t>TROMPO BATALLA INFINITY NADO PLSTICO SURTIDO</t>
        </is>
      </c>
      <c r="G3191" t="n">
        <v>1</v>
      </c>
      <c r="H3191" s="7" t="n">
        <v>19.9</v>
      </c>
      <c r="I3191" s="7" t="n">
        <v>0</v>
      </c>
      <c r="J3191" s="7" t="n">
        <v>0</v>
      </c>
      <c r="K3191" s="9" t="n">
        <v>0</v>
      </c>
      <c r="L3191" s="10" t="n">
        <v>11.8</v>
      </c>
      <c r="M3191" s="10" t="n">
        <v>1.43</v>
      </c>
      <c r="N3191" t="inlineStr">
        <is>
          <t>1</t>
        </is>
      </c>
      <c r="O3191" t="inlineStr">
        <is>
          <t>16</t>
        </is>
      </c>
      <c r="P3191" t="inlineStr">
        <is>
          <t xml:space="preserve">247905  </t>
        </is>
      </c>
      <c r="Q3191" s="26" t="n">
        <v>11.81</v>
      </c>
      <c r="R3191" s="26">
        <f>Q3191*G3191</f>
        <v/>
      </c>
      <c r="S3191" s="26">
        <f>IFERROR(VLOOKUP(E3191*1,Tabla[#All],8,0),0)</f>
        <v/>
      </c>
      <c r="T3191" s="26">
        <f>S3191*G3191</f>
        <v/>
      </c>
      <c r="U3191" s="26">
        <f>R3191-T3191</f>
        <v/>
      </c>
      <c r="V3191" s="26">
        <f>U3191-L3191</f>
        <v/>
      </c>
    </row>
    <row r="3192">
      <c r="A3192" s="11" t="n">
        <v>46234</v>
      </c>
      <c r="B3192" s="1" t="n">
        <v>20056</v>
      </c>
      <c r="C3192" s="1" t="inlineStr">
        <is>
          <t>010</t>
        </is>
      </c>
      <c r="D3192" s="1" t="inlineStr">
        <is>
          <t xml:space="preserve">44110 </t>
        </is>
      </c>
      <c r="E3192" s="1" t="inlineStr">
        <is>
          <t xml:space="preserve">28194769       </t>
        </is>
      </c>
      <c r="F3192" s="5" t="inlineStr">
        <is>
          <t>AUTOS DE METAL 3 TEAMSTERZ PACK DE 2</t>
        </is>
      </c>
      <c r="G3192" t="n">
        <v>1</v>
      </c>
      <c r="H3192" s="7" t="n">
        <v>13.8</v>
      </c>
      <c r="I3192" s="7" t="n">
        <v>0</v>
      </c>
      <c r="J3192" s="7" t="n">
        <v>0</v>
      </c>
      <c r="K3192" s="9" t="n">
        <v>0</v>
      </c>
      <c r="L3192" s="10" t="n">
        <v>8.18</v>
      </c>
      <c r="M3192" s="10" t="n">
        <v>1.43</v>
      </c>
      <c r="N3192" t="inlineStr">
        <is>
          <t>1</t>
        </is>
      </c>
      <c r="O3192" t="inlineStr">
        <is>
          <t>16</t>
        </is>
      </c>
      <c r="P3192" t="inlineStr">
        <is>
          <t xml:space="preserve">246533  </t>
        </is>
      </c>
      <c r="Q3192" s="26" t="n">
        <v>8.19</v>
      </c>
      <c r="R3192" s="26">
        <f>Q3192*G3192</f>
        <v/>
      </c>
      <c r="S3192" s="26">
        <f>IFERROR(VLOOKUP(E3192*1,Tabla[#All],8,0),0)</f>
        <v/>
      </c>
      <c r="T3192" s="26">
        <f>S3192*G3192</f>
        <v/>
      </c>
      <c r="U3192" s="26">
        <f>R3192-T3192</f>
        <v/>
      </c>
      <c r="V3192" s="26">
        <f>U3192-L3192</f>
        <v/>
      </c>
    </row>
    <row r="3193">
      <c r="A3193" s="11" t="n">
        <v>46234</v>
      </c>
      <c r="B3193" s="1" t="n">
        <v>20056</v>
      </c>
      <c r="C3193" s="1" t="inlineStr">
        <is>
          <t>021</t>
        </is>
      </c>
      <c r="D3193" s="1" t="inlineStr">
        <is>
          <t xml:space="preserve">53327 </t>
        </is>
      </c>
      <c r="E3193" s="1" t="inlineStr">
        <is>
          <t xml:space="preserve">31800858       </t>
        </is>
      </c>
      <c r="F3193" s="5" t="inlineStr">
        <is>
          <t>DART ZONE BLITZFIRE TIRO RAPIDO BLASTER X2</t>
        </is>
      </c>
      <c r="G3193" t="n">
        <v>1</v>
      </c>
      <c r="H3193" s="7" t="n">
        <v>29.95</v>
      </c>
      <c r="I3193" s="7" t="n">
        <v>0</v>
      </c>
      <c r="J3193" s="7" t="n">
        <v>0</v>
      </c>
      <c r="K3193" s="9" t="n">
        <v>0</v>
      </c>
      <c r="L3193" s="10" t="n">
        <v>17.77</v>
      </c>
      <c r="M3193" s="10" t="n">
        <v>1.43</v>
      </c>
      <c r="N3193" t="inlineStr">
        <is>
          <t>1</t>
        </is>
      </c>
      <c r="O3193" t="inlineStr">
        <is>
          <t>16</t>
        </is>
      </c>
      <c r="P3193" t="inlineStr">
        <is>
          <t xml:space="preserve">247194  </t>
        </is>
      </c>
      <c r="Q3193" s="26" t="n">
        <v>35.53</v>
      </c>
      <c r="R3193" s="26">
        <f>Q3193*G3193</f>
        <v/>
      </c>
      <c r="S3193" s="26">
        <f>IFERROR(VLOOKUP(E3193*1,Tabla[#All],8,0),0)</f>
        <v/>
      </c>
      <c r="T3193" s="26">
        <f>S3193*G3193</f>
        <v/>
      </c>
      <c r="U3193" s="26">
        <f>R3193-T3193</f>
        <v/>
      </c>
      <c r="V3193" s="26">
        <f>U3193-L3193</f>
        <v/>
      </c>
    </row>
    <row r="3194">
      <c r="A3194" s="11" t="n">
        <v>46234</v>
      </c>
      <c r="B3194" s="1" t="n">
        <v>20056</v>
      </c>
      <c r="C3194" s="1" t="inlineStr">
        <is>
          <t>022</t>
        </is>
      </c>
      <c r="D3194" s="1" t="inlineStr">
        <is>
          <t xml:space="preserve">55643 </t>
        </is>
      </c>
      <c r="E3194" s="1" t="inlineStr">
        <is>
          <t xml:space="preserve">28194769       </t>
        </is>
      </c>
      <c r="F3194" s="5" t="inlineStr">
        <is>
          <t>AUTOS DE METAL 3 TEAMSTERZ PACK DE 2</t>
        </is>
      </c>
      <c r="G3194" t="n">
        <v>1</v>
      </c>
      <c r="H3194" s="7" t="n">
        <v>13.8</v>
      </c>
      <c r="I3194" s="7" t="n">
        <v>0</v>
      </c>
      <c r="J3194" s="7" t="n">
        <v>0</v>
      </c>
      <c r="K3194" s="9" t="n">
        <v>0</v>
      </c>
      <c r="L3194" s="10" t="n">
        <v>8.18</v>
      </c>
      <c r="M3194" s="10" t="n">
        <v>1.43</v>
      </c>
      <c r="N3194" t="inlineStr">
        <is>
          <t>1</t>
        </is>
      </c>
      <c r="O3194" t="inlineStr">
        <is>
          <t xml:space="preserve">2 </t>
        </is>
      </c>
      <c r="P3194" t="inlineStr">
        <is>
          <t xml:space="preserve">244178  </t>
        </is>
      </c>
      <c r="Q3194" s="26" t="n">
        <v>8.19</v>
      </c>
      <c r="R3194" s="26">
        <f>Q3194*G3194</f>
        <v/>
      </c>
      <c r="S3194" s="26">
        <f>IFERROR(VLOOKUP(E3194*1,Tabla[#All],8,0),0)</f>
        <v/>
      </c>
      <c r="T3194" s="26">
        <f>S3194*G3194</f>
        <v/>
      </c>
      <c r="U3194" s="26">
        <f>R3194-T3194</f>
        <v/>
      </c>
      <c r="V3194" s="26">
        <f>U3194-L3194</f>
        <v/>
      </c>
    </row>
    <row r="3195">
      <c r="A3195" s="11" t="n">
        <v>46234</v>
      </c>
      <c r="B3195" s="1" t="n">
        <v>20058</v>
      </c>
      <c r="C3195" s="1" t="inlineStr">
        <is>
          <t>038</t>
        </is>
      </c>
      <c r="D3195" s="1" t="inlineStr">
        <is>
          <t>211139</t>
        </is>
      </c>
      <c r="E3195" s="1" t="inlineStr">
        <is>
          <t xml:space="preserve">28194769       </t>
        </is>
      </c>
      <c r="F3195" s="5" t="inlineStr">
        <is>
          <t>AUTOS DE METAL 3 TEAMSTERZ PACK DE 2</t>
        </is>
      </c>
      <c r="G3195" t="n">
        <v>1</v>
      </c>
      <c r="H3195" s="7" t="n">
        <v>13.8</v>
      </c>
      <c r="I3195" s="7" t="n">
        <v>0</v>
      </c>
      <c r="J3195" s="7" t="n">
        <v>0</v>
      </c>
      <c r="K3195" s="9" t="n">
        <v>0</v>
      </c>
      <c r="L3195" s="10" t="n">
        <v>8.18</v>
      </c>
      <c r="M3195" s="10" t="n">
        <v>1.43</v>
      </c>
      <c r="N3195" t="inlineStr">
        <is>
          <t>1</t>
        </is>
      </c>
      <c r="O3195" t="inlineStr">
        <is>
          <t xml:space="preserve">2 </t>
        </is>
      </c>
      <c r="P3195" t="inlineStr">
        <is>
          <t xml:space="preserve">97366   </t>
        </is>
      </c>
      <c r="Q3195" s="26" t="n">
        <v>8.19</v>
      </c>
      <c r="R3195" s="26">
        <f>Q3195*G3195</f>
        <v/>
      </c>
      <c r="S3195" s="26">
        <f>IFERROR(VLOOKUP(E3195*1,Tabla[#All],8,0),0)</f>
        <v/>
      </c>
      <c r="T3195" s="26">
        <f>S3195*G3195</f>
        <v/>
      </c>
      <c r="U3195" s="26">
        <f>R3195-T3195</f>
        <v/>
      </c>
      <c r="V3195" s="26">
        <f>U3195-L3195</f>
        <v/>
      </c>
    </row>
    <row r="3196">
      <c r="A3196" s="11" t="n">
        <v>46234</v>
      </c>
      <c r="B3196" s="1" t="n">
        <v>20058</v>
      </c>
      <c r="C3196" s="1" t="inlineStr">
        <is>
          <t>038</t>
        </is>
      </c>
      <c r="D3196" s="1" t="inlineStr">
        <is>
          <t>211172</t>
        </is>
      </c>
      <c r="E3196" s="1" t="inlineStr">
        <is>
          <t xml:space="preserve">28194769       </t>
        </is>
      </c>
      <c r="F3196" s="5" t="inlineStr">
        <is>
          <t>AUTOS DE METAL 3 TEAMSTERZ PACK DE 2</t>
        </is>
      </c>
      <c r="G3196" t="n">
        <v>1</v>
      </c>
      <c r="H3196" s="7" t="n">
        <v>13.8</v>
      </c>
      <c r="I3196" s="7" t="n">
        <v>0</v>
      </c>
      <c r="J3196" s="7" t="n">
        <v>0</v>
      </c>
      <c r="K3196" s="9" t="n">
        <v>0</v>
      </c>
      <c r="L3196" s="10" t="n">
        <v>8.18</v>
      </c>
      <c r="M3196" s="10" t="n">
        <v>1.43</v>
      </c>
      <c r="N3196" t="inlineStr">
        <is>
          <t>1</t>
        </is>
      </c>
      <c r="O3196" t="inlineStr">
        <is>
          <t>16</t>
        </is>
      </c>
      <c r="P3196" t="inlineStr">
        <is>
          <t xml:space="preserve">97366   </t>
        </is>
      </c>
      <c r="Q3196" s="26" t="n">
        <v>8.19</v>
      </c>
      <c r="R3196" s="26">
        <f>Q3196*G3196</f>
        <v/>
      </c>
      <c r="S3196" s="26">
        <f>IFERROR(VLOOKUP(E3196*1,Tabla[#All],8,0),0)</f>
        <v/>
      </c>
      <c r="T3196" s="26">
        <f>S3196*G3196</f>
        <v/>
      </c>
      <c r="U3196" s="26">
        <f>R3196-T3196</f>
        <v/>
      </c>
      <c r="V3196" s="26">
        <f>U3196-L3196</f>
        <v/>
      </c>
    </row>
    <row r="3197">
      <c r="A3197" s="11" t="n">
        <v>46234</v>
      </c>
      <c r="B3197" s="1" t="n">
        <v>20058</v>
      </c>
      <c r="C3197" s="1" t="inlineStr">
        <is>
          <t>038</t>
        </is>
      </c>
      <c r="D3197" s="1" t="inlineStr">
        <is>
          <t>211172</t>
        </is>
      </c>
      <c r="E3197" s="1" t="inlineStr">
        <is>
          <t xml:space="preserve">30141766       </t>
        </is>
      </c>
      <c r="F3197" s="5" t="inlineStr">
        <is>
          <t>TMZ BEAST MACHINES AUTOS DE METAL BLISTER X 1</t>
        </is>
      </c>
      <c r="G3197" t="n">
        <v>1</v>
      </c>
      <c r="H3197" s="7" t="n">
        <v>7.9</v>
      </c>
      <c r="I3197" s="7" t="n">
        <v>0</v>
      </c>
      <c r="J3197" s="7" t="n">
        <v>0</v>
      </c>
      <c r="K3197" s="9" t="n">
        <v>0</v>
      </c>
      <c r="L3197" s="10" t="n">
        <v>4.68</v>
      </c>
      <c r="M3197" s="10" t="n">
        <v>1.43</v>
      </c>
      <c r="N3197" t="inlineStr">
        <is>
          <t>1</t>
        </is>
      </c>
      <c r="O3197" t="inlineStr">
        <is>
          <t>16</t>
        </is>
      </c>
      <c r="P3197" t="inlineStr">
        <is>
          <t xml:space="preserve">97366   </t>
        </is>
      </c>
      <c r="Q3197" s="26" t="n">
        <v>4.69</v>
      </c>
      <c r="R3197" s="26">
        <f>Q3197*G3197</f>
        <v/>
      </c>
      <c r="S3197" s="26">
        <f>IFERROR(VLOOKUP(E3197*1,Tabla[#All],8,0),0)</f>
        <v/>
      </c>
      <c r="T3197" s="26">
        <f>S3197*G3197</f>
        <v/>
      </c>
      <c r="U3197" s="26">
        <f>R3197-T3197</f>
        <v/>
      </c>
      <c r="V3197" s="26">
        <f>U3197-L3197</f>
        <v/>
      </c>
    </row>
    <row r="3198">
      <c r="A3198" s="11" t="n">
        <v>46234</v>
      </c>
      <c r="B3198" s="1" t="n">
        <v>20058</v>
      </c>
      <c r="C3198" s="1" t="inlineStr">
        <is>
          <t>038</t>
        </is>
      </c>
      <c r="D3198" s="1" t="inlineStr">
        <is>
          <t>211183</t>
        </is>
      </c>
      <c r="E3198" s="1" t="inlineStr">
        <is>
          <t xml:space="preserve">28194770       </t>
        </is>
      </c>
      <c r="F3198" s="5" t="inlineStr">
        <is>
          <t>AUTOS DE METAL 3 TEAMSTERZ EN BLISTER</t>
        </is>
      </c>
      <c r="G3198" t="n">
        <v>1</v>
      </c>
      <c r="H3198" s="7" t="n">
        <v>6.9</v>
      </c>
      <c r="I3198" s="7" t="n">
        <v>0</v>
      </c>
      <c r="J3198" s="7" t="n">
        <v>0</v>
      </c>
      <c r="K3198" s="9" t="n">
        <v>0</v>
      </c>
      <c r="L3198" s="10" t="n">
        <v>4.1</v>
      </c>
      <c r="M3198" s="10" t="n">
        <v>1.43</v>
      </c>
      <c r="N3198" t="inlineStr">
        <is>
          <t>1</t>
        </is>
      </c>
      <c r="O3198" t="inlineStr">
        <is>
          <t xml:space="preserve">2 </t>
        </is>
      </c>
      <c r="P3198" t="inlineStr">
        <is>
          <t xml:space="preserve">97366   </t>
        </is>
      </c>
      <c r="Q3198" s="26" t="n">
        <v>4.09</v>
      </c>
      <c r="R3198" s="26">
        <f>Q3198*G3198</f>
        <v/>
      </c>
      <c r="S3198" s="26">
        <f>IFERROR(VLOOKUP(E3198*1,Tabla[#All],8,0),0)</f>
        <v/>
      </c>
      <c r="T3198" s="26">
        <f>S3198*G3198</f>
        <v/>
      </c>
      <c r="U3198" s="26">
        <f>R3198-T3198</f>
        <v/>
      </c>
      <c r="V3198" s="26">
        <f>U3198-L3198</f>
        <v/>
      </c>
    </row>
    <row r="3199">
      <c r="A3199" s="11" t="n">
        <v>46234</v>
      </c>
      <c r="B3199" s="1" t="n">
        <v>20060</v>
      </c>
      <c r="C3199" s="1" t="inlineStr">
        <is>
          <t>300</t>
        </is>
      </c>
      <c r="D3199" s="1" t="inlineStr">
        <is>
          <t xml:space="preserve">519   </t>
        </is>
      </c>
      <c r="E3199" s="1" t="inlineStr">
        <is>
          <t xml:space="preserve">31754677       </t>
        </is>
      </c>
      <c r="F3199" s="5" t="inlineStr">
        <is>
          <t>INFINITY NADO SERIE 6 SET DE BATALL</t>
        </is>
      </c>
      <c r="G3199" t="n">
        <v>2</v>
      </c>
      <c r="H3199" s="7" t="n">
        <v>378</v>
      </c>
      <c r="I3199" s="7" t="n">
        <v>0</v>
      </c>
      <c r="J3199" s="7" t="n">
        <v>0</v>
      </c>
      <c r="K3199" s="9" t="n">
        <v>0</v>
      </c>
      <c r="L3199" s="10" t="n">
        <v>224.24</v>
      </c>
      <c r="M3199" s="10" t="n">
        <v>1.43</v>
      </c>
      <c r="N3199" t="inlineStr">
        <is>
          <t>1</t>
        </is>
      </c>
      <c r="O3199" t="inlineStr">
        <is>
          <t>16</t>
        </is>
      </c>
      <c r="P3199" t="inlineStr">
        <is>
          <t>82807346</t>
        </is>
      </c>
      <c r="Q3199" s="26" t="n">
        <v>112.12</v>
      </c>
      <c r="R3199" s="26">
        <f>Q3199*G3199</f>
        <v/>
      </c>
      <c r="S3199" s="26">
        <f>IFERROR(VLOOKUP(E3199*1,Tabla[#All],8,0),0)</f>
        <v/>
      </c>
      <c r="T3199" s="26">
        <f>S3199*G3199</f>
        <v/>
      </c>
      <c r="U3199" s="26">
        <f>R3199-T3199</f>
        <v/>
      </c>
      <c r="V3199" s="26">
        <f>U3199-L3199</f>
        <v/>
      </c>
    </row>
    <row r="3200">
      <c r="A3200" s="11" t="n">
        <v>46234</v>
      </c>
      <c r="B3200" s="1" t="n">
        <v>20062</v>
      </c>
      <c r="C3200" s="1" t="inlineStr">
        <is>
          <t>016</t>
        </is>
      </c>
      <c r="D3200" s="1" t="inlineStr">
        <is>
          <t xml:space="preserve">20388 </t>
        </is>
      </c>
      <c r="E3200" s="1" t="inlineStr">
        <is>
          <t xml:space="preserve">28194781       </t>
        </is>
      </c>
      <c r="F3200" s="5" t="inlineStr">
        <is>
          <t>TROMPO BATALLA INFINITY NADO SERIE V CLASICA SURTI</t>
        </is>
      </c>
      <c r="G3200" t="n">
        <v>1</v>
      </c>
      <c r="H3200" s="7" t="n">
        <v>39.9</v>
      </c>
      <c r="I3200" s="7" t="n">
        <v>0</v>
      </c>
      <c r="J3200" s="7" t="n">
        <v>0</v>
      </c>
      <c r="K3200" s="9" t="n">
        <v>0</v>
      </c>
      <c r="L3200" s="10" t="n">
        <v>23.67</v>
      </c>
      <c r="M3200" s="10" t="n">
        <v>1.43</v>
      </c>
      <c r="N3200" t="inlineStr">
        <is>
          <t>1</t>
        </is>
      </c>
      <c r="O3200" t="inlineStr">
        <is>
          <t>16</t>
        </is>
      </c>
      <c r="P3200" t="inlineStr">
        <is>
          <t xml:space="preserve">248790  </t>
        </is>
      </c>
      <c r="Q3200" s="26" t="n">
        <v>35.53</v>
      </c>
      <c r="R3200" s="26">
        <f>Q3200*G3200</f>
        <v/>
      </c>
      <c r="S3200" s="26">
        <f>IFERROR(VLOOKUP(E3200*1,Tabla[#All],8,0),0)</f>
        <v/>
      </c>
      <c r="T3200" s="26">
        <f>S3200*G3200</f>
        <v/>
      </c>
      <c r="U3200" s="26">
        <f>R3200-T3200</f>
        <v/>
      </c>
      <c r="V3200" s="26">
        <f>U3200-L3200</f>
        <v/>
      </c>
    </row>
    <row r="3201">
      <c r="A3201" s="11" t="n">
        <v>46234</v>
      </c>
      <c r="B3201" s="1" t="n">
        <v>20062</v>
      </c>
      <c r="C3201" s="1" t="inlineStr">
        <is>
          <t>018</t>
        </is>
      </c>
      <c r="D3201" s="1" t="inlineStr">
        <is>
          <t xml:space="preserve">21321 </t>
        </is>
      </c>
      <c r="E3201" s="1" t="inlineStr">
        <is>
          <t xml:space="preserve">29235700       </t>
        </is>
      </c>
      <c r="F3201" s="5" t="inlineStr">
        <is>
          <t>HOT WHEELS CASE METALICO PARA GUARDAR 18 CARRITOS</t>
        </is>
      </c>
      <c r="G3201" t="n">
        <v>1</v>
      </c>
      <c r="H3201" s="7" t="n">
        <v>49.9</v>
      </c>
      <c r="I3201" s="7" t="n">
        <v>0</v>
      </c>
      <c r="J3201" s="7" t="n">
        <v>0</v>
      </c>
      <c r="K3201" s="9" t="n">
        <v>0</v>
      </c>
      <c r="L3201" s="10" t="n">
        <v>29.6</v>
      </c>
      <c r="M3201" s="10" t="n">
        <v>1.43</v>
      </c>
      <c r="N3201" t="inlineStr">
        <is>
          <t>1</t>
        </is>
      </c>
      <c r="O3201" t="inlineStr">
        <is>
          <t>16</t>
        </is>
      </c>
      <c r="P3201" t="inlineStr">
        <is>
          <t xml:space="preserve">243976  </t>
        </is>
      </c>
      <c r="Q3201" s="26" t="n">
        <v>29.6</v>
      </c>
      <c r="R3201" s="26">
        <f>Q3201*G3201</f>
        <v/>
      </c>
      <c r="S3201" s="26">
        <f>IFERROR(VLOOKUP(E3201*1,Tabla[#All],8,0),0)</f>
        <v/>
      </c>
      <c r="T3201" s="26">
        <f>S3201*G3201</f>
        <v/>
      </c>
      <c r="U3201" s="26">
        <f>R3201-T3201</f>
        <v/>
      </c>
      <c r="V3201" s="26">
        <f>U3201-L3201</f>
        <v/>
      </c>
    </row>
    <row r="3202">
      <c r="A3202" s="11" t="n">
        <v>46234</v>
      </c>
      <c r="B3202" s="1" t="n">
        <v>20062</v>
      </c>
      <c r="C3202" s="1" t="inlineStr">
        <is>
          <t>510</t>
        </is>
      </c>
      <c r="D3202" s="1" t="inlineStr">
        <is>
          <t xml:space="preserve">6169  </t>
        </is>
      </c>
      <c r="E3202" s="1" t="inlineStr">
        <is>
          <t xml:space="preserve">32457103       </t>
        </is>
      </c>
      <c r="F3202" s="5" t="inlineStr">
        <is>
          <t>TMZ BEAST MACHINES MONSTER JAWS A FRICCION PACK DE</t>
        </is>
      </c>
      <c r="G3202" t="n">
        <v>1</v>
      </c>
      <c r="H3202" s="7" t="n">
        <v>32.9</v>
      </c>
      <c r="I3202" s="7" t="n">
        <v>0</v>
      </c>
      <c r="J3202" s="7" t="n">
        <v>0</v>
      </c>
      <c r="K3202" s="9" t="n">
        <v>0</v>
      </c>
      <c r="L3202" s="10" t="n">
        <v>19.52</v>
      </c>
      <c r="M3202" s="10" t="n">
        <v>1.43</v>
      </c>
      <c r="N3202" t="inlineStr">
        <is>
          <t>1</t>
        </is>
      </c>
      <c r="O3202" t="inlineStr">
        <is>
          <t>16</t>
        </is>
      </c>
      <c r="P3202" t="inlineStr">
        <is>
          <t xml:space="preserve">250090  </t>
        </is>
      </c>
      <c r="Q3202" s="26" t="n">
        <v>22.48</v>
      </c>
      <c r="R3202" s="26">
        <f>Q3202*G3202</f>
        <v/>
      </c>
      <c r="S3202" s="26">
        <f>IFERROR(VLOOKUP(E3202*1,Tabla[#All],8,0),0)</f>
        <v/>
      </c>
      <c r="T3202" s="26">
        <f>S3202*G3202</f>
        <v/>
      </c>
      <c r="U3202" s="26">
        <f>R3202-T3202</f>
        <v/>
      </c>
      <c r="V3202" s="26">
        <f>U3202-L3202</f>
        <v/>
      </c>
    </row>
    <row r="3203">
      <c r="A3203" s="11" t="n">
        <v>46234</v>
      </c>
      <c r="B3203" s="1" t="n">
        <v>20069</v>
      </c>
      <c r="C3203" s="1" t="inlineStr">
        <is>
          <t>029</t>
        </is>
      </c>
      <c r="D3203" s="1" t="inlineStr">
        <is>
          <t xml:space="preserve">56113 </t>
        </is>
      </c>
      <c r="E3203" s="1" t="inlineStr">
        <is>
          <t xml:space="preserve">31046050       </t>
        </is>
      </c>
      <c r="F3203" s="5" t="inlineStr">
        <is>
          <t>RELOJ DIGITAL CARS</t>
        </is>
      </c>
      <c r="G3203" t="n">
        <v>-1</v>
      </c>
      <c r="H3203" s="7" t="n">
        <v>-18.9</v>
      </c>
      <c r="I3203" s="7" t="n">
        <v>0</v>
      </c>
      <c r="J3203" s="7" t="n">
        <v>0</v>
      </c>
      <c r="K3203" s="9" t="n">
        <v>0</v>
      </c>
      <c r="L3203" s="10" t="n">
        <v>-11.21</v>
      </c>
      <c r="M3203" s="10" t="n">
        <v>0</v>
      </c>
      <c r="N3203" t="inlineStr">
        <is>
          <t>3</t>
        </is>
      </c>
      <c r="O3203" t="inlineStr">
        <is>
          <t>36</t>
        </is>
      </c>
      <c r="P3203" t="inlineStr">
        <is>
          <t xml:space="preserve">96933   </t>
        </is>
      </c>
      <c r="Q3203" s="26" t="n">
        <v>11.21</v>
      </c>
      <c r="R3203" s="26">
        <f>Q3203*G3203</f>
        <v/>
      </c>
      <c r="S3203" s="26">
        <f>IFERROR(VLOOKUP(E3203*1,Tabla[#All],8,0),0)</f>
        <v/>
      </c>
      <c r="T3203" s="26">
        <f>S3203*G3203</f>
        <v/>
      </c>
      <c r="U3203" s="26">
        <f>R3203-T3203</f>
        <v/>
      </c>
      <c r="V3203" s="26">
        <f>U3203-L3203</f>
        <v/>
      </c>
    </row>
    <row r="3204">
      <c r="A3204" s="11" t="n">
        <v>46234</v>
      </c>
      <c r="B3204" s="1" t="n">
        <v>20069</v>
      </c>
      <c r="C3204" s="1" t="inlineStr">
        <is>
          <t>190</t>
        </is>
      </c>
      <c r="D3204" s="1" t="inlineStr">
        <is>
          <t>301091</t>
        </is>
      </c>
      <c r="E3204" s="1" t="inlineStr">
        <is>
          <t xml:space="preserve">31046050       </t>
        </is>
      </c>
      <c r="F3204" s="5" t="inlineStr">
        <is>
          <t>RELOJ DIGITAL CARS</t>
        </is>
      </c>
      <c r="G3204" t="n">
        <v>1</v>
      </c>
      <c r="H3204" s="7" t="n">
        <v>18.9</v>
      </c>
      <c r="I3204" s="7" t="n">
        <v>0</v>
      </c>
      <c r="J3204" s="7" t="n">
        <v>0</v>
      </c>
      <c r="K3204" s="9" t="n">
        <v>0</v>
      </c>
      <c r="L3204" s="10" t="n">
        <v>11.21</v>
      </c>
      <c r="M3204" s="10" t="n">
        <v>1.43</v>
      </c>
      <c r="N3204" t="inlineStr">
        <is>
          <t>1</t>
        </is>
      </c>
      <c r="O3204" t="inlineStr">
        <is>
          <t>16</t>
        </is>
      </c>
      <c r="P3204" t="inlineStr">
        <is>
          <t xml:space="preserve">250750  </t>
        </is>
      </c>
      <c r="Q3204" s="26" t="n">
        <v>11.21</v>
      </c>
      <c r="R3204" s="26">
        <f>Q3204*G3204</f>
        <v/>
      </c>
      <c r="S3204" s="26">
        <f>IFERROR(VLOOKUP(E3204*1,Tabla[#All],8,0),0)</f>
        <v/>
      </c>
      <c r="T3204" s="26">
        <f>S3204*G3204</f>
        <v/>
      </c>
      <c r="U3204" s="26">
        <f>R3204-T3204</f>
        <v/>
      </c>
      <c r="V3204" s="26">
        <f>U3204-L3204</f>
        <v/>
      </c>
    </row>
    <row r="3205">
      <c r="A3205" s="11" t="n">
        <v>46234</v>
      </c>
      <c r="B3205" s="1" t="n">
        <v>20069</v>
      </c>
      <c r="C3205" s="1" t="inlineStr">
        <is>
          <t>519</t>
        </is>
      </c>
      <c r="D3205" s="1" t="inlineStr">
        <is>
          <t xml:space="preserve">7319  </t>
        </is>
      </c>
      <c r="E3205" s="1" t="inlineStr">
        <is>
          <t xml:space="preserve">28194770       </t>
        </is>
      </c>
      <c r="F3205" s="5" t="inlineStr">
        <is>
          <t>AUTOS DE METAL 3 TEAMSTERZ EN BLISTER</t>
        </is>
      </c>
      <c r="G3205" t="n">
        <v>3</v>
      </c>
      <c r="H3205" s="7" t="n">
        <v>20.7</v>
      </c>
      <c r="I3205" s="7" t="n">
        <v>0</v>
      </c>
      <c r="J3205" s="7" t="n">
        <v>0</v>
      </c>
      <c r="K3205" s="9" t="n">
        <v>0</v>
      </c>
      <c r="L3205" s="10" t="n">
        <v>12.27</v>
      </c>
      <c r="M3205" s="10" t="n">
        <v>1.43</v>
      </c>
      <c r="N3205" t="inlineStr">
        <is>
          <t>1</t>
        </is>
      </c>
      <c r="O3205" t="inlineStr">
        <is>
          <t>16</t>
        </is>
      </c>
      <c r="P3205" t="inlineStr">
        <is>
          <t xml:space="preserve">248316  </t>
        </is>
      </c>
      <c r="Q3205" s="26" t="n">
        <v>4.09</v>
      </c>
      <c r="R3205" s="26">
        <f>Q3205*G3205</f>
        <v/>
      </c>
      <c r="S3205" s="26">
        <f>IFERROR(VLOOKUP(E3205*1,Tabla[#All],8,0),0)</f>
        <v/>
      </c>
      <c r="T3205" s="26">
        <f>S3205*G3205</f>
        <v/>
      </c>
      <c r="U3205" s="26">
        <f>R3205-T3205</f>
        <v/>
      </c>
      <c r="V3205" s="26">
        <f>U3205-L3205</f>
        <v/>
      </c>
    </row>
    <row r="3206">
      <c r="A3206" s="11" t="n">
        <v>46234</v>
      </c>
      <c r="B3206" s="1" t="n">
        <v>20073</v>
      </c>
      <c r="C3206" s="1" t="inlineStr">
        <is>
          <t>046</t>
        </is>
      </c>
      <c r="D3206" s="1" t="inlineStr">
        <is>
          <t>207997</t>
        </is>
      </c>
      <c r="E3206" s="1" t="inlineStr">
        <is>
          <t xml:space="preserve">32656523       </t>
        </is>
      </c>
      <c r="F3206" s="5" t="inlineStr">
        <is>
          <t>TMZ BEAST MACHINES TRANSPORT. T-REX ELECTR. + ACCE</t>
        </is>
      </c>
      <c r="G3206" t="n">
        <v>1</v>
      </c>
      <c r="H3206" s="7" t="n">
        <v>179</v>
      </c>
      <c r="I3206" s="7" t="n">
        <v>0</v>
      </c>
      <c r="J3206" s="7" t="n">
        <v>0</v>
      </c>
      <c r="K3206" s="9" t="n">
        <v>0</v>
      </c>
      <c r="L3206" s="10" t="n">
        <v>106.18</v>
      </c>
      <c r="M3206" s="10" t="n">
        <v>1.43</v>
      </c>
      <c r="N3206" t="inlineStr">
        <is>
          <t>1</t>
        </is>
      </c>
      <c r="O3206" t="inlineStr">
        <is>
          <t xml:space="preserve">2 </t>
        </is>
      </c>
      <c r="P3206" t="inlineStr">
        <is>
          <t xml:space="preserve">57886   </t>
        </is>
      </c>
      <c r="Q3206" s="26" t="n">
        <v>106.19</v>
      </c>
      <c r="R3206" s="26">
        <f>Q3206*G3206</f>
        <v/>
      </c>
      <c r="S3206" s="26">
        <f>IFERROR(VLOOKUP(E3206*1,Tabla[#All],8,0),0)</f>
        <v/>
      </c>
      <c r="T3206" s="26">
        <f>S3206*G3206</f>
        <v/>
      </c>
      <c r="U3206" s="26">
        <f>R3206-T3206</f>
        <v/>
      </c>
      <c r="V3206" s="26">
        <f>U3206-L3206</f>
        <v/>
      </c>
    </row>
    <row r="3207">
      <c r="A3207" s="11" t="n">
        <v>46234</v>
      </c>
      <c r="B3207" s="1" t="n">
        <v>20073</v>
      </c>
      <c r="C3207" s="1" t="inlineStr">
        <is>
          <t>046</t>
        </is>
      </c>
      <c r="D3207" s="1" t="inlineStr">
        <is>
          <t>208005</t>
        </is>
      </c>
      <c r="E3207" s="1" t="inlineStr">
        <is>
          <t xml:space="preserve">30141766       </t>
        </is>
      </c>
      <c r="F3207" s="5" t="inlineStr">
        <is>
          <t>TMZ BEAST MACHINES AUTOS DE METAL BLISTER X 1</t>
        </is>
      </c>
      <c r="G3207" t="n">
        <v>1</v>
      </c>
      <c r="H3207" s="7" t="n">
        <v>7.9</v>
      </c>
      <c r="I3207" s="7" t="n">
        <v>0</v>
      </c>
      <c r="J3207" s="7" t="n">
        <v>0</v>
      </c>
      <c r="K3207" s="9" t="n">
        <v>0</v>
      </c>
      <c r="L3207" s="10" t="n">
        <v>4.68</v>
      </c>
      <c r="M3207" s="10" t="n">
        <v>1.43</v>
      </c>
      <c r="N3207" t="inlineStr">
        <is>
          <t>1</t>
        </is>
      </c>
      <c r="O3207" t="inlineStr">
        <is>
          <t xml:space="preserve">2 </t>
        </is>
      </c>
      <c r="P3207" t="inlineStr">
        <is>
          <t xml:space="preserve">57886   </t>
        </is>
      </c>
      <c r="Q3207" s="26" t="n">
        <v>4.69</v>
      </c>
      <c r="R3207" s="26">
        <f>Q3207*G3207</f>
        <v/>
      </c>
      <c r="S3207" s="26">
        <f>IFERROR(VLOOKUP(E3207*1,Tabla[#All],8,0),0)</f>
        <v/>
      </c>
      <c r="T3207" s="26">
        <f>S3207*G3207</f>
        <v/>
      </c>
      <c r="U3207" s="26">
        <f>R3207-T3207</f>
        <v/>
      </c>
      <c r="V3207" s="26">
        <f>U3207-L3207</f>
        <v/>
      </c>
    </row>
    <row r="3208">
      <c r="A3208" s="11" t="n">
        <v>46234</v>
      </c>
      <c r="B3208" s="1" t="n">
        <v>20073</v>
      </c>
      <c r="C3208" s="1" t="inlineStr">
        <is>
          <t>046</t>
        </is>
      </c>
      <c r="D3208" s="1" t="inlineStr">
        <is>
          <t>208005</t>
        </is>
      </c>
      <c r="E3208" s="1" t="inlineStr">
        <is>
          <t xml:space="preserve">30141766       </t>
        </is>
      </c>
      <c r="F3208" s="5" t="inlineStr">
        <is>
          <t>TMZ BEAST MACHINES AUTOS DE METAL BLISTER X 1</t>
        </is>
      </c>
      <c r="G3208" t="n">
        <v>1</v>
      </c>
      <c r="H3208" s="7" t="n">
        <v>7.9</v>
      </c>
      <c r="I3208" s="7" t="n">
        <v>0</v>
      </c>
      <c r="J3208" s="7" t="n">
        <v>0</v>
      </c>
      <c r="K3208" s="9" t="n">
        <v>0</v>
      </c>
      <c r="L3208" s="10" t="n">
        <v>4.68</v>
      </c>
      <c r="M3208" s="10" t="n">
        <v>1.43</v>
      </c>
      <c r="N3208" t="inlineStr">
        <is>
          <t>1</t>
        </is>
      </c>
      <c r="O3208" t="inlineStr">
        <is>
          <t xml:space="preserve">2 </t>
        </is>
      </c>
      <c r="P3208" t="inlineStr">
        <is>
          <t xml:space="preserve">57886   </t>
        </is>
      </c>
      <c r="Q3208" s="26" t="n">
        <v>4.69</v>
      </c>
      <c r="R3208" s="26">
        <f>Q3208*G3208</f>
        <v/>
      </c>
      <c r="S3208" s="26">
        <f>IFERROR(VLOOKUP(E3208*1,Tabla[#All],8,0),0)</f>
        <v/>
      </c>
      <c r="T3208" s="26">
        <f>S3208*G3208</f>
        <v/>
      </c>
      <c r="U3208" s="26">
        <f>R3208-T3208</f>
        <v/>
      </c>
      <c r="V3208" s="26">
        <f>U3208-L3208</f>
        <v/>
      </c>
    </row>
    <row r="3209">
      <c r="A3209" s="11" t="n">
        <v>46234</v>
      </c>
      <c r="B3209" s="1" t="n">
        <v>20073</v>
      </c>
      <c r="C3209" s="1" t="inlineStr">
        <is>
          <t>046</t>
        </is>
      </c>
      <c r="D3209" s="1" t="inlineStr">
        <is>
          <t>208010</t>
        </is>
      </c>
      <c r="E3209" s="1" t="inlineStr">
        <is>
          <t xml:space="preserve">31754677       </t>
        </is>
      </c>
      <c r="F3209" s="5" t="inlineStr">
        <is>
          <t>INFINITY NADO SERIE 6 SET DE BATALL</t>
        </is>
      </c>
      <c r="G3209" t="n">
        <v>1</v>
      </c>
      <c r="H3209" s="7" t="n">
        <v>149</v>
      </c>
      <c r="I3209" s="7" t="n">
        <v>0</v>
      </c>
      <c r="J3209" s="7" t="n">
        <v>0</v>
      </c>
      <c r="K3209" s="9" t="n">
        <v>0</v>
      </c>
      <c r="L3209" s="10" t="n">
        <v>88.39</v>
      </c>
      <c r="M3209" s="10" t="n">
        <v>1.43</v>
      </c>
      <c r="N3209" t="inlineStr">
        <is>
          <t>1</t>
        </is>
      </c>
      <c r="O3209" t="inlineStr">
        <is>
          <t xml:space="preserve">3 </t>
        </is>
      </c>
      <c r="P3209" t="inlineStr">
        <is>
          <t xml:space="preserve">57886   </t>
        </is>
      </c>
      <c r="Q3209" s="26" t="n">
        <v>112.12</v>
      </c>
      <c r="R3209" s="26">
        <f>Q3209*G3209</f>
        <v/>
      </c>
      <c r="S3209" s="26">
        <f>IFERROR(VLOOKUP(E3209*1,Tabla[#All],8,0),0)</f>
        <v/>
      </c>
      <c r="T3209" s="26">
        <f>S3209*G3209</f>
        <v/>
      </c>
      <c r="U3209" s="26">
        <f>R3209-T3209</f>
        <v/>
      </c>
      <c r="V3209" s="26">
        <f>U3209-L3209</f>
        <v/>
      </c>
    </row>
    <row r="3210">
      <c r="A3210" s="11" t="n">
        <v>46234</v>
      </c>
      <c r="B3210" s="1" t="n">
        <v>20074</v>
      </c>
      <c r="C3210" s="1" t="inlineStr">
        <is>
          <t>015</t>
        </is>
      </c>
      <c r="D3210" s="1" t="inlineStr">
        <is>
          <t>229138</t>
        </is>
      </c>
      <c r="E3210" s="1" t="inlineStr">
        <is>
          <t xml:space="preserve">34840552       </t>
        </is>
      </c>
      <c r="F3210" s="5" t="inlineStr">
        <is>
          <t>TMZ HELI POLICIA CON LUCES Y SONIDOS</t>
        </is>
      </c>
      <c r="G3210" t="n">
        <v>1</v>
      </c>
      <c r="H3210" s="7" t="n">
        <v>79.90000000000001</v>
      </c>
      <c r="I3210" s="7" t="n">
        <v>0</v>
      </c>
      <c r="J3210" s="7" t="n">
        <v>0</v>
      </c>
      <c r="K3210" s="9" t="n">
        <v>0</v>
      </c>
      <c r="L3210" s="10" t="n">
        <v>47.4</v>
      </c>
      <c r="M3210" s="10" t="n">
        <v>1.43</v>
      </c>
      <c r="N3210" t="inlineStr">
        <is>
          <t>1</t>
        </is>
      </c>
      <c r="O3210" t="inlineStr">
        <is>
          <t>16</t>
        </is>
      </c>
      <c r="P3210" t="inlineStr">
        <is>
          <t xml:space="preserve">250534  </t>
        </is>
      </c>
      <c r="Q3210" s="26" t="n">
        <v>47.4</v>
      </c>
      <c r="R3210" s="26">
        <f>Q3210*G3210</f>
        <v/>
      </c>
      <c r="S3210" s="26">
        <f>IFERROR(VLOOKUP(E3210*1,Tabla[#All],8,0),0)</f>
        <v/>
      </c>
      <c r="T3210" s="26">
        <f>S3210*G3210</f>
        <v/>
      </c>
      <c r="U3210" s="26">
        <f>R3210-T3210</f>
        <v/>
      </c>
      <c r="V3210" s="26">
        <f>U3210-L3210</f>
        <v/>
      </c>
    </row>
    <row r="3211">
      <c r="A3211" s="11" t="n">
        <v>46234</v>
      </c>
      <c r="B3211" s="1" t="n">
        <v>20074</v>
      </c>
      <c r="C3211" s="1" t="inlineStr">
        <is>
          <t>032</t>
        </is>
      </c>
      <c r="D3211" s="1" t="inlineStr">
        <is>
          <t>263438</t>
        </is>
      </c>
      <c r="E3211" s="1" t="inlineStr">
        <is>
          <t xml:space="preserve">28194770       </t>
        </is>
      </c>
      <c r="F3211" s="5" t="inlineStr">
        <is>
          <t>AUTOS DE METAL 3 TEAMSTERZ EN BLISTER</t>
        </is>
      </c>
      <c r="G3211" t="n">
        <v>1</v>
      </c>
      <c r="H3211" s="7" t="n">
        <v>6.9</v>
      </c>
      <c r="I3211" s="7" t="n">
        <v>0</v>
      </c>
      <c r="J3211" s="7" t="n">
        <v>0</v>
      </c>
      <c r="K3211" s="9" t="n">
        <v>0</v>
      </c>
      <c r="L3211" s="10" t="n">
        <v>4.1</v>
      </c>
      <c r="M3211" s="10" t="n">
        <v>1.43</v>
      </c>
      <c r="N3211" t="inlineStr">
        <is>
          <t>1</t>
        </is>
      </c>
      <c r="O3211" t="inlineStr">
        <is>
          <t>16</t>
        </is>
      </c>
      <c r="P3211" t="inlineStr">
        <is>
          <t xml:space="preserve">64344   </t>
        </is>
      </c>
      <c r="Q3211" s="26" t="n">
        <v>4.09</v>
      </c>
      <c r="R3211" s="26">
        <f>Q3211*G3211</f>
        <v/>
      </c>
      <c r="S3211" s="26">
        <f>IFERROR(VLOOKUP(E3211*1,Tabla[#All],8,0),0)</f>
        <v/>
      </c>
      <c r="T3211" s="26">
        <f>S3211*G3211</f>
        <v/>
      </c>
      <c r="U3211" s="26">
        <f>R3211-T3211</f>
        <v/>
      </c>
      <c r="V3211" s="26">
        <f>U3211-L3211</f>
        <v/>
      </c>
    </row>
    <row r="3212">
      <c r="A3212" s="11" t="n">
        <v>46234</v>
      </c>
      <c r="B3212" s="1" t="n">
        <v>20074</v>
      </c>
      <c r="C3212" s="1" t="inlineStr">
        <is>
          <t>032</t>
        </is>
      </c>
      <c r="D3212" s="1" t="inlineStr">
        <is>
          <t>263438</t>
        </is>
      </c>
      <c r="E3212" s="1" t="inlineStr">
        <is>
          <t xml:space="preserve">28194770       </t>
        </is>
      </c>
      <c r="F3212" s="5" t="inlineStr">
        <is>
          <t>AUTOS DE METAL 3 TEAMSTERZ EN BLISTER</t>
        </is>
      </c>
      <c r="G3212" t="n">
        <v>1</v>
      </c>
      <c r="H3212" s="7" t="n">
        <v>6.9</v>
      </c>
      <c r="I3212" s="7" t="n">
        <v>0</v>
      </c>
      <c r="J3212" s="7" t="n">
        <v>0</v>
      </c>
      <c r="K3212" s="9" t="n">
        <v>0</v>
      </c>
      <c r="L3212" s="10" t="n">
        <v>4.1</v>
      </c>
      <c r="M3212" s="10" t="n">
        <v>1.43</v>
      </c>
      <c r="N3212" t="inlineStr">
        <is>
          <t>1</t>
        </is>
      </c>
      <c r="O3212" t="inlineStr">
        <is>
          <t>16</t>
        </is>
      </c>
      <c r="P3212" t="inlineStr">
        <is>
          <t xml:space="preserve">64344   </t>
        </is>
      </c>
      <c r="Q3212" s="26" t="n">
        <v>4.09</v>
      </c>
      <c r="R3212" s="26">
        <f>Q3212*G3212</f>
        <v/>
      </c>
      <c r="S3212" s="26">
        <f>IFERROR(VLOOKUP(E3212*1,Tabla[#All],8,0),0)</f>
        <v/>
      </c>
      <c r="T3212" s="26">
        <f>S3212*G3212</f>
        <v/>
      </c>
      <c r="U3212" s="26">
        <f>R3212-T3212</f>
        <v/>
      </c>
      <c r="V3212" s="26">
        <f>U3212-L3212</f>
        <v/>
      </c>
    </row>
    <row r="3213">
      <c r="A3213" s="11" t="n">
        <v>46234</v>
      </c>
      <c r="B3213" s="1" t="n">
        <v>20077</v>
      </c>
      <c r="C3213" s="1" t="inlineStr">
        <is>
          <t>029</t>
        </is>
      </c>
      <c r="D3213" s="1" t="inlineStr">
        <is>
          <t>157455</t>
        </is>
      </c>
      <c r="E3213" s="1" t="inlineStr">
        <is>
          <t xml:space="preserve">30141766       </t>
        </is>
      </c>
      <c r="F3213" s="5" t="inlineStr">
        <is>
          <t>TMZ BEAST MACHINES AUTOS DE METAL BLISTER X 1</t>
        </is>
      </c>
      <c r="G3213" t="n">
        <v>1</v>
      </c>
      <c r="H3213" s="7" t="n">
        <v>7.9</v>
      </c>
      <c r="I3213" s="7" t="n">
        <v>0</v>
      </c>
      <c r="J3213" s="7" t="n">
        <v>0</v>
      </c>
      <c r="K3213" s="9" t="n">
        <v>0</v>
      </c>
      <c r="L3213" s="10" t="n">
        <v>4.68</v>
      </c>
      <c r="M3213" s="10" t="n">
        <v>1.43</v>
      </c>
      <c r="N3213" t="inlineStr">
        <is>
          <t>1</t>
        </is>
      </c>
      <c r="O3213" t="inlineStr">
        <is>
          <t>16</t>
        </is>
      </c>
      <c r="P3213" t="inlineStr">
        <is>
          <t xml:space="preserve">70656   </t>
        </is>
      </c>
      <c r="Q3213" s="26" t="n">
        <v>4.69</v>
      </c>
      <c r="R3213" s="26">
        <f>Q3213*G3213</f>
        <v/>
      </c>
      <c r="S3213" s="26">
        <f>IFERROR(VLOOKUP(E3213*1,Tabla[#All],8,0),0)</f>
        <v/>
      </c>
      <c r="T3213" s="26">
        <f>S3213*G3213</f>
        <v/>
      </c>
      <c r="U3213" s="26">
        <f>R3213-T3213</f>
        <v/>
      </c>
      <c r="V3213" s="26">
        <f>U3213-L3213</f>
        <v/>
      </c>
    </row>
    <row r="3214">
      <c r="A3214" s="11" t="n">
        <v>46234</v>
      </c>
      <c r="B3214" s="1" t="n">
        <v>20077</v>
      </c>
      <c r="C3214" s="1" t="inlineStr">
        <is>
          <t>029</t>
        </is>
      </c>
      <c r="D3214" s="1" t="inlineStr">
        <is>
          <t>157506</t>
        </is>
      </c>
      <c r="E3214" s="1" t="inlineStr">
        <is>
          <t xml:space="preserve">33483123       </t>
        </is>
      </c>
      <c r="F3214" s="5" t="inlineStr">
        <is>
          <t>NENUCO DISFRACES</t>
        </is>
      </c>
      <c r="G3214" t="n">
        <v>1</v>
      </c>
      <c r="H3214" s="7" t="n">
        <v>69.90000000000001</v>
      </c>
      <c r="I3214" s="7" t="n">
        <v>0</v>
      </c>
      <c r="J3214" s="7" t="n">
        <v>0</v>
      </c>
      <c r="K3214" s="9" t="n">
        <v>0</v>
      </c>
      <c r="L3214" s="10" t="n">
        <v>41.47</v>
      </c>
      <c r="M3214" s="10" t="n">
        <v>1.43</v>
      </c>
      <c r="N3214" t="inlineStr">
        <is>
          <t>1</t>
        </is>
      </c>
      <c r="O3214" t="inlineStr">
        <is>
          <t>16</t>
        </is>
      </c>
      <c r="P3214" t="inlineStr">
        <is>
          <t xml:space="preserve">70656   </t>
        </is>
      </c>
      <c r="Q3214" s="26" t="n">
        <v>53.33</v>
      </c>
      <c r="R3214" s="26">
        <f>Q3214*G3214</f>
        <v/>
      </c>
      <c r="S3214" s="26">
        <f>IFERROR(VLOOKUP(E3214*1,Tabla[#All],8,0),0)</f>
        <v/>
      </c>
      <c r="T3214" s="26">
        <f>S3214*G3214</f>
        <v/>
      </c>
      <c r="U3214" s="26">
        <f>R3214-T3214</f>
        <v/>
      </c>
      <c r="V3214" s="26">
        <f>U3214-L3214</f>
        <v/>
      </c>
    </row>
    <row r="3215">
      <c r="A3215" s="11" t="n">
        <v>46234</v>
      </c>
      <c r="B3215" s="1" t="n">
        <v>20077</v>
      </c>
      <c r="C3215" s="1" t="inlineStr">
        <is>
          <t>031</t>
        </is>
      </c>
      <c r="D3215" s="1" t="inlineStr">
        <is>
          <t>186909</t>
        </is>
      </c>
      <c r="E3215" s="1" t="inlineStr">
        <is>
          <t xml:space="preserve">29235700       </t>
        </is>
      </c>
      <c r="F3215" s="5" t="inlineStr">
        <is>
          <t>HOT WHEELS CASE METALICO PARA GUARDAR 18 CARRITOS</t>
        </is>
      </c>
      <c r="G3215" t="n">
        <v>1</v>
      </c>
      <c r="H3215" s="7" t="n">
        <v>49.9</v>
      </c>
      <c r="I3215" s="7" t="n">
        <v>0</v>
      </c>
      <c r="J3215" s="7" t="n">
        <v>0</v>
      </c>
      <c r="K3215" s="9" t="n">
        <v>0</v>
      </c>
      <c r="L3215" s="10" t="n">
        <v>29.6</v>
      </c>
      <c r="M3215" s="10" t="n">
        <v>1.43</v>
      </c>
      <c r="N3215" t="inlineStr">
        <is>
          <t>1</t>
        </is>
      </c>
      <c r="O3215" t="inlineStr">
        <is>
          <t>16</t>
        </is>
      </c>
      <c r="P3215" t="inlineStr">
        <is>
          <t xml:space="preserve">102100  </t>
        </is>
      </c>
      <c r="Q3215" s="26" t="n">
        <v>29.6</v>
      </c>
      <c r="R3215" s="26">
        <f>Q3215*G3215</f>
        <v/>
      </c>
      <c r="S3215" s="26">
        <f>IFERROR(VLOOKUP(E3215*1,Tabla[#All],8,0),0)</f>
        <v/>
      </c>
      <c r="T3215" s="26">
        <f>S3215*G3215</f>
        <v/>
      </c>
      <c r="U3215" s="26">
        <f>R3215-T3215</f>
        <v/>
      </c>
      <c r="V3215" s="26">
        <f>U3215-L3215</f>
        <v/>
      </c>
    </row>
    <row r="3216">
      <c r="A3216" s="11" t="n">
        <v>46234</v>
      </c>
      <c r="B3216" s="1" t="n">
        <v>20078</v>
      </c>
      <c r="C3216" s="1" t="inlineStr">
        <is>
          <t>025</t>
        </is>
      </c>
      <c r="D3216" s="1" t="inlineStr">
        <is>
          <t>244592</t>
        </is>
      </c>
      <c r="E3216" s="1" t="inlineStr">
        <is>
          <t xml:space="preserve">31959959       </t>
        </is>
      </c>
      <c r="F3216" s="5" t="inlineStr">
        <is>
          <t>TMZ CAMBIA DE COLOR LANZADOR SPIN SPLASH + 1 AUTO</t>
        </is>
      </c>
      <c r="G3216" t="n">
        <v>1</v>
      </c>
      <c r="H3216" s="7" t="n">
        <v>14.9</v>
      </c>
      <c r="I3216" s="7" t="n">
        <v>0</v>
      </c>
      <c r="J3216" s="7" t="n">
        <v>0</v>
      </c>
      <c r="K3216" s="9" t="n">
        <v>0</v>
      </c>
      <c r="L3216" s="10" t="n">
        <v>8.84</v>
      </c>
      <c r="M3216" s="10" t="n">
        <v>1.43</v>
      </c>
      <c r="N3216" t="inlineStr">
        <is>
          <t>1</t>
        </is>
      </c>
      <c r="O3216" t="inlineStr">
        <is>
          <t>16</t>
        </is>
      </c>
      <c r="P3216" t="inlineStr">
        <is>
          <t xml:space="preserve">70416   </t>
        </is>
      </c>
      <c r="Q3216" s="26" t="n">
        <v>23.67</v>
      </c>
      <c r="R3216" s="26">
        <f>Q3216*G3216</f>
        <v/>
      </c>
      <c r="S3216" s="26">
        <f>IFERROR(VLOOKUP(E3216*1,Tabla[#All],8,0),0)</f>
        <v/>
      </c>
      <c r="T3216" s="26">
        <f>S3216*G3216</f>
        <v/>
      </c>
      <c r="U3216" s="26">
        <f>R3216-T3216</f>
        <v/>
      </c>
      <c r="V3216" s="26">
        <f>U3216-L3216</f>
        <v/>
      </c>
    </row>
    <row r="3217">
      <c r="A3217" s="11" t="n">
        <v>46234</v>
      </c>
      <c r="B3217" s="1" t="n">
        <v>20078</v>
      </c>
      <c r="C3217" s="1" t="inlineStr">
        <is>
          <t>025</t>
        </is>
      </c>
      <c r="D3217" s="1" t="inlineStr">
        <is>
          <t>244592</t>
        </is>
      </c>
      <c r="E3217" s="1" t="inlineStr">
        <is>
          <t xml:space="preserve">31959959       </t>
        </is>
      </c>
      <c r="F3217" s="5" t="inlineStr">
        <is>
          <t>TMZ CAMBIA DE COLOR LANZADOR SPIN SPLASH + 1 AUTO</t>
        </is>
      </c>
      <c r="G3217" t="n">
        <v>1</v>
      </c>
      <c r="H3217" s="7" t="n">
        <v>14.9</v>
      </c>
      <c r="I3217" s="7" t="n">
        <v>0</v>
      </c>
      <c r="J3217" s="7" t="n">
        <v>0</v>
      </c>
      <c r="K3217" s="9" t="n">
        <v>0</v>
      </c>
      <c r="L3217" s="10" t="n">
        <v>8.84</v>
      </c>
      <c r="M3217" s="10" t="n">
        <v>1.43</v>
      </c>
      <c r="N3217" t="inlineStr">
        <is>
          <t>1</t>
        </is>
      </c>
      <c r="O3217" t="inlineStr">
        <is>
          <t>16</t>
        </is>
      </c>
      <c r="P3217" t="inlineStr">
        <is>
          <t xml:space="preserve">70416   </t>
        </is>
      </c>
      <c r="Q3217" s="26" t="n">
        <v>23.67</v>
      </c>
      <c r="R3217" s="26">
        <f>Q3217*G3217</f>
        <v/>
      </c>
      <c r="S3217" s="26">
        <f>IFERROR(VLOOKUP(E3217*1,Tabla[#All],8,0),0)</f>
        <v/>
      </c>
      <c r="T3217" s="26">
        <f>S3217*G3217</f>
        <v/>
      </c>
      <c r="U3217" s="26">
        <f>R3217-T3217</f>
        <v/>
      </c>
      <c r="V3217" s="26">
        <f>U3217-L3217</f>
        <v/>
      </c>
    </row>
    <row r="3218">
      <c r="A3218" s="11" t="n">
        <v>46234</v>
      </c>
      <c r="B3218" s="1" t="n">
        <v>20079</v>
      </c>
      <c r="C3218" s="1" t="inlineStr">
        <is>
          <t>051</t>
        </is>
      </c>
      <c r="D3218" s="1" t="inlineStr">
        <is>
          <t>237714</t>
        </is>
      </c>
      <c r="E3218" s="1" t="inlineStr">
        <is>
          <t xml:space="preserve">34840556       </t>
        </is>
      </c>
      <c r="F3218" s="5" t="inlineStr">
        <is>
          <t>TMZ BEAST MACH. TRANSPORT DINO +ACCS</t>
        </is>
      </c>
      <c r="G3218" t="n">
        <v>1</v>
      </c>
      <c r="H3218" s="7" t="n">
        <v>59.9</v>
      </c>
      <c r="I3218" s="7" t="n">
        <v>0</v>
      </c>
      <c r="J3218" s="7" t="n">
        <v>0</v>
      </c>
      <c r="K3218" s="9" t="n">
        <v>0</v>
      </c>
      <c r="L3218" s="10" t="n">
        <v>35.53</v>
      </c>
      <c r="M3218" s="10" t="n">
        <v>1.43</v>
      </c>
      <c r="N3218" t="inlineStr">
        <is>
          <t>1</t>
        </is>
      </c>
      <c r="O3218" t="inlineStr">
        <is>
          <t>16</t>
        </is>
      </c>
      <c r="P3218" t="inlineStr">
        <is>
          <t xml:space="preserve">75771   </t>
        </is>
      </c>
      <c r="Q3218" s="26" t="n">
        <v>47.4</v>
      </c>
      <c r="R3218" s="26">
        <f>Q3218*G3218</f>
        <v/>
      </c>
      <c r="S3218" s="26">
        <f>IFERROR(VLOOKUP(E3218*1,Tabla[#All],8,0),0)</f>
        <v/>
      </c>
      <c r="T3218" s="26">
        <f>S3218*G3218</f>
        <v/>
      </c>
      <c r="U3218" s="26">
        <f>R3218-T3218</f>
        <v/>
      </c>
      <c r="V3218" s="26">
        <f>U3218-L3218</f>
        <v/>
      </c>
    </row>
    <row r="3219">
      <c r="A3219" s="11" t="n">
        <v>46234</v>
      </c>
      <c r="B3219" s="1" t="n">
        <v>20080</v>
      </c>
      <c r="C3219" s="1" t="inlineStr">
        <is>
          <t>013</t>
        </is>
      </c>
      <c r="D3219" s="1" t="inlineStr">
        <is>
          <t>131182</t>
        </is>
      </c>
      <c r="E3219" s="1" t="inlineStr">
        <is>
          <t xml:space="preserve">30232284       </t>
        </is>
      </c>
      <c r="F3219" s="5" t="inlineStr">
        <is>
          <t>INFINITY NADO TROMPO DE BATALLA - METAL C/PUNTA DE</t>
        </is>
      </c>
      <c r="G3219" t="n">
        <v>1</v>
      </c>
      <c r="H3219" s="7" t="n">
        <v>34.9</v>
      </c>
      <c r="I3219" s="7" t="n">
        <v>0</v>
      </c>
      <c r="J3219" s="7" t="n">
        <v>0</v>
      </c>
      <c r="K3219" s="9" t="n">
        <v>0</v>
      </c>
      <c r="L3219" s="10" t="n">
        <v>20.71</v>
      </c>
      <c r="M3219" s="10" t="n">
        <v>1.43</v>
      </c>
      <c r="N3219" t="inlineStr">
        <is>
          <t>1</t>
        </is>
      </c>
      <c r="O3219" t="inlineStr">
        <is>
          <t>16</t>
        </is>
      </c>
      <c r="P3219" t="inlineStr">
        <is>
          <t xml:space="preserve">236747  </t>
        </is>
      </c>
      <c r="Q3219" s="26" t="n">
        <v>29.6</v>
      </c>
      <c r="R3219" s="26">
        <f>Q3219*G3219</f>
        <v/>
      </c>
      <c r="S3219" s="26">
        <f>IFERROR(VLOOKUP(E3219*1,Tabla[#All],8,0),0)</f>
        <v/>
      </c>
      <c r="T3219" s="26">
        <f>S3219*G3219</f>
        <v/>
      </c>
      <c r="U3219" s="26">
        <f>R3219-T3219</f>
        <v/>
      </c>
      <c r="V3219" s="26">
        <f>U3219-L3219</f>
        <v/>
      </c>
    </row>
    <row r="3220">
      <c r="A3220" s="11" t="n">
        <v>46234</v>
      </c>
      <c r="B3220" s="1" t="n">
        <v>20089</v>
      </c>
      <c r="C3220" s="1" t="inlineStr">
        <is>
          <t>025</t>
        </is>
      </c>
      <c r="D3220" s="1" t="inlineStr">
        <is>
          <t>122917</t>
        </is>
      </c>
      <c r="E3220" s="1" t="inlineStr">
        <is>
          <t xml:space="preserve">28194770       </t>
        </is>
      </c>
      <c r="F3220" s="5" t="inlineStr">
        <is>
          <t>AUTOS DE METAL 3 TEAMSTERZ EN BLISTER</t>
        </is>
      </c>
      <c r="G3220" t="n">
        <v>1</v>
      </c>
      <c r="H3220" s="7" t="n">
        <v>6.9</v>
      </c>
      <c r="I3220" s="7" t="n">
        <v>0</v>
      </c>
      <c r="J3220" s="7" t="n">
        <v>0</v>
      </c>
      <c r="K3220" s="9" t="n">
        <v>0</v>
      </c>
      <c r="L3220" s="10" t="n">
        <v>4.1</v>
      </c>
      <c r="M3220" s="10" t="n">
        <v>1.43</v>
      </c>
      <c r="N3220" t="inlineStr">
        <is>
          <t>1</t>
        </is>
      </c>
      <c r="O3220" t="inlineStr">
        <is>
          <t xml:space="preserve">2 </t>
        </is>
      </c>
      <c r="P3220" t="inlineStr">
        <is>
          <t xml:space="preserve">109709  </t>
        </is>
      </c>
      <c r="Q3220" s="26" t="n">
        <v>4.09</v>
      </c>
      <c r="R3220" s="26">
        <f>Q3220*G3220</f>
        <v/>
      </c>
      <c r="S3220" s="26">
        <f>IFERROR(VLOOKUP(E3220*1,Tabla[#All],8,0),0)</f>
        <v/>
      </c>
      <c r="T3220" s="26">
        <f>S3220*G3220</f>
        <v/>
      </c>
      <c r="U3220" s="26">
        <f>R3220-T3220</f>
        <v/>
      </c>
      <c r="V3220" s="26">
        <f>U3220-L3220</f>
        <v/>
      </c>
    </row>
    <row r="3221">
      <c r="A3221" s="11" t="n">
        <v>46234</v>
      </c>
      <c r="B3221" s="1" t="n">
        <v>20089</v>
      </c>
      <c r="C3221" s="1" t="inlineStr">
        <is>
          <t>026</t>
        </is>
      </c>
      <c r="D3221" s="1" t="inlineStr">
        <is>
          <t xml:space="preserve">89071 </t>
        </is>
      </c>
      <c r="E3221" s="1" t="inlineStr">
        <is>
          <t xml:space="preserve">28194770       </t>
        </is>
      </c>
      <c r="F3221" s="5" t="inlineStr">
        <is>
          <t>AUTOS DE METAL 3 TEAMSTERZ EN BLISTER</t>
        </is>
      </c>
      <c r="G3221" t="n">
        <v>1</v>
      </c>
      <c r="H3221" s="7" t="n">
        <v>6.9</v>
      </c>
      <c r="I3221" s="7" t="n">
        <v>0</v>
      </c>
      <c r="J3221" s="7" t="n">
        <v>0</v>
      </c>
      <c r="K3221" s="9" t="n">
        <v>0</v>
      </c>
      <c r="L3221" s="10" t="n">
        <v>4.1</v>
      </c>
      <c r="M3221" s="10" t="n">
        <v>1.43</v>
      </c>
      <c r="N3221" t="inlineStr">
        <is>
          <t>1</t>
        </is>
      </c>
      <c r="O3221" t="inlineStr">
        <is>
          <t xml:space="preserve">2 </t>
        </is>
      </c>
      <c r="P3221" t="inlineStr">
        <is>
          <t xml:space="preserve">232968  </t>
        </is>
      </c>
      <c r="Q3221" s="26" t="n">
        <v>4.09</v>
      </c>
      <c r="R3221" s="26">
        <f>Q3221*G3221</f>
        <v/>
      </c>
      <c r="S3221" s="26">
        <f>IFERROR(VLOOKUP(E3221*1,Tabla[#All],8,0),0)</f>
        <v/>
      </c>
      <c r="T3221" s="26">
        <f>S3221*G3221</f>
        <v/>
      </c>
      <c r="U3221" s="26">
        <f>R3221-T3221</f>
        <v/>
      </c>
      <c r="V3221" s="26">
        <f>U3221-L3221</f>
        <v/>
      </c>
    </row>
    <row r="3222">
      <c r="A3222" s="11" t="n">
        <v>46234</v>
      </c>
      <c r="B3222" s="1" t="n">
        <v>20089</v>
      </c>
      <c r="C3222" s="1" t="inlineStr">
        <is>
          <t>027</t>
        </is>
      </c>
      <c r="D3222" s="1" t="inlineStr">
        <is>
          <t xml:space="preserve">16573 </t>
        </is>
      </c>
      <c r="E3222" s="1" t="inlineStr">
        <is>
          <t xml:space="preserve">28194769       </t>
        </is>
      </c>
      <c r="F3222" s="5" t="inlineStr">
        <is>
          <t>AUTOS DE METAL 3 TEAMSTERZ PACK DE 2</t>
        </is>
      </c>
      <c r="G3222" t="n">
        <v>1</v>
      </c>
      <c r="H3222" s="7" t="n">
        <v>13.8</v>
      </c>
      <c r="I3222" s="7" t="n">
        <v>0</v>
      </c>
      <c r="J3222" s="7" t="n">
        <v>0</v>
      </c>
      <c r="K3222" s="9" t="n">
        <v>0</v>
      </c>
      <c r="L3222" s="10" t="n">
        <v>8.18</v>
      </c>
      <c r="M3222" s="10" t="n">
        <v>1.43</v>
      </c>
      <c r="N3222" t="inlineStr">
        <is>
          <t>1</t>
        </is>
      </c>
      <c r="O3222" t="inlineStr">
        <is>
          <t>16</t>
        </is>
      </c>
      <c r="P3222" t="inlineStr">
        <is>
          <t xml:space="preserve">249986  </t>
        </is>
      </c>
      <c r="Q3222" s="26" t="n">
        <v>8.19</v>
      </c>
      <c r="R3222" s="26">
        <f>Q3222*G3222</f>
        <v/>
      </c>
      <c r="S3222" s="26">
        <f>IFERROR(VLOOKUP(E3222*1,Tabla[#All],8,0),0)</f>
        <v/>
      </c>
      <c r="T3222" s="26">
        <f>S3222*G3222</f>
        <v/>
      </c>
      <c r="U3222" s="26">
        <f>R3222-T3222</f>
        <v/>
      </c>
      <c r="V3222" s="26">
        <f>U3222-L3222</f>
        <v/>
      </c>
    </row>
    <row r="3223">
      <c r="A3223" s="11" t="n">
        <v>46234</v>
      </c>
      <c r="B3223" s="1" t="n">
        <v>20089</v>
      </c>
      <c r="C3223" s="1" t="inlineStr">
        <is>
          <t>027</t>
        </is>
      </c>
      <c r="D3223" s="1" t="inlineStr">
        <is>
          <t xml:space="preserve">16576 </t>
        </is>
      </c>
      <c r="E3223" s="1" t="inlineStr">
        <is>
          <t xml:space="preserve">28194770       </t>
        </is>
      </c>
      <c r="F3223" s="5" t="inlineStr">
        <is>
          <t>AUTOS DE METAL 3 TEAMSTERZ EN BLISTER</t>
        </is>
      </c>
      <c r="G3223" t="n">
        <v>1</v>
      </c>
      <c r="H3223" s="7" t="n">
        <v>6.9</v>
      </c>
      <c r="I3223" s="7" t="n">
        <v>0</v>
      </c>
      <c r="J3223" s="7" t="n">
        <v>0</v>
      </c>
      <c r="K3223" s="9" t="n">
        <v>0</v>
      </c>
      <c r="L3223" s="10" t="n">
        <v>4.1</v>
      </c>
      <c r="M3223" s="10" t="n">
        <v>1.43</v>
      </c>
      <c r="N3223" t="inlineStr">
        <is>
          <t>1</t>
        </is>
      </c>
      <c r="O3223" t="inlineStr">
        <is>
          <t>16</t>
        </is>
      </c>
      <c r="P3223" t="inlineStr">
        <is>
          <t xml:space="preserve">249986  </t>
        </is>
      </c>
      <c r="Q3223" s="26" t="n">
        <v>4.09</v>
      </c>
      <c r="R3223" s="26">
        <f>Q3223*G3223</f>
        <v/>
      </c>
      <c r="S3223" s="26">
        <f>IFERROR(VLOOKUP(E3223*1,Tabla[#All],8,0),0)</f>
        <v/>
      </c>
      <c r="T3223" s="26">
        <f>S3223*G3223</f>
        <v/>
      </c>
      <c r="U3223" s="26">
        <f>R3223-T3223</f>
        <v/>
      </c>
      <c r="V3223" s="26">
        <f>U3223-L3223</f>
        <v/>
      </c>
    </row>
    <row r="3224">
      <c r="A3224" s="11" t="n">
        <v>46234</v>
      </c>
      <c r="B3224" s="1" t="n">
        <v>20089</v>
      </c>
      <c r="C3224" s="1" t="inlineStr">
        <is>
          <t>027</t>
        </is>
      </c>
      <c r="D3224" s="1" t="inlineStr">
        <is>
          <t xml:space="preserve">16599 </t>
        </is>
      </c>
      <c r="E3224" s="1" t="inlineStr">
        <is>
          <t xml:space="preserve">28194770       </t>
        </is>
      </c>
      <c r="F3224" s="5" t="inlineStr">
        <is>
          <t>AUTOS DE METAL 3 TEAMSTERZ EN BLISTER</t>
        </is>
      </c>
      <c r="G3224" t="n">
        <v>1</v>
      </c>
      <c r="H3224" s="7" t="n">
        <v>6.9</v>
      </c>
      <c r="I3224" s="7" t="n">
        <v>0</v>
      </c>
      <c r="J3224" s="7" t="n">
        <v>0</v>
      </c>
      <c r="K3224" s="9" t="n">
        <v>0</v>
      </c>
      <c r="L3224" s="10" t="n">
        <v>4.1</v>
      </c>
      <c r="M3224" s="10" t="n">
        <v>1.43</v>
      </c>
      <c r="N3224" t="inlineStr">
        <is>
          <t>1</t>
        </is>
      </c>
      <c r="O3224" t="inlineStr">
        <is>
          <t>16</t>
        </is>
      </c>
      <c r="P3224" t="inlineStr">
        <is>
          <t xml:space="preserve">249986  </t>
        </is>
      </c>
      <c r="Q3224" s="26" t="n">
        <v>4.09</v>
      </c>
      <c r="R3224" s="26">
        <f>Q3224*G3224</f>
        <v/>
      </c>
      <c r="S3224" s="26">
        <f>IFERROR(VLOOKUP(E3224*1,Tabla[#All],8,0),0)</f>
        <v/>
      </c>
      <c r="T3224" s="26">
        <f>S3224*G3224</f>
        <v/>
      </c>
      <c r="U3224" s="26">
        <f>R3224-T3224</f>
        <v/>
      </c>
      <c r="V3224" s="26">
        <f>U3224-L3224</f>
        <v/>
      </c>
    </row>
    <row r="3225">
      <c r="A3225" s="11" t="n">
        <v>46234</v>
      </c>
      <c r="B3225" s="1" t="n">
        <v>20089</v>
      </c>
      <c r="C3225" s="1" t="inlineStr">
        <is>
          <t>027</t>
        </is>
      </c>
      <c r="D3225" s="1" t="inlineStr">
        <is>
          <t xml:space="preserve">16599 </t>
        </is>
      </c>
      <c r="E3225" s="1" t="inlineStr">
        <is>
          <t xml:space="preserve">28194770       </t>
        </is>
      </c>
      <c r="F3225" s="5" t="inlineStr">
        <is>
          <t>AUTOS DE METAL 3 TEAMSTERZ EN BLISTER</t>
        </is>
      </c>
      <c r="G3225" t="n">
        <v>1</v>
      </c>
      <c r="H3225" s="7" t="n">
        <v>6.9</v>
      </c>
      <c r="I3225" s="7" t="n">
        <v>0</v>
      </c>
      <c r="J3225" s="7" t="n">
        <v>0</v>
      </c>
      <c r="K3225" s="9" t="n">
        <v>0</v>
      </c>
      <c r="L3225" s="10" t="n">
        <v>4.1</v>
      </c>
      <c r="M3225" s="10" t="n">
        <v>1.43</v>
      </c>
      <c r="N3225" t="inlineStr">
        <is>
          <t>1</t>
        </is>
      </c>
      <c r="O3225" t="inlineStr">
        <is>
          <t>16</t>
        </is>
      </c>
      <c r="P3225" t="inlineStr">
        <is>
          <t xml:space="preserve">249986  </t>
        </is>
      </c>
      <c r="Q3225" s="26" t="n">
        <v>4.09</v>
      </c>
      <c r="R3225" s="26">
        <f>Q3225*G3225</f>
        <v/>
      </c>
      <c r="S3225" s="26">
        <f>IFERROR(VLOOKUP(E3225*1,Tabla[#All],8,0),0)</f>
        <v/>
      </c>
      <c r="T3225" s="26">
        <f>S3225*G3225</f>
        <v/>
      </c>
      <c r="U3225" s="26">
        <f>R3225-T3225</f>
        <v/>
      </c>
      <c r="V3225" s="26">
        <f>U3225-L3225</f>
        <v/>
      </c>
    </row>
    <row r="3226">
      <c r="A3226" s="11" t="n">
        <v>46234</v>
      </c>
      <c r="B3226" s="1" t="n">
        <v>20089</v>
      </c>
      <c r="C3226" s="1" t="inlineStr">
        <is>
          <t>027</t>
        </is>
      </c>
      <c r="D3226" s="1" t="inlineStr">
        <is>
          <t xml:space="preserve">16599 </t>
        </is>
      </c>
      <c r="E3226" s="1" t="inlineStr">
        <is>
          <t xml:space="preserve">28194770       </t>
        </is>
      </c>
      <c r="F3226" s="5" t="inlineStr">
        <is>
          <t>AUTOS DE METAL 3 TEAMSTERZ EN BLISTER</t>
        </is>
      </c>
      <c r="G3226" t="n">
        <v>1</v>
      </c>
      <c r="H3226" s="7" t="n">
        <v>6.9</v>
      </c>
      <c r="I3226" s="7" t="n">
        <v>0</v>
      </c>
      <c r="J3226" s="7" t="n">
        <v>0</v>
      </c>
      <c r="K3226" s="9" t="n">
        <v>0</v>
      </c>
      <c r="L3226" s="10" t="n">
        <v>4.1</v>
      </c>
      <c r="M3226" s="10" t="n">
        <v>1.43</v>
      </c>
      <c r="N3226" t="inlineStr">
        <is>
          <t>1</t>
        </is>
      </c>
      <c r="O3226" t="inlineStr">
        <is>
          <t>16</t>
        </is>
      </c>
      <c r="P3226" t="inlineStr">
        <is>
          <t xml:space="preserve">249986  </t>
        </is>
      </c>
      <c r="Q3226" s="26" t="n">
        <v>4.09</v>
      </c>
      <c r="R3226" s="26">
        <f>Q3226*G3226</f>
        <v/>
      </c>
      <c r="S3226" s="26">
        <f>IFERROR(VLOOKUP(E3226*1,Tabla[#All],8,0),0)</f>
        <v/>
      </c>
      <c r="T3226" s="26">
        <f>S3226*G3226</f>
        <v/>
      </c>
      <c r="U3226" s="26">
        <f>R3226-T3226</f>
        <v/>
      </c>
      <c r="V3226" s="26">
        <f>U3226-L3226</f>
        <v/>
      </c>
    </row>
    <row r="3227">
      <c r="A3227" s="11" t="n">
        <v>46234</v>
      </c>
      <c r="B3227" s="1" t="n">
        <v>20089</v>
      </c>
      <c r="C3227" s="1" t="inlineStr">
        <is>
          <t>027</t>
        </is>
      </c>
      <c r="D3227" s="1" t="inlineStr">
        <is>
          <t xml:space="preserve">16599 </t>
        </is>
      </c>
      <c r="E3227" s="1" t="inlineStr">
        <is>
          <t xml:space="preserve">28194770       </t>
        </is>
      </c>
      <c r="F3227" s="5" t="inlineStr">
        <is>
          <t>AUTOS DE METAL 3 TEAMSTERZ EN BLISTER</t>
        </is>
      </c>
      <c r="G3227" t="n">
        <v>1</v>
      </c>
      <c r="H3227" s="7" t="n">
        <v>6.9</v>
      </c>
      <c r="I3227" s="7" t="n">
        <v>0</v>
      </c>
      <c r="J3227" s="7" t="n">
        <v>0</v>
      </c>
      <c r="K3227" s="9" t="n">
        <v>0</v>
      </c>
      <c r="L3227" s="10" t="n">
        <v>4.1</v>
      </c>
      <c r="M3227" s="10" t="n">
        <v>1.43</v>
      </c>
      <c r="N3227" t="inlineStr">
        <is>
          <t>1</t>
        </is>
      </c>
      <c r="O3227" t="inlineStr">
        <is>
          <t>16</t>
        </is>
      </c>
      <c r="P3227" t="inlineStr">
        <is>
          <t xml:space="preserve">249986  </t>
        </is>
      </c>
      <c r="Q3227" s="26" t="n">
        <v>4.09</v>
      </c>
      <c r="R3227" s="26">
        <f>Q3227*G3227</f>
        <v/>
      </c>
      <c r="S3227" s="26">
        <f>IFERROR(VLOOKUP(E3227*1,Tabla[#All],8,0),0)</f>
        <v/>
      </c>
      <c r="T3227" s="26">
        <f>S3227*G3227</f>
        <v/>
      </c>
      <c r="U3227" s="26">
        <f>R3227-T3227</f>
        <v/>
      </c>
      <c r="V3227" s="26">
        <f>U3227-L3227</f>
        <v/>
      </c>
    </row>
    <row r="3228">
      <c r="A3228" s="11" t="n">
        <v>46234</v>
      </c>
      <c r="B3228" s="1" t="n">
        <v>20089</v>
      </c>
      <c r="C3228" s="1" t="inlineStr">
        <is>
          <t>027</t>
        </is>
      </c>
      <c r="D3228" s="1" t="inlineStr">
        <is>
          <t xml:space="preserve">16599 </t>
        </is>
      </c>
      <c r="E3228" s="1" t="inlineStr">
        <is>
          <t xml:space="preserve">28194770       </t>
        </is>
      </c>
      <c r="F3228" s="5" t="inlineStr">
        <is>
          <t>AUTOS DE METAL 3 TEAMSTERZ EN BLISTER</t>
        </is>
      </c>
      <c r="G3228" t="n">
        <v>1</v>
      </c>
      <c r="H3228" s="7" t="n">
        <v>6.9</v>
      </c>
      <c r="I3228" s="7" t="n">
        <v>0</v>
      </c>
      <c r="J3228" s="7" t="n">
        <v>0</v>
      </c>
      <c r="K3228" s="9" t="n">
        <v>0</v>
      </c>
      <c r="L3228" s="10" t="n">
        <v>4.1</v>
      </c>
      <c r="M3228" s="10" t="n">
        <v>1.43</v>
      </c>
      <c r="N3228" t="inlineStr">
        <is>
          <t>1</t>
        </is>
      </c>
      <c r="O3228" t="inlineStr">
        <is>
          <t>16</t>
        </is>
      </c>
      <c r="P3228" t="inlineStr">
        <is>
          <t xml:space="preserve">249986  </t>
        </is>
      </c>
      <c r="Q3228" s="26" t="n">
        <v>4.09</v>
      </c>
      <c r="R3228" s="26">
        <f>Q3228*G3228</f>
        <v/>
      </c>
      <c r="S3228" s="26">
        <f>IFERROR(VLOOKUP(E3228*1,Tabla[#All],8,0),0)</f>
        <v/>
      </c>
      <c r="T3228" s="26">
        <f>S3228*G3228</f>
        <v/>
      </c>
      <c r="U3228" s="26">
        <f>R3228-T3228</f>
        <v/>
      </c>
      <c r="V3228" s="26">
        <f>U3228-L3228</f>
        <v/>
      </c>
    </row>
    <row r="3229">
      <c r="A3229" s="11" t="n">
        <v>46234</v>
      </c>
      <c r="B3229" s="1" t="n">
        <v>20089</v>
      </c>
      <c r="C3229" s="1" t="inlineStr">
        <is>
          <t>503</t>
        </is>
      </c>
      <c r="D3229" s="1" t="inlineStr">
        <is>
          <t xml:space="preserve">255   </t>
        </is>
      </c>
      <c r="E3229" s="1" t="inlineStr">
        <is>
          <t xml:space="preserve">28194770       </t>
        </is>
      </c>
      <c r="F3229" s="5" t="inlineStr">
        <is>
          <t>AUTOS DE METAL 3 TEAMSTERZ EN BLISTER</t>
        </is>
      </c>
      <c r="G3229" t="n">
        <v>2</v>
      </c>
      <c r="H3229" s="7" t="n">
        <v>13.8</v>
      </c>
      <c r="I3229" s="7" t="n">
        <v>0</v>
      </c>
      <c r="J3229" s="7" t="n">
        <v>0</v>
      </c>
      <c r="K3229" s="9" t="n">
        <v>0</v>
      </c>
      <c r="L3229" s="10" t="n">
        <v>8.18</v>
      </c>
      <c r="M3229" s="10" t="n">
        <v>1.43</v>
      </c>
      <c r="N3229" t="inlineStr">
        <is>
          <t>1</t>
        </is>
      </c>
      <c r="O3229" t="inlineStr">
        <is>
          <t>16</t>
        </is>
      </c>
      <c r="P3229" t="inlineStr">
        <is>
          <t xml:space="preserve">247232  </t>
        </is>
      </c>
      <c r="Q3229" s="26" t="n">
        <v>4.09</v>
      </c>
      <c r="R3229" s="26">
        <f>Q3229*G3229</f>
        <v/>
      </c>
      <c r="S3229" s="26">
        <f>IFERROR(VLOOKUP(E3229*1,Tabla[#All],8,0),0)</f>
        <v/>
      </c>
      <c r="T3229" s="26">
        <f>S3229*G3229</f>
        <v/>
      </c>
      <c r="U3229" s="26">
        <f>R3229-T3229</f>
        <v/>
      </c>
      <c r="V3229" s="26">
        <f>U3229-L3229</f>
        <v/>
      </c>
    </row>
    <row r="3230">
      <c r="A3230" s="11" t="n">
        <v>46234</v>
      </c>
      <c r="B3230" s="1" t="n">
        <v>20089</v>
      </c>
      <c r="C3230" s="1" t="inlineStr">
        <is>
          <t>862</t>
        </is>
      </c>
      <c r="D3230" s="1" t="inlineStr">
        <is>
          <t xml:space="preserve">9050  </t>
        </is>
      </c>
      <c r="E3230" s="1" t="inlineStr">
        <is>
          <t xml:space="preserve">28194770       </t>
        </is>
      </c>
      <c r="F3230" s="5" t="inlineStr">
        <is>
          <t>AUTOS DE METAL 3 TEAMSTERZ EN BLISTER</t>
        </is>
      </c>
      <c r="G3230" t="n">
        <v>1</v>
      </c>
      <c r="H3230" s="7" t="n">
        <v>6.9</v>
      </c>
      <c r="I3230" s="7" t="n">
        <v>0</v>
      </c>
      <c r="J3230" s="7" t="n">
        <v>0</v>
      </c>
      <c r="K3230" s="9" t="n">
        <v>0</v>
      </c>
      <c r="L3230" s="10" t="n">
        <v>4.1</v>
      </c>
      <c r="M3230" s="10" t="n">
        <v>1.43</v>
      </c>
      <c r="N3230" t="inlineStr">
        <is>
          <t>1</t>
        </is>
      </c>
      <c r="O3230" t="inlineStr">
        <is>
          <t>16</t>
        </is>
      </c>
      <c r="P3230" t="inlineStr">
        <is>
          <t xml:space="preserve">0       </t>
        </is>
      </c>
      <c r="Q3230" s="26" t="n">
        <v>4.09</v>
      </c>
      <c r="R3230" s="26">
        <f>Q3230*G3230</f>
        <v/>
      </c>
      <c r="S3230" s="26">
        <f>IFERROR(VLOOKUP(E3230*1,Tabla[#All],8,0),0)</f>
        <v/>
      </c>
      <c r="T3230" s="26">
        <f>S3230*G3230</f>
        <v/>
      </c>
      <c r="U3230" s="26">
        <f>R3230-T3230</f>
        <v/>
      </c>
      <c r="V3230" s="26">
        <f>U3230-L3230</f>
        <v/>
      </c>
    </row>
    <row r="3231">
      <c r="A3231" s="11" t="n">
        <v>46234</v>
      </c>
      <c r="B3231" s="1" t="n">
        <v>20089</v>
      </c>
      <c r="C3231" s="1" t="inlineStr">
        <is>
          <t>862</t>
        </is>
      </c>
      <c r="D3231" s="1" t="inlineStr">
        <is>
          <t xml:space="preserve">9050  </t>
        </is>
      </c>
      <c r="E3231" s="1" t="inlineStr">
        <is>
          <t xml:space="preserve">30141766       </t>
        </is>
      </c>
      <c r="F3231" s="5" t="inlineStr">
        <is>
          <t>TMZ BEAST MACHINES AUTOS DE METAL BLISTER X 1</t>
        </is>
      </c>
      <c r="G3231" t="n">
        <v>1</v>
      </c>
      <c r="H3231" s="7" t="n">
        <v>7.9</v>
      </c>
      <c r="I3231" s="7" t="n">
        <v>0</v>
      </c>
      <c r="J3231" s="7" t="n">
        <v>0</v>
      </c>
      <c r="K3231" s="9" t="n">
        <v>0</v>
      </c>
      <c r="L3231" s="10" t="n">
        <v>4.68</v>
      </c>
      <c r="M3231" s="10" t="n">
        <v>1.43</v>
      </c>
      <c r="N3231" t="inlineStr">
        <is>
          <t>1</t>
        </is>
      </c>
      <c r="O3231" t="inlineStr">
        <is>
          <t>16</t>
        </is>
      </c>
      <c r="P3231" t="inlineStr">
        <is>
          <t xml:space="preserve">0       </t>
        </is>
      </c>
      <c r="Q3231" s="26" t="n">
        <v>4.69</v>
      </c>
      <c r="R3231" s="26">
        <f>Q3231*G3231</f>
        <v/>
      </c>
      <c r="S3231" s="26">
        <f>IFERROR(VLOOKUP(E3231*1,Tabla[#All],8,0),0)</f>
        <v/>
      </c>
      <c r="T3231" s="26">
        <f>S3231*G3231</f>
        <v/>
      </c>
      <c r="U3231" s="26">
        <f>R3231-T3231</f>
        <v/>
      </c>
      <c r="V3231" s="26">
        <f>U3231-L3231</f>
        <v/>
      </c>
    </row>
    <row r="3232">
      <c r="A3232" s="11" t="n">
        <v>46234</v>
      </c>
      <c r="B3232" s="1" t="n">
        <v>20089</v>
      </c>
      <c r="C3232" s="1" t="inlineStr">
        <is>
          <t>862</t>
        </is>
      </c>
      <c r="D3232" s="1" t="inlineStr">
        <is>
          <t xml:space="preserve">9058  </t>
        </is>
      </c>
      <c r="E3232" s="1" t="inlineStr">
        <is>
          <t xml:space="preserve">28194770       </t>
        </is>
      </c>
      <c r="F3232" s="5" t="inlineStr">
        <is>
          <t>AUTOS DE METAL 3 TEAMSTERZ EN BLISTER</t>
        </is>
      </c>
      <c r="G3232" t="n">
        <v>1</v>
      </c>
      <c r="H3232" s="7" t="n">
        <v>6.9</v>
      </c>
      <c r="I3232" s="7" t="n">
        <v>0</v>
      </c>
      <c r="J3232" s="7" t="n">
        <v>0</v>
      </c>
      <c r="K3232" s="9" t="n">
        <v>0</v>
      </c>
      <c r="L3232" s="10" t="n">
        <v>4.1</v>
      </c>
      <c r="M3232" s="10" t="n">
        <v>1.43</v>
      </c>
      <c r="N3232" t="inlineStr">
        <is>
          <t>1</t>
        </is>
      </c>
      <c r="O3232" t="inlineStr">
        <is>
          <t>16</t>
        </is>
      </c>
      <c r="P3232" t="inlineStr">
        <is>
          <t xml:space="preserve">0       </t>
        </is>
      </c>
      <c r="Q3232" s="26" t="n">
        <v>4.09</v>
      </c>
      <c r="R3232" s="26">
        <f>Q3232*G3232</f>
        <v/>
      </c>
      <c r="S3232" s="26">
        <f>IFERROR(VLOOKUP(E3232*1,Tabla[#All],8,0),0)</f>
        <v/>
      </c>
      <c r="T3232" s="26">
        <f>S3232*G3232</f>
        <v/>
      </c>
      <c r="U3232" s="26">
        <f>R3232-T3232</f>
        <v/>
      </c>
      <c r="V3232" s="26">
        <f>U3232-L3232</f>
        <v/>
      </c>
    </row>
    <row r="3233">
      <c r="A3233" s="11" t="n">
        <v>46234</v>
      </c>
      <c r="B3233" s="1" t="n">
        <v>20095</v>
      </c>
      <c r="C3233" s="1" t="inlineStr">
        <is>
          <t>044</t>
        </is>
      </c>
      <c r="D3233" s="1" t="inlineStr">
        <is>
          <t xml:space="preserve">95082 </t>
        </is>
      </c>
      <c r="E3233" s="1" t="inlineStr">
        <is>
          <t xml:space="preserve">28194770       </t>
        </is>
      </c>
      <c r="F3233" s="5" t="inlineStr">
        <is>
          <t>AUTOS DE METAL 3 TEAMSTERZ EN BLISTER</t>
        </is>
      </c>
      <c r="G3233" t="n">
        <v>1</v>
      </c>
      <c r="H3233" s="7" t="n">
        <v>6.9</v>
      </c>
      <c r="I3233" s="7" t="n">
        <v>0</v>
      </c>
      <c r="J3233" s="7" t="n">
        <v>0</v>
      </c>
      <c r="K3233" s="9" t="n">
        <v>0</v>
      </c>
      <c r="L3233" s="10" t="n">
        <v>4.1</v>
      </c>
      <c r="M3233" s="10" t="n">
        <v>1.43</v>
      </c>
      <c r="N3233" t="inlineStr">
        <is>
          <t>1</t>
        </is>
      </c>
      <c r="O3233" t="inlineStr">
        <is>
          <t xml:space="preserve">3 </t>
        </is>
      </c>
      <c r="P3233" t="inlineStr">
        <is>
          <t xml:space="preserve">248421  </t>
        </is>
      </c>
      <c r="Q3233" s="26" t="n">
        <v>4.09</v>
      </c>
      <c r="R3233" s="26">
        <f>Q3233*G3233</f>
        <v/>
      </c>
      <c r="S3233" s="26">
        <f>IFERROR(VLOOKUP(E3233*1,Tabla[#All],8,0),0)</f>
        <v/>
      </c>
      <c r="T3233" s="26">
        <f>S3233*G3233</f>
        <v/>
      </c>
      <c r="U3233" s="26">
        <f>R3233-T3233</f>
        <v/>
      </c>
      <c r="V3233" s="26">
        <f>U3233-L3233</f>
        <v/>
      </c>
    </row>
    <row r="3234">
      <c r="A3234" s="11" t="n">
        <v>46234</v>
      </c>
      <c r="B3234" s="1" t="n">
        <v>20095</v>
      </c>
      <c r="C3234" s="1" t="inlineStr">
        <is>
          <t>044</t>
        </is>
      </c>
      <c r="D3234" s="1" t="inlineStr">
        <is>
          <t xml:space="preserve">95152 </t>
        </is>
      </c>
      <c r="E3234" s="1" t="inlineStr">
        <is>
          <t xml:space="preserve">30141769       </t>
        </is>
      </c>
      <c r="F3234" s="5" t="inlineStr">
        <is>
          <t>TMZ BEAST MACHINES TRANSPORTE DINOSAURIO + 3 AUTOS</t>
        </is>
      </c>
      <c r="G3234" t="n">
        <v>1</v>
      </c>
      <c r="H3234" s="7" t="n">
        <v>59.9</v>
      </c>
      <c r="I3234" s="7" t="n">
        <v>0</v>
      </c>
      <c r="J3234" s="7" t="n">
        <v>0</v>
      </c>
      <c r="K3234" s="9" t="n">
        <v>0</v>
      </c>
      <c r="L3234" s="10" t="n">
        <v>35.53</v>
      </c>
      <c r="M3234" s="10" t="n">
        <v>1.43</v>
      </c>
      <c r="N3234" t="inlineStr">
        <is>
          <t>1</t>
        </is>
      </c>
      <c r="O3234" t="inlineStr">
        <is>
          <t xml:space="preserve">3 </t>
        </is>
      </c>
      <c r="P3234" t="inlineStr">
        <is>
          <t xml:space="preserve">248421  </t>
        </is>
      </c>
      <c r="Q3234" s="26" t="n">
        <v>47.4</v>
      </c>
      <c r="R3234" s="26">
        <f>Q3234*G3234</f>
        <v/>
      </c>
      <c r="S3234" s="26">
        <f>IFERROR(VLOOKUP(E3234*1,Tabla[#All],8,0),0)</f>
        <v/>
      </c>
      <c r="T3234" s="26">
        <f>S3234*G3234</f>
        <v/>
      </c>
      <c r="U3234" s="26">
        <f>R3234-T3234</f>
        <v/>
      </c>
      <c r="V3234" s="26">
        <f>U3234-L3234</f>
        <v/>
      </c>
    </row>
    <row r="3235" ht="13" customHeight="1" thickBot="1">
      <c r="A3235" s="11" t="n">
        <v>46234</v>
      </c>
      <c r="B3235" s="1" t="n">
        <v>20095</v>
      </c>
      <c r="C3235" s="1" t="inlineStr">
        <is>
          <t>801</t>
        </is>
      </c>
      <c r="D3235" s="1" t="inlineStr">
        <is>
          <t xml:space="preserve">5912  </t>
        </is>
      </c>
      <c r="E3235" s="1" t="inlineStr">
        <is>
          <t xml:space="preserve">31675354       </t>
        </is>
      </c>
      <c r="F3235" s="5" t="inlineStr">
        <is>
          <t>NENUCO LLORON CON ACCESORIOS</t>
        </is>
      </c>
      <c r="G3235" t="n">
        <v>1</v>
      </c>
      <c r="H3235" s="7" t="n">
        <v>69.90000000000001</v>
      </c>
      <c r="I3235" s="7" t="n">
        <v>0</v>
      </c>
      <c r="J3235" s="7" t="n">
        <v>0</v>
      </c>
      <c r="K3235" s="9" t="n">
        <v>0</v>
      </c>
      <c r="L3235" s="10" t="n">
        <v>41.47</v>
      </c>
      <c r="M3235" s="10" t="n">
        <v>1.43</v>
      </c>
      <c r="N3235" t="inlineStr">
        <is>
          <t>1</t>
        </is>
      </c>
      <c r="O3235" t="inlineStr">
        <is>
          <t>16</t>
        </is>
      </c>
      <c r="P3235" t="inlineStr">
        <is>
          <t xml:space="preserve">0       </t>
        </is>
      </c>
      <c r="Q3235" s="26" t="n">
        <v>53.33</v>
      </c>
      <c r="R3235" s="26">
        <f>Q3235*G3235</f>
        <v/>
      </c>
      <c r="S3235" s="26">
        <f>IFERROR(VLOOKUP(E3235*1,Tabla[#All],8,0),0)</f>
        <v/>
      </c>
      <c r="T3235" s="26">
        <f>S3235*G3235</f>
        <v/>
      </c>
      <c r="U3235" s="26">
        <f>R3235-T3235</f>
        <v/>
      </c>
      <c r="V3235" s="26">
        <f>U3235-L3235</f>
        <v/>
      </c>
    </row>
    <row r="3236" ht="13.5" customHeight="1" thickTop="1">
      <c r="A3236" s="12" t="n"/>
      <c r="B3236" s="12" t="n"/>
      <c r="C3236" s="12" t="n"/>
      <c r="D3236" s="12" t="n"/>
      <c r="E3236" s="12" t="n"/>
      <c r="F3236" s="13" t="inlineStr">
        <is>
          <t>Total a pagar sin IGV (S/.)</t>
        </is>
      </c>
      <c r="G3236" s="14" t="n">
        <v>3257</v>
      </c>
      <c r="H3236" s="15" t="n"/>
      <c r="I3236" s="15" t="n">
        <v>1306.320000000005</v>
      </c>
      <c r="J3236" s="15" t="n">
        <v>0</v>
      </c>
      <c r="K3236" s="16" t="n">
        <v>1306.320000000005</v>
      </c>
      <c r="L3236" s="17" t="n">
        <v>54414.779999999</v>
      </c>
      <c r="M3236" s="17" t="n"/>
      <c r="N3236" s="14" t="n"/>
      <c r="O3236" s="14" t="n"/>
      <c r="P3236" s="14" t="n"/>
    </row>
  </sheetData>
  <mergeCells count="3">
    <mergeCell ref="A4:P4"/>
    <mergeCell ref="A3:P3"/>
    <mergeCell ref="A2:P2"/>
  </mergeCells>
  <pageMargins left="0.32" right="0.32" top="1" bottom="1" header="0" footer="0"/>
  <pageSetup orientation="landscape" paperSize="9" scale="91" horizontalDpi="355" verticalDpi="35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RIPLEY</dc:creator>
  <dcterms:created xsi:type="dcterms:W3CDTF">2003-05-08T14:43:04Z</dcterms:created>
  <dcterms:modified xsi:type="dcterms:W3CDTF">2026-09-03T20:16:34Z</dcterms:modified>
  <cp:lastModifiedBy>ANGEL ALCIDES LUZA GONZALES</cp:lastModifiedBy>
  <cp:lastPrinted>2026-08-04T00:55:10Z</cp:lastPrinted>
</cp:coreProperties>
</file>